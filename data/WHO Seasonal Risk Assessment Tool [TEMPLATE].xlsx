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4" rupBuild="10125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/Users/steve.kerr/Documents/GitHub/riskassess/data/"/>
    </mc:Choice>
  </mc:AlternateContent>
  <xr:revisionPtr revIDLastSave="0" documentId="13_ncr:9_{A4AB93E1-E5E5-1A45-B540-66CEBBCC14AF}" xr6:coauthVersionLast="47" xr6:coauthVersionMax="47" xr10:uidLastSave="{00000000-0000-0000-0000-000000000000}"/>
  <bookViews>
    <workbookView xWindow="-19680" yWindow="-20980" windowWidth="38400" windowHeight="20980" xr2:uid="{00000000-000D-0000-FFFF-FFFF00000000}"/>
  </bookViews>
  <sheets>
    <sheet name="Instructions" sheetId="19" r:id="rId1"/>
    <sheet name="1. Describe Your Emergency" sheetId="23" r:id="rId2"/>
    <sheet name="2. Define Indicators" sheetId="8" r:id="rId3"/>
    <sheet name="3. Enter Indicator Scores" sheetId="27" r:id="rId4"/>
    <sheet name="4. Define Weights" sheetId="29" r:id="rId5"/>
    <sheet name="5. Weighted Indicator Scores" sheetId="33" r:id="rId6"/>
    <sheet name="6. Composite Risk Scores" sheetId="34" r:id="rId7"/>
    <sheet name="Geographic Reference" sheetId="9" r:id="rId8"/>
    <sheet name="_validation" sheetId="20" state="hidden" r:id="rId9"/>
    <sheet name="_indicator_scores" sheetId="24" state="hidden" r:id="rId10"/>
    <sheet name="_indicator_weights" sheetId="30" state="hidden" r:id="rId11"/>
  </sheets>
  <definedNames>
    <definedName name="adm0_list">_xlfn.ANCHORARRAY(_validation!$B$3)</definedName>
    <definedName name="boolean_flag">_validation!$G$3:$G$4</definedName>
    <definedName name="CountrySelected">'1. Describe Your Emergency'!$A$1</definedName>
    <definedName name="IndicatorsDefined">'2. Define Indicators'!$A$1</definedName>
    <definedName name="pillars_var">_validation!$D$4:$D$6</definedName>
    <definedName name="status_var">_validation!$I$4:$I$8</definedName>
    <definedName name="tbl_pill_weights">'4. Define Weights'!$B$8:$C$12</definedName>
    <definedName name="WeightsDefined">'4. Define Weights'!$A$1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1" i="23" l="1"/>
  <c r="A1" i="8"/>
  <c r="B5" i="27" s="1"/>
  <c r="B7" i="8" a="1"/>
  <c r="B7" i="8" s="1"/>
  <c r="B8" i="8" a="1"/>
  <c r="B8" i="8" s="1"/>
  <c r="B9" i="8" a="1"/>
  <c r="B9" i="8" s="1"/>
  <c r="B10" i="8" a="1"/>
  <c r="B10" i="8" s="1"/>
  <c r="B11" i="8" a="1"/>
  <c r="B11" i="8" s="1"/>
  <c r="B12" i="8" a="1"/>
  <c r="B12" i="8" s="1"/>
  <c r="B13" i="8" a="1"/>
  <c r="B13" i="8" s="1"/>
  <c r="B14" i="8" a="1"/>
  <c r="B14" i="8" s="1"/>
  <c r="B15" i="8" a="1"/>
  <c r="B15" i="8" s="1"/>
  <c r="B16" i="8" a="1"/>
  <c r="B16" i="8" s="1"/>
  <c r="B17" i="8" a="1"/>
  <c r="B17" i="8" s="1"/>
  <c r="B18" i="8" a="1"/>
  <c r="B18" i="8" s="1"/>
  <c r="B19" i="8" a="1"/>
  <c r="B19" i="8" s="1"/>
  <c r="B20" i="8" a="1"/>
  <c r="B20" i="8" s="1"/>
  <c r="B21" i="8" a="1"/>
  <c r="B21" i="8" s="1"/>
  <c r="B22" i="8" a="1"/>
  <c r="B22" i="8" s="1"/>
  <c r="B23" i="8" a="1"/>
  <c r="B23" i="8" s="1"/>
  <c r="B24" i="8" a="1"/>
  <c r="B24" i="8" s="1"/>
  <c r="F160" i="34" a="1"/>
  <c r="F160" i="34" s="1"/>
  <c r="E160" i="34" a="1"/>
  <c r="E160" i="34" s="1"/>
  <c r="D160" i="34" a="1"/>
  <c r="D160" i="34" s="1"/>
  <c r="F159" i="34" a="1"/>
  <c r="F159" i="34" s="1"/>
  <c r="E159" i="34" a="1"/>
  <c r="E159" i="34" s="1"/>
  <c r="D159" i="34" a="1"/>
  <c r="D159" i="34" s="1"/>
  <c r="F158" i="34" a="1"/>
  <c r="F158" i="34" s="1"/>
  <c r="E158" i="34" a="1"/>
  <c r="E158" i="34" s="1"/>
  <c r="D158" i="34" a="1"/>
  <c r="D158" i="34" s="1"/>
  <c r="F157" i="34" a="1"/>
  <c r="F157" i="34" s="1"/>
  <c r="E157" i="34" a="1"/>
  <c r="E157" i="34" s="1"/>
  <c r="D157" i="34" a="1"/>
  <c r="D157" i="34" s="1"/>
  <c r="F156" i="34" a="1"/>
  <c r="F156" i="34" s="1"/>
  <c r="E156" i="34" a="1"/>
  <c r="E156" i="34" s="1"/>
  <c r="D156" i="34" a="1"/>
  <c r="D156" i="34" s="1"/>
  <c r="F155" i="34" a="1"/>
  <c r="F155" i="34" s="1"/>
  <c r="E155" i="34" a="1"/>
  <c r="E155" i="34" s="1"/>
  <c r="D155" i="34" a="1"/>
  <c r="D155" i="34" s="1"/>
  <c r="F154" i="34" a="1"/>
  <c r="F154" i="34" s="1"/>
  <c r="E154" i="34" a="1"/>
  <c r="E154" i="34" s="1"/>
  <c r="D154" i="34" a="1"/>
  <c r="D154" i="34" s="1"/>
  <c r="F153" i="34" a="1"/>
  <c r="F153" i="34" s="1"/>
  <c r="E153" i="34" a="1"/>
  <c r="E153" i="34" s="1"/>
  <c r="D153" i="34" a="1"/>
  <c r="D153" i="34" s="1"/>
  <c r="F152" i="34" a="1"/>
  <c r="F152" i="34" s="1"/>
  <c r="E152" i="34" a="1"/>
  <c r="E152" i="34" s="1"/>
  <c r="D152" i="34" a="1"/>
  <c r="D152" i="34" s="1"/>
  <c r="F151" i="34" a="1"/>
  <c r="F151" i="34" s="1"/>
  <c r="E151" i="34" a="1"/>
  <c r="E151" i="34" s="1"/>
  <c r="D151" i="34" a="1"/>
  <c r="D151" i="34" s="1"/>
  <c r="F150" i="34" a="1"/>
  <c r="F150" i="34" s="1"/>
  <c r="E150" i="34" a="1"/>
  <c r="E150" i="34" s="1"/>
  <c r="D150" i="34" a="1"/>
  <c r="D150" i="34" s="1"/>
  <c r="F149" i="34" a="1"/>
  <c r="F149" i="34" s="1"/>
  <c r="E149" i="34" a="1"/>
  <c r="E149" i="34" s="1"/>
  <c r="D149" i="34" a="1"/>
  <c r="D149" i="34" s="1"/>
  <c r="F148" i="34" a="1"/>
  <c r="F148" i="34" s="1"/>
  <c r="E148" i="34" a="1"/>
  <c r="E148" i="34" s="1"/>
  <c r="D148" i="34" a="1"/>
  <c r="D148" i="34" s="1"/>
  <c r="F147" i="34" a="1"/>
  <c r="F147" i="34" s="1"/>
  <c r="E147" i="34" a="1"/>
  <c r="E147" i="34" s="1"/>
  <c r="D147" i="34" a="1"/>
  <c r="D147" i="34" s="1"/>
  <c r="F146" i="34" a="1"/>
  <c r="F146" i="34" s="1"/>
  <c r="E146" i="34" a="1"/>
  <c r="E146" i="34" s="1"/>
  <c r="D146" i="34" a="1"/>
  <c r="D146" i="34" s="1"/>
  <c r="F145" i="34" a="1"/>
  <c r="F145" i="34" s="1"/>
  <c r="E145" i="34" a="1"/>
  <c r="E145" i="34" s="1"/>
  <c r="D145" i="34" a="1"/>
  <c r="D145" i="34" s="1"/>
  <c r="F144" i="34" a="1"/>
  <c r="F144" i="34" s="1"/>
  <c r="E144" i="34" a="1"/>
  <c r="E144" i="34" s="1"/>
  <c r="D144" i="34" a="1"/>
  <c r="D144" i="34" s="1"/>
  <c r="F143" i="34" a="1"/>
  <c r="F143" i="34" s="1"/>
  <c r="E143" i="34" a="1"/>
  <c r="E143" i="34" s="1"/>
  <c r="D143" i="34" a="1"/>
  <c r="D143" i="34" s="1"/>
  <c r="F142" i="34" a="1"/>
  <c r="F142" i="34" s="1"/>
  <c r="E142" i="34" a="1"/>
  <c r="E142" i="34" s="1"/>
  <c r="D142" i="34" a="1"/>
  <c r="D142" i="34" s="1"/>
  <c r="F141" i="34" a="1"/>
  <c r="F141" i="34" s="1"/>
  <c r="E141" i="34" a="1"/>
  <c r="E141" i="34" s="1"/>
  <c r="D141" i="34" a="1"/>
  <c r="D141" i="34" s="1"/>
  <c r="F140" i="34" a="1"/>
  <c r="F140" i="34" s="1"/>
  <c r="E140" i="34" a="1"/>
  <c r="E140" i="34" s="1"/>
  <c r="D140" i="34" a="1"/>
  <c r="D140" i="34" s="1"/>
  <c r="F139" i="34" a="1"/>
  <c r="F139" i="34" s="1"/>
  <c r="E139" i="34" a="1"/>
  <c r="E139" i="34" s="1"/>
  <c r="D139" i="34" a="1"/>
  <c r="D139" i="34" s="1"/>
  <c r="F138" i="34" a="1"/>
  <c r="F138" i="34" s="1"/>
  <c r="E138" i="34" a="1"/>
  <c r="E138" i="34" s="1"/>
  <c r="D138" i="34" a="1"/>
  <c r="D138" i="34" s="1"/>
  <c r="F137" i="34" a="1"/>
  <c r="F137" i="34" s="1"/>
  <c r="E137" i="34" a="1"/>
  <c r="E137" i="34" s="1"/>
  <c r="D137" i="34" a="1"/>
  <c r="D137" i="34" s="1"/>
  <c r="F136" i="34" a="1"/>
  <c r="F136" i="34" s="1"/>
  <c r="E136" i="34" a="1"/>
  <c r="E136" i="34" s="1"/>
  <c r="D136" i="34" a="1"/>
  <c r="D136" i="34" s="1"/>
  <c r="F135" i="34" a="1"/>
  <c r="F135" i="34" s="1"/>
  <c r="E135" i="34" a="1"/>
  <c r="E135" i="34" s="1"/>
  <c r="D135" i="34" a="1"/>
  <c r="D135" i="34" s="1"/>
  <c r="F134" i="34" a="1"/>
  <c r="F134" i="34" s="1"/>
  <c r="E134" i="34" a="1"/>
  <c r="E134" i="34" s="1"/>
  <c r="D134" i="34" a="1"/>
  <c r="D134" i="34" s="1"/>
  <c r="F133" i="34" a="1"/>
  <c r="F133" i="34" s="1"/>
  <c r="E133" i="34" a="1"/>
  <c r="E133" i="34" s="1"/>
  <c r="D133" i="34" a="1"/>
  <c r="D133" i="34" s="1"/>
  <c r="F132" i="34" a="1"/>
  <c r="F132" i="34" s="1"/>
  <c r="E132" i="34" a="1"/>
  <c r="E132" i="34" s="1"/>
  <c r="D132" i="34" a="1"/>
  <c r="D132" i="34" s="1"/>
  <c r="F131" i="34" a="1"/>
  <c r="F131" i="34" s="1"/>
  <c r="E131" i="34" a="1"/>
  <c r="E131" i="34" s="1"/>
  <c r="D131" i="34" a="1"/>
  <c r="D131" i="34" s="1"/>
  <c r="F130" i="34" a="1"/>
  <c r="F130" i="34" s="1"/>
  <c r="E130" i="34" a="1"/>
  <c r="E130" i="34" s="1"/>
  <c r="D130" i="34" a="1"/>
  <c r="D130" i="34" s="1"/>
  <c r="F129" i="34" a="1"/>
  <c r="F129" i="34" s="1"/>
  <c r="E129" i="34" a="1"/>
  <c r="E129" i="34" s="1"/>
  <c r="D129" i="34" a="1"/>
  <c r="D129" i="34" s="1"/>
  <c r="F128" i="34" a="1"/>
  <c r="F128" i="34" s="1"/>
  <c r="E128" i="34" a="1"/>
  <c r="E128" i="34" s="1"/>
  <c r="D128" i="34" a="1"/>
  <c r="D128" i="34" s="1"/>
  <c r="F127" i="34" a="1"/>
  <c r="F127" i="34" s="1"/>
  <c r="E127" i="34" a="1"/>
  <c r="E127" i="34" s="1"/>
  <c r="D127" i="34" a="1"/>
  <c r="D127" i="34" s="1"/>
  <c r="F126" i="34" a="1"/>
  <c r="F126" i="34" s="1"/>
  <c r="E126" i="34" a="1"/>
  <c r="E126" i="34" s="1"/>
  <c r="D126" i="34" a="1"/>
  <c r="D126" i="34" s="1"/>
  <c r="F125" i="34" a="1"/>
  <c r="F125" i="34" s="1"/>
  <c r="E125" i="34" a="1"/>
  <c r="E125" i="34" s="1"/>
  <c r="D125" i="34" a="1"/>
  <c r="D125" i="34" s="1"/>
  <c r="F124" i="34" a="1"/>
  <c r="F124" i="34" s="1"/>
  <c r="E124" i="34" a="1"/>
  <c r="E124" i="34" s="1"/>
  <c r="D124" i="34" a="1"/>
  <c r="D124" i="34" s="1"/>
  <c r="F123" i="34" a="1"/>
  <c r="F123" i="34" s="1"/>
  <c r="E123" i="34" a="1"/>
  <c r="E123" i="34" s="1"/>
  <c r="D123" i="34" a="1"/>
  <c r="D123" i="34" s="1"/>
  <c r="F122" i="34" a="1"/>
  <c r="F122" i="34" s="1"/>
  <c r="E122" i="34" a="1"/>
  <c r="E122" i="34" s="1"/>
  <c r="D122" i="34" a="1"/>
  <c r="D122" i="34" s="1"/>
  <c r="F121" i="34" a="1"/>
  <c r="F121" i="34" s="1"/>
  <c r="E121" i="34" a="1"/>
  <c r="E121" i="34" s="1"/>
  <c r="D121" i="34" a="1"/>
  <c r="D121" i="34" s="1"/>
  <c r="F120" i="34" a="1"/>
  <c r="F120" i="34" s="1"/>
  <c r="E120" i="34" a="1"/>
  <c r="E120" i="34" s="1"/>
  <c r="D120" i="34" a="1"/>
  <c r="D120" i="34" s="1"/>
  <c r="F119" i="34" a="1"/>
  <c r="F119" i="34" s="1"/>
  <c r="E119" i="34" a="1"/>
  <c r="E119" i="34" s="1"/>
  <c r="D119" i="34" a="1"/>
  <c r="D119" i="34" s="1"/>
  <c r="F118" i="34" a="1"/>
  <c r="F118" i="34" s="1"/>
  <c r="E118" i="34" a="1"/>
  <c r="E118" i="34" s="1"/>
  <c r="D118" i="34" a="1"/>
  <c r="D118" i="34" s="1"/>
  <c r="F117" i="34" a="1"/>
  <c r="F117" i="34" s="1"/>
  <c r="E117" i="34" a="1"/>
  <c r="E117" i="34" s="1"/>
  <c r="D117" i="34" a="1"/>
  <c r="D117" i="34" s="1"/>
  <c r="F116" i="34" a="1"/>
  <c r="F116" i="34" s="1"/>
  <c r="E116" i="34" a="1"/>
  <c r="E116" i="34" s="1"/>
  <c r="D116" i="34" a="1"/>
  <c r="D116" i="34" s="1"/>
  <c r="F115" i="34" a="1"/>
  <c r="F115" i="34" s="1"/>
  <c r="E115" i="34" a="1"/>
  <c r="E115" i="34" s="1"/>
  <c r="D115" i="34" a="1"/>
  <c r="D115" i="34" s="1"/>
  <c r="F114" i="34" a="1"/>
  <c r="F114" i="34" s="1"/>
  <c r="E114" i="34" a="1"/>
  <c r="E114" i="34" s="1"/>
  <c r="D114" i="34" a="1"/>
  <c r="D114" i="34" s="1"/>
  <c r="F113" i="34" a="1"/>
  <c r="F113" i="34" s="1"/>
  <c r="E113" i="34" a="1"/>
  <c r="E113" i="34" s="1"/>
  <c r="D113" i="34" a="1"/>
  <c r="D113" i="34" s="1"/>
  <c r="F112" i="34" a="1"/>
  <c r="F112" i="34" s="1"/>
  <c r="E112" i="34" a="1"/>
  <c r="E112" i="34" s="1"/>
  <c r="D112" i="34" a="1"/>
  <c r="D112" i="34" s="1"/>
  <c r="F111" i="34" a="1"/>
  <c r="F111" i="34" s="1"/>
  <c r="E111" i="34" a="1"/>
  <c r="E111" i="34" s="1"/>
  <c r="D111" i="34" a="1"/>
  <c r="D111" i="34" s="1"/>
  <c r="F110" i="34" a="1"/>
  <c r="F110" i="34" s="1"/>
  <c r="E110" i="34" a="1"/>
  <c r="E110" i="34" s="1"/>
  <c r="D110" i="34" a="1"/>
  <c r="D110" i="34" s="1"/>
  <c r="F109" i="34" a="1"/>
  <c r="F109" i="34" s="1"/>
  <c r="E109" i="34" a="1"/>
  <c r="E109" i="34" s="1"/>
  <c r="D109" i="34" a="1"/>
  <c r="D109" i="34" s="1"/>
  <c r="F108" i="34" a="1"/>
  <c r="F108" i="34" s="1"/>
  <c r="E108" i="34" a="1"/>
  <c r="E108" i="34" s="1"/>
  <c r="D108" i="34" a="1"/>
  <c r="D108" i="34" s="1"/>
  <c r="F107" i="34" a="1"/>
  <c r="F107" i="34" s="1"/>
  <c r="E107" i="34" a="1"/>
  <c r="E107" i="34" s="1"/>
  <c r="D107" i="34" a="1"/>
  <c r="D107" i="34" s="1"/>
  <c r="F106" i="34" a="1"/>
  <c r="F106" i="34" s="1"/>
  <c r="E106" i="34" a="1"/>
  <c r="E106" i="34" s="1"/>
  <c r="D106" i="34" a="1"/>
  <c r="D106" i="34" s="1"/>
  <c r="F105" i="34" a="1"/>
  <c r="F105" i="34" s="1"/>
  <c r="E105" i="34" a="1"/>
  <c r="E105" i="34" s="1"/>
  <c r="D105" i="34" a="1"/>
  <c r="D105" i="34" s="1"/>
  <c r="F104" i="34" a="1"/>
  <c r="F104" i="34" s="1"/>
  <c r="E104" i="34" a="1"/>
  <c r="E104" i="34" s="1"/>
  <c r="D104" i="34" a="1"/>
  <c r="D104" i="34" s="1"/>
  <c r="F103" i="34" a="1"/>
  <c r="F103" i="34" s="1"/>
  <c r="E103" i="34" a="1"/>
  <c r="E103" i="34" s="1"/>
  <c r="D103" i="34" a="1"/>
  <c r="D103" i="34" s="1"/>
  <c r="F102" i="34" a="1"/>
  <c r="F102" i="34" s="1"/>
  <c r="E102" i="34" a="1"/>
  <c r="E102" i="34" s="1"/>
  <c r="D102" i="34" a="1"/>
  <c r="D102" i="34" s="1"/>
  <c r="F101" i="34" a="1"/>
  <c r="F101" i="34" s="1"/>
  <c r="E101" i="34" a="1"/>
  <c r="E101" i="34" s="1"/>
  <c r="D101" i="34" a="1"/>
  <c r="D101" i="34" s="1"/>
  <c r="F100" i="34" a="1"/>
  <c r="F100" i="34" s="1"/>
  <c r="E100" i="34" a="1"/>
  <c r="E100" i="34" s="1"/>
  <c r="D100" i="34" a="1"/>
  <c r="D100" i="34" s="1"/>
  <c r="F99" i="34" a="1"/>
  <c r="F99" i="34" s="1"/>
  <c r="E99" i="34" a="1"/>
  <c r="E99" i="34" s="1"/>
  <c r="D99" i="34" a="1"/>
  <c r="D99" i="34" s="1"/>
  <c r="F98" i="34" a="1"/>
  <c r="F98" i="34" s="1"/>
  <c r="E98" i="34" a="1"/>
  <c r="E98" i="34" s="1"/>
  <c r="D98" i="34" a="1"/>
  <c r="D98" i="34" s="1"/>
  <c r="F97" i="34" a="1"/>
  <c r="F97" i="34" s="1"/>
  <c r="E97" i="34" a="1"/>
  <c r="E97" i="34" s="1"/>
  <c r="D97" i="34" a="1"/>
  <c r="D97" i="34" s="1"/>
  <c r="F96" i="34" a="1"/>
  <c r="F96" i="34" s="1"/>
  <c r="E96" i="34" a="1"/>
  <c r="E96" i="34" s="1"/>
  <c r="D96" i="34" a="1"/>
  <c r="D96" i="34" s="1"/>
  <c r="F95" i="34" a="1"/>
  <c r="F95" i="34" s="1"/>
  <c r="E95" i="34" a="1"/>
  <c r="E95" i="34" s="1"/>
  <c r="D95" i="34" a="1"/>
  <c r="D95" i="34" s="1"/>
  <c r="F94" i="34" a="1"/>
  <c r="F94" i="34" s="1"/>
  <c r="E94" i="34" a="1"/>
  <c r="E94" i="34" s="1"/>
  <c r="D94" i="34" a="1"/>
  <c r="D94" i="34" s="1"/>
  <c r="F93" i="34" a="1"/>
  <c r="F93" i="34" s="1"/>
  <c r="E93" i="34" a="1"/>
  <c r="E93" i="34" s="1"/>
  <c r="D93" i="34" a="1"/>
  <c r="D93" i="34" s="1"/>
  <c r="F92" i="34" a="1"/>
  <c r="F92" i="34" s="1"/>
  <c r="E92" i="34" a="1"/>
  <c r="E92" i="34" s="1"/>
  <c r="D92" i="34" a="1"/>
  <c r="D92" i="34" s="1"/>
  <c r="F91" i="34" a="1"/>
  <c r="F91" i="34" s="1"/>
  <c r="E91" i="34" a="1"/>
  <c r="E91" i="34" s="1"/>
  <c r="D91" i="34" a="1"/>
  <c r="D91" i="34" s="1"/>
  <c r="F90" i="34" a="1"/>
  <c r="F90" i="34" s="1"/>
  <c r="E90" i="34" a="1"/>
  <c r="E90" i="34" s="1"/>
  <c r="D90" i="34" a="1"/>
  <c r="D90" i="34" s="1"/>
  <c r="F89" i="34" a="1"/>
  <c r="F89" i="34" s="1"/>
  <c r="E89" i="34" a="1"/>
  <c r="E89" i="34" s="1"/>
  <c r="D89" i="34" a="1"/>
  <c r="D89" i="34" s="1"/>
  <c r="F88" i="34" a="1"/>
  <c r="F88" i="34" s="1"/>
  <c r="E88" i="34" a="1"/>
  <c r="E88" i="34" s="1"/>
  <c r="D88" i="34" a="1"/>
  <c r="D88" i="34" s="1"/>
  <c r="F87" i="34" a="1"/>
  <c r="F87" i="34" s="1"/>
  <c r="E87" i="34" a="1"/>
  <c r="E87" i="34" s="1"/>
  <c r="D87" i="34" a="1"/>
  <c r="D87" i="34" s="1"/>
  <c r="F86" i="34" a="1"/>
  <c r="F86" i="34" s="1"/>
  <c r="E86" i="34" a="1"/>
  <c r="E86" i="34" s="1"/>
  <c r="D86" i="34" a="1"/>
  <c r="D86" i="34" s="1"/>
  <c r="F85" i="34" a="1"/>
  <c r="F85" i="34" s="1"/>
  <c r="E85" i="34" a="1"/>
  <c r="E85" i="34" s="1"/>
  <c r="D85" i="34" a="1"/>
  <c r="D85" i="34" s="1"/>
  <c r="F84" i="34" a="1"/>
  <c r="F84" i="34" s="1"/>
  <c r="E84" i="34" a="1"/>
  <c r="E84" i="34" s="1"/>
  <c r="D84" i="34" a="1"/>
  <c r="D84" i="34" s="1"/>
  <c r="F83" i="34" a="1"/>
  <c r="F83" i="34" s="1"/>
  <c r="E83" i="34" a="1"/>
  <c r="E83" i="34" s="1"/>
  <c r="D83" i="34" a="1"/>
  <c r="D83" i="34" s="1"/>
  <c r="F82" i="34" a="1"/>
  <c r="F82" i="34" s="1"/>
  <c r="E82" i="34" a="1"/>
  <c r="E82" i="34" s="1"/>
  <c r="D82" i="34" a="1"/>
  <c r="D82" i="34" s="1"/>
  <c r="F81" i="34" a="1"/>
  <c r="F81" i="34" s="1"/>
  <c r="E81" i="34" a="1"/>
  <c r="E81" i="34" s="1"/>
  <c r="D81" i="34" a="1"/>
  <c r="D81" i="34" s="1"/>
  <c r="F80" i="34" a="1"/>
  <c r="F80" i="34" s="1"/>
  <c r="E80" i="34" a="1"/>
  <c r="E80" i="34" s="1"/>
  <c r="D80" i="34" a="1"/>
  <c r="D80" i="34" s="1"/>
  <c r="F79" i="34" a="1"/>
  <c r="F79" i="34" s="1"/>
  <c r="E79" i="34" a="1"/>
  <c r="E79" i="34" s="1"/>
  <c r="D79" i="34" a="1"/>
  <c r="D79" i="34" s="1"/>
  <c r="F78" i="34" a="1"/>
  <c r="F78" i="34" s="1"/>
  <c r="E78" i="34" a="1"/>
  <c r="E78" i="34" s="1"/>
  <c r="D78" i="34" a="1"/>
  <c r="D78" i="34" s="1"/>
  <c r="F77" i="34" a="1"/>
  <c r="F77" i="34" s="1"/>
  <c r="E77" i="34" a="1"/>
  <c r="E77" i="34" s="1"/>
  <c r="D77" i="34" a="1"/>
  <c r="D77" i="34" s="1"/>
  <c r="F76" i="34" a="1"/>
  <c r="F76" i="34" s="1"/>
  <c r="E76" i="34" a="1"/>
  <c r="E76" i="34" s="1"/>
  <c r="D76" i="34" a="1"/>
  <c r="D76" i="34" s="1"/>
  <c r="F75" i="34" a="1"/>
  <c r="F75" i="34" s="1"/>
  <c r="E75" i="34" a="1"/>
  <c r="E75" i="34" s="1"/>
  <c r="D75" i="34" a="1"/>
  <c r="D75" i="34" s="1"/>
  <c r="F74" i="34" a="1"/>
  <c r="F74" i="34" s="1"/>
  <c r="E74" i="34" a="1"/>
  <c r="E74" i="34" s="1"/>
  <c r="D74" i="34" a="1"/>
  <c r="D74" i="34" s="1"/>
  <c r="F73" i="34" a="1"/>
  <c r="F73" i="34" s="1"/>
  <c r="E73" i="34" a="1"/>
  <c r="E73" i="34" s="1"/>
  <c r="D73" i="34" a="1"/>
  <c r="D73" i="34" s="1"/>
  <c r="F72" i="34" a="1"/>
  <c r="F72" i="34" s="1"/>
  <c r="E72" i="34" a="1"/>
  <c r="E72" i="34" s="1"/>
  <c r="D72" i="34" a="1"/>
  <c r="D72" i="34" s="1"/>
  <c r="F71" i="34" a="1"/>
  <c r="F71" i="34" s="1"/>
  <c r="E71" i="34" a="1"/>
  <c r="E71" i="34" s="1"/>
  <c r="D71" i="34" a="1"/>
  <c r="D71" i="34" s="1"/>
  <c r="F70" i="34" a="1"/>
  <c r="F70" i="34" s="1"/>
  <c r="E70" i="34" a="1"/>
  <c r="E70" i="34" s="1"/>
  <c r="D70" i="34" a="1"/>
  <c r="D70" i="34" s="1"/>
  <c r="F69" i="34" a="1"/>
  <c r="F69" i="34" s="1"/>
  <c r="E69" i="34" a="1"/>
  <c r="E69" i="34" s="1"/>
  <c r="D69" i="34" a="1"/>
  <c r="D69" i="34" s="1"/>
  <c r="F68" i="34" a="1"/>
  <c r="F68" i="34" s="1"/>
  <c r="E68" i="34" a="1"/>
  <c r="E68" i="34" s="1"/>
  <c r="D68" i="34" a="1"/>
  <c r="D68" i="34" s="1"/>
  <c r="F67" i="34" a="1"/>
  <c r="F67" i="34" s="1"/>
  <c r="E67" i="34" a="1"/>
  <c r="E67" i="34" s="1"/>
  <c r="D67" i="34" a="1"/>
  <c r="D67" i="34" s="1"/>
  <c r="F66" i="34" a="1"/>
  <c r="F66" i="34" s="1"/>
  <c r="E66" i="34" a="1"/>
  <c r="E66" i="34" s="1"/>
  <c r="D66" i="34" a="1"/>
  <c r="D66" i="34" s="1"/>
  <c r="F65" i="34" a="1"/>
  <c r="F65" i="34" s="1"/>
  <c r="E65" i="34" a="1"/>
  <c r="E65" i="34" s="1"/>
  <c r="D65" i="34" a="1"/>
  <c r="D65" i="34" s="1"/>
  <c r="F64" i="34" a="1"/>
  <c r="F64" i="34" s="1"/>
  <c r="E64" i="34" a="1"/>
  <c r="E64" i="34" s="1"/>
  <c r="D64" i="34" a="1"/>
  <c r="D64" i="34" s="1"/>
  <c r="F63" i="34" a="1"/>
  <c r="F63" i="34" s="1"/>
  <c r="E63" i="34" a="1"/>
  <c r="E63" i="34" s="1"/>
  <c r="D63" i="34" a="1"/>
  <c r="D63" i="34" s="1"/>
  <c r="F62" i="34" a="1"/>
  <c r="F62" i="34" s="1"/>
  <c r="E62" i="34" a="1"/>
  <c r="E62" i="34" s="1"/>
  <c r="D62" i="34" a="1"/>
  <c r="D62" i="34" s="1"/>
  <c r="F61" i="34" a="1"/>
  <c r="F61" i="34" s="1"/>
  <c r="E61" i="34" a="1"/>
  <c r="E61" i="34" s="1"/>
  <c r="D61" i="34" a="1"/>
  <c r="D61" i="34" s="1"/>
  <c r="F60" i="34" a="1"/>
  <c r="F60" i="34" s="1"/>
  <c r="E60" i="34" a="1"/>
  <c r="E60" i="34" s="1"/>
  <c r="D60" i="34" a="1"/>
  <c r="D60" i="34" s="1"/>
  <c r="F59" i="34" a="1"/>
  <c r="F59" i="34" s="1"/>
  <c r="E59" i="34" a="1"/>
  <c r="E59" i="34" s="1"/>
  <c r="D59" i="34" a="1"/>
  <c r="D59" i="34" s="1"/>
  <c r="F58" i="34" a="1"/>
  <c r="F58" i="34" s="1"/>
  <c r="E58" i="34" a="1"/>
  <c r="E58" i="34" s="1"/>
  <c r="D58" i="34" a="1"/>
  <c r="D58" i="34" s="1"/>
  <c r="F57" i="34" a="1"/>
  <c r="F57" i="34" s="1"/>
  <c r="E57" i="34" a="1"/>
  <c r="E57" i="34" s="1"/>
  <c r="D57" i="34" a="1"/>
  <c r="D57" i="34" s="1"/>
  <c r="F56" i="34" a="1"/>
  <c r="F56" i="34" s="1"/>
  <c r="E56" i="34" a="1"/>
  <c r="E56" i="34" s="1"/>
  <c r="D56" i="34" a="1"/>
  <c r="D56" i="34" s="1"/>
  <c r="F55" i="34" a="1"/>
  <c r="F55" i="34" s="1"/>
  <c r="E55" i="34" a="1"/>
  <c r="E55" i="34" s="1"/>
  <c r="D55" i="34" a="1"/>
  <c r="D55" i="34" s="1"/>
  <c r="F54" i="34" a="1"/>
  <c r="F54" i="34" s="1"/>
  <c r="E54" i="34" a="1"/>
  <c r="E54" i="34" s="1"/>
  <c r="D54" i="34" a="1"/>
  <c r="D54" i="34" s="1"/>
  <c r="F53" i="34" a="1"/>
  <c r="F53" i="34" s="1"/>
  <c r="E53" i="34" a="1"/>
  <c r="E53" i="34" s="1"/>
  <c r="D53" i="34" a="1"/>
  <c r="D53" i="34" s="1"/>
  <c r="F52" i="34" a="1"/>
  <c r="F52" i="34" s="1"/>
  <c r="E52" i="34" a="1"/>
  <c r="E52" i="34" s="1"/>
  <c r="D52" i="34" a="1"/>
  <c r="D52" i="34" s="1"/>
  <c r="F51" i="34" a="1"/>
  <c r="F51" i="34" s="1"/>
  <c r="E51" i="34" a="1"/>
  <c r="E51" i="34" s="1"/>
  <c r="D51" i="34" a="1"/>
  <c r="D51" i="34" s="1"/>
  <c r="F50" i="34" a="1"/>
  <c r="F50" i="34" s="1"/>
  <c r="E50" i="34" a="1"/>
  <c r="E50" i="34" s="1"/>
  <c r="D50" i="34" a="1"/>
  <c r="D50" i="34" s="1"/>
  <c r="F49" i="34" a="1"/>
  <c r="F49" i="34" s="1"/>
  <c r="E49" i="34" a="1"/>
  <c r="E49" i="34" s="1"/>
  <c r="D49" i="34" a="1"/>
  <c r="D49" i="34" s="1"/>
  <c r="F48" i="34" a="1"/>
  <c r="F48" i="34" s="1"/>
  <c r="E48" i="34" a="1"/>
  <c r="E48" i="34" s="1"/>
  <c r="D48" i="34" a="1"/>
  <c r="D48" i="34" s="1"/>
  <c r="F47" i="34" a="1"/>
  <c r="F47" i="34" s="1"/>
  <c r="E47" i="34" a="1"/>
  <c r="E47" i="34" s="1"/>
  <c r="D47" i="34" a="1"/>
  <c r="D47" i="34" s="1"/>
  <c r="F46" i="34" a="1"/>
  <c r="F46" i="34" s="1"/>
  <c r="E46" i="34" a="1"/>
  <c r="E46" i="34" s="1"/>
  <c r="D46" i="34" a="1"/>
  <c r="D46" i="34" s="1"/>
  <c r="F45" i="34" a="1"/>
  <c r="F45" i="34" s="1"/>
  <c r="E45" i="34" a="1"/>
  <c r="E45" i="34" s="1"/>
  <c r="D45" i="34" a="1"/>
  <c r="D45" i="34" s="1"/>
  <c r="F44" i="34" a="1"/>
  <c r="F44" i="34" s="1"/>
  <c r="E44" i="34" a="1"/>
  <c r="E44" i="34" s="1"/>
  <c r="D44" i="34" a="1"/>
  <c r="D44" i="34" s="1"/>
  <c r="F43" i="34" a="1"/>
  <c r="F43" i="34" s="1"/>
  <c r="E43" i="34" a="1"/>
  <c r="E43" i="34" s="1"/>
  <c r="D43" i="34" a="1"/>
  <c r="D43" i="34" s="1"/>
  <c r="F42" i="34" a="1"/>
  <c r="F42" i="34" s="1"/>
  <c r="E42" i="34" a="1"/>
  <c r="E42" i="34" s="1"/>
  <c r="D42" i="34" a="1"/>
  <c r="D42" i="34" s="1"/>
  <c r="F41" i="34" a="1"/>
  <c r="F41" i="34" s="1"/>
  <c r="E41" i="34" a="1"/>
  <c r="E41" i="34" s="1"/>
  <c r="D41" i="34" a="1"/>
  <c r="D41" i="34" s="1"/>
  <c r="F40" i="34" a="1"/>
  <c r="F40" i="34" s="1"/>
  <c r="E40" i="34" a="1"/>
  <c r="E40" i="34" s="1"/>
  <c r="D40" i="34" a="1"/>
  <c r="D40" i="34" s="1"/>
  <c r="F39" i="34" a="1"/>
  <c r="F39" i="34" s="1"/>
  <c r="E39" i="34" a="1"/>
  <c r="E39" i="34" s="1"/>
  <c r="D39" i="34" a="1"/>
  <c r="D39" i="34" s="1"/>
  <c r="F38" i="34" a="1"/>
  <c r="F38" i="34" s="1"/>
  <c r="E38" i="34" a="1"/>
  <c r="E38" i="34" s="1"/>
  <c r="D38" i="34" a="1"/>
  <c r="D38" i="34" s="1"/>
  <c r="F37" i="34" a="1"/>
  <c r="F37" i="34" s="1"/>
  <c r="E37" i="34" a="1"/>
  <c r="E37" i="34" s="1"/>
  <c r="D37" i="34" a="1"/>
  <c r="D37" i="34" s="1"/>
  <c r="F36" i="34" a="1"/>
  <c r="F36" i="34" s="1"/>
  <c r="E36" i="34" a="1"/>
  <c r="E36" i="34" s="1"/>
  <c r="D36" i="34" a="1"/>
  <c r="D36" i="34" s="1"/>
  <c r="I100" i="29"/>
  <c r="I99" i="29"/>
  <c r="I98" i="29"/>
  <c r="I97" i="29"/>
  <c r="I96" i="29"/>
  <c r="I95" i="29"/>
  <c r="I94" i="29"/>
  <c r="I93" i="29"/>
  <c r="I92" i="29"/>
  <c r="I91" i="29"/>
  <c r="I90" i="29"/>
  <c r="I89" i="29"/>
  <c r="I88" i="29"/>
  <c r="I87" i="29"/>
  <c r="I86" i="29"/>
  <c r="I85" i="29"/>
  <c r="I84" i="29"/>
  <c r="I83" i="29"/>
  <c r="I82" i="29"/>
  <c r="I81" i="29"/>
  <c r="I80" i="29"/>
  <c r="I79" i="29"/>
  <c r="I78" i="29"/>
  <c r="I77" i="29"/>
  <c r="I76" i="29"/>
  <c r="I75" i="29"/>
  <c r="I74" i="29"/>
  <c r="I73" i="29"/>
  <c r="I72" i="29"/>
  <c r="I71" i="29"/>
  <c r="I70" i="29"/>
  <c r="I69" i="29"/>
  <c r="I68" i="29"/>
  <c r="I67" i="29"/>
  <c r="I66" i="29"/>
  <c r="I65" i="29"/>
  <c r="I64" i="29"/>
  <c r="I63" i="29"/>
  <c r="I62" i="29"/>
  <c r="I61" i="29"/>
  <c r="I60" i="29"/>
  <c r="I59" i="29"/>
  <c r="I58" i="29"/>
  <c r="I57" i="29"/>
  <c r="I56" i="29"/>
  <c r="I55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C12" i="29"/>
  <c r="C10" i="27" l="1" a="1"/>
  <c r="C10" i="27" s="1"/>
  <c r="C8" i="34" a="1"/>
  <c r="C8" i="34" s="1"/>
  <c r="C14" i="33" a="1"/>
  <c r="C14" i="33" s="1"/>
  <c r="B8" i="34" a="1"/>
  <c r="B8" i="34" s="1"/>
  <c r="B14" i="33" a="1"/>
  <c r="B14" i="33" s="1"/>
  <c r="B10" i="27" a="1"/>
  <c r="B10" i="27" s="1"/>
  <c r="B5" i="34"/>
  <c r="B5" i="33"/>
  <c r="D9" i="27" a="1"/>
  <c r="D9" i="27" s="1"/>
  <c r="F9" i="29" a="1"/>
  <c r="B5" i="29"/>
  <c r="B14" i="29"/>
  <c r="E9" i="29" a="1"/>
  <c r="E9" i="29" s="1"/>
  <c r="G142" i="34"/>
  <c r="G155" i="34"/>
  <c r="G97" i="34"/>
  <c r="G154" i="34"/>
  <c r="G107" i="34"/>
  <c r="G75" i="34"/>
  <c r="G85" i="34"/>
  <c r="G96" i="34"/>
  <c r="G160" i="34"/>
  <c r="G104" i="34"/>
  <c r="G124" i="34"/>
  <c r="G134" i="34"/>
  <c r="G111" i="34"/>
  <c r="G132" i="34"/>
  <c r="G158" i="34"/>
  <c r="G116" i="34"/>
  <c r="G126" i="34"/>
  <c r="G152" i="34"/>
  <c r="G60" i="34"/>
  <c r="G90" i="34"/>
  <c r="G110" i="34"/>
  <c r="G113" i="34"/>
  <c r="G123" i="34"/>
  <c r="G146" i="34"/>
  <c r="G78" i="34"/>
  <c r="G108" i="34"/>
  <c r="G95" i="34"/>
  <c r="G105" i="34"/>
  <c r="G54" i="34"/>
  <c r="G122" i="34"/>
  <c r="G81" i="34"/>
  <c r="G94" i="34"/>
  <c r="G59" i="34"/>
  <c r="G62" i="34"/>
  <c r="G143" i="34"/>
  <c r="G137" i="34"/>
  <c r="G147" i="34"/>
  <c r="G86" i="34"/>
  <c r="G141" i="34"/>
  <c r="G157" i="34"/>
  <c r="G57" i="34"/>
  <c r="G125" i="34"/>
  <c r="G131" i="34"/>
  <c r="G39" i="34"/>
  <c r="G51" i="34"/>
  <c r="G66" i="34"/>
  <c r="G73" i="34"/>
  <c r="G76" i="34"/>
  <c r="G83" i="34"/>
  <c r="G89" i="34"/>
  <c r="G92" i="34"/>
  <c r="G118" i="34"/>
  <c r="G121" i="34"/>
  <c r="G148" i="34"/>
  <c r="G151" i="34"/>
  <c r="G156" i="34"/>
  <c r="G36" i="34"/>
  <c r="G42" i="34"/>
  <c r="G45" i="34"/>
  <c r="G48" i="34"/>
  <c r="G64" i="34"/>
  <c r="G67" i="34"/>
  <c r="G70" i="34"/>
  <c r="G80" i="34"/>
  <c r="G99" i="34"/>
  <c r="G115" i="34"/>
  <c r="G128" i="34"/>
  <c r="G140" i="34"/>
  <c r="G106" i="34"/>
  <c r="G109" i="34"/>
  <c r="G112" i="34"/>
  <c r="G55" i="34"/>
  <c r="G74" i="34"/>
  <c r="G87" i="34"/>
  <c r="G93" i="34"/>
  <c r="G103" i="34"/>
  <c r="G119" i="34"/>
  <c r="G138" i="34"/>
  <c r="G149" i="34"/>
  <c r="G37" i="34"/>
  <c r="G40" i="34"/>
  <c r="G46" i="34"/>
  <c r="G49" i="34"/>
  <c r="G52" i="34"/>
  <c r="G65" i="34"/>
  <c r="G68" i="34"/>
  <c r="G71" i="34"/>
  <c r="G84" i="34"/>
  <c r="G100" i="34"/>
  <c r="G129" i="34"/>
  <c r="G135" i="34"/>
  <c r="G150" i="34"/>
  <c r="G38" i="34"/>
  <c r="G41" i="34"/>
  <c r="G44" i="34"/>
  <c r="G47" i="34"/>
  <c r="G50" i="34"/>
  <c r="G53" i="34"/>
  <c r="G69" i="34"/>
  <c r="G82" i="34"/>
  <c r="G88" i="34"/>
  <c r="G91" i="34"/>
  <c r="G101" i="34"/>
  <c r="G117" i="34"/>
  <c r="G120" i="34"/>
  <c r="G136" i="34"/>
  <c r="G139" i="34"/>
  <c r="G144" i="34"/>
  <c r="G72" i="34"/>
  <c r="G114" i="34"/>
  <c r="G130" i="34"/>
  <c r="G133" i="34"/>
  <c r="G145" i="34"/>
  <c r="G159" i="34"/>
  <c r="G102" i="34"/>
  <c r="G58" i="34"/>
  <c r="G77" i="34"/>
  <c r="G61" i="34"/>
  <c r="G43" i="34"/>
  <c r="G56" i="34"/>
  <c r="G63" i="34"/>
  <c r="G79" i="34"/>
  <c r="G98" i="34"/>
  <c r="G127" i="34"/>
  <c r="G153" i="34"/>
  <c r="CZ7" i="27"/>
  <c r="CY7" i="27"/>
  <c r="CX7" i="27"/>
  <c r="CW7" i="27"/>
  <c r="CV7" i="27"/>
  <c r="CU7" i="27"/>
  <c r="CT7" i="27"/>
  <c r="CS7" i="27"/>
  <c r="CR7" i="27"/>
  <c r="CQ7" i="27"/>
  <c r="CP7" i="27"/>
  <c r="CO7" i="27"/>
  <c r="CN7" i="27"/>
  <c r="CM7" i="27"/>
  <c r="CL7" i="27"/>
  <c r="CK7" i="27"/>
  <c r="CJ7" i="27"/>
  <c r="CI7" i="27"/>
  <c r="CH7" i="27"/>
  <c r="CG7" i="27"/>
  <c r="CF7" i="27"/>
  <c r="CE7" i="27"/>
  <c r="CD7" i="27"/>
  <c r="CC7" i="27"/>
  <c r="CB7" i="27"/>
  <c r="CA7" i="27"/>
  <c r="BZ7" i="27"/>
  <c r="BY7" i="27"/>
  <c r="BX7" i="27"/>
  <c r="BW7" i="27"/>
  <c r="BV7" i="27"/>
  <c r="BU7" i="27"/>
  <c r="BT7" i="27"/>
  <c r="BS7" i="27"/>
  <c r="BR7" i="27"/>
  <c r="BQ7" i="27"/>
  <c r="BP7" i="27"/>
  <c r="BO7" i="27"/>
  <c r="BN7" i="27"/>
  <c r="BM7" i="27"/>
  <c r="BL7" i="27"/>
  <c r="BK7" i="27"/>
  <c r="BJ7" i="27"/>
  <c r="BI7" i="27"/>
  <c r="BH7" i="27"/>
  <c r="BG7" i="27"/>
  <c r="BF7" i="27"/>
  <c r="BE7" i="27"/>
  <c r="BD7" i="27"/>
  <c r="BC7" i="27"/>
  <c r="BB7" i="27"/>
  <c r="BA7" i="27"/>
  <c r="AZ7" i="27"/>
  <c r="AY7" i="27"/>
  <c r="AX7" i="27"/>
  <c r="AW7" i="27"/>
  <c r="AV7" i="27"/>
  <c r="AU7" i="27"/>
  <c r="AT7" i="27"/>
  <c r="AS7" i="27"/>
  <c r="AR7" i="27"/>
  <c r="AQ7" i="27"/>
  <c r="AP7" i="27"/>
  <c r="AO7" i="27"/>
  <c r="AN7" i="27"/>
  <c r="AM7" i="27"/>
  <c r="AL7" i="27"/>
  <c r="AK7" i="27"/>
  <c r="AJ7" i="27"/>
  <c r="AI7" i="27"/>
  <c r="AH7" i="27"/>
  <c r="AG7" i="27"/>
  <c r="AF7" i="27"/>
  <c r="AE7" i="27"/>
  <c r="AD7" i="27"/>
  <c r="AC7" i="27"/>
  <c r="AB7" i="27"/>
  <c r="AA7" i="27"/>
  <c r="Z7" i="27"/>
  <c r="Y7" i="27"/>
  <c r="X7" i="27"/>
  <c r="W7" i="27"/>
  <c r="V7" i="27"/>
  <c r="CZ8" i="27"/>
  <c r="CY8" i="27"/>
  <c r="CX8" i="27"/>
  <c r="CW8" i="27"/>
  <c r="CV8" i="27"/>
  <c r="CU8" i="27"/>
  <c r="CT8" i="27"/>
  <c r="CS8" i="27"/>
  <c r="CR8" i="27"/>
  <c r="CQ8" i="27"/>
  <c r="CP8" i="27"/>
  <c r="CO8" i="27"/>
  <c r="CN8" i="27"/>
  <c r="CM8" i="27"/>
  <c r="CL8" i="27"/>
  <c r="CK8" i="27"/>
  <c r="CJ8" i="27"/>
  <c r="CI8" i="27"/>
  <c r="CH8" i="27"/>
  <c r="CG8" i="27"/>
  <c r="CF8" i="27"/>
  <c r="CE8" i="27"/>
  <c r="CD8" i="27"/>
  <c r="CC8" i="27"/>
  <c r="CB8" i="27"/>
  <c r="CA8" i="27"/>
  <c r="BZ8" i="27"/>
  <c r="BY8" i="27"/>
  <c r="BX8" i="27"/>
  <c r="BW8" i="27"/>
  <c r="BV8" i="27"/>
  <c r="BU8" i="27"/>
  <c r="BT8" i="27"/>
  <c r="BS8" i="27"/>
  <c r="BR8" i="27"/>
  <c r="BQ8" i="27"/>
  <c r="BP8" i="27"/>
  <c r="BO8" i="27"/>
  <c r="BN8" i="27"/>
  <c r="BM8" i="27"/>
  <c r="BL8" i="27"/>
  <c r="BK8" i="27"/>
  <c r="BJ8" i="27"/>
  <c r="BI8" i="27"/>
  <c r="BH8" i="27"/>
  <c r="BG8" i="27"/>
  <c r="BF8" i="27"/>
  <c r="BE8" i="27"/>
  <c r="BD8" i="27"/>
  <c r="BC8" i="27"/>
  <c r="BB8" i="27"/>
  <c r="BA8" i="27"/>
  <c r="AZ8" i="27"/>
  <c r="AY8" i="27"/>
  <c r="AX8" i="27"/>
  <c r="AW8" i="27"/>
  <c r="AV8" i="27"/>
  <c r="AU8" i="27"/>
  <c r="AT8" i="27"/>
  <c r="AS8" i="27"/>
  <c r="AR8" i="27"/>
  <c r="AQ8" i="27"/>
  <c r="AP8" i="27"/>
  <c r="AO8" i="27"/>
  <c r="AN8" i="27"/>
  <c r="AM8" i="27"/>
  <c r="AL8" i="27"/>
  <c r="AK8" i="27"/>
  <c r="AJ8" i="27"/>
  <c r="AI8" i="27"/>
  <c r="AH8" i="27"/>
  <c r="AG8" i="27"/>
  <c r="AF8" i="27"/>
  <c r="AE8" i="27"/>
  <c r="AD8" i="27"/>
  <c r="AC8" i="27"/>
  <c r="AB8" i="27"/>
  <c r="AA8" i="27"/>
  <c r="Z8" i="27"/>
  <c r="Y8" i="27"/>
  <c r="X8" i="27"/>
  <c r="W8" i="27"/>
  <c r="V8" i="27"/>
  <c r="CZ7" i="33"/>
  <c r="CY7" i="33"/>
  <c r="CX7" i="33"/>
  <c r="CW7" i="33"/>
  <c r="CV7" i="33"/>
  <c r="CU7" i="33"/>
  <c r="CT7" i="33"/>
  <c r="CS7" i="33"/>
  <c r="CR7" i="33"/>
  <c r="CQ7" i="33"/>
  <c r="CP7" i="33"/>
  <c r="CO7" i="33"/>
  <c r="CN7" i="33"/>
  <c r="CM7" i="33"/>
  <c r="CL7" i="33"/>
  <c r="CK7" i="33"/>
  <c r="CJ7" i="33"/>
  <c r="CI7" i="33"/>
  <c r="CH7" i="33"/>
  <c r="CG7" i="33"/>
  <c r="CF7" i="33"/>
  <c r="CE7" i="33"/>
  <c r="CD7" i="33"/>
  <c r="CC7" i="33"/>
  <c r="CB7" i="33"/>
  <c r="CA7" i="33"/>
  <c r="BZ7" i="33"/>
  <c r="BY7" i="33"/>
  <c r="BX7" i="33"/>
  <c r="BW7" i="33"/>
  <c r="BV7" i="33"/>
  <c r="BU7" i="33"/>
  <c r="BT7" i="33"/>
  <c r="BS7" i="33"/>
  <c r="BR7" i="33"/>
  <c r="BQ7" i="33"/>
  <c r="BP7" i="33"/>
  <c r="BO7" i="33"/>
  <c r="BN7" i="33"/>
  <c r="BM7" i="33"/>
  <c r="BL7" i="33"/>
  <c r="BK7" i="33"/>
  <c r="BJ7" i="33"/>
  <c r="BI7" i="33"/>
  <c r="BH7" i="33"/>
  <c r="BG7" i="33"/>
  <c r="BF7" i="33"/>
  <c r="BE7" i="33"/>
  <c r="BD7" i="33"/>
  <c r="BC7" i="33"/>
  <c r="BB7" i="33"/>
  <c r="BA7" i="33"/>
  <c r="AZ7" i="33"/>
  <c r="AY7" i="33"/>
  <c r="AX7" i="33"/>
  <c r="AW7" i="33"/>
  <c r="AV7" i="33"/>
  <c r="AU7" i="33"/>
  <c r="AT7" i="33"/>
  <c r="AS7" i="33"/>
  <c r="AR7" i="33"/>
  <c r="AQ7" i="33"/>
  <c r="AP7" i="33"/>
  <c r="AO7" i="33"/>
  <c r="AN7" i="33"/>
  <c r="AM7" i="33"/>
  <c r="AL7" i="33"/>
  <c r="AK7" i="33"/>
  <c r="AJ7" i="33"/>
  <c r="AI7" i="33"/>
  <c r="AH7" i="33"/>
  <c r="AG7" i="33"/>
  <c r="AF7" i="33"/>
  <c r="AE7" i="33"/>
  <c r="AD7" i="33"/>
  <c r="AC7" i="33"/>
  <c r="AB7" i="33"/>
  <c r="AA7" i="33"/>
  <c r="Z7" i="33"/>
  <c r="Y7" i="33"/>
  <c r="X7" i="33"/>
  <c r="W7" i="33"/>
  <c r="V7" i="33"/>
  <c r="CZ8" i="33"/>
  <c r="CY8" i="33"/>
  <c r="CX8" i="33"/>
  <c r="CW8" i="33"/>
  <c r="CV8" i="33"/>
  <c r="CU8" i="33"/>
  <c r="CT8" i="33"/>
  <c r="CS8" i="33"/>
  <c r="CR8" i="33"/>
  <c r="CQ8" i="33"/>
  <c r="CP8" i="33"/>
  <c r="CO8" i="33"/>
  <c r="CN8" i="33"/>
  <c r="CM8" i="33"/>
  <c r="CL8" i="33"/>
  <c r="CK8" i="33"/>
  <c r="CJ8" i="33"/>
  <c r="CI8" i="33"/>
  <c r="CH8" i="33"/>
  <c r="CG8" i="33"/>
  <c r="CF8" i="33"/>
  <c r="CE8" i="33"/>
  <c r="CD8" i="33"/>
  <c r="CC8" i="33"/>
  <c r="CB8" i="33"/>
  <c r="CA8" i="33"/>
  <c r="BZ8" i="33"/>
  <c r="BY8" i="33"/>
  <c r="BX8" i="33"/>
  <c r="BW8" i="33"/>
  <c r="BV8" i="33"/>
  <c r="BU8" i="33"/>
  <c r="BT8" i="33"/>
  <c r="BS8" i="33"/>
  <c r="BR8" i="33"/>
  <c r="BQ8" i="33"/>
  <c r="BP8" i="33"/>
  <c r="BO8" i="33"/>
  <c r="BN8" i="33"/>
  <c r="BM8" i="33"/>
  <c r="BL8" i="33"/>
  <c r="BK8" i="33"/>
  <c r="BJ8" i="33"/>
  <c r="BI8" i="33"/>
  <c r="BH8" i="33"/>
  <c r="BG8" i="33"/>
  <c r="BF8" i="33"/>
  <c r="BE8" i="33"/>
  <c r="BD8" i="33"/>
  <c r="BC8" i="33"/>
  <c r="BB8" i="33"/>
  <c r="BA8" i="33"/>
  <c r="AZ8" i="33"/>
  <c r="AY8" i="33"/>
  <c r="AX8" i="33"/>
  <c r="AW8" i="33"/>
  <c r="AV8" i="33"/>
  <c r="AU8" i="33"/>
  <c r="AT8" i="33"/>
  <c r="AS8" i="33"/>
  <c r="AR8" i="33"/>
  <c r="AQ8" i="33"/>
  <c r="AP8" i="33"/>
  <c r="AO8" i="33"/>
  <c r="AN8" i="33"/>
  <c r="AM8" i="33"/>
  <c r="AL8" i="33"/>
  <c r="AK8" i="33"/>
  <c r="AJ8" i="33"/>
  <c r="AI8" i="33"/>
  <c r="AH8" i="33"/>
  <c r="AG8" i="33"/>
  <c r="AF8" i="33"/>
  <c r="AE8" i="33"/>
  <c r="AD8" i="33"/>
  <c r="AC8" i="33"/>
  <c r="AB8" i="33"/>
  <c r="AA8" i="33"/>
  <c r="Z8" i="33"/>
  <c r="Y8" i="33"/>
  <c r="X8" i="33"/>
  <c r="W8" i="33"/>
  <c r="V8" i="33"/>
  <c r="F9" i="29" l="1"/>
  <c r="I13" i="29"/>
  <c r="I25" i="29"/>
  <c r="I16" i="29"/>
  <c r="I9" i="29"/>
  <c r="I21" i="29"/>
  <c r="L9" i="29"/>
  <c r="I18" i="29"/>
  <c r="I26" i="29"/>
  <c r="I23" i="29"/>
  <c r="I17" i="29"/>
  <c r="I15" i="29"/>
  <c r="I12" i="29"/>
  <c r="I14" i="29"/>
  <c r="I22" i="29"/>
  <c r="I24" i="29"/>
  <c r="I11" i="29"/>
  <c r="I20" i="29"/>
  <c r="I19" i="29"/>
  <c r="I10" i="29"/>
  <c r="L8" i="27"/>
  <c r="G7" i="27"/>
  <c r="T7" i="27"/>
  <c r="K8" i="27"/>
  <c r="Q8" i="27"/>
  <c r="E7" i="27"/>
  <c r="F7" i="27"/>
  <c r="R8" i="27"/>
  <c r="H7" i="27"/>
  <c r="S8" i="27"/>
  <c r="I7" i="27"/>
  <c r="T8" i="27"/>
  <c r="J7" i="27"/>
  <c r="G8" i="27"/>
  <c r="U8" i="27"/>
  <c r="O7" i="27"/>
  <c r="H8" i="27"/>
  <c r="Q7" i="27"/>
  <c r="I8" i="27"/>
  <c r="R7" i="27"/>
  <c r="J8" i="27"/>
  <c r="S7" i="27"/>
  <c r="P7" i="27"/>
  <c r="M8" i="27"/>
  <c r="K7" i="27"/>
  <c r="U7" i="27"/>
  <c r="N8" i="27"/>
  <c r="L7" i="27"/>
  <c r="E8" i="27"/>
  <c r="O8" i="27"/>
  <c r="M7" i="27"/>
  <c r="F8" i="27"/>
  <c r="P8" i="27"/>
  <c r="N7" i="27"/>
  <c r="CZ11" i="33"/>
  <c r="CY11" i="33"/>
  <c r="CX11" i="33"/>
  <c r="CW11" i="33"/>
  <c r="CV11" i="33"/>
  <c r="CU11" i="33"/>
  <c r="CT11" i="33"/>
  <c r="CS11" i="33"/>
  <c r="CR11" i="33"/>
  <c r="CQ11" i="33"/>
  <c r="CP11" i="33"/>
  <c r="CO11" i="33"/>
  <c r="CN11" i="33"/>
  <c r="CM11" i="33"/>
  <c r="CL11" i="33"/>
  <c r="CK11" i="33"/>
  <c r="CJ11" i="33"/>
  <c r="CI11" i="33"/>
  <c r="CH11" i="33"/>
  <c r="CG11" i="33"/>
  <c r="CF11" i="33"/>
  <c r="CE11" i="33"/>
  <c r="CD11" i="33"/>
  <c r="CC11" i="33"/>
  <c r="CB11" i="33"/>
  <c r="CA11" i="33"/>
  <c r="BZ11" i="33"/>
  <c r="BY11" i="33"/>
  <c r="BX11" i="33"/>
  <c r="BW11" i="33"/>
  <c r="BV11" i="33"/>
  <c r="BU11" i="33"/>
  <c r="BT11" i="33"/>
  <c r="BS11" i="33"/>
  <c r="BR11" i="33"/>
  <c r="BQ11" i="33"/>
  <c r="BP11" i="33"/>
  <c r="BO11" i="33"/>
  <c r="BN11" i="33"/>
  <c r="BM11" i="33"/>
  <c r="BL11" i="33"/>
  <c r="BK11" i="33"/>
  <c r="BJ11" i="33"/>
  <c r="BI11" i="33"/>
  <c r="BH11" i="33"/>
  <c r="BG11" i="33"/>
  <c r="BF11" i="33"/>
  <c r="BE11" i="33"/>
  <c r="BD11" i="33"/>
  <c r="BC11" i="33"/>
  <c r="BB11" i="33"/>
  <c r="BA11" i="33"/>
  <c r="AZ11" i="33"/>
  <c r="AY11" i="33"/>
  <c r="AX11" i="33"/>
  <c r="AW11" i="33"/>
  <c r="AV11" i="33"/>
  <c r="AU11" i="33"/>
  <c r="AT11" i="33"/>
  <c r="AS11" i="33"/>
  <c r="AR11" i="33"/>
  <c r="AQ11" i="33"/>
  <c r="AP11" i="33"/>
  <c r="AO11" i="33"/>
  <c r="AN11" i="33"/>
  <c r="AM11" i="33"/>
  <c r="AL11" i="33"/>
  <c r="AK11" i="33"/>
  <c r="AJ11" i="33"/>
  <c r="AI11" i="33"/>
  <c r="AH11" i="33"/>
  <c r="AG11" i="33"/>
  <c r="AF11" i="33"/>
  <c r="AE11" i="33"/>
  <c r="AD11" i="33"/>
  <c r="AC11" i="33"/>
  <c r="AB11" i="33"/>
  <c r="AA11" i="33"/>
  <c r="Z11" i="33"/>
  <c r="Y11" i="33"/>
  <c r="X11" i="33"/>
  <c r="W11" i="33"/>
  <c r="V11" i="33"/>
  <c r="B3" i="20" a="1"/>
  <c r="B3" i="20" s="1"/>
  <c r="L11" i="29" l="1"/>
  <c r="L10" i="29"/>
  <c r="K14" i="29" l="1" a="1"/>
  <c r="K14" i="29" s="1"/>
  <c r="L12" i="29"/>
  <c r="A1" i="29" s="1"/>
  <c r="D9" i="33" s="1" a="1"/>
  <c r="D9" i="33" l="1"/>
  <c r="R7" i="33"/>
  <c r="G7" i="33"/>
  <c r="T7" i="33"/>
  <c r="G8" i="33"/>
  <c r="G11" i="33" s="1"/>
  <c r="H7" i="33"/>
  <c r="Q8" i="33"/>
  <c r="Q11" i="33" s="1"/>
  <c r="F8" i="33"/>
  <c r="F11" i="33" s="1"/>
  <c r="O8" i="33"/>
  <c r="O11" i="33" s="1"/>
  <c r="O7" i="33"/>
  <c r="S8" i="33"/>
  <c r="S11" i="33" s="1"/>
  <c r="Q7" i="33"/>
  <c r="L8" i="33"/>
  <c r="L11" i="33" s="1"/>
  <c r="J8" i="33"/>
  <c r="J11" i="33" s="1"/>
  <c r="M7" i="33"/>
  <c r="U8" i="33"/>
  <c r="U11" i="33" s="1"/>
  <c r="N7" i="33"/>
  <c r="K8" i="33"/>
  <c r="K11" i="33" s="1"/>
  <c r="T8" i="33"/>
  <c r="T11" i="33" s="1"/>
  <c r="L7" i="33"/>
  <c r="K7" i="33"/>
  <c r="M8" i="33"/>
  <c r="M11" i="33" s="1"/>
  <c r="N8" i="33"/>
  <c r="N11" i="33" s="1"/>
  <c r="U7" i="33"/>
  <c r="E8" i="33"/>
  <c r="E11" i="33" s="1"/>
  <c r="P8" i="33"/>
  <c r="P11" i="33" s="1"/>
  <c r="P7" i="33"/>
  <c r="I8" i="33"/>
  <c r="I11" i="33" s="1"/>
  <c r="S7" i="33"/>
  <c r="I7" i="33"/>
  <c r="R8" i="33"/>
  <c r="R11" i="33" s="1"/>
  <c r="J7" i="33"/>
  <c r="F7" i="33"/>
  <c r="E7" i="33"/>
  <c r="H8" i="33"/>
  <c r="H11" i="33" s="1"/>
  <c r="D7" i="27"/>
  <c r="BO45" i="33" a="1"/>
  <c r="BO45" i="33" s="1"/>
  <c r="D8" i="27"/>
  <c r="Z45" i="33" s="1" a="1"/>
  <c r="Z45" i="33" s="1"/>
  <c r="D8" i="33" l="1"/>
  <c r="D11" i="33" s="1"/>
  <c r="D7" i="33"/>
  <c r="CH147" i="33" a="1"/>
  <c r="CH147" i="33" s="1"/>
  <c r="Z159" i="33" a="1"/>
  <c r="Z159" i="33" s="1"/>
  <c r="AT18" i="33" a="1"/>
  <c r="AT18" i="33" s="1"/>
  <c r="BX131" i="33" a="1"/>
  <c r="BX131" i="33" s="1"/>
  <c r="BC15" i="33" a="1"/>
  <c r="BC15" i="33" s="1"/>
  <c r="AV60" i="33" a="1"/>
  <c r="AV60" i="33" s="1"/>
  <c r="BZ25" i="33" a="1"/>
  <c r="BZ25" i="33" s="1"/>
  <c r="BN27" i="33" a="1"/>
  <c r="BN27" i="33" s="1"/>
  <c r="CT61" i="33" a="1"/>
  <c r="CT61" i="33" s="1"/>
  <c r="CH160" i="33" a="1"/>
  <c r="CH160" i="33" s="1"/>
  <c r="Z51" i="33" a="1"/>
  <c r="Z51" i="33" s="1"/>
  <c r="BD73" i="33" a="1"/>
  <c r="BD73" i="33" s="1"/>
  <c r="CH110" i="33" a="1"/>
  <c r="CH110" i="33" s="1"/>
  <c r="CH141" i="33" a="1"/>
  <c r="CH141" i="33" s="1"/>
  <c r="AJ14" i="33" a="1"/>
  <c r="AJ14" i="33" s="1"/>
  <c r="BX132" i="33" a="1"/>
  <c r="BX132" i="33" s="1"/>
  <c r="CR55" i="33" a="1"/>
  <c r="CR55" i="33" s="1"/>
  <c r="D19" i="33" a="1"/>
  <c r="D19" i="33" s="1"/>
  <c r="BZ112" i="33" a="1"/>
  <c r="BZ112" i="33" s="1"/>
  <c r="BX159" i="33" a="1"/>
  <c r="BX159" i="33" s="1"/>
  <c r="BN45" i="33" a="1"/>
  <c r="BN45" i="33" s="1"/>
  <c r="BX111" i="33" a="1"/>
  <c r="BX111" i="33" s="1"/>
  <c r="BD111" i="33" a="1"/>
  <c r="BD111" i="33" s="1"/>
  <c r="CH99" i="33" a="1"/>
  <c r="CH99" i="33" s="1"/>
  <c r="CG29" i="33" a="1"/>
  <c r="CG29" i="33" s="1"/>
  <c r="BM98" i="33" a="1"/>
  <c r="BM98" i="33" s="1"/>
  <c r="BC69" i="33" a="1"/>
  <c r="BC69" i="33" s="1"/>
  <c r="CR31" i="33" a="1"/>
  <c r="CR31" i="33" s="1"/>
  <c r="BM101" i="33" a="1"/>
  <c r="BM101" i="33" s="1"/>
  <c r="AT98" i="33" a="1"/>
  <c r="AT98" i="33" s="1"/>
  <c r="AS21" i="33" a="1"/>
  <c r="AS21" i="33" s="1"/>
  <c r="BZ132" i="33" a="1"/>
  <c r="BZ132" i="33" s="1"/>
  <c r="CH102" i="33" a="1"/>
  <c r="CH102" i="33" s="1"/>
  <c r="BZ37" i="33" a="1"/>
  <c r="BZ37" i="33" s="1"/>
  <c r="BZ38" i="33" a="1"/>
  <c r="BZ38" i="33" s="1"/>
  <c r="AJ43" i="33" a="1"/>
  <c r="AJ43" i="33" s="1"/>
  <c r="AJ136" i="33" a="1"/>
  <c r="AJ136" i="33" s="1"/>
  <c r="AT65" i="33" a="1"/>
  <c r="AT65" i="33" s="1"/>
  <c r="AV59" i="33" a="1"/>
  <c r="AV59" i="33" s="1"/>
  <c r="BW67" i="33" a="1"/>
  <c r="BW67" i="33" s="1"/>
  <c r="BM104" i="33" a="1"/>
  <c r="BM104" i="33" s="1"/>
  <c r="CR89" i="33" a="1"/>
  <c r="CR89" i="33" s="1"/>
  <c r="AT127" i="33" a="1"/>
  <c r="AT127" i="33" s="1"/>
  <c r="BC57" i="33" a="1"/>
  <c r="BC57" i="33" s="1"/>
  <c r="BW27" i="33" a="1"/>
  <c r="BW27" i="33" s="1"/>
  <c r="Z46" i="33" a="1"/>
  <c r="Z46" i="33" s="1"/>
  <c r="CR101" i="33" a="1"/>
  <c r="CR101" i="33" s="1"/>
  <c r="Z151" i="33" a="1"/>
  <c r="Z151" i="33" s="1"/>
  <c r="CG74" i="33" a="1"/>
  <c r="CG74" i="33" s="1"/>
  <c r="Z31" i="33" a="1"/>
  <c r="Z31" i="33" s="1"/>
  <c r="BX52" i="33" a="1"/>
  <c r="BX52" i="33" s="1"/>
  <c r="AJ135" i="33" a="1"/>
  <c r="AJ135" i="33" s="1"/>
  <c r="BM37" i="33" a="1"/>
  <c r="BM37" i="33" s="1"/>
  <c r="CQ60" i="33" a="1"/>
  <c r="CQ60" i="33" s="1"/>
  <c r="AV40" i="33" a="1"/>
  <c r="AV40" i="33" s="1"/>
  <c r="BC137" i="33" a="1"/>
  <c r="BC137" i="33" s="1"/>
  <c r="BX38" i="33" a="1"/>
  <c r="BX38" i="33" s="1"/>
  <c r="CH106" i="33" a="1"/>
  <c r="CH106" i="33" s="1"/>
  <c r="AA103" i="33" a="1"/>
  <c r="AA103" i="33" s="1"/>
  <c r="AJ70" i="33" a="1"/>
  <c r="AJ70" i="33" s="1"/>
  <c r="BC109" i="33" a="1"/>
  <c r="BC109" i="33" s="1"/>
  <c r="BN126" i="33" a="1"/>
  <c r="BN126" i="33" s="1"/>
  <c r="CH128" i="33" a="1"/>
  <c r="CH128" i="33" s="1"/>
  <c r="BX156" i="33" a="1"/>
  <c r="BX156" i="33" s="1"/>
  <c r="AJ27" i="33" a="1"/>
  <c r="AJ27" i="33" s="1"/>
  <c r="CH14" i="33" a="1"/>
  <c r="CH14" i="33" s="1"/>
  <c r="AV135" i="33" a="1"/>
  <c r="AV135" i="33" s="1"/>
  <c r="BN115" i="33" a="1"/>
  <c r="BN115" i="33" s="1"/>
  <c r="BN153" i="33" a="1"/>
  <c r="BN153" i="33" s="1"/>
  <c r="AV122" i="33" a="1"/>
  <c r="AV122" i="33" s="1"/>
  <c r="BW36" i="33" a="1"/>
  <c r="BW36" i="33" s="1"/>
  <c r="CV144" i="33" a="1"/>
  <c r="CV144" i="33" s="1"/>
  <c r="AT71" i="33" a="1"/>
  <c r="AT71" i="33" s="1"/>
  <c r="BN35" i="33" a="1"/>
  <c r="BN35" i="33" s="1"/>
  <c r="CR133" i="33" a="1"/>
  <c r="CR133" i="33" s="1"/>
  <c r="BW127" i="33" a="1"/>
  <c r="BW127" i="33" s="1"/>
  <c r="CG114" i="33" a="1"/>
  <c r="CG114" i="33" s="1"/>
  <c r="BC16" i="33" a="1"/>
  <c r="BC16" i="33" s="1"/>
  <c r="BC42" i="33" a="1"/>
  <c r="BC42" i="33" s="1"/>
  <c r="BO105" i="33" a="1"/>
  <c r="BO105" i="33" s="1"/>
  <c r="BN62" i="33" a="1"/>
  <c r="BN62" i="33" s="1"/>
  <c r="BW146" i="33" a="1"/>
  <c r="BW146" i="33" s="1"/>
  <c r="CH48" i="33" a="1"/>
  <c r="CH48" i="33" s="1"/>
  <c r="AV77" i="33" a="1"/>
  <c r="AV77" i="33" s="1"/>
  <c r="CH26" i="33" a="1"/>
  <c r="CH26" i="33" s="1"/>
  <c r="BN99" i="33" a="1"/>
  <c r="BN99" i="33" s="1"/>
  <c r="BD100" i="33" a="1"/>
  <c r="BD100" i="33" s="1"/>
  <c r="CK96" i="33" a="1"/>
  <c r="CK96" i="33" s="1"/>
  <c r="AS46" i="33" a="1"/>
  <c r="AS46" i="33" s="1"/>
  <c r="CR125" i="33" a="1"/>
  <c r="CR125" i="33" s="1"/>
  <c r="AT129" i="33" a="1"/>
  <c r="AT129" i="33" s="1"/>
  <c r="CH142" i="33" a="1"/>
  <c r="CH142" i="33" s="1"/>
  <c r="CR93" i="33" a="1"/>
  <c r="CR93" i="33" s="1"/>
  <c r="CG132" i="33" a="1"/>
  <c r="CG132" i="33" s="1"/>
  <c r="AL134" i="33" a="1"/>
  <c r="AL134" i="33" s="1"/>
  <c r="CQ73" i="33" a="1"/>
  <c r="CQ73" i="33" s="1"/>
  <c r="CG130" i="33" a="1"/>
  <c r="CG130" i="33" s="1"/>
  <c r="BX117" i="33" a="1"/>
  <c r="BX117" i="33" s="1"/>
  <c r="AT156" i="33" a="1"/>
  <c r="AT156" i="33" s="1"/>
  <c r="BD42" i="33" a="1"/>
  <c r="BD42" i="33" s="1"/>
  <c r="CH111" i="33" a="1"/>
  <c r="CH111" i="33" s="1"/>
  <c r="AV68" i="33" a="1"/>
  <c r="AV68" i="33" s="1"/>
  <c r="AT50" i="33" a="1"/>
  <c r="AT50" i="33" s="1"/>
  <c r="BX96" i="33" a="1"/>
  <c r="BX96" i="33" s="1"/>
  <c r="AE155" i="33" a="1"/>
  <c r="AE155" i="33" s="1"/>
  <c r="CT161" i="33" a="1"/>
  <c r="CT161" i="33" s="1"/>
  <c r="BX126" i="33" a="1"/>
  <c r="BX126" i="33" s="1"/>
  <c r="BN75" i="33" a="1"/>
  <c r="BN75" i="33" s="1"/>
  <c r="CT75" i="33" a="1"/>
  <c r="CT75" i="33" s="1"/>
  <c r="CR140" i="33" a="1"/>
  <c r="CR140" i="33" s="1"/>
  <c r="BC95" i="33" a="1"/>
  <c r="BC95" i="33" s="1"/>
  <c r="BE96" i="33" a="1"/>
  <c r="BE96" i="33" s="1"/>
  <c r="BX47" i="33" a="1"/>
  <c r="BX47" i="33" s="1"/>
  <c r="BW37" i="33" a="1"/>
  <c r="BW37" i="33" s="1"/>
  <c r="BD30" i="33" a="1"/>
  <c r="BD30" i="33" s="1"/>
  <c r="BW52" i="33" a="1"/>
  <c r="BW52" i="33" s="1"/>
  <c r="BC158" i="33" a="1"/>
  <c r="BC158" i="33" s="1"/>
  <c r="AV54" i="33" a="1"/>
  <c r="AV54" i="33" s="1"/>
  <c r="BX22" i="33" a="1"/>
  <c r="BX22" i="33" s="1"/>
  <c r="BZ106" i="33" a="1"/>
  <c r="BZ106" i="33" s="1"/>
  <c r="BM144" i="33" a="1"/>
  <c r="BM144" i="33" s="1"/>
  <c r="CG145" i="33" a="1"/>
  <c r="CG145" i="33" s="1"/>
  <c r="BN51" i="33" a="1"/>
  <c r="BN51" i="33" s="1"/>
  <c r="CT102" i="33" a="1"/>
  <c r="CT102" i="33" s="1"/>
  <c r="BD96" i="33" a="1"/>
  <c r="BD96" i="33" s="1"/>
  <c r="BC138" i="33" a="1"/>
  <c r="BC138" i="33" s="1"/>
  <c r="AT48" i="33" a="1"/>
  <c r="AT48" i="33" s="1"/>
  <c r="BN121" i="33" a="1"/>
  <c r="BN121" i="33" s="1"/>
  <c r="BW25" i="33" a="1"/>
  <c r="BW25" i="33" s="1"/>
  <c r="BW132" i="33" a="1"/>
  <c r="BW132" i="33" s="1"/>
  <c r="AT137" i="33" a="1"/>
  <c r="AT137" i="33" s="1"/>
  <c r="BO23" i="33" a="1"/>
  <c r="BO23" i="33" s="1"/>
  <c r="BC55" i="33" a="1"/>
  <c r="BC55" i="33" s="1"/>
  <c r="CL116" i="33" a="1"/>
  <c r="CL116" i="33" s="1"/>
  <c r="CH15" i="33" a="1"/>
  <c r="CH15" i="33" s="1"/>
  <c r="CR51" i="33" a="1"/>
  <c r="CR51" i="33" s="1"/>
  <c r="AJ41" i="33" a="1"/>
  <c r="AJ41" i="33" s="1"/>
  <c r="BX94" i="33" a="1"/>
  <c r="BX94" i="33" s="1"/>
  <c r="D17" i="33" a="1"/>
  <c r="D17" i="33" s="1"/>
  <c r="CQ150" i="33" a="1"/>
  <c r="CQ150" i="33" s="1"/>
  <c r="CH59" i="33" a="1"/>
  <c r="CH59" i="33" s="1"/>
  <c r="BD14" i="33" a="1"/>
  <c r="BD14" i="33" s="1"/>
  <c r="Z68" i="33" a="1"/>
  <c r="Z68" i="33" s="1"/>
  <c r="CT150" i="33" a="1"/>
  <c r="CT150" i="33" s="1"/>
  <c r="CT57" i="33" a="1"/>
  <c r="CT57" i="33" s="1"/>
  <c r="CT73" i="33" a="1"/>
  <c r="CT73" i="33" s="1"/>
  <c r="AU157" i="33" a="1"/>
  <c r="AU157" i="33" s="1"/>
  <c r="CG61" i="33" a="1"/>
  <c r="CG61" i="33" s="1"/>
  <c r="AV83" i="33" a="1"/>
  <c r="AV83" i="33" s="1"/>
  <c r="BZ56" i="33" a="1"/>
  <c r="BZ56" i="33" s="1"/>
  <c r="BY132" i="33" a="1"/>
  <c r="BY132" i="33" s="1"/>
  <c r="AT148" i="33" a="1"/>
  <c r="AT148" i="33" s="1"/>
  <c r="BX75" i="33" a="1"/>
  <c r="BX75" i="33" s="1"/>
  <c r="CT35" i="33" a="1"/>
  <c r="CT35" i="33" s="1"/>
  <c r="BX67" i="33" a="1"/>
  <c r="BX67" i="33" s="1"/>
  <c r="AJ101" i="33" a="1"/>
  <c r="AJ101" i="33" s="1"/>
  <c r="BX51" i="33" a="1"/>
  <c r="BX51" i="33" s="1"/>
  <c r="CG67" i="33" a="1"/>
  <c r="CG67" i="33" s="1"/>
  <c r="CS49" i="33" a="1"/>
  <c r="CS49" i="33" s="1"/>
  <c r="BZ95" i="33" a="1"/>
  <c r="BZ95" i="33" s="1"/>
  <c r="BF110" i="33" a="1"/>
  <c r="BF110" i="33" s="1"/>
  <c r="BX122" i="33" a="1"/>
  <c r="BX122" i="33" s="1"/>
  <c r="CG155" i="33" a="1"/>
  <c r="CG155" i="33" s="1"/>
  <c r="CH101" i="33" a="1"/>
  <c r="CH101" i="33" s="1"/>
  <c r="BN57" i="33" a="1"/>
  <c r="BN57" i="33" s="1"/>
  <c r="BD67" i="33" a="1"/>
  <c r="BD67" i="33" s="1"/>
  <c r="BM126" i="33" a="1"/>
  <c r="BM126" i="33" s="1"/>
  <c r="AX20" i="33" a="1"/>
  <c r="AX20" i="33" s="1"/>
  <c r="BM121" i="33" a="1"/>
  <c r="BM121" i="33" s="1"/>
  <c r="AV157" i="33" a="1"/>
  <c r="AV157" i="33" s="1"/>
  <c r="CH138" i="33" a="1"/>
  <c r="CH138" i="33" s="1"/>
  <c r="AJ140" i="33" a="1"/>
  <c r="AJ140" i="33" s="1"/>
  <c r="BN132" i="33" a="1"/>
  <c r="BN132" i="33" s="1"/>
  <c r="Z137" i="33" a="1"/>
  <c r="Z137" i="33" s="1"/>
  <c r="BZ127" i="33" a="1"/>
  <c r="BZ127" i="33" s="1"/>
  <c r="BD48" i="33" a="1"/>
  <c r="BD48" i="33" s="1"/>
  <c r="BM63" i="33" a="1"/>
  <c r="BM63" i="33" s="1"/>
  <c r="BM71" i="33" a="1"/>
  <c r="BM71" i="33" s="1"/>
  <c r="BN41" i="33" a="1"/>
  <c r="BN41" i="33" s="1"/>
  <c r="CG102" i="33" a="1"/>
  <c r="CG102" i="33" s="1"/>
  <c r="BZ123" i="33" a="1"/>
  <c r="BZ123" i="33" s="1"/>
  <c r="BD123" i="33" a="1"/>
  <c r="BD123" i="33" s="1"/>
  <c r="CH35" i="33" a="1"/>
  <c r="CH35" i="33" s="1"/>
  <c r="CH44" i="33" a="1"/>
  <c r="CH44" i="33" s="1"/>
  <c r="AJ55" i="33" a="1"/>
  <c r="AJ55" i="33" s="1"/>
  <c r="AJ90" i="33" a="1"/>
  <c r="AJ90" i="33" s="1"/>
  <c r="CQ159" i="33" a="1"/>
  <c r="CQ159" i="33" s="1"/>
  <c r="BM54" i="33" a="1"/>
  <c r="BM54" i="33" s="1"/>
  <c r="CH67" i="33" a="1"/>
  <c r="CH67" i="33" s="1"/>
  <c r="CG161" i="33" a="1"/>
  <c r="CG161" i="33" s="1"/>
  <c r="AK155" i="33" a="1"/>
  <c r="AK155" i="33" s="1"/>
  <c r="CQ149" i="33" a="1"/>
  <c r="CQ149" i="33" s="1"/>
  <c r="CQ99" i="33" a="1"/>
  <c r="CQ99" i="33" s="1"/>
  <c r="CG100" i="33" a="1"/>
  <c r="CG100" i="33" s="1"/>
  <c r="BM135" i="33" a="1"/>
  <c r="BM135" i="33" s="1"/>
  <c r="CR124" i="33" a="1"/>
  <c r="CR124" i="33" s="1"/>
  <c r="CH97" i="33" a="1"/>
  <c r="CH97" i="33" s="1"/>
  <c r="CQ26" i="33" a="1"/>
  <c r="CQ26" i="33" s="1"/>
  <c r="AT117" i="33" a="1"/>
  <c r="AT117" i="33" s="1"/>
  <c r="BX152" i="33" a="1"/>
  <c r="BX152" i="33" s="1"/>
  <c r="BZ28" i="33" a="1"/>
  <c r="BZ28" i="33" s="1"/>
  <c r="AS50" i="33" a="1"/>
  <c r="AS50" i="33" s="1"/>
  <c r="CG28" i="33" a="1"/>
  <c r="CG28" i="33" s="1"/>
  <c r="BW141" i="33" a="1"/>
  <c r="BW141" i="33" s="1"/>
  <c r="CT144" i="33" a="1"/>
  <c r="CT144" i="33" s="1"/>
  <c r="CR15" i="33" a="1"/>
  <c r="CR15" i="33" s="1"/>
  <c r="CT115" i="33" a="1"/>
  <c r="CT115" i="33" s="1"/>
  <c r="AJ156" i="33" a="1"/>
  <c r="AJ156" i="33" s="1"/>
  <c r="AS43" i="33" a="1"/>
  <c r="AS43" i="33" s="1"/>
  <c r="Z55" i="33" a="1"/>
  <c r="Z55" i="33" s="1"/>
  <c r="AD106" i="33" a="1"/>
  <c r="AD106" i="33" s="1"/>
  <c r="BN81" i="33" a="1"/>
  <c r="BN81" i="33" s="1"/>
  <c r="BC117" i="33" a="1"/>
  <c r="BC117" i="33" s="1"/>
  <c r="CG113" i="33" a="1"/>
  <c r="CG113" i="33" s="1"/>
  <c r="BN145" i="33" a="1"/>
  <c r="BN145" i="33" s="1"/>
  <c r="BZ66" i="33" a="1"/>
  <c r="BZ66" i="33" s="1"/>
  <c r="CH118" i="33" a="1"/>
  <c r="CH118" i="33" s="1"/>
  <c r="AT92" i="33" a="1"/>
  <c r="AT92" i="33" s="1"/>
  <c r="BZ15" i="33" a="1"/>
  <c r="BZ15" i="33" s="1"/>
  <c r="BX23" i="33" a="1"/>
  <c r="BX23" i="33" s="1"/>
  <c r="BX130" i="33" a="1"/>
  <c r="BX130" i="33" s="1"/>
  <c r="AJ150" i="33" a="1"/>
  <c r="AJ150" i="33" s="1"/>
  <c r="CG52" i="33" a="1"/>
  <c r="CG52" i="33" s="1"/>
  <c r="CH161" i="33" a="1"/>
  <c r="CH161" i="33" s="1"/>
  <c r="AS92" i="33" a="1"/>
  <c r="AS92" i="33" s="1"/>
  <c r="Z25" i="33" a="1"/>
  <c r="Z25" i="33" s="1"/>
  <c r="CT107" i="33" a="1"/>
  <c r="CT107" i="33" s="1"/>
  <c r="AJ51" i="33" a="1"/>
  <c r="AJ51" i="33" s="1"/>
  <c r="BZ47" i="33" a="1"/>
  <c r="BZ47" i="33" s="1"/>
  <c r="Z98" i="33" a="1"/>
  <c r="Z98" i="33" s="1"/>
  <c r="AL108" i="33" a="1"/>
  <c r="AL108" i="33" s="1"/>
  <c r="CG18" i="33" a="1"/>
  <c r="CG18" i="33" s="1"/>
  <c r="CH89" i="33" a="1"/>
  <c r="CH89" i="33" s="1"/>
  <c r="AV104" i="33" a="1"/>
  <c r="AV104" i="33" s="1"/>
  <c r="BN64" i="33" a="1"/>
  <c r="BN64" i="33" s="1"/>
  <c r="AV121" i="33" a="1"/>
  <c r="AV121" i="33" s="1"/>
  <c r="CG65" i="33" a="1"/>
  <c r="CG65" i="33" s="1"/>
  <c r="CG120" i="33" a="1"/>
  <c r="CG120" i="33" s="1"/>
  <c r="CR18" i="33" a="1"/>
  <c r="CR18" i="33" s="1"/>
  <c r="CQ123" i="33" a="1"/>
  <c r="CQ123" i="33" s="1"/>
  <c r="CQ79" i="33" a="1"/>
  <c r="CQ79" i="33" s="1"/>
  <c r="BE87" i="33" a="1"/>
  <c r="BE87" i="33" s="1"/>
  <c r="BX64" i="33" a="1"/>
  <c r="BX64" i="33" s="1"/>
  <c r="CH157" i="33" a="1"/>
  <c r="CH157" i="33" s="1"/>
  <c r="BN43" i="33" a="1"/>
  <c r="BN43" i="33" s="1"/>
  <c r="BM56" i="33" a="1"/>
  <c r="BM56" i="33" s="1"/>
  <c r="AJ71" i="33" a="1"/>
  <c r="AJ71" i="33" s="1"/>
  <c r="BW73" i="33" a="1"/>
  <c r="BW73" i="33" s="1"/>
  <c r="BE134" i="33" a="1"/>
  <c r="BE134" i="33" s="1"/>
  <c r="CH72" i="33" a="1"/>
  <c r="CH72" i="33" s="1"/>
  <c r="BM89" i="33" a="1"/>
  <c r="BM89" i="33" s="1"/>
  <c r="BD68" i="33" a="1"/>
  <c r="BD68" i="33" s="1"/>
  <c r="CT138" i="33" a="1"/>
  <c r="CT138" i="33" s="1"/>
  <c r="BY35" i="33" a="1"/>
  <c r="BY35" i="33" s="1"/>
  <c r="BX153" i="33" a="1"/>
  <c r="BX153" i="33" s="1"/>
  <c r="BN92" i="33" a="1"/>
  <c r="BN92" i="33" s="1"/>
  <c r="BC147" i="33" a="1"/>
  <c r="BC147" i="33" s="1"/>
  <c r="AT69" i="33" a="1"/>
  <c r="AT69" i="33" s="1"/>
  <c r="Z60" i="33" a="1"/>
  <c r="Z60" i="33" s="1"/>
  <c r="BC22" i="33" a="1"/>
  <c r="BC22" i="33" s="1"/>
  <c r="AT93" i="33" a="1"/>
  <c r="AT93" i="33" s="1"/>
  <c r="BZ71" i="33" a="1"/>
  <c r="BZ71" i="33" s="1"/>
  <c r="BD16" i="33" a="1"/>
  <c r="BD16" i="33" s="1"/>
  <c r="CH112" i="33" a="1"/>
  <c r="CH112" i="33" s="1"/>
  <c r="BN17" i="33" a="1"/>
  <c r="BN17" i="33" s="1"/>
  <c r="CG40" i="33" a="1"/>
  <c r="CG40" i="33" s="1"/>
  <c r="Z75" i="33" a="1"/>
  <c r="Z75" i="33" s="1"/>
  <c r="AK161" i="33" a="1"/>
  <c r="AK161" i="33" s="1"/>
  <c r="CT94" i="33" a="1"/>
  <c r="CT94" i="33" s="1"/>
  <c r="CT134" i="33" a="1"/>
  <c r="CT134" i="33" s="1"/>
  <c r="CL64" i="33" a="1"/>
  <c r="CL64" i="33" s="1"/>
  <c r="BW24" i="33" a="1"/>
  <c r="BW24" i="33" s="1"/>
  <c r="BX114" i="33" a="1"/>
  <c r="BX114" i="33" s="1"/>
  <c r="CH57" i="33" a="1"/>
  <c r="CH57" i="33" s="1"/>
  <c r="AT38" i="33" a="1"/>
  <c r="AT38" i="33" s="1"/>
  <c r="BN86" i="33" a="1"/>
  <c r="BN86" i="33" s="1"/>
  <c r="CV26" i="33" a="1"/>
  <c r="CV26" i="33" s="1"/>
  <c r="AV64" i="33" a="1"/>
  <c r="AV64" i="33" s="1"/>
  <c r="AA143" i="33" a="1"/>
  <c r="AA143" i="33" s="1"/>
  <c r="CR66" i="33" a="1"/>
  <c r="CR66" i="33" s="1"/>
  <c r="BD40" i="33" a="1"/>
  <c r="BD40" i="33" s="1"/>
  <c r="CQ142" i="33" a="1"/>
  <c r="CQ142" i="33" s="1"/>
  <c r="CR131" i="33" a="1"/>
  <c r="CR131" i="33" s="1"/>
  <c r="CI98" i="33" a="1"/>
  <c r="CI98" i="33" s="1"/>
  <c r="Z150" i="33" a="1"/>
  <c r="Z150" i="33" s="1"/>
  <c r="BW41" i="33" a="1"/>
  <c r="BW41" i="33" s="1"/>
  <c r="BW119" i="33" a="1"/>
  <c r="BW119" i="33" s="1"/>
  <c r="CG112" i="33" a="1"/>
  <c r="CG112" i="33" s="1"/>
  <c r="AS33" i="33" a="1"/>
  <c r="AS33" i="33" s="1"/>
  <c r="Z107" i="33" a="1"/>
  <c r="Z107" i="33" s="1"/>
  <c r="AV58" i="33" a="1"/>
  <c r="AV58" i="33" s="1"/>
  <c r="CH31" i="33" a="1"/>
  <c r="CH31" i="33" s="1"/>
  <c r="CJ145" i="33" a="1"/>
  <c r="CJ145" i="33" s="1"/>
  <c r="BE88" i="33" a="1"/>
  <c r="BE88" i="33" s="1"/>
  <c r="CH119" i="33" a="1"/>
  <c r="CH119" i="33" s="1"/>
  <c r="BE64" i="33" a="1"/>
  <c r="BE64" i="33" s="1"/>
  <c r="BZ153" i="33" a="1"/>
  <c r="BZ153" i="33" s="1"/>
  <c r="BZ53" i="33" a="1"/>
  <c r="BZ53" i="33" s="1"/>
  <c r="CI133" i="33" a="1"/>
  <c r="CI133" i="33" s="1"/>
  <c r="AX59" i="33" a="1"/>
  <c r="AX59" i="33" s="1"/>
  <c r="CR83" i="33" a="1"/>
  <c r="CR83" i="33" s="1"/>
  <c r="BZ146" i="33" a="1"/>
  <c r="BZ146" i="33" s="1"/>
  <c r="BM58" i="33" a="1"/>
  <c r="BM58" i="33" s="1"/>
  <c r="AV158" i="33" a="1"/>
  <c r="AV158" i="33" s="1"/>
  <c r="CT122" i="33" a="1"/>
  <c r="CT122" i="33" s="1"/>
  <c r="CT156" i="33" a="1"/>
  <c r="CT156" i="33" s="1"/>
  <c r="CQ29" i="33" a="1"/>
  <c r="CQ29" i="33" s="1"/>
  <c r="BD17" i="33" a="1"/>
  <c r="BD17" i="33" s="1"/>
  <c r="AV98" i="33" a="1"/>
  <c r="AV98" i="33" s="1"/>
  <c r="AV91" i="33" a="1"/>
  <c r="AV91" i="33" s="1"/>
  <c r="CT21" i="33" a="1"/>
  <c r="CT21" i="33" s="1"/>
  <c r="BZ102" i="33" a="1"/>
  <c r="BZ102" i="33" s="1"/>
  <c r="BZ105" i="33" a="1"/>
  <c r="BZ105" i="33" s="1"/>
  <c r="AS61" i="33" a="1"/>
  <c r="AS61" i="33" s="1"/>
  <c r="BD32" i="33" a="1"/>
  <c r="BD32" i="33" s="1"/>
  <c r="CH71" i="33" a="1"/>
  <c r="CH71" i="33" s="1"/>
  <c r="CR80" i="33" a="1"/>
  <c r="CR80" i="33" s="1"/>
  <c r="AT15" i="33" a="1"/>
  <c r="AT15" i="33" s="1"/>
  <c r="BZ160" i="33" a="1"/>
  <c r="BZ160" i="33" s="1"/>
  <c r="BZ96" i="33" a="1"/>
  <c r="BZ96" i="33" s="1"/>
  <c r="CG73" i="33" a="1"/>
  <c r="CG73" i="33" s="1"/>
  <c r="BX85" i="33" a="1"/>
  <c r="BX85" i="33" s="1"/>
  <c r="AT31" i="33" a="1"/>
  <c r="AT31" i="33" s="1"/>
  <c r="AT16" i="33" a="1"/>
  <c r="AT16" i="33" s="1"/>
  <c r="AS45" i="33" a="1"/>
  <c r="AS45" i="33" s="1"/>
  <c r="CT19" i="33" a="1"/>
  <c r="CT19" i="33" s="1"/>
  <c r="BZ78" i="33" a="1"/>
  <c r="BZ78" i="33" s="1"/>
  <c r="CH125" i="33" a="1"/>
  <c r="CH125" i="33" s="1"/>
  <c r="BN32" i="33" a="1"/>
  <c r="BN32" i="33" s="1"/>
  <c r="BX147" i="33" a="1"/>
  <c r="BX147" i="33" s="1"/>
  <c r="CR73" i="33" a="1"/>
  <c r="CR73" i="33" s="1"/>
  <c r="AA23" i="33" a="1"/>
  <c r="AA23" i="33" s="1"/>
  <c r="CR71" i="33" a="1"/>
  <c r="CR71" i="33" s="1"/>
  <c r="CR69" i="33" a="1"/>
  <c r="CR69" i="33" s="1"/>
  <c r="BO91" i="33" a="1"/>
  <c r="BO91" i="33" s="1"/>
  <c r="Z72" i="33" a="1"/>
  <c r="Z72" i="33" s="1"/>
  <c r="BC52" i="33" a="1"/>
  <c r="BC52" i="33" s="1"/>
  <c r="CH134" i="33" a="1"/>
  <c r="CH134" i="33" s="1"/>
  <c r="Z94" i="33" a="1"/>
  <c r="Z94" i="33" s="1"/>
  <c r="BX118" i="33" a="1"/>
  <c r="BX118" i="33" s="1"/>
  <c r="AK124" i="33" a="1"/>
  <c r="AK124" i="33" s="1"/>
  <c r="CR106" i="33" a="1"/>
  <c r="CR106" i="33" s="1"/>
  <c r="BD149" i="33" a="1"/>
  <c r="BD149" i="33" s="1"/>
  <c r="CQ21" i="33" a="1"/>
  <c r="CQ21" i="33" s="1"/>
  <c r="CH148" i="33" a="1"/>
  <c r="CH148" i="33" s="1"/>
  <c r="AJ16" i="33" a="1"/>
  <c r="AJ16" i="33" s="1"/>
  <c r="Z110" i="33" a="1"/>
  <c r="Z110" i="33" s="1"/>
  <c r="AJ105" i="33" a="1"/>
  <c r="AJ105" i="33" s="1"/>
  <c r="BW66" i="33" a="1"/>
  <c r="BW66" i="33" s="1"/>
  <c r="CG127" i="33" a="1"/>
  <c r="CG127" i="33" s="1"/>
  <c r="CR120" i="33" a="1"/>
  <c r="CR120" i="33" s="1"/>
  <c r="BC31" i="33" a="1"/>
  <c r="BC31" i="33" s="1"/>
  <c r="CQ22" i="33" a="1"/>
  <c r="CQ22" i="33" s="1"/>
  <c r="BW104" i="33" a="1"/>
  <c r="BW104" i="33" s="1"/>
  <c r="CG154" i="33" a="1"/>
  <c r="CG154" i="33" s="1"/>
  <c r="BM24" i="33" a="1"/>
  <c r="BM24" i="33" s="1"/>
  <c r="BZ90" i="33" a="1"/>
  <c r="BZ90" i="33" s="1"/>
  <c r="AJ69" i="33" a="1"/>
  <c r="AJ69" i="33" s="1"/>
  <c r="AS62" i="33" a="1"/>
  <c r="AS62" i="33" s="1"/>
  <c r="CH122" i="33" a="1"/>
  <c r="CH122" i="33" s="1"/>
  <c r="BZ32" i="33" a="1"/>
  <c r="BZ32" i="33" s="1"/>
  <c r="AJ23" i="33" a="1"/>
  <c r="AJ23" i="33" s="1"/>
  <c r="CR29" i="33" a="1"/>
  <c r="CR29" i="33" s="1"/>
  <c r="BX154" i="33" a="1"/>
  <c r="BX154" i="33" s="1"/>
  <c r="BW74" i="33" a="1"/>
  <c r="BW74" i="33" s="1"/>
  <c r="BC149" i="33" a="1"/>
  <c r="BC149" i="33" s="1"/>
  <c r="CQ45" i="33" a="1"/>
  <c r="CQ45" i="33" s="1"/>
  <c r="CT38" i="33" a="1"/>
  <c r="CT38" i="33" s="1"/>
  <c r="Z82" i="33" a="1"/>
  <c r="Z82" i="33" s="1"/>
  <c r="BZ50" i="33" a="1"/>
  <c r="BZ50" i="33" s="1"/>
  <c r="CQ92" i="33" a="1"/>
  <c r="CQ92" i="33" s="1"/>
  <c r="CH136" i="33" a="1"/>
  <c r="CH136" i="33" s="1"/>
  <c r="BD140" i="33" a="1"/>
  <c r="BD140" i="33" s="1"/>
  <c r="BD106" i="33" a="1"/>
  <c r="BD106" i="33" s="1"/>
  <c r="AA36" i="33" a="1"/>
  <c r="AA36" i="33" s="1"/>
  <c r="BY141" i="33" a="1"/>
  <c r="BY141" i="33" s="1"/>
  <c r="CT116" i="33" a="1"/>
  <c r="CT116" i="33" s="1"/>
  <c r="CR153" i="33" a="1"/>
  <c r="CR153" i="33" s="1"/>
  <c r="BX160" i="33" a="1"/>
  <c r="BX160" i="33" s="1"/>
  <c r="AU112" i="33" a="1"/>
  <c r="AU112" i="33" s="1"/>
  <c r="BX72" i="33" a="1"/>
  <c r="BX72" i="33" s="1"/>
  <c r="BZ57" i="33" a="1"/>
  <c r="BZ57" i="33" s="1"/>
  <c r="CR67" i="33" a="1"/>
  <c r="CR67" i="33" s="1"/>
  <c r="BD45" i="33" a="1"/>
  <c r="BD45" i="33" s="1"/>
  <c r="CG54" i="33" a="1"/>
  <c r="CG54" i="33" s="1"/>
  <c r="BM81" i="33" a="1"/>
  <c r="BM81" i="33" s="1"/>
  <c r="BX71" i="33" a="1"/>
  <c r="BX71" i="33" s="1"/>
  <c r="CI143" i="33" a="1"/>
  <c r="CI143" i="33" s="1"/>
  <c r="CL67" i="33" a="1"/>
  <c r="CL67" i="33" s="1"/>
  <c r="BM55" i="33" a="1"/>
  <c r="BM55" i="33" s="1"/>
  <c r="CK23" i="33" a="1"/>
  <c r="CK23" i="33" s="1"/>
  <c r="BY125" i="33" a="1"/>
  <c r="BY125" i="33" s="1"/>
  <c r="BF14" i="33" a="1"/>
  <c r="BF14" i="33" s="1"/>
  <c r="CR138" i="33" a="1"/>
  <c r="CR138" i="33" s="1"/>
  <c r="AT56" i="33" a="1"/>
  <c r="AT56" i="33" s="1"/>
  <c r="BC30" i="33" a="1"/>
  <c r="BC30" i="33" s="1"/>
  <c r="CH19" i="33" a="1"/>
  <c r="CH19" i="33" s="1"/>
  <c r="BC111" i="33" a="1"/>
  <c r="BC111" i="33" s="1"/>
  <c r="BN114" i="33" a="1"/>
  <c r="BN114" i="33" s="1"/>
  <c r="AV127" i="33" a="1"/>
  <c r="AV127" i="33" s="1"/>
  <c r="BM51" i="33" a="1"/>
  <c r="BM51" i="33" s="1"/>
  <c r="BC83" i="33" a="1"/>
  <c r="BC83" i="33" s="1"/>
  <c r="AU140" i="33" a="1"/>
  <c r="AU140" i="33" s="1"/>
  <c r="CI43" i="33" a="1"/>
  <c r="CI43" i="33" s="1"/>
  <c r="BZ83" i="33" a="1"/>
  <c r="BZ83" i="33" s="1"/>
  <c r="AV55" i="33" a="1"/>
  <c r="AV55" i="33" s="1"/>
  <c r="AJ42" i="33" a="1"/>
  <c r="AJ42" i="33" s="1"/>
  <c r="BM134" i="33" a="1"/>
  <c r="BM134" i="33" s="1"/>
  <c r="BX145" i="33" a="1"/>
  <c r="BX145" i="33" s="1"/>
  <c r="CT113" i="33" a="1"/>
  <c r="CT113" i="33" s="1"/>
  <c r="BZ114" i="33" a="1"/>
  <c r="BZ114" i="33" s="1"/>
  <c r="AJ132" i="33" a="1"/>
  <c r="AJ132" i="33" s="1"/>
  <c r="BF50" i="33" a="1"/>
  <c r="BF50" i="33" s="1"/>
  <c r="CH107" i="33" a="1"/>
  <c r="CH107" i="33" s="1"/>
  <c r="BX155" i="33" a="1"/>
  <c r="BX155" i="33" s="1"/>
  <c r="CG128" i="33" a="1"/>
  <c r="CG128" i="33" s="1"/>
  <c r="CQ155" i="33" a="1"/>
  <c r="CQ155" i="33" s="1"/>
  <c r="AT19" i="33" a="1"/>
  <c r="AT19" i="33" s="1"/>
  <c r="BC43" i="33" a="1"/>
  <c r="BC43" i="33" s="1"/>
  <c r="BX110" i="33" a="1"/>
  <c r="BX110" i="33" s="1"/>
  <c r="BM106" i="33" a="1"/>
  <c r="BM106" i="33" s="1"/>
  <c r="CT52" i="33" a="1"/>
  <c r="CT52" i="33" s="1"/>
  <c r="AT140" i="33" a="1"/>
  <c r="AT140" i="33" s="1"/>
  <c r="AV108" i="33" a="1"/>
  <c r="AV108" i="33" s="1"/>
  <c r="AS40" i="33" a="1"/>
  <c r="AS40" i="33" s="1"/>
  <c r="AT116" i="33" a="1"/>
  <c r="AT116" i="33" s="1"/>
  <c r="CT45" i="33" a="1"/>
  <c r="CT45" i="33" s="1"/>
  <c r="AV92" i="33" a="1"/>
  <c r="AV92" i="33" s="1"/>
  <c r="BX99" i="33" a="1"/>
  <c r="BX99" i="33" s="1"/>
  <c r="BD31" i="33" a="1"/>
  <c r="BD31" i="33" s="1"/>
  <c r="BN15" i="33" a="1"/>
  <c r="BN15" i="33" s="1"/>
  <c r="D14" i="33" a="1"/>
  <c r="D14" i="33" s="1"/>
  <c r="D32" i="33" a="1"/>
  <c r="D32" i="33" s="1"/>
  <c r="D34" i="33" a="1"/>
  <c r="D34" i="33" s="1"/>
  <c r="D23" i="33" a="1"/>
  <c r="D23" i="33" s="1"/>
  <c r="D26" i="33" a="1"/>
  <c r="D26" i="33" s="1"/>
  <c r="D37" i="33" a="1"/>
  <c r="D37" i="33" s="1"/>
  <c r="D21" i="33" a="1"/>
  <c r="D21" i="33" s="1"/>
  <c r="D41" i="33" a="1"/>
  <c r="D41" i="33" s="1"/>
  <c r="D28" i="33" a="1"/>
  <c r="D28" i="33" s="1"/>
  <c r="D33" i="33" a="1"/>
  <c r="D33" i="33" s="1"/>
  <c r="D20" i="33" a="1"/>
  <c r="D20" i="33" s="1"/>
  <c r="D24" i="33" a="1"/>
  <c r="D24" i="33" s="1"/>
  <c r="D25" i="33" a="1"/>
  <c r="D25" i="33" s="1"/>
  <c r="H51" i="33" a="1"/>
  <c r="H51" i="33" s="1"/>
  <c r="H99" i="33" a="1"/>
  <c r="H99" i="33" s="1"/>
  <c r="K70" i="33" a="1"/>
  <c r="K70" i="33" s="1"/>
  <c r="U37" i="33" a="1"/>
  <c r="U37" i="33" s="1"/>
  <c r="D16" i="33" a="1"/>
  <c r="D16" i="33" s="1"/>
  <c r="U15" i="33" a="1"/>
  <c r="U15" i="33" s="1"/>
  <c r="J64" i="33" a="1"/>
  <c r="J64" i="33" s="1"/>
  <c r="H158" i="33" a="1"/>
  <c r="H158" i="33" s="1"/>
  <c r="J139" i="33" a="1"/>
  <c r="J139" i="33" s="1"/>
  <c r="J120" i="33" a="1"/>
  <c r="J120" i="33" s="1"/>
  <c r="D31" i="33" a="1"/>
  <c r="D31" i="33" s="1"/>
  <c r="D30" i="33" a="1"/>
  <c r="D30" i="33" s="1"/>
  <c r="D29" i="33" a="1"/>
  <c r="D29" i="33" s="1"/>
  <c r="D39" i="33" a="1"/>
  <c r="D39" i="33" s="1"/>
  <c r="D15" i="33" a="1"/>
  <c r="D15" i="33" s="1"/>
  <c r="D36" i="33" a="1"/>
  <c r="D36" i="33" s="1"/>
  <c r="D27" i="33" a="1"/>
  <c r="D27" i="33" s="1"/>
  <c r="D35" i="33" a="1"/>
  <c r="D35" i="33" s="1"/>
  <c r="D38" i="33" a="1"/>
  <c r="D38" i="33" s="1"/>
  <c r="D18" i="33" a="1"/>
  <c r="D18" i="33" s="1"/>
  <c r="E123" i="33" a="1"/>
  <c r="E123" i="33" s="1"/>
  <c r="S17" i="33" a="1"/>
  <c r="S17" i="33" s="1"/>
  <c r="M83" i="33" a="1"/>
  <c r="M83" i="33" s="1"/>
  <c r="H86" i="33" a="1"/>
  <c r="H86" i="33" s="1"/>
  <c r="J128" i="33" a="1"/>
  <c r="J128" i="33" s="1"/>
  <c r="K50" i="33" a="1"/>
  <c r="K50" i="33" s="1"/>
  <c r="L19" i="33" a="1"/>
  <c r="L19" i="33" s="1"/>
  <c r="H115" i="33" a="1"/>
  <c r="H115" i="33" s="1"/>
  <c r="T127" i="33" a="1"/>
  <c r="T127" i="33" s="1"/>
  <c r="K42" i="33" a="1"/>
  <c r="K42" i="33" s="1"/>
  <c r="H72" i="33" a="1"/>
  <c r="H72" i="33" s="1"/>
  <c r="L131" i="33" a="1"/>
  <c r="L131" i="33" s="1"/>
  <c r="L63" i="33" a="1"/>
  <c r="L63" i="33" s="1"/>
  <c r="I136" i="33" a="1"/>
  <c r="I136" i="33" s="1"/>
  <c r="K125" i="33" a="1"/>
  <c r="K125" i="33" s="1"/>
  <c r="J156" i="33" a="1"/>
  <c r="J156" i="33" s="1"/>
  <c r="L112" i="33" a="1"/>
  <c r="L112" i="33" s="1"/>
  <c r="J70" i="33" a="1"/>
  <c r="J70" i="33" s="1"/>
  <c r="I96" i="33" a="1"/>
  <c r="I96" i="33" s="1"/>
  <c r="H147" i="33" a="1"/>
  <c r="H147" i="33" s="1"/>
  <c r="K75" i="33" a="1"/>
  <c r="K75" i="33" s="1"/>
  <c r="I81" i="33" a="1"/>
  <c r="I81" i="33" s="1"/>
  <c r="H69" i="33" a="1"/>
  <c r="H69" i="33" s="1"/>
  <c r="H81" i="33" a="1"/>
  <c r="H81" i="33" s="1"/>
  <c r="P76" i="33" a="1"/>
  <c r="P76" i="33" s="1"/>
  <c r="H20" i="33" a="1"/>
  <c r="H20" i="33" s="1"/>
  <c r="K154" i="33" a="1"/>
  <c r="K154" i="33" s="1"/>
  <c r="S91" i="33" a="1"/>
  <c r="S91" i="33" s="1"/>
  <c r="S115" i="33" a="1"/>
  <c r="S115" i="33" s="1"/>
  <c r="O60" i="33" a="1"/>
  <c r="O60" i="33" s="1"/>
  <c r="S51" i="33" a="1"/>
  <c r="S51" i="33" s="1"/>
  <c r="J36" i="33" a="1"/>
  <c r="J36" i="33" s="1"/>
  <c r="J101" i="33" a="1"/>
  <c r="J101" i="33" s="1"/>
  <c r="H23" i="33" a="1"/>
  <c r="H23" i="33" s="1"/>
  <c r="L119" i="33" a="1"/>
  <c r="L119" i="33" s="1"/>
  <c r="J40" i="33" a="1"/>
  <c r="J40" i="33" s="1"/>
  <c r="L103" i="33" a="1"/>
  <c r="L103" i="33" s="1"/>
  <c r="T14" i="33" a="1"/>
  <c r="T14" i="33" s="1"/>
  <c r="N48" i="33" a="1"/>
  <c r="N48" i="33" s="1"/>
  <c r="K107" i="33" a="1"/>
  <c r="K107" i="33" s="1"/>
  <c r="K137" i="33" a="1"/>
  <c r="K137" i="33" s="1"/>
  <c r="N115" i="33" a="1"/>
  <c r="N115" i="33" s="1"/>
  <c r="S50" i="33" a="1"/>
  <c r="S50" i="33" s="1"/>
  <c r="K112" i="33" a="1"/>
  <c r="K112" i="33" s="1"/>
  <c r="P126" i="33" a="1"/>
  <c r="P126" i="33" s="1"/>
  <c r="H38" i="33" a="1"/>
  <c r="H38" i="33" s="1"/>
  <c r="S32" i="33" a="1"/>
  <c r="S32" i="33" s="1"/>
  <c r="M108" i="33" a="1"/>
  <c r="M108" i="33" s="1"/>
  <c r="J127" i="33" a="1"/>
  <c r="J127" i="33" s="1"/>
  <c r="P122" i="33" a="1"/>
  <c r="P122" i="33" s="1"/>
  <c r="O71" i="33" a="1"/>
  <c r="O71" i="33" s="1"/>
  <c r="E108" i="33" a="1"/>
  <c r="E108" i="33" s="1"/>
  <c r="L53" i="33" a="1"/>
  <c r="L53" i="33" s="1"/>
  <c r="CQ84" i="33" a="1"/>
  <c r="CQ84" i="33" s="1"/>
  <c r="K119" i="33" a="1"/>
  <c r="K119" i="33" s="1"/>
  <c r="J145" i="33" a="1"/>
  <c r="J145" i="33" s="1"/>
  <c r="U97" i="33" a="1"/>
  <c r="U97" i="33" s="1"/>
  <c r="K32" i="33" a="1"/>
  <c r="K32" i="33" s="1"/>
  <c r="T130" i="33" a="1"/>
  <c r="T130" i="33" s="1"/>
  <c r="E62" i="33" a="1"/>
  <c r="E62" i="33" s="1"/>
  <c r="O55" i="33" a="1"/>
  <c r="O55" i="33" s="1"/>
  <c r="E117" i="33" a="1"/>
  <c r="E117" i="33" s="1"/>
  <c r="Q16" i="33" a="1"/>
  <c r="Q16" i="33" s="1"/>
  <c r="CR149" i="33" a="1"/>
  <c r="CR149" i="33" s="1"/>
  <c r="H68" i="33" a="1"/>
  <c r="H68" i="33" s="1"/>
  <c r="D22" i="33" a="1"/>
  <c r="D22" i="33" s="1"/>
  <c r="P82" i="33" a="1"/>
  <c r="P82" i="33" s="1"/>
  <c r="L113" i="33" a="1"/>
  <c r="L113" i="33" s="1"/>
  <c r="U138" i="33" a="1"/>
  <c r="U138" i="33" s="1"/>
  <c r="J68" i="33" a="1"/>
  <c r="J68" i="33" s="1"/>
  <c r="U124" i="33" a="1"/>
  <c r="U124" i="33" s="1"/>
  <c r="J114" i="33" a="1"/>
  <c r="J114" i="33" s="1"/>
  <c r="K149" i="33" a="1"/>
  <c r="K149" i="33" s="1"/>
  <c r="O88" i="33" a="1"/>
  <c r="O88" i="33" s="1"/>
  <c r="H65" i="33" a="1"/>
  <c r="H65" i="33" s="1"/>
  <c r="H61" i="33" a="1"/>
  <c r="H61" i="33" s="1"/>
  <c r="K79" i="33" a="1"/>
  <c r="K79" i="33" s="1"/>
  <c r="P154" i="33" a="1"/>
  <c r="P154" i="33" s="1"/>
  <c r="L91" i="33" a="1"/>
  <c r="L91" i="33" s="1"/>
  <c r="M16" i="33" a="1"/>
  <c r="M16" i="33" s="1"/>
  <c r="E70" i="33" a="1"/>
  <c r="E70" i="33" s="1"/>
  <c r="S69" i="33" a="1"/>
  <c r="S69" i="33" s="1"/>
  <c r="J123" i="33" a="1"/>
  <c r="J123" i="33" s="1"/>
  <c r="P41" i="33" a="1"/>
  <c r="P41" i="33" s="1"/>
  <c r="L45" i="33" a="1"/>
  <c r="L45" i="33" s="1"/>
  <c r="J82" i="33" a="1"/>
  <c r="J82" i="33" s="1"/>
  <c r="H16" i="33" a="1"/>
  <c r="H16" i="33" s="1"/>
  <c r="P43" i="33" a="1"/>
  <c r="P43" i="33" s="1"/>
  <c r="E57" i="33" a="1"/>
  <c r="E57" i="33" s="1"/>
  <c r="S15" i="33" a="1"/>
  <c r="S15" i="33" s="1"/>
  <c r="J121" i="33" a="1"/>
  <c r="J121" i="33" s="1"/>
  <c r="K45" i="33" a="1"/>
  <c r="K45" i="33" s="1"/>
  <c r="G119" i="33" a="1"/>
  <c r="G119" i="33" s="1"/>
  <c r="G56" i="33" a="1"/>
  <c r="G56" i="33" s="1"/>
  <c r="O159" i="33" a="1"/>
  <c r="O159" i="33" s="1"/>
  <c r="T73" i="33" a="1"/>
  <c r="T73" i="33" s="1"/>
  <c r="H155" i="33" a="1"/>
  <c r="H155" i="33" s="1"/>
  <c r="J45" i="33" a="1"/>
  <c r="J45" i="33" s="1"/>
  <c r="K74" i="33" a="1"/>
  <c r="K74" i="33" s="1"/>
  <c r="O152" i="33" a="1"/>
  <c r="O152" i="33" s="1"/>
  <c r="E77" i="33" a="1"/>
  <c r="E77" i="33" s="1"/>
  <c r="R49" i="33" a="1"/>
  <c r="R49" i="33" s="1"/>
  <c r="L104" i="33" a="1"/>
  <c r="L104" i="33" s="1"/>
  <c r="K30" i="33" a="1"/>
  <c r="K30" i="33" s="1"/>
  <c r="S42" i="33" a="1"/>
  <c r="S42" i="33" s="1"/>
  <c r="H125" i="33" a="1"/>
  <c r="H125" i="33" s="1"/>
  <c r="S55" i="33" a="1"/>
  <c r="S55" i="33" s="1"/>
  <c r="R131" i="33" a="1"/>
  <c r="R131" i="33" s="1"/>
  <c r="H146" i="33" a="1"/>
  <c r="H146" i="33" s="1"/>
  <c r="E64" i="33" a="1"/>
  <c r="E64" i="33" s="1"/>
  <c r="K145" i="33" a="1"/>
  <c r="K145" i="33" s="1"/>
  <c r="G52" i="33" a="1"/>
  <c r="G52" i="33" s="1"/>
  <c r="S132" i="33" a="1"/>
  <c r="S132" i="33" s="1"/>
  <c r="L115" i="33" a="1"/>
  <c r="L115" i="33" s="1"/>
  <c r="L111" i="33" a="1"/>
  <c r="L111" i="33" s="1"/>
  <c r="R64" i="33" a="1"/>
  <c r="R64" i="33" s="1"/>
  <c r="H55" i="33" a="1"/>
  <c r="H55" i="33" s="1"/>
  <c r="O94" i="33" a="1"/>
  <c r="O94" i="33" s="1"/>
  <c r="H142" i="33" a="1"/>
  <c r="H142" i="33" s="1"/>
  <c r="J142" i="33" a="1"/>
  <c r="J142" i="33" s="1"/>
  <c r="S117" i="33" a="1"/>
  <c r="S117" i="33" s="1"/>
  <c r="J19" i="33" a="1"/>
  <c r="J19" i="33" s="1"/>
  <c r="L135" i="33" a="1"/>
  <c r="L135" i="33" s="1"/>
  <c r="CU95" i="33" a="1"/>
  <c r="CU95" i="33" s="1"/>
  <c r="L82" i="33" a="1"/>
  <c r="L82" i="33" s="1"/>
  <c r="K111" i="33" a="1"/>
  <c r="K111" i="33" s="1"/>
  <c r="J29" i="33" a="1"/>
  <c r="J29" i="33" s="1"/>
  <c r="P88" i="33" a="1"/>
  <c r="P88" i="33" s="1"/>
  <c r="E27" i="33" a="1"/>
  <c r="E27" i="33" s="1"/>
  <c r="P29" i="33" a="1"/>
  <c r="P29" i="33" s="1"/>
  <c r="S107" i="33" a="1"/>
  <c r="S107" i="33" s="1"/>
  <c r="J33" i="33" a="1"/>
  <c r="J33" i="33" s="1"/>
  <c r="L142" i="33" a="1"/>
  <c r="L142" i="33" s="1"/>
  <c r="K55" i="33" a="1"/>
  <c r="K55" i="33" s="1"/>
  <c r="S153" i="33" a="1"/>
  <c r="S153" i="33" s="1"/>
  <c r="T47" i="33" a="1"/>
  <c r="T47" i="33" s="1"/>
  <c r="K128" i="33" a="1"/>
  <c r="K128" i="33" s="1"/>
  <c r="P47" i="33" a="1"/>
  <c r="P47" i="33" s="1"/>
  <c r="H122" i="33" a="1"/>
  <c r="H122" i="33" s="1"/>
  <c r="L86" i="33" a="1"/>
  <c r="L86" i="33" s="1"/>
  <c r="R54" i="33" a="1"/>
  <c r="R54" i="33" s="1"/>
  <c r="S109" i="33" a="1"/>
  <c r="S109" i="33" s="1"/>
  <c r="L145" i="33" a="1"/>
  <c r="L145" i="33" s="1"/>
  <c r="K108" i="33" a="1"/>
  <c r="K108" i="33" s="1"/>
  <c r="K92" i="33" a="1"/>
  <c r="K92" i="33" s="1"/>
  <c r="N133" i="33" a="1"/>
  <c r="N133" i="33" s="1"/>
  <c r="K103" i="33" a="1"/>
  <c r="K103" i="33" s="1"/>
  <c r="H156" i="33" a="1"/>
  <c r="H156" i="33" s="1"/>
  <c r="O80" i="33" a="1"/>
  <c r="O80" i="33" s="1"/>
  <c r="K57" i="33" a="1"/>
  <c r="K57" i="33" s="1"/>
  <c r="N136" i="33" a="1"/>
  <c r="N136" i="33" s="1"/>
  <c r="J24" i="33" a="1"/>
  <c r="J24" i="33" s="1"/>
  <c r="E51" i="33" a="1"/>
  <c r="E51" i="33" s="1"/>
  <c r="U39" i="33" a="1"/>
  <c r="U39" i="33" s="1"/>
  <c r="J113" i="33" a="1"/>
  <c r="J113" i="33" s="1"/>
  <c r="P92" i="33" a="1"/>
  <c r="P92" i="33" s="1"/>
  <c r="U142" i="33" a="1"/>
  <c r="U142" i="33" s="1"/>
  <c r="T84" i="33" a="1"/>
  <c r="T84" i="33" s="1"/>
  <c r="S94" i="33" a="1"/>
  <c r="S94" i="33" s="1"/>
  <c r="K81" i="33" a="1"/>
  <c r="K81" i="33" s="1"/>
  <c r="E34" i="33" a="1"/>
  <c r="E34" i="33" s="1"/>
  <c r="E36" i="33" a="1"/>
  <c r="E36" i="33" s="1"/>
  <c r="U122" i="33" a="1"/>
  <c r="U122" i="33" s="1"/>
  <c r="I66" i="33" a="1"/>
  <c r="I66" i="33" s="1"/>
  <c r="H153" i="33" a="1"/>
  <c r="H153" i="33" s="1"/>
  <c r="U127" i="33" a="1"/>
  <c r="U127" i="33" s="1"/>
  <c r="L17" i="33" a="1"/>
  <c r="L17" i="33" s="1"/>
  <c r="J152" i="33" a="1"/>
  <c r="J152" i="33" s="1"/>
  <c r="L37" i="33" a="1"/>
  <c r="L37" i="33" s="1"/>
  <c r="P25" i="33" a="1"/>
  <c r="P25" i="33" s="1"/>
  <c r="E110" i="33" a="1"/>
  <c r="E110" i="33" s="1"/>
  <c r="E15" i="33" a="1"/>
  <c r="E15" i="33" s="1"/>
  <c r="P140" i="33" a="1"/>
  <c r="P140" i="33" s="1"/>
  <c r="E133" i="33" a="1"/>
  <c r="E133" i="33" s="1"/>
  <c r="H85" i="33" a="1"/>
  <c r="H85" i="33" s="1"/>
  <c r="H26" i="33" a="1"/>
  <c r="H26" i="33" s="1"/>
  <c r="U18" i="33" a="1"/>
  <c r="U18" i="33" s="1"/>
  <c r="H104" i="33" a="1"/>
  <c r="H104" i="33" s="1"/>
  <c r="S130" i="33" a="1"/>
  <c r="S130" i="33" s="1"/>
  <c r="U149" i="33" a="1"/>
  <c r="U149" i="33" s="1"/>
  <c r="L83" i="33" a="1"/>
  <c r="L83" i="33" s="1"/>
  <c r="L20" i="33" a="1"/>
  <c r="L20" i="33" s="1"/>
  <c r="H137" i="33" a="1"/>
  <c r="H137" i="33" s="1"/>
  <c r="E145" i="33" a="1"/>
  <c r="E145" i="33" s="1"/>
  <c r="U71" i="33" a="1"/>
  <c r="U71" i="33" s="1"/>
  <c r="S73" i="33" a="1"/>
  <c r="S73" i="33" s="1"/>
  <c r="O44" i="33" a="1"/>
  <c r="O44" i="33" s="1"/>
  <c r="J125" i="33" a="1"/>
  <c r="J125" i="33" s="1"/>
  <c r="J86" i="33" a="1"/>
  <c r="J86" i="33" s="1"/>
  <c r="O123" i="33" a="1"/>
  <c r="O123" i="33" s="1"/>
  <c r="O160" i="33" a="1"/>
  <c r="O160" i="33" s="1"/>
  <c r="O103" i="33" a="1"/>
  <c r="O103" i="33" s="1"/>
  <c r="U21" i="33" a="1"/>
  <c r="U21" i="33" s="1"/>
  <c r="O31" i="33" a="1"/>
  <c r="O31" i="33" s="1"/>
  <c r="K67" i="33" a="1"/>
  <c r="K67" i="33" s="1"/>
  <c r="S26" i="33" a="1"/>
  <c r="S26" i="33" s="1"/>
  <c r="U131" i="33" a="1"/>
  <c r="U131" i="33" s="1"/>
  <c r="I47" i="33" a="1"/>
  <c r="I47" i="33" s="1"/>
  <c r="L59" i="33" a="1"/>
  <c r="L59" i="33" s="1"/>
  <c r="K43" i="33" a="1"/>
  <c r="K43" i="33" s="1"/>
  <c r="O52" i="33" a="1"/>
  <c r="O52" i="33" s="1"/>
  <c r="O15" i="33" a="1"/>
  <c r="O15" i="33" s="1"/>
  <c r="P106" i="33" a="1"/>
  <c r="P106" i="33" s="1"/>
  <c r="L34" i="33" a="1"/>
  <c r="L34" i="33" s="1"/>
  <c r="E58" i="33" a="1"/>
  <c r="E58" i="33" s="1"/>
  <c r="K36" i="33" a="1"/>
  <c r="K36" i="33" s="1"/>
  <c r="H136" i="33" a="1"/>
  <c r="H136" i="33" s="1"/>
  <c r="U36" i="33" a="1"/>
  <c r="U36" i="33" s="1"/>
  <c r="J42" i="33" a="1"/>
  <c r="J42" i="33" s="1"/>
  <c r="J81" i="33" a="1"/>
  <c r="J81" i="33" s="1"/>
  <c r="O138" i="33" a="1"/>
  <c r="O138" i="33" s="1"/>
  <c r="Q37" i="33" a="1"/>
  <c r="Q37" i="33" s="1"/>
  <c r="S16" i="33" a="1"/>
  <c r="S16" i="33" s="1"/>
  <c r="J54" i="33" a="1"/>
  <c r="J54" i="33" s="1"/>
  <c r="S56" i="33" a="1"/>
  <c r="S56" i="33" s="1"/>
  <c r="H121" i="33" a="1"/>
  <c r="H121" i="33" s="1"/>
  <c r="K53" i="33" a="1"/>
  <c r="K53" i="33" s="1"/>
  <c r="J117" i="33" a="1"/>
  <c r="J117" i="33" s="1"/>
  <c r="J57" i="33" a="1"/>
  <c r="J57" i="33" s="1"/>
  <c r="S112" i="33" a="1"/>
  <c r="S112" i="33" s="1"/>
  <c r="K141" i="33" a="1"/>
  <c r="K141" i="33" s="1"/>
  <c r="F68" i="33" a="1"/>
  <c r="F68" i="33" s="1"/>
  <c r="U152" i="33" a="1"/>
  <c r="U152" i="33" s="1"/>
  <c r="L43" i="33" a="1"/>
  <c r="L43" i="33" s="1"/>
  <c r="O17" i="33" a="1"/>
  <c r="O17" i="33" s="1"/>
  <c r="L33" i="33" a="1"/>
  <c r="L33" i="33" s="1"/>
  <c r="E137" i="33" a="1"/>
  <c r="E137" i="33" s="1"/>
  <c r="K139" i="33" a="1"/>
  <c r="K139" i="33" s="1"/>
  <c r="O61" i="33" a="1"/>
  <c r="O61" i="33" s="1"/>
  <c r="D40" i="33" a="1"/>
  <c r="D40" i="33" s="1"/>
  <c r="L49" i="33" a="1"/>
  <c r="L49" i="33" s="1"/>
  <c r="E120" i="33" a="1"/>
  <c r="E120" i="33" s="1"/>
  <c r="P17" i="33" a="1"/>
  <c r="P17" i="33" s="1"/>
  <c r="H123" i="33" a="1"/>
  <c r="H123" i="33" s="1"/>
  <c r="H57" i="33" a="1"/>
  <c r="H57" i="33" s="1"/>
  <c r="K44" i="33" a="1"/>
  <c r="K44" i="33" s="1"/>
  <c r="H91" i="33" a="1"/>
  <c r="H91" i="33" s="1"/>
  <c r="Q27" i="33" a="1"/>
  <c r="Q27" i="33" s="1"/>
  <c r="P28" i="33" a="1"/>
  <c r="P28" i="33" s="1"/>
  <c r="K47" i="33" a="1"/>
  <c r="K47" i="33" s="1"/>
  <c r="K135" i="33" a="1"/>
  <c r="K135" i="33" s="1"/>
  <c r="J103" i="33" a="1"/>
  <c r="J103" i="33" s="1"/>
  <c r="S65" i="33" a="1"/>
  <c r="S65" i="33" s="1"/>
  <c r="E32" i="33" a="1"/>
  <c r="E32" i="33" s="1"/>
  <c r="M94" i="33" a="1"/>
  <c r="M94" i="33" s="1"/>
  <c r="O27" i="33" a="1"/>
  <c r="O27" i="33" s="1"/>
  <c r="U141" i="33" a="1"/>
  <c r="U141" i="33" s="1"/>
  <c r="E101" i="33" a="1"/>
  <c r="E101" i="33" s="1"/>
  <c r="U123" i="33" a="1"/>
  <c r="U123" i="33" s="1"/>
  <c r="M140" i="33" a="1"/>
  <c r="M140" i="33" s="1"/>
  <c r="J43" i="33" a="1"/>
  <c r="J43" i="33" s="1"/>
  <c r="L76" i="33" a="1"/>
  <c r="L76" i="33" s="1"/>
  <c r="S48" i="33" a="1"/>
  <c r="S48" i="33" s="1"/>
  <c r="I30" i="33" a="1"/>
  <c r="I30" i="33" s="1"/>
  <c r="U126" i="33" a="1"/>
  <c r="U126" i="33" s="1"/>
  <c r="H29" i="33" a="1"/>
  <c r="H29" i="33" s="1"/>
  <c r="L132" i="33" a="1"/>
  <c r="L132" i="33" s="1"/>
  <c r="L100" i="33" a="1"/>
  <c r="L100" i="33" s="1"/>
  <c r="S84" i="33" a="1"/>
  <c r="S84" i="33" s="1"/>
  <c r="E115" i="33" a="1"/>
  <c r="E115" i="33" s="1"/>
  <c r="K39" i="33" a="1"/>
  <c r="K39" i="33" s="1"/>
  <c r="P86" i="33" a="1"/>
  <c r="P86" i="33" s="1"/>
  <c r="O127" i="33" a="1"/>
  <c r="O127" i="33" s="1"/>
  <c r="H22" i="33" a="1"/>
  <c r="H22" i="33" s="1"/>
  <c r="K35" i="33" a="1"/>
  <c r="K35" i="33" s="1"/>
  <c r="K34" i="33" a="1"/>
  <c r="K34" i="33" s="1"/>
  <c r="J39" i="33" a="1"/>
  <c r="J39" i="33" s="1"/>
  <c r="U117" i="33" a="1"/>
  <c r="U117" i="33" s="1"/>
  <c r="J144" i="33" a="1"/>
  <c r="J144" i="33" s="1"/>
  <c r="S135" i="33" a="1"/>
  <c r="S135" i="33" s="1"/>
  <c r="P35" i="33" a="1"/>
  <c r="P35" i="33" s="1"/>
  <c r="G87" i="33" a="1"/>
  <c r="G87" i="33" s="1"/>
  <c r="H98" i="33" a="1"/>
  <c r="H98" i="33" s="1"/>
  <c r="M124" i="33" a="1"/>
  <c r="M124" i="33" s="1"/>
  <c r="O47" i="33" a="1"/>
  <c r="O47" i="33" s="1"/>
  <c r="F15" i="33" a="1"/>
  <c r="F15" i="33" s="1"/>
  <c r="Q76" i="33" a="1"/>
  <c r="Q76" i="33" s="1"/>
  <c r="E54" i="33" a="1"/>
  <c r="E54" i="33" s="1"/>
  <c r="U106" i="33" a="1"/>
  <c r="U106" i="33" s="1"/>
  <c r="K155" i="33" a="1"/>
  <c r="K155" i="33" s="1"/>
  <c r="N43" i="33" a="1"/>
  <c r="N43" i="33" s="1"/>
  <c r="S142" i="33" a="1"/>
  <c r="S142" i="33" s="1"/>
  <c r="J106" i="33" a="1"/>
  <c r="J106" i="33" s="1"/>
  <c r="K106" i="33" a="1"/>
  <c r="K106" i="33" s="1"/>
  <c r="U14" i="33" a="1"/>
  <c r="U14" i="33" s="1"/>
  <c r="H24" i="33" a="1"/>
  <c r="H24" i="33" s="1"/>
  <c r="J135" i="33" a="1"/>
  <c r="J135" i="33" s="1"/>
  <c r="U40" i="33" a="1"/>
  <c r="U40" i="33" s="1"/>
  <c r="J55" i="33" a="1"/>
  <c r="J55" i="33" s="1"/>
  <c r="K76" i="33" a="1"/>
  <c r="K76" i="33" s="1"/>
  <c r="T96" i="33" a="1"/>
  <c r="T96" i="33" s="1"/>
  <c r="K59" i="33" a="1"/>
  <c r="K59" i="33" s="1"/>
  <c r="K94" i="33" a="1"/>
  <c r="K94" i="33" s="1"/>
  <c r="U28" i="33" a="1"/>
  <c r="U28" i="33" s="1"/>
  <c r="L48" i="33" a="1"/>
  <c r="L48" i="33" s="1"/>
  <c r="E114" i="33" a="1"/>
  <c r="E114" i="33" s="1"/>
  <c r="E142" i="33" a="1"/>
  <c r="E142" i="33" s="1"/>
  <c r="L123" i="33" a="1"/>
  <c r="L123" i="33" s="1"/>
  <c r="P58" i="33" a="1"/>
  <c r="P58" i="33" s="1"/>
  <c r="E106" i="33" a="1"/>
  <c r="E106" i="33" s="1"/>
  <c r="J37" i="33" a="1"/>
  <c r="J37" i="33" s="1"/>
  <c r="J115" i="33" a="1"/>
  <c r="J115" i="33" s="1"/>
  <c r="R109" i="33" a="1"/>
  <c r="R109" i="33" s="1"/>
  <c r="H84" i="33" a="1"/>
  <c r="H84" i="33" s="1"/>
  <c r="E100" i="33" a="1"/>
  <c r="E100" i="33" s="1"/>
  <c r="E86" i="33" a="1"/>
  <c r="E86" i="33" s="1"/>
  <c r="L155" i="33" a="1"/>
  <c r="L155" i="33" s="1"/>
  <c r="E81" i="33" a="1"/>
  <c r="E81" i="33" s="1"/>
  <c r="N15" i="33" a="1"/>
  <c r="N15" i="33" s="1"/>
  <c r="J76" i="33" a="1"/>
  <c r="J76" i="33" s="1"/>
  <c r="P132" i="33" a="1"/>
  <c r="P132" i="33" s="1"/>
  <c r="L141" i="33" a="1"/>
  <c r="L141" i="33" s="1"/>
  <c r="G32" i="33" a="1"/>
  <c r="G32" i="33" s="1"/>
  <c r="P60" i="33" a="1"/>
  <c r="P60" i="33" s="1"/>
  <c r="P94" i="33" a="1"/>
  <c r="P94" i="33" s="1"/>
  <c r="J150" i="33" a="1"/>
  <c r="J150" i="33" s="1"/>
  <c r="T43" i="33" a="1"/>
  <c r="T43" i="33" s="1"/>
  <c r="G85" i="33" a="1"/>
  <c r="G85" i="33" s="1"/>
  <c r="K60" i="33" a="1"/>
  <c r="K60" i="33" s="1"/>
  <c r="J92" i="33" a="1"/>
  <c r="J92" i="33" s="1"/>
  <c r="M51" i="33" a="1"/>
  <c r="M51" i="33" s="1"/>
  <c r="J31" i="33" a="1"/>
  <c r="J31" i="33" s="1"/>
  <c r="J74" i="33" a="1"/>
  <c r="J74" i="33" s="1"/>
  <c r="K118" i="33" a="1"/>
  <c r="K118" i="33" s="1"/>
  <c r="S28" i="33" a="1"/>
  <c r="S28" i="33" s="1"/>
  <c r="J16" i="33" a="1"/>
  <c r="J16" i="33" s="1"/>
  <c r="U133" i="33" a="1"/>
  <c r="U133" i="33" s="1"/>
  <c r="O108" i="33" a="1"/>
  <c r="O108" i="33" s="1"/>
  <c r="L118" i="33" a="1"/>
  <c r="L118" i="33" s="1"/>
  <c r="K22" i="33" a="1"/>
  <c r="K22" i="33" s="1"/>
  <c r="E85" i="33" a="1"/>
  <c r="E85" i="33" s="1"/>
  <c r="J61" i="33" a="1"/>
  <c r="J61" i="33" s="1"/>
  <c r="H160" i="33" a="1"/>
  <c r="H160" i="33" s="1"/>
  <c r="K14" i="33" a="1"/>
  <c r="K14" i="33" s="1"/>
  <c r="K26" i="33" a="1"/>
  <c r="K26" i="33" s="1"/>
  <c r="U94" i="33" a="1"/>
  <c r="U94" i="33" s="1"/>
  <c r="J67" i="33" a="1"/>
  <c r="J67" i="33" s="1"/>
  <c r="J27" i="33" a="1"/>
  <c r="J27" i="33" s="1"/>
  <c r="O109" i="33" a="1"/>
  <c r="O109" i="33" s="1"/>
  <c r="K161" i="33" a="1"/>
  <c r="K161" i="33" s="1"/>
  <c r="K52" i="33" a="1"/>
  <c r="K52" i="33" s="1"/>
  <c r="K130" i="33" a="1"/>
  <c r="K130" i="33" s="1"/>
  <c r="S46" i="33" a="1"/>
  <c r="S46" i="33" s="1"/>
  <c r="H143" i="33" a="1"/>
  <c r="H143" i="33" s="1"/>
  <c r="H132" i="33" a="1"/>
  <c r="H132" i="33" s="1"/>
  <c r="U45" i="33" a="1"/>
  <c r="U45" i="33" s="1"/>
  <c r="H17" i="33" a="1"/>
  <c r="H17" i="33" s="1"/>
  <c r="K134" i="33" a="1"/>
  <c r="K134" i="33" s="1"/>
  <c r="E28" i="33" a="1"/>
  <c r="E28" i="33" s="1"/>
  <c r="U129" i="33" a="1"/>
  <c r="U129" i="33" s="1"/>
  <c r="H62" i="33" a="1"/>
  <c r="H62" i="33" s="1"/>
  <c r="K95" i="33" a="1"/>
  <c r="K95" i="33" s="1"/>
  <c r="M28" i="33" a="1"/>
  <c r="M28" i="33" s="1"/>
  <c r="G109" i="33" a="1"/>
  <c r="G109" i="33" s="1"/>
  <c r="S70" i="33" a="1"/>
  <c r="S70" i="33" s="1"/>
  <c r="H118" i="33" a="1"/>
  <c r="H118" i="33" s="1"/>
  <c r="P65" i="33" a="1"/>
  <c r="P65" i="33" s="1"/>
  <c r="E83" i="33" a="1"/>
  <c r="E83" i="33" s="1"/>
  <c r="U22" i="33" a="1"/>
  <c r="U22" i="33" s="1"/>
  <c r="O106" i="33" a="1"/>
  <c r="O106" i="33" s="1"/>
  <c r="J110" i="33" a="1"/>
  <c r="J110" i="33" s="1"/>
  <c r="S86" i="33" a="1"/>
  <c r="S86" i="33" s="1"/>
  <c r="L58" i="33" a="1"/>
  <c r="L58" i="33" s="1"/>
  <c r="M15" i="33" a="1"/>
  <c r="M15" i="33" s="1"/>
  <c r="U93" i="33" a="1"/>
  <c r="U93" i="33" s="1"/>
  <c r="S110" i="33" a="1"/>
  <c r="S110" i="33" s="1"/>
  <c r="H100" i="33" a="1"/>
  <c r="H100" i="33" s="1"/>
  <c r="K113" i="33" a="1"/>
  <c r="K113" i="33" s="1"/>
  <c r="E138" i="33" a="1"/>
  <c r="E138" i="33" s="1"/>
  <c r="O91" i="33" a="1"/>
  <c r="O91" i="33" s="1"/>
  <c r="O100" i="33" a="1"/>
  <c r="O100" i="33" s="1"/>
  <c r="S106" i="33" a="1"/>
  <c r="S106" i="33" s="1"/>
  <c r="E69" i="33" a="1"/>
  <c r="E69" i="33" s="1"/>
  <c r="E44" i="33" a="1"/>
  <c r="E44" i="33" s="1"/>
  <c r="E158" i="33" a="1"/>
  <c r="E158" i="33" s="1"/>
  <c r="L80" i="33" a="1"/>
  <c r="L80" i="33" s="1"/>
  <c r="S35" i="33" a="1"/>
  <c r="S35" i="33" s="1"/>
  <c r="E20" i="33" a="1"/>
  <c r="E20" i="33" s="1"/>
  <c r="E39" i="33" a="1"/>
  <c r="E39" i="33" s="1"/>
  <c r="H157" i="33" a="1"/>
  <c r="H157" i="33" s="1"/>
  <c r="P109" i="33" a="1"/>
  <c r="P109" i="33" s="1"/>
  <c r="P40" i="33" a="1"/>
  <c r="P40" i="33" s="1"/>
  <c r="R125" i="33" a="1"/>
  <c r="R125" i="33" s="1"/>
  <c r="H67" i="33" a="1"/>
  <c r="H67" i="33" s="1"/>
  <c r="K24" i="33" a="1"/>
  <c r="K24" i="33" s="1"/>
  <c r="K138" i="33" a="1"/>
  <c r="K138" i="33" s="1"/>
  <c r="S147" i="33" a="1"/>
  <c r="S147" i="33" s="1"/>
  <c r="L22" i="33" a="1"/>
  <c r="L22" i="33" s="1"/>
  <c r="P160" i="33" a="1"/>
  <c r="P160" i="33" s="1"/>
  <c r="J153" i="33" a="1"/>
  <c r="J153" i="33" s="1"/>
  <c r="N138" i="33" a="1"/>
  <c r="N138" i="33" s="1"/>
  <c r="P99" i="33" a="1"/>
  <c r="P99" i="33" s="1"/>
  <c r="L87" i="33" a="1"/>
  <c r="L87" i="33" s="1"/>
  <c r="H34" i="33" a="1"/>
  <c r="H34" i="33" s="1"/>
  <c r="O92" i="33" a="1"/>
  <c r="O92" i="33" s="1"/>
  <c r="E50" i="33" a="1"/>
  <c r="E50" i="33" s="1"/>
  <c r="U156" i="33" a="1"/>
  <c r="U156" i="33" s="1"/>
  <c r="S37" i="33" a="1"/>
  <c r="S37" i="33" s="1"/>
  <c r="S57" i="33" a="1"/>
  <c r="S57" i="33" s="1"/>
  <c r="N24" i="33" a="1"/>
  <c r="N24" i="33" s="1"/>
  <c r="H82" i="33" a="1"/>
  <c r="H82" i="33" s="1"/>
  <c r="K114" i="33" a="1"/>
  <c r="K114" i="33" s="1"/>
  <c r="L97" i="33" a="1"/>
  <c r="L97" i="33" s="1"/>
  <c r="O24" i="33" a="1"/>
  <c r="O24" i="33" s="1"/>
  <c r="I159" i="33" a="1"/>
  <c r="I159" i="33" s="1"/>
  <c r="S54" i="33" a="1"/>
  <c r="S54" i="33" s="1"/>
  <c r="K157" i="33" a="1"/>
  <c r="K157" i="33" s="1"/>
  <c r="K69" i="33" a="1"/>
  <c r="K69" i="33" s="1"/>
  <c r="J58" i="33" a="1"/>
  <c r="J58" i="33" s="1"/>
  <c r="K23" i="33" a="1"/>
  <c r="K23" i="33" s="1"/>
  <c r="P149" i="33" a="1"/>
  <c r="P149" i="33" s="1"/>
  <c r="U46" i="33" a="1"/>
  <c r="U46" i="33" s="1"/>
  <c r="O70" i="33" a="1"/>
  <c r="O70" i="33" s="1"/>
  <c r="O36" i="33" a="1"/>
  <c r="O36" i="33" s="1"/>
  <c r="M112" i="33" a="1"/>
  <c r="M112" i="33" s="1"/>
  <c r="L39" i="33" a="1"/>
  <c r="L39" i="33" s="1"/>
  <c r="K49" i="33" a="1"/>
  <c r="K49" i="33" s="1"/>
  <c r="L56" i="33" a="1"/>
  <c r="L56" i="33" s="1"/>
  <c r="G18" i="33" a="1"/>
  <c r="G18" i="33" s="1"/>
  <c r="L79" i="33" a="1"/>
  <c r="L79" i="33" s="1"/>
  <c r="L136" i="33" a="1"/>
  <c r="L136" i="33" s="1"/>
  <c r="H88" i="33" a="1"/>
  <c r="H88" i="33" s="1"/>
  <c r="H112" i="33" a="1"/>
  <c r="H112" i="33" s="1"/>
  <c r="J26" i="33" a="1"/>
  <c r="J26" i="33" s="1"/>
  <c r="N19" i="33" a="1"/>
  <c r="N19" i="33" s="1"/>
  <c r="T105" i="33" a="1"/>
  <c r="T105" i="33" s="1"/>
  <c r="J90" i="33" a="1"/>
  <c r="J90" i="33" s="1"/>
  <c r="H126" i="33" a="1"/>
  <c r="H126" i="33" s="1"/>
  <c r="J95" i="33" a="1"/>
  <c r="J95" i="33" s="1"/>
  <c r="E33" i="33" a="1"/>
  <c r="E33" i="33" s="1"/>
  <c r="H42" i="33" a="1"/>
  <c r="H42" i="33" s="1"/>
  <c r="E160" i="33" a="1"/>
  <c r="E160" i="33" s="1"/>
  <c r="U118" i="33" a="1"/>
  <c r="U118" i="33" s="1"/>
  <c r="S144" i="33" a="1"/>
  <c r="S144" i="33" s="1"/>
  <c r="E45" i="33" a="1"/>
  <c r="E45" i="33" s="1"/>
  <c r="F22" i="33" a="1"/>
  <c r="F22" i="33" s="1"/>
  <c r="O65" i="33" a="1"/>
  <c r="O65" i="33" s="1"/>
  <c r="O146" i="33" a="1"/>
  <c r="O146" i="33" s="1"/>
  <c r="H108" i="33" a="1"/>
  <c r="H108" i="33" s="1"/>
  <c r="J149" i="33" a="1"/>
  <c r="J149" i="33" s="1"/>
  <c r="K123" i="33" a="1"/>
  <c r="K123" i="33" s="1"/>
  <c r="H53" i="33" a="1"/>
  <c r="H53" i="33" s="1"/>
  <c r="K152" i="33" a="1"/>
  <c r="K152" i="33" s="1"/>
  <c r="S63" i="33" a="1"/>
  <c r="S63" i="33" s="1"/>
  <c r="S38" i="33" a="1"/>
  <c r="S38" i="33" s="1"/>
  <c r="H15" i="33" a="1"/>
  <c r="H15" i="33" s="1"/>
  <c r="P77" i="33" a="1"/>
  <c r="P77" i="33" s="1"/>
  <c r="U100" i="33" a="1"/>
  <c r="U100" i="33" s="1"/>
  <c r="L50" i="33" a="1"/>
  <c r="L50" i="33" s="1"/>
  <c r="O63" i="33" a="1"/>
  <c r="O63" i="33" s="1"/>
  <c r="S156" i="33" a="1"/>
  <c r="S156" i="33" s="1"/>
  <c r="U80" i="33" a="1"/>
  <c r="U80" i="33" s="1"/>
  <c r="H32" i="33" a="1"/>
  <c r="H32" i="33" s="1"/>
  <c r="S21" i="33" a="1"/>
  <c r="S21" i="33" s="1"/>
  <c r="F37" i="33" a="1"/>
  <c r="F37" i="33" s="1"/>
  <c r="O148" i="33" a="1"/>
  <c r="O148" i="33" s="1"/>
  <c r="J107" i="33" a="1"/>
  <c r="J107" i="33" s="1"/>
  <c r="U154" i="33" a="1"/>
  <c r="U154" i="33" s="1"/>
  <c r="K101" i="33" a="1"/>
  <c r="K101" i="33" s="1"/>
  <c r="H49" i="33" a="1"/>
  <c r="H49" i="33" s="1"/>
  <c r="E92" i="33" a="1"/>
  <c r="E92" i="33" s="1"/>
  <c r="N81" i="33" a="1"/>
  <c r="N81" i="33" s="1"/>
  <c r="O57" i="33" a="1"/>
  <c r="O57" i="33" s="1"/>
  <c r="L159" i="33" a="1"/>
  <c r="L159" i="33" s="1"/>
  <c r="CG137" i="33" a="1"/>
  <c r="CG137" i="33" s="1"/>
  <c r="E113" i="33" a="1"/>
  <c r="E113" i="33" s="1"/>
  <c r="Q139" i="33" a="1"/>
  <c r="Q139" i="33" s="1"/>
  <c r="K61" i="33" a="1"/>
  <c r="K61" i="33" s="1"/>
  <c r="H87" i="33" a="1"/>
  <c r="H87" i="33" s="1"/>
  <c r="T121" i="33" a="1"/>
  <c r="T121" i="33" s="1"/>
  <c r="E38" i="33" a="1"/>
  <c r="E38" i="33" s="1"/>
  <c r="H114" i="33" a="1"/>
  <c r="H114" i="33" s="1"/>
  <c r="J38" i="33" a="1"/>
  <c r="J38" i="33" s="1"/>
  <c r="O143" i="33" a="1"/>
  <c r="O143" i="33" s="1"/>
  <c r="CG84" i="33" a="1"/>
  <c r="CG84" i="33" s="1"/>
  <c r="K124" i="33" a="1"/>
  <c r="K124" i="33" s="1"/>
  <c r="N39" i="33" a="1"/>
  <c r="N39" i="33" s="1"/>
  <c r="U41" i="33" a="1"/>
  <c r="U41" i="33" s="1"/>
  <c r="K85" i="33" a="1"/>
  <c r="K85" i="33" s="1"/>
  <c r="J28" i="33" a="1"/>
  <c r="J28" i="33" s="1"/>
  <c r="L68" i="33" a="1"/>
  <c r="L68" i="33" s="1"/>
  <c r="H138" i="33" a="1"/>
  <c r="H138" i="33" s="1"/>
  <c r="J124" i="33" a="1"/>
  <c r="J124" i="33" s="1"/>
  <c r="L134" i="33" a="1"/>
  <c r="L134" i="33" s="1"/>
  <c r="E43" i="33" a="1"/>
  <c r="E43" i="33" s="1"/>
  <c r="J93" i="33" a="1"/>
  <c r="J93" i="33" s="1"/>
  <c r="E61" i="33" a="1"/>
  <c r="E61" i="33" s="1"/>
  <c r="E156" i="33" a="1"/>
  <c r="E156" i="33" s="1"/>
  <c r="K159" i="33" a="1"/>
  <c r="K159" i="33" s="1"/>
  <c r="J79" i="33" a="1"/>
  <c r="J79" i="33" s="1"/>
  <c r="U55" i="33" a="1"/>
  <c r="U55" i="33" s="1"/>
  <c r="E144" i="33" a="1"/>
  <c r="E144" i="33" s="1"/>
  <c r="H161" i="33" a="1"/>
  <c r="H161" i="33" s="1"/>
  <c r="P78" i="33" a="1"/>
  <c r="P78" i="33" s="1"/>
  <c r="P138" i="33" a="1"/>
  <c r="P138" i="33" s="1"/>
  <c r="E109" i="33" a="1"/>
  <c r="E109" i="33" s="1"/>
  <c r="L116" i="33" a="1"/>
  <c r="L116" i="33" s="1"/>
  <c r="O45" i="33" a="1"/>
  <c r="O45" i="33" s="1"/>
  <c r="P90" i="33" a="1"/>
  <c r="P90" i="33" s="1"/>
  <c r="L157" i="33" a="1"/>
  <c r="L157" i="33" s="1"/>
  <c r="O155" i="33" a="1"/>
  <c r="O155" i="33" s="1"/>
  <c r="J108" i="33" a="1"/>
  <c r="J108" i="33" s="1"/>
  <c r="H107" i="33" a="1"/>
  <c r="H107" i="33" s="1"/>
  <c r="Q128" i="33" a="1"/>
  <c r="Q128" i="33" s="1"/>
  <c r="E29" i="33" a="1"/>
  <c r="E29" i="33" s="1"/>
  <c r="E122" i="33" a="1"/>
  <c r="E122" i="33" s="1"/>
  <c r="R25" i="33" a="1"/>
  <c r="R25" i="33" s="1"/>
  <c r="T68" i="33" a="1"/>
  <c r="T68" i="33" s="1"/>
  <c r="Q20" i="33" a="1"/>
  <c r="Q20" i="33" s="1"/>
  <c r="I70" i="33" a="1"/>
  <c r="I70" i="33" s="1"/>
  <c r="G55" i="33" a="1"/>
  <c r="G55" i="33" s="1"/>
  <c r="Y88" i="33" a="1"/>
  <c r="Y88" i="33" s="1"/>
  <c r="J105" i="33" a="1"/>
  <c r="J105" i="33" s="1"/>
  <c r="J161" i="33" a="1"/>
  <c r="J161" i="33" s="1"/>
  <c r="H106" i="33" a="1"/>
  <c r="H106" i="33" s="1"/>
  <c r="K18" i="33" a="1"/>
  <c r="K18" i="33" s="1"/>
  <c r="E96" i="33" a="1"/>
  <c r="E96" i="33" s="1"/>
  <c r="L94" i="33" a="1"/>
  <c r="L94" i="33" s="1"/>
  <c r="O118" i="33" a="1"/>
  <c r="O118" i="33" s="1"/>
  <c r="O122" i="33" a="1"/>
  <c r="O122" i="33" s="1"/>
  <c r="U85" i="33" a="1"/>
  <c r="U85" i="33" s="1"/>
  <c r="L121" i="33" a="1"/>
  <c r="L121" i="33" s="1"/>
  <c r="K90" i="33" a="1"/>
  <c r="K90" i="33" s="1"/>
  <c r="H18" i="33" a="1"/>
  <c r="H18" i="33" s="1"/>
  <c r="E99" i="33" a="1"/>
  <c r="E99" i="33" s="1"/>
  <c r="J47" i="33" a="1"/>
  <c r="J47" i="33" s="1"/>
  <c r="O23" i="33" a="1"/>
  <c r="O23" i="33" s="1"/>
  <c r="S125" i="33" a="1"/>
  <c r="S125" i="33" s="1"/>
  <c r="F69" i="33" a="1"/>
  <c r="F69" i="33" s="1"/>
  <c r="J35" i="33" a="1"/>
  <c r="J35" i="33" s="1"/>
  <c r="E148" i="33" a="1"/>
  <c r="E148" i="33" s="1"/>
  <c r="H37" i="33" a="1"/>
  <c r="H37" i="33" s="1"/>
  <c r="S96" i="33" a="1"/>
  <c r="S96" i="33" s="1"/>
  <c r="P71" i="33" a="1"/>
  <c r="P71" i="33" s="1"/>
  <c r="N85" i="33" a="1"/>
  <c r="N85" i="33" s="1"/>
  <c r="P130" i="33" a="1"/>
  <c r="P130" i="33" s="1"/>
  <c r="H149" i="33" a="1"/>
  <c r="H149" i="33" s="1"/>
  <c r="J60" i="33" a="1"/>
  <c r="J60" i="33" s="1"/>
  <c r="H129" i="33" a="1"/>
  <c r="H129" i="33" s="1"/>
  <c r="H139" i="33" a="1"/>
  <c r="H139" i="33" s="1"/>
  <c r="T52" i="33" a="1"/>
  <c r="T52" i="33" s="1"/>
  <c r="O86" i="33" a="1"/>
  <c r="O86" i="33" s="1"/>
  <c r="G93" i="33" a="1"/>
  <c r="G93" i="33" s="1"/>
  <c r="H127" i="33" a="1"/>
  <c r="H127" i="33" s="1"/>
  <c r="P24" i="33" a="1"/>
  <c r="P24" i="33" s="1"/>
  <c r="K144" i="33" a="1"/>
  <c r="K144" i="33" s="1"/>
  <c r="S98" i="33" a="1"/>
  <c r="S98" i="33" s="1"/>
  <c r="K27" i="33" a="1"/>
  <c r="K27" i="33" s="1"/>
  <c r="K88" i="33" a="1"/>
  <c r="K88" i="33" s="1"/>
  <c r="J44" i="33" a="1"/>
  <c r="J44" i="33" s="1"/>
  <c r="K71" i="33" a="1"/>
  <c r="K71" i="33" s="1"/>
  <c r="N65" i="33" a="1"/>
  <c r="N65" i="33" s="1"/>
  <c r="I93" i="33" a="1"/>
  <c r="I93" i="33" s="1"/>
  <c r="O25" i="33" a="1"/>
  <c r="O25" i="33" s="1"/>
  <c r="H30" i="33" a="1"/>
  <c r="H30" i="33" s="1"/>
  <c r="S60" i="33" a="1"/>
  <c r="S60" i="33" s="1"/>
  <c r="E125" i="33" a="1"/>
  <c r="E125" i="33" s="1"/>
  <c r="L36" i="33" a="1"/>
  <c r="L36" i="33" s="1"/>
  <c r="L150" i="33" a="1"/>
  <c r="L150" i="33" s="1"/>
  <c r="K122" i="33" a="1"/>
  <c r="K122" i="33" s="1"/>
  <c r="L74" i="33" a="1"/>
  <c r="L74" i="33" s="1"/>
  <c r="N62" i="33" a="1"/>
  <c r="N62" i="33" s="1"/>
  <c r="F126" i="33" a="1"/>
  <c r="F126" i="33" s="1"/>
  <c r="T56" i="33" a="1"/>
  <c r="T56" i="33" s="1"/>
  <c r="I25" i="33" a="1"/>
  <c r="I25" i="33" s="1"/>
  <c r="F84" i="33" a="1"/>
  <c r="F84" i="33" s="1"/>
  <c r="O132" i="33" a="1"/>
  <c r="O132" i="33" s="1"/>
  <c r="AS19" i="33" a="1"/>
  <c r="AS19" i="33" s="1"/>
  <c r="BX80" i="33" a="1"/>
  <c r="BX80" i="33" s="1"/>
  <c r="S114" i="33" a="1"/>
  <c r="S114" i="33" s="1"/>
  <c r="L98" i="33" a="1"/>
  <c r="L98" i="33" s="1"/>
  <c r="H14" i="33" a="1"/>
  <c r="H14" i="33" s="1"/>
  <c r="P66" i="33" a="1"/>
  <c r="P66" i="33" s="1"/>
  <c r="K99" i="33" a="1"/>
  <c r="K99" i="33" s="1"/>
  <c r="K78" i="33" a="1"/>
  <c r="K78" i="33" s="1"/>
  <c r="P34" i="33" a="1"/>
  <c r="P34" i="33" s="1"/>
  <c r="E84" i="33" a="1"/>
  <c r="E84" i="33" s="1"/>
  <c r="L122" i="33" a="1"/>
  <c r="L122" i="33" s="1"/>
  <c r="H113" i="33" a="1"/>
  <c r="H113" i="33" s="1"/>
  <c r="H111" i="33" a="1"/>
  <c r="H111" i="33" s="1"/>
  <c r="H76" i="33" a="1"/>
  <c r="H76" i="33" s="1"/>
  <c r="U158" i="33" a="1"/>
  <c r="U158" i="33" s="1"/>
  <c r="K28" i="33" a="1"/>
  <c r="K28" i="33" s="1"/>
  <c r="E68" i="33" a="1"/>
  <c r="E68" i="33" s="1"/>
  <c r="M30" i="33" a="1"/>
  <c r="M30" i="33" s="1"/>
  <c r="E16" i="33" a="1"/>
  <c r="E16" i="33" s="1"/>
  <c r="J132" i="33" a="1"/>
  <c r="J132" i="33" s="1"/>
  <c r="O58" i="33" a="1"/>
  <c r="O58" i="33" s="1"/>
  <c r="S119" i="33" a="1"/>
  <c r="S119" i="33" s="1"/>
  <c r="U49" i="33" a="1"/>
  <c r="U49" i="33" s="1"/>
  <c r="H94" i="33" a="1"/>
  <c r="H94" i="33" s="1"/>
  <c r="O68" i="33" a="1"/>
  <c r="O68" i="33" s="1"/>
  <c r="P14" i="33" a="1"/>
  <c r="P14" i="33" s="1"/>
  <c r="L30" i="33" a="1"/>
  <c r="L30" i="33" s="1"/>
  <c r="U68" i="33" a="1"/>
  <c r="U68" i="33" s="1"/>
  <c r="K146" i="33" a="1"/>
  <c r="K146" i="33" s="1"/>
  <c r="E75" i="33" a="1"/>
  <c r="E75" i="33" s="1"/>
  <c r="L139" i="33" a="1"/>
  <c r="L139" i="33" s="1"/>
  <c r="K102" i="33" a="1"/>
  <c r="K102" i="33" s="1"/>
  <c r="G37" i="33" a="1"/>
  <c r="G37" i="33" s="1"/>
  <c r="J83" i="33" a="1"/>
  <c r="J83" i="33" s="1"/>
  <c r="H150" i="33" a="1"/>
  <c r="H150" i="33" s="1"/>
  <c r="S80" i="33" a="1"/>
  <c r="S80" i="33" s="1"/>
  <c r="J136" i="33" a="1"/>
  <c r="J136" i="33" s="1"/>
  <c r="F44" i="33" a="1"/>
  <c r="F44" i="33" s="1"/>
  <c r="E42" i="33" a="1"/>
  <c r="E42" i="33" s="1"/>
  <c r="U89" i="33" a="1"/>
  <c r="U89" i="33" s="1"/>
  <c r="L71" i="33" a="1"/>
  <c r="L71" i="33" s="1"/>
  <c r="E91" i="33" a="1"/>
  <c r="E91" i="33" s="1"/>
  <c r="U91" i="33" a="1"/>
  <c r="U91" i="33" s="1"/>
  <c r="S145" i="33" a="1"/>
  <c r="S145" i="33" s="1"/>
  <c r="O85" i="33" a="1"/>
  <c r="O85" i="33" s="1"/>
  <c r="E157" i="33" a="1"/>
  <c r="E157" i="33" s="1"/>
  <c r="K96" i="33" a="1"/>
  <c r="K96" i="33" s="1"/>
  <c r="I76" i="33" a="1"/>
  <c r="I76" i="33" s="1"/>
  <c r="R158" i="33" a="1"/>
  <c r="R158" i="33" s="1"/>
  <c r="L90" i="33" a="1"/>
  <c r="L90" i="33" s="1"/>
  <c r="N154" i="33" a="1"/>
  <c r="N154" i="33" s="1"/>
  <c r="I132" i="33" a="1"/>
  <c r="I132" i="33" s="1"/>
  <c r="BN150" i="33" a="1"/>
  <c r="BN150" i="33" s="1"/>
  <c r="AG76" i="33" a="1"/>
  <c r="AG76" i="33" s="1"/>
  <c r="G98" i="33" a="1"/>
  <c r="G98" i="33" s="1"/>
  <c r="N127" i="33" a="1"/>
  <c r="N127" i="33" s="1"/>
  <c r="H80" i="33" a="1"/>
  <c r="H80" i="33" s="1"/>
  <c r="P136" i="33" a="1"/>
  <c r="P136" i="33" s="1"/>
  <c r="N139" i="33" a="1"/>
  <c r="N139" i="33" s="1"/>
  <c r="L42" i="33" a="1"/>
  <c r="L42" i="33" s="1"/>
  <c r="G83" i="33" a="1"/>
  <c r="G83" i="33" s="1"/>
  <c r="L107" i="33" a="1"/>
  <c r="L107" i="33" s="1"/>
  <c r="T48" i="33" a="1"/>
  <c r="T48" i="33" s="1"/>
  <c r="J100" i="33" a="1"/>
  <c r="J100" i="33" s="1"/>
  <c r="S137" i="33" a="1"/>
  <c r="S137" i="33" s="1"/>
  <c r="S160" i="33" a="1"/>
  <c r="S160" i="33" s="1"/>
  <c r="S83" i="33" a="1"/>
  <c r="S83" i="33" s="1"/>
  <c r="I130" i="33" a="1"/>
  <c r="I130" i="33" s="1"/>
  <c r="H97" i="33" a="1"/>
  <c r="H97" i="33" s="1"/>
  <c r="K21" i="33" a="1"/>
  <c r="K21" i="33" s="1"/>
  <c r="E88" i="33" a="1"/>
  <c r="E88" i="33" s="1"/>
  <c r="E149" i="33" a="1"/>
  <c r="E149" i="33" s="1"/>
  <c r="J151" i="33" a="1"/>
  <c r="J151" i="33" s="1"/>
  <c r="L140" i="33" a="1"/>
  <c r="L140" i="33" s="1"/>
  <c r="G67" i="33" a="1"/>
  <c r="G67" i="33" s="1"/>
  <c r="BH131" i="33" a="1"/>
  <c r="BH131" i="33" s="1"/>
  <c r="O113" i="33" a="1"/>
  <c r="O113" i="33" s="1"/>
  <c r="S116" i="33" a="1"/>
  <c r="S116" i="33" s="1"/>
  <c r="H140" i="33" a="1"/>
  <c r="H140" i="33" s="1"/>
  <c r="E141" i="33" a="1"/>
  <c r="E141" i="33" s="1"/>
  <c r="N135" i="33" a="1"/>
  <c r="N135" i="33" s="1"/>
  <c r="J17" i="33" a="1"/>
  <c r="J17" i="33" s="1"/>
  <c r="S90" i="33" a="1"/>
  <c r="S90" i="33" s="1"/>
  <c r="U47" i="33" a="1"/>
  <c r="U47" i="33" s="1"/>
  <c r="U19" i="33" a="1"/>
  <c r="U19" i="33" s="1"/>
  <c r="L137" i="33" a="1"/>
  <c r="L137" i="33" s="1"/>
  <c r="E30" i="33" a="1"/>
  <c r="E30" i="33" s="1"/>
  <c r="L148" i="33" a="1"/>
  <c r="L148" i="33" s="1"/>
  <c r="E121" i="33" a="1"/>
  <c r="E121" i="33" s="1"/>
  <c r="P73" i="33" a="1"/>
  <c r="P73" i="33" s="1"/>
  <c r="R107" i="33" a="1"/>
  <c r="R107" i="33" s="1"/>
  <c r="T63" i="33" a="1"/>
  <c r="T63" i="33" s="1"/>
  <c r="S39" i="33" a="1"/>
  <c r="S39" i="33" s="1"/>
  <c r="I89" i="33" a="1"/>
  <c r="I89" i="33" s="1"/>
  <c r="Q85" i="33" a="1"/>
  <c r="Q85" i="33" s="1"/>
  <c r="P113" i="33" a="1"/>
  <c r="P113" i="33" s="1"/>
  <c r="S133" i="33" a="1"/>
  <c r="S133" i="33" s="1"/>
  <c r="E94" i="33" a="1"/>
  <c r="E94" i="33" s="1"/>
  <c r="U110" i="33" a="1"/>
  <c r="U110" i="33" s="1"/>
  <c r="O131" i="33" a="1"/>
  <c r="O131" i="33" s="1"/>
  <c r="R144" i="33" a="1"/>
  <c r="R144" i="33" s="1"/>
  <c r="P124" i="33" a="1"/>
  <c r="P124" i="33" s="1"/>
  <c r="L129" i="33" a="1"/>
  <c r="L129" i="33" s="1"/>
  <c r="S143" i="33" a="1"/>
  <c r="S143" i="33" s="1"/>
  <c r="J49" i="33" a="1"/>
  <c r="J49" i="33" s="1"/>
  <c r="K25" i="33" a="1"/>
  <c r="K25" i="33" s="1"/>
  <c r="O50" i="33" a="1"/>
  <c r="O50" i="33" s="1"/>
  <c r="O107" i="33" a="1"/>
  <c r="O107" i="33" s="1"/>
  <c r="E47" i="33" a="1"/>
  <c r="E47" i="33" s="1"/>
  <c r="L146" i="33" a="1"/>
  <c r="L146" i="33" s="1"/>
  <c r="P55" i="33" a="1"/>
  <c r="P55" i="33" s="1"/>
  <c r="J62" i="33" a="1"/>
  <c r="J62" i="33" s="1"/>
  <c r="P62" i="33" a="1"/>
  <c r="P62" i="33" s="1"/>
  <c r="O59" i="33" a="1"/>
  <c r="O59" i="33" s="1"/>
  <c r="K17" i="33" a="1"/>
  <c r="K17" i="33" s="1"/>
  <c r="I83" i="33" a="1"/>
  <c r="I83" i="33" s="1"/>
  <c r="G27" i="33" a="1"/>
  <c r="G27" i="33" s="1"/>
  <c r="R74" i="33" a="1"/>
  <c r="R74" i="33" s="1"/>
  <c r="T108" i="33" a="1"/>
  <c r="T108" i="33" s="1"/>
  <c r="F154" i="33" a="1"/>
  <c r="F154" i="33" s="1"/>
  <c r="T124" i="33" a="1"/>
  <c r="T124" i="33" s="1"/>
  <c r="K48" i="33" a="1"/>
  <c r="K48" i="33" s="1"/>
  <c r="F130" i="33" a="1"/>
  <c r="F130" i="33" s="1"/>
  <c r="E48" i="33" a="1"/>
  <c r="E48" i="33" s="1"/>
  <c r="L28" i="33" a="1"/>
  <c r="L28" i="33" s="1"/>
  <c r="E150" i="33" a="1"/>
  <c r="E150" i="33" s="1"/>
  <c r="M44" i="33" a="1"/>
  <c r="M44" i="33" s="1"/>
  <c r="I112" i="33" a="1"/>
  <c r="I112" i="33" s="1"/>
  <c r="R105" i="33" a="1"/>
  <c r="R105" i="33" s="1"/>
  <c r="N16" i="33" a="1"/>
  <c r="N16" i="33" s="1"/>
  <c r="P118" i="33" a="1"/>
  <c r="P118" i="33" s="1"/>
  <c r="S129" i="33" a="1"/>
  <c r="S129" i="33" s="1"/>
  <c r="J97" i="33" a="1"/>
  <c r="J97" i="33" s="1"/>
  <c r="J18" i="33" a="1"/>
  <c r="J18" i="33" s="1"/>
  <c r="K142" i="33" a="1"/>
  <c r="K142" i="33" s="1"/>
  <c r="P63" i="33" a="1"/>
  <c r="P63" i="33" s="1"/>
  <c r="O42" i="33" a="1"/>
  <c r="O42" i="33" s="1"/>
  <c r="G104" i="33" a="1"/>
  <c r="G104" i="33" s="1"/>
  <c r="J118" i="33" a="1"/>
  <c r="J118" i="33" s="1"/>
  <c r="K80" i="33" a="1"/>
  <c r="K80" i="33" s="1"/>
  <c r="P23" i="33" a="1"/>
  <c r="P23" i="33" s="1"/>
  <c r="S64" i="33" a="1"/>
  <c r="S64" i="33" s="1"/>
  <c r="K84" i="33" a="1"/>
  <c r="K84" i="33" s="1"/>
  <c r="J111" i="33" a="1"/>
  <c r="J111" i="33" s="1"/>
  <c r="M17" i="33" a="1"/>
  <c r="M17" i="33" s="1"/>
  <c r="BW145" i="33" a="1"/>
  <c r="BW145" i="33" s="1"/>
  <c r="K86" i="33" a="1"/>
  <c r="K86" i="33" s="1"/>
  <c r="H109" i="33" a="1"/>
  <c r="H109" i="33" s="1"/>
  <c r="K72" i="33" a="1"/>
  <c r="K72" i="33" s="1"/>
  <c r="P135" i="33" a="1"/>
  <c r="P135" i="33" s="1"/>
  <c r="S122" i="33" a="1"/>
  <c r="S122" i="33" s="1"/>
  <c r="S85" i="33" a="1"/>
  <c r="S85" i="33" s="1"/>
  <c r="J80" i="33" a="1"/>
  <c r="J80" i="33" s="1"/>
  <c r="S102" i="33" a="1"/>
  <c r="S102" i="33" s="1"/>
  <c r="N155" i="33" a="1"/>
  <c r="N155" i="33" s="1"/>
  <c r="E56" i="33" a="1"/>
  <c r="E56" i="33" s="1"/>
  <c r="U77" i="33" a="1"/>
  <c r="U77" i="33" s="1"/>
  <c r="L44" i="33" a="1"/>
  <c r="L44" i="33" s="1"/>
  <c r="H110" i="33" a="1"/>
  <c r="H110" i="33" s="1"/>
  <c r="R133" i="33" a="1"/>
  <c r="R133" i="33" s="1"/>
  <c r="P120" i="33" a="1"/>
  <c r="P120" i="33" s="1"/>
  <c r="N26" i="33" a="1"/>
  <c r="N26" i="33" s="1"/>
  <c r="E136" i="33" a="1"/>
  <c r="E136" i="33" s="1"/>
  <c r="J133" i="33" a="1"/>
  <c r="J133" i="33" s="1"/>
  <c r="P133" i="33" a="1"/>
  <c r="P133" i="33" s="1"/>
  <c r="E97" i="33" a="1"/>
  <c r="E97" i="33" s="1"/>
  <c r="S150" i="33" a="1"/>
  <c r="S150" i="33" s="1"/>
  <c r="S43" i="33" a="1"/>
  <c r="S43" i="33" s="1"/>
  <c r="E132" i="33" a="1"/>
  <c r="E132" i="33" s="1"/>
  <c r="J116" i="33" a="1"/>
  <c r="J116" i="33" s="1"/>
  <c r="U62" i="33" a="1"/>
  <c r="U62" i="33" s="1"/>
  <c r="Y157" i="33" a="1"/>
  <c r="Y157" i="33" s="1"/>
  <c r="K56" i="33" a="1"/>
  <c r="K56" i="33" s="1"/>
  <c r="H75" i="33" a="1"/>
  <c r="H75" i="33" s="1"/>
  <c r="N78" i="33" a="1"/>
  <c r="N78" i="33" s="1"/>
  <c r="K132" i="33" a="1"/>
  <c r="K132" i="33" s="1"/>
  <c r="H27" i="33" a="1"/>
  <c r="H27" i="33" s="1"/>
  <c r="K126" i="33" a="1"/>
  <c r="K126" i="33" s="1"/>
  <c r="K98" i="33" a="1"/>
  <c r="K98" i="33" s="1"/>
  <c r="K15" i="33" a="1"/>
  <c r="K15" i="33" s="1"/>
  <c r="T158" i="33" a="1"/>
  <c r="T158" i="33" s="1"/>
  <c r="I69" i="33" a="1"/>
  <c r="I69" i="33" s="1"/>
  <c r="R47" i="33" a="1"/>
  <c r="R47" i="33" s="1"/>
  <c r="G70" i="33" a="1"/>
  <c r="G70" i="33" s="1"/>
  <c r="F70" i="33" a="1"/>
  <c r="F70" i="33" s="1"/>
  <c r="I137" i="33" a="1"/>
  <c r="I137" i="33" s="1"/>
  <c r="O20" i="33" a="1"/>
  <c r="O20" i="33" s="1"/>
  <c r="P142" i="33" a="1"/>
  <c r="P142" i="33" s="1"/>
  <c r="O84" i="33" a="1"/>
  <c r="O84" i="33" s="1"/>
  <c r="E104" i="33" a="1"/>
  <c r="E104" i="33" s="1"/>
  <c r="L57" i="33" a="1"/>
  <c r="L57" i="33" s="1"/>
  <c r="E46" i="33" a="1"/>
  <c r="E46" i="33" s="1"/>
  <c r="L27" i="33" a="1"/>
  <c r="L27" i="33" s="1"/>
  <c r="L78" i="33" a="1"/>
  <c r="L78" i="33" s="1"/>
  <c r="K73" i="33" a="1"/>
  <c r="K73" i="33" s="1"/>
  <c r="L96" i="33" a="1"/>
  <c r="L96" i="33" s="1"/>
  <c r="M14" i="33" a="1"/>
  <c r="M14" i="33" s="1"/>
  <c r="J88" i="33" a="1"/>
  <c r="J88" i="33" s="1"/>
  <c r="K131" i="33" a="1"/>
  <c r="K131" i="33" s="1"/>
  <c r="H159" i="33" a="1"/>
  <c r="H159" i="33" s="1"/>
  <c r="K29" i="33" a="1"/>
  <c r="K29" i="33" s="1"/>
  <c r="E153" i="33" a="1"/>
  <c r="E153" i="33" s="1"/>
  <c r="U57" i="33" a="1"/>
  <c r="U57" i="33" s="1"/>
  <c r="T58" i="33" a="1"/>
  <c r="T58" i="33" s="1"/>
  <c r="L40" i="33" a="1"/>
  <c r="L40" i="33" s="1"/>
  <c r="S59" i="33" a="1"/>
  <c r="S59" i="33" s="1"/>
  <c r="U160" i="33" a="1"/>
  <c r="U160" i="33" s="1"/>
  <c r="J98" i="33" a="1"/>
  <c r="J98" i="33" s="1"/>
  <c r="U53" i="33" a="1"/>
  <c r="U53" i="33" s="1"/>
  <c r="O156" i="33" a="1"/>
  <c r="O156" i="33" s="1"/>
  <c r="U109" i="33" a="1"/>
  <c r="U109" i="33" s="1"/>
  <c r="J140" i="33" a="1"/>
  <c r="J140" i="33" s="1"/>
  <c r="O29" i="33" a="1"/>
  <c r="O29" i="33" s="1"/>
  <c r="E40" i="33" a="1"/>
  <c r="E40" i="33" s="1"/>
  <c r="U70" i="33" a="1"/>
  <c r="U70" i="33" s="1"/>
  <c r="R148" i="33" a="1"/>
  <c r="R148" i="33" s="1"/>
  <c r="P31" i="33" a="1"/>
  <c r="P31" i="33" s="1"/>
  <c r="S67" i="33" a="1"/>
  <c r="S67" i="33" s="1"/>
  <c r="H90" i="33" a="1"/>
  <c r="H90" i="33" s="1"/>
  <c r="R16" i="33" a="1"/>
  <c r="R16" i="33" s="1"/>
  <c r="N53" i="33" a="1"/>
  <c r="N53" i="33" s="1"/>
  <c r="F132" i="33" a="1"/>
  <c r="F132" i="33" s="1"/>
  <c r="G50" i="33" a="1"/>
  <c r="G50" i="33" s="1"/>
  <c r="O128" i="33" a="1"/>
  <c r="O128" i="33" s="1"/>
  <c r="I40" i="33" a="1"/>
  <c r="I40" i="33" s="1"/>
  <c r="U76" i="33" a="1"/>
  <c r="U76" i="33" s="1"/>
  <c r="F107" i="33" a="1"/>
  <c r="F107" i="33" s="1"/>
  <c r="N37" i="33" a="1"/>
  <c r="N37" i="33" s="1"/>
  <c r="U42" i="33" a="1"/>
  <c r="U42" i="33" s="1"/>
  <c r="U86" i="33" a="1"/>
  <c r="U86" i="33" s="1"/>
  <c r="R67" i="33" a="1"/>
  <c r="R67" i="33" s="1"/>
  <c r="CQ85" i="33" a="1"/>
  <c r="CQ85" i="33" s="1"/>
  <c r="R27" i="33" a="1"/>
  <c r="R27" i="33" s="1"/>
  <c r="P103" i="33" a="1"/>
  <c r="P103" i="33" s="1"/>
  <c r="O74" i="33" a="1"/>
  <c r="O74" i="33" s="1"/>
  <c r="J99" i="33" a="1"/>
  <c r="J99" i="33" s="1"/>
  <c r="E93" i="33" a="1"/>
  <c r="E93" i="33" s="1"/>
  <c r="N59" i="33" a="1"/>
  <c r="N59" i="33" s="1"/>
  <c r="T141" i="33" a="1"/>
  <c r="T141" i="33" s="1"/>
  <c r="G36" i="33" a="1"/>
  <c r="G36" i="33" s="1"/>
  <c r="T110" i="33" a="1"/>
  <c r="T110" i="33" s="1"/>
  <c r="L46" i="33" a="1"/>
  <c r="L46" i="33" s="1"/>
  <c r="H130" i="33" a="1"/>
  <c r="H130" i="33" s="1"/>
  <c r="T120" i="33" a="1"/>
  <c r="T120" i="33" s="1"/>
  <c r="H43" i="33" a="1"/>
  <c r="H43" i="33" s="1"/>
  <c r="N74" i="33" a="1"/>
  <c r="N74" i="33" s="1"/>
  <c r="E111" i="33" a="1"/>
  <c r="E111" i="33" s="1"/>
  <c r="Q77" i="33" a="1"/>
  <c r="Q77" i="33" s="1"/>
  <c r="R94" i="33" a="1"/>
  <c r="R94" i="33" s="1"/>
  <c r="G124" i="33" a="1"/>
  <c r="G124" i="33" s="1"/>
  <c r="P27" i="33" a="1"/>
  <c r="P27" i="33" s="1"/>
  <c r="M147" i="33" a="1"/>
  <c r="M147" i="33" s="1"/>
  <c r="I27" i="33" a="1"/>
  <c r="I27" i="33" s="1"/>
  <c r="G115" i="33" a="1"/>
  <c r="G115" i="33" s="1"/>
  <c r="R141" i="33" a="1"/>
  <c r="R141" i="33" s="1"/>
  <c r="E17" i="33" a="1"/>
  <c r="E17" i="33" s="1"/>
  <c r="K54" i="33" a="1"/>
  <c r="K54" i="33" s="1"/>
  <c r="S40" i="33" a="1"/>
  <c r="S40" i="33" s="1"/>
  <c r="O102" i="33" a="1"/>
  <c r="O102" i="33" s="1"/>
  <c r="N17" i="33" a="1"/>
  <c r="N17" i="33" s="1"/>
  <c r="O49" i="33" a="1"/>
  <c r="O49" i="33" s="1"/>
  <c r="Q121" i="33" a="1"/>
  <c r="Q121" i="33" s="1"/>
  <c r="T138" i="33" a="1"/>
  <c r="T138" i="33" s="1"/>
  <c r="R137" i="33" a="1"/>
  <c r="R137" i="33" s="1"/>
  <c r="CA116" i="33" a="1"/>
  <c r="CA116" i="33" s="1"/>
  <c r="K100" i="33" a="1"/>
  <c r="K100" i="33" s="1"/>
  <c r="J50" i="33" a="1"/>
  <c r="J50" i="33" s="1"/>
  <c r="F75" i="33" a="1"/>
  <c r="F75" i="33" s="1"/>
  <c r="R61" i="33" a="1"/>
  <c r="R61" i="33" s="1"/>
  <c r="J84" i="33" a="1"/>
  <c r="J84" i="33" s="1"/>
  <c r="R35" i="33" a="1"/>
  <c r="R35" i="33" s="1"/>
  <c r="Q131" i="33" a="1"/>
  <c r="Q131" i="33" s="1"/>
  <c r="O81" i="33" a="1"/>
  <c r="O81" i="33" s="1"/>
  <c r="T125" i="33" a="1"/>
  <c r="T125" i="33" s="1"/>
  <c r="R20" i="33" a="1"/>
  <c r="R20" i="33" s="1"/>
  <c r="G144" i="33" a="1"/>
  <c r="G144" i="33" s="1"/>
  <c r="F95" i="33" a="1"/>
  <c r="F95" i="33" s="1"/>
  <c r="F63" i="33" a="1"/>
  <c r="F63" i="33" s="1"/>
  <c r="CA88" i="33" a="1"/>
  <c r="CA88" i="33" s="1"/>
  <c r="E154" i="33" a="1"/>
  <c r="E154" i="33" s="1"/>
  <c r="U119" i="33" a="1"/>
  <c r="U119" i="33" s="1"/>
  <c r="I145" i="33" a="1"/>
  <c r="I145" i="33" s="1"/>
  <c r="M143" i="33" a="1"/>
  <c r="M143" i="33" s="1"/>
  <c r="N89" i="33" a="1"/>
  <c r="N89" i="33" s="1"/>
  <c r="Q144" i="33" a="1"/>
  <c r="Q144" i="33" s="1"/>
  <c r="I72" i="33" a="1"/>
  <c r="I72" i="33" s="1"/>
  <c r="G28" i="33" a="1"/>
  <c r="G28" i="33" s="1"/>
  <c r="G29" i="33" a="1"/>
  <c r="G29" i="33" s="1"/>
  <c r="P57" i="33" a="1"/>
  <c r="P57" i="33" s="1"/>
  <c r="H131" i="33" a="1"/>
  <c r="H131" i="33" s="1"/>
  <c r="L106" i="33" a="1"/>
  <c r="L106" i="33" s="1"/>
  <c r="P54" i="33" a="1"/>
  <c r="P54" i="33" s="1"/>
  <c r="F67" i="33" a="1"/>
  <c r="F67" i="33" s="1"/>
  <c r="L62" i="33" a="1"/>
  <c r="L62" i="33" s="1"/>
  <c r="M103" i="33" a="1"/>
  <c r="M103" i="33" s="1"/>
  <c r="F49" i="33" a="1"/>
  <c r="F49" i="33" s="1"/>
  <c r="H25" i="33" a="1"/>
  <c r="H25" i="33" s="1"/>
  <c r="T15" i="33" a="1"/>
  <c r="T15" i="33" s="1"/>
  <c r="I110" i="33" a="1"/>
  <c r="I110" i="33" s="1"/>
  <c r="O76" i="33" a="1"/>
  <c r="O76" i="33" s="1"/>
  <c r="Q29" i="33" a="1"/>
  <c r="Q29" i="33" s="1"/>
  <c r="N76" i="33" a="1"/>
  <c r="N76" i="33" s="1"/>
  <c r="M157" i="33" a="1"/>
  <c r="M157" i="33" s="1"/>
  <c r="F43" i="33" a="1"/>
  <c r="F43" i="33" s="1"/>
  <c r="O19" i="33" a="1"/>
  <c r="O19" i="33" s="1"/>
  <c r="H59" i="33" a="1"/>
  <c r="H59" i="33" s="1"/>
  <c r="U17" i="33" a="1"/>
  <c r="U17" i="33" s="1"/>
  <c r="N126" i="33" a="1"/>
  <c r="N126" i="33" s="1"/>
  <c r="I46" i="33" a="1"/>
  <c r="I46" i="33" s="1"/>
  <c r="I35" i="33" a="1"/>
  <c r="I35" i="33" s="1"/>
  <c r="Q64" i="33" a="1"/>
  <c r="Q64" i="33" s="1"/>
  <c r="G49" i="33" a="1"/>
  <c r="G49" i="33" s="1"/>
  <c r="P87" i="33" a="1"/>
  <c r="P87" i="33" s="1"/>
  <c r="J48" i="33" a="1"/>
  <c r="J48" i="33" s="1"/>
  <c r="L77" i="33" a="1"/>
  <c r="L77" i="33" s="1"/>
  <c r="E66" i="33" a="1"/>
  <c r="E66" i="33" s="1"/>
  <c r="M106" i="33" a="1"/>
  <c r="M106" i="33" s="1"/>
  <c r="N153" i="33" a="1"/>
  <c r="N153" i="33" s="1"/>
  <c r="O66" i="33" a="1"/>
  <c r="O66" i="33" s="1"/>
  <c r="K160" i="33" a="1"/>
  <c r="K160" i="33" s="1"/>
  <c r="I147" i="33" a="1"/>
  <c r="I147" i="33" s="1"/>
  <c r="N57" i="33" a="1"/>
  <c r="N57" i="33" s="1"/>
  <c r="Q160" i="33" a="1"/>
  <c r="Q160" i="33" s="1"/>
  <c r="T82" i="33" a="1"/>
  <c r="T82" i="33" s="1"/>
  <c r="T38" i="33" a="1"/>
  <c r="T38" i="33" s="1"/>
  <c r="U159" i="33" a="1"/>
  <c r="U159" i="33" s="1"/>
  <c r="J134" i="33" a="1"/>
  <c r="J134" i="33" s="1"/>
  <c r="R62" i="33" a="1"/>
  <c r="R62" i="33" s="1"/>
  <c r="I97" i="33" a="1"/>
  <c r="I97" i="33" s="1"/>
  <c r="M25" i="33" a="1"/>
  <c r="M25" i="33" s="1"/>
  <c r="F74" i="33" a="1"/>
  <c r="F74" i="33" s="1"/>
  <c r="N96" i="33" a="1"/>
  <c r="N96" i="33" s="1"/>
  <c r="N140" i="33" a="1"/>
  <c r="N140" i="33" s="1"/>
  <c r="K136" i="33" a="1"/>
  <c r="K136" i="33" s="1"/>
  <c r="R41" i="33" a="1"/>
  <c r="R41" i="33" s="1"/>
  <c r="M27" i="33" a="1"/>
  <c r="M27" i="33" s="1"/>
  <c r="F54" i="33" a="1"/>
  <c r="F54" i="33" s="1"/>
  <c r="P70" i="33" a="1"/>
  <c r="P70" i="33" s="1"/>
  <c r="F159" i="33" a="1"/>
  <c r="F159" i="33" s="1"/>
  <c r="F106" i="33" a="1"/>
  <c r="F106" i="33" s="1"/>
  <c r="Z30" i="33" a="1"/>
  <c r="Z30" i="33" s="1"/>
  <c r="I152" i="33" a="1"/>
  <c r="I152" i="33" s="1"/>
  <c r="E55" i="33" a="1"/>
  <c r="E55" i="33" s="1"/>
  <c r="S58" i="33" a="1"/>
  <c r="S58" i="33" s="1"/>
  <c r="T129" i="33" a="1"/>
  <c r="T129" i="33" s="1"/>
  <c r="M32" i="33" a="1"/>
  <c r="M32" i="33" s="1"/>
  <c r="I15" i="33" a="1"/>
  <c r="I15" i="33" s="1"/>
  <c r="Q74" i="33" a="1"/>
  <c r="Q74" i="33" s="1"/>
  <c r="I86" i="33" a="1"/>
  <c r="I86" i="33" s="1"/>
  <c r="Q156" i="33" a="1"/>
  <c r="Q156" i="33" s="1"/>
  <c r="M84" i="33" a="1"/>
  <c r="M84" i="33" s="1"/>
  <c r="Y130" i="33" a="1"/>
  <c r="Y130" i="33" s="1"/>
  <c r="K129" i="33" a="1"/>
  <c r="K129" i="33" s="1"/>
  <c r="J25" i="33" a="1"/>
  <c r="J25" i="33" s="1"/>
  <c r="H46" i="33" a="1"/>
  <c r="H46" i="33" s="1"/>
  <c r="N55" i="33" a="1"/>
  <c r="N55" i="33" s="1"/>
  <c r="E49" i="33" a="1"/>
  <c r="E49" i="33" s="1"/>
  <c r="M135" i="33" a="1"/>
  <c r="M135" i="33" s="1"/>
  <c r="P83" i="33" a="1"/>
  <c r="P83" i="33" s="1"/>
  <c r="T114" i="33" a="1"/>
  <c r="T114" i="33" s="1"/>
  <c r="CR37" i="33" a="1"/>
  <c r="CR37" i="33" s="1"/>
  <c r="L75" i="33" a="1"/>
  <c r="L75" i="33" s="1"/>
  <c r="F145" i="33" a="1"/>
  <c r="F145" i="33" s="1"/>
  <c r="E24" i="33" a="1"/>
  <c r="E24" i="33" s="1"/>
  <c r="T87" i="33" a="1"/>
  <c r="T87" i="33" s="1"/>
  <c r="Q87" i="33" a="1"/>
  <c r="Q87" i="33" s="1"/>
  <c r="R151" i="33" a="1"/>
  <c r="R151" i="33" s="1"/>
  <c r="M31" i="33" a="1"/>
  <c r="M31" i="33" s="1"/>
  <c r="Q61" i="33" a="1"/>
  <c r="Q61" i="33" s="1"/>
  <c r="Q147" i="33" a="1"/>
  <c r="Q147" i="33" s="1"/>
  <c r="AV42" i="33" a="1"/>
  <c r="AV42" i="33" s="1"/>
  <c r="Q98" i="33" a="1"/>
  <c r="Q98" i="33" s="1"/>
  <c r="T113" i="33" a="1"/>
  <c r="T113" i="33" s="1"/>
  <c r="N51" i="33" a="1"/>
  <c r="N51" i="33" s="1"/>
  <c r="AV107" i="33" a="1"/>
  <c r="AV107" i="33" s="1"/>
  <c r="G31" i="33" a="1"/>
  <c r="G31" i="33" s="1"/>
  <c r="F142" i="33" a="1"/>
  <c r="F142" i="33" s="1"/>
  <c r="Q41" i="33" a="1"/>
  <c r="Q41" i="33" s="1"/>
  <c r="G43" i="33" a="1"/>
  <c r="G43" i="33" s="1"/>
  <c r="R126" i="33" a="1"/>
  <c r="R126" i="33" s="1"/>
  <c r="Q52" i="33" a="1"/>
  <c r="Q52" i="33" s="1"/>
  <c r="O75" i="33" a="1"/>
  <c r="O75" i="33" s="1"/>
  <c r="I28" i="33" a="1"/>
  <c r="I28" i="33" s="1"/>
  <c r="T42" i="33" a="1"/>
  <c r="T42" i="33" s="1"/>
  <c r="AW42" i="33" a="1"/>
  <c r="AW42" i="33" s="1"/>
  <c r="O126" i="33" a="1"/>
  <c r="O126" i="33" s="1"/>
  <c r="L128" i="33" a="1"/>
  <c r="L128" i="33" s="1"/>
  <c r="R145" i="33" a="1"/>
  <c r="R145" i="33" s="1"/>
  <c r="R75" i="33" a="1"/>
  <c r="R75" i="33" s="1"/>
  <c r="I143" i="33" a="1"/>
  <c r="I143" i="33" s="1"/>
  <c r="G17" i="33" a="1"/>
  <c r="G17" i="33" s="1"/>
  <c r="R19" i="33" a="1"/>
  <c r="R19" i="33" s="1"/>
  <c r="Q63" i="33" a="1"/>
  <c r="Q63" i="33" s="1"/>
  <c r="CH146" i="33" a="1"/>
  <c r="CH146" i="33" s="1"/>
  <c r="J65" i="33" a="1"/>
  <c r="J65" i="33" s="1"/>
  <c r="E107" i="33" a="1"/>
  <c r="E107" i="33" s="1"/>
  <c r="N128" i="33" a="1"/>
  <c r="N128" i="33" s="1"/>
  <c r="G59" i="33" a="1"/>
  <c r="G59" i="33" s="1"/>
  <c r="J129" i="33" a="1"/>
  <c r="J129" i="33" s="1"/>
  <c r="T156" i="33" a="1"/>
  <c r="T156" i="33" s="1"/>
  <c r="I16" i="33" a="1"/>
  <c r="I16" i="33" s="1"/>
  <c r="S146" i="33" a="1"/>
  <c r="S146" i="33" s="1"/>
  <c r="M104" i="33" a="1"/>
  <c r="M104" i="33" s="1"/>
  <c r="F158" i="33" a="1"/>
  <c r="F158" i="33" s="1"/>
  <c r="G152" i="33" a="1"/>
  <c r="G152" i="33" s="1"/>
  <c r="BX120" i="33" a="1"/>
  <c r="BX120" i="33" s="1"/>
  <c r="F26" i="33" a="1"/>
  <c r="F26" i="33" s="1"/>
  <c r="AV151" i="33" a="1"/>
  <c r="AV151" i="33" s="1"/>
  <c r="H116" i="33" a="1"/>
  <c r="H116" i="33" s="1"/>
  <c r="E90" i="33" a="1"/>
  <c r="E90" i="33" s="1"/>
  <c r="H89" i="33" a="1"/>
  <c r="H89" i="33" s="1"/>
  <c r="Q56" i="33" a="1"/>
  <c r="Q56" i="33" s="1"/>
  <c r="Q114" i="33" a="1"/>
  <c r="Q114" i="33" s="1"/>
  <c r="N56" i="33" a="1"/>
  <c r="N56" i="33" s="1"/>
  <c r="I151" i="33" a="1"/>
  <c r="I151" i="33" s="1"/>
  <c r="Q150" i="33" a="1"/>
  <c r="Q150" i="33" s="1"/>
  <c r="M70" i="33" a="1"/>
  <c r="M70" i="33" s="1"/>
  <c r="CH126" i="33" a="1"/>
  <c r="CH126" i="33" s="1"/>
  <c r="E95" i="33" a="1"/>
  <c r="E95" i="33" s="1"/>
  <c r="S139" i="33" a="1"/>
  <c r="S139" i="33" s="1"/>
  <c r="F152" i="33" a="1"/>
  <c r="F152" i="33" s="1"/>
  <c r="M118" i="33" a="1"/>
  <c r="M118" i="33" s="1"/>
  <c r="M42" i="33" a="1"/>
  <c r="M42" i="33" s="1"/>
  <c r="P19" i="33" a="1"/>
  <c r="P19" i="33" s="1"/>
  <c r="F111" i="33" a="1"/>
  <c r="F111" i="33" s="1"/>
  <c r="G60" i="33" a="1"/>
  <c r="G60" i="33" s="1"/>
  <c r="N158" i="33" a="1"/>
  <c r="N158" i="33" s="1"/>
  <c r="N148" i="33" a="1"/>
  <c r="N148" i="33" s="1"/>
  <c r="N125" i="33" a="1"/>
  <c r="N125" i="33" s="1"/>
  <c r="R149" i="33" a="1"/>
  <c r="R149" i="33" s="1"/>
  <c r="F34" i="33" a="1"/>
  <c r="F34" i="33" s="1"/>
  <c r="BM25" i="33" a="1"/>
  <c r="BM25" i="33" s="1"/>
  <c r="H41" i="33" a="1"/>
  <c r="H41" i="33" s="1"/>
  <c r="J69" i="33" a="1"/>
  <c r="J69" i="33" s="1"/>
  <c r="E63" i="33" a="1"/>
  <c r="E63" i="33" s="1"/>
  <c r="G161" i="33" a="1"/>
  <c r="G161" i="33" s="1"/>
  <c r="Q111" i="33" a="1"/>
  <c r="Q111" i="33" s="1"/>
  <c r="N121" i="33" a="1"/>
  <c r="N121" i="33" s="1"/>
  <c r="BD50" i="33" a="1"/>
  <c r="BD50" i="33" s="1"/>
  <c r="M136" i="33" a="1"/>
  <c r="M136" i="33" s="1"/>
  <c r="J143" i="33" a="1"/>
  <c r="J143" i="33" s="1"/>
  <c r="R154" i="33" a="1"/>
  <c r="R154" i="33" s="1"/>
  <c r="M62" i="33" a="1"/>
  <c r="M62" i="33" s="1"/>
  <c r="T99" i="33" a="1"/>
  <c r="T99" i="33" s="1"/>
  <c r="U128" i="33" a="1"/>
  <c r="U128" i="33" s="1"/>
  <c r="P95" i="33" a="1"/>
  <c r="P95" i="33" s="1"/>
  <c r="I108" i="33" a="1"/>
  <c r="I108" i="33" s="1"/>
  <c r="BZ55" i="33" a="1"/>
  <c r="BZ55" i="33" s="1"/>
  <c r="U125" i="33" a="1"/>
  <c r="U125" i="33" s="1"/>
  <c r="E74" i="33" a="1"/>
  <c r="E74" i="33" s="1"/>
  <c r="F105" i="33" a="1"/>
  <c r="F105" i="33" s="1"/>
  <c r="T157" i="33" a="1"/>
  <c r="T157" i="33" s="1"/>
  <c r="N119" i="33" a="1"/>
  <c r="N119" i="33" s="1"/>
  <c r="J112" i="33" a="1"/>
  <c r="J112" i="33" s="1"/>
  <c r="I99" i="33" a="1"/>
  <c r="I99" i="33" s="1"/>
  <c r="J59" i="33" a="1"/>
  <c r="J59" i="33" s="1"/>
  <c r="T93" i="33" a="1"/>
  <c r="T93" i="33" s="1"/>
  <c r="N151" i="33" a="1"/>
  <c r="N151" i="33" s="1"/>
  <c r="F125" i="33" a="1"/>
  <c r="F125" i="33" s="1"/>
  <c r="M48" i="33" a="1"/>
  <c r="M48" i="33" s="1"/>
  <c r="I82" i="33" a="1"/>
  <c r="I82" i="33" s="1"/>
  <c r="Z106" i="33" a="1"/>
  <c r="Z106" i="33" s="1"/>
  <c r="P158" i="33" a="1"/>
  <c r="P158" i="33" s="1"/>
  <c r="H35" i="33" a="1"/>
  <c r="H35" i="33" s="1"/>
  <c r="F139" i="33" a="1"/>
  <c r="F139" i="33" s="1"/>
  <c r="M37" i="33" a="1"/>
  <c r="M37" i="33" s="1"/>
  <c r="F135" i="33" a="1"/>
  <c r="F135" i="33" s="1"/>
  <c r="R45" i="33" a="1"/>
  <c r="R45" i="33" s="1"/>
  <c r="T137" i="33" a="1"/>
  <c r="T137" i="33" s="1"/>
  <c r="P137" i="33" a="1"/>
  <c r="P137" i="33" s="1"/>
  <c r="I153" i="33" a="1"/>
  <c r="I153" i="33" s="1"/>
  <c r="BZ139" i="33" a="1"/>
  <c r="BZ139" i="33" s="1"/>
  <c r="H73" i="33" a="1"/>
  <c r="H73" i="33" s="1"/>
  <c r="H21" i="33" a="1"/>
  <c r="H21" i="33" s="1"/>
  <c r="T65" i="33" a="1"/>
  <c r="T65" i="33" s="1"/>
  <c r="F156" i="33" a="1"/>
  <c r="F156" i="33" s="1"/>
  <c r="I142" i="33" a="1"/>
  <c r="I142" i="33" s="1"/>
  <c r="H64" i="33" a="1"/>
  <c r="H64" i="33" s="1"/>
  <c r="L66" i="33" a="1"/>
  <c r="L66" i="33" s="1"/>
  <c r="I109" i="33" a="1"/>
  <c r="I109" i="33" s="1"/>
  <c r="T77" i="33" a="1"/>
  <c r="T77" i="33" s="1"/>
  <c r="R124" i="33" a="1"/>
  <c r="R124" i="33" s="1"/>
  <c r="Q58" i="33" a="1"/>
  <c r="Q58" i="33" s="1"/>
  <c r="I103" i="33" a="1"/>
  <c r="I103" i="33" s="1"/>
  <c r="Q44" i="33" a="1"/>
  <c r="Q44" i="33" s="1"/>
  <c r="G105" i="33" a="1"/>
  <c r="G105" i="33" s="1"/>
  <c r="I157" i="33" a="1"/>
  <c r="I157" i="33" s="1"/>
  <c r="L161" i="33" a="1"/>
  <c r="L161" i="33" s="1"/>
  <c r="I155" i="33" a="1"/>
  <c r="I155" i="33" s="1"/>
  <c r="M66" i="33" a="1"/>
  <c r="M66" i="33" s="1"/>
  <c r="G136" i="33" a="1"/>
  <c r="G136" i="33" s="1"/>
  <c r="M19" i="33" a="1"/>
  <c r="M19" i="33" s="1"/>
  <c r="M46" i="33" a="1"/>
  <c r="M46" i="33" s="1"/>
  <c r="R99" i="33" a="1"/>
  <c r="R99" i="33" s="1"/>
  <c r="M114" i="33" a="1"/>
  <c r="M114" i="33" s="1"/>
  <c r="AV100" i="33" a="1"/>
  <c r="AV100" i="33" s="1"/>
  <c r="P148" i="33" a="1"/>
  <c r="P148" i="33" s="1"/>
  <c r="E143" i="33" a="1"/>
  <c r="E143" i="33" s="1"/>
  <c r="P79" i="33" a="1"/>
  <c r="P79" i="33" s="1"/>
  <c r="H83" i="33" a="1"/>
  <c r="H83" i="33" s="1"/>
  <c r="U73" i="33" a="1"/>
  <c r="U73" i="33" s="1"/>
  <c r="P89" i="33" a="1"/>
  <c r="P89" i="33" s="1"/>
  <c r="E159" i="33" a="1"/>
  <c r="E159" i="33" s="1"/>
  <c r="L101" i="33" a="1"/>
  <c r="L101" i="33" s="1"/>
  <c r="U65" i="33" a="1"/>
  <c r="U65" i="33" s="1"/>
  <c r="S27" i="33" a="1"/>
  <c r="S27" i="33" s="1"/>
  <c r="J147" i="33" a="1"/>
  <c r="J147" i="33" s="1"/>
  <c r="U63" i="33" a="1"/>
  <c r="U63" i="33" s="1"/>
  <c r="U84" i="33" a="1"/>
  <c r="U84" i="33" s="1"/>
  <c r="Q142" i="33" a="1"/>
  <c r="Q142" i="33" s="1"/>
  <c r="R38" i="33" a="1"/>
  <c r="R38" i="33" s="1"/>
  <c r="F146" i="33" a="1"/>
  <c r="F146" i="33" s="1"/>
  <c r="G46" i="33" a="1"/>
  <c r="G46" i="33" s="1"/>
  <c r="S75" i="33" a="1"/>
  <c r="S75" i="33" s="1"/>
  <c r="L18" i="33" a="1"/>
  <c r="L18" i="33" s="1"/>
  <c r="K110" i="33" a="1"/>
  <c r="K110" i="33" s="1"/>
  <c r="K19" i="33" a="1"/>
  <c r="K19" i="33" s="1"/>
  <c r="J75" i="33" a="1"/>
  <c r="J75" i="33" s="1"/>
  <c r="E19" i="33" a="1"/>
  <c r="E19" i="33" s="1"/>
  <c r="O56" i="33" a="1"/>
  <c r="O56" i="33" s="1"/>
  <c r="O117" i="33" a="1"/>
  <c r="O117" i="33" s="1"/>
  <c r="L26" i="33" a="1"/>
  <c r="L26" i="33" s="1"/>
  <c r="R132" i="33" a="1"/>
  <c r="R132" i="33" s="1"/>
  <c r="H124" i="33" a="1"/>
  <c r="H124" i="33" s="1"/>
  <c r="E119" i="33" a="1"/>
  <c r="E119" i="33" s="1"/>
  <c r="T147" i="33" a="1"/>
  <c r="T147" i="33" s="1"/>
  <c r="Q71" i="33" a="1"/>
  <c r="Q71" i="33" s="1"/>
  <c r="Q32" i="33" a="1"/>
  <c r="Q32" i="33" s="1"/>
  <c r="U82" i="33" a="1"/>
  <c r="U82" i="33" s="1"/>
  <c r="R106" i="33" a="1"/>
  <c r="R106" i="33" s="1"/>
  <c r="M63" i="33" a="1"/>
  <c r="M63" i="33" s="1"/>
  <c r="L89" i="33" a="1"/>
  <c r="L89" i="33" s="1"/>
  <c r="J34" i="33" a="1"/>
  <c r="J34" i="33" s="1"/>
  <c r="N159" i="33" a="1"/>
  <c r="N159" i="33" s="1"/>
  <c r="M96" i="33" a="1"/>
  <c r="M96" i="33" s="1"/>
  <c r="E127" i="33" a="1"/>
  <c r="E127" i="33" s="1"/>
  <c r="P33" i="33" a="1"/>
  <c r="P33" i="33" s="1"/>
  <c r="Q95" i="33" a="1"/>
  <c r="Q95" i="33" s="1"/>
  <c r="N111" i="33" a="1"/>
  <c r="N111" i="33" s="1"/>
  <c r="CT149" i="33" a="1"/>
  <c r="CT149" i="33" s="1"/>
  <c r="I53" i="33" a="1"/>
  <c r="I53" i="33" s="1"/>
  <c r="H54" i="33" a="1"/>
  <c r="H54" i="33" s="1"/>
  <c r="K68" i="33" a="1"/>
  <c r="K68" i="33" s="1"/>
  <c r="Q130" i="33" a="1"/>
  <c r="Q130" i="33" s="1"/>
  <c r="G39" i="33" a="1"/>
  <c r="G39" i="33" s="1"/>
  <c r="F157" i="33" a="1"/>
  <c r="F157" i="33" s="1"/>
  <c r="Q15" i="33" a="1"/>
  <c r="Q15" i="33" s="1"/>
  <c r="M54" i="33" a="1"/>
  <c r="M54" i="33" s="1"/>
  <c r="CT29" i="33" a="1"/>
  <c r="CT29" i="33" s="1"/>
  <c r="S113" i="33" a="1"/>
  <c r="S113" i="33" s="1"/>
  <c r="J158" i="33" a="1"/>
  <c r="J158" i="33" s="1"/>
  <c r="J130" i="33" a="1"/>
  <c r="J130" i="33" s="1"/>
  <c r="U99" i="33" a="1"/>
  <c r="U99" i="33" s="1"/>
  <c r="K109" i="33" a="1"/>
  <c r="K109" i="33" s="1"/>
  <c r="H117" i="33" a="1"/>
  <c r="H117" i="33" s="1"/>
  <c r="S61" i="33" a="1"/>
  <c r="S61" i="33" s="1"/>
  <c r="L105" i="33" a="1"/>
  <c r="L105" i="33" s="1"/>
  <c r="H120" i="33" a="1"/>
  <c r="H120" i="33" s="1"/>
  <c r="L151" i="33" a="1"/>
  <c r="L151" i="33" s="1"/>
  <c r="E152" i="33" a="1"/>
  <c r="E152" i="33" s="1"/>
  <c r="S77" i="33" a="1"/>
  <c r="S77" i="33" s="1"/>
  <c r="O83" i="33" a="1"/>
  <c r="O83" i="33" s="1"/>
  <c r="M82" i="33" a="1"/>
  <c r="M82" i="33" s="1"/>
  <c r="R155" i="33" a="1"/>
  <c r="R155" i="33" s="1"/>
  <c r="T61" i="33" a="1"/>
  <c r="T61" i="33" s="1"/>
  <c r="T54" i="33" a="1"/>
  <c r="T54" i="33" s="1"/>
  <c r="CT68" i="33" a="1"/>
  <c r="CT68" i="33" s="1"/>
  <c r="H103" i="33" a="1"/>
  <c r="H103" i="33" s="1"/>
  <c r="N77" i="33" a="1"/>
  <c r="N77" i="33" s="1"/>
  <c r="H28" i="33" a="1"/>
  <c r="H28" i="33" s="1"/>
  <c r="J154" i="33" a="1"/>
  <c r="J154" i="33" s="1"/>
  <c r="J71" i="33" a="1"/>
  <c r="J71" i="33" s="1"/>
  <c r="O115" i="33" a="1"/>
  <c r="O115" i="33" s="1"/>
  <c r="S100" i="33" a="1"/>
  <c r="S100" i="33" s="1"/>
  <c r="E161" i="33" a="1"/>
  <c r="E161" i="33" s="1"/>
  <c r="N42" i="33" a="1"/>
  <c r="N42" i="33" s="1"/>
  <c r="P22" i="33" a="1"/>
  <c r="P22" i="33" s="1"/>
  <c r="J78" i="33" a="1"/>
  <c r="J78" i="33" s="1"/>
  <c r="F36" i="33" a="1"/>
  <c r="F36" i="33" s="1"/>
  <c r="AC21" i="33" a="1"/>
  <c r="AC21" i="33" s="1"/>
  <c r="E146" i="33" a="1"/>
  <c r="E146" i="33" s="1"/>
  <c r="J96" i="33" a="1"/>
  <c r="J96" i="33" s="1"/>
  <c r="R142" i="33" a="1"/>
  <c r="R142" i="33" s="1"/>
  <c r="O90" i="33" a="1"/>
  <c r="O90" i="33" s="1"/>
  <c r="J148" i="33" a="1"/>
  <c r="J148" i="33" s="1"/>
  <c r="T134" i="33" a="1"/>
  <c r="T134" i="33" s="1"/>
  <c r="Q42" i="33" a="1"/>
  <c r="Q42" i="33" s="1"/>
  <c r="G34" i="33" a="1"/>
  <c r="G34" i="33" s="1"/>
  <c r="N100" i="33" a="1"/>
  <c r="N100" i="33" s="1"/>
  <c r="J146" i="33" a="1"/>
  <c r="J146" i="33" s="1"/>
  <c r="K38" i="33" a="1"/>
  <c r="K38" i="33" s="1"/>
  <c r="L70" i="33" a="1"/>
  <c r="L70" i="33" s="1"/>
  <c r="R28" i="33" a="1"/>
  <c r="R28" i="33" s="1"/>
  <c r="G143" i="33" a="1"/>
  <c r="G143" i="33" s="1"/>
  <c r="F14" i="33" a="1"/>
  <c r="F14" i="33" s="1"/>
  <c r="Q155" i="33" a="1"/>
  <c r="Q155" i="33" s="1"/>
  <c r="O69" i="33" a="1"/>
  <c r="O69" i="33" s="1"/>
  <c r="Q72" i="33" a="1"/>
  <c r="Q72" i="33" s="1"/>
  <c r="Z161" i="33" a="1"/>
  <c r="Z161" i="33" s="1"/>
  <c r="S24" i="33" a="1"/>
  <c r="S24" i="33" s="1"/>
  <c r="H77" i="33" a="1"/>
  <c r="H77" i="33" s="1"/>
  <c r="L67" i="33" a="1"/>
  <c r="L67" i="33" s="1"/>
  <c r="K105" i="33" a="1"/>
  <c r="K105" i="33" s="1"/>
  <c r="P112" i="33" a="1"/>
  <c r="P112" i="33" s="1"/>
  <c r="U33" i="33" a="1"/>
  <c r="U33" i="33" s="1"/>
  <c r="S123" i="33" a="1"/>
  <c r="S123" i="33" s="1"/>
  <c r="E31" i="33" a="1"/>
  <c r="E31" i="33" s="1"/>
  <c r="H52" i="33" a="1"/>
  <c r="H52" i="33" s="1"/>
  <c r="L15" i="33" a="1"/>
  <c r="L15" i="33" s="1"/>
  <c r="Q28" i="33" a="1"/>
  <c r="Q28" i="33" s="1"/>
  <c r="R97" i="33" a="1"/>
  <c r="R97" i="33" s="1"/>
  <c r="O130" i="33" a="1"/>
  <c r="O130" i="33" s="1"/>
  <c r="N46" i="33" a="1"/>
  <c r="N46" i="33" s="1"/>
  <c r="G99" i="33" a="1"/>
  <c r="G99" i="33" s="1"/>
  <c r="N61" i="33" a="1"/>
  <c r="N61" i="33" s="1"/>
  <c r="F115" i="33" a="1"/>
  <c r="F115" i="33" s="1"/>
  <c r="BH138" i="33" a="1"/>
  <c r="BH138" i="33" s="1"/>
  <c r="H105" i="33" a="1"/>
  <c r="H105" i="33" s="1"/>
  <c r="L117" i="33" a="1"/>
  <c r="L117" i="33" s="1"/>
  <c r="L65" i="33" a="1"/>
  <c r="L65" i="33" s="1"/>
  <c r="P114" i="33" a="1"/>
  <c r="P114" i="33" s="1"/>
  <c r="P93" i="33" a="1"/>
  <c r="P93" i="33" s="1"/>
  <c r="H92" i="33" a="1"/>
  <c r="H92" i="33" s="1"/>
  <c r="U114" i="33" a="1"/>
  <c r="U114" i="33" s="1"/>
  <c r="K116" i="33" a="1"/>
  <c r="K116" i="33" s="1"/>
  <c r="L47" i="33" a="1"/>
  <c r="L47" i="33" s="1"/>
  <c r="Q78" i="33" a="1"/>
  <c r="Q78" i="33" s="1"/>
  <c r="E52" i="33" a="1"/>
  <c r="E52" i="33" s="1"/>
  <c r="Q124" i="33" a="1"/>
  <c r="Q124" i="33" s="1"/>
  <c r="L31" i="33" a="1"/>
  <c r="L31" i="33" s="1"/>
  <c r="I116" i="33" a="1"/>
  <c r="I116" i="33" s="1"/>
  <c r="N70" i="33" a="1"/>
  <c r="N70" i="33" s="1"/>
  <c r="I42" i="33" a="1"/>
  <c r="I42" i="33" s="1"/>
  <c r="U59" i="33" a="1"/>
  <c r="U59" i="33" s="1"/>
  <c r="I36" i="33" a="1"/>
  <c r="I36" i="33" s="1"/>
  <c r="N143" i="33" a="1"/>
  <c r="N143" i="33" s="1"/>
  <c r="BW15" i="33" a="1"/>
  <c r="BW15" i="33" s="1"/>
  <c r="K46" i="33" a="1"/>
  <c r="K46" i="33" s="1"/>
  <c r="U78" i="33" a="1"/>
  <c r="U78" i="33" s="1"/>
  <c r="M127" i="33" a="1"/>
  <c r="M127" i="33" s="1"/>
  <c r="O101" i="33" a="1"/>
  <c r="O101" i="33" s="1"/>
  <c r="I101" i="33" a="1"/>
  <c r="I101" i="33" s="1"/>
  <c r="AS57" i="33" a="1"/>
  <c r="AS57" i="33" s="1"/>
  <c r="R71" i="33" a="1"/>
  <c r="R71" i="33" s="1"/>
  <c r="I144" i="33" a="1"/>
  <c r="I144" i="33" s="1"/>
  <c r="CR99" i="33" a="1"/>
  <c r="CR99" i="33" s="1"/>
  <c r="K156" i="33" a="1"/>
  <c r="K156" i="33" s="1"/>
  <c r="J109" i="33" a="1"/>
  <c r="J109" i="33" s="1"/>
  <c r="N79" i="33" a="1"/>
  <c r="N79" i="33" s="1"/>
  <c r="T115" i="33" a="1"/>
  <c r="T115" i="33" s="1"/>
  <c r="T89" i="33" a="1"/>
  <c r="T89" i="33" s="1"/>
  <c r="F16" i="33" a="1"/>
  <c r="F16" i="33" s="1"/>
  <c r="F131" i="33" a="1"/>
  <c r="F131" i="33" s="1"/>
  <c r="I140" i="33" a="1"/>
  <c r="I140" i="33" s="1"/>
  <c r="AS67" i="33" a="1"/>
  <c r="AS67" i="33" s="1"/>
  <c r="L60" i="33" a="1"/>
  <c r="L60" i="33" s="1"/>
  <c r="J32" i="33" a="1"/>
  <c r="J32" i="33" s="1"/>
  <c r="H66" i="33" a="1"/>
  <c r="H66" i="33" s="1"/>
  <c r="H19" i="33" a="1"/>
  <c r="H19" i="33" s="1"/>
  <c r="U147" i="33" a="1"/>
  <c r="U147" i="33" s="1"/>
  <c r="L81" i="33" a="1"/>
  <c r="L81" i="33" s="1"/>
  <c r="S47" i="33" a="1"/>
  <c r="S47" i="33" s="1"/>
  <c r="U112" i="33" a="1"/>
  <c r="U112" i="33" s="1"/>
  <c r="P129" i="33" a="1"/>
  <c r="P129" i="33" s="1"/>
  <c r="S71" i="33" a="1"/>
  <c r="S71" i="33" s="1"/>
  <c r="J137" i="33" a="1"/>
  <c r="J137" i="33" s="1"/>
  <c r="I120" i="33" a="1"/>
  <c r="I120" i="33" s="1"/>
  <c r="R50" i="33" a="1"/>
  <c r="R50" i="33" s="1"/>
  <c r="K63" i="33" a="1"/>
  <c r="K63" i="33" s="1"/>
  <c r="I148" i="33" a="1"/>
  <c r="I148" i="33" s="1"/>
  <c r="T97" i="33" a="1"/>
  <c r="T97" i="33" s="1"/>
  <c r="Q48" i="33" a="1"/>
  <c r="Q48" i="33" s="1"/>
  <c r="Z114" i="33" a="1"/>
  <c r="Z114" i="33" s="1"/>
  <c r="P156" i="33" a="1"/>
  <c r="P156" i="33" s="1"/>
  <c r="K87" i="33" a="1"/>
  <c r="K87" i="33" s="1"/>
  <c r="E89" i="33" a="1"/>
  <c r="E89" i="33" s="1"/>
  <c r="K41" i="33" a="1"/>
  <c r="K41" i="33" s="1"/>
  <c r="J73" i="33" a="1"/>
  <c r="J73" i="33" s="1"/>
  <c r="N41" i="33" a="1"/>
  <c r="N41" i="33" s="1"/>
  <c r="L29" i="33" a="1"/>
  <c r="L29" i="33" s="1"/>
  <c r="O116" i="33" a="1"/>
  <c r="O116" i="33" s="1"/>
  <c r="L32" i="33" a="1"/>
  <c r="L32" i="33" s="1"/>
  <c r="G153" i="33" a="1"/>
  <c r="G153" i="33" s="1"/>
  <c r="L102" i="33" a="1"/>
  <c r="L102" i="33" s="1"/>
  <c r="L95" i="33" a="1"/>
  <c r="L95" i="33" s="1"/>
  <c r="T123" i="33" a="1"/>
  <c r="T123" i="33" s="1"/>
  <c r="U135" i="33" a="1"/>
  <c r="U135" i="33" s="1"/>
  <c r="Q149" i="33" a="1"/>
  <c r="Q149" i="33" s="1"/>
  <c r="M141" i="33" a="1"/>
  <c r="M141" i="33" s="1"/>
  <c r="M126" i="33" a="1"/>
  <c r="M126" i="33" s="1"/>
  <c r="U148" i="33" a="1"/>
  <c r="U148" i="33" s="1"/>
  <c r="R53" i="33" a="1"/>
  <c r="R53" i="33" s="1"/>
  <c r="S79" i="33" a="1"/>
  <c r="S79" i="33" s="1"/>
  <c r="N84" i="33" a="1"/>
  <c r="N84" i="33" s="1"/>
  <c r="F112" i="33" a="1"/>
  <c r="F112" i="33" s="1"/>
  <c r="K150" i="33" a="1"/>
  <c r="K150" i="33" s="1"/>
  <c r="G44" i="33" a="1"/>
  <c r="G44" i="33" s="1"/>
  <c r="S127" i="33" a="1"/>
  <c r="S127" i="33" s="1"/>
  <c r="P105" i="33" a="1"/>
  <c r="P105" i="33" s="1"/>
  <c r="O145" i="33" a="1"/>
  <c r="O145" i="33" s="1"/>
  <c r="Q157" i="33" a="1"/>
  <c r="Q157" i="33" s="1"/>
  <c r="M38" i="33" a="1"/>
  <c r="M38" i="33" s="1"/>
  <c r="BZ117" i="33" a="1"/>
  <c r="BZ117" i="33" s="1"/>
  <c r="CR160" i="33" a="1"/>
  <c r="CR160" i="33" s="1"/>
  <c r="K58" i="33" a="1"/>
  <c r="K58" i="33" s="1"/>
  <c r="O112" i="33" a="1"/>
  <c r="O112" i="33" s="1"/>
  <c r="G69" i="33" a="1"/>
  <c r="G69" i="33" s="1"/>
  <c r="R117" i="33" a="1"/>
  <c r="R117" i="33" s="1"/>
  <c r="S18" i="33" a="1"/>
  <c r="S18" i="33" s="1"/>
  <c r="M101" i="33" a="1"/>
  <c r="M101" i="33" s="1"/>
  <c r="N75" i="33" a="1"/>
  <c r="N75" i="33" s="1"/>
  <c r="BH91" i="33" a="1"/>
  <c r="BH91" i="33" s="1"/>
  <c r="AI108" i="33" a="1"/>
  <c r="AI108" i="33" s="1"/>
  <c r="L24" i="33" a="1"/>
  <c r="L24" i="33" s="1"/>
  <c r="K148" i="33" a="1"/>
  <c r="K148" i="33" s="1"/>
  <c r="S136" i="33" a="1"/>
  <c r="S136" i="33" s="1"/>
  <c r="J72" i="33" a="1"/>
  <c r="J72" i="33" s="1"/>
  <c r="U54" i="33" a="1"/>
  <c r="U54" i="33" s="1"/>
  <c r="U61" i="33" a="1"/>
  <c r="U61" i="33" s="1"/>
  <c r="P128" i="33" a="1"/>
  <c r="P128" i="33" s="1"/>
  <c r="U101" i="33" a="1"/>
  <c r="U101" i="33" s="1"/>
  <c r="J56" i="33" a="1"/>
  <c r="J56" i="33" s="1"/>
  <c r="H31" i="33" a="1"/>
  <c r="H31" i="33" s="1"/>
  <c r="H36" i="33" a="1"/>
  <c r="H36" i="33" s="1"/>
  <c r="Q14" i="33" a="1"/>
  <c r="Q14" i="33" s="1"/>
  <c r="P81" i="33" a="1"/>
  <c r="P81" i="33" s="1"/>
  <c r="R81" i="33" a="1"/>
  <c r="R81" i="33" s="1"/>
  <c r="S87" i="33" a="1"/>
  <c r="S87" i="33" s="1"/>
  <c r="I23" i="33" a="1"/>
  <c r="I23" i="33" s="1"/>
  <c r="G88" i="33" a="1"/>
  <c r="G88" i="33" s="1"/>
  <c r="AC86" i="33" a="1"/>
  <c r="AC86" i="33" s="1"/>
  <c r="N54" i="33" a="1"/>
  <c r="N54" i="33" s="1"/>
  <c r="S152" i="33" a="1"/>
  <c r="S152" i="33" s="1"/>
  <c r="H154" i="33" a="1"/>
  <c r="H154" i="33" s="1"/>
  <c r="J94" i="33" a="1"/>
  <c r="J94" i="33" s="1"/>
  <c r="E60" i="33" a="1"/>
  <c r="E60" i="33" s="1"/>
  <c r="U113" i="33" a="1"/>
  <c r="U113" i="33" s="1"/>
  <c r="L143" i="33" a="1"/>
  <c r="L143" i="33" s="1"/>
  <c r="U134" i="33" a="1"/>
  <c r="U134" i="33" s="1"/>
  <c r="S74" i="33" a="1"/>
  <c r="S74" i="33" s="1"/>
  <c r="S149" i="33" a="1"/>
  <c r="S149" i="33" s="1"/>
  <c r="U115" i="33" a="1"/>
  <c r="U115" i="33" s="1"/>
  <c r="F100" i="33" a="1"/>
  <c r="F100" i="33" s="1"/>
  <c r="L72" i="33" a="1"/>
  <c r="L72" i="33" s="1"/>
  <c r="Q26" i="33" a="1"/>
  <c r="Q26" i="33" s="1"/>
  <c r="M99" i="33" a="1"/>
  <c r="M99" i="33" s="1"/>
  <c r="G108" i="33" a="1"/>
  <c r="G108" i="33" s="1"/>
  <c r="T90" i="33" a="1"/>
  <c r="T90" i="33" s="1"/>
  <c r="BZ33" i="33" a="1"/>
  <c r="BZ33" i="33" s="1"/>
  <c r="E37" i="33" a="1"/>
  <c r="E37" i="33" s="1"/>
  <c r="P15" i="33" a="1"/>
  <c r="P15" i="33" s="1"/>
  <c r="O14" i="33" a="1"/>
  <c r="O14" i="33" s="1"/>
  <c r="P44" i="33" a="1"/>
  <c r="P44" i="33" s="1"/>
  <c r="M113" i="33" a="1"/>
  <c r="M113" i="33" s="1"/>
  <c r="G86" i="33" a="1"/>
  <c r="G86" i="33" s="1"/>
  <c r="R66" i="33" a="1"/>
  <c r="R66" i="33" s="1"/>
  <c r="M26" i="33" a="1"/>
  <c r="M26" i="33" s="1"/>
  <c r="H102" i="33" a="1"/>
  <c r="H102" i="33" s="1"/>
  <c r="R29" i="33" a="1"/>
  <c r="R29" i="33" s="1"/>
  <c r="U105" i="33" a="1"/>
  <c r="U105" i="33" s="1"/>
  <c r="R80" i="33" a="1"/>
  <c r="R80" i="33" s="1"/>
  <c r="N137" i="33" a="1"/>
  <c r="N137" i="33" s="1"/>
  <c r="R42" i="33" a="1"/>
  <c r="R42" i="33" s="1"/>
  <c r="I158" i="33" a="1"/>
  <c r="I158" i="33" s="1"/>
  <c r="T101" i="33" a="1"/>
  <c r="T101" i="33" s="1"/>
  <c r="F77" i="33" a="1"/>
  <c r="F77" i="33" s="1"/>
  <c r="S151" i="33" a="1"/>
  <c r="S151" i="33" s="1"/>
  <c r="P26" i="33" a="1"/>
  <c r="P26" i="33" s="1"/>
  <c r="H93" i="33" a="1"/>
  <c r="H93" i="33" s="1"/>
  <c r="F117" i="33" a="1"/>
  <c r="F117" i="33" s="1"/>
  <c r="N112" i="33" a="1"/>
  <c r="N112" i="33" s="1"/>
  <c r="M71" i="33" a="1"/>
  <c r="M71" i="33" s="1"/>
  <c r="N145" i="33" a="1"/>
  <c r="N145" i="33" s="1"/>
  <c r="Z130" i="33" a="1"/>
  <c r="Z130" i="33" s="1"/>
  <c r="Q113" i="33" a="1"/>
  <c r="Q113" i="33" s="1"/>
  <c r="M152" i="33" a="1"/>
  <c r="M152" i="33" s="1"/>
  <c r="S20" i="33" a="1"/>
  <c r="S20" i="33" s="1"/>
  <c r="O78" i="33" a="1"/>
  <c r="O78" i="33" s="1"/>
  <c r="L35" i="33" a="1"/>
  <c r="L35" i="33" s="1"/>
  <c r="K120" i="33" a="1"/>
  <c r="K120" i="33" s="1"/>
  <c r="O134" i="33" a="1"/>
  <c r="O134" i="33" s="1"/>
  <c r="J155" i="33" a="1"/>
  <c r="J155" i="33" s="1"/>
  <c r="O150" i="33" a="1"/>
  <c r="O150" i="33" s="1"/>
  <c r="E130" i="33" a="1"/>
  <c r="E130" i="33" s="1"/>
  <c r="G40" i="33" a="1"/>
  <c r="G40" i="33" s="1"/>
  <c r="L25" i="33" a="1"/>
  <c r="L25" i="33" s="1"/>
  <c r="S104" i="33" a="1"/>
  <c r="S104" i="33" s="1"/>
  <c r="M161" i="33" a="1"/>
  <c r="M161" i="33" s="1"/>
  <c r="M50" i="33" a="1"/>
  <c r="M50" i="33" s="1"/>
  <c r="N18" i="33" a="1"/>
  <c r="N18" i="33" s="1"/>
  <c r="R112" i="33" a="1"/>
  <c r="R112" i="33" s="1"/>
  <c r="R138" i="33" a="1"/>
  <c r="R138" i="33" s="1"/>
  <c r="Q102" i="33" a="1"/>
  <c r="Q102" i="33" s="1"/>
  <c r="O104" i="33" a="1"/>
  <c r="O104" i="33" s="1"/>
  <c r="E53" i="33" a="1"/>
  <c r="E53" i="33" s="1"/>
  <c r="H135" i="33" a="1"/>
  <c r="H135" i="33" s="1"/>
  <c r="L153" i="33" a="1"/>
  <c r="L153" i="33" s="1"/>
  <c r="L124" i="33" a="1"/>
  <c r="L124" i="33" s="1"/>
  <c r="O105" i="33" a="1"/>
  <c r="O105" i="33" s="1"/>
  <c r="S126" i="33" a="1"/>
  <c r="S126" i="33" s="1"/>
  <c r="L127" i="33" a="1"/>
  <c r="L127" i="33" s="1"/>
  <c r="H63" i="33" a="1"/>
  <c r="H63" i="33" s="1"/>
  <c r="S30" i="33" a="1"/>
  <c r="S30" i="33" s="1"/>
  <c r="L149" i="33" a="1"/>
  <c r="L149" i="33" s="1"/>
  <c r="J91" i="33" a="1"/>
  <c r="J91" i="33" s="1"/>
  <c r="R103" i="33" a="1"/>
  <c r="R103" i="33" s="1"/>
  <c r="S101" i="33" a="1"/>
  <c r="S101" i="33" s="1"/>
  <c r="M85" i="33" a="1"/>
  <c r="M85" i="33" s="1"/>
  <c r="Q43" i="33" a="1"/>
  <c r="Q43" i="33" s="1"/>
  <c r="F137" i="33" a="1"/>
  <c r="F137" i="33" s="1"/>
  <c r="F94" i="33" a="1"/>
  <c r="F94" i="33" s="1"/>
  <c r="M158" i="33" a="1"/>
  <c r="M158" i="33" s="1"/>
  <c r="H58" i="33" a="1"/>
  <c r="H58" i="33" s="1"/>
  <c r="S128" i="33" a="1"/>
  <c r="S128" i="33" s="1"/>
  <c r="H40" i="33" a="1"/>
  <c r="H40" i="33" s="1"/>
  <c r="O37" i="33" a="1"/>
  <c r="O37" i="33" s="1"/>
  <c r="S157" i="33" a="1"/>
  <c r="S157" i="33" s="1"/>
  <c r="Q81" i="33" a="1"/>
  <c r="Q81" i="33" s="1"/>
  <c r="K153" i="33" a="1"/>
  <c r="K153" i="33" s="1"/>
  <c r="S78" i="33" a="1"/>
  <c r="S78" i="33" s="1"/>
  <c r="T76" i="33" a="1"/>
  <c r="T76" i="33" s="1"/>
  <c r="M23" i="33" a="1"/>
  <c r="M23" i="33" s="1"/>
  <c r="L109" i="33" a="1"/>
  <c r="L109" i="33" s="1"/>
  <c r="R129" i="33" a="1"/>
  <c r="R129" i="33" s="1"/>
  <c r="Q57" i="33" a="1"/>
  <c r="Q57" i="33" s="1"/>
  <c r="T139" i="33" a="1"/>
  <c r="T139" i="33" s="1"/>
  <c r="T79" i="33" a="1"/>
  <c r="T79" i="33" s="1"/>
  <c r="E23" i="33" a="1"/>
  <c r="E23" i="33" s="1"/>
  <c r="L130" i="33" a="1"/>
  <c r="L130" i="33" s="1"/>
  <c r="T146" i="33" a="1"/>
  <c r="T146" i="33" s="1"/>
  <c r="G160" i="33" a="1"/>
  <c r="G160" i="33" s="1"/>
  <c r="L85" i="33" a="1"/>
  <c r="L85" i="33" s="1"/>
  <c r="I31" i="33" a="1"/>
  <c r="I31" i="33" s="1"/>
  <c r="CT157" i="33" a="1"/>
  <c r="CT157" i="33" s="1"/>
  <c r="R161" i="33" a="1"/>
  <c r="R161" i="33" s="1"/>
  <c r="F18" i="33" a="1"/>
  <c r="F18" i="33" s="1"/>
  <c r="L52" i="33" a="1"/>
  <c r="L52" i="33" s="1"/>
  <c r="J119" i="33" a="1"/>
  <c r="J119" i="33" s="1"/>
  <c r="S76" i="33" a="1"/>
  <c r="S76" i="33" s="1"/>
  <c r="L69" i="33" a="1"/>
  <c r="L69" i="33" s="1"/>
  <c r="P131" i="33" a="1"/>
  <c r="P131" i="33" s="1"/>
  <c r="N104" i="33" a="1"/>
  <c r="N104" i="33" s="1"/>
  <c r="E22" i="33" a="1"/>
  <c r="E22" i="33" s="1"/>
  <c r="J46" i="33" a="1"/>
  <c r="J46" i="33" s="1"/>
  <c r="P150" i="33" a="1"/>
  <c r="P150" i="33" s="1"/>
  <c r="I56" i="33" a="1"/>
  <c r="I56" i="33" s="1"/>
  <c r="O72" i="33" a="1"/>
  <c r="O72" i="33" s="1"/>
  <c r="L158" i="33" a="1"/>
  <c r="L158" i="33" s="1"/>
  <c r="T94" i="33" a="1"/>
  <c r="T94" i="33" s="1"/>
  <c r="S97" i="33" a="1"/>
  <c r="S97" i="33" s="1"/>
  <c r="R111" i="33" a="1"/>
  <c r="R111" i="33" s="1"/>
  <c r="M45" i="33" a="1"/>
  <c r="M45" i="33" s="1"/>
  <c r="M151" i="33" a="1"/>
  <c r="M151" i="33" s="1"/>
  <c r="CG31" i="33" a="1"/>
  <c r="CG31" i="33" s="1"/>
  <c r="CP69" i="33" a="1"/>
  <c r="CP69" i="33" s="1"/>
  <c r="E98" i="33" a="1"/>
  <c r="E98" i="33" s="1"/>
  <c r="P53" i="33" a="1"/>
  <c r="P53" i="33" s="1"/>
  <c r="S148" i="33" a="1"/>
  <c r="S148" i="33" s="1"/>
  <c r="K140" i="33" a="1"/>
  <c r="K140" i="33" s="1"/>
  <c r="S45" i="33" a="1"/>
  <c r="S45" i="33" s="1"/>
  <c r="J131" i="33" a="1"/>
  <c r="J131" i="33" s="1"/>
  <c r="E26" i="33" a="1"/>
  <c r="E26" i="33" s="1"/>
  <c r="S155" i="33" a="1"/>
  <c r="S155" i="33" s="1"/>
  <c r="H144" i="33" a="1"/>
  <c r="H144" i="33" s="1"/>
  <c r="K97" i="33" a="1"/>
  <c r="K97" i="33" s="1"/>
  <c r="K104" i="33" a="1"/>
  <c r="K104" i="33" s="1"/>
  <c r="F120" i="33" a="1"/>
  <c r="F120" i="33" s="1"/>
  <c r="I129" i="33" a="1"/>
  <c r="I129" i="33" s="1"/>
  <c r="N64" i="33" a="1"/>
  <c r="N64" i="33" s="1"/>
  <c r="AJ66" i="33" a="1"/>
  <c r="AJ66" i="33" s="1"/>
  <c r="T118" i="33" a="1"/>
  <c r="T118" i="33" s="1"/>
  <c r="T95" i="33" a="1"/>
  <c r="T95" i="33" s="1"/>
  <c r="R33" i="33" a="1"/>
  <c r="R33" i="33" s="1"/>
  <c r="S131" i="33" a="1"/>
  <c r="S131" i="33" s="1"/>
  <c r="J66" i="33" a="1"/>
  <c r="J66" i="33" s="1"/>
  <c r="S66" i="33" a="1"/>
  <c r="S66" i="33" s="1"/>
  <c r="U43" i="33" a="1"/>
  <c r="U43" i="33" s="1"/>
  <c r="N134" i="33" a="1"/>
  <c r="N134" i="33" s="1"/>
  <c r="Q90" i="33" a="1"/>
  <c r="Q90" i="33" s="1"/>
  <c r="I29" i="33" a="1"/>
  <c r="I29" i="33" s="1"/>
  <c r="BZ143" i="33" a="1"/>
  <c r="BZ143" i="33" s="1"/>
  <c r="U20" i="33" a="1"/>
  <c r="U20" i="33" s="1"/>
  <c r="L144" i="33" a="1"/>
  <c r="L144" i="33" s="1"/>
  <c r="R65" i="33" a="1"/>
  <c r="R65" i="33" s="1"/>
  <c r="P85" i="33" a="1"/>
  <c r="P85" i="33" s="1"/>
  <c r="F30" i="33" a="1"/>
  <c r="F30" i="33" s="1"/>
  <c r="G82" i="33" a="1"/>
  <c r="G82" i="33" s="1"/>
  <c r="N117" i="33" a="1"/>
  <c r="N117" i="33" s="1"/>
  <c r="M81" i="33" a="1"/>
  <c r="M81" i="33" s="1"/>
  <c r="Q65" i="33" a="1"/>
  <c r="Q65" i="33" s="1"/>
  <c r="BM124" i="33" a="1"/>
  <c r="BM124" i="33" s="1"/>
  <c r="E80" i="33" a="1"/>
  <c r="E80" i="33" s="1"/>
  <c r="P108" i="33" a="1"/>
  <c r="P108" i="33" s="1"/>
  <c r="M110" i="33" a="1"/>
  <c r="M110" i="33" s="1"/>
  <c r="U130" i="33" a="1"/>
  <c r="U130" i="33" s="1"/>
  <c r="P117" i="33" a="1"/>
  <c r="P117" i="33" s="1"/>
  <c r="I68" i="33" a="1"/>
  <c r="I68" i="33" s="1"/>
  <c r="G63" i="33" a="1"/>
  <c r="G63" i="33" s="1"/>
  <c r="M18" i="33" a="1"/>
  <c r="M18" i="33" s="1"/>
  <c r="I91" i="33" a="1"/>
  <c r="I91" i="33" s="1"/>
  <c r="J21" i="33" a="1"/>
  <c r="J21" i="33" s="1"/>
  <c r="P111" i="33" a="1"/>
  <c r="P111" i="33" s="1"/>
  <c r="O54" i="33" a="1"/>
  <c r="O54" i="33" s="1"/>
  <c r="N93" i="33" a="1"/>
  <c r="N93" i="33" s="1"/>
  <c r="L84" i="33" a="1"/>
  <c r="L84" i="33" s="1"/>
  <c r="E67" i="33" a="1"/>
  <c r="E67" i="33" s="1"/>
  <c r="K64" i="33" a="1"/>
  <c r="K64" i="33" s="1"/>
  <c r="S93" i="33" a="1"/>
  <c r="S93" i="33" s="1"/>
  <c r="I98" i="33" a="1"/>
  <c r="I98" i="33" s="1"/>
  <c r="Q103" i="33" a="1"/>
  <c r="Q103" i="33" s="1"/>
  <c r="H78" i="33" a="1"/>
  <c r="H78" i="33" s="1"/>
  <c r="I54" i="33" a="1"/>
  <c r="I54" i="33" s="1"/>
  <c r="F89" i="33" a="1"/>
  <c r="F89" i="33" s="1"/>
  <c r="O158" i="33" a="1"/>
  <c r="O158" i="33" s="1"/>
  <c r="U64" i="33" a="1"/>
  <c r="U64" i="33" s="1"/>
  <c r="G14" i="33" a="1"/>
  <c r="G14" i="33" s="1"/>
  <c r="Q159" i="33" a="1"/>
  <c r="Q159" i="33" s="1"/>
  <c r="CH93" i="33" a="1"/>
  <c r="CH93" i="33" s="1"/>
  <c r="L55" i="33" a="1"/>
  <c r="L55" i="33" s="1"/>
  <c r="E151" i="33" a="1"/>
  <c r="E151" i="33" s="1"/>
  <c r="P144" i="33" a="1"/>
  <c r="P144" i="33" s="1"/>
  <c r="S23" i="33" a="1"/>
  <c r="S23" i="33" s="1"/>
  <c r="E105" i="33" a="1"/>
  <c r="E105" i="33" s="1"/>
  <c r="E73" i="33" a="1"/>
  <c r="E73" i="33" s="1"/>
  <c r="H45" i="33" a="1"/>
  <c r="H45" i="33" s="1"/>
  <c r="K62" i="33" a="1"/>
  <c r="K62" i="33" s="1"/>
  <c r="L23" i="33" a="1"/>
  <c r="L23" i="33" s="1"/>
  <c r="U137" i="33" a="1"/>
  <c r="U137" i="33" s="1"/>
  <c r="E59" i="33" a="1"/>
  <c r="E59" i="33" s="1"/>
  <c r="I48" i="33" a="1"/>
  <c r="I48" i="33" s="1"/>
  <c r="F118" i="33" a="1"/>
  <c r="F118" i="33" s="1"/>
  <c r="T75" i="33" a="1"/>
  <c r="T75" i="33" s="1"/>
  <c r="F161" i="33" a="1"/>
  <c r="F161" i="33" s="1"/>
  <c r="R60" i="33" a="1"/>
  <c r="R60" i="33" s="1"/>
  <c r="R14" i="33" a="1"/>
  <c r="R14" i="33" s="1"/>
  <c r="O144" i="33" a="1"/>
  <c r="O144" i="33" s="1"/>
  <c r="L138" i="33" a="1"/>
  <c r="L138" i="33" s="1"/>
  <c r="O161" i="33" a="1"/>
  <c r="O161" i="33" s="1"/>
  <c r="P59" i="33" a="1"/>
  <c r="P59" i="33" s="1"/>
  <c r="H79" i="33" a="1"/>
  <c r="H79" i="33" s="1"/>
  <c r="L147" i="33" a="1"/>
  <c r="L147" i="33" s="1"/>
  <c r="R15" i="33" a="1"/>
  <c r="R15" i="33" s="1"/>
  <c r="N32" i="33" a="1"/>
  <c r="N32" i="33" s="1"/>
  <c r="P64" i="33" a="1"/>
  <c r="P64" i="33" s="1"/>
  <c r="P139" i="33" a="1"/>
  <c r="P139" i="33" s="1"/>
  <c r="Q70" i="33" a="1"/>
  <c r="Q70" i="33" s="1"/>
  <c r="P91" i="33" a="1"/>
  <c r="P91" i="33" s="1"/>
  <c r="BQ60" i="33" a="1"/>
  <c r="BQ60" i="33" s="1"/>
  <c r="O34" i="33" a="1"/>
  <c r="O34" i="33" s="1"/>
  <c r="E65" i="33" a="1"/>
  <c r="E65" i="33" s="1"/>
  <c r="F160" i="33" a="1"/>
  <c r="F160" i="33" s="1"/>
  <c r="F47" i="33" a="1"/>
  <c r="F47" i="33" s="1"/>
  <c r="M77" i="33" a="1"/>
  <c r="M77" i="33" s="1"/>
  <c r="I64" i="33" a="1"/>
  <c r="I64" i="33" s="1"/>
  <c r="T33" i="33" a="1"/>
  <c r="T33" i="33" s="1"/>
  <c r="M138" i="33" a="1"/>
  <c r="M138" i="33" s="1"/>
  <c r="M125" i="33" a="1"/>
  <c r="M125" i="33" s="1"/>
  <c r="E128" i="33" a="1"/>
  <c r="E128" i="33" s="1"/>
  <c r="S124" i="33" a="1"/>
  <c r="S124" i="33" s="1"/>
  <c r="J141" i="33" a="1"/>
  <c r="J141" i="33" s="1"/>
  <c r="P134" i="33" a="1"/>
  <c r="P134" i="33" s="1"/>
  <c r="K37" i="33" a="1"/>
  <c r="K37" i="33" s="1"/>
  <c r="S33" i="33" a="1"/>
  <c r="S33" i="33" s="1"/>
  <c r="H47" i="33" a="1"/>
  <c r="H47" i="33" s="1"/>
  <c r="H48" i="33" a="1"/>
  <c r="H48" i="33" s="1"/>
  <c r="H152" i="33" a="1"/>
  <c r="H152" i="33" s="1"/>
  <c r="H39" i="33" a="1"/>
  <c r="H39" i="33" s="1"/>
  <c r="S88" i="33" a="1"/>
  <c r="S88" i="33" s="1"/>
  <c r="E82" i="33" a="1"/>
  <c r="E82" i="33" s="1"/>
  <c r="G57" i="33" a="1"/>
  <c r="G57" i="33" s="1"/>
  <c r="U88" i="33" a="1"/>
  <c r="U88" i="33" s="1"/>
  <c r="F153" i="33" a="1"/>
  <c r="F153" i="33" s="1"/>
  <c r="BX158" i="33" a="1"/>
  <c r="BX158" i="33" s="1"/>
  <c r="R31" i="33" a="1"/>
  <c r="R31" i="33" s="1"/>
  <c r="N130" i="33" a="1"/>
  <c r="N130" i="33" s="1"/>
  <c r="G151" i="33" a="1"/>
  <c r="G151" i="33" s="1"/>
  <c r="K117" i="33" a="1"/>
  <c r="K117" i="33" s="1"/>
  <c r="J63" i="33" a="1"/>
  <c r="J63" i="33" s="1"/>
  <c r="H145" i="33" a="1"/>
  <c r="H145" i="33" s="1"/>
  <c r="O73" i="33" a="1"/>
  <c r="O73" i="33" s="1"/>
  <c r="K66" i="33" a="1"/>
  <c r="K66" i="33" s="1"/>
  <c r="S103" i="33" a="1"/>
  <c r="S103" i="33" s="1"/>
  <c r="P96" i="33" a="1"/>
  <c r="P96" i="33" s="1"/>
  <c r="P110" i="33" a="1"/>
  <c r="P110" i="33" s="1"/>
  <c r="U35" i="33" a="1"/>
  <c r="U35" i="33" s="1"/>
  <c r="U132" i="33" a="1"/>
  <c r="U132" i="33" s="1"/>
  <c r="P45" i="33" a="1"/>
  <c r="P45" i="33" s="1"/>
  <c r="N91" i="33" a="1"/>
  <c r="N91" i="33" s="1"/>
  <c r="N149" i="33" a="1"/>
  <c r="N149" i="33" s="1"/>
  <c r="S44" i="33" a="1"/>
  <c r="S44" i="33" s="1"/>
  <c r="M57" i="33" a="1"/>
  <c r="M57" i="33" s="1"/>
  <c r="P37" i="33" a="1"/>
  <c r="P37" i="33" s="1"/>
  <c r="I84" i="33" a="1"/>
  <c r="I84" i="33" s="1"/>
  <c r="AT107" i="33" a="1"/>
  <c r="AT107" i="33" s="1"/>
  <c r="L41" i="33" a="1"/>
  <c r="L41" i="33" s="1"/>
  <c r="S161" i="33" a="1"/>
  <c r="S161" i="33" s="1"/>
  <c r="S72" i="33" a="1"/>
  <c r="S72" i="33" s="1"/>
  <c r="J87" i="33" a="1"/>
  <c r="J87" i="33" s="1"/>
  <c r="N106" i="33" a="1"/>
  <c r="N106" i="33" s="1"/>
  <c r="R32" i="33" a="1"/>
  <c r="R32" i="33" s="1"/>
  <c r="R140" i="33" a="1"/>
  <c r="R140" i="33" s="1"/>
  <c r="BZ82" i="33" a="1"/>
  <c r="BZ82" i="33" s="1"/>
  <c r="P30" i="33" a="1"/>
  <c r="P30" i="33" s="1"/>
  <c r="S121" i="33" a="1"/>
  <c r="S121" i="33" s="1"/>
  <c r="S134" i="33" a="1"/>
  <c r="S134" i="33" s="1"/>
  <c r="U120" i="33" a="1"/>
  <c r="U120" i="33" s="1"/>
  <c r="I85" i="33" a="1"/>
  <c r="I85" i="33" s="1"/>
  <c r="F80" i="33" a="1"/>
  <c r="F80" i="33" s="1"/>
  <c r="T26" i="33" a="1"/>
  <c r="T26" i="33" s="1"/>
  <c r="U60" i="33" a="1"/>
  <c r="U60" i="33" s="1"/>
  <c r="M20" i="33" a="1"/>
  <c r="M20" i="33" s="1"/>
  <c r="AJ93" i="33" a="1"/>
  <c r="AJ93" i="33" s="1"/>
  <c r="J77" i="33" a="1"/>
  <c r="J77" i="33" s="1"/>
  <c r="O77" i="33" a="1"/>
  <c r="O77" i="33" s="1"/>
  <c r="R113" i="33" a="1"/>
  <c r="R113" i="33" s="1"/>
  <c r="O51" i="33" a="1"/>
  <c r="O51" i="33" s="1"/>
  <c r="N36" i="33" a="1"/>
  <c r="N36" i="33" s="1"/>
  <c r="Q68" i="33" a="1"/>
  <c r="Q68" i="33" s="1"/>
  <c r="N132" i="33" a="1"/>
  <c r="N132" i="33" s="1"/>
  <c r="G77" i="33" a="1"/>
  <c r="G77" i="33" s="1"/>
  <c r="AT76" i="33" a="1"/>
  <c r="AT76" i="33" s="1"/>
  <c r="J41" i="33" a="1"/>
  <c r="J41" i="33" s="1"/>
  <c r="E76" i="33" a="1"/>
  <c r="E76" i="33" s="1"/>
  <c r="J104" i="33" a="1"/>
  <c r="J104" i="33" s="1"/>
  <c r="L64" i="33" a="1"/>
  <c r="L64" i="33" s="1"/>
  <c r="K40" i="33" a="1"/>
  <c r="K40" i="33" s="1"/>
  <c r="S141" i="33" a="1"/>
  <c r="S141" i="33" s="1"/>
  <c r="J126" i="33" a="1"/>
  <c r="J126" i="33" s="1"/>
  <c r="L126" i="33" a="1"/>
  <c r="L126" i="33" s="1"/>
  <c r="J159" i="33" a="1"/>
  <c r="J159" i="33" s="1"/>
  <c r="M87" i="33" a="1"/>
  <c r="M87" i="33" s="1"/>
  <c r="U144" i="33" a="1"/>
  <c r="U144" i="33" s="1"/>
  <c r="U151" i="33" a="1"/>
  <c r="U151" i="33" s="1"/>
  <c r="U81" i="33" a="1"/>
  <c r="U81" i="33" s="1"/>
  <c r="J15" i="33" a="1"/>
  <c r="J15" i="33" s="1"/>
  <c r="R37" i="33" a="1"/>
  <c r="R37" i="33" s="1"/>
  <c r="G33" i="33" a="1"/>
  <c r="G33" i="33" s="1"/>
  <c r="Q92" i="33" a="1"/>
  <c r="Q92" i="33" s="1"/>
  <c r="G26" i="33" a="1"/>
  <c r="G26" i="33" s="1"/>
  <c r="U23" i="33" a="1"/>
  <c r="U23" i="33" s="1"/>
  <c r="H95" i="33" a="1"/>
  <c r="H95" i="33" s="1"/>
  <c r="N33" i="33" a="1"/>
  <c r="N33" i="33" s="1"/>
  <c r="K93" i="33" a="1"/>
  <c r="K93" i="33" s="1"/>
  <c r="S81" i="33" a="1"/>
  <c r="S81" i="33" s="1"/>
  <c r="J22" i="33" a="1"/>
  <c r="J22" i="33" s="1"/>
  <c r="K16" i="33" a="1"/>
  <c r="K16" i="33" s="1"/>
  <c r="N98" i="33" a="1"/>
  <c r="N98" i="33" s="1"/>
  <c r="F28" i="33" a="1"/>
  <c r="F28" i="33" s="1"/>
  <c r="E25" i="33" a="1"/>
  <c r="E25" i="33" s="1"/>
  <c r="K121" i="33" a="1"/>
  <c r="K121" i="33" s="1"/>
  <c r="M75" i="33" a="1"/>
  <c r="M75" i="33" s="1"/>
  <c r="F20" i="33" a="1"/>
  <c r="F20" i="33" s="1"/>
  <c r="R76" i="33" a="1"/>
  <c r="R76" i="33" s="1"/>
  <c r="Y75" i="33" a="1"/>
  <c r="Y75" i="33" s="1"/>
  <c r="O97" i="33" a="1"/>
  <c r="O97" i="33" s="1"/>
  <c r="J157" i="33" a="1"/>
  <c r="J157" i="33" s="1"/>
  <c r="U51" i="33" a="1"/>
  <c r="U51" i="33" s="1"/>
  <c r="U79" i="33" a="1"/>
  <c r="U79" i="33" s="1"/>
  <c r="K82" i="33" a="1"/>
  <c r="K82" i="33" s="1"/>
  <c r="L133" i="33" a="1"/>
  <c r="L133" i="33" s="1"/>
  <c r="S41" i="33" a="1"/>
  <c r="S41" i="33" s="1"/>
  <c r="J23" i="33" a="1"/>
  <c r="J23" i="33" s="1"/>
  <c r="T80" i="33" a="1"/>
  <c r="T80" i="33" s="1"/>
  <c r="N29" i="33" a="1"/>
  <c r="N29" i="33" s="1"/>
  <c r="Q73" i="33" a="1"/>
  <c r="Q73" i="33" s="1"/>
  <c r="N35" i="33" a="1"/>
  <c r="N35" i="33" s="1"/>
  <c r="M29" i="33" a="1"/>
  <c r="M29" i="33" s="1"/>
  <c r="Q91" i="33" a="1"/>
  <c r="Q91" i="33" s="1"/>
  <c r="P84" i="33" a="1"/>
  <c r="P84" i="33" s="1"/>
  <c r="T46" i="33" a="1"/>
  <c r="T46" i="33" s="1"/>
  <c r="F59" i="33" a="1"/>
  <c r="F59" i="33" s="1"/>
  <c r="T25" i="33" a="1"/>
  <c r="T25" i="33" s="1"/>
  <c r="H151" i="33" a="1"/>
  <c r="H151" i="33" s="1"/>
  <c r="L38" i="33" a="1"/>
  <c r="L38" i="33" s="1"/>
  <c r="P61" i="33" a="1"/>
  <c r="P61" i="33" s="1"/>
  <c r="R34" i="33" a="1"/>
  <c r="R34" i="33" s="1"/>
  <c r="I19" i="33" a="1"/>
  <c r="I19" i="33" s="1"/>
  <c r="F92" i="33" a="1"/>
  <c r="F92" i="33" s="1"/>
  <c r="Q25" i="33" a="1"/>
  <c r="Q25" i="33" s="1"/>
  <c r="F62" i="33" a="1"/>
  <c r="F62" i="33" s="1"/>
  <c r="T78" i="33" a="1"/>
  <c r="T78" i="33" s="1"/>
  <c r="L120" i="33" a="1"/>
  <c r="L120" i="33" s="1"/>
  <c r="G141" i="33" a="1"/>
  <c r="G141" i="33" s="1"/>
  <c r="D81" i="33" a="1"/>
  <c r="D81" i="33" s="1"/>
  <c r="E140" i="33" a="1"/>
  <c r="E140" i="33" s="1"/>
  <c r="L152" i="33" a="1"/>
  <c r="L152" i="33" s="1"/>
  <c r="L125" i="33" a="1"/>
  <c r="L125" i="33" s="1"/>
  <c r="O33" i="33" a="1"/>
  <c r="O33" i="33" s="1"/>
  <c r="P72" i="33" a="1"/>
  <c r="P72" i="33" s="1"/>
  <c r="N146" i="33" a="1"/>
  <c r="N146" i="33" s="1"/>
  <c r="O46" i="33" a="1"/>
  <c r="O46" i="33" s="1"/>
  <c r="P98" i="33" a="1"/>
  <c r="P98" i="33" s="1"/>
  <c r="L88" i="33" a="1"/>
  <c r="L88" i="33" s="1"/>
  <c r="Q126" i="33" a="1"/>
  <c r="Q126" i="33" s="1"/>
  <c r="U69" i="33" a="1"/>
  <c r="U69" i="33" s="1"/>
  <c r="G112" i="33" a="1"/>
  <c r="G112" i="33" s="1"/>
  <c r="Q152" i="33" a="1"/>
  <c r="Q152" i="33" s="1"/>
  <c r="Q123" i="33" a="1"/>
  <c r="Q123" i="33" s="1"/>
  <c r="I17" i="33" a="1"/>
  <c r="I17" i="33" s="1"/>
  <c r="CA47" i="33" a="1"/>
  <c r="CA47" i="33" s="1"/>
  <c r="F25" i="33" a="1"/>
  <c r="F25" i="33" s="1"/>
  <c r="T72" i="33" a="1"/>
  <c r="T72" i="33" s="1"/>
  <c r="J51" i="33" a="1"/>
  <c r="J51" i="33" s="1"/>
  <c r="P116" i="33" a="1"/>
  <c r="P116" i="33" s="1"/>
  <c r="U116" i="33" a="1"/>
  <c r="U116" i="33" s="1"/>
  <c r="G159" i="33" a="1"/>
  <c r="G159" i="33" s="1"/>
  <c r="P75" i="33" a="1"/>
  <c r="P75" i="33" s="1"/>
  <c r="G126" i="33" a="1"/>
  <c r="G126" i="33" s="1"/>
  <c r="T117" i="33" a="1"/>
  <c r="T117" i="33" s="1"/>
  <c r="Q133" i="33" a="1"/>
  <c r="Q133" i="33" s="1"/>
  <c r="N123" i="33" a="1"/>
  <c r="N123" i="33" s="1"/>
  <c r="N144" i="33" a="1"/>
  <c r="N144" i="33" s="1"/>
  <c r="CR57" i="33" a="1"/>
  <c r="CR57" i="33" s="1"/>
  <c r="AT158" i="33" a="1"/>
  <c r="AT158" i="33" s="1"/>
  <c r="T50" i="33" a="1"/>
  <c r="T50" i="33" s="1"/>
  <c r="T62" i="33" a="1"/>
  <c r="T62" i="33" s="1"/>
  <c r="AW105" i="33" a="1"/>
  <c r="AW105" i="33" s="1"/>
  <c r="H128" i="33" a="1"/>
  <c r="H128" i="33" s="1"/>
  <c r="U153" i="33" a="1"/>
  <c r="U153" i="33" s="1"/>
  <c r="U111" i="33" a="1"/>
  <c r="U111" i="33" s="1"/>
  <c r="S154" i="33" a="1"/>
  <c r="S154" i="33" s="1"/>
  <c r="J20" i="33" a="1"/>
  <c r="J20" i="33" s="1"/>
  <c r="E139" i="33" a="1"/>
  <c r="E139" i="33" s="1"/>
  <c r="U16" i="33" a="1"/>
  <c r="U16" i="33" s="1"/>
  <c r="E131" i="33" a="1"/>
  <c r="E131" i="33" s="1"/>
  <c r="E87" i="33" a="1"/>
  <c r="E87" i="33" s="1"/>
  <c r="K77" i="33" a="1"/>
  <c r="K77" i="33" s="1"/>
  <c r="T154" i="33" a="1"/>
  <c r="T154" i="33" s="1"/>
  <c r="M121" i="33" a="1"/>
  <c r="M121" i="33" s="1"/>
  <c r="F21" i="33" a="1"/>
  <c r="F21" i="33" s="1"/>
  <c r="F56" i="33" a="1"/>
  <c r="F56" i="33" s="1"/>
  <c r="N50" i="33" a="1"/>
  <c r="N50" i="33" s="1"/>
  <c r="F143" i="33" a="1"/>
  <c r="F143" i="33" s="1"/>
  <c r="AT24" i="33" a="1"/>
  <c r="AT24" i="33" s="1"/>
  <c r="Q100" i="33" a="1"/>
  <c r="Q100" i="33" s="1"/>
  <c r="I100" i="33" a="1"/>
  <c r="I100" i="33" s="1"/>
  <c r="R51" i="33" a="1"/>
  <c r="R51" i="33" s="1"/>
  <c r="S49" i="33" a="1"/>
  <c r="S49" i="33" s="1"/>
  <c r="Q151" i="33" a="1"/>
  <c r="Q151" i="33" s="1"/>
  <c r="I75" i="33" a="1"/>
  <c r="I75" i="33" s="1"/>
  <c r="R128" i="33" a="1"/>
  <c r="R128" i="33" s="1"/>
  <c r="Q122" i="33" a="1"/>
  <c r="Q122" i="33" s="1"/>
  <c r="I150" i="33" a="1"/>
  <c r="I150" i="33" s="1"/>
  <c r="R63" i="33" a="1"/>
  <c r="R63" i="33" s="1"/>
  <c r="P20" i="33" a="1"/>
  <c r="P20" i="33" s="1"/>
  <c r="M109" i="33" a="1"/>
  <c r="M109" i="33" s="1"/>
  <c r="T104" i="33" a="1"/>
  <c r="T104" i="33" s="1"/>
  <c r="J53" i="33" a="1"/>
  <c r="J53" i="33" s="1"/>
  <c r="K143" i="33" a="1"/>
  <c r="K143" i="33" s="1"/>
  <c r="E102" i="33" a="1"/>
  <c r="E102" i="33" s="1"/>
  <c r="E126" i="33" a="1"/>
  <c r="E126" i="33" s="1"/>
  <c r="O40" i="33" a="1"/>
  <c r="O40" i="33" s="1"/>
  <c r="P152" i="33" a="1"/>
  <c r="P152" i="33" s="1"/>
  <c r="L61" i="33" a="1"/>
  <c r="L61" i="33" s="1"/>
  <c r="Q116" i="33" a="1"/>
  <c r="Q116" i="33" s="1"/>
  <c r="T83" i="33" a="1"/>
  <c r="T83" i="33" s="1"/>
  <c r="S140" i="33" a="1"/>
  <c r="S140" i="33" s="1"/>
  <c r="M21" i="33" a="1"/>
  <c r="M21" i="33" s="1"/>
  <c r="M122" i="33" a="1"/>
  <c r="M122" i="33" s="1"/>
  <c r="R115" i="33" a="1"/>
  <c r="R115" i="33" s="1"/>
  <c r="G81" i="33" a="1"/>
  <c r="G81" i="33" s="1"/>
  <c r="O133" i="33" a="1"/>
  <c r="O133" i="33" s="1"/>
  <c r="G142" i="33" a="1"/>
  <c r="G142" i="33" s="1"/>
  <c r="R24" i="33" a="1"/>
  <c r="R24" i="33" s="1"/>
  <c r="I62" i="33" a="1"/>
  <c r="I62" i="33" s="1"/>
  <c r="T152" i="33" a="1"/>
  <c r="T152" i="33" s="1"/>
  <c r="I59" i="33" a="1"/>
  <c r="I59" i="33" s="1"/>
  <c r="N87" i="33" a="1"/>
  <c r="N87" i="33" s="1"/>
  <c r="R68" i="33" a="1"/>
  <c r="R68" i="33" s="1"/>
  <c r="T34" i="33" a="1"/>
  <c r="T34" i="33" s="1"/>
  <c r="T153" i="33" a="1"/>
  <c r="T153" i="33" s="1"/>
  <c r="F128" i="33" a="1"/>
  <c r="F128" i="33" s="1"/>
  <c r="M24" i="33" a="1"/>
  <c r="M24" i="33" s="1"/>
  <c r="Q34" i="33" a="1"/>
  <c r="Q34" i="33" s="1"/>
  <c r="T103" i="33" a="1"/>
  <c r="T103" i="33" s="1"/>
  <c r="Q140" i="33" a="1"/>
  <c r="Q140" i="33" s="1"/>
  <c r="N49" i="33" a="1"/>
  <c r="N49" i="33" s="1"/>
  <c r="G139" i="33" a="1"/>
  <c r="G139" i="33" s="1"/>
  <c r="N22" i="33" a="1"/>
  <c r="N22" i="33" s="1"/>
  <c r="P38" i="33" a="1"/>
  <c r="P38" i="33" s="1"/>
  <c r="H71" i="33" a="1"/>
  <c r="H71" i="33" s="1"/>
  <c r="H101" i="33" a="1"/>
  <c r="H101" i="33" s="1"/>
  <c r="H119" i="33" a="1"/>
  <c r="H119" i="33" s="1"/>
  <c r="H33" i="33" a="1"/>
  <c r="H33" i="33" s="1"/>
  <c r="K89" i="33" a="1"/>
  <c r="K89" i="33" s="1"/>
  <c r="I114" i="33" a="1"/>
  <c r="I114" i="33" s="1"/>
  <c r="H141" i="33" a="1"/>
  <c r="H141" i="33" s="1"/>
  <c r="E71" i="33" a="1"/>
  <c r="E71" i="33" s="1"/>
  <c r="Q120" i="33" a="1"/>
  <c r="Q120" i="33" s="1"/>
  <c r="N141" i="33" a="1"/>
  <c r="N141" i="33" s="1"/>
  <c r="S118" i="33" a="1"/>
  <c r="S118" i="33" s="1"/>
  <c r="I24" i="33" a="1"/>
  <c r="I24" i="33" s="1"/>
  <c r="M69" i="33" a="1"/>
  <c r="M69" i="33" s="1"/>
  <c r="CR127" i="33" a="1"/>
  <c r="CR127" i="33" s="1"/>
  <c r="BQ61" i="33" a="1"/>
  <c r="BQ61" i="33" s="1"/>
  <c r="M153" i="33" a="1"/>
  <c r="M153" i="33" s="1"/>
  <c r="G45" i="33" a="1"/>
  <c r="G45" i="33" s="1"/>
  <c r="R90" i="33" a="1"/>
  <c r="R90" i="33" s="1"/>
  <c r="F33" i="33" a="1"/>
  <c r="F33" i="33" s="1"/>
  <c r="T22" i="33" a="1"/>
  <c r="T22" i="33" s="1"/>
  <c r="R59" i="33" a="1"/>
  <c r="R59" i="33" s="1"/>
  <c r="P159" i="33" a="1"/>
  <c r="P159" i="33" s="1"/>
  <c r="P100" i="33" a="1"/>
  <c r="P100" i="33" s="1"/>
  <c r="T30" i="33" a="1"/>
  <c r="T30" i="33" s="1"/>
  <c r="R77" i="33" a="1"/>
  <c r="R77" i="33" s="1"/>
  <c r="N40" i="33" a="1"/>
  <c r="N40" i="33" s="1"/>
  <c r="N20" i="33" a="1"/>
  <c r="N20" i="33" s="1"/>
  <c r="G53" i="33" a="1"/>
  <c r="G53" i="33" s="1"/>
  <c r="U121" i="33" a="1"/>
  <c r="U121" i="33" s="1"/>
  <c r="U145" i="33" a="1"/>
  <c r="U145" i="33" s="1"/>
  <c r="O124" i="33" a="1"/>
  <c r="O124" i="33" s="1"/>
  <c r="K158" i="33" a="1"/>
  <c r="K158" i="33" s="1"/>
  <c r="L114" i="33" a="1"/>
  <c r="L114" i="33" s="1"/>
  <c r="K83" i="33" a="1"/>
  <c r="K83" i="33" s="1"/>
  <c r="N45" i="33" a="1"/>
  <c r="N45" i="33" s="1"/>
  <c r="O79" i="33" a="1"/>
  <c r="O79" i="33" s="1"/>
  <c r="M123" i="33" a="1"/>
  <c r="M123" i="33" s="1"/>
  <c r="F55" i="33" a="1"/>
  <c r="F55" i="33" s="1"/>
  <c r="N131" i="33" a="1"/>
  <c r="N131" i="33" s="1"/>
  <c r="M72" i="33" a="1"/>
  <c r="M72" i="33" s="1"/>
  <c r="P147" i="33" a="1"/>
  <c r="P147" i="33" s="1"/>
  <c r="R39" i="33" a="1"/>
  <c r="R39" i="33" s="1"/>
  <c r="N71" i="33" a="1"/>
  <c r="N71" i="33" s="1"/>
  <c r="N21" i="33" a="1"/>
  <c r="N21" i="33" s="1"/>
  <c r="T16" i="33" a="1"/>
  <c r="T16" i="33" s="1"/>
  <c r="F17" i="33" a="1"/>
  <c r="F17" i="33" s="1"/>
  <c r="G65" i="33" a="1"/>
  <c r="G65" i="33" s="1"/>
  <c r="L110" i="33" a="1"/>
  <c r="L110" i="33" s="1"/>
  <c r="G101" i="33" a="1"/>
  <c r="G101" i="33" s="1"/>
  <c r="I128" i="33" a="1"/>
  <c r="I128" i="33" s="1"/>
  <c r="I20" i="33" a="1"/>
  <c r="I20" i="33" s="1"/>
  <c r="F121" i="33" a="1"/>
  <c r="F121" i="33" s="1"/>
  <c r="I33" i="33" a="1"/>
  <c r="I33" i="33" s="1"/>
  <c r="T18" i="33" a="1"/>
  <c r="T18" i="33" s="1"/>
  <c r="N68" i="33" a="1"/>
  <c r="N68" i="33" s="1"/>
  <c r="Q49" i="33" a="1"/>
  <c r="Q49" i="33" s="1"/>
  <c r="U103" i="33" a="1"/>
  <c r="U103" i="33" s="1"/>
  <c r="F151" i="33" a="1"/>
  <c r="F151" i="33" s="1"/>
  <c r="G121" i="33" a="1"/>
  <c r="G121" i="33" s="1"/>
  <c r="CZ29" i="33" a="1"/>
  <c r="CZ29" i="33" s="1"/>
  <c r="CR113" i="33" a="1"/>
  <c r="CR113" i="33" s="1"/>
  <c r="R73" i="33" a="1"/>
  <c r="R73" i="33" s="1"/>
  <c r="E103" i="33" a="1"/>
  <c r="E103" i="33" s="1"/>
  <c r="H134" i="33" a="1"/>
  <c r="H134" i="33" s="1"/>
  <c r="E14" i="33" a="1"/>
  <c r="E14" i="33" s="1"/>
  <c r="S120" i="33" a="1"/>
  <c r="S120" i="33" s="1"/>
  <c r="H50" i="33" a="1"/>
  <c r="H50" i="33" s="1"/>
  <c r="J30" i="33" a="1"/>
  <c r="J30" i="33" s="1"/>
  <c r="S34" i="33" a="1"/>
  <c r="S34" i="33" s="1"/>
  <c r="L21" i="33" a="1"/>
  <c r="L21" i="33" s="1"/>
  <c r="E41" i="33" a="1"/>
  <c r="E41" i="33" s="1"/>
  <c r="H74" i="33" a="1"/>
  <c r="H74" i="33" s="1"/>
  <c r="O139" i="33" a="1"/>
  <c r="O139" i="33" s="1"/>
  <c r="O151" i="33" a="1"/>
  <c r="O151" i="33" s="1"/>
  <c r="I32" i="33" a="1"/>
  <c r="I32" i="33" s="1"/>
  <c r="M117" i="33" a="1"/>
  <c r="M117" i="33" s="1"/>
  <c r="I80" i="33" a="1"/>
  <c r="I80" i="33" s="1"/>
  <c r="G147" i="33" a="1"/>
  <c r="G147" i="33" s="1"/>
  <c r="P16" i="33" a="1"/>
  <c r="P16" i="33" s="1"/>
  <c r="R152" i="33" a="1"/>
  <c r="R152" i="33" s="1"/>
  <c r="M88" i="33" a="1"/>
  <c r="M88" i="33" s="1"/>
  <c r="J160" i="33" a="1"/>
  <c r="J160" i="33" s="1"/>
  <c r="P123" i="33" a="1"/>
  <c r="P123" i="33" s="1"/>
  <c r="I161" i="33" a="1"/>
  <c r="I161" i="33" s="1"/>
  <c r="P127" i="33" a="1"/>
  <c r="P127" i="33" s="1"/>
  <c r="Z61" i="33" a="1"/>
  <c r="Z61" i="33" s="1"/>
  <c r="F41" i="33" a="1"/>
  <c r="F41" i="33" s="1"/>
  <c r="M102" i="33" a="1"/>
  <c r="M102" i="33" s="1"/>
  <c r="R36" i="33" a="1"/>
  <c r="R36" i="33" s="1"/>
  <c r="F85" i="33" a="1"/>
  <c r="F85" i="33" s="1"/>
  <c r="T112" i="33" a="1"/>
  <c r="T112" i="33" s="1"/>
  <c r="Q66" i="33" a="1"/>
  <c r="Q66" i="33" s="1"/>
  <c r="J14" i="33" a="1"/>
  <c r="J14" i="33" s="1"/>
  <c r="K31" i="33" a="1"/>
  <c r="K31" i="33" s="1"/>
  <c r="E35" i="33" a="1"/>
  <c r="E35" i="33" s="1"/>
  <c r="K51" i="33" a="1"/>
  <c r="K51" i="33" s="1"/>
  <c r="H96" i="33" a="1"/>
  <c r="H96" i="33" s="1"/>
  <c r="U48" i="33" a="1"/>
  <c r="U48" i="33" s="1"/>
  <c r="H60" i="33" a="1"/>
  <c r="H60" i="33" s="1"/>
  <c r="L14" i="33" a="1"/>
  <c r="L14" i="33" s="1"/>
  <c r="E21" i="33" a="1"/>
  <c r="E21" i="33" s="1"/>
  <c r="I138" i="33" a="1"/>
  <c r="I138" i="33" s="1"/>
  <c r="T102" i="33" a="1"/>
  <c r="T102" i="33" s="1"/>
  <c r="T69" i="33" a="1"/>
  <c r="T69" i="33" s="1"/>
  <c r="U146" i="33" a="1"/>
  <c r="U146" i="33" s="1"/>
  <c r="U66" i="33" a="1"/>
  <c r="U66" i="33" s="1"/>
  <c r="I92" i="33" a="1"/>
  <c r="I92" i="33" s="1"/>
  <c r="CQ101" i="33" a="1"/>
  <c r="CQ101" i="33" s="1"/>
  <c r="P119" i="33" a="1"/>
  <c r="P119" i="33" s="1"/>
  <c r="O38" i="33" a="1"/>
  <c r="O38" i="33" s="1"/>
  <c r="F83" i="33" a="1"/>
  <c r="F83" i="33" s="1"/>
  <c r="R48" i="33" a="1"/>
  <c r="R48" i="33" s="1"/>
  <c r="U90" i="33" a="1"/>
  <c r="U90" i="33" s="1"/>
  <c r="M43" i="33" a="1"/>
  <c r="M43" i="33" s="1"/>
  <c r="N28" i="33" a="1"/>
  <c r="N28" i="33" s="1"/>
  <c r="F27" i="33" a="1"/>
  <c r="F27" i="33" s="1"/>
  <c r="T109" i="33" a="1"/>
  <c r="T109" i="33" s="1"/>
  <c r="Q21" i="33" a="1"/>
  <c r="Q21" i="33" s="1"/>
  <c r="G92" i="33" a="1"/>
  <c r="G92" i="33" s="1"/>
  <c r="Q50" i="33" a="1"/>
  <c r="Q50" i="33" s="1"/>
  <c r="Q84" i="33" a="1"/>
  <c r="Q84" i="33" s="1"/>
  <c r="I55" i="33" a="1"/>
  <c r="I55" i="33" s="1"/>
  <c r="CR154" i="33" a="1"/>
  <c r="CR154" i="33" s="1"/>
  <c r="BD29" i="33" a="1"/>
  <c r="BD29" i="33" s="1"/>
  <c r="P97" i="33" a="1"/>
  <c r="P97" i="33" s="1"/>
  <c r="S159" i="33" a="1"/>
  <c r="S159" i="33" s="1"/>
  <c r="G145" i="33" a="1"/>
  <c r="G145" i="33" s="1"/>
  <c r="I117" i="33" a="1"/>
  <c r="I117" i="33" s="1"/>
  <c r="H133" i="33" a="1"/>
  <c r="H133" i="33" s="1"/>
  <c r="L16" i="33" a="1"/>
  <c r="L16" i="33" s="1"/>
  <c r="O87" i="33" a="1"/>
  <c r="O87" i="33" s="1"/>
  <c r="O28" i="33" a="1"/>
  <c r="O28" i="33" s="1"/>
  <c r="J102" i="33" a="1"/>
  <c r="J102" i="33" s="1"/>
  <c r="L154" i="33" a="1"/>
  <c r="L154" i="33" s="1"/>
  <c r="E116" i="33" a="1"/>
  <c r="E116" i="33" s="1"/>
  <c r="S14" i="33" a="1"/>
  <c r="S14" i="33" s="1"/>
  <c r="N157" i="33" a="1"/>
  <c r="N157" i="33" s="1"/>
  <c r="L160" i="33" a="1"/>
  <c r="L160" i="33" s="1"/>
  <c r="P146" i="33" a="1"/>
  <c r="P146" i="33" s="1"/>
  <c r="Q82" i="33" a="1"/>
  <c r="Q82" i="33" s="1"/>
  <c r="M61" i="33" a="1"/>
  <c r="M61" i="33" s="1"/>
  <c r="R116" i="33" a="1"/>
  <c r="R116" i="33" s="1"/>
  <c r="G133" i="33" a="1"/>
  <c r="G133" i="33" s="1"/>
  <c r="S82" i="33" a="1"/>
  <c r="S82" i="33" s="1"/>
  <c r="O89" i="33" a="1"/>
  <c r="O89" i="33" s="1"/>
  <c r="R102" i="33" a="1"/>
  <c r="R102" i="33" s="1"/>
  <c r="F65" i="33" a="1"/>
  <c r="F65" i="33" s="1"/>
  <c r="G100" i="33" a="1"/>
  <c r="G100" i="33" s="1"/>
  <c r="Q80" i="33" a="1"/>
  <c r="Q80" i="33" s="1"/>
  <c r="R104" i="33" a="1"/>
  <c r="R104" i="33" s="1"/>
  <c r="T111" i="33" a="1"/>
  <c r="T111" i="33" s="1"/>
  <c r="F119" i="33" a="1"/>
  <c r="F119" i="33" s="1"/>
  <c r="Q127" i="33" a="1"/>
  <c r="Q127" i="33" s="1"/>
  <c r="Q106" i="33" a="1"/>
  <c r="Q106" i="33" s="1"/>
  <c r="S25" i="33" a="1"/>
  <c r="S25" i="33" s="1"/>
  <c r="K20" i="33" a="1"/>
  <c r="K20" i="33" s="1"/>
  <c r="P42" i="33" a="1"/>
  <c r="P42" i="33" s="1"/>
  <c r="L156" i="33" a="1"/>
  <c r="L156" i="33" s="1"/>
  <c r="S29" i="33" a="1"/>
  <c r="S29" i="33" s="1"/>
  <c r="E112" i="33" a="1"/>
  <c r="E112" i="33" s="1"/>
  <c r="H70" i="33" a="1"/>
  <c r="H70" i="33" s="1"/>
  <c r="L51" i="33" a="1"/>
  <c r="L51" i="33" s="1"/>
  <c r="L92" i="33" a="1"/>
  <c r="L92" i="33" s="1"/>
  <c r="J138" i="33" a="1"/>
  <c r="J138" i="33" s="1"/>
  <c r="P125" i="33" a="1"/>
  <c r="P125" i="33" s="1"/>
  <c r="I65" i="33" a="1"/>
  <c r="I65" i="33" s="1"/>
  <c r="N72" i="33" a="1"/>
  <c r="N72" i="33" s="1"/>
  <c r="O153" i="33" a="1"/>
  <c r="O153" i="33" s="1"/>
  <c r="AV95" i="33" a="1"/>
  <c r="AV95" i="33" s="1"/>
  <c r="M130" i="33" a="1"/>
  <c r="M130" i="33" s="1"/>
  <c r="AS39" i="33" a="1"/>
  <c r="AS39" i="33" s="1"/>
  <c r="Q62" i="33" a="1"/>
  <c r="Q62" i="33" s="1"/>
  <c r="O93" i="33" a="1"/>
  <c r="O93" i="33" s="1"/>
  <c r="R83" i="33" a="1"/>
  <c r="R83" i="33" s="1"/>
  <c r="N83" i="33" a="1"/>
  <c r="N83" i="33" s="1"/>
  <c r="F66" i="33" a="1"/>
  <c r="F66" i="33" s="1"/>
  <c r="BG114" i="33" a="1"/>
  <c r="BG114" i="33" s="1"/>
  <c r="BG50" i="33" a="1"/>
  <c r="BG50" i="33" s="1"/>
  <c r="BM102" i="33" a="1"/>
  <c r="BM102" i="33" s="1"/>
  <c r="CT123" i="33" a="1"/>
  <c r="CT123" i="33" s="1"/>
  <c r="BH74" i="33" a="1"/>
  <c r="BH74" i="33" s="1"/>
  <c r="CF47" i="33" a="1"/>
  <c r="CF47" i="33" s="1"/>
  <c r="CR104" i="33" a="1"/>
  <c r="CR104" i="33" s="1"/>
  <c r="O62" i="33" a="1"/>
  <c r="O62" i="33" s="1"/>
  <c r="Z85" i="33" a="1"/>
  <c r="Z85" i="33" s="1"/>
  <c r="AI82" i="33" a="1"/>
  <c r="AI82" i="33" s="1"/>
  <c r="BM146" i="33" a="1"/>
  <c r="BM146" i="33" s="1"/>
  <c r="CU152" i="33" a="1"/>
  <c r="CU152" i="33" s="1"/>
  <c r="I135" i="33" a="1"/>
  <c r="I135" i="33" s="1"/>
  <c r="N103" i="33" a="1"/>
  <c r="N103" i="33" s="1"/>
  <c r="BX119" i="33" a="1"/>
  <c r="BX119" i="33" s="1"/>
  <c r="M47" i="33" a="1"/>
  <c r="M47" i="33" s="1"/>
  <c r="N150" i="33" a="1"/>
  <c r="N150" i="33" s="1"/>
  <c r="AT58" i="33" a="1"/>
  <c r="AT58" i="33" s="1"/>
  <c r="AW160" i="33" a="1"/>
  <c r="AW160" i="33" s="1"/>
  <c r="AV89" i="33" a="1"/>
  <c r="AV89" i="33" s="1"/>
  <c r="CT111" i="33" a="1"/>
  <c r="CT111" i="33" s="1"/>
  <c r="AS71" i="33" a="1"/>
  <c r="AS71" i="33" s="1"/>
  <c r="I107" i="33" a="1"/>
  <c r="I107" i="33" s="1"/>
  <c r="G128" i="33" a="1"/>
  <c r="G128" i="33" s="1"/>
  <c r="AC46" i="33" a="1"/>
  <c r="AC46" i="33" s="1"/>
  <c r="BZ150" i="33" a="1"/>
  <c r="BZ150" i="33" s="1"/>
  <c r="T132" i="33" a="1"/>
  <c r="T132" i="33" s="1"/>
  <c r="U56" i="33" a="1"/>
  <c r="U56" i="33" s="1"/>
  <c r="G107" i="33" a="1"/>
  <c r="G107" i="33" s="1"/>
  <c r="AW19" i="33" a="1"/>
  <c r="AW19" i="33" s="1"/>
  <c r="BG20" i="33" a="1"/>
  <c r="BG20" i="33" s="1"/>
  <c r="CQ147" i="33" a="1"/>
  <c r="CQ147" i="33" s="1"/>
  <c r="AS26" i="33" a="1"/>
  <c r="AS26" i="33" s="1"/>
  <c r="BC71" i="33" a="1"/>
  <c r="BC71" i="33" s="1"/>
  <c r="I160" i="33" a="1"/>
  <c r="I160" i="33" s="1"/>
  <c r="AV102" i="33" a="1"/>
  <c r="AV102" i="33" s="1"/>
  <c r="BD84" i="33" a="1"/>
  <c r="BD84" i="33" s="1"/>
  <c r="BN72" i="33" a="1"/>
  <c r="BN72" i="33" s="1"/>
  <c r="AI29" i="33" a="1"/>
  <c r="AI29" i="33" s="1"/>
  <c r="M146" i="33" a="1"/>
  <c r="M146" i="33" s="1"/>
  <c r="R118" i="33" a="1"/>
  <c r="R118" i="33" s="1"/>
  <c r="U157" i="33" a="1"/>
  <c r="U157" i="33" s="1"/>
  <c r="BD104" i="33" a="1"/>
  <c r="BD104" i="33" s="1"/>
  <c r="P52" i="33" a="1"/>
  <c r="P52" i="33" s="1"/>
  <c r="AV53" i="33" a="1"/>
  <c r="AV53" i="33" s="1"/>
  <c r="AI116" i="33" a="1"/>
  <c r="AI116" i="33" s="1"/>
  <c r="Z128" i="33" a="1"/>
  <c r="Z128" i="33" s="1"/>
  <c r="BN84" i="33" a="1"/>
  <c r="BN84" i="33" s="1"/>
  <c r="T27" i="33" a="1"/>
  <c r="T27" i="33" s="1"/>
  <c r="AV134" i="33" a="1"/>
  <c r="AV134" i="33" s="1"/>
  <c r="Y119" i="33" a="1"/>
  <c r="Y119" i="33" s="1"/>
  <c r="M91" i="33" a="1"/>
  <c r="M91" i="33" s="1"/>
  <c r="O136" i="33" a="1"/>
  <c r="O136" i="33" s="1"/>
  <c r="CG98" i="33" a="1"/>
  <c r="CG98" i="33" s="1"/>
  <c r="BQ116" i="33" a="1"/>
  <c r="BQ116" i="33" s="1"/>
  <c r="AM78" i="33" a="1"/>
  <c r="AM78" i="33" s="1"/>
  <c r="AW140" i="33" a="1"/>
  <c r="AW140" i="33" s="1"/>
  <c r="BX106" i="33" a="1"/>
  <c r="BX106" i="33" s="1"/>
  <c r="F48" i="33" a="1"/>
  <c r="F48" i="33" s="1"/>
  <c r="I127" i="33" a="1"/>
  <c r="I127" i="33" s="1"/>
  <c r="S95" i="33" a="1"/>
  <c r="S95" i="33" s="1"/>
  <c r="CG117" i="33" a="1"/>
  <c r="CG117" i="33" s="1"/>
  <c r="Y43" i="33" a="1"/>
  <c r="Y43" i="33" s="1"/>
  <c r="BW62" i="33" a="1"/>
  <c r="BW62" i="33" s="1"/>
  <c r="AC48" i="33" a="1"/>
  <c r="AC48" i="33" s="1"/>
  <c r="F138" i="33" a="1"/>
  <c r="F138" i="33" s="1"/>
  <c r="F147" i="33" a="1"/>
  <c r="F147" i="33" s="1"/>
  <c r="BH160" i="33" a="1"/>
  <c r="BH160" i="33" s="1"/>
  <c r="AW96" i="33" a="1"/>
  <c r="AW96" i="33" s="1"/>
  <c r="Y136" i="33" a="1"/>
  <c r="Y136" i="33" s="1"/>
  <c r="CU124" i="33" a="1"/>
  <c r="CU124" i="33" s="1"/>
  <c r="M139" i="33" a="1"/>
  <c r="M139" i="33" s="1"/>
  <c r="I14" i="33" a="1"/>
  <c r="I14" i="33" s="1"/>
  <c r="S105" i="33" a="1"/>
  <c r="S105" i="33" s="1"/>
  <c r="Q79" i="33" a="1"/>
  <c r="Q79" i="33" s="1"/>
  <c r="T91" i="33" a="1"/>
  <c r="T91" i="33" s="1"/>
  <c r="CA53" i="33" a="1"/>
  <c r="CA53" i="33" s="1"/>
  <c r="BD129" i="33" a="1"/>
  <c r="BD129" i="33" s="1"/>
  <c r="CT133" i="33" a="1"/>
  <c r="CT133" i="33" s="1"/>
  <c r="AS25" i="33" a="1"/>
  <c r="AS25" i="33" s="1"/>
  <c r="BH137" i="33" a="1"/>
  <c r="BH137" i="33" s="1"/>
  <c r="O140" i="33" a="1"/>
  <c r="O140" i="33" s="1"/>
  <c r="BN78" i="33" a="1"/>
  <c r="BN78" i="33" s="1"/>
  <c r="AV22" i="33" a="1"/>
  <c r="AV22" i="33" s="1"/>
  <c r="BX116" i="33" a="1"/>
  <c r="BX116" i="33" s="1"/>
  <c r="G96" i="33" a="1"/>
  <c r="G96" i="33" s="1"/>
  <c r="BW78" i="33" a="1"/>
  <c r="BW78" i="33" s="1"/>
  <c r="P161" i="33" a="1"/>
  <c r="P161" i="33" s="1"/>
  <c r="CG79" i="33" a="1"/>
  <c r="CG79" i="33" s="1"/>
  <c r="CU62" i="33" a="1"/>
  <c r="CU62" i="33" s="1"/>
  <c r="CT37" i="33" a="1"/>
  <c r="CT37" i="33" s="1"/>
  <c r="AM38" i="33" a="1"/>
  <c r="AM38" i="33" s="1"/>
  <c r="Q112" i="33" a="1"/>
  <c r="Q112" i="33" s="1"/>
  <c r="BQ30" i="33" a="1"/>
  <c r="BQ30" i="33" s="1"/>
  <c r="BC114" i="33" a="1"/>
  <c r="BC114" i="33" s="1"/>
  <c r="BH66" i="33" a="1"/>
  <c r="BH66" i="33" s="1"/>
  <c r="BN26" i="33" a="1"/>
  <c r="BN26" i="33" s="1"/>
  <c r="CQ104" i="33" a="1"/>
  <c r="CQ104" i="33" s="1"/>
  <c r="R150" i="33" a="1"/>
  <c r="R150" i="33" s="1"/>
  <c r="T39" i="33" a="1"/>
  <c r="T39" i="33" s="1"/>
  <c r="Q67" i="33" a="1"/>
  <c r="Q67" i="33" s="1"/>
  <c r="CA127" i="33" a="1"/>
  <c r="CA127" i="33" s="1"/>
  <c r="F133" i="33" a="1"/>
  <c r="F133" i="33" s="1"/>
  <c r="CT82" i="33" a="1"/>
  <c r="CT82" i="33" s="1"/>
  <c r="BM110" i="33" a="1"/>
  <c r="BM110" i="33" s="1"/>
  <c r="BN85" i="33" a="1"/>
  <c r="BN85" i="33" s="1"/>
  <c r="BC115" i="33" a="1"/>
  <c r="BC115" i="33" s="1"/>
  <c r="CA115" i="33" a="1"/>
  <c r="CA115" i="33" s="1"/>
  <c r="BD161" i="33" a="1"/>
  <c r="BD161" i="33" s="1"/>
  <c r="BZ113" i="33" a="1"/>
  <c r="BZ113" i="33" s="1"/>
  <c r="R147" i="33" a="1"/>
  <c r="R147" i="33" s="1"/>
  <c r="R130" i="33" a="1"/>
  <c r="R130" i="33" s="1"/>
  <c r="D61" i="33" a="1"/>
  <c r="D61" i="33" s="1"/>
  <c r="AI111" i="33" a="1"/>
  <c r="AI111" i="33" s="1"/>
  <c r="BW138" i="33" a="1"/>
  <c r="BW138" i="33" s="1"/>
  <c r="BQ50" i="33" a="1"/>
  <c r="BQ50" i="33" s="1"/>
  <c r="CU147" i="33" a="1"/>
  <c r="CU147" i="33" s="1"/>
  <c r="CR60" i="33" a="1"/>
  <c r="CR60" i="33" s="1"/>
  <c r="AM45" i="33" a="1"/>
  <c r="AM45" i="33" s="1"/>
  <c r="Y120" i="33" a="1"/>
  <c r="Y120" i="33" s="1"/>
  <c r="BC74" i="33" a="1"/>
  <c r="BC74" i="33" s="1"/>
  <c r="Y99" i="33" a="1"/>
  <c r="Y99" i="33" s="1"/>
  <c r="CG30" i="33" a="1"/>
  <c r="CG30" i="33" s="1"/>
  <c r="AT138" i="33" a="1"/>
  <c r="AT138" i="33" s="1"/>
  <c r="AW32" i="33" a="1"/>
  <c r="AW32" i="33" s="1"/>
  <c r="AT103" i="33" a="1"/>
  <c r="AT103" i="33" s="1"/>
  <c r="O96" i="33" a="1"/>
  <c r="O96" i="33" s="1"/>
  <c r="S158" i="33" a="1"/>
  <c r="S158" i="33" s="1"/>
  <c r="AC93" i="33" a="1"/>
  <c r="AC93" i="33" s="1"/>
  <c r="BH104" i="33" a="1"/>
  <c r="BH104" i="33" s="1"/>
  <c r="BG147" i="33" a="1"/>
  <c r="BG147" i="33" s="1"/>
  <c r="Y54" i="33" a="1"/>
  <c r="Y54" i="33" s="1"/>
  <c r="R57" i="33" a="1"/>
  <c r="R57" i="33" s="1"/>
  <c r="R120" i="33" a="1"/>
  <c r="R120" i="33" s="1"/>
  <c r="AV133" i="33" a="1"/>
  <c r="AV133" i="33" s="1"/>
  <c r="BG69" i="33" a="1"/>
  <c r="BG69" i="33" s="1"/>
  <c r="F127" i="33" a="1"/>
  <c r="F127" i="33" s="1"/>
  <c r="BZ100" i="33" a="1"/>
  <c r="BZ100" i="33" s="1"/>
  <c r="BC87" i="33" a="1"/>
  <c r="BC87" i="33" s="1"/>
  <c r="BZ131" i="33" a="1"/>
  <c r="BZ131" i="33" s="1"/>
  <c r="CH123" i="33" a="1"/>
  <c r="CH123" i="33" s="1"/>
  <c r="Q115" i="33" a="1"/>
  <c r="Q115" i="33" s="1"/>
  <c r="F136" i="33" a="1"/>
  <c r="F136" i="33" s="1"/>
  <c r="G15" i="33" a="1"/>
  <c r="G15" i="33" s="1"/>
  <c r="AS58" i="33" a="1"/>
  <c r="AS58" i="33" s="1"/>
  <c r="R26" i="33" a="1"/>
  <c r="R26" i="33" s="1"/>
  <c r="F101" i="33" a="1"/>
  <c r="F101" i="33" s="1"/>
  <c r="BH145" i="33" a="1"/>
  <c r="BH145" i="33" s="1"/>
  <c r="BH150" i="33" a="1"/>
  <c r="BH150" i="33" s="1"/>
  <c r="AI151" i="33" a="1"/>
  <c r="AI151" i="33" s="1"/>
  <c r="BZ45" i="33" a="1"/>
  <c r="BZ45" i="33" s="1"/>
  <c r="AJ78" i="33" a="1"/>
  <c r="AJ78" i="33" s="1"/>
  <c r="BM62" i="33" a="1"/>
  <c r="BM62" i="33" s="1"/>
  <c r="N99" i="33" a="1"/>
  <c r="N99" i="33" s="1"/>
  <c r="U96" i="33" a="1"/>
  <c r="U96" i="33" s="1"/>
  <c r="AI145" i="33" a="1"/>
  <c r="AI145" i="33" s="1"/>
  <c r="BN68" i="33" a="1"/>
  <c r="BN68" i="33" s="1"/>
  <c r="CH41" i="33" a="1"/>
  <c r="CH41" i="33" s="1"/>
  <c r="AM141" i="33" a="1"/>
  <c r="AM141" i="33" s="1"/>
  <c r="F60" i="33" a="1"/>
  <c r="F60" i="33" s="1"/>
  <c r="T133" i="33" a="1"/>
  <c r="T133" i="33" s="1"/>
  <c r="BZ138" i="33" a="1"/>
  <c r="BZ138" i="33" s="1"/>
  <c r="O98" i="33" a="1"/>
  <c r="O98" i="33" s="1"/>
  <c r="CH47" i="33" a="1"/>
  <c r="CH47" i="33" s="1"/>
  <c r="AI144" i="33" a="1"/>
  <c r="AI144" i="33" s="1"/>
  <c r="BC14" i="33" a="1"/>
  <c r="BC14" i="33" s="1"/>
  <c r="BQ56" i="33" a="1"/>
  <c r="BQ56" i="33" s="1"/>
  <c r="T17" i="33" a="1"/>
  <c r="T17" i="33" s="1"/>
  <c r="T151" i="33" a="1"/>
  <c r="T151" i="33" s="1"/>
  <c r="G74" i="33" a="1"/>
  <c r="G74" i="33" s="1"/>
  <c r="R70" i="33" a="1"/>
  <c r="R70" i="33" s="1"/>
  <c r="T24" i="33" a="1"/>
  <c r="T24" i="33" s="1"/>
  <c r="N116" i="33" a="1"/>
  <c r="N116" i="33" s="1"/>
  <c r="BM112" i="33" a="1"/>
  <c r="BM112" i="33" s="1"/>
  <c r="CZ131" i="33" a="1"/>
  <c r="CZ131" i="33" s="1"/>
  <c r="BX129" i="33" a="1"/>
  <c r="BX129" i="33" s="1"/>
  <c r="BW123" i="33" a="1"/>
  <c r="BW123" i="33" s="1"/>
  <c r="AT84" i="33" a="1"/>
  <c r="AT84" i="33" s="1"/>
  <c r="CG140" i="33" a="1"/>
  <c r="CG140" i="33" s="1"/>
  <c r="BW70" i="33" a="1"/>
  <c r="BW70" i="33" s="1"/>
  <c r="BH117" i="33" a="1"/>
  <c r="BH117" i="33" s="1"/>
  <c r="R69" i="33" a="1"/>
  <c r="R69" i="33" s="1"/>
  <c r="S22" i="33" a="1"/>
  <c r="S22" i="33" s="1"/>
  <c r="BQ16" i="33" a="1"/>
  <c r="BQ16" i="33" s="1"/>
  <c r="AW57" i="33" a="1"/>
  <c r="AW57" i="33" s="1"/>
  <c r="BH48" i="33" a="1"/>
  <c r="BH48" i="33" s="1"/>
  <c r="CQ16" i="33" a="1"/>
  <c r="CQ16" i="33" s="1"/>
  <c r="G76" i="33" a="1"/>
  <c r="G76" i="33" s="1"/>
  <c r="U75" i="33" a="1"/>
  <c r="U75" i="33" s="1"/>
  <c r="AJ112" i="33" a="1"/>
  <c r="AJ112" i="33" s="1"/>
  <c r="CP97" i="33" a="1"/>
  <c r="CP97" i="33" s="1"/>
  <c r="CQ58" i="33" a="1"/>
  <c r="CQ58" i="33" s="1"/>
  <c r="BM156" i="33" a="1"/>
  <c r="BM156" i="33" s="1"/>
  <c r="CA23" i="33" a="1"/>
  <c r="CA23" i="33" s="1"/>
  <c r="R21" i="33" a="1"/>
  <c r="R21" i="33" s="1"/>
  <c r="G62" i="33" a="1"/>
  <c r="G62" i="33" s="1"/>
  <c r="Z101" i="33" a="1"/>
  <c r="Z101" i="33" s="1"/>
  <c r="Q40" i="33" a="1"/>
  <c r="Q40" i="33" s="1"/>
  <c r="P48" i="33" a="1"/>
  <c r="P48" i="33" s="1"/>
  <c r="CU130" i="33" a="1"/>
  <c r="CU130" i="33" s="1"/>
  <c r="AV116" i="33" a="1"/>
  <c r="AV116" i="33" s="1"/>
  <c r="BM53" i="33" a="1"/>
  <c r="BM53" i="33" s="1"/>
  <c r="Y145" i="33" a="1"/>
  <c r="Y145" i="33" s="1"/>
  <c r="R96" i="33" a="1"/>
  <c r="R96" i="33" s="1"/>
  <c r="CG76" i="33" a="1"/>
  <c r="CG76" i="33" s="1"/>
  <c r="Q146" i="33" a="1"/>
  <c r="Q146" i="33" s="1"/>
  <c r="Q39" i="33" a="1"/>
  <c r="Q39" i="33" s="1"/>
  <c r="Q138" i="33" a="1"/>
  <c r="Q138" i="33" s="1"/>
  <c r="AC154" i="33" a="1"/>
  <c r="AC154" i="33" s="1"/>
  <c r="AI25" i="33" a="1"/>
  <c r="AI25" i="33" s="1"/>
  <c r="BD125" i="33" a="1"/>
  <c r="BD125" i="33" s="1"/>
  <c r="CU30" i="33" a="1"/>
  <c r="CU30" i="33" s="1"/>
  <c r="G114" i="33" a="1"/>
  <c r="G114" i="33" s="1"/>
  <c r="BX61" i="33" a="1"/>
  <c r="BX61" i="33" s="1"/>
  <c r="AT125" i="33" a="1"/>
  <c r="AT125" i="33" s="1"/>
  <c r="CZ67" i="33" a="1"/>
  <c r="CZ67" i="33" s="1"/>
  <c r="AJ57" i="33" a="1"/>
  <c r="AJ57" i="33" s="1"/>
  <c r="AI95" i="33" a="1"/>
  <c r="AI95" i="33" s="1"/>
  <c r="AI140" i="33" a="1"/>
  <c r="AI140" i="33" s="1"/>
  <c r="M155" i="33" a="1"/>
  <c r="M155" i="33" s="1"/>
  <c r="T119" i="33" a="1"/>
  <c r="T119" i="33" s="1"/>
  <c r="AS15" i="33" a="1"/>
  <c r="AS15" i="33" s="1"/>
  <c r="CT109" i="33" a="1"/>
  <c r="CT109" i="33" s="1"/>
  <c r="Q51" i="33" a="1"/>
  <c r="Q51" i="33" s="1"/>
  <c r="BQ117" i="33" a="1"/>
  <c r="BQ117" i="33" s="1"/>
  <c r="D159" i="33" a="1"/>
  <c r="D159" i="33" s="1"/>
  <c r="CT26" i="33" a="1"/>
  <c r="CT26" i="33" s="1"/>
  <c r="BQ71" i="33" a="1"/>
  <c r="BQ71" i="33" s="1"/>
  <c r="BZ104" i="33" a="1"/>
  <c r="BZ104" i="33" s="1"/>
  <c r="G22" i="33" a="1"/>
  <c r="G22" i="33" s="1"/>
  <c r="U136" i="33" a="1"/>
  <c r="U136" i="33" s="1"/>
  <c r="Z121" i="33" a="1"/>
  <c r="Z121" i="33" s="1"/>
  <c r="CR152" i="33" a="1"/>
  <c r="CR152" i="33" s="1"/>
  <c r="BZ103" i="33" a="1"/>
  <c r="BZ103" i="33" s="1"/>
  <c r="BM161" i="33" a="1"/>
  <c r="BM161" i="33" s="1"/>
  <c r="BZ34" i="33" a="1"/>
  <c r="BZ34" i="33" s="1"/>
  <c r="AI54" i="33" a="1"/>
  <c r="AI54" i="33" s="1"/>
  <c r="CT103" i="33" a="1"/>
  <c r="CT103" i="33" s="1"/>
  <c r="CZ35" i="33" a="1"/>
  <c r="CZ35" i="33" s="1"/>
  <c r="BH124" i="33" a="1"/>
  <c r="BH124" i="33" s="1"/>
  <c r="AS150" i="33" a="1"/>
  <c r="AS150" i="33" s="1"/>
  <c r="G79" i="33" a="1"/>
  <c r="G79" i="33" s="1"/>
  <c r="CT108" i="33" a="1"/>
  <c r="CT108" i="33" s="1"/>
  <c r="CQ112" i="33" a="1"/>
  <c r="CQ112" i="33" s="1"/>
  <c r="BX92" i="33" a="1"/>
  <c r="BX92" i="33" s="1"/>
  <c r="CH63" i="33" a="1"/>
  <c r="CH63" i="33" s="1"/>
  <c r="Y60" i="33" a="1"/>
  <c r="Y60" i="33" s="1"/>
  <c r="I131" i="33" a="1"/>
  <c r="I131" i="33" s="1"/>
  <c r="F93" i="33" a="1"/>
  <c r="F93" i="33" s="1"/>
  <c r="CA86" i="33" a="1"/>
  <c r="CA86" i="33" s="1"/>
  <c r="Y103" i="33" a="1"/>
  <c r="Y103" i="33" s="1"/>
  <c r="BN139" i="33" a="1"/>
  <c r="BN139" i="33" s="1"/>
  <c r="CH124" i="33" a="1"/>
  <c r="CH124" i="33" s="1"/>
  <c r="G155" i="33" a="1"/>
  <c r="G155" i="33" s="1"/>
  <c r="N80" i="33" a="1"/>
  <c r="N80" i="33" s="1"/>
  <c r="O110" i="33" a="1"/>
  <c r="O110" i="33" s="1"/>
  <c r="T40" i="33" a="1"/>
  <c r="T40" i="33" s="1"/>
  <c r="O114" i="33" a="1"/>
  <c r="O114" i="33" s="1"/>
  <c r="P49" i="33" a="1"/>
  <c r="P49" i="33" s="1"/>
  <c r="BZ151" i="33" a="1"/>
  <c r="BZ151" i="33" s="1"/>
  <c r="BH85" i="33" a="1"/>
  <c r="BH85" i="33" s="1"/>
  <c r="Z62" i="33" a="1"/>
  <c r="Z62" i="33" s="1"/>
  <c r="BH142" i="33" a="1"/>
  <c r="BH142" i="33" s="1"/>
  <c r="M159" i="33" a="1"/>
  <c r="M159" i="33" s="1"/>
  <c r="T142" i="33" a="1"/>
  <c r="T142" i="33" s="1"/>
  <c r="AT26" i="33" a="1"/>
  <c r="AT26" i="33" s="1"/>
  <c r="CT104" i="33" a="1"/>
  <c r="CT104" i="33" s="1"/>
  <c r="O22" i="33" a="1"/>
  <c r="O22" i="33" s="1"/>
  <c r="CH86" i="33" a="1"/>
  <c r="CH86" i="33" s="1"/>
  <c r="BM17" i="33" a="1"/>
  <c r="BM17" i="33" s="1"/>
  <c r="BD154" i="33" a="1"/>
  <c r="BD154" i="33" s="1"/>
  <c r="Z134" i="33" a="1"/>
  <c r="Z134" i="33" s="1"/>
  <c r="Y32" i="33" a="1"/>
  <c r="Y32" i="33" s="1"/>
  <c r="AW123" i="33" a="1"/>
  <c r="AW123" i="33" s="1"/>
  <c r="BQ24" i="33" a="1"/>
  <c r="BQ24" i="33" s="1"/>
  <c r="CH69" i="33" a="1"/>
  <c r="CH69" i="33" s="1"/>
  <c r="Y23" i="33" a="1"/>
  <c r="Y23" i="33" s="1"/>
  <c r="BG86" i="33" a="1"/>
  <c r="BG86" i="33" s="1"/>
  <c r="BX124" i="33" a="1"/>
  <c r="BX124" i="33" s="1"/>
  <c r="CT117" i="33" a="1"/>
  <c r="CT117" i="33" s="1"/>
  <c r="F150" i="33" a="1"/>
  <c r="F150" i="33" s="1"/>
  <c r="R159" i="33" a="1"/>
  <c r="R159" i="33" s="1"/>
  <c r="G131" i="33" a="1"/>
  <c r="G131" i="33" s="1"/>
  <c r="Q36" i="33" a="1"/>
  <c r="Q36" i="33" s="1"/>
  <c r="T53" i="33" a="1"/>
  <c r="T53" i="33" s="1"/>
  <c r="BZ54" i="33" a="1"/>
  <c r="BZ54" i="33" s="1"/>
  <c r="BZ75" i="33" a="1"/>
  <c r="BZ75" i="33" s="1"/>
  <c r="BH42" i="33" a="1"/>
  <c r="BH42" i="33" s="1"/>
  <c r="BG108" i="33" a="1"/>
  <c r="BG108" i="33" s="1"/>
  <c r="G42" i="33" a="1"/>
  <c r="G42" i="33" s="1"/>
  <c r="BC129" i="33" a="1"/>
  <c r="BC129" i="33" s="1"/>
  <c r="CR110" i="33" a="1"/>
  <c r="CR110" i="33" s="1"/>
  <c r="CT91" i="33" a="1"/>
  <c r="CT91" i="33" s="1"/>
  <c r="F57" i="33" a="1"/>
  <c r="F57" i="33" s="1"/>
  <c r="Z44" i="33" a="1"/>
  <c r="Z44" i="33" s="1"/>
  <c r="AC124" i="33" a="1"/>
  <c r="AC124" i="33" s="1"/>
  <c r="CA82" i="33" a="1"/>
  <c r="CA82" i="33" s="1"/>
  <c r="AM63" i="33" a="1"/>
  <c r="AM63" i="33" s="1"/>
  <c r="CP88" i="33" a="1"/>
  <c r="CP88" i="33" s="1"/>
  <c r="AS56" i="33" a="1"/>
  <c r="AS56" i="33" s="1"/>
  <c r="F19" i="33" a="1"/>
  <c r="F19" i="33" s="1"/>
  <c r="M148" i="33" a="1"/>
  <c r="M148" i="33" s="1"/>
  <c r="I115" i="33" a="1"/>
  <c r="I115" i="33" s="1"/>
  <c r="BG52" i="33" a="1"/>
  <c r="BG52" i="33" s="1"/>
  <c r="I22" i="33" a="1"/>
  <c r="I22" i="33" s="1"/>
  <c r="CR112" i="33" a="1"/>
  <c r="CR112" i="33" s="1"/>
  <c r="AV27" i="33" a="1"/>
  <c r="AV27" i="33" s="1"/>
  <c r="AJ98" i="33" a="1"/>
  <c r="AJ98" i="33" s="1"/>
  <c r="AV126" i="33" a="1"/>
  <c r="AV126" i="33" s="1"/>
  <c r="T67" i="33" a="1"/>
  <c r="T67" i="33" s="1"/>
  <c r="R18" i="33" a="1"/>
  <c r="R18" i="33" s="1"/>
  <c r="CQ65" i="33" a="1"/>
  <c r="CQ65" i="33" s="1"/>
  <c r="AJ31" i="33" a="1"/>
  <c r="AJ31" i="33" s="1"/>
  <c r="O120" i="33" a="1"/>
  <c r="O120" i="33" s="1"/>
  <c r="M98" i="33" a="1"/>
  <c r="M98" i="33" s="1"/>
  <c r="BG40" i="33" a="1"/>
  <c r="BG40" i="33" s="1"/>
  <c r="AJ77" i="33" a="1"/>
  <c r="AJ77" i="33" s="1"/>
  <c r="CT159" i="33" a="1"/>
  <c r="CT159" i="33" s="1"/>
  <c r="AI131" i="33" a="1"/>
  <c r="AI131" i="33" s="1"/>
  <c r="Q134" i="33" a="1"/>
  <c r="Q134" i="33" s="1"/>
  <c r="S108" i="33" a="1"/>
  <c r="S108" i="33" s="1"/>
  <c r="G120" i="33" a="1"/>
  <c r="G120" i="33" s="1"/>
  <c r="T88" i="33" a="1"/>
  <c r="T88" i="33" s="1"/>
  <c r="U155" i="33" a="1"/>
  <c r="U155" i="33" s="1"/>
  <c r="M65" i="33" a="1"/>
  <c r="M65" i="33" s="1"/>
  <c r="U50" i="33" a="1"/>
  <c r="U50" i="33" s="1"/>
  <c r="R134" i="33" a="1"/>
  <c r="R134" i="33" s="1"/>
  <c r="Q143" i="33" a="1"/>
  <c r="Q143" i="33" s="1"/>
  <c r="I44" i="33" a="1"/>
  <c r="I44" i="33" s="1"/>
  <c r="Q38" i="33" a="1"/>
  <c r="Q38" i="33" s="1"/>
  <c r="P102" i="33" a="1"/>
  <c r="P102" i="33" s="1"/>
  <c r="CQ27" i="33" a="1"/>
  <c r="CQ27" i="33" s="1"/>
  <c r="CF54" i="33" a="1"/>
  <c r="CF54" i="33" s="1"/>
  <c r="R139" i="33" a="1"/>
  <c r="R139" i="33" s="1"/>
  <c r="CR25" i="33" a="1"/>
  <c r="CR25" i="33" s="1"/>
  <c r="BM150" i="33" a="1"/>
  <c r="BM150" i="33" s="1"/>
  <c r="BG132" i="33" a="1"/>
  <c r="BG132" i="33" s="1"/>
  <c r="J52" i="33" a="1"/>
  <c r="J52" i="33" s="1"/>
  <c r="N47" i="33" a="1"/>
  <c r="N47" i="33" s="1"/>
  <c r="G51" i="33" a="1"/>
  <c r="G51" i="33" s="1"/>
  <c r="G78" i="33" a="1"/>
  <c r="G78" i="33" s="1"/>
  <c r="F109" i="33" a="1"/>
  <c r="F109" i="33" s="1"/>
  <c r="T49" i="33" a="1"/>
  <c r="T49" i="33" s="1"/>
  <c r="M132" i="33" a="1"/>
  <c r="M132" i="33" s="1"/>
  <c r="T107" i="33" a="1"/>
  <c r="T107" i="33" s="1"/>
  <c r="Q33" i="33" a="1"/>
  <c r="Q33" i="33" s="1"/>
  <c r="Q110" i="33" a="1"/>
  <c r="Q110" i="33" s="1"/>
  <c r="G127" i="33" a="1"/>
  <c r="G127" i="33" s="1"/>
  <c r="M59" i="33" a="1"/>
  <c r="M59" i="33" s="1"/>
  <c r="U95" i="33" a="1"/>
  <c r="U95" i="33" s="1"/>
  <c r="AT97" i="33" a="1"/>
  <c r="AT97" i="33" s="1"/>
  <c r="G58" i="33" a="1"/>
  <c r="G58" i="33" s="1"/>
  <c r="T45" i="33" a="1"/>
  <c r="T45" i="33" s="1"/>
  <c r="CR22" i="33" a="1"/>
  <c r="CR22" i="33" s="1"/>
  <c r="D139" i="33" a="1"/>
  <c r="D139" i="33" s="1"/>
  <c r="BX56" i="33" a="1"/>
  <c r="BX56" i="33" s="1"/>
  <c r="BW71" i="33" a="1"/>
  <c r="BW71" i="33" s="1"/>
  <c r="I111" i="33" a="1"/>
  <c r="I111" i="33" s="1"/>
  <c r="M68" i="33" a="1"/>
  <c r="M68" i="33" s="1"/>
  <c r="K151" i="33" a="1"/>
  <c r="K151" i="33" s="1"/>
  <c r="Q108" i="33" a="1"/>
  <c r="Q108" i="33" s="1"/>
  <c r="T86" i="33" a="1"/>
  <c r="T86" i="33" s="1"/>
  <c r="S31" i="33" a="1"/>
  <c r="S31" i="33" s="1"/>
  <c r="G21" i="33" a="1"/>
  <c r="G21" i="33" s="1"/>
  <c r="N27" i="33" a="1"/>
  <c r="N27" i="33" s="1"/>
  <c r="F155" i="33" a="1"/>
  <c r="F155" i="33" s="1"/>
  <c r="O53" i="33" a="1"/>
  <c r="O53" i="33" s="1"/>
  <c r="M35" i="33" a="1"/>
  <c r="M35" i="33" s="1"/>
  <c r="CR122" i="33" a="1"/>
  <c r="CR122" i="33" s="1"/>
  <c r="Q59" i="33" a="1"/>
  <c r="Q59" i="33" s="1"/>
  <c r="F64" i="33" a="1"/>
  <c r="F64" i="33" s="1"/>
  <c r="BM115" i="33" a="1"/>
  <c r="BM115" i="33" s="1"/>
  <c r="M93" i="33" a="1"/>
  <c r="M93" i="33" s="1"/>
  <c r="Q35" i="33" a="1"/>
  <c r="Q35" i="33" s="1"/>
  <c r="O64" i="33" a="1"/>
  <c r="O64" i="33" s="1"/>
  <c r="CR76" i="33" a="1"/>
  <c r="CR76" i="33" s="1"/>
  <c r="G35" i="33" a="1"/>
  <c r="G35" i="33" s="1"/>
  <c r="BC82" i="33" a="1"/>
  <c r="BC82" i="33" s="1"/>
  <c r="D142" i="33" a="1"/>
  <c r="D142" i="33" s="1"/>
  <c r="AV15" i="33" a="1"/>
  <c r="AV15" i="33" s="1"/>
  <c r="CU44" i="33" a="1"/>
  <c r="CU44" i="33" s="1"/>
  <c r="P46" i="33" a="1"/>
  <c r="P46" i="33" s="1"/>
  <c r="M116" i="33" a="1"/>
  <c r="M116" i="33" s="1"/>
  <c r="R22" i="33" a="1"/>
  <c r="R22" i="33" s="1"/>
  <c r="CU148" i="33" a="1"/>
  <c r="CU148" i="33" s="1"/>
  <c r="Q46" i="33" a="1"/>
  <c r="Q46" i="33" s="1"/>
  <c r="R91" i="33" a="1"/>
  <c r="R91" i="33" s="1"/>
  <c r="Z145" i="33" a="1"/>
  <c r="Z145" i="33" s="1"/>
  <c r="BZ152" i="33" a="1"/>
  <c r="BZ152" i="33" s="1"/>
  <c r="CA96" i="33" a="1"/>
  <c r="CA96" i="33" s="1"/>
  <c r="L99" i="33" a="1"/>
  <c r="L99" i="33" s="1"/>
  <c r="O16" i="33" a="1"/>
  <c r="O16" i="33" s="1"/>
  <c r="R100" i="33" a="1"/>
  <c r="R100" i="33" s="1"/>
  <c r="I149" i="33" a="1"/>
  <c r="I149" i="33" s="1"/>
  <c r="Q94" i="33" a="1"/>
  <c r="Q94" i="33" s="1"/>
  <c r="M129" i="33" a="1"/>
  <c r="M129" i="33" s="1"/>
  <c r="T36" i="33" a="1"/>
  <c r="T36" i="33" s="1"/>
  <c r="O137" i="33" a="1"/>
  <c r="O137" i="33" s="1"/>
  <c r="N105" i="33" a="1"/>
  <c r="N105" i="33" s="1"/>
  <c r="Q118" i="33" a="1"/>
  <c r="Q118" i="33" s="1"/>
  <c r="G61" i="33" a="1"/>
  <c r="G61" i="33" s="1"/>
  <c r="Q101" i="33" a="1"/>
  <c r="Q101" i="33" s="1"/>
  <c r="P67" i="33" a="1"/>
  <c r="P67" i="33" s="1"/>
  <c r="Y140" i="33" a="1"/>
  <c r="Y140" i="33" s="1"/>
  <c r="Q148" i="33" a="1"/>
  <c r="Q148" i="33" s="1"/>
  <c r="CR115" i="33" a="1"/>
  <c r="CR115" i="33" s="1"/>
  <c r="AM49" i="33" a="1"/>
  <c r="AM49" i="33" s="1"/>
  <c r="CR53" i="33" a="1"/>
  <c r="CR53" i="33" s="1"/>
  <c r="AT146" i="33" a="1"/>
  <c r="AT146" i="33" s="1"/>
  <c r="E78" i="33" a="1"/>
  <c r="E78" i="33" s="1"/>
  <c r="N60" i="33" a="1"/>
  <c r="N60" i="33" s="1"/>
  <c r="N95" i="33" a="1"/>
  <c r="N95" i="33" s="1"/>
  <c r="P80" i="33" a="1"/>
  <c r="P80" i="33" s="1"/>
  <c r="I18" i="33" a="1"/>
  <c r="I18" i="33" s="1"/>
  <c r="Q54" i="33" a="1"/>
  <c r="Q54" i="33" s="1"/>
  <c r="F53" i="33" a="1"/>
  <c r="F53" i="33" s="1"/>
  <c r="F104" i="33" a="1"/>
  <c r="F104" i="33" s="1"/>
  <c r="T44" i="33" a="1"/>
  <c r="T44" i="33" s="1"/>
  <c r="Q22" i="33" a="1"/>
  <c r="Q22" i="33" s="1"/>
  <c r="Q104" i="33" a="1"/>
  <c r="Q104" i="33" s="1"/>
  <c r="F116" i="33" a="1"/>
  <c r="F116" i="33" s="1"/>
  <c r="I133" i="33" a="1"/>
  <c r="I133" i="33" s="1"/>
  <c r="AW72" i="33" a="1"/>
  <c r="AW72" i="33" s="1"/>
  <c r="G64" i="33" a="1"/>
  <c r="G64" i="33" s="1"/>
  <c r="CT110" i="33" a="1"/>
  <c r="CT110" i="33" s="1"/>
  <c r="AS136" i="33" a="1"/>
  <c r="AS136" i="33" s="1"/>
  <c r="AM92" i="33" a="1"/>
  <c r="AM92" i="33" s="1"/>
  <c r="BH65" i="33" a="1"/>
  <c r="BH65" i="33" s="1"/>
  <c r="F71" i="33" a="1"/>
  <c r="F71" i="33" s="1"/>
  <c r="I34" i="33" a="1"/>
  <c r="I34" i="33" s="1"/>
  <c r="U161" i="33" a="1"/>
  <c r="U161" i="33" s="1"/>
  <c r="T128" i="33" a="1"/>
  <c r="T128" i="33" s="1"/>
  <c r="R157" i="33" a="1"/>
  <c r="R157" i="33" s="1"/>
  <c r="Q154" i="33" a="1"/>
  <c r="Q154" i="33" s="1"/>
  <c r="F102" i="33" a="1"/>
  <c r="F102" i="33" s="1"/>
  <c r="Q132" i="33" a="1"/>
  <c r="Q132" i="33" s="1"/>
  <c r="I124" i="33" a="1"/>
  <c r="I124" i="33" s="1"/>
  <c r="P141" i="33" a="1"/>
  <c r="P141" i="33" s="1"/>
  <c r="R95" i="33" a="1"/>
  <c r="R95" i="33" s="1"/>
  <c r="BZ43" i="33" a="1"/>
  <c r="BZ43" i="33" s="1"/>
  <c r="BH89" i="33" a="1"/>
  <c r="BH89" i="33" s="1"/>
  <c r="M73" i="33" a="1"/>
  <c r="M73" i="33" s="1"/>
  <c r="CG20" i="33" a="1"/>
  <c r="CG20" i="33" s="1"/>
  <c r="Y132" i="33" a="1"/>
  <c r="Y132" i="33" s="1"/>
  <c r="BQ35" i="33" a="1"/>
  <c r="BQ35" i="33" s="1"/>
  <c r="AV44" i="33" a="1"/>
  <c r="AV44" i="33" s="1"/>
  <c r="CU36" i="33" a="1"/>
  <c r="CU36" i="33" s="1"/>
  <c r="D117" i="33" a="1"/>
  <c r="D117" i="33" s="1"/>
  <c r="AT47" i="33" a="1"/>
  <c r="AT47" i="33" s="1"/>
  <c r="M49" i="33" a="1"/>
  <c r="M49" i="33" s="1"/>
  <c r="T41" i="33" a="1"/>
  <c r="T41" i="33" s="1"/>
  <c r="AT35" i="33" a="1"/>
  <c r="AT35" i="33" s="1"/>
  <c r="N147" i="33" a="1"/>
  <c r="N147" i="33" s="1"/>
  <c r="G54" i="33" a="1"/>
  <c r="G54" i="33" s="1"/>
  <c r="BQ37" i="33" a="1"/>
  <c r="BQ37" i="33" s="1"/>
  <c r="AM112" i="33" a="1"/>
  <c r="AM112" i="33" s="1"/>
  <c r="BM49" i="33" a="1"/>
  <c r="BM49" i="33" s="1"/>
  <c r="BC50" i="33" a="1"/>
  <c r="BC50" i="33" s="1"/>
  <c r="Q137" i="33" a="1"/>
  <c r="Q137" i="33" s="1"/>
  <c r="M64" i="33" a="1"/>
  <c r="M64" i="33" s="1"/>
  <c r="F97" i="33" a="1"/>
  <c r="F97" i="33" s="1"/>
  <c r="BZ18" i="33" a="1"/>
  <c r="BZ18" i="33" s="1"/>
  <c r="M90" i="33" a="1"/>
  <c r="M90" i="33" s="1"/>
  <c r="BZ30" i="33" a="1"/>
  <c r="BZ30" i="33" s="1"/>
  <c r="CG122" i="33" a="1"/>
  <c r="CG122" i="33" s="1"/>
  <c r="CA65" i="33" a="1"/>
  <c r="CA65" i="33" s="1"/>
  <c r="BX137" i="33" a="1"/>
  <c r="BX137" i="33" s="1"/>
  <c r="K133" i="33" a="1"/>
  <c r="K133" i="33" s="1"/>
  <c r="U72" i="33" a="1"/>
  <c r="U72" i="33" s="1"/>
  <c r="N90" i="33" a="1"/>
  <c r="N90" i="33" s="1"/>
  <c r="P18" i="33" a="1"/>
  <c r="P18" i="33" s="1"/>
  <c r="E18" i="33" a="1"/>
  <c r="E18" i="33" s="1"/>
  <c r="G103" i="33" a="1"/>
  <c r="G103" i="33" s="1"/>
  <c r="O18" i="33" a="1"/>
  <c r="O18" i="33" s="1"/>
  <c r="G20" i="33" a="1"/>
  <c r="G20" i="33" s="1"/>
  <c r="Q99" i="33" a="1"/>
  <c r="Q99" i="33" s="1"/>
  <c r="U31" i="33" a="1"/>
  <c r="U31" i="33" s="1"/>
  <c r="G68" i="33" a="1"/>
  <c r="G68" i="33" s="1"/>
  <c r="R56" i="33" a="1"/>
  <c r="R56" i="33" s="1"/>
  <c r="BG19" i="33" a="1"/>
  <c r="BG19" i="33" s="1"/>
  <c r="N114" i="33" a="1"/>
  <c r="N114" i="33" s="1"/>
  <c r="I122" i="33" a="1"/>
  <c r="I122" i="33" s="1"/>
  <c r="BZ161" i="33" a="1"/>
  <c r="BZ161" i="33" s="1"/>
  <c r="BH95" i="33" a="1"/>
  <c r="BH95" i="33" s="1"/>
  <c r="AT151" i="33" a="1"/>
  <c r="AT151" i="33" s="1"/>
  <c r="CR54" i="33" a="1"/>
  <c r="CR54" i="33" s="1"/>
  <c r="E118" i="33" a="1"/>
  <c r="E118" i="33" s="1"/>
  <c r="F134" i="33" a="1"/>
  <c r="F134" i="33" s="1"/>
  <c r="E124" i="33" a="1"/>
  <c r="E124" i="33" s="1"/>
  <c r="I49" i="33" a="1"/>
  <c r="I49" i="33" s="1"/>
  <c r="P21" i="33" a="1"/>
  <c r="P21" i="33" s="1"/>
  <c r="K147" i="33" a="1"/>
  <c r="K147" i="33" s="1"/>
  <c r="F61" i="33" a="1"/>
  <c r="F61" i="33" s="1"/>
  <c r="I58" i="33" a="1"/>
  <c r="I58" i="33" s="1"/>
  <c r="U102" i="33" a="1"/>
  <c r="U102" i="33" s="1"/>
  <c r="G71" i="33" a="1"/>
  <c r="G71" i="33" s="1"/>
  <c r="T145" i="33" a="1"/>
  <c r="T145" i="33" s="1"/>
  <c r="M39" i="33" a="1"/>
  <c r="M39" i="33" s="1"/>
  <c r="BN56" i="33" a="1"/>
  <c r="BN56" i="33" s="1"/>
  <c r="CH58" i="33" a="1"/>
  <c r="CH58" i="33" s="1"/>
  <c r="Q125" i="33" a="1"/>
  <c r="Q125" i="33" s="1"/>
  <c r="CH151" i="33" a="1"/>
  <c r="CH151" i="33" s="1"/>
  <c r="AT124" i="33" a="1"/>
  <c r="AT124" i="33" s="1"/>
  <c r="BZ22" i="33" a="1"/>
  <c r="BZ22" i="33" s="1"/>
  <c r="BG111" i="33" a="1"/>
  <c r="BG111" i="33" s="1"/>
  <c r="M145" i="33" a="1"/>
  <c r="M145" i="33" s="1"/>
  <c r="M137" i="33" a="1"/>
  <c r="M137" i="33" s="1"/>
  <c r="G97" i="33" a="1"/>
  <c r="G97" i="33" s="1"/>
  <c r="N63" i="33" a="1"/>
  <c r="N63" i="33" s="1"/>
  <c r="L54" i="33" a="1"/>
  <c r="L54" i="33" s="1"/>
  <c r="Q53" i="33" a="1"/>
  <c r="Q53" i="33" s="1"/>
  <c r="F58" i="33" a="1"/>
  <c r="F58" i="33" s="1"/>
  <c r="M120" i="33" a="1"/>
  <c r="M120" i="33" s="1"/>
  <c r="M144" i="33" a="1"/>
  <c r="M144" i="33" s="1"/>
  <c r="T98" i="33" a="1"/>
  <c r="T98" i="33" s="1"/>
  <c r="O82" i="33" a="1"/>
  <c r="O82" i="33" s="1"/>
  <c r="I45" i="33" a="1"/>
  <c r="I45" i="33" s="1"/>
  <c r="G73" i="33" a="1"/>
  <c r="G73" i="33" s="1"/>
  <c r="T28" i="33" a="1"/>
  <c r="T28" i="33" s="1"/>
  <c r="T150" i="33" a="1"/>
  <c r="T150" i="33" s="1"/>
  <c r="CF51" i="33" a="1"/>
  <c r="CF51" i="33" s="1"/>
  <c r="M111" i="33" a="1"/>
  <c r="M111" i="33" s="1"/>
  <c r="M76" i="33" a="1"/>
  <c r="M76" i="33" s="1"/>
  <c r="BQ51" i="33" a="1"/>
  <c r="BQ51" i="33" s="1"/>
  <c r="CQ15" i="33" a="1"/>
  <c r="CQ15" i="33" s="1"/>
  <c r="N69" i="33" a="1"/>
  <c r="N69" i="33" s="1"/>
  <c r="CG60" i="33" a="1"/>
  <c r="CG60" i="33" s="1"/>
  <c r="CH114" i="33" a="1"/>
  <c r="CH114" i="33" s="1"/>
  <c r="BN131" i="33" a="1"/>
  <c r="BN131" i="33" s="1"/>
  <c r="AS120" i="33" a="1"/>
  <c r="AS120" i="33" s="1"/>
  <c r="Q141" i="33" a="1"/>
  <c r="Q141" i="33" s="1"/>
  <c r="F108" i="33" a="1"/>
  <c r="F108" i="33" s="1"/>
  <c r="CF115" i="33" a="1"/>
  <c r="CF115" i="33" s="1"/>
  <c r="CH74" i="33" a="1"/>
  <c r="CH74" i="33" s="1"/>
  <c r="BW99" i="33" a="1"/>
  <c r="BW99" i="33" s="1"/>
  <c r="CH153" i="33" a="1"/>
  <c r="CH153" i="33" s="1"/>
  <c r="AJ152" i="33" a="1"/>
  <c r="AJ152" i="33" s="1"/>
  <c r="CQ39" i="33" a="1"/>
  <c r="CQ39" i="33" s="1"/>
  <c r="AC22" i="33" a="1"/>
  <c r="AC22" i="33" s="1"/>
  <c r="O32" i="33" a="1"/>
  <c r="O32" i="33" s="1"/>
  <c r="R146" i="33" a="1"/>
  <c r="R146" i="33" s="1"/>
  <c r="M41" i="33" a="1"/>
  <c r="M41" i="33" s="1"/>
  <c r="T122" i="33" a="1"/>
  <c r="T122" i="33" s="1"/>
  <c r="U25" i="33" a="1"/>
  <c r="U25" i="33" s="1"/>
  <c r="M52" i="33" a="1"/>
  <c r="M52" i="33" s="1"/>
  <c r="T131" i="33" a="1"/>
  <c r="T131" i="33" s="1"/>
  <c r="O41" i="33" a="1"/>
  <c r="O41" i="33" s="1"/>
  <c r="N31" i="33" a="1"/>
  <c r="N31" i="33" s="1"/>
  <c r="T140" i="33" a="1"/>
  <c r="T140" i="33" s="1"/>
  <c r="N66" i="33" a="1"/>
  <c r="N66" i="33" s="1"/>
  <c r="F76" i="33" a="1"/>
  <c r="F76" i="33" s="1"/>
  <c r="CG34" i="33" a="1"/>
  <c r="CG34" i="33" s="1"/>
  <c r="U30" i="33" a="1"/>
  <c r="U30" i="33" s="1"/>
  <c r="M115" i="33" a="1"/>
  <c r="M115" i="33" s="1"/>
  <c r="AS81" i="33" a="1"/>
  <c r="AS81" i="33" s="1"/>
  <c r="CU157" i="33" a="1"/>
  <c r="CU157" i="33" s="1"/>
  <c r="AS123" i="33" a="1"/>
  <c r="AS123" i="33" s="1"/>
  <c r="AI112" i="33" a="1"/>
  <c r="AI112" i="33" s="1"/>
  <c r="O135" i="33" a="1"/>
  <c r="O135" i="33" s="1"/>
  <c r="R135" i="33" a="1"/>
  <c r="R135" i="33" s="1"/>
  <c r="U108" i="33" a="1"/>
  <c r="U108" i="33" s="1"/>
  <c r="T20" i="33" a="1"/>
  <c r="T20" i="33" s="1"/>
  <c r="G41" i="33" a="1"/>
  <c r="G41" i="33" s="1"/>
  <c r="G91" i="33" a="1"/>
  <c r="G91" i="33" s="1"/>
  <c r="Q129" i="33" a="1"/>
  <c r="Q129" i="33" s="1"/>
  <c r="F24" i="33" a="1"/>
  <c r="F24" i="33" s="1"/>
  <c r="S89" i="33" a="1"/>
  <c r="S89" i="33" s="1"/>
  <c r="G89" i="33" a="1"/>
  <c r="G89" i="33" s="1"/>
  <c r="N102" i="33" a="1"/>
  <c r="N102" i="33" s="1"/>
  <c r="G25" i="33" a="1"/>
  <c r="G25" i="33" s="1"/>
  <c r="I105" i="33" a="1"/>
  <c r="I105" i="33" s="1"/>
  <c r="AV76" i="33" a="1"/>
  <c r="AV76" i="33" s="1"/>
  <c r="F91" i="33" a="1"/>
  <c r="F91" i="33" s="1"/>
  <c r="CT105" i="33" a="1"/>
  <c r="CT105" i="33" s="1"/>
  <c r="AS147" i="33" a="1"/>
  <c r="AS147" i="33" s="1"/>
  <c r="CT59" i="33" a="1"/>
  <c r="CT59" i="33" s="1"/>
  <c r="AI56" i="33" a="1"/>
  <c r="AI56" i="33" s="1"/>
  <c r="Q145" i="33" a="1"/>
  <c r="Q145" i="33" s="1"/>
  <c r="N88" i="33" a="1"/>
  <c r="N88" i="33" s="1"/>
  <c r="P39" i="33" a="1"/>
  <c r="P39" i="33" s="1"/>
  <c r="F52" i="33" a="1"/>
  <c r="F52" i="33" s="1"/>
  <c r="Q60" i="33" a="1"/>
  <c r="Q60" i="33" s="1"/>
  <c r="T106" i="33" a="1"/>
  <c r="T106" i="33" s="1"/>
  <c r="T59" i="33" a="1"/>
  <c r="T59" i="33" s="1"/>
  <c r="Q55" i="33" a="1"/>
  <c r="Q55" i="33" s="1"/>
  <c r="M156" i="33" a="1"/>
  <c r="M156" i="33" s="1"/>
  <c r="BC53" i="33" a="1"/>
  <c r="BC53" i="33" s="1"/>
  <c r="F144" i="33" a="1"/>
  <c r="F144" i="33" s="1"/>
  <c r="N30" i="33" a="1"/>
  <c r="N30" i="33" s="1"/>
  <c r="R44" i="33" a="1"/>
  <c r="R44" i="33" s="1"/>
  <c r="I61" i="33" a="1"/>
  <c r="I61" i="33" s="1"/>
  <c r="CQ69" i="33" a="1"/>
  <c r="CQ69" i="33" s="1"/>
  <c r="BM61" i="33" a="1"/>
  <c r="BM61" i="33" s="1"/>
  <c r="BG136" i="33" a="1"/>
  <c r="BG136" i="33" s="1"/>
  <c r="CP66" i="33" a="1"/>
  <c r="CP66" i="33" s="1"/>
  <c r="BG155" i="33" a="1"/>
  <c r="BG155" i="33" s="1"/>
  <c r="T19" i="33" a="1"/>
  <c r="T19" i="33" s="1"/>
  <c r="O95" i="33" a="1"/>
  <c r="O95" i="33" s="1"/>
  <c r="BN40" i="33" a="1"/>
  <c r="BN40" i="33" s="1"/>
  <c r="U140" i="33" a="1"/>
  <c r="U140" i="33" s="1"/>
  <c r="P104" i="33" a="1"/>
  <c r="P104" i="33" s="1"/>
  <c r="AW117" i="33" a="1"/>
  <c r="AW117" i="33" s="1"/>
  <c r="Z15" i="33" a="1"/>
  <c r="Z15" i="33" s="1"/>
  <c r="CR103" i="33" a="1"/>
  <c r="CR103" i="33" s="1"/>
  <c r="CZ51" i="33" a="1"/>
  <c r="CZ51" i="33" s="1"/>
  <c r="F99" i="33" a="1"/>
  <c r="F99" i="33" s="1"/>
  <c r="M56" i="33" a="1"/>
  <c r="M56" i="33" s="1"/>
  <c r="BN120" i="33" a="1"/>
  <c r="BN120" i="33" s="1"/>
  <c r="Q158" i="33" a="1"/>
  <c r="Q158" i="33" s="1"/>
  <c r="I67" i="33" a="1"/>
  <c r="I67" i="33" s="1"/>
  <c r="CR96" i="33" a="1"/>
  <c r="CR96" i="33" s="1"/>
  <c r="BH110" i="33" a="1"/>
  <c r="BH110" i="33" s="1"/>
  <c r="BH92" i="33" a="1"/>
  <c r="BH92" i="33" s="1"/>
  <c r="CP151" i="33" a="1"/>
  <c r="CP151" i="33" s="1"/>
  <c r="O129" i="33" a="1"/>
  <c r="O129" i="33" s="1"/>
  <c r="Q75" i="33" a="1"/>
  <c r="Q75" i="33" s="1"/>
  <c r="G156" i="33" a="1"/>
  <c r="G156" i="33" s="1"/>
  <c r="I146" i="33" a="1"/>
  <c r="I146" i="33" s="1"/>
  <c r="Q119" i="33" a="1"/>
  <c r="Q119" i="33" s="1"/>
  <c r="R55" i="33" a="1"/>
  <c r="R55" i="33" s="1"/>
  <c r="O35" i="33" a="1"/>
  <c r="O35" i="33" s="1"/>
  <c r="G30" i="33" a="1"/>
  <c r="G30" i="33" s="1"/>
  <c r="Q107" i="33" a="1"/>
  <c r="Q107" i="33" s="1"/>
  <c r="F42" i="33" a="1"/>
  <c r="F42" i="33" s="1"/>
  <c r="R143" i="33" a="1"/>
  <c r="R143" i="33" s="1"/>
  <c r="P36" i="33" a="1"/>
  <c r="P36" i="33" s="1"/>
  <c r="BX141" i="33" a="1"/>
  <c r="BX141" i="33" s="1"/>
  <c r="BD53" i="33" a="1"/>
  <c r="BD53" i="33" s="1"/>
  <c r="U104" i="33" a="1"/>
  <c r="U104" i="33" s="1"/>
  <c r="CQ138" i="33" a="1"/>
  <c r="CQ138" i="33" s="1"/>
  <c r="AW158" i="33" a="1"/>
  <c r="AW158" i="33" s="1"/>
  <c r="BZ52" i="33" a="1"/>
  <c r="BZ52" i="33" s="1"/>
  <c r="D57" i="33" a="1"/>
  <c r="D57" i="33" s="1"/>
  <c r="E79" i="33" a="1"/>
  <c r="E79" i="33" s="1"/>
  <c r="J89" i="33" a="1"/>
  <c r="J89" i="33" s="1"/>
  <c r="F113" i="33" a="1"/>
  <c r="F113" i="33" s="1"/>
  <c r="E129" i="33" a="1"/>
  <c r="E129" i="33" s="1"/>
  <c r="R110" i="33" a="1"/>
  <c r="R110" i="33" s="1"/>
  <c r="N101" i="33" a="1"/>
  <c r="N101" i="33" s="1"/>
  <c r="I50" i="33" a="1"/>
  <c r="I50" i="33" s="1"/>
  <c r="T60" i="33" a="1"/>
  <c r="T60" i="33" s="1"/>
  <c r="G116" i="33" a="1"/>
  <c r="G116" i="33" s="1"/>
  <c r="I41" i="33" a="1"/>
  <c r="I41" i="33" s="1"/>
  <c r="N161" i="33" a="1"/>
  <c r="N161" i="33" s="1"/>
  <c r="G134" i="33" a="1"/>
  <c r="G134" i="33" s="1"/>
  <c r="F46" i="33" a="1"/>
  <c r="F46" i="33" s="1"/>
  <c r="BM22" i="33" a="1"/>
  <c r="BM22" i="33" s="1"/>
  <c r="G80" i="33" a="1"/>
  <c r="G80" i="33" s="1"/>
  <c r="CH30" i="33" a="1"/>
  <c r="CH30" i="33" s="1"/>
  <c r="CZ28" i="33" a="1"/>
  <c r="CZ28" i="33" s="1"/>
  <c r="CP26" i="33" a="1"/>
  <c r="CP26" i="33" s="1"/>
  <c r="Y101" i="33" a="1"/>
  <c r="Y101" i="33" s="1"/>
  <c r="U143" i="33" a="1"/>
  <c r="U143" i="33" s="1"/>
  <c r="O119" i="33" a="1"/>
  <c r="O119" i="33" s="1"/>
  <c r="F78" i="33" a="1"/>
  <c r="F78" i="33" s="1"/>
  <c r="I94" i="33" a="1"/>
  <c r="I94" i="33" s="1"/>
  <c r="N122" i="33" a="1"/>
  <c r="N122" i="33" s="1"/>
  <c r="N25" i="33" a="1"/>
  <c r="N25" i="33" s="1"/>
  <c r="S19" i="33" a="1"/>
  <c r="S19" i="33" s="1"/>
  <c r="M33" i="33" a="1"/>
  <c r="M33" i="33" s="1"/>
  <c r="R72" i="33" a="1"/>
  <c r="R72" i="33" s="1"/>
  <c r="Q89" i="33" a="1"/>
  <c r="Q89" i="33" s="1"/>
  <c r="F98" i="33" a="1"/>
  <c r="F98" i="33" s="1"/>
  <c r="G157" i="33" a="1"/>
  <c r="G157" i="33" s="1"/>
  <c r="G135" i="33" a="1"/>
  <c r="G135" i="33" s="1"/>
  <c r="I139" i="33" a="1"/>
  <c r="I139" i="33" s="1"/>
  <c r="G130" i="33" a="1"/>
  <c r="G130" i="33" s="1"/>
  <c r="CZ106" i="33" a="1"/>
  <c r="CZ106" i="33" s="1"/>
  <c r="M131" i="33" a="1"/>
  <c r="M131" i="33" s="1"/>
  <c r="F79" i="33" a="1"/>
  <c r="F79" i="33" s="1"/>
  <c r="CF39" i="33" a="1"/>
  <c r="CF39" i="33" s="1"/>
  <c r="Q93" i="33" a="1"/>
  <c r="Q93" i="33" s="1"/>
  <c r="BX44" i="33" a="1"/>
  <c r="BX44" i="33" s="1"/>
  <c r="AW31" i="33" a="1"/>
  <c r="AW31" i="33" s="1"/>
  <c r="AV78" i="33" a="1"/>
  <c r="AV78" i="33" s="1"/>
  <c r="BN130" i="33" a="1"/>
  <c r="BN130" i="33" s="1"/>
  <c r="CA145" i="33" a="1"/>
  <c r="CA145" i="33" s="1"/>
  <c r="Q45" i="33" a="1"/>
  <c r="Q45" i="33" s="1"/>
  <c r="R119" i="33" a="1"/>
  <c r="R119" i="33" s="1"/>
  <c r="D50" i="33" a="1"/>
  <c r="D50" i="33" s="1"/>
  <c r="AJ97" i="33" a="1"/>
  <c r="AJ97" i="33" s="1"/>
  <c r="G125" i="33" a="1"/>
  <c r="G125" i="33" s="1"/>
  <c r="BW53" i="33" a="1"/>
  <c r="BW53" i="33" s="1"/>
  <c r="BH129" i="33" a="1"/>
  <c r="BH129" i="33" s="1"/>
  <c r="BX68" i="33" a="1"/>
  <c r="BX68" i="33" s="1"/>
  <c r="CG58" i="33" a="1"/>
  <c r="CG58" i="33" s="1"/>
  <c r="M119" i="33" a="1"/>
  <c r="M119" i="33" s="1"/>
  <c r="G117" i="33" a="1"/>
  <c r="G117" i="33" s="1"/>
  <c r="R127" i="33" a="1"/>
  <c r="R127" i="33" s="1"/>
  <c r="N86" i="33" a="1"/>
  <c r="N86" i="33" s="1"/>
  <c r="M92" i="33" a="1"/>
  <c r="M92" i="33" s="1"/>
  <c r="R114" i="33" a="1"/>
  <c r="R114" i="33" s="1"/>
  <c r="G95" i="33" a="1"/>
  <c r="G95" i="33" s="1"/>
  <c r="AV124" i="33" a="1"/>
  <c r="AV124" i="33" s="1"/>
  <c r="G16" i="33" a="1"/>
  <c r="G16" i="33" s="1"/>
  <c r="F45" i="33" a="1"/>
  <c r="F45" i="33" s="1"/>
  <c r="G150" i="33" a="1"/>
  <c r="G150" i="33" s="1"/>
  <c r="F82" i="33" a="1"/>
  <c r="F82" i="33" s="1"/>
  <c r="BQ75" i="33" a="1"/>
  <c r="BQ75" i="33" s="1"/>
  <c r="AS135" i="33" a="1"/>
  <c r="AS135" i="33" s="1"/>
  <c r="AV46" i="33" a="1"/>
  <c r="AV46" i="33" s="1"/>
  <c r="AV23" i="33" a="1"/>
  <c r="AV23" i="33" s="1"/>
  <c r="Z160" i="33" a="1"/>
  <c r="Z160" i="33" s="1"/>
  <c r="CT71" i="33" a="1"/>
  <c r="CT71" i="33" s="1"/>
  <c r="CU96" i="33" a="1"/>
  <c r="CU96" i="33" s="1"/>
  <c r="K127" i="33" a="1"/>
  <c r="K127" i="33" s="1"/>
  <c r="S111" i="33" a="1"/>
  <c r="S111" i="33" s="1"/>
  <c r="T100" i="33" a="1"/>
  <c r="T100" i="33" s="1"/>
  <c r="P56" i="33" a="1"/>
  <c r="P56" i="33" s="1"/>
  <c r="K115" i="33" a="1"/>
  <c r="K115" i="33" s="1"/>
  <c r="G66" i="33" a="1"/>
  <c r="G66" i="33" s="1"/>
  <c r="P145" i="33" a="1"/>
  <c r="P145" i="33" s="1"/>
  <c r="F90" i="33" a="1"/>
  <c r="F90" i="33" s="1"/>
  <c r="O157" i="33" a="1"/>
  <c r="O157" i="33" s="1"/>
  <c r="N142" i="33" a="1"/>
  <c r="N142" i="33" s="1"/>
  <c r="G132" i="33" a="1"/>
  <c r="G132" i="33" s="1"/>
  <c r="M22" i="33" a="1"/>
  <c r="M22" i="33" s="1"/>
  <c r="BZ16" i="33" a="1"/>
  <c r="BZ16" i="33" s="1"/>
  <c r="U83" i="33" a="1"/>
  <c r="U83" i="33" s="1"/>
  <c r="CR86" i="33" a="1"/>
  <c r="CR86" i="33" s="1"/>
  <c r="BG122" i="33" a="1"/>
  <c r="BG122" i="33" s="1"/>
  <c r="AM122" i="33" a="1"/>
  <c r="AM122" i="33" s="1"/>
  <c r="BN94" i="33" a="1"/>
  <c r="BN94" i="33" s="1"/>
  <c r="BH22" i="33" a="1"/>
  <c r="BH22" i="33" s="1"/>
  <c r="J122" i="33" a="1"/>
  <c r="J122" i="33" s="1"/>
  <c r="N34" i="33" a="1"/>
  <c r="N34" i="33" s="1"/>
  <c r="I43" i="33" a="1"/>
  <c r="I43" i="33" s="1"/>
  <c r="R52" i="33" a="1"/>
  <c r="R52" i="33" s="1"/>
  <c r="M86" i="33" a="1"/>
  <c r="M86" i="33" s="1"/>
  <c r="R92" i="33" a="1"/>
  <c r="R92" i="33" s="1"/>
  <c r="U26" i="33" a="1"/>
  <c r="U26" i="33" s="1"/>
  <c r="N38" i="33" a="1"/>
  <c r="N38" i="33" s="1"/>
  <c r="BN112" i="33" a="1"/>
  <c r="BN112" i="33" s="1"/>
  <c r="BQ79" i="33" a="1"/>
  <c r="BQ79" i="33" s="1"/>
  <c r="R43" i="33" a="1"/>
  <c r="R43" i="33" s="1"/>
  <c r="BX78" i="33" a="1"/>
  <c r="BX78" i="33" s="1"/>
  <c r="CQ33" i="33" a="1"/>
  <c r="CQ33" i="33" s="1"/>
  <c r="BZ93" i="33" a="1"/>
  <c r="BZ93" i="33" s="1"/>
  <c r="Q86" i="33" a="1"/>
  <c r="Q86" i="33" s="1"/>
  <c r="AV118" i="33" a="1"/>
  <c r="AV118" i="33" s="1"/>
  <c r="BQ27" i="33" a="1"/>
  <c r="BQ27" i="33" s="1"/>
  <c r="CA102" i="33" a="1"/>
  <c r="CA102" i="33" s="1"/>
  <c r="CF147" i="33" a="1"/>
  <c r="CF147" i="33" s="1"/>
  <c r="F88" i="33" a="1"/>
  <c r="F88" i="33" s="1"/>
  <c r="T31" i="33" a="1"/>
  <c r="T31" i="33" s="1"/>
  <c r="CZ88" i="33" a="1"/>
  <c r="CZ88" i="33" s="1"/>
  <c r="I88" i="33" a="1"/>
  <c r="I88" i="33" s="1"/>
  <c r="P151" i="33" a="1"/>
  <c r="P151" i="33" s="1"/>
  <c r="CR121" i="33" a="1"/>
  <c r="CR121" i="33" s="1"/>
  <c r="BD85" i="33" a="1"/>
  <c r="BD85" i="33" s="1"/>
  <c r="BN14" i="33" a="1"/>
  <c r="BN14" i="33" s="1"/>
  <c r="BL67" i="33" a="1"/>
  <c r="BL67" i="33" s="1"/>
  <c r="I57" i="33" a="1"/>
  <c r="I57" i="33" s="1"/>
  <c r="P50" i="33" a="1"/>
  <c r="P50" i="33" s="1"/>
  <c r="O142" i="33" a="1"/>
  <c r="O142" i="33" s="1"/>
  <c r="Z113" i="33" a="1"/>
  <c r="Z113" i="33" s="1"/>
  <c r="R82" i="33" a="1"/>
  <c r="R82" i="33" s="1"/>
  <c r="AT123" i="33" a="1"/>
  <c r="AT123" i="33" s="1"/>
  <c r="CA67" i="33" a="1"/>
  <c r="CA67" i="33" s="1"/>
  <c r="AV103" i="33" a="1"/>
  <c r="AV103" i="33" s="1"/>
  <c r="CP23" i="33" a="1"/>
  <c r="CP23" i="33" s="1"/>
  <c r="T37" i="33" a="1"/>
  <c r="T37" i="33" s="1"/>
  <c r="M67" i="33" a="1"/>
  <c r="M67" i="33" s="1"/>
  <c r="I78" i="33" a="1"/>
  <c r="I78" i="33" s="1"/>
  <c r="U29" i="33" a="1"/>
  <c r="U29" i="33" s="1"/>
  <c r="J85" i="33" a="1"/>
  <c r="J85" i="33" s="1"/>
  <c r="U52" i="33" a="1"/>
  <c r="U52" i="33" s="1"/>
  <c r="T160" i="33" a="1"/>
  <c r="T160" i="33" s="1"/>
  <c r="G106" i="33" a="1"/>
  <c r="G106" i="33" s="1"/>
  <c r="M128" i="33" a="1"/>
  <c r="M128" i="33" s="1"/>
  <c r="T126" i="33" a="1"/>
  <c r="T126" i="33" s="1"/>
  <c r="M60" i="33" a="1"/>
  <c r="M60" i="33" s="1"/>
  <c r="R84" i="33" a="1"/>
  <c r="R84" i="33" s="1"/>
  <c r="BQ19" i="33" a="1"/>
  <c r="BQ19" i="33" s="1"/>
  <c r="AW128" i="33" a="1"/>
  <c r="AW128" i="33" s="1"/>
  <c r="M134" i="33" a="1"/>
  <c r="M134" i="33" s="1"/>
  <c r="CA110" i="33" a="1"/>
  <c r="CA110" i="33" s="1"/>
  <c r="Y27" i="33" a="1"/>
  <c r="Y27" i="33" s="1"/>
  <c r="AS142" i="33" a="1"/>
  <c r="AS142" i="33" s="1"/>
  <c r="AC23" i="33" a="1"/>
  <c r="AC23" i="33" s="1"/>
  <c r="L108" i="33" a="1"/>
  <c r="L108" i="33" s="1"/>
  <c r="R156" i="33" a="1"/>
  <c r="R156" i="33" s="1"/>
  <c r="Q30" i="33" a="1"/>
  <c r="Q30" i="33" s="1"/>
  <c r="G90" i="33" a="1"/>
  <c r="G90" i="33" s="1"/>
  <c r="T66" i="33" a="1"/>
  <c r="T66" i="33" s="1"/>
  <c r="F149" i="33" a="1"/>
  <c r="F149" i="33" s="1"/>
  <c r="F140" i="33" a="1"/>
  <c r="F140" i="33" s="1"/>
  <c r="T74" i="33" a="1"/>
  <c r="T74" i="33" s="1"/>
  <c r="G123" i="33" a="1"/>
  <c r="G123" i="33" s="1"/>
  <c r="R121" i="33" a="1"/>
  <c r="R121" i="33" s="1"/>
  <c r="I26" i="33" a="1"/>
  <c r="I26" i="33" s="1"/>
  <c r="G94" i="33" a="1"/>
  <c r="G94" i="33" s="1"/>
  <c r="CA18" i="33" a="1"/>
  <c r="CA18" i="33" s="1"/>
  <c r="P32" i="33" a="1"/>
  <c r="P32" i="33" s="1"/>
  <c r="T23" i="33" a="1"/>
  <c r="T23" i="33" s="1"/>
  <c r="AT108" i="33" a="1"/>
  <c r="AT108" i="33" s="1"/>
  <c r="AT27" i="33" a="1"/>
  <c r="AT27" i="33" s="1"/>
  <c r="AS30" i="33" a="1"/>
  <c r="AS30" i="33" s="1"/>
  <c r="AW154" i="33" a="1"/>
  <c r="AW154" i="33" s="1"/>
  <c r="G140" i="33" a="1"/>
  <c r="G140" i="33" s="1"/>
  <c r="G111" i="33" a="1"/>
  <c r="G111" i="33" s="1"/>
  <c r="R89" i="33" a="1"/>
  <c r="R89" i="33" s="1"/>
  <c r="N109" i="33" a="1"/>
  <c r="N109" i="33" s="1"/>
  <c r="N92" i="33" a="1"/>
  <c r="N92" i="33" s="1"/>
  <c r="T70" i="33" a="1"/>
  <c r="T70" i="33" s="1"/>
  <c r="P51" i="33" a="1"/>
  <c r="P51" i="33" s="1"/>
  <c r="R79" i="33" a="1"/>
  <c r="R79" i="33" s="1"/>
  <c r="O141" i="33" a="1"/>
  <c r="O141" i="33" s="1"/>
  <c r="O149" i="33" a="1"/>
  <c r="O149" i="33" s="1"/>
  <c r="AI83" i="33" a="1"/>
  <c r="AI83" i="33" s="1"/>
  <c r="AC160" i="33" a="1"/>
  <c r="AC160" i="33" s="1"/>
  <c r="AI38" i="33" a="1"/>
  <c r="AI38" i="33" s="1"/>
  <c r="AI92" i="33" a="1"/>
  <c r="AI92" i="33" s="1"/>
  <c r="I125" i="33" a="1"/>
  <c r="I125" i="33" s="1"/>
  <c r="I60" i="33" a="1"/>
  <c r="I60" i="33" s="1"/>
  <c r="G110" i="33" a="1"/>
  <c r="G110" i="33" s="1"/>
  <c r="Z49" i="33" a="1"/>
  <c r="Z49" i="33" s="1"/>
  <c r="AS20" i="33" a="1"/>
  <c r="AS20" i="33" s="1"/>
  <c r="AT43" i="33" a="1"/>
  <c r="AT43" i="33" s="1"/>
  <c r="Z149" i="33" a="1"/>
  <c r="Z149" i="33" s="1"/>
  <c r="BW161" i="33" a="1"/>
  <c r="BW161" i="33" s="1"/>
  <c r="D136" i="33" a="1"/>
  <c r="D136" i="33" s="1"/>
  <c r="N94" i="33" a="1"/>
  <c r="N94" i="33" s="1"/>
  <c r="M133" i="33" a="1"/>
  <c r="M133" i="33" s="1"/>
  <c r="M74" i="33" a="1"/>
  <c r="M74" i="33" s="1"/>
  <c r="G149" i="33" a="1"/>
  <c r="G149" i="33" s="1"/>
  <c r="T51" i="33" a="1"/>
  <c r="T51" i="33" s="1"/>
  <c r="I63" i="33" a="1"/>
  <c r="I63" i="33" s="1"/>
  <c r="T32" i="33" a="1"/>
  <c r="T32" i="33" s="1"/>
  <c r="I39" i="33" a="1"/>
  <c r="I39" i="33" s="1"/>
  <c r="I126" i="33" a="1"/>
  <c r="I126" i="33" s="1"/>
  <c r="T71" i="33" a="1"/>
  <c r="T71" i="33" s="1"/>
  <c r="R98" i="33" a="1"/>
  <c r="R98" i="33" s="1"/>
  <c r="P68" i="33" a="1"/>
  <c r="P68" i="33" s="1"/>
  <c r="M149" i="33" a="1"/>
  <c r="M149" i="33" s="1"/>
  <c r="R136" i="33" a="1"/>
  <c r="R136" i="33" s="1"/>
  <c r="T55" i="33" a="1"/>
  <c r="T55" i="33" s="1"/>
  <c r="BM132" i="33" a="1"/>
  <c r="BM132" i="33" s="1"/>
  <c r="CR24" i="33" a="1"/>
  <c r="CR24" i="33" s="1"/>
  <c r="CP92" i="33" a="1"/>
  <c r="CP92" i="33" s="1"/>
  <c r="CA103" i="33" a="1"/>
  <c r="CA103" i="33" s="1"/>
  <c r="N124" i="33" a="1"/>
  <c r="N124" i="33" s="1"/>
  <c r="F124" i="33" a="1"/>
  <c r="F124" i="33" s="1"/>
  <c r="Q88" i="33" a="1"/>
  <c r="Q88" i="33" s="1"/>
  <c r="R58" i="33" a="1"/>
  <c r="R58" i="33" s="1"/>
  <c r="Q69" i="33" a="1"/>
  <c r="Q69" i="33" s="1"/>
  <c r="I95" i="33" a="1"/>
  <c r="I95" i="33" s="1"/>
  <c r="T35" i="33" a="1"/>
  <c r="T35" i="33" s="1"/>
  <c r="BD18" i="33" a="1"/>
  <c r="BD18" i="33" s="1"/>
  <c r="G158" i="33" a="1"/>
  <c r="G158" i="33" s="1"/>
  <c r="T81" i="33" a="1"/>
  <c r="T81" i="33" s="1"/>
  <c r="Q17" i="33" a="1"/>
  <c r="Q17" i="33" s="1"/>
  <c r="R85" i="33" a="1"/>
  <c r="R85" i="33" s="1"/>
  <c r="CQ158" i="33" a="1"/>
  <c r="CQ158" i="33" s="1"/>
  <c r="N108" i="33" a="1"/>
  <c r="N108" i="33" s="1"/>
  <c r="N67" i="33" a="1"/>
  <c r="N67" i="33" s="1"/>
  <c r="BG100" i="33" a="1"/>
  <c r="BG100" i="33" s="1"/>
  <c r="CP61" i="33" a="1"/>
  <c r="CP61" i="33" s="1"/>
  <c r="AW157" i="33" a="1"/>
  <c r="AW157" i="33" s="1"/>
  <c r="CU97" i="33" a="1"/>
  <c r="CU97" i="33" s="1"/>
  <c r="H56" i="33" a="1"/>
  <c r="H56" i="33" s="1"/>
  <c r="G154" i="33" a="1"/>
  <c r="G154" i="33" s="1"/>
  <c r="F39" i="33" a="1"/>
  <c r="F39" i="33" s="1"/>
  <c r="I104" i="33" a="1"/>
  <c r="I104" i="33" s="1"/>
  <c r="F110" i="33" a="1"/>
  <c r="F110" i="33" s="1"/>
  <c r="N110" i="33" a="1"/>
  <c r="N110" i="33" s="1"/>
  <c r="Q136" i="33" a="1"/>
  <c r="Q136" i="33" s="1"/>
  <c r="U139" i="33" a="1"/>
  <c r="U139" i="33" s="1"/>
  <c r="AI46" i="33" a="1"/>
  <c r="AI46" i="33" s="1"/>
  <c r="CU131" i="33" a="1"/>
  <c r="CU131" i="33" s="1"/>
  <c r="BC130" i="33" a="1"/>
  <c r="BC130" i="33" s="1"/>
  <c r="U58" i="33" a="1"/>
  <c r="U58" i="33" s="1"/>
  <c r="N97" i="33" a="1"/>
  <c r="N97" i="33" s="1"/>
  <c r="M100" i="33" a="1"/>
  <c r="M100" i="33" s="1"/>
  <c r="CR77" i="33" a="1"/>
  <c r="CR77" i="33" s="1"/>
  <c r="CU21" i="33" a="1"/>
  <c r="CU21" i="33" s="1"/>
  <c r="Z136" i="33" a="1"/>
  <c r="Z136" i="33" s="1"/>
  <c r="AM37" i="33" a="1"/>
  <c r="AM37" i="33" s="1"/>
  <c r="CG51" i="33" a="1"/>
  <c r="CG51" i="33" s="1"/>
  <c r="Z50" i="33" a="1"/>
  <c r="Z50" i="33" s="1"/>
  <c r="CY21" i="33" a="1"/>
  <c r="CY21" i="33" s="1"/>
  <c r="I74" i="33" a="1"/>
  <c r="I74" i="33" s="1"/>
  <c r="M95" i="33" a="1"/>
  <c r="M95" i="33" s="1"/>
  <c r="F148" i="33" a="1"/>
  <c r="F148" i="33" s="1"/>
  <c r="S92" i="33" a="1"/>
  <c r="S92" i="33" s="1"/>
  <c r="N118" i="33" a="1"/>
  <c r="N118" i="33" s="1"/>
  <c r="T57" i="33" a="1"/>
  <c r="T57" i="33" s="1"/>
  <c r="BZ142" i="33" a="1"/>
  <c r="BZ142" i="33" s="1"/>
  <c r="BW117" i="33" a="1"/>
  <c r="BW117" i="33" s="1"/>
  <c r="CH92" i="33" a="1"/>
  <c r="CH92" i="33" s="1"/>
  <c r="BV63" i="33" a="1"/>
  <c r="BV63" i="33" s="1"/>
  <c r="I51" i="33" a="1"/>
  <c r="I51" i="33" s="1"/>
  <c r="T29" i="33" a="1"/>
  <c r="T29" i="33" s="1"/>
  <c r="O30" i="33" a="1"/>
  <c r="O30" i="33" s="1"/>
  <c r="AM108" i="33" a="1"/>
  <c r="AM108" i="33" s="1"/>
  <c r="T161" i="33" a="1"/>
  <c r="T161" i="33" s="1"/>
  <c r="BH44" i="33" a="1"/>
  <c r="BH44" i="33" s="1"/>
  <c r="BQ140" i="33" a="1"/>
  <c r="BQ140" i="33" s="1"/>
  <c r="CT112" i="33" a="1"/>
  <c r="CT112" i="33" s="1"/>
  <c r="AQ69" i="33" a="1"/>
  <c r="AQ69" i="33" s="1"/>
  <c r="F29" i="33" a="1"/>
  <c r="F29" i="33" s="1"/>
  <c r="Q23" i="33" a="1"/>
  <c r="Q23" i="33" s="1"/>
  <c r="H148" i="33" a="1"/>
  <c r="H148" i="33" s="1"/>
  <c r="M142" i="33" a="1"/>
  <c r="M142" i="33" s="1"/>
  <c r="G138" i="33" a="1"/>
  <c r="G138" i="33" s="1"/>
  <c r="T149" i="33" a="1"/>
  <c r="T149" i="33" s="1"/>
  <c r="I118" i="33" a="1"/>
  <c r="I118" i="33" s="1"/>
  <c r="R93" i="33" a="1"/>
  <c r="R93" i="33" s="1"/>
  <c r="M79" i="33" a="1"/>
  <c r="M79" i="33" s="1"/>
  <c r="G122" i="33" a="1"/>
  <c r="G122" i="33" s="1"/>
  <c r="Q109" i="33" a="1"/>
  <c r="Q109" i="33" s="1"/>
  <c r="R88" i="33" a="1"/>
  <c r="R88" i="33" s="1"/>
  <c r="T155" i="33" a="1"/>
  <c r="T155" i="33" s="1"/>
  <c r="M154" i="33" a="1"/>
  <c r="M154" i="33" s="1"/>
  <c r="AI71" i="33" a="1"/>
  <c r="AI71" i="33" s="1"/>
  <c r="AM67" i="33" a="1"/>
  <c r="AM67" i="33" s="1"/>
  <c r="Y97" i="33" a="1"/>
  <c r="Y97" i="33" s="1"/>
  <c r="CT100" i="33" a="1"/>
  <c r="CT100" i="33" s="1"/>
  <c r="CQ116" i="33" a="1"/>
  <c r="CQ116" i="33" s="1"/>
  <c r="I134" i="33" a="1"/>
  <c r="I134" i="33" s="1"/>
  <c r="I87" i="33" a="1"/>
  <c r="I87" i="33" s="1"/>
  <c r="G75" i="33" a="1"/>
  <c r="G75" i="33" s="1"/>
  <c r="S52" i="33" a="1"/>
  <c r="S52" i="33" s="1"/>
  <c r="E147" i="33" a="1"/>
  <c r="E147" i="33" s="1"/>
  <c r="I156" i="33" a="1"/>
  <c r="I156" i="33" s="1"/>
  <c r="M34" i="33" a="1"/>
  <c r="M34" i="33" s="1"/>
  <c r="CQ90" i="33" a="1"/>
  <c r="CQ90" i="33" s="1"/>
  <c r="N58" i="33" a="1"/>
  <c r="N58" i="33" s="1"/>
  <c r="G38" i="33" a="1"/>
  <c r="G38" i="33" s="1"/>
  <c r="M40" i="33" a="1"/>
  <c r="M40" i="33" s="1"/>
  <c r="U27" i="33" a="1"/>
  <c r="U27" i="33" s="1"/>
  <c r="G113" i="33" a="1"/>
  <c r="G113" i="33" s="1"/>
  <c r="R101" i="33" a="1"/>
  <c r="R101" i="33" s="1"/>
  <c r="CG160" i="33" a="1"/>
  <c r="CG160" i="33" s="1"/>
  <c r="AI68" i="33" a="1"/>
  <c r="AI68" i="33" s="1"/>
  <c r="AS141" i="33" a="1"/>
  <c r="AS141" i="33" s="1"/>
  <c r="BC78" i="33" a="1"/>
  <c r="BC78" i="33" s="1"/>
  <c r="CO50" i="33" a="1"/>
  <c r="CO50" i="33" s="1"/>
  <c r="Q24" i="33" a="1"/>
  <c r="Q24" i="33" s="1"/>
  <c r="O26" i="33" a="1"/>
  <c r="O26" i="33" s="1"/>
  <c r="Q96" i="33" a="1"/>
  <c r="Q96" i="33" s="1"/>
  <c r="T116" i="33" a="1"/>
  <c r="T116" i="33" s="1"/>
  <c r="H44" i="33" a="1"/>
  <c r="H44" i="33" s="1"/>
  <c r="F81" i="33" a="1"/>
  <c r="F81" i="33" s="1"/>
  <c r="G48" i="33" a="1"/>
  <c r="G48" i="33" s="1"/>
  <c r="Q47" i="33" a="1"/>
  <c r="Q47" i="33" s="1"/>
  <c r="P155" i="33" a="1"/>
  <c r="P155" i="33" s="1"/>
  <c r="N52" i="33" a="1"/>
  <c r="N52" i="33" s="1"/>
  <c r="F73" i="33" a="1"/>
  <c r="F73" i="33" s="1"/>
  <c r="N14" i="33" a="1"/>
  <c r="N14" i="33" s="1"/>
  <c r="R17" i="33" a="1"/>
  <c r="R17" i="33" s="1"/>
  <c r="Q161" i="33" a="1"/>
  <c r="Q161" i="33" s="1"/>
  <c r="AV73" i="33" a="1"/>
  <c r="AV73" i="33" s="1"/>
  <c r="M78" i="33" a="1"/>
  <c r="M78" i="33" s="1"/>
  <c r="O43" i="33" a="1"/>
  <c r="O43" i="33" s="1"/>
  <c r="BN44" i="33" a="1"/>
  <c r="BN44" i="33" s="1"/>
  <c r="BZ84" i="33" a="1"/>
  <c r="BZ84" i="33" s="1"/>
  <c r="M36" i="33" a="1"/>
  <c r="M36" i="33" s="1"/>
  <c r="BD136" i="33" a="1"/>
  <c r="BD136" i="33" s="1"/>
  <c r="AS44" i="33" a="1"/>
  <c r="AS44" i="33" s="1"/>
  <c r="CR45" i="33" a="1"/>
  <c r="CR45" i="33" s="1"/>
  <c r="CT145" i="33" a="1"/>
  <c r="CT145" i="33" s="1"/>
  <c r="CP131" i="33" a="1"/>
  <c r="CP131" i="33" s="1"/>
  <c r="G148" i="33" a="1"/>
  <c r="G148" i="33" s="1"/>
  <c r="I71" i="33" a="1"/>
  <c r="I71" i="33" s="1"/>
  <c r="AS28" i="33" a="1"/>
  <c r="AS28" i="33" s="1"/>
  <c r="U38" i="33" a="1"/>
  <c r="U38" i="33" s="1"/>
  <c r="U67" i="33" a="1"/>
  <c r="U67" i="33" s="1"/>
  <c r="AI127" i="33" a="1"/>
  <c r="AI127" i="33" s="1"/>
  <c r="Y159" i="33" a="1"/>
  <c r="Y159" i="33" s="1"/>
  <c r="AI158" i="33" a="1"/>
  <c r="AI158" i="33" s="1"/>
  <c r="CP103" i="33" a="1"/>
  <c r="CP103" i="33" s="1"/>
  <c r="R40" i="33" a="1"/>
  <c r="R40" i="33" s="1"/>
  <c r="M53" i="33" a="1"/>
  <c r="M53" i="33" s="1"/>
  <c r="U107" i="33" a="1"/>
  <c r="U107" i="33" s="1"/>
  <c r="E72" i="33" a="1"/>
  <c r="E72" i="33" s="1"/>
  <c r="R160" i="33" a="1"/>
  <c r="R160" i="33" s="1"/>
  <c r="N73" i="33" a="1"/>
  <c r="N73" i="33" s="1"/>
  <c r="Q18" i="33" a="1"/>
  <c r="Q18" i="33" s="1"/>
  <c r="F86" i="33" a="1"/>
  <c r="F86" i="33" s="1"/>
  <c r="N107" i="33" a="1"/>
  <c r="N107" i="33" s="1"/>
  <c r="G137" i="33" a="1"/>
  <c r="G137" i="33" s="1"/>
  <c r="U44" i="33" a="1"/>
  <c r="U44" i="33" s="1"/>
  <c r="CQ140" i="33" a="1"/>
  <c r="CQ140" i="33" s="1"/>
  <c r="Z14" i="33" a="1"/>
  <c r="Z14" i="33" s="1"/>
  <c r="T148" i="33" a="1"/>
  <c r="T148" i="33" s="1"/>
  <c r="M58" i="33" a="1"/>
  <c r="M58" i="33" s="1"/>
  <c r="CR118" i="33" a="1"/>
  <c r="CR118" i="33" s="1"/>
  <c r="AM109" i="33" a="1"/>
  <c r="AM109" i="33" s="1"/>
  <c r="CU106" i="33" a="1"/>
  <c r="CU106" i="33" s="1"/>
  <c r="BM42" i="33" a="1"/>
  <c r="BM42" i="33" s="1"/>
  <c r="G146" i="33" a="1"/>
  <c r="G146" i="33" s="1"/>
  <c r="Q117" i="33" a="1"/>
  <c r="Q117" i="33" s="1"/>
  <c r="T135" i="33" a="1"/>
  <c r="T135" i="33" s="1"/>
  <c r="F122" i="33" a="1"/>
  <c r="F122" i="33" s="1"/>
  <c r="P121" i="33" a="1"/>
  <c r="P121" i="33" s="1"/>
  <c r="M89" i="33" a="1"/>
  <c r="M89" i="33" s="1"/>
  <c r="F38" i="33" a="1"/>
  <c r="F38" i="33" s="1"/>
  <c r="I79" i="33" a="1"/>
  <c r="I79" i="33" s="1"/>
  <c r="T136" i="33" a="1"/>
  <c r="T136" i="33" s="1"/>
  <c r="I106" i="33" a="1"/>
  <c r="I106" i="33" s="1"/>
  <c r="I90" i="33" a="1"/>
  <c r="I90" i="33" s="1"/>
  <c r="I52" i="33" a="1"/>
  <c r="I52" i="33" s="1"/>
  <c r="O154" i="33" a="1"/>
  <c r="O154" i="33" s="1"/>
  <c r="BC51" i="33" a="1"/>
  <c r="BC51" i="33" s="1"/>
  <c r="F96" i="33" a="1"/>
  <c r="F96" i="33" s="1"/>
  <c r="Z66" i="33" a="1"/>
  <c r="Z66" i="33" s="1"/>
  <c r="AS31" i="33" a="1"/>
  <c r="AS31" i="33" s="1"/>
  <c r="CG35" i="33" a="1"/>
  <c r="CG35" i="33" s="1"/>
  <c r="AS116" i="33" a="1"/>
  <c r="AS116" i="33" s="1"/>
  <c r="R86" i="33" a="1"/>
  <c r="R86" i="33" s="1"/>
  <c r="T85" i="33" a="1"/>
  <c r="T85" i="33" s="1"/>
  <c r="G24" i="33" a="1"/>
  <c r="G24" i="33" s="1"/>
  <c r="I123" i="33" a="1"/>
  <c r="I123" i="33" s="1"/>
  <c r="G23" i="33" a="1"/>
  <c r="G23" i="33" s="1"/>
  <c r="N82" i="33" a="1"/>
  <c r="N82" i="33" s="1"/>
  <c r="M97" i="33" a="1"/>
  <c r="M97" i="33" s="1"/>
  <c r="P115" i="33" a="1"/>
  <c r="P115" i="33" s="1"/>
  <c r="AI35" i="33" a="1"/>
  <c r="AI35" i="33" s="1"/>
  <c r="BX82" i="33" a="1"/>
  <c r="BX82" i="33" s="1"/>
  <c r="AM157" i="33" a="1"/>
  <c r="AM157" i="33" s="1"/>
  <c r="I37" i="33" a="1"/>
  <c r="I37" i="33" s="1"/>
  <c r="CH108" i="33" a="1"/>
  <c r="CH108" i="33" s="1"/>
  <c r="T159" i="33" a="1"/>
  <c r="T159" i="33" s="1"/>
  <c r="CA107" i="33" a="1"/>
  <c r="CA107" i="33" s="1"/>
  <c r="CG90" i="33" a="1"/>
  <c r="CG90" i="33" s="1"/>
  <c r="BH16" i="33" a="1"/>
  <c r="BH16" i="33" s="1"/>
  <c r="U32" i="33" a="1"/>
  <c r="U32" i="33" s="1"/>
  <c r="F114" i="33" a="1"/>
  <c r="F114" i="33" s="1"/>
  <c r="O99" i="33" a="1"/>
  <c r="O99" i="33" s="1"/>
  <c r="S68" i="33" a="1"/>
  <c r="S68" i="33" s="1"/>
  <c r="CT154" i="33" a="1"/>
  <c r="CT154" i="33" s="1"/>
  <c r="BG133" i="33" a="1"/>
  <c r="BG133" i="33" s="1"/>
  <c r="CG147" i="33" a="1"/>
  <c r="CG147" i="33" s="1"/>
  <c r="BC68" i="33" a="1"/>
  <c r="BC68" i="33" s="1"/>
  <c r="CT160" i="33" a="1"/>
  <c r="CT160" i="33" s="1"/>
  <c r="AI66" i="33" a="1"/>
  <c r="AI66" i="33" s="1"/>
  <c r="Y46" i="33" a="1"/>
  <c r="Y46" i="33" s="1"/>
  <c r="CQ108" i="33" a="1"/>
  <c r="CQ108" i="33" s="1"/>
  <c r="BN157" i="33" a="1"/>
  <c r="BN157" i="33" s="1"/>
  <c r="AV152" i="33" a="1"/>
  <c r="AV152" i="33" s="1"/>
  <c r="BG22" i="33" a="1"/>
  <c r="BG22" i="33" s="1"/>
  <c r="BG103" i="33" a="1"/>
  <c r="BG103" i="33" s="1"/>
  <c r="BC160" i="33" a="1"/>
  <c r="BC160" i="33" s="1"/>
  <c r="Z33" i="33" a="1"/>
  <c r="Z33" i="33" s="1"/>
  <c r="Y142" i="33" a="1"/>
  <c r="Y142" i="33" s="1"/>
  <c r="AW51" i="33" a="1"/>
  <c r="AW51" i="33" s="1"/>
  <c r="AI84" i="33" a="1"/>
  <c r="AI84" i="33" s="1"/>
  <c r="AV45" i="33" a="1"/>
  <c r="AV45" i="33" s="1"/>
  <c r="Y73" i="33" a="1"/>
  <c r="Y73" i="33" s="1"/>
  <c r="AI114" i="33" a="1"/>
  <c r="AI114" i="33" s="1"/>
  <c r="BD52" i="33" a="1"/>
  <c r="BD52" i="33" s="1"/>
  <c r="CF122" i="33" a="1"/>
  <c r="CF122" i="33" s="1"/>
  <c r="AS129" i="33" a="1"/>
  <c r="AS129" i="33" s="1"/>
  <c r="AT95" i="33" a="1"/>
  <c r="AT95" i="33" s="1"/>
  <c r="BH34" i="33" a="1"/>
  <c r="BH34" i="33" s="1"/>
  <c r="BQ23" i="33" a="1"/>
  <c r="BQ23" i="33" s="1"/>
  <c r="BM129" i="33" a="1"/>
  <c r="BM129" i="33" s="1"/>
  <c r="P74" i="33" a="1"/>
  <c r="P74" i="33" s="1"/>
  <c r="CG14" i="33" a="1"/>
  <c r="CG14" i="33" s="1"/>
  <c r="CA39" i="33" a="1"/>
  <c r="CA39" i="33" s="1"/>
  <c r="U74" i="33" a="1"/>
  <c r="U74" i="33" s="1"/>
  <c r="P143" i="33" a="1"/>
  <c r="P143" i="33" s="1"/>
  <c r="BZ108" i="33" a="1"/>
  <c r="BZ108" i="33" s="1"/>
  <c r="BW86" i="33" a="1"/>
  <c r="BW86" i="33" s="1"/>
  <c r="D94" i="33" a="1"/>
  <c r="D94" i="33" s="1"/>
  <c r="BC153" i="33" a="1"/>
  <c r="BC153" i="33" s="1"/>
  <c r="CT89" i="33" a="1"/>
  <c r="CT89" i="33" s="1"/>
  <c r="CF43" i="33" a="1"/>
  <c r="CF43" i="33" s="1"/>
  <c r="CZ20" i="33" a="1"/>
  <c r="CZ20" i="33" s="1"/>
  <c r="AI21" i="33" a="1"/>
  <c r="AI21" i="33" s="1"/>
  <c r="CH155" i="33" a="1"/>
  <c r="CH155" i="33" s="1"/>
  <c r="CA60" i="33" a="1"/>
  <c r="CA60" i="33" s="1"/>
  <c r="BM138" i="33" a="1"/>
  <c r="BM138" i="33" s="1"/>
  <c r="AC115" i="33" a="1"/>
  <c r="AC115" i="33" s="1"/>
  <c r="CR87" i="33" a="1"/>
  <c r="CR87" i="33" s="1"/>
  <c r="BG41" i="33" a="1"/>
  <c r="BG41" i="33" s="1"/>
  <c r="AC65" i="33" a="1"/>
  <c r="AC65" i="33" s="1"/>
  <c r="BH146" i="33" a="1"/>
  <c r="BH146" i="33" s="1"/>
  <c r="AM33" i="33" a="1"/>
  <c r="AM33" i="33" s="1"/>
  <c r="CQ153" i="33" a="1"/>
  <c r="CQ153" i="33" s="1"/>
  <c r="CP111" i="33" a="1"/>
  <c r="CP111" i="33" s="1"/>
  <c r="BL63" i="33" a="1"/>
  <c r="BL63" i="33" s="1"/>
  <c r="CH87" i="33" a="1"/>
  <c r="CH87" i="33" s="1"/>
  <c r="BG59" i="33" a="1"/>
  <c r="BG59" i="33" s="1"/>
  <c r="AC30" i="33" a="1"/>
  <c r="AC30" i="33" s="1"/>
  <c r="AR111" i="33" a="1"/>
  <c r="AR111" i="33" s="1"/>
  <c r="AT60" i="33" a="1"/>
  <c r="AT60" i="33" s="1"/>
  <c r="AJ61" i="33" a="1"/>
  <c r="AJ61" i="33" s="1"/>
  <c r="CP54" i="33" a="1"/>
  <c r="CP54" i="33" s="1"/>
  <c r="AI60" i="33" a="1"/>
  <c r="AI60" i="33" s="1"/>
  <c r="AW129" i="33" a="1"/>
  <c r="AW129" i="33" s="1"/>
  <c r="BW21" i="33" a="1"/>
  <c r="BW21" i="33" s="1"/>
  <c r="AC119" i="33" a="1"/>
  <c r="AC119" i="33" s="1"/>
  <c r="Y116" i="33" a="1"/>
  <c r="Y116" i="33" s="1"/>
  <c r="N129" i="33" a="1"/>
  <c r="N129" i="33" s="1"/>
  <c r="AC15" i="33" a="1"/>
  <c r="AC15" i="33" s="1"/>
  <c r="BD62" i="33" a="1"/>
  <c r="BD62" i="33" s="1"/>
  <c r="AI20" i="33" a="1"/>
  <c r="AI20" i="33" s="1"/>
  <c r="S62" i="33" a="1"/>
  <c r="S62" i="33" s="1"/>
  <c r="S36" i="33" a="1"/>
  <c r="S36" i="33" s="1"/>
  <c r="I102" i="33" a="1"/>
  <c r="I102" i="33" s="1"/>
  <c r="BM72" i="33" a="1"/>
  <c r="BM72" i="33" s="1"/>
  <c r="CF31" i="33" a="1"/>
  <c r="CF31" i="33" s="1"/>
  <c r="CZ113" i="33" a="1"/>
  <c r="CZ113" i="33" s="1"/>
  <c r="AC49" i="33" a="1"/>
  <c r="AC49" i="33" s="1"/>
  <c r="CH80" i="33" a="1"/>
  <c r="CH80" i="33" s="1"/>
  <c r="CH117" i="33" a="1"/>
  <c r="CH117" i="33" s="1"/>
  <c r="AI90" i="33" a="1"/>
  <c r="AI90" i="33" s="1"/>
  <c r="Y63" i="33" a="1"/>
  <c r="Y63" i="33" s="1"/>
  <c r="D143" i="33" a="1"/>
  <c r="D143" i="33" s="1"/>
  <c r="Z24" i="33" a="1"/>
  <c r="Z24" i="33" s="1"/>
  <c r="CZ149" i="33" a="1"/>
  <c r="CZ149" i="33" s="1"/>
  <c r="BW93" i="33" a="1"/>
  <c r="BW93" i="33" s="1"/>
  <c r="Y115" i="33" a="1"/>
  <c r="Y115" i="33" s="1"/>
  <c r="AM32" i="33" a="1"/>
  <c r="AM32" i="33" s="1"/>
  <c r="BQ126" i="33" a="1"/>
  <c r="BQ126" i="33" s="1"/>
  <c r="CP58" i="33" a="1"/>
  <c r="CP58" i="33" s="1"/>
  <c r="BQ80" i="33" a="1"/>
  <c r="BQ80" i="33" s="1"/>
  <c r="CH23" i="33" a="1"/>
  <c r="CH23" i="33" s="1"/>
  <c r="Z96" i="33" a="1"/>
  <c r="Z96" i="33" s="1"/>
  <c r="D82" i="33" a="1"/>
  <c r="D82" i="33" s="1"/>
  <c r="BG87" i="33" a="1"/>
  <c r="BG87" i="33" s="1"/>
  <c r="BG153" i="33" a="1"/>
  <c r="BG153" i="33" s="1"/>
  <c r="AC125" i="33" a="1"/>
  <c r="AC125" i="33" s="1"/>
  <c r="CG50" i="33" a="1"/>
  <c r="CG50" i="33" s="1"/>
  <c r="BD147" i="33" a="1"/>
  <c r="BD147" i="33" s="1"/>
  <c r="BB82" i="33" a="1"/>
  <c r="BB82" i="33" s="1"/>
  <c r="R23" i="33" a="1"/>
  <c r="R23" i="33" s="1"/>
  <c r="BQ62" i="33" a="1"/>
  <c r="BQ62" i="33" s="1"/>
  <c r="U98" i="33" a="1"/>
  <c r="U98" i="33" s="1"/>
  <c r="CT118" i="33" a="1"/>
  <c r="CT118" i="33" s="1"/>
  <c r="AC36" i="33" a="1"/>
  <c r="AC36" i="33" s="1"/>
  <c r="AT157" i="33" a="1"/>
  <c r="AT157" i="33" s="1"/>
  <c r="CZ150" i="33" a="1"/>
  <c r="CZ150" i="33" s="1"/>
  <c r="CH135" i="33" a="1"/>
  <c r="CH135" i="33" s="1"/>
  <c r="AJ128" i="33" a="1"/>
  <c r="AJ128" i="33" s="1"/>
  <c r="BG144" i="33" a="1"/>
  <c r="BG144" i="33" s="1"/>
  <c r="CA72" i="33" a="1"/>
  <c r="CA72" i="33" s="1"/>
  <c r="CA57" i="33" a="1"/>
  <c r="CA57" i="33" s="1"/>
  <c r="D99" i="33" a="1"/>
  <c r="D99" i="33" s="1"/>
  <c r="CF33" i="33" a="1"/>
  <c r="CF33" i="33" s="1"/>
  <c r="BB119" i="33" a="1"/>
  <c r="BB119" i="33" s="1"/>
  <c r="W146" i="33" a="1"/>
  <c r="W146" i="33" s="1"/>
  <c r="CU80" i="33" a="1"/>
  <c r="CU80" i="33" s="1"/>
  <c r="AM139" i="33" a="1"/>
  <c r="AM139" i="33" s="1"/>
  <c r="CQ115" i="33" a="1"/>
  <c r="CQ115" i="33" s="1"/>
  <c r="BH62" i="33" a="1"/>
  <c r="BH62" i="33" s="1"/>
  <c r="AI80" i="33" a="1"/>
  <c r="AI80" i="33" s="1"/>
  <c r="X107" i="33" a="1"/>
  <c r="X107" i="33" s="1"/>
  <c r="CF49" i="33" a="1"/>
  <c r="CF49" i="33" s="1"/>
  <c r="AM140" i="33" a="1"/>
  <c r="AM140" i="33" s="1"/>
  <c r="Y26" i="33" a="1"/>
  <c r="Y26" i="33" s="1"/>
  <c r="CQ66" i="33" a="1"/>
  <c r="CQ66" i="33" s="1"/>
  <c r="BM75" i="33" a="1"/>
  <c r="BM75" i="33" s="1"/>
  <c r="CH25" i="33" a="1"/>
  <c r="CH25" i="33" s="1"/>
  <c r="BD81" i="33" a="1"/>
  <c r="BD81" i="33" s="1"/>
  <c r="CU77" i="33" a="1"/>
  <c r="CU77" i="33" s="1"/>
  <c r="AI78" i="33" a="1"/>
  <c r="AI78" i="33" s="1"/>
  <c r="CP156" i="33" a="1"/>
  <c r="CP156" i="33" s="1"/>
  <c r="CP155" i="33" a="1"/>
  <c r="CP155" i="33" s="1"/>
  <c r="CU87" i="33" a="1"/>
  <c r="CU87" i="33" s="1"/>
  <c r="CU63" i="33" a="1"/>
  <c r="CU63" i="33" s="1"/>
  <c r="CF141" i="33" a="1"/>
  <c r="CF141" i="33" s="1"/>
  <c r="CF81" i="33" a="1"/>
  <c r="CF81" i="33" s="1"/>
  <c r="CU28" i="33" a="1"/>
  <c r="CU28" i="33" s="1"/>
  <c r="CQ19" i="33" a="1"/>
  <c r="CQ19" i="33" s="1"/>
  <c r="CP161" i="33" a="1"/>
  <c r="CP161" i="33" s="1"/>
  <c r="T21" i="33" a="1"/>
  <c r="T21" i="33" s="1"/>
  <c r="CU114" i="33" a="1"/>
  <c r="CU114" i="33" s="1"/>
  <c r="AS52" i="33" a="1"/>
  <c r="AS52" i="33" s="1"/>
  <c r="CZ60" i="33" a="1"/>
  <c r="CZ60" i="33" s="1"/>
  <c r="CQ157" i="33" a="1"/>
  <c r="CQ157" i="33" s="1"/>
  <c r="AV149" i="33" a="1"/>
  <c r="AV149" i="33" s="1"/>
  <c r="R108" i="33" a="1"/>
  <c r="R108" i="33" s="1"/>
  <c r="F32" i="33" a="1"/>
  <c r="F32" i="33" s="1"/>
  <c r="BD122" i="33" a="1"/>
  <c r="BD122" i="33" s="1"/>
  <c r="BN65" i="33" a="1"/>
  <c r="BN65" i="33" s="1"/>
  <c r="AT77" i="33" a="1"/>
  <c r="AT77" i="33" s="1"/>
  <c r="BN155" i="33" a="1"/>
  <c r="BN155" i="33" s="1"/>
  <c r="CU40" i="33" a="1"/>
  <c r="CU40" i="33" s="1"/>
  <c r="Y18" i="33" a="1"/>
  <c r="Y18" i="33" s="1"/>
  <c r="CA26" i="33" a="1"/>
  <c r="CA26" i="33" s="1"/>
  <c r="AM97" i="33" a="1"/>
  <c r="AM97" i="33" s="1"/>
  <c r="AJ18" i="33" a="1"/>
  <c r="AJ18" i="33" s="1"/>
  <c r="AS130" i="33" a="1"/>
  <c r="AS130" i="33" s="1"/>
  <c r="CU109" i="33" a="1"/>
  <c r="CU109" i="33" s="1"/>
  <c r="CP120" i="33" a="1"/>
  <c r="CP120" i="33" s="1"/>
  <c r="AJ74" i="33" a="1"/>
  <c r="AJ74" i="33" s="1"/>
  <c r="AI22" i="33" a="1"/>
  <c r="AI22" i="33" s="1"/>
  <c r="BM130" i="33" a="1"/>
  <c r="BM130" i="33" s="1"/>
  <c r="CA74" i="33" a="1"/>
  <c r="CA74" i="33" s="1"/>
  <c r="BL92" i="33" a="1"/>
  <c r="BL92" i="33" s="1"/>
  <c r="BZ60" i="33" a="1"/>
  <c r="BZ60" i="33" s="1"/>
  <c r="AI157" i="33" a="1"/>
  <c r="AI157" i="33" s="1"/>
  <c r="AM136" i="33" a="1"/>
  <c r="AM136" i="33" s="1"/>
  <c r="AG139" i="33" a="1"/>
  <c r="AG139" i="33" s="1"/>
  <c r="AI69" i="33" a="1"/>
  <c r="AI69" i="33" s="1"/>
  <c r="AJ73" i="33" a="1"/>
  <c r="AJ73" i="33" s="1"/>
  <c r="AC53" i="33" a="1"/>
  <c r="AC53" i="33" s="1"/>
  <c r="CY51" i="33" a="1"/>
  <c r="CY51" i="33" s="1"/>
  <c r="CX159" i="33" a="1"/>
  <c r="CX159" i="33" s="1"/>
  <c r="BC141" i="33" a="1"/>
  <c r="BC141" i="33" s="1"/>
  <c r="AC61" i="33" a="1"/>
  <c r="AC61" i="33" s="1"/>
  <c r="AJ113" i="33" a="1"/>
  <c r="AJ113" i="33" s="1"/>
  <c r="BH83" i="33" a="1"/>
  <c r="BH83" i="33" s="1"/>
  <c r="G19" i="33" a="1"/>
  <c r="G19" i="33" s="1"/>
  <c r="BC116" i="33" a="1"/>
  <c r="BC116" i="33" s="1"/>
  <c r="BM125" i="33" a="1"/>
  <c r="BM125" i="33" s="1"/>
  <c r="BC63" i="33" a="1"/>
  <c r="BC63" i="33" s="1"/>
  <c r="Y31" i="33" a="1"/>
  <c r="Y31" i="33" s="1"/>
  <c r="CA77" i="33" a="1"/>
  <c r="CA77" i="33" s="1"/>
  <c r="Y146" i="33" a="1"/>
  <c r="Y146" i="33" s="1"/>
  <c r="D107" i="33" a="1"/>
  <c r="D107" i="33" s="1"/>
  <c r="AW155" i="33" a="1"/>
  <c r="AW155" i="33" s="1"/>
  <c r="Y29" i="33" a="1"/>
  <c r="Y29" i="33" s="1"/>
  <c r="AI134" i="33" a="1"/>
  <c r="AI134" i="33" s="1"/>
  <c r="BL128" i="33" a="1"/>
  <c r="BL128" i="33" s="1"/>
  <c r="AW26" i="33" a="1"/>
  <c r="AW26" i="33" s="1"/>
  <c r="AT115" i="33" a="1"/>
  <c r="AT115" i="33" s="1"/>
  <c r="CU133" i="33" a="1"/>
  <c r="CU133" i="33" s="1"/>
  <c r="BZ61" i="33" a="1"/>
  <c r="BZ61" i="33" s="1"/>
  <c r="CH145" i="33" a="1"/>
  <c r="CH145" i="33" s="1"/>
  <c r="CQ126" i="33" a="1"/>
  <c r="CQ126" i="33" s="1"/>
  <c r="BQ47" i="33" a="1"/>
  <c r="BQ47" i="33" s="1"/>
  <c r="AI23" i="33" a="1"/>
  <c r="AI23" i="33" s="1"/>
  <c r="CR46" i="33" a="1"/>
  <c r="CR46" i="33" s="1"/>
  <c r="BQ88" i="33" a="1"/>
  <c r="BQ88" i="33" s="1"/>
  <c r="AW91" i="33" a="1"/>
  <c r="AW91" i="33" s="1"/>
  <c r="BD60" i="33" a="1"/>
  <c r="BD60" i="33" s="1"/>
  <c r="AI34" i="33" a="1"/>
  <c r="AI34" i="33" s="1"/>
  <c r="AI117" i="33" a="1"/>
  <c r="AI117" i="33" s="1"/>
  <c r="CG153" i="33" a="1"/>
  <c r="CG153" i="33" s="1"/>
  <c r="CQ71" i="33" a="1"/>
  <c r="CQ71" i="33" s="1"/>
  <c r="AI156" i="33" a="1"/>
  <c r="AI156" i="33" s="1"/>
  <c r="AM127" i="33" a="1"/>
  <c r="AM127" i="33" s="1"/>
  <c r="BH156" i="33" a="1"/>
  <c r="BH156" i="33" s="1"/>
  <c r="CA84" i="33" a="1"/>
  <c r="CA84" i="33" s="1"/>
  <c r="AR71" i="33" a="1"/>
  <c r="AR71" i="33" s="1"/>
  <c r="Y52" i="33" a="1"/>
  <c r="Y52" i="33" s="1"/>
  <c r="CT72" i="33" a="1"/>
  <c r="CT72" i="33" s="1"/>
  <c r="BQ86" i="33" a="1"/>
  <c r="BQ86" i="33" s="1"/>
  <c r="AT89" i="33" a="1"/>
  <c r="AT89" i="33" s="1"/>
  <c r="N156" i="33" a="1"/>
  <c r="N156" i="33" s="1"/>
  <c r="CH140" i="33" a="1"/>
  <c r="CH140" i="33" s="1"/>
  <c r="AV84" i="33" a="1"/>
  <c r="AV84" i="33" s="1"/>
  <c r="CQ88" i="33" a="1"/>
  <c r="CQ88" i="33" s="1"/>
  <c r="Y161" i="33" a="1"/>
  <c r="Y161" i="33" s="1"/>
  <c r="I113" i="33" a="1"/>
  <c r="I113" i="33" s="1"/>
  <c r="Q105" i="33" a="1"/>
  <c r="Q105" i="33" s="1"/>
  <c r="BM133" i="33" a="1"/>
  <c r="BM133" i="33" s="1"/>
  <c r="AJ149" i="33" a="1"/>
  <c r="AJ149" i="33" s="1"/>
  <c r="CT141" i="33" a="1"/>
  <c r="CT141" i="33" s="1"/>
  <c r="Z93" i="33" a="1"/>
  <c r="Z93" i="33" s="1"/>
  <c r="BM35" i="33" a="1"/>
  <c r="BM35" i="33" s="1"/>
  <c r="CH28" i="33" a="1"/>
  <c r="CH28" i="33" s="1"/>
  <c r="CT58" i="33" a="1"/>
  <c r="CT58" i="33" s="1"/>
  <c r="BM113" i="33" a="1"/>
  <c r="BM113" i="33" s="1"/>
  <c r="AS160" i="33" a="1"/>
  <c r="AS160" i="33" s="1"/>
  <c r="AM60" i="33" a="1"/>
  <c r="AM60" i="33" s="1"/>
  <c r="CU48" i="33" a="1"/>
  <c r="CU48" i="33" s="1"/>
  <c r="BV21" i="33" a="1"/>
  <c r="BV21" i="33" s="1"/>
  <c r="BH154" i="33" a="1"/>
  <c r="BH154" i="33" s="1"/>
  <c r="CU37" i="33" a="1"/>
  <c r="CU37" i="33" s="1"/>
  <c r="AI30" i="33" a="1"/>
  <c r="AI30" i="33" s="1"/>
  <c r="BK16" i="33" a="1"/>
  <c r="BK16" i="33" s="1"/>
  <c r="AW56" i="33" a="1"/>
  <c r="AW56" i="33" s="1"/>
  <c r="BH93" i="33" a="1"/>
  <c r="BH93" i="33" s="1"/>
  <c r="AV120" i="33" a="1"/>
  <c r="AV120" i="33" s="1"/>
  <c r="CF24" i="33" a="1"/>
  <c r="CF24" i="33" s="1"/>
  <c r="BQ38" i="33" a="1"/>
  <c r="BQ38" i="33" s="1"/>
  <c r="CU76" i="33" a="1"/>
  <c r="CU76" i="33" s="1"/>
  <c r="D118" i="33" a="1"/>
  <c r="D118" i="33" s="1"/>
  <c r="CQ97" i="33" a="1"/>
  <c r="CQ97" i="33" s="1"/>
  <c r="AW70" i="33" a="1"/>
  <c r="AW70" i="33" s="1"/>
  <c r="AM58" i="33" a="1"/>
  <c r="AM58" i="33" s="1"/>
  <c r="CZ71" i="33" a="1"/>
  <c r="CZ71" i="33" s="1"/>
  <c r="G47" i="33" a="1"/>
  <c r="G47" i="33" s="1"/>
  <c r="Y33" i="33" a="1"/>
  <c r="Y33" i="33" s="1"/>
  <c r="F72" i="33" a="1"/>
  <c r="F72" i="33" s="1"/>
  <c r="O147" i="33" a="1"/>
  <c r="O147" i="33" s="1"/>
  <c r="AW139" i="33" a="1"/>
  <c r="AW139" i="33" s="1"/>
  <c r="AS64" i="33" a="1"/>
  <c r="AS64" i="33" s="1"/>
  <c r="BN143" i="33" a="1"/>
  <c r="BN143" i="33" s="1"/>
  <c r="BX83" i="33" a="1"/>
  <c r="BX83" i="33" s="1"/>
  <c r="AC141" i="33" a="1"/>
  <c r="AC141" i="33" s="1"/>
  <c r="BM114" i="33" a="1"/>
  <c r="BM114" i="33" s="1"/>
  <c r="D91" i="33" a="1"/>
  <c r="D91" i="33" s="1"/>
  <c r="D73" i="33" a="1"/>
  <c r="D73" i="33" s="1"/>
  <c r="BM68" i="33" a="1"/>
  <c r="BM68" i="33" s="1"/>
  <c r="CU81" i="33" a="1"/>
  <c r="CU81" i="33" s="1"/>
  <c r="BM140" i="33" a="1"/>
  <c r="BM140" i="33" s="1"/>
  <c r="Y72" i="33" a="1"/>
  <c r="Y72" i="33" s="1"/>
  <c r="Z71" i="33" a="1"/>
  <c r="Z71" i="33" s="1"/>
  <c r="Y147" i="33" a="1"/>
  <c r="Y147" i="33" s="1"/>
  <c r="CU160" i="33" a="1"/>
  <c r="CU160" i="33" s="1"/>
  <c r="D44" i="33" a="1"/>
  <c r="D44" i="33" s="1"/>
  <c r="Y82" i="33" a="1"/>
  <c r="Y82" i="33" s="1"/>
  <c r="AW41" i="33" a="1"/>
  <c r="AW41" i="33" s="1"/>
  <c r="CQ31" i="33" a="1"/>
  <c r="CQ31" i="33" s="1"/>
  <c r="AI89" i="33" a="1"/>
  <c r="AI89" i="33" s="1"/>
  <c r="BH86" i="33" a="1"/>
  <c r="BH86" i="33" s="1"/>
  <c r="AI42" i="33" a="1"/>
  <c r="AI42" i="33" s="1"/>
  <c r="BW94" i="33" a="1"/>
  <c r="BW94" i="33" s="1"/>
  <c r="CU18" i="33" a="1"/>
  <c r="CU18" i="33" s="1"/>
  <c r="CZ56" i="33" a="1"/>
  <c r="CZ56" i="33" s="1"/>
  <c r="AS83" i="33" a="1"/>
  <c r="AS83" i="33" s="1"/>
  <c r="D111" i="33" a="1"/>
  <c r="D111" i="33" s="1"/>
  <c r="BH45" i="33" a="1"/>
  <c r="BH45" i="33" s="1"/>
  <c r="BH113" i="33" a="1"/>
  <c r="BH113" i="33" s="1"/>
  <c r="D53" i="33" a="1"/>
  <c r="D53" i="33" s="1"/>
  <c r="Y137" i="33" a="1"/>
  <c r="Y137" i="33" s="1"/>
  <c r="BH135" i="33" a="1"/>
  <c r="BH135" i="33" s="1"/>
  <c r="W39" i="33" a="1"/>
  <c r="W39" i="33" s="1"/>
  <c r="CF71" i="33" a="1"/>
  <c r="CF71" i="33" s="1"/>
  <c r="Y28" i="33" a="1"/>
  <c r="Y28" i="33" s="1"/>
  <c r="AC52" i="33" a="1"/>
  <c r="AC52" i="33" s="1"/>
  <c r="BZ126" i="33" a="1"/>
  <c r="BZ126" i="33" s="1"/>
  <c r="CH18" i="33" a="1"/>
  <c r="CH18" i="33" s="1"/>
  <c r="BD69" i="33" a="1"/>
  <c r="BD69" i="33" s="1"/>
  <c r="I77" i="33" a="1"/>
  <c r="I77" i="33" s="1"/>
  <c r="F141" i="33" a="1"/>
  <c r="F141" i="33" s="1"/>
  <c r="N152" i="33" a="1"/>
  <c r="N152" i="33" s="1"/>
  <c r="BG140" i="33" a="1"/>
  <c r="BG140" i="33" s="1"/>
  <c r="AV112" i="33" a="1"/>
  <c r="AV112" i="33" s="1"/>
  <c r="BC72" i="33" a="1"/>
  <c r="BC72" i="33" s="1"/>
  <c r="BD105" i="33" a="1"/>
  <c r="BD105" i="33" s="1"/>
  <c r="AT70" i="33" a="1"/>
  <c r="AT70" i="33" s="1"/>
  <c r="AI110" i="33" a="1"/>
  <c r="AI110" i="33" s="1"/>
  <c r="CU33" i="33" a="1"/>
  <c r="CU33" i="33" s="1"/>
  <c r="BC93" i="33" a="1"/>
  <c r="BC93" i="33" s="1"/>
  <c r="BG98" i="33" a="1"/>
  <c r="BG98" i="33" s="1"/>
  <c r="CY67" i="33" a="1"/>
  <c r="CY67" i="33" s="1"/>
  <c r="BD83" i="33" a="1"/>
  <c r="BD83" i="33" s="1"/>
  <c r="AV161" i="33" a="1"/>
  <c r="AV161" i="33" s="1"/>
  <c r="AC94" i="33" a="1"/>
  <c r="AC94" i="33" s="1"/>
  <c r="Y141" i="33" a="1"/>
  <c r="Y141" i="33" s="1"/>
  <c r="AW93" i="33" a="1"/>
  <c r="AW93" i="33" s="1"/>
  <c r="BQ89" i="33" a="1"/>
  <c r="BQ89" i="33" s="1"/>
  <c r="BD110" i="33" a="1"/>
  <c r="BD110" i="33" s="1"/>
  <c r="CZ130" i="33" a="1"/>
  <c r="CZ130" i="33" s="1"/>
  <c r="BQ54" i="33" a="1"/>
  <c r="BQ54" i="33" s="1"/>
  <c r="BH87" i="33" a="1"/>
  <c r="BH87" i="33" s="1"/>
  <c r="D72" i="33" a="1"/>
  <c r="D72" i="33" s="1"/>
  <c r="CA61" i="33" a="1"/>
  <c r="CA61" i="33" s="1"/>
  <c r="AW161" i="33" a="1"/>
  <c r="AW161" i="33" s="1"/>
  <c r="BH79" i="33" a="1"/>
  <c r="BH79" i="33" s="1"/>
  <c r="AS140" i="33" a="1"/>
  <c r="AS140" i="33" s="1"/>
  <c r="AS152" i="33" a="1"/>
  <c r="AS152" i="33" s="1"/>
  <c r="CR52" i="33" a="1"/>
  <c r="CR52" i="33" s="1"/>
  <c r="M107" i="33" a="1"/>
  <c r="M107" i="33" s="1"/>
  <c r="G84" i="33" a="1"/>
  <c r="G84" i="33" s="1"/>
  <c r="BW80" i="33" a="1"/>
  <c r="BW80" i="33" s="1"/>
  <c r="BH126" i="33" a="1"/>
  <c r="BH126" i="33" s="1"/>
  <c r="CG110" i="33" a="1"/>
  <c r="CG110" i="33" s="1"/>
  <c r="N160" i="33" a="1"/>
  <c r="N160" i="33" s="1"/>
  <c r="AM43" i="33" a="1"/>
  <c r="AM43" i="33" s="1"/>
  <c r="BQ133" i="33" a="1"/>
  <c r="BQ133" i="33" s="1"/>
  <c r="D67" i="33" a="1"/>
  <c r="D67" i="33" s="1"/>
  <c r="BW155" i="33" a="1"/>
  <c r="BW155" i="33" s="1"/>
  <c r="BD99" i="33" a="1"/>
  <c r="BD99" i="33" s="1"/>
  <c r="AI103" i="33" a="1"/>
  <c r="AI103" i="33" s="1"/>
  <c r="BC102" i="33" a="1"/>
  <c r="BC102" i="33" s="1"/>
  <c r="CF48" i="33" a="1"/>
  <c r="CF48" i="33" s="1"/>
  <c r="AC129" i="33" a="1"/>
  <c r="AC129" i="33" s="1"/>
  <c r="X49" i="33" a="1"/>
  <c r="X49" i="33" s="1"/>
  <c r="AS125" i="33" a="1"/>
  <c r="AS125" i="33" s="1"/>
  <c r="CZ77" i="33" a="1"/>
  <c r="CZ77" i="33" s="1"/>
  <c r="CP27" i="33" a="1"/>
  <c r="CP27" i="33" s="1"/>
  <c r="CZ107" i="33" a="1"/>
  <c r="CZ107" i="33" s="1"/>
  <c r="BD137" i="33" a="1"/>
  <c r="BD137" i="33" s="1"/>
  <c r="CZ123" i="33" a="1"/>
  <c r="CZ123" i="33" s="1"/>
  <c r="AI65" i="33" a="1"/>
  <c r="AI65" i="33" s="1"/>
  <c r="BG27" i="33" a="1"/>
  <c r="BG27" i="33" s="1"/>
  <c r="CP117" i="33" a="1"/>
  <c r="CP117" i="33" s="1"/>
  <c r="CQ59" i="33" a="1"/>
  <c r="CQ59" i="33" s="1"/>
  <c r="AM160" i="33" a="1"/>
  <c r="AM160" i="33" s="1"/>
  <c r="BH18" i="33" a="1"/>
  <c r="BH18" i="33" s="1"/>
  <c r="AJ155" i="33" a="1"/>
  <c r="AJ155" i="33" s="1"/>
  <c r="D150" i="33" a="1"/>
  <c r="D150" i="33" s="1"/>
  <c r="CU102" i="33" a="1"/>
  <c r="CU102" i="33" s="1"/>
  <c r="AW116" i="33" a="1"/>
  <c r="AW116" i="33" s="1"/>
  <c r="CP56" i="33" a="1"/>
  <c r="CP56" i="33" s="1"/>
  <c r="BH35" i="33" a="1"/>
  <c r="BH35" i="33" s="1"/>
  <c r="CT27" i="33" a="1"/>
  <c r="CT27" i="33" s="1"/>
  <c r="Y128" i="33" a="1"/>
  <c r="Y128" i="33" s="1"/>
  <c r="CU64" i="33" a="1"/>
  <c r="CU64" i="33" s="1"/>
  <c r="BA52" i="33" a="1"/>
  <c r="BA52" i="33" s="1"/>
  <c r="CA41" i="33" a="1"/>
  <c r="CA41" i="33" s="1"/>
  <c r="AM30" i="33" a="1"/>
  <c r="AM30" i="33" s="1"/>
  <c r="CZ26" i="33" a="1"/>
  <c r="CZ26" i="33" s="1"/>
  <c r="D160" i="33" a="1"/>
  <c r="D160" i="33" s="1"/>
  <c r="Y122" i="33" a="1"/>
  <c r="Y122" i="33" s="1"/>
  <c r="AM118" i="33" a="1"/>
  <c r="AM118" i="33" s="1"/>
  <c r="CA76" i="33" a="1"/>
  <c r="CA76" i="33" s="1"/>
  <c r="CG37" i="33" a="1"/>
  <c r="CG37" i="33" s="1"/>
  <c r="CG121" i="33" a="1"/>
  <c r="CG121" i="33" s="1"/>
  <c r="CU135" i="33" a="1"/>
  <c r="CU135" i="33" s="1"/>
  <c r="AM81" i="33" a="1"/>
  <c r="AM81" i="33" s="1"/>
  <c r="BQ76" i="33" a="1"/>
  <c r="BQ76" i="33" s="1"/>
  <c r="AJ102" i="33" a="1"/>
  <c r="AJ102" i="33" s="1"/>
  <c r="AJ47" i="33" a="1"/>
  <c r="AJ47" i="33" s="1"/>
  <c r="CG80" i="33" a="1"/>
  <c r="CG80" i="33" s="1"/>
  <c r="CA112" i="33" a="1"/>
  <c r="CA112" i="33" s="1"/>
  <c r="AI88" i="33" a="1"/>
  <c r="AI88" i="33" s="1"/>
  <c r="Y150" i="33" a="1"/>
  <c r="Y150" i="33" s="1"/>
  <c r="BH58" i="33" a="1"/>
  <c r="BH58" i="33" s="1"/>
  <c r="AC95" i="33" a="1"/>
  <c r="AC95" i="33" s="1"/>
  <c r="CA40" i="33" a="1"/>
  <c r="CA40" i="33" s="1"/>
  <c r="AW130" i="33" a="1"/>
  <c r="AW130" i="33" s="1"/>
  <c r="BH55" i="33" a="1"/>
  <c r="BH55" i="33" s="1"/>
  <c r="AI48" i="33" a="1"/>
  <c r="AI48" i="33" s="1"/>
  <c r="BH125" i="33" a="1"/>
  <c r="BH125" i="33" s="1"/>
  <c r="CH78" i="33" a="1"/>
  <c r="CH78" i="33" s="1"/>
  <c r="Y45" i="33" a="1"/>
  <c r="Y45" i="33" s="1"/>
  <c r="BN59" i="33" a="1"/>
  <c r="BN59" i="33" s="1"/>
  <c r="M80" i="33" a="1"/>
  <c r="M80" i="33" s="1"/>
  <c r="CH82" i="33" a="1"/>
  <c r="CH82" i="33" s="1"/>
  <c r="CU155" i="33" a="1"/>
  <c r="CU155" i="33" s="1"/>
  <c r="AW149" i="33" a="1"/>
  <c r="AW149" i="33" s="1"/>
  <c r="CR97" i="33" a="1"/>
  <c r="CR97" i="33" s="1"/>
  <c r="BX37" i="33" a="1"/>
  <c r="BX37" i="33" s="1"/>
  <c r="BX40" i="33" a="1"/>
  <c r="BX40" i="33" s="1"/>
  <c r="CZ143" i="33" a="1"/>
  <c r="CZ143" i="33" s="1"/>
  <c r="BH157" i="33" a="1"/>
  <c r="BH157" i="33" s="1"/>
  <c r="CA108" i="33" a="1"/>
  <c r="CA108" i="33" s="1"/>
  <c r="AM65" i="33" a="1"/>
  <c r="AM65" i="33" s="1"/>
  <c r="AS106" i="33" a="1"/>
  <c r="AS106" i="33" s="1"/>
  <c r="CU129" i="33" a="1"/>
  <c r="CU129" i="33" s="1"/>
  <c r="AM80" i="33" a="1"/>
  <c r="AM80" i="33" s="1"/>
  <c r="AS154" i="33" a="1"/>
  <c r="AS154" i="33" s="1"/>
  <c r="F40" i="33" a="1"/>
  <c r="F40" i="33" s="1"/>
  <c r="AC138" i="33" a="1"/>
  <c r="AC138" i="33" s="1"/>
  <c r="T92" i="33" a="1"/>
  <c r="T92" i="33" s="1"/>
  <c r="Q31" i="33" a="1"/>
  <c r="Q31" i="33" s="1"/>
  <c r="CT39" i="33" a="1"/>
  <c r="CT39" i="33" s="1"/>
  <c r="AS114" i="33" a="1"/>
  <c r="AS114" i="33" s="1"/>
  <c r="AJ158" i="33" a="1"/>
  <c r="AJ158" i="33" s="1"/>
  <c r="BN20" i="33" a="1"/>
  <c r="BN20" i="33" s="1"/>
  <c r="BX50" i="33" a="1"/>
  <c r="BX50" i="33" s="1"/>
  <c r="CH96" i="33" a="1"/>
  <c r="CH96" i="33" s="1"/>
  <c r="BQ110" i="33" a="1"/>
  <c r="BQ110" i="33" s="1"/>
  <c r="AI150" i="33" a="1"/>
  <c r="AI150" i="33" s="1"/>
  <c r="CU105" i="33" a="1"/>
  <c r="CU105" i="33" s="1"/>
  <c r="CP101" i="33" a="1"/>
  <c r="CP101" i="33" s="1"/>
  <c r="BQ157" i="33" a="1"/>
  <c r="BQ157" i="33" s="1"/>
  <c r="BH73" i="33" a="1"/>
  <c r="BH73" i="33" s="1"/>
  <c r="CZ62" i="33" a="1"/>
  <c r="CZ62" i="33" s="1"/>
  <c r="CA85" i="33" a="1"/>
  <c r="CA85" i="33" s="1"/>
  <c r="AM68" i="33" a="1"/>
  <c r="AM68" i="33" s="1"/>
  <c r="AS95" i="33" a="1"/>
  <c r="AS95" i="33" s="1"/>
  <c r="BH77" i="33" a="1"/>
  <c r="BH77" i="33" s="1"/>
  <c r="AI133" i="33" a="1"/>
  <c r="AI133" i="33" s="1"/>
  <c r="AM128" i="33" a="1"/>
  <c r="AM128" i="33" s="1"/>
  <c r="Y123" i="33" a="1"/>
  <c r="Y123" i="33" s="1"/>
  <c r="CU141" i="33" a="1"/>
  <c r="CU141" i="33" s="1"/>
  <c r="AC152" i="33" a="1"/>
  <c r="AC152" i="33" s="1"/>
  <c r="CF93" i="33" a="1"/>
  <c r="CF93" i="33" s="1"/>
  <c r="AS117" i="33" a="1"/>
  <c r="AS117" i="33" s="1"/>
  <c r="CU65" i="33" a="1"/>
  <c r="CU65" i="33" s="1"/>
  <c r="AT42" i="33" a="1"/>
  <c r="AT42" i="33" s="1"/>
  <c r="CZ21" i="33" a="1"/>
  <c r="CZ21" i="33" s="1"/>
  <c r="CT147" i="33" a="1"/>
  <c r="CT147" i="33" s="1"/>
  <c r="AS144" i="33" a="1"/>
  <c r="AS144" i="33" s="1"/>
  <c r="CG27" i="33" a="1"/>
  <c r="CG27" i="33" s="1"/>
  <c r="CF121" i="33" a="1"/>
  <c r="CF121" i="33" s="1"/>
  <c r="CF126" i="33" a="1"/>
  <c r="CF126" i="33" s="1"/>
  <c r="BX157" i="33" a="1"/>
  <c r="BX157" i="33" s="1"/>
  <c r="CA37" i="33" a="1"/>
  <c r="CA37" i="33" s="1"/>
  <c r="AQ109" i="33" a="1"/>
  <c r="AQ109" i="33" s="1"/>
  <c r="CG125" i="33" a="1"/>
  <c r="CG125" i="33" s="1"/>
  <c r="CG107" i="33" a="1"/>
  <c r="CG107" i="33" s="1"/>
  <c r="Z63" i="33" a="1"/>
  <c r="Z63" i="33" s="1"/>
  <c r="BV75" i="33" a="1"/>
  <c r="BV75" i="33" s="1"/>
  <c r="Y77" i="33" a="1"/>
  <c r="Y77" i="33" s="1"/>
  <c r="T143" i="33" a="1"/>
  <c r="T143" i="33" s="1"/>
  <c r="R78" i="33" a="1"/>
  <c r="R78" i="33" s="1"/>
  <c r="Q135" i="33" a="1"/>
  <c r="Q135" i="33" s="1"/>
  <c r="CG133" i="33" a="1"/>
  <c r="CG133" i="33" s="1"/>
  <c r="BG39" i="33" a="1"/>
  <c r="BG39" i="33" s="1"/>
  <c r="CP48" i="33" a="1"/>
  <c r="CP48" i="33" s="1"/>
  <c r="BH56" i="33" a="1"/>
  <c r="BH56" i="33" s="1"/>
  <c r="CH156" i="33" a="1"/>
  <c r="CH156" i="33" s="1"/>
  <c r="CH68" i="33" a="1"/>
  <c r="CH68" i="33" s="1"/>
  <c r="CR26" i="33" a="1"/>
  <c r="CR26" i="33" s="1"/>
  <c r="CU127" i="33" a="1"/>
  <c r="CU127" i="33" s="1"/>
  <c r="Y69" i="33" a="1"/>
  <c r="Y69" i="33" s="1"/>
  <c r="D95" i="33" a="1"/>
  <c r="D95" i="33" s="1"/>
  <c r="BW96" i="33" a="1"/>
  <c r="BW96" i="33" s="1"/>
  <c r="AM143" i="33" a="1"/>
  <c r="AM143" i="33" s="1"/>
  <c r="Y56" i="33" a="1"/>
  <c r="Y56" i="33" s="1"/>
  <c r="BA18" i="33" a="1"/>
  <c r="BA18" i="33" s="1"/>
  <c r="CA32" i="33" a="1"/>
  <c r="CA32" i="33" s="1"/>
  <c r="G129" i="33" a="1"/>
  <c r="G129" i="33" s="1"/>
  <c r="BZ158" i="33" a="1"/>
  <c r="BZ158" i="33" s="1"/>
  <c r="N120" i="33" a="1"/>
  <c r="N120" i="33" s="1"/>
  <c r="I121" i="33" a="1"/>
  <c r="I121" i="33" s="1"/>
  <c r="CQ106" i="33" a="1"/>
  <c r="CQ106" i="33" s="1"/>
  <c r="Y118" i="33" a="1"/>
  <c r="Y118" i="33" s="1"/>
  <c r="Y139" i="33" a="1"/>
  <c r="Y139" i="33" s="1"/>
  <c r="BC19" i="33" a="1"/>
  <c r="BC19" i="33" s="1"/>
  <c r="CT130" i="33" a="1"/>
  <c r="CT130" i="33" s="1"/>
  <c r="CT146" i="33" a="1"/>
  <c r="CT146" i="33" s="1"/>
  <c r="D141" i="33" a="1"/>
  <c r="D141" i="33" s="1"/>
  <c r="CF38" i="33" a="1"/>
  <c r="CF38" i="33" s="1"/>
  <c r="CP81" i="33" a="1"/>
  <c r="CP81" i="33" s="1"/>
  <c r="AM146" i="33" a="1"/>
  <c r="AM146" i="33" s="1"/>
  <c r="AH47" i="33" a="1"/>
  <c r="AH47" i="33" s="1"/>
  <c r="BH30" i="33" a="1"/>
  <c r="BH30" i="33" s="1"/>
  <c r="BG24" i="33" a="1"/>
  <c r="BG24" i="33" s="1"/>
  <c r="BG72" i="33" a="1"/>
  <c r="BG72" i="33" s="1"/>
  <c r="R122" i="33" a="1"/>
  <c r="R122" i="33" s="1"/>
  <c r="Z47" i="33" a="1"/>
  <c r="Z47" i="33" s="1"/>
  <c r="R46" i="33" a="1"/>
  <c r="R46" i="33" s="1"/>
  <c r="BC17" i="33" a="1"/>
  <c r="BC17" i="33" s="1"/>
  <c r="U92" i="33" a="1"/>
  <c r="U92" i="33" s="1"/>
  <c r="M160" i="33" a="1"/>
  <c r="M160" i="33" s="1"/>
  <c r="BZ35" i="33" a="1"/>
  <c r="BZ35" i="33" s="1"/>
  <c r="BX21" i="33" a="1"/>
  <c r="BX21" i="33" s="1"/>
  <c r="AJ39" i="33" a="1"/>
  <c r="AJ39" i="33" s="1"/>
  <c r="BG79" i="33" a="1"/>
  <c r="BG79" i="33" s="1"/>
  <c r="BQ53" i="33" a="1"/>
  <c r="BQ53" i="33" s="1"/>
  <c r="AC80" i="33" a="1"/>
  <c r="AC80" i="33" s="1"/>
  <c r="CG159" i="33" a="1"/>
  <c r="CG159" i="33" s="1"/>
  <c r="AS121" i="33" a="1"/>
  <c r="AS121" i="33" s="1"/>
  <c r="BV155" i="33" a="1"/>
  <c r="BV155" i="33" s="1"/>
  <c r="AI17" i="33" a="1"/>
  <c r="AI17" i="33" s="1"/>
  <c r="BH133" i="33" a="1"/>
  <c r="BH133" i="33" s="1"/>
  <c r="AM154" i="33" a="1"/>
  <c r="AM154" i="33" s="1"/>
  <c r="CA87" i="33" a="1"/>
  <c r="CA87" i="33" s="1"/>
  <c r="BH108" i="33" a="1"/>
  <c r="BH108" i="33" s="1"/>
  <c r="BX60" i="33" a="1"/>
  <c r="BX60" i="33" s="1"/>
  <c r="BD65" i="33" a="1"/>
  <c r="BD65" i="33" s="1"/>
  <c r="CU111" i="33" a="1"/>
  <c r="CU111" i="33" s="1"/>
  <c r="AJ114" i="33" a="1"/>
  <c r="AJ114" i="33" s="1"/>
  <c r="BH69" i="33" a="1"/>
  <c r="BH69" i="33" s="1"/>
  <c r="Y154" i="33" a="1"/>
  <c r="Y154" i="33" s="1"/>
  <c r="BV121" i="33" a="1"/>
  <c r="BV121" i="33" s="1"/>
  <c r="Z100" i="33" a="1"/>
  <c r="Z100" i="33" s="1"/>
  <c r="AW104" i="33" a="1"/>
  <c r="AW104" i="33" s="1"/>
  <c r="BX107" i="33" a="1"/>
  <c r="BX107" i="33" s="1"/>
  <c r="BW18" i="33" a="1"/>
  <c r="BW18" i="33" s="1"/>
  <c r="CA94" i="33" a="1"/>
  <c r="CA94" i="33" s="1"/>
  <c r="CF135" i="33" a="1"/>
  <c r="CF135" i="33" s="1"/>
  <c r="CU143" i="33" a="1"/>
  <c r="CU143" i="33" s="1"/>
  <c r="CZ74" i="33" a="1"/>
  <c r="CZ74" i="33" s="1"/>
  <c r="BV81" i="33" a="1"/>
  <c r="BV81" i="33" s="1"/>
  <c r="AW78" i="33" a="1"/>
  <c r="AW78" i="33" s="1"/>
  <c r="N113" i="33" a="1"/>
  <c r="N113" i="33" s="1"/>
  <c r="T144" i="33" a="1"/>
  <c r="T144" i="33" s="1"/>
  <c r="P69" i="33" a="1"/>
  <c r="P69" i="33" s="1"/>
  <c r="AV43" i="33" a="1"/>
  <c r="AV43" i="33" s="1"/>
  <c r="Y108" i="33" a="1"/>
  <c r="Y108" i="33" s="1"/>
  <c r="Z153" i="33" a="1"/>
  <c r="Z153" i="33" s="1"/>
  <c r="BH14" i="33" a="1"/>
  <c r="BH14" i="33" s="1"/>
  <c r="CU125" i="33" a="1"/>
  <c r="CU125" i="33" s="1"/>
  <c r="BX70" i="33" a="1"/>
  <c r="BX70" i="33" s="1"/>
  <c r="BW57" i="33" a="1"/>
  <c r="BW57" i="33" s="1"/>
  <c r="AC153" i="33" a="1"/>
  <c r="AC153" i="33" s="1"/>
  <c r="AC114" i="33" a="1"/>
  <c r="AC114" i="33" s="1"/>
  <c r="Y22" i="33" a="1"/>
  <c r="Y22" i="33" s="1"/>
  <c r="BG137" i="33" a="1"/>
  <c r="BG137" i="33" s="1"/>
  <c r="AM31" i="33" a="1"/>
  <c r="AM31" i="33" s="1"/>
  <c r="AM26" i="33" a="1"/>
  <c r="AM26" i="33" s="1"/>
  <c r="BD70" i="33" a="1"/>
  <c r="BD70" i="33" s="1"/>
  <c r="BM143" i="33" a="1"/>
  <c r="BM143" i="33" s="1"/>
  <c r="CT79" i="33" a="1"/>
  <c r="CT79" i="33" s="1"/>
  <c r="G102" i="33" a="1"/>
  <c r="G102" i="33" s="1"/>
  <c r="BX20" i="33" a="1"/>
  <c r="BX20" i="33" s="1"/>
  <c r="I21" i="33" a="1"/>
  <c r="I21" i="33" s="1"/>
  <c r="AI106" i="33" a="1"/>
  <c r="AI106" i="33" s="1"/>
  <c r="AV32" i="33" a="1"/>
  <c r="AV32" i="33" s="1"/>
  <c r="CQ43" i="33" a="1"/>
  <c r="CQ43" i="33" s="1"/>
  <c r="CA46" i="33" a="1"/>
  <c r="CA46" i="33" s="1"/>
  <c r="AV35" i="33" a="1"/>
  <c r="AV35" i="33" s="1"/>
  <c r="BX41" i="33" a="1"/>
  <c r="BX41" i="33" s="1"/>
  <c r="AI67" i="33" a="1"/>
  <c r="AI67" i="33" s="1"/>
  <c r="BH127" i="33" a="1"/>
  <c r="BH127" i="33" s="1"/>
  <c r="CA79" i="33" a="1"/>
  <c r="CA79" i="33" s="1"/>
  <c r="AW69" i="33" a="1"/>
  <c r="AW69" i="33" s="1"/>
  <c r="AS148" i="33" a="1"/>
  <c r="AS148" i="33" s="1"/>
  <c r="CU17" i="33" a="1"/>
  <c r="CU17" i="33" s="1"/>
  <c r="BM21" i="33" a="1"/>
  <c r="BM21" i="33" s="1"/>
  <c r="CA89" i="33" a="1"/>
  <c r="CA89" i="33" s="1"/>
  <c r="BN108" i="33" a="1"/>
  <c r="BN108" i="33" s="1"/>
  <c r="AV50" i="33" a="1"/>
  <c r="AV50" i="33" s="1"/>
  <c r="CZ87" i="33" a="1"/>
  <c r="CZ87" i="33" s="1"/>
  <c r="D51" i="33" a="1"/>
  <c r="D51" i="33" s="1"/>
  <c r="CF32" i="33" a="1"/>
  <c r="CF32" i="33" s="1"/>
  <c r="BW16" i="33" a="1"/>
  <c r="BW16" i="33" s="1"/>
  <c r="AJ148" i="33" a="1"/>
  <c r="AJ148" i="33" s="1"/>
  <c r="AQ135" i="33" a="1"/>
  <c r="AQ135" i="33" s="1"/>
  <c r="AW16" i="33" a="1"/>
  <c r="AW16" i="33" s="1"/>
  <c r="BW84" i="33" a="1"/>
  <c r="BW84" i="33" s="1"/>
  <c r="D42" i="33" a="1"/>
  <c r="D42" i="33" s="1"/>
  <c r="AS55" i="33" a="1"/>
  <c r="AS55" i="33" s="1"/>
  <c r="BH84" i="33" a="1"/>
  <c r="BH84" i="33" s="1"/>
  <c r="BQ148" i="33" a="1"/>
  <c r="BQ148" i="33" s="1"/>
  <c r="BX128" i="33" a="1"/>
  <c r="BX128" i="33" s="1"/>
  <c r="AS131" i="33" a="1"/>
  <c r="AS131" i="33" s="1"/>
  <c r="CQ32" i="33" a="1"/>
  <c r="CQ32" i="33" s="1"/>
  <c r="BZ85" i="33" a="1"/>
  <c r="BZ85" i="33" s="1"/>
  <c r="BC142" i="33" a="1"/>
  <c r="BC142" i="33" s="1"/>
  <c r="CH109" i="33" a="1"/>
  <c r="CH109" i="33" s="1"/>
  <c r="Y100" i="33" a="1"/>
  <c r="Y100" i="33" s="1"/>
  <c r="CP47" i="33" a="1"/>
  <c r="CP47" i="33" s="1"/>
  <c r="AM85" i="33" a="1"/>
  <c r="AM85" i="33" s="1"/>
  <c r="CP100" i="33" a="1"/>
  <c r="CP100" i="33" s="1"/>
  <c r="BV88" i="33" a="1"/>
  <c r="BV88" i="33" s="1"/>
  <c r="Y102" i="33" a="1"/>
  <c r="Y102" i="33" s="1"/>
  <c r="CQ75" i="33" a="1"/>
  <c r="CQ75" i="33" s="1"/>
  <c r="Z58" i="33" a="1"/>
  <c r="Z58" i="33" s="1"/>
  <c r="I73" i="33" a="1"/>
  <c r="I73" i="33" s="1"/>
  <c r="BH90" i="33" a="1"/>
  <c r="BH90" i="33" s="1"/>
  <c r="BD89" i="33" a="1"/>
  <c r="BD89" i="33" s="1"/>
  <c r="BH100" i="33" a="1"/>
  <c r="BH100" i="33" s="1"/>
  <c r="Y104" i="33" a="1"/>
  <c r="Y104" i="33" s="1"/>
  <c r="AM20" i="33" a="1"/>
  <c r="AM20" i="33" s="1"/>
  <c r="BQ120" i="33" a="1"/>
  <c r="BQ120" i="33" s="1"/>
  <c r="BQ153" i="33" a="1"/>
  <c r="BQ153" i="33" s="1"/>
  <c r="BC75" i="33" a="1"/>
  <c r="BC75" i="33" s="1"/>
  <c r="CP152" i="33" a="1"/>
  <c r="CP152" i="33" s="1"/>
  <c r="CP53" i="33" a="1"/>
  <c r="CP53" i="33" s="1"/>
  <c r="AI148" i="33" a="1"/>
  <c r="AI148" i="33" s="1"/>
  <c r="BC73" i="33" a="1"/>
  <c r="BC73" i="33" s="1"/>
  <c r="BQ93" i="33" a="1"/>
  <c r="BQ93" i="33" s="1"/>
  <c r="BG44" i="33" a="1"/>
  <c r="BG44" i="33" s="1"/>
  <c r="BL32" i="33" a="1"/>
  <c r="BL32" i="33" s="1"/>
  <c r="Y62" i="33" a="1"/>
  <c r="Y62" i="33" s="1"/>
  <c r="P101" i="33" a="1"/>
  <c r="P101" i="33" s="1"/>
  <c r="P153" i="33" a="1"/>
  <c r="P153" i="33" s="1"/>
  <c r="BX28" i="33" a="1"/>
  <c r="BX28" i="33" s="1"/>
  <c r="BX90" i="33" a="1"/>
  <c r="BX90" i="33" s="1"/>
  <c r="AT145" i="33" a="1"/>
  <c r="AT145" i="33" s="1"/>
  <c r="BZ118" i="33" a="1"/>
  <c r="BZ118" i="33" s="1"/>
  <c r="AJ161" i="33" a="1"/>
  <c r="AJ161" i="33" s="1"/>
  <c r="CH133" i="33" a="1"/>
  <c r="CH133" i="33" s="1"/>
  <c r="AM55" i="33" a="1"/>
  <c r="AM55" i="33" s="1"/>
  <c r="Y67" i="33" a="1"/>
  <c r="Y67" i="33" s="1"/>
  <c r="CU71" i="33" a="1"/>
  <c r="CU71" i="33" s="1"/>
  <c r="AC27" i="33" a="1"/>
  <c r="AC27" i="33" s="1"/>
  <c r="AT99" i="33" a="1"/>
  <c r="AT99" i="33" s="1"/>
  <c r="BM108" i="33" a="1"/>
  <c r="BM108" i="33" s="1"/>
  <c r="CA14" i="33" a="1"/>
  <c r="CA14" i="33" s="1"/>
  <c r="Y58" i="33" a="1"/>
  <c r="Y58" i="33" s="1"/>
  <c r="CD60" i="33" a="1"/>
  <c r="CD60" i="33" s="1"/>
  <c r="P157" i="33" a="1"/>
  <c r="P157" i="33" s="1"/>
  <c r="F23" i="33" a="1"/>
  <c r="F23" i="33" s="1"/>
  <c r="U34" i="33" a="1"/>
  <c r="U34" i="33" s="1"/>
  <c r="BZ51" i="33" a="1"/>
  <c r="BZ51" i="33" s="1"/>
  <c r="M55" i="33" a="1"/>
  <c r="M55" i="33" s="1"/>
  <c r="I141" i="33" a="1"/>
  <c r="I141" i="33" s="1"/>
  <c r="AI55" i="33" a="1"/>
  <c r="AI55" i="33" s="1"/>
  <c r="CP17" i="33" a="1"/>
  <c r="CP17" i="33" s="1"/>
  <c r="BH112" i="33" a="1"/>
  <c r="BH112" i="33" s="1"/>
  <c r="AW28" i="33" a="1"/>
  <c r="AW28" i="33" s="1"/>
  <c r="CU24" i="33" a="1"/>
  <c r="CU24" i="33" s="1"/>
  <c r="BM78" i="33" a="1"/>
  <c r="BM78" i="33" s="1"/>
  <c r="AS103" i="33" a="1"/>
  <c r="AS103" i="33" s="1"/>
  <c r="AC150" i="33" a="1"/>
  <c r="AC150" i="33" s="1"/>
  <c r="CT51" i="33" a="1"/>
  <c r="CT51" i="33" s="1"/>
  <c r="CA98" i="33" a="1"/>
  <c r="CA98" i="33" s="1"/>
  <c r="BD24" i="33" a="1"/>
  <c r="BD24" i="33" s="1"/>
  <c r="BZ87" i="33" a="1"/>
  <c r="BZ87" i="33" s="1"/>
  <c r="BQ45" i="33" a="1"/>
  <c r="BQ45" i="33" s="1"/>
  <c r="AC70" i="33" a="1"/>
  <c r="AC70" i="33" s="1"/>
  <c r="BH115" i="33" a="1"/>
  <c r="BH115" i="33" s="1"/>
  <c r="X139" i="33" a="1"/>
  <c r="X139" i="33" s="1"/>
  <c r="CA30" i="33" a="1"/>
  <c r="CA30" i="33" s="1"/>
  <c r="CA155" i="33" a="1"/>
  <c r="CA155" i="33" s="1"/>
  <c r="CU67" i="33" a="1"/>
  <c r="CU67" i="33" s="1"/>
  <c r="CU29" i="33" a="1"/>
  <c r="CU29" i="33" s="1"/>
  <c r="AW87" i="33" a="1"/>
  <c r="AW87" i="33" s="1"/>
  <c r="Y156" i="33" a="1"/>
  <c r="Y156" i="33" s="1"/>
  <c r="AI152" i="33" a="1"/>
  <c r="AI152" i="33" s="1"/>
  <c r="CP102" i="33" a="1"/>
  <c r="CP102" i="33" s="1"/>
  <c r="BH139" i="33" a="1"/>
  <c r="BH139" i="33" s="1"/>
  <c r="BZ94" i="33" a="1"/>
  <c r="BZ94" i="33" s="1"/>
  <c r="CG66" i="33" a="1"/>
  <c r="CG66" i="33" s="1"/>
  <c r="BH155" i="33" a="1"/>
  <c r="BH155" i="33" s="1"/>
  <c r="CA71" i="33" a="1"/>
  <c r="CA71" i="33" s="1"/>
  <c r="BG102" i="33" a="1"/>
  <c r="BG102" i="33" s="1"/>
  <c r="BC100" i="33" a="1"/>
  <c r="BC100" i="33" s="1"/>
  <c r="BG64" i="33" a="1"/>
  <c r="BG64" i="33" s="1"/>
  <c r="CY112" i="33" a="1"/>
  <c r="CY112" i="33" s="1"/>
  <c r="AM23" i="33" a="1"/>
  <c r="AM23" i="33" s="1"/>
  <c r="AV115" i="33" a="1"/>
  <c r="AV115" i="33" s="1"/>
  <c r="F123" i="33" a="1"/>
  <c r="F123" i="33" s="1"/>
  <c r="BW98" i="33" a="1"/>
  <c r="BW98" i="33" s="1"/>
  <c r="AI143" i="33" a="1"/>
  <c r="AI143" i="33" s="1"/>
  <c r="AI47" i="33" a="1"/>
  <c r="AI47" i="33" s="1"/>
  <c r="BD153" i="33" a="1"/>
  <c r="BD153" i="33" s="1"/>
  <c r="AJ143" i="33" a="1"/>
  <c r="AJ143" i="33" s="1"/>
  <c r="BD78" i="33" a="1"/>
  <c r="BD78" i="33" s="1"/>
  <c r="BW144" i="33" a="1"/>
  <c r="BW144" i="33" s="1"/>
  <c r="BW149" i="33" a="1"/>
  <c r="BW149" i="33" s="1"/>
  <c r="CU56" i="33" a="1"/>
  <c r="CU56" i="33" s="1"/>
  <c r="AM159" i="33" a="1"/>
  <c r="AM159" i="33" s="1"/>
  <c r="BH49" i="33" a="1"/>
  <c r="BH49" i="33" s="1"/>
  <c r="AW37" i="33" a="1"/>
  <c r="AW37" i="33" s="1"/>
  <c r="BH96" i="33" a="1"/>
  <c r="BH96" i="33" s="1"/>
  <c r="BU80" i="33" a="1"/>
  <c r="BU80" i="33" s="1"/>
  <c r="CA122" i="33" a="1"/>
  <c r="CA122" i="33" s="1"/>
  <c r="BH103" i="33" a="1"/>
  <c r="BH103" i="33" s="1"/>
  <c r="AI101" i="33" a="1"/>
  <c r="AI101" i="33" s="1"/>
  <c r="O67" i="33" a="1"/>
  <c r="O67" i="33" s="1"/>
  <c r="M105" i="33" a="1"/>
  <c r="M105" i="33" s="1"/>
  <c r="O48" i="33" a="1"/>
  <c r="O48" i="33" s="1"/>
  <c r="CR34" i="33" a="1"/>
  <c r="CR34" i="33" s="1"/>
  <c r="BC47" i="33" a="1"/>
  <c r="BC47" i="33" s="1"/>
  <c r="CR36" i="33" a="1"/>
  <c r="CR36" i="33" s="1"/>
  <c r="CT33" i="33" a="1"/>
  <c r="CT33" i="33" s="1"/>
  <c r="CA68" i="33" a="1"/>
  <c r="CA68" i="33" s="1"/>
  <c r="CR49" i="33" a="1"/>
  <c r="CR49" i="33" s="1"/>
  <c r="BH26" i="33" a="1"/>
  <c r="BH26" i="33" s="1"/>
  <c r="CA138" i="33" a="1"/>
  <c r="CA138" i="33" s="1"/>
  <c r="CQ151" i="33" a="1"/>
  <c r="CQ151" i="33" s="1"/>
  <c r="BQ106" i="33" a="1"/>
  <c r="BQ106" i="33" s="1"/>
  <c r="CZ158" i="33" a="1"/>
  <c r="CZ158" i="33" s="1"/>
  <c r="BH78" i="33" a="1"/>
  <c r="BH78" i="33" s="1"/>
  <c r="CU16" i="33" a="1"/>
  <c r="CU16" i="33" s="1"/>
  <c r="BG70" i="33" a="1"/>
  <c r="BG70" i="33" s="1"/>
  <c r="BD37" i="33" a="1"/>
  <c r="BD37" i="33" s="1"/>
  <c r="Y110" i="33" a="1"/>
  <c r="Y110" i="33" s="1"/>
  <c r="AM24" i="33" a="1"/>
  <c r="AM24" i="33" s="1"/>
  <c r="AC25" i="33" a="1"/>
  <c r="AC25" i="33" s="1"/>
  <c r="BD143" i="33" a="1"/>
  <c r="BD143" i="33" s="1"/>
  <c r="AM130" i="33" a="1"/>
  <c r="AM130" i="33" s="1"/>
  <c r="CU75" i="33" a="1"/>
  <c r="CU75" i="33" s="1"/>
  <c r="CA106" i="33" a="1"/>
  <c r="CA106" i="33" s="1"/>
  <c r="BM79" i="33" a="1"/>
  <c r="BM79" i="33" s="1"/>
  <c r="BQ43" i="33" a="1"/>
  <c r="BQ43" i="33" s="1"/>
  <c r="BM30" i="33" a="1"/>
  <c r="BM30" i="33" s="1"/>
  <c r="AS77" i="33" a="1"/>
  <c r="AS77" i="33" s="1"/>
  <c r="BW159" i="33" a="1"/>
  <c r="BW159" i="33" s="1"/>
  <c r="BG143" i="33" a="1"/>
  <c r="BG143" i="33" s="1"/>
  <c r="AM148" i="33" a="1"/>
  <c r="AM148" i="33" s="1"/>
  <c r="BM27" i="33" a="1"/>
  <c r="BM27" i="33" s="1"/>
  <c r="CG19" i="33" a="1"/>
  <c r="CG19" i="33" s="1"/>
  <c r="Y135" i="33" a="1"/>
  <c r="Y135" i="33" s="1"/>
  <c r="BW113" i="33" a="1"/>
  <c r="BW113" i="33" s="1"/>
  <c r="CF80" i="33" a="1"/>
  <c r="CF80" i="33" s="1"/>
  <c r="CP74" i="33" a="1"/>
  <c r="CP74" i="33" s="1"/>
  <c r="AI79" i="33" a="1"/>
  <c r="AI79" i="33" s="1"/>
  <c r="BH67" i="33" a="1"/>
  <c r="BH67" i="33" s="1"/>
  <c r="CU58" i="33" a="1"/>
  <c r="CU58" i="33" s="1"/>
  <c r="CA104" i="33" a="1"/>
  <c r="CA104" i="33" s="1"/>
  <c r="Y64" i="33" a="1"/>
  <c r="Y64" i="33" s="1"/>
  <c r="BZ62" i="33" a="1"/>
  <c r="BZ62" i="33" s="1"/>
  <c r="S53" i="33" a="1"/>
  <c r="S53" i="33" s="1"/>
  <c r="U87" i="33" a="1"/>
  <c r="U87" i="33" s="1"/>
  <c r="AT34" i="33" a="1"/>
  <c r="AT34" i="33" s="1"/>
  <c r="CG126" i="33" a="1"/>
  <c r="CG126" i="33" s="1"/>
  <c r="AW14" i="33" a="1"/>
  <c r="AW14" i="33" s="1"/>
  <c r="AW46" i="33" a="1"/>
  <c r="AW46" i="33" s="1"/>
  <c r="BZ92" i="33" a="1"/>
  <c r="BZ92" i="33" s="1"/>
  <c r="BG67" i="33" a="1"/>
  <c r="BG67" i="33" s="1"/>
  <c r="BQ143" i="33" a="1"/>
  <c r="BQ143" i="33" s="1"/>
  <c r="Z18" i="33" a="1"/>
  <c r="Z18" i="33" s="1"/>
  <c r="CU38" i="33" a="1"/>
  <c r="CU38" i="33" s="1"/>
  <c r="AS110" i="33" a="1"/>
  <c r="AS110" i="33" s="1"/>
  <c r="AW47" i="33" a="1"/>
  <c r="AW47" i="33" s="1"/>
  <c r="BQ77" i="33" a="1"/>
  <c r="BQ77" i="33" s="1"/>
  <c r="Z116" i="33" a="1"/>
  <c r="Z116" i="33" s="1"/>
  <c r="AC72" i="33" a="1"/>
  <c r="AC72" i="33" s="1"/>
  <c r="Z29" i="33" a="1"/>
  <c r="Z29" i="33" s="1"/>
  <c r="BN95" i="33" a="1"/>
  <c r="BN95" i="33" s="1"/>
  <c r="BD77" i="33" a="1"/>
  <c r="BD77" i="33" s="1"/>
  <c r="R153" i="33" a="1"/>
  <c r="R153" i="33" s="1"/>
  <c r="N23" i="33" a="1"/>
  <c r="N23" i="33" s="1"/>
  <c r="CR126" i="33" a="1"/>
  <c r="CR126" i="33" s="1"/>
  <c r="AI161" i="33" a="1"/>
  <c r="AI161" i="33" s="1"/>
  <c r="AT32" i="33" a="1"/>
  <c r="AT32" i="33" s="1"/>
  <c r="AT126" i="33" a="1"/>
  <c r="AT126" i="33" s="1"/>
  <c r="AJ159" i="33" a="1"/>
  <c r="AJ159" i="33" s="1"/>
  <c r="BM93" i="33" a="1"/>
  <c r="BM93" i="33" s="1"/>
  <c r="CH76" i="33" a="1"/>
  <c r="CH76" i="33" s="1"/>
  <c r="CU108" i="33" a="1"/>
  <c r="CU108" i="33" s="1"/>
  <c r="AC110" i="33" a="1"/>
  <c r="AC110" i="33" s="1"/>
  <c r="BQ142" i="33" a="1"/>
  <c r="BQ142" i="33" s="1"/>
  <c r="AT62" i="33" a="1"/>
  <c r="AT62" i="33" s="1"/>
  <c r="AI74" i="33" a="1"/>
  <c r="AI74" i="33" s="1"/>
  <c r="D102" i="33" a="1"/>
  <c r="D102" i="33" s="1"/>
  <c r="BH17" i="33" a="1"/>
  <c r="BH17" i="33" s="1"/>
  <c r="BL41" i="33" a="1"/>
  <c r="BL41" i="33" s="1"/>
  <c r="AJ62" i="33" a="1"/>
  <c r="AJ62" i="33" s="1"/>
  <c r="F103" i="33" a="1"/>
  <c r="F103" i="33" s="1"/>
  <c r="CR48" i="33" a="1"/>
  <c r="CR48" i="33" s="1"/>
  <c r="S138" i="33" a="1"/>
  <c r="S138" i="33" s="1"/>
  <c r="I38" i="33" a="1"/>
  <c r="I38" i="33" s="1"/>
  <c r="F31" i="33" a="1"/>
  <c r="F31" i="33" s="1"/>
  <c r="CZ59" i="33" a="1"/>
  <c r="CZ59" i="33" s="1"/>
  <c r="BC94" i="33" a="1"/>
  <c r="BC94" i="33" s="1"/>
  <c r="BM44" i="33" a="1"/>
  <c r="BM44" i="33" s="1"/>
  <c r="Z81" i="33" a="1"/>
  <c r="Z81" i="33" s="1"/>
  <c r="AJ123" i="33" a="1"/>
  <c r="AJ123" i="33" s="1"/>
  <c r="CR143" i="33" a="1"/>
  <c r="CR143" i="33" s="1"/>
  <c r="BQ31" i="33" a="1"/>
  <c r="BQ31" i="33" s="1"/>
  <c r="CT158" i="33" a="1"/>
  <c r="CT158" i="33" s="1"/>
  <c r="CU151" i="33" a="1"/>
  <c r="CU151" i="33" s="1"/>
  <c r="BC23" i="33" a="1"/>
  <c r="BC23" i="33" s="1"/>
  <c r="CA111" i="33" a="1"/>
  <c r="CA111" i="33" s="1"/>
  <c r="BW82" i="33" a="1"/>
  <c r="BW82" i="33" s="1"/>
  <c r="BH38" i="33" a="1"/>
  <c r="BH38" i="33" s="1"/>
  <c r="Y68" i="33" a="1"/>
  <c r="Y68" i="33" s="1"/>
  <c r="BB17" i="33" a="1"/>
  <c r="BB17" i="33" s="1"/>
  <c r="CA42" i="33" a="1"/>
  <c r="CA42" i="33" s="1"/>
  <c r="AC143" i="33" a="1"/>
  <c r="AC143" i="33" s="1"/>
  <c r="AV80" i="33" a="1"/>
  <c r="AV80" i="33" s="1"/>
  <c r="CZ45" i="33" a="1"/>
  <c r="CZ45" i="33" s="1"/>
  <c r="BQ137" i="33" a="1"/>
  <c r="BQ137" i="33" s="1"/>
  <c r="CA121" i="33" a="1"/>
  <c r="CA121" i="33" s="1"/>
  <c r="CU88" i="33" a="1"/>
  <c r="CU88" i="33" s="1"/>
  <c r="D158" i="33" a="1"/>
  <c r="D158" i="33" s="1"/>
  <c r="AM59" i="33" a="1"/>
  <c r="AM59" i="33" s="1"/>
  <c r="BM47" i="33" a="1"/>
  <c r="BM47" i="33" s="1"/>
  <c r="BC103" i="33" a="1"/>
  <c r="BC103" i="33" s="1"/>
  <c r="CP84" i="33" a="1"/>
  <c r="CP84" i="33" s="1"/>
  <c r="CP32" i="33" a="1"/>
  <c r="CP32" i="33" s="1"/>
  <c r="AI159" i="33" a="1"/>
  <c r="AI159" i="33" s="1"/>
  <c r="AC62" i="33" a="1"/>
  <c r="AC62" i="33" s="1"/>
  <c r="BC156" i="33" a="1"/>
  <c r="BC156" i="33" s="1"/>
  <c r="BW69" i="33" a="1"/>
  <c r="BW69" i="33" s="1"/>
  <c r="AS109" i="33" a="1"/>
  <c r="AS109" i="33" s="1"/>
  <c r="D97" i="33" a="1"/>
  <c r="D97" i="33" s="1"/>
  <c r="Q153" i="33" a="1"/>
  <c r="Q153" i="33" s="1"/>
  <c r="R30" i="33" a="1"/>
  <c r="R30" i="33" s="1"/>
  <c r="CU34" i="33" a="1"/>
  <c r="CU34" i="33" s="1"/>
  <c r="AJ104" i="33" a="1"/>
  <c r="AJ104" i="33" s="1"/>
  <c r="CR151" i="33" a="1"/>
  <c r="CR151" i="33" s="1"/>
  <c r="BD144" i="33" a="1"/>
  <c r="BD144" i="33" s="1"/>
  <c r="CA90" i="33" a="1"/>
  <c r="CA90" i="33" s="1"/>
  <c r="BH161" i="33" a="1"/>
  <c r="BH161" i="33" s="1"/>
  <c r="CQ156" i="33" a="1"/>
  <c r="CQ156" i="33" s="1"/>
  <c r="AI142" i="33" a="1"/>
  <c r="AI142" i="33" s="1"/>
  <c r="CA146" i="33" a="1"/>
  <c r="CA146" i="33" s="1"/>
  <c r="AI75" i="33" a="1"/>
  <c r="AI75" i="33" s="1"/>
  <c r="CU61" i="33" a="1"/>
  <c r="CU61" i="33" s="1"/>
  <c r="AM56" i="33" a="1"/>
  <c r="AM56" i="33" s="1"/>
  <c r="BB133" i="33" a="1"/>
  <c r="BB133" i="33" s="1"/>
  <c r="BW56" i="33" a="1"/>
  <c r="BW56" i="33" s="1"/>
  <c r="CN24" i="33" a="1"/>
  <c r="CN24" i="33" s="1"/>
  <c r="I154" i="33" a="1"/>
  <c r="I154" i="33" s="1"/>
  <c r="Q19" i="33" a="1"/>
  <c r="Q19" i="33" s="1"/>
  <c r="U150" i="33" a="1"/>
  <c r="U150" i="33" s="1"/>
  <c r="AJ44" i="33" a="1"/>
  <c r="AJ44" i="33" s="1"/>
  <c r="AJ59" i="33" a="1"/>
  <c r="AJ59" i="33" s="1"/>
  <c r="BQ34" i="33" a="1"/>
  <c r="BQ34" i="33" s="1"/>
  <c r="D108" i="33" a="1"/>
  <c r="D108" i="33" s="1"/>
  <c r="CT31" i="33" a="1"/>
  <c r="CT31" i="33" s="1"/>
  <c r="BW38" i="33" a="1"/>
  <c r="BW38" i="33" s="1"/>
  <c r="AJ87" i="33" a="1"/>
  <c r="AJ87" i="33" s="1"/>
  <c r="CZ144" i="33" a="1"/>
  <c r="CZ144" i="33" s="1"/>
  <c r="BW61" i="33" a="1"/>
  <c r="BW61" i="33" s="1"/>
  <c r="D125" i="33" a="1"/>
  <c r="D125" i="33" s="1"/>
  <c r="BQ161" i="33" a="1"/>
  <c r="BQ161" i="33" s="1"/>
  <c r="BH98" i="33" a="1"/>
  <c r="BH98" i="33" s="1"/>
  <c r="D49" i="33" a="1"/>
  <c r="D49" i="33" s="1"/>
  <c r="CA28" i="33" a="1"/>
  <c r="CA28" i="33" s="1"/>
  <c r="AV160" i="33" a="1"/>
  <c r="AV160" i="33" s="1"/>
  <c r="AV138" i="33" a="1"/>
  <c r="AV138" i="33" s="1"/>
  <c r="CU26" i="33" a="1"/>
  <c r="CU26" i="33" s="1"/>
  <c r="AS48" i="33" a="1"/>
  <c r="AS48" i="33" s="1"/>
  <c r="BG28" i="33" a="1"/>
  <c r="BG28" i="33" s="1"/>
  <c r="CQ107" i="33" a="1"/>
  <c r="CQ107" i="33" s="1"/>
  <c r="AC77" i="33" a="1"/>
  <c r="AC77" i="33" s="1"/>
  <c r="AM134" i="33" a="1"/>
  <c r="AM134" i="33" s="1"/>
  <c r="BA41" i="33" a="1"/>
  <c r="BA41" i="33" s="1"/>
  <c r="AT113" i="33" a="1"/>
  <c r="AT113" i="33" s="1"/>
  <c r="CU149" i="33" a="1"/>
  <c r="CU149" i="33" s="1"/>
  <c r="CU146" i="33" a="1"/>
  <c r="CU146" i="33" s="1"/>
  <c r="CA159" i="33" a="1"/>
  <c r="CA159" i="33" s="1"/>
  <c r="BH130" i="33" a="1"/>
  <c r="BH130" i="33" s="1"/>
  <c r="CP104" i="33" a="1"/>
  <c r="CP104" i="33" s="1"/>
  <c r="CZ116" i="33" a="1"/>
  <c r="CZ116" i="33" s="1"/>
  <c r="Y125" i="33" a="1"/>
  <c r="Y125" i="33" s="1"/>
  <c r="CT140" i="33" a="1"/>
  <c r="CT140" i="33" s="1"/>
  <c r="BQ87" i="33" a="1"/>
  <c r="BQ87" i="33" s="1"/>
  <c r="CZ41" i="33" a="1"/>
  <c r="CZ41" i="33" s="1"/>
  <c r="CU59" i="33" a="1"/>
  <c r="CU59" i="33" s="1"/>
  <c r="AC107" i="33" a="1"/>
  <c r="AC107" i="33" s="1"/>
  <c r="BH106" i="33" a="1"/>
  <c r="BH106" i="33" s="1"/>
  <c r="AS122" i="33" a="1"/>
  <c r="AS122" i="33" s="1"/>
  <c r="CF29" i="33" a="1"/>
  <c r="CF29" i="33" s="1"/>
  <c r="CP140" i="33" a="1"/>
  <c r="CP140" i="33" s="1"/>
  <c r="O39" i="33" a="1"/>
  <c r="O39" i="33" s="1"/>
  <c r="O111" i="33" a="1"/>
  <c r="O111" i="33" s="1"/>
  <c r="AS38" i="33" a="1"/>
  <c r="AS38" i="33" s="1"/>
  <c r="CH104" i="33" a="1"/>
  <c r="CH104" i="33" s="1"/>
  <c r="AV85" i="33" a="1"/>
  <c r="AV85" i="33" s="1"/>
  <c r="BD66" i="33" a="1"/>
  <c r="BD66" i="33" s="1"/>
  <c r="BH37" i="33" a="1"/>
  <c r="BH37" i="33" s="1"/>
  <c r="BZ129" i="33" a="1"/>
  <c r="BZ129" i="33" s="1"/>
  <c r="AS119" i="33" a="1"/>
  <c r="AS119" i="33" s="1"/>
  <c r="BG149" i="33" a="1"/>
  <c r="BG149" i="33" s="1"/>
  <c r="CG77" i="33" a="1"/>
  <c r="CG77" i="33" s="1"/>
  <c r="CT18" i="33" a="1"/>
  <c r="CT18" i="33" s="1"/>
  <c r="AT96" i="33" a="1"/>
  <c r="AT96" i="33" s="1"/>
  <c r="D135" i="33" a="1"/>
  <c r="D135" i="33" s="1"/>
  <c r="BG37" i="33" a="1"/>
  <c r="BG37" i="33" s="1"/>
  <c r="D70" i="33" a="1"/>
  <c r="D70" i="33" s="1"/>
  <c r="BQ28" i="33" a="1"/>
  <c r="BQ28" i="33" s="1"/>
  <c r="BM87" i="33" a="1"/>
  <c r="BM87" i="33" s="1"/>
  <c r="O121" i="33" a="1"/>
  <c r="O121" i="33" s="1"/>
  <c r="P107" i="33" a="1"/>
  <c r="P107" i="33" s="1"/>
  <c r="M150" i="33" a="1"/>
  <c r="M150" i="33" s="1"/>
  <c r="AJ76" i="33" a="1"/>
  <c r="AJ76" i="33" s="1"/>
  <c r="AM96" i="33" a="1"/>
  <c r="AM96" i="33" s="1"/>
  <c r="AW64" i="33" a="1"/>
  <c r="AW64" i="33" s="1"/>
  <c r="AT59" i="33" a="1"/>
  <c r="AT59" i="33" s="1"/>
  <c r="AV62" i="33" a="1"/>
  <c r="AV62" i="33" s="1"/>
  <c r="CH36" i="33" a="1"/>
  <c r="CH36" i="33" s="1"/>
  <c r="CR82" i="33" a="1"/>
  <c r="CR82" i="33" s="1"/>
  <c r="CZ73" i="33" a="1"/>
  <c r="CZ73" i="33" s="1"/>
  <c r="AJ52" i="33" a="1"/>
  <c r="AJ52" i="33" s="1"/>
  <c r="AW146" i="33" a="1"/>
  <c r="AW146" i="33" s="1"/>
  <c r="AS151" i="33" a="1"/>
  <c r="AS151" i="33" s="1"/>
  <c r="CP158" i="33" a="1"/>
  <c r="CP158" i="33" s="1"/>
  <c r="CU39" i="33" a="1"/>
  <c r="CU39" i="33" s="1"/>
  <c r="Z67" i="33" a="1"/>
  <c r="Z67" i="33" s="1"/>
  <c r="CG105" i="33" a="1"/>
  <c r="CG105" i="33" s="1"/>
  <c r="AW82" i="33" a="1"/>
  <c r="AW82" i="33" s="1"/>
  <c r="AG140" i="33" a="1"/>
  <c r="AG140" i="33" s="1"/>
  <c r="AS124" i="33" a="1"/>
  <c r="AS124" i="33" s="1"/>
  <c r="F50" i="33" a="1"/>
  <c r="F50" i="33" s="1"/>
  <c r="F35" i="33" a="1"/>
  <c r="F35" i="33" s="1"/>
  <c r="Q97" i="33" a="1"/>
  <c r="Q97" i="33" s="1"/>
  <c r="CU74" i="33" a="1"/>
  <c r="CU74" i="33" s="1"/>
  <c r="F87" i="33" a="1"/>
  <c r="F87" i="33" s="1"/>
  <c r="AM137" i="33" a="1"/>
  <c r="AM137" i="33" s="1"/>
  <c r="AV36" i="33" a="1"/>
  <c r="AV36" i="33" s="1"/>
  <c r="BQ132" i="33" a="1"/>
  <c r="BQ132" i="33" s="1"/>
  <c r="AW110" i="33" a="1"/>
  <c r="AW110" i="33" s="1"/>
  <c r="BW160" i="33" a="1"/>
  <c r="BW160" i="33" s="1"/>
  <c r="BA92" i="33" a="1"/>
  <c r="BA92" i="33" s="1"/>
  <c r="CG23" i="33" a="1"/>
  <c r="CG23" i="33" s="1"/>
  <c r="AW67" i="33" a="1"/>
  <c r="AW67" i="33" s="1"/>
  <c r="CA48" i="33" a="1"/>
  <c r="CA48" i="33" s="1"/>
  <c r="CU126" i="33" a="1"/>
  <c r="CU126" i="33" s="1"/>
  <c r="BQ149" i="33" a="1"/>
  <c r="BQ149" i="33" s="1"/>
  <c r="CZ139" i="33" a="1"/>
  <c r="CZ139" i="33" s="1"/>
  <c r="CZ83" i="33" a="1"/>
  <c r="CZ83" i="33" s="1"/>
  <c r="CF98" i="33" a="1"/>
  <c r="CF98" i="33" s="1"/>
  <c r="BB16" i="33" a="1"/>
  <c r="BB16" i="33" s="1"/>
  <c r="AC55" i="33" a="1"/>
  <c r="AC55" i="33" s="1"/>
  <c r="X110" i="33" a="1"/>
  <c r="X110" i="33" s="1"/>
  <c r="CT101" i="33" a="1"/>
  <c r="CT101" i="33" s="1"/>
  <c r="AS143" i="33" a="1"/>
  <c r="AS143" i="33" s="1"/>
  <c r="AT88" i="33" a="1"/>
  <c r="AT88" i="33" s="1"/>
  <c r="Y76" i="33" a="1"/>
  <c r="Y76" i="33" s="1"/>
  <c r="BC85" i="33" a="1"/>
  <c r="BC85" i="33" s="1"/>
  <c r="BC66" i="33" a="1"/>
  <c r="BC66" i="33" s="1"/>
  <c r="BX29" i="33" a="1"/>
  <c r="BX29" i="33" s="1"/>
  <c r="AI36" i="33" a="1"/>
  <c r="AI36" i="33" s="1"/>
  <c r="Y160" i="33" a="1"/>
  <c r="Y160" i="33" s="1"/>
  <c r="AI32" i="33" a="1"/>
  <c r="AI32" i="33" s="1"/>
  <c r="AW145" i="33" a="1"/>
  <c r="AW145" i="33" s="1"/>
  <c r="CP51" i="33" a="1"/>
  <c r="CP51" i="33" s="1"/>
  <c r="BL83" i="33" a="1"/>
  <c r="BL83" i="33" s="1"/>
  <c r="BH97" i="33" a="1"/>
  <c r="BH97" i="33" s="1"/>
  <c r="BM139" i="33" a="1"/>
  <c r="BM139" i="33" s="1"/>
  <c r="T64" i="33" a="1"/>
  <c r="T64" i="33" s="1"/>
  <c r="Q83" i="33" a="1"/>
  <c r="Q83" i="33" s="1"/>
  <c r="R123" i="33" a="1"/>
  <c r="R123" i="33" s="1"/>
  <c r="CH39" i="33" a="1"/>
  <c r="CH39" i="33" s="1"/>
  <c r="AM151" i="33" a="1"/>
  <c r="AM151" i="33" s="1"/>
  <c r="AJ24" i="33" a="1"/>
  <c r="AJ24" i="33" s="1"/>
  <c r="CH38" i="33" a="1"/>
  <c r="CH38" i="33" s="1"/>
  <c r="BZ41" i="33" a="1"/>
  <c r="BZ41" i="33" s="1"/>
  <c r="CT50" i="33" a="1"/>
  <c r="CT50" i="33" s="1"/>
  <c r="CP91" i="33" a="1"/>
  <c r="CP91" i="33" s="1"/>
  <c r="AH153" i="33" a="1"/>
  <c r="AH153" i="33" s="1"/>
  <c r="CP114" i="33" a="1"/>
  <c r="CP114" i="33" s="1"/>
  <c r="CA27" i="33" a="1"/>
  <c r="CA27" i="33" s="1"/>
  <c r="AJ67" i="33" a="1"/>
  <c r="AJ67" i="33" s="1"/>
  <c r="CG53" i="33" a="1"/>
  <c r="CG53" i="33" s="1"/>
  <c r="CG71" i="33" a="1"/>
  <c r="CG71" i="33" s="1"/>
  <c r="CP63" i="33" a="1"/>
  <c r="CP63" i="33" s="1"/>
  <c r="AJ32" i="33" a="1"/>
  <c r="AJ32" i="33" s="1"/>
  <c r="F51" i="33" a="1"/>
  <c r="F51" i="33" s="1"/>
  <c r="R87" i="33" a="1"/>
  <c r="R87" i="33" s="1"/>
  <c r="U24" i="33" a="1"/>
  <c r="U24" i="33" s="1"/>
  <c r="BM97" i="33" a="1"/>
  <c r="BM97" i="33" s="1"/>
  <c r="BG120" i="33" a="1"/>
  <c r="BG120" i="33" s="1"/>
  <c r="AI125" i="33" a="1"/>
  <c r="AI125" i="33" s="1"/>
  <c r="AM72" i="33" a="1"/>
  <c r="AM72" i="33" s="1"/>
  <c r="CT80" i="33" a="1"/>
  <c r="CT80" i="33" s="1"/>
  <c r="CT64" i="33" a="1"/>
  <c r="CT64" i="33" s="1"/>
  <c r="AV143" i="33" a="1"/>
  <c r="AV143" i="33" s="1"/>
  <c r="BH151" i="33" a="1"/>
  <c r="BH151" i="33" s="1"/>
  <c r="Y98" i="33" a="1"/>
  <c r="Y98" i="33" s="1"/>
  <c r="BQ14" i="33" a="1"/>
  <c r="BQ14" i="33" s="1"/>
  <c r="CA148" i="33" a="1"/>
  <c r="CA148" i="33" s="1"/>
  <c r="AW80" i="33" a="1"/>
  <c r="AW80" i="33" s="1"/>
  <c r="BW45" i="33" a="1"/>
  <c r="BW45" i="33" s="1"/>
  <c r="AM94" i="33" a="1"/>
  <c r="AM94" i="33" s="1"/>
  <c r="CZ34" i="33" a="1"/>
  <c r="CZ34" i="33" s="1"/>
  <c r="Z141" i="33" a="1"/>
  <c r="Z141" i="33" s="1"/>
  <c r="AI155" i="33" a="1"/>
  <c r="AI155" i="33" s="1"/>
  <c r="AM83" i="33" a="1"/>
  <c r="AM83" i="33" s="1"/>
  <c r="CO108" i="33" a="1"/>
  <c r="CO108" i="33" s="1"/>
  <c r="CQ125" i="33" a="1"/>
  <c r="CQ125" i="33" s="1"/>
  <c r="D92" i="33" a="1"/>
  <c r="D92" i="33" s="1"/>
  <c r="CU153" i="33" a="1"/>
  <c r="CU153" i="33" s="1"/>
  <c r="BU70" i="33" a="1"/>
  <c r="BU70" i="33" s="1"/>
  <c r="AJ83" i="33" a="1"/>
  <c r="AJ83" i="33" s="1"/>
  <c r="BW59" i="33" a="1"/>
  <c r="BW59" i="33" s="1"/>
  <c r="AH24" i="33" a="1"/>
  <c r="AH24" i="33" s="1"/>
  <c r="BH81" i="33" a="1"/>
  <c r="BH81" i="33" s="1"/>
  <c r="CA19" i="33" a="1"/>
  <c r="CA19" i="33" s="1"/>
  <c r="BX142" i="33" a="1"/>
  <c r="BX142" i="33" s="1"/>
  <c r="AW103" i="33" a="1"/>
  <c r="AW103" i="33" s="1"/>
  <c r="CZ32" i="33" a="1"/>
  <c r="CZ32" i="33" s="1"/>
  <c r="AC37" i="33" a="1"/>
  <c r="AC37" i="33" s="1"/>
  <c r="AC35" i="33" a="1"/>
  <c r="AC35" i="33" s="1"/>
  <c r="CU15" i="33" a="1"/>
  <c r="CU15" i="33" s="1"/>
  <c r="AC84" i="33" a="1"/>
  <c r="AC84" i="33" s="1"/>
  <c r="AM152" i="33" a="1"/>
  <c r="AM152" i="33" s="1"/>
  <c r="CQ121" i="33" a="1"/>
  <c r="CQ121" i="33" s="1"/>
  <c r="AC161" i="33" a="1"/>
  <c r="AC161" i="33" s="1"/>
  <c r="BG156" i="33" a="1"/>
  <c r="BG156" i="33" s="1"/>
  <c r="AI18" i="33" a="1"/>
  <c r="AI18" i="33" s="1"/>
  <c r="CY150" i="33" a="1"/>
  <c r="CY150" i="33" s="1"/>
  <c r="G72" i="33" a="1"/>
  <c r="G72" i="33" s="1"/>
  <c r="I119" i="33" a="1"/>
  <c r="I119" i="33" s="1"/>
  <c r="G118" i="33" a="1"/>
  <c r="G118" i="33" s="1"/>
  <c r="AJ48" i="33" a="1"/>
  <c r="AJ48" i="33" s="1"/>
  <c r="AW122" i="33" a="1"/>
  <c r="AW122" i="33" s="1"/>
  <c r="BX15" i="33" a="1"/>
  <c r="BX15" i="33" s="1"/>
  <c r="CU14" i="33" a="1"/>
  <c r="CU14" i="33" s="1"/>
  <c r="Z20" i="33" a="1"/>
  <c r="Z20" i="33" s="1"/>
  <c r="CR145" i="33" a="1"/>
  <c r="CR145" i="33" s="1"/>
  <c r="CU60" i="33" a="1"/>
  <c r="CU60" i="33" s="1"/>
  <c r="CF120" i="33" a="1"/>
  <c r="CF120" i="33" s="1"/>
  <c r="CA70" i="33" a="1"/>
  <c r="CA70" i="33" s="1"/>
  <c r="AI130" i="33" a="1"/>
  <c r="AI130" i="33" s="1"/>
  <c r="BH99" i="33" a="1"/>
  <c r="BH99" i="33" s="1"/>
  <c r="BQ33" i="33" a="1"/>
  <c r="BQ33" i="33" s="1"/>
  <c r="AM74" i="33" a="1"/>
  <c r="AM74" i="33" s="1"/>
  <c r="Y117" i="33" a="1"/>
  <c r="Y117" i="33" s="1"/>
  <c r="F129" i="33" a="1"/>
  <c r="F129" i="33" s="1"/>
  <c r="BN50" i="33" a="1"/>
  <c r="BN50" i="33" s="1"/>
  <c r="CT60" i="33" a="1"/>
  <c r="CT60" i="33" s="1"/>
  <c r="CH105" i="33" a="1"/>
  <c r="CH105" i="33" s="1"/>
  <c r="BN33" i="33" a="1"/>
  <c r="BN33" i="33" s="1"/>
  <c r="AW77" i="33" a="1"/>
  <c r="AW77" i="33" s="1"/>
  <c r="AT160" i="33" a="1"/>
  <c r="AT160" i="33" s="1"/>
  <c r="Y70" i="33" a="1"/>
  <c r="Y70" i="33" s="1"/>
  <c r="CZ86" i="33" a="1"/>
  <c r="CZ86" i="33" s="1"/>
  <c r="CQ111" i="33" a="1"/>
  <c r="CQ111" i="33" s="1"/>
  <c r="AV101" i="33" a="1"/>
  <c r="AV101" i="33" s="1"/>
  <c r="AS82" i="33" a="1"/>
  <c r="AS82" i="33" s="1"/>
  <c r="BM95" i="33" a="1"/>
  <c r="BM95" i="33" s="1"/>
  <c r="CU47" i="33" a="1"/>
  <c r="CU47" i="33" s="1"/>
  <c r="BL127" i="33" a="1"/>
  <c r="BL127" i="33" s="1"/>
  <c r="CA118" i="33" a="1"/>
  <c r="CA118" i="33" s="1"/>
  <c r="CA15" i="33" a="1"/>
  <c r="CA15" i="33" s="1"/>
  <c r="BQ46" i="33" a="1"/>
  <c r="BQ46" i="33" s="1"/>
  <c r="BG45" i="33" a="1"/>
  <c r="BG45" i="33" s="1"/>
  <c r="CG158" i="33" a="1"/>
  <c r="CG158" i="33" s="1"/>
  <c r="CT139" i="33" a="1"/>
  <c r="CT139" i="33" s="1"/>
  <c r="O125" i="33" a="1"/>
  <c r="O125" i="33" s="1"/>
  <c r="O21" i="33" a="1"/>
  <c r="O21" i="33" s="1"/>
  <c r="CA114" i="33" a="1"/>
  <c r="CA114" i="33" s="1"/>
  <c r="AJ81" i="33" a="1"/>
  <c r="AJ81" i="33" s="1"/>
  <c r="AM114" i="33" a="1"/>
  <c r="AM114" i="33" s="1"/>
  <c r="Z39" i="33" a="1"/>
  <c r="Z39" i="33" s="1"/>
  <c r="CG143" i="33" a="1"/>
  <c r="CG143" i="33" s="1"/>
  <c r="CR63" i="33" a="1"/>
  <c r="CR63" i="33" s="1"/>
  <c r="CZ27" i="33" a="1"/>
  <c r="CZ27" i="33" s="1"/>
  <c r="D149" i="33" a="1"/>
  <c r="D149" i="33" s="1"/>
  <c r="BM31" i="33" a="1"/>
  <c r="BM31" i="33" s="1"/>
  <c r="CU99" i="33" a="1"/>
  <c r="CU99" i="33" s="1"/>
  <c r="AC134" i="33" a="1"/>
  <c r="AC134" i="33" s="1"/>
  <c r="CG97" i="33" a="1"/>
  <c r="CG97" i="33" s="1"/>
  <c r="BL136" i="33" a="1"/>
  <c r="BL136" i="33" s="1"/>
  <c r="AH42" i="33" a="1"/>
  <c r="AH42" i="33" s="1"/>
  <c r="BW111" i="33" a="1"/>
  <c r="BW111" i="33" s="1"/>
  <c r="Y112" i="33" a="1"/>
  <c r="Y112" i="33" s="1"/>
  <c r="CA140" i="33" a="1"/>
  <c r="CA140" i="33" s="1"/>
  <c r="CP59" i="33" a="1"/>
  <c r="CP59" i="33" s="1"/>
  <c r="AR50" i="33" a="1"/>
  <c r="AR50" i="33" s="1"/>
  <c r="AS76" i="33" a="1"/>
  <c r="AS76" i="33" s="1"/>
  <c r="X31" i="33" a="1"/>
  <c r="X31" i="33" s="1"/>
  <c r="CU145" i="33" a="1"/>
  <c r="CU145" i="33" s="1"/>
  <c r="AS158" i="33" a="1"/>
  <c r="AS158" i="33" s="1"/>
  <c r="BQ52" i="33" a="1"/>
  <c r="BQ52" i="33" s="1"/>
  <c r="AW101" i="33" a="1"/>
  <c r="AW101" i="33" s="1"/>
  <c r="BC99" i="33" a="1"/>
  <c r="BC99" i="33" s="1"/>
  <c r="Y34" i="33" a="1"/>
  <c r="Y34" i="33" s="1"/>
  <c r="CP37" i="33" a="1"/>
  <c r="CP37" i="33" s="1"/>
  <c r="BG47" i="33" a="1"/>
  <c r="BG47" i="33" s="1"/>
  <c r="CA49" i="33" a="1"/>
  <c r="CA49" i="33" s="1"/>
  <c r="BM66" i="33" a="1"/>
  <c r="BM66" i="33" s="1"/>
  <c r="AW48" i="33" a="1"/>
  <c r="AW48" i="33" s="1"/>
  <c r="CU85" i="33" a="1"/>
  <c r="CU85" i="33" s="1"/>
  <c r="CZ121" i="33" a="1"/>
  <c r="CZ121" i="33" s="1"/>
  <c r="CU78" i="33" a="1"/>
  <c r="CU78" i="33" s="1"/>
  <c r="CP159" i="33" a="1"/>
  <c r="CP159" i="33" s="1"/>
  <c r="D144" i="33" a="1"/>
  <c r="D144" i="33" s="1"/>
  <c r="BL154" i="33" a="1"/>
  <c r="BL154" i="33" s="1"/>
  <c r="CZ94" i="33" a="1"/>
  <c r="CZ94" i="33" s="1"/>
  <c r="BL143" i="33" a="1"/>
  <c r="BL143" i="33" s="1"/>
  <c r="AT14" i="33" a="1"/>
  <c r="AT14" i="33" s="1"/>
  <c r="CZ133" i="33" a="1"/>
  <c r="CZ133" i="33" s="1"/>
  <c r="BB105" i="33" a="1"/>
  <c r="BB105" i="33" s="1"/>
  <c r="AH116" i="33" a="1"/>
  <c r="AH116" i="33" s="1"/>
  <c r="BL159" i="33" a="1"/>
  <c r="BL159" i="33" s="1"/>
  <c r="BA149" i="33" a="1"/>
  <c r="BA149" i="33" s="1"/>
  <c r="AH81" i="33" a="1"/>
  <c r="AH81" i="33" s="1"/>
  <c r="BU161" i="33" a="1"/>
  <c r="BU161" i="33" s="1"/>
  <c r="BV86" i="33" a="1"/>
  <c r="BV86" i="33" s="1"/>
  <c r="BB95" i="33" a="1"/>
  <c r="BB95" i="33" s="1"/>
  <c r="AW55" i="33" a="1"/>
  <c r="AW55" i="33" s="1"/>
  <c r="AS66" i="33" a="1"/>
  <c r="AS66" i="33" s="1"/>
  <c r="CP134" i="33" a="1"/>
  <c r="CP134" i="33" s="1"/>
  <c r="CZ95" i="33" a="1"/>
  <c r="CZ95" i="33" s="1"/>
  <c r="BB106" i="33" a="1"/>
  <c r="BB106" i="33" s="1"/>
  <c r="BD141" i="33" a="1"/>
  <c r="BD141" i="33" s="1"/>
  <c r="AI94" i="33" a="1"/>
  <c r="AI94" i="33" s="1"/>
  <c r="BD121" i="33" a="1"/>
  <c r="BD121" i="33" s="1"/>
  <c r="BU86" i="33" a="1"/>
  <c r="BU86" i="33" s="1"/>
  <c r="AM51" i="33" a="1"/>
  <c r="AM51" i="33" s="1"/>
  <c r="W135" i="33" a="1"/>
  <c r="W135" i="33" s="1"/>
  <c r="CO85" i="33" a="1"/>
  <c r="CO85" i="33" s="1"/>
  <c r="CU57" i="33" a="1"/>
  <c r="CU57" i="33" s="1"/>
  <c r="AI61" i="33" a="1"/>
  <c r="AI61" i="33" s="1"/>
  <c r="CD160" i="33" a="1"/>
  <c r="CD160" i="33" s="1"/>
  <c r="BH119" i="33" a="1"/>
  <c r="BH119" i="33" s="1"/>
  <c r="AM84" i="33" a="1"/>
  <c r="AM84" i="33" s="1"/>
  <c r="AT41" i="33" a="1"/>
  <c r="AT41" i="33" s="1"/>
  <c r="BB59" i="33" a="1"/>
  <c r="BB59" i="33" s="1"/>
  <c r="AR66" i="33" a="1"/>
  <c r="AR66" i="33" s="1"/>
  <c r="CU94" i="33" a="1"/>
  <c r="CU94" i="33" s="1"/>
  <c r="BC150" i="33" a="1"/>
  <c r="BC150" i="33" s="1"/>
  <c r="BG158" i="33" a="1"/>
  <c r="BG158" i="33" s="1"/>
  <c r="BQ36" i="33" a="1"/>
  <c r="BQ36" i="33" s="1"/>
  <c r="BU114" i="33" a="1"/>
  <c r="BU114" i="33" s="1"/>
  <c r="BB153" i="33" a="1"/>
  <c r="BB153" i="33" s="1"/>
  <c r="BG78" i="33" a="1"/>
  <c r="BG78" i="33" s="1"/>
  <c r="BB104" i="33" a="1"/>
  <c r="BB104" i="33" s="1"/>
  <c r="BQ25" i="33" a="1"/>
  <c r="BQ25" i="33" s="1"/>
  <c r="CA80" i="33" a="1"/>
  <c r="CA80" i="33" s="1"/>
  <c r="D43" i="33" a="1"/>
  <c r="D43" i="33" s="1"/>
  <c r="AI123" i="33" a="1"/>
  <c r="AI123" i="33" s="1"/>
  <c r="Y144" i="33" a="1"/>
  <c r="Y144" i="33" s="1"/>
  <c r="AI154" i="33" a="1"/>
  <c r="AI154" i="33" s="1"/>
  <c r="D58" i="33" a="1"/>
  <c r="D58" i="33" s="1"/>
  <c r="D45" i="33" a="1"/>
  <c r="D45" i="33" s="1"/>
  <c r="CU134" i="33" a="1"/>
  <c r="CU134" i="33" s="1"/>
  <c r="CR146" i="33" a="1"/>
  <c r="CR146" i="33" s="1"/>
  <c r="BG148" i="33" a="1"/>
  <c r="BG148" i="33" s="1"/>
  <c r="BM14" i="33" a="1"/>
  <c r="BM14" i="33" s="1"/>
  <c r="BX93" i="33" a="1"/>
  <c r="BX93" i="33" s="1"/>
  <c r="CU118" i="33" a="1"/>
  <c r="CU118" i="33" s="1"/>
  <c r="CA117" i="33" a="1"/>
  <c r="CA117" i="33" s="1"/>
  <c r="CU159" i="33" a="1"/>
  <c r="CU159" i="33" s="1"/>
  <c r="AI120" i="33" a="1"/>
  <c r="AI120" i="33" s="1"/>
  <c r="AM73" i="33" a="1"/>
  <c r="AM73" i="33" s="1"/>
  <c r="AR129" i="33" a="1"/>
  <c r="AR129" i="33" s="1"/>
  <c r="BW130" i="33" a="1"/>
  <c r="BW130" i="33" s="1"/>
  <c r="BV99" i="33" a="1"/>
  <c r="BV99" i="33" s="1"/>
  <c r="CQ63" i="33" a="1"/>
  <c r="CQ63" i="33" s="1"/>
  <c r="BC64" i="33" a="1"/>
  <c r="BC64" i="33" s="1"/>
  <c r="CU70" i="33" a="1"/>
  <c r="CU70" i="33" s="1"/>
  <c r="CU50" i="33" a="1"/>
  <c r="CU50" i="33" s="1"/>
  <c r="BA141" i="33" a="1"/>
  <c r="BA141" i="33" s="1"/>
  <c r="CA131" i="33" a="1"/>
  <c r="CA131" i="33" s="1"/>
  <c r="BU119" i="33" a="1"/>
  <c r="BU119" i="33" s="1"/>
  <c r="CU79" i="33" a="1"/>
  <c r="CU79" i="33" s="1"/>
  <c r="CP36" i="33" a="1"/>
  <c r="CP36" i="33" s="1"/>
  <c r="Y71" i="33" a="1"/>
  <c r="Y71" i="33" s="1"/>
  <c r="BW122" i="33" a="1"/>
  <c r="BW122" i="33" s="1"/>
  <c r="CG103" i="33" a="1"/>
  <c r="CG103" i="33" s="1"/>
  <c r="CU27" i="33" a="1"/>
  <c r="CU27" i="33" s="1"/>
  <c r="BU56" i="33" a="1"/>
  <c r="BU56" i="33" s="1"/>
  <c r="CF155" i="33" a="1"/>
  <c r="CF155" i="33" s="1"/>
  <c r="BV119" i="33" a="1"/>
  <c r="BV119" i="33" s="1"/>
  <c r="BQ68" i="33" a="1"/>
  <c r="BQ68" i="33" s="1"/>
  <c r="CZ105" i="33" a="1"/>
  <c r="CZ105" i="33" s="1"/>
  <c r="CF37" i="33" a="1"/>
  <c r="CF37" i="33" s="1"/>
  <c r="BU90" i="33" a="1"/>
  <c r="BU90" i="33" s="1"/>
  <c r="BV37" i="33" a="1"/>
  <c r="BV37" i="33" s="1"/>
  <c r="BL147" i="33" a="1"/>
  <c r="BL147" i="33" s="1"/>
  <c r="X66" i="33" a="1"/>
  <c r="X66" i="33" s="1"/>
  <c r="CF160" i="33" a="1"/>
  <c r="CF160" i="33" s="1"/>
  <c r="BK110" i="33" a="1"/>
  <c r="BK110" i="33" s="1"/>
  <c r="BL59" i="33" a="1"/>
  <c r="BL59" i="33" s="1"/>
  <c r="BG76" i="33" a="1"/>
  <c r="BG76" i="33" s="1"/>
  <c r="CA100" i="33" a="1"/>
  <c r="CA100" i="33" s="1"/>
  <c r="BD55" i="33" a="1"/>
  <c r="BD55" i="33" s="1"/>
  <c r="BD26" i="33" a="1"/>
  <c r="BD26" i="33" s="1"/>
  <c r="BL49" i="33" a="1"/>
  <c r="BL49" i="33" s="1"/>
  <c r="CO27" i="33" a="1"/>
  <c r="CO27" i="33" s="1"/>
  <c r="W78" i="33" a="1"/>
  <c r="W78" i="33" s="1"/>
  <c r="BL104" i="33" a="1"/>
  <c r="BL104" i="33" s="1"/>
  <c r="AC142" i="33" a="1"/>
  <c r="AC142" i="33" s="1"/>
  <c r="BG17" i="33" a="1"/>
  <c r="BG17" i="33" s="1"/>
  <c r="AG159" i="33" a="1"/>
  <c r="AG159" i="33" s="1"/>
  <c r="BC131" i="33" a="1"/>
  <c r="BC131" i="33" s="1"/>
  <c r="AH69" i="33" a="1"/>
  <c r="AH69" i="33" s="1"/>
  <c r="BG57" i="33" a="1"/>
  <c r="BG57" i="33" s="1"/>
  <c r="Y111" i="33" a="1"/>
  <c r="Y111" i="33" s="1"/>
  <c r="BQ58" i="33" a="1"/>
  <c r="BQ58" i="33" s="1"/>
  <c r="BU103" i="33" a="1"/>
  <c r="BU103" i="33" s="1"/>
  <c r="BG134" i="33" a="1"/>
  <c r="BG134" i="33" s="1"/>
  <c r="CZ84" i="33" a="1"/>
  <c r="CZ84" i="33" s="1"/>
  <c r="BV122" i="33" a="1"/>
  <c r="BV122" i="33" s="1"/>
  <c r="Z154" i="33" a="1"/>
  <c r="Z154" i="33" s="1"/>
  <c r="AQ143" i="33" a="1"/>
  <c r="AQ143" i="33" s="1"/>
  <c r="BC36" i="33" a="1"/>
  <c r="BC36" i="33" s="1"/>
  <c r="AW63" i="33" a="1"/>
  <c r="AW63" i="33" s="1"/>
  <c r="BM111" i="33" a="1"/>
  <c r="BM111" i="33" s="1"/>
  <c r="BC86" i="33" a="1"/>
  <c r="BC86" i="33" s="1"/>
  <c r="CY24" i="33" a="1"/>
  <c r="CY24" i="33" s="1"/>
  <c r="CY84" i="33" a="1"/>
  <c r="CY84" i="33" s="1"/>
  <c r="CZ85" i="33" a="1"/>
  <c r="CZ85" i="33" s="1"/>
  <c r="AT144" i="33" a="1"/>
  <c r="AT144" i="33" s="1"/>
  <c r="AI132" i="33" a="1"/>
  <c r="AI132" i="33" s="1"/>
  <c r="BH24" i="33" a="1"/>
  <c r="BH24" i="33" s="1"/>
  <c r="CZ15" i="33" a="1"/>
  <c r="CZ15" i="33" s="1"/>
  <c r="AM35" i="33" a="1"/>
  <c r="AM35" i="33" s="1"/>
  <c r="BM69" i="33" a="1"/>
  <c r="BM69" i="33" s="1"/>
  <c r="D110" i="33" a="1"/>
  <c r="D110" i="33" s="1"/>
  <c r="AG133" i="33" a="1"/>
  <c r="AG133" i="33" s="1"/>
  <c r="AJ96" i="33" a="1"/>
  <c r="AJ96" i="33" s="1"/>
  <c r="AI146" i="33" a="1"/>
  <c r="AI146" i="33" s="1"/>
  <c r="D151" i="33" a="1"/>
  <c r="D151" i="33" s="1"/>
  <c r="AJ116" i="33" a="1"/>
  <c r="AJ116" i="33" s="1"/>
  <c r="CH65" i="33" a="1"/>
  <c r="CH65" i="33" s="1"/>
  <c r="BZ31" i="33" a="1"/>
  <c r="BZ31" i="33" s="1"/>
  <c r="BZ130" i="33" a="1"/>
  <c r="BZ130" i="33" s="1"/>
  <c r="BX136" i="33" a="1"/>
  <c r="BX136" i="33" s="1"/>
  <c r="BH60" i="33" a="1"/>
  <c r="BH60" i="33" s="1"/>
  <c r="CQ76" i="33" a="1"/>
  <c r="CQ76" i="33" s="1"/>
  <c r="CU128" i="33" a="1"/>
  <c r="CU128" i="33" s="1"/>
  <c r="BQ40" i="33" a="1"/>
  <c r="BQ40" i="33" s="1"/>
  <c r="AT109" i="33" a="1"/>
  <c r="AT109" i="33" s="1"/>
  <c r="D161" i="33" a="1"/>
  <c r="D161" i="33" s="1"/>
  <c r="BM131" i="33" a="1"/>
  <c r="BM131" i="33" s="1"/>
  <c r="Y96" i="33" a="1"/>
  <c r="Y96" i="33" s="1"/>
  <c r="CO67" i="33" a="1"/>
  <c r="CO67" i="33" s="1"/>
  <c r="BQ134" i="33" a="1"/>
  <c r="BQ134" i="33" s="1"/>
  <c r="D59" i="33" a="1"/>
  <c r="D59" i="33" s="1"/>
  <c r="X22" i="33" a="1"/>
  <c r="X22" i="33" s="1"/>
  <c r="X46" i="33" a="1"/>
  <c r="X46" i="33" s="1"/>
  <c r="BM155" i="33" a="1"/>
  <c r="BM155" i="33" s="1"/>
  <c r="BL126" i="33" a="1"/>
  <c r="BL126" i="33" s="1"/>
  <c r="BA124" i="33" a="1"/>
  <c r="BA124" i="33" s="1"/>
  <c r="CF70" i="33" a="1"/>
  <c r="CF70" i="33" s="1"/>
  <c r="CU137" i="33" a="1"/>
  <c r="CU137" i="33" s="1"/>
  <c r="AV132" i="33" a="1"/>
  <c r="AV132" i="33" s="1"/>
  <c r="AC113" i="33" a="1"/>
  <c r="AC113" i="33" s="1"/>
  <c r="BH63" i="33" a="1"/>
  <c r="BH63" i="33" s="1"/>
  <c r="BH70" i="33" a="1"/>
  <c r="BH70" i="33" s="1"/>
  <c r="CN117" i="33" a="1"/>
  <c r="CN117" i="33" s="1"/>
  <c r="CQ89" i="33" a="1"/>
  <c r="CQ89" i="33" s="1"/>
  <c r="AH57" i="33" a="1"/>
  <c r="AH57" i="33" s="1"/>
  <c r="Y133" i="33" a="1"/>
  <c r="Y133" i="33" s="1"/>
  <c r="CA128" i="33" a="1"/>
  <c r="CA128" i="33" s="1"/>
  <c r="AS34" i="33" a="1"/>
  <c r="AS34" i="33" s="1"/>
  <c r="AG59" i="33" a="1"/>
  <c r="AG59" i="33" s="1"/>
  <c r="CO61" i="33" a="1"/>
  <c r="CO61" i="33" s="1"/>
  <c r="CU140" i="33" a="1"/>
  <c r="CU140" i="33" s="1"/>
  <c r="AG160" i="33" a="1"/>
  <c r="AG160" i="33" s="1"/>
  <c r="AR156" i="33" a="1"/>
  <c r="AR156" i="33" s="1"/>
  <c r="BU128" i="33" a="1"/>
  <c r="BU128" i="33" s="1"/>
  <c r="AW45" i="33" a="1"/>
  <c r="AW45" i="33" s="1"/>
  <c r="CF146" i="33" a="1"/>
  <c r="CF146" i="33" s="1"/>
  <c r="Y48" i="33" a="1"/>
  <c r="Y48" i="33" s="1"/>
  <c r="AR61" i="33" a="1"/>
  <c r="AR61" i="33" s="1"/>
  <c r="CU32" i="33" a="1"/>
  <c r="CU32" i="33" s="1"/>
  <c r="CZ136" i="33" a="1"/>
  <c r="CZ136" i="33" s="1"/>
  <c r="Y42" i="33" a="1"/>
  <c r="Y42" i="33" s="1"/>
  <c r="CQ54" i="33" a="1"/>
  <c r="CQ54" i="33" s="1"/>
  <c r="AR110" i="33" a="1"/>
  <c r="AR110" i="33" s="1"/>
  <c r="AS74" i="33" a="1"/>
  <c r="AS74" i="33" s="1"/>
  <c r="AC130" i="33" a="1"/>
  <c r="AC130" i="33" s="1"/>
  <c r="AW65" i="33" a="1"/>
  <c r="AW65" i="33" s="1"/>
  <c r="BW136" i="33" a="1"/>
  <c r="BW136" i="33" s="1"/>
  <c r="BB43" i="33" a="1"/>
  <c r="BB43" i="33" s="1"/>
  <c r="AI45" i="33" a="1"/>
  <c r="AI45" i="33" s="1"/>
  <c r="CU120" i="33" a="1"/>
  <c r="CU120" i="33" s="1"/>
  <c r="AJ151" i="33" a="1"/>
  <c r="AJ151" i="33" s="1"/>
  <c r="Y41" i="33" a="1"/>
  <c r="Y41" i="33" s="1"/>
  <c r="CQ135" i="33" a="1"/>
  <c r="CQ135" i="33" s="1"/>
  <c r="X118" i="33" a="1"/>
  <c r="X118" i="33" s="1"/>
  <c r="CZ138" i="33" a="1"/>
  <c r="CZ138" i="33" s="1"/>
  <c r="CU90" i="33" a="1"/>
  <c r="CU90" i="33" s="1"/>
  <c r="AI58" i="33" a="1"/>
  <c r="AI58" i="33" s="1"/>
  <c r="BQ147" i="33" a="1"/>
  <c r="BQ147" i="33" s="1"/>
  <c r="CF14" i="33" a="1"/>
  <c r="CF14" i="33" s="1"/>
  <c r="BM120" i="33" a="1"/>
  <c r="BM120" i="33" s="1"/>
  <c r="BV157" i="33" a="1"/>
  <c r="BV157" i="33" s="1"/>
  <c r="AQ115" i="33" a="1"/>
  <c r="AQ115" i="33" s="1"/>
  <c r="AT111" i="33" a="1"/>
  <c r="AT111" i="33" s="1"/>
  <c r="BG80" i="33" a="1"/>
  <c r="BG80" i="33" s="1"/>
  <c r="BV153" i="33" a="1"/>
  <c r="BV153" i="33" s="1"/>
  <c r="CA156" i="33" a="1"/>
  <c r="CA156" i="33" s="1"/>
  <c r="BW23" i="33" a="1"/>
  <c r="BW23" i="33" s="1"/>
  <c r="BH122" i="33" a="1"/>
  <c r="BH122" i="33" s="1"/>
  <c r="BA135" i="33" a="1"/>
  <c r="BA135" i="33" s="1"/>
  <c r="CA31" i="33" a="1"/>
  <c r="CA31" i="33" s="1"/>
  <c r="AI26" i="33" a="1"/>
  <c r="AI26" i="33" s="1"/>
  <c r="BB69" i="33" a="1"/>
  <c r="BB69" i="33" s="1"/>
  <c r="AG17" i="33" a="1"/>
  <c r="AG17" i="33" s="1"/>
  <c r="BV43" i="33" a="1"/>
  <c r="BV43" i="33" s="1"/>
  <c r="CZ18" i="33" a="1"/>
  <c r="CZ18" i="33" s="1"/>
  <c r="CU119" i="33" a="1"/>
  <c r="CU119" i="33" s="1"/>
  <c r="CA69" i="33" a="1"/>
  <c r="CA69" i="33" s="1"/>
  <c r="CA81" i="33" a="1"/>
  <c r="CA81" i="33" s="1"/>
  <c r="BH75" i="33" a="1"/>
  <c r="BH75" i="33" s="1"/>
  <c r="AI73" i="33" a="1"/>
  <c r="AI73" i="33" s="1"/>
  <c r="AM28" i="33" a="1"/>
  <c r="AM28" i="33" s="1"/>
  <c r="BN151" i="33" a="1"/>
  <c r="BN151" i="33" s="1"/>
  <c r="BH25" i="33" a="1"/>
  <c r="BH25" i="33" s="1"/>
  <c r="CA158" i="33" a="1"/>
  <c r="CA158" i="33" s="1"/>
  <c r="CA150" i="33" a="1"/>
  <c r="CA150" i="33" s="1"/>
  <c r="BH19" i="33" a="1"/>
  <c r="BH19" i="33" s="1"/>
  <c r="CA29" i="33" a="1"/>
  <c r="CA29" i="33" s="1"/>
  <c r="Y85" i="33" a="1"/>
  <c r="Y85" i="33" s="1"/>
  <c r="CF103" i="33" a="1"/>
  <c r="CF103" i="33" s="1"/>
  <c r="BD51" i="33" a="1"/>
  <c r="BD51" i="33" s="1"/>
  <c r="AR86" i="33" a="1"/>
  <c r="AR86" i="33" s="1"/>
  <c r="CP14" i="33" a="1"/>
  <c r="CP14" i="33" s="1"/>
  <c r="Z120" i="33" a="1"/>
  <c r="Z120" i="33" s="1"/>
  <c r="AW143" i="33" a="1"/>
  <c r="AW143" i="33" s="1"/>
  <c r="CF75" i="33" a="1"/>
  <c r="CF75" i="33" s="1"/>
  <c r="AS37" i="33" a="1"/>
  <c r="AS37" i="33" s="1"/>
  <c r="AG56" i="33" a="1"/>
  <c r="AG56" i="33" s="1"/>
  <c r="CF92" i="33" a="1"/>
  <c r="CF92" i="33" s="1"/>
  <c r="CA62" i="33" a="1"/>
  <c r="CA62" i="33" s="1"/>
  <c r="BV143" i="33" a="1"/>
  <c r="BV143" i="33" s="1"/>
  <c r="CA105" i="33" a="1"/>
  <c r="CA105" i="33" s="1"/>
  <c r="CU52" i="33" a="1"/>
  <c r="CU52" i="33" s="1"/>
  <c r="BG121" i="33" a="1"/>
  <c r="BG121" i="33" s="1"/>
  <c r="CA22" i="33" a="1"/>
  <c r="CA22" i="33" s="1"/>
  <c r="AW68" i="33" a="1"/>
  <c r="AW68" i="33" s="1"/>
  <c r="D55" i="33" a="1"/>
  <c r="D55" i="33" s="1"/>
  <c r="CA24" i="33" a="1"/>
  <c r="CA24" i="33" s="1"/>
  <c r="CO91" i="33" a="1"/>
  <c r="CO91" i="33" s="1"/>
  <c r="CP60" i="33" a="1"/>
  <c r="CP60" i="33" s="1"/>
  <c r="Y14" i="33" a="1"/>
  <c r="Y14" i="33" s="1"/>
  <c r="AW136" i="33" a="1"/>
  <c r="AW136" i="33" s="1"/>
  <c r="Y65" i="33" a="1"/>
  <c r="Y65" i="33" s="1"/>
  <c r="Z124" i="33" a="1"/>
  <c r="Z124" i="33" s="1"/>
  <c r="BV79" i="33" a="1"/>
  <c r="BV79" i="33" s="1"/>
  <c r="BK141" i="33" a="1"/>
  <c r="BK141" i="33" s="1"/>
  <c r="BV126" i="33" a="1"/>
  <c r="BV126" i="33" s="1"/>
  <c r="AW39" i="33" a="1"/>
  <c r="AW39" i="33" s="1"/>
  <c r="AW35" i="33" a="1"/>
  <c r="AW35" i="33" s="1"/>
  <c r="AH124" i="33" a="1"/>
  <c r="AH124" i="33" s="1"/>
  <c r="Z146" i="33" a="1"/>
  <c r="Z146" i="33" s="1"/>
  <c r="CA133" i="33" a="1"/>
  <c r="CA133" i="33" s="1"/>
  <c r="BG105" i="33" a="1"/>
  <c r="BG105" i="33" s="1"/>
  <c r="BK101" i="33" a="1"/>
  <c r="BK101" i="33" s="1"/>
  <c r="AH145" i="33" a="1"/>
  <c r="AH145" i="33" s="1"/>
  <c r="BV115" i="33" a="1"/>
  <c r="BV115" i="33" s="1"/>
  <c r="CO26" i="33" a="1"/>
  <c r="CO26" i="33" s="1"/>
  <c r="AH77" i="33" a="1"/>
  <c r="AH77" i="33" s="1"/>
  <c r="W68" i="33" a="1"/>
  <c r="W68" i="33" s="1"/>
  <c r="CF154" i="33" a="1"/>
  <c r="CF154" i="33" s="1"/>
  <c r="CZ146" i="33" a="1"/>
  <c r="CZ146" i="33" s="1"/>
  <c r="X147" i="33" a="1"/>
  <c r="X147" i="33" s="1"/>
  <c r="X137" i="33" a="1"/>
  <c r="X137" i="33" s="1"/>
  <c r="BM74" i="33" a="1"/>
  <c r="BM74" i="33" s="1"/>
  <c r="CU41" i="33" a="1"/>
  <c r="CU41" i="33" s="1"/>
  <c r="Y131" i="33" a="1"/>
  <c r="Y131" i="33" s="1"/>
  <c r="BB92" i="33" a="1"/>
  <c r="BB92" i="33" s="1"/>
  <c r="BV109" i="33" a="1"/>
  <c r="BV109" i="33" s="1"/>
  <c r="Z105" i="33" a="1"/>
  <c r="Z105" i="33" s="1"/>
  <c r="AC17" i="33" a="1"/>
  <c r="AC17" i="33" s="1"/>
  <c r="BL135" i="33" a="1"/>
  <c r="BL135" i="33" s="1"/>
  <c r="CF68" i="33" a="1"/>
  <c r="CF68" i="33" s="1"/>
  <c r="AJ144" i="33" a="1"/>
  <c r="AJ144" i="33" s="1"/>
  <c r="BG42" i="33" a="1"/>
  <c r="BG42" i="33" s="1"/>
  <c r="BB83" i="33" a="1"/>
  <c r="BB83" i="33" s="1"/>
  <c r="AG120" i="33" a="1"/>
  <c r="AG120" i="33" s="1"/>
  <c r="AQ127" i="33" a="1"/>
  <c r="AQ127" i="33" s="1"/>
  <c r="BV15" i="33" a="1"/>
  <c r="BV15" i="33" s="1"/>
  <c r="CA43" i="33" a="1"/>
  <c r="CA43" i="33" s="1"/>
  <c r="AW23" i="33" a="1"/>
  <c r="AW23" i="33" s="1"/>
  <c r="BQ65" i="33" a="1"/>
  <c r="BQ65" i="33" s="1"/>
  <c r="BM158" i="33" a="1"/>
  <c r="BM158" i="33" s="1"/>
  <c r="BQ82" i="33" a="1"/>
  <c r="BQ82" i="33" s="1"/>
  <c r="CF44" i="33" a="1"/>
  <c r="CF44" i="33" s="1"/>
  <c r="BB156" i="33" a="1"/>
  <c r="BB156" i="33" s="1"/>
  <c r="AH54" i="33" a="1"/>
  <c r="AH54" i="33" s="1"/>
  <c r="Z135" i="33" a="1"/>
  <c r="Z135" i="33" s="1"/>
  <c r="AS87" i="33" a="1"/>
  <c r="AS87" i="33" s="1"/>
  <c r="AJ125" i="33" a="1"/>
  <c r="AJ125" i="33" s="1"/>
  <c r="CU55" i="33" a="1"/>
  <c r="CU55" i="33" s="1"/>
  <c r="CZ111" i="33" a="1"/>
  <c r="CZ111" i="33" s="1"/>
  <c r="AC132" i="33" a="1"/>
  <c r="AC132" i="33" s="1"/>
  <c r="BM145" i="33" a="1"/>
  <c r="BM145" i="33" s="1"/>
  <c r="AT17" i="33" a="1"/>
  <c r="AT17" i="33" s="1"/>
  <c r="AS36" i="33" a="1"/>
  <c r="AS36" i="33" s="1"/>
  <c r="CP39" i="33" a="1"/>
  <c r="CP39" i="33" s="1"/>
  <c r="BC119" i="33" a="1"/>
  <c r="BC119" i="33" s="1"/>
  <c r="BG119" i="33" a="1"/>
  <c r="BG119" i="33" s="1"/>
  <c r="CF82" i="33" a="1"/>
  <c r="CF82" i="33" s="1"/>
  <c r="BN110" i="33" a="1"/>
  <c r="BN110" i="33" s="1"/>
  <c r="CU110" i="33" a="1"/>
  <c r="CU110" i="33" s="1"/>
  <c r="CT46" i="33" a="1"/>
  <c r="CT46" i="33" s="1"/>
  <c r="Y91" i="33" a="1"/>
  <c r="Y91" i="33" s="1"/>
  <c r="AS149" i="33" a="1"/>
  <c r="AS149" i="33" s="1"/>
  <c r="CP160" i="33" a="1"/>
  <c r="CP160" i="33" s="1"/>
  <c r="CP133" i="33" a="1"/>
  <c r="CP133" i="33" s="1"/>
  <c r="BC84" i="33" a="1"/>
  <c r="BC84" i="33" s="1"/>
  <c r="CU35" i="33" a="1"/>
  <c r="CU35" i="33" s="1"/>
  <c r="BK113" i="33" a="1"/>
  <c r="BK113" i="33" s="1"/>
  <c r="AI104" i="33" a="1"/>
  <c r="AI104" i="33" s="1"/>
  <c r="CZ142" i="33" a="1"/>
  <c r="CZ142" i="33" s="1"/>
  <c r="AT21" i="33" a="1"/>
  <c r="AT21" i="33" s="1"/>
  <c r="AI118" i="33" a="1"/>
  <c r="AI118" i="33" s="1"/>
  <c r="CZ49" i="33" a="1"/>
  <c r="CZ49" i="33" s="1"/>
  <c r="BL121" i="33" a="1"/>
  <c r="BL121" i="33" s="1"/>
  <c r="BU139" i="33" a="1"/>
  <c r="BU139" i="33" s="1"/>
  <c r="AH72" i="33" a="1"/>
  <c r="AH72" i="33" s="1"/>
  <c r="AH96" i="33" a="1"/>
  <c r="AH96" i="33" s="1"/>
  <c r="BH80" i="33" a="1"/>
  <c r="BH80" i="33" s="1"/>
  <c r="CA66" i="33" a="1"/>
  <c r="CA66" i="33" s="1"/>
  <c r="AW60" i="33" a="1"/>
  <c r="AW60" i="33" s="1"/>
  <c r="BG16" i="33" a="1"/>
  <c r="BG16" i="33" s="1"/>
  <c r="BM60" i="33" a="1"/>
  <c r="BM60" i="33" s="1"/>
  <c r="AW58" i="33" a="1"/>
  <c r="AW58" i="33" s="1"/>
  <c r="Y49" i="33" a="1"/>
  <c r="Y49" i="33" s="1"/>
  <c r="Z133" i="33" a="1"/>
  <c r="Z133" i="33" s="1"/>
  <c r="AJ34" i="33" a="1"/>
  <c r="AJ34" i="33" s="1"/>
  <c r="D148" i="33" a="1"/>
  <c r="D148" i="33" s="1"/>
  <c r="AM71" i="33" a="1"/>
  <c r="AM71" i="33" s="1"/>
  <c r="CZ99" i="33" a="1"/>
  <c r="CZ99" i="33" s="1"/>
  <c r="CF139" i="33" a="1"/>
  <c r="CF139" i="33" s="1"/>
  <c r="AR104" i="33" a="1"/>
  <c r="AR104" i="33" s="1"/>
  <c r="D80" i="33" a="1"/>
  <c r="D80" i="33" s="1"/>
  <c r="X70" i="33" a="1"/>
  <c r="X70" i="33" s="1"/>
  <c r="X146" i="33" a="1"/>
  <c r="X146" i="33" s="1"/>
  <c r="BB32" i="33" a="1"/>
  <c r="BB32" i="33" s="1"/>
  <c r="AQ64" i="33" a="1"/>
  <c r="AQ64" i="33" s="1"/>
  <c r="BH94" i="33" a="1"/>
  <c r="BH94" i="33" s="1"/>
  <c r="CP22" i="33" a="1"/>
  <c r="CP22" i="33" s="1"/>
  <c r="AR113" i="33" a="1"/>
  <c r="AR113" i="33" s="1"/>
  <c r="BA94" i="33" a="1"/>
  <c r="BA94" i="33" s="1"/>
  <c r="CF99" i="33" a="1"/>
  <c r="CF99" i="33" s="1"/>
  <c r="CA55" i="33" a="1"/>
  <c r="CA55" i="33" s="1"/>
  <c r="AC18" i="33" a="1"/>
  <c r="AC18" i="33" s="1"/>
  <c r="CF144" i="33" a="1"/>
  <c r="CF144" i="33" s="1"/>
  <c r="AG35" i="33" a="1"/>
  <c r="AG35" i="33" s="1"/>
  <c r="X106" i="33" a="1"/>
  <c r="X106" i="33" s="1"/>
  <c r="X23" i="33" a="1"/>
  <c r="X23" i="33" s="1"/>
  <c r="BA152" i="33" a="1"/>
  <c r="BA152" i="33" s="1"/>
  <c r="AR106" i="33" a="1"/>
  <c r="AR106" i="33" s="1"/>
  <c r="CA125" i="33" a="1"/>
  <c r="CA125" i="33" s="1"/>
  <c r="CZ57" i="33" a="1"/>
  <c r="CZ57" i="33" s="1"/>
  <c r="AI137" i="33" a="1"/>
  <c r="AI137" i="33" s="1"/>
  <c r="CP24" i="33" a="1"/>
  <c r="CP24" i="33" s="1"/>
  <c r="AH114" i="33" a="1"/>
  <c r="AH114" i="33" s="1"/>
  <c r="BG60" i="33" a="1"/>
  <c r="BG60" i="33" s="1"/>
  <c r="BB98" i="33" a="1"/>
  <c r="BB98" i="33" s="1"/>
  <c r="BG73" i="33" a="1"/>
  <c r="BG73" i="33" s="1"/>
  <c r="BU92" i="33" a="1"/>
  <c r="BU92" i="33" s="1"/>
  <c r="AI76" i="33" a="1"/>
  <c r="AI76" i="33" s="1"/>
  <c r="CU121" i="33" a="1"/>
  <c r="CU121" i="33" s="1"/>
  <c r="CP86" i="33" a="1"/>
  <c r="CP86" i="33" s="1"/>
  <c r="BC65" i="33" a="1"/>
  <c r="BC65" i="33" s="1"/>
  <c r="BM41" i="33" a="1"/>
  <c r="BM41" i="33" s="1"/>
  <c r="CY83" i="33" a="1"/>
  <c r="CY83" i="33" s="1"/>
  <c r="X33" i="33" a="1"/>
  <c r="X33" i="33" s="1"/>
  <c r="BG90" i="33" a="1"/>
  <c r="BG90" i="33" s="1"/>
  <c r="CG48" i="33" a="1"/>
  <c r="CG48" i="33" s="1"/>
  <c r="BG135" i="33" a="1"/>
  <c r="BG135" i="33" s="1"/>
  <c r="BH144" i="33" a="1"/>
  <c r="BH144" i="33" s="1"/>
  <c r="AH93" i="33" a="1"/>
  <c r="AH93" i="33" s="1"/>
  <c r="AJ115" i="33" a="1"/>
  <c r="AJ115" i="33" s="1"/>
  <c r="AJ154" i="33" a="1"/>
  <c r="AJ154" i="33" s="1"/>
  <c r="AH48" i="33" a="1"/>
  <c r="AH48" i="33" s="1"/>
  <c r="BB116" i="33" a="1"/>
  <c r="BB116" i="33" s="1"/>
  <c r="AI141" i="33" a="1"/>
  <c r="AI141" i="33" s="1"/>
  <c r="AC144" i="33" a="1"/>
  <c r="AC144" i="33" s="1"/>
  <c r="CA51" i="33" a="1"/>
  <c r="CA51" i="33" s="1"/>
  <c r="X59" i="33" a="1"/>
  <c r="X59" i="33" s="1"/>
  <c r="AC96" i="33" a="1"/>
  <c r="AC96" i="33" s="1"/>
  <c r="CA58" i="33" a="1"/>
  <c r="CA58" i="33" s="1"/>
  <c r="CU23" i="33" a="1"/>
  <c r="CU23" i="33" s="1"/>
  <c r="CA109" i="33" a="1"/>
  <c r="CA109" i="33" s="1"/>
  <c r="AS118" i="33" a="1"/>
  <c r="AS118" i="33" s="1"/>
  <c r="Z108" i="33" a="1"/>
  <c r="Z108" i="33" s="1"/>
  <c r="BW124" i="33" a="1"/>
  <c r="BW124" i="33" s="1"/>
  <c r="CZ127" i="33" a="1"/>
  <c r="CZ127" i="33" s="1"/>
  <c r="BG36" i="33" a="1"/>
  <c r="BG36" i="33" s="1"/>
  <c r="CR98" i="33" a="1"/>
  <c r="CR98" i="33" s="1"/>
  <c r="BG95" i="33" a="1"/>
  <c r="BG95" i="33" s="1"/>
  <c r="Y79" i="33" a="1"/>
  <c r="Y79" i="33" s="1"/>
  <c r="BD94" i="33" a="1"/>
  <c r="BD94" i="33" s="1"/>
  <c r="CA160" i="33" a="1"/>
  <c r="CA160" i="33" s="1"/>
  <c r="AS127" i="33" a="1"/>
  <c r="AS127" i="33" s="1"/>
  <c r="BD98" i="33" a="1"/>
  <c r="BD98" i="33" s="1"/>
  <c r="CF116" i="33" a="1"/>
  <c r="CF116" i="33" s="1"/>
  <c r="AC42" i="33" a="1"/>
  <c r="AC42" i="33" s="1"/>
  <c r="AJ30" i="33" a="1"/>
  <c r="AJ30" i="33" s="1"/>
  <c r="AM126" i="33" a="1"/>
  <c r="AM126" i="33" s="1"/>
  <c r="BB31" i="33" a="1"/>
  <c r="BB31" i="33" s="1"/>
  <c r="Y57" i="33" a="1"/>
  <c r="Y57" i="33" s="1"/>
  <c r="CY54" i="33" a="1"/>
  <c r="CY54" i="33" s="1"/>
  <c r="BH88" i="33" a="1"/>
  <c r="BH88" i="33" s="1"/>
  <c r="BK18" i="33" a="1"/>
  <c r="BK18" i="33" s="1"/>
  <c r="BQ135" i="33" a="1"/>
  <c r="BQ135" i="33" s="1"/>
  <c r="BD156" i="33" a="1"/>
  <c r="BD156" i="33" s="1"/>
  <c r="BW32" i="33" a="1"/>
  <c r="BW32" i="33" s="1"/>
  <c r="CA126" i="33" a="1"/>
  <c r="CA126" i="33" s="1"/>
  <c r="Y38" i="33" a="1"/>
  <c r="Y38" i="33" s="1"/>
  <c r="BQ152" i="33" a="1"/>
  <c r="BQ152" i="33" s="1"/>
  <c r="AM138" i="33" a="1"/>
  <c r="AM138" i="33" s="1"/>
  <c r="Y78" i="33" a="1"/>
  <c r="Y78" i="33" s="1"/>
  <c r="AM91" i="33" a="1"/>
  <c r="AM91" i="33" s="1"/>
  <c r="AW118" i="33" a="1"/>
  <c r="AW118" i="33" s="1"/>
  <c r="AC78" i="33" a="1"/>
  <c r="AC78" i="33" s="1"/>
  <c r="BG127" i="33" a="1"/>
  <c r="BG127" i="33" s="1"/>
  <c r="AS133" i="33" a="1"/>
  <c r="AS133" i="33" s="1"/>
  <c r="CN25" i="33" a="1"/>
  <c r="CN25" i="33" s="1"/>
  <c r="X90" i="33" a="1"/>
  <c r="X90" i="33" s="1"/>
  <c r="CY22" i="33" a="1"/>
  <c r="CY22" i="33" s="1"/>
  <c r="AT33" i="33" a="1"/>
  <c r="AT33" i="33" s="1"/>
  <c r="BB139" i="33" a="1"/>
  <c r="BB139" i="33" s="1"/>
  <c r="AC123" i="33" a="1"/>
  <c r="AC123" i="33" s="1"/>
  <c r="BA123" i="33" a="1"/>
  <c r="BA123" i="33" s="1"/>
  <c r="CZ33" i="33" a="1"/>
  <c r="CZ33" i="33" s="1"/>
  <c r="BG62" i="33" a="1"/>
  <c r="BG62" i="33" s="1"/>
  <c r="X80" i="33" a="1"/>
  <c r="X80" i="33" s="1"/>
  <c r="AC128" i="33" a="1"/>
  <c r="AC128" i="33" s="1"/>
  <c r="CF27" i="33" a="1"/>
  <c r="CF27" i="33" s="1"/>
  <c r="CO77" i="33" a="1"/>
  <c r="CO77" i="33" s="1"/>
  <c r="X48" i="33" a="1"/>
  <c r="X48" i="33" s="1"/>
  <c r="BV98" i="33" a="1"/>
  <c r="BV98" i="33" s="1"/>
  <c r="X73" i="33" a="1"/>
  <c r="X73" i="33" s="1"/>
  <c r="BV103" i="33" a="1"/>
  <c r="BV103" i="33" s="1"/>
  <c r="CY109" i="33" a="1"/>
  <c r="CY109" i="33" s="1"/>
  <c r="BV142" i="33" a="1"/>
  <c r="BV142" i="33" s="1"/>
  <c r="AI51" i="33" a="1"/>
  <c r="AI51" i="33" s="1"/>
  <c r="AM131" i="33" a="1"/>
  <c r="AM131" i="33" s="1"/>
  <c r="BG110" i="33" a="1"/>
  <c r="BG110" i="33" s="1"/>
  <c r="CP139" i="33" a="1"/>
  <c r="CP139" i="33" s="1"/>
  <c r="BA142" i="33" a="1"/>
  <c r="BA142" i="33" s="1"/>
  <c r="BM73" i="33" a="1"/>
  <c r="BM73" i="33" s="1"/>
  <c r="CO159" i="33" a="1"/>
  <c r="CO159" i="33" s="1"/>
  <c r="AH33" i="33" a="1"/>
  <c r="AH33" i="33" s="1"/>
  <c r="CY73" i="33" a="1"/>
  <c r="CY73" i="33" s="1"/>
  <c r="AW132" i="33" a="1"/>
  <c r="AW132" i="33" s="1"/>
  <c r="CG15" i="33" a="1"/>
  <c r="CG15" i="33" s="1"/>
  <c r="CY138" i="33" a="1"/>
  <c r="CY138" i="33" s="1"/>
  <c r="AQ19" i="33" a="1"/>
  <c r="AQ19" i="33" s="1"/>
  <c r="AQ146" i="33" a="1"/>
  <c r="AQ146" i="33" s="1"/>
  <c r="CF69" i="33" a="1"/>
  <c r="CF69" i="33" s="1"/>
  <c r="AM29" i="33" a="1"/>
  <c r="AM29" i="33" s="1"/>
  <c r="AR136" i="33" a="1"/>
  <c r="AR136" i="33" s="1"/>
  <c r="CY23" i="33" a="1"/>
  <c r="CY23" i="33" s="1"/>
  <c r="AT154" i="33" a="1"/>
  <c r="AT154" i="33" s="1"/>
  <c r="CU92" i="33" a="1"/>
  <c r="CU92" i="33" s="1"/>
  <c r="CQ103" i="33" a="1"/>
  <c r="CQ103" i="33" s="1"/>
  <c r="AH75" i="33" a="1"/>
  <c r="AH75" i="33" s="1"/>
  <c r="AG51" i="33" a="1"/>
  <c r="AG51" i="33" s="1"/>
  <c r="BL95" i="33" a="1"/>
  <c r="BL95" i="33" s="1"/>
  <c r="BL74" i="33" a="1"/>
  <c r="BL74" i="33" s="1"/>
  <c r="AS104" i="33" a="1"/>
  <c r="AS104" i="33" s="1"/>
  <c r="BM100" i="33" a="1"/>
  <c r="BM100" i="33" s="1"/>
  <c r="CP62" i="33" a="1"/>
  <c r="CP62" i="33" s="1"/>
  <c r="CA135" i="33" a="1"/>
  <c r="CA135" i="33" s="1"/>
  <c r="AI98" i="33" a="1"/>
  <c r="AI98" i="33" s="1"/>
  <c r="BQ57" i="33" a="1"/>
  <c r="BQ57" i="33" s="1"/>
  <c r="AW135" i="33" a="1"/>
  <c r="AW135" i="33" s="1"/>
  <c r="CA149" i="33" a="1"/>
  <c r="CA149" i="33" s="1"/>
  <c r="Y114" i="33" a="1"/>
  <c r="Y114" i="33" s="1"/>
  <c r="BB56" i="33" a="1"/>
  <c r="BB56" i="33" s="1"/>
  <c r="CZ161" i="33" a="1"/>
  <c r="CZ161" i="33" s="1"/>
  <c r="BW89" i="33" a="1"/>
  <c r="BW89" i="33" s="1"/>
  <c r="BG49" i="33" a="1"/>
  <c r="BG49" i="33" s="1"/>
  <c r="Z144" i="33" a="1"/>
  <c r="Z144" i="33" s="1"/>
  <c r="Z156" i="33" a="1"/>
  <c r="Z156" i="33" s="1"/>
  <c r="CA157" i="33" a="1"/>
  <c r="CA157" i="33" s="1"/>
  <c r="BL53" i="33" a="1"/>
  <c r="BL53" i="33" s="1"/>
  <c r="CZ44" i="33" a="1"/>
  <c r="CZ44" i="33" s="1"/>
  <c r="BH118" i="33" a="1"/>
  <c r="BH118" i="33" s="1"/>
  <c r="AW36" i="33" a="1"/>
  <c r="AW36" i="33" s="1"/>
  <c r="BZ124" i="33" a="1"/>
  <c r="BZ124" i="33" s="1"/>
  <c r="BG18" i="33" a="1"/>
  <c r="BG18" i="33" s="1"/>
  <c r="BQ69" i="33" a="1"/>
  <c r="BQ69" i="33" s="1"/>
  <c r="Z115" i="33" a="1"/>
  <c r="Z115" i="33" s="1"/>
  <c r="AJ36" i="33" a="1"/>
  <c r="AJ36" i="33" s="1"/>
  <c r="AT81" i="33" a="1"/>
  <c r="AT81" i="33" s="1"/>
  <c r="CY110" i="33" a="1"/>
  <c r="CY110" i="33" s="1"/>
  <c r="CG124" i="33" a="1"/>
  <c r="CG124" i="33" s="1"/>
  <c r="BL98" i="33" a="1"/>
  <c r="BL98" i="33" s="1"/>
  <c r="BV36" i="33" a="1"/>
  <c r="BV36" i="33" s="1"/>
  <c r="CY97" i="33" a="1"/>
  <c r="CY97" i="33" s="1"/>
  <c r="AS157" i="33" a="1"/>
  <c r="AS157" i="33" s="1"/>
  <c r="BW106" i="33" a="1"/>
  <c r="BW106" i="33" s="1"/>
  <c r="BQ144" i="33" a="1"/>
  <c r="BQ144" i="33" s="1"/>
  <c r="CZ72" i="33" a="1"/>
  <c r="CZ72" i="33" s="1"/>
  <c r="BH57" i="33" a="1"/>
  <c r="BH57" i="33" s="1"/>
  <c r="AI107" i="33" a="1"/>
  <c r="AI107" i="33" s="1"/>
  <c r="BH116" i="33" a="1"/>
  <c r="BH116" i="33" s="1"/>
  <c r="D62" i="33" a="1"/>
  <c r="D62" i="33" s="1"/>
  <c r="CF46" i="33" a="1"/>
  <c r="CF46" i="33" s="1"/>
  <c r="AW73" i="33" a="1"/>
  <c r="AW73" i="33" s="1"/>
  <c r="Y35" i="33" a="1"/>
  <c r="Y35" i="33" s="1"/>
  <c r="AS155" i="33" a="1"/>
  <c r="AS155" i="33" s="1"/>
  <c r="AQ94" i="33" a="1"/>
  <c r="AQ94" i="33" s="1"/>
  <c r="BG88" i="33" a="1"/>
  <c r="BG88" i="33" s="1"/>
  <c r="CQ40" i="33" a="1"/>
  <c r="CQ40" i="33" s="1"/>
  <c r="BA110" i="33" a="1"/>
  <c r="BA110" i="33" s="1"/>
  <c r="CF161" i="33" a="1"/>
  <c r="CF161" i="33" s="1"/>
  <c r="BA34" i="33" a="1"/>
  <c r="BA34" i="33" s="1"/>
  <c r="D93" i="33" a="1"/>
  <c r="D93" i="33" s="1"/>
  <c r="Y55" i="33" a="1"/>
  <c r="Y55" i="33" s="1"/>
  <c r="CQ17" i="33" a="1"/>
  <c r="CQ17" i="33" s="1"/>
  <c r="CZ24" i="33" a="1"/>
  <c r="CZ24" i="33" s="1"/>
  <c r="BG81" i="33" a="1"/>
  <c r="BG81" i="33" s="1"/>
  <c r="BL145" i="33" a="1"/>
  <c r="BL145" i="33" s="1"/>
  <c r="BL73" i="33" a="1"/>
  <c r="BL73" i="33" s="1"/>
  <c r="BV31" i="33" a="1"/>
  <c r="BV31" i="33" s="1"/>
  <c r="BV55" i="33" a="1"/>
  <c r="BV55" i="33" s="1"/>
  <c r="CY133" i="33" a="1"/>
  <c r="CY133" i="33" s="1"/>
  <c r="AI33" i="33" a="1"/>
  <c r="AI33" i="33" s="1"/>
  <c r="AT29" i="33" a="1"/>
  <c r="AT29" i="33" s="1"/>
  <c r="AH53" i="33" a="1"/>
  <c r="AH53" i="33" s="1"/>
  <c r="AC98" i="33" a="1"/>
  <c r="AC98" i="33" s="1"/>
  <c r="AC43" i="33" a="1"/>
  <c r="AC43" i="33" s="1"/>
  <c r="AM149" i="33" a="1"/>
  <c r="AM149" i="33" s="1"/>
  <c r="AI129" i="33" a="1"/>
  <c r="AI129" i="33" s="1"/>
  <c r="CF45" i="33" a="1"/>
  <c r="CF45" i="33" s="1"/>
  <c r="X32" i="33" a="1"/>
  <c r="X32" i="33" s="1"/>
  <c r="X58" i="33" a="1"/>
  <c r="X58" i="33" s="1"/>
  <c r="AQ160" i="33" a="1"/>
  <c r="AQ160" i="33" s="1"/>
  <c r="AQ36" i="33" a="1"/>
  <c r="AQ36" i="33" s="1"/>
  <c r="AG28" i="33" a="1"/>
  <c r="AG28" i="33" s="1"/>
  <c r="AM34" i="33" a="1"/>
  <c r="AM34" i="33" s="1"/>
  <c r="BQ66" i="33" a="1"/>
  <c r="BQ66" i="33" s="1"/>
  <c r="CQ118" i="33" a="1"/>
  <c r="CQ118" i="33" s="1"/>
  <c r="AG53" i="33" a="1"/>
  <c r="AG53" i="33" s="1"/>
  <c r="BQ59" i="33" a="1"/>
  <c r="BQ59" i="33" s="1"/>
  <c r="BV129" i="33" a="1"/>
  <c r="BV129" i="33" s="1"/>
  <c r="CF88" i="33" a="1"/>
  <c r="CF88" i="33" s="1"/>
  <c r="AG65" i="33" a="1"/>
  <c r="AG65" i="33" s="1"/>
  <c r="D96" i="33" a="1"/>
  <c r="D96" i="33" s="1"/>
  <c r="BH47" i="33" a="1"/>
  <c r="BH47" i="33" s="1"/>
  <c r="CF133" i="33" a="1"/>
  <c r="CF133" i="33" s="1"/>
  <c r="CY38" i="33" a="1"/>
  <c r="CY38" i="33" s="1"/>
  <c r="Z77" i="33" a="1"/>
  <c r="Z77" i="33" s="1"/>
  <c r="BW95" i="33" a="1"/>
  <c r="BW95" i="33" s="1"/>
  <c r="CO71" i="33" a="1"/>
  <c r="CO71" i="33" s="1"/>
  <c r="CF137" i="33" a="1"/>
  <c r="CF137" i="33" s="1"/>
  <c r="CF143" i="33" a="1"/>
  <c r="CF143" i="33" s="1"/>
  <c r="CU66" i="33" a="1"/>
  <c r="CU66" i="33" s="1"/>
  <c r="AI77" i="33" a="1"/>
  <c r="AI77" i="33" s="1"/>
  <c r="AC101" i="33" a="1"/>
  <c r="AC101" i="33" s="1"/>
  <c r="AI52" i="33" a="1"/>
  <c r="AI52" i="33" s="1"/>
  <c r="AC50" i="33" a="1"/>
  <c r="AC50" i="33" s="1"/>
  <c r="Y20" i="33" a="1"/>
  <c r="Y20" i="33" s="1"/>
  <c r="AJ127" i="33" a="1"/>
  <c r="AJ127" i="33" s="1"/>
  <c r="CF151" i="33" a="1"/>
  <c r="CF151" i="33" s="1"/>
  <c r="AS101" i="33" a="1"/>
  <c r="AS101" i="33" s="1"/>
  <c r="BD119" i="33" a="1"/>
  <c r="BD119" i="33" s="1"/>
  <c r="CU45" i="33" a="1"/>
  <c r="CU45" i="33" s="1"/>
  <c r="Y148" i="33" a="1"/>
  <c r="Y148" i="33" s="1"/>
  <c r="CR61" i="33" a="1"/>
  <c r="CR61" i="33" s="1"/>
  <c r="AI50" i="33" a="1"/>
  <c r="AI50" i="33" s="1"/>
  <c r="CG59" i="33" a="1"/>
  <c r="CG59" i="33" s="1"/>
  <c r="CP21" i="33" a="1"/>
  <c r="CP21" i="33" s="1"/>
  <c r="D131" i="33" a="1"/>
  <c r="D131" i="33" s="1"/>
  <c r="BQ113" i="33" a="1"/>
  <c r="BQ113" i="33" s="1"/>
  <c r="BH39" i="33" a="1"/>
  <c r="BH39" i="33" s="1"/>
  <c r="CA120" i="33" a="1"/>
  <c r="CA120" i="33" s="1"/>
  <c r="BA17" i="33" a="1"/>
  <c r="BA17" i="33" s="1"/>
  <c r="BQ96" i="33" a="1"/>
  <c r="BQ96" i="33" s="1"/>
  <c r="Y87" i="33" a="1"/>
  <c r="Y87" i="33" s="1"/>
  <c r="BA64" i="33" a="1"/>
  <c r="BA64" i="33" s="1"/>
  <c r="BB126" i="33" a="1"/>
  <c r="BB126" i="33" s="1"/>
  <c r="AG16" i="33" a="1"/>
  <c r="AG16" i="33" s="1"/>
  <c r="AG148" i="33" a="1"/>
  <c r="AG148" i="33" s="1"/>
  <c r="AI147" i="33" a="1"/>
  <c r="AI147" i="33" s="1"/>
  <c r="CQ14" i="33" a="1"/>
  <c r="CQ14" i="33" s="1"/>
  <c r="BH123" i="33" a="1"/>
  <c r="BH123" i="33" s="1"/>
  <c r="BQ48" i="33" a="1"/>
  <c r="BQ48" i="33" s="1"/>
  <c r="BN141" i="33" a="1"/>
  <c r="BN141" i="33" s="1"/>
  <c r="BM159" i="33" a="1"/>
  <c r="BM159" i="33" s="1"/>
  <c r="BH52" i="33" a="1"/>
  <c r="BH52" i="33" s="1"/>
  <c r="AI70" i="33" a="1"/>
  <c r="AI70" i="33" s="1"/>
  <c r="AI126" i="33" a="1"/>
  <c r="AI126" i="33" s="1"/>
  <c r="AT143" i="33" a="1"/>
  <c r="AT143" i="33" s="1"/>
  <c r="CU89" i="33" a="1"/>
  <c r="CU89" i="33" s="1"/>
  <c r="AI96" i="33" a="1"/>
  <c r="AI96" i="33" s="1"/>
  <c r="AW38" i="33" a="1"/>
  <c r="AW38" i="33" s="1"/>
  <c r="AR28" i="33" a="1"/>
  <c r="AR28" i="33" s="1"/>
  <c r="CU31" i="33" a="1"/>
  <c r="CU31" i="33" s="1"/>
  <c r="AI31" i="33" a="1"/>
  <c r="AI31" i="33" s="1"/>
  <c r="AI135" i="33" a="1"/>
  <c r="AI135" i="33" s="1"/>
  <c r="BL52" i="33" a="1"/>
  <c r="BL52" i="33" s="1"/>
  <c r="BQ95" i="33" a="1"/>
  <c r="BQ95" i="33" s="1"/>
  <c r="W69" i="33" a="1"/>
  <c r="W69" i="33" s="1"/>
  <c r="CG24" i="33" a="1"/>
  <c r="CG24" i="33" s="1"/>
  <c r="BC128" i="33" a="1"/>
  <c r="BC128" i="33" s="1"/>
  <c r="BH132" i="33" a="1"/>
  <c r="BH132" i="33" s="1"/>
  <c r="BH101" i="33" a="1"/>
  <c r="BH101" i="33" s="1"/>
  <c r="AH107" i="33" a="1"/>
  <c r="AH107" i="33" s="1"/>
  <c r="CU161" i="33" a="1"/>
  <c r="CU161" i="33" s="1"/>
  <c r="BH31" i="33" a="1"/>
  <c r="BH31" i="33" s="1"/>
  <c r="BD90" i="33" a="1"/>
  <c r="BD90" i="33" s="1"/>
  <c r="BK126" i="33" a="1"/>
  <c r="BK126" i="33" s="1"/>
  <c r="BV133" i="33" a="1"/>
  <c r="BV133" i="33" s="1"/>
  <c r="AH16" i="33" a="1"/>
  <c r="AH16" i="33" s="1"/>
  <c r="BA32" i="33" a="1"/>
  <c r="BA32" i="33" s="1"/>
  <c r="AC135" i="33" a="1"/>
  <c r="AC135" i="33" s="1"/>
  <c r="CP150" i="33" a="1"/>
  <c r="CP150" i="33" s="1"/>
  <c r="Y155" i="33" a="1"/>
  <c r="Y155" i="33" s="1"/>
  <c r="AC140" i="33" a="1"/>
  <c r="AC140" i="33" s="1"/>
  <c r="BV156" i="33" a="1"/>
  <c r="BV156" i="33" s="1"/>
  <c r="Z48" i="33" a="1"/>
  <c r="Z48" i="33" s="1"/>
  <c r="AH95" i="33" a="1"/>
  <c r="AH95" i="33" s="1"/>
  <c r="AT161" i="33" a="1"/>
  <c r="AT161" i="33" s="1"/>
  <c r="BC108" i="33" a="1"/>
  <c r="BC108" i="33" s="1"/>
  <c r="AR46" i="33" a="1"/>
  <c r="AR46" i="33" s="1"/>
  <c r="CO110" i="33" a="1"/>
  <c r="CO110" i="33" s="1"/>
  <c r="BQ74" i="33" a="1"/>
  <c r="BQ74" i="33" s="1"/>
  <c r="X43" i="33" a="1"/>
  <c r="X43" i="33" s="1"/>
  <c r="Y94" i="33" a="1"/>
  <c r="Y94" i="33" s="1"/>
  <c r="CP130" i="33" a="1"/>
  <c r="CP130" i="33" s="1"/>
  <c r="BG157" i="33" a="1"/>
  <c r="BG157" i="33" s="1"/>
  <c r="CZ61" i="33" a="1"/>
  <c r="CZ61" i="33" s="1"/>
  <c r="Z76" i="33" a="1"/>
  <c r="Z76" i="33" s="1"/>
  <c r="BC33" i="33" a="1"/>
  <c r="BC33" i="33" s="1"/>
  <c r="AJ85" i="33" a="1"/>
  <c r="AJ85" i="33" s="1"/>
  <c r="BH72" i="33" a="1"/>
  <c r="BH72" i="33" s="1"/>
  <c r="AM150" i="33" a="1"/>
  <c r="AM150" i="33" s="1"/>
  <c r="AS63" i="33" a="1"/>
  <c r="AS63" i="33" s="1"/>
  <c r="CA141" i="33" a="1"/>
  <c r="CA141" i="33" s="1"/>
  <c r="AR29" i="33" a="1"/>
  <c r="AR29" i="33" s="1"/>
  <c r="BB134" i="33" a="1"/>
  <c r="BB134" i="33" s="1"/>
  <c r="BB145" i="33" a="1"/>
  <c r="BB145" i="33" s="1"/>
  <c r="AI49" i="33" a="1"/>
  <c r="AI49" i="33" s="1"/>
  <c r="CP50" i="33" a="1"/>
  <c r="CP50" i="33" s="1"/>
  <c r="CA73" i="33" a="1"/>
  <c r="CA73" i="33" s="1"/>
  <c r="AI62" i="33" a="1"/>
  <c r="AI62" i="33" s="1"/>
  <c r="Y36" i="33" a="1"/>
  <c r="Y36" i="33" s="1"/>
  <c r="AJ129" i="33" a="1"/>
  <c r="AJ129" i="33" s="1"/>
  <c r="AM18" i="33" a="1"/>
  <c r="AM18" i="33" s="1"/>
  <c r="CA129" i="33" a="1"/>
  <c r="CA129" i="33" s="1"/>
  <c r="BQ55" i="33" a="1"/>
  <c r="BQ55" i="33" s="1"/>
  <c r="BW79" i="33" a="1"/>
  <c r="BW79" i="33" s="1"/>
  <c r="BW63" i="33" a="1"/>
  <c r="BW63" i="33" s="1"/>
  <c r="BW72" i="33" a="1"/>
  <c r="BW72" i="33" s="1"/>
  <c r="CP99" i="33" a="1"/>
  <c r="CP99" i="33" s="1"/>
  <c r="CA139" i="33" a="1"/>
  <c r="CA139" i="33" s="1"/>
  <c r="BM148" i="33" a="1"/>
  <c r="BM148" i="33" s="1"/>
  <c r="AW49" i="33" a="1"/>
  <c r="AW49" i="33" s="1"/>
  <c r="Y15" i="33" a="1"/>
  <c r="Y15" i="33" s="1"/>
  <c r="AJ46" i="33" a="1"/>
  <c r="AJ46" i="33" s="1"/>
  <c r="Y47" i="33" a="1"/>
  <c r="Y47" i="33" s="1"/>
  <c r="BC132" i="33" a="1"/>
  <c r="BC132" i="33" s="1"/>
  <c r="CU144" i="33" a="1"/>
  <c r="CU144" i="33" s="1"/>
  <c r="AC73" i="33" a="1"/>
  <c r="AC73" i="33" s="1"/>
  <c r="CU20" i="33" a="1"/>
  <c r="CU20" i="33" s="1"/>
  <c r="AS54" i="33" a="1"/>
  <c r="AS54" i="33" s="1"/>
  <c r="BH53" i="33" a="1"/>
  <c r="BH53" i="33" s="1"/>
  <c r="CG70" i="33" a="1"/>
  <c r="CG70" i="33" s="1"/>
  <c r="BM28" i="33" a="1"/>
  <c r="BM28" i="33" s="1"/>
  <c r="BL144" i="33" a="1"/>
  <c r="BL144" i="33" s="1"/>
  <c r="Y40" i="33" a="1"/>
  <c r="Y40" i="33" s="1"/>
  <c r="CQ144" i="33" a="1"/>
  <c r="CQ144" i="33" s="1"/>
  <c r="CA50" i="33" a="1"/>
  <c r="CA50" i="33" s="1"/>
  <c r="CP35" i="33" a="1"/>
  <c r="CP35" i="33" s="1"/>
  <c r="AW124" i="33" a="1"/>
  <c r="AW124" i="33" s="1"/>
  <c r="CA20" i="33" a="1"/>
  <c r="CA20" i="33" s="1"/>
  <c r="CA137" i="33" a="1"/>
  <c r="CA137" i="33" s="1"/>
  <c r="BU89" i="33" a="1"/>
  <c r="BU89" i="33" s="1"/>
  <c r="AI121" i="33" a="1"/>
  <c r="AI121" i="33" s="1"/>
  <c r="AW29" i="33" a="1"/>
  <c r="AW29" i="33" s="1"/>
  <c r="AQ110" i="33" a="1"/>
  <c r="AQ110" i="33" s="1"/>
  <c r="AM39" i="33" a="1"/>
  <c r="AM39" i="33" s="1"/>
  <c r="BB84" i="33" a="1"/>
  <c r="BB84" i="33" s="1"/>
  <c r="CG39" i="33" a="1"/>
  <c r="CG39" i="33" s="1"/>
  <c r="D115" i="33" a="1"/>
  <c r="D115" i="33" s="1"/>
  <c r="CP70" i="33" a="1"/>
  <c r="CP70" i="33" s="1"/>
  <c r="BH121" i="33" a="1"/>
  <c r="BH121" i="33" s="1"/>
  <c r="AW83" i="33" a="1"/>
  <c r="AW83" i="33" s="1"/>
  <c r="AH128" i="33" a="1"/>
  <c r="AH128" i="33" s="1"/>
  <c r="Y86" i="33" a="1"/>
  <c r="Y86" i="33" s="1"/>
  <c r="CU138" i="33" a="1"/>
  <c r="CU138" i="33" s="1"/>
  <c r="CA154" i="33" a="1"/>
  <c r="CA154" i="33" s="1"/>
  <c r="BK64" i="33" a="1"/>
  <c r="BK64" i="33" s="1"/>
  <c r="BC151" i="33" a="1"/>
  <c r="BC151" i="33" s="1"/>
  <c r="D54" i="33" a="1"/>
  <c r="D54" i="33" s="1"/>
  <c r="BH82" i="33" a="1"/>
  <c r="BH82" i="33" s="1"/>
  <c r="D104" i="33" a="1"/>
  <c r="D104" i="33" s="1"/>
  <c r="BV93" i="33" a="1"/>
  <c r="BV93" i="33" s="1"/>
  <c r="BU41" i="33" a="1"/>
  <c r="BU41" i="33" s="1"/>
  <c r="BB132" i="33" a="1"/>
  <c r="BB132" i="33" s="1"/>
  <c r="BK148" i="33" a="1"/>
  <c r="BK148" i="33" s="1"/>
  <c r="BV107" i="33" a="1"/>
  <c r="BV107" i="33" s="1"/>
  <c r="BG58" i="33" a="1"/>
  <c r="BG58" i="33" s="1"/>
  <c r="AI87" i="33" a="1"/>
  <c r="AI87" i="33" s="1"/>
  <c r="BH28" i="33" a="1"/>
  <c r="BH28" i="33" s="1"/>
  <c r="AS16" i="33" a="1"/>
  <c r="AS16" i="33" s="1"/>
  <c r="W79" i="33" a="1"/>
  <c r="W79" i="33" s="1"/>
  <c r="D90" i="33" a="1"/>
  <c r="D90" i="33" s="1"/>
  <c r="CO149" i="33" a="1"/>
  <c r="CO149" i="33" s="1"/>
  <c r="BQ94" i="33" a="1"/>
  <c r="BQ94" i="33" s="1"/>
  <c r="CQ38" i="33" a="1"/>
  <c r="CQ38" i="33" s="1"/>
  <c r="BW30" i="33" a="1"/>
  <c r="BW30" i="33" s="1"/>
  <c r="BH15" i="33" a="1"/>
  <c r="BH15" i="33" s="1"/>
  <c r="BB111" i="33" a="1"/>
  <c r="BB111" i="33" s="1"/>
  <c r="AR116" i="33" a="1"/>
  <c r="AR116" i="33" s="1"/>
  <c r="AH117" i="33" a="1"/>
  <c r="AH117" i="33" s="1"/>
  <c r="X83" i="33" a="1"/>
  <c r="X83" i="33" s="1"/>
  <c r="BH68" i="33" a="1"/>
  <c r="BH68" i="33" s="1"/>
  <c r="CF132" i="33" a="1"/>
  <c r="CF132" i="33" s="1"/>
  <c r="CA101" i="33" a="1"/>
  <c r="CA101" i="33" s="1"/>
  <c r="BH143" i="33" a="1"/>
  <c r="BH143" i="33" s="1"/>
  <c r="Y16" i="33" a="1"/>
  <c r="Y16" i="33" s="1"/>
  <c r="X127" i="33" a="1"/>
  <c r="X127" i="33" s="1"/>
  <c r="BL50" i="33" a="1"/>
  <c r="BL50" i="33" s="1"/>
  <c r="X92" i="33" a="1"/>
  <c r="X92" i="33" s="1"/>
  <c r="AW156" i="33" a="1"/>
  <c r="AW156" i="33" s="1"/>
  <c r="CU42" i="33" a="1"/>
  <c r="CU42" i="33" s="1"/>
  <c r="BA58" i="33" a="1"/>
  <c r="BA58" i="33" s="1"/>
  <c r="BD131" i="33" a="1"/>
  <c r="BD131" i="33" s="1"/>
  <c r="AI57" i="33" a="1"/>
  <c r="AI57" i="33" s="1"/>
  <c r="D69" i="33" a="1"/>
  <c r="D69" i="33" s="1"/>
  <c r="AI99" i="33" a="1"/>
  <c r="AI99" i="33" s="1"/>
  <c r="AI138" i="33" a="1"/>
  <c r="AI138" i="33" s="1"/>
  <c r="BG115" i="33" a="1"/>
  <c r="BG115" i="33" s="1"/>
  <c r="N44" i="33" a="1"/>
  <c r="N44" i="33" s="1"/>
  <c r="AJ146" i="33" a="1"/>
  <c r="AJ146" i="33" s="1"/>
  <c r="AS96" i="33" a="1"/>
  <c r="AS96" i="33" s="1"/>
  <c r="BZ74" i="33" a="1"/>
  <c r="BZ74" i="33" s="1"/>
  <c r="BW35" i="33" a="1"/>
  <c r="BW35" i="33" s="1"/>
  <c r="CU117" i="33" a="1"/>
  <c r="CU117" i="33" s="1"/>
  <c r="CF40" i="33" a="1"/>
  <c r="CF40" i="33" s="1"/>
  <c r="AG137" i="33" a="1"/>
  <c r="AG137" i="33" s="1"/>
  <c r="CQ141" i="33" a="1"/>
  <c r="CQ141" i="33" s="1"/>
  <c r="CP19" i="33" a="1"/>
  <c r="CP19" i="33" s="1"/>
  <c r="Z88" i="33" a="1"/>
  <c r="Z88" i="33" s="1"/>
  <c r="BB64" i="33" a="1"/>
  <c r="BB64" i="33" s="1"/>
  <c r="CP75" i="33" a="1"/>
  <c r="CP75" i="33" s="1"/>
  <c r="BH114" i="33" a="1"/>
  <c r="BH114" i="33" s="1"/>
  <c r="CA95" i="33" a="1"/>
  <c r="CA95" i="33" s="1"/>
  <c r="BU160" i="33" a="1"/>
  <c r="BU160" i="33" s="1"/>
  <c r="AQ61" i="33" a="1"/>
  <c r="AQ61" i="33" s="1"/>
  <c r="CP25" i="33" a="1"/>
  <c r="CP25" i="33" s="1"/>
  <c r="BC29" i="33" a="1"/>
  <c r="BC29" i="33" s="1"/>
  <c r="BA157" i="33" a="1"/>
  <c r="BA157" i="33" s="1"/>
  <c r="CZ160" i="33" a="1"/>
  <c r="CZ160" i="33" s="1"/>
  <c r="CP31" i="33" a="1"/>
  <c r="CP31" i="33" s="1"/>
  <c r="CA17" i="33" a="1"/>
  <c r="CA17" i="33" s="1"/>
  <c r="BD118" i="33" a="1"/>
  <c r="BD118" i="33" s="1"/>
  <c r="AM158" i="33" a="1"/>
  <c r="AM158" i="33" s="1"/>
  <c r="BC25" i="33" a="1"/>
  <c r="BC25" i="33" s="1"/>
  <c r="BQ119" i="33" a="1"/>
  <c r="BQ119" i="33" s="1"/>
  <c r="BU107" i="33" a="1"/>
  <c r="BU107" i="33" s="1"/>
  <c r="CU86" i="33" a="1"/>
  <c r="CU86" i="33" s="1"/>
  <c r="AS159" i="33" a="1"/>
  <c r="AS159" i="33" s="1"/>
  <c r="AW21" i="33" a="1"/>
  <c r="AW21" i="33" s="1"/>
  <c r="BM18" i="33" a="1"/>
  <c r="BM18" i="33" s="1"/>
  <c r="CO51" i="33" a="1"/>
  <c r="CO51" i="33" s="1"/>
  <c r="CO137" i="33" a="1"/>
  <c r="CO137" i="33" s="1"/>
  <c r="BL91" i="33" a="1"/>
  <c r="BL91" i="33" s="1"/>
  <c r="AH56" i="33" a="1"/>
  <c r="AH56" i="33" s="1"/>
  <c r="AQ124" i="33" a="1"/>
  <c r="AQ124" i="33" s="1"/>
  <c r="CY85" i="33" a="1"/>
  <c r="CY85" i="33" s="1"/>
  <c r="AI15" i="33" a="1"/>
  <c r="AI15" i="33" s="1"/>
  <c r="BG71" i="33" a="1"/>
  <c r="BG71" i="33" s="1"/>
  <c r="Y151" i="33" a="1"/>
  <c r="Y151" i="33" s="1"/>
  <c r="BG96" i="33" a="1"/>
  <c r="BG96" i="33" s="1"/>
  <c r="AC51" i="33" a="1"/>
  <c r="AC51" i="33" s="1"/>
  <c r="AQ159" i="33" a="1"/>
  <c r="AQ159" i="33" s="1"/>
  <c r="W49" i="33" a="1"/>
  <c r="W49" i="33" s="1"/>
  <c r="BL129" i="33" a="1"/>
  <c r="BL129" i="33" s="1"/>
  <c r="AG84" i="33" a="1"/>
  <c r="AG84" i="33" s="1"/>
  <c r="BL105" i="33" a="1"/>
  <c r="BL105" i="33" s="1"/>
  <c r="AW127" i="33" a="1"/>
  <c r="AW127" i="33" s="1"/>
  <c r="AG20" i="33" a="1"/>
  <c r="AG20" i="33" s="1"/>
  <c r="Z78" i="33" a="1"/>
  <c r="Z78" i="33" s="1"/>
  <c r="X105" i="33" a="1"/>
  <c r="X105" i="33" s="1"/>
  <c r="CY14" i="33" a="1"/>
  <c r="CY14" i="33" s="1"/>
  <c r="Z34" i="33" a="1"/>
  <c r="Z34" i="33" s="1"/>
  <c r="CA99" i="33" a="1"/>
  <c r="CA99" i="33" s="1"/>
  <c r="BU159" i="33" a="1"/>
  <c r="BU159" i="33" s="1"/>
  <c r="CO138" i="33" a="1"/>
  <c r="CO138" i="33" s="1"/>
  <c r="AT110" i="33" a="1"/>
  <c r="AT110" i="33" s="1"/>
  <c r="W75" i="33" a="1"/>
  <c r="W75" i="33" s="1"/>
  <c r="BV134" i="33" a="1"/>
  <c r="BV134" i="33" s="1"/>
  <c r="BA128" i="33" a="1"/>
  <c r="BA128" i="33" s="1"/>
  <c r="AI72" i="33" a="1"/>
  <c r="AI72" i="33" s="1"/>
  <c r="AS128" i="33" a="1"/>
  <c r="AS128" i="33" s="1"/>
  <c r="W147" i="33" a="1"/>
  <c r="W147" i="33" s="1"/>
  <c r="BH59" i="33" a="1"/>
  <c r="BH59" i="33" s="1"/>
  <c r="BV131" i="33" a="1"/>
  <c r="BV131" i="33" s="1"/>
  <c r="CY49" i="33" a="1"/>
  <c r="CY49" i="33" s="1"/>
  <c r="BA95" i="33" a="1"/>
  <c r="BA95" i="33" s="1"/>
  <c r="AW27" i="33" a="1"/>
  <c r="AW27" i="33" s="1"/>
  <c r="AM113" i="33" a="1"/>
  <c r="AM113" i="33" s="1"/>
  <c r="AW18" i="33" a="1"/>
  <c r="AW18" i="33" s="1"/>
  <c r="AJ84" i="33" a="1"/>
  <c r="AJ84" i="33" s="1"/>
  <c r="AW138" i="33" a="1"/>
  <c r="AW138" i="33" s="1"/>
  <c r="AH90" i="33" a="1"/>
  <c r="AH90" i="33" s="1"/>
  <c r="BQ42" i="33" a="1"/>
  <c r="BQ42" i="33" s="1"/>
  <c r="CY58" i="33" a="1"/>
  <c r="CY58" i="33" s="1"/>
  <c r="BB125" i="33" a="1"/>
  <c r="BB125" i="33" s="1"/>
  <c r="BB28" i="33" a="1"/>
  <c r="BB28" i="33" s="1"/>
  <c r="AI44" i="33" a="1"/>
  <c r="AI44" i="33" s="1"/>
  <c r="CA21" i="33" a="1"/>
  <c r="CA21" i="33" s="1"/>
  <c r="CZ98" i="33" a="1"/>
  <c r="CZ98" i="33" s="1"/>
  <c r="CF83" i="33" a="1"/>
  <c r="CF83" i="33" s="1"/>
  <c r="CU46" i="33" a="1"/>
  <c r="CU46" i="33" s="1"/>
  <c r="AC38" i="33" a="1"/>
  <c r="AC38" i="33" s="1"/>
  <c r="AM25" i="33" a="1"/>
  <c r="AM25" i="33" s="1"/>
  <c r="Z104" i="33" a="1"/>
  <c r="Z104" i="33" s="1"/>
  <c r="BQ63" i="33" a="1"/>
  <c r="BQ63" i="33" s="1"/>
  <c r="Y134" i="33" a="1"/>
  <c r="Y134" i="33" s="1"/>
  <c r="AS139" i="33" a="1"/>
  <c r="AS139" i="33" s="1"/>
  <c r="BH111" i="33" a="1"/>
  <c r="BH111" i="33" s="1"/>
  <c r="BQ44" i="33" a="1"/>
  <c r="BQ44" i="33" s="1"/>
  <c r="BU113" i="33" a="1"/>
  <c r="BU113" i="33" s="1"/>
  <c r="AQ58" i="33" a="1"/>
  <c r="AQ58" i="33" s="1"/>
  <c r="CF150" i="33" a="1"/>
  <c r="CF150" i="33" s="1"/>
  <c r="AC85" i="33" a="1"/>
  <c r="AC85" i="33" s="1"/>
  <c r="AW99" i="33" a="1"/>
  <c r="AW99" i="33" s="1"/>
  <c r="AR93" i="33" a="1"/>
  <c r="AR93" i="33" s="1"/>
  <c r="E134" i="33" a="1"/>
  <c r="E134" i="33" s="1"/>
  <c r="Y109" i="33" a="1"/>
  <c r="Y109" i="33" s="1"/>
  <c r="BQ83" i="33" a="1"/>
  <c r="BQ83" i="33" s="1"/>
  <c r="AW81" i="33" a="1"/>
  <c r="AW81" i="33" s="1"/>
  <c r="BN30" i="33" a="1"/>
  <c r="BN30" i="33" s="1"/>
  <c r="BW142" i="33" a="1"/>
  <c r="BW142" i="33" s="1"/>
  <c r="CU132" i="33" a="1"/>
  <c r="CU132" i="33" s="1"/>
  <c r="AS156" i="33" a="1"/>
  <c r="AS156" i="33" s="1"/>
  <c r="AI16" i="33" a="1"/>
  <c r="AI16" i="33" s="1"/>
  <c r="AW121" i="33" a="1"/>
  <c r="AW121" i="33" s="1"/>
  <c r="BC113" i="33" a="1"/>
  <c r="BC113" i="33" s="1"/>
  <c r="AI160" i="33" a="1"/>
  <c r="AI160" i="33" s="1"/>
  <c r="CU72" i="33" a="1"/>
  <c r="CU72" i="33" s="1"/>
  <c r="BV83" i="33" a="1"/>
  <c r="BV83" i="33" s="1"/>
  <c r="Z38" i="33" a="1"/>
  <c r="Z38" i="33" s="1"/>
  <c r="BW81" i="33" a="1"/>
  <c r="BW81" i="33" s="1"/>
  <c r="BQ129" i="33" a="1"/>
  <c r="BQ129" i="33" s="1"/>
  <c r="AW137" i="33" a="1"/>
  <c r="AW137" i="33" s="1"/>
  <c r="CP65" i="33" a="1"/>
  <c r="CP65" i="33" s="1"/>
  <c r="AI139" i="33" a="1"/>
  <c r="AI139" i="33" s="1"/>
  <c r="BQ20" i="33" a="1"/>
  <c r="BQ20" i="33" s="1"/>
  <c r="AW20" i="33" a="1"/>
  <c r="AW20" i="33" s="1"/>
  <c r="BD39" i="33" a="1"/>
  <c r="BD39" i="33" s="1"/>
  <c r="Y126" i="33" a="1"/>
  <c r="Y126" i="33" s="1"/>
  <c r="CP113" i="33" a="1"/>
  <c r="CP113" i="33" s="1"/>
  <c r="CP73" i="33" a="1"/>
  <c r="CP73" i="33" s="1"/>
  <c r="Y53" i="33" a="1"/>
  <c r="Y53" i="33" s="1"/>
  <c r="BK89" i="33" a="1"/>
  <c r="BK89" i="33" s="1"/>
  <c r="Y24" i="33" a="1"/>
  <c r="Y24" i="33" s="1"/>
  <c r="AC109" i="33" a="1"/>
  <c r="AC109" i="33" s="1"/>
  <c r="AI64" i="33" a="1"/>
  <c r="AI64" i="33" s="1"/>
  <c r="CF156" i="33" a="1"/>
  <c r="CF156" i="33" s="1"/>
  <c r="AI102" i="33" a="1"/>
  <c r="AI102" i="33" s="1"/>
  <c r="BH43" i="33" a="1"/>
  <c r="BH43" i="33" s="1"/>
  <c r="CZ55" i="33" a="1"/>
  <c r="CZ55" i="33" s="1"/>
  <c r="D147" i="33" a="1"/>
  <c r="D147" i="33" s="1"/>
  <c r="CZ102" i="33" a="1"/>
  <c r="CZ102" i="33" s="1"/>
  <c r="CA153" i="33" a="1"/>
  <c r="CA153" i="33" s="1"/>
  <c r="CU154" i="33" a="1"/>
  <c r="CU154" i="33" s="1"/>
  <c r="AT114" i="33" a="1"/>
  <c r="AT114" i="33" s="1"/>
  <c r="AJ29" i="33" a="1"/>
  <c r="AJ29" i="33" s="1"/>
  <c r="BG117" i="33" a="1"/>
  <c r="BG117" i="33" s="1"/>
  <c r="E135" i="33" a="1"/>
  <c r="E135" i="33" s="1"/>
  <c r="Z122" i="33" a="1"/>
  <c r="Z122" i="33" s="1"/>
  <c r="BQ64" i="33" a="1"/>
  <c r="BQ64" i="33" s="1"/>
  <c r="CG95" i="33" a="1"/>
  <c r="CG95" i="33" s="1"/>
  <c r="CA97" i="33" a="1"/>
  <c r="CA97" i="33" s="1"/>
  <c r="BC122" i="33" a="1"/>
  <c r="BC122" i="33" s="1"/>
  <c r="BH61" i="33" a="1"/>
  <c r="BH61" i="33" s="1"/>
  <c r="BG82" i="33" a="1"/>
  <c r="BG82" i="33" s="1"/>
  <c r="Y44" i="33" a="1"/>
  <c r="Y44" i="33" s="1"/>
  <c r="BG46" i="33" a="1"/>
  <c r="BG46" i="33" s="1"/>
  <c r="D64" i="33" a="1"/>
  <c r="D64" i="33" s="1"/>
  <c r="AV75" i="33" a="1"/>
  <c r="AV75" i="33" s="1"/>
  <c r="BB20" i="33" a="1"/>
  <c r="BB20" i="33" s="1"/>
  <c r="CY27" i="33" a="1"/>
  <c r="CY27" i="33" s="1"/>
  <c r="BV120" i="33" a="1"/>
  <c r="BV120" i="33" s="1"/>
  <c r="AI93" i="33" a="1"/>
  <c r="AI93" i="33" s="1"/>
  <c r="BB22" i="33" a="1"/>
  <c r="BB22" i="33" s="1"/>
  <c r="CX19" i="33" a="1"/>
  <c r="CX19" i="33" s="1"/>
  <c r="CG42" i="33" a="1"/>
  <c r="CG42" i="33" s="1"/>
  <c r="CG134" i="33" a="1"/>
  <c r="CG134" i="33" s="1"/>
  <c r="AT45" i="33" a="1"/>
  <c r="AT45" i="33" s="1"/>
  <c r="BM39" i="33" a="1"/>
  <c r="BM39" i="33" s="1"/>
  <c r="BH140" i="33" a="1"/>
  <c r="BH140" i="33" s="1"/>
  <c r="CZ25" i="33" a="1"/>
  <c r="CZ25" i="33" s="1"/>
  <c r="BL115" i="33" a="1"/>
  <c r="BL115" i="33" s="1"/>
  <c r="Y138" i="33" a="1"/>
  <c r="Y138" i="33" s="1"/>
  <c r="Y113" i="33" a="1"/>
  <c r="Y113" i="33" s="1"/>
  <c r="AR87" i="33" a="1"/>
  <c r="AR87" i="33" s="1"/>
  <c r="CO88" i="33" a="1"/>
  <c r="CO88" i="33" s="1"/>
  <c r="Z86" i="33" a="1"/>
  <c r="Z86" i="33" s="1"/>
  <c r="AC45" i="33" a="1"/>
  <c r="AC45" i="33" s="1"/>
  <c r="CZ58" i="33" a="1"/>
  <c r="CZ58" i="33" s="1"/>
  <c r="CU69" i="33" a="1"/>
  <c r="CU69" i="33" s="1"/>
  <c r="CA93" i="33" a="1"/>
  <c r="CA93" i="33" s="1"/>
  <c r="BK63" i="33" a="1"/>
  <c r="BK63" i="33" s="1"/>
  <c r="AQ31" i="33" a="1"/>
  <c r="AQ31" i="33" s="1"/>
  <c r="CU51" i="33" a="1"/>
  <c r="CU51" i="33" s="1"/>
  <c r="CP85" i="33" a="1"/>
  <c r="CP85" i="33" s="1"/>
  <c r="BB113" i="33" a="1"/>
  <c r="BB113" i="33" s="1"/>
  <c r="D122" i="33" a="1"/>
  <c r="D122" i="33" s="1"/>
  <c r="CF85" i="33" a="1"/>
  <c r="CF85" i="33" s="1"/>
  <c r="K91" i="33" a="1"/>
  <c r="K91" i="33" s="1"/>
  <c r="BL114" i="33" a="1"/>
  <c r="BL114" i="33" s="1"/>
  <c r="CG106" i="33" a="1"/>
  <c r="CG106" i="33" s="1"/>
  <c r="D124" i="33" a="1"/>
  <c r="D124" i="33" s="1"/>
  <c r="CZ159" i="33" a="1"/>
  <c r="CZ159" i="33" s="1"/>
  <c r="CA59" i="33" a="1"/>
  <c r="CA59" i="33" s="1"/>
  <c r="BZ21" i="33" a="1"/>
  <c r="BZ21" i="33" s="1"/>
  <c r="BH27" i="33" a="1"/>
  <c r="BH27" i="33" s="1"/>
  <c r="CT78" i="33" a="1"/>
  <c r="CT78" i="33" s="1"/>
  <c r="CP112" i="33" a="1"/>
  <c r="CP112" i="33" s="1"/>
  <c r="CF23" i="33" a="1"/>
  <c r="CF23" i="33" s="1"/>
  <c r="AM98" i="33" a="1"/>
  <c r="AM98" i="33" s="1"/>
  <c r="CY59" i="33" a="1"/>
  <c r="CY59" i="33" s="1"/>
  <c r="AH89" i="33" a="1"/>
  <c r="AH89" i="33" s="1"/>
  <c r="BK42" i="33" a="1"/>
  <c r="BK42" i="33" s="1"/>
  <c r="BK61" i="33" a="1"/>
  <c r="BK61" i="33" s="1"/>
  <c r="BL78" i="33" a="1"/>
  <c r="BL78" i="33" s="1"/>
  <c r="CY78" i="33" a="1"/>
  <c r="CY78" i="33" s="1"/>
  <c r="BQ39" i="33" a="1"/>
  <c r="BQ39" i="33" s="1"/>
  <c r="CU156" i="33" a="1"/>
  <c r="CU156" i="33" s="1"/>
  <c r="CP71" i="33" a="1"/>
  <c r="CP71" i="33" s="1"/>
  <c r="CZ155" i="33" a="1"/>
  <c r="CZ155" i="33" s="1"/>
  <c r="AM129" i="33" a="1"/>
  <c r="AM129" i="33" s="1"/>
  <c r="CQ53" i="33" a="1"/>
  <c r="CQ53" i="33" s="1"/>
  <c r="BB70" i="33" a="1"/>
  <c r="BB70" i="33" s="1"/>
  <c r="BK106" i="33" a="1"/>
  <c r="BK106" i="33" s="1"/>
  <c r="CU122" i="33" a="1"/>
  <c r="CU122" i="33" s="1"/>
  <c r="CA91" i="33" a="1"/>
  <c r="CA91" i="33" s="1"/>
  <c r="CA16" i="33" a="1"/>
  <c r="CA16" i="33" s="1"/>
  <c r="CA56" i="33" a="1"/>
  <c r="CA56" i="33" s="1"/>
  <c r="BW50" i="33" a="1"/>
  <c r="BW50" i="33" s="1"/>
  <c r="AC83" i="33" a="1"/>
  <c r="AC83" i="33" s="1"/>
  <c r="CF36" i="33" a="1"/>
  <c r="CF36" i="33" s="1"/>
  <c r="CA147" i="33" a="1"/>
  <c r="CA147" i="33" s="1"/>
  <c r="CG83" i="33" a="1"/>
  <c r="CG83" i="33" s="1"/>
  <c r="BQ155" i="33" a="1"/>
  <c r="BQ155" i="33" s="1"/>
  <c r="Z19" i="33" a="1"/>
  <c r="Z19" i="33" s="1"/>
  <c r="BH32" i="33" a="1"/>
  <c r="BH32" i="33" s="1"/>
  <c r="CF66" i="33" a="1"/>
  <c r="CF66" i="33" s="1"/>
  <c r="AI105" i="33" a="1"/>
  <c r="AI105" i="33" s="1"/>
  <c r="BL153" i="33" a="1"/>
  <c r="BL153" i="33" s="1"/>
  <c r="CO19" i="33" a="1"/>
  <c r="CO19" i="33" s="1"/>
  <c r="CO16" i="33" a="1"/>
  <c r="CO16" i="33" s="1"/>
  <c r="S99" i="33" a="1"/>
  <c r="S99" i="33" s="1"/>
  <c r="CH49" i="33" a="1"/>
  <c r="CH49" i="33" s="1"/>
  <c r="AS98" i="33" a="1"/>
  <c r="AS98" i="33" s="1"/>
  <c r="Y152" i="33" a="1"/>
  <c r="Y152" i="33" s="1"/>
  <c r="Z36" i="33" a="1"/>
  <c r="Z36" i="33" s="1"/>
  <c r="Y83" i="33" a="1"/>
  <c r="Y83" i="33" s="1"/>
  <c r="BN136" i="33" a="1"/>
  <c r="BN136" i="33" s="1"/>
  <c r="AC90" i="33" a="1"/>
  <c r="AC90" i="33" s="1"/>
  <c r="AI63" i="33" a="1"/>
  <c r="AI63" i="33" s="1"/>
  <c r="AM75" i="33" a="1"/>
  <c r="AM75" i="33" s="1"/>
  <c r="CP141" i="33" a="1"/>
  <c r="CP141" i="33" s="1"/>
  <c r="AC151" i="33" a="1"/>
  <c r="AC151" i="33" s="1"/>
  <c r="AT132" i="33" a="1"/>
  <c r="AT132" i="33" s="1"/>
  <c r="BU153" i="33" a="1"/>
  <c r="BU153" i="33" s="1"/>
  <c r="BD160" i="33" a="1"/>
  <c r="BD160" i="33" s="1"/>
  <c r="CP87" i="33" a="1"/>
  <c r="CP87" i="33" s="1"/>
  <c r="BA50" i="33" a="1"/>
  <c r="BA50" i="33" s="1"/>
  <c r="BQ114" i="33" a="1"/>
  <c r="BQ114" i="33" s="1"/>
  <c r="CZ64" i="33" a="1"/>
  <c r="CZ64" i="33" s="1"/>
  <c r="D86" i="33" a="1"/>
  <c r="D86" i="33" s="1"/>
  <c r="AC120" i="33" a="1"/>
  <c r="AC120" i="33" s="1"/>
  <c r="AW17" i="33" a="1"/>
  <c r="AW17" i="33" s="1"/>
  <c r="AW108" i="33" a="1"/>
  <c r="AW108" i="33" s="1"/>
  <c r="BH109" i="33" a="1"/>
  <c r="BH109" i="33" s="1"/>
  <c r="BD139" i="33" a="1"/>
  <c r="BD139" i="33" s="1"/>
  <c r="BQ100" i="33" a="1"/>
  <c r="BQ100" i="33" s="1"/>
  <c r="AI119" i="33" a="1"/>
  <c r="AI119" i="33" s="1"/>
  <c r="AC64" i="33" a="1"/>
  <c r="AC64" i="33" s="1"/>
  <c r="CZ53" i="33" a="1"/>
  <c r="CZ53" i="33" s="1"/>
  <c r="Y37" i="33" a="1"/>
  <c r="Y37" i="33" s="1"/>
  <c r="AR14" i="33" a="1"/>
  <c r="AR14" i="33" s="1"/>
  <c r="CF63" i="33" a="1"/>
  <c r="CF63" i="33" s="1"/>
  <c r="BW157" i="33" a="1"/>
  <c r="BW157" i="33" s="1"/>
  <c r="BA127" i="33" a="1"/>
  <c r="BA127" i="33" s="1"/>
  <c r="BV146" i="33" a="1"/>
  <c r="BV146" i="33" s="1"/>
  <c r="BW116" i="33" a="1"/>
  <c r="BW116" i="33" s="1"/>
  <c r="BH41" i="33" a="1"/>
  <c r="BH41" i="33" s="1"/>
  <c r="D84" i="33" a="1"/>
  <c r="D84" i="33" s="1"/>
  <c r="BK130" i="33" a="1"/>
  <c r="BK130" i="33" s="1"/>
  <c r="BV89" i="33" a="1"/>
  <c r="BV89" i="33" s="1"/>
  <c r="L93" i="33" a="1"/>
  <c r="L93" i="33" s="1"/>
  <c r="AS137" i="33" a="1"/>
  <c r="AS137" i="33" s="1"/>
  <c r="BG56" i="33" a="1"/>
  <c r="BG56" i="33" s="1"/>
  <c r="CG141" i="33" a="1"/>
  <c r="CG141" i="33" s="1"/>
  <c r="CU25" i="33" a="1"/>
  <c r="CU25" i="33" s="1"/>
  <c r="CZ65" i="33" a="1"/>
  <c r="CZ65" i="33" s="1"/>
  <c r="AI81" i="33" a="1"/>
  <c r="AI81" i="33" s="1"/>
  <c r="BC54" i="33" a="1"/>
  <c r="BC54" i="33" s="1"/>
  <c r="AT112" i="33" a="1"/>
  <c r="AT112" i="33" s="1"/>
  <c r="BQ121" i="33" a="1"/>
  <c r="BQ121" i="33" s="1"/>
  <c r="CZ104" i="33" a="1"/>
  <c r="CZ104" i="33" s="1"/>
  <c r="CN16" i="33" a="1"/>
  <c r="CN16" i="33" s="1"/>
  <c r="AR119" i="33" a="1"/>
  <c r="AR119" i="33" s="1"/>
  <c r="CQ128" i="33" a="1"/>
  <c r="CQ128" i="33" s="1"/>
  <c r="BL84" i="33" a="1"/>
  <c r="BL84" i="33" s="1"/>
  <c r="AW98" i="33" a="1"/>
  <c r="AW98" i="33" s="1"/>
  <c r="Z87" i="33" a="1"/>
  <c r="Z87" i="33" s="1"/>
  <c r="CP52" i="33" a="1"/>
  <c r="CP52" i="33" s="1"/>
  <c r="CG49" i="33" a="1"/>
  <c r="CG49" i="33" s="1"/>
  <c r="CU142" i="33" a="1"/>
  <c r="CU142" i="33" s="1"/>
  <c r="Y66" i="33" a="1"/>
  <c r="Y66" i="33" s="1"/>
  <c r="BG23" i="33" a="1"/>
  <c r="BG23" i="33" s="1"/>
  <c r="Y39" i="33" a="1"/>
  <c r="Y39" i="33" s="1"/>
  <c r="BQ41" i="33" a="1"/>
  <c r="BQ41" i="33" s="1"/>
  <c r="BG63" i="33" a="1"/>
  <c r="BG63" i="33" s="1"/>
  <c r="AT23" i="33" a="1"/>
  <c r="AT23" i="33" s="1"/>
  <c r="AM105" i="33" a="1"/>
  <c r="AM105" i="33" s="1"/>
  <c r="CQ28" i="33" a="1"/>
  <c r="CQ28" i="33" s="1"/>
  <c r="Y153" i="33" a="1"/>
  <c r="Y153" i="33" s="1"/>
  <c r="Y149" i="33" a="1"/>
  <c r="Y149" i="33" s="1"/>
  <c r="AC32" i="33" a="1"/>
  <c r="AC32" i="33" s="1"/>
  <c r="CA136" i="33" a="1"/>
  <c r="CA136" i="33" s="1"/>
  <c r="Y25" i="33" a="1"/>
  <c r="Y25" i="33" s="1"/>
  <c r="CO140" i="33" a="1"/>
  <c r="CO140" i="33" s="1"/>
  <c r="D119" i="33" a="1"/>
  <c r="D119" i="33" s="1"/>
  <c r="AQ60" i="33" a="1"/>
  <c r="AQ60" i="33" s="1"/>
  <c r="CP77" i="33" a="1"/>
  <c r="CP77" i="33" s="1"/>
  <c r="AI19" i="33" a="1"/>
  <c r="AI19" i="33" s="1"/>
  <c r="D101" i="33" a="1"/>
  <c r="D101" i="33" s="1"/>
  <c r="AR16" i="33" a="1"/>
  <c r="AR16" i="33" s="1"/>
  <c r="E155" i="33" a="1"/>
  <c r="E155" i="33" s="1"/>
  <c r="BQ97" i="33" a="1"/>
  <c r="BQ97" i="33" s="1"/>
  <c r="BH102" i="33" a="1"/>
  <c r="BH102" i="33" s="1"/>
  <c r="AW141" i="33" a="1"/>
  <c r="AW141" i="33" s="1"/>
  <c r="BH21" i="33" a="1"/>
  <c r="BH21" i="33" s="1"/>
  <c r="CP64" i="33" a="1"/>
  <c r="CP64" i="33" s="1"/>
  <c r="AT22" i="33" a="1"/>
  <c r="AT22" i="33" s="1"/>
  <c r="BQ156" i="33" a="1"/>
  <c r="BQ156" i="33" s="1"/>
  <c r="AT131" i="33" a="1"/>
  <c r="AT131" i="33" s="1"/>
  <c r="AI113" i="33" a="1"/>
  <c r="AI113" i="33" s="1"/>
  <c r="AC155" i="33" a="1"/>
  <c r="AC155" i="33" s="1"/>
  <c r="CY35" i="33" a="1"/>
  <c r="CY35" i="33" s="1"/>
  <c r="AT46" i="33" a="1"/>
  <c r="AT46" i="33" s="1"/>
  <c r="CG93" i="33" a="1"/>
  <c r="CG93" i="33" s="1"/>
  <c r="BL48" i="33" a="1"/>
  <c r="BL48" i="33" s="1"/>
  <c r="AJ103" i="33" a="1"/>
  <c r="AJ103" i="33" s="1"/>
  <c r="CY72" i="33" a="1"/>
  <c r="CY72" i="33" s="1"/>
  <c r="CQ35" i="33" a="1"/>
  <c r="CQ35" i="33" s="1"/>
  <c r="CU43" i="33" a="1"/>
  <c r="CU43" i="33" s="1"/>
  <c r="Y92" i="33" a="1"/>
  <c r="Y92" i="33" s="1"/>
  <c r="CG146" i="33" a="1"/>
  <c r="CG146" i="33" s="1"/>
  <c r="BH46" i="33" a="1"/>
  <c r="BH46" i="33" s="1"/>
  <c r="AC112" i="33" a="1"/>
  <c r="AC112" i="33" s="1"/>
  <c r="AI86" i="33" a="1"/>
  <c r="AI86" i="33" s="1"/>
  <c r="AJ133" i="33" a="1"/>
  <c r="AJ133" i="33" s="1"/>
  <c r="BB94" i="33" a="1"/>
  <c r="BB94" i="33" s="1"/>
  <c r="AR161" i="33" a="1"/>
  <c r="AR161" i="33" s="1"/>
  <c r="D78" i="33" a="1"/>
  <c r="D78" i="33" s="1"/>
  <c r="BV32" i="33" a="1"/>
  <c r="BV32" i="33" s="1"/>
  <c r="BD80" i="33" a="1"/>
  <c r="BD80" i="33" s="1"/>
  <c r="AW90" i="33" a="1"/>
  <c r="AW90" i="33" s="1"/>
  <c r="BH152" i="33" a="1"/>
  <c r="BH152" i="33" s="1"/>
  <c r="CU158" i="33" a="1"/>
  <c r="CU158" i="33" s="1"/>
  <c r="AM54" i="33" a="1"/>
  <c r="AM54" i="33" s="1"/>
  <c r="BB58" i="33" a="1"/>
  <c r="BB58" i="33" s="1"/>
  <c r="CA33" i="33" a="1"/>
  <c r="CA33" i="33" s="1"/>
  <c r="BB131" i="33" a="1"/>
  <c r="BB131" i="33" s="1"/>
  <c r="CF104" i="33" a="1"/>
  <c r="CF104" i="33" s="1"/>
  <c r="BB18" i="33" a="1"/>
  <c r="BB18" i="33" s="1"/>
  <c r="CQ37" i="33" a="1"/>
  <c r="CQ37" i="33" s="1"/>
  <c r="K65" i="33" a="1"/>
  <c r="K65" i="33" s="1"/>
  <c r="CA64" i="33" a="1"/>
  <c r="CA64" i="33" s="1"/>
  <c r="CU115" i="33" a="1"/>
  <c r="CU115" i="33" s="1"/>
  <c r="BQ131" i="33" a="1"/>
  <c r="BQ131" i="33" s="1"/>
  <c r="BM45" i="33" a="1"/>
  <c r="BM45" i="33" s="1"/>
  <c r="AR148" i="33" a="1"/>
  <c r="AR148" i="33" s="1"/>
  <c r="AH34" i="33" a="1"/>
  <c r="AH34" i="33" s="1"/>
  <c r="AH152" i="33" a="1"/>
  <c r="AH152" i="33" s="1"/>
  <c r="CU68" i="33" a="1"/>
  <c r="CU68" i="33" s="1"/>
  <c r="CG55" i="33" a="1"/>
  <c r="CG55" i="33" s="1"/>
  <c r="CA83" i="33" a="1"/>
  <c r="CA83" i="33" s="1"/>
  <c r="AJ68" i="33" a="1"/>
  <c r="AJ68" i="33" s="1"/>
  <c r="AI37" i="33" a="1"/>
  <c r="AI37" i="33" s="1"/>
  <c r="BM109" i="33" a="1"/>
  <c r="BM109" i="33" s="1"/>
  <c r="AC75" i="33" a="1"/>
  <c r="AC75" i="33" s="1"/>
  <c r="BC140" i="33" a="1"/>
  <c r="BC140" i="33" s="1"/>
  <c r="BC26" i="33" a="1"/>
  <c r="BC26" i="33" s="1"/>
  <c r="CU103" i="33" a="1"/>
  <c r="CU103" i="33" s="1"/>
  <c r="BQ15" i="33" a="1"/>
  <c r="BQ15" i="33" s="1"/>
  <c r="BQ22" i="33" a="1"/>
  <c r="BQ22" i="33" s="1"/>
  <c r="AS132" i="33" a="1"/>
  <c r="AS132" i="33" s="1"/>
  <c r="Y84" i="33" a="1"/>
  <c r="Y84" i="33" s="1"/>
  <c r="CU107" i="33" a="1"/>
  <c r="CU107" i="33" s="1"/>
  <c r="BQ102" i="33" a="1"/>
  <c r="BQ102" i="33" s="1"/>
  <c r="D130" i="33" a="1"/>
  <c r="D130" i="33" s="1"/>
  <c r="CP41" i="33" a="1"/>
  <c r="CP41" i="33" s="1"/>
  <c r="BD159" i="33" a="1"/>
  <c r="BD159" i="33" s="1"/>
  <c r="CU116" i="33" a="1"/>
  <c r="CU116" i="33" s="1"/>
  <c r="CN106" i="33" a="1"/>
  <c r="CN106" i="33" s="1"/>
  <c r="AW24" i="33" a="1"/>
  <c r="AW24" i="33" s="1"/>
  <c r="CQ74" i="33" a="1"/>
  <c r="CQ74" i="33" s="1"/>
  <c r="D46" i="33" a="1"/>
  <c r="D46" i="33" s="1"/>
  <c r="AI43" i="33" a="1"/>
  <c r="AI43" i="33" s="1"/>
  <c r="AM42" i="33" a="1"/>
  <c r="AM42" i="33" s="1"/>
  <c r="CZ151" i="33" a="1"/>
  <c r="CZ151" i="33" s="1"/>
  <c r="BL14" i="33" a="1"/>
  <c r="BL14" i="33" s="1"/>
  <c r="BG48" i="33" a="1"/>
  <c r="BG48" i="33" s="1"/>
  <c r="CZ22" i="33" a="1"/>
  <c r="CZ22" i="33" s="1"/>
  <c r="BH136" i="33" a="1"/>
  <c r="BH136" i="33" s="1"/>
  <c r="CZ70" i="33" a="1"/>
  <c r="CZ70" i="33" s="1"/>
  <c r="CZ37" i="33" a="1"/>
  <c r="CZ37" i="33" s="1"/>
  <c r="BG53" i="33" a="1"/>
  <c r="BG53" i="33" s="1"/>
  <c r="AW59" i="33" a="1"/>
  <c r="AW59" i="33" s="1"/>
  <c r="AT72" i="33" a="1"/>
  <c r="AT72" i="33" s="1"/>
  <c r="BH107" i="33" a="1"/>
  <c r="BH107" i="33" s="1"/>
  <c r="BG32" i="33" a="1"/>
  <c r="BG32" i="33" s="1"/>
  <c r="X84" i="33" a="1"/>
  <c r="X84" i="33" s="1"/>
  <c r="CG118" i="33" a="1"/>
  <c r="CG118" i="33" s="1"/>
  <c r="CA123" i="33" a="1"/>
  <c r="CA123" i="33" s="1"/>
  <c r="Z37" i="33" a="1"/>
  <c r="Z37" i="33" s="1"/>
  <c r="BW14" i="33" a="1"/>
  <c r="BW14" i="33" s="1"/>
  <c r="BB140" i="33" a="1"/>
  <c r="BB140" i="33" s="1"/>
  <c r="CU22" i="33" a="1"/>
  <c r="CU22" i="33" s="1"/>
  <c r="Y17" i="33" a="1"/>
  <c r="Y17" i="33" s="1"/>
  <c r="AQ45" i="33" a="1"/>
  <c r="AQ45" i="33" s="1"/>
  <c r="BB149" i="33" a="1"/>
  <c r="BB149" i="33" s="1"/>
  <c r="CO154" i="33" a="1"/>
  <c r="CO154" i="33" s="1"/>
  <c r="AC26" i="33" a="1"/>
  <c r="AC26" i="33" s="1"/>
  <c r="AI24" i="33" a="1"/>
  <c r="AI24" i="33" s="1"/>
  <c r="CO64" i="33" a="1"/>
  <c r="CO64" i="33" s="1"/>
  <c r="Z127" i="33" a="1"/>
  <c r="Z127" i="33" s="1"/>
  <c r="BD107" i="33" a="1"/>
  <c r="BD107" i="33" s="1"/>
  <c r="AC149" i="33" a="1"/>
  <c r="AC149" i="33" s="1"/>
  <c r="AT139" i="33" a="1"/>
  <c r="AT139" i="33" s="1"/>
  <c r="CU98" i="33" a="1"/>
  <c r="CU98" i="33" s="1"/>
  <c r="BD142" i="33" a="1"/>
  <c r="BD142" i="33" s="1"/>
  <c r="AS126" i="33" a="1"/>
  <c r="AS126" i="33" s="1"/>
  <c r="BW109" i="33" a="1"/>
  <c r="BW109" i="33" s="1"/>
  <c r="AR41" i="33" a="1"/>
  <c r="AR41" i="33" s="1"/>
  <c r="AI28" i="33" a="1"/>
  <c r="AI28" i="33" s="1"/>
  <c r="BQ112" i="33" a="1"/>
  <c r="BQ112" i="33" s="1"/>
  <c r="AW133" i="33" a="1"/>
  <c r="AW133" i="33" s="1"/>
  <c r="CT54" i="33" a="1"/>
  <c r="CT54" i="33" s="1"/>
  <c r="Y50" i="33" a="1"/>
  <c r="Y50" i="33" s="1"/>
  <c r="AS49" i="33" a="1"/>
  <c r="AS49" i="33" s="1"/>
  <c r="AW71" i="33" a="1"/>
  <c r="AW71" i="33" s="1"/>
  <c r="CO141" i="33" a="1"/>
  <c r="CO141" i="33" s="1"/>
  <c r="AI39" i="33" a="1"/>
  <c r="AI39" i="33" s="1"/>
  <c r="L73" i="33" a="1"/>
  <c r="L73" i="33" s="1"/>
  <c r="BQ115" i="33" a="1"/>
  <c r="BQ115" i="33" s="1"/>
  <c r="AM125" i="33" a="1"/>
  <c r="AM125" i="33" s="1"/>
  <c r="BW125" i="33" a="1"/>
  <c r="BW125" i="33" s="1"/>
  <c r="CU53" i="33" a="1"/>
  <c r="CU53" i="33" s="1"/>
  <c r="CA78" i="33" a="1"/>
  <c r="CA78" i="33" s="1"/>
  <c r="AR135" i="33" a="1"/>
  <c r="AR135" i="33" s="1"/>
  <c r="AC34" i="33" a="1"/>
  <c r="AC34" i="33" s="1"/>
  <c r="Y30" i="33" a="1"/>
  <c r="Y30" i="33" s="1"/>
  <c r="BG99" i="33" a="1"/>
  <c r="BG99" i="33" s="1"/>
  <c r="AS107" i="33" a="1"/>
  <c r="AS107" i="33" s="1"/>
  <c r="BC24" i="33" a="1"/>
  <c r="BC24" i="33" s="1"/>
  <c r="BB110" i="33" a="1"/>
  <c r="BB110" i="33" s="1"/>
  <c r="BG15" i="33" a="1"/>
  <c r="BG15" i="33" s="1"/>
  <c r="CF111" i="33" a="1"/>
  <c r="CF111" i="33" s="1"/>
  <c r="Y124" i="33" a="1"/>
  <c r="Y124" i="33" s="1"/>
  <c r="CP28" i="33" a="1"/>
  <c r="CP28" i="33" s="1"/>
  <c r="AQ134" i="33" a="1"/>
  <c r="AQ134" i="33" s="1"/>
  <c r="CQ50" i="33" a="1"/>
  <c r="CQ50" i="33" s="1"/>
  <c r="AM102" i="33" a="1"/>
  <c r="AM102" i="33" s="1"/>
  <c r="CZ19" i="33" a="1"/>
  <c r="CZ19" i="33" s="1"/>
  <c r="CG123" i="33" a="1"/>
  <c r="CG123" i="33" s="1"/>
  <c r="Y105" i="33" a="1"/>
  <c r="Y105" i="33" s="1"/>
  <c r="CZ122" i="33" a="1"/>
  <c r="CZ122" i="33" s="1"/>
  <c r="AC127" i="33" a="1"/>
  <c r="AC127" i="33" s="1"/>
  <c r="BV92" i="33" a="1"/>
  <c r="BV92" i="33" s="1"/>
  <c r="BD158" i="33" a="1"/>
  <c r="BD158" i="33" s="1"/>
  <c r="BK73" i="33" a="1"/>
  <c r="BK73" i="33" s="1"/>
  <c r="CZ124" i="33" a="1"/>
  <c r="CZ124" i="33" s="1"/>
  <c r="CA144" i="33" a="1"/>
  <c r="CA144" i="33" s="1"/>
  <c r="AC139" i="33" a="1"/>
  <c r="AC139" i="33" s="1"/>
  <c r="CQ78" i="33" a="1"/>
  <c r="CQ78" i="33" s="1"/>
  <c r="AS47" i="33" a="1"/>
  <c r="AS47" i="33" s="1"/>
  <c r="Y74" i="33" a="1"/>
  <c r="Y74" i="33" s="1"/>
  <c r="CQ87" i="33" a="1"/>
  <c r="CQ87" i="33" s="1"/>
  <c r="BA122" i="33" a="1"/>
  <c r="BA122" i="33" s="1"/>
  <c r="CA124" i="33" a="1"/>
  <c r="CA124" i="33" s="1"/>
  <c r="AH49" i="33" a="1"/>
  <c r="AH49" i="33" s="1"/>
  <c r="BB33" i="33" a="1"/>
  <c r="BB33" i="33" s="1"/>
  <c r="CF79" i="33" a="1"/>
  <c r="CF79" i="33" s="1"/>
  <c r="CY93" i="33" a="1"/>
  <c r="CY93" i="33" s="1"/>
  <c r="K33" i="33" a="1"/>
  <c r="K33" i="33" s="1"/>
  <c r="AW53" i="33" a="1"/>
  <c r="AW53" i="33" s="1"/>
  <c r="AI100" i="33" a="1"/>
  <c r="AI100" i="33" s="1"/>
  <c r="Y19" i="33" a="1"/>
  <c r="Y19" i="33" s="1"/>
  <c r="AM161" i="33" a="1"/>
  <c r="AM161" i="33" s="1"/>
  <c r="Y59" i="33" a="1"/>
  <c r="Y59" i="33" s="1"/>
  <c r="BG141" i="33" a="1"/>
  <c r="BG141" i="33" s="1"/>
  <c r="W44" i="33" a="1"/>
  <c r="W44" i="33" s="1"/>
  <c r="CU136" i="33" a="1"/>
  <c r="CU136" i="33" s="1"/>
  <c r="AS138" i="33" a="1"/>
  <c r="AS138" i="33" s="1"/>
  <c r="AI109" i="33" a="1"/>
  <c r="AI109" i="33" s="1"/>
  <c r="BG85" i="33" a="1"/>
  <c r="BG85" i="33" s="1"/>
  <c r="CZ110" i="33" a="1"/>
  <c r="CZ110" i="33" s="1"/>
  <c r="AC33" i="33" a="1"/>
  <c r="AC33" i="33" s="1"/>
  <c r="BB89" i="33" a="1"/>
  <c r="BB89" i="33" s="1"/>
  <c r="CF62" i="33" a="1"/>
  <c r="CF62" i="33" s="1"/>
  <c r="D79" i="33" a="1"/>
  <c r="D79" i="33" s="1"/>
  <c r="AI153" i="33" a="1"/>
  <c r="AI153" i="33" s="1"/>
  <c r="CA63" i="33" a="1"/>
  <c r="CA63" i="33" s="1"/>
  <c r="CP128" i="33" a="1"/>
  <c r="CP128" i="33" s="1"/>
  <c r="CG116" i="33" a="1"/>
  <c r="CG116" i="33" s="1"/>
  <c r="BG126" i="33" a="1"/>
  <c r="BG126" i="33" s="1"/>
  <c r="Y127" i="33" a="1"/>
  <c r="Y127" i="33" s="1"/>
  <c r="CP76" i="33" a="1"/>
  <c r="CP76" i="33" s="1"/>
  <c r="BC145" i="33" a="1"/>
  <c r="BC145" i="33" s="1"/>
  <c r="BA42" i="33" a="1"/>
  <c r="BA42" i="33" s="1"/>
  <c r="BL146" i="33" a="1"/>
  <c r="BL146" i="33" s="1"/>
  <c r="BH36" i="33" a="1"/>
  <c r="BH36" i="33" s="1"/>
  <c r="AJ108" i="33" a="1"/>
  <c r="AJ108" i="33" s="1"/>
  <c r="BG68" i="33" a="1"/>
  <c r="BG68" i="33" s="1"/>
  <c r="BG104" i="33" a="1"/>
  <c r="BG104" i="33" s="1"/>
  <c r="AH41" i="33" a="1"/>
  <c r="AH41" i="33" s="1"/>
  <c r="AM99" i="33" a="1"/>
  <c r="AM99" i="33" s="1"/>
  <c r="AW144" i="33" a="1"/>
  <c r="AW144" i="33" s="1"/>
  <c r="AW30" i="33" a="1"/>
  <c r="AW30" i="33" s="1"/>
  <c r="CF158" i="33" a="1"/>
  <c r="CF158" i="33" s="1"/>
  <c r="BB38" i="33" a="1"/>
  <c r="BB38" i="33" s="1"/>
  <c r="BH23" i="33" a="1"/>
  <c r="BH23" i="33" s="1"/>
  <c r="AH14" i="33" a="1"/>
  <c r="AH14" i="33" s="1"/>
  <c r="CD98" i="33" a="1"/>
  <c r="CD98" i="33" s="1"/>
  <c r="BL151" i="33" a="1"/>
  <c r="BL151" i="33" s="1"/>
  <c r="BL131" i="33" a="1"/>
  <c r="BL131" i="33" s="1"/>
  <c r="CD17" i="33" a="1"/>
  <c r="CD17" i="33" s="1"/>
  <c r="BA155" i="33" a="1"/>
  <c r="BA155" i="33" s="1"/>
  <c r="X82" i="33" a="1"/>
  <c r="X82" i="33" s="1"/>
  <c r="AI149" i="33" a="1"/>
  <c r="AI149" i="33" s="1"/>
  <c r="BL15" i="33" a="1"/>
  <c r="BL15" i="33" s="1"/>
  <c r="BK147" i="33" a="1"/>
  <c r="BK147" i="33" s="1"/>
  <c r="AG107" i="33" a="1"/>
  <c r="AG107" i="33" s="1"/>
  <c r="AR55" i="33" a="1"/>
  <c r="AR55" i="33" s="1"/>
  <c r="CF96" i="33" a="1"/>
  <c r="CF96" i="33" s="1"/>
  <c r="BT130" i="33" a="1"/>
  <c r="BT130" i="33" s="1"/>
  <c r="BV111" i="33" a="1"/>
  <c r="BV111" i="33" s="1"/>
  <c r="AH136" i="33" a="1"/>
  <c r="AH136" i="33" s="1"/>
  <c r="AN137" i="33" a="1"/>
  <c r="AN137" i="33" s="1"/>
  <c r="CY88" i="33" a="1"/>
  <c r="CY88" i="33" s="1"/>
  <c r="CY77" i="33" a="1"/>
  <c r="CY77" i="33" s="1"/>
  <c r="CY125" i="33" a="1"/>
  <c r="CY125" i="33" s="1"/>
  <c r="BL88" i="33" a="1"/>
  <c r="BL88" i="33" s="1"/>
  <c r="CO143" i="33" a="1"/>
  <c r="CO143" i="33" s="1"/>
  <c r="BL31" i="33" a="1"/>
  <c r="BL31" i="33" s="1"/>
  <c r="BL66" i="33" a="1"/>
  <c r="BL66" i="33" s="1"/>
  <c r="CD87" i="33" a="1"/>
  <c r="CD87" i="33" s="1"/>
  <c r="CG87" i="33" a="1"/>
  <c r="CG87" i="33" s="1"/>
  <c r="BG131" i="33" a="1"/>
  <c r="BG131" i="33" s="1"/>
  <c r="AG19" i="33" a="1"/>
  <c r="AG19" i="33" s="1"/>
  <c r="BV24" i="33" a="1"/>
  <c r="BV24" i="33" s="1"/>
  <c r="BG123" i="33" a="1"/>
  <c r="BG123" i="33" s="1"/>
  <c r="BB29" i="33" a="1"/>
  <c r="BB29" i="33" s="1"/>
  <c r="AP101" i="33" a="1"/>
  <c r="AP101" i="33" s="1"/>
  <c r="CO107" i="33" a="1"/>
  <c r="CO107" i="33" s="1"/>
  <c r="BH149" i="33" a="1"/>
  <c r="BH149" i="33" s="1"/>
  <c r="AW84" i="33" a="1"/>
  <c r="AW84" i="33" s="1"/>
  <c r="X39" i="33" a="1"/>
  <c r="X39" i="33" s="1"/>
  <c r="CP105" i="33" a="1"/>
  <c r="CP105" i="33" s="1"/>
  <c r="BJ90" i="33" a="1"/>
  <c r="BJ90" i="33" s="1"/>
  <c r="AM123" i="33" a="1"/>
  <c r="AM123" i="33" s="1"/>
  <c r="CF42" i="33" a="1"/>
  <c r="CF42" i="33" s="1"/>
  <c r="AJ120" i="33" a="1"/>
  <c r="AJ120" i="33" s="1"/>
  <c r="CY87" i="33" a="1"/>
  <c r="CY87" i="33" s="1"/>
  <c r="AC146" i="33" a="1"/>
  <c r="AC146" i="33" s="1"/>
  <c r="CO52" i="33" a="1"/>
  <c r="CO52" i="33" s="1"/>
  <c r="AH88" i="33" a="1"/>
  <c r="AH88" i="33" s="1"/>
  <c r="CP38" i="33" a="1"/>
  <c r="CP38" i="33" s="1"/>
  <c r="BH64" i="33" a="1"/>
  <c r="BH64" i="33" s="1"/>
  <c r="AJ122" i="33" a="1"/>
  <c r="AJ122" i="33" s="1"/>
  <c r="AZ126" i="33" a="1"/>
  <c r="AZ126" i="33" s="1"/>
  <c r="AR123" i="33" a="1"/>
  <c r="AR123" i="33" s="1"/>
  <c r="AR122" i="33" a="1"/>
  <c r="AR122" i="33" s="1"/>
  <c r="CO33" i="33" a="1"/>
  <c r="CO33" i="33" s="1"/>
  <c r="CP119" i="33" a="1"/>
  <c r="CP119" i="33" s="1"/>
  <c r="AI136" i="33" a="1"/>
  <c r="AI136" i="33" s="1"/>
  <c r="W122" i="33" a="1"/>
  <c r="W122" i="33" s="1"/>
  <c r="Y61" i="33" a="1"/>
  <c r="Y61" i="33" s="1"/>
  <c r="BW87" i="33" a="1"/>
  <c r="BW87" i="33" s="1"/>
  <c r="AG38" i="33" a="1"/>
  <c r="AG38" i="33" s="1"/>
  <c r="BM84" i="33" a="1"/>
  <c r="BM84" i="33" s="1"/>
  <c r="BG14" i="33" a="1"/>
  <c r="BG14" i="33" s="1"/>
  <c r="CU104" i="33" a="1"/>
  <c r="CU104" i="33" s="1"/>
  <c r="BD56" i="33" a="1"/>
  <c r="BD56" i="33" s="1"/>
  <c r="BW137" i="33" a="1"/>
  <c r="BW137" i="33" s="1"/>
  <c r="CF149" i="33" a="1"/>
  <c r="CF149" i="33" s="1"/>
  <c r="AS134" i="33" a="1"/>
  <c r="AS134" i="33" s="1"/>
  <c r="CO84" i="33" a="1"/>
  <c r="CO84" i="33" s="1"/>
  <c r="AS78" i="33" a="1"/>
  <c r="AS78" i="33" s="1"/>
  <c r="CA143" i="33" a="1"/>
  <c r="CA143" i="33" s="1"/>
  <c r="BL18" i="33" a="1"/>
  <c r="BL18" i="33" s="1"/>
  <c r="CF30" i="33" a="1"/>
  <c r="CF30" i="33" s="1"/>
  <c r="BV118" i="33" a="1"/>
  <c r="BV118" i="33" s="1"/>
  <c r="AH70" i="33" a="1"/>
  <c r="AH70" i="33" s="1"/>
  <c r="BV27" i="33" a="1"/>
  <c r="BV27" i="33" s="1"/>
  <c r="BV124" i="33" a="1"/>
  <c r="BV124" i="33" s="1"/>
  <c r="BU97" i="33" a="1"/>
  <c r="BU97" i="33" s="1"/>
  <c r="BQ107" i="33" a="1"/>
  <c r="BQ107" i="33" s="1"/>
  <c r="AS115" i="33" a="1"/>
  <c r="AS115" i="33" s="1"/>
  <c r="AJ35" i="33" a="1"/>
  <c r="AJ35" i="33" s="1"/>
  <c r="AG45" i="33" a="1"/>
  <c r="AG45" i="33" s="1"/>
  <c r="CO161" i="33" a="1"/>
  <c r="CO161" i="33" s="1"/>
  <c r="BB49" i="33" a="1"/>
  <c r="BB49" i="33" s="1"/>
  <c r="AQ50" i="33" a="1"/>
  <c r="AQ50" i="33" s="1"/>
  <c r="BB36" i="33" a="1"/>
  <c r="BB36" i="33" s="1"/>
  <c r="BB41" i="33" a="1"/>
  <c r="BB41" i="33" s="1"/>
  <c r="BA159" i="33" a="1"/>
  <c r="BA159" i="33" s="1"/>
  <c r="AR88" i="33" a="1"/>
  <c r="AR88" i="33" s="1"/>
  <c r="AG119" i="33" a="1"/>
  <c r="AG119" i="33" s="1"/>
  <c r="D87" i="33" a="1"/>
  <c r="D87" i="33" s="1"/>
  <c r="BK135" i="33" a="1"/>
  <c r="BK135" i="33" s="1"/>
  <c r="AG67" i="33" a="1"/>
  <c r="AG67" i="33" s="1"/>
  <c r="D137" i="33" a="1"/>
  <c r="D137" i="33" s="1"/>
  <c r="BV35" i="33" a="1"/>
  <c r="BV35" i="33" s="1"/>
  <c r="D157" i="33" a="1"/>
  <c r="D157" i="33" s="1"/>
  <c r="CB124" i="33" a="1"/>
  <c r="CB124" i="33" s="1"/>
  <c r="CG94" i="33" a="1"/>
  <c r="CG94" i="33" s="1"/>
  <c r="BB118" i="33" a="1"/>
  <c r="BB118" i="33" s="1"/>
  <c r="AG124" i="33" a="1"/>
  <c r="AG124" i="33" s="1"/>
  <c r="BB96" i="33" a="1"/>
  <c r="BB96" i="33" s="1"/>
  <c r="BU50" i="33" a="1"/>
  <c r="BU50" i="33" s="1"/>
  <c r="AF121" i="33" a="1"/>
  <c r="AF121" i="33" s="1"/>
  <c r="CZ108" i="33" a="1"/>
  <c r="CZ108" i="33" s="1"/>
  <c r="BK83" i="33" a="1"/>
  <c r="BK83" i="33" s="1"/>
  <c r="Y106" i="33" a="1"/>
  <c r="Y106" i="33" s="1"/>
  <c r="BH159" i="33" a="1"/>
  <c r="BH159" i="33" s="1"/>
  <c r="BL89" i="33" a="1"/>
  <c r="BL89" i="33" s="1"/>
  <c r="BA103" i="33" a="1"/>
  <c r="BA103" i="33" s="1"/>
  <c r="AW114" i="33" a="1"/>
  <c r="AW114" i="33" s="1"/>
  <c r="CD159" i="33" a="1"/>
  <c r="CD159" i="33" s="1"/>
  <c r="CQ127" i="33" a="1"/>
  <c r="CQ127" i="33" s="1"/>
  <c r="BQ101" i="33" a="1"/>
  <c r="BQ101" i="33" s="1"/>
  <c r="BK142" i="33" a="1"/>
  <c r="BK142" i="33" s="1"/>
  <c r="W72" i="33" a="1"/>
  <c r="W72" i="33" s="1"/>
  <c r="BU66" i="33" a="1"/>
  <c r="BU66" i="33" s="1"/>
  <c r="AF126" i="33" a="1"/>
  <c r="AF126" i="33" s="1"/>
  <c r="AG145" i="33" a="1"/>
  <c r="AG145" i="33" s="1"/>
  <c r="AQ122" i="33" a="1"/>
  <c r="AQ122" i="33" s="1"/>
  <c r="BC28" i="33" a="1"/>
  <c r="BC28" i="33" s="1"/>
  <c r="BV135" i="33" a="1"/>
  <c r="BV135" i="33" s="1"/>
  <c r="AG66" i="33" a="1"/>
  <c r="AG66" i="33" s="1"/>
  <c r="AF66" i="33" a="1"/>
  <c r="AF66" i="33" s="1"/>
  <c r="AG131" i="33" a="1"/>
  <c r="AG131" i="33" s="1"/>
  <c r="CP83" i="33" a="1"/>
  <c r="CP83" i="33" s="1"/>
  <c r="D66" i="33" a="1"/>
  <c r="D66" i="33" s="1"/>
  <c r="CF94" i="33" a="1"/>
  <c r="CF94" i="33" s="1"/>
  <c r="BH153" i="33" a="1"/>
  <c r="BH153" i="33" s="1"/>
  <c r="D123" i="33" a="1"/>
  <c r="D123" i="33" s="1"/>
  <c r="CP78" i="33" a="1"/>
  <c r="CP78" i="33" s="1"/>
  <c r="AI14" i="33" a="1"/>
  <c r="AI14" i="33" s="1"/>
  <c r="CG43" i="33" a="1"/>
  <c r="CG43" i="33" s="1"/>
  <c r="AJ79" i="33" a="1"/>
  <c r="AJ79" i="33" s="1"/>
  <c r="BB147" i="33" a="1"/>
  <c r="BB147" i="33" s="1"/>
  <c r="BB53" i="33" a="1"/>
  <c r="BB53" i="33" s="1"/>
  <c r="W151" i="33" a="1"/>
  <c r="W151" i="33" s="1"/>
  <c r="CF77" i="33" a="1"/>
  <c r="CF77" i="33" s="1"/>
  <c r="AJ134" i="33" a="1"/>
  <c r="AJ134" i="33" s="1"/>
  <c r="CY65" i="33" a="1"/>
  <c r="CY65" i="33" s="1"/>
  <c r="AQ18" i="33" a="1"/>
  <c r="AQ18" i="33" s="1"/>
  <c r="BG43" i="33" a="1"/>
  <c r="BG43" i="33" s="1"/>
  <c r="BJ95" i="33" a="1"/>
  <c r="BJ95" i="33" s="1"/>
  <c r="BV39" i="33" a="1"/>
  <c r="BV39" i="33" s="1"/>
  <c r="BV139" i="33" a="1"/>
  <c r="BV139" i="33" s="1"/>
  <c r="X34" i="33" a="1"/>
  <c r="X34" i="33" s="1"/>
  <c r="CA52" i="33" a="1"/>
  <c r="CA52" i="33" s="1"/>
  <c r="AC59" i="33" a="1"/>
  <c r="AC59" i="33" s="1"/>
  <c r="AG37" i="33" a="1"/>
  <c r="AG37" i="33" s="1"/>
  <c r="CY122" i="33" a="1"/>
  <c r="CY122" i="33" s="1"/>
  <c r="BU74" i="33" a="1"/>
  <c r="BU74" i="33" s="1"/>
  <c r="X50" i="33" a="1"/>
  <c r="X50" i="33" s="1"/>
  <c r="CO92" i="33" a="1"/>
  <c r="CO92" i="33" s="1"/>
  <c r="BU60" i="33" a="1"/>
  <c r="BU60" i="33" s="1"/>
  <c r="AT61" i="33" a="1"/>
  <c r="AT61" i="33" s="1"/>
  <c r="AQ14" i="33" a="1"/>
  <c r="AQ14" i="33" s="1"/>
  <c r="AM103" i="33" a="1"/>
  <c r="AM103" i="33" s="1"/>
  <c r="AJ40" i="33" a="1"/>
  <c r="AJ40" i="33" s="1"/>
  <c r="CP106" i="33" a="1"/>
  <c r="CP106" i="33" s="1"/>
  <c r="CZ81" i="33" a="1"/>
  <c r="CZ81" i="33" s="1"/>
  <c r="CD100" i="33" a="1"/>
  <c r="CD100" i="33" s="1"/>
  <c r="X136" i="33" a="1"/>
  <c r="X136" i="33" s="1"/>
  <c r="AT150" i="33" a="1"/>
  <c r="AT150" i="33" s="1"/>
  <c r="CO97" i="33" a="1"/>
  <c r="CO97" i="33" s="1"/>
  <c r="AS105" i="33" a="1"/>
  <c r="AS105" i="33" s="1"/>
  <c r="CZ40" i="33" a="1"/>
  <c r="CZ40" i="33" s="1"/>
  <c r="CD138" i="33" a="1"/>
  <c r="CD138" i="33" s="1"/>
  <c r="D121" i="33" a="1"/>
  <c r="D121" i="33" s="1"/>
  <c r="AZ90" i="33" a="1"/>
  <c r="AZ90" i="33" s="1"/>
  <c r="BK74" i="33" a="1"/>
  <c r="BK74" i="33" s="1"/>
  <c r="BB40" i="33" a="1"/>
  <c r="BB40" i="33" s="1"/>
  <c r="BC112" i="33" a="1"/>
  <c r="BC112" i="33" s="1"/>
  <c r="CP143" i="33" a="1"/>
  <c r="CP143" i="33" s="1"/>
  <c r="BU156" i="33" a="1"/>
  <c r="BU156" i="33" s="1"/>
  <c r="W94" i="33" a="1"/>
  <c r="W94" i="33" s="1"/>
  <c r="AZ129" i="33" a="1"/>
  <c r="AZ129" i="33" s="1"/>
  <c r="AH141" i="33" a="1"/>
  <c r="AH141" i="33" s="1"/>
  <c r="BV152" i="33" a="1"/>
  <c r="BV152" i="33" s="1"/>
  <c r="BU52" i="33" a="1"/>
  <c r="BU52" i="33" s="1"/>
  <c r="X98" i="33" a="1"/>
  <c r="X98" i="33" s="1"/>
  <c r="CD112" i="33" a="1"/>
  <c r="CD112" i="33" s="1"/>
  <c r="X135" i="33" a="1"/>
  <c r="X135" i="33" s="1"/>
  <c r="CD133" i="33" a="1"/>
  <c r="CD133" i="33" s="1"/>
  <c r="BH120" i="33" a="1"/>
  <c r="BH120" i="33" s="1"/>
  <c r="BK40" i="33" a="1"/>
  <c r="BK40" i="33" s="1"/>
  <c r="AC92" i="33" a="1"/>
  <c r="AC92" i="33" s="1"/>
  <c r="CN63" i="33" a="1"/>
  <c r="CN63" i="33" s="1"/>
  <c r="CY28" i="33" a="1"/>
  <c r="CY28" i="33" s="1"/>
  <c r="AZ152" i="33" a="1"/>
  <c r="AZ152" i="33" s="1"/>
  <c r="CO113" i="33" a="1"/>
  <c r="CO113" i="33" s="1"/>
  <c r="AR78" i="33" a="1"/>
  <c r="AR78" i="33" s="1"/>
  <c r="CZ46" i="33" a="1"/>
  <c r="CZ46" i="33" s="1"/>
  <c r="CY137" i="33" a="1"/>
  <c r="CY137" i="33" s="1"/>
  <c r="CQ91" i="33" a="1"/>
  <c r="CQ91" i="33" s="1"/>
  <c r="BL20" i="33" a="1"/>
  <c r="BL20" i="33" s="1"/>
  <c r="AR115" i="33" a="1"/>
  <c r="AR115" i="33" s="1"/>
  <c r="CF136" i="33" a="1"/>
  <c r="CF136" i="33" s="1"/>
  <c r="AI85" i="33" a="1"/>
  <c r="AI85" i="33" s="1"/>
  <c r="AW100" i="33" a="1"/>
  <c r="AW100" i="33" s="1"/>
  <c r="BA93" i="33" a="1"/>
  <c r="BA93" i="33" s="1"/>
  <c r="AQ68" i="33" a="1"/>
  <c r="AQ68" i="33" s="1"/>
  <c r="AH108" i="33" a="1"/>
  <c r="AH108" i="33" s="1"/>
  <c r="BD82" i="33" a="1"/>
  <c r="BD82" i="33" s="1"/>
  <c r="BM64" i="33" a="1"/>
  <c r="BM64" i="33" s="1"/>
  <c r="CD107" i="33" a="1"/>
  <c r="CD107" i="33" s="1"/>
  <c r="CZ42" i="33" a="1"/>
  <c r="CZ42" i="33" s="1"/>
  <c r="BW60" i="33" a="1"/>
  <c r="BW60" i="33" s="1"/>
  <c r="BV82" i="33" a="1"/>
  <c r="BV82" i="33" s="1"/>
  <c r="BU27" i="33" a="1"/>
  <c r="BU27" i="33" s="1"/>
  <c r="X161" i="33" a="1"/>
  <c r="X161" i="33" s="1"/>
  <c r="D114" i="33" a="1"/>
  <c r="D114" i="33" s="1"/>
  <c r="CZ119" i="33" a="1"/>
  <c r="CZ119" i="33" s="1"/>
  <c r="AT85" i="33" a="1"/>
  <c r="AT85" i="33" s="1"/>
  <c r="BL106" i="33" a="1"/>
  <c r="BL106" i="33" s="1"/>
  <c r="AQ17" i="33" a="1"/>
  <c r="AQ17" i="33" s="1"/>
  <c r="BV132" i="33" a="1"/>
  <c r="BV132" i="33" s="1"/>
  <c r="CQ49" i="33" a="1"/>
  <c r="CQ49" i="33" s="1"/>
  <c r="BL141" i="33" a="1"/>
  <c r="BL141" i="33" s="1"/>
  <c r="AG74" i="33" a="1"/>
  <c r="AG74" i="33" s="1"/>
  <c r="CY147" i="33" a="1"/>
  <c r="CY147" i="33" s="1"/>
  <c r="BV57" i="33" a="1"/>
  <c r="BV57" i="33" s="1"/>
  <c r="V125" i="33" a="1"/>
  <c r="V125" i="33" s="1"/>
  <c r="BW148" i="33" a="1"/>
  <c r="BW148" i="33" s="1"/>
  <c r="D65" i="33" a="1"/>
  <c r="D65" i="33" s="1"/>
  <c r="AG96" i="33" a="1"/>
  <c r="AG96" i="33" s="1"/>
  <c r="BB52" i="33" a="1"/>
  <c r="BB52" i="33" s="1"/>
  <c r="BW143" i="33" a="1"/>
  <c r="BW143" i="33" s="1"/>
  <c r="BV14" i="33" a="1"/>
  <c r="BV14" i="33" s="1"/>
  <c r="AM77" i="33" a="1"/>
  <c r="AM77" i="33" s="1"/>
  <c r="BK23" i="33" a="1"/>
  <c r="BK23" i="33" s="1"/>
  <c r="BQ90" i="33" a="1"/>
  <c r="BQ90" i="33" s="1"/>
  <c r="BB15" i="33" a="1"/>
  <c r="BB15" i="33" s="1"/>
  <c r="BB34" i="33" a="1"/>
  <c r="BB34" i="33" s="1"/>
  <c r="AM79" i="33" a="1"/>
  <c r="AM79" i="33" s="1"/>
  <c r="AC118" i="33" a="1"/>
  <c r="AC118" i="33" s="1"/>
  <c r="BV19" i="33" a="1"/>
  <c r="BV19" i="33" s="1"/>
  <c r="AG50" i="33" a="1"/>
  <c r="AG50" i="33" s="1"/>
  <c r="CX46" i="33" a="1"/>
  <c r="CX46" i="33" s="1"/>
  <c r="AN109" i="33" a="1"/>
  <c r="AN109" i="33" s="1"/>
  <c r="BB137" i="33" a="1"/>
  <c r="BB137" i="33" s="1"/>
  <c r="CP149" i="33" a="1"/>
  <c r="CP149" i="33" s="1"/>
  <c r="CA44" i="33" a="1"/>
  <c r="CA44" i="33" s="1"/>
  <c r="BT14" i="33" a="1"/>
  <c r="BT14" i="33" s="1"/>
  <c r="AB140" i="33" a="1"/>
  <c r="AB140" i="33" s="1"/>
  <c r="CX48" i="33" a="1"/>
  <c r="CX48" i="33" s="1"/>
  <c r="CF67" i="33" a="1"/>
  <c r="CF67" i="33" s="1"/>
  <c r="BU22" i="33" a="1"/>
  <c r="BU22" i="33" s="1"/>
  <c r="CO56" i="33" a="1"/>
  <c r="CO56" i="33" s="1"/>
  <c r="AH60" i="33" a="1"/>
  <c r="AH60" i="33" s="1"/>
  <c r="CZ36" i="33" a="1"/>
  <c r="CZ36" i="33" s="1"/>
  <c r="CD103" i="33" a="1"/>
  <c r="CD103" i="33" s="1"/>
  <c r="BB100" i="33" a="1"/>
  <c r="BB100" i="33" s="1"/>
  <c r="W31" i="33" a="1"/>
  <c r="W31" i="33" s="1"/>
  <c r="AW112" i="33" a="1"/>
  <c r="AW112" i="33" s="1"/>
  <c r="AR132" i="33" a="1"/>
  <c r="AR132" i="33" s="1"/>
  <c r="AW120" i="33" a="1"/>
  <c r="AW120" i="33" s="1"/>
  <c r="AW44" i="33" a="1"/>
  <c r="AW44" i="33" s="1"/>
  <c r="CE119" i="33" a="1"/>
  <c r="CE119" i="33" s="1"/>
  <c r="BL148" i="33" a="1"/>
  <c r="BL148" i="33" s="1"/>
  <c r="BC34" i="33" a="1"/>
  <c r="BC34" i="33" s="1"/>
  <c r="AQ83" i="33" a="1"/>
  <c r="AQ83" i="33" s="1"/>
  <c r="BH33" i="33" a="1"/>
  <c r="BH33" i="33" s="1"/>
  <c r="CA161" i="33" a="1"/>
  <c r="CA161" i="33" s="1"/>
  <c r="BL38" i="33" a="1"/>
  <c r="BL38" i="33" s="1"/>
  <c r="CF41" i="33" a="1"/>
  <c r="CF41" i="33" s="1"/>
  <c r="AC56" i="33" a="1"/>
  <c r="AC56" i="33" s="1"/>
  <c r="AQ96" i="33" a="1"/>
  <c r="AQ96" i="33" s="1"/>
  <c r="AG29" i="33" a="1"/>
  <c r="AG29" i="33" s="1"/>
  <c r="BB90" i="33" a="1"/>
  <c r="BB90" i="33" s="1"/>
  <c r="BK134" i="33" a="1"/>
  <c r="BK134" i="33" s="1"/>
  <c r="AQ52" i="33" a="1"/>
  <c r="AQ52" i="33" s="1"/>
  <c r="BW51" i="33" a="1"/>
  <c r="BW51" i="33" s="1"/>
  <c r="BB97" i="33" a="1"/>
  <c r="BB97" i="33" s="1"/>
  <c r="BK158" i="33" a="1"/>
  <c r="BK158" i="33" s="1"/>
  <c r="AM120" i="33" a="1"/>
  <c r="AM120" i="33" s="1"/>
  <c r="CF142" i="33" a="1"/>
  <c r="CF142" i="33" s="1"/>
  <c r="AI124" i="33" a="1"/>
  <c r="AI124" i="33" s="1"/>
  <c r="AI41" i="33" a="1"/>
  <c r="AI41" i="33" s="1"/>
  <c r="BU141" i="33" a="1"/>
  <c r="BU141" i="33" s="1"/>
  <c r="BL17" i="33" a="1"/>
  <c r="BL17" i="33" s="1"/>
  <c r="BV127" i="33" a="1"/>
  <c r="BV127" i="33" s="1"/>
  <c r="CZ128" i="33" a="1"/>
  <c r="CZ128" i="33" s="1"/>
  <c r="CY129" i="33" a="1"/>
  <c r="CY129" i="33" s="1"/>
  <c r="AC81" i="33" a="1"/>
  <c r="AC81" i="33" s="1"/>
  <c r="AF55" i="33" a="1"/>
  <c r="AF55" i="33" s="1"/>
  <c r="CN105" i="33" a="1"/>
  <c r="CN105" i="33" s="1"/>
  <c r="AR54" i="33" a="1"/>
  <c r="AR54" i="33" s="1"/>
  <c r="BV105" i="33" a="1"/>
  <c r="BV105" i="33" s="1"/>
  <c r="BK92" i="33" a="1"/>
  <c r="BK92" i="33" s="1"/>
  <c r="BD130" i="33" a="1"/>
  <c r="BD130" i="33" s="1"/>
  <c r="BQ111" i="33" a="1"/>
  <c r="BQ111" i="33" s="1"/>
  <c r="W81" i="33" a="1"/>
  <c r="W81" i="33" s="1"/>
  <c r="CO94" i="33" a="1"/>
  <c r="CO94" i="33" s="1"/>
  <c r="BA74" i="33" a="1"/>
  <c r="BA74" i="33" s="1"/>
  <c r="BV20" i="33" a="1"/>
  <c r="BV20" i="33" s="1"/>
  <c r="BL57" i="33" a="1"/>
  <c r="BL57" i="33" s="1"/>
  <c r="CP108" i="33" a="1"/>
  <c r="CP108" i="33" s="1"/>
  <c r="CP95" i="33" a="1"/>
  <c r="CP95" i="33" s="1"/>
  <c r="BA129" i="33" a="1"/>
  <c r="BA129" i="33" s="1"/>
  <c r="CE123" i="33" a="1"/>
  <c r="CE123" i="33" s="1"/>
  <c r="CY159" i="33" a="1"/>
  <c r="CY159" i="33" s="1"/>
  <c r="BA120" i="33" a="1"/>
  <c r="BA120" i="33" s="1"/>
  <c r="BT39" i="33" a="1"/>
  <c r="BT39" i="33" s="1"/>
  <c r="CX83" i="33" a="1"/>
  <c r="CX83" i="33" s="1"/>
  <c r="BC18" i="33" a="1"/>
  <c r="BC18" i="33" s="1"/>
  <c r="X44" i="33" a="1"/>
  <c r="X44" i="33" s="1"/>
  <c r="AC99" i="33" a="1"/>
  <c r="AC99" i="33" s="1"/>
  <c r="AP24" i="33" a="1"/>
  <c r="AP24" i="33" s="1"/>
  <c r="CZ112" i="33" a="1"/>
  <c r="CZ112" i="33" s="1"/>
  <c r="AC116" i="33" a="1"/>
  <c r="AC116" i="33" s="1"/>
  <c r="CY91" i="33" a="1"/>
  <c r="CY91" i="33" s="1"/>
  <c r="AC20" i="33" a="1"/>
  <c r="AC20" i="33" s="1"/>
  <c r="AH59" i="33" a="1"/>
  <c r="AH59" i="33" s="1"/>
  <c r="X93" i="33" a="1"/>
  <c r="X93" i="33" s="1"/>
  <c r="CO132" i="33" a="1"/>
  <c r="CO132" i="33" s="1"/>
  <c r="X113" i="33" a="1"/>
  <c r="X113" i="33" s="1"/>
  <c r="CX14" i="33" a="1"/>
  <c r="CX14" i="33" s="1"/>
  <c r="CP157" i="33" a="1"/>
  <c r="CP157" i="33" s="1"/>
  <c r="AC121" i="33" a="1"/>
  <c r="AC121" i="33" s="1"/>
  <c r="AG100" i="33" a="1"/>
  <c r="AG100" i="33" s="1"/>
  <c r="CW77" i="33" a="1"/>
  <c r="CW77" i="33" s="1"/>
  <c r="AF95" i="33" a="1"/>
  <c r="AF95" i="33" s="1"/>
  <c r="AW66" i="33" a="1"/>
  <c r="AW66" i="33" s="1"/>
  <c r="CP127" i="33" a="1"/>
  <c r="CP127" i="33" s="1"/>
  <c r="W32" i="33" a="1"/>
  <c r="W32" i="33" s="1"/>
  <c r="D116" i="33" a="1"/>
  <c r="D116" i="33" s="1"/>
  <c r="D56" i="33" a="1"/>
  <c r="D56" i="33" s="1"/>
  <c r="BL142" i="33" a="1"/>
  <c r="BL142" i="33" s="1"/>
  <c r="BV100" i="33" a="1"/>
  <c r="BV100" i="33" s="1"/>
  <c r="BA105" i="33" a="1"/>
  <c r="BA105" i="33" s="1"/>
  <c r="CO25" i="33" a="1"/>
  <c r="CO25" i="33" s="1"/>
  <c r="CO102" i="33" a="1"/>
  <c r="CO102" i="33" s="1"/>
  <c r="X71" i="33" a="1"/>
  <c r="X71" i="33" s="1"/>
  <c r="AG15" i="33" a="1"/>
  <c r="AG15" i="33" s="1"/>
  <c r="CP107" i="33" a="1"/>
  <c r="CP107" i="33" s="1"/>
  <c r="CZ82" i="33" a="1"/>
  <c r="CZ82" i="33" s="1"/>
  <c r="AR103" i="33" a="1"/>
  <c r="AR103" i="33" s="1"/>
  <c r="CF56" i="33" a="1"/>
  <c r="CF56" i="33" s="1"/>
  <c r="D134" i="33" a="1"/>
  <c r="D134" i="33" s="1"/>
  <c r="AR130" i="33" a="1"/>
  <c r="AR130" i="33" s="1"/>
  <c r="CX108" i="33" a="1"/>
  <c r="CX108" i="33" s="1"/>
  <c r="D83" i="33" a="1"/>
  <c r="D83" i="33" s="1"/>
  <c r="AI53" i="33" a="1"/>
  <c r="AI53" i="33" s="1"/>
  <c r="CU112" i="33" a="1"/>
  <c r="CU112" i="33" s="1"/>
  <c r="W104" i="33" a="1"/>
  <c r="W104" i="33" s="1"/>
  <c r="CY39" i="33" a="1"/>
  <c r="CY39" i="33" s="1"/>
  <c r="AG27" i="33" a="1"/>
  <c r="AG27" i="33" s="1"/>
  <c r="BG150" i="33" a="1"/>
  <c r="BG150" i="33" s="1"/>
  <c r="AW134" i="33" a="1"/>
  <c r="AW134" i="33" s="1"/>
  <c r="BA84" i="33" a="1"/>
  <c r="BA84" i="33" s="1"/>
  <c r="CX121" i="33" a="1"/>
  <c r="CX121" i="33" s="1"/>
  <c r="AH115" i="33" a="1"/>
  <c r="AH115" i="33" s="1"/>
  <c r="CU19" i="33" a="1"/>
  <c r="CU19" i="33" s="1"/>
  <c r="BQ103" i="33" a="1"/>
  <c r="BQ103" i="33" s="1"/>
  <c r="AT73" i="33" a="1"/>
  <c r="AT73" i="33" s="1"/>
  <c r="BV94" i="33" a="1"/>
  <c r="BV94" i="33" s="1"/>
  <c r="X15" i="33" a="1"/>
  <c r="X15" i="33" s="1"/>
  <c r="BT19" i="33" a="1"/>
  <c r="BT19" i="33" s="1"/>
  <c r="AZ68" i="33" a="1"/>
  <c r="AZ68" i="33" s="1"/>
  <c r="BL72" i="33" a="1"/>
  <c r="BL72" i="33" s="1"/>
  <c r="BB25" i="33" a="1"/>
  <c r="BB25" i="33" s="1"/>
  <c r="X85" i="33" a="1"/>
  <c r="X85" i="33" s="1"/>
  <c r="CX114" i="33" a="1"/>
  <c r="CX114" i="33" s="1"/>
  <c r="AH121" i="33" a="1"/>
  <c r="AH121" i="33" s="1"/>
  <c r="BA117" i="33" a="1"/>
  <c r="BA117" i="33" s="1"/>
  <c r="AW153" i="33" a="1"/>
  <c r="AW153" i="33" s="1"/>
  <c r="CN83" i="33" a="1"/>
  <c r="CN83" i="33" s="1"/>
  <c r="BW44" i="33" a="1"/>
  <c r="BW44" i="33" s="1"/>
  <c r="AQ51" i="33" a="1"/>
  <c r="AQ51" i="33" s="1"/>
  <c r="CX61" i="33" a="1"/>
  <c r="CX61" i="33" s="1"/>
  <c r="BK34" i="33" a="1"/>
  <c r="BK34" i="33" s="1"/>
  <c r="W139" i="33" a="1"/>
  <c r="W139" i="33" s="1"/>
  <c r="AZ46" i="33" a="1"/>
  <c r="AZ46" i="33" s="1"/>
  <c r="BV113" i="33" a="1"/>
  <c r="BV113" i="33" s="1"/>
  <c r="BD41" i="33" a="1"/>
  <c r="BD41" i="33" s="1"/>
  <c r="CZ134" i="33" a="1"/>
  <c r="CZ134" i="33" s="1"/>
  <c r="CY96" i="33" a="1"/>
  <c r="CY96" i="33" s="1"/>
  <c r="BU158" i="33" a="1"/>
  <c r="BU158" i="33" s="1"/>
  <c r="AF106" i="33" a="1"/>
  <c r="AF106" i="33" s="1"/>
  <c r="AR101" i="33" a="1"/>
  <c r="AR101" i="33" s="1"/>
  <c r="BB143" i="33" a="1"/>
  <c r="BB143" i="33" s="1"/>
  <c r="AJ22" i="33" a="1"/>
  <c r="AJ22" i="33" s="1"/>
  <c r="CA36" i="33" a="1"/>
  <c r="CA36" i="33" s="1"/>
  <c r="X61" i="33" a="1"/>
  <c r="X61" i="33" s="1"/>
  <c r="BU65" i="33" a="1"/>
  <c r="BU65" i="33" s="1"/>
  <c r="AR133" i="33" a="1"/>
  <c r="AR133" i="33" s="1"/>
  <c r="AZ150" i="33" a="1"/>
  <c r="AZ150" i="33" s="1"/>
  <c r="AI97" i="33" a="1"/>
  <c r="AI97" i="33" s="1"/>
  <c r="BU104" i="33" a="1"/>
  <c r="BU104" i="33" s="1"/>
  <c r="AS35" i="33" a="1"/>
  <c r="AS35" i="33" s="1"/>
  <c r="AM90" i="33" a="1"/>
  <c r="AM90" i="33" s="1"/>
  <c r="CY119" i="33" a="1"/>
  <c r="CY119" i="33" s="1"/>
  <c r="BW107" i="33" a="1"/>
  <c r="BW107" i="33" s="1"/>
  <c r="Y51" i="33" a="1"/>
  <c r="Y51" i="33" s="1"/>
  <c r="BG146" i="33" a="1"/>
  <c r="BG146" i="33" s="1"/>
  <c r="BV90" i="33" a="1"/>
  <c r="BV90" i="33" s="1"/>
  <c r="BU125" i="33" a="1"/>
  <c r="BU125" i="33" s="1"/>
  <c r="CO121" i="33" a="1"/>
  <c r="CO121" i="33" s="1"/>
  <c r="AW97" i="33" a="1"/>
  <c r="AW97" i="33" s="1"/>
  <c r="W155" i="33" a="1"/>
  <c r="W155" i="33" s="1"/>
  <c r="BK49" i="33" a="1"/>
  <c r="BK49" i="33" s="1"/>
  <c r="CY101" i="33" a="1"/>
  <c r="CY101" i="33" s="1"/>
  <c r="AM135" i="33" a="1"/>
  <c r="AM135" i="33" s="1"/>
  <c r="D103" i="33" a="1"/>
  <c r="D103" i="33" s="1"/>
  <c r="X52" i="33" a="1"/>
  <c r="X52" i="33" s="1"/>
  <c r="BB93" i="33" a="1"/>
  <c r="BB93" i="33" s="1"/>
  <c r="BH148" i="33" a="1"/>
  <c r="BH148" i="33" s="1"/>
  <c r="AJ126" i="33" a="1"/>
  <c r="AJ126" i="33" s="1"/>
  <c r="X124" i="33" a="1"/>
  <c r="X124" i="33" s="1"/>
  <c r="BB155" i="33" a="1"/>
  <c r="BB155" i="33" s="1"/>
  <c r="AC69" i="33" a="1"/>
  <c r="AC69" i="33" s="1"/>
  <c r="AC67" i="33" a="1"/>
  <c r="AC67" i="33" s="1"/>
  <c r="BB159" i="33" a="1"/>
  <c r="BB159" i="33" s="1"/>
  <c r="CY121" i="33" a="1"/>
  <c r="CY121" i="33" s="1"/>
  <c r="CO74" i="33" a="1"/>
  <c r="CO74" i="33" s="1"/>
  <c r="BK152" i="33" a="1"/>
  <c r="BK152" i="33" s="1"/>
  <c r="AM70" i="33" a="1"/>
  <c r="AM70" i="33" s="1"/>
  <c r="AQ116" i="33" a="1"/>
  <c r="AQ116" i="33" s="1"/>
  <c r="Z57" i="33" a="1"/>
  <c r="Z57" i="33" s="1"/>
  <c r="AC39" i="33" a="1"/>
  <c r="AC39" i="33" s="1"/>
  <c r="CX88" i="33" a="1"/>
  <c r="CX88" i="33" s="1"/>
  <c r="CN80" i="33" a="1"/>
  <c r="CN80" i="33" s="1"/>
  <c r="CA142" i="33" a="1"/>
  <c r="CA142" i="33" s="1"/>
  <c r="BB51" i="33" a="1"/>
  <c r="BB51" i="33" s="1"/>
  <c r="BA143" i="33" a="1"/>
  <c r="BA143" i="33" s="1"/>
  <c r="AM76" i="33" a="1"/>
  <c r="AM76" i="33" s="1"/>
  <c r="AM100" i="33" a="1"/>
  <c r="AM100" i="33" s="1"/>
  <c r="CX30" i="33" a="1"/>
  <c r="CX30" i="33" s="1"/>
  <c r="CY19" i="33" a="1"/>
  <c r="CY19" i="33" s="1"/>
  <c r="AH91" i="33" a="1"/>
  <c r="AH91" i="33" s="1"/>
  <c r="BT75" i="33" a="1"/>
  <c r="BT75" i="33" s="1"/>
  <c r="AT52" i="33" a="1"/>
  <c r="AT52" i="33" s="1"/>
  <c r="CU100" i="33" a="1"/>
  <c r="CU100" i="33" s="1"/>
  <c r="AG86" i="33" a="1"/>
  <c r="AG86" i="33" s="1"/>
  <c r="AQ120" i="33" a="1"/>
  <c r="AQ120" i="33" s="1"/>
  <c r="CZ120" i="33" a="1"/>
  <c r="CZ120" i="33" s="1"/>
  <c r="BM57" i="33" a="1"/>
  <c r="BM57" i="33" s="1"/>
  <c r="AS86" i="33" a="1"/>
  <c r="AS86" i="33" s="1"/>
  <c r="BB103" i="33" a="1"/>
  <c r="BB103" i="33" s="1"/>
  <c r="AW151" i="33" a="1"/>
  <c r="AW151" i="33" s="1"/>
  <c r="BB61" i="33" a="1"/>
  <c r="BB61" i="33" s="1"/>
  <c r="CX50" i="33" a="1"/>
  <c r="CX50" i="33" s="1"/>
  <c r="AM15" i="33" a="1"/>
  <c r="AM15" i="33" s="1"/>
  <c r="CO142" i="33" a="1"/>
  <c r="CO142" i="33" s="1"/>
  <c r="BA43" i="33" a="1"/>
  <c r="BA43" i="33" s="1"/>
  <c r="BW110" i="33" a="1"/>
  <c r="BW110" i="33" s="1"/>
  <c r="BQ123" i="33" a="1"/>
  <c r="BQ123" i="33" s="1"/>
  <c r="BG33" i="33" a="1"/>
  <c r="BG33" i="33" s="1"/>
  <c r="AZ17" i="33" a="1"/>
  <c r="AZ17" i="33" s="1"/>
  <c r="CY17" i="33" a="1"/>
  <c r="CY17" i="33" s="1"/>
  <c r="BA100" i="33" a="1"/>
  <c r="BA100" i="33" s="1"/>
  <c r="BL54" i="33" a="1"/>
  <c r="BL54" i="33" s="1"/>
  <c r="BV54" i="33" a="1"/>
  <c r="BV54" i="33" s="1"/>
  <c r="AC41" i="33" a="1"/>
  <c r="AC41" i="33" s="1"/>
  <c r="BL16" i="33" a="1"/>
  <c r="BL16" i="33" s="1"/>
  <c r="BC121" i="33" a="1"/>
  <c r="BC121" i="33" s="1"/>
  <c r="CF26" i="33" a="1"/>
  <c r="CF26" i="33" s="1"/>
  <c r="BK114" i="33" a="1"/>
  <c r="BK114" i="33" s="1"/>
  <c r="CA25" i="33" a="1"/>
  <c r="CA25" i="33" s="1"/>
  <c r="BV51" i="33" a="1"/>
  <c r="BV51" i="33" s="1"/>
  <c r="BV101" i="33" a="1"/>
  <c r="BV101" i="33" s="1"/>
  <c r="BV28" i="33" a="1"/>
  <c r="BV28" i="33" s="1"/>
  <c r="CA75" i="33" a="1"/>
  <c r="CA75" i="33" s="1"/>
  <c r="CF74" i="33" a="1"/>
  <c r="CF74" i="33" s="1"/>
  <c r="AM22" i="33" a="1"/>
  <c r="AM22" i="33" s="1"/>
  <c r="AZ159" i="33" a="1"/>
  <c r="AZ159" i="33" s="1"/>
  <c r="BC161" i="33" a="1"/>
  <c r="BC161" i="33" s="1"/>
  <c r="CP109" i="33" a="1"/>
  <c r="CP109" i="33" s="1"/>
  <c r="AH127" i="33" a="1"/>
  <c r="AH127" i="33" s="1"/>
  <c r="BK17" i="33" a="1"/>
  <c r="BK17" i="33" s="1"/>
  <c r="AJ21" i="33" a="1"/>
  <c r="AJ21" i="33" s="1"/>
  <c r="BA31" i="33" a="1"/>
  <c r="BA31" i="33" s="1"/>
  <c r="AW148" i="33" a="1"/>
  <c r="AW148" i="33" s="1"/>
  <c r="AR72" i="33" a="1"/>
  <c r="AR72" i="33" s="1"/>
  <c r="AC147" i="33" a="1"/>
  <c r="AC147" i="33" s="1"/>
  <c r="AZ24" i="33" a="1"/>
  <c r="AZ24" i="33" s="1"/>
  <c r="BQ98" i="33" a="1"/>
  <c r="BQ98" i="33" s="1"/>
  <c r="AI122" i="33" a="1"/>
  <c r="AI122" i="33" s="1"/>
  <c r="BL42" i="33" a="1"/>
  <c r="BL42" i="33" s="1"/>
  <c r="AQ126" i="33" a="1"/>
  <c r="AQ126" i="33" s="1"/>
  <c r="BD15" i="33" a="1"/>
  <c r="BD15" i="33" s="1"/>
  <c r="BA16" i="33" a="1"/>
  <c r="BA16" i="33" s="1"/>
  <c r="CU101" i="33" a="1"/>
  <c r="CU101" i="33" s="1"/>
  <c r="X40" i="33" a="1"/>
  <c r="X40" i="33" s="1"/>
  <c r="CF58" i="33" a="1"/>
  <c r="CF58" i="33" s="1"/>
  <c r="BT51" i="33" a="1"/>
  <c r="BT51" i="33" s="1"/>
  <c r="BM96" i="33" a="1"/>
  <c r="BM96" i="33" s="1"/>
  <c r="BW42" i="33" a="1"/>
  <c r="BW42" i="33" s="1"/>
  <c r="AH118" i="33" a="1"/>
  <c r="AH118" i="33" s="1"/>
  <c r="CZ129" i="33" a="1"/>
  <c r="CZ129" i="33" s="1"/>
  <c r="CO65" i="33" a="1"/>
  <c r="CO65" i="33" s="1"/>
  <c r="CZ147" i="33" a="1"/>
  <c r="CZ147" i="33" s="1"/>
  <c r="BU149" i="33" a="1"/>
  <c r="BU149" i="33" s="1"/>
  <c r="CB147" i="33" a="1"/>
  <c r="CB147" i="33" s="1"/>
  <c r="BC46" i="33" a="1"/>
  <c r="BC46" i="33" s="1"/>
  <c r="Y90" i="33" a="1"/>
  <c r="Y90" i="33" s="1"/>
  <c r="CO160" i="33" a="1"/>
  <c r="CO160" i="33" s="1"/>
  <c r="AR92" i="33" a="1"/>
  <c r="AR92" i="33" s="1"/>
  <c r="CO119" i="33" a="1"/>
  <c r="CO119" i="33" s="1"/>
  <c r="CB133" i="33" a="1"/>
  <c r="CB133" i="33" s="1"/>
  <c r="BU134" i="33" a="1"/>
  <c r="BU134" i="33" s="1"/>
  <c r="AH137" i="33" a="1"/>
  <c r="AH137" i="33" s="1"/>
  <c r="CY26" i="33" a="1"/>
  <c r="CY26" i="33" s="1"/>
  <c r="BL80" i="33" a="1"/>
  <c r="BL80" i="33" s="1"/>
  <c r="BQ141" i="33" a="1"/>
  <c r="BQ141" i="33" s="1"/>
  <c r="X130" i="33" a="1"/>
  <c r="X130" i="33" s="1"/>
  <c r="AR82" i="33" a="1"/>
  <c r="AR82" i="33" s="1"/>
  <c r="CO14" i="33" a="1"/>
  <c r="CO14" i="33" s="1"/>
  <c r="BU23" i="33" a="1"/>
  <c r="BU23" i="33" s="1"/>
  <c r="AT64" i="33" a="1"/>
  <c r="AT64" i="33" s="1"/>
  <c r="CN28" i="33" a="1"/>
  <c r="CN28" i="33" s="1"/>
  <c r="AQ56" i="33" a="1"/>
  <c r="AQ56" i="33" s="1"/>
  <c r="CX54" i="33" a="1"/>
  <c r="CX54" i="33" s="1"/>
  <c r="CU82" i="33" a="1"/>
  <c r="CU82" i="33" s="1"/>
  <c r="AT102" i="33" a="1"/>
  <c r="AT102" i="33" s="1"/>
  <c r="BC38" i="33" a="1"/>
  <c r="BC38" i="33" s="1"/>
  <c r="BK105" i="33" a="1"/>
  <c r="BK105" i="33" s="1"/>
  <c r="AW159" i="33" a="1"/>
  <c r="AW159" i="33" s="1"/>
  <c r="AI91" i="33" a="1"/>
  <c r="AI91" i="33" s="1"/>
  <c r="X141" i="33" a="1"/>
  <c r="X141" i="33" s="1"/>
  <c r="CF153" i="33" a="1"/>
  <c r="CF153" i="33" s="1"/>
  <c r="X159" i="33" a="1"/>
  <c r="X159" i="33" s="1"/>
  <c r="CA35" i="33" a="1"/>
  <c r="CA35" i="33" s="1"/>
  <c r="AR32" i="33" a="1"/>
  <c r="AR32" i="33" s="1"/>
  <c r="CF53" i="33" a="1"/>
  <c r="CF53" i="33" s="1"/>
  <c r="BA158" i="33" a="1"/>
  <c r="BA158" i="33" s="1"/>
  <c r="BU154" i="33" a="1"/>
  <c r="BU154" i="33" s="1"/>
  <c r="CY139" i="33" a="1"/>
  <c r="CY139" i="33" s="1"/>
  <c r="AC131" i="33" a="1"/>
  <c r="AC131" i="33" s="1"/>
  <c r="CO117" i="33" a="1"/>
  <c r="CO117" i="33" s="1"/>
  <c r="CP122" i="33" a="1"/>
  <c r="CP122" i="33" s="1"/>
  <c r="D132" i="33" a="1"/>
  <c r="D132" i="33" s="1"/>
  <c r="BL55" i="33" a="1"/>
  <c r="BL55" i="33" s="1"/>
  <c r="BG83" i="33" a="1"/>
  <c r="BG83" i="33" s="1"/>
  <c r="CO120" i="33" a="1"/>
  <c r="CO120" i="33" s="1"/>
  <c r="W112" i="33" a="1"/>
  <c r="W112" i="33" s="1"/>
  <c r="AH17" i="33" a="1"/>
  <c r="AH17" i="33" s="1"/>
  <c r="AM53" i="33" a="1"/>
  <c r="AM53" i="33" s="1"/>
  <c r="AM88" i="33" a="1"/>
  <c r="AM88" i="33" s="1"/>
  <c r="BK56" i="33" a="1"/>
  <c r="BK56" i="33" s="1"/>
  <c r="CX87" i="33" a="1"/>
  <c r="CX87" i="33" s="1"/>
  <c r="BQ91" i="33" a="1"/>
  <c r="BQ91" i="33" s="1"/>
  <c r="BL27" i="33" a="1"/>
  <c r="BL27" i="33" s="1"/>
  <c r="AQ21" i="33" a="1"/>
  <c r="AQ21" i="33" s="1"/>
  <c r="BT116" i="33" a="1"/>
  <c r="BT116" i="33" s="1"/>
  <c r="CP154" i="33" a="1"/>
  <c r="CP154" i="33" s="1"/>
  <c r="AM132" i="33" a="1"/>
  <c r="AM132" i="33" s="1"/>
  <c r="CQ122" i="33" a="1"/>
  <c r="CQ122" i="33" s="1"/>
  <c r="CO28" i="33" a="1"/>
  <c r="CO28" i="33" s="1"/>
  <c r="BL76" i="33" a="1"/>
  <c r="BL76" i="33" s="1"/>
  <c r="BK128" i="33" a="1"/>
  <c r="BK128" i="33" s="1"/>
  <c r="CP124" i="33" a="1"/>
  <c r="CP124" i="33" s="1"/>
  <c r="CP138" i="33" a="1"/>
  <c r="CP138" i="33" s="1"/>
  <c r="AH46" i="33" a="1"/>
  <c r="AH46" i="33" s="1"/>
  <c r="CP94" i="33" a="1"/>
  <c r="CP94" i="33" s="1"/>
  <c r="BV22" i="33" a="1"/>
  <c r="BV22" i="33" s="1"/>
  <c r="BB37" i="33" a="1"/>
  <c r="BB37" i="33" s="1"/>
  <c r="BU17" i="33" a="1"/>
  <c r="BU17" i="33" s="1"/>
  <c r="X160" i="33" a="1"/>
  <c r="X160" i="33" s="1"/>
  <c r="AG102" i="33" a="1"/>
  <c r="AG102" i="33" s="1"/>
  <c r="BK122" i="33" a="1"/>
  <c r="BK122" i="33" s="1"/>
  <c r="W115" i="33" a="1"/>
  <c r="W115" i="33" s="1"/>
  <c r="BL69" i="33" a="1"/>
  <c r="BL69" i="33" s="1"/>
  <c r="AQ39" i="33" a="1"/>
  <c r="AQ39" i="33" s="1"/>
  <c r="CD116" i="33" a="1"/>
  <c r="CD116" i="33" s="1"/>
  <c r="X117" i="33" a="1"/>
  <c r="X117" i="33" s="1"/>
  <c r="AW79" i="33" a="1"/>
  <c r="AW79" i="33" s="1"/>
  <c r="CU91" i="33" a="1"/>
  <c r="CU91" i="33" s="1"/>
  <c r="BU36" i="33" a="1"/>
  <c r="BU36" i="33" s="1"/>
  <c r="X122" i="33" a="1"/>
  <c r="X122" i="33" s="1"/>
  <c r="BQ72" i="33" a="1"/>
  <c r="BQ72" i="33" s="1"/>
  <c r="AW152" i="33" a="1"/>
  <c r="AW152" i="33" s="1"/>
  <c r="BG124" i="33" a="1"/>
  <c r="BG124" i="33" s="1"/>
  <c r="BU34" i="33" a="1"/>
  <c r="BU34" i="33" s="1"/>
  <c r="CY136" i="33" a="1"/>
  <c r="CY136" i="33" s="1"/>
  <c r="CD73" i="33" a="1"/>
  <c r="CD73" i="33" s="1"/>
  <c r="BQ139" i="33" a="1"/>
  <c r="BQ139" i="33" s="1"/>
  <c r="AC40" i="33" a="1"/>
  <c r="AC40" i="33" s="1"/>
  <c r="BA137" i="33" a="1"/>
  <c r="BA137" i="33" s="1"/>
  <c r="CA119" i="33" a="1"/>
  <c r="CA119" i="33" s="1"/>
  <c r="CZ96" i="33" a="1"/>
  <c r="CZ96" i="33" s="1"/>
  <c r="BQ21" i="33" a="1"/>
  <c r="BQ21" i="33" s="1"/>
  <c r="AR40" i="33" a="1"/>
  <c r="AR40" i="33" s="1"/>
  <c r="AR35" i="33" a="1"/>
  <c r="AR35" i="33" s="1"/>
  <c r="CY145" i="33" a="1"/>
  <c r="CY145" i="33" s="1"/>
  <c r="CG136" i="33" a="1"/>
  <c r="CG136" i="33" s="1"/>
  <c r="AC159" i="33" a="1"/>
  <c r="AC159" i="33" s="1"/>
  <c r="Z70" i="33" a="1"/>
  <c r="Z70" i="33" s="1"/>
  <c r="CZ154" i="33" a="1"/>
  <c r="CZ154" i="33" s="1"/>
  <c r="BC127" i="33" a="1"/>
  <c r="BC127" i="33" s="1"/>
  <c r="BG77" i="33" a="1"/>
  <c r="BG77" i="33" s="1"/>
  <c r="W93" i="33" a="1"/>
  <c r="W93" i="33" s="1"/>
  <c r="CX51" i="33" a="1"/>
  <c r="CX51" i="33" s="1"/>
  <c r="BP137" i="33" a="1"/>
  <c r="BP137" i="33" s="1"/>
  <c r="CP147" i="33" a="1"/>
  <c r="CP147" i="33" s="1"/>
  <c r="CF76" i="33" a="1"/>
  <c r="CF76" i="33" s="1"/>
  <c r="BL79" i="33" a="1"/>
  <c r="BL79" i="33" s="1"/>
  <c r="X121" i="33" a="1"/>
  <c r="X121" i="33" s="1"/>
  <c r="CU113" i="33" a="1"/>
  <c r="CU113" i="33" s="1"/>
  <c r="BG66" i="33" a="1"/>
  <c r="BG66" i="33" s="1"/>
  <c r="BU101" i="33" a="1"/>
  <c r="BU101" i="33" s="1"/>
  <c r="BK51" i="33" a="1"/>
  <c r="BK51" i="33" s="1"/>
  <c r="CP29" i="33" a="1"/>
  <c r="CP29" i="33" s="1"/>
  <c r="BB135" i="33" a="1"/>
  <c r="BB135" i="33" s="1"/>
  <c r="AZ81" i="33" a="1"/>
  <c r="AZ81" i="33" s="1"/>
  <c r="BV147" i="33" a="1"/>
  <c r="BV147" i="33" s="1"/>
  <c r="BG145" i="33" a="1"/>
  <c r="BG145" i="33" s="1"/>
  <c r="W22" i="33" a="1"/>
  <c r="W22" i="33" s="1"/>
  <c r="CU123" i="33" a="1"/>
  <c r="CU123" i="33" s="1"/>
  <c r="BA53" i="33" a="1"/>
  <c r="BA53" i="33" s="1"/>
  <c r="CO151" i="33" a="1"/>
  <c r="CO151" i="33" s="1"/>
  <c r="AC66" i="33" a="1"/>
  <c r="AC66" i="33" s="1"/>
  <c r="X138" i="33" a="1"/>
  <c r="X138" i="33" s="1"/>
  <c r="CX42" i="33" a="1"/>
  <c r="CX42" i="33" s="1"/>
  <c r="AT67" i="33" a="1"/>
  <c r="AT67" i="33" s="1"/>
  <c r="D129" i="33" a="1"/>
  <c r="D129" i="33" s="1"/>
  <c r="AC57" i="33" a="1"/>
  <c r="AC57" i="33" s="1"/>
  <c r="W160" i="33" a="1"/>
  <c r="W160" i="33" s="1"/>
  <c r="BG91" i="33" a="1"/>
  <c r="BG91" i="33" s="1"/>
  <c r="W61" i="33" a="1"/>
  <c r="W61" i="33" s="1"/>
  <c r="AW142" i="33" a="1"/>
  <c r="AW142" i="33" s="1"/>
  <c r="X91" i="33" a="1"/>
  <c r="X91" i="33" s="1"/>
  <c r="BD93" i="33" a="1"/>
  <c r="BD93" i="33" s="1"/>
  <c r="BB150" i="33" a="1"/>
  <c r="BB150" i="33" s="1"/>
  <c r="BW140" i="33" a="1"/>
  <c r="BW140" i="33" s="1"/>
  <c r="CX76" i="33" a="1"/>
  <c r="CX76" i="33" s="1"/>
  <c r="BV96" i="33" a="1"/>
  <c r="BV96" i="33" s="1"/>
  <c r="BT61" i="33" a="1"/>
  <c r="BT61" i="33" s="1"/>
  <c r="BC133" i="33" a="1"/>
  <c r="BC133" i="33" s="1"/>
  <c r="BM65" i="33" a="1"/>
  <c r="BM65" i="33" s="1"/>
  <c r="BU16" i="33" a="1"/>
  <c r="BU16" i="33" s="1"/>
  <c r="AG21" i="33" a="1"/>
  <c r="AG21" i="33" s="1"/>
  <c r="AH105" i="33" a="1"/>
  <c r="AH105" i="33" s="1"/>
  <c r="CZ48" i="33" a="1"/>
  <c r="CZ48" i="33" s="1"/>
  <c r="X16" i="33" a="1"/>
  <c r="X16" i="33" s="1"/>
  <c r="BB50" i="33" a="1"/>
  <c r="BB50" i="33" s="1"/>
  <c r="BU138" i="33" a="1"/>
  <c r="BU138" i="33" s="1"/>
  <c r="BH141" i="33" a="1"/>
  <c r="BH141" i="33" s="1"/>
  <c r="BQ108" i="33" a="1"/>
  <c r="BQ108" i="33" s="1"/>
  <c r="BK22" i="33" a="1"/>
  <c r="BK22" i="33" s="1"/>
  <c r="CX82" i="33" a="1"/>
  <c r="CX82" i="33" s="1"/>
  <c r="AC87" i="33" a="1"/>
  <c r="AC87" i="33" s="1"/>
  <c r="CZ66" i="33" a="1"/>
  <c r="CZ66" i="33" s="1"/>
  <c r="BL116" i="33" a="1"/>
  <c r="BL116" i="33" s="1"/>
  <c r="BL90" i="33" a="1"/>
  <c r="BL90" i="33" s="1"/>
  <c r="CA34" i="33" a="1"/>
  <c r="CA34" i="33" s="1"/>
  <c r="AG68" i="33" a="1"/>
  <c r="AG68" i="33" s="1"/>
  <c r="BG75" i="33" a="1"/>
  <c r="BG75" i="33" s="1"/>
  <c r="BM83" i="33" a="1"/>
  <c r="BM83" i="33" s="1"/>
  <c r="BB138" i="33" a="1"/>
  <c r="BB138" i="33" s="1"/>
  <c r="BQ127" i="33" a="1"/>
  <c r="BQ127" i="33" s="1"/>
  <c r="CA134" i="33" a="1"/>
  <c r="CA134" i="33" s="1"/>
  <c r="BC144" i="33" a="1"/>
  <c r="BC144" i="33" s="1"/>
  <c r="BC120" i="33" a="1"/>
  <c r="BC120" i="33" s="1"/>
  <c r="CF55" i="33" a="1"/>
  <c r="CF55" i="33" s="1"/>
  <c r="AH87" i="33" a="1"/>
  <c r="AH87" i="33" s="1"/>
  <c r="AW131" i="33" a="1"/>
  <c r="AW131" i="33" s="1"/>
  <c r="AQ144" i="33" a="1"/>
  <c r="AQ144" i="33" s="1"/>
  <c r="BG25" i="33" a="1"/>
  <c r="BG25" i="33" s="1"/>
  <c r="CE17" i="33" a="1"/>
  <c r="CE17" i="33" s="1"/>
  <c r="BG128" i="33" a="1"/>
  <c r="BG128" i="33" s="1"/>
  <c r="BV59" i="33" a="1"/>
  <c r="BV59" i="33" s="1"/>
  <c r="D152" i="33" a="1"/>
  <c r="D152" i="33" s="1"/>
  <c r="BQ92" i="33" a="1"/>
  <c r="BQ92" i="33" s="1"/>
  <c r="AT134" i="33" a="1"/>
  <c r="AT134" i="33" s="1"/>
  <c r="CZ89" i="33" a="1"/>
  <c r="CZ89" i="33" s="1"/>
  <c r="CU150" i="33" a="1"/>
  <c r="CU150" i="33" s="1"/>
  <c r="BV67" i="33" a="1"/>
  <c r="BV67" i="33" s="1"/>
  <c r="BQ124" i="33" a="1"/>
  <c r="BQ124" i="33" s="1"/>
  <c r="CO126" i="33" a="1"/>
  <c r="CO126" i="33" s="1"/>
  <c r="BG152" i="33" a="1"/>
  <c r="BG152" i="33" s="1"/>
  <c r="BV102" i="33" a="1"/>
  <c r="BV102" i="33" s="1"/>
  <c r="CZ23" i="33" a="1"/>
  <c r="CZ23" i="33" s="1"/>
  <c r="AH52" i="33" a="1"/>
  <c r="AH52" i="33" s="1"/>
  <c r="W28" i="33" a="1"/>
  <c r="W28" i="33" s="1"/>
  <c r="CF65" i="33" a="1"/>
  <c r="CF65" i="33" s="1"/>
  <c r="AQ129" i="33" a="1"/>
  <c r="AQ129" i="33" s="1"/>
  <c r="BU110" i="33" a="1"/>
  <c r="BU110" i="33" s="1"/>
  <c r="CZ69" i="33" a="1"/>
  <c r="CZ69" i="33" s="1"/>
  <c r="BK153" i="33" a="1"/>
  <c r="BK153" i="33" s="1"/>
  <c r="D112" i="33" a="1"/>
  <c r="D112" i="33" s="1"/>
  <c r="AR155" i="33" a="1"/>
  <c r="AR155" i="33" s="1"/>
  <c r="BW158" i="33" a="1"/>
  <c r="BW158" i="33" s="1"/>
  <c r="AM82" i="33" a="1"/>
  <c r="AM82" i="33" s="1"/>
  <c r="W26" i="33" a="1"/>
  <c r="W26" i="33" s="1"/>
  <c r="BG109" i="33" a="1"/>
  <c r="BG109" i="33" s="1"/>
  <c r="AW52" i="33" a="1"/>
  <c r="AW52" i="33" s="1"/>
  <c r="AZ140" i="33" a="1"/>
  <c r="AZ140" i="33" s="1"/>
  <c r="BV123" i="33" a="1"/>
  <c r="BV123" i="33" s="1"/>
  <c r="AC74" i="33" a="1"/>
  <c r="AC74" i="33" s="1"/>
  <c r="CA113" i="33" a="1"/>
  <c r="CA113" i="33" s="1"/>
  <c r="D60" i="33" a="1"/>
  <c r="D60" i="33" s="1"/>
  <c r="AH65" i="33" a="1"/>
  <c r="AH65" i="33" s="1"/>
  <c r="BA101" i="33" a="1"/>
  <c r="BA101" i="33" s="1"/>
  <c r="CO45" i="33" a="1"/>
  <c r="CO45" i="33" s="1"/>
  <c r="CZ47" i="33" a="1"/>
  <c r="CZ47" i="33" s="1"/>
  <c r="AR64" i="33" a="1"/>
  <c r="AR64" i="33" s="1"/>
  <c r="BM160" i="33" a="1"/>
  <c r="BM160" i="33" s="1"/>
  <c r="AQ42" i="33" a="1"/>
  <c r="AQ42" i="33" s="1"/>
  <c r="BJ120" i="33" a="1"/>
  <c r="BJ120" i="33" s="1"/>
  <c r="AQ67" i="33" a="1"/>
  <c r="AQ67" i="33" s="1"/>
  <c r="X96" i="33" a="1"/>
  <c r="X96" i="33" s="1"/>
  <c r="CP42" i="33" a="1"/>
  <c r="CP42" i="33" s="1"/>
  <c r="BU46" i="33" a="1"/>
  <c r="BU46" i="33" s="1"/>
  <c r="AP93" i="33" a="1"/>
  <c r="AP93" i="33" s="1"/>
  <c r="CD82" i="33" a="1"/>
  <c r="CD82" i="33" s="1"/>
  <c r="CQ146" i="33" a="1"/>
  <c r="CQ146" i="33" s="1"/>
  <c r="AW33" i="33" a="1"/>
  <c r="AW33" i="33" s="1"/>
  <c r="BK93" i="33" a="1"/>
  <c r="BK93" i="33" s="1"/>
  <c r="CY75" i="33" a="1"/>
  <c r="CY75" i="33" s="1"/>
  <c r="X97" i="33" a="1"/>
  <c r="X97" i="33" s="1"/>
  <c r="CF90" i="33" a="1"/>
  <c r="CF90" i="33" s="1"/>
  <c r="CD85" i="33" a="1"/>
  <c r="CD85" i="33" s="1"/>
  <c r="AR22" i="33" a="1"/>
  <c r="AR22" i="33" s="1"/>
  <c r="BK27" i="33" a="1"/>
  <c r="BK27" i="33" s="1"/>
  <c r="CO46" i="33" a="1"/>
  <c r="CO46" i="33" s="1"/>
  <c r="AR147" i="33" a="1"/>
  <c r="AR147" i="33" s="1"/>
  <c r="BV49" i="33" a="1"/>
  <c r="BV49" i="33" s="1"/>
  <c r="CW109" i="33" a="1"/>
  <c r="CW109" i="33" s="1"/>
  <c r="CN127" i="33" a="1"/>
  <c r="CN127" i="33" s="1"/>
  <c r="AW113" i="33" a="1"/>
  <c r="AW113" i="33" s="1"/>
  <c r="BU75" i="33" a="1"/>
  <c r="BU75" i="33" s="1"/>
  <c r="CP67" i="33" a="1"/>
  <c r="CP67" i="33" s="1"/>
  <c r="BU24" i="33" a="1"/>
  <c r="BU24" i="33" s="1"/>
  <c r="AP16" i="33" a="1"/>
  <c r="AP16" i="33" s="1"/>
  <c r="AG134" i="33" a="1"/>
  <c r="AG134" i="33" s="1"/>
  <c r="BT77" i="33" a="1"/>
  <c r="BT77" i="33" s="1"/>
  <c r="BB66" i="33" a="1"/>
  <c r="BB66" i="33" s="1"/>
  <c r="CN33" i="33" a="1"/>
  <c r="CN33" i="33" s="1"/>
  <c r="AM145" i="33" a="1"/>
  <c r="AM145" i="33" s="1"/>
  <c r="D47" i="33" a="1"/>
  <c r="D47" i="33" s="1"/>
  <c r="CB53" i="33" a="1"/>
  <c r="CB53" i="33" s="1"/>
  <c r="BK66" i="33" a="1"/>
  <c r="BK66" i="33" s="1"/>
  <c r="BU28" i="33" a="1"/>
  <c r="BU28" i="33" s="1"/>
  <c r="CY16" i="33" a="1"/>
  <c r="CY16" i="33" s="1"/>
  <c r="CD148" i="33" a="1"/>
  <c r="CD148" i="33" s="1"/>
  <c r="AP80" i="33" a="1"/>
  <c r="AP80" i="33" s="1"/>
  <c r="CX55" i="33" a="1"/>
  <c r="CX55" i="33" s="1"/>
  <c r="BP134" i="33" a="1"/>
  <c r="BP134" i="33" s="1"/>
  <c r="W109" i="33" a="1"/>
  <c r="W109" i="33" s="1"/>
  <c r="BV104" i="33" a="1"/>
  <c r="BV104" i="33" s="1"/>
  <c r="AQ20" i="33" a="1"/>
  <c r="AQ20" i="33" s="1"/>
  <c r="BD138" i="33" a="1"/>
  <c r="BD138" i="33" s="1"/>
  <c r="AT74" i="33" a="1"/>
  <c r="AT74" i="33" s="1"/>
  <c r="CF22" i="33" a="1"/>
  <c r="CF22" i="33" s="1"/>
  <c r="BB161" i="33" a="1"/>
  <c r="BB161" i="33" s="1"/>
  <c r="BL43" i="33" a="1"/>
  <c r="BL43" i="33" s="1"/>
  <c r="AC44" i="33" a="1"/>
  <c r="AC44" i="33" s="1"/>
  <c r="AC105" i="33" a="1"/>
  <c r="AC105" i="33" s="1"/>
  <c r="BK157" i="33" a="1"/>
  <c r="BK157" i="33" s="1"/>
  <c r="CP46" i="33" a="1"/>
  <c r="CP46" i="33" s="1"/>
  <c r="CF112" i="33" a="1"/>
  <c r="CF112" i="33" s="1"/>
  <c r="CZ75" i="33" a="1"/>
  <c r="CZ75" i="33" s="1"/>
  <c r="CY50" i="33" a="1"/>
  <c r="CY50" i="33" s="1"/>
  <c r="CG142" i="33" a="1"/>
  <c r="CG142" i="33" s="1"/>
  <c r="AS27" i="33" a="1"/>
  <c r="AS27" i="33" s="1"/>
  <c r="W62" i="33" a="1"/>
  <c r="W62" i="33" s="1"/>
  <c r="BL134" i="33" a="1"/>
  <c r="BL134" i="33" s="1"/>
  <c r="BG106" i="33" a="1"/>
  <c r="BG106" i="33" s="1"/>
  <c r="BB57" i="33" a="1"/>
  <c r="BB57" i="33" s="1"/>
  <c r="D138" i="33" a="1"/>
  <c r="D138" i="33" s="1"/>
  <c r="Z155" i="33" a="1"/>
  <c r="Z155" i="33" s="1"/>
  <c r="D127" i="33" a="1"/>
  <c r="D127" i="33" s="1"/>
  <c r="W90" i="33" a="1"/>
  <c r="W90" i="33" s="1"/>
  <c r="AR47" i="33" a="1"/>
  <c r="AR47" i="33" s="1"/>
  <c r="AG23" i="33" a="1"/>
  <c r="AG23" i="33" s="1"/>
  <c r="BQ18" i="33" a="1"/>
  <c r="BQ18" i="33" s="1"/>
  <c r="AM142" i="33" a="1"/>
  <c r="AM142" i="33" s="1"/>
  <c r="AZ145" i="33" a="1"/>
  <c r="AZ145" i="33" s="1"/>
  <c r="AC100" i="33" a="1"/>
  <c r="AC100" i="33" s="1"/>
  <c r="BL68" i="33" a="1"/>
  <c r="BL68" i="33" s="1"/>
  <c r="CF134" i="33" a="1"/>
  <c r="CF134" i="33" s="1"/>
  <c r="BB67" i="33" a="1"/>
  <c r="BB67" i="33" s="1"/>
  <c r="BL161" i="33" a="1"/>
  <c r="BL161" i="33" s="1"/>
  <c r="CF131" i="33" a="1"/>
  <c r="CF131" i="33" s="1"/>
  <c r="BB55" i="33" a="1"/>
  <c r="BB55" i="33" s="1"/>
  <c r="BB77" i="33" a="1"/>
  <c r="BB77" i="33" s="1"/>
  <c r="AP19" i="33" a="1"/>
  <c r="AP19" i="33" s="1"/>
  <c r="AW74" i="33" a="1"/>
  <c r="AW74" i="33" s="1"/>
  <c r="AH156" i="33" a="1"/>
  <c r="AH156" i="33" s="1"/>
  <c r="AC157" i="33" a="1"/>
  <c r="AC157" i="33" s="1"/>
  <c r="BA49" i="33" a="1"/>
  <c r="BA49" i="33" s="1"/>
  <c r="AQ161" i="33" a="1"/>
  <c r="AQ161" i="33" s="1"/>
  <c r="W63" i="33" a="1"/>
  <c r="W63" i="33" s="1"/>
  <c r="BT161" i="33" a="1"/>
  <c r="BT161" i="33" s="1"/>
  <c r="CP80" i="33" a="1"/>
  <c r="CP80" i="33" s="1"/>
  <c r="CD153" i="33" a="1"/>
  <c r="CD153" i="33" s="1"/>
  <c r="BK98" i="33" a="1"/>
  <c r="BK98" i="33" s="1"/>
  <c r="BU131" i="33" a="1"/>
  <c r="BU131" i="33" s="1"/>
  <c r="AF123" i="33" a="1"/>
  <c r="AF123" i="33" s="1"/>
  <c r="CX139" i="33" a="1"/>
  <c r="CX139" i="33" s="1"/>
  <c r="AG47" i="33" a="1"/>
  <c r="AG47" i="33" s="1"/>
  <c r="BT149" i="33" a="1"/>
  <c r="BT149" i="33" s="1"/>
  <c r="AQ140" i="33" a="1"/>
  <c r="AQ140" i="33" s="1"/>
  <c r="AP48" i="33" a="1"/>
  <c r="AP48" i="33" s="1"/>
  <c r="AB48" i="33" a="1"/>
  <c r="AB48" i="33" s="1"/>
  <c r="AR19" i="33" a="1"/>
  <c r="AR19" i="33" s="1"/>
  <c r="CF105" i="33" a="1"/>
  <c r="CF105" i="33" s="1"/>
  <c r="BK77" i="33" a="1"/>
  <c r="BK77" i="33" s="1"/>
  <c r="BG113" i="33" a="1"/>
  <c r="BG113" i="33" s="1"/>
  <c r="CD93" i="33" a="1"/>
  <c r="CD93" i="33" s="1"/>
  <c r="AB72" i="33" a="1"/>
  <c r="AB72" i="33" s="1"/>
  <c r="BA106" i="33" a="1"/>
  <c r="BA106" i="33" s="1"/>
  <c r="AB56" i="33" a="1"/>
  <c r="AB56" i="33" s="1"/>
  <c r="AB92" i="33" a="1"/>
  <c r="AB92" i="33" s="1"/>
  <c r="BV116" i="33" a="1"/>
  <c r="BV116" i="33" s="1"/>
  <c r="BT25" i="33" a="1"/>
  <c r="BT25" i="33" s="1"/>
  <c r="CF125" i="33" a="1"/>
  <c r="CF125" i="33" s="1"/>
  <c r="CF16" i="33" a="1"/>
  <c r="CF16" i="33" s="1"/>
  <c r="CW103" i="33" a="1"/>
  <c r="CW103" i="33" s="1"/>
  <c r="CX38" i="33" a="1"/>
  <c r="CX38" i="33" s="1"/>
  <c r="BJ58" i="33" a="1"/>
  <c r="BJ58" i="33" s="1"/>
  <c r="W100" i="33" a="1"/>
  <c r="W100" i="33" s="1"/>
  <c r="BV76" i="33" a="1"/>
  <c r="BV76" i="33" s="1"/>
  <c r="BV160" i="33" a="1"/>
  <c r="BV160" i="33" s="1"/>
  <c r="CN141" i="33" a="1"/>
  <c r="CN141" i="33" s="1"/>
  <c r="BA153" i="33" a="1"/>
  <c r="BA153" i="33" s="1"/>
  <c r="BG129" i="33" a="1"/>
  <c r="BG129" i="33" s="1"/>
  <c r="CP129" i="33" a="1"/>
  <c r="CP129" i="33" s="1"/>
  <c r="AP99" i="33" a="1"/>
  <c r="AP99" i="33" s="1"/>
  <c r="BT125" i="33" a="1"/>
  <c r="BT125" i="33" s="1"/>
  <c r="W121" i="33" a="1"/>
  <c r="W121" i="33" s="1"/>
  <c r="BA45" i="33" a="1"/>
  <c r="BA45" i="33" s="1"/>
  <c r="AZ63" i="33" a="1"/>
  <c r="AZ63" i="33" s="1"/>
  <c r="AQ75" i="33" a="1"/>
  <c r="AQ75" i="33" s="1"/>
  <c r="AR142" i="33" a="1"/>
  <c r="AR142" i="33" s="1"/>
  <c r="BL117" i="33" a="1"/>
  <c r="BL117" i="33" s="1"/>
  <c r="AC68" i="33" a="1"/>
  <c r="AC68" i="33" s="1"/>
  <c r="V73" i="33" a="1"/>
  <c r="V73" i="33" s="1"/>
  <c r="AC14" i="33" a="1"/>
  <c r="AC14" i="33" s="1"/>
  <c r="CZ125" i="33" a="1"/>
  <c r="CZ125" i="33" s="1"/>
  <c r="BG35" i="33" a="1"/>
  <c r="BG35" i="33" s="1"/>
  <c r="CD96" i="33" a="1"/>
  <c r="CD96" i="33" s="1"/>
  <c r="CX41" i="33" a="1"/>
  <c r="CX41" i="33" s="1"/>
  <c r="BK69" i="33" a="1"/>
  <c r="BK69" i="33" s="1"/>
  <c r="X128" i="33" a="1"/>
  <c r="X128" i="33" s="1"/>
  <c r="CE96" i="33" a="1"/>
  <c r="CE96" i="33" s="1"/>
  <c r="CW47" i="33" a="1"/>
  <c r="CW47" i="33" s="1"/>
  <c r="X68" i="33" a="1"/>
  <c r="X68" i="33" s="1"/>
  <c r="X115" i="33" a="1"/>
  <c r="X115" i="33" s="1"/>
  <c r="BV80" i="33" a="1"/>
  <c r="BV80" i="33" s="1"/>
  <c r="BK15" i="33" a="1"/>
  <c r="BK15" i="33" s="1"/>
  <c r="AW40" i="33" a="1"/>
  <c r="AW40" i="33" s="1"/>
  <c r="CY104" i="33" a="1"/>
  <c r="CY104" i="33" s="1"/>
  <c r="CX81" i="33" a="1"/>
  <c r="CX81" i="33" s="1"/>
  <c r="BW22" i="33" a="1"/>
  <c r="BW22" i="33" s="1"/>
  <c r="AH132" i="33" a="1"/>
  <c r="AH132" i="33" s="1"/>
  <c r="AW111" i="33" a="1"/>
  <c r="AW111" i="33" s="1"/>
  <c r="CF157" i="33" a="1"/>
  <c r="CF157" i="33" s="1"/>
  <c r="BU111" i="33" a="1"/>
  <c r="BU111" i="33" s="1"/>
  <c r="BV47" i="33" a="1"/>
  <c r="BV47" i="33" s="1"/>
  <c r="BA102" i="33" a="1"/>
  <c r="BA102" i="33" s="1"/>
  <c r="BB109" i="33" a="1"/>
  <c r="BB109" i="33" s="1"/>
  <c r="BA71" i="33" a="1"/>
  <c r="BA71" i="33" s="1"/>
  <c r="CY143" i="33" a="1"/>
  <c r="CY143" i="33" s="1"/>
  <c r="CP121" i="33" a="1"/>
  <c r="CP121" i="33" s="1"/>
  <c r="BT46" i="33" a="1"/>
  <c r="BT46" i="33" s="1"/>
  <c r="AB45" i="33" a="1"/>
  <c r="AB45" i="33" s="1"/>
  <c r="BH128" i="33" a="1"/>
  <c r="BH128" i="33" s="1"/>
  <c r="AC54" i="33" a="1"/>
  <c r="AC54" i="33" s="1"/>
  <c r="CZ97" i="33" a="1"/>
  <c r="CZ97" i="33" s="1"/>
  <c r="BM34" i="33" a="1"/>
  <c r="BM34" i="33" s="1"/>
  <c r="CQ145" i="33" a="1"/>
  <c r="CQ145" i="33" s="1"/>
  <c r="BV41" i="33" a="1"/>
  <c r="BV41" i="33" s="1"/>
  <c r="AG54" i="33" a="1"/>
  <c r="AG54" i="33" s="1"/>
  <c r="BL64" i="33" a="1"/>
  <c r="BL64" i="33" s="1"/>
  <c r="AR63" i="33" a="1"/>
  <c r="AR63" i="33" s="1"/>
  <c r="AH80" i="33" a="1"/>
  <c r="AH80" i="33" s="1"/>
  <c r="CY82" i="33" a="1"/>
  <c r="CY82" i="33" s="1"/>
  <c r="CZ135" i="33" a="1"/>
  <c r="CZ135" i="33" s="1"/>
  <c r="CA54" i="33" a="1"/>
  <c r="CA54" i="33" s="1"/>
  <c r="CF52" i="33" a="1"/>
  <c r="CF52" i="33" s="1"/>
  <c r="D74" i="33" a="1"/>
  <c r="D74" i="33" s="1"/>
  <c r="AS90" i="33" a="1"/>
  <c r="AS90" i="33" s="1"/>
  <c r="BL62" i="33" a="1"/>
  <c r="BL62" i="33" s="1"/>
  <c r="CF61" i="33" a="1"/>
  <c r="CF61" i="33" s="1"/>
  <c r="BG116" i="33" a="1"/>
  <c r="BG116" i="33" s="1"/>
  <c r="D85" i="33" a="1"/>
  <c r="D85" i="33" s="1"/>
  <c r="CX29" i="33" a="1"/>
  <c r="CX29" i="33" s="1"/>
  <c r="BK39" i="33" a="1"/>
  <c r="BK39" i="33" s="1"/>
  <c r="D88" i="33" a="1"/>
  <c r="D88" i="33" s="1"/>
  <c r="AH142" i="33" a="1"/>
  <c r="AH142" i="33" s="1"/>
  <c r="X152" i="33" a="1"/>
  <c r="X152" i="33" s="1"/>
  <c r="BB124" i="33" a="1"/>
  <c r="BB124" i="33" s="1"/>
  <c r="BG159" i="33" a="1"/>
  <c r="BG159" i="33" s="1"/>
  <c r="CG16" i="33" a="1"/>
  <c r="CG16" i="33" s="1"/>
  <c r="BV38" i="33" a="1"/>
  <c r="BV38" i="33" s="1"/>
  <c r="CX130" i="33" a="1"/>
  <c r="CX130" i="33" s="1"/>
  <c r="BG74" i="33" a="1"/>
  <c r="BG74" i="33" s="1"/>
  <c r="D75" i="33" a="1"/>
  <c r="D75" i="33" s="1"/>
  <c r="BK28" i="33" a="1"/>
  <c r="BK28" i="33" s="1"/>
  <c r="BG118" i="33" a="1"/>
  <c r="BG118" i="33" s="1"/>
  <c r="BW31" i="33" a="1"/>
  <c r="BW31" i="33" s="1"/>
  <c r="D106" i="33" a="1"/>
  <c r="D106" i="33" s="1"/>
  <c r="BQ146" i="33" a="1"/>
  <c r="BQ146" i="33" s="1"/>
  <c r="BV87" i="33" a="1"/>
  <c r="BV87" i="33" s="1"/>
  <c r="CZ79" i="33" a="1"/>
  <c r="CZ79" i="33" s="1"/>
  <c r="BL101" i="33" a="1"/>
  <c r="BL101" i="33" s="1"/>
  <c r="BA83" i="33" a="1"/>
  <c r="BA83" i="33" s="1"/>
  <c r="CD120" i="33" a="1"/>
  <c r="CD120" i="33" s="1"/>
  <c r="BU157" i="33" a="1"/>
  <c r="BU157" i="33" s="1"/>
  <c r="BU61" i="33" a="1"/>
  <c r="BU61" i="33" s="1"/>
  <c r="AC145" i="33" a="1"/>
  <c r="AC145" i="33" s="1"/>
  <c r="BB91" i="33" a="1"/>
  <c r="BB91" i="33" s="1"/>
  <c r="D89" i="33" a="1"/>
  <c r="D89" i="33" s="1"/>
  <c r="AN154" i="33" a="1"/>
  <c r="AN154" i="33" s="1"/>
  <c r="BL139" i="33" a="1"/>
  <c r="BL139" i="33" s="1"/>
  <c r="CF59" i="33" a="1"/>
  <c r="CF59" i="33" s="1"/>
  <c r="CF57" i="33" a="1"/>
  <c r="CF57" i="33" s="1"/>
  <c r="BA130" i="33" a="1"/>
  <c r="BA130" i="33" s="1"/>
  <c r="AC63" i="33" a="1"/>
  <c r="AC63" i="33" s="1"/>
  <c r="AM44" i="33" a="1"/>
  <c r="AM44" i="33" s="1"/>
  <c r="BU67" i="33" a="1"/>
  <c r="BU67" i="33" s="1"/>
  <c r="CP136" i="33" a="1"/>
  <c r="CP136" i="33" s="1"/>
  <c r="BA86" i="33" a="1"/>
  <c r="BA86" i="33" s="1"/>
  <c r="CN115" i="33" a="1"/>
  <c r="CN115" i="33" s="1"/>
  <c r="CF18" i="33" a="1"/>
  <c r="CF18" i="33" s="1"/>
  <c r="BJ81" i="33" a="1"/>
  <c r="BJ81" i="33" s="1"/>
  <c r="BL112" i="33" a="1"/>
  <c r="BL112" i="33" s="1"/>
  <c r="BJ41" i="33" a="1"/>
  <c r="BJ41" i="33" s="1"/>
  <c r="W119" i="33" a="1"/>
  <c r="W119" i="33" s="1"/>
  <c r="CL74" i="33" a="1"/>
  <c r="CL74" i="33" s="1"/>
  <c r="BL111" i="33" a="1"/>
  <c r="BL111" i="33" s="1"/>
  <c r="AN108" i="33" a="1"/>
  <c r="AN108" i="33" s="1"/>
  <c r="BA136" i="33" a="1"/>
  <c r="BA136" i="33" s="1"/>
  <c r="AP47" i="33" a="1"/>
  <c r="AP47" i="33" s="1"/>
  <c r="AZ44" i="33" a="1"/>
  <c r="AZ44" i="33" s="1"/>
  <c r="BB79" i="33" a="1"/>
  <c r="BB79" i="33" s="1"/>
  <c r="AC89" i="33" a="1"/>
  <c r="AC89" i="33" s="1"/>
  <c r="AG88" i="33" a="1"/>
  <c r="AG88" i="33" s="1"/>
  <c r="W118" i="33" a="1"/>
  <c r="W118" i="33" s="1"/>
  <c r="CW130" i="33" a="1"/>
  <c r="CW130" i="33" s="1"/>
  <c r="CP148" i="33" a="1"/>
  <c r="CP148" i="33" s="1"/>
  <c r="AZ37" i="33" a="1"/>
  <c r="AZ37" i="33" s="1"/>
  <c r="BM46" i="33" a="1"/>
  <c r="BM46" i="33" s="1"/>
  <c r="AM27" i="33" a="1"/>
  <c r="AM27" i="33" s="1"/>
  <c r="CP20" i="33" a="1"/>
  <c r="CP20" i="33" s="1"/>
  <c r="BA147" i="33" a="1"/>
  <c r="BA147" i="33" s="1"/>
  <c r="BV50" i="33" a="1"/>
  <c r="BV50" i="33" s="1"/>
  <c r="BB72" i="33" a="1"/>
  <c r="BB72" i="33" s="1"/>
  <c r="CF159" i="33" a="1"/>
  <c r="CF159" i="33" s="1"/>
  <c r="Z79" i="33" a="1"/>
  <c r="Z79" i="33" s="1"/>
  <c r="AI128" i="33" a="1"/>
  <c r="AI128" i="33" s="1"/>
  <c r="CP110" i="33" a="1"/>
  <c r="CP110" i="33" s="1"/>
  <c r="BK154" i="33" a="1"/>
  <c r="BK154" i="33" s="1"/>
  <c r="Z54" i="33" a="1"/>
  <c r="Z54" i="33" s="1"/>
  <c r="AR56" i="33" a="1"/>
  <c r="AR56" i="33" s="1"/>
  <c r="CD144" i="33" a="1"/>
  <c r="CD144" i="33" s="1"/>
  <c r="BV42" i="33" a="1"/>
  <c r="BV42" i="33" s="1"/>
  <c r="BW83" i="33" a="1"/>
  <c r="BW83" i="33" s="1"/>
  <c r="BV77" i="33" a="1"/>
  <c r="BV77" i="33" s="1"/>
  <c r="CZ76" i="33" a="1"/>
  <c r="CZ76" i="33" s="1"/>
  <c r="BV136" i="33" a="1"/>
  <c r="BV136" i="33" s="1"/>
  <c r="CG88" i="33" a="1"/>
  <c r="CG88" i="33" s="1"/>
  <c r="AQ25" i="33" a="1"/>
  <c r="AQ25" i="33" s="1"/>
  <c r="AG75" i="33" a="1"/>
  <c r="AG75" i="33" s="1"/>
  <c r="AJ145" i="33" a="1"/>
  <c r="AJ145" i="33" s="1"/>
  <c r="CY130" i="33" a="1"/>
  <c r="CY130" i="33" s="1"/>
  <c r="CZ39" i="33" a="1"/>
  <c r="CZ39" i="33" s="1"/>
  <c r="CO109" i="33" a="1"/>
  <c r="CO109" i="33" s="1"/>
  <c r="CP144" i="33" a="1"/>
  <c r="CP144" i="33" s="1"/>
  <c r="BU63" i="33" a="1"/>
  <c r="BU63" i="33" s="1"/>
  <c r="X153" i="33" a="1"/>
  <c r="X153" i="33" s="1"/>
  <c r="BG54" i="33" a="1"/>
  <c r="BG54" i="33" s="1"/>
  <c r="AB142" i="33" a="1"/>
  <c r="AB142" i="33" s="1"/>
  <c r="CF25" i="33" a="1"/>
  <c r="CF25" i="33" s="1"/>
  <c r="BA35" i="33" a="1"/>
  <c r="BA35" i="33" s="1"/>
  <c r="BV108" i="33" a="1"/>
  <c r="BV108" i="33" s="1"/>
  <c r="CZ132" i="33" a="1"/>
  <c r="CZ132" i="33" s="1"/>
  <c r="BQ136" i="33" a="1"/>
  <c r="BQ136" i="33" s="1"/>
  <c r="BQ67" i="33" a="1"/>
  <c r="BQ67" i="33" s="1"/>
  <c r="D140" i="33" a="1"/>
  <c r="D140" i="33" s="1"/>
  <c r="BV141" i="33" a="1"/>
  <c r="BV141" i="33" s="1"/>
  <c r="CZ80" i="33" a="1"/>
  <c r="CZ80" i="33" s="1"/>
  <c r="BU152" i="33" a="1"/>
  <c r="BU152" i="33" s="1"/>
  <c r="CX68" i="33" a="1"/>
  <c r="CX68" i="33" s="1"/>
  <c r="X154" i="33" a="1"/>
  <c r="X154" i="33" s="1"/>
  <c r="AP31" i="33" a="1"/>
  <c r="AP31" i="33" s="1"/>
  <c r="CD131" i="33" a="1"/>
  <c r="CD131" i="33" s="1"/>
  <c r="BK52" i="33" a="1"/>
  <c r="BK52" i="33" s="1"/>
  <c r="AZ55" i="33" a="1"/>
  <c r="AZ55" i="33" s="1"/>
  <c r="AP123" i="33" a="1"/>
  <c r="AP123" i="33" s="1"/>
  <c r="BA116" i="33" a="1"/>
  <c r="BA116" i="33" s="1"/>
  <c r="AN47" i="33" a="1"/>
  <c r="AN47" i="33" s="1"/>
  <c r="W54" i="33" a="1"/>
  <c r="W54" i="33" s="1"/>
  <c r="BT66" i="33" a="1"/>
  <c r="BT66" i="33" s="1"/>
  <c r="CI87" i="33" a="1"/>
  <c r="CI87" i="33" s="1"/>
  <c r="CF114" i="33" a="1"/>
  <c r="CF114" i="33" s="1"/>
  <c r="AQ106" i="33" a="1"/>
  <c r="AQ106" i="33" s="1"/>
  <c r="AZ42" i="33" a="1"/>
  <c r="AZ42" i="33" s="1"/>
  <c r="CZ126" i="33" a="1"/>
  <c r="CZ126" i="33" s="1"/>
  <c r="D63" i="33" a="1"/>
  <c r="D63" i="33" s="1"/>
  <c r="BP66" i="33" a="1"/>
  <c r="BP66" i="33" s="1"/>
  <c r="D52" i="33" a="1"/>
  <c r="D52" i="33" s="1"/>
  <c r="BA104" i="33" a="1"/>
  <c r="BA104" i="33" s="1"/>
  <c r="CX89" i="33" a="1"/>
  <c r="CX89" i="33" s="1"/>
  <c r="AQ78" i="33" a="1"/>
  <c r="AQ78" i="33" s="1"/>
  <c r="BJ14" i="33" a="1"/>
  <c r="BJ14" i="33" s="1"/>
  <c r="CB158" i="33" a="1"/>
  <c r="CB158" i="33" s="1"/>
  <c r="AM133" i="33" a="1"/>
  <c r="AM133" i="33" s="1"/>
  <c r="CW30" i="33" a="1"/>
  <c r="CW30" i="33" s="1"/>
  <c r="AN138" i="33" a="1"/>
  <c r="AN138" i="33" s="1"/>
  <c r="BL29" i="33" a="1"/>
  <c r="BL29" i="33" s="1"/>
  <c r="Y129" i="33" a="1"/>
  <c r="Y129" i="33" s="1"/>
  <c r="BA154" i="33" a="1"/>
  <c r="BA154" i="33" s="1"/>
  <c r="AH126" i="33" a="1"/>
  <c r="AH126" i="33" s="1"/>
  <c r="BH20" i="33" a="1"/>
  <c r="BH20" i="33" s="1"/>
  <c r="CO89" i="33" a="1"/>
  <c r="CO89" i="33" s="1"/>
  <c r="Y93" i="33" a="1"/>
  <c r="Y93" i="33" s="1"/>
  <c r="CZ101" i="33" a="1"/>
  <c r="CZ101" i="33" s="1"/>
  <c r="CX56" i="33" a="1"/>
  <c r="CX56" i="33" s="1"/>
  <c r="CP123" i="33" a="1"/>
  <c r="CP123" i="33" s="1"/>
  <c r="BK37" i="33" a="1"/>
  <c r="BK37" i="33" s="1"/>
  <c r="CF148" i="33" a="1"/>
  <c r="CF148" i="33" s="1"/>
  <c r="CD86" i="33" a="1"/>
  <c r="CD86" i="33" s="1"/>
  <c r="AM87" i="33" a="1"/>
  <c r="AM87" i="33" s="1"/>
  <c r="AQ34" i="33" a="1"/>
  <c r="AQ34" i="33" s="1"/>
  <c r="CO123" i="33" a="1"/>
  <c r="CO123" i="33" s="1"/>
  <c r="BK88" i="33" a="1"/>
  <c r="BK88" i="33" s="1"/>
  <c r="AR121" i="33" a="1"/>
  <c r="AR121" i="33" s="1"/>
  <c r="AH143" i="33" a="1"/>
  <c r="AH143" i="33" s="1"/>
  <c r="AC31" i="33" a="1"/>
  <c r="AC31" i="33" s="1"/>
  <c r="CU54" i="33" a="1"/>
  <c r="CU54" i="33" s="1"/>
  <c r="AI115" i="33" a="1"/>
  <c r="AI115" i="33" s="1"/>
  <c r="BV16" i="33" a="1"/>
  <c r="BV16" i="33" s="1"/>
  <c r="AM93" i="33" a="1"/>
  <c r="AM93" i="33" s="1"/>
  <c r="BH76" i="33" a="1"/>
  <c r="BH76" i="33" s="1"/>
  <c r="BM85" i="33" a="1"/>
  <c r="BM85" i="33" s="1"/>
  <c r="CG63" i="33" a="1"/>
  <c r="CG63" i="33" s="1"/>
  <c r="BV30" i="33" a="1"/>
  <c r="BV30" i="33" s="1"/>
  <c r="AQ125" i="33" a="1"/>
  <c r="AQ125" i="33" s="1"/>
  <c r="AM19" i="33" a="1"/>
  <c r="AM19" i="33" s="1"/>
  <c r="BU20" i="33" a="1"/>
  <c r="BU20" i="33" s="1"/>
  <c r="BU133" i="33" a="1"/>
  <c r="BU133" i="33" s="1"/>
  <c r="CO70" i="33" a="1"/>
  <c r="CO70" i="33" s="1"/>
  <c r="AR83" i="33" a="1"/>
  <c r="AR83" i="33" s="1"/>
  <c r="X45" i="33" a="1"/>
  <c r="X45" i="33" s="1"/>
  <c r="CZ137" i="33" a="1"/>
  <c r="CZ137" i="33" s="1"/>
  <c r="D105" i="33" a="1"/>
  <c r="D105" i="33" s="1"/>
  <c r="BH54" i="33" a="1"/>
  <c r="BH54" i="33" s="1"/>
  <c r="BB151" i="33" a="1"/>
  <c r="BB151" i="33" s="1"/>
  <c r="CF100" i="33" a="1"/>
  <c r="CF100" i="33" s="1"/>
  <c r="BL71" i="33" a="1"/>
  <c r="BL71" i="33" s="1"/>
  <c r="AG161" i="33" a="1"/>
  <c r="AG161" i="33" s="1"/>
  <c r="CX109" i="33" a="1"/>
  <c r="CX109" i="33" s="1"/>
  <c r="CF118" i="33" a="1"/>
  <c r="CF118" i="33" s="1"/>
  <c r="AQ108" i="33" a="1"/>
  <c r="AQ108" i="33" s="1"/>
  <c r="BA55" i="33" a="1"/>
  <c r="BA55" i="33" s="1"/>
  <c r="Z148" i="33" a="1"/>
  <c r="Z148" i="33" s="1"/>
  <c r="BA148" i="33" a="1"/>
  <c r="BA148" i="33" s="1"/>
  <c r="CA130" i="33" a="1"/>
  <c r="CA130" i="33" s="1"/>
  <c r="CY117" i="33" a="1"/>
  <c r="CY117" i="33" s="1"/>
  <c r="AR68" i="33" a="1"/>
  <c r="AR68" i="33" s="1"/>
  <c r="CQ152" i="33" a="1"/>
  <c r="CQ152" i="33" s="1"/>
  <c r="AW22" i="33" a="1"/>
  <c r="AW22" i="33" s="1"/>
  <c r="CZ141" i="33" a="1"/>
  <c r="CZ141" i="33" s="1"/>
  <c r="CO39" i="33" a="1"/>
  <c r="CO39" i="33" s="1"/>
  <c r="BC45" i="33" a="1"/>
  <c r="BC45" i="33" s="1"/>
  <c r="CZ153" i="33" a="1"/>
  <c r="CZ153" i="33" s="1"/>
  <c r="CF129" i="33" a="1"/>
  <c r="CF129" i="33" s="1"/>
  <c r="BA39" i="33" a="1"/>
  <c r="BA39" i="33" s="1"/>
  <c r="BA82" i="33" a="1"/>
  <c r="BA82" i="33" s="1"/>
  <c r="BT147" i="33" a="1"/>
  <c r="BT147" i="33" s="1"/>
  <c r="AZ19" i="33" a="1"/>
  <c r="AZ19" i="33" s="1"/>
  <c r="CF138" i="33" a="1"/>
  <c r="CF138" i="33" s="1"/>
  <c r="AW119" i="33" a="1"/>
  <c r="AW119" i="33" s="1"/>
  <c r="AH73" i="33" a="1"/>
  <c r="AH73" i="33" s="1"/>
  <c r="BA72" i="33" a="1"/>
  <c r="BA72" i="33" s="1"/>
  <c r="W86" i="33" a="1"/>
  <c r="W86" i="33" s="1"/>
  <c r="D100" i="33" a="1"/>
  <c r="D100" i="33" s="1"/>
  <c r="AG125" i="33" a="1"/>
  <c r="AG125" i="33" s="1"/>
  <c r="BK30" i="33" a="1"/>
  <c r="BK30" i="33" s="1"/>
  <c r="BL75" i="33" a="1"/>
  <c r="BL75" i="33" s="1"/>
  <c r="BU129" i="33" a="1"/>
  <c r="BU129" i="33" s="1"/>
  <c r="CP43" i="33" a="1"/>
  <c r="CP43" i="33" s="1"/>
  <c r="BQ104" i="33" a="1"/>
  <c r="BQ104" i="33" s="1"/>
  <c r="BL123" i="33" a="1"/>
  <c r="BL123" i="33" s="1"/>
  <c r="BB48" i="33" a="1"/>
  <c r="BB48" i="33" s="1"/>
  <c r="BT74" i="33" a="1"/>
  <c r="BT74" i="33" s="1"/>
  <c r="CY60" i="33" a="1"/>
  <c r="CY60" i="33" s="1"/>
  <c r="AG91" i="33" a="1"/>
  <c r="AG91" i="33" s="1"/>
  <c r="AM156" i="33" a="1"/>
  <c r="AM156" i="33" s="1"/>
  <c r="CP72" i="33" a="1"/>
  <c r="CP72" i="33" s="1"/>
  <c r="BP23" i="33" a="1"/>
  <c r="BP23" i="33" s="1"/>
  <c r="AN56" i="33" a="1"/>
  <c r="AN56" i="33" s="1"/>
  <c r="AZ82" i="33" a="1"/>
  <c r="AZ82" i="33" s="1"/>
  <c r="BA156" i="33" a="1"/>
  <c r="BA156" i="33" s="1"/>
  <c r="CD136" i="33" a="1"/>
  <c r="CD136" i="33" s="1"/>
  <c r="CO20" i="33" a="1"/>
  <c r="CO20" i="33" s="1"/>
  <c r="X116" i="33" a="1"/>
  <c r="X116" i="33" s="1"/>
  <c r="BJ33" i="33" a="1"/>
  <c r="BJ33" i="33" s="1"/>
  <c r="X18" i="33" a="1"/>
  <c r="X18" i="33" s="1"/>
  <c r="AR27" i="33" a="1"/>
  <c r="AR27" i="33" s="1"/>
  <c r="CY154" i="33" a="1"/>
  <c r="CY154" i="33" s="1"/>
  <c r="AM47" i="33" a="1"/>
  <c r="AM47" i="33" s="1"/>
  <c r="BU37" i="33" a="1"/>
  <c r="BU37" i="33" s="1"/>
  <c r="CF128" i="33" a="1"/>
  <c r="CF128" i="33" s="1"/>
  <c r="AW86" i="33" a="1"/>
  <c r="AW86" i="33" s="1"/>
  <c r="AR134" i="33" a="1"/>
  <c r="AR134" i="33" s="1"/>
  <c r="BK156" i="33" a="1"/>
  <c r="BK156" i="33" s="1"/>
  <c r="CX148" i="33" a="1"/>
  <c r="CX148" i="33" s="1"/>
  <c r="BD132" i="33" a="1"/>
  <c r="BD132" i="33" s="1"/>
  <c r="BV40" i="33" a="1"/>
  <c r="BV40" i="33" s="1"/>
  <c r="CZ17" i="33" a="1"/>
  <c r="CZ17" i="33" s="1"/>
  <c r="BC62" i="33" a="1"/>
  <c r="BC62" i="33" s="1"/>
  <c r="CG69" i="33" a="1"/>
  <c r="CG69" i="33" s="1"/>
  <c r="CF86" i="33" a="1"/>
  <c r="CF86" i="33" s="1"/>
  <c r="AG73" i="33" a="1"/>
  <c r="AG73" i="33" s="1"/>
  <c r="CF108" i="33" a="1"/>
  <c r="CF108" i="33" s="1"/>
  <c r="AS153" i="33" a="1"/>
  <c r="AS153" i="33" s="1"/>
  <c r="CA92" i="33" a="1"/>
  <c r="CA92" i="33" s="1"/>
  <c r="X123" i="33" a="1"/>
  <c r="X123" i="33" s="1"/>
  <c r="BD112" i="33" a="1"/>
  <c r="BD112" i="33" s="1"/>
  <c r="BG93" i="33" a="1"/>
  <c r="BG93" i="33" s="1"/>
  <c r="AH92" i="33" a="1"/>
  <c r="AH92" i="33" s="1"/>
  <c r="BV26" i="33" a="1"/>
  <c r="BV26" i="33" s="1"/>
  <c r="AR146" i="33" a="1"/>
  <c r="AR146" i="33" s="1"/>
  <c r="AH148" i="33" a="1"/>
  <c r="AH148" i="33" s="1"/>
  <c r="BQ150" i="33" a="1"/>
  <c r="BQ150" i="33" s="1"/>
  <c r="BU150" i="33" a="1"/>
  <c r="BU150" i="33" s="1"/>
  <c r="CP90" i="33" a="1"/>
  <c r="CP90" i="33" s="1"/>
  <c r="X119" i="33" a="1"/>
  <c r="X119" i="33" s="1"/>
  <c r="AQ41" i="33" a="1"/>
  <c r="AQ41" i="33" s="1"/>
  <c r="CX142" i="33" a="1"/>
  <c r="CX142" i="33" s="1"/>
  <c r="BS83" i="33" a="1"/>
  <c r="BS83" i="33" s="1"/>
  <c r="W88" i="33" a="1"/>
  <c r="W88" i="33" s="1"/>
  <c r="AG64" i="33" a="1"/>
  <c r="AG64" i="33" s="1"/>
  <c r="AC24" i="33" a="1"/>
  <c r="AC24" i="33" s="1"/>
  <c r="BV17" i="33" a="1"/>
  <c r="BV17" i="33" s="1"/>
  <c r="BL35" i="33" a="1"/>
  <c r="BL35" i="33" s="1"/>
  <c r="BB136" i="33" a="1"/>
  <c r="BB136" i="33" s="1"/>
  <c r="W67" i="33" a="1"/>
  <c r="W67" i="33" s="1"/>
  <c r="AG108" i="33" a="1"/>
  <c r="AG108" i="33" s="1"/>
  <c r="CB123" i="33" a="1"/>
  <c r="CB123" i="33" s="1"/>
  <c r="CO133" i="33" a="1"/>
  <c r="CO133" i="33" s="1"/>
  <c r="BB127" i="33" a="1"/>
  <c r="BB127" i="33" s="1"/>
  <c r="AH150" i="33" a="1"/>
  <c r="AH150" i="33" s="1"/>
  <c r="AP17" i="33" a="1"/>
  <c r="AP17" i="33" s="1"/>
  <c r="BA115" i="33" a="1"/>
  <c r="BA115" i="33" s="1"/>
  <c r="AM46" i="33" a="1"/>
  <c r="AM46" i="33" s="1"/>
  <c r="AG132" i="33" a="1"/>
  <c r="AG132" i="33" s="1"/>
  <c r="AQ85" i="33" a="1"/>
  <c r="AQ85" i="33" s="1"/>
  <c r="CD67" i="33" a="1"/>
  <c r="CD67" i="33" s="1"/>
  <c r="AZ106" i="33" a="1"/>
  <c r="AZ106" i="33" s="1"/>
  <c r="BP146" i="33" a="1"/>
  <c r="BP146" i="33" s="1"/>
  <c r="BJ154" i="33" a="1"/>
  <c r="BJ154" i="33" s="1"/>
  <c r="BV97" i="33" a="1"/>
  <c r="BV97" i="33" s="1"/>
  <c r="AG154" i="33" a="1"/>
  <c r="AG154" i="33" s="1"/>
  <c r="CX71" i="33" a="1"/>
  <c r="CX71" i="33" s="1"/>
  <c r="BT37" i="33" a="1"/>
  <c r="BT37" i="33" s="1"/>
  <c r="AZ135" i="33" a="1"/>
  <c r="AZ135" i="33" s="1"/>
  <c r="AB61" i="33" a="1"/>
  <c r="AB61" i="33" s="1"/>
  <c r="BA118" i="33" a="1"/>
  <c r="BA118" i="33" s="1"/>
  <c r="BB120" i="33" a="1"/>
  <c r="BB120" i="33" s="1"/>
  <c r="AW92" i="33" a="1"/>
  <c r="AW92" i="33" s="1"/>
  <c r="AP84" i="33" a="1"/>
  <c r="AP84" i="33" s="1"/>
  <c r="CX96" i="33" a="1"/>
  <c r="CX96" i="33" s="1"/>
  <c r="CN38" i="33" a="1"/>
  <c r="CN38" i="33" s="1"/>
  <c r="AH82" i="33" a="1"/>
  <c r="AH82" i="33" s="1"/>
  <c r="CY20" i="33" a="1"/>
  <c r="CY20" i="33" s="1"/>
  <c r="BB44" i="33" a="1"/>
  <c r="BB44" i="33" s="1"/>
  <c r="BA47" i="33" a="1"/>
  <c r="BA47" i="33" s="1"/>
  <c r="AF107" i="33" a="1"/>
  <c r="AF107" i="33" s="1"/>
  <c r="AH44" i="33" a="1"/>
  <c r="AH44" i="33" s="1"/>
  <c r="CD54" i="33" a="1"/>
  <c r="CD54" i="33" s="1"/>
  <c r="W152" i="33" a="1"/>
  <c r="W152" i="33" s="1"/>
  <c r="BP44" i="33" a="1"/>
  <c r="BP44" i="33" s="1"/>
  <c r="CB137" i="33" a="1"/>
  <c r="CB137" i="33" s="1"/>
  <c r="V98" i="33" a="1"/>
  <c r="V98" i="33" s="1"/>
  <c r="CO98" i="33" a="1"/>
  <c r="CO98" i="33" s="1"/>
  <c r="X20" i="33" a="1"/>
  <c r="X20" i="33" s="1"/>
  <c r="CO122" i="33" a="1"/>
  <c r="CO122" i="33" s="1"/>
  <c r="AG141" i="33" a="1"/>
  <c r="AG141" i="33" s="1"/>
  <c r="CD55" i="33" a="1"/>
  <c r="CD55" i="33" s="1"/>
  <c r="BA133" i="33" a="1"/>
  <c r="BA133" i="33" s="1"/>
  <c r="AM48" i="33" a="1"/>
  <c r="AM48" i="33" s="1"/>
  <c r="BQ128" i="33" a="1"/>
  <c r="BQ128" i="33" s="1"/>
  <c r="AC91" i="33" a="1"/>
  <c r="AC91" i="33" s="1"/>
  <c r="BB35" i="33" a="1"/>
  <c r="BB35" i="33" s="1"/>
  <c r="AQ91" i="33" a="1"/>
  <c r="AQ91" i="33" s="1"/>
  <c r="X101" i="33" a="1"/>
  <c r="X101" i="33" s="1"/>
  <c r="BC35" i="33" a="1"/>
  <c r="BC35" i="33" s="1"/>
  <c r="CU84" i="33" a="1"/>
  <c r="CU84" i="33" s="1"/>
  <c r="CY25" i="33" a="1"/>
  <c r="CY25" i="33" s="1"/>
  <c r="CQ51" i="33" a="1"/>
  <c r="CQ51" i="33" s="1"/>
  <c r="AW126" i="33" a="1"/>
  <c r="AW126" i="33" s="1"/>
  <c r="BK136" i="33" a="1"/>
  <c r="BK136" i="33" s="1"/>
  <c r="BV84" i="33" a="1"/>
  <c r="BV84" i="33" s="1"/>
  <c r="AC136" i="33" a="1"/>
  <c r="AC136" i="33" s="1"/>
  <c r="CN111" i="33" a="1"/>
  <c r="CN111" i="33" s="1"/>
  <c r="CZ91" i="33" a="1"/>
  <c r="CZ91" i="33" s="1"/>
  <c r="BK140" i="33" a="1"/>
  <c r="BK140" i="33" s="1"/>
  <c r="CX143" i="33" a="1"/>
  <c r="CX143" i="33" s="1"/>
  <c r="AM66" i="33" a="1"/>
  <c r="AM66" i="33" s="1"/>
  <c r="CQ77" i="33" a="1"/>
  <c r="CQ77" i="33" s="1"/>
  <c r="BH51" i="33" a="1"/>
  <c r="BH51" i="33" s="1"/>
  <c r="AW150" i="33" a="1"/>
  <c r="AW150" i="33" s="1"/>
  <c r="BB14" i="33" a="1"/>
  <c r="BB14" i="33" s="1"/>
  <c r="CD52" i="33" a="1"/>
  <c r="CD52" i="33" s="1"/>
  <c r="BB71" i="33" a="1"/>
  <c r="BB71" i="33" s="1"/>
  <c r="AC82" i="33" a="1"/>
  <c r="AC82" i="33" s="1"/>
  <c r="AJ86" i="33" a="1"/>
  <c r="AJ86" i="33" s="1"/>
  <c r="AS146" i="33" a="1"/>
  <c r="AS146" i="33" s="1"/>
  <c r="BB112" i="33" a="1"/>
  <c r="BB112" i="33" s="1"/>
  <c r="W36" i="33" a="1"/>
  <c r="W36" i="33" s="1"/>
  <c r="CP96" i="33" a="1"/>
  <c r="CP96" i="33" s="1"/>
  <c r="AG117" i="33" a="1"/>
  <c r="AG117" i="33" s="1"/>
  <c r="CQ114" i="33" a="1"/>
  <c r="CQ114" i="33" s="1"/>
  <c r="BK33" i="33" a="1"/>
  <c r="BK33" i="33" s="1"/>
  <c r="BQ26" i="33" a="1"/>
  <c r="BQ26" i="33" s="1"/>
  <c r="BW43" i="33" a="1"/>
  <c r="BW43" i="33" s="1"/>
  <c r="CZ148" i="33" a="1"/>
  <c r="CZ148" i="33" s="1"/>
  <c r="BG107" i="33" a="1"/>
  <c r="BG107" i="33" s="1"/>
  <c r="BV70" i="33" a="1"/>
  <c r="BV70" i="33" s="1"/>
  <c r="CY48" i="33" a="1"/>
  <c r="CY48" i="33" s="1"/>
  <c r="BK111" i="33" a="1"/>
  <c r="BK111" i="33" s="1"/>
  <c r="AC71" i="33" a="1"/>
  <c r="AC71" i="33" s="1"/>
  <c r="BL120" i="33" a="1"/>
  <c r="BL120" i="33" s="1"/>
  <c r="BB73" i="33" a="1"/>
  <c r="BB73" i="33" s="1"/>
  <c r="CD140" i="33" a="1"/>
  <c r="CD140" i="33" s="1"/>
  <c r="BH134" i="33" a="1"/>
  <c r="BH134" i="33" s="1"/>
  <c r="CU83" i="33" a="1"/>
  <c r="CU83" i="33" s="1"/>
  <c r="BQ151" i="33" a="1"/>
  <c r="BQ151" i="33" s="1"/>
  <c r="BU98" i="33" a="1"/>
  <c r="BU98" i="33" s="1"/>
  <c r="Z92" i="33" a="1"/>
  <c r="Z92" i="33" s="1"/>
  <c r="CO23" i="33" a="1"/>
  <c r="CO23" i="33" s="1"/>
  <c r="AR126" i="33" a="1"/>
  <c r="AR126" i="33" s="1"/>
  <c r="BQ85" i="33" a="1"/>
  <c r="BQ85" i="33" s="1"/>
  <c r="AM104" i="33" a="1"/>
  <c r="AM104" i="33" s="1"/>
  <c r="D155" i="33" a="1"/>
  <c r="D155" i="33" s="1"/>
  <c r="CF101" i="33" a="1"/>
  <c r="CF101" i="33" s="1"/>
  <c r="BB87" i="33" a="1"/>
  <c r="BB87" i="33" s="1"/>
  <c r="CO106" i="33" a="1"/>
  <c r="CO106" i="33" s="1"/>
  <c r="BL97" i="33" a="1"/>
  <c r="BL97" i="33" s="1"/>
  <c r="CP68" i="33" a="1"/>
  <c r="CP68" i="33" s="1"/>
  <c r="AG83" i="33" a="1"/>
  <c r="AG83" i="33" s="1"/>
  <c r="BL44" i="33" a="1"/>
  <c r="BL44" i="33" s="1"/>
  <c r="CX43" i="33" a="1"/>
  <c r="CX43" i="33" s="1"/>
  <c r="BU81" i="33" a="1"/>
  <c r="BU81" i="33" s="1"/>
  <c r="CY146" i="33" a="1"/>
  <c r="CY146" i="33" s="1"/>
  <c r="BK127" i="33" a="1"/>
  <c r="BK127" i="33" s="1"/>
  <c r="CZ157" i="33" a="1"/>
  <c r="CZ157" i="33" s="1"/>
  <c r="CO131" i="33" a="1"/>
  <c r="CO131" i="33" s="1"/>
  <c r="AW61" i="33" a="1"/>
  <c r="AW61" i="33" s="1"/>
  <c r="BU87" i="33" a="1"/>
  <c r="BU87" i="33" s="1"/>
  <c r="AC156" i="33" a="1"/>
  <c r="AC156" i="33" s="1"/>
  <c r="AR74" i="33" a="1"/>
  <c r="AR74" i="33" s="1"/>
  <c r="CX63" i="33" a="1"/>
  <c r="CX63" i="33" s="1"/>
  <c r="BB65" i="33" a="1"/>
  <c r="BB65" i="33" s="1"/>
  <c r="AP116" i="33" a="1"/>
  <c r="AP116" i="33" s="1"/>
  <c r="BT47" i="33" a="1"/>
  <c r="BT47" i="33" s="1"/>
  <c r="BL94" i="33" a="1"/>
  <c r="BL94" i="33" s="1"/>
  <c r="BK47" i="33" a="1"/>
  <c r="BK47" i="33" s="1"/>
  <c r="BP22" i="33" a="1"/>
  <c r="BP22" i="33" s="1"/>
  <c r="BU33" i="33" a="1"/>
  <c r="BU33" i="33" s="1"/>
  <c r="BJ138" i="33" a="1"/>
  <c r="BJ138" i="33" s="1"/>
  <c r="AN73" i="33" a="1"/>
  <c r="AN73" i="33" s="1"/>
  <c r="BJ35" i="33" a="1"/>
  <c r="BJ35" i="33" s="1"/>
  <c r="CN69" i="33" a="1"/>
  <c r="CN69" i="33" s="1"/>
  <c r="AC122" i="33" a="1"/>
  <c r="AC122" i="33" s="1"/>
  <c r="CU73" i="33" a="1"/>
  <c r="CU73" i="33" s="1"/>
  <c r="AR102" i="33" a="1"/>
  <c r="AR102" i="33" s="1"/>
  <c r="BB45" i="33" a="1"/>
  <c r="BB45" i="33" s="1"/>
  <c r="BH50" i="33" a="1"/>
  <c r="BH50" i="33" s="1"/>
  <c r="X56" i="33" a="1"/>
  <c r="X56" i="33" s="1"/>
  <c r="CY43" i="33" a="1"/>
  <c r="CY43" i="33" s="1"/>
  <c r="AT82" i="33" a="1"/>
  <c r="AT82" i="33" s="1"/>
  <c r="BW20" i="33" a="1"/>
  <c r="BW20" i="33" s="1"/>
  <c r="AH79" i="33" a="1"/>
  <c r="AH79" i="33" s="1"/>
  <c r="CO86" i="33" a="1"/>
  <c r="CO86" i="33" s="1"/>
  <c r="AH103" i="33" a="1"/>
  <c r="AH103" i="33" s="1"/>
  <c r="Y21" i="33" a="1"/>
  <c r="Y21" i="33" s="1"/>
  <c r="AW88" i="33" a="1"/>
  <c r="AW88" i="33" s="1"/>
  <c r="AH160" i="33" a="1"/>
  <c r="AH160" i="33" s="1"/>
  <c r="BV65" i="33" a="1"/>
  <c r="BV65" i="33" s="1"/>
  <c r="CP132" i="33" a="1"/>
  <c r="CP132" i="33" s="1"/>
  <c r="BL33" i="33" a="1"/>
  <c r="BL33" i="33" s="1"/>
  <c r="AM61" i="33" a="1"/>
  <c r="AM61" i="33" s="1"/>
  <c r="CA152" i="33" a="1"/>
  <c r="CA152" i="33" s="1"/>
  <c r="AH94" i="33" a="1"/>
  <c r="AH94" i="33" s="1"/>
  <c r="BB19" i="33" a="1"/>
  <c r="BB19" i="33" s="1"/>
  <c r="AJ33" i="33" a="1"/>
  <c r="AJ33" i="33" s="1"/>
  <c r="CP16" i="33" a="1"/>
  <c r="CP16" i="33" s="1"/>
  <c r="X24" i="33" a="1"/>
  <c r="X24" i="33" s="1"/>
  <c r="BK129" i="33" a="1"/>
  <c r="BK129" i="33" s="1"/>
  <c r="BK120" i="33" a="1"/>
  <c r="BK120" i="33" s="1"/>
  <c r="V139" i="33" a="1"/>
  <c r="V139" i="33" s="1"/>
  <c r="X145" i="33" a="1"/>
  <c r="X145" i="33" s="1"/>
  <c r="X55" i="33" a="1"/>
  <c r="X55" i="33" s="1"/>
  <c r="BV56" i="33" a="1"/>
  <c r="BV56" i="33" s="1"/>
  <c r="Y121" i="33" a="1"/>
  <c r="Y121" i="33" s="1"/>
  <c r="X41" i="33" a="1"/>
  <c r="X41" i="33" s="1"/>
  <c r="AH39" i="33" a="1"/>
  <c r="AH39" i="33" s="1"/>
  <c r="BL133" i="33" a="1"/>
  <c r="BL133" i="33" s="1"/>
  <c r="BB88" i="33" a="1"/>
  <c r="BB88" i="33" s="1"/>
  <c r="BQ122" i="33" a="1"/>
  <c r="BQ122" i="33" s="1"/>
  <c r="BB74" i="33" a="1"/>
  <c r="BB74" i="33" s="1"/>
  <c r="AM153" i="33" a="1"/>
  <c r="AM153" i="33" s="1"/>
  <c r="BV125" i="33" a="1"/>
  <c r="BV125" i="33" s="1"/>
  <c r="W136" i="33" a="1"/>
  <c r="W136" i="33" s="1"/>
  <c r="AQ77" i="33" a="1"/>
  <c r="AQ77" i="33" s="1"/>
  <c r="BK32" i="33" a="1"/>
  <c r="BK32" i="33" s="1"/>
  <c r="CN27" i="33" a="1"/>
  <c r="CN27" i="33" s="1"/>
  <c r="CN88" i="33" a="1"/>
  <c r="CN88" i="33" s="1"/>
  <c r="W142" i="33" a="1"/>
  <c r="W142" i="33" s="1"/>
  <c r="AG97" i="33" a="1"/>
  <c r="AG97" i="33" s="1"/>
  <c r="CO47" i="33" a="1"/>
  <c r="CO47" i="33" s="1"/>
  <c r="AQ49" i="33" a="1"/>
  <c r="AQ49" i="33" s="1"/>
  <c r="AG105" i="33" a="1"/>
  <c r="AG105" i="33" s="1"/>
  <c r="V120" i="33" a="1"/>
  <c r="V120" i="33" s="1"/>
  <c r="CD122" i="33" a="1"/>
  <c r="CD122" i="33" s="1"/>
  <c r="BP119" i="33" a="1"/>
  <c r="BP119" i="33" s="1"/>
  <c r="W123" i="33" a="1"/>
  <c r="W123" i="33" s="1"/>
  <c r="V155" i="33" a="1"/>
  <c r="V155" i="33" s="1"/>
  <c r="CO79" i="33" a="1"/>
  <c r="CO79" i="33" s="1"/>
  <c r="BP77" i="33" a="1"/>
  <c r="BP77" i="33" s="1"/>
  <c r="AF161" i="33" a="1"/>
  <c r="AF161" i="33" s="1"/>
  <c r="BL125" i="33" a="1"/>
  <c r="BL125" i="33" s="1"/>
  <c r="CN101" i="33" a="1"/>
  <c r="CN101" i="33" s="1"/>
  <c r="AG146" i="33" a="1"/>
  <c r="AG146" i="33" s="1"/>
  <c r="AG39" i="33" a="1"/>
  <c r="AG39" i="33" s="1"/>
  <c r="W140" i="33" a="1"/>
  <c r="W140" i="33" s="1"/>
  <c r="CW114" i="33" a="1"/>
  <c r="CW114" i="33" s="1"/>
  <c r="AP59" i="33" a="1"/>
  <c r="AP59" i="33" s="1"/>
  <c r="AN33" i="33" a="1"/>
  <c r="AN33" i="33" s="1"/>
  <c r="BB157" i="33" a="1"/>
  <c r="BB157" i="33" s="1"/>
  <c r="BG30" i="33" a="1"/>
  <c r="BG30" i="33" s="1"/>
  <c r="AP87" i="33" a="1"/>
  <c r="AP87" i="33" s="1"/>
  <c r="W41" i="33" a="1"/>
  <c r="W41" i="33" s="1"/>
  <c r="CB76" i="33" a="1"/>
  <c r="CB76" i="33" s="1"/>
  <c r="AN113" i="33" a="1"/>
  <c r="AN113" i="33" s="1"/>
  <c r="BT83" i="33" a="1"/>
  <c r="BT83" i="33" s="1"/>
  <c r="BU127" i="33" a="1"/>
  <c r="BU127" i="33" s="1"/>
  <c r="BL45" i="33" a="1"/>
  <c r="BL45" i="33" s="1"/>
  <c r="AQ33" i="33" a="1"/>
  <c r="AQ33" i="33" s="1"/>
  <c r="CE49" i="33" a="1"/>
  <c r="CE49" i="33" s="1"/>
  <c r="W42" i="33" a="1"/>
  <c r="W42" i="33" s="1"/>
  <c r="AQ137" i="33" a="1"/>
  <c r="AQ137" i="33" s="1"/>
  <c r="W30" i="33" a="1"/>
  <c r="W30" i="33" s="1"/>
  <c r="CN49" i="33" a="1"/>
  <c r="CN49" i="33" s="1"/>
  <c r="CD62" i="33" a="1"/>
  <c r="CD62" i="33" s="1"/>
  <c r="AH71" i="33" a="1"/>
  <c r="AH71" i="33" s="1"/>
  <c r="CZ31" i="33" a="1"/>
  <c r="CZ31" i="33" s="1"/>
  <c r="BQ125" i="33" a="1"/>
  <c r="BQ125" i="33" s="1"/>
  <c r="AH110" i="33" a="1"/>
  <c r="AH110" i="33" s="1"/>
  <c r="AW109" i="33" a="1"/>
  <c r="AW109" i="33" s="1"/>
  <c r="BA14" i="33" a="1"/>
  <c r="BA14" i="33" s="1"/>
  <c r="CP125" i="33" a="1"/>
  <c r="CP125" i="33" s="1"/>
  <c r="BM99" i="33" a="1"/>
  <c r="BM99" i="33" s="1"/>
  <c r="AQ93" i="33" a="1"/>
  <c r="AQ93" i="33" s="1"/>
  <c r="CO58" i="33" a="1"/>
  <c r="CO58" i="33" s="1"/>
  <c r="AQ54" i="33" a="1"/>
  <c r="AQ54" i="33" s="1"/>
  <c r="BL93" i="33" a="1"/>
  <c r="BL93" i="33" s="1"/>
  <c r="BU55" i="33" a="1"/>
  <c r="BU55" i="33" s="1"/>
  <c r="AW107" i="33" a="1"/>
  <c r="AW107" i="33" s="1"/>
  <c r="BK150" i="33" a="1"/>
  <c r="BK150" i="33" s="1"/>
  <c r="CO83" i="33" a="1"/>
  <c r="CO83" i="33" s="1"/>
  <c r="CD83" i="33" a="1"/>
  <c r="CD83" i="33" s="1"/>
  <c r="AS161" i="33" a="1"/>
  <c r="AS161" i="33" s="1"/>
  <c r="AM86" i="33" a="1"/>
  <c r="AM86" i="33" s="1"/>
  <c r="CA132" i="33" a="1"/>
  <c r="CA132" i="33" s="1"/>
  <c r="CF130" i="33" a="1"/>
  <c r="CF130" i="33" s="1"/>
  <c r="BW17" i="33" a="1"/>
  <c r="BW17" i="33" s="1"/>
  <c r="CZ38" i="33" a="1"/>
  <c r="CZ38" i="33" s="1"/>
  <c r="BC76" i="33" a="1"/>
  <c r="BC76" i="33" s="1"/>
  <c r="AR79" i="33" a="1"/>
  <c r="AR79" i="33" s="1"/>
  <c r="CF78" i="33" a="1"/>
  <c r="CF78" i="33" s="1"/>
  <c r="X109" i="33" a="1"/>
  <c r="X109" i="33" s="1"/>
  <c r="BU121" i="33" a="1"/>
  <c r="BU121" i="33" s="1"/>
  <c r="CO112" i="33" a="1"/>
  <c r="CO112" i="33" s="1"/>
  <c r="D98" i="33" a="1"/>
  <c r="D98" i="33" s="1"/>
  <c r="AH40" i="33" a="1"/>
  <c r="AH40" i="33" s="1"/>
  <c r="BD109" i="33" a="1"/>
  <c r="BD109" i="33" s="1"/>
  <c r="BV110" i="33" a="1"/>
  <c r="BV110" i="33" s="1"/>
  <c r="BL36" i="33" a="1"/>
  <c r="BL36" i="33" s="1"/>
  <c r="AR42" i="33" a="1"/>
  <c r="AR42" i="33" s="1"/>
  <c r="AC76" i="33" a="1"/>
  <c r="AC76" i="33" s="1"/>
  <c r="BH40" i="33" a="1"/>
  <c r="BH40" i="33" s="1"/>
  <c r="AC148" i="33" a="1"/>
  <c r="AC148" i="33" s="1"/>
  <c r="CF35" i="33" a="1"/>
  <c r="CF35" i="33" s="1"/>
  <c r="BL77" i="33" a="1"/>
  <c r="BL77" i="33" s="1"/>
  <c r="CP15" i="33" a="1"/>
  <c r="CP15" i="33" s="1"/>
  <c r="BK54" i="33" a="1"/>
  <c r="BK54" i="33" s="1"/>
  <c r="X89" i="33" a="1"/>
  <c r="X89" i="33" s="1"/>
  <c r="BK100" i="33" a="1"/>
  <c r="BK100" i="33" s="1"/>
  <c r="BT29" i="33" a="1"/>
  <c r="BT29" i="33" s="1"/>
  <c r="Z28" i="33" a="1"/>
  <c r="Z28" i="33" s="1"/>
  <c r="CZ117" i="33" a="1"/>
  <c r="CZ117" i="33" s="1"/>
  <c r="BH71" i="33" a="1"/>
  <c r="BH71" i="33" s="1"/>
  <c r="X14" i="33" a="1"/>
  <c r="X14" i="33" s="1"/>
  <c r="AW15" i="33" a="1"/>
  <c r="AW15" i="33" s="1"/>
  <c r="CG82" i="33" a="1"/>
  <c r="CG82" i="33" s="1"/>
  <c r="AR90" i="33" a="1"/>
  <c r="AR90" i="33" s="1"/>
  <c r="BL157" i="33" a="1"/>
  <c r="BL157" i="33" s="1"/>
  <c r="CO87" i="33" a="1"/>
  <c r="CO87" i="33" s="1"/>
  <c r="AQ24" i="33" a="1"/>
  <c r="AQ24" i="33" s="1"/>
  <c r="AM36" i="33" a="1"/>
  <c r="AM36" i="33" s="1"/>
  <c r="AC60" i="33" a="1"/>
  <c r="AC60" i="33" s="1"/>
  <c r="D113" i="33" a="1"/>
  <c r="D113" i="33" s="1"/>
  <c r="AB88" i="33" a="1"/>
  <c r="AB88" i="33" s="1"/>
  <c r="AC29" i="33" a="1"/>
  <c r="AC29" i="33" s="1"/>
  <c r="BB154" i="33" a="1"/>
  <c r="BB154" i="33" s="1"/>
  <c r="BU144" i="33" a="1"/>
  <c r="BU144" i="33" s="1"/>
  <c r="AG25" i="33" a="1"/>
  <c r="AG25" i="33" s="1"/>
  <c r="CO78" i="33" a="1"/>
  <c r="CO78" i="33" s="1"/>
  <c r="AQ30" i="33" a="1"/>
  <c r="AQ30" i="33" s="1"/>
  <c r="AM107" i="33" a="1"/>
  <c r="AM107" i="33" s="1"/>
  <c r="AC19" i="33" a="1"/>
  <c r="AC19" i="33" s="1"/>
  <c r="BL51" i="33" a="1"/>
  <c r="BL51" i="33" s="1"/>
  <c r="BG94" i="33" a="1"/>
  <c r="BG94" i="33" s="1"/>
  <c r="CN32" i="33" a="1"/>
  <c r="CN32" i="33" s="1"/>
  <c r="CN58" i="33" a="1"/>
  <c r="CN58" i="33" s="1"/>
  <c r="AG48" i="33" a="1"/>
  <c r="AG48" i="33" s="1"/>
  <c r="AZ78" i="33" a="1"/>
  <c r="AZ78" i="33" s="1"/>
  <c r="BJ55" i="33" a="1"/>
  <c r="BJ55" i="33" s="1"/>
  <c r="BV62" i="33" a="1"/>
  <c r="BV62" i="33" s="1"/>
  <c r="BB152" i="33" a="1"/>
  <c r="BB152" i="33" s="1"/>
  <c r="CN151" i="33" a="1"/>
  <c r="CN151" i="33" s="1"/>
  <c r="AQ118" i="33" a="1"/>
  <c r="AQ118" i="33" s="1"/>
  <c r="CM15" i="33" a="1"/>
  <c r="CM15" i="33" s="1"/>
  <c r="AG128" i="33" a="1"/>
  <c r="AG128" i="33" s="1"/>
  <c r="CN122" i="33" a="1"/>
  <c r="CN122" i="33" s="1"/>
  <c r="AM14" i="33" a="1"/>
  <c r="AM14" i="33" s="1"/>
  <c r="D76" i="33" a="1"/>
  <c r="D76" i="33" s="1"/>
  <c r="BB76" i="33" a="1"/>
  <c r="BB76" i="33" s="1"/>
  <c r="BK71" i="33" a="1"/>
  <c r="BK71" i="33" s="1"/>
  <c r="X79" i="33" a="1"/>
  <c r="X79" i="33" s="1"/>
  <c r="BB158" i="33" a="1"/>
  <c r="BB158" i="33" s="1"/>
  <c r="BT142" i="33" a="1"/>
  <c r="BT142" i="33" s="1"/>
  <c r="CF124" i="33" a="1"/>
  <c r="CF124" i="33" s="1"/>
  <c r="BK103" i="33" a="1"/>
  <c r="BK103" i="33" s="1"/>
  <c r="AJ17" i="33" a="1"/>
  <c r="AJ17" i="33" s="1"/>
  <c r="BQ118" i="33" a="1"/>
  <c r="BQ118" i="33" s="1"/>
  <c r="CZ118" i="33" a="1"/>
  <c r="CZ118" i="33" s="1"/>
  <c r="AQ147" i="33" a="1"/>
  <c r="AQ147" i="33" s="1"/>
  <c r="CO139" i="33" a="1"/>
  <c r="CO139" i="33" s="1"/>
  <c r="AR53" i="33" a="1"/>
  <c r="AR53" i="33" s="1"/>
  <c r="CP126" i="33" a="1"/>
  <c r="CP126" i="33" s="1"/>
  <c r="AC97" i="33" a="1"/>
  <c r="AC97" i="33" s="1"/>
  <c r="CD76" i="33" a="1"/>
  <c r="CD76" i="33" s="1"/>
  <c r="BH158" i="33" a="1"/>
  <c r="BH158" i="33" s="1"/>
  <c r="Z123" i="33" a="1"/>
  <c r="Z123" i="33" s="1"/>
  <c r="AC137" i="33" a="1"/>
  <c r="AC137" i="33" s="1"/>
  <c r="AG58" i="33" a="1"/>
  <c r="AG58" i="33" s="1"/>
  <c r="BK24" i="33" a="1"/>
  <c r="BK24" i="33" s="1"/>
  <c r="CE160" i="33" a="1"/>
  <c r="CE160" i="33" s="1"/>
  <c r="CU49" i="33" a="1"/>
  <c r="CU49" i="33" s="1"/>
  <c r="CU139" i="33" a="1"/>
  <c r="CU139" i="33" s="1"/>
  <c r="BL39" i="33" a="1"/>
  <c r="BL39" i="33" s="1"/>
  <c r="CF19" i="33" a="1"/>
  <c r="CF19" i="33" s="1"/>
  <c r="BV128" i="33" a="1"/>
  <c r="BV128" i="33" s="1"/>
  <c r="Y80" i="33" a="1"/>
  <c r="Y80" i="33" s="1"/>
  <c r="CA151" i="33" a="1"/>
  <c r="CA151" i="33" s="1"/>
  <c r="BV29" i="33" a="1"/>
  <c r="BV29" i="33" s="1"/>
  <c r="CF91" i="33" a="1"/>
  <c r="CF91" i="33" s="1"/>
  <c r="CF110" i="33" a="1"/>
  <c r="CF110" i="33" s="1"/>
  <c r="AG22" i="33" a="1"/>
  <c r="AG22" i="33" s="1"/>
  <c r="BC152" i="33" a="1"/>
  <c r="BC152" i="33" s="1"/>
  <c r="BL99" i="33" a="1"/>
  <c r="BL99" i="33" s="1"/>
  <c r="BK79" i="33" a="1"/>
  <c r="BK79" i="33" s="1"/>
  <c r="BG112" i="33" a="1"/>
  <c r="BG112" i="33" s="1"/>
  <c r="CX74" i="33" a="1"/>
  <c r="CX74" i="33" s="1"/>
  <c r="X150" i="33" a="1"/>
  <c r="X150" i="33" s="1"/>
  <c r="BB114" i="33" a="1"/>
  <c r="BB114" i="33" s="1"/>
  <c r="CF60" i="33" a="1"/>
  <c r="CF60" i="33" s="1"/>
  <c r="AW34" i="33" a="1"/>
  <c r="AW34" i="33" s="1"/>
  <c r="BL46" i="33" a="1"/>
  <c r="BL46" i="33" s="1"/>
  <c r="BB26" i="33" a="1"/>
  <c r="BB26" i="33" s="1"/>
  <c r="CX98" i="33" a="1"/>
  <c r="CX98" i="33" s="1"/>
  <c r="BV112" i="33" a="1"/>
  <c r="BV112" i="33" s="1"/>
  <c r="AQ81" i="33" a="1"/>
  <c r="AQ81" i="33" s="1"/>
  <c r="CO150" i="33" a="1"/>
  <c r="CO150" i="33" s="1"/>
  <c r="BL81" i="33" a="1"/>
  <c r="BL81" i="33" s="1"/>
  <c r="BV45" i="33" a="1"/>
  <c r="BV45" i="33" s="1"/>
  <c r="AN104" i="33" a="1"/>
  <c r="AN104" i="33" s="1"/>
  <c r="AF101" i="33" a="1"/>
  <c r="AF101" i="33" s="1"/>
  <c r="CN35" i="33" a="1"/>
  <c r="CN35" i="33" s="1"/>
  <c r="CN31" i="33" a="1"/>
  <c r="CN31" i="33" s="1"/>
  <c r="D156" i="33" a="1"/>
  <c r="D156" i="33" s="1"/>
  <c r="CZ100" i="33" a="1"/>
  <c r="CZ100" i="33" s="1"/>
  <c r="CD27" i="33" a="1"/>
  <c r="CD27" i="33" s="1"/>
  <c r="AF122" i="33" a="1"/>
  <c r="AF122" i="33" s="1"/>
  <c r="V82" i="33" a="1"/>
  <c r="V82" i="33" s="1"/>
  <c r="CY32" i="33" a="1"/>
  <c r="CY32" i="33" s="1"/>
  <c r="CD25" i="33" a="1"/>
  <c r="CD25" i="33" s="1"/>
  <c r="BA25" i="33" a="1"/>
  <c r="BA25" i="33" s="1"/>
  <c r="CB36" i="33" a="1"/>
  <c r="CB36" i="33" s="1"/>
  <c r="BP99" i="33" a="1"/>
  <c r="BP99" i="33" s="1"/>
  <c r="CE115" i="33" a="1"/>
  <c r="CE115" i="33" s="1"/>
  <c r="BU85" i="33" a="1"/>
  <c r="BU85" i="33" s="1"/>
  <c r="CY141" i="33" a="1"/>
  <c r="CY141" i="33" s="1"/>
  <c r="CN46" i="33" a="1"/>
  <c r="CN46" i="33" s="1"/>
  <c r="W98" i="33" a="1"/>
  <c r="W98" i="33" s="1"/>
  <c r="AF113" i="33" a="1"/>
  <c r="AF113" i="33" s="1"/>
  <c r="BP63" i="33" a="1"/>
  <c r="BP63" i="33" s="1"/>
  <c r="BP148" i="33" a="1"/>
  <c r="BP148" i="33" s="1"/>
  <c r="BT49" i="33" a="1"/>
  <c r="BT49" i="33" s="1"/>
  <c r="AW106" i="33" a="1"/>
  <c r="AW106" i="33" s="1"/>
  <c r="AH134" i="33" a="1"/>
  <c r="AH134" i="33" s="1"/>
  <c r="BL110" i="33" a="1"/>
  <c r="BL110" i="33" s="1"/>
  <c r="AR157" i="33" a="1"/>
  <c r="AR157" i="33" s="1"/>
  <c r="W99" i="33" a="1"/>
  <c r="W99" i="33" s="1"/>
  <c r="W108" i="33" a="1"/>
  <c r="W108" i="33" s="1"/>
  <c r="CD24" i="33" a="1"/>
  <c r="CD24" i="33" s="1"/>
  <c r="AP36" i="33" a="1"/>
  <c r="AP36" i="33" s="1"/>
  <c r="CN99" i="33" a="1"/>
  <c r="CN99" i="33" s="1"/>
  <c r="AR48" i="33" a="1"/>
  <c r="AR48" i="33" s="1"/>
  <c r="AQ47" i="33" a="1"/>
  <c r="AQ47" i="33" s="1"/>
  <c r="CX151" i="33" a="1"/>
  <c r="CX151" i="33" s="1"/>
  <c r="AH43" i="33" a="1"/>
  <c r="AH43" i="33" s="1"/>
  <c r="CY71" i="33" a="1"/>
  <c r="CY71" i="33" s="1"/>
  <c r="BJ112" i="33" a="1"/>
  <c r="BJ112" i="33" s="1"/>
  <c r="CX104" i="33" a="1"/>
  <c r="CX104" i="33" s="1"/>
  <c r="AN94" i="33" a="1"/>
  <c r="AN94" i="33" s="1"/>
  <c r="CW62" i="33" a="1"/>
  <c r="CW62" i="33" s="1"/>
  <c r="BJ103" i="33" a="1"/>
  <c r="BJ103" i="33" s="1"/>
  <c r="AZ102" i="33" a="1"/>
  <c r="AZ102" i="33" s="1"/>
  <c r="CP146" i="33" a="1"/>
  <c r="CP146" i="33" s="1"/>
  <c r="BV52" i="33" a="1"/>
  <c r="BV52" i="33" s="1"/>
  <c r="AZ113" i="33" a="1"/>
  <c r="AZ113" i="33" s="1"/>
  <c r="CN103" i="33" a="1"/>
  <c r="CN103" i="33" s="1"/>
  <c r="CO69" i="33" a="1"/>
  <c r="CO69" i="33" s="1"/>
  <c r="BL23" i="33" a="1"/>
  <c r="BL23" i="33" s="1"/>
  <c r="AH158" i="33" a="1"/>
  <c r="AH158" i="33" s="1"/>
  <c r="AR91" i="33" a="1"/>
  <c r="AR91" i="33" s="1"/>
  <c r="AR39" i="33" a="1"/>
  <c r="AR39" i="33" s="1"/>
  <c r="BB23" i="33" a="1"/>
  <c r="BB23" i="33" s="1"/>
  <c r="AH21" i="33" a="1"/>
  <c r="AH21" i="33" s="1"/>
  <c r="BK76" i="33" a="1"/>
  <c r="BK76" i="33" s="1"/>
  <c r="CB159" i="33" a="1"/>
  <c r="CB159" i="33" s="1"/>
  <c r="AB17" i="33" a="1"/>
  <c r="AB17" i="33" s="1"/>
  <c r="CE85" i="33" a="1"/>
  <c r="CE85" i="33" s="1"/>
  <c r="CE64" i="33" a="1"/>
  <c r="CE64" i="33" s="1"/>
  <c r="CX67" i="33" a="1"/>
  <c r="CX67" i="33" s="1"/>
  <c r="AF54" i="33" a="1"/>
  <c r="AF54" i="33" s="1"/>
  <c r="CN135" i="33" a="1"/>
  <c r="CN135" i="33" s="1"/>
  <c r="BA81" i="33" a="1"/>
  <c r="BA81" i="33" s="1"/>
  <c r="AZ38" i="33" a="1"/>
  <c r="AZ38" i="33" s="1"/>
  <c r="BU76" i="33" a="1"/>
  <c r="BU76" i="33" s="1"/>
  <c r="CO103" i="33" a="1"/>
  <c r="CO103" i="33" s="1"/>
  <c r="BJ86" i="33" a="1"/>
  <c r="BJ86" i="33" s="1"/>
  <c r="AQ73" i="33" a="1"/>
  <c r="AQ73" i="33" s="1"/>
  <c r="AW85" i="33" a="1"/>
  <c r="AW85" i="33" s="1"/>
  <c r="BU53" i="33" a="1"/>
  <c r="BU53" i="33" s="1"/>
  <c r="CF95" i="33" a="1"/>
  <c r="CF95" i="33" s="1"/>
  <c r="CN43" i="33" a="1"/>
  <c r="CN43" i="33" s="1"/>
  <c r="CX123" i="33" a="1"/>
  <c r="CX123" i="33" s="1"/>
  <c r="BG130" i="33" a="1"/>
  <c r="BG130" i="33" s="1"/>
  <c r="CE121" i="33" a="1"/>
  <c r="CE121" i="33" s="1"/>
  <c r="AM21" i="33" a="1"/>
  <c r="AM21" i="33" s="1"/>
  <c r="AQ114" i="33" a="1"/>
  <c r="AQ114" i="33" s="1"/>
  <c r="AQ35" i="33" a="1"/>
  <c r="AQ35" i="33" s="1"/>
  <c r="AZ151" i="33" a="1"/>
  <c r="AZ151" i="33" s="1"/>
  <c r="AH101" i="33" a="1"/>
  <c r="AH101" i="33" s="1"/>
  <c r="BU69" i="33" a="1"/>
  <c r="BU69" i="33" s="1"/>
  <c r="BP158" i="33" a="1"/>
  <c r="BP158" i="33" s="1"/>
  <c r="AG26" i="33" a="1"/>
  <c r="AG26" i="33" s="1"/>
  <c r="BA96" i="33" a="1"/>
  <c r="BA96" i="33" s="1"/>
  <c r="BA29" i="33" a="1"/>
  <c r="BA29" i="33" s="1"/>
  <c r="BP116" i="33" a="1"/>
  <c r="BP116" i="33" s="1"/>
  <c r="CO124" i="33" a="1"/>
  <c r="CO124" i="33" s="1"/>
  <c r="X25" i="33" a="1"/>
  <c r="X25" i="33" s="1"/>
  <c r="BJ63" i="33" a="1"/>
  <c r="BJ63" i="33" s="1"/>
  <c r="BT90" i="33" a="1"/>
  <c r="BT90" i="33" s="1"/>
  <c r="AQ101" i="33" a="1"/>
  <c r="AQ101" i="33" s="1"/>
  <c r="CO60" i="33" a="1"/>
  <c r="CO60" i="33" s="1"/>
  <c r="BB99" i="33" a="1"/>
  <c r="BB99" i="33" s="1"/>
  <c r="AP52" i="33" a="1"/>
  <c r="AP52" i="33" s="1"/>
  <c r="BB102" i="33" a="1"/>
  <c r="BB102" i="33" s="1"/>
  <c r="CP40" i="33" a="1"/>
  <c r="CP40" i="33" s="1"/>
  <c r="CO62" i="33" a="1"/>
  <c r="CO62" i="33" s="1"/>
  <c r="AW95" i="33" a="1"/>
  <c r="AW95" i="33" s="1"/>
  <c r="AB14" i="33" a="1"/>
  <c r="AB14" i="33" s="1"/>
  <c r="AH99" i="33" a="1"/>
  <c r="AH99" i="33" s="1"/>
  <c r="BT129" i="33" a="1"/>
  <c r="BT129" i="33" s="1"/>
  <c r="W144" i="33" a="1"/>
  <c r="W144" i="33" s="1"/>
  <c r="V42" i="33" a="1"/>
  <c r="V42" i="33" s="1"/>
  <c r="BA134" i="33" a="1"/>
  <c r="BA134" i="33" s="1"/>
  <c r="CN65" i="33" a="1"/>
  <c r="CN65" i="33" s="1"/>
  <c r="AQ66" i="33" a="1"/>
  <c r="AQ66" i="33" s="1"/>
  <c r="AP148" i="33" a="1"/>
  <c r="AP148" i="33" s="1"/>
  <c r="AC103" i="33" a="1"/>
  <c r="AC103" i="33" s="1"/>
  <c r="X125" i="33" a="1"/>
  <c r="X125" i="33" s="1"/>
  <c r="AH62" i="33" a="1"/>
  <c r="AH62" i="33" s="1"/>
  <c r="AR128" i="33" a="1"/>
  <c r="AR128" i="33" s="1"/>
  <c r="X62" i="33" a="1"/>
  <c r="X62" i="33" s="1"/>
  <c r="CN51" i="33" a="1"/>
  <c r="CN51" i="33" s="1"/>
  <c r="CD28" i="33" a="1"/>
  <c r="CD28" i="33" s="1"/>
  <c r="CX107" i="33" a="1"/>
  <c r="CX107" i="33" s="1"/>
  <c r="CF123" i="33" a="1"/>
  <c r="CF123" i="33" s="1"/>
  <c r="AZ134" i="33" a="1"/>
  <c r="AZ134" i="33" s="1"/>
  <c r="W125" i="33" a="1"/>
  <c r="W125" i="33" s="1"/>
  <c r="AR18" i="33" a="1"/>
  <c r="AR18" i="33" s="1"/>
  <c r="AF100" i="33" a="1"/>
  <c r="AF100" i="33" s="1"/>
  <c r="BA125" i="33" a="1"/>
  <c r="BA125" i="33" s="1"/>
  <c r="V113" i="33" a="1"/>
  <c r="V113" i="33" s="1"/>
  <c r="AF143" i="33" a="1"/>
  <c r="AF143" i="33" s="1"/>
  <c r="CE26" i="33" a="1"/>
  <c r="CE26" i="33" s="1"/>
  <c r="CY155" i="33" a="1"/>
  <c r="CY155" i="33" s="1"/>
  <c r="CP145" i="33" a="1"/>
  <c r="CP145" i="33" s="1"/>
  <c r="V33" i="33" a="1"/>
  <c r="V33" i="33" s="1"/>
  <c r="X104" i="33" a="1"/>
  <c r="X104" i="33" s="1"/>
  <c r="V57" i="33" a="1"/>
  <c r="V57" i="33" s="1"/>
  <c r="BQ70" i="33" a="1"/>
  <c r="BQ70" i="33" s="1"/>
  <c r="BT18" i="33" a="1"/>
  <c r="BT18" i="33" s="1"/>
  <c r="CB104" i="33" a="1"/>
  <c r="CB104" i="33" s="1"/>
  <c r="AQ102" i="33" a="1"/>
  <c r="AQ102" i="33" s="1"/>
  <c r="BJ97" i="33" a="1"/>
  <c r="BJ97" i="33" s="1"/>
  <c r="AG24" i="33" a="1"/>
  <c r="AG24" i="33" s="1"/>
  <c r="BK102" i="33" a="1"/>
  <c r="BK102" i="33" s="1"/>
  <c r="CD44" i="33" a="1"/>
  <c r="CD44" i="33" s="1"/>
  <c r="BA30" i="33" a="1"/>
  <c r="BA30" i="33" s="1"/>
  <c r="AB108" i="33" a="1"/>
  <c r="AB108" i="33" s="1"/>
  <c r="W156" i="33" a="1"/>
  <c r="W156" i="33" s="1"/>
  <c r="CP57" i="33" a="1"/>
  <c r="CP57" i="33" s="1"/>
  <c r="BA69" i="33" a="1"/>
  <c r="BA69" i="33" s="1"/>
  <c r="CY61" i="33" a="1"/>
  <c r="CY61" i="33" s="1"/>
  <c r="CX18" i="33" a="1"/>
  <c r="CX18" i="33" s="1"/>
  <c r="BQ99" i="33" a="1"/>
  <c r="BQ99" i="33" s="1"/>
  <c r="BT93" i="33" a="1"/>
  <c r="BT93" i="33" s="1"/>
  <c r="CN157" i="33" a="1"/>
  <c r="CN157" i="33" s="1"/>
  <c r="CZ103" i="33" a="1"/>
  <c r="CZ103" i="33" s="1"/>
  <c r="X158" i="33" a="1"/>
  <c r="X158" i="33" s="1"/>
  <c r="AR153" i="33" a="1"/>
  <c r="AR153" i="33" s="1"/>
  <c r="BL160" i="33" a="1"/>
  <c r="BL160" i="33" s="1"/>
  <c r="AF139" i="33" a="1"/>
  <c r="AF139" i="33" s="1"/>
  <c r="CD47" i="33" a="1"/>
  <c r="CD47" i="33" s="1"/>
  <c r="BQ145" i="33" a="1"/>
  <c r="BQ145" i="33" s="1"/>
  <c r="BA90" i="33" a="1"/>
  <c r="BA90" i="33" s="1"/>
  <c r="AP46" i="33" a="1"/>
  <c r="AP46" i="33" s="1"/>
  <c r="BK31" i="33" a="1"/>
  <c r="BK31" i="33" s="1"/>
  <c r="CD139" i="33" a="1"/>
  <c r="CD139" i="33" s="1"/>
  <c r="X87" i="33" a="1"/>
  <c r="X87" i="33" s="1"/>
  <c r="AC79" i="33" a="1"/>
  <c r="AC79" i="33" s="1"/>
  <c r="CX157" i="33" a="1"/>
  <c r="CX157" i="33" s="1"/>
  <c r="BG160" i="33" a="1"/>
  <c r="BG160" i="33" s="1"/>
  <c r="AP102" i="33" a="1"/>
  <c r="AP102" i="33" s="1"/>
  <c r="BU96" i="33" a="1"/>
  <c r="BU96" i="33" s="1"/>
  <c r="AZ92" i="33" a="1"/>
  <c r="AZ92" i="33" s="1"/>
  <c r="BJ50" i="33" a="1"/>
  <c r="BJ50" i="33" s="1"/>
  <c r="AF79" i="33" a="1"/>
  <c r="AF79" i="33" s="1"/>
  <c r="BL30" i="33" a="1"/>
  <c r="BL30" i="33" s="1"/>
  <c r="CE53" i="33" a="1"/>
  <c r="CE53" i="33" s="1"/>
  <c r="AB133" i="33" a="1"/>
  <c r="AB133" i="33" s="1"/>
  <c r="CO93" i="33" a="1"/>
  <c r="CO93" i="33" s="1"/>
  <c r="AN87" i="33" a="1"/>
  <c r="AN87" i="33" s="1"/>
  <c r="AF16" i="33" a="1"/>
  <c r="AF16" i="33" s="1"/>
  <c r="CN53" i="33" a="1"/>
  <c r="CN53" i="33" s="1"/>
  <c r="AB67" i="33" a="1"/>
  <c r="AB67" i="33" s="1"/>
  <c r="AQ154" i="33" a="1"/>
  <c r="AQ154" i="33" s="1"/>
  <c r="X17" i="33" a="1"/>
  <c r="X17" i="33" s="1"/>
  <c r="AQ148" i="33" a="1"/>
  <c r="AQ148" i="33" s="1"/>
  <c r="AC111" i="33" a="1"/>
  <c r="AC111" i="33" s="1"/>
  <c r="AF109" i="33" a="1"/>
  <c r="AF109" i="33" s="1"/>
  <c r="BJ158" i="33" a="1"/>
  <c r="BJ158" i="33" s="1"/>
  <c r="AM40" i="33" a="1"/>
  <c r="AM40" i="33" s="1"/>
  <c r="BP51" i="33" a="1"/>
  <c r="BP51" i="33" s="1"/>
  <c r="BL100" i="33" a="1"/>
  <c r="BL100" i="33" s="1"/>
  <c r="BL113" i="33" a="1"/>
  <c r="BL113" i="33" s="1"/>
  <c r="AG156" i="33" a="1"/>
  <c r="AG156" i="33" s="1"/>
  <c r="BQ105" i="33" a="1"/>
  <c r="BQ105" i="33" s="1"/>
  <c r="AB47" i="33" a="1"/>
  <c r="AB47" i="33" s="1"/>
  <c r="BA76" i="33" a="1"/>
  <c r="BA76" i="33" s="1"/>
  <c r="CX128" i="33" a="1"/>
  <c r="CX128" i="33" s="1"/>
  <c r="CD39" i="33" a="1"/>
  <c r="CD39" i="33" s="1"/>
  <c r="AC47" i="33" a="1"/>
  <c r="AC47" i="33" s="1"/>
  <c r="CB74" i="33" a="1"/>
  <c r="CB74" i="33" s="1"/>
  <c r="AN122" i="33" a="1"/>
  <c r="AN122" i="33" s="1"/>
  <c r="BP115" i="33" a="1"/>
  <c r="BP115" i="33" s="1"/>
  <c r="CX79" i="33" a="1"/>
  <c r="CX79" i="33" s="1"/>
  <c r="CW43" i="33" a="1"/>
  <c r="CW43" i="33" s="1"/>
  <c r="AB54" i="33" a="1"/>
  <c r="AB54" i="33" s="1"/>
  <c r="AQ128" i="33" a="1"/>
  <c r="AQ128" i="33" s="1"/>
  <c r="BG34" i="33" a="1"/>
  <c r="BG34" i="33" s="1"/>
  <c r="CF20" i="33" a="1"/>
  <c r="CF20" i="33" s="1"/>
  <c r="BP122" i="33" a="1"/>
  <c r="BP122" i="33" s="1"/>
  <c r="BT86" i="33" a="1"/>
  <c r="BT86" i="33" s="1"/>
  <c r="CF15" i="33" a="1"/>
  <c r="CF15" i="33" s="1"/>
  <c r="AZ31" i="33" a="1"/>
  <c r="AZ31" i="33" s="1"/>
  <c r="CO37" i="33" a="1"/>
  <c r="CO37" i="33" s="1"/>
  <c r="AQ95" i="33" a="1"/>
  <c r="AQ95" i="33" s="1"/>
  <c r="CN120" i="33" a="1"/>
  <c r="CN120" i="33" s="1"/>
  <c r="BP135" i="33" a="1"/>
  <c r="BP135" i="33" s="1"/>
  <c r="BB47" i="33" a="1"/>
  <c r="BB47" i="33" s="1"/>
  <c r="X42" i="33" a="1"/>
  <c r="X42" i="33" s="1"/>
  <c r="CN123" i="33" a="1"/>
  <c r="CN123" i="33" s="1"/>
  <c r="CY148" i="33" a="1"/>
  <c r="CY148" i="33" s="1"/>
  <c r="AW94" i="33" a="1"/>
  <c r="AW94" i="33" s="1"/>
  <c r="AH123" i="33" a="1"/>
  <c r="AH123" i="33" s="1"/>
  <c r="CX102" i="33" a="1"/>
  <c r="CX102" i="33" s="1"/>
  <c r="AP55" i="33" a="1"/>
  <c r="AP55" i="33" s="1"/>
  <c r="BA21" i="33" a="1"/>
  <c r="BA21" i="33" s="1"/>
  <c r="CP49" i="33" a="1"/>
  <c r="CP49" i="33" s="1"/>
  <c r="AG149" i="33" a="1"/>
  <c r="AG149" i="33" s="1"/>
  <c r="AB117" i="33" a="1"/>
  <c r="AB117" i="33" s="1"/>
  <c r="CE139" i="33" a="1"/>
  <c r="CE139" i="33" s="1"/>
  <c r="CO116" i="33" a="1"/>
  <c r="CO116" i="33" s="1"/>
  <c r="AH23" i="33" a="1"/>
  <c r="AH23" i="33" s="1"/>
  <c r="AZ100" i="33" a="1"/>
  <c r="AZ100" i="33" s="1"/>
  <c r="CF17" i="33" a="1"/>
  <c r="CF17" i="33" s="1"/>
  <c r="AG147" i="33" a="1"/>
  <c r="AG147" i="33" s="1"/>
  <c r="CB93" i="33" a="1"/>
  <c r="CB93" i="33" s="1"/>
  <c r="W47" i="33" a="1"/>
  <c r="W47" i="33" s="1"/>
  <c r="CW31" i="33" a="1"/>
  <c r="CW31" i="33" s="1"/>
  <c r="AP149" i="33" a="1"/>
  <c r="AP149" i="33" s="1"/>
  <c r="CY44" i="33" a="1"/>
  <c r="CY44" i="33" s="1"/>
  <c r="AM57" i="33" a="1"/>
  <c r="AM57" i="33" s="1"/>
  <c r="CF102" i="33" a="1"/>
  <c r="CF102" i="33" s="1"/>
  <c r="CF106" i="33" a="1"/>
  <c r="CF106" i="33" s="1"/>
  <c r="CN82" i="33" a="1"/>
  <c r="CN82" i="33" s="1"/>
  <c r="V156" i="33" a="1"/>
  <c r="V156" i="33" s="1"/>
  <c r="X19" i="33" a="1"/>
  <c r="X19" i="33" s="1"/>
  <c r="V72" i="33" a="1"/>
  <c r="V72" i="33" s="1"/>
  <c r="BV71" i="33" a="1"/>
  <c r="BV71" i="33" s="1"/>
  <c r="AZ108" i="33" a="1"/>
  <c r="AZ108" i="33" s="1"/>
  <c r="AZ59" i="33" a="1"/>
  <c r="AZ59" i="33" s="1"/>
  <c r="CE38" i="33" a="1"/>
  <c r="CE38" i="33" s="1"/>
  <c r="BT160" i="33" a="1"/>
  <c r="BT160" i="33" s="1"/>
  <c r="AH154" i="33" a="1"/>
  <c r="AH154" i="33" s="1"/>
  <c r="BP98" i="33" a="1"/>
  <c r="BP98" i="33" s="1"/>
  <c r="AN128" i="33" a="1"/>
  <c r="AN128" i="33" s="1"/>
  <c r="AM41" i="33" a="1"/>
  <c r="AM41" i="33" s="1"/>
  <c r="CF119" i="33" a="1"/>
  <c r="CF119" i="33" s="1"/>
  <c r="AZ61" i="33" a="1"/>
  <c r="AZ61" i="33" s="1"/>
  <c r="CX37" i="33" a="1"/>
  <c r="CX37" i="33" s="1"/>
  <c r="X78" i="33" a="1"/>
  <c r="X78" i="33" s="1"/>
  <c r="AM144" i="33" a="1"/>
  <c r="AM144" i="33" s="1"/>
  <c r="BA59" i="33" a="1"/>
  <c r="BA59" i="33" s="1"/>
  <c r="BV73" i="33" a="1"/>
  <c r="BV73" i="33" s="1"/>
  <c r="W23" i="33" a="1"/>
  <c r="W23" i="33" s="1"/>
  <c r="CO30" i="33" a="1"/>
  <c r="CO30" i="33" s="1"/>
  <c r="CY149" i="33" a="1"/>
  <c r="CY149" i="33" s="1"/>
  <c r="AI59" i="33" a="1"/>
  <c r="AI59" i="33" s="1"/>
  <c r="CZ145" i="33" a="1"/>
  <c r="CZ145" i="33" s="1"/>
  <c r="CP118" i="33" a="1"/>
  <c r="CP118" i="33" s="1"/>
  <c r="BA73" i="33" a="1"/>
  <c r="BA73" i="33" s="1"/>
  <c r="BV53" i="33" a="1"/>
  <c r="BV53" i="33" s="1"/>
  <c r="CF145" i="33" a="1"/>
  <c r="CF145" i="33" s="1"/>
  <c r="AG57" i="33" a="1"/>
  <c r="AG57" i="33" s="1"/>
  <c r="BU29" i="33" a="1"/>
  <c r="BU29" i="33" s="1"/>
  <c r="BU43" i="33" a="1"/>
  <c r="BU43" i="33" s="1"/>
  <c r="CY126" i="33" a="1"/>
  <c r="CY126" i="33" s="1"/>
  <c r="CZ156" i="33" a="1"/>
  <c r="CZ156" i="33" s="1"/>
  <c r="BK94" i="33" a="1"/>
  <c r="BK94" i="33" s="1"/>
  <c r="CX106" i="33" a="1"/>
  <c r="CX106" i="33" s="1"/>
  <c r="CN98" i="33" a="1"/>
  <c r="CN98" i="33" s="1"/>
  <c r="CE66" i="33" a="1"/>
  <c r="CE66" i="33" s="1"/>
  <c r="BA70" i="33" a="1"/>
  <c r="BA70" i="33" s="1"/>
  <c r="D154" i="33" a="1"/>
  <c r="D154" i="33" s="1"/>
  <c r="AG151" i="33" a="1"/>
  <c r="AG151" i="33" s="1"/>
  <c r="AM121" i="33" a="1"/>
  <c r="AM121" i="33" s="1"/>
  <c r="CD18" i="33" a="1"/>
  <c r="CD18" i="33" s="1"/>
  <c r="AN67" i="33" a="1"/>
  <c r="AN67" i="33" s="1"/>
  <c r="BT121" i="33" a="1"/>
  <c r="BT121" i="33" s="1"/>
  <c r="BL137" i="33" a="1"/>
  <c r="BL137" i="33" s="1"/>
  <c r="W55" i="33" a="1"/>
  <c r="W55" i="33" s="1"/>
  <c r="CO29" i="33" a="1"/>
  <c r="CO29" i="33" s="1"/>
  <c r="BG38" i="33" a="1"/>
  <c r="BG38" i="33" s="1"/>
  <c r="CP98" i="33" a="1"/>
  <c r="CP98" i="33" s="1"/>
  <c r="CG157" i="33" a="1"/>
  <c r="CG157" i="33" s="1"/>
  <c r="AT155" i="33" a="1"/>
  <c r="AT155" i="33" s="1"/>
  <c r="AH63" i="33" a="1"/>
  <c r="AH63" i="33" s="1"/>
  <c r="AG98" i="33" a="1"/>
  <c r="AG98" i="33" s="1"/>
  <c r="AM124" i="33" a="1"/>
  <c r="AM124" i="33" s="1"/>
  <c r="AR67" i="33" a="1"/>
  <c r="AR67" i="33" s="1"/>
  <c r="X120" i="33" a="1"/>
  <c r="X120" i="33" s="1"/>
  <c r="AG49" i="33" a="1"/>
  <c r="AG49" i="33" s="1"/>
  <c r="CY105" i="33" a="1"/>
  <c r="CY105" i="33" s="1"/>
  <c r="AG104" i="33" a="1"/>
  <c r="AG104" i="33" s="1"/>
  <c r="AP49" i="33" a="1"/>
  <c r="AP49" i="33" s="1"/>
  <c r="BU108" i="33" a="1"/>
  <c r="BU108" i="33" s="1"/>
  <c r="BL24" i="33" a="1"/>
  <c r="BL24" i="33" s="1"/>
  <c r="AF96" i="33" a="1"/>
  <c r="AF96" i="33" s="1"/>
  <c r="AN93" i="33" a="1"/>
  <c r="AN93" i="33" s="1"/>
  <c r="AQ97" i="33" a="1"/>
  <c r="AQ97" i="33" s="1"/>
  <c r="BP152" i="33" a="1"/>
  <c r="BP152" i="33" s="1"/>
  <c r="AG71" i="33" a="1"/>
  <c r="AG71" i="33" s="1"/>
  <c r="BL40" i="33" a="1"/>
  <c r="BL40" i="33" s="1"/>
  <c r="BV151" i="33" a="1"/>
  <c r="BV151" i="33" s="1"/>
  <c r="X81" i="33" a="1"/>
  <c r="X81" i="33" s="1"/>
  <c r="CX93" i="33" a="1"/>
  <c r="CX93" i="33" s="1"/>
  <c r="CF97" i="33" a="1"/>
  <c r="CF97" i="33" s="1"/>
  <c r="BL152" i="33" a="1"/>
  <c r="BL152" i="33" s="1"/>
  <c r="BU99" i="33" a="1"/>
  <c r="BU99" i="33" s="1"/>
  <c r="AQ46" i="33" a="1"/>
  <c r="AQ46" i="33" s="1"/>
  <c r="AR25" i="33" a="1"/>
  <c r="AR25" i="33" s="1"/>
  <c r="BB129" i="33" a="1"/>
  <c r="BB129" i="33" s="1"/>
  <c r="CX136" i="33" a="1"/>
  <c r="CX136" i="33" s="1"/>
  <c r="AG82" i="33" a="1"/>
  <c r="AG82" i="33" s="1"/>
  <c r="BU59" i="33" a="1"/>
  <c r="BU59" i="33" s="1"/>
  <c r="CD94" i="33" a="1"/>
  <c r="CD94" i="33" s="1"/>
  <c r="AQ138" i="33" a="1"/>
  <c r="AQ138" i="33" s="1"/>
  <c r="BJ65" i="33" a="1"/>
  <c r="BJ65" i="33" s="1"/>
  <c r="CY34" i="33" a="1"/>
  <c r="CY34" i="33" s="1"/>
  <c r="CP45" i="33" a="1"/>
  <c r="CP45" i="33" s="1"/>
  <c r="CW51" i="33" a="1"/>
  <c r="CW51" i="33" s="1"/>
  <c r="AF97" i="33" a="1"/>
  <c r="AF97" i="33" s="1"/>
  <c r="CE144" i="33" a="1"/>
  <c r="CE144" i="33" s="1"/>
  <c r="CN129" i="33" a="1"/>
  <c r="CN129" i="33" s="1"/>
  <c r="CW108" i="33" a="1"/>
  <c r="CW108" i="33" s="1"/>
  <c r="AP155" i="33" a="1"/>
  <c r="AP155" i="33" s="1"/>
  <c r="AH50" i="33" a="1"/>
  <c r="AH50" i="33" s="1"/>
  <c r="BU117" i="33" a="1"/>
  <c r="BU117" i="33" s="1"/>
  <c r="CX134" i="33" a="1"/>
  <c r="CX134" i="33" s="1"/>
  <c r="CB19" i="33" a="1"/>
  <c r="CB19" i="33" s="1"/>
  <c r="AP150" i="33" a="1"/>
  <c r="AP150" i="33" s="1"/>
  <c r="AG153" i="33" a="1"/>
  <c r="AG153" i="33" s="1"/>
  <c r="CW63" i="33" a="1"/>
  <c r="CW63" i="33" s="1"/>
  <c r="BI65" i="33" a="1"/>
  <c r="BI65" i="33" s="1"/>
  <c r="AP106" i="33" a="1"/>
  <c r="AP106" i="33" s="1"/>
  <c r="CD161" i="33" a="1"/>
  <c r="CD161" i="33" s="1"/>
  <c r="CN41" i="33" a="1"/>
  <c r="CN41" i="33" s="1"/>
  <c r="CY40" i="33" a="1"/>
  <c r="CY40" i="33" s="1"/>
  <c r="AF37" i="33" a="1"/>
  <c r="AF37" i="33" s="1"/>
  <c r="BP96" i="33" a="1"/>
  <c r="BP96" i="33" s="1"/>
  <c r="AP136" i="33" a="1"/>
  <c r="AP136" i="33" s="1"/>
  <c r="BL109" i="33" a="1"/>
  <c r="BL109" i="33" s="1"/>
  <c r="CX141" i="33" a="1"/>
  <c r="CX141" i="33" s="1"/>
  <c r="BT151" i="33" a="1"/>
  <c r="BT151" i="33" s="1"/>
  <c r="BJ91" i="33" a="1"/>
  <c r="BJ91" i="33" s="1"/>
  <c r="BU58" i="33" a="1"/>
  <c r="BU58" i="33" s="1"/>
  <c r="V119" i="33" a="1"/>
  <c r="V119" i="33" s="1"/>
  <c r="CD97" i="33" a="1"/>
  <c r="CD97" i="33" s="1"/>
  <c r="CD26" i="33" a="1"/>
  <c r="CD26" i="33" s="1"/>
  <c r="BU102" i="33" a="1"/>
  <c r="BU102" i="33" s="1"/>
  <c r="AB132" i="33" a="1"/>
  <c r="AB132" i="33" s="1"/>
  <c r="BU106" i="33" a="1"/>
  <c r="BU106" i="33" s="1"/>
  <c r="CM79" i="33" a="1"/>
  <c r="CM79" i="33" s="1"/>
  <c r="AZ122" i="33" a="1"/>
  <c r="AZ122" i="33" s="1"/>
  <c r="CD75" i="33" a="1"/>
  <c r="CD75" i="33" s="1"/>
  <c r="CN44" i="33" a="1"/>
  <c r="CN44" i="33" s="1"/>
  <c r="CW83" i="33" a="1"/>
  <c r="CW83" i="33" s="1"/>
  <c r="AP81" i="33" a="1"/>
  <c r="AP81" i="33" s="1"/>
  <c r="BB142" i="33" a="1"/>
  <c r="BB142" i="33" s="1"/>
  <c r="CW92" i="33" a="1"/>
  <c r="CW92" i="33" s="1"/>
  <c r="BT154" i="33" a="1"/>
  <c r="BT154" i="33" s="1"/>
  <c r="BT100" i="33" a="1"/>
  <c r="BT100" i="33" s="1"/>
  <c r="AO113" i="33" a="1"/>
  <c r="AO113" i="33" s="1"/>
  <c r="BI142" i="33" a="1"/>
  <c r="BI142" i="33" s="1"/>
  <c r="CX23" i="33" a="1"/>
  <c r="CX23" i="33" s="1"/>
  <c r="CN136" i="33" a="1"/>
  <c r="CN136" i="33" s="1"/>
  <c r="V92" i="33" a="1"/>
  <c r="V92" i="33" s="1"/>
  <c r="BB46" i="33" a="1"/>
  <c r="BB46" i="33" s="1"/>
  <c r="BT152" i="33" a="1"/>
  <c r="BT152" i="33" s="1"/>
  <c r="AG112" i="33" a="1"/>
  <c r="AG112" i="33" s="1"/>
  <c r="CO32" i="33" a="1"/>
  <c r="CO32" i="33" s="1"/>
  <c r="V104" i="33" a="1"/>
  <c r="V104" i="33" s="1"/>
  <c r="CO35" i="33" a="1"/>
  <c r="CO35" i="33" s="1"/>
  <c r="CB148" i="33" a="1"/>
  <c r="CB148" i="33" s="1"/>
  <c r="BQ17" i="33" a="1"/>
  <c r="BQ17" i="33" s="1"/>
  <c r="AR105" i="33" a="1"/>
  <c r="AR105" i="33" s="1"/>
  <c r="CO127" i="33" a="1"/>
  <c r="CO127" i="33" s="1"/>
  <c r="AR52" i="33" a="1"/>
  <c r="AR52" i="33" s="1"/>
  <c r="AC16" i="33" a="1"/>
  <c r="AC16" i="33" s="1"/>
  <c r="BB128" i="33" a="1"/>
  <c r="BB128" i="33" s="1"/>
  <c r="W105" i="33" a="1"/>
  <c r="W105" i="33" s="1"/>
  <c r="BL85" i="33" a="1"/>
  <c r="BL85" i="33" s="1"/>
  <c r="CB152" i="33" a="1"/>
  <c r="CB152" i="33" s="1"/>
  <c r="BV25" i="33" a="1"/>
  <c r="BV25" i="33" s="1"/>
  <c r="AR99" i="33" a="1"/>
  <c r="AR99" i="33" s="1"/>
  <c r="CP116" i="33" a="1"/>
  <c r="CP116" i="33" s="1"/>
  <c r="CY45" i="33" a="1"/>
  <c r="CY45" i="33" s="1"/>
  <c r="AR152" i="33" a="1"/>
  <c r="AR152" i="33" s="1"/>
  <c r="V28" i="33" a="1"/>
  <c r="V28" i="33" s="1"/>
  <c r="AN36" i="33" a="1"/>
  <c r="AN36" i="33" s="1"/>
  <c r="AQ107" i="33" a="1"/>
  <c r="AQ107" i="33" s="1"/>
  <c r="BT108" i="33" a="1"/>
  <c r="BT108" i="33" s="1"/>
  <c r="BV69" i="33" a="1"/>
  <c r="BV69" i="33" s="1"/>
  <c r="CN45" i="33" a="1"/>
  <c r="CN45" i="33" s="1"/>
  <c r="BP117" i="33" a="1"/>
  <c r="BP117" i="33" s="1"/>
  <c r="BJ153" i="33" a="1"/>
  <c r="BJ153" i="33" s="1"/>
  <c r="AD103" i="33" a="1"/>
  <c r="AD103" i="33" s="1"/>
  <c r="AR45" i="33" a="1"/>
  <c r="AR45" i="33" s="1"/>
  <c r="BV68" i="33" a="1"/>
  <c r="BV68" i="33" s="1"/>
  <c r="CF109" i="33" a="1"/>
  <c r="CF109" i="33" s="1"/>
  <c r="BL96" i="33" a="1"/>
  <c r="BL96" i="33" s="1"/>
  <c r="BL124" i="33" a="1"/>
  <c r="BL124" i="33" s="1"/>
  <c r="BU48" i="33" a="1"/>
  <c r="BU48" i="33" s="1"/>
  <c r="W111" i="33" a="1"/>
  <c r="W111" i="33" s="1"/>
  <c r="BA146" i="33" a="1"/>
  <c r="BA146" i="33" s="1"/>
  <c r="CF152" i="33" a="1"/>
  <c r="CF152" i="33" s="1"/>
  <c r="Y107" i="33" a="1"/>
  <c r="Y107" i="33" s="1"/>
  <c r="BV18" i="33" a="1"/>
  <c r="BV18" i="33" s="1"/>
  <c r="BU31" i="33" a="1"/>
  <c r="BU31" i="33" s="1"/>
  <c r="CZ90" i="33" a="1"/>
  <c r="CZ90" i="33" s="1"/>
  <c r="W113" i="33" a="1"/>
  <c r="W113" i="33" s="1"/>
  <c r="BU42" i="33" a="1"/>
  <c r="BU42" i="33" s="1"/>
  <c r="CD102" i="33" a="1"/>
  <c r="CD102" i="33" s="1"/>
  <c r="BG125" i="33" a="1"/>
  <c r="BG125" i="33" s="1"/>
  <c r="D145" i="33" a="1"/>
  <c r="D145" i="33" s="1"/>
  <c r="AH31" i="33" a="1"/>
  <c r="AH31" i="33" s="1"/>
  <c r="CB126" i="33" a="1"/>
  <c r="CB126" i="33" s="1"/>
  <c r="X148" i="33" a="1"/>
  <c r="X148" i="33" s="1"/>
  <c r="CX34" i="33" a="1"/>
  <c r="CX34" i="33" s="1"/>
  <c r="AW125" i="33" a="1"/>
  <c r="AW125" i="33" s="1"/>
  <c r="BK132" i="33" a="1"/>
  <c r="BK132" i="33" s="1"/>
  <c r="BU118" i="33" a="1"/>
  <c r="BU118" i="33" s="1"/>
  <c r="CN131" i="33" a="1"/>
  <c r="CN131" i="33" s="1"/>
  <c r="W20" i="33" a="1"/>
  <c r="W20" i="33" s="1"/>
  <c r="CY142" i="33" a="1"/>
  <c r="CY142" i="33" s="1"/>
  <c r="BG89" i="33" a="1"/>
  <c r="BG89" i="33" s="1"/>
  <c r="CZ30" i="33" a="1"/>
  <c r="CZ30" i="33" s="1"/>
  <c r="CO145" i="33" a="1"/>
  <c r="CO145" i="33" s="1"/>
  <c r="CP135" i="33" a="1"/>
  <c r="CP135" i="33" s="1"/>
  <c r="BV85" i="33" a="1"/>
  <c r="BV85" i="33" s="1"/>
  <c r="AN95" i="33" a="1"/>
  <c r="AN95" i="33" s="1"/>
  <c r="AM147" i="33" a="1"/>
  <c r="AM147" i="33" s="1"/>
  <c r="CD108" i="33" a="1"/>
  <c r="CD108" i="33" s="1"/>
  <c r="BJ22" i="33" a="1"/>
  <c r="BJ22" i="33" s="1"/>
  <c r="AR57" i="33" a="1"/>
  <c r="AR57" i="33" s="1"/>
  <c r="CN143" i="33" a="1"/>
  <c r="CN143" i="33" s="1"/>
  <c r="CZ16" i="33" a="1"/>
  <c r="CZ16" i="33" s="1"/>
  <c r="BJ15" i="33" a="1"/>
  <c r="BJ15" i="33" s="1"/>
  <c r="BT80" i="33" a="1"/>
  <c r="BT80" i="33" s="1"/>
  <c r="CX72" i="33" a="1"/>
  <c r="CX72" i="33" s="1"/>
  <c r="BT52" i="33" a="1"/>
  <c r="BT52" i="33" s="1"/>
  <c r="AN143" i="33" a="1"/>
  <c r="AN143" i="33" s="1"/>
  <c r="CF84" i="33" a="1"/>
  <c r="CF84" i="33" s="1"/>
  <c r="AC117" i="33" a="1"/>
  <c r="AC117" i="33" s="1"/>
  <c r="BJ109" i="33" a="1"/>
  <c r="BJ109" i="33" s="1"/>
  <c r="AN46" i="33" a="1"/>
  <c r="AN46" i="33" s="1"/>
  <c r="V16" i="33" a="1"/>
  <c r="V16" i="33" s="1"/>
  <c r="CX58" i="33" a="1"/>
  <c r="CX58" i="33" s="1"/>
  <c r="AH67" i="33" a="1"/>
  <c r="AH67" i="33" s="1"/>
  <c r="V43" i="33" a="1"/>
  <c r="V43" i="33" s="1"/>
  <c r="BT65" i="33" a="1"/>
  <c r="BT65" i="33" s="1"/>
  <c r="AP141" i="33" a="1"/>
  <c r="AP141" i="33" s="1"/>
  <c r="BJ77" i="33" a="1"/>
  <c r="BJ77" i="33" s="1"/>
  <c r="BS58" i="33" a="1"/>
  <c r="BS58" i="33" s="1"/>
  <c r="BJ72" i="33" a="1"/>
  <c r="BJ72" i="33" s="1"/>
  <c r="AG113" i="33" a="1"/>
  <c r="AG113" i="33" s="1"/>
  <c r="AZ32" i="33" a="1"/>
  <c r="AZ32" i="33" s="1"/>
  <c r="AB160" i="33" a="1"/>
  <c r="AB160" i="33" s="1"/>
  <c r="BT150" i="33" a="1"/>
  <c r="BT150" i="33" s="1"/>
  <c r="AG43" i="33" a="1"/>
  <c r="AG43" i="33" s="1"/>
  <c r="CY157" i="33" a="1"/>
  <c r="CY157" i="33" s="1"/>
  <c r="AB57" i="33" a="1"/>
  <c r="AB57" i="33" s="1"/>
  <c r="CD149" i="33" a="1"/>
  <c r="CD149" i="33" s="1"/>
  <c r="AZ56" i="33" a="1"/>
  <c r="AZ56" i="33" s="1"/>
  <c r="AG34" i="33" a="1"/>
  <c r="AG34" i="33" s="1"/>
  <c r="AN39" i="33" a="1"/>
  <c r="AN39" i="33" s="1"/>
  <c r="BJ36" i="33" a="1"/>
  <c r="BJ36" i="33" s="1"/>
  <c r="AH78" i="33" a="1"/>
  <c r="AH78" i="33" s="1"/>
  <c r="AE66" i="33" a="1"/>
  <c r="AE66" i="33" s="1"/>
  <c r="BJ24" i="33" a="1"/>
  <c r="BJ24" i="33" s="1"/>
  <c r="BU126" i="33" a="1"/>
  <c r="BU126" i="33" s="1"/>
  <c r="AF39" i="33" a="1"/>
  <c r="AF39" i="33" s="1"/>
  <c r="CD155" i="33" a="1"/>
  <c r="CD155" i="33" s="1"/>
  <c r="AF36" i="33" a="1"/>
  <c r="AF36" i="33" s="1"/>
  <c r="BJ139" i="33" a="1"/>
  <c r="BJ139" i="33" s="1"/>
  <c r="AH55" i="33" a="1"/>
  <c r="AH55" i="33" s="1"/>
  <c r="BP61" i="33" a="1"/>
  <c r="BP61" i="33" s="1"/>
  <c r="CO104" i="33" a="1"/>
  <c r="CO104" i="33" s="1"/>
  <c r="CE147" i="33" a="1"/>
  <c r="CE147" i="33" s="1"/>
  <c r="BT92" i="33" a="1"/>
  <c r="BT92" i="33" s="1"/>
  <c r="AN44" i="33" a="1"/>
  <c r="AN44" i="33" s="1"/>
  <c r="BK35" i="33" a="1"/>
  <c r="BK35" i="33" s="1"/>
  <c r="W24" i="33" a="1"/>
  <c r="W24" i="33" s="1"/>
  <c r="CZ14" i="33" a="1"/>
  <c r="CZ14" i="33" s="1"/>
  <c r="AQ104" i="33" a="1"/>
  <c r="AQ104" i="33" s="1"/>
  <c r="CY144" i="33" a="1"/>
  <c r="CY144" i="33" s="1"/>
  <c r="BU88" i="33" a="1"/>
  <c r="BU88" i="33" s="1"/>
  <c r="AG30" i="33" a="1"/>
  <c r="AG30" i="33" s="1"/>
  <c r="AG99" i="33" a="1"/>
  <c r="AG99" i="33" s="1"/>
  <c r="AP117" i="33" a="1"/>
  <c r="AP117" i="33" s="1"/>
  <c r="AN18" i="33" a="1"/>
  <c r="AN18" i="33" s="1"/>
  <c r="BK133" i="33" a="1"/>
  <c r="BK133" i="33" s="1"/>
  <c r="BL138" i="33" a="1"/>
  <c r="BL138" i="33" s="1"/>
  <c r="AR75" i="33" a="1"/>
  <c r="AR75" i="33" s="1"/>
  <c r="BL25" i="33" a="1"/>
  <c r="BL25" i="33" s="1"/>
  <c r="BU124" i="33" a="1"/>
  <c r="BU124" i="33" s="1"/>
  <c r="AN125" i="33" a="1"/>
  <c r="AN125" i="33" s="1"/>
  <c r="CY106" i="33" a="1"/>
  <c r="CY106" i="33" s="1"/>
  <c r="AQ86" i="33" a="1"/>
  <c r="AQ86" i="33" s="1"/>
  <c r="AQ139" i="33" a="1"/>
  <c r="AQ139" i="33" s="1"/>
  <c r="AQ84" i="33" a="1"/>
  <c r="AQ84" i="33" s="1"/>
  <c r="BQ154" i="33" a="1"/>
  <c r="BQ154" i="33" s="1"/>
  <c r="BL19" i="33" a="1"/>
  <c r="BL19" i="33" s="1"/>
  <c r="D71" i="33" a="1"/>
  <c r="D71" i="33" s="1"/>
  <c r="BA68" i="33" a="1"/>
  <c r="BA68" i="33" s="1"/>
  <c r="BB146" i="33" a="1"/>
  <c r="BB146" i="33" s="1"/>
  <c r="AB27" i="33" a="1"/>
  <c r="AB27" i="33" s="1"/>
  <c r="AH15" i="33" a="1"/>
  <c r="AH15" i="33" s="1"/>
  <c r="BQ160" i="33" a="1"/>
  <c r="BQ160" i="33" s="1"/>
  <c r="CO75" i="33" a="1"/>
  <c r="CO75" i="33" s="1"/>
  <c r="BK91" i="33" a="1"/>
  <c r="BK91" i="33" s="1"/>
  <c r="BJ147" i="33" a="1"/>
  <c r="BJ147" i="33" s="1"/>
  <c r="BJ57" i="33" a="1"/>
  <c r="BJ57" i="33" s="1"/>
  <c r="AG18" i="33" a="1"/>
  <c r="AG18" i="33" s="1"/>
  <c r="BU71" i="33" a="1"/>
  <c r="BU71" i="33" s="1"/>
  <c r="CA45" i="33" a="1"/>
  <c r="CA45" i="33" s="1"/>
  <c r="BW129" i="33" a="1"/>
  <c r="BW129" i="33" s="1"/>
  <c r="AH102" i="33" a="1"/>
  <c r="AH102" i="33" s="1"/>
  <c r="CQ55" i="33" a="1"/>
  <c r="CQ55" i="33" s="1"/>
  <c r="AR154" i="33" a="1"/>
  <c r="AR154" i="33" s="1"/>
  <c r="CP137" i="33" a="1"/>
  <c r="CP137" i="33" s="1"/>
  <c r="CG104" i="33" a="1"/>
  <c r="CG104" i="33" s="1"/>
  <c r="W120" i="33" a="1"/>
  <c r="W120" i="33" s="1"/>
  <c r="CY127" i="33" a="1"/>
  <c r="CY127" i="33" s="1"/>
  <c r="AQ92" i="33" a="1"/>
  <c r="AQ92" i="33" s="1"/>
  <c r="AQ136" i="33" a="1"/>
  <c r="AQ136" i="33" s="1"/>
  <c r="BG92" i="33" a="1"/>
  <c r="BG92" i="33" s="1"/>
  <c r="AZ154" i="33" a="1"/>
  <c r="AZ154" i="33" s="1"/>
  <c r="BL132" i="33" a="1"/>
  <c r="BL132" i="33" s="1"/>
  <c r="AG150" i="33" a="1"/>
  <c r="AG150" i="33" s="1"/>
  <c r="AZ43" i="33" a="1"/>
  <c r="AZ43" i="33" s="1"/>
  <c r="AR37" i="33" a="1"/>
  <c r="AR37" i="33" s="1"/>
  <c r="AH18" i="33" a="1"/>
  <c r="AH18" i="33" s="1"/>
  <c r="AC108" i="33" a="1"/>
  <c r="AC108" i="33" s="1"/>
  <c r="BL60" i="33" a="1"/>
  <c r="BL60" i="33" s="1"/>
  <c r="AQ149" i="33" a="1"/>
  <c r="AQ149" i="33" s="1"/>
  <c r="AN17" i="33" a="1"/>
  <c r="AN17" i="33" s="1"/>
  <c r="AB21" i="33" a="1"/>
  <c r="AB21" i="33" s="1"/>
  <c r="CS29" i="33" a="1"/>
  <c r="CS29" i="33" s="1"/>
  <c r="CY86" i="33" a="1"/>
  <c r="CY86" i="33" s="1"/>
  <c r="X69" i="33" a="1"/>
  <c r="X69" i="33" s="1"/>
  <c r="BA144" i="33" a="1"/>
  <c r="BA144" i="33" s="1"/>
  <c r="AH36" i="33" a="1"/>
  <c r="AH36" i="33" s="1"/>
  <c r="BL58" i="33" a="1"/>
  <c r="BL58" i="33" s="1"/>
  <c r="AM111" i="33" a="1"/>
  <c r="AM111" i="33" s="1"/>
  <c r="BK57" i="33" a="1"/>
  <c r="BK57" i="33" s="1"/>
  <c r="BP128" i="33" a="1"/>
  <c r="BP128" i="33" s="1"/>
  <c r="D133" i="33" a="1"/>
  <c r="D133" i="33" s="1"/>
  <c r="CO21" i="33" a="1"/>
  <c r="CO21" i="33" s="1"/>
  <c r="CB136" i="33" a="1"/>
  <c r="CB136" i="33" s="1"/>
  <c r="BT88" i="33" a="1"/>
  <c r="BT88" i="33" s="1"/>
  <c r="BB80" i="33" a="1"/>
  <c r="BB80" i="33" s="1"/>
  <c r="BP26" i="33" a="1"/>
  <c r="BP26" i="33" s="1"/>
  <c r="CE116" i="33" a="1"/>
  <c r="CE116" i="33" s="1"/>
  <c r="CY94" i="33" a="1"/>
  <c r="CY94" i="33" s="1"/>
  <c r="BT44" i="33" a="1"/>
  <c r="BT44" i="33" s="1"/>
  <c r="BJ87" i="33" a="1"/>
  <c r="BJ87" i="33" s="1"/>
  <c r="CF89" i="33" a="1"/>
  <c r="CF89" i="33" s="1"/>
  <c r="AB118" i="33" a="1"/>
  <c r="AB118" i="33" s="1"/>
  <c r="CE105" i="33" a="1"/>
  <c r="CE105" i="33" s="1"/>
  <c r="CM14" i="33" a="1"/>
  <c r="CM14" i="33" s="1"/>
  <c r="AF84" i="33" a="1"/>
  <c r="AF84" i="33" s="1"/>
  <c r="BT30" i="33" a="1"/>
  <c r="BT30" i="33" s="1"/>
  <c r="AG94" i="33" a="1"/>
  <c r="AG94" i="33" s="1"/>
  <c r="CD125" i="33" a="1"/>
  <c r="CD125" i="33" s="1"/>
  <c r="AB80" i="33" a="1"/>
  <c r="AB80" i="33" s="1"/>
  <c r="CX118" i="33" a="1"/>
  <c r="CX118" i="33" s="1"/>
  <c r="CW57" i="33" a="1"/>
  <c r="CW57" i="33" s="1"/>
  <c r="BK14" i="33" a="1"/>
  <c r="BK14" i="33" s="1"/>
  <c r="BJ142" i="33" a="1"/>
  <c r="BJ142" i="33" s="1"/>
  <c r="CB57" i="33" a="1"/>
  <c r="CB57" i="33" s="1"/>
  <c r="AB69" i="33" a="1"/>
  <c r="AB69" i="33" s="1"/>
  <c r="CN153" i="33" a="1"/>
  <c r="CN153" i="33" s="1"/>
  <c r="CX100" i="33" a="1"/>
  <c r="CX100" i="33" s="1"/>
  <c r="CY102" i="33" a="1"/>
  <c r="CY102" i="33" s="1"/>
  <c r="AM101" i="33" a="1"/>
  <c r="AM101" i="33" s="1"/>
  <c r="CX73" i="33" a="1"/>
  <c r="CX73" i="33" s="1"/>
  <c r="CE135" i="33" a="1"/>
  <c r="CE135" i="33" s="1"/>
  <c r="AZ157" i="33" a="1"/>
  <c r="AZ157" i="33" s="1"/>
  <c r="BJ79" i="33" a="1"/>
  <c r="BJ79" i="33" s="1"/>
  <c r="CE104" i="33" a="1"/>
  <c r="CE104" i="33" s="1"/>
  <c r="W14" i="33" a="1"/>
  <c r="W14" i="33" s="1"/>
  <c r="AB126" i="33" a="1"/>
  <c r="AB126" i="33" s="1"/>
  <c r="CW120" i="33" a="1"/>
  <c r="CW120" i="33" s="1"/>
  <c r="CB106" i="33" a="1"/>
  <c r="CB106" i="33" s="1"/>
  <c r="CD74" i="33" a="1"/>
  <c r="CD74" i="33" s="1"/>
  <c r="X30" i="33" a="1"/>
  <c r="X30" i="33" s="1"/>
  <c r="BK20" i="33" a="1"/>
  <c r="BK20" i="33" s="1"/>
  <c r="AQ38" i="33" a="1"/>
  <c r="AQ38" i="33" s="1"/>
  <c r="AH19" i="33" a="1"/>
  <c r="AH19" i="33" s="1"/>
  <c r="BJ76" i="33" a="1"/>
  <c r="BJ76" i="33" s="1"/>
  <c r="BP127" i="33" a="1"/>
  <c r="BP127" i="33" s="1"/>
  <c r="W57" i="33" a="1"/>
  <c r="W57" i="33" s="1"/>
  <c r="V76" i="33" a="1"/>
  <c r="V76" i="33" s="1"/>
  <c r="CD143" i="33" a="1"/>
  <c r="CD143" i="33" s="1"/>
  <c r="AB149" i="33" a="1"/>
  <c r="AB149" i="33" s="1"/>
  <c r="V41" i="33" a="1"/>
  <c r="V41" i="33" s="1"/>
  <c r="AF105" i="33" a="1"/>
  <c r="AF105" i="33" s="1"/>
  <c r="AY144" i="33" a="1"/>
  <c r="AY144" i="33" s="1"/>
  <c r="CW143" i="33" a="1"/>
  <c r="CW143" i="33" s="1"/>
  <c r="AG144" i="33" a="1"/>
  <c r="AG144" i="33" s="1"/>
  <c r="BG55" i="33" a="1"/>
  <c r="BG55" i="33" s="1"/>
  <c r="BU62" i="33" a="1"/>
  <c r="BU62" i="33" s="1"/>
  <c r="CE21" i="33" a="1"/>
  <c r="CE21" i="33" s="1"/>
  <c r="BV66" i="33" a="1"/>
  <c r="BV66" i="33" s="1"/>
  <c r="BK70" i="33" a="1"/>
  <c r="BK70" i="33" s="1"/>
  <c r="CD117" i="33" a="1"/>
  <c r="CD117" i="33" s="1"/>
  <c r="CD61" i="33" a="1"/>
  <c r="CD61" i="33" s="1"/>
  <c r="AH122" i="33" a="1"/>
  <c r="AH122" i="33" s="1"/>
  <c r="AC126" i="33" a="1"/>
  <c r="AC126" i="33" s="1"/>
  <c r="BL34" i="33" a="1"/>
  <c r="BL34" i="33" s="1"/>
  <c r="BB101" i="33" a="1"/>
  <c r="BB101" i="33" s="1"/>
  <c r="BU26" i="33" a="1"/>
  <c r="BU26" i="33" s="1"/>
  <c r="AC28" i="33" a="1"/>
  <c r="AC28" i="33" s="1"/>
  <c r="AQ105" i="33" a="1"/>
  <c r="AQ105" i="33" s="1"/>
  <c r="W107" i="33" a="1"/>
  <c r="W107" i="33" s="1"/>
  <c r="AP103" i="33" a="1"/>
  <c r="AP103" i="33" s="1"/>
  <c r="CO31" i="33" a="1"/>
  <c r="CO31" i="33" s="1"/>
  <c r="AR151" i="33" a="1"/>
  <c r="AR151" i="33" s="1"/>
  <c r="BL47" i="33" a="1"/>
  <c r="BL47" i="33" s="1"/>
  <c r="BP42" i="33" a="1"/>
  <c r="BP42" i="33" s="1"/>
  <c r="BV58" i="33" a="1"/>
  <c r="BV58" i="33" s="1"/>
  <c r="CZ92" i="33" a="1"/>
  <c r="CZ92" i="33" s="1"/>
  <c r="AQ32" i="33" a="1"/>
  <c r="AQ32" i="33" s="1"/>
  <c r="BK104" i="33" a="1"/>
  <c r="BK104" i="33" s="1"/>
  <c r="BV159" i="33" a="1"/>
  <c r="BV159" i="33" s="1"/>
  <c r="CE99" i="33" a="1"/>
  <c r="CE99" i="33" s="1"/>
  <c r="BK151" i="33" a="1"/>
  <c r="BK151" i="33" s="1"/>
  <c r="CE20" i="33" a="1"/>
  <c r="CE20" i="33" s="1"/>
  <c r="AZ14" i="33" a="1"/>
  <c r="AZ14" i="33" s="1"/>
  <c r="V129" i="33" a="1"/>
  <c r="V129" i="33" s="1"/>
  <c r="CU93" i="33" a="1"/>
  <c r="CU93" i="33" s="1"/>
  <c r="AT80" i="33" a="1"/>
  <c r="AT80" i="33" s="1"/>
  <c r="Y89" i="33" a="1"/>
  <c r="Y89" i="33" s="1"/>
  <c r="BK78" i="33" a="1"/>
  <c r="BK78" i="33" s="1"/>
  <c r="BV114" i="33" a="1"/>
  <c r="BV114" i="33" s="1"/>
  <c r="BL56" i="33" a="1"/>
  <c r="BL56" i="33" s="1"/>
  <c r="AW115" i="33" a="1"/>
  <c r="AW115" i="33" s="1"/>
  <c r="BH147" i="33" a="1"/>
  <c r="BH147" i="33" s="1"/>
  <c r="AR33" i="33" a="1"/>
  <c r="AR33" i="33" s="1"/>
  <c r="AR31" i="33" a="1"/>
  <c r="AR31" i="33" s="1"/>
  <c r="AM116" i="33" a="1"/>
  <c r="AM116" i="33" s="1"/>
  <c r="BT60" i="33" a="1"/>
  <c r="BT60" i="33" s="1"/>
  <c r="CY55" i="33" a="1"/>
  <c r="CY55" i="33" s="1"/>
  <c r="CB34" i="33" a="1"/>
  <c r="CB34" i="33" s="1"/>
  <c r="CD49" i="33" a="1"/>
  <c r="CD49" i="33" s="1"/>
  <c r="BA91" i="33" a="1"/>
  <c r="BA91" i="33" s="1"/>
  <c r="BU68" i="33" a="1"/>
  <c r="BU68" i="33" s="1"/>
  <c r="BJ141" i="33" a="1"/>
  <c r="BJ141" i="33" s="1"/>
  <c r="CO44" i="33" a="1"/>
  <c r="CO44" i="33" s="1"/>
  <c r="AD159" i="33" a="1"/>
  <c r="AD159" i="33" s="1"/>
  <c r="BH29" i="33" a="1"/>
  <c r="BH29" i="33" s="1"/>
  <c r="W40" i="33" a="1"/>
  <c r="W40" i="33" s="1"/>
  <c r="AQ22" i="33" a="1"/>
  <c r="AQ22" i="33" s="1"/>
  <c r="BL140" i="33" a="1"/>
  <c r="BL140" i="33" s="1"/>
  <c r="CZ43" i="33" a="1"/>
  <c r="CZ43" i="33" s="1"/>
  <c r="CP82" i="33" a="1"/>
  <c r="CP82" i="33" s="1"/>
  <c r="BT123" i="33" a="1"/>
  <c r="BT123" i="33" s="1"/>
  <c r="BA22" i="33" a="1"/>
  <c r="BA22" i="33" s="1"/>
  <c r="AH113" i="33" a="1"/>
  <c r="AH113" i="33" s="1"/>
  <c r="BL61" i="33" a="1"/>
  <c r="BL61" i="33" s="1"/>
  <c r="CP18" i="33" a="1"/>
  <c r="CP18" i="33" s="1"/>
  <c r="BV48" i="33" a="1"/>
  <c r="BV48" i="33" s="1"/>
  <c r="X94" i="33" a="1"/>
  <c r="X94" i="33" s="1"/>
  <c r="CE87" i="33" a="1"/>
  <c r="CE87" i="33" s="1"/>
  <c r="AP127" i="33" a="1"/>
  <c r="AP127" i="33" s="1"/>
  <c r="D128" i="33" a="1"/>
  <c r="D128" i="33" s="1"/>
  <c r="BB68" i="33" a="1"/>
  <c r="BB68" i="33" s="1"/>
  <c r="CO22" i="33" a="1"/>
  <c r="CO22" i="33" s="1"/>
  <c r="CY64" i="33" a="1"/>
  <c r="CY64" i="33" s="1"/>
  <c r="CW89" i="33" a="1"/>
  <c r="CW89" i="33" s="1"/>
  <c r="AF24" i="33" a="1"/>
  <c r="AF24" i="33" s="1"/>
  <c r="BP136" i="33" a="1"/>
  <c r="BP136" i="33" s="1"/>
  <c r="AF154" i="33" a="1"/>
  <c r="AF154" i="33" s="1"/>
  <c r="BV145" i="33" a="1"/>
  <c r="BV145" i="33" s="1"/>
  <c r="BV64" i="33" a="1"/>
  <c r="BV64" i="33" s="1"/>
  <c r="CX154" i="33" a="1"/>
  <c r="CX154" i="33" s="1"/>
  <c r="AM17" i="33" a="1"/>
  <c r="AM17" i="33" s="1"/>
  <c r="BJ151" i="33" a="1"/>
  <c r="BJ151" i="33" s="1"/>
  <c r="CW15" i="33" a="1"/>
  <c r="CW15" i="33" s="1"/>
  <c r="AP126" i="33" a="1"/>
  <c r="AP126" i="33" s="1"/>
  <c r="AH149" i="33" a="1"/>
  <c r="AH149" i="33" s="1"/>
  <c r="BT137" i="33" a="1"/>
  <c r="BT137" i="33" s="1"/>
  <c r="AF44" i="33" a="1"/>
  <c r="AF44" i="33" s="1"/>
  <c r="CW98" i="33" a="1"/>
  <c r="CW98" i="33" s="1"/>
  <c r="AN48" i="33" a="1"/>
  <c r="AN48" i="33" s="1"/>
  <c r="BA161" i="33" a="1"/>
  <c r="BA161" i="33" s="1"/>
  <c r="V108" i="33" a="1"/>
  <c r="V108" i="33" s="1"/>
  <c r="CX149" i="33" a="1"/>
  <c r="CX149" i="33" s="1"/>
  <c r="CD141" i="33" a="1"/>
  <c r="CD141" i="33" s="1"/>
  <c r="AB147" i="33" a="1"/>
  <c r="AB147" i="33" s="1"/>
  <c r="CE55" i="33" a="1"/>
  <c r="CE55" i="33" s="1"/>
  <c r="W132" i="33" a="1"/>
  <c r="W132" i="33" s="1"/>
  <c r="AO21" i="33" a="1"/>
  <c r="AO21" i="33" s="1"/>
  <c r="AF62" i="33" a="1"/>
  <c r="AF62" i="33" s="1"/>
  <c r="CN71" i="33" a="1"/>
  <c r="CN71" i="33" s="1"/>
  <c r="AZ33" i="33" a="1"/>
  <c r="AZ33" i="33" s="1"/>
  <c r="BJ113" i="33" a="1"/>
  <c r="BJ113" i="33" s="1"/>
  <c r="CE30" i="33" a="1"/>
  <c r="CE30" i="33" s="1"/>
  <c r="AP130" i="33" a="1"/>
  <c r="AP130" i="33" s="1"/>
  <c r="CB82" i="33" a="1"/>
  <c r="CB82" i="33" s="1"/>
  <c r="AF117" i="33" a="1"/>
  <c r="AF117" i="33" s="1"/>
  <c r="AF148" i="33" a="1"/>
  <c r="AF148" i="33" s="1"/>
  <c r="AF60" i="33" a="1"/>
  <c r="AF60" i="33" s="1"/>
  <c r="AG40" i="33" a="1"/>
  <c r="AG40" i="33" s="1"/>
  <c r="CY140" i="33" a="1"/>
  <c r="CY140" i="33" s="1"/>
  <c r="BJ88" i="33" a="1"/>
  <c r="BJ88" i="33" s="1"/>
  <c r="BT133" i="33" a="1"/>
  <c r="BT133" i="33" s="1"/>
  <c r="W18" i="33" a="1"/>
  <c r="W18" i="33" s="1"/>
  <c r="BK144" i="33" a="1"/>
  <c r="BK144" i="33" s="1"/>
  <c r="AP73" i="33" a="1"/>
  <c r="AP73" i="33" s="1"/>
  <c r="BA99" i="33" a="1"/>
  <c r="BA99" i="33" s="1"/>
  <c r="CN76" i="33" a="1"/>
  <c r="CN76" i="33" s="1"/>
  <c r="BT148" i="33" a="1"/>
  <c r="BT148" i="33" s="1"/>
  <c r="BG51" i="33" a="1"/>
  <c r="BG51" i="33" s="1"/>
  <c r="BK82" i="33" a="1"/>
  <c r="BK82" i="33" s="1"/>
  <c r="X144" i="33" a="1"/>
  <c r="X144" i="33" s="1"/>
  <c r="BB75" i="33" a="1"/>
  <c r="BB75" i="33" s="1"/>
  <c r="BT35" i="33" a="1"/>
  <c r="BT35" i="33" s="1"/>
  <c r="AP37" i="33" a="1"/>
  <c r="AP37" i="33" s="1"/>
  <c r="CD32" i="33" a="1"/>
  <c r="CD32" i="33" s="1"/>
  <c r="AG62" i="33" a="1"/>
  <c r="AG62" i="33" s="1"/>
  <c r="BT57" i="33" a="1"/>
  <c r="BT57" i="33" s="1"/>
  <c r="CF34" i="33" a="1"/>
  <c r="CF34" i="33" s="1"/>
  <c r="CO54" i="33" a="1"/>
  <c r="CO54" i="33" s="1"/>
  <c r="AG121" i="33" a="1"/>
  <c r="AG121" i="33" s="1"/>
  <c r="AR108" i="33" a="1"/>
  <c r="AR108" i="33" s="1"/>
  <c r="BQ49" i="33" a="1"/>
  <c r="BQ49" i="33" s="1"/>
  <c r="AC88" i="33" a="1"/>
  <c r="AC88" i="33" s="1"/>
  <c r="AW147" i="33" a="1"/>
  <c r="AW147" i="33" s="1"/>
  <c r="CY116" i="33" a="1"/>
  <c r="CY116" i="33" s="1"/>
  <c r="BV23" i="33" a="1"/>
  <c r="BV23" i="33" s="1"/>
  <c r="W53" i="33" a="1"/>
  <c r="W53" i="33" s="1"/>
  <c r="CE75" i="33" a="1"/>
  <c r="CE75" i="33" s="1"/>
  <c r="CN150" i="33" a="1"/>
  <c r="CN150" i="33" s="1"/>
  <c r="BV148" i="33" a="1"/>
  <c r="BV148" i="33" s="1"/>
  <c r="BV72" i="33" a="1"/>
  <c r="BV72" i="33" s="1"/>
  <c r="AH32" i="33" a="1"/>
  <c r="AH32" i="33" s="1"/>
  <c r="CX125" i="33" a="1"/>
  <c r="CX125" i="33" s="1"/>
  <c r="AW76" i="33" a="1"/>
  <c r="AW76" i="33" s="1"/>
  <c r="AH83" i="33" a="1"/>
  <c r="AH83" i="33" s="1"/>
  <c r="AB101" i="33" a="1"/>
  <c r="AB101" i="33" s="1"/>
  <c r="AF87" i="33" a="1"/>
  <c r="AF87" i="33" s="1"/>
  <c r="BJ37" i="33" a="1"/>
  <c r="BJ37" i="33" s="1"/>
  <c r="AH147" i="33" a="1"/>
  <c r="AH147" i="33" s="1"/>
  <c r="CP34" i="33" a="1"/>
  <c r="CP34" i="33" s="1"/>
  <c r="Y95" i="33" a="1"/>
  <c r="Y95" i="33" s="1"/>
  <c r="BV44" i="33" a="1"/>
  <c r="BV44" i="33" s="1"/>
  <c r="CF140" i="33" a="1"/>
  <c r="CF140" i="33" s="1"/>
  <c r="BV91" i="33" a="1"/>
  <c r="BV91" i="33" s="1"/>
  <c r="X60" i="33" a="1"/>
  <c r="X60" i="33" s="1"/>
  <c r="CZ50" i="33" a="1"/>
  <c r="CZ50" i="33" s="1"/>
  <c r="AC102" i="33" a="1"/>
  <c r="AC102" i="33" s="1"/>
  <c r="BA15" i="33" a="1"/>
  <c r="BA15" i="33" s="1"/>
  <c r="BV78" i="33" a="1"/>
  <c r="BV78" i="33" s="1"/>
  <c r="BG26" i="33" a="1"/>
  <c r="BG26" i="33" s="1"/>
  <c r="BB121" i="33" a="1"/>
  <c r="BB121" i="33" s="1"/>
  <c r="CY115" i="33" a="1"/>
  <c r="CY115" i="33" s="1"/>
  <c r="CX135" i="33" a="1"/>
  <c r="CX135" i="33" s="1"/>
  <c r="BB60" i="33" a="1"/>
  <c r="BB60" i="33" s="1"/>
  <c r="AZ77" i="33" a="1"/>
  <c r="AZ77" i="33" s="1"/>
  <c r="BV138" i="33" a="1"/>
  <c r="BV138" i="33" s="1"/>
  <c r="BU77" i="33" a="1"/>
  <c r="BU77" i="33" s="1"/>
  <c r="BA114" i="33" a="1"/>
  <c r="BA114" i="33" s="1"/>
  <c r="CZ115" i="33" a="1"/>
  <c r="CZ115" i="33" s="1"/>
  <c r="CE42" i="33" a="1"/>
  <c r="CE42" i="33" s="1"/>
  <c r="CE145" i="33" a="1"/>
  <c r="CE145" i="33" s="1"/>
  <c r="BU78" i="33" a="1"/>
  <c r="BU78" i="33" s="1"/>
  <c r="AR49" i="33" a="1"/>
  <c r="AR49" i="33" s="1"/>
  <c r="X57" i="33" a="1"/>
  <c r="X57" i="33" s="1"/>
  <c r="AM89" i="33" a="1"/>
  <c r="AM89" i="33" s="1"/>
  <c r="BA48" i="33" a="1"/>
  <c r="BA48" i="33" s="1"/>
  <c r="AG36" i="33" a="1"/>
  <c r="AG36" i="33" s="1"/>
  <c r="AW50" i="33" a="1"/>
  <c r="AW50" i="33" s="1"/>
  <c r="AQ59" i="33" a="1"/>
  <c r="AQ59" i="33" s="1"/>
  <c r="AR94" i="33" a="1"/>
  <c r="AR94" i="33" s="1"/>
  <c r="BB30" i="33" a="1"/>
  <c r="BB30" i="33" s="1"/>
  <c r="CD158" i="33" a="1"/>
  <c r="CD158" i="33" s="1"/>
  <c r="AH38" i="33" a="1"/>
  <c r="AH38" i="33" s="1"/>
  <c r="BV61" i="33" a="1"/>
  <c r="BV61" i="33" s="1"/>
  <c r="BK119" i="33" a="1"/>
  <c r="BK119" i="33" s="1"/>
  <c r="V64" i="33" a="1"/>
  <c r="V64" i="33" s="1"/>
  <c r="BL149" i="33" a="1"/>
  <c r="BL149" i="33" s="1"/>
  <c r="X72" i="33" a="1"/>
  <c r="X72" i="33" s="1"/>
  <c r="CN156" i="33" a="1"/>
  <c r="CN156" i="33" s="1"/>
  <c r="V100" i="33" a="1"/>
  <c r="V100" i="33" s="1"/>
  <c r="BJ118" i="33" a="1"/>
  <c r="BJ118" i="33" s="1"/>
  <c r="CN104" i="33" a="1"/>
  <c r="CN104" i="33" s="1"/>
  <c r="CO72" i="33" a="1"/>
  <c r="CO72" i="33" s="1"/>
  <c r="BK139" i="33" a="1"/>
  <c r="BK139" i="33" s="1"/>
  <c r="BV74" i="33" a="1"/>
  <c r="BV74" i="33" s="1"/>
  <c r="BB160" i="33" a="1"/>
  <c r="BB160" i="33" s="1"/>
  <c r="BJ40" i="33" a="1"/>
  <c r="BJ40" i="33" s="1"/>
  <c r="AQ123" i="33" a="1"/>
  <c r="AQ123" i="33" s="1"/>
  <c r="CN142" i="33" a="1"/>
  <c r="CN142" i="33" s="1"/>
  <c r="AZ101" i="33" a="1"/>
  <c r="AZ101" i="33" s="1"/>
  <c r="CY132" i="33" a="1"/>
  <c r="CY132" i="33" s="1"/>
  <c r="CX105" i="33" a="1"/>
  <c r="CX105" i="33" s="1"/>
  <c r="BT115" i="33" a="1"/>
  <c r="BT115" i="33" s="1"/>
  <c r="CY156" i="33" a="1"/>
  <c r="CY156" i="33" s="1"/>
  <c r="AF134" i="33" a="1"/>
  <c r="AF134" i="33" s="1"/>
  <c r="AB159" i="33" a="1"/>
  <c r="AB159" i="33" s="1"/>
  <c r="AQ99" i="33" a="1"/>
  <c r="AQ99" i="33" s="1"/>
  <c r="AZ104" i="33" a="1"/>
  <c r="AZ104" i="33" s="1"/>
  <c r="AN51" i="33" a="1"/>
  <c r="AN51" i="33" s="1"/>
  <c r="BL22" i="33" a="1"/>
  <c r="BL22" i="33" s="1"/>
  <c r="AN105" i="33" a="1"/>
  <c r="AN105" i="33" s="1"/>
  <c r="AZ98" i="33" a="1"/>
  <c r="AZ98" i="33" s="1"/>
  <c r="AH157" i="33" a="1"/>
  <c r="AH157" i="33" s="1"/>
  <c r="AQ80" i="33" a="1"/>
  <c r="AQ80" i="33" s="1"/>
  <c r="AN151" i="33" a="1"/>
  <c r="AN151" i="33" s="1"/>
  <c r="BT58" i="33" a="1"/>
  <c r="BT58" i="33" s="1"/>
  <c r="BV137" i="33" a="1"/>
  <c r="BV137" i="33" s="1"/>
  <c r="BK115" i="33" a="1"/>
  <c r="BK115" i="33" s="1"/>
  <c r="CJ161" i="33" a="1"/>
  <c r="CJ161" i="33" s="1"/>
  <c r="CB134" i="33" a="1"/>
  <c r="CB134" i="33" s="1"/>
  <c r="CB161" i="33" a="1"/>
  <c r="CB161" i="33" s="1"/>
  <c r="BJ99" i="33" a="1"/>
  <c r="BJ99" i="33" s="1"/>
  <c r="AR34" i="33" a="1"/>
  <c r="AR34" i="33" s="1"/>
  <c r="AR20" i="33" a="1"/>
  <c r="AR20" i="33" s="1"/>
  <c r="CP30" i="33" a="1"/>
  <c r="CP30" i="33" s="1"/>
  <c r="BU79" i="33" a="1"/>
  <c r="BU79" i="33" s="1"/>
  <c r="V111" i="33" a="1"/>
  <c r="V111" i="33" s="1"/>
  <c r="CX65" i="33" a="1"/>
  <c r="CX65" i="33" s="1"/>
  <c r="CG81" i="33" a="1"/>
  <c r="CG81" i="33" s="1"/>
  <c r="BB108" i="33" a="1"/>
  <c r="BB108" i="33" s="1"/>
  <c r="BV95" i="33" a="1"/>
  <c r="BV95" i="33" s="1"/>
  <c r="AR65" i="33" a="1"/>
  <c r="AR65" i="33" s="1"/>
  <c r="BB27" i="33" a="1"/>
  <c r="BB27" i="33" s="1"/>
  <c r="BQ109" i="33" a="1"/>
  <c r="BQ109" i="33" s="1"/>
  <c r="AW54" i="33" a="1"/>
  <c r="AW54" i="33" s="1"/>
  <c r="AF69" i="33" a="1"/>
  <c r="AF69" i="33" s="1"/>
  <c r="BL70" i="33" a="1"/>
  <c r="BL70" i="33" s="1"/>
  <c r="CO144" i="33" a="1"/>
  <c r="CO144" i="33" s="1"/>
  <c r="CF72" i="33" a="1"/>
  <c r="CF72" i="33" s="1"/>
  <c r="AG87" i="33" a="1"/>
  <c r="AG87" i="33" s="1"/>
  <c r="CX31" i="33" a="1"/>
  <c r="CX31" i="33" s="1"/>
  <c r="CD95" i="33" a="1"/>
  <c r="CD95" i="33" s="1"/>
  <c r="AP88" i="33" a="1"/>
  <c r="AP88" i="33" s="1"/>
  <c r="CP44" i="33" a="1"/>
  <c r="CP44" i="33" s="1"/>
  <c r="CN130" i="33" a="1"/>
  <c r="CN130" i="33" s="1"/>
  <c r="AR38" i="33" a="1"/>
  <c r="AR38" i="33" s="1"/>
  <c r="BB63" i="33" a="1"/>
  <c r="BB63" i="33" s="1"/>
  <c r="W150" i="33" a="1"/>
  <c r="W150" i="33" s="1"/>
  <c r="CB55" i="33" a="1"/>
  <c r="CB55" i="33" s="1"/>
  <c r="AF89" i="33" a="1"/>
  <c r="AF89" i="33" s="1"/>
  <c r="CC102" i="33" a="1"/>
  <c r="CC102" i="33" s="1"/>
  <c r="CA38" i="33" a="1"/>
  <c r="CA38" i="33" s="1"/>
  <c r="D146" i="33" a="1"/>
  <c r="D146" i="33" s="1"/>
  <c r="CF21" i="33" a="1"/>
  <c r="CF21" i="33" s="1"/>
  <c r="AR62" i="33" a="1"/>
  <c r="AR62" i="33" s="1"/>
  <c r="BQ73" i="33" a="1"/>
  <c r="BQ73" i="33" s="1"/>
  <c r="BG65" i="33" a="1"/>
  <c r="BG65" i="33" s="1"/>
  <c r="AC133" i="33" a="1"/>
  <c r="AC133" i="33" s="1"/>
  <c r="Z97" i="33" a="1"/>
  <c r="Z97" i="33" s="1"/>
  <c r="CZ140" i="33" a="1"/>
  <c r="CZ140" i="33" s="1"/>
  <c r="CD92" i="33" a="1"/>
  <c r="CD92" i="33" s="1"/>
  <c r="BA26" i="33" a="1"/>
  <c r="BA26" i="33" s="1"/>
  <c r="BJ70" i="33" a="1"/>
  <c r="BJ70" i="33" s="1"/>
  <c r="CO63" i="33" a="1"/>
  <c r="CO63" i="33" s="1"/>
  <c r="AP160" i="33" a="1"/>
  <c r="AP160" i="33" s="1"/>
  <c r="BJ160" i="33" a="1"/>
  <c r="BJ160" i="33" s="1"/>
  <c r="AH119" i="33" a="1"/>
  <c r="AH119" i="33" s="1"/>
  <c r="CY57" i="33" a="1"/>
  <c r="CY57" i="33" s="1"/>
  <c r="BG61" i="33" a="1"/>
  <c r="BG61" i="33" s="1"/>
  <c r="BV46" i="33" a="1"/>
  <c r="BV46" i="33" s="1"/>
  <c r="CN125" i="33" a="1"/>
  <c r="CN125" i="33" s="1"/>
  <c r="CN152" i="33" a="1"/>
  <c r="CN152" i="33" s="1"/>
  <c r="BK146" i="33" a="1"/>
  <c r="BK146" i="33" s="1"/>
  <c r="BQ138" i="33" a="1"/>
  <c r="BQ138" i="33" s="1"/>
  <c r="AG46" i="33" a="1"/>
  <c r="AG46" i="33" s="1"/>
  <c r="AG60" i="33" a="1"/>
  <c r="AG60" i="33" s="1"/>
  <c r="BV33" i="33" a="1"/>
  <c r="BV33" i="33" s="1"/>
  <c r="AM110" i="33" a="1"/>
  <c r="AM110" i="33" s="1"/>
  <c r="CY160" i="33" a="1"/>
  <c r="CY160" i="33" s="1"/>
  <c r="AR114" i="33" a="1"/>
  <c r="AR114" i="33" s="1"/>
  <c r="CY124" i="33" a="1"/>
  <c r="CY124" i="33" s="1"/>
  <c r="BB86" i="33" a="1"/>
  <c r="BB86" i="33" s="1"/>
  <c r="BA33" i="33" a="1"/>
  <c r="BA33" i="33" s="1"/>
  <c r="AQ23" i="33" a="1"/>
  <c r="AQ23" i="33" s="1"/>
  <c r="AF118" i="33" a="1"/>
  <c r="AF118" i="33" s="1"/>
  <c r="BA138" i="33" a="1"/>
  <c r="BA138" i="33" s="1"/>
  <c r="AG106" i="33" a="1"/>
  <c r="AG106" i="33" s="1"/>
  <c r="CO136" i="33" a="1"/>
  <c r="CO136" i="33" s="1"/>
  <c r="BT131" i="33" a="1"/>
  <c r="BT131" i="33" s="1"/>
  <c r="CY52" i="33" a="1"/>
  <c r="CY52" i="33" s="1"/>
  <c r="X75" i="33" a="1"/>
  <c r="X75" i="33" s="1"/>
  <c r="BJ60" i="33" a="1"/>
  <c r="BJ60" i="33" s="1"/>
  <c r="CY131" i="33" a="1"/>
  <c r="CY131" i="33" s="1"/>
  <c r="AY97" i="33" a="1"/>
  <c r="AY97" i="33" s="1"/>
  <c r="CF73" i="33" a="1"/>
  <c r="CF73" i="33" s="1"/>
  <c r="BV150" i="33" a="1"/>
  <c r="BV150" i="33" s="1"/>
  <c r="CY69" i="33" a="1"/>
  <c r="CY69" i="33" s="1"/>
  <c r="BG161" i="33" a="1"/>
  <c r="BG161" i="33" s="1"/>
  <c r="BT20" i="33" a="1"/>
  <c r="BT20" i="33" s="1"/>
  <c r="AN35" i="33" a="1"/>
  <c r="AN35" i="33" s="1"/>
  <c r="BT78" i="33" a="1"/>
  <c r="BT78" i="33" s="1"/>
  <c r="AG126" i="33" a="1"/>
  <c r="AG126" i="33" s="1"/>
  <c r="AZ80" i="33" a="1"/>
  <c r="AZ80" i="33" s="1"/>
  <c r="CN95" i="33" a="1"/>
  <c r="CN95" i="33" s="1"/>
  <c r="CB51" i="33" a="1"/>
  <c r="CB51" i="33" s="1"/>
  <c r="BP62" i="33" a="1"/>
  <c r="BP62" i="33" s="1"/>
  <c r="AQ28" i="33" a="1"/>
  <c r="AQ28" i="33" s="1"/>
  <c r="CI54" i="33" a="1"/>
  <c r="CI54" i="33" s="1"/>
  <c r="CD58" i="33" a="1"/>
  <c r="CD58" i="33" s="1"/>
  <c r="CE54" i="33" a="1"/>
  <c r="CE54" i="33" s="1"/>
  <c r="AZ128" i="33" a="1"/>
  <c r="AZ128" i="33" s="1"/>
  <c r="W76" i="33" a="1"/>
  <c r="W76" i="33" s="1"/>
  <c r="BJ48" i="33" a="1"/>
  <c r="BJ48" i="33" s="1"/>
  <c r="X151" i="33" a="1"/>
  <c r="X151" i="33" s="1"/>
  <c r="BJ75" i="33" a="1"/>
  <c r="BJ75" i="33" s="1"/>
  <c r="AZ141" i="33" a="1"/>
  <c r="AZ141" i="33" s="1"/>
  <c r="CN26" i="33" a="1"/>
  <c r="CN26" i="33" s="1"/>
  <c r="CW39" i="33" a="1"/>
  <c r="CW39" i="33" s="1"/>
  <c r="BP91" i="33" a="1"/>
  <c r="BP91" i="33" s="1"/>
  <c r="CB64" i="33" a="1"/>
  <c r="CB64" i="33" s="1"/>
  <c r="BT62" i="33" a="1"/>
  <c r="BT62" i="33" s="1"/>
  <c r="V130" i="33" a="1"/>
  <c r="V130" i="33" s="1"/>
  <c r="AY23" i="33" a="1"/>
  <c r="AY23" i="33" s="1"/>
  <c r="CB92" i="33" a="1"/>
  <c r="CB92" i="33" s="1"/>
  <c r="BP153" i="33" a="1"/>
  <c r="BP153" i="33" s="1"/>
  <c r="CD50" i="33" a="1"/>
  <c r="CD50" i="33" s="1"/>
  <c r="CW81" i="33" a="1"/>
  <c r="CW81" i="33" s="1"/>
  <c r="BT68" i="33" a="1"/>
  <c r="BT68" i="33" s="1"/>
  <c r="BG101" i="33" a="1"/>
  <c r="BG101" i="33" s="1"/>
  <c r="AZ36" i="33" a="1"/>
  <c r="AZ36" i="33" s="1"/>
  <c r="BP15" i="33" a="1"/>
  <c r="BP15" i="33" s="1"/>
  <c r="AZ142" i="33" a="1"/>
  <c r="AZ142" i="33" s="1"/>
  <c r="CP79" i="33" a="1"/>
  <c r="CP79" i="33" s="1"/>
  <c r="AR24" i="33" a="1"/>
  <c r="AR24" i="33" s="1"/>
  <c r="BV149" i="33" a="1"/>
  <c r="BV149" i="33" s="1"/>
  <c r="CX90" i="33" a="1"/>
  <c r="CX90" i="33" s="1"/>
  <c r="CD53" i="33" a="1"/>
  <c r="CD53" i="33" s="1"/>
  <c r="AD82" i="33" a="1"/>
  <c r="AD82" i="33" s="1"/>
  <c r="CO152" i="33" a="1"/>
  <c r="CO152" i="33" s="1"/>
  <c r="AR76" i="33" a="1"/>
  <c r="AR76" i="33" s="1"/>
  <c r="BQ32" i="33" a="1"/>
  <c r="BQ32" i="33" s="1"/>
  <c r="AQ43" i="33" a="1"/>
  <c r="AQ43" i="33" s="1"/>
  <c r="V115" i="33" a="1"/>
  <c r="V115" i="33" s="1"/>
  <c r="BL150" i="33" a="1"/>
  <c r="BL150" i="33" s="1"/>
  <c r="BB115" i="33" a="1"/>
  <c r="BB115" i="33" s="1"/>
  <c r="BV158" i="33" a="1"/>
  <c r="BV158" i="33" s="1"/>
  <c r="AG77" i="33" a="1"/>
  <c r="AG77" i="33" s="1"/>
  <c r="AH28" i="33" a="1"/>
  <c r="AH28" i="33" s="1"/>
  <c r="BB39" i="33" a="1"/>
  <c r="BB39" i="33" s="1"/>
  <c r="CP115" i="33" a="1"/>
  <c r="CP115" i="33" s="1"/>
  <c r="BJ146" i="33" a="1"/>
  <c r="BJ146" i="33" s="1"/>
  <c r="CE126" i="33" a="1"/>
  <c r="CE126" i="33" s="1"/>
  <c r="AM62" i="33" a="1"/>
  <c r="AM62" i="33" s="1"/>
  <c r="BK55" i="33" a="1"/>
  <c r="BK55" i="33" s="1"/>
  <c r="BK43" i="33" a="1"/>
  <c r="BK43" i="33" s="1"/>
  <c r="BK112" i="33" a="1"/>
  <c r="BK112" i="33" s="1"/>
  <c r="CO15" i="33" a="1"/>
  <c r="CO15" i="33" s="1"/>
  <c r="W129" i="33" a="1"/>
  <c r="W129" i="33" s="1"/>
  <c r="AN76" i="33" a="1"/>
  <c r="AN76" i="33" s="1"/>
  <c r="BT146" i="33" a="1"/>
  <c r="BT146" i="33" s="1"/>
  <c r="BK72" i="33" a="1"/>
  <c r="BK72" i="33" s="1"/>
  <c r="CG135" i="33" a="1"/>
  <c r="CG135" i="33" s="1"/>
  <c r="BA44" i="33" a="1"/>
  <c r="BA44" i="33" s="1"/>
  <c r="BQ78" i="33" a="1"/>
  <c r="BQ78" i="33" s="1"/>
  <c r="CZ52" i="33" a="1"/>
  <c r="CZ52" i="33" s="1"/>
  <c r="AC106" i="33" a="1"/>
  <c r="AC106" i="33" s="1"/>
  <c r="AI27" i="33" a="1"/>
  <c r="AI27" i="33" s="1"/>
  <c r="CO36" i="33" a="1"/>
  <c r="CO36" i="33" s="1"/>
  <c r="AR17" i="33" a="1"/>
  <c r="AR17" i="33" s="1"/>
  <c r="BA79" i="33" a="1"/>
  <c r="BA79" i="33" s="1"/>
  <c r="BB24" i="33" a="1"/>
  <c r="BB24" i="33" s="1"/>
  <c r="BU151" i="33" a="1"/>
  <c r="BU151" i="33" s="1"/>
  <c r="W130" i="33" a="1"/>
  <c r="W130" i="33" s="1"/>
  <c r="BV34" i="33" a="1"/>
  <c r="BV34" i="33" s="1"/>
  <c r="X95" i="33" a="1"/>
  <c r="X95" i="33" s="1"/>
  <c r="AN144" i="33" a="1"/>
  <c r="AN144" i="33" s="1"/>
  <c r="AZ99" i="33" a="1"/>
  <c r="AZ99" i="33" s="1"/>
  <c r="CX156" i="33" a="1"/>
  <c r="CX156" i="33" s="1"/>
  <c r="AH135" i="33" a="1"/>
  <c r="AH135" i="33" s="1"/>
  <c r="BQ81" i="33" a="1"/>
  <c r="BQ81" i="33" s="1"/>
  <c r="CN39" i="33" a="1"/>
  <c r="CN39" i="33" s="1"/>
  <c r="AH146" i="33" a="1"/>
  <c r="AH146" i="33" s="1"/>
  <c r="CX94" i="33" a="1"/>
  <c r="CX94" i="33" s="1"/>
  <c r="CW56" i="33" a="1"/>
  <c r="CW56" i="33" s="1"/>
  <c r="AB63" i="33" a="1"/>
  <c r="AB63" i="33" s="1"/>
  <c r="AS97" i="33" a="1"/>
  <c r="AS97" i="33" s="1"/>
  <c r="BV117" i="33" a="1"/>
  <c r="BV117" i="33" s="1"/>
  <c r="CF113" i="33" a="1"/>
  <c r="CF113" i="33" s="1"/>
  <c r="BJ107" i="33" a="1"/>
  <c r="BJ107" i="33" s="1"/>
  <c r="AR145" i="33" a="1"/>
  <c r="AR145" i="33" s="1"/>
  <c r="BQ29" i="33" a="1"/>
  <c r="BQ29" i="33" s="1"/>
  <c r="BA57" i="33" a="1"/>
  <c r="BA57" i="33" s="1"/>
  <c r="BA108" i="33" a="1"/>
  <c r="BA108" i="33" s="1"/>
  <c r="CX146" i="33" a="1"/>
  <c r="CX146" i="33" s="1"/>
  <c r="W161" i="33" a="1"/>
  <c r="W161" i="33" s="1"/>
  <c r="BQ130" i="33" a="1"/>
  <c r="BQ130" i="33" s="1"/>
  <c r="BU94" i="33" a="1"/>
  <c r="BU94" i="33" s="1"/>
  <c r="CW82" i="33" a="1"/>
  <c r="CW82" i="33" s="1"/>
  <c r="BU32" i="33" a="1"/>
  <c r="BU32" i="33" s="1"/>
  <c r="CN116" i="33" a="1"/>
  <c r="CN116" i="33" s="1"/>
  <c r="CO48" i="33" a="1"/>
  <c r="CO48" i="33" s="1"/>
  <c r="CF87" i="33" a="1"/>
  <c r="CF87" i="33" s="1"/>
  <c r="BK90" i="33" a="1"/>
  <c r="BK90" i="33" s="1"/>
  <c r="D68" i="33" a="1"/>
  <c r="D68" i="33" s="1"/>
  <c r="AP26" i="33" a="1"/>
  <c r="AP26" i="33" s="1"/>
  <c r="CW22" i="33" a="1"/>
  <c r="CW22" i="33" s="1"/>
  <c r="BQ158" i="33" a="1"/>
  <c r="BQ158" i="33" s="1"/>
  <c r="BA87" i="33" a="1"/>
  <c r="BA87" i="33" s="1"/>
  <c r="BP144" i="33" a="1"/>
  <c r="BP144" i="33" s="1"/>
  <c r="W17" i="33" a="1"/>
  <c r="W17" i="33" s="1"/>
  <c r="CX155" i="33" a="1"/>
  <c r="CX155" i="33" s="1"/>
  <c r="AN43" i="33" a="1"/>
  <c r="AN43" i="33" s="1"/>
  <c r="CE130" i="33" a="1"/>
  <c r="CE130" i="33" s="1"/>
  <c r="BT23" i="33" a="1"/>
  <c r="BT23" i="33" s="1"/>
  <c r="BT110" i="33" a="1"/>
  <c r="BT110" i="33" s="1"/>
  <c r="AZ110" i="33" a="1"/>
  <c r="AZ110" i="33" s="1"/>
  <c r="CD56" i="33" a="1"/>
  <c r="CD56" i="33" s="1"/>
  <c r="AP95" i="33" a="1"/>
  <c r="AP95" i="33" s="1"/>
  <c r="AG70" i="33" a="1"/>
  <c r="AG70" i="33" s="1"/>
  <c r="W77" i="33" a="1"/>
  <c r="W77" i="33" s="1"/>
  <c r="CX91" i="33" a="1"/>
  <c r="CX91" i="33" s="1"/>
  <c r="AN131" i="33" a="1"/>
  <c r="AN131" i="33" s="1"/>
  <c r="BU137" i="33" a="1"/>
  <c r="BU137" i="33" s="1"/>
  <c r="CX92" i="33" a="1"/>
  <c r="CX92" i="33" s="1"/>
  <c r="BT145" i="33" a="1"/>
  <c r="BT145" i="33" s="1"/>
  <c r="V142" i="33" a="1"/>
  <c r="V142" i="33" s="1"/>
  <c r="CE84" i="33" a="1"/>
  <c r="CE84" i="33" s="1"/>
  <c r="AG101" i="33" a="1"/>
  <c r="AG101" i="33" s="1"/>
  <c r="AN88" i="33" a="1"/>
  <c r="AN88" i="33" s="1"/>
  <c r="BB122" i="33" a="1"/>
  <c r="BB122" i="33" s="1"/>
  <c r="BL108" i="33" a="1"/>
  <c r="BL108" i="33" s="1"/>
  <c r="AF91" i="33" a="1"/>
  <c r="AF91" i="33" s="1"/>
  <c r="CE56" i="33" a="1"/>
  <c r="CE56" i="33" s="1"/>
  <c r="CD121" i="33" a="1"/>
  <c r="CD121" i="33" s="1"/>
  <c r="CD36" i="33" a="1"/>
  <c r="CD36" i="33" s="1"/>
  <c r="AQ98" i="33" a="1"/>
  <c r="AQ98" i="33" s="1"/>
  <c r="BG31" i="33" a="1"/>
  <c r="BG31" i="33" s="1"/>
  <c r="AQ65" i="33" a="1"/>
  <c r="AQ65" i="33" s="1"/>
  <c r="BV130" i="33" a="1"/>
  <c r="BV130" i="33" s="1"/>
  <c r="AB97" i="33" a="1"/>
  <c r="AB97" i="33" s="1"/>
  <c r="CW48" i="33" a="1"/>
  <c r="CW48" i="33" s="1"/>
  <c r="CQ134" i="33" a="1"/>
  <c r="CQ134" i="33" s="1"/>
  <c r="AR112" i="33" a="1"/>
  <c r="AR112" i="33" s="1"/>
  <c r="AQ26" i="33" a="1"/>
  <c r="AQ26" i="33" s="1"/>
  <c r="BL26" i="33" a="1"/>
  <c r="BL26" i="33" s="1"/>
  <c r="BL82" i="33" a="1"/>
  <c r="BL82" i="33" s="1"/>
  <c r="CF50" i="33" a="1"/>
  <c r="CF50" i="33" s="1"/>
  <c r="CB81" i="33" a="1"/>
  <c r="CB81" i="33" s="1"/>
  <c r="CZ68" i="33" a="1"/>
  <c r="CZ68" i="33" s="1"/>
  <c r="BQ159" i="33" a="1"/>
  <c r="BQ159" i="33" s="1"/>
  <c r="BK48" i="33" a="1"/>
  <c r="BK48" i="33" s="1"/>
  <c r="BL155" i="33" a="1"/>
  <c r="BL155" i="33" s="1"/>
  <c r="BB42" i="33" a="1"/>
  <c r="BB42" i="33" s="1"/>
  <c r="BT31" i="33" a="1"/>
  <c r="BT31" i="33" s="1"/>
  <c r="V140" i="33" a="1"/>
  <c r="V140" i="33" s="1"/>
  <c r="CN133" i="33" a="1"/>
  <c r="CN133" i="33" s="1"/>
  <c r="AH20" i="33" a="1"/>
  <c r="AH20" i="33" s="1"/>
  <c r="BG21" i="33" a="1"/>
  <c r="BG21" i="33" s="1"/>
  <c r="AF57" i="33" a="1"/>
  <c r="AF57" i="33" s="1"/>
  <c r="CF28" i="33" a="1"/>
  <c r="CF28" i="33" s="1"/>
  <c r="AP120" i="33" a="1"/>
  <c r="AP120" i="33" s="1"/>
  <c r="AZ107" i="33" a="1"/>
  <c r="AZ107" i="33" s="1"/>
  <c r="AF46" i="33" a="1"/>
  <c r="AF46" i="33" s="1"/>
  <c r="X126" i="33" a="1"/>
  <c r="X126" i="33" s="1"/>
  <c r="BT24" i="33" a="1"/>
  <c r="BT24" i="33" s="1"/>
  <c r="BB130" i="33" a="1"/>
  <c r="BB130" i="33" s="1"/>
  <c r="BQ84" i="33" a="1"/>
  <c r="BQ84" i="33" s="1"/>
  <c r="BH105" i="33" a="1"/>
  <c r="BH105" i="33" s="1"/>
  <c r="AS145" i="33" a="1"/>
  <c r="AS145" i="33" s="1"/>
  <c r="AQ74" i="33" a="1"/>
  <c r="AQ74" i="33" s="1"/>
  <c r="CQ105" i="33" a="1"/>
  <c r="CQ105" i="33" s="1"/>
  <c r="CN50" i="33" a="1"/>
  <c r="CN50" i="33" s="1"/>
  <c r="X36" i="33" a="1"/>
  <c r="X36" i="33" s="1"/>
  <c r="BL103" i="33" a="1"/>
  <c r="BL103" i="33" s="1"/>
  <c r="BK38" i="33" a="1"/>
  <c r="BK38" i="33" s="1"/>
  <c r="BB78" i="33" a="1"/>
  <c r="BB78" i="33" s="1"/>
  <c r="AW89" i="33" a="1"/>
  <c r="AW89" i="33" s="1"/>
  <c r="AG143" i="33" a="1"/>
  <c r="AG143" i="33" s="1"/>
  <c r="BB81" i="33" a="1"/>
  <c r="BB81" i="33" s="1"/>
  <c r="AZ48" i="33" a="1"/>
  <c r="AZ48" i="33" s="1"/>
  <c r="BL87" i="33" a="1"/>
  <c r="BL87" i="33" s="1"/>
  <c r="CD84" i="33" a="1"/>
  <c r="CD84" i="33" s="1"/>
  <c r="AN155" i="33" a="1"/>
  <c r="AN155" i="33" s="1"/>
  <c r="BA51" i="33" a="1"/>
  <c r="BA51" i="33" s="1"/>
  <c r="BU132" i="33" a="1"/>
  <c r="BU132" i="33" s="1"/>
  <c r="CY103" i="33" a="1"/>
  <c r="CY103" i="33" s="1"/>
  <c r="BL122" i="33" a="1"/>
  <c r="BL122" i="33" s="1"/>
  <c r="W15" i="33" a="1"/>
  <c r="W15" i="33" s="1"/>
  <c r="BK161" i="33" a="1"/>
  <c r="BK161" i="33" s="1"/>
  <c r="D109" i="33" a="1"/>
  <c r="D109" i="33" s="1"/>
  <c r="AM117" i="33" a="1"/>
  <c r="AM117" i="33" s="1"/>
  <c r="BU135" i="33" a="1"/>
  <c r="BU135" i="33" s="1"/>
  <c r="BA38" i="33" a="1"/>
  <c r="BA38" i="33" s="1"/>
  <c r="AH104" i="33" a="1"/>
  <c r="AH104" i="33" s="1"/>
  <c r="AR100" i="33" a="1"/>
  <c r="AR100" i="33" s="1"/>
  <c r="CD63" i="33" a="1"/>
  <c r="CD63" i="33" s="1"/>
  <c r="CP153" i="33" a="1"/>
  <c r="CP153" i="33" s="1"/>
  <c r="AZ65" i="33" a="1"/>
  <c r="AZ65" i="33" s="1"/>
  <c r="BU82" i="33" a="1"/>
  <c r="BU82" i="33" s="1"/>
  <c r="BA89" i="33" a="1"/>
  <c r="BA89" i="33" s="1"/>
  <c r="BB144" i="33" a="1"/>
  <c r="BB144" i="33" s="1"/>
  <c r="W131" i="33" a="1"/>
  <c r="W131" i="33" s="1"/>
  <c r="BJ111" i="33" a="1"/>
  <c r="BJ111" i="33" s="1"/>
  <c r="CB40" i="33" a="1"/>
  <c r="CB40" i="33" s="1"/>
  <c r="AZ136" i="33" a="1"/>
  <c r="AZ136" i="33" s="1"/>
  <c r="BJ80" i="33" a="1"/>
  <c r="BJ80" i="33" s="1"/>
  <c r="AZ120" i="33" a="1"/>
  <c r="AZ120" i="33" s="1"/>
  <c r="AP67" i="33" a="1"/>
  <c r="AP67" i="33" s="1"/>
  <c r="CO99" i="33" a="1"/>
  <c r="CO99" i="33" s="1"/>
  <c r="BP48" i="33" a="1"/>
  <c r="BP48" i="33" s="1"/>
  <c r="AQ62" i="33" a="1"/>
  <c r="AQ62" i="33" s="1"/>
  <c r="CX60" i="33" a="1"/>
  <c r="CX60" i="33" s="1"/>
  <c r="CW90" i="33" a="1"/>
  <c r="CW90" i="33" s="1"/>
  <c r="AF81" i="33" a="1"/>
  <c r="AF81" i="33" s="1"/>
  <c r="AQ57" i="33" a="1"/>
  <c r="AQ57" i="33" s="1"/>
  <c r="BB141" i="33" a="1"/>
  <c r="BB141" i="33" s="1"/>
  <c r="BU120" i="33" a="1"/>
  <c r="BU120" i="33" s="1"/>
  <c r="CE138" i="33" a="1"/>
  <c r="CE138" i="33" s="1"/>
  <c r="CN161" i="33" a="1"/>
  <c r="CN161" i="33" s="1"/>
  <c r="BR142" i="33" a="1"/>
  <c r="BR142" i="33" s="1"/>
  <c r="W87" i="33" a="1"/>
  <c r="W87" i="33" s="1"/>
  <c r="AN14" i="33" a="1"/>
  <c r="AN14" i="33" s="1"/>
  <c r="CE150" i="33" a="1"/>
  <c r="CE150" i="33" s="1"/>
  <c r="AP144" i="33" a="1"/>
  <c r="AP144" i="33" s="1"/>
  <c r="BT53" i="33" a="1"/>
  <c r="BT53" i="33" s="1"/>
  <c r="BJ74" i="33" a="1"/>
  <c r="BJ74" i="33" s="1"/>
  <c r="BR107" i="33" a="1"/>
  <c r="BR107" i="33" s="1"/>
  <c r="AQ63" i="33" a="1"/>
  <c r="AQ63" i="33" s="1"/>
  <c r="BB148" i="33" a="1"/>
  <c r="BB148" i="33" s="1"/>
  <c r="CD129" i="33" a="1"/>
  <c r="CD129" i="33" s="1"/>
  <c r="BT143" i="33" a="1"/>
  <c r="BT143" i="33" s="1"/>
  <c r="V48" i="33" a="1"/>
  <c r="V48" i="33" s="1"/>
  <c r="CN109" i="33" a="1"/>
  <c r="CN109" i="33" s="1"/>
  <c r="AR125" i="33" a="1"/>
  <c r="AR125" i="33" s="1"/>
  <c r="CX57" i="33" a="1"/>
  <c r="CX57" i="33" s="1"/>
  <c r="BJ47" i="33" a="1"/>
  <c r="BJ47" i="33" s="1"/>
  <c r="BT107" i="33" a="1"/>
  <c r="BT107" i="33" s="1"/>
  <c r="BT114" i="33" a="1"/>
  <c r="BT114" i="33" s="1"/>
  <c r="AP118" i="33" a="1"/>
  <c r="AP118" i="33" s="1"/>
  <c r="W89" i="33" a="1"/>
  <c r="W89" i="33" s="1"/>
  <c r="BJ46" i="33" a="1"/>
  <c r="BJ46" i="33" s="1"/>
  <c r="CC120" i="33" a="1"/>
  <c r="CC120" i="33" s="1"/>
  <c r="X156" i="33" a="1"/>
  <c r="X156" i="33" s="1"/>
  <c r="D126" i="33" a="1"/>
  <c r="D126" i="33" s="1"/>
  <c r="W29" i="33" a="1"/>
  <c r="W29" i="33" s="1"/>
  <c r="CD123" i="33" a="1"/>
  <c r="CD123" i="33" s="1"/>
  <c r="W65" i="33" a="1"/>
  <c r="W65" i="33" s="1"/>
  <c r="CZ78" i="33" a="1"/>
  <c r="CZ78" i="33" s="1"/>
  <c r="CD124" i="33" a="1"/>
  <c r="CD124" i="33" s="1"/>
  <c r="CY36" i="33" a="1"/>
  <c r="CY36" i="33" s="1"/>
  <c r="BK58" i="33" a="1"/>
  <c r="BK58" i="33" s="1"/>
  <c r="AB20" i="33" a="1"/>
  <c r="AB20" i="33" s="1"/>
  <c r="AH111" i="33" a="1"/>
  <c r="AH111" i="33" s="1"/>
  <c r="AR131" i="33" a="1"/>
  <c r="AR131" i="33" s="1"/>
  <c r="AQ150" i="33" a="1"/>
  <c r="AQ150" i="33" s="1"/>
  <c r="CY111" i="33" a="1"/>
  <c r="CY111" i="33" s="1"/>
  <c r="AP139" i="33" a="1"/>
  <c r="AP139" i="33" s="1"/>
  <c r="W71" i="33" a="1"/>
  <c r="W71" i="33" s="1"/>
  <c r="AH138" i="33" a="1"/>
  <c r="AH138" i="33" s="1"/>
  <c r="BL65" i="33" a="1"/>
  <c r="BL65" i="33" s="1"/>
  <c r="CO156" i="33" a="1"/>
  <c r="CO156" i="33" s="1"/>
  <c r="CF64" i="33" a="1"/>
  <c r="CF64" i="33" s="1"/>
  <c r="CZ152" i="33" a="1"/>
  <c r="CZ152" i="33" s="1"/>
  <c r="AM115" i="33" a="1"/>
  <c r="AM115" i="33" s="1"/>
  <c r="BU54" i="33" a="1"/>
  <c r="BU54" i="33" s="1"/>
  <c r="AH58" i="33" a="1"/>
  <c r="AH58" i="33" s="1"/>
  <c r="CN81" i="33" a="1"/>
  <c r="CN81" i="33" s="1"/>
  <c r="AN160" i="33" a="1"/>
  <c r="AN160" i="33" s="1"/>
  <c r="D48" i="33" a="1"/>
  <c r="D48" i="33" s="1"/>
  <c r="BV161" i="33" a="1"/>
  <c r="BV161" i="33" s="1"/>
  <c r="CX62" i="33" a="1"/>
  <c r="CX62" i="33" s="1"/>
  <c r="AR36" i="33" a="1"/>
  <c r="AR36" i="33" s="1"/>
  <c r="AF141" i="33" a="1"/>
  <c r="AF141" i="33" s="1"/>
  <c r="AN130" i="33" a="1"/>
  <c r="AN130" i="33" s="1"/>
  <c r="CN79" i="33" a="1"/>
  <c r="CN79" i="33" s="1"/>
  <c r="AH37" i="33" a="1"/>
  <c r="AH37" i="33" s="1"/>
  <c r="AR77" i="33" a="1"/>
  <c r="AR77" i="33" s="1"/>
  <c r="AM50" i="33" a="1"/>
  <c r="AM50" i="33" s="1"/>
  <c r="BC67" i="33" a="1"/>
  <c r="BC67" i="33" s="1"/>
  <c r="AJ75" i="33" a="1"/>
  <c r="AJ75" i="33" s="1"/>
  <c r="Y143" i="33" a="1"/>
  <c r="Y143" i="33" s="1"/>
  <c r="BD95" i="33" a="1"/>
  <c r="BD95" i="33" s="1"/>
  <c r="BB85" i="33" a="1"/>
  <c r="BB85" i="33" s="1"/>
  <c r="BG97" i="33" a="1"/>
  <c r="BG97" i="33" s="1"/>
  <c r="AM69" i="33" a="1"/>
  <c r="AM69" i="33" s="1"/>
  <c r="CP93" i="33" a="1"/>
  <c r="CP93" i="33" s="1"/>
  <c r="AZ21" i="33" a="1"/>
  <c r="AZ21" i="33" s="1"/>
  <c r="AC158" i="33" a="1"/>
  <c r="AC158" i="33" s="1"/>
  <c r="CY158" i="33" a="1"/>
  <c r="CY158" i="33" s="1"/>
  <c r="CY42" i="33" a="1"/>
  <c r="CY42" i="33" s="1"/>
  <c r="AP91" i="33" a="1"/>
  <c r="AP91" i="33" s="1"/>
  <c r="AF108" i="33" a="1"/>
  <c r="AF108" i="33" s="1"/>
  <c r="AM16" i="33" a="1"/>
  <c r="AM16" i="33" s="1"/>
  <c r="BP87" i="33" a="1"/>
  <c r="BP87" i="33" s="1"/>
  <c r="D77" i="33" a="1"/>
  <c r="D77" i="33" s="1"/>
  <c r="BU47" i="33" a="1"/>
  <c r="BU47" i="33" s="1"/>
  <c r="X149" i="33" a="1"/>
  <c r="X149" i="33" s="1"/>
  <c r="CD14" i="33" a="1"/>
  <c r="CD14" i="33" s="1"/>
  <c r="CD34" i="33" a="1"/>
  <c r="CD34" i="33" s="1"/>
  <c r="AM106" i="33" a="1"/>
  <c r="AM106" i="33" s="1"/>
  <c r="X129" i="33" a="1"/>
  <c r="X129" i="33" s="1"/>
  <c r="AQ44" i="33" a="1"/>
  <c r="AQ44" i="33" s="1"/>
  <c r="CY123" i="33" a="1"/>
  <c r="CY123" i="33" s="1"/>
  <c r="BU112" i="33" a="1"/>
  <c r="BU112" i="33" s="1"/>
  <c r="CY74" i="33" a="1"/>
  <c r="CY74" i="33" s="1"/>
  <c r="AC58" i="33" a="1"/>
  <c r="AC58" i="33" s="1"/>
  <c r="AP66" i="33" a="1"/>
  <c r="AP66" i="33" s="1"/>
  <c r="BB62" i="33" a="1"/>
  <c r="BB62" i="33" s="1"/>
  <c r="D120" i="33" a="1"/>
  <c r="D120" i="33" s="1"/>
  <c r="BG84" i="33" a="1"/>
  <c r="BG84" i="33" s="1"/>
  <c r="W158" i="33" a="1"/>
  <c r="W158" i="33" s="1"/>
  <c r="BT120" i="33" a="1"/>
  <c r="BT120" i="33" s="1"/>
  <c r="BT156" i="33" a="1"/>
  <c r="BT156" i="33" s="1"/>
  <c r="V90" i="33" a="1"/>
  <c r="V90" i="33" s="1"/>
  <c r="CO66" i="33" a="1"/>
  <c r="CO66" i="33" s="1"/>
  <c r="CP33" i="33" a="1"/>
  <c r="CP33" i="33" s="1"/>
  <c r="BA63" i="33" a="1"/>
  <c r="BA63" i="33" s="1"/>
  <c r="BB54" i="33" a="1"/>
  <c r="BB54" i="33" s="1"/>
  <c r="CO40" i="33" a="1"/>
  <c r="CO40" i="33" s="1"/>
  <c r="AF64" i="33" a="1"/>
  <c r="AF64" i="33" s="1"/>
  <c r="CD65" i="33" a="1"/>
  <c r="CD65" i="33" s="1"/>
  <c r="CN144" i="33" a="1"/>
  <c r="CN144" i="33" s="1"/>
  <c r="CO95" i="33" a="1"/>
  <c r="CO95" i="33" s="1"/>
  <c r="BA40" i="33" a="1"/>
  <c r="BA40" i="33" s="1"/>
  <c r="BJ155" i="33" a="1"/>
  <c r="BJ155" i="33" s="1"/>
  <c r="BI124" i="33" a="1"/>
  <c r="BI124" i="33" s="1"/>
  <c r="BT138" i="33" a="1"/>
  <c r="BT138" i="33" s="1"/>
  <c r="CE29" i="33" a="1"/>
  <c r="CE29" i="33" s="1"/>
  <c r="BT118" i="33" a="1"/>
  <c r="BT118" i="33" s="1"/>
  <c r="BK60" i="33" a="1"/>
  <c r="BK60" i="33" s="1"/>
  <c r="CX39" i="33" a="1"/>
  <c r="CX39" i="33" s="1"/>
  <c r="CX147" i="33" a="1"/>
  <c r="CX147" i="33" s="1"/>
  <c r="CO155" i="33" a="1"/>
  <c r="CO155" i="33" s="1"/>
  <c r="BT101" i="33" a="1"/>
  <c r="BT101" i="33" s="1"/>
  <c r="BP74" i="33" a="1"/>
  <c r="BP74" i="33" s="1"/>
  <c r="AP40" i="33" a="1"/>
  <c r="AP40" i="33" s="1"/>
  <c r="CB100" i="33" a="1"/>
  <c r="CB100" i="33" s="1"/>
  <c r="AF138" i="33" a="1"/>
  <c r="AF138" i="33" s="1"/>
  <c r="CE83" i="33" a="1"/>
  <c r="CE83" i="33" s="1"/>
  <c r="BJ21" i="33" a="1"/>
  <c r="BJ21" i="33" s="1"/>
  <c r="AN83" i="33" a="1"/>
  <c r="AN83" i="33" s="1"/>
  <c r="BJ32" i="33" a="1"/>
  <c r="BJ32" i="33" s="1"/>
  <c r="CN19" i="33" a="1"/>
  <c r="CN19" i="33" s="1"/>
  <c r="BP35" i="33" a="1"/>
  <c r="BP35" i="33" s="1"/>
  <c r="CN92" i="33" a="1"/>
  <c r="CN92" i="33" s="1"/>
  <c r="AZ66" i="33" a="1"/>
  <c r="AZ66" i="33" s="1"/>
  <c r="AB99" i="33" a="1"/>
  <c r="AB99" i="33" s="1"/>
  <c r="AP51" i="33" a="1"/>
  <c r="AP51" i="33" s="1"/>
  <c r="BT159" i="33" a="1"/>
  <c r="BT159" i="33" s="1"/>
  <c r="CW45" i="33" a="1"/>
  <c r="CW45" i="33" s="1"/>
  <c r="V36" i="33" a="1"/>
  <c r="V36" i="33" s="1"/>
  <c r="CL127" i="33" a="1"/>
  <c r="CL127" i="33" s="1"/>
  <c r="CE57" i="33" a="1"/>
  <c r="CE57" i="33" s="1"/>
  <c r="BA112" i="33" a="1"/>
  <c r="BA112" i="33" s="1"/>
  <c r="AZ18" i="33" a="1"/>
  <c r="AZ18" i="33" s="1"/>
  <c r="AB128" i="33" a="1"/>
  <c r="AB128" i="33" s="1"/>
  <c r="AP124" i="33" a="1"/>
  <c r="AP124" i="33" s="1"/>
  <c r="X134" i="33" a="1"/>
  <c r="X134" i="33" s="1"/>
  <c r="BL107" i="33" a="1"/>
  <c r="BL107" i="33" s="1"/>
  <c r="BU100" i="33" a="1"/>
  <c r="BU100" i="33" s="1"/>
  <c r="CE28" i="33" a="1"/>
  <c r="CE28" i="33" s="1"/>
  <c r="CX52" i="33" a="1"/>
  <c r="CX52" i="33" s="1"/>
  <c r="CZ93" i="33" a="1"/>
  <c r="CZ93" i="33" s="1"/>
  <c r="AG42" i="33" a="1"/>
  <c r="AG42" i="33" s="1"/>
  <c r="BG142" i="33" a="1"/>
  <c r="BG142" i="33" s="1"/>
  <c r="AR15" i="33" a="1"/>
  <c r="AR15" i="33" s="1"/>
  <c r="BT94" i="33" a="1"/>
  <c r="BT94" i="33" s="1"/>
  <c r="BJ66" i="33" a="1"/>
  <c r="BJ66" i="33" s="1"/>
  <c r="AI40" i="33" a="1"/>
  <c r="AI40" i="33" s="1"/>
  <c r="W33" i="33" a="1"/>
  <c r="W33" i="33" s="1"/>
  <c r="CZ63" i="33" a="1"/>
  <c r="CZ63" i="33" s="1"/>
  <c r="X142" i="33" a="1"/>
  <c r="X142" i="33" s="1"/>
  <c r="BV140" i="33" a="1"/>
  <c r="BV140" i="33" s="1"/>
  <c r="CP89" i="33" a="1"/>
  <c r="CP89" i="33" s="1"/>
  <c r="AG78" i="33" a="1"/>
  <c r="AG78" i="33" s="1"/>
  <c r="AQ90" i="33" a="1"/>
  <c r="AQ90" i="33" s="1"/>
  <c r="AG85" i="33" a="1"/>
  <c r="AG85" i="33" s="1"/>
  <c r="CZ54" i="33" a="1"/>
  <c r="CZ54" i="33" s="1"/>
  <c r="AM95" i="33" a="1"/>
  <c r="AM95" i="33" s="1"/>
  <c r="AR23" i="33" a="1"/>
  <c r="AR23" i="33" s="1"/>
  <c r="AW75" i="33" a="1"/>
  <c r="AW75" i="33" s="1"/>
  <c r="AB116" i="33" a="1"/>
  <c r="AB116" i="33" s="1"/>
  <c r="AZ57" i="33" a="1"/>
  <c r="AZ57" i="33" s="1"/>
  <c r="AR26" i="33" a="1"/>
  <c r="AR26" i="33" s="1"/>
  <c r="AH159" i="33" a="1"/>
  <c r="AH159" i="33" s="1"/>
  <c r="AR150" i="33" a="1"/>
  <c r="AR150" i="33" s="1"/>
  <c r="AZ153" i="33" a="1"/>
  <c r="AZ153" i="33" s="1"/>
  <c r="CX77" i="33" a="1"/>
  <c r="CX77" i="33" s="1"/>
  <c r="CD59" i="33" a="1"/>
  <c r="CD59" i="33" s="1"/>
  <c r="BU30" i="33" a="1"/>
  <c r="BU30" i="33" s="1"/>
  <c r="CX35" i="33" a="1"/>
  <c r="CX35" i="33" s="1"/>
  <c r="AQ145" i="33" a="1"/>
  <c r="AQ145" i="33" s="1"/>
  <c r="BB21" i="33" a="1"/>
  <c r="BB21" i="33" s="1"/>
  <c r="CN126" i="33" a="1"/>
  <c r="CN126" i="33" s="1"/>
  <c r="AW25" i="33" a="1"/>
  <c r="AW25" i="33" s="1"/>
  <c r="Y158" i="33" a="1"/>
  <c r="Y158" i="33" s="1"/>
  <c r="AT147" i="33" a="1"/>
  <c r="AT147" i="33" s="1"/>
  <c r="Y81" i="33" a="1"/>
  <c r="Y81" i="33" s="1"/>
  <c r="BL118" i="33" a="1"/>
  <c r="BL118" i="33" s="1"/>
  <c r="BV144" i="33" a="1"/>
  <c r="BV144" i="33" s="1"/>
  <c r="BL86" i="33" a="1"/>
  <c r="BL86" i="33" s="1"/>
  <c r="BL119" i="33" a="1"/>
  <c r="BL119" i="33" s="1"/>
  <c r="BA150" i="33" a="1"/>
  <c r="BA150" i="33" s="1"/>
  <c r="CN148" i="33" a="1"/>
  <c r="CN148" i="33" s="1"/>
  <c r="AR141" i="33" a="1"/>
  <c r="AR141" i="33" s="1"/>
  <c r="BT59" i="33" a="1"/>
  <c r="BT59" i="33" s="1"/>
  <c r="AQ117" i="33" a="1"/>
  <c r="AQ117" i="33" s="1"/>
  <c r="W56" i="33" a="1"/>
  <c r="W56" i="33" s="1"/>
  <c r="BL21" i="33" a="1"/>
  <c r="BL21" i="33" s="1"/>
  <c r="AN147" i="33" a="1"/>
  <c r="AN147" i="33" s="1"/>
  <c r="CY98" i="33" a="1"/>
  <c r="CY98" i="33" s="1"/>
  <c r="BJ39" i="33" a="1"/>
  <c r="BJ39" i="33" s="1"/>
  <c r="BA160" i="33" a="1"/>
  <c r="BA160" i="33" s="1"/>
  <c r="CO96" i="33" a="1"/>
  <c r="CO96" i="33" s="1"/>
  <c r="BK131" i="33" a="1"/>
  <c r="BK131" i="33" s="1"/>
  <c r="CY95" i="33" a="1"/>
  <c r="CY95" i="33" s="1"/>
  <c r="AG81" i="33" a="1"/>
  <c r="AG81" i="33" s="1"/>
  <c r="BB107" i="33" a="1"/>
  <c r="BB107" i="33" s="1"/>
  <c r="X143" i="33" a="1"/>
  <c r="X143" i="33" s="1"/>
  <c r="CF127" i="33" a="1"/>
  <c r="CF127" i="33" s="1"/>
  <c r="AH106" i="33" a="1"/>
  <c r="AH106" i="33" s="1"/>
  <c r="AW43" i="33" a="1"/>
  <c r="AW43" i="33" s="1"/>
  <c r="CO111" i="33" a="1"/>
  <c r="CO111" i="33" s="1"/>
  <c r="V136" i="33" a="1"/>
  <c r="V136" i="33" s="1"/>
  <c r="BP46" i="33" a="1"/>
  <c r="BP46" i="33" s="1"/>
  <c r="CE58" i="33" a="1"/>
  <c r="CE58" i="33" s="1"/>
  <c r="AQ82" i="33" a="1"/>
  <c r="AQ82" i="33" s="1"/>
  <c r="AF40" i="33" a="1"/>
  <c r="AF40" i="33" s="1"/>
  <c r="BG139" i="33" a="1"/>
  <c r="BG139" i="33" s="1"/>
  <c r="BG154" i="33" a="1"/>
  <c r="BG154" i="33" s="1"/>
  <c r="CO76" i="33" a="1"/>
  <c r="CO76" i="33" s="1"/>
  <c r="CX145" i="33" a="1"/>
  <c r="CX145" i="33" s="1"/>
  <c r="CE97" i="33" a="1"/>
  <c r="CE97" i="33" s="1"/>
  <c r="CN64" i="33" a="1"/>
  <c r="CN64" i="33" s="1"/>
  <c r="BK118" i="33" a="1"/>
  <c r="BK118" i="33" s="1"/>
  <c r="BT124" i="33" a="1"/>
  <c r="BT124" i="33" s="1"/>
  <c r="AR149" i="33" a="1"/>
  <c r="AR149" i="33" s="1"/>
  <c r="BV60" i="33" a="1"/>
  <c r="BV60" i="33" s="1"/>
  <c r="CX119" i="33" a="1"/>
  <c r="CX119" i="33" s="1"/>
  <c r="CY30" i="33" a="1"/>
  <c r="CY30" i="33" s="1"/>
  <c r="BS84" i="33" a="1"/>
  <c r="BS84" i="33" s="1"/>
  <c r="AZ127" i="33" a="1"/>
  <c r="AZ127" i="33" s="1"/>
  <c r="BP37" i="33" a="1"/>
  <c r="BP37" i="33" s="1"/>
  <c r="AF49" i="33" a="1"/>
  <c r="AF49" i="33" s="1"/>
  <c r="CD106" i="33" a="1"/>
  <c r="CD106" i="33" s="1"/>
  <c r="V91" i="33" a="1"/>
  <c r="V91" i="33" s="1"/>
  <c r="AL72" i="33" a="1"/>
  <c r="AL72" i="33" s="1"/>
  <c r="CY90" i="33" a="1"/>
  <c r="CY90" i="33" s="1"/>
  <c r="AP143" i="33" a="1"/>
  <c r="AP143" i="33" s="1"/>
  <c r="CE73" i="33" a="1"/>
  <c r="CE73" i="33" s="1"/>
  <c r="CN36" i="33" a="1"/>
  <c r="CN36" i="33" s="1"/>
  <c r="W83" i="33" a="1"/>
  <c r="W83" i="33" s="1"/>
  <c r="BJ130" i="33" a="1"/>
  <c r="BJ130" i="33" s="1"/>
  <c r="CE136" i="33" a="1"/>
  <c r="CE136" i="33" s="1"/>
  <c r="AZ103" i="33" a="1"/>
  <c r="AZ103" i="33" s="1"/>
  <c r="BP125" i="33" a="1"/>
  <c r="BP125" i="33" s="1"/>
  <c r="CN54" i="33" a="1"/>
  <c r="CN54" i="33" s="1"/>
  <c r="CX101" i="33" a="1"/>
  <c r="CX101" i="33" s="1"/>
  <c r="CD127" i="33" a="1"/>
  <c r="CD127" i="33" s="1"/>
  <c r="AP129" i="33" a="1"/>
  <c r="AP129" i="33" s="1"/>
  <c r="AF98" i="33" a="1"/>
  <c r="AF98" i="33" s="1"/>
  <c r="BI39" i="33" a="1"/>
  <c r="BI39" i="33" s="1"/>
  <c r="AH85" i="33" a="1"/>
  <c r="AH85" i="33" s="1"/>
  <c r="CD110" i="33" a="1"/>
  <c r="CD110" i="33" s="1"/>
  <c r="BJ136" i="33" a="1"/>
  <c r="BJ136" i="33" s="1"/>
  <c r="AB19" i="33" a="1"/>
  <c r="AB19" i="33" s="1"/>
  <c r="BT50" i="33" a="1"/>
  <c r="BT50" i="33" s="1"/>
  <c r="BT38" i="33" a="1"/>
  <c r="BT38" i="33" s="1"/>
  <c r="AP125" i="33" a="1"/>
  <c r="AP125" i="33" s="1"/>
  <c r="AB155" i="33" a="1"/>
  <c r="AB155" i="33" s="1"/>
  <c r="CC128" i="33" a="1"/>
  <c r="CC128" i="33" s="1"/>
  <c r="AN41" i="33" a="1"/>
  <c r="AN41" i="33" s="1"/>
  <c r="AP15" i="33" a="1"/>
  <c r="AP15" i="33" s="1"/>
  <c r="BJ51" i="33" a="1"/>
  <c r="BJ51" i="33" s="1"/>
  <c r="BJ140" i="33" a="1"/>
  <c r="BJ140" i="33" s="1"/>
  <c r="CW24" i="33" a="1"/>
  <c r="CW24" i="33" s="1"/>
  <c r="X29" i="33" a="1"/>
  <c r="X29" i="33" s="1"/>
  <c r="CN89" i="33" a="1"/>
  <c r="CN89" i="33" s="1"/>
  <c r="CW37" i="33" a="1"/>
  <c r="CW37" i="33" s="1"/>
  <c r="BT106" i="33" a="1"/>
  <c r="BT106" i="33" s="1"/>
  <c r="BT112" i="33" a="1"/>
  <c r="BT112" i="33" s="1"/>
  <c r="CX84" i="33" a="1"/>
  <c r="CX84" i="33" s="1"/>
  <c r="CC33" i="33" a="1"/>
  <c r="CC33" i="33" s="1"/>
  <c r="X51" i="33" a="1"/>
  <c r="X51" i="33" s="1"/>
  <c r="CD40" i="33" a="1"/>
  <c r="CD40" i="33" s="1"/>
  <c r="AP82" i="33" a="1"/>
  <c r="AP82" i="33" s="1"/>
  <c r="CC39" i="33" a="1"/>
  <c r="CC39" i="33" s="1"/>
  <c r="CO59" i="33" a="1"/>
  <c r="CO59" i="33" s="1"/>
  <c r="D153" i="33" a="1"/>
  <c r="D153" i="33" s="1"/>
  <c r="AZ28" i="33" a="1"/>
  <c r="AZ28" i="33" s="1"/>
  <c r="CN119" i="33" a="1"/>
  <c r="CN119" i="33" s="1"/>
  <c r="AG158" i="33" a="1"/>
  <c r="AG158" i="33" s="1"/>
  <c r="BP16" i="33" a="1"/>
  <c r="BP16" i="33" s="1"/>
  <c r="CB111" i="33" a="1"/>
  <c r="CB111" i="33" s="1"/>
  <c r="BL130" i="33" a="1"/>
  <c r="BL130" i="33" s="1"/>
  <c r="AN59" i="33" a="1"/>
  <c r="AN59" i="33" s="1"/>
  <c r="BJ101" i="33" a="1"/>
  <c r="BJ101" i="33" s="1"/>
  <c r="AZ64" i="33" a="1"/>
  <c r="AZ64" i="33" s="1"/>
  <c r="AB136" i="33" a="1"/>
  <c r="AB136" i="33" s="1"/>
  <c r="CD42" i="33" a="1"/>
  <c r="CD42" i="33" s="1"/>
  <c r="AZ62" i="33" a="1"/>
  <c r="AZ62" i="33" s="1"/>
  <c r="W27" i="33" a="1"/>
  <c r="W27" i="33" s="1"/>
  <c r="BK121" i="33" a="1"/>
  <c r="BK121" i="33" s="1"/>
  <c r="BJ110" i="33" a="1"/>
  <c r="BJ110" i="33" s="1"/>
  <c r="CE59" i="33" a="1"/>
  <c r="CE59" i="33" s="1"/>
  <c r="CE90" i="33" a="1"/>
  <c r="CE90" i="33" s="1"/>
  <c r="BJ159" i="33" a="1"/>
  <c r="BJ159" i="33" s="1"/>
  <c r="CW159" i="33" a="1"/>
  <c r="CW159" i="33" s="1"/>
  <c r="CN73" i="33" a="1"/>
  <c r="CN73" i="33" s="1"/>
  <c r="AP20" i="33" a="1"/>
  <c r="AP20" i="33" s="1"/>
  <c r="BP86" i="33" a="1"/>
  <c r="BP86" i="33" s="1"/>
  <c r="AE44" i="33" a="1"/>
  <c r="AE44" i="33" s="1"/>
  <c r="CE82" i="33" a="1"/>
  <c r="CE82" i="33" s="1"/>
  <c r="CL106" i="33" a="1"/>
  <c r="CL106" i="33" s="1"/>
  <c r="CX85" i="33" a="1"/>
  <c r="CX85" i="33" s="1"/>
  <c r="CY120" i="33" a="1"/>
  <c r="CY120" i="33" s="1"/>
  <c r="BK65" i="33" a="1"/>
  <c r="BK65" i="33" s="1"/>
  <c r="AZ115" i="33" a="1"/>
  <c r="AZ115" i="33" s="1"/>
  <c r="BJ52" i="33" a="1"/>
  <c r="BJ52" i="33" s="1"/>
  <c r="AQ27" i="33" a="1"/>
  <c r="AQ27" i="33" s="1"/>
  <c r="AG44" i="33" a="1"/>
  <c r="AG44" i="33" s="1"/>
  <c r="AR73" i="33" a="1"/>
  <c r="AR73" i="33" s="1"/>
  <c r="X86" i="33" a="1"/>
  <c r="X86" i="33" s="1"/>
  <c r="X155" i="33" a="1"/>
  <c r="X155" i="33" s="1"/>
  <c r="AH130" i="33" a="1"/>
  <c r="AH130" i="33" s="1"/>
  <c r="CD80" i="33" a="1"/>
  <c r="CD80" i="33" s="1"/>
  <c r="CD70" i="33" a="1"/>
  <c r="CD70" i="33" s="1"/>
  <c r="AO155" i="33" a="1"/>
  <c r="AO155" i="33" s="1"/>
  <c r="CC17" i="33" a="1"/>
  <c r="CC17" i="33" s="1"/>
  <c r="BI54" i="33" a="1"/>
  <c r="BI54" i="33" s="1"/>
  <c r="CD146" i="33" a="1"/>
  <c r="CD146" i="33" s="1"/>
  <c r="AH25" i="33" a="1"/>
  <c r="AH25" i="33" s="1"/>
  <c r="BP133" i="33" a="1"/>
  <c r="BP133" i="33" s="1"/>
  <c r="BK53" i="33" a="1"/>
  <c r="BK53" i="33" s="1"/>
  <c r="BI31" i="33" a="1"/>
  <c r="BI31" i="33" s="1"/>
  <c r="AH22" i="33" a="1"/>
  <c r="AH22" i="33" s="1"/>
  <c r="AP97" i="33" a="1"/>
  <c r="AP97" i="33" s="1"/>
  <c r="AX142" i="33" a="1"/>
  <c r="AX142" i="33" s="1"/>
  <c r="CX133" i="33" a="1"/>
  <c r="CX133" i="33" s="1"/>
  <c r="AR109" i="33" a="1"/>
  <c r="AR109" i="33" s="1"/>
  <c r="AF157" i="33" a="1"/>
  <c r="AF157" i="33" s="1"/>
  <c r="CS54" i="33" a="1"/>
  <c r="CS54" i="33" s="1"/>
  <c r="AB24" i="33" a="1"/>
  <c r="AB24" i="33" s="1"/>
  <c r="AB39" i="33" a="1"/>
  <c r="AB39" i="33" s="1"/>
  <c r="CD135" i="33" a="1"/>
  <c r="CD135" i="33" s="1"/>
  <c r="BJ59" i="33" a="1"/>
  <c r="BJ59" i="33" s="1"/>
  <c r="CY79" i="33" a="1"/>
  <c r="CY79" i="33" s="1"/>
  <c r="BJ150" i="33" a="1"/>
  <c r="BJ150" i="33" s="1"/>
  <c r="AP75" i="33" a="1"/>
  <c r="AP75" i="33" s="1"/>
  <c r="AG136" i="33" a="1"/>
  <c r="AG136" i="33" s="1"/>
  <c r="AR140" i="33" a="1"/>
  <c r="AR140" i="33" s="1"/>
  <c r="BB123" i="33" a="1"/>
  <c r="BB123" i="33" s="1"/>
  <c r="BT33" i="33" a="1"/>
  <c r="BT33" i="33" s="1"/>
  <c r="AR30" i="33" a="1"/>
  <c r="AR30" i="33" s="1"/>
  <c r="AQ113" i="33" a="1"/>
  <c r="AQ113" i="33" s="1"/>
  <c r="CB129" i="33" a="1"/>
  <c r="CB129" i="33" s="1"/>
  <c r="W82" i="33" a="1"/>
  <c r="W82" i="33" s="1"/>
  <c r="AP27" i="33" a="1"/>
  <c r="AP27" i="33" s="1"/>
  <c r="AB100" i="33" a="1"/>
  <c r="AB100" i="33" s="1"/>
  <c r="CX115" i="33" a="1"/>
  <c r="CX115" i="33" s="1"/>
  <c r="BA54" i="33" a="1"/>
  <c r="BA54" i="33" s="1"/>
  <c r="AP62" i="33" a="1"/>
  <c r="AP62" i="33" s="1"/>
  <c r="AR118" i="33" a="1"/>
  <c r="AR118" i="33" s="1"/>
  <c r="AG95" i="33" a="1"/>
  <c r="AG95" i="33" s="1"/>
  <c r="CX64" i="33" a="1"/>
  <c r="CX64" i="33" s="1"/>
  <c r="AF145" i="33" a="1"/>
  <c r="AF145" i="33" s="1"/>
  <c r="BT36" i="33" a="1"/>
  <c r="BT36" i="33" s="1"/>
  <c r="BT132" i="33" a="1"/>
  <c r="BT132" i="33" s="1"/>
  <c r="CN87" i="33" a="1"/>
  <c r="CN87" i="33" s="1"/>
  <c r="CD78" i="33" a="1"/>
  <c r="CD78" i="33" s="1"/>
  <c r="AZ16" i="33" a="1"/>
  <c r="AZ16" i="33" s="1"/>
  <c r="CN56" i="33" a="1"/>
  <c r="CN56" i="33" s="1"/>
  <c r="BG151" i="33" a="1"/>
  <c r="BG151" i="33" s="1"/>
  <c r="CF117" i="33" a="1"/>
  <c r="CF117" i="33" s="1"/>
  <c r="BU64" i="33" a="1"/>
  <c r="BU64" i="33" s="1"/>
  <c r="AF68" i="33" a="1"/>
  <c r="AF68" i="33" s="1"/>
  <c r="CX131" i="33" a="1"/>
  <c r="CX131" i="33" s="1"/>
  <c r="BJ54" i="33" a="1"/>
  <c r="BJ54" i="33" s="1"/>
  <c r="AC104" i="33" a="1"/>
  <c r="AC104" i="33" s="1"/>
  <c r="V132" i="33" a="1"/>
  <c r="V132" i="33" s="1"/>
  <c r="AG138" i="33" a="1"/>
  <c r="AG138" i="33" s="1"/>
  <c r="CN158" i="33" a="1"/>
  <c r="CN158" i="33" s="1"/>
  <c r="BA62" i="33" a="1"/>
  <c r="BA62" i="33" s="1"/>
  <c r="CO148" i="33" a="1"/>
  <c r="CO148" i="33" s="1"/>
  <c r="CN160" i="33" a="1"/>
  <c r="CN160" i="33" s="1"/>
  <c r="W102" i="33" a="1"/>
  <c r="W102" i="33" s="1"/>
  <c r="CW26" i="33" a="1"/>
  <c r="CW26" i="33" s="1"/>
  <c r="V122" i="33" a="1"/>
  <c r="V122" i="33" s="1"/>
  <c r="BP41" i="33" a="1"/>
  <c r="BP41" i="33" s="1"/>
  <c r="CX129" i="33" a="1"/>
  <c r="CX129" i="33" s="1"/>
  <c r="CM145" i="33" a="1"/>
  <c r="CM145" i="33" s="1"/>
  <c r="AZ121" i="33" a="1"/>
  <c r="AZ121" i="33" s="1"/>
  <c r="W38" i="33" a="1"/>
  <c r="W38" i="33" s="1"/>
  <c r="BJ100" i="33" a="1"/>
  <c r="BJ100" i="33" s="1"/>
  <c r="BJ93" i="33" a="1"/>
  <c r="BJ93" i="33" s="1"/>
  <c r="BK46" i="33" a="1"/>
  <c r="BK46" i="33" s="1"/>
  <c r="AH45" i="33" a="1"/>
  <c r="AH45" i="33" s="1"/>
  <c r="AF18" i="33" a="1"/>
  <c r="AF18" i="33" s="1"/>
  <c r="AP63" i="33" a="1"/>
  <c r="AP63" i="33" s="1"/>
  <c r="AF76" i="33" a="1"/>
  <c r="AF76" i="33" s="1"/>
  <c r="AP94" i="33" a="1"/>
  <c r="AP94" i="33" s="1"/>
  <c r="CB160" i="33" a="1"/>
  <c r="CB160" i="33" s="1"/>
  <c r="AF31" i="33" a="1"/>
  <c r="AF31" i="33" s="1"/>
  <c r="W145" i="33" a="1"/>
  <c r="W145" i="33" s="1"/>
  <c r="BT97" i="33" a="1"/>
  <c r="BT97" i="33" s="1"/>
  <c r="CD109" i="33" a="1"/>
  <c r="CD109" i="33" s="1"/>
  <c r="AZ148" i="33" a="1"/>
  <c r="AZ148" i="33" s="1"/>
  <c r="CI63" i="33" a="1"/>
  <c r="CI63" i="33" s="1"/>
  <c r="CE61" i="33" a="1"/>
  <c r="CE61" i="33" s="1"/>
  <c r="CL123" i="33" a="1"/>
  <c r="CL123" i="33" s="1"/>
  <c r="BA97" i="33" a="1"/>
  <c r="BA97" i="33" s="1"/>
  <c r="W73" i="33" a="1"/>
  <c r="W73" i="33" s="1"/>
  <c r="AO114" i="33" a="1"/>
  <c r="AO114" i="33" s="1"/>
  <c r="BJ102" i="33" a="1"/>
  <c r="BJ102" i="33" s="1"/>
  <c r="AG32" i="33" a="1"/>
  <c r="AG32" i="33" s="1"/>
  <c r="BK108" i="33" a="1"/>
  <c r="BK108" i="33" s="1"/>
  <c r="CX158" i="33" a="1"/>
  <c r="CX158" i="33" s="1"/>
  <c r="CO114" i="33" a="1"/>
  <c r="CO114" i="33" s="1"/>
  <c r="BT140" i="33" a="1"/>
  <c r="BT140" i="33" s="1"/>
  <c r="BU39" i="33" a="1"/>
  <c r="BU39" i="33" s="1"/>
  <c r="CY151" i="33" a="1"/>
  <c r="CY151" i="33" s="1"/>
  <c r="CB84" i="33" a="1"/>
  <c r="CB84" i="33" s="1"/>
  <c r="CY37" i="33" a="1"/>
  <c r="CY37" i="33" s="1"/>
  <c r="AB70" i="33" a="1"/>
  <c r="AB70" i="33" s="1"/>
  <c r="AN66" i="33" a="1"/>
  <c r="AN66" i="33" s="1"/>
  <c r="AX148" i="33" a="1"/>
  <c r="AX148" i="33" s="1"/>
  <c r="AY96" i="33" a="1"/>
  <c r="AY96" i="33" s="1"/>
  <c r="BP108" i="33" a="1"/>
  <c r="BP108" i="33" s="1"/>
  <c r="W149" i="33" a="1"/>
  <c r="W149" i="33" s="1"/>
  <c r="BU115" i="33" a="1"/>
  <c r="BU115" i="33" s="1"/>
  <c r="BS19" i="33" a="1"/>
  <c r="BS19" i="33" s="1"/>
  <c r="BJ19" i="33" a="1"/>
  <c r="BJ19" i="33" s="1"/>
  <c r="AG80" i="33" a="1"/>
  <c r="AG80" i="33" s="1"/>
  <c r="BR138" i="33" a="1"/>
  <c r="BR138" i="33" s="1"/>
  <c r="AN140" i="33" a="1"/>
  <c r="AN140" i="33" s="1"/>
  <c r="AP98" i="33" a="1"/>
  <c r="AP98" i="33" s="1"/>
  <c r="AH64" i="33" a="1"/>
  <c r="AH64" i="33" s="1"/>
  <c r="AB144" i="33" a="1"/>
  <c r="AB144" i="33" s="1"/>
  <c r="CN18" i="33" a="1"/>
  <c r="CN18" i="33" s="1"/>
  <c r="AB121" i="33" a="1"/>
  <c r="AB121" i="33" s="1"/>
  <c r="CM91" i="33" a="1"/>
  <c r="CM91" i="33" s="1"/>
  <c r="AN29" i="33" a="1"/>
  <c r="AN29" i="33" s="1"/>
  <c r="CW100" i="33" a="1"/>
  <c r="CW100" i="33" s="1"/>
  <c r="CS81" i="33" a="1"/>
  <c r="CS81" i="33" s="1"/>
  <c r="CW14" i="33" a="1"/>
  <c r="CW14" i="33" s="1"/>
  <c r="AB60" i="33" a="1"/>
  <c r="AB60" i="33" s="1"/>
  <c r="BK123" i="33" a="1"/>
  <c r="BK123" i="33" s="1"/>
  <c r="CC157" i="33" a="1"/>
  <c r="CC157" i="33" s="1"/>
  <c r="CD154" i="33" a="1"/>
  <c r="CD154" i="33" s="1"/>
  <c r="W97" i="33" a="1"/>
  <c r="W97" i="33" s="1"/>
  <c r="CS150" i="33" a="1"/>
  <c r="CS150" i="33" s="1"/>
  <c r="AZ58" i="33" a="1"/>
  <c r="AZ58" i="33" s="1"/>
  <c r="CW96" i="33" a="1"/>
  <c r="CW96" i="33" s="1"/>
  <c r="CB95" i="33" a="1"/>
  <c r="CB95" i="33" s="1"/>
  <c r="X103" i="33" a="1"/>
  <c r="X103" i="33" s="1"/>
  <c r="BA132" i="33" a="1"/>
  <c r="BA132" i="33" s="1"/>
  <c r="AP104" i="33" a="1"/>
  <c r="AP104" i="33" s="1"/>
  <c r="AG122" i="33" a="1"/>
  <c r="AG122" i="33" s="1"/>
  <c r="BT70" i="33" a="1"/>
  <c r="BT70" i="33" s="1"/>
  <c r="AH129" i="33" a="1"/>
  <c r="AH129" i="33" s="1"/>
  <c r="AB146" i="33" a="1"/>
  <c r="AB146" i="33" s="1"/>
  <c r="AZ109" i="33" a="1"/>
  <c r="AZ109" i="33" s="1"/>
  <c r="BK36" i="33" a="1"/>
  <c r="BK36" i="33" s="1"/>
  <c r="BJ148" i="33" a="1"/>
  <c r="BJ148" i="33" s="1"/>
  <c r="AF58" i="33" a="1"/>
  <c r="AF58" i="33" s="1"/>
  <c r="CW68" i="33" a="1"/>
  <c r="CW68" i="33" s="1"/>
  <c r="BJ114" i="33" a="1"/>
  <c r="BJ114" i="33" s="1"/>
  <c r="AZ34" i="33" a="1"/>
  <c r="AZ34" i="33" s="1"/>
  <c r="AP60" i="33" a="1"/>
  <c r="AP60" i="33" s="1"/>
  <c r="BS57" i="33" a="1"/>
  <c r="BS57" i="33" s="1"/>
  <c r="CD132" i="33" a="1"/>
  <c r="CD132" i="33" s="1"/>
  <c r="BT63" i="33" a="1"/>
  <c r="BT63" i="33" s="1"/>
  <c r="W92" i="33" a="1"/>
  <c r="W92" i="33" s="1"/>
  <c r="AH98" i="33" a="1"/>
  <c r="AH98" i="33" s="1"/>
  <c r="CN84" i="33" a="1"/>
  <c r="CN84" i="33" s="1"/>
  <c r="AQ119" i="33" a="1"/>
  <c r="AQ119" i="33" s="1"/>
  <c r="BI161" i="33" a="1"/>
  <c r="BI161" i="33" s="1"/>
  <c r="BU84" i="33" a="1"/>
  <c r="BU84" i="33" s="1"/>
  <c r="CB94" i="33" a="1"/>
  <c r="CB94" i="33" s="1"/>
  <c r="CL44" i="33" a="1"/>
  <c r="CL44" i="33" s="1"/>
  <c r="W116" i="33" a="1"/>
  <c r="W116" i="33" s="1"/>
  <c r="BU73" i="33" a="1"/>
  <c r="BU73" i="33" s="1"/>
  <c r="CC59" i="33" a="1"/>
  <c r="CC59" i="33" s="1"/>
  <c r="AQ53" i="33" a="1"/>
  <c r="AQ53" i="33" s="1"/>
  <c r="V112" i="33" a="1"/>
  <c r="V112" i="33" s="1"/>
  <c r="CW129" i="33" a="1"/>
  <c r="CW129" i="33" s="1"/>
  <c r="CN134" i="33" a="1"/>
  <c r="CN134" i="33" s="1"/>
  <c r="AN126" i="33" a="1"/>
  <c r="AN126" i="33" s="1"/>
  <c r="BP156" i="33" a="1"/>
  <c r="BP156" i="33" s="1"/>
  <c r="CO101" i="33" a="1"/>
  <c r="CO101" i="33" s="1"/>
  <c r="CX127" i="33" a="1"/>
  <c r="CX127" i="33" s="1"/>
  <c r="CN75" i="33" a="1"/>
  <c r="CN75" i="33" s="1"/>
  <c r="CY118" i="33" a="1"/>
  <c r="CY118" i="33" s="1"/>
  <c r="X100" i="33" a="1"/>
  <c r="X100" i="33" s="1"/>
  <c r="CC133" i="33" a="1"/>
  <c r="CC133" i="33" s="1"/>
  <c r="BT42" i="33" a="1"/>
  <c r="BT42" i="33" s="1"/>
  <c r="BP97" i="33" a="1"/>
  <c r="BP97" i="33" s="1"/>
  <c r="CW115" i="33" a="1"/>
  <c r="CW115" i="33" s="1"/>
  <c r="V146" i="33" a="1"/>
  <c r="V146" i="33" s="1"/>
  <c r="AN114" i="33" a="1"/>
  <c r="AN114" i="33" s="1"/>
  <c r="BP45" i="33" a="1"/>
  <c r="BP45" i="33" s="1"/>
  <c r="BP145" i="33" a="1"/>
  <c r="BP145" i="33" s="1"/>
  <c r="CW71" i="33" a="1"/>
  <c r="CW71" i="33" s="1"/>
  <c r="AF78" i="33" a="1"/>
  <c r="AF78" i="33" s="1"/>
  <c r="AG152" i="33" a="1"/>
  <c r="AG152" i="33" s="1"/>
  <c r="CJ38" i="33" a="1"/>
  <c r="CJ38" i="33" s="1"/>
  <c r="CC40" i="33" a="1"/>
  <c r="CC40" i="33" s="1"/>
  <c r="AL52" i="33" a="1"/>
  <c r="AL52" i="33" s="1"/>
  <c r="CE22" i="33" a="1"/>
  <c r="CE22" i="33" s="1"/>
  <c r="CD69" i="33" a="1"/>
  <c r="CD69" i="33" s="1"/>
  <c r="AP122" i="33" a="1"/>
  <c r="AP122" i="33" s="1"/>
  <c r="BP64" i="33" a="1"/>
  <c r="BP64" i="33" s="1"/>
  <c r="AR127" i="33" a="1"/>
  <c r="AR127" i="33" s="1"/>
  <c r="CB130" i="33" a="1"/>
  <c r="CB130" i="33" s="1"/>
  <c r="CY66" i="33" a="1"/>
  <c r="CY66" i="33" s="1"/>
  <c r="AQ112" i="33" a="1"/>
  <c r="AQ112" i="33" s="1"/>
  <c r="AN98" i="33" a="1"/>
  <c r="AN98" i="33" s="1"/>
  <c r="V78" i="33" a="1"/>
  <c r="V78" i="33" s="1"/>
  <c r="CX16" i="33" a="1"/>
  <c r="CX16" i="33" s="1"/>
  <c r="AN123" i="33" a="1"/>
  <c r="AN123" i="33" s="1"/>
  <c r="BT71" i="33" a="1"/>
  <c r="BT71" i="33" s="1"/>
  <c r="AG110" i="33" a="1"/>
  <c r="AG110" i="33" s="1"/>
  <c r="CO90" i="33" a="1"/>
  <c r="CO90" i="33" s="1"/>
  <c r="CO158" i="33" a="1"/>
  <c r="CO158" i="33" s="1"/>
  <c r="CN137" i="33" a="1"/>
  <c r="CN137" i="33" s="1"/>
  <c r="BA98" i="33" a="1"/>
  <c r="BA98" i="33" s="1"/>
  <c r="BT45" i="33" a="1"/>
  <c r="BT45" i="33" s="1"/>
  <c r="CN15" i="33" a="1"/>
  <c r="CN15" i="33" s="1"/>
  <c r="CD130" i="33" a="1"/>
  <c r="CD130" i="33" s="1"/>
  <c r="CD105" i="33" a="1"/>
  <c r="CD105" i="33" s="1"/>
  <c r="CW128" i="33" a="1"/>
  <c r="CW128" i="33" s="1"/>
  <c r="CD64" i="33" a="1"/>
  <c r="CD64" i="33" s="1"/>
  <c r="CN90" i="33" a="1"/>
  <c r="CN90" i="33" s="1"/>
  <c r="BP25" i="33" a="1"/>
  <c r="BP25" i="33" s="1"/>
  <c r="V97" i="33" a="1"/>
  <c r="V97" i="33" s="1"/>
  <c r="AF50" i="33" a="1"/>
  <c r="AF50" i="33" s="1"/>
  <c r="AE57" i="33" a="1"/>
  <c r="AE57" i="33" s="1"/>
  <c r="AB138" i="33" a="1"/>
  <c r="AB138" i="33" s="1"/>
  <c r="W59" i="33" a="1"/>
  <c r="W59" i="33" s="1"/>
  <c r="V103" i="33" a="1"/>
  <c r="V103" i="33" s="1"/>
  <c r="BT96" i="33" a="1"/>
  <c r="BT96" i="33" s="1"/>
  <c r="BL156" i="33" a="1"/>
  <c r="BL156" i="33" s="1"/>
  <c r="CD22" i="33" a="1"/>
  <c r="CD22" i="33" s="1"/>
  <c r="AM64" i="33" a="1"/>
  <c r="AM64" i="33" s="1"/>
  <c r="AF67" i="33" a="1"/>
  <c r="AF67" i="33" s="1"/>
  <c r="AD47" i="33" a="1"/>
  <c r="AD47" i="33" s="1"/>
  <c r="AR80" i="33" a="1"/>
  <c r="AR80" i="33" s="1"/>
  <c r="W80" i="33" a="1"/>
  <c r="W80" i="33" s="1"/>
  <c r="CN34" i="33" a="1"/>
  <c r="CN34" i="33" s="1"/>
  <c r="BJ68" i="33" a="1"/>
  <c r="BJ68" i="33" s="1"/>
  <c r="CN128" i="33" a="1"/>
  <c r="CN128" i="33" s="1"/>
  <c r="BK155" i="33" a="1"/>
  <c r="BK155" i="33" s="1"/>
  <c r="CX132" i="33" a="1"/>
  <c r="CX132" i="33" s="1"/>
  <c r="AO152" i="33" a="1"/>
  <c r="AO152" i="33" s="1"/>
  <c r="BU130" i="33" a="1"/>
  <c r="BU130" i="33" s="1"/>
  <c r="AN24" i="33" a="1"/>
  <c r="AN24" i="33" s="1"/>
  <c r="BK68" i="33" a="1"/>
  <c r="BK68" i="33" s="1"/>
  <c r="CY18" i="33" a="1"/>
  <c r="CY18" i="33" s="1"/>
  <c r="AQ130" i="33" a="1"/>
  <c r="AQ130" i="33" s="1"/>
  <c r="AM155" i="33" a="1"/>
  <c r="AM155" i="33" s="1"/>
  <c r="AZ76" i="33" a="1"/>
  <c r="AZ76" i="33" s="1"/>
  <c r="V114" i="33" a="1"/>
  <c r="V114" i="33" s="1"/>
  <c r="AB40" i="33" a="1"/>
  <c r="AB40" i="33" s="1"/>
  <c r="AN99" i="33" a="1"/>
  <c r="AN99" i="33" s="1"/>
  <c r="BT103" i="33" a="1"/>
  <c r="BT103" i="33" s="1"/>
  <c r="AH140" i="33" a="1"/>
  <c r="AH140" i="33" s="1"/>
  <c r="CW127" i="33" a="1"/>
  <c r="CW127" i="33" s="1"/>
  <c r="V102" i="33" a="1"/>
  <c r="V102" i="33" s="1"/>
  <c r="BP151" i="33" a="1"/>
  <c r="BP151" i="33" s="1"/>
  <c r="AF124" i="33" a="1"/>
  <c r="AF124" i="33" s="1"/>
  <c r="AP25" i="33" a="1"/>
  <c r="AP25" i="33" s="1"/>
  <c r="CE127" i="33" a="1"/>
  <c r="CE127" i="33" s="1"/>
  <c r="V61" i="33" a="1"/>
  <c r="V61" i="33" s="1"/>
  <c r="BT105" i="33" a="1"/>
  <c r="BT105" i="33" s="1"/>
  <c r="AZ130" i="33" a="1"/>
  <c r="AZ130" i="33" s="1"/>
  <c r="BP65" i="33" a="1"/>
  <c r="BP65" i="33" s="1"/>
  <c r="AH97" i="33" a="1"/>
  <c r="AH97" i="33" s="1"/>
  <c r="AZ114" i="33" a="1"/>
  <c r="AZ114" i="33" s="1"/>
  <c r="AQ29" i="33" a="1"/>
  <c r="AQ29" i="33" s="1"/>
  <c r="CM101" i="33" a="1"/>
  <c r="CM101" i="33" s="1"/>
  <c r="CB121" i="33" a="1"/>
  <c r="CB121" i="33" s="1"/>
  <c r="AH120" i="33" a="1"/>
  <c r="AH120" i="33" s="1"/>
  <c r="BU83" i="33" a="1"/>
  <c r="BU83" i="33" s="1"/>
  <c r="AF155" i="33" a="1"/>
  <c r="AF155" i="33" s="1"/>
  <c r="CX140" i="33" a="1"/>
  <c r="CX140" i="33" s="1"/>
  <c r="CE117" i="33" a="1"/>
  <c r="CE117" i="33" s="1"/>
  <c r="CC136" i="33" a="1"/>
  <c r="CC136" i="33" s="1"/>
  <c r="AN124" i="33" a="1"/>
  <c r="AN124" i="33" s="1"/>
  <c r="BT139" i="33" a="1"/>
  <c r="BT139" i="33" s="1"/>
  <c r="V77" i="33" a="1"/>
  <c r="V77" i="33" s="1"/>
  <c r="CM61" i="33" a="1"/>
  <c r="CM61" i="33" s="1"/>
  <c r="CC121" i="33" a="1"/>
  <c r="CC121" i="33" s="1"/>
  <c r="BJ108" i="33" a="1"/>
  <c r="BJ108" i="33" s="1"/>
  <c r="V29" i="33" a="1"/>
  <c r="V29" i="33" s="1"/>
  <c r="BT158" i="33" a="1"/>
  <c r="BT158" i="33" s="1"/>
  <c r="BP28" i="33" a="1"/>
  <c r="BP28" i="33" s="1"/>
  <c r="CX69" i="33" a="1"/>
  <c r="CX69" i="33" s="1"/>
  <c r="BI15" i="33" a="1"/>
  <c r="BI15" i="33" s="1"/>
  <c r="AR144" i="33" a="1"/>
  <c r="AR144" i="33" s="1"/>
  <c r="AF144" i="33" a="1"/>
  <c r="AF144" i="33" s="1"/>
  <c r="AZ54" i="33" a="1"/>
  <c r="AZ54" i="33" s="1"/>
  <c r="AB68" i="33" a="1"/>
  <c r="AB68" i="33" s="1"/>
  <c r="BU57" i="33" a="1"/>
  <c r="BU57" i="33" s="1"/>
  <c r="AB123" i="33" a="1"/>
  <c r="AB123" i="33" s="1"/>
  <c r="AO69" i="33" a="1"/>
  <c r="AO69" i="33" s="1"/>
  <c r="AP65" i="33" a="1"/>
  <c r="AP65" i="33" s="1"/>
  <c r="CD104" i="33" a="1"/>
  <c r="CD104" i="33" s="1"/>
  <c r="CN77" i="33" a="1"/>
  <c r="CN77" i="33" s="1"/>
  <c r="W91" i="33" a="1"/>
  <c r="W91" i="33" s="1"/>
  <c r="AF77" i="33" a="1"/>
  <c r="AF77" i="33" s="1"/>
  <c r="CN132" i="33" a="1"/>
  <c r="CN132" i="33" s="1"/>
  <c r="CF107" i="33" a="1"/>
  <c r="CF107" i="33" s="1"/>
  <c r="CP142" i="33" a="1"/>
  <c r="CP142" i="33" s="1"/>
  <c r="BP103" i="33" a="1"/>
  <c r="BP103" i="33" s="1"/>
  <c r="AO68" i="33" a="1"/>
  <c r="AO68" i="33" s="1"/>
  <c r="BA107" i="33" a="1"/>
  <c r="BA107" i="33" s="1"/>
  <c r="AP108" i="33" a="1"/>
  <c r="AP108" i="33" s="1"/>
  <c r="BT21" i="33" a="1"/>
  <c r="BT21" i="33" s="1"/>
  <c r="CB112" i="33" a="1"/>
  <c r="CB112" i="33" s="1"/>
  <c r="BP21" i="33" a="1"/>
  <c r="BP21" i="33" s="1"/>
  <c r="AG31" i="33" a="1"/>
  <c r="AG31" i="33" s="1"/>
  <c r="CE98" i="33" a="1"/>
  <c r="CE98" i="33" s="1"/>
  <c r="CC29" i="33" a="1"/>
  <c r="CC29" i="33" s="1"/>
  <c r="AP107" i="33" a="1"/>
  <c r="AP107" i="33" s="1"/>
  <c r="AF160" i="33" a="1"/>
  <c r="AF160" i="33" s="1"/>
  <c r="CE153" i="33" a="1"/>
  <c r="CE153" i="33" s="1"/>
  <c r="CZ114" i="33" a="1"/>
  <c r="CZ114" i="33" s="1"/>
  <c r="BK109" i="33" a="1"/>
  <c r="BK109" i="33" s="1"/>
  <c r="AH144" i="33" a="1"/>
  <c r="AH144" i="33" s="1"/>
  <c r="CN20" i="33" a="1"/>
  <c r="CN20" i="33" s="1"/>
  <c r="CX153" i="33" a="1"/>
  <c r="CX153" i="33" s="1"/>
  <c r="AB16" i="33" a="1"/>
  <c r="AB16" i="33" s="1"/>
  <c r="BJ144" i="33" a="1"/>
  <c r="BJ144" i="33" s="1"/>
  <c r="BT135" i="33" a="1"/>
  <c r="BT135" i="33" s="1"/>
  <c r="CM48" i="33" a="1"/>
  <c r="CM48" i="33" s="1"/>
  <c r="CO135" i="33" a="1"/>
  <c r="CO135" i="33" s="1"/>
  <c r="BT82" i="33" a="1"/>
  <c r="BT82" i="33" s="1"/>
  <c r="AZ132" i="33" a="1"/>
  <c r="AZ132" i="33" s="1"/>
  <c r="W133" i="33" a="1"/>
  <c r="W133" i="33" s="1"/>
  <c r="CW70" i="33" a="1"/>
  <c r="CW70" i="33" s="1"/>
  <c r="AY52" i="33" a="1"/>
  <c r="AY52" i="33" s="1"/>
  <c r="BJ56" i="33" a="1"/>
  <c r="BJ56" i="33" s="1"/>
  <c r="BR100" i="33" a="1"/>
  <c r="BR100" i="33" s="1"/>
  <c r="AL86" i="33" a="1"/>
  <c r="AL86" i="33" s="1"/>
  <c r="AZ88" i="33" a="1"/>
  <c r="AZ88" i="33" s="1"/>
  <c r="CN40" i="33" a="1"/>
  <c r="CN40" i="33" s="1"/>
  <c r="BJ94" i="33" a="1"/>
  <c r="BJ94" i="33" s="1"/>
  <c r="BT55" i="33" a="1"/>
  <c r="BT55" i="33" s="1"/>
  <c r="BT157" i="33" a="1"/>
  <c r="BT157" i="33" s="1"/>
  <c r="CO80" i="33" a="1"/>
  <c r="CO80" i="33" s="1"/>
  <c r="AP86" i="33" a="1"/>
  <c r="AP86" i="33" s="1"/>
  <c r="AP54" i="33" a="1"/>
  <c r="AP54" i="33" s="1"/>
  <c r="AG90" i="33" a="1"/>
  <c r="AG90" i="33" s="1"/>
  <c r="CN30" i="33" a="1"/>
  <c r="CN30" i="33" s="1"/>
  <c r="CW27" i="33" a="1"/>
  <c r="CW27" i="33" s="1"/>
  <c r="AQ15" i="33" a="1"/>
  <c r="AQ15" i="33" s="1"/>
  <c r="AO141" i="33" a="1"/>
  <c r="AO141" i="33" s="1"/>
  <c r="CD30" i="33" a="1"/>
  <c r="CD30" i="33" s="1"/>
  <c r="V17" i="33" a="1"/>
  <c r="V17" i="33" s="1"/>
  <c r="AZ95" i="33" a="1"/>
  <c r="AZ95" i="33" s="1"/>
  <c r="CB90" i="33" a="1"/>
  <c r="CB90" i="33" s="1"/>
  <c r="CX112" i="33" a="1"/>
  <c r="CX112" i="33" s="1"/>
  <c r="CM156" i="33" a="1"/>
  <c r="CM156" i="33" s="1"/>
  <c r="AN112" i="33" a="1"/>
  <c r="AN112" i="33" s="1"/>
  <c r="BI38" i="33" a="1"/>
  <c r="BI38" i="33" s="1"/>
  <c r="CB33" i="33" a="1"/>
  <c r="CB33" i="33" s="1"/>
  <c r="CB149" i="33" a="1"/>
  <c r="CB149" i="33" s="1"/>
  <c r="BJ78" i="33" a="1"/>
  <c r="BJ78" i="33" s="1"/>
  <c r="CD68" i="33" a="1"/>
  <c r="CD68" i="33" s="1"/>
  <c r="BJ92" i="33" a="1"/>
  <c r="BJ92" i="33" s="1"/>
  <c r="CL92" i="33" a="1"/>
  <c r="CL92" i="33" s="1"/>
  <c r="AB106" i="33" a="1"/>
  <c r="AB106" i="33" s="1"/>
  <c r="V153" i="33" a="1"/>
  <c r="V153" i="33" s="1"/>
  <c r="AP34" i="33" a="1"/>
  <c r="AP34" i="33" s="1"/>
  <c r="CM71" i="33" a="1"/>
  <c r="CM71" i="33" s="1"/>
  <c r="BK117" i="33" a="1"/>
  <c r="BK117" i="33" s="1"/>
  <c r="CI76" i="33" a="1"/>
  <c r="CI76" i="33" s="1"/>
  <c r="BP52" i="33" a="1"/>
  <c r="BP52" i="33" s="1"/>
  <c r="BK81" i="33" a="1"/>
  <c r="BK81" i="33" s="1"/>
  <c r="CB138" i="33" a="1"/>
  <c r="CB138" i="33" s="1"/>
  <c r="CN66" i="33" a="1"/>
  <c r="CN66" i="33" s="1"/>
  <c r="BK62" i="33" a="1"/>
  <c r="BK62" i="33" s="1"/>
  <c r="CW144" i="33" a="1"/>
  <c r="CW144" i="33" s="1"/>
  <c r="CY53" i="33" a="1"/>
  <c r="CY53" i="33" s="1"/>
  <c r="BT76" i="33" a="1"/>
  <c r="BT76" i="33" s="1"/>
  <c r="AO126" i="33" a="1"/>
  <c r="AO126" i="33" s="1"/>
  <c r="AN45" i="33" a="1"/>
  <c r="AN45" i="33" s="1"/>
  <c r="W16" i="33" a="1"/>
  <c r="W16" i="33" s="1"/>
  <c r="CE125" i="33" a="1"/>
  <c r="CE125" i="33" s="1"/>
  <c r="CW46" i="33" a="1"/>
  <c r="CW46" i="33" s="1"/>
  <c r="CB60" i="33" a="1"/>
  <c r="CB60" i="33" s="1"/>
  <c r="AF65" i="33" a="1"/>
  <c r="AF65" i="33" s="1"/>
  <c r="X54" i="33" a="1"/>
  <c r="X54" i="33" s="1"/>
  <c r="BP47" i="33" a="1"/>
  <c r="BP47" i="33" s="1"/>
  <c r="BP69" i="33" a="1"/>
  <c r="BP69" i="33" s="1"/>
  <c r="BT84" i="33" a="1"/>
  <c r="BT84" i="33" s="1"/>
  <c r="AG61" i="33" a="1"/>
  <c r="AG61" i="33" s="1"/>
  <c r="BJ61" i="33" a="1"/>
  <c r="BJ61" i="33" s="1"/>
  <c r="BU145" i="33" a="1"/>
  <c r="BU145" i="33" s="1"/>
  <c r="BL37" i="33" a="1"/>
  <c r="BL37" i="33" s="1"/>
  <c r="CN68" i="33" a="1"/>
  <c r="CN68" i="33" s="1"/>
  <c r="V135" i="33" a="1"/>
  <c r="V135" i="33" s="1"/>
  <c r="CO157" i="33" a="1"/>
  <c r="CO157" i="33" s="1"/>
  <c r="AP140" i="33" a="1"/>
  <c r="AP140" i="33" s="1"/>
  <c r="AR60" i="33" a="1"/>
  <c r="AR60" i="33" s="1"/>
  <c r="CB66" i="33" a="1"/>
  <c r="CB66" i="33" s="1"/>
  <c r="CE36" i="33" a="1"/>
  <c r="CE36" i="33" s="1"/>
  <c r="BP80" i="33" a="1"/>
  <c r="BP80" i="33" s="1"/>
  <c r="AY66" i="33" a="1"/>
  <c r="AY66" i="33" s="1"/>
  <c r="AG157" i="33" a="1"/>
  <c r="AG157" i="33" s="1"/>
  <c r="BJ29" i="33" a="1"/>
  <c r="BJ29" i="33" s="1"/>
  <c r="CD115" i="33" a="1"/>
  <c r="CD115" i="33" s="1"/>
  <c r="BK99" i="33" a="1"/>
  <c r="BK99" i="33" s="1"/>
  <c r="AN153" i="33" a="1"/>
  <c r="AN153" i="33" s="1"/>
  <c r="CW79" i="33" a="1"/>
  <c r="CW79" i="33" s="1"/>
  <c r="BS98" i="33" a="1"/>
  <c r="BS98" i="33" s="1"/>
  <c r="CB101" i="33" a="1"/>
  <c r="CB101" i="33" s="1"/>
  <c r="CM34" i="33" a="1"/>
  <c r="CM34" i="33" s="1"/>
  <c r="AB38" i="33" a="1"/>
  <c r="AB38" i="33" s="1"/>
  <c r="CW64" i="33" a="1"/>
  <c r="CW64" i="33" s="1"/>
  <c r="BT128" i="33" a="1"/>
  <c r="BT128" i="33" s="1"/>
  <c r="CS64" i="33" a="1"/>
  <c r="CS64" i="33" s="1"/>
  <c r="AN86" i="33" a="1"/>
  <c r="AN86" i="33" s="1"/>
  <c r="CC58" i="33" a="1"/>
  <c r="CC58" i="33" s="1"/>
  <c r="AG52" i="33" a="1"/>
  <c r="AG52" i="33" s="1"/>
  <c r="BT27" i="33" a="1"/>
  <c r="BT27" i="33" s="1"/>
  <c r="BT41" i="33" a="1"/>
  <c r="BT41" i="33" s="1"/>
  <c r="BU38" i="33" a="1"/>
  <c r="BU38" i="33" s="1"/>
  <c r="AR137" i="33" a="1"/>
  <c r="AR137" i="33" s="1"/>
  <c r="BJ26" i="33" a="1"/>
  <c r="BJ26" i="33" s="1"/>
  <c r="AB89" i="33" a="1"/>
  <c r="AB89" i="33" s="1"/>
  <c r="X28" i="33" a="1"/>
  <c r="X28" i="33" s="1"/>
  <c r="BJ106" i="33" a="1"/>
  <c r="BJ106" i="33" s="1"/>
  <c r="AQ71" i="33" a="1"/>
  <c r="AQ71" i="33" s="1"/>
  <c r="AP85" i="33" a="1"/>
  <c r="AP85" i="33" s="1"/>
  <c r="BJ49" i="33" a="1"/>
  <c r="BJ49" i="33" s="1"/>
  <c r="BP17" i="33" a="1"/>
  <c r="BP17" i="33" s="1"/>
  <c r="BK125" i="33" a="1"/>
  <c r="BK125" i="33" s="1"/>
  <c r="BJ27" i="33" a="1"/>
  <c r="BJ27" i="33" s="1"/>
  <c r="CB108" i="33" a="1"/>
  <c r="CB108" i="33" s="1"/>
  <c r="CS124" i="33" a="1"/>
  <c r="CS124" i="33" s="1"/>
  <c r="CD81" i="33" a="1"/>
  <c r="CD81" i="33" s="1"/>
  <c r="BJ119" i="33" a="1"/>
  <c r="BJ119" i="33" s="1"/>
  <c r="BI123" i="33" a="1"/>
  <c r="BI123" i="33" s="1"/>
  <c r="AZ156" i="33" a="1"/>
  <c r="AZ156" i="33" s="1"/>
  <c r="X131" i="33" a="1"/>
  <c r="X131" i="33" s="1"/>
  <c r="AN27" i="33" a="1"/>
  <c r="AN27" i="33" s="1"/>
  <c r="AB148" i="33" a="1"/>
  <c r="AB148" i="33" s="1"/>
  <c r="AR21" i="33" a="1"/>
  <c r="AR21" i="33" s="1"/>
  <c r="W154" i="33" a="1"/>
  <c r="W154" i="33" s="1"/>
  <c r="CO105" i="33" a="1"/>
  <c r="CO105" i="33" s="1"/>
  <c r="BT109" i="33" a="1"/>
  <c r="BT109" i="33" s="1"/>
  <c r="CW121" i="33" a="1"/>
  <c r="CW121" i="33" s="1"/>
  <c r="CD57" i="33" a="1"/>
  <c r="CD57" i="33" s="1"/>
  <c r="CB22" i="33" a="1"/>
  <c r="CB22" i="33" s="1"/>
  <c r="AB33" i="33" a="1"/>
  <c r="AB33" i="33" s="1"/>
  <c r="BT95" i="33" a="1"/>
  <c r="BT95" i="33" s="1"/>
  <c r="CB75" i="33" a="1"/>
  <c r="CB75" i="33" s="1"/>
  <c r="BG29" i="33" a="1"/>
  <c r="BG29" i="33" s="1"/>
  <c r="BJ16" i="33" a="1"/>
  <c r="BJ16" i="33" s="1"/>
  <c r="AP71" i="33" a="1"/>
  <c r="AP71" i="33" s="1"/>
  <c r="BT89" i="33" a="1"/>
  <c r="BT89" i="33" s="1"/>
  <c r="V133" i="33" a="1"/>
  <c r="V133" i="33" s="1"/>
  <c r="AB18" i="33" a="1"/>
  <c r="AB18" i="33" s="1"/>
  <c r="AP74" i="33" a="1"/>
  <c r="AP74" i="33" s="1"/>
  <c r="AZ70" i="33" a="1"/>
  <c r="AZ70" i="33" s="1"/>
  <c r="AR139" i="33" a="1"/>
  <c r="AR139" i="33" s="1"/>
  <c r="W153" i="33" a="1"/>
  <c r="W153" i="33" s="1"/>
  <c r="AM119" i="33" a="1"/>
  <c r="AM119" i="33" s="1"/>
  <c r="AZ25" i="33" a="1"/>
  <c r="AZ25" i="33" s="1"/>
  <c r="AN60" i="33" a="1"/>
  <c r="AN60" i="33" s="1"/>
  <c r="AZ30" i="33" a="1"/>
  <c r="AZ30" i="33" s="1"/>
  <c r="V107" i="33" a="1"/>
  <c r="V107" i="33" s="1"/>
  <c r="V23" i="33" a="1"/>
  <c r="V23" i="33" s="1"/>
  <c r="AO91" i="33" a="1"/>
  <c r="AO91" i="33" s="1"/>
  <c r="AH66" i="33" a="1"/>
  <c r="AH66" i="33" s="1"/>
  <c r="AH84" i="33" a="1"/>
  <c r="AH84" i="33" s="1"/>
  <c r="CD99" i="33" a="1"/>
  <c r="CD99" i="33" s="1"/>
  <c r="BT117" i="33" a="1"/>
  <c r="BT117" i="33" s="1"/>
  <c r="AZ15" i="33" a="1"/>
  <c r="AZ15" i="33" s="1"/>
  <c r="CN74" i="33" a="1"/>
  <c r="CN74" i="33" s="1"/>
  <c r="CB35" i="33" a="1"/>
  <c r="CB35" i="33" s="1"/>
  <c r="BS124" i="33" a="1"/>
  <c r="BS124" i="33" s="1"/>
  <c r="AP161" i="33" a="1"/>
  <c r="AP161" i="33" s="1"/>
  <c r="BI131" i="33" a="1"/>
  <c r="BI131" i="33" s="1"/>
  <c r="BI41" i="33" a="1"/>
  <c r="BI41" i="33" s="1"/>
  <c r="AR96" i="33" a="1"/>
  <c r="AR96" i="33" s="1"/>
  <c r="CY80" i="33" a="1"/>
  <c r="CY80" i="33" s="1"/>
  <c r="AX95" i="33" a="1"/>
  <c r="AX95" i="33" s="1"/>
  <c r="CB44" i="33" a="1"/>
  <c r="CB44" i="33" s="1"/>
  <c r="W52" i="33" a="1"/>
  <c r="W52" i="33" s="1"/>
  <c r="AB82" i="33" a="1"/>
  <c r="AB82" i="33" s="1"/>
  <c r="W126" i="33" a="1"/>
  <c r="W126" i="33" s="1"/>
  <c r="AN150" i="33" a="1"/>
  <c r="AN150" i="33" s="1"/>
  <c r="X132" i="33" a="1"/>
  <c r="X132" i="33" s="1"/>
  <c r="CW32" i="33" a="1"/>
  <c r="CW32" i="33" s="1"/>
  <c r="BP76" i="33" a="1"/>
  <c r="BP76" i="33" s="1"/>
  <c r="CW101" i="33" a="1"/>
  <c r="CW101" i="33" s="1"/>
  <c r="CL124" i="33" a="1"/>
  <c r="CL124" i="33" s="1"/>
  <c r="AZ94" i="33" a="1"/>
  <c r="AZ94" i="33" s="1"/>
  <c r="BU155" i="33" a="1"/>
  <c r="BU155" i="33" s="1"/>
  <c r="AF71" i="33" a="1"/>
  <c r="AF71" i="33" s="1"/>
  <c r="CY62" i="33" a="1"/>
  <c r="CY62" i="33" s="1"/>
  <c r="CY113" i="33" a="1"/>
  <c r="CY113" i="33" s="1"/>
  <c r="BT122" i="33" a="1"/>
  <c r="BT122" i="33" s="1"/>
  <c r="AG72" i="33" a="1"/>
  <c r="AG72" i="33" s="1"/>
  <c r="BI55" i="33" a="1"/>
  <c r="BI55" i="33" s="1"/>
  <c r="CI41" i="33" a="1"/>
  <c r="CI41" i="33" s="1"/>
  <c r="CN48" i="33" a="1"/>
  <c r="CN48" i="33" s="1"/>
  <c r="CN62" i="33" a="1"/>
  <c r="CN62" i="33" s="1"/>
  <c r="AY21" i="33" a="1"/>
  <c r="AY21" i="33" s="1"/>
  <c r="CE148" i="33" a="1"/>
  <c r="CE148" i="33" s="1"/>
  <c r="CW38" i="33" a="1"/>
  <c r="CW38" i="33" s="1"/>
  <c r="CO17" i="33" a="1"/>
  <c r="CO17" i="33" s="1"/>
  <c r="CX27" i="33" a="1"/>
  <c r="CX27" i="33" s="1"/>
  <c r="CX78" i="33" a="1"/>
  <c r="CX78" i="33" s="1"/>
  <c r="AL68" i="33" a="1"/>
  <c r="AL68" i="33" s="1"/>
  <c r="BK59" i="33" a="1"/>
  <c r="BK59" i="33" s="1"/>
  <c r="AN50" i="33" a="1"/>
  <c r="AN50" i="33" s="1"/>
  <c r="CW65" i="33" a="1"/>
  <c r="CW65" i="33" s="1"/>
  <c r="CD137" i="33" a="1"/>
  <c r="CD137" i="33" s="1"/>
  <c r="BU122" i="33" a="1"/>
  <c r="BU122" i="33" s="1"/>
  <c r="AQ132" i="33" a="1"/>
  <c r="AQ132" i="33" s="1"/>
  <c r="BK97" i="33" a="1"/>
  <c r="BK97" i="33" s="1"/>
  <c r="AP78" i="33" a="1"/>
  <c r="AP78" i="33" s="1"/>
  <c r="CW153" i="33" a="1"/>
  <c r="CW153" i="33" s="1"/>
  <c r="AZ67" i="33" a="1"/>
  <c r="AZ67" i="33" s="1"/>
  <c r="AN84" i="33" a="1"/>
  <c r="AN84" i="33" s="1"/>
  <c r="CZ109" i="33" a="1"/>
  <c r="CZ109" i="33" s="1"/>
  <c r="AZ71" i="33" a="1"/>
  <c r="AZ71" i="33" s="1"/>
  <c r="CX120" i="33" a="1"/>
  <c r="CX120" i="33" s="1"/>
  <c r="X74" i="33" a="1"/>
  <c r="X74" i="33" s="1"/>
  <c r="AG155" i="33" a="1"/>
  <c r="AG155" i="33" s="1"/>
  <c r="CD142" i="33" a="1"/>
  <c r="CD142" i="33" s="1"/>
  <c r="CX49" i="33" a="1"/>
  <c r="CX49" i="33" s="1"/>
  <c r="W85" i="33" a="1"/>
  <c r="W85" i="33" s="1"/>
  <c r="BL158" i="33" a="1"/>
  <c r="BL158" i="33" s="1"/>
  <c r="AF140" i="33" a="1"/>
  <c r="AF140" i="33" s="1"/>
  <c r="BA109" i="33" a="1"/>
  <c r="BA109" i="33" s="1"/>
  <c r="BL102" i="33" a="1"/>
  <c r="BL102" i="33" s="1"/>
  <c r="CB142" i="33" a="1"/>
  <c r="CB142" i="33" s="1"/>
  <c r="BJ31" i="33" a="1"/>
  <c r="BJ31" i="33" s="1"/>
  <c r="AB157" i="33" a="1"/>
  <c r="AB157" i="33" s="1"/>
  <c r="CB83" i="33" a="1"/>
  <c r="CB83" i="33" s="1"/>
  <c r="AZ87" i="33" a="1"/>
  <c r="AZ87" i="33" s="1"/>
  <c r="AZ125" i="33" a="1"/>
  <c r="AZ125" i="33" s="1"/>
  <c r="CO42" i="33" a="1"/>
  <c r="CO42" i="33" s="1"/>
  <c r="V47" i="33" a="1"/>
  <c r="V47" i="33" s="1"/>
  <c r="AF149" i="33" a="1"/>
  <c r="AF149" i="33" s="1"/>
  <c r="BJ67" i="33" a="1"/>
  <c r="BJ67" i="33" s="1"/>
  <c r="CO55" i="33" a="1"/>
  <c r="CO55" i="33" s="1"/>
  <c r="BU35" i="33" a="1"/>
  <c r="BU35" i="33" s="1"/>
  <c r="AZ119" i="33" a="1"/>
  <c r="AZ119" i="33" s="1"/>
  <c r="BT28" i="33" a="1"/>
  <c r="BT28" i="33" s="1"/>
  <c r="CW142" i="33" a="1"/>
  <c r="CW142" i="33" s="1"/>
  <c r="AR51" i="33" a="1"/>
  <c r="AR51" i="33" s="1"/>
  <c r="AN55" i="33" a="1"/>
  <c r="AN55" i="33" s="1"/>
  <c r="CE111" i="33" a="1"/>
  <c r="CE111" i="33" s="1"/>
  <c r="CN47" i="33" a="1"/>
  <c r="CN47" i="33" s="1"/>
  <c r="AP109" i="33" a="1"/>
  <c r="AP109" i="33" s="1"/>
  <c r="CO125" i="33" a="1"/>
  <c r="CO125" i="33" s="1"/>
  <c r="BJ134" i="33" a="1"/>
  <c r="BJ134" i="33" s="1"/>
  <c r="BA65" i="33" a="1"/>
  <c r="BA65" i="33" s="1"/>
  <c r="AN100" i="33" a="1"/>
  <c r="AN100" i="33" s="1"/>
  <c r="AP23" i="33" a="1"/>
  <c r="AP23" i="33" s="1"/>
  <c r="BI42" i="33" a="1"/>
  <c r="BI42" i="33" s="1"/>
  <c r="BA20" i="33" a="1"/>
  <c r="BA20" i="33" s="1"/>
  <c r="BJ28" i="33" a="1"/>
  <c r="BJ28" i="33" s="1"/>
  <c r="AZ72" i="33" a="1"/>
  <c r="AZ72" i="33" s="1"/>
  <c r="CW25" i="33" a="1"/>
  <c r="CW25" i="33" s="1"/>
  <c r="AZ105" i="33" a="1"/>
  <c r="AZ105" i="33" s="1"/>
  <c r="BJ145" i="33" a="1"/>
  <c r="BJ145" i="33" s="1"/>
  <c r="CN14" i="33" a="1"/>
  <c r="CN14" i="33" s="1"/>
  <c r="AF150" i="33" a="1"/>
  <c r="AF150" i="33" s="1"/>
  <c r="CJ50" i="33" a="1"/>
  <c r="CJ50" i="33" s="1"/>
  <c r="AB73" i="33" a="1"/>
  <c r="AB73" i="33" s="1"/>
  <c r="BJ104" i="33" a="1"/>
  <c r="BJ104" i="33" s="1"/>
  <c r="AP57" i="33" a="1"/>
  <c r="AP57" i="33" s="1"/>
  <c r="CE50" i="33" a="1"/>
  <c r="CE50" i="33" s="1"/>
  <c r="BS38" i="33" a="1"/>
  <c r="BS38" i="33" s="1"/>
  <c r="CN147" i="33" a="1"/>
  <c r="CN147" i="33" s="1"/>
  <c r="CW73" i="33" a="1"/>
  <c r="CW73" i="33" s="1"/>
  <c r="CB153" i="33" a="1"/>
  <c r="CB153" i="33" s="1"/>
  <c r="CM78" i="33" a="1"/>
  <c r="CM78" i="33" s="1"/>
  <c r="AB58" i="33" a="1"/>
  <c r="AB58" i="33" s="1"/>
  <c r="AZ35" i="33" a="1"/>
  <c r="AZ35" i="33" s="1"/>
  <c r="AP22" i="33" a="1"/>
  <c r="AP22" i="33" s="1"/>
  <c r="AB66" i="33" a="1"/>
  <c r="AB66" i="33" s="1"/>
  <c r="CN100" i="33" a="1"/>
  <c r="CN100" i="33" s="1"/>
  <c r="CX117" i="33" a="1"/>
  <c r="CX117" i="33" s="1"/>
  <c r="BK41" i="33" a="1"/>
  <c r="BK41" i="33" s="1"/>
  <c r="AW62" i="33" a="1"/>
  <c r="AW62" i="33" s="1"/>
  <c r="CY107" i="33" a="1"/>
  <c r="CY107" i="33" s="1"/>
  <c r="CO53" i="33" a="1"/>
  <c r="CO53" i="33" s="1"/>
  <c r="BJ69" i="33" a="1"/>
  <c r="BJ69" i="33" s="1"/>
  <c r="W159" i="33" a="1"/>
  <c r="W159" i="33" s="1"/>
  <c r="BU40" i="33" a="1"/>
  <c r="BU40" i="33" s="1"/>
  <c r="CN42" i="33" a="1"/>
  <c r="CN42" i="33" s="1"/>
  <c r="CN102" i="33" a="1"/>
  <c r="CN102" i="33" s="1"/>
  <c r="AB30" i="33" a="1"/>
  <c r="AB30" i="33" s="1"/>
  <c r="AZ131" i="33" a="1"/>
  <c r="AZ131" i="33" s="1"/>
  <c r="AF45" i="33" a="1"/>
  <c r="AF45" i="33" s="1"/>
  <c r="CN124" i="33" a="1"/>
  <c r="CN124" i="33" s="1"/>
  <c r="BA139" i="33" a="1"/>
  <c r="BA139" i="33" s="1"/>
  <c r="AZ139" i="33" a="1"/>
  <c r="AZ139" i="33" s="1"/>
  <c r="AW102" i="33" a="1"/>
  <c r="AW102" i="33" s="1"/>
  <c r="AM52" i="33" a="1"/>
  <c r="AM52" i="33" s="1"/>
  <c r="BL28" i="33" a="1"/>
  <c r="BL28" i="33" s="1"/>
  <c r="AP45" i="33" a="1"/>
  <c r="AP45" i="33" s="1"/>
  <c r="AB156" i="33" a="1"/>
  <c r="AB156" i="33" s="1"/>
  <c r="AH139" i="33" a="1"/>
  <c r="AH139" i="33" s="1"/>
  <c r="V21" i="33" a="1"/>
  <c r="V21" i="33" s="1"/>
  <c r="BA36" i="33" a="1"/>
  <c r="BA36" i="33" s="1"/>
  <c r="CD118" i="33" a="1"/>
  <c r="CD118" i="33" s="1"/>
  <c r="AD143" i="33" a="1"/>
  <c r="AD143" i="33" s="1"/>
  <c r="CE48" i="33" a="1"/>
  <c r="CE48" i="33" s="1"/>
  <c r="CE52" i="33" a="1"/>
  <c r="CE52" i="33" s="1"/>
  <c r="BJ132" i="33" a="1"/>
  <c r="BJ132" i="33" s="1"/>
  <c r="AN32" i="33" a="1"/>
  <c r="AN32" i="33" s="1"/>
  <c r="V158" i="33" a="1"/>
  <c r="V158" i="33" s="1"/>
  <c r="BJ124" i="33" a="1"/>
  <c r="BJ124" i="33" s="1"/>
  <c r="BA75" i="33" a="1"/>
  <c r="BA75" i="33" s="1"/>
  <c r="V56" i="33" a="1"/>
  <c r="V56" i="33" s="1"/>
  <c r="CN121" i="33" a="1"/>
  <c r="CN121" i="33" s="1"/>
  <c r="AR59" i="33" a="1"/>
  <c r="AR59" i="33" s="1"/>
  <c r="CE19" i="33" a="1"/>
  <c r="CE19" i="33" s="1"/>
  <c r="CE74" i="33" a="1"/>
  <c r="CE74" i="33" s="1"/>
  <c r="W117" i="33" a="1"/>
  <c r="W117" i="33" s="1"/>
  <c r="BA19" i="33" a="1"/>
  <c r="BA19" i="33" s="1"/>
  <c r="CC137" i="33" a="1"/>
  <c r="CC137" i="33" s="1"/>
  <c r="CC100" i="33" a="1"/>
  <c r="CC100" i="33" s="1"/>
  <c r="BU72" i="33" a="1"/>
  <c r="BU72" i="33" s="1"/>
  <c r="CX28" i="33" a="1"/>
  <c r="CX28" i="33" s="1"/>
  <c r="W25" i="33" a="1"/>
  <c r="W25" i="33" s="1"/>
  <c r="CB45" i="33" a="1"/>
  <c r="CB45" i="33" s="1"/>
  <c r="W66" i="33" a="1"/>
  <c r="W66" i="33" s="1"/>
  <c r="CY135" i="33" a="1"/>
  <c r="CY135" i="33" s="1"/>
  <c r="AP42" i="33" a="1"/>
  <c r="AP42" i="33" s="1"/>
  <c r="AH86" i="33" a="1"/>
  <c r="AH86" i="33" s="1"/>
  <c r="X27" i="33" a="1"/>
  <c r="X27" i="33" s="1"/>
  <c r="AG89" i="33" a="1"/>
  <c r="AG89" i="33" s="1"/>
  <c r="W35" i="33" a="1"/>
  <c r="W35" i="33" s="1"/>
  <c r="BA27" i="33" a="1"/>
  <c r="BA27" i="33" s="1"/>
  <c r="CS45" i="33" a="1"/>
  <c r="CS45" i="33" s="1"/>
  <c r="BP54" i="33" a="1"/>
  <c r="BP54" i="33" s="1"/>
  <c r="CJ49" i="33" a="1"/>
  <c r="CJ49" i="33" s="1"/>
  <c r="AO97" i="33" a="1"/>
  <c r="AO97" i="33" s="1"/>
  <c r="BT141" i="33" a="1"/>
  <c r="BT141" i="33" s="1"/>
  <c r="AP58" i="33" a="1"/>
  <c r="AP58" i="33" s="1"/>
  <c r="CN57" i="33" a="1"/>
  <c r="CN57" i="33" s="1"/>
  <c r="BT67" i="33" a="1"/>
  <c r="BT67" i="33" s="1"/>
  <c r="BS108" i="33" a="1"/>
  <c r="BS108" i="33" s="1"/>
  <c r="CO129" i="33" a="1"/>
  <c r="CO129" i="33" s="1"/>
  <c r="BT72" i="33" a="1"/>
  <c r="BT72" i="33" s="1"/>
  <c r="CX160" i="33" a="1"/>
  <c r="CX160" i="33" s="1"/>
  <c r="AP121" i="33" a="1"/>
  <c r="AP121" i="33" s="1"/>
  <c r="BK159" i="33" a="1"/>
  <c r="BK159" i="33" s="1"/>
  <c r="CW126" i="33" a="1"/>
  <c r="CW126" i="33" s="1"/>
  <c r="V161" i="33" a="1"/>
  <c r="V161" i="33" s="1"/>
  <c r="CD51" i="33" a="1"/>
  <c r="CD51" i="33" s="1"/>
  <c r="BJ105" i="33" a="1"/>
  <c r="BJ105" i="33" s="1"/>
  <c r="BG138" i="33" a="1"/>
  <c r="BG138" i="33" s="1"/>
  <c r="BU21" i="33" a="1"/>
  <c r="BU21" i="33" s="1"/>
  <c r="BV154" i="33" a="1"/>
  <c r="BV154" i="33" s="1"/>
  <c r="BJ115" i="33" a="1"/>
  <c r="BJ115" i="33" s="1"/>
  <c r="BP126" i="33" a="1"/>
  <c r="BP126" i="33" s="1"/>
  <c r="BJ89" i="33" a="1"/>
  <c r="BJ89" i="33" s="1"/>
  <c r="AQ121" i="33" a="1"/>
  <c r="AQ121" i="33" s="1"/>
  <c r="X21" i="33" a="1"/>
  <c r="X21" i="33" s="1"/>
  <c r="CD31" i="33" a="1"/>
  <c r="CD31" i="33" s="1"/>
  <c r="AZ79" i="33" a="1"/>
  <c r="AZ79" i="33" s="1"/>
  <c r="BA46" i="33" a="1"/>
  <c r="BA46" i="33" s="1"/>
  <c r="X108" i="33" a="1"/>
  <c r="X108" i="33" s="1"/>
  <c r="CW69" i="33" a="1"/>
  <c r="CW69" i="33" s="1"/>
  <c r="AF28" i="33" a="1"/>
  <c r="AF28" i="33" s="1"/>
  <c r="CN159" i="33" a="1"/>
  <c r="CN159" i="33" s="1"/>
  <c r="CP55" i="33" a="1"/>
  <c r="CP55" i="33" s="1"/>
  <c r="AQ155" i="33" a="1"/>
  <c r="AQ155" i="33" s="1"/>
  <c r="BV106" i="33" a="1"/>
  <c r="BV106" i="33" s="1"/>
  <c r="CE142" i="33" a="1"/>
  <c r="CE142" i="33" s="1"/>
  <c r="AZ133" i="33" a="1"/>
  <c r="AZ133" i="33" s="1"/>
  <c r="BP55" i="33" a="1"/>
  <c r="BP55" i="33" s="1"/>
  <c r="W37" i="33" a="1"/>
  <c r="W37" i="33" s="1"/>
  <c r="AZ22" i="33" a="1"/>
  <c r="AZ22" i="33" s="1"/>
  <c r="AP39" i="33" a="1"/>
  <c r="AP39" i="33" s="1"/>
  <c r="BT43" i="33" a="1"/>
  <c r="BT43" i="33" s="1"/>
  <c r="CW23" i="33" a="1"/>
  <c r="CW23" i="33" s="1"/>
  <c r="AY132" i="33" a="1"/>
  <c r="AY132" i="33" s="1"/>
  <c r="V134" i="33" a="1"/>
  <c r="V134" i="33" s="1"/>
  <c r="AF125" i="33" a="1"/>
  <c r="AF125" i="33" s="1"/>
  <c r="AR70" i="33" a="1"/>
  <c r="AR70" i="33" s="1"/>
  <c r="AF82" i="33" a="1"/>
  <c r="AF82" i="33" s="1"/>
  <c r="X63" i="33" a="1"/>
  <c r="X63" i="33" s="1"/>
  <c r="AF120" i="33" a="1"/>
  <c r="AF120" i="33" s="1"/>
  <c r="BI143" i="33" a="1"/>
  <c r="BI143" i="33" s="1"/>
  <c r="CB87" i="33" a="1"/>
  <c r="CB87" i="33" s="1"/>
  <c r="CS17" i="33" a="1"/>
  <c r="CS17" i="33" s="1"/>
  <c r="BU45" i="33" a="1"/>
  <c r="BU45" i="33" s="1"/>
  <c r="CB59" i="33" a="1"/>
  <c r="CB59" i="33" s="1"/>
  <c r="AE87" i="33" a="1"/>
  <c r="AE87" i="33" s="1"/>
  <c r="CE72" i="33" a="1"/>
  <c r="CE72" i="33" s="1"/>
  <c r="CX15" i="33" a="1"/>
  <c r="CX15" i="33" s="1"/>
  <c r="BP39" i="33" a="1"/>
  <c r="BP39" i="33" s="1"/>
  <c r="CE67" i="33" a="1"/>
  <c r="CE67" i="33" s="1"/>
  <c r="CN149" i="33" a="1"/>
  <c r="CN149" i="33" s="1"/>
  <c r="CX17" i="33" a="1"/>
  <c r="CX17" i="33" s="1"/>
  <c r="BK137" i="33" a="1"/>
  <c r="BK137" i="33" s="1"/>
  <c r="X112" i="33" a="1"/>
  <c r="X112" i="33" s="1"/>
  <c r="CX103" i="33" a="1"/>
  <c r="CX103" i="33" s="1"/>
  <c r="BU44" i="33" a="1"/>
  <c r="BU44" i="33" s="1"/>
  <c r="CB58" i="33" a="1"/>
  <c r="CB58" i="33" s="1"/>
  <c r="AO14" i="33" a="1"/>
  <c r="AO14" i="33" s="1"/>
  <c r="CN112" i="33" a="1"/>
  <c r="CN112" i="33" s="1"/>
  <c r="W114" i="33" a="1"/>
  <c r="W114" i="33" s="1"/>
  <c r="AP21" i="33" a="1"/>
  <c r="AP21" i="33" s="1"/>
  <c r="BP90" i="33" a="1"/>
  <c r="BP90" i="33" s="1"/>
  <c r="AP105" i="33" a="1"/>
  <c r="AP105" i="33" s="1"/>
  <c r="AY82" i="33" a="1"/>
  <c r="AY82" i="33" s="1"/>
  <c r="AN91" i="33" a="1"/>
  <c r="AN91" i="33" s="1"/>
  <c r="CY152" i="33" a="1"/>
  <c r="CY152" i="33" s="1"/>
  <c r="CW19" i="33" a="1"/>
  <c r="CW19" i="33" s="1"/>
  <c r="CC159" i="33" a="1"/>
  <c r="CC159" i="33" s="1"/>
  <c r="AB104" i="33" a="1"/>
  <c r="AB104" i="33" s="1"/>
  <c r="BK21" i="33" a="1"/>
  <c r="BK21" i="33" s="1"/>
  <c r="AB77" i="33" a="1"/>
  <c r="AB77" i="33" s="1"/>
  <c r="BT16" i="33" a="1"/>
  <c r="BT16" i="33" s="1"/>
  <c r="AE42" i="33" a="1"/>
  <c r="AE42" i="33" s="1"/>
  <c r="AY138" i="33" a="1"/>
  <c r="AY138" i="33" s="1"/>
  <c r="BR118" i="33" a="1"/>
  <c r="BR118" i="33" s="1"/>
  <c r="AP138" i="33" a="1"/>
  <c r="AP138" i="33" s="1"/>
  <c r="CJ146" i="33" a="1"/>
  <c r="CJ146" i="33" s="1"/>
  <c r="AL131" i="33" a="1"/>
  <c r="AL131" i="33" s="1"/>
  <c r="W141" i="33" a="1"/>
  <c r="W141" i="33" s="1"/>
  <c r="AN31" i="33" a="1"/>
  <c r="AN31" i="33" s="1"/>
  <c r="BP43" i="33" a="1"/>
  <c r="BP43" i="33" s="1"/>
  <c r="CW160" i="33" a="1"/>
  <c r="CW160" i="33" s="1"/>
  <c r="CO115" i="33" a="1"/>
  <c r="CO115" i="33" s="1"/>
  <c r="AF20" i="33" a="1"/>
  <c r="AF20" i="33" s="1"/>
  <c r="AN34" i="33" a="1"/>
  <c r="AN34" i="33" s="1"/>
  <c r="CY134" i="33" a="1"/>
  <c r="CY134" i="33" s="1"/>
  <c r="BK143" i="33" a="1"/>
  <c r="BK143" i="33" s="1"/>
  <c r="CC134" i="33" a="1"/>
  <c r="CC134" i="33" s="1"/>
  <c r="BI32" i="33" a="1"/>
  <c r="BI32" i="33" s="1"/>
  <c r="AZ39" i="33" a="1"/>
  <c r="AZ39" i="33" s="1"/>
  <c r="BP118" i="33" a="1"/>
  <c r="BP118" i="33" s="1"/>
  <c r="V79" i="33" a="1"/>
  <c r="V79" i="33" s="1"/>
  <c r="AQ158" i="33" a="1"/>
  <c r="AQ158" i="33" s="1"/>
  <c r="CD19" i="33" a="1"/>
  <c r="CD19" i="33" s="1"/>
  <c r="CJ140" i="33" a="1"/>
  <c r="CJ140" i="33" s="1"/>
  <c r="AO156" i="33" a="1"/>
  <c r="AO156" i="33" s="1"/>
  <c r="BJ126" i="33" a="1"/>
  <c r="BJ126" i="33" s="1"/>
  <c r="CN17" i="33" a="1"/>
  <c r="CN17" i="33" s="1"/>
  <c r="CW97" i="33" a="1"/>
  <c r="CW97" i="33" s="1"/>
  <c r="CN72" i="33" a="1"/>
  <c r="CN72" i="33" s="1"/>
  <c r="BJ23" i="33" a="1"/>
  <c r="BJ23" i="33" s="1"/>
  <c r="CB31" i="33" a="1"/>
  <c r="CB31" i="33" s="1"/>
  <c r="AN139" i="33" a="1"/>
  <c r="AN139" i="33" s="1"/>
  <c r="AP38" i="33" a="1"/>
  <c r="AP38" i="33" s="1"/>
  <c r="V110" i="33" a="1"/>
  <c r="V110" i="33" s="1"/>
  <c r="AF85" i="33" a="1"/>
  <c r="AF85" i="33" s="1"/>
  <c r="AR117" i="33" a="1"/>
  <c r="AR117" i="33" s="1"/>
  <c r="CW54" i="33" a="1"/>
  <c r="CW54" i="33" s="1"/>
  <c r="AY32" i="33" a="1"/>
  <c r="AY32" i="33" s="1"/>
  <c r="X99" i="33" a="1"/>
  <c r="X99" i="33" s="1"/>
  <c r="CE37" i="33" a="1"/>
  <c r="CE37" i="33" s="1"/>
  <c r="W96" i="33" a="1"/>
  <c r="W96" i="33" s="1"/>
  <c r="AZ137" i="33" a="1"/>
  <c r="AZ137" i="33" s="1"/>
  <c r="CY41" i="33" a="1"/>
  <c r="CY41" i="33" s="1"/>
  <c r="CM81" i="33" a="1"/>
  <c r="CM81" i="33" s="1"/>
  <c r="BK50" i="33" a="1"/>
  <c r="BK50" i="33" s="1"/>
  <c r="CB128" i="33" a="1"/>
  <c r="CB128" i="33" s="1"/>
  <c r="AG114" i="33" a="1"/>
  <c r="AG114" i="33" s="1"/>
  <c r="AH35" i="33" a="1"/>
  <c r="AH35" i="33" s="1"/>
  <c r="AN129" i="33" a="1"/>
  <c r="AN129" i="33" s="1"/>
  <c r="X111" i="33" a="1"/>
  <c r="X111" i="33" s="1"/>
  <c r="CM70" i="33" a="1"/>
  <c r="CM70" i="33" s="1"/>
  <c r="AO111" i="33" a="1"/>
  <c r="AO111" i="33" s="1"/>
  <c r="CD145" i="33" a="1"/>
  <c r="CD145" i="33" s="1"/>
  <c r="AR97" i="33" a="1"/>
  <c r="AR97" i="33" s="1"/>
  <c r="AX151" i="33" a="1"/>
  <c r="AX151" i="33" s="1"/>
  <c r="AO33" i="33" a="1"/>
  <c r="AO33" i="33" s="1"/>
  <c r="CC49" i="33" a="1"/>
  <c r="CC49" i="33" s="1"/>
  <c r="AL55" i="33" a="1"/>
  <c r="AL55" i="33" s="1"/>
  <c r="BI70" i="33" a="1"/>
  <c r="BI70" i="33" s="1"/>
  <c r="CW135" i="33" a="1"/>
  <c r="CW135" i="33" s="1"/>
  <c r="BT111" i="33" a="1"/>
  <c r="BT111" i="33" s="1"/>
  <c r="CL87" i="33" a="1"/>
  <c r="CL87" i="33" s="1"/>
  <c r="BI68" i="33" a="1"/>
  <c r="BI68" i="33" s="1"/>
  <c r="BS127" i="33" a="1"/>
  <c r="BS127" i="33" s="1"/>
  <c r="AG127" i="33" a="1"/>
  <c r="AG127" i="33" s="1"/>
  <c r="AD17" i="33" a="1"/>
  <c r="AD17" i="33" s="1"/>
  <c r="CC142" i="33" a="1"/>
  <c r="CC142" i="33" s="1"/>
  <c r="CN114" i="33" a="1"/>
  <c r="CN114" i="33" s="1"/>
  <c r="AD39" i="33" a="1"/>
  <c r="AD39" i="33" s="1"/>
  <c r="AX70" i="33" a="1"/>
  <c r="AX70" i="33" s="1"/>
  <c r="CL27" i="33" a="1"/>
  <c r="CL27" i="33" s="1"/>
  <c r="CM136" i="33" a="1"/>
  <c r="CM136" i="33" s="1"/>
  <c r="CJ130" i="33" a="1"/>
  <c r="CJ130" i="33" s="1"/>
  <c r="BP102" i="33" a="1"/>
  <c r="BP102" i="33" s="1"/>
  <c r="BU105" i="33" a="1"/>
  <c r="BU105" i="33" s="1"/>
  <c r="CD79" i="33" a="1"/>
  <c r="CD79" i="33" s="1"/>
  <c r="CE106" i="33" a="1"/>
  <c r="CE106" i="33" s="1"/>
  <c r="AD19" i="33" a="1"/>
  <c r="AD19" i="33" s="1"/>
  <c r="CB27" i="33" a="1"/>
  <c r="CB27" i="33" s="1"/>
  <c r="V84" i="33" a="1"/>
  <c r="V84" i="33" s="1"/>
  <c r="BP53" i="33" a="1"/>
  <c r="BP53" i="33" s="1"/>
  <c r="BJ43" i="33" a="1"/>
  <c r="BJ43" i="33" s="1"/>
  <c r="CN29" i="33" a="1"/>
  <c r="CN29" i="33" s="1"/>
  <c r="CM73" i="33" a="1"/>
  <c r="CM73" i="33" s="1"/>
  <c r="CS114" i="33" a="1"/>
  <c r="CS114" i="33" s="1"/>
  <c r="CY114" i="33" a="1"/>
  <c r="CY114" i="33" s="1"/>
  <c r="CB48" i="33" a="1"/>
  <c r="CB48" i="33" s="1"/>
  <c r="AQ156" i="33" a="1"/>
  <c r="AQ156" i="33" s="1"/>
  <c r="AN90" i="33" a="1"/>
  <c r="AN90" i="33" s="1"/>
  <c r="CW33" i="33" a="1"/>
  <c r="CW33" i="33" s="1"/>
  <c r="CM103" i="33" a="1"/>
  <c r="CM103" i="33" s="1"/>
  <c r="BK124" i="33" a="1"/>
  <c r="BK124" i="33" s="1"/>
  <c r="AO25" i="33" a="1"/>
  <c r="AO25" i="33" s="1"/>
  <c r="AE118" i="33" a="1"/>
  <c r="AE118" i="33" s="1"/>
  <c r="CM37" i="33" a="1"/>
  <c r="CM37" i="33" s="1"/>
  <c r="AX157" i="33" a="1"/>
  <c r="AX157" i="33" s="1"/>
  <c r="AY125" i="33" a="1"/>
  <c r="AY125" i="33" s="1"/>
  <c r="V148" i="33" a="1"/>
  <c r="V148" i="33" s="1"/>
  <c r="X77" i="33" a="1"/>
  <c r="X77" i="33" s="1"/>
  <c r="CB14" i="33" a="1"/>
  <c r="CB14" i="33" s="1"/>
  <c r="BO121" i="33" a="1"/>
  <c r="BO121" i="33" s="1"/>
  <c r="AE43" i="33" a="1"/>
  <c r="AE43" i="33" s="1"/>
  <c r="AD18" i="33" a="1"/>
  <c r="AD18" i="33" s="1"/>
  <c r="AF30" i="33" a="1"/>
  <c r="AF30" i="33" s="1"/>
  <c r="BS39" i="33" a="1"/>
  <c r="BS39" i="33" s="1"/>
  <c r="AY141" i="33" a="1"/>
  <c r="AY141" i="33" s="1"/>
  <c r="CD15" i="33" a="1"/>
  <c r="CD15" i="33" s="1"/>
  <c r="BI77" i="33" a="1"/>
  <c r="BI77" i="33" s="1"/>
  <c r="BR52" i="33" a="1"/>
  <c r="BR52" i="33" s="1"/>
  <c r="AN101" i="33" a="1"/>
  <c r="AN101" i="33" s="1"/>
  <c r="CB110" i="33" a="1"/>
  <c r="CB110" i="33" s="1"/>
  <c r="BS45" i="33" a="1"/>
  <c r="BS45" i="33" s="1"/>
  <c r="AN149" i="33" a="1"/>
  <c r="AN149" i="33" s="1"/>
  <c r="AX99" i="33" a="1"/>
  <c r="AX99" i="33" s="1"/>
  <c r="AP151" i="33" a="1"/>
  <c r="AP151" i="33" s="1"/>
  <c r="BR131" i="33" a="1"/>
  <c r="BR131" i="33" s="1"/>
  <c r="AE26" i="33" a="1"/>
  <c r="AE26" i="33" s="1"/>
  <c r="BU14" i="33" a="1"/>
  <c r="BU14" i="33" s="1"/>
  <c r="BS86" i="33" a="1"/>
  <c r="BS86" i="33" s="1"/>
  <c r="BU93" i="33" a="1"/>
  <c r="BU93" i="33" s="1"/>
  <c r="BT73" i="33" a="1"/>
  <c r="BT73" i="33" s="1"/>
  <c r="CW84" i="33" a="1"/>
  <c r="CW84" i="33" s="1"/>
  <c r="AB26" i="33" a="1"/>
  <c r="AB26" i="33" s="1"/>
  <c r="CW74" i="33" a="1"/>
  <c r="CW74" i="33" s="1"/>
  <c r="BO85" i="33" a="1"/>
  <c r="BO85" i="33" s="1"/>
  <c r="BP60" i="33" a="1"/>
  <c r="BP60" i="33" s="1"/>
  <c r="AO32" i="33" a="1"/>
  <c r="AO32" i="33" s="1"/>
  <c r="AL44" i="33" a="1"/>
  <c r="AL44" i="33" s="1"/>
  <c r="BS130" i="33" a="1"/>
  <c r="BS130" i="33" s="1"/>
  <c r="V71" i="33" a="1"/>
  <c r="V71" i="33" s="1"/>
  <c r="BR126" i="33" a="1"/>
  <c r="BR126" i="33" s="1"/>
  <c r="AY150" i="33" a="1"/>
  <c r="AY150" i="33" s="1"/>
  <c r="CL113" i="33" a="1"/>
  <c r="CL113" i="33" s="1"/>
  <c r="AN72" i="33" a="1"/>
  <c r="AN72" i="33" s="1"/>
  <c r="AG135" i="33" a="1"/>
  <c r="AG135" i="33" s="1"/>
  <c r="CM85" i="33" a="1"/>
  <c r="CM85" i="33" s="1"/>
  <c r="AY71" i="33" a="1"/>
  <c r="AY71" i="33" s="1"/>
  <c r="AO55" i="33" a="1"/>
  <c r="AO55" i="33" s="1"/>
  <c r="BP159" i="33" a="1"/>
  <c r="BP159" i="33" s="1"/>
  <c r="CC18" i="33" a="1"/>
  <c r="CC18" i="33" s="1"/>
  <c r="CT28" i="33" a="1"/>
  <c r="CT28" i="33" s="1"/>
  <c r="CW36" i="33" a="1"/>
  <c r="CW36" i="33" s="1"/>
  <c r="CM99" i="33" a="1"/>
  <c r="CM99" i="33" s="1"/>
  <c r="AY53" i="33" a="1"/>
  <c r="AY53" i="33" s="1"/>
  <c r="BP123" i="33" a="1"/>
  <c r="BP123" i="33" s="1"/>
  <c r="AL103" i="33" a="1"/>
  <c r="AL103" i="33" s="1"/>
  <c r="AO86" i="33" a="1"/>
  <c r="AO86" i="33" s="1"/>
  <c r="CW157" i="33" a="1"/>
  <c r="CW157" i="33" s="1"/>
  <c r="BY126" i="33" a="1"/>
  <c r="BY126" i="33" s="1"/>
  <c r="AB44" i="33" a="1"/>
  <c r="AB44" i="33" s="1"/>
  <c r="AY106" i="33" a="1"/>
  <c r="AY106" i="33" s="1"/>
  <c r="CE31" i="33" a="1"/>
  <c r="CE31" i="33" s="1"/>
  <c r="CI59" i="33" a="1"/>
  <c r="CI59" i="33" s="1"/>
  <c r="V60" i="33" a="1"/>
  <c r="V60" i="33" s="1"/>
  <c r="CS75" i="33" a="1"/>
  <c r="CS75" i="33" s="1"/>
  <c r="AY130" i="33" a="1"/>
  <c r="AY130" i="33" s="1"/>
  <c r="BI16" i="33" a="1"/>
  <c r="BI16" i="33" s="1"/>
  <c r="AO77" i="33" a="1"/>
  <c r="AO77" i="33" s="1"/>
  <c r="AY81" i="33" a="1"/>
  <c r="AY81" i="33" s="1"/>
  <c r="V152" i="33" a="1"/>
  <c r="V152" i="33" s="1"/>
  <c r="CM140" i="33" a="1"/>
  <c r="CM140" i="33" s="1"/>
  <c r="BP105" i="33" a="1"/>
  <c r="BP105" i="33" s="1"/>
  <c r="AY54" i="33" a="1"/>
  <c r="AY54" i="33" s="1"/>
  <c r="AX64" i="33" a="1"/>
  <c r="AX64" i="33" s="1"/>
  <c r="AG41" i="33" a="1"/>
  <c r="AG41" i="33" s="1"/>
  <c r="CM139" i="33" a="1"/>
  <c r="CM139" i="33" s="1"/>
  <c r="AB87" i="33" a="1"/>
  <c r="AB87" i="33" s="1"/>
  <c r="CW156" i="33" a="1"/>
  <c r="CW156" i="33" s="1"/>
  <c r="CC45" i="33" a="1"/>
  <c r="CC45" i="33" s="1"/>
  <c r="BP49" i="33" a="1"/>
  <c r="BP49" i="33" s="1"/>
  <c r="CL20" i="33" a="1"/>
  <c r="CL20" i="33" s="1"/>
  <c r="AD141" i="33" a="1"/>
  <c r="AD141" i="33" s="1"/>
  <c r="CI90" i="33" a="1"/>
  <c r="CI90" i="33" s="1"/>
  <c r="BD157" i="33" a="1"/>
  <c r="BD157" i="33" s="1"/>
  <c r="AE159" i="33" a="1"/>
  <c r="AE159" i="33" s="1"/>
  <c r="AY38" i="33" a="1"/>
  <c r="AY38" i="33" s="1"/>
  <c r="AL106" i="33" a="1"/>
  <c r="AL106" i="33" s="1"/>
  <c r="CS48" i="33" a="1"/>
  <c r="CS48" i="33" s="1"/>
  <c r="BK107" i="33" a="1"/>
  <c r="BK107" i="33" s="1"/>
  <c r="CD16" i="33" a="1"/>
  <c r="CD16" i="33" s="1"/>
  <c r="BT40" i="33" a="1"/>
  <c r="BT40" i="33" s="1"/>
  <c r="AQ111" i="33" a="1"/>
  <c r="AQ111" i="33" s="1"/>
  <c r="BS104" i="33" a="1"/>
  <c r="BS104" i="33" s="1"/>
  <c r="BP34" i="33" a="1"/>
  <c r="BP34" i="33" s="1"/>
  <c r="CI36" i="33" a="1"/>
  <c r="CI36" i="33" s="1"/>
  <c r="BT87" i="33" a="1"/>
  <c r="BT87" i="33" s="1"/>
  <c r="AB137" i="33" a="1"/>
  <c r="AB137" i="33" s="1"/>
  <c r="AR84" i="33" a="1"/>
  <c r="AR84" i="33" s="1"/>
  <c r="AG116" i="33" a="1"/>
  <c r="AG116" i="33" s="1"/>
  <c r="V128" i="33" a="1"/>
  <c r="V128" i="33" s="1"/>
  <c r="BR161" i="33" a="1"/>
  <c r="BR161" i="33" s="1"/>
  <c r="CW91" i="33" a="1"/>
  <c r="CW91" i="33" s="1"/>
  <c r="AY79" i="33" a="1"/>
  <c r="AY79" i="33" s="1"/>
  <c r="AB59" i="33" a="1"/>
  <c r="AB59" i="33" s="1"/>
  <c r="CE137" i="33" a="1"/>
  <c r="CE137" i="33" s="1"/>
  <c r="BJ62" i="33" a="1"/>
  <c r="BJ62" i="33" s="1"/>
  <c r="BJ161" i="33" a="1"/>
  <c r="BJ161" i="33" s="1"/>
  <c r="CX32" i="33" a="1"/>
  <c r="CX32" i="33" s="1"/>
  <c r="AN81" i="33" a="1"/>
  <c r="AN81" i="33" s="1"/>
  <c r="V55" i="33" a="1"/>
  <c r="V55" i="33" s="1"/>
  <c r="AH155" i="33" a="1"/>
  <c r="AH155" i="33" s="1"/>
  <c r="CX86" i="33" a="1"/>
  <c r="CX86" i="33" s="1"/>
  <c r="X38" i="33" a="1"/>
  <c r="X38" i="33" s="1"/>
  <c r="AH109" i="33" a="1"/>
  <c r="AH109" i="33" s="1"/>
  <c r="BI75" i="33" a="1"/>
  <c r="BI75" i="33" s="1"/>
  <c r="AB49" i="33" a="1"/>
  <c r="AB49" i="33" s="1"/>
  <c r="BU95" i="33" a="1"/>
  <c r="BU95" i="33" s="1"/>
  <c r="AP83" i="33" a="1"/>
  <c r="AP83" i="33" s="1"/>
  <c r="AQ79" i="33" a="1"/>
  <c r="AQ79" i="33" s="1"/>
  <c r="AY139" i="33" a="1"/>
  <c r="AY139" i="33" s="1"/>
  <c r="V14" i="33" a="1"/>
  <c r="V14" i="33" s="1"/>
  <c r="V80" i="33" a="1"/>
  <c r="V80" i="33" s="1"/>
  <c r="V18" i="33" a="1"/>
  <c r="V18" i="33" s="1"/>
  <c r="CY31" i="33" a="1"/>
  <c r="CY31" i="33" s="1"/>
  <c r="AG79" i="33" a="1"/>
  <c r="AG79" i="33" s="1"/>
  <c r="AF29" i="33" a="1"/>
  <c r="AF29" i="33" s="1"/>
  <c r="BA121" i="33" a="1"/>
  <c r="BA121" i="33" s="1"/>
  <c r="AE54" i="33" a="1"/>
  <c r="AE54" i="33" s="1"/>
  <c r="AB29" i="33" a="1"/>
  <c r="AB29" i="33" s="1"/>
  <c r="CD77" i="33" a="1"/>
  <c r="CD77" i="33" s="1"/>
  <c r="AL139" i="33" a="1"/>
  <c r="AL139" i="33" s="1"/>
  <c r="CY76" i="33" a="1"/>
  <c r="CY76" i="33" s="1"/>
  <c r="CJ61" i="33" a="1"/>
  <c r="CJ61" i="33" s="1"/>
  <c r="CL97" i="33" a="1"/>
  <c r="CL97" i="33" s="1"/>
  <c r="CW116" i="33" a="1"/>
  <c r="CW116" i="33" s="1"/>
  <c r="CL152" i="33" a="1"/>
  <c r="CL152" i="33" s="1"/>
  <c r="AE48" i="33" a="1"/>
  <c r="AE48" i="33" s="1"/>
  <c r="AL35" i="33" a="1"/>
  <c r="AL35" i="33" s="1"/>
  <c r="AF72" i="33" a="1"/>
  <c r="AF72" i="33" s="1"/>
  <c r="AO105" i="33" a="1"/>
  <c r="AO105" i="33" s="1"/>
  <c r="CB71" i="33" a="1"/>
  <c r="CB71" i="33" s="1"/>
  <c r="AH151" i="33" a="1"/>
  <c r="AH151" i="33" s="1"/>
  <c r="AG129" i="33" a="1"/>
  <c r="AG129" i="33" s="1"/>
  <c r="BT85" i="33" a="1"/>
  <c r="BT85" i="33" s="1"/>
  <c r="BR144" i="33" a="1"/>
  <c r="BR144" i="33" s="1"/>
  <c r="CM159" i="33" a="1"/>
  <c r="CM159" i="33" s="1"/>
  <c r="CM24" i="33" a="1"/>
  <c r="CM24" i="33" s="1"/>
  <c r="BJ38" i="33" a="1"/>
  <c r="BJ38" i="33" s="1"/>
  <c r="CN59" i="33" a="1"/>
  <c r="CN59" i="33" s="1"/>
  <c r="BJ53" i="33" a="1"/>
  <c r="BJ53" i="33" s="1"/>
  <c r="CM87" i="33" a="1"/>
  <c r="CM87" i="33" s="1"/>
  <c r="BK116" i="33" a="1"/>
  <c r="BK116" i="33" s="1"/>
  <c r="AO119" i="33" a="1"/>
  <c r="AO119" i="33" s="1"/>
  <c r="CL108" i="33" a="1"/>
  <c r="CL108" i="33" s="1"/>
  <c r="AY120" i="33" a="1"/>
  <c r="AY120" i="33" s="1"/>
  <c r="AP92" i="33" a="1"/>
  <c r="AP92" i="33" s="1"/>
  <c r="AL85" i="33" a="1"/>
  <c r="AL85" i="33" s="1"/>
  <c r="AB110" i="33" a="1"/>
  <c r="AB110" i="33" s="1"/>
  <c r="AD133" i="33" a="1"/>
  <c r="AD133" i="33" s="1"/>
  <c r="W51" i="33" a="1"/>
  <c r="W51" i="33" s="1"/>
  <c r="CC147" i="33" a="1"/>
  <c r="CC147" i="33" s="1"/>
  <c r="AE15" i="33" a="1"/>
  <c r="AE15" i="33" s="1"/>
  <c r="CW99" i="33" a="1"/>
  <c r="CW99" i="33" s="1"/>
  <c r="CC154" i="33" a="1"/>
  <c r="CC154" i="33" s="1"/>
  <c r="BP114" i="33" a="1"/>
  <c r="BP114" i="33" s="1"/>
  <c r="AP114" i="33" a="1"/>
  <c r="AP114" i="33" s="1"/>
  <c r="AF152" i="33" a="1"/>
  <c r="AF152" i="33" s="1"/>
  <c r="AO85" i="33" a="1"/>
  <c r="AO85" i="33" s="1"/>
  <c r="BU143" i="33" a="1"/>
  <c r="BU143" i="33" s="1"/>
  <c r="AX109" i="33" a="1"/>
  <c r="AX109" i="33" s="1"/>
  <c r="AN103" i="33" a="1"/>
  <c r="AN103" i="33" s="1"/>
  <c r="W148" i="33" a="1"/>
  <c r="W148" i="33" s="1"/>
  <c r="CM128" i="33" a="1"/>
  <c r="CM128" i="33" s="1"/>
  <c r="BO101" i="33" a="1"/>
  <c r="BO101" i="33" s="1"/>
  <c r="AX67" i="33" a="1"/>
  <c r="AX67" i="33" s="1"/>
  <c r="AH27" i="33" a="1"/>
  <c r="AH27" i="33" s="1"/>
  <c r="AE29" i="33" a="1"/>
  <c r="AE29" i="33" s="1"/>
  <c r="AF41" i="33" a="1"/>
  <c r="AF41" i="33" s="1"/>
  <c r="CC87" i="33" a="1"/>
  <c r="CC87" i="33" s="1"/>
  <c r="CK160" i="33" a="1"/>
  <c r="CK160" i="33" s="1"/>
  <c r="AZ75" i="33" a="1"/>
  <c r="AZ75" i="33" s="1"/>
  <c r="BS33" i="33" a="1"/>
  <c r="BS33" i="33" s="1"/>
  <c r="AG33" i="33" a="1"/>
  <c r="AG33" i="33" s="1"/>
  <c r="AO48" i="33" a="1"/>
  <c r="AO48" i="33" s="1"/>
  <c r="CM96" i="33" a="1"/>
  <c r="CM96" i="33" s="1"/>
  <c r="BS27" i="33" a="1"/>
  <c r="BS27" i="33" s="1"/>
  <c r="BI155" i="33" a="1"/>
  <c r="BI155" i="33" s="1"/>
  <c r="CC90" i="33" a="1"/>
  <c r="CC90" i="33" s="1"/>
  <c r="CE16" i="33" a="1"/>
  <c r="CE16" i="33" s="1"/>
  <c r="AO53" i="33" a="1"/>
  <c r="AO53" i="33" s="1"/>
  <c r="CB39" i="33" a="1"/>
  <c r="CB39" i="33" s="1"/>
  <c r="CW18" i="33" a="1"/>
  <c r="CW18" i="33" s="1"/>
  <c r="AP113" i="33" a="1"/>
  <c r="AP113" i="33" s="1"/>
  <c r="AO98" i="33" a="1"/>
  <c r="AO98" i="33" s="1"/>
  <c r="BI100" i="33" a="1"/>
  <c r="BI100" i="33" s="1"/>
  <c r="CY99" i="33" a="1"/>
  <c r="CY99" i="33" s="1"/>
  <c r="AZ26" i="33" a="1"/>
  <c r="AZ26" i="33" s="1"/>
  <c r="AL99" i="33" a="1"/>
  <c r="AL99" i="33" s="1"/>
  <c r="CY15" i="33" a="1"/>
  <c r="CY15" i="33" s="1"/>
  <c r="CN91" i="33" a="1"/>
  <c r="CN91" i="33" s="1"/>
  <c r="AD65" i="33" a="1"/>
  <c r="AD65" i="33" s="1"/>
  <c r="CO134" i="33" a="1"/>
  <c r="CO134" i="33" s="1"/>
  <c r="BI84" i="33" a="1"/>
  <c r="BI84" i="33" s="1"/>
  <c r="CI45" i="33" a="1"/>
  <c r="CI45" i="33" s="1"/>
  <c r="CM68" i="33" a="1"/>
  <c r="CM68" i="33" s="1"/>
  <c r="BI150" i="33" a="1"/>
  <c r="BI150" i="33" s="1"/>
  <c r="AN40" i="33" a="1"/>
  <c r="AN40" i="33" s="1"/>
  <c r="W58" i="33" a="1"/>
  <c r="W58" i="33" s="1"/>
  <c r="CM149" i="33" a="1"/>
  <c r="CM149" i="33" s="1"/>
  <c r="CC79" i="33" a="1"/>
  <c r="CC79" i="33" s="1"/>
  <c r="AO84" i="33" a="1"/>
  <c r="AO84" i="33" s="1"/>
  <c r="AF99" i="33" a="1"/>
  <c r="AF99" i="33" s="1"/>
  <c r="AE95" i="33" a="1"/>
  <c r="AE95" i="33" s="1"/>
  <c r="CY100" i="33" a="1"/>
  <c r="CY100" i="33" s="1"/>
  <c r="CC88" i="33" a="1"/>
  <c r="CC88" i="33" s="1"/>
  <c r="AO117" i="33" a="1"/>
  <c r="AO117" i="33" s="1"/>
  <c r="BR95" i="33" a="1"/>
  <c r="BR95" i="33" s="1"/>
  <c r="AY19" i="33" a="1"/>
  <c r="AY19" i="33" s="1"/>
  <c r="CN110" i="33" a="1"/>
  <c r="CN110" i="33" s="1"/>
  <c r="AO24" i="33" a="1"/>
  <c r="AO24" i="33" s="1"/>
  <c r="AO51" i="33" a="1"/>
  <c r="AO51" i="33" s="1"/>
  <c r="BU116" i="33" a="1"/>
  <c r="BU116" i="33" s="1"/>
  <c r="AF147" i="33" a="1"/>
  <c r="AF147" i="33" s="1"/>
  <c r="CS143" i="33" a="1"/>
  <c r="CS143" i="33" s="1"/>
  <c r="CS127" i="33" a="1"/>
  <c r="CS127" i="33" s="1"/>
  <c r="AP147" i="33" a="1"/>
  <c r="AP147" i="33" s="1"/>
  <c r="AB90" i="33" a="1"/>
  <c r="AB90" i="33" s="1"/>
  <c r="BA61" i="33" a="1"/>
  <c r="BA61" i="33" s="1"/>
  <c r="CS44" i="33" a="1"/>
  <c r="CS44" i="33" s="1"/>
  <c r="AB115" i="33" a="1"/>
  <c r="AB115" i="33" s="1"/>
  <c r="CO41" i="33" a="1"/>
  <c r="CO41" i="33" s="1"/>
  <c r="BS118" i="33" a="1"/>
  <c r="BS118" i="33" s="1"/>
  <c r="CO43" i="33" a="1"/>
  <c r="CO43" i="33" s="1"/>
  <c r="AE136" i="33" a="1"/>
  <c r="AE136" i="33" s="1"/>
  <c r="AO80" i="33" a="1"/>
  <c r="AO80" i="33" s="1"/>
  <c r="AD160" i="33" a="1"/>
  <c r="AD160" i="33" s="1"/>
  <c r="CW161" i="33" a="1"/>
  <c r="CW161" i="33" s="1"/>
  <c r="CM120" i="33" a="1"/>
  <c r="CM120" i="33" s="1"/>
  <c r="X157" i="33" a="1"/>
  <c r="X157" i="33" s="1"/>
  <c r="AD48" i="33" a="1"/>
  <c r="AD48" i="33" s="1"/>
  <c r="AD49" i="33" a="1"/>
  <c r="AD49" i="33" s="1"/>
  <c r="AB96" i="33" a="1"/>
  <c r="AB96" i="33" s="1"/>
  <c r="AE86" i="33" a="1"/>
  <c r="AE86" i="33" s="1"/>
  <c r="V53" i="33" a="1"/>
  <c r="V53" i="33" s="1"/>
  <c r="AO102" i="33" a="1"/>
  <c r="AO102" i="33" s="1"/>
  <c r="AE81" i="33" a="1"/>
  <c r="AE81" i="33" s="1"/>
  <c r="CL30" i="33" a="1"/>
  <c r="CL30" i="33" s="1"/>
  <c r="V19" i="33" a="1"/>
  <c r="V19" i="33" s="1"/>
  <c r="BS139" i="33" a="1"/>
  <c r="BS139" i="33" s="1"/>
  <c r="CJ151" i="33" a="1"/>
  <c r="CJ151" i="33" s="1"/>
  <c r="BS97" i="33" a="1"/>
  <c r="BS97" i="33" s="1"/>
  <c r="AB141" i="33" a="1"/>
  <c r="AB141" i="33" s="1"/>
  <c r="CC107" i="33" a="1"/>
  <c r="CC107" i="33" s="1"/>
  <c r="AL73" i="33" a="1"/>
  <c r="AL73" i="33" s="1"/>
  <c r="AO39" i="33" a="1"/>
  <c r="AO39" i="33" s="1"/>
  <c r="AL87" i="33" a="1"/>
  <c r="AL87" i="33" s="1"/>
  <c r="BR43" i="33" a="1"/>
  <c r="BR43" i="33" s="1"/>
  <c r="AE93" i="33" a="1"/>
  <c r="AE93" i="33" s="1"/>
  <c r="CW78" i="33" a="1"/>
  <c r="CW78" i="33" s="1"/>
  <c r="AY153" i="33" a="1"/>
  <c r="AY153" i="33" s="1"/>
  <c r="AD72" i="33" a="1"/>
  <c r="AD72" i="33" s="1"/>
  <c r="BY143" i="33" a="1"/>
  <c r="BY143" i="33" s="1"/>
  <c r="AP68" i="33" a="1"/>
  <c r="AP68" i="33" s="1"/>
  <c r="V30" i="33" a="1"/>
  <c r="V30" i="33" s="1"/>
  <c r="CX126" i="33" a="1"/>
  <c r="CX126" i="33" s="1"/>
  <c r="CD113" i="33" a="1"/>
  <c r="CD113" i="33" s="1"/>
  <c r="CB103" i="33" a="1"/>
  <c r="CB103" i="33" s="1"/>
  <c r="AL109" i="33" a="1"/>
  <c r="AL109" i="33" s="1"/>
  <c r="CS152" i="33" a="1"/>
  <c r="CS152" i="33" s="1"/>
  <c r="V24" i="33" a="1"/>
  <c r="V24" i="33" s="1"/>
  <c r="X53" i="33" a="1"/>
  <c r="X53" i="33" s="1"/>
  <c r="CE25" i="33" a="1"/>
  <c r="CE25" i="33" s="1"/>
  <c r="CW119" i="33" a="1"/>
  <c r="CW119" i="33" s="1"/>
  <c r="BT144" i="33" a="1"/>
  <c r="BT144" i="33" s="1"/>
  <c r="AO37" i="33" a="1"/>
  <c r="AO37" i="33" s="1"/>
  <c r="AY114" i="33" a="1"/>
  <c r="AY114" i="33" s="1"/>
  <c r="AD57" i="33" a="1"/>
  <c r="AD57" i="33" s="1"/>
  <c r="CB21" i="33" a="1"/>
  <c r="CB21" i="33" s="1"/>
  <c r="W157" i="33" a="1"/>
  <c r="W157" i="33" s="1"/>
  <c r="AN118" i="33" a="1"/>
  <c r="AN118" i="33" s="1"/>
  <c r="BJ18" i="33" a="1"/>
  <c r="BJ18" i="33" s="1"/>
  <c r="AZ158" i="33" a="1"/>
  <c r="AZ158" i="33" s="1"/>
  <c r="BS75" i="33" a="1"/>
  <c r="BS75" i="33" s="1"/>
  <c r="BT81" i="33" a="1"/>
  <c r="BT81" i="33" s="1"/>
  <c r="CY92" i="33" a="1"/>
  <c r="CY92" i="33" s="1"/>
  <c r="BU142" i="33" a="1"/>
  <c r="BU142" i="33" s="1"/>
  <c r="BB117" i="33" a="1"/>
  <c r="BB117" i="33" s="1"/>
  <c r="CO100" i="33" a="1"/>
  <c r="CO100" i="33" s="1"/>
  <c r="CX161" i="33" a="1"/>
  <c r="CX161" i="33" s="1"/>
  <c r="AZ93" i="33" a="1"/>
  <c r="AZ93" i="33" s="1"/>
  <c r="CY81" i="33" a="1"/>
  <c r="CY81" i="33" s="1"/>
  <c r="AH161" i="33" a="1"/>
  <c r="AH161" i="33" s="1"/>
  <c r="V68" i="33" a="1"/>
  <c r="V68" i="33" s="1"/>
  <c r="BJ30" i="33" a="1"/>
  <c r="BJ30" i="33" s="1"/>
  <c r="BP89" i="33" a="1"/>
  <c r="BP89" i="33" s="1"/>
  <c r="AG69" i="33" a="1"/>
  <c r="AG69" i="33" s="1"/>
  <c r="AP64" i="33" a="1"/>
  <c r="AP64" i="33" s="1"/>
  <c r="W106" i="33" a="1"/>
  <c r="W106" i="33" s="1"/>
  <c r="CN145" i="33" a="1"/>
  <c r="CN145" i="33" s="1"/>
  <c r="AQ87" i="33" a="1"/>
  <c r="AQ87" i="33" s="1"/>
  <c r="AP110" i="33" a="1"/>
  <c r="AP110" i="33" s="1"/>
  <c r="AB51" i="33" a="1"/>
  <c r="AB51" i="33" s="1"/>
  <c r="CD46" i="33" a="1"/>
  <c r="CD46" i="33" s="1"/>
  <c r="BJ34" i="33" a="1"/>
  <c r="BJ34" i="33" s="1"/>
  <c r="CL65" i="33" a="1"/>
  <c r="CL65" i="33" s="1"/>
  <c r="BS99" i="33" a="1"/>
  <c r="BS99" i="33" s="1"/>
  <c r="BJ143" i="33" a="1"/>
  <c r="BJ143" i="33" s="1"/>
  <c r="AB102" i="33" a="1"/>
  <c r="AB102" i="33" s="1"/>
  <c r="CD21" i="33" a="1"/>
  <c r="CD21" i="33" s="1"/>
  <c r="CO118" i="33" a="1"/>
  <c r="CO118" i="33" s="1"/>
  <c r="AR124" i="33" a="1"/>
  <c r="AR124" i="33" s="1"/>
  <c r="BS34" i="33" a="1"/>
  <c r="BS34" i="33" s="1"/>
  <c r="AO89" i="33" a="1"/>
  <c r="AO89" i="33" s="1"/>
  <c r="CY33" i="33" a="1"/>
  <c r="CY33" i="33" s="1"/>
  <c r="AP30" i="33" a="1"/>
  <c r="AP30" i="33" s="1"/>
  <c r="CL159" i="33" a="1"/>
  <c r="CL159" i="33" s="1"/>
  <c r="AY62" i="33" a="1"/>
  <c r="AY62" i="33" s="1"/>
  <c r="AO120" i="33" a="1"/>
  <c r="AO120" i="33" s="1"/>
  <c r="AO116" i="33" a="1"/>
  <c r="AO116" i="33" s="1"/>
  <c r="AF131" i="33" a="1"/>
  <c r="AF131" i="33" s="1"/>
  <c r="CE122" i="33" a="1"/>
  <c r="CE122" i="33" s="1"/>
  <c r="BR77" i="33" a="1"/>
  <c r="BR77" i="33" s="1"/>
  <c r="AY61" i="33" a="1"/>
  <c r="AY61" i="33" s="1"/>
  <c r="AP96" i="33" a="1"/>
  <c r="AP96" i="33" s="1"/>
  <c r="AR95" i="33" a="1"/>
  <c r="AR95" i="33" s="1"/>
  <c r="CO49" i="33" a="1"/>
  <c r="CO49" i="33" s="1"/>
  <c r="CS125" i="33" a="1"/>
  <c r="CS125" i="33" s="1"/>
  <c r="AL111" i="33" a="1"/>
  <c r="AL111" i="33" s="1"/>
  <c r="CL103" i="33" a="1"/>
  <c r="CL103" i="33" s="1"/>
  <c r="BJ84" i="33" a="1"/>
  <c r="BJ84" i="33" s="1"/>
  <c r="CO147" i="33" a="1"/>
  <c r="CO147" i="33" s="1"/>
  <c r="CD29" i="33" a="1"/>
  <c r="CD29" i="33" s="1"/>
  <c r="BP20" i="33" a="1"/>
  <c r="BP20" i="33" s="1"/>
  <c r="CN154" i="33" a="1"/>
  <c r="CN154" i="33" s="1"/>
  <c r="AQ100" i="33" a="1"/>
  <c r="AQ100" i="33" s="1"/>
  <c r="AP61" i="33" a="1"/>
  <c r="AP61" i="33" s="1"/>
  <c r="AB53" i="33" a="1"/>
  <c r="AB53" i="33" s="1"/>
  <c r="AO93" i="33" a="1"/>
  <c r="AO93" i="33" s="1"/>
  <c r="CJ137" i="33" a="1"/>
  <c r="CJ137" i="33" s="1"/>
  <c r="CL29" i="33" a="1"/>
  <c r="CL29" i="33" s="1"/>
  <c r="CD66" i="33" a="1"/>
  <c r="CD66" i="33" s="1"/>
  <c r="BI21" i="33" a="1"/>
  <c r="BI21" i="33" s="1"/>
  <c r="BS122" i="33" a="1"/>
  <c r="BS122" i="33" s="1"/>
  <c r="BI135" i="33" a="1"/>
  <c r="BI135" i="33" s="1"/>
  <c r="BJ149" i="33" a="1"/>
  <c r="BJ149" i="33" s="1"/>
  <c r="CW76" i="33" a="1"/>
  <c r="CW76" i="33" s="1"/>
  <c r="AO148" i="33" a="1"/>
  <c r="AO148" i="33" s="1"/>
  <c r="CC15" i="33" a="1"/>
  <c r="CC15" i="33" s="1"/>
  <c r="AY39" i="33" a="1"/>
  <c r="AY39" i="33" s="1"/>
  <c r="BT56" i="33" a="1"/>
  <c r="BT56" i="33" s="1"/>
  <c r="CC16" i="33" a="1"/>
  <c r="CC16" i="33" s="1"/>
  <c r="BI44" i="33" a="1"/>
  <c r="BI44" i="33" s="1"/>
  <c r="CW118" i="33" a="1"/>
  <c r="CW118" i="33" s="1"/>
  <c r="AF159" i="33" a="1"/>
  <c r="AF159" i="33" s="1"/>
  <c r="AG14" i="33" a="1"/>
  <c r="AG14" i="33" s="1"/>
  <c r="BP92" i="33" a="1"/>
  <c r="BP92" i="33" s="1"/>
  <c r="AY14" i="33" a="1"/>
  <c r="AY14" i="33" s="1"/>
  <c r="CL143" i="33" a="1"/>
  <c r="CL143" i="33" s="1"/>
  <c r="AB42" i="33" a="1"/>
  <c r="AB42" i="33" s="1"/>
  <c r="CL78" i="33" a="1"/>
  <c r="CL78" i="33" s="1"/>
  <c r="CM95" i="33" a="1"/>
  <c r="CM95" i="33" s="1"/>
  <c r="BI17" i="33" a="1"/>
  <c r="BI17" i="33" s="1"/>
  <c r="AX65" i="33" a="1"/>
  <c r="AX65" i="33" s="1"/>
  <c r="CX138" i="33" a="1"/>
  <c r="CX138" i="33" s="1"/>
  <c r="V40" i="33" a="1"/>
  <c r="V40" i="33" s="1"/>
  <c r="AG123" i="33" a="1"/>
  <c r="AG123" i="33" s="1"/>
  <c r="BA28" i="33" a="1"/>
  <c r="BA28" i="33" s="1"/>
  <c r="BR44" i="33" a="1"/>
  <c r="BR44" i="33" s="1"/>
  <c r="CM109" i="33" a="1"/>
  <c r="CM109" i="33" s="1"/>
  <c r="AN52" i="33" a="1"/>
  <c r="AN52" i="33" s="1"/>
  <c r="AX47" i="33" a="1"/>
  <c r="AX47" i="33" s="1"/>
  <c r="CB96" i="33" a="1"/>
  <c r="CB96" i="33" s="1"/>
  <c r="AO103" i="33" a="1"/>
  <c r="AO103" i="33" s="1"/>
  <c r="AE137" i="33" a="1"/>
  <c r="AE137" i="33" s="1"/>
  <c r="CI139" i="33" a="1"/>
  <c r="CI139" i="33" s="1"/>
  <c r="BR45" i="33" a="1"/>
  <c r="BR45" i="33" s="1"/>
  <c r="CJ150" i="33" a="1"/>
  <c r="CJ150" i="33" s="1"/>
  <c r="CW93" i="33" a="1"/>
  <c r="CW93" i="33" s="1"/>
  <c r="BI57" i="33" a="1"/>
  <c r="BI57" i="33" s="1"/>
  <c r="AX43" i="33" a="1"/>
  <c r="AX43" i="33" s="1"/>
  <c r="CS156" i="33" a="1"/>
  <c r="CS156" i="33" s="1"/>
  <c r="AX140" i="33" a="1"/>
  <c r="AX140" i="33" s="1"/>
  <c r="CM126" i="33" a="1"/>
  <c r="CM126" i="33" s="1"/>
  <c r="BI79" i="33" a="1"/>
  <c r="BI79" i="33" s="1"/>
  <c r="V49" i="33" a="1"/>
  <c r="V49" i="33" s="1"/>
  <c r="AY108" i="33" a="1"/>
  <c r="AY108" i="33" s="1"/>
  <c r="CM123" i="33" a="1"/>
  <c r="CM123" i="33" s="1"/>
  <c r="BI107" i="33" a="1"/>
  <c r="BI107" i="33" s="1"/>
  <c r="AY152" i="33" a="1"/>
  <c r="AY152" i="33" s="1"/>
  <c r="CW102" i="33" a="1"/>
  <c r="CW102" i="33" s="1"/>
  <c r="AP70" i="33" a="1"/>
  <c r="AP70" i="33" s="1"/>
  <c r="CI77" i="33" a="1"/>
  <c r="CI77" i="33" s="1"/>
  <c r="AL142" i="33" a="1"/>
  <c r="AL142" i="33" s="1"/>
  <c r="AY109" i="33" a="1"/>
  <c r="AY109" i="33" s="1"/>
  <c r="CS151" i="33" a="1"/>
  <c r="CS151" i="33" s="1"/>
  <c r="BP79" i="33" a="1"/>
  <c r="BP79" i="33" s="1"/>
  <c r="CS21" i="33" a="1"/>
  <c r="CS21" i="33" s="1"/>
  <c r="AL95" i="33" a="1"/>
  <c r="AL95" i="33" s="1"/>
  <c r="AX68" i="33" a="1"/>
  <c r="AX68" i="33" s="1"/>
  <c r="CW104" i="33" a="1"/>
  <c r="CW104" i="33" s="1"/>
  <c r="BR41" i="33" a="1"/>
  <c r="BR41" i="33" s="1"/>
  <c r="BR87" i="33" a="1"/>
  <c r="BR87" i="33" s="1"/>
  <c r="CJ82" i="33" a="1"/>
  <c r="CJ82" i="33" s="1"/>
  <c r="AB129" i="33" a="1"/>
  <c r="AB129" i="33" s="1"/>
  <c r="AO94" i="33" a="1"/>
  <c r="AO94" i="33" s="1"/>
  <c r="BP121" i="33" a="1"/>
  <c r="BP121" i="33" s="1"/>
  <c r="AP156" i="33" a="1"/>
  <c r="AP156" i="33" s="1"/>
  <c r="AR89" i="33" a="1"/>
  <c r="AR89" i="33" s="1"/>
  <c r="CC35" i="33" a="1"/>
  <c r="CC35" i="33" s="1"/>
  <c r="AD31" i="33" a="1"/>
  <c r="AD31" i="33" s="1"/>
  <c r="AO140" i="33" a="1"/>
  <c r="AO140" i="33" s="1"/>
  <c r="AL66" i="33" a="1"/>
  <c r="AL66" i="33" s="1"/>
  <c r="V39" i="33" a="1"/>
  <c r="V39" i="33" s="1"/>
  <c r="CS42" i="33" a="1"/>
  <c r="CS42" i="33" s="1"/>
  <c r="AD46" i="33" a="1"/>
  <c r="AD46" i="33" s="1"/>
  <c r="CS117" i="33" a="1"/>
  <c r="CS117" i="33" s="1"/>
  <c r="CL93" i="33" a="1"/>
  <c r="CL93" i="33" s="1"/>
  <c r="BI94" i="33" a="1"/>
  <c r="BI94" i="33" s="1"/>
  <c r="CL144" i="33" a="1"/>
  <c r="CL144" i="33" s="1"/>
  <c r="CL132" i="33" a="1"/>
  <c r="CL132" i="33" s="1"/>
  <c r="CS22" i="33" a="1"/>
  <c r="CS22" i="33" s="1"/>
  <c r="BY127" i="33" a="1"/>
  <c r="BY127" i="33" s="1"/>
  <c r="V116" i="33" a="1"/>
  <c r="V116" i="33" s="1"/>
  <c r="AE74" i="33" a="1"/>
  <c r="AE74" i="33" s="1"/>
  <c r="CV99" i="33" a="1"/>
  <c r="CV99" i="33" s="1"/>
  <c r="V141" i="33" a="1"/>
  <c r="V141" i="33" s="1"/>
  <c r="CE65" i="33" a="1"/>
  <c r="CE65" i="33" s="1"/>
  <c r="V157" i="33" a="1"/>
  <c r="V157" i="33" s="1"/>
  <c r="AP44" i="33" a="1"/>
  <c r="AP44" i="33" s="1"/>
  <c r="CI46" i="33" a="1"/>
  <c r="CI46" i="33" s="1"/>
  <c r="V69" i="33" a="1"/>
  <c r="V69" i="33" s="1"/>
  <c r="AR138" i="33" a="1"/>
  <c r="AR138" i="33" s="1"/>
  <c r="CE158" i="33" a="1"/>
  <c r="CE158" i="33" s="1"/>
  <c r="CB69" i="33" a="1"/>
  <c r="CB69" i="33" s="1"/>
  <c r="AZ116" i="33" a="1"/>
  <c r="AZ116" i="33" s="1"/>
  <c r="CX24" i="33" a="1"/>
  <c r="CX24" i="33" s="1"/>
  <c r="CE143" i="33" a="1"/>
  <c r="CE143" i="33" s="1"/>
  <c r="BT126" i="33" a="1"/>
  <c r="BT126" i="33" s="1"/>
  <c r="AE76" i="33" a="1"/>
  <c r="AE76" i="33" s="1"/>
  <c r="AR107" i="33" a="1"/>
  <c r="AR107" i="33" s="1"/>
  <c r="CE118" i="33" a="1"/>
  <c r="CE118" i="33" s="1"/>
  <c r="BJ127" i="33" a="1"/>
  <c r="BJ127" i="33" s="1"/>
  <c r="AN161" i="33" a="1"/>
  <c r="AN161" i="33" s="1"/>
  <c r="W43" i="33" a="1"/>
  <c r="W43" i="33" s="1"/>
  <c r="BT113" i="33" a="1"/>
  <c r="BT113" i="33" s="1"/>
  <c r="BA113" i="33" a="1"/>
  <c r="BA113" i="33" s="1"/>
  <c r="BP101" i="33" a="1"/>
  <c r="BP101" i="33" s="1"/>
  <c r="AN136" i="33" a="1"/>
  <c r="AN136" i="33" s="1"/>
  <c r="BK26" i="33" a="1"/>
  <c r="BK26" i="33" s="1"/>
  <c r="AO28" i="33" a="1"/>
  <c r="AO28" i="33" s="1"/>
  <c r="V63" i="33" a="1"/>
  <c r="V63" i="33" s="1"/>
  <c r="AR159" i="33" a="1"/>
  <c r="AR159" i="33" s="1"/>
  <c r="AF88" i="33" a="1"/>
  <c r="AF88" i="33" s="1"/>
  <c r="AZ23" i="33" a="1"/>
  <c r="AZ23" i="33" s="1"/>
  <c r="AN75" i="33" a="1"/>
  <c r="AN75" i="33" s="1"/>
  <c r="CM155" i="33" a="1"/>
  <c r="CM155" i="33" s="1"/>
  <c r="BJ116" i="33" a="1"/>
  <c r="BJ116" i="33" s="1"/>
  <c r="AE16" i="33" a="1"/>
  <c r="AE16" i="33" s="1"/>
  <c r="CX44" i="33" a="1"/>
  <c r="CX44" i="33" s="1"/>
  <c r="AB112" i="33" a="1"/>
  <c r="AB112" i="33" s="1"/>
  <c r="AG142" i="33" a="1"/>
  <c r="AG142" i="33" s="1"/>
  <c r="AP112" i="33" a="1"/>
  <c r="AP112" i="33" s="1"/>
  <c r="X35" i="33" a="1"/>
  <c r="X35" i="33" s="1"/>
  <c r="V32" i="33" a="1"/>
  <c r="V32" i="33" s="1"/>
  <c r="AZ84" i="33" a="1"/>
  <c r="AZ84" i="33" s="1"/>
  <c r="CX80" i="33" a="1"/>
  <c r="CX80" i="33" s="1"/>
  <c r="CW28" i="33" a="1"/>
  <c r="CW28" i="33" s="1"/>
  <c r="CX25" i="33" a="1"/>
  <c r="CX25" i="33" s="1"/>
  <c r="CB73" i="33" a="1"/>
  <c r="CB73" i="33" s="1"/>
  <c r="CC106" i="33" a="1"/>
  <c r="CC106" i="33" s="1"/>
  <c r="AR98" i="33" a="1"/>
  <c r="AR98" i="33" s="1"/>
  <c r="CE149" i="33" a="1"/>
  <c r="CE149" i="33" s="1"/>
  <c r="CC92" i="33" a="1"/>
  <c r="CC92" i="33" s="1"/>
  <c r="CJ138" i="33" a="1"/>
  <c r="CJ138" i="33" s="1"/>
  <c r="BI157" i="33" a="1"/>
  <c r="BI157" i="33" s="1"/>
  <c r="CD37" i="33" a="1"/>
  <c r="CD37" i="33" s="1"/>
  <c r="BR112" i="33" a="1"/>
  <c r="BR112" i="33" s="1"/>
  <c r="W19" i="33" a="1"/>
  <c r="W19" i="33" s="1"/>
  <c r="W21" i="33" a="1"/>
  <c r="W21" i="33" s="1"/>
  <c r="BS151" i="33" a="1"/>
  <c r="BS151" i="33" s="1"/>
  <c r="AE89" i="33" a="1"/>
  <c r="AE89" i="33" s="1"/>
  <c r="CW132" i="33" a="1"/>
  <c r="CW132" i="33" s="1"/>
  <c r="AH133" i="33" a="1"/>
  <c r="AH133" i="33" s="1"/>
  <c r="BU136" i="33" a="1"/>
  <c r="BU136" i="33" s="1"/>
  <c r="BA80" i="33" a="1"/>
  <c r="BA80" i="33" s="1"/>
  <c r="CE15" i="33" a="1"/>
  <c r="CE15" i="33" s="1"/>
  <c r="AD23" i="33" a="1"/>
  <c r="AD23" i="33" s="1"/>
  <c r="BP139" i="33" a="1"/>
  <c r="BP139" i="33" s="1"/>
  <c r="CM88" i="33" a="1"/>
  <c r="CM88" i="33" s="1"/>
  <c r="AN61" i="33" a="1"/>
  <c r="AN61" i="33" s="1"/>
  <c r="BI45" i="33" a="1"/>
  <c r="BI45" i="33" s="1"/>
  <c r="CD23" i="33" a="1"/>
  <c r="CD23" i="33" s="1"/>
  <c r="AY118" i="33" a="1"/>
  <c r="AY118" i="33" s="1"/>
  <c r="CC31" i="33" a="1"/>
  <c r="CC31" i="33" s="1"/>
  <c r="AQ142" i="33" a="1"/>
  <c r="AQ142" i="33" s="1"/>
  <c r="AF151" i="33" a="1"/>
  <c r="AF151" i="33" s="1"/>
  <c r="CM54" i="33" a="1"/>
  <c r="CM54" i="33" s="1"/>
  <c r="CB67" i="33" a="1"/>
  <c r="CB67" i="33" s="1"/>
  <c r="AE33" i="33" a="1"/>
  <c r="AE33" i="33" s="1"/>
  <c r="CM77" i="33" a="1"/>
  <c r="CM77" i="33" s="1"/>
  <c r="AE30" i="33" a="1"/>
  <c r="AE30" i="33" s="1"/>
  <c r="CB42" i="33" a="1"/>
  <c r="CB42" i="33" s="1"/>
  <c r="AE92" i="33" a="1"/>
  <c r="AE92" i="33" s="1"/>
  <c r="BI152" i="33" a="1"/>
  <c r="BI152" i="33" s="1"/>
  <c r="CC69" i="33" a="1"/>
  <c r="CC69" i="33" s="1"/>
  <c r="CB157" i="33" a="1"/>
  <c r="CB157" i="33" s="1"/>
  <c r="AF137" i="33" a="1"/>
  <c r="AF137" i="33" s="1"/>
  <c r="AL132" i="33" a="1"/>
  <c r="AL132" i="33" s="1"/>
  <c r="CC160" i="33" a="1"/>
  <c r="CC160" i="33" s="1"/>
  <c r="BU140" i="33" a="1"/>
  <c r="BU140" i="33" s="1"/>
  <c r="CW42" i="33" a="1"/>
  <c r="CW42" i="33" s="1"/>
  <c r="CB105" i="33" a="1"/>
  <c r="CB105" i="33" s="1"/>
  <c r="CB131" i="33" a="1"/>
  <c r="CB131" i="33" s="1"/>
  <c r="AB22" i="33" a="1"/>
  <c r="AB22" i="33" s="1"/>
  <c r="CM160" i="33" a="1"/>
  <c r="CM160" i="33" s="1"/>
  <c r="AB50" i="33" a="1"/>
  <c r="AB50" i="33" s="1"/>
  <c r="AL27" i="33" a="1"/>
  <c r="AL27" i="33" s="1"/>
  <c r="CC74" i="33" a="1"/>
  <c r="CC74" i="33" s="1"/>
  <c r="BS142" i="33" a="1"/>
  <c r="BS142" i="33" s="1"/>
  <c r="CC131" i="33" a="1"/>
  <c r="CC131" i="33" s="1"/>
  <c r="CE103" i="33" a="1"/>
  <c r="CE103" i="33" s="1"/>
  <c r="CM49" i="33" a="1"/>
  <c r="CM49" i="33" s="1"/>
  <c r="CB116" i="33" a="1"/>
  <c r="CB116" i="33" s="1"/>
  <c r="BS119" i="33" a="1"/>
  <c r="BS119" i="33" s="1"/>
  <c r="AB131" i="33" a="1"/>
  <c r="AB131" i="33" s="1"/>
  <c r="AY111" i="33" a="1"/>
  <c r="AY111" i="33" s="1"/>
  <c r="AE123" i="33" a="1"/>
  <c r="AE123" i="33" s="1"/>
  <c r="CI95" i="33" a="1"/>
  <c r="CI95" i="33" s="1"/>
  <c r="AY87" i="33" a="1"/>
  <c r="AY87" i="33" s="1"/>
  <c r="AD116" i="33" a="1"/>
  <c r="AD116" i="33" s="1"/>
  <c r="AD114" i="33" a="1"/>
  <c r="AD114" i="33" s="1"/>
  <c r="AK92" i="33" a="1"/>
  <c r="AK92" i="33" s="1"/>
  <c r="CY68" i="33" a="1"/>
  <c r="CY68" i="33" s="1"/>
  <c r="BJ117" i="33" a="1"/>
  <c r="BJ117" i="33" s="1"/>
  <c r="BI112" i="33" a="1"/>
  <c r="BI112" i="33" s="1"/>
  <c r="BR63" i="33" a="1"/>
  <c r="BR63" i="33" s="1"/>
  <c r="CN146" i="33" a="1"/>
  <c r="CN146" i="33" s="1"/>
  <c r="AL155" i="33" a="1"/>
  <c r="AL155" i="33" s="1"/>
  <c r="CS36" i="33" a="1"/>
  <c r="CS36" i="33" s="1"/>
  <c r="BA37" i="33" a="1"/>
  <c r="BA37" i="33" s="1"/>
  <c r="BS117" i="33" a="1"/>
  <c r="BS117" i="33" s="1"/>
  <c r="CN70" i="33" a="1"/>
  <c r="CN70" i="33" s="1"/>
  <c r="CE18" i="33" a="1"/>
  <c r="CE18" i="33" s="1"/>
  <c r="AY37" i="33" a="1"/>
  <c r="AY37" i="33" s="1"/>
  <c r="BS31" i="33" a="1"/>
  <c r="BS31" i="33" s="1"/>
  <c r="CC111" i="33" a="1"/>
  <c r="CC111" i="33" s="1"/>
  <c r="AE40" i="33" a="1"/>
  <c r="AE40" i="33" s="1"/>
  <c r="AZ117" i="33" a="1"/>
  <c r="AZ117" i="33" s="1"/>
  <c r="CB72" i="33" a="1"/>
  <c r="CB72" i="33" s="1"/>
  <c r="BT155" i="33" a="1"/>
  <c r="BT155" i="33" s="1"/>
  <c r="AB23" i="33" a="1"/>
  <c r="AB23" i="33" s="1"/>
  <c r="CB80" i="33" a="1"/>
  <c r="CB80" i="33" s="1"/>
  <c r="CE81" i="33" a="1"/>
  <c r="CE81" i="33" s="1"/>
  <c r="AZ74" i="33" a="1"/>
  <c r="AZ74" i="33" s="1"/>
  <c r="AO157" i="33" a="1"/>
  <c r="AO157" i="33" s="1"/>
  <c r="AN134" i="33" a="1"/>
  <c r="AN134" i="33" s="1"/>
  <c r="AX23" i="33" a="1"/>
  <c r="AX23" i="33" s="1"/>
  <c r="BS87" i="33" a="1"/>
  <c r="BS87" i="33" s="1"/>
  <c r="AL140" i="33" a="1"/>
  <c r="AL140" i="33" s="1"/>
  <c r="AY42" i="33" a="1"/>
  <c r="AY42" i="33" s="1"/>
  <c r="V147" i="33" a="1"/>
  <c r="V147" i="33" s="1"/>
  <c r="BS149" i="33" a="1"/>
  <c r="BS149" i="33" s="1"/>
  <c r="BA23" i="33" a="1"/>
  <c r="BA23" i="33" s="1"/>
  <c r="X102" i="33" a="1"/>
  <c r="X102" i="33" s="1"/>
  <c r="AG111" i="33" a="1"/>
  <c r="AG111" i="33" s="1"/>
  <c r="X140" i="33" a="1"/>
  <c r="X140" i="33" s="1"/>
  <c r="CM146" i="33" a="1"/>
  <c r="CM146" i="33" s="1"/>
  <c r="AF112" i="33" a="1"/>
  <c r="AF112" i="33" s="1"/>
  <c r="CW122" i="33" a="1"/>
  <c r="CW122" i="33" s="1"/>
  <c r="AO54" i="33" a="1"/>
  <c r="AO54" i="33" s="1"/>
  <c r="CX144" i="33" a="1"/>
  <c r="CX144" i="33" s="1"/>
  <c r="V37" i="33" a="1"/>
  <c r="V37" i="33" s="1"/>
  <c r="W64" i="33" a="1"/>
  <c r="W64" i="33" s="1"/>
  <c r="AZ123" i="33" a="1"/>
  <c r="AZ123" i="33" s="1"/>
  <c r="CE63" i="33" a="1"/>
  <c r="CE63" i="33" s="1"/>
  <c r="AG63" i="33" a="1"/>
  <c r="AG63" i="33" s="1"/>
  <c r="X47" i="33" a="1"/>
  <c r="X47" i="33" s="1"/>
  <c r="CL107" i="33" a="1"/>
  <c r="CL107" i="33" s="1"/>
  <c r="BK160" i="33" a="1"/>
  <c r="BK160" i="33" s="1"/>
  <c r="CE86" i="33" a="1"/>
  <c r="CE86" i="33" s="1"/>
  <c r="AB71" i="33" a="1"/>
  <c r="AB71" i="33" s="1"/>
  <c r="AF22" i="33" a="1"/>
  <c r="AF22" i="33" s="1"/>
  <c r="BJ157" i="33" a="1"/>
  <c r="BJ157" i="33" s="1"/>
  <c r="CB78" i="33" a="1"/>
  <c r="CB78" i="33" s="1"/>
  <c r="BJ152" i="33" a="1"/>
  <c r="BJ152" i="33" s="1"/>
  <c r="BK19" i="33" a="1"/>
  <c r="BK19" i="33" s="1"/>
  <c r="CE124" i="33" a="1"/>
  <c r="CE124" i="33" s="1"/>
  <c r="CB30" i="33" a="1"/>
  <c r="CB30" i="33" s="1"/>
  <c r="AG109" i="33" a="1"/>
  <c r="AG109" i="33" s="1"/>
  <c r="AZ49" i="33" a="1"/>
  <c r="AZ49" i="33" s="1"/>
  <c r="AF59" i="33" a="1"/>
  <c r="AF59" i="33" s="1"/>
  <c r="AY115" i="33" a="1"/>
  <c r="AY115" i="33" s="1"/>
  <c r="AX17" i="33" a="1"/>
  <c r="AX17" i="33" s="1"/>
  <c r="CW107" i="33" a="1"/>
  <c r="CW107" i="33" s="1"/>
  <c r="BK138" i="33" a="1"/>
  <c r="BK138" i="33" s="1"/>
  <c r="AZ147" i="33" a="1"/>
  <c r="AZ147" i="33" s="1"/>
  <c r="CN140" i="33" a="1"/>
  <c r="CN140" i="33" s="1"/>
  <c r="AH76" i="33" a="1"/>
  <c r="AH76" i="33" s="1"/>
  <c r="CB151" i="33" a="1"/>
  <c r="CB151" i="33" s="1"/>
  <c r="BA77" i="33" a="1"/>
  <c r="BA77" i="33" s="1"/>
  <c r="BA119" i="33" a="1"/>
  <c r="BA119" i="33" s="1"/>
  <c r="AB46" i="33" a="1"/>
  <c r="AB46" i="33" s="1"/>
  <c r="CB99" i="33" a="1"/>
  <c r="CB99" i="33" s="1"/>
  <c r="AN132" i="33" a="1"/>
  <c r="AN132" i="33" s="1"/>
  <c r="AR158" i="33" a="1"/>
  <c r="AR158" i="33" s="1"/>
  <c r="BJ42" i="33" a="1"/>
  <c r="BJ42" i="33" s="1"/>
  <c r="AQ151" i="33" a="1"/>
  <c r="AQ151" i="33" s="1"/>
  <c r="BS159" i="33" a="1"/>
  <c r="BS159" i="33" s="1"/>
  <c r="BA111" i="33" a="1"/>
  <c r="BA111" i="33" s="1"/>
  <c r="AX125" i="33" a="1"/>
  <c r="AX125" i="33" s="1"/>
  <c r="BU18" i="33" a="1"/>
  <c r="BU18" i="33" s="1"/>
  <c r="AZ45" i="33" a="1"/>
  <c r="AZ45" i="33" s="1"/>
  <c r="AF133" i="33" a="1"/>
  <c r="AF133" i="33" s="1"/>
  <c r="CJ108" i="33" a="1"/>
  <c r="CJ108" i="33" s="1"/>
  <c r="AO154" i="33" a="1"/>
  <c r="AO154" i="33" s="1"/>
  <c r="CM53" i="33" a="1"/>
  <c r="CM53" i="33" s="1"/>
  <c r="BI127" i="33" a="1"/>
  <c r="BI127" i="33" s="1"/>
  <c r="CW141" i="33" a="1"/>
  <c r="CW141" i="33" s="1"/>
  <c r="BK95" i="33" a="1"/>
  <c r="BK95" i="33" s="1"/>
  <c r="CN155" i="33" a="1"/>
  <c r="CN155" i="33" s="1"/>
  <c r="CD114" i="33" a="1"/>
  <c r="CD114" i="33" s="1"/>
  <c r="BS43" i="33" a="1"/>
  <c r="BS43" i="33" s="1"/>
  <c r="CM152" i="33" a="1"/>
  <c r="CM152" i="33" s="1"/>
  <c r="AX96" i="33" a="1"/>
  <c r="AX96" i="33" s="1"/>
  <c r="CS37" i="33" a="1"/>
  <c r="CS37" i="33" s="1"/>
  <c r="BS129" i="33" a="1"/>
  <c r="BS129" i="33" s="1"/>
  <c r="CD101" i="33" a="1"/>
  <c r="CD101" i="33" s="1"/>
  <c r="BI47" i="33" a="1"/>
  <c r="BI47" i="33" s="1"/>
  <c r="CB146" i="33" a="1"/>
  <c r="CB146" i="33" s="1"/>
  <c r="BJ135" i="33" a="1"/>
  <c r="BJ135" i="33" s="1"/>
  <c r="BR56" i="33" a="1"/>
  <c r="BR56" i="33" s="1"/>
  <c r="BR24" i="33" a="1"/>
  <c r="BR24" i="33" s="1"/>
  <c r="CM141" i="33" a="1"/>
  <c r="CM141" i="33" s="1"/>
  <c r="CY161" i="33" a="1"/>
  <c r="CY161" i="33" s="1"/>
  <c r="CD150" i="33" a="1"/>
  <c r="CD150" i="33" s="1"/>
  <c r="CW67" i="33" a="1"/>
  <c r="CW67" i="33" s="1"/>
  <c r="BK86" i="33" a="1"/>
  <c r="BK86" i="33" s="1"/>
  <c r="CO146" i="33" a="1"/>
  <c r="CO146" i="33" s="1"/>
  <c r="V34" i="33" a="1"/>
  <c r="V34" i="33" s="1"/>
  <c r="AP137" i="33" a="1"/>
  <c r="AP137" i="33" s="1"/>
  <c r="BA145" i="33" a="1"/>
  <c r="BA145" i="33" s="1"/>
  <c r="AZ96" i="33" a="1"/>
  <c r="AZ96" i="33" s="1"/>
  <c r="AD144" i="33" a="1"/>
  <c r="AD144" i="33" s="1"/>
  <c r="CC141" i="33" a="1"/>
  <c r="CC141" i="33" s="1"/>
  <c r="BS74" i="33" a="1"/>
  <c r="BS74" i="33" s="1"/>
  <c r="AZ83" i="33" a="1"/>
  <c r="AZ83" i="33" s="1"/>
  <c r="CB113" i="33" a="1"/>
  <c r="CB113" i="33" s="1"/>
  <c r="CX40" i="33" a="1"/>
  <c r="CX40" i="33" s="1"/>
  <c r="AZ86" i="33" a="1"/>
  <c r="AZ86" i="33" s="1"/>
  <c r="CC129" i="33" a="1"/>
  <c r="CC129" i="33" s="1"/>
  <c r="AP69" i="33" a="1"/>
  <c r="AP69" i="33" s="1"/>
  <c r="CX36" i="33" a="1"/>
  <c r="CX36" i="33" s="1"/>
  <c r="CE159" i="33" a="1"/>
  <c r="CE159" i="33" s="1"/>
  <c r="BS148" i="33" a="1"/>
  <c r="BS148" i="33" s="1"/>
  <c r="BJ123" i="33" a="1"/>
  <c r="BJ123" i="33" s="1"/>
  <c r="CI79" i="33" a="1"/>
  <c r="CI79" i="33" s="1"/>
  <c r="BS153" i="33" a="1"/>
  <c r="BS153" i="33" s="1"/>
  <c r="AY155" i="33" a="1"/>
  <c r="AY155" i="33" s="1"/>
  <c r="AX113" i="33" a="1"/>
  <c r="AX113" i="33" s="1"/>
  <c r="BU91" i="33" a="1"/>
  <c r="BU91" i="33" s="1"/>
  <c r="AX35" i="33" a="1"/>
  <c r="AX35" i="33" s="1"/>
  <c r="CJ55" i="33" a="1"/>
  <c r="CJ55" i="33" s="1"/>
  <c r="BR115" i="33" a="1"/>
  <c r="BR115" i="33" s="1"/>
  <c r="AE36" i="33" a="1"/>
  <c r="AE36" i="33" s="1"/>
  <c r="AO128" i="33" a="1"/>
  <c r="AO128" i="33" s="1"/>
  <c r="AY99" i="33" a="1"/>
  <c r="AY99" i="33" s="1"/>
  <c r="AO79" i="33" a="1"/>
  <c r="AO79" i="33" s="1"/>
  <c r="CS128" i="33" a="1"/>
  <c r="CS128" i="33" s="1"/>
  <c r="W46" i="33" a="1"/>
  <c r="W46" i="33" s="1"/>
  <c r="BR51" i="33" a="1"/>
  <c r="BR51" i="33" s="1"/>
  <c r="AX22" i="33" a="1"/>
  <c r="AX22" i="33" s="1"/>
  <c r="CY128" i="33" a="1"/>
  <c r="CY128" i="33" s="1"/>
  <c r="AH26" i="33" a="1"/>
  <c r="AH26" i="33" s="1"/>
  <c r="AL17" i="33" a="1"/>
  <c r="AL17" i="33" s="1"/>
  <c r="AX149" i="33" a="1"/>
  <c r="AX149" i="33" s="1"/>
  <c r="CS76" i="33" a="1"/>
  <c r="CS76" i="33" s="1"/>
  <c r="CC122" i="33" a="1"/>
  <c r="CC122" i="33" s="1"/>
  <c r="AE99" i="33" a="1"/>
  <c r="AE99" i="33" s="1"/>
  <c r="BS76" i="33" a="1"/>
  <c r="BS76" i="33" s="1"/>
  <c r="CM158" i="33" a="1"/>
  <c r="CM158" i="33" s="1"/>
  <c r="AY161" i="33" a="1"/>
  <c r="AY161" i="33" s="1"/>
  <c r="AY93" i="33" a="1"/>
  <c r="AY93" i="33" s="1"/>
  <c r="CN97" i="33" a="1"/>
  <c r="CN97" i="33" s="1"/>
  <c r="AO134" i="33" a="1"/>
  <c r="AO134" i="33" s="1"/>
  <c r="AX154" i="33" a="1"/>
  <c r="AX154" i="33" s="1"/>
  <c r="AL114" i="33" a="1"/>
  <c r="AL114" i="33" s="1"/>
  <c r="BY47" i="33" a="1"/>
  <c r="BY47" i="33" s="1"/>
  <c r="AX25" i="33" a="1"/>
  <c r="AX25" i="33" s="1"/>
  <c r="AR69" i="33" a="1"/>
  <c r="AR69" i="33" s="1"/>
  <c r="CS25" i="33" a="1"/>
  <c r="CS25" i="33" s="1"/>
  <c r="CV33" i="33" a="1"/>
  <c r="CV33" i="33" s="1"/>
  <c r="CS106" i="33" a="1"/>
  <c r="CS106" i="33" s="1"/>
  <c r="AL51" i="33" a="1"/>
  <c r="AL51" i="33" s="1"/>
  <c r="AP100" i="33" a="1"/>
  <c r="AP100" i="33" s="1"/>
  <c r="V58" i="33" a="1"/>
  <c r="V58" i="33" s="1"/>
  <c r="BI147" i="33" a="1"/>
  <c r="BI147" i="33" s="1"/>
  <c r="V105" i="33" a="1"/>
  <c r="V105" i="33" s="1"/>
  <c r="AO160" i="33" a="1"/>
  <c r="AO160" i="33" s="1"/>
  <c r="CJ18" i="33" a="1"/>
  <c r="CJ18" i="33" s="1"/>
  <c r="BE125" i="33" a="1"/>
  <c r="BE125" i="33" s="1"/>
  <c r="CX21" i="33" a="1"/>
  <c r="CX21" i="33" s="1"/>
  <c r="AN115" i="33" a="1"/>
  <c r="AN115" i="33" s="1"/>
  <c r="CJ123" i="33" a="1"/>
  <c r="CJ123" i="33" s="1"/>
  <c r="CM44" i="33" a="1"/>
  <c r="CM44" i="33" s="1"/>
  <c r="AO52" i="33" a="1"/>
  <c r="AO52" i="33" s="1"/>
  <c r="CL99" i="33" a="1"/>
  <c r="CL99" i="33" s="1"/>
  <c r="AN25" i="33" a="1"/>
  <c r="AN25" i="33" s="1"/>
  <c r="CM64" i="33" a="1"/>
  <c r="CM64" i="33" s="1"/>
  <c r="AD27" i="33" a="1"/>
  <c r="AD27" i="33" s="1"/>
  <c r="BR148" i="33" a="1"/>
  <c r="BR148" i="33" s="1"/>
  <c r="AY145" i="33" a="1"/>
  <c r="AY145" i="33" s="1"/>
  <c r="BS68" i="33" a="1"/>
  <c r="BS68" i="33" s="1"/>
  <c r="AX56" i="33" a="1"/>
  <c r="AX56" i="33" s="1"/>
  <c r="AE80" i="33" a="1"/>
  <c r="AE80" i="33" s="1"/>
  <c r="BS23" i="33" a="1"/>
  <c r="BS23" i="33" s="1"/>
  <c r="CO153" i="33" a="1"/>
  <c r="CO153" i="33" s="1"/>
  <c r="AR143" i="33" a="1"/>
  <c r="AR143" i="33" s="1"/>
  <c r="W134" i="33" a="1"/>
  <c r="W134" i="33" s="1"/>
  <c r="CC26" i="33" a="1"/>
  <c r="CC26" i="33" s="1"/>
  <c r="BS132" i="33" a="1"/>
  <c r="BS132" i="33" s="1"/>
  <c r="CO18" i="33" a="1"/>
  <c r="CO18" i="33" s="1"/>
  <c r="AO139" i="33" a="1"/>
  <c r="AO139" i="33" s="1"/>
  <c r="AG118" i="33" a="1"/>
  <c r="AG118" i="33" s="1"/>
  <c r="BJ156" i="33" a="1"/>
  <c r="BJ156" i="33" s="1"/>
  <c r="AB105" i="33" a="1"/>
  <c r="AB105" i="33" s="1"/>
  <c r="CN21" i="33" a="1"/>
  <c r="CN21" i="33" s="1"/>
  <c r="AQ70" i="33" a="1"/>
  <c r="AQ70" i="33" s="1"/>
  <c r="V89" i="33" a="1"/>
  <c r="V89" i="33" s="1"/>
  <c r="BJ64" i="33" a="1"/>
  <c r="BJ64" i="33" s="1"/>
  <c r="CW61" i="33" a="1"/>
  <c r="CW61" i="33" s="1"/>
  <c r="AZ89" i="33" a="1"/>
  <c r="AZ89" i="33" s="1"/>
  <c r="CN93" i="33" a="1"/>
  <c r="CN93" i="33" s="1"/>
  <c r="BA66" i="33" a="1"/>
  <c r="BA66" i="33" s="1"/>
  <c r="AZ41" i="33" a="1"/>
  <c r="AZ41" i="33" s="1"/>
  <c r="AZ47" i="33" a="1"/>
  <c r="AZ47" i="33" s="1"/>
  <c r="CW140" i="33" a="1"/>
  <c r="CW140" i="33" s="1"/>
  <c r="W128" i="33" a="1"/>
  <c r="W128" i="33" s="1"/>
  <c r="AN20" i="33" a="1"/>
  <c r="AN20" i="33" s="1"/>
  <c r="BK149" i="33" a="1"/>
  <c r="BK149" i="33" s="1"/>
  <c r="AY107" i="33" a="1"/>
  <c r="AY107" i="33" s="1"/>
  <c r="CE155" i="33" a="1"/>
  <c r="CE155" i="33" s="1"/>
  <c r="AO71" i="33" a="1"/>
  <c r="AO71" i="33" s="1"/>
  <c r="AE122" i="33" a="1"/>
  <c r="AE122" i="33" s="1"/>
  <c r="BK85" i="33" a="1"/>
  <c r="BK85" i="33" s="1"/>
  <c r="BJ44" i="33" a="1"/>
  <c r="BJ44" i="33" s="1"/>
  <c r="CX124" i="33" a="1"/>
  <c r="CX124" i="33" s="1"/>
  <c r="AF32" i="33" a="1"/>
  <c r="AF32" i="33" s="1"/>
  <c r="AP159" i="33" a="1"/>
  <c r="AP159" i="33" s="1"/>
  <c r="CN138" i="33" a="1"/>
  <c r="CN138" i="33" s="1"/>
  <c r="BA85" i="33" a="1"/>
  <c r="BA85" i="33" s="1"/>
  <c r="W110" i="33" a="1"/>
  <c r="W110" i="33" s="1"/>
  <c r="CE93" i="33" a="1"/>
  <c r="CE93" i="33" s="1"/>
  <c r="AH51" i="33" a="1"/>
  <c r="AH51" i="33" s="1"/>
  <c r="CM18" i="33" a="1"/>
  <c r="CM18" i="33" s="1"/>
  <c r="CX59" i="33" a="1"/>
  <c r="CX59" i="33" s="1"/>
  <c r="CN94" i="33" a="1"/>
  <c r="CN94" i="33" s="1"/>
  <c r="CE27" i="33" a="1"/>
  <c r="CE27" i="33" s="1"/>
  <c r="AO135" i="33" a="1"/>
  <c r="AO135" i="33" s="1"/>
  <c r="AE50" i="33" a="1"/>
  <c r="AE50" i="33" s="1"/>
  <c r="CB117" i="33" a="1"/>
  <c r="CB117" i="33" s="1"/>
  <c r="CJ34" i="33" a="1"/>
  <c r="CJ34" i="33" s="1"/>
  <c r="V126" i="33" a="1"/>
  <c r="V126" i="33" s="1"/>
  <c r="BI82" i="33" a="1"/>
  <c r="BI82" i="33" s="1"/>
  <c r="CM112" i="33" a="1"/>
  <c r="CM112" i="33" s="1"/>
  <c r="CB41" i="33" a="1"/>
  <c r="CB41" i="33" s="1"/>
  <c r="AD128" i="33" a="1"/>
  <c r="AD128" i="33" s="1"/>
  <c r="CE95" i="33" a="1"/>
  <c r="CE95" i="33" s="1"/>
  <c r="AY59" i="33" a="1"/>
  <c r="AY59" i="33" s="1"/>
  <c r="CC82" i="33" a="1"/>
  <c r="CC82" i="33" s="1"/>
  <c r="AZ20" i="33" a="1"/>
  <c r="AZ20" i="33" s="1"/>
  <c r="BU147" i="33" a="1"/>
  <c r="BU147" i="33" s="1"/>
  <c r="CB135" i="33" a="1"/>
  <c r="CB135" i="33" s="1"/>
  <c r="AB41" i="33" a="1"/>
  <c r="AB41" i="33" s="1"/>
  <c r="V151" i="33" a="1"/>
  <c r="V151" i="33" s="1"/>
  <c r="CL118" i="33" a="1"/>
  <c r="CL118" i="33" s="1"/>
  <c r="AD62" i="33" a="1"/>
  <c r="AD62" i="33" s="1"/>
  <c r="BT15" i="33" a="1"/>
  <c r="BT15" i="33" s="1"/>
  <c r="BK96" i="33" a="1"/>
  <c r="BK96" i="33" s="1"/>
  <c r="CN60" i="33" a="1"/>
  <c r="CN60" i="33" s="1"/>
  <c r="CL140" i="33" a="1"/>
  <c r="CL140" i="33" s="1"/>
  <c r="AD135" i="33" a="1"/>
  <c r="AD135" i="33" s="1"/>
  <c r="CM32" i="33" a="1"/>
  <c r="CM32" i="33" s="1"/>
  <c r="CL130" i="33" a="1"/>
  <c r="CL130" i="33" s="1"/>
  <c r="CW145" i="33" a="1"/>
  <c r="CW145" i="33" s="1"/>
  <c r="X67" i="33" a="1"/>
  <c r="X67" i="33" s="1"/>
  <c r="AD71" i="33" a="1"/>
  <c r="AD71" i="33" s="1"/>
  <c r="AY28" i="33" a="1"/>
  <c r="AY28" i="33" s="1"/>
  <c r="CN139" i="33" a="1"/>
  <c r="CN139" i="33" s="1"/>
  <c r="CE109" i="33" a="1"/>
  <c r="CE109" i="33" s="1"/>
  <c r="AO18" i="33" a="1"/>
  <c r="AO18" i="33" s="1"/>
  <c r="BR151" i="33" a="1"/>
  <c r="BR151" i="33" s="1"/>
  <c r="AD132" i="33" a="1"/>
  <c r="AD132" i="33" s="1"/>
  <c r="BI138" i="33" a="1"/>
  <c r="BI138" i="33" s="1"/>
  <c r="CC152" i="33" a="1"/>
  <c r="CC152" i="33" s="1"/>
  <c r="CJ71" i="33" a="1"/>
  <c r="CJ71" i="33" s="1"/>
  <c r="CS102" i="33" a="1"/>
  <c r="CS102" i="33" s="1"/>
  <c r="AL93" i="33" a="1"/>
  <c r="AL93" i="33" s="1"/>
  <c r="BR155" i="33" a="1"/>
  <c r="BR155" i="33" s="1"/>
  <c r="CI26" i="33" a="1"/>
  <c r="CI26" i="33" s="1"/>
  <c r="BU15" i="33" a="1"/>
  <c r="BU15" i="33" s="1"/>
  <c r="AD99" i="33" a="1"/>
  <c r="AD99" i="33" s="1"/>
  <c r="V124" i="33" a="1"/>
  <c r="V124" i="33" s="1"/>
  <c r="BP30" i="33" a="1"/>
  <c r="BP30" i="33" s="1"/>
  <c r="CM132" i="33" a="1"/>
  <c r="CM132" i="33" s="1"/>
  <c r="AN77" i="33" a="1"/>
  <c r="AN77" i="33" s="1"/>
  <c r="CS52" i="33" a="1"/>
  <c r="CS52" i="33" s="1"/>
  <c r="V87" i="33" a="1"/>
  <c r="V87" i="33" s="1"/>
  <c r="AG55" i="33" a="1"/>
  <c r="AG55" i="33" s="1"/>
  <c r="AL82" i="33" a="1"/>
  <c r="AL82" i="33" s="1"/>
  <c r="AF51" i="33" a="1"/>
  <c r="AF51" i="33" s="1"/>
  <c r="AF47" i="33" a="1"/>
  <c r="AF47" i="33" s="1"/>
  <c r="CW146" i="33" a="1"/>
  <c r="CW146" i="33" s="1"/>
  <c r="BE79" i="33" a="1"/>
  <c r="BE79" i="33" s="1"/>
  <c r="CI75" i="33" a="1"/>
  <c r="CI75" i="33" s="1"/>
  <c r="BA140" i="33" a="1"/>
  <c r="BA140" i="33" s="1"/>
  <c r="AY126" i="33" a="1"/>
  <c r="AY126" i="33" s="1"/>
  <c r="AG93" i="33" a="1"/>
  <c r="AG93" i="33" s="1"/>
  <c r="AO62" i="33" a="1"/>
  <c r="AO62" i="33" s="1"/>
  <c r="AE49" i="33" a="1"/>
  <c r="AE49" i="33" s="1"/>
  <c r="CS23" i="33" a="1"/>
  <c r="CS23" i="33" s="1"/>
  <c r="AQ88" i="33" a="1"/>
  <c r="AQ88" i="33" s="1"/>
  <c r="AQ16" i="33" a="1"/>
  <c r="AQ16" i="33" s="1"/>
  <c r="AN107" i="33" a="1"/>
  <c r="AN107" i="33" s="1"/>
  <c r="CC153" i="33" a="1"/>
  <c r="CC153" i="33" s="1"/>
  <c r="V66" i="33" a="1"/>
  <c r="V66" i="33" s="1"/>
  <c r="BP147" i="33" a="1"/>
  <c r="BP147" i="33" s="1"/>
  <c r="BI26" i="33" a="1"/>
  <c r="BI26" i="33" s="1"/>
  <c r="BI51" i="33" a="1"/>
  <c r="BI51" i="33" s="1"/>
  <c r="CM157" i="33" a="1"/>
  <c r="CM157" i="33" s="1"/>
  <c r="BI64" i="33" a="1"/>
  <c r="BI64" i="33" s="1"/>
  <c r="CD128" i="33" a="1"/>
  <c r="CD128" i="33" s="1"/>
  <c r="AG92" i="33" a="1"/>
  <c r="AG92" i="33" s="1"/>
  <c r="BS18" i="33" a="1"/>
  <c r="BS18" i="33" s="1"/>
  <c r="CL42" i="33" a="1"/>
  <c r="CL42" i="33" s="1"/>
  <c r="CE120" i="33" a="1"/>
  <c r="CE120" i="33" s="1"/>
  <c r="CL90" i="33" a="1"/>
  <c r="CL90" i="33" s="1"/>
  <c r="BA67" i="33" a="1"/>
  <c r="BA67" i="33" s="1"/>
  <c r="AB109" i="33" a="1"/>
  <c r="AB109" i="33" s="1"/>
  <c r="CX66" i="33" a="1"/>
  <c r="CX66" i="33" s="1"/>
  <c r="X65" i="33" a="1"/>
  <c r="X65" i="33" s="1"/>
  <c r="CL138" i="33" a="1"/>
  <c r="CL138" i="33" s="1"/>
  <c r="BS52" i="33" a="1"/>
  <c r="BS52" i="33" s="1"/>
  <c r="BR125" i="33" a="1"/>
  <c r="BR125" i="33" s="1"/>
  <c r="BS137" i="33" a="1"/>
  <c r="BS137" i="33" s="1"/>
  <c r="CS86" i="33" a="1"/>
  <c r="CS86" i="33" s="1"/>
  <c r="AP35" i="33" a="1"/>
  <c r="AP35" i="33" s="1"/>
  <c r="AE37" i="33" a="1"/>
  <c r="AE37" i="33" s="1"/>
  <c r="AE129" i="33" a="1"/>
  <c r="AE129" i="33" s="1"/>
  <c r="CL46" i="33" a="1"/>
  <c r="CL46" i="33" s="1"/>
  <c r="AY148" i="33" a="1"/>
  <c r="AY148" i="33" s="1"/>
  <c r="AY129" i="33" a="1"/>
  <c r="AY129" i="33" s="1"/>
  <c r="BU51" i="33" a="1"/>
  <c r="BU51" i="33" s="1"/>
  <c r="AZ53" i="33" a="1"/>
  <c r="AZ53" i="33" s="1"/>
  <c r="AP146" i="33" a="1"/>
  <c r="AP146" i="33" s="1"/>
  <c r="AB78" i="33" a="1"/>
  <c r="AB78" i="33" s="1"/>
  <c r="BP85" i="33" a="1"/>
  <c r="BP85" i="33" s="1"/>
  <c r="CM111" i="33" a="1"/>
  <c r="CM111" i="33" s="1"/>
  <c r="CS155" i="33" a="1"/>
  <c r="CS155" i="33" s="1"/>
  <c r="CX113" i="33" a="1"/>
  <c r="CX113" i="33" s="1"/>
  <c r="AO63" i="33" a="1"/>
  <c r="AO63" i="33" s="1"/>
  <c r="AF86" i="33" a="1"/>
  <c r="AF86" i="33" s="1"/>
  <c r="CO57" i="33" a="1"/>
  <c r="CO57" i="33" s="1"/>
  <c r="BJ96" i="33" a="1"/>
  <c r="BJ96" i="33" s="1"/>
  <c r="AZ29" i="33" a="1"/>
  <c r="AZ29" i="33" s="1"/>
  <c r="V93" i="33" a="1"/>
  <c r="V93" i="33" s="1"/>
  <c r="CN96" i="33" a="1"/>
  <c r="CN96" i="33" s="1"/>
  <c r="CI82" i="33" a="1"/>
  <c r="CI82" i="33" s="1"/>
  <c r="CX47" i="33" a="1"/>
  <c r="CX47" i="33" s="1"/>
  <c r="BP29" i="33" a="1"/>
  <c r="BP29" i="33" s="1"/>
  <c r="CN22" i="33" a="1"/>
  <c r="CN22" i="33" s="1"/>
  <c r="AZ155" i="33" a="1"/>
  <c r="AZ155" i="33" s="1"/>
  <c r="CN86" i="33" a="1"/>
  <c r="CN86" i="33" s="1"/>
  <c r="CX75" i="33" a="1"/>
  <c r="CX75" i="33" s="1"/>
  <c r="CM89" i="33" a="1"/>
  <c r="CM89" i="33" s="1"/>
  <c r="CD43" i="33" a="1"/>
  <c r="CD43" i="33" s="1"/>
  <c r="BJ129" i="33" a="1"/>
  <c r="BJ129" i="33" s="1"/>
  <c r="CB20" i="33" a="1"/>
  <c r="CB20" i="33" s="1"/>
  <c r="V88" i="33" a="1"/>
  <c r="V88" i="33" s="1"/>
  <c r="BJ122" i="33" a="1"/>
  <c r="BJ122" i="33" s="1"/>
  <c r="CX152" i="33" a="1"/>
  <c r="CX152" i="33" s="1"/>
  <c r="BP132" i="33" a="1"/>
  <c r="BP132" i="33" s="1"/>
  <c r="CD38" i="33" a="1"/>
  <c r="CD38" i="33" s="1"/>
  <c r="CN113" i="33" a="1"/>
  <c r="CN113" i="33" s="1"/>
  <c r="CY47" i="33" a="1"/>
  <c r="CY47" i="33" s="1"/>
  <c r="BJ98" i="33" a="1"/>
  <c r="BJ98" i="33" s="1"/>
  <c r="W127" i="33" a="1"/>
  <c r="W127" i="33" s="1"/>
  <c r="CN118" i="33" a="1"/>
  <c r="CN118" i="33" s="1"/>
  <c r="AE126" i="33" a="1"/>
  <c r="AE126" i="33" s="1"/>
  <c r="CD91" i="33" a="1"/>
  <c r="CD91" i="33" s="1"/>
  <c r="AY68" i="33" a="1"/>
  <c r="AY68" i="33" s="1"/>
  <c r="AN74" i="33" a="1"/>
  <c r="AN74" i="33" s="1"/>
  <c r="V118" i="33" a="1"/>
  <c r="V118" i="33" s="1"/>
  <c r="V44" i="33" a="1"/>
  <c r="V44" i="33" s="1"/>
  <c r="AZ73" i="33" a="1"/>
  <c r="AZ73" i="33" s="1"/>
  <c r="BP88" i="33" a="1"/>
  <c r="BP88" i="33" s="1"/>
  <c r="BP157" i="33" a="1"/>
  <c r="BP157" i="33" s="1"/>
  <c r="BJ45" i="33" a="1"/>
  <c r="BJ45" i="33" s="1"/>
  <c r="AP29" i="33" a="1"/>
  <c r="AP29" i="33" s="1"/>
  <c r="CE94" i="33" a="1"/>
  <c r="CE94" i="33" s="1"/>
  <c r="AB91" i="33" a="1"/>
  <c r="AB91" i="33" s="1"/>
  <c r="BP19" i="33" a="1"/>
  <c r="BP19" i="33" s="1"/>
  <c r="AY60" i="33" a="1"/>
  <c r="AY60" i="33" s="1"/>
  <c r="BR147" i="33" a="1"/>
  <c r="BR147" i="33" s="1"/>
  <c r="BS92" i="33" a="1"/>
  <c r="BS92" i="33" s="1"/>
  <c r="BI66" i="33" a="1"/>
  <c r="BI66" i="33" s="1"/>
  <c r="AO158" i="33" a="1"/>
  <c r="AO158" i="33" s="1"/>
  <c r="CM72" i="33" a="1"/>
  <c r="CM72" i="33" s="1"/>
  <c r="AZ143" i="33" a="1"/>
  <c r="AZ143" i="33" s="1"/>
  <c r="BK29" i="33" a="1"/>
  <c r="BK29" i="33" s="1"/>
  <c r="CI25" i="33" a="1"/>
  <c r="CI25" i="33" s="1"/>
  <c r="AL38" i="33" a="1"/>
  <c r="AL38" i="33" s="1"/>
  <c r="CY108" i="33" a="1"/>
  <c r="CY108" i="33" s="1"/>
  <c r="CS68" i="33" a="1"/>
  <c r="CS68" i="33" s="1"/>
  <c r="BJ131" i="33" a="1"/>
  <c r="BJ131" i="33" s="1"/>
  <c r="CW152" i="33" a="1"/>
  <c r="CW152" i="33" s="1"/>
  <c r="AB95" i="33" a="1"/>
  <c r="AB95" i="33" s="1"/>
  <c r="AE111" i="33" a="1"/>
  <c r="AE111" i="33" s="1"/>
  <c r="AX51" i="33" a="1"/>
  <c r="AX51" i="33" s="1"/>
  <c r="CS92" i="33" a="1"/>
  <c r="CS92" i="33" s="1"/>
  <c r="BI140" i="33" a="1"/>
  <c r="BI140" i="33" s="1"/>
  <c r="BP95" i="33" a="1"/>
  <c r="BP95" i="33" s="1"/>
  <c r="BS113" i="33" a="1"/>
  <c r="BS113" i="33" s="1"/>
  <c r="AH29" i="33" a="1"/>
  <c r="AH29" i="33" s="1"/>
  <c r="V54" i="33" a="1"/>
  <c r="V54" i="33" s="1"/>
  <c r="CN61" i="33" a="1"/>
  <c r="CN61" i="33" s="1"/>
  <c r="AN156" i="33" a="1"/>
  <c r="AN156" i="33" s="1"/>
  <c r="CN37" i="33" a="1"/>
  <c r="CN37" i="33" s="1"/>
  <c r="CB18" i="33" a="1"/>
  <c r="CB18" i="33" s="1"/>
  <c r="CD45" i="33" a="1"/>
  <c r="CD45" i="33" s="1"/>
  <c r="AP119" i="33" a="1"/>
  <c r="AP119" i="33" s="1"/>
  <c r="CO34" i="33" a="1"/>
  <c r="CO34" i="33" s="1"/>
  <c r="CJ33" i="33" a="1"/>
  <c r="CJ33" i="33" s="1"/>
  <c r="AY56" i="33" a="1"/>
  <c r="AY56" i="33" s="1"/>
  <c r="AD29" i="33" a="1"/>
  <c r="AD29" i="33" s="1"/>
  <c r="CD126" i="33" a="1"/>
  <c r="CD126" i="33" s="1"/>
  <c r="BT32" i="33" a="1"/>
  <c r="BT32" i="33" s="1"/>
  <c r="CY46" i="33" a="1"/>
  <c r="CY46" i="33" s="1"/>
  <c r="BI106" i="33" a="1"/>
  <c r="BI106" i="33" s="1"/>
  <c r="CM25" i="33" a="1"/>
  <c r="CM25" i="33" s="1"/>
  <c r="BK87" i="33" a="1"/>
  <c r="BK87" i="33" s="1"/>
  <c r="V159" i="33" a="1"/>
  <c r="V159" i="33" s="1"/>
  <c r="AO49" i="33" a="1"/>
  <c r="AO49" i="33" s="1"/>
  <c r="CM133" i="33" a="1"/>
  <c r="CM133" i="33" s="1"/>
  <c r="AP43" i="33" a="1"/>
  <c r="AP43" i="33" s="1"/>
  <c r="BR93" i="33" a="1"/>
  <c r="BR93" i="33" s="1"/>
  <c r="V22" i="33" a="1"/>
  <c r="V22" i="33" s="1"/>
  <c r="CW139" i="33" a="1"/>
  <c r="CW139" i="33" s="1"/>
  <c r="CC123" i="33" a="1"/>
  <c r="CC123" i="33" s="1"/>
  <c r="AE106" i="33" a="1"/>
  <c r="AE106" i="33" s="1"/>
  <c r="BU123" i="33" a="1"/>
  <c r="BU123" i="33" s="1"/>
  <c r="BI86" i="33" a="1"/>
  <c r="BI86" i="33" s="1"/>
  <c r="CM130" i="33" a="1"/>
  <c r="CM130" i="33" s="1"/>
  <c r="CJ67" i="33" a="1"/>
  <c r="CJ67" i="33" s="1"/>
  <c r="AZ60" i="33" a="1"/>
  <c r="AZ60" i="33" s="1"/>
  <c r="CC114" i="33" a="1"/>
  <c r="CC114" i="33" s="1"/>
  <c r="AF103" i="33" a="1"/>
  <c r="AF103" i="33" s="1"/>
  <c r="AL84" i="33" a="1"/>
  <c r="AL84" i="33" s="1"/>
  <c r="AZ51" i="33" a="1"/>
  <c r="AZ51" i="33" s="1"/>
  <c r="AN30" i="33" a="1"/>
  <c r="AN30" i="33" s="1"/>
  <c r="BS93" i="33" a="1"/>
  <c r="BS93" i="33" s="1"/>
  <c r="AL74" i="33" a="1"/>
  <c r="AL74" i="33" s="1"/>
  <c r="AG103" i="33" a="1"/>
  <c r="AG103" i="33" s="1"/>
  <c r="AO40" i="33" a="1"/>
  <c r="AO40" i="33" s="1"/>
  <c r="CC52" i="33" a="1"/>
  <c r="CC52" i="33" s="1"/>
  <c r="BI50" i="33" a="1"/>
  <c r="BI50" i="33" s="1"/>
  <c r="CB141" i="33" a="1"/>
  <c r="CB141" i="33" s="1"/>
  <c r="AX19" i="33" a="1"/>
  <c r="AX19" i="33" s="1"/>
  <c r="AF23" i="33" a="1"/>
  <c r="AF23" i="33" s="1"/>
  <c r="CM106" i="33" a="1"/>
  <c r="CM106" i="33" s="1"/>
  <c r="BS135" i="33" a="1"/>
  <c r="BS135" i="33" s="1"/>
  <c r="AX120" i="33" a="1"/>
  <c r="AX120" i="33" s="1"/>
  <c r="BI132" i="33" a="1"/>
  <c r="BI132" i="33" s="1"/>
  <c r="AO100" i="33" a="1"/>
  <c r="AO100" i="33" s="1"/>
  <c r="BR85" i="33" a="1"/>
  <c r="BR85" i="33" s="1"/>
  <c r="CJ131" i="33" a="1"/>
  <c r="CJ131" i="33" s="1"/>
  <c r="CK106" i="33" a="1"/>
  <c r="CK106" i="33" s="1"/>
  <c r="AY104" i="33" a="1"/>
  <c r="AY104" i="33" s="1"/>
  <c r="CL104" i="33" a="1"/>
  <c r="CL104" i="33" s="1"/>
  <c r="CC71" i="33" a="1"/>
  <c r="CC71" i="33" s="1"/>
  <c r="BP129" i="33" a="1"/>
  <c r="BP129" i="33" s="1"/>
  <c r="CJ72" i="33" a="1"/>
  <c r="CJ72" i="33" s="1"/>
  <c r="AD28" i="33" a="1"/>
  <c r="AD28" i="33" s="1"/>
  <c r="AO70" i="33" a="1"/>
  <c r="AO70" i="33" s="1"/>
  <c r="BS158" i="33" a="1"/>
  <c r="BS158" i="33" s="1"/>
  <c r="AE24" i="33" a="1"/>
  <c r="AE24" i="33" s="1"/>
  <c r="CM117" i="33" a="1"/>
  <c r="CM117" i="33" s="1"/>
  <c r="CS123" i="33" a="1"/>
  <c r="CS123" i="33" s="1"/>
  <c r="CE23" i="33" a="1"/>
  <c r="CE23" i="33" s="1"/>
  <c r="AN78" i="33" a="1"/>
  <c r="AN78" i="33" s="1"/>
  <c r="BP94" i="33" a="1"/>
  <c r="BP94" i="33" s="1"/>
  <c r="BS53" i="33" a="1"/>
  <c r="BS53" i="33" s="1"/>
  <c r="BR114" i="33" a="1"/>
  <c r="BR114" i="33" s="1"/>
  <c r="CS115" i="33" a="1"/>
  <c r="CS115" i="33" s="1"/>
  <c r="AY31" i="33" a="1"/>
  <c r="AY31" i="33" s="1"/>
  <c r="CM142" i="33" a="1"/>
  <c r="CM142" i="33" s="1"/>
  <c r="BI146" i="33" a="1"/>
  <c r="BI146" i="33" s="1"/>
  <c r="CC132" i="33" a="1"/>
  <c r="CC132" i="33" s="1"/>
  <c r="CW151" i="33" a="1"/>
  <c r="CW151" i="33" s="1"/>
  <c r="BT153" i="33" a="1"/>
  <c r="BT153" i="33" s="1"/>
  <c r="W124" i="33" a="1"/>
  <c r="W124" i="33" s="1"/>
  <c r="CI48" i="33" a="1"/>
  <c r="CI48" i="33" s="1"/>
  <c r="BI67" i="33" a="1"/>
  <c r="BI67" i="33" s="1"/>
  <c r="AN116" i="33" a="1"/>
  <c r="AN116" i="33" s="1"/>
  <c r="CO73" i="33" a="1"/>
  <c r="CO73" i="33" s="1"/>
  <c r="V62" i="33" a="1"/>
  <c r="V62" i="33" s="1"/>
  <c r="AQ153" i="33" a="1"/>
  <c r="AQ153" i="33" s="1"/>
  <c r="BP149" i="33" a="1"/>
  <c r="BP149" i="33" s="1"/>
  <c r="X64" i="33" a="1"/>
  <c r="X64" i="33" s="1"/>
  <c r="BJ73" i="33" a="1"/>
  <c r="BJ73" i="33" s="1"/>
  <c r="AE102" i="33" a="1"/>
  <c r="AE102" i="33" s="1"/>
  <c r="W48" i="33" a="1"/>
  <c r="W48" i="33" s="1"/>
  <c r="AF15" i="33" a="1"/>
  <c r="AF15" i="33" s="1"/>
  <c r="W95" i="33" a="1"/>
  <c r="W95" i="33" s="1"/>
  <c r="CB32" i="33" a="1"/>
  <c r="CB32" i="33" s="1"/>
  <c r="CE44" i="33" a="1"/>
  <c r="CE44" i="33" s="1"/>
  <c r="AP131" i="33" a="1"/>
  <c r="AP131" i="33" s="1"/>
  <c r="W137" i="33" a="1"/>
  <c r="W137" i="33" s="1"/>
  <c r="BA60" i="33" a="1"/>
  <c r="BA60" i="33" s="1"/>
  <c r="AR85" i="33" a="1"/>
  <c r="AR85" i="33" s="1"/>
  <c r="BT98" i="33" a="1"/>
  <c r="BT98" i="33" s="1"/>
  <c r="BT22" i="33" a="1"/>
  <c r="BT22" i="33" s="1"/>
  <c r="X26" i="33" a="1"/>
  <c r="X26" i="33" s="1"/>
  <c r="BA126" i="33" a="1"/>
  <c r="BA126" i="33" s="1"/>
  <c r="CB50" i="33" a="1"/>
  <c r="CB50" i="33" s="1"/>
  <c r="AB135" i="33" a="1"/>
  <c r="AB135" i="33" s="1"/>
  <c r="CX95" i="33" a="1"/>
  <c r="CX95" i="33" s="1"/>
  <c r="W60" i="33" a="1"/>
  <c r="W60" i="33" s="1"/>
  <c r="BT54" i="33" a="1"/>
  <c r="BT54" i="33" s="1"/>
  <c r="CM30" i="33" a="1"/>
  <c r="CM30" i="33" s="1"/>
  <c r="AH125" i="33" a="1"/>
  <c r="AH125" i="33" s="1"/>
  <c r="BS100" i="33" a="1"/>
  <c r="BS100" i="33" s="1"/>
  <c r="BA78" i="33" a="1"/>
  <c r="BA78" i="33" s="1"/>
  <c r="BP36" i="33" a="1"/>
  <c r="BP36" i="33" s="1"/>
  <c r="BT34" i="33" a="1"/>
  <c r="BT34" i="33" s="1"/>
  <c r="BS126" i="33" a="1"/>
  <c r="BS126" i="33" s="1"/>
  <c r="AQ141" i="33" a="1"/>
  <c r="AQ141" i="33" s="1"/>
  <c r="CX111" i="33" a="1"/>
  <c r="CX111" i="33" s="1"/>
  <c r="CX26" i="33" a="1"/>
  <c r="CX26" i="33" s="1"/>
  <c r="CL75" i="33" a="1"/>
  <c r="CL75" i="33" s="1"/>
  <c r="AX158" i="33" a="1"/>
  <c r="AX158" i="33" s="1"/>
  <c r="AR44" i="33" a="1"/>
  <c r="AR44" i="33" s="1"/>
  <c r="CX137" i="33" a="1"/>
  <c r="CX137" i="33" s="1"/>
  <c r="AY86" i="33" a="1"/>
  <c r="AY86" i="33" s="1"/>
  <c r="CB122" i="33" a="1"/>
  <c r="CB122" i="33" s="1"/>
  <c r="CO38" i="33" a="1"/>
  <c r="CO38" i="33" s="1"/>
  <c r="CW113" i="33" a="1"/>
  <c r="CW113" i="33" s="1"/>
  <c r="BR134" i="33" a="1"/>
  <c r="BR134" i="33" s="1"/>
  <c r="AF132" i="33" a="1"/>
  <c r="AF132" i="33" s="1"/>
  <c r="CM97" i="33" a="1"/>
  <c r="CM97" i="33" s="1"/>
  <c r="AO146" i="33" a="1"/>
  <c r="AO146" i="33" s="1"/>
  <c r="CJ93" i="33" a="1"/>
  <c r="CJ93" i="33" s="1"/>
  <c r="AX77" i="33" a="1"/>
  <c r="AX77" i="33" s="1"/>
  <c r="AY20" i="33" a="1"/>
  <c r="AY20" i="33" s="1"/>
  <c r="CD71" i="33" a="1"/>
  <c r="CD71" i="33" s="1"/>
  <c r="BJ83" i="33" a="1"/>
  <c r="BJ83" i="33" s="1"/>
  <c r="AB79" i="33" a="1"/>
  <c r="AB79" i="33" s="1"/>
  <c r="AQ131" i="33" a="1"/>
  <c r="AQ131" i="33" s="1"/>
  <c r="AQ103" i="33" a="1"/>
  <c r="AQ103" i="33" s="1"/>
  <c r="AN119" i="33" a="1"/>
  <c r="AN119" i="33" s="1"/>
  <c r="CE60" i="33" a="1"/>
  <c r="CE60" i="33" s="1"/>
  <c r="CD147" i="33" a="1"/>
  <c r="CD147" i="33" s="1"/>
  <c r="CX116" i="33" a="1"/>
  <c r="CX116" i="33" s="1"/>
  <c r="W34" i="33" a="1"/>
  <c r="W34" i="33" s="1"/>
  <c r="BR20" i="33" a="1"/>
  <c r="BR20" i="33" s="1"/>
  <c r="AX45" i="33" a="1"/>
  <c r="AX45" i="33" s="1"/>
  <c r="CY29" i="33" a="1"/>
  <c r="CY29" i="33" s="1"/>
  <c r="BT17" i="33" a="1"/>
  <c r="BT17" i="33" s="1"/>
  <c r="AY98" i="33" a="1"/>
  <c r="AY98" i="33" s="1"/>
  <c r="CM105" i="33" a="1"/>
  <c r="CM105" i="33" s="1"/>
  <c r="AP32" i="33" a="1"/>
  <c r="AP32" i="33" s="1"/>
  <c r="BJ85" i="33" a="1"/>
  <c r="BJ85" i="33" s="1"/>
  <c r="AE32" i="33" a="1"/>
  <c r="AE32" i="33" s="1"/>
  <c r="AX119" i="33" a="1"/>
  <c r="AX119" i="33" s="1"/>
  <c r="CL161" i="33" a="1"/>
  <c r="CL161" i="33" s="1"/>
  <c r="AD15" i="33" a="1"/>
  <c r="AD15" i="33" s="1"/>
  <c r="V138" i="33" a="1"/>
  <c r="V138" i="33" s="1"/>
  <c r="AN57" i="33" a="1"/>
  <c r="AN57" i="33" s="1"/>
  <c r="CO82" i="33" a="1"/>
  <c r="CO82" i="33" s="1"/>
  <c r="AZ160" i="33" a="1"/>
  <c r="AZ160" i="33" s="1"/>
  <c r="V131" i="33" a="1"/>
  <c r="V131" i="33" s="1"/>
  <c r="BP78" i="33" a="1"/>
  <c r="BP78" i="33" s="1"/>
  <c r="BI61" i="33" a="1"/>
  <c r="BI61" i="33" s="1"/>
  <c r="AY143" i="33" a="1"/>
  <c r="AY143" i="33" s="1"/>
  <c r="AN159" i="33" a="1"/>
  <c r="AN159" i="33" s="1"/>
  <c r="BR119" i="33" a="1"/>
  <c r="BR119" i="33" s="1"/>
  <c r="CW125" i="33" a="1"/>
  <c r="CW125" i="33" s="1"/>
  <c r="AY100" i="33" a="1"/>
  <c r="AY100" i="33" s="1"/>
  <c r="CM148" i="33" a="1"/>
  <c r="CM148" i="33" s="1"/>
  <c r="CM115" i="33" a="1"/>
  <c r="CM115" i="33" s="1"/>
  <c r="BS131" i="33" a="1"/>
  <c r="BS131" i="33" s="1"/>
  <c r="CB29" i="33" a="1"/>
  <c r="CB29" i="33" s="1"/>
  <c r="AY36" i="33" a="1"/>
  <c r="AY36" i="33" s="1"/>
  <c r="BU25" i="33" a="1"/>
  <c r="BU25" i="33" s="1"/>
  <c r="CJ42" i="33" a="1"/>
  <c r="CJ42" i="33" s="1"/>
  <c r="BI144" i="33" a="1"/>
  <c r="BI144" i="33" s="1"/>
  <c r="BS73" i="33" a="1"/>
  <c r="BS73" i="33" s="1"/>
  <c r="CJ24" i="33" a="1"/>
  <c r="CJ24" i="33" s="1"/>
  <c r="AZ112" i="33" a="1"/>
  <c r="AZ112" i="33" s="1"/>
  <c r="BS123" i="33" a="1"/>
  <c r="BS123" i="33" s="1"/>
  <c r="CC93" i="33" a="1"/>
  <c r="CC93" i="33" s="1"/>
  <c r="BS42" i="33" a="1"/>
  <c r="BS42" i="33" s="1"/>
  <c r="CO68" i="33" a="1"/>
  <c r="CO68" i="33" s="1"/>
  <c r="BI139" i="33" a="1"/>
  <c r="BI139" i="33" s="1"/>
  <c r="AQ37" i="33" a="1"/>
  <c r="AQ37" i="33" s="1"/>
  <c r="AP145" i="33" a="1"/>
  <c r="AP145" i="33" s="1"/>
  <c r="BI76" i="33" a="1"/>
  <c r="BI76" i="33" s="1"/>
  <c r="CC80" i="33" a="1"/>
  <c r="CC80" i="33" s="1"/>
  <c r="CJ126" i="33" a="1"/>
  <c r="CJ126" i="33" s="1"/>
  <c r="CL112" i="33" a="1"/>
  <c r="CL112" i="33" s="1"/>
  <c r="BU109" i="33" a="1"/>
  <c r="BU109" i="33" s="1"/>
  <c r="BT127" i="33" a="1"/>
  <c r="BT127" i="33" s="1"/>
  <c r="AE75" i="33" a="1"/>
  <c r="AE75" i="33" s="1"/>
  <c r="V145" i="33" a="1"/>
  <c r="V145" i="33" s="1"/>
  <c r="AE100" i="33" a="1"/>
  <c r="AE100" i="33" s="1"/>
  <c r="AZ118" i="33" a="1"/>
  <c r="AZ118" i="33" s="1"/>
  <c r="AY158" i="33" a="1"/>
  <c r="AY158" i="33" s="1"/>
  <c r="CC83" i="33" a="1"/>
  <c r="CC83" i="33" s="1"/>
  <c r="BS67" i="33" a="1"/>
  <c r="BS67" i="33" s="1"/>
  <c r="CI80" i="33" a="1"/>
  <c r="CI80" i="33" s="1"/>
  <c r="BR57" i="33" a="1"/>
  <c r="BR57" i="33" s="1"/>
  <c r="AX103" i="33" a="1"/>
  <c r="AX103" i="33" s="1"/>
  <c r="AY142" i="33" a="1"/>
  <c r="AY142" i="33" s="1"/>
  <c r="BR46" i="33" a="1"/>
  <c r="BR46" i="33" s="1"/>
  <c r="AF73" i="33" a="1"/>
  <c r="AF73" i="33" s="1"/>
  <c r="BS60" i="33" a="1"/>
  <c r="BS60" i="33" s="1"/>
  <c r="AP28" i="33" a="1"/>
  <c r="AP28" i="33" s="1"/>
  <c r="CS135" i="33" a="1"/>
  <c r="CS135" i="33" s="1"/>
  <c r="AE103" i="33" a="1"/>
  <c r="AE103" i="33" s="1"/>
  <c r="BR76" i="33" a="1"/>
  <c r="BR76" i="33" s="1"/>
  <c r="BI149" i="33" a="1"/>
  <c r="BI149" i="33" s="1"/>
  <c r="CI29" i="33" a="1"/>
  <c r="CI29" i="33" s="1"/>
  <c r="BS102" i="33" a="1"/>
  <c r="BS102" i="33" s="1"/>
  <c r="AY77" i="33" a="1"/>
  <c r="AY77" i="33" s="1"/>
  <c r="AD60" i="33" a="1"/>
  <c r="AD60" i="33" s="1"/>
  <c r="AD59" i="33" a="1"/>
  <c r="AD59" i="33" s="1"/>
  <c r="BI105" i="33" a="1"/>
  <c r="BI105" i="33" s="1"/>
  <c r="AL56" i="33" a="1"/>
  <c r="AL56" i="33" s="1"/>
  <c r="AY64" i="33" a="1"/>
  <c r="AY64" i="33" s="1"/>
  <c r="BS143" i="33" a="1"/>
  <c r="BS143" i="33" s="1"/>
  <c r="AQ157" i="33" a="1"/>
  <c r="AQ157" i="33" s="1"/>
  <c r="BT69" i="33" a="1"/>
  <c r="BT69" i="33" s="1"/>
  <c r="CW72" i="33" a="1"/>
  <c r="CW72" i="33" s="1"/>
  <c r="CM69" i="33" a="1"/>
  <c r="CM69" i="33" s="1"/>
  <c r="BP155" i="33" a="1"/>
  <c r="BP155" i="33" s="1"/>
  <c r="CM57" i="33" a="1"/>
  <c r="CM57" i="33" s="1"/>
  <c r="AE142" i="33" a="1"/>
  <c r="AE142" i="33" s="1"/>
  <c r="AX115" i="33" a="1"/>
  <c r="AX115" i="33" s="1"/>
  <c r="AO133" i="33" a="1"/>
  <c r="AO133" i="33" s="1"/>
  <c r="AX128" i="33" a="1"/>
  <c r="AX128" i="33" s="1"/>
  <c r="CN55" i="33" a="1"/>
  <c r="CN55" i="33" s="1"/>
  <c r="CX70" i="33" a="1"/>
  <c r="CX70" i="33" s="1"/>
  <c r="BJ125" i="33" a="1"/>
  <c r="BJ125" i="33" s="1"/>
  <c r="CY63" i="33" a="1"/>
  <c r="CY63" i="33" s="1"/>
  <c r="AZ50" i="33" a="1"/>
  <c r="AZ50" i="33" s="1"/>
  <c r="CD157" i="33" a="1"/>
  <c r="CD157" i="33" s="1"/>
  <c r="CD111" i="33" a="1"/>
  <c r="CD111" i="33" s="1"/>
  <c r="V67" i="33" a="1"/>
  <c r="V67" i="33" s="1"/>
  <c r="CD151" i="33" a="1"/>
  <c r="CD151" i="33" s="1"/>
  <c r="CX33" i="33" a="1"/>
  <c r="CX33" i="33" s="1"/>
  <c r="CD20" i="33" a="1"/>
  <c r="CD20" i="33" s="1"/>
  <c r="BK45" i="33" a="1"/>
  <c r="BK45" i="33" s="1"/>
  <c r="CW138" i="33" a="1"/>
  <c r="CW138" i="33" s="1"/>
  <c r="AH68" i="33" a="1"/>
  <c r="AH68" i="33" s="1"/>
  <c r="AZ85" i="33" a="1"/>
  <c r="AZ85" i="33" s="1"/>
  <c r="BU146" i="33" a="1"/>
  <c r="BU146" i="33" s="1"/>
  <c r="BJ137" i="33" a="1"/>
  <c r="BJ137" i="33" s="1"/>
  <c r="CE35" i="33" a="1"/>
  <c r="CE35" i="33" s="1"/>
  <c r="CX53" i="33" a="1"/>
  <c r="CX53" i="33" s="1"/>
  <c r="CO24" i="33" a="1"/>
  <c r="CO24" i="33" s="1"/>
  <c r="CN85" i="33" a="1"/>
  <c r="CN85" i="33" s="1"/>
  <c r="AF21" i="33" a="1"/>
  <c r="AF21" i="33" s="1"/>
  <c r="CB150" i="33" a="1"/>
  <c r="CB150" i="33" s="1"/>
  <c r="CX20" i="33" a="1"/>
  <c r="CX20" i="33" s="1"/>
  <c r="BI60" i="33" a="1"/>
  <c r="BI60" i="33" s="1"/>
  <c r="AN121" i="33" a="1"/>
  <c r="AN121" i="33" s="1"/>
  <c r="AQ40" i="33" a="1"/>
  <c r="AQ40" i="33" s="1"/>
  <c r="CY70" i="33" a="1"/>
  <c r="CY70" i="33" s="1"/>
  <c r="CO81" i="33" a="1"/>
  <c r="CO81" i="33" s="1"/>
  <c r="CD89" i="33" a="1"/>
  <c r="CD89" i="33" s="1"/>
  <c r="AF114" i="33" a="1"/>
  <c r="AF114" i="33" s="1"/>
  <c r="CY153" i="33" a="1"/>
  <c r="CY153" i="33" s="1"/>
  <c r="AZ144" i="33" a="1"/>
  <c r="AZ144" i="33" s="1"/>
  <c r="BJ133" i="33" a="1"/>
  <c r="BJ133" i="33" s="1"/>
  <c r="AE17" i="33" a="1"/>
  <c r="AE17" i="33" s="1"/>
  <c r="AN127" i="33" a="1"/>
  <c r="AN127" i="33" s="1"/>
  <c r="CW29" i="33" a="1"/>
  <c r="CW29" i="33" s="1"/>
  <c r="AZ91" i="33" a="1"/>
  <c r="AZ91" i="33" s="1"/>
  <c r="CW80" i="33" a="1"/>
  <c r="CW80" i="33" s="1"/>
  <c r="CE140" i="33" a="1"/>
  <c r="CE140" i="33" s="1"/>
  <c r="BJ82" i="33" a="1"/>
  <c r="BJ82" i="33" s="1"/>
  <c r="CS98" i="33" a="1"/>
  <c r="CS98" i="33" s="1"/>
  <c r="BP120" i="33" a="1"/>
  <c r="BP120" i="33" s="1"/>
  <c r="BP138" i="33" a="1"/>
  <c r="BP138" i="33" s="1"/>
  <c r="AO56" i="33" a="1"/>
  <c r="AO56" i="33" s="1"/>
  <c r="AB28" i="33" a="1"/>
  <c r="AB28" i="33" s="1"/>
  <c r="CE78" i="33" a="1"/>
  <c r="CE78" i="33" s="1"/>
  <c r="W101" i="33" a="1"/>
  <c r="W101" i="33" s="1"/>
  <c r="AZ40" i="33" a="1"/>
  <c r="AZ40" i="33" s="1"/>
  <c r="BR75" i="33" a="1"/>
  <c r="BR75" i="33" s="1"/>
  <c r="X114" i="33" a="1"/>
  <c r="X114" i="33" s="1"/>
  <c r="CC24" i="33" a="1"/>
  <c r="CC24" i="33" s="1"/>
  <c r="CY89" i="33" a="1"/>
  <c r="CY89" i="33" s="1"/>
  <c r="CB15" i="33" a="1"/>
  <c r="CB15" i="33" s="1"/>
  <c r="AD100" i="33" a="1"/>
  <c r="AD100" i="33" s="1"/>
  <c r="BK25" i="33" a="1"/>
  <c r="BK25" i="33" s="1"/>
  <c r="BI27" i="33" a="1"/>
  <c r="BI27" i="33" s="1"/>
  <c r="AN92" i="33" a="1"/>
  <c r="AN92" i="33" s="1"/>
  <c r="CM90" i="33" a="1"/>
  <c r="CM90" i="33" s="1"/>
  <c r="X133" i="33" a="1"/>
  <c r="X133" i="33" s="1"/>
  <c r="AB139" i="33" a="1"/>
  <c r="AB139" i="33" s="1"/>
  <c r="V99" i="33" a="1"/>
  <c r="V99" i="33" s="1"/>
  <c r="BP106" i="33" a="1"/>
  <c r="BP106" i="33" s="1"/>
  <c r="AF146" i="33" a="1"/>
  <c r="AF146" i="33" s="1"/>
  <c r="BI117" i="33" a="1"/>
  <c r="BI117" i="33" s="1"/>
  <c r="AB122" i="33" a="1"/>
  <c r="AB122" i="33" s="1"/>
  <c r="AX54" i="33" a="1"/>
  <c r="AX54" i="33" s="1"/>
  <c r="CC19" i="33" a="1"/>
  <c r="CC19" i="33" s="1"/>
  <c r="CX150" i="33" a="1"/>
  <c r="CX150" i="33" s="1"/>
  <c r="BU148" i="33" a="1"/>
  <c r="BU148" i="33" s="1"/>
  <c r="CE146" i="33" a="1"/>
  <c r="CE146" i="33" s="1"/>
  <c r="BS154" i="33" a="1"/>
  <c r="BS154" i="33" s="1"/>
  <c r="AE64" i="33" a="1"/>
  <c r="AE64" i="33" s="1"/>
  <c r="CM98" i="33" a="1"/>
  <c r="CM98" i="33" s="1"/>
  <c r="AF43" i="33" a="1"/>
  <c r="AF43" i="33" s="1"/>
  <c r="BT102" i="33" a="1"/>
  <c r="BT102" i="33" s="1"/>
  <c r="CE45" i="33" a="1"/>
  <c r="CE45" i="33" s="1"/>
  <c r="BS85" i="33" a="1"/>
  <c r="BS85" i="33" s="1"/>
  <c r="BT134" i="33" a="1"/>
  <c r="BT134" i="33" s="1"/>
  <c r="CO130" i="33" a="1"/>
  <c r="CO130" i="33" s="1"/>
  <c r="CC135" i="33" a="1"/>
  <c r="CC135" i="33" s="1"/>
  <c r="AB37" i="33" a="1"/>
  <c r="AB37" i="33" s="1"/>
  <c r="CC64" i="33" a="1"/>
  <c r="CC64" i="33" s="1"/>
  <c r="CC50" i="33" a="1"/>
  <c r="CC50" i="33" s="1"/>
  <c r="AY55" i="33" a="1"/>
  <c r="AY55" i="33" s="1"/>
  <c r="AP14" i="33" a="1"/>
  <c r="AP14" i="33" s="1"/>
  <c r="CC146" i="33" a="1"/>
  <c r="CC146" i="33" s="1"/>
  <c r="CE157" i="33" a="1"/>
  <c r="CE157" i="33" s="1"/>
  <c r="BI72" i="33" a="1"/>
  <c r="BI72" i="33" s="1"/>
  <c r="BS66" i="33" a="1"/>
  <c r="BS66" i="33" s="1"/>
  <c r="AE135" i="33" a="1"/>
  <c r="AE135" i="33" s="1"/>
  <c r="AF38" i="33" a="1"/>
  <c r="AF38" i="33" s="1"/>
  <c r="AN62" i="33" a="1"/>
  <c r="AN62" i="33" s="1"/>
  <c r="CC30" i="33" a="1"/>
  <c r="CC30" i="33" s="1"/>
  <c r="CJ103" i="33" a="1"/>
  <c r="CJ103" i="33" s="1"/>
  <c r="W50" i="33" a="1"/>
  <c r="W50" i="33" s="1"/>
  <c r="CB91" i="33" a="1"/>
  <c r="CB91" i="33" s="1"/>
  <c r="AX134" i="33" a="1"/>
  <c r="AX134" i="33" s="1"/>
  <c r="CE100" i="33" a="1"/>
  <c r="CE100" i="33" s="1"/>
  <c r="CC41" i="33" a="1"/>
  <c r="CC41" i="33" s="1"/>
  <c r="BP107" i="33" a="1"/>
  <c r="BP107" i="33" s="1"/>
  <c r="AD69" i="33" a="1"/>
  <c r="AD69" i="33" s="1"/>
  <c r="CB120" i="33" a="1"/>
  <c r="CB120" i="33" s="1"/>
  <c r="CM92" i="33" a="1"/>
  <c r="CM92" i="33" s="1"/>
  <c r="V38" i="33" a="1"/>
  <c r="V38" i="33" s="1"/>
  <c r="CX45" i="33" a="1"/>
  <c r="CX45" i="33" s="1"/>
  <c r="BP58" i="33" a="1"/>
  <c r="BP58" i="33" s="1"/>
  <c r="AO26" i="33" a="1"/>
  <c r="AO26" i="33" s="1"/>
  <c r="BA151" i="33" a="1"/>
  <c r="BA151" i="33" s="1"/>
  <c r="CJ54" i="33" a="1"/>
  <c r="CJ54" i="33" s="1"/>
  <c r="CJ78" i="33" a="1"/>
  <c r="CJ78" i="33" s="1"/>
  <c r="AO78" i="33" a="1"/>
  <c r="AO78" i="33" s="1"/>
  <c r="AH131" i="33" a="1"/>
  <c r="AH131" i="33" s="1"/>
  <c r="CS145" i="33" a="1"/>
  <c r="CS145" i="33" s="1"/>
  <c r="CB43" i="33" a="1"/>
  <c r="CB43" i="33" s="1"/>
  <c r="AO92" i="33" a="1"/>
  <c r="AO92" i="33" s="1"/>
  <c r="CS84" i="33" a="1"/>
  <c r="CS84" i="33" s="1"/>
  <c r="CM28" i="33" a="1"/>
  <c r="CM28" i="33" s="1"/>
  <c r="CC161" i="33" a="1"/>
  <c r="CC161" i="33" s="1"/>
  <c r="AY119" i="33" a="1"/>
  <c r="AY119" i="33" s="1"/>
  <c r="BI25" i="33" a="1"/>
  <c r="BI25" i="33" s="1"/>
  <c r="AE14" i="33" a="1"/>
  <c r="AE14" i="33" s="1"/>
  <c r="CM27" i="33" a="1"/>
  <c r="CM27" i="33" s="1"/>
  <c r="CV48" i="33" a="1"/>
  <c r="CV48" i="33" s="1"/>
  <c r="AP158" i="33" a="1"/>
  <c r="AP158" i="33" s="1"/>
  <c r="AB158" i="33" a="1"/>
  <c r="AB158" i="33" s="1"/>
  <c r="AO159" i="33" a="1"/>
  <c r="AO159" i="33" s="1"/>
  <c r="CJ152" i="33" a="1"/>
  <c r="CJ152" i="33" s="1"/>
  <c r="BI46" i="33" a="1"/>
  <c r="BI46" i="33" s="1"/>
  <c r="AN21" i="33" a="1"/>
  <c r="AN21" i="33" s="1"/>
  <c r="AO35" i="33" a="1"/>
  <c r="AO35" i="33" s="1"/>
  <c r="AF80" i="33" a="1"/>
  <c r="AF80" i="33" s="1"/>
  <c r="BS114" i="33" a="1"/>
  <c r="BS114" i="33" s="1"/>
  <c r="CM56" i="33" a="1"/>
  <c r="CM56" i="33" s="1"/>
  <c r="AL78" i="33" a="1"/>
  <c r="AL78" i="33" s="1"/>
  <c r="CW85" i="33" a="1"/>
  <c r="CW85" i="33" s="1"/>
  <c r="AX112" i="33" a="1"/>
  <c r="AX112" i="33" s="1"/>
  <c r="CC72" i="33" a="1"/>
  <c r="CC72" i="33" s="1"/>
  <c r="BS103" i="33" a="1"/>
  <c r="BS103" i="33" s="1"/>
  <c r="AY92" i="33" a="1"/>
  <c r="AY92" i="33" s="1"/>
  <c r="AX117" i="33" a="1"/>
  <c r="AX117" i="33" s="1"/>
  <c r="CM46" i="33" a="1"/>
  <c r="CM46" i="33" s="1"/>
  <c r="AE158" i="33" a="1"/>
  <c r="AE158" i="33" s="1"/>
  <c r="AP76" i="33" a="1"/>
  <c r="AP76" i="33" s="1"/>
  <c r="CD35" i="33" a="1"/>
  <c r="CD35" i="33" s="1"/>
  <c r="CN108" i="33" a="1"/>
  <c r="CN108" i="33" s="1"/>
  <c r="V154" i="33" a="1"/>
  <c r="V154" i="33" s="1"/>
  <c r="CN52" i="33" a="1"/>
  <c r="CN52" i="33" s="1"/>
  <c r="CW88" i="33" a="1"/>
  <c r="CW88" i="33" s="1"/>
  <c r="AY151" i="33" a="1"/>
  <c r="AY151" i="33" s="1"/>
  <c r="BT26" i="33" a="1"/>
  <c r="BT26" i="33" s="1"/>
  <c r="AF26" i="33" a="1"/>
  <c r="AF26" i="33" s="1"/>
  <c r="AN15" i="33" a="1"/>
  <c r="AN15" i="33" s="1"/>
  <c r="W103" i="33" a="1"/>
  <c r="W103" i="33" s="1"/>
  <c r="V101" i="33" a="1"/>
  <c r="V101" i="33" s="1"/>
  <c r="BP143" i="33" a="1"/>
  <c r="BP143" i="33" s="1"/>
  <c r="CX97" i="33" a="1"/>
  <c r="CX97" i="33" s="1"/>
  <c r="BT136" i="33" a="1"/>
  <c r="BT136" i="33" s="1"/>
  <c r="CD156" i="33" a="1"/>
  <c r="CD156" i="33" s="1"/>
  <c r="BU49" i="33" a="1"/>
  <c r="BU49" i="33" s="1"/>
  <c r="CX99" i="33" a="1"/>
  <c r="CX99" i="33" s="1"/>
  <c r="AP90" i="33" a="1"/>
  <c r="AP90" i="33" s="1"/>
  <c r="AZ69" i="33" a="1"/>
  <c r="AZ69" i="33" s="1"/>
  <c r="BT119" i="33" a="1"/>
  <c r="BT119" i="33" s="1"/>
  <c r="AZ149" i="33" a="1"/>
  <c r="AZ149" i="33" s="1"/>
  <c r="AZ124" i="33" a="1"/>
  <c r="AZ124" i="33" s="1"/>
  <c r="CO128" i="33" a="1"/>
  <c r="CO128" i="33" s="1"/>
  <c r="CN107" i="33" a="1"/>
  <c r="CN107" i="33" s="1"/>
  <c r="BR42" i="33" a="1"/>
  <c r="BR42" i="33" s="1"/>
  <c r="V81" i="33" a="1"/>
  <c r="V81" i="33" s="1"/>
  <c r="BK84" i="33" a="1"/>
  <c r="BK84" i="33" s="1"/>
  <c r="BJ121" i="33" a="1"/>
  <c r="BJ121" i="33" s="1"/>
  <c r="CW55" i="33" a="1"/>
  <c r="CW55" i="33" s="1"/>
  <c r="X76" i="33" a="1"/>
  <c r="X76" i="33" s="1"/>
  <c r="AR120" i="33" a="1"/>
  <c r="AR120" i="33" s="1"/>
  <c r="CL41" i="33" a="1"/>
  <c r="CL41" i="33" s="1"/>
  <c r="CC158" i="33" a="1"/>
  <c r="CC158" i="33" s="1"/>
  <c r="BT48" i="33" a="1"/>
  <c r="BT48" i="33" s="1"/>
  <c r="CM119" i="33" a="1"/>
  <c r="CM119" i="33" s="1"/>
  <c r="BJ20" i="33" a="1"/>
  <c r="BJ20" i="33" s="1"/>
  <c r="W45" i="33" a="1"/>
  <c r="W45" i="33" s="1"/>
  <c r="CX122" i="33" a="1"/>
  <c r="CX122" i="33" s="1"/>
  <c r="BJ17" i="33" a="1"/>
  <c r="BJ17" i="33" s="1"/>
  <c r="CM134" i="33" a="1"/>
  <c r="CM134" i="33" s="1"/>
  <c r="AH74" i="33" a="1"/>
  <c r="AH74" i="33" s="1"/>
  <c r="AY27" i="33" a="1"/>
  <c r="AY27" i="33" s="1"/>
  <c r="AY41" i="33" a="1"/>
  <c r="AY41" i="33" s="1"/>
  <c r="CS103" i="33" a="1"/>
  <c r="CS103" i="33" s="1"/>
  <c r="AF27" i="33" a="1"/>
  <c r="AF27" i="33" s="1"/>
  <c r="BR110" i="33" a="1"/>
  <c r="BR110" i="33" s="1"/>
  <c r="BP75" i="33" a="1"/>
  <c r="BP75" i="33" s="1"/>
  <c r="BI81" i="33" a="1"/>
  <c r="BI81" i="33" s="1"/>
  <c r="BI36" i="33" a="1"/>
  <c r="BI36" i="33" s="1"/>
  <c r="BI141" i="33" a="1"/>
  <c r="BI141" i="33" s="1"/>
  <c r="AY46" i="33" a="1"/>
  <c r="AY46" i="33" s="1"/>
  <c r="CB17" i="33" a="1"/>
  <c r="CB17" i="33" s="1"/>
  <c r="AD97" i="33" a="1"/>
  <c r="AD97" i="33" s="1"/>
  <c r="AB111" i="33" a="1"/>
  <c r="AB111" i="33" s="1"/>
  <c r="AN65" i="33" a="1"/>
  <c r="AN65" i="33" s="1"/>
  <c r="CW87" i="33" a="1"/>
  <c r="CW87" i="33" s="1"/>
  <c r="BJ128" i="33" a="1"/>
  <c r="BJ128" i="33" s="1"/>
  <c r="BI98" i="33" a="1"/>
  <c r="BI98" i="33" s="1"/>
  <c r="AD156" i="33" a="1"/>
  <c r="AD156" i="33" s="1"/>
  <c r="AZ97" i="33" a="1"/>
  <c r="AZ97" i="33" s="1"/>
  <c r="AH61" i="33" a="1"/>
  <c r="AH61" i="33" s="1"/>
  <c r="AO109" i="33" a="1"/>
  <c r="AO109" i="33" s="1"/>
  <c r="CX22" i="33" a="1"/>
  <c r="CX22" i="33" s="1"/>
  <c r="AO129" i="33" a="1"/>
  <c r="AO129" i="33" s="1"/>
  <c r="X37" i="33" a="1"/>
  <c r="X37" i="33" s="1"/>
  <c r="AN152" i="33" a="1"/>
  <c r="AN152" i="33" s="1"/>
  <c r="BR59" i="33" a="1"/>
  <c r="BR59" i="33" s="1"/>
  <c r="CW21" i="33" a="1"/>
  <c r="CW21" i="33" s="1"/>
  <c r="CC117" i="33" a="1"/>
  <c r="CC117" i="33" s="1"/>
  <c r="CD33" i="33" a="1"/>
  <c r="CD33" i="33" s="1"/>
  <c r="AR160" i="33" a="1"/>
  <c r="AR160" i="33" s="1"/>
  <c r="AZ27" i="33" a="1"/>
  <c r="AZ27" i="33" s="1"/>
  <c r="BA24" i="33" a="1"/>
  <c r="BA24" i="33" s="1"/>
  <c r="BI119" i="33" a="1"/>
  <c r="BI119" i="33" s="1"/>
  <c r="BS105" i="33" a="1"/>
  <c r="BS105" i="33" s="1"/>
  <c r="CS126" i="33" a="1"/>
  <c r="CS126" i="33" s="1"/>
  <c r="AO44" i="33" a="1"/>
  <c r="AO44" i="33" s="1"/>
  <c r="AL115" i="33" a="1"/>
  <c r="AL115" i="33" s="1"/>
  <c r="AY102" i="33" a="1"/>
  <c r="AY102" i="33" s="1"/>
  <c r="AQ48" i="33" a="1"/>
  <c r="AQ48" i="33" s="1"/>
  <c r="CB25" i="33" a="1"/>
  <c r="CB25" i="33" s="1"/>
  <c r="CJ44" i="33" a="1"/>
  <c r="CJ44" i="33" s="1"/>
  <c r="BK44" i="33" a="1"/>
  <c r="BK44" i="33" s="1"/>
  <c r="BI130" i="33" a="1"/>
  <c r="BI130" i="33" s="1"/>
  <c r="CC54" i="33" a="1"/>
  <c r="CC54" i="33" s="1"/>
  <c r="AE128" i="33" a="1"/>
  <c r="AE128" i="33" s="1"/>
  <c r="CE70" i="33" a="1"/>
  <c r="CE70" i="33" s="1"/>
  <c r="AL79" i="33" a="1"/>
  <c r="AL79" i="33" s="1"/>
  <c r="BR156" i="33" a="1"/>
  <c r="BR156" i="33" s="1"/>
  <c r="AY89" i="33" a="1"/>
  <c r="AY89" i="33" s="1"/>
  <c r="CB79" i="33" a="1"/>
  <c r="CB79" i="33" s="1"/>
  <c r="BR21" i="33" a="1"/>
  <c r="BR21" i="33" s="1"/>
  <c r="AR43" i="33" a="1"/>
  <c r="AR43" i="33" s="1"/>
  <c r="AX27" i="33" a="1"/>
  <c r="AX27" i="33" s="1"/>
  <c r="BI118" i="33" a="1"/>
  <c r="BI118" i="33" s="1"/>
  <c r="BA131" i="33" a="1"/>
  <c r="BA131" i="33" s="1"/>
  <c r="X88" i="33" a="1"/>
  <c r="X88" i="33" s="1"/>
  <c r="AF75" i="33" a="1"/>
  <c r="AF75" i="33" s="1"/>
  <c r="BS59" i="33" a="1"/>
  <c r="BS59" i="33" s="1"/>
  <c r="CS87" i="33" a="1"/>
  <c r="CS87" i="33" s="1"/>
  <c r="AX69" i="33" a="1"/>
  <c r="AX69" i="33" s="1"/>
  <c r="BS116" i="33" a="1"/>
  <c r="BS116" i="33" s="1"/>
  <c r="BI85" i="33" a="1"/>
  <c r="BI85" i="33" s="1"/>
  <c r="BJ71" i="33" a="1"/>
  <c r="BJ71" i="33" s="1"/>
  <c r="BK80" i="33" a="1"/>
  <c r="BK80" i="33" s="1"/>
  <c r="CC43" i="33" a="1"/>
  <c r="CC43" i="33" s="1"/>
  <c r="BP104" i="33" a="1"/>
  <c r="BP104" i="33" s="1"/>
  <c r="AL40" i="33" a="1"/>
  <c r="AL40" i="33" s="1"/>
  <c r="CB114" i="33" a="1"/>
  <c r="CB114" i="33" s="1"/>
  <c r="CS38" i="33" a="1"/>
  <c r="CS38" i="33" s="1"/>
  <c r="CW60" i="33" a="1"/>
  <c r="CW60" i="33" s="1"/>
  <c r="BT79" i="33" a="1"/>
  <c r="BT79" i="33" s="1"/>
  <c r="BS49" i="33" a="1"/>
  <c r="BS49" i="33" s="1"/>
  <c r="AL39" i="33" a="1"/>
  <c r="AL39" i="33" s="1"/>
  <c r="AB64" i="33" a="1"/>
  <c r="AB64" i="33" s="1"/>
  <c r="CM80" i="33" a="1"/>
  <c r="CM80" i="33" s="1"/>
  <c r="BI96" i="33" a="1"/>
  <c r="BI96" i="33" s="1"/>
  <c r="AL110" i="33" a="1"/>
  <c r="AL110" i="33" s="1"/>
  <c r="AR81" i="33" a="1"/>
  <c r="AR81" i="33" s="1"/>
  <c r="W70" i="33" a="1"/>
  <c r="W70" i="33" s="1"/>
  <c r="AZ138" i="33" a="1"/>
  <c r="AZ138" i="33" s="1"/>
  <c r="BR17" i="33" a="1"/>
  <c r="BR17" i="33" s="1"/>
  <c r="CS46" i="33" a="1"/>
  <c r="CS46" i="33" s="1"/>
  <c r="AD147" i="33" a="1"/>
  <c r="AD147" i="33" s="1"/>
  <c r="CB88" i="33" a="1"/>
  <c r="CB88" i="33" s="1"/>
  <c r="AQ72" i="33" a="1"/>
  <c r="AQ72" i="33" s="1"/>
  <c r="AE91" i="33" a="1"/>
  <c r="AE91" i="33" s="1"/>
  <c r="AB81" i="33" a="1"/>
  <c r="AB81" i="33" s="1"/>
  <c r="AQ55" i="33" a="1"/>
  <c r="AQ55" i="33" s="1"/>
  <c r="CB70" i="33" a="1"/>
  <c r="CB70" i="33" s="1"/>
  <c r="CJ63" i="33" a="1"/>
  <c r="CJ63" i="33" s="1"/>
  <c r="AF70" i="33" a="1"/>
  <c r="AF70" i="33" s="1"/>
  <c r="AB124" i="33" a="1"/>
  <c r="AB124" i="33" s="1"/>
  <c r="CY56" i="33" a="1"/>
  <c r="CY56" i="33" s="1"/>
  <c r="BK145" i="33" a="1"/>
  <c r="BK145" i="33" s="1"/>
  <c r="AR58" i="33" a="1"/>
  <c r="AR58" i="33" s="1"/>
  <c r="CL98" i="33" a="1"/>
  <c r="CL98" i="33" s="1"/>
  <c r="CM22" i="33" a="1"/>
  <c r="CM22" i="33" s="1"/>
  <c r="CC124" i="33" a="1"/>
  <c r="CC124" i="33" s="1"/>
  <c r="CC44" i="33" a="1"/>
  <c r="CC44" i="33" s="1"/>
  <c r="BS70" i="33" a="1"/>
  <c r="BS70" i="33" s="1"/>
  <c r="CN67" i="33" a="1"/>
  <c r="CN67" i="33" s="1"/>
  <c r="CC86" i="33" a="1"/>
  <c r="CC86" i="33" s="1"/>
  <c r="AL149" i="33" a="1"/>
  <c r="AL149" i="33" s="1"/>
  <c r="CD90" i="33" a="1"/>
  <c r="CD90" i="33" s="1"/>
  <c r="AY76" i="33" a="1"/>
  <c r="AY76" i="33" s="1"/>
  <c r="AP111" i="33" a="1"/>
  <c r="AP111" i="33" s="1"/>
  <c r="BR101" i="33" a="1"/>
  <c r="BR101" i="33" s="1"/>
  <c r="AL141" i="33" a="1"/>
  <c r="AL141" i="33" s="1"/>
  <c r="AO138" i="33" a="1"/>
  <c r="AO138" i="33" s="1"/>
  <c r="AL126" i="33" a="1"/>
  <c r="AL126" i="33" s="1"/>
  <c r="BS17" i="33" a="1"/>
  <c r="BS17" i="33" s="1"/>
  <c r="CL24" i="33" a="1"/>
  <c r="CL24" i="33" s="1"/>
  <c r="CC138" i="33" a="1"/>
  <c r="CC138" i="33" s="1"/>
  <c r="BR105" i="33" a="1"/>
  <c r="BR105" i="33" s="1"/>
  <c r="CC126" i="33" a="1"/>
  <c r="CC126" i="33" s="1"/>
  <c r="CC125" i="33" a="1"/>
  <c r="CC125" i="33" s="1"/>
  <c r="CC84" i="33" a="1"/>
  <c r="CC84" i="33" s="1"/>
  <c r="AX145" i="33" a="1"/>
  <c r="AX145" i="33" s="1"/>
  <c r="AO149" i="33" a="1"/>
  <c r="AO149" i="33" s="1"/>
  <c r="CJ139" i="33" a="1"/>
  <c r="CJ139" i="33" s="1"/>
  <c r="CD152" i="33" a="1"/>
  <c r="CD152" i="33" s="1"/>
  <c r="CV59" i="33" a="1"/>
  <c r="CV59" i="33" s="1"/>
  <c r="CS161" i="33" a="1"/>
  <c r="CS161" i="33" s="1"/>
  <c r="AB31" i="33" a="1"/>
  <c r="AB31" i="33" s="1"/>
  <c r="AO83" i="33" a="1"/>
  <c r="AO83" i="33" s="1"/>
  <c r="BR15" i="33" a="1"/>
  <c r="BR15" i="33" s="1"/>
  <c r="BS78" i="33" a="1"/>
  <c r="BS78" i="33" s="1"/>
  <c r="AY83" i="33" a="1"/>
  <c r="AY83" i="33" s="1"/>
  <c r="BF120" i="33" a="1"/>
  <c r="BF120" i="33" s="1"/>
  <c r="CL32" i="33" a="1"/>
  <c r="CL32" i="33" s="1"/>
  <c r="AX152" i="33" a="1"/>
  <c r="AX152" i="33" s="1"/>
  <c r="CE131" i="33" a="1"/>
  <c r="CE131" i="33" s="1"/>
  <c r="BP70" i="33" a="1"/>
  <c r="BP70" i="33" s="1"/>
  <c r="BT99" i="33" a="1"/>
  <c r="BT99" i="33" s="1"/>
  <c r="AN53" i="33" a="1"/>
  <c r="AN53" i="33" s="1"/>
  <c r="AF63" i="33" a="1"/>
  <c r="AF63" i="33" s="1"/>
  <c r="AL133" i="33" a="1"/>
  <c r="AL133" i="33" s="1"/>
  <c r="AO72" i="33" a="1"/>
  <c r="AO72" i="33" s="1"/>
  <c r="AY121" i="33" a="1"/>
  <c r="AY121" i="33" s="1"/>
  <c r="AY17" i="33" a="1"/>
  <c r="AY17" i="33" s="1"/>
  <c r="CD72" i="33" a="1"/>
  <c r="CD72" i="33" s="1"/>
  <c r="CW106" i="33" a="1"/>
  <c r="CW106" i="33" s="1"/>
  <c r="BI37" i="33" a="1"/>
  <c r="BI37" i="33" s="1"/>
  <c r="AB127" i="33" a="1"/>
  <c r="AB127" i="33" s="1"/>
  <c r="BI120" i="33" a="1"/>
  <c r="BI120" i="33" s="1"/>
  <c r="BI93" i="33" a="1"/>
  <c r="BI93" i="33" s="1"/>
  <c r="BS79" i="33" a="1"/>
  <c r="BS79" i="33" s="1"/>
  <c r="AE55" i="33" a="1"/>
  <c r="AE55" i="33" s="1"/>
  <c r="AO136" i="33" a="1"/>
  <c r="AO136" i="33" s="1"/>
  <c r="AE148" i="33" a="1"/>
  <c r="AE148" i="33" s="1"/>
  <c r="AE51" i="33" a="1"/>
  <c r="AE51" i="33" s="1"/>
  <c r="BE21" i="33" a="1"/>
  <c r="BE21" i="33" s="1"/>
  <c r="AE23" i="33" a="1"/>
  <c r="AE23" i="33" s="1"/>
  <c r="AY84" i="33" a="1"/>
  <c r="AY84" i="33" s="1"/>
  <c r="AL19" i="33" a="1"/>
  <c r="AL19" i="33" s="1"/>
  <c r="CC94" i="33" a="1"/>
  <c r="CC94" i="33" s="1"/>
  <c r="CE77" i="33" a="1"/>
  <c r="CE77" i="33" s="1"/>
  <c r="CL134" i="33" a="1"/>
  <c r="CL134" i="33" s="1"/>
  <c r="CC130" i="33" a="1"/>
  <c r="CC130" i="33" s="1"/>
  <c r="AY90" i="33" a="1"/>
  <c r="AY90" i="33" s="1"/>
  <c r="AO43" i="33" a="1"/>
  <c r="AO43" i="33" s="1"/>
  <c r="AO104" i="33" a="1"/>
  <c r="AO104" i="33" s="1"/>
  <c r="CJ73" i="33" a="1"/>
  <c r="CJ73" i="33" s="1"/>
  <c r="CJ14" i="33" a="1"/>
  <c r="CJ14" i="33" s="1"/>
  <c r="AB34" i="33" a="1"/>
  <c r="AB34" i="33" s="1"/>
  <c r="CE161" i="33" a="1"/>
  <c r="CE161" i="33" s="1"/>
  <c r="BP38" i="33" a="1"/>
  <c r="BP38" i="33" s="1"/>
  <c r="BI35" i="33" a="1"/>
  <c r="BI35" i="33" s="1"/>
  <c r="CC14" i="33" a="1"/>
  <c r="CC14" i="33" s="1"/>
  <c r="AO16" i="33" a="1"/>
  <c r="AO16" i="33" s="1"/>
  <c r="BS125" i="33" a="1"/>
  <c r="BS125" i="33" s="1"/>
  <c r="CC113" i="33" a="1"/>
  <c r="CC113" i="33" s="1"/>
  <c r="BS144" i="33" a="1"/>
  <c r="BS144" i="33" s="1"/>
  <c r="AE147" i="33" a="1"/>
  <c r="AE147" i="33" s="1"/>
  <c r="AY43" i="33" a="1"/>
  <c r="AY43" i="33" s="1"/>
  <c r="CE39" i="33" a="1"/>
  <c r="CE39" i="33" s="1"/>
  <c r="BR47" i="33" a="1"/>
  <c r="BR47" i="33" s="1"/>
  <c r="AP56" i="33" a="1"/>
  <c r="AP56" i="33" s="1"/>
  <c r="V35" i="33" a="1"/>
  <c r="V35" i="33" s="1"/>
  <c r="CC99" i="33" a="1"/>
  <c r="CC99" i="33" s="1"/>
  <c r="CB38" i="33" a="1"/>
  <c r="CB38" i="33" s="1"/>
  <c r="CI81" i="33" a="1"/>
  <c r="CI81" i="33" s="1"/>
  <c r="CB140" i="33" a="1"/>
  <c r="CB140" i="33" s="1"/>
  <c r="AD40" i="33" a="1"/>
  <c r="AD40" i="33" s="1"/>
  <c r="BD103" i="33" a="1"/>
  <c r="BD103" i="33" s="1"/>
  <c r="BE101" i="33" a="1"/>
  <c r="BE101" i="33" s="1"/>
  <c r="CM60" i="33" a="1"/>
  <c r="CM60" i="33" s="1"/>
  <c r="BI92" i="33" a="1"/>
  <c r="BI92" i="33" s="1"/>
  <c r="AY156" i="33" a="1"/>
  <c r="AY156" i="33" s="1"/>
  <c r="V26" i="33" a="1"/>
  <c r="V26" i="33" s="1"/>
  <c r="CS99" i="33" a="1"/>
  <c r="CS99" i="33" s="1"/>
  <c r="AX155" i="33" a="1"/>
  <c r="AX155" i="33" s="1"/>
  <c r="CS122" i="33" a="1"/>
  <c r="CS122" i="33" s="1"/>
  <c r="CC53" i="33" a="1"/>
  <c r="CC53" i="33" s="1"/>
  <c r="CS118" i="33" a="1"/>
  <c r="CS118" i="33" s="1"/>
  <c r="CE141" i="33" a="1"/>
  <c r="CE141" i="33" s="1"/>
  <c r="CS70" i="33" a="1"/>
  <c r="CS70" i="33" s="1"/>
  <c r="BP142" i="33" a="1"/>
  <c r="BP142" i="33" s="1"/>
  <c r="CM35" i="33" a="1"/>
  <c r="CM35" i="33" s="1"/>
  <c r="BF79" i="33" a="1"/>
  <c r="BF79" i="33" s="1"/>
  <c r="V59" i="33" a="1"/>
  <c r="V59" i="33" s="1"/>
  <c r="AE52" i="33" a="1"/>
  <c r="AE52" i="33" s="1"/>
  <c r="CL76" i="33" a="1"/>
  <c r="CL76" i="33" s="1"/>
  <c r="AK35" i="33" a="1"/>
  <c r="AK35" i="33" s="1"/>
  <c r="CI44" i="33" a="1"/>
  <c r="CI44" i="33" s="1"/>
  <c r="BS91" i="33" a="1"/>
  <c r="BS91" i="33" s="1"/>
  <c r="AL88" i="33" a="1"/>
  <c r="AL88" i="33" s="1"/>
  <c r="AN80" i="33" a="1"/>
  <c r="AN80" i="33" s="1"/>
  <c r="CJ128" i="33" a="1"/>
  <c r="CJ128" i="33" s="1"/>
  <c r="CC108" i="33" a="1"/>
  <c r="CC108" i="33" s="1"/>
  <c r="BS161" i="33" a="1"/>
  <c r="BS161" i="33" s="1"/>
  <c r="CB46" i="33" a="1"/>
  <c r="CB46" i="33" s="1"/>
  <c r="AP134" i="33" a="1"/>
  <c r="AP134" i="33" s="1"/>
  <c r="AB152" i="33" a="1"/>
  <c r="AB152" i="33" s="1"/>
  <c r="CV119" i="33" a="1"/>
  <c r="CV119" i="33" s="1"/>
  <c r="AD73" i="33" a="1"/>
  <c r="AD73" i="33" s="1"/>
  <c r="BP160" i="33" a="1"/>
  <c r="BP160" i="33" s="1"/>
  <c r="AX74" i="33" a="1"/>
  <c r="AX74" i="33" s="1"/>
  <c r="AL144" i="33" a="1"/>
  <c r="AL144" i="33" s="1"/>
  <c r="V25" i="33" a="1"/>
  <c r="V25" i="33" s="1"/>
  <c r="BP40" i="33" a="1"/>
  <c r="BP40" i="33" s="1"/>
  <c r="CI40" i="33" a="1"/>
  <c r="CI40" i="33" s="1"/>
  <c r="BI23" i="33" a="1"/>
  <c r="BI23" i="33" s="1"/>
  <c r="CM118" i="33" a="1"/>
  <c r="CM118" i="33" s="1"/>
  <c r="AF33" i="33" a="1"/>
  <c r="AF33" i="33" s="1"/>
  <c r="CI68" i="33" a="1"/>
  <c r="CI68" i="33" s="1"/>
  <c r="AO31" i="33" a="1"/>
  <c r="AO31" i="33" s="1"/>
  <c r="CJ156" i="33" a="1"/>
  <c r="CJ156" i="33" s="1"/>
  <c r="AU73" i="33" a="1"/>
  <c r="AU73" i="33" s="1"/>
  <c r="BF105" i="33" a="1"/>
  <c r="BF105" i="33" s="1"/>
  <c r="BI90" i="33" a="1"/>
  <c r="BI90" i="33" s="1"/>
  <c r="CM76" i="33" a="1"/>
  <c r="CM76" i="33" s="1"/>
  <c r="AX105" i="33" a="1"/>
  <c r="AX105" i="33" s="1"/>
  <c r="AD43" i="33" a="1"/>
  <c r="AD43" i="33" s="1"/>
  <c r="BI110" i="33" a="1"/>
  <c r="BI110" i="33" s="1"/>
  <c r="BI29" i="33" a="1"/>
  <c r="BI29" i="33" s="1"/>
  <c r="AE83" i="33" a="1"/>
  <c r="AE83" i="33" s="1"/>
  <c r="BA88" i="33" a="1"/>
  <c r="BA88" i="33" s="1"/>
  <c r="AP18" i="33" a="1"/>
  <c r="AP18" i="33" s="1"/>
  <c r="CM63" i="33" a="1"/>
  <c r="CM63" i="33" s="1"/>
  <c r="BP57" i="33" a="1"/>
  <c r="BP57" i="33" s="1"/>
  <c r="AD117" i="33" a="1"/>
  <c r="AD117" i="33" s="1"/>
  <c r="BI134" i="33" a="1"/>
  <c r="BI134" i="33" s="1"/>
  <c r="BP14" i="33" a="1"/>
  <c r="BP14" i="33" s="1"/>
  <c r="CL142" i="33" a="1"/>
  <c r="CL142" i="33" s="1"/>
  <c r="CC81" i="33" a="1"/>
  <c r="CC81" i="33" s="1"/>
  <c r="BE93" i="33" a="1"/>
  <c r="BE93" i="33" s="1"/>
  <c r="CC140" i="33" a="1"/>
  <c r="CC140" i="33" s="1"/>
  <c r="BO156" i="33" a="1"/>
  <c r="BO156" i="33" s="1"/>
  <c r="CQ96" i="33" a="1"/>
  <c r="CQ96" i="33" s="1"/>
  <c r="AX102" i="33" a="1"/>
  <c r="AX102" i="33" s="1"/>
  <c r="CJ36" i="33" a="1"/>
  <c r="CJ36" i="33" s="1"/>
  <c r="AD127" i="33" a="1"/>
  <c r="AD127" i="33" s="1"/>
  <c r="AX116" i="33" a="1"/>
  <c r="AX116" i="33" s="1"/>
  <c r="CC55" i="33" a="1"/>
  <c r="CC55" i="33" s="1"/>
  <c r="CJ25" i="33" a="1"/>
  <c r="CJ25" i="33" s="1"/>
  <c r="CM82" i="33" a="1"/>
  <c r="CM82" i="33" s="1"/>
  <c r="BS46" i="33" a="1"/>
  <c r="BS46" i="33" s="1"/>
  <c r="BI20" i="33" a="1"/>
  <c r="BI20" i="33" s="1"/>
  <c r="AY16" i="33" a="1"/>
  <c r="AY16" i="33" s="1"/>
  <c r="AK24" i="33" a="1"/>
  <c r="AK24" i="33" s="1"/>
  <c r="CI21" i="33" a="1"/>
  <c r="CI21" i="33" s="1"/>
  <c r="AE73" i="33" a="1"/>
  <c r="AE73" i="33" s="1"/>
  <c r="AO151" i="33" a="1"/>
  <c r="AO151" i="33" s="1"/>
  <c r="CJ158" i="33" a="1"/>
  <c r="CJ158" i="33" s="1"/>
  <c r="AU105" i="33" a="1"/>
  <c r="AU105" i="33" s="1"/>
  <c r="CL136" i="33" a="1"/>
  <c r="CL136" i="33" s="1"/>
  <c r="AO143" i="33" a="1"/>
  <c r="AO143" i="33" s="1"/>
  <c r="CL114" i="33" a="1"/>
  <c r="CL114" i="33" s="1"/>
  <c r="BY128" i="33" a="1"/>
  <c r="BY128" i="33" s="1"/>
  <c r="BY150" i="33" a="1"/>
  <c r="BY150" i="33" s="1"/>
  <c r="Z132" i="33" a="1"/>
  <c r="Z132" i="33" s="1"/>
  <c r="BF75" i="33" a="1"/>
  <c r="BF75" i="33" s="1"/>
  <c r="CS72" i="33" a="1"/>
  <c r="CS72" i="33" s="1"/>
  <c r="CM42" i="33" a="1"/>
  <c r="CM42" i="33" s="1"/>
  <c r="AA51" i="33" a="1"/>
  <c r="AA51" i="33" s="1"/>
  <c r="CK70" i="33" a="1"/>
  <c r="CK70" i="33" s="1"/>
  <c r="AL124" i="33" a="1"/>
  <c r="AL124" i="33" s="1"/>
  <c r="CM65" i="33" a="1"/>
  <c r="CM65" i="33" s="1"/>
  <c r="BS40" i="33" a="1"/>
  <c r="BS40" i="33" s="1"/>
  <c r="CL126" i="33" a="1"/>
  <c r="CL126" i="33" s="1"/>
  <c r="BE156" i="33" a="1"/>
  <c r="BE156" i="33" s="1"/>
  <c r="CR79" i="33" a="1"/>
  <c r="CR79" i="33" s="1"/>
  <c r="AY154" i="33" a="1"/>
  <c r="AY154" i="33" s="1"/>
  <c r="CL73" i="33" a="1"/>
  <c r="CL73" i="33" s="1"/>
  <c r="AA145" i="33" a="1"/>
  <c r="AA145" i="33" s="1"/>
  <c r="BO38" i="33" a="1"/>
  <c r="BO38" i="33" s="1"/>
  <c r="AJ117" i="33" a="1"/>
  <c r="AJ117" i="33" s="1"/>
  <c r="BP33" i="33" a="1"/>
  <c r="BP33" i="33" s="1"/>
  <c r="BP112" i="33" a="1"/>
  <c r="BP112" i="33" s="1"/>
  <c r="AA97" i="33" a="1"/>
  <c r="AA97" i="33" s="1"/>
  <c r="CW148" i="33" a="1"/>
  <c r="CW148" i="33" s="1"/>
  <c r="AV93" i="33" a="1"/>
  <c r="AV93" i="33" s="1"/>
  <c r="CB23" i="33" a="1"/>
  <c r="CB23" i="33" s="1"/>
  <c r="CB24" i="33" a="1"/>
  <c r="CB24" i="33" s="1"/>
  <c r="CJ23" i="33" a="1"/>
  <c r="CJ23" i="33" s="1"/>
  <c r="CC28" i="33" a="1"/>
  <c r="CC28" i="33" s="1"/>
  <c r="CI57" i="33" a="1"/>
  <c r="CI57" i="33" s="1"/>
  <c r="BY34" i="33" a="1"/>
  <c r="BY34" i="33" s="1"/>
  <c r="AO122" i="33" a="1"/>
  <c r="AO122" i="33" s="1"/>
  <c r="AO125" i="33" a="1"/>
  <c r="AO125" i="33" s="1"/>
  <c r="CK28" i="33" a="1"/>
  <c r="CK28" i="33" s="1"/>
  <c r="BN133" i="33" a="1"/>
  <c r="BN133" i="33" s="1"/>
  <c r="BI102" i="33" a="1"/>
  <c r="BI102" i="33" s="1"/>
  <c r="CJ143" i="33" a="1"/>
  <c r="CJ143" i="33" s="1"/>
  <c r="CS77" i="33" a="1"/>
  <c r="CS77" i="33" s="1"/>
  <c r="CB68" i="33" a="1"/>
  <c r="CB68" i="33" s="1"/>
  <c r="CI70" i="33" a="1"/>
  <c r="CI70" i="33" s="1"/>
  <c r="BI116" i="33" a="1"/>
  <c r="BI116" i="33" s="1"/>
  <c r="V75" i="33" a="1"/>
  <c r="V75" i="33" s="1"/>
  <c r="AB134" i="33" a="1"/>
  <c r="AB134" i="33" s="1"/>
  <c r="BX113" i="33" a="1"/>
  <c r="BX113" i="33" s="1"/>
  <c r="CV148" i="33" a="1"/>
  <c r="CV148" i="33" s="1"/>
  <c r="BF100" i="33" a="1"/>
  <c r="BF100" i="33" s="1"/>
  <c r="CJ29" i="33" a="1"/>
  <c r="CJ29" i="33" s="1"/>
  <c r="BE28" i="33" a="1"/>
  <c r="BE28" i="33" s="1"/>
  <c r="CV24" i="33" a="1"/>
  <c r="CV24" i="33" s="1"/>
  <c r="BE44" i="33" a="1"/>
  <c r="BE44" i="33" s="1"/>
  <c r="BR28" i="33" a="1"/>
  <c r="BR28" i="33" s="1"/>
  <c r="AA92" i="33" a="1"/>
  <c r="AA92" i="33" s="1"/>
  <c r="CI85" i="33" a="1"/>
  <c r="CI85" i="33" s="1"/>
  <c r="AL145" i="33" a="1"/>
  <c r="AL145" i="33" s="1"/>
  <c r="BW40" i="33" a="1"/>
  <c r="BW40" i="33" s="1"/>
  <c r="AF92" i="33" a="1"/>
  <c r="AF92" i="33" s="1"/>
  <c r="AA133" i="33" a="1"/>
  <c r="AA133" i="33" s="1"/>
  <c r="CB77" i="33" a="1"/>
  <c r="CB77" i="33" s="1"/>
  <c r="BM123" i="33" a="1"/>
  <c r="BM123" i="33" s="1"/>
  <c r="AA156" i="33" a="1"/>
  <c r="AA156" i="33" s="1"/>
  <c r="BO141" i="33" a="1"/>
  <c r="BO141" i="33" s="1"/>
  <c r="BD150" i="33" a="1"/>
  <c r="BD150" i="33" s="1"/>
  <c r="CV58" i="33" a="1"/>
  <c r="CV58" i="33" s="1"/>
  <c r="CL145" i="33" a="1"/>
  <c r="CL145" i="33" s="1"/>
  <c r="AA124" i="33" a="1"/>
  <c r="AA124" i="33" s="1"/>
  <c r="AU47" i="33" a="1"/>
  <c r="AU47" i="33" s="1"/>
  <c r="AU60" i="33" a="1"/>
  <c r="AU60" i="33" s="1"/>
  <c r="BC77" i="33" a="1"/>
  <c r="BC77" i="33" s="1"/>
  <c r="BE158" i="33" a="1"/>
  <c r="BE158" i="33" s="1"/>
  <c r="CN78" i="33" a="1"/>
  <c r="CN78" i="33" s="1"/>
  <c r="CL129" i="33" a="1"/>
  <c r="CL129" i="33" s="1"/>
  <c r="CM110" i="33" a="1"/>
  <c r="CM110" i="33" s="1"/>
  <c r="CM131" i="33" a="1"/>
  <c r="CM131" i="33" s="1"/>
  <c r="AO57" i="33" a="1"/>
  <c r="AO57" i="33" s="1"/>
  <c r="CE114" i="33" a="1"/>
  <c r="CE114" i="33" s="1"/>
  <c r="AK78" i="33" a="1"/>
  <c r="AK78" i="33" s="1"/>
  <c r="AX86" i="33" a="1"/>
  <c r="AX86" i="33" s="1"/>
  <c r="AK45" i="33" a="1"/>
  <c r="AK45" i="33" s="1"/>
  <c r="AO75" i="33" a="1"/>
  <c r="AO75" i="33" s="1"/>
  <c r="CM93" i="33" a="1"/>
  <c r="CM93" i="33" s="1"/>
  <c r="AE69" i="33" a="1"/>
  <c r="AE69" i="33" s="1"/>
  <c r="AZ111" i="33" a="1"/>
  <c r="AZ111" i="33" s="1"/>
  <c r="CS82" i="33" a="1"/>
  <c r="CS82" i="33" s="1"/>
  <c r="AY147" i="33" a="1"/>
  <c r="AY147" i="33" s="1"/>
  <c r="CS104" i="33" a="1"/>
  <c r="CS104" i="33" s="1"/>
  <c r="AN89" i="33" a="1"/>
  <c r="AN89" i="33" s="1"/>
  <c r="BT64" i="33" a="1"/>
  <c r="BT64" i="33" s="1"/>
  <c r="CW155" i="33" a="1"/>
  <c r="CW155" i="33" s="1"/>
  <c r="CC150" i="33" a="1"/>
  <c r="CC150" i="33" s="1"/>
  <c r="CM45" i="33" a="1"/>
  <c r="CM45" i="33" s="1"/>
  <c r="AF34" i="33" a="1"/>
  <c r="AF34" i="33" s="1"/>
  <c r="BS160" i="33" a="1"/>
  <c r="BS160" i="33" s="1"/>
  <c r="AB84" i="33" a="1"/>
  <c r="AB84" i="33" s="1"/>
  <c r="AN16" i="33" a="1"/>
  <c r="AN16" i="33" s="1"/>
  <c r="CJ56" i="33" a="1"/>
  <c r="CJ56" i="33" s="1"/>
  <c r="AO74" i="33" a="1"/>
  <c r="AO74" i="33" s="1"/>
  <c r="BE115" i="33" a="1"/>
  <c r="BE115" i="33" s="1"/>
  <c r="AZ52" i="33" a="1"/>
  <c r="AZ52" i="33" s="1"/>
  <c r="CL154" i="33" a="1"/>
  <c r="CL154" i="33" s="1"/>
  <c r="BU19" i="33" a="1"/>
  <c r="BU19" i="33" s="1"/>
  <c r="BP110" i="33" a="1"/>
  <c r="BP110" i="33" s="1"/>
  <c r="AY91" i="33" a="1"/>
  <c r="AY91" i="33" s="1"/>
  <c r="CE91" i="33" a="1"/>
  <c r="CE91" i="33" s="1"/>
  <c r="BS112" i="33" a="1"/>
  <c r="BS112" i="33" s="1"/>
  <c r="BI48" i="33" a="1"/>
  <c r="BI48" i="33" s="1"/>
  <c r="BP111" i="33" a="1"/>
  <c r="BP111" i="33" s="1"/>
  <c r="CJ132" i="33" a="1"/>
  <c r="CJ132" i="33" s="1"/>
  <c r="CB132" i="33" a="1"/>
  <c r="CB132" i="33" s="1"/>
  <c r="CW137" i="33" a="1"/>
  <c r="CW137" i="33" s="1"/>
  <c r="AL161" i="33" a="1"/>
  <c r="AL161" i="33" s="1"/>
  <c r="BR97" i="33" a="1"/>
  <c r="BR97" i="33" s="1"/>
  <c r="AP79" i="33" a="1"/>
  <c r="AP79" i="33" s="1"/>
  <c r="BI58" i="33" a="1"/>
  <c r="BI58" i="33" s="1"/>
  <c r="BO108" i="33" a="1"/>
  <c r="BO108" i="33" s="1"/>
  <c r="CM40" i="33" a="1"/>
  <c r="CM40" i="33" s="1"/>
  <c r="BN58" i="33" a="1"/>
  <c r="BN58" i="33" s="1"/>
  <c r="CC25" i="33" a="1"/>
  <c r="CC25" i="33" s="1"/>
  <c r="CR72" i="33" a="1"/>
  <c r="CR72" i="33" s="1"/>
  <c r="AA30" i="33" a="1"/>
  <c r="AA30" i="33" s="1"/>
  <c r="CW111" i="33" a="1"/>
  <c r="CW111" i="33" s="1"/>
  <c r="AY75" i="33" a="1"/>
  <c r="AY75" i="33" s="1"/>
  <c r="AO82" i="33" a="1"/>
  <c r="AO82" i="33" s="1"/>
  <c r="CM137" i="33" a="1"/>
  <c r="CM137" i="33" s="1"/>
  <c r="CC89" i="33" a="1"/>
  <c r="CC89" i="33" s="1"/>
  <c r="CV157" i="33" a="1"/>
  <c r="CV157" i="33" s="1"/>
  <c r="AL33" i="33" a="1"/>
  <c r="AL33" i="33" s="1"/>
  <c r="AF153" i="33" a="1"/>
  <c r="AF153" i="33" s="1"/>
  <c r="AE110" i="33" a="1"/>
  <c r="AE110" i="33" s="1"/>
  <c r="CM38" i="33" a="1"/>
  <c r="CM38" i="33" s="1"/>
  <c r="CC144" i="33" a="1"/>
  <c r="CC144" i="33" s="1"/>
  <c r="CW117" i="33" a="1"/>
  <c r="CW117" i="33" s="1"/>
  <c r="AD38" i="33" a="1"/>
  <c r="AD38" i="33" s="1"/>
  <c r="AA33" i="33" a="1"/>
  <c r="AA33" i="33" s="1"/>
  <c r="CM108" i="33" a="1"/>
  <c r="CM108" i="33" s="1"/>
  <c r="BY104" i="33" a="1"/>
  <c r="BY104" i="33" s="1"/>
  <c r="BW47" i="33" a="1"/>
  <c r="BW47" i="33" s="1"/>
  <c r="CI161" i="33" a="1"/>
  <c r="CI161" i="33" s="1"/>
  <c r="CL121" i="33" a="1"/>
  <c r="CL121" i="33" s="1"/>
  <c r="AL113" i="33" a="1"/>
  <c r="AL113" i="33" s="1"/>
  <c r="AE120" i="33" a="1"/>
  <c r="AE120" i="33" s="1"/>
  <c r="CJ47" i="33" a="1"/>
  <c r="CJ47" i="33" s="1"/>
  <c r="CT135" i="33" a="1"/>
  <c r="CT135" i="33" s="1"/>
  <c r="AD95" i="33" a="1"/>
  <c r="AD95" i="33" s="1"/>
  <c r="AE133" i="33" a="1"/>
  <c r="AE133" i="33" s="1"/>
  <c r="BC97" i="33" a="1"/>
  <c r="BC97" i="33" s="1"/>
  <c r="CB155" i="33" a="1"/>
  <c r="CB155" i="33" s="1"/>
  <c r="CK121" i="33" a="1"/>
  <c r="CK121" i="33" s="1"/>
  <c r="CM100" i="33" a="1"/>
  <c r="CM100" i="33" s="1"/>
  <c r="CB139" i="33" a="1"/>
  <c r="CB139" i="33" s="1"/>
  <c r="AY30" i="33" a="1"/>
  <c r="AY30" i="33" s="1"/>
  <c r="AO15" i="33" a="1"/>
  <c r="AO15" i="33" s="1"/>
  <c r="CJ74" i="33" a="1"/>
  <c r="CJ74" i="33" s="1"/>
  <c r="CI147" i="33" a="1"/>
  <c r="CI147" i="33" s="1"/>
  <c r="BD33" i="33" a="1"/>
  <c r="BD33" i="33" s="1"/>
  <c r="AF90" i="33" a="1"/>
  <c r="AF90" i="33" s="1"/>
  <c r="AK154" i="33" a="1"/>
  <c r="AK154" i="33" s="1"/>
  <c r="AX71" i="33" a="1"/>
  <c r="AX71" i="33" s="1"/>
  <c r="BF123" i="33" a="1"/>
  <c r="BF123" i="33" s="1"/>
  <c r="CS57" i="33" a="1"/>
  <c r="CS57" i="33" s="1"/>
  <c r="CL94" i="33" a="1"/>
  <c r="CL94" i="33" s="1"/>
  <c r="AL60" i="33" a="1"/>
  <c r="AL60" i="33" s="1"/>
  <c r="AE98" i="33" a="1"/>
  <c r="AE98" i="33" s="1"/>
  <c r="BO147" i="33" a="1"/>
  <c r="BO147" i="33" s="1"/>
  <c r="V106" i="33" a="1"/>
  <c r="V106" i="33" s="1"/>
  <c r="AB103" i="33" a="1"/>
  <c r="AB103" i="33" s="1"/>
  <c r="AU125" i="33" a="1"/>
  <c r="AU125" i="33" s="1"/>
  <c r="AU34" i="33" a="1"/>
  <c r="AU34" i="33" s="1"/>
  <c r="AK91" i="33" a="1"/>
  <c r="AK91" i="33" s="1"/>
  <c r="AL156" i="33" a="1"/>
  <c r="AL156" i="33" s="1"/>
  <c r="CI123" i="33" a="1"/>
  <c r="CI123" i="33" s="1"/>
  <c r="V149" i="33" a="1"/>
  <c r="V149" i="33" s="1"/>
  <c r="BN135" i="33" a="1"/>
  <c r="BN135" i="33" s="1"/>
  <c r="AX58" i="33" a="1"/>
  <c r="AX58" i="33" s="1"/>
  <c r="AE144" i="33" a="1"/>
  <c r="AE144" i="33" s="1"/>
  <c r="AS59" i="33" a="1"/>
  <c r="AS59" i="33" s="1"/>
  <c r="BY17" i="33" a="1"/>
  <c r="BY17" i="33" s="1"/>
  <c r="AA66" i="33" a="1"/>
  <c r="AA66" i="33" s="1"/>
  <c r="V46" i="33" a="1"/>
  <c r="V46" i="33" s="1"/>
  <c r="CV147" i="33" a="1"/>
  <c r="CV147" i="33" s="1"/>
  <c r="BY131" i="33" a="1"/>
  <c r="BY131" i="33" s="1"/>
  <c r="BE46" i="33" a="1"/>
  <c r="BE46" i="33" s="1"/>
  <c r="AK68" i="33" a="1"/>
  <c r="AK68" i="33" s="1"/>
  <c r="AA129" i="33" a="1"/>
  <c r="AA129" i="33" s="1"/>
  <c r="AD150" i="33" a="1"/>
  <c r="AD150" i="33" s="1"/>
  <c r="BE130" i="33" a="1"/>
  <c r="BE130" i="33" s="1"/>
  <c r="BO73" i="33" a="1"/>
  <c r="BO73" i="33" s="1"/>
  <c r="BO56" i="33" a="1"/>
  <c r="BO56" i="33" s="1"/>
  <c r="CE71" i="33" a="1"/>
  <c r="CE71" i="33" s="1"/>
  <c r="BY60" i="33" a="1"/>
  <c r="BY60" i="33" s="1"/>
  <c r="CV51" i="33" a="1"/>
  <c r="CV51" i="33" s="1"/>
  <c r="CT30" i="33" a="1"/>
  <c r="CT30" i="33" s="1"/>
  <c r="CV50" i="33" a="1"/>
  <c r="CV50" i="33" s="1"/>
  <c r="AE156" i="33" a="1"/>
  <c r="AE156" i="33" s="1"/>
  <c r="CK24" i="33" a="1"/>
  <c r="CK24" i="33" s="1"/>
  <c r="CI91" i="33" a="1"/>
  <c r="CI91" i="33" s="1"/>
  <c r="AO17" i="33" a="1"/>
  <c r="AO17" i="33" s="1"/>
  <c r="BS69" i="33" a="1"/>
  <c r="BS69" i="33" s="1"/>
  <c r="CE76" i="33" a="1"/>
  <c r="CE76" i="33" s="1"/>
  <c r="CE132" i="33" a="1"/>
  <c r="CE132" i="33" s="1"/>
  <c r="AX80" i="33" a="1"/>
  <c r="AX80" i="33" s="1"/>
  <c r="AO60" i="33" a="1"/>
  <c r="AO60" i="33" s="1"/>
  <c r="BE18" i="33" a="1"/>
  <c r="BE18" i="33" s="1"/>
  <c r="CK93" i="33" a="1"/>
  <c r="CK93" i="33" s="1"/>
  <c r="AU104" i="33" a="1"/>
  <c r="AU104" i="33" s="1"/>
  <c r="CJ102" i="33" a="1"/>
  <c r="CJ102" i="33" s="1"/>
  <c r="CK88" i="33" a="1"/>
  <c r="CK88" i="33" s="1"/>
  <c r="BF108" i="33" a="1"/>
  <c r="BF108" i="33" s="1"/>
  <c r="BZ91" i="33" a="1"/>
  <c r="BZ91" i="33" s="1"/>
  <c r="CK51" i="33" a="1"/>
  <c r="CK51" i="33" s="1"/>
  <c r="AA128" i="33" a="1"/>
  <c r="AA128" i="33" s="1"/>
  <c r="BY15" i="33" a="1"/>
  <c r="BY15" i="33" s="1"/>
  <c r="AU15" i="33" a="1"/>
  <c r="AU15" i="33" s="1"/>
  <c r="AX32" i="33" a="1"/>
  <c r="AX32" i="33" s="1"/>
  <c r="BZ24" i="33" a="1"/>
  <c r="BZ24" i="33" s="1"/>
  <c r="CQ83" i="33" a="1"/>
  <c r="CQ83" i="33" s="1"/>
  <c r="AB107" i="33" a="1"/>
  <c r="AB107" i="33" s="1"/>
  <c r="BO79" i="33" a="1"/>
  <c r="BO79" i="33" s="1"/>
  <c r="AU30" i="33" a="1"/>
  <c r="AU30" i="33" s="1"/>
  <c r="CB156" i="33" a="1"/>
  <c r="CB156" i="33" s="1"/>
  <c r="AU31" i="33" a="1"/>
  <c r="AU31" i="33" s="1"/>
  <c r="AV109" i="33" a="1"/>
  <c r="AV109" i="33" s="1"/>
  <c r="CB109" i="33" a="1"/>
  <c r="CB109" i="33" s="1"/>
  <c r="CM21" i="33" a="1"/>
  <c r="CM21" i="33" s="1"/>
  <c r="BO88" i="33" a="1"/>
  <c r="BO88" i="33" s="1"/>
  <c r="AA39" i="33" a="1"/>
  <c r="AA39" i="33" s="1"/>
  <c r="BS121" i="33" a="1"/>
  <c r="BS121" i="33" s="1"/>
  <c r="BX62" i="33" a="1"/>
  <c r="BX62" i="33" s="1"/>
  <c r="AA123" i="33" a="1"/>
  <c r="AA123" i="33" s="1"/>
  <c r="BY99" i="33" a="1"/>
  <c r="BY99" i="33" s="1"/>
  <c r="CV75" i="33" a="1"/>
  <c r="CV75" i="33" s="1"/>
  <c r="BO158" i="33" a="1"/>
  <c r="BO158" i="33" s="1"/>
  <c r="BC124" i="33" a="1"/>
  <c r="BC124" i="33" s="1"/>
  <c r="BI104" i="33" a="1"/>
  <c r="BI104" i="33" s="1"/>
  <c r="AD136" i="33" a="1"/>
  <c r="AD136" i="33" s="1"/>
  <c r="CS19" i="33" a="1"/>
  <c r="CS19" i="33" s="1"/>
  <c r="BO109" i="33" a="1"/>
  <c r="BO109" i="33" s="1"/>
  <c r="AL153" i="33" a="1"/>
  <c r="AL153" i="33" s="1"/>
  <c r="CL122" i="33" a="1"/>
  <c r="CL122" i="33" s="1"/>
  <c r="BE61" i="33" a="1"/>
  <c r="BE61" i="33" s="1"/>
  <c r="BF55" i="33" a="1"/>
  <c r="BF55" i="33" s="1"/>
  <c r="BO131" i="33" a="1"/>
  <c r="BO131" i="33" s="1"/>
  <c r="BY77" i="33" a="1"/>
  <c r="BY77" i="33" s="1"/>
  <c r="BD47" i="33" a="1"/>
  <c r="BD47" i="33" s="1"/>
  <c r="CI149" i="33" a="1"/>
  <c r="CI149" i="33" s="1"/>
  <c r="AP135" i="33" a="1"/>
  <c r="AP135" i="33" s="1"/>
  <c r="BY148" i="33" a="1"/>
  <c r="BY148" i="33" s="1"/>
  <c r="AU151" i="33" a="1"/>
  <c r="AU151" i="33" s="1"/>
  <c r="BY65" i="33" a="1"/>
  <c r="BY65" i="33" s="1"/>
  <c r="AN133" i="33" a="1"/>
  <c r="AN133" i="33" s="1"/>
  <c r="AL21" i="33" a="1"/>
  <c r="AL21" i="33" s="1"/>
  <c r="CV160" i="33" a="1"/>
  <c r="CV160" i="33" s="1"/>
  <c r="CL82" i="33" a="1"/>
  <c r="CL82" i="33" s="1"/>
  <c r="AU42" i="33" a="1"/>
  <c r="AU42" i="33" s="1"/>
  <c r="CQ136" i="33" a="1"/>
  <c r="CQ136" i="33" s="1"/>
  <c r="AN54" i="33" a="1"/>
  <c r="AN54" i="33" s="1"/>
  <c r="BE102" i="33" a="1"/>
  <c r="BE102" i="33" s="1"/>
  <c r="BF143" i="33" a="1"/>
  <c r="BF143" i="33" s="1"/>
  <c r="AD67" i="33" a="1"/>
  <c r="AD67" i="33" s="1"/>
  <c r="CQ148" i="33" a="1"/>
  <c r="CQ148" i="33" s="1"/>
  <c r="AU121" i="33" a="1"/>
  <c r="AU121" i="33" s="1"/>
  <c r="AF74" i="33" a="1"/>
  <c r="AF74" i="33" s="1"/>
  <c r="BF121" i="33" a="1"/>
  <c r="BF121" i="33" s="1"/>
  <c r="CM86" i="33" a="1"/>
  <c r="CM86" i="33" s="1"/>
  <c r="AQ133" i="33" a="1"/>
  <c r="AQ133" i="33" s="1"/>
  <c r="CW131" i="33" a="1"/>
  <c r="CW131" i="33" s="1"/>
  <c r="AL92" i="33" a="1"/>
  <c r="AL92" i="33" s="1"/>
  <c r="CM33" i="33" a="1"/>
  <c r="CM33" i="33" s="1"/>
  <c r="V94" i="33" a="1"/>
  <c r="V94" i="33" s="1"/>
  <c r="AE45" i="33" a="1"/>
  <c r="AE45" i="33" s="1"/>
  <c r="CC112" i="33" a="1"/>
  <c r="CC112" i="33" s="1"/>
  <c r="BI101" i="33" a="1"/>
  <c r="BI101" i="33" s="1"/>
  <c r="BS77" i="33" a="1"/>
  <c r="BS77" i="33" s="1"/>
  <c r="AX139" i="33" a="1"/>
  <c r="AX139" i="33" s="1"/>
  <c r="BS110" i="33" a="1"/>
  <c r="BS110" i="33" s="1"/>
  <c r="AD108" i="33" a="1"/>
  <c r="AD108" i="33" s="1"/>
  <c r="AE138" i="33" a="1"/>
  <c r="AE138" i="33" s="1"/>
  <c r="BI87" i="33" a="1"/>
  <c r="BI87" i="33" s="1"/>
  <c r="CB56" i="33" a="1"/>
  <c r="CB56" i="33" s="1"/>
  <c r="BR39" i="33" a="1"/>
  <c r="BR39" i="33" s="1"/>
  <c r="AL50" i="33" a="1"/>
  <c r="AL50" i="33" s="1"/>
  <c r="AN106" i="33" a="1"/>
  <c r="AN106" i="33" s="1"/>
  <c r="BS24" i="33" a="1"/>
  <c r="BS24" i="33" s="1"/>
  <c r="BS106" i="33" a="1"/>
  <c r="BS106" i="33" s="1"/>
  <c r="BR132" i="33" a="1"/>
  <c r="BR132" i="33" s="1"/>
  <c r="AN19" i="33" a="1"/>
  <c r="AN19" i="33" s="1"/>
  <c r="AL151" i="33" a="1"/>
  <c r="AL151" i="33" s="1"/>
  <c r="AX98" i="33" a="1"/>
  <c r="AX98" i="33" s="1"/>
  <c r="AL81" i="33" a="1"/>
  <c r="AL81" i="33" s="1"/>
  <c r="AE41" i="33" a="1"/>
  <c r="AE41" i="33" s="1"/>
  <c r="BY40" i="33" a="1"/>
  <c r="BY40" i="33" s="1"/>
  <c r="CB125" i="33" a="1"/>
  <c r="CB125" i="33" s="1"/>
  <c r="CJ37" i="33" a="1"/>
  <c r="CJ37" i="33" s="1"/>
  <c r="CL51" i="33" a="1"/>
  <c r="CL51" i="33" s="1"/>
  <c r="AD70" i="33" a="1"/>
  <c r="AD70" i="33" s="1"/>
  <c r="AP154" i="33" a="1"/>
  <c r="AP154" i="33" s="1"/>
  <c r="AO58" i="33" a="1"/>
  <c r="AO58" i="33" s="1"/>
  <c r="BI19" i="33" a="1"/>
  <c r="BI19" i="33" s="1"/>
  <c r="BI151" i="33" a="1"/>
  <c r="BI151" i="33" s="1"/>
  <c r="AE88" i="33" a="1"/>
  <c r="AE88" i="33" s="1"/>
  <c r="AD146" i="33" a="1"/>
  <c r="AD146" i="33" s="1"/>
  <c r="AF156" i="33" a="1"/>
  <c r="AF156" i="33" s="1"/>
  <c r="CE62" i="33" a="1"/>
  <c r="CE62" i="33" s="1"/>
  <c r="AL98" i="33" a="1"/>
  <c r="AL98" i="33" s="1"/>
  <c r="AD90" i="33" a="1"/>
  <c r="AD90" i="33" s="1"/>
  <c r="BF61" i="33" a="1"/>
  <c r="BF61" i="33" s="1"/>
  <c r="CI114" i="33" a="1"/>
  <c r="CI114" i="33" s="1"/>
  <c r="AN110" i="33" a="1"/>
  <c r="AN110" i="33" s="1"/>
  <c r="CE24" i="33" a="1"/>
  <c r="CE24" i="33" s="1"/>
  <c r="AE105" i="33" a="1"/>
  <c r="AE105" i="33" s="1"/>
  <c r="AL90" i="33" a="1"/>
  <c r="AL90" i="33" s="1"/>
  <c r="AA120" i="33" a="1"/>
  <c r="AA120" i="33" s="1"/>
  <c r="BI89" i="33" a="1"/>
  <c r="BI89" i="33" s="1"/>
  <c r="AU84" i="33" a="1"/>
  <c r="AU84" i="33" s="1"/>
  <c r="CJ149" i="33" a="1"/>
  <c r="CJ149" i="33" s="1"/>
  <c r="CI38" i="33" a="1"/>
  <c r="CI38" i="33" s="1"/>
  <c r="AO108" i="33" a="1"/>
  <c r="AO108" i="33" s="1"/>
  <c r="BS138" i="33" a="1"/>
  <c r="BS138" i="33" s="1"/>
  <c r="CJ43" i="33" a="1"/>
  <c r="CJ43" i="33" s="1"/>
  <c r="AN97" i="33" a="1"/>
  <c r="AN97" i="33" s="1"/>
  <c r="AX87" i="33" a="1"/>
  <c r="AX87" i="33" s="1"/>
  <c r="CW105" i="33" a="1"/>
  <c r="CW105" i="33" s="1"/>
  <c r="AE130" i="33" a="1"/>
  <c r="AE130" i="33" s="1"/>
  <c r="BR92" i="33" a="1"/>
  <c r="BR92" i="33" s="1"/>
  <c r="AX29" i="33" a="1"/>
  <c r="AX29" i="33" s="1"/>
  <c r="CM151" i="33" a="1"/>
  <c r="CM151" i="33" s="1"/>
  <c r="AD101" i="33" a="1"/>
  <c r="AD101" i="33" s="1"/>
  <c r="AX78" i="33" a="1"/>
  <c r="AX78" i="33" s="1"/>
  <c r="CM113" i="33" a="1"/>
  <c r="CM113" i="33" s="1"/>
  <c r="CK125" i="33" a="1"/>
  <c r="CK125" i="33" s="1"/>
  <c r="CE68" i="33" a="1"/>
  <c r="CE68" i="33" s="1"/>
  <c r="CE134" i="33" a="1"/>
  <c r="CE134" i="33" s="1"/>
  <c r="CE151" i="33" a="1"/>
  <c r="CE151" i="33" s="1"/>
  <c r="BR94" i="33" a="1"/>
  <c r="BR94" i="33" s="1"/>
  <c r="AN111" i="33" a="1"/>
  <c r="AN111" i="33" s="1"/>
  <c r="BS16" i="33" a="1"/>
  <c r="BS16" i="33" s="1"/>
  <c r="BP154" i="33" a="1"/>
  <c r="BP154" i="33" s="1"/>
  <c r="AA62" i="33" a="1"/>
  <c r="AA62" i="33" s="1"/>
  <c r="AF136" i="33" a="1"/>
  <c r="AF136" i="33" s="1"/>
  <c r="BS25" i="33" a="1"/>
  <c r="BS25" i="33" s="1"/>
  <c r="AO76" i="33" a="1"/>
  <c r="AO76" i="33" s="1"/>
  <c r="CM62" i="33" a="1"/>
  <c r="CM62" i="33" s="1"/>
  <c r="CI37" i="33" a="1"/>
  <c r="CI37" i="33" s="1"/>
  <c r="CM26" i="33" a="1"/>
  <c r="CM26" i="33" s="1"/>
  <c r="BI97" i="33" a="1"/>
  <c r="BI97" i="33" s="1"/>
  <c r="AX143" i="33" a="1"/>
  <c r="AX143" i="33" s="1"/>
  <c r="AB113" i="33" a="1"/>
  <c r="AB113" i="33" s="1"/>
  <c r="BS56" i="33" a="1"/>
  <c r="BS56" i="33" s="1"/>
  <c r="CS136" i="33" a="1"/>
  <c r="CS136" i="33" s="1"/>
  <c r="CJ98" i="33" a="1"/>
  <c r="CJ98" i="33" s="1"/>
  <c r="AX94" i="33" a="1"/>
  <c r="AX94" i="33" s="1"/>
  <c r="BY61" i="33" a="1"/>
  <c r="BY61" i="33" s="1"/>
  <c r="CH22" i="33" a="1"/>
  <c r="CH22" i="33" s="1"/>
  <c r="CJ129" i="33" a="1"/>
  <c r="CJ129" i="33" s="1"/>
  <c r="BP124" i="33" a="1"/>
  <c r="BP124" i="33" s="1"/>
  <c r="CJ87" i="33" a="1"/>
  <c r="CJ87" i="33" s="1"/>
  <c r="BF101" i="33" a="1"/>
  <c r="BF101" i="33" s="1"/>
  <c r="CE32" i="33" a="1"/>
  <c r="CE32" i="33" s="1"/>
  <c r="CM17" i="33" a="1"/>
  <c r="CM17" i="33" s="1"/>
  <c r="AX61" i="33" a="1"/>
  <c r="AX61" i="33" s="1"/>
  <c r="AB153" i="33" a="1"/>
  <c r="AB153" i="33" s="1"/>
  <c r="CC34" i="33" a="1"/>
  <c r="CC34" i="33" s="1"/>
  <c r="AO115" i="33" a="1"/>
  <c r="AO115" i="33" s="1"/>
  <c r="AN42" i="33" a="1"/>
  <c r="AN42" i="33" s="1"/>
  <c r="BI108" i="33" a="1"/>
  <c r="BI108" i="33" s="1"/>
  <c r="CI49" i="33" a="1"/>
  <c r="CI49" i="33" s="1"/>
  <c r="AX75" i="33" a="1"/>
  <c r="AX75" i="33" s="1"/>
  <c r="AY78" i="33" a="1"/>
  <c r="AY78" i="33" s="1"/>
  <c r="CM39" i="33" a="1"/>
  <c r="CM39" i="33" s="1"/>
  <c r="CI113" i="33" a="1"/>
  <c r="CI113" i="33" s="1"/>
  <c r="CL69" i="33" a="1"/>
  <c r="CL69" i="33" s="1"/>
  <c r="AX106" i="33" a="1"/>
  <c r="AX106" i="33" s="1"/>
  <c r="AE34" i="33" a="1"/>
  <c r="AE34" i="33" s="1"/>
  <c r="BR61" i="33" a="1"/>
  <c r="BR61" i="33" s="1"/>
  <c r="AP157" i="33" a="1"/>
  <c r="AP157" i="33" s="1"/>
  <c r="CS85" i="33" a="1"/>
  <c r="CS85" i="33" s="1"/>
  <c r="CS105" i="33" a="1"/>
  <c r="CS105" i="33" s="1"/>
  <c r="AD32" i="33" a="1"/>
  <c r="AD32" i="33" s="1"/>
  <c r="AX36" i="33" a="1"/>
  <c r="AX36" i="33" s="1"/>
  <c r="CI97" i="33" a="1"/>
  <c r="CI97" i="33" s="1"/>
  <c r="V123" i="33" a="1"/>
  <c r="V123" i="33" s="1"/>
  <c r="AX42" i="33" a="1"/>
  <c r="AX42" i="33" s="1"/>
  <c r="AU114" i="33" a="1"/>
  <c r="AU114" i="33" s="1"/>
  <c r="CI94" i="33" a="1"/>
  <c r="CI94" i="33" s="1"/>
  <c r="CL153" i="33" a="1"/>
  <c r="CL153" i="33" s="1"/>
  <c r="CJ48" i="33" a="1"/>
  <c r="CJ48" i="33" s="1"/>
  <c r="AD56" i="33" a="1"/>
  <c r="AD56" i="33" s="1"/>
  <c r="AY51" i="33" a="1"/>
  <c r="AY51" i="33" s="1"/>
  <c r="AX108" i="33" a="1"/>
  <c r="AX108" i="33" s="1"/>
  <c r="CC32" i="33" a="1"/>
  <c r="CC32" i="33" s="1"/>
  <c r="AU155" i="33" a="1"/>
  <c r="AU155" i="33" s="1"/>
  <c r="CL34" i="33" a="1"/>
  <c r="CL34" i="33" s="1"/>
  <c r="AK69" i="33" a="1"/>
  <c r="AK69" i="33" s="1"/>
  <c r="AA43" i="33" a="1"/>
  <c r="AA43" i="33" s="1"/>
  <c r="BN71" i="33" a="1"/>
  <c r="BN71" i="33" s="1"/>
  <c r="AA21" i="33" a="1"/>
  <c r="AA21" i="33" s="1"/>
  <c r="AB86" i="33" a="1"/>
  <c r="AB86" i="33" s="1"/>
  <c r="CI86" i="33" a="1"/>
  <c r="CI86" i="33" s="1"/>
  <c r="BE140" i="33" a="1"/>
  <c r="BE140" i="33" s="1"/>
  <c r="BY53" i="33" a="1"/>
  <c r="BY53" i="33" s="1"/>
  <c r="AP142" i="33" a="1"/>
  <c r="AP142" i="33" s="1"/>
  <c r="AD78" i="33" a="1"/>
  <c r="AD78" i="33" s="1"/>
  <c r="BE82" i="33" a="1"/>
  <c r="BE82" i="33" s="1"/>
  <c r="AL146" i="33" a="1"/>
  <c r="AL146" i="33" s="1"/>
  <c r="AX40" i="33" a="1"/>
  <c r="AX40" i="33" s="1"/>
  <c r="BF109" i="33" a="1"/>
  <c r="BF109" i="33" s="1"/>
  <c r="BF90" i="33" a="1"/>
  <c r="BF90" i="33" s="1"/>
  <c r="AE84" i="33" a="1"/>
  <c r="AE84" i="33" s="1"/>
  <c r="BO145" i="33" a="1"/>
  <c r="BO145" i="33" s="1"/>
  <c r="BY24" i="33" a="1"/>
  <c r="BY24" i="33" s="1"/>
  <c r="BX24" i="33" a="1"/>
  <c r="BX24" i="33" s="1"/>
  <c r="CS34" i="33" a="1"/>
  <c r="CS34" i="33" s="1"/>
  <c r="AY110" i="33" a="1"/>
  <c r="AY110" i="33" s="1"/>
  <c r="CK26" i="33" a="1"/>
  <c r="CK26" i="33" s="1"/>
  <c r="AK31" i="33" a="1"/>
  <c r="AK31" i="33" s="1"/>
  <c r="AT136" i="33" a="1"/>
  <c r="AT136" i="33" s="1"/>
  <c r="AB161" i="33" a="1"/>
  <c r="AB161" i="33" s="1"/>
  <c r="AN79" i="33" a="1"/>
  <c r="AN79" i="33" s="1"/>
  <c r="CC37" i="33" a="1"/>
  <c r="CC37" i="33" s="1"/>
  <c r="AO41" i="33" a="1"/>
  <c r="AO41" i="33" s="1"/>
  <c r="Z27" i="33" a="1"/>
  <c r="Z27" i="33" s="1"/>
  <c r="AE47" i="33" a="1"/>
  <c r="AE47" i="33" s="1"/>
  <c r="AB36" i="33" a="1"/>
  <c r="AB36" i="33" s="1"/>
  <c r="CE80" i="33" a="1"/>
  <c r="CE80" i="33" s="1"/>
  <c r="CK54" i="33" a="1"/>
  <c r="CK54" i="33" s="1"/>
  <c r="AJ111" i="33" a="1"/>
  <c r="AJ111" i="33" s="1"/>
  <c r="BP24" i="33" a="1"/>
  <c r="BP24" i="33" s="1"/>
  <c r="BO136" i="33" a="1"/>
  <c r="BO136" i="33" s="1"/>
  <c r="V31" i="33" a="1"/>
  <c r="V31" i="33" s="1"/>
  <c r="BR50" i="33" a="1"/>
  <c r="BR50" i="33" s="1"/>
  <c r="CT70" i="33" a="1"/>
  <c r="CT70" i="33" s="1"/>
  <c r="AK125" i="33" a="1"/>
  <c r="AK125" i="33" s="1"/>
  <c r="AF53" i="33" a="1"/>
  <c r="AF53" i="33" s="1"/>
  <c r="BP100" i="33" a="1"/>
  <c r="BP100" i="33" s="1"/>
  <c r="CC47" i="33" a="1"/>
  <c r="CC47" i="33" s="1"/>
  <c r="AX146" i="33" a="1"/>
  <c r="AX146" i="33" s="1"/>
  <c r="BE103" i="33" a="1"/>
  <c r="BE103" i="33" s="1"/>
  <c r="CL26" i="33" a="1"/>
  <c r="CL26" i="33" s="1"/>
  <c r="CK107" i="33" a="1"/>
  <c r="CK107" i="33" s="1"/>
  <c r="AD93" i="33" a="1"/>
  <c r="AD93" i="33" s="1"/>
  <c r="BF71" i="33" a="1"/>
  <c r="BF71" i="33" s="1"/>
  <c r="AL42" i="33" a="1"/>
  <c r="AL42" i="33" s="1"/>
  <c r="CK85" i="33" a="1"/>
  <c r="CK85" i="33" s="1"/>
  <c r="BY80" i="33" a="1"/>
  <c r="BY80" i="33" s="1"/>
  <c r="AL64" i="33" a="1"/>
  <c r="AL64" i="33" s="1"/>
  <c r="AJ107" i="33" a="1"/>
  <c r="AJ107" i="33" s="1"/>
  <c r="CW66" i="33" a="1"/>
  <c r="CW66" i="33" s="1"/>
  <c r="AU134" i="33" a="1"/>
  <c r="AU134" i="33" s="1"/>
  <c r="BF74" i="33" a="1"/>
  <c r="BF74" i="33" s="1"/>
  <c r="AK51" i="33" a="1"/>
  <c r="AK51" i="33" s="1"/>
  <c r="CV38" i="33" a="1"/>
  <c r="CV38" i="33" s="1"/>
  <c r="AX107" i="33" a="1"/>
  <c r="AX107" i="33" s="1"/>
  <c r="BY119" i="33" a="1"/>
  <c r="BY119" i="33" s="1"/>
  <c r="CV128" i="33" a="1"/>
  <c r="CV128" i="33" s="1"/>
  <c r="BE91" i="33" a="1"/>
  <c r="BE91" i="33" s="1"/>
  <c r="AV125" i="33" a="1"/>
  <c r="AV125" i="33" s="1"/>
  <c r="BF31" i="33" a="1"/>
  <c r="BF31" i="33" s="1"/>
  <c r="CV19" i="33" a="1"/>
  <c r="CV19" i="33" s="1"/>
  <c r="AV17" i="33" a="1"/>
  <c r="AV17" i="33" s="1"/>
  <c r="CB89" i="33" a="1"/>
  <c r="CB89" i="33" s="1"/>
  <c r="BE113" i="33" a="1"/>
  <c r="BE113" i="33" s="1"/>
  <c r="BY160" i="33" a="1"/>
  <c r="BY160" i="33" s="1"/>
  <c r="CM116" i="33" a="1"/>
  <c r="CM116" i="33" s="1"/>
  <c r="BR96" i="33" a="1"/>
  <c r="BR96" i="33" s="1"/>
  <c r="AO61" i="33" a="1"/>
  <c r="AO61" i="33" s="1"/>
  <c r="CB52" i="33" a="1"/>
  <c r="CB52" i="33" s="1"/>
  <c r="AX62" i="33" a="1"/>
  <c r="AX62" i="33" s="1"/>
  <c r="CM41" i="33" a="1"/>
  <c r="CM41" i="33" s="1"/>
  <c r="BP150" i="33" a="1"/>
  <c r="BP150" i="33" s="1"/>
  <c r="AE20" i="33" a="1"/>
  <c r="AE20" i="33" s="1"/>
  <c r="CC67" i="33" a="1"/>
  <c r="CC67" i="33" s="1"/>
  <c r="BR113" i="33" a="1"/>
  <c r="BR113" i="33" s="1"/>
  <c r="BR73" i="33" a="1"/>
  <c r="BR73" i="33" s="1"/>
  <c r="CM16" i="33" a="1"/>
  <c r="CM16" i="33" s="1"/>
  <c r="CS89" i="33" a="1"/>
  <c r="CS89" i="33" s="1"/>
  <c r="CL45" i="33" a="1"/>
  <c r="CL45" i="33" s="1"/>
  <c r="AO95" i="33" a="1"/>
  <c r="AO95" i="33" s="1"/>
  <c r="AY49" i="33" a="1"/>
  <c r="AY49" i="33" s="1"/>
  <c r="AX97" i="33" a="1"/>
  <c r="AX97" i="33" s="1"/>
  <c r="CC48" i="33" a="1"/>
  <c r="CC48" i="33" s="1"/>
  <c r="CL38" i="33" a="1"/>
  <c r="CL38" i="33" s="1"/>
  <c r="CJ90" i="33" a="1"/>
  <c r="CJ90" i="33" s="1"/>
  <c r="CW149" i="33" a="1"/>
  <c r="CW149" i="33" s="1"/>
  <c r="CX110" i="33" a="1"/>
  <c r="CX110" i="33" s="1"/>
  <c r="BP59" i="33" a="1"/>
  <c r="BP59" i="33" s="1"/>
  <c r="CI47" i="33" a="1"/>
  <c r="CI47" i="33" s="1"/>
  <c r="AY80" i="33" a="1"/>
  <c r="AY80" i="33" s="1"/>
  <c r="BS150" i="33" a="1"/>
  <c r="BS150" i="33" s="1"/>
  <c r="AH100" i="33" a="1"/>
  <c r="AH100" i="33" s="1"/>
  <c r="BT104" i="33" a="1"/>
  <c r="BT104" i="33" s="1"/>
  <c r="AQ76" i="33" a="1"/>
  <c r="AQ76" i="33" s="1"/>
  <c r="AB75" i="33" a="1"/>
  <c r="AB75" i="33" s="1"/>
  <c r="CM150" i="33" a="1"/>
  <c r="CM150" i="33" s="1"/>
  <c r="AD155" i="33" a="1"/>
  <c r="AD155" i="33" s="1"/>
  <c r="AD50" i="33" a="1"/>
  <c r="AD50" i="33" s="1"/>
  <c r="BT91" i="33" a="1"/>
  <c r="BT91" i="33" s="1"/>
  <c r="AD126" i="33" a="1"/>
  <c r="AD126" i="33" s="1"/>
  <c r="CL59" i="33" a="1"/>
  <c r="CL59" i="33" s="1"/>
  <c r="AE71" i="33" a="1"/>
  <c r="AE71" i="33" s="1"/>
  <c r="AE109" i="33" a="1"/>
  <c r="AE109" i="33" s="1"/>
  <c r="AD75" i="33" a="1"/>
  <c r="AD75" i="33" s="1"/>
  <c r="BO128" i="33" a="1"/>
  <c r="BO128" i="33" s="1"/>
  <c r="CI50" i="33" a="1"/>
  <c r="CI50" i="33" s="1"/>
  <c r="V51" i="33" a="1"/>
  <c r="V51" i="33" s="1"/>
  <c r="AD89" i="33" a="1"/>
  <c r="AD89" i="33" s="1"/>
  <c r="AA117" i="33" a="1"/>
  <c r="AA117" i="33" s="1"/>
  <c r="CJ110" i="33" a="1"/>
  <c r="CJ110" i="33" s="1"/>
  <c r="AY50" i="33" a="1"/>
  <c r="AY50" i="33" s="1"/>
  <c r="AP41" i="33" a="1"/>
  <c r="AP41" i="33" s="1"/>
  <c r="AA150" i="33" a="1"/>
  <c r="AA150" i="33" s="1"/>
  <c r="AN68" i="33" a="1"/>
  <c r="AN68" i="33" s="1"/>
  <c r="CT53" i="33" a="1"/>
  <c r="CT53" i="33" s="1"/>
  <c r="BI126" i="33" a="1"/>
  <c r="BI126" i="33" s="1"/>
  <c r="AO153" i="33" a="1"/>
  <c r="AO153" i="33" s="1"/>
  <c r="AX114" i="33" a="1"/>
  <c r="AX114" i="33" s="1"/>
  <c r="CC101" i="33" a="1"/>
  <c r="CC101" i="33" s="1"/>
  <c r="CI125" i="33" a="1"/>
  <c r="CI125" i="33" s="1"/>
  <c r="BK67" i="33" a="1"/>
  <c r="BK67" i="33" s="1"/>
  <c r="AO34" i="33" a="1"/>
  <c r="AO34" i="33" s="1"/>
  <c r="BR116" i="33" a="1"/>
  <c r="BR116" i="33" s="1"/>
  <c r="CC38" i="33" a="1"/>
  <c r="CC38" i="33" s="1"/>
  <c r="CL160" i="33" a="1"/>
  <c r="CL160" i="33" s="1"/>
  <c r="BS140" i="33" a="1"/>
  <c r="BS140" i="33" s="1"/>
  <c r="CL84" i="33" a="1"/>
  <c r="CL84" i="33" s="1"/>
  <c r="AO137" i="33" a="1"/>
  <c r="AO137" i="33" s="1"/>
  <c r="CI89" i="33" a="1"/>
  <c r="CI89" i="33" s="1"/>
  <c r="CM107" i="33" a="1"/>
  <c r="CM107" i="33" s="1"/>
  <c r="AD142" i="33" a="1"/>
  <c r="AD142" i="33" s="1"/>
  <c r="AV106" i="33" a="1"/>
  <c r="AV106" i="33" s="1"/>
  <c r="AN28" i="33" a="1"/>
  <c r="AN28" i="33" s="1"/>
  <c r="BO90" i="33" a="1"/>
  <c r="BO90" i="33" s="1"/>
  <c r="BD88" i="33" a="1"/>
  <c r="BD88" i="33" s="1"/>
  <c r="BR135" i="33" a="1"/>
  <c r="BR135" i="33" s="1"/>
  <c r="AX14" i="33" a="1"/>
  <c r="AX14" i="33" s="1"/>
  <c r="BN83" i="33" a="1"/>
  <c r="BN83" i="33" s="1"/>
  <c r="AD158" i="33" a="1"/>
  <c r="AD158" i="33" s="1"/>
  <c r="BY52" i="33" a="1"/>
  <c r="BY52" i="33" s="1"/>
  <c r="BX97" i="33" a="1"/>
  <c r="BX97" i="33" s="1"/>
  <c r="AX53" i="33" a="1"/>
  <c r="AX53" i="33" s="1"/>
  <c r="AD33" i="33" a="1"/>
  <c r="AD33" i="33" s="1"/>
  <c r="CI144" i="33" a="1"/>
  <c r="CI144" i="33" s="1"/>
  <c r="CI69" i="33" a="1"/>
  <c r="CI69" i="33" s="1"/>
  <c r="AF135" i="33" a="1"/>
  <c r="AF135" i="33" s="1"/>
  <c r="BR133" i="33" a="1"/>
  <c r="BR133" i="33" s="1"/>
  <c r="AF130" i="33" a="1"/>
  <c r="AF130" i="33" s="1"/>
  <c r="BS145" i="33" a="1"/>
  <c r="BS145" i="33" s="1"/>
  <c r="CJ100" i="33" a="1"/>
  <c r="CJ100" i="33" s="1"/>
  <c r="AU79" i="33" a="1"/>
  <c r="AU79" i="33" s="1"/>
  <c r="V96" i="33" a="1"/>
  <c r="V96" i="33" s="1"/>
  <c r="AB125" i="33" a="1"/>
  <c r="AB125" i="33" s="1"/>
  <c r="BR106" i="33" a="1"/>
  <c r="BR106" i="33" s="1"/>
  <c r="AE46" i="33" a="1"/>
  <c r="AE46" i="33" s="1"/>
  <c r="CI39" i="33" a="1"/>
  <c r="CI39" i="33" s="1"/>
  <c r="CK109" i="33" a="1"/>
  <c r="CK109" i="33" s="1"/>
  <c r="BR18" i="33" a="1"/>
  <c r="BR18" i="33" s="1"/>
  <c r="BO151" i="33" a="1"/>
  <c r="BO151" i="33" s="1"/>
  <c r="BO137" i="33" a="1"/>
  <c r="BO137" i="33" s="1"/>
  <c r="CI110" i="33" a="1"/>
  <c r="CI110" i="33" s="1"/>
  <c r="BF116" i="33" a="1"/>
  <c r="BF116" i="33" s="1"/>
  <c r="BO80" i="33" a="1"/>
  <c r="BO80" i="33" s="1"/>
  <c r="AA99" i="33" a="1"/>
  <c r="AA99" i="33" s="1"/>
  <c r="BN124" i="33" a="1"/>
  <c r="BN124" i="33" s="1"/>
  <c r="AU76" i="33" a="1"/>
  <c r="AU76" i="33" s="1"/>
  <c r="BI158" i="33" a="1"/>
  <c r="BI158" i="33" s="1"/>
  <c r="BI59" i="33" a="1"/>
  <c r="BI59" i="33" s="1"/>
  <c r="AK133" i="33" a="1"/>
  <c r="AK133" i="33" s="1"/>
  <c r="BF131" i="33" a="1"/>
  <c r="BF131" i="33" s="1"/>
  <c r="BM127" i="33" a="1"/>
  <c r="BM127" i="33" s="1"/>
  <c r="AA112" i="33" a="1"/>
  <c r="AA112" i="33" s="1"/>
  <c r="CI83" i="33" a="1"/>
  <c r="CI83" i="33" s="1"/>
  <c r="BR65" i="33" a="1"/>
  <c r="BR65" i="33" s="1"/>
  <c r="BF114" i="33" a="1"/>
  <c r="BF114" i="33" s="1"/>
  <c r="BY25" i="33" a="1"/>
  <c r="BY25" i="33" s="1"/>
  <c r="BY62" i="33" a="1"/>
  <c r="BY62" i="33" s="1"/>
  <c r="CK108" i="33" a="1"/>
  <c r="CK108" i="33" s="1"/>
  <c r="BF94" i="33" a="1"/>
  <c r="BF94" i="33" s="1"/>
  <c r="AA40" i="33" a="1"/>
  <c r="AA40" i="33" s="1"/>
  <c r="BM38" i="33" a="1"/>
  <c r="BM38" i="33" s="1"/>
  <c r="BF95" i="33" a="1"/>
  <c r="BF95" i="33" s="1"/>
  <c r="CJ111" i="33" a="1"/>
  <c r="CJ111" i="33" s="1"/>
  <c r="CR129" i="33" a="1"/>
  <c r="CR129" i="33" s="1"/>
  <c r="AU102" i="33" a="1"/>
  <c r="AU102" i="33" s="1"/>
  <c r="CV129" i="33" a="1"/>
  <c r="CV129" i="33" s="1"/>
  <c r="BY120" i="33" a="1"/>
  <c r="BY120" i="33" s="1"/>
  <c r="AL100" i="33" a="1"/>
  <c r="AL100" i="33" s="1"/>
  <c r="CM31" i="33" a="1"/>
  <c r="CM31" i="33" s="1"/>
  <c r="AE116" i="33" a="1"/>
  <c r="AE116" i="33" s="1"/>
  <c r="AX131" i="33" a="1"/>
  <c r="AX131" i="33" s="1"/>
  <c r="CE46" i="33" a="1"/>
  <c r="CE46" i="33" s="1"/>
  <c r="AY47" i="33" a="1"/>
  <c r="AY47" i="33" s="1"/>
  <c r="BS72" i="33" a="1"/>
  <c r="BS72" i="33" s="1"/>
  <c r="BN52" i="33" a="1"/>
  <c r="BN52" i="33" s="1"/>
  <c r="AK64" i="33" a="1"/>
  <c r="AK64" i="33" s="1"/>
  <c r="AU75" i="33" a="1"/>
  <c r="AU75" i="33" s="1"/>
  <c r="BO102" i="33" a="1"/>
  <c r="BO102" i="33" s="1"/>
  <c r="BF84" i="33" a="1"/>
  <c r="BF84" i="33" s="1"/>
  <c r="BR23" i="33" a="1"/>
  <c r="BR23" i="33" s="1"/>
  <c r="AV19" i="33" a="1"/>
  <c r="AV19" i="33" s="1"/>
  <c r="BO19" i="33" a="1"/>
  <c r="BO19" i="33" s="1"/>
  <c r="CJ17" i="33" a="1"/>
  <c r="CJ17" i="33" s="1"/>
  <c r="AU161" i="33" a="1"/>
  <c r="AU161" i="33" s="1"/>
  <c r="CV152" i="33" a="1"/>
  <c r="CV152" i="33" s="1"/>
  <c r="BW128" i="33" a="1"/>
  <c r="BW128" i="33" s="1"/>
  <c r="CT87" i="33" a="1"/>
  <c r="CT87" i="33" s="1"/>
  <c r="AN69" i="33" a="1"/>
  <c r="AN69" i="33" s="1"/>
  <c r="AP153" i="33" a="1"/>
  <c r="AP153" i="33" s="1"/>
  <c r="CK98" i="33" a="1"/>
  <c r="CK98" i="33" s="1"/>
  <c r="BF82" i="33" a="1"/>
  <c r="BF82" i="33" s="1"/>
  <c r="BF32" i="33" a="1"/>
  <c r="BF32" i="33" s="1"/>
  <c r="BO115" i="33" a="1"/>
  <c r="BO115" i="33" s="1"/>
  <c r="AT105" i="33" a="1"/>
  <c r="AT105" i="33" s="1"/>
  <c r="BO20" i="33" a="1"/>
  <c r="BO20" i="33" s="1"/>
  <c r="BO120" i="33" a="1"/>
  <c r="BO120" i="33" s="1"/>
  <c r="CK119" i="33" a="1"/>
  <c r="CK119" i="33" s="1"/>
  <c r="BE83" i="33" a="1"/>
  <c r="BE83" i="33" s="1"/>
  <c r="W143" i="33" a="1"/>
  <c r="W143" i="33" s="1"/>
  <c r="CC66" i="33" a="1"/>
  <c r="CC66" i="33" s="1"/>
  <c r="AY101" i="33" a="1"/>
  <c r="AY101" i="33" s="1"/>
  <c r="AE152" i="33" a="1"/>
  <c r="AE152" i="33" s="1"/>
  <c r="AB25" i="33" a="1"/>
  <c r="AB25" i="33" s="1"/>
  <c r="CC76" i="33" a="1"/>
  <c r="CC76" i="33" s="1"/>
  <c r="AY140" i="33" a="1"/>
  <c r="AY140" i="33" s="1"/>
  <c r="CC51" i="33" a="1"/>
  <c r="CC51" i="33" s="1"/>
  <c r="CC78" i="33" a="1"/>
  <c r="CC78" i="33" s="1"/>
  <c r="CM19" i="33" a="1"/>
  <c r="CM19" i="33" s="1"/>
  <c r="AO147" i="33" a="1"/>
  <c r="AO147" i="33" s="1"/>
  <c r="BS14" i="33" a="1"/>
  <c r="BS14" i="33" s="1"/>
  <c r="AO123" i="33" a="1"/>
  <c r="AO123" i="33" s="1"/>
  <c r="CL149" i="33" a="1"/>
  <c r="CL149" i="33" s="1"/>
  <c r="AD68" i="33" a="1"/>
  <c r="AD68" i="33" s="1"/>
  <c r="CW158" i="33" a="1"/>
  <c r="CW158" i="33" s="1"/>
  <c r="CJ27" i="33" a="1"/>
  <c r="CJ27" i="33" s="1"/>
  <c r="CW136" i="33" a="1"/>
  <c r="CW136" i="33" s="1"/>
  <c r="BS61" i="33" a="1"/>
  <c r="BS61" i="33" s="1"/>
  <c r="CC103" i="33" a="1"/>
  <c r="CC103" i="33" s="1"/>
  <c r="AK135" i="33" a="1"/>
  <c r="AK135" i="33" s="1"/>
  <c r="W138" i="33" a="1"/>
  <c r="W138" i="33" s="1"/>
  <c r="BI95" i="33" a="1"/>
  <c r="BI95" i="33" s="1"/>
  <c r="AO22" i="33" a="1"/>
  <c r="AO22" i="33" s="1"/>
  <c r="BF45" i="33" a="1"/>
  <c r="BF45" i="33" s="1"/>
  <c r="CI106" i="33" a="1"/>
  <c r="CI106" i="33" s="1"/>
  <c r="CC73" i="33" a="1"/>
  <c r="CC73" i="33" s="1"/>
  <c r="AO45" i="33" a="1"/>
  <c r="AO45" i="33" s="1"/>
  <c r="BI71" i="33" a="1"/>
  <c r="BI71" i="33" s="1"/>
  <c r="BS107" i="33" a="1"/>
  <c r="BS107" i="33" s="1"/>
  <c r="AX111" i="33" a="1"/>
  <c r="AX111" i="33" s="1"/>
  <c r="BY105" i="33" a="1"/>
  <c r="BY105" i="33" s="1"/>
  <c r="BA56" i="33" a="1"/>
  <c r="BA56" i="33" s="1"/>
  <c r="BP32" i="33" a="1"/>
  <c r="BP32" i="33" s="1"/>
  <c r="AL83" i="33" a="1"/>
  <c r="AL83" i="33" s="1"/>
  <c r="AY25" i="33" a="1"/>
  <c r="AY25" i="33" s="1"/>
  <c r="CC60" i="33" a="1"/>
  <c r="CC60" i="33" s="1"/>
  <c r="CE89" i="33" a="1"/>
  <c r="CE89" i="33" s="1"/>
  <c r="CE112" i="33" a="1"/>
  <c r="CE112" i="33" s="1"/>
  <c r="CW40" i="33" a="1"/>
  <c r="CW40" i="33" s="1"/>
  <c r="BF160" i="33" a="1"/>
  <c r="BF160" i="33" s="1"/>
  <c r="CK126" i="33" a="1"/>
  <c r="CK126" i="33" s="1"/>
  <c r="BS96" i="33" a="1"/>
  <c r="BS96" i="33" s="1"/>
  <c r="AB150" i="33" a="1"/>
  <c r="AB150" i="33" s="1"/>
  <c r="BE141" i="33" a="1"/>
  <c r="BE141" i="33" s="1"/>
  <c r="BR127" i="33" a="1"/>
  <c r="BR127" i="33" s="1"/>
  <c r="BE111" i="33" a="1"/>
  <c r="BE111" i="33" s="1"/>
  <c r="BI111" i="33" a="1"/>
  <c r="BI111" i="33" s="1"/>
  <c r="AK146" i="33" a="1"/>
  <c r="AK146" i="33" s="1"/>
  <c r="CJ119" i="33" a="1"/>
  <c r="CJ119" i="33" s="1"/>
  <c r="BS28" i="33" a="1"/>
  <c r="BS28" i="33" s="1"/>
  <c r="BR88" i="33" a="1"/>
  <c r="BR88" i="33" s="1"/>
  <c r="BY146" i="33" a="1"/>
  <c r="BY146" i="33" s="1"/>
  <c r="AP72" i="33" a="1"/>
  <c r="AP72" i="33" s="1"/>
  <c r="AP89" i="33" a="1"/>
  <c r="AP89" i="33" s="1"/>
  <c r="BP50" i="33" a="1"/>
  <c r="BP50" i="33" s="1"/>
  <c r="BO71" i="33" a="1"/>
  <c r="BO71" i="33" s="1"/>
  <c r="BS55" i="33" a="1"/>
  <c r="BS55" i="33" s="1"/>
  <c r="BI53" i="33" a="1"/>
  <c r="BI53" i="33" s="1"/>
  <c r="BI99" i="33" a="1"/>
  <c r="BI99" i="33" s="1"/>
  <c r="CI128" i="33" a="1"/>
  <c r="CI128" i="33" s="1"/>
  <c r="CM147" i="33" a="1"/>
  <c r="CM147" i="33" s="1"/>
  <c r="AP152" i="33" a="1"/>
  <c r="AP152" i="33" s="1"/>
  <c r="CI109" i="33" a="1"/>
  <c r="CI109" i="33" s="1"/>
  <c r="AD79" i="33" a="1"/>
  <c r="AD79" i="33" s="1"/>
  <c r="CW86" i="33" a="1"/>
  <c r="CW86" i="33" s="1"/>
  <c r="CS121" i="33" a="1"/>
  <c r="CS121" i="33" s="1"/>
  <c r="CL35" i="33" a="1"/>
  <c r="CL35" i="33" s="1"/>
  <c r="AO107" i="33" a="1"/>
  <c r="AO107" i="33" s="1"/>
  <c r="V117" i="33" a="1"/>
  <c r="V117" i="33" s="1"/>
  <c r="AL94" i="33" a="1"/>
  <c r="AL94" i="33" s="1"/>
  <c r="AK79" i="33" a="1"/>
  <c r="AK79" i="33" s="1"/>
  <c r="CC56" i="33" a="1"/>
  <c r="CC56" i="33" s="1"/>
  <c r="BI114" i="33" a="1"/>
  <c r="BI114" i="33" s="1"/>
  <c r="AL118" i="33" a="1"/>
  <c r="AL118" i="33" s="1"/>
  <c r="BE97" i="33" a="1"/>
  <c r="BE97" i="33" s="1"/>
  <c r="CE88" i="33" a="1"/>
  <c r="CE88" i="33" s="1"/>
  <c r="CL56" i="33" a="1"/>
  <c r="CL56" i="33" s="1"/>
  <c r="BS20" i="33" a="1"/>
  <c r="BS20" i="33" s="1"/>
  <c r="BS62" i="33" a="1"/>
  <c r="BS62" i="33" s="1"/>
  <c r="BR25" i="33" a="1"/>
  <c r="BR25" i="33" s="1"/>
  <c r="CS74" i="33" a="1"/>
  <c r="CS74" i="33" s="1"/>
  <c r="CW58" i="33" a="1"/>
  <c r="CW58" i="33" s="1"/>
  <c r="CM135" i="33" a="1"/>
  <c r="CM135" i="33" s="1"/>
  <c r="CW154" i="33" a="1"/>
  <c r="CW154" i="33" s="1"/>
  <c r="AO88" i="33" a="1"/>
  <c r="AO88" i="33" s="1"/>
  <c r="AK73" i="33" a="1"/>
  <c r="AK73" i="33" s="1"/>
  <c r="CM66" i="33" a="1"/>
  <c r="CM66" i="33" s="1"/>
  <c r="BR79" i="33" a="1"/>
  <c r="BR79" i="33" s="1"/>
  <c r="BP130" i="33" a="1"/>
  <c r="BP130" i="33" s="1"/>
  <c r="AF158" i="33" a="1"/>
  <c r="AF158" i="33" s="1"/>
  <c r="BY14" i="33" a="1"/>
  <c r="BY14" i="33" s="1"/>
  <c r="AY58" i="33" a="1"/>
  <c r="AY58" i="33" s="1"/>
  <c r="CL60" i="33" a="1"/>
  <c r="CL60" i="33" s="1"/>
  <c r="CI17" i="33" a="1"/>
  <c r="CI17" i="33" s="1"/>
  <c r="AL34" i="33" a="1"/>
  <c r="AL34" i="33" s="1"/>
  <c r="CJ97" i="33" a="1"/>
  <c r="CJ97" i="33" s="1"/>
  <c r="AE151" i="33" a="1"/>
  <c r="AE151" i="33" s="1"/>
  <c r="AO29" i="33" a="1"/>
  <c r="AO29" i="33" s="1"/>
  <c r="AE134" i="33" a="1"/>
  <c r="AE134" i="33" s="1"/>
  <c r="AF142" i="33" a="1"/>
  <c r="AF142" i="33" s="1"/>
  <c r="AE104" i="33" a="1"/>
  <c r="AE104" i="33" s="1"/>
  <c r="AE19" i="33" a="1"/>
  <c r="AE19" i="33" s="1"/>
  <c r="CJ109" i="33" a="1"/>
  <c r="CJ109" i="33" s="1"/>
  <c r="BR78" i="33" a="1"/>
  <c r="BR78" i="33" s="1"/>
  <c r="CM23" i="33" a="1"/>
  <c r="CM23" i="33" s="1"/>
  <c r="AK97" i="33" a="1"/>
  <c r="AK97" i="33" s="1"/>
  <c r="BR60" i="33" a="1"/>
  <c r="BR60" i="33" s="1"/>
  <c r="CS154" i="33" a="1"/>
  <c r="CS154" i="33" s="1"/>
  <c r="AX88" i="33" a="1"/>
  <c r="AX88" i="33" s="1"/>
  <c r="CM84" i="33" a="1"/>
  <c r="CM84" i="33" s="1"/>
  <c r="CC21" i="33" a="1"/>
  <c r="CC21" i="33" s="1"/>
  <c r="CS144" i="33" a="1"/>
  <c r="CS144" i="33" s="1"/>
  <c r="AX31" i="33" a="1"/>
  <c r="AX31" i="33" s="1"/>
  <c r="AL31" i="33" a="1"/>
  <c r="AL31" i="33" s="1"/>
  <c r="AY63" i="33" a="1"/>
  <c r="AY63" i="33" s="1"/>
  <c r="AO121" i="33" a="1"/>
  <c r="AO121" i="33" s="1"/>
  <c r="BY78" i="33" a="1"/>
  <c r="BY78" i="33" s="1"/>
  <c r="AX66" i="33" a="1"/>
  <c r="AX66" i="33" s="1"/>
  <c r="AO65" i="33" a="1"/>
  <c r="AO65" i="33" s="1"/>
  <c r="CL146" i="33" a="1"/>
  <c r="CL146" i="33" s="1"/>
  <c r="AD66" i="33" a="1"/>
  <c r="AD66" i="33" s="1"/>
  <c r="BR91" i="33" a="1"/>
  <c r="BR91" i="33" s="1"/>
  <c r="BY26" i="33" a="1"/>
  <c r="BY26" i="33" s="1"/>
  <c r="AD87" i="33" a="1"/>
  <c r="AD87" i="33" s="1"/>
  <c r="AL119" i="33" a="1"/>
  <c r="AL119" i="33" s="1"/>
  <c r="V121" i="33" a="1"/>
  <c r="V121" i="33" s="1"/>
  <c r="CK158" i="33" a="1"/>
  <c r="CK158" i="33" s="1"/>
  <c r="BC157" i="33" a="1"/>
  <c r="BC157" i="33" s="1"/>
  <c r="BR124" i="33" a="1"/>
  <c r="BR124" i="33" s="1"/>
  <c r="CC115" i="33" a="1"/>
  <c r="CC115" i="33" s="1"/>
  <c r="AP33" i="33" a="1"/>
  <c r="AP33" i="33" s="1"/>
  <c r="CS134" i="33" a="1"/>
  <c r="CS134" i="33" s="1"/>
  <c r="AY35" i="33" a="1"/>
  <c r="AY35" i="33" s="1"/>
  <c r="CH21" i="33" a="1"/>
  <c r="CH21" i="33" s="1"/>
  <c r="AL70" i="33" a="1"/>
  <c r="AL70" i="33" s="1"/>
  <c r="CS153" i="33" a="1"/>
  <c r="CS153" i="33" s="1"/>
  <c r="BS65" i="33" a="1"/>
  <c r="BS65" i="33" s="1"/>
  <c r="BY137" i="33" a="1"/>
  <c r="BY137" i="33" s="1"/>
  <c r="CJ21" i="33" a="1"/>
  <c r="CJ21" i="33" s="1"/>
  <c r="BD116" i="33" a="1"/>
  <c r="BD116" i="33" s="1"/>
  <c r="CJ133" i="33" a="1"/>
  <c r="CJ133" i="33" s="1"/>
  <c r="CJ58" i="33" a="1"/>
  <c r="CJ58" i="33" s="1"/>
  <c r="CI14" i="33" a="1"/>
  <c r="CI14" i="33" s="1"/>
  <c r="AL104" i="33" a="1"/>
  <c r="AL104" i="33" s="1"/>
  <c r="BZ20" i="33" a="1"/>
  <c r="BZ20" i="33" s="1"/>
  <c r="AZ146" i="33" a="1"/>
  <c r="AZ146" i="33" s="1"/>
  <c r="BR16" i="33" a="1"/>
  <c r="BR16" i="33" s="1"/>
  <c r="CK149" i="33" a="1"/>
  <c r="CK149" i="33" s="1"/>
  <c r="CK19" i="33" a="1"/>
  <c r="CK19" i="33" s="1"/>
  <c r="AK70" i="33" a="1"/>
  <c r="AK70" i="33" s="1"/>
  <c r="BI49" i="33" a="1"/>
  <c r="BI49" i="33" s="1"/>
  <c r="BI129" i="33" a="1"/>
  <c r="BI129" i="33" s="1"/>
  <c r="AE112" i="33" a="1"/>
  <c r="AE112" i="33" s="1"/>
  <c r="BY46" i="33" a="1"/>
  <c r="BY46" i="33" s="1"/>
  <c r="BR130" i="33" a="1"/>
  <c r="BR130" i="33" s="1"/>
  <c r="BS64" i="33" a="1"/>
  <c r="BS64" i="33" s="1"/>
  <c r="CS95" i="33" a="1"/>
  <c r="CS95" i="33" s="1"/>
  <c r="CB119" i="33" a="1"/>
  <c r="CB119" i="33" s="1"/>
  <c r="BE45" i="33" a="1"/>
  <c r="BE45" i="33" s="1"/>
  <c r="BC126" i="33" a="1"/>
  <c r="BC126" i="33" s="1"/>
  <c r="AD145" i="33" a="1"/>
  <c r="AD145" i="33" s="1"/>
  <c r="BE50" i="33" a="1"/>
  <c r="BE50" i="33" s="1"/>
  <c r="AX28" i="33" a="1"/>
  <c r="AX28" i="33" s="1"/>
  <c r="CE92" i="33" a="1"/>
  <c r="CE92" i="33" s="1"/>
  <c r="CC91" i="33" a="1"/>
  <c r="CC91" i="33" s="1"/>
  <c r="AY29" i="33" a="1"/>
  <c r="AY29" i="33" s="1"/>
  <c r="AN85" i="33" a="1"/>
  <c r="AN85" i="33" s="1"/>
  <c r="CC20" i="33" a="1"/>
  <c r="CC20" i="33" s="1"/>
  <c r="BS29" i="33" a="1"/>
  <c r="BS29" i="33" s="1"/>
  <c r="CM104" i="33" a="1"/>
  <c r="CM104" i="33" s="1"/>
  <c r="AD121" i="33" a="1"/>
  <c r="AD121" i="33" s="1"/>
  <c r="AB74" i="33" a="1"/>
  <c r="AB74" i="33" s="1"/>
  <c r="AD92" i="33" a="1"/>
  <c r="AD92" i="33" s="1"/>
  <c r="CB37" i="33" a="1"/>
  <c r="CB37" i="33" s="1"/>
  <c r="AP53" i="33" a="1"/>
  <c r="AP53" i="33" s="1"/>
  <c r="AB145" i="33" a="1"/>
  <c r="AB145" i="33" s="1"/>
  <c r="AX26" i="33" a="1"/>
  <c r="AX26" i="33" s="1"/>
  <c r="CS62" i="33" a="1"/>
  <c r="CS62" i="33" s="1"/>
  <c r="BI121" i="33" a="1"/>
  <c r="BI121" i="33" s="1"/>
  <c r="AO30" i="33" a="1"/>
  <c r="AO30" i="33" s="1"/>
  <c r="AH112" i="33" a="1"/>
  <c r="AH112" i="33" s="1"/>
  <c r="BY70" i="33" a="1"/>
  <c r="BY70" i="33" s="1"/>
  <c r="CS39" i="33" a="1"/>
  <c r="CS39" i="33" s="1"/>
  <c r="CJ83" i="33" a="1"/>
  <c r="CJ83" i="33" s="1"/>
  <c r="CD48" i="33" a="1"/>
  <c r="CD48" i="33" s="1"/>
  <c r="CV21" i="33" a="1"/>
  <c r="CV21" i="33" s="1"/>
  <c r="BR108" i="33" a="1"/>
  <c r="BR108" i="33" s="1"/>
  <c r="BJ25" i="33" a="1"/>
  <c r="BJ25" i="33" s="1"/>
  <c r="AY69" i="33" a="1"/>
  <c r="AY69" i="33" s="1"/>
  <c r="AA72" i="33" a="1"/>
  <c r="AA72" i="33" s="1"/>
  <c r="CD88" i="33" a="1"/>
  <c r="CD88" i="33" s="1"/>
  <c r="CW20" i="33" a="1"/>
  <c r="CW20" i="33" s="1"/>
  <c r="BI52" i="33" a="1"/>
  <c r="BI52" i="33" s="1"/>
  <c r="AZ161" i="33" a="1"/>
  <c r="AZ161" i="33" s="1"/>
  <c r="BR40" i="33" a="1"/>
  <c r="BR40" i="33" s="1"/>
  <c r="AY26" i="33" a="1"/>
  <c r="AY26" i="33" s="1"/>
  <c r="CM125" i="33" a="1"/>
  <c r="CM125" i="33" s="1"/>
  <c r="AE150" i="33" a="1"/>
  <c r="AE150" i="33" s="1"/>
  <c r="AO150" i="33" a="1"/>
  <c r="AO150" i="33" s="1"/>
  <c r="AY136" i="33" a="1"/>
  <c r="AY136" i="33" s="1"/>
  <c r="CC36" i="33" a="1"/>
  <c r="CC36" i="33" s="1"/>
  <c r="CK129" i="33" a="1"/>
  <c r="CK129" i="33" s="1"/>
  <c r="CJ81" i="33" a="1"/>
  <c r="CJ81" i="33" s="1"/>
  <c r="AD80" i="33" a="1"/>
  <c r="AD80" i="33" s="1"/>
  <c r="CS26" i="33" a="1"/>
  <c r="CS26" i="33" s="1"/>
  <c r="AO124" i="33" a="1"/>
  <c r="AO124" i="33" s="1"/>
  <c r="CW35" i="33" a="1"/>
  <c r="CW35" i="33" s="1"/>
  <c r="AL123" i="33" a="1"/>
  <c r="AL123" i="33" s="1"/>
  <c r="AY74" i="33" a="1"/>
  <c r="AY74" i="33" s="1"/>
  <c r="BR86" i="33" a="1"/>
  <c r="BR86" i="33" s="1"/>
  <c r="CC27" i="33" a="1"/>
  <c r="CC27" i="33" s="1"/>
  <c r="AK18" i="33" a="1"/>
  <c r="AK18" i="33" s="1"/>
  <c r="CM67" i="33" a="1"/>
  <c r="CM67" i="33" s="1"/>
  <c r="BE151" i="33" a="1"/>
  <c r="BE151" i="33" s="1"/>
  <c r="CM29" i="33" a="1"/>
  <c r="CM29" i="33" s="1"/>
  <c r="CM102" i="33" a="1"/>
  <c r="CM102" i="33" s="1"/>
  <c r="CJ65" i="33" a="1"/>
  <c r="CJ65" i="33" s="1"/>
  <c r="CI30" i="33" a="1"/>
  <c r="CI30" i="33" s="1"/>
  <c r="CJ32" i="33" a="1"/>
  <c r="CJ32" i="33" s="1"/>
  <c r="CL22" i="33" a="1"/>
  <c r="CL22" i="33" s="1"/>
  <c r="AO67" i="33" a="1"/>
  <c r="AO67" i="33" s="1"/>
  <c r="AE115" i="33" a="1"/>
  <c r="AE115" i="33" s="1"/>
  <c r="AE18" i="33" a="1"/>
  <c r="AE18" i="33" s="1"/>
  <c r="AY67" i="33" a="1"/>
  <c r="AY67" i="33" s="1"/>
  <c r="AN141" i="33" a="1"/>
  <c r="AN141" i="33" s="1"/>
  <c r="AL69" i="33" a="1"/>
  <c r="AL69" i="33" s="1"/>
  <c r="AL107" i="33" a="1"/>
  <c r="AL107" i="33" s="1"/>
  <c r="AK28" i="33" a="1"/>
  <c r="AK28" i="33" s="1"/>
  <c r="CC63" i="33" a="1"/>
  <c r="CC63" i="33" s="1"/>
  <c r="AE60" i="33" a="1"/>
  <c r="AE60" i="33" s="1"/>
  <c r="BF41" i="33" a="1"/>
  <c r="BF41" i="33" s="1"/>
  <c r="BR141" i="33" a="1"/>
  <c r="BR141" i="33" s="1"/>
  <c r="AA28" i="33" a="1"/>
  <c r="AA28" i="33" s="1"/>
  <c r="AE113" i="33" a="1"/>
  <c r="AE113" i="33" s="1"/>
  <c r="AF93" i="33" a="1"/>
  <c r="AF93" i="33" s="1"/>
  <c r="CS94" i="33" a="1"/>
  <c r="CS94" i="33" s="1"/>
  <c r="AY57" i="33" a="1"/>
  <c r="AY57" i="33" s="1"/>
  <c r="CC46" i="33" a="1"/>
  <c r="CC46" i="33" s="1"/>
  <c r="CV133" i="33" a="1"/>
  <c r="CV133" i="33" s="1"/>
  <c r="CR35" i="33" a="1"/>
  <c r="CR35" i="33" s="1"/>
  <c r="AX124" i="33" a="1"/>
  <c r="AX124" i="33" s="1"/>
  <c r="CL89" i="33" a="1"/>
  <c r="CL89" i="33" s="1"/>
  <c r="CB145" i="33" a="1"/>
  <c r="CB145" i="33" s="1"/>
  <c r="AF83" i="33" a="1"/>
  <c r="AF83" i="33" s="1"/>
  <c r="AD81" i="33" a="1"/>
  <c r="AD81" i="33" s="1"/>
  <c r="BR84" i="33" a="1"/>
  <c r="BR84" i="33" s="1"/>
  <c r="BI160" i="33" a="1"/>
  <c r="BI160" i="33" s="1"/>
  <c r="CE110" i="33" a="1"/>
  <c r="CE110" i="33" s="1"/>
  <c r="AX100" i="33" a="1"/>
  <c r="AX100" i="33" s="1"/>
  <c r="AO19" i="33" a="1"/>
  <c r="AO19" i="33" s="1"/>
  <c r="CM129" i="33" a="1"/>
  <c r="CM129" i="33" s="1"/>
  <c r="CB26" i="33" a="1"/>
  <c r="CB26" i="33" s="1"/>
  <c r="BI128" i="33" a="1"/>
  <c r="BI128" i="33" s="1"/>
  <c r="CL57" i="33" a="1"/>
  <c r="CL57" i="33" s="1"/>
  <c r="CC155" i="33" a="1"/>
  <c r="CC155" i="33" s="1"/>
  <c r="AK110" i="33" a="1"/>
  <c r="AK110" i="33" s="1"/>
  <c r="AO90" i="33" a="1"/>
  <c r="AO90" i="33" s="1"/>
  <c r="BE106" i="33" a="1"/>
  <c r="BE106" i="33" s="1"/>
  <c r="CK43" i="33" a="1"/>
  <c r="CK43" i="33" s="1"/>
  <c r="AA142" i="33" a="1"/>
  <c r="AA142" i="33" s="1"/>
  <c r="CR156" i="33" a="1"/>
  <c r="CR156" i="33" s="1"/>
  <c r="AK42" i="33" a="1"/>
  <c r="AK42" i="33" s="1"/>
  <c r="CI92" i="33" a="1"/>
  <c r="CI92" i="33" s="1"/>
  <c r="BW34" i="33" a="1"/>
  <c r="BW34" i="33" s="1"/>
  <c r="AO42" i="33" a="1"/>
  <c r="AO42" i="33" s="1"/>
  <c r="AF104" i="33" a="1"/>
  <c r="AF104" i="33" s="1"/>
  <c r="CI129" i="33" a="1"/>
  <c r="CI129" i="33" s="1"/>
  <c r="BO69" i="33" a="1"/>
  <c r="BO69" i="33" s="1"/>
  <c r="AB119" i="33" a="1"/>
  <c r="AB119" i="33" s="1"/>
  <c r="BY122" i="33" a="1"/>
  <c r="BY122" i="33" s="1"/>
  <c r="BY39" i="33" a="1"/>
  <c r="BY39" i="33" s="1"/>
  <c r="AL136" i="33" a="1"/>
  <c r="AL136" i="33" s="1"/>
  <c r="BY144" i="33" a="1"/>
  <c r="BY144" i="33" s="1"/>
  <c r="CV123" i="33" a="1"/>
  <c r="CV123" i="33" s="1"/>
  <c r="CL156" i="33" a="1"/>
  <c r="CL156" i="33" s="1"/>
  <c r="AK16" i="33" a="1"/>
  <c r="AK16" i="33" s="1"/>
  <c r="AU67" i="33" a="1"/>
  <c r="AU67" i="33" s="1"/>
  <c r="BO139" i="33" a="1"/>
  <c r="BO139" i="33" s="1"/>
  <c r="BF19" i="33" a="1"/>
  <c r="BF19" i="33" s="1"/>
  <c r="AS60" i="33" a="1"/>
  <c r="AS60" i="33" s="1"/>
  <c r="BE154" i="33" a="1"/>
  <c r="BE154" i="33" s="1"/>
  <c r="AU136" i="33" a="1"/>
  <c r="AU136" i="33" s="1"/>
  <c r="CV140" i="33" a="1"/>
  <c r="CV140" i="33" s="1"/>
  <c r="CW75" i="33" a="1"/>
  <c r="CW75" i="33" s="1"/>
  <c r="BY113" i="33" a="1"/>
  <c r="BY113" i="33" s="1"/>
  <c r="CS148" i="33" a="1"/>
  <c r="CS148" i="33" s="1"/>
  <c r="AU89" i="33" a="1"/>
  <c r="AU89" i="33" s="1"/>
  <c r="AA38" i="33" a="1"/>
  <c r="AA38" i="33" s="1"/>
  <c r="CV80" i="33" a="1"/>
  <c r="CV80" i="33" s="1"/>
  <c r="CJ99" i="33" a="1"/>
  <c r="CJ99" i="33" s="1"/>
  <c r="BS136" i="33" a="1"/>
  <c r="BS136" i="33" s="1"/>
  <c r="CM52" i="33" a="1"/>
  <c r="CM52" i="33" s="1"/>
  <c r="CJ94" i="33" a="1"/>
  <c r="CJ94" i="33" s="1"/>
  <c r="BM67" i="33" a="1"/>
  <c r="BM67" i="33" s="1"/>
  <c r="CK128" i="33" a="1"/>
  <c r="CK128" i="33" s="1"/>
  <c r="CS51" i="33" a="1"/>
  <c r="CS51" i="33" s="1"/>
  <c r="BR111" i="33" a="1"/>
  <c r="BR111" i="33" s="1"/>
  <c r="BO72" i="33" a="1"/>
  <c r="BO72" i="33" s="1"/>
  <c r="BC139" i="33" a="1"/>
  <c r="BC139" i="33" s="1"/>
  <c r="AD16" i="33" a="1"/>
  <c r="AD16" i="33" s="1"/>
  <c r="CV64" i="33" a="1"/>
  <c r="CV64" i="33" s="1"/>
  <c r="BF161" i="33" a="1"/>
  <c r="BF161" i="33" s="1"/>
  <c r="BO159" i="33" a="1"/>
  <c r="BO159" i="33" s="1"/>
  <c r="AE139" i="33" a="1"/>
  <c r="AE139" i="33" s="1"/>
  <c r="BO135" i="33" a="1"/>
  <c r="BO135" i="33" s="1"/>
  <c r="CV126" i="33" a="1"/>
  <c r="CV126" i="33" s="1"/>
  <c r="CB63" i="33" a="1"/>
  <c r="CB63" i="33" s="1"/>
  <c r="AK144" i="33" a="1"/>
  <c r="AK144" i="33" s="1"/>
  <c r="BF67" i="33" a="1"/>
  <c r="BF67" i="33" s="1"/>
  <c r="BE33" i="33" a="1"/>
  <c r="BE33" i="33" s="1"/>
  <c r="BY59" i="33" a="1"/>
  <c r="BY59" i="33" s="1"/>
  <c r="BF96" i="33" a="1"/>
  <c r="BF96" i="33" s="1"/>
  <c r="CG21" i="33" a="1"/>
  <c r="CG21" i="33" s="1"/>
  <c r="BE95" i="33" a="1"/>
  <c r="BE95" i="33" s="1"/>
  <c r="AE143" i="33" a="1"/>
  <c r="AE143" i="33" s="1"/>
  <c r="BY49" i="33" a="1"/>
  <c r="BY49" i="33" s="1"/>
  <c r="BE94" i="33" a="1"/>
  <c r="BE94" i="33" s="1"/>
  <c r="CI157" i="33" a="1"/>
  <c r="CI157" i="33" s="1"/>
  <c r="CH84" i="33" a="1"/>
  <c r="CH84" i="33" s="1"/>
  <c r="AY137" i="33" a="1"/>
  <c r="AY137" i="33" s="1"/>
  <c r="CI107" i="33" a="1"/>
  <c r="CI107" i="33" s="1"/>
  <c r="CC22" i="33" a="1"/>
  <c r="CC22" i="33" s="1"/>
  <c r="AX50" i="33" a="1"/>
  <c r="AX50" i="33" s="1"/>
  <c r="BW114" i="33" a="1"/>
  <c r="BW114" i="33" s="1"/>
  <c r="AA107" i="33" a="1"/>
  <c r="AA107" i="33" s="1"/>
  <c r="CB49" i="33" a="1"/>
  <c r="CB49" i="33" s="1"/>
  <c r="CJ70" i="33" a="1"/>
  <c r="CJ70" i="33" s="1"/>
  <c r="AE90" i="33" a="1"/>
  <c r="AE90" i="33" s="1"/>
  <c r="BP72" i="33" a="1"/>
  <c r="BP72" i="33" s="1"/>
  <c r="AL135" i="33" a="1"/>
  <c r="AL135" i="33" s="1"/>
  <c r="BS115" i="33" a="1"/>
  <c r="BS115" i="33" s="1"/>
  <c r="V70" i="33" a="1"/>
  <c r="V70" i="33" s="1"/>
  <c r="CJ154" i="33" a="1"/>
  <c r="CJ154" i="33" s="1"/>
  <c r="AQ89" i="33" a="1"/>
  <c r="AQ89" i="33" s="1"/>
  <c r="CE34" i="33" a="1"/>
  <c r="CE34" i="33" s="1"/>
  <c r="CS91" i="33" a="1"/>
  <c r="CS91" i="33" s="1"/>
  <c r="BS94" i="33" a="1"/>
  <c r="BS94" i="33" s="1"/>
  <c r="BS155" i="33" a="1"/>
  <c r="BS155" i="33" s="1"/>
  <c r="BI91" i="33" a="1"/>
  <c r="BI91" i="33" s="1"/>
  <c r="AX37" i="33" a="1"/>
  <c r="AX37" i="33" s="1"/>
  <c r="AB151" i="33" a="1"/>
  <c r="AB151" i="33" s="1"/>
  <c r="CM74" i="33" a="1"/>
  <c r="CM74" i="33" s="1"/>
  <c r="BF18" i="33" a="1"/>
  <c r="BF18" i="33" s="1"/>
  <c r="CB62" i="33" a="1"/>
  <c r="CB62" i="33" s="1"/>
  <c r="BS109" i="33" a="1"/>
  <c r="BS109" i="33" s="1"/>
  <c r="CI23" i="33" a="1"/>
  <c r="CI23" i="33" s="1"/>
  <c r="AD138" i="33" a="1"/>
  <c r="AD138" i="33" s="1"/>
  <c r="CD119" i="33" a="1"/>
  <c r="CD119" i="33" s="1"/>
  <c r="CI58" i="33" a="1"/>
  <c r="CI58" i="33" s="1"/>
  <c r="BR48" i="33" a="1"/>
  <c r="BR48" i="33" s="1"/>
  <c r="CN23" i="33" a="1"/>
  <c r="CN23" i="33" s="1"/>
  <c r="CC57" i="33" a="1"/>
  <c r="CC57" i="33" s="1"/>
  <c r="BS22" i="33" a="1"/>
  <c r="BS22" i="33" s="1"/>
  <c r="BS21" i="33" a="1"/>
  <c r="BS21" i="33" s="1"/>
  <c r="CB118" i="33" a="1"/>
  <c r="CB118" i="33" s="1"/>
  <c r="CL83" i="33" a="1"/>
  <c r="CL83" i="33" s="1"/>
  <c r="CD41" i="33" a="1"/>
  <c r="CD41" i="33" s="1"/>
  <c r="CL125" i="33" a="1"/>
  <c r="CL125" i="33" s="1"/>
  <c r="CE41" i="33" a="1"/>
  <c r="CE41" i="33" s="1"/>
  <c r="AL26" i="33" a="1"/>
  <c r="AL26" i="33" s="1"/>
  <c r="CS43" i="33" a="1"/>
  <c r="CS43" i="33" s="1"/>
  <c r="AU82" i="33" a="1"/>
  <c r="AU82" i="33" s="1"/>
  <c r="BS30" i="33" a="1"/>
  <c r="BS30" i="33" s="1"/>
  <c r="BI24" i="33" a="1"/>
  <c r="BI24" i="33" s="1"/>
  <c r="AE85" i="33" a="1"/>
  <c r="AE85" i="33" s="1"/>
  <c r="BE81" i="33" a="1"/>
  <c r="BE81" i="33" s="1"/>
  <c r="CV100" i="33" a="1"/>
  <c r="CV100" i="33" s="1"/>
  <c r="CS24" i="33" a="1"/>
  <c r="CS24" i="33" s="1"/>
  <c r="BS133" i="33" a="1"/>
  <c r="BS133" i="33" s="1"/>
  <c r="V143" i="33" a="1"/>
  <c r="V143" i="33" s="1"/>
  <c r="CI137" i="33" a="1"/>
  <c r="CI137" i="33" s="1"/>
  <c r="BP113" i="33" a="1"/>
  <c r="BP113" i="33" s="1"/>
  <c r="CS160" i="33" a="1"/>
  <c r="CS160" i="33" s="1"/>
  <c r="BF35" i="33" a="1"/>
  <c r="BF35" i="33" s="1"/>
  <c r="BP84" i="33" a="1"/>
  <c r="BP84" i="33" s="1"/>
  <c r="CE51" i="33" a="1"/>
  <c r="CE51" i="33" s="1"/>
  <c r="AE82" i="33" a="1"/>
  <c r="AE82" i="33" s="1"/>
  <c r="CC143" i="33" a="1"/>
  <c r="CC143" i="33" s="1"/>
  <c r="CE128" i="33" a="1"/>
  <c r="CE128" i="33" s="1"/>
  <c r="AY94" i="33" a="1"/>
  <c r="AY94" i="33" s="1"/>
  <c r="AX52" i="33" a="1"/>
  <c r="AX52" i="33" s="1"/>
  <c r="CV84" i="33" a="1"/>
  <c r="CV84" i="33" s="1"/>
  <c r="CL72" i="33" a="1"/>
  <c r="CL72" i="33" s="1"/>
  <c r="BS147" i="33" a="1"/>
  <c r="BS147" i="33" s="1"/>
  <c r="CE14" i="33" a="1"/>
  <c r="CE14" i="33" s="1"/>
  <c r="BS71" i="33" a="1"/>
  <c r="BS71" i="33" s="1"/>
  <c r="CM51" i="33" a="1"/>
  <c r="CM51" i="33" s="1"/>
  <c r="CL47" i="33" a="1"/>
  <c r="CL47" i="33" s="1"/>
  <c r="CV117" i="33" a="1"/>
  <c r="CV117" i="33" s="1"/>
  <c r="AO101" i="33" a="1"/>
  <c r="AO101" i="33" s="1"/>
  <c r="AN96" i="33" a="1"/>
  <c r="AN96" i="33" s="1"/>
  <c r="CC61" i="33" a="1"/>
  <c r="CC61" i="33" s="1"/>
  <c r="BP109" i="33" a="1"/>
  <c r="BP109" i="33" s="1"/>
  <c r="BP82" i="33" a="1"/>
  <c r="BP82" i="33" s="1"/>
  <c r="CW53" i="33" a="1"/>
  <c r="CW53" i="33" s="1"/>
  <c r="BS88" i="33" a="1"/>
  <c r="BS88" i="33" s="1"/>
  <c r="AU111" i="33" a="1"/>
  <c r="AU111" i="33" s="1"/>
  <c r="AA104" i="33" a="1"/>
  <c r="AA104" i="33" s="1"/>
  <c r="CM122" i="33" a="1"/>
  <c r="CM122" i="33" s="1"/>
  <c r="AE154" i="33" a="1"/>
  <c r="AE154" i="33" s="1"/>
  <c r="CC105" i="33" a="1"/>
  <c r="CC105" i="33" s="1"/>
  <c r="AY45" i="33" a="1"/>
  <c r="AY45" i="33" s="1"/>
  <c r="CM161" i="33" a="1"/>
  <c r="CM161" i="33" s="1"/>
  <c r="V45" i="33" a="1"/>
  <c r="V45" i="33" s="1"/>
  <c r="CB143" i="33" a="1"/>
  <c r="CB143" i="33" s="1"/>
  <c r="CJ157" i="33" a="1"/>
  <c r="CJ157" i="33" s="1"/>
  <c r="AO64" i="33" a="1"/>
  <c r="AO64" i="33" s="1"/>
  <c r="AY73" i="33" a="1"/>
  <c r="AY73" i="33" s="1"/>
  <c r="CM55" i="33" a="1"/>
  <c r="CM55" i="33" s="1"/>
  <c r="AL129" i="33" a="1"/>
  <c r="AL129" i="33" s="1"/>
  <c r="CK154" i="33" a="1"/>
  <c r="CK154" i="33" s="1"/>
  <c r="CI132" i="33" a="1"/>
  <c r="CI132" i="33" s="1"/>
  <c r="AD139" i="33" a="1"/>
  <c r="AD139" i="33" s="1"/>
  <c r="BI14" i="33" a="1"/>
  <c r="BI14" i="33" s="1"/>
  <c r="AN142" i="33" a="1"/>
  <c r="AN142" i="33" s="1"/>
  <c r="AN145" i="33" a="1"/>
  <c r="AN145" i="33" s="1"/>
  <c r="BO42" i="33" a="1"/>
  <c r="BO42" i="33" s="1"/>
  <c r="CE152" i="33" a="1"/>
  <c r="CE152" i="33" s="1"/>
  <c r="AE68" i="33" a="1"/>
  <c r="AE68" i="33" s="1"/>
  <c r="AL152" i="33" a="1"/>
  <c r="AL152" i="33" s="1"/>
  <c r="AY113" i="33" a="1"/>
  <c r="AY113" i="33" s="1"/>
  <c r="AL43" i="33" a="1"/>
  <c r="AL43" i="33" s="1"/>
  <c r="V160" i="33" a="1"/>
  <c r="V160" i="33" s="1"/>
  <c r="CJ51" i="33" a="1"/>
  <c r="CJ51" i="33" s="1"/>
  <c r="CJ92" i="33" a="1"/>
  <c r="CJ92" i="33" s="1"/>
  <c r="CI42" i="33" a="1"/>
  <c r="CI42" i="33" s="1"/>
  <c r="AY22" i="33" a="1"/>
  <c r="AY22" i="33" s="1"/>
  <c r="CS67" i="33" a="1"/>
  <c r="CS67" i="33" s="1"/>
  <c r="CE113" i="33" a="1"/>
  <c r="CE113" i="33" s="1"/>
  <c r="CL28" i="33" a="1"/>
  <c r="CL28" i="33" s="1"/>
  <c r="AO130" i="33" a="1"/>
  <c r="AO130" i="33" s="1"/>
  <c r="AA67" i="33" a="1"/>
  <c r="AA67" i="33" s="1"/>
  <c r="CM47" i="33" a="1"/>
  <c r="CM47" i="33" s="1"/>
  <c r="AL24" i="33" a="1"/>
  <c r="AL24" i="33" s="1"/>
  <c r="BS36" i="33" a="1"/>
  <c r="BS36" i="33" s="1"/>
  <c r="CS60" i="33" a="1"/>
  <c r="CS60" i="33" s="1"/>
  <c r="AO142" i="33" a="1"/>
  <c r="AO142" i="33" s="1"/>
  <c r="BS141" i="33" a="1"/>
  <c r="BS141" i="33" s="1"/>
  <c r="AO20" i="33" a="1"/>
  <c r="AO20" i="33" s="1"/>
  <c r="CE43" i="33" a="1"/>
  <c r="CE43" i="33" s="1"/>
  <c r="AE35" i="33" a="1"/>
  <c r="AE35" i="33" s="1"/>
  <c r="CW123" i="33" a="1"/>
  <c r="CW123" i="33" s="1"/>
  <c r="BY92" i="33" a="1"/>
  <c r="BY92" i="33" s="1"/>
  <c r="BY81" i="33" a="1"/>
  <c r="BY81" i="33" s="1"/>
  <c r="AX79" i="33" a="1"/>
  <c r="AX79" i="33" s="1"/>
  <c r="AY88" i="33" a="1"/>
  <c r="AY88" i="33" s="1"/>
  <c r="CI102" i="33" a="1"/>
  <c r="CI102" i="33" s="1"/>
  <c r="AY131" i="33" a="1"/>
  <c r="AY131" i="33" s="1"/>
  <c r="CJ118" i="33" a="1"/>
  <c r="CJ118" i="33" s="1"/>
  <c r="CL105" i="33" a="1"/>
  <c r="CL105" i="33" s="1"/>
  <c r="AF42" i="33" a="1"/>
  <c r="AF42" i="33" s="1"/>
  <c r="CE33" i="33" a="1"/>
  <c r="CE33" i="33" s="1"/>
  <c r="CI159" i="33" a="1"/>
  <c r="CI159" i="33" s="1"/>
  <c r="BW26" i="33" a="1"/>
  <c r="BW26" i="33" s="1"/>
  <c r="BY63" i="33" a="1"/>
  <c r="BY63" i="33" s="1"/>
  <c r="CL50" i="33" a="1"/>
  <c r="CL50" i="33" s="1"/>
  <c r="AN49" i="33" a="1"/>
  <c r="AN49" i="33" s="1"/>
  <c r="CV30" i="33" a="1"/>
  <c r="CV30" i="33" s="1"/>
  <c r="AA42" i="33" a="1"/>
  <c r="AA42" i="33" s="1"/>
  <c r="AY133" i="33" a="1"/>
  <c r="AY133" i="33" s="1"/>
  <c r="CC97" i="33" a="1"/>
  <c r="CC97" i="33" s="1"/>
  <c r="AX41" i="33" a="1"/>
  <c r="AX41" i="33" s="1"/>
  <c r="BI136" i="33" a="1"/>
  <c r="BI136" i="33" s="1"/>
  <c r="BY111" i="33" a="1"/>
  <c r="BY111" i="33" s="1"/>
  <c r="AJ157" i="33" a="1"/>
  <c r="AJ157" i="33" s="1"/>
  <c r="CR23" i="33" a="1"/>
  <c r="CR23" i="33" s="1"/>
  <c r="CJ127" i="33" a="1"/>
  <c r="CJ127" i="33" s="1"/>
  <c r="CE69" i="33" a="1"/>
  <c r="CE69" i="33" s="1"/>
  <c r="BP68" i="33" a="1"/>
  <c r="BP68" i="33" s="1"/>
  <c r="AU38" i="33" a="1"/>
  <c r="AU38" i="33" s="1"/>
  <c r="BD61" i="33" a="1"/>
  <c r="BD61" i="33" s="1"/>
  <c r="AO27" i="33" a="1"/>
  <c r="AO27" i="33" s="1"/>
  <c r="BI83" i="33" a="1"/>
  <c r="BI83" i="33" s="1"/>
  <c r="AY128" i="33" a="1"/>
  <c r="AY128" i="33" s="1"/>
  <c r="AD131" i="33" a="1"/>
  <c r="AD131" i="33" s="1"/>
  <c r="AA84" i="33" a="1"/>
  <c r="AA84" i="33" s="1"/>
  <c r="AN37" i="33" a="1"/>
  <c r="AN37" i="33" s="1"/>
  <c r="AL120" i="33" a="1"/>
  <c r="AL120" i="33" s="1"/>
  <c r="AB83" i="33" a="1"/>
  <c r="AB83" i="33" s="1"/>
  <c r="CW16" i="33" a="1"/>
  <c r="CW16" i="33" s="1"/>
  <c r="AY124" i="33" a="1"/>
  <c r="AY124" i="33" s="1"/>
  <c r="BY69" i="33" a="1"/>
  <c r="BY69" i="33" s="1"/>
  <c r="BI30" i="33" a="1"/>
  <c r="BI30" i="33" s="1"/>
  <c r="CJ142" i="33" a="1"/>
  <c r="CJ142" i="33" s="1"/>
  <c r="AU51" i="33" a="1"/>
  <c r="AU51" i="33" s="1"/>
  <c r="AS79" i="33" a="1"/>
  <c r="AS79" i="33" s="1"/>
  <c r="CC110" i="33" a="1"/>
  <c r="CC110" i="33" s="1"/>
  <c r="AX90" i="33" a="1"/>
  <c r="AX90" i="33" s="1"/>
  <c r="AD140" i="33" a="1"/>
  <c r="AD140" i="33" s="1"/>
  <c r="CC118" i="33" a="1"/>
  <c r="CC118" i="33" s="1"/>
  <c r="AF128" i="33" a="1"/>
  <c r="AF128" i="33" s="1"/>
  <c r="AX60" i="33" a="1"/>
  <c r="AX60" i="33" s="1"/>
  <c r="BR99" i="33" a="1"/>
  <c r="BR99" i="33" s="1"/>
  <c r="CI62" i="33" a="1"/>
  <c r="CI62" i="33" s="1"/>
  <c r="AE124" i="33" a="1"/>
  <c r="AE124" i="33" s="1"/>
  <c r="AN63" i="33" a="1"/>
  <c r="AN63" i="33" s="1"/>
  <c r="CW94" i="33" a="1"/>
  <c r="CW94" i="33" s="1"/>
  <c r="CC149" i="33" a="1"/>
  <c r="CC149" i="33" s="1"/>
  <c r="CD134" i="33" a="1"/>
  <c r="CD134" i="33" s="1"/>
  <c r="CV146" i="33" a="1"/>
  <c r="CV146" i="33" s="1"/>
  <c r="CS119" i="33" a="1"/>
  <c r="CS119" i="33" s="1"/>
  <c r="CB107" i="33" a="1"/>
  <c r="CB107" i="33" s="1"/>
  <c r="AF17" i="33" a="1"/>
  <c r="AF17" i="33" s="1"/>
  <c r="CS88" i="33" a="1"/>
  <c r="CS88" i="33" s="1"/>
  <c r="AN71" i="33" a="1"/>
  <c r="AN71" i="33" s="1"/>
  <c r="AO73" i="33" a="1"/>
  <c r="AO73" i="33" s="1"/>
  <c r="AP50" i="33" a="1"/>
  <c r="AP50" i="33" s="1"/>
  <c r="BN90" i="33" a="1"/>
  <c r="BN90" i="33" s="1"/>
  <c r="AY72" i="33" a="1"/>
  <c r="AY72" i="33" s="1"/>
  <c r="BE80" i="33" a="1"/>
  <c r="BE80" i="33" s="1"/>
  <c r="CL137" i="33" a="1"/>
  <c r="CL137" i="33" s="1"/>
  <c r="CE133" i="33" a="1"/>
  <c r="CE133" i="33" s="1"/>
  <c r="CS140" i="33" a="1"/>
  <c r="CS140" i="33" s="1"/>
  <c r="AY122" i="33" a="1"/>
  <c r="AY122" i="33" s="1"/>
  <c r="CB115" i="33" a="1"/>
  <c r="CB115" i="33" s="1"/>
  <c r="AD96" i="33" a="1"/>
  <c r="AD96" i="33" s="1"/>
  <c r="AO50" i="33" a="1"/>
  <c r="AO50" i="33" s="1"/>
  <c r="CL66" i="33" a="1"/>
  <c r="CL66" i="33" s="1"/>
  <c r="BI63" i="33" a="1"/>
  <c r="BI63" i="33" s="1"/>
  <c r="CJ113" i="33" a="1"/>
  <c r="CJ113" i="33" s="1"/>
  <c r="AY117" i="33" a="1"/>
  <c r="AY117" i="33" s="1"/>
  <c r="BF112" i="33" a="1"/>
  <c r="BF112" i="33" s="1"/>
  <c r="CC139" i="33" a="1"/>
  <c r="CC139" i="33" s="1"/>
  <c r="BR150" i="33" a="1"/>
  <c r="BR150" i="33" s="1"/>
  <c r="AF119" i="33" a="1"/>
  <c r="AF119" i="33" s="1"/>
  <c r="CS63" i="33" a="1"/>
  <c r="CS63" i="33" s="1"/>
  <c r="AL20" i="33" a="1"/>
  <c r="AL20" i="33" s="1"/>
  <c r="AD102" i="33" a="1"/>
  <c r="AD102" i="33" s="1"/>
  <c r="AD26" i="33" a="1"/>
  <c r="AD26" i="33" s="1"/>
  <c r="CJ80" i="33" a="1"/>
  <c r="CJ80" i="33" s="1"/>
  <c r="AN23" i="33" a="1"/>
  <c r="AN23" i="33" s="1"/>
  <c r="AD54" i="33" a="1"/>
  <c r="AD54" i="33" s="1"/>
  <c r="AF116" i="33" a="1"/>
  <c r="AF116" i="33" s="1"/>
  <c r="BP71" i="33" a="1"/>
  <c r="BP71" i="33" s="1"/>
  <c r="CJ88" i="33" a="1"/>
  <c r="CJ88" i="33" s="1"/>
  <c r="BO99" i="33" a="1"/>
  <c r="BO99" i="33" s="1"/>
  <c r="AF56" i="33" a="1"/>
  <c r="AF56" i="33" s="1"/>
  <c r="V74" i="33" a="1"/>
  <c r="V74" i="33" s="1"/>
  <c r="AD76" i="33" a="1"/>
  <c r="AD76" i="33" s="1"/>
  <c r="CE47" i="33" a="1"/>
  <c r="CE47" i="33" s="1"/>
  <c r="CL55" i="33" a="1"/>
  <c r="CL55" i="33" s="1"/>
  <c r="CC85" i="33" a="1"/>
  <c r="CC85" i="33" s="1"/>
  <c r="CC75" i="33" a="1"/>
  <c r="CC75" i="33" s="1"/>
  <c r="BE23" i="33" a="1"/>
  <c r="BE23" i="33" s="1"/>
  <c r="CB16" i="33" a="1"/>
  <c r="CB16" i="33" s="1"/>
  <c r="AX55" i="33" a="1"/>
  <c r="AX55" i="33" s="1"/>
  <c r="CK111" i="33" a="1"/>
  <c r="CK111" i="33" s="1"/>
  <c r="AA158" i="33" a="1"/>
  <c r="AA158" i="33" s="1"/>
  <c r="BY153" i="33" a="1"/>
  <c r="BY153" i="33" s="1"/>
  <c r="AF48" i="33" a="1"/>
  <c r="AF48" i="33" s="1"/>
  <c r="CI35" i="33" a="1"/>
  <c r="CI35" i="33" s="1"/>
  <c r="CI126" i="33" a="1"/>
  <c r="CI126" i="33" s="1"/>
  <c r="CW59" i="33" a="1"/>
  <c r="CW59" i="33" s="1"/>
  <c r="BF78" i="33" a="1"/>
  <c r="BF78" i="33" s="1"/>
  <c r="CI19" i="33" a="1"/>
  <c r="CI19" i="33" s="1"/>
  <c r="CJ117" i="33" a="1"/>
  <c r="CJ117" i="33" s="1"/>
  <c r="AX38" i="33" a="1"/>
  <c r="AX38" i="33" s="1"/>
  <c r="AD37" i="33" a="1"/>
  <c r="AD37" i="33" s="1"/>
  <c r="AY103" i="33" a="1"/>
  <c r="AY103" i="33" s="1"/>
  <c r="CI145" i="33" a="1"/>
  <c r="CI145" i="33" s="1"/>
  <c r="BY23" i="33" a="1"/>
  <c r="BY23" i="33" s="1"/>
  <c r="BI78" i="33" a="1"/>
  <c r="BI78" i="33" s="1"/>
  <c r="CL25" i="33" a="1"/>
  <c r="CL25" i="33" s="1"/>
  <c r="CS47" i="33" a="1"/>
  <c r="CS47" i="33" s="1"/>
  <c r="AK151" i="33" a="1"/>
  <c r="AK151" i="33" s="1"/>
  <c r="AD154" i="33" a="1"/>
  <c r="AD154" i="33" s="1"/>
  <c r="CS28" i="33" a="1"/>
  <c r="CS28" i="33" s="1"/>
  <c r="BS51" i="33" a="1"/>
  <c r="BS51" i="33" s="1"/>
  <c r="BI122" i="33" a="1"/>
  <c r="BI122" i="33" s="1"/>
  <c r="AD130" i="33" a="1"/>
  <c r="AD130" i="33" s="1"/>
  <c r="CV65" i="33" a="1"/>
  <c r="CV65" i="33" s="1"/>
  <c r="AY15" i="33" a="1"/>
  <c r="AY15" i="33" s="1"/>
  <c r="BI18" i="33" a="1"/>
  <c r="BI18" i="33" s="1"/>
  <c r="BR83" i="33" a="1"/>
  <c r="BR83" i="33" s="1"/>
  <c r="CM114" i="33" a="1"/>
  <c r="CM114" i="33" s="1"/>
  <c r="V50" i="33" a="1"/>
  <c r="V50" i="33" s="1"/>
  <c r="CJ85" i="33" a="1"/>
  <c r="CJ85" i="33" s="1"/>
  <c r="CM138" i="33" a="1"/>
  <c r="CM138" i="33" s="1"/>
  <c r="BI148" i="33" a="1"/>
  <c r="BI148" i="33" s="1"/>
  <c r="BY101" i="33" a="1"/>
  <c r="BY101" i="33" s="1"/>
  <c r="AX141" i="33" a="1"/>
  <c r="AX141" i="33" s="1"/>
  <c r="AV130" i="33" a="1"/>
  <c r="AV130" i="33" s="1"/>
  <c r="CS113" i="33" a="1"/>
  <c r="CS113" i="33" s="1"/>
  <c r="CW133" i="33" a="1"/>
  <c r="CW133" i="33" s="1"/>
  <c r="CV102" i="33" a="1"/>
  <c r="CV102" i="33" s="1"/>
  <c r="CS20" i="33" a="1"/>
  <c r="CS20" i="33" s="1"/>
  <c r="CV149" i="33" a="1"/>
  <c r="CV149" i="33" s="1"/>
  <c r="BY157" i="33" a="1"/>
  <c r="BY157" i="33" s="1"/>
  <c r="BY67" i="33" a="1"/>
  <c r="BY67" i="33" s="1"/>
  <c r="BF111" i="33" a="1"/>
  <c r="BF111" i="33" s="1"/>
  <c r="BC154" i="33" a="1"/>
  <c r="BC154" i="33" s="1"/>
  <c r="BF22" i="33" a="1"/>
  <c r="BF22" i="33" s="1"/>
  <c r="BF29" i="33" a="1"/>
  <c r="BF29" i="33" s="1"/>
  <c r="BY159" i="33" a="1"/>
  <c r="BY159" i="33" s="1"/>
  <c r="BE35" i="33" a="1"/>
  <c r="BE35" i="33" s="1"/>
  <c r="CL62" i="33" a="1"/>
  <c r="CL62" i="33" s="1"/>
  <c r="BR103" i="33" a="1"/>
  <c r="BR103" i="33" s="1"/>
  <c r="CC104" i="33" a="1"/>
  <c r="CC104" i="33" s="1"/>
  <c r="AU21" i="33" a="1"/>
  <c r="AU21" i="33" s="1"/>
  <c r="CE154" i="33" a="1"/>
  <c r="CE154" i="33" s="1"/>
  <c r="BX135" i="33" a="1"/>
  <c r="BX135" i="33" s="1"/>
  <c r="BO50" i="33" a="1"/>
  <c r="BO50" i="33" s="1"/>
  <c r="BO152" i="33" a="1"/>
  <c r="BO152" i="33" s="1"/>
  <c r="CR43" i="33" a="1"/>
  <c r="CR43" i="33" s="1"/>
  <c r="AU93" i="33" a="1"/>
  <c r="AU93" i="33" s="1"/>
  <c r="AL117" i="33" a="1"/>
  <c r="AL117" i="33" s="1"/>
  <c r="BE36" i="33" a="1"/>
  <c r="BE36" i="33" s="1"/>
  <c r="BO155" i="33" a="1"/>
  <c r="BO155" i="33" s="1"/>
  <c r="CK82" i="33" a="1"/>
  <c r="CK82" i="33" s="1"/>
  <c r="BY110" i="33" a="1"/>
  <c r="BY110" i="33" s="1"/>
  <c r="CM144" i="33" a="1"/>
  <c r="CM144" i="33" s="1"/>
  <c r="AE131" i="33" a="1"/>
  <c r="AE131" i="33" s="1"/>
  <c r="AB154" i="33" a="1"/>
  <c r="AB154" i="33" s="1"/>
  <c r="AU132" i="33" a="1"/>
  <c r="AU132" i="33" s="1"/>
  <c r="AV65" i="33" a="1"/>
  <c r="AV65" i="33" s="1"/>
  <c r="CK138" i="33" a="1"/>
  <c r="CK138" i="33" s="1"/>
  <c r="CS69" i="33" a="1"/>
  <c r="CS69" i="33" s="1"/>
  <c r="CI154" i="33" a="1"/>
  <c r="CI154" i="33" s="1"/>
  <c r="AK53" i="33" a="1"/>
  <c r="AK53" i="33" s="1"/>
  <c r="BO154" i="33" a="1"/>
  <c r="BO154" i="33" s="1"/>
  <c r="AD122" i="33" a="1"/>
  <c r="AD122" i="33" s="1"/>
  <c r="BS63" i="33" a="1"/>
  <c r="BS63" i="33" s="1"/>
  <c r="AA60" i="33" a="1"/>
  <c r="AA60" i="33" s="1"/>
  <c r="AA16" i="33" a="1"/>
  <c r="AA16" i="33" s="1"/>
  <c r="BO30" i="33" a="1"/>
  <c r="BO30" i="33" s="1"/>
  <c r="AJ37" i="33" a="1"/>
  <c r="AJ37" i="33" s="1"/>
  <c r="BC70" i="33" a="1"/>
  <c r="BC70" i="33" s="1"/>
  <c r="CL131" i="33" a="1"/>
  <c r="CL131" i="33" s="1"/>
  <c r="AU126" i="33" a="1"/>
  <c r="AU126" i="33" s="1"/>
  <c r="AU119" i="33" a="1"/>
  <c r="AU119" i="33" s="1"/>
  <c r="CK16" i="33" a="1"/>
  <c r="CK16" i="33" s="1"/>
  <c r="BE22" i="33" a="1"/>
  <c r="BE22" i="33" s="1"/>
  <c r="CK41" i="33" a="1"/>
  <c r="CK41" i="33" s="1"/>
  <c r="CG138" i="33" a="1"/>
  <c r="CG138" i="33" s="1"/>
  <c r="CV83" i="33" a="1"/>
  <c r="CV83" i="33" s="1"/>
  <c r="AO36" i="33" a="1"/>
  <c r="AO36" i="33" s="1"/>
  <c r="AK75" i="33" a="1"/>
  <c r="AK75" i="33" s="1"/>
  <c r="CI52" i="33" a="1"/>
  <c r="CI52" i="33" s="1"/>
  <c r="BO110" i="33" a="1"/>
  <c r="BO110" i="33" s="1"/>
  <c r="AX57" i="33" a="1"/>
  <c r="AX57" i="33" s="1"/>
  <c r="CV159" i="33" a="1"/>
  <c r="CV159" i="33" s="1"/>
  <c r="AK130" i="33" a="1"/>
  <c r="AK130" i="33" s="1"/>
  <c r="CC145" i="33" a="1"/>
  <c r="CC145" i="33" s="1"/>
  <c r="AT20" i="33" a="1"/>
  <c r="AT20" i="33" s="1"/>
  <c r="BM15" i="33" a="1"/>
  <c r="BM15" i="33" s="1"/>
  <c r="AA108" i="33" a="1"/>
  <c r="AA108" i="33" s="1"/>
  <c r="V83" i="33" a="1"/>
  <c r="V83" i="33" s="1"/>
  <c r="AD21" i="33" a="1"/>
  <c r="AD21" i="33" s="1"/>
  <c r="CM43" i="33" a="1"/>
  <c r="CM43" i="33" s="1"/>
  <c r="AL75" i="33" a="1"/>
  <c r="AL75" i="33" s="1"/>
  <c r="AY116" i="33" a="1"/>
  <c r="AY116" i="33" s="1"/>
  <c r="BO119" i="33" a="1"/>
  <c r="BO119" i="33" s="1"/>
  <c r="AH30" i="33" a="1"/>
  <c r="AH30" i="33" s="1"/>
  <c r="CS131" i="33" a="1"/>
  <c r="CS131" i="33" s="1"/>
  <c r="BI69" i="33" a="1"/>
  <c r="BI69" i="33" s="1"/>
  <c r="AX24" i="33" a="1"/>
  <c r="AX24" i="33" s="1"/>
  <c r="BR154" i="33" a="1"/>
  <c r="BR154" i="33" s="1"/>
  <c r="CL128" i="33" a="1"/>
  <c r="CL128" i="33" s="1"/>
  <c r="BI145" i="33" a="1"/>
  <c r="BI145" i="33" s="1"/>
  <c r="CJ112" i="33" a="1"/>
  <c r="CJ112" i="33" s="1"/>
  <c r="BE89" i="33" a="1"/>
  <c r="BE89" i="33" s="1"/>
  <c r="CJ105" i="33" a="1"/>
  <c r="CJ105" i="33" s="1"/>
  <c r="BI62" i="33" a="1"/>
  <c r="BI62" i="33" s="1"/>
  <c r="CJ84" i="33" a="1"/>
  <c r="CJ84" i="33" s="1"/>
  <c r="CE107" i="33" a="1"/>
  <c r="CE107" i="33" s="1"/>
  <c r="AG130" i="33" a="1"/>
  <c r="AG130" i="33" s="1"/>
  <c r="BR143" i="33" a="1"/>
  <c r="BR143" i="33" s="1"/>
  <c r="CL33" i="33" a="1"/>
  <c r="CL33" i="33" s="1"/>
  <c r="BI80" i="33" a="1"/>
  <c r="BI80" i="33" s="1"/>
  <c r="CE129" i="33" a="1"/>
  <c r="CE129" i="33" s="1"/>
  <c r="BS95" i="33" a="1"/>
  <c r="BS95" i="33" s="1"/>
  <c r="AY24" i="33" a="1"/>
  <c r="AY24" i="33" s="1"/>
  <c r="BS41" i="33" a="1"/>
  <c r="BS41" i="33" s="1"/>
  <c r="BR33" i="33" a="1"/>
  <c r="BR33" i="33" s="1"/>
  <c r="AY48" i="33" a="1"/>
  <c r="AY48" i="33" s="1"/>
  <c r="BP81" i="33" a="1"/>
  <c r="BP81" i="33" s="1"/>
  <c r="AO81" i="33" a="1"/>
  <c r="AO81" i="33" s="1"/>
  <c r="AX144" i="33" a="1"/>
  <c r="AX144" i="33" s="1"/>
  <c r="AG115" i="33" a="1"/>
  <c r="AG115" i="33" s="1"/>
  <c r="AB15" i="33" a="1"/>
  <c r="AB15" i="33" s="1"/>
  <c r="AE62" i="33" a="1"/>
  <c r="AE62" i="33" s="1"/>
  <c r="BI156" i="33" a="1"/>
  <c r="BI156" i="33" s="1"/>
  <c r="AE117" i="33" a="1"/>
  <c r="AE117" i="33" s="1"/>
  <c r="CK134" i="33" a="1"/>
  <c r="CK134" i="33" s="1"/>
  <c r="AY149" i="33" a="1"/>
  <c r="AY149" i="33" s="1"/>
  <c r="CS41" i="33" a="1"/>
  <c r="CS41" i="33" s="1"/>
  <c r="CS80" i="33" a="1"/>
  <c r="CS80" i="33" s="1"/>
  <c r="CI27" i="33" a="1"/>
  <c r="CI27" i="33" s="1"/>
  <c r="AB43" i="33" a="1"/>
  <c r="AB43" i="33" s="1"/>
  <c r="AF115" i="33" a="1"/>
  <c r="AF115" i="33" s="1"/>
  <c r="BP27" i="33" a="1"/>
  <c r="BP27" i="33" s="1"/>
  <c r="CK18" i="33" a="1"/>
  <c r="CK18" i="33" s="1"/>
  <c r="BO24" i="33" a="1"/>
  <c r="BO24" i="33" s="1"/>
  <c r="AO46" i="33" a="1"/>
  <c r="AO46" i="33" s="1"/>
  <c r="CL18" i="33" a="1"/>
  <c r="CL18" i="33" s="1"/>
  <c r="BS157" i="33" a="1"/>
  <c r="BS157" i="33" s="1"/>
  <c r="BS26" i="33" a="1"/>
  <c r="BS26" i="33" s="1"/>
  <c r="AE94" i="33" a="1"/>
  <c r="AE94" i="33" s="1"/>
  <c r="CI64" i="33" a="1"/>
  <c r="CI64" i="33" s="1"/>
  <c r="V85" i="33" a="1"/>
  <c r="V85" i="33" s="1"/>
  <c r="AY44" i="33" a="1"/>
  <c r="AY44" i="33" s="1"/>
  <c r="AY127" i="33" a="1"/>
  <c r="AY127" i="33" s="1"/>
  <c r="CS133" i="33" a="1"/>
  <c r="CS133" i="33" s="1"/>
  <c r="CJ19" i="33" a="1"/>
  <c r="CJ19" i="33" s="1"/>
  <c r="AF25" i="33" a="1"/>
  <c r="AF25" i="33" s="1"/>
  <c r="BI33" i="33" a="1"/>
  <c r="BI33" i="33" s="1"/>
  <c r="AU25" i="33" a="1"/>
  <c r="AU25" i="33" s="1"/>
  <c r="CC127" i="33" a="1"/>
  <c r="CC127" i="33" s="1"/>
  <c r="CJ148" i="33" a="1"/>
  <c r="CJ148" i="33" s="1"/>
  <c r="AA61" i="33" a="1"/>
  <c r="AA61" i="33" s="1"/>
  <c r="AX21" i="33" a="1"/>
  <c r="AX21" i="33" s="1"/>
  <c r="AL138" i="33" a="1"/>
  <c r="AL138" i="33" s="1"/>
  <c r="AN117" i="33" a="1"/>
  <c r="AN117" i="33" s="1"/>
  <c r="BI73" i="33" a="1"/>
  <c r="BI73" i="33" s="1"/>
  <c r="BI103" i="33" a="1"/>
  <c r="BI103" i="33" s="1"/>
  <c r="AP133" i="33" a="1"/>
  <c r="AP133" i="33" s="1"/>
  <c r="BP73" i="33" a="1"/>
  <c r="BP73" i="33" s="1"/>
  <c r="CJ79" i="33" a="1"/>
  <c r="CJ79" i="33" s="1"/>
  <c r="AE70" i="33" a="1"/>
  <c r="AE70" i="33" s="1"/>
  <c r="CB127" i="33" a="1"/>
  <c r="CB127" i="33" s="1"/>
  <c r="AB32" i="33" a="1"/>
  <c r="AB32" i="33" s="1"/>
  <c r="AF14" i="33" a="1"/>
  <c r="AF14" i="33" s="1"/>
  <c r="CJ160" i="33" a="1"/>
  <c r="CJ160" i="33" s="1"/>
  <c r="AL30" i="33" a="1"/>
  <c r="AL30" i="33" s="1"/>
  <c r="AX85" i="33" a="1"/>
  <c r="AX85" i="33" s="1"/>
  <c r="BS44" i="33" a="1"/>
  <c r="BS44" i="33" s="1"/>
  <c r="AD63" i="33" a="1"/>
  <c r="AD63" i="33" s="1"/>
  <c r="BR34" i="33" a="1"/>
  <c r="BR34" i="33" s="1"/>
  <c r="AY70" i="33" a="1"/>
  <c r="AY70" i="33" s="1"/>
  <c r="AP132" i="33" a="1"/>
  <c r="AP132" i="33" s="1"/>
  <c r="AU142" i="33" a="1"/>
  <c r="AU142" i="33" s="1"/>
  <c r="CK78" i="33" a="1"/>
  <c r="CK78" i="33" s="1"/>
  <c r="AU71" i="33" a="1"/>
  <c r="AU71" i="33" s="1"/>
  <c r="AX76" i="33" a="1"/>
  <c r="AX76" i="33" s="1"/>
  <c r="AX126" i="33" a="1"/>
  <c r="AX126" i="33" s="1"/>
  <c r="AL71" i="33" a="1"/>
  <c r="AL71" i="33" s="1"/>
  <c r="BI154" i="33" a="1"/>
  <c r="BI154" i="33" s="1"/>
  <c r="AV14" i="33" a="1"/>
  <c r="AV14" i="33" s="1"/>
  <c r="BS35" i="33" a="1"/>
  <c r="BS35" i="33" s="1"/>
  <c r="CI18" i="33" a="1"/>
  <c r="CI18" i="33" s="1"/>
  <c r="V95" i="33" a="1"/>
  <c r="V95" i="33" s="1"/>
  <c r="W74" i="33" a="1"/>
  <c r="W74" i="33" s="1"/>
  <c r="CB61" i="33" a="1"/>
  <c r="CB61" i="33" s="1"/>
  <c r="AQ152" i="33" a="1"/>
  <c r="AQ152" i="33" s="1"/>
  <c r="AE59" i="33" a="1"/>
  <c r="AE59" i="33" s="1"/>
  <c r="AY159" i="33" a="1"/>
  <c r="AY159" i="33" s="1"/>
  <c r="AE58" i="33" a="1"/>
  <c r="AE58" i="33" s="1"/>
  <c r="CC96" i="33" a="1"/>
  <c r="CC96" i="33" s="1"/>
  <c r="CC148" i="33" a="1"/>
  <c r="CC148" i="33" s="1"/>
  <c r="BR62" i="33" a="1"/>
  <c r="BR62" i="33" s="1"/>
  <c r="AD24" i="33" a="1"/>
  <c r="AD24" i="33" s="1"/>
  <c r="CJ59" i="33" a="1"/>
  <c r="CJ59" i="33" s="1"/>
  <c r="AD35" i="33" a="1"/>
  <c r="AD35" i="33" s="1"/>
  <c r="BO100" i="33" a="1"/>
  <c r="BO100" i="33" s="1"/>
  <c r="AX123" i="33" a="1"/>
  <c r="AX123" i="33" s="1"/>
  <c r="CM50" i="33" a="1"/>
  <c r="CM50" i="33" s="1"/>
  <c r="AL159" i="33" a="1"/>
  <c r="AL159" i="33" s="1"/>
  <c r="AL45" i="33" a="1"/>
  <c r="AL45" i="33" s="1"/>
  <c r="BI125" i="33" a="1"/>
  <c r="BI125" i="33" s="1"/>
  <c r="AO96" i="33" a="1"/>
  <c r="AO96" i="33" s="1"/>
  <c r="AY135" i="33" a="1"/>
  <c r="AY135" i="33" s="1"/>
  <c r="BR53" i="33" a="1"/>
  <c r="BR53" i="33" s="1"/>
  <c r="AL67" i="33" a="1"/>
  <c r="AL67" i="33" s="1"/>
  <c r="BO67" i="33" a="1"/>
  <c r="BO67" i="33" s="1"/>
  <c r="AE160" i="33" a="1"/>
  <c r="AE160" i="33" s="1"/>
  <c r="AX34" i="33" a="1"/>
  <c r="AX34" i="33" s="1"/>
  <c r="CI33" i="33" a="1"/>
  <c r="CI33" i="33" s="1"/>
  <c r="CB154" i="33" a="1"/>
  <c r="CB154" i="33" s="1"/>
  <c r="CV81" i="33" a="1"/>
  <c r="CV81" i="33" s="1"/>
  <c r="BS37" i="33" a="1"/>
  <c r="BS37" i="33" s="1"/>
  <c r="AL125" i="33" a="1"/>
  <c r="AL125" i="33" s="1"/>
  <c r="CM83" i="33" a="1"/>
  <c r="CM83" i="33" s="1"/>
  <c r="CC65" i="33" a="1"/>
  <c r="CC65" i="33" s="1"/>
  <c r="CV45" i="33" a="1"/>
  <c r="CV45" i="33" s="1"/>
  <c r="BO65" i="33" a="1"/>
  <c r="BO65" i="33" s="1"/>
  <c r="BP161" i="33" a="1"/>
  <c r="BP161" i="33" s="1"/>
  <c r="AK61" i="33" a="1"/>
  <c r="AK61" i="33" s="1"/>
  <c r="CJ69" i="33" a="1"/>
  <c r="CJ69" i="33" s="1"/>
  <c r="AU109" i="33" a="1"/>
  <c r="AU109" i="33" s="1"/>
  <c r="BE104" i="33" a="1"/>
  <c r="BE104" i="33" s="1"/>
  <c r="CI136" i="33" a="1"/>
  <c r="CI136" i="33" s="1"/>
  <c r="CM75" i="33" a="1"/>
  <c r="CM75" i="33" s="1"/>
  <c r="AF35" i="33" a="1"/>
  <c r="AF35" i="33" s="1"/>
  <c r="BS90" i="33" a="1"/>
  <c r="BS90" i="33" s="1"/>
  <c r="AU14" i="33" a="1"/>
  <c r="AU14" i="33" s="1"/>
  <c r="BC61" i="33" a="1"/>
  <c r="BC61" i="33" s="1"/>
  <c r="CB65" i="33" a="1"/>
  <c r="CB65" i="33" s="1"/>
  <c r="AF19" i="33" a="1"/>
  <c r="AF19" i="33" s="1"/>
  <c r="V15" i="33" a="1"/>
  <c r="V15" i="33" s="1"/>
  <c r="BR149" i="33" a="1"/>
  <c r="BR149" i="33" s="1"/>
  <c r="AA29" i="33" a="1"/>
  <c r="AA29" i="33" s="1"/>
  <c r="CQ102" i="33" a="1"/>
  <c r="CQ102" i="33" s="1"/>
  <c r="BP18" i="33" a="1"/>
  <c r="BP18" i="33" s="1"/>
  <c r="CV70" i="33" a="1"/>
  <c r="CV70" i="33" s="1"/>
  <c r="AE149" i="33" a="1"/>
  <c r="AE149" i="33" s="1"/>
  <c r="AA14" i="33" a="1"/>
  <c r="AA14" i="33" s="1"/>
  <c r="BC81" i="33" a="1"/>
  <c r="BC81" i="33" s="1"/>
  <c r="CI121" i="33" a="1"/>
  <c r="CI121" i="33" s="1"/>
  <c r="AN58" i="33" a="1"/>
  <c r="AN58" i="33" s="1"/>
  <c r="BE51" i="33" a="1"/>
  <c r="BE51" i="33" s="1"/>
  <c r="BR104" i="33" a="1"/>
  <c r="BR104" i="33" s="1"/>
  <c r="AU49" i="33" a="1"/>
  <c r="AU49" i="33" s="1"/>
  <c r="AK104" i="33" a="1"/>
  <c r="AK104" i="33" s="1"/>
  <c r="AX46" i="33" a="1"/>
  <c r="AX46" i="33" s="1"/>
  <c r="AO38" i="33" a="1"/>
  <c r="AO38" i="33" s="1"/>
  <c r="AD153" i="33" a="1"/>
  <c r="AD153" i="33" s="1"/>
  <c r="V27" i="33" a="1"/>
  <c r="V27" i="33" s="1"/>
  <c r="AY157" i="33" a="1"/>
  <c r="AY157" i="33" s="1"/>
  <c r="AF127" i="33" a="1"/>
  <c r="AF127" i="33" s="1"/>
  <c r="CW52" i="33" a="1"/>
  <c r="CW52" i="33" s="1"/>
  <c r="CI65" i="33" a="1"/>
  <c r="CI65" i="33" s="1"/>
  <c r="CI105" i="33" a="1"/>
  <c r="CI105" i="33" s="1"/>
  <c r="W84" i="33" a="1"/>
  <c r="W84" i="33" s="1"/>
  <c r="CI108" i="33" a="1"/>
  <c r="CI108" i="33" s="1"/>
  <c r="AD88" i="33" a="1"/>
  <c r="AD88" i="33" s="1"/>
  <c r="AX132" i="33" a="1"/>
  <c r="AX132" i="33" s="1"/>
  <c r="AF102" i="33" a="1"/>
  <c r="AF102" i="33" s="1"/>
  <c r="CJ26" i="33" a="1"/>
  <c r="CJ26" i="33" s="1"/>
  <c r="CS32" i="33" a="1"/>
  <c r="CS32" i="33" s="1"/>
  <c r="CJ41" i="33" a="1"/>
  <c r="CJ41" i="33" s="1"/>
  <c r="AE27" i="33" a="1"/>
  <c r="AE27" i="33" s="1"/>
  <c r="AO110" i="33" a="1"/>
  <c r="AO110" i="33" s="1"/>
  <c r="AY33" i="33" a="1"/>
  <c r="AY33" i="33" s="1"/>
  <c r="AD111" i="33" a="1"/>
  <c r="AD111" i="33" s="1"/>
  <c r="AN82" i="33" a="1"/>
  <c r="AN82" i="33" s="1"/>
  <c r="BK75" i="33" a="1"/>
  <c r="BK75" i="33" s="1"/>
  <c r="AF61" i="33" a="1"/>
  <c r="AF61" i="33" s="1"/>
  <c r="CL54" i="33" a="1"/>
  <c r="CL54" i="33" s="1"/>
  <c r="CC42" i="33" a="1"/>
  <c r="CC42" i="33" s="1"/>
  <c r="CW112" i="33" a="1"/>
  <c r="CW112" i="33" s="1"/>
  <c r="CC62" i="33" a="1"/>
  <c r="CC62" i="33" s="1"/>
  <c r="BS47" i="33" a="1"/>
  <c r="BS47" i="33" s="1"/>
  <c r="AE78" i="33" a="1"/>
  <c r="AE78" i="33" s="1"/>
  <c r="CM153" i="33" a="1"/>
  <c r="CM153" i="33" s="1"/>
  <c r="AB120" i="33" a="1"/>
  <c r="AB120" i="33" s="1"/>
  <c r="AL28" i="33" a="1"/>
  <c r="AL28" i="33" s="1"/>
  <c r="AD152" i="33" a="1"/>
  <c r="AD152" i="33" s="1"/>
  <c r="BI113" i="33" a="1"/>
  <c r="BI113" i="33" s="1"/>
  <c r="CM121" i="33" a="1"/>
  <c r="CM121" i="33" s="1"/>
  <c r="AB52" i="33" a="1"/>
  <c r="AB52" i="33" s="1"/>
  <c r="CB85" i="33" a="1"/>
  <c r="CB85" i="33" s="1"/>
  <c r="BI28" i="33" a="1"/>
  <c r="BI28" i="33" s="1"/>
  <c r="BO14" i="33" a="1"/>
  <c r="BO14" i="33" s="1"/>
  <c r="AL154" i="33" a="1"/>
  <c r="AL154" i="33" s="1"/>
  <c r="AN70" i="33" a="1"/>
  <c r="AN70" i="33" s="1"/>
  <c r="CL79" i="33" a="1"/>
  <c r="CL79" i="33" s="1"/>
  <c r="CS130" i="33" a="1"/>
  <c r="CS130" i="33" s="1"/>
  <c r="CB144" i="33" a="1"/>
  <c r="CB144" i="33" s="1"/>
  <c r="AB143" i="33" a="1"/>
  <c r="AB143" i="33" s="1"/>
  <c r="CS33" i="33" a="1"/>
  <c r="CS33" i="33" s="1"/>
  <c r="CJ22" i="33" a="1"/>
  <c r="CJ22" i="33" s="1"/>
  <c r="AY146" i="33" a="1"/>
  <c r="AY146" i="33" s="1"/>
  <c r="CC156" i="33" a="1"/>
  <c r="CC156" i="33" s="1"/>
  <c r="CW147" i="33" a="1"/>
  <c r="CW147" i="33" s="1"/>
  <c r="CL31" i="33" a="1"/>
  <c r="CL31" i="33" s="1"/>
  <c r="CM59" i="33" a="1"/>
  <c r="CM59" i="33" s="1"/>
  <c r="BF46" i="33" a="1"/>
  <c r="BF46" i="33" s="1"/>
  <c r="AN148" i="33" a="1"/>
  <c r="AN148" i="33" s="1"/>
  <c r="AO23" i="33" a="1"/>
  <c r="AO23" i="33" s="1"/>
  <c r="AO145" i="33" a="1"/>
  <c r="AO145" i="33" s="1"/>
  <c r="BS50" i="33" a="1"/>
  <c r="BS50" i="33" s="1"/>
  <c r="AU113" i="33" a="1"/>
  <c r="AU113" i="33" s="1"/>
  <c r="CW49" i="33" a="1"/>
  <c r="CW49" i="33" s="1"/>
  <c r="CL21" i="33" a="1"/>
  <c r="CL21" i="33" s="1"/>
  <c r="BF117" i="33" a="1"/>
  <c r="BF117" i="33" s="1"/>
  <c r="BI115" i="33" a="1"/>
  <c r="BI115" i="33" s="1"/>
  <c r="AD83" i="33" a="1"/>
  <c r="AD83" i="33" s="1"/>
  <c r="BY68" i="33" a="1"/>
  <c r="BY68" i="33" s="1"/>
  <c r="AK136" i="33" a="1"/>
  <c r="AK136" i="33" s="1"/>
  <c r="CJ60" i="33" a="1"/>
  <c r="CJ60" i="33" s="1"/>
  <c r="AF129" i="33" a="1"/>
  <c r="AF129" i="33" s="1"/>
  <c r="AK84" i="33" a="1"/>
  <c r="AK84" i="33" s="1"/>
  <c r="AK50" i="33" a="1"/>
  <c r="AK50" i="33" s="1"/>
  <c r="AX127" i="33" a="1"/>
  <c r="AX127" i="33" s="1"/>
  <c r="AU135" i="33" a="1"/>
  <c r="AU135" i="33" s="1"/>
  <c r="AL158" i="33" a="1"/>
  <c r="AL158" i="33" s="1"/>
  <c r="AU90" i="33" a="1"/>
  <c r="AU90" i="33" s="1"/>
  <c r="AY40" i="33" a="1"/>
  <c r="AY40" i="33" s="1"/>
  <c r="BO55" i="33" a="1"/>
  <c r="BO55" i="33" s="1"/>
  <c r="CK75" i="33" a="1"/>
  <c r="CK75" i="33" s="1"/>
  <c r="AE21" i="33" a="1"/>
  <c r="AE21" i="33" s="1"/>
  <c r="AO131" i="33" a="1"/>
  <c r="AO131" i="33" s="1"/>
  <c r="AD110" i="33" a="1"/>
  <c r="AD110" i="33" s="1"/>
  <c r="AF94" i="33" a="1"/>
  <c r="AF94" i="33" s="1"/>
  <c r="BO70" i="33" a="1"/>
  <c r="BO70" i="33" s="1"/>
  <c r="BR109" i="33" a="1"/>
  <c r="BR109" i="33" s="1"/>
  <c r="CW110" i="33" a="1"/>
  <c r="CW110" i="33" s="1"/>
  <c r="CJ30" i="33" a="1"/>
  <c r="CJ30" i="33" s="1"/>
  <c r="BF106" i="33" a="1"/>
  <c r="BF106" i="33" s="1"/>
  <c r="CV108" i="33" a="1"/>
  <c r="CV108" i="33" s="1"/>
  <c r="CM36" i="33" a="1"/>
  <c r="CM36" i="33" s="1"/>
  <c r="BI22" i="33" a="1"/>
  <c r="BI22" i="33" s="1"/>
  <c r="CB28" i="33" a="1"/>
  <c r="CB28" i="33" s="1"/>
  <c r="AL150" i="33" a="1"/>
  <c r="AL150" i="33" s="1"/>
  <c r="CV136" i="33" a="1"/>
  <c r="CV136" i="33" s="1"/>
  <c r="CW34" i="33" a="1"/>
  <c r="CW34" i="33" s="1"/>
  <c r="AD120" i="33" a="1"/>
  <c r="AD120" i="33" s="1"/>
  <c r="AE72" i="33" a="1"/>
  <c r="AE72" i="33" s="1"/>
  <c r="AU115" i="33" a="1"/>
  <c r="AU115" i="33" s="1"/>
  <c r="CL61" i="33" a="1"/>
  <c r="CL61" i="33" s="1"/>
  <c r="CR14" i="33" a="1"/>
  <c r="CR14" i="33" s="1"/>
  <c r="AE39" i="33" a="1"/>
  <c r="AE39" i="33" s="1"/>
  <c r="AU94" i="33" a="1"/>
  <c r="AU94" i="33" s="1"/>
  <c r="CQ119" i="33" a="1"/>
  <c r="CQ119" i="33" s="1"/>
  <c r="AA57" i="33" a="1"/>
  <c r="AA57" i="33" s="1"/>
  <c r="AU131" i="33" a="1"/>
  <c r="AU131" i="33" s="1"/>
  <c r="AS53" i="33" a="1"/>
  <c r="AS53" i="33" s="1"/>
  <c r="AK103" i="33" a="1"/>
  <c r="AK103" i="33" s="1"/>
  <c r="CI116" i="33" a="1"/>
  <c r="CI116" i="33" s="1"/>
  <c r="CL85" i="33" a="1"/>
  <c r="CL85" i="33" s="1"/>
  <c r="CV15" i="33" a="1"/>
  <c r="CV15" i="33" s="1"/>
  <c r="AX104" i="33" a="1"/>
  <c r="AX104" i="33" s="1"/>
  <c r="AD74" i="33" a="1"/>
  <c r="AD74" i="33" s="1"/>
  <c r="AN135" i="33" a="1"/>
  <c r="AN135" i="33" s="1"/>
  <c r="AU69" i="33" a="1"/>
  <c r="AU69" i="33" s="1"/>
  <c r="CH120" i="33" a="1"/>
  <c r="CH120" i="33" s="1"/>
  <c r="BS15" i="33" a="1"/>
  <c r="BS15" i="33" s="1"/>
  <c r="BO150" i="33" a="1"/>
  <c r="BO150" i="33" s="1"/>
  <c r="AL37" i="33" a="1"/>
  <c r="AL37" i="33" s="1"/>
  <c r="BC159" i="33" a="1"/>
  <c r="BC159" i="33" s="1"/>
  <c r="AU35" i="33" a="1"/>
  <c r="AU35" i="33" s="1"/>
  <c r="AD53" i="33" a="1"/>
  <c r="AD53" i="33" s="1"/>
  <c r="AU66" i="33" a="1"/>
  <c r="AU66" i="33" s="1"/>
  <c r="BE131" i="33" a="1"/>
  <c r="BE131" i="33" s="1"/>
  <c r="CK145" i="33" a="1"/>
  <c r="CK145" i="33" s="1"/>
  <c r="AA31" i="33" a="1"/>
  <c r="AA31" i="33" s="1"/>
  <c r="BZ101" i="33" a="1"/>
  <c r="BZ101" i="33" s="1"/>
  <c r="AU133" i="33" a="1"/>
  <c r="AU133" i="33" s="1"/>
  <c r="AE25" i="33" a="1"/>
  <c r="AE25" i="33" s="1"/>
  <c r="AK56" i="33" a="1"/>
  <c r="AK56" i="33" s="1"/>
  <c r="AX89" i="33" a="1"/>
  <c r="AX89" i="33" s="1"/>
  <c r="CS61" i="33" a="1"/>
  <c r="CS61" i="33" s="1"/>
  <c r="AL46" i="33" a="1"/>
  <c r="AL46" i="33" s="1"/>
  <c r="CV118" i="33" a="1"/>
  <c r="CV118" i="33" s="1"/>
  <c r="BS101" i="33" a="1"/>
  <c r="BS101" i="33" s="1"/>
  <c r="CK84" i="33" a="1"/>
  <c r="CK84" i="33" s="1"/>
  <c r="AU129" i="33" a="1"/>
  <c r="AU129" i="33" s="1"/>
  <c r="BS111" i="33" a="1"/>
  <c r="BS111" i="33" s="1"/>
  <c r="BR27" i="33" a="1"/>
  <c r="BR27" i="33" s="1"/>
  <c r="BM43" i="33" a="1"/>
  <c r="BM43" i="33" s="1"/>
  <c r="BF144" i="33" a="1"/>
  <c r="BF144" i="33" s="1"/>
  <c r="BO28" i="33" a="1"/>
  <c r="BO28" i="33" s="1"/>
  <c r="CK39" i="33" a="1"/>
  <c r="CK39" i="33" s="1"/>
  <c r="CL53" i="33" a="1"/>
  <c r="CL53" i="33" s="1"/>
  <c r="AE125" i="33" a="1"/>
  <c r="AE125" i="33" s="1"/>
  <c r="BX59" i="33" a="1"/>
  <c r="BX59" i="33" s="1"/>
  <c r="CQ95" i="33" a="1"/>
  <c r="CQ95" i="33" s="1"/>
  <c r="AE141" i="33" a="1"/>
  <c r="AE141" i="33" s="1"/>
  <c r="BE84" i="33" a="1"/>
  <c r="BE84" i="33" s="1"/>
  <c r="AK60" i="33" a="1"/>
  <c r="AK60" i="33" s="1"/>
  <c r="CK35" i="33" a="1"/>
  <c r="CK35" i="33" s="1"/>
  <c r="BE14" i="33" a="1"/>
  <c r="BE14" i="33" s="1"/>
  <c r="BD27" i="33" a="1"/>
  <c r="BD27" i="33" s="1"/>
  <c r="CS83" i="33" a="1"/>
  <c r="CS83" i="33" s="1"/>
  <c r="CL58" i="33" a="1"/>
  <c r="CL58" i="33" s="1"/>
  <c r="AU28" i="33" a="1"/>
  <c r="AU28" i="33" s="1"/>
  <c r="AA135" i="33" a="1"/>
  <c r="AA135" i="33" s="1"/>
  <c r="AK102" i="33" a="1"/>
  <c r="AK102" i="33" s="1"/>
  <c r="BY102" i="33" a="1"/>
  <c r="BY102" i="33" s="1"/>
  <c r="AK126" i="33" a="1"/>
  <c r="AK126" i="33" s="1"/>
  <c r="CV91" i="33" a="1"/>
  <c r="CV91" i="33" s="1"/>
  <c r="BY130" i="33" a="1"/>
  <c r="BY130" i="33" s="1"/>
  <c r="BE27" i="33" a="1"/>
  <c r="BE27" i="33" s="1"/>
  <c r="BC59" i="33" a="1"/>
  <c r="BC59" i="33" s="1"/>
  <c r="AJ38" i="33" a="1"/>
  <c r="AJ38" i="33" s="1"/>
  <c r="AA137" i="33" a="1"/>
  <c r="AA137" i="33" s="1"/>
  <c r="BR14" i="33" a="1"/>
  <c r="BR14" i="33" s="1"/>
  <c r="BY58" i="33" a="1"/>
  <c r="BY58" i="33" s="1"/>
  <c r="AA136" i="33" a="1"/>
  <c r="AA136" i="33" s="1"/>
  <c r="BE24" i="33" a="1"/>
  <c r="BE24" i="33" s="1"/>
  <c r="CW41" i="33" a="1"/>
  <c r="CW41" i="33" s="1"/>
  <c r="V137" i="33" a="1"/>
  <c r="V137" i="33" s="1"/>
  <c r="CV82" i="33" a="1"/>
  <c r="CV82" i="33" s="1"/>
  <c r="CB86" i="33" a="1"/>
  <c r="CB86" i="33" s="1"/>
  <c r="CL52" i="33" a="1"/>
  <c r="CL52" i="33" s="1"/>
  <c r="CV39" i="33" a="1"/>
  <c r="CV39" i="33" s="1"/>
  <c r="BS81" i="33" a="1"/>
  <c r="BS81" i="33" s="1"/>
  <c r="AN157" i="33" a="1"/>
  <c r="AN157" i="33" s="1"/>
  <c r="AU33" i="33" a="1"/>
  <c r="AU33" i="33" s="1"/>
  <c r="CK66" i="33" a="1"/>
  <c r="CK66" i="33" s="1"/>
  <c r="AV128" i="33" a="1"/>
  <c r="AV128" i="33" s="1"/>
  <c r="AE22" i="33" a="1"/>
  <c r="AE22" i="33" s="1"/>
  <c r="BF44" i="33" a="1"/>
  <c r="BF44" i="33" s="1"/>
  <c r="AA101" i="33" a="1"/>
  <c r="AA101" i="33" s="1"/>
  <c r="AK107" i="33" a="1"/>
  <c r="AK107" i="33" s="1"/>
  <c r="BE19" i="33" a="1"/>
  <c r="BE19" i="33" s="1"/>
  <c r="BS48" i="33" a="1"/>
  <c r="BS48" i="33" s="1"/>
  <c r="CK102" i="33" a="1"/>
  <c r="CK102" i="33" s="1"/>
  <c r="CW134" i="33" a="1"/>
  <c r="CW134" i="33" s="1"/>
  <c r="AA105" i="33" a="1"/>
  <c r="AA105" i="33" s="1"/>
  <c r="AU83" i="33" a="1"/>
  <c r="AU83" i="33" s="1"/>
  <c r="AA149" i="33" a="1"/>
  <c r="AA149" i="33" s="1"/>
  <c r="CL133" i="33" a="1"/>
  <c r="CL133" i="33" s="1"/>
  <c r="AU146" i="33" a="1"/>
  <c r="AU146" i="33" s="1"/>
  <c r="CJ136" i="33" a="1"/>
  <c r="CJ136" i="33" s="1"/>
  <c r="CK72" i="33" a="1"/>
  <c r="CK72" i="33" s="1"/>
  <c r="BD115" i="33" a="1"/>
  <c r="BD115" i="33" s="1"/>
  <c r="BP67" i="33" a="1"/>
  <c r="BP67" i="33" s="1"/>
  <c r="CI78" i="33" a="1"/>
  <c r="CI78" i="33" s="1"/>
  <c r="AB130" i="33" a="1"/>
  <c r="AB130" i="33" s="1"/>
  <c r="AY123" i="33" a="1"/>
  <c r="AY123" i="33" s="1"/>
  <c r="BR139" i="33" a="1"/>
  <c r="BR139" i="33" s="1"/>
  <c r="CI93" i="33" a="1"/>
  <c r="CI93" i="33" s="1"/>
  <c r="BN76" i="33" a="1"/>
  <c r="BN76" i="33" s="1"/>
  <c r="AN26" i="33" a="1"/>
  <c r="AN26" i="33" s="1"/>
  <c r="BO160" i="33" a="1"/>
  <c r="BO160" i="33" s="1"/>
  <c r="CS147" i="33" a="1"/>
  <c r="CS147" i="33" s="1"/>
  <c r="CK122" i="33" a="1"/>
  <c r="CK122" i="33" s="1"/>
  <c r="CJ76" i="33" a="1"/>
  <c r="CJ76" i="33" s="1"/>
  <c r="AB62" i="33" a="1"/>
  <c r="AB62" i="33" s="1"/>
  <c r="CJ125" i="33" a="1"/>
  <c r="CJ125" i="33" s="1"/>
  <c r="BY90" i="33" a="1"/>
  <c r="BY90" i="33" s="1"/>
  <c r="AF110" i="33" a="1"/>
  <c r="AF110" i="33" s="1"/>
  <c r="BI159" i="33" a="1"/>
  <c r="BI159" i="33" s="1"/>
  <c r="BF69" i="33" a="1"/>
  <c r="BF69" i="33" s="1"/>
  <c r="CV153" i="33" a="1"/>
  <c r="CV153" i="33" s="1"/>
  <c r="BF155" i="33" a="1"/>
  <c r="BF155" i="33" s="1"/>
  <c r="CI127" i="33" a="1"/>
  <c r="CI127" i="33" s="1"/>
  <c r="AU41" i="33" a="1"/>
  <c r="AU41" i="33" s="1"/>
  <c r="CV68" i="33" a="1"/>
  <c r="CV68" i="33" s="1"/>
  <c r="CL63" i="33" a="1"/>
  <c r="CL63" i="33" s="1"/>
  <c r="CJ77" i="33" a="1"/>
  <c r="CJ77" i="33" s="1"/>
  <c r="BX127" i="33" a="1"/>
  <c r="BX127" i="33" s="1"/>
  <c r="CK74" i="33" a="1"/>
  <c r="CK74" i="33" s="1"/>
  <c r="AU145" i="33" a="1"/>
  <c r="AU145" i="33" s="1"/>
  <c r="CV145" i="33" a="1"/>
  <c r="CV145" i="33" s="1"/>
  <c r="AU95" i="33" a="1"/>
  <c r="AU95" i="33" s="1"/>
  <c r="CS112" i="33" a="1"/>
  <c r="CS112" i="33" s="1"/>
  <c r="AA106" i="33" a="1"/>
  <c r="AA106" i="33" s="1"/>
  <c r="CW124" i="33" a="1"/>
  <c r="CW124" i="33" s="1"/>
  <c r="CL102" i="33" a="1"/>
  <c r="CL102" i="33" s="1"/>
  <c r="AO87" i="33" a="1"/>
  <c r="AO87" i="33" s="1"/>
  <c r="BF153" i="33" a="1"/>
  <c r="BF153" i="33" s="1"/>
  <c r="BY27" i="33" a="1"/>
  <c r="BY27" i="33" s="1"/>
  <c r="CV134" i="33" a="1"/>
  <c r="CV134" i="33" s="1"/>
  <c r="BO52" i="33" a="1"/>
  <c r="BO52" i="33" s="1"/>
  <c r="AA48" i="33" a="1"/>
  <c r="AA48" i="33" s="1"/>
  <c r="CK81" i="33" a="1"/>
  <c r="CK81" i="33" s="1"/>
  <c r="BE26" i="33" a="1"/>
  <c r="BE26" i="33" s="1"/>
  <c r="BZ149" i="33" a="1"/>
  <c r="BZ149" i="33" s="1"/>
  <c r="BF148" i="33" a="1"/>
  <c r="BF148" i="33" s="1"/>
  <c r="AU160" i="33" a="1"/>
  <c r="AU160" i="33" s="1"/>
  <c r="BY38" i="33" a="1"/>
  <c r="BY38" i="33" s="1"/>
  <c r="BR67" i="33" a="1"/>
  <c r="BR67" i="33" s="1"/>
  <c r="BE55" i="33" a="1"/>
  <c r="BE55" i="33" s="1"/>
  <c r="BI43" i="33" a="1"/>
  <c r="BI43" i="33" s="1"/>
  <c r="AU55" i="33" a="1"/>
  <c r="AU55" i="33" s="1"/>
  <c r="AX129" i="33" a="1"/>
  <c r="AX129" i="33" s="1"/>
  <c r="AU149" i="33" a="1"/>
  <c r="AU149" i="33" s="1"/>
  <c r="CV42" i="33" a="1"/>
  <c r="CV42" i="33" s="1"/>
  <c r="BX19" i="33" a="1"/>
  <c r="BX19" i="33" s="1"/>
  <c r="AD41" i="33" a="1"/>
  <c r="AD41" i="33" s="1"/>
  <c r="BY57" i="33" a="1"/>
  <c r="BY57" i="33" s="1"/>
  <c r="BE78" i="33" a="1"/>
  <c r="BE78" i="33" s="1"/>
  <c r="CQ130" i="33" a="1"/>
  <c r="CQ130" i="33" s="1"/>
  <c r="AU97" i="33" a="1"/>
  <c r="AU97" i="33" s="1"/>
  <c r="CL39" i="33" a="1"/>
  <c r="CL39" i="33" s="1"/>
  <c r="AA132" i="33" a="1"/>
  <c r="AA132" i="33" s="1"/>
  <c r="BY151" i="33" a="1"/>
  <c r="BY151" i="33" s="1"/>
  <c r="AK52" i="33" a="1"/>
  <c r="AK52" i="33" s="1"/>
  <c r="CV85" i="33" a="1"/>
  <c r="CV85" i="33" s="1"/>
  <c r="CC119" i="33" a="1"/>
  <c r="CC119" i="33" s="1"/>
  <c r="AU141" i="33" a="1"/>
  <c r="AU141" i="33" s="1"/>
  <c r="AE67" i="33" a="1"/>
  <c r="AE67" i="33" s="1"/>
  <c r="BW54" i="33" a="1"/>
  <c r="BW54" i="33" s="1"/>
  <c r="AO127" i="33" a="1"/>
  <c r="AO127" i="33" s="1"/>
  <c r="BZ133" i="33" a="1"/>
  <c r="BZ133" i="33" s="1"/>
  <c r="BZ58" i="33" a="1"/>
  <c r="BZ58" i="33" s="1"/>
  <c r="V127" i="33" a="1"/>
  <c r="V127" i="33" s="1"/>
  <c r="BR22" i="33" a="1"/>
  <c r="BR22" i="33" s="1"/>
  <c r="CT155" i="33" a="1"/>
  <c r="CT155" i="33" s="1"/>
  <c r="CK56" i="33" a="1"/>
  <c r="CK56" i="33" s="1"/>
  <c r="BO68" i="33" a="1"/>
  <c r="BO68" i="33" s="1"/>
  <c r="AD85" i="33" a="1"/>
  <c r="AD85" i="33" s="1"/>
  <c r="AA77" i="33" a="1"/>
  <c r="AA77" i="33" s="1"/>
  <c r="BM77" i="33" a="1"/>
  <c r="BM77" i="33" s="1"/>
  <c r="BS120" i="33" a="1"/>
  <c r="BS120" i="33" s="1"/>
  <c r="Z129" i="33" a="1"/>
  <c r="Z129" i="33" s="1"/>
  <c r="BF39" i="33" a="1"/>
  <c r="BF39" i="33" s="1"/>
  <c r="BS146" i="33" a="1"/>
  <c r="BS146" i="33" s="1"/>
  <c r="AL130" i="33" a="1"/>
  <c r="AL130" i="33" s="1"/>
  <c r="BY135" i="33" a="1"/>
  <c r="BY135" i="33" s="1"/>
  <c r="BY44" i="33" a="1"/>
  <c r="BY44" i="33" s="1"/>
  <c r="AE114" i="33" a="1"/>
  <c r="AE114" i="33" s="1"/>
  <c r="CC23" i="33" a="1"/>
  <c r="CC23" i="33" s="1"/>
  <c r="BO77" i="33" a="1"/>
  <c r="BO77" i="33" s="1"/>
  <c r="AK34" i="33" a="1"/>
  <c r="AK34" i="33" s="1"/>
  <c r="BR152" i="33" a="1"/>
  <c r="BR152" i="33" s="1"/>
  <c r="Z42" i="33" a="1"/>
  <c r="Z42" i="33" s="1"/>
  <c r="BY129" i="33" a="1"/>
  <c r="BY129" i="33" s="1"/>
  <c r="AL54" i="33" a="1"/>
  <c r="AL54" i="33" s="1"/>
  <c r="CT90" i="33" a="1"/>
  <c r="CT90" i="33" s="1"/>
  <c r="AD64" i="33" a="1"/>
  <c r="AD64" i="33" s="1"/>
  <c r="CI120" i="33" a="1"/>
  <c r="CI120" i="33" s="1"/>
  <c r="CS146" i="33" a="1"/>
  <c r="CS146" i="33" s="1"/>
  <c r="CK52" i="33" a="1"/>
  <c r="CK52" i="33" s="1"/>
  <c r="CV56" i="33" a="1"/>
  <c r="CV56" i="33" s="1"/>
  <c r="CS132" i="33" a="1"/>
  <c r="CS132" i="33" s="1"/>
  <c r="CB98" i="33" a="1"/>
  <c r="CB98" i="33" s="1"/>
  <c r="CI61" i="33" a="1"/>
  <c r="CI61" i="33" s="1"/>
  <c r="BE144" i="33" a="1"/>
  <c r="BE144" i="33" s="1"/>
  <c r="AD86" i="33" a="1"/>
  <c r="AD86" i="33" s="1"/>
  <c r="BY149" i="33" a="1"/>
  <c r="BY149" i="33" s="1"/>
  <c r="CS73" i="33" a="1"/>
  <c r="CS73" i="33" s="1"/>
  <c r="AX135" i="33" a="1"/>
  <c r="AX135" i="33" s="1"/>
  <c r="AA34" i="33" a="1"/>
  <c r="AA34" i="33" s="1"/>
  <c r="V52" i="33" a="1"/>
  <c r="V52" i="33" s="1"/>
  <c r="CJ40" i="33" a="1"/>
  <c r="CJ40" i="33" s="1"/>
  <c r="AX121" i="33" a="1"/>
  <c r="AX121" i="33" s="1"/>
  <c r="AK46" i="33" a="1"/>
  <c r="AK46" i="33" s="1"/>
  <c r="BC49" i="33" a="1"/>
  <c r="BC49" i="33" s="1"/>
  <c r="BO61" i="33" a="1"/>
  <c r="BO61" i="33" s="1"/>
  <c r="BS152" i="33" a="1"/>
  <c r="BS152" i="33" s="1"/>
  <c r="AK89" i="33" a="1"/>
  <c r="AK89" i="33" s="1"/>
  <c r="BO49" i="33" a="1"/>
  <c r="BO49" i="33" s="1"/>
  <c r="AL49" i="33" a="1"/>
  <c r="AL49" i="33" s="1"/>
  <c r="BZ67" i="33" a="1"/>
  <c r="BZ67" i="33" s="1"/>
  <c r="BF152" i="33" a="1"/>
  <c r="BF152" i="33" s="1"/>
  <c r="AA71" i="33" a="1"/>
  <c r="AA71" i="33" s="1"/>
  <c r="BE120" i="33" a="1"/>
  <c r="BE120" i="33" s="1"/>
  <c r="AA37" i="33" a="1"/>
  <c r="AA37" i="33" s="1"/>
  <c r="BO58" i="33" a="1"/>
  <c r="BO58" i="33" s="1"/>
  <c r="BY156" i="33" a="1"/>
  <c r="BY156" i="33" s="1"/>
  <c r="AA116" i="33" a="1"/>
  <c r="AA116" i="33" s="1"/>
  <c r="AX156" i="33" a="1"/>
  <c r="AX156" i="33" s="1"/>
  <c r="CJ159" i="33" a="1"/>
  <c r="CJ159" i="33" s="1"/>
  <c r="CE102" i="33" a="1"/>
  <c r="CE102" i="33" s="1"/>
  <c r="CR59" i="33" a="1"/>
  <c r="CR59" i="33" s="1"/>
  <c r="BW118" i="33" a="1"/>
  <c r="BW118" i="33" s="1"/>
  <c r="AS24" i="33" a="1"/>
  <c r="AS24" i="33" s="1"/>
  <c r="AO161" i="33" a="1"/>
  <c r="AO161" i="33" s="1"/>
  <c r="CV109" i="33" a="1"/>
  <c r="CV109" i="33" s="1"/>
  <c r="AK117" i="33" a="1"/>
  <c r="AK117" i="33" s="1"/>
  <c r="BE150" i="33" a="1"/>
  <c r="BE150" i="33" s="1"/>
  <c r="BE114" i="33" a="1"/>
  <c r="BE114" i="33" s="1"/>
  <c r="AK152" i="33" a="1"/>
  <c r="AK152" i="33" s="1"/>
  <c r="CV72" i="33" a="1"/>
  <c r="CV72" i="33" s="1"/>
  <c r="CB47" i="33" a="1"/>
  <c r="CB47" i="33" s="1"/>
  <c r="CR161" i="33" a="1"/>
  <c r="CR161" i="33" s="1"/>
  <c r="AL128" i="33" a="1"/>
  <c r="AL128" i="33" s="1"/>
  <c r="BE121" i="33" a="1"/>
  <c r="BE121" i="33" s="1"/>
  <c r="BE42" i="33" a="1"/>
  <c r="BE42" i="33" s="1"/>
  <c r="AU23" i="33" a="1"/>
  <c r="AU23" i="33" s="1"/>
  <c r="BW134" i="33" a="1"/>
  <c r="BW134" i="33" s="1"/>
  <c r="BI34" i="33" a="1"/>
  <c r="BI34" i="33" s="1"/>
  <c r="BE60" i="33" a="1"/>
  <c r="BE60" i="33" s="1"/>
  <c r="CK64" i="33" a="1"/>
  <c r="CK64" i="33" s="1"/>
  <c r="AU101" i="33" a="1"/>
  <c r="AU101" i="33" s="1"/>
  <c r="CS15" i="33" a="1"/>
  <c r="CS15" i="33" s="1"/>
  <c r="AK111" i="33" a="1"/>
  <c r="AK111" i="33" s="1"/>
  <c r="BZ69" i="33" a="1"/>
  <c r="BZ69" i="33" s="1"/>
  <c r="BS128" i="33" a="1"/>
  <c r="BS128" i="33" s="1"/>
  <c r="BP131" i="33" a="1"/>
  <c r="BP131" i="33" s="1"/>
  <c r="CV142" i="33" a="1"/>
  <c r="CV142" i="33" s="1"/>
  <c r="CR105" i="33" a="1"/>
  <c r="CR105" i="33" s="1"/>
  <c r="BR36" i="33" a="1"/>
  <c r="BR36" i="33" s="1"/>
  <c r="CK58" i="33" a="1"/>
  <c r="CK58" i="33" s="1"/>
  <c r="BZ97" i="33" a="1"/>
  <c r="BZ97" i="33" s="1"/>
  <c r="CC151" i="33" a="1"/>
  <c r="CC151" i="33" s="1"/>
  <c r="BE112" i="33" a="1"/>
  <c r="BE112" i="33" s="1"/>
  <c r="AD149" i="33" a="1"/>
  <c r="AD149" i="33" s="1"/>
  <c r="AU148" i="33" a="1"/>
  <c r="AU148" i="33" s="1"/>
  <c r="CV89" i="33" a="1"/>
  <c r="CV89" i="33" s="1"/>
  <c r="CS109" i="33" a="1"/>
  <c r="CS109" i="33" s="1"/>
  <c r="AT75" i="33" a="1"/>
  <c r="AT75" i="33" s="1"/>
  <c r="CJ31" i="33" a="1"/>
  <c r="CJ31" i="33" s="1"/>
  <c r="BE73" i="33" a="1"/>
  <c r="BE73" i="33" s="1"/>
  <c r="BO57" i="33" a="1"/>
  <c r="BO57" i="33" s="1"/>
  <c r="BY37" i="33" a="1"/>
  <c r="BY37" i="33" s="1"/>
  <c r="CK34" i="33" a="1"/>
  <c r="CK34" i="33" s="1"/>
  <c r="CW95" i="33" a="1"/>
  <c r="CW95" i="33" s="1"/>
  <c r="CK68" i="33" a="1"/>
  <c r="CK68" i="33" s="1"/>
  <c r="AK25" i="33" a="1"/>
  <c r="AK25" i="33" s="1"/>
  <c r="CJ141" i="33" a="1"/>
  <c r="CJ141" i="33" s="1"/>
  <c r="BY147" i="33" a="1"/>
  <c r="BY147" i="33" s="1"/>
  <c r="BF122" i="33" a="1"/>
  <c r="BF122" i="33" s="1"/>
  <c r="BW75" i="33" a="1"/>
  <c r="BW75" i="33" s="1"/>
  <c r="BR159" i="33" a="1"/>
  <c r="BR159" i="33" s="1"/>
  <c r="BM23" i="33" a="1"/>
  <c r="BM23" i="33" s="1"/>
  <c r="CJ53" i="33" a="1"/>
  <c r="CJ53" i="33" s="1"/>
  <c r="CS53" i="33" a="1"/>
  <c r="CS53" i="33" s="1"/>
  <c r="BE39" i="33" a="1"/>
  <c r="BE39" i="33" s="1"/>
  <c r="Z125" i="33" a="1"/>
  <c r="Z125" i="33" s="1"/>
  <c r="BY36" i="33" a="1"/>
  <c r="BY36" i="33" s="1"/>
  <c r="BE34" i="33" a="1"/>
  <c r="BE34" i="33" s="1"/>
  <c r="AV148" i="33" a="1"/>
  <c r="AV148" i="33" s="1"/>
  <c r="CS137" i="33" a="1"/>
  <c r="CS137" i="33" s="1"/>
  <c r="BX79" i="33" a="1"/>
  <c r="BX79" i="33" s="1"/>
  <c r="BC56" i="33" a="1"/>
  <c r="BC56" i="33" s="1"/>
  <c r="BY74" i="33" a="1"/>
  <c r="BY74" i="33" s="1"/>
  <c r="CL43" i="33" a="1"/>
  <c r="CL43" i="33" s="1"/>
  <c r="CS27" i="33" a="1"/>
  <c r="CS27" i="33" s="1"/>
  <c r="CS50" i="33" a="1"/>
  <c r="CS50" i="33" s="1"/>
  <c r="AV81" i="33" a="1"/>
  <c r="AV81" i="33" s="1"/>
  <c r="CL119" i="33" a="1"/>
  <c r="CL119" i="33" s="1"/>
  <c r="CJ155" i="33" a="1"/>
  <c r="CJ155" i="33" s="1"/>
  <c r="AK90" i="33" a="1"/>
  <c r="AK90" i="33" s="1"/>
  <c r="AT135" i="33" a="1"/>
  <c r="AT135" i="33" s="1"/>
  <c r="AA157" i="33" a="1"/>
  <c r="AA157" i="33" s="1"/>
  <c r="BO21" i="33" a="1"/>
  <c r="BO21" i="33" s="1"/>
  <c r="BF127" i="33" a="1"/>
  <c r="BF127" i="33" s="1"/>
  <c r="CJ107" i="33" a="1"/>
  <c r="CJ107" i="33" s="1"/>
  <c r="BR122" i="33" a="1"/>
  <c r="BR122" i="33" s="1"/>
  <c r="AU87" i="33" a="1"/>
  <c r="AU87" i="33" s="1"/>
  <c r="BE99" i="33" a="1"/>
  <c r="BE99" i="33" s="1"/>
  <c r="BW139" i="33" a="1"/>
  <c r="BW139" i="33" s="1"/>
  <c r="CJ153" i="33" a="1"/>
  <c r="CJ153" i="33" s="1"/>
  <c r="BE32" i="33" a="1"/>
  <c r="BE32" i="33" s="1"/>
  <c r="BY98" i="33" a="1"/>
  <c r="BY98" i="33" s="1"/>
  <c r="AK134" i="33" a="1"/>
  <c r="AK134" i="33" s="1"/>
  <c r="AX72" i="33" a="1"/>
  <c r="AX72" i="33" s="1"/>
  <c r="CK57" i="33" a="1"/>
  <c r="CK57" i="33" s="1"/>
  <c r="CV131" i="33" a="1"/>
  <c r="CV131" i="33" s="1"/>
  <c r="BO148" i="33" a="1"/>
  <c r="BO148" i="33" s="1"/>
  <c r="AS89" i="33" a="1"/>
  <c r="AS89" i="33" s="1"/>
  <c r="AU128" i="33" a="1"/>
  <c r="AU128" i="33" s="1"/>
  <c r="AK20" i="33" a="1"/>
  <c r="AK20" i="33" s="1"/>
  <c r="CV47" i="33" a="1"/>
  <c r="CV47" i="33" s="1"/>
  <c r="AE132" i="33" a="1"/>
  <c r="AE132" i="33" s="1"/>
  <c r="AJ137" i="33" a="1"/>
  <c r="AJ137" i="33" s="1"/>
  <c r="AD137" i="33" a="1"/>
  <c r="AD137" i="33" s="1"/>
  <c r="AU54" i="33" a="1"/>
  <c r="AU54" i="33" s="1"/>
  <c r="BR38" i="33" a="1"/>
  <c r="BR38" i="33" s="1"/>
  <c r="AU138" i="33" a="1"/>
  <c r="AU138" i="33" s="1"/>
  <c r="AK150" i="33" a="1"/>
  <c r="AK150" i="33" s="1"/>
  <c r="BY121" i="33" a="1"/>
  <c r="BY121" i="33" s="1"/>
  <c r="AJ54" i="33" a="1"/>
  <c r="AJ54" i="33" s="1"/>
  <c r="AA79" i="33" a="1"/>
  <c r="AA79" i="33" s="1"/>
  <c r="CS79" i="33" a="1"/>
  <c r="CS79" i="33" s="1"/>
  <c r="CQ81" i="33" a="1"/>
  <c r="CQ81" i="33" s="1"/>
  <c r="BC123" i="33" a="1"/>
  <c r="BC123" i="33" s="1"/>
  <c r="AX15" i="33" a="1"/>
  <c r="AX15" i="33" s="1"/>
  <c r="BF129" i="33" a="1"/>
  <c r="BF129" i="33" s="1"/>
  <c r="BD34" i="33" a="1"/>
  <c r="BD34" i="33" s="1"/>
  <c r="BR19" i="33" a="1"/>
  <c r="BR19" i="33" s="1"/>
  <c r="CK159" i="33" a="1"/>
  <c r="CK159" i="33" s="1"/>
  <c r="CI84" i="33" a="1"/>
  <c r="CI84" i="33" s="1"/>
  <c r="AU16" i="33" a="1"/>
  <c r="AU16" i="33" s="1"/>
  <c r="AJ118" i="33" a="1"/>
  <c r="AJ118" i="33" s="1"/>
  <c r="BR66" i="33" a="1"/>
  <c r="BR66" i="33" s="1"/>
  <c r="CJ135" i="33" a="1"/>
  <c r="CJ135" i="33" s="1"/>
  <c r="CI119" i="33" a="1"/>
  <c r="CI119" i="33" s="1"/>
  <c r="BE145" i="33" a="1"/>
  <c r="BE145" i="33" s="1"/>
  <c r="BO62" i="33" a="1"/>
  <c r="BO62" i="33" s="1"/>
  <c r="AX93" i="33" a="1"/>
  <c r="AX93" i="33" s="1"/>
  <c r="AS112" i="33" a="1"/>
  <c r="AS112" i="33" s="1"/>
  <c r="BM86" i="33" a="1"/>
  <c r="BM86" i="33" s="1"/>
  <c r="CT128" i="33" a="1"/>
  <c r="CT128" i="33" s="1"/>
  <c r="BO117" i="33" a="1"/>
  <c r="BO117" i="33" s="1"/>
  <c r="BN34" i="33" a="1"/>
  <c r="BN34" i="33" s="1"/>
  <c r="CJ39" i="33" a="1"/>
  <c r="CJ39" i="33" s="1"/>
  <c r="BR102" i="33" a="1"/>
  <c r="BR102" i="33" s="1"/>
  <c r="BW156" i="33" a="1"/>
  <c r="BW156" i="33" s="1"/>
  <c r="BM118" i="33" a="1"/>
  <c r="BM118" i="33" s="1"/>
  <c r="AA110" i="33" a="1"/>
  <c r="AA110" i="33" s="1"/>
  <c r="BZ128" i="33" a="1"/>
  <c r="BZ128" i="33" s="1"/>
  <c r="BO134" i="33" a="1"/>
  <c r="BO134" i="33" s="1"/>
  <c r="AK99" i="33" a="1"/>
  <c r="AK99" i="33" s="1"/>
  <c r="AJ49" i="33" a="1"/>
  <c r="AJ49" i="33" s="1"/>
  <c r="AJ72" i="33" a="1"/>
  <c r="AJ72" i="33" s="1"/>
  <c r="CT93" i="33" a="1"/>
  <c r="CT93" i="33" s="1"/>
  <c r="BZ65" i="33" a="1"/>
  <c r="BZ65" i="33" s="1"/>
  <c r="CQ98" i="33" a="1"/>
  <c r="CQ98" i="33" s="1"/>
  <c r="BF20" i="33" a="1"/>
  <c r="BF20" i="33" s="1"/>
  <c r="AE121" i="33" a="1"/>
  <c r="AE121" i="33" s="1"/>
  <c r="CS159" i="33" a="1"/>
  <c r="CS159" i="33" s="1"/>
  <c r="CH154" i="33" a="1"/>
  <c r="CH154" i="33" s="1"/>
  <c r="BM80" i="33" a="1"/>
  <c r="BM80" i="33" s="1"/>
  <c r="BO18" i="33" a="1"/>
  <c r="BO18" i="33" s="1"/>
  <c r="BO123" i="33" a="1"/>
  <c r="BO123" i="33" s="1"/>
  <c r="AA144" i="33" a="1"/>
  <c r="AA144" i="33" s="1"/>
  <c r="CV150" i="33" a="1"/>
  <c r="CV150" i="33" s="1"/>
  <c r="AA75" i="33" a="1"/>
  <c r="AA75" i="33" s="1"/>
  <c r="BW153" i="33" a="1"/>
  <c r="BW153" i="33" s="1"/>
  <c r="BN122" i="33" a="1"/>
  <c r="BN122" i="33" s="1"/>
  <c r="BN36" i="33" a="1"/>
  <c r="BN36" i="33" s="1"/>
  <c r="AJ45" i="33" a="1"/>
  <c r="AJ45" i="33" s="1"/>
  <c r="BE47" i="33" a="1"/>
  <c r="BE47" i="33" s="1"/>
  <c r="CV124" i="33" a="1"/>
  <c r="CV124" i="33" s="1"/>
  <c r="BR146" i="33" a="1"/>
  <c r="BR146" i="33" s="1"/>
  <c r="AX138" i="33" a="1"/>
  <c r="AX138" i="33" s="1"/>
  <c r="AK58" i="33" a="1"/>
  <c r="AK58" i="33" s="1"/>
  <c r="CS58" i="33" a="1"/>
  <c r="CS58" i="33" s="1"/>
  <c r="BX26" i="33" a="1"/>
  <c r="BX26" i="33" s="1"/>
  <c r="AK131" i="33" a="1"/>
  <c r="AK131" i="33" s="1"/>
  <c r="AK38" i="33" a="1"/>
  <c r="AK38" i="33" s="1"/>
  <c r="AX39" i="33" a="1"/>
  <c r="AX39" i="33" s="1"/>
  <c r="BN102" i="33" a="1"/>
  <c r="BN102" i="33" s="1"/>
  <c r="AJ26" i="33" a="1"/>
  <c r="AJ26" i="33" s="1"/>
  <c r="BM50" i="33" a="1"/>
  <c r="BM50" i="33" s="1"/>
  <c r="CG17" i="33" a="1"/>
  <c r="CG17" i="33" s="1"/>
  <c r="BM29" i="33" a="1"/>
  <c r="BM29" i="33" s="1"/>
  <c r="AV30" i="33" a="1"/>
  <c r="AV30" i="33" s="1"/>
  <c r="BX134" i="33" a="1"/>
  <c r="BX134" i="33" s="1"/>
  <c r="CT153" i="33" a="1"/>
  <c r="CT153" i="33" s="1"/>
  <c r="AS100" i="33" a="1"/>
  <c r="AS100" i="33" s="1"/>
  <c r="BZ77" i="33" a="1"/>
  <c r="BZ77" i="33" s="1"/>
  <c r="BC41" i="33" a="1"/>
  <c r="BC41" i="33" s="1"/>
  <c r="BN48" i="33" a="1"/>
  <c r="BN48" i="33" s="1"/>
  <c r="BN113" i="33" a="1"/>
  <c r="BN113" i="33" s="1"/>
  <c r="AJ147" i="33" a="1"/>
  <c r="AJ147" i="33" s="1"/>
  <c r="AV150" i="33" a="1"/>
  <c r="AV150" i="33" s="1"/>
  <c r="BN147" i="33" a="1"/>
  <c r="BN147" i="33" s="1"/>
  <c r="AV105" i="33" a="1"/>
  <c r="AV105" i="33" s="1"/>
  <c r="AJ142" i="33" a="1"/>
  <c r="AJ142" i="33" s="1"/>
  <c r="BN61" i="33" a="1"/>
  <c r="BN61" i="33" s="1"/>
  <c r="CV139" i="33" a="1"/>
  <c r="CV139" i="33" s="1"/>
  <c r="CT76" i="33" a="1"/>
  <c r="CT76" i="33" s="1"/>
  <c r="BM94" i="33" a="1"/>
  <c r="BM94" i="33" s="1"/>
  <c r="BD134" i="33" a="1"/>
  <c r="BD134" i="33" s="1"/>
  <c r="CT143" i="33" a="1"/>
  <c r="CT143" i="33" s="1"/>
  <c r="BF97" i="33" a="1"/>
  <c r="BF97" i="33" s="1"/>
  <c r="CT142" i="33" a="1"/>
  <c r="CT142" i="33" s="1"/>
  <c r="AL147" i="33" a="1"/>
  <c r="AL147" i="33" s="1"/>
  <c r="CH129" i="33" a="1"/>
  <c r="CH129" i="33" s="1"/>
  <c r="AV139" i="33" a="1"/>
  <c r="AV139" i="33" s="1"/>
  <c r="CH52" i="33" a="1"/>
  <c r="CH52" i="33" s="1"/>
  <c r="AV70" i="33" a="1"/>
  <c r="AV70" i="33" s="1"/>
  <c r="CT32" i="33" a="1"/>
  <c r="CT32" i="33" s="1"/>
  <c r="BY56" i="33" a="1"/>
  <c r="BY56" i="33" s="1"/>
  <c r="AV137" i="33" a="1"/>
  <c r="AV137" i="33" s="1"/>
  <c r="AS70" i="33" a="1"/>
  <c r="AS70" i="33" s="1"/>
  <c r="CH43" i="33" a="1"/>
  <c r="CH43" i="33" s="1"/>
  <c r="BM142" i="33" a="1"/>
  <c r="BM142" i="33" s="1"/>
  <c r="CG111" i="33" a="1"/>
  <c r="CG111" i="33" s="1"/>
  <c r="AV141" i="33" a="1"/>
  <c r="AV141" i="33" s="1"/>
  <c r="AS65" i="33" a="1"/>
  <c r="AS65" i="33" s="1"/>
  <c r="BD20" i="33" a="1"/>
  <c r="BD20" i="33" s="1"/>
  <c r="BM105" i="33" a="1"/>
  <c r="BM105" i="33" s="1"/>
  <c r="BX100" i="33" a="1"/>
  <c r="BX100" i="33" s="1"/>
  <c r="Z73" i="33" a="1"/>
  <c r="Z73" i="33" s="1"/>
  <c r="BW92" i="33" a="1"/>
  <c r="BW92" i="33" s="1"/>
  <c r="BN91" i="33" a="1"/>
  <c r="BN91" i="33" s="1"/>
  <c r="BF89" i="33" a="1"/>
  <c r="BF89" i="33" s="1"/>
  <c r="BN55" i="33" a="1"/>
  <c r="BN55" i="33" s="1"/>
  <c r="CH158" i="33" a="1"/>
  <c r="CH158" i="33" s="1"/>
  <c r="BM76" i="33" a="1"/>
  <c r="BM76" i="33" s="1"/>
  <c r="AO47" i="33" a="1"/>
  <c r="AO47" i="33" s="1"/>
  <c r="AT119" i="33" a="1"/>
  <c r="AT119" i="33" s="1"/>
  <c r="BF145" i="33" a="1"/>
  <c r="BF145" i="33" s="1"/>
  <c r="BF93" i="33" a="1"/>
  <c r="BF93" i="33" s="1"/>
  <c r="BE56" i="33" a="1"/>
  <c r="BE56" i="33" s="1"/>
  <c r="BR129" i="33" a="1"/>
  <c r="BR129" i="33" s="1"/>
  <c r="AU74" i="33" a="1"/>
  <c r="AU74" i="33" s="1"/>
  <c r="CV27" i="33" a="1"/>
  <c r="CV27" i="33" s="1"/>
  <c r="AP77" i="33" a="1"/>
  <c r="AP77" i="33" s="1"/>
  <c r="AK127" i="33" a="1"/>
  <c r="AK127" i="33" s="1"/>
  <c r="BF38" i="33" a="1"/>
  <c r="BF38" i="33" s="1"/>
  <c r="BE16" i="33" a="1"/>
  <c r="BE16" i="33" s="1"/>
  <c r="AS18" i="33" a="1"/>
  <c r="AS18" i="33" s="1"/>
  <c r="CV16" i="33" a="1"/>
  <c r="CV16" i="33" s="1"/>
  <c r="AS108" i="33" a="1"/>
  <c r="AS108" i="33" s="1"/>
  <c r="BC107" i="33" a="1"/>
  <c r="BC107" i="33" s="1"/>
  <c r="Z139" i="33" a="1"/>
  <c r="Z139" i="33" s="1"/>
  <c r="AU124" i="33" a="1"/>
  <c r="AU124" i="33" s="1"/>
  <c r="AA138" i="33" a="1"/>
  <c r="AA138" i="33" s="1"/>
  <c r="CL139" i="33" a="1"/>
  <c r="CL139" i="33" s="1"/>
  <c r="CK29" i="33" a="1"/>
  <c r="CK29" i="33" s="1"/>
  <c r="CV44" i="33" a="1"/>
  <c r="CV44" i="33" s="1"/>
  <c r="CJ122" i="33" a="1"/>
  <c r="CJ122" i="33" s="1"/>
  <c r="AU48" i="33" a="1"/>
  <c r="AU48" i="33" s="1"/>
  <c r="AD14" i="33" a="1"/>
  <c r="AD14" i="33" s="1"/>
  <c r="BZ140" i="33" a="1"/>
  <c r="BZ140" i="33" s="1"/>
  <c r="BO32" i="33" a="1"/>
  <c r="BO32" i="33" s="1"/>
  <c r="CI131" i="33" a="1"/>
  <c r="CI131" i="33" s="1"/>
  <c r="CG41" i="33" a="1"/>
  <c r="CG41" i="33" s="1"/>
  <c r="CV120" i="33" a="1"/>
  <c r="CV120" i="33" s="1"/>
  <c r="BX77" i="33" a="1"/>
  <c r="BX77" i="33" s="1"/>
  <c r="BP140" i="33" a="1"/>
  <c r="BP140" i="33" s="1"/>
  <c r="CS66" i="33" a="1"/>
  <c r="CS66" i="33" s="1"/>
  <c r="AJ15" i="33" a="1"/>
  <c r="AJ15" i="33" s="1"/>
  <c r="CR64" i="33" a="1"/>
  <c r="CR64" i="33" s="1"/>
  <c r="CQ64" i="33" a="1"/>
  <c r="CQ64" i="33" s="1"/>
  <c r="BY85" i="33" a="1"/>
  <c r="BY85" i="33" s="1"/>
  <c r="CL151" i="33" a="1"/>
  <c r="CL151" i="33" s="1"/>
  <c r="BY82" i="33" a="1"/>
  <c r="BY82" i="33" s="1"/>
  <c r="AB114" i="33" a="1"/>
  <c r="AB114" i="33" s="1"/>
  <c r="BF63" i="33" a="1"/>
  <c r="BF63" i="33" s="1"/>
  <c r="CV156" i="33" a="1"/>
  <c r="CV156" i="33" s="1"/>
  <c r="CT119" i="33" a="1"/>
  <c r="CT119" i="33" s="1"/>
  <c r="CV25" i="33" a="1"/>
  <c r="CV25" i="33" s="1"/>
  <c r="AD44" i="33" a="1"/>
  <c r="AD44" i="33" s="1"/>
  <c r="CS56" i="33" a="1"/>
  <c r="CS56" i="33" s="1"/>
  <c r="AK123" i="33" a="1"/>
  <c r="AK123" i="33" s="1"/>
  <c r="BD22" i="33" a="1"/>
  <c r="BD22" i="33" s="1"/>
  <c r="CJ52" i="33" a="1"/>
  <c r="CJ52" i="33" s="1"/>
  <c r="AX150" i="33" a="1"/>
  <c r="AX150" i="33" s="1"/>
  <c r="CK15" i="33" a="1"/>
  <c r="CK15" i="33" s="1"/>
  <c r="BY152" i="33" a="1"/>
  <c r="BY152" i="33" s="1"/>
  <c r="AU120" i="33" a="1"/>
  <c r="AU120" i="33" s="1"/>
  <c r="Z158" i="33" a="1"/>
  <c r="Z158" i="33" s="1"/>
  <c r="BO66" i="33" a="1"/>
  <c r="BO66" i="33" s="1"/>
  <c r="AO99" i="33" a="1"/>
  <c r="AO99" i="33" s="1"/>
  <c r="CL14" i="33" a="1"/>
  <c r="CL14" i="33" s="1"/>
  <c r="CR132" i="33" a="1"/>
  <c r="CR132" i="33" s="1"/>
  <c r="CG89" i="33" a="1"/>
  <c r="CG89" i="33" s="1"/>
  <c r="AY112" i="33" a="1"/>
  <c r="AY112" i="33" s="1"/>
  <c r="AU46" i="33" a="1"/>
  <c r="AU46" i="33" s="1"/>
  <c r="AK122" i="33" a="1"/>
  <c r="AK122" i="33" s="1"/>
  <c r="CI22" i="33" a="1"/>
  <c r="CI22" i="33" s="1"/>
  <c r="AY160" i="33" a="1"/>
  <c r="AY160" i="33" s="1"/>
  <c r="CI160" i="33" a="1"/>
  <c r="CI160" i="33" s="1"/>
  <c r="BZ44" i="33" a="1"/>
  <c r="BZ44" i="33" s="1"/>
  <c r="CK104" i="33" a="1"/>
  <c r="CK104" i="33" s="1"/>
  <c r="CK33" i="33" a="1"/>
  <c r="CK33" i="33" s="1"/>
  <c r="CI24" i="33" a="1"/>
  <c r="CI24" i="33" s="1"/>
  <c r="CG78" i="33" a="1"/>
  <c r="CG78" i="33" s="1"/>
  <c r="CR41" i="33" a="1"/>
  <c r="CR41" i="33" s="1"/>
  <c r="AK33" i="33" a="1"/>
  <c r="AK33" i="33" s="1"/>
  <c r="CK100" i="33" a="1"/>
  <c r="CK100" i="33" s="1"/>
  <c r="BO127" i="33" a="1"/>
  <c r="BO127" i="33" s="1"/>
  <c r="AJ124" i="33" a="1"/>
  <c r="AJ124" i="33" s="1"/>
  <c r="BE126" i="33" a="1"/>
  <c r="BE126" i="33" s="1"/>
  <c r="CL37" i="33" a="1"/>
  <c r="CL37" i="33" s="1"/>
  <c r="AS111" i="33" a="1"/>
  <c r="AS111" i="33" s="1"/>
  <c r="BF25" i="33" a="1"/>
  <c r="BF25" i="33" s="1"/>
  <c r="BZ73" i="33" a="1"/>
  <c r="BZ73" i="33" s="1"/>
  <c r="CQ117" i="33" a="1"/>
  <c r="CQ117" i="33" s="1"/>
  <c r="BE155" i="33" a="1"/>
  <c r="BE155" i="33" s="1"/>
  <c r="CK143" i="33" a="1"/>
  <c r="CK143" i="33" s="1"/>
  <c r="BE31" i="33" a="1"/>
  <c r="BE31" i="33" s="1"/>
  <c r="BX108" i="33" a="1"/>
  <c r="BX108" i="33" s="1"/>
  <c r="AK65" i="33" a="1"/>
  <c r="AK65" i="33" s="1"/>
  <c r="AU137" i="33" a="1"/>
  <c r="AU137" i="33" s="1"/>
  <c r="BO94" i="33" a="1"/>
  <c r="BO94" i="33" s="1"/>
  <c r="AV154" i="33" a="1"/>
  <c r="AV154" i="33" s="1"/>
  <c r="BR68" i="33" a="1"/>
  <c r="BR68" i="33" s="1"/>
  <c r="AU106" i="33" a="1"/>
  <c r="AU106" i="33" s="1"/>
  <c r="BO64" i="33" a="1"/>
  <c r="BO64" i="33" s="1"/>
  <c r="BF146" i="33" a="1"/>
  <c r="BF146" i="33" s="1"/>
  <c r="CT66" i="33" a="1"/>
  <c r="CT66" i="33" s="1"/>
  <c r="CV29" i="33" a="1"/>
  <c r="CV29" i="33" s="1"/>
  <c r="BM33" i="33" a="1"/>
  <c r="BM33" i="33" s="1"/>
  <c r="CL117" i="33" a="1"/>
  <c r="CL117" i="33" s="1"/>
  <c r="CL70" i="33" a="1"/>
  <c r="CL70" i="33" s="1"/>
  <c r="AK26" i="33" a="1"/>
  <c r="AK26" i="33" s="1"/>
  <c r="CV130" i="33" a="1"/>
  <c r="CV130" i="33" s="1"/>
  <c r="CV111" i="33" a="1"/>
  <c r="CV111" i="33" s="1"/>
  <c r="AV48" i="33" a="1"/>
  <c r="AV48" i="33" s="1"/>
  <c r="CV40" i="33" a="1"/>
  <c r="CV40" i="33" s="1"/>
  <c r="CL135" i="33" a="1"/>
  <c r="CL135" i="33" s="1"/>
  <c r="AA155" i="33" a="1"/>
  <c r="AA155" i="33" s="1"/>
  <c r="CI103" i="33" a="1"/>
  <c r="CI103" i="33" s="1"/>
  <c r="CJ66" i="33" a="1"/>
  <c r="CJ66" i="33" s="1"/>
  <c r="AL143" i="33" a="1"/>
  <c r="AL143" i="33" s="1"/>
  <c r="BO63" i="33" a="1"/>
  <c r="BO63" i="33" s="1"/>
  <c r="BO126" i="33" a="1"/>
  <c r="BO126" i="33" s="1"/>
  <c r="AU29" i="33" a="1"/>
  <c r="AU29" i="33" s="1"/>
  <c r="CJ68" i="33" a="1"/>
  <c r="CJ68" i="33" s="1"/>
  <c r="AO118" i="33" a="1"/>
  <c r="AO118" i="33" s="1"/>
  <c r="BE129" i="33" a="1"/>
  <c r="BE129" i="33" s="1"/>
  <c r="CJ46" i="33" a="1"/>
  <c r="CJ46" i="33" s="1"/>
  <c r="CK61" i="33" a="1"/>
  <c r="CK61" i="33" s="1"/>
  <c r="BN106" i="33" a="1"/>
  <c r="BN106" i="33" s="1"/>
  <c r="CI16" i="33" a="1"/>
  <c r="CI16" i="33" s="1"/>
  <c r="BN160" i="33" a="1"/>
  <c r="BN160" i="33" s="1"/>
  <c r="CK152" i="33" a="1"/>
  <c r="CK152" i="33" s="1"/>
  <c r="BW152" i="33" a="1"/>
  <c r="BW152" i="33" s="1"/>
  <c r="AU43" i="33" a="1"/>
  <c r="AU43" i="33" s="1"/>
  <c r="CK91" i="33" a="1"/>
  <c r="CK91" i="33" s="1"/>
  <c r="CI32" i="33" a="1"/>
  <c r="CI32" i="33" s="1"/>
  <c r="BZ136" i="33" a="1"/>
  <c r="BZ136" i="33" s="1"/>
  <c r="BY118" i="33" a="1"/>
  <c r="BY118" i="33" s="1"/>
  <c r="BO122" i="33" a="1"/>
  <c r="BO122" i="33" s="1"/>
  <c r="CV95" i="33" a="1"/>
  <c r="CV95" i="33" s="1"/>
  <c r="BF133" i="33" a="1"/>
  <c r="BF133" i="33" s="1"/>
  <c r="CK87" i="33" a="1"/>
  <c r="CK87" i="33" s="1"/>
  <c r="AX44" i="33" a="1"/>
  <c r="AX44" i="33" s="1"/>
  <c r="CJ144" i="33" a="1"/>
  <c r="CJ144" i="33" s="1"/>
  <c r="CJ16" i="33" a="1"/>
  <c r="CJ16" i="33" s="1"/>
  <c r="BF77" i="33" a="1"/>
  <c r="BF77" i="33" s="1"/>
  <c r="BM48" i="33" a="1"/>
  <c r="BM48" i="33" s="1"/>
  <c r="CR159" i="33" a="1"/>
  <c r="CR159" i="33" s="1"/>
  <c r="AT128" i="33" a="1"/>
  <c r="AT128" i="33" s="1"/>
  <c r="CQ143" i="33" a="1"/>
  <c r="CQ143" i="33" s="1"/>
  <c r="BX87" i="33" a="1"/>
  <c r="BX87" i="33" s="1"/>
  <c r="BW39" i="33" a="1"/>
  <c r="BW39" i="33" s="1"/>
  <c r="AS69" i="33" a="1"/>
  <c r="AS69" i="33" s="1"/>
  <c r="CI73" i="33" a="1"/>
  <c r="CI73" i="33" s="1"/>
  <c r="CT148" i="33" a="1"/>
  <c r="CT148" i="33" s="1"/>
  <c r="AT37" i="33" a="1"/>
  <c r="AT37" i="33" s="1"/>
  <c r="BO51" i="33" a="1"/>
  <c r="BO51" i="33" s="1"/>
  <c r="CT47" i="33" a="1"/>
  <c r="CT47" i="33" s="1"/>
  <c r="BN21" i="33" a="1"/>
  <c r="BN21" i="33" s="1"/>
  <c r="CS149" i="33" a="1"/>
  <c r="CS149" i="33" s="1"/>
  <c r="CH94" i="33" a="1"/>
  <c r="CH94" i="33" s="1"/>
  <c r="AD151" i="33" a="1"/>
  <c r="AD151" i="33" s="1"/>
  <c r="AL63" i="33" a="1"/>
  <c r="AL63" i="33" s="1"/>
  <c r="BX17" i="33" a="1"/>
  <c r="BX17" i="33" s="1"/>
  <c r="BR128" i="33" a="1"/>
  <c r="BR128" i="33" s="1"/>
  <c r="BF23" i="33" a="1"/>
  <c r="BF23" i="33" s="1"/>
  <c r="BF81" i="33" a="1"/>
  <c r="BF81" i="33" s="1"/>
  <c r="AA102" i="33" a="1"/>
  <c r="AA102" i="33" s="1"/>
  <c r="AL105" i="33" a="1"/>
  <c r="AL105" i="33" s="1"/>
  <c r="AV61" i="33" a="1"/>
  <c r="AV61" i="33" s="1"/>
  <c r="AE97" i="33" a="1"/>
  <c r="AE97" i="33" s="1"/>
  <c r="BF149" i="33" a="1"/>
  <c r="BF149" i="33" s="1"/>
  <c r="AU139" i="33" a="1"/>
  <c r="AU139" i="33" s="1"/>
  <c r="CH83" i="33" a="1"/>
  <c r="CH83" i="33" s="1"/>
  <c r="AU50" i="33" a="1"/>
  <c r="AU50" i="33" s="1"/>
  <c r="AK156" i="33" a="1"/>
  <c r="AK156" i="33" s="1"/>
  <c r="CR119" i="33" a="1"/>
  <c r="CR119" i="33" s="1"/>
  <c r="CQ82" i="33" a="1"/>
  <c r="CQ82" i="33" s="1"/>
  <c r="CR136" i="33" a="1"/>
  <c r="CR136" i="33" s="1"/>
  <c r="CR27" i="33" a="1"/>
  <c r="CR27" i="33" s="1"/>
  <c r="BX149" i="33" a="1"/>
  <c r="BX149" i="33" s="1"/>
  <c r="CT84" i="33" a="1"/>
  <c r="CT84" i="33" s="1"/>
  <c r="CG46" i="33" a="1"/>
  <c r="CG46" i="33" s="1"/>
  <c r="Z142" i="33" a="1"/>
  <c r="Z142" i="33" s="1"/>
  <c r="BM70" i="33" a="1"/>
  <c r="BM70" i="33" s="1"/>
  <c r="BF72" i="33" a="1"/>
  <c r="BF72" i="33" s="1"/>
  <c r="CG144" i="33" a="1"/>
  <c r="CG144" i="33" s="1"/>
  <c r="CT20" i="33" a="1"/>
  <c r="CT20" i="33" s="1"/>
  <c r="AJ119" i="33" a="1"/>
  <c r="AJ119" i="33" s="1"/>
  <c r="BW88" i="33" a="1"/>
  <c r="BW88" i="33" s="1"/>
  <c r="AV131" i="33" a="1"/>
  <c r="AV131" i="33" s="1"/>
  <c r="AJ94" i="33" a="1"/>
  <c r="AJ94" i="33" s="1"/>
  <c r="BW120" i="33" a="1"/>
  <c r="BW120" i="33" s="1"/>
  <c r="CT65" i="33" a="1"/>
  <c r="CT65" i="33" s="1"/>
  <c r="BZ59" i="33" a="1"/>
  <c r="BZ59" i="33" s="1"/>
  <c r="AV56" i="33" a="1"/>
  <c r="AV56" i="33" s="1"/>
  <c r="CT131" i="33" a="1"/>
  <c r="CT131" i="33" s="1"/>
  <c r="BD102" i="33" a="1"/>
  <c r="BD102" i="33" s="1"/>
  <c r="AV47" i="33" a="1"/>
  <c r="AV47" i="33" s="1"/>
  <c r="CQ100" i="33" a="1"/>
  <c r="CQ100" i="33" s="1"/>
  <c r="BC143" i="33" a="1"/>
  <c r="BC143" i="33" s="1"/>
  <c r="CK144" i="33" a="1"/>
  <c r="CK144" i="33" s="1"/>
  <c r="Z117" i="33" a="1"/>
  <c r="Z117" i="33" s="1"/>
  <c r="CH32" i="33" a="1"/>
  <c r="CH32" i="33" s="1"/>
  <c r="CV88" i="33" a="1"/>
  <c r="CV88" i="33" s="1"/>
  <c r="BN22" i="33" a="1"/>
  <c r="BN22" i="33" s="1"/>
  <c r="Z119" i="33" a="1"/>
  <c r="Z119" i="33" s="1"/>
  <c r="CR137" i="33" a="1"/>
  <c r="CR137" i="33" s="1"/>
  <c r="CH131" i="33" a="1"/>
  <c r="CH131" i="33" s="1"/>
  <c r="CV98" i="33" a="1"/>
  <c r="CV98" i="33" s="1"/>
  <c r="CQ131" i="33" a="1"/>
  <c r="CQ131" i="33" s="1"/>
  <c r="AT149" i="33" a="1"/>
  <c r="AT149" i="33" s="1"/>
  <c r="AJ60" i="33" a="1"/>
  <c r="AJ60" i="33" s="1"/>
  <c r="AT87" i="33" a="1"/>
  <c r="AT87" i="33" s="1"/>
  <c r="AV31" i="33" a="1"/>
  <c r="AV31" i="33" s="1"/>
  <c r="CR92" i="33" a="1"/>
  <c r="CR92" i="33" s="1"/>
  <c r="BX55" i="33" a="1"/>
  <c r="BX55" i="33" s="1"/>
  <c r="CH66" i="33" a="1"/>
  <c r="CH66" i="33" s="1"/>
  <c r="CK137" i="33" a="1"/>
  <c r="CK137" i="33" s="1"/>
  <c r="BZ89" i="33" a="1"/>
  <c r="BZ89" i="33" s="1"/>
  <c r="BX123" i="33" a="1"/>
  <c r="BX123" i="33" s="1"/>
  <c r="CH42" i="33" a="1"/>
  <c r="CH42" i="33" s="1"/>
  <c r="AV117" i="33" a="1"/>
  <c r="AV117" i="33" s="1"/>
  <c r="BC39" i="33" a="1"/>
  <c r="BC39" i="33" s="1"/>
  <c r="BC48" i="33" a="1"/>
  <c r="BC48" i="33" s="1"/>
  <c r="CR65" i="33" a="1"/>
  <c r="CR65" i="33" s="1"/>
  <c r="AV24" i="33" a="1"/>
  <c r="AV24" i="33" s="1"/>
  <c r="BY95" i="33" a="1"/>
  <c r="BY95" i="33" s="1"/>
  <c r="AS75" i="33" a="1"/>
  <c r="AS75" i="33" s="1"/>
  <c r="BD63" i="33" a="1"/>
  <c r="BD63" i="33" s="1"/>
  <c r="AJ95" i="33" a="1"/>
  <c r="AJ95" i="33" s="1"/>
  <c r="Z17" i="33" a="1"/>
  <c r="Z17" i="33" s="1"/>
  <c r="AX130" i="33" a="1"/>
  <c r="AX130" i="33" s="1"/>
  <c r="AS102" i="33" a="1"/>
  <c r="AS102" i="33" s="1"/>
  <c r="Z35" i="33" a="1"/>
  <c r="Z35" i="33" s="1"/>
  <c r="BD72" i="33" a="1"/>
  <c r="BD72" i="33" s="1"/>
  <c r="CR141" i="33" a="1"/>
  <c r="CR141" i="33" s="1"/>
  <c r="BN116" i="33" a="1"/>
  <c r="BN116" i="33" s="1"/>
  <c r="AL127" i="33" a="1"/>
  <c r="AL127" i="33" s="1"/>
  <c r="CT88" i="33" a="1"/>
  <c r="CT88" i="33" s="1"/>
  <c r="CH95" i="33" a="1"/>
  <c r="CH95" i="33" s="1"/>
  <c r="AV153" i="33" a="1"/>
  <c r="AV153" i="33" s="1"/>
  <c r="CT126" i="33" a="1"/>
  <c r="CT126" i="33" s="1"/>
  <c r="CQ61" i="33" a="1"/>
  <c r="CQ61" i="33" s="1"/>
  <c r="BX18" i="33" a="1"/>
  <c r="BX18" i="33" s="1"/>
  <c r="CR88" i="33" a="1"/>
  <c r="CR88" i="33" s="1"/>
  <c r="AV147" i="33" a="1"/>
  <c r="AV147" i="33" s="1"/>
  <c r="BE48" i="33" a="1"/>
  <c r="BE48" i="33" s="1"/>
  <c r="AS32" i="33" a="1"/>
  <c r="AS32" i="33" s="1"/>
  <c r="CI130" i="33" a="1"/>
  <c r="CI130" i="33" s="1"/>
  <c r="CG96" i="33" a="1"/>
  <c r="CG96" i="33" s="1"/>
  <c r="BN101" i="33" a="1"/>
  <c r="BN101" i="33" s="1"/>
  <c r="BC91" i="33" a="1"/>
  <c r="BC91" i="33" s="1"/>
  <c r="BD46" i="33" a="1"/>
  <c r="BD46" i="33" s="1"/>
  <c r="BI40" i="33" a="1"/>
  <c r="BI40" i="33" s="1"/>
  <c r="CJ106" i="33" a="1"/>
  <c r="CJ106" i="33" s="1"/>
  <c r="CW17" i="33" a="1"/>
  <c r="CW17" i="33" s="1"/>
  <c r="CK63" i="33" a="1"/>
  <c r="CK63" i="33" s="1"/>
  <c r="BE143" i="33" a="1"/>
  <c r="BE143" i="33" s="1"/>
  <c r="AX18" i="33" a="1"/>
  <c r="AX18" i="33" s="1"/>
  <c r="CK14" i="33" a="1"/>
  <c r="CK14" i="33" s="1"/>
  <c r="AK96" i="33" a="1"/>
  <c r="AK96" i="33" s="1"/>
  <c r="AK30" i="33" a="1"/>
  <c r="AK30" i="33" s="1"/>
  <c r="AD118" i="33" a="1"/>
  <c r="AD118" i="33" s="1"/>
  <c r="BI74" i="33" a="1"/>
  <c r="BI74" i="33" s="1"/>
  <c r="BF132" i="33" a="1"/>
  <c r="BF132" i="33" s="1"/>
  <c r="CK67" i="33" a="1"/>
  <c r="CK67" i="33" s="1"/>
  <c r="Z69" i="33" a="1"/>
  <c r="Z69" i="33" s="1"/>
  <c r="BF83" i="33" a="1"/>
  <c r="BF83" i="33" s="1"/>
  <c r="CL19" i="33" a="1"/>
  <c r="CL19" i="33" s="1"/>
  <c r="BY86" i="33" a="1"/>
  <c r="BY86" i="33" s="1"/>
  <c r="BS80" i="33" a="1"/>
  <c r="BS80" i="33" s="1"/>
  <c r="AA127" i="33" a="1"/>
  <c r="AA127" i="33" s="1"/>
  <c r="AU20" i="33" a="1"/>
  <c r="AU20" i="33" s="1"/>
  <c r="BR58" i="33" a="1"/>
  <c r="BR58" i="33" s="1"/>
  <c r="AA63" i="33" a="1"/>
  <c r="AA63" i="33" s="1"/>
  <c r="AK115" i="33" a="1"/>
  <c r="AK115" i="33" s="1"/>
  <c r="BE117" i="33" a="1"/>
  <c r="BE117" i="33" s="1"/>
  <c r="CI67" i="33" a="1"/>
  <c r="CI67" i="33" s="1"/>
  <c r="AK62" i="33" a="1"/>
  <c r="AK62" i="33" s="1"/>
  <c r="CV132" i="33" a="1"/>
  <c r="CV132" i="33" s="1"/>
  <c r="CI96" i="33" a="1"/>
  <c r="CI96" i="33" s="1"/>
  <c r="AE38" i="33" a="1"/>
  <c r="AE38" i="33" s="1"/>
  <c r="AV72" i="33" a="1"/>
  <c r="AV72" i="33" s="1"/>
  <c r="AP115" i="33" a="1"/>
  <c r="AP115" i="33" s="1"/>
  <c r="BF73" i="33" a="1"/>
  <c r="BF73" i="33" s="1"/>
  <c r="CK37" i="33" a="1"/>
  <c r="CK37" i="33" s="1"/>
  <c r="CR81" i="33" a="1"/>
  <c r="CR81" i="33" s="1"/>
  <c r="CK36" i="33" a="1"/>
  <c r="CK36" i="33" s="1"/>
  <c r="BF140" i="33" a="1"/>
  <c r="BF140" i="33" s="1"/>
  <c r="AU26" i="33" a="1"/>
  <c r="AU26" i="33" s="1"/>
  <c r="BW108" i="33" a="1"/>
  <c r="BW108" i="33" s="1"/>
  <c r="BO93" i="33" a="1"/>
  <c r="BO93" i="33" s="1"/>
  <c r="AD107" i="33" a="1"/>
  <c r="AD107" i="33" s="1"/>
  <c r="BY142" i="33" a="1"/>
  <c r="BY142" i="33" s="1"/>
  <c r="BE85" i="33" a="1"/>
  <c r="BE85" i="33" s="1"/>
  <c r="CI146" i="33" a="1"/>
  <c r="CI146" i="33" s="1"/>
  <c r="BM40" i="33" a="1"/>
  <c r="BM40" i="33" s="1"/>
  <c r="BO33" i="33" a="1"/>
  <c r="BO33" i="33" s="1"/>
  <c r="BY91" i="33" a="1"/>
  <c r="BY91" i="33" s="1"/>
  <c r="BY107" i="33" a="1"/>
  <c r="BY107" i="33" s="1"/>
  <c r="BE123" i="33" a="1"/>
  <c r="BE123" i="33" s="1"/>
  <c r="AJ80" i="33" a="1"/>
  <c r="AJ80" i="33" s="1"/>
  <c r="CK156" i="33" a="1"/>
  <c r="CK156" i="33" s="1"/>
  <c r="AU63" i="33" a="1"/>
  <c r="AU63" i="33" s="1"/>
  <c r="BC90" i="33" a="1"/>
  <c r="BC90" i="33" s="1"/>
  <c r="CI88" i="33" a="1"/>
  <c r="CI88" i="33" s="1"/>
  <c r="CK46" i="33" a="1"/>
  <c r="CK46" i="33" s="1"/>
  <c r="BF134" i="33" a="1"/>
  <c r="BF134" i="33" s="1"/>
  <c r="CB97" i="33" a="1"/>
  <c r="CB97" i="33" s="1"/>
  <c r="BY89" i="33" a="1"/>
  <c r="BY89" i="33" s="1"/>
  <c r="CV97" i="33" a="1"/>
  <c r="CV97" i="33" s="1"/>
  <c r="CT127" i="33" a="1"/>
  <c r="CT127" i="33" s="1"/>
  <c r="BD108" i="33" a="1"/>
  <c r="BD108" i="33" s="1"/>
  <c r="BY48" i="33" a="1"/>
  <c r="BY48" i="33" s="1"/>
  <c r="CG85" i="33" a="1"/>
  <c r="CG85" i="33" s="1"/>
  <c r="AE161" i="33" a="1"/>
  <c r="AE161" i="33" s="1"/>
  <c r="BS82" i="33" a="1"/>
  <c r="BS82" i="33" s="1"/>
  <c r="BE138" i="33" a="1"/>
  <c r="BE138" i="33" s="1"/>
  <c r="AV82" i="33" a="1"/>
  <c r="AV82" i="33" s="1"/>
  <c r="CT67" i="33" a="1"/>
  <c r="CT67" i="33" s="1"/>
  <c r="AY65" i="33" a="1"/>
  <c r="AY65" i="33" s="1"/>
  <c r="BO16" i="33" a="1"/>
  <c r="BO16" i="33" s="1"/>
  <c r="BF59" i="33" a="1"/>
  <c r="BF59" i="33" s="1"/>
  <c r="AY18" i="33" a="1"/>
  <c r="AY18" i="33" s="1"/>
  <c r="CI142" i="33" a="1"/>
  <c r="CI142" i="33" s="1"/>
  <c r="BF150" i="33" a="1"/>
  <c r="BF150" i="33" s="1"/>
  <c r="CK110" i="33" a="1"/>
  <c r="CK110" i="33" s="1"/>
  <c r="CK49" i="33" a="1"/>
  <c r="CK49" i="33" s="1"/>
  <c r="BD74" i="33" a="1"/>
  <c r="BD74" i="33" s="1"/>
  <c r="BF157" i="33" a="1"/>
  <c r="BF157" i="33" s="1"/>
  <c r="CV143" i="33" a="1"/>
  <c r="CV143" i="33" s="1"/>
  <c r="Z64" i="33" a="1"/>
  <c r="Z64" i="33" s="1"/>
  <c r="BE62" i="33" a="1"/>
  <c r="BE62" i="33" s="1"/>
  <c r="CJ75" i="33" a="1"/>
  <c r="CJ75" i="33" s="1"/>
  <c r="BN54" i="33" a="1"/>
  <c r="BN54" i="33" s="1"/>
  <c r="CK45" i="33" a="1"/>
  <c r="CK45" i="33" s="1"/>
  <c r="AL36" i="33" a="1"/>
  <c r="AL36" i="33" s="1"/>
  <c r="AD45" i="33" a="1"/>
  <c r="AD45" i="33" s="1"/>
  <c r="CH121" i="33" a="1"/>
  <c r="CH121" i="33" s="1"/>
  <c r="AL18" i="33" a="1"/>
  <c r="AL18" i="33" s="1"/>
  <c r="CV53" i="33" a="1"/>
  <c r="CV53" i="33" s="1"/>
  <c r="AK55" i="33" a="1"/>
  <c r="AK55" i="33" s="1"/>
  <c r="AA54" i="33" a="1"/>
  <c r="AA54" i="33" s="1"/>
  <c r="AU130" i="33" a="1"/>
  <c r="AU130" i="33" s="1"/>
  <c r="BE122" i="33" a="1"/>
  <c r="BE122" i="33" s="1"/>
  <c r="AA32" i="33" a="1"/>
  <c r="AA32" i="33" s="1"/>
  <c r="BO103" i="33" a="1"/>
  <c r="BO103" i="33" s="1"/>
  <c r="BN70" i="33" a="1"/>
  <c r="BN70" i="33" s="1"/>
  <c r="BC98" i="33" a="1"/>
  <c r="BC98" i="33" s="1"/>
  <c r="CK136" i="33" a="1"/>
  <c r="CK136" i="33" s="1"/>
  <c r="CQ23" i="33" a="1"/>
  <c r="CQ23" i="33" s="1"/>
  <c r="CJ20" i="33" a="1"/>
  <c r="CJ20" i="33" s="1"/>
  <c r="BE147" i="33" a="1"/>
  <c r="BE147" i="33" s="1"/>
  <c r="AU158" i="33" a="1"/>
  <c r="AU158" i="33" s="1"/>
  <c r="AA69" i="33" a="1"/>
  <c r="AA69" i="33" s="1"/>
  <c r="CK103" i="33" a="1"/>
  <c r="CK103" i="33" s="1"/>
  <c r="AL96" i="33" a="1"/>
  <c r="AL96" i="33" s="1"/>
  <c r="CI111" i="33" a="1"/>
  <c r="CI111" i="33" s="1"/>
  <c r="CJ134" i="33" a="1"/>
  <c r="CJ134" i="33" s="1"/>
  <c r="AT83" i="33" a="1"/>
  <c r="AT83" i="33" s="1"/>
  <c r="AK47" i="33" a="1"/>
  <c r="AK47" i="33" s="1"/>
  <c r="AK77" i="33" a="1"/>
  <c r="AK77" i="33" s="1"/>
  <c r="BE40" i="33" a="1"/>
  <c r="BE40" i="33" s="1"/>
  <c r="AS51" i="33" a="1"/>
  <c r="AS51" i="33" s="1"/>
  <c r="CL80" i="33" a="1"/>
  <c r="CL80" i="33" s="1"/>
  <c r="BC146" i="33" a="1"/>
  <c r="BC146" i="33" s="1"/>
  <c r="AD77" i="33" a="1"/>
  <c r="AD77" i="33" s="1"/>
  <c r="BE116" i="33" a="1"/>
  <c r="BE116" i="33" s="1"/>
  <c r="CV105" i="33" a="1"/>
  <c r="CV105" i="33" s="1"/>
  <c r="CQ68" i="33" a="1"/>
  <c r="CQ68" i="33" s="1"/>
  <c r="AV34" i="33" a="1"/>
  <c r="AV34" i="33" s="1"/>
  <c r="CL111" i="33" a="1"/>
  <c r="CL111" i="33" s="1"/>
  <c r="BN60" i="33" a="1"/>
  <c r="BN60" i="33" s="1"/>
  <c r="CT69" i="33" a="1"/>
  <c r="CT69" i="33" s="1"/>
  <c r="BO95" i="33" a="1"/>
  <c r="BO95" i="33" s="1"/>
  <c r="BY54" i="33" a="1"/>
  <c r="BY54" i="33" s="1"/>
  <c r="AK85" i="33" a="1"/>
  <c r="AK85" i="33" s="1"/>
  <c r="BW76" i="33" a="1"/>
  <c r="BW76" i="33" s="1"/>
  <c r="CS97" i="33" a="1"/>
  <c r="CS97" i="33" s="1"/>
  <c r="CK80" i="33" a="1"/>
  <c r="CK80" i="33" s="1"/>
  <c r="AD129" i="33" a="1"/>
  <c r="AD129" i="33" s="1"/>
  <c r="CK69" i="33" a="1"/>
  <c r="CK69" i="33" s="1"/>
  <c r="CJ86" i="33" a="1"/>
  <c r="CJ86" i="33" s="1"/>
  <c r="Z43" i="33" a="1"/>
  <c r="Z43" i="33" s="1"/>
  <c r="BR121" i="33" a="1"/>
  <c r="BR121" i="33" s="1"/>
  <c r="AX92" i="33" a="1"/>
  <c r="AX92" i="33" s="1"/>
  <c r="AK54" i="33" a="1"/>
  <c r="AK54" i="33" s="1"/>
  <c r="BF141" i="33" a="1"/>
  <c r="BF141" i="33" s="1"/>
  <c r="AJ138" i="33" a="1"/>
  <c r="AJ138" i="33" s="1"/>
  <c r="BM90" i="33" a="1"/>
  <c r="BM90" i="33" s="1"/>
  <c r="AV119" i="33" a="1"/>
  <c r="AV119" i="33" s="1"/>
  <c r="AJ82" i="33" a="1"/>
  <c r="AJ82" i="33" s="1"/>
  <c r="BD43" i="33" a="1"/>
  <c r="BD43" i="33" s="1"/>
  <c r="AA130" i="33" a="1"/>
  <c r="AA130" i="33" s="1"/>
  <c r="CV115" i="33" a="1"/>
  <c r="CV115" i="33" s="1"/>
  <c r="CG36" i="33" a="1"/>
  <c r="CG36" i="33" s="1"/>
  <c r="CR78" i="33" a="1"/>
  <c r="CR78" i="33" s="1"/>
  <c r="CT151" i="33" a="1"/>
  <c r="CT151" i="33" s="1"/>
  <c r="CH55" i="33" a="1"/>
  <c r="CH55" i="33" s="1"/>
  <c r="AV20" i="33" a="1"/>
  <c r="AV20" i="33" s="1"/>
  <c r="BN118" i="33" a="1"/>
  <c r="BN118" i="33" s="1"/>
  <c r="CG109" i="33" a="1"/>
  <c r="CG109" i="33" s="1"/>
  <c r="BZ68" i="33" a="1"/>
  <c r="BZ68" i="33" s="1"/>
  <c r="BX46" i="33" a="1"/>
  <c r="BX46" i="33" s="1"/>
  <c r="BW90" i="33" a="1"/>
  <c r="BW90" i="33" s="1"/>
  <c r="CK127" i="33" a="1"/>
  <c r="CK127" i="33" s="1"/>
  <c r="AT90" i="33" a="1"/>
  <c r="AT90" i="33" s="1"/>
  <c r="BD91" i="33" a="1"/>
  <c r="BD91" i="33" s="1"/>
  <c r="BW19" i="33" a="1"/>
  <c r="BW19" i="33" s="1"/>
  <c r="BN146" i="33" a="1"/>
  <c r="BN146" i="33" s="1"/>
  <c r="CS18" i="33" a="1"/>
  <c r="CS18" i="33" s="1"/>
  <c r="AA65" i="33" a="1"/>
  <c r="AA65" i="33" s="1"/>
  <c r="BN97" i="33" a="1"/>
  <c r="BN97" i="33" s="1"/>
  <c r="BF21" i="33" a="1"/>
  <c r="BF21" i="33" s="1"/>
  <c r="CK153" i="33" a="1"/>
  <c r="CK153" i="33" s="1"/>
  <c r="BC40" i="33" a="1"/>
  <c r="BC40" i="33" s="1"/>
  <c r="BC110" i="33" a="1"/>
  <c r="BC110" i="33" s="1"/>
  <c r="AT152" i="33" a="1"/>
  <c r="AT152" i="33" s="1"/>
  <c r="CT121" i="33" a="1"/>
  <c r="CT121" i="33" s="1"/>
  <c r="BE63" i="33" a="1"/>
  <c r="BE63" i="33" s="1"/>
  <c r="AU156" i="33" a="1"/>
  <c r="AU156" i="33" s="1"/>
  <c r="CJ115" i="33" a="1"/>
  <c r="CJ115" i="33" s="1"/>
  <c r="CK71" i="33" a="1"/>
  <c r="CK71" i="33" s="1"/>
  <c r="CS110" i="33" a="1"/>
  <c r="CS110" i="33" s="1"/>
  <c r="CT132" i="33" a="1"/>
  <c r="CT132" i="33" s="1"/>
  <c r="CR116" i="33" a="1"/>
  <c r="CR116" i="33" s="1"/>
  <c r="CS107" i="33" a="1"/>
  <c r="CS107" i="33" s="1"/>
  <c r="AD112" i="33" a="1"/>
  <c r="AD112" i="33" s="1"/>
  <c r="BF37" i="33" a="1"/>
  <c r="BF37" i="33" s="1"/>
  <c r="BE107" i="33" a="1"/>
  <c r="BE107" i="33" s="1"/>
  <c r="CQ18" i="33" a="1"/>
  <c r="CQ18" i="33" s="1"/>
  <c r="BM117" i="33" a="1"/>
  <c r="BM117" i="33" s="1"/>
  <c r="BD44" i="33" a="1"/>
  <c r="BD44" i="33" s="1"/>
  <c r="CT24" i="33" a="1"/>
  <c r="CT24" i="33" s="1"/>
  <c r="CH98" i="33" a="1"/>
  <c r="CH98" i="33" s="1"/>
  <c r="BD120" i="33" a="1"/>
  <c r="BD120" i="33" s="1"/>
  <c r="CV43" i="33" a="1"/>
  <c r="CV43" i="33" s="1"/>
  <c r="BC96" i="33" a="1"/>
  <c r="BC96" i="33" s="1"/>
  <c r="CG129" i="33" a="1"/>
  <c r="CG129" i="33" s="1"/>
  <c r="AT120" i="33" a="1"/>
  <c r="AT120" i="33" s="1"/>
  <c r="CT34" i="33" a="1"/>
  <c r="CT34" i="33" s="1"/>
  <c r="CR28" i="33" a="1"/>
  <c r="CR28" i="33" s="1"/>
  <c r="BN87" i="33" a="1"/>
  <c r="BN87" i="33" s="1"/>
  <c r="CH45" i="33" a="1"/>
  <c r="CH45" i="33" s="1"/>
  <c r="CG101" i="33" a="1"/>
  <c r="CG101" i="33" s="1"/>
  <c r="AS23" i="33" a="1"/>
  <c r="AS23" i="33" s="1"/>
  <c r="BN47" i="33" a="1"/>
  <c r="BN47" i="33" s="1"/>
  <c r="CR111" i="33" a="1"/>
  <c r="CR111" i="33" s="1"/>
  <c r="AU100" i="33" a="1"/>
  <c r="AU100" i="33" s="1"/>
  <c r="CR30" i="33" a="1"/>
  <c r="CR30" i="33" s="1"/>
  <c r="BZ120" i="33" a="1"/>
  <c r="BZ120" i="33" s="1"/>
  <c r="BD23" i="33" a="1"/>
  <c r="BD23" i="33" s="1"/>
  <c r="BZ144" i="33" a="1"/>
  <c r="BZ144" i="33" s="1"/>
  <c r="CG99" i="33" a="1"/>
  <c r="CG99" i="33" s="1"/>
  <c r="AV123" i="33" a="1"/>
  <c r="AV123" i="33" s="1"/>
  <c r="AT101" i="33" a="1"/>
  <c r="AT101" i="33" s="1"/>
  <c r="AJ130" i="33" a="1"/>
  <c r="AJ130" i="33" s="1"/>
  <c r="BD57" i="33" a="1"/>
  <c r="BD57" i="33" s="1"/>
  <c r="BW131" i="33" a="1"/>
  <c r="BW131" i="33" s="1"/>
  <c r="BZ109" i="33" a="1"/>
  <c r="BZ109" i="33" s="1"/>
  <c r="BX34" i="33" a="1"/>
  <c r="BX34" i="33" s="1"/>
  <c r="BN152" i="33" a="1"/>
  <c r="BN152" i="33" s="1"/>
  <c r="BZ88" i="33" a="1"/>
  <c r="BZ88" i="33" s="1"/>
  <c r="BD124" i="33" a="1"/>
  <c r="BD124" i="33" s="1"/>
  <c r="CH113" i="33" a="1"/>
  <c r="CH113" i="33" s="1"/>
  <c r="Z21" i="33" a="1"/>
  <c r="Z21" i="33" s="1"/>
  <c r="CQ41" i="33" a="1"/>
  <c r="CQ41" i="33" s="1"/>
  <c r="CT62" i="33" a="1"/>
  <c r="CT62" i="33" s="1"/>
  <c r="CT98" i="33" a="1"/>
  <c r="CT98" i="33" s="1"/>
  <c r="Z102" i="33" a="1"/>
  <c r="Z102" i="33" s="1"/>
  <c r="CG47" i="33" a="1"/>
  <c r="CG47" i="33" s="1"/>
  <c r="BZ155" i="33" a="1"/>
  <c r="BZ155" i="33" s="1"/>
  <c r="CI51" i="33" a="1"/>
  <c r="CI51" i="33" s="1"/>
  <c r="BM157" i="33" a="1"/>
  <c r="BM157" i="33" s="1"/>
  <c r="BM59" i="33" a="1"/>
  <c r="BM59" i="33" s="1"/>
  <c r="CH62" i="33" a="1"/>
  <c r="CH62" i="33" s="1"/>
  <c r="CR100" i="33" a="1"/>
  <c r="CR100" i="33" s="1"/>
  <c r="BX151" i="33" a="1"/>
  <c r="BX151" i="33" s="1"/>
  <c r="AJ58" i="33" a="1"/>
  <c r="AJ58" i="33" s="1"/>
  <c r="CH34" i="33" a="1"/>
  <c r="CH34" i="33" s="1"/>
  <c r="BI133" i="33" a="1"/>
  <c r="BI133" i="33" s="1"/>
  <c r="BY21" i="33" a="1"/>
  <c r="BY21" i="33" s="1"/>
  <c r="AV74" i="33" a="1"/>
  <c r="AV74" i="33" s="1"/>
  <c r="BE43" i="33" a="1"/>
  <c r="BE43" i="33" s="1"/>
  <c r="BY29" i="33" a="1"/>
  <c r="BY29" i="33" s="1"/>
  <c r="CV71" i="33" a="1"/>
  <c r="CV71" i="33" s="1"/>
  <c r="BF118" i="33" a="1"/>
  <c r="BF118" i="33" s="1"/>
  <c r="AL121" i="33" a="1"/>
  <c r="AL121" i="33" s="1"/>
  <c r="BE132" i="33" a="1"/>
  <c r="BE132" i="33" s="1"/>
  <c r="CK135" i="33" a="1"/>
  <c r="CK135" i="33" s="1"/>
  <c r="CK50" i="33" a="1"/>
  <c r="CK50" i="33" s="1"/>
  <c r="AX49" i="33" a="1"/>
  <c r="AX49" i="33" s="1"/>
  <c r="CK99" i="33" a="1"/>
  <c r="CK99" i="33" s="1"/>
  <c r="AB55" i="33" a="1"/>
  <c r="AB55" i="33" s="1"/>
  <c r="CK79" i="33" a="1"/>
  <c r="CK79" i="33" s="1"/>
  <c r="BY96" i="33" a="1"/>
  <c r="BY96" i="33" s="1"/>
  <c r="BO26" i="33" a="1"/>
  <c r="BO26" i="33" s="1"/>
  <c r="AK118" i="33" a="1"/>
  <c r="AK118" i="33" s="1"/>
  <c r="AN158" i="33" a="1"/>
  <c r="AN158" i="33" s="1"/>
  <c r="CT137" i="33" a="1"/>
  <c r="CT137" i="33" s="1"/>
  <c r="AU77" i="33" a="1"/>
  <c r="AU77" i="33" s="1"/>
  <c r="CV93" i="33" a="1"/>
  <c r="CV93" i="33" s="1"/>
  <c r="AO112" i="33" a="1"/>
  <c r="AO112" i="33" s="1"/>
  <c r="BX91" i="33" a="1"/>
  <c r="BX91" i="33" s="1"/>
  <c r="AL32" i="33" a="1"/>
  <c r="AL32" i="33" s="1"/>
  <c r="AV88" i="33" a="1"/>
  <c r="AV88" i="33" s="1"/>
  <c r="AK87" i="33" a="1"/>
  <c r="AK87" i="33" s="1"/>
  <c r="CS96" i="33" a="1"/>
  <c r="CS96" i="33" s="1"/>
  <c r="V144" i="33" a="1"/>
  <c r="V144" i="33" s="1"/>
  <c r="BD127" i="33" a="1"/>
  <c r="BD127" i="33" s="1"/>
  <c r="AY105" i="33" a="1"/>
  <c r="AY105" i="33" s="1"/>
  <c r="AA64" i="33" a="1"/>
  <c r="AA64" i="33" s="1"/>
  <c r="BY79" i="33" a="1"/>
  <c r="BY79" i="33" s="1"/>
  <c r="AK59" i="33" a="1"/>
  <c r="AK59" i="33" s="1"/>
  <c r="CJ89" i="33" a="1"/>
  <c r="CJ89" i="33" s="1"/>
  <c r="BF85" i="33" a="1"/>
  <c r="BF85" i="33" s="1"/>
  <c r="BF151" i="33" a="1"/>
  <c r="BF151" i="33" s="1"/>
  <c r="AL80" i="33" a="1"/>
  <c r="AL80" i="33" s="1"/>
  <c r="BE98" i="33" a="1"/>
  <c r="BE98" i="33" s="1"/>
  <c r="BZ70" i="33" a="1"/>
  <c r="BZ70" i="33" s="1"/>
  <c r="BI153" i="33" a="1"/>
  <c r="BI153" i="33" s="1"/>
  <c r="CS139" i="33" a="1"/>
  <c r="CS139" i="33" s="1"/>
  <c r="CV69" i="33" a="1"/>
  <c r="CV69" i="33" s="1"/>
  <c r="AK147" i="33" a="1"/>
  <c r="AK147" i="33" s="1"/>
  <c r="BE92" i="33" a="1"/>
  <c r="BE92" i="33" s="1"/>
  <c r="CG32" i="33" a="1"/>
  <c r="CG32" i="33" s="1"/>
  <c r="BY112" i="33" a="1"/>
  <c r="BY112" i="33" s="1"/>
  <c r="BS54" i="33" a="1"/>
  <c r="BS54" i="33" s="1"/>
  <c r="BD76" i="33" a="1"/>
  <c r="BD76" i="33" s="1"/>
  <c r="BR32" i="33" a="1"/>
  <c r="BR32" i="33" s="1"/>
  <c r="AU39" i="33" a="1"/>
  <c r="AU39" i="33" s="1"/>
  <c r="CK30" i="33" a="1"/>
  <c r="CK30" i="33" s="1"/>
  <c r="AA86" i="33" a="1"/>
  <c r="AA86" i="33" s="1"/>
  <c r="BS89" i="33" a="1"/>
  <c r="BS89" i="33" s="1"/>
  <c r="CL16" i="33" a="1"/>
  <c r="CL16" i="33" s="1"/>
  <c r="AJ153" i="33" a="1"/>
  <c r="AJ153" i="33" s="1"/>
  <c r="BE41" i="33" a="1"/>
  <c r="BE41" i="33" s="1"/>
  <c r="AK137" i="33" a="1"/>
  <c r="AK137" i="33" s="1"/>
  <c r="BO133" i="33" a="1"/>
  <c r="BO133" i="33" s="1"/>
  <c r="AN146" i="33" a="1"/>
  <c r="AN146" i="33" s="1"/>
  <c r="Z16" i="33" a="1"/>
  <c r="Z16" i="33" s="1"/>
  <c r="BF57" i="33" a="1"/>
  <c r="BF57" i="33" s="1"/>
  <c r="BD59" i="33" a="1"/>
  <c r="BD59" i="33" s="1"/>
  <c r="AD58" i="33" a="1"/>
  <c r="AD58" i="33" s="1"/>
  <c r="BO112" i="33" a="1"/>
  <c r="BO112" i="33" s="1"/>
  <c r="BF76" i="33" a="1"/>
  <c r="BF76" i="33" s="1"/>
  <c r="BM147" i="33" a="1"/>
  <c r="BM147" i="33" s="1"/>
  <c r="AU72" i="33" a="1"/>
  <c r="AU72" i="33" s="1"/>
  <c r="BY87" i="33" a="1"/>
  <c r="BY87" i="33" s="1"/>
  <c r="CH91" i="33" a="1"/>
  <c r="CH91" i="33" s="1"/>
  <c r="CK132" i="33" a="1"/>
  <c r="CK132" i="33" s="1"/>
  <c r="AU92" i="33" a="1"/>
  <c r="AU92" i="33" s="1"/>
  <c r="CV76" i="33" a="1"/>
  <c r="CV76" i="33" s="1"/>
  <c r="AJ56" i="33" a="1"/>
  <c r="AJ56" i="33" s="1"/>
  <c r="BO81" i="33" a="1"/>
  <c r="BO81" i="33" s="1"/>
  <c r="AT91" i="33" a="1"/>
  <c r="AT91" i="33" s="1"/>
  <c r="BO78" i="33" a="1"/>
  <c r="BO78" i="33" s="1"/>
  <c r="CK53" i="33" a="1"/>
  <c r="CK53" i="33" s="1"/>
  <c r="AK113" i="33" a="1"/>
  <c r="AK113" i="33" s="1"/>
  <c r="CI155" i="33" a="1"/>
  <c r="CI155" i="33" s="1"/>
  <c r="BF87" i="33" a="1"/>
  <c r="BF87" i="33" s="1"/>
  <c r="AD34" i="33" a="1"/>
  <c r="AD34" i="33" s="1"/>
  <c r="CS129" i="33" a="1"/>
  <c r="CS129" i="33" s="1"/>
  <c r="Z140" i="33" a="1"/>
  <c r="Z140" i="33" s="1"/>
  <c r="BO44" i="33" a="1"/>
  <c r="BO44" i="33" s="1"/>
  <c r="AK158" i="33" a="1"/>
  <c r="AK158" i="33" s="1"/>
  <c r="CG92" i="33" a="1"/>
  <c r="CG92" i="33" s="1"/>
  <c r="CS93" i="33" a="1"/>
  <c r="CS93" i="33" s="1"/>
  <c r="BY145" i="33" a="1"/>
  <c r="BY145" i="33" s="1"/>
  <c r="BR145" i="33" a="1"/>
  <c r="BR145" i="33" s="1"/>
  <c r="AU91" i="33" a="1"/>
  <c r="AU91" i="33" s="1"/>
  <c r="BM149" i="33" a="1"/>
  <c r="BM149" i="33" s="1"/>
  <c r="BR55" i="33" a="1"/>
  <c r="BR55" i="33" s="1"/>
  <c r="AD61" i="33" a="1"/>
  <c r="AD61" i="33" s="1"/>
  <c r="CK133" i="33" a="1"/>
  <c r="CK133" i="33" s="1"/>
  <c r="CG150" i="33" a="1"/>
  <c r="CG150" i="33" s="1"/>
  <c r="BM20" i="33" a="1"/>
  <c r="BM20" i="33" s="1"/>
  <c r="BO84" i="33" a="1"/>
  <c r="BO84" i="33" s="1"/>
  <c r="AL29" i="33" a="1"/>
  <c r="AL29" i="33" s="1"/>
  <c r="BC88" i="33" a="1"/>
  <c r="BC88" i="33" s="1"/>
  <c r="BO153" i="33" a="1"/>
  <c r="BO153" i="33" s="1"/>
  <c r="AL53" i="33" a="1"/>
  <c r="AL53" i="33" s="1"/>
  <c r="CL36" i="33" a="1"/>
  <c r="CL36" i="33" s="1"/>
  <c r="CJ57" i="33" a="1"/>
  <c r="CJ57" i="33" s="1"/>
  <c r="CQ57" i="33" a="1"/>
  <c r="CQ57" i="33" s="1"/>
  <c r="AA78" i="33" a="1"/>
  <c r="AA78" i="33" s="1"/>
  <c r="CV61" i="33" a="1"/>
  <c r="CV61" i="33" s="1"/>
  <c r="AN102" i="33" a="1"/>
  <c r="AN102" i="33" s="1"/>
  <c r="AA26" i="33" a="1"/>
  <c r="AA26" i="33" s="1"/>
  <c r="CK94" i="33" a="1"/>
  <c r="CK94" i="33" s="1"/>
  <c r="BF138" i="33" a="1"/>
  <c r="BF138" i="33" s="1"/>
  <c r="BC125" i="33" a="1"/>
  <c r="BC125" i="33" s="1"/>
  <c r="BE58" i="33" a="1"/>
  <c r="BE58" i="33" s="1"/>
  <c r="CL155" i="33" a="1"/>
  <c r="CL155" i="33" s="1"/>
  <c r="CK139" i="33" a="1"/>
  <c r="CK139" i="33" s="1"/>
  <c r="AX153" i="33" a="1"/>
  <c r="AX153" i="33" s="1"/>
  <c r="AL14" i="33" a="1"/>
  <c r="AL14" i="33" s="1"/>
  <c r="BX74" i="33" a="1"/>
  <c r="BX74" i="33" s="1"/>
  <c r="CV67" i="33" a="1"/>
  <c r="CV67" i="33" s="1"/>
  <c r="CV155" i="33" a="1"/>
  <c r="CV155" i="33" s="1"/>
  <c r="BZ134" i="33" a="1"/>
  <c r="BZ134" i="33" s="1"/>
  <c r="BN88" i="33" a="1"/>
  <c r="BN88" i="33" s="1"/>
  <c r="CL77" i="33" a="1"/>
  <c r="CL77" i="33" s="1"/>
  <c r="BO29" i="33" a="1"/>
  <c r="BO29" i="33" s="1"/>
  <c r="CI117" i="33" a="1"/>
  <c r="CI117" i="33" s="1"/>
  <c r="AJ91" i="33" a="1"/>
  <c r="AJ91" i="33" s="1"/>
  <c r="AK148" i="33" a="1"/>
  <c r="AK148" i="33" s="1"/>
  <c r="BY88" i="33" a="1"/>
  <c r="BY88" i="33" s="1"/>
  <c r="CK55" i="33" a="1"/>
  <c r="CK55" i="33" s="1"/>
  <c r="BY64" i="33" a="1"/>
  <c r="BY64" i="33" s="1"/>
  <c r="AX133" i="33" a="1"/>
  <c r="AX133" i="33" s="1"/>
  <c r="BW28" i="33" a="1"/>
  <c r="BW28" i="33" s="1"/>
  <c r="BO149" i="33" a="1"/>
  <c r="BO149" i="33" s="1"/>
  <c r="AL57" i="33" a="1"/>
  <c r="AL57" i="33" s="1"/>
  <c r="CV90" i="33" a="1"/>
  <c r="CV90" i="33" s="1"/>
  <c r="CI66" i="33" a="1"/>
  <c r="CI66" i="33" s="1"/>
  <c r="CI148" i="33" a="1"/>
  <c r="CI148" i="33" s="1"/>
  <c r="BX25" i="33" a="1"/>
  <c r="BX25" i="33" s="1"/>
  <c r="BE54" i="33" a="1"/>
  <c r="BE54" i="33" s="1"/>
  <c r="Z23" i="33" a="1"/>
  <c r="Z23" i="33" s="1"/>
  <c r="BX73" i="33" a="1"/>
  <c r="BX73" i="33" s="1"/>
  <c r="AU56" i="33" a="1"/>
  <c r="AU56" i="33" s="1"/>
  <c r="BD28" i="33" a="1"/>
  <c r="BD28" i="33" s="1"/>
  <c r="CQ109" i="33" a="1"/>
  <c r="CQ109" i="33" s="1"/>
  <c r="AJ50" i="33" a="1"/>
  <c r="AJ50" i="33" s="1"/>
  <c r="CH150" i="33" a="1"/>
  <c r="CH150" i="33" s="1"/>
  <c r="BD25" i="33" a="1"/>
  <c r="BD25" i="33" s="1"/>
  <c r="Z59" i="33" a="1"/>
  <c r="Z59" i="33" s="1"/>
  <c r="AV66" i="33" a="1"/>
  <c r="AV66" i="33" s="1"/>
  <c r="CT14" i="33" a="1"/>
  <c r="CT14" i="33" s="1"/>
  <c r="CT15" i="33" a="1"/>
  <c r="CT15" i="33" s="1"/>
  <c r="AU59" i="33" a="1"/>
  <c r="AU59" i="33" s="1"/>
  <c r="AU27" i="33" a="1"/>
  <c r="AU27" i="33" s="1"/>
  <c r="AJ139" i="33" a="1"/>
  <c r="AJ139" i="33" s="1"/>
  <c r="BF130" i="33" a="1"/>
  <c r="BF130" i="33" s="1"/>
  <c r="BO22" i="33" a="1"/>
  <c r="BO22" i="33" s="1"/>
  <c r="CS90" i="33" a="1"/>
  <c r="CS90" i="33" s="1"/>
  <c r="CV113" i="33" a="1"/>
  <c r="CV113" i="33" s="1"/>
  <c r="AJ64" i="33" a="1"/>
  <c r="AJ64" i="33" s="1"/>
  <c r="BZ147" i="33" a="1"/>
  <c r="BZ147" i="33" s="1"/>
  <c r="AD148" i="33" a="1"/>
  <c r="AD148" i="33" s="1"/>
  <c r="BD92" i="33" a="1"/>
  <c r="BD92" i="33" s="1"/>
  <c r="AL22" i="33" a="1"/>
  <c r="AL22" i="33" s="1"/>
  <c r="BN79" i="33" a="1"/>
  <c r="BN79" i="33" s="1"/>
  <c r="BF24" i="33" a="1"/>
  <c r="BF24" i="33" s="1"/>
  <c r="AK71" i="33" a="1"/>
  <c r="AK71" i="33" s="1"/>
  <c r="AV39" i="33" a="1"/>
  <c r="AV39" i="33" s="1"/>
  <c r="AA141" i="33" a="1"/>
  <c r="AA141" i="33" s="1"/>
  <c r="CR40" i="33" a="1"/>
  <c r="CR40" i="33" s="1"/>
  <c r="BX63" i="33" a="1"/>
  <c r="BX63" i="33" s="1"/>
  <c r="BX66" i="33" a="1"/>
  <c r="BX66" i="33" s="1"/>
  <c r="BW65" i="33" a="1"/>
  <c r="BW65" i="33" s="1"/>
  <c r="Z147" i="33" a="1"/>
  <c r="Z147" i="33" s="1"/>
  <c r="CR68" i="33" a="1"/>
  <c r="CR68" i="33" s="1"/>
  <c r="AK48" i="33" a="1"/>
  <c r="AK48" i="33" s="1"/>
  <c r="CC70" i="33" a="1"/>
  <c r="CC70" i="33" s="1"/>
  <c r="BO111" i="33" a="1"/>
  <c r="BO111" i="33" s="1"/>
  <c r="CV138" i="33" a="1"/>
  <c r="CV138" i="33" s="1"/>
  <c r="CK130" i="33" a="1"/>
  <c r="CK130" i="33" s="1"/>
  <c r="CG91" i="33" a="1"/>
  <c r="CG91" i="33" s="1"/>
  <c r="AE31" i="33" a="1"/>
  <c r="AE31" i="33" s="1"/>
  <c r="BF15" i="33" a="1"/>
  <c r="BF15" i="33" s="1"/>
  <c r="CJ91" i="33" a="1"/>
  <c r="CJ91" i="33" s="1"/>
  <c r="CK83" i="33" a="1"/>
  <c r="CK83" i="33" s="1"/>
  <c r="AS72" i="33" a="1"/>
  <c r="AS72" i="33" s="1"/>
  <c r="BE109" i="33" a="1"/>
  <c r="BE109" i="33" s="1"/>
  <c r="CV66" i="33" a="1"/>
  <c r="CV66" i="33" s="1"/>
  <c r="CQ110" i="33" a="1"/>
  <c r="CQ110" i="33" s="1"/>
  <c r="AN38" i="33" a="1"/>
  <c r="AN38" i="33" s="1"/>
  <c r="BF92" i="33" a="1"/>
  <c r="BF92" i="33" s="1"/>
  <c r="AD119" i="33" a="1"/>
  <c r="AD119" i="33" s="1"/>
  <c r="CR94" i="33" a="1"/>
  <c r="CR94" i="33" s="1"/>
  <c r="BY133" i="33" a="1"/>
  <c r="BY133" i="33" s="1"/>
  <c r="CV127" i="33" a="1"/>
  <c r="CV127" i="33" s="1"/>
  <c r="CM20" i="33" a="1"/>
  <c r="CM20" i="33" s="1"/>
  <c r="CS142" i="33" a="1"/>
  <c r="CS142" i="33" s="1"/>
  <c r="BF135" i="33" a="1"/>
  <c r="BF135" i="33" s="1"/>
  <c r="BP93" i="33" a="1"/>
  <c r="BP93" i="33" s="1"/>
  <c r="CI99" i="33" a="1"/>
  <c r="CI99" i="33" s="1"/>
  <c r="AU64" i="33" a="1"/>
  <c r="AU64" i="33" s="1"/>
  <c r="BO48" i="33" a="1"/>
  <c r="BO48" i="33" s="1"/>
  <c r="BR82" i="33" a="1"/>
  <c r="BR82" i="33" s="1"/>
  <c r="BF154" i="33" a="1"/>
  <c r="BF154" i="33" s="1"/>
  <c r="AU57" i="33" a="1"/>
  <c r="AU57" i="33" s="1"/>
  <c r="CR32" i="33" a="1"/>
  <c r="CR32" i="33" s="1"/>
  <c r="BM122" i="33" a="1"/>
  <c r="BM122" i="33" s="1"/>
  <c r="CK131" i="33" a="1"/>
  <c r="CK131" i="33" s="1"/>
  <c r="AK106" i="33" a="1"/>
  <c r="AK106" i="33" s="1"/>
  <c r="AV71" i="33" a="1"/>
  <c r="AV71" i="33" s="1"/>
  <c r="BY66" i="33" a="1"/>
  <c r="BY66" i="33" s="1"/>
  <c r="BO60" i="33" a="1"/>
  <c r="BO60" i="33" s="1"/>
  <c r="AA100" i="33" a="1"/>
  <c r="AA100" i="33" s="1"/>
  <c r="AX81" i="33" a="1"/>
  <c r="AX81" i="33" s="1"/>
  <c r="CK112" i="33" a="1"/>
  <c r="CK112" i="33" s="1"/>
  <c r="AA80" i="33" a="1"/>
  <c r="AA80" i="33" s="1"/>
  <c r="AY34" i="33" a="1"/>
  <c r="AY34" i="33" s="1"/>
  <c r="CT136" i="33" a="1"/>
  <c r="CT136" i="33" s="1"/>
  <c r="AE153" i="33" a="1"/>
  <c r="AE153" i="33" s="1"/>
  <c r="CS71" i="33" a="1"/>
  <c r="CS71" i="33" s="1"/>
  <c r="AT104" i="33" a="1"/>
  <c r="AT104" i="33" s="1"/>
  <c r="AV140" i="33" a="1"/>
  <c r="AV140" i="33" s="1"/>
  <c r="CL96" i="33" a="1"/>
  <c r="CL96" i="33" s="1"/>
  <c r="CI158" i="33" a="1"/>
  <c r="CI158" i="33" s="1"/>
  <c r="BF113" i="33" a="1"/>
  <c r="BF113" i="33" s="1"/>
  <c r="AL91" i="33" a="1"/>
  <c r="AL91" i="33" s="1"/>
  <c r="BY138" i="33" a="1"/>
  <c r="BY138" i="33" s="1"/>
  <c r="BE161" i="33" a="1"/>
  <c r="BE161" i="33" s="1"/>
  <c r="CE101" i="33" a="1"/>
  <c r="CE101" i="33" s="1"/>
  <c r="AL116" i="33" a="1"/>
  <c r="AL116" i="33" s="1"/>
  <c r="CH46" i="33" a="1"/>
  <c r="CH46" i="33" s="1"/>
  <c r="AN22" i="33" a="1"/>
  <c r="AN22" i="33" s="1"/>
  <c r="BO89" i="33" a="1"/>
  <c r="BO89" i="33" s="1"/>
  <c r="CI134" i="33" a="1"/>
  <c r="CI134" i="33" s="1"/>
  <c r="BF64" i="33" a="1"/>
  <c r="BF64" i="33" s="1"/>
  <c r="AE146" i="33" a="1"/>
  <c r="AE146" i="33" s="1"/>
  <c r="BO83" i="33" a="1"/>
  <c r="BO83" i="33" s="1"/>
  <c r="BF60" i="33" a="1"/>
  <c r="BF60" i="33" s="1"/>
  <c r="BX89" i="33" a="1"/>
  <c r="BX89" i="33" s="1"/>
  <c r="AK32" i="33" a="1"/>
  <c r="AK32" i="33" s="1"/>
  <c r="CV103" i="33" a="1"/>
  <c r="CV103" i="33" s="1"/>
  <c r="CK147" i="33" a="1"/>
  <c r="CK147" i="33" s="1"/>
  <c r="AU61" i="33" a="1"/>
  <c r="AU61" i="33" s="1"/>
  <c r="Z26" i="33" a="1"/>
  <c r="Z26" i="33" s="1"/>
  <c r="BF98" i="33" a="1"/>
  <c r="BF98" i="33" s="1"/>
  <c r="CS101" i="33" a="1"/>
  <c r="CS101" i="33" s="1"/>
  <c r="BR117" i="33" a="1"/>
  <c r="BR117" i="33" s="1"/>
  <c r="AV129" i="33" a="1"/>
  <c r="AV129" i="33" s="1"/>
  <c r="AK19" i="33" a="1"/>
  <c r="AK19" i="33" s="1"/>
  <c r="BF158" i="33" a="1"/>
  <c r="BF158" i="33" s="1"/>
  <c r="BD71" i="33" a="1"/>
  <c r="BD71" i="33" s="1"/>
  <c r="CV37" i="33" a="1"/>
  <c r="CV37" i="33" s="1"/>
  <c r="BX65" i="33" a="1"/>
  <c r="BX65" i="33" s="1"/>
  <c r="BY51" i="33" a="1"/>
  <c r="BY51" i="33" s="1"/>
  <c r="AU147" i="33" a="1"/>
  <c r="AU147" i="33" s="1"/>
  <c r="CV20" i="33" a="1"/>
  <c r="CV20" i="33" s="1"/>
  <c r="AT36" i="33" a="1"/>
  <c r="AT36" i="33" s="1"/>
  <c r="AV41" i="33" a="1"/>
  <c r="AV41" i="33" s="1"/>
  <c r="AK15" i="33" a="1"/>
  <c r="AK15" i="33" s="1"/>
  <c r="CK161" i="33" a="1"/>
  <c r="CK161" i="33" s="1"/>
  <c r="CL148" i="33" a="1"/>
  <c r="CL148" i="33" s="1"/>
  <c r="CL147" i="33" a="1"/>
  <c r="CL147" i="33" s="1"/>
  <c r="CV86" i="33" a="1"/>
  <c r="CV86" i="33" s="1"/>
  <c r="CV112" i="33" a="1"/>
  <c r="CV112" i="33" s="1"/>
  <c r="BR98" i="33" a="1"/>
  <c r="BR98" i="33" s="1"/>
  <c r="CI150" i="33" a="1"/>
  <c r="CI150" i="33" s="1"/>
  <c r="BO118" i="33" a="1"/>
  <c r="BO118" i="33" s="1"/>
  <c r="BY18" i="33" a="1"/>
  <c r="BY18" i="33" s="1"/>
  <c r="AK22" i="33" a="1"/>
  <c r="AK22" i="33" s="1"/>
  <c r="BD97" i="33" a="1"/>
  <c r="BD97" i="33" s="1"/>
  <c r="BE146" i="33" a="1"/>
  <c r="BE146" i="33" s="1"/>
  <c r="CJ45" i="33" a="1"/>
  <c r="CJ45" i="33" s="1"/>
  <c r="BY43" i="33" a="1"/>
  <c r="BY43" i="33" s="1"/>
  <c r="CT97" i="33" a="1"/>
  <c r="CT97" i="33" s="1"/>
  <c r="CQ132" i="33" a="1"/>
  <c r="CQ132" i="33" s="1"/>
  <c r="CK22" i="33" a="1"/>
  <c r="CK22" i="33" s="1"/>
  <c r="CM124" i="33" a="1"/>
  <c r="CM124" i="33" s="1"/>
  <c r="CL150" i="33" a="1"/>
  <c r="CL150" i="33" s="1"/>
  <c r="CK95" i="33" a="1"/>
  <c r="CK95" i="33" s="1"/>
  <c r="BO129" i="33" a="1"/>
  <c r="BO129" i="33" s="1"/>
  <c r="BE30" i="33" a="1"/>
  <c r="BE30" i="33" s="1"/>
  <c r="BE53" i="33" a="1"/>
  <c r="BE53" i="33" s="1"/>
  <c r="BF102" i="33" a="1"/>
  <c r="BF102" i="33" s="1"/>
  <c r="AU62" i="33" a="1"/>
  <c r="AU62" i="33" s="1"/>
  <c r="BX98" i="33" a="1"/>
  <c r="BX98" i="33" s="1"/>
  <c r="BY28" i="33" a="1"/>
  <c r="BY28" i="33" s="1"/>
  <c r="BN67" i="33" a="1"/>
  <c r="BN67" i="33" s="1"/>
  <c r="BF48" i="33" a="1"/>
  <c r="BF48" i="33" s="1"/>
  <c r="CH143" i="33" a="1"/>
  <c r="CH143" i="33" s="1"/>
  <c r="CQ113" i="33" a="1"/>
  <c r="CQ113" i="33" s="1"/>
  <c r="AE108" i="33" a="1"/>
  <c r="AE108" i="33" s="1"/>
  <c r="BO46" i="33" a="1"/>
  <c r="BO46" i="33" s="1"/>
  <c r="AK66" i="33" a="1"/>
  <c r="AK66" i="33" s="1"/>
  <c r="BO87" i="33" a="1"/>
  <c r="BO87" i="33" s="1"/>
  <c r="AB65" i="33" a="1"/>
  <c r="AB65" i="33" s="1"/>
  <c r="BF107" i="33" a="1"/>
  <c r="BF107" i="33" s="1"/>
  <c r="AV51" i="33" a="1"/>
  <c r="AV51" i="33" s="1"/>
  <c r="AE145" i="33" a="1"/>
  <c r="AE145" i="33" s="1"/>
  <c r="AU53" i="33" a="1"/>
  <c r="AU53" i="33" s="1"/>
  <c r="CV23" i="33" a="1"/>
  <c r="CV23" i="33" s="1"/>
  <c r="AU17" i="33" a="1"/>
  <c r="AU17" i="33" s="1"/>
  <c r="BR140" i="33" a="1"/>
  <c r="BR140" i="33" s="1"/>
  <c r="CK76" i="33" a="1"/>
  <c r="CK76" i="33" s="1"/>
  <c r="AK157" i="33" a="1"/>
  <c r="AK157" i="33" s="1"/>
  <c r="AK27" i="33" a="1"/>
  <c r="AK27" i="33" s="1"/>
  <c r="BF88" i="33" a="1"/>
  <c r="BF88" i="33" s="1"/>
  <c r="AJ25" i="33" a="1"/>
  <c r="AJ25" i="33" s="1"/>
  <c r="AJ65" i="33" a="1"/>
  <c r="AJ65" i="33" s="1"/>
  <c r="BN82" i="33" a="1"/>
  <c r="BN82" i="33" s="1"/>
  <c r="AT100" i="33" a="1"/>
  <c r="AT100" i="33" s="1"/>
  <c r="CR90" i="33" a="1"/>
  <c r="CR90" i="33" s="1"/>
  <c r="CR85" i="33" a="1"/>
  <c r="CR85" i="33" s="1"/>
  <c r="BZ79" i="33" a="1"/>
  <c r="BZ79" i="33" s="1"/>
  <c r="CT42" i="33" a="1"/>
  <c r="CT42" i="33" s="1"/>
  <c r="AT55" i="33" a="1"/>
  <c r="AT55" i="33" s="1"/>
  <c r="BZ125" i="33" a="1"/>
  <c r="BZ125" i="33" s="1"/>
  <c r="CV63" i="33" a="1"/>
  <c r="CV63" i="33" s="1"/>
  <c r="BN18" i="33" a="1"/>
  <c r="BN18" i="33" s="1"/>
  <c r="BC155" i="33" a="1"/>
  <c r="BC155" i="33" s="1"/>
  <c r="AL15" i="33" a="1"/>
  <c r="AL15" i="33" s="1"/>
  <c r="Z89" i="33" a="1"/>
  <c r="Z89" i="33" s="1"/>
  <c r="BZ122" i="33" a="1"/>
  <c r="BZ122" i="33" s="1"/>
  <c r="BE37" i="33" a="1"/>
  <c r="BE37" i="33" s="1"/>
  <c r="BM116" i="33" a="1"/>
  <c r="BM116" i="33" s="1"/>
  <c r="AK63" i="33" a="1"/>
  <c r="AK63" i="33" s="1"/>
  <c r="BX54" i="33" a="1"/>
  <c r="BX54" i="33" s="1"/>
  <c r="BN77" i="33" a="1"/>
  <c r="BN77" i="33" s="1"/>
  <c r="CR148" i="33" a="1"/>
  <c r="CR148" i="33" s="1"/>
  <c r="CH51" i="33" a="1"/>
  <c r="CH51" i="33" s="1"/>
  <c r="AU99" i="33" a="1"/>
  <c r="AU99" i="33" s="1"/>
  <c r="BO125" i="33" a="1"/>
  <c r="BO125" i="33" s="1"/>
  <c r="Z112" i="33" a="1"/>
  <c r="Z112" i="33" s="1"/>
  <c r="BE17" i="33" a="1"/>
  <c r="BE17" i="33" s="1"/>
  <c r="BX104" i="33" a="1"/>
  <c r="BX104" i="33" s="1"/>
  <c r="Z99" i="33" a="1"/>
  <c r="Z99" i="33" s="1"/>
  <c r="BZ119" i="33" a="1"/>
  <c r="BZ119" i="33" s="1"/>
  <c r="BO97" i="33" a="1"/>
  <c r="BO97" i="33" s="1"/>
  <c r="CV114" i="33" a="1"/>
  <c r="CV114" i="33" s="1"/>
  <c r="CL95" i="33" a="1"/>
  <c r="CL95" i="33" s="1"/>
  <c r="CJ114" i="33" a="1"/>
  <c r="CJ114" i="33" s="1"/>
  <c r="BE70" i="33" a="1"/>
  <c r="BE70" i="33" s="1"/>
  <c r="AU24" i="33" a="1"/>
  <c r="AU24" i="33" s="1"/>
  <c r="BR37" i="33" a="1"/>
  <c r="BR37" i="33" s="1"/>
  <c r="BZ157" i="33" a="1"/>
  <c r="BZ157" i="33" s="1"/>
  <c r="BN154" i="33" a="1"/>
  <c r="BN154" i="33" s="1"/>
  <c r="AU108" i="33" a="1"/>
  <c r="AU108" i="33" s="1"/>
  <c r="AT122" i="33" a="1"/>
  <c r="AT122" i="33" s="1"/>
  <c r="CR102" i="33" a="1"/>
  <c r="CR102" i="33" s="1"/>
  <c r="BX148" i="33" a="1"/>
  <c r="BX148" i="33" s="1"/>
  <c r="CS55" i="33" a="1"/>
  <c r="CS55" i="33" s="1"/>
  <c r="BX125" i="33" a="1"/>
  <c r="BX125" i="33" s="1"/>
  <c r="BO36" i="33" a="1"/>
  <c r="BO36" i="33" s="1"/>
  <c r="AF52" i="33" a="1"/>
  <c r="AF52" i="33" s="1"/>
  <c r="AU143" i="33" a="1"/>
  <c r="AU143" i="33" s="1"/>
  <c r="CK150" i="33" a="1"/>
  <c r="CK150" i="33" s="1"/>
  <c r="CT129" i="33" a="1"/>
  <c r="CT129" i="33" s="1"/>
  <c r="CV92" i="33" a="1"/>
  <c r="CV92" i="33" s="1"/>
  <c r="AK83" i="33" a="1"/>
  <c r="AK83" i="33" s="1"/>
  <c r="AO144" i="33" a="1"/>
  <c r="AO144" i="33" s="1"/>
  <c r="AL65" i="33" a="1"/>
  <c r="AL65" i="33" s="1"/>
  <c r="BY134" i="33" a="1"/>
  <c r="BY134" i="33" s="1"/>
  <c r="AA76" i="33" a="1"/>
  <c r="AA76" i="33" s="1"/>
  <c r="CV94" i="33" a="1"/>
  <c r="CV94" i="33" s="1"/>
  <c r="CG115" i="33" a="1"/>
  <c r="CG115" i="33" s="1"/>
  <c r="AK88" i="33" a="1"/>
  <c r="AK88" i="33" s="1"/>
  <c r="AK141" i="33" a="1"/>
  <c r="AK141" i="33" s="1"/>
  <c r="AE140" i="33" a="1"/>
  <c r="AE140" i="33" s="1"/>
  <c r="CI53" i="33" a="1"/>
  <c r="CI53" i="33" s="1"/>
  <c r="BR30" i="33" a="1"/>
  <c r="BR30" i="33" s="1"/>
  <c r="BY71" i="33" a="1"/>
  <c r="BY71" i="33" s="1"/>
  <c r="Z84" i="33" a="1"/>
  <c r="Z84" i="33" s="1"/>
  <c r="CJ104" i="33" a="1"/>
  <c r="CJ104" i="33" s="1"/>
  <c r="BR74" i="33" a="1"/>
  <c r="BR74" i="33" s="1"/>
  <c r="AA109" i="33" a="1"/>
  <c r="AA109" i="33" s="1"/>
  <c r="AA17" i="33" a="1"/>
  <c r="AA17" i="33" s="1"/>
  <c r="AK145" i="33" a="1"/>
  <c r="AK145" i="33" s="1"/>
  <c r="AK80" i="33" a="1"/>
  <c r="AK80" i="33" s="1"/>
  <c r="AK153" i="33" a="1"/>
  <c r="AK153" i="33" s="1"/>
  <c r="Z91" i="33" a="1"/>
  <c r="Z91" i="33" s="1"/>
  <c r="BP83" i="33" a="1"/>
  <c r="BP83" i="33" s="1"/>
  <c r="BR160" i="33" a="1"/>
  <c r="BR160" i="33" s="1"/>
  <c r="CV110" i="33" a="1"/>
  <c r="CV110" i="33" s="1"/>
  <c r="BR80" i="33" a="1"/>
  <c r="BR80" i="33" s="1"/>
  <c r="AO106" i="33" a="1"/>
  <c r="AO106" i="33" s="1"/>
  <c r="BF27" i="33" a="1"/>
  <c r="BF27" i="33" s="1"/>
  <c r="BY154" i="33" a="1"/>
  <c r="BY154" i="33" s="1"/>
  <c r="CI28" i="33" a="1"/>
  <c r="CI28" i="33" s="1"/>
  <c r="CK120" i="33" a="1"/>
  <c r="CK120" i="33" s="1"/>
  <c r="AA49" i="33" a="1"/>
  <c r="AA49" i="33" s="1"/>
  <c r="AU116" i="33" a="1"/>
  <c r="AU116" i="33" s="1"/>
  <c r="CL40" i="33" a="1"/>
  <c r="CL40" i="33" s="1"/>
  <c r="AV94" i="33" a="1"/>
  <c r="AV94" i="33" s="1"/>
  <c r="BY20" i="33" a="1"/>
  <c r="BY20" i="33" s="1"/>
  <c r="AL59" i="33" a="1"/>
  <c r="AL59" i="33" s="1"/>
  <c r="CJ64" i="33" a="1"/>
  <c r="CJ64" i="33" s="1"/>
  <c r="AS17" i="33" a="1"/>
  <c r="AS17" i="33" s="1"/>
  <c r="BR54" i="33" a="1"/>
  <c r="BR54" i="33" s="1"/>
  <c r="CB102" i="33" a="1"/>
  <c r="CB102" i="33" s="1"/>
  <c r="AJ92" i="33" a="1"/>
  <c r="AJ92" i="33" s="1"/>
  <c r="AU86" i="33" a="1"/>
  <c r="AU86" i="33" s="1"/>
  <c r="AL112" i="33" a="1"/>
  <c r="AL112" i="33" s="1"/>
  <c r="CS59" i="33" a="1"/>
  <c r="CS59" i="33" s="1"/>
  <c r="CQ48" i="33" a="1"/>
  <c r="CQ48" i="33" s="1"/>
  <c r="CL120" i="33" a="1"/>
  <c r="CL120" i="33" s="1"/>
  <c r="BF91" i="33" a="1"/>
  <c r="BF91" i="33" s="1"/>
  <c r="CS157" i="33" a="1"/>
  <c r="CS157" i="33" s="1"/>
  <c r="BF142" i="33" a="1"/>
  <c r="BF142" i="33" s="1"/>
  <c r="CR75" i="33" a="1"/>
  <c r="CR75" i="33" s="1"/>
  <c r="BF139" i="33" a="1"/>
  <c r="BF139" i="33" s="1"/>
  <c r="BE76" i="33" a="1"/>
  <c r="BE76" i="33" s="1"/>
  <c r="AU37" i="33" a="1"/>
  <c r="AU37" i="33" s="1"/>
  <c r="BO40" i="33" a="1"/>
  <c r="BO40" i="33" s="1"/>
  <c r="BY108" i="33" a="1"/>
  <c r="BY108" i="33" s="1"/>
  <c r="BE152" i="33" a="1"/>
  <c r="BE152" i="33" s="1"/>
  <c r="AE127" i="33" a="1"/>
  <c r="AE127" i="33" s="1"/>
  <c r="AK23" i="33" a="1"/>
  <c r="AK23" i="33" s="1"/>
  <c r="CK21" i="33" a="1"/>
  <c r="CK21" i="33" s="1"/>
  <c r="CK97" i="33" a="1"/>
  <c r="CK97" i="33" s="1"/>
  <c r="AK41" i="33" a="1"/>
  <c r="AK41" i="33" s="1"/>
  <c r="BE128" i="33" a="1"/>
  <c r="BE128" i="33" s="1"/>
  <c r="BW121" i="33" a="1"/>
  <c r="BW121" i="33" s="1"/>
  <c r="CK105" i="33" a="1"/>
  <c r="CK105" i="33" s="1"/>
  <c r="CL88" i="33" a="1"/>
  <c r="CL88" i="33" s="1"/>
  <c r="AA126" i="33" a="1"/>
  <c r="AA126" i="33" s="1"/>
  <c r="CK142" i="33" a="1"/>
  <c r="CK142" i="33" s="1"/>
  <c r="CJ147" i="33" a="1"/>
  <c r="CJ147" i="33" s="1"/>
  <c r="AU81" i="33" a="1"/>
  <c r="AU81" i="33" s="1"/>
  <c r="CV22" i="33" a="1"/>
  <c r="CV22" i="33" s="1"/>
  <c r="BM82" i="33" a="1"/>
  <c r="BM82" i="33" s="1"/>
  <c r="BF125" i="33" a="1"/>
  <c r="BF125" i="33" s="1"/>
  <c r="BR70" i="33" a="1"/>
  <c r="BR70" i="33" s="1"/>
  <c r="AS113" i="33" a="1"/>
  <c r="AS113" i="33" s="1"/>
  <c r="BX105" i="33" a="1"/>
  <c r="BX105" i="33" s="1"/>
  <c r="BR157" i="33" a="1"/>
  <c r="BR157" i="33" s="1"/>
  <c r="CK90" i="33" a="1"/>
  <c r="CK90" i="33" s="1"/>
  <c r="BF124" i="33" a="1"/>
  <c r="BF124" i="33" s="1"/>
  <c r="CI153" i="33" a="1"/>
  <c r="CI153" i="33" s="1"/>
  <c r="BO104" i="33" a="1"/>
  <c r="BO104" i="33" s="1"/>
  <c r="CI118" i="33" a="1"/>
  <c r="CI118" i="33" s="1"/>
  <c r="BE25" i="33" a="1"/>
  <c r="BE25" i="33" s="1"/>
  <c r="AL16" i="33" a="1"/>
  <c r="AL16" i="33" s="1"/>
  <c r="AA139" i="33" a="1"/>
  <c r="AA139" i="33" s="1"/>
  <c r="AT53" i="33" a="1"/>
  <c r="AT53" i="33" s="1"/>
  <c r="AU58" i="33" a="1"/>
  <c r="AU58" i="33" s="1"/>
  <c r="AK67" i="33" a="1"/>
  <c r="AK67" i="33" s="1"/>
  <c r="AK37" i="33" a="1"/>
  <c r="AK37" i="33" s="1"/>
  <c r="CT23" i="33" a="1"/>
  <c r="CT23" i="33" s="1"/>
  <c r="BY33" i="33" a="1"/>
  <c r="BY33" i="33" s="1"/>
  <c r="CG45" i="33" a="1"/>
  <c r="CG45" i="33" s="1"/>
  <c r="BO161" i="33" a="1"/>
  <c r="BO161" i="33" s="1"/>
  <c r="CV46" i="33" a="1"/>
  <c r="CV46" i="33" s="1"/>
  <c r="AT57" i="33" a="1"/>
  <c r="AT57" i="33" s="1"/>
  <c r="BR72" i="33" a="1"/>
  <c r="BR72" i="33" s="1"/>
  <c r="CS78" i="33" a="1"/>
  <c r="CS78" i="33" s="1"/>
  <c r="BF128" i="33" a="1"/>
  <c r="BF128" i="33" s="1"/>
  <c r="AJ110" i="33" a="1"/>
  <c r="AJ110" i="33" s="1"/>
  <c r="BX101" i="33" a="1"/>
  <c r="BX101" i="33" s="1"/>
  <c r="CL15" i="33" a="1"/>
  <c r="CL15" i="33" s="1"/>
  <c r="CV141" i="33" a="1"/>
  <c r="CV141" i="33" s="1"/>
  <c r="BC101" i="33" a="1"/>
  <c r="BC101" i="33" s="1"/>
  <c r="AA52" i="33" a="1"/>
  <c r="AA52" i="33" s="1"/>
  <c r="CV49" i="33" a="1"/>
  <c r="CV49" i="33" s="1"/>
  <c r="CS16" i="33" a="1"/>
  <c r="CS16" i="33" s="1"/>
  <c r="BO43" i="33" a="1"/>
  <c r="BO43" i="33" s="1"/>
  <c r="CI135" i="33" a="1"/>
  <c r="CI135" i="33" s="1"/>
  <c r="AA94" i="33" a="1"/>
  <c r="AA94" i="33" s="1"/>
  <c r="BF52" i="33" a="1"/>
  <c r="BF52" i="33" s="1"/>
  <c r="BF66" i="33" a="1"/>
  <c r="BF66" i="33" s="1"/>
  <c r="AA35" i="33" a="1"/>
  <c r="AA35" i="33" s="1"/>
  <c r="BN63" i="33" a="1"/>
  <c r="BN63" i="33" s="1"/>
  <c r="CK148" i="33" a="1"/>
  <c r="CK148" i="33" s="1"/>
  <c r="BY109" i="33" a="1"/>
  <c r="BY109" i="33" s="1"/>
  <c r="AD123" i="33" a="1"/>
  <c r="AD123" i="33" s="1"/>
  <c r="CV14" i="33" a="1"/>
  <c r="CV14" i="33" s="1"/>
  <c r="AK149" i="33" a="1"/>
  <c r="AK149" i="33" s="1"/>
  <c r="BC106" i="33" a="1"/>
  <c r="BC106" i="33" s="1"/>
  <c r="V150" i="33" a="1"/>
  <c r="V150" i="33" s="1"/>
  <c r="V20" i="33" a="1"/>
  <c r="V20" i="33" s="1"/>
  <c r="CT48" i="33" a="1"/>
  <c r="CT48" i="33" s="1"/>
  <c r="AU150" i="33" a="1"/>
  <c r="AU150" i="33" s="1"/>
  <c r="BO114" i="33" a="1"/>
  <c r="BO114" i="33" s="1"/>
  <c r="BE67" i="33" a="1"/>
  <c r="BE67" i="33" s="1"/>
  <c r="AA81" i="33" a="1"/>
  <c r="AA81" i="33" s="1"/>
  <c r="CJ28" i="33" a="1"/>
  <c r="CJ28" i="33" s="1"/>
  <c r="BF119" i="33" a="1"/>
  <c r="BF119" i="33" s="1"/>
  <c r="BF43" i="33" a="1"/>
  <c r="BF43" i="33" s="1"/>
  <c r="CK32" i="33" a="1"/>
  <c r="CK32" i="33" s="1"/>
  <c r="AA151" i="33" a="1"/>
  <c r="AA151" i="33" s="1"/>
  <c r="BE68" i="33" a="1"/>
  <c r="BE68" i="33" s="1"/>
  <c r="AK160" i="33" a="1"/>
  <c r="AK160" i="33" s="1"/>
  <c r="BD135" i="33" a="1"/>
  <c r="BD135" i="33" s="1"/>
  <c r="CQ139" i="33" a="1"/>
  <c r="CQ139" i="33" s="1"/>
  <c r="BN39" i="33" a="1"/>
  <c r="BN39" i="33" s="1"/>
  <c r="CH53" i="33" a="1"/>
  <c r="CH53" i="33" s="1"/>
  <c r="CQ47" i="33" a="1"/>
  <c r="CQ47" i="33" s="1"/>
  <c r="BF28" i="33" a="1"/>
  <c r="BF28" i="33" s="1"/>
  <c r="BD49" i="33" a="1"/>
  <c r="BD49" i="33" s="1"/>
  <c r="BZ145" i="33" a="1"/>
  <c r="BZ145" i="33" s="1"/>
  <c r="Z131" i="33" a="1"/>
  <c r="Z131" i="33" s="1"/>
  <c r="AU96" i="33" a="1"/>
  <c r="AU96" i="33" s="1"/>
  <c r="BN129" i="33" a="1"/>
  <c r="BN129" i="33" s="1"/>
  <c r="BY76" i="33" a="1"/>
  <c r="BY76" i="33" s="1"/>
  <c r="AV90" i="33" a="1"/>
  <c r="AV90" i="33" s="1"/>
  <c r="AA73" i="33" a="1"/>
  <c r="AA73" i="33" s="1"/>
  <c r="BM32" i="33" a="1"/>
  <c r="BM32" i="33" s="1"/>
  <c r="AL157" i="33" a="1"/>
  <c r="AL157" i="33" s="1"/>
  <c r="AT63" i="33" a="1"/>
  <c r="AT63" i="33" s="1"/>
  <c r="AK49" i="33" a="1"/>
  <c r="AK49" i="33" s="1"/>
  <c r="AD22" i="33" a="1"/>
  <c r="AD22" i="33" s="1"/>
  <c r="CI55" i="33" a="1"/>
  <c r="CI55" i="33" s="1"/>
  <c r="BX144" i="33" a="1"/>
  <c r="BX144" i="33" s="1"/>
  <c r="CG26" i="33" a="1"/>
  <c r="CG26" i="33" s="1"/>
  <c r="AL101" i="33" a="1"/>
  <c r="AL101" i="33" s="1"/>
  <c r="BW29" i="33" a="1"/>
  <c r="BW29" i="33" s="1"/>
  <c r="CK17" i="33" a="1"/>
  <c r="CK17" i="33" s="1"/>
  <c r="CT17" i="33" a="1"/>
  <c r="CT17" i="33" s="1"/>
  <c r="BS32" i="33" a="1"/>
  <c r="BS32" i="33" s="1"/>
  <c r="AE107" i="33" a="1"/>
  <c r="AE107" i="33" s="1"/>
  <c r="BW112" i="33" a="1"/>
  <c r="BW112" i="33" s="1"/>
  <c r="BR35" i="33" a="1"/>
  <c r="BR35" i="33" s="1"/>
  <c r="AO59" i="33" a="1"/>
  <c r="AO59" i="33" s="1"/>
  <c r="BO25" i="33" a="1"/>
  <c r="BO25" i="33" s="1"/>
  <c r="AU110" i="33" a="1"/>
  <c r="AU110" i="33" s="1"/>
  <c r="AK140" i="33" a="1"/>
  <c r="AK140" i="33" s="1"/>
  <c r="CV60" i="33" a="1"/>
  <c r="CV60" i="33" s="1"/>
  <c r="AB76" i="33" a="1"/>
  <c r="AB76" i="33" s="1"/>
  <c r="CK113" i="33" a="1"/>
  <c r="CK113" i="33" s="1"/>
  <c r="CI115" i="33" a="1"/>
  <c r="CI115" i="33" s="1"/>
  <c r="AO66" i="33" a="1"/>
  <c r="AO66" i="33" s="1"/>
  <c r="BN119" i="33" a="1"/>
  <c r="BN119" i="33" s="1"/>
  <c r="AA147" i="33" a="1"/>
  <c r="AA147" i="33" s="1"/>
  <c r="BF51" i="33" a="1"/>
  <c r="BF51" i="33" s="1"/>
  <c r="CL71" i="33" a="1"/>
  <c r="CL71" i="33" s="1"/>
  <c r="BO124" i="33" a="1"/>
  <c r="BO124" i="33" s="1"/>
  <c r="BF86" i="33" a="1"/>
  <c r="BF86" i="33" s="1"/>
  <c r="AX159" i="33" a="1"/>
  <c r="AX159" i="33" s="1"/>
  <c r="CV158" i="33" a="1"/>
  <c r="CV158" i="33" s="1"/>
  <c r="AU45" i="33" a="1"/>
  <c r="AU45" i="33" s="1"/>
  <c r="BI109" i="33" a="1"/>
  <c r="BI109" i="33" s="1"/>
  <c r="BW58" i="33" a="1"/>
  <c r="BW58" i="33" s="1"/>
  <c r="AE61" i="33" a="1"/>
  <c r="AE61" i="33" s="1"/>
  <c r="BF33" i="33" a="1"/>
  <c r="BF33" i="33" s="1"/>
  <c r="BY158" i="33" a="1"/>
  <c r="BY158" i="33" s="1"/>
  <c r="Z143" i="33" a="1"/>
  <c r="Z143" i="33" s="1"/>
  <c r="AD105" i="33" a="1"/>
  <c r="AD105" i="33" s="1"/>
  <c r="BE72" i="33" a="1"/>
  <c r="BE72" i="33" s="1"/>
  <c r="BO31" i="33" a="1"/>
  <c r="BO31" i="33" s="1"/>
  <c r="CG149" i="33" a="1"/>
  <c r="CG149" i="33" s="1"/>
  <c r="BO82" i="33" a="1"/>
  <c r="BO82" i="33" s="1"/>
  <c r="BY16" i="33" a="1"/>
  <c r="BY16" i="33" s="1"/>
  <c r="AA24" i="33" a="1"/>
  <c r="AA24" i="33" s="1"/>
  <c r="CQ154" i="33" a="1"/>
  <c r="CQ154" i="33" s="1"/>
  <c r="AX147" i="33" a="1"/>
  <c r="AX147" i="33" s="1"/>
  <c r="BO142" i="33" a="1"/>
  <c r="BO142" i="33" s="1"/>
  <c r="CV18" i="33" a="1"/>
  <c r="CV18" i="33" s="1"/>
  <c r="CI156" i="33" a="1"/>
  <c r="CI156" i="33" s="1"/>
  <c r="CT25" i="33" a="1"/>
  <c r="CT25" i="33" s="1"/>
  <c r="AX73" i="33" a="1"/>
  <c r="AX73" i="33" s="1"/>
  <c r="V109" i="33" a="1"/>
  <c r="V109" i="33" s="1"/>
  <c r="AX118" i="33" a="1"/>
  <c r="AX118" i="33" s="1"/>
  <c r="CR158" i="33" a="1"/>
  <c r="CR158" i="33" s="1"/>
  <c r="BN107" i="33" a="1"/>
  <c r="BN107" i="33" s="1"/>
  <c r="BO34" i="33" a="1"/>
  <c r="BO34" i="33" s="1"/>
  <c r="CB54" i="33" a="1"/>
  <c r="CB54" i="33" s="1"/>
  <c r="BO130" i="33" a="1"/>
  <c r="BO130" i="33" s="1"/>
  <c r="BE57" i="33" a="1"/>
  <c r="BE57" i="33" s="1"/>
  <c r="CV17" i="33" a="1"/>
  <c r="CV17" i="33" s="1"/>
  <c r="BY72" i="33" a="1"/>
  <c r="BY72" i="33" s="1"/>
  <c r="CL81" i="33" a="1"/>
  <c r="CL81" i="33" s="1"/>
  <c r="AA18" i="33" a="1"/>
  <c r="AA18" i="33" s="1"/>
  <c r="BE66" i="33" a="1"/>
  <c r="BE66" i="33" s="1"/>
  <c r="CW150" i="33" a="1"/>
  <c r="CW150" i="33" s="1"/>
  <c r="BF68" i="33" a="1"/>
  <c r="BF68" i="33" s="1"/>
  <c r="AA70" i="33" a="1"/>
  <c r="AA70" i="33" s="1"/>
  <c r="CH61" i="33" a="1"/>
  <c r="CH61" i="33" s="1"/>
  <c r="AD157" i="33" a="1"/>
  <c r="AD157" i="33" s="1"/>
  <c r="AA93" i="33" a="1"/>
  <c r="AA93" i="33" s="1"/>
  <c r="AU103" i="33" a="1"/>
  <c r="AU103" i="33" s="1"/>
  <c r="CG33" i="33" a="1"/>
  <c r="CG33" i="33" s="1"/>
  <c r="AU80" i="33" a="1"/>
  <c r="AU80" i="33" s="1"/>
  <c r="BR120" i="33" a="1"/>
  <c r="BR120" i="33" s="1"/>
  <c r="BN125" i="33" a="1"/>
  <c r="BN125" i="33" s="1"/>
  <c r="CV32" i="33" a="1"/>
  <c r="CV32" i="33" s="1"/>
  <c r="AU44" i="33" a="1"/>
  <c r="AU44" i="33" s="1"/>
  <c r="BX115" i="33" a="1"/>
  <c r="BX115" i="33" s="1"/>
  <c r="BM152" i="33" a="1"/>
  <c r="BM152" i="33" s="1"/>
  <c r="AK139" i="33" a="1"/>
  <c r="AK139" i="33" s="1"/>
  <c r="AA20" i="33" a="1"/>
  <c r="AA20" i="33" s="1"/>
  <c r="BM137" i="33" a="1"/>
  <c r="BM137" i="33" s="1"/>
  <c r="AK43" i="33" a="1"/>
  <c r="AK43" i="33" s="1"/>
  <c r="BF137" i="33" a="1"/>
  <c r="BF137" i="33" s="1"/>
  <c r="BE136" i="33" a="1"/>
  <c r="BE136" i="33" s="1"/>
  <c r="CV107" i="33" a="1"/>
  <c r="CV107" i="33" s="1"/>
  <c r="BZ42" i="33" a="1"/>
  <c r="BZ42" i="33" s="1"/>
  <c r="AL97" i="33" a="1"/>
  <c r="AL97" i="33" s="1"/>
  <c r="AD124" i="33" a="1"/>
  <c r="AD124" i="33" s="1"/>
  <c r="AS93" i="33" a="1"/>
  <c r="AS93" i="33" s="1"/>
  <c r="AK39" i="33" a="1"/>
  <c r="AK39" i="33" s="1"/>
  <c r="AA134" i="33" a="1"/>
  <c r="AA134" i="33" s="1"/>
  <c r="BY97" i="33" a="1"/>
  <c r="BY97" i="33" s="1"/>
  <c r="AX82" i="33" a="1"/>
  <c r="AX82" i="33" s="1"/>
  <c r="BD36" i="33" a="1"/>
  <c r="BD36" i="33" s="1"/>
  <c r="BY139" i="33" a="1"/>
  <c r="BY139" i="33" s="1"/>
  <c r="AE56" i="33" a="1"/>
  <c r="AE56" i="33" s="1"/>
  <c r="AD84" i="33" a="1"/>
  <c r="AD84" i="33" s="1"/>
  <c r="CV87" i="33" a="1"/>
  <c r="CV87" i="33" s="1"/>
  <c r="CK151" i="33" a="1"/>
  <c r="CK151" i="33" s="1"/>
  <c r="AX101" i="33" a="1"/>
  <c r="AX101" i="33" s="1"/>
  <c r="CK155" i="33" a="1"/>
  <c r="CK155" i="33" s="1"/>
  <c r="AE119" i="33" a="1"/>
  <c r="AE119" i="33" s="1"/>
  <c r="BR89" i="33" a="1"/>
  <c r="BR89" i="33" s="1"/>
  <c r="CI112" i="33" a="1"/>
  <c r="CI112" i="33" s="1"/>
  <c r="BN140" i="33" a="1"/>
  <c r="BN140" i="33" s="1"/>
  <c r="CI101" i="33" a="1"/>
  <c r="CI101" i="33" s="1"/>
  <c r="CV34" i="33" a="1"/>
  <c r="CV34" i="33" s="1"/>
  <c r="AK142" i="33" a="1"/>
  <c r="AK142" i="33" s="1"/>
  <c r="BZ17" i="33" a="1"/>
  <c r="BZ17" i="33" s="1"/>
  <c r="BO74" i="33" a="1"/>
  <c r="BO74" i="33" s="1"/>
  <c r="BR81" i="33" a="1"/>
  <c r="BR81" i="33" s="1"/>
  <c r="AU52" i="33" a="1"/>
  <c r="AU52" i="33" s="1"/>
  <c r="BE86" i="33" a="1"/>
  <c r="BE86" i="33" s="1"/>
  <c r="BF58" i="33" a="1"/>
  <c r="BF58" i="33" s="1"/>
  <c r="AS85" i="33" a="1"/>
  <c r="AS85" i="33" s="1"/>
  <c r="CG151" i="33" a="1"/>
  <c r="CG151" i="33" s="1"/>
  <c r="CS141" i="33" a="1"/>
  <c r="CS141" i="33" s="1"/>
  <c r="CL17" i="33" a="1"/>
  <c r="CL17" i="33" s="1"/>
  <c r="Z56" i="33" a="1"/>
  <c r="Z56" i="33" s="1"/>
  <c r="BO59" i="33" a="1"/>
  <c r="BO59" i="33" s="1"/>
  <c r="AK81" i="33" a="1"/>
  <c r="AK81" i="33" s="1"/>
  <c r="BE71" i="33" a="1"/>
  <c r="BE71" i="33" s="1"/>
  <c r="AA89" i="33" a="1"/>
  <c r="AA89" i="33" s="1"/>
  <c r="CM94" i="33" a="1"/>
  <c r="CM94" i="33" s="1"/>
  <c r="AP128" i="33" a="1"/>
  <c r="AP128" i="33" s="1"/>
  <c r="AK101" i="33" a="1"/>
  <c r="AK101" i="33" s="1"/>
  <c r="CI71" i="33" a="1"/>
  <c r="CI71" i="33" s="1"/>
  <c r="AD134" i="33" a="1"/>
  <c r="AD134" i="33" s="1"/>
  <c r="BZ39" i="33" a="1"/>
  <c r="BZ39" i="33" s="1"/>
  <c r="AA90" i="33" a="1"/>
  <c r="AA90" i="33" s="1"/>
  <c r="CL23" i="33" a="1"/>
  <c r="CL23" i="33" s="1"/>
  <c r="BR29" i="33" a="1"/>
  <c r="BR29" i="33" s="1"/>
  <c r="CI141" i="33" a="1"/>
  <c r="CI141" i="33" s="1"/>
  <c r="AA152" i="33" a="1"/>
  <c r="AA152" i="33" s="1"/>
  <c r="CV41" i="33" a="1"/>
  <c r="CV41" i="33" s="1"/>
  <c r="AT86" i="33" a="1"/>
  <c r="AT86" i="33" s="1"/>
  <c r="BX57" i="33" a="1"/>
  <c r="BX57" i="33" s="1"/>
  <c r="CQ137" i="33" a="1"/>
  <c r="CQ137" i="33" s="1"/>
  <c r="BY116" i="33" a="1"/>
  <c r="BY116" i="33" s="1"/>
  <c r="CT22" i="33" a="1"/>
  <c r="CT22" i="33" s="1"/>
  <c r="AS84" i="33" a="1"/>
  <c r="AS84" i="33" s="1"/>
  <c r="Z65" i="33" a="1"/>
  <c r="Z65" i="33" s="1"/>
  <c r="CT92" i="33" a="1"/>
  <c r="CT92" i="33" s="1"/>
  <c r="BN134" i="33" a="1"/>
  <c r="BN134" i="33" s="1"/>
  <c r="AK14" i="33" a="1"/>
  <c r="AK14" i="33" s="1"/>
  <c r="AU36" i="33" a="1"/>
  <c r="AU36" i="33" s="1"/>
  <c r="BZ154" i="33" a="1"/>
  <c r="BZ154" i="33" s="1"/>
  <c r="AT30" i="33" a="1"/>
  <c r="AT30" i="33" s="1"/>
  <c r="CR19" i="33" a="1"/>
  <c r="CR19" i="33" s="1"/>
  <c r="CG139" i="33" a="1"/>
  <c r="CG139" i="33" s="1"/>
  <c r="BM103" i="33" a="1"/>
  <c r="BM103" i="33" s="1"/>
  <c r="AE101" i="33" a="1"/>
  <c r="AE101" i="33" s="1"/>
  <c r="BF17" i="33" a="1"/>
  <c r="BF17" i="33" s="1"/>
  <c r="CG156" i="33" a="1"/>
  <c r="CG156" i="33" s="1"/>
  <c r="BX95" i="33" a="1"/>
  <c r="BX95" i="33" s="1"/>
  <c r="AA118" i="33" a="1"/>
  <c r="AA118" i="33" s="1"/>
  <c r="BO41" i="33" a="1"/>
  <c r="BO41" i="33" s="1"/>
  <c r="CJ121" i="33" a="1"/>
  <c r="CJ121" i="33" s="1"/>
  <c r="AK132" i="33" a="1"/>
  <c r="AK132" i="33" s="1"/>
  <c r="CS31" i="33" a="1"/>
  <c r="CS31" i="33" s="1"/>
  <c r="AT25" i="33" a="1"/>
  <c r="AT25" i="33" s="1"/>
  <c r="BW150" i="33" a="1"/>
  <c r="BW150" i="33" s="1"/>
  <c r="BC148" i="33" a="1"/>
  <c r="BC148" i="33" s="1"/>
  <c r="CH24" i="33" a="1"/>
  <c r="CH24" i="33" s="1"/>
  <c r="CV125" i="33" a="1"/>
  <c r="CV125" i="33" s="1"/>
  <c r="CJ15" i="33" a="1"/>
  <c r="CJ15" i="33" s="1"/>
  <c r="CK86" i="33" a="1"/>
  <c r="CK86" i="33" s="1"/>
  <c r="BY140" i="33" a="1"/>
  <c r="BY140" i="33" s="1"/>
  <c r="AD91" i="33" a="1"/>
  <c r="AD91" i="33" s="1"/>
  <c r="CT125" i="33" a="1"/>
  <c r="CT125" i="33" s="1"/>
  <c r="BN161" i="33" a="1"/>
  <c r="BN161" i="33" s="1"/>
  <c r="BZ135" i="33" a="1"/>
  <c r="BZ135" i="33" s="1"/>
  <c r="AU117" i="33" a="1"/>
  <c r="AU117" i="33" s="1"/>
  <c r="AA22" i="33" a="1"/>
  <c r="AA22" i="33" s="1"/>
  <c r="CI152" i="33" a="1"/>
  <c r="CI152" i="33" s="1"/>
  <c r="BE124" i="33" a="1"/>
  <c r="BE124" i="33" s="1"/>
  <c r="CS116" i="33" a="1"/>
  <c r="CS116" i="33" s="1"/>
  <c r="CK60" i="33" a="1"/>
  <c r="CK60" i="33" s="1"/>
  <c r="AT40" i="33" a="1"/>
  <c r="AT40" i="33" s="1"/>
  <c r="AE157" i="33" a="1"/>
  <c r="AE157" i="33" s="1"/>
  <c r="AU85" i="33" a="1"/>
  <c r="AU85" i="33" s="1"/>
  <c r="AB98" i="33" a="1"/>
  <c r="AB98" i="33" s="1"/>
  <c r="BP31" i="33" a="1"/>
  <c r="BP31" i="33" s="1"/>
  <c r="V65" i="33" a="1"/>
  <c r="V65" i="33" s="1"/>
  <c r="AD109" i="33" a="1"/>
  <c r="AD109" i="33" s="1"/>
  <c r="AX136" i="33" a="1"/>
  <c r="AX136" i="33" s="1"/>
  <c r="CI31" i="33" a="1"/>
  <c r="CI31" i="33" s="1"/>
  <c r="AU153" i="33" a="1"/>
  <c r="AU153" i="33" s="1"/>
  <c r="AK120" i="33" a="1"/>
  <c r="AK120" i="33" s="1"/>
  <c r="AL25" i="33" a="1"/>
  <c r="AL25" i="33" s="1"/>
  <c r="AS14" i="33" a="1"/>
  <c r="AS14" i="33" s="1"/>
  <c r="AA96" i="33" a="1"/>
  <c r="AA96" i="33" s="1"/>
  <c r="CI122" i="33" a="1"/>
  <c r="CI122" i="33" s="1"/>
  <c r="BE139" i="33" a="1"/>
  <c r="BE139" i="33" s="1"/>
  <c r="BO106" i="33" a="1"/>
  <c r="BO106" i="33" s="1"/>
  <c r="BE65" i="33" a="1"/>
  <c r="BE65" i="33" s="1"/>
  <c r="CL141" i="33" a="1"/>
  <c r="CL141" i="33" s="1"/>
  <c r="AE65" i="33" a="1"/>
  <c r="AE65" i="33" s="1"/>
  <c r="AK95" i="33" a="1"/>
  <c r="AK95" i="33" s="1"/>
  <c r="CV73" i="33" a="1"/>
  <c r="CV73" i="33" s="1"/>
  <c r="AA27" i="33" a="1"/>
  <c r="AA27" i="33" s="1"/>
  <c r="AA159" i="33" a="1"/>
  <c r="AA159" i="33" s="1"/>
  <c r="CV135" i="33" a="1"/>
  <c r="CV135" i="33" s="1"/>
  <c r="AO132" i="33" a="1"/>
  <c r="AO132" i="33" s="1"/>
  <c r="CQ52" i="33" a="1"/>
  <c r="CQ52" i="33" s="1"/>
  <c r="AA68" i="33" a="1"/>
  <c r="AA68" i="33" s="1"/>
  <c r="AY95" i="33" a="1"/>
  <c r="AY95" i="33" s="1"/>
  <c r="AA119" i="33" a="1"/>
  <c r="AA119" i="33" s="1"/>
  <c r="CR107" i="33" a="1"/>
  <c r="CR107" i="33" s="1"/>
  <c r="CK48" i="33" a="1"/>
  <c r="CK48" i="33" s="1"/>
  <c r="BS134" i="33" a="1"/>
  <c r="BS134" i="33" s="1"/>
  <c r="CI151" i="33" a="1"/>
  <c r="CI151" i="33" s="1"/>
  <c r="CQ120" i="33" a="1"/>
  <c r="CQ120" i="33" s="1"/>
  <c r="AK21" i="33" a="1"/>
  <c r="AK21" i="33" s="1"/>
  <c r="BO98" i="33" a="1"/>
  <c r="BO98" i="33" s="1"/>
  <c r="BM91" i="33" a="1"/>
  <c r="BM91" i="33" s="1"/>
  <c r="BE135" i="33" a="1"/>
  <c r="BE135" i="33" s="1"/>
  <c r="BI137" i="33" a="1"/>
  <c r="BI137" i="33" s="1"/>
  <c r="CT16" i="33" a="1"/>
  <c r="CT16" i="33" s="1"/>
  <c r="AA146" i="33" a="1"/>
  <c r="AA146" i="33" s="1"/>
  <c r="CV137" i="33" a="1"/>
  <c r="CV137" i="33" s="1"/>
  <c r="CL110" i="33" a="1"/>
  <c r="CL110" i="33" s="1"/>
  <c r="AD51" i="33" a="1"/>
  <c r="AD51" i="33" s="1"/>
  <c r="BO132" i="33" a="1"/>
  <c r="BO132" i="33" s="1"/>
  <c r="BF53" i="33" a="1"/>
  <c r="BF53" i="33" s="1"/>
  <c r="BR158" i="33" a="1"/>
  <c r="BR158" i="33" s="1"/>
  <c r="BO17" i="33" a="1"/>
  <c r="BO17" i="33" s="1"/>
  <c r="AU152" i="33" a="1"/>
  <c r="AU152" i="33" s="1"/>
  <c r="CE79" i="33" a="1"/>
  <c r="CE79" i="33" s="1"/>
  <c r="AA59" i="33" a="1"/>
  <c r="AA59" i="33" s="1"/>
  <c r="BO107" i="33" a="1"/>
  <c r="BO107" i="33" s="1"/>
  <c r="CS138" i="33" a="1"/>
  <c r="CS138" i="33" s="1"/>
  <c r="AU40" i="33" a="1"/>
  <c r="AU40" i="33" s="1"/>
  <c r="CK92" i="33" a="1"/>
  <c r="CK92" i="33" s="1"/>
  <c r="AX137" i="33" a="1"/>
  <c r="AX137" i="33" s="1"/>
  <c r="CW44" i="33" a="1"/>
  <c r="CW44" i="33" s="1"/>
  <c r="CH116" i="33" a="1"/>
  <c r="CH116" i="33" s="1"/>
  <c r="BO75" i="33" a="1"/>
  <c r="BO75" i="33" s="1"/>
  <c r="AL62" i="33" a="1"/>
  <c r="AL62" i="33" s="1"/>
  <c r="BN49" i="33" a="1"/>
  <c r="BN49" i="33" s="1"/>
  <c r="BC79" i="33" a="1"/>
  <c r="BC79" i="33" s="1"/>
  <c r="CV151" i="33" a="1"/>
  <c r="CV151" i="33" s="1"/>
  <c r="CK73" i="33" a="1"/>
  <c r="CK73" i="33" s="1"/>
  <c r="AJ28" i="33" a="1"/>
  <c r="AJ28" i="33" s="1"/>
  <c r="AU78" i="33" a="1"/>
  <c r="AU78" i="33" s="1"/>
  <c r="AF111" i="33" a="1"/>
  <c r="AF111" i="33" s="1"/>
  <c r="AK29" i="33" a="1"/>
  <c r="AK29" i="33" s="1"/>
  <c r="CV52" i="33" a="1"/>
  <c r="CV52" i="33" s="1"/>
  <c r="AA45" i="33" a="1"/>
  <c r="AA45" i="33" s="1"/>
  <c r="Z41" i="33" a="1"/>
  <c r="Z41" i="33" s="1"/>
  <c r="BE137" i="33" a="1"/>
  <c r="BE137" i="33" s="1"/>
  <c r="Z74" i="33" a="1"/>
  <c r="Z74" i="33" s="1"/>
  <c r="AX33" i="33" a="1"/>
  <c r="AX33" i="33" s="1"/>
  <c r="BN19" i="33" a="1"/>
  <c r="BN19" i="33" s="1"/>
  <c r="AA95" i="33" a="1"/>
  <c r="AA95" i="33" s="1"/>
  <c r="AU68" i="33" a="1"/>
  <c r="AU68" i="33" s="1"/>
  <c r="CK62" i="33" a="1"/>
  <c r="CK62" i="33" s="1"/>
  <c r="BY161" i="33" a="1"/>
  <c r="BY161" i="33" s="1"/>
  <c r="BN159" i="33" a="1"/>
  <c r="BN159" i="33" s="1"/>
  <c r="BC105" i="33" a="1"/>
  <c r="BC105" i="33" s="1"/>
  <c r="BO35" i="33" a="1"/>
  <c r="BO35" i="33" s="1"/>
  <c r="BO37" i="33" a="1"/>
  <c r="BO37" i="33" s="1"/>
  <c r="CL101" i="33" a="1"/>
  <c r="CL101" i="33" s="1"/>
  <c r="CK59" i="33" a="1"/>
  <c r="CK59" i="33" s="1"/>
  <c r="CK20" i="33" a="1"/>
  <c r="CK20" i="33" s="1"/>
  <c r="AD55" i="33" a="1"/>
  <c r="AD55" i="33" s="1"/>
  <c r="BW154" i="33" a="1"/>
  <c r="BW154" i="33" s="1"/>
  <c r="AA87" i="33" a="1"/>
  <c r="AA87" i="33" s="1"/>
  <c r="AX110" i="33" a="1"/>
  <c r="AX110" i="33" s="1"/>
  <c r="CK40" i="33" a="1"/>
  <c r="CK40" i="33" s="1"/>
  <c r="BW48" i="33" a="1"/>
  <c r="BW48" i="33" s="1"/>
  <c r="BE108" i="33" a="1"/>
  <c r="BE108" i="33" s="1"/>
  <c r="AK112" i="33" a="1"/>
  <c r="AK112" i="33" s="1"/>
  <c r="BN137" i="33" a="1"/>
  <c r="BN137" i="33" s="1"/>
  <c r="AK44" i="33" a="1"/>
  <c r="AK44" i="33" s="1"/>
  <c r="AA53" i="33" a="1"/>
  <c r="AA53" i="33" s="1"/>
  <c r="CT55" i="33" a="1"/>
  <c r="CT55" i="33" s="1"/>
  <c r="BZ49" i="33" a="1"/>
  <c r="BZ49" i="33" s="1"/>
  <c r="BF36" i="33" a="1"/>
  <c r="BF36" i="33" s="1"/>
  <c r="BE74" i="33" a="1"/>
  <c r="BE74" i="33" s="1"/>
  <c r="BZ14" i="33" a="1"/>
  <c r="BZ14" i="33" s="1"/>
  <c r="CJ124" i="33" a="1"/>
  <c r="CJ124" i="33" s="1"/>
  <c r="AK143" i="33" a="1"/>
  <c r="AK143" i="33" s="1"/>
  <c r="CI140" i="33" a="1"/>
  <c r="CI140" i="33" s="1"/>
  <c r="BE75" i="33" a="1"/>
  <c r="BE75" i="33" s="1"/>
  <c r="AD42" i="33" a="1"/>
  <c r="AD42" i="33" s="1"/>
  <c r="BR90" i="33" a="1"/>
  <c r="BR90" i="33" s="1"/>
  <c r="AV159" i="33" a="1"/>
  <c r="AV159" i="33" s="1"/>
  <c r="AA91" i="33" a="1"/>
  <c r="AA91" i="33" s="1"/>
  <c r="CI56" i="33" a="1"/>
  <c r="CI56" i="33" s="1"/>
  <c r="BZ115" i="33" a="1"/>
  <c r="BZ115" i="33" s="1"/>
  <c r="CV31" i="33" a="1"/>
  <c r="CV31" i="33" s="1"/>
  <c r="CK89" i="33" a="1"/>
  <c r="CK89" i="33" s="1"/>
  <c r="AA140" i="33" a="1"/>
  <c r="AA140" i="33" s="1"/>
  <c r="AK159" i="33" a="1"/>
  <c r="AK159" i="33" s="1"/>
  <c r="Z80" i="33" a="1"/>
  <c r="Z80" i="33" s="1"/>
  <c r="CK146" i="33" a="1"/>
  <c r="CK146" i="33" s="1"/>
  <c r="AA88" i="33" a="1"/>
  <c r="AA88" i="33" s="1"/>
  <c r="CI72" i="33" a="1"/>
  <c r="CI72" i="33" s="1"/>
  <c r="AK100" i="33" a="1"/>
  <c r="AK100" i="33" s="1"/>
  <c r="AD161" i="33" a="1"/>
  <c r="AD161" i="33" s="1"/>
  <c r="AU70" i="33" a="1"/>
  <c r="AU70" i="33" s="1"/>
  <c r="CI100" i="33" a="1"/>
  <c r="CI100" i="33" s="1"/>
  <c r="BE127" i="33" a="1"/>
  <c r="BE127" i="33" s="1"/>
  <c r="AX30" i="33" a="1"/>
  <c r="AX30" i="33" s="1"/>
  <c r="AE79" i="33" a="1"/>
  <c r="AE79" i="33" s="1"/>
  <c r="AA58" i="33" a="1"/>
  <c r="AA58" i="33" s="1"/>
  <c r="AT106" i="33" a="1"/>
  <c r="AT106" i="33" s="1"/>
  <c r="AV69" i="33" a="1"/>
  <c r="AV69" i="33" s="1"/>
  <c r="AL48" i="33" a="1"/>
  <c r="AL48" i="33" s="1"/>
  <c r="BD64" i="33" a="1"/>
  <c r="BD64" i="33" s="1"/>
  <c r="CQ24" i="33" a="1"/>
  <c r="CQ24" i="33" s="1"/>
  <c r="CR56" i="33" a="1"/>
  <c r="CR56" i="33" s="1"/>
  <c r="AV37" i="33" a="1"/>
  <c r="AV37" i="33" s="1"/>
  <c r="CQ20" i="33" a="1"/>
  <c r="CQ20" i="33" s="1"/>
  <c r="AL58" i="33" a="1"/>
  <c r="AL58" i="33" s="1"/>
  <c r="CG56" i="33" a="1"/>
  <c r="CG56" i="33" s="1"/>
  <c r="AU122" i="33" a="1"/>
  <c r="AU122" i="33" s="1"/>
  <c r="AA15" i="33" a="1"/>
  <c r="AA15" i="33" s="1"/>
  <c r="BZ40" i="33" a="1"/>
  <c r="BZ40" i="33" s="1"/>
  <c r="BN117" i="33" a="1"/>
  <c r="BN117" i="33" s="1"/>
  <c r="AK72" i="33" a="1"/>
  <c r="AK72" i="33" s="1"/>
  <c r="AX161" i="33" a="1"/>
  <c r="AX161" i="33" s="1"/>
  <c r="CV55" i="33" a="1"/>
  <c r="CV55" i="33" s="1"/>
  <c r="BW103" i="33" a="1"/>
  <c r="BW103" i="33" s="1"/>
  <c r="CG64" i="33" a="1"/>
  <c r="CG64" i="33" s="1"/>
  <c r="AU98" i="33" a="1"/>
  <c r="AU98" i="33" s="1"/>
  <c r="BY31" i="33" a="1"/>
  <c r="BY31" i="33" s="1"/>
  <c r="AA46" i="33" a="1"/>
  <c r="AA46" i="33" s="1"/>
  <c r="AL89" i="33" a="1"/>
  <c r="AL89" i="33" s="1"/>
  <c r="CQ161" i="33" a="1"/>
  <c r="CQ161" i="33" s="1"/>
  <c r="BY50" i="33" a="1"/>
  <c r="BY50" i="33" s="1"/>
  <c r="CI15" i="33" a="1"/>
  <c r="CI15" i="33" s="1"/>
  <c r="BO144" i="33" a="1"/>
  <c r="BO144" i="33" s="1"/>
  <c r="BY73" i="33" a="1"/>
  <c r="BY73" i="33" s="1"/>
  <c r="BN69" i="33" a="1"/>
  <c r="BN69" i="33" s="1"/>
  <c r="CQ34" i="33" a="1"/>
  <c r="CQ34" i="33" s="1"/>
  <c r="AV136" i="33" a="1"/>
  <c r="AV136" i="33" s="1"/>
  <c r="BN109" i="33" a="1"/>
  <c r="BN109" i="33" s="1"/>
  <c r="CR38" i="33" a="1"/>
  <c r="CR38" i="33" s="1"/>
  <c r="AV86" i="33" a="1"/>
  <c r="AV86" i="33" s="1"/>
  <c r="BN104" i="33" a="1"/>
  <c r="BN104" i="33" s="1"/>
  <c r="CR16" i="33" a="1"/>
  <c r="CR16" i="33" s="1"/>
  <c r="BZ26" i="33" a="1"/>
  <c r="BZ26" i="33" s="1"/>
  <c r="BC20" i="33" a="1"/>
  <c r="BC20" i="33" s="1"/>
  <c r="CL86" i="33" a="1"/>
  <c r="CL86" i="33" s="1"/>
  <c r="BE142" i="33" a="1"/>
  <c r="BE142" i="33" s="1"/>
  <c r="BO138" i="33" a="1"/>
  <c r="BO138" i="33" s="1"/>
  <c r="AD115" i="33" a="1"/>
  <c r="AD115" i="33" s="1"/>
  <c r="BI56" i="33" a="1"/>
  <c r="BI56" i="33" s="1"/>
  <c r="BO76" i="33" a="1"/>
  <c r="BO76" i="33" s="1"/>
  <c r="AD113" i="33" a="1"/>
  <c r="AD113" i="33" s="1"/>
  <c r="BF56" i="33" a="1"/>
  <c r="BF56" i="33" s="1"/>
  <c r="CK38" i="33" a="1"/>
  <c r="CK38" i="33" s="1"/>
  <c r="CM143" i="33" a="1"/>
  <c r="CM143" i="33" s="1"/>
  <c r="AK36" i="33" a="1"/>
  <c r="AK36" i="33" s="1"/>
  <c r="AD20" i="33" a="1"/>
  <c r="AD20" i="33" s="1"/>
  <c r="CH75" i="33" a="1"/>
  <c r="CH75" i="33" s="1"/>
  <c r="CW50" i="33" a="1"/>
  <c r="CW50" i="33" s="1"/>
  <c r="BY42" i="33" a="1"/>
  <c r="BY42" i="33" s="1"/>
  <c r="AX63" i="33" a="1"/>
  <c r="AX63" i="33" s="1"/>
  <c r="AV52" i="33" a="1"/>
  <c r="AV52" i="33" s="1"/>
  <c r="BY136" i="33" a="1"/>
  <c r="BY136" i="33" s="1"/>
  <c r="AU32" i="33" a="1"/>
  <c r="AU32" i="33" s="1"/>
  <c r="CJ120" i="33" a="1"/>
  <c r="CJ120" i="33" s="1"/>
  <c r="CC68" i="33" a="1"/>
  <c r="CC68" i="33" s="1"/>
  <c r="AA19" i="33" a="1"/>
  <c r="AA19" i="33" s="1"/>
  <c r="AL122" i="33" a="1"/>
  <c r="AL122" i="33" s="1"/>
  <c r="AA98" i="33" a="1"/>
  <c r="AA98" i="33" s="1"/>
  <c r="CM154" i="33" a="1"/>
  <c r="CM154" i="33" s="1"/>
  <c r="AL102" i="33" a="1"/>
  <c r="AL102" i="33" s="1"/>
  <c r="CK140" i="33" a="1"/>
  <c r="CK140" i="33" s="1"/>
  <c r="AA83" i="33" a="1"/>
  <c r="AA83" i="33" s="1"/>
  <c r="BM107" i="33" a="1"/>
  <c r="BM107" i="33" s="1"/>
  <c r="AA41" i="33" a="1"/>
  <c r="AA41" i="33" s="1"/>
  <c r="BN142" i="33" a="1"/>
  <c r="BN142" i="33" s="1"/>
  <c r="BO146" i="33" a="1"/>
  <c r="BO146" i="33" s="1"/>
  <c r="AD30" i="33" a="1"/>
  <c r="AD30" i="33" s="1"/>
  <c r="BD151" i="33" a="1"/>
  <c r="BD151" i="33" s="1"/>
  <c r="CC116" i="33" a="1"/>
  <c r="CC116" i="33" s="1"/>
  <c r="CS65" i="33" a="1"/>
  <c r="CS65" i="33" s="1"/>
  <c r="AU144" i="33" a="1"/>
  <c r="AU144" i="33" s="1"/>
  <c r="CH79" i="33" a="1"/>
  <c r="CH79" i="33" s="1"/>
  <c r="BP141" i="33" a="1"/>
  <c r="BP141" i="33" s="1"/>
  <c r="CI74" i="33" a="1"/>
  <c r="CI74" i="33" s="1"/>
  <c r="BF126" i="33" a="1"/>
  <c r="BF126" i="33" s="1"/>
  <c r="BN38" i="33" a="1"/>
  <c r="BN38" i="33" s="1"/>
  <c r="BF156" i="33" a="1"/>
  <c r="BF156" i="33" s="1"/>
  <c r="AA82" i="33" a="1"/>
  <c r="AA82" i="33" s="1"/>
  <c r="BZ148" i="33" a="1"/>
  <c r="BZ148" i="33" s="1"/>
  <c r="BE38" i="33" a="1"/>
  <c r="BE38" i="33" s="1"/>
  <c r="CV101" i="33" a="1"/>
  <c r="CV101" i="33" s="1"/>
  <c r="BE105" i="33" a="1"/>
  <c r="BE105" i="33" s="1"/>
  <c r="BO113" i="33" a="1"/>
  <c r="BO113" i="33" s="1"/>
  <c r="Z52" i="33" a="1"/>
  <c r="Z52" i="33" s="1"/>
  <c r="AY85" i="33" a="1"/>
  <c r="AY85" i="33" s="1"/>
  <c r="BY32" i="33" a="1"/>
  <c r="BY32" i="33" s="1"/>
  <c r="AA131" i="33" a="1"/>
  <c r="AA131" i="33" s="1"/>
  <c r="CK157" i="33" a="1"/>
  <c r="CK157" i="33" s="1"/>
  <c r="BZ81" i="33" a="1"/>
  <c r="BZ81" i="33" s="1"/>
  <c r="AE63" i="33" a="1"/>
  <c r="AE63" i="33" s="1"/>
  <c r="BY100" i="33" a="1"/>
  <c r="BY100" i="33" s="1"/>
  <c r="CR42" i="33" a="1"/>
  <c r="CR42" i="33" s="1"/>
  <c r="CL109" i="33" a="1"/>
  <c r="CL109" i="33" s="1"/>
  <c r="CJ101" i="33" a="1"/>
  <c r="CJ101" i="33" s="1"/>
  <c r="CC109" i="33" a="1"/>
  <c r="CC109" i="33" s="1"/>
  <c r="BS156" i="33" a="1"/>
  <c r="BS156" i="33" s="1"/>
  <c r="BN66" i="33" a="1"/>
  <c r="BN66" i="33" s="1"/>
  <c r="AA47" i="33" a="1"/>
  <c r="AA47" i="33" s="1"/>
  <c r="BE69" i="33" a="1"/>
  <c r="BE69" i="33" s="1"/>
  <c r="BM16" i="33" a="1"/>
  <c r="BM16" i="33" s="1"/>
  <c r="AB35" i="33" a="1"/>
  <c r="AB35" i="33" s="1"/>
  <c r="BF115" i="33" a="1"/>
  <c r="BF115" i="33" s="1"/>
  <c r="AL61" i="33" a="1"/>
  <c r="AL61" i="33" s="1"/>
  <c r="CV161" i="33" a="1"/>
  <c r="CV161" i="33" s="1"/>
  <c r="BF49" i="33" a="1"/>
  <c r="BF49" i="33" s="1"/>
  <c r="AD52" i="33" a="1"/>
  <c r="AD52" i="33" s="1"/>
  <c r="AD94" i="33" a="1"/>
  <c r="AD94" i="33" s="1"/>
  <c r="AK93" i="33" a="1"/>
  <c r="AK93" i="33" s="1"/>
  <c r="BN93" i="33" a="1"/>
  <c r="BN93" i="33" s="1"/>
  <c r="BW126" i="33" a="1"/>
  <c r="BW126" i="33" s="1"/>
  <c r="AE96" i="33" a="1"/>
  <c r="AE96" i="33" s="1"/>
  <c r="CR134" i="33" a="1"/>
  <c r="CR134" i="33" s="1"/>
  <c r="AT39" i="33" a="1"/>
  <c r="AT39" i="33" s="1"/>
  <c r="BF147" i="33" a="1"/>
  <c r="BF147" i="33" s="1"/>
  <c r="BM52" i="33" a="1"/>
  <c r="BM52" i="33" s="1"/>
  <c r="CL68" i="33" a="1"/>
  <c r="CL68" i="33" s="1"/>
  <c r="AL76" i="33" a="1"/>
  <c r="AL76" i="33" s="1"/>
  <c r="AK94" i="33" a="1"/>
  <c r="AK94" i="33" s="1"/>
  <c r="CV122" i="33" a="1"/>
  <c r="CV122" i="33" s="1"/>
  <c r="BY93" i="33" a="1"/>
  <c r="BY93" i="33" s="1"/>
  <c r="CL48" i="33" a="1"/>
  <c r="CL48" i="33" s="1"/>
  <c r="BY155" i="33" a="1"/>
  <c r="BY155" i="33" s="1"/>
  <c r="CV96" i="33" a="1"/>
  <c r="CV96" i="33" s="1"/>
  <c r="BN100" i="33" a="1"/>
  <c r="BN100" i="33" s="1"/>
  <c r="AD25" i="33" a="1"/>
  <c r="AD25" i="33" s="1"/>
  <c r="CS30" i="33" a="1"/>
  <c r="CS30" i="33" s="1"/>
  <c r="BE110" i="33" a="1"/>
  <c r="BE110" i="33" s="1"/>
  <c r="BF16" i="33" a="1"/>
  <c r="BF16" i="33" s="1"/>
  <c r="BD87" i="33" a="1"/>
  <c r="BD87" i="33" s="1"/>
  <c r="AL77" i="33" a="1"/>
  <c r="AL77" i="33" s="1"/>
  <c r="CK117" i="33" a="1"/>
  <c r="CK117" i="33" s="1"/>
  <c r="BY30" i="33" a="1"/>
  <c r="BY30" i="33" s="1"/>
  <c r="AA148" i="33" a="1"/>
  <c r="AA148" i="33" s="1"/>
  <c r="BY117" i="33" a="1"/>
  <c r="BY117" i="33" s="1"/>
  <c r="AU127" i="33" a="1"/>
  <c r="AU127" i="33" s="1"/>
  <c r="BO53" i="33" a="1"/>
  <c r="BO53" i="33" s="1"/>
  <c r="CV74" i="33" a="1"/>
  <c r="CV74" i="33" s="1"/>
  <c r="AE28" i="33" a="1"/>
  <c r="AE28" i="33" s="1"/>
  <c r="AX16" i="33" a="1"/>
  <c r="AX16" i="33" s="1"/>
  <c r="BO157" i="33" a="1"/>
  <c r="BO157" i="33" s="1"/>
  <c r="BW133" i="33" a="1"/>
  <c r="BW133" i="33" s="1"/>
  <c r="BF62" i="33" a="1"/>
  <c r="BF62" i="33" s="1"/>
  <c r="Z138" i="33" a="1"/>
  <c r="Z138" i="33" s="1"/>
  <c r="BE20" i="33" a="1"/>
  <c r="BE20" i="33" s="1"/>
  <c r="AX84" i="33" a="1"/>
  <c r="AX84" i="33" s="1"/>
  <c r="AD98" i="33" a="1"/>
  <c r="AD98" i="33" s="1"/>
  <c r="AB94" i="33" a="1"/>
  <c r="AB94" i="33" s="1"/>
  <c r="AK76" i="33" a="1"/>
  <c r="AK76" i="33" s="1"/>
  <c r="CK115" i="33" a="1"/>
  <c r="CK115" i="33" s="1"/>
  <c r="CK77" i="33" a="1"/>
  <c r="CK77" i="33" s="1"/>
  <c r="Z103" i="33" a="1"/>
  <c r="Z103" i="33" s="1"/>
  <c r="BY94" i="33" a="1"/>
  <c r="BY94" i="33" s="1"/>
  <c r="BO96" i="33" a="1"/>
  <c r="BO96" i="33" s="1"/>
  <c r="CQ56" i="33" a="1"/>
  <c r="CQ56" i="33" s="1"/>
  <c r="AK119" i="33" a="1"/>
  <c r="AK119" i="33" s="1"/>
  <c r="V86" i="33" a="1"/>
  <c r="V86" i="33" s="1"/>
  <c r="BY45" i="33" a="1"/>
  <c r="BY45" i="33" s="1"/>
  <c r="BY41" i="33" a="1"/>
  <c r="BY41" i="33" s="1"/>
  <c r="CK31" i="33" a="1"/>
  <c r="CK31" i="33" s="1"/>
  <c r="BX86" i="33" a="1"/>
  <c r="BX86" i="33" s="1"/>
  <c r="BE133" i="33" a="1"/>
  <c r="BE133" i="33" s="1"/>
  <c r="AU107" i="33" a="1"/>
  <c r="AU107" i="33" s="1"/>
  <c r="AD104" i="33" a="1"/>
  <c r="AD104" i="33" s="1"/>
  <c r="BO54" i="33" a="1"/>
  <c r="BO54" i="33" s="1"/>
  <c r="AU18" i="33" a="1"/>
  <c r="AU18" i="33" s="1"/>
  <c r="BO116" i="33" a="1"/>
  <c r="BO116" i="33" s="1"/>
  <c r="CS120" i="33" a="1"/>
  <c r="CS120" i="33" s="1"/>
  <c r="CH127" i="33" a="1"/>
  <c r="CH127" i="33" s="1"/>
  <c r="AU19" i="33" a="1"/>
  <c r="AU19" i="33" s="1"/>
  <c r="BR26" i="33" a="1"/>
  <c r="BR26" i="33" s="1"/>
  <c r="AT159" i="33" a="1"/>
  <c r="AT159" i="33" s="1"/>
  <c r="AS68" i="33" a="1"/>
  <c r="AS68" i="33" s="1"/>
  <c r="BD75" i="33" a="1"/>
  <c r="BD75" i="33" s="1"/>
  <c r="BE59" i="33" a="1"/>
  <c r="BE59" i="33" s="1"/>
  <c r="BM136" i="33" a="1"/>
  <c r="BM136" i="33" s="1"/>
  <c r="AL41" i="33" a="1"/>
  <c r="AL41" i="33" s="1"/>
  <c r="CR139" i="33" a="1"/>
  <c r="CR139" i="33" s="1"/>
  <c r="AV96" i="33" a="1"/>
  <c r="AV96" i="33" s="1"/>
  <c r="AA56" i="33" a="1"/>
  <c r="AA56" i="33" s="1"/>
  <c r="BZ46" i="33" a="1"/>
  <c r="BZ46" i="33" s="1"/>
  <c r="CH50" i="33" a="1"/>
  <c r="CH50" i="33" s="1"/>
  <c r="CG152" i="33" a="1"/>
  <c r="CG152" i="33" s="1"/>
  <c r="CQ62" i="33" a="1"/>
  <c r="CQ62" i="33" s="1"/>
  <c r="BN73" i="33" a="1"/>
  <c r="BN73" i="33" s="1"/>
  <c r="AJ88" i="33" a="1"/>
  <c r="AJ88" i="33" s="1"/>
  <c r="BE52" i="33" a="1"/>
  <c r="BE52" i="33" s="1"/>
  <c r="CJ95" i="33" a="1"/>
  <c r="CJ95" i="33" s="1"/>
  <c r="AU118" i="33" a="1"/>
  <c r="AU118" i="33" s="1"/>
  <c r="CQ25" i="33" a="1"/>
  <c r="CQ25" i="33" s="1"/>
  <c r="BW85" i="33" a="1"/>
  <c r="BW85" i="33" s="1"/>
  <c r="BR153" i="33" a="1"/>
  <c r="BR153" i="33" s="1"/>
  <c r="CV104" i="33" a="1"/>
  <c r="CV104" i="33" s="1"/>
  <c r="CS40" i="33" a="1"/>
  <c r="CS40" i="33" s="1"/>
  <c r="CG75" i="33" a="1"/>
  <c r="CG75" i="33" s="1"/>
  <c r="AA113" i="33" a="1"/>
  <c r="AA113" i="33" s="1"/>
  <c r="BE157" i="33" a="1"/>
  <c r="BE157" i="33" s="1"/>
  <c r="BD126" i="33" a="1"/>
  <c r="BD126" i="33" s="1"/>
  <c r="BF104" i="33" a="1"/>
  <c r="BF104" i="33" s="1"/>
  <c r="CQ72" i="33" a="1"/>
  <c r="CQ72" i="33" s="1"/>
  <c r="CV36" i="33" a="1"/>
  <c r="CV36" i="33" s="1"/>
  <c r="AA122" i="33" a="1"/>
  <c r="AA122" i="33" s="1"/>
  <c r="AX48" i="33" a="1"/>
  <c r="AX48" i="33" s="1"/>
  <c r="AX91" i="33" a="1"/>
  <c r="AX91" i="33" s="1"/>
  <c r="BE160" i="33" a="1"/>
  <c r="BE160" i="33" s="1"/>
  <c r="BY123" i="33" a="1"/>
  <c r="BY123" i="33" s="1"/>
  <c r="BX42" i="33" a="1"/>
  <c r="BX42" i="33" s="1"/>
  <c r="BY75" i="33" a="1"/>
  <c r="BY75" i="33" s="1"/>
  <c r="CS108" i="33" a="1"/>
  <c r="CS108" i="33" s="1"/>
  <c r="BE15" i="33" a="1"/>
  <c r="BE15" i="33" s="1"/>
  <c r="BD58" i="33" a="1"/>
  <c r="BD58" i="33" s="1"/>
  <c r="AV26" i="33" a="1"/>
  <c r="AV26" i="33" s="1"/>
  <c r="BX102" i="33" a="1"/>
  <c r="BX102" i="33" s="1"/>
  <c r="BX161" i="33" a="1"/>
  <c r="BX161" i="33" s="1"/>
  <c r="BZ63" i="33" a="1"/>
  <c r="BZ63" i="33" s="1"/>
  <c r="CH56" i="33" a="1"/>
  <c r="CH56" i="33" s="1"/>
  <c r="BD35" i="33" a="1"/>
  <c r="BD35" i="33" s="1"/>
  <c r="BZ99" i="33" a="1"/>
  <c r="BZ99" i="33" s="1"/>
  <c r="BD128" i="33" a="1"/>
  <c r="BD128" i="33" s="1"/>
  <c r="CR21" i="33" a="1"/>
  <c r="CR21" i="33" s="1"/>
  <c r="BD145" i="33" a="1"/>
  <c r="BD145" i="33" s="1"/>
  <c r="BN74" i="33" a="1"/>
  <c r="BN74" i="33" s="1"/>
  <c r="BX84" i="33" a="1"/>
  <c r="BX84" i="33" s="1"/>
  <c r="AV16" i="33" a="1"/>
  <c r="AV16" i="33" s="1"/>
  <c r="CR17" i="33" a="1"/>
  <c r="CR17" i="33" s="1"/>
  <c r="AK98" i="33" a="1"/>
  <c r="AK98" i="33" s="1"/>
  <c r="CT44" i="33" a="1"/>
  <c r="CT44" i="33" s="1"/>
  <c r="BM141" i="33" a="1"/>
  <c r="BM141" i="33" s="1"/>
  <c r="AV142" i="33" a="1"/>
  <c r="AV142" i="33" s="1"/>
  <c r="AJ121" i="33" a="1"/>
  <c r="AJ121" i="33" s="1"/>
  <c r="AV29" i="33" a="1"/>
  <c r="AV29" i="33" s="1"/>
  <c r="CK47" i="33" a="1"/>
  <c r="CK47" i="33" s="1"/>
  <c r="BN29" i="33" a="1"/>
  <c r="BN29" i="33" s="1"/>
  <c r="BM151" i="33" a="1"/>
  <c r="BM151" i="33" s="1"/>
  <c r="CH60" i="33" a="1"/>
  <c r="CH60" i="33" s="1"/>
  <c r="CH149" i="33" a="1"/>
  <c r="CH149" i="33" s="1"/>
  <c r="AL47" i="33" a="1"/>
  <c r="AL47" i="33" s="1"/>
  <c r="BN46" i="33" a="1"/>
  <c r="BN46" i="33" s="1"/>
  <c r="BD114" i="33" a="1"/>
  <c r="BD114" i="33" s="1"/>
  <c r="CH130" i="33" a="1"/>
  <c r="CH130" i="33" s="1"/>
  <c r="CH73" i="33" a="1"/>
  <c r="CH73" i="33" s="1"/>
  <c r="BD113" i="33" a="1"/>
  <c r="BD113" i="33" s="1"/>
  <c r="Z90" i="33" a="1"/>
  <c r="Z90" i="33" s="1"/>
  <c r="AJ63" i="33" a="1"/>
  <c r="AJ63" i="33" s="1"/>
  <c r="BW101" i="33" a="1"/>
  <c r="BW101" i="33" s="1"/>
  <c r="AJ53" i="33" a="1"/>
  <c r="AJ53" i="33" s="1"/>
  <c r="Z109" i="33" a="1"/>
  <c r="Z109" i="33" s="1"/>
  <c r="CR62" i="33" a="1"/>
  <c r="CR62" i="33" s="1"/>
  <c r="Z53" i="33" a="1"/>
  <c r="Z53" i="33" s="1"/>
  <c r="CQ94" i="33" a="1"/>
  <c r="CQ94" i="33" s="1"/>
  <c r="BX88" i="33" a="1"/>
  <c r="BX88" i="33" s="1"/>
  <c r="BX31" i="33" a="1"/>
  <c r="BX31" i="33" s="1"/>
  <c r="BN28" i="33" a="1"/>
  <c r="BN28" i="33" s="1"/>
  <c r="AV67" i="33" a="1"/>
  <c r="AV67" i="33" s="1"/>
  <c r="CG25" i="33" a="1"/>
  <c r="CG25" i="33" s="1"/>
  <c r="AT54" i="33" a="1"/>
  <c r="AT54" i="33" s="1"/>
  <c r="AS99" i="33" a="1"/>
  <c r="AS99" i="33" s="1"/>
  <c r="AA154" i="33" a="1"/>
  <c r="AA154" i="33" s="1"/>
  <c r="BX48" i="33" a="1"/>
  <c r="BX48" i="33" s="1"/>
  <c r="BR31" i="33" a="1"/>
  <c r="BR31" i="33" s="1"/>
  <c r="AJ106" i="33" a="1"/>
  <c r="AJ106" i="33" s="1"/>
  <c r="BF26" i="33" a="1"/>
  <c r="BF26" i="33" s="1"/>
  <c r="CI20" i="33" a="1"/>
  <c r="CI20" i="33" s="1"/>
  <c r="CL158" i="33" a="1"/>
  <c r="CL158" i="33" s="1"/>
  <c r="CM58" i="33" a="1"/>
  <c r="CM58" i="33" s="1"/>
  <c r="AL160" i="33" a="1"/>
  <c r="AL160" i="33" s="1"/>
  <c r="AU88" i="33" a="1"/>
  <c r="AU88" i="33" s="1"/>
  <c r="CE108" i="33" a="1"/>
  <c r="CE108" i="33" s="1"/>
  <c r="AK74" i="33" a="1"/>
  <c r="AK74" i="33" s="1"/>
  <c r="AA50" i="33" a="1"/>
  <c r="AA50" i="33" s="1"/>
  <c r="CM127" i="33" a="1"/>
  <c r="CM127" i="33" s="1"/>
  <c r="BP56" i="33" a="1"/>
  <c r="BP56" i="33" s="1"/>
  <c r="BY106" i="33" a="1"/>
  <c r="BY106" i="33" s="1"/>
  <c r="CH103" i="33" a="1"/>
  <c r="CH103" i="33" s="1"/>
  <c r="AY134" i="33" a="1"/>
  <c r="AY134" i="33" s="1"/>
  <c r="BF136" i="33" a="1"/>
  <c r="BF136" i="33" s="1"/>
  <c r="AA153" i="33" a="1"/>
  <c r="AA153" i="33" s="1"/>
  <c r="BN98" i="33" a="1"/>
  <c r="BN98" i="33" s="1"/>
  <c r="BE159" i="33" a="1"/>
  <c r="BE159" i="33" s="1"/>
  <c r="AN64" i="33" a="1"/>
  <c r="AN64" i="33" s="1"/>
  <c r="CS35" i="33" a="1"/>
  <c r="CS35" i="33" s="1"/>
  <c r="AK128" i="33" a="1"/>
  <c r="AK128" i="33" s="1"/>
  <c r="BO15" i="33" a="1"/>
  <c r="BO15" i="33" s="1"/>
  <c r="AA114" i="33" a="1"/>
  <c r="AA114" i="33" s="1"/>
  <c r="CK114" i="33" a="1"/>
  <c r="CK114" i="33" s="1"/>
  <c r="BO92" i="33" a="1"/>
  <c r="BO92" i="33" s="1"/>
  <c r="CC77" i="33" a="1"/>
  <c r="CC77" i="33" s="1"/>
  <c r="CV121" i="33" a="1"/>
  <c r="CV121" i="33" s="1"/>
  <c r="CJ116" i="33" a="1"/>
  <c r="CJ116" i="33" s="1"/>
  <c r="BW33" i="33" a="1"/>
  <c r="BW33" i="33" s="1"/>
  <c r="AK86" i="33" a="1"/>
  <c r="AK86" i="33" s="1"/>
  <c r="BR123" i="33" a="1"/>
  <c r="BR123" i="33" s="1"/>
  <c r="AK40" i="33" a="1"/>
  <c r="AK40" i="33" s="1"/>
  <c r="BR49" i="33" a="1"/>
  <c r="BR49" i="33" s="1"/>
  <c r="CV28" i="33" a="1"/>
  <c r="CV28" i="33" s="1"/>
  <c r="BO27" i="33" a="1"/>
  <c r="BO27" i="33" s="1"/>
  <c r="AX160" i="33" a="1"/>
  <c r="AX160" i="33" s="1"/>
  <c r="Z157" i="33" a="1"/>
  <c r="Z157" i="33" s="1"/>
  <c r="CS14" i="33" a="1"/>
  <c r="CS14" i="33" s="1"/>
  <c r="BI88" i="33" a="1"/>
  <c r="BI88" i="33" s="1"/>
  <c r="CI124" i="33" a="1"/>
  <c r="CI124" i="33" s="1"/>
  <c r="AA55" i="33" a="1"/>
  <c r="AA55" i="33" s="1"/>
  <c r="CE156" i="33" a="1"/>
  <c r="CE156" i="33" s="1"/>
  <c r="BF80" i="33" a="1"/>
  <c r="BF80" i="33" s="1"/>
  <c r="AK129" i="33" a="1"/>
  <c r="AK129" i="33" s="1"/>
  <c r="AL23" i="33" a="1"/>
  <c r="AL23" i="33" s="1"/>
  <c r="AU123" i="33" a="1"/>
  <c r="AU123" i="33" s="1"/>
  <c r="BX33" i="33" a="1"/>
  <c r="BX33" i="33" s="1"/>
  <c r="BN25" i="33" a="1"/>
  <c r="BN25" i="33" s="1"/>
  <c r="AU65" i="33" a="1"/>
  <c r="AU65" i="33" s="1"/>
  <c r="AK105" i="33" a="1"/>
  <c r="AK105" i="33" s="1"/>
  <c r="CR109" i="33" a="1"/>
  <c r="CR109" i="33" s="1"/>
  <c r="CK118" i="33" a="1"/>
  <c r="CK118" i="33" s="1"/>
  <c r="BE153" i="33" a="1"/>
  <c r="BE153" i="33" s="1"/>
  <c r="CG57" i="33" a="1"/>
  <c r="CG57" i="33" s="1"/>
  <c r="CL91" i="33" a="1"/>
  <c r="CL91" i="33" s="1"/>
  <c r="CK27" i="33" a="1"/>
  <c r="CK27" i="33" s="1"/>
  <c r="CJ96" i="33" a="1"/>
  <c r="CJ96" i="33" s="1"/>
  <c r="BZ141" i="33" a="1"/>
  <c r="BZ141" i="33" s="1"/>
  <c r="CV79" i="33" a="1"/>
  <c r="CV79" i="33" s="1"/>
  <c r="AA25" i="33" a="1"/>
  <c r="AA25" i="33" s="1"/>
  <c r="BD117" i="33" a="1"/>
  <c r="BD117" i="33" s="1"/>
  <c r="CI104" i="33" a="1"/>
  <c r="CI104" i="33" s="1"/>
  <c r="AT68" i="33" a="1"/>
  <c r="AT68" i="33" s="1"/>
  <c r="CC95" i="33" a="1"/>
  <c r="CC95" i="33" s="1"/>
  <c r="CV78" i="33" a="1"/>
  <c r="CV78" i="33" s="1"/>
  <c r="BM154" i="33" a="1"/>
  <c r="BM154" i="33" s="1"/>
  <c r="BR137" i="33" a="1"/>
  <c r="BR137" i="33" s="1"/>
  <c r="AK108" i="33" a="1"/>
  <c r="AK108" i="33" s="1"/>
  <c r="CC98" i="33" a="1"/>
  <c r="CC98" i="33" s="1"/>
  <c r="CE40" i="33" a="1"/>
  <c r="CE40" i="33" s="1"/>
  <c r="CL100" i="33" a="1"/>
  <c r="CL100" i="33" s="1"/>
  <c r="AJ20" i="33" a="1"/>
  <c r="AJ20" i="33" s="1"/>
  <c r="AA125" i="33" a="1"/>
  <c r="AA125" i="33" s="1"/>
  <c r="AA121" i="33" a="1"/>
  <c r="AA121" i="33" s="1"/>
  <c r="AV156" i="33" a="1"/>
  <c r="AV156" i="33" s="1"/>
  <c r="CL115" i="33" a="1"/>
  <c r="CL115" i="33" s="1"/>
  <c r="AL137" i="33" a="1"/>
  <c r="AL137" i="33" s="1"/>
  <c r="BC80" i="33" a="1"/>
  <c r="BC80" i="33" s="1"/>
  <c r="BO39" i="33" a="1"/>
  <c r="BO39" i="33" s="1"/>
  <c r="BO47" i="33" a="1"/>
  <c r="BO47" i="33" s="1"/>
  <c r="BE119" i="33" a="1"/>
  <c r="BE119" i="33" s="1"/>
  <c r="BY22" i="33" a="1"/>
  <c r="BY22" i="33" s="1"/>
  <c r="AX83" i="33" a="1"/>
  <c r="AX83" i="33" s="1"/>
  <c r="BF99" i="33" a="1"/>
  <c r="BF99" i="33" s="1"/>
  <c r="AK138" i="33" a="1"/>
  <c r="AK138" i="33" s="1"/>
  <c r="CI60" i="33" a="1"/>
  <c r="CI60" i="33" s="1"/>
  <c r="BN128" i="33" a="1"/>
  <c r="BN128" i="33" s="1"/>
  <c r="BE100" i="33" a="1"/>
  <c r="BE100" i="33" s="1"/>
  <c r="CR155" i="33" a="1"/>
  <c r="CR155" i="33" s="1"/>
  <c r="CK116" i="33" a="1"/>
  <c r="CK116" i="33" s="1"/>
  <c r="CV57" i="33" a="1"/>
  <c r="CV57" i="33" s="1"/>
  <c r="AK17" i="33" a="1"/>
  <c r="AK17" i="33" s="1"/>
  <c r="BR64" i="33" a="1"/>
  <c r="BR64" i="33" s="1"/>
  <c r="CV77" i="33" a="1"/>
  <c r="CV77" i="33" s="1"/>
  <c r="AK57" i="33" a="1"/>
  <c r="AK57" i="33" s="1"/>
  <c r="AA74" i="33" a="1"/>
  <c r="AA74" i="33" s="1"/>
  <c r="BF47" i="33" a="1"/>
  <c r="BF47" i="33" s="1"/>
  <c r="BE29" i="33" a="1"/>
  <c r="BE29" i="33" s="1"/>
  <c r="BF30" i="33" a="1"/>
  <c r="BF30" i="33" s="1"/>
  <c r="AK109" i="33" a="1"/>
  <c r="AK109" i="33" s="1"/>
  <c r="AA85" i="33" a="1"/>
  <c r="AA85" i="33" s="1"/>
  <c r="BE149" i="33" a="1"/>
  <c r="BE149" i="33" s="1"/>
  <c r="BF34" i="33" a="1"/>
  <c r="BF34" i="33" s="1"/>
  <c r="BY114" i="33" a="1"/>
  <c r="BY114" i="33" s="1"/>
  <c r="AK114" i="33" a="1"/>
  <c r="AK114" i="33" s="1"/>
  <c r="AL148" i="33" a="1"/>
  <c r="AL148" i="33" s="1"/>
  <c r="AN120" i="33" a="1"/>
  <c r="AN120" i="33" s="1"/>
  <c r="AK116" i="33" a="1"/>
  <c r="AK116" i="33" s="1"/>
  <c r="BN105" i="33" a="1"/>
  <c r="BN105" i="33" s="1"/>
  <c r="BY84" i="33" a="1"/>
  <c r="BY84" i="33" s="1"/>
  <c r="BY55" i="33" a="1"/>
  <c r="BY55" i="33" s="1"/>
  <c r="BY19" i="33" a="1"/>
  <c r="BY19" i="33" s="1"/>
  <c r="AB93" i="33" a="1"/>
  <c r="AB93" i="33" s="1"/>
  <c r="AA111" i="33" a="1"/>
  <c r="AA111" i="33" s="1"/>
  <c r="CS111" i="33" a="1"/>
  <c r="CS111" i="33" s="1"/>
  <c r="AT118" i="33" a="1"/>
  <c r="AT118" i="33" s="1"/>
  <c r="AK121" i="33" a="1"/>
  <c r="AK121" i="33" s="1"/>
  <c r="BO86" i="33" a="1"/>
  <c r="BO86" i="33" s="1"/>
  <c r="BW135" i="33" a="1"/>
  <c r="BW135" i="33" s="1"/>
  <c r="Z32" i="33" a="1"/>
  <c r="Z32" i="33" s="1"/>
  <c r="BF54" i="33" a="1"/>
  <c r="BF54" i="33" s="1"/>
  <c r="BE90" i="33" a="1"/>
  <c r="BE90" i="33" s="1"/>
  <c r="AB85" i="33" a="1"/>
  <c r="AB85" i="33" s="1"/>
  <c r="BF40" i="33" a="1"/>
  <c r="BF40" i="33" s="1"/>
  <c r="CK124" i="33" a="1"/>
  <c r="CK124" i="33" s="1"/>
  <c r="BY115" i="33" a="1"/>
  <c r="BY115" i="33" s="1"/>
  <c r="CI34" i="33" a="1"/>
  <c r="CI34" i="33" s="1"/>
  <c r="BE77" i="33" a="1"/>
  <c r="BE77" i="33" s="1"/>
  <c r="AU154" i="33" a="1"/>
  <c r="AU154" i="33" s="1"/>
  <c r="CV35" i="33" a="1"/>
  <c r="CV35" i="33" s="1"/>
  <c r="CS158" i="33" a="1"/>
  <c r="CS158" i="33" s="1"/>
  <c r="CK42" i="33" a="1"/>
  <c r="CK42" i="33" s="1"/>
  <c r="AK82" i="33" a="1"/>
  <c r="AK82" i="33" s="1"/>
  <c r="CK141" i="33" a="1"/>
  <c r="CK141" i="33" s="1"/>
  <c r="BZ80" i="33" a="1"/>
  <c r="BZ80" i="33" s="1"/>
  <c r="BW147" i="33" a="1"/>
  <c r="BW147" i="33" s="1"/>
  <c r="AV144" i="33" a="1"/>
  <c r="AV144" i="33" s="1"/>
  <c r="BX30" i="33" a="1"/>
  <c r="BX30" i="33" s="1"/>
  <c r="CQ133" i="33" a="1"/>
  <c r="CQ133" i="33" s="1"/>
  <c r="AD36" i="33" a="1"/>
  <c r="AD36" i="33" s="1"/>
  <c r="CK123" i="33" a="1"/>
  <c r="CK123" i="33" s="1"/>
  <c r="CT124" i="33" a="1"/>
  <c r="CT124" i="33" s="1"/>
  <c r="CH132" i="33" a="1"/>
  <c r="CH132" i="33" s="1"/>
  <c r="CT106" i="33" a="1"/>
  <c r="CT106" i="33" s="1"/>
  <c r="AV79" i="33" a="1"/>
  <c r="AV79" i="33" s="1"/>
  <c r="AD125" i="33" a="1"/>
  <c r="AD125" i="33" s="1"/>
  <c r="BY124" i="33" a="1"/>
  <c r="BY124" i="33" s="1"/>
  <c r="CR33" i="33" a="1"/>
  <c r="CR33" i="33" s="1"/>
  <c r="BN103" i="33" a="1"/>
  <c r="BN103" i="33" s="1"/>
  <c r="BX27" i="33" a="1"/>
  <c r="BX27" i="33" s="1"/>
  <c r="AT94" i="33" a="1"/>
  <c r="AT94" i="33" s="1"/>
  <c r="BW115" i="33" a="1"/>
  <c r="BW115" i="33" s="1"/>
  <c r="BO140" i="33" a="1"/>
  <c r="BO140" i="33" s="1"/>
  <c r="AA160" i="33" a="1"/>
  <c r="AA160" i="33" s="1"/>
  <c r="AX122" i="33" a="1"/>
  <c r="AX122" i="33" s="1"/>
  <c r="AE53" i="33" a="1"/>
  <c r="AE53" i="33" s="1"/>
  <c r="BX32" i="33" a="1"/>
  <c r="BX32" i="33" s="1"/>
  <c r="BD101" i="33" a="1"/>
  <c r="BD101" i="33" s="1"/>
  <c r="AU22" i="33" a="1"/>
  <c r="AU22" i="33" s="1"/>
  <c r="CR44" i="33" a="1"/>
  <c r="CR44" i="33" s="1"/>
  <c r="BE148" i="33" a="1"/>
  <c r="BE148" i="33" s="1"/>
  <c r="BC135" i="33" a="1"/>
  <c r="BC135" i="33" s="1"/>
  <c r="CV106" i="33" a="1"/>
  <c r="CV106" i="33" s="1"/>
  <c r="CR50" i="33" a="1"/>
  <c r="CR50" i="33" s="1"/>
  <c r="BX138" i="33" a="1"/>
  <c r="BX138" i="33" s="1"/>
  <c r="BD133" i="33" a="1"/>
  <c r="BD133" i="33" s="1"/>
  <c r="BX69" i="33" a="1"/>
  <c r="BX69" i="33" s="1"/>
  <c r="CT120" i="33" a="1"/>
  <c r="CT120" i="33" s="1"/>
  <c r="BX36" i="33" a="1"/>
  <c r="BX36" i="33" s="1"/>
  <c r="CG119" i="33" a="1"/>
  <c r="CG119" i="33" s="1"/>
  <c r="CG148" i="33" a="1"/>
  <c r="CG148" i="33" s="1"/>
  <c r="CK44" i="33" a="1"/>
  <c r="CK44" i="33" s="1"/>
  <c r="AV111" i="33" a="1"/>
  <c r="AV111" i="33" s="1"/>
  <c r="BZ159" i="33" a="1"/>
  <c r="BZ159" i="33" s="1"/>
  <c r="BD19" i="33" a="1"/>
  <c r="BD19" i="33" s="1"/>
  <c r="BE118" i="33" a="1"/>
  <c r="BE118" i="33" s="1"/>
  <c r="CH64" i="33" a="1"/>
  <c r="CH64" i="33" s="1"/>
  <c r="BN156" i="33" a="1"/>
  <c r="BN156" i="33" s="1"/>
  <c r="CH17" i="33" a="1"/>
  <c r="CH17" i="33" s="1"/>
  <c r="AV57" i="33" a="1"/>
  <c r="AV57" i="33" s="1"/>
  <c r="AT121" i="33" a="1"/>
  <c r="AT121" i="33" s="1"/>
  <c r="BZ64" i="33" a="1"/>
  <c r="BZ64" i="33" s="1"/>
  <c r="CR150" i="33" a="1"/>
  <c r="CR150" i="33" s="1"/>
  <c r="CG108" i="33" a="1"/>
  <c r="CG108" i="33" s="1"/>
  <c r="CQ70" i="33" a="1"/>
  <c r="CQ70" i="33" s="1"/>
  <c r="CH33" i="33" a="1"/>
  <c r="CH33" i="33" s="1"/>
  <c r="CH20" i="33" a="1"/>
  <c r="CH20" i="33" s="1"/>
  <c r="CT95" i="33" a="1"/>
  <c r="CT95" i="33" s="1"/>
  <c r="AS88" i="33" a="1"/>
  <c r="AS88" i="33" s="1"/>
  <c r="BM153" i="33" a="1"/>
  <c r="BM153" i="33" s="1"/>
  <c r="BC92" i="33" a="1"/>
  <c r="BC92" i="33" s="1"/>
  <c r="AT78" i="33" a="1"/>
  <c r="AT78" i="33" s="1"/>
  <c r="BX150" i="33" a="1"/>
  <c r="BX150" i="33" s="1"/>
  <c r="BR136" i="33" a="1"/>
  <c r="BR136" i="33" s="1"/>
  <c r="CT56" i="33" a="1"/>
  <c r="CT56" i="33" s="1"/>
  <c r="BD148" i="33" a="1"/>
  <c r="BD148" i="33" s="1"/>
  <c r="BW77" i="33" a="1"/>
  <c r="BW77" i="33" s="1"/>
  <c r="AV63" i="33" a="1"/>
  <c r="AV63" i="33" s="1"/>
  <c r="AS41" i="33" a="1"/>
  <c r="AS41" i="33" s="1"/>
  <c r="BC60" i="33" a="1"/>
  <c r="BC60" i="33" s="1"/>
  <c r="AV145" i="33" a="1"/>
  <c r="AV145" i="33" s="1"/>
  <c r="CT36" i="33" a="1"/>
  <c r="CT36" i="33" s="1"/>
  <c r="AE77" i="33" a="1"/>
  <c r="AE77" i="33" s="1"/>
  <c r="BW100" i="33" a="1"/>
  <c r="BW100" i="33" s="1"/>
  <c r="CT83" i="33" a="1"/>
  <c r="CT83" i="33" s="1"/>
  <c r="BZ110" i="33" a="1"/>
  <c r="BZ110" i="33" s="1"/>
  <c r="CQ160" i="33" a="1"/>
  <c r="CQ160" i="33" s="1"/>
  <c r="CQ67" i="33" a="1"/>
  <c r="CQ67" i="33" s="1"/>
  <c r="BX81" i="33" a="1"/>
  <c r="BX81" i="33" s="1"/>
  <c r="BX112" i="33" a="1"/>
  <c r="BX112" i="33" s="1"/>
  <c r="BZ98" i="33" a="1"/>
  <c r="BZ98" i="33" s="1"/>
  <c r="CT96" i="33" a="1"/>
  <c r="CT96" i="33" s="1"/>
  <c r="BF103" i="33" a="1"/>
  <c r="BF103" i="33" s="1"/>
  <c r="BN24" i="33" a="1"/>
  <c r="BN24" i="33" s="1"/>
  <c r="CR20" i="33" a="1"/>
  <c r="CR20" i="33" s="1"/>
  <c r="BC32" i="33" a="1"/>
  <c r="BC32" i="33" s="1"/>
  <c r="BW49" i="33" a="1"/>
  <c r="BW49" i="33" s="1"/>
  <c r="BW102" i="33" a="1"/>
  <c r="BW102" i="33" s="1"/>
  <c r="BM88" i="33" a="1"/>
  <c r="BM88" i="33" s="1"/>
  <c r="CT114" i="33" a="1"/>
  <c r="CT114" i="33" s="1"/>
  <c r="BM26" i="33" a="1"/>
  <c r="BM26" i="33" s="1"/>
  <c r="BW151" i="33" a="1"/>
  <c r="BW151" i="33" s="1"/>
  <c r="BR71" i="33" a="1"/>
  <c r="BR71" i="33" s="1"/>
  <c r="CG72" i="33" a="1"/>
  <c r="CG72" i="33" s="1"/>
  <c r="AT130" i="33" a="1"/>
  <c r="AT130" i="33" s="1"/>
  <c r="AJ100" i="33" a="1"/>
  <c r="AJ100" i="33" s="1"/>
  <c r="CJ35" i="33" a="1"/>
  <c r="CJ35" i="33" s="1"/>
  <c r="CQ124" i="33" a="1"/>
  <c r="CQ124" i="33" s="1"/>
  <c r="BX121" i="33" a="1"/>
  <c r="BX121" i="33" s="1"/>
  <c r="AJ19" i="33" a="1"/>
  <c r="AJ19" i="33" s="1"/>
  <c r="CK101" i="33" a="1"/>
  <c r="CK101" i="33" s="1"/>
  <c r="BZ48" i="33" a="1"/>
  <c r="BZ48" i="33" s="1"/>
  <c r="Z111" i="33" a="1"/>
  <c r="Z111" i="33" s="1"/>
  <c r="CT63" i="33" a="1"/>
  <c r="CT63" i="33" s="1"/>
  <c r="BZ121" i="33" a="1"/>
  <c r="BZ121" i="33" s="1"/>
  <c r="BC89" i="33" a="1"/>
  <c r="BC89" i="33" s="1"/>
  <c r="AV87" i="33" a="1"/>
  <c r="AV87" i="33" s="1"/>
  <c r="Z126" i="33" a="1"/>
  <c r="Z126" i="33" s="1"/>
  <c r="AV110" i="33" a="1"/>
  <c r="AV110" i="33" s="1"/>
  <c r="BX14" i="33" a="1"/>
  <c r="BX14" i="33" s="1"/>
  <c r="AV18" i="33" a="1"/>
  <c r="AV18" i="33" s="1"/>
  <c r="CR123" i="33" a="1"/>
  <c r="CR123" i="33" s="1"/>
  <c r="CV154" i="33" a="1"/>
  <c r="CV154" i="33" s="1"/>
  <c r="AT28" i="33" a="1"/>
  <c r="AT28" i="33" s="1"/>
  <c r="CH40" i="33" a="1"/>
  <c r="CH40" i="33" s="1"/>
  <c r="CR157" i="33" a="1"/>
  <c r="CR157" i="33" s="1"/>
  <c r="Z40" i="33" a="1"/>
  <c r="Z40" i="33" s="1"/>
  <c r="CH27" i="33" a="1"/>
  <c r="CH27" i="33" s="1"/>
  <c r="AU159" i="33" a="1"/>
  <c r="AU159" i="33" s="1"/>
  <c r="AS22" i="33" a="1"/>
  <c r="AS22" i="33" s="1"/>
  <c r="BF159" i="33" a="1"/>
  <c r="BF159" i="33" s="1"/>
  <c r="AT51" i="33" a="1"/>
  <c r="AT51" i="33" s="1"/>
  <c r="BF70" i="33" a="1"/>
  <c r="BF70" i="33" s="1"/>
  <c r="BF65" i="33" a="1"/>
  <c r="BF65" i="33" s="1"/>
  <c r="CH159" i="33" a="1"/>
  <c r="CH159" i="33" s="1"/>
  <c r="BC27" i="33" a="1"/>
  <c r="BC27" i="33" s="1"/>
  <c r="AV99" i="33" a="1"/>
  <c r="AV99" i="33" s="1"/>
  <c r="CR91" i="33" a="1"/>
  <c r="CR91" i="33" s="1"/>
  <c r="BX16" i="33" a="1"/>
  <c r="BX16" i="33" s="1"/>
  <c r="BX39" i="33" a="1"/>
  <c r="BX39" i="33" s="1"/>
  <c r="AS94" i="33" a="1"/>
  <c r="AS94" i="33" s="1"/>
  <c r="BN127" i="33" a="1"/>
  <c r="BN127" i="33" s="1"/>
  <c r="AS73" i="33" a="1"/>
  <c r="AS73" i="33" s="1"/>
  <c r="CH139" i="33" a="1"/>
  <c r="CH139" i="33" s="1"/>
  <c r="BZ76" i="33" a="1"/>
  <c r="BZ76" i="33" s="1"/>
  <c r="CJ62" i="33" a="1"/>
  <c r="CJ62" i="33" s="1"/>
  <c r="BZ36" i="33" a="1"/>
  <c r="BZ36" i="33" s="1"/>
  <c r="CT74" i="33" a="1"/>
  <c r="CT74" i="33" s="1"/>
  <c r="CL49" i="33" a="1"/>
  <c r="CL49" i="33" s="1"/>
  <c r="CT41" i="33" a="1"/>
  <c r="CT41" i="33" s="1"/>
  <c r="BZ27" i="33" a="1"/>
  <c r="BZ27" i="33" s="1"/>
  <c r="BX139" i="33" a="1"/>
  <c r="BX139" i="33" s="1"/>
  <c r="AA161" i="33" a="1"/>
  <c r="AA161" i="33" s="1"/>
  <c r="BN158" i="33" a="1"/>
  <c r="BN158" i="33" s="1"/>
  <c r="BX35" i="33" a="1"/>
  <c r="BX35" i="33" s="1"/>
  <c r="BY103" i="33" a="1"/>
  <c r="BY103" i="33" s="1"/>
  <c r="AV146" i="33" a="1"/>
  <c r="AV146" i="33" s="1"/>
  <c r="CT85" i="33" a="1"/>
  <c r="CT85" i="33" s="1"/>
  <c r="AT153" i="33" a="1"/>
  <c r="AT153" i="33" s="1"/>
  <c r="CV116" i="33" a="1"/>
  <c r="CV116" i="33" s="1"/>
  <c r="AT66" i="33" a="1"/>
  <c r="AT66" i="33" s="1"/>
  <c r="BN96" i="33" a="1"/>
  <c r="BN96" i="33" s="1"/>
  <c r="CQ42" i="33" a="1"/>
  <c r="CQ42" i="33" s="1"/>
  <c r="AT79" i="33" a="1"/>
  <c r="AT79" i="33" s="1"/>
  <c r="CT40" i="33" a="1"/>
  <c r="CT40" i="33" s="1"/>
  <c r="CG22" i="33" a="1"/>
  <c r="CG22" i="33" s="1"/>
  <c r="AV97" i="33" a="1"/>
  <c r="AV97" i="33" s="1"/>
  <c r="AS91" i="33" a="1"/>
  <c r="AS91" i="33" s="1"/>
  <c r="BZ137" i="33" a="1"/>
  <c r="BZ137" i="33" s="1"/>
  <c r="AJ131" i="33" a="1"/>
  <c r="AJ131" i="33" s="1"/>
  <c r="BN144" i="33" a="1"/>
  <c r="BN144" i="33" s="1"/>
  <c r="BZ116" i="33" a="1"/>
  <c r="BZ116" i="33" s="1"/>
  <c r="CK65" i="33" a="1"/>
  <c r="CK65" i="33" s="1"/>
  <c r="CT99" i="33" a="1"/>
  <c r="CT99" i="33" s="1"/>
  <c r="BW105" i="33" a="1"/>
  <c r="BW105" i="33" s="1"/>
  <c r="AA115" i="33" a="1"/>
  <c r="AA115" i="33" s="1"/>
  <c r="AJ109" i="33" a="1"/>
  <c r="AJ109" i="33" s="1"/>
  <c r="BN37" i="33" a="1"/>
  <c r="BN37" i="33" s="1"/>
  <c r="CG62" i="33" a="1"/>
  <c r="CG62" i="33" s="1"/>
  <c r="CQ46" i="33" a="1"/>
  <c r="CQ46" i="33" s="1"/>
  <c r="CR70" i="33" a="1"/>
  <c r="CR70" i="33" s="1"/>
  <c r="CR142" i="33" a="1"/>
  <c r="CR142" i="33" s="1"/>
  <c r="CI138" i="33" a="1"/>
  <c r="CI138" i="33" s="1"/>
  <c r="AJ141" i="33" a="1"/>
  <c r="AJ141" i="33" s="1"/>
  <c r="BX146" i="33" a="1"/>
  <c r="BX146" i="33" s="1"/>
  <c r="CR135" i="33" a="1"/>
  <c r="CR135" i="33" s="1"/>
  <c r="BN31" i="33" a="1"/>
  <c r="BN31" i="33" s="1"/>
  <c r="CH152" i="33" a="1"/>
  <c r="CH152" i="33" s="1"/>
  <c r="BZ72" i="33" a="1"/>
  <c r="BZ72" i="33" s="1"/>
  <c r="BM19" i="33" a="1"/>
  <c r="BM19" i="33" s="1"/>
  <c r="CR39" i="33" a="1"/>
  <c r="CR39" i="33" s="1"/>
  <c r="BD79" i="33" a="1"/>
  <c r="BD79" i="33" s="1"/>
  <c r="CT152" i="33" a="1"/>
  <c r="CT152" i="33" s="1"/>
  <c r="AJ160" i="33" a="1"/>
  <c r="AJ160" i="33" s="1"/>
  <c r="CV54" i="33" a="1"/>
  <c r="CV54" i="33" s="1"/>
  <c r="BC136" i="33" a="1"/>
  <c r="BC136" i="33" s="1"/>
  <c r="CR144" i="33" a="1"/>
  <c r="CR144" i="33" s="1"/>
  <c r="CG38" i="33" a="1"/>
  <c r="CG38" i="33" s="1"/>
  <c r="CQ129" i="33" a="1"/>
  <c r="CQ129" i="33" s="1"/>
  <c r="CR108" i="33" a="1"/>
  <c r="CR108" i="33" s="1"/>
  <c r="BC104" i="33" a="1"/>
  <c r="BC104" i="33" s="1"/>
  <c r="BZ111" i="33" a="1"/>
  <c r="BZ111" i="33" s="1"/>
  <c r="BX109" i="33" a="1"/>
  <c r="BX109" i="33" s="1"/>
  <c r="CQ30" i="33" a="1"/>
  <c r="CQ30" i="33" s="1"/>
  <c r="CH70" i="33" a="1"/>
  <c r="CH70" i="33" s="1"/>
  <c r="CQ36" i="33" a="1"/>
  <c r="CQ36" i="33" s="1"/>
  <c r="BN80" i="33" a="1"/>
  <c r="BN80" i="33" s="1"/>
  <c r="AJ89" i="33" a="1"/>
  <c r="AJ89" i="33" s="1"/>
  <c r="BW91" i="33" a="1"/>
  <c r="BW91" i="33" s="1"/>
  <c r="CH81" i="33" a="1"/>
  <c r="CH81" i="33" s="1"/>
  <c r="BZ86" i="33" a="1"/>
  <c r="BZ86" i="33" s="1"/>
  <c r="BN53" i="33" a="1"/>
  <c r="BN53" i="33" s="1"/>
  <c r="BN16" i="33" a="1"/>
  <c r="BN16" i="33" s="1"/>
  <c r="BX43" i="33" a="1"/>
  <c r="BX43" i="33" s="1"/>
  <c r="CH144" i="33" a="1"/>
  <c r="CH144" i="33" s="1"/>
  <c r="BC21" i="33" a="1"/>
  <c r="BC21" i="33" s="1"/>
  <c r="BM119" i="33" a="1"/>
  <c r="BM119" i="33" s="1"/>
  <c r="BW97" i="33" a="1"/>
  <c r="BW97" i="33" s="1"/>
  <c r="CH29" i="33" a="1"/>
  <c r="CH29" i="33" s="1"/>
  <c r="CQ86" i="33" a="1"/>
  <c r="CQ86" i="33" s="1"/>
  <c r="CR95" i="33" a="1"/>
  <c r="CR95" i="33" s="1"/>
  <c r="BC44" i="33" a="1"/>
  <c r="BC44" i="33" s="1"/>
  <c r="CT86" i="33" a="1"/>
  <c r="CT86" i="33" s="1"/>
  <c r="CQ93" i="33" a="1"/>
  <c r="CQ93" i="33" s="1"/>
  <c r="BD86" i="33" a="1"/>
  <c r="BD86" i="33" s="1"/>
  <c r="BC37" i="33" a="1"/>
  <c r="BC37" i="33" s="1"/>
  <c r="AT44" i="33" a="1"/>
  <c r="AT44" i="33" s="1"/>
  <c r="BX49" i="33" a="1"/>
  <c r="BX49" i="33" s="1"/>
  <c r="BC134" i="33" a="1"/>
  <c r="BC134" i="33" s="1"/>
  <c r="CR114" i="33" a="1"/>
  <c r="CR114" i="33" s="1"/>
  <c r="CR128" i="33" a="1"/>
  <c r="CR128" i="33" s="1"/>
  <c r="Z22" i="33" a="1"/>
  <c r="Z22" i="33" s="1"/>
  <c r="BM36" i="33" a="1"/>
  <c r="BM36" i="33" s="1"/>
  <c r="BX133" i="33" a="1"/>
  <c r="BX133" i="33" s="1"/>
  <c r="BY83" i="33" a="1"/>
  <c r="BY83" i="33" s="1"/>
  <c r="CQ80" i="33" a="1"/>
  <c r="CQ80" i="33" s="1"/>
  <c r="BZ23" i="33" a="1"/>
  <c r="BZ23" i="33" s="1"/>
  <c r="BR69" i="33" a="1"/>
  <c r="BR69" i="33" s="1"/>
  <c r="CR58" i="33" a="1"/>
  <c r="CR58" i="33" s="1"/>
  <c r="CS100" i="33" a="1"/>
  <c r="CS100" i="33" s="1"/>
  <c r="AJ99" i="33" a="1"/>
  <c r="AJ99" i="33" s="1"/>
  <c r="BE49" i="33" a="1"/>
  <c r="BE49" i="33" s="1"/>
  <c r="CH37" i="33" a="1"/>
  <c r="CH37" i="33" s="1"/>
  <c r="CR84" i="33" a="1"/>
  <c r="CR84" i="33" s="1"/>
  <c r="AV49" i="33" a="1"/>
  <c r="AV49" i="33" s="1"/>
  <c r="BN23" i="33" a="1"/>
  <c r="BN23" i="33" s="1"/>
  <c r="BD54" i="33" a="1"/>
  <c r="BD54" i="33" s="1"/>
  <c r="CT81" i="33" a="1"/>
  <c r="CT81" i="33" s="1"/>
  <c r="AV33" i="33" a="1"/>
  <c r="AV33" i="33" s="1"/>
  <c r="CH137" i="33" a="1"/>
  <c r="CH137" i="33" s="1"/>
  <c r="BN149" i="33" a="1"/>
  <c r="BN149" i="33" s="1"/>
  <c r="BN123" i="33" a="1"/>
  <c r="BN123" i="33" s="1"/>
  <c r="Z118" i="33" a="1"/>
  <c r="Z118" i="33" s="1"/>
  <c r="BX76" i="33" a="1"/>
  <c r="BX76" i="33" s="1"/>
  <c r="BC118" i="33" a="1"/>
  <c r="BC118" i="33" s="1"/>
  <c r="BX103" i="33" a="1"/>
  <c r="BX103" i="33" s="1"/>
  <c r="BW68" i="33" a="1"/>
  <c r="BW68" i="33" s="1"/>
  <c r="BM92" i="33" a="1"/>
  <c r="BM92" i="33" s="1"/>
  <c r="CH115" i="33" a="1"/>
  <c r="CH115" i="33" s="1"/>
  <c r="BX58" i="33" a="1"/>
  <c r="BX58" i="33" s="1"/>
  <c r="BW55" i="33" a="1"/>
  <c r="BW55" i="33" s="1"/>
  <c r="CK25" i="33" a="1"/>
  <c r="CK25" i="33" s="1"/>
  <c r="BX143" i="33" a="1"/>
  <c r="BX143" i="33" s="1"/>
  <c r="BN148" i="33" a="1"/>
  <c r="BN148" i="33" s="1"/>
  <c r="BW46" i="33" a="1"/>
  <c r="BW46" i="33" s="1"/>
  <c r="CR47" i="33" a="1"/>
  <c r="CR47" i="33" s="1"/>
  <c r="BD155" i="33" a="1"/>
  <c r="BD155" i="33" s="1"/>
  <c r="CT77" i="33" a="1"/>
  <c r="CT77" i="33" s="1"/>
  <c r="BN111" i="33" a="1"/>
  <c r="BN111" i="33" s="1"/>
  <c r="AT142" i="33" a="1"/>
  <c r="AT142" i="33" s="1"/>
  <c r="CH90" i="33" a="1"/>
  <c r="CH90" i="33" s="1"/>
  <c r="CH16" i="33" a="1"/>
  <c r="CH16" i="33" s="1"/>
  <c r="BC58" i="33" a="1"/>
  <c r="BC58" i="33" s="1"/>
  <c r="CV62" i="33" a="1"/>
  <c r="CV62" i="33" s="1"/>
  <c r="BZ29" i="33" a="1"/>
  <c r="BZ29" i="33" s="1"/>
  <c r="BD152" i="33" a="1"/>
  <c r="BD152" i="33" s="1"/>
  <c r="BZ156" i="33" a="1"/>
  <c r="BZ156" i="33" s="1"/>
  <c r="BX140" i="33" a="1"/>
  <c r="BX140" i="33" s="1"/>
  <c r="CQ44" i="33" a="1"/>
  <c r="CQ44" i="33" s="1"/>
  <c r="AV25" i="33" a="1"/>
  <c r="AV25" i="33" s="1"/>
  <c r="BW64" i="33" a="1"/>
  <c r="BW64" i="33" s="1"/>
  <c r="BX45" i="33" a="1"/>
  <c r="BX45" i="33" s="1"/>
  <c r="CR74" i="33" a="1"/>
  <c r="CR74" i="33" s="1"/>
  <c r="CG68" i="33" a="1"/>
  <c r="CG68" i="33" s="1"/>
  <c r="AS29" i="33" a="1"/>
  <c r="AS29" i="33" s="1"/>
  <c r="CH100" i="33" a="1"/>
  <c r="CH100" i="33" s="1"/>
  <c r="AV113" i="33" a="1"/>
  <c r="AV113" i="33" s="1"/>
  <c r="CR130" i="33" a="1"/>
  <c r="CR130" i="33" s="1"/>
  <c r="AT49" i="33" a="1"/>
  <c r="AT49" i="33" s="1"/>
  <c r="CT49" i="33" a="1"/>
  <c r="CT49" i="33" s="1"/>
  <c r="BX53" i="33" a="1"/>
  <c r="BX53" i="33" s="1"/>
  <c r="BZ107" i="33" a="1"/>
  <c r="BZ107" i="33" s="1"/>
  <c r="CR117" i="33" a="1"/>
  <c r="CR117" i="33" s="1"/>
  <c r="CG86" i="33" a="1"/>
  <c r="CG86" i="33" s="1"/>
  <c r="Z152" i="33" a="1"/>
  <c r="Z152" i="33" s="1"/>
  <c r="Z95" i="33" a="1"/>
  <c r="Z95" i="33" s="1"/>
  <c r="BD38" i="33" a="1"/>
  <c r="BD38" i="33" s="1"/>
  <c r="AV28" i="33" a="1"/>
  <c r="AV28" i="33" s="1"/>
  <c r="CT43" i="33" a="1"/>
  <c r="CT43" i="33" s="1"/>
  <c r="AV21" i="33" a="1"/>
  <c r="AV21" i="33" s="1"/>
  <c r="AT133" i="33" a="1"/>
  <c r="AT133" i="33" s="1"/>
  <c r="CR147" i="33" a="1"/>
  <c r="CR147" i="33" s="1"/>
  <c r="CH77" i="33" a="1"/>
  <c r="CH77" i="33" s="1"/>
  <c r="CL157" i="33" a="1"/>
  <c r="CL157" i="33" s="1"/>
  <c r="BO143" i="33" a="1"/>
  <c r="BO143" i="33" s="1"/>
  <c r="Z83" i="33" a="1"/>
  <c r="Z83" i="33" s="1"/>
  <c r="AV114" i="33" a="1"/>
  <c r="AV114" i="33" s="1"/>
  <c r="CG131" i="33" a="1"/>
  <c r="CG131" i="33" s="1"/>
  <c r="AA44" i="33" a="1"/>
  <c r="AA44" i="33" s="1"/>
  <c r="AS80" i="33" a="1"/>
  <c r="AS80" i="33" s="1"/>
  <c r="BM128" i="33" a="1"/>
  <c r="BM128" i="33" s="1"/>
  <c r="CH88" i="33" a="1"/>
  <c r="CH88" i="33" s="1"/>
  <c r="BD146" i="33" a="1"/>
  <c r="BD146" i="33" s="1"/>
  <c r="CG44" i="33" a="1"/>
  <c r="CG44" i="33" s="1"/>
  <c r="CH85" i="33" a="1"/>
  <c r="CH85" i="33" s="1"/>
  <c r="CH54" i="33" a="1"/>
  <c r="CH54" i="33" s="1"/>
  <c r="AV155" i="33" a="1"/>
  <c r="AV155" i="33" s="1"/>
  <c r="AT141" i="33" a="1"/>
  <c r="AT141" i="33" s="1"/>
  <c r="AS42" i="33" a="1"/>
  <c r="AS42" i="33" s="1"/>
  <c r="BZ19" i="33" a="1"/>
  <c r="BZ19" i="33" s="1"/>
  <c r="BN138" i="33" a="1"/>
  <c r="BN138" i="33" s="1"/>
  <c r="BN89" i="33" a="1"/>
  <c r="BN89" i="33" s="1"/>
  <c r="BD21" i="33" a="1"/>
  <c r="BD21" i="33" s="1"/>
  <c r="BF42" i="33" a="1"/>
  <c r="BF42" i="33" s="1"/>
  <c r="BN42" i="33" a="1"/>
  <c r="BN42" i="33" s="1"/>
  <c r="AV38" i="33" a="1"/>
  <c r="AV38" i="33" s="1"/>
  <c r="D8" i="34" l="1" a="1"/>
  <c r="D8" i="34" s="1"/>
  <c r="D13" i="34" a="1"/>
  <c r="D13" i="34" s="1"/>
  <c r="D11" i="34" a="1"/>
  <c r="D11" i="34" s="1"/>
  <c r="E32" i="34" a="1"/>
  <c r="E32" i="34" s="1"/>
  <c r="F32" i="34" a="1"/>
  <c r="F32" i="34" s="1"/>
  <c r="D32" i="34" a="1"/>
  <c r="D32" i="34" s="1"/>
  <c r="E18" i="34" a="1"/>
  <c r="E18" i="34" s="1"/>
  <c r="F18" i="34" a="1"/>
  <c r="F18" i="34" s="1"/>
  <c r="D18" i="34" a="1"/>
  <c r="D18" i="34" s="1"/>
  <c r="E26" i="34" a="1"/>
  <c r="E26" i="34" s="1"/>
  <c r="D26" i="34" a="1"/>
  <c r="D26" i="34" s="1"/>
  <c r="F26" i="34" a="1"/>
  <c r="F26" i="34" s="1"/>
  <c r="E29" i="34" a="1"/>
  <c r="E29" i="34" s="1"/>
  <c r="F29" i="34" a="1"/>
  <c r="F29" i="34" s="1"/>
  <c r="D29" i="34" a="1"/>
  <c r="D29" i="34" s="1"/>
  <c r="E14" i="34" a="1"/>
  <c r="E14" i="34" s="1"/>
  <c r="F14" i="34" a="1"/>
  <c r="F14" i="34" s="1"/>
  <c r="D14" i="34" a="1"/>
  <c r="D14" i="34" s="1"/>
  <c r="E8" i="34" a="1"/>
  <c r="E8" i="34" s="1"/>
  <c r="F8" i="34" a="1"/>
  <c r="F8" i="34" s="1"/>
  <c r="D21" i="34" a="1"/>
  <c r="D21" i="34" s="1"/>
  <c r="F21" i="34" a="1"/>
  <c r="F21" i="34" s="1"/>
  <c r="E21" i="34" a="1"/>
  <c r="E21" i="34" s="1"/>
  <c r="D27" i="34" a="1"/>
  <c r="D27" i="34" s="1"/>
  <c r="F27" i="34" a="1"/>
  <c r="F27" i="34" s="1"/>
  <c r="E27" i="34" a="1"/>
  <c r="E27" i="34" s="1"/>
  <c r="D16" i="34" a="1"/>
  <c r="D16" i="34" s="1"/>
  <c r="F16" i="34" a="1"/>
  <c r="F16" i="34" s="1"/>
  <c r="E16" i="34" a="1"/>
  <c r="E16" i="34" s="1"/>
  <c r="D30" i="34" a="1"/>
  <c r="D30" i="34" s="1"/>
  <c r="F30" i="34" a="1"/>
  <c r="F30" i="34" s="1"/>
  <c r="E30" i="34" a="1"/>
  <c r="E30" i="34" s="1"/>
  <c r="E22" i="34" a="1"/>
  <c r="E22" i="34" s="1"/>
  <c r="F22" i="34" a="1"/>
  <c r="F22" i="34" s="1"/>
  <c r="D22" i="34" a="1"/>
  <c r="D22" i="34" s="1"/>
  <c r="D9" i="34" a="1"/>
  <c r="D9" i="34" s="1"/>
  <c r="E9" i="34" a="1"/>
  <c r="E9" i="34" s="1"/>
  <c r="F9" i="34" a="1"/>
  <c r="F9" i="34" s="1"/>
  <c r="F10" i="34" a="1"/>
  <c r="F10" i="34" s="1"/>
  <c r="D10" i="34" a="1"/>
  <c r="D10" i="34" s="1"/>
  <c r="E10" i="34" a="1"/>
  <c r="E10" i="34" s="1"/>
  <c r="F35" i="34" a="1"/>
  <c r="F35" i="34" s="1"/>
  <c r="D35" i="34" a="1"/>
  <c r="D35" i="34" s="1"/>
  <c r="E35" i="34" a="1"/>
  <c r="E35" i="34" s="1"/>
  <c r="F13" i="34" a="1"/>
  <c r="F13" i="34" s="1"/>
  <c r="D33" i="34" a="1"/>
  <c r="D33" i="34" s="1"/>
  <c r="E33" i="34" a="1"/>
  <c r="E33" i="34" s="1"/>
  <c r="F33" i="34" a="1"/>
  <c r="F33" i="34" s="1"/>
  <c r="F15" i="34" a="1"/>
  <c r="F15" i="34" s="1"/>
  <c r="E15" i="34" a="1"/>
  <c r="E15" i="34" s="1"/>
  <c r="D15" i="34" a="1"/>
  <c r="D15" i="34" s="1"/>
  <c r="E13" i="34" a="1"/>
  <c r="E13" i="34" s="1"/>
  <c r="E23" i="34" a="1"/>
  <c r="E23" i="34" s="1"/>
  <c r="D23" i="34" a="1"/>
  <c r="D23" i="34" s="1"/>
  <c r="F23" i="34" a="1"/>
  <c r="F23" i="34" s="1"/>
  <c r="F31" i="34" a="1"/>
  <c r="F31" i="34" s="1"/>
  <c r="D31" i="34" a="1"/>
  <c r="D31" i="34" s="1"/>
  <c r="E31" i="34" a="1"/>
  <c r="E31" i="34" s="1"/>
  <c r="F24" i="34" a="1"/>
  <c r="F24" i="34" s="1"/>
  <c r="E24" i="34" a="1"/>
  <c r="E24" i="34" s="1"/>
  <c r="D24" i="34" a="1"/>
  <c r="D24" i="34" s="1"/>
  <c r="E20" i="34" a="1"/>
  <c r="E20" i="34" s="1"/>
  <c r="D20" i="34" a="1"/>
  <c r="D20" i="34" s="1"/>
  <c r="F20" i="34" a="1"/>
  <c r="F20" i="34" s="1"/>
  <c r="E11" i="34" a="1"/>
  <c r="E11" i="34" s="1"/>
  <c r="F25" i="34" a="1"/>
  <c r="F25" i="34" s="1"/>
  <c r="E25" i="34" a="1"/>
  <c r="E25" i="34" s="1"/>
  <c r="D25" i="34" a="1"/>
  <c r="D25" i="34" s="1"/>
  <c r="F17" i="34" a="1"/>
  <c r="F17" i="34" s="1"/>
  <c r="D17" i="34" a="1"/>
  <c r="D17" i="34" s="1"/>
  <c r="E17" i="34" a="1"/>
  <c r="E17" i="34" s="1"/>
  <c r="F11" i="34" a="1"/>
  <c r="F11" i="34" s="1"/>
  <c r="E34" i="34" a="1"/>
  <c r="E34" i="34" s="1"/>
  <c r="F34" i="34" a="1"/>
  <c r="F34" i="34" s="1"/>
  <c r="D34" i="34" a="1"/>
  <c r="D34" i="34" s="1"/>
  <c r="F12" i="34" a="1"/>
  <c r="F12" i="34" s="1"/>
  <c r="D12" i="34" a="1"/>
  <c r="D12" i="34" s="1"/>
  <c r="E12" i="34" a="1"/>
  <c r="E12" i="34" s="1"/>
  <c r="E19" i="34" a="1"/>
  <c r="E19" i="34" s="1"/>
  <c r="D19" i="34" a="1"/>
  <c r="D19" i="34" s="1"/>
  <c r="F19" i="34" a="1"/>
  <c r="F19" i="34" s="1"/>
  <c r="F28" i="34" a="1"/>
  <c r="F28" i="34" s="1"/>
  <c r="D28" i="34" a="1"/>
  <c r="D28" i="34" s="1"/>
  <c r="E28" i="34" a="1"/>
  <c r="E28" i="34" s="1"/>
  <c r="G29" i="34" l="1"/>
  <c r="G34" i="34"/>
  <c r="G11" i="34"/>
  <c r="G32" i="34"/>
  <c r="G30" i="34"/>
  <c r="G9" i="34"/>
  <c r="G8" i="34"/>
  <c r="G25" i="34"/>
  <c r="G13" i="34"/>
  <c r="G19" i="34"/>
  <c r="G17" i="34"/>
  <c r="G10" i="34"/>
  <c r="G26" i="34"/>
  <c r="G18" i="34"/>
  <c r="G16" i="34"/>
  <c r="G14" i="34"/>
  <c r="G31" i="34"/>
  <c r="G22" i="34"/>
  <c r="G27" i="34"/>
  <c r="G12" i="34"/>
  <c r="G33" i="34"/>
  <c r="G20" i="34"/>
  <c r="G35" i="34"/>
  <c r="G23" i="34"/>
  <c r="G28" i="34"/>
  <c r="G24" i="34"/>
  <c r="G15" i="34"/>
  <c r="G21" i="34"/>
</calcChain>
</file>

<file path=xl/metadata.xml><?xml version="1.0" encoding="utf-8"?>
<metadata xmlns="http://purl.oclc.org/ooxml/spreadsheetml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<sst xmlns="http://purl.oclc.org/ooxml/spreadsheetml/main" count="10915" uniqueCount="3431">
  <si>
    <t>Pillar</t>
  </si>
  <si>
    <t>Subpillar</t>
  </si>
  <si>
    <t>Indicator</t>
  </si>
  <si>
    <t>Normalization Procedure</t>
  </si>
  <si>
    <t>Status</t>
  </si>
  <si>
    <t>Pillar Weight</t>
  </si>
  <si>
    <t>Exposure</t>
  </si>
  <si>
    <t>Vulnerability</t>
  </si>
  <si>
    <t>Time Period</t>
  </si>
  <si>
    <t>AFG</t>
  </si>
  <si>
    <t>Afghanistan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</si>
  <si>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</si>
  <si>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</si>
  <si>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</si>
  <si>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</si>
  <si>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</si>
  <si>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</si>
  <si>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</si>
  <si>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</si>
  <si>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</si>
  <si>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</si>
  <si>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</si>
  <si>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</si>
  <si>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</si>
  <si>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</si>
  <si>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</si>
  <si>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</si>
  <si>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</si>
  <si>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</si>
  <si>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</si>
  <si>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</si>
  <si>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</si>
  <si>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</si>
  <si>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</si>
  <si>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</si>
  <si>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</si>
  <si>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</si>
  <si>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</si>
  <si>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</si>
  <si>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</si>
  <si>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</si>
  <si>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</si>
  <si>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</si>
  <si>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</si>
  <si>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</si>
  <si>
    <t>ALB</t>
  </si>
  <si>
    <t>Albania</t>
  </si>
  <si>
    <t>Berat</t>
  </si>
  <si>
    <t>Bulqize</t>
  </si>
  <si>
    <t>Delvine</t>
  </si>
  <si>
    <t>Devoll</t>
  </si>
  <si>
    <t>Diber</t>
  </si>
  <si>
    <t>Durres</t>
  </si>
  <si>
    <t>Elbasan</t>
  </si>
  <si>
    <t>Fier</t>
  </si>
  <si>
    <t>Gjirokaster</t>
  </si>
  <si>
    <t>Gramsh</t>
  </si>
  <si>
    <t>Has</t>
  </si>
  <si>
    <t>Kavaje</t>
  </si>
  <si>
    <t>Kolonjes</t>
  </si>
  <si>
    <t>Korce</t>
  </si>
  <si>
    <t>Kruje</t>
  </si>
  <si>
    <t>Kucove</t>
  </si>
  <si>
    <t>Kukes</t>
  </si>
  <si>
    <t>Kurbin</t>
  </si>
  <si>
    <t>Lezhe</t>
  </si>
  <si>
    <t>Librazhd</t>
  </si>
  <si>
    <t>Lushnje</t>
  </si>
  <si>
    <t>Malesi E Madhe</t>
  </si>
  <si>
    <t>Mallakaster</t>
  </si>
  <si>
    <t>Mat</t>
  </si>
  <si>
    <t>Mirdite</t>
  </si>
  <si>
    <t>Peqin</t>
  </si>
  <si>
    <t>Permet</t>
  </si>
  <si>
    <t>Pogradec</t>
  </si>
  <si>
    <t>Puke</t>
  </si>
  <si>
    <t>Sarande</t>
  </si>
  <si>
    <t>Shkoder</t>
  </si>
  <si>
    <t>Skrapar</t>
  </si>
  <si>
    <t>Tepelene</t>
  </si>
  <si>
    <t>Tirane</t>
  </si>
  <si>
    <t>Tropoje</t>
  </si>
  <si>
    <t>Vlore</t>
  </si>
  <si>
    <t>DZA</t>
  </si>
  <si>
    <t>Algeria</t>
  </si>
  <si>
    <t>Adrar</t>
  </si>
  <si>
    <t>Ain Dafla</t>
  </si>
  <si>
    <t>Ain Tamouchent</t>
  </si>
  <si>
    <t>Alger</t>
  </si>
  <si>
    <t>Annaba</t>
  </si>
  <si>
    <t>Batna</t>
  </si>
  <si>
    <t>Bechar</t>
  </si>
  <si>
    <t>Bejaia</t>
  </si>
  <si>
    <t>Biskra</t>
  </si>
  <si>
    <t>Blida</t>
  </si>
  <si>
    <t>Bordj Bou Arreridj</t>
  </si>
  <si>
    <t>Bouira</t>
  </si>
  <si>
    <t>Boumerdes</t>
  </si>
  <si>
    <t>Chlef</t>
  </si>
  <si>
    <t>Constantine</t>
  </si>
  <si>
    <t>Djelfa</t>
  </si>
  <si>
    <t>El Bayadh</t>
  </si>
  <si>
    <t>El Oued</t>
  </si>
  <si>
    <t>El Tarf</t>
  </si>
  <si>
    <t>Ghardaia</t>
  </si>
  <si>
    <t>Guelma</t>
  </si>
  <si>
    <t>Ilisii</t>
  </si>
  <si>
    <t>Jijel</t>
  </si>
  <si>
    <t>Khenchela</t>
  </si>
  <si>
    <t>Laghouat</t>
  </si>
  <si>
    <t>M'Sila</t>
  </si>
  <si>
    <t>Mascara</t>
  </si>
  <si>
    <t>Medea</t>
  </si>
  <si>
    <t>Mila</t>
  </si>
  <si>
    <t>Mostaganem</t>
  </si>
  <si>
    <t>Naama</t>
  </si>
  <si>
    <t>Oran</t>
  </si>
  <si>
    <t>Ouargla</t>
  </si>
  <si>
    <t>Oum El Bouaghi</t>
  </si>
  <si>
    <t>Relizane</t>
  </si>
  <si>
    <t>Saida</t>
  </si>
  <si>
    <t>Setif</t>
  </si>
  <si>
    <t>Sidi Bel Abbes</t>
  </si>
  <si>
    <t>Skikda</t>
  </si>
  <si>
    <t>Souk Ahras</t>
  </si>
  <si>
    <t>Tamanrasset</t>
  </si>
  <si>
    <t>Tebessa</t>
  </si>
  <si>
    <t>Tiaret</t>
  </si>
  <si>
    <t>Tindouf</t>
  </si>
  <si>
    <t>Tipaza</t>
  </si>
  <si>
    <t>Tissemsilt</t>
  </si>
  <si>
    <t>Tizi Ouzou</t>
  </si>
  <si>
    <t>Tlemcen</t>
  </si>
  <si>
    <t>AND</t>
  </si>
  <si>
    <t>Andorra</t>
  </si>
  <si>
    <t>Andorra La Vella</t>
  </si>
  <si>
    <t>Canillo</t>
  </si>
  <si>
    <t>Encamp</t>
  </si>
  <si>
    <t>Escaldes Engordany</t>
  </si>
  <si>
    <t>La Massana</t>
  </si>
  <si>
    <t>Ordino</t>
  </si>
  <si>
    <t>Sant Julia De Loria</t>
  </si>
  <si>
    <t>AGO</t>
  </si>
  <si>
    <t>Angola</t>
  </si>
  <si>
    <t>Bengo</t>
  </si>
  <si>
    <t>Benguela</t>
  </si>
  <si>
    <t>Bié</t>
  </si>
  <si>
    <t>Cabinda</t>
  </si>
  <si>
    <t>Cuando Cubango</t>
  </si>
  <si>
    <t>Cuanza Norte</t>
  </si>
  <si>
    <t>Cuanza Sul</t>
  </si>
  <si>
    <t>Cunene</t>
  </si>
  <si>
    <t>Huambo</t>
  </si>
  <si>
    <t>Huíla</t>
  </si>
  <si>
    <t>Luanda</t>
  </si>
  <si>
    <t>Lunda Norte</t>
  </si>
  <si>
    <t>Lunda Sul</t>
  </si>
  <si>
    <t>Malanje</t>
  </si>
  <si>
    <t>Moxico</t>
  </si>
  <si>
    <t>Namibe</t>
  </si>
  <si>
    <t>Uíge</t>
  </si>
  <si>
    <t>Zaire</t>
  </si>
  <si>
    <t>ATG</t>
  </si>
  <si>
    <t>Antigua and Barbuda</t>
  </si>
  <si>
    <t>Barbuda</t>
  </si>
  <si>
    <t>Redonda</t>
  </si>
  <si>
    <t>St. George</t>
  </si>
  <si>
    <t>St. John</t>
  </si>
  <si>
    <t>St. Mary</t>
  </si>
  <si>
    <t>St. Paul</t>
  </si>
  <si>
    <t>St. Peter</t>
  </si>
  <si>
    <t>St. Philip</t>
  </si>
  <si>
    <t>ARG</t>
  </si>
  <si>
    <t>Argentina</t>
  </si>
  <si>
    <t>Buenos Aires</t>
  </si>
  <si>
    <t>Catamarca</t>
  </si>
  <si>
    <t>Chaco</t>
  </si>
  <si>
    <t>Chubut</t>
  </si>
  <si>
    <t>Ciudad Autonoma De Buenos Aires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</si>
  <si>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</si>
  <si>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</si>
  <si>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</si>
  <si>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</si>
  <si>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</si>
  <si>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</si>
  <si>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</si>
  <si>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</si>
  <si>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</si>
  <si>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</si>
  <si>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</si>
  <si>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</si>
  <si>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</si>
  <si>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</si>
  <si>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</si>
  <si>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</si>
  <si>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</si>
  <si>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Fuego, Antartida E Islas Del Atlantico Sur</t>
  </si>
  <si>
    <t>Tucuman</t>
  </si>
  <si>
    <t>ARM</t>
  </si>
  <si>
    <t>Armenia</t>
  </si>
  <si>
    <t>Aragatsotn</t>
  </si>
  <si>
    <t>Ararat</t>
  </si>
  <si>
    <t>Armavir</t>
  </si>
  <si>
    <t>Gegharkunik</t>
  </si>
  <si>
    <t>Kotayk</t>
  </si>
  <si>
    <t>Lori</t>
  </si>
  <si>
    <t>Shirak</t>
  </si>
  <si>
    <t>Syunik</t>
  </si>
  <si>
    <t>Tavush</t>
  </si>
  <si>
    <t>Vayots Dzor</t>
  </si>
  <si>
    <t>Yerevan</t>
  </si>
  <si>
    <t>AUS</t>
  </si>
  <si>
    <t>Australia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</si>
  <si>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</si>
  <si>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</si>
  <si>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</si>
  <si>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</si>
  <si>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</si>
  <si>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</si>
  <si>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</si>
  <si>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</si>
  <si>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Other Territories</t>
  </si>
  <si>
    <t>AUT</t>
  </si>
  <si>
    <t>Austria</t>
  </si>
  <si>
    <t>Burgenland</t>
  </si>
  <si>
    <t>Carinthia</t>
  </si>
  <si>
    <t>Lower Austria</t>
  </si>
  <si>
    <t>Upper Austria</t>
  </si>
  <si>
    <t>Salzburg</t>
  </si>
  <si>
    <t>Styria</t>
  </si>
  <si>
    <t>Tyrol</t>
  </si>
  <si>
    <t>Vorarlberg</t>
  </si>
  <si>
    <t>Vienna</t>
  </si>
  <si>
    <t>AZE</t>
  </si>
  <si>
    <t>Azerbaijan</t>
  </si>
  <si>
    <t>Absheron</t>
  </si>
  <si>
    <t>Aran</t>
  </si>
  <si>
    <t>Daglig-Shirvan</t>
  </si>
  <si>
    <t>Ganja-Qazakh</t>
  </si>
  <si>
    <t>Kalbajar-Lachin</t>
  </si>
  <si>
    <t>Lankaran</t>
  </si>
  <si>
    <t>Nakhchivan</t>
  </si>
  <si>
    <t>Quba-Khachmaz</t>
  </si>
  <si>
    <t>Shaki-Zaqatala</t>
  </si>
  <si>
    <t>Yukhari-Karabakh</t>
  </si>
  <si>
    <t>BHS</t>
  </si>
  <si>
    <t>Bahamas</t>
  </si>
  <si>
    <t>Acklins</t>
  </si>
  <si>
    <t>Area Under National Administra</t>
  </si>
  <si>
    <t>Bimini</t>
  </si>
  <si>
    <t>Cat Island</t>
  </si>
  <si>
    <t>Central Abaco</t>
  </si>
  <si>
    <t>Central Andros</t>
  </si>
  <si>
    <t>Central Eleuthera</t>
  </si>
  <si>
    <t>Crooked Island And Long Cay</t>
  </si>
  <si>
    <t>East Grand Bahama</t>
  </si>
  <si>
    <t>Exuma</t>
  </si>
  <si>
    <t>Freeport</t>
  </si>
  <si>
    <t>Inagua</t>
  </si>
  <si>
    <t>Long Island</t>
  </si>
  <si>
    <t>Mayaguana</t>
  </si>
  <si>
    <t>North Abaco</t>
  </si>
  <si>
    <t>North Andros</t>
  </si>
  <si>
    <t>North Eleuthera</t>
  </si>
  <si>
    <t>San Salvador</t>
  </si>
  <si>
    <t>South Abaco</t>
  </si>
  <si>
    <t>South Andros</t>
  </si>
  <si>
    <t>South Eleuthera</t>
  </si>
  <si>
    <t>West Grand Bahama</t>
  </si>
  <si>
    <t>BHR</t>
  </si>
  <si>
    <t>Bahrain</t>
  </si>
  <si>
    <t>Capital</t>
  </si>
  <si>
    <t>Muharraq</t>
  </si>
  <si>
    <t>Northern</t>
  </si>
  <si>
    <t>Southern</t>
  </si>
  <si>
    <t>BGD</t>
  </si>
  <si>
    <t>Bangladesh</t>
  </si>
  <si>
    <t>Barisal</t>
  </si>
  <si>
    <t>Chittagong</t>
  </si>
  <si>
    <t>Dhaka</t>
  </si>
  <si>
    <t>Khulna</t>
  </si>
  <si>
    <t>Mymensingh</t>
  </si>
  <si>
    <t>Rajshahi</t>
  </si>
  <si>
    <t>Rangpur</t>
  </si>
  <si>
    <t>Sylhet</t>
  </si>
  <si>
    <t>BRB</t>
  </si>
  <si>
    <t>Barbados</t>
  </si>
  <si>
    <t>Christ Church</t>
  </si>
  <si>
    <t>Saint Andrew</t>
  </si>
  <si>
    <t>Saint George</t>
  </si>
  <si>
    <t>Saint James</t>
  </si>
  <si>
    <t>Saint John</t>
  </si>
  <si>
    <t>Saint Joseph</t>
  </si>
  <si>
    <t>Saint Lucy</t>
  </si>
  <si>
    <t>Saint Michael</t>
  </si>
  <si>
    <t>Saint Peter</t>
  </si>
  <si>
    <t>Saint Philip</t>
  </si>
  <si>
    <t>Saint Thomas</t>
  </si>
  <si>
    <t>BLR</t>
  </si>
  <si>
    <t>Belarus</t>
  </si>
  <si>
    <t>Brest</t>
  </si>
  <si>
    <t>Gomel</t>
  </si>
  <si>
    <t>Grodno</t>
  </si>
  <si>
    <t>Mogilev</t>
  </si>
  <si>
    <t>Minsk</t>
  </si>
  <si>
    <t>Minsk City</t>
  </si>
  <si>
    <t>Vitebsk</t>
  </si>
  <si>
    <t>BEL</t>
  </si>
  <si>
    <t>Belgium</t>
  </si>
  <si>
    <t>Région de Bruxelles-Capitale/Brussels Hoofdstedelijk Gewest</t>
  </si>
  <si>
    <t>Région Wallonne</t>
  </si>
  <si>
    <t>Vlaams Gewest</t>
  </si>
  <si>
    <t>BLZ</t>
  </si>
  <si>
    <t>Belize</t>
  </si>
  <si>
    <t>Cayo</t>
  </si>
  <si>
    <t>Corozal</t>
  </si>
  <si>
    <t>Orange Walk</t>
  </si>
  <si>
    <t>Stann Creek</t>
  </si>
  <si>
    <t>Toledo</t>
  </si>
  <si>
    <t>BEN</t>
  </si>
  <si>
    <t>Benin</t>
  </si>
  <si>
    <t>Alibori</t>
  </si>
  <si>
    <t>Atacora</t>
  </si>
  <si>
    <t>Atlantique</t>
  </si>
  <si>
    <t>Borgou</t>
  </si>
  <si>
    <t>Collines</t>
  </si>
  <si>
    <t>Couffo</t>
  </si>
  <si>
    <t>Donga</t>
  </si>
  <si>
    <t>Littoral</t>
  </si>
  <si>
    <t>Mono</t>
  </si>
  <si>
    <t>Outmt</t>
  </si>
  <si>
    <t>Plateau</t>
  </si>
  <si>
    <t>Zou</t>
  </si>
  <si>
    <t>BTN</t>
  </si>
  <si>
    <t>Bhutan</t>
  </si>
  <si>
    <t>Bumthang</t>
  </si>
  <si>
    <t>Chukha</t>
  </si>
  <si>
    <t>Daga</t>
  </si>
  <si>
    <t>Gasa</t>
  </si>
  <si>
    <t>Haa</t>
  </si>
  <si>
    <t>Lhuntshi</t>
  </si>
  <si>
    <t>Mongar</t>
  </si>
  <si>
    <t>Paro</t>
  </si>
  <si>
    <t>Pemagatsel</t>
  </si>
  <si>
    <t>Punakha</t>
  </si>
  <si>
    <t>Samdrup Jongkhar</t>
  </si>
  <si>
    <t>Samtse</t>
  </si>
  <si>
    <t>Sarpang</t>
  </si>
  <si>
    <t>Tashiyanse</t>
  </si>
  <si>
    <t>Thimphu</t>
  </si>
  <si>
    <t>Trashigang</t>
  </si>
  <si>
    <t>Trongsa</t>
  </si>
  <si>
    <t>Tsirang</t>
  </si>
  <si>
    <t>Wangdue</t>
  </si>
  <si>
    <t>Zhemgang</t>
  </si>
  <si>
    <t>BOL</t>
  </si>
  <si>
    <t>Bolivia (Plurinational State of)</t>
  </si>
  <si>
    <t>Beni</t>
  </si>
  <si>
    <t>Chuquisaca</t>
  </si>
  <si>
    <t>Cochabamba</t>
  </si>
  <si>
    <t>La Paz</t>
  </si>
  <si>
    <t>Oruro</t>
  </si>
  <si>
    <t>Pando</t>
  </si>
  <si>
    <t>Potosi</t>
  </si>
  <si>
    <t>Tarija</t>
  </si>
  <si>
    <t>BIH</t>
  </si>
  <si>
    <t>Bosnia and Herzegovina</t>
  </si>
  <si>
    <t>Brčko</t>
  </si>
  <si>
    <t>Federacija Bosne i Hercegovine</t>
  </si>
  <si>
    <t>Repuplika Srpska</t>
  </si>
  <si>
    <t>BWA</t>
  </si>
  <si>
    <t>Botswana</t>
  </si>
  <si>
    <t>Bobirwa</t>
  </si>
  <si>
    <t>Boteti</t>
  </si>
  <si>
    <t>Chobe</t>
  </si>
  <si>
    <t>Francistown</t>
  </si>
  <si>
    <t>Gaborone</t>
  </si>
  <si>
    <t>Gantsi</t>
  </si>
  <si>
    <t>Goodhope</t>
  </si>
  <si>
    <t>Hukuntsi</t>
  </si>
  <si>
    <t>Jwaneng</t>
  </si>
  <si>
    <t>Kanye Moshupa</t>
  </si>
  <si>
    <t>Kgalagadi South</t>
  </si>
  <si>
    <t>Kgatleng</t>
  </si>
  <si>
    <t>Kweneng East</t>
  </si>
  <si>
    <t>Kweneng West</t>
  </si>
  <si>
    <t>Lobatse</t>
  </si>
  <si>
    <t>Mabutsane</t>
  </si>
  <si>
    <t>Mahalapye</t>
  </si>
  <si>
    <t>Ngami</t>
  </si>
  <si>
    <t>North East</t>
  </si>
  <si>
    <t>Okavango</t>
  </si>
  <si>
    <t>Selibe Phikwe</t>
  </si>
  <si>
    <t>Serowe/Palapye</t>
  </si>
  <si>
    <t>South East</t>
  </si>
  <si>
    <t>Tutume</t>
  </si>
  <si>
    <t>BRA</t>
  </si>
  <si>
    <t>Brazil</t>
  </si>
  <si>
    <t>Acre</t>
  </si>
  <si>
    <t>Alagoas</t>
  </si>
  <si>
    <t>Amapa</t>
  </si>
  <si>
    <t>Amazonas</t>
  </si>
  <si>
    <t>Bahia</t>
  </si>
  <si>
    <t>Ceará</t>
  </si>
  <si>
    <t>Distrito Federal</t>
  </si>
  <si>
    <t>Espírito Santo</t>
  </si>
  <si>
    <t>Goiás</t>
  </si>
  <si>
    <t>Maranhao</t>
  </si>
  <si>
    <t>Mato Grosso</t>
  </si>
  <si>
    <t>Mato Grosso do Sul</t>
  </si>
  <si>
    <t>Minas Gerais</t>
  </si>
  <si>
    <t>Para</t>
  </si>
  <si>
    <t>Paraíba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</si>
  <si>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</si>
  <si>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</si>
  <si>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</si>
  <si>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</si>
  <si>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</si>
  <si>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</si>
  <si>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</si>
  <si>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</si>
  <si>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</si>
  <si>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São Paulo</t>
  </si>
  <si>
    <t>Sergipe</t>
  </si>
  <si>
    <t>Tocantins</t>
  </si>
  <si>
    <t>BRN</t>
  </si>
  <si>
    <t>Brunei Darussalam</t>
  </si>
  <si>
    <t>Belait</t>
  </si>
  <si>
    <t>Brunei and Muara</t>
  </si>
  <si>
    <t>Temburong</t>
  </si>
  <si>
    <t>Tutong</t>
  </si>
  <si>
    <t>BGR</t>
  </si>
  <si>
    <t>Bulgaria</t>
  </si>
  <si>
    <t>Blagoevgrad</t>
  </si>
  <si>
    <t>Burgas</t>
  </si>
  <si>
    <t>Dobrich</t>
  </si>
  <si>
    <t>Gabrovo</t>
  </si>
  <si>
    <t>Haskovo</t>
  </si>
  <si>
    <t>Jambol</t>
  </si>
  <si>
    <t>Kardzhali</t>
  </si>
  <si>
    <t>Kustendil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</si>
  <si>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</si>
  <si>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</si>
  <si>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</si>
  <si>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</si>
  <si>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</si>
  <si>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</si>
  <si>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</si>
  <si>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</si>
  <si>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</si>
  <si>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</si>
  <si>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</si>
  <si>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Smoljan</t>
  </si>
  <si>
    <t>Sofia</t>
  </si>
  <si>
    <t>Sofia City</t>
  </si>
  <si>
    <t>Stara Zagora</t>
  </si>
  <si>
    <t>Targovishte</t>
  </si>
  <si>
    <t>Varna</t>
  </si>
  <si>
    <t>Veliko Tarnovo</t>
  </si>
  <si>
    <t>Vidin</t>
  </si>
  <si>
    <t>Vratca</t>
  </si>
  <si>
    <t>BFA</t>
  </si>
  <si>
    <t>Burkina Faso</t>
  </si>
  <si>
    <t>Banfora</t>
  </si>
  <si>
    <t>Bobo</t>
  </si>
  <si>
    <t>Dedougou</t>
  </si>
  <si>
    <t>Dori</t>
  </si>
  <si>
    <t>Fada</t>
  </si>
  <si>
    <t>Gaoua</t>
  </si>
  <si>
    <t>Kaya</t>
  </si>
  <si>
    <t>Koudougou</t>
  </si>
  <si>
    <t>Manga</t>
  </si>
  <si>
    <t>Ouagadougou</t>
  </si>
  <si>
    <t>Ouahigouya</t>
  </si>
  <si>
    <t>Tenkodogo</t>
  </si>
  <si>
    <t>Ziniare</t>
  </si>
  <si>
    <t>BDI</t>
  </si>
  <si>
    <t>Burundi</t>
  </si>
  <si>
    <t>Bubanza</t>
  </si>
  <si>
    <t>Bujumbura Mairie</t>
  </si>
  <si>
    <t>Bujumbura Rural</t>
  </si>
  <si>
    <t>Bururi</t>
  </si>
  <si>
    <t>Cankuzo</t>
  </si>
  <si>
    <t>Cibitoke</t>
  </si>
  <si>
    <t>Gitega</t>
  </si>
  <si>
    <t>Karusi</t>
  </si>
  <si>
    <t>Kayanza</t>
  </si>
  <si>
    <t>Kirundo</t>
  </si>
  <si>
    <t>Makamba</t>
  </si>
  <si>
    <t>Muramvya</t>
  </si>
  <si>
    <t>Muyinga</t>
  </si>
  <si>
    <t>Mwaro</t>
  </si>
  <si>
    <t>Ngozi</t>
  </si>
  <si>
    <t>Rumonge</t>
  </si>
  <si>
    <t>Rutana</t>
  </si>
  <si>
    <t>Ruyigi</t>
  </si>
  <si>
    <t>CPV</t>
  </si>
  <si>
    <t>Cabo Verde</t>
  </si>
  <si>
    <t>Boa Vista</t>
  </si>
  <si>
    <t>Brava</t>
  </si>
  <si>
    <t>Fogo</t>
  </si>
  <si>
    <t>Maio</t>
  </si>
  <si>
    <t>Sal</t>
  </si>
  <si>
    <t>Santiago</t>
  </si>
  <si>
    <t>Santo Antao</t>
  </si>
  <si>
    <t>Sao Nicolau</t>
  </si>
  <si>
    <t>Sao Vicente</t>
  </si>
  <si>
    <t>KHM</t>
  </si>
  <si>
    <t>Cambodia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</si>
  <si>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</si>
  <si>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</si>
  <si>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</si>
  <si>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</si>
  <si>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</si>
  <si>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</si>
  <si>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</si>
  <si>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</si>
  <si>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</si>
  <si>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</si>
  <si>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Kratie</t>
  </si>
  <si>
    <t>Mondol Kiri</t>
  </si>
  <si>
    <t>Oddar Meanchey</t>
  </si>
  <si>
    <t>Pailin</t>
  </si>
  <si>
    <t>Phnom Penh</t>
  </si>
  <si>
    <t>Preah Sihanouk</t>
  </si>
  <si>
    <t>Preah Vihear</t>
  </si>
  <si>
    <t>Prey Veng</t>
  </si>
  <si>
    <t>Pursat</t>
  </si>
  <si>
    <t>Ratanakiri</t>
  </si>
  <si>
    <t>Siem Reab</t>
  </si>
  <si>
    <t>Stung Treng</t>
  </si>
  <si>
    <t>Svay Rieng</t>
  </si>
  <si>
    <t>Takeo</t>
  </si>
  <si>
    <t>Tbong Khmum</t>
  </si>
  <si>
    <t>CMR</t>
  </si>
  <si>
    <t>Cameroon</t>
  </si>
  <si>
    <t>Adamaoua</t>
  </si>
  <si>
    <t>Centre</t>
  </si>
  <si>
    <t>EST</t>
  </si>
  <si>
    <t>Est</t>
  </si>
  <si>
    <t>Extreme Nord</t>
  </si>
  <si>
    <t>Nord</t>
  </si>
  <si>
    <t>Nord Ouest</t>
  </si>
  <si>
    <t>Ouest</t>
  </si>
  <si>
    <t>Sud</t>
  </si>
  <si>
    <t>Sud Ouest</t>
  </si>
  <si>
    <t>CAN</t>
  </si>
  <si>
    <t>Canada</t>
  </si>
  <si>
    <t>Alberta</t>
  </si>
  <si>
    <t>British Columbia</t>
  </si>
  <si>
    <t>Manitoba</t>
  </si>
  <si>
    <t>New Brunswick</t>
  </si>
  <si>
    <t>Newfoundland</t>
  </si>
  <si>
    <t>Northwest Territories</t>
  </si>
  <si>
    <t>Nova Scotia</t>
  </si>
  <si>
    <t>Nunavut</t>
  </si>
  <si>
    <t>Ontario</t>
  </si>
  <si>
    <t>Prince Edward Island</t>
  </si>
  <si>
    <t>Quebec</t>
  </si>
  <si>
    <t>Saskatchewan</t>
  </si>
  <si>
    <t>Yukon</t>
  </si>
  <si>
    <t>CAF</t>
  </si>
  <si>
    <t>Central African Republic</t>
  </si>
  <si>
    <t>Rs1</t>
  </si>
  <si>
    <t>Rs2</t>
  </si>
  <si>
    <t>Rs3</t>
  </si>
  <si>
    <t>Rs4</t>
  </si>
  <si>
    <t>Rs5</t>
  </si>
  <si>
    <t>Rs6</t>
  </si>
  <si>
    <t>Rs7</t>
  </si>
  <si>
    <t>TCD</t>
  </si>
  <si>
    <t>Chad</t>
  </si>
  <si>
    <t>Bahr Elghazal</t>
  </si>
  <si>
    <t>Batha</t>
  </si>
  <si>
    <t>Borkou</t>
  </si>
  <si>
    <t>Chari Baguirmi</t>
  </si>
  <si>
    <t>Dar Sila</t>
  </si>
  <si>
    <t>Ennedi Est</t>
  </si>
  <si>
    <t>Ennedi Ouest</t>
  </si>
  <si>
    <t>Guera</t>
  </si>
  <si>
    <t>Hadjer Lamis</t>
  </si>
  <si>
    <t>Kanem</t>
  </si>
  <si>
    <t>Lac</t>
  </si>
  <si>
    <t>Logone Occidental</t>
  </si>
  <si>
    <t>Logone Oriental</t>
  </si>
  <si>
    <t>Mandoul</t>
  </si>
  <si>
    <t>Mayo Kebbi Est</t>
  </si>
  <si>
    <t>Mayo Kebbi Ouest</t>
  </si>
  <si>
    <t>Moyen Chari</t>
  </si>
  <si>
    <t>N'Djamena</t>
  </si>
  <si>
    <t>Ouaddai</t>
  </si>
  <si>
    <t>Salamat</t>
  </si>
  <si>
    <t>Sila</t>
  </si>
  <si>
    <t>Tandjile</t>
  </si>
  <si>
    <t>Tibesti</t>
  </si>
  <si>
    <t>Wadi Fira</t>
  </si>
  <si>
    <t>CHL</t>
  </si>
  <si>
    <t>Chile</t>
  </si>
  <si>
    <t>Aisen Del General Carlos Ibanez Del Campo</t>
  </si>
  <si>
    <t>Antofagasta</t>
  </si>
  <si>
    <t>Araucania</t>
  </si>
  <si>
    <t>Atacama</t>
  </si>
  <si>
    <t>Biobio</t>
  </si>
  <si>
    <t>Coquimbo</t>
  </si>
  <si>
    <t>Libertador General Bernardo O'Higgins</t>
  </si>
  <si>
    <t>Los Lagos</t>
  </si>
  <si>
    <t>Magallanes Y De La Antartica Chilena</t>
  </si>
  <si>
    <t>Maule</t>
  </si>
  <si>
    <t>Region Metropolitana De Santiago</t>
  </si>
  <si>
    <t>Tarapaca</t>
  </si>
  <si>
    <t>Valparaiso</t>
  </si>
  <si>
    <t>CHN</t>
  </si>
  <si>
    <t>China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</si>
  <si>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</si>
  <si>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</si>
  <si>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</si>
  <si>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</si>
  <si>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</si>
  <si>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</si>
  <si>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</si>
  <si>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</si>
  <si>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</si>
  <si>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</si>
  <si>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</si>
  <si>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</si>
  <si>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 SAR</t>
  </si>
  <si>
    <t>Hubei</t>
  </si>
  <si>
    <t>Hunan</t>
  </si>
  <si>
    <t>Inner Mongolia</t>
  </si>
  <si>
    <t>Jiangsu</t>
  </si>
  <si>
    <t>Jiangxi</t>
  </si>
  <si>
    <t>Jilin</t>
  </si>
  <si>
    <t>Liaoning</t>
  </si>
  <si>
    <t>Macao SAR</t>
  </si>
  <si>
    <t>Ningxia</t>
  </si>
  <si>
    <t>Qinghai</t>
  </si>
  <si>
    <t>Shaanxi</t>
  </si>
  <si>
    <t>Shandong</t>
  </si>
  <si>
    <t>Shanghai</t>
  </si>
  <si>
    <t>Shanxi</t>
  </si>
  <si>
    <t>Sichuan</t>
  </si>
  <si>
    <t>Taiwan, China</t>
  </si>
  <si>
    <t>Tianjin</t>
  </si>
  <si>
    <t>Xinjiang</t>
  </si>
  <si>
    <t>Xizang</t>
  </si>
  <si>
    <t>Yunnan</t>
  </si>
  <si>
    <t>Zhejiang</t>
  </si>
  <si>
    <t>COL</t>
  </si>
  <si>
    <t>Colombia</t>
  </si>
  <si>
    <t>Antioquia</t>
  </si>
  <si>
    <t>Arauca</t>
  </si>
  <si>
    <t>Archipiélago de San Andrés, Providencia y Santa Catalina</t>
  </si>
  <si>
    <t>Atlántico</t>
  </si>
  <si>
    <t>Bogotá,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</si>
  <si>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</si>
  <si>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</si>
  <si>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</si>
  <si>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</si>
  <si>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</si>
  <si>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</si>
  <si>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</si>
  <si>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</si>
  <si>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</si>
  <si>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</si>
  <si>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</si>
  <si>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</si>
  <si>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</si>
  <si>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</si>
  <si>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</si>
  <si>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</si>
  <si>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</si>
  <si>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</si>
  <si>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</si>
  <si>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</si>
  <si>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</si>
  <si>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</si>
  <si>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</si>
  <si>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</si>
  <si>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</si>
  <si>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Vaupés</t>
  </si>
  <si>
    <t>Vichada</t>
  </si>
  <si>
    <t>COM</t>
  </si>
  <si>
    <t>Comoros</t>
  </si>
  <si>
    <t>Mwali</t>
  </si>
  <si>
    <t>Ndzouani</t>
  </si>
  <si>
    <t>Ngazidja</t>
  </si>
  <si>
    <t>COG</t>
  </si>
  <si>
    <t>Congo</t>
  </si>
  <si>
    <t>Bouenza</t>
  </si>
  <si>
    <t>Brazzaville</t>
  </si>
  <si>
    <t>Cuvette</t>
  </si>
  <si>
    <t>Cuvette Ouest</t>
  </si>
  <si>
    <t>Kouilou</t>
  </si>
  <si>
    <t>Lekoumou</t>
  </si>
  <si>
    <t>Likouala</t>
  </si>
  <si>
    <t>Niari</t>
  </si>
  <si>
    <t>Plateaux</t>
  </si>
  <si>
    <t>Pointe Noire</t>
  </si>
  <si>
    <t>Pool</t>
  </si>
  <si>
    <t>Sangha</t>
  </si>
  <si>
    <t>COK</t>
  </si>
  <si>
    <t>Cook Islands</t>
  </si>
  <si>
    <t>Atiu</t>
  </si>
  <si>
    <t>Mangaia</t>
  </si>
  <si>
    <t>Manihiki</t>
  </si>
  <si>
    <t>Mauke</t>
  </si>
  <si>
    <t>Mitiaro</t>
  </si>
  <si>
    <t>Penrhyn</t>
  </si>
  <si>
    <t>Pukapuka</t>
  </si>
  <si>
    <t>Rakahanga</t>
  </si>
  <si>
    <t>Rarotonga</t>
  </si>
  <si>
    <t>Aitutaki</t>
  </si>
  <si>
    <t>Palmerston</t>
  </si>
  <si>
    <t>CRI</t>
  </si>
  <si>
    <t>Costa Rica</t>
  </si>
  <si>
    <t>Alajuela</t>
  </si>
  <si>
    <t>Cartago</t>
  </si>
  <si>
    <t>Guanacaste</t>
  </si>
  <si>
    <t>Heredia</t>
  </si>
  <si>
    <t>Limon</t>
  </si>
  <si>
    <t>Puntarenas</t>
  </si>
  <si>
    <t>San Jose</t>
  </si>
  <si>
    <t>CIV</t>
  </si>
  <si>
    <t>Côte D’Ivoire</t>
  </si>
  <si>
    <t>Abidjan 1</t>
  </si>
  <si>
    <t>Abidjan 2</t>
  </si>
  <si>
    <t>Agneby-Tiassa</t>
  </si>
  <si>
    <t>Bafing</t>
  </si>
  <si>
    <t>Bagoue</t>
  </si>
  <si>
    <t>Belier</t>
  </si>
  <si>
    <t>Bere</t>
  </si>
  <si>
    <t>Bounkani</t>
  </si>
  <si>
    <t>Cavally</t>
  </si>
  <si>
    <t>Folon</t>
  </si>
  <si>
    <t>Gbeke</t>
  </si>
  <si>
    <t>Gbokle</t>
  </si>
  <si>
    <t>Goh</t>
  </si>
  <si>
    <t>Gontougo</t>
  </si>
  <si>
    <t>Grands Ponts</t>
  </si>
  <si>
    <t>Guemon</t>
  </si>
  <si>
    <t>Hambol</t>
  </si>
  <si>
    <t>Haut-Sassandra</t>
  </si>
  <si>
    <t>Ifou</t>
  </si>
  <si>
    <t>Indenie-Djuablin</t>
  </si>
  <si>
    <t>Kabadougou</t>
  </si>
  <si>
    <t>Loh-Djiboua</t>
  </si>
  <si>
    <t>Marahoue</t>
  </si>
  <si>
    <t>Me</t>
  </si>
  <si>
    <t>Moronou</t>
  </si>
  <si>
    <t>Nawa</t>
  </si>
  <si>
    <t>Nzi</t>
  </si>
  <si>
    <t>Poro</t>
  </si>
  <si>
    <t>San-Pedro</t>
  </si>
  <si>
    <t>Tchologo</t>
  </si>
  <si>
    <t>Tonkpi</t>
  </si>
  <si>
    <t>Worodougou</t>
  </si>
  <si>
    <t>Sud-Comoe</t>
  </si>
  <si>
    <t>HRV</t>
  </si>
  <si>
    <t>Croatia</t>
  </si>
  <si>
    <t>Bjelovar Bilogora</t>
  </si>
  <si>
    <t>Slavonski Brod Posavina</t>
  </si>
  <si>
    <t>Dubrovnik Neretva</t>
  </si>
  <si>
    <t>Zagreb (City)</t>
  </si>
  <si>
    <t>Istria</t>
  </si>
  <si>
    <t>Karlovac</t>
  </si>
  <si>
    <t>Koprivnica Krizevci</t>
  </si>
  <si>
    <t>Krapina Zagorje</t>
  </si>
  <si>
    <t>Lika Senj</t>
  </si>
  <si>
    <t>Medimurje</t>
  </si>
  <si>
    <t>Osijek Baranja</t>
  </si>
  <si>
    <t>Pozega Slavonija</t>
  </si>
  <si>
    <t>Primorje Gorski Kotar</t>
  </si>
  <si>
    <t>Sibenik Knin</t>
  </si>
  <si>
    <t>Sisak Moslavina</t>
  </si>
  <si>
    <t>Split Dalmatia</t>
  </si>
  <si>
    <t>Varazdin</t>
  </si>
  <si>
    <t>Virovitica Podravina</t>
  </si>
  <si>
    <t>Vukovar Srijem</t>
  </si>
  <si>
    <t>Zadar</t>
  </si>
  <si>
    <t>Zagreb</t>
  </si>
  <si>
    <t>CUB</t>
  </si>
  <si>
    <t>Cuba</t>
  </si>
  <si>
    <t>Camaguey</t>
  </si>
  <si>
    <t>Ciego De Avila</t>
  </si>
  <si>
    <t>Cienfuegos</t>
  </si>
  <si>
    <t>Ciudad De La Habana</t>
  </si>
  <si>
    <t>Granma</t>
  </si>
  <si>
    <t>Guantanamo</t>
  </si>
  <si>
    <t>Holguin</t>
  </si>
  <si>
    <t>Isla De La Juventud</t>
  </si>
  <si>
    <t>La Habana</t>
  </si>
  <si>
    <t>Las Tunas</t>
  </si>
  <si>
    <t>Matanzas</t>
  </si>
  <si>
    <t>Pinar Del Rio</t>
  </si>
  <si>
    <t>Sancti Spiritus</t>
  </si>
  <si>
    <t>Santiago De Cuba</t>
  </si>
  <si>
    <t>Villa Clara</t>
  </si>
  <si>
    <t>CYP</t>
  </si>
  <si>
    <t>Cyprus</t>
  </si>
  <si>
    <t>Ammochostos</t>
  </si>
  <si>
    <t>Keryneia</t>
  </si>
  <si>
    <t>Larnaka</t>
  </si>
  <si>
    <t>Lefkosia</t>
  </si>
  <si>
    <t>Lemesos</t>
  </si>
  <si>
    <t>Pafos</t>
  </si>
  <si>
    <t>CZE</t>
  </si>
  <si>
    <t>Czech Republic</t>
  </si>
  <si>
    <t>Southern Bohemia</t>
  </si>
  <si>
    <t>Brnensky</t>
  </si>
  <si>
    <t>Karlovarsky</t>
  </si>
  <si>
    <t>Jihlavsky</t>
  </si>
  <si>
    <t>Kralovehradecky</t>
  </si>
  <si>
    <t>Liberecky</t>
  </si>
  <si>
    <t>Ostravsky</t>
  </si>
  <si>
    <t>Olomoucky</t>
  </si>
  <si>
    <t>Pardubicky</t>
  </si>
  <si>
    <t>Plzensky</t>
  </si>
  <si>
    <t>Prague</t>
  </si>
  <si>
    <t>Central Bohemia</t>
  </si>
  <si>
    <t>Ustecky</t>
  </si>
  <si>
    <t>Zlinsky</t>
  </si>
  <si>
    <t>PRK</t>
  </si>
  <si>
    <t>Democratic People's Republic of Korea</t>
  </si>
  <si>
    <t>Chagang</t>
  </si>
  <si>
    <t>Kaesong</t>
  </si>
  <si>
    <t>Kangwon</t>
  </si>
  <si>
    <t>Nampo</t>
  </si>
  <si>
    <t>North Hamgyong</t>
  </si>
  <si>
    <t>North Hwanghae</t>
  </si>
  <si>
    <t>North Pyongan</t>
  </si>
  <si>
    <t>Pyongyang</t>
  </si>
  <si>
    <t>Ryanggang</t>
  </si>
  <si>
    <t>South Hamgyong</t>
  </si>
  <si>
    <t>South Hwanghae</t>
  </si>
  <si>
    <t>South Pyongan</t>
  </si>
  <si>
    <t>COD</t>
  </si>
  <si>
    <t>Democratic Republic of the Congo</t>
  </si>
  <si>
    <t>Bas Uele</t>
  </si>
  <si>
    <t>Equateur</t>
  </si>
  <si>
    <t>Haut Katanga</t>
  </si>
  <si>
    <t>Haut Lomami</t>
  </si>
  <si>
    <t>Haut Uele</t>
  </si>
  <si>
    <t>Ituri</t>
  </si>
  <si>
    <t>Kasai</t>
  </si>
  <si>
    <t>Kasai Central</t>
  </si>
  <si>
    <t>Kasai Oriental</t>
  </si>
  <si>
    <t>Kinshasa</t>
  </si>
  <si>
    <t>Kongo Central</t>
  </si>
  <si>
    <t>Kwango</t>
  </si>
  <si>
    <t>Kwilu</t>
  </si>
  <si>
    <t>Lomami</t>
  </si>
  <si>
    <t>Lualaba</t>
  </si>
  <si>
    <t>Maindombe</t>
  </si>
  <si>
    <t>Maniema</t>
  </si>
  <si>
    <t>Mongala</t>
  </si>
  <si>
    <t>Nord Kivu</t>
  </si>
  <si>
    <t>Nord Ubangi</t>
  </si>
  <si>
    <t>Sankuru</t>
  </si>
  <si>
    <t>Sud-Kivu</t>
  </si>
  <si>
    <t>Sud-Ubangi</t>
  </si>
  <si>
    <t>Tanganyika</t>
  </si>
  <si>
    <t>Tshopo</t>
  </si>
  <si>
    <t>Tshuapa</t>
  </si>
  <si>
    <t>DNK</t>
  </si>
  <si>
    <t>Denmark</t>
  </si>
  <si>
    <t>Hovedstaden</t>
  </si>
  <si>
    <t>Midtjylland</t>
  </si>
  <si>
    <t>Nordjylland</t>
  </si>
  <si>
    <t>Sjaelland</t>
  </si>
  <si>
    <t>Syddanmark</t>
  </si>
  <si>
    <t>DJI</t>
  </si>
  <si>
    <t>Djibouti</t>
  </si>
  <si>
    <t>Ali-Sabieh</t>
  </si>
  <si>
    <t>Arta</t>
  </si>
  <si>
    <t>Dikhil</t>
  </si>
  <si>
    <t>Obock</t>
  </si>
  <si>
    <t>Tadjourah</t>
  </si>
  <si>
    <t>DMA</t>
  </si>
  <si>
    <t>Dominica</t>
  </si>
  <si>
    <t>St. Andrew</t>
  </si>
  <si>
    <t>St. David</t>
  </si>
  <si>
    <t>St. Joseph</t>
  </si>
  <si>
    <t>St. Luke</t>
  </si>
  <si>
    <t>St. Mark</t>
  </si>
  <si>
    <t>St. Patrick</t>
  </si>
  <si>
    <t>DOM</t>
  </si>
  <si>
    <t>Dominican Republic</t>
  </si>
  <si>
    <t>Azua</t>
  </si>
  <si>
    <t>Baoruco</t>
  </si>
  <si>
    <t>Barahona</t>
  </si>
  <si>
    <t>Dajabon</t>
  </si>
  <si>
    <t>Distrito Nacional</t>
  </si>
  <si>
    <t>Duarte</t>
  </si>
  <si>
    <t>El Seibo</t>
  </si>
  <si>
    <t>Elias Pina</t>
  </si>
  <si>
    <t>Espaillat</t>
  </si>
  <si>
    <t>Hato Mayor</t>
  </si>
  <si>
    <t>Independencia</t>
  </si>
  <si>
    <t>La Altagracia</t>
  </si>
  <si>
    <t>La Romana</t>
  </si>
  <si>
    <t>La Vega</t>
  </si>
  <si>
    <t>Maria Trinidad Sanchez</t>
  </si>
  <si>
    <t>Monsenor Nouel</t>
  </si>
  <si>
    <t>Monte Cristi</t>
  </si>
  <si>
    <t>Monte Plata</t>
  </si>
  <si>
    <t>Pedernales</t>
  </si>
  <si>
    <t>Peravia</t>
  </si>
  <si>
    <t>Puerto Plata</t>
  </si>
  <si>
    <t>Salcedo</t>
  </si>
  <si>
    <t>Samana</t>
  </si>
  <si>
    <t>San Cristobal</t>
  </si>
  <si>
    <t>San Jose De Ocoa</t>
  </si>
  <si>
    <t>San Pedro De Macoris</t>
  </si>
  <si>
    <t>Sanchez Ramirez</t>
  </si>
  <si>
    <t>Santiago Rodriguez</t>
  </si>
  <si>
    <t>Santo Domingo</t>
  </si>
  <si>
    <t>Valverde</t>
  </si>
  <si>
    <t>ECU</t>
  </si>
  <si>
    <t>Ecuador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</si>
  <si>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</si>
  <si>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</si>
  <si>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</si>
  <si>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</si>
  <si>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</si>
  <si>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</si>
  <si>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</si>
  <si>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</si>
  <si>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</si>
  <si>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</si>
  <si>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</si>
  <si>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</si>
  <si>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</si>
  <si>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</si>
  <si>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</si>
  <si>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</si>
  <si>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</si>
  <si>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</si>
  <si>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</si>
  <si>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Sucumbios</t>
  </si>
  <si>
    <t>Tungurahua</t>
  </si>
  <si>
    <t>Zamora Chinchipe</t>
  </si>
  <si>
    <t>EGY</t>
  </si>
  <si>
    <t>Egypt</t>
  </si>
  <si>
    <t>Alexandria</t>
  </si>
  <si>
    <t>Assiut</t>
  </si>
  <si>
    <t>Aswan</t>
  </si>
  <si>
    <t>Behera</t>
  </si>
  <si>
    <t>Beni Suef</t>
  </si>
  <si>
    <t>Cairo</t>
  </si>
  <si>
    <t>Dakahlia</t>
  </si>
  <si>
    <t>Damietta</t>
  </si>
  <si>
    <t>Fayoum</t>
  </si>
  <si>
    <t>Gharbia</t>
  </si>
  <si>
    <t>Giza</t>
  </si>
  <si>
    <t>Ismailia</t>
  </si>
  <si>
    <t>Kafr El-Shikh</t>
  </si>
  <si>
    <t>Kalyoubia</t>
  </si>
  <si>
    <t>Luxor</t>
  </si>
  <si>
    <t>Matrouh</t>
  </si>
  <si>
    <t>Menia</t>
  </si>
  <si>
    <t>Menoufia</t>
  </si>
  <si>
    <t>New Valley</t>
  </si>
  <si>
    <t>North Sinai</t>
  </si>
  <si>
    <t>Port Said</t>
  </si>
  <si>
    <t>Qena</t>
  </si>
  <si>
    <t>Red Sea</t>
  </si>
  <si>
    <t>Sharkia</t>
  </si>
  <si>
    <t>South Sinai</t>
  </si>
  <si>
    <t>Suez</t>
  </si>
  <si>
    <t>Suhag</t>
  </si>
  <si>
    <t>SLV</t>
  </si>
  <si>
    <t>El Salvador</t>
  </si>
  <si>
    <t>Ahuachapan</t>
  </si>
  <si>
    <t>Cabanas</t>
  </si>
  <si>
    <t>Chalatenango</t>
  </si>
  <si>
    <t>Cuscatlan</t>
  </si>
  <si>
    <t>La Libertad</t>
  </si>
  <si>
    <t>La Union</t>
  </si>
  <si>
    <t>Morazan</t>
  </si>
  <si>
    <t>San Miguel</t>
  </si>
  <si>
    <t>San Vicente</t>
  </si>
  <si>
    <t>Santa Ana</t>
  </si>
  <si>
    <t>Sonsonate</t>
  </si>
  <si>
    <t>Usulutan</t>
  </si>
  <si>
    <t>GNQ</t>
  </si>
  <si>
    <t>Equatorial Guinea</t>
  </si>
  <si>
    <t>Annobón</t>
  </si>
  <si>
    <t>Bioko Norte</t>
  </si>
  <si>
    <t>Bioko Sur</t>
  </si>
  <si>
    <t>Centro Sur</t>
  </si>
  <si>
    <t>Djibloho</t>
  </si>
  <si>
    <t>Kie-Ntem</t>
  </si>
  <si>
    <t>Litoral</t>
  </si>
  <si>
    <t>Wele-Nzas</t>
  </si>
  <si>
    <t>ERI</t>
  </si>
  <si>
    <t>Eritrea</t>
  </si>
  <si>
    <t>Anseba</t>
  </si>
  <si>
    <t>Debub</t>
  </si>
  <si>
    <t>Ericentral</t>
  </si>
  <si>
    <t>Gashbarka</t>
  </si>
  <si>
    <t>Northern Red Sea</t>
  </si>
  <si>
    <t>Southern Red Sea</t>
  </si>
  <si>
    <t>Estonia</t>
  </si>
  <si>
    <t>Harjumaa</t>
  </si>
  <si>
    <t>Hiiumaa</t>
  </si>
  <si>
    <t>Ida Virumaa</t>
  </si>
  <si>
    <t>Jarvamaa</t>
  </si>
  <si>
    <t>Jogevamaa</t>
  </si>
  <si>
    <t>Laanemaa</t>
  </si>
  <si>
    <t>Laane Virumaa</t>
  </si>
  <si>
    <t>Parnumaa</t>
  </si>
  <si>
    <t>Polvamaa</t>
  </si>
  <si>
    <t>Raplamaa</t>
  </si>
  <si>
    <t>Saaremaa</t>
  </si>
  <si>
    <t>Tartumaa</t>
  </si>
  <si>
    <t>Valgamaa</t>
  </si>
  <si>
    <t>Viljandimaa</t>
  </si>
  <si>
    <t>Vorumaa</t>
  </si>
  <si>
    <t>SWZ</t>
  </si>
  <si>
    <t>Eswatini</t>
  </si>
  <si>
    <t>Hhohho</t>
  </si>
  <si>
    <t>Lubombo</t>
  </si>
  <si>
    <t>Manzini</t>
  </si>
  <si>
    <t>Shiselweni</t>
  </si>
  <si>
    <t>ETH</t>
  </si>
  <si>
    <t>Ethiopia</t>
  </si>
  <si>
    <t>Addis Ababa</t>
  </si>
  <si>
    <t>Afar</t>
  </si>
  <si>
    <t>Amhara</t>
  </si>
  <si>
    <t>Beneshangul Gumuz</t>
  </si>
  <si>
    <t>Dire Dawa</t>
  </si>
  <si>
    <t>Gambella</t>
  </si>
  <si>
    <t>Harari</t>
  </si>
  <si>
    <t>Oromiya</t>
  </si>
  <si>
    <t>SNNP</t>
  </si>
  <si>
    <t>Somali</t>
  </si>
  <si>
    <t>Tigray</t>
  </si>
  <si>
    <t>FJI</t>
  </si>
  <si>
    <t>Fiji</t>
  </si>
  <si>
    <t>Central</t>
  </si>
  <si>
    <t>Eastern</t>
  </si>
  <si>
    <t>Western</t>
  </si>
  <si>
    <t>FIN</t>
  </si>
  <si>
    <t>Finland</t>
  </si>
  <si>
    <t>Aland</t>
  </si>
  <si>
    <t>Etela-Suomi</t>
  </si>
  <si>
    <t>Helsinki-Uusimaa</t>
  </si>
  <si>
    <t>Lansi-Suomi</t>
  </si>
  <si>
    <t>Pohjois- ja Ita-Suomi</t>
  </si>
  <si>
    <t>FRA</t>
  </si>
  <si>
    <t>France</t>
  </si>
  <si>
    <t>Auvergne-Rhone-Alpes</t>
  </si>
  <si>
    <t>Bourgogne-Franche-Comte</t>
  </si>
  <si>
    <t>Bretagne</t>
  </si>
  <si>
    <t>Centre-Val De Loire</t>
  </si>
  <si>
    <t>Corse</t>
  </si>
  <si>
    <t>Grand Est</t>
  </si>
  <si>
    <t>Hauts-de-France</t>
  </si>
  <si>
    <t>Ile-de-France</t>
  </si>
  <si>
    <t>Normandie</t>
  </si>
  <si>
    <t>Nouvelle-Aquitaine</t>
  </si>
  <si>
    <t>Occitanie</t>
  </si>
  <si>
    <t>Pays de la Loire</t>
  </si>
  <si>
    <t>Provence-Alpes-Cote d'Azur</t>
  </si>
  <si>
    <t>GAB</t>
  </si>
  <si>
    <t>Gabon</t>
  </si>
  <si>
    <t>Estuaire</t>
  </si>
  <si>
    <t>Haut-Ogooue</t>
  </si>
  <si>
    <t>Libreville</t>
  </si>
  <si>
    <t>Moyen-Ogooue</t>
  </si>
  <si>
    <t>Ngounie</t>
  </si>
  <si>
    <t>Nyanga</t>
  </si>
  <si>
    <t>Ogooue-Ivindo</t>
  </si>
  <si>
    <t>Ogooue-Lolo</t>
  </si>
  <si>
    <t>Ogooue-Maritime</t>
  </si>
  <si>
    <t>Woleu-Ntem</t>
  </si>
  <si>
    <t>GMB</t>
  </si>
  <si>
    <t>Gambia</t>
  </si>
  <si>
    <t>Central River Region</t>
  </si>
  <si>
    <t>Lower River Region</t>
  </si>
  <si>
    <t>North Bank East Region</t>
  </si>
  <si>
    <t>North Bank West Region</t>
  </si>
  <si>
    <t>Upper River Region</t>
  </si>
  <si>
    <t>Western Region 1</t>
  </si>
  <si>
    <t>Western Region 2</t>
  </si>
  <si>
    <t>GEO</t>
  </si>
  <si>
    <t>Georgia</t>
  </si>
  <si>
    <t>Abkhazia</t>
  </si>
  <si>
    <t>Ajaria</t>
  </si>
  <si>
    <t>Guria</t>
  </si>
  <si>
    <t>Imereti</t>
  </si>
  <si>
    <t>Kakheti</t>
  </si>
  <si>
    <t>Kvemo Kartli</t>
  </si>
  <si>
    <t>Mtskheta Mtianeti</t>
  </si>
  <si>
    <t>Racha Lechkhumi Kvemo Svaneti</t>
  </si>
  <si>
    <t>Samegrelo Zemo Svaneti</t>
  </si>
  <si>
    <t>Samtskhe Javakheti</t>
  </si>
  <si>
    <t>Shida Kartli</t>
  </si>
  <si>
    <t>Tbilisi</t>
  </si>
  <si>
    <t>DEU</t>
  </si>
  <si>
    <t>Germany</t>
  </si>
  <si>
    <t>Baden-Wuerttemberg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</si>
  <si>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</si>
  <si>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</si>
  <si>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</si>
  <si>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</si>
  <si>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</si>
  <si>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</si>
  <si>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</si>
  <si>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</si>
  <si>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</si>
  <si>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</si>
  <si>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</si>
  <si>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</si>
  <si>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</si>
  <si>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</si>
  <si>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Thueringen</t>
  </si>
  <si>
    <t>GHA</t>
  </si>
  <si>
    <t>Ghana</t>
  </si>
  <si>
    <t>Ahafo</t>
  </si>
  <si>
    <t>Ashanti</t>
  </si>
  <si>
    <t>Bono</t>
  </si>
  <si>
    <t>Bono East</t>
  </si>
  <si>
    <t>Greater Accra</t>
  </si>
  <si>
    <t>Oti</t>
  </si>
  <si>
    <t>Savannah</t>
  </si>
  <si>
    <t>Upper East</t>
  </si>
  <si>
    <t>Upper West</t>
  </si>
  <si>
    <t>Volta</t>
  </si>
  <si>
    <t>Western North</t>
  </si>
  <si>
    <t>GRC</t>
  </si>
  <si>
    <t>Greece</t>
  </si>
  <si>
    <t>Anatoliki Makedonia Thraki</t>
  </si>
  <si>
    <t>Attiki</t>
  </si>
  <si>
    <t>Dytiki Ellada</t>
  </si>
  <si>
    <t>Dytiki Makedonia</t>
  </si>
  <si>
    <t>Ionia Nisia</t>
  </si>
  <si>
    <t>Ipeiros</t>
  </si>
  <si>
    <t>Kentriki Makedonia</t>
  </si>
  <si>
    <t>Kriti</t>
  </si>
  <si>
    <t>Notio Aigaio</t>
  </si>
  <si>
    <t>Peloponnisos</t>
  </si>
  <si>
    <t>Sterea Ellada</t>
  </si>
  <si>
    <t>Thessalia</t>
  </si>
  <si>
    <t>Voreio Aigaio</t>
  </si>
  <si>
    <t>GRD</t>
  </si>
  <si>
    <t>Grenada</t>
  </si>
  <si>
    <t>Carriacou</t>
  </si>
  <si>
    <t>Saint David</t>
  </si>
  <si>
    <t>Saint Mark</t>
  </si>
  <si>
    <t>Saint Patrick</t>
  </si>
  <si>
    <t>GTM</t>
  </si>
  <si>
    <t>Guatemala</t>
  </si>
  <si>
    <t>Alta Verapaz</t>
  </si>
  <si>
    <t>Baja Verapaz</t>
  </si>
  <si>
    <t>Chimaltenango</t>
  </si>
  <si>
    <t>Chiquimula</t>
  </si>
  <si>
    <t>El Progreso</t>
  </si>
  <si>
    <t>Escuintla</t>
  </si>
  <si>
    <t>Huehuetenango</t>
  </si>
  <si>
    <t>Izabal</t>
  </si>
  <si>
    <t>Jalapa</t>
  </si>
  <si>
    <t>Jutiapa</t>
  </si>
  <si>
    <t>Peten</t>
  </si>
  <si>
    <t>Quetzaltenango</t>
  </si>
  <si>
    <t>Quiche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</si>
  <si>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</si>
  <si>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</si>
  <si>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</si>
  <si>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</si>
  <si>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</si>
  <si>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</si>
  <si>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</si>
  <si>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Zacapa</t>
  </si>
  <si>
    <t>GIN</t>
  </si>
  <si>
    <t>Guinea</t>
  </si>
  <si>
    <t>Boke</t>
  </si>
  <si>
    <t>Conakry</t>
  </si>
  <si>
    <t>Faranah</t>
  </si>
  <si>
    <t>Kankan</t>
  </si>
  <si>
    <t>Kindia</t>
  </si>
  <si>
    <t>Labe</t>
  </si>
  <si>
    <t>Mamou</t>
  </si>
  <si>
    <t>N'zerekore</t>
  </si>
  <si>
    <t>GNB</t>
  </si>
  <si>
    <t>Guinea-Bissau</t>
  </si>
  <si>
    <t>Bafata</t>
  </si>
  <si>
    <t>Bijagos</t>
  </si>
  <si>
    <t>Biombo</t>
  </si>
  <si>
    <t>Bissau</t>
  </si>
  <si>
    <t>Bolama</t>
  </si>
  <si>
    <t>Cacheu</t>
  </si>
  <si>
    <t>Farim</t>
  </si>
  <si>
    <t>Gabu</t>
  </si>
  <si>
    <t>Oio</t>
  </si>
  <si>
    <t>Quinara</t>
  </si>
  <si>
    <t>Tombali</t>
  </si>
  <si>
    <t>GUY</t>
  </si>
  <si>
    <t>Guyana</t>
  </si>
  <si>
    <t>Barima/Waini (Region N°1)</t>
  </si>
  <si>
    <t>Cuyuni/Mazaruni (Region N°7)</t>
  </si>
  <si>
    <t>Demerara/Mahaica (Region N°4)</t>
  </si>
  <si>
    <t>East Berbice/Corentyne (Region N°6)</t>
  </si>
  <si>
    <t>Essequibo Islands/West Demerara (Region°3)</t>
  </si>
  <si>
    <t>Mahaica Berbice (Region N°5)</t>
  </si>
  <si>
    <t>Pomeroon/Supenaam (Region N°2)</t>
  </si>
  <si>
    <t>Potaro/Siparuni (Region N°8)</t>
  </si>
  <si>
    <t>Upper Demerara/Berbice (Region N°10)</t>
  </si>
  <si>
    <t>Upper Takutu/Upper Essequibo (Region N°9)</t>
  </si>
  <si>
    <t>HTI</t>
  </si>
  <si>
    <t>Haiti</t>
  </si>
  <si>
    <t>Artibonite</t>
  </si>
  <si>
    <t>Grand Anse</t>
  </si>
  <si>
    <t>Nord-Est</t>
  </si>
  <si>
    <t>Nord-Ouest</t>
  </si>
  <si>
    <t>Sud-Est</t>
  </si>
  <si>
    <t>HND</t>
  </si>
  <si>
    <t>Honduras</t>
  </si>
  <si>
    <t>Atlantida</t>
  </si>
  <si>
    <t>Choluteca</t>
  </si>
  <si>
    <t>Colon</t>
  </si>
  <si>
    <t>Comayagua</t>
  </si>
  <si>
    <t>Copan</t>
  </si>
  <si>
    <t>Cortes</t>
  </si>
  <si>
    <t>El Paraiso</t>
  </si>
  <si>
    <t>Francisco Morazan</t>
  </si>
  <si>
    <t>Gracias A Dios</t>
  </si>
  <si>
    <t>Intibuca</t>
  </si>
  <si>
    <t>Islas De La Bahia</t>
  </si>
  <si>
    <t>Lempira</t>
  </si>
  <si>
    <t>Ocotepeque</t>
  </si>
  <si>
    <t>Olancho</t>
  </si>
  <si>
    <t>Santa Barbara</t>
  </si>
  <si>
    <t>Valle</t>
  </si>
  <si>
    <t>Yoro</t>
  </si>
  <si>
    <t>HUN</t>
  </si>
  <si>
    <t>Hungary</t>
  </si>
  <si>
    <t>Bacs Kiskun</t>
  </si>
  <si>
    <t>Baranya</t>
  </si>
  <si>
    <t>Bekes</t>
  </si>
  <si>
    <t>Borsod Abauj Zemplem</t>
  </si>
  <si>
    <t>Budapest</t>
  </si>
  <si>
    <t>Csongrad</t>
  </si>
  <si>
    <t>Fejer</t>
  </si>
  <si>
    <t>Gyor Moson Sopron</t>
  </si>
  <si>
    <t>Hajdu Bihar</t>
  </si>
  <si>
    <t>Heves</t>
  </si>
  <si>
    <t>Jasz Nagykun Szolnok</t>
  </si>
  <si>
    <t>Komarom Esztergom</t>
  </si>
  <si>
    <t>Nograd</t>
  </si>
  <si>
    <t>Pest</t>
  </si>
  <si>
    <t>Somogy</t>
  </si>
  <si>
    <t>Szabolcs Szatmar Bereg</t>
  </si>
  <si>
    <t>Tolna</t>
  </si>
  <si>
    <t>Vas</t>
  </si>
  <si>
    <t>Veszprem</t>
  </si>
  <si>
    <t>Zala</t>
  </si>
  <si>
    <t>ISL</t>
  </si>
  <si>
    <t>Iceland</t>
  </si>
  <si>
    <t>Austurland</t>
  </si>
  <si>
    <t>Höfuðborgarsvæðið</t>
  </si>
  <si>
    <t>Norðurlands</t>
  </si>
  <si>
    <t>Suðurlands</t>
  </si>
  <si>
    <t>Suðurnesja</t>
  </si>
  <si>
    <t>Vestfjarða</t>
  </si>
  <si>
    <t>Vesturlands</t>
  </si>
  <si>
    <t>IND</t>
  </si>
  <si>
    <t>India</t>
  </si>
  <si>
    <t>A&amp;N Islands</t>
  </si>
  <si>
    <t>Andhra Pradesh</t>
  </si>
  <si>
    <t>Arunachal Pr.</t>
  </si>
  <si>
    <t>Assam</t>
  </si>
  <si>
    <t>Bihar</t>
  </si>
  <si>
    <t>Chandigarh</t>
  </si>
  <si>
    <t>Chhattisgarh</t>
  </si>
  <si>
    <t>D&amp;N Haveli</t>
  </si>
  <si>
    <t>Daman &amp; Diu</t>
  </si>
  <si>
    <t>Delhi</t>
  </si>
  <si>
    <t>Goa</t>
  </si>
  <si>
    <t>Gujarat</t>
  </si>
  <si>
    <t>Haryana</t>
  </si>
  <si>
    <t>Himachal Pradesh</t>
  </si>
  <si>
    <t>J&amp;K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</si>
  <si>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</si>
  <si>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</si>
  <si>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</si>
  <si>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</si>
  <si>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</si>
  <si>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</si>
  <si>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</si>
  <si>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</si>
  <si>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</si>
  <si>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</si>
  <si>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</si>
  <si>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</si>
  <si>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</si>
  <si>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</si>
  <si>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</si>
  <si>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</si>
  <si>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</si>
  <si>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</si>
  <si>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</si>
  <si>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</si>
  <si>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</si>
  <si>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</si>
  <si>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</si>
  <si>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IDN</t>
  </si>
  <si>
    <t>Indonesia</t>
  </si>
  <si>
    <t>Bali</t>
  </si>
  <si>
    <t>Bangka Belitung</t>
  </si>
  <si>
    <t>Banten</t>
  </si>
  <si>
    <t>Bengkulu</t>
  </si>
  <si>
    <t>Di Aceh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</si>
  <si>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</si>
  <si>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</si>
  <si>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</si>
  <si>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</si>
  <si>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</si>
  <si>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</si>
  <si>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</si>
  <si>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</si>
  <si>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</si>
  <si>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</si>
  <si>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</si>
  <si>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</si>
  <si>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</si>
  <si>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</si>
  <si>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</si>
  <si>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</si>
  <si>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</si>
  <si>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</si>
  <si>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</si>
  <si>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</si>
  <si>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</si>
  <si>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</si>
  <si>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</si>
  <si>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</si>
  <si>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</si>
  <si>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</si>
  <si>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</si>
  <si>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</si>
  <si>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</si>
  <si>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IRN</t>
  </si>
  <si>
    <t>Iran (Islamic Republic of)</t>
  </si>
  <si>
    <t>Alborz</t>
  </si>
  <si>
    <t>Ardebil</t>
  </si>
  <si>
    <t>Boushehr</t>
  </si>
  <si>
    <t>Ch &amp; B</t>
  </si>
  <si>
    <t>E.Azarbaijan</t>
  </si>
  <si>
    <t>Esfahan</t>
  </si>
  <si>
    <t>Fars</t>
  </si>
  <si>
    <t>Ghazvin</t>
  </si>
  <si>
    <t>Ghom</t>
  </si>
  <si>
    <t>Gilan</t>
  </si>
  <si>
    <t>Golestan</t>
  </si>
  <si>
    <t>Hamedan</t>
  </si>
  <si>
    <t>Hormozgan</t>
  </si>
  <si>
    <t>Ilam</t>
  </si>
  <si>
    <t>K &amp; B</t>
  </si>
  <si>
    <t>Kerman</t>
  </si>
  <si>
    <t>Kermanshah</t>
  </si>
  <si>
    <t>Khorasan Razavi</t>
  </si>
  <si>
    <t>Khouzestan</t>
  </si>
  <si>
    <t>Kordestan</t>
  </si>
  <si>
    <t>Lorestan</t>
  </si>
  <si>
    <t>Markazi</t>
  </si>
  <si>
    <t>Mazandaran</t>
  </si>
  <si>
    <t>Northern Khorasan</t>
  </si>
  <si>
    <t>S &amp; B</t>
  </si>
  <si>
    <t>Semnan</t>
  </si>
  <si>
    <t>Southern Khorasan</t>
  </si>
  <si>
    <t>Tehran</t>
  </si>
  <si>
    <t>W.Azarbaijan</t>
  </si>
  <si>
    <t>Yazd</t>
  </si>
  <si>
    <t>Zanjan</t>
  </si>
  <si>
    <t>IRQ</t>
  </si>
  <si>
    <t>Iraq</t>
  </si>
  <si>
    <t>Anbar</t>
  </si>
  <si>
    <t>Babylon</t>
  </si>
  <si>
    <t>Baghdad-Karkh</t>
  </si>
  <si>
    <t>Baghdad-Resafa</t>
  </si>
  <si>
    <t>Basrah</t>
  </si>
  <si>
    <t>Dahuk</t>
  </si>
  <si>
    <t>Diwaniya</t>
  </si>
  <si>
    <t>Diyala</t>
  </si>
  <si>
    <t>Erbil</t>
  </si>
  <si>
    <t>Kerbala</t>
  </si>
  <si>
    <t>Kirkuk</t>
  </si>
  <si>
    <t>Missan</t>
  </si>
  <si>
    <t>Muthanna</t>
  </si>
  <si>
    <t>Najaf</t>
  </si>
  <si>
    <t>Ninewa</t>
  </si>
  <si>
    <t>Salah Al-Din</t>
  </si>
  <si>
    <t>Sulaymaniyah</t>
  </si>
  <si>
    <t>Thi-Qar</t>
  </si>
  <si>
    <t>Wassit</t>
  </si>
  <si>
    <t>IRL</t>
  </si>
  <si>
    <t>Ireland</t>
  </si>
  <si>
    <t>Health Region Area A</t>
  </si>
  <si>
    <t>Health Region Area B</t>
  </si>
  <si>
    <t>Health Region Area C</t>
  </si>
  <si>
    <t>Health Region Area D</t>
  </si>
  <si>
    <t>Health Region Area E</t>
  </si>
  <si>
    <t>Health Region Area F</t>
  </si>
  <si>
    <t>ISR</t>
  </si>
  <si>
    <t>Israel</t>
  </si>
  <si>
    <t>Center</t>
  </si>
  <si>
    <t>Haifa</t>
  </si>
  <si>
    <t>Jerusalem</t>
  </si>
  <si>
    <t>Tel Aviv</t>
  </si>
  <si>
    <t>ITA</t>
  </si>
  <si>
    <t>Italy</t>
  </si>
  <si>
    <t>Abruzzo</t>
  </si>
  <si>
    <t>Alto Adige</t>
  </si>
  <si>
    <t>Apulia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</si>
  <si>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</si>
  <si>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</si>
  <si>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</si>
  <si>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</si>
  <si>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</si>
  <si>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</si>
  <si>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</si>
  <si>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</si>
  <si>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</si>
  <si>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</si>
  <si>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</si>
  <si>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Sardegna</t>
  </si>
  <si>
    <t>Sicily</t>
  </si>
  <si>
    <t>Toscana</t>
  </si>
  <si>
    <t>Trentino</t>
  </si>
  <si>
    <t>Umbria</t>
  </si>
  <si>
    <t>Valle D'Aosta</t>
  </si>
  <si>
    <t>Veneto</t>
  </si>
  <si>
    <t>JAM</t>
  </si>
  <si>
    <t>Jamaica</t>
  </si>
  <si>
    <t>Clarendon</t>
  </si>
  <si>
    <t>Hanover</t>
  </si>
  <si>
    <t>Manchester</t>
  </si>
  <si>
    <t>Portland</t>
  </si>
  <si>
    <t>Saint Andrew And Kingston</t>
  </si>
  <si>
    <t>Saint Ann</t>
  </si>
  <si>
    <t>Saint Catherine</t>
  </si>
  <si>
    <t>Saint Elizabeth</t>
  </si>
  <si>
    <t>Saint Mary</t>
  </si>
  <si>
    <t>Trelawny</t>
  </si>
  <si>
    <t>Westmoreland</t>
  </si>
  <si>
    <t>JPN</t>
  </si>
  <si>
    <t>Japan</t>
  </si>
  <si>
    <t>Aichi</t>
  </si>
  <si>
    <t>Akita</t>
  </si>
  <si>
    <t>Aomori</t>
  </si>
  <si>
    <t>Ehime</t>
  </si>
  <si>
    <t>Gifu</t>
  </si>
  <si>
    <t>Gunma</t>
  </si>
  <si>
    <t>Hiroshima</t>
  </si>
  <si>
    <t>Fukui</t>
  </si>
  <si>
    <t>Fukuoka</t>
  </si>
  <si>
    <t>Fukushima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</si>
  <si>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</si>
  <si>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</si>
  <si>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</si>
  <si>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</si>
  <si>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</si>
  <si>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</si>
  <si>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</si>
  <si>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</si>
  <si>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</si>
  <si>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Kyoto</t>
  </si>
  <si>
    <t>Mie</t>
  </si>
  <si>
    <t>Miyagi</t>
  </si>
  <si>
    <t>Miyazaki</t>
  </si>
  <si>
    <t>Nagano</t>
  </si>
  <si>
    <t>Nagasaki</t>
  </si>
  <si>
    <t>Nara</t>
  </si>
  <si>
    <t>Niigata</t>
  </si>
  <si>
    <t>Okayama</t>
  </si>
  <si>
    <t>Okinawa</t>
  </si>
  <si>
    <t>Ōita</t>
  </si>
  <si>
    <t>Osaka</t>
  </si>
  <si>
    <t>Saga</t>
  </si>
  <si>
    <t>Saitama</t>
  </si>
  <si>
    <t>Shiga</t>
  </si>
  <si>
    <t>Shimane</t>
  </si>
  <si>
    <t>Shizuoka</t>
  </si>
  <si>
    <t>Chiba</t>
  </si>
  <si>
    <t>Tokushima</t>
  </si>
  <si>
    <t>Tokyo</t>
  </si>
  <si>
    <t>Tochigi</t>
  </si>
  <si>
    <t>Tottori</t>
  </si>
  <si>
    <t>Toyama</t>
  </si>
  <si>
    <t>Wakayama</t>
  </si>
  <si>
    <t>Yamagata</t>
  </si>
  <si>
    <t>Yamaguchi</t>
  </si>
  <si>
    <t>Yamanashi</t>
  </si>
  <si>
    <t>Hokkaido</t>
  </si>
  <si>
    <t>JOR</t>
  </si>
  <si>
    <t>Jordan</t>
  </si>
  <si>
    <t>Ajloun</t>
  </si>
  <si>
    <t>Amman</t>
  </si>
  <si>
    <t>Aqaba</t>
  </si>
  <si>
    <t>Balqa</t>
  </si>
  <si>
    <t>Irbid</t>
  </si>
  <si>
    <t>Jarash</t>
  </si>
  <si>
    <t>Karak</t>
  </si>
  <si>
    <t>Ma'An</t>
  </si>
  <si>
    <t>Madaba</t>
  </si>
  <si>
    <t>Mafraq</t>
  </si>
  <si>
    <t>Tafiela</t>
  </si>
  <si>
    <t>Zarqa</t>
  </si>
  <si>
    <t>KAZ</t>
  </si>
  <si>
    <t>Kazakhstan</t>
  </si>
  <si>
    <t>Abay Region</t>
  </si>
  <si>
    <t>Akmola Region</t>
  </si>
  <si>
    <t>Aktobe Region</t>
  </si>
  <si>
    <t>Almaty</t>
  </si>
  <si>
    <t>Almaty Region</t>
  </si>
  <si>
    <t>Astana</t>
  </si>
  <si>
    <t>Atyrau Region</t>
  </si>
  <si>
    <t>East Kazakhstan Region</t>
  </si>
  <si>
    <t>Jambyl Region</t>
  </si>
  <si>
    <t>Jetisu Region</t>
  </si>
  <si>
    <t>Karaganda Region</t>
  </si>
  <si>
    <t>Kostanay Region</t>
  </si>
  <si>
    <t>Kyzylorda Region</t>
  </si>
  <si>
    <t>Mangystau Region</t>
  </si>
  <si>
    <t>North Kazakhstan Region</t>
  </si>
  <si>
    <t>Pavlodar Region</t>
  </si>
  <si>
    <t>Shymkent</t>
  </si>
  <si>
    <t>Turkistan Region</t>
  </si>
  <si>
    <t>Ulytau Region</t>
  </si>
  <si>
    <t>West Kazakhstan Region</t>
  </si>
  <si>
    <t>KEN</t>
  </si>
  <si>
    <t>Kenya</t>
  </si>
  <si>
    <t>Baringo</t>
  </si>
  <si>
    <t>Bungoma</t>
  </si>
  <si>
    <t>Busia</t>
  </si>
  <si>
    <t>Embu</t>
  </si>
  <si>
    <t>Garissa</t>
  </si>
  <si>
    <t>Homa Bay</t>
  </si>
  <si>
    <t>Isiolo</t>
  </si>
  <si>
    <t>Kajiado</t>
  </si>
  <si>
    <t>Kakamega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</si>
  <si>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</si>
  <si>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</si>
  <si>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</si>
  <si>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</si>
  <si>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</si>
  <si>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</si>
  <si>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</si>
  <si>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</si>
  <si>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</si>
  <si>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</si>
  <si>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</si>
  <si>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</si>
  <si>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</si>
  <si>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</si>
  <si>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</si>
  <si>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</si>
  <si>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</si>
  <si>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</si>
  <si>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</si>
  <si>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</si>
  <si>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</si>
  <si>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</si>
  <si>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</si>
  <si>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</si>
  <si>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</si>
  <si>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</si>
  <si>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</si>
  <si>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</si>
  <si>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</si>
  <si>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</si>
  <si>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</si>
  <si>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</si>
  <si>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</si>
  <si>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</si>
  <si>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Bomet</t>
  </si>
  <si>
    <t>Elgeyo Marakwet</t>
  </si>
  <si>
    <t>Kericho</t>
  </si>
  <si>
    <t>West Pokot</t>
  </si>
  <si>
    <t>KIR</t>
  </si>
  <si>
    <t>Kiribati</t>
  </si>
  <si>
    <t>Abaiang</t>
  </si>
  <si>
    <t>Abemana</t>
  </si>
  <si>
    <t>Aranuka</t>
  </si>
  <si>
    <t>Arorae</t>
  </si>
  <si>
    <t>Banaba</t>
  </si>
  <si>
    <t>Beru</t>
  </si>
  <si>
    <t>Butaritari</t>
  </si>
  <si>
    <t>Flint Island</t>
  </si>
  <si>
    <t>Kiritimati</t>
  </si>
  <si>
    <t>Kuria</t>
  </si>
  <si>
    <t>Maiana</t>
  </si>
  <si>
    <t>Marakei</t>
  </si>
  <si>
    <t>Nikunau</t>
  </si>
  <si>
    <t>Nonouti</t>
  </si>
  <si>
    <t>Onotoa</t>
  </si>
  <si>
    <t>Phoenix Islands</t>
  </si>
  <si>
    <t>Southern Line Islands</t>
  </si>
  <si>
    <t>Tabiteuea North</t>
  </si>
  <si>
    <t>Tabiteuea South</t>
  </si>
  <si>
    <t>Tabuaeran</t>
  </si>
  <si>
    <t>Tamana</t>
  </si>
  <si>
    <t>Tarawa North</t>
  </si>
  <si>
    <t>Tarawa South</t>
  </si>
  <si>
    <t>Teraina</t>
  </si>
  <si>
    <t>KWT</t>
  </si>
  <si>
    <t>Kuwait</t>
  </si>
  <si>
    <t>Ahmadi</t>
  </si>
  <si>
    <t>Farwanyia</t>
  </si>
  <si>
    <t>Hawalli</t>
  </si>
  <si>
    <t>Jahra</t>
  </si>
  <si>
    <t>Mobarak Alkabeer</t>
  </si>
  <si>
    <t>KGZ</t>
  </si>
  <si>
    <t>Kyrgyzstan</t>
  </si>
  <si>
    <t>Batken</t>
  </si>
  <si>
    <t>Bishkek City</t>
  </si>
  <si>
    <t>Chuy</t>
  </si>
  <si>
    <t>Jalal Abad</t>
  </si>
  <si>
    <t>Naryn</t>
  </si>
  <si>
    <t>Osh</t>
  </si>
  <si>
    <t>Osh City</t>
  </si>
  <si>
    <t>Talas</t>
  </si>
  <si>
    <t>Ysyk Kol</t>
  </si>
  <si>
    <t>LAO</t>
  </si>
  <si>
    <t>Lao People's Democratic Republic</t>
  </si>
  <si>
    <t>Attapeu</t>
  </si>
  <si>
    <t>Bokeo</t>
  </si>
  <si>
    <t>Bolikhamxai</t>
  </si>
  <si>
    <t>Champasack</t>
  </si>
  <si>
    <t>Houaphan</t>
  </si>
  <si>
    <t>Khammouan</t>
  </si>
  <si>
    <t>Louangnamtha</t>
  </si>
  <si>
    <t>Louangphabang</t>
  </si>
  <si>
    <t>Oudomxai</t>
  </si>
  <si>
    <t>Phongsaly</t>
  </si>
  <si>
    <t>Salavan</t>
  </si>
  <si>
    <t>Savannakhet</t>
  </si>
  <si>
    <t>Vientiane</t>
  </si>
  <si>
    <t>Vientiane Capital</t>
  </si>
  <si>
    <t>Xaignabouly</t>
  </si>
  <si>
    <t>Xaisomboon</t>
  </si>
  <si>
    <t>Sekong</t>
  </si>
  <si>
    <t>Xiengkhouang</t>
  </si>
  <si>
    <t>LVA</t>
  </si>
  <si>
    <t>Latvia</t>
  </si>
  <si>
    <t>Kurzeme</t>
  </si>
  <si>
    <t>Latgale</t>
  </si>
  <si>
    <t>Pierīga</t>
  </si>
  <si>
    <t>Riga</t>
  </si>
  <si>
    <t>Vidzeme</t>
  </si>
  <si>
    <t>Zemgale</t>
  </si>
  <si>
    <t>LBN</t>
  </si>
  <si>
    <t>Lebanon</t>
  </si>
  <si>
    <t>Akkar</t>
  </si>
  <si>
    <t>Baalbeck Hermel</t>
  </si>
  <si>
    <t>Beirut</t>
  </si>
  <si>
    <t>Bekka</t>
  </si>
  <si>
    <t>Mont Liban</t>
  </si>
  <si>
    <t>Nabatiye</t>
  </si>
  <si>
    <t>North</t>
  </si>
  <si>
    <t>South</t>
  </si>
  <si>
    <t>LSO</t>
  </si>
  <si>
    <t>Lesotho</t>
  </si>
  <si>
    <t>Berea</t>
  </si>
  <si>
    <t>Bhuta-Bhute</t>
  </si>
  <si>
    <t>Leribe</t>
  </si>
  <si>
    <t>Mafeteng</t>
  </si>
  <si>
    <t>Maseru</t>
  </si>
  <si>
    <t>Mohales Hoek</t>
  </si>
  <si>
    <t>Mokhotlong</t>
  </si>
  <si>
    <t>Qachas Nek</t>
  </si>
  <si>
    <t>Quthing</t>
  </si>
  <si>
    <t>Thaba Tseka</t>
  </si>
  <si>
    <t>LBR</t>
  </si>
  <si>
    <t>Liberia</t>
  </si>
  <si>
    <t>Bomi</t>
  </si>
  <si>
    <t>Bong</t>
  </si>
  <si>
    <t>Gbarpolu</t>
  </si>
  <si>
    <t>Grand Bassa</t>
  </si>
  <si>
    <t>Grand Cape Mount</t>
  </si>
  <si>
    <t>Grand Gedeh</t>
  </si>
  <si>
    <t>Grand Kru</t>
  </si>
  <si>
    <t>Lofa</t>
  </si>
  <si>
    <t>Margibi</t>
  </si>
  <si>
    <t>Maryland</t>
  </si>
  <si>
    <t>Montserrado</t>
  </si>
  <si>
    <t>Nimba</t>
  </si>
  <si>
    <t>River Gee</t>
  </si>
  <si>
    <t>Rivercess</t>
  </si>
  <si>
    <t>Sinoe</t>
  </si>
  <si>
    <t>LBY</t>
  </si>
  <si>
    <t>Libya</t>
  </si>
  <si>
    <t>Al Jabal Al Akhdar</t>
  </si>
  <si>
    <t>Al Wasta</t>
  </si>
  <si>
    <t>Al Zawiyah</t>
  </si>
  <si>
    <t>Benghazi</t>
  </si>
  <si>
    <t>Jabal Nafosa</t>
  </si>
  <si>
    <t>Sabha</t>
  </si>
  <si>
    <t>Tarabulus</t>
  </si>
  <si>
    <t>LTU</t>
  </si>
  <si>
    <t>Lithuania</t>
  </si>
  <si>
    <t>Alytus</t>
  </si>
  <si>
    <t>Kaunas</t>
  </si>
  <si>
    <t>Klaipeda</t>
  </si>
  <si>
    <t>Marijampole</t>
  </si>
  <si>
    <t>Panevezys</t>
  </si>
  <si>
    <t>Siauliai</t>
  </si>
  <si>
    <t>Taurage</t>
  </si>
  <si>
    <t>Telsiai</t>
  </si>
  <si>
    <t>Utena</t>
  </si>
  <si>
    <t>Vilnius</t>
  </si>
  <si>
    <t>LUX</t>
  </si>
  <si>
    <t>Luxembourg</t>
  </si>
  <si>
    <t>MDG</t>
  </si>
  <si>
    <t>Madagascar</t>
  </si>
  <si>
    <t>Alaotra Mangoro</t>
  </si>
  <si>
    <t>Amoron'i Mania</t>
  </si>
  <si>
    <t>Analamanga</t>
  </si>
  <si>
    <t>Analanjirofo</t>
  </si>
  <si>
    <t>Androy</t>
  </si>
  <si>
    <t>Anosy</t>
  </si>
  <si>
    <t>Atsinanana</t>
  </si>
  <si>
    <t>Betsiboka</t>
  </si>
  <si>
    <t>Boeni</t>
  </si>
  <si>
    <t>Bongolava</t>
  </si>
  <si>
    <t>Diana</t>
  </si>
  <si>
    <t>Haute-Matsiatra</t>
  </si>
  <si>
    <t>Ihorombe</t>
  </si>
  <si>
    <t>Itasy</t>
  </si>
  <si>
    <t>Melaky</t>
  </si>
  <si>
    <t>Menabe</t>
  </si>
  <si>
    <t>Sava</t>
  </si>
  <si>
    <t>Sud-Ouest</t>
  </si>
  <si>
    <t>Vakinankaratra</t>
  </si>
  <si>
    <t>Vatovavy Fitovinany</t>
  </si>
  <si>
    <t>MWI</t>
  </si>
  <si>
    <t>Malawi</t>
  </si>
  <si>
    <t>MYS</t>
  </si>
  <si>
    <t>Malaysia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</si>
  <si>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</si>
  <si>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</si>
  <si>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</si>
  <si>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</si>
  <si>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</si>
  <si>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</si>
  <si>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</si>
  <si>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</si>
  <si>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</si>
  <si>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</si>
  <si>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</si>
  <si>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</si>
  <si>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</si>
  <si>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Putrajaya</t>
  </si>
  <si>
    <t>W.P.Kuala Lumpur</t>
  </si>
  <si>
    <t>WP Labuan</t>
  </si>
  <si>
    <t>MDV</t>
  </si>
  <si>
    <t>Maldives</t>
  </si>
  <si>
    <t>Baa Atoll</t>
  </si>
  <si>
    <t>Dhaalu Atoll</t>
  </si>
  <si>
    <t>Faafu Atoll</t>
  </si>
  <si>
    <t>Gaafu Alifu Atoll</t>
  </si>
  <si>
    <t>Gaafu Dhaalu Atoll</t>
  </si>
  <si>
    <t>Gnaviyani Atoll</t>
  </si>
  <si>
    <t>Haa Alif Atoll</t>
  </si>
  <si>
    <t>Haa Dhaalu Atoll</t>
  </si>
  <si>
    <t>Kaafu Atoll</t>
  </si>
  <si>
    <t>Laamu Atoll</t>
  </si>
  <si>
    <t>Lhaviyani Atoll</t>
  </si>
  <si>
    <t>Meemu Atoll</t>
  </si>
  <si>
    <t>Noonu Atoll</t>
  </si>
  <si>
    <t>North Alifu Atoll</t>
  </si>
  <si>
    <t>Raa Atoll</t>
  </si>
  <si>
    <t>Seenu Atoll</t>
  </si>
  <si>
    <t>Shaviyani Atoll</t>
  </si>
  <si>
    <t>South Alifu Atoll</t>
  </si>
  <si>
    <t>Thaa Atoll</t>
  </si>
  <si>
    <t>Vaavu Atoll</t>
  </si>
  <si>
    <t>MLI</t>
  </si>
  <si>
    <t>Mali</t>
  </si>
  <si>
    <t>Bamako</t>
  </si>
  <si>
    <t>Gao</t>
  </si>
  <si>
    <t>Kayes</t>
  </si>
  <si>
    <t>Kidal</t>
  </si>
  <si>
    <t>Koulikoro</t>
  </si>
  <si>
    <t>Manaka</t>
  </si>
  <si>
    <t>Mopti</t>
  </si>
  <si>
    <t>Segou</t>
  </si>
  <si>
    <t>Sikasso</t>
  </si>
  <si>
    <t>Taoudenit</t>
  </si>
  <si>
    <t>Tombouctou</t>
  </si>
  <si>
    <t>MLT</t>
  </si>
  <si>
    <t>Malta</t>
  </si>
  <si>
    <t>Attard</t>
  </si>
  <si>
    <t>Balzan</t>
  </si>
  <si>
    <t>Birgu</t>
  </si>
  <si>
    <t>Birkirkara</t>
  </si>
  <si>
    <t>Birzebbugia</t>
  </si>
  <si>
    <t>Bormla</t>
  </si>
  <si>
    <t>Dingli</t>
  </si>
  <si>
    <t>Fgura</t>
  </si>
  <si>
    <t>Floriana</t>
  </si>
  <si>
    <t>Fontana</t>
  </si>
  <si>
    <t>Ghajnsielem</t>
  </si>
  <si>
    <t>Gharb</t>
  </si>
  <si>
    <t>Gharghur</t>
  </si>
  <si>
    <t>Ghasri</t>
  </si>
  <si>
    <t>Ghaxaq</t>
  </si>
  <si>
    <t>Gudja</t>
  </si>
  <si>
    <t>Gzira</t>
  </si>
  <si>
    <t>Hamrun</t>
  </si>
  <si>
    <t>Iklin</t>
  </si>
  <si>
    <t>Isla</t>
  </si>
  <si>
    <t>Kalkara</t>
  </si>
  <si>
    <t>Kercem</t>
  </si>
  <si>
    <t>Kirkop</t>
  </si>
  <si>
    <t>Lija</t>
  </si>
  <si>
    <t>Luqa</t>
  </si>
  <si>
    <t>Marsa</t>
  </si>
  <si>
    <t>Marsascala</t>
  </si>
  <si>
    <t>Marsaxlokk</t>
  </si>
  <si>
    <t>Mdina</t>
  </si>
  <si>
    <t>Mellieha</t>
  </si>
  <si>
    <t>Mgarr</t>
  </si>
  <si>
    <t>Mosta</t>
  </si>
  <si>
    <t>Mqabba</t>
  </si>
  <si>
    <t>Msida</t>
  </si>
  <si>
    <t>Mtarfa</t>
  </si>
  <si>
    <t>Munxar</t>
  </si>
  <si>
    <t>Nadur</t>
  </si>
  <si>
    <t>Naxxar</t>
  </si>
  <si>
    <t>Paola</t>
  </si>
  <si>
    <t>Pembroke</t>
  </si>
  <si>
    <t>Pieta</t>
  </si>
  <si>
    <t>Qala</t>
  </si>
  <si>
    <t>Qormi</t>
  </si>
  <si>
    <t>Qrendi</t>
  </si>
  <si>
    <t>Rabat (Malta)</t>
  </si>
  <si>
    <t>Rabat (Victoria)</t>
  </si>
  <si>
    <t>Safi</t>
  </si>
  <si>
    <t>San Giljan</t>
  </si>
  <si>
    <t>San Gwann</t>
  </si>
  <si>
    <t>San Lawrenz</t>
  </si>
  <si>
    <t>San Pawl Il Bahar</t>
  </si>
  <si>
    <t>Sannat</t>
  </si>
  <si>
    <t>Santa Lucija</t>
  </si>
  <si>
    <t>Santa Venera</t>
  </si>
  <si>
    <t>Siggiewi</t>
  </si>
  <si>
    <t>Sliema</t>
  </si>
  <si>
    <t>Swieqi</t>
  </si>
  <si>
    <t>Ta'  Xbiex</t>
  </si>
  <si>
    <t>Tarxien</t>
  </si>
  <si>
    <t>Valletta</t>
  </si>
  <si>
    <t>Xaghra</t>
  </si>
  <si>
    <t>Xewkija</t>
  </si>
  <si>
    <t>Xghajra</t>
  </si>
  <si>
    <t>Zabbar</t>
  </si>
  <si>
    <t>Zebbug (Ghawdex)</t>
  </si>
  <si>
    <t>Zebbug (Malta)</t>
  </si>
  <si>
    <t>Zejtun</t>
  </si>
  <si>
    <t>Zurrieq</t>
  </si>
  <si>
    <t>MHL</t>
  </si>
  <si>
    <t>Marshall Islands</t>
  </si>
  <si>
    <t>Ailinglaplap</t>
  </si>
  <si>
    <t>Ailuk</t>
  </si>
  <si>
    <t>Arno</t>
  </si>
  <si>
    <t>Aur</t>
  </si>
  <si>
    <t>Ebon</t>
  </si>
  <si>
    <t>Eneu</t>
  </si>
  <si>
    <t>Enewetak</t>
  </si>
  <si>
    <t>Jabat</t>
  </si>
  <si>
    <t>Jaluit</t>
  </si>
  <si>
    <t>Kili</t>
  </si>
  <si>
    <t>Kwajalein</t>
  </si>
  <si>
    <t>Lae</t>
  </si>
  <si>
    <t>Lib</t>
  </si>
  <si>
    <t>Likiep</t>
  </si>
  <si>
    <t>Majuro</t>
  </si>
  <si>
    <t>Maloelap</t>
  </si>
  <si>
    <t>Mejit</t>
  </si>
  <si>
    <t>Mili</t>
  </si>
  <si>
    <t>Namdrik</t>
  </si>
  <si>
    <t>Namu</t>
  </si>
  <si>
    <t>Rongelap</t>
  </si>
  <si>
    <t>Ujae</t>
  </si>
  <si>
    <t>Utirik</t>
  </si>
  <si>
    <t>Wotho</t>
  </si>
  <si>
    <t>Wotje</t>
  </si>
  <si>
    <t>MRT</t>
  </si>
  <si>
    <t>Mauritania</t>
  </si>
  <si>
    <t>Assaba</t>
  </si>
  <si>
    <t>Brakna</t>
  </si>
  <si>
    <t>Dakhlet Nouadhibou</t>
  </si>
  <si>
    <t>Gorgol</t>
  </si>
  <si>
    <t>Guiodimakha</t>
  </si>
  <si>
    <t>Hodh Echargui</t>
  </si>
  <si>
    <t>Hodh El Gharbi</t>
  </si>
  <si>
    <t>Inchiri</t>
  </si>
  <si>
    <t>Nouakchott Nord</t>
  </si>
  <si>
    <t>Nouakchott Quest</t>
  </si>
  <si>
    <t>Nouakchott Sud</t>
  </si>
  <si>
    <t>Tagant</t>
  </si>
  <si>
    <t>Tiris Zemmour</t>
  </si>
  <si>
    <t>Trarza</t>
  </si>
  <si>
    <t>MUS</t>
  </si>
  <si>
    <t>Mauritius</t>
  </si>
  <si>
    <t>Black River</t>
  </si>
  <si>
    <t>Flacq</t>
  </si>
  <si>
    <t>Grand Port</t>
  </si>
  <si>
    <t>Moka</t>
  </si>
  <si>
    <t>Pamplemousses</t>
  </si>
  <si>
    <t>Plaines Wilhems</t>
  </si>
  <si>
    <t>Port Louis</t>
  </si>
  <si>
    <t>Riviere Du Rempart</t>
  </si>
  <si>
    <t>Rodrigues</t>
  </si>
  <si>
    <t>Savanne</t>
  </si>
  <si>
    <t>MEX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</si>
  <si>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</si>
  <si>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</si>
  <si>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</si>
  <si>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</si>
  <si>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</si>
  <si>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</si>
  <si>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</si>
  <si>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</si>
  <si>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</si>
  <si>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</si>
  <si>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</si>
  <si>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</si>
  <si>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</si>
  <si>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</si>
  <si>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</si>
  <si>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</si>
  <si>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</si>
  <si>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</si>
  <si>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</si>
  <si>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</si>
  <si>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</si>
  <si>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</si>
  <si>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 Arteaga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</si>
  <si>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</si>
  <si>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</si>
  <si>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</si>
  <si>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</si>
  <si>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</si>
  <si>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</si>
  <si>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</si>
  <si>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</si>
  <si>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</si>
  <si>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</si>
  <si>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FSM</t>
  </si>
  <si>
    <t>Micronesia (Federated States of)</t>
  </si>
  <si>
    <t>Chuuk</t>
  </si>
  <si>
    <t>Kosrae</t>
  </si>
  <si>
    <t>Pohnpei</t>
  </si>
  <si>
    <t>Yap</t>
  </si>
  <si>
    <t>MCO</t>
  </si>
  <si>
    <t>Monaco</t>
  </si>
  <si>
    <t>MNG</t>
  </si>
  <si>
    <t>Mongolia</t>
  </si>
  <si>
    <t>Arxangai</t>
  </si>
  <si>
    <t>Bayan-Olgii</t>
  </si>
  <si>
    <t>Bayankhongor</t>
  </si>
  <si>
    <t>Bulgan</t>
  </si>
  <si>
    <t>Darkhan-Uul</t>
  </si>
  <si>
    <t>Dornod</t>
  </si>
  <si>
    <t>Dornogovi</t>
  </si>
  <si>
    <t>Dundgovi</t>
  </si>
  <si>
    <t>Zavkhan</t>
  </si>
  <si>
    <t>Govi-Altai</t>
  </si>
  <si>
    <t>Govisumber</t>
  </si>
  <si>
    <t>Hentii</t>
  </si>
  <si>
    <t>Khovd</t>
  </si>
  <si>
    <t>Khovsgol</t>
  </si>
  <si>
    <t>Omnogovi</t>
  </si>
  <si>
    <t>Orkhon</t>
  </si>
  <si>
    <t>Ovorkhangai</t>
  </si>
  <si>
    <t>Selenge</t>
  </si>
  <si>
    <t>Sukhbaatar</t>
  </si>
  <si>
    <t>To'v</t>
  </si>
  <si>
    <t>Ulaanbaatar</t>
  </si>
  <si>
    <t>Uvs</t>
  </si>
  <si>
    <t>MNE</t>
  </si>
  <si>
    <t>Montenegro</t>
  </si>
  <si>
    <t>Andrijevica</t>
  </si>
  <si>
    <t>Bar</t>
  </si>
  <si>
    <t>Berane</t>
  </si>
  <si>
    <t>Bijelo Polje</t>
  </si>
  <si>
    <t>Budva</t>
  </si>
  <si>
    <t>Cetinje</t>
  </si>
  <si>
    <t>Danilovgrad</t>
  </si>
  <si>
    <t>Herceg Novi</t>
  </si>
  <si>
    <t>Kolašin</t>
  </si>
  <si>
    <t>Kotor</t>
  </si>
  <si>
    <t>Mojkovac</t>
  </si>
  <si>
    <t>Nikšic</t>
  </si>
  <si>
    <t>Plav</t>
  </si>
  <si>
    <t>Pljevlja</t>
  </si>
  <si>
    <t>Plužine</t>
  </si>
  <si>
    <t>Podgorica</t>
  </si>
  <si>
    <t>Rožaje</t>
  </si>
  <si>
    <t>Šavnik</t>
  </si>
  <si>
    <t>Tivat</t>
  </si>
  <si>
    <t>Ulcinj</t>
  </si>
  <si>
    <t>Žabljak</t>
  </si>
  <si>
    <t>MAR</t>
  </si>
  <si>
    <t>Morocco</t>
  </si>
  <si>
    <t>b. mellal-khenifra</t>
  </si>
  <si>
    <t>draa-tafilalet</t>
  </si>
  <si>
    <t>fes-meknes</t>
  </si>
  <si>
    <t>g. casa. settat</t>
  </si>
  <si>
    <t>guelmim-oued noun</t>
  </si>
  <si>
    <t>laayoune-s. hamra</t>
  </si>
  <si>
    <t>marrakech-safi</t>
  </si>
  <si>
    <t>oriental</t>
  </si>
  <si>
    <t>rabat-sale-kenitra</t>
  </si>
  <si>
    <t>souss-massa</t>
  </si>
  <si>
    <t>tanger-tetouan-hoc</t>
  </si>
  <si>
    <t>MOZ</t>
  </si>
  <si>
    <t>Mozambique</t>
  </si>
  <si>
    <t>Cabo Delgado</t>
  </si>
  <si>
    <t>Gaza</t>
  </si>
  <si>
    <t>Inhambane</t>
  </si>
  <si>
    <t>Manica</t>
  </si>
  <si>
    <t>Maputo</t>
  </si>
  <si>
    <t>Maputo City</t>
  </si>
  <si>
    <t>Nampula</t>
  </si>
  <si>
    <t>Nassa</t>
  </si>
  <si>
    <t>Sofala</t>
  </si>
  <si>
    <t>Tete</t>
  </si>
  <si>
    <t>Zambezia</t>
  </si>
  <si>
    <t>MMR</t>
  </si>
  <si>
    <t>Myanmar</t>
  </si>
  <si>
    <t>Ayeyarwady</t>
  </si>
  <si>
    <t>Bago East</t>
  </si>
  <si>
    <t>Bago West</t>
  </si>
  <si>
    <t>Chin</t>
  </si>
  <si>
    <t>Kachin</t>
  </si>
  <si>
    <t>Kayah</t>
  </si>
  <si>
    <t>Kayin</t>
  </si>
  <si>
    <t>Magway</t>
  </si>
  <si>
    <t>Mandalay</t>
  </si>
  <si>
    <t>Mon</t>
  </si>
  <si>
    <t>Nay Pyi Taw</t>
  </si>
  <si>
    <t>Rakhine</t>
  </si>
  <si>
    <t>Sagaing</t>
  </si>
  <si>
    <t>Shan East</t>
  </si>
  <si>
    <t>Shan North</t>
  </si>
  <si>
    <t>Shan South</t>
  </si>
  <si>
    <t>Tanintharyi</t>
  </si>
  <si>
    <t>Yangon</t>
  </si>
  <si>
    <t>NAM</t>
  </si>
  <si>
    <t>Namibia</t>
  </si>
  <si>
    <t>Caprivi</t>
  </si>
  <si>
    <t>Erongo</t>
  </si>
  <si>
    <t>Hardap</t>
  </si>
  <si>
    <t>Karas</t>
  </si>
  <si>
    <t>Kavango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</si>
  <si>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</si>
  <si>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</si>
  <si>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</si>
  <si>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</si>
  <si>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</si>
  <si>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</si>
  <si>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</si>
  <si>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</si>
  <si>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NRU</t>
  </si>
  <si>
    <t>Nauru</t>
  </si>
  <si>
    <t>Aiwo</t>
  </si>
  <si>
    <t>Anabar</t>
  </si>
  <si>
    <t>Anetan</t>
  </si>
  <si>
    <t>Anibare</t>
  </si>
  <si>
    <t>Baiti</t>
  </si>
  <si>
    <t>Boada</t>
  </si>
  <si>
    <t>Boe</t>
  </si>
  <si>
    <t>Denigomudu</t>
  </si>
  <si>
    <t>Ewa</t>
  </si>
  <si>
    <t>Ijuw</t>
  </si>
  <si>
    <t>Meneng</t>
  </si>
  <si>
    <t>Nibok</t>
  </si>
  <si>
    <t>Uaboe</t>
  </si>
  <si>
    <t>Yaren</t>
  </si>
  <si>
    <t>NPL</t>
  </si>
  <si>
    <t>Nepal</t>
  </si>
  <si>
    <t>Province 1</t>
  </si>
  <si>
    <t>Province 2</t>
  </si>
  <si>
    <t>Bagmati</t>
  </si>
  <si>
    <t>Gandaki</t>
  </si>
  <si>
    <t>Province 5</t>
  </si>
  <si>
    <t>Karnali</t>
  </si>
  <si>
    <t>Sudur Pashchim</t>
  </si>
  <si>
    <t>NLD</t>
  </si>
  <si>
    <t>Netherlands (Kingdom of the)</t>
  </si>
  <si>
    <t>Noord-Nederland</t>
  </si>
  <si>
    <t>Oost-Nederland</t>
  </si>
  <si>
    <t>West-Nederland</t>
  </si>
  <si>
    <t>Zuid-Nederland</t>
  </si>
  <si>
    <t>NZL</t>
  </si>
  <si>
    <t>New Zealand</t>
  </si>
  <si>
    <t>Auckland</t>
  </si>
  <si>
    <t>Bay of Plenty</t>
  </si>
  <si>
    <t>Canterbury</t>
  </si>
  <si>
    <t>Capital and Coast</t>
  </si>
  <si>
    <t>Counties Manukau</t>
  </si>
  <si>
    <t>Hawke'S Bay</t>
  </si>
  <si>
    <t>Hutt</t>
  </si>
  <si>
    <t>Lakes</t>
  </si>
  <si>
    <t>Midcentral</t>
  </si>
  <si>
    <t>Nelson-Marlborough</t>
  </si>
  <si>
    <t>Northland</t>
  </si>
  <si>
    <t>South Canterbury</t>
  </si>
  <si>
    <t>Tairawhiti</t>
  </si>
  <si>
    <t>Taranaki</t>
  </si>
  <si>
    <t>Waikato</t>
  </si>
  <si>
    <t>Wairarapa</t>
  </si>
  <si>
    <t>Waitemata</t>
  </si>
  <si>
    <t>West Coast</t>
  </si>
  <si>
    <t>Whanganui</t>
  </si>
  <si>
    <t>NIC</t>
  </si>
  <si>
    <t>Nicaragua</t>
  </si>
  <si>
    <t>Boaco</t>
  </si>
  <si>
    <t>Carazo</t>
  </si>
  <si>
    <t>Chinandega</t>
  </si>
  <si>
    <t>Chontales</t>
  </si>
  <si>
    <t>Esteli</t>
  </si>
  <si>
    <t>Granada</t>
  </si>
  <si>
    <t>Jinotega</t>
  </si>
  <si>
    <t>Leon</t>
  </si>
  <si>
    <t>Madriz</t>
  </si>
  <si>
    <t>Managua</t>
  </si>
  <si>
    <t>Masaya</t>
  </si>
  <si>
    <t>Matagalpa</t>
  </si>
  <si>
    <t>Nueva Segovia</t>
  </si>
  <si>
    <t>Region Autonoma Del Atlantico Norte</t>
  </si>
  <si>
    <t>Region Autonoma Del Atlantico Sur</t>
  </si>
  <si>
    <t>Rio San Juan</t>
  </si>
  <si>
    <t>Rivas</t>
  </si>
  <si>
    <t>NER</t>
  </si>
  <si>
    <t>Niger</t>
  </si>
  <si>
    <t>Agadez</t>
  </si>
  <si>
    <t>Diffa</t>
  </si>
  <si>
    <t>Dosso</t>
  </si>
  <si>
    <t>Maradi</t>
  </si>
  <si>
    <t>Niamey</t>
  </si>
  <si>
    <t>Tahoua</t>
  </si>
  <si>
    <t>Tillaberi</t>
  </si>
  <si>
    <t>Zinder</t>
  </si>
  <si>
    <t>NGA</t>
  </si>
  <si>
    <t>Nigeria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</si>
  <si>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</si>
  <si>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</si>
  <si>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</si>
  <si>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</si>
  <si>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</si>
  <si>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</si>
  <si>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</si>
  <si>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</si>
  <si>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</si>
  <si>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</si>
  <si>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</si>
  <si>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</si>
  <si>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</si>
  <si>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</si>
  <si>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Fct, Abuja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</si>
  <si>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</si>
  <si>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</si>
  <si>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</si>
  <si>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</si>
  <si>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</si>
  <si>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</si>
  <si>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</si>
  <si>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</si>
  <si>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</si>
  <si>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</si>
  <si>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</si>
  <si>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</si>
  <si>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</si>
  <si>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</si>
  <si>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</si>
  <si>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</si>
  <si>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</si>
  <si>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</si>
  <si>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</si>
  <si>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</si>
  <si>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NIU</t>
  </si>
  <si>
    <t>Niue</t>
  </si>
  <si>
    <t>Alofi</t>
  </si>
  <si>
    <t>Avatele</t>
  </si>
  <si>
    <t>Fonuakula</t>
  </si>
  <si>
    <t>Lakepa</t>
  </si>
  <si>
    <t>Liku</t>
  </si>
  <si>
    <t>MKD</t>
  </si>
  <si>
    <t>North Macedonia</t>
  </si>
  <si>
    <t>Istočen</t>
  </si>
  <si>
    <t>Jugoistočen</t>
  </si>
  <si>
    <t>Jugozapaden</t>
  </si>
  <si>
    <t>Pelagoniski</t>
  </si>
  <si>
    <t>Pološki</t>
  </si>
  <si>
    <t>Severoistočen</t>
  </si>
  <si>
    <t>Skopski</t>
  </si>
  <si>
    <t>Vardarski</t>
  </si>
  <si>
    <t>NOR</t>
  </si>
  <si>
    <t>Norway</t>
  </si>
  <si>
    <t>Akershus</t>
  </si>
  <si>
    <t>Aust Agder</t>
  </si>
  <si>
    <t>Buskerud</t>
  </si>
  <si>
    <t>Finnmark</t>
  </si>
  <si>
    <t>Hedmark</t>
  </si>
  <si>
    <t>Hordaland</t>
  </si>
  <si>
    <t>Moere Og Romsdal</t>
  </si>
  <si>
    <t>Nord Troendelag</t>
  </si>
  <si>
    <t>Nordland</t>
  </si>
  <si>
    <t>Oestfold</t>
  </si>
  <si>
    <t>Oppland</t>
  </si>
  <si>
    <t>Oslo</t>
  </si>
  <si>
    <t>Rogaland</t>
  </si>
  <si>
    <t>Soer Troendelag</t>
  </si>
  <si>
    <t>Sogn Og Fjordane</t>
  </si>
  <si>
    <t>Telemark</t>
  </si>
  <si>
    <t>Troms</t>
  </si>
  <si>
    <t>Vest Agder</t>
  </si>
  <si>
    <t>Vestfold</t>
  </si>
  <si>
    <t>OMN</t>
  </si>
  <si>
    <t>Oman</t>
  </si>
  <si>
    <t>Alburaymi</t>
  </si>
  <si>
    <t>Alwousta</t>
  </si>
  <si>
    <t>Dakhliyah</t>
  </si>
  <si>
    <t>Dhahirah</t>
  </si>
  <si>
    <t>Dhofar</t>
  </si>
  <si>
    <t>Musandam</t>
  </si>
  <si>
    <t>Muscat</t>
  </si>
  <si>
    <t>North Batinah</t>
  </si>
  <si>
    <t>North Sharqiyah</t>
  </si>
  <si>
    <t>South Batinah</t>
  </si>
  <si>
    <t>South Sharqiyah</t>
  </si>
  <si>
    <t>PAK</t>
  </si>
  <si>
    <t>Pakistan</t>
  </si>
  <si>
    <t>AJK</t>
  </si>
  <si>
    <t>Balochistan</t>
  </si>
  <si>
    <t>Gilgit Baltistan</t>
  </si>
  <si>
    <t>Federal Capital Territory</t>
  </si>
  <si>
    <t>Khyber Pakhtunkhwa</t>
  </si>
  <si>
    <t>Fata</t>
  </si>
  <si>
    <t>Sindh</t>
  </si>
  <si>
    <t>PLW</t>
  </si>
  <si>
    <t>Palau</t>
  </si>
  <si>
    <t>Aimeliik</t>
  </si>
  <si>
    <t>Airai</t>
  </si>
  <si>
    <t>Angaur</t>
  </si>
  <si>
    <t>Hatobohei</t>
  </si>
  <si>
    <t>Kayangel</t>
  </si>
  <si>
    <t>Koror</t>
  </si>
  <si>
    <t>Melekeok</t>
  </si>
  <si>
    <t>Ngaraard</t>
  </si>
  <si>
    <t>Ngardmau</t>
  </si>
  <si>
    <t>Ngaremlengui</t>
  </si>
  <si>
    <t>Ngatpang</t>
  </si>
  <si>
    <t>Ngchesar</t>
  </si>
  <si>
    <t>Ngerchelong</t>
  </si>
  <si>
    <t>Ngiwal</t>
  </si>
  <si>
    <t>Peleliu</t>
  </si>
  <si>
    <t>Sonsorol</t>
  </si>
  <si>
    <t>PAN</t>
  </si>
  <si>
    <t>Panama</t>
  </si>
  <si>
    <t>Bocas Del Toro</t>
  </si>
  <si>
    <t>Chiriqui</t>
  </si>
  <si>
    <t>Cocle</t>
  </si>
  <si>
    <t>Darien</t>
  </si>
  <si>
    <t>Embera</t>
  </si>
  <si>
    <t>Herrera</t>
  </si>
  <si>
    <t>Kuna Yala</t>
  </si>
  <si>
    <t>Los Santos</t>
  </si>
  <si>
    <t>Ngobe-Bugle</t>
  </si>
  <si>
    <t>Veraguas</t>
  </si>
  <si>
    <t>PNG</t>
  </si>
  <si>
    <t>Papua New Guinea</t>
  </si>
  <si>
    <t>Bougainville</t>
  </si>
  <si>
    <t>Chimbu (Simbu)</t>
  </si>
  <si>
    <t>East New Britain</t>
  </si>
  <si>
    <t>East Sepik</t>
  </si>
  <si>
    <t>Eastern Highlands</t>
  </si>
  <si>
    <t>Enga</t>
  </si>
  <si>
    <t>Gulf Province</t>
  </si>
  <si>
    <t>Hela</t>
  </si>
  <si>
    <t>Jiwaka</t>
  </si>
  <si>
    <t>Madang</t>
  </si>
  <si>
    <t>Manus</t>
  </si>
  <si>
    <t>Milne Bay Province</t>
  </si>
  <si>
    <t>Morobe</t>
  </si>
  <si>
    <t>National Capital District</t>
  </si>
  <si>
    <t>New Ireland</t>
  </si>
  <si>
    <t>Northern (Oro)</t>
  </si>
  <si>
    <t>Southern Highlands</t>
  </si>
  <si>
    <t>West New Britain</t>
  </si>
  <si>
    <t>West Sepik (Sandaun)</t>
  </si>
  <si>
    <t>Western Highlands</t>
  </si>
  <si>
    <t>PRY</t>
  </si>
  <si>
    <t>Paraguay</t>
  </si>
  <si>
    <t>Alto Paraguay</t>
  </si>
  <si>
    <t>Alto Parana</t>
  </si>
  <si>
    <t>Amambay</t>
  </si>
  <si>
    <t>Asuncion</t>
  </si>
  <si>
    <t>Boqueron</t>
  </si>
  <si>
    <t>Caaguazu</t>
  </si>
  <si>
    <t>Caazapa</t>
  </si>
  <si>
    <t>Canindeyu</t>
  </si>
  <si>
    <t>Concepcion</t>
  </si>
  <si>
    <t>Cordillera</t>
  </si>
  <si>
    <t>Guaira</t>
  </si>
  <si>
    <t>Itapua</t>
  </si>
  <si>
    <t>Neembucu</t>
  </si>
  <si>
    <t>Paraguari</t>
  </si>
  <si>
    <t>Presidente Hayes</t>
  </si>
  <si>
    <t>San Pedro</t>
  </si>
  <si>
    <t>PER</t>
  </si>
  <si>
    <t>Peru</t>
  </si>
  <si>
    <t>Ancash</t>
  </si>
  <si>
    <t>Apurímac</t>
  </si>
  <si>
    <t>Arequipa</t>
  </si>
  <si>
    <t>Ayacucho</t>
  </si>
  <si>
    <t>Cajamarca</t>
  </si>
  <si>
    <t>Callao, Provincia Constitucional Del</t>
  </si>
  <si>
    <t>Cusco</t>
  </si>
  <si>
    <t>Huancavelica</t>
  </si>
  <si>
    <t>Huánuco</t>
  </si>
  <si>
    <t>Ica</t>
  </si>
  <si>
    <t>Junín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</si>
  <si>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</si>
  <si>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</si>
  <si>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</si>
  <si>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</si>
  <si>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</si>
  <si>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</si>
  <si>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</si>
  <si>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</si>
  <si>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</si>
  <si>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</si>
  <si>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</si>
  <si>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</si>
  <si>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POL</t>
  </si>
  <si>
    <t>Poland</t>
  </si>
  <si>
    <t>Greater Poland</t>
  </si>
  <si>
    <t>Kuyavian Pomeranian</t>
  </si>
  <si>
    <t>Lesser Poland</t>
  </si>
  <si>
    <t>Lodz</t>
  </si>
  <si>
    <t>Lower Silesian</t>
  </si>
  <si>
    <t>Lublin</t>
  </si>
  <si>
    <t>Lubusz</t>
  </si>
  <si>
    <t>Masovian</t>
  </si>
  <si>
    <t>Opole</t>
  </si>
  <si>
    <t>Podlachian</t>
  </si>
  <si>
    <t>Pomeranian</t>
  </si>
  <si>
    <t>Silesian</t>
  </si>
  <si>
    <t>Subcarpathian</t>
  </si>
  <si>
    <t>Swietokrzyskie</t>
  </si>
  <si>
    <t>Warmian Masurian</t>
  </si>
  <si>
    <t>West Pomeranian</t>
  </si>
  <si>
    <t>PRT</t>
  </si>
  <si>
    <t>Portugal</t>
  </si>
  <si>
    <t>Alentejo</t>
  </si>
  <si>
    <t>Algarve</t>
  </si>
  <si>
    <t>Centro</t>
  </si>
  <si>
    <t>Lisboa</t>
  </si>
  <si>
    <t>Norte</t>
  </si>
  <si>
    <t>Regiao Autonoma Da Madeira</t>
  </si>
  <si>
    <t>Regiao Autonoma Dos Acores</t>
  </si>
  <si>
    <t>QAT</t>
  </si>
  <si>
    <t>Qatar</t>
  </si>
  <si>
    <t>Aldayeen</t>
  </si>
  <si>
    <t>AlKhor_ Altakhi</t>
  </si>
  <si>
    <t>Alrayyan</t>
  </si>
  <si>
    <t>Alshamal</t>
  </si>
  <si>
    <t>Alsheehaniya</t>
  </si>
  <si>
    <t>Alwakra</t>
  </si>
  <si>
    <t>Doha</t>
  </si>
  <si>
    <t>Umm_Slal</t>
  </si>
  <si>
    <t>KOR</t>
  </si>
  <si>
    <t>Republic of Korea</t>
  </si>
  <si>
    <t>Busan</t>
  </si>
  <si>
    <t>Republic Of Korea</t>
  </si>
  <si>
    <t>Chungcheongbuk-Do</t>
  </si>
  <si>
    <t>Chungcheongnam-Do</t>
  </si>
  <si>
    <t>Daegu</t>
  </si>
  <si>
    <t>Daejeon</t>
  </si>
  <si>
    <t>Gangwon-Do</t>
  </si>
  <si>
    <t>Gwangju</t>
  </si>
  <si>
    <t>Gyeonggi-Do</t>
  </si>
  <si>
    <t>Gyeongsangbuk-Do</t>
  </si>
  <si>
    <t>Gyeongsangnam-Do</t>
  </si>
  <si>
    <t>Incheon</t>
  </si>
  <si>
    <t>Jeju</t>
  </si>
  <si>
    <t>Jeollabuk-Do</t>
  </si>
  <si>
    <t>Jeollanam-Do</t>
  </si>
  <si>
    <t>Sejong</t>
  </si>
  <si>
    <t>Seoul</t>
  </si>
  <si>
    <t>Ulsan</t>
  </si>
  <si>
    <t>MDA</t>
  </si>
  <si>
    <t>Republic of Moldova</t>
  </si>
  <si>
    <t>Anenii Noi</t>
  </si>
  <si>
    <t>Balti</t>
  </si>
  <si>
    <t>Basarabeasca</t>
  </si>
  <si>
    <t>Bender</t>
  </si>
  <si>
    <t>Briceni</t>
  </si>
  <si>
    <t>Cahul</t>
  </si>
  <si>
    <t>Calaras</t>
  </si>
  <si>
    <t>Camenca</t>
  </si>
  <si>
    <t>Cantemir</t>
  </si>
  <si>
    <t>Causeni</t>
  </si>
  <si>
    <t>Ceadîr-Lunga</t>
  </si>
  <si>
    <t>Chisinau</t>
  </si>
  <si>
    <t>Cimislia</t>
  </si>
  <si>
    <t>Comrat</t>
  </si>
  <si>
    <t>Criuleni</t>
  </si>
  <si>
    <t>Donduseni</t>
  </si>
  <si>
    <t>Drochia</t>
  </si>
  <si>
    <t>Dubasari</t>
  </si>
  <si>
    <t>Dubăsari SN</t>
  </si>
  <si>
    <t>Edinet</t>
  </si>
  <si>
    <t>Falesti</t>
  </si>
  <si>
    <t>Floresti</t>
  </si>
  <si>
    <t>Glodeni</t>
  </si>
  <si>
    <t>Grigoriopol</t>
  </si>
  <si>
    <t>Hincesti</t>
  </si>
  <si>
    <t>Ialoveni</t>
  </si>
  <si>
    <t>Leova</t>
  </si>
  <si>
    <t>Nisporeni</t>
  </si>
  <si>
    <t>Ocnita</t>
  </si>
  <si>
    <t>Orhei</t>
  </si>
  <si>
    <t>Rezina</t>
  </si>
  <si>
    <t>Rîbnița</t>
  </si>
  <si>
    <t>Riscani</t>
  </si>
  <si>
    <t>Singerei</t>
  </si>
  <si>
    <t>Slobozia</t>
  </si>
  <si>
    <t>Soldanesti</t>
  </si>
  <si>
    <t>Soroca</t>
  </si>
  <si>
    <t>Stefan voda</t>
  </si>
  <si>
    <t>Straseni</t>
  </si>
  <si>
    <t>Taraclia</t>
  </si>
  <si>
    <t>Telenesti</t>
  </si>
  <si>
    <t>Tiraspol</t>
  </si>
  <si>
    <t>Ungheni</t>
  </si>
  <si>
    <t>Vulcănești</t>
  </si>
  <si>
    <t>ROU</t>
  </si>
  <si>
    <t>Romania</t>
  </si>
  <si>
    <t>Alba</t>
  </si>
  <si>
    <t>Arad</t>
  </si>
  <si>
    <t>Arges</t>
  </si>
  <si>
    <t>Bacau</t>
  </si>
  <si>
    <t>Bihor</t>
  </si>
  <si>
    <t>Bistrita Nasaud</t>
  </si>
  <si>
    <t>Botosani</t>
  </si>
  <si>
    <t>Braila</t>
  </si>
  <si>
    <t>Brasov</t>
  </si>
  <si>
    <t>Bucuresti</t>
  </si>
  <si>
    <t>Buzau</t>
  </si>
  <si>
    <t>Calarasi</t>
  </si>
  <si>
    <t>Caras Severin</t>
  </si>
  <si>
    <t>Cluj</t>
  </si>
  <si>
    <t>Constanta</t>
  </si>
  <si>
    <t>Covasna</t>
  </si>
  <si>
    <t>Dimbovita</t>
  </si>
  <si>
    <t>Dolj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</si>
  <si>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</si>
  <si>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</si>
  <si>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</si>
  <si>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</si>
  <si>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</si>
  <si>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</si>
  <si>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</si>
  <si>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</si>
  <si>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</si>
  <si>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</si>
  <si>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</si>
  <si>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</si>
  <si>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</si>
  <si>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</si>
  <si>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Salaj</t>
  </si>
  <si>
    <t>Satu Mare</t>
  </si>
  <si>
    <t>Sibiu</t>
  </si>
  <si>
    <t>Suceava</t>
  </si>
  <si>
    <t>Teleorman</t>
  </si>
  <si>
    <t>Timis</t>
  </si>
  <si>
    <t>Tulcea</t>
  </si>
  <si>
    <t>Vilcea</t>
  </si>
  <si>
    <t>Vaslui</t>
  </si>
  <si>
    <t>Vrancea</t>
  </si>
  <si>
    <t>RUS</t>
  </si>
  <si>
    <t>Russian Federation</t>
  </si>
  <si>
    <t>Central Federal District</t>
  </si>
  <si>
    <t>Far Eastern Federal District</t>
  </si>
  <si>
    <t>North Caucasian Federal District</t>
  </si>
  <si>
    <t>Northwestern Federal District</t>
  </si>
  <si>
    <t>Siberian Federal District</t>
  </si>
  <si>
    <t>Southern Federal District</t>
  </si>
  <si>
    <t>Ural Federal District</t>
  </si>
  <si>
    <t>Volga Federal District</t>
  </si>
  <si>
    <t>RWA</t>
  </si>
  <si>
    <t>Rwanda</t>
  </si>
  <si>
    <t>Mvk</t>
  </si>
  <si>
    <t>KNA</t>
  </si>
  <si>
    <t>Saint Kitts and Nevis</t>
  </si>
  <si>
    <t>Christ Church Nichola Town</t>
  </si>
  <si>
    <t>Saint Anne Sandy Point</t>
  </si>
  <si>
    <t>Saint George Basseterre</t>
  </si>
  <si>
    <t>Saint George Gingerland</t>
  </si>
  <si>
    <t>Saint James Windward</t>
  </si>
  <si>
    <t>Saint John Capisterre</t>
  </si>
  <si>
    <t>Saint John Figtree</t>
  </si>
  <si>
    <t>Saint Mary Cayon</t>
  </si>
  <si>
    <t>Saint Paul Capisterre</t>
  </si>
  <si>
    <t>Saint Paul Charlestown</t>
  </si>
  <si>
    <t>Saint Peter Basseterre</t>
  </si>
  <si>
    <t>Saint Thomas Lowland</t>
  </si>
  <si>
    <t>Saint Thomas Middle Island</t>
  </si>
  <si>
    <t>Trinity Palmetto Point</t>
  </si>
  <si>
    <t>LCA</t>
  </si>
  <si>
    <t>Saint Lucia</t>
  </si>
  <si>
    <t>Area Under National Administration</t>
  </si>
  <si>
    <t>Region Number 1</t>
  </si>
  <si>
    <t>Region Number 2</t>
  </si>
  <si>
    <t>Region Number 3</t>
  </si>
  <si>
    <t>Region Number 4</t>
  </si>
  <si>
    <t>Region Number 5</t>
  </si>
  <si>
    <t>Region Number 6</t>
  </si>
  <si>
    <t>Region Number 7</t>
  </si>
  <si>
    <t>Region Number 8</t>
  </si>
  <si>
    <t>VCT</t>
  </si>
  <si>
    <t>Saint Vincent and the Grenadines</t>
  </si>
  <si>
    <t>Charlotte</t>
  </si>
  <si>
    <t>Grenadines</t>
  </si>
  <si>
    <t>WSM</t>
  </si>
  <si>
    <t>Samoa</t>
  </si>
  <si>
    <t>Savai'I</t>
  </si>
  <si>
    <t>Upolu</t>
  </si>
  <si>
    <t>SMR</t>
  </si>
  <si>
    <t>San Marino</t>
  </si>
  <si>
    <t>STP</t>
  </si>
  <si>
    <t>Sao Tome and Principe</t>
  </si>
  <si>
    <t>Principe</t>
  </si>
  <si>
    <t>Sao Tome</t>
  </si>
  <si>
    <t>SAU</t>
  </si>
  <si>
    <t>Saudi Arabia</t>
  </si>
  <si>
    <t>Aseer</t>
  </si>
  <si>
    <t>Al-Bahah</t>
  </si>
  <si>
    <t>Bishah</t>
  </si>
  <si>
    <t>Abong Mbang</t>
  </si>
  <si>
    <t>Qunfudah</t>
  </si>
  <si>
    <t>Ha'il</t>
  </si>
  <si>
    <t>Al-Ahsa</t>
  </si>
  <si>
    <t>Hafr Al-Baten</t>
  </si>
  <si>
    <t>Jeddah</t>
  </si>
  <si>
    <t>Jazan</t>
  </si>
  <si>
    <t>Al-Jouf</t>
  </si>
  <si>
    <t>Makkah</t>
  </si>
  <si>
    <t>Medinah</t>
  </si>
  <si>
    <t>Najran</t>
  </si>
  <si>
    <t>Qaseem</t>
  </si>
  <si>
    <t>Qurayyat</t>
  </si>
  <si>
    <t>Riyadh</t>
  </si>
  <si>
    <t>Tabouk</t>
  </si>
  <si>
    <t>Ta'if</t>
  </si>
  <si>
    <t>SEN</t>
  </si>
  <si>
    <t>Senegal</t>
  </si>
  <si>
    <t>Dakar</t>
  </si>
  <si>
    <t>Diourbel</t>
  </si>
  <si>
    <t>Fatick</t>
  </si>
  <si>
    <t>Kaffrine</t>
  </si>
  <si>
    <t>Kaolack</t>
  </si>
  <si>
    <t>Kedougou</t>
  </si>
  <si>
    <t>Kolda</t>
  </si>
  <si>
    <t>Louga</t>
  </si>
  <si>
    <t>Matam</t>
  </si>
  <si>
    <t>Saint Louis</t>
  </si>
  <si>
    <t>Sedhiou</t>
  </si>
  <si>
    <t>Tambacounda</t>
  </si>
  <si>
    <t>Thies</t>
  </si>
  <si>
    <t>Ziguinchor</t>
  </si>
  <si>
    <t>SRB</t>
  </si>
  <si>
    <t>Serbia</t>
  </si>
  <si>
    <t>Borski Upravni Okrug</t>
  </si>
  <si>
    <t>Branicevski Upravni Okrug</t>
  </si>
  <si>
    <t>Grad Beograd</t>
  </si>
  <si>
    <t>Jablanicki Upravni Okrug</t>
  </si>
  <si>
    <t>Juznobacki Upravni Okrug</t>
  </si>
  <si>
    <t>Juznobanatski Upravni Okrug</t>
  </si>
  <si>
    <t>Kolubarski Upravni Okrug</t>
  </si>
  <si>
    <t>Kosovski Upravni Okrug</t>
  </si>
  <si>
    <t>Kosovsko Mitrovacki Upravni Okrug</t>
  </si>
  <si>
    <t>Kosovsko Pomoravski Upravni Okrug</t>
  </si>
  <si>
    <t>Macvanski Upravni Okrug</t>
  </si>
  <si>
    <t>Moravicki Upravni Okrug</t>
  </si>
  <si>
    <t>Nisavski Upravni Okrug</t>
  </si>
  <si>
    <t>Pcinjski Upravni Okrug</t>
  </si>
  <si>
    <t>Pecki Upravni Okrug</t>
  </si>
  <si>
    <t>Pirotski Upravni Okrug</t>
  </si>
  <si>
    <t>Podunavski Upravni Okrug</t>
  </si>
  <si>
    <t>Pomoravski Upravni Okrug</t>
  </si>
  <si>
    <t>Prizrenski Upravni Okrug</t>
  </si>
  <si>
    <t>Rasinski Upravni Okrug</t>
  </si>
  <si>
    <t>Raski Upravni Okrug</t>
  </si>
  <si>
    <t>Severnobacki Upravni Okrug</t>
  </si>
  <si>
    <t>Severnobanatski Upravni Okrug</t>
  </si>
  <si>
    <t>Srednjobanatski Upravni Okrug</t>
  </si>
  <si>
    <t>Sremski Upravni Okrug</t>
  </si>
  <si>
    <t>Sumadijski Upravni Okrug</t>
  </si>
  <si>
    <t>Toplicki Upravni Okrug</t>
  </si>
  <si>
    <t>Zajecarski Upravni Okrug</t>
  </si>
  <si>
    <t>Zapadnobacki Upravni Okrug</t>
  </si>
  <si>
    <t>Zlatiborski Upravni Okrug</t>
  </si>
  <si>
    <t>SYC</t>
  </si>
  <si>
    <t>Seychelles</t>
  </si>
  <si>
    <t>East Mahé</t>
  </si>
  <si>
    <t>Greater Victoria</t>
  </si>
  <si>
    <t>Inner Islands</t>
  </si>
  <si>
    <t>North Mahé</t>
  </si>
  <si>
    <t>Outer Islands</t>
  </si>
  <si>
    <t>South Mahé</t>
  </si>
  <si>
    <t>West Mahé</t>
  </si>
  <si>
    <t>SLE</t>
  </si>
  <si>
    <t>Sierra Leone</t>
  </si>
  <si>
    <t>Western Area</t>
  </si>
  <si>
    <t>SGP</t>
  </si>
  <si>
    <t>Singapore</t>
  </si>
  <si>
    <t>East</t>
  </si>
  <si>
    <t>North-East</t>
  </si>
  <si>
    <t>West</t>
  </si>
  <si>
    <t>SVK</t>
  </si>
  <si>
    <t>Slovakia</t>
  </si>
  <si>
    <t>Banskobystricky</t>
  </si>
  <si>
    <t>Bratislavsky</t>
  </si>
  <si>
    <t>Kosicky</t>
  </si>
  <si>
    <t>Nitriansky</t>
  </si>
  <si>
    <t>Presovsky</t>
  </si>
  <si>
    <t>Trenciansky</t>
  </si>
  <si>
    <t>Trnavsky</t>
  </si>
  <si>
    <t>Zilinsky</t>
  </si>
  <si>
    <t>SVN</t>
  </si>
  <si>
    <t>Slovenia</t>
  </si>
  <si>
    <t>Ajdova</t>
  </si>
  <si>
    <t>Bresice</t>
  </si>
  <si>
    <t>Celje</t>
  </si>
  <si>
    <t>Dravograd</t>
  </si>
  <si>
    <t>Hrastnik</t>
  </si>
  <si>
    <t>Idrija</t>
  </si>
  <si>
    <t>Ko</t>
  </si>
  <si>
    <t>Koper</t>
  </si>
  <si>
    <t>Kr</t>
  </si>
  <si>
    <t>Lenart</t>
  </si>
  <si>
    <t>Lendava</t>
  </si>
  <si>
    <t>Ljubljana</t>
  </si>
  <si>
    <t>Ljutomer</t>
  </si>
  <si>
    <t>Maribor</t>
  </si>
  <si>
    <t>Mozirje</t>
  </si>
  <si>
    <t>Murska Sobota</t>
  </si>
  <si>
    <t>Nova Gorica</t>
  </si>
  <si>
    <t>Novo Mesto</t>
  </si>
  <si>
    <t>Ormoe</t>
  </si>
  <si>
    <t>Pesnica</t>
  </si>
  <si>
    <t>Postojna</t>
  </si>
  <si>
    <t>Ptuj</t>
  </si>
  <si>
    <t>Radlje Ob Dravi</t>
  </si>
  <si>
    <t>Radovljica</t>
  </si>
  <si>
    <t>Ravne Na Korotkem</t>
  </si>
  <si>
    <t>Ribnica</t>
  </si>
  <si>
    <t>Ru</t>
  </si>
  <si>
    <t>Slovenj Gradec</t>
  </si>
  <si>
    <t>Slovenska Bistrica</t>
  </si>
  <si>
    <t>Tolmin</t>
  </si>
  <si>
    <t>Tr</t>
  </si>
  <si>
    <t>Trbovlje</t>
  </si>
  <si>
    <t>Trebnje</t>
  </si>
  <si>
    <t>Uentjur Pri Celju</t>
  </si>
  <si>
    <t>Umarje Pri Jeliah</t>
  </si>
  <si>
    <t>Urnomelj</t>
  </si>
  <si>
    <t>Velenje</t>
  </si>
  <si>
    <t>Zagorje Ob Savi</t>
  </si>
  <si>
    <t>SLB</t>
  </si>
  <si>
    <t>Solomon Islands</t>
  </si>
  <si>
    <t>Choiseul</t>
  </si>
  <si>
    <t>Guadalcanal</t>
  </si>
  <si>
    <t>Honiara</t>
  </si>
  <si>
    <t>Isabel</t>
  </si>
  <si>
    <t>Makira and Ulawa</t>
  </si>
  <si>
    <t>Malaita</t>
  </si>
  <si>
    <t>Rennell and Bellona</t>
  </si>
  <si>
    <t>Temotu Province</t>
  </si>
  <si>
    <t>Western Province</t>
  </si>
  <si>
    <t>SOM</t>
  </si>
  <si>
    <t>Somalia</t>
  </si>
  <si>
    <t>Awdal</t>
  </si>
  <si>
    <t>Bakol</t>
  </si>
  <si>
    <t>Banadir</t>
  </si>
  <si>
    <t>Bari</t>
  </si>
  <si>
    <t>Bay</t>
  </si>
  <si>
    <t>Galbeed</t>
  </si>
  <si>
    <t>Galgadud</t>
  </si>
  <si>
    <t>Gedo</t>
  </si>
  <si>
    <t>Hiran</t>
  </si>
  <si>
    <t>Karkar</t>
  </si>
  <si>
    <t>Lower Juba</t>
  </si>
  <si>
    <t>Lower Shabelle</t>
  </si>
  <si>
    <t>Middle Juba</t>
  </si>
  <si>
    <t>Middle Shabelle</t>
  </si>
  <si>
    <t>Mudug Gm</t>
  </si>
  <si>
    <t>Mudug Pl</t>
  </si>
  <si>
    <t>Nugal</t>
  </si>
  <si>
    <t>Sahil</t>
  </si>
  <si>
    <t>Sanag</t>
  </si>
  <si>
    <t>Sool</t>
  </si>
  <si>
    <t>Togdher</t>
  </si>
  <si>
    <t>ZAF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</si>
  <si>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</si>
  <si>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</si>
  <si>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</si>
  <si>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</si>
  <si>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</si>
  <si>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</si>
  <si>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</si>
  <si>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</si>
  <si>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</si>
  <si>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</si>
  <si>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SSD</t>
  </si>
  <si>
    <t>South Sudan</t>
  </si>
  <si>
    <t>Central Equatoria</t>
  </si>
  <si>
    <t>Eastern Equatoria</t>
  </si>
  <si>
    <t>Jonglei</t>
  </si>
  <si>
    <t>Northern Bahr El Ghazal</t>
  </si>
  <si>
    <t>Unity</t>
  </si>
  <si>
    <t>Upper Nile</t>
  </si>
  <si>
    <t>Warrap</t>
  </si>
  <si>
    <t>Western Bahr El Ghazal</t>
  </si>
  <si>
    <t>Western Equatoria</t>
  </si>
  <si>
    <t>ESP</t>
  </si>
  <si>
    <t>Spain</t>
  </si>
  <si>
    <t>Andalusia</t>
  </si>
  <si>
    <t>Aragon</t>
  </si>
  <si>
    <t>Asturias</t>
  </si>
  <si>
    <t>Baleares</t>
  </si>
  <si>
    <t>Basque Country</t>
  </si>
  <si>
    <t>Canary Islands</t>
  </si>
  <si>
    <t>Cantabria</t>
  </si>
  <si>
    <t>Castile La Mancha</t>
  </si>
  <si>
    <t>Castile Leon</t>
  </si>
  <si>
    <t>Catalonia</t>
  </si>
  <si>
    <t>Ceuta</t>
  </si>
  <si>
    <t>Extremadura</t>
  </si>
  <si>
    <t>Galicia</t>
  </si>
  <si>
    <t>Madrid</t>
  </si>
  <si>
    <t>Melilla</t>
  </si>
  <si>
    <t>Murcia</t>
  </si>
  <si>
    <t>Navarre</t>
  </si>
  <si>
    <t>Valencia</t>
  </si>
  <si>
    <t>LKA</t>
  </si>
  <si>
    <t>Sri Lanka</t>
  </si>
  <si>
    <t>Northern Central</t>
  </si>
  <si>
    <t>Northern Western</t>
  </si>
  <si>
    <t>Sabaragamuwa</t>
  </si>
  <si>
    <t>Uva</t>
  </si>
  <si>
    <t>SDN</t>
  </si>
  <si>
    <t>Sudan</t>
  </si>
  <si>
    <t>Blue Nile</t>
  </si>
  <si>
    <t>Central Darfur</t>
  </si>
  <si>
    <t>East Darfur</t>
  </si>
  <si>
    <t>Gedarif</t>
  </si>
  <si>
    <t>Gezira</t>
  </si>
  <si>
    <t>Kassala</t>
  </si>
  <si>
    <t>Khartoum</t>
  </si>
  <si>
    <t>North Darfur</t>
  </si>
  <si>
    <t>North Kordofan</t>
  </si>
  <si>
    <t>River Nile</t>
  </si>
  <si>
    <t>Sennar</t>
  </si>
  <si>
    <t>South Darfur</t>
  </si>
  <si>
    <t>South Kordofan</t>
  </si>
  <si>
    <t>West Darfur</t>
  </si>
  <si>
    <t>West Kordofan</t>
  </si>
  <si>
    <t>White Nile</t>
  </si>
  <si>
    <t>SUR</t>
  </si>
  <si>
    <t>Suriname</t>
  </si>
  <si>
    <t>Brokopondo</t>
  </si>
  <si>
    <t>Commewijne</t>
  </si>
  <si>
    <t>Coronie</t>
  </si>
  <si>
    <t>Marowijne</t>
  </si>
  <si>
    <t>Nickerie</t>
  </si>
  <si>
    <t>Paramaribo</t>
  </si>
  <si>
    <t>Saramacca</t>
  </si>
  <si>
    <t>Sipaliwini</t>
  </si>
  <si>
    <t>Wanica</t>
  </si>
  <si>
    <t>SWE</t>
  </si>
  <si>
    <t>Sweden</t>
  </si>
  <si>
    <t>Mellersta Norrland</t>
  </si>
  <si>
    <t>Norra Mellansverige</t>
  </si>
  <si>
    <t>Östra Mellansverige</t>
  </si>
  <si>
    <t>Övre Norrland</t>
  </si>
  <si>
    <t>Småland med öarna</t>
  </si>
  <si>
    <t>Stockholm</t>
  </si>
  <si>
    <t>Sydsverige</t>
  </si>
  <si>
    <t>Västsverige</t>
  </si>
  <si>
    <t>CHE</t>
  </si>
  <si>
    <t>Switzerland</t>
  </si>
  <si>
    <t>Aargau</t>
  </si>
  <si>
    <t>Appenzell A.Rh.</t>
  </si>
  <si>
    <t>Appenzell I.Rh.</t>
  </si>
  <si>
    <t>Basel</t>
  </si>
  <si>
    <t>Basel City</t>
  </si>
  <si>
    <t>Bern</t>
  </si>
  <si>
    <t>Fribourg</t>
  </si>
  <si>
    <t>Geneva</t>
  </si>
  <si>
    <t>Glarus</t>
  </si>
  <si>
    <t>Graubeunden</t>
  </si>
  <si>
    <t>Jura</t>
  </si>
  <si>
    <t>Lucerne</t>
  </si>
  <si>
    <t>Neuchatel</t>
  </si>
  <si>
    <t>Nidwalden</t>
  </si>
  <si>
    <t>Obwalden</t>
  </si>
  <si>
    <t>St.Gallen</t>
  </si>
  <si>
    <t>Schaffhausen</t>
  </si>
  <si>
    <t>Schwyz</t>
  </si>
  <si>
    <t>Solothurn</t>
  </si>
  <si>
    <t>Thurgau</t>
  </si>
  <si>
    <t>Ticino</t>
  </si>
  <si>
    <t>Uri</t>
  </si>
  <si>
    <t>Valais</t>
  </si>
  <si>
    <t>Vaud</t>
  </si>
  <si>
    <t>Zug</t>
  </si>
  <si>
    <t>Zurich</t>
  </si>
  <si>
    <t>SYR</t>
  </si>
  <si>
    <t>Syrian Arab Republic</t>
  </si>
  <si>
    <t>Al-Hasakeh</t>
  </si>
  <si>
    <t>Aleppo</t>
  </si>
  <si>
    <t>Ar-Raqqa</t>
  </si>
  <si>
    <t>As-Sweida</t>
  </si>
  <si>
    <t>Damascus</t>
  </si>
  <si>
    <t>Dar'a</t>
  </si>
  <si>
    <t>Deir-ez-Zor</t>
  </si>
  <si>
    <t>Hama</t>
  </si>
  <si>
    <t>Homs</t>
  </si>
  <si>
    <t>Idleb</t>
  </si>
  <si>
    <t>Lattakia</t>
  </si>
  <si>
    <t>Quneitra</t>
  </si>
  <si>
    <t>Rural Damascus</t>
  </si>
  <si>
    <t>Tartous</t>
  </si>
  <si>
    <t>TJK</t>
  </si>
  <si>
    <t>Tajikistan</t>
  </si>
  <si>
    <t>DRS</t>
  </si>
  <si>
    <t>Dushanbe</t>
  </si>
  <si>
    <t>GBAO</t>
  </si>
  <si>
    <t>Khatlon</t>
  </si>
  <si>
    <t>Sugd</t>
  </si>
  <si>
    <t>THA</t>
  </si>
  <si>
    <t>Thailand</t>
  </si>
  <si>
    <t>Amnat Charoen</t>
  </si>
  <si>
    <t>Ang Thong</t>
  </si>
  <si>
    <t>Bangkok</t>
  </si>
  <si>
    <t>Bueng Kan</t>
  </si>
  <si>
    <t>Buri Ram</t>
  </si>
  <si>
    <t>Chachoengsao</t>
  </si>
  <si>
    <t>Chai Nat</t>
  </si>
  <si>
    <t>Chaiyaphum</t>
  </si>
  <si>
    <t>Chanthaburi</t>
  </si>
  <si>
    <t>Chiang Mai</t>
  </si>
  <si>
    <t>Chiang Rai</t>
  </si>
  <si>
    <t>Chon Buri</t>
  </si>
  <si>
    <t>Chumphon</t>
  </si>
  <si>
    <t>Kalasin</t>
  </si>
  <si>
    <t>Kamphaeng Phet</t>
  </si>
  <si>
    <t>Kanchanaburi</t>
  </si>
  <si>
    <t>Khon Kaen</t>
  </si>
  <si>
    <t>Krabi</t>
  </si>
  <si>
    <t>Lampang</t>
  </si>
  <si>
    <t>Lamphun</t>
  </si>
  <si>
    <t>Loei</t>
  </si>
  <si>
    <t>Lop Buri</t>
  </si>
  <si>
    <t>Mae Hong Son</t>
  </si>
  <si>
    <t>Maha Sarakham</t>
  </si>
  <si>
    <t>Mukdahan</t>
  </si>
  <si>
    <t>Nakhon Nayok</t>
  </si>
  <si>
    <t>Nakhon Pathom</t>
  </si>
  <si>
    <t>Nakhon Phanom</t>
  </si>
  <si>
    <t>Nakhon Ratchasima</t>
  </si>
  <si>
    <t>Nakhon Sawan</t>
  </si>
  <si>
    <t>Nakhon Si Thammarat</t>
  </si>
  <si>
    <t>Nan</t>
  </si>
  <si>
    <t>Narathiwat</t>
  </si>
  <si>
    <t>Nong Bua Lam Phu</t>
  </si>
  <si>
    <t>Nong Khai</t>
  </si>
  <si>
    <t>Nonthaburi</t>
  </si>
  <si>
    <t>Pathum Thani</t>
  </si>
  <si>
    <t>Pattani</t>
  </si>
  <si>
    <t>Phangnga</t>
  </si>
  <si>
    <t>Phatthalung</t>
  </si>
  <si>
    <t>Phayao</t>
  </si>
  <si>
    <t>Phetchabun</t>
  </si>
  <si>
    <t>Phetchaburi</t>
  </si>
  <si>
    <t>Phichit</t>
  </si>
  <si>
    <t>Phitsanulok</t>
  </si>
  <si>
    <t>Phra Nakhon Si Ayutthaya</t>
  </si>
  <si>
    <t>Phrae</t>
  </si>
  <si>
    <t>Phuket</t>
  </si>
  <si>
    <t>Prachin Buri</t>
  </si>
  <si>
    <t>Prachuap Khiri Khan</t>
  </si>
  <si>
    <t>Ranong</t>
  </si>
  <si>
    <t>Ratchaburi</t>
  </si>
  <si>
    <t>Rayong</t>
  </si>
  <si>
    <t>Roi Et</t>
  </si>
  <si>
    <t>Sa Kaeo</t>
  </si>
  <si>
    <t>Sakon Nakhon</t>
  </si>
  <si>
    <t>Samut Prakan</t>
  </si>
  <si>
    <t>Samut Sakhon</t>
  </si>
  <si>
    <t>Samut Songkhram</t>
  </si>
  <si>
    <t>Saraburi</t>
  </si>
  <si>
    <t>Satun</t>
  </si>
  <si>
    <t>Si Sa Ket</t>
  </si>
  <si>
    <t>Sing Buri</t>
  </si>
  <si>
    <t>Songkhla</t>
  </si>
  <si>
    <t>Sukhothai</t>
  </si>
  <si>
    <t>Suphan Buri</t>
  </si>
  <si>
    <t>Surat Thani</t>
  </si>
  <si>
    <t>Surin</t>
  </si>
  <si>
    <t>Tak</t>
  </si>
  <si>
    <t>Trang</t>
  </si>
  <si>
    <t>Trat</t>
  </si>
  <si>
    <t>Ubon Ratchathani</t>
  </si>
  <si>
    <t>Udon Thani</t>
  </si>
  <si>
    <t>Uthai Thani</t>
  </si>
  <si>
    <t>Uttaradit</t>
  </si>
  <si>
    <t>Yala</t>
  </si>
  <si>
    <t>Yasothon</t>
  </si>
  <si>
    <t>GBR</t>
  </si>
  <si>
    <t>The United Kingdom</t>
  </si>
  <si>
    <t>England</t>
  </si>
  <si>
    <t>Northern Ireland</t>
  </si>
  <si>
    <t>Scotland</t>
  </si>
  <si>
    <t>Wales</t>
  </si>
  <si>
    <t>TLS</t>
  </si>
  <si>
    <t>Timor-Leste</t>
  </si>
  <si>
    <t>Aileu</t>
  </si>
  <si>
    <t>Ainaro</t>
  </si>
  <si>
    <t>Baucau</t>
  </si>
  <si>
    <t>Bobonaro</t>
  </si>
  <si>
    <t>Covalima</t>
  </si>
  <si>
    <t>Dili</t>
  </si>
  <si>
    <t>Ermera</t>
  </si>
  <si>
    <t>Lautem</t>
  </si>
  <si>
    <t>Liquiçá</t>
  </si>
  <si>
    <t>Manatuto</t>
  </si>
  <si>
    <t>Manufahi</t>
  </si>
  <si>
    <t>Oecussi</t>
  </si>
  <si>
    <t>Viqueque</t>
  </si>
  <si>
    <t>TGO</t>
  </si>
  <si>
    <t>Togo</t>
  </si>
  <si>
    <t>Centrale</t>
  </si>
  <si>
    <t>Kara</t>
  </si>
  <si>
    <t>Lomé-Commune</t>
  </si>
  <si>
    <t>Maritime</t>
  </si>
  <si>
    <t>Savanes</t>
  </si>
  <si>
    <t>TON</t>
  </si>
  <si>
    <t>Tonga</t>
  </si>
  <si>
    <t>Eua</t>
  </si>
  <si>
    <t>Ha'apai</t>
  </si>
  <si>
    <t>Tongatapu</t>
  </si>
  <si>
    <t>Vava'u</t>
  </si>
  <si>
    <t>Niuas</t>
  </si>
  <si>
    <t>TTO</t>
  </si>
  <si>
    <t>Trinidad and Tobago</t>
  </si>
  <si>
    <t>Arima</t>
  </si>
  <si>
    <t>Chaguanas</t>
  </si>
  <si>
    <t>Couva/Tabaquite/Talparo</t>
  </si>
  <si>
    <t>Diego Martin</t>
  </si>
  <si>
    <t>Penal/Debe</t>
  </si>
  <si>
    <t>Point Fortin</t>
  </si>
  <si>
    <t>Port Of Spain</t>
  </si>
  <si>
    <t>Princes Town</t>
  </si>
  <si>
    <t>Rio Claro/Mayaro</t>
  </si>
  <si>
    <t>San Fernando</t>
  </si>
  <si>
    <t>San Juan/Laventille</t>
  </si>
  <si>
    <t>Sangre Grande</t>
  </si>
  <si>
    <t>Siparia</t>
  </si>
  <si>
    <t>Tobago</t>
  </si>
  <si>
    <t>Tunapuna/Piarco</t>
  </si>
  <si>
    <t>TUN</t>
  </si>
  <si>
    <t>Tunisia</t>
  </si>
  <si>
    <t>Ariana</t>
  </si>
  <si>
    <t>Beja</t>
  </si>
  <si>
    <t>Ben-Arous</t>
  </si>
  <si>
    <t>Bizerte</t>
  </si>
  <si>
    <t>Gabes</t>
  </si>
  <si>
    <t>Gafsa</t>
  </si>
  <si>
    <t>Jendouba</t>
  </si>
  <si>
    <t>Kairouan</t>
  </si>
  <si>
    <t>Kasserine</t>
  </si>
  <si>
    <t>Kebili</t>
  </si>
  <si>
    <t>Kef</t>
  </si>
  <si>
    <t>Mahdia</t>
  </si>
  <si>
    <t>Manouba</t>
  </si>
  <si>
    <t>Medenine</t>
  </si>
  <si>
    <t>Monastir</t>
  </si>
  <si>
    <t>Nabeul</t>
  </si>
  <si>
    <t>Sfax</t>
  </si>
  <si>
    <t>Sidi-Bouzid</t>
  </si>
  <si>
    <t>Siliana</t>
  </si>
  <si>
    <t>Sousse</t>
  </si>
  <si>
    <t>Tataouine</t>
  </si>
  <si>
    <t>Tozeur</t>
  </si>
  <si>
    <t>Tunis</t>
  </si>
  <si>
    <t>Zaghouan</t>
  </si>
  <si>
    <t>TUR</t>
  </si>
  <si>
    <t>Türki̇ye</t>
  </si>
  <si>
    <t>Aegean</t>
  </si>
  <si>
    <t>Black Sea</t>
  </si>
  <si>
    <t>Central Anatolia</t>
  </si>
  <si>
    <t>Eastern Anatolia</t>
  </si>
  <si>
    <t>Marmara</t>
  </si>
  <si>
    <t>Mediterranean</t>
  </si>
  <si>
    <t>Southeastern Anatolia</t>
  </si>
  <si>
    <t>TKM</t>
  </si>
  <si>
    <t>Turkmenistan</t>
  </si>
  <si>
    <t>Ahal</t>
  </si>
  <si>
    <t>Ashgabat City</t>
  </si>
  <si>
    <t>Balkan</t>
  </si>
  <si>
    <t>Dashoguz</t>
  </si>
  <si>
    <t>Lebap</t>
  </si>
  <si>
    <t>Mary</t>
  </si>
  <si>
    <t>TUV</t>
  </si>
  <si>
    <t>Tuvalu</t>
  </si>
  <si>
    <t>Funafuti</t>
  </si>
  <si>
    <t>Nui</t>
  </si>
  <si>
    <t>Nukulaelae</t>
  </si>
  <si>
    <t>Nanumea</t>
  </si>
  <si>
    <t>Niutao</t>
  </si>
  <si>
    <t>Nukufetau</t>
  </si>
  <si>
    <t>Vaitupu</t>
  </si>
  <si>
    <t>UGA</t>
  </si>
  <si>
    <t>Uganda</t>
  </si>
  <si>
    <t>Acholi</t>
  </si>
  <si>
    <t>Ankole</t>
  </si>
  <si>
    <t>Bukedi</t>
  </si>
  <si>
    <t>Bunyoro</t>
  </si>
  <si>
    <t>Busoga</t>
  </si>
  <si>
    <t>Elgon</t>
  </si>
  <si>
    <t>Kampala</t>
  </si>
  <si>
    <t>Karamoja</t>
  </si>
  <si>
    <t>Kigezi</t>
  </si>
  <si>
    <t>Lango</t>
  </si>
  <si>
    <t>North Buganda</t>
  </si>
  <si>
    <t>South Buganda</t>
  </si>
  <si>
    <t>Teso</t>
  </si>
  <si>
    <t>Toro</t>
  </si>
  <si>
    <t>West Nile</t>
  </si>
  <si>
    <t>UKR</t>
  </si>
  <si>
    <t>Ukraine</t>
  </si>
  <si>
    <t>Avtonomna Respublika Krym</t>
  </si>
  <si>
    <t>Cherkaska</t>
  </si>
  <si>
    <t>Chernihivska</t>
  </si>
  <si>
    <t>Chernivetska</t>
  </si>
  <si>
    <t>Chornobylska Zona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</si>
  <si>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</si>
  <si>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</si>
  <si>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</si>
  <si>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</si>
  <si>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</si>
  <si>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</si>
  <si>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</si>
  <si>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Kyivska</t>
  </si>
  <si>
    <t>Luhanska</t>
  </si>
  <si>
    <t>Lvivska</t>
  </si>
  <si>
    <t>Misto Kyiv</t>
  </si>
  <si>
    <t>Misto Sevastopol</t>
  </si>
  <si>
    <t>Mykolaivska</t>
  </si>
  <si>
    <t>Odeska</t>
  </si>
  <si>
    <t>Poltavska</t>
  </si>
  <si>
    <t>Rivnenska</t>
  </si>
  <si>
    <t>Sumska</t>
  </si>
  <si>
    <t>Ternopilska</t>
  </si>
  <si>
    <t>Vinnytska</t>
  </si>
  <si>
    <t>Volynska</t>
  </si>
  <si>
    <t>Zakarpatska</t>
  </si>
  <si>
    <t>Zaporizka</t>
  </si>
  <si>
    <t>Zhytomyrska</t>
  </si>
  <si>
    <t>ARE</t>
  </si>
  <si>
    <t>United Arab Emirates</t>
  </si>
  <si>
    <t>Abu Dhabi</t>
  </si>
  <si>
    <t>Ajman</t>
  </si>
  <si>
    <t>Dubai</t>
  </si>
  <si>
    <t>Fujairah</t>
  </si>
  <si>
    <t>Rak</t>
  </si>
  <si>
    <t>Sharjah</t>
  </si>
  <si>
    <t>Uaq</t>
  </si>
  <si>
    <t>TZA</t>
  </si>
  <si>
    <t>United Republic of Tanzania</t>
  </si>
  <si>
    <t>Arusha</t>
  </si>
  <si>
    <t>Dar Es Salaam</t>
  </si>
  <si>
    <t>Dodoma</t>
  </si>
  <si>
    <t>Geita</t>
  </si>
  <si>
    <t>Iringa</t>
  </si>
  <si>
    <t>Kagera</t>
  </si>
  <si>
    <t>Kaskazini Pemba</t>
  </si>
  <si>
    <t>Kaskazini Unguja</t>
  </si>
  <si>
    <t>Katavi</t>
  </si>
  <si>
    <t>Kigoma</t>
  </si>
  <si>
    <t>Kilimanjaro</t>
  </si>
  <si>
    <t>Kusini Pemba</t>
  </si>
  <si>
    <t>Kusini Unguja</t>
  </si>
  <si>
    <t>Lindi</t>
  </si>
  <si>
    <t>Manyara</t>
  </si>
  <si>
    <t>Mara</t>
  </si>
  <si>
    <t>Mbeya</t>
  </si>
  <si>
    <t>Mjini Magharibi</t>
  </si>
  <si>
    <t>Morogoro</t>
  </si>
  <si>
    <t>Mtwara</t>
  </si>
  <si>
    <t>Mwanza</t>
  </si>
  <si>
    <t>Njombe</t>
  </si>
  <si>
    <t>Pwani</t>
  </si>
  <si>
    <t>Rukwa</t>
  </si>
  <si>
    <t>Ruvuma</t>
  </si>
  <si>
    <t>Shinyanga</t>
  </si>
  <si>
    <t>Simiyu</t>
  </si>
  <si>
    <t>Singida</t>
  </si>
  <si>
    <t>Songwe</t>
  </si>
  <si>
    <t>Tabora</t>
  </si>
  <si>
    <t>Tanga</t>
  </si>
  <si>
    <t>USA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</si>
  <si>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</si>
  <si>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</si>
  <si>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</si>
  <si>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</si>
  <si>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</si>
  <si>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</si>
  <si>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</si>
  <si>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</si>
  <si>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</si>
  <si>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</si>
  <si>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</si>
  <si>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</si>
  <si>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</si>
  <si>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</si>
  <si>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</si>
  <si>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</si>
  <si>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</si>
  <si>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</si>
  <si>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</si>
  <si>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</si>
  <si>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</si>
  <si>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</si>
  <si>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</si>
  <si>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</si>
  <si>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</si>
  <si>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</si>
  <si>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</si>
  <si>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</si>
  <si>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</si>
  <si>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</si>
  <si>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</si>
  <si>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</si>
  <si>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</si>
  <si>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</si>
  <si>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</si>
  <si>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</si>
  <si>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</si>
  <si>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</si>
  <si>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</si>
  <si>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</si>
  <si>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</si>
  <si>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</si>
  <si>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</si>
  <si>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</si>
  <si>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</si>
  <si>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</si>
  <si>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</si>
  <si>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</si>
  <si>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</si>
  <si>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URY</t>
  </si>
  <si>
    <t>Uruguay</t>
  </si>
  <si>
    <t>Artigas</t>
  </si>
  <si>
    <t>Canelones</t>
  </si>
  <si>
    <t>Cerro Largo</t>
  </si>
  <si>
    <t>Colonia</t>
  </si>
  <si>
    <t>Durazno</t>
  </si>
  <si>
    <t>Flores</t>
  </si>
  <si>
    <t>Lavalleja</t>
  </si>
  <si>
    <t>Maldonado</t>
  </si>
  <si>
    <t>Montevideo</t>
  </si>
  <si>
    <t>Paysandu</t>
  </si>
  <si>
    <t>Rivera</t>
  </si>
  <si>
    <t>Rocha</t>
  </si>
  <si>
    <t>Salto</t>
  </si>
  <si>
    <t>Soriano</t>
  </si>
  <si>
    <t>Tacuarembo</t>
  </si>
  <si>
    <t>Treinta Y Tres</t>
  </si>
  <si>
    <t>UZB</t>
  </si>
  <si>
    <t>Uzbekistan</t>
  </si>
  <si>
    <t>Andijan</t>
  </si>
  <si>
    <t>Bukhara</t>
  </si>
  <si>
    <t>Fergana</t>
  </si>
  <si>
    <t>Jizzakh</t>
  </si>
  <si>
    <t>Karakalpakstan</t>
  </si>
  <si>
    <t>Kashkadarya</t>
  </si>
  <si>
    <t>Khorezm</t>
  </si>
  <si>
    <t>Namangan</t>
  </si>
  <si>
    <t>Navoi</t>
  </si>
  <si>
    <t>Samarkand</t>
  </si>
  <si>
    <t>Surkhandarya</t>
  </si>
  <si>
    <t>Syrdarya</t>
  </si>
  <si>
    <t>Tashkent</t>
  </si>
  <si>
    <t>Tashkent City</t>
  </si>
  <si>
    <t>VUT</t>
  </si>
  <si>
    <t>Vanuatu</t>
  </si>
  <si>
    <t>Malampa</t>
  </si>
  <si>
    <t>Penama</t>
  </si>
  <si>
    <t>Sanma</t>
  </si>
  <si>
    <t>Shefa</t>
  </si>
  <si>
    <t>Tafea</t>
  </si>
  <si>
    <t>Torba</t>
  </si>
  <si>
    <t>VEN</t>
  </si>
  <si>
    <t>Venezuela (Bolivarian Republic of)</t>
  </si>
  <si>
    <t>Anzoategui</t>
  </si>
  <si>
    <t>Apure</t>
  </si>
  <si>
    <t>Aragua</t>
  </si>
  <si>
    <t>Barinas</t>
  </si>
  <si>
    <t>Carabobo</t>
  </si>
  <si>
    <t>Cojedes</t>
  </si>
  <si>
    <t>Delta Amacuro</t>
  </si>
  <si>
    <t>Falcon</t>
  </si>
  <si>
    <t>Guarico</t>
  </si>
  <si>
    <t>Lara</t>
  </si>
  <si>
    <t>Merida</t>
  </si>
  <si>
    <t>Miranda</t>
  </si>
  <si>
    <t>Monagas</t>
  </si>
  <si>
    <t>Nueva Esparta</t>
  </si>
  <si>
    <t>Portuguesa</t>
  </si>
  <si>
    <t>Tachira</t>
  </si>
  <si>
    <t>Trujillo</t>
  </si>
  <si>
    <t>Vargas</t>
  </si>
  <si>
    <t>Yaracuy</t>
  </si>
  <si>
    <t>Zulia</t>
  </si>
  <si>
    <t>VNM</t>
  </si>
  <si>
    <t>Viet Nam</t>
  </si>
  <si>
    <t>An Giang</t>
  </si>
  <si>
    <t>Bà Rịa - Vũng Tàu</t>
  </si>
  <si>
    <t>Bắc Giang</t>
  </si>
  <si>
    <t>Bắc Kạn</t>
  </si>
  <si>
    <t>Bạc Liêu</t>
  </si>
  <si>
    <t>Bắc Ninh</t>
  </si>
  <si>
    <t>Bến Tre</t>
  </si>
  <si>
    <t>Bình Định</t>
  </si>
  <si>
    <t>Bình Dương</t>
  </si>
  <si>
    <t>Bình Phước</t>
  </si>
  <si>
    <t>Bình Thuận</t>
  </si>
  <si>
    <t>Cà Mau</t>
  </si>
  <si>
    <t>Cần Thơ</t>
  </si>
  <si>
    <t>Cao Bằng</t>
  </si>
  <si>
    <t>Đà Nẵng</t>
  </si>
  <si>
    <t>Đắk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</si>
  <si>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</si>
  <si>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</si>
  <si>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</si>
  <si>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</si>
  <si>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</si>
  <si>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</si>
  <si>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</si>
  <si>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</si>
  <si>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</si>
  <si>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Hải Dương</t>
  </si>
  <si>
    <t>Hải Phòng</t>
  </si>
  <si>
    <t>Hậu Giang</t>
  </si>
  <si>
    <t>Hồ Chí Minh</t>
  </si>
  <si>
    <t>Hoà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</si>
  <si>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</si>
  <si>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</si>
  <si>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</si>
  <si>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</si>
  <si>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</si>
  <si>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</si>
  <si>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</si>
  <si>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</si>
  <si>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</si>
  <si>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</si>
  <si>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</si>
  <si>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</si>
  <si>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</si>
  <si>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</si>
  <si>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</si>
  <si>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</si>
  <si>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</si>
  <si>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</si>
  <si>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</si>
  <si>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</si>
  <si>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</si>
  <si>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</si>
  <si>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</si>
  <si>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</si>
  <si>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</si>
  <si>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</si>
  <si>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 Huế</t>
  </si>
  <si>
    <t>Tiền Giang</t>
  </si>
  <si>
    <t>Trà Vinh</t>
  </si>
  <si>
    <t>Tuyên Quang</t>
  </si>
  <si>
    <t>Vĩnh Long</t>
  </si>
  <si>
    <t>Vĩnh Phúc</t>
  </si>
  <si>
    <t>Yên Bái</t>
  </si>
  <si>
    <t>YEM</t>
  </si>
  <si>
    <t>Yemen</t>
  </si>
  <si>
    <t>Abyan</t>
  </si>
  <si>
    <t>Aden</t>
  </si>
  <si>
    <t>Albaidah</t>
  </si>
  <si>
    <t>Aldhale</t>
  </si>
  <si>
    <t>Alhudaidah</t>
  </si>
  <si>
    <t>Aljawf</t>
  </si>
  <si>
    <t>Almahara</t>
  </si>
  <si>
    <t>Almahaweet</t>
  </si>
  <si>
    <t>Amran</t>
  </si>
  <si>
    <t>Dhamar</t>
  </si>
  <si>
    <t>Hadramoat Almukllaa</t>
  </si>
  <si>
    <t>Hadramoat Sayeun</t>
  </si>
  <si>
    <t>Hajjah</t>
  </si>
  <si>
    <t>Ibb</t>
  </si>
  <si>
    <t>Lahaj</t>
  </si>
  <si>
    <t>Marib</t>
  </si>
  <si>
    <t>Rimah</t>
  </si>
  <si>
    <t>Saadah</t>
  </si>
  <si>
    <t>Sanaa</t>
  </si>
  <si>
    <t>Sanaa City</t>
  </si>
  <si>
    <t>Shabwah</t>
  </si>
  <si>
    <t>Souqatra</t>
  </si>
  <si>
    <t>Taiz</t>
  </si>
  <si>
    <t>ZMB</t>
  </si>
  <si>
    <t>Zambia</t>
  </si>
  <si>
    <t>Copperbelt</t>
  </si>
  <si>
    <t>Luapula</t>
  </si>
  <si>
    <t>Lusaka</t>
  </si>
  <si>
    <t>Muchinga</t>
  </si>
  <si>
    <t>North Western</t>
  </si>
  <si>
    <t>ZWE</t>
  </si>
  <si>
    <t>Zimbabwe</t>
  </si>
  <si>
    <t>Bulawayo</t>
  </si>
  <si>
    <t>Harare</t>
  </si>
  <si>
    <t>Manicaland</t>
  </si>
  <si>
    <t>Mashonaland Central</t>
  </si>
  <si>
    <t>Mashonaland East</t>
  </si>
  <si>
    <t>Mashonaland West</t>
  </si>
  <si>
    <t>Masvingo</t>
  </si>
  <si>
    <t>Matabeleland North</t>
  </si>
  <si>
    <t>Matebeleland South</t>
  </si>
  <si>
    <t>Midlands</t>
  </si>
  <si>
    <t>Include</t>
  </si>
  <si>
    <t>Rationale</t>
  </si>
  <si>
    <t>Indicator Weight</t>
  </si>
  <si>
    <t>Overall Weight</t>
  </si>
  <si>
    <t>ISO3</t>
  </si>
  <si>
    <r>
      <t>Description</t>
    </r>
    <r>
      <rPr>
        <sz val="11"/>
        <color theme="1"/>
        <rFont val="Calibri"/>
        <family val="2"/>
      </rPr>
      <t xml:space="preserve">: </t>
    </r>
  </si>
  <si>
    <t>Details:</t>
  </si>
  <si>
    <r>
      <rPr>
        <sz val="11"/>
        <rFont val="Aptos Narrow"/>
        <family val="2"/>
        <scheme val="minor"/>
      </rPr>
      <t>© WHO 2026. Some rights reserved. This work is available under the</t>
    </r>
    <r>
      <rPr>
        <u/>
        <sz val="11"/>
        <color theme="10"/>
        <rFont val="Aptos Narrow"/>
        <family val="2"/>
        <scheme val="minor"/>
      </rPr>
      <t xml:space="preserve"> CC BY-NC-SA 3.0 IGO licence.</t>
    </r>
  </si>
  <si>
    <t>WHO/filepath</t>
  </si>
  <si>
    <t>Instuctions: For each question, input your answer to briefly address the question.</t>
  </si>
  <si>
    <t>Coping Capacity</t>
  </si>
  <si>
    <t>Final</t>
  </si>
  <si>
    <t>Deprecated</t>
  </si>
  <si>
    <t>Which indicators are relevant, available, and appropriate to include?</t>
  </si>
  <si>
    <t>Data Available</t>
  </si>
  <si>
    <t>Data Source</t>
  </si>
  <si>
    <t>Comments</t>
  </si>
  <si>
    <t>2. Host Country</t>
  </si>
  <si>
    <t xml:space="preserve">3. WHO Region </t>
  </si>
  <si>
    <t>4. Date of Risk Assessment</t>
  </si>
  <si>
    <t>5. Assessment Team Members and Role (i.e. leader etc.)</t>
  </si>
  <si>
    <t xml:space="preserve">Step 1. Describe Your Acute Emergency </t>
  </si>
  <si>
    <t>1. Acute Emergency Name</t>
  </si>
  <si>
    <t xml:space="preserve">6. Description of Acute Emergency </t>
  </si>
  <si>
    <t>Step 2. Define Indicators</t>
  </si>
  <si>
    <t>Indicator ID</t>
  </si>
  <si>
    <t>adm0</t>
  </si>
  <si>
    <t>adm1</t>
  </si>
  <si>
    <t>Filename / URL</t>
  </si>
  <si>
    <t>indicator_id</t>
  </si>
  <si>
    <t>score</t>
  </si>
  <si>
    <t>last_updated</t>
  </si>
  <si>
    <t>Step 4. Define Weights</t>
  </si>
  <si>
    <t>How should the relative importance of each Pillar and Indicator be weighted?</t>
  </si>
  <si>
    <t>Sum</t>
  </si>
  <si>
    <t>TOTAL</t>
  </si>
  <si>
    <t>Step 4B. Define Indicator Weights</t>
  </si>
  <si>
    <r>
      <t xml:space="preserve">Step 4A. Define Pillar Weights
</t>
    </r>
    <r>
      <rPr>
        <b/>
        <sz val="11"/>
        <color theme="1"/>
        <rFont val="Calibri"/>
        <family val="2"/>
      </rPr>
      <t>(must sum to 100%)</t>
    </r>
  </si>
  <si>
    <r>
      <t xml:space="preserve">Step 4C. Validate Indicator Weights
</t>
    </r>
    <r>
      <rPr>
        <b/>
        <sz val="11"/>
        <color theme="1"/>
        <rFont val="Calibri"/>
        <family val="2"/>
      </rPr>
      <t>(must sum to 100%)</t>
    </r>
  </si>
  <si>
    <t>Overall Weight:</t>
  </si>
  <si>
    <t>Step 6. Review Composite Pillar Matrix</t>
  </si>
  <si>
    <t>weight</t>
  </si>
  <si>
    <t>Step 5. Review Weighted Indicator Scores</t>
  </si>
  <si>
    <t>Step 3. Enter Indicator Scores</t>
  </si>
  <si>
    <t>Country / Territory</t>
  </si>
  <si>
    <t>Subnational Level</t>
  </si>
  <si>
    <t>This sheet provides the list of subnational areas available for each country.
It is used as a reference for location selection elsewhere in the workbook.</t>
  </si>
  <si>
    <t>sort_order</t>
  </si>
  <si>
    <t>pillars</t>
  </si>
  <si>
    <t>boolean_flag</t>
  </si>
  <si>
    <t>is_terminal</t>
  </si>
  <si>
    <t>status</t>
  </si>
  <si>
    <t>status_list</t>
  </si>
  <si>
    <t>pillar_list</t>
  </si>
  <si>
    <t>IND_VUL_02</t>
  </si>
  <si>
    <t>IND_VUL_01</t>
  </si>
  <si>
    <t>IND_VUL_03</t>
  </si>
  <si>
    <t>IND_VUL_04</t>
  </si>
  <si>
    <t>IND_VUL_05</t>
  </si>
  <si>
    <t>IND_VUL_06</t>
  </si>
  <si>
    <t>IND_EXP_01</t>
  </si>
  <si>
    <t>IND_VUL_07</t>
  </si>
  <si>
    <t>IND_COP_01</t>
  </si>
  <si>
    <t>IND_COP_02</t>
  </si>
  <si>
    <t>IND_COP_03</t>
  </si>
  <si>
    <t>IND_COP_04</t>
  </si>
  <si>
    <t>IND_COP_05</t>
  </si>
  <si>
    <t>IND_COP_06</t>
  </si>
  <si>
    <t>IND_COP_07</t>
  </si>
  <si>
    <t>IND_COP_08</t>
  </si>
  <si>
    <t>IND_COP_09</t>
  </si>
  <si>
    <t>IND_COP_10</t>
  </si>
  <si>
    <r>
      <t>This workbook provides a quantitative framework for assessing public health risk related to extreme temperature conditions in acute emergency settings.</t>
    </r>
    <r>
      <rPr>
        <b/>
        <sz val="11"/>
        <color theme="1"/>
        <rFont val="Calibri"/>
        <family val="2"/>
      </rPr>
      <t xml:space="preserve"> It is designed to support operational preparedness and response planning across different climates and seasonal contexts, enabling analysts to examine how exposure, vulnerability, and coping capacity interact to shape subnational-level risk.</t>
    </r>
    <r>
      <rPr>
        <sz val="11"/>
        <color theme="1"/>
        <rFont val="Calibri"/>
        <family val="2"/>
      </rPr>
      <t xml:space="preserve"> The tool applies a composite indicator methodology, allowing users to replicate, adapt, and iterate the model for repeated assessments or for use in other settings.
To inform preparedness and response decision-making, the model integrates multiple indicators drawn from environmental, demographic, socioeconomic, and health-related datasets. These indicators are organized under three analytical pillars:
</t>
    </r>
    <r>
      <rPr>
        <b/>
        <sz val="11"/>
        <color theme="1"/>
        <rFont val="Calibri"/>
        <family val="2"/>
      </rPr>
      <t>Exposure</t>
    </r>
    <r>
      <rPr>
        <sz val="11"/>
        <color theme="1"/>
        <rFont val="Calibri"/>
        <family val="2"/>
      </rPr>
      <t xml:space="preserve"> – e.g. climate and environmental factors
</t>
    </r>
    <r>
      <rPr>
        <b/>
        <sz val="11"/>
        <color theme="1"/>
        <rFont val="Calibri"/>
        <family val="2"/>
      </rPr>
      <t>Vulnerability</t>
    </r>
    <r>
      <rPr>
        <sz val="11"/>
        <color theme="1"/>
        <rFont val="Calibri"/>
        <family val="2"/>
      </rPr>
      <t xml:space="preserve"> – e.g. population characteristics and socioeconomic conditions
</t>
    </r>
    <r>
      <rPr>
        <b/>
        <sz val="11"/>
        <color theme="1"/>
        <rFont val="Calibri"/>
        <family val="2"/>
      </rPr>
      <t>Coping Capacity</t>
    </r>
    <r>
      <rPr>
        <sz val="11"/>
        <color theme="1"/>
        <rFont val="Calibri"/>
        <family val="2"/>
      </rPr>
      <t xml:space="preserve"> – e.g. access to services, institutional resilience, and infrastructure-related factors
Each indicator contributes to an overall subnational-level score reflecting relative risk. By adjusting indicator selection and weighting, analysts can explore alternative risk configurations and assess the sensitivity of results under different assumptions.</t>
    </r>
  </si>
  <si>
    <r>
      <t xml:space="preserve">The tool includes the following tabs:
</t>
    </r>
    <r>
      <rPr>
        <b/>
        <sz val="11"/>
        <color theme="1"/>
        <rFont val="Calibri"/>
        <family val="2"/>
      </rPr>
      <t xml:space="preserve">1. Describe Your Acute Emergency </t>
    </r>
    <r>
      <rPr>
        <sz val="11"/>
        <color theme="1"/>
        <rFont val="Calibri"/>
        <family val="2"/>
      </rPr>
      <t xml:space="preserve">– Define the emergency context, including location, time of assessment, and team.
</t>
    </r>
    <r>
      <rPr>
        <b/>
        <sz val="11"/>
        <color theme="1"/>
        <rFont val="Calibri"/>
        <family val="2"/>
      </rPr>
      <t xml:space="preserve">2. Define Indicators </t>
    </r>
    <r>
      <rPr>
        <sz val="11"/>
        <color theme="1"/>
        <rFont val="Calibri"/>
        <family val="2"/>
      </rPr>
      <t xml:space="preserve">– Select indicators for each pillar. Document your sources, assess data availability, and record decisions about what to include or exclude.
</t>
    </r>
    <r>
      <rPr>
        <b/>
        <sz val="11"/>
        <color theme="1"/>
        <rFont val="Calibri"/>
        <family val="2"/>
      </rPr>
      <t>3. Enter Indicator Scores</t>
    </r>
    <r>
      <rPr>
        <sz val="11"/>
        <color theme="1"/>
        <rFont val="Calibri"/>
        <family val="2"/>
      </rPr>
      <t xml:space="preserve"> – Input normalized scores for each indicator at the sub-national level.
</t>
    </r>
    <r>
      <rPr>
        <b/>
        <sz val="11"/>
        <color theme="1"/>
        <rFont val="Calibri"/>
        <family val="2"/>
      </rPr>
      <t>4. Define Weights</t>
    </r>
    <r>
      <rPr>
        <sz val="11"/>
        <color theme="1"/>
        <rFont val="Calibri"/>
        <family val="2"/>
      </rPr>
      <t xml:space="preserve"> – Assign relative weights to each indicator based on analytical priorities or expert judgment.
</t>
    </r>
    <r>
      <rPr>
        <b/>
        <sz val="11"/>
        <color theme="1"/>
        <rFont val="Calibri"/>
        <family val="2"/>
      </rPr>
      <t>5. Weighted Indicator Scores</t>
    </r>
    <r>
      <rPr>
        <sz val="11"/>
        <color theme="1"/>
        <rFont val="Calibri"/>
        <family val="2"/>
      </rPr>
      <t xml:space="preserve"> – Review the calculated weighted scores for each indicator.
</t>
    </r>
    <r>
      <rPr>
        <b/>
        <sz val="11"/>
        <color theme="1"/>
        <rFont val="Calibri"/>
        <family val="2"/>
      </rPr>
      <t>6. Composite Risk Scores</t>
    </r>
    <r>
      <rPr>
        <sz val="11"/>
        <color theme="1"/>
        <rFont val="Calibri"/>
        <family val="2"/>
      </rPr>
      <t xml:space="preserve"> – View the final subnational-level risk scores and explore results. Export result for mapping in R or GIS.</t>
    </r>
  </si>
  <si>
    <t xml:space="preserve">What is the context of your acute emergency?
</t>
  </si>
  <si>
    <t>What are the indicator scores for each subnational area?</t>
  </si>
  <si>
    <t>How do weights affect each indicator's contribution to the risk level?</t>
  </si>
  <si>
    <t>What is the overall risk level for each subnational area?</t>
  </si>
  <si>
    <t>Composite 
Risk Score</t>
  </si>
  <si>
    <t>Concept</t>
  </si>
  <si>
    <t>Data Source Identified</t>
  </si>
  <si>
    <t>Normalization Defined</t>
  </si>
  <si>
    <r>
      <t xml:space="preserve">Before getting started:
- Modify only the designated input cells (highlighted in </t>
    </r>
    <r>
      <rPr>
        <b/>
        <sz val="11"/>
        <color theme="1"/>
        <rFont val="Calibri"/>
        <family val="2"/>
      </rPr>
      <t>light grey</t>
    </r>
    <r>
      <rPr>
        <sz val="11"/>
        <color theme="1"/>
        <rFont val="Calibri"/>
        <family val="2"/>
      </rPr>
      <t>). Do not rename or delete tabs, headers, or key column; inter-sheet formulas depend on these structures.
- Verify that all weights sum to 1.00 (or 100%) before interpreting results.
- Save a copy before making structural edits to protect dependencies.</t>
    </r>
  </si>
  <si>
    <t>Instructions:
For each indicator, document the following:
- Data availability: Indicate whether data exists and is accessible.
- Source details: Specify the origin of the data.
- Analytical choices: Describe how the data will be processed, including normalization or transformation (e.g., scaling, binning).
- Include column: Indicate whether the indicator should be incorporated into the model based on relevance, data quality, and uniqueness.
Guidance for review and additions:
- Ensure each indicator provides distinct, meaningful information; avoid duplication.
- Engage experts on the ground or in the field to validate that each indicator matters and that no key indicators are missing.
- To propose a new indicator, add a new row.
- To rename an existing indicator, edit the label only.
- Do not reuse an existing indicator row for a different concept.</t>
  </si>
  <si>
    <t>Instructions: 
For each indicator selected (marked "Include" in Step 2), enter scores for every subnational unit.
Guidance for filling the values:
- Use normalized scores for comparability across indicators.
- Ensure consistent directionality (e.g., higher scores should indicate higher risk).
- Leave cells blank only if data is unavailable; document any gaps in Step 2.</t>
  </si>
  <si>
    <t>Instructions:
- Assign a weight to each pillar and to each indicator.
- Pillar weights must sum to 1.00 overall.
- Indicator weights must sum to 1.00 within each pillar.
Guidance on weighting:
- If no strong basis exists for differentiation, start with equal weights.
- Adjust weights based on expert judgment, local knowledge, or sensitivity analysis.
- Document your rationale for any weighting decisions in Step 2.</t>
  </si>
  <si>
    <t>Instuctions:
- This tab calculates automatically based on your inputs in Steps 3 and 4.
- Review the weighted scores to verify that indicator values and weights have been applied correctly. No manual input is required.</t>
  </si>
  <si>
    <t>Instructions:
- This tab calculates automatically based on your inputs in previous steps.
- Review the final scores for each subnational unit, including Pillar scores (Exposure, Vulnerability, Coping Capacity) and composite risk score combining all three pillars.
- Use these results to identify high-risk areas and inform preparedness and response planning.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</si>
</sst>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26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rgb="FF000000"/>
      <name val="Calibri"/>
      <family val="2"/>
    </font>
    <font>
      <sz val="8"/>
      <name val="Aptos Narrow"/>
      <family val="2"/>
      <scheme val="minor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Aptos Narrow"/>
    </font>
    <font>
      <sz val="12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 tint="4.9989318521683403E-2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b/>
      <i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00ACA4"/>
        <bgColor indexed="64"/>
      </patternFill>
    </fill>
    <fill>
      <patternFill patternType="solid">
        <fgColor rgb="FFF5A623"/>
        <bgColor indexed="64"/>
      </patternFill>
    </fill>
    <fill>
      <patternFill patternType="solid">
        <fgColor rgb="FF6CC24A"/>
        <bgColor indexed="64"/>
      </patternFill>
    </fill>
    <fill>
      <patternFill patternType="solid">
        <fgColor rgb="FFFFFFFF"/>
        <bgColor rgb="FF000000"/>
      </patternFill>
    </fill>
  </fills>
  <borders count="58">
    <border>
      <start/>
      <end/>
      <top/>
      <bottom/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theme="1"/>
      </start>
      <end/>
      <top style="medium">
        <color theme="1"/>
      </top>
      <bottom/>
      <diagonal/>
    </border>
    <border>
      <start/>
      <end/>
      <top style="medium">
        <color theme="1"/>
      </top>
      <bottom/>
      <diagonal/>
    </border>
    <border>
      <start/>
      <end style="medium">
        <color theme="1"/>
      </end>
      <top style="medium">
        <color theme="1"/>
      </top>
      <bottom/>
      <diagonal/>
    </border>
    <border>
      <start style="medium">
        <color theme="1"/>
      </start>
      <end/>
      <top/>
      <bottom/>
      <diagonal/>
    </border>
    <border>
      <start/>
      <end style="medium">
        <color theme="1"/>
      </end>
      <top/>
      <bottom/>
      <diagonal/>
    </border>
    <border>
      <start/>
      <end/>
      <top/>
      <bottom style="thin">
        <color theme="1"/>
      </bottom>
      <diagonal/>
    </border>
    <border>
      <start style="thin">
        <color theme="1"/>
      </start>
      <end style="thin">
        <color theme="1"/>
      </end>
      <top style="thin">
        <color theme="1"/>
      </top>
      <bottom style="thin">
        <color theme="1"/>
      </bottom>
      <diagonal/>
    </border>
    <border>
      <start style="thin">
        <color theme="1"/>
      </start>
      <end/>
      <top style="thin">
        <color theme="1"/>
      </top>
      <bottom style="thin">
        <color theme="1"/>
      </bottom>
      <diagonal/>
    </border>
    <border>
      <start/>
      <end/>
      <top style="thin">
        <color theme="1"/>
      </top>
      <bottom style="thin">
        <color theme="1"/>
      </bottom>
      <diagonal/>
    </border>
    <border>
      <start/>
      <end style="thin">
        <color theme="1"/>
      </end>
      <top style="thin">
        <color theme="1"/>
      </top>
      <bottom style="thin">
        <color theme="1"/>
      </bottom>
      <diagonal/>
    </border>
    <border>
      <start style="medium">
        <color theme="1"/>
      </start>
      <end/>
      <top/>
      <bottom style="medium">
        <color theme="1"/>
      </bottom>
      <diagonal/>
    </border>
    <border>
      <start/>
      <end/>
      <top/>
      <bottom style="medium">
        <color theme="1"/>
      </bottom>
      <diagonal/>
    </border>
    <border>
      <start/>
      <end style="medium">
        <color theme="1"/>
      </end>
      <top/>
      <bottom style="medium">
        <color theme="1"/>
      </bottom>
      <diagonal/>
    </border>
    <border>
      <start style="medium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double">
        <color indexed="64"/>
      </bottom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/>
      <end/>
      <top style="medium">
        <color indexed="64"/>
      </top>
      <bottom/>
      <diagonal/>
    </border>
    <border>
      <start style="thin">
        <color indexed="64"/>
      </start>
      <end style="double">
        <color indexed="64"/>
      </end>
      <top style="medium">
        <color indexed="64"/>
      </top>
      <bottom style="medium">
        <color indexed="64"/>
      </bottom>
      <diagonal/>
    </border>
    <border>
      <start/>
      <end/>
      <top/>
      <bottom style="double">
        <color indexed="64"/>
      </bottom>
      <diagonal/>
    </border>
    <border>
      <start style="double">
        <color indexed="64"/>
      </start>
      <end/>
      <top/>
      <bottom/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/>
      <end/>
      <top style="double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</cellStyleXfs>
  <cellXfs count="188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textRotation="90"/>
    </xf>
    <xf numFmtId="0" fontId="4" fillId="2" borderId="0" xfId="0" applyFont="1" applyFill="1" applyAlignment="1">
      <alignment horizontal="center" textRotation="90" wrapText="1"/>
    </xf>
    <xf numFmtId="16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5" fillId="0" borderId="0" xfId="2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2" fillId="2" borderId="0" xfId="0" applyFont="1" applyFill="1" applyAlignment="1">
      <alignment wrapText="1"/>
    </xf>
    <xf numFmtId="0" fontId="7" fillId="2" borderId="24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7" fillId="2" borderId="25" xfId="0" applyFont="1" applyFill="1" applyBorder="1" applyAlignment="1">
      <alignment horizontal="left" wrapText="1"/>
    </xf>
    <xf numFmtId="0" fontId="2" fillId="2" borderId="24" xfId="0" applyFont="1" applyFill="1" applyBorder="1"/>
    <xf numFmtId="0" fontId="2" fillId="2" borderId="25" xfId="0" applyFont="1" applyFill="1" applyBorder="1"/>
    <xf numFmtId="0" fontId="11" fillId="2" borderId="27" xfId="0" applyFont="1" applyFill="1" applyBorder="1"/>
    <xf numFmtId="0" fontId="11" fillId="2" borderId="27" xfId="0" applyFont="1" applyFill="1" applyBorder="1" applyAlignment="1">
      <alignment wrapText="1"/>
    </xf>
    <xf numFmtId="0" fontId="2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2" fillId="3" borderId="15" xfId="0" applyFont="1" applyFill="1" applyBorder="1" applyAlignment="1" applyProtection="1">
      <alignment horizontal="left" vertical="center" wrapText="1"/>
      <protection locked="0"/>
    </xf>
    <xf numFmtId="0" fontId="2" fillId="3" borderId="4" xfId="0" applyFont="1" applyFill="1" applyBorder="1" applyAlignment="1" applyProtection="1">
      <alignment horizontal="left" vertical="center" wrapText="1"/>
      <protection locked="0"/>
    </xf>
    <xf numFmtId="0" fontId="2" fillId="3" borderId="19" xfId="0" applyFont="1" applyFill="1" applyBorder="1" applyAlignment="1" applyProtection="1">
      <alignment horizontal="left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16" xfId="0" applyFont="1" applyFill="1" applyBorder="1" applyAlignment="1" applyProtection="1">
      <alignment horizontal="left" vertical="center" wrapText="1"/>
      <protection locked="0"/>
    </xf>
    <xf numFmtId="0" fontId="2" fillId="3" borderId="17" xfId="0" applyFont="1" applyFill="1" applyBorder="1" applyAlignment="1" applyProtection="1">
      <alignment horizontal="left" vertical="center" wrapText="1"/>
      <protection locked="0"/>
    </xf>
    <xf numFmtId="0" fontId="2" fillId="3" borderId="20" xfId="0" applyFont="1" applyFill="1" applyBorder="1" applyAlignment="1" applyProtection="1">
      <alignment horizontal="left" vertical="center" wrapText="1"/>
      <protection locked="0"/>
    </xf>
    <xf numFmtId="0" fontId="2" fillId="3" borderId="12" xfId="0" applyFont="1" applyFill="1" applyBorder="1" applyAlignment="1" applyProtection="1">
      <alignment horizontal="center" vertical="center" wrapText="1"/>
      <protection locked="0"/>
    </xf>
    <xf numFmtId="0" fontId="2" fillId="3" borderId="10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textRotation="45" wrapText="1"/>
    </xf>
    <xf numFmtId="0" fontId="5" fillId="0" borderId="0" xfId="2" applyAlignment="1">
      <alignment horizontal="left" vertical="top"/>
    </xf>
    <xf numFmtId="0" fontId="0" fillId="2" borderId="0" xfId="0" applyFill="1"/>
    <xf numFmtId="0" fontId="13" fillId="2" borderId="4" xfId="0" applyFont="1" applyFill="1" applyBorder="1"/>
    <xf numFmtId="0" fontId="13" fillId="2" borderId="19" xfId="0" applyFont="1" applyFill="1" applyBorder="1"/>
    <xf numFmtId="0" fontId="3" fillId="2" borderId="4" xfId="0" applyFont="1" applyFill="1" applyBorder="1"/>
    <xf numFmtId="0" fontId="3" fillId="2" borderId="19" xfId="0" applyFont="1" applyFill="1" applyBorder="1"/>
    <xf numFmtId="0" fontId="13" fillId="2" borderId="17" xfId="0" applyFont="1" applyFill="1" applyBorder="1"/>
    <xf numFmtId="0" fontId="13" fillId="2" borderId="20" xfId="0" applyFont="1" applyFill="1" applyBorder="1"/>
    <xf numFmtId="0" fontId="13" fillId="2" borderId="9" xfId="0" applyFont="1" applyFill="1" applyBorder="1"/>
    <xf numFmtId="0" fontId="13" fillId="2" borderId="35" xfId="0" applyFont="1" applyFill="1" applyBorder="1"/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4" fillId="2" borderId="10" xfId="0" applyFont="1" applyFill="1" applyBorder="1"/>
    <xf numFmtId="0" fontId="14" fillId="2" borderId="4" xfId="0" applyFont="1" applyFill="1" applyBorder="1"/>
    <xf numFmtId="0" fontId="2" fillId="2" borderId="4" xfId="0" applyFont="1" applyFill="1" applyBorder="1"/>
    <xf numFmtId="22" fontId="14" fillId="2" borderId="11" xfId="0" applyNumberFormat="1" applyFont="1" applyFill="1" applyBorder="1"/>
    <xf numFmtId="0" fontId="2" fillId="2" borderId="0" xfId="0" applyFont="1" applyFill="1" applyAlignment="1">
      <alignment horizontal="center"/>
    </xf>
    <xf numFmtId="0" fontId="2" fillId="2" borderId="0" xfId="3" applyFont="1" applyFill="1" applyAlignment="1">
      <alignment horizontal="center" vertical="center"/>
    </xf>
    <xf numFmtId="0" fontId="4" fillId="2" borderId="0" xfId="0" applyFont="1" applyFill="1" applyAlignment="1">
      <alignment textRotation="90" wrapText="1"/>
    </xf>
    <xf numFmtId="0" fontId="7" fillId="2" borderId="0" xfId="0" applyFont="1" applyFill="1"/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165" fontId="2" fillId="3" borderId="19" xfId="1" applyNumberFormat="1" applyFont="1" applyFill="1" applyBorder="1" applyAlignment="1">
      <alignment vertical="center"/>
    </xf>
    <xf numFmtId="0" fontId="2" fillId="6" borderId="15" xfId="0" applyFont="1" applyFill="1" applyBorder="1" applyAlignment="1">
      <alignment vertical="center"/>
    </xf>
    <xf numFmtId="0" fontId="2" fillId="7" borderId="43" xfId="0" applyFont="1" applyFill="1" applyBorder="1" applyAlignment="1">
      <alignment vertical="center"/>
    </xf>
    <xf numFmtId="165" fontId="2" fillId="3" borderId="44" xfId="1" applyNumberFormat="1" applyFont="1" applyFill="1" applyBorder="1" applyAlignment="1">
      <alignment vertical="center"/>
    </xf>
    <xf numFmtId="0" fontId="2" fillId="2" borderId="45" xfId="0" applyFont="1" applyFill="1" applyBorder="1" applyAlignment="1">
      <alignment vertical="center"/>
    </xf>
    <xf numFmtId="165" fontId="2" fillId="2" borderId="46" xfId="1" applyNumberFormat="1" applyFont="1" applyFill="1" applyBorder="1" applyAlignment="1">
      <alignment vertical="center"/>
    </xf>
    <xf numFmtId="0" fontId="4" fillId="2" borderId="18" xfId="0" applyFont="1" applyFill="1" applyBorder="1"/>
    <xf numFmtId="0" fontId="2" fillId="7" borderId="16" xfId="0" applyFont="1" applyFill="1" applyBorder="1" applyAlignment="1">
      <alignment vertical="center"/>
    </xf>
    <xf numFmtId="2" fontId="2" fillId="2" borderId="0" xfId="1" applyNumberFormat="1" applyFont="1" applyFill="1" applyBorder="1" applyAlignment="1">
      <alignment vertical="center" wrapText="1"/>
    </xf>
    <xf numFmtId="165" fontId="2" fillId="2" borderId="0" xfId="1" applyNumberFormat="1" applyFont="1" applyFill="1" applyAlignment="1">
      <alignment vertical="center"/>
    </xf>
    <xf numFmtId="165" fontId="2" fillId="2" borderId="0" xfId="1" applyNumberFormat="1" applyFont="1" applyFill="1"/>
    <xf numFmtId="165" fontId="2" fillId="4" borderId="0" xfId="1" applyNumberFormat="1" applyFont="1" applyFill="1" applyAlignment="1">
      <alignment vertical="center"/>
    </xf>
    <xf numFmtId="0" fontId="4" fillId="2" borderId="0" xfId="0" applyFont="1" applyFill="1" applyAlignment="1">
      <alignment wrapText="1"/>
    </xf>
    <xf numFmtId="165" fontId="4" fillId="2" borderId="0" xfId="1" applyNumberFormat="1" applyFont="1" applyFill="1" applyAlignment="1">
      <alignment horizontal="center" wrapText="1"/>
    </xf>
    <xf numFmtId="2" fontId="2" fillId="2" borderId="0" xfId="1" applyNumberFormat="1" applyFont="1" applyFill="1" applyAlignment="1">
      <alignment horizontal="center" vertical="center"/>
    </xf>
    <xf numFmtId="2" fontId="2" fillId="2" borderId="0" xfId="1" applyNumberFormat="1" applyFont="1" applyFill="1" applyAlignment="1">
      <alignment horizontal="center" vertical="center" wrapText="1"/>
    </xf>
    <xf numFmtId="2" fontId="2" fillId="2" borderId="0" xfId="1" applyNumberFormat="1" applyFont="1" applyFill="1" applyAlignment="1">
      <alignment horizontal="center"/>
    </xf>
    <xf numFmtId="0" fontId="4" fillId="5" borderId="37" xfId="0" applyFont="1" applyFill="1" applyBorder="1" applyAlignment="1">
      <alignment vertical="center"/>
    </xf>
    <xf numFmtId="0" fontId="4" fillId="6" borderId="37" xfId="0" applyFont="1" applyFill="1" applyBorder="1" applyAlignment="1">
      <alignment vertical="center"/>
    </xf>
    <xf numFmtId="0" fontId="2" fillId="2" borderId="0" xfId="0" applyFont="1" applyFill="1" applyAlignment="1">
      <alignment horizontal="center" textRotation="45"/>
    </xf>
    <xf numFmtId="0" fontId="4" fillId="2" borderId="0" xfId="0" applyFont="1" applyFill="1" applyAlignment="1">
      <alignment horizontal="center" textRotation="45"/>
    </xf>
    <xf numFmtId="165" fontId="2" fillId="2" borderId="19" xfId="1" applyNumberFormat="1" applyFont="1" applyFill="1" applyBorder="1"/>
    <xf numFmtId="165" fontId="2" fillId="2" borderId="20" xfId="1" applyNumberFormat="1" applyFont="1" applyFill="1" applyBorder="1"/>
    <xf numFmtId="0" fontId="4" fillId="2" borderId="36" xfId="0" applyFont="1" applyFill="1" applyBorder="1" applyAlignment="1">
      <alignment horizontal="left" vertical="center"/>
    </xf>
    <xf numFmtId="0" fontId="4" fillId="2" borderId="37" xfId="0" applyFont="1" applyFill="1" applyBorder="1" applyAlignment="1">
      <alignment horizontal="left" vertical="center"/>
    </xf>
    <xf numFmtId="0" fontId="4" fillId="2" borderId="37" xfId="0" applyFont="1" applyFill="1" applyBorder="1"/>
    <xf numFmtId="0" fontId="4" fillId="2" borderId="38" xfId="0" applyFont="1" applyFill="1" applyBorder="1"/>
    <xf numFmtId="0" fontId="13" fillId="2" borderId="34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left"/>
    </xf>
    <xf numFmtId="0" fontId="4" fillId="0" borderId="0" xfId="0" applyFont="1"/>
    <xf numFmtId="2" fontId="4" fillId="2" borderId="0" xfId="0" applyNumberFormat="1" applyFont="1" applyFill="1" applyAlignment="1">
      <alignment textRotation="90" wrapText="1"/>
    </xf>
    <xf numFmtId="2" fontId="2" fillId="2" borderId="0" xfId="0" applyNumberFormat="1" applyFont="1" applyFill="1" applyAlignment="1">
      <alignment horizontal="center"/>
    </xf>
    <xf numFmtId="0" fontId="4" fillId="0" borderId="1" xfId="0" applyFont="1" applyBorder="1"/>
    <xf numFmtId="0" fontId="2" fillId="0" borderId="49" xfId="0" applyFont="1" applyBorder="1"/>
    <xf numFmtId="0" fontId="2" fillId="0" borderId="9" xfId="0" applyFont="1" applyBorder="1"/>
    <xf numFmtId="0" fontId="2" fillId="0" borderId="48" xfId="0" applyFont="1" applyBorder="1"/>
    <xf numFmtId="0" fontId="2" fillId="0" borderId="8" xfId="0" applyFont="1" applyBorder="1"/>
    <xf numFmtId="0" fontId="2" fillId="0" borderId="47" xfId="0" applyFont="1" applyBorder="1"/>
    <xf numFmtId="0" fontId="2" fillId="0" borderId="6" xfId="0" applyFont="1" applyBorder="1"/>
    <xf numFmtId="0" fontId="4" fillId="0" borderId="6" xfId="0" applyFont="1" applyBorder="1"/>
    <xf numFmtId="0" fontId="4" fillId="0" borderId="8" xfId="0" applyFont="1" applyBorder="1"/>
    <xf numFmtId="0" fontId="0" fillId="2" borderId="7" xfId="0" applyFill="1" applyBorder="1"/>
    <xf numFmtId="0" fontId="0" fillId="2" borderId="12" xfId="0" applyFill="1" applyBorder="1"/>
    <xf numFmtId="0" fontId="0" fillId="2" borderId="5" xfId="0" applyFill="1" applyBorder="1"/>
    <xf numFmtId="0" fontId="18" fillId="2" borderId="8" xfId="0" applyFont="1" applyFill="1" applyBorder="1"/>
    <xf numFmtId="0" fontId="18" fillId="2" borderId="9" xfId="0" applyFont="1" applyFill="1" applyBorder="1"/>
    <xf numFmtId="0" fontId="12" fillId="2" borderId="9" xfId="0" applyFont="1" applyFill="1" applyBorder="1"/>
    <xf numFmtId="0" fontId="12" fillId="2" borderId="6" xfId="0" applyFont="1" applyFill="1" applyBorder="1"/>
    <xf numFmtId="0" fontId="12" fillId="2" borderId="8" xfId="0" applyFont="1" applyFill="1" applyBorder="1"/>
    <xf numFmtId="0" fontId="12" fillId="2" borderId="2" xfId="0" applyFont="1" applyFill="1" applyBorder="1" applyAlignment="1" applyProtection="1">
      <alignment vertical="center" wrapText="1"/>
      <protection hidden="1"/>
    </xf>
    <xf numFmtId="0" fontId="2" fillId="2" borderId="50" xfId="0" applyFont="1" applyFill="1" applyBorder="1" applyAlignment="1" applyProtection="1">
      <alignment horizontal="left" vertical="center" wrapText="1"/>
      <protection hidden="1"/>
    </xf>
    <xf numFmtId="0" fontId="2" fillId="2" borderId="51" xfId="0" applyFont="1" applyFill="1" applyBorder="1" applyAlignment="1" applyProtection="1">
      <alignment horizontal="left" vertical="center" wrapText="1"/>
      <protection hidden="1"/>
    </xf>
    <xf numFmtId="0" fontId="4" fillId="2" borderId="41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 wrapText="1"/>
    </xf>
    <xf numFmtId="0" fontId="4" fillId="2" borderId="37" xfId="0" applyFont="1" applyFill="1" applyBorder="1" applyAlignment="1">
      <alignment vertical="center"/>
    </xf>
    <xf numFmtId="0" fontId="4" fillId="2" borderId="38" xfId="0" applyFont="1" applyFill="1" applyBorder="1" applyAlignment="1">
      <alignment vertical="center"/>
    </xf>
    <xf numFmtId="0" fontId="2" fillId="0" borderId="2" xfId="0" applyFont="1" applyBorder="1" applyAlignment="1">
      <alignment vertical="top" wrapText="1"/>
    </xf>
    <xf numFmtId="0" fontId="3" fillId="8" borderId="0" xfId="0" applyFont="1" applyFill="1"/>
    <xf numFmtId="0" fontId="8" fillId="2" borderId="0" xfId="0" applyFont="1" applyFill="1" applyAlignment="1">
      <alignment vertical="top" wrapText="1"/>
    </xf>
    <xf numFmtId="0" fontId="2" fillId="2" borderId="26" xfId="0" applyFont="1" applyFill="1" applyBorder="1" applyAlignment="1">
      <alignment vertical="top"/>
    </xf>
    <xf numFmtId="0" fontId="2" fillId="2" borderId="26" xfId="0" applyFont="1" applyFill="1" applyBorder="1" applyAlignment="1">
      <alignment vertical="top" wrapText="1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vertical="center"/>
    </xf>
    <xf numFmtId="0" fontId="4" fillId="7" borderId="53" xfId="0" applyFont="1" applyFill="1" applyBorder="1" applyAlignment="1">
      <alignment vertical="center"/>
    </xf>
    <xf numFmtId="0" fontId="2" fillId="2" borderId="54" xfId="0" applyFont="1" applyFill="1" applyBorder="1" applyAlignment="1">
      <alignment horizontal="right"/>
    </xf>
    <xf numFmtId="0" fontId="4" fillId="2" borderId="55" xfId="0" applyFont="1" applyFill="1" applyBorder="1"/>
    <xf numFmtId="0" fontId="4" fillId="2" borderId="56" xfId="0" applyFont="1" applyFill="1" applyBorder="1" applyAlignment="1">
      <alignment vertical="center" wrapText="1"/>
    </xf>
    <xf numFmtId="164" fontId="2" fillId="2" borderId="57" xfId="0" applyNumberFormat="1" applyFont="1" applyFill="1" applyBorder="1" applyAlignment="1">
      <alignment horizontal="right"/>
    </xf>
    <xf numFmtId="17" fontId="2" fillId="3" borderId="4" xfId="0" applyNumberFormat="1" applyFont="1" applyFill="1" applyBorder="1" applyAlignment="1" applyProtection="1">
      <alignment horizontal="left" vertical="center" wrapText="1"/>
      <protection locked="0"/>
    </xf>
    <xf numFmtId="0" fontId="4" fillId="0" borderId="47" xfId="0" applyFont="1" applyBorder="1"/>
    <xf numFmtId="0" fontId="4" fillId="0" borderId="48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3" xfId="0" applyFont="1" applyBorder="1" applyAlignment="1">
      <alignment vertical="top" wrapText="1"/>
    </xf>
    <xf numFmtId="0" fontId="19" fillId="2" borderId="0" xfId="0" applyFont="1" applyFill="1"/>
    <xf numFmtId="0" fontId="4" fillId="2" borderId="0" xfId="0" applyFont="1" applyFill="1" applyAlignment="1">
      <alignment textRotation="45"/>
    </xf>
    <xf numFmtId="0" fontId="19" fillId="0" borderId="0" xfId="0" applyFont="1" applyAlignment="1">
      <alignment horizontal="left" vertical="center" wrapText="1"/>
    </xf>
    <xf numFmtId="17" fontId="11" fillId="3" borderId="28" xfId="0" applyNumberFormat="1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1" fillId="3" borderId="30" xfId="0" applyFont="1" applyFill="1" applyBorder="1" applyAlignment="1">
      <alignment horizontal="left" vertical="center"/>
    </xf>
    <xf numFmtId="17" fontId="11" fillId="3" borderId="28" xfId="0" applyNumberFormat="1" applyFont="1" applyFill="1" applyBorder="1" applyAlignment="1">
      <alignment horizontal="left" vertical="top" wrapText="1"/>
    </xf>
    <xf numFmtId="0" fontId="11" fillId="3" borderId="29" xfId="0" applyFont="1" applyFill="1" applyBorder="1" applyAlignment="1">
      <alignment horizontal="left" vertical="top" wrapText="1"/>
    </xf>
    <xf numFmtId="0" fontId="11" fillId="3" borderId="30" xfId="0" applyFont="1" applyFill="1" applyBorder="1" applyAlignment="1">
      <alignment horizontal="left" vertical="top" wrapText="1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left" wrapText="1"/>
    </xf>
    <xf numFmtId="0" fontId="11" fillId="3" borderId="28" xfId="0" applyFont="1" applyFill="1" applyBorder="1" applyAlignment="1">
      <alignment horizontal="left"/>
    </xf>
    <xf numFmtId="0" fontId="11" fillId="3" borderId="29" xfId="0" applyFont="1" applyFill="1" applyBorder="1" applyAlignment="1">
      <alignment horizontal="left"/>
    </xf>
    <xf numFmtId="0" fontId="11" fillId="3" borderId="30" xfId="0" applyFont="1" applyFill="1" applyBorder="1" applyAlignment="1">
      <alignment horizontal="left"/>
    </xf>
    <xf numFmtId="0" fontId="11" fillId="3" borderId="28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2" fontId="16" fillId="2" borderId="39" xfId="0" applyNumberFormat="1" applyFont="1" applyFill="1" applyBorder="1" applyAlignment="1">
      <alignment horizontal="center" wrapText="1"/>
    </xf>
    <xf numFmtId="2" fontId="16" fillId="2" borderId="40" xfId="0" applyNumberFormat="1" applyFont="1" applyFill="1" applyBorder="1" applyAlignment="1">
      <alignment horizontal="center"/>
    </xf>
    <xf numFmtId="0" fontId="16" fillId="2" borderId="39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2" fillId="2" borderId="0" xfId="0" applyFont="1" applyFill="1" applyAlignment="1">
      <alignment horizontal="left" wrapText="1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</cellXfs>
  <cellStyles count="4">
    <cellStyle name="Hyperlink" xfId="2" builtinId="8"/>
    <cellStyle name="Normal" xfId="0" builtinId="0"/>
    <cellStyle name="Normal 2" xfId="3" xr:uid="{25E6AB59-D6AC-7448-ACCB-897BB726151A}"/>
    <cellStyle name="Percent" xfId="1" builtinId="5"/>
  </cellStyles>
  <dxfs count="93"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ACA4"/>
        </patternFill>
      </fill>
    </dxf>
    <dxf>
      <fill>
        <patternFill>
          <bgColor rgb="FFF5A623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5F5F5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</border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F5A623"/>
        </patternFill>
      </fill>
    </dxf>
    <dxf>
      <fill>
        <patternFill>
          <bgColor rgb="FF00ACA4"/>
        </patternFill>
      </fill>
    </dxf>
    <dxf>
      <fill>
        <patternFill patternType="none">
          <bgColor auto="1"/>
        </patternFill>
      </fill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F5F5"/>
        </patternFill>
      </fill>
      <border>
        <start style="thin">
          <color theme="2" tint="-0.499984740745262"/>
        </start>
        <end style="thin">
          <color theme="2" tint="-0.499984740745262"/>
        </end>
        <top style="thin">
          <color theme="2" tint="-0.499984740745262"/>
        </top>
        <bottom style="thin">
          <color theme="2" tint="-0.499984740745262"/>
        </bottom>
      </border>
    </dxf>
    <dxf>
      <fill>
        <patternFill>
          <bgColor rgb="FFF5F5F5"/>
        </patternFill>
      </fill>
      <border>
        <start style="thin">
          <color theme="2" tint="-0.499984740745262"/>
        </start>
        <end style="thin">
          <color theme="2" tint="-0.499984740745262"/>
        </end>
        <top style="thin">
          <color theme="2" tint="-0.499984740745262"/>
        </top>
        <bottom style="thin">
          <color theme="2" tint="-0.499984740745262"/>
        </bottom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border>
        <start style="thin">
          <color auto="1"/>
        </start>
        <end style="thin">
          <color auto="1"/>
        </end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start/>
        <end/>
        <top/>
        <bottom/>
        <vertical/>
        <horizontal/>
      </border>
    </dxf>
    <dxf>
      <fill>
        <patternFill>
          <bgColor rgb="FF00ACA4"/>
        </patternFill>
      </fill>
    </dxf>
    <dxf>
      <fill>
        <patternFill>
          <bgColor rgb="FFF5A623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ill>
        <patternFill>
          <bgColor rgb="FF6CC24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fgColor auto="1"/>
          <bgColor rgb="FF00ACA4"/>
        </patternFill>
      </fill>
    </dxf>
    <dxf>
      <fill>
        <patternFill>
          <fgColor auto="1"/>
          <bgColor rgb="FFF5A623"/>
        </patternFill>
      </fill>
    </dxf>
    <dxf>
      <fill>
        <patternFill>
          <fgColor auto="1"/>
          <bgColor rgb="FF6CC24A"/>
        </patternFill>
      </fill>
    </dxf>
    <dxf>
      <fill>
        <patternFill>
          <fgColor auto="1"/>
          <bgColor rgb="FF6CC24A"/>
        </patternFill>
      </fill>
    </dxf>
    <dxf>
      <fill>
        <patternFill>
          <fgColor auto="1"/>
          <bgColor rgb="FF6CC24A"/>
        </patternFill>
      </fill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start/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/>
        <end style="thin">
          <color indexed="64"/>
        </end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  <border diagonalUp="0" diagonalDown="0" outline="0">
        <start style="thin">
          <color indexed="64"/>
        </start>
        <end style="medium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start style="medium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>
          <fgColor indexed="64"/>
          <bgColor theme="0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start/>
        <end style="thin">
          <color indexed="64"/>
        </end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 outline="0">
        <start style="thin">
          <color indexed="64"/>
        </start>
        <end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1" indent="0" justifyLastLine="0" shrinkToFit="0" readingOrder="0"/>
      <border diagonalUp="0" diagonalDown="0">
        <start style="medium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start style="medium">
          <color indexed="64"/>
        </start>
        <end style="medium">
          <color indexed="64"/>
        </end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1" hidden="1"/>
    </dxf>
    <dxf>
      <border diagonalUp="0" diagonalDown="0">
        <start style="medium">
          <color indexed="64"/>
        </start>
        <end style="medium">
          <color indexed="64"/>
        </end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start style="thin">
          <color indexed="64"/>
        </start>
        <end style="thin">
          <color indexed="64"/>
        </end>
        <top/>
        <bottom/>
      </border>
    </dxf>
  </dxfs>
  <tableStyles count="0" defaultTableStyle="TableStyleMedium2" defaultPivotStyle="PivotStyleMedium9"/>
  <colors>
    <mruColors>
      <color rgb="FFF8696B"/>
      <color rgb="FFFFEB84"/>
      <color rgb="FF63BE7B"/>
      <color rgb="FFF5F5F5"/>
      <color rgb="FF6CC24A"/>
      <color rgb="FFF5A623"/>
      <color rgb="FF00ACA4"/>
      <color rgb="FFE6E6E6"/>
      <color rgb="FFFAFAFA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tyles" Target="styles.xml"/><Relationship Id="rId18" Type="http://schemas.microsoft.com/office/2017/06/relationships/rdRichValueTypes" Target="richData/rdRichValueType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theme" Target="theme/theme1.xml"/><Relationship Id="rId17" Type="http://schemas.microsoft.com/office/2017/06/relationships/rdRichValueStructure" Target="richData/rdrichvaluestructure.xml"/><Relationship Id="rId2" Type="http://purl.oclc.org/ooxml/officeDocument/relationships/worksheet" Target="worksheets/sheet2.xml"/><Relationship Id="rId16" Type="http://schemas.microsoft.com/office/2017/06/relationships/rdRichValue" Target="richData/rdrichvalue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eetMetadata" Target="metadata.xml"/><Relationship Id="rId10" Type="http://purl.oclc.org/ooxml/officeDocument/relationships/worksheet" Target="worksheets/sheet10.xml"/><Relationship Id="rId19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jpe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1</xdr:col>
      <xdr:colOff>1452789</xdr:colOff>
      <xdr:row>0</xdr:row>
      <xdr:rowOff>141112</xdr:rowOff>
    </xdr:from>
    <xdr:to>
      <xdr:col>1</xdr:col>
      <xdr:colOff>2704847</xdr:colOff>
      <xdr:row>0</xdr:row>
      <xdr:rowOff>539246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DCD281-3B81-8243-900F-F575156FB32D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9297" y="141112"/>
          <a:ext cx="1252058" cy="398134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purl.oclc.org/ooxml/spreadsheetml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E22A9FD3-4ECE-534E-81B3-FF3C332D127A}" name="tbl_define_indicators" displayName="tbl_define_indicators" ref="B6:N24" totalsRowShown="0" headerRowDxfId="92" dataDxfId="91" tableBorderDxfId="90">
  <autoFilter ref="B6:N24" xr:uid="{E22A9FD3-4ECE-534E-81B3-FF3C332D127A}"/>
  <tableColumns count="13">
    <tableColumn id="1" xr3:uid="{EF3D15E3-54B3-9B4E-A25E-281B9E39B78D}" name="Indicator ID" dataDxfId="89">
      <calculatedColumnFormula array="1">"IND_" &amp;
_xlfn.SWITCH(E7,
  "Exposure","EXP",
  "Vulnerability","VUL",
  "Coping Capacity","COP",
  "UNK"
) &amp;
"_" &amp;
TEXT(
  COUNTIF($E$7:E7, E7),
"00")</calculatedColumnFormula>
    </tableColumn>
    <tableColumn id="2" xr3:uid="{D4FCDF09-AB9B-DF4D-8F85-236A3F6EB6F9}" name="Indicator" dataDxfId="88"/>
    <tableColumn id="3" xr3:uid="{2ED5313E-1C7E-934F-9B7A-EBC14F72A387}" name="Subpillar" dataDxfId="87"/>
    <tableColumn id="4" xr3:uid="{610518C8-3C5C-2145-B843-59C09CF16E48}" name="Pillar" dataDxfId="86"/>
    <tableColumn id="5" xr3:uid="{E91AAAD0-3C68-0041-BC25-A8A991F10DC0}" name="Data Available" dataDxfId="85"/>
    <tableColumn id="6" xr3:uid="{C8217902-FFC9-8343-9A7B-1A4B90576F89}" name="Data Source" dataDxfId="84"/>
    <tableColumn id="13" xr3:uid="{D1725CF3-AF5A-7C4B-A4E8-CAFAC3C33C38}" name="Filename / URL" dataDxfId="83"/>
    <tableColumn id="7" xr3:uid="{9070A342-90FE-754D-81E5-2D8E322D947A}" name="Time Period" dataDxfId="82"/>
    <tableColumn id="8" xr3:uid="{AC513A54-3D0F-9548-9125-DB967673E1F7}" name="Include" dataDxfId="81"/>
    <tableColumn id="9" xr3:uid="{01FA129F-BBD9-AE4B-B8E3-371888E2C72E}" name="Rationale" dataDxfId="80"/>
    <tableColumn id="10" xr3:uid="{E0F2B41D-549F-8A45-9EAB-BB3315A21998}" name="Normalization Procedure" dataDxfId="79"/>
    <tableColumn id="11" xr3:uid="{E9F8642C-F1E5-FA4B-A1AE-0FF0B976DFBA}" name="Status" dataDxfId="78"/>
    <tableColumn id="12" xr3:uid="{1161F85D-B23B-8E42-BE5E-9E42578655E9}" name="Comments" dataDxfId="77"/>
  </tableColumns>
  <tableStyleInfo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8" xr:uid="{2D8EFD0B-4ECB-DF4D-9CB0-7E67CF9E00E1}" name="tbl_geo" displayName="tbl_geo" ref="B4:D3130" totalsRowShown="0" headerRowDxfId="76" dataDxfId="74" headerRowBorderDxfId="75">
  <autoFilter ref="B4:D3130" xr:uid="{2D8EFD0B-4ECB-DF4D-9CB0-7E67CF9E00E1}"/>
  <tableColumns count="3">
    <tableColumn id="1" xr3:uid="{883EFCC1-630D-F54A-945B-38412EAEF9EA}" name="ISO3" dataDxfId="73"/>
    <tableColumn id="3" xr3:uid="{F13DB2CA-15C7-2847-94DF-1F662CD40FD7}" name="Country / Territory" dataDxfId="72"/>
    <tableColumn id="5" xr3:uid="{91EC8D27-AE53-F746-B175-A086D7E33F8F}" name="Subnational Level" dataDxfId="71"/>
  </tableColumns>
  <tableStyleInfo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600AFF20-5A90-BE4E-BC65-C8D52C9D7F23}" name="tbl_indicator_scores" displayName="tbl_indicator_scores" ref="A1:E477" totalsRowShown="0" headerRowDxfId="70" dataDxfId="68" headerRowBorderDxfId="69" tableBorderDxfId="67" totalsRowBorderDxfId="66">
  <autoFilter ref="A1:E477" xr:uid="{600AFF20-5A90-BE4E-BC65-C8D52C9D7F23}">
    <filterColumn colId="2">
      <filters>
        <filter val="IND_VUL_02"/>
      </filters>
    </filterColumn>
  </autoFilter>
  <sortState xmlns:xlrd2="http://schemas.microsoft.com/office/spreadsheetml/2017/richdata2" ref="A2:E477">
    <sortCondition ref="B1:B477"/>
  </sortState>
  <tableColumns count="5">
    <tableColumn id="1" xr3:uid="{3353FFD9-F0EB-5543-9CF1-693FE8551436}" name="adm0" dataDxfId="65"/>
    <tableColumn id="2" xr3:uid="{DE97B160-9105-BE44-B22C-1B0EAFDFBEBA}" name="adm1" dataDxfId="64"/>
    <tableColumn id="3" xr3:uid="{04DFACE2-B598-584C-98D9-DF0813EAA0DB}" name="indicator_id" dataDxfId="63"/>
    <tableColumn id="5" xr3:uid="{521DD961-7700-1545-B0E8-151F3CE71936}" name="score" dataDxfId="62"/>
    <tableColumn id="4" xr3:uid="{28068673-5F65-5441-97F6-E28774AEE32A}" name="last_updated" dataDxfId="61"/>
  </tableColumns>
  <tableStyleInfo showFirstColumn="0" showLastColumn="0" showRowStripes="1" showColumnStripes="0"/>
</table>
</file>

<file path=xl/tables/table4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7" xr:uid="{AC1ECCD1-3A8D-F948-8221-80940FE5C76E}" name="Table7" displayName="Table7" ref="A1:E2" insertRow="1" totalsRowShown="0" headerRowDxfId="60" dataDxfId="58" headerRowBorderDxfId="59" tableBorderDxfId="57" totalsRowBorderDxfId="56">
  <autoFilter ref="A1:E2" xr:uid="{AC1ECCD1-3A8D-F948-8221-80940FE5C76E}"/>
  <tableColumns count="5">
    <tableColumn id="1" xr3:uid="{478C201F-D553-EC4A-8E40-F3B666D72FC8}" name="adm0" dataDxfId="55"/>
    <tableColumn id="2" xr3:uid="{AC6C08B7-304C-AE4E-B2B5-8A1849D49441}" name="adm1" dataDxfId="54"/>
    <tableColumn id="3" xr3:uid="{7E3EF082-FF94-DD43-9C96-EEF21CE3B576}" name="indicator_id" dataDxfId="53"/>
    <tableColumn id="4" xr3:uid="{F135627D-E6F2-C34E-B4C6-7DC53FBA7E4A}" name="weight" dataDxfId="52"/>
    <tableColumn id="5" xr3:uid="{F65A8856-0490-5341-BFA9-0CCA2DB7958B}" name="last_updated" dataDxfId="51"/>
  </tableColumns>
  <tableStyleInfo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hyperlink" Target="https://creativecommons.org/licenses/by-nc-sa/3.0/igo/" TargetMode="Externa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hyperlink" Target="https://creativecommons.org/licenses/by-nc-sa/3.0/igo/" TargetMode="Externa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hyperlink" Target="https://creativecommons.org/licenses/by-nc-sa/3.0/igo/" TargetMode="Externa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purl.oclc.org/ooxml/officeDocument/relationships/table" Target="../tables/table4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0A47-96CE-B347-ABFD-A95FCB3100A5}">
  <sheetPr codeName="Sheet1"/>
  <dimension ref="B1:B10"/>
  <sheetViews>
    <sheetView tabSelected="1" zoomScale="165" workbookViewId="0">
      <selection activeCell="A2" sqref="A2"/>
    </sheetView>
  </sheetViews>
  <sheetFormatPr baseColWidth="10" defaultRowHeight="15" x14ac:dyDescent="0.2"/>
  <cols>
    <col min="1" max="1" width="8" style="1" customWidth="1"/>
    <col min="2" max="2" width="66.33203125" style="3" customWidth="1"/>
    <col min="3" max="16384" width="10.83203125" style="1"/>
  </cols>
  <sheetData>
    <row r="1" spans="2:2" ht="59" customHeight="1" x14ac:dyDescent="0.2">
      <c r="B1" s="2"/>
    </row>
    <row r="2" spans="2:2" ht="17" thickBot="1" x14ac:dyDescent="0.25">
      <c r="B2" s="15" t="s">
        <v>3348</v>
      </c>
    </row>
    <row r="3" spans="2:2" ht="305" customHeight="1" thickBot="1" x14ac:dyDescent="0.25">
      <c r="B3" s="17" t="s">
        <v>3415</v>
      </c>
    </row>
    <row r="5" spans="2:2" ht="17" thickBot="1" x14ac:dyDescent="0.25">
      <c r="B5" s="16" t="s">
        <v>3349</v>
      </c>
    </row>
    <row r="6" spans="2:2" ht="186" customHeight="1" x14ac:dyDescent="0.2">
      <c r="B6" s="138" t="s">
        <v>3416</v>
      </c>
    </row>
    <row r="7" spans="2:2" ht="81" thickBot="1" x14ac:dyDescent="0.25">
      <c r="B7" s="155" t="s">
        <v>3425</v>
      </c>
    </row>
    <row r="9" spans="2:2" x14ac:dyDescent="0.2">
      <c r="B9" s="1" t="s">
        <v>3351</v>
      </c>
    </row>
    <row r="10" spans="2:2" ht="32" x14ac:dyDescent="0.2">
      <c r="B10" s="18" t="s">
        <v>3350</v>
      </c>
    </row>
  </sheetData>
  <hyperlinks>
    <hyperlink ref="B10" r:id="rId1" display="https://creativecommons.org/licenses/by-nc-sa/3.0/igo/" xr:uid="{20BEC13A-13D7-C64A-8325-CEECAF453C48}"/>
  </hyperlinks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18C3-C347-B742-A9D0-ACAF8E681C33}">
  <sheetPr codeName="Sheet2"/>
  <dimension ref="A1:P17"/>
  <sheetViews>
    <sheetView zoomScale="143" workbookViewId="0">
      <selection activeCell="A2" sqref="A2"/>
    </sheetView>
  </sheetViews>
  <sheetFormatPr baseColWidth="10" defaultColWidth="10.83203125" defaultRowHeight="15" x14ac:dyDescent="0.2"/>
  <cols>
    <col min="1" max="1" width="4.83203125" style="6" customWidth="1"/>
    <col min="2" max="2" width="3.5" style="6" customWidth="1"/>
    <col min="3" max="3" width="31" style="6" customWidth="1"/>
    <col min="4" max="15" width="10.83203125" style="6"/>
    <col min="16" max="16" width="4.1640625" style="6" customWidth="1"/>
    <col min="17" max="16384" width="10.83203125" style="6"/>
  </cols>
  <sheetData>
    <row r="1" spans="1:16" ht="16" thickBot="1" x14ac:dyDescent="0.25">
      <c r="A1" s="156" t="b">
        <f>$D$6&lt;&gt;""</f>
        <v>0</v>
      </c>
    </row>
    <row r="2" spans="1:16" s="27" customFormat="1" ht="34" x14ac:dyDescent="0.4">
      <c r="B2" s="165" t="s">
        <v>3364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7"/>
    </row>
    <row r="3" spans="1:16" s="27" customFormat="1" ht="19" customHeight="1" x14ac:dyDescent="0.4">
      <c r="B3" s="28"/>
      <c r="C3" s="143" t="s">
        <v>3417</v>
      </c>
      <c r="D3" s="140"/>
      <c r="E3" s="140"/>
      <c r="F3" s="140"/>
      <c r="G3" s="140"/>
      <c r="H3" s="140"/>
      <c r="I3" s="29"/>
      <c r="J3" s="29"/>
      <c r="K3" s="29"/>
      <c r="L3" s="29"/>
      <c r="M3" s="29"/>
      <c r="N3" s="29"/>
      <c r="O3" s="29"/>
      <c r="P3" s="30"/>
    </row>
    <row r="4" spans="1:16" ht="31" customHeight="1" x14ac:dyDescent="0.2">
      <c r="B4" s="31"/>
      <c r="C4" s="141" t="s">
        <v>3352</v>
      </c>
      <c r="D4" s="142"/>
      <c r="E4" s="142"/>
      <c r="F4" s="142"/>
      <c r="G4" s="142"/>
      <c r="H4" s="142"/>
      <c r="I4" s="142"/>
      <c r="J4" s="142"/>
      <c r="K4" s="142"/>
      <c r="P4" s="32"/>
    </row>
    <row r="5" spans="1:16" ht="19" x14ac:dyDescent="0.25">
      <c r="B5" s="31"/>
      <c r="C5" s="33" t="s">
        <v>3365</v>
      </c>
      <c r="D5" s="168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70"/>
      <c r="P5" s="32"/>
    </row>
    <row r="6" spans="1:16" ht="19" x14ac:dyDescent="0.25">
      <c r="B6" s="31"/>
      <c r="C6" s="33" t="s">
        <v>3360</v>
      </c>
      <c r="D6" s="168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70"/>
      <c r="P6" s="32"/>
    </row>
    <row r="7" spans="1:16" ht="19" x14ac:dyDescent="0.25">
      <c r="B7" s="31"/>
      <c r="C7" s="33" t="s">
        <v>3361</v>
      </c>
      <c r="D7" s="171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1"/>
      <c r="P7" s="32"/>
    </row>
    <row r="8" spans="1:16" ht="19" x14ac:dyDescent="0.25">
      <c r="B8" s="31"/>
      <c r="C8" s="33" t="s">
        <v>3362</v>
      </c>
      <c r="D8" s="159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1"/>
      <c r="P8" s="32"/>
    </row>
    <row r="9" spans="1:16" ht="40" customHeight="1" x14ac:dyDescent="0.25">
      <c r="B9" s="31"/>
      <c r="C9" s="34" t="s">
        <v>3366</v>
      </c>
      <c r="D9" s="162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4"/>
      <c r="P9" s="32"/>
    </row>
    <row r="10" spans="1:16" ht="40" customHeight="1" x14ac:dyDescent="0.25">
      <c r="B10" s="31"/>
      <c r="C10" s="34" t="s">
        <v>3363</v>
      </c>
      <c r="D10" s="162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4"/>
      <c r="P10" s="32"/>
    </row>
    <row r="11" spans="1:16" x14ac:dyDescent="0.2">
      <c r="B11" s="31"/>
      <c r="P11" s="32"/>
    </row>
    <row r="12" spans="1:16" ht="16" thickBot="1" x14ac:dyDescent="0.25"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</row>
    <row r="16" spans="1:16" x14ac:dyDescent="0.2">
      <c r="C16" s="139" t="s">
        <v>3351</v>
      </c>
    </row>
    <row r="17" spans="3:3" x14ac:dyDescent="0.2">
      <c r="C17" s="53" t="s">
        <v>3350</v>
      </c>
    </row>
  </sheetData>
  <mergeCells count="7">
    <mergeCell ref="D8:O8"/>
    <mergeCell ref="D9:O9"/>
    <mergeCell ref="D10:O10"/>
    <mergeCell ref="B2:P2"/>
    <mergeCell ref="D5:O5"/>
    <mergeCell ref="D6:O6"/>
    <mergeCell ref="D7:O7"/>
  </mergeCells>
  <dataValidations count="2">
    <dataValidation type="list" allowBlank="1" showInputMessage="1" showErrorMessage="1" sqref="D7:O7" xr:uid="{B26F254D-125A-FD4E-969B-621CE9C9D574}">
      <formula1>"African Region, Region of Americas, Eastern Mediterranean, European Region, South-East Asian Region, Western Pacific Region"</formula1>
    </dataValidation>
    <dataValidation type="list" allowBlank="1" showInputMessage="1" showErrorMessage="1" sqref="D6:O6" xr:uid="{863C277A-9C9C-E845-813A-099D391D8628}">
      <formula1>adm0_list</formula1>
    </dataValidation>
  </dataValidations>
  <hyperlinks>
    <hyperlink ref="C17" r:id="rId1" display="https://creativecommons.org/licenses/by-nc-sa/3.0/igo/" xr:uid="{D407DAB6-1063-4844-9DBA-2259576DEB71}"/>
  </hyperlink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E362-3726-294D-A7B5-2EE1005515FF}">
  <sheetPr codeName="Sheet3"/>
  <dimension ref="A1:N29"/>
  <sheetViews>
    <sheetView showGridLines="0" zoomScale="93" zoomScaleNormal="117" workbookViewId="0">
      <selection activeCell="A2" sqref="A2"/>
    </sheetView>
  </sheetViews>
  <sheetFormatPr baseColWidth="10" defaultColWidth="8.83203125" defaultRowHeight="15" x14ac:dyDescent="0.2"/>
  <cols>
    <col min="1" max="1" width="9" style="4" customWidth="1"/>
    <col min="2" max="2" width="13.1640625" style="4" hidden="1" customWidth="1"/>
    <col min="3" max="3" width="53.33203125" style="15" customWidth="1"/>
    <col min="4" max="4" width="21.6640625" style="4" bestFit="1" customWidth="1"/>
    <col min="5" max="5" width="13.33203125" style="4" bestFit="1" customWidth="1"/>
    <col min="6" max="6" width="15.83203125" style="19" bestFit="1" customWidth="1"/>
    <col min="7" max="7" width="30" style="4" bestFit="1" customWidth="1"/>
    <col min="8" max="8" width="32" style="4" bestFit="1" customWidth="1"/>
    <col min="9" max="9" width="21.1640625" style="4" bestFit="1" customWidth="1"/>
    <col min="10" max="10" width="9.5" style="19" bestFit="1" customWidth="1"/>
    <col min="11" max="11" width="59.6640625" style="19" bestFit="1" customWidth="1"/>
    <col min="12" max="12" width="37.83203125" style="19" bestFit="1" customWidth="1"/>
    <col min="13" max="13" width="8.83203125" style="19" bestFit="1" customWidth="1"/>
    <col min="14" max="14" width="41.1640625" style="4" bestFit="1" customWidth="1"/>
    <col min="15" max="22" width="17.83203125" style="4" customWidth="1"/>
    <col min="23" max="16384" width="8.83203125" style="4"/>
  </cols>
  <sheetData>
    <row r="1" spans="1:14" x14ac:dyDescent="0.2">
      <c r="A1" s="158" t="b">
        <f>COUNTA('2. Define Indicators'!$E7:$E99)&gt;0</f>
        <v>0</v>
      </c>
    </row>
    <row r="2" spans="1:14" ht="34" customHeight="1" x14ac:dyDescent="0.2">
      <c r="C2" s="172" t="s">
        <v>3367</v>
      </c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</row>
    <row r="3" spans="1:14" x14ac:dyDescent="0.2">
      <c r="C3" s="173" t="s">
        <v>3356</v>
      </c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</row>
    <row r="4" spans="1:14" ht="269" customHeight="1" x14ac:dyDescent="0.2">
      <c r="C4" s="10" t="s">
        <v>3426</v>
      </c>
      <c r="D4" s="21"/>
    </row>
    <row r="5" spans="1:14" ht="16" thickBot="1" x14ac:dyDescent="0.25"/>
    <row r="6" spans="1:14" s="21" customFormat="1" ht="18" customHeight="1" x14ac:dyDescent="0.2">
      <c r="B6" s="131" t="s">
        <v>3368</v>
      </c>
      <c r="C6" s="24" t="s">
        <v>2</v>
      </c>
      <c r="D6" s="25" t="s">
        <v>1</v>
      </c>
      <c r="E6" s="26" t="s">
        <v>0</v>
      </c>
      <c r="F6" s="20" t="s">
        <v>3357</v>
      </c>
      <c r="G6" s="22" t="s">
        <v>3358</v>
      </c>
      <c r="H6" s="22" t="s">
        <v>3371</v>
      </c>
      <c r="I6" s="22" t="s">
        <v>8</v>
      </c>
      <c r="J6" s="22" t="s">
        <v>3343</v>
      </c>
      <c r="K6" s="23" t="s">
        <v>3344</v>
      </c>
      <c r="L6" s="23" t="s">
        <v>3</v>
      </c>
      <c r="M6" s="23" t="s">
        <v>4</v>
      </c>
      <c r="N6" s="23" t="s">
        <v>3359</v>
      </c>
    </row>
    <row r="7" spans="1:14" ht="16" x14ac:dyDescent="0.2">
      <c r="B7" s="132" t="str" cm="1">
        <f t="array" ref="B7">"IND_" &amp;
_xlfn.SWITCH(E7,
  "Exposure","EXP",
  "Vulnerability","VUL",
  "Coping Capacity","COP",
  "UNK"
) &amp;
"_" &amp;
TEXT(
  COUNTIF($E$7:E7, E7),
"00")</f>
        <v>IND_UNK_00</v>
      </c>
      <c r="C7" s="38"/>
      <c r="D7" s="39"/>
      <c r="E7" s="40"/>
      <c r="F7" s="46"/>
      <c r="G7" s="39"/>
      <c r="H7" s="39"/>
      <c r="I7" s="39"/>
      <c r="J7" s="41"/>
      <c r="K7" s="39"/>
      <c r="L7" s="39"/>
      <c r="M7" s="41"/>
      <c r="N7" s="39"/>
    </row>
    <row r="8" spans="1:14" ht="18" customHeight="1" x14ac:dyDescent="0.2">
      <c r="B8" s="132" t="str" cm="1">
        <f t="array" ref="B8">"IND_" &amp;
_xlfn.SWITCH(E8,
  "Exposure","EXP",
  "Vulnerability","VUL",
  "Coping Capacity","COP",
  "UNK"
) &amp;
"_" &amp;
TEXT(
  COUNTIF($E$7:E8, E8),
"00")</f>
        <v>IND_UNK_00</v>
      </c>
      <c r="C8" s="38"/>
      <c r="D8" s="39"/>
      <c r="E8" s="40"/>
      <c r="F8" s="46"/>
      <c r="G8" s="39"/>
      <c r="H8" s="39"/>
      <c r="I8" s="39"/>
      <c r="J8" s="41"/>
      <c r="K8" s="39"/>
      <c r="L8" s="39"/>
      <c r="M8" s="41"/>
      <c r="N8" s="39"/>
    </row>
    <row r="9" spans="1:14" ht="18" customHeight="1" x14ac:dyDescent="0.2">
      <c r="B9" s="132" t="str" cm="1">
        <f t="array" ref="B9">"IND_" &amp;
_xlfn.SWITCH(E9,
  "Exposure","EXP",
  "Vulnerability","VUL",
  "Coping Capacity","COP",
  "UNK"
) &amp;
"_" &amp;
TEXT(
  COUNTIF($E$7:E9, E9),
"00")</f>
        <v>IND_UNK_00</v>
      </c>
      <c r="C9" s="38"/>
      <c r="D9" s="39"/>
      <c r="E9" s="40"/>
      <c r="F9" s="46"/>
      <c r="G9" s="39"/>
      <c r="H9" s="39"/>
      <c r="I9" s="39"/>
      <c r="J9" s="41"/>
      <c r="K9" s="39"/>
      <c r="L9" s="39"/>
      <c r="M9" s="41"/>
      <c r="N9" s="39"/>
    </row>
    <row r="10" spans="1:14" ht="18" customHeight="1" x14ac:dyDescent="0.2">
      <c r="B10" s="132" t="str" cm="1">
        <f t="array" ref="B10">"IND_" &amp;
_xlfn.SWITCH(E10,
  "Exposure","EXP",
  "Vulnerability","VUL",
  "Coping Capacity","COP",
  "UNK"
) &amp;
"_" &amp;
TEXT(
  COUNTIF($E$7:E10, E10),
"00")</f>
        <v>IND_UNK_00</v>
      </c>
      <c r="C10" s="38"/>
      <c r="D10" s="39"/>
      <c r="E10" s="40"/>
      <c r="F10" s="46"/>
      <c r="G10" s="39"/>
      <c r="H10" s="39"/>
      <c r="I10" s="39"/>
      <c r="J10" s="41"/>
      <c r="K10" s="39"/>
      <c r="L10" s="39"/>
      <c r="M10" s="41"/>
      <c r="N10" s="39"/>
    </row>
    <row r="11" spans="1:14" ht="16" customHeight="1" x14ac:dyDescent="0.2">
      <c r="B11" s="132" t="str" cm="1">
        <f t="array" ref="B11">"IND_" &amp;
_xlfn.SWITCH(E11,
  "Exposure","EXP",
  "Vulnerability","VUL",
  "Coping Capacity","COP",
  "UNK"
) &amp;
"_" &amp;
TEXT(
  COUNTIF($E$7:E11, E11),
"00")</f>
        <v>IND_UNK_00</v>
      </c>
      <c r="C11" s="38"/>
      <c r="D11" s="39"/>
      <c r="E11" s="40"/>
      <c r="F11" s="46"/>
      <c r="G11" s="39"/>
      <c r="H11" s="39"/>
      <c r="I11" s="39"/>
      <c r="J11" s="41"/>
      <c r="K11" s="39"/>
      <c r="L11" s="39"/>
      <c r="M11" s="41"/>
      <c r="N11" s="39"/>
    </row>
    <row r="12" spans="1:14" ht="16" x14ac:dyDescent="0.2">
      <c r="B12" s="132" t="str" cm="1">
        <f t="array" ref="B12">"IND_" &amp;
_xlfn.SWITCH(E12,
  "Exposure","EXP",
  "Vulnerability","VUL",
  "Coping Capacity","COP",
  "UNK"
) &amp;
"_" &amp;
TEXT(
  COUNTIF($E$7:E12, E12),
"00")</f>
        <v>IND_UNK_00</v>
      </c>
      <c r="C12" s="38"/>
      <c r="D12" s="39"/>
      <c r="E12" s="40"/>
      <c r="F12" s="46"/>
      <c r="G12" s="39"/>
      <c r="H12" s="39"/>
      <c r="I12" s="150"/>
      <c r="J12" s="41"/>
      <c r="K12" s="39"/>
      <c r="L12" s="39"/>
      <c r="M12" s="41"/>
      <c r="N12" s="39"/>
    </row>
    <row r="13" spans="1:14" ht="16" x14ac:dyDescent="0.2">
      <c r="B13" s="132" t="str" cm="1">
        <f t="array" ref="B13">"IND_" &amp;
_xlfn.SWITCH(E13,
  "Exposure","EXP",
  "Vulnerability","VUL",
  "Coping Capacity","COP",
  "UNK"
) &amp;
"_" &amp;
TEXT(
  COUNTIF($E$7:E13, E13),
"00")</f>
        <v>IND_UNK_00</v>
      </c>
      <c r="C13" s="38"/>
      <c r="D13" s="39"/>
      <c r="E13" s="40"/>
      <c r="F13" s="46"/>
      <c r="G13" s="39"/>
      <c r="H13" s="39"/>
      <c r="I13" s="39"/>
      <c r="J13" s="41"/>
      <c r="K13" s="39"/>
      <c r="L13" s="39"/>
      <c r="M13" s="41"/>
      <c r="N13" s="39"/>
    </row>
    <row r="14" spans="1:14" ht="16" x14ac:dyDescent="0.2">
      <c r="B14" s="132" t="str" cm="1">
        <f t="array" ref="B14">"IND_" &amp;
_xlfn.SWITCH(E14,
  "Exposure","EXP",
  "Vulnerability","VUL",
  "Coping Capacity","COP",
  "UNK"
) &amp;
"_" &amp;
TEXT(
  COUNTIF($E$7:E14, E14),
"00")</f>
        <v>IND_UNK_00</v>
      </c>
      <c r="C14" s="38"/>
      <c r="D14" s="39"/>
      <c r="E14" s="40"/>
      <c r="F14" s="46"/>
      <c r="G14" s="39"/>
      <c r="H14" s="39"/>
      <c r="I14" s="150"/>
      <c r="J14" s="41"/>
      <c r="K14" s="39"/>
      <c r="L14" s="39"/>
      <c r="M14" s="41"/>
      <c r="N14" s="39"/>
    </row>
    <row r="15" spans="1:14" ht="19" customHeight="1" x14ac:dyDescent="0.2">
      <c r="B15" s="132" t="str" cm="1">
        <f t="array" ref="B15">"IND_" &amp;
_xlfn.SWITCH(E15,
  "Exposure","EXP",
  "Vulnerability","VUL",
  "Coping Capacity","COP",
  "UNK"
) &amp;
"_" &amp;
TEXT(
  COUNTIF($E$7:E15, E15),
"00")</f>
        <v>IND_UNK_00</v>
      </c>
      <c r="C15" s="38"/>
      <c r="D15" s="39"/>
      <c r="E15" s="40"/>
      <c r="F15" s="46"/>
      <c r="G15" s="39"/>
      <c r="H15" s="39"/>
      <c r="I15" s="39"/>
      <c r="J15" s="41"/>
      <c r="K15" s="39"/>
      <c r="L15" s="39"/>
      <c r="M15" s="41"/>
      <c r="N15" s="39"/>
    </row>
    <row r="16" spans="1:14" ht="18" customHeight="1" x14ac:dyDescent="0.2">
      <c r="B16" s="132" t="str" cm="1">
        <f t="array" ref="B16">"IND_" &amp;
_xlfn.SWITCH(E16,
  "Exposure","EXP",
  "Vulnerability","VUL",
  "Coping Capacity","COP",
  "UNK"
) &amp;
"_" &amp;
TEXT(
  COUNTIF($E$7:E16, E16),
"00")</f>
        <v>IND_UNK_00</v>
      </c>
      <c r="C16" s="38"/>
      <c r="D16" s="39"/>
      <c r="E16" s="40"/>
      <c r="F16" s="46"/>
      <c r="G16" s="39"/>
      <c r="H16" s="39"/>
      <c r="I16" s="39"/>
      <c r="J16" s="41"/>
      <c r="K16" s="39"/>
      <c r="L16" s="39"/>
      <c r="M16" s="41"/>
      <c r="N16" s="39"/>
    </row>
    <row r="17" spans="2:14" ht="18" customHeight="1" x14ac:dyDescent="0.2">
      <c r="B17" s="132" t="str" cm="1">
        <f t="array" ref="B17">"IND_" &amp;
_xlfn.SWITCH(E17,
  "Exposure","EXP",
  "Vulnerability","VUL",
  "Coping Capacity","COP",
  "UNK"
) &amp;
"_" &amp;
TEXT(
  COUNTIF($E$7:E17, E17),
"00")</f>
        <v>IND_UNK_00</v>
      </c>
      <c r="C17" s="38"/>
      <c r="D17" s="39"/>
      <c r="E17" s="40"/>
      <c r="F17" s="46"/>
      <c r="G17" s="39"/>
      <c r="H17" s="39"/>
      <c r="I17" s="39"/>
      <c r="J17" s="41"/>
      <c r="K17" s="39"/>
      <c r="L17" s="39"/>
      <c r="M17" s="41"/>
      <c r="N17" s="39"/>
    </row>
    <row r="18" spans="2:14" ht="18" customHeight="1" x14ac:dyDescent="0.2">
      <c r="B18" s="132" t="str" cm="1">
        <f t="array" ref="B18">"IND_" &amp;
_xlfn.SWITCH(E18,
  "Exposure","EXP",
  "Vulnerability","VUL",
  "Coping Capacity","COP",
  "UNK"
) &amp;
"_" &amp;
TEXT(
  COUNTIF($E$7:E18, E18),
"00")</f>
        <v>IND_UNK_00</v>
      </c>
      <c r="C18" s="38"/>
      <c r="D18" s="39"/>
      <c r="E18" s="40"/>
      <c r="F18" s="46"/>
      <c r="G18" s="39"/>
      <c r="H18" s="39"/>
      <c r="I18" s="39"/>
      <c r="J18" s="41"/>
      <c r="K18" s="39"/>
      <c r="L18" s="39"/>
      <c r="M18" s="41"/>
      <c r="N18" s="39"/>
    </row>
    <row r="19" spans="2:14" ht="18" customHeight="1" x14ac:dyDescent="0.2">
      <c r="B19" s="132" t="str" cm="1">
        <f t="array" ref="B19">"IND_" &amp;
_xlfn.SWITCH(E19,
  "Exposure","EXP",
  "Vulnerability","VUL",
  "Coping Capacity","COP",
  "UNK"
) &amp;
"_" &amp;
TEXT(
  COUNTIF($E$7:E19, E19),
"00")</f>
        <v>IND_UNK_00</v>
      </c>
      <c r="C19" s="38"/>
      <c r="D19" s="39"/>
      <c r="E19" s="40"/>
      <c r="F19" s="46"/>
      <c r="G19" s="39"/>
      <c r="H19" s="39"/>
      <c r="I19" s="39"/>
      <c r="J19" s="41"/>
      <c r="K19" s="39"/>
      <c r="L19" s="39"/>
      <c r="M19" s="41"/>
      <c r="N19" s="39"/>
    </row>
    <row r="20" spans="2:14" ht="18" customHeight="1" x14ac:dyDescent="0.2">
      <c r="B20" s="132" t="str" cm="1">
        <f t="array" ref="B20">"IND_" &amp;
_xlfn.SWITCH(E20,
  "Exposure","EXP",
  "Vulnerability","VUL",
  "Coping Capacity","COP",
  "UNK"
) &amp;
"_" &amp;
TEXT(
  COUNTIF($E$7:E20, E20),
"00")</f>
        <v>IND_UNK_00</v>
      </c>
      <c r="C20" s="38"/>
      <c r="D20" s="39"/>
      <c r="E20" s="40"/>
      <c r="F20" s="46"/>
      <c r="G20" s="39"/>
      <c r="H20" s="39"/>
      <c r="I20" s="39"/>
      <c r="J20" s="41"/>
      <c r="K20" s="39"/>
      <c r="L20" s="39"/>
      <c r="M20" s="41"/>
      <c r="N20" s="39"/>
    </row>
    <row r="21" spans="2:14" ht="18" customHeight="1" x14ac:dyDescent="0.2">
      <c r="B21" s="132" t="str" cm="1">
        <f t="array" ref="B21">"IND_" &amp;
_xlfn.SWITCH(E21,
  "Exposure","EXP",
  "Vulnerability","VUL",
  "Coping Capacity","COP",
  "UNK"
) &amp;
"_" &amp;
TEXT(
  COUNTIF($E$7:E21, E21),
"00")</f>
        <v>IND_UNK_00</v>
      </c>
      <c r="C21" s="38"/>
      <c r="D21" s="39"/>
      <c r="E21" s="40"/>
      <c r="F21" s="46"/>
      <c r="G21" s="39"/>
      <c r="H21" s="39"/>
      <c r="I21" s="39"/>
      <c r="J21" s="41"/>
      <c r="K21" s="39"/>
      <c r="L21" s="39"/>
      <c r="M21" s="41"/>
      <c r="N21" s="39"/>
    </row>
    <row r="22" spans="2:14" ht="18" customHeight="1" x14ac:dyDescent="0.2">
      <c r="B22" s="132" t="str" cm="1">
        <f t="array" ref="B22">"IND_" &amp;
_xlfn.SWITCH(E22,
  "Exposure","EXP",
  "Vulnerability","VUL",
  "Coping Capacity","COP",
  "UNK"
) &amp;
"_" &amp;
TEXT(
  COUNTIF($E$7:E22, E22),
"00")</f>
        <v>IND_UNK_00</v>
      </c>
      <c r="C22" s="38"/>
      <c r="D22" s="39"/>
      <c r="E22" s="40"/>
      <c r="F22" s="46"/>
      <c r="G22" s="39"/>
      <c r="H22" s="39"/>
      <c r="I22" s="39"/>
      <c r="J22" s="41"/>
      <c r="K22" s="39"/>
      <c r="L22" s="39"/>
      <c r="M22" s="41"/>
      <c r="N22" s="39"/>
    </row>
    <row r="23" spans="2:14" ht="18" customHeight="1" x14ac:dyDescent="0.2">
      <c r="B23" s="132" t="str" cm="1">
        <f t="array" ref="B23">"IND_" &amp;
_xlfn.SWITCH(E23,
  "Exposure","EXP",
  "Vulnerability","VUL",
  "Coping Capacity","COP",
  "UNK"
) &amp;
"_" &amp;
TEXT(
  COUNTIF($E$7:E23, E23),
"00")</f>
        <v>IND_UNK_00</v>
      </c>
      <c r="C23" s="38"/>
      <c r="D23" s="39"/>
      <c r="E23" s="40"/>
      <c r="F23" s="46"/>
      <c r="G23" s="39"/>
      <c r="H23" s="39"/>
      <c r="I23" s="39"/>
      <c r="J23" s="41"/>
      <c r="K23" s="39"/>
      <c r="L23" s="39"/>
      <c r="M23" s="41"/>
      <c r="N23" s="39"/>
    </row>
    <row r="24" spans="2:14" ht="17" thickBot="1" x14ac:dyDescent="0.25">
      <c r="B24" s="133" t="str" cm="1">
        <f t="array" ref="B24">"IND_" &amp;
_xlfn.SWITCH(E24,
  "Exposure","EXP",
  "Vulnerability","VUL",
  "Coping Capacity","COP",
  "UNK"
) &amp;
"_" &amp;
TEXT(
  COUNTIF($E$7:E24, E24),
"00")</f>
        <v>IND_UNK_00</v>
      </c>
      <c r="C24" s="42"/>
      <c r="D24" s="43"/>
      <c r="E24" s="44"/>
      <c r="F24" s="47"/>
      <c r="G24" s="39"/>
      <c r="H24" s="39"/>
      <c r="I24" s="39"/>
      <c r="J24" s="45"/>
      <c r="K24" s="39"/>
      <c r="L24" s="39"/>
      <c r="M24" s="41"/>
      <c r="N24" s="39"/>
    </row>
    <row r="25" spans="2:14" ht="18" customHeight="1" x14ac:dyDescent="0.2"/>
    <row r="28" spans="2:14" x14ac:dyDescent="0.2">
      <c r="C28" s="139" t="s">
        <v>3351</v>
      </c>
    </row>
    <row r="29" spans="2:14" x14ac:dyDescent="0.2">
      <c r="C29" s="53" t="s">
        <v>3350</v>
      </c>
    </row>
  </sheetData>
  <mergeCells count="2">
    <mergeCell ref="C2:N2"/>
    <mergeCell ref="C3:N3"/>
  </mergeCells>
  <phoneticPr fontId="10" type="noConversion"/>
  <conditionalFormatting sqref="E7:E9998">
    <cfRule type="cellIs" dxfId="50" priority="3" operator="equal">
      <formula>"Coping Capacity"</formula>
    </cfRule>
    <cfRule type="cellIs" dxfId="49" priority="4" stopIfTrue="1" operator="equal">
      <formula>"LOCC"</formula>
    </cfRule>
    <cfRule type="cellIs" dxfId="48" priority="5" operator="equal">
      <formula>"Lack of coping Capacity"</formula>
    </cfRule>
    <cfRule type="cellIs" dxfId="47" priority="6" operator="equal">
      <formula>"Vulnerability"</formula>
    </cfRule>
    <cfRule type="cellIs" dxfId="46" priority="7" stopIfTrue="1" operator="equal">
      <formula>"Exposure"</formula>
    </cfRule>
  </conditionalFormatting>
  <conditionalFormatting sqref="F7:F9998">
    <cfRule type="containsBlanks" dxfId="45" priority="1">
      <formula>LEN(TRIM(F7))=0</formula>
    </cfRule>
    <cfRule type="cellIs" dxfId="44" priority="10" operator="equal">
      <formula>TRUE</formula>
    </cfRule>
    <cfRule type="cellIs" dxfId="43" priority="12" operator="equal">
      <formula>FALSE</formula>
    </cfRule>
  </conditionalFormatting>
  <conditionalFormatting sqref="J7:J9998">
    <cfRule type="containsBlanks" dxfId="42" priority="2" stopIfTrue="1">
      <formula>LEN(TRIM(J7))=0</formula>
    </cfRule>
    <cfRule type="cellIs" dxfId="41" priority="9" operator="equal">
      <formula>TRUE</formula>
    </cfRule>
    <cfRule type="cellIs" dxfId="40" priority="13" operator="equal">
      <formula>FALSE</formula>
    </cfRule>
  </conditionalFormatting>
  <dataValidations count="4">
    <dataValidation type="list" allowBlank="1" showInputMessage="1" showErrorMessage="1" sqref="E7:E24" xr:uid="{7B05E0EB-57EC-D249-B47A-94036547870E}">
      <formula1>pillars_var</formula1>
    </dataValidation>
    <dataValidation type="list" allowBlank="1" showInputMessage="1" showErrorMessage="1" sqref="F6" xr:uid="{CE80219E-7468-9745-B9E1-A3CCB8BF0CDA}">
      <formula1>data_available_var</formula1>
    </dataValidation>
    <dataValidation type="list" allowBlank="1" showInputMessage="1" showErrorMessage="1" sqref="J7:J24 F7:F24" xr:uid="{CB34640D-BE38-A142-93AB-0762855E6790}">
      <formula1>boolean_flag</formula1>
    </dataValidation>
    <dataValidation type="list" allowBlank="1" showInputMessage="1" showErrorMessage="1" sqref="M7:M24" xr:uid="{5DEF8A5D-9060-3141-A7DC-BD1BF88FF1D1}">
      <formula1>status_var</formula1>
    </dataValidation>
  </dataValidations>
  <hyperlinks>
    <hyperlink ref="C29" r:id="rId1" display="https://creativecommons.org/licenses/by-nc-sa/3.0/igo/" xr:uid="{93361706-565E-294E-9059-691A7427592C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5980-44AA-904D-ADF6-1CB62028F3D5}">
  <sheetPr codeName="Sheet4"/>
  <dimension ref="A1:CZ25"/>
  <sheetViews>
    <sheetView zoomScale="115" zoomScaleNormal="159" workbookViewId="0">
      <selection activeCell="A2" sqref="A2"/>
    </sheetView>
  </sheetViews>
  <sheetFormatPr baseColWidth="10" defaultColWidth="31.6640625" defaultRowHeight="15" x14ac:dyDescent="0.2"/>
  <cols>
    <col min="1" max="1" width="17.5" style="6" customWidth="1"/>
    <col min="2" max="2" width="19.33203125" style="6" customWidth="1"/>
    <col min="3" max="3" width="23.1640625" style="6" bestFit="1" customWidth="1"/>
    <col min="4" max="4" width="11" style="63" bestFit="1" customWidth="1"/>
    <col min="5" max="11" width="10.6640625" style="63" bestFit="1" customWidth="1"/>
    <col min="12" max="21" width="10.83203125" style="63" bestFit="1" customWidth="1"/>
    <col min="22" max="16384" width="31.6640625" style="63"/>
  </cols>
  <sheetData>
    <row r="1" spans="1:104" x14ac:dyDescent="0.2">
      <c r="A1" s="156"/>
    </row>
    <row r="2" spans="1:104" ht="34" customHeight="1" x14ac:dyDescent="0.2">
      <c r="B2" s="48" t="s">
        <v>3386</v>
      </c>
      <c r="C2" s="48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04" ht="15" customHeight="1" x14ac:dyDescent="0.2">
      <c r="B3" s="144" t="s">
        <v>3418</v>
      </c>
      <c r="C3" s="14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04" s="9" customFormat="1" ht="187" customHeight="1" x14ac:dyDescent="0.2">
      <c r="B4" s="174" t="s">
        <v>3427</v>
      </c>
      <c r="C4" s="174"/>
      <c r="D4" s="10"/>
      <c r="E4" s="49"/>
      <c r="F4" s="50"/>
      <c r="G4" s="49"/>
      <c r="H4" s="49"/>
      <c r="I4" s="49"/>
      <c r="J4" s="50"/>
      <c r="K4" s="50"/>
      <c r="L4" s="50"/>
      <c r="M4" s="50"/>
      <c r="N4" s="49"/>
    </row>
    <row r="5" spans="1:104" s="6" customFormat="1" ht="45" customHeight="1" x14ac:dyDescent="0.2">
      <c r="B5" s="175" t="str">
        <f>IF(IndicatorsDefined,"","First define indicators in Step 2. Once at least one indicator is selected, a table will appear here where you can enter indicator scores for each subnational unit.")</f>
        <v>First define indicators in Step 2. Once at least one indicator is selected, a table will appear here where you can enter indicator scores for each subnational unit.</v>
      </c>
      <c r="C5" s="175"/>
    </row>
    <row r="6" spans="1:104" s="6" customFormat="1" x14ac:dyDescent="0.2"/>
    <row r="7" spans="1:104" s="99" customFormat="1" ht="69" customHeight="1" x14ac:dyDescent="0.2">
      <c r="A7" s="98"/>
      <c r="B7" s="157"/>
      <c r="C7" s="157"/>
      <c r="D7" s="99" t="str">
        <f>IF(
  D$9="",
  "",
  _xlfn.XLOOKUP(
    D$9,
    tbl_define_indicators[Indicator ID],
    tbl_define_indicators[Pillar]
  )
)</f>
        <v/>
      </c>
      <c r="E7" s="99" t="str">
        <f>IF(
  E$9="",
  "",
  _xlfn.XLOOKUP(
    E$9,
    tbl_define_indicators[Indicator ID],
    tbl_define_indicators[Pillar]
  )
)</f>
        <v/>
      </c>
      <c r="F7" s="99" t="str">
        <f>IF(
  F$9="",
  "",
  _xlfn.XLOOKUP(
    F$9,
    tbl_define_indicators[Indicator ID],
    tbl_define_indicators[Pillar]
  )
)</f>
        <v/>
      </c>
      <c r="G7" s="99" t="str">
        <f>IF(
  G$9="",
  "",
  _xlfn.XLOOKUP(
    G$9,
    tbl_define_indicators[Indicator ID],
    tbl_define_indicators[Pillar]
  )
)</f>
        <v/>
      </c>
      <c r="H7" s="99" t="str">
        <f>IF(
  H$9="",
  "",
  _xlfn.XLOOKUP(
    H$9,
    tbl_define_indicators[Indicator ID],
    tbl_define_indicators[Pillar]
  )
)</f>
        <v/>
      </c>
      <c r="I7" s="99" t="str">
        <f>IF(
  I$9="",
  "",
  _xlfn.XLOOKUP(
    I$9,
    tbl_define_indicators[Indicator ID],
    tbl_define_indicators[Pillar]
  )
)</f>
        <v/>
      </c>
      <c r="J7" s="99" t="str">
        <f>IF(
  J$9="",
  "",
  _xlfn.XLOOKUP(
    J$9,
    tbl_define_indicators[Indicator ID],
    tbl_define_indicators[Pillar]
  )
)</f>
        <v/>
      </c>
      <c r="K7" s="99" t="str">
        <f>IF(
  K$9="",
  "",
  _xlfn.XLOOKUP(
    K$9,
    tbl_define_indicators[Indicator ID],
    tbl_define_indicators[Pillar]
  )
)</f>
        <v/>
      </c>
      <c r="L7" s="99" t="str">
        <f>IF(
  L$9="",
  "",
  _xlfn.XLOOKUP(
    L$9,
    tbl_define_indicators[Indicator ID],
    tbl_define_indicators[Pillar]
  )
)</f>
        <v/>
      </c>
      <c r="M7" s="99" t="str">
        <f>IF(
  M$9="",
  "",
  _xlfn.XLOOKUP(
    M$9,
    tbl_define_indicators[Indicator ID],
    tbl_define_indicators[Pillar]
  )
)</f>
        <v/>
      </c>
      <c r="N7" s="99" t="str">
        <f>IF(
  N$9="",
  "",
  _xlfn.XLOOKUP(
    N$9,
    tbl_define_indicators[Indicator ID],
    tbl_define_indicators[Pillar]
  )
)</f>
        <v/>
      </c>
      <c r="O7" s="99" t="str">
        <f>IF(
  O$9="",
  "",
  _xlfn.XLOOKUP(
    O$9,
    tbl_define_indicators[Indicator ID],
    tbl_define_indicators[Pillar]
  )
)</f>
        <v/>
      </c>
      <c r="P7" s="99" t="str">
        <f>IF(
  P$9="",
  "",
  _xlfn.XLOOKUP(
    P$9,
    tbl_define_indicators[Indicator ID],
    tbl_define_indicators[Pillar]
  )
)</f>
        <v/>
      </c>
      <c r="Q7" s="99" t="str">
        <f>IF(
  Q$9="",
  "",
  _xlfn.XLOOKUP(
    Q$9,
    tbl_define_indicators[Indicator ID],
    tbl_define_indicators[Pillar]
  )
)</f>
        <v/>
      </c>
      <c r="R7" s="99" t="str">
        <f>IF(
  R$9="",
  "",
  _xlfn.XLOOKUP(
    R$9,
    tbl_define_indicators[Indicator ID],
    tbl_define_indicators[Pillar]
  )
)</f>
        <v/>
      </c>
      <c r="S7" s="99" t="str">
        <f>IF(
  S$9="",
  "",
  _xlfn.XLOOKUP(
    S$9,
    tbl_define_indicators[Indicator ID],
    tbl_define_indicators[Pillar]
  )
)</f>
        <v/>
      </c>
      <c r="T7" s="99" t="str">
        <f>IF(
  T$9="",
  "",
  _xlfn.XLOOKUP(
    T$9,
    tbl_define_indicators[Indicator ID],
    tbl_define_indicators[Pillar]
  )
)</f>
        <v/>
      </c>
      <c r="U7" s="99" t="str">
        <f>IF(
  U$9="",
  "",
  _xlfn.XLOOKUP(
    U$9,
    tbl_define_indicators[Indicator ID],
    tbl_define_indicators[Pillar]
  )
)</f>
        <v/>
      </c>
      <c r="V7" s="99" t="str">
        <f>IF(
  V$9="",
  "",
  _xlfn.XLOOKUP(
    V$9,
    tbl_define_indicators[Indicator ID],
    tbl_define_indicators[Pillar]
  )
)</f>
        <v/>
      </c>
      <c r="W7" s="99" t="str">
        <f>IF(
  W$9="",
  "",
  _xlfn.XLOOKUP(
    W$9,
    tbl_define_indicators[Indicator ID],
    tbl_define_indicators[Pillar]
  )
)</f>
        <v/>
      </c>
      <c r="X7" s="99" t="str">
        <f>IF(
  X$9="",
  "",
  _xlfn.XLOOKUP(
    X$9,
    tbl_define_indicators[Indicator ID],
    tbl_define_indicators[Pillar]
  )
)</f>
        <v/>
      </c>
      <c r="Y7" s="99" t="str">
        <f>IF(
  Y$9="",
  "",
  _xlfn.XLOOKUP(
    Y$9,
    tbl_define_indicators[Indicator ID],
    tbl_define_indicators[Pillar]
  )
)</f>
        <v/>
      </c>
      <c r="Z7" s="99" t="str">
        <f>IF(
  Z$9="",
  "",
  _xlfn.XLOOKUP(
    Z$9,
    tbl_define_indicators[Indicator ID],
    tbl_define_indicators[Pillar]
  )
)</f>
        <v/>
      </c>
      <c r="AA7" s="99" t="str">
        <f>IF(
  AA$9="",
  "",
  _xlfn.XLOOKUP(
    AA$9,
    tbl_define_indicators[Indicator ID],
    tbl_define_indicators[Pillar]
  )
)</f>
        <v/>
      </c>
      <c r="AB7" s="99" t="str">
        <f>IF(
  AB$9="",
  "",
  _xlfn.XLOOKUP(
    AB$9,
    tbl_define_indicators[Indicator ID],
    tbl_define_indicators[Pillar]
  )
)</f>
        <v/>
      </c>
      <c r="AC7" s="99" t="str">
        <f>IF(
  AC$9="",
  "",
  _xlfn.XLOOKUP(
    AC$9,
    tbl_define_indicators[Indicator ID],
    tbl_define_indicators[Pillar]
  )
)</f>
        <v/>
      </c>
      <c r="AD7" s="99" t="str">
        <f>IF(
  AD$9="",
  "",
  _xlfn.XLOOKUP(
    AD$9,
    tbl_define_indicators[Indicator ID],
    tbl_define_indicators[Pillar]
  )
)</f>
        <v/>
      </c>
      <c r="AE7" s="99" t="str">
        <f>IF(
  AE$9="",
  "",
  _xlfn.XLOOKUP(
    AE$9,
    tbl_define_indicators[Indicator ID],
    tbl_define_indicators[Pillar]
  )
)</f>
        <v/>
      </c>
      <c r="AF7" s="99" t="str">
        <f>IF(
  AF$9="",
  "",
  _xlfn.XLOOKUP(
    AF$9,
    tbl_define_indicators[Indicator ID],
    tbl_define_indicators[Pillar]
  )
)</f>
        <v/>
      </c>
      <c r="AG7" s="99" t="str">
        <f>IF(
  AG$9="",
  "",
  _xlfn.XLOOKUP(
    AG$9,
    tbl_define_indicators[Indicator ID],
    tbl_define_indicators[Pillar]
  )
)</f>
        <v/>
      </c>
      <c r="AH7" s="99" t="str">
        <f>IF(
  AH$9="",
  "",
  _xlfn.XLOOKUP(
    AH$9,
    tbl_define_indicators[Indicator ID],
    tbl_define_indicators[Pillar]
  )
)</f>
        <v/>
      </c>
      <c r="AI7" s="99" t="str">
        <f>IF(
  AI$9="",
  "",
  _xlfn.XLOOKUP(
    AI$9,
    tbl_define_indicators[Indicator ID],
    tbl_define_indicators[Pillar]
  )
)</f>
        <v/>
      </c>
      <c r="AJ7" s="99" t="str">
        <f>IF(
  AJ$9="",
  "",
  _xlfn.XLOOKUP(
    AJ$9,
    tbl_define_indicators[Indicator ID],
    tbl_define_indicators[Pillar]
  )
)</f>
        <v/>
      </c>
      <c r="AK7" s="99" t="str">
        <f>IF(
  AK$9="",
  "",
  _xlfn.XLOOKUP(
    AK$9,
    tbl_define_indicators[Indicator ID],
    tbl_define_indicators[Pillar]
  )
)</f>
        <v/>
      </c>
      <c r="AL7" s="99" t="str">
        <f>IF(
  AL$9="",
  "",
  _xlfn.XLOOKUP(
    AL$9,
    tbl_define_indicators[Indicator ID],
    tbl_define_indicators[Pillar]
  )
)</f>
        <v/>
      </c>
      <c r="AM7" s="99" t="str">
        <f>IF(
  AM$9="",
  "",
  _xlfn.XLOOKUP(
    AM$9,
    tbl_define_indicators[Indicator ID],
    tbl_define_indicators[Pillar]
  )
)</f>
        <v/>
      </c>
      <c r="AN7" s="99" t="str">
        <f>IF(
  AN$9="",
  "",
  _xlfn.XLOOKUP(
    AN$9,
    tbl_define_indicators[Indicator ID],
    tbl_define_indicators[Pillar]
  )
)</f>
        <v/>
      </c>
      <c r="AO7" s="99" t="str">
        <f>IF(
  AO$9="",
  "",
  _xlfn.XLOOKUP(
    AO$9,
    tbl_define_indicators[Indicator ID],
    tbl_define_indicators[Pillar]
  )
)</f>
        <v/>
      </c>
      <c r="AP7" s="99" t="str">
        <f>IF(
  AP$9="",
  "",
  _xlfn.XLOOKUP(
    AP$9,
    tbl_define_indicators[Indicator ID],
    tbl_define_indicators[Pillar]
  )
)</f>
        <v/>
      </c>
      <c r="AQ7" s="99" t="str">
        <f>IF(
  AQ$9="",
  "",
  _xlfn.XLOOKUP(
    AQ$9,
    tbl_define_indicators[Indicator ID],
    tbl_define_indicators[Pillar]
  )
)</f>
        <v/>
      </c>
      <c r="AR7" s="99" t="str">
        <f>IF(
  AR$9="",
  "",
  _xlfn.XLOOKUP(
    AR$9,
    tbl_define_indicators[Indicator ID],
    tbl_define_indicators[Pillar]
  )
)</f>
        <v/>
      </c>
      <c r="AS7" s="99" t="str">
        <f>IF(
  AS$9="",
  "",
  _xlfn.XLOOKUP(
    AS$9,
    tbl_define_indicators[Indicator ID],
    tbl_define_indicators[Pillar]
  )
)</f>
        <v/>
      </c>
      <c r="AT7" s="99" t="str">
        <f>IF(
  AT$9="",
  "",
  _xlfn.XLOOKUP(
    AT$9,
    tbl_define_indicators[Indicator ID],
    tbl_define_indicators[Pillar]
  )
)</f>
        <v/>
      </c>
      <c r="AU7" s="99" t="str">
        <f>IF(
  AU$9="",
  "",
  _xlfn.XLOOKUP(
    AU$9,
    tbl_define_indicators[Indicator ID],
    tbl_define_indicators[Pillar]
  )
)</f>
        <v/>
      </c>
      <c r="AV7" s="99" t="str">
        <f>IF(
  AV$9="",
  "",
  _xlfn.XLOOKUP(
    AV$9,
    tbl_define_indicators[Indicator ID],
    tbl_define_indicators[Pillar]
  )
)</f>
        <v/>
      </c>
      <c r="AW7" s="99" t="str">
        <f>IF(
  AW$9="",
  "",
  _xlfn.XLOOKUP(
    AW$9,
    tbl_define_indicators[Indicator ID],
    tbl_define_indicators[Pillar]
  )
)</f>
        <v/>
      </c>
      <c r="AX7" s="99" t="str">
        <f>IF(
  AX$9="",
  "",
  _xlfn.XLOOKUP(
    AX$9,
    tbl_define_indicators[Indicator ID],
    tbl_define_indicators[Pillar]
  )
)</f>
        <v/>
      </c>
      <c r="AY7" s="99" t="str">
        <f>IF(
  AY$9="",
  "",
  _xlfn.XLOOKUP(
    AY$9,
    tbl_define_indicators[Indicator ID],
    tbl_define_indicators[Pillar]
  )
)</f>
        <v/>
      </c>
      <c r="AZ7" s="99" t="str">
        <f>IF(
  AZ$9="",
  "",
  _xlfn.XLOOKUP(
    AZ$9,
    tbl_define_indicators[Indicator ID],
    tbl_define_indicators[Pillar]
  )
)</f>
        <v/>
      </c>
      <c r="BA7" s="99" t="str">
        <f>IF(
  BA$9="",
  "",
  _xlfn.XLOOKUP(
    BA$9,
    tbl_define_indicators[Indicator ID],
    tbl_define_indicators[Pillar]
  )
)</f>
        <v/>
      </c>
      <c r="BB7" s="99" t="str">
        <f>IF(
  BB$9="",
  "",
  _xlfn.XLOOKUP(
    BB$9,
    tbl_define_indicators[Indicator ID],
    tbl_define_indicators[Pillar]
  )
)</f>
        <v/>
      </c>
      <c r="BC7" s="99" t="str">
        <f>IF(
  BC$9="",
  "",
  _xlfn.XLOOKUP(
    BC$9,
    tbl_define_indicators[Indicator ID],
    tbl_define_indicators[Pillar]
  )
)</f>
        <v/>
      </c>
      <c r="BD7" s="99" t="str">
        <f>IF(
  BD$9="",
  "",
  _xlfn.XLOOKUP(
    BD$9,
    tbl_define_indicators[Indicator ID],
    tbl_define_indicators[Pillar]
  )
)</f>
        <v/>
      </c>
      <c r="BE7" s="99" t="str">
        <f>IF(
  BE$9="",
  "",
  _xlfn.XLOOKUP(
    BE$9,
    tbl_define_indicators[Indicator ID],
    tbl_define_indicators[Pillar]
  )
)</f>
        <v/>
      </c>
      <c r="BF7" s="99" t="str">
        <f>IF(
  BF$9="",
  "",
  _xlfn.XLOOKUP(
    BF$9,
    tbl_define_indicators[Indicator ID],
    tbl_define_indicators[Pillar]
  )
)</f>
        <v/>
      </c>
      <c r="BG7" s="99" t="str">
        <f>IF(
  BG$9="",
  "",
  _xlfn.XLOOKUP(
    BG$9,
    tbl_define_indicators[Indicator ID],
    tbl_define_indicators[Pillar]
  )
)</f>
        <v/>
      </c>
      <c r="BH7" s="99" t="str">
        <f>IF(
  BH$9="",
  "",
  _xlfn.XLOOKUP(
    BH$9,
    tbl_define_indicators[Indicator ID],
    tbl_define_indicators[Pillar]
  )
)</f>
        <v/>
      </c>
      <c r="BI7" s="99" t="str">
        <f>IF(
  BI$9="",
  "",
  _xlfn.XLOOKUP(
    BI$9,
    tbl_define_indicators[Indicator ID],
    tbl_define_indicators[Pillar]
  )
)</f>
        <v/>
      </c>
      <c r="BJ7" s="99" t="str">
        <f>IF(
  BJ$9="",
  "",
  _xlfn.XLOOKUP(
    BJ$9,
    tbl_define_indicators[Indicator ID],
    tbl_define_indicators[Pillar]
  )
)</f>
        <v/>
      </c>
      <c r="BK7" s="99" t="str">
        <f>IF(
  BK$9="",
  "",
  _xlfn.XLOOKUP(
    BK$9,
    tbl_define_indicators[Indicator ID],
    tbl_define_indicators[Pillar]
  )
)</f>
        <v/>
      </c>
      <c r="BL7" s="99" t="str">
        <f>IF(
  BL$9="",
  "",
  _xlfn.XLOOKUP(
    BL$9,
    tbl_define_indicators[Indicator ID],
    tbl_define_indicators[Pillar]
  )
)</f>
        <v/>
      </c>
      <c r="BM7" s="99" t="str">
        <f>IF(
  BM$9="",
  "",
  _xlfn.XLOOKUP(
    BM$9,
    tbl_define_indicators[Indicator ID],
    tbl_define_indicators[Pillar]
  )
)</f>
        <v/>
      </c>
      <c r="BN7" s="99" t="str">
        <f>IF(
  BN$9="",
  "",
  _xlfn.XLOOKUP(
    BN$9,
    tbl_define_indicators[Indicator ID],
    tbl_define_indicators[Pillar]
  )
)</f>
        <v/>
      </c>
      <c r="BO7" s="99" t="str">
        <f>IF(
  BO$9="",
  "",
  _xlfn.XLOOKUP(
    BO$9,
    tbl_define_indicators[Indicator ID],
    tbl_define_indicators[Pillar]
  )
)</f>
        <v/>
      </c>
      <c r="BP7" s="99" t="str">
        <f>IF(
  BP$9="",
  "",
  _xlfn.XLOOKUP(
    BP$9,
    tbl_define_indicators[Indicator ID],
    tbl_define_indicators[Pillar]
  )
)</f>
        <v/>
      </c>
      <c r="BQ7" s="99" t="str">
        <f>IF(
  BQ$9="",
  "",
  _xlfn.XLOOKUP(
    BQ$9,
    tbl_define_indicators[Indicator ID],
    tbl_define_indicators[Pillar]
  )
)</f>
        <v/>
      </c>
      <c r="BR7" s="99" t="str">
        <f>IF(
  BR$9="",
  "",
  _xlfn.XLOOKUP(
    BR$9,
    tbl_define_indicators[Indicator ID],
    tbl_define_indicators[Pillar]
  )
)</f>
        <v/>
      </c>
      <c r="BS7" s="99" t="str">
        <f>IF(
  BS$9="",
  "",
  _xlfn.XLOOKUP(
    BS$9,
    tbl_define_indicators[Indicator ID],
    tbl_define_indicators[Pillar]
  )
)</f>
        <v/>
      </c>
      <c r="BT7" s="99" t="str">
        <f>IF(
  BT$9="",
  "",
  _xlfn.XLOOKUP(
    BT$9,
    tbl_define_indicators[Indicator ID],
    tbl_define_indicators[Pillar]
  )
)</f>
        <v/>
      </c>
      <c r="BU7" s="99" t="str">
        <f>IF(
  BU$9="",
  "",
  _xlfn.XLOOKUP(
    BU$9,
    tbl_define_indicators[Indicator ID],
    tbl_define_indicators[Pillar]
  )
)</f>
        <v/>
      </c>
      <c r="BV7" s="99" t="str">
        <f>IF(
  BV$9="",
  "",
  _xlfn.XLOOKUP(
    BV$9,
    tbl_define_indicators[Indicator ID],
    tbl_define_indicators[Pillar]
  )
)</f>
        <v/>
      </c>
      <c r="BW7" s="99" t="str">
        <f>IF(
  BW$9="",
  "",
  _xlfn.XLOOKUP(
    BW$9,
    tbl_define_indicators[Indicator ID],
    tbl_define_indicators[Pillar]
  )
)</f>
        <v/>
      </c>
      <c r="BX7" s="99" t="str">
        <f>IF(
  BX$9="",
  "",
  _xlfn.XLOOKUP(
    BX$9,
    tbl_define_indicators[Indicator ID],
    tbl_define_indicators[Pillar]
  )
)</f>
        <v/>
      </c>
      <c r="BY7" s="99" t="str">
        <f>IF(
  BY$9="",
  "",
  _xlfn.XLOOKUP(
    BY$9,
    tbl_define_indicators[Indicator ID],
    tbl_define_indicators[Pillar]
  )
)</f>
        <v/>
      </c>
      <c r="BZ7" s="99" t="str">
        <f>IF(
  BZ$9="",
  "",
  _xlfn.XLOOKUP(
    BZ$9,
    tbl_define_indicators[Indicator ID],
    tbl_define_indicators[Pillar]
  )
)</f>
        <v/>
      </c>
      <c r="CA7" s="99" t="str">
        <f>IF(
  CA$9="",
  "",
  _xlfn.XLOOKUP(
    CA$9,
    tbl_define_indicators[Indicator ID],
    tbl_define_indicators[Pillar]
  )
)</f>
        <v/>
      </c>
      <c r="CB7" s="99" t="str">
        <f>IF(
  CB$9="",
  "",
  _xlfn.XLOOKUP(
    CB$9,
    tbl_define_indicators[Indicator ID],
    tbl_define_indicators[Pillar]
  )
)</f>
        <v/>
      </c>
      <c r="CC7" s="99" t="str">
        <f>IF(
  CC$9="",
  "",
  _xlfn.XLOOKUP(
    CC$9,
    tbl_define_indicators[Indicator ID],
    tbl_define_indicators[Pillar]
  )
)</f>
        <v/>
      </c>
      <c r="CD7" s="99" t="str">
        <f>IF(
  CD$9="",
  "",
  _xlfn.XLOOKUP(
    CD$9,
    tbl_define_indicators[Indicator ID],
    tbl_define_indicators[Pillar]
  )
)</f>
        <v/>
      </c>
      <c r="CE7" s="99" t="str">
        <f>IF(
  CE$9="",
  "",
  _xlfn.XLOOKUP(
    CE$9,
    tbl_define_indicators[Indicator ID],
    tbl_define_indicators[Pillar]
  )
)</f>
        <v/>
      </c>
      <c r="CF7" s="99" t="str">
        <f>IF(
  CF$9="",
  "",
  _xlfn.XLOOKUP(
    CF$9,
    tbl_define_indicators[Indicator ID],
    tbl_define_indicators[Pillar]
  )
)</f>
        <v/>
      </c>
      <c r="CG7" s="99" t="str">
        <f>IF(
  CG$9="",
  "",
  _xlfn.XLOOKUP(
    CG$9,
    tbl_define_indicators[Indicator ID],
    tbl_define_indicators[Pillar]
  )
)</f>
        <v/>
      </c>
      <c r="CH7" s="99" t="str">
        <f>IF(
  CH$9="",
  "",
  _xlfn.XLOOKUP(
    CH$9,
    tbl_define_indicators[Indicator ID],
    tbl_define_indicators[Pillar]
  )
)</f>
        <v/>
      </c>
      <c r="CI7" s="99" t="str">
        <f>IF(
  CI$9="",
  "",
  _xlfn.XLOOKUP(
    CI$9,
    tbl_define_indicators[Indicator ID],
    tbl_define_indicators[Pillar]
  )
)</f>
        <v/>
      </c>
      <c r="CJ7" s="99" t="str">
        <f>IF(
  CJ$9="",
  "",
  _xlfn.XLOOKUP(
    CJ$9,
    tbl_define_indicators[Indicator ID],
    tbl_define_indicators[Pillar]
  )
)</f>
        <v/>
      </c>
      <c r="CK7" s="99" t="str">
        <f>IF(
  CK$9="",
  "",
  _xlfn.XLOOKUP(
    CK$9,
    tbl_define_indicators[Indicator ID],
    tbl_define_indicators[Pillar]
  )
)</f>
        <v/>
      </c>
      <c r="CL7" s="99" t="str">
        <f>IF(
  CL$9="",
  "",
  _xlfn.XLOOKUP(
    CL$9,
    tbl_define_indicators[Indicator ID],
    tbl_define_indicators[Pillar]
  )
)</f>
        <v/>
      </c>
      <c r="CM7" s="99" t="str">
        <f>IF(
  CM$9="",
  "",
  _xlfn.XLOOKUP(
    CM$9,
    tbl_define_indicators[Indicator ID],
    tbl_define_indicators[Pillar]
  )
)</f>
        <v/>
      </c>
      <c r="CN7" s="99" t="str">
        <f>IF(
  CN$9="",
  "",
  _xlfn.XLOOKUP(
    CN$9,
    tbl_define_indicators[Indicator ID],
    tbl_define_indicators[Pillar]
  )
)</f>
        <v/>
      </c>
      <c r="CO7" s="99" t="str">
        <f>IF(
  CO$9="",
  "",
  _xlfn.XLOOKUP(
    CO$9,
    tbl_define_indicators[Indicator ID],
    tbl_define_indicators[Pillar]
  )
)</f>
        <v/>
      </c>
      <c r="CP7" s="99" t="str">
        <f>IF(
  CP$9="",
  "",
  _xlfn.XLOOKUP(
    CP$9,
    tbl_define_indicators[Indicator ID],
    tbl_define_indicators[Pillar]
  )
)</f>
        <v/>
      </c>
      <c r="CQ7" s="99" t="str">
        <f>IF(
  CQ$9="",
  "",
  _xlfn.XLOOKUP(
    CQ$9,
    tbl_define_indicators[Indicator ID],
    tbl_define_indicators[Pillar]
  )
)</f>
        <v/>
      </c>
      <c r="CR7" s="99" t="str">
        <f>IF(
  CR$9="",
  "",
  _xlfn.XLOOKUP(
    CR$9,
    tbl_define_indicators[Indicator ID],
    tbl_define_indicators[Pillar]
  )
)</f>
        <v/>
      </c>
      <c r="CS7" s="99" t="str">
        <f>IF(
  CS$9="",
  "",
  _xlfn.XLOOKUP(
    CS$9,
    tbl_define_indicators[Indicator ID],
    tbl_define_indicators[Pillar]
  )
)</f>
        <v/>
      </c>
      <c r="CT7" s="99" t="str">
        <f>IF(
  CT$9="",
  "",
  _xlfn.XLOOKUP(
    CT$9,
    tbl_define_indicators[Indicator ID],
    tbl_define_indicators[Pillar]
  )
)</f>
        <v/>
      </c>
      <c r="CU7" s="99" t="str">
        <f>IF(
  CU$9="",
  "",
  _xlfn.XLOOKUP(
    CU$9,
    tbl_define_indicators[Indicator ID],
    tbl_define_indicators[Pillar]
  )
)</f>
        <v/>
      </c>
      <c r="CV7" s="99" t="str">
        <f>IF(
  CV$9="",
  "",
  _xlfn.XLOOKUP(
    CV$9,
    tbl_define_indicators[Indicator ID],
    tbl_define_indicators[Pillar]
  )
)</f>
        <v/>
      </c>
      <c r="CW7" s="99" t="str">
        <f>IF(
  CW$9="",
  "",
  _xlfn.XLOOKUP(
    CW$9,
    tbl_define_indicators[Indicator ID],
    tbl_define_indicators[Pillar]
  )
)</f>
        <v/>
      </c>
      <c r="CX7" s="99" t="str">
        <f>IF(
  CX$9="",
  "",
  _xlfn.XLOOKUP(
    CX$9,
    tbl_define_indicators[Indicator ID],
    tbl_define_indicators[Pillar]
  )
)</f>
        <v/>
      </c>
      <c r="CY7" s="99" t="str">
        <f>IF(
  CY$9="",
  "",
  _xlfn.XLOOKUP(
    CY$9,
    tbl_define_indicators[Indicator ID],
    tbl_define_indicators[Pillar]
  )
)</f>
        <v/>
      </c>
      <c r="CZ7" s="99" t="str">
        <f>IF(
  CZ$9="",
  "",
  _xlfn.XLOOKUP(
    CZ$9,
    tbl_define_indicators[Indicator ID],
    tbl_define_indicators[Pillar]
  )
)</f>
        <v/>
      </c>
    </row>
    <row r="8" spans="1:104" s="12" customFormat="1" ht="113" customHeight="1" x14ac:dyDescent="0.2">
      <c r="A8" s="72"/>
      <c r="B8" s="51" t="s">
        <v>3387</v>
      </c>
      <c r="C8" s="51" t="s">
        <v>3388</v>
      </c>
      <c r="D8" s="12" t="str">
        <f>IF(
  D$9="",
  "",
  _xlfn.XLOOKUP(
    D$9,
    tbl_define_indicators[Indicator ID],
    tbl_define_indicators[Indicator]
  )
)</f>
        <v/>
      </c>
      <c r="E8" s="12" t="str">
        <f>IF(
  E$9="",
  "",
  _xlfn.XLOOKUP(
    E$9,
    tbl_define_indicators[Indicator ID],
    tbl_define_indicators[Indicator]
  )
)</f>
        <v/>
      </c>
      <c r="F8" s="12" t="str">
        <f>IF(
  F$9="",
  "",
  _xlfn.XLOOKUP(
    F$9,
    tbl_define_indicators[Indicator ID],
    tbl_define_indicators[Indicator]
  )
)</f>
        <v/>
      </c>
      <c r="G8" s="12" t="str">
        <f>IF(
  G$9="",
  "",
  _xlfn.XLOOKUP(
    G$9,
    tbl_define_indicators[Indicator ID],
    tbl_define_indicators[Indicator]
  )
)</f>
        <v/>
      </c>
      <c r="H8" s="12" t="str">
        <f>IF(
  H$9="",
  "",
  _xlfn.XLOOKUP(
    H$9,
    tbl_define_indicators[Indicator ID],
    tbl_define_indicators[Indicator]
  )
)</f>
        <v/>
      </c>
      <c r="I8" s="12" t="str">
        <f>IF(
  I$9="",
  "",
  _xlfn.XLOOKUP(
    I$9,
    tbl_define_indicators[Indicator ID],
    tbl_define_indicators[Indicator]
  )
)</f>
        <v/>
      </c>
      <c r="J8" s="12" t="str">
        <f>IF(
  J$9="",
  "",
  _xlfn.XLOOKUP(
    J$9,
    tbl_define_indicators[Indicator ID],
    tbl_define_indicators[Indicator]
  )
)</f>
        <v/>
      </c>
      <c r="K8" s="12" t="str">
        <f>IF(
  K$9="",
  "",
  _xlfn.XLOOKUP(
    K$9,
    tbl_define_indicators[Indicator ID],
    tbl_define_indicators[Indicator]
  )
)</f>
        <v/>
      </c>
      <c r="L8" s="12" t="str">
        <f>IF(
  L$9="",
  "",
  _xlfn.XLOOKUP(
    L$9,
    tbl_define_indicators[Indicator ID],
    tbl_define_indicators[Indicator]
  )
)</f>
        <v/>
      </c>
      <c r="M8" s="12" t="str">
        <f>IF(
  M$9="",
  "",
  _xlfn.XLOOKUP(
    M$9,
    tbl_define_indicators[Indicator ID],
    tbl_define_indicators[Indicator]
  )
)</f>
        <v/>
      </c>
      <c r="N8" s="12" t="str">
        <f>IF(
  N$9="",
  "",
  _xlfn.XLOOKUP(
    N$9,
    tbl_define_indicators[Indicator ID],
    tbl_define_indicators[Indicator]
  )
)</f>
        <v/>
      </c>
      <c r="O8" s="12" t="str">
        <f>IF(
  O$9="",
  "",
  _xlfn.XLOOKUP(
    O$9,
    tbl_define_indicators[Indicator ID],
    tbl_define_indicators[Indicator]
  )
)</f>
        <v/>
      </c>
      <c r="P8" s="12" t="str">
        <f>IF(
  P$9="",
  "",
  _xlfn.XLOOKUP(
    P$9,
    tbl_define_indicators[Indicator ID],
    tbl_define_indicators[Indicator]
  )
)</f>
        <v/>
      </c>
      <c r="Q8" s="12" t="str">
        <f>IF(
  Q$9="",
  "",
  _xlfn.XLOOKUP(
    Q$9,
    tbl_define_indicators[Indicator ID],
    tbl_define_indicators[Indicator]
  )
)</f>
        <v/>
      </c>
      <c r="R8" s="12" t="str">
        <f>IF(
  R$9="",
  "",
  _xlfn.XLOOKUP(
    R$9,
    tbl_define_indicators[Indicator ID],
    tbl_define_indicators[Indicator]
  )
)</f>
        <v/>
      </c>
      <c r="S8" s="12" t="str">
        <f>IF(
  S$9="",
  "",
  _xlfn.XLOOKUP(
    S$9,
    tbl_define_indicators[Indicator ID],
    tbl_define_indicators[Indicator]
  )
)</f>
        <v/>
      </c>
      <c r="T8" s="12" t="str">
        <f>IF(
  T$9="",
  "",
  _xlfn.XLOOKUP(
    T$9,
    tbl_define_indicators[Indicator ID],
    tbl_define_indicators[Indicator]
  )
)</f>
        <v/>
      </c>
      <c r="U8" s="12" t="str">
        <f>IF(
  U$9="",
  "",
  _xlfn.XLOOKUP(
    U$9,
    tbl_define_indicators[Indicator ID],
    tbl_define_indicators[Indicator]
  )
)</f>
        <v/>
      </c>
      <c r="V8" s="12" t="str">
        <f>IF(
  V$9="",
  "",
  _xlfn.XLOOKUP(
    V$9,
    tbl_define_indicators[Indicator ID],
    tbl_define_indicators[Indicator]
  )
)</f>
        <v/>
      </c>
      <c r="W8" s="12" t="str">
        <f>IF(
  W$9="",
  "",
  _xlfn.XLOOKUP(
    W$9,
    tbl_define_indicators[Indicator ID],
    tbl_define_indicators[Indicator]
  )
)</f>
        <v/>
      </c>
      <c r="X8" s="12" t="str">
        <f>IF(
  X$9="",
  "",
  _xlfn.XLOOKUP(
    X$9,
    tbl_define_indicators[Indicator ID],
    tbl_define_indicators[Indicator]
  )
)</f>
        <v/>
      </c>
      <c r="Y8" s="12" t="str">
        <f>IF(
  Y$9="",
  "",
  _xlfn.XLOOKUP(
    Y$9,
    tbl_define_indicators[Indicator ID],
    tbl_define_indicators[Indicator]
  )
)</f>
        <v/>
      </c>
      <c r="Z8" s="12" t="str">
        <f>IF(
  Z$9="",
  "",
  _xlfn.XLOOKUP(
    Z$9,
    tbl_define_indicators[Indicator ID],
    tbl_define_indicators[Indicator]
  )
)</f>
        <v/>
      </c>
      <c r="AA8" s="12" t="str">
        <f>IF(
  AA$9="",
  "",
  _xlfn.XLOOKUP(
    AA$9,
    tbl_define_indicators[Indicator ID],
    tbl_define_indicators[Indicator]
  )
)</f>
        <v/>
      </c>
      <c r="AB8" s="12" t="str">
        <f>IF(
  AB$9="",
  "",
  _xlfn.XLOOKUP(
    AB$9,
    tbl_define_indicators[Indicator ID],
    tbl_define_indicators[Indicator]
  )
)</f>
        <v/>
      </c>
      <c r="AC8" s="12" t="str">
        <f>IF(
  AC$9="",
  "",
  _xlfn.XLOOKUP(
    AC$9,
    tbl_define_indicators[Indicator ID],
    tbl_define_indicators[Indicator]
  )
)</f>
        <v/>
      </c>
      <c r="AD8" s="12" t="str">
        <f>IF(
  AD$9="",
  "",
  _xlfn.XLOOKUP(
    AD$9,
    tbl_define_indicators[Indicator ID],
    tbl_define_indicators[Indicator]
  )
)</f>
        <v/>
      </c>
      <c r="AE8" s="12" t="str">
        <f>IF(
  AE$9="",
  "",
  _xlfn.XLOOKUP(
    AE$9,
    tbl_define_indicators[Indicator ID],
    tbl_define_indicators[Indicator]
  )
)</f>
        <v/>
      </c>
      <c r="AF8" s="12" t="str">
        <f>IF(
  AF$9="",
  "",
  _xlfn.XLOOKUP(
    AF$9,
    tbl_define_indicators[Indicator ID],
    tbl_define_indicators[Indicator]
  )
)</f>
        <v/>
      </c>
      <c r="AG8" s="12" t="str">
        <f>IF(
  AG$9="",
  "",
  _xlfn.XLOOKUP(
    AG$9,
    tbl_define_indicators[Indicator ID],
    tbl_define_indicators[Indicator]
  )
)</f>
        <v/>
      </c>
      <c r="AH8" s="12" t="str">
        <f>IF(
  AH$9="",
  "",
  _xlfn.XLOOKUP(
    AH$9,
    tbl_define_indicators[Indicator ID],
    tbl_define_indicators[Indicator]
  )
)</f>
        <v/>
      </c>
      <c r="AI8" s="12" t="str">
        <f>IF(
  AI$9="",
  "",
  _xlfn.XLOOKUP(
    AI$9,
    tbl_define_indicators[Indicator ID],
    tbl_define_indicators[Indicator]
  )
)</f>
        <v/>
      </c>
      <c r="AJ8" s="12" t="str">
        <f>IF(
  AJ$9="",
  "",
  _xlfn.XLOOKUP(
    AJ$9,
    tbl_define_indicators[Indicator ID],
    tbl_define_indicators[Indicator]
  )
)</f>
        <v/>
      </c>
      <c r="AK8" s="12" t="str">
        <f>IF(
  AK$9="",
  "",
  _xlfn.XLOOKUP(
    AK$9,
    tbl_define_indicators[Indicator ID],
    tbl_define_indicators[Indicator]
  )
)</f>
        <v/>
      </c>
      <c r="AL8" s="12" t="str">
        <f>IF(
  AL$9="",
  "",
  _xlfn.XLOOKUP(
    AL$9,
    tbl_define_indicators[Indicator ID],
    tbl_define_indicators[Indicator]
  )
)</f>
        <v/>
      </c>
      <c r="AM8" s="12" t="str">
        <f>IF(
  AM$9="",
  "",
  _xlfn.XLOOKUP(
    AM$9,
    tbl_define_indicators[Indicator ID],
    tbl_define_indicators[Indicator]
  )
)</f>
        <v/>
      </c>
      <c r="AN8" s="12" t="str">
        <f>IF(
  AN$9="",
  "",
  _xlfn.XLOOKUP(
    AN$9,
    tbl_define_indicators[Indicator ID],
    tbl_define_indicators[Indicator]
  )
)</f>
        <v/>
      </c>
      <c r="AO8" s="12" t="str">
        <f>IF(
  AO$9="",
  "",
  _xlfn.XLOOKUP(
    AO$9,
    tbl_define_indicators[Indicator ID],
    tbl_define_indicators[Indicator]
  )
)</f>
        <v/>
      </c>
      <c r="AP8" s="12" t="str">
        <f>IF(
  AP$9="",
  "",
  _xlfn.XLOOKUP(
    AP$9,
    tbl_define_indicators[Indicator ID],
    tbl_define_indicators[Indicator]
  )
)</f>
        <v/>
      </c>
      <c r="AQ8" s="12" t="str">
        <f>IF(
  AQ$9="",
  "",
  _xlfn.XLOOKUP(
    AQ$9,
    tbl_define_indicators[Indicator ID],
    tbl_define_indicators[Indicator]
  )
)</f>
        <v/>
      </c>
      <c r="AR8" s="12" t="str">
        <f>IF(
  AR$9="",
  "",
  _xlfn.XLOOKUP(
    AR$9,
    tbl_define_indicators[Indicator ID],
    tbl_define_indicators[Indicator]
  )
)</f>
        <v/>
      </c>
      <c r="AS8" s="12" t="str">
        <f>IF(
  AS$9="",
  "",
  _xlfn.XLOOKUP(
    AS$9,
    tbl_define_indicators[Indicator ID],
    tbl_define_indicators[Indicator]
  )
)</f>
        <v/>
      </c>
      <c r="AT8" s="12" t="str">
        <f>IF(
  AT$9="",
  "",
  _xlfn.XLOOKUP(
    AT$9,
    tbl_define_indicators[Indicator ID],
    tbl_define_indicators[Indicator]
  )
)</f>
        <v/>
      </c>
      <c r="AU8" s="12" t="str">
        <f>IF(
  AU$9="",
  "",
  _xlfn.XLOOKUP(
    AU$9,
    tbl_define_indicators[Indicator ID],
    tbl_define_indicators[Indicator]
  )
)</f>
        <v/>
      </c>
      <c r="AV8" s="12" t="str">
        <f>IF(
  AV$9="",
  "",
  _xlfn.XLOOKUP(
    AV$9,
    tbl_define_indicators[Indicator ID],
    tbl_define_indicators[Indicator]
  )
)</f>
        <v/>
      </c>
      <c r="AW8" s="12" t="str">
        <f>IF(
  AW$9="",
  "",
  _xlfn.XLOOKUP(
    AW$9,
    tbl_define_indicators[Indicator ID],
    tbl_define_indicators[Indicator]
  )
)</f>
        <v/>
      </c>
      <c r="AX8" s="12" t="str">
        <f>IF(
  AX$9="",
  "",
  _xlfn.XLOOKUP(
    AX$9,
    tbl_define_indicators[Indicator ID],
    tbl_define_indicators[Indicator]
  )
)</f>
        <v/>
      </c>
      <c r="AY8" s="12" t="str">
        <f>IF(
  AY$9="",
  "",
  _xlfn.XLOOKUP(
    AY$9,
    tbl_define_indicators[Indicator ID],
    tbl_define_indicators[Indicator]
  )
)</f>
        <v/>
      </c>
      <c r="AZ8" s="12" t="str">
        <f>IF(
  AZ$9="",
  "",
  _xlfn.XLOOKUP(
    AZ$9,
    tbl_define_indicators[Indicator ID],
    tbl_define_indicators[Indicator]
  )
)</f>
        <v/>
      </c>
      <c r="BA8" s="12" t="str">
        <f>IF(
  BA$9="",
  "",
  _xlfn.XLOOKUP(
    BA$9,
    tbl_define_indicators[Indicator ID],
    tbl_define_indicators[Indicator]
  )
)</f>
        <v/>
      </c>
      <c r="BB8" s="12" t="str">
        <f>IF(
  BB$9="",
  "",
  _xlfn.XLOOKUP(
    BB$9,
    tbl_define_indicators[Indicator ID],
    tbl_define_indicators[Indicator]
  )
)</f>
        <v/>
      </c>
      <c r="BC8" s="12" t="str">
        <f>IF(
  BC$9="",
  "",
  _xlfn.XLOOKUP(
    BC$9,
    tbl_define_indicators[Indicator ID],
    tbl_define_indicators[Indicator]
  )
)</f>
        <v/>
      </c>
      <c r="BD8" s="12" t="str">
        <f>IF(
  BD$9="",
  "",
  _xlfn.XLOOKUP(
    BD$9,
    tbl_define_indicators[Indicator ID],
    tbl_define_indicators[Indicator]
  )
)</f>
        <v/>
      </c>
      <c r="BE8" s="12" t="str">
        <f>IF(
  BE$9="",
  "",
  _xlfn.XLOOKUP(
    BE$9,
    tbl_define_indicators[Indicator ID],
    tbl_define_indicators[Indicator]
  )
)</f>
        <v/>
      </c>
      <c r="BF8" s="12" t="str">
        <f>IF(
  BF$9="",
  "",
  _xlfn.XLOOKUP(
    BF$9,
    tbl_define_indicators[Indicator ID],
    tbl_define_indicators[Indicator]
  )
)</f>
        <v/>
      </c>
      <c r="BG8" s="12" t="str">
        <f>IF(
  BG$9="",
  "",
  _xlfn.XLOOKUP(
    BG$9,
    tbl_define_indicators[Indicator ID],
    tbl_define_indicators[Indicator]
  )
)</f>
        <v/>
      </c>
      <c r="BH8" s="12" t="str">
        <f>IF(
  BH$9="",
  "",
  _xlfn.XLOOKUP(
    BH$9,
    tbl_define_indicators[Indicator ID],
    tbl_define_indicators[Indicator]
  )
)</f>
        <v/>
      </c>
      <c r="BI8" s="12" t="str">
        <f>IF(
  BI$9="",
  "",
  _xlfn.XLOOKUP(
    BI$9,
    tbl_define_indicators[Indicator ID],
    tbl_define_indicators[Indicator]
  )
)</f>
        <v/>
      </c>
      <c r="BJ8" s="12" t="str">
        <f>IF(
  BJ$9="",
  "",
  _xlfn.XLOOKUP(
    BJ$9,
    tbl_define_indicators[Indicator ID],
    tbl_define_indicators[Indicator]
  )
)</f>
        <v/>
      </c>
      <c r="BK8" s="12" t="str">
        <f>IF(
  BK$9="",
  "",
  _xlfn.XLOOKUP(
    BK$9,
    tbl_define_indicators[Indicator ID],
    tbl_define_indicators[Indicator]
  )
)</f>
        <v/>
      </c>
      <c r="BL8" s="12" t="str">
        <f>IF(
  BL$9="",
  "",
  _xlfn.XLOOKUP(
    BL$9,
    tbl_define_indicators[Indicator ID],
    tbl_define_indicators[Indicator]
  )
)</f>
        <v/>
      </c>
      <c r="BM8" s="12" t="str">
        <f>IF(
  BM$9="",
  "",
  _xlfn.XLOOKUP(
    BM$9,
    tbl_define_indicators[Indicator ID],
    tbl_define_indicators[Indicator]
  )
)</f>
        <v/>
      </c>
      <c r="BN8" s="12" t="str">
        <f>IF(
  BN$9="",
  "",
  _xlfn.XLOOKUP(
    BN$9,
    tbl_define_indicators[Indicator ID],
    tbl_define_indicators[Indicator]
  )
)</f>
        <v/>
      </c>
      <c r="BO8" s="12" t="str">
        <f>IF(
  BO$9="",
  "",
  _xlfn.XLOOKUP(
    BO$9,
    tbl_define_indicators[Indicator ID],
    tbl_define_indicators[Indicator]
  )
)</f>
        <v/>
      </c>
      <c r="BP8" s="12" t="str">
        <f>IF(
  BP$9="",
  "",
  _xlfn.XLOOKUP(
    BP$9,
    tbl_define_indicators[Indicator ID],
    tbl_define_indicators[Indicator]
  )
)</f>
        <v/>
      </c>
      <c r="BQ8" s="12" t="str">
        <f>IF(
  BQ$9="",
  "",
  _xlfn.XLOOKUP(
    BQ$9,
    tbl_define_indicators[Indicator ID],
    tbl_define_indicators[Indicator]
  )
)</f>
        <v/>
      </c>
      <c r="BR8" s="12" t="str">
        <f>IF(
  BR$9="",
  "",
  _xlfn.XLOOKUP(
    BR$9,
    tbl_define_indicators[Indicator ID],
    tbl_define_indicators[Indicator]
  )
)</f>
        <v/>
      </c>
      <c r="BS8" s="12" t="str">
        <f>IF(
  BS$9="",
  "",
  _xlfn.XLOOKUP(
    BS$9,
    tbl_define_indicators[Indicator ID],
    tbl_define_indicators[Indicator]
  )
)</f>
        <v/>
      </c>
      <c r="BT8" s="12" t="str">
        <f>IF(
  BT$9="",
  "",
  _xlfn.XLOOKUP(
    BT$9,
    tbl_define_indicators[Indicator ID],
    tbl_define_indicators[Indicator]
  )
)</f>
        <v/>
      </c>
      <c r="BU8" s="12" t="str">
        <f>IF(
  BU$9="",
  "",
  _xlfn.XLOOKUP(
    BU$9,
    tbl_define_indicators[Indicator ID],
    tbl_define_indicators[Indicator]
  )
)</f>
        <v/>
      </c>
      <c r="BV8" s="12" t="str">
        <f>IF(
  BV$9="",
  "",
  _xlfn.XLOOKUP(
    BV$9,
    tbl_define_indicators[Indicator ID],
    tbl_define_indicators[Indicator]
  )
)</f>
        <v/>
      </c>
      <c r="BW8" s="12" t="str">
        <f>IF(
  BW$9="",
  "",
  _xlfn.XLOOKUP(
    BW$9,
    tbl_define_indicators[Indicator ID],
    tbl_define_indicators[Indicator]
  )
)</f>
        <v/>
      </c>
      <c r="BX8" s="12" t="str">
        <f>IF(
  BX$9="",
  "",
  _xlfn.XLOOKUP(
    BX$9,
    tbl_define_indicators[Indicator ID],
    tbl_define_indicators[Indicator]
  )
)</f>
        <v/>
      </c>
      <c r="BY8" s="12" t="str">
        <f>IF(
  BY$9="",
  "",
  _xlfn.XLOOKUP(
    BY$9,
    tbl_define_indicators[Indicator ID],
    tbl_define_indicators[Indicator]
  )
)</f>
        <v/>
      </c>
      <c r="BZ8" s="12" t="str">
        <f>IF(
  BZ$9="",
  "",
  _xlfn.XLOOKUP(
    BZ$9,
    tbl_define_indicators[Indicator ID],
    tbl_define_indicators[Indicator]
  )
)</f>
        <v/>
      </c>
      <c r="CA8" s="12" t="str">
        <f>IF(
  CA$9="",
  "",
  _xlfn.XLOOKUP(
    CA$9,
    tbl_define_indicators[Indicator ID],
    tbl_define_indicators[Indicator]
  )
)</f>
        <v/>
      </c>
      <c r="CB8" s="12" t="str">
        <f>IF(
  CB$9="",
  "",
  _xlfn.XLOOKUP(
    CB$9,
    tbl_define_indicators[Indicator ID],
    tbl_define_indicators[Indicator]
  )
)</f>
        <v/>
      </c>
      <c r="CC8" s="12" t="str">
        <f>IF(
  CC$9="",
  "",
  _xlfn.XLOOKUP(
    CC$9,
    tbl_define_indicators[Indicator ID],
    tbl_define_indicators[Indicator]
  )
)</f>
        <v/>
      </c>
      <c r="CD8" s="12" t="str">
        <f>IF(
  CD$9="",
  "",
  _xlfn.XLOOKUP(
    CD$9,
    tbl_define_indicators[Indicator ID],
    tbl_define_indicators[Indicator]
  )
)</f>
        <v/>
      </c>
      <c r="CE8" s="12" t="str">
        <f>IF(
  CE$9="",
  "",
  _xlfn.XLOOKUP(
    CE$9,
    tbl_define_indicators[Indicator ID],
    tbl_define_indicators[Indicator]
  )
)</f>
        <v/>
      </c>
      <c r="CF8" s="12" t="str">
        <f>IF(
  CF$9="",
  "",
  _xlfn.XLOOKUP(
    CF$9,
    tbl_define_indicators[Indicator ID],
    tbl_define_indicators[Indicator]
  )
)</f>
        <v/>
      </c>
      <c r="CG8" s="12" t="str">
        <f>IF(
  CG$9="",
  "",
  _xlfn.XLOOKUP(
    CG$9,
    tbl_define_indicators[Indicator ID],
    tbl_define_indicators[Indicator]
  )
)</f>
        <v/>
      </c>
      <c r="CH8" s="12" t="str">
        <f>IF(
  CH$9="",
  "",
  _xlfn.XLOOKUP(
    CH$9,
    tbl_define_indicators[Indicator ID],
    tbl_define_indicators[Indicator]
  )
)</f>
        <v/>
      </c>
      <c r="CI8" s="12" t="str">
        <f>IF(
  CI$9="",
  "",
  _xlfn.XLOOKUP(
    CI$9,
    tbl_define_indicators[Indicator ID],
    tbl_define_indicators[Indicator]
  )
)</f>
        <v/>
      </c>
      <c r="CJ8" s="12" t="str">
        <f>IF(
  CJ$9="",
  "",
  _xlfn.XLOOKUP(
    CJ$9,
    tbl_define_indicators[Indicator ID],
    tbl_define_indicators[Indicator]
  )
)</f>
        <v/>
      </c>
      <c r="CK8" s="12" t="str">
        <f>IF(
  CK$9="",
  "",
  _xlfn.XLOOKUP(
    CK$9,
    tbl_define_indicators[Indicator ID],
    tbl_define_indicators[Indicator]
  )
)</f>
        <v/>
      </c>
      <c r="CL8" s="12" t="str">
        <f>IF(
  CL$9="",
  "",
  _xlfn.XLOOKUP(
    CL$9,
    tbl_define_indicators[Indicator ID],
    tbl_define_indicators[Indicator]
  )
)</f>
        <v/>
      </c>
      <c r="CM8" s="12" t="str">
        <f>IF(
  CM$9="",
  "",
  _xlfn.XLOOKUP(
    CM$9,
    tbl_define_indicators[Indicator ID],
    tbl_define_indicators[Indicator]
  )
)</f>
        <v/>
      </c>
      <c r="CN8" s="12" t="str">
        <f>IF(
  CN$9="",
  "",
  _xlfn.XLOOKUP(
    CN$9,
    tbl_define_indicators[Indicator ID],
    tbl_define_indicators[Indicator]
  )
)</f>
        <v/>
      </c>
      <c r="CO8" s="12" t="str">
        <f>IF(
  CO$9="",
  "",
  _xlfn.XLOOKUP(
    CO$9,
    tbl_define_indicators[Indicator ID],
    tbl_define_indicators[Indicator]
  )
)</f>
        <v/>
      </c>
      <c r="CP8" s="12" t="str">
        <f>IF(
  CP$9="",
  "",
  _xlfn.XLOOKUP(
    CP$9,
    tbl_define_indicators[Indicator ID],
    tbl_define_indicators[Indicator]
  )
)</f>
        <v/>
      </c>
      <c r="CQ8" s="12" t="str">
        <f>IF(
  CQ$9="",
  "",
  _xlfn.XLOOKUP(
    CQ$9,
    tbl_define_indicators[Indicator ID],
    tbl_define_indicators[Indicator]
  )
)</f>
        <v/>
      </c>
      <c r="CR8" s="12" t="str">
        <f>IF(
  CR$9="",
  "",
  _xlfn.XLOOKUP(
    CR$9,
    tbl_define_indicators[Indicator ID],
    tbl_define_indicators[Indicator]
  )
)</f>
        <v/>
      </c>
      <c r="CS8" s="12" t="str">
        <f>IF(
  CS$9="",
  "",
  _xlfn.XLOOKUP(
    CS$9,
    tbl_define_indicators[Indicator ID],
    tbl_define_indicators[Indicator]
  )
)</f>
        <v/>
      </c>
      <c r="CT8" s="12" t="str">
        <f>IF(
  CT$9="",
  "",
  _xlfn.XLOOKUP(
    CT$9,
    tbl_define_indicators[Indicator ID],
    tbl_define_indicators[Indicator]
  )
)</f>
        <v/>
      </c>
      <c r="CU8" s="12" t="str">
        <f>IF(
  CU$9="",
  "",
  _xlfn.XLOOKUP(
    CU$9,
    tbl_define_indicators[Indicator ID],
    tbl_define_indicators[Indicator]
  )
)</f>
        <v/>
      </c>
      <c r="CV8" s="12" t="str">
        <f>IF(
  CV$9="",
  "",
  _xlfn.XLOOKUP(
    CV$9,
    tbl_define_indicators[Indicator ID],
    tbl_define_indicators[Indicator]
  )
)</f>
        <v/>
      </c>
      <c r="CW8" s="12" t="str">
        <f>IF(
  CW$9="",
  "",
  _xlfn.XLOOKUP(
    CW$9,
    tbl_define_indicators[Indicator ID],
    tbl_define_indicators[Indicator]
  )
)</f>
        <v/>
      </c>
      <c r="CX8" s="12" t="str">
        <f>IF(
  CX$9="",
  "",
  _xlfn.XLOOKUP(
    CX$9,
    tbl_define_indicators[Indicator ID],
    tbl_define_indicators[Indicator]
  )
)</f>
        <v/>
      </c>
      <c r="CY8" s="12" t="str">
        <f>IF(
  CY$9="",
  "",
  _xlfn.XLOOKUP(
    CY$9,
    tbl_define_indicators[Indicator ID],
    tbl_define_indicators[Indicator]
  )
)</f>
        <v/>
      </c>
      <c r="CZ8" s="12" t="str">
        <f>IF(
  CZ$9="",
  "",
  _xlfn.XLOOKUP(
    CZ$9,
    tbl_define_indicators[Indicator ID],
    tbl_define_indicators[Indicator]
  )
)</f>
        <v/>
      </c>
    </row>
    <row r="9" spans="1:104" s="70" customFormat="1" ht="16" hidden="1" customHeight="1" x14ac:dyDescent="0.2">
      <c r="D9" s="70" t="str" cm="1">
        <f t="array" ref="D9">IF(
  IndicatorsDefined,
  TRANSPOSE(
    _xlfn._xlws.FILTER(
      tbl_define_indicators[Indicator ID],
      tbl_define_indicators[Include]=TRUE
    )
  ),
  ""
)</f>
        <v/>
      </c>
    </row>
    <row r="10" spans="1:104" x14ac:dyDescent="0.2">
      <c r="B10" s="6" t="str" cm="1">
        <f t="array" ref="B10">IF(
  CountrySelected,
  _xlfn._xlws.FILTER(
    tbl_geo[Country / Territory],
    tbl_geo[Country / Territory]='1. Describe Your Emergency'!$D$6
  ),
  ""
)</f>
        <v/>
      </c>
      <c r="C10" s="6" t="str" cm="1">
        <f t="array" ref="C10">IF(
  CountrySelected,
  _xlfn._xlws.FILTER(
    tbl_geo[Subnational Level],
    tbl_geo[Country / Territory]='1. Describe Your Emergency'!$D$6
  ),
  ""
)</f>
        <v/>
      </c>
    </row>
    <row r="11" spans="1:104" x14ac:dyDescent="0.2">
      <c r="D11" s="71"/>
      <c r="I11" s="71"/>
    </row>
    <row r="23" spans="1:21" x14ac:dyDescent="0.2">
      <c r="A23" s="11"/>
    </row>
    <row r="24" spans="1:21" x14ac:dyDescent="0.2">
      <c r="A24" s="11"/>
    </row>
    <row r="25" spans="1:21" s="50" customFormat="1" x14ac:dyDescent="0.2">
      <c r="A25" s="52"/>
      <c r="B25" s="6"/>
      <c r="C25" s="6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</row>
  </sheetData>
  <mergeCells count="2">
    <mergeCell ref="B4:C4"/>
    <mergeCell ref="B5:C5"/>
  </mergeCells>
  <conditionalFormatting sqref="A7:B7 D7:XFD7">
    <cfRule type="cellIs" dxfId="39" priority="6" operator="equal">
      <formula>"Coping Capacity"</formula>
    </cfRule>
    <cfRule type="containsText" dxfId="38" priority="7" operator="containsText" text="LOCC">
      <formula>NOT(ISERROR(SEARCH("LOCC",A7)))</formula>
    </cfRule>
    <cfRule type="cellIs" dxfId="37" priority="8" operator="equal">
      <formula>"Lack of coping capacity"</formula>
    </cfRule>
    <cfRule type="cellIs" dxfId="36" priority="9" operator="equal">
      <formula>"Vulnerability"</formula>
    </cfRule>
    <cfRule type="cellIs" dxfId="35" priority="10" operator="equal">
      <formula>"Exposure"</formula>
    </cfRule>
  </conditionalFormatting>
  <conditionalFormatting sqref="B8:C8">
    <cfRule type="expression" dxfId="34" priority="1" stopIfTrue="1">
      <formula>NOT(IndicatorsDefined)</formula>
    </cfRule>
  </conditionalFormatting>
  <conditionalFormatting sqref="B8:C100">
    <cfRule type="notContainsBlanks" dxfId="33" priority="3" stopIfTrue="1">
      <formula>LEN(TRIM(B8))&gt;0</formula>
    </cfRule>
  </conditionalFormatting>
  <conditionalFormatting sqref="D7:CZ9">
    <cfRule type="notContainsBlanks" dxfId="32" priority="4">
      <formula>LEN(TRIM(D7))&gt;0</formula>
    </cfRule>
  </conditionalFormatting>
  <conditionalFormatting sqref="D10:CZ100">
    <cfRule type="expression" dxfId="31" priority="24">
      <formula>AND($B10&lt;&gt;"", D$8&lt;&gt;"")</formula>
    </cfRule>
  </conditionalFormatting>
  <conditionalFormatting sqref="K11">
    <cfRule type="expression" dxfId="30" priority="2" stopIfTrue="1">
      <formula>AND($B12&lt;&gt;"", K$8&lt;&gt;"")</formula>
    </cfRule>
  </conditionalFormatting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7DE9-1FBB-2845-BE07-6F85F8744813}">
  <sheetPr codeName="Sheet15"/>
  <dimension ref="A1:L100"/>
  <sheetViews>
    <sheetView zoomScale="119" workbookViewId="0">
      <selection activeCell="A2" sqref="A2"/>
    </sheetView>
  </sheetViews>
  <sheetFormatPr baseColWidth="10" defaultRowHeight="15" x14ac:dyDescent="0.2"/>
  <cols>
    <col min="1" max="1" width="7.6640625" style="10" customWidth="1"/>
    <col min="2" max="3" width="22.1640625" style="9" customWidth="1"/>
    <col min="4" max="4" width="9" style="9" customWidth="1"/>
    <col min="5" max="5" width="10.83203125" style="9" hidden="1" customWidth="1"/>
    <col min="6" max="6" width="60.5" style="10" bestFit="1" customWidth="1"/>
    <col min="7" max="7" width="13.33203125" style="9" bestFit="1" customWidth="1"/>
    <col min="8" max="8" width="14" style="88" bestFit="1" customWidth="1"/>
    <col min="9" max="9" width="12.33203125" style="89" bestFit="1" customWidth="1"/>
    <col min="10" max="10" width="9" style="6" customWidth="1"/>
    <col min="11" max="12" width="28.6640625" style="6" customWidth="1"/>
    <col min="13" max="16384" width="10.83203125" style="6"/>
  </cols>
  <sheetData>
    <row r="1" spans="1:12" x14ac:dyDescent="0.2">
      <c r="A1" s="156" t="b">
        <f>AND(
ABS(C12-1)&lt;0.0001,
ABS(L12-1)&lt;0.0001
)</f>
        <v>0</v>
      </c>
      <c r="B1" s="5"/>
      <c r="H1" s="9"/>
      <c r="I1" s="6"/>
    </row>
    <row r="2" spans="1:12" ht="34" customHeight="1" x14ac:dyDescent="0.4">
      <c r="A2" s="6"/>
      <c r="B2" s="73" t="s">
        <v>3375</v>
      </c>
      <c r="H2" s="9"/>
      <c r="I2" s="6"/>
    </row>
    <row r="3" spans="1:12" ht="15" customHeight="1" x14ac:dyDescent="0.2">
      <c r="A3" s="6"/>
      <c r="B3" s="144" t="s">
        <v>3376</v>
      </c>
      <c r="H3" s="9"/>
      <c r="I3" s="6"/>
    </row>
    <row r="4" spans="1:12" ht="207" customHeight="1" x14ac:dyDescent="0.2">
      <c r="A4" s="6"/>
      <c r="B4" s="176" t="s">
        <v>3428</v>
      </c>
      <c r="C4" s="176"/>
      <c r="H4" s="9"/>
      <c r="I4" s="6"/>
    </row>
    <row r="5" spans="1:12" ht="56" customHeight="1" x14ac:dyDescent="0.2">
      <c r="A5" s="6"/>
      <c r="B5" s="175" t="str">
        <f>IF(IndicatorsDefined,"","First define indicators in Step 2. Once at least one indicator is selected, tables will appear here where you can enter pillar and indicator weights.")</f>
        <v>First define indicators in Step 2. Once at least one indicator is selected, tables will appear here where you can enter pillar and indicator weights.</v>
      </c>
      <c r="C5" s="175"/>
      <c r="H5" s="9"/>
      <c r="I5" s="6"/>
    </row>
    <row r="6" spans="1:12" ht="16" thickBot="1" x14ac:dyDescent="0.25">
      <c r="A6" s="6"/>
      <c r="B6" s="6"/>
      <c r="H6" s="9"/>
      <c r="I6" s="6"/>
    </row>
    <row r="7" spans="1:12" s="74" customFormat="1" ht="40" customHeight="1" thickBot="1" x14ac:dyDescent="0.3">
      <c r="B7" s="177" t="s">
        <v>3380</v>
      </c>
      <c r="C7" s="178"/>
      <c r="D7" s="75"/>
      <c r="E7" s="75"/>
      <c r="F7" s="179" t="s">
        <v>3379</v>
      </c>
      <c r="G7" s="180"/>
      <c r="H7" s="180"/>
      <c r="I7" s="181"/>
      <c r="J7" s="75"/>
      <c r="K7" s="182" t="s">
        <v>3381</v>
      </c>
      <c r="L7" s="181"/>
    </row>
    <row r="8" spans="1:12" s="5" customFormat="1" ht="17" thickBot="1" x14ac:dyDescent="0.25">
      <c r="A8" s="7"/>
      <c r="B8" s="76" t="s">
        <v>0</v>
      </c>
      <c r="C8" s="77" t="s">
        <v>5</v>
      </c>
      <c r="D8" s="8"/>
      <c r="E8" s="134" t="s">
        <v>3368</v>
      </c>
      <c r="F8" s="135" t="s">
        <v>2</v>
      </c>
      <c r="G8" s="136" t="s">
        <v>0</v>
      </c>
      <c r="H8" s="136" t="s">
        <v>3345</v>
      </c>
      <c r="I8" s="137" t="s">
        <v>3346</v>
      </c>
      <c r="J8" s="8"/>
      <c r="K8" s="76" t="s">
        <v>0</v>
      </c>
      <c r="L8" s="85" t="s">
        <v>3377</v>
      </c>
    </row>
    <row r="9" spans="1:12" ht="16" x14ac:dyDescent="0.2">
      <c r="A9" s="7"/>
      <c r="B9" s="78" t="s">
        <v>6</v>
      </c>
      <c r="C9" s="79"/>
      <c r="E9" s="9" t="e" cm="1" vm="1">
        <f t="array" ref="E9" xml:space="preserve">
  _xlfn._xlws.FILTER(
    tbl_define_indicators[Indicator ID],
    tbl_define_indicators[Include]=TRUE
  )</f>
        <v>#VALUE!</v>
      </c>
      <c r="F9" s="10" t="str" cm="1">
        <f t="array" ref="F9">IF(
  IndicatorsDefined,
  _xlfn._xlws.FILTER(
    CHOOSE({1,2},
      tbl_define_indicators[Indicator],
      tbl_define_indicators[Pillar]
    ),
    tbl_define_indicators[Include]=TRUE
  ),
  ""
)</f>
        <v/>
      </c>
      <c r="H9" s="90"/>
      <c r="I9" s="88" t="str">
        <f>IF(
OR($G9="",$H9=""),
"",
$H9*_xlfn.XLOOKUP($G9,'4. Define Weights'!$B$9:$B$12,'4. Define Weights'!$C$9:$C$12
)
)</f>
        <v/>
      </c>
      <c r="J9" s="9"/>
      <c r="K9" s="78" t="s">
        <v>6</v>
      </c>
      <c r="L9" s="100">
        <f>SUMIF($G$9:$G$100, K9,$H$9:$H$100 )</f>
        <v>0</v>
      </c>
    </row>
    <row r="10" spans="1:12" ht="16" x14ac:dyDescent="0.2">
      <c r="B10" s="80" t="s">
        <v>7</v>
      </c>
      <c r="C10" s="79"/>
      <c r="H10" s="90"/>
      <c r="I10" s="88" t="str">
        <f>IF(
OR($G10="",$H10=""),
"",
$H10*_xlfn.XLOOKUP($G10,'4. Define Weights'!$B$9:$B$12,'4. Define Weights'!$C$9:$C$12
)
)</f>
        <v/>
      </c>
      <c r="J10" s="9"/>
      <c r="K10" s="80" t="s">
        <v>7</v>
      </c>
      <c r="L10" s="100">
        <f>SUMIF($G$9:$G$100, K10,$H$9:$H$100 )</f>
        <v>0</v>
      </c>
    </row>
    <row r="11" spans="1:12" ht="17" thickBot="1" x14ac:dyDescent="0.25">
      <c r="B11" s="81" t="s">
        <v>3353</v>
      </c>
      <c r="C11" s="82"/>
      <c r="H11" s="90"/>
      <c r="I11" s="88" t="str">
        <f>IF(
OR($G11="",$H11=""),
"",
$H11*_xlfn.XLOOKUP($G11,'4. Define Weights'!$B$9:$B$12,'4. Define Weights'!$C$9:$C$12
)
)</f>
        <v/>
      </c>
      <c r="J11" s="9"/>
      <c r="K11" s="86" t="s">
        <v>3353</v>
      </c>
      <c r="L11" s="101">
        <f>SUMIF($G$9:$G$100, K11,$H$9:$H$100 )</f>
        <v>0</v>
      </c>
    </row>
    <row r="12" spans="1:12" ht="18" thickTop="1" thickBot="1" x14ac:dyDescent="0.25">
      <c r="B12" s="83" t="s">
        <v>3378</v>
      </c>
      <c r="C12" s="84">
        <f>SUM($C$9:$C$11)</f>
        <v>0</v>
      </c>
      <c r="H12" s="90"/>
      <c r="I12" s="88" t="str">
        <f>IF(
OR($G12="",$H12=""),
"",
$H12*_xlfn.XLOOKUP($G12,'4. Define Weights'!$B$9:$B$12,'4. Define Weights'!$C$9:$C$12
)
)</f>
        <v/>
      </c>
      <c r="J12" s="9"/>
      <c r="K12" s="83" t="s">
        <v>3378</v>
      </c>
      <c r="L12" s="84">
        <f>SUM(I9:I100)</f>
        <v>0</v>
      </c>
    </row>
    <row r="13" spans="1:12" ht="18" thickTop="1" thickBot="1" x14ac:dyDescent="0.25">
      <c r="F13" s="87"/>
      <c r="H13" s="90"/>
      <c r="I13" s="88" t="str">
        <f>IF(
OR($G13="",$H13=""),
"",
$H13*_xlfn.XLOOKUP($G13,'4. Define Weights'!$B$9:$B$12,'4. Define Weights'!$C$9:$C$12
)
)</f>
        <v/>
      </c>
      <c r="J13" s="9"/>
      <c r="K13" s="9"/>
      <c r="L13" s="9"/>
    </row>
    <row r="14" spans="1:12" ht="17" customHeight="1" thickBot="1" x14ac:dyDescent="0.25">
      <c r="B14" s="183" t="str">
        <f>IF(
  COUNT($C$9:$C$11)=0,
  "Define pillar weights in the table above.",
  IF(
    ABS($C$12-1)&lt;0.0001,
    "Pillar weights are valid. Total equals 100%.",
    "Pillar weights must sum to 100%. Please adjust."
  )
)</f>
        <v>Define pillar weights in the table above.</v>
      </c>
      <c r="C14" s="184"/>
      <c r="H14" s="90"/>
      <c r="I14" s="88" t="str">
        <f>IF(
OR($G14="",$H14=""),
"",
$H14*_xlfn.XLOOKUP($G14,'4. Define Weights'!$B$9:$B$12,'4. Define Weights'!$C$9:$C$12
)
)</f>
        <v/>
      </c>
      <c r="J14" s="9"/>
      <c r="K14" s="183" t="str" cm="1">
        <f t="array" ref="K14">IF(
  SUM($L$9:$L$11)=0,
  "Define indicator weights in the table to the left.",
  IF(
    COUNTIF($L$9:$L$11,"&lt;&gt;1")=0,
    "Indicator weights are valid. Each pillar sums to 100%.",
    "Indicator weights are invalid for: " &amp;
      _xlfn.TEXTJOIN(
        ", ",
        TRUE,
        _xlfn._xlws.FILTER($K$9:$K$11, ABS($L$9:$L$11-1)&gt;0.0001)
      )
  )
)</f>
        <v>Define indicator weights in the table to the left.</v>
      </c>
      <c r="L14" s="184"/>
    </row>
    <row r="15" spans="1:12" ht="16" x14ac:dyDescent="0.2">
      <c r="H15" s="90"/>
      <c r="I15" s="88" t="str">
        <f>IF(
OR($G15="",$H15=""),
"",
$H15*_xlfn.XLOOKUP($G15,'4. Define Weights'!$B$9:$B$12,'4. Define Weights'!$C$9:$C$12
)
)</f>
        <v/>
      </c>
      <c r="J15" s="9"/>
      <c r="K15" s="9"/>
    </row>
    <row r="16" spans="1:12" ht="16" x14ac:dyDescent="0.2">
      <c r="H16" s="90"/>
      <c r="I16" s="88" t="str">
        <f>IF(
OR($G16="",$H16=""),
"",
$H16*_xlfn.XLOOKUP($G16,'4. Define Weights'!$B$9:$B$12,'4. Define Weights'!$C$9:$C$12
)
)</f>
        <v/>
      </c>
      <c r="J16" s="9"/>
      <c r="K16" s="9"/>
    </row>
    <row r="17" spans="1:12" ht="16" x14ac:dyDescent="0.2">
      <c r="H17" s="90"/>
      <c r="I17" s="88" t="str">
        <f>IF(
OR($G17="",$H17=""),
"",
$H17*_xlfn.XLOOKUP($G17,'4. Define Weights'!$B$9:$B$12,'4. Define Weights'!$C$9:$C$12
)
)</f>
        <v/>
      </c>
      <c r="J17" s="9"/>
      <c r="K17" s="9"/>
    </row>
    <row r="18" spans="1:12" ht="16" x14ac:dyDescent="0.2">
      <c r="H18" s="90"/>
      <c r="I18" s="88" t="str">
        <f>IF(
OR($G18="",$H18=""),
"",
$H18*_xlfn.XLOOKUP($G18,'4. Define Weights'!$B$9:$B$12,'4. Define Weights'!$C$9:$C$12
)
)</f>
        <v/>
      </c>
      <c r="J18" s="9"/>
      <c r="K18" s="9"/>
    </row>
    <row r="19" spans="1:12" ht="16" x14ac:dyDescent="0.2">
      <c r="H19" s="90"/>
      <c r="I19" s="88" t="str">
        <f>IF(
OR($G19="",$H19=""),
"",
$H19*_xlfn.XLOOKUP($G19,'4. Define Weights'!$B$9:$B$12,'4. Define Weights'!$C$9:$C$12
)
)</f>
        <v/>
      </c>
      <c r="J19" s="9"/>
      <c r="K19" s="9"/>
    </row>
    <row r="20" spans="1:12" ht="16" x14ac:dyDescent="0.2">
      <c r="H20" s="90"/>
      <c r="I20" s="88" t="str">
        <f>IF(
OR($G20="",$H20=""),
"",
$H20*_xlfn.XLOOKUP($G20,'4. Define Weights'!$B$9:$B$12,'4. Define Weights'!$C$9:$C$12
)
)</f>
        <v/>
      </c>
      <c r="J20" s="9"/>
      <c r="K20" s="9"/>
    </row>
    <row r="21" spans="1:12" ht="16" x14ac:dyDescent="0.2">
      <c r="H21" s="90"/>
      <c r="I21" s="88" t="str">
        <f>IF(
OR($G21="",$H21=""),
"",
$H21*_xlfn.XLOOKUP($G21,'4. Define Weights'!$B$9:$B$12,'4. Define Weights'!$C$9:$C$12
)
)</f>
        <v/>
      </c>
      <c r="J21" s="9"/>
      <c r="K21" s="9"/>
    </row>
    <row r="22" spans="1:12" ht="16" x14ac:dyDescent="0.2">
      <c r="H22" s="90"/>
      <c r="I22" s="88" t="str">
        <f>IF(
OR($G22="",$H22=""),
"",
$H22*_xlfn.XLOOKUP($G22,'4. Define Weights'!$B$9:$B$12,'4. Define Weights'!$C$9:$C$12
)
)</f>
        <v/>
      </c>
      <c r="J22" s="9"/>
      <c r="K22" s="9"/>
    </row>
    <row r="23" spans="1:12" ht="16" x14ac:dyDescent="0.2">
      <c r="H23" s="90"/>
      <c r="I23" s="88" t="str">
        <f>IF(
OR($G23="",$H23=""),
"",
$H23*_xlfn.XLOOKUP($G23,'4. Define Weights'!$B$9:$B$12,'4. Define Weights'!$C$9:$C$12
)
)</f>
        <v/>
      </c>
      <c r="J23" s="9"/>
      <c r="K23" s="9"/>
    </row>
    <row r="24" spans="1:12" ht="16" x14ac:dyDescent="0.2">
      <c r="I24" s="88" t="str">
        <f>IF(
OR($G24="",$H24=""),
"",
$H24*_xlfn.XLOOKUP($G24,'4. Define Weights'!$B$9:$B$12,'4. Define Weights'!$C$9:$C$12
)
)</f>
        <v/>
      </c>
      <c r="J24" s="9"/>
      <c r="K24" s="9"/>
    </row>
    <row r="25" spans="1:12" ht="16" x14ac:dyDescent="0.2">
      <c r="B25" s="6"/>
      <c r="I25" s="88" t="str">
        <f>IF(
OR($G25="",$H25=""),
"",
$H25*_xlfn.XLOOKUP($G25,'4. Define Weights'!$B$9:$B$12,'4. Define Weights'!$C$9:$C$12
)
)</f>
        <v/>
      </c>
      <c r="J25" s="9"/>
      <c r="K25" s="9"/>
    </row>
    <row r="26" spans="1:12" ht="16" x14ac:dyDescent="0.2">
      <c r="I26" s="88" t="str">
        <f>IF(
OR($G26="",$H26=""),
"",
$H26*_xlfn.XLOOKUP($G26,'4. Define Weights'!$B$9:$B$12,'4. Define Weights'!$C$9:$C$12
)
)</f>
        <v/>
      </c>
      <c r="J26" s="9"/>
      <c r="K26" s="9"/>
      <c r="L26" s="9"/>
    </row>
    <row r="27" spans="1:12" x14ac:dyDescent="0.2">
      <c r="A27" s="9"/>
      <c r="I27" s="89" t="str">
        <f>IF(
OR($G27="",$H27=""),
"",
$H27*_xlfn.XLOOKUP($G27,'4. Define Weights'!$B$9:$B$12,'4. Define Weights'!$C$9:$C$12
)
)</f>
        <v/>
      </c>
    </row>
    <row r="28" spans="1:12" x14ac:dyDescent="0.2">
      <c r="A28" s="9"/>
      <c r="I28" s="89" t="str">
        <f>IF(
OR($G28="",$H28=""),
"",
$H28*_xlfn.XLOOKUP($G28,'4. Define Weights'!$B$9:$B$12,'4. Define Weights'!$C$9:$C$12
)
)</f>
        <v/>
      </c>
    </row>
    <row r="29" spans="1:12" x14ac:dyDescent="0.2">
      <c r="A29" s="9"/>
      <c r="I29" s="89" t="str">
        <f>IF(
OR($G29="",$H29=""),
"",
$H29*_xlfn.XLOOKUP($G29,'4. Define Weights'!$B$9:$B$12,'4. Define Weights'!$C$9:$C$12
)
)</f>
        <v/>
      </c>
    </row>
    <row r="30" spans="1:12" x14ac:dyDescent="0.2">
      <c r="A30" s="9"/>
      <c r="I30" s="89" t="str">
        <f>IF(
OR($G30="",$H30=""),
"",
$H30*_xlfn.XLOOKUP($G30,'4. Define Weights'!$B$9:$B$12,'4. Define Weights'!$C$9:$C$12
)
)</f>
        <v/>
      </c>
    </row>
    <row r="31" spans="1:12" x14ac:dyDescent="0.2">
      <c r="A31" s="9"/>
      <c r="I31" s="89" t="str">
        <f>IF(
OR($G31="",$H31=""),
"",
$H31*_xlfn.XLOOKUP($G31,'4. Define Weights'!$B$9:$B$12,'4. Define Weights'!$C$9:$C$12
)
)</f>
        <v/>
      </c>
    </row>
    <row r="32" spans="1:12" x14ac:dyDescent="0.2">
      <c r="A32" s="9"/>
      <c r="I32" s="89" t="str">
        <f>IF(
OR($G32="",$H32=""),
"",
$H32*_xlfn.XLOOKUP($G32,'4. Define Weights'!$B$9:$B$12,'4. Define Weights'!$C$9:$C$12
)
)</f>
        <v/>
      </c>
    </row>
    <row r="33" spans="1:9" x14ac:dyDescent="0.2">
      <c r="A33" s="9"/>
      <c r="I33" s="89" t="str">
        <f>IF(
OR($G33="",$H33=""),
"",
$H33*_xlfn.XLOOKUP($G33,'4. Define Weights'!$B$9:$B$12,'4. Define Weights'!$C$9:$C$12
)
)</f>
        <v/>
      </c>
    </row>
    <row r="34" spans="1:9" s="9" customFormat="1" x14ac:dyDescent="0.2">
      <c r="F34" s="10"/>
      <c r="H34" s="88"/>
      <c r="I34" s="88" t="str">
        <f>IF(
OR($G34="",$H34=""),
"",
$H34*_xlfn.XLOOKUP($G34,'4. Define Weights'!$B$9:$B$12,'4. Define Weights'!$C$9:$C$12
)
)</f>
        <v/>
      </c>
    </row>
    <row r="35" spans="1:9" s="9" customFormat="1" x14ac:dyDescent="0.2">
      <c r="A35" s="10"/>
      <c r="F35" s="10"/>
      <c r="H35" s="88"/>
      <c r="I35" s="88" t="str">
        <f>IF(
OR($G35="",$H35=""),
"",
$H35*_xlfn.XLOOKUP($G35,'4. Define Weights'!$B$9:$B$12,'4. Define Weights'!$C$9:$C$12
)
)</f>
        <v/>
      </c>
    </row>
    <row r="36" spans="1:9" x14ac:dyDescent="0.2">
      <c r="I36" s="89" t="str">
        <f>IF(
OR($G36="",$H36=""),
"",
$H36*_xlfn.XLOOKUP($G36,'4. Define Weights'!$B$9:$B$12,'4. Define Weights'!$C$9:$C$12
)
)</f>
        <v/>
      </c>
    </row>
    <row r="37" spans="1:9" x14ac:dyDescent="0.2">
      <c r="I37" s="89" t="str">
        <f>IF(
OR($G37="",$H37=""),
"",
$H37*_xlfn.XLOOKUP($G37,'4. Define Weights'!$B$9:$B$12,'4. Define Weights'!$C$9:$C$12
)
)</f>
        <v/>
      </c>
    </row>
    <row r="38" spans="1:9" x14ac:dyDescent="0.2">
      <c r="I38" s="89" t="str">
        <f>IF(
OR($G38="",$H38=""),
"",
$H38*_xlfn.XLOOKUP($G38,'4. Define Weights'!$B$9:$B$12,'4. Define Weights'!$C$9:$C$12
)
)</f>
        <v/>
      </c>
    </row>
    <row r="39" spans="1:9" x14ac:dyDescent="0.2">
      <c r="I39" s="89" t="str">
        <f>IF(
OR($G39="",$H39=""),
"",
$H39*_xlfn.XLOOKUP($G39,'4. Define Weights'!$B$9:$B$12,'4. Define Weights'!$C$9:$C$12
)
)</f>
        <v/>
      </c>
    </row>
    <row r="40" spans="1:9" x14ac:dyDescent="0.2">
      <c r="I40" s="89" t="str">
        <f>IF(
OR($G40="",$H40=""),
"",
$H40*_xlfn.XLOOKUP($G40,'4. Define Weights'!$B$9:$B$12,'4. Define Weights'!$C$9:$C$12
)
)</f>
        <v/>
      </c>
    </row>
    <row r="41" spans="1:9" x14ac:dyDescent="0.2">
      <c r="I41" s="89" t="str">
        <f>IF(
OR($G41="",$H41=""),
"",
$H41*_xlfn.XLOOKUP($G41,'4. Define Weights'!$B$9:$B$12,'4. Define Weights'!$C$9:$C$12
)
)</f>
        <v/>
      </c>
    </row>
    <row r="42" spans="1:9" x14ac:dyDescent="0.2">
      <c r="I42" s="89" t="str">
        <f>IF(
OR($G42="",$H42=""),
"",
$H42*_xlfn.XLOOKUP($G42,'4. Define Weights'!$B$9:$B$12,'4. Define Weights'!$C$9:$C$12
)
)</f>
        <v/>
      </c>
    </row>
    <row r="43" spans="1:9" x14ac:dyDescent="0.2">
      <c r="I43" s="89" t="str">
        <f>IF(
OR($G43="",$H43=""),
"",
$H43*_xlfn.XLOOKUP($G43,'4. Define Weights'!$B$9:$B$12,'4. Define Weights'!$C$9:$C$12
)
)</f>
        <v/>
      </c>
    </row>
    <row r="44" spans="1:9" x14ac:dyDescent="0.2">
      <c r="I44" s="89" t="str">
        <f>IF(
OR($G44="",$H44=""),
"",
$H44*_xlfn.XLOOKUP($G44,'4. Define Weights'!$B$9:$B$12,'4. Define Weights'!$C$9:$C$12
)
)</f>
        <v/>
      </c>
    </row>
    <row r="45" spans="1:9" x14ac:dyDescent="0.2">
      <c r="I45" s="89" t="str">
        <f>IF(
OR($G45="",$H45=""),
"",
$H45*_xlfn.XLOOKUP($G45,'4. Define Weights'!$B$9:$B$12,'4. Define Weights'!$C$9:$C$12
)
)</f>
        <v/>
      </c>
    </row>
    <row r="46" spans="1:9" x14ac:dyDescent="0.2">
      <c r="I46" s="89" t="str">
        <f>IF(
OR($G46="",$H46=""),
"",
$H46*_xlfn.XLOOKUP($G46,'4. Define Weights'!$B$9:$B$12,'4. Define Weights'!$C$9:$C$12
)
)</f>
        <v/>
      </c>
    </row>
    <row r="47" spans="1:9" x14ac:dyDescent="0.2">
      <c r="I47" s="89" t="str">
        <f>IF(
OR($G47="",$H47=""),
"",
$H47*_xlfn.XLOOKUP($G47,'4. Define Weights'!$B$9:$B$12,'4. Define Weights'!$C$9:$C$12
)
)</f>
        <v/>
      </c>
    </row>
    <row r="48" spans="1:9" x14ac:dyDescent="0.2">
      <c r="I48" s="89" t="str">
        <f>IF(
OR($G48="",$H48=""),
"",
$H48*_xlfn.XLOOKUP($G48,'4. Define Weights'!$B$9:$B$12,'4. Define Weights'!$C$9:$C$12
)
)</f>
        <v/>
      </c>
    </row>
    <row r="49" spans="9:9" x14ac:dyDescent="0.2">
      <c r="I49" s="89" t="str">
        <f>IF(
OR($G49="",$H49=""),
"",
$H49*_xlfn.XLOOKUP($G49,'4. Define Weights'!$B$9:$B$12,'4. Define Weights'!$C$9:$C$12
)
)</f>
        <v/>
      </c>
    </row>
    <row r="50" spans="9:9" x14ac:dyDescent="0.2">
      <c r="I50" s="89" t="str">
        <f>IF(
OR($G50="",$H50=""),
"",
$H50*_xlfn.XLOOKUP($G50,'4. Define Weights'!$B$9:$B$12,'4. Define Weights'!$C$9:$C$12
)
)</f>
        <v/>
      </c>
    </row>
    <row r="51" spans="9:9" x14ac:dyDescent="0.2">
      <c r="I51" s="89" t="str">
        <f>IF(
OR($G51="",$H51=""),
"",
$H51*_xlfn.XLOOKUP($G51,'4. Define Weights'!$B$9:$B$12,'4. Define Weights'!$C$9:$C$12
)
)</f>
        <v/>
      </c>
    </row>
    <row r="52" spans="9:9" x14ac:dyDescent="0.2">
      <c r="I52" s="89" t="str">
        <f>IF(
OR($G52="",$H52=""),
"",
$H52*_xlfn.XLOOKUP($G52,'4. Define Weights'!$B$9:$B$12,'4. Define Weights'!$C$9:$C$12
)
)</f>
        <v/>
      </c>
    </row>
    <row r="53" spans="9:9" x14ac:dyDescent="0.2">
      <c r="I53" s="89" t="str">
        <f>IF(
OR($G53="",$H53=""),
"",
$H53*_xlfn.XLOOKUP($G53,'4. Define Weights'!$B$9:$B$12,'4. Define Weights'!$C$9:$C$12
)
)</f>
        <v/>
      </c>
    </row>
    <row r="54" spans="9:9" x14ac:dyDescent="0.2">
      <c r="I54" s="89" t="str">
        <f>IF(
OR($G54="",$H54=""),
"",
$H54*_xlfn.XLOOKUP($G54,'4. Define Weights'!$B$9:$B$12,'4. Define Weights'!$C$9:$C$12
)
)</f>
        <v/>
      </c>
    </row>
    <row r="55" spans="9:9" x14ac:dyDescent="0.2">
      <c r="I55" s="89" t="str">
        <f>IF(
OR($G55="",$H55=""),
"",
$H55*_xlfn.XLOOKUP($G55,'4. Define Weights'!$B$9:$B$12,'4. Define Weights'!$C$9:$C$12
)
)</f>
        <v/>
      </c>
    </row>
    <row r="56" spans="9:9" x14ac:dyDescent="0.2">
      <c r="I56" s="89" t="str">
        <f>IF(
OR($G56="",$H56=""),
"",
$H56*_xlfn.XLOOKUP($G56,'4. Define Weights'!$B$9:$B$12,'4. Define Weights'!$C$9:$C$12
)
)</f>
        <v/>
      </c>
    </row>
    <row r="57" spans="9:9" x14ac:dyDescent="0.2">
      <c r="I57" s="89" t="str">
        <f>IF(
OR($G57="",$H57=""),
"",
$H57*_xlfn.XLOOKUP($G57,'4. Define Weights'!$B$9:$B$12,'4. Define Weights'!$C$9:$C$12
)
)</f>
        <v/>
      </c>
    </row>
    <row r="58" spans="9:9" x14ac:dyDescent="0.2">
      <c r="I58" s="89" t="str">
        <f>IF(
OR($G58="",$H58=""),
"",
$H58*_xlfn.XLOOKUP($G58,'4. Define Weights'!$B$9:$B$12,'4. Define Weights'!$C$9:$C$12
)
)</f>
        <v/>
      </c>
    </row>
    <row r="59" spans="9:9" x14ac:dyDescent="0.2">
      <c r="I59" s="89" t="str">
        <f>IF(
OR($G59="",$H59=""),
"",
$H59*_xlfn.XLOOKUP($G59,'4. Define Weights'!$B$9:$B$12,'4. Define Weights'!$C$9:$C$12
)
)</f>
        <v/>
      </c>
    </row>
    <row r="60" spans="9:9" x14ac:dyDescent="0.2">
      <c r="I60" s="89" t="str">
        <f>IF(
OR($G60="",$H60=""),
"",
$H60*_xlfn.XLOOKUP($G60,'4. Define Weights'!$B$9:$B$12,'4. Define Weights'!$C$9:$C$12
)
)</f>
        <v/>
      </c>
    </row>
    <row r="61" spans="9:9" x14ac:dyDescent="0.2">
      <c r="I61" s="89" t="str">
        <f>IF(
OR($G61="",$H61=""),
"",
$H61*_xlfn.XLOOKUP($G61,'4. Define Weights'!$B$9:$B$12,'4. Define Weights'!$C$9:$C$12
)
)</f>
        <v/>
      </c>
    </row>
    <row r="62" spans="9:9" x14ac:dyDescent="0.2">
      <c r="I62" s="89" t="str">
        <f>IF(
OR($G62="",$H62=""),
"",
$H62*_xlfn.XLOOKUP($G62,'4. Define Weights'!$B$9:$B$12,'4. Define Weights'!$C$9:$C$12
)
)</f>
        <v/>
      </c>
    </row>
    <row r="63" spans="9:9" x14ac:dyDescent="0.2">
      <c r="I63" s="89" t="str">
        <f>IF(
OR($G63="",$H63=""),
"",
$H63*_xlfn.XLOOKUP($G63,'4. Define Weights'!$B$9:$B$12,'4. Define Weights'!$C$9:$C$12
)
)</f>
        <v/>
      </c>
    </row>
    <row r="64" spans="9:9" x14ac:dyDescent="0.2">
      <c r="I64" s="89" t="str">
        <f>IF(
OR($G64="",$H64=""),
"",
$H64*_xlfn.XLOOKUP($G64,'4. Define Weights'!$B$9:$B$12,'4. Define Weights'!$C$9:$C$12
)
)</f>
        <v/>
      </c>
    </row>
    <row r="65" spans="9:9" x14ac:dyDescent="0.2">
      <c r="I65" s="89" t="str">
        <f>IF(
OR($G65="",$H65=""),
"",
$H65*_xlfn.XLOOKUP($G65,'4. Define Weights'!$B$9:$B$12,'4. Define Weights'!$C$9:$C$12
)
)</f>
        <v/>
      </c>
    </row>
    <row r="66" spans="9:9" x14ac:dyDescent="0.2">
      <c r="I66" s="89" t="str">
        <f>IF(
OR($G66="",$H66=""),
"",
$H66*_xlfn.XLOOKUP($G66,'4. Define Weights'!$B$9:$B$12,'4. Define Weights'!$C$9:$C$12
)
)</f>
        <v/>
      </c>
    </row>
    <row r="67" spans="9:9" x14ac:dyDescent="0.2">
      <c r="I67" s="89" t="str">
        <f>IF(
OR($G67="",$H67=""),
"",
$H67*_xlfn.XLOOKUP($G67,'4. Define Weights'!$B$9:$B$12,'4. Define Weights'!$C$9:$C$12
)
)</f>
        <v/>
      </c>
    </row>
    <row r="68" spans="9:9" x14ac:dyDescent="0.2">
      <c r="I68" s="89" t="str">
        <f>IF(
OR($G68="",$H68=""),
"",
$H68*_xlfn.XLOOKUP($G68,'4. Define Weights'!$B$9:$B$12,'4. Define Weights'!$C$9:$C$12
)
)</f>
        <v/>
      </c>
    </row>
    <row r="69" spans="9:9" x14ac:dyDescent="0.2">
      <c r="I69" s="89" t="str">
        <f>IF(
OR($G69="",$H69=""),
"",
$H69*_xlfn.XLOOKUP($G69,'4. Define Weights'!$B$9:$B$12,'4. Define Weights'!$C$9:$C$12
)
)</f>
        <v/>
      </c>
    </row>
    <row r="70" spans="9:9" x14ac:dyDescent="0.2">
      <c r="I70" s="89" t="str">
        <f>IF(
OR($G70="",$H70=""),
"",
$H70*_xlfn.XLOOKUP($G70,'4. Define Weights'!$B$9:$B$12,'4. Define Weights'!$C$9:$C$12
)
)</f>
        <v/>
      </c>
    </row>
    <row r="71" spans="9:9" x14ac:dyDescent="0.2">
      <c r="I71" s="89" t="str">
        <f>IF(
OR($G71="",$H71=""),
"",
$H71*_xlfn.XLOOKUP($G71,'4. Define Weights'!$B$9:$B$12,'4. Define Weights'!$C$9:$C$12
)
)</f>
        <v/>
      </c>
    </row>
    <row r="72" spans="9:9" x14ac:dyDescent="0.2">
      <c r="I72" s="89" t="str">
        <f>IF(
OR($G72="",$H72=""),
"",
$H72*_xlfn.XLOOKUP($G72,'4. Define Weights'!$B$9:$B$12,'4. Define Weights'!$C$9:$C$12
)
)</f>
        <v/>
      </c>
    </row>
    <row r="73" spans="9:9" x14ac:dyDescent="0.2">
      <c r="I73" s="89" t="str">
        <f>IF(
OR($G73="",$H73=""),
"",
$H73*_xlfn.XLOOKUP($G73,'4. Define Weights'!$B$9:$B$12,'4. Define Weights'!$C$9:$C$12
)
)</f>
        <v/>
      </c>
    </row>
    <row r="74" spans="9:9" x14ac:dyDescent="0.2">
      <c r="I74" s="89" t="str">
        <f>IF(
OR($G74="",$H74=""),
"",
$H74*_xlfn.XLOOKUP($G74,'4. Define Weights'!$B$9:$B$12,'4. Define Weights'!$C$9:$C$12
)
)</f>
        <v/>
      </c>
    </row>
    <row r="75" spans="9:9" x14ac:dyDescent="0.2">
      <c r="I75" s="89" t="str">
        <f>IF(
OR($G75="",$H75=""),
"",
$H75*_xlfn.XLOOKUP($G75,'4. Define Weights'!$B$9:$B$12,'4. Define Weights'!$C$9:$C$12
)
)</f>
        <v/>
      </c>
    </row>
    <row r="76" spans="9:9" x14ac:dyDescent="0.2">
      <c r="I76" s="89" t="str">
        <f>IF(
OR($G76="",$H76=""),
"",
$H76*_xlfn.XLOOKUP($G76,'4. Define Weights'!$B$9:$B$12,'4. Define Weights'!$C$9:$C$12
)
)</f>
        <v/>
      </c>
    </row>
    <row r="77" spans="9:9" x14ac:dyDescent="0.2">
      <c r="I77" s="89" t="str">
        <f>IF(
OR($G77="",$H77=""),
"",
$H77*_xlfn.XLOOKUP($G77,'4. Define Weights'!$B$9:$B$12,'4. Define Weights'!$C$9:$C$12
)
)</f>
        <v/>
      </c>
    </row>
    <row r="78" spans="9:9" x14ac:dyDescent="0.2">
      <c r="I78" s="89" t="str">
        <f>IF(
OR($G78="",$H78=""),
"",
$H78*_xlfn.XLOOKUP($G78,'4. Define Weights'!$B$9:$B$12,'4. Define Weights'!$C$9:$C$12
)
)</f>
        <v/>
      </c>
    </row>
    <row r="79" spans="9:9" x14ac:dyDescent="0.2">
      <c r="I79" s="89" t="str">
        <f>IF(
OR($G79="",$H79=""),
"",
$H79*_xlfn.XLOOKUP($G79,'4. Define Weights'!$B$9:$B$12,'4. Define Weights'!$C$9:$C$12
)
)</f>
        <v/>
      </c>
    </row>
    <row r="80" spans="9:9" x14ac:dyDescent="0.2">
      <c r="I80" s="89" t="str">
        <f>IF(
OR($G80="",$H80=""),
"",
$H80*_xlfn.XLOOKUP($G80,'4. Define Weights'!$B$9:$B$12,'4. Define Weights'!$C$9:$C$12
)
)</f>
        <v/>
      </c>
    </row>
    <row r="81" spans="9:9" x14ac:dyDescent="0.2">
      <c r="I81" s="89" t="str">
        <f>IF(
OR($G81="",$H81=""),
"",
$H81*_xlfn.XLOOKUP($G81,'4. Define Weights'!$B$9:$B$12,'4. Define Weights'!$C$9:$C$12
)
)</f>
        <v/>
      </c>
    </row>
    <row r="82" spans="9:9" x14ac:dyDescent="0.2">
      <c r="I82" s="89" t="str">
        <f>IF(
OR($G82="",$H82=""),
"",
$H82*_xlfn.XLOOKUP($G82,'4. Define Weights'!$B$9:$B$12,'4. Define Weights'!$C$9:$C$12
)
)</f>
        <v/>
      </c>
    </row>
    <row r="83" spans="9:9" x14ac:dyDescent="0.2">
      <c r="I83" s="89" t="str">
        <f>IF(
OR($G83="",$H83=""),
"",
$H83*_xlfn.XLOOKUP($G83,'4. Define Weights'!$B$9:$B$12,'4. Define Weights'!$C$9:$C$12
)
)</f>
        <v/>
      </c>
    </row>
    <row r="84" spans="9:9" x14ac:dyDescent="0.2">
      <c r="I84" s="89" t="str">
        <f>IF(
OR($G84="",$H84=""),
"",
$H84*_xlfn.XLOOKUP($G84,'4. Define Weights'!$B$9:$B$12,'4. Define Weights'!$C$9:$C$12
)
)</f>
        <v/>
      </c>
    </row>
    <row r="85" spans="9:9" x14ac:dyDescent="0.2">
      <c r="I85" s="89" t="str">
        <f>IF(
OR($G85="",$H85=""),
"",
$H85*_xlfn.XLOOKUP($G85,'4. Define Weights'!$B$9:$B$12,'4. Define Weights'!$C$9:$C$12
)
)</f>
        <v/>
      </c>
    </row>
    <row r="86" spans="9:9" x14ac:dyDescent="0.2">
      <c r="I86" s="89" t="str">
        <f>IF(
OR($G86="",$H86=""),
"",
$H86*_xlfn.XLOOKUP($G86,'4. Define Weights'!$B$9:$B$12,'4. Define Weights'!$C$9:$C$12
)
)</f>
        <v/>
      </c>
    </row>
    <row r="87" spans="9:9" x14ac:dyDescent="0.2">
      <c r="I87" s="89" t="str">
        <f>IF(
OR($G87="",$H87=""),
"",
$H87*_xlfn.XLOOKUP($G87,'4. Define Weights'!$B$9:$B$12,'4. Define Weights'!$C$9:$C$12
)
)</f>
        <v/>
      </c>
    </row>
    <row r="88" spans="9:9" x14ac:dyDescent="0.2">
      <c r="I88" s="89" t="str">
        <f>IF(
OR($G88="",$H88=""),
"",
$H88*_xlfn.XLOOKUP($G88,'4. Define Weights'!$B$9:$B$12,'4. Define Weights'!$C$9:$C$12
)
)</f>
        <v/>
      </c>
    </row>
    <row r="89" spans="9:9" x14ac:dyDescent="0.2">
      <c r="I89" s="89" t="str">
        <f>IF(
OR($G89="",$H89=""),
"",
$H89*_xlfn.XLOOKUP($G89,'4. Define Weights'!$B$9:$B$12,'4. Define Weights'!$C$9:$C$12
)
)</f>
        <v/>
      </c>
    </row>
    <row r="90" spans="9:9" x14ac:dyDescent="0.2">
      <c r="I90" s="89" t="str">
        <f>IF(
OR($G90="",$H90=""),
"",
$H90*_xlfn.XLOOKUP($G90,'4. Define Weights'!$B$9:$B$12,'4. Define Weights'!$C$9:$C$12
)
)</f>
        <v/>
      </c>
    </row>
    <row r="91" spans="9:9" x14ac:dyDescent="0.2">
      <c r="I91" s="89" t="str">
        <f>IF(
OR($G91="",$H91=""),
"",
$H91*_xlfn.XLOOKUP($G91,'4. Define Weights'!$B$9:$B$12,'4. Define Weights'!$C$9:$C$12
)
)</f>
        <v/>
      </c>
    </row>
    <row r="92" spans="9:9" x14ac:dyDescent="0.2">
      <c r="I92" s="89" t="str">
        <f>IF(
OR($G92="",$H92=""),
"",
$H92*_xlfn.XLOOKUP($G92,'4. Define Weights'!$B$9:$B$12,'4. Define Weights'!$C$9:$C$12
)
)</f>
        <v/>
      </c>
    </row>
    <row r="93" spans="9:9" x14ac:dyDescent="0.2">
      <c r="I93" s="89" t="str">
        <f>IF(
OR($G93="",$H93=""),
"",
$H93*_xlfn.XLOOKUP($G93,'4. Define Weights'!$B$9:$B$12,'4. Define Weights'!$C$9:$C$12
)
)</f>
        <v/>
      </c>
    </row>
    <row r="94" spans="9:9" x14ac:dyDescent="0.2">
      <c r="I94" s="89" t="str">
        <f>IF(
OR($G94="",$H94=""),
"",
$H94*_xlfn.XLOOKUP($G94,'4. Define Weights'!$B$9:$B$12,'4. Define Weights'!$C$9:$C$12
)
)</f>
        <v/>
      </c>
    </row>
    <row r="95" spans="9:9" x14ac:dyDescent="0.2">
      <c r="I95" s="89" t="str">
        <f>IF(
OR($G95="",$H95=""),
"",
$H95*_xlfn.XLOOKUP($G95,'4. Define Weights'!$B$9:$B$12,'4. Define Weights'!$C$9:$C$12
)
)</f>
        <v/>
      </c>
    </row>
    <row r="96" spans="9:9" x14ac:dyDescent="0.2">
      <c r="I96" s="89" t="str">
        <f>IF(
OR($G96="",$H96=""),
"",
$H96*_xlfn.XLOOKUP($G96,'4. Define Weights'!$B$9:$B$12,'4. Define Weights'!$C$9:$C$12
)
)</f>
        <v/>
      </c>
    </row>
    <row r="97" spans="9:9" x14ac:dyDescent="0.2">
      <c r="I97" s="89" t="str">
        <f>IF(
OR($G97="",$H97=""),
"",
$H97*_xlfn.XLOOKUP($G97,'4. Define Weights'!$B$9:$B$12,'4. Define Weights'!$C$9:$C$12
)
)</f>
        <v/>
      </c>
    </row>
    <row r="98" spans="9:9" x14ac:dyDescent="0.2">
      <c r="I98" s="89" t="str">
        <f>IF(
OR($G98="",$H98=""),
"",
$H98*_xlfn.XLOOKUP($G98,'4. Define Weights'!$B$9:$B$12,'4. Define Weights'!$C$9:$C$12
)
)</f>
        <v/>
      </c>
    </row>
    <row r="99" spans="9:9" x14ac:dyDescent="0.2">
      <c r="I99" s="89" t="str">
        <f>IF(
OR($G99="",$H99=""),
"",
$H99*_xlfn.XLOOKUP($G99,'4. Define Weights'!$B$9:$B$12,'4. Define Weights'!$C$9:$C$12
)
)</f>
        <v/>
      </c>
    </row>
    <row r="100" spans="9:9" x14ac:dyDescent="0.2">
      <c r="I100" s="89" t="str">
        <f>IF(
OR($G100="",$H100=""),
"",
$H100*_xlfn.XLOOKUP($G100,'4. Define Weights'!$B$9:$B$12,'4. Define Weights'!$C$9:$C$12
)
)</f>
        <v/>
      </c>
    </row>
  </sheetData>
  <mergeCells count="7">
    <mergeCell ref="B4:C4"/>
    <mergeCell ref="B7:C7"/>
    <mergeCell ref="F7:I7"/>
    <mergeCell ref="K7:L7"/>
    <mergeCell ref="B14:C14"/>
    <mergeCell ref="K14:L14"/>
    <mergeCell ref="B5:C5"/>
  </mergeCells>
  <conditionalFormatting sqref="B14:C14">
    <cfRule type="containsText" dxfId="29" priority="7" operator="containsText" text="Pillar weights are valid. Total equals 100%">
      <formula>NOT(ISERROR(SEARCH("Pillar weights are valid. Total equals 100%",B14)))</formula>
    </cfRule>
    <cfRule type="containsText" dxfId="28" priority="8" operator="containsText" text="Pillar weights must sum to 100%. Please adjust.">
      <formula>NOT(ISERROR(SEARCH("Pillar weights must sum to 100%. Please adjust.",B14)))</formula>
    </cfRule>
  </conditionalFormatting>
  <conditionalFormatting sqref="B7:L99">
    <cfRule type="expression" dxfId="27" priority="1" stopIfTrue="1">
      <formula>NOT(IndicatorsDefined)</formula>
    </cfRule>
  </conditionalFormatting>
  <conditionalFormatting sqref="C12">
    <cfRule type="cellIs" dxfId="26" priority="14" operator="equal">
      <formula>1</formula>
    </cfRule>
    <cfRule type="cellIs" dxfId="25" priority="22" stopIfTrue="1" operator="notEqual">
      <formula>1</formula>
    </cfRule>
  </conditionalFormatting>
  <conditionalFormatting sqref="E9:I100">
    <cfRule type="expression" dxfId="24" priority="19" stopIfTrue="1">
      <formula>AND($E9&lt;&gt;"",$G9&lt;&gt;"")</formula>
    </cfRule>
  </conditionalFormatting>
  <conditionalFormatting sqref="G9:G1048576">
    <cfRule type="cellIs" dxfId="23" priority="9" operator="equal">
      <formula>"Exposure"</formula>
    </cfRule>
    <cfRule type="cellIs" dxfId="22" priority="15" operator="equal">
      <formula>"Vulnerability"</formula>
    </cfRule>
    <cfRule type="cellIs" dxfId="21" priority="16" operator="equal">
      <formula>"Coping Capacity"</formula>
    </cfRule>
    <cfRule type="cellIs" dxfId="20" priority="17" operator="equal">
      <formula>"Lack of Coping Capacity"</formula>
    </cfRule>
    <cfRule type="cellIs" dxfId="19" priority="18" operator="equal">
      <formula>"LOCC"</formula>
    </cfRule>
  </conditionalFormatting>
  <conditionalFormatting sqref="H9:H1048576">
    <cfRule type="expression" dxfId="18" priority="11" stopIfTrue="1">
      <formula>AND($F9&lt;&gt;"",$G9&lt;&gt;"")</formula>
    </cfRule>
  </conditionalFormatting>
  <conditionalFormatting sqref="K13">
    <cfRule type="containsText" dxfId="17" priority="3" operator="containsText" text="Indicator weights are invalid for">
      <formula>NOT(ISERROR(SEARCH("Indicator weights are invalid for",K13)))</formula>
    </cfRule>
  </conditionalFormatting>
  <conditionalFormatting sqref="K14:L14">
    <cfRule type="cellIs" dxfId="16" priority="2" operator="equal">
      <formula>"Indicator weights are valid. Each pillar sums to 100%."</formula>
    </cfRule>
    <cfRule type="containsText" dxfId="15" priority="4" stopIfTrue="1" operator="containsText" text="Indicator weights are invalid for:">
      <formula>NOT(ISERROR(SEARCH("Indicator weights are invalid for:",K14)))</formula>
    </cfRule>
  </conditionalFormatting>
  <conditionalFormatting sqref="L9:L11">
    <cfRule type="cellIs" dxfId="14" priority="20" operator="notEqual">
      <formula>1</formula>
    </cfRule>
  </conditionalFormatting>
  <conditionalFormatting sqref="L9:L12">
    <cfRule type="cellIs" dxfId="13" priority="12" operator="equal">
      <formula>1</formula>
    </cfRule>
  </conditionalFormatting>
  <conditionalFormatting sqref="L12">
    <cfRule type="cellIs" dxfId="12" priority="13" stopIfTrue="1" operator="not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B5A0-22EC-4F40-9241-CB39FD50FD39}">
  <sheetPr codeName="Sheet5"/>
  <dimension ref="A1:CZ161"/>
  <sheetViews>
    <sheetView zoomScaleNormal="159" workbookViewId="0">
      <selection activeCell="A2" sqref="A2"/>
    </sheetView>
  </sheetViews>
  <sheetFormatPr baseColWidth="10" defaultColWidth="31.6640625" defaultRowHeight="15" x14ac:dyDescent="0.2"/>
  <cols>
    <col min="1" max="1" width="17.5" style="6" customWidth="1"/>
    <col min="2" max="2" width="18.33203125" style="6" customWidth="1"/>
    <col min="3" max="3" width="23.5" style="6" bestFit="1" customWidth="1"/>
    <col min="4" max="4" width="10.5" style="93" bestFit="1" customWidth="1"/>
    <col min="5" max="11" width="10.6640625" style="93" bestFit="1" customWidth="1"/>
    <col min="12" max="21" width="10.83203125" style="93" bestFit="1" customWidth="1"/>
    <col min="22" max="16384" width="31.6640625" style="93"/>
  </cols>
  <sheetData>
    <row r="1" spans="1:104" s="63" customFormat="1" x14ac:dyDescent="0.2">
      <c r="A1" s="6"/>
      <c r="B1" s="6"/>
      <c r="C1" s="6"/>
    </row>
    <row r="2" spans="1:104" s="63" customFormat="1" ht="34" customHeight="1" x14ac:dyDescent="0.2">
      <c r="A2" s="6"/>
      <c r="B2" s="48" t="s">
        <v>3385</v>
      </c>
      <c r="C2" s="48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04" s="63" customFormat="1" ht="15" customHeight="1" x14ac:dyDescent="0.2">
      <c r="A3" s="6"/>
      <c r="B3" s="144" t="s">
        <v>3419</v>
      </c>
      <c r="C3" s="14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04" s="6" customFormat="1" ht="104" customHeight="1" x14ac:dyDescent="0.2">
      <c r="A4" s="9"/>
      <c r="B4" s="174" t="s">
        <v>3429</v>
      </c>
      <c r="C4" s="174"/>
      <c r="D4" s="10"/>
      <c r="E4" s="49"/>
      <c r="F4" s="50"/>
      <c r="G4" s="49"/>
      <c r="H4" s="49"/>
      <c r="I4" s="49"/>
      <c r="J4" s="50"/>
      <c r="K4" s="50"/>
      <c r="L4" s="50"/>
      <c r="M4" s="50"/>
      <c r="N4" s="49"/>
    </row>
    <row r="5" spans="1:104" s="6" customFormat="1" ht="104" customHeight="1" x14ac:dyDescent="0.2">
      <c r="A5" s="9"/>
      <c r="B5" s="175" t="str">
        <f>IF(IndicatorsDefined,"","First define pillar and indicator weights in Step 4. Once pillar and indicator weights sum to 1.0 or 100%, tables will appear here where you can review weighted scores.")</f>
        <v>First define pillar and indicator weights in Step 4. Once pillar and indicator weights sum to 1.0 or 100%, tables will appear here where you can review weighted scores.</v>
      </c>
      <c r="C5" s="175"/>
      <c r="D5" s="10"/>
      <c r="E5" s="49"/>
      <c r="F5" s="50"/>
      <c r="G5" s="49"/>
      <c r="H5" s="49"/>
      <c r="I5" s="49"/>
      <c r="J5" s="50"/>
      <c r="K5" s="50"/>
      <c r="L5" s="50"/>
      <c r="M5" s="50"/>
      <c r="N5" s="49"/>
    </row>
    <row r="6" spans="1:104" s="6" customFormat="1" ht="16" customHeight="1" x14ac:dyDescent="0.2"/>
    <row r="7" spans="1:104" s="52" customFormat="1" ht="66" customHeight="1" x14ac:dyDescent="0.2">
      <c r="A7" s="113"/>
      <c r="B7" s="12"/>
      <c r="C7" s="11"/>
      <c r="D7" s="52" t="str">
        <f>IF(
  D$9="",
  "",
  _xlfn.XLOOKUP(
    D$9,
    tbl_define_indicators[Indicator ID],
    tbl_define_indicators[Pillar]
  )
)</f>
        <v/>
      </c>
      <c r="E7" s="52" t="str">
        <f>IF(
  E$9="",
  "",
  _xlfn.XLOOKUP(
    E$9,
    tbl_define_indicators[Indicator ID],
    tbl_define_indicators[Pillar]
  )
)</f>
        <v/>
      </c>
      <c r="F7" s="52" t="str">
        <f>IF(
  F$9="",
  "",
  _xlfn.XLOOKUP(
    F$9,
    tbl_define_indicators[Indicator ID],
    tbl_define_indicators[Pillar]
  )
)</f>
        <v/>
      </c>
      <c r="G7" s="52" t="str">
        <f>IF(
  G$9="",
  "",
  _xlfn.XLOOKUP(
    G$9,
    tbl_define_indicators[Indicator ID],
    tbl_define_indicators[Pillar]
  )
)</f>
        <v/>
      </c>
      <c r="H7" s="52" t="str">
        <f>IF(
  H$9="",
  "",
  _xlfn.XLOOKUP(
    H$9,
    tbl_define_indicators[Indicator ID],
    tbl_define_indicators[Pillar]
  )
)</f>
        <v/>
      </c>
      <c r="I7" s="52" t="str">
        <f>IF(
  I$9="",
  "",
  _xlfn.XLOOKUP(
    I$9,
    tbl_define_indicators[Indicator ID],
    tbl_define_indicators[Pillar]
  )
)</f>
        <v/>
      </c>
      <c r="J7" s="52" t="str">
        <f>IF(
  J$9="",
  "",
  _xlfn.XLOOKUP(
    J$9,
    tbl_define_indicators[Indicator ID],
    tbl_define_indicators[Pillar]
  )
)</f>
        <v/>
      </c>
      <c r="K7" s="52" t="str">
        <f>IF(
  K$9="",
  "",
  _xlfn.XLOOKUP(
    K$9,
    tbl_define_indicators[Indicator ID],
    tbl_define_indicators[Pillar]
  )
)</f>
        <v/>
      </c>
      <c r="L7" s="52" t="str">
        <f>IF(
  L$9="",
  "",
  _xlfn.XLOOKUP(
    L$9,
    tbl_define_indicators[Indicator ID],
    tbl_define_indicators[Pillar]
  )
)</f>
        <v/>
      </c>
      <c r="M7" s="52" t="str">
        <f>IF(
  M$9="",
  "",
  _xlfn.XLOOKUP(
    M$9,
    tbl_define_indicators[Indicator ID],
    tbl_define_indicators[Pillar]
  )
)</f>
        <v/>
      </c>
      <c r="N7" s="52" t="str">
        <f>IF(
  N$9="",
  "",
  _xlfn.XLOOKUP(
    N$9,
    tbl_define_indicators[Indicator ID],
    tbl_define_indicators[Pillar]
  )
)</f>
        <v/>
      </c>
      <c r="O7" s="52" t="str">
        <f>IF(
  O$9="",
  "",
  _xlfn.XLOOKUP(
    O$9,
    tbl_define_indicators[Indicator ID],
    tbl_define_indicators[Pillar]
  )
)</f>
        <v/>
      </c>
      <c r="P7" s="52" t="str">
        <f>IF(
  P$9="",
  "",
  _xlfn.XLOOKUP(
    P$9,
    tbl_define_indicators[Indicator ID],
    tbl_define_indicators[Pillar]
  )
)</f>
        <v/>
      </c>
      <c r="Q7" s="52" t="str">
        <f>IF(
  Q$9="",
  "",
  _xlfn.XLOOKUP(
    Q$9,
    tbl_define_indicators[Indicator ID],
    tbl_define_indicators[Pillar]
  )
)</f>
        <v/>
      </c>
      <c r="R7" s="52" t="str">
        <f>IF(
  R$9="",
  "",
  _xlfn.XLOOKUP(
    R$9,
    tbl_define_indicators[Indicator ID],
    tbl_define_indicators[Pillar]
  )
)</f>
        <v/>
      </c>
      <c r="S7" s="52" t="str">
        <f>IF(
  S$9="",
  "",
  _xlfn.XLOOKUP(
    S$9,
    tbl_define_indicators[Indicator ID],
    tbl_define_indicators[Pillar]
  )
)</f>
        <v/>
      </c>
      <c r="T7" s="52" t="str">
        <f>IF(
  T$9="",
  "",
  _xlfn.XLOOKUP(
    T$9,
    tbl_define_indicators[Indicator ID],
    tbl_define_indicators[Pillar]
  )
)</f>
        <v/>
      </c>
      <c r="U7" s="52" t="str">
        <f>IF(
  U$9="",
  "",
  _xlfn.XLOOKUP(
    U$9,
    tbl_define_indicators[Indicator ID],
    tbl_define_indicators[Pillar]
  )
)</f>
        <v/>
      </c>
      <c r="V7" s="52" t="str">
        <f>IF(
  V$9="",
  "",
  _xlfn.XLOOKUP(
    V$9,
    tbl_define_indicators[Indicator ID],
    tbl_define_indicators[Pillar]
  )
)</f>
        <v/>
      </c>
      <c r="W7" s="52" t="str">
        <f>IF(
  W$9="",
  "",
  _xlfn.XLOOKUP(
    W$9,
    tbl_define_indicators[Indicator ID],
    tbl_define_indicators[Pillar]
  )
)</f>
        <v/>
      </c>
      <c r="X7" s="52" t="str">
        <f>IF(
  X$9="",
  "",
  _xlfn.XLOOKUP(
    X$9,
    tbl_define_indicators[Indicator ID],
    tbl_define_indicators[Pillar]
  )
)</f>
        <v/>
      </c>
      <c r="Y7" s="52" t="str">
        <f>IF(
  Y$9="",
  "",
  _xlfn.XLOOKUP(
    Y$9,
    tbl_define_indicators[Indicator ID],
    tbl_define_indicators[Pillar]
  )
)</f>
        <v/>
      </c>
      <c r="Z7" s="52" t="str">
        <f>IF(
  Z$9="",
  "",
  _xlfn.XLOOKUP(
    Z$9,
    tbl_define_indicators[Indicator ID],
    tbl_define_indicators[Pillar]
  )
)</f>
        <v/>
      </c>
      <c r="AA7" s="52" t="str">
        <f>IF(
  AA$9="",
  "",
  _xlfn.XLOOKUP(
    AA$9,
    tbl_define_indicators[Indicator ID],
    tbl_define_indicators[Pillar]
  )
)</f>
        <v/>
      </c>
      <c r="AB7" s="52" t="str">
        <f>IF(
  AB$9="",
  "",
  _xlfn.XLOOKUP(
    AB$9,
    tbl_define_indicators[Indicator ID],
    tbl_define_indicators[Pillar]
  )
)</f>
        <v/>
      </c>
      <c r="AC7" s="52" t="str">
        <f>IF(
  AC$9="",
  "",
  _xlfn.XLOOKUP(
    AC$9,
    tbl_define_indicators[Indicator ID],
    tbl_define_indicators[Pillar]
  )
)</f>
        <v/>
      </c>
      <c r="AD7" s="52" t="str">
        <f>IF(
  AD$9="",
  "",
  _xlfn.XLOOKUP(
    AD$9,
    tbl_define_indicators[Indicator ID],
    tbl_define_indicators[Pillar]
  )
)</f>
        <v/>
      </c>
      <c r="AE7" s="52" t="str">
        <f>IF(
  AE$9="",
  "",
  _xlfn.XLOOKUP(
    AE$9,
    tbl_define_indicators[Indicator ID],
    tbl_define_indicators[Pillar]
  )
)</f>
        <v/>
      </c>
      <c r="AF7" s="52" t="str">
        <f>IF(
  AF$9="",
  "",
  _xlfn.XLOOKUP(
    AF$9,
    tbl_define_indicators[Indicator ID],
    tbl_define_indicators[Pillar]
  )
)</f>
        <v/>
      </c>
      <c r="AG7" s="52" t="str">
        <f>IF(
  AG$9="",
  "",
  _xlfn.XLOOKUP(
    AG$9,
    tbl_define_indicators[Indicator ID],
    tbl_define_indicators[Pillar]
  )
)</f>
        <v/>
      </c>
      <c r="AH7" s="52" t="str">
        <f>IF(
  AH$9="",
  "",
  _xlfn.XLOOKUP(
    AH$9,
    tbl_define_indicators[Indicator ID],
    tbl_define_indicators[Pillar]
  )
)</f>
        <v/>
      </c>
      <c r="AI7" s="52" t="str">
        <f>IF(
  AI$9="",
  "",
  _xlfn.XLOOKUP(
    AI$9,
    tbl_define_indicators[Indicator ID],
    tbl_define_indicators[Pillar]
  )
)</f>
        <v/>
      </c>
      <c r="AJ7" s="52" t="str">
        <f>IF(
  AJ$9="",
  "",
  _xlfn.XLOOKUP(
    AJ$9,
    tbl_define_indicators[Indicator ID],
    tbl_define_indicators[Pillar]
  )
)</f>
        <v/>
      </c>
      <c r="AK7" s="52" t="str">
        <f>IF(
  AK$9="",
  "",
  _xlfn.XLOOKUP(
    AK$9,
    tbl_define_indicators[Indicator ID],
    tbl_define_indicators[Pillar]
  )
)</f>
        <v/>
      </c>
      <c r="AL7" s="52" t="str">
        <f>IF(
  AL$9="",
  "",
  _xlfn.XLOOKUP(
    AL$9,
    tbl_define_indicators[Indicator ID],
    tbl_define_indicators[Pillar]
  )
)</f>
        <v/>
      </c>
      <c r="AM7" s="52" t="str">
        <f>IF(
  AM$9="",
  "",
  _xlfn.XLOOKUP(
    AM$9,
    tbl_define_indicators[Indicator ID],
    tbl_define_indicators[Pillar]
  )
)</f>
        <v/>
      </c>
      <c r="AN7" s="52" t="str">
        <f>IF(
  AN$9="",
  "",
  _xlfn.XLOOKUP(
    AN$9,
    tbl_define_indicators[Indicator ID],
    tbl_define_indicators[Pillar]
  )
)</f>
        <v/>
      </c>
      <c r="AO7" s="52" t="str">
        <f>IF(
  AO$9="",
  "",
  _xlfn.XLOOKUP(
    AO$9,
    tbl_define_indicators[Indicator ID],
    tbl_define_indicators[Pillar]
  )
)</f>
        <v/>
      </c>
      <c r="AP7" s="52" t="str">
        <f>IF(
  AP$9="",
  "",
  _xlfn.XLOOKUP(
    AP$9,
    tbl_define_indicators[Indicator ID],
    tbl_define_indicators[Pillar]
  )
)</f>
        <v/>
      </c>
      <c r="AQ7" s="52" t="str">
        <f>IF(
  AQ$9="",
  "",
  _xlfn.XLOOKUP(
    AQ$9,
    tbl_define_indicators[Indicator ID],
    tbl_define_indicators[Pillar]
  )
)</f>
        <v/>
      </c>
      <c r="AR7" s="52" t="str">
        <f>IF(
  AR$9="",
  "",
  _xlfn.XLOOKUP(
    AR$9,
    tbl_define_indicators[Indicator ID],
    tbl_define_indicators[Pillar]
  )
)</f>
        <v/>
      </c>
      <c r="AS7" s="52" t="str">
        <f>IF(
  AS$9="",
  "",
  _xlfn.XLOOKUP(
    AS$9,
    tbl_define_indicators[Indicator ID],
    tbl_define_indicators[Pillar]
  )
)</f>
        <v/>
      </c>
      <c r="AT7" s="52" t="str">
        <f>IF(
  AT$9="",
  "",
  _xlfn.XLOOKUP(
    AT$9,
    tbl_define_indicators[Indicator ID],
    tbl_define_indicators[Pillar]
  )
)</f>
        <v/>
      </c>
      <c r="AU7" s="52" t="str">
        <f>IF(
  AU$9="",
  "",
  _xlfn.XLOOKUP(
    AU$9,
    tbl_define_indicators[Indicator ID],
    tbl_define_indicators[Pillar]
  )
)</f>
        <v/>
      </c>
      <c r="AV7" s="52" t="str">
        <f>IF(
  AV$9="",
  "",
  _xlfn.XLOOKUP(
    AV$9,
    tbl_define_indicators[Indicator ID],
    tbl_define_indicators[Pillar]
  )
)</f>
        <v/>
      </c>
      <c r="AW7" s="52" t="str">
        <f>IF(
  AW$9="",
  "",
  _xlfn.XLOOKUP(
    AW$9,
    tbl_define_indicators[Indicator ID],
    tbl_define_indicators[Pillar]
  )
)</f>
        <v/>
      </c>
      <c r="AX7" s="52" t="str">
        <f>IF(
  AX$9="",
  "",
  _xlfn.XLOOKUP(
    AX$9,
    tbl_define_indicators[Indicator ID],
    tbl_define_indicators[Pillar]
  )
)</f>
        <v/>
      </c>
      <c r="AY7" s="52" t="str">
        <f>IF(
  AY$9="",
  "",
  _xlfn.XLOOKUP(
    AY$9,
    tbl_define_indicators[Indicator ID],
    tbl_define_indicators[Pillar]
  )
)</f>
        <v/>
      </c>
      <c r="AZ7" s="52" t="str">
        <f>IF(
  AZ$9="",
  "",
  _xlfn.XLOOKUP(
    AZ$9,
    tbl_define_indicators[Indicator ID],
    tbl_define_indicators[Pillar]
  )
)</f>
        <v/>
      </c>
      <c r="BA7" s="52" t="str">
        <f>IF(
  BA$9="",
  "",
  _xlfn.XLOOKUP(
    BA$9,
    tbl_define_indicators[Indicator ID],
    tbl_define_indicators[Pillar]
  )
)</f>
        <v/>
      </c>
      <c r="BB7" s="52" t="str">
        <f>IF(
  BB$9="",
  "",
  _xlfn.XLOOKUP(
    BB$9,
    tbl_define_indicators[Indicator ID],
    tbl_define_indicators[Pillar]
  )
)</f>
        <v/>
      </c>
      <c r="BC7" s="52" t="str">
        <f>IF(
  BC$9="",
  "",
  _xlfn.XLOOKUP(
    BC$9,
    tbl_define_indicators[Indicator ID],
    tbl_define_indicators[Pillar]
  )
)</f>
        <v/>
      </c>
      <c r="BD7" s="52" t="str">
        <f>IF(
  BD$9="",
  "",
  _xlfn.XLOOKUP(
    BD$9,
    tbl_define_indicators[Indicator ID],
    tbl_define_indicators[Pillar]
  )
)</f>
        <v/>
      </c>
      <c r="BE7" s="52" t="str">
        <f>IF(
  BE$9="",
  "",
  _xlfn.XLOOKUP(
    BE$9,
    tbl_define_indicators[Indicator ID],
    tbl_define_indicators[Pillar]
  )
)</f>
        <v/>
      </c>
      <c r="BF7" s="52" t="str">
        <f>IF(
  BF$9="",
  "",
  _xlfn.XLOOKUP(
    BF$9,
    tbl_define_indicators[Indicator ID],
    tbl_define_indicators[Pillar]
  )
)</f>
        <v/>
      </c>
      <c r="BG7" s="52" t="str">
        <f>IF(
  BG$9="",
  "",
  _xlfn.XLOOKUP(
    BG$9,
    tbl_define_indicators[Indicator ID],
    tbl_define_indicators[Pillar]
  )
)</f>
        <v/>
      </c>
      <c r="BH7" s="52" t="str">
        <f>IF(
  BH$9="",
  "",
  _xlfn.XLOOKUP(
    BH$9,
    tbl_define_indicators[Indicator ID],
    tbl_define_indicators[Pillar]
  )
)</f>
        <v/>
      </c>
      <c r="BI7" s="52" t="str">
        <f>IF(
  BI$9="",
  "",
  _xlfn.XLOOKUP(
    BI$9,
    tbl_define_indicators[Indicator ID],
    tbl_define_indicators[Pillar]
  )
)</f>
        <v/>
      </c>
      <c r="BJ7" s="52" t="str">
        <f>IF(
  BJ$9="",
  "",
  _xlfn.XLOOKUP(
    BJ$9,
    tbl_define_indicators[Indicator ID],
    tbl_define_indicators[Pillar]
  )
)</f>
        <v/>
      </c>
      <c r="BK7" s="52" t="str">
        <f>IF(
  BK$9="",
  "",
  _xlfn.XLOOKUP(
    BK$9,
    tbl_define_indicators[Indicator ID],
    tbl_define_indicators[Pillar]
  )
)</f>
        <v/>
      </c>
      <c r="BL7" s="52" t="str">
        <f>IF(
  BL$9="",
  "",
  _xlfn.XLOOKUP(
    BL$9,
    tbl_define_indicators[Indicator ID],
    tbl_define_indicators[Pillar]
  )
)</f>
        <v/>
      </c>
      <c r="BM7" s="52" t="str">
        <f>IF(
  BM$9="",
  "",
  _xlfn.XLOOKUP(
    BM$9,
    tbl_define_indicators[Indicator ID],
    tbl_define_indicators[Pillar]
  )
)</f>
        <v/>
      </c>
      <c r="BN7" s="52" t="str">
        <f>IF(
  BN$9="",
  "",
  _xlfn.XLOOKUP(
    BN$9,
    tbl_define_indicators[Indicator ID],
    tbl_define_indicators[Pillar]
  )
)</f>
        <v/>
      </c>
      <c r="BO7" s="52" t="str">
        <f>IF(
  BO$9="",
  "",
  _xlfn.XLOOKUP(
    BO$9,
    tbl_define_indicators[Indicator ID],
    tbl_define_indicators[Pillar]
  )
)</f>
        <v/>
      </c>
      <c r="BP7" s="52" t="str">
        <f>IF(
  BP$9="",
  "",
  _xlfn.XLOOKUP(
    BP$9,
    tbl_define_indicators[Indicator ID],
    tbl_define_indicators[Pillar]
  )
)</f>
        <v/>
      </c>
      <c r="BQ7" s="52" t="str">
        <f>IF(
  BQ$9="",
  "",
  _xlfn.XLOOKUP(
    BQ$9,
    tbl_define_indicators[Indicator ID],
    tbl_define_indicators[Pillar]
  )
)</f>
        <v/>
      </c>
      <c r="BR7" s="52" t="str">
        <f>IF(
  BR$9="",
  "",
  _xlfn.XLOOKUP(
    BR$9,
    tbl_define_indicators[Indicator ID],
    tbl_define_indicators[Pillar]
  )
)</f>
        <v/>
      </c>
      <c r="BS7" s="52" t="str">
        <f>IF(
  BS$9="",
  "",
  _xlfn.XLOOKUP(
    BS$9,
    tbl_define_indicators[Indicator ID],
    tbl_define_indicators[Pillar]
  )
)</f>
        <v/>
      </c>
      <c r="BT7" s="52" t="str">
        <f>IF(
  BT$9="",
  "",
  _xlfn.XLOOKUP(
    BT$9,
    tbl_define_indicators[Indicator ID],
    tbl_define_indicators[Pillar]
  )
)</f>
        <v/>
      </c>
      <c r="BU7" s="52" t="str">
        <f>IF(
  BU$9="",
  "",
  _xlfn.XLOOKUP(
    BU$9,
    tbl_define_indicators[Indicator ID],
    tbl_define_indicators[Pillar]
  )
)</f>
        <v/>
      </c>
      <c r="BV7" s="52" t="str">
        <f>IF(
  BV$9="",
  "",
  _xlfn.XLOOKUP(
    BV$9,
    tbl_define_indicators[Indicator ID],
    tbl_define_indicators[Pillar]
  )
)</f>
        <v/>
      </c>
      <c r="BW7" s="52" t="str">
        <f>IF(
  BW$9="",
  "",
  _xlfn.XLOOKUP(
    BW$9,
    tbl_define_indicators[Indicator ID],
    tbl_define_indicators[Pillar]
  )
)</f>
        <v/>
      </c>
      <c r="BX7" s="52" t="str">
        <f>IF(
  BX$9="",
  "",
  _xlfn.XLOOKUP(
    BX$9,
    tbl_define_indicators[Indicator ID],
    tbl_define_indicators[Pillar]
  )
)</f>
        <v/>
      </c>
      <c r="BY7" s="52" t="str">
        <f>IF(
  BY$9="",
  "",
  _xlfn.XLOOKUP(
    BY$9,
    tbl_define_indicators[Indicator ID],
    tbl_define_indicators[Pillar]
  )
)</f>
        <v/>
      </c>
      <c r="BZ7" s="52" t="str">
        <f>IF(
  BZ$9="",
  "",
  _xlfn.XLOOKUP(
    BZ$9,
    tbl_define_indicators[Indicator ID],
    tbl_define_indicators[Pillar]
  )
)</f>
        <v/>
      </c>
      <c r="CA7" s="52" t="str">
        <f>IF(
  CA$9="",
  "",
  _xlfn.XLOOKUP(
    CA$9,
    tbl_define_indicators[Indicator ID],
    tbl_define_indicators[Pillar]
  )
)</f>
        <v/>
      </c>
      <c r="CB7" s="52" t="str">
        <f>IF(
  CB$9="",
  "",
  _xlfn.XLOOKUP(
    CB$9,
    tbl_define_indicators[Indicator ID],
    tbl_define_indicators[Pillar]
  )
)</f>
        <v/>
      </c>
      <c r="CC7" s="52" t="str">
        <f>IF(
  CC$9="",
  "",
  _xlfn.XLOOKUP(
    CC$9,
    tbl_define_indicators[Indicator ID],
    tbl_define_indicators[Pillar]
  )
)</f>
        <v/>
      </c>
      <c r="CD7" s="52" t="str">
        <f>IF(
  CD$9="",
  "",
  _xlfn.XLOOKUP(
    CD$9,
    tbl_define_indicators[Indicator ID],
    tbl_define_indicators[Pillar]
  )
)</f>
        <v/>
      </c>
      <c r="CE7" s="52" t="str">
        <f>IF(
  CE$9="",
  "",
  _xlfn.XLOOKUP(
    CE$9,
    tbl_define_indicators[Indicator ID],
    tbl_define_indicators[Pillar]
  )
)</f>
        <v/>
      </c>
      <c r="CF7" s="52" t="str">
        <f>IF(
  CF$9="",
  "",
  _xlfn.XLOOKUP(
    CF$9,
    tbl_define_indicators[Indicator ID],
    tbl_define_indicators[Pillar]
  )
)</f>
        <v/>
      </c>
      <c r="CG7" s="52" t="str">
        <f>IF(
  CG$9="",
  "",
  _xlfn.XLOOKUP(
    CG$9,
    tbl_define_indicators[Indicator ID],
    tbl_define_indicators[Pillar]
  )
)</f>
        <v/>
      </c>
      <c r="CH7" s="52" t="str">
        <f>IF(
  CH$9="",
  "",
  _xlfn.XLOOKUP(
    CH$9,
    tbl_define_indicators[Indicator ID],
    tbl_define_indicators[Pillar]
  )
)</f>
        <v/>
      </c>
      <c r="CI7" s="52" t="str">
        <f>IF(
  CI$9="",
  "",
  _xlfn.XLOOKUP(
    CI$9,
    tbl_define_indicators[Indicator ID],
    tbl_define_indicators[Pillar]
  )
)</f>
        <v/>
      </c>
      <c r="CJ7" s="52" t="str">
        <f>IF(
  CJ$9="",
  "",
  _xlfn.XLOOKUP(
    CJ$9,
    tbl_define_indicators[Indicator ID],
    tbl_define_indicators[Pillar]
  )
)</f>
        <v/>
      </c>
      <c r="CK7" s="52" t="str">
        <f>IF(
  CK$9="",
  "",
  _xlfn.XLOOKUP(
    CK$9,
    tbl_define_indicators[Indicator ID],
    tbl_define_indicators[Pillar]
  )
)</f>
        <v/>
      </c>
      <c r="CL7" s="52" t="str">
        <f>IF(
  CL$9="",
  "",
  _xlfn.XLOOKUP(
    CL$9,
    tbl_define_indicators[Indicator ID],
    tbl_define_indicators[Pillar]
  )
)</f>
        <v/>
      </c>
      <c r="CM7" s="52" t="str">
        <f>IF(
  CM$9="",
  "",
  _xlfn.XLOOKUP(
    CM$9,
    tbl_define_indicators[Indicator ID],
    tbl_define_indicators[Pillar]
  )
)</f>
        <v/>
      </c>
      <c r="CN7" s="52" t="str">
        <f>IF(
  CN$9="",
  "",
  _xlfn.XLOOKUP(
    CN$9,
    tbl_define_indicators[Indicator ID],
    tbl_define_indicators[Pillar]
  )
)</f>
        <v/>
      </c>
      <c r="CO7" s="52" t="str">
        <f>IF(
  CO$9="",
  "",
  _xlfn.XLOOKUP(
    CO$9,
    tbl_define_indicators[Indicator ID],
    tbl_define_indicators[Pillar]
  )
)</f>
        <v/>
      </c>
      <c r="CP7" s="52" t="str">
        <f>IF(
  CP$9="",
  "",
  _xlfn.XLOOKUP(
    CP$9,
    tbl_define_indicators[Indicator ID],
    tbl_define_indicators[Pillar]
  )
)</f>
        <v/>
      </c>
      <c r="CQ7" s="52" t="str">
        <f>IF(
  CQ$9="",
  "",
  _xlfn.XLOOKUP(
    CQ$9,
    tbl_define_indicators[Indicator ID],
    tbl_define_indicators[Pillar]
  )
)</f>
        <v/>
      </c>
      <c r="CR7" s="52" t="str">
        <f>IF(
  CR$9="",
  "",
  _xlfn.XLOOKUP(
    CR$9,
    tbl_define_indicators[Indicator ID],
    tbl_define_indicators[Pillar]
  )
)</f>
        <v/>
      </c>
      <c r="CS7" s="52" t="str">
        <f>IF(
  CS$9="",
  "",
  _xlfn.XLOOKUP(
    CS$9,
    tbl_define_indicators[Indicator ID],
    tbl_define_indicators[Pillar]
  )
)</f>
        <v/>
      </c>
      <c r="CT7" s="52" t="str">
        <f>IF(
  CT$9="",
  "",
  _xlfn.XLOOKUP(
    CT$9,
    tbl_define_indicators[Indicator ID],
    tbl_define_indicators[Pillar]
  )
)</f>
        <v/>
      </c>
      <c r="CU7" s="52" t="str">
        <f>IF(
  CU$9="",
  "",
  _xlfn.XLOOKUP(
    CU$9,
    tbl_define_indicators[Indicator ID],
    tbl_define_indicators[Pillar]
  )
)</f>
        <v/>
      </c>
      <c r="CV7" s="52" t="str">
        <f>IF(
  CV$9="",
  "",
  _xlfn.XLOOKUP(
    CV$9,
    tbl_define_indicators[Indicator ID],
    tbl_define_indicators[Pillar]
  )
)</f>
        <v/>
      </c>
      <c r="CW7" s="52" t="str">
        <f>IF(
  CW$9="",
  "",
  _xlfn.XLOOKUP(
    CW$9,
    tbl_define_indicators[Indicator ID],
    tbl_define_indicators[Pillar]
  )
)</f>
        <v/>
      </c>
      <c r="CX7" s="52" t="str">
        <f>IF(
  CX$9="",
  "",
  _xlfn.XLOOKUP(
    CX$9,
    tbl_define_indicators[Indicator ID],
    tbl_define_indicators[Pillar]
  )
)</f>
        <v/>
      </c>
      <c r="CY7" s="52" t="str">
        <f>IF(
  CY$9="",
  "",
  _xlfn.XLOOKUP(
    CY$9,
    tbl_define_indicators[Indicator ID],
    tbl_define_indicators[Pillar]
  )
)</f>
        <v/>
      </c>
      <c r="CZ7" s="52" t="str">
        <f>IF(
  CZ$9="",
  "",
  _xlfn.XLOOKUP(
    CZ$9,
    tbl_define_indicators[Indicator ID],
    tbl_define_indicators[Pillar]
  )
)</f>
        <v/>
      </c>
    </row>
    <row r="8" spans="1:104" s="12" customFormat="1" ht="143" customHeight="1" x14ac:dyDescent="0.2">
      <c r="A8" s="112"/>
      <c r="B8" s="51"/>
      <c r="C8" s="51"/>
      <c r="D8" s="12" t="str">
        <f>IF(
  D$9="",
  "",
  _xlfn.XLOOKUP(
    D$9,
    tbl_define_indicators[Indicator ID],
    tbl_define_indicators[Indicator]
  )
)</f>
        <v/>
      </c>
      <c r="E8" s="12" t="str">
        <f>IF(
  E$9="",
  "",
  _xlfn.XLOOKUP(
    E$9,
    tbl_define_indicators[Indicator ID],
    tbl_define_indicators[Indicator]
  )
)</f>
        <v/>
      </c>
      <c r="F8" s="12" t="str">
        <f>IF(
  F$9="",
  "",
  _xlfn.XLOOKUP(
    F$9,
    tbl_define_indicators[Indicator ID],
    tbl_define_indicators[Indicator]
  )
)</f>
        <v/>
      </c>
      <c r="G8" s="12" t="str">
        <f>IF(
  G$9="",
  "",
  _xlfn.XLOOKUP(
    G$9,
    tbl_define_indicators[Indicator ID],
    tbl_define_indicators[Indicator]
  )
)</f>
        <v/>
      </c>
      <c r="H8" s="12" t="str">
        <f>IF(
  H$9="",
  "",
  _xlfn.XLOOKUP(
    H$9,
    tbl_define_indicators[Indicator ID],
    tbl_define_indicators[Indicator]
  )
)</f>
        <v/>
      </c>
      <c r="I8" s="12" t="str">
        <f>IF(
  I$9="",
  "",
  _xlfn.XLOOKUP(
    I$9,
    tbl_define_indicators[Indicator ID],
    tbl_define_indicators[Indicator]
  )
)</f>
        <v/>
      </c>
      <c r="J8" s="12" t="str">
        <f>IF(
  J$9="",
  "",
  _xlfn.XLOOKUP(
    J$9,
    tbl_define_indicators[Indicator ID],
    tbl_define_indicators[Indicator]
  )
)</f>
        <v/>
      </c>
      <c r="K8" s="12" t="str">
        <f>IF(
  K$9="",
  "",
  _xlfn.XLOOKUP(
    K$9,
    tbl_define_indicators[Indicator ID],
    tbl_define_indicators[Indicator]
  )
)</f>
        <v/>
      </c>
      <c r="L8" s="12" t="str">
        <f>IF(
  L$9="",
  "",
  _xlfn.XLOOKUP(
    L$9,
    tbl_define_indicators[Indicator ID],
    tbl_define_indicators[Indicator]
  )
)</f>
        <v/>
      </c>
      <c r="M8" s="12" t="str">
        <f>IF(
  M$9="",
  "",
  _xlfn.XLOOKUP(
    M$9,
    tbl_define_indicators[Indicator ID],
    tbl_define_indicators[Indicator]
  )
)</f>
        <v/>
      </c>
      <c r="N8" s="12" t="str">
        <f>IF(
  N$9="",
  "",
  _xlfn.XLOOKUP(
    N$9,
    tbl_define_indicators[Indicator ID],
    tbl_define_indicators[Indicator]
  )
)</f>
        <v/>
      </c>
      <c r="O8" s="12" t="str">
        <f>IF(
  O$9="",
  "",
  _xlfn.XLOOKUP(
    O$9,
    tbl_define_indicators[Indicator ID],
    tbl_define_indicators[Indicator]
  )
)</f>
        <v/>
      </c>
      <c r="P8" s="12" t="str">
        <f>IF(
  P$9="",
  "",
  _xlfn.XLOOKUP(
    P$9,
    tbl_define_indicators[Indicator ID],
    tbl_define_indicators[Indicator]
  )
)</f>
        <v/>
      </c>
      <c r="Q8" s="12" t="str">
        <f>IF(
  Q$9="",
  "",
  _xlfn.XLOOKUP(
    Q$9,
    tbl_define_indicators[Indicator ID],
    tbl_define_indicators[Indicator]
  )
)</f>
        <v/>
      </c>
      <c r="R8" s="12" t="str">
        <f>IF(
  R$9="",
  "",
  _xlfn.XLOOKUP(
    R$9,
    tbl_define_indicators[Indicator ID],
    tbl_define_indicators[Indicator]
  )
)</f>
        <v/>
      </c>
      <c r="S8" s="12" t="str">
        <f>IF(
  S$9="",
  "",
  _xlfn.XLOOKUP(
    S$9,
    tbl_define_indicators[Indicator ID],
    tbl_define_indicators[Indicator]
  )
)</f>
        <v/>
      </c>
      <c r="T8" s="12" t="str">
        <f>IF(
  T$9="",
  "",
  _xlfn.XLOOKUP(
    T$9,
    tbl_define_indicators[Indicator ID],
    tbl_define_indicators[Indicator]
  )
)</f>
        <v/>
      </c>
      <c r="U8" s="12" t="str">
        <f>IF(
  U$9="",
  "",
  _xlfn.XLOOKUP(
    U$9,
    tbl_define_indicators[Indicator ID],
    tbl_define_indicators[Indicator]
  )
)</f>
        <v/>
      </c>
      <c r="V8" s="12" t="str">
        <f>IF(
  V$9="",
  "",
  _xlfn.XLOOKUP(
    V$9,
    tbl_define_indicators[Indicator ID],
    tbl_define_indicators[Indicator]
  )
)</f>
        <v/>
      </c>
      <c r="W8" s="12" t="str">
        <f>IF(
  W$9="",
  "",
  _xlfn.XLOOKUP(
    W$9,
    tbl_define_indicators[Indicator ID],
    tbl_define_indicators[Indicator]
  )
)</f>
        <v/>
      </c>
      <c r="X8" s="12" t="str">
        <f>IF(
  X$9="",
  "",
  _xlfn.XLOOKUP(
    X$9,
    tbl_define_indicators[Indicator ID],
    tbl_define_indicators[Indicator]
  )
)</f>
        <v/>
      </c>
      <c r="Y8" s="12" t="str">
        <f>IF(
  Y$9="",
  "",
  _xlfn.XLOOKUP(
    Y$9,
    tbl_define_indicators[Indicator ID],
    tbl_define_indicators[Indicator]
  )
)</f>
        <v/>
      </c>
      <c r="Z8" s="12" t="str">
        <f>IF(
  Z$9="",
  "",
  _xlfn.XLOOKUP(
    Z$9,
    tbl_define_indicators[Indicator ID],
    tbl_define_indicators[Indicator]
  )
)</f>
        <v/>
      </c>
      <c r="AA8" s="12" t="str">
        <f>IF(
  AA$9="",
  "",
  _xlfn.XLOOKUP(
    AA$9,
    tbl_define_indicators[Indicator ID],
    tbl_define_indicators[Indicator]
  )
)</f>
        <v/>
      </c>
      <c r="AB8" s="12" t="str">
        <f>IF(
  AB$9="",
  "",
  _xlfn.XLOOKUP(
    AB$9,
    tbl_define_indicators[Indicator ID],
    tbl_define_indicators[Indicator]
  )
)</f>
        <v/>
      </c>
      <c r="AC8" s="12" t="str">
        <f>IF(
  AC$9="",
  "",
  _xlfn.XLOOKUP(
    AC$9,
    tbl_define_indicators[Indicator ID],
    tbl_define_indicators[Indicator]
  )
)</f>
        <v/>
      </c>
      <c r="AD8" s="12" t="str">
        <f>IF(
  AD$9="",
  "",
  _xlfn.XLOOKUP(
    AD$9,
    tbl_define_indicators[Indicator ID],
    tbl_define_indicators[Indicator]
  )
)</f>
        <v/>
      </c>
      <c r="AE8" s="12" t="str">
        <f>IF(
  AE$9="",
  "",
  _xlfn.XLOOKUP(
    AE$9,
    tbl_define_indicators[Indicator ID],
    tbl_define_indicators[Indicator]
  )
)</f>
        <v/>
      </c>
      <c r="AF8" s="12" t="str">
        <f>IF(
  AF$9="",
  "",
  _xlfn.XLOOKUP(
    AF$9,
    tbl_define_indicators[Indicator ID],
    tbl_define_indicators[Indicator]
  )
)</f>
        <v/>
      </c>
      <c r="AG8" s="12" t="str">
        <f>IF(
  AG$9="",
  "",
  _xlfn.XLOOKUP(
    AG$9,
    tbl_define_indicators[Indicator ID],
    tbl_define_indicators[Indicator]
  )
)</f>
        <v/>
      </c>
      <c r="AH8" s="12" t="str">
        <f>IF(
  AH$9="",
  "",
  _xlfn.XLOOKUP(
    AH$9,
    tbl_define_indicators[Indicator ID],
    tbl_define_indicators[Indicator]
  )
)</f>
        <v/>
      </c>
      <c r="AI8" s="12" t="str">
        <f>IF(
  AI$9="",
  "",
  _xlfn.XLOOKUP(
    AI$9,
    tbl_define_indicators[Indicator ID],
    tbl_define_indicators[Indicator]
  )
)</f>
        <v/>
      </c>
      <c r="AJ8" s="12" t="str">
        <f>IF(
  AJ$9="",
  "",
  _xlfn.XLOOKUP(
    AJ$9,
    tbl_define_indicators[Indicator ID],
    tbl_define_indicators[Indicator]
  )
)</f>
        <v/>
      </c>
      <c r="AK8" s="12" t="str">
        <f>IF(
  AK$9="",
  "",
  _xlfn.XLOOKUP(
    AK$9,
    tbl_define_indicators[Indicator ID],
    tbl_define_indicators[Indicator]
  )
)</f>
        <v/>
      </c>
      <c r="AL8" s="12" t="str">
        <f>IF(
  AL$9="",
  "",
  _xlfn.XLOOKUP(
    AL$9,
    tbl_define_indicators[Indicator ID],
    tbl_define_indicators[Indicator]
  )
)</f>
        <v/>
      </c>
      <c r="AM8" s="12" t="str">
        <f>IF(
  AM$9="",
  "",
  _xlfn.XLOOKUP(
    AM$9,
    tbl_define_indicators[Indicator ID],
    tbl_define_indicators[Indicator]
  )
)</f>
        <v/>
      </c>
      <c r="AN8" s="12" t="str">
        <f>IF(
  AN$9="",
  "",
  _xlfn.XLOOKUP(
    AN$9,
    tbl_define_indicators[Indicator ID],
    tbl_define_indicators[Indicator]
  )
)</f>
        <v/>
      </c>
      <c r="AO8" s="12" t="str">
        <f>IF(
  AO$9="",
  "",
  _xlfn.XLOOKUP(
    AO$9,
    tbl_define_indicators[Indicator ID],
    tbl_define_indicators[Indicator]
  )
)</f>
        <v/>
      </c>
      <c r="AP8" s="12" t="str">
        <f>IF(
  AP$9="",
  "",
  _xlfn.XLOOKUP(
    AP$9,
    tbl_define_indicators[Indicator ID],
    tbl_define_indicators[Indicator]
  )
)</f>
        <v/>
      </c>
      <c r="AQ8" s="12" t="str">
        <f>IF(
  AQ$9="",
  "",
  _xlfn.XLOOKUP(
    AQ$9,
    tbl_define_indicators[Indicator ID],
    tbl_define_indicators[Indicator]
  )
)</f>
        <v/>
      </c>
      <c r="AR8" s="12" t="str">
        <f>IF(
  AR$9="",
  "",
  _xlfn.XLOOKUP(
    AR$9,
    tbl_define_indicators[Indicator ID],
    tbl_define_indicators[Indicator]
  )
)</f>
        <v/>
      </c>
      <c r="AS8" s="12" t="str">
        <f>IF(
  AS$9="",
  "",
  _xlfn.XLOOKUP(
    AS$9,
    tbl_define_indicators[Indicator ID],
    tbl_define_indicators[Indicator]
  )
)</f>
        <v/>
      </c>
      <c r="AT8" s="12" t="str">
        <f>IF(
  AT$9="",
  "",
  _xlfn.XLOOKUP(
    AT$9,
    tbl_define_indicators[Indicator ID],
    tbl_define_indicators[Indicator]
  )
)</f>
        <v/>
      </c>
      <c r="AU8" s="12" t="str">
        <f>IF(
  AU$9="",
  "",
  _xlfn.XLOOKUP(
    AU$9,
    tbl_define_indicators[Indicator ID],
    tbl_define_indicators[Indicator]
  )
)</f>
        <v/>
      </c>
      <c r="AV8" s="12" t="str">
        <f>IF(
  AV$9="",
  "",
  _xlfn.XLOOKUP(
    AV$9,
    tbl_define_indicators[Indicator ID],
    tbl_define_indicators[Indicator]
  )
)</f>
        <v/>
      </c>
      <c r="AW8" s="12" t="str">
        <f>IF(
  AW$9="",
  "",
  _xlfn.XLOOKUP(
    AW$9,
    tbl_define_indicators[Indicator ID],
    tbl_define_indicators[Indicator]
  )
)</f>
        <v/>
      </c>
      <c r="AX8" s="12" t="str">
        <f>IF(
  AX$9="",
  "",
  _xlfn.XLOOKUP(
    AX$9,
    tbl_define_indicators[Indicator ID],
    tbl_define_indicators[Indicator]
  )
)</f>
        <v/>
      </c>
      <c r="AY8" s="12" t="str">
        <f>IF(
  AY$9="",
  "",
  _xlfn.XLOOKUP(
    AY$9,
    tbl_define_indicators[Indicator ID],
    tbl_define_indicators[Indicator]
  )
)</f>
        <v/>
      </c>
      <c r="AZ8" s="12" t="str">
        <f>IF(
  AZ$9="",
  "",
  _xlfn.XLOOKUP(
    AZ$9,
    tbl_define_indicators[Indicator ID],
    tbl_define_indicators[Indicator]
  )
)</f>
        <v/>
      </c>
      <c r="BA8" s="12" t="str">
        <f>IF(
  BA$9="",
  "",
  _xlfn.XLOOKUP(
    BA$9,
    tbl_define_indicators[Indicator ID],
    tbl_define_indicators[Indicator]
  )
)</f>
        <v/>
      </c>
      <c r="BB8" s="12" t="str">
        <f>IF(
  BB$9="",
  "",
  _xlfn.XLOOKUP(
    BB$9,
    tbl_define_indicators[Indicator ID],
    tbl_define_indicators[Indicator]
  )
)</f>
        <v/>
      </c>
      <c r="BC8" s="12" t="str">
        <f>IF(
  BC$9="",
  "",
  _xlfn.XLOOKUP(
    BC$9,
    tbl_define_indicators[Indicator ID],
    tbl_define_indicators[Indicator]
  )
)</f>
        <v/>
      </c>
      <c r="BD8" s="12" t="str">
        <f>IF(
  BD$9="",
  "",
  _xlfn.XLOOKUP(
    BD$9,
    tbl_define_indicators[Indicator ID],
    tbl_define_indicators[Indicator]
  )
)</f>
        <v/>
      </c>
      <c r="BE8" s="12" t="str">
        <f>IF(
  BE$9="",
  "",
  _xlfn.XLOOKUP(
    BE$9,
    tbl_define_indicators[Indicator ID],
    tbl_define_indicators[Indicator]
  )
)</f>
        <v/>
      </c>
      <c r="BF8" s="12" t="str">
        <f>IF(
  BF$9="",
  "",
  _xlfn.XLOOKUP(
    BF$9,
    tbl_define_indicators[Indicator ID],
    tbl_define_indicators[Indicator]
  )
)</f>
        <v/>
      </c>
      <c r="BG8" s="12" t="str">
        <f>IF(
  BG$9="",
  "",
  _xlfn.XLOOKUP(
    BG$9,
    tbl_define_indicators[Indicator ID],
    tbl_define_indicators[Indicator]
  )
)</f>
        <v/>
      </c>
      <c r="BH8" s="12" t="str">
        <f>IF(
  BH$9="",
  "",
  _xlfn.XLOOKUP(
    BH$9,
    tbl_define_indicators[Indicator ID],
    tbl_define_indicators[Indicator]
  )
)</f>
        <v/>
      </c>
      <c r="BI8" s="12" t="str">
        <f>IF(
  BI$9="",
  "",
  _xlfn.XLOOKUP(
    BI$9,
    tbl_define_indicators[Indicator ID],
    tbl_define_indicators[Indicator]
  )
)</f>
        <v/>
      </c>
      <c r="BJ8" s="12" t="str">
        <f>IF(
  BJ$9="",
  "",
  _xlfn.XLOOKUP(
    BJ$9,
    tbl_define_indicators[Indicator ID],
    tbl_define_indicators[Indicator]
  )
)</f>
        <v/>
      </c>
      <c r="BK8" s="12" t="str">
        <f>IF(
  BK$9="",
  "",
  _xlfn.XLOOKUP(
    BK$9,
    tbl_define_indicators[Indicator ID],
    tbl_define_indicators[Indicator]
  )
)</f>
        <v/>
      </c>
      <c r="BL8" s="12" t="str">
        <f>IF(
  BL$9="",
  "",
  _xlfn.XLOOKUP(
    BL$9,
    tbl_define_indicators[Indicator ID],
    tbl_define_indicators[Indicator]
  )
)</f>
        <v/>
      </c>
      <c r="BM8" s="12" t="str">
        <f>IF(
  BM$9="",
  "",
  _xlfn.XLOOKUP(
    BM$9,
    tbl_define_indicators[Indicator ID],
    tbl_define_indicators[Indicator]
  )
)</f>
        <v/>
      </c>
      <c r="BN8" s="12" t="str">
        <f>IF(
  BN$9="",
  "",
  _xlfn.XLOOKUP(
    BN$9,
    tbl_define_indicators[Indicator ID],
    tbl_define_indicators[Indicator]
  )
)</f>
        <v/>
      </c>
      <c r="BO8" s="12" t="str">
        <f>IF(
  BO$9="",
  "",
  _xlfn.XLOOKUP(
    BO$9,
    tbl_define_indicators[Indicator ID],
    tbl_define_indicators[Indicator]
  )
)</f>
        <v/>
      </c>
      <c r="BP8" s="12" t="str">
        <f>IF(
  BP$9="",
  "",
  _xlfn.XLOOKUP(
    BP$9,
    tbl_define_indicators[Indicator ID],
    tbl_define_indicators[Indicator]
  )
)</f>
        <v/>
      </c>
      <c r="BQ8" s="12" t="str">
        <f>IF(
  BQ$9="",
  "",
  _xlfn.XLOOKUP(
    BQ$9,
    tbl_define_indicators[Indicator ID],
    tbl_define_indicators[Indicator]
  )
)</f>
        <v/>
      </c>
      <c r="BR8" s="12" t="str">
        <f>IF(
  BR$9="",
  "",
  _xlfn.XLOOKUP(
    BR$9,
    tbl_define_indicators[Indicator ID],
    tbl_define_indicators[Indicator]
  )
)</f>
        <v/>
      </c>
      <c r="BS8" s="12" t="str">
        <f>IF(
  BS$9="",
  "",
  _xlfn.XLOOKUP(
    BS$9,
    tbl_define_indicators[Indicator ID],
    tbl_define_indicators[Indicator]
  )
)</f>
        <v/>
      </c>
      <c r="BT8" s="12" t="str">
        <f>IF(
  BT$9="",
  "",
  _xlfn.XLOOKUP(
    BT$9,
    tbl_define_indicators[Indicator ID],
    tbl_define_indicators[Indicator]
  )
)</f>
        <v/>
      </c>
      <c r="BU8" s="12" t="str">
        <f>IF(
  BU$9="",
  "",
  _xlfn.XLOOKUP(
    BU$9,
    tbl_define_indicators[Indicator ID],
    tbl_define_indicators[Indicator]
  )
)</f>
        <v/>
      </c>
      <c r="BV8" s="12" t="str">
        <f>IF(
  BV$9="",
  "",
  _xlfn.XLOOKUP(
    BV$9,
    tbl_define_indicators[Indicator ID],
    tbl_define_indicators[Indicator]
  )
)</f>
        <v/>
      </c>
      <c r="BW8" s="12" t="str">
        <f>IF(
  BW$9="",
  "",
  _xlfn.XLOOKUP(
    BW$9,
    tbl_define_indicators[Indicator ID],
    tbl_define_indicators[Indicator]
  )
)</f>
        <v/>
      </c>
      <c r="BX8" s="12" t="str">
        <f>IF(
  BX$9="",
  "",
  _xlfn.XLOOKUP(
    BX$9,
    tbl_define_indicators[Indicator ID],
    tbl_define_indicators[Indicator]
  )
)</f>
        <v/>
      </c>
      <c r="BY8" s="12" t="str">
        <f>IF(
  BY$9="",
  "",
  _xlfn.XLOOKUP(
    BY$9,
    tbl_define_indicators[Indicator ID],
    tbl_define_indicators[Indicator]
  )
)</f>
        <v/>
      </c>
      <c r="BZ8" s="12" t="str">
        <f>IF(
  BZ$9="",
  "",
  _xlfn.XLOOKUP(
    BZ$9,
    tbl_define_indicators[Indicator ID],
    tbl_define_indicators[Indicator]
  )
)</f>
        <v/>
      </c>
      <c r="CA8" s="12" t="str">
        <f>IF(
  CA$9="",
  "",
  _xlfn.XLOOKUP(
    CA$9,
    tbl_define_indicators[Indicator ID],
    tbl_define_indicators[Indicator]
  )
)</f>
        <v/>
      </c>
      <c r="CB8" s="12" t="str">
        <f>IF(
  CB$9="",
  "",
  _xlfn.XLOOKUP(
    CB$9,
    tbl_define_indicators[Indicator ID],
    tbl_define_indicators[Indicator]
  )
)</f>
        <v/>
      </c>
      <c r="CC8" s="12" t="str">
        <f>IF(
  CC$9="",
  "",
  _xlfn.XLOOKUP(
    CC$9,
    tbl_define_indicators[Indicator ID],
    tbl_define_indicators[Indicator]
  )
)</f>
        <v/>
      </c>
      <c r="CD8" s="12" t="str">
        <f>IF(
  CD$9="",
  "",
  _xlfn.XLOOKUP(
    CD$9,
    tbl_define_indicators[Indicator ID],
    tbl_define_indicators[Indicator]
  )
)</f>
        <v/>
      </c>
      <c r="CE8" s="12" t="str">
        <f>IF(
  CE$9="",
  "",
  _xlfn.XLOOKUP(
    CE$9,
    tbl_define_indicators[Indicator ID],
    tbl_define_indicators[Indicator]
  )
)</f>
        <v/>
      </c>
      <c r="CF8" s="12" t="str">
        <f>IF(
  CF$9="",
  "",
  _xlfn.XLOOKUP(
    CF$9,
    tbl_define_indicators[Indicator ID],
    tbl_define_indicators[Indicator]
  )
)</f>
        <v/>
      </c>
      <c r="CG8" s="12" t="str">
        <f>IF(
  CG$9="",
  "",
  _xlfn.XLOOKUP(
    CG$9,
    tbl_define_indicators[Indicator ID],
    tbl_define_indicators[Indicator]
  )
)</f>
        <v/>
      </c>
      <c r="CH8" s="12" t="str">
        <f>IF(
  CH$9="",
  "",
  _xlfn.XLOOKUP(
    CH$9,
    tbl_define_indicators[Indicator ID],
    tbl_define_indicators[Indicator]
  )
)</f>
        <v/>
      </c>
      <c r="CI8" s="12" t="str">
        <f>IF(
  CI$9="",
  "",
  _xlfn.XLOOKUP(
    CI$9,
    tbl_define_indicators[Indicator ID],
    tbl_define_indicators[Indicator]
  )
)</f>
        <v/>
      </c>
      <c r="CJ8" s="12" t="str">
        <f>IF(
  CJ$9="",
  "",
  _xlfn.XLOOKUP(
    CJ$9,
    tbl_define_indicators[Indicator ID],
    tbl_define_indicators[Indicator]
  )
)</f>
        <v/>
      </c>
      <c r="CK8" s="12" t="str">
        <f>IF(
  CK$9="",
  "",
  _xlfn.XLOOKUP(
    CK$9,
    tbl_define_indicators[Indicator ID],
    tbl_define_indicators[Indicator]
  )
)</f>
        <v/>
      </c>
      <c r="CL8" s="12" t="str">
        <f>IF(
  CL$9="",
  "",
  _xlfn.XLOOKUP(
    CL$9,
    tbl_define_indicators[Indicator ID],
    tbl_define_indicators[Indicator]
  )
)</f>
        <v/>
      </c>
      <c r="CM8" s="12" t="str">
        <f>IF(
  CM$9="",
  "",
  _xlfn.XLOOKUP(
    CM$9,
    tbl_define_indicators[Indicator ID],
    tbl_define_indicators[Indicator]
  )
)</f>
        <v/>
      </c>
      <c r="CN8" s="12" t="str">
        <f>IF(
  CN$9="",
  "",
  _xlfn.XLOOKUP(
    CN$9,
    tbl_define_indicators[Indicator ID],
    tbl_define_indicators[Indicator]
  )
)</f>
        <v/>
      </c>
      <c r="CO8" s="12" t="str">
        <f>IF(
  CO$9="",
  "",
  _xlfn.XLOOKUP(
    CO$9,
    tbl_define_indicators[Indicator ID],
    tbl_define_indicators[Indicator]
  )
)</f>
        <v/>
      </c>
      <c r="CP8" s="12" t="str">
        <f>IF(
  CP$9="",
  "",
  _xlfn.XLOOKUP(
    CP$9,
    tbl_define_indicators[Indicator ID],
    tbl_define_indicators[Indicator]
  )
)</f>
        <v/>
      </c>
      <c r="CQ8" s="12" t="str">
        <f>IF(
  CQ$9="",
  "",
  _xlfn.XLOOKUP(
    CQ$9,
    tbl_define_indicators[Indicator ID],
    tbl_define_indicators[Indicator]
  )
)</f>
        <v/>
      </c>
      <c r="CR8" s="12" t="str">
        <f>IF(
  CR$9="",
  "",
  _xlfn.XLOOKUP(
    CR$9,
    tbl_define_indicators[Indicator ID],
    tbl_define_indicators[Indicator]
  )
)</f>
        <v/>
      </c>
      <c r="CS8" s="12" t="str">
        <f>IF(
  CS$9="",
  "",
  _xlfn.XLOOKUP(
    CS$9,
    tbl_define_indicators[Indicator ID],
    tbl_define_indicators[Indicator]
  )
)</f>
        <v/>
      </c>
      <c r="CT8" s="12" t="str">
        <f>IF(
  CT$9="",
  "",
  _xlfn.XLOOKUP(
    CT$9,
    tbl_define_indicators[Indicator ID],
    tbl_define_indicators[Indicator]
  )
)</f>
        <v/>
      </c>
      <c r="CU8" s="12" t="str">
        <f>IF(
  CU$9="",
  "",
  _xlfn.XLOOKUP(
    CU$9,
    tbl_define_indicators[Indicator ID],
    tbl_define_indicators[Indicator]
  )
)</f>
        <v/>
      </c>
      <c r="CV8" s="12" t="str">
        <f>IF(
  CV$9="",
  "",
  _xlfn.XLOOKUP(
    CV$9,
    tbl_define_indicators[Indicator ID],
    tbl_define_indicators[Indicator]
  )
)</f>
        <v/>
      </c>
      <c r="CW8" s="12" t="str">
        <f>IF(
  CW$9="",
  "",
  _xlfn.XLOOKUP(
    CW$9,
    tbl_define_indicators[Indicator ID],
    tbl_define_indicators[Indicator]
  )
)</f>
        <v/>
      </c>
      <c r="CX8" s="12" t="str">
        <f>IF(
  CX$9="",
  "",
  _xlfn.XLOOKUP(
    CX$9,
    tbl_define_indicators[Indicator ID],
    tbl_define_indicators[Indicator]
  )
)</f>
        <v/>
      </c>
      <c r="CY8" s="12" t="str">
        <f>IF(
  CY$9="",
  "",
  _xlfn.XLOOKUP(
    CY$9,
    tbl_define_indicators[Indicator ID],
    tbl_define_indicators[Indicator]
  )
)</f>
        <v/>
      </c>
      <c r="CZ8" s="12" t="str">
        <f>IF(
  CZ$9="",
  "",
  _xlfn.XLOOKUP(
    CZ$9,
    tbl_define_indicators[Indicator ID],
    tbl_define_indicators[Indicator]
  )
)</f>
        <v/>
      </c>
    </row>
    <row r="9" spans="1:104" s="95" customFormat="1" hidden="1" x14ac:dyDescent="0.2">
      <c r="A9" s="70"/>
      <c r="B9" s="70"/>
      <c r="C9" s="70"/>
      <c r="D9" s="95" t="str" cm="1">
        <f t="array" ref="D9">IF(
  AND(IndicatorsDefined, WeightsDefined),
  TRANSPOSE(
    _xlfn._xlws.FILTER(
      tbl_define_indicators[Indicator ID],
      tbl_define_indicators[Include]=TRUE
    )
  ),
  ""
)</f>
        <v/>
      </c>
    </row>
    <row r="10" spans="1:104" s="95" customFormat="1" x14ac:dyDescent="0.2">
      <c r="A10" s="70"/>
      <c r="B10" s="70"/>
      <c r="C10" s="70"/>
    </row>
    <row r="11" spans="1:104" s="92" customFormat="1" ht="16" customHeight="1" x14ac:dyDescent="0.2">
      <c r="A11" s="91"/>
      <c r="B11" s="51"/>
      <c r="C11" s="51" t="s">
        <v>3382</v>
      </c>
      <c r="D11" s="92" t="str">
        <f>IF(D$8="","",_xlfn.XLOOKUP(D$8,'4. Define Weights'!$F:$F,'4. Define Weights'!$I:$I,""))</f>
        <v/>
      </c>
      <c r="E11" s="92" t="str">
        <f>IF(E$8="","",_xlfn.XLOOKUP(E$8,'4. Define Weights'!$F:$F,'4. Define Weights'!$I:$I,""))</f>
        <v/>
      </c>
      <c r="F11" s="92" t="str">
        <f>IF(F$8="","",_xlfn.XLOOKUP(F$8,'4. Define Weights'!$F:$F,'4. Define Weights'!$I:$I,""))</f>
        <v/>
      </c>
      <c r="G11" s="92" t="str">
        <f>IF(G$8="","",_xlfn.XLOOKUP(G$8,'4. Define Weights'!$F:$F,'4. Define Weights'!$I:$I,""))</f>
        <v/>
      </c>
      <c r="H11" s="92" t="str">
        <f>IF(H$8="","",_xlfn.XLOOKUP(H$8,'4. Define Weights'!$F:$F,'4. Define Weights'!$I:$I,""))</f>
        <v/>
      </c>
      <c r="I11" s="92" t="str">
        <f>IF(I$8="","",_xlfn.XLOOKUP(I$8,'4. Define Weights'!$F:$F,'4. Define Weights'!$I:$I,""))</f>
        <v/>
      </c>
      <c r="J11" s="92" t="str">
        <f>IF(J$8="","",_xlfn.XLOOKUP(J$8,'4. Define Weights'!$F:$F,'4. Define Weights'!$I:$I,""))</f>
        <v/>
      </c>
      <c r="K11" s="92" t="str">
        <f>IF(K$8="","",_xlfn.XLOOKUP(K$8,'4. Define Weights'!$F:$F,'4. Define Weights'!$I:$I,""))</f>
        <v/>
      </c>
      <c r="L11" s="92" t="str">
        <f>IF(L$8="","",_xlfn.XLOOKUP(L$8,'4. Define Weights'!$F:$F,'4. Define Weights'!$I:$I,""))</f>
        <v/>
      </c>
      <c r="M11" s="92" t="str">
        <f>IF(M$8="","",_xlfn.XLOOKUP(M$8,'4. Define Weights'!$F:$F,'4. Define Weights'!$I:$I,""))</f>
        <v/>
      </c>
      <c r="N11" s="92" t="str">
        <f>IF(N$8="","",_xlfn.XLOOKUP(N$8,'4. Define Weights'!$F:$F,'4. Define Weights'!$I:$I,""))</f>
        <v/>
      </c>
      <c r="O11" s="92" t="str">
        <f>IF(O$8="","",_xlfn.XLOOKUP(O$8,'4. Define Weights'!$F:$F,'4. Define Weights'!$I:$I,""))</f>
        <v/>
      </c>
      <c r="P11" s="92" t="str">
        <f>IF(P$8="","",_xlfn.XLOOKUP(P$8,'4. Define Weights'!$F:$F,'4. Define Weights'!$I:$I,""))</f>
        <v/>
      </c>
      <c r="Q11" s="92" t="str">
        <f>IF(Q$8="","",_xlfn.XLOOKUP(Q$8,'4. Define Weights'!$F:$F,'4. Define Weights'!$I:$I,""))</f>
        <v/>
      </c>
      <c r="R11" s="92" t="str">
        <f>IF(R$8="","",_xlfn.XLOOKUP(R$8,'4. Define Weights'!$F:$F,'4. Define Weights'!$I:$I,""))</f>
        <v/>
      </c>
      <c r="S11" s="92" t="str">
        <f>IF(S$8="","",_xlfn.XLOOKUP(S$8,'4. Define Weights'!$F:$F,'4. Define Weights'!$I:$I,""))</f>
        <v/>
      </c>
      <c r="T11" s="92" t="str">
        <f>IF(T$8="","",_xlfn.XLOOKUP(T$8,'4. Define Weights'!$F:$F,'4. Define Weights'!$I:$I,""))</f>
        <v/>
      </c>
      <c r="U11" s="92" t="str">
        <f>IF(U$8="","",_xlfn.XLOOKUP(U$8,'4. Define Weights'!$F:$F,'4. Define Weights'!$I:$I,""))</f>
        <v/>
      </c>
      <c r="V11" s="92" t="str">
        <f>IF(V$8="","",_xlfn.XLOOKUP(V$8,'4. Define Weights'!$F:$F,'4. Define Weights'!$I:$I,""))</f>
        <v/>
      </c>
      <c r="W11" s="92" t="str">
        <f>IF(W$8="","",_xlfn.XLOOKUP(W$8,'4. Define Weights'!$F:$F,'4. Define Weights'!$I:$I,""))</f>
        <v/>
      </c>
      <c r="X11" s="92" t="str">
        <f>IF(X$8="","",_xlfn.XLOOKUP(X$8,'4. Define Weights'!$F:$F,'4. Define Weights'!$I:$I,""))</f>
        <v/>
      </c>
      <c r="Y11" s="92" t="str">
        <f>IF(Y$8="","",_xlfn.XLOOKUP(Y$8,'4. Define Weights'!$F:$F,'4. Define Weights'!$I:$I,""))</f>
        <v/>
      </c>
      <c r="Z11" s="92" t="str">
        <f>IF(Z$8="","",_xlfn.XLOOKUP(Z$8,'4. Define Weights'!$F:$F,'4. Define Weights'!$I:$I,""))</f>
        <v/>
      </c>
      <c r="AA11" s="92" t="str">
        <f>IF(AA$8="","",_xlfn.XLOOKUP(AA$8,'4. Define Weights'!$F:$F,'4. Define Weights'!$I:$I,""))</f>
        <v/>
      </c>
      <c r="AB11" s="92" t="str">
        <f>IF(AB$8="","",_xlfn.XLOOKUP(AB$8,'4. Define Weights'!$F:$F,'4. Define Weights'!$I:$I,""))</f>
        <v/>
      </c>
      <c r="AC11" s="92" t="str">
        <f>IF(AC$8="","",_xlfn.XLOOKUP(AC$8,'4. Define Weights'!$F:$F,'4. Define Weights'!$I:$I,""))</f>
        <v/>
      </c>
      <c r="AD11" s="92" t="str">
        <f>IF(AD$8="","",_xlfn.XLOOKUP(AD$8,'4. Define Weights'!$F:$F,'4. Define Weights'!$I:$I,""))</f>
        <v/>
      </c>
      <c r="AE11" s="92" t="str">
        <f>IF(AE$8="","",_xlfn.XLOOKUP(AE$8,'4. Define Weights'!$F:$F,'4. Define Weights'!$I:$I,""))</f>
        <v/>
      </c>
      <c r="AF11" s="92" t="str">
        <f>IF(AF$8="","",_xlfn.XLOOKUP(AF$8,'4. Define Weights'!$F:$F,'4. Define Weights'!$I:$I,""))</f>
        <v/>
      </c>
      <c r="AG11" s="92" t="str">
        <f>IF(AG$8="","",_xlfn.XLOOKUP(AG$8,'4. Define Weights'!$F:$F,'4. Define Weights'!$I:$I,""))</f>
        <v/>
      </c>
      <c r="AH11" s="92" t="str">
        <f>IF(AH$8="","",_xlfn.XLOOKUP(AH$8,'4. Define Weights'!$F:$F,'4. Define Weights'!$I:$I,""))</f>
        <v/>
      </c>
      <c r="AI11" s="92" t="str">
        <f>IF(AI$8="","",_xlfn.XLOOKUP(AI$8,'4. Define Weights'!$F:$F,'4. Define Weights'!$I:$I,""))</f>
        <v/>
      </c>
      <c r="AJ11" s="92" t="str">
        <f>IF(AJ$8="","",_xlfn.XLOOKUP(AJ$8,'4. Define Weights'!$F:$F,'4. Define Weights'!$I:$I,""))</f>
        <v/>
      </c>
      <c r="AK11" s="92" t="str">
        <f>IF(AK$8="","",_xlfn.XLOOKUP(AK$8,'4. Define Weights'!$F:$F,'4. Define Weights'!$I:$I,""))</f>
        <v/>
      </c>
      <c r="AL11" s="92" t="str">
        <f>IF(AL$8="","",_xlfn.XLOOKUP(AL$8,'4. Define Weights'!$F:$F,'4. Define Weights'!$I:$I,""))</f>
        <v/>
      </c>
      <c r="AM11" s="92" t="str">
        <f>IF(AM$8="","",_xlfn.XLOOKUP(AM$8,'4. Define Weights'!$F:$F,'4. Define Weights'!$I:$I,""))</f>
        <v/>
      </c>
      <c r="AN11" s="92" t="str">
        <f>IF(AN$8="","",_xlfn.XLOOKUP(AN$8,'4. Define Weights'!$F:$F,'4. Define Weights'!$I:$I,""))</f>
        <v/>
      </c>
      <c r="AO11" s="92" t="str">
        <f>IF(AO$8="","",_xlfn.XLOOKUP(AO$8,'4. Define Weights'!$F:$F,'4. Define Weights'!$I:$I,""))</f>
        <v/>
      </c>
      <c r="AP11" s="92" t="str">
        <f>IF(AP$8="","",_xlfn.XLOOKUP(AP$8,'4. Define Weights'!$F:$F,'4. Define Weights'!$I:$I,""))</f>
        <v/>
      </c>
      <c r="AQ11" s="92" t="str">
        <f>IF(AQ$8="","",_xlfn.XLOOKUP(AQ$8,'4. Define Weights'!$F:$F,'4. Define Weights'!$I:$I,""))</f>
        <v/>
      </c>
      <c r="AR11" s="92" t="str">
        <f>IF(AR$8="","",_xlfn.XLOOKUP(AR$8,'4. Define Weights'!$F:$F,'4. Define Weights'!$I:$I,""))</f>
        <v/>
      </c>
      <c r="AS11" s="92" t="str">
        <f>IF(AS$8="","",_xlfn.XLOOKUP(AS$8,'4. Define Weights'!$F:$F,'4. Define Weights'!$I:$I,""))</f>
        <v/>
      </c>
      <c r="AT11" s="92" t="str">
        <f>IF(AT$8="","",_xlfn.XLOOKUP(AT$8,'4. Define Weights'!$F:$F,'4. Define Weights'!$I:$I,""))</f>
        <v/>
      </c>
      <c r="AU11" s="92" t="str">
        <f>IF(AU$8="","",_xlfn.XLOOKUP(AU$8,'4. Define Weights'!$F:$F,'4. Define Weights'!$I:$I,""))</f>
        <v/>
      </c>
      <c r="AV11" s="92" t="str">
        <f>IF(AV$8="","",_xlfn.XLOOKUP(AV$8,'4. Define Weights'!$F:$F,'4. Define Weights'!$I:$I,""))</f>
        <v/>
      </c>
      <c r="AW11" s="92" t="str">
        <f>IF(AW$8="","",_xlfn.XLOOKUP(AW$8,'4. Define Weights'!$F:$F,'4. Define Weights'!$I:$I,""))</f>
        <v/>
      </c>
      <c r="AX11" s="92" t="str">
        <f>IF(AX$8="","",_xlfn.XLOOKUP(AX$8,'4. Define Weights'!$F:$F,'4. Define Weights'!$I:$I,""))</f>
        <v/>
      </c>
      <c r="AY11" s="92" t="str">
        <f>IF(AY$8="","",_xlfn.XLOOKUP(AY$8,'4. Define Weights'!$F:$F,'4. Define Weights'!$I:$I,""))</f>
        <v/>
      </c>
      <c r="AZ11" s="92" t="str">
        <f>IF(AZ$8="","",_xlfn.XLOOKUP(AZ$8,'4. Define Weights'!$F:$F,'4. Define Weights'!$I:$I,""))</f>
        <v/>
      </c>
      <c r="BA11" s="92" t="str">
        <f>IF(BA$8="","",_xlfn.XLOOKUP(BA$8,'4. Define Weights'!$F:$F,'4. Define Weights'!$I:$I,""))</f>
        <v/>
      </c>
      <c r="BB11" s="92" t="str">
        <f>IF(BB$8="","",_xlfn.XLOOKUP(BB$8,'4. Define Weights'!$F:$F,'4. Define Weights'!$I:$I,""))</f>
        <v/>
      </c>
      <c r="BC11" s="92" t="str">
        <f>IF(BC$8="","",_xlfn.XLOOKUP(BC$8,'4. Define Weights'!$F:$F,'4. Define Weights'!$I:$I,""))</f>
        <v/>
      </c>
      <c r="BD11" s="92" t="str">
        <f>IF(BD$8="","",_xlfn.XLOOKUP(BD$8,'4. Define Weights'!$F:$F,'4. Define Weights'!$I:$I,""))</f>
        <v/>
      </c>
      <c r="BE11" s="92" t="str">
        <f>IF(BE$8="","",_xlfn.XLOOKUP(BE$8,'4. Define Weights'!$F:$F,'4. Define Weights'!$I:$I,""))</f>
        <v/>
      </c>
      <c r="BF11" s="92" t="str">
        <f>IF(BF$8="","",_xlfn.XLOOKUP(BF$8,'4. Define Weights'!$F:$F,'4. Define Weights'!$I:$I,""))</f>
        <v/>
      </c>
      <c r="BG11" s="92" t="str">
        <f>IF(BG$8="","",_xlfn.XLOOKUP(BG$8,'4. Define Weights'!$F:$F,'4. Define Weights'!$I:$I,""))</f>
        <v/>
      </c>
      <c r="BH11" s="92" t="str">
        <f>IF(BH$8="","",_xlfn.XLOOKUP(BH$8,'4. Define Weights'!$F:$F,'4. Define Weights'!$I:$I,""))</f>
        <v/>
      </c>
      <c r="BI11" s="92" t="str">
        <f>IF(BI$8="","",_xlfn.XLOOKUP(BI$8,'4. Define Weights'!$F:$F,'4. Define Weights'!$I:$I,""))</f>
        <v/>
      </c>
      <c r="BJ11" s="92" t="str">
        <f>IF(BJ$8="","",_xlfn.XLOOKUP(BJ$8,'4. Define Weights'!$F:$F,'4. Define Weights'!$I:$I,""))</f>
        <v/>
      </c>
      <c r="BK11" s="92" t="str">
        <f>IF(BK$8="","",_xlfn.XLOOKUP(BK$8,'4. Define Weights'!$F:$F,'4. Define Weights'!$I:$I,""))</f>
        <v/>
      </c>
      <c r="BL11" s="92" t="str">
        <f>IF(BL$8="","",_xlfn.XLOOKUP(BL$8,'4. Define Weights'!$F:$F,'4. Define Weights'!$I:$I,""))</f>
        <v/>
      </c>
      <c r="BM11" s="92" t="str">
        <f>IF(BM$8="","",_xlfn.XLOOKUP(BM$8,'4. Define Weights'!$F:$F,'4. Define Weights'!$I:$I,""))</f>
        <v/>
      </c>
      <c r="BN11" s="92" t="str">
        <f>IF(BN$8="","",_xlfn.XLOOKUP(BN$8,'4. Define Weights'!$F:$F,'4. Define Weights'!$I:$I,""))</f>
        <v/>
      </c>
      <c r="BO11" s="92" t="str">
        <f>IF(BO$8="","",_xlfn.XLOOKUP(BO$8,'4. Define Weights'!$F:$F,'4. Define Weights'!$I:$I,""))</f>
        <v/>
      </c>
      <c r="BP11" s="92" t="str">
        <f>IF(BP$8="","",_xlfn.XLOOKUP(BP$8,'4. Define Weights'!$F:$F,'4. Define Weights'!$I:$I,""))</f>
        <v/>
      </c>
      <c r="BQ11" s="92" t="str">
        <f>IF(BQ$8="","",_xlfn.XLOOKUP(BQ$8,'4. Define Weights'!$F:$F,'4. Define Weights'!$I:$I,""))</f>
        <v/>
      </c>
      <c r="BR11" s="92" t="str">
        <f>IF(BR$8="","",_xlfn.XLOOKUP(BR$8,'4. Define Weights'!$F:$F,'4. Define Weights'!$I:$I,""))</f>
        <v/>
      </c>
      <c r="BS11" s="92" t="str">
        <f>IF(BS$8="","",_xlfn.XLOOKUP(BS$8,'4. Define Weights'!$F:$F,'4. Define Weights'!$I:$I,""))</f>
        <v/>
      </c>
      <c r="BT11" s="92" t="str">
        <f>IF(BT$8="","",_xlfn.XLOOKUP(BT$8,'4. Define Weights'!$F:$F,'4. Define Weights'!$I:$I,""))</f>
        <v/>
      </c>
      <c r="BU11" s="92" t="str">
        <f>IF(BU$8="","",_xlfn.XLOOKUP(BU$8,'4. Define Weights'!$F:$F,'4. Define Weights'!$I:$I,""))</f>
        <v/>
      </c>
      <c r="BV11" s="92" t="str">
        <f>IF(BV$8="","",_xlfn.XLOOKUP(BV$8,'4. Define Weights'!$F:$F,'4. Define Weights'!$I:$I,""))</f>
        <v/>
      </c>
      <c r="BW11" s="92" t="str">
        <f>IF(BW$8="","",_xlfn.XLOOKUP(BW$8,'4. Define Weights'!$F:$F,'4. Define Weights'!$I:$I,""))</f>
        <v/>
      </c>
      <c r="BX11" s="92" t="str">
        <f>IF(BX$8="","",_xlfn.XLOOKUP(BX$8,'4. Define Weights'!$F:$F,'4. Define Weights'!$I:$I,""))</f>
        <v/>
      </c>
      <c r="BY11" s="92" t="str">
        <f>IF(BY$8="","",_xlfn.XLOOKUP(BY$8,'4. Define Weights'!$F:$F,'4. Define Weights'!$I:$I,""))</f>
        <v/>
      </c>
      <c r="BZ11" s="92" t="str">
        <f>IF(BZ$8="","",_xlfn.XLOOKUP(BZ$8,'4. Define Weights'!$F:$F,'4. Define Weights'!$I:$I,""))</f>
        <v/>
      </c>
      <c r="CA11" s="92" t="str">
        <f>IF(CA$8="","",_xlfn.XLOOKUP(CA$8,'4. Define Weights'!$F:$F,'4. Define Weights'!$I:$I,""))</f>
        <v/>
      </c>
      <c r="CB11" s="92" t="str">
        <f>IF(CB$8="","",_xlfn.XLOOKUP(CB$8,'4. Define Weights'!$F:$F,'4. Define Weights'!$I:$I,""))</f>
        <v/>
      </c>
      <c r="CC11" s="92" t="str">
        <f>IF(CC$8="","",_xlfn.XLOOKUP(CC$8,'4. Define Weights'!$F:$F,'4. Define Weights'!$I:$I,""))</f>
        <v/>
      </c>
      <c r="CD11" s="92" t="str">
        <f>IF(CD$8="","",_xlfn.XLOOKUP(CD$8,'4. Define Weights'!$F:$F,'4. Define Weights'!$I:$I,""))</f>
        <v/>
      </c>
      <c r="CE11" s="92" t="str">
        <f>IF(CE$8="","",_xlfn.XLOOKUP(CE$8,'4. Define Weights'!$F:$F,'4. Define Weights'!$I:$I,""))</f>
        <v/>
      </c>
      <c r="CF11" s="92" t="str">
        <f>IF(CF$8="","",_xlfn.XLOOKUP(CF$8,'4. Define Weights'!$F:$F,'4. Define Weights'!$I:$I,""))</f>
        <v/>
      </c>
      <c r="CG11" s="92" t="str">
        <f>IF(CG$8="","",_xlfn.XLOOKUP(CG$8,'4. Define Weights'!$F:$F,'4. Define Weights'!$I:$I,""))</f>
        <v/>
      </c>
      <c r="CH11" s="92" t="str">
        <f>IF(CH$8="","",_xlfn.XLOOKUP(CH$8,'4. Define Weights'!$F:$F,'4. Define Weights'!$I:$I,""))</f>
        <v/>
      </c>
      <c r="CI11" s="92" t="str">
        <f>IF(CI$8="","",_xlfn.XLOOKUP(CI$8,'4. Define Weights'!$F:$F,'4. Define Weights'!$I:$I,""))</f>
        <v/>
      </c>
      <c r="CJ11" s="92" t="str">
        <f>IF(CJ$8="","",_xlfn.XLOOKUP(CJ$8,'4. Define Weights'!$F:$F,'4. Define Weights'!$I:$I,""))</f>
        <v/>
      </c>
      <c r="CK11" s="92" t="str">
        <f>IF(CK$8="","",_xlfn.XLOOKUP(CK$8,'4. Define Weights'!$F:$F,'4. Define Weights'!$I:$I,""))</f>
        <v/>
      </c>
      <c r="CL11" s="92" t="str">
        <f>IF(CL$8="","",_xlfn.XLOOKUP(CL$8,'4. Define Weights'!$F:$F,'4. Define Weights'!$I:$I,""))</f>
        <v/>
      </c>
      <c r="CM11" s="92" t="str">
        <f>IF(CM$8="","",_xlfn.XLOOKUP(CM$8,'4. Define Weights'!$F:$F,'4. Define Weights'!$I:$I,""))</f>
        <v/>
      </c>
      <c r="CN11" s="92" t="str">
        <f>IF(CN$8="","",_xlfn.XLOOKUP(CN$8,'4. Define Weights'!$F:$F,'4. Define Weights'!$I:$I,""))</f>
        <v/>
      </c>
      <c r="CO11" s="92" t="str">
        <f>IF(CO$8="","",_xlfn.XLOOKUP(CO$8,'4. Define Weights'!$F:$F,'4. Define Weights'!$I:$I,""))</f>
        <v/>
      </c>
      <c r="CP11" s="92" t="str">
        <f>IF(CP$8="","",_xlfn.XLOOKUP(CP$8,'4. Define Weights'!$F:$F,'4. Define Weights'!$I:$I,""))</f>
        <v/>
      </c>
      <c r="CQ11" s="92" t="str">
        <f>IF(CQ$8="","",_xlfn.XLOOKUP(CQ$8,'4. Define Weights'!$F:$F,'4. Define Weights'!$I:$I,""))</f>
        <v/>
      </c>
      <c r="CR11" s="92" t="str">
        <f>IF(CR$8="","",_xlfn.XLOOKUP(CR$8,'4. Define Weights'!$F:$F,'4. Define Weights'!$I:$I,""))</f>
        <v/>
      </c>
      <c r="CS11" s="92" t="str">
        <f>IF(CS$8="","",_xlfn.XLOOKUP(CS$8,'4. Define Weights'!$F:$F,'4. Define Weights'!$I:$I,""))</f>
        <v/>
      </c>
      <c r="CT11" s="92" t="str">
        <f>IF(CT$8="","",_xlfn.XLOOKUP(CT$8,'4. Define Weights'!$F:$F,'4. Define Weights'!$I:$I,""))</f>
        <v/>
      </c>
      <c r="CU11" s="92" t="str">
        <f>IF(CU$8="","",_xlfn.XLOOKUP(CU$8,'4. Define Weights'!$F:$F,'4. Define Weights'!$I:$I,""))</f>
        <v/>
      </c>
      <c r="CV11" s="92" t="str">
        <f>IF(CV$8="","",_xlfn.XLOOKUP(CV$8,'4. Define Weights'!$F:$F,'4. Define Weights'!$I:$I,""))</f>
        <v/>
      </c>
      <c r="CW11" s="92" t="str">
        <f>IF(CW$8="","",_xlfn.XLOOKUP(CW$8,'4. Define Weights'!$F:$F,'4. Define Weights'!$I:$I,""))</f>
        <v/>
      </c>
      <c r="CX11" s="92" t="str">
        <f>IF(CX$8="","",_xlfn.XLOOKUP(CX$8,'4. Define Weights'!$F:$F,'4. Define Weights'!$I:$I,""))</f>
        <v/>
      </c>
      <c r="CY11" s="92" t="str">
        <f>IF(CY$8="","",_xlfn.XLOOKUP(CY$8,'4. Define Weights'!$F:$F,'4. Define Weights'!$I:$I,""))</f>
        <v/>
      </c>
      <c r="CZ11" s="92" t="str">
        <f>IF(CZ$8="","",_xlfn.XLOOKUP(CZ$8,'4. Define Weights'!$F:$F,'4. Define Weights'!$I:$I,""))</f>
        <v/>
      </c>
    </row>
    <row r="12" spans="1:104" s="12" customFormat="1" x14ac:dyDescent="0.2">
      <c r="A12" s="72"/>
      <c r="B12" s="51"/>
      <c r="C12" s="51"/>
    </row>
    <row r="13" spans="1:104" s="51" customFormat="1" ht="16" x14ac:dyDescent="0.2">
      <c r="A13" s="91"/>
      <c r="B13" s="51" t="s">
        <v>3387</v>
      </c>
      <c r="C13" s="51" t="s">
        <v>3388</v>
      </c>
    </row>
    <row r="14" spans="1:104" x14ac:dyDescent="0.2">
      <c r="B14" s="6" t="str" cm="1">
        <f t="array" ref="B14">IF(
  CountrySelected,
  _xlfn._xlws.FILTER(
    tbl_geo[Country / Territory],
    tbl_geo[Country / Territory]='1. Describe Your Emergency'!$D$6
  ),
  ""
)</f>
        <v/>
      </c>
      <c r="C14" s="6" t="str" cm="1">
        <f t="array" ref="C14">IF(
  CountrySelected,
  _xlfn._xlws.FILTER(
    tbl_geo[Subnational Level],
    tbl_geo[Country / Territory]='1. Describe Your Emergency'!$D$6
  ),
  ""
)</f>
        <v/>
      </c>
      <c r="D14" s="93" t="str" cm="1">
        <f t="array" ref="D14">_xlfn.LET(
  _xlpm.w, D$11,
  _xlpm.r, MATCH(1,('3. Enter Indicator Scores'!$B$10:$B$161=$B14)*('3. Enter Indicator Scores'!$C$10:$C$161=$C14),0),
  _xlpm.c, MATCH(D$8,'3. Enter Indicator Scores'!$D$8:$CZ$8,0),
  _xlpm.v, IFERROR(INDEX('3. Enter Indicator Scores'!$D$10:$CZ$161,_xlpm.r,_xlpm.c),""),
  IF(OR(_xlpm.w="",_xlpm.v=""),"",_xlpm.v*_xlpm.w)
)</f>
        <v/>
      </c>
      <c r="E14" s="93" t="str" cm="1">
        <f t="array" ref="E14">_xlfn.LET(
  _xlpm.w, E$11,
  _xlpm.r, MATCH(1,('3. Enter Indicator Scores'!$B$10:$B$161=$B14)*('3. Enter Indicator Scores'!$C$10:$C$161=$C14),0),
  _xlpm.c, MATCH(E$8,'3. Enter Indicator Scores'!$D$8:$CZ$8,0),
  _xlpm.v, IFERROR(INDEX('3. Enter Indicator Scores'!$D$10:$CZ$161,_xlpm.r,_xlpm.c),""),
  IF(OR(_xlpm.w="",_xlpm.v=""),"",_xlpm.v*_xlpm.w)
)</f>
        <v/>
      </c>
      <c r="F14" s="93" t="str" cm="1">
        <f t="array" ref="F14">_xlfn.LET(
  _xlpm.w, F$11,
  _xlpm.r, MATCH(1,('3. Enter Indicator Scores'!$B$10:$B$161=$B14)*('3. Enter Indicator Scores'!$C$10:$C$161=$C14),0),
  _xlpm.c, MATCH(F$8,'3. Enter Indicator Scores'!$D$8:$CZ$8,0),
  _xlpm.v, IFERROR(INDEX('3. Enter Indicator Scores'!$D$10:$CZ$161,_xlpm.r,_xlpm.c),""),
  IF(OR(_xlpm.w="",_xlpm.v=""),"",_xlpm.v*_xlpm.w)
)</f>
        <v/>
      </c>
      <c r="G14" s="93" t="str" cm="1">
        <f t="array" ref="G14">_xlfn.LET(
  _xlpm.w, G$11,
  _xlpm.r, MATCH(1,('3. Enter Indicator Scores'!$B$10:$B$161=$B14)*('3. Enter Indicator Scores'!$C$10:$C$161=$C14),0),
  _xlpm.c, MATCH(G$8,'3. Enter Indicator Scores'!$D$8:$CZ$8,0),
  _xlpm.v, IFERROR(INDEX('3. Enter Indicator Scores'!$D$10:$CZ$161,_xlpm.r,_xlpm.c),""),
  IF(OR(_xlpm.w="",_xlpm.v=""),"",_xlpm.v*_xlpm.w)
)</f>
        <v/>
      </c>
      <c r="H14" s="93" t="str" cm="1">
        <f t="array" ref="H14">_xlfn.LET(
  _xlpm.w, H$11,
  _xlpm.r, MATCH(1,('3. Enter Indicator Scores'!$B$10:$B$161=$B14)*('3. Enter Indicator Scores'!$C$10:$C$161=$C14),0),
  _xlpm.c, MATCH(H$8,'3. Enter Indicator Scores'!$D$8:$CZ$8,0),
  _xlpm.v, IFERROR(INDEX('3. Enter Indicator Scores'!$D$10:$CZ$161,_xlpm.r,_xlpm.c),""),
  IF(OR(_xlpm.w="",_xlpm.v=""),"",_xlpm.v*_xlpm.w)
)</f>
        <v/>
      </c>
      <c r="I14" s="93" t="str" cm="1">
        <f t="array" ref="I14">_xlfn.LET(
  _xlpm.w, I$11,
  _xlpm.r, MATCH(1,('3. Enter Indicator Scores'!$B$10:$B$161=$B14)*('3. Enter Indicator Scores'!$C$10:$C$161=$C14),0),
  _xlpm.c, MATCH(I$8,'3. Enter Indicator Scores'!$D$8:$CZ$8,0),
  _xlpm.v, IFERROR(INDEX('3. Enter Indicator Scores'!$D$10:$CZ$161,_xlpm.r,_xlpm.c),""),
  IF(OR(_xlpm.w="",_xlpm.v=""),"",_xlpm.v*_xlpm.w)
)</f>
        <v/>
      </c>
      <c r="J14" s="93" t="str" cm="1">
        <f t="array" ref="J14">_xlfn.LET(
  _xlpm.w, J$11,
  _xlpm.r, MATCH(1,('3. Enter Indicator Scores'!$B$10:$B$161=$B14)*('3. Enter Indicator Scores'!$C$10:$C$161=$C14),0),
  _xlpm.c, MATCH(J$8,'3. Enter Indicator Scores'!$D$8:$CZ$8,0),
  _xlpm.v, IFERROR(INDEX('3. Enter Indicator Scores'!$D$10:$CZ$161,_xlpm.r,_xlpm.c),""),
  IF(OR(_xlpm.w="",_xlpm.v=""),"",_xlpm.v*_xlpm.w)
)</f>
        <v/>
      </c>
      <c r="K14" s="93" t="str" cm="1">
        <f t="array" ref="K14">_xlfn.LET(
  _xlpm.w, K$11,
  _xlpm.r, MATCH(1,('3. Enter Indicator Scores'!$B$10:$B$161=$B14)*('3. Enter Indicator Scores'!$C$10:$C$161=$C14),0),
  _xlpm.c, MATCH(K$8,'3. Enter Indicator Scores'!$D$8:$CZ$8,0),
  _xlpm.v, IFERROR(INDEX('3. Enter Indicator Scores'!$D$10:$CZ$161,_xlpm.r,_xlpm.c),""),
  IF(OR(_xlpm.w="",_xlpm.v=""),"",_xlpm.v*_xlpm.w)
)</f>
        <v/>
      </c>
      <c r="L14" s="93" t="str" cm="1">
        <f t="array" ref="L14">_xlfn.LET(
  _xlpm.w, L$11,
  _xlpm.r, MATCH(1,('3. Enter Indicator Scores'!$B$10:$B$161=$B14)*('3. Enter Indicator Scores'!$C$10:$C$161=$C14),0),
  _xlpm.c, MATCH(L$8,'3. Enter Indicator Scores'!$D$8:$CZ$8,0),
  _xlpm.v, IFERROR(INDEX('3. Enter Indicator Scores'!$D$10:$CZ$161,_xlpm.r,_xlpm.c),""),
  IF(OR(_xlpm.w="",_xlpm.v=""),"",_xlpm.v*_xlpm.w)
)</f>
        <v/>
      </c>
      <c r="M14" s="93" t="str" cm="1">
        <f t="array" ref="M14">_xlfn.LET(
  _xlpm.w, M$11,
  _xlpm.r, MATCH(1,('3. Enter Indicator Scores'!$B$10:$B$161=$B14)*('3. Enter Indicator Scores'!$C$10:$C$161=$C14),0),
  _xlpm.c, MATCH(M$8,'3. Enter Indicator Scores'!$D$8:$CZ$8,0),
  _xlpm.v, IFERROR(INDEX('3. Enter Indicator Scores'!$D$10:$CZ$161,_xlpm.r,_xlpm.c),""),
  IF(OR(_xlpm.w="",_xlpm.v=""),"",_xlpm.v*_xlpm.w)
)</f>
        <v/>
      </c>
      <c r="N14" s="93" t="str" cm="1">
        <f t="array" ref="N14">_xlfn.LET(
  _xlpm.w, N$11,
  _xlpm.r, MATCH(1,('3. Enter Indicator Scores'!$B$10:$B$161=$B14)*('3. Enter Indicator Scores'!$C$10:$C$161=$C14),0),
  _xlpm.c, MATCH(N$8,'3. Enter Indicator Scores'!$D$8:$CZ$8,0),
  _xlpm.v, IFERROR(INDEX('3. Enter Indicator Scores'!$D$10:$CZ$161,_xlpm.r,_xlpm.c),""),
  IF(OR(_xlpm.w="",_xlpm.v=""),"",_xlpm.v*_xlpm.w)
)</f>
        <v/>
      </c>
      <c r="O14" s="93" t="str" cm="1">
        <f t="array" ref="O14">_xlfn.LET(
  _xlpm.w, O$11,
  _xlpm.r, MATCH(1,('3. Enter Indicator Scores'!$B$10:$B$161=$B14)*('3. Enter Indicator Scores'!$C$10:$C$161=$C14),0),
  _xlpm.c, MATCH(O$8,'3. Enter Indicator Scores'!$D$8:$CZ$8,0),
  _xlpm.v, IFERROR(INDEX('3. Enter Indicator Scores'!$D$10:$CZ$161,_xlpm.r,_xlpm.c),""),
  IF(OR(_xlpm.w="",_xlpm.v=""),"",_xlpm.v*_xlpm.w)
)</f>
        <v/>
      </c>
      <c r="P14" s="93" t="str" cm="1">
        <f t="array" ref="P14">_xlfn.LET(
  _xlpm.w, P$11,
  _xlpm.r, MATCH(1,('3. Enter Indicator Scores'!$B$10:$B$161=$B14)*('3. Enter Indicator Scores'!$C$10:$C$161=$C14),0),
  _xlpm.c, MATCH(P$8,'3. Enter Indicator Scores'!$D$8:$CZ$8,0),
  _xlpm.v, IFERROR(INDEX('3. Enter Indicator Scores'!$D$10:$CZ$161,_xlpm.r,_xlpm.c),""),
  IF(OR(_xlpm.w="",_xlpm.v=""),"",_xlpm.v*_xlpm.w)
)</f>
        <v/>
      </c>
      <c r="Q14" s="93" t="str" cm="1">
        <f t="array" ref="Q14">_xlfn.LET(
  _xlpm.w, Q$11,
  _xlpm.r, MATCH(1,('3. Enter Indicator Scores'!$B$10:$B$161=$B14)*('3. Enter Indicator Scores'!$C$10:$C$161=$C14),0),
  _xlpm.c, MATCH(Q$8,'3. Enter Indicator Scores'!$D$8:$CZ$8,0),
  _xlpm.v, IFERROR(INDEX('3. Enter Indicator Scores'!$D$10:$CZ$161,_xlpm.r,_xlpm.c),""),
  IF(OR(_xlpm.w="",_xlpm.v=""),"",_xlpm.v*_xlpm.w)
)</f>
        <v/>
      </c>
      <c r="R14" s="93" t="str" cm="1">
        <f t="array" ref="R14">_xlfn.LET(
  _xlpm.w, R$11,
  _xlpm.r, MATCH(1,('3. Enter Indicator Scores'!$B$10:$B$161=$B14)*('3. Enter Indicator Scores'!$C$10:$C$161=$C14),0),
  _xlpm.c, MATCH(R$8,'3. Enter Indicator Scores'!$D$8:$CZ$8,0),
  _xlpm.v, IFERROR(INDEX('3. Enter Indicator Scores'!$D$10:$CZ$161,_xlpm.r,_xlpm.c),""),
  IF(OR(_xlpm.w="",_xlpm.v=""),"",_xlpm.v*_xlpm.w)
)</f>
        <v/>
      </c>
      <c r="S14" s="93" t="str" cm="1">
        <f t="array" ref="S14">_xlfn.LET(
  _xlpm.w, S$11,
  _xlpm.r, MATCH(1,('3. Enter Indicator Scores'!$B$10:$B$161=$B14)*('3. Enter Indicator Scores'!$C$10:$C$161=$C14),0),
  _xlpm.c, MATCH(S$8,'3. Enter Indicator Scores'!$D$8:$CZ$8,0),
  _xlpm.v, IFERROR(INDEX('3. Enter Indicator Scores'!$D$10:$CZ$161,_xlpm.r,_xlpm.c),""),
  IF(OR(_xlpm.w="",_xlpm.v=""),"",_xlpm.v*_xlpm.w)
)</f>
        <v/>
      </c>
      <c r="T14" s="93" t="str" cm="1">
        <f t="array" ref="T14">_xlfn.LET(
  _xlpm.w, T$11,
  _xlpm.r, MATCH(1,('3. Enter Indicator Scores'!$B$10:$B$161=$B14)*('3. Enter Indicator Scores'!$C$10:$C$161=$C14),0),
  _xlpm.c, MATCH(T$8,'3. Enter Indicator Scores'!$D$8:$CZ$8,0),
  _xlpm.v, IFERROR(INDEX('3. Enter Indicator Scores'!$D$10:$CZ$161,_xlpm.r,_xlpm.c),""),
  IF(OR(_xlpm.w="",_xlpm.v=""),"",_xlpm.v*_xlpm.w)
)</f>
        <v/>
      </c>
      <c r="U14" s="93" t="str" cm="1">
        <f t="array" ref="U14">_xlfn.LET(
  _xlpm.w, U$11,
  _xlpm.r, MATCH(1,('3. Enter Indicator Scores'!$B$10:$B$161=$B14)*('3. Enter Indicator Scores'!$C$10:$C$161=$C14),0),
  _xlpm.c, MATCH(U$8,'3. Enter Indicator Scores'!$D$8:$CZ$8,0),
  _xlpm.v, IFERROR(INDEX('3. Enter Indicator Scores'!$D$10:$CZ$161,_xlpm.r,_xlpm.c),""),
  IF(OR(_xlpm.w="",_xlpm.v=""),"",_xlpm.v*_xlpm.w)
)</f>
        <v/>
      </c>
      <c r="V14" s="93" t="str" cm="1">
        <f t="array" ref="V14">_xlfn.LET(
  _xlpm.w, V$11,
  _xlpm.r, MATCH(1,('3. Enter Indicator Scores'!$B$10:$B$161=$B14)*('3. Enter Indicator Scores'!$C$10:$C$161=$C14),0),
  _xlpm.c, MATCH(V$8,'3. Enter Indicator Scores'!$D$8:$CZ$8,0),
  _xlpm.v, IFERROR(INDEX('3. Enter Indicator Scores'!$D$10:$CZ$161,_xlpm.r,_xlpm.c),""),
  IF(OR(_xlpm.w="",_xlpm.v=""),"",_xlpm.v*_xlpm.w)
)</f>
        <v/>
      </c>
      <c r="W14" s="93" t="str" cm="1">
        <f t="array" ref="W14">_xlfn.LET(
  _xlpm.w, W$11,
  _xlpm.r, MATCH(1,('3. Enter Indicator Scores'!$B$10:$B$161=$B14)*('3. Enter Indicator Scores'!$C$10:$C$161=$C14),0),
  _xlpm.c, MATCH(W$8,'3. Enter Indicator Scores'!$D$8:$CZ$8,0),
  _xlpm.v, IFERROR(INDEX('3. Enter Indicator Scores'!$D$10:$CZ$161,_xlpm.r,_xlpm.c),""),
  IF(OR(_xlpm.w="",_xlpm.v=""),"",_xlpm.v*_xlpm.w)
)</f>
        <v/>
      </c>
      <c r="X14" s="93" t="str" cm="1">
        <f t="array" ref="X14">_xlfn.LET(
  _xlpm.w, X$11,
  _xlpm.r, MATCH(1,('3. Enter Indicator Scores'!$B$10:$B$161=$B14)*('3. Enter Indicator Scores'!$C$10:$C$161=$C14),0),
  _xlpm.c, MATCH(X$8,'3. Enter Indicator Scores'!$D$8:$CZ$8,0),
  _xlpm.v, IFERROR(INDEX('3. Enter Indicator Scores'!$D$10:$CZ$161,_xlpm.r,_xlpm.c),""),
  IF(OR(_xlpm.w="",_xlpm.v=""),"",_xlpm.v*_xlpm.w)
)</f>
        <v/>
      </c>
      <c r="Y14" s="93" t="str" cm="1">
        <f t="array" ref="Y14">_xlfn.LET(
  _xlpm.w, Y$11,
  _xlpm.r, MATCH(1,('3. Enter Indicator Scores'!$B$10:$B$161=$B14)*('3. Enter Indicator Scores'!$C$10:$C$161=$C14),0),
  _xlpm.c, MATCH(Y$8,'3. Enter Indicator Scores'!$D$8:$CZ$8,0),
  _xlpm.v, IFERROR(INDEX('3. Enter Indicator Scores'!$D$10:$CZ$161,_xlpm.r,_xlpm.c),""),
  IF(OR(_xlpm.w="",_xlpm.v=""),"",_xlpm.v*_xlpm.w)
)</f>
        <v/>
      </c>
      <c r="Z14" s="93" t="str" cm="1">
        <f t="array" ref="Z14">_xlfn.LET(
  _xlpm.w, Z$11,
  _xlpm.r, MATCH(1,('3. Enter Indicator Scores'!$B$10:$B$161=$B14)*('3. Enter Indicator Scores'!$C$10:$C$161=$C14),0),
  _xlpm.c, MATCH(Z$8,'3. Enter Indicator Scores'!$D$8:$CZ$8,0),
  _xlpm.v, IFERROR(INDEX('3. Enter Indicator Scores'!$D$10:$CZ$161,_xlpm.r,_xlpm.c),""),
  IF(OR(_xlpm.w="",_xlpm.v=""),"",_xlpm.v*_xlpm.w)
)</f>
        <v/>
      </c>
      <c r="AA14" s="93" t="str" cm="1">
        <f t="array" ref="AA14">_xlfn.LET(
  _xlpm.w, AA$11,
  _xlpm.r, MATCH(1,('3. Enter Indicator Scores'!$B$10:$B$161=$B14)*('3. Enter Indicator Scores'!$C$10:$C$161=$C14),0),
  _xlpm.c, MATCH(AA$8,'3. Enter Indicator Scores'!$D$8:$CZ$8,0),
  _xlpm.v, IFERROR(INDEX('3. Enter Indicator Scores'!$D$10:$CZ$161,_xlpm.r,_xlpm.c),""),
  IF(OR(_xlpm.w="",_xlpm.v=""),"",_xlpm.v*_xlpm.w)
)</f>
        <v/>
      </c>
      <c r="AB14" s="93" t="str" cm="1">
        <f t="array" ref="AB14">_xlfn.LET(
  _xlpm.w, AB$11,
  _xlpm.r, MATCH(1,('3. Enter Indicator Scores'!$B$10:$B$161=$B14)*('3. Enter Indicator Scores'!$C$10:$C$161=$C14),0),
  _xlpm.c, MATCH(AB$8,'3. Enter Indicator Scores'!$D$8:$CZ$8,0),
  _xlpm.v, IFERROR(INDEX('3. Enter Indicator Scores'!$D$10:$CZ$161,_xlpm.r,_xlpm.c),""),
  IF(OR(_xlpm.w="",_xlpm.v=""),"",_xlpm.v*_xlpm.w)
)</f>
        <v/>
      </c>
      <c r="AC14" s="93" t="str" cm="1">
        <f t="array" ref="AC14">_xlfn.LET(
  _xlpm.w, AC$11,
  _xlpm.r, MATCH(1,('3. Enter Indicator Scores'!$B$10:$B$161=$B14)*('3. Enter Indicator Scores'!$C$10:$C$161=$C14),0),
  _xlpm.c, MATCH(AC$8,'3. Enter Indicator Scores'!$D$8:$CZ$8,0),
  _xlpm.v, IFERROR(INDEX('3. Enter Indicator Scores'!$D$10:$CZ$161,_xlpm.r,_xlpm.c),""),
  IF(OR(_xlpm.w="",_xlpm.v=""),"",_xlpm.v*_xlpm.w)
)</f>
        <v/>
      </c>
      <c r="AD14" s="93" t="str" cm="1">
        <f t="array" ref="AD14">_xlfn.LET(
  _xlpm.w, AD$11,
  _xlpm.r, MATCH(1,('3. Enter Indicator Scores'!$B$10:$B$161=$B14)*('3. Enter Indicator Scores'!$C$10:$C$161=$C14),0),
  _xlpm.c, MATCH(AD$8,'3. Enter Indicator Scores'!$D$8:$CZ$8,0),
  _xlpm.v, IFERROR(INDEX('3. Enter Indicator Scores'!$D$10:$CZ$161,_xlpm.r,_xlpm.c),""),
  IF(OR(_xlpm.w="",_xlpm.v=""),"",_xlpm.v*_xlpm.w)
)</f>
        <v/>
      </c>
      <c r="AE14" s="93" t="str" cm="1">
        <f t="array" ref="AE14">_xlfn.LET(
  _xlpm.w, AE$11,
  _xlpm.r, MATCH(1,('3. Enter Indicator Scores'!$B$10:$B$161=$B14)*('3. Enter Indicator Scores'!$C$10:$C$161=$C14),0),
  _xlpm.c, MATCH(AE$8,'3. Enter Indicator Scores'!$D$8:$CZ$8,0),
  _xlpm.v, IFERROR(INDEX('3. Enter Indicator Scores'!$D$10:$CZ$161,_xlpm.r,_xlpm.c),""),
  IF(OR(_xlpm.w="",_xlpm.v=""),"",_xlpm.v*_xlpm.w)
)</f>
        <v/>
      </c>
      <c r="AF14" s="93" t="str" cm="1">
        <f t="array" ref="AF14">_xlfn.LET(
  _xlpm.w, AF$11,
  _xlpm.r, MATCH(1,('3. Enter Indicator Scores'!$B$10:$B$161=$B14)*('3. Enter Indicator Scores'!$C$10:$C$161=$C14),0),
  _xlpm.c, MATCH(AF$8,'3. Enter Indicator Scores'!$D$8:$CZ$8,0),
  _xlpm.v, IFERROR(INDEX('3. Enter Indicator Scores'!$D$10:$CZ$161,_xlpm.r,_xlpm.c),""),
  IF(OR(_xlpm.w="",_xlpm.v=""),"",_xlpm.v*_xlpm.w)
)</f>
        <v/>
      </c>
      <c r="AG14" s="93" t="str" cm="1">
        <f t="array" ref="AG14">_xlfn.LET(
  _xlpm.w, AG$11,
  _xlpm.r, MATCH(1,('3. Enter Indicator Scores'!$B$10:$B$161=$B14)*('3. Enter Indicator Scores'!$C$10:$C$161=$C14),0),
  _xlpm.c, MATCH(AG$8,'3. Enter Indicator Scores'!$D$8:$CZ$8,0),
  _xlpm.v, IFERROR(INDEX('3. Enter Indicator Scores'!$D$10:$CZ$161,_xlpm.r,_xlpm.c),""),
  IF(OR(_xlpm.w="",_xlpm.v=""),"",_xlpm.v*_xlpm.w)
)</f>
        <v/>
      </c>
      <c r="AH14" s="93" t="str" cm="1">
        <f t="array" ref="AH14">_xlfn.LET(
  _xlpm.w, AH$11,
  _xlpm.r, MATCH(1,('3. Enter Indicator Scores'!$B$10:$B$161=$B14)*('3. Enter Indicator Scores'!$C$10:$C$161=$C14),0),
  _xlpm.c, MATCH(AH$8,'3. Enter Indicator Scores'!$D$8:$CZ$8,0),
  _xlpm.v, IFERROR(INDEX('3. Enter Indicator Scores'!$D$10:$CZ$161,_xlpm.r,_xlpm.c),""),
  IF(OR(_xlpm.w="",_xlpm.v=""),"",_xlpm.v*_xlpm.w)
)</f>
        <v/>
      </c>
      <c r="AI14" s="93" t="str" cm="1">
        <f t="array" ref="AI14">_xlfn.LET(
  _xlpm.w, AI$11,
  _xlpm.r, MATCH(1,('3. Enter Indicator Scores'!$B$10:$B$161=$B14)*('3. Enter Indicator Scores'!$C$10:$C$161=$C14),0),
  _xlpm.c, MATCH(AI$8,'3. Enter Indicator Scores'!$D$8:$CZ$8,0),
  _xlpm.v, IFERROR(INDEX('3. Enter Indicator Scores'!$D$10:$CZ$161,_xlpm.r,_xlpm.c),""),
  IF(OR(_xlpm.w="",_xlpm.v=""),"",_xlpm.v*_xlpm.w)
)</f>
        <v/>
      </c>
      <c r="AJ14" s="93" t="str" cm="1">
        <f t="array" ref="AJ14">_xlfn.LET(
  _xlpm.w, AJ$11,
  _xlpm.r, MATCH(1,('3. Enter Indicator Scores'!$B$10:$B$161=$B14)*('3. Enter Indicator Scores'!$C$10:$C$161=$C14),0),
  _xlpm.c, MATCH(AJ$8,'3. Enter Indicator Scores'!$D$8:$CZ$8,0),
  _xlpm.v, IFERROR(INDEX('3. Enter Indicator Scores'!$D$10:$CZ$161,_xlpm.r,_xlpm.c),""),
  IF(OR(_xlpm.w="",_xlpm.v=""),"",_xlpm.v*_xlpm.w)
)</f>
        <v/>
      </c>
      <c r="AK14" s="93" t="str" cm="1">
        <f t="array" ref="AK14">_xlfn.LET(
  _xlpm.w, AK$11,
  _xlpm.r, MATCH(1,('3. Enter Indicator Scores'!$B$10:$B$161=$B14)*('3. Enter Indicator Scores'!$C$10:$C$161=$C14),0),
  _xlpm.c, MATCH(AK$8,'3. Enter Indicator Scores'!$D$8:$CZ$8,0),
  _xlpm.v, IFERROR(INDEX('3. Enter Indicator Scores'!$D$10:$CZ$161,_xlpm.r,_xlpm.c),""),
  IF(OR(_xlpm.w="",_xlpm.v=""),"",_xlpm.v*_xlpm.w)
)</f>
        <v/>
      </c>
      <c r="AL14" s="93" t="str" cm="1">
        <f t="array" ref="AL14">_xlfn.LET(
  _xlpm.w, AL$11,
  _xlpm.r, MATCH(1,('3. Enter Indicator Scores'!$B$10:$B$161=$B14)*('3. Enter Indicator Scores'!$C$10:$C$161=$C14),0),
  _xlpm.c, MATCH(AL$8,'3. Enter Indicator Scores'!$D$8:$CZ$8,0),
  _xlpm.v, IFERROR(INDEX('3. Enter Indicator Scores'!$D$10:$CZ$161,_xlpm.r,_xlpm.c),""),
  IF(OR(_xlpm.w="",_xlpm.v=""),"",_xlpm.v*_xlpm.w)
)</f>
        <v/>
      </c>
      <c r="AM14" s="93" t="str" cm="1">
        <f t="array" ref="AM14">_xlfn.LET(
  _xlpm.w, AM$11,
  _xlpm.r, MATCH(1,('3. Enter Indicator Scores'!$B$10:$B$161=$B14)*('3. Enter Indicator Scores'!$C$10:$C$161=$C14),0),
  _xlpm.c, MATCH(AM$8,'3. Enter Indicator Scores'!$D$8:$CZ$8,0),
  _xlpm.v, IFERROR(INDEX('3. Enter Indicator Scores'!$D$10:$CZ$161,_xlpm.r,_xlpm.c),""),
  IF(OR(_xlpm.w="",_xlpm.v=""),"",_xlpm.v*_xlpm.w)
)</f>
        <v/>
      </c>
      <c r="AN14" s="93" t="str" cm="1">
        <f t="array" ref="AN14">_xlfn.LET(
  _xlpm.w, AN$11,
  _xlpm.r, MATCH(1,('3. Enter Indicator Scores'!$B$10:$B$161=$B14)*('3. Enter Indicator Scores'!$C$10:$C$161=$C14),0),
  _xlpm.c, MATCH(AN$8,'3. Enter Indicator Scores'!$D$8:$CZ$8,0),
  _xlpm.v, IFERROR(INDEX('3. Enter Indicator Scores'!$D$10:$CZ$161,_xlpm.r,_xlpm.c),""),
  IF(OR(_xlpm.w="",_xlpm.v=""),"",_xlpm.v*_xlpm.w)
)</f>
        <v/>
      </c>
      <c r="AO14" s="93" t="str" cm="1">
        <f t="array" ref="AO14">_xlfn.LET(
  _xlpm.w, AO$11,
  _xlpm.r, MATCH(1,('3. Enter Indicator Scores'!$B$10:$B$161=$B14)*('3. Enter Indicator Scores'!$C$10:$C$161=$C14),0),
  _xlpm.c, MATCH(AO$8,'3. Enter Indicator Scores'!$D$8:$CZ$8,0),
  _xlpm.v, IFERROR(INDEX('3. Enter Indicator Scores'!$D$10:$CZ$161,_xlpm.r,_xlpm.c),""),
  IF(OR(_xlpm.w="",_xlpm.v=""),"",_xlpm.v*_xlpm.w)
)</f>
        <v/>
      </c>
      <c r="AP14" s="93" t="str" cm="1">
        <f t="array" ref="AP14">_xlfn.LET(
  _xlpm.w, AP$11,
  _xlpm.r, MATCH(1,('3. Enter Indicator Scores'!$B$10:$B$161=$B14)*('3. Enter Indicator Scores'!$C$10:$C$161=$C14),0),
  _xlpm.c, MATCH(AP$8,'3. Enter Indicator Scores'!$D$8:$CZ$8,0),
  _xlpm.v, IFERROR(INDEX('3. Enter Indicator Scores'!$D$10:$CZ$161,_xlpm.r,_xlpm.c),""),
  IF(OR(_xlpm.w="",_xlpm.v=""),"",_xlpm.v*_xlpm.w)
)</f>
        <v/>
      </c>
      <c r="AQ14" s="93" t="str" cm="1">
        <f t="array" ref="AQ14">_xlfn.LET(
  _xlpm.w, AQ$11,
  _xlpm.r, MATCH(1,('3. Enter Indicator Scores'!$B$10:$B$161=$B14)*('3. Enter Indicator Scores'!$C$10:$C$161=$C14),0),
  _xlpm.c, MATCH(AQ$8,'3. Enter Indicator Scores'!$D$8:$CZ$8,0),
  _xlpm.v, IFERROR(INDEX('3. Enter Indicator Scores'!$D$10:$CZ$161,_xlpm.r,_xlpm.c),""),
  IF(OR(_xlpm.w="",_xlpm.v=""),"",_xlpm.v*_xlpm.w)
)</f>
        <v/>
      </c>
      <c r="AR14" s="93" t="str" cm="1">
        <f t="array" ref="AR14">_xlfn.LET(
  _xlpm.w, AR$11,
  _xlpm.r, MATCH(1,('3. Enter Indicator Scores'!$B$10:$B$161=$B14)*('3. Enter Indicator Scores'!$C$10:$C$161=$C14),0),
  _xlpm.c, MATCH(AR$8,'3. Enter Indicator Scores'!$D$8:$CZ$8,0),
  _xlpm.v, IFERROR(INDEX('3. Enter Indicator Scores'!$D$10:$CZ$161,_xlpm.r,_xlpm.c),""),
  IF(OR(_xlpm.w="",_xlpm.v=""),"",_xlpm.v*_xlpm.w)
)</f>
        <v/>
      </c>
      <c r="AS14" s="93" t="str" cm="1">
        <f t="array" ref="AS14">_xlfn.LET(
  _xlpm.w, AS$11,
  _xlpm.r, MATCH(1,('3. Enter Indicator Scores'!$B$10:$B$161=$B14)*('3. Enter Indicator Scores'!$C$10:$C$161=$C14),0),
  _xlpm.c, MATCH(AS$8,'3. Enter Indicator Scores'!$D$8:$CZ$8,0),
  _xlpm.v, IFERROR(INDEX('3. Enter Indicator Scores'!$D$10:$CZ$161,_xlpm.r,_xlpm.c),""),
  IF(OR(_xlpm.w="",_xlpm.v=""),"",_xlpm.v*_xlpm.w)
)</f>
        <v/>
      </c>
      <c r="AT14" s="93" t="str" cm="1">
        <f t="array" ref="AT14">_xlfn.LET(
  _xlpm.w, AT$11,
  _xlpm.r, MATCH(1,('3. Enter Indicator Scores'!$B$10:$B$161=$B14)*('3. Enter Indicator Scores'!$C$10:$C$161=$C14),0),
  _xlpm.c, MATCH(AT$8,'3. Enter Indicator Scores'!$D$8:$CZ$8,0),
  _xlpm.v, IFERROR(INDEX('3. Enter Indicator Scores'!$D$10:$CZ$161,_xlpm.r,_xlpm.c),""),
  IF(OR(_xlpm.w="",_xlpm.v=""),"",_xlpm.v*_xlpm.w)
)</f>
        <v/>
      </c>
      <c r="AU14" s="93" t="str" cm="1">
        <f t="array" ref="AU14">_xlfn.LET(
  _xlpm.w, AU$11,
  _xlpm.r, MATCH(1,('3. Enter Indicator Scores'!$B$10:$B$161=$B14)*('3. Enter Indicator Scores'!$C$10:$C$161=$C14),0),
  _xlpm.c, MATCH(AU$8,'3. Enter Indicator Scores'!$D$8:$CZ$8,0),
  _xlpm.v, IFERROR(INDEX('3. Enter Indicator Scores'!$D$10:$CZ$161,_xlpm.r,_xlpm.c),""),
  IF(OR(_xlpm.w="",_xlpm.v=""),"",_xlpm.v*_xlpm.w)
)</f>
        <v/>
      </c>
      <c r="AV14" s="93" t="str" cm="1">
        <f t="array" ref="AV14">_xlfn.LET(
  _xlpm.w, AV$11,
  _xlpm.r, MATCH(1,('3. Enter Indicator Scores'!$B$10:$B$161=$B14)*('3. Enter Indicator Scores'!$C$10:$C$161=$C14),0),
  _xlpm.c, MATCH(AV$8,'3. Enter Indicator Scores'!$D$8:$CZ$8,0),
  _xlpm.v, IFERROR(INDEX('3. Enter Indicator Scores'!$D$10:$CZ$161,_xlpm.r,_xlpm.c),""),
  IF(OR(_xlpm.w="",_xlpm.v=""),"",_xlpm.v*_xlpm.w)
)</f>
        <v/>
      </c>
      <c r="AW14" s="93" t="str" cm="1">
        <f t="array" ref="AW14">_xlfn.LET(
  _xlpm.w, AW$11,
  _xlpm.r, MATCH(1,('3. Enter Indicator Scores'!$B$10:$B$161=$B14)*('3. Enter Indicator Scores'!$C$10:$C$161=$C14),0),
  _xlpm.c, MATCH(AW$8,'3. Enter Indicator Scores'!$D$8:$CZ$8,0),
  _xlpm.v, IFERROR(INDEX('3. Enter Indicator Scores'!$D$10:$CZ$161,_xlpm.r,_xlpm.c),""),
  IF(OR(_xlpm.w="",_xlpm.v=""),"",_xlpm.v*_xlpm.w)
)</f>
        <v/>
      </c>
      <c r="AX14" s="93" t="str" cm="1">
        <f t="array" ref="AX14">_xlfn.LET(
  _xlpm.w, AX$11,
  _xlpm.r, MATCH(1,('3. Enter Indicator Scores'!$B$10:$B$161=$B14)*('3. Enter Indicator Scores'!$C$10:$C$161=$C14),0),
  _xlpm.c, MATCH(AX$8,'3. Enter Indicator Scores'!$D$8:$CZ$8,0),
  _xlpm.v, IFERROR(INDEX('3. Enter Indicator Scores'!$D$10:$CZ$161,_xlpm.r,_xlpm.c),""),
  IF(OR(_xlpm.w="",_xlpm.v=""),"",_xlpm.v*_xlpm.w)
)</f>
        <v/>
      </c>
      <c r="AY14" s="93" t="str" cm="1">
        <f t="array" ref="AY14">_xlfn.LET(
  _xlpm.w, AY$11,
  _xlpm.r, MATCH(1,('3. Enter Indicator Scores'!$B$10:$B$161=$B14)*('3. Enter Indicator Scores'!$C$10:$C$161=$C14),0),
  _xlpm.c, MATCH(AY$8,'3. Enter Indicator Scores'!$D$8:$CZ$8,0),
  _xlpm.v, IFERROR(INDEX('3. Enter Indicator Scores'!$D$10:$CZ$161,_xlpm.r,_xlpm.c),""),
  IF(OR(_xlpm.w="",_xlpm.v=""),"",_xlpm.v*_xlpm.w)
)</f>
        <v/>
      </c>
      <c r="AZ14" s="93" t="str" cm="1">
        <f t="array" ref="AZ14">_xlfn.LET(
  _xlpm.w, AZ$11,
  _xlpm.r, MATCH(1,('3. Enter Indicator Scores'!$B$10:$B$161=$B14)*('3. Enter Indicator Scores'!$C$10:$C$161=$C14),0),
  _xlpm.c, MATCH(AZ$8,'3. Enter Indicator Scores'!$D$8:$CZ$8,0),
  _xlpm.v, IFERROR(INDEX('3. Enter Indicator Scores'!$D$10:$CZ$161,_xlpm.r,_xlpm.c),""),
  IF(OR(_xlpm.w="",_xlpm.v=""),"",_xlpm.v*_xlpm.w)
)</f>
        <v/>
      </c>
      <c r="BA14" s="93" t="str" cm="1">
        <f t="array" ref="BA14">_xlfn.LET(
  _xlpm.w, BA$11,
  _xlpm.r, MATCH(1,('3. Enter Indicator Scores'!$B$10:$B$161=$B14)*('3. Enter Indicator Scores'!$C$10:$C$161=$C14),0),
  _xlpm.c, MATCH(BA$8,'3. Enter Indicator Scores'!$D$8:$CZ$8,0),
  _xlpm.v, IFERROR(INDEX('3. Enter Indicator Scores'!$D$10:$CZ$161,_xlpm.r,_xlpm.c),""),
  IF(OR(_xlpm.w="",_xlpm.v=""),"",_xlpm.v*_xlpm.w)
)</f>
        <v/>
      </c>
      <c r="BB14" s="93" t="str" cm="1">
        <f t="array" ref="BB14">_xlfn.LET(
  _xlpm.w, BB$11,
  _xlpm.r, MATCH(1,('3. Enter Indicator Scores'!$B$10:$B$161=$B14)*('3. Enter Indicator Scores'!$C$10:$C$161=$C14),0),
  _xlpm.c, MATCH(BB$8,'3. Enter Indicator Scores'!$D$8:$CZ$8,0),
  _xlpm.v, IFERROR(INDEX('3. Enter Indicator Scores'!$D$10:$CZ$161,_xlpm.r,_xlpm.c),""),
  IF(OR(_xlpm.w="",_xlpm.v=""),"",_xlpm.v*_xlpm.w)
)</f>
        <v/>
      </c>
      <c r="BC14" s="93" t="str" cm="1">
        <f t="array" ref="BC14">_xlfn.LET(
  _xlpm.w, BC$11,
  _xlpm.r, MATCH(1,('3. Enter Indicator Scores'!$B$10:$B$161=$B14)*('3. Enter Indicator Scores'!$C$10:$C$161=$C14),0),
  _xlpm.c, MATCH(BC$8,'3. Enter Indicator Scores'!$D$8:$CZ$8,0),
  _xlpm.v, IFERROR(INDEX('3. Enter Indicator Scores'!$D$10:$CZ$161,_xlpm.r,_xlpm.c),""),
  IF(OR(_xlpm.w="",_xlpm.v=""),"",_xlpm.v*_xlpm.w)
)</f>
        <v/>
      </c>
      <c r="BD14" s="93" t="str" cm="1">
        <f t="array" ref="BD14">_xlfn.LET(
  _xlpm.w, BD$11,
  _xlpm.r, MATCH(1,('3. Enter Indicator Scores'!$B$10:$B$161=$B14)*('3. Enter Indicator Scores'!$C$10:$C$161=$C14),0),
  _xlpm.c, MATCH(BD$8,'3. Enter Indicator Scores'!$D$8:$CZ$8,0),
  _xlpm.v, IFERROR(INDEX('3. Enter Indicator Scores'!$D$10:$CZ$161,_xlpm.r,_xlpm.c),""),
  IF(OR(_xlpm.w="",_xlpm.v=""),"",_xlpm.v*_xlpm.w)
)</f>
        <v/>
      </c>
      <c r="BE14" s="93" t="str" cm="1">
        <f t="array" ref="BE14">_xlfn.LET(
  _xlpm.w, BE$11,
  _xlpm.r, MATCH(1,('3. Enter Indicator Scores'!$B$10:$B$161=$B14)*('3. Enter Indicator Scores'!$C$10:$C$161=$C14),0),
  _xlpm.c, MATCH(BE$8,'3. Enter Indicator Scores'!$D$8:$CZ$8,0),
  _xlpm.v, IFERROR(INDEX('3. Enter Indicator Scores'!$D$10:$CZ$161,_xlpm.r,_xlpm.c),""),
  IF(OR(_xlpm.w="",_xlpm.v=""),"",_xlpm.v*_xlpm.w)
)</f>
        <v/>
      </c>
      <c r="BF14" s="93" t="str" cm="1">
        <f t="array" ref="BF14">_xlfn.LET(
  _xlpm.w, BF$11,
  _xlpm.r, MATCH(1,('3. Enter Indicator Scores'!$B$10:$B$161=$B14)*('3. Enter Indicator Scores'!$C$10:$C$161=$C14),0),
  _xlpm.c, MATCH(BF$8,'3. Enter Indicator Scores'!$D$8:$CZ$8,0),
  _xlpm.v, IFERROR(INDEX('3. Enter Indicator Scores'!$D$10:$CZ$161,_xlpm.r,_xlpm.c),""),
  IF(OR(_xlpm.w="",_xlpm.v=""),"",_xlpm.v*_xlpm.w)
)</f>
        <v/>
      </c>
      <c r="BG14" s="93" t="str" cm="1">
        <f t="array" ref="BG14">_xlfn.LET(
  _xlpm.w, BG$11,
  _xlpm.r, MATCH(1,('3. Enter Indicator Scores'!$B$10:$B$161=$B14)*('3. Enter Indicator Scores'!$C$10:$C$161=$C14),0),
  _xlpm.c, MATCH(BG$8,'3. Enter Indicator Scores'!$D$8:$CZ$8,0),
  _xlpm.v, IFERROR(INDEX('3. Enter Indicator Scores'!$D$10:$CZ$161,_xlpm.r,_xlpm.c),""),
  IF(OR(_xlpm.w="",_xlpm.v=""),"",_xlpm.v*_xlpm.w)
)</f>
        <v/>
      </c>
      <c r="BH14" s="93" t="str" cm="1">
        <f t="array" ref="BH14">_xlfn.LET(
  _xlpm.w, BH$11,
  _xlpm.r, MATCH(1,('3. Enter Indicator Scores'!$B$10:$B$161=$B14)*('3. Enter Indicator Scores'!$C$10:$C$161=$C14),0),
  _xlpm.c, MATCH(BH$8,'3. Enter Indicator Scores'!$D$8:$CZ$8,0),
  _xlpm.v, IFERROR(INDEX('3. Enter Indicator Scores'!$D$10:$CZ$161,_xlpm.r,_xlpm.c),""),
  IF(OR(_xlpm.w="",_xlpm.v=""),"",_xlpm.v*_xlpm.w)
)</f>
        <v/>
      </c>
      <c r="BI14" s="93" t="str" cm="1">
        <f t="array" ref="BI14">_xlfn.LET(
  _xlpm.w, BI$11,
  _xlpm.r, MATCH(1,('3. Enter Indicator Scores'!$B$10:$B$161=$B14)*('3. Enter Indicator Scores'!$C$10:$C$161=$C14),0),
  _xlpm.c, MATCH(BI$8,'3. Enter Indicator Scores'!$D$8:$CZ$8,0),
  _xlpm.v, IFERROR(INDEX('3. Enter Indicator Scores'!$D$10:$CZ$161,_xlpm.r,_xlpm.c),""),
  IF(OR(_xlpm.w="",_xlpm.v=""),"",_xlpm.v*_xlpm.w)
)</f>
        <v/>
      </c>
      <c r="BJ14" s="93" t="str" cm="1">
        <f t="array" ref="BJ14">_xlfn.LET(
  _xlpm.w, BJ$11,
  _xlpm.r, MATCH(1,('3. Enter Indicator Scores'!$B$10:$B$161=$B14)*('3. Enter Indicator Scores'!$C$10:$C$161=$C14),0),
  _xlpm.c, MATCH(BJ$8,'3. Enter Indicator Scores'!$D$8:$CZ$8,0),
  _xlpm.v, IFERROR(INDEX('3. Enter Indicator Scores'!$D$10:$CZ$161,_xlpm.r,_xlpm.c),""),
  IF(OR(_xlpm.w="",_xlpm.v=""),"",_xlpm.v*_xlpm.w)
)</f>
        <v/>
      </c>
      <c r="BK14" s="93" t="str" cm="1">
        <f t="array" ref="BK14">_xlfn.LET(
  _xlpm.w, BK$11,
  _xlpm.r, MATCH(1,('3. Enter Indicator Scores'!$B$10:$B$161=$B14)*('3. Enter Indicator Scores'!$C$10:$C$161=$C14),0),
  _xlpm.c, MATCH(BK$8,'3. Enter Indicator Scores'!$D$8:$CZ$8,0),
  _xlpm.v, IFERROR(INDEX('3. Enter Indicator Scores'!$D$10:$CZ$161,_xlpm.r,_xlpm.c),""),
  IF(OR(_xlpm.w="",_xlpm.v=""),"",_xlpm.v*_xlpm.w)
)</f>
        <v/>
      </c>
      <c r="BL14" s="93" t="str" cm="1">
        <f t="array" ref="BL14">_xlfn.LET(
  _xlpm.w, BL$11,
  _xlpm.r, MATCH(1,('3. Enter Indicator Scores'!$B$10:$B$161=$B14)*('3. Enter Indicator Scores'!$C$10:$C$161=$C14),0),
  _xlpm.c, MATCH(BL$8,'3. Enter Indicator Scores'!$D$8:$CZ$8,0),
  _xlpm.v, IFERROR(INDEX('3. Enter Indicator Scores'!$D$10:$CZ$161,_xlpm.r,_xlpm.c),""),
  IF(OR(_xlpm.w="",_xlpm.v=""),"",_xlpm.v*_xlpm.w)
)</f>
        <v/>
      </c>
      <c r="BM14" s="93" t="str" cm="1">
        <f t="array" ref="BM14">_xlfn.LET(
  _xlpm.w, BM$11,
  _xlpm.r, MATCH(1,('3. Enter Indicator Scores'!$B$10:$B$161=$B14)*('3. Enter Indicator Scores'!$C$10:$C$161=$C14),0),
  _xlpm.c, MATCH(BM$8,'3. Enter Indicator Scores'!$D$8:$CZ$8,0),
  _xlpm.v, IFERROR(INDEX('3. Enter Indicator Scores'!$D$10:$CZ$161,_xlpm.r,_xlpm.c),""),
  IF(OR(_xlpm.w="",_xlpm.v=""),"",_xlpm.v*_xlpm.w)
)</f>
        <v/>
      </c>
      <c r="BN14" s="93" t="str" cm="1">
        <f t="array" ref="BN14">_xlfn.LET(
  _xlpm.w, BN$11,
  _xlpm.r, MATCH(1,('3. Enter Indicator Scores'!$B$10:$B$161=$B14)*('3. Enter Indicator Scores'!$C$10:$C$161=$C14),0),
  _xlpm.c, MATCH(BN$8,'3. Enter Indicator Scores'!$D$8:$CZ$8,0),
  _xlpm.v, IFERROR(INDEX('3. Enter Indicator Scores'!$D$10:$CZ$161,_xlpm.r,_xlpm.c),""),
  IF(OR(_xlpm.w="",_xlpm.v=""),"",_xlpm.v*_xlpm.w)
)</f>
        <v/>
      </c>
      <c r="BO14" s="93" t="str" cm="1">
        <f t="array" ref="BO14">_xlfn.LET(
  _xlpm.w, BO$11,
  _xlpm.r, MATCH(1,('3. Enter Indicator Scores'!$B$10:$B$161=$B14)*('3. Enter Indicator Scores'!$C$10:$C$161=$C14),0),
  _xlpm.c, MATCH(BO$8,'3. Enter Indicator Scores'!$D$8:$CZ$8,0),
  _xlpm.v, IFERROR(INDEX('3. Enter Indicator Scores'!$D$10:$CZ$161,_xlpm.r,_xlpm.c),""),
  IF(OR(_xlpm.w="",_xlpm.v=""),"",_xlpm.v*_xlpm.w)
)</f>
        <v/>
      </c>
      <c r="BP14" s="93" t="str" cm="1">
        <f t="array" ref="BP14">_xlfn.LET(
  _xlpm.w, BP$11,
  _xlpm.r, MATCH(1,('3. Enter Indicator Scores'!$B$10:$B$161=$B14)*('3. Enter Indicator Scores'!$C$10:$C$161=$C14),0),
  _xlpm.c, MATCH(BP$8,'3. Enter Indicator Scores'!$D$8:$CZ$8,0),
  _xlpm.v, IFERROR(INDEX('3. Enter Indicator Scores'!$D$10:$CZ$161,_xlpm.r,_xlpm.c),""),
  IF(OR(_xlpm.w="",_xlpm.v=""),"",_xlpm.v*_xlpm.w)
)</f>
        <v/>
      </c>
      <c r="BQ14" s="93" t="str" cm="1">
        <f t="array" ref="BQ14">_xlfn.LET(
  _xlpm.w, BQ$11,
  _xlpm.r, MATCH(1,('3. Enter Indicator Scores'!$B$10:$B$161=$B14)*('3. Enter Indicator Scores'!$C$10:$C$161=$C14),0),
  _xlpm.c, MATCH(BQ$8,'3. Enter Indicator Scores'!$D$8:$CZ$8,0),
  _xlpm.v, IFERROR(INDEX('3. Enter Indicator Scores'!$D$10:$CZ$161,_xlpm.r,_xlpm.c),""),
  IF(OR(_xlpm.w="",_xlpm.v=""),"",_xlpm.v*_xlpm.w)
)</f>
        <v/>
      </c>
      <c r="BR14" s="93" t="str" cm="1">
        <f t="array" ref="BR14">_xlfn.LET(
  _xlpm.w, BR$11,
  _xlpm.r, MATCH(1,('3. Enter Indicator Scores'!$B$10:$B$161=$B14)*('3. Enter Indicator Scores'!$C$10:$C$161=$C14),0),
  _xlpm.c, MATCH(BR$8,'3. Enter Indicator Scores'!$D$8:$CZ$8,0),
  _xlpm.v, IFERROR(INDEX('3. Enter Indicator Scores'!$D$10:$CZ$161,_xlpm.r,_xlpm.c),""),
  IF(OR(_xlpm.w="",_xlpm.v=""),"",_xlpm.v*_xlpm.w)
)</f>
        <v/>
      </c>
      <c r="BS14" s="93" t="str" cm="1">
        <f t="array" ref="BS14">_xlfn.LET(
  _xlpm.w, BS$11,
  _xlpm.r, MATCH(1,('3. Enter Indicator Scores'!$B$10:$B$161=$B14)*('3. Enter Indicator Scores'!$C$10:$C$161=$C14),0),
  _xlpm.c, MATCH(BS$8,'3. Enter Indicator Scores'!$D$8:$CZ$8,0),
  _xlpm.v, IFERROR(INDEX('3. Enter Indicator Scores'!$D$10:$CZ$161,_xlpm.r,_xlpm.c),""),
  IF(OR(_xlpm.w="",_xlpm.v=""),"",_xlpm.v*_xlpm.w)
)</f>
        <v/>
      </c>
      <c r="BT14" s="93" t="str" cm="1">
        <f t="array" ref="BT14">_xlfn.LET(
  _xlpm.w, BT$11,
  _xlpm.r, MATCH(1,('3. Enter Indicator Scores'!$B$10:$B$161=$B14)*('3. Enter Indicator Scores'!$C$10:$C$161=$C14),0),
  _xlpm.c, MATCH(BT$8,'3. Enter Indicator Scores'!$D$8:$CZ$8,0),
  _xlpm.v, IFERROR(INDEX('3. Enter Indicator Scores'!$D$10:$CZ$161,_xlpm.r,_xlpm.c),""),
  IF(OR(_xlpm.w="",_xlpm.v=""),"",_xlpm.v*_xlpm.w)
)</f>
        <v/>
      </c>
      <c r="BU14" s="93" t="str" cm="1">
        <f t="array" ref="BU14">_xlfn.LET(
  _xlpm.w, BU$11,
  _xlpm.r, MATCH(1,('3. Enter Indicator Scores'!$B$10:$B$161=$B14)*('3. Enter Indicator Scores'!$C$10:$C$161=$C14),0),
  _xlpm.c, MATCH(BU$8,'3. Enter Indicator Scores'!$D$8:$CZ$8,0),
  _xlpm.v, IFERROR(INDEX('3. Enter Indicator Scores'!$D$10:$CZ$161,_xlpm.r,_xlpm.c),""),
  IF(OR(_xlpm.w="",_xlpm.v=""),"",_xlpm.v*_xlpm.w)
)</f>
        <v/>
      </c>
      <c r="BV14" s="93" t="str" cm="1">
        <f t="array" ref="BV14">_xlfn.LET(
  _xlpm.w, BV$11,
  _xlpm.r, MATCH(1,('3. Enter Indicator Scores'!$B$10:$B$161=$B14)*('3. Enter Indicator Scores'!$C$10:$C$161=$C14),0),
  _xlpm.c, MATCH(BV$8,'3. Enter Indicator Scores'!$D$8:$CZ$8,0),
  _xlpm.v, IFERROR(INDEX('3. Enter Indicator Scores'!$D$10:$CZ$161,_xlpm.r,_xlpm.c),""),
  IF(OR(_xlpm.w="",_xlpm.v=""),"",_xlpm.v*_xlpm.w)
)</f>
        <v/>
      </c>
      <c r="BW14" s="93" t="str" cm="1">
        <f t="array" ref="BW14">_xlfn.LET(
  _xlpm.w, BW$11,
  _xlpm.r, MATCH(1,('3. Enter Indicator Scores'!$B$10:$B$161=$B14)*('3. Enter Indicator Scores'!$C$10:$C$161=$C14),0),
  _xlpm.c, MATCH(BW$8,'3. Enter Indicator Scores'!$D$8:$CZ$8,0),
  _xlpm.v, IFERROR(INDEX('3. Enter Indicator Scores'!$D$10:$CZ$161,_xlpm.r,_xlpm.c),""),
  IF(OR(_xlpm.w="",_xlpm.v=""),"",_xlpm.v*_xlpm.w)
)</f>
        <v/>
      </c>
      <c r="BX14" s="93" t="str" cm="1">
        <f t="array" ref="BX14">_xlfn.LET(
  _xlpm.w, BX$11,
  _xlpm.r, MATCH(1,('3. Enter Indicator Scores'!$B$10:$B$161=$B14)*('3. Enter Indicator Scores'!$C$10:$C$161=$C14),0),
  _xlpm.c, MATCH(BX$8,'3. Enter Indicator Scores'!$D$8:$CZ$8,0),
  _xlpm.v, IFERROR(INDEX('3. Enter Indicator Scores'!$D$10:$CZ$161,_xlpm.r,_xlpm.c),""),
  IF(OR(_xlpm.w="",_xlpm.v=""),"",_xlpm.v*_xlpm.w)
)</f>
        <v/>
      </c>
      <c r="BY14" s="93" t="str" cm="1">
        <f t="array" ref="BY14">_xlfn.LET(
  _xlpm.w, BY$11,
  _xlpm.r, MATCH(1,('3. Enter Indicator Scores'!$B$10:$B$161=$B14)*('3. Enter Indicator Scores'!$C$10:$C$161=$C14),0),
  _xlpm.c, MATCH(BY$8,'3. Enter Indicator Scores'!$D$8:$CZ$8,0),
  _xlpm.v, IFERROR(INDEX('3. Enter Indicator Scores'!$D$10:$CZ$161,_xlpm.r,_xlpm.c),""),
  IF(OR(_xlpm.w="",_xlpm.v=""),"",_xlpm.v*_xlpm.w)
)</f>
        <v/>
      </c>
      <c r="BZ14" s="93" t="str" cm="1">
        <f t="array" ref="BZ14">_xlfn.LET(
  _xlpm.w, BZ$11,
  _xlpm.r, MATCH(1,('3. Enter Indicator Scores'!$B$10:$B$161=$B14)*('3. Enter Indicator Scores'!$C$10:$C$161=$C14),0),
  _xlpm.c, MATCH(BZ$8,'3. Enter Indicator Scores'!$D$8:$CZ$8,0),
  _xlpm.v, IFERROR(INDEX('3. Enter Indicator Scores'!$D$10:$CZ$161,_xlpm.r,_xlpm.c),""),
  IF(OR(_xlpm.w="",_xlpm.v=""),"",_xlpm.v*_xlpm.w)
)</f>
        <v/>
      </c>
      <c r="CA14" s="93" t="str" cm="1">
        <f t="array" ref="CA14">_xlfn.LET(
  _xlpm.w, CA$11,
  _xlpm.r, MATCH(1,('3. Enter Indicator Scores'!$B$10:$B$161=$B14)*('3. Enter Indicator Scores'!$C$10:$C$161=$C14),0),
  _xlpm.c, MATCH(CA$8,'3. Enter Indicator Scores'!$D$8:$CZ$8,0),
  _xlpm.v, IFERROR(INDEX('3. Enter Indicator Scores'!$D$10:$CZ$161,_xlpm.r,_xlpm.c),""),
  IF(OR(_xlpm.w="",_xlpm.v=""),"",_xlpm.v*_xlpm.w)
)</f>
        <v/>
      </c>
      <c r="CB14" s="93" t="str" cm="1">
        <f t="array" ref="CB14">_xlfn.LET(
  _xlpm.w, CB$11,
  _xlpm.r, MATCH(1,('3. Enter Indicator Scores'!$B$10:$B$161=$B14)*('3. Enter Indicator Scores'!$C$10:$C$161=$C14),0),
  _xlpm.c, MATCH(CB$8,'3. Enter Indicator Scores'!$D$8:$CZ$8,0),
  _xlpm.v, IFERROR(INDEX('3. Enter Indicator Scores'!$D$10:$CZ$161,_xlpm.r,_xlpm.c),""),
  IF(OR(_xlpm.w="",_xlpm.v=""),"",_xlpm.v*_xlpm.w)
)</f>
        <v/>
      </c>
      <c r="CC14" s="93" t="str" cm="1">
        <f t="array" ref="CC14">_xlfn.LET(
  _xlpm.w, CC$11,
  _xlpm.r, MATCH(1,('3. Enter Indicator Scores'!$B$10:$B$161=$B14)*('3. Enter Indicator Scores'!$C$10:$C$161=$C14),0),
  _xlpm.c, MATCH(CC$8,'3. Enter Indicator Scores'!$D$8:$CZ$8,0),
  _xlpm.v, IFERROR(INDEX('3. Enter Indicator Scores'!$D$10:$CZ$161,_xlpm.r,_xlpm.c),""),
  IF(OR(_xlpm.w="",_xlpm.v=""),"",_xlpm.v*_xlpm.w)
)</f>
        <v/>
      </c>
      <c r="CD14" s="93" t="str" cm="1">
        <f t="array" ref="CD14">_xlfn.LET(
  _xlpm.w, CD$11,
  _xlpm.r, MATCH(1,('3. Enter Indicator Scores'!$B$10:$B$161=$B14)*('3. Enter Indicator Scores'!$C$10:$C$161=$C14),0),
  _xlpm.c, MATCH(CD$8,'3. Enter Indicator Scores'!$D$8:$CZ$8,0),
  _xlpm.v, IFERROR(INDEX('3. Enter Indicator Scores'!$D$10:$CZ$161,_xlpm.r,_xlpm.c),""),
  IF(OR(_xlpm.w="",_xlpm.v=""),"",_xlpm.v*_xlpm.w)
)</f>
        <v/>
      </c>
      <c r="CE14" s="93" t="str" cm="1">
        <f t="array" ref="CE14">_xlfn.LET(
  _xlpm.w, CE$11,
  _xlpm.r, MATCH(1,('3. Enter Indicator Scores'!$B$10:$B$161=$B14)*('3. Enter Indicator Scores'!$C$10:$C$161=$C14),0),
  _xlpm.c, MATCH(CE$8,'3. Enter Indicator Scores'!$D$8:$CZ$8,0),
  _xlpm.v, IFERROR(INDEX('3. Enter Indicator Scores'!$D$10:$CZ$161,_xlpm.r,_xlpm.c),""),
  IF(OR(_xlpm.w="",_xlpm.v=""),"",_xlpm.v*_xlpm.w)
)</f>
        <v/>
      </c>
      <c r="CF14" s="93" t="str" cm="1">
        <f t="array" ref="CF14">_xlfn.LET(
  _xlpm.w, CF$11,
  _xlpm.r, MATCH(1,('3. Enter Indicator Scores'!$B$10:$B$161=$B14)*('3. Enter Indicator Scores'!$C$10:$C$161=$C14),0),
  _xlpm.c, MATCH(CF$8,'3. Enter Indicator Scores'!$D$8:$CZ$8,0),
  _xlpm.v, IFERROR(INDEX('3. Enter Indicator Scores'!$D$10:$CZ$161,_xlpm.r,_xlpm.c),""),
  IF(OR(_xlpm.w="",_xlpm.v=""),"",_xlpm.v*_xlpm.w)
)</f>
        <v/>
      </c>
      <c r="CG14" s="93" t="str" cm="1">
        <f t="array" ref="CG14">_xlfn.LET(
  _xlpm.w, CG$11,
  _xlpm.r, MATCH(1,('3. Enter Indicator Scores'!$B$10:$B$161=$B14)*('3. Enter Indicator Scores'!$C$10:$C$161=$C14),0),
  _xlpm.c, MATCH(CG$8,'3. Enter Indicator Scores'!$D$8:$CZ$8,0),
  _xlpm.v, IFERROR(INDEX('3. Enter Indicator Scores'!$D$10:$CZ$161,_xlpm.r,_xlpm.c),""),
  IF(OR(_xlpm.w="",_xlpm.v=""),"",_xlpm.v*_xlpm.w)
)</f>
        <v/>
      </c>
      <c r="CH14" s="93" t="str" cm="1">
        <f t="array" ref="CH14">_xlfn.LET(
  _xlpm.w, CH$11,
  _xlpm.r, MATCH(1,('3. Enter Indicator Scores'!$B$10:$B$161=$B14)*('3. Enter Indicator Scores'!$C$10:$C$161=$C14),0),
  _xlpm.c, MATCH(CH$8,'3. Enter Indicator Scores'!$D$8:$CZ$8,0),
  _xlpm.v, IFERROR(INDEX('3. Enter Indicator Scores'!$D$10:$CZ$161,_xlpm.r,_xlpm.c),""),
  IF(OR(_xlpm.w="",_xlpm.v=""),"",_xlpm.v*_xlpm.w)
)</f>
        <v/>
      </c>
      <c r="CI14" s="93" t="str" cm="1">
        <f t="array" ref="CI14">_xlfn.LET(
  _xlpm.w, CI$11,
  _xlpm.r, MATCH(1,('3. Enter Indicator Scores'!$B$10:$B$161=$B14)*('3. Enter Indicator Scores'!$C$10:$C$161=$C14),0),
  _xlpm.c, MATCH(CI$8,'3. Enter Indicator Scores'!$D$8:$CZ$8,0),
  _xlpm.v, IFERROR(INDEX('3. Enter Indicator Scores'!$D$10:$CZ$161,_xlpm.r,_xlpm.c),""),
  IF(OR(_xlpm.w="",_xlpm.v=""),"",_xlpm.v*_xlpm.w)
)</f>
        <v/>
      </c>
      <c r="CJ14" s="93" t="str" cm="1">
        <f t="array" ref="CJ14">_xlfn.LET(
  _xlpm.w, CJ$11,
  _xlpm.r, MATCH(1,('3. Enter Indicator Scores'!$B$10:$B$161=$B14)*('3. Enter Indicator Scores'!$C$10:$C$161=$C14),0),
  _xlpm.c, MATCH(CJ$8,'3. Enter Indicator Scores'!$D$8:$CZ$8,0),
  _xlpm.v, IFERROR(INDEX('3. Enter Indicator Scores'!$D$10:$CZ$161,_xlpm.r,_xlpm.c),""),
  IF(OR(_xlpm.w="",_xlpm.v=""),"",_xlpm.v*_xlpm.w)
)</f>
        <v/>
      </c>
      <c r="CK14" s="93" t="str" cm="1">
        <f t="array" ref="CK14">_xlfn.LET(
  _xlpm.w, CK$11,
  _xlpm.r, MATCH(1,('3. Enter Indicator Scores'!$B$10:$B$161=$B14)*('3. Enter Indicator Scores'!$C$10:$C$161=$C14),0),
  _xlpm.c, MATCH(CK$8,'3. Enter Indicator Scores'!$D$8:$CZ$8,0),
  _xlpm.v, IFERROR(INDEX('3. Enter Indicator Scores'!$D$10:$CZ$161,_xlpm.r,_xlpm.c),""),
  IF(OR(_xlpm.w="",_xlpm.v=""),"",_xlpm.v*_xlpm.w)
)</f>
        <v/>
      </c>
      <c r="CL14" s="93" t="str" cm="1">
        <f t="array" ref="CL14">_xlfn.LET(
  _xlpm.w, CL$11,
  _xlpm.r, MATCH(1,('3. Enter Indicator Scores'!$B$10:$B$161=$B14)*('3. Enter Indicator Scores'!$C$10:$C$161=$C14),0),
  _xlpm.c, MATCH(CL$8,'3. Enter Indicator Scores'!$D$8:$CZ$8,0),
  _xlpm.v, IFERROR(INDEX('3. Enter Indicator Scores'!$D$10:$CZ$161,_xlpm.r,_xlpm.c),""),
  IF(OR(_xlpm.w="",_xlpm.v=""),"",_xlpm.v*_xlpm.w)
)</f>
        <v/>
      </c>
      <c r="CM14" s="93" t="str" cm="1">
        <f t="array" ref="CM14">_xlfn.LET(
  _xlpm.w, CM$11,
  _xlpm.r, MATCH(1,('3. Enter Indicator Scores'!$B$10:$B$161=$B14)*('3. Enter Indicator Scores'!$C$10:$C$161=$C14),0),
  _xlpm.c, MATCH(CM$8,'3. Enter Indicator Scores'!$D$8:$CZ$8,0),
  _xlpm.v, IFERROR(INDEX('3. Enter Indicator Scores'!$D$10:$CZ$161,_xlpm.r,_xlpm.c),""),
  IF(OR(_xlpm.w="",_xlpm.v=""),"",_xlpm.v*_xlpm.w)
)</f>
        <v/>
      </c>
      <c r="CN14" s="93" t="str" cm="1">
        <f t="array" ref="CN14">_xlfn.LET(
  _xlpm.w, CN$11,
  _xlpm.r, MATCH(1,('3. Enter Indicator Scores'!$B$10:$B$161=$B14)*('3. Enter Indicator Scores'!$C$10:$C$161=$C14),0),
  _xlpm.c, MATCH(CN$8,'3. Enter Indicator Scores'!$D$8:$CZ$8,0),
  _xlpm.v, IFERROR(INDEX('3. Enter Indicator Scores'!$D$10:$CZ$161,_xlpm.r,_xlpm.c),""),
  IF(OR(_xlpm.w="",_xlpm.v=""),"",_xlpm.v*_xlpm.w)
)</f>
        <v/>
      </c>
      <c r="CO14" s="93" t="str" cm="1">
        <f t="array" ref="CO14">_xlfn.LET(
  _xlpm.w, CO$11,
  _xlpm.r, MATCH(1,('3. Enter Indicator Scores'!$B$10:$B$161=$B14)*('3. Enter Indicator Scores'!$C$10:$C$161=$C14),0),
  _xlpm.c, MATCH(CO$8,'3. Enter Indicator Scores'!$D$8:$CZ$8,0),
  _xlpm.v, IFERROR(INDEX('3. Enter Indicator Scores'!$D$10:$CZ$161,_xlpm.r,_xlpm.c),""),
  IF(OR(_xlpm.w="",_xlpm.v=""),"",_xlpm.v*_xlpm.w)
)</f>
        <v/>
      </c>
      <c r="CP14" s="93" t="str" cm="1">
        <f t="array" ref="CP14">_xlfn.LET(
  _xlpm.w, CP$11,
  _xlpm.r, MATCH(1,('3. Enter Indicator Scores'!$B$10:$B$161=$B14)*('3. Enter Indicator Scores'!$C$10:$C$161=$C14),0),
  _xlpm.c, MATCH(CP$8,'3. Enter Indicator Scores'!$D$8:$CZ$8,0),
  _xlpm.v, IFERROR(INDEX('3. Enter Indicator Scores'!$D$10:$CZ$161,_xlpm.r,_xlpm.c),""),
  IF(OR(_xlpm.w="",_xlpm.v=""),"",_xlpm.v*_xlpm.w)
)</f>
        <v/>
      </c>
      <c r="CQ14" s="93" t="str" cm="1">
        <f t="array" ref="CQ14">_xlfn.LET(
  _xlpm.w, CQ$11,
  _xlpm.r, MATCH(1,('3. Enter Indicator Scores'!$B$10:$B$161=$B14)*('3. Enter Indicator Scores'!$C$10:$C$161=$C14),0),
  _xlpm.c, MATCH(CQ$8,'3. Enter Indicator Scores'!$D$8:$CZ$8,0),
  _xlpm.v, IFERROR(INDEX('3. Enter Indicator Scores'!$D$10:$CZ$161,_xlpm.r,_xlpm.c),""),
  IF(OR(_xlpm.w="",_xlpm.v=""),"",_xlpm.v*_xlpm.w)
)</f>
        <v/>
      </c>
      <c r="CR14" s="93" t="str" cm="1">
        <f t="array" ref="CR14">_xlfn.LET(
  _xlpm.w, CR$11,
  _xlpm.r, MATCH(1,('3. Enter Indicator Scores'!$B$10:$B$161=$B14)*('3. Enter Indicator Scores'!$C$10:$C$161=$C14),0),
  _xlpm.c, MATCH(CR$8,'3. Enter Indicator Scores'!$D$8:$CZ$8,0),
  _xlpm.v, IFERROR(INDEX('3. Enter Indicator Scores'!$D$10:$CZ$161,_xlpm.r,_xlpm.c),""),
  IF(OR(_xlpm.w="",_xlpm.v=""),"",_xlpm.v*_xlpm.w)
)</f>
        <v/>
      </c>
      <c r="CS14" s="93" t="str" cm="1">
        <f t="array" ref="CS14">_xlfn.LET(
  _xlpm.w, CS$11,
  _xlpm.r, MATCH(1,('3. Enter Indicator Scores'!$B$10:$B$161=$B14)*('3. Enter Indicator Scores'!$C$10:$C$161=$C14),0),
  _xlpm.c, MATCH(CS$8,'3. Enter Indicator Scores'!$D$8:$CZ$8,0),
  _xlpm.v, IFERROR(INDEX('3. Enter Indicator Scores'!$D$10:$CZ$161,_xlpm.r,_xlpm.c),""),
  IF(OR(_xlpm.w="",_xlpm.v=""),"",_xlpm.v*_xlpm.w)
)</f>
        <v/>
      </c>
      <c r="CT14" s="93" t="str" cm="1">
        <f t="array" ref="CT14">_xlfn.LET(
  _xlpm.w, CT$11,
  _xlpm.r, MATCH(1,('3. Enter Indicator Scores'!$B$10:$B$161=$B14)*('3. Enter Indicator Scores'!$C$10:$C$161=$C14),0),
  _xlpm.c, MATCH(CT$8,'3. Enter Indicator Scores'!$D$8:$CZ$8,0),
  _xlpm.v, IFERROR(INDEX('3. Enter Indicator Scores'!$D$10:$CZ$161,_xlpm.r,_xlpm.c),""),
  IF(OR(_xlpm.w="",_xlpm.v=""),"",_xlpm.v*_xlpm.w)
)</f>
        <v/>
      </c>
      <c r="CU14" s="93" t="str" cm="1">
        <f t="array" ref="CU14">_xlfn.LET(
  _xlpm.w, CU$11,
  _xlpm.r, MATCH(1,('3. Enter Indicator Scores'!$B$10:$B$161=$B14)*('3. Enter Indicator Scores'!$C$10:$C$161=$C14),0),
  _xlpm.c, MATCH(CU$8,'3. Enter Indicator Scores'!$D$8:$CZ$8,0),
  _xlpm.v, IFERROR(INDEX('3. Enter Indicator Scores'!$D$10:$CZ$161,_xlpm.r,_xlpm.c),""),
  IF(OR(_xlpm.w="",_xlpm.v=""),"",_xlpm.v*_xlpm.w)
)</f>
        <v/>
      </c>
      <c r="CV14" s="93" t="str" cm="1">
        <f t="array" ref="CV14">_xlfn.LET(
  _xlpm.w, CV$11,
  _xlpm.r, MATCH(1,('3. Enter Indicator Scores'!$B$10:$B$161=$B14)*('3. Enter Indicator Scores'!$C$10:$C$161=$C14),0),
  _xlpm.c, MATCH(CV$8,'3. Enter Indicator Scores'!$D$8:$CZ$8,0),
  _xlpm.v, IFERROR(INDEX('3. Enter Indicator Scores'!$D$10:$CZ$161,_xlpm.r,_xlpm.c),""),
  IF(OR(_xlpm.w="",_xlpm.v=""),"",_xlpm.v*_xlpm.w)
)</f>
        <v/>
      </c>
      <c r="CW14" s="93" t="str" cm="1">
        <f t="array" ref="CW14">_xlfn.LET(
  _xlpm.w, CW$11,
  _xlpm.r, MATCH(1,('3. Enter Indicator Scores'!$B$10:$B$161=$B14)*('3. Enter Indicator Scores'!$C$10:$C$161=$C14),0),
  _xlpm.c, MATCH(CW$8,'3. Enter Indicator Scores'!$D$8:$CZ$8,0),
  _xlpm.v, IFERROR(INDEX('3. Enter Indicator Scores'!$D$10:$CZ$161,_xlpm.r,_xlpm.c),""),
  IF(OR(_xlpm.w="",_xlpm.v=""),"",_xlpm.v*_xlpm.w)
)</f>
        <v/>
      </c>
      <c r="CX14" s="93" t="str" cm="1">
        <f t="array" ref="CX14">_xlfn.LET(
  _xlpm.w, CX$11,
  _xlpm.r, MATCH(1,('3. Enter Indicator Scores'!$B$10:$B$161=$B14)*('3. Enter Indicator Scores'!$C$10:$C$161=$C14),0),
  _xlpm.c, MATCH(CX$8,'3. Enter Indicator Scores'!$D$8:$CZ$8,0),
  _xlpm.v, IFERROR(INDEX('3. Enter Indicator Scores'!$D$10:$CZ$161,_xlpm.r,_xlpm.c),""),
  IF(OR(_xlpm.w="",_xlpm.v=""),"",_xlpm.v*_xlpm.w)
)</f>
        <v/>
      </c>
      <c r="CY14" s="93" t="str" cm="1">
        <f t="array" ref="CY14">_xlfn.LET(
  _xlpm.w, CY$11,
  _xlpm.r, MATCH(1,('3. Enter Indicator Scores'!$B$10:$B$161=$B14)*('3. Enter Indicator Scores'!$C$10:$C$161=$C14),0),
  _xlpm.c, MATCH(CY$8,'3. Enter Indicator Scores'!$D$8:$CZ$8,0),
  _xlpm.v, IFERROR(INDEX('3. Enter Indicator Scores'!$D$10:$CZ$161,_xlpm.r,_xlpm.c),""),
  IF(OR(_xlpm.w="",_xlpm.v=""),"",_xlpm.v*_xlpm.w)
)</f>
        <v/>
      </c>
      <c r="CZ14" s="93" t="str" cm="1">
        <f t="array" ref="CZ14">_xlfn.LET(
  _xlpm.w, CZ$11,
  _xlpm.r, MATCH(1,('3. Enter Indicator Scores'!$B$10:$B$161=$B14)*('3. Enter Indicator Scores'!$C$10:$C$161=$C14),0),
  _xlpm.c, MATCH(CZ$8,'3. Enter Indicator Scores'!$D$8:$CZ$8,0),
  _xlpm.v, IFERROR(INDEX('3. Enter Indicator Scores'!$D$10:$CZ$161,_xlpm.r,_xlpm.c),""),
  IF(OR(_xlpm.w="",_xlpm.v=""),"",_xlpm.v*_xlpm.w)
)</f>
        <v/>
      </c>
    </row>
    <row r="15" spans="1:104" x14ac:dyDescent="0.2">
      <c r="D15" s="93" t="str" cm="1">
        <f t="array" ref="D15">_xlfn.LET(
  _xlpm.w, D$11,
  _xlpm.r, MATCH(1,('3. Enter Indicator Scores'!$B$10:$B$161=$B15)*('3. Enter Indicator Scores'!$C$10:$C$161=$C15),0),
  _xlpm.c, MATCH(D$8,'3. Enter Indicator Scores'!$D$8:$CZ$8,0),
  _xlpm.v, IFERROR(INDEX('3. Enter Indicator Scores'!$D$10:$CZ$161,_xlpm.r,_xlpm.c),""),
  IF(OR(_xlpm.w="",_xlpm.v=""),"",_xlpm.v*_xlpm.w)
)</f>
        <v/>
      </c>
      <c r="E15" s="93" t="str" cm="1">
        <f t="array" ref="E15">_xlfn.LET(
  _xlpm.w, E$11,
  _xlpm.r, MATCH(1,('3. Enter Indicator Scores'!$B$10:$B$161=$B15)*('3. Enter Indicator Scores'!$C$10:$C$161=$C15),0),
  _xlpm.c, MATCH(E$8,'3. Enter Indicator Scores'!$D$8:$CZ$8,0),
  _xlpm.v, IFERROR(INDEX('3. Enter Indicator Scores'!$D$10:$CZ$161,_xlpm.r,_xlpm.c),""),
  IF(OR(_xlpm.w="",_xlpm.v=""),"",_xlpm.v*_xlpm.w)
)</f>
        <v/>
      </c>
      <c r="F15" s="93" t="str" cm="1">
        <f t="array" ref="F15">_xlfn.LET(
  _xlpm.w, F$11,
  _xlpm.r, MATCH(1,('3. Enter Indicator Scores'!$B$10:$B$161=$B15)*('3. Enter Indicator Scores'!$C$10:$C$161=$C15),0),
  _xlpm.c, MATCH(F$8,'3. Enter Indicator Scores'!$D$8:$CZ$8,0),
  _xlpm.v, IFERROR(INDEX('3. Enter Indicator Scores'!$D$10:$CZ$161,_xlpm.r,_xlpm.c),""),
  IF(OR(_xlpm.w="",_xlpm.v=""),"",_xlpm.v*_xlpm.w)
)</f>
        <v/>
      </c>
      <c r="G15" s="93" t="str" cm="1">
        <f t="array" ref="G15">_xlfn.LET(
  _xlpm.w, G$11,
  _xlpm.r, MATCH(1,('3. Enter Indicator Scores'!$B$10:$B$161=$B15)*('3. Enter Indicator Scores'!$C$10:$C$161=$C15),0),
  _xlpm.c, MATCH(G$8,'3. Enter Indicator Scores'!$D$8:$CZ$8,0),
  _xlpm.v, IFERROR(INDEX('3. Enter Indicator Scores'!$D$10:$CZ$161,_xlpm.r,_xlpm.c),""),
  IF(OR(_xlpm.w="",_xlpm.v=""),"",_xlpm.v*_xlpm.w)
)</f>
        <v/>
      </c>
      <c r="H15" s="93" t="str" cm="1">
        <f t="array" ref="H15">_xlfn.LET(
  _xlpm.w, H$11,
  _xlpm.r, MATCH(1,('3. Enter Indicator Scores'!$B$10:$B$161=$B15)*('3. Enter Indicator Scores'!$C$10:$C$161=$C15),0),
  _xlpm.c, MATCH(H$8,'3. Enter Indicator Scores'!$D$8:$CZ$8,0),
  _xlpm.v, IFERROR(INDEX('3. Enter Indicator Scores'!$D$10:$CZ$161,_xlpm.r,_xlpm.c),""),
  IF(OR(_xlpm.w="",_xlpm.v=""),"",_xlpm.v*_xlpm.w)
)</f>
        <v/>
      </c>
      <c r="I15" s="93" t="str" cm="1">
        <f t="array" ref="I15">_xlfn.LET(
  _xlpm.w, I$11,
  _xlpm.r, MATCH(1,('3. Enter Indicator Scores'!$B$10:$B$161=$B15)*('3. Enter Indicator Scores'!$C$10:$C$161=$C15),0),
  _xlpm.c, MATCH(I$8,'3. Enter Indicator Scores'!$D$8:$CZ$8,0),
  _xlpm.v, IFERROR(INDEX('3. Enter Indicator Scores'!$D$10:$CZ$161,_xlpm.r,_xlpm.c),""),
  IF(OR(_xlpm.w="",_xlpm.v=""),"",_xlpm.v*_xlpm.w)
)</f>
        <v/>
      </c>
      <c r="J15" s="93" t="str" cm="1">
        <f t="array" ref="J15">_xlfn.LET(
  _xlpm.w, J$11,
  _xlpm.r, MATCH(1,('3. Enter Indicator Scores'!$B$10:$B$161=$B15)*('3. Enter Indicator Scores'!$C$10:$C$161=$C15),0),
  _xlpm.c, MATCH(J$8,'3. Enter Indicator Scores'!$D$8:$CZ$8,0),
  _xlpm.v, IFERROR(INDEX('3. Enter Indicator Scores'!$D$10:$CZ$161,_xlpm.r,_xlpm.c),""),
  IF(OR(_xlpm.w="",_xlpm.v=""),"",_xlpm.v*_xlpm.w)
)</f>
        <v/>
      </c>
      <c r="K15" s="93" t="str" cm="1">
        <f t="array" ref="K15">_xlfn.LET(
  _xlpm.w, K$11,
  _xlpm.r, MATCH(1,('3. Enter Indicator Scores'!$B$10:$B$161=$B15)*('3. Enter Indicator Scores'!$C$10:$C$161=$C15),0),
  _xlpm.c, MATCH(K$8,'3. Enter Indicator Scores'!$D$8:$CZ$8,0),
  _xlpm.v, IFERROR(INDEX('3. Enter Indicator Scores'!$D$10:$CZ$161,_xlpm.r,_xlpm.c),""),
  IF(OR(_xlpm.w="",_xlpm.v=""),"",_xlpm.v*_xlpm.w)
)</f>
        <v/>
      </c>
      <c r="L15" s="93" t="str" cm="1">
        <f t="array" ref="L15">_xlfn.LET(
  _xlpm.w, L$11,
  _xlpm.r, MATCH(1,('3. Enter Indicator Scores'!$B$10:$B$161=$B15)*('3. Enter Indicator Scores'!$C$10:$C$161=$C15),0),
  _xlpm.c, MATCH(L$8,'3. Enter Indicator Scores'!$D$8:$CZ$8,0),
  _xlpm.v, IFERROR(INDEX('3. Enter Indicator Scores'!$D$10:$CZ$161,_xlpm.r,_xlpm.c),""),
  IF(OR(_xlpm.w="",_xlpm.v=""),"",_xlpm.v*_xlpm.w)
)</f>
        <v/>
      </c>
      <c r="M15" s="93" t="str" cm="1">
        <f t="array" ref="M15">_xlfn.LET(
  _xlpm.w, M$11,
  _xlpm.r, MATCH(1,('3. Enter Indicator Scores'!$B$10:$B$161=$B15)*('3. Enter Indicator Scores'!$C$10:$C$161=$C15),0),
  _xlpm.c, MATCH(M$8,'3. Enter Indicator Scores'!$D$8:$CZ$8,0),
  _xlpm.v, IFERROR(INDEX('3. Enter Indicator Scores'!$D$10:$CZ$161,_xlpm.r,_xlpm.c),""),
  IF(OR(_xlpm.w="",_xlpm.v=""),"",_xlpm.v*_xlpm.w)
)</f>
        <v/>
      </c>
      <c r="N15" s="93" t="str" cm="1">
        <f t="array" ref="N15">_xlfn.LET(
  _xlpm.w, N$11,
  _xlpm.r, MATCH(1,('3. Enter Indicator Scores'!$B$10:$B$161=$B15)*('3. Enter Indicator Scores'!$C$10:$C$161=$C15),0),
  _xlpm.c, MATCH(N$8,'3. Enter Indicator Scores'!$D$8:$CZ$8,0),
  _xlpm.v, IFERROR(INDEX('3. Enter Indicator Scores'!$D$10:$CZ$161,_xlpm.r,_xlpm.c),""),
  IF(OR(_xlpm.w="",_xlpm.v=""),"",_xlpm.v*_xlpm.w)
)</f>
        <v/>
      </c>
      <c r="O15" s="93" t="str" cm="1">
        <f t="array" ref="O15">_xlfn.LET(
  _xlpm.w, O$11,
  _xlpm.r, MATCH(1,('3. Enter Indicator Scores'!$B$10:$B$161=$B15)*('3. Enter Indicator Scores'!$C$10:$C$161=$C15),0),
  _xlpm.c, MATCH(O$8,'3. Enter Indicator Scores'!$D$8:$CZ$8,0),
  _xlpm.v, IFERROR(INDEX('3. Enter Indicator Scores'!$D$10:$CZ$161,_xlpm.r,_xlpm.c),""),
  IF(OR(_xlpm.w="",_xlpm.v=""),"",_xlpm.v*_xlpm.w)
)</f>
        <v/>
      </c>
      <c r="P15" s="93" t="str" cm="1">
        <f t="array" ref="P15">_xlfn.LET(
  _xlpm.w, P$11,
  _xlpm.r, MATCH(1,('3. Enter Indicator Scores'!$B$10:$B$161=$B15)*('3. Enter Indicator Scores'!$C$10:$C$161=$C15),0),
  _xlpm.c, MATCH(P$8,'3. Enter Indicator Scores'!$D$8:$CZ$8,0),
  _xlpm.v, IFERROR(INDEX('3. Enter Indicator Scores'!$D$10:$CZ$161,_xlpm.r,_xlpm.c),""),
  IF(OR(_xlpm.w="",_xlpm.v=""),"",_xlpm.v*_xlpm.w)
)</f>
        <v/>
      </c>
      <c r="Q15" s="93" t="str" cm="1">
        <f t="array" ref="Q15">_xlfn.LET(
  _xlpm.w, Q$11,
  _xlpm.r, MATCH(1,('3. Enter Indicator Scores'!$B$10:$B$161=$B15)*('3. Enter Indicator Scores'!$C$10:$C$161=$C15),0),
  _xlpm.c, MATCH(Q$8,'3. Enter Indicator Scores'!$D$8:$CZ$8,0),
  _xlpm.v, IFERROR(INDEX('3. Enter Indicator Scores'!$D$10:$CZ$161,_xlpm.r,_xlpm.c),""),
  IF(OR(_xlpm.w="",_xlpm.v=""),"",_xlpm.v*_xlpm.w)
)</f>
        <v/>
      </c>
      <c r="R15" s="93" t="str" cm="1">
        <f t="array" ref="R15">_xlfn.LET(
  _xlpm.w, R$11,
  _xlpm.r, MATCH(1,('3. Enter Indicator Scores'!$B$10:$B$161=$B15)*('3. Enter Indicator Scores'!$C$10:$C$161=$C15),0),
  _xlpm.c, MATCH(R$8,'3. Enter Indicator Scores'!$D$8:$CZ$8,0),
  _xlpm.v, IFERROR(INDEX('3. Enter Indicator Scores'!$D$10:$CZ$161,_xlpm.r,_xlpm.c),""),
  IF(OR(_xlpm.w="",_xlpm.v=""),"",_xlpm.v*_xlpm.w)
)</f>
        <v/>
      </c>
      <c r="S15" s="93" t="str" cm="1">
        <f t="array" ref="S15">_xlfn.LET(
  _xlpm.w, S$11,
  _xlpm.r, MATCH(1,('3. Enter Indicator Scores'!$B$10:$B$161=$B15)*('3. Enter Indicator Scores'!$C$10:$C$161=$C15),0),
  _xlpm.c, MATCH(S$8,'3. Enter Indicator Scores'!$D$8:$CZ$8,0),
  _xlpm.v, IFERROR(INDEX('3. Enter Indicator Scores'!$D$10:$CZ$161,_xlpm.r,_xlpm.c),""),
  IF(OR(_xlpm.w="",_xlpm.v=""),"",_xlpm.v*_xlpm.w)
)</f>
        <v/>
      </c>
      <c r="T15" s="93" t="str" cm="1">
        <f t="array" ref="T15">_xlfn.LET(
  _xlpm.w, T$11,
  _xlpm.r, MATCH(1,('3. Enter Indicator Scores'!$B$10:$B$161=$B15)*('3. Enter Indicator Scores'!$C$10:$C$161=$C15),0),
  _xlpm.c, MATCH(T$8,'3. Enter Indicator Scores'!$D$8:$CZ$8,0),
  _xlpm.v, IFERROR(INDEX('3. Enter Indicator Scores'!$D$10:$CZ$161,_xlpm.r,_xlpm.c),""),
  IF(OR(_xlpm.w="",_xlpm.v=""),"",_xlpm.v*_xlpm.w)
)</f>
        <v/>
      </c>
      <c r="U15" s="93" t="str" cm="1">
        <f t="array" ref="U15">_xlfn.LET(
  _xlpm.w, U$11,
  _xlpm.r, MATCH(1,('3. Enter Indicator Scores'!$B$10:$B$161=$B15)*('3. Enter Indicator Scores'!$C$10:$C$161=$C15),0),
  _xlpm.c, MATCH(U$8,'3. Enter Indicator Scores'!$D$8:$CZ$8,0),
  _xlpm.v, IFERROR(INDEX('3. Enter Indicator Scores'!$D$10:$CZ$161,_xlpm.r,_xlpm.c),""),
  IF(OR(_xlpm.w="",_xlpm.v=""),"",_xlpm.v*_xlpm.w)
)</f>
        <v/>
      </c>
      <c r="V15" s="93" t="str" cm="1">
        <f t="array" ref="V15">_xlfn.LET(
  _xlpm.w, V$11,
  _xlpm.r, MATCH(1,('3. Enter Indicator Scores'!$B$10:$B$161=$B15)*('3. Enter Indicator Scores'!$C$10:$C$161=$C15),0),
  _xlpm.c, MATCH(V$8,'3. Enter Indicator Scores'!$D$8:$CZ$8,0),
  _xlpm.v, IFERROR(INDEX('3. Enter Indicator Scores'!$D$10:$CZ$161,_xlpm.r,_xlpm.c),""),
  IF(OR(_xlpm.w="",_xlpm.v=""),"",_xlpm.v*_xlpm.w)
)</f>
        <v/>
      </c>
      <c r="W15" s="93" t="str" cm="1">
        <f t="array" ref="W15">_xlfn.LET(
  _xlpm.w, W$11,
  _xlpm.r, MATCH(1,('3. Enter Indicator Scores'!$B$10:$B$161=$B15)*('3. Enter Indicator Scores'!$C$10:$C$161=$C15),0),
  _xlpm.c, MATCH(W$8,'3. Enter Indicator Scores'!$D$8:$CZ$8,0),
  _xlpm.v, IFERROR(INDEX('3. Enter Indicator Scores'!$D$10:$CZ$161,_xlpm.r,_xlpm.c),""),
  IF(OR(_xlpm.w="",_xlpm.v=""),"",_xlpm.v*_xlpm.w)
)</f>
        <v/>
      </c>
      <c r="X15" s="93" t="str" cm="1">
        <f t="array" ref="X15">_xlfn.LET(
  _xlpm.w, X$11,
  _xlpm.r, MATCH(1,('3. Enter Indicator Scores'!$B$10:$B$161=$B15)*('3. Enter Indicator Scores'!$C$10:$C$161=$C15),0),
  _xlpm.c, MATCH(X$8,'3. Enter Indicator Scores'!$D$8:$CZ$8,0),
  _xlpm.v, IFERROR(INDEX('3. Enter Indicator Scores'!$D$10:$CZ$161,_xlpm.r,_xlpm.c),""),
  IF(OR(_xlpm.w="",_xlpm.v=""),"",_xlpm.v*_xlpm.w)
)</f>
        <v/>
      </c>
      <c r="Y15" s="93" t="str" cm="1">
        <f t="array" ref="Y15">_xlfn.LET(
  _xlpm.w, Y$11,
  _xlpm.r, MATCH(1,('3. Enter Indicator Scores'!$B$10:$B$161=$B15)*('3. Enter Indicator Scores'!$C$10:$C$161=$C15),0),
  _xlpm.c, MATCH(Y$8,'3. Enter Indicator Scores'!$D$8:$CZ$8,0),
  _xlpm.v, IFERROR(INDEX('3. Enter Indicator Scores'!$D$10:$CZ$161,_xlpm.r,_xlpm.c),""),
  IF(OR(_xlpm.w="",_xlpm.v=""),"",_xlpm.v*_xlpm.w)
)</f>
        <v/>
      </c>
      <c r="Z15" s="93" t="str" cm="1">
        <f t="array" ref="Z15">_xlfn.LET(
  _xlpm.w, Z$11,
  _xlpm.r, MATCH(1,('3. Enter Indicator Scores'!$B$10:$B$161=$B15)*('3. Enter Indicator Scores'!$C$10:$C$161=$C15),0),
  _xlpm.c, MATCH(Z$8,'3. Enter Indicator Scores'!$D$8:$CZ$8,0),
  _xlpm.v, IFERROR(INDEX('3. Enter Indicator Scores'!$D$10:$CZ$161,_xlpm.r,_xlpm.c),""),
  IF(OR(_xlpm.w="",_xlpm.v=""),"",_xlpm.v*_xlpm.w)
)</f>
        <v/>
      </c>
      <c r="AA15" s="93" t="str" cm="1">
        <f t="array" ref="AA15">_xlfn.LET(
  _xlpm.w, AA$11,
  _xlpm.r, MATCH(1,('3. Enter Indicator Scores'!$B$10:$B$161=$B15)*('3. Enter Indicator Scores'!$C$10:$C$161=$C15),0),
  _xlpm.c, MATCH(AA$8,'3. Enter Indicator Scores'!$D$8:$CZ$8,0),
  _xlpm.v, IFERROR(INDEX('3. Enter Indicator Scores'!$D$10:$CZ$161,_xlpm.r,_xlpm.c),""),
  IF(OR(_xlpm.w="",_xlpm.v=""),"",_xlpm.v*_xlpm.w)
)</f>
        <v/>
      </c>
      <c r="AB15" s="93" t="str" cm="1">
        <f t="array" ref="AB15">_xlfn.LET(
  _xlpm.w, AB$11,
  _xlpm.r, MATCH(1,('3. Enter Indicator Scores'!$B$10:$B$161=$B15)*('3. Enter Indicator Scores'!$C$10:$C$161=$C15),0),
  _xlpm.c, MATCH(AB$8,'3. Enter Indicator Scores'!$D$8:$CZ$8,0),
  _xlpm.v, IFERROR(INDEX('3. Enter Indicator Scores'!$D$10:$CZ$161,_xlpm.r,_xlpm.c),""),
  IF(OR(_xlpm.w="",_xlpm.v=""),"",_xlpm.v*_xlpm.w)
)</f>
        <v/>
      </c>
      <c r="AC15" s="93" t="str" cm="1">
        <f t="array" ref="AC15">_xlfn.LET(
  _xlpm.w, AC$11,
  _xlpm.r, MATCH(1,('3. Enter Indicator Scores'!$B$10:$B$161=$B15)*('3. Enter Indicator Scores'!$C$10:$C$161=$C15),0),
  _xlpm.c, MATCH(AC$8,'3. Enter Indicator Scores'!$D$8:$CZ$8,0),
  _xlpm.v, IFERROR(INDEX('3. Enter Indicator Scores'!$D$10:$CZ$161,_xlpm.r,_xlpm.c),""),
  IF(OR(_xlpm.w="",_xlpm.v=""),"",_xlpm.v*_xlpm.w)
)</f>
        <v/>
      </c>
      <c r="AD15" s="93" t="str" cm="1">
        <f t="array" ref="AD15">_xlfn.LET(
  _xlpm.w, AD$11,
  _xlpm.r, MATCH(1,('3. Enter Indicator Scores'!$B$10:$B$161=$B15)*('3. Enter Indicator Scores'!$C$10:$C$161=$C15),0),
  _xlpm.c, MATCH(AD$8,'3. Enter Indicator Scores'!$D$8:$CZ$8,0),
  _xlpm.v, IFERROR(INDEX('3. Enter Indicator Scores'!$D$10:$CZ$161,_xlpm.r,_xlpm.c),""),
  IF(OR(_xlpm.w="",_xlpm.v=""),"",_xlpm.v*_xlpm.w)
)</f>
        <v/>
      </c>
      <c r="AE15" s="93" t="str" cm="1">
        <f t="array" ref="AE15">_xlfn.LET(
  _xlpm.w, AE$11,
  _xlpm.r, MATCH(1,('3. Enter Indicator Scores'!$B$10:$B$161=$B15)*('3. Enter Indicator Scores'!$C$10:$C$161=$C15),0),
  _xlpm.c, MATCH(AE$8,'3. Enter Indicator Scores'!$D$8:$CZ$8,0),
  _xlpm.v, IFERROR(INDEX('3. Enter Indicator Scores'!$D$10:$CZ$161,_xlpm.r,_xlpm.c),""),
  IF(OR(_xlpm.w="",_xlpm.v=""),"",_xlpm.v*_xlpm.w)
)</f>
        <v/>
      </c>
      <c r="AF15" s="93" t="str" cm="1">
        <f t="array" ref="AF15">_xlfn.LET(
  _xlpm.w, AF$11,
  _xlpm.r, MATCH(1,('3. Enter Indicator Scores'!$B$10:$B$161=$B15)*('3. Enter Indicator Scores'!$C$10:$C$161=$C15),0),
  _xlpm.c, MATCH(AF$8,'3. Enter Indicator Scores'!$D$8:$CZ$8,0),
  _xlpm.v, IFERROR(INDEX('3. Enter Indicator Scores'!$D$10:$CZ$161,_xlpm.r,_xlpm.c),""),
  IF(OR(_xlpm.w="",_xlpm.v=""),"",_xlpm.v*_xlpm.w)
)</f>
        <v/>
      </c>
      <c r="AG15" s="93" t="str" cm="1">
        <f t="array" ref="AG15">_xlfn.LET(
  _xlpm.w, AG$11,
  _xlpm.r, MATCH(1,('3. Enter Indicator Scores'!$B$10:$B$161=$B15)*('3. Enter Indicator Scores'!$C$10:$C$161=$C15),0),
  _xlpm.c, MATCH(AG$8,'3. Enter Indicator Scores'!$D$8:$CZ$8,0),
  _xlpm.v, IFERROR(INDEX('3. Enter Indicator Scores'!$D$10:$CZ$161,_xlpm.r,_xlpm.c),""),
  IF(OR(_xlpm.w="",_xlpm.v=""),"",_xlpm.v*_xlpm.w)
)</f>
        <v/>
      </c>
      <c r="AH15" s="93" t="str" cm="1">
        <f t="array" ref="AH15">_xlfn.LET(
  _xlpm.w, AH$11,
  _xlpm.r, MATCH(1,('3. Enter Indicator Scores'!$B$10:$B$161=$B15)*('3. Enter Indicator Scores'!$C$10:$C$161=$C15),0),
  _xlpm.c, MATCH(AH$8,'3. Enter Indicator Scores'!$D$8:$CZ$8,0),
  _xlpm.v, IFERROR(INDEX('3. Enter Indicator Scores'!$D$10:$CZ$161,_xlpm.r,_xlpm.c),""),
  IF(OR(_xlpm.w="",_xlpm.v=""),"",_xlpm.v*_xlpm.w)
)</f>
        <v/>
      </c>
      <c r="AI15" s="93" t="str" cm="1">
        <f t="array" ref="AI15">_xlfn.LET(
  _xlpm.w, AI$11,
  _xlpm.r, MATCH(1,('3. Enter Indicator Scores'!$B$10:$B$161=$B15)*('3. Enter Indicator Scores'!$C$10:$C$161=$C15),0),
  _xlpm.c, MATCH(AI$8,'3. Enter Indicator Scores'!$D$8:$CZ$8,0),
  _xlpm.v, IFERROR(INDEX('3. Enter Indicator Scores'!$D$10:$CZ$161,_xlpm.r,_xlpm.c),""),
  IF(OR(_xlpm.w="",_xlpm.v=""),"",_xlpm.v*_xlpm.w)
)</f>
        <v/>
      </c>
      <c r="AJ15" s="93" t="str" cm="1">
        <f t="array" ref="AJ15">_xlfn.LET(
  _xlpm.w, AJ$11,
  _xlpm.r, MATCH(1,('3. Enter Indicator Scores'!$B$10:$B$161=$B15)*('3. Enter Indicator Scores'!$C$10:$C$161=$C15),0),
  _xlpm.c, MATCH(AJ$8,'3. Enter Indicator Scores'!$D$8:$CZ$8,0),
  _xlpm.v, IFERROR(INDEX('3. Enter Indicator Scores'!$D$10:$CZ$161,_xlpm.r,_xlpm.c),""),
  IF(OR(_xlpm.w="",_xlpm.v=""),"",_xlpm.v*_xlpm.w)
)</f>
        <v/>
      </c>
      <c r="AK15" s="93" t="str" cm="1">
        <f t="array" ref="AK15">_xlfn.LET(
  _xlpm.w, AK$11,
  _xlpm.r, MATCH(1,('3. Enter Indicator Scores'!$B$10:$B$161=$B15)*('3. Enter Indicator Scores'!$C$10:$C$161=$C15),0),
  _xlpm.c, MATCH(AK$8,'3. Enter Indicator Scores'!$D$8:$CZ$8,0),
  _xlpm.v, IFERROR(INDEX('3. Enter Indicator Scores'!$D$10:$CZ$161,_xlpm.r,_xlpm.c),""),
  IF(OR(_xlpm.w="",_xlpm.v=""),"",_xlpm.v*_xlpm.w)
)</f>
        <v/>
      </c>
      <c r="AL15" s="93" t="str" cm="1">
        <f t="array" ref="AL15">_xlfn.LET(
  _xlpm.w, AL$11,
  _xlpm.r, MATCH(1,('3. Enter Indicator Scores'!$B$10:$B$161=$B15)*('3. Enter Indicator Scores'!$C$10:$C$161=$C15),0),
  _xlpm.c, MATCH(AL$8,'3. Enter Indicator Scores'!$D$8:$CZ$8,0),
  _xlpm.v, IFERROR(INDEX('3. Enter Indicator Scores'!$D$10:$CZ$161,_xlpm.r,_xlpm.c),""),
  IF(OR(_xlpm.w="",_xlpm.v=""),"",_xlpm.v*_xlpm.w)
)</f>
        <v/>
      </c>
      <c r="AM15" s="93" t="str" cm="1">
        <f t="array" ref="AM15">_xlfn.LET(
  _xlpm.w, AM$11,
  _xlpm.r, MATCH(1,('3. Enter Indicator Scores'!$B$10:$B$161=$B15)*('3. Enter Indicator Scores'!$C$10:$C$161=$C15),0),
  _xlpm.c, MATCH(AM$8,'3. Enter Indicator Scores'!$D$8:$CZ$8,0),
  _xlpm.v, IFERROR(INDEX('3. Enter Indicator Scores'!$D$10:$CZ$161,_xlpm.r,_xlpm.c),""),
  IF(OR(_xlpm.w="",_xlpm.v=""),"",_xlpm.v*_xlpm.w)
)</f>
        <v/>
      </c>
      <c r="AN15" s="93" t="str" cm="1">
        <f t="array" ref="AN15">_xlfn.LET(
  _xlpm.w, AN$11,
  _xlpm.r, MATCH(1,('3. Enter Indicator Scores'!$B$10:$B$161=$B15)*('3. Enter Indicator Scores'!$C$10:$C$161=$C15),0),
  _xlpm.c, MATCH(AN$8,'3. Enter Indicator Scores'!$D$8:$CZ$8,0),
  _xlpm.v, IFERROR(INDEX('3. Enter Indicator Scores'!$D$10:$CZ$161,_xlpm.r,_xlpm.c),""),
  IF(OR(_xlpm.w="",_xlpm.v=""),"",_xlpm.v*_xlpm.w)
)</f>
        <v/>
      </c>
      <c r="AO15" s="93" t="str" cm="1">
        <f t="array" ref="AO15">_xlfn.LET(
  _xlpm.w, AO$11,
  _xlpm.r, MATCH(1,('3. Enter Indicator Scores'!$B$10:$B$161=$B15)*('3. Enter Indicator Scores'!$C$10:$C$161=$C15),0),
  _xlpm.c, MATCH(AO$8,'3. Enter Indicator Scores'!$D$8:$CZ$8,0),
  _xlpm.v, IFERROR(INDEX('3. Enter Indicator Scores'!$D$10:$CZ$161,_xlpm.r,_xlpm.c),""),
  IF(OR(_xlpm.w="",_xlpm.v=""),"",_xlpm.v*_xlpm.w)
)</f>
        <v/>
      </c>
      <c r="AP15" s="93" t="str" cm="1">
        <f t="array" ref="AP15">_xlfn.LET(
  _xlpm.w, AP$11,
  _xlpm.r, MATCH(1,('3. Enter Indicator Scores'!$B$10:$B$161=$B15)*('3. Enter Indicator Scores'!$C$10:$C$161=$C15),0),
  _xlpm.c, MATCH(AP$8,'3. Enter Indicator Scores'!$D$8:$CZ$8,0),
  _xlpm.v, IFERROR(INDEX('3. Enter Indicator Scores'!$D$10:$CZ$161,_xlpm.r,_xlpm.c),""),
  IF(OR(_xlpm.w="",_xlpm.v=""),"",_xlpm.v*_xlpm.w)
)</f>
        <v/>
      </c>
      <c r="AQ15" s="93" t="str" cm="1">
        <f t="array" ref="AQ15">_xlfn.LET(
  _xlpm.w, AQ$11,
  _xlpm.r, MATCH(1,('3. Enter Indicator Scores'!$B$10:$B$161=$B15)*('3. Enter Indicator Scores'!$C$10:$C$161=$C15),0),
  _xlpm.c, MATCH(AQ$8,'3. Enter Indicator Scores'!$D$8:$CZ$8,0),
  _xlpm.v, IFERROR(INDEX('3. Enter Indicator Scores'!$D$10:$CZ$161,_xlpm.r,_xlpm.c),""),
  IF(OR(_xlpm.w="",_xlpm.v=""),"",_xlpm.v*_xlpm.w)
)</f>
        <v/>
      </c>
      <c r="AR15" s="93" t="str" cm="1">
        <f t="array" ref="AR15">_xlfn.LET(
  _xlpm.w, AR$11,
  _xlpm.r, MATCH(1,('3. Enter Indicator Scores'!$B$10:$B$161=$B15)*('3. Enter Indicator Scores'!$C$10:$C$161=$C15),0),
  _xlpm.c, MATCH(AR$8,'3. Enter Indicator Scores'!$D$8:$CZ$8,0),
  _xlpm.v, IFERROR(INDEX('3. Enter Indicator Scores'!$D$10:$CZ$161,_xlpm.r,_xlpm.c),""),
  IF(OR(_xlpm.w="",_xlpm.v=""),"",_xlpm.v*_xlpm.w)
)</f>
        <v/>
      </c>
      <c r="AS15" s="93" t="str" cm="1">
        <f t="array" ref="AS15">_xlfn.LET(
  _xlpm.w, AS$11,
  _xlpm.r, MATCH(1,('3. Enter Indicator Scores'!$B$10:$B$161=$B15)*('3. Enter Indicator Scores'!$C$10:$C$161=$C15),0),
  _xlpm.c, MATCH(AS$8,'3. Enter Indicator Scores'!$D$8:$CZ$8,0),
  _xlpm.v, IFERROR(INDEX('3. Enter Indicator Scores'!$D$10:$CZ$161,_xlpm.r,_xlpm.c),""),
  IF(OR(_xlpm.w="",_xlpm.v=""),"",_xlpm.v*_xlpm.w)
)</f>
        <v/>
      </c>
      <c r="AT15" s="93" t="str" cm="1">
        <f t="array" ref="AT15">_xlfn.LET(
  _xlpm.w, AT$11,
  _xlpm.r, MATCH(1,('3. Enter Indicator Scores'!$B$10:$B$161=$B15)*('3. Enter Indicator Scores'!$C$10:$C$161=$C15),0),
  _xlpm.c, MATCH(AT$8,'3. Enter Indicator Scores'!$D$8:$CZ$8,0),
  _xlpm.v, IFERROR(INDEX('3. Enter Indicator Scores'!$D$10:$CZ$161,_xlpm.r,_xlpm.c),""),
  IF(OR(_xlpm.w="",_xlpm.v=""),"",_xlpm.v*_xlpm.w)
)</f>
        <v/>
      </c>
      <c r="AU15" s="93" t="str" cm="1">
        <f t="array" ref="AU15">_xlfn.LET(
  _xlpm.w, AU$11,
  _xlpm.r, MATCH(1,('3. Enter Indicator Scores'!$B$10:$B$161=$B15)*('3. Enter Indicator Scores'!$C$10:$C$161=$C15),0),
  _xlpm.c, MATCH(AU$8,'3. Enter Indicator Scores'!$D$8:$CZ$8,0),
  _xlpm.v, IFERROR(INDEX('3. Enter Indicator Scores'!$D$10:$CZ$161,_xlpm.r,_xlpm.c),""),
  IF(OR(_xlpm.w="",_xlpm.v=""),"",_xlpm.v*_xlpm.w)
)</f>
        <v/>
      </c>
      <c r="AV15" s="93" t="str" cm="1">
        <f t="array" ref="AV15">_xlfn.LET(
  _xlpm.w, AV$11,
  _xlpm.r, MATCH(1,('3. Enter Indicator Scores'!$B$10:$B$161=$B15)*('3. Enter Indicator Scores'!$C$10:$C$161=$C15),0),
  _xlpm.c, MATCH(AV$8,'3. Enter Indicator Scores'!$D$8:$CZ$8,0),
  _xlpm.v, IFERROR(INDEX('3. Enter Indicator Scores'!$D$10:$CZ$161,_xlpm.r,_xlpm.c),""),
  IF(OR(_xlpm.w="",_xlpm.v=""),"",_xlpm.v*_xlpm.w)
)</f>
        <v/>
      </c>
      <c r="AW15" s="93" t="str" cm="1">
        <f t="array" ref="AW15">_xlfn.LET(
  _xlpm.w, AW$11,
  _xlpm.r, MATCH(1,('3. Enter Indicator Scores'!$B$10:$B$161=$B15)*('3. Enter Indicator Scores'!$C$10:$C$161=$C15),0),
  _xlpm.c, MATCH(AW$8,'3. Enter Indicator Scores'!$D$8:$CZ$8,0),
  _xlpm.v, IFERROR(INDEX('3. Enter Indicator Scores'!$D$10:$CZ$161,_xlpm.r,_xlpm.c),""),
  IF(OR(_xlpm.w="",_xlpm.v=""),"",_xlpm.v*_xlpm.w)
)</f>
        <v/>
      </c>
      <c r="AX15" s="93" t="str" cm="1">
        <f t="array" ref="AX15">_xlfn.LET(
  _xlpm.w, AX$11,
  _xlpm.r, MATCH(1,('3. Enter Indicator Scores'!$B$10:$B$161=$B15)*('3. Enter Indicator Scores'!$C$10:$C$161=$C15),0),
  _xlpm.c, MATCH(AX$8,'3. Enter Indicator Scores'!$D$8:$CZ$8,0),
  _xlpm.v, IFERROR(INDEX('3. Enter Indicator Scores'!$D$10:$CZ$161,_xlpm.r,_xlpm.c),""),
  IF(OR(_xlpm.w="",_xlpm.v=""),"",_xlpm.v*_xlpm.w)
)</f>
        <v/>
      </c>
      <c r="AY15" s="93" t="str" cm="1">
        <f t="array" ref="AY15">_xlfn.LET(
  _xlpm.w, AY$11,
  _xlpm.r, MATCH(1,('3. Enter Indicator Scores'!$B$10:$B$161=$B15)*('3. Enter Indicator Scores'!$C$10:$C$161=$C15),0),
  _xlpm.c, MATCH(AY$8,'3. Enter Indicator Scores'!$D$8:$CZ$8,0),
  _xlpm.v, IFERROR(INDEX('3. Enter Indicator Scores'!$D$10:$CZ$161,_xlpm.r,_xlpm.c),""),
  IF(OR(_xlpm.w="",_xlpm.v=""),"",_xlpm.v*_xlpm.w)
)</f>
        <v/>
      </c>
      <c r="AZ15" s="93" t="str" cm="1">
        <f t="array" ref="AZ15">_xlfn.LET(
  _xlpm.w, AZ$11,
  _xlpm.r, MATCH(1,('3. Enter Indicator Scores'!$B$10:$B$161=$B15)*('3. Enter Indicator Scores'!$C$10:$C$161=$C15),0),
  _xlpm.c, MATCH(AZ$8,'3. Enter Indicator Scores'!$D$8:$CZ$8,0),
  _xlpm.v, IFERROR(INDEX('3. Enter Indicator Scores'!$D$10:$CZ$161,_xlpm.r,_xlpm.c),""),
  IF(OR(_xlpm.w="",_xlpm.v=""),"",_xlpm.v*_xlpm.w)
)</f>
        <v/>
      </c>
      <c r="BA15" s="93" t="str" cm="1">
        <f t="array" ref="BA15">_xlfn.LET(
  _xlpm.w, BA$11,
  _xlpm.r, MATCH(1,('3. Enter Indicator Scores'!$B$10:$B$161=$B15)*('3. Enter Indicator Scores'!$C$10:$C$161=$C15),0),
  _xlpm.c, MATCH(BA$8,'3. Enter Indicator Scores'!$D$8:$CZ$8,0),
  _xlpm.v, IFERROR(INDEX('3. Enter Indicator Scores'!$D$10:$CZ$161,_xlpm.r,_xlpm.c),""),
  IF(OR(_xlpm.w="",_xlpm.v=""),"",_xlpm.v*_xlpm.w)
)</f>
        <v/>
      </c>
      <c r="BB15" s="93" t="str" cm="1">
        <f t="array" ref="BB15">_xlfn.LET(
  _xlpm.w, BB$11,
  _xlpm.r, MATCH(1,('3. Enter Indicator Scores'!$B$10:$B$161=$B15)*('3. Enter Indicator Scores'!$C$10:$C$161=$C15),0),
  _xlpm.c, MATCH(BB$8,'3. Enter Indicator Scores'!$D$8:$CZ$8,0),
  _xlpm.v, IFERROR(INDEX('3. Enter Indicator Scores'!$D$10:$CZ$161,_xlpm.r,_xlpm.c),""),
  IF(OR(_xlpm.w="",_xlpm.v=""),"",_xlpm.v*_xlpm.w)
)</f>
        <v/>
      </c>
      <c r="BC15" s="93" t="str" cm="1">
        <f t="array" ref="BC15">_xlfn.LET(
  _xlpm.w, BC$11,
  _xlpm.r, MATCH(1,('3. Enter Indicator Scores'!$B$10:$B$161=$B15)*('3. Enter Indicator Scores'!$C$10:$C$161=$C15),0),
  _xlpm.c, MATCH(BC$8,'3. Enter Indicator Scores'!$D$8:$CZ$8,0),
  _xlpm.v, IFERROR(INDEX('3. Enter Indicator Scores'!$D$10:$CZ$161,_xlpm.r,_xlpm.c),""),
  IF(OR(_xlpm.w="",_xlpm.v=""),"",_xlpm.v*_xlpm.w)
)</f>
        <v/>
      </c>
      <c r="BD15" s="93" t="str" cm="1">
        <f t="array" ref="BD15">_xlfn.LET(
  _xlpm.w, BD$11,
  _xlpm.r, MATCH(1,('3. Enter Indicator Scores'!$B$10:$B$161=$B15)*('3. Enter Indicator Scores'!$C$10:$C$161=$C15),0),
  _xlpm.c, MATCH(BD$8,'3. Enter Indicator Scores'!$D$8:$CZ$8,0),
  _xlpm.v, IFERROR(INDEX('3. Enter Indicator Scores'!$D$10:$CZ$161,_xlpm.r,_xlpm.c),""),
  IF(OR(_xlpm.w="",_xlpm.v=""),"",_xlpm.v*_xlpm.w)
)</f>
        <v/>
      </c>
      <c r="BE15" s="93" t="str" cm="1">
        <f t="array" ref="BE15">_xlfn.LET(
  _xlpm.w, BE$11,
  _xlpm.r, MATCH(1,('3. Enter Indicator Scores'!$B$10:$B$161=$B15)*('3. Enter Indicator Scores'!$C$10:$C$161=$C15),0),
  _xlpm.c, MATCH(BE$8,'3. Enter Indicator Scores'!$D$8:$CZ$8,0),
  _xlpm.v, IFERROR(INDEX('3. Enter Indicator Scores'!$D$10:$CZ$161,_xlpm.r,_xlpm.c),""),
  IF(OR(_xlpm.w="",_xlpm.v=""),"",_xlpm.v*_xlpm.w)
)</f>
        <v/>
      </c>
      <c r="BF15" s="93" t="str" cm="1">
        <f t="array" ref="BF15">_xlfn.LET(
  _xlpm.w, BF$11,
  _xlpm.r, MATCH(1,('3. Enter Indicator Scores'!$B$10:$B$161=$B15)*('3. Enter Indicator Scores'!$C$10:$C$161=$C15),0),
  _xlpm.c, MATCH(BF$8,'3. Enter Indicator Scores'!$D$8:$CZ$8,0),
  _xlpm.v, IFERROR(INDEX('3. Enter Indicator Scores'!$D$10:$CZ$161,_xlpm.r,_xlpm.c),""),
  IF(OR(_xlpm.w="",_xlpm.v=""),"",_xlpm.v*_xlpm.w)
)</f>
        <v/>
      </c>
      <c r="BG15" s="93" t="str" cm="1">
        <f t="array" ref="BG15">_xlfn.LET(
  _xlpm.w, BG$11,
  _xlpm.r, MATCH(1,('3. Enter Indicator Scores'!$B$10:$B$161=$B15)*('3. Enter Indicator Scores'!$C$10:$C$161=$C15),0),
  _xlpm.c, MATCH(BG$8,'3. Enter Indicator Scores'!$D$8:$CZ$8,0),
  _xlpm.v, IFERROR(INDEX('3. Enter Indicator Scores'!$D$10:$CZ$161,_xlpm.r,_xlpm.c),""),
  IF(OR(_xlpm.w="",_xlpm.v=""),"",_xlpm.v*_xlpm.w)
)</f>
        <v/>
      </c>
      <c r="BH15" s="93" t="str" cm="1">
        <f t="array" ref="BH15">_xlfn.LET(
  _xlpm.w, BH$11,
  _xlpm.r, MATCH(1,('3. Enter Indicator Scores'!$B$10:$B$161=$B15)*('3. Enter Indicator Scores'!$C$10:$C$161=$C15),0),
  _xlpm.c, MATCH(BH$8,'3. Enter Indicator Scores'!$D$8:$CZ$8,0),
  _xlpm.v, IFERROR(INDEX('3. Enter Indicator Scores'!$D$10:$CZ$161,_xlpm.r,_xlpm.c),""),
  IF(OR(_xlpm.w="",_xlpm.v=""),"",_xlpm.v*_xlpm.w)
)</f>
        <v/>
      </c>
      <c r="BI15" s="93" t="str" cm="1">
        <f t="array" ref="BI15">_xlfn.LET(
  _xlpm.w, BI$11,
  _xlpm.r, MATCH(1,('3. Enter Indicator Scores'!$B$10:$B$161=$B15)*('3. Enter Indicator Scores'!$C$10:$C$161=$C15),0),
  _xlpm.c, MATCH(BI$8,'3. Enter Indicator Scores'!$D$8:$CZ$8,0),
  _xlpm.v, IFERROR(INDEX('3. Enter Indicator Scores'!$D$10:$CZ$161,_xlpm.r,_xlpm.c),""),
  IF(OR(_xlpm.w="",_xlpm.v=""),"",_xlpm.v*_xlpm.w)
)</f>
        <v/>
      </c>
      <c r="BJ15" s="93" t="str" cm="1">
        <f t="array" ref="BJ15">_xlfn.LET(
  _xlpm.w, BJ$11,
  _xlpm.r, MATCH(1,('3. Enter Indicator Scores'!$B$10:$B$161=$B15)*('3. Enter Indicator Scores'!$C$10:$C$161=$C15),0),
  _xlpm.c, MATCH(BJ$8,'3. Enter Indicator Scores'!$D$8:$CZ$8,0),
  _xlpm.v, IFERROR(INDEX('3. Enter Indicator Scores'!$D$10:$CZ$161,_xlpm.r,_xlpm.c),""),
  IF(OR(_xlpm.w="",_xlpm.v=""),"",_xlpm.v*_xlpm.w)
)</f>
        <v/>
      </c>
      <c r="BK15" s="93" t="str" cm="1">
        <f t="array" ref="BK15">_xlfn.LET(
  _xlpm.w, BK$11,
  _xlpm.r, MATCH(1,('3. Enter Indicator Scores'!$B$10:$B$161=$B15)*('3. Enter Indicator Scores'!$C$10:$C$161=$C15),0),
  _xlpm.c, MATCH(BK$8,'3. Enter Indicator Scores'!$D$8:$CZ$8,0),
  _xlpm.v, IFERROR(INDEX('3. Enter Indicator Scores'!$D$10:$CZ$161,_xlpm.r,_xlpm.c),""),
  IF(OR(_xlpm.w="",_xlpm.v=""),"",_xlpm.v*_xlpm.w)
)</f>
        <v/>
      </c>
      <c r="BL15" s="93" t="str" cm="1">
        <f t="array" ref="BL15">_xlfn.LET(
  _xlpm.w, BL$11,
  _xlpm.r, MATCH(1,('3. Enter Indicator Scores'!$B$10:$B$161=$B15)*('3. Enter Indicator Scores'!$C$10:$C$161=$C15),0),
  _xlpm.c, MATCH(BL$8,'3. Enter Indicator Scores'!$D$8:$CZ$8,0),
  _xlpm.v, IFERROR(INDEX('3. Enter Indicator Scores'!$D$10:$CZ$161,_xlpm.r,_xlpm.c),""),
  IF(OR(_xlpm.w="",_xlpm.v=""),"",_xlpm.v*_xlpm.w)
)</f>
        <v/>
      </c>
      <c r="BM15" s="93" t="str" cm="1">
        <f t="array" ref="BM15">_xlfn.LET(
  _xlpm.w, BM$11,
  _xlpm.r, MATCH(1,('3. Enter Indicator Scores'!$B$10:$B$161=$B15)*('3. Enter Indicator Scores'!$C$10:$C$161=$C15),0),
  _xlpm.c, MATCH(BM$8,'3. Enter Indicator Scores'!$D$8:$CZ$8,0),
  _xlpm.v, IFERROR(INDEX('3. Enter Indicator Scores'!$D$10:$CZ$161,_xlpm.r,_xlpm.c),""),
  IF(OR(_xlpm.w="",_xlpm.v=""),"",_xlpm.v*_xlpm.w)
)</f>
        <v/>
      </c>
      <c r="BN15" s="93" t="str" cm="1">
        <f t="array" ref="BN15">_xlfn.LET(
  _xlpm.w, BN$11,
  _xlpm.r, MATCH(1,('3. Enter Indicator Scores'!$B$10:$B$161=$B15)*('3. Enter Indicator Scores'!$C$10:$C$161=$C15),0),
  _xlpm.c, MATCH(BN$8,'3. Enter Indicator Scores'!$D$8:$CZ$8,0),
  _xlpm.v, IFERROR(INDEX('3. Enter Indicator Scores'!$D$10:$CZ$161,_xlpm.r,_xlpm.c),""),
  IF(OR(_xlpm.w="",_xlpm.v=""),"",_xlpm.v*_xlpm.w)
)</f>
        <v/>
      </c>
      <c r="BO15" s="93" t="str" cm="1">
        <f t="array" ref="BO15">_xlfn.LET(
  _xlpm.w, BO$11,
  _xlpm.r, MATCH(1,('3. Enter Indicator Scores'!$B$10:$B$161=$B15)*('3. Enter Indicator Scores'!$C$10:$C$161=$C15),0),
  _xlpm.c, MATCH(BO$8,'3. Enter Indicator Scores'!$D$8:$CZ$8,0),
  _xlpm.v, IFERROR(INDEX('3. Enter Indicator Scores'!$D$10:$CZ$161,_xlpm.r,_xlpm.c),""),
  IF(OR(_xlpm.w="",_xlpm.v=""),"",_xlpm.v*_xlpm.w)
)</f>
        <v/>
      </c>
      <c r="BP15" s="93" t="str" cm="1">
        <f t="array" ref="BP15">_xlfn.LET(
  _xlpm.w, BP$11,
  _xlpm.r, MATCH(1,('3. Enter Indicator Scores'!$B$10:$B$161=$B15)*('3. Enter Indicator Scores'!$C$10:$C$161=$C15),0),
  _xlpm.c, MATCH(BP$8,'3. Enter Indicator Scores'!$D$8:$CZ$8,0),
  _xlpm.v, IFERROR(INDEX('3. Enter Indicator Scores'!$D$10:$CZ$161,_xlpm.r,_xlpm.c),""),
  IF(OR(_xlpm.w="",_xlpm.v=""),"",_xlpm.v*_xlpm.w)
)</f>
        <v/>
      </c>
      <c r="BQ15" s="93" t="str" cm="1">
        <f t="array" ref="BQ15">_xlfn.LET(
  _xlpm.w, BQ$11,
  _xlpm.r, MATCH(1,('3. Enter Indicator Scores'!$B$10:$B$161=$B15)*('3. Enter Indicator Scores'!$C$10:$C$161=$C15),0),
  _xlpm.c, MATCH(BQ$8,'3. Enter Indicator Scores'!$D$8:$CZ$8,0),
  _xlpm.v, IFERROR(INDEX('3. Enter Indicator Scores'!$D$10:$CZ$161,_xlpm.r,_xlpm.c),""),
  IF(OR(_xlpm.w="",_xlpm.v=""),"",_xlpm.v*_xlpm.w)
)</f>
        <v/>
      </c>
      <c r="BR15" s="93" t="str" cm="1">
        <f t="array" ref="BR15">_xlfn.LET(
  _xlpm.w, BR$11,
  _xlpm.r, MATCH(1,('3. Enter Indicator Scores'!$B$10:$B$161=$B15)*('3. Enter Indicator Scores'!$C$10:$C$161=$C15),0),
  _xlpm.c, MATCH(BR$8,'3. Enter Indicator Scores'!$D$8:$CZ$8,0),
  _xlpm.v, IFERROR(INDEX('3. Enter Indicator Scores'!$D$10:$CZ$161,_xlpm.r,_xlpm.c),""),
  IF(OR(_xlpm.w="",_xlpm.v=""),"",_xlpm.v*_xlpm.w)
)</f>
        <v/>
      </c>
      <c r="BS15" s="93" t="str" cm="1">
        <f t="array" ref="BS15">_xlfn.LET(
  _xlpm.w, BS$11,
  _xlpm.r, MATCH(1,('3. Enter Indicator Scores'!$B$10:$B$161=$B15)*('3. Enter Indicator Scores'!$C$10:$C$161=$C15),0),
  _xlpm.c, MATCH(BS$8,'3. Enter Indicator Scores'!$D$8:$CZ$8,0),
  _xlpm.v, IFERROR(INDEX('3. Enter Indicator Scores'!$D$10:$CZ$161,_xlpm.r,_xlpm.c),""),
  IF(OR(_xlpm.w="",_xlpm.v=""),"",_xlpm.v*_xlpm.w)
)</f>
        <v/>
      </c>
      <c r="BT15" s="93" t="str" cm="1">
        <f t="array" ref="BT15">_xlfn.LET(
  _xlpm.w, BT$11,
  _xlpm.r, MATCH(1,('3. Enter Indicator Scores'!$B$10:$B$161=$B15)*('3. Enter Indicator Scores'!$C$10:$C$161=$C15),0),
  _xlpm.c, MATCH(BT$8,'3. Enter Indicator Scores'!$D$8:$CZ$8,0),
  _xlpm.v, IFERROR(INDEX('3. Enter Indicator Scores'!$D$10:$CZ$161,_xlpm.r,_xlpm.c),""),
  IF(OR(_xlpm.w="",_xlpm.v=""),"",_xlpm.v*_xlpm.w)
)</f>
        <v/>
      </c>
      <c r="BU15" s="93" t="str" cm="1">
        <f t="array" ref="BU15">_xlfn.LET(
  _xlpm.w, BU$11,
  _xlpm.r, MATCH(1,('3. Enter Indicator Scores'!$B$10:$B$161=$B15)*('3. Enter Indicator Scores'!$C$10:$C$161=$C15),0),
  _xlpm.c, MATCH(BU$8,'3. Enter Indicator Scores'!$D$8:$CZ$8,0),
  _xlpm.v, IFERROR(INDEX('3. Enter Indicator Scores'!$D$10:$CZ$161,_xlpm.r,_xlpm.c),""),
  IF(OR(_xlpm.w="",_xlpm.v=""),"",_xlpm.v*_xlpm.w)
)</f>
        <v/>
      </c>
      <c r="BV15" s="93" t="str" cm="1">
        <f t="array" ref="BV15">_xlfn.LET(
  _xlpm.w, BV$11,
  _xlpm.r, MATCH(1,('3. Enter Indicator Scores'!$B$10:$B$161=$B15)*('3. Enter Indicator Scores'!$C$10:$C$161=$C15),0),
  _xlpm.c, MATCH(BV$8,'3. Enter Indicator Scores'!$D$8:$CZ$8,0),
  _xlpm.v, IFERROR(INDEX('3. Enter Indicator Scores'!$D$10:$CZ$161,_xlpm.r,_xlpm.c),""),
  IF(OR(_xlpm.w="",_xlpm.v=""),"",_xlpm.v*_xlpm.w)
)</f>
        <v/>
      </c>
      <c r="BW15" s="93" t="str" cm="1">
        <f t="array" ref="BW15">_xlfn.LET(
  _xlpm.w, BW$11,
  _xlpm.r, MATCH(1,('3. Enter Indicator Scores'!$B$10:$B$161=$B15)*('3. Enter Indicator Scores'!$C$10:$C$161=$C15),0),
  _xlpm.c, MATCH(BW$8,'3. Enter Indicator Scores'!$D$8:$CZ$8,0),
  _xlpm.v, IFERROR(INDEX('3. Enter Indicator Scores'!$D$10:$CZ$161,_xlpm.r,_xlpm.c),""),
  IF(OR(_xlpm.w="",_xlpm.v=""),"",_xlpm.v*_xlpm.w)
)</f>
        <v/>
      </c>
      <c r="BX15" s="93" t="str" cm="1">
        <f t="array" ref="BX15">_xlfn.LET(
  _xlpm.w, BX$11,
  _xlpm.r, MATCH(1,('3. Enter Indicator Scores'!$B$10:$B$161=$B15)*('3. Enter Indicator Scores'!$C$10:$C$161=$C15),0),
  _xlpm.c, MATCH(BX$8,'3. Enter Indicator Scores'!$D$8:$CZ$8,0),
  _xlpm.v, IFERROR(INDEX('3. Enter Indicator Scores'!$D$10:$CZ$161,_xlpm.r,_xlpm.c),""),
  IF(OR(_xlpm.w="",_xlpm.v=""),"",_xlpm.v*_xlpm.w)
)</f>
        <v/>
      </c>
      <c r="BY15" s="93" t="str" cm="1">
        <f t="array" ref="BY15">_xlfn.LET(
  _xlpm.w, BY$11,
  _xlpm.r, MATCH(1,('3. Enter Indicator Scores'!$B$10:$B$161=$B15)*('3. Enter Indicator Scores'!$C$10:$C$161=$C15),0),
  _xlpm.c, MATCH(BY$8,'3. Enter Indicator Scores'!$D$8:$CZ$8,0),
  _xlpm.v, IFERROR(INDEX('3. Enter Indicator Scores'!$D$10:$CZ$161,_xlpm.r,_xlpm.c),""),
  IF(OR(_xlpm.w="",_xlpm.v=""),"",_xlpm.v*_xlpm.w)
)</f>
        <v/>
      </c>
      <c r="BZ15" s="93" t="str" cm="1">
        <f t="array" ref="BZ15">_xlfn.LET(
  _xlpm.w, BZ$11,
  _xlpm.r, MATCH(1,('3. Enter Indicator Scores'!$B$10:$B$161=$B15)*('3. Enter Indicator Scores'!$C$10:$C$161=$C15),0),
  _xlpm.c, MATCH(BZ$8,'3. Enter Indicator Scores'!$D$8:$CZ$8,0),
  _xlpm.v, IFERROR(INDEX('3. Enter Indicator Scores'!$D$10:$CZ$161,_xlpm.r,_xlpm.c),""),
  IF(OR(_xlpm.w="",_xlpm.v=""),"",_xlpm.v*_xlpm.w)
)</f>
        <v/>
      </c>
      <c r="CA15" s="93" t="str" cm="1">
        <f t="array" ref="CA15">_xlfn.LET(
  _xlpm.w, CA$11,
  _xlpm.r, MATCH(1,('3. Enter Indicator Scores'!$B$10:$B$161=$B15)*('3. Enter Indicator Scores'!$C$10:$C$161=$C15),0),
  _xlpm.c, MATCH(CA$8,'3. Enter Indicator Scores'!$D$8:$CZ$8,0),
  _xlpm.v, IFERROR(INDEX('3. Enter Indicator Scores'!$D$10:$CZ$161,_xlpm.r,_xlpm.c),""),
  IF(OR(_xlpm.w="",_xlpm.v=""),"",_xlpm.v*_xlpm.w)
)</f>
        <v/>
      </c>
      <c r="CB15" s="93" t="str" cm="1">
        <f t="array" ref="CB15">_xlfn.LET(
  _xlpm.w, CB$11,
  _xlpm.r, MATCH(1,('3. Enter Indicator Scores'!$B$10:$B$161=$B15)*('3. Enter Indicator Scores'!$C$10:$C$161=$C15),0),
  _xlpm.c, MATCH(CB$8,'3. Enter Indicator Scores'!$D$8:$CZ$8,0),
  _xlpm.v, IFERROR(INDEX('3. Enter Indicator Scores'!$D$10:$CZ$161,_xlpm.r,_xlpm.c),""),
  IF(OR(_xlpm.w="",_xlpm.v=""),"",_xlpm.v*_xlpm.w)
)</f>
        <v/>
      </c>
      <c r="CC15" s="93" t="str" cm="1">
        <f t="array" ref="CC15">_xlfn.LET(
  _xlpm.w, CC$11,
  _xlpm.r, MATCH(1,('3. Enter Indicator Scores'!$B$10:$B$161=$B15)*('3. Enter Indicator Scores'!$C$10:$C$161=$C15),0),
  _xlpm.c, MATCH(CC$8,'3. Enter Indicator Scores'!$D$8:$CZ$8,0),
  _xlpm.v, IFERROR(INDEX('3. Enter Indicator Scores'!$D$10:$CZ$161,_xlpm.r,_xlpm.c),""),
  IF(OR(_xlpm.w="",_xlpm.v=""),"",_xlpm.v*_xlpm.w)
)</f>
        <v/>
      </c>
      <c r="CD15" s="93" t="str" cm="1">
        <f t="array" ref="CD15">_xlfn.LET(
  _xlpm.w, CD$11,
  _xlpm.r, MATCH(1,('3. Enter Indicator Scores'!$B$10:$B$161=$B15)*('3. Enter Indicator Scores'!$C$10:$C$161=$C15),0),
  _xlpm.c, MATCH(CD$8,'3. Enter Indicator Scores'!$D$8:$CZ$8,0),
  _xlpm.v, IFERROR(INDEX('3. Enter Indicator Scores'!$D$10:$CZ$161,_xlpm.r,_xlpm.c),""),
  IF(OR(_xlpm.w="",_xlpm.v=""),"",_xlpm.v*_xlpm.w)
)</f>
        <v/>
      </c>
      <c r="CE15" s="93" t="str" cm="1">
        <f t="array" ref="CE15">_xlfn.LET(
  _xlpm.w, CE$11,
  _xlpm.r, MATCH(1,('3. Enter Indicator Scores'!$B$10:$B$161=$B15)*('3. Enter Indicator Scores'!$C$10:$C$161=$C15),0),
  _xlpm.c, MATCH(CE$8,'3. Enter Indicator Scores'!$D$8:$CZ$8,0),
  _xlpm.v, IFERROR(INDEX('3. Enter Indicator Scores'!$D$10:$CZ$161,_xlpm.r,_xlpm.c),""),
  IF(OR(_xlpm.w="",_xlpm.v=""),"",_xlpm.v*_xlpm.w)
)</f>
        <v/>
      </c>
      <c r="CF15" s="93" t="str" cm="1">
        <f t="array" ref="CF15">_xlfn.LET(
  _xlpm.w, CF$11,
  _xlpm.r, MATCH(1,('3. Enter Indicator Scores'!$B$10:$B$161=$B15)*('3. Enter Indicator Scores'!$C$10:$C$161=$C15),0),
  _xlpm.c, MATCH(CF$8,'3. Enter Indicator Scores'!$D$8:$CZ$8,0),
  _xlpm.v, IFERROR(INDEX('3. Enter Indicator Scores'!$D$10:$CZ$161,_xlpm.r,_xlpm.c),""),
  IF(OR(_xlpm.w="",_xlpm.v=""),"",_xlpm.v*_xlpm.w)
)</f>
        <v/>
      </c>
      <c r="CG15" s="93" t="str" cm="1">
        <f t="array" ref="CG15">_xlfn.LET(
  _xlpm.w, CG$11,
  _xlpm.r, MATCH(1,('3. Enter Indicator Scores'!$B$10:$B$161=$B15)*('3. Enter Indicator Scores'!$C$10:$C$161=$C15),0),
  _xlpm.c, MATCH(CG$8,'3. Enter Indicator Scores'!$D$8:$CZ$8,0),
  _xlpm.v, IFERROR(INDEX('3. Enter Indicator Scores'!$D$10:$CZ$161,_xlpm.r,_xlpm.c),""),
  IF(OR(_xlpm.w="",_xlpm.v=""),"",_xlpm.v*_xlpm.w)
)</f>
        <v/>
      </c>
      <c r="CH15" s="93" t="str" cm="1">
        <f t="array" ref="CH15">_xlfn.LET(
  _xlpm.w, CH$11,
  _xlpm.r, MATCH(1,('3. Enter Indicator Scores'!$B$10:$B$161=$B15)*('3. Enter Indicator Scores'!$C$10:$C$161=$C15),0),
  _xlpm.c, MATCH(CH$8,'3. Enter Indicator Scores'!$D$8:$CZ$8,0),
  _xlpm.v, IFERROR(INDEX('3. Enter Indicator Scores'!$D$10:$CZ$161,_xlpm.r,_xlpm.c),""),
  IF(OR(_xlpm.w="",_xlpm.v=""),"",_xlpm.v*_xlpm.w)
)</f>
        <v/>
      </c>
      <c r="CI15" s="93" t="str" cm="1">
        <f t="array" ref="CI15">_xlfn.LET(
  _xlpm.w, CI$11,
  _xlpm.r, MATCH(1,('3. Enter Indicator Scores'!$B$10:$B$161=$B15)*('3. Enter Indicator Scores'!$C$10:$C$161=$C15),0),
  _xlpm.c, MATCH(CI$8,'3. Enter Indicator Scores'!$D$8:$CZ$8,0),
  _xlpm.v, IFERROR(INDEX('3. Enter Indicator Scores'!$D$10:$CZ$161,_xlpm.r,_xlpm.c),""),
  IF(OR(_xlpm.w="",_xlpm.v=""),"",_xlpm.v*_xlpm.w)
)</f>
        <v/>
      </c>
      <c r="CJ15" s="93" t="str" cm="1">
        <f t="array" ref="CJ15">_xlfn.LET(
  _xlpm.w, CJ$11,
  _xlpm.r, MATCH(1,('3. Enter Indicator Scores'!$B$10:$B$161=$B15)*('3. Enter Indicator Scores'!$C$10:$C$161=$C15),0),
  _xlpm.c, MATCH(CJ$8,'3. Enter Indicator Scores'!$D$8:$CZ$8,0),
  _xlpm.v, IFERROR(INDEX('3. Enter Indicator Scores'!$D$10:$CZ$161,_xlpm.r,_xlpm.c),""),
  IF(OR(_xlpm.w="",_xlpm.v=""),"",_xlpm.v*_xlpm.w)
)</f>
        <v/>
      </c>
      <c r="CK15" s="93" t="str" cm="1">
        <f t="array" ref="CK15">_xlfn.LET(
  _xlpm.w, CK$11,
  _xlpm.r, MATCH(1,('3. Enter Indicator Scores'!$B$10:$B$161=$B15)*('3. Enter Indicator Scores'!$C$10:$C$161=$C15),0),
  _xlpm.c, MATCH(CK$8,'3. Enter Indicator Scores'!$D$8:$CZ$8,0),
  _xlpm.v, IFERROR(INDEX('3. Enter Indicator Scores'!$D$10:$CZ$161,_xlpm.r,_xlpm.c),""),
  IF(OR(_xlpm.w="",_xlpm.v=""),"",_xlpm.v*_xlpm.w)
)</f>
        <v/>
      </c>
      <c r="CL15" s="93" t="str" cm="1">
        <f t="array" ref="CL15">_xlfn.LET(
  _xlpm.w, CL$11,
  _xlpm.r, MATCH(1,('3. Enter Indicator Scores'!$B$10:$B$161=$B15)*('3. Enter Indicator Scores'!$C$10:$C$161=$C15),0),
  _xlpm.c, MATCH(CL$8,'3. Enter Indicator Scores'!$D$8:$CZ$8,0),
  _xlpm.v, IFERROR(INDEX('3. Enter Indicator Scores'!$D$10:$CZ$161,_xlpm.r,_xlpm.c),""),
  IF(OR(_xlpm.w="",_xlpm.v=""),"",_xlpm.v*_xlpm.w)
)</f>
        <v/>
      </c>
      <c r="CM15" s="93" t="str" cm="1">
        <f t="array" ref="CM15">_xlfn.LET(
  _xlpm.w, CM$11,
  _xlpm.r, MATCH(1,('3. Enter Indicator Scores'!$B$10:$B$161=$B15)*('3. Enter Indicator Scores'!$C$10:$C$161=$C15),0),
  _xlpm.c, MATCH(CM$8,'3. Enter Indicator Scores'!$D$8:$CZ$8,0),
  _xlpm.v, IFERROR(INDEX('3. Enter Indicator Scores'!$D$10:$CZ$161,_xlpm.r,_xlpm.c),""),
  IF(OR(_xlpm.w="",_xlpm.v=""),"",_xlpm.v*_xlpm.w)
)</f>
        <v/>
      </c>
      <c r="CN15" s="93" t="str" cm="1">
        <f t="array" ref="CN15">_xlfn.LET(
  _xlpm.w, CN$11,
  _xlpm.r, MATCH(1,('3. Enter Indicator Scores'!$B$10:$B$161=$B15)*('3. Enter Indicator Scores'!$C$10:$C$161=$C15),0),
  _xlpm.c, MATCH(CN$8,'3. Enter Indicator Scores'!$D$8:$CZ$8,0),
  _xlpm.v, IFERROR(INDEX('3. Enter Indicator Scores'!$D$10:$CZ$161,_xlpm.r,_xlpm.c),""),
  IF(OR(_xlpm.w="",_xlpm.v=""),"",_xlpm.v*_xlpm.w)
)</f>
        <v/>
      </c>
      <c r="CO15" s="93" t="str" cm="1">
        <f t="array" ref="CO15">_xlfn.LET(
  _xlpm.w, CO$11,
  _xlpm.r, MATCH(1,('3. Enter Indicator Scores'!$B$10:$B$161=$B15)*('3. Enter Indicator Scores'!$C$10:$C$161=$C15),0),
  _xlpm.c, MATCH(CO$8,'3. Enter Indicator Scores'!$D$8:$CZ$8,0),
  _xlpm.v, IFERROR(INDEX('3. Enter Indicator Scores'!$D$10:$CZ$161,_xlpm.r,_xlpm.c),""),
  IF(OR(_xlpm.w="",_xlpm.v=""),"",_xlpm.v*_xlpm.w)
)</f>
        <v/>
      </c>
      <c r="CP15" s="93" t="str" cm="1">
        <f t="array" ref="CP15">_xlfn.LET(
  _xlpm.w, CP$11,
  _xlpm.r, MATCH(1,('3. Enter Indicator Scores'!$B$10:$B$161=$B15)*('3. Enter Indicator Scores'!$C$10:$C$161=$C15),0),
  _xlpm.c, MATCH(CP$8,'3. Enter Indicator Scores'!$D$8:$CZ$8,0),
  _xlpm.v, IFERROR(INDEX('3. Enter Indicator Scores'!$D$10:$CZ$161,_xlpm.r,_xlpm.c),""),
  IF(OR(_xlpm.w="",_xlpm.v=""),"",_xlpm.v*_xlpm.w)
)</f>
        <v/>
      </c>
      <c r="CQ15" s="93" t="str" cm="1">
        <f t="array" ref="CQ15">_xlfn.LET(
  _xlpm.w, CQ$11,
  _xlpm.r, MATCH(1,('3. Enter Indicator Scores'!$B$10:$B$161=$B15)*('3. Enter Indicator Scores'!$C$10:$C$161=$C15),0),
  _xlpm.c, MATCH(CQ$8,'3. Enter Indicator Scores'!$D$8:$CZ$8,0),
  _xlpm.v, IFERROR(INDEX('3. Enter Indicator Scores'!$D$10:$CZ$161,_xlpm.r,_xlpm.c),""),
  IF(OR(_xlpm.w="",_xlpm.v=""),"",_xlpm.v*_xlpm.w)
)</f>
        <v/>
      </c>
      <c r="CR15" s="93" t="str" cm="1">
        <f t="array" ref="CR15">_xlfn.LET(
  _xlpm.w, CR$11,
  _xlpm.r, MATCH(1,('3. Enter Indicator Scores'!$B$10:$B$161=$B15)*('3. Enter Indicator Scores'!$C$10:$C$161=$C15),0),
  _xlpm.c, MATCH(CR$8,'3. Enter Indicator Scores'!$D$8:$CZ$8,0),
  _xlpm.v, IFERROR(INDEX('3. Enter Indicator Scores'!$D$10:$CZ$161,_xlpm.r,_xlpm.c),""),
  IF(OR(_xlpm.w="",_xlpm.v=""),"",_xlpm.v*_xlpm.w)
)</f>
        <v/>
      </c>
      <c r="CS15" s="93" t="str" cm="1">
        <f t="array" ref="CS15">_xlfn.LET(
  _xlpm.w, CS$11,
  _xlpm.r, MATCH(1,('3. Enter Indicator Scores'!$B$10:$B$161=$B15)*('3. Enter Indicator Scores'!$C$10:$C$161=$C15),0),
  _xlpm.c, MATCH(CS$8,'3. Enter Indicator Scores'!$D$8:$CZ$8,0),
  _xlpm.v, IFERROR(INDEX('3. Enter Indicator Scores'!$D$10:$CZ$161,_xlpm.r,_xlpm.c),""),
  IF(OR(_xlpm.w="",_xlpm.v=""),"",_xlpm.v*_xlpm.w)
)</f>
        <v/>
      </c>
      <c r="CT15" s="93" t="str" cm="1">
        <f t="array" ref="CT15">_xlfn.LET(
  _xlpm.w, CT$11,
  _xlpm.r, MATCH(1,('3. Enter Indicator Scores'!$B$10:$B$161=$B15)*('3. Enter Indicator Scores'!$C$10:$C$161=$C15),0),
  _xlpm.c, MATCH(CT$8,'3. Enter Indicator Scores'!$D$8:$CZ$8,0),
  _xlpm.v, IFERROR(INDEX('3. Enter Indicator Scores'!$D$10:$CZ$161,_xlpm.r,_xlpm.c),""),
  IF(OR(_xlpm.w="",_xlpm.v=""),"",_xlpm.v*_xlpm.w)
)</f>
        <v/>
      </c>
      <c r="CU15" s="93" t="str" cm="1">
        <f t="array" ref="CU15">_xlfn.LET(
  _xlpm.w, CU$11,
  _xlpm.r, MATCH(1,('3. Enter Indicator Scores'!$B$10:$B$161=$B15)*('3. Enter Indicator Scores'!$C$10:$C$161=$C15),0),
  _xlpm.c, MATCH(CU$8,'3. Enter Indicator Scores'!$D$8:$CZ$8,0),
  _xlpm.v, IFERROR(INDEX('3. Enter Indicator Scores'!$D$10:$CZ$161,_xlpm.r,_xlpm.c),""),
  IF(OR(_xlpm.w="",_xlpm.v=""),"",_xlpm.v*_xlpm.w)
)</f>
        <v/>
      </c>
      <c r="CV15" s="93" t="str" cm="1">
        <f t="array" ref="CV15">_xlfn.LET(
  _xlpm.w, CV$11,
  _xlpm.r, MATCH(1,('3. Enter Indicator Scores'!$B$10:$B$161=$B15)*('3. Enter Indicator Scores'!$C$10:$C$161=$C15),0),
  _xlpm.c, MATCH(CV$8,'3. Enter Indicator Scores'!$D$8:$CZ$8,0),
  _xlpm.v, IFERROR(INDEX('3. Enter Indicator Scores'!$D$10:$CZ$161,_xlpm.r,_xlpm.c),""),
  IF(OR(_xlpm.w="",_xlpm.v=""),"",_xlpm.v*_xlpm.w)
)</f>
        <v/>
      </c>
      <c r="CW15" s="93" t="str" cm="1">
        <f t="array" ref="CW15">_xlfn.LET(
  _xlpm.w, CW$11,
  _xlpm.r, MATCH(1,('3. Enter Indicator Scores'!$B$10:$B$161=$B15)*('3. Enter Indicator Scores'!$C$10:$C$161=$C15),0),
  _xlpm.c, MATCH(CW$8,'3. Enter Indicator Scores'!$D$8:$CZ$8,0),
  _xlpm.v, IFERROR(INDEX('3. Enter Indicator Scores'!$D$10:$CZ$161,_xlpm.r,_xlpm.c),""),
  IF(OR(_xlpm.w="",_xlpm.v=""),"",_xlpm.v*_xlpm.w)
)</f>
        <v/>
      </c>
      <c r="CX15" s="93" t="str" cm="1">
        <f t="array" ref="CX15">_xlfn.LET(
  _xlpm.w, CX$11,
  _xlpm.r, MATCH(1,('3. Enter Indicator Scores'!$B$10:$B$161=$B15)*('3. Enter Indicator Scores'!$C$10:$C$161=$C15),0),
  _xlpm.c, MATCH(CX$8,'3. Enter Indicator Scores'!$D$8:$CZ$8,0),
  _xlpm.v, IFERROR(INDEX('3. Enter Indicator Scores'!$D$10:$CZ$161,_xlpm.r,_xlpm.c),""),
  IF(OR(_xlpm.w="",_xlpm.v=""),"",_xlpm.v*_xlpm.w)
)</f>
        <v/>
      </c>
      <c r="CY15" s="93" t="str" cm="1">
        <f t="array" ref="CY15">_xlfn.LET(
  _xlpm.w, CY$11,
  _xlpm.r, MATCH(1,('3. Enter Indicator Scores'!$B$10:$B$161=$B15)*('3. Enter Indicator Scores'!$C$10:$C$161=$C15),0),
  _xlpm.c, MATCH(CY$8,'3. Enter Indicator Scores'!$D$8:$CZ$8,0),
  _xlpm.v, IFERROR(INDEX('3. Enter Indicator Scores'!$D$10:$CZ$161,_xlpm.r,_xlpm.c),""),
  IF(OR(_xlpm.w="",_xlpm.v=""),"",_xlpm.v*_xlpm.w)
)</f>
        <v/>
      </c>
      <c r="CZ15" s="93" t="str" cm="1">
        <f t="array" ref="CZ15">_xlfn.LET(
  _xlpm.w, CZ$11,
  _xlpm.r, MATCH(1,('3. Enter Indicator Scores'!$B$10:$B$161=$B15)*('3. Enter Indicator Scores'!$C$10:$C$161=$C15),0),
  _xlpm.c, MATCH(CZ$8,'3. Enter Indicator Scores'!$D$8:$CZ$8,0),
  _xlpm.v, IFERROR(INDEX('3. Enter Indicator Scores'!$D$10:$CZ$161,_xlpm.r,_xlpm.c),""),
  IF(OR(_xlpm.w="",_xlpm.v=""),"",_xlpm.v*_xlpm.w)
)</f>
        <v/>
      </c>
    </row>
    <row r="16" spans="1:104" x14ac:dyDescent="0.2">
      <c r="D16" s="93" t="str" cm="1">
        <f t="array" ref="D16">_xlfn.LET(
  _xlpm.w, D$11,
  _xlpm.r, MATCH(1,('3. Enter Indicator Scores'!$B$10:$B$161=$B16)*('3. Enter Indicator Scores'!$C$10:$C$161=$C16),0),
  _xlpm.c, MATCH(D$8,'3. Enter Indicator Scores'!$D$8:$CZ$8,0),
  _xlpm.v, IFERROR(INDEX('3. Enter Indicator Scores'!$D$10:$CZ$161,_xlpm.r,_xlpm.c),""),
  IF(OR(_xlpm.w="",_xlpm.v=""),"",_xlpm.v*_xlpm.w)
)</f>
        <v/>
      </c>
      <c r="E16" s="93" t="str" cm="1">
        <f t="array" ref="E16">_xlfn.LET(
  _xlpm.w, E$11,
  _xlpm.r, MATCH(1,('3. Enter Indicator Scores'!$B$10:$B$161=$B16)*('3. Enter Indicator Scores'!$C$10:$C$161=$C16),0),
  _xlpm.c, MATCH(E$8,'3. Enter Indicator Scores'!$D$8:$CZ$8,0),
  _xlpm.v, IFERROR(INDEX('3. Enter Indicator Scores'!$D$10:$CZ$161,_xlpm.r,_xlpm.c),""),
  IF(OR(_xlpm.w="",_xlpm.v=""),"",_xlpm.v*_xlpm.w)
)</f>
        <v/>
      </c>
      <c r="F16" s="93" t="str" cm="1">
        <f t="array" ref="F16">_xlfn.LET(
  _xlpm.w, F$11,
  _xlpm.r, MATCH(1,('3. Enter Indicator Scores'!$B$10:$B$161=$B16)*('3. Enter Indicator Scores'!$C$10:$C$161=$C16),0),
  _xlpm.c, MATCH(F$8,'3. Enter Indicator Scores'!$D$8:$CZ$8,0),
  _xlpm.v, IFERROR(INDEX('3. Enter Indicator Scores'!$D$10:$CZ$161,_xlpm.r,_xlpm.c),""),
  IF(OR(_xlpm.w="",_xlpm.v=""),"",_xlpm.v*_xlpm.w)
)</f>
        <v/>
      </c>
      <c r="G16" s="93" t="str" cm="1">
        <f t="array" ref="G16">_xlfn.LET(
  _xlpm.w, G$11,
  _xlpm.r, MATCH(1,('3. Enter Indicator Scores'!$B$10:$B$161=$B16)*('3. Enter Indicator Scores'!$C$10:$C$161=$C16),0),
  _xlpm.c, MATCH(G$8,'3. Enter Indicator Scores'!$D$8:$CZ$8,0),
  _xlpm.v, IFERROR(INDEX('3. Enter Indicator Scores'!$D$10:$CZ$161,_xlpm.r,_xlpm.c),""),
  IF(OR(_xlpm.w="",_xlpm.v=""),"",_xlpm.v*_xlpm.w)
)</f>
        <v/>
      </c>
      <c r="H16" s="93" t="str" cm="1">
        <f t="array" ref="H16">_xlfn.LET(
  _xlpm.w, H$11,
  _xlpm.r, MATCH(1,('3. Enter Indicator Scores'!$B$10:$B$161=$B16)*('3. Enter Indicator Scores'!$C$10:$C$161=$C16),0),
  _xlpm.c, MATCH(H$8,'3. Enter Indicator Scores'!$D$8:$CZ$8,0),
  _xlpm.v, IFERROR(INDEX('3. Enter Indicator Scores'!$D$10:$CZ$161,_xlpm.r,_xlpm.c),""),
  IF(OR(_xlpm.w="",_xlpm.v=""),"",_xlpm.v*_xlpm.w)
)</f>
        <v/>
      </c>
      <c r="I16" s="93" t="str" cm="1">
        <f t="array" ref="I16">_xlfn.LET(
  _xlpm.w, I$11,
  _xlpm.r, MATCH(1,('3. Enter Indicator Scores'!$B$10:$B$161=$B16)*('3. Enter Indicator Scores'!$C$10:$C$161=$C16),0),
  _xlpm.c, MATCH(I$8,'3. Enter Indicator Scores'!$D$8:$CZ$8,0),
  _xlpm.v, IFERROR(INDEX('3. Enter Indicator Scores'!$D$10:$CZ$161,_xlpm.r,_xlpm.c),""),
  IF(OR(_xlpm.w="",_xlpm.v=""),"",_xlpm.v*_xlpm.w)
)</f>
        <v/>
      </c>
      <c r="J16" s="93" t="str" cm="1">
        <f t="array" ref="J16">_xlfn.LET(
  _xlpm.w, J$11,
  _xlpm.r, MATCH(1,('3. Enter Indicator Scores'!$B$10:$B$161=$B16)*('3. Enter Indicator Scores'!$C$10:$C$161=$C16),0),
  _xlpm.c, MATCH(J$8,'3. Enter Indicator Scores'!$D$8:$CZ$8,0),
  _xlpm.v, IFERROR(INDEX('3. Enter Indicator Scores'!$D$10:$CZ$161,_xlpm.r,_xlpm.c),""),
  IF(OR(_xlpm.w="",_xlpm.v=""),"",_xlpm.v*_xlpm.w)
)</f>
        <v/>
      </c>
      <c r="K16" s="93" t="str" cm="1">
        <f t="array" ref="K16">_xlfn.LET(
  _xlpm.w, K$11,
  _xlpm.r, MATCH(1,('3. Enter Indicator Scores'!$B$10:$B$161=$B16)*('3. Enter Indicator Scores'!$C$10:$C$161=$C16),0),
  _xlpm.c, MATCH(K$8,'3. Enter Indicator Scores'!$D$8:$CZ$8,0),
  _xlpm.v, IFERROR(INDEX('3. Enter Indicator Scores'!$D$10:$CZ$161,_xlpm.r,_xlpm.c),""),
  IF(OR(_xlpm.w="",_xlpm.v=""),"",_xlpm.v*_xlpm.w)
)</f>
        <v/>
      </c>
      <c r="L16" s="93" t="str" cm="1">
        <f t="array" ref="L16">_xlfn.LET(
  _xlpm.w, L$11,
  _xlpm.r, MATCH(1,('3. Enter Indicator Scores'!$B$10:$B$161=$B16)*('3. Enter Indicator Scores'!$C$10:$C$161=$C16),0),
  _xlpm.c, MATCH(L$8,'3. Enter Indicator Scores'!$D$8:$CZ$8,0),
  _xlpm.v, IFERROR(INDEX('3. Enter Indicator Scores'!$D$10:$CZ$161,_xlpm.r,_xlpm.c),""),
  IF(OR(_xlpm.w="",_xlpm.v=""),"",_xlpm.v*_xlpm.w)
)</f>
        <v/>
      </c>
      <c r="M16" s="93" t="str" cm="1">
        <f t="array" ref="M16">_xlfn.LET(
  _xlpm.w, M$11,
  _xlpm.r, MATCH(1,('3. Enter Indicator Scores'!$B$10:$B$161=$B16)*('3. Enter Indicator Scores'!$C$10:$C$161=$C16),0),
  _xlpm.c, MATCH(M$8,'3. Enter Indicator Scores'!$D$8:$CZ$8,0),
  _xlpm.v, IFERROR(INDEX('3. Enter Indicator Scores'!$D$10:$CZ$161,_xlpm.r,_xlpm.c),""),
  IF(OR(_xlpm.w="",_xlpm.v=""),"",_xlpm.v*_xlpm.w)
)</f>
        <v/>
      </c>
      <c r="N16" s="93" t="str" cm="1">
        <f t="array" ref="N16">_xlfn.LET(
  _xlpm.w, N$11,
  _xlpm.r, MATCH(1,('3. Enter Indicator Scores'!$B$10:$B$161=$B16)*('3. Enter Indicator Scores'!$C$10:$C$161=$C16),0),
  _xlpm.c, MATCH(N$8,'3. Enter Indicator Scores'!$D$8:$CZ$8,0),
  _xlpm.v, IFERROR(INDEX('3. Enter Indicator Scores'!$D$10:$CZ$161,_xlpm.r,_xlpm.c),""),
  IF(OR(_xlpm.w="",_xlpm.v=""),"",_xlpm.v*_xlpm.w)
)</f>
        <v/>
      </c>
      <c r="O16" s="93" t="str" cm="1">
        <f t="array" ref="O16">_xlfn.LET(
  _xlpm.w, O$11,
  _xlpm.r, MATCH(1,('3. Enter Indicator Scores'!$B$10:$B$161=$B16)*('3. Enter Indicator Scores'!$C$10:$C$161=$C16),0),
  _xlpm.c, MATCH(O$8,'3. Enter Indicator Scores'!$D$8:$CZ$8,0),
  _xlpm.v, IFERROR(INDEX('3. Enter Indicator Scores'!$D$10:$CZ$161,_xlpm.r,_xlpm.c),""),
  IF(OR(_xlpm.w="",_xlpm.v=""),"",_xlpm.v*_xlpm.w)
)</f>
        <v/>
      </c>
      <c r="P16" s="93" t="str" cm="1">
        <f t="array" ref="P16">_xlfn.LET(
  _xlpm.w, P$11,
  _xlpm.r, MATCH(1,('3. Enter Indicator Scores'!$B$10:$B$161=$B16)*('3. Enter Indicator Scores'!$C$10:$C$161=$C16),0),
  _xlpm.c, MATCH(P$8,'3. Enter Indicator Scores'!$D$8:$CZ$8,0),
  _xlpm.v, IFERROR(INDEX('3. Enter Indicator Scores'!$D$10:$CZ$161,_xlpm.r,_xlpm.c),""),
  IF(OR(_xlpm.w="",_xlpm.v=""),"",_xlpm.v*_xlpm.w)
)</f>
        <v/>
      </c>
      <c r="Q16" s="93" t="str" cm="1">
        <f t="array" ref="Q16">_xlfn.LET(
  _xlpm.w, Q$11,
  _xlpm.r, MATCH(1,('3. Enter Indicator Scores'!$B$10:$B$161=$B16)*('3. Enter Indicator Scores'!$C$10:$C$161=$C16),0),
  _xlpm.c, MATCH(Q$8,'3. Enter Indicator Scores'!$D$8:$CZ$8,0),
  _xlpm.v, IFERROR(INDEX('3. Enter Indicator Scores'!$D$10:$CZ$161,_xlpm.r,_xlpm.c),""),
  IF(OR(_xlpm.w="",_xlpm.v=""),"",_xlpm.v*_xlpm.w)
)</f>
        <v/>
      </c>
      <c r="R16" s="93" t="str" cm="1">
        <f t="array" ref="R16">_xlfn.LET(
  _xlpm.w, R$11,
  _xlpm.r, MATCH(1,('3. Enter Indicator Scores'!$B$10:$B$161=$B16)*('3. Enter Indicator Scores'!$C$10:$C$161=$C16),0),
  _xlpm.c, MATCH(R$8,'3. Enter Indicator Scores'!$D$8:$CZ$8,0),
  _xlpm.v, IFERROR(INDEX('3. Enter Indicator Scores'!$D$10:$CZ$161,_xlpm.r,_xlpm.c),""),
  IF(OR(_xlpm.w="",_xlpm.v=""),"",_xlpm.v*_xlpm.w)
)</f>
        <v/>
      </c>
      <c r="S16" s="93" t="str" cm="1">
        <f t="array" ref="S16">_xlfn.LET(
  _xlpm.w, S$11,
  _xlpm.r, MATCH(1,('3. Enter Indicator Scores'!$B$10:$B$161=$B16)*('3. Enter Indicator Scores'!$C$10:$C$161=$C16),0),
  _xlpm.c, MATCH(S$8,'3. Enter Indicator Scores'!$D$8:$CZ$8,0),
  _xlpm.v, IFERROR(INDEX('3. Enter Indicator Scores'!$D$10:$CZ$161,_xlpm.r,_xlpm.c),""),
  IF(OR(_xlpm.w="",_xlpm.v=""),"",_xlpm.v*_xlpm.w)
)</f>
        <v/>
      </c>
      <c r="T16" s="93" t="str" cm="1">
        <f t="array" ref="T16">_xlfn.LET(
  _xlpm.w, T$11,
  _xlpm.r, MATCH(1,('3. Enter Indicator Scores'!$B$10:$B$161=$B16)*('3. Enter Indicator Scores'!$C$10:$C$161=$C16),0),
  _xlpm.c, MATCH(T$8,'3. Enter Indicator Scores'!$D$8:$CZ$8,0),
  _xlpm.v, IFERROR(INDEX('3. Enter Indicator Scores'!$D$10:$CZ$161,_xlpm.r,_xlpm.c),""),
  IF(OR(_xlpm.w="",_xlpm.v=""),"",_xlpm.v*_xlpm.w)
)</f>
        <v/>
      </c>
      <c r="U16" s="93" t="str" cm="1">
        <f t="array" ref="U16">_xlfn.LET(
  _xlpm.w, U$11,
  _xlpm.r, MATCH(1,('3. Enter Indicator Scores'!$B$10:$B$161=$B16)*('3. Enter Indicator Scores'!$C$10:$C$161=$C16),0),
  _xlpm.c, MATCH(U$8,'3. Enter Indicator Scores'!$D$8:$CZ$8,0),
  _xlpm.v, IFERROR(INDEX('3. Enter Indicator Scores'!$D$10:$CZ$161,_xlpm.r,_xlpm.c),""),
  IF(OR(_xlpm.w="",_xlpm.v=""),"",_xlpm.v*_xlpm.w)
)</f>
        <v/>
      </c>
      <c r="V16" s="93" t="str" cm="1">
        <f t="array" ref="V16">_xlfn.LET(
  _xlpm.w, V$11,
  _xlpm.r, MATCH(1,('3. Enter Indicator Scores'!$B$10:$B$161=$B16)*('3. Enter Indicator Scores'!$C$10:$C$161=$C16),0),
  _xlpm.c, MATCH(V$8,'3. Enter Indicator Scores'!$D$8:$CZ$8,0),
  _xlpm.v, IFERROR(INDEX('3. Enter Indicator Scores'!$D$10:$CZ$161,_xlpm.r,_xlpm.c),""),
  IF(OR(_xlpm.w="",_xlpm.v=""),"",_xlpm.v*_xlpm.w)
)</f>
        <v/>
      </c>
      <c r="W16" s="93" t="str" cm="1">
        <f t="array" ref="W16">_xlfn.LET(
  _xlpm.w, W$11,
  _xlpm.r, MATCH(1,('3. Enter Indicator Scores'!$B$10:$B$161=$B16)*('3. Enter Indicator Scores'!$C$10:$C$161=$C16),0),
  _xlpm.c, MATCH(W$8,'3. Enter Indicator Scores'!$D$8:$CZ$8,0),
  _xlpm.v, IFERROR(INDEX('3. Enter Indicator Scores'!$D$10:$CZ$161,_xlpm.r,_xlpm.c),""),
  IF(OR(_xlpm.w="",_xlpm.v=""),"",_xlpm.v*_xlpm.w)
)</f>
        <v/>
      </c>
      <c r="X16" s="93" t="str" cm="1">
        <f t="array" ref="X16">_xlfn.LET(
  _xlpm.w, X$11,
  _xlpm.r, MATCH(1,('3. Enter Indicator Scores'!$B$10:$B$161=$B16)*('3. Enter Indicator Scores'!$C$10:$C$161=$C16),0),
  _xlpm.c, MATCH(X$8,'3. Enter Indicator Scores'!$D$8:$CZ$8,0),
  _xlpm.v, IFERROR(INDEX('3. Enter Indicator Scores'!$D$10:$CZ$161,_xlpm.r,_xlpm.c),""),
  IF(OR(_xlpm.w="",_xlpm.v=""),"",_xlpm.v*_xlpm.w)
)</f>
        <v/>
      </c>
      <c r="Y16" s="93" t="str" cm="1">
        <f t="array" ref="Y16">_xlfn.LET(
  _xlpm.w, Y$11,
  _xlpm.r, MATCH(1,('3. Enter Indicator Scores'!$B$10:$B$161=$B16)*('3. Enter Indicator Scores'!$C$10:$C$161=$C16),0),
  _xlpm.c, MATCH(Y$8,'3. Enter Indicator Scores'!$D$8:$CZ$8,0),
  _xlpm.v, IFERROR(INDEX('3. Enter Indicator Scores'!$D$10:$CZ$161,_xlpm.r,_xlpm.c),""),
  IF(OR(_xlpm.w="",_xlpm.v=""),"",_xlpm.v*_xlpm.w)
)</f>
        <v/>
      </c>
      <c r="Z16" s="93" t="str" cm="1">
        <f t="array" ref="Z16">_xlfn.LET(
  _xlpm.w, Z$11,
  _xlpm.r, MATCH(1,('3. Enter Indicator Scores'!$B$10:$B$161=$B16)*('3. Enter Indicator Scores'!$C$10:$C$161=$C16),0),
  _xlpm.c, MATCH(Z$8,'3. Enter Indicator Scores'!$D$8:$CZ$8,0),
  _xlpm.v, IFERROR(INDEX('3. Enter Indicator Scores'!$D$10:$CZ$161,_xlpm.r,_xlpm.c),""),
  IF(OR(_xlpm.w="",_xlpm.v=""),"",_xlpm.v*_xlpm.w)
)</f>
        <v/>
      </c>
      <c r="AA16" s="93" t="str" cm="1">
        <f t="array" ref="AA16">_xlfn.LET(
  _xlpm.w, AA$11,
  _xlpm.r, MATCH(1,('3. Enter Indicator Scores'!$B$10:$B$161=$B16)*('3. Enter Indicator Scores'!$C$10:$C$161=$C16),0),
  _xlpm.c, MATCH(AA$8,'3. Enter Indicator Scores'!$D$8:$CZ$8,0),
  _xlpm.v, IFERROR(INDEX('3. Enter Indicator Scores'!$D$10:$CZ$161,_xlpm.r,_xlpm.c),""),
  IF(OR(_xlpm.w="",_xlpm.v=""),"",_xlpm.v*_xlpm.w)
)</f>
        <v/>
      </c>
      <c r="AB16" s="93" t="str" cm="1">
        <f t="array" ref="AB16">_xlfn.LET(
  _xlpm.w, AB$11,
  _xlpm.r, MATCH(1,('3. Enter Indicator Scores'!$B$10:$B$161=$B16)*('3. Enter Indicator Scores'!$C$10:$C$161=$C16),0),
  _xlpm.c, MATCH(AB$8,'3. Enter Indicator Scores'!$D$8:$CZ$8,0),
  _xlpm.v, IFERROR(INDEX('3. Enter Indicator Scores'!$D$10:$CZ$161,_xlpm.r,_xlpm.c),""),
  IF(OR(_xlpm.w="",_xlpm.v=""),"",_xlpm.v*_xlpm.w)
)</f>
        <v/>
      </c>
      <c r="AC16" s="93" t="str" cm="1">
        <f t="array" ref="AC16">_xlfn.LET(
  _xlpm.w, AC$11,
  _xlpm.r, MATCH(1,('3. Enter Indicator Scores'!$B$10:$B$161=$B16)*('3. Enter Indicator Scores'!$C$10:$C$161=$C16),0),
  _xlpm.c, MATCH(AC$8,'3. Enter Indicator Scores'!$D$8:$CZ$8,0),
  _xlpm.v, IFERROR(INDEX('3. Enter Indicator Scores'!$D$10:$CZ$161,_xlpm.r,_xlpm.c),""),
  IF(OR(_xlpm.w="",_xlpm.v=""),"",_xlpm.v*_xlpm.w)
)</f>
        <v/>
      </c>
      <c r="AD16" s="93" t="str" cm="1">
        <f t="array" ref="AD16">_xlfn.LET(
  _xlpm.w, AD$11,
  _xlpm.r, MATCH(1,('3. Enter Indicator Scores'!$B$10:$B$161=$B16)*('3. Enter Indicator Scores'!$C$10:$C$161=$C16),0),
  _xlpm.c, MATCH(AD$8,'3. Enter Indicator Scores'!$D$8:$CZ$8,0),
  _xlpm.v, IFERROR(INDEX('3. Enter Indicator Scores'!$D$10:$CZ$161,_xlpm.r,_xlpm.c),""),
  IF(OR(_xlpm.w="",_xlpm.v=""),"",_xlpm.v*_xlpm.w)
)</f>
        <v/>
      </c>
      <c r="AE16" s="93" t="str" cm="1">
        <f t="array" ref="AE16">_xlfn.LET(
  _xlpm.w, AE$11,
  _xlpm.r, MATCH(1,('3. Enter Indicator Scores'!$B$10:$B$161=$B16)*('3. Enter Indicator Scores'!$C$10:$C$161=$C16),0),
  _xlpm.c, MATCH(AE$8,'3. Enter Indicator Scores'!$D$8:$CZ$8,0),
  _xlpm.v, IFERROR(INDEX('3. Enter Indicator Scores'!$D$10:$CZ$161,_xlpm.r,_xlpm.c),""),
  IF(OR(_xlpm.w="",_xlpm.v=""),"",_xlpm.v*_xlpm.w)
)</f>
        <v/>
      </c>
      <c r="AF16" s="93" t="str" cm="1">
        <f t="array" ref="AF16">_xlfn.LET(
  _xlpm.w, AF$11,
  _xlpm.r, MATCH(1,('3. Enter Indicator Scores'!$B$10:$B$161=$B16)*('3. Enter Indicator Scores'!$C$10:$C$161=$C16),0),
  _xlpm.c, MATCH(AF$8,'3. Enter Indicator Scores'!$D$8:$CZ$8,0),
  _xlpm.v, IFERROR(INDEX('3. Enter Indicator Scores'!$D$10:$CZ$161,_xlpm.r,_xlpm.c),""),
  IF(OR(_xlpm.w="",_xlpm.v=""),"",_xlpm.v*_xlpm.w)
)</f>
        <v/>
      </c>
      <c r="AG16" s="93" t="str" cm="1">
        <f t="array" ref="AG16">_xlfn.LET(
  _xlpm.w, AG$11,
  _xlpm.r, MATCH(1,('3. Enter Indicator Scores'!$B$10:$B$161=$B16)*('3. Enter Indicator Scores'!$C$10:$C$161=$C16),0),
  _xlpm.c, MATCH(AG$8,'3. Enter Indicator Scores'!$D$8:$CZ$8,0),
  _xlpm.v, IFERROR(INDEX('3. Enter Indicator Scores'!$D$10:$CZ$161,_xlpm.r,_xlpm.c),""),
  IF(OR(_xlpm.w="",_xlpm.v=""),"",_xlpm.v*_xlpm.w)
)</f>
        <v/>
      </c>
      <c r="AH16" s="93" t="str" cm="1">
        <f t="array" ref="AH16">_xlfn.LET(
  _xlpm.w, AH$11,
  _xlpm.r, MATCH(1,('3. Enter Indicator Scores'!$B$10:$B$161=$B16)*('3. Enter Indicator Scores'!$C$10:$C$161=$C16),0),
  _xlpm.c, MATCH(AH$8,'3. Enter Indicator Scores'!$D$8:$CZ$8,0),
  _xlpm.v, IFERROR(INDEX('3. Enter Indicator Scores'!$D$10:$CZ$161,_xlpm.r,_xlpm.c),""),
  IF(OR(_xlpm.w="",_xlpm.v=""),"",_xlpm.v*_xlpm.w)
)</f>
        <v/>
      </c>
      <c r="AI16" s="93" t="str" cm="1">
        <f t="array" ref="AI16">_xlfn.LET(
  _xlpm.w, AI$11,
  _xlpm.r, MATCH(1,('3. Enter Indicator Scores'!$B$10:$B$161=$B16)*('3. Enter Indicator Scores'!$C$10:$C$161=$C16),0),
  _xlpm.c, MATCH(AI$8,'3. Enter Indicator Scores'!$D$8:$CZ$8,0),
  _xlpm.v, IFERROR(INDEX('3. Enter Indicator Scores'!$D$10:$CZ$161,_xlpm.r,_xlpm.c),""),
  IF(OR(_xlpm.w="",_xlpm.v=""),"",_xlpm.v*_xlpm.w)
)</f>
        <v/>
      </c>
      <c r="AJ16" s="93" t="str" cm="1">
        <f t="array" ref="AJ16">_xlfn.LET(
  _xlpm.w, AJ$11,
  _xlpm.r, MATCH(1,('3. Enter Indicator Scores'!$B$10:$B$161=$B16)*('3. Enter Indicator Scores'!$C$10:$C$161=$C16),0),
  _xlpm.c, MATCH(AJ$8,'3. Enter Indicator Scores'!$D$8:$CZ$8,0),
  _xlpm.v, IFERROR(INDEX('3. Enter Indicator Scores'!$D$10:$CZ$161,_xlpm.r,_xlpm.c),""),
  IF(OR(_xlpm.w="",_xlpm.v=""),"",_xlpm.v*_xlpm.w)
)</f>
        <v/>
      </c>
      <c r="AK16" s="93" t="str" cm="1">
        <f t="array" ref="AK16">_xlfn.LET(
  _xlpm.w, AK$11,
  _xlpm.r, MATCH(1,('3. Enter Indicator Scores'!$B$10:$B$161=$B16)*('3. Enter Indicator Scores'!$C$10:$C$161=$C16),0),
  _xlpm.c, MATCH(AK$8,'3. Enter Indicator Scores'!$D$8:$CZ$8,0),
  _xlpm.v, IFERROR(INDEX('3. Enter Indicator Scores'!$D$10:$CZ$161,_xlpm.r,_xlpm.c),""),
  IF(OR(_xlpm.w="",_xlpm.v=""),"",_xlpm.v*_xlpm.w)
)</f>
        <v/>
      </c>
      <c r="AL16" s="93" t="str" cm="1">
        <f t="array" ref="AL16">_xlfn.LET(
  _xlpm.w, AL$11,
  _xlpm.r, MATCH(1,('3. Enter Indicator Scores'!$B$10:$B$161=$B16)*('3. Enter Indicator Scores'!$C$10:$C$161=$C16),0),
  _xlpm.c, MATCH(AL$8,'3. Enter Indicator Scores'!$D$8:$CZ$8,0),
  _xlpm.v, IFERROR(INDEX('3. Enter Indicator Scores'!$D$10:$CZ$161,_xlpm.r,_xlpm.c),""),
  IF(OR(_xlpm.w="",_xlpm.v=""),"",_xlpm.v*_xlpm.w)
)</f>
        <v/>
      </c>
      <c r="AM16" s="93" t="str" cm="1">
        <f t="array" ref="AM16">_xlfn.LET(
  _xlpm.w, AM$11,
  _xlpm.r, MATCH(1,('3. Enter Indicator Scores'!$B$10:$B$161=$B16)*('3. Enter Indicator Scores'!$C$10:$C$161=$C16),0),
  _xlpm.c, MATCH(AM$8,'3. Enter Indicator Scores'!$D$8:$CZ$8,0),
  _xlpm.v, IFERROR(INDEX('3. Enter Indicator Scores'!$D$10:$CZ$161,_xlpm.r,_xlpm.c),""),
  IF(OR(_xlpm.w="",_xlpm.v=""),"",_xlpm.v*_xlpm.w)
)</f>
        <v/>
      </c>
      <c r="AN16" s="93" t="str" cm="1">
        <f t="array" ref="AN16">_xlfn.LET(
  _xlpm.w, AN$11,
  _xlpm.r, MATCH(1,('3. Enter Indicator Scores'!$B$10:$B$161=$B16)*('3. Enter Indicator Scores'!$C$10:$C$161=$C16),0),
  _xlpm.c, MATCH(AN$8,'3. Enter Indicator Scores'!$D$8:$CZ$8,0),
  _xlpm.v, IFERROR(INDEX('3. Enter Indicator Scores'!$D$10:$CZ$161,_xlpm.r,_xlpm.c),""),
  IF(OR(_xlpm.w="",_xlpm.v=""),"",_xlpm.v*_xlpm.w)
)</f>
        <v/>
      </c>
      <c r="AO16" s="93" t="str" cm="1">
        <f t="array" ref="AO16">_xlfn.LET(
  _xlpm.w, AO$11,
  _xlpm.r, MATCH(1,('3. Enter Indicator Scores'!$B$10:$B$161=$B16)*('3. Enter Indicator Scores'!$C$10:$C$161=$C16),0),
  _xlpm.c, MATCH(AO$8,'3. Enter Indicator Scores'!$D$8:$CZ$8,0),
  _xlpm.v, IFERROR(INDEX('3. Enter Indicator Scores'!$D$10:$CZ$161,_xlpm.r,_xlpm.c),""),
  IF(OR(_xlpm.w="",_xlpm.v=""),"",_xlpm.v*_xlpm.w)
)</f>
        <v/>
      </c>
      <c r="AP16" s="93" t="str" cm="1">
        <f t="array" ref="AP16">_xlfn.LET(
  _xlpm.w, AP$11,
  _xlpm.r, MATCH(1,('3. Enter Indicator Scores'!$B$10:$B$161=$B16)*('3. Enter Indicator Scores'!$C$10:$C$161=$C16),0),
  _xlpm.c, MATCH(AP$8,'3. Enter Indicator Scores'!$D$8:$CZ$8,0),
  _xlpm.v, IFERROR(INDEX('3. Enter Indicator Scores'!$D$10:$CZ$161,_xlpm.r,_xlpm.c),""),
  IF(OR(_xlpm.w="",_xlpm.v=""),"",_xlpm.v*_xlpm.w)
)</f>
        <v/>
      </c>
      <c r="AQ16" s="93" t="str" cm="1">
        <f t="array" ref="AQ16">_xlfn.LET(
  _xlpm.w, AQ$11,
  _xlpm.r, MATCH(1,('3. Enter Indicator Scores'!$B$10:$B$161=$B16)*('3. Enter Indicator Scores'!$C$10:$C$161=$C16),0),
  _xlpm.c, MATCH(AQ$8,'3. Enter Indicator Scores'!$D$8:$CZ$8,0),
  _xlpm.v, IFERROR(INDEX('3. Enter Indicator Scores'!$D$10:$CZ$161,_xlpm.r,_xlpm.c),""),
  IF(OR(_xlpm.w="",_xlpm.v=""),"",_xlpm.v*_xlpm.w)
)</f>
        <v/>
      </c>
      <c r="AR16" s="93" t="str" cm="1">
        <f t="array" ref="AR16">_xlfn.LET(
  _xlpm.w, AR$11,
  _xlpm.r, MATCH(1,('3. Enter Indicator Scores'!$B$10:$B$161=$B16)*('3. Enter Indicator Scores'!$C$10:$C$161=$C16),0),
  _xlpm.c, MATCH(AR$8,'3. Enter Indicator Scores'!$D$8:$CZ$8,0),
  _xlpm.v, IFERROR(INDEX('3. Enter Indicator Scores'!$D$10:$CZ$161,_xlpm.r,_xlpm.c),""),
  IF(OR(_xlpm.w="",_xlpm.v=""),"",_xlpm.v*_xlpm.w)
)</f>
        <v/>
      </c>
      <c r="AS16" s="93" t="str" cm="1">
        <f t="array" ref="AS16">_xlfn.LET(
  _xlpm.w, AS$11,
  _xlpm.r, MATCH(1,('3. Enter Indicator Scores'!$B$10:$B$161=$B16)*('3. Enter Indicator Scores'!$C$10:$C$161=$C16),0),
  _xlpm.c, MATCH(AS$8,'3. Enter Indicator Scores'!$D$8:$CZ$8,0),
  _xlpm.v, IFERROR(INDEX('3. Enter Indicator Scores'!$D$10:$CZ$161,_xlpm.r,_xlpm.c),""),
  IF(OR(_xlpm.w="",_xlpm.v=""),"",_xlpm.v*_xlpm.w)
)</f>
        <v/>
      </c>
      <c r="AT16" s="93" t="str" cm="1">
        <f t="array" ref="AT16">_xlfn.LET(
  _xlpm.w, AT$11,
  _xlpm.r, MATCH(1,('3. Enter Indicator Scores'!$B$10:$B$161=$B16)*('3. Enter Indicator Scores'!$C$10:$C$161=$C16),0),
  _xlpm.c, MATCH(AT$8,'3. Enter Indicator Scores'!$D$8:$CZ$8,0),
  _xlpm.v, IFERROR(INDEX('3. Enter Indicator Scores'!$D$10:$CZ$161,_xlpm.r,_xlpm.c),""),
  IF(OR(_xlpm.w="",_xlpm.v=""),"",_xlpm.v*_xlpm.w)
)</f>
        <v/>
      </c>
      <c r="AU16" s="93" t="str" cm="1">
        <f t="array" ref="AU16">_xlfn.LET(
  _xlpm.w, AU$11,
  _xlpm.r, MATCH(1,('3. Enter Indicator Scores'!$B$10:$B$161=$B16)*('3. Enter Indicator Scores'!$C$10:$C$161=$C16),0),
  _xlpm.c, MATCH(AU$8,'3. Enter Indicator Scores'!$D$8:$CZ$8,0),
  _xlpm.v, IFERROR(INDEX('3. Enter Indicator Scores'!$D$10:$CZ$161,_xlpm.r,_xlpm.c),""),
  IF(OR(_xlpm.w="",_xlpm.v=""),"",_xlpm.v*_xlpm.w)
)</f>
        <v/>
      </c>
      <c r="AV16" s="93" t="str" cm="1">
        <f t="array" ref="AV16">_xlfn.LET(
  _xlpm.w, AV$11,
  _xlpm.r, MATCH(1,('3. Enter Indicator Scores'!$B$10:$B$161=$B16)*('3. Enter Indicator Scores'!$C$10:$C$161=$C16),0),
  _xlpm.c, MATCH(AV$8,'3. Enter Indicator Scores'!$D$8:$CZ$8,0),
  _xlpm.v, IFERROR(INDEX('3. Enter Indicator Scores'!$D$10:$CZ$161,_xlpm.r,_xlpm.c),""),
  IF(OR(_xlpm.w="",_xlpm.v=""),"",_xlpm.v*_xlpm.w)
)</f>
        <v/>
      </c>
      <c r="AW16" s="93" t="str" cm="1">
        <f t="array" ref="AW16">_xlfn.LET(
  _xlpm.w, AW$11,
  _xlpm.r, MATCH(1,('3. Enter Indicator Scores'!$B$10:$B$161=$B16)*('3. Enter Indicator Scores'!$C$10:$C$161=$C16),0),
  _xlpm.c, MATCH(AW$8,'3. Enter Indicator Scores'!$D$8:$CZ$8,0),
  _xlpm.v, IFERROR(INDEX('3. Enter Indicator Scores'!$D$10:$CZ$161,_xlpm.r,_xlpm.c),""),
  IF(OR(_xlpm.w="",_xlpm.v=""),"",_xlpm.v*_xlpm.w)
)</f>
        <v/>
      </c>
      <c r="AX16" s="93" t="str" cm="1">
        <f t="array" ref="AX16">_xlfn.LET(
  _xlpm.w, AX$11,
  _xlpm.r, MATCH(1,('3. Enter Indicator Scores'!$B$10:$B$161=$B16)*('3. Enter Indicator Scores'!$C$10:$C$161=$C16),0),
  _xlpm.c, MATCH(AX$8,'3. Enter Indicator Scores'!$D$8:$CZ$8,0),
  _xlpm.v, IFERROR(INDEX('3. Enter Indicator Scores'!$D$10:$CZ$161,_xlpm.r,_xlpm.c),""),
  IF(OR(_xlpm.w="",_xlpm.v=""),"",_xlpm.v*_xlpm.w)
)</f>
        <v/>
      </c>
      <c r="AY16" s="93" t="str" cm="1">
        <f t="array" ref="AY16">_xlfn.LET(
  _xlpm.w, AY$11,
  _xlpm.r, MATCH(1,('3. Enter Indicator Scores'!$B$10:$B$161=$B16)*('3. Enter Indicator Scores'!$C$10:$C$161=$C16),0),
  _xlpm.c, MATCH(AY$8,'3. Enter Indicator Scores'!$D$8:$CZ$8,0),
  _xlpm.v, IFERROR(INDEX('3. Enter Indicator Scores'!$D$10:$CZ$161,_xlpm.r,_xlpm.c),""),
  IF(OR(_xlpm.w="",_xlpm.v=""),"",_xlpm.v*_xlpm.w)
)</f>
        <v/>
      </c>
      <c r="AZ16" s="93" t="str" cm="1">
        <f t="array" ref="AZ16">_xlfn.LET(
  _xlpm.w, AZ$11,
  _xlpm.r, MATCH(1,('3. Enter Indicator Scores'!$B$10:$B$161=$B16)*('3. Enter Indicator Scores'!$C$10:$C$161=$C16),0),
  _xlpm.c, MATCH(AZ$8,'3. Enter Indicator Scores'!$D$8:$CZ$8,0),
  _xlpm.v, IFERROR(INDEX('3. Enter Indicator Scores'!$D$10:$CZ$161,_xlpm.r,_xlpm.c),""),
  IF(OR(_xlpm.w="",_xlpm.v=""),"",_xlpm.v*_xlpm.w)
)</f>
        <v/>
      </c>
      <c r="BA16" s="93" t="str" cm="1">
        <f t="array" ref="BA16">_xlfn.LET(
  _xlpm.w, BA$11,
  _xlpm.r, MATCH(1,('3. Enter Indicator Scores'!$B$10:$B$161=$B16)*('3. Enter Indicator Scores'!$C$10:$C$161=$C16),0),
  _xlpm.c, MATCH(BA$8,'3. Enter Indicator Scores'!$D$8:$CZ$8,0),
  _xlpm.v, IFERROR(INDEX('3. Enter Indicator Scores'!$D$10:$CZ$161,_xlpm.r,_xlpm.c),""),
  IF(OR(_xlpm.w="",_xlpm.v=""),"",_xlpm.v*_xlpm.w)
)</f>
        <v/>
      </c>
      <c r="BB16" s="93" t="str" cm="1">
        <f t="array" ref="BB16">_xlfn.LET(
  _xlpm.w, BB$11,
  _xlpm.r, MATCH(1,('3. Enter Indicator Scores'!$B$10:$B$161=$B16)*('3. Enter Indicator Scores'!$C$10:$C$161=$C16),0),
  _xlpm.c, MATCH(BB$8,'3. Enter Indicator Scores'!$D$8:$CZ$8,0),
  _xlpm.v, IFERROR(INDEX('3. Enter Indicator Scores'!$D$10:$CZ$161,_xlpm.r,_xlpm.c),""),
  IF(OR(_xlpm.w="",_xlpm.v=""),"",_xlpm.v*_xlpm.w)
)</f>
        <v/>
      </c>
      <c r="BC16" s="93" t="str" cm="1">
        <f t="array" ref="BC16">_xlfn.LET(
  _xlpm.w, BC$11,
  _xlpm.r, MATCH(1,('3. Enter Indicator Scores'!$B$10:$B$161=$B16)*('3. Enter Indicator Scores'!$C$10:$C$161=$C16),0),
  _xlpm.c, MATCH(BC$8,'3. Enter Indicator Scores'!$D$8:$CZ$8,0),
  _xlpm.v, IFERROR(INDEX('3. Enter Indicator Scores'!$D$10:$CZ$161,_xlpm.r,_xlpm.c),""),
  IF(OR(_xlpm.w="",_xlpm.v=""),"",_xlpm.v*_xlpm.w)
)</f>
        <v/>
      </c>
      <c r="BD16" s="93" t="str" cm="1">
        <f t="array" ref="BD16">_xlfn.LET(
  _xlpm.w, BD$11,
  _xlpm.r, MATCH(1,('3. Enter Indicator Scores'!$B$10:$B$161=$B16)*('3. Enter Indicator Scores'!$C$10:$C$161=$C16),0),
  _xlpm.c, MATCH(BD$8,'3. Enter Indicator Scores'!$D$8:$CZ$8,0),
  _xlpm.v, IFERROR(INDEX('3. Enter Indicator Scores'!$D$10:$CZ$161,_xlpm.r,_xlpm.c),""),
  IF(OR(_xlpm.w="",_xlpm.v=""),"",_xlpm.v*_xlpm.w)
)</f>
        <v/>
      </c>
      <c r="BE16" s="93" t="str" cm="1">
        <f t="array" ref="BE16">_xlfn.LET(
  _xlpm.w, BE$11,
  _xlpm.r, MATCH(1,('3. Enter Indicator Scores'!$B$10:$B$161=$B16)*('3. Enter Indicator Scores'!$C$10:$C$161=$C16),0),
  _xlpm.c, MATCH(BE$8,'3. Enter Indicator Scores'!$D$8:$CZ$8,0),
  _xlpm.v, IFERROR(INDEX('3. Enter Indicator Scores'!$D$10:$CZ$161,_xlpm.r,_xlpm.c),""),
  IF(OR(_xlpm.w="",_xlpm.v=""),"",_xlpm.v*_xlpm.w)
)</f>
        <v/>
      </c>
      <c r="BF16" s="93" t="str" cm="1">
        <f t="array" ref="BF16">_xlfn.LET(
  _xlpm.w, BF$11,
  _xlpm.r, MATCH(1,('3. Enter Indicator Scores'!$B$10:$B$161=$B16)*('3. Enter Indicator Scores'!$C$10:$C$161=$C16),0),
  _xlpm.c, MATCH(BF$8,'3. Enter Indicator Scores'!$D$8:$CZ$8,0),
  _xlpm.v, IFERROR(INDEX('3. Enter Indicator Scores'!$D$10:$CZ$161,_xlpm.r,_xlpm.c),""),
  IF(OR(_xlpm.w="",_xlpm.v=""),"",_xlpm.v*_xlpm.w)
)</f>
        <v/>
      </c>
      <c r="BG16" s="93" t="str" cm="1">
        <f t="array" ref="BG16">_xlfn.LET(
  _xlpm.w, BG$11,
  _xlpm.r, MATCH(1,('3. Enter Indicator Scores'!$B$10:$B$161=$B16)*('3. Enter Indicator Scores'!$C$10:$C$161=$C16),0),
  _xlpm.c, MATCH(BG$8,'3. Enter Indicator Scores'!$D$8:$CZ$8,0),
  _xlpm.v, IFERROR(INDEX('3. Enter Indicator Scores'!$D$10:$CZ$161,_xlpm.r,_xlpm.c),""),
  IF(OR(_xlpm.w="",_xlpm.v=""),"",_xlpm.v*_xlpm.w)
)</f>
        <v/>
      </c>
      <c r="BH16" s="93" t="str" cm="1">
        <f t="array" ref="BH16">_xlfn.LET(
  _xlpm.w, BH$11,
  _xlpm.r, MATCH(1,('3. Enter Indicator Scores'!$B$10:$B$161=$B16)*('3. Enter Indicator Scores'!$C$10:$C$161=$C16),0),
  _xlpm.c, MATCH(BH$8,'3. Enter Indicator Scores'!$D$8:$CZ$8,0),
  _xlpm.v, IFERROR(INDEX('3. Enter Indicator Scores'!$D$10:$CZ$161,_xlpm.r,_xlpm.c),""),
  IF(OR(_xlpm.w="",_xlpm.v=""),"",_xlpm.v*_xlpm.w)
)</f>
        <v/>
      </c>
      <c r="BI16" s="93" t="str" cm="1">
        <f t="array" ref="BI16">_xlfn.LET(
  _xlpm.w, BI$11,
  _xlpm.r, MATCH(1,('3. Enter Indicator Scores'!$B$10:$B$161=$B16)*('3. Enter Indicator Scores'!$C$10:$C$161=$C16),0),
  _xlpm.c, MATCH(BI$8,'3. Enter Indicator Scores'!$D$8:$CZ$8,0),
  _xlpm.v, IFERROR(INDEX('3. Enter Indicator Scores'!$D$10:$CZ$161,_xlpm.r,_xlpm.c),""),
  IF(OR(_xlpm.w="",_xlpm.v=""),"",_xlpm.v*_xlpm.w)
)</f>
        <v/>
      </c>
      <c r="BJ16" s="93" t="str" cm="1">
        <f t="array" ref="BJ16">_xlfn.LET(
  _xlpm.w, BJ$11,
  _xlpm.r, MATCH(1,('3. Enter Indicator Scores'!$B$10:$B$161=$B16)*('3. Enter Indicator Scores'!$C$10:$C$161=$C16),0),
  _xlpm.c, MATCH(BJ$8,'3. Enter Indicator Scores'!$D$8:$CZ$8,0),
  _xlpm.v, IFERROR(INDEX('3. Enter Indicator Scores'!$D$10:$CZ$161,_xlpm.r,_xlpm.c),""),
  IF(OR(_xlpm.w="",_xlpm.v=""),"",_xlpm.v*_xlpm.w)
)</f>
        <v/>
      </c>
      <c r="BK16" s="93" t="str" cm="1">
        <f t="array" ref="BK16">_xlfn.LET(
  _xlpm.w, BK$11,
  _xlpm.r, MATCH(1,('3. Enter Indicator Scores'!$B$10:$B$161=$B16)*('3. Enter Indicator Scores'!$C$10:$C$161=$C16),0),
  _xlpm.c, MATCH(BK$8,'3. Enter Indicator Scores'!$D$8:$CZ$8,0),
  _xlpm.v, IFERROR(INDEX('3. Enter Indicator Scores'!$D$10:$CZ$161,_xlpm.r,_xlpm.c),""),
  IF(OR(_xlpm.w="",_xlpm.v=""),"",_xlpm.v*_xlpm.w)
)</f>
        <v/>
      </c>
      <c r="BL16" s="93" t="str" cm="1">
        <f t="array" ref="BL16">_xlfn.LET(
  _xlpm.w, BL$11,
  _xlpm.r, MATCH(1,('3. Enter Indicator Scores'!$B$10:$B$161=$B16)*('3. Enter Indicator Scores'!$C$10:$C$161=$C16),0),
  _xlpm.c, MATCH(BL$8,'3. Enter Indicator Scores'!$D$8:$CZ$8,0),
  _xlpm.v, IFERROR(INDEX('3. Enter Indicator Scores'!$D$10:$CZ$161,_xlpm.r,_xlpm.c),""),
  IF(OR(_xlpm.w="",_xlpm.v=""),"",_xlpm.v*_xlpm.w)
)</f>
        <v/>
      </c>
      <c r="BM16" s="93" t="str" cm="1">
        <f t="array" ref="BM16">_xlfn.LET(
  _xlpm.w, BM$11,
  _xlpm.r, MATCH(1,('3. Enter Indicator Scores'!$B$10:$B$161=$B16)*('3. Enter Indicator Scores'!$C$10:$C$161=$C16),0),
  _xlpm.c, MATCH(BM$8,'3. Enter Indicator Scores'!$D$8:$CZ$8,0),
  _xlpm.v, IFERROR(INDEX('3. Enter Indicator Scores'!$D$10:$CZ$161,_xlpm.r,_xlpm.c),""),
  IF(OR(_xlpm.w="",_xlpm.v=""),"",_xlpm.v*_xlpm.w)
)</f>
        <v/>
      </c>
      <c r="BN16" s="93" t="str" cm="1">
        <f t="array" ref="BN16">_xlfn.LET(
  _xlpm.w, BN$11,
  _xlpm.r, MATCH(1,('3. Enter Indicator Scores'!$B$10:$B$161=$B16)*('3. Enter Indicator Scores'!$C$10:$C$161=$C16),0),
  _xlpm.c, MATCH(BN$8,'3. Enter Indicator Scores'!$D$8:$CZ$8,0),
  _xlpm.v, IFERROR(INDEX('3. Enter Indicator Scores'!$D$10:$CZ$161,_xlpm.r,_xlpm.c),""),
  IF(OR(_xlpm.w="",_xlpm.v=""),"",_xlpm.v*_xlpm.w)
)</f>
        <v/>
      </c>
      <c r="BO16" s="93" t="str" cm="1">
        <f t="array" ref="BO16">_xlfn.LET(
  _xlpm.w, BO$11,
  _xlpm.r, MATCH(1,('3. Enter Indicator Scores'!$B$10:$B$161=$B16)*('3. Enter Indicator Scores'!$C$10:$C$161=$C16),0),
  _xlpm.c, MATCH(BO$8,'3. Enter Indicator Scores'!$D$8:$CZ$8,0),
  _xlpm.v, IFERROR(INDEX('3. Enter Indicator Scores'!$D$10:$CZ$161,_xlpm.r,_xlpm.c),""),
  IF(OR(_xlpm.w="",_xlpm.v=""),"",_xlpm.v*_xlpm.w)
)</f>
        <v/>
      </c>
      <c r="BP16" s="93" t="str" cm="1">
        <f t="array" ref="BP16">_xlfn.LET(
  _xlpm.w, BP$11,
  _xlpm.r, MATCH(1,('3. Enter Indicator Scores'!$B$10:$B$161=$B16)*('3. Enter Indicator Scores'!$C$10:$C$161=$C16),0),
  _xlpm.c, MATCH(BP$8,'3. Enter Indicator Scores'!$D$8:$CZ$8,0),
  _xlpm.v, IFERROR(INDEX('3. Enter Indicator Scores'!$D$10:$CZ$161,_xlpm.r,_xlpm.c),""),
  IF(OR(_xlpm.w="",_xlpm.v=""),"",_xlpm.v*_xlpm.w)
)</f>
        <v/>
      </c>
      <c r="BQ16" s="93" t="str" cm="1">
        <f t="array" ref="BQ16">_xlfn.LET(
  _xlpm.w, BQ$11,
  _xlpm.r, MATCH(1,('3. Enter Indicator Scores'!$B$10:$B$161=$B16)*('3. Enter Indicator Scores'!$C$10:$C$161=$C16),0),
  _xlpm.c, MATCH(BQ$8,'3. Enter Indicator Scores'!$D$8:$CZ$8,0),
  _xlpm.v, IFERROR(INDEX('3. Enter Indicator Scores'!$D$10:$CZ$161,_xlpm.r,_xlpm.c),""),
  IF(OR(_xlpm.w="",_xlpm.v=""),"",_xlpm.v*_xlpm.w)
)</f>
        <v/>
      </c>
      <c r="BR16" s="93" t="str" cm="1">
        <f t="array" ref="BR16">_xlfn.LET(
  _xlpm.w, BR$11,
  _xlpm.r, MATCH(1,('3. Enter Indicator Scores'!$B$10:$B$161=$B16)*('3. Enter Indicator Scores'!$C$10:$C$161=$C16),0),
  _xlpm.c, MATCH(BR$8,'3. Enter Indicator Scores'!$D$8:$CZ$8,0),
  _xlpm.v, IFERROR(INDEX('3. Enter Indicator Scores'!$D$10:$CZ$161,_xlpm.r,_xlpm.c),""),
  IF(OR(_xlpm.w="",_xlpm.v=""),"",_xlpm.v*_xlpm.w)
)</f>
        <v/>
      </c>
      <c r="BS16" s="93" t="str" cm="1">
        <f t="array" ref="BS16">_xlfn.LET(
  _xlpm.w, BS$11,
  _xlpm.r, MATCH(1,('3. Enter Indicator Scores'!$B$10:$B$161=$B16)*('3. Enter Indicator Scores'!$C$10:$C$161=$C16),0),
  _xlpm.c, MATCH(BS$8,'3. Enter Indicator Scores'!$D$8:$CZ$8,0),
  _xlpm.v, IFERROR(INDEX('3. Enter Indicator Scores'!$D$10:$CZ$161,_xlpm.r,_xlpm.c),""),
  IF(OR(_xlpm.w="",_xlpm.v=""),"",_xlpm.v*_xlpm.w)
)</f>
        <v/>
      </c>
      <c r="BT16" s="93" t="str" cm="1">
        <f t="array" ref="BT16">_xlfn.LET(
  _xlpm.w, BT$11,
  _xlpm.r, MATCH(1,('3. Enter Indicator Scores'!$B$10:$B$161=$B16)*('3. Enter Indicator Scores'!$C$10:$C$161=$C16),0),
  _xlpm.c, MATCH(BT$8,'3. Enter Indicator Scores'!$D$8:$CZ$8,0),
  _xlpm.v, IFERROR(INDEX('3. Enter Indicator Scores'!$D$10:$CZ$161,_xlpm.r,_xlpm.c),""),
  IF(OR(_xlpm.w="",_xlpm.v=""),"",_xlpm.v*_xlpm.w)
)</f>
        <v/>
      </c>
      <c r="BU16" s="93" t="str" cm="1">
        <f t="array" ref="BU16">_xlfn.LET(
  _xlpm.w, BU$11,
  _xlpm.r, MATCH(1,('3. Enter Indicator Scores'!$B$10:$B$161=$B16)*('3. Enter Indicator Scores'!$C$10:$C$161=$C16),0),
  _xlpm.c, MATCH(BU$8,'3. Enter Indicator Scores'!$D$8:$CZ$8,0),
  _xlpm.v, IFERROR(INDEX('3. Enter Indicator Scores'!$D$10:$CZ$161,_xlpm.r,_xlpm.c),""),
  IF(OR(_xlpm.w="",_xlpm.v=""),"",_xlpm.v*_xlpm.w)
)</f>
        <v/>
      </c>
      <c r="BV16" s="93" t="str" cm="1">
        <f t="array" ref="BV16">_xlfn.LET(
  _xlpm.w, BV$11,
  _xlpm.r, MATCH(1,('3. Enter Indicator Scores'!$B$10:$B$161=$B16)*('3. Enter Indicator Scores'!$C$10:$C$161=$C16),0),
  _xlpm.c, MATCH(BV$8,'3. Enter Indicator Scores'!$D$8:$CZ$8,0),
  _xlpm.v, IFERROR(INDEX('3. Enter Indicator Scores'!$D$10:$CZ$161,_xlpm.r,_xlpm.c),""),
  IF(OR(_xlpm.w="",_xlpm.v=""),"",_xlpm.v*_xlpm.w)
)</f>
        <v/>
      </c>
      <c r="BW16" s="93" t="str" cm="1">
        <f t="array" ref="BW16">_xlfn.LET(
  _xlpm.w, BW$11,
  _xlpm.r, MATCH(1,('3. Enter Indicator Scores'!$B$10:$B$161=$B16)*('3. Enter Indicator Scores'!$C$10:$C$161=$C16),0),
  _xlpm.c, MATCH(BW$8,'3. Enter Indicator Scores'!$D$8:$CZ$8,0),
  _xlpm.v, IFERROR(INDEX('3. Enter Indicator Scores'!$D$10:$CZ$161,_xlpm.r,_xlpm.c),""),
  IF(OR(_xlpm.w="",_xlpm.v=""),"",_xlpm.v*_xlpm.w)
)</f>
        <v/>
      </c>
      <c r="BX16" s="93" t="str" cm="1">
        <f t="array" ref="BX16">_xlfn.LET(
  _xlpm.w, BX$11,
  _xlpm.r, MATCH(1,('3. Enter Indicator Scores'!$B$10:$B$161=$B16)*('3. Enter Indicator Scores'!$C$10:$C$161=$C16),0),
  _xlpm.c, MATCH(BX$8,'3. Enter Indicator Scores'!$D$8:$CZ$8,0),
  _xlpm.v, IFERROR(INDEX('3. Enter Indicator Scores'!$D$10:$CZ$161,_xlpm.r,_xlpm.c),""),
  IF(OR(_xlpm.w="",_xlpm.v=""),"",_xlpm.v*_xlpm.w)
)</f>
        <v/>
      </c>
      <c r="BY16" s="93" t="str" cm="1">
        <f t="array" ref="BY16">_xlfn.LET(
  _xlpm.w, BY$11,
  _xlpm.r, MATCH(1,('3. Enter Indicator Scores'!$B$10:$B$161=$B16)*('3. Enter Indicator Scores'!$C$10:$C$161=$C16),0),
  _xlpm.c, MATCH(BY$8,'3. Enter Indicator Scores'!$D$8:$CZ$8,0),
  _xlpm.v, IFERROR(INDEX('3. Enter Indicator Scores'!$D$10:$CZ$161,_xlpm.r,_xlpm.c),""),
  IF(OR(_xlpm.w="",_xlpm.v=""),"",_xlpm.v*_xlpm.w)
)</f>
        <v/>
      </c>
      <c r="BZ16" s="93" t="str" cm="1">
        <f t="array" ref="BZ16">_xlfn.LET(
  _xlpm.w, BZ$11,
  _xlpm.r, MATCH(1,('3. Enter Indicator Scores'!$B$10:$B$161=$B16)*('3. Enter Indicator Scores'!$C$10:$C$161=$C16),0),
  _xlpm.c, MATCH(BZ$8,'3. Enter Indicator Scores'!$D$8:$CZ$8,0),
  _xlpm.v, IFERROR(INDEX('3. Enter Indicator Scores'!$D$10:$CZ$161,_xlpm.r,_xlpm.c),""),
  IF(OR(_xlpm.w="",_xlpm.v=""),"",_xlpm.v*_xlpm.w)
)</f>
        <v/>
      </c>
      <c r="CA16" s="93" t="str" cm="1">
        <f t="array" ref="CA16">_xlfn.LET(
  _xlpm.w, CA$11,
  _xlpm.r, MATCH(1,('3. Enter Indicator Scores'!$B$10:$B$161=$B16)*('3. Enter Indicator Scores'!$C$10:$C$161=$C16),0),
  _xlpm.c, MATCH(CA$8,'3. Enter Indicator Scores'!$D$8:$CZ$8,0),
  _xlpm.v, IFERROR(INDEX('3. Enter Indicator Scores'!$D$10:$CZ$161,_xlpm.r,_xlpm.c),""),
  IF(OR(_xlpm.w="",_xlpm.v=""),"",_xlpm.v*_xlpm.w)
)</f>
        <v/>
      </c>
      <c r="CB16" s="93" t="str" cm="1">
        <f t="array" ref="CB16">_xlfn.LET(
  _xlpm.w, CB$11,
  _xlpm.r, MATCH(1,('3. Enter Indicator Scores'!$B$10:$B$161=$B16)*('3. Enter Indicator Scores'!$C$10:$C$161=$C16),0),
  _xlpm.c, MATCH(CB$8,'3. Enter Indicator Scores'!$D$8:$CZ$8,0),
  _xlpm.v, IFERROR(INDEX('3. Enter Indicator Scores'!$D$10:$CZ$161,_xlpm.r,_xlpm.c),""),
  IF(OR(_xlpm.w="",_xlpm.v=""),"",_xlpm.v*_xlpm.w)
)</f>
        <v/>
      </c>
      <c r="CC16" s="93" t="str" cm="1">
        <f t="array" ref="CC16">_xlfn.LET(
  _xlpm.w, CC$11,
  _xlpm.r, MATCH(1,('3. Enter Indicator Scores'!$B$10:$B$161=$B16)*('3. Enter Indicator Scores'!$C$10:$C$161=$C16),0),
  _xlpm.c, MATCH(CC$8,'3. Enter Indicator Scores'!$D$8:$CZ$8,0),
  _xlpm.v, IFERROR(INDEX('3. Enter Indicator Scores'!$D$10:$CZ$161,_xlpm.r,_xlpm.c),""),
  IF(OR(_xlpm.w="",_xlpm.v=""),"",_xlpm.v*_xlpm.w)
)</f>
        <v/>
      </c>
      <c r="CD16" s="93" t="str" cm="1">
        <f t="array" ref="CD16">_xlfn.LET(
  _xlpm.w, CD$11,
  _xlpm.r, MATCH(1,('3. Enter Indicator Scores'!$B$10:$B$161=$B16)*('3. Enter Indicator Scores'!$C$10:$C$161=$C16),0),
  _xlpm.c, MATCH(CD$8,'3. Enter Indicator Scores'!$D$8:$CZ$8,0),
  _xlpm.v, IFERROR(INDEX('3. Enter Indicator Scores'!$D$10:$CZ$161,_xlpm.r,_xlpm.c),""),
  IF(OR(_xlpm.w="",_xlpm.v=""),"",_xlpm.v*_xlpm.w)
)</f>
        <v/>
      </c>
      <c r="CE16" s="93" t="str" cm="1">
        <f t="array" ref="CE16">_xlfn.LET(
  _xlpm.w, CE$11,
  _xlpm.r, MATCH(1,('3. Enter Indicator Scores'!$B$10:$B$161=$B16)*('3. Enter Indicator Scores'!$C$10:$C$161=$C16),0),
  _xlpm.c, MATCH(CE$8,'3. Enter Indicator Scores'!$D$8:$CZ$8,0),
  _xlpm.v, IFERROR(INDEX('3. Enter Indicator Scores'!$D$10:$CZ$161,_xlpm.r,_xlpm.c),""),
  IF(OR(_xlpm.w="",_xlpm.v=""),"",_xlpm.v*_xlpm.w)
)</f>
        <v/>
      </c>
      <c r="CF16" s="93" t="str" cm="1">
        <f t="array" ref="CF16">_xlfn.LET(
  _xlpm.w, CF$11,
  _xlpm.r, MATCH(1,('3. Enter Indicator Scores'!$B$10:$B$161=$B16)*('3. Enter Indicator Scores'!$C$10:$C$161=$C16),0),
  _xlpm.c, MATCH(CF$8,'3. Enter Indicator Scores'!$D$8:$CZ$8,0),
  _xlpm.v, IFERROR(INDEX('3. Enter Indicator Scores'!$D$10:$CZ$161,_xlpm.r,_xlpm.c),""),
  IF(OR(_xlpm.w="",_xlpm.v=""),"",_xlpm.v*_xlpm.w)
)</f>
        <v/>
      </c>
      <c r="CG16" s="93" t="str" cm="1">
        <f t="array" ref="CG16">_xlfn.LET(
  _xlpm.w, CG$11,
  _xlpm.r, MATCH(1,('3. Enter Indicator Scores'!$B$10:$B$161=$B16)*('3. Enter Indicator Scores'!$C$10:$C$161=$C16),0),
  _xlpm.c, MATCH(CG$8,'3. Enter Indicator Scores'!$D$8:$CZ$8,0),
  _xlpm.v, IFERROR(INDEX('3. Enter Indicator Scores'!$D$10:$CZ$161,_xlpm.r,_xlpm.c),""),
  IF(OR(_xlpm.w="",_xlpm.v=""),"",_xlpm.v*_xlpm.w)
)</f>
        <v/>
      </c>
      <c r="CH16" s="93" t="str" cm="1">
        <f t="array" ref="CH16">_xlfn.LET(
  _xlpm.w, CH$11,
  _xlpm.r, MATCH(1,('3. Enter Indicator Scores'!$B$10:$B$161=$B16)*('3. Enter Indicator Scores'!$C$10:$C$161=$C16),0),
  _xlpm.c, MATCH(CH$8,'3. Enter Indicator Scores'!$D$8:$CZ$8,0),
  _xlpm.v, IFERROR(INDEX('3. Enter Indicator Scores'!$D$10:$CZ$161,_xlpm.r,_xlpm.c),""),
  IF(OR(_xlpm.w="",_xlpm.v=""),"",_xlpm.v*_xlpm.w)
)</f>
        <v/>
      </c>
      <c r="CI16" s="93" t="str" cm="1">
        <f t="array" ref="CI16">_xlfn.LET(
  _xlpm.w, CI$11,
  _xlpm.r, MATCH(1,('3. Enter Indicator Scores'!$B$10:$B$161=$B16)*('3. Enter Indicator Scores'!$C$10:$C$161=$C16),0),
  _xlpm.c, MATCH(CI$8,'3. Enter Indicator Scores'!$D$8:$CZ$8,0),
  _xlpm.v, IFERROR(INDEX('3. Enter Indicator Scores'!$D$10:$CZ$161,_xlpm.r,_xlpm.c),""),
  IF(OR(_xlpm.w="",_xlpm.v=""),"",_xlpm.v*_xlpm.w)
)</f>
        <v/>
      </c>
      <c r="CJ16" s="93" t="str" cm="1">
        <f t="array" ref="CJ16">_xlfn.LET(
  _xlpm.w, CJ$11,
  _xlpm.r, MATCH(1,('3. Enter Indicator Scores'!$B$10:$B$161=$B16)*('3. Enter Indicator Scores'!$C$10:$C$161=$C16),0),
  _xlpm.c, MATCH(CJ$8,'3. Enter Indicator Scores'!$D$8:$CZ$8,0),
  _xlpm.v, IFERROR(INDEX('3. Enter Indicator Scores'!$D$10:$CZ$161,_xlpm.r,_xlpm.c),""),
  IF(OR(_xlpm.w="",_xlpm.v=""),"",_xlpm.v*_xlpm.w)
)</f>
        <v/>
      </c>
      <c r="CK16" s="93" t="str" cm="1">
        <f t="array" ref="CK16">_xlfn.LET(
  _xlpm.w, CK$11,
  _xlpm.r, MATCH(1,('3. Enter Indicator Scores'!$B$10:$B$161=$B16)*('3. Enter Indicator Scores'!$C$10:$C$161=$C16),0),
  _xlpm.c, MATCH(CK$8,'3. Enter Indicator Scores'!$D$8:$CZ$8,0),
  _xlpm.v, IFERROR(INDEX('3. Enter Indicator Scores'!$D$10:$CZ$161,_xlpm.r,_xlpm.c),""),
  IF(OR(_xlpm.w="",_xlpm.v=""),"",_xlpm.v*_xlpm.w)
)</f>
        <v/>
      </c>
      <c r="CL16" s="93" t="str" cm="1">
        <f t="array" ref="CL16">_xlfn.LET(
  _xlpm.w, CL$11,
  _xlpm.r, MATCH(1,('3. Enter Indicator Scores'!$B$10:$B$161=$B16)*('3. Enter Indicator Scores'!$C$10:$C$161=$C16),0),
  _xlpm.c, MATCH(CL$8,'3. Enter Indicator Scores'!$D$8:$CZ$8,0),
  _xlpm.v, IFERROR(INDEX('3. Enter Indicator Scores'!$D$10:$CZ$161,_xlpm.r,_xlpm.c),""),
  IF(OR(_xlpm.w="",_xlpm.v=""),"",_xlpm.v*_xlpm.w)
)</f>
        <v/>
      </c>
      <c r="CM16" s="93" t="str" cm="1">
        <f t="array" ref="CM16">_xlfn.LET(
  _xlpm.w, CM$11,
  _xlpm.r, MATCH(1,('3. Enter Indicator Scores'!$B$10:$B$161=$B16)*('3. Enter Indicator Scores'!$C$10:$C$161=$C16),0),
  _xlpm.c, MATCH(CM$8,'3. Enter Indicator Scores'!$D$8:$CZ$8,0),
  _xlpm.v, IFERROR(INDEX('3. Enter Indicator Scores'!$D$10:$CZ$161,_xlpm.r,_xlpm.c),""),
  IF(OR(_xlpm.w="",_xlpm.v=""),"",_xlpm.v*_xlpm.w)
)</f>
        <v/>
      </c>
      <c r="CN16" s="93" t="str" cm="1">
        <f t="array" ref="CN16">_xlfn.LET(
  _xlpm.w, CN$11,
  _xlpm.r, MATCH(1,('3. Enter Indicator Scores'!$B$10:$B$161=$B16)*('3. Enter Indicator Scores'!$C$10:$C$161=$C16),0),
  _xlpm.c, MATCH(CN$8,'3. Enter Indicator Scores'!$D$8:$CZ$8,0),
  _xlpm.v, IFERROR(INDEX('3. Enter Indicator Scores'!$D$10:$CZ$161,_xlpm.r,_xlpm.c),""),
  IF(OR(_xlpm.w="",_xlpm.v=""),"",_xlpm.v*_xlpm.w)
)</f>
        <v/>
      </c>
      <c r="CO16" s="93" t="str" cm="1">
        <f t="array" ref="CO16">_xlfn.LET(
  _xlpm.w, CO$11,
  _xlpm.r, MATCH(1,('3. Enter Indicator Scores'!$B$10:$B$161=$B16)*('3. Enter Indicator Scores'!$C$10:$C$161=$C16),0),
  _xlpm.c, MATCH(CO$8,'3. Enter Indicator Scores'!$D$8:$CZ$8,0),
  _xlpm.v, IFERROR(INDEX('3. Enter Indicator Scores'!$D$10:$CZ$161,_xlpm.r,_xlpm.c),""),
  IF(OR(_xlpm.w="",_xlpm.v=""),"",_xlpm.v*_xlpm.w)
)</f>
        <v/>
      </c>
      <c r="CP16" s="93" t="str" cm="1">
        <f t="array" ref="CP16">_xlfn.LET(
  _xlpm.w, CP$11,
  _xlpm.r, MATCH(1,('3. Enter Indicator Scores'!$B$10:$B$161=$B16)*('3. Enter Indicator Scores'!$C$10:$C$161=$C16),0),
  _xlpm.c, MATCH(CP$8,'3. Enter Indicator Scores'!$D$8:$CZ$8,0),
  _xlpm.v, IFERROR(INDEX('3. Enter Indicator Scores'!$D$10:$CZ$161,_xlpm.r,_xlpm.c),""),
  IF(OR(_xlpm.w="",_xlpm.v=""),"",_xlpm.v*_xlpm.w)
)</f>
        <v/>
      </c>
      <c r="CQ16" s="93" t="str" cm="1">
        <f t="array" ref="CQ16">_xlfn.LET(
  _xlpm.w, CQ$11,
  _xlpm.r, MATCH(1,('3. Enter Indicator Scores'!$B$10:$B$161=$B16)*('3. Enter Indicator Scores'!$C$10:$C$161=$C16),0),
  _xlpm.c, MATCH(CQ$8,'3. Enter Indicator Scores'!$D$8:$CZ$8,0),
  _xlpm.v, IFERROR(INDEX('3. Enter Indicator Scores'!$D$10:$CZ$161,_xlpm.r,_xlpm.c),""),
  IF(OR(_xlpm.w="",_xlpm.v=""),"",_xlpm.v*_xlpm.w)
)</f>
        <v/>
      </c>
      <c r="CR16" s="93" t="str" cm="1">
        <f t="array" ref="CR16">_xlfn.LET(
  _xlpm.w, CR$11,
  _xlpm.r, MATCH(1,('3. Enter Indicator Scores'!$B$10:$B$161=$B16)*('3. Enter Indicator Scores'!$C$10:$C$161=$C16),0),
  _xlpm.c, MATCH(CR$8,'3. Enter Indicator Scores'!$D$8:$CZ$8,0),
  _xlpm.v, IFERROR(INDEX('3. Enter Indicator Scores'!$D$10:$CZ$161,_xlpm.r,_xlpm.c),""),
  IF(OR(_xlpm.w="",_xlpm.v=""),"",_xlpm.v*_xlpm.w)
)</f>
        <v/>
      </c>
      <c r="CS16" s="93" t="str" cm="1">
        <f t="array" ref="CS16">_xlfn.LET(
  _xlpm.w, CS$11,
  _xlpm.r, MATCH(1,('3. Enter Indicator Scores'!$B$10:$B$161=$B16)*('3. Enter Indicator Scores'!$C$10:$C$161=$C16),0),
  _xlpm.c, MATCH(CS$8,'3. Enter Indicator Scores'!$D$8:$CZ$8,0),
  _xlpm.v, IFERROR(INDEX('3. Enter Indicator Scores'!$D$10:$CZ$161,_xlpm.r,_xlpm.c),""),
  IF(OR(_xlpm.w="",_xlpm.v=""),"",_xlpm.v*_xlpm.w)
)</f>
        <v/>
      </c>
      <c r="CT16" s="93" t="str" cm="1">
        <f t="array" ref="CT16">_xlfn.LET(
  _xlpm.w, CT$11,
  _xlpm.r, MATCH(1,('3. Enter Indicator Scores'!$B$10:$B$161=$B16)*('3. Enter Indicator Scores'!$C$10:$C$161=$C16),0),
  _xlpm.c, MATCH(CT$8,'3. Enter Indicator Scores'!$D$8:$CZ$8,0),
  _xlpm.v, IFERROR(INDEX('3. Enter Indicator Scores'!$D$10:$CZ$161,_xlpm.r,_xlpm.c),""),
  IF(OR(_xlpm.w="",_xlpm.v=""),"",_xlpm.v*_xlpm.w)
)</f>
        <v/>
      </c>
      <c r="CU16" s="93" t="str" cm="1">
        <f t="array" ref="CU16">_xlfn.LET(
  _xlpm.w, CU$11,
  _xlpm.r, MATCH(1,('3. Enter Indicator Scores'!$B$10:$B$161=$B16)*('3. Enter Indicator Scores'!$C$10:$C$161=$C16),0),
  _xlpm.c, MATCH(CU$8,'3. Enter Indicator Scores'!$D$8:$CZ$8,0),
  _xlpm.v, IFERROR(INDEX('3. Enter Indicator Scores'!$D$10:$CZ$161,_xlpm.r,_xlpm.c),""),
  IF(OR(_xlpm.w="",_xlpm.v=""),"",_xlpm.v*_xlpm.w)
)</f>
        <v/>
      </c>
      <c r="CV16" s="93" t="str" cm="1">
        <f t="array" ref="CV16">_xlfn.LET(
  _xlpm.w, CV$11,
  _xlpm.r, MATCH(1,('3. Enter Indicator Scores'!$B$10:$B$161=$B16)*('3. Enter Indicator Scores'!$C$10:$C$161=$C16),0),
  _xlpm.c, MATCH(CV$8,'3. Enter Indicator Scores'!$D$8:$CZ$8,0),
  _xlpm.v, IFERROR(INDEX('3. Enter Indicator Scores'!$D$10:$CZ$161,_xlpm.r,_xlpm.c),""),
  IF(OR(_xlpm.w="",_xlpm.v=""),"",_xlpm.v*_xlpm.w)
)</f>
        <v/>
      </c>
      <c r="CW16" s="93" t="str" cm="1">
        <f t="array" ref="CW16">_xlfn.LET(
  _xlpm.w, CW$11,
  _xlpm.r, MATCH(1,('3. Enter Indicator Scores'!$B$10:$B$161=$B16)*('3. Enter Indicator Scores'!$C$10:$C$161=$C16),0),
  _xlpm.c, MATCH(CW$8,'3. Enter Indicator Scores'!$D$8:$CZ$8,0),
  _xlpm.v, IFERROR(INDEX('3. Enter Indicator Scores'!$D$10:$CZ$161,_xlpm.r,_xlpm.c),""),
  IF(OR(_xlpm.w="",_xlpm.v=""),"",_xlpm.v*_xlpm.w)
)</f>
        <v/>
      </c>
      <c r="CX16" s="93" t="str" cm="1">
        <f t="array" ref="CX16">_xlfn.LET(
  _xlpm.w, CX$11,
  _xlpm.r, MATCH(1,('3. Enter Indicator Scores'!$B$10:$B$161=$B16)*('3. Enter Indicator Scores'!$C$10:$C$161=$C16),0),
  _xlpm.c, MATCH(CX$8,'3. Enter Indicator Scores'!$D$8:$CZ$8,0),
  _xlpm.v, IFERROR(INDEX('3. Enter Indicator Scores'!$D$10:$CZ$161,_xlpm.r,_xlpm.c),""),
  IF(OR(_xlpm.w="",_xlpm.v=""),"",_xlpm.v*_xlpm.w)
)</f>
        <v/>
      </c>
      <c r="CY16" s="93" t="str" cm="1">
        <f t="array" ref="CY16">_xlfn.LET(
  _xlpm.w, CY$11,
  _xlpm.r, MATCH(1,('3. Enter Indicator Scores'!$B$10:$B$161=$B16)*('3. Enter Indicator Scores'!$C$10:$C$161=$C16),0),
  _xlpm.c, MATCH(CY$8,'3. Enter Indicator Scores'!$D$8:$CZ$8,0),
  _xlpm.v, IFERROR(INDEX('3. Enter Indicator Scores'!$D$10:$CZ$161,_xlpm.r,_xlpm.c),""),
  IF(OR(_xlpm.w="",_xlpm.v=""),"",_xlpm.v*_xlpm.w)
)</f>
        <v/>
      </c>
      <c r="CZ16" s="93" t="str" cm="1">
        <f t="array" ref="CZ16">_xlfn.LET(
  _xlpm.w, CZ$11,
  _xlpm.r, MATCH(1,('3. Enter Indicator Scores'!$B$10:$B$161=$B16)*('3. Enter Indicator Scores'!$C$10:$C$161=$C16),0),
  _xlpm.c, MATCH(CZ$8,'3. Enter Indicator Scores'!$D$8:$CZ$8,0),
  _xlpm.v, IFERROR(INDEX('3. Enter Indicator Scores'!$D$10:$CZ$161,_xlpm.r,_xlpm.c),""),
  IF(OR(_xlpm.w="",_xlpm.v=""),"",_xlpm.v*_xlpm.w)
)</f>
        <v/>
      </c>
    </row>
    <row r="17" spans="1:104" x14ac:dyDescent="0.2">
      <c r="D17" s="93" t="str" cm="1">
        <f t="array" ref="D17">_xlfn.LET(
  _xlpm.w, D$11,
  _xlpm.r, MATCH(1,('3. Enter Indicator Scores'!$B$10:$B$161=$B17)*('3. Enter Indicator Scores'!$C$10:$C$161=$C17),0),
  _xlpm.c, MATCH(D$8,'3. Enter Indicator Scores'!$D$8:$CZ$8,0),
  _xlpm.v, IFERROR(INDEX('3. Enter Indicator Scores'!$D$10:$CZ$161,_xlpm.r,_xlpm.c),""),
  IF(OR(_xlpm.w="",_xlpm.v=""),"",_xlpm.v*_xlpm.w)
)</f>
        <v/>
      </c>
      <c r="E17" s="93" t="str" cm="1">
        <f t="array" ref="E17">_xlfn.LET(
  _xlpm.w, E$11,
  _xlpm.r, MATCH(1,('3. Enter Indicator Scores'!$B$10:$B$161=$B17)*('3. Enter Indicator Scores'!$C$10:$C$161=$C17),0),
  _xlpm.c, MATCH(E$8,'3. Enter Indicator Scores'!$D$8:$CZ$8,0),
  _xlpm.v, IFERROR(INDEX('3. Enter Indicator Scores'!$D$10:$CZ$161,_xlpm.r,_xlpm.c),""),
  IF(OR(_xlpm.w="",_xlpm.v=""),"",_xlpm.v*_xlpm.w)
)</f>
        <v/>
      </c>
      <c r="F17" s="93" t="str" cm="1">
        <f t="array" ref="F17">_xlfn.LET(
  _xlpm.w, F$11,
  _xlpm.r, MATCH(1,('3. Enter Indicator Scores'!$B$10:$B$161=$B17)*('3. Enter Indicator Scores'!$C$10:$C$161=$C17),0),
  _xlpm.c, MATCH(F$8,'3. Enter Indicator Scores'!$D$8:$CZ$8,0),
  _xlpm.v, IFERROR(INDEX('3. Enter Indicator Scores'!$D$10:$CZ$161,_xlpm.r,_xlpm.c),""),
  IF(OR(_xlpm.w="",_xlpm.v=""),"",_xlpm.v*_xlpm.w)
)</f>
        <v/>
      </c>
      <c r="G17" s="93" t="str" cm="1">
        <f t="array" ref="G17">_xlfn.LET(
  _xlpm.w, G$11,
  _xlpm.r, MATCH(1,('3. Enter Indicator Scores'!$B$10:$B$161=$B17)*('3. Enter Indicator Scores'!$C$10:$C$161=$C17),0),
  _xlpm.c, MATCH(G$8,'3. Enter Indicator Scores'!$D$8:$CZ$8,0),
  _xlpm.v, IFERROR(INDEX('3. Enter Indicator Scores'!$D$10:$CZ$161,_xlpm.r,_xlpm.c),""),
  IF(OR(_xlpm.w="",_xlpm.v=""),"",_xlpm.v*_xlpm.w)
)</f>
        <v/>
      </c>
      <c r="H17" s="93" t="str" cm="1">
        <f t="array" ref="H17">_xlfn.LET(
  _xlpm.w, H$11,
  _xlpm.r, MATCH(1,('3. Enter Indicator Scores'!$B$10:$B$161=$B17)*('3. Enter Indicator Scores'!$C$10:$C$161=$C17),0),
  _xlpm.c, MATCH(H$8,'3. Enter Indicator Scores'!$D$8:$CZ$8,0),
  _xlpm.v, IFERROR(INDEX('3. Enter Indicator Scores'!$D$10:$CZ$161,_xlpm.r,_xlpm.c),""),
  IF(OR(_xlpm.w="",_xlpm.v=""),"",_xlpm.v*_xlpm.w)
)</f>
        <v/>
      </c>
      <c r="I17" s="93" t="str" cm="1">
        <f t="array" ref="I17">_xlfn.LET(
  _xlpm.w, I$11,
  _xlpm.r, MATCH(1,('3. Enter Indicator Scores'!$B$10:$B$161=$B17)*('3. Enter Indicator Scores'!$C$10:$C$161=$C17),0),
  _xlpm.c, MATCH(I$8,'3. Enter Indicator Scores'!$D$8:$CZ$8,0),
  _xlpm.v, IFERROR(INDEX('3. Enter Indicator Scores'!$D$10:$CZ$161,_xlpm.r,_xlpm.c),""),
  IF(OR(_xlpm.w="",_xlpm.v=""),"",_xlpm.v*_xlpm.w)
)</f>
        <v/>
      </c>
      <c r="J17" s="93" t="str" cm="1">
        <f t="array" ref="J17">_xlfn.LET(
  _xlpm.w, J$11,
  _xlpm.r, MATCH(1,('3. Enter Indicator Scores'!$B$10:$B$161=$B17)*('3. Enter Indicator Scores'!$C$10:$C$161=$C17),0),
  _xlpm.c, MATCH(J$8,'3. Enter Indicator Scores'!$D$8:$CZ$8,0),
  _xlpm.v, IFERROR(INDEX('3. Enter Indicator Scores'!$D$10:$CZ$161,_xlpm.r,_xlpm.c),""),
  IF(OR(_xlpm.w="",_xlpm.v=""),"",_xlpm.v*_xlpm.w)
)</f>
        <v/>
      </c>
      <c r="K17" s="93" t="str" cm="1">
        <f t="array" ref="K17">_xlfn.LET(
  _xlpm.w, K$11,
  _xlpm.r, MATCH(1,('3. Enter Indicator Scores'!$B$10:$B$161=$B17)*('3. Enter Indicator Scores'!$C$10:$C$161=$C17),0),
  _xlpm.c, MATCH(K$8,'3. Enter Indicator Scores'!$D$8:$CZ$8,0),
  _xlpm.v, IFERROR(INDEX('3. Enter Indicator Scores'!$D$10:$CZ$161,_xlpm.r,_xlpm.c),""),
  IF(OR(_xlpm.w="",_xlpm.v=""),"",_xlpm.v*_xlpm.w)
)</f>
        <v/>
      </c>
      <c r="L17" s="93" t="str" cm="1">
        <f t="array" ref="L17">_xlfn.LET(
  _xlpm.w, L$11,
  _xlpm.r, MATCH(1,('3. Enter Indicator Scores'!$B$10:$B$161=$B17)*('3. Enter Indicator Scores'!$C$10:$C$161=$C17),0),
  _xlpm.c, MATCH(L$8,'3. Enter Indicator Scores'!$D$8:$CZ$8,0),
  _xlpm.v, IFERROR(INDEX('3. Enter Indicator Scores'!$D$10:$CZ$161,_xlpm.r,_xlpm.c),""),
  IF(OR(_xlpm.w="",_xlpm.v=""),"",_xlpm.v*_xlpm.w)
)</f>
        <v/>
      </c>
      <c r="M17" s="93" t="str" cm="1">
        <f t="array" ref="M17">_xlfn.LET(
  _xlpm.w, M$11,
  _xlpm.r, MATCH(1,('3. Enter Indicator Scores'!$B$10:$B$161=$B17)*('3. Enter Indicator Scores'!$C$10:$C$161=$C17),0),
  _xlpm.c, MATCH(M$8,'3. Enter Indicator Scores'!$D$8:$CZ$8,0),
  _xlpm.v, IFERROR(INDEX('3. Enter Indicator Scores'!$D$10:$CZ$161,_xlpm.r,_xlpm.c),""),
  IF(OR(_xlpm.w="",_xlpm.v=""),"",_xlpm.v*_xlpm.w)
)</f>
        <v/>
      </c>
      <c r="N17" s="93" t="str" cm="1">
        <f t="array" ref="N17">_xlfn.LET(
  _xlpm.w, N$11,
  _xlpm.r, MATCH(1,('3. Enter Indicator Scores'!$B$10:$B$161=$B17)*('3. Enter Indicator Scores'!$C$10:$C$161=$C17),0),
  _xlpm.c, MATCH(N$8,'3. Enter Indicator Scores'!$D$8:$CZ$8,0),
  _xlpm.v, IFERROR(INDEX('3. Enter Indicator Scores'!$D$10:$CZ$161,_xlpm.r,_xlpm.c),""),
  IF(OR(_xlpm.w="",_xlpm.v=""),"",_xlpm.v*_xlpm.w)
)</f>
        <v/>
      </c>
      <c r="O17" s="93" t="str" cm="1">
        <f t="array" ref="O17">_xlfn.LET(
  _xlpm.w, O$11,
  _xlpm.r, MATCH(1,('3. Enter Indicator Scores'!$B$10:$B$161=$B17)*('3. Enter Indicator Scores'!$C$10:$C$161=$C17),0),
  _xlpm.c, MATCH(O$8,'3. Enter Indicator Scores'!$D$8:$CZ$8,0),
  _xlpm.v, IFERROR(INDEX('3. Enter Indicator Scores'!$D$10:$CZ$161,_xlpm.r,_xlpm.c),""),
  IF(OR(_xlpm.w="",_xlpm.v=""),"",_xlpm.v*_xlpm.w)
)</f>
        <v/>
      </c>
      <c r="P17" s="93" t="str" cm="1">
        <f t="array" ref="P17">_xlfn.LET(
  _xlpm.w, P$11,
  _xlpm.r, MATCH(1,('3. Enter Indicator Scores'!$B$10:$B$161=$B17)*('3. Enter Indicator Scores'!$C$10:$C$161=$C17),0),
  _xlpm.c, MATCH(P$8,'3. Enter Indicator Scores'!$D$8:$CZ$8,0),
  _xlpm.v, IFERROR(INDEX('3. Enter Indicator Scores'!$D$10:$CZ$161,_xlpm.r,_xlpm.c),""),
  IF(OR(_xlpm.w="",_xlpm.v=""),"",_xlpm.v*_xlpm.w)
)</f>
        <v/>
      </c>
      <c r="Q17" s="93" t="str" cm="1">
        <f t="array" ref="Q17">_xlfn.LET(
  _xlpm.w, Q$11,
  _xlpm.r, MATCH(1,('3. Enter Indicator Scores'!$B$10:$B$161=$B17)*('3. Enter Indicator Scores'!$C$10:$C$161=$C17),0),
  _xlpm.c, MATCH(Q$8,'3. Enter Indicator Scores'!$D$8:$CZ$8,0),
  _xlpm.v, IFERROR(INDEX('3. Enter Indicator Scores'!$D$10:$CZ$161,_xlpm.r,_xlpm.c),""),
  IF(OR(_xlpm.w="",_xlpm.v=""),"",_xlpm.v*_xlpm.w)
)</f>
        <v/>
      </c>
      <c r="R17" s="93" t="str" cm="1">
        <f t="array" ref="R17">_xlfn.LET(
  _xlpm.w, R$11,
  _xlpm.r, MATCH(1,('3. Enter Indicator Scores'!$B$10:$B$161=$B17)*('3. Enter Indicator Scores'!$C$10:$C$161=$C17),0),
  _xlpm.c, MATCH(R$8,'3. Enter Indicator Scores'!$D$8:$CZ$8,0),
  _xlpm.v, IFERROR(INDEX('3. Enter Indicator Scores'!$D$10:$CZ$161,_xlpm.r,_xlpm.c),""),
  IF(OR(_xlpm.w="",_xlpm.v=""),"",_xlpm.v*_xlpm.w)
)</f>
        <v/>
      </c>
      <c r="S17" s="93" t="str" cm="1">
        <f t="array" ref="S17">_xlfn.LET(
  _xlpm.w, S$11,
  _xlpm.r, MATCH(1,('3. Enter Indicator Scores'!$B$10:$B$161=$B17)*('3. Enter Indicator Scores'!$C$10:$C$161=$C17),0),
  _xlpm.c, MATCH(S$8,'3. Enter Indicator Scores'!$D$8:$CZ$8,0),
  _xlpm.v, IFERROR(INDEX('3. Enter Indicator Scores'!$D$10:$CZ$161,_xlpm.r,_xlpm.c),""),
  IF(OR(_xlpm.w="",_xlpm.v=""),"",_xlpm.v*_xlpm.w)
)</f>
        <v/>
      </c>
      <c r="T17" s="93" t="str" cm="1">
        <f t="array" ref="T17">_xlfn.LET(
  _xlpm.w, T$11,
  _xlpm.r, MATCH(1,('3. Enter Indicator Scores'!$B$10:$B$161=$B17)*('3. Enter Indicator Scores'!$C$10:$C$161=$C17),0),
  _xlpm.c, MATCH(T$8,'3. Enter Indicator Scores'!$D$8:$CZ$8,0),
  _xlpm.v, IFERROR(INDEX('3. Enter Indicator Scores'!$D$10:$CZ$161,_xlpm.r,_xlpm.c),""),
  IF(OR(_xlpm.w="",_xlpm.v=""),"",_xlpm.v*_xlpm.w)
)</f>
        <v/>
      </c>
      <c r="U17" s="93" t="str" cm="1">
        <f t="array" ref="U17">_xlfn.LET(
  _xlpm.w, U$11,
  _xlpm.r, MATCH(1,('3. Enter Indicator Scores'!$B$10:$B$161=$B17)*('3. Enter Indicator Scores'!$C$10:$C$161=$C17),0),
  _xlpm.c, MATCH(U$8,'3. Enter Indicator Scores'!$D$8:$CZ$8,0),
  _xlpm.v, IFERROR(INDEX('3. Enter Indicator Scores'!$D$10:$CZ$161,_xlpm.r,_xlpm.c),""),
  IF(OR(_xlpm.w="",_xlpm.v=""),"",_xlpm.v*_xlpm.w)
)</f>
        <v/>
      </c>
      <c r="V17" s="93" t="str" cm="1">
        <f t="array" ref="V17">_xlfn.LET(
  _xlpm.w, V$11,
  _xlpm.r, MATCH(1,('3. Enter Indicator Scores'!$B$10:$B$161=$B17)*('3. Enter Indicator Scores'!$C$10:$C$161=$C17),0),
  _xlpm.c, MATCH(V$8,'3. Enter Indicator Scores'!$D$8:$CZ$8,0),
  _xlpm.v, IFERROR(INDEX('3. Enter Indicator Scores'!$D$10:$CZ$161,_xlpm.r,_xlpm.c),""),
  IF(OR(_xlpm.w="",_xlpm.v=""),"",_xlpm.v*_xlpm.w)
)</f>
        <v/>
      </c>
      <c r="W17" s="93" t="str" cm="1">
        <f t="array" ref="W17">_xlfn.LET(
  _xlpm.w, W$11,
  _xlpm.r, MATCH(1,('3. Enter Indicator Scores'!$B$10:$B$161=$B17)*('3. Enter Indicator Scores'!$C$10:$C$161=$C17),0),
  _xlpm.c, MATCH(W$8,'3. Enter Indicator Scores'!$D$8:$CZ$8,0),
  _xlpm.v, IFERROR(INDEX('3. Enter Indicator Scores'!$D$10:$CZ$161,_xlpm.r,_xlpm.c),""),
  IF(OR(_xlpm.w="",_xlpm.v=""),"",_xlpm.v*_xlpm.w)
)</f>
        <v/>
      </c>
      <c r="X17" s="93" t="str" cm="1">
        <f t="array" ref="X17">_xlfn.LET(
  _xlpm.w, X$11,
  _xlpm.r, MATCH(1,('3. Enter Indicator Scores'!$B$10:$B$161=$B17)*('3. Enter Indicator Scores'!$C$10:$C$161=$C17),0),
  _xlpm.c, MATCH(X$8,'3. Enter Indicator Scores'!$D$8:$CZ$8,0),
  _xlpm.v, IFERROR(INDEX('3. Enter Indicator Scores'!$D$10:$CZ$161,_xlpm.r,_xlpm.c),""),
  IF(OR(_xlpm.w="",_xlpm.v=""),"",_xlpm.v*_xlpm.w)
)</f>
        <v/>
      </c>
      <c r="Y17" s="93" t="str" cm="1">
        <f t="array" ref="Y17">_xlfn.LET(
  _xlpm.w, Y$11,
  _xlpm.r, MATCH(1,('3. Enter Indicator Scores'!$B$10:$B$161=$B17)*('3. Enter Indicator Scores'!$C$10:$C$161=$C17),0),
  _xlpm.c, MATCH(Y$8,'3. Enter Indicator Scores'!$D$8:$CZ$8,0),
  _xlpm.v, IFERROR(INDEX('3. Enter Indicator Scores'!$D$10:$CZ$161,_xlpm.r,_xlpm.c),""),
  IF(OR(_xlpm.w="",_xlpm.v=""),"",_xlpm.v*_xlpm.w)
)</f>
        <v/>
      </c>
      <c r="Z17" s="93" t="str" cm="1">
        <f t="array" ref="Z17">_xlfn.LET(
  _xlpm.w, Z$11,
  _xlpm.r, MATCH(1,('3. Enter Indicator Scores'!$B$10:$B$161=$B17)*('3. Enter Indicator Scores'!$C$10:$C$161=$C17),0),
  _xlpm.c, MATCH(Z$8,'3. Enter Indicator Scores'!$D$8:$CZ$8,0),
  _xlpm.v, IFERROR(INDEX('3. Enter Indicator Scores'!$D$10:$CZ$161,_xlpm.r,_xlpm.c),""),
  IF(OR(_xlpm.w="",_xlpm.v=""),"",_xlpm.v*_xlpm.w)
)</f>
        <v/>
      </c>
      <c r="AA17" s="93" t="str" cm="1">
        <f t="array" ref="AA17">_xlfn.LET(
  _xlpm.w, AA$11,
  _xlpm.r, MATCH(1,('3. Enter Indicator Scores'!$B$10:$B$161=$B17)*('3. Enter Indicator Scores'!$C$10:$C$161=$C17),0),
  _xlpm.c, MATCH(AA$8,'3. Enter Indicator Scores'!$D$8:$CZ$8,0),
  _xlpm.v, IFERROR(INDEX('3. Enter Indicator Scores'!$D$10:$CZ$161,_xlpm.r,_xlpm.c),""),
  IF(OR(_xlpm.w="",_xlpm.v=""),"",_xlpm.v*_xlpm.w)
)</f>
        <v/>
      </c>
      <c r="AB17" s="93" t="str" cm="1">
        <f t="array" ref="AB17">_xlfn.LET(
  _xlpm.w, AB$11,
  _xlpm.r, MATCH(1,('3. Enter Indicator Scores'!$B$10:$B$161=$B17)*('3. Enter Indicator Scores'!$C$10:$C$161=$C17),0),
  _xlpm.c, MATCH(AB$8,'3. Enter Indicator Scores'!$D$8:$CZ$8,0),
  _xlpm.v, IFERROR(INDEX('3. Enter Indicator Scores'!$D$10:$CZ$161,_xlpm.r,_xlpm.c),""),
  IF(OR(_xlpm.w="",_xlpm.v=""),"",_xlpm.v*_xlpm.w)
)</f>
        <v/>
      </c>
      <c r="AC17" s="93" t="str" cm="1">
        <f t="array" ref="AC17">_xlfn.LET(
  _xlpm.w, AC$11,
  _xlpm.r, MATCH(1,('3. Enter Indicator Scores'!$B$10:$B$161=$B17)*('3. Enter Indicator Scores'!$C$10:$C$161=$C17),0),
  _xlpm.c, MATCH(AC$8,'3. Enter Indicator Scores'!$D$8:$CZ$8,0),
  _xlpm.v, IFERROR(INDEX('3. Enter Indicator Scores'!$D$10:$CZ$161,_xlpm.r,_xlpm.c),""),
  IF(OR(_xlpm.w="",_xlpm.v=""),"",_xlpm.v*_xlpm.w)
)</f>
        <v/>
      </c>
      <c r="AD17" s="93" t="str" cm="1">
        <f t="array" ref="AD17">_xlfn.LET(
  _xlpm.w, AD$11,
  _xlpm.r, MATCH(1,('3. Enter Indicator Scores'!$B$10:$B$161=$B17)*('3. Enter Indicator Scores'!$C$10:$C$161=$C17),0),
  _xlpm.c, MATCH(AD$8,'3. Enter Indicator Scores'!$D$8:$CZ$8,0),
  _xlpm.v, IFERROR(INDEX('3. Enter Indicator Scores'!$D$10:$CZ$161,_xlpm.r,_xlpm.c),""),
  IF(OR(_xlpm.w="",_xlpm.v=""),"",_xlpm.v*_xlpm.w)
)</f>
        <v/>
      </c>
      <c r="AE17" s="93" t="str" cm="1">
        <f t="array" ref="AE17">_xlfn.LET(
  _xlpm.w, AE$11,
  _xlpm.r, MATCH(1,('3. Enter Indicator Scores'!$B$10:$B$161=$B17)*('3. Enter Indicator Scores'!$C$10:$C$161=$C17),0),
  _xlpm.c, MATCH(AE$8,'3. Enter Indicator Scores'!$D$8:$CZ$8,0),
  _xlpm.v, IFERROR(INDEX('3. Enter Indicator Scores'!$D$10:$CZ$161,_xlpm.r,_xlpm.c),""),
  IF(OR(_xlpm.w="",_xlpm.v=""),"",_xlpm.v*_xlpm.w)
)</f>
        <v/>
      </c>
      <c r="AF17" s="93" t="str" cm="1">
        <f t="array" ref="AF17">_xlfn.LET(
  _xlpm.w, AF$11,
  _xlpm.r, MATCH(1,('3. Enter Indicator Scores'!$B$10:$B$161=$B17)*('3. Enter Indicator Scores'!$C$10:$C$161=$C17),0),
  _xlpm.c, MATCH(AF$8,'3. Enter Indicator Scores'!$D$8:$CZ$8,0),
  _xlpm.v, IFERROR(INDEX('3. Enter Indicator Scores'!$D$10:$CZ$161,_xlpm.r,_xlpm.c),""),
  IF(OR(_xlpm.w="",_xlpm.v=""),"",_xlpm.v*_xlpm.w)
)</f>
        <v/>
      </c>
      <c r="AG17" s="93" t="str" cm="1">
        <f t="array" ref="AG17">_xlfn.LET(
  _xlpm.w, AG$11,
  _xlpm.r, MATCH(1,('3. Enter Indicator Scores'!$B$10:$B$161=$B17)*('3. Enter Indicator Scores'!$C$10:$C$161=$C17),0),
  _xlpm.c, MATCH(AG$8,'3. Enter Indicator Scores'!$D$8:$CZ$8,0),
  _xlpm.v, IFERROR(INDEX('3. Enter Indicator Scores'!$D$10:$CZ$161,_xlpm.r,_xlpm.c),""),
  IF(OR(_xlpm.w="",_xlpm.v=""),"",_xlpm.v*_xlpm.w)
)</f>
        <v/>
      </c>
      <c r="AH17" s="93" t="str" cm="1">
        <f t="array" ref="AH17">_xlfn.LET(
  _xlpm.w, AH$11,
  _xlpm.r, MATCH(1,('3. Enter Indicator Scores'!$B$10:$B$161=$B17)*('3. Enter Indicator Scores'!$C$10:$C$161=$C17),0),
  _xlpm.c, MATCH(AH$8,'3. Enter Indicator Scores'!$D$8:$CZ$8,0),
  _xlpm.v, IFERROR(INDEX('3. Enter Indicator Scores'!$D$10:$CZ$161,_xlpm.r,_xlpm.c),""),
  IF(OR(_xlpm.w="",_xlpm.v=""),"",_xlpm.v*_xlpm.w)
)</f>
        <v/>
      </c>
      <c r="AI17" s="93" t="str" cm="1">
        <f t="array" ref="AI17">_xlfn.LET(
  _xlpm.w, AI$11,
  _xlpm.r, MATCH(1,('3. Enter Indicator Scores'!$B$10:$B$161=$B17)*('3. Enter Indicator Scores'!$C$10:$C$161=$C17),0),
  _xlpm.c, MATCH(AI$8,'3. Enter Indicator Scores'!$D$8:$CZ$8,0),
  _xlpm.v, IFERROR(INDEX('3. Enter Indicator Scores'!$D$10:$CZ$161,_xlpm.r,_xlpm.c),""),
  IF(OR(_xlpm.w="",_xlpm.v=""),"",_xlpm.v*_xlpm.w)
)</f>
        <v/>
      </c>
      <c r="AJ17" s="93" t="str" cm="1">
        <f t="array" ref="AJ17">_xlfn.LET(
  _xlpm.w, AJ$11,
  _xlpm.r, MATCH(1,('3. Enter Indicator Scores'!$B$10:$B$161=$B17)*('3. Enter Indicator Scores'!$C$10:$C$161=$C17),0),
  _xlpm.c, MATCH(AJ$8,'3. Enter Indicator Scores'!$D$8:$CZ$8,0),
  _xlpm.v, IFERROR(INDEX('3. Enter Indicator Scores'!$D$10:$CZ$161,_xlpm.r,_xlpm.c),""),
  IF(OR(_xlpm.w="",_xlpm.v=""),"",_xlpm.v*_xlpm.w)
)</f>
        <v/>
      </c>
      <c r="AK17" s="93" t="str" cm="1">
        <f t="array" ref="AK17">_xlfn.LET(
  _xlpm.w, AK$11,
  _xlpm.r, MATCH(1,('3. Enter Indicator Scores'!$B$10:$B$161=$B17)*('3. Enter Indicator Scores'!$C$10:$C$161=$C17),0),
  _xlpm.c, MATCH(AK$8,'3. Enter Indicator Scores'!$D$8:$CZ$8,0),
  _xlpm.v, IFERROR(INDEX('3. Enter Indicator Scores'!$D$10:$CZ$161,_xlpm.r,_xlpm.c),""),
  IF(OR(_xlpm.w="",_xlpm.v=""),"",_xlpm.v*_xlpm.w)
)</f>
        <v/>
      </c>
      <c r="AL17" s="93" t="str" cm="1">
        <f t="array" ref="AL17">_xlfn.LET(
  _xlpm.w, AL$11,
  _xlpm.r, MATCH(1,('3. Enter Indicator Scores'!$B$10:$B$161=$B17)*('3. Enter Indicator Scores'!$C$10:$C$161=$C17),0),
  _xlpm.c, MATCH(AL$8,'3. Enter Indicator Scores'!$D$8:$CZ$8,0),
  _xlpm.v, IFERROR(INDEX('3. Enter Indicator Scores'!$D$10:$CZ$161,_xlpm.r,_xlpm.c),""),
  IF(OR(_xlpm.w="",_xlpm.v=""),"",_xlpm.v*_xlpm.w)
)</f>
        <v/>
      </c>
      <c r="AM17" s="93" t="str" cm="1">
        <f t="array" ref="AM17">_xlfn.LET(
  _xlpm.w, AM$11,
  _xlpm.r, MATCH(1,('3. Enter Indicator Scores'!$B$10:$B$161=$B17)*('3. Enter Indicator Scores'!$C$10:$C$161=$C17),0),
  _xlpm.c, MATCH(AM$8,'3. Enter Indicator Scores'!$D$8:$CZ$8,0),
  _xlpm.v, IFERROR(INDEX('3. Enter Indicator Scores'!$D$10:$CZ$161,_xlpm.r,_xlpm.c),""),
  IF(OR(_xlpm.w="",_xlpm.v=""),"",_xlpm.v*_xlpm.w)
)</f>
        <v/>
      </c>
      <c r="AN17" s="93" t="str" cm="1">
        <f t="array" ref="AN17">_xlfn.LET(
  _xlpm.w, AN$11,
  _xlpm.r, MATCH(1,('3. Enter Indicator Scores'!$B$10:$B$161=$B17)*('3. Enter Indicator Scores'!$C$10:$C$161=$C17),0),
  _xlpm.c, MATCH(AN$8,'3. Enter Indicator Scores'!$D$8:$CZ$8,0),
  _xlpm.v, IFERROR(INDEX('3. Enter Indicator Scores'!$D$10:$CZ$161,_xlpm.r,_xlpm.c),""),
  IF(OR(_xlpm.w="",_xlpm.v=""),"",_xlpm.v*_xlpm.w)
)</f>
        <v/>
      </c>
      <c r="AO17" s="93" t="str" cm="1">
        <f t="array" ref="AO17">_xlfn.LET(
  _xlpm.w, AO$11,
  _xlpm.r, MATCH(1,('3. Enter Indicator Scores'!$B$10:$B$161=$B17)*('3. Enter Indicator Scores'!$C$10:$C$161=$C17),0),
  _xlpm.c, MATCH(AO$8,'3. Enter Indicator Scores'!$D$8:$CZ$8,0),
  _xlpm.v, IFERROR(INDEX('3. Enter Indicator Scores'!$D$10:$CZ$161,_xlpm.r,_xlpm.c),""),
  IF(OR(_xlpm.w="",_xlpm.v=""),"",_xlpm.v*_xlpm.w)
)</f>
        <v/>
      </c>
      <c r="AP17" s="93" t="str" cm="1">
        <f t="array" ref="AP17">_xlfn.LET(
  _xlpm.w, AP$11,
  _xlpm.r, MATCH(1,('3. Enter Indicator Scores'!$B$10:$B$161=$B17)*('3. Enter Indicator Scores'!$C$10:$C$161=$C17),0),
  _xlpm.c, MATCH(AP$8,'3. Enter Indicator Scores'!$D$8:$CZ$8,0),
  _xlpm.v, IFERROR(INDEX('3. Enter Indicator Scores'!$D$10:$CZ$161,_xlpm.r,_xlpm.c),""),
  IF(OR(_xlpm.w="",_xlpm.v=""),"",_xlpm.v*_xlpm.w)
)</f>
        <v/>
      </c>
      <c r="AQ17" s="93" t="str" cm="1">
        <f t="array" ref="AQ17">_xlfn.LET(
  _xlpm.w, AQ$11,
  _xlpm.r, MATCH(1,('3. Enter Indicator Scores'!$B$10:$B$161=$B17)*('3. Enter Indicator Scores'!$C$10:$C$161=$C17),0),
  _xlpm.c, MATCH(AQ$8,'3. Enter Indicator Scores'!$D$8:$CZ$8,0),
  _xlpm.v, IFERROR(INDEX('3. Enter Indicator Scores'!$D$10:$CZ$161,_xlpm.r,_xlpm.c),""),
  IF(OR(_xlpm.w="",_xlpm.v=""),"",_xlpm.v*_xlpm.w)
)</f>
        <v/>
      </c>
      <c r="AR17" s="93" t="str" cm="1">
        <f t="array" ref="AR17">_xlfn.LET(
  _xlpm.w, AR$11,
  _xlpm.r, MATCH(1,('3. Enter Indicator Scores'!$B$10:$B$161=$B17)*('3. Enter Indicator Scores'!$C$10:$C$161=$C17),0),
  _xlpm.c, MATCH(AR$8,'3. Enter Indicator Scores'!$D$8:$CZ$8,0),
  _xlpm.v, IFERROR(INDEX('3. Enter Indicator Scores'!$D$10:$CZ$161,_xlpm.r,_xlpm.c),""),
  IF(OR(_xlpm.w="",_xlpm.v=""),"",_xlpm.v*_xlpm.w)
)</f>
        <v/>
      </c>
      <c r="AS17" s="93" t="str" cm="1">
        <f t="array" ref="AS17">_xlfn.LET(
  _xlpm.w, AS$11,
  _xlpm.r, MATCH(1,('3. Enter Indicator Scores'!$B$10:$B$161=$B17)*('3. Enter Indicator Scores'!$C$10:$C$161=$C17),0),
  _xlpm.c, MATCH(AS$8,'3. Enter Indicator Scores'!$D$8:$CZ$8,0),
  _xlpm.v, IFERROR(INDEX('3. Enter Indicator Scores'!$D$10:$CZ$161,_xlpm.r,_xlpm.c),""),
  IF(OR(_xlpm.w="",_xlpm.v=""),"",_xlpm.v*_xlpm.w)
)</f>
        <v/>
      </c>
      <c r="AT17" s="93" t="str" cm="1">
        <f t="array" ref="AT17">_xlfn.LET(
  _xlpm.w, AT$11,
  _xlpm.r, MATCH(1,('3. Enter Indicator Scores'!$B$10:$B$161=$B17)*('3. Enter Indicator Scores'!$C$10:$C$161=$C17),0),
  _xlpm.c, MATCH(AT$8,'3. Enter Indicator Scores'!$D$8:$CZ$8,0),
  _xlpm.v, IFERROR(INDEX('3. Enter Indicator Scores'!$D$10:$CZ$161,_xlpm.r,_xlpm.c),""),
  IF(OR(_xlpm.w="",_xlpm.v=""),"",_xlpm.v*_xlpm.w)
)</f>
        <v/>
      </c>
      <c r="AU17" s="93" t="str" cm="1">
        <f t="array" ref="AU17">_xlfn.LET(
  _xlpm.w, AU$11,
  _xlpm.r, MATCH(1,('3. Enter Indicator Scores'!$B$10:$B$161=$B17)*('3. Enter Indicator Scores'!$C$10:$C$161=$C17),0),
  _xlpm.c, MATCH(AU$8,'3. Enter Indicator Scores'!$D$8:$CZ$8,0),
  _xlpm.v, IFERROR(INDEX('3. Enter Indicator Scores'!$D$10:$CZ$161,_xlpm.r,_xlpm.c),""),
  IF(OR(_xlpm.w="",_xlpm.v=""),"",_xlpm.v*_xlpm.w)
)</f>
        <v/>
      </c>
      <c r="AV17" s="93" t="str" cm="1">
        <f t="array" ref="AV17">_xlfn.LET(
  _xlpm.w, AV$11,
  _xlpm.r, MATCH(1,('3. Enter Indicator Scores'!$B$10:$B$161=$B17)*('3. Enter Indicator Scores'!$C$10:$C$161=$C17),0),
  _xlpm.c, MATCH(AV$8,'3. Enter Indicator Scores'!$D$8:$CZ$8,0),
  _xlpm.v, IFERROR(INDEX('3. Enter Indicator Scores'!$D$10:$CZ$161,_xlpm.r,_xlpm.c),""),
  IF(OR(_xlpm.w="",_xlpm.v=""),"",_xlpm.v*_xlpm.w)
)</f>
        <v/>
      </c>
      <c r="AW17" s="93" t="str" cm="1">
        <f t="array" ref="AW17">_xlfn.LET(
  _xlpm.w, AW$11,
  _xlpm.r, MATCH(1,('3. Enter Indicator Scores'!$B$10:$B$161=$B17)*('3. Enter Indicator Scores'!$C$10:$C$161=$C17),0),
  _xlpm.c, MATCH(AW$8,'3. Enter Indicator Scores'!$D$8:$CZ$8,0),
  _xlpm.v, IFERROR(INDEX('3. Enter Indicator Scores'!$D$10:$CZ$161,_xlpm.r,_xlpm.c),""),
  IF(OR(_xlpm.w="",_xlpm.v=""),"",_xlpm.v*_xlpm.w)
)</f>
        <v/>
      </c>
      <c r="AX17" s="93" t="str" cm="1">
        <f t="array" ref="AX17">_xlfn.LET(
  _xlpm.w, AX$11,
  _xlpm.r, MATCH(1,('3. Enter Indicator Scores'!$B$10:$B$161=$B17)*('3. Enter Indicator Scores'!$C$10:$C$161=$C17),0),
  _xlpm.c, MATCH(AX$8,'3. Enter Indicator Scores'!$D$8:$CZ$8,0),
  _xlpm.v, IFERROR(INDEX('3. Enter Indicator Scores'!$D$10:$CZ$161,_xlpm.r,_xlpm.c),""),
  IF(OR(_xlpm.w="",_xlpm.v=""),"",_xlpm.v*_xlpm.w)
)</f>
        <v/>
      </c>
      <c r="AY17" s="93" t="str" cm="1">
        <f t="array" ref="AY17">_xlfn.LET(
  _xlpm.w, AY$11,
  _xlpm.r, MATCH(1,('3. Enter Indicator Scores'!$B$10:$B$161=$B17)*('3. Enter Indicator Scores'!$C$10:$C$161=$C17),0),
  _xlpm.c, MATCH(AY$8,'3. Enter Indicator Scores'!$D$8:$CZ$8,0),
  _xlpm.v, IFERROR(INDEX('3. Enter Indicator Scores'!$D$10:$CZ$161,_xlpm.r,_xlpm.c),""),
  IF(OR(_xlpm.w="",_xlpm.v=""),"",_xlpm.v*_xlpm.w)
)</f>
        <v/>
      </c>
      <c r="AZ17" s="93" t="str" cm="1">
        <f t="array" ref="AZ17">_xlfn.LET(
  _xlpm.w, AZ$11,
  _xlpm.r, MATCH(1,('3. Enter Indicator Scores'!$B$10:$B$161=$B17)*('3. Enter Indicator Scores'!$C$10:$C$161=$C17),0),
  _xlpm.c, MATCH(AZ$8,'3. Enter Indicator Scores'!$D$8:$CZ$8,0),
  _xlpm.v, IFERROR(INDEX('3. Enter Indicator Scores'!$D$10:$CZ$161,_xlpm.r,_xlpm.c),""),
  IF(OR(_xlpm.w="",_xlpm.v=""),"",_xlpm.v*_xlpm.w)
)</f>
        <v/>
      </c>
      <c r="BA17" s="93" t="str" cm="1">
        <f t="array" ref="BA17">_xlfn.LET(
  _xlpm.w, BA$11,
  _xlpm.r, MATCH(1,('3. Enter Indicator Scores'!$B$10:$B$161=$B17)*('3. Enter Indicator Scores'!$C$10:$C$161=$C17),0),
  _xlpm.c, MATCH(BA$8,'3. Enter Indicator Scores'!$D$8:$CZ$8,0),
  _xlpm.v, IFERROR(INDEX('3. Enter Indicator Scores'!$D$10:$CZ$161,_xlpm.r,_xlpm.c),""),
  IF(OR(_xlpm.w="",_xlpm.v=""),"",_xlpm.v*_xlpm.w)
)</f>
        <v/>
      </c>
      <c r="BB17" s="93" t="str" cm="1">
        <f t="array" ref="BB17">_xlfn.LET(
  _xlpm.w, BB$11,
  _xlpm.r, MATCH(1,('3. Enter Indicator Scores'!$B$10:$B$161=$B17)*('3. Enter Indicator Scores'!$C$10:$C$161=$C17),0),
  _xlpm.c, MATCH(BB$8,'3. Enter Indicator Scores'!$D$8:$CZ$8,0),
  _xlpm.v, IFERROR(INDEX('3. Enter Indicator Scores'!$D$10:$CZ$161,_xlpm.r,_xlpm.c),""),
  IF(OR(_xlpm.w="",_xlpm.v=""),"",_xlpm.v*_xlpm.w)
)</f>
        <v/>
      </c>
      <c r="BC17" s="93" t="str" cm="1">
        <f t="array" ref="BC17">_xlfn.LET(
  _xlpm.w, BC$11,
  _xlpm.r, MATCH(1,('3. Enter Indicator Scores'!$B$10:$B$161=$B17)*('3. Enter Indicator Scores'!$C$10:$C$161=$C17),0),
  _xlpm.c, MATCH(BC$8,'3. Enter Indicator Scores'!$D$8:$CZ$8,0),
  _xlpm.v, IFERROR(INDEX('3. Enter Indicator Scores'!$D$10:$CZ$161,_xlpm.r,_xlpm.c),""),
  IF(OR(_xlpm.w="",_xlpm.v=""),"",_xlpm.v*_xlpm.w)
)</f>
        <v/>
      </c>
      <c r="BD17" s="93" t="str" cm="1">
        <f t="array" ref="BD17">_xlfn.LET(
  _xlpm.w, BD$11,
  _xlpm.r, MATCH(1,('3. Enter Indicator Scores'!$B$10:$B$161=$B17)*('3. Enter Indicator Scores'!$C$10:$C$161=$C17),0),
  _xlpm.c, MATCH(BD$8,'3. Enter Indicator Scores'!$D$8:$CZ$8,0),
  _xlpm.v, IFERROR(INDEX('3. Enter Indicator Scores'!$D$10:$CZ$161,_xlpm.r,_xlpm.c),""),
  IF(OR(_xlpm.w="",_xlpm.v=""),"",_xlpm.v*_xlpm.w)
)</f>
        <v/>
      </c>
      <c r="BE17" s="93" t="str" cm="1">
        <f t="array" ref="BE17">_xlfn.LET(
  _xlpm.w, BE$11,
  _xlpm.r, MATCH(1,('3. Enter Indicator Scores'!$B$10:$B$161=$B17)*('3. Enter Indicator Scores'!$C$10:$C$161=$C17),0),
  _xlpm.c, MATCH(BE$8,'3. Enter Indicator Scores'!$D$8:$CZ$8,0),
  _xlpm.v, IFERROR(INDEX('3. Enter Indicator Scores'!$D$10:$CZ$161,_xlpm.r,_xlpm.c),""),
  IF(OR(_xlpm.w="",_xlpm.v=""),"",_xlpm.v*_xlpm.w)
)</f>
        <v/>
      </c>
      <c r="BF17" s="93" t="str" cm="1">
        <f t="array" ref="BF17">_xlfn.LET(
  _xlpm.w, BF$11,
  _xlpm.r, MATCH(1,('3. Enter Indicator Scores'!$B$10:$B$161=$B17)*('3. Enter Indicator Scores'!$C$10:$C$161=$C17),0),
  _xlpm.c, MATCH(BF$8,'3. Enter Indicator Scores'!$D$8:$CZ$8,0),
  _xlpm.v, IFERROR(INDEX('3. Enter Indicator Scores'!$D$10:$CZ$161,_xlpm.r,_xlpm.c),""),
  IF(OR(_xlpm.w="",_xlpm.v=""),"",_xlpm.v*_xlpm.w)
)</f>
        <v/>
      </c>
      <c r="BG17" s="93" t="str" cm="1">
        <f t="array" ref="BG17">_xlfn.LET(
  _xlpm.w, BG$11,
  _xlpm.r, MATCH(1,('3. Enter Indicator Scores'!$B$10:$B$161=$B17)*('3. Enter Indicator Scores'!$C$10:$C$161=$C17),0),
  _xlpm.c, MATCH(BG$8,'3. Enter Indicator Scores'!$D$8:$CZ$8,0),
  _xlpm.v, IFERROR(INDEX('3. Enter Indicator Scores'!$D$10:$CZ$161,_xlpm.r,_xlpm.c),""),
  IF(OR(_xlpm.w="",_xlpm.v=""),"",_xlpm.v*_xlpm.w)
)</f>
        <v/>
      </c>
      <c r="BH17" s="93" t="str" cm="1">
        <f t="array" ref="BH17">_xlfn.LET(
  _xlpm.w, BH$11,
  _xlpm.r, MATCH(1,('3. Enter Indicator Scores'!$B$10:$B$161=$B17)*('3. Enter Indicator Scores'!$C$10:$C$161=$C17),0),
  _xlpm.c, MATCH(BH$8,'3. Enter Indicator Scores'!$D$8:$CZ$8,0),
  _xlpm.v, IFERROR(INDEX('3. Enter Indicator Scores'!$D$10:$CZ$161,_xlpm.r,_xlpm.c),""),
  IF(OR(_xlpm.w="",_xlpm.v=""),"",_xlpm.v*_xlpm.w)
)</f>
        <v/>
      </c>
      <c r="BI17" s="93" t="str" cm="1">
        <f t="array" ref="BI17">_xlfn.LET(
  _xlpm.w, BI$11,
  _xlpm.r, MATCH(1,('3. Enter Indicator Scores'!$B$10:$B$161=$B17)*('3. Enter Indicator Scores'!$C$10:$C$161=$C17),0),
  _xlpm.c, MATCH(BI$8,'3. Enter Indicator Scores'!$D$8:$CZ$8,0),
  _xlpm.v, IFERROR(INDEX('3. Enter Indicator Scores'!$D$10:$CZ$161,_xlpm.r,_xlpm.c),""),
  IF(OR(_xlpm.w="",_xlpm.v=""),"",_xlpm.v*_xlpm.w)
)</f>
        <v/>
      </c>
      <c r="BJ17" s="93" t="str" cm="1">
        <f t="array" ref="BJ17">_xlfn.LET(
  _xlpm.w, BJ$11,
  _xlpm.r, MATCH(1,('3. Enter Indicator Scores'!$B$10:$B$161=$B17)*('3. Enter Indicator Scores'!$C$10:$C$161=$C17),0),
  _xlpm.c, MATCH(BJ$8,'3. Enter Indicator Scores'!$D$8:$CZ$8,0),
  _xlpm.v, IFERROR(INDEX('3. Enter Indicator Scores'!$D$10:$CZ$161,_xlpm.r,_xlpm.c),""),
  IF(OR(_xlpm.w="",_xlpm.v=""),"",_xlpm.v*_xlpm.w)
)</f>
        <v/>
      </c>
      <c r="BK17" s="93" t="str" cm="1">
        <f t="array" ref="BK17">_xlfn.LET(
  _xlpm.w, BK$11,
  _xlpm.r, MATCH(1,('3. Enter Indicator Scores'!$B$10:$B$161=$B17)*('3. Enter Indicator Scores'!$C$10:$C$161=$C17),0),
  _xlpm.c, MATCH(BK$8,'3. Enter Indicator Scores'!$D$8:$CZ$8,0),
  _xlpm.v, IFERROR(INDEX('3. Enter Indicator Scores'!$D$10:$CZ$161,_xlpm.r,_xlpm.c),""),
  IF(OR(_xlpm.w="",_xlpm.v=""),"",_xlpm.v*_xlpm.w)
)</f>
        <v/>
      </c>
      <c r="BL17" s="93" t="str" cm="1">
        <f t="array" ref="BL17">_xlfn.LET(
  _xlpm.w, BL$11,
  _xlpm.r, MATCH(1,('3. Enter Indicator Scores'!$B$10:$B$161=$B17)*('3. Enter Indicator Scores'!$C$10:$C$161=$C17),0),
  _xlpm.c, MATCH(BL$8,'3. Enter Indicator Scores'!$D$8:$CZ$8,0),
  _xlpm.v, IFERROR(INDEX('3. Enter Indicator Scores'!$D$10:$CZ$161,_xlpm.r,_xlpm.c),""),
  IF(OR(_xlpm.w="",_xlpm.v=""),"",_xlpm.v*_xlpm.w)
)</f>
        <v/>
      </c>
      <c r="BM17" s="93" t="str" cm="1">
        <f t="array" ref="BM17">_xlfn.LET(
  _xlpm.w, BM$11,
  _xlpm.r, MATCH(1,('3. Enter Indicator Scores'!$B$10:$B$161=$B17)*('3. Enter Indicator Scores'!$C$10:$C$161=$C17),0),
  _xlpm.c, MATCH(BM$8,'3. Enter Indicator Scores'!$D$8:$CZ$8,0),
  _xlpm.v, IFERROR(INDEX('3. Enter Indicator Scores'!$D$10:$CZ$161,_xlpm.r,_xlpm.c),""),
  IF(OR(_xlpm.w="",_xlpm.v=""),"",_xlpm.v*_xlpm.w)
)</f>
        <v/>
      </c>
      <c r="BN17" s="93" t="str" cm="1">
        <f t="array" ref="BN17">_xlfn.LET(
  _xlpm.w, BN$11,
  _xlpm.r, MATCH(1,('3. Enter Indicator Scores'!$B$10:$B$161=$B17)*('3. Enter Indicator Scores'!$C$10:$C$161=$C17),0),
  _xlpm.c, MATCH(BN$8,'3. Enter Indicator Scores'!$D$8:$CZ$8,0),
  _xlpm.v, IFERROR(INDEX('3. Enter Indicator Scores'!$D$10:$CZ$161,_xlpm.r,_xlpm.c),""),
  IF(OR(_xlpm.w="",_xlpm.v=""),"",_xlpm.v*_xlpm.w)
)</f>
        <v/>
      </c>
      <c r="BO17" s="93" t="str" cm="1">
        <f t="array" ref="BO17">_xlfn.LET(
  _xlpm.w, BO$11,
  _xlpm.r, MATCH(1,('3. Enter Indicator Scores'!$B$10:$B$161=$B17)*('3. Enter Indicator Scores'!$C$10:$C$161=$C17),0),
  _xlpm.c, MATCH(BO$8,'3. Enter Indicator Scores'!$D$8:$CZ$8,0),
  _xlpm.v, IFERROR(INDEX('3. Enter Indicator Scores'!$D$10:$CZ$161,_xlpm.r,_xlpm.c),""),
  IF(OR(_xlpm.w="",_xlpm.v=""),"",_xlpm.v*_xlpm.w)
)</f>
        <v/>
      </c>
      <c r="BP17" s="93" t="str" cm="1">
        <f t="array" ref="BP17">_xlfn.LET(
  _xlpm.w, BP$11,
  _xlpm.r, MATCH(1,('3. Enter Indicator Scores'!$B$10:$B$161=$B17)*('3. Enter Indicator Scores'!$C$10:$C$161=$C17),0),
  _xlpm.c, MATCH(BP$8,'3. Enter Indicator Scores'!$D$8:$CZ$8,0),
  _xlpm.v, IFERROR(INDEX('3. Enter Indicator Scores'!$D$10:$CZ$161,_xlpm.r,_xlpm.c),""),
  IF(OR(_xlpm.w="",_xlpm.v=""),"",_xlpm.v*_xlpm.w)
)</f>
        <v/>
      </c>
      <c r="BQ17" s="93" t="str" cm="1">
        <f t="array" ref="BQ17">_xlfn.LET(
  _xlpm.w, BQ$11,
  _xlpm.r, MATCH(1,('3. Enter Indicator Scores'!$B$10:$B$161=$B17)*('3. Enter Indicator Scores'!$C$10:$C$161=$C17),0),
  _xlpm.c, MATCH(BQ$8,'3. Enter Indicator Scores'!$D$8:$CZ$8,0),
  _xlpm.v, IFERROR(INDEX('3. Enter Indicator Scores'!$D$10:$CZ$161,_xlpm.r,_xlpm.c),""),
  IF(OR(_xlpm.w="",_xlpm.v=""),"",_xlpm.v*_xlpm.w)
)</f>
        <v/>
      </c>
      <c r="BR17" s="93" t="str" cm="1">
        <f t="array" ref="BR17">_xlfn.LET(
  _xlpm.w, BR$11,
  _xlpm.r, MATCH(1,('3. Enter Indicator Scores'!$B$10:$B$161=$B17)*('3. Enter Indicator Scores'!$C$10:$C$161=$C17),0),
  _xlpm.c, MATCH(BR$8,'3. Enter Indicator Scores'!$D$8:$CZ$8,0),
  _xlpm.v, IFERROR(INDEX('3. Enter Indicator Scores'!$D$10:$CZ$161,_xlpm.r,_xlpm.c),""),
  IF(OR(_xlpm.w="",_xlpm.v=""),"",_xlpm.v*_xlpm.w)
)</f>
        <v/>
      </c>
      <c r="BS17" s="93" t="str" cm="1">
        <f t="array" ref="BS17">_xlfn.LET(
  _xlpm.w, BS$11,
  _xlpm.r, MATCH(1,('3. Enter Indicator Scores'!$B$10:$B$161=$B17)*('3. Enter Indicator Scores'!$C$10:$C$161=$C17),0),
  _xlpm.c, MATCH(BS$8,'3. Enter Indicator Scores'!$D$8:$CZ$8,0),
  _xlpm.v, IFERROR(INDEX('3. Enter Indicator Scores'!$D$10:$CZ$161,_xlpm.r,_xlpm.c),""),
  IF(OR(_xlpm.w="",_xlpm.v=""),"",_xlpm.v*_xlpm.w)
)</f>
        <v/>
      </c>
      <c r="BT17" s="93" t="str" cm="1">
        <f t="array" ref="BT17">_xlfn.LET(
  _xlpm.w, BT$11,
  _xlpm.r, MATCH(1,('3. Enter Indicator Scores'!$B$10:$B$161=$B17)*('3. Enter Indicator Scores'!$C$10:$C$161=$C17),0),
  _xlpm.c, MATCH(BT$8,'3. Enter Indicator Scores'!$D$8:$CZ$8,0),
  _xlpm.v, IFERROR(INDEX('3. Enter Indicator Scores'!$D$10:$CZ$161,_xlpm.r,_xlpm.c),""),
  IF(OR(_xlpm.w="",_xlpm.v=""),"",_xlpm.v*_xlpm.w)
)</f>
        <v/>
      </c>
      <c r="BU17" s="93" t="str" cm="1">
        <f t="array" ref="BU17">_xlfn.LET(
  _xlpm.w, BU$11,
  _xlpm.r, MATCH(1,('3. Enter Indicator Scores'!$B$10:$B$161=$B17)*('3. Enter Indicator Scores'!$C$10:$C$161=$C17),0),
  _xlpm.c, MATCH(BU$8,'3. Enter Indicator Scores'!$D$8:$CZ$8,0),
  _xlpm.v, IFERROR(INDEX('3. Enter Indicator Scores'!$D$10:$CZ$161,_xlpm.r,_xlpm.c),""),
  IF(OR(_xlpm.w="",_xlpm.v=""),"",_xlpm.v*_xlpm.w)
)</f>
        <v/>
      </c>
      <c r="BV17" s="93" t="str" cm="1">
        <f t="array" ref="BV17">_xlfn.LET(
  _xlpm.w, BV$11,
  _xlpm.r, MATCH(1,('3. Enter Indicator Scores'!$B$10:$B$161=$B17)*('3. Enter Indicator Scores'!$C$10:$C$161=$C17),0),
  _xlpm.c, MATCH(BV$8,'3. Enter Indicator Scores'!$D$8:$CZ$8,0),
  _xlpm.v, IFERROR(INDEX('3. Enter Indicator Scores'!$D$10:$CZ$161,_xlpm.r,_xlpm.c),""),
  IF(OR(_xlpm.w="",_xlpm.v=""),"",_xlpm.v*_xlpm.w)
)</f>
        <v/>
      </c>
      <c r="BW17" s="93" t="str" cm="1">
        <f t="array" ref="BW17">_xlfn.LET(
  _xlpm.w, BW$11,
  _xlpm.r, MATCH(1,('3. Enter Indicator Scores'!$B$10:$B$161=$B17)*('3. Enter Indicator Scores'!$C$10:$C$161=$C17),0),
  _xlpm.c, MATCH(BW$8,'3. Enter Indicator Scores'!$D$8:$CZ$8,0),
  _xlpm.v, IFERROR(INDEX('3. Enter Indicator Scores'!$D$10:$CZ$161,_xlpm.r,_xlpm.c),""),
  IF(OR(_xlpm.w="",_xlpm.v=""),"",_xlpm.v*_xlpm.w)
)</f>
        <v/>
      </c>
      <c r="BX17" s="93" t="str" cm="1">
        <f t="array" ref="BX17">_xlfn.LET(
  _xlpm.w, BX$11,
  _xlpm.r, MATCH(1,('3. Enter Indicator Scores'!$B$10:$B$161=$B17)*('3. Enter Indicator Scores'!$C$10:$C$161=$C17),0),
  _xlpm.c, MATCH(BX$8,'3. Enter Indicator Scores'!$D$8:$CZ$8,0),
  _xlpm.v, IFERROR(INDEX('3. Enter Indicator Scores'!$D$10:$CZ$161,_xlpm.r,_xlpm.c),""),
  IF(OR(_xlpm.w="",_xlpm.v=""),"",_xlpm.v*_xlpm.w)
)</f>
        <v/>
      </c>
      <c r="BY17" s="93" t="str" cm="1">
        <f t="array" ref="BY17">_xlfn.LET(
  _xlpm.w, BY$11,
  _xlpm.r, MATCH(1,('3. Enter Indicator Scores'!$B$10:$B$161=$B17)*('3. Enter Indicator Scores'!$C$10:$C$161=$C17),0),
  _xlpm.c, MATCH(BY$8,'3. Enter Indicator Scores'!$D$8:$CZ$8,0),
  _xlpm.v, IFERROR(INDEX('3. Enter Indicator Scores'!$D$10:$CZ$161,_xlpm.r,_xlpm.c),""),
  IF(OR(_xlpm.w="",_xlpm.v=""),"",_xlpm.v*_xlpm.w)
)</f>
        <v/>
      </c>
      <c r="BZ17" s="93" t="str" cm="1">
        <f t="array" ref="BZ17">_xlfn.LET(
  _xlpm.w, BZ$11,
  _xlpm.r, MATCH(1,('3. Enter Indicator Scores'!$B$10:$B$161=$B17)*('3. Enter Indicator Scores'!$C$10:$C$161=$C17),0),
  _xlpm.c, MATCH(BZ$8,'3. Enter Indicator Scores'!$D$8:$CZ$8,0),
  _xlpm.v, IFERROR(INDEX('3. Enter Indicator Scores'!$D$10:$CZ$161,_xlpm.r,_xlpm.c),""),
  IF(OR(_xlpm.w="",_xlpm.v=""),"",_xlpm.v*_xlpm.w)
)</f>
        <v/>
      </c>
      <c r="CA17" s="93" t="str" cm="1">
        <f t="array" ref="CA17">_xlfn.LET(
  _xlpm.w, CA$11,
  _xlpm.r, MATCH(1,('3. Enter Indicator Scores'!$B$10:$B$161=$B17)*('3. Enter Indicator Scores'!$C$10:$C$161=$C17),0),
  _xlpm.c, MATCH(CA$8,'3. Enter Indicator Scores'!$D$8:$CZ$8,0),
  _xlpm.v, IFERROR(INDEX('3. Enter Indicator Scores'!$D$10:$CZ$161,_xlpm.r,_xlpm.c),""),
  IF(OR(_xlpm.w="",_xlpm.v=""),"",_xlpm.v*_xlpm.w)
)</f>
        <v/>
      </c>
      <c r="CB17" s="93" t="str" cm="1">
        <f t="array" ref="CB17">_xlfn.LET(
  _xlpm.w, CB$11,
  _xlpm.r, MATCH(1,('3. Enter Indicator Scores'!$B$10:$B$161=$B17)*('3. Enter Indicator Scores'!$C$10:$C$161=$C17),0),
  _xlpm.c, MATCH(CB$8,'3. Enter Indicator Scores'!$D$8:$CZ$8,0),
  _xlpm.v, IFERROR(INDEX('3. Enter Indicator Scores'!$D$10:$CZ$161,_xlpm.r,_xlpm.c),""),
  IF(OR(_xlpm.w="",_xlpm.v=""),"",_xlpm.v*_xlpm.w)
)</f>
        <v/>
      </c>
      <c r="CC17" s="93" t="str" cm="1">
        <f t="array" ref="CC17">_xlfn.LET(
  _xlpm.w, CC$11,
  _xlpm.r, MATCH(1,('3. Enter Indicator Scores'!$B$10:$B$161=$B17)*('3. Enter Indicator Scores'!$C$10:$C$161=$C17),0),
  _xlpm.c, MATCH(CC$8,'3. Enter Indicator Scores'!$D$8:$CZ$8,0),
  _xlpm.v, IFERROR(INDEX('3. Enter Indicator Scores'!$D$10:$CZ$161,_xlpm.r,_xlpm.c),""),
  IF(OR(_xlpm.w="",_xlpm.v=""),"",_xlpm.v*_xlpm.w)
)</f>
        <v/>
      </c>
      <c r="CD17" s="93" t="str" cm="1">
        <f t="array" ref="CD17">_xlfn.LET(
  _xlpm.w, CD$11,
  _xlpm.r, MATCH(1,('3. Enter Indicator Scores'!$B$10:$B$161=$B17)*('3. Enter Indicator Scores'!$C$10:$C$161=$C17),0),
  _xlpm.c, MATCH(CD$8,'3. Enter Indicator Scores'!$D$8:$CZ$8,0),
  _xlpm.v, IFERROR(INDEX('3. Enter Indicator Scores'!$D$10:$CZ$161,_xlpm.r,_xlpm.c),""),
  IF(OR(_xlpm.w="",_xlpm.v=""),"",_xlpm.v*_xlpm.w)
)</f>
        <v/>
      </c>
      <c r="CE17" s="93" t="str" cm="1">
        <f t="array" ref="CE17">_xlfn.LET(
  _xlpm.w, CE$11,
  _xlpm.r, MATCH(1,('3. Enter Indicator Scores'!$B$10:$B$161=$B17)*('3. Enter Indicator Scores'!$C$10:$C$161=$C17),0),
  _xlpm.c, MATCH(CE$8,'3. Enter Indicator Scores'!$D$8:$CZ$8,0),
  _xlpm.v, IFERROR(INDEX('3. Enter Indicator Scores'!$D$10:$CZ$161,_xlpm.r,_xlpm.c),""),
  IF(OR(_xlpm.w="",_xlpm.v=""),"",_xlpm.v*_xlpm.w)
)</f>
        <v/>
      </c>
      <c r="CF17" s="93" t="str" cm="1">
        <f t="array" ref="CF17">_xlfn.LET(
  _xlpm.w, CF$11,
  _xlpm.r, MATCH(1,('3. Enter Indicator Scores'!$B$10:$B$161=$B17)*('3. Enter Indicator Scores'!$C$10:$C$161=$C17),0),
  _xlpm.c, MATCH(CF$8,'3. Enter Indicator Scores'!$D$8:$CZ$8,0),
  _xlpm.v, IFERROR(INDEX('3. Enter Indicator Scores'!$D$10:$CZ$161,_xlpm.r,_xlpm.c),""),
  IF(OR(_xlpm.w="",_xlpm.v=""),"",_xlpm.v*_xlpm.w)
)</f>
        <v/>
      </c>
      <c r="CG17" s="93" t="str" cm="1">
        <f t="array" ref="CG17">_xlfn.LET(
  _xlpm.w, CG$11,
  _xlpm.r, MATCH(1,('3. Enter Indicator Scores'!$B$10:$B$161=$B17)*('3. Enter Indicator Scores'!$C$10:$C$161=$C17),0),
  _xlpm.c, MATCH(CG$8,'3. Enter Indicator Scores'!$D$8:$CZ$8,0),
  _xlpm.v, IFERROR(INDEX('3. Enter Indicator Scores'!$D$10:$CZ$161,_xlpm.r,_xlpm.c),""),
  IF(OR(_xlpm.w="",_xlpm.v=""),"",_xlpm.v*_xlpm.w)
)</f>
        <v/>
      </c>
      <c r="CH17" s="93" t="str" cm="1">
        <f t="array" ref="CH17">_xlfn.LET(
  _xlpm.w, CH$11,
  _xlpm.r, MATCH(1,('3. Enter Indicator Scores'!$B$10:$B$161=$B17)*('3. Enter Indicator Scores'!$C$10:$C$161=$C17),0),
  _xlpm.c, MATCH(CH$8,'3. Enter Indicator Scores'!$D$8:$CZ$8,0),
  _xlpm.v, IFERROR(INDEX('3. Enter Indicator Scores'!$D$10:$CZ$161,_xlpm.r,_xlpm.c),""),
  IF(OR(_xlpm.w="",_xlpm.v=""),"",_xlpm.v*_xlpm.w)
)</f>
        <v/>
      </c>
      <c r="CI17" s="93" t="str" cm="1">
        <f t="array" ref="CI17">_xlfn.LET(
  _xlpm.w, CI$11,
  _xlpm.r, MATCH(1,('3. Enter Indicator Scores'!$B$10:$B$161=$B17)*('3. Enter Indicator Scores'!$C$10:$C$161=$C17),0),
  _xlpm.c, MATCH(CI$8,'3. Enter Indicator Scores'!$D$8:$CZ$8,0),
  _xlpm.v, IFERROR(INDEX('3. Enter Indicator Scores'!$D$10:$CZ$161,_xlpm.r,_xlpm.c),""),
  IF(OR(_xlpm.w="",_xlpm.v=""),"",_xlpm.v*_xlpm.w)
)</f>
        <v/>
      </c>
      <c r="CJ17" s="93" t="str" cm="1">
        <f t="array" ref="CJ17">_xlfn.LET(
  _xlpm.w, CJ$11,
  _xlpm.r, MATCH(1,('3. Enter Indicator Scores'!$B$10:$B$161=$B17)*('3. Enter Indicator Scores'!$C$10:$C$161=$C17),0),
  _xlpm.c, MATCH(CJ$8,'3. Enter Indicator Scores'!$D$8:$CZ$8,0),
  _xlpm.v, IFERROR(INDEX('3. Enter Indicator Scores'!$D$10:$CZ$161,_xlpm.r,_xlpm.c),""),
  IF(OR(_xlpm.w="",_xlpm.v=""),"",_xlpm.v*_xlpm.w)
)</f>
        <v/>
      </c>
      <c r="CK17" s="93" t="str" cm="1">
        <f t="array" ref="CK17">_xlfn.LET(
  _xlpm.w, CK$11,
  _xlpm.r, MATCH(1,('3. Enter Indicator Scores'!$B$10:$B$161=$B17)*('3. Enter Indicator Scores'!$C$10:$C$161=$C17),0),
  _xlpm.c, MATCH(CK$8,'3. Enter Indicator Scores'!$D$8:$CZ$8,0),
  _xlpm.v, IFERROR(INDEX('3. Enter Indicator Scores'!$D$10:$CZ$161,_xlpm.r,_xlpm.c),""),
  IF(OR(_xlpm.w="",_xlpm.v=""),"",_xlpm.v*_xlpm.w)
)</f>
        <v/>
      </c>
      <c r="CL17" s="93" t="str" cm="1">
        <f t="array" ref="CL17">_xlfn.LET(
  _xlpm.w, CL$11,
  _xlpm.r, MATCH(1,('3. Enter Indicator Scores'!$B$10:$B$161=$B17)*('3. Enter Indicator Scores'!$C$10:$C$161=$C17),0),
  _xlpm.c, MATCH(CL$8,'3. Enter Indicator Scores'!$D$8:$CZ$8,0),
  _xlpm.v, IFERROR(INDEX('3. Enter Indicator Scores'!$D$10:$CZ$161,_xlpm.r,_xlpm.c),""),
  IF(OR(_xlpm.w="",_xlpm.v=""),"",_xlpm.v*_xlpm.w)
)</f>
        <v/>
      </c>
      <c r="CM17" s="93" t="str" cm="1">
        <f t="array" ref="CM17">_xlfn.LET(
  _xlpm.w, CM$11,
  _xlpm.r, MATCH(1,('3. Enter Indicator Scores'!$B$10:$B$161=$B17)*('3. Enter Indicator Scores'!$C$10:$C$161=$C17),0),
  _xlpm.c, MATCH(CM$8,'3. Enter Indicator Scores'!$D$8:$CZ$8,0),
  _xlpm.v, IFERROR(INDEX('3. Enter Indicator Scores'!$D$10:$CZ$161,_xlpm.r,_xlpm.c),""),
  IF(OR(_xlpm.w="",_xlpm.v=""),"",_xlpm.v*_xlpm.w)
)</f>
        <v/>
      </c>
      <c r="CN17" s="93" t="str" cm="1">
        <f t="array" ref="CN17">_xlfn.LET(
  _xlpm.w, CN$11,
  _xlpm.r, MATCH(1,('3. Enter Indicator Scores'!$B$10:$B$161=$B17)*('3. Enter Indicator Scores'!$C$10:$C$161=$C17),0),
  _xlpm.c, MATCH(CN$8,'3. Enter Indicator Scores'!$D$8:$CZ$8,0),
  _xlpm.v, IFERROR(INDEX('3. Enter Indicator Scores'!$D$10:$CZ$161,_xlpm.r,_xlpm.c),""),
  IF(OR(_xlpm.w="",_xlpm.v=""),"",_xlpm.v*_xlpm.w)
)</f>
        <v/>
      </c>
      <c r="CO17" s="93" t="str" cm="1">
        <f t="array" ref="CO17">_xlfn.LET(
  _xlpm.w, CO$11,
  _xlpm.r, MATCH(1,('3. Enter Indicator Scores'!$B$10:$B$161=$B17)*('3. Enter Indicator Scores'!$C$10:$C$161=$C17),0),
  _xlpm.c, MATCH(CO$8,'3. Enter Indicator Scores'!$D$8:$CZ$8,0),
  _xlpm.v, IFERROR(INDEX('3. Enter Indicator Scores'!$D$10:$CZ$161,_xlpm.r,_xlpm.c),""),
  IF(OR(_xlpm.w="",_xlpm.v=""),"",_xlpm.v*_xlpm.w)
)</f>
        <v/>
      </c>
      <c r="CP17" s="93" t="str" cm="1">
        <f t="array" ref="CP17">_xlfn.LET(
  _xlpm.w, CP$11,
  _xlpm.r, MATCH(1,('3. Enter Indicator Scores'!$B$10:$B$161=$B17)*('3. Enter Indicator Scores'!$C$10:$C$161=$C17),0),
  _xlpm.c, MATCH(CP$8,'3. Enter Indicator Scores'!$D$8:$CZ$8,0),
  _xlpm.v, IFERROR(INDEX('3. Enter Indicator Scores'!$D$10:$CZ$161,_xlpm.r,_xlpm.c),""),
  IF(OR(_xlpm.w="",_xlpm.v=""),"",_xlpm.v*_xlpm.w)
)</f>
        <v/>
      </c>
      <c r="CQ17" s="93" t="str" cm="1">
        <f t="array" ref="CQ17">_xlfn.LET(
  _xlpm.w, CQ$11,
  _xlpm.r, MATCH(1,('3. Enter Indicator Scores'!$B$10:$B$161=$B17)*('3. Enter Indicator Scores'!$C$10:$C$161=$C17),0),
  _xlpm.c, MATCH(CQ$8,'3. Enter Indicator Scores'!$D$8:$CZ$8,0),
  _xlpm.v, IFERROR(INDEX('3. Enter Indicator Scores'!$D$10:$CZ$161,_xlpm.r,_xlpm.c),""),
  IF(OR(_xlpm.w="",_xlpm.v=""),"",_xlpm.v*_xlpm.w)
)</f>
        <v/>
      </c>
      <c r="CR17" s="93" t="str" cm="1">
        <f t="array" ref="CR17">_xlfn.LET(
  _xlpm.w, CR$11,
  _xlpm.r, MATCH(1,('3. Enter Indicator Scores'!$B$10:$B$161=$B17)*('3. Enter Indicator Scores'!$C$10:$C$161=$C17),0),
  _xlpm.c, MATCH(CR$8,'3. Enter Indicator Scores'!$D$8:$CZ$8,0),
  _xlpm.v, IFERROR(INDEX('3. Enter Indicator Scores'!$D$10:$CZ$161,_xlpm.r,_xlpm.c),""),
  IF(OR(_xlpm.w="",_xlpm.v=""),"",_xlpm.v*_xlpm.w)
)</f>
        <v/>
      </c>
      <c r="CS17" s="93" t="str" cm="1">
        <f t="array" ref="CS17">_xlfn.LET(
  _xlpm.w, CS$11,
  _xlpm.r, MATCH(1,('3. Enter Indicator Scores'!$B$10:$B$161=$B17)*('3. Enter Indicator Scores'!$C$10:$C$161=$C17),0),
  _xlpm.c, MATCH(CS$8,'3. Enter Indicator Scores'!$D$8:$CZ$8,0),
  _xlpm.v, IFERROR(INDEX('3. Enter Indicator Scores'!$D$10:$CZ$161,_xlpm.r,_xlpm.c),""),
  IF(OR(_xlpm.w="",_xlpm.v=""),"",_xlpm.v*_xlpm.w)
)</f>
        <v/>
      </c>
      <c r="CT17" s="93" t="str" cm="1">
        <f t="array" ref="CT17">_xlfn.LET(
  _xlpm.w, CT$11,
  _xlpm.r, MATCH(1,('3. Enter Indicator Scores'!$B$10:$B$161=$B17)*('3. Enter Indicator Scores'!$C$10:$C$161=$C17),0),
  _xlpm.c, MATCH(CT$8,'3. Enter Indicator Scores'!$D$8:$CZ$8,0),
  _xlpm.v, IFERROR(INDEX('3. Enter Indicator Scores'!$D$10:$CZ$161,_xlpm.r,_xlpm.c),""),
  IF(OR(_xlpm.w="",_xlpm.v=""),"",_xlpm.v*_xlpm.w)
)</f>
        <v/>
      </c>
      <c r="CU17" s="93" t="str" cm="1">
        <f t="array" ref="CU17">_xlfn.LET(
  _xlpm.w, CU$11,
  _xlpm.r, MATCH(1,('3. Enter Indicator Scores'!$B$10:$B$161=$B17)*('3. Enter Indicator Scores'!$C$10:$C$161=$C17),0),
  _xlpm.c, MATCH(CU$8,'3. Enter Indicator Scores'!$D$8:$CZ$8,0),
  _xlpm.v, IFERROR(INDEX('3. Enter Indicator Scores'!$D$10:$CZ$161,_xlpm.r,_xlpm.c),""),
  IF(OR(_xlpm.w="",_xlpm.v=""),"",_xlpm.v*_xlpm.w)
)</f>
        <v/>
      </c>
      <c r="CV17" s="93" t="str" cm="1">
        <f t="array" ref="CV17">_xlfn.LET(
  _xlpm.w, CV$11,
  _xlpm.r, MATCH(1,('3. Enter Indicator Scores'!$B$10:$B$161=$B17)*('3. Enter Indicator Scores'!$C$10:$C$161=$C17),0),
  _xlpm.c, MATCH(CV$8,'3. Enter Indicator Scores'!$D$8:$CZ$8,0),
  _xlpm.v, IFERROR(INDEX('3. Enter Indicator Scores'!$D$10:$CZ$161,_xlpm.r,_xlpm.c),""),
  IF(OR(_xlpm.w="",_xlpm.v=""),"",_xlpm.v*_xlpm.w)
)</f>
        <v/>
      </c>
      <c r="CW17" s="93" t="str" cm="1">
        <f t="array" ref="CW17">_xlfn.LET(
  _xlpm.w, CW$11,
  _xlpm.r, MATCH(1,('3. Enter Indicator Scores'!$B$10:$B$161=$B17)*('3. Enter Indicator Scores'!$C$10:$C$161=$C17),0),
  _xlpm.c, MATCH(CW$8,'3. Enter Indicator Scores'!$D$8:$CZ$8,0),
  _xlpm.v, IFERROR(INDEX('3. Enter Indicator Scores'!$D$10:$CZ$161,_xlpm.r,_xlpm.c),""),
  IF(OR(_xlpm.w="",_xlpm.v=""),"",_xlpm.v*_xlpm.w)
)</f>
        <v/>
      </c>
      <c r="CX17" s="93" t="str" cm="1">
        <f t="array" ref="CX17">_xlfn.LET(
  _xlpm.w, CX$11,
  _xlpm.r, MATCH(1,('3. Enter Indicator Scores'!$B$10:$B$161=$B17)*('3. Enter Indicator Scores'!$C$10:$C$161=$C17),0),
  _xlpm.c, MATCH(CX$8,'3. Enter Indicator Scores'!$D$8:$CZ$8,0),
  _xlpm.v, IFERROR(INDEX('3. Enter Indicator Scores'!$D$10:$CZ$161,_xlpm.r,_xlpm.c),""),
  IF(OR(_xlpm.w="",_xlpm.v=""),"",_xlpm.v*_xlpm.w)
)</f>
        <v/>
      </c>
      <c r="CY17" s="93" t="str" cm="1">
        <f t="array" ref="CY17">_xlfn.LET(
  _xlpm.w, CY$11,
  _xlpm.r, MATCH(1,('3. Enter Indicator Scores'!$B$10:$B$161=$B17)*('3. Enter Indicator Scores'!$C$10:$C$161=$C17),0),
  _xlpm.c, MATCH(CY$8,'3. Enter Indicator Scores'!$D$8:$CZ$8,0),
  _xlpm.v, IFERROR(INDEX('3. Enter Indicator Scores'!$D$10:$CZ$161,_xlpm.r,_xlpm.c),""),
  IF(OR(_xlpm.w="",_xlpm.v=""),"",_xlpm.v*_xlpm.w)
)</f>
        <v/>
      </c>
      <c r="CZ17" s="93" t="str" cm="1">
        <f t="array" ref="CZ17">_xlfn.LET(
  _xlpm.w, CZ$11,
  _xlpm.r, MATCH(1,('3. Enter Indicator Scores'!$B$10:$B$161=$B17)*('3. Enter Indicator Scores'!$C$10:$C$161=$C17),0),
  _xlpm.c, MATCH(CZ$8,'3. Enter Indicator Scores'!$D$8:$CZ$8,0),
  _xlpm.v, IFERROR(INDEX('3. Enter Indicator Scores'!$D$10:$CZ$161,_xlpm.r,_xlpm.c),""),
  IF(OR(_xlpm.w="",_xlpm.v=""),"",_xlpm.v*_xlpm.w)
)</f>
        <v/>
      </c>
    </row>
    <row r="18" spans="1:104" x14ac:dyDescent="0.2">
      <c r="D18" s="93" t="str" cm="1">
        <f t="array" ref="D18">_xlfn.LET(
  _xlpm.w, D$11,
  _xlpm.r, MATCH(1,('3. Enter Indicator Scores'!$B$10:$B$161=$B18)*('3. Enter Indicator Scores'!$C$10:$C$161=$C18),0),
  _xlpm.c, MATCH(D$8,'3. Enter Indicator Scores'!$D$8:$CZ$8,0),
  _xlpm.v, IFERROR(INDEX('3. Enter Indicator Scores'!$D$10:$CZ$161,_xlpm.r,_xlpm.c),""),
  IF(OR(_xlpm.w="",_xlpm.v=""),"",_xlpm.v*_xlpm.w)
)</f>
        <v/>
      </c>
      <c r="E18" s="93" t="str" cm="1">
        <f t="array" ref="E18">_xlfn.LET(
  _xlpm.w, E$11,
  _xlpm.r, MATCH(1,('3. Enter Indicator Scores'!$B$10:$B$161=$B18)*('3. Enter Indicator Scores'!$C$10:$C$161=$C18),0),
  _xlpm.c, MATCH(E$8,'3. Enter Indicator Scores'!$D$8:$CZ$8,0),
  _xlpm.v, IFERROR(INDEX('3. Enter Indicator Scores'!$D$10:$CZ$161,_xlpm.r,_xlpm.c),""),
  IF(OR(_xlpm.w="",_xlpm.v=""),"",_xlpm.v*_xlpm.w)
)</f>
        <v/>
      </c>
      <c r="F18" s="93" t="str" cm="1">
        <f t="array" ref="F18">_xlfn.LET(
  _xlpm.w, F$11,
  _xlpm.r, MATCH(1,('3. Enter Indicator Scores'!$B$10:$B$161=$B18)*('3. Enter Indicator Scores'!$C$10:$C$161=$C18),0),
  _xlpm.c, MATCH(F$8,'3. Enter Indicator Scores'!$D$8:$CZ$8,0),
  _xlpm.v, IFERROR(INDEX('3. Enter Indicator Scores'!$D$10:$CZ$161,_xlpm.r,_xlpm.c),""),
  IF(OR(_xlpm.w="",_xlpm.v=""),"",_xlpm.v*_xlpm.w)
)</f>
        <v/>
      </c>
      <c r="G18" s="93" t="str" cm="1">
        <f t="array" ref="G18">_xlfn.LET(
  _xlpm.w, G$11,
  _xlpm.r, MATCH(1,('3. Enter Indicator Scores'!$B$10:$B$161=$B18)*('3. Enter Indicator Scores'!$C$10:$C$161=$C18),0),
  _xlpm.c, MATCH(G$8,'3. Enter Indicator Scores'!$D$8:$CZ$8,0),
  _xlpm.v, IFERROR(INDEX('3. Enter Indicator Scores'!$D$10:$CZ$161,_xlpm.r,_xlpm.c),""),
  IF(OR(_xlpm.w="",_xlpm.v=""),"",_xlpm.v*_xlpm.w)
)</f>
        <v/>
      </c>
      <c r="H18" s="93" t="str" cm="1">
        <f t="array" ref="H18">_xlfn.LET(
  _xlpm.w, H$11,
  _xlpm.r, MATCH(1,('3. Enter Indicator Scores'!$B$10:$B$161=$B18)*('3. Enter Indicator Scores'!$C$10:$C$161=$C18),0),
  _xlpm.c, MATCH(H$8,'3. Enter Indicator Scores'!$D$8:$CZ$8,0),
  _xlpm.v, IFERROR(INDEX('3. Enter Indicator Scores'!$D$10:$CZ$161,_xlpm.r,_xlpm.c),""),
  IF(OR(_xlpm.w="",_xlpm.v=""),"",_xlpm.v*_xlpm.w)
)</f>
        <v/>
      </c>
      <c r="I18" s="93" t="str" cm="1">
        <f t="array" ref="I18">_xlfn.LET(
  _xlpm.w, I$11,
  _xlpm.r, MATCH(1,('3. Enter Indicator Scores'!$B$10:$B$161=$B18)*('3. Enter Indicator Scores'!$C$10:$C$161=$C18),0),
  _xlpm.c, MATCH(I$8,'3. Enter Indicator Scores'!$D$8:$CZ$8,0),
  _xlpm.v, IFERROR(INDEX('3. Enter Indicator Scores'!$D$10:$CZ$161,_xlpm.r,_xlpm.c),""),
  IF(OR(_xlpm.w="",_xlpm.v=""),"",_xlpm.v*_xlpm.w)
)</f>
        <v/>
      </c>
      <c r="J18" s="93" t="str" cm="1">
        <f t="array" ref="J18">_xlfn.LET(
  _xlpm.w, J$11,
  _xlpm.r, MATCH(1,('3. Enter Indicator Scores'!$B$10:$B$161=$B18)*('3. Enter Indicator Scores'!$C$10:$C$161=$C18),0),
  _xlpm.c, MATCH(J$8,'3. Enter Indicator Scores'!$D$8:$CZ$8,0),
  _xlpm.v, IFERROR(INDEX('3. Enter Indicator Scores'!$D$10:$CZ$161,_xlpm.r,_xlpm.c),""),
  IF(OR(_xlpm.w="",_xlpm.v=""),"",_xlpm.v*_xlpm.w)
)</f>
        <v/>
      </c>
      <c r="K18" s="93" t="str" cm="1">
        <f t="array" ref="K18">_xlfn.LET(
  _xlpm.w, K$11,
  _xlpm.r, MATCH(1,('3. Enter Indicator Scores'!$B$10:$B$161=$B18)*('3. Enter Indicator Scores'!$C$10:$C$161=$C18),0),
  _xlpm.c, MATCH(K$8,'3. Enter Indicator Scores'!$D$8:$CZ$8,0),
  _xlpm.v, IFERROR(INDEX('3. Enter Indicator Scores'!$D$10:$CZ$161,_xlpm.r,_xlpm.c),""),
  IF(OR(_xlpm.w="",_xlpm.v=""),"",_xlpm.v*_xlpm.w)
)</f>
        <v/>
      </c>
      <c r="L18" s="93" t="str" cm="1">
        <f t="array" ref="L18">_xlfn.LET(
  _xlpm.w, L$11,
  _xlpm.r, MATCH(1,('3. Enter Indicator Scores'!$B$10:$B$161=$B18)*('3. Enter Indicator Scores'!$C$10:$C$161=$C18),0),
  _xlpm.c, MATCH(L$8,'3. Enter Indicator Scores'!$D$8:$CZ$8,0),
  _xlpm.v, IFERROR(INDEX('3. Enter Indicator Scores'!$D$10:$CZ$161,_xlpm.r,_xlpm.c),""),
  IF(OR(_xlpm.w="",_xlpm.v=""),"",_xlpm.v*_xlpm.w)
)</f>
        <v/>
      </c>
      <c r="M18" s="93" t="str" cm="1">
        <f t="array" ref="M18">_xlfn.LET(
  _xlpm.w, M$11,
  _xlpm.r, MATCH(1,('3. Enter Indicator Scores'!$B$10:$B$161=$B18)*('3. Enter Indicator Scores'!$C$10:$C$161=$C18),0),
  _xlpm.c, MATCH(M$8,'3. Enter Indicator Scores'!$D$8:$CZ$8,0),
  _xlpm.v, IFERROR(INDEX('3. Enter Indicator Scores'!$D$10:$CZ$161,_xlpm.r,_xlpm.c),""),
  IF(OR(_xlpm.w="",_xlpm.v=""),"",_xlpm.v*_xlpm.w)
)</f>
        <v/>
      </c>
      <c r="N18" s="93" t="str" cm="1">
        <f t="array" ref="N18">_xlfn.LET(
  _xlpm.w, N$11,
  _xlpm.r, MATCH(1,('3. Enter Indicator Scores'!$B$10:$B$161=$B18)*('3. Enter Indicator Scores'!$C$10:$C$161=$C18),0),
  _xlpm.c, MATCH(N$8,'3. Enter Indicator Scores'!$D$8:$CZ$8,0),
  _xlpm.v, IFERROR(INDEX('3. Enter Indicator Scores'!$D$10:$CZ$161,_xlpm.r,_xlpm.c),""),
  IF(OR(_xlpm.w="",_xlpm.v=""),"",_xlpm.v*_xlpm.w)
)</f>
        <v/>
      </c>
      <c r="O18" s="93" t="str" cm="1">
        <f t="array" ref="O18">_xlfn.LET(
  _xlpm.w, O$11,
  _xlpm.r, MATCH(1,('3. Enter Indicator Scores'!$B$10:$B$161=$B18)*('3. Enter Indicator Scores'!$C$10:$C$161=$C18),0),
  _xlpm.c, MATCH(O$8,'3. Enter Indicator Scores'!$D$8:$CZ$8,0),
  _xlpm.v, IFERROR(INDEX('3. Enter Indicator Scores'!$D$10:$CZ$161,_xlpm.r,_xlpm.c),""),
  IF(OR(_xlpm.w="",_xlpm.v=""),"",_xlpm.v*_xlpm.w)
)</f>
        <v/>
      </c>
      <c r="P18" s="93" t="str" cm="1">
        <f t="array" ref="P18">_xlfn.LET(
  _xlpm.w, P$11,
  _xlpm.r, MATCH(1,('3. Enter Indicator Scores'!$B$10:$B$161=$B18)*('3. Enter Indicator Scores'!$C$10:$C$161=$C18),0),
  _xlpm.c, MATCH(P$8,'3. Enter Indicator Scores'!$D$8:$CZ$8,0),
  _xlpm.v, IFERROR(INDEX('3. Enter Indicator Scores'!$D$10:$CZ$161,_xlpm.r,_xlpm.c),""),
  IF(OR(_xlpm.w="",_xlpm.v=""),"",_xlpm.v*_xlpm.w)
)</f>
        <v/>
      </c>
      <c r="Q18" s="93" t="str" cm="1">
        <f t="array" ref="Q18">_xlfn.LET(
  _xlpm.w, Q$11,
  _xlpm.r, MATCH(1,('3. Enter Indicator Scores'!$B$10:$B$161=$B18)*('3. Enter Indicator Scores'!$C$10:$C$161=$C18),0),
  _xlpm.c, MATCH(Q$8,'3. Enter Indicator Scores'!$D$8:$CZ$8,0),
  _xlpm.v, IFERROR(INDEX('3. Enter Indicator Scores'!$D$10:$CZ$161,_xlpm.r,_xlpm.c),""),
  IF(OR(_xlpm.w="",_xlpm.v=""),"",_xlpm.v*_xlpm.w)
)</f>
        <v/>
      </c>
      <c r="R18" s="93" t="str" cm="1">
        <f t="array" ref="R18">_xlfn.LET(
  _xlpm.w, R$11,
  _xlpm.r, MATCH(1,('3. Enter Indicator Scores'!$B$10:$B$161=$B18)*('3. Enter Indicator Scores'!$C$10:$C$161=$C18),0),
  _xlpm.c, MATCH(R$8,'3. Enter Indicator Scores'!$D$8:$CZ$8,0),
  _xlpm.v, IFERROR(INDEX('3. Enter Indicator Scores'!$D$10:$CZ$161,_xlpm.r,_xlpm.c),""),
  IF(OR(_xlpm.w="",_xlpm.v=""),"",_xlpm.v*_xlpm.w)
)</f>
        <v/>
      </c>
      <c r="S18" s="93" t="str" cm="1">
        <f t="array" ref="S18">_xlfn.LET(
  _xlpm.w, S$11,
  _xlpm.r, MATCH(1,('3. Enter Indicator Scores'!$B$10:$B$161=$B18)*('3. Enter Indicator Scores'!$C$10:$C$161=$C18),0),
  _xlpm.c, MATCH(S$8,'3. Enter Indicator Scores'!$D$8:$CZ$8,0),
  _xlpm.v, IFERROR(INDEX('3. Enter Indicator Scores'!$D$10:$CZ$161,_xlpm.r,_xlpm.c),""),
  IF(OR(_xlpm.w="",_xlpm.v=""),"",_xlpm.v*_xlpm.w)
)</f>
        <v/>
      </c>
      <c r="T18" s="93" t="str" cm="1">
        <f t="array" ref="T18">_xlfn.LET(
  _xlpm.w, T$11,
  _xlpm.r, MATCH(1,('3. Enter Indicator Scores'!$B$10:$B$161=$B18)*('3. Enter Indicator Scores'!$C$10:$C$161=$C18),0),
  _xlpm.c, MATCH(T$8,'3. Enter Indicator Scores'!$D$8:$CZ$8,0),
  _xlpm.v, IFERROR(INDEX('3. Enter Indicator Scores'!$D$10:$CZ$161,_xlpm.r,_xlpm.c),""),
  IF(OR(_xlpm.w="",_xlpm.v=""),"",_xlpm.v*_xlpm.w)
)</f>
        <v/>
      </c>
      <c r="U18" s="93" t="str" cm="1">
        <f t="array" ref="U18">_xlfn.LET(
  _xlpm.w, U$11,
  _xlpm.r, MATCH(1,('3. Enter Indicator Scores'!$B$10:$B$161=$B18)*('3. Enter Indicator Scores'!$C$10:$C$161=$C18),0),
  _xlpm.c, MATCH(U$8,'3. Enter Indicator Scores'!$D$8:$CZ$8,0),
  _xlpm.v, IFERROR(INDEX('3. Enter Indicator Scores'!$D$10:$CZ$161,_xlpm.r,_xlpm.c),""),
  IF(OR(_xlpm.w="",_xlpm.v=""),"",_xlpm.v*_xlpm.w)
)</f>
        <v/>
      </c>
      <c r="V18" s="93" t="str" cm="1">
        <f t="array" ref="V18">_xlfn.LET(
  _xlpm.w, V$11,
  _xlpm.r, MATCH(1,('3. Enter Indicator Scores'!$B$10:$B$161=$B18)*('3. Enter Indicator Scores'!$C$10:$C$161=$C18),0),
  _xlpm.c, MATCH(V$8,'3. Enter Indicator Scores'!$D$8:$CZ$8,0),
  _xlpm.v, IFERROR(INDEX('3. Enter Indicator Scores'!$D$10:$CZ$161,_xlpm.r,_xlpm.c),""),
  IF(OR(_xlpm.w="",_xlpm.v=""),"",_xlpm.v*_xlpm.w)
)</f>
        <v/>
      </c>
      <c r="W18" s="93" t="str" cm="1">
        <f t="array" ref="W18">_xlfn.LET(
  _xlpm.w, W$11,
  _xlpm.r, MATCH(1,('3. Enter Indicator Scores'!$B$10:$B$161=$B18)*('3. Enter Indicator Scores'!$C$10:$C$161=$C18),0),
  _xlpm.c, MATCH(W$8,'3. Enter Indicator Scores'!$D$8:$CZ$8,0),
  _xlpm.v, IFERROR(INDEX('3. Enter Indicator Scores'!$D$10:$CZ$161,_xlpm.r,_xlpm.c),""),
  IF(OR(_xlpm.w="",_xlpm.v=""),"",_xlpm.v*_xlpm.w)
)</f>
        <v/>
      </c>
      <c r="X18" s="93" t="str" cm="1">
        <f t="array" ref="X18">_xlfn.LET(
  _xlpm.w, X$11,
  _xlpm.r, MATCH(1,('3. Enter Indicator Scores'!$B$10:$B$161=$B18)*('3. Enter Indicator Scores'!$C$10:$C$161=$C18),0),
  _xlpm.c, MATCH(X$8,'3. Enter Indicator Scores'!$D$8:$CZ$8,0),
  _xlpm.v, IFERROR(INDEX('3. Enter Indicator Scores'!$D$10:$CZ$161,_xlpm.r,_xlpm.c),""),
  IF(OR(_xlpm.w="",_xlpm.v=""),"",_xlpm.v*_xlpm.w)
)</f>
        <v/>
      </c>
      <c r="Y18" s="93" t="str" cm="1">
        <f t="array" ref="Y18">_xlfn.LET(
  _xlpm.w, Y$11,
  _xlpm.r, MATCH(1,('3. Enter Indicator Scores'!$B$10:$B$161=$B18)*('3. Enter Indicator Scores'!$C$10:$C$161=$C18),0),
  _xlpm.c, MATCH(Y$8,'3. Enter Indicator Scores'!$D$8:$CZ$8,0),
  _xlpm.v, IFERROR(INDEX('3. Enter Indicator Scores'!$D$10:$CZ$161,_xlpm.r,_xlpm.c),""),
  IF(OR(_xlpm.w="",_xlpm.v=""),"",_xlpm.v*_xlpm.w)
)</f>
        <v/>
      </c>
      <c r="Z18" s="93" t="str" cm="1">
        <f t="array" ref="Z18">_xlfn.LET(
  _xlpm.w, Z$11,
  _xlpm.r, MATCH(1,('3. Enter Indicator Scores'!$B$10:$B$161=$B18)*('3. Enter Indicator Scores'!$C$10:$C$161=$C18),0),
  _xlpm.c, MATCH(Z$8,'3. Enter Indicator Scores'!$D$8:$CZ$8,0),
  _xlpm.v, IFERROR(INDEX('3. Enter Indicator Scores'!$D$10:$CZ$161,_xlpm.r,_xlpm.c),""),
  IF(OR(_xlpm.w="",_xlpm.v=""),"",_xlpm.v*_xlpm.w)
)</f>
        <v/>
      </c>
      <c r="AA18" s="93" t="str" cm="1">
        <f t="array" ref="AA18">_xlfn.LET(
  _xlpm.w, AA$11,
  _xlpm.r, MATCH(1,('3. Enter Indicator Scores'!$B$10:$B$161=$B18)*('3. Enter Indicator Scores'!$C$10:$C$161=$C18),0),
  _xlpm.c, MATCH(AA$8,'3. Enter Indicator Scores'!$D$8:$CZ$8,0),
  _xlpm.v, IFERROR(INDEX('3. Enter Indicator Scores'!$D$10:$CZ$161,_xlpm.r,_xlpm.c),""),
  IF(OR(_xlpm.w="",_xlpm.v=""),"",_xlpm.v*_xlpm.w)
)</f>
        <v/>
      </c>
      <c r="AB18" s="93" t="str" cm="1">
        <f t="array" ref="AB18">_xlfn.LET(
  _xlpm.w, AB$11,
  _xlpm.r, MATCH(1,('3. Enter Indicator Scores'!$B$10:$B$161=$B18)*('3. Enter Indicator Scores'!$C$10:$C$161=$C18),0),
  _xlpm.c, MATCH(AB$8,'3. Enter Indicator Scores'!$D$8:$CZ$8,0),
  _xlpm.v, IFERROR(INDEX('3. Enter Indicator Scores'!$D$10:$CZ$161,_xlpm.r,_xlpm.c),""),
  IF(OR(_xlpm.w="",_xlpm.v=""),"",_xlpm.v*_xlpm.w)
)</f>
        <v/>
      </c>
      <c r="AC18" s="93" t="str" cm="1">
        <f t="array" ref="AC18">_xlfn.LET(
  _xlpm.w, AC$11,
  _xlpm.r, MATCH(1,('3. Enter Indicator Scores'!$B$10:$B$161=$B18)*('3. Enter Indicator Scores'!$C$10:$C$161=$C18),0),
  _xlpm.c, MATCH(AC$8,'3. Enter Indicator Scores'!$D$8:$CZ$8,0),
  _xlpm.v, IFERROR(INDEX('3. Enter Indicator Scores'!$D$10:$CZ$161,_xlpm.r,_xlpm.c),""),
  IF(OR(_xlpm.w="",_xlpm.v=""),"",_xlpm.v*_xlpm.w)
)</f>
        <v/>
      </c>
      <c r="AD18" s="93" t="str" cm="1">
        <f t="array" ref="AD18">_xlfn.LET(
  _xlpm.w, AD$11,
  _xlpm.r, MATCH(1,('3. Enter Indicator Scores'!$B$10:$B$161=$B18)*('3. Enter Indicator Scores'!$C$10:$C$161=$C18),0),
  _xlpm.c, MATCH(AD$8,'3. Enter Indicator Scores'!$D$8:$CZ$8,0),
  _xlpm.v, IFERROR(INDEX('3. Enter Indicator Scores'!$D$10:$CZ$161,_xlpm.r,_xlpm.c),""),
  IF(OR(_xlpm.w="",_xlpm.v=""),"",_xlpm.v*_xlpm.w)
)</f>
        <v/>
      </c>
      <c r="AE18" s="93" t="str" cm="1">
        <f t="array" ref="AE18">_xlfn.LET(
  _xlpm.w, AE$11,
  _xlpm.r, MATCH(1,('3. Enter Indicator Scores'!$B$10:$B$161=$B18)*('3. Enter Indicator Scores'!$C$10:$C$161=$C18),0),
  _xlpm.c, MATCH(AE$8,'3. Enter Indicator Scores'!$D$8:$CZ$8,0),
  _xlpm.v, IFERROR(INDEX('3. Enter Indicator Scores'!$D$10:$CZ$161,_xlpm.r,_xlpm.c),""),
  IF(OR(_xlpm.w="",_xlpm.v=""),"",_xlpm.v*_xlpm.w)
)</f>
        <v/>
      </c>
      <c r="AF18" s="93" t="str" cm="1">
        <f t="array" ref="AF18">_xlfn.LET(
  _xlpm.w, AF$11,
  _xlpm.r, MATCH(1,('3. Enter Indicator Scores'!$B$10:$B$161=$B18)*('3. Enter Indicator Scores'!$C$10:$C$161=$C18),0),
  _xlpm.c, MATCH(AF$8,'3. Enter Indicator Scores'!$D$8:$CZ$8,0),
  _xlpm.v, IFERROR(INDEX('3. Enter Indicator Scores'!$D$10:$CZ$161,_xlpm.r,_xlpm.c),""),
  IF(OR(_xlpm.w="",_xlpm.v=""),"",_xlpm.v*_xlpm.w)
)</f>
        <v/>
      </c>
      <c r="AG18" s="93" t="str" cm="1">
        <f t="array" ref="AG18">_xlfn.LET(
  _xlpm.w, AG$11,
  _xlpm.r, MATCH(1,('3. Enter Indicator Scores'!$B$10:$B$161=$B18)*('3. Enter Indicator Scores'!$C$10:$C$161=$C18),0),
  _xlpm.c, MATCH(AG$8,'3. Enter Indicator Scores'!$D$8:$CZ$8,0),
  _xlpm.v, IFERROR(INDEX('3. Enter Indicator Scores'!$D$10:$CZ$161,_xlpm.r,_xlpm.c),""),
  IF(OR(_xlpm.w="",_xlpm.v=""),"",_xlpm.v*_xlpm.w)
)</f>
        <v/>
      </c>
      <c r="AH18" s="93" t="str" cm="1">
        <f t="array" ref="AH18">_xlfn.LET(
  _xlpm.w, AH$11,
  _xlpm.r, MATCH(1,('3. Enter Indicator Scores'!$B$10:$B$161=$B18)*('3. Enter Indicator Scores'!$C$10:$C$161=$C18),0),
  _xlpm.c, MATCH(AH$8,'3. Enter Indicator Scores'!$D$8:$CZ$8,0),
  _xlpm.v, IFERROR(INDEX('3. Enter Indicator Scores'!$D$10:$CZ$161,_xlpm.r,_xlpm.c),""),
  IF(OR(_xlpm.w="",_xlpm.v=""),"",_xlpm.v*_xlpm.w)
)</f>
        <v/>
      </c>
      <c r="AI18" s="93" t="str" cm="1">
        <f t="array" ref="AI18">_xlfn.LET(
  _xlpm.w, AI$11,
  _xlpm.r, MATCH(1,('3. Enter Indicator Scores'!$B$10:$B$161=$B18)*('3. Enter Indicator Scores'!$C$10:$C$161=$C18),0),
  _xlpm.c, MATCH(AI$8,'3. Enter Indicator Scores'!$D$8:$CZ$8,0),
  _xlpm.v, IFERROR(INDEX('3. Enter Indicator Scores'!$D$10:$CZ$161,_xlpm.r,_xlpm.c),""),
  IF(OR(_xlpm.w="",_xlpm.v=""),"",_xlpm.v*_xlpm.w)
)</f>
        <v/>
      </c>
      <c r="AJ18" s="93" t="str" cm="1">
        <f t="array" ref="AJ18">_xlfn.LET(
  _xlpm.w, AJ$11,
  _xlpm.r, MATCH(1,('3. Enter Indicator Scores'!$B$10:$B$161=$B18)*('3. Enter Indicator Scores'!$C$10:$C$161=$C18),0),
  _xlpm.c, MATCH(AJ$8,'3. Enter Indicator Scores'!$D$8:$CZ$8,0),
  _xlpm.v, IFERROR(INDEX('3. Enter Indicator Scores'!$D$10:$CZ$161,_xlpm.r,_xlpm.c),""),
  IF(OR(_xlpm.w="",_xlpm.v=""),"",_xlpm.v*_xlpm.w)
)</f>
        <v/>
      </c>
      <c r="AK18" s="93" t="str" cm="1">
        <f t="array" ref="AK18">_xlfn.LET(
  _xlpm.w, AK$11,
  _xlpm.r, MATCH(1,('3. Enter Indicator Scores'!$B$10:$B$161=$B18)*('3. Enter Indicator Scores'!$C$10:$C$161=$C18),0),
  _xlpm.c, MATCH(AK$8,'3. Enter Indicator Scores'!$D$8:$CZ$8,0),
  _xlpm.v, IFERROR(INDEX('3. Enter Indicator Scores'!$D$10:$CZ$161,_xlpm.r,_xlpm.c),""),
  IF(OR(_xlpm.w="",_xlpm.v=""),"",_xlpm.v*_xlpm.w)
)</f>
        <v/>
      </c>
      <c r="AL18" s="93" t="str" cm="1">
        <f t="array" ref="AL18">_xlfn.LET(
  _xlpm.w, AL$11,
  _xlpm.r, MATCH(1,('3. Enter Indicator Scores'!$B$10:$B$161=$B18)*('3. Enter Indicator Scores'!$C$10:$C$161=$C18),0),
  _xlpm.c, MATCH(AL$8,'3. Enter Indicator Scores'!$D$8:$CZ$8,0),
  _xlpm.v, IFERROR(INDEX('3. Enter Indicator Scores'!$D$10:$CZ$161,_xlpm.r,_xlpm.c),""),
  IF(OR(_xlpm.w="",_xlpm.v=""),"",_xlpm.v*_xlpm.w)
)</f>
        <v/>
      </c>
      <c r="AM18" s="93" t="str" cm="1">
        <f t="array" ref="AM18">_xlfn.LET(
  _xlpm.w, AM$11,
  _xlpm.r, MATCH(1,('3. Enter Indicator Scores'!$B$10:$B$161=$B18)*('3. Enter Indicator Scores'!$C$10:$C$161=$C18),0),
  _xlpm.c, MATCH(AM$8,'3. Enter Indicator Scores'!$D$8:$CZ$8,0),
  _xlpm.v, IFERROR(INDEX('3. Enter Indicator Scores'!$D$10:$CZ$161,_xlpm.r,_xlpm.c),""),
  IF(OR(_xlpm.w="",_xlpm.v=""),"",_xlpm.v*_xlpm.w)
)</f>
        <v/>
      </c>
      <c r="AN18" s="93" t="str" cm="1">
        <f t="array" ref="AN18">_xlfn.LET(
  _xlpm.w, AN$11,
  _xlpm.r, MATCH(1,('3. Enter Indicator Scores'!$B$10:$B$161=$B18)*('3. Enter Indicator Scores'!$C$10:$C$161=$C18),0),
  _xlpm.c, MATCH(AN$8,'3. Enter Indicator Scores'!$D$8:$CZ$8,0),
  _xlpm.v, IFERROR(INDEX('3. Enter Indicator Scores'!$D$10:$CZ$161,_xlpm.r,_xlpm.c),""),
  IF(OR(_xlpm.w="",_xlpm.v=""),"",_xlpm.v*_xlpm.w)
)</f>
        <v/>
      </c>
      <c r="AO18" s="93" t="str" cm="1">
        <f t="array" ref="AO18">_xlfn.LET(
  _xlpm.w, AO$11,
  _xlpm.r, MATCH(1,('3. Enter Indicator Scores'!$B$10:$B$161=$B18)*('3. Enter Indicator Scores'!$C$10:$C$161=$C18),0),
  _xlpm.c, MATCH(AO$8,'3. Enter Indicator Scores'!$D$8:$CZ$8,0),
  _xlpm.v, IFERROR(INDEX('3. Enter Indicator Scores'!$D$10:$CZ$161,_xlpm.r,_xlpm.c),""),
  IF(OR(_xlpm.w="",_xlpm.v=""),"",_xlpm.v*_xlpm.w)
)</f>
        <v/>
      </c>
      <c r="AP18" s="93" t="str" cm="1">
        <f t="array" ref="AP18">_xlfn.LET(
  _xlpm.w, AP$11,
  _xlpm.r, MATCH(1,('3. Enter Indicator Scores'!$B$10:$B$161=$B18)*('3. Enter Indicator Scores'!$C$10:$C$161=$C18),0),
  _xlpm.c, MATCH(AP$8,'3. Enter Indicator Scores'!$D$8:$CZ$8,0),
  _xlpm.v, IFERROR(INDEX('3. Enter Indicator Scores'!$D$10:$CZ$161,_xlpm.r,_xlpm.c),""),
  IF(OR(_xlpm.w="",_xlpm.v=""),"",_xlpm.v*_xlpm.w)
)</f>
        <v/>
      </c>
      <c r="AQ18" s="93" t="str" cm="1">
        <f t="array" ref="AQ18">_xlfn.LET(
  _xlpm.w, AQ$11,
  _xlpm.r, MATCH(1,('3. Enter Indicator Scores'!$B$10:$B$161=$B18)*('3. Enter Indicator Scores'!$C$10:$C$161=$C18),0),
  _xlpm.c, MATCH(AQ$8,'3. Enter Indicator Scores'!$D$8:$CZ$8,0),
  _xlpm.v, IFERROR(INDEX('3. Enter Indicator Scores'!$D$10:$CZ$161,_xlpm.r,_xlpm.c),""),
  IF(OR(_xlpm.w="",_xlpm.v=""),"",_xlpm.v*_xlpm.w)
)</f>
        <v/>
      </c>
      <c r="AR18" s="93" t="str" cm="1">
        <f t="array" ref="AR18">_xlfn.LET(
  _xlpm.w, AR$11,
  _xlpm.r, MATCH(1,('3. Enter Indicator Scores'!$B$10:$B$161=$B18)*('3. Enter Indicator Scores'!$C$10:$C$161=$C18),0),
  _xlpm.c, MATCH(AR$8,'3. Enter Indicator Scores'!$D$8:$CZ$8,0),
  _xlpm.v, IFERROR(INDEX('3. Enter Indicator Scores'!$D$10:$CZ$161,_xlpm.r,_xlpm.c),""),
  IF(OR(_xlpm.w="",_xlpm.v=""),"",_xlpm.v*_xlpm.w)
)</f>
        <v/>
      </c>
      <c r="AS18" s="93" t="str" cm="1">
        <f t="array" ref="AS18">_xlfn.LET(
  _xlpm.w, AS$11,
  _xlpm.r, MATCH(1,('3. Enter Indicator Scores'!$B$10:$B$161=$B18)*('3. Enter Indicator Scores'!$C$10:$C$161=$C18),0),
  _xlpm.c, MATCH(AS$8,'3. Enter Indicator Scores'!$D$8:$CZ$8,0),
  _xlpm.v, IFERROR(INDEX('3. Enter Indicator Scores'!$D$10:$CZ$161,_xlpm.r,_xlpm.c),""),
  IF(OR(_xlpm.w="",_xlpm.v=""),"",_xlpm.v*_xlpm.w)
)</f>
        <v/>
      </c>
      <c r="AT18" s="93" t="str" cm="1">
        <f t="array" ref="AT18">_xlfn.LET(
  _xlpm.w, AT$11,
  _xlpm.r, MATCH(1,('3. Enter Indicator Scores'!$B$10:$B$161=$B18)*('3. Enter Indicator Scores'!$C$10:$C$161=$C18),0),
  _xlpm.c, MATCH(AT$8,'3. Enter Indicator Scores'!$D$8:$CZ$8,0),
  _xlpm.v, IFERROR(INDEX('3. Enter Indicator Scores'!$D$10:$CZ$161,_xlpm.r,_xlpm.c),""),
  IF(OR(_xlpm.w="",_xlpm.v=""),"",_xlpm.v*_xlpm.w)
)</f>
        <v/>
      </c>
      <c r="AU18" s="93" t="str" cm="1">
        <f t="array" ref="AU18">_xlfn.LET(
  _xlpm.w, AU$11,
  _xlpm.r, MATCH(1,('3. Enter Indicator Scores'!$B$10:$B$161=$B18)*('3. Enter Indicator Scores'!$C$10:$C$161=$C18),0),
  _xlpm.c, MATCH(AU$8,'3. Enter Indicator Scores'!$D$8:$CZ$8,0),
  _xlpm.v, IFERROR(INDEX('3. Enter Indicator Scores'!$D$10:$CZ$161,_xlpm.r,_xlpm.c),""),
  IF(OR(_xlpm.w="",_xlpm.v=""),"",_xlpm.v*_xlpm.w)
)</f>
        <v/>
      </c>
      <c r="AV18" s="93" t="str" cm="1">
        <f t="array" ref="AV18">_xlfn.LET(
  _xlpm.w, AV$11,
  _xlpm.r, MATCH(1,('3. Enter Indicator Scores'!$B$10:$B$161=$B18)*('3. Enter Indicator Scores'!$C$10:$C$161=$C18),0),
  _xlpm.c, MATCH(AV$8,'3. Enter Indicator Scores'!$D$8:$CZ$8,0),
  _xlpm.v, IFERROR(INDEX('3. Enter Indicator Scores'!$D$10:$CZ$161,_xlpm.r,_xlpm.c),""),
  IF(OR(_xlpm.w="",_xlpm.v=""),"",_xlpm.v*_xlpm.w)
)</f>
        <v/>
      </c>
      <c r="AW18" s="93" t="str" cm="1">
        <f t="array" ref="AW18">_xlfn.LET(
  _xlpm.w, AW$11,
  _xlpm.r, MATCH(1,('3. Enter Indicator Scores'!$B$10:$B$161=$B18)*('3. Enter Indicator Scores'!$C$10:$C$161=$C18),0),
  _xlpm.c, MATCH(AW$8,'3. Enter Indicator Scores'!$D$8:$CZ$8,0),
  _xlpm.v, IFERROR(INDEX('3. Enter Indicator Scores'!$D$10:$CZ$161,_xlpm.r,_xlpm.c),""),
  IF(OR(_xlpm.w="",_xlpm.v=""),"",_xlpm.v*_xlpm.w)
)</f>
        <v/>
      </c>
      <c r="AX18" s="93" t="str" cm="1">
        <f t="array" ref="AX18">_xlfn.LET(
  _xlpm.w, AX$11,
  _xlpm.r, MATCH(1,('3. Enter Indicator Scores'!$B$10:$B$161=$B18)*('3. Enter Indicator Scores'!$C$10:$C$161=$C18),0),
  _xlpm.c, MATCH(AX$8,'3. Enter Indicator Scores'!$D$8:$CZ$8,0),
  _xlpm.v, IFERROR(INDEX('3. Enter Indicator Scores'!$D$10:$CZ$161,_xlpm.r,_xlpm.c),""),
  IF(OR(_xlpm.w="",_xlpm.v=""),"",_xlpm.v*_xlpm.w)
)</f>
        <v/>
      </c>
      <c r="AY18" s="93" t="str" cm="1">
        <f t="array" ref="AY18">_xlfn.LET(
  _xlpm.w, AY$11,
  _xlpm.r, MATCH(1,('3. Enter Indicator Scores'!$B$10:$B$161=$B18)*('3. Enter Indicator Scores'!$C$10:$C$161=$C18),0),
  _xlpm.c, MATCH(AY$8,'3. Enter Indicator Scores'!$D$8:$CZ$8,0),
  _xlpm.v, IFERROR(INDEX('3. Enter Indicator Scores'!$D$10:$CZ$161,_xlpm.r,_xlpm.c),""),
  IF(OR(_xlpm.w="",_xlpm.v=""),"",_xlpm.v*_xlpm.w)
)</f>
        <v/>
      </c>
      <c r="AZ18" s="93" t="str" cm="1">
        <f t="array" ref="AZ18">_xlfn.LET(
  _xlpm.w, AZ$11,
  _xlpm.r, MATCH(1,('3. Enter Indicator Scores'!$B$10:$B$161=$B18)*('3. Enter Indicator Scores'!$C$10:$C$161=$C18),0),
  _xlpm.c, MATCH(AZ$8,'3. Enter Indicator Scores'!$D$8:$CZ$8,0),
  _xlpm.v, IFERROR(INDEX('3. Enter Indicator Scores'!$D$10:$CZ$161,_xlpm.r,_xlpm.c),""),
  IF(OR(_xlpm.w="",_xlpm.v=""),"",_xlpm.v*_xlpm.w)
)</f>
        <v/>
      </c>
      <c r="BA18" s="93" t="str" cm="1">
        <f t="array" ref="BA18">_xlfn.LET(
  _xlpm.w, BA$11,
  _xlpm.r, MATCH(1,('3. Enter Indicator Scores'!$B$10:$B$161=$B18)*('3. Enter Indicator Scores'!$C$10:$C$161=$C18),0),
  _xlpm.c, MATCH(BA$8,'3. Enter Indicator Scores'!$D$8:$CZ$8,0),
  _xlpm.v, IFERROR(INDEX('3. Enter Indicator Scores'!$D$10:$CZ$161,_xlpm.r,_xlpm.c),""),
  IF(OR(_xlpm.w="",_xlpm.v=""),"",_xlpm.v*_xlpm.w)
)</f>
        <v/>
      </c>
      <c r="BB18" s="93" t="str" cm="1">
        <f t="array" ref="BB18">_xlfn.LET(
  _xlpm.w, BB$11,
  _xlpm.r, MATCH(1,('3. Enter Indicator Scores'!$B$10:$B$161=$B18)*('3. Enter Indicator Scores'!$C$10:$C$161=$C18),0),
  _xlpm.c, MATCH(BB$8,'3. Enter Indicator Scores'!$D$8:$CZ$8,0),
  _xlpm.v, IFERROR(INDEX('3. Enter Indicator Scores'!$D$10:$CZ$161,_xlpm.r,_xlpm.c),""),
  IF(OR(_xlpm.w="",_xlpm.v=""),"",_xlpm.v*_xlpm.w)
)</f>
        <v/>
      </c>
      <c r="BC18" s="93" t="str" cm="1">
        <f t="array" ref="BC18">_xlfn.LET(
  _xlpm.w, BC$11,
  _xlpm.r, MATCH(1,('3. Enter Indicator Scores'!$B$10:$B$161=$B18)*('3. Enter Indicator Scores'!$C$10:$C$161=$C18),0),
  _xlpm.c, MATCH(BC$8,'3. Enter Indicator Scores'!$D$8:$CZ$8,0),
  _xlpm.v, IFERROR(INDEX('3. Enter Indicator Scores'!$D$10:$CZ$161,_xlpm.r,_xlpm.c),""),
  IF(OR(_xlpm.w="",_xlpm.v=""),"",_xlpm.v*_xlpm.w)
)</f>
        <v/>
      </c>
      <c r="BD18" s="93" t="str" cm="1">
        <f t="array" ref="BD18">_xlfn.LET(
  _xlpm.w, BD$11,
  _xlpm.r, MATCH(1,('3. Enter Indicator Scores'!$B$10:$B$161=$B18)*('3. Enter Indicator Scores'!$C$10:$C$161=$C18),0),
  _xlpm.c, MATCH(BD$8,'3. Enter Indicator Scores'!$D$8:$CZ$8,0),
  _xlpm.v, IFERROR(INDEX('3. Enter Indicator Scores'!$D$10:$CZ$161,_xlpm.r,_xlpm.c),""),
  IF(OR(_xlpm.w="",_xlpm.v=""),"",_xlpm.v*_xlpm.w)
)</f>
        <v/>
      </c>
      <c r="BE18" s="93" t="str" cm="1">
        <f t="array" ref="BE18">_xlfn.LET(
  _xlpm.w, BE$11,
  _xlpm.r, MATCH(1,('3. Enter Indicator Scores'!$B$10:$B$161=$B18)*('3. Enter Indicator Scores'!$C$10:$C$161=$C18),0),
  _xlpm.c, MATCH(BE$8,'3. Enter Indicator Scores'!$D$8:$CZ$8,0),
  _xlpm.v, IFERROR(INDEX('3. Enter Indicator Scores'!$D$10:$CZ$161,_xlpm.r,_xlpm.c),""),
  IF(OR(_xlpm.w="",_xlpm.v=""),"",_xlpm.v*_xlpm.w)
)</f>
        <v/>
      </c>
      <c r="BF18" s="93" t="str" cm="1">
        <f t="array" ref="BF18">_xlfn.LET(
  _xlpm.w, BF$11,
  _xlpm.r, MATCH(1,('3. Enter Indicator Scores'!$B$10:$B$161=$B18)*('3. Enter Indicator Scores'!$C$10:$C$161=$C18),0),
  _xlpm.c, MATCH(BF$8,'3. Enter Indicator Scores'!$D$8:$CZ$8,0),
  _xlpm.v, IFERROR(INDEX('3. Enter Indicator Scores'!$D$10:$CZ$161,_xlpm.r,_xlpm.c),""),
  IF(OR(_xlpm.w="",_xlpm.v=""),"",_xlpm.v*_xlpm.w)
)</f>
        <v/>
      </c>
      <c r="BG18" s="93" t="str" cm="1">
        <f t="array" ref="BG18">_xlfn.LET(
  _xlpm.w, BG$11,
  _xlpm.r, MATCH(1,('3. Enter Indicator Scores'!$B$10:$B$161=$B18)*('3. Enter Indicator Scores'!$C$10:$C$161=$C18),0),
  _xlpm.c, MATCH(BG$8,'3. Enter Indicator Scores'!$D$8:$CZ$8,0),
  _xlpm.v, IFERROR(INDEX('3. Enter Indicator Scores'!$D$10:$CZ$161,_xlpm.r,_xlpm.c),""),
  IF(OR(_xlpm.w="",_xlpm.v=""),"",_xlpm.v*_xlpm.w)
)</f>
        <v/>
      </c>
      <c r="BH18" s="93" t="str" cm="1">
        <f t="array" ref="BH18">_xlfn.LET(
  _xlpm.w, BH$11,
  _xlpm.r, MATCH(1,('3. Enter Indicator Scores'!$B$10:$B$161=$B18)*('3. Enter Indicator Scores'!$C$10:$C$161=$C18),0),
  _xlpm.c, MATCH(BH$8,'3. Enter Indicator Scores'!$D$8:$CZ$8,0),
  _xlpm.v, IFERROR(INDEX('3. Enter Indicator Scores'!$D$10:$CZ$161,_xlpm.r,_xlpm.c),""),
  IF(OR(_xlpm.w="",_xlpm.v=""),"",_xlpm.v*_xlpm.w)
)</f>
        <v/>
      </c>
      <c r="BI18" s="93" t="str" cm="1">
        <f t="array" ref="BI18">_xlfn.LET(
  _xlpm.w, BI$11,
  _xlpm.r, MATCH(1,('3. Enter Indicator Scores'!$B$10:$B$161=$B18)*('3. Enter Indicator Scores'!$C$10:$C$161=$C18),0),
  _xlpm.c, MATCH(BI$8,'3. Enter Indicator Scores'!$D$8:$CZ$8,0),
  _xlpm.v, IFERROR(INDEX('3. Enter Indicator Scores'!$D$10:$CZ$161,_xlpm.r,_xlpm.c),""),
  IF(OR(_xlpm.w="",_xlpm.v=""),"",_xlpm.v*_xlpm.w)
)</f>
        <v/>
      </c>
      <c r="BJ18" s="93" t="str" cm="1">
        <f t="array" ref="BJ18">_xlfn.LET(
  _xlpm.w, BJ$11,
  _xlpm.r, MATCH(1,('3. Enter Indicator Scores'!$B$10:$B$161=$B18)*('3. Enter Indicator Scores'!$C$10:$C$161=$C18),0),
  _xlpm.c, MATCH(BJ$8,'3. Enter Indicator Scores'!$D$8:$CZ$8,0),
  _xlpm.v, IFERROR(INDEX('3. Enter Indicator Scores'!$D$10:$CZ$161,_xlpm.r,_xlpm.c),""),
  IF(OR(_xlpm.w="",_xlpm.v=""),"",_xlpm.v*_xlpm.w)
)</f>
        <v/>
      </c>
      <c r="BK18" s="93" t="str" cm="1">
        <f t="array" ref="BK18">_xlfn.LET(
  _xlpm.w, BK$11,
  _xlpm.r, MATCH(1,('3. Enter Indicator Scores'!$B$10:$B$161=$B18)*('3. Enter Indicator Scores'!$C$10:$C$161=$C18),0),
  _xlpm.c, MATCH(BK$8,'3. Enter Indicator Scores'!$D$8:$CZ$8,0),
  _xlpm.v, IFERROR(INDEX('3. Enter Indicator Scores'!$D$10:$CZ$161,_xlpm.r,_xlpm.c),""),
  IF(OR(_xlpm.w="",_xlpm.v=""),"",_xlpm.v*_xlpm.w)
)</f>
        <v/>
      </c>
      <c r="BL18" s="93" t="str" cm="1">
        <f t="array" ref="BL18">_xlfn.LET(
  _xlpm.w, BL$11,
  _xlpm.r, MATCH(1,('3. Enter Indicator Scores'!$B$10:$B$161=$B18)*('3. Enter Indicator Scores'!$C$10:$C$161=$C18),0),
  _xlpm.c, MATCH(BL$8,'3. Enter Indicator Scores'!$D$8:$CZ$8,0),
  _xlpm.v, IFERROR(INDEX('3. Enter Indicator Scores'!$D$10:$CZ$161,_xlpm.r,_xlpm.c),""),
  IF(OR(_xlpm.w="",_xlpm.v=""),"",_xlpm.v*_xlpm.w)
)</f>
        <v/>
      </c>
      <c r="BM18" s="93" t="str" cm="1">
        <f t="array" ref="BM18">_xlfn.LET(
  _xlpm.w, BM$11,
  _xlpm.r, MATCH(1,('3. Enter Indicator Scores'!$B$10:$B$161=$B18)*('3. Enter Indicator Scores'!$C$10:$C$161=$C18),0),
  _xlpm.c, MATCH(BM$8,'3. Enter Indicator Scores'!$D$8:$CZ$8,0),
  _xlpm.v, IFERROR(INDEX('3. Enter Indicator Scores'!$D$10:$CZ$161,_xlpm.r,_xlpm.c),""),
  IF(OR(_xlpm.w="",_xlpm.v=""),"",_xlpm.v*_xlpm.w)
)</f>
        <v/>
      </c>
      <c r="BN18" s="93" t="str" cm="1">
        <f t="array" ref="BN18">_xlfn.LET(
  _xlpm.w, BN$11,
  _xlpm.r, MATCH(1,('3. Enter Indicator Scores'!$B$10:$B$161=$B18)*('3. Enter Indicator Scores'!$C$10:$C$161=$C18),0),
  _xlpm.c, MATCH(BN$8,'3. Enter Indicator Scores'!$D$8:$CZ$8,0),
  _xlpm.v, IFERROR(INDEX('3. Enter Indicator Scores'!$D$10:$CZ$161,_xlpm.r,_xlpm.c),""),
  IF(OR(_xlpm.w="",_xlpm.v=""),"",_xlpm.v*_xlpm.w)
)</f>
        <v/>
      </c>
      <c r="BO18" s="93" t="str" cm="1">
        <f t="array" ref="BO18">_xlfn.LET(
  _xlpm.w, BO$11,
  _xlpm.r, MATCH(1,('3. Enter Indicator Scores'!$B$10:$B$161=$B18)*('3. Enter Indicator Scores'!$C$10:$C$161=$C18),0),
  _xlpm.c, MATCH(BO$8,'3. Enter Indicator Scores'!$D$8:$CZ$8,0),
  _xlpm.v, IFERROR(INDEX('3. Enter Indicator Scores'!$D$10:$CZ$161,_xlpm.r,_xlpm.c),""),
  IF(OR(_xlpm.w="",_xlpm.v=""),"",_xlpm.v*_xlpm.w)
)</f>
        <v/>
      </c>
      <c r="BP18" s="93" t="str" cm="1">
        <f t="array" ref="BP18">_xlfn.LET(
  _xlpm.w, BP$11,
  _xlpm.r, MATCH(1,('3. Enter Indicator Scores'!$B$10:$B$161=$B18)*('3. Enter Indicator Scores'!$C$10:$C$161=$C18),0),
  _xlpm.c, MATCH(BP$8,'3. Enter Indicator Scores'!$D$8:$CZ$8,0),
  _xlpm.v, IFERROR(INDEX('3. Enter Indicator Scores'!$D$10:$CZ$161,_xlpm.r,_xlpm.c),""),
  IF(OR(_xlpm.w="",_xlpm.v=""),"",_xlpm.v*_xlpm.w)
)</f>
        <v/>
      </c>
      <c r="BQ18" s="93" t="str" cm="1">
        <f t="array" ref="BQ18">_xlfn.LET(
  _xlpm.w, BQ$11,
  _xlpm.r, MATCH(1,('3. Enter Indicator Scores'!$B$10:$B$161=$B18)*('3. Enter Indicator Scores'!$C$10:$C$161=$C18),0),
  _xlpm.c, MATCH(BQ$8,'3. Enter Indicator Scores'!$D$8:$CZ$8,0),
  _xlpm.v, IFERROR(INDEX('3. Enter Indicator Scores'!$D$10:$CZ$161,_xlpm.r,_xlpm.c),""),
  IF(OR(_xlpm.w="",_xlpm.v=""),"",_xlpm.v*_xlpm.w)
)</f>
        <v/>
      </c>
      <c r="BR18" s="93" t="str" cm="1">
        <f t="array" ref="BR18">_xlfn.LET(
  _xlpm.w, BR$11,
  _xlpm.r, MATCH(1,('3. Enter Indicator Scores'!$B$10:$B$161=$B18)*('3. Enter Indicator Scores'!$C$10:$C$161=$C18),0),
  _xlpm.c, MATCH(BR$8,'3. Enter Indicator Scores'!$D$8:$CZ$8,0),
  _xlpm.v, IFERROR(INDEX('3. Enter Indicator Scores'!$D$10:$CZ$161,_xlpm.r,_xlpm.c),""),
  IF(OR(_xlpm.w="",_xlpm.v=""),"",_xlpm.v*_xlpm.w)
)</f>
        <v/>
      </c>
      <c r="BS18" s="93" t="str" cm="1">
        <f t="array" ref="BS18">_xlfn.LET(
  _xlpm.w, BS$11,
  _xlpm.r, MATCH(1,('3. Enter Indicator Scores'!$B$10:$B$161=$B18)*('3. Enter Indicator Scores'!$C$10:$C$161=$C18),0),
  _xlpm.c, MATCH(BS$8,'3. Enter Indicator Scores'!$D$8:$CZ$8,0),
  _xlpm.v, IFERROR(INDEX('3. Enter Indicator Scores'!$D$10:$CZ$161,_xlpm.r,_xlpm.c),""),
  IF(OR(_xlpm.w="",_xlpm.v=""),"",_xlpm.v*_xlpm.w)
)</f>
        <v/>
      </c>
      <c r="BT18" s="93" t="str" cm="1">
        <f t="array" ref="BT18">_xlfn.LET(
  _xlpm.w, BT$11,
  _xlpm.r, MATCH(1,('3. Enter Indicator Scores'!$B$10:$B$161=$B18)*('3. Enter Indicator Scores'!$C$10:$C$161=$C18),0),
  _xlpm.c, MATCH(BT$8,'3. Enter Indicator Scores'!$D$8:$CZ$8,0),
  _xlpm.v, IFERROR(INDEX('3. Enter Indicator Scores'!$D$10:$CZ$161,_xlpm.r,_xlpm.c),""),
  IF(OR(_xlpm.w="",_xlpm.v=""),"",_xlpm.v*_xlpm.w)
)</f>
        <v/>
      </c>
      <c r="BU18" s="93" t="str" cm="1">
        <f t="array" ref="BU18">_xlfn.LET(
  _xlpm.w, BU$11,
  _xlpm.r, MATCH(1,('3. Enter Indicator Scores'!$B$10:$B$161=$B18)*('3. Enter Indicator Scores'!$C$10:$C$161=$C18),0),
  _xlpm.c, MATCH(BU$8,'3. Enter Indicator Scores'!$D$8:$CZ$8,0),
  _xlpm.v, IFERROR(INDEX('3. Enter Indicator Scores'!$D$10:$CZ$161,_xlpm.r,_xlpm.c),""),
  IF(OR(_xlpm.w="",_xlpm.v=""),"",_xlpm.v*_xlpm.w)
)</f>
        <v/>
      </c>
      <c r="BV18" s="93" t="str" cm="1">
        <f t="array" ref="BV18">_xlfn.LET(
  _xlpm.w, BV$11,
  _xlpm.r, MATCH(1,('3. Enter Indicator Scores'!$B$10:$B$161=$B18)*('3. Enter Indicator Scores'!$C$10:$C$161=$C18),0),
  _xlpm.c, MATCH(BV$8,'3. Enter Indicator Scores'!$D$8:$CZ$8,0),
  _xlpm.v, IFERROR(INDEX('3. Enter Indicator Scores'!$D$10:$CZ$161,_xlpm.r,_xlpm.c),""),
  IF(OR(_xlpm.w="",_xlpm.v=""),"",_xlpm.v*_xlpm.w)
)</f>
        <v/>
      </c>
      <c r="BW18" s="93" t="str" cm="1">
        <f t="array" ref="BW18">_xlfn.LET(
  _xlpm.w, BW$11,
  _xlpm.r, MATCH(1,('3. Enter Indicator Scores'!$B$10:$B$161=$B18)*('3. Enter Indicator Scores'!$C$10:$C$161=$C18),0),
  _xlpm.c, MATCH(BW$8,'3. Enter Indicator Scores'!$D$8:$CZ$8,0),
  _xlpm.v, IFERROR(INDEX('3. Enter Indicator Scores'!$D$10:$CZ$161,_xlpm.r,_xlpm.c),""),
  IF(OR(_xlpm.w="",_xlpm.v=""),"",_xlpm.v*_xlpm.w)
)</f>
        <v/>
      </c>
      <c r="BX18" s="93" t="str" cm="1">
        <f t="array" ref="BX18">_xlfn.LET(
  _xlpm.w, BX$11,
  _xlpm.r, MATCH(1,('3. Enter Indicator Scores'!$B$10:$B$161=$B18)*('3. Enter Indicator Scores'!$C$10:$C$161=$C18),0),
  _xlpm.c, MATCH(BX$8,'3. Enter Indicator Scores'!$D$8:$CZ$8,0),
  _xlpm.v, IFERROR(INDEX('3. Enter Indicator Scores'!$D$10:$CZ$161,_xlpm.r,_xlpm.c),""),
  IF(OR(_xlpm.w="",_xlpm.v=""),"",_xlpm.v*_xlpm.w)
)</f>
        <v/>
      </c>
      <c r="BY18" s="93" t="str" cm="1">
        <f t="array" ref="BY18">_xlfn.LET(
  _xlpm.w, BY$11,
  _xlpm.r, MATCH(1,('3. Enter Indicator Scores'!$B$10:$B$161=$B18)*('3. Enter Indicator Scores'!$C$10:$C$161=$C18),0),
  _xlpm.c, MATCH(BY$8,'3. Enter Indicator Scores'!$D$8:$CZ$8,0),
  _xlpm.v, IFERROR(INDEX('3. Enter Indicator Scores'!$D$10:$CZ$161,_xlpm.r,_xlpm.c),""),
  IF(OR(_xlpm.w="",_xlpm.v=""),"",_xlpm.v*_xlpm.w)
)</f>
        <v/>
      </c>
      <c r="BZ18" s="93" t="str" cm="1">
        <f t="array" ref="BZ18">_xlfn.LET(
  _xlpm.w, BZ$11,
  _xlpm.r, MATCH(1,('3. Enter Indicator Scores'!$B$10:$B$161=$B18)*('3. Enter Indicator Scores'!$C$10:$C$161=$C18),0),
  _xlpm.c, MATCH(BZ$8,'3. Enter Indicator Scores'!$D$8:$CZ$8,0),
  _xlpm.v, IFERROR(INDEX('3. Enter Indicator Scores'!$D$10:$CZ$161,_xlpm.r,_xlpm.c),""),
  IF(OR(_xlpm.w="",_xlpm.v=""),"",_xlpm.v*_xlpm.w)
)</f>
        <v/>
      </c>
      <c r="CA18" s="93" t="str" cm="1">
        <f t="array" ref="CA18">_xlfn.LET(
  _xlpm.w, CA$11,
  _xlpm.r, MATCH(1,('3. Enter Indicator Scores'!$B$10:$B$161=$B18)*('3. Enter Indicator Scores'!$C$10:$C$161=$C18),0),
  _xlpm.c, MATCH(CA$8,'3. Enter Indicator Scores'!$D$8:$CZ$8,0),
  _xlpm.v, IFERROR(INDEX('3. Enter Indicator Scores'!$D$10:$CZ$161,_xlpm.r,_xlpm.c),""),
  IF(OR(_xlpm.w="",_xlpm.v=""),"",_xlpm.v*_xlpm.w)
)</f>
        <v/>
      </c>
      <c r="CB18" s="93" t="str" cm="1">
        <f t="array" ref="CB18">_xlfn.LET(
  _xlpm.w, CB$11,
  _xlpm.r, MATCH(1,('3. Enter Indicator Scores'!$B$10:$B$161=$B18)*('3. Enter Indicator Scores'!$C$10:$C$161=$C18),0),
  _xlpm.c, MATCH(CB$8,'3. Enter Indicator Scores'!$D$8:$CZ$8,0),
  _xlpm.v, IFERROR(INDEX('3. Enter Indicator Scores'!$D$10:$CZ$161,_xlpm.r,_xlpm.c),""),
  IF(OR(_xlpm.w="",_xlpm.v=""),"",_xlpm.v*_xlpm.w)
)</f>
        <v/>
      </c>
      <c r="CC18" s="93" t="str" cm="1">
        <f t="array" ref="CC18">_xlfn.LET(
  _xlpm.w, CC$11,
  _xlpm.r, MATCH(1,('3. Enter Indicator Scores'!$B$10:$B$161=$B18)*('3. Enter Indicator Scores'!$C$10:$C$161=$C18),0),
  _xlpm.c, MATCH(CC$8,'3. Enter Indicator Scores'!$D$8:$CZ$8,0),
  _xlpm.v, IFERROR(INDEX('3. Enter Indicator Scores'!$D$10:$CZ$161,_xlpm.r,_xlpm.c),""),
  IF(OR(_xlpm.w="",_xlpm.v=""),"",_xlpm.v*_xlpm.w)
)</f>
        <v/>
      </c>
      <c r="CD18" s="93" t="str" cm="1">
        <f t="array" ref="CD18">_xlfn.LET(
  _xlpm.w, CD$11,
  _xlpm.r, MATCH(1,('3. Enter Indicator Scores'!$B$10:$B$161=$B18)*('3. Enter Indicator Scores'!$C$10:$C$161=$C18),0),
  _xlpm.c, MATCH(CD$8,'3. Enter Indicator Scores'!$D$8:$CZ$8,0),
  _xlpm.v, IFERROR(INDEX('3. Enter Indicator Scores'!$D$10:$CZ$161,_xlpm.r,_xlpm.c),""),
  IF(OR(_xlpm.w="",_xlpm.v=""),"",_xlpm.v*_xlpm.w)
)</f>
        <v/>
      </c>
      <c r="CE18" s="93" t="str" cm="1">
        <f t="array" ref="CE18">_xlfn.LET(
  _xlpm.w, CE$11,
  _xlpm.r, MATCH(1,('3. Enter Indicator Scores'!$B$10:$B$161=$B18)*('3. Enter Indicator Scores'!$C$10:$C$161=$C18),0),
  _xlpm.c, MATCH(CE$8,'3. Enter Indicator Scores'!$D$8:$CZ$8,0),
  _xlpm.v, IFERROR(INDEX('3. Enter Indicator Scores'!$D$10:$CZ$161,_xlpm.r,_xlpm.c),""),
  IF(OR(_xlpm.w="",_xlpm.v=""),"",_xlpm.v*_xlpm.w)
)</f>
        <v/>
      </c>
      <c r="CF18" s="93" t="str" cm="1">
        <f t="array" ref="CF18">_xlfn.LET(
  _xlpm.w, CF$11,
  _xlpm.r, MATCH(1,('3. Enter Indicator Scores'!$B$10:$B$161=$B18)*('3. Enter Indicator Scores'!$C$10:$C$161=$C18),0),
  _xlpm.c, MATCH(CF$8,'3. Enter Indicator Scores'!$D$8:$CZ$8,0),
  _xlpm.v, IFERROR(INDEX('3. Enter Indicator Scores'!$D$10:$CZ$161,_xlpm.r,_xlpm.c),""),
  IF(OR(_xlpm.w="",_xlpm.v=""),"",_xlpm.v*_xlpm.w)
)</f>
        <v/>
      </c>
      <c r="CG18" s="93" t="str" cm="1">
        <f t="array" ref="CG18">_xlfn.LET(
  _xlpm.w, CG$11,
  _xlpm.r, MATCH(1,('3. Enter Indicator Scores'!$B$10:$B$161=$B18)*('3. Enter Indicator Scores'!$C$10:$C$161=$C18),0),
  _xlpm.c, MATCH(CG$8,'3. Enter Indicator Scores'!$D$8:$CZ$8,0),
  _xlpm.v, IFERROR(INDEX('3. Enter Indicator Scores'!$D$10:$CZ$161,_xlpm.r,_xlpm.c),""),
  IF(OR(_xlpm.w="",_xlpm.v=""),"",_xlpm.v*_xlpm.w)
)</f>
        <v/>
      </c>
      <c r="CH18" s="93" t="str" cm="1">
        <f t="array" ref="CH18">_xlfn.LET(
  _xlpm.w, CH$11,
  _xlpm.r, MATCH(1,('3. Enter Indicator Scores'!$B$10:$B$161=$B18)*('3. Enter Indicator Scores'!$C$10:$C$161=$C18),0),
  _xlpm.c, MATCH(CH$8,'3. Enter Indicator Scores'!$D$8:$CZ$8,0),
  _xlpm.v, IFERROR(INDEX('3. Enter Indicator Scores'!$D$10:$CZ$161,_xlpm.r,_xlpm.c),""),
  IF(OR(_xlpm.w="",_xlpm.v=""),"",_xlpm.v*_xlpm.w)
)</f>
        <v/>
      </c>
      <c r="CI18" s="93" t="str" cm="1">
        <f t="array" ref="CI18">_xlfn.LET(
  _xlpm.w, CI$11,
  _xlpm.r, MATCH(1,('3. Enter Indicator Scores'!$B$10:$B$161=$B18)*('3. Enter Indicator Scores'!$C$10:$C$161=$C18),0),
  _xlpm.c, MATCH(CI$8,'3. Enter Indicator Scores'!$D$8:$CZ$8,0),
  _xlpm.v, IFERROR(INDEX('3. Enter Indicator Scores'!$D$10:$CZ$161,_xlpm.r,_xlpm.c),""),
  IF(OR(_xlpm.w="",_xlpm.v=""),"",_xlpm.v*_xlpm.w)
)</f>
        <v/>
      </c>
      <c r="CJ18" s="93" t="str" cm="1">
        <f t="array" ref="CJ18">_xlfn.LET(
  _xlpm.w, CJ$11,
  _xlpm.r, MATCH(1,('3. Enter Indicator Scores'!$B$10:$B$161=$B18)*('3. Enter Indicator Scores'!$C$10:$C$161=$C18),0),
  _xlpm.c, MATCH(CJ$8,'3. Enter Indicator Scores'!$D$8:$CZ$8,0),
  _xlpm.v, IFERROR(INDEX('3. Enter Indicator Scores'!$D$10:$CZ$161,_xlpm.r,_xlpm.c),""),
  IF(OR(_xlpm.w="",_xlpm.v=""),"",_xlpm.v*_xlpm.w)
)</f>
        <v/>
      </c>
      <c r="CK18" s="93" t="str" cm="1">
        <f t="array" ref="CK18">_xlfn.LET(
  _xlpm.w, CK$11,
  _xlpm.r, MATCH(1,('3. Enter Indicator Scores'!$B$10:$B$161=$B18)*('3. Enter Indicator Scores'!$C$10:$C$161=$C18),0),
  _xlpm.c, MATCH(CK$8,'3. Enter Indicator Scores'!$D$8:$CZ$8,0),
  _xlpm.v, IFERROR(INDEX('3. Enter Indicator Scores'!$D$10:$CZ$161,_xlpm.r,_xlpm.c),""),
  IF(OR(_xlpm.w="",_xlpm.v=""),"",_xlpm.v*_xlpm.w)
)</f>
        <v/>
      </c>
      <c r="CL18" s="93" t="str" cm="1">
        <f t="array" ref="CL18">_xlfn.LET(
  _xlpm.w, CL$11,
  _xlpm.r, MATCH(1,('3. Enter Indicator Scores'!$B$10:$B$161=$B18)*('3. Enter Indicator Scores'!$C$10:$C$161=$C18),0),
  _xlpm.c, MATCH(CL$8,'3. Enter Indicator Scores'!$D$8:$CZ$8,0),
  _xlpm.v, IFERROR(INDEX('3. Enter Indicator Scores'!$D$10:$CZ$161,_xlpm.r,_xlpm.c),""),
  IF(OR(_xlpm.w="",_xlpm.v=""),"",_xlpm.v*_xlpm.w)
)</f>
        <v/>
      </c>
      <c r="CM18" s="93" t="str" cm="1">
        <f t="array" ref="CM18">_xlfn.LET(
  _xlpm.w, CM$11,
  _xlpm.r, MATCH(1,('3. Enter Indicator Scores'!$B$10:$B$161=$B18)*('3. Enter Indicator Scores'!$C$10:$C$161=$C18),0),
  _xlpm.c, MATCH(CM$8,'3. Enter Indicator Scores'!$D$8:$CZ$8,0),
  _xlpm.v, IFERROR(INDEX('3. Enter Indicator Scores'!$D$10:$CZ$161,_xlpm.r,_xlpm.c),""),
  IF(OR(_xlpm.w="",_xlpm.v=""),"",_xlpm.v*_xlpm.w)
)</f>
        <v/>
      </c>
      <c r="CN18" s="93" t="str" cm="1">
        <f t="array" ref="CN18">_xlfn.LET(
  _xlpm.w, CN$11,
  _xlpm.r, MATCH(1,('3. Enter Indicator Scores'!$B$10:$B$161=$B18)*('3. Enter Indicator Scores'!$C$10:$C$161=$C18),0),
  _xlpm.c, MATCH(CN$8,'3. Enter Indicator Scores'!$D$8:$CZ$8,0),
  _xlpm.v, IFERROR(INDEX('3. Enter Indicator Scores'!$D$10:$CZ$161,_xlpm.r,_xlpm.c),""),
  IF(OR(_xlpm.w="",_xlpm.v=""),"",_xlpm.v*_xlpm.w)
)</f>
        <v/>
      </c>
      <c r="CO18" s="93" t="str" cm="1">
        <f t="array" ref="CO18">_xlfn.LET(
  _xlpm.w, CO$11,
  _xlpm.r, MATCH(1,('3. Enter Indicator Scores'!$B$10:$B$161=$B18)*('3. Enter Indicator Scores'!$C$10:$C$161=$C18),0),
  _xlpm.c, MATCH(CO$8,'3. Enter Indicator Scores'!$D$8:$CZ$8,0),
  _xlpm.v, IFERROR(INDEX('3. Enter Indicator Scores'!$D$10:$CZ$161,_xlpm.r,_xlpm.c),""),
  IF(OR(_xlpm.w="",_xlpm.v=""),"",_xlpm.v*_xlpm.w)
)</f>
        <v/>
      </c>
      <c r="CP18" s="93" t="str" cm="1">
        <f t="array" ref="CP18">_xlfn.LET(
  _xlpm.w, CP$11,
  _xlpm.r, MATCH(1,('3. Enter Indicator Scores'!$B$10:$B$161=$B18)*('3. Enter Indicator Scores'!$C$10:$C$161=$C18),0),
  _xlpm.c, MATCH(CP$8,'3. Enter Indicator Scores'!$D$8:$CZ$8,0),
  _xlpm.v, IFERROR(INDEX('3. Enter Indicator Scores'!$D$10:$CZ$161,_xlpm.r,_xlpm.c),""),
  IF(OR(_xlpm.w="",_xlpm.v=""),"",_xlpm.v*_xlpm.w)
)</f>
        <v/>
      </c>
      <c r="CQ18" s="93" t="str" cm="1">
        <f t="array" ref="CQ18">_xlfn.LET(
  _xlpm.w, CQ$11,
  _xlpm.r, MATCH(1,('3. Enter Indicator Scores'!$B$10:$B$161=$B18)*('3. Enter Indicator Scores'!$C$10:$C$161=$C18),0),
  _xlpm.c, MATCH(CQ$8,'3. Enter Indicator Scores'!$D$8:$CZ$8,0),
  _xlpm.v, IFERROR(INDEX('3. Enter Indicator Scores'!$D$10:$CZ$161,_xlpm.r,_xlpm.c),""),
  IF(OR(_xlpm.w="",_xlpm.v=""),"",_xlpm.v*_xlpm.w)
)</f>
        <v/>
      </c>
      <c r="CR18" s="93" t="str" cm="1">
        <f t="array" ref="CR18">_xlfn.LET(
  _xlpm.w, CR$11,
  _xlpm.r, MATCH(1,('3. Enter Indicator Scores'!$B$10:$B$161=$B18)*('3. Enter Indicator Scores'!$C$10:$C$161=$C18),0),
  _xlpm.c, MATCH(CR$8,'3. Enter Indicator Scores'!$D$8:$CZ$8,0),
  _xlpm.v, IFERROR(INDEX('3. Enter Indicator Scores'!$D$10:$CZ$161,_xlpm.r,_xlpm.c),""),
  IF(OR(_xlpm.w="",_xlpm.v=""),"",_xlpm.v*_xlpm.w)
)</f>
        <v/>
      </c>
      <c r="CS18" s="93" t="str" cm="1">
        <f t="array" ref="CS18">_xlfn.LET(
  _xlpm.w, CS$11,
  _xlpm.r, MATCH(1,('3. Enter Indicator Scores'!$B$10:$B$161=$B18)*('3. Enter Indicator Scores'!$C$10:$C$161=$C18),0),
  _xlpm.c, MATCH(CS$8,'3. Enter Indicator Scores'!$D$8:$CZ$8,0),
  _xlpm.v, IFERROR(INDEX('3. Enter Indicator Scores'!$D$10:$CZ$161,_xlpm.r,_xlpm.c),""),
  IF(OR(_xlpm.w="",_xlpm.v=""),"",_xlpm.v*_xlpm.w)
)</f>
        <v/>
      </c>
      <c r="CT18" s="93" t="str" cm="1">
        <f t="array" ref="CT18">_xlfn.LET(
  _xlpm.w, CT$11,
  _xlpm.r, MATCH(1,('3. Enter Indicator Scores'!$B$10:$B$161=$B18)*('3. Enter Indicator Scores'!$C$10:$C$161=$C18),0),
  _xlpm.c, MATCH(CT$8,'3. Enter Indicator Scores'!$D$8:$CZ$8,0),
  _xlpm.v, IFERROR(INDEX('3. Enter Indicator Scores'!$D$10:$CZ$161,_xlpm.r,_xlpm.c),""),
  IF(OR(_xlpm.w="",_xlpm.v=""),"",_xlpm.v*_xlpm.w)
)</f>
        <v/>
      </c>
      <c r="CU18" s="93" t="str" cm="1">
        <f t="array" ref="CU18">_xlfn.LET(
  _xlpm.w, CU$11,
  _xlpm.r, MATCH(1,('3. Enter Indicator Scores'!$B$10:$B$161=$B18)*('3. Enter Indicator Scores'!$C$10:$C$161=$C18),0),
  _xlpm.c, MATCH(CU$8,'3. Enter Indicator Scores'!$D$8:$CZ$8,0),
  _xlpm.v, IFERROR(INDEX('3. Enter Indicator Scores'!$D$10:$CZ$161,_xlpm.r,_xlpm.c),""),
  IF(OR(_xlpm.w="",_xlpm.v=""),"",_xlpm.v*_xlpm.w)
)</f>
        <v/>
      </c>
      <c r="CV18" s="93" t="str" cm="1">
        <f t="array" ref="CV18">_xlfn.LET(
  _xlpm.w, CV$11,
  _xlpm.r, MATCH(1,('3. Enter Indicator Scores'!$B$10:$B$161=$B18)*('3. Enter Indicator Scores'!$C$10:$C$161=$C18),0),
  _xlpm.c, MATCH(CV$8,'3. Enter Indicator Scores'!$D$8:$CZ$8,0),
  _xlpm.v, IFERROR(INDEX('3. Enter Indicator Scores'!$D$10:$CZ$161,_xlpm.r,_xlpm.c),""),
  IF(OR(_xlpm.w="",_xlpm.v=""),"",_xlpm.v*_xlpm.w)
)</f>
        <v/>
      </c>
      <c r="CW18" s="93" t="str" cm="1">
        <f t="array" ref="CW18">_xlfn.LET(
  _xlpm.w, CW$11,
  _xlpm.r, MATCH(1,('3. Enter Indicator Scores'!$B$10:$B$161=$B18)*('3. Enter Indicator Scores'!$C$10:$C$161=$C18),0),
  _xlpm.c, MATCH(CW$8,'3. Enter Indicator Scores'!$D$8:$CZ$8,0),
  _xlpm.v, IFERROR(INDEX('3. Enter Indicator Scores'!$D$10:$CZ$161,_xlpm.r,_xlpm.c),""),
  IF(OR(_xlpm.w="",_xlpm.v=""),"",_xlpm.v*_xlpm.w)
)</f>
        <v/>
      </c>
      <c r="CX18" s="93" t="str" cm="1">
        <f t="array" ref="CX18">_xlfn.LET(
  _xlpm.w, CX$11,
  _xlpm.r, MATCH(1,('3. Enter Indicator Scores'!$B$10:$B$161=$B18)*('3. Enter Indicator Scores'!$C$10:$C$161=$C18),0),
  _xlpm.c, MATCH(CX$8,'3. Enter Indicator Scores'!$D$8:$CZ$8,0),
  _xlpm.v, IFERROR(INDEX('3. Enter Indicator Scores'!$D$10:$CZ$161,_xlpm.r,_xlpm.c),""),
  IF(OR(_xlpm.w="",_xlpm.v=""),"",_xlpm.v*_xlpm.w)
)</f>
        <v/>
      </c>
      <c r="CY18" s="93" t="str" cm="1">
        <f t="array" ref="CY18">_xlfn.LET(
  _xlpm.w, CY$11,
  _xlpm.r, MATCH(1,('3. Enter Indicator Scores'!$B$10:$B$161=$B18)*('3. Enter Indicator Scores'!$C$10:$C$161=$C18),0),
  _xlpm.c, MATCH(CY$8,'3. Enter Indicator Scores'!$D$8:$CZ$8,0),
  _xlpm.v, IFERROR(INDEX('3. Enter Indicator Scores'!$D$10:$CZ$161,_xlpm.r,_xlpm.c),""),
  IF(OR(_xlpm.w="",_xlpm.v=""),"",_xlpm.v*_xlpm.w)
)</f>
        <v/>
      </c>
      <c r="CZ18" s="93" t="str" cm="1">
        <f t="array" ref="CZ18">_xlfn.LET(
  _xlpm.w, CZ$11,
  _xlpm.r, MATCH(1,('3. Enter Indicator Scores'!$B$10:$B$161=$B18)*('3. Enter Indicator Scores'!$C$10:$C$161=$C18),0),
  _xlpm.c, MATCH(CZ$8,'3. Enter Indicator Scores'!$D$8:$CZ$8,0),
  _xlpm.v, IFERROR(INDEX('3. Enter Indicator Scores'!$D$10:$CZ$161,_xlpm.r,_xlpm.c),""),
  IF(OR(_xlpm.w="",_xlpm.v=""),"",_xlpm.v*_xlpm.w)
)</f>
        <v/>
      </c>
    </row>
    <row r="19" spans="1:104" x14ac:dyDescent="0.2">
      <c r="D19" s="93" t="str" cm="1">
        <f t="array" ref="D19">_xlfn.LET(
  _xlpm.w, D$11,
  _xlpm.r, MATCH(1,('3. Enter Indicator Scores'!$B$10:$B$161=$B19)*('3. Enter Indicator Scores'!$C$10:$C$161=$C19),0),
  _xlpm.c, MATCH(D$8,'3. Enter Indicator Scores'!$D$8:$CZ$8,0),
  _xlpm.v, IFERROR(INDEX('3. Enter Indicator Scores'!$D$10:$CZ$161,_xlpm.r,_xlpm.c),""),
  IF(OR(_xlpm.w="",_xlpm.v=""),"",_xlpm.v*_xlpm.w)
)</f>
        <v/>
      </c>
      <c r="E19" s="93" t="str" cm="1">
        <f t="array" ref="E19">_xlfn.LET(
  _xlpm.w, E$11,
  _xlpm.r, MATCH(1,('3. Enter Indicator Scores'!$B$10:$B$161=$B19)*('3. Enter Indicator Scores'!$C$10:$C$161=$C19),0),
  _xlpm.c, MATCH(E$8,'3. Enter Indicator Scores'!$D$8:$CZ$8,0),
  _xlpm.v, IFERROR(INDEX('3. Enter Indicator Scores'!$D$10:$CZ$161,_xlpm.r,_xlpm.c),""),
  IF(OR(_xlpm.w="",_xlpm.v=""),"",_xlpm.v*_xlpm.w)
)</f>
        <v/>
      </c>
      <c r="F19" s="93" t="str" cm="1">
        <f t="array" ref="F19">_xlfn.LET(
  _xlpm.w, F$11,
  _xlpm.r, MATCH(1,('3. Enter Indicator Scores'!$B$10:$B$161=$B19)*('3. Enter Indicator Scores'!$C$10:$C$161=$C19),0),
  _xlpm.c, MATCH(F$8,'3. Enter Indicator Scores'!$D$8:$CZ$8,0),
  _xlpm.v, IFERROR(INDEX('3. Enter Indicator Scores'!$D$10:$CZ$161,_xlpm.r,_xlpm.c),""),
  IF(OR(_xlpm.w="",_xlpm.v=""),"",_xlpm.v*_xlpm.w)
)</f>
        <v/>
      </c>
      <c r="G19" s="93" t="str" cm="1">
        <f t="array" ref="G19">_xlfn.LET(
  _xlpm.w, G$11,
  _xlpm.r, MATCH(1,('3. Enter Indicator Scores'!$B$10:$B$161=$B19)*('3. Enter Indicator Scores'!$C$10:$C$161=$C19),0),
  _xlpm.c, MATCH(G$8,'3. Enter Indicator Scores'!$D$8:$CZ$8,0),
  _xlpm.v, IFERROR(INDEX('3. Enter Indicator Scores'!$D$10:$CZ$161,_xlpm.r,_xlpm.c),""),
  IF(OR(_xlpm.w="",_xlpm.v=""),"",_xlpm.v*_xlpm.w)
)</f>
        <v/>
      </c>
      <c r="H19" s="93" t="str" cm="1">
        <f t="array" ref="H19">_xlfn.LET(
  _xlpm.w, H$11,
  _xlpm.r, MATCH(1,('3. Enter Indicator Scores'!$B$10:$B$161=$B19)*('3. Enter Indicator Scores'!$C$10:$C$161=$C19),0),
  _xlpm.c, MATCH(H$8,'3. Enter Indicator Scores'!$D$8:$CZ$8,0),
  _xlpm.v, IFERROR(INDEX('3. Enter Indicator Scores'!$D$10:$CZ$161,_xlpm.r,_xlpm.c),""),
  IF(OR(_xlpm.w="",_xlpm.v=""),"",_xlpm.v*_xlpm.w)
)</f>
        <v/>
      </c>
      <c r="I19" s="93" t="str" cm="1">
        <f t="array" ref="I19">_xlfn.LET(
  _xlpm.w, I$11,
  _xlpm.r, MATCH(1,('3. Enter Indicator Scores'!$B$10:$B$161=$B19)*('3. Enter Indicator Scores'!$C$10:$C$161=$C19),0),
  _xlpm.c, MATCH(I$8,'3. Enter Indicator Scores'!$D$8:$CZ$8,0),
  _xlpm.v, IFERROR(INDEX('3. Enter Indicator Scores'!$D$10:$CZ$161,_xlpm.r,_xlpm.c),""),
  IF(OR(_xlpm.w="",_xlpm.v=""),"",_xlpm.v*_xlpm.w)
)</f>
        <v/>
      </c>
      <c r="J19" s="93" t="str" cm="1">
        <f t="array" ref="J19">_xlfn.LET(
  _xlpm.w, J$11,
  _xlpm.r, MATCH(1,('3. Enter Indicator Scores'!$B$10:$B$161=$B19)*('3. Enter Indicator Scores'!$C$10:$C$161=$C19),0),
  _xlpm.c, MATCH(J$8,'3. Enter Indicator Scores'!$D$8:$CZ$8,0),
  _xlpm.v, IFERROR(INDEX('3. Enter Indicator Scores'!$D$10:$CZ$161,_xlpm.r,_xlpm.c),""),
  IF(OR(_xlpm.w="",_xlpm.v=""),"",_xlpm.v*_xlpm.w)
)</f>
        <v/>
      </c>
      <c r="K19" s="93" t="str" cm="1">
        <f t="array" ref="K19">_xlfn.LET(
  _xlpm.w, K$11,
  _xlpm.r, MATCH(1,('3. Enter Indicator Scores'!$B$10:$B$161=$B19)*('3. Enter Indicator Scores'!$C$10:$C$161=$C19),0),
  _xlpm.c, MATCH(K$8,'3. Enter Indicator Scores'!$D$8:$CZ$8,0),
  _xlpm.v, IFERROR(INDEX('3. Enter Indicator Scores'!$D$10:$CZ$161,_xlpm.r,_xlpm.c),""),
  IF(OR(_xlpm.w="",_xlpm.v=""),"",_xlpm.v*_xlpm.w)
)</f>
        <v/>
      </c>
      <c r="L19" s="93" t="str" cm="1">
        <f t="array" ref="L19">_xlfn.LET(
  _xlpm.w, L$11,
  _xlpm.r, MATCH(1,('3. Enter Indicator Scores'!$B$10:$B$161=$B19)*('3. Enter Indicator Scores'!$C$10:$C$161=$C19),0),
  _xlpm.c, MATCH(L$8,'3. Enter Indicator Scores'!$D$8:$CZ$8,0),
  _xlpm.v, IFERROR(INDEX('3. Enter Indicator Scores'!$D$10:$CZ$161,_xlpm.r,_xlpm.c),""),
  IF(OR(_xlpm.w="",_xlpm.v=""),"",_xlpm.v*_xlpm.w)
)</f>
        <v/>
      </c>
      <c r="M19" s="93" t="str" cm="1">
        <f t="array" ref="M19">_xlfn.LET(
  _xlpm.w, M$11,
  _xlpm.r, MATCH(1,('3. Enter Indicator Scores'!$B$10:$B$161=$B19)*('3. Enter Indicator Scores'!$C$10:$C$161=$C19),0),
  _xlpm.c, MATCH(M$8,'3. Enter Indicator Scores'!$D$8:$CZ$8,0),
  _xlpm.v, IFERROR(INDEX('3. Enter Indicator Scores'!$D$10:$CZ$161,_xlpm.r,_xlpm.c),""),
  IF(OR(_xlpm.w="",_xlpm.v=""),"",_xlpm.v*_xlpm.w)
)</f>
        <v/>
      </c>
      <c r="N19" s="93" t="str" cm="1">
        <f t="array" ref="N19">_xlfn.LET(
  _xlpm.w, N$11,
  _xlpm.r, MATCH(1,('3. Enter Indicator Scores'!$B$10:$B$161=$B19)*('3. Enter Indicator Scores'!$C$10:$C$161=$C19),0),
  _xlpm.c, MATCH(N$8,'3. Enter Indicator Scores'!$D$8:$CZ$8,0),
  _xlpm.v, IFERROR(INDEX('3. Enter Indicator Scores'!$D$10:$CZ$161,_xlpm.r,_xlpm.c),""),
  IF(OR(_xlpm.w="",_xlpm.v=""),"",_xlpm.v*_xlpm.w)
)</f>
        <v/>
      </c>
      <c r="O19" s="93" t="str" cm="1">
        <f t="array" ref="O19">_xlfn.LET(
  _xlpm.w, O$11,
  _xlpm.r, MATCH(1,('3. Enter Indicator Scores'!$B$10:$B$161=$B19)*('3. Enter Indicator Scores'!$C$10:$C$161=$C19),0),
  _xlpm.c, MATCH(O$8,'3. Enter Indicator Scores'!$D$8:$CZ$8,0),
  _xlpm.v, IFERROR(INDEX('3. Enter Indicator Scores'!$D$10:$CZ$161,_xlpm.r,_xlpm.c),""),
  IF(OR(_xlpm.w="",_xlpm.v=""),"",_xlpm.v*_xlpm.w)
)</f>
        <v/>
      </c>
      <c r="P19" s="93" t="str" cm="1">
        <f t="array" ref="P19">_xlfn.LET(
  _xlpm.w, P$11,
  _xlpm.r, MATCH(1,('3. Enter Indicator Scores'!$B$10:$B$161=$B19)*('3. Enter Indicator Scores'!$C$10:$C$161=$C19),0),
  _xlpm.c, MATCH(P$8,'3. Enter Indicator Scores'!$D$8:$CZ$8,0),
  _xlpm.v, IFERROR(INDEX('3. Enter Indicator Scores'!$D$10:$CZ$161,_xlpm.r,_xlpm.c),""),
  IF(OR(_xlpm.w="",_xlpm.v=""),"",_xlpm.v*_xlpm.w)
)</f>
        <v/>
      </c>
      <c r="Q19" s="93" t="str" cm="1">
        <f t="array" ref="Q19">_xlfn.LET(
  _xlpm.w, Q$11,
  _xlpm.r, MATCH(1,('3. Enter Indicator Scores'!$B$10:$B$161=$B19)*('3. Enter Indicator Scores'!$C$10:$C$161=$C19),0),
  _xlpm.c, MATCH(Q$8,'3. Enter Indicator Scores'!$D$8:$CZ$8,0),
  _xlpm.v, IFERROR(INDEX('3. Enter Indicator Scores'!$D$10:$CZ$161,_xlpm.r,_xlpm.c),""),
  IF(OR(_xlpm.w="",_xlpm.v=""),"",_xlpm.v*_xlpm.w)
)</f>
        <v/>
      </c>
      <c r="R19" s="93" t="str" cm="1">
        <f t="array" ref="R19">_xlfn.LET(
  _xlpm.w, R$11,
  _xlpm.r, MATCH(1,('3. Enter Indicator Scores'!$B$10:$B$161=$B19)*('3. Enter Indicator Scores'!$C$10:$C$161=$C19),0),
  _xlpm.c, MATCH(R$8,'3. Enter Indicator Scores'!$D$8:$CZ$8,0),
  _xlpm.v, IFERROR(INDEX('3. Enter Indicator Scores'!$D$10:$CZ$161,_xlpm.r,_xlpm.c),""),
  IF(OR(_xlpm.w="",_xlpm.v=""),"",_xlpm.v*_xlpm.w)
)</f>
        <v/>
      </c>
      <c r="S19" s="93" t="str" cm="1">
        <f t="array" ref="S19">_xlfn.LET(
  _xlpm.w, S$11,
  _xlpm.r, MATCH(1,('3. Enter Indicator Scores'!$B$10:$B$161=$B19)*('3. Enter Indicator Scores'!$C$10:$C$161=$C19),0),
  _xlpm.c, MATCH(S$8,'3. Enter Indicator Scores'!$D$8:$CZ$8,0),
  _xlpm.v, IFERROR(INDEX('3. Enter Indicator Scores'!$D$10:$CZ$161,_xlpm.r,_xlpm.c),""),
  IF(OR(_xlpm.w="",_xlpm.v=""),"",_xlpm.v*_xlpm.w)
)</f>
        <v/>
      </c>
      <c r="T19" s="93" t="str" cm="1">
        <f t="array" ref="T19">_xlfn.LET(
  _xlpm.w, T$11,
  _xlpm.r, MATCH(1,('3. Enter Indicator Scores'!$B$10:$B$161=$B19)*('3. Enter Indicator Scores'!$C$10:$C$161=$C19),0),
  _xlpm.c, MATCH(T$8,'3. Enter Indicator Scores'!$D$8:$CZ$8,0),
  _xlpm.v, IFERROR(INDEX('3. Enter Indicator Scores'!$D$10:$CZ$161,_xlpm.r,_xlpm.c),""),
  IF(OR(_xlpm.w="",_xlpm.v=""),"",_xlpm.v*_xlpm.w)
)</f>
        <v/>
      </c>
      <c r="U19" s="93" t="str" cm="1">
        <f t="array" ref="U19">_xlfn.LET(
  _xlpm.w, U$11,
  _xlpm.r, MATCH(1,('3. Enter Indicator Scores'!$B$10:$B$161=$B19)*('3. Enter Indicator Scores'!$C$10:$C$161=$C19),0),
  _xlpm.c, MATCH(U$8,'3. Enter Indicator Scores'!$D$8:$CZ$8,0),
  _xlpm.v, IFERROR(INDEX('3. Enter Indicator Scores'!$D$10:$CZ$161,_xlpm.r,_xlpm.c),""),
  IF(OR(_xlpm.w="",_xlpm.v=""),"",_xlpm.v*_xlpm.w)
)</f>
        <v/>
      </c>
      <c r="V19" s="93" t="str" cm="1">
        <f t="array" ref="V19">_xlfn.LET(
  _xlpm.w, V$11,
  _xlpm.r, MATCH(1,('3. Enter Indicator Scores'!$B$10:$B$161=$B19)*('3. Enter Indicator Scores'!$C$10:$C$161=$C19),0),
  _xlpm.c, MATCH(V$8,'3. Enter Indicator Scores'!$D$8:$CZ$8,0),
  _xlpm.v, IFERROR(INDEX('3. Enter Indicator Scores'!$D$10:$CZ$161,_xlpm.r,_xlpm.c),""),
  IF(OR(_xlpm.w="",_xlpm.v=""),"",_xlpm.v*_xlpm.w)
)</f>
        <v/>
      </c>
      <c r="W19" s="93" t="str" cm="1">
        <f t="array" ref="W19">_xlfn.LET(
  _xlpm.w, W$11,
  _xlpm.r, MATCH(1,('3. Enter Indicator Scores'!$B$10:$B$161=$B19)*('3. Enter Indicator Scores'!$C$10:$C$161=$C19),0),
  _xlpm.c, MATCH(W$8,'3. Enter Indicator Scores'!$D$8:$CZ$8,0),
  _xlpm.v, IFERROR(INDEX('3. Enter Indicator Scores'!$D$10:$CZ$161,_xlpm.r,_xlpm.c),""),
  IF(OR(_xlpm.w="",_xlpm.v=""),"",_xlpm.v*_xlpm.w)
)</f>
        <v/>
      </c>
      <c r="X19" s="93" t="str" cm="1">
        <f t="array" ref="X19">_xlfn.LET(
  _xlpm.w, X$11,
  _xlpm.r, MATCH(1,('3. Enter Indicator Scores'!$B$10:$B$161=$B19)*('3. Enter Indicator Scores'!$C$10:$C$161=$C19),0),
  _xlpm.c, MATCH(X$8,'3. Enter Indicator Scores'!$D$8:$CZ$8,0),
  _xlpm.v, IFERROR(INDEX('3. Enter Indicator Scores'!$D$10:$CZ$161,_xlpm.r,_xlpm.c),""),
  IF(OR(_xlpm.w="",_xlpm.v=""),"",_xlpm.v*_xlpm.w)
)</f>
        <v/>
      </c>
      <c r="Y19" s="93" t="str" cm="1">
        <f t="array" ref="Y19">_xlfn.LET(
  _xlpm.w, Y$11,
  _xlpm.r, MATCH(1,('3. Enter Indicator Scores'!$B$10:$B$161=$B19)*('3. Enter Indicator Scores'!$C$10:$C$161=$C19),0),
  _xlpm.c, MATCH(Y$8,'3. Enter Indicator Scores'!$D$8:$CZ$8,0),
  _xlpm.v, IFERROR(INDEX('3. Enter Indicator Scores'!$D$10:$CZ$161,_xlpm.r,_xlpm.c),""),
  IF(OR(_xlpm.w="",_xlpm.v=""),"",_xlpm.v*_xlpm.w)
)</f>
        <v/>
      </c>
      <c r="Z19" s="93" t="str" cm="1">
        <f t="array" ref="Z19">_xlfn.LET(
  _xlpm.w, Z$11,
  _xlpm.r, MATCH(1,('3. Enter Indicator Scores'!$B$10:$B$161=$B19)*('3. Enter Indicator Scores'!$C$10:$C$161=$C19),0),
  _xlpm.c, MATCH(Z$8,'3. Enter Indicator Scores'!$D$8:$CZ$8,0),
  _xlpm.v, IFERROR(INDEX('3. Enter Indicator Scores'!$D$10:$CZ$161,_xlpm.r,_xlpm.c),""),
  IF(OR(_xlpm.w="",_xlpm.v=""),"",_xlpm.v*_xlpm.w)
)</f>
        <v/>
      </c>
      <c r="AA19" s="93" t="str" cm="1">
        <f t="array" ref="AA19">_xlfn.LET(
  _xlpm.w, AA$11,
  _xlpm.r, MATCH(1,('3. Enter Indicator Scores'!$B$10:$B$161=$B19)*('3. Enter Indicator Scores'!$C$10:$C$161=$C19),0),
  _xlpm.c, MATCH(AA$8,'3. Enter Indicator Scores'!$D$8:$CZ$8,0),
  _xlpm.v, IFERROR(INDEX('3. Enter Indicator Scores'!$D$10:$CZ$161,_xlpm.r,_xlpm.c),""),
  IF(OR(_xlpm.w="",_xlpm.v=""),"",_xlpm.v*_xlpm.w)
)</f>
        <v/>
      </c>
      <c r="AB19" s="93" t="str" cm="1">
        <f t="array" ref="AB19">_xlfn.LET(
  _xlpm.w, AB$11,
  _xlpm.r, MATCH(1,('3. Enter Indicator Scores'!$B$10:$B$161=$B19)*('3. Enter Indicator Scores'!$C$10:$C$161=$C19),0),
  _xlpm.c, MATCH(AB$8,'3. Enter Indicator Scores'!$D$8:$CZ$8,0),
  _xlpm.v, IFERROR(INDEX('3. Enter Indicator Scores'!$D$10:$CZ$161,_xlpm.r,_xlpm.c),""),
  IF(OR(_xlpm.w="",_xlpm.v=""),"",_xlpm.v*_xlpm.w)
)</f>
        <v/>
      </c>
      <c r="AC19" s="93" t="str" cm="1">
        <f t="array" ref="AC19">_xlfn.LET(
  _xlpm.w, AC$11,
  _xlpm.r, MATCH(1,('3. Enter Indicator Scores'!$B$10:$B$161=$B19)*('3. Enter Indicator Scores'!$C$10:$C$161=$C19),0),
  _xlpm.c, MATCH(AC$8,'3. Enter Indicator Scores'!$D$8:$CZ$8,0),
  _xlpm.v, IFERROR(INDEX('3. Enter Indicator Scores'!$D$10:$CZ$161,_xlpm.r,_xlpm.c),""),
  IF(OR(_xlpm.w="",_xlpm.v=""),"",_xlpm.v*_xlpm.w)
)</f>
        <v/>
      </c>
      <c r="AD19" s="93" t="str" cm="1">
        <f t="array" ref="AD19">_xlfn.LET(
  _xlpm.w, AD$11,
  _xlpm.r, MATCH(1,('3. Enter Indicator Scores'!$B$10:$B$161=$B19)*('3. Enter Indicator Scores'!$C$10:$C$161=$C19),0),
  _xlpm.c, MATCH(AD$8,'3. Enter Indicator Scores'!$D$8:$CZ$8,0),
  _xlpm.v, IFERROR(INDEX('3. Enter Indicator Scores'!$D$10:$CZ$161,_xlpm.r,_xlpm.c),""),
  IF(OR(_xlpm.w="",_xlpm.v=""),"",_xlpm.v*_xlpm.w)
)</f>
        <v/>
      </c>
      <c r="AE19" s="93" t="str" cm="1">
        <f t="array" ref="AE19">_xlfn.LET(
  _xlpm.w, AE$11,
  _xlpm.r, MATCH(1,('3. Enter Indicator Scores'!$B$10:$B$161=$B19)*('3. Enter Indicator Scores'!$C$10:$C$161=$C19),0),
  _xlpm.c, MATCH(AE$8,'3. Enter Indicator Scores'!$D$8:$CZ$8,0),
  _xlpm.v, IFERROR(INDEX('3. Enter Indicator Scores'!$D$10:$CZ$161,_xlpm.r,_xlpm.c),""),
  IF(OR(_xlpm.w="",_xlpm.v=""),"",_xlpm.v*_xlpm.w)
)</f>
        <v/>
      </c>
      <c r="AF19" s="93" t="str" cm="1">
        <f t="array" ref="AF19">_xlfn.LET(
  _xlpm.w, AF$11,
  _xlpm.r, MATCH(1,('3. Enter Indicator Scores'!$B$10:$B$161=$B19)*('3. Enter Indicator Scores'!$C$10:$C$161=$C19),0),
  _xlpm.c, MATCH(AF$8,'3. Enter Indicator Scores'!$D$8:$CZ$8,0),
  _xlpm.v, IFERROR(INDEX('3. Enter Indicator Scores'!$D$10:$CZ$161,_xlpm.r,_xlpm.c),""),
  IF(OR(_xlpm.w="",_xlpm.v=""),"",_xlpm.v*_xlpm.w)
)</f>
        <v/>
      </c>
      <c r="AG19" s="93" t="str" cm="1">
        <f t="array" ref="AG19">_xlfn.LET(
  _xlpm.w, AG$11,
  _xlpm.r, MATCH(1,('3. Enter Indicator Scores'!$B$10:$B$161=$B19)*('3. Enter Indicator Scores'!$C$10:$C$161=$C19),0),
  _xlpm.c, MATCH(AG$8,'3. Enter Indicator Scores'!$D$8:$CZ$8,0),
  _xlpm.v, IFERROR(INDEX('3. Enter Indicator Scores'!$D$10:$CZ$161,_xlpm.r,_xlpm.c),""),
  IF(OR(_xlpm.w="",_xlpm.v=""),"",_xlpm.v*_xlpm.w)
)</f>
        <v/>
      </c>
      <c r="AH19" s="93" t="str" cm="1">
        <f t="array" ref="AH19">_xlfn.LET(
  _xlpm.w, AH$11,
  _xlpm.r, MATCH(1,('3. Enter Indicator Scores'!$B$10:$B$161=$B19)*('3. Enter Indicator Scores'!$C$10:$C$161=$C19),0),
  _xlpm.c, MATCH(AH$8,'3. Enter Indicator Scores'!$D$8:$CZ$8,0),
  _xlpm.v, IFERROR(INDEX('3. Enter Indicator Scores'!$D$10:$CZ$161,_xlpm.r,_xlpm.c),""),
  IF(OR(_xlpm.w="",_xlpm.v=""),"",_xlpm.v*_xlpm.w)
)</f>
        <v/>
      </c>
      <c r="AI19" s="93" t="str" cm="1">
        <f t="array" ref="AI19">_xlfn.LET(
  _xlpm.w, AI$11,
  _xlpm.r, MATCH(1,('3. Enter Indicator Scores'!$B$10:$B$161=$B19)*('3. Enter Indicator Scores'!$C$10:$C$161=$C19),0),
  _xlpm.c, MATCH(AI$8,'3. Enter Indicator Scores'!$D$8:$CZ$8,0),
  _xlpm.v, IFERROR(INDEX('3. Enter Indicator Scores'!$D$10:$CZ$161,_xlpm.r,_xlpm.c),""),
  IF(OR(_xlpm.w="",_xlpm.v=""),"",_xlpm.v*_xlpm.w)
)</f>
        <v/>
      </c>
      <c r="AJ19" s="93" t="str" cm="1">
        <f t="array" ref="AJ19">_xlfn.LET(
  _xlpm.w, AJ$11,
  _xlpm.r, MATCH(1,('3. Enter Indicator Scores'!$B$10:$B$161=$B19)*('3. Enter Indicator Scores'!$C$10:$C$161=$C19),0),
  _xlpm.c, MATCH(AJ$8,'3. Enter Indicator Scores'!$D$8:$CZ$8,0),
  _xlpm.v, IFERROR(INDEX('3. Enter Indicator Scores'!$D$10:$CZ$161,_xlpm.r,_xlpm.c),""),
  IF(OR(_xlpm.w="",_xlpm.v=""),"",_xlpm.v*_xlpm.w)
)</f>
        <v/>
      </c>
      <c r="AK19" s="93" t="str" cm="1">
        <f t="array" ref="AK19">_xlfn.LET(
  _xlpm.w, AK$11,
  _xlpm.r, MATCH(1,('3. Enter Indicator Scores'!$B$10:$B$161=$B19)*('3. Enter Indicator Scores'!$C$10:$C$161=$C19),0),
  _xlpm.c, MATCH(AK$8,'3. Enter Indicator Scores'!$D$8:$CZ$8,0),
  _xlpm.v, IFERROR(INDEX('3. Enter Indicator Scores'!$D$10:$CZ$161,_xlpm.r,_xlpm.c),""),
  IF(OR(_xlpm.w="",_xlpm.v=""),"",_xlpm.v*_xlpm.w)
)</f>
        <v/>
      </c>
      <c r="AL19" s="93" t="str" cm="1">
        <f t="array" ref="AL19">_xlfn.LET(
  _xlpm.w, AL$11,
  _xlpm.r, MATCH(1,('3. Enter Indicator Scores'!$B$10:$B$161=$B19)*('3. Enter Indicator Scores'!$C$10:$C$161=$C19),0),
  _xlpm.c, MATCH(AL$8,'3. Enter Indicator Scores'!$D$8:$CZ$8,0),
  _xlpm.v, IFERROR(INDEX('3. Enter Indicator Scores'!$D$10:$CZ$161,_xlpm.r,_xlpm.c),""),
  IF(OR(_xlpm.w="",_xlpm.v=""),"",_xlpm.v*_xlpm.w)
)</f>
        <v/>
      </c>
      <c r="AM19" s="93" t="str" cm="1">
        <f t="array" ref="AM19">_xlfn.LET(
  _xlpm.w, AM$11,
  _xlpm.r, MATCH(1,('3. Enter Indicator Scores'!$B$10:$B$161=$B19)*('3. Enter Indicator Scores'!$C$10:$C$161=$C19),0),
  _xlpm.c, MATCH(AM$8,'3. Enter Indicator Scores'!$D$8:$CZ$8,0),
  _xlpm.v, IFERROR(INDEX('3. Enter Indicator Scores'!$D$10:$CZ$161,_xlpm.r,_xlpm.c),""),
  IF(OR(_xlpm.w="",_xlpm.v=""),"",_xlpm.v*_xlpm.w)
)</f>
        <v/>
      </c>
      <c r="AN19" s="93" t="str" cm="1">
        <f t="array" ref="AN19">_xlfn.LET(
  _xlpm.w, AN$11,
  _xlpm.r, MATCH(1,('3. Enter Indicator Scores'!$B$10:$B$161=$B19)*('3. Enter Indicator Scores'!$C$10:$C$161=$C19),0),
  _xlpm.c, MATCH(AN$8,'3. Enter Indicator Scores'!$D$8:$CZ$8,0),
  _xlpm.v, IFERROR(INDEX('3. Enter Indicator Scores'!$D$10:$CZ$161,_xlpm.r,_xlpm.c),""),
  IF(OR(_xlpm.w="",_xlpm.v=""),"",_xlpm.v*_xlpm.w)
)</f>
        <v/>
      </c>
      <c r="AO19" s="93" t="str" cm="1">
        <f t="array" ref="AO19">_xlfn.LET(
  _xlpm.w, AO$11,
  _xlpm.r, MATCH(1,('3. Enter Indicator Scores'!$B$10:$B$161=$B19)*('3. Enter Indicator Scores'!$C$10:$C$161=$C19),0),
  _xlpm.c, MATCH(AO$8,'3. Enter Indicator Scores'!$D$8:$CZ$8,0),
  _xlpm.v, IFERROR(INDEX('3. Enter Indicator Scores'!$D$10:$CZ$161,_xlpm.r,_xlpm.c),""),
  IF(OR(_xlpm.w="",_xlpm.v=""),"",_xlpm.v*_xlpm.w)
)</f>
        <v/>
      </c>
      <c r="AP19" s="93" t="str" cm="1">
        <f t="array" ref="AP19">_xlfn.LET(
  _xlpm.w, AP$11,
  _xlpm.r, MATCH(1,('3. Enter Indicator Scores'!$B$10:$B$161=$B19)*('3. Enter Indicator Scores'!$C$10:$C$161=$C19),0),
  _xlpm.c, MATCH(AP$8,'3. Enter Indicator Scores'!$D$8:$CZ$8,0),
  _xlpm.v, IFERROR(INDEX('3. Enter Indicator Scores'!$D$10:$CZ$161,_xlpm.r,_xlpm.c),""),
  IF(OR(_xlpm.w="",_xlpm.v=""),"",_xlpm.v*_xlpm.w)
)</f>
        <v/>
      </c>
      <c r="AQ19" s="93" t="str" cm="1">
        <f t="array" ref="AQ19">_xlfn.LET(
  _xlpm.w, AQ$11,
  _xlpm.r, MATCH(1,('3. Enter Indicator Scores'!$B$10:$B$161=$B19)*('3. Enter Indicator Scores'!$C$10:$C$161=$C19),0),
  _xlpm.c, MATCH(AQ$8,'3. Enter Indicator Scores'!$D$8:$CZ$8,0),
  _xlpm.v, IFERROR(INDEX('3. Enter Indicator Scores'!$D$10:$CZ$161,_xlpm.r,_xlpm.c),""),
  IF(OR(_xlpm.w="",_xlpm.v=""),"",_xlpm.v*_xlpm.w)
)</f>
        <v/>
      </c>
      <c r="AR19" s="93" t="str" cm="1">
        <f t="array" ref="AR19">_xlfn.LET(
  _xlpm.w, AR$11,
  _xlpm.r, MATCH(1,('3. Enter Indicator Scores'!$B$10:$B$161=$B19)*('3. Enter Indicator Scores'!$C$10:$C$161=$C19),0),
  _xlpm.c, MATCH(AR$8,'3. Enter Indicator Scores'!$D$8:$CZ$8,0),
  _xlpm.v, IFERROR(INDEX('3. Enter Indicator Scores'!$D$10:$CZ$161,_xlpm.r,_xlpm.c),""),
  IF(OR(_xlpm.w="",_xlpm.v=""),"",_xlpm.v*_xlpm.w)
)</f>
        <v/>
      </c>
      <c r="AS19" s="93" t="str" cm="1">
        <f t="array" ref="AS19">_xlfn.LET(
  _xlpm.w, AS$11,
  _xlpm.r, MATCH(1,('3. Enter Indicator Scores'!$B$10:$B$161=$B19)*('3. Enter Indicator Scores'!$C$10:$C$161=$C19),0),
  _xlpm.c, MATCH(AS$8,'3. Enter Indicator Scores'!$D$8:$CZ$8,0),
  _xlpm.v, IFERROR(INDEX('3. Enter Indicator Scores'!$D$10:$CZ$161,_xlpm.r,_xlpm.c),""),
  IF(OR(_xlpm.w="",_xlpm.v=""),"",_xlpm.v*_xlpm.w)
)</f>
        <v/>
      </c>
      <c r="AT19" s="93" t="str" cm="1">
        <f t="array" ref="AT19">_xlfn.LET(
  _xlpm.w, AT$11,
  _xlpm.r, MATCH(1,('3. Enter Indicator Scores'!$B$10:$B$161=$B19)*('3. Enter Indicator Scores'!$C$10:$C$161=$C19),0),
  _xlpm.c, MATCH(AT$8,'3. Enter Indicator Scores'!$D$8:$CZ$8,0),
  _xlpm.v, IFERROR(INDEX('3. Enter Indicator Scores'!$D$10:$CZ$161,_xlpm.r,_xlpm.c),""),
  IF(OR(_xlpm.w="",_xlpm.v=""),"",_xlpm.v*_xlpm.w)
)</f>
        <v/>
      </c>
      <c r="AU19" s="93" t="str" cm="1">
        <f t="array" ref="AU19">_xlfn.LET(
  _xlpm.w, AU$11,
  _xlpm.r, MATCH(1,('3. Enter Indicator Scores'!$B$10:$B$161=$B19)*('3. Enter Indicator Scores'!$C$10:$C$161=$C19),0),
  _xlpm.c, MATCH(AU$8,'3. Enter Indicator Scores'!$D$8:$CZ$8,0),
  _xlpm.v, IFERROR(INDEX('3. Enter Indicator Scores'!$D$10:$CZ$161,_xlpm.r,_xlpm.c),""),
  IF(OR(_xlpm.w="",_xlpm.v=""),"",_xlpm.v*_xlpm.w)
)</f>
        <v/>
      </c>
      <c r="AV19" s="93" t="str" cm="1">
        <f t="array" ref="AV19">_xlfn.LET(
  _xlpm.w, AV$11,
  _xlpm.r, MATCH(1,('3. Enter Indicator Scores'!$B$10:$B$161=$B19)*('3. Enter Indicator Scores'!$C$10:$C$161=$C19),0),
  _xlpm.c, MATCH(AV$8,'3. Enter Indicator Scores'!$D$8:$CZ$8,0),
  _xlpm.v, IFERROR(INDEX('3. Enter Indicator Scores'!$D$10:$CZ$161,_xlpm.r,_xlpm.c),""),
  IF(OR(_xlpm.w="",_xlpm.v=""),"",_xlpm.v*_xlpm.w)
)</f>
        <v/>
      </c>
      <c r="AW19" s="93" t="str" cm="1">
        <f t="array" ref="AW19">_xlfn.LET(
  _xlpm.w, AW$11,
  _xlpm.r, MATCH(1,('3. Enter Indicator Scores'!$B$10:$B$161=$B19)*('3. Enter Indicator Scores'!$C$10:$C$161=$C19),0),
  _xlpm.c, MATCH(AW$8,'3. Enter Indicator Scores'!$D$8:$CZ$8,0),
  _xlpm.v, IFERROR(INDEX('3. Enter Indicator Scores'!$D$10:$CZ$161,_xlpm.r,_xlpm.c),""),
  IF(OR(_xlpm.w="",_xlpm.v=""),"",_xlpm.v*_xlpm.w)
)</f>
        <v/>
      </c>
      <c r="AX19" s="93" t="str" cm="1">
        <f t="array" ref="AX19">_xlfn.LET(
  _xlpm.w, AX$11,
  _xlpm.r, MATCH(1,('3. Enter Indicator Scores'!$B$10:$B$161=$B19)*('3. Enter Indicator Scores'!$C$10:$C$161=$C19),0),
  _xlpm.c, MATCH(AX$8,'3. Enter Indicator Scores'!$D$8:$CZ$8,0),
  _xlpm.v, IFERROR(INDEX('3. Enter Indicator Scores'!$D$10:$CZ$161,_xlpm.r,_xlpm.c),""),
  IF(OR(_xlpm.w="",_xlpm.v=""),"",_xlpm.v*_xlpm.w)
)</f>
        <v/>
      </c>
      <c r="AY19" s="93" t="str" cm="1">
        <f t="array" ref="AY19">_xlfn.LET(
  _xlpm.w, AY$11,
  _xlpm.r, MATCH(1,('3. Enter Indicator Scores'!$B$10:$B$161=$B19)*('3. Enter Indicator Scores'!$C$10:$C$161=$C19),0),
  _xlpm.c, MATCH(AY$8,'3. Enter Indicator Scores'!$D$8:$CZ$8,0),
  _xlpm.v, IFERROR(INDEX('3. Enter Indicator Scores'!$D$10:$CZ$161,_xlpm.r,_xlpm.c),""),
  IF(OR(_xlpm.w="",_xlpm.v=""),"",_xlpm.v*_xlpm.w)
)</f>
        <v/>
      </c>
      <c r="AZ19" s="93" t="str" cm="1">
        <f t="array" ref="AZ19">_xlfn.LET(
  _xlpm.w, AZ$11,
  _xlpm.r, MATCH(1,('3. Enter Indicator Scores'!$B$10:$B$161=$B19)*('3. Enter Indicator Scores'!$C$10:$C$161=$C19),0),
  _xlpm.c, MATCH(AZ$8,'3. Enter Indicator Scores'!$D$8:$CZ$8,0),
  _xlpm.v, IFERROR(INDEX('3. Enter Indicator Scores'!$D$10:$CZ$161,_xlpm.r,_xlpm.c),""),
  IF(OR(_xlpm.w="",_xlpm.v=""),"",_xlpm.v*_xlpm.w)
)</f>
        <v/>
      </c>
      <c r="BA19" s="93" t="str" cm="1">
        <f t="array" ref="BA19">_xlfn.LET(
  _xlpm.w, BA$11,
  _xlpm.r, MATCH(1,('3. Enter Indicator Scores'!$B$10:$B$161=$B19)*('3. Enter Indicator Scores'!$C$10:$C$161=$C19),0),
  _xlpm.c, MATCH(BA$8,'3. Enter Indicator Scores'!$D$8:$CZ$8,0),
  _xlpm.v, IFERROR(INDEX('3. Enter Indicator Scores'!$D$10:$CZ$161,_xlpm.r,_xlpm.c),""),
  IF(OR(_xlpm.w="",_xlpm.v=""),"",_xlpm.v*_xlpm.w)
)</f>
        <v/>
      </c>
      <c r="BB19" s="93" t="str" cm="1">
        <f t="array" ref="BB19">_xlfn.LET(
  _xlpm.w, BB$11,
  _xlpm.r, MATCH(1,('3. Enter Indicator Scores'!$B$10:$B$161=$B19)*('3. Enter Indicator Scores'!$C$10:$C$161=$C19),0),
  _xlpm.c, MATCH(BB$8,'3. Enter Indicator Scores'!$D$8:$CZ$8,0),
  _xlpm.v, IFERROR(INDEX('3. Enter Indicator Scores'!$D$10:$CZ$161,_xlpm.r,_xlpm.c),""),
  IF(OR(_xlpm.w="",_xlpm.v=""),"",_xlpm.v*_xlpm.w)
)</f>
        <v/>
      </c>
      <c r="BC19" s="93" t="str" cm="1">
        <f t="array" ref="BC19">_xlfn.LET(
  _xlpm.w, BC$11,
  _xlpm.r, MATCH(1,('3. Enter Indicator Scores'!$B$10:$B$161=$B19)*('3. Enter Indicator Scores'!$C$10:$C$161=$C19),0),
  _xlpm.c, MATCH(BC$8,'3. Enter Indicator Scores'!$D$8:$CZ$8,0),
  _xlpm.v, IFERROR(INDEX('3. Enter Indicator Scores'!$D$10:$CZ$161,_xlpm.r,_xlpm.c),""),
  IF(OR(_xlpm.w="",_xlpm.v=""),"",_xlpm.v*_xlpm.w)
)</f>
        <v/>
      </c>
      <c r="BD19" s="93" t="str" cm="1">
        <f t="array" ref="BD19">_xlfn.LET(
  _xlpm.w, BD$11,
  _xlpm.r, MATCH(1,('3. Enter Indicator Scores'!$B$10:$B$161=$B19)*('3. Enter Indicator Scores'!$C$10:$C$161=$C19),0),
  _xlpm.c, MATCH(BD$8,'3. Enter Indicator Scores'!$D$8:$CZ$8,0),
  _xlpm.v, IFERROR(INDEX('3. Enter Indicator Scores'!$D$10:$CZ$161,_xlpm.r,_xlpm.c),""),
  IF(OR(_xlpm.w="",_xlpm.v=""),"",_xlpm.v*_xlpm.w)
)</f>
        <v/>
      </c>
      <c r="BE19" s="93" t="str" cm="1">
        <f t="array" ref="BE19">_xlfn.LET(
  _xlpm.w, BE$11,
  _xlpm.r, MATCH(1,('3. Enter Indicator Scores'!$B$10:$B$161=$B19)*('3. Enter Indicator Scores'!$C$10:$C$161=$C19),0),
  _xlpm.c, MATCH(BE$8,'3. Enter Indicator Scores'!$D$8:$CZ$8,0),
  _xlpm.v, IFERROR(INDEX('3. Enter Indicator Scores'!$D$10:$CZ$161,_xlpm.r,_xlpm.c),""),
  IF(OR(_xlpm.w="",_xlpm.v=""),"",_xlpm.v*_xlpm.w)
)</f>
        <v/>
      </c>
      <c r="BF19" s="93" t="str" cm="1">
        <f t="array" ref="BF19">_xlfn.LET(
  _xlpm.w, BF$11,
  _xlpm.r, MATCH(1,('3. Enter Indicator Scores'!$B$10:$B$161=$B19)*('3. Enter Indicator Scores'!$C$10:$C$161=$C19),0),
  _xlpm.c, MATCH(BF$8,'3. Enter Indicator Scores'!$D$8:$CZ$8,0),
  _xlpm.v, IFERROR(INDEX('3. Enter Indicator Scores'!$D$10:$CZ$161,_xlpm.r,_xlpm.c),""),
  IF(OR(_xlpm.w="",_xlpm.v=""),"",_xlpm.v*_xlpm.w)
)</f>
        <v/>
      </c>
      <c r="BG19" s="93" t="str" cm="1">
        <f t="array" ref="BG19">_xlfn.LET(
  _xlpm.w, BG$11,
  _xlpm.r, MATCH(1,('3. Enter Indicator Scores'!$B$10:$B$161=$B19)*('3. Enter Indicator Scores'!$C$10:$C$161=$C19),0),
  _xlpm.c, MATCH(BG$8,'3. Enter Indicator Scores'!$D$8:$CZ$8,0),
  _xlpm.v, IFERROR(INDEX('3. Enter Indicator Scores'!$D$10:$CZ$161,_xlpm.r,_xlpm.c),""),
  IF(OR(_xlpm.w="",_xlpm.v=""),"",_xlpm.v*_xlpm.w)
)</f>
        <v/>
      </c>
      <c r="BH19" s="93" t="str" cm="1">
        <f t="array" ref="BH19">_xlfn.LET(
  _xlpm.w, BH$11,
  _xlpm.r, MATCH(1,('3. Enter Indicator Scores'!$B$10:$B$161=$B19)*('3. Enter Indicator Scores'!$C$10:$C$161=$C19),0),
  _xlpm.c, MATCH(BH$8,'3. Enter Indicator Scores'!$D$8:$CZ$8,0),
  _xlpm.v, IFERROR(INDEX('3. Enter Indicator Scores'!$D$10:$CZ$161,_xlpm.r,_xlpm.c),""),
  IF(OR(_xlpm.w="",_xlpm.v=""),"",_xlpm.v*_xlpm.w)
)</f>
        <v/>
      </c>
      <c r="BI19" s="93" t="str" cm="1">
        <f t="array" ref="BI19">_xlfn.LET(
  _xlpm.w, BI$11,
  _xlpm.r, MATCH(1,('3. Enter Indicator Scores'!$B$10:$B$161=$B19)*('3. Enter Indicator Scores'!$C$10:$C$161=$C19),0),
  _xlpm.c, MATCH(BI$8,'3. Enter Indicator Scores'!$D$8:$CZ$8,0),
  _xlpm.v, IFERROR(INDEX('3. Enter Indicator Scores'!$D$10:$CZ$161,_xlpm.r,_xlpm.c),""),
  IF(OR(_xlpm.w="",_xlpm.v=""),"",_xlpm.v*_xlpm.w)
)</f>
        <v/>
      </c>
      <c r="BJ19" s="93" t="str" cm="1">
        <f t="array" ref="BJ19">_xlfn.LET(
  _xlpm.w, BJ$11,
  _xlpm.r, MATCH(1,('3. Enter Indicator Scores'!$B$10:$B$161=$B19)*('3. Enter Indicator Scores'!$C$10:$C$161=$C19),0),
  _xlpm.c, MATCH(BJ$8,'3. Enter Indicator Scores'!$D$8:$CZ$8,0),
  _xlpm.v, IFERROR(INDEX('3. Enter Indicator Scores'!$D$10:$CZ$161,_xlpm.r,_xlpm.c),""),
  IF(OR(_xlpm.w="",_xlpm.v=""),"",_xlpm.v*_xlpm.w)
)</f>
        <v/>
      </c>
      <c r="BK19" s="93" t="str" cm="1">
        <f t="array" ref="BK19">_xlfn.LET(
  _xlpm.w, BK$11,
  _xlpm.r, MATCH(1,('3. Enter Indicator Scores'!$B$10:$B$161=$B19)*('3. Enter Indicator Scores'!$C$10:$C$161=$C19),0),
  _xlpm.c, MATCH(BK$8,'3. Enter Indicator Scores'!$D$8:$CZ$8,0),
  _xlpm.v, IFERROR(INDEX('3. Enter Indicator Scores'!$D$10:$CZ$161,_xlpm.r,_xlpm.c),""),
  IF(OR(_xlpm.w="",_xlpm.v=""),"",_xlpm.v*_xlpm.w)
)</f>
        <v/>
      </c>
      <c r="BL19" s="93" t="str" cm="1">
        <f t="array" ref="BL19">_xlfn.LET(
  _xlpm.w, BL$11,
  _xlpm.r, MATCH(1,('3. Enter Indicator Scores'!$B$10:$B$161=$B19)*('3. Enter Indicator Scores'!$C$10:$C$161=$C19),0),
  _xlpm.c, MATCH(BL$8,'3. Enter Indicator Scores'!$D$8:$CZ$8,0),
  _xlpm.v, IFERROR(INDEX('3. Enter Indicator Scores'!$D$10:$CZ$161,_xlpm.r,_xlpm.c),""),
  IF(OR(_xlpm.w="",_xlpm.v=""),"",_xlpm.v*_xlpm.w)
)</f>
        <v/>
      </c>
      <c r="BM19" s="93" t="str" cm="1">
        <f t="array" ref="BM19">_xlfn.LET(
  _xlpm.w, BM$11,
  _xlpm.r, MATCH(1,('3. Enter Indicator Scores'!$B$10:$B$161=$B19)*('3. Enter Indicator Scores'!$C$10:$C$161=$C19),0),
  _xlpm.c, MATCH(BM$8,'3. Enter Indicator Scores'!$D$8:$CZ$8,0),
  _xlpm.v, IFERROR(INDEX('3. Enter Indicator Scores'!$D$10:$CZ$161,_xlpm.r,_xlpm.c),""),
  IF(OR(_xlpm.w="",_xlpm.v=""),"",_xlpm.v*_xlpm.w)
)</f>
        <v/>
      </c>
      <c r="BN19" s="93" t="str" cm="1">
        <f t="array" ref="BN19">_xlfn.LET(
  _xlpm.w, BN$11,
  _xlpm.r, MATCH(1,('3. Enter Indicator Scores'!$B$10:$B$161=$B19)*('3. Enter Indicator Scores'!$C$10:$C$161=$C19),0),
  _xlpm.c, MATCH(BN$8,'3. Enter Indicator Scores'!$D$8:$CZ$8,0),
  _xlpm.v, IFERROR(INDEX('3. Enter Indicator Scores'!$D$10:$CZ$161,_xlpm.r,_xlpm.c),""),
  IF(OR(_xlpm.w="",_xlpm.v=""),"",_xlpm.v*_xlpm.w)
)</f>
        <v/>
      </c>
      <c r="BO19" s="93" t="str" cm="1">
        <f t="array" ref="BO19">_xlfn.LET(
  _xlpm.w, BO$11,
  _xlpm.r, MATCH(1,('3. Enter Indicator Scores'!$B$10:$B$161=$B19)*('3. Enter Indicator Scores'!$C$10:$C$161=$C19),0),
  _xlpm.c, MATCH(BO$8,'3. Enter Indicator Scores'!$D$8:$CZ$8,0),
  _xlpm.v, IFERROR(INDEX('3. Enter Indicator Scores'!$D$10:$CZ$161,_xlpm.r,_xlpm.c),""),
  IF(OR(_xlpm.w="",_xlpm.v=""),"",_xlpm.v*_xlpm.w)
)</f>
        <v/>
      </c>
      <c r="BP19" s="93" t="str" cm="1">
        <f t="array" ref="BP19">_xlfn.LET(
  _xlpm.w, BP$11,
  _xlpm.r, MATCH(1,('3. Enter Indicator Scores'!$B$10:$B$161=$B19)*('3. Enter Indicator Scores'!$C$10:$C$161=$C19),0),
  _xlpm.c, MATCH(BP$8,'3. Enter Indicator Scores'!$D$8:$CZ$8,0),
  _xlpm.v, IFERROR(INDEX('3. Enter Indicator Scores'!$D$10:$CZ$161,_xlpm.r,_xlpm.c),""),
  IF(OR(_xlpm.w="",_xlpm.v=""),"",_xlpm.v*_xlpm.w)
)</f>
        <v/>
      </c>
      <c r="BQ19" s="93" t="str" cm="1">
        <f t="array" ref="BQ19">_xlfn.LET(
  _xlpm.w, BQ$11,
  _xlpm.r, MATCH(1,('3. Enter Indicator Scores'!$B$10:$B$161=$B19)*('3. Enter Indicator Scores'!$C$10:$C$161=$C19),0),
  _xlpm.c, MATCH(BQ$8,'3. Enter Indicator Scores'!$D$8:$CZ$8,0),
  _xlpm.v, IFERROR(INDEX('3. Enter Indicator Scores'!$D$10:$CZ$161,_xlpm.r,_xlpm.c),""),
  IF(OR(_xlpm.w="",_xlpm.v=""),"",_xlpm.v*_xlpm.w)
)</f>
        <v/>
      </c>
      <c r="BR19" s="93" t="str" cm="1">
        <f t="array" ref="BR19">_xlfn.LET(
  _xlpm.w, BR$11,
  _xlpm.r, MATCH(1,('3. Enter Indicator Scores'!$B$10:$B$161=$B19)*('3. Enter Indicator Scores'!$C$10:$C$161=$C19),0),
  _xlpm.c, MATCH(BR$8,'3. Enter Indicator Scores'!$D$8:$CZ$8,0),
  _xlpm.v, IFERROR(INDEX('3. Enter Indicator Scores'!$D$10:$CZ$161,_xlpm.r,_xlpm.c),""),
  IF(OR(_xlpm.w="",_xlpm.v=""),"",_xlpm.v*_xlpm.w)
)</f>
        <v/>
      </c>
      <c r="BS19" s="93" t="str" cm="1">
        <f t="array" ref="BS19">_xlfn.LET(
  _xlpm.w, BS$11,
  _xlpm.r, MATCH(1,('3. Enter Indicator Scores'!$B$10:$B$161=$B19)*('3. Enter Indicator Scores'!$C$10:$C$161=$C19),0),
  _xlpm.c, MATCH(BS$8,'3. Enter Indicator Scores'!$D$8:$CZ$8,0),
  _xlpm.v, IFERROR(INDEX('3. Enter Indicator Scores'!$D$10:$CZ$161,_xlpm.r,_xlpm.c),""),
  IF(OR(_xlpm.w="",_xlpm.v=""),"",_xlpm.v*_xlpm.w)
)</f>
        <v/>
      </c>
      <c r="BT19" s="93" t="str" cm="1">
        <f t="array" ref="BT19">_xlfn.LET(
  _xlpm.w, BT$11,
  _xlpm.r, MATCH(1,('3. Enter Indicator Scores'!$B$10:$B$161=$B19)*('3. Enter Indicator Scores'!$C$10:$C$161=$C19),0),
  _xlpm.c, MATCH(BT$8,'3. Enter Indicator Scores'!$D$8:$CZ$8,0),
  _xlpm.v, IFERROR(INDEX('3. Enter Indicator Scores'!$D$10:$CZ$161,_xlpm.r,_xlpm.c),""),
  IF(OR(_xlpm.w="",_xlpm.v=""),"",_xlpm.v*_xlpm.w)
)</f>
        <v/>
      </c>
      <c r="BU19" s="93" t="str" cm="1">
        <f t="array" ref="BU19">_xlfn.LET(
  _xlpm.w, BU$11,
  _xlpm.r, MATCH(1,('3. Enter Indicator Scores'!$B$10:$B$161=$B19)*('3. Enter Indicator Scores'!$C$10:$C$161=$C19),0),
  _xlpm.c, MATCH(BU$8,'3. Enter Indicator Scores'!$D$8:$CZ$8,0),
  _xlpm.v, IFERROR(INDEX('3. Enter Indicator Scores'!$D$10:$CZ$161,_xlpm.r,_xlpm.c),""),
  IF(OR(_xlpm.w="",_xlpm.v=""),"",_xlpm.v*_xlpm.w)
)</f>
        <v/>
      </c>
      <c r="BV19" s="93" t="str" cm="1">
        <f t="array" ref="BV19">_xlfn.LET(
  _xlpm.w, BV$11,
  _xlpm.r, MATCH(1,('3. Enter Indicator Scores'!$B$10:$B$161=$B19)*('3. Enter Indicator Scores'!$C$10:$C$161=$C19),0),
  _xlpm.c, MATCH(BV$8,'3. Enter Indicator Scores'!$D$8:$CZ$8,0),
  _xlpm.v, IFERROR(INDEX('3. Enter Indicator Scores'!$D$10:$CZ$161,_xlpm.r,_xlpm.c),""),
  IF(OR(_xlpm.w="",_xlpm.v=""),"",_xlpm.v*_xlpm.w)
)</f>
        <v/>
      </c>
      <c r="BW19" s="93" t="str" cm="1">
        <f t="array" ref="BW19">_xlfn.LET(
  _xlpm.w, BW$11,
  _xlpm.r, MATCH(1,('3. Enter Indicator Scores'!$B$10:$B$161=$B19)*('3. Enter Indicator Scores'!$C$10:$C$161=$C19),0),
  _xlpm.c, MATCH(BW$8,'3. Enter Indicator Scores'!$D$8:$CZ$8,0),
  _xlpm.v, IFERROR(INDEX('3. Enter Indicator Scores'!$D$10:$CZ$161,_xlpm.r,_xlpm.c),""),
  IF(OR(_xlpm.w="",_xlpm.v=""),"",_xlpm.v*_xlpm.w)
)</f>
        <v/>
      </c>
      <c r="BX19" s="93" t="str" cm="1">
        <f t="array" ref="BX19">_xlfn.LET(
  _xlpm.w, BX$11,
  _xlpm.r, MATCH(1,('3. Enter Indicator Scores'!$B$10:$B$161=$B19)*('3. Enter Indicator Scores'!$C$10:$C$161=$C19),0),
  _xlpm.c, MATCH(BX$8,'3. Enter Indicator Scores'!$D$8:$CZ$8,0),
  _xlpm.v, IFERROR(INDEX('3. Enter Indicator Scores'!$D$10:$CZ$161,_xlpm.r,_xlpm.c),""),
  IF(OR(_xlpm.w="",_xlpm.v=""),"",_xlpm.v*_xlpm.w)
)</f>
        <v/>
      </c>
      <c r="BY19" s="93" t="str" cm="1">
        <f t="array" ref="BY19">_xlfn.LET(
  _xlpm.w, BY$11,
  _xlpm.r, MATCH(1,('3. Enter Indicator Scores'!$B$10:$B$161=$B19)*('3. Enter Indicator Scores'!$C$10:$C$161=$C19),0),
  _xlpm.c, MATCH(BY$8,'3. Enter Indicator Scores'!$D$8:$CZ$8,0),
  _xlpm.v, IFERROR(INDEX('3. Enter Indicator Scores'!$D$10:$CZ$161,_xlpm.r,_xlpm.c),""),
  IF(OR(_xlpm.w="",_xlpm.v=""),"",_xlpm.v*_xlpm.w)
)</f>
        <v/>
      </c>
      <c r="BZ19" s="93" t="str" cm="1">
        <f t="array" ref="BZ19">_xlfn.LET(
  _xlpm.w, BZ$11,
  _xlpm.r, MATCH(1,('3. Enter Indicator Scores'!$B$10:$B$161=$B19)*('3. Enter Indicator Scores'!$C$10:$C$161=$C19),0),
  _xlpm.c, MATCH(BZ$8,'3. Enter Indicator Scores'!$D$8:$CZ$8,0),
  _xlpm.v, IFERROR(INDEX('3. Enter Indicator Scores'!$D$10:$CZ$161,_xlpm.r,_xlpm.c),""),
  IF(OR(_xlpm.w="",_xlpm.v=""),"",_xlpm.v*_xlpm.w)
)</f>
        <v/>
      </c>
      <c r="CA19" s="93" t="str" cm="1">
        <f t="array" ref="CA19">_xlfn.LET(
  _xlpm.w, CA$11,
  _xlpm.r, MATCH(1,('3. Enter Indicator Scores'!$B$10:$B$161=$B19)*('3. Enter Indicator Scores'!$C$10:$C$161=$C19),0),
  _xlpm.c, MATCH(CA$8,'3. Enter Indicator Scores'!$D$8:$CZ$8,0),
  _xlpm.v, IFERROR(INDEX('3. Enter Indicator Scores'!$D$10:$CZ$161,_xlpm.r,_xlpm.c),""),
  IF(OR(_xlpm.w="",_xlpm.v=""),"",_xlpm.v*_xlpm.w)
)</f>
        <v/>
      </c>
      <c r="CB19" s="93" t="str" cm="1">
        <f t="array" ref="CB19">_xlfn.LET(
  _xlpm.w, CB$11,
  _xlpm.r, MATCH(1,('3. Enter Indicator Scores'!$B$10:$B$161=$B19)*('3. Enter Indicator Scores'!$C$10:$C$161=$C19),0),
  _xlpm.c, MATCH(CB$8,'3. Enter Indicator Scores'!$D$8:$CZ$8,0),
  _xlpm.v, IFERROR(INDEX('3. Enter Indicator Scores'!$D$10:$CZ$161,_xlpm.r,_xlpm.c),""),
  IF(OR(_xlpm.w="",_xlpm.v=""),"",_xlpm.v*_xlpm.w)
)</f>
        <v/>
      </c>
      <c r="CC19" s="93" t="str" cm="1">
        <f t="array" ref="CC19">_xlfn.LET(
  _xlpm.w, CC$11,
  _xlpm.r, MATCH(1,('3. Enter Indicator Scores'!$B$10:$B$161=$B19)*('3. Enter Indicator Scores'!$C$10:$C$161=$C19),0),
  _xlpm.c, MATCH(CC$8,'3. Enter Indicator Scores'!$D$8:$CZ$8,0),
  _xlpm.v, IFERROR(INDEX('3. Enter Indicator Scores'!$D$10:$CZ$161,_xlpm.r,_xlpm.c),""),
  IF(OR(_xlpm.w="",_xlpm.v=""),"",_xlpm.v*_xlpm.w)
)</f>
        <v/>
      </c>
      <c r="CD19" s="93" t="str" cm="1">
        <f t="array" ref="CD19">_xlfn.LET(
  _xlpm.w, CD$11,
  _xlpm.r, MATCH(1,('3. Enter Indicator Scores'!$B$10:$B$161=$B19)*('3. Enter Indicator Scores'!$C$10:$C$161=$C19),0),
  _xlpm.c, MATCH(CD$8,'3. Enter Indicator Scores'!$D$8:$CZ$8,0),
  _xlpm.v, IFERROR(INDEX('3. Enter Indicator Scores'!$D$10:$CZ$161,_xlpm.r,_xlpm.c),""),
  IF(OR(_xlpm.w="",_xlpm.v=""),"",_xlpm.v*_xlpm.w)
)</f>
        <v/>
      </c>
      <c r="CE19" s="93" t="str" cm="1">
        <f t="array" ref="CE19">_xlfn.LET(
  _xlpm.w, CE$11,
  _xlpm.r, MATCH(1,('3. Enter Indicator Scores'!$B$10:$B$161=$B19)*('3. Enter Indicator Scores'!$C$10:$C$161=$C19),0),
  _xlpm.c, MATCH(CE$8,'3. Enter Indicator Scores'!$D$8:$CZ$8,0),
  _xlpm.v, IFERROR(INDEX('3. Enter Indicator Scores'!$D$10:$CZ$161,_xlpm.r,_xlpm.c),""),
  IF(OR(_xlpm.w="",_xlpm.v=""),"",_xlpm.v*_xlpm.w)
)</f>
        <v/>
      </c>
      <c r="CF19" s="93" t="str" cm="1">
        <f t="array" ref="CF19">_xlfn.LET(
  _xlpm.w, CF$11,
  _xlpm.r, MATCH(1,('3. Enter Indicator Scores'!$B$10:$B$161=$B19)*('3. Enter Indicator Scores'!$C$10:$C$161=$C19),0),
  _xlpm.c, MATCH(CF$8,'3. Enter Indicator Scores'!$D$8:$CZ$8,0),
  _xlpm.v, IFERROR(INDEX('3. Enter Indicator Scores'!$D$10:$CZ$161,_xlpm.r,_xlpm.c),""),
  IF(OR(_xlpm.w="",_xlpm.v=""),"",_xlpm.v*_xlpm.w)
)</f>
        <v/>
      </c>
      <c r="CG19" s="93" t="str" cm="1">
        <f t="array" ref="CG19">_xlfn.LET(
  _xlpm.w, CG$11,
  _xlpm.r, MATCH(1,('3. Enter Indicator Scores'!$B$10:$B$161=$B19)*('3. Enter Indicator Scores'!$C$10:$C$161=$C19),0),
  _xlpm.c, MATCH(CG$8,'3. Enter Indicator Scores'!$D$8:$CZ$8,0),
  _xlpm.v, IFERROR(INDEX('3. Enter Indicator Scores'!$D$10:$CZ$161,_xlpm.r,_xlpm.c),""),
  IF(OR(_xlpm.w="",_xlpm.v=""),"",_xlpm.v*_xlpm.w)
)</f>
        <v/>
      </c>
      <c r="CH19" s="93" t="str" cm="1">
        <f t="array" ref="CH19">_xlfn.LET(
  _xlpm.w, CH$11,
  _xlpm.r, MATCH(1,('3. Enter Indicator Scores'!$B$10:$B$161=$B19)*('3. Enter Indicator Scores'!$C$10:$C$161=$C19),0),
  _xlpm.c, MATCH(CH$8,'3. Enter Indicator Scores'!$D$8:$CZ$8,0),
  _xlpm.v, IFERROR(INDEX('3. Enter Indicator Scores'!$D$10:$CZ$161,_xlpm.r,_xlpm.c),""),
  IF(OR(_xlpm.w="",_xlpm.v=""),"",_xlpm.v*_xlpm.w)
)</f>
        <v/>
      </c>
      <c r="CI19" s="93" t="str" cm="1">
        <f t="array" ref="CI19">_xlfn.LET(
  _xlpm.w, CI$11,
  _xlpm.r, MATCH(1,('3. Enter Indicator Scores'!$B$10:$B$161=$B19)*('3. Enter Indicator Scores'!$C$10:$C$161=$C19),0),
  _xlpm.c, MATCH(CI$8,'3. Enter Indicator Scores'!$D$8:$CZ$8,0),
  _xlpm.v, IFERROR(INDEX('3. Enter Indicator Scores'!$D$10:$CZ$161,_xlpm.r,_xlpm.c),""),
  IF(OR(_xlpm.w="",_xlpm.v=""),"",_xlpm.v*_xlpm.w)
)</f>
        <v/>
      </c>
      <c r="CJ19" s="93" t="str" cm="1">
        <f t="array" ref="CJ19">_xlfn.LET(
  _xlpm.w, CJ$11,
  _xlpm.r, MATCH(1,('3. Enter Indicator Scores'!$B$10:$B$161=$B19)*('3. Enter Indicator Scores'!$C$10:$C$161=$C19),0),
  _xlpm.c, MATCH(CJ$8,'3. Enter Indicator Scores'!$D$8:$CZ$8,0),
  _xlpm.v, IFERROR(INDEX('3. Enter Indicator Scores'!$D$10:$CZ$161,_xlpm.r,_xlpm.c),""),
  IF(OR(_xlpm.w="",_xlpm.v=""),"",_xlpm.v*_xlpm.w)
)</f>
        <v/>
      </c>
      <c r="CK19" s="93" t="str" cm="1">
        <f t="array" ref="CK19">_xlfn.LET(
  _xlpm.w, CK$11,
  _xlpm.r, MATCH(1,('3. Enter Indicator Scores'!$B$10:$B$161=$B19)*('3. Enter Indicator Scores'!$C$10:$C$161=$C19),0),
  _xlpm.c, MATCH(CK$8,'3. Enter Indicator Scores'!$D$8:$CZ$8,0),
  _xlpm.v, IFERROR(INDEX('3. Enter Indicator Scores'!$D$10:$CZ$161,_xlpm.r,_xlpm.c),""),
  IF(OR(_xlpm.w="",_xlpm.v=""),"",_xlpm.v*_xlpm.w)
)</f>
        <v/>
      </c>
      <c r="CL19" s="93" t="str" cm="1">
        <f t="array" ref="CL19">_xlfn.LET(
  _xlpm.w, CL$11,
  _xlpm.r, MATCH(1,('3. Enter Indicator Scores'!$B$10:$B$161=$B19)*('3. Enter Indicator Scores'!$C$10:$C$161=$C19),0),
  _xlpm.c, MATCH(CL$8,'3. Enter Indicator Scores'!$D$8:$CZ$8,0),
  _xlpm.v, IFERROR(INDEX('3. Enter Indicator Scores'!$D$10:$CZ$161,_xlpm.r,_xlpm.c),""),
  IF(OR(_xlpm.w="",_xlpm.v=""),"",_xlpm.v*_xlpm.w)
)</f>
        <v/>
      </c>
      <c r="CM19" s="93" t="str" cm="1">
        <f t="array" ref="CM19">_xlfn.LET(
  _xlpm.w, CM$11,
  _xlpm.r, MATCH(1,('3. Enter Indicator Scores'!$B$10:$B$161=$B19)*('3. Enter Indicator Scores'!$C$10:$C$161=$C19),0),
  _xlpm.c, MATCH(CM$8,'3. Enter Indicator Scores'!$D$8:$CZ$8,0),
  _xlpm.v, IFERROR(INDEX('3. Enter Indicator Scores'!$D$10:$CZ$161,_xlpm.r,_xlpm.c),""),
  IF(OR(_xlpm.w="",_xlpm.v=""),"",_xlpm.v*_xlpm.w)
)</f>
        <v/>
      </c>
      <c r="CN19" s="93" t="str" cm="1">
        <f t="array" ref="CN19">_xlfn.LET(
  _xlpm.w, CN$11,
  _xlpm.r, MATCH(1,('3. Enter Indicator Scores'!$B$10:$B$161=$B19)*('3. Enter Indicator Scores'!$C$10:$C$161=$C19),0),
  _xlpm.c, MATCH(CN$8,'3. Enter Indicator Scores'!$D$8:$CZ$8,0),
  _xlpm.v, IFERROR(INDEX('3. Enter Indicator Scores'!$D$10:$CZ$161,_xlpm.r,_xlpm.c),""),
  IF(OR(_xlpm.w="",_xlpm.v=""),"",_xlpm.v*_xlpm.w)
)</f>
        <v/>
      </c>
      <c r="CO19" s="93" t="str" cm="1">
        <f t="array" ref="CO19">_xlfn.LET(
  _xlpm.w, CO$11,
  _xlpm.r, MATCH(1,('3. Enter Indicator Scores'!$B$10:$B$161=$B19)*('3. Enter Indicator Scores'!$C$10:$C$161=$C19),0),
  _xlpm.c, MATCH(CO$8,'3. Enter Indicator Scores'!$D$8:$CZ$8,0),
  _xlpm.v, IFERROR(INDEX('3. Enter Indicator Scores'!$D$10:$CZ$161,_xlpm.r,_xlpm.c),""),
  IF(OR(_xlpm.w="",_xlpm.v=""),"",_xlpm.v*_xlpm.w)
)</f>
        <v/>
      </c>
      <c r="CP19" s="93" t="str" cm="1">
        <f t="array" ref="CP19">_xlfn.LET(
  _xlpm.w, CP$11,
  _xlpm.r, MATCH(1,('3. Enter Indicator Scores'!$B$10:$B$161=$B19)*('3. Enter Indicator Scores'!$C$10:$C$161=$C19),0),
  _xlpm.c, MATCH(CP$8,'3. Enter Indicator Scores'!$D$8:$CZ$8,0),
  _xlpm.v, IFERROR(INDEX('3. Enter Indicator Scores'!$D$10:$CZ$161,_xlpm.r,_xlpm.c),""),
  IF(OR(_xlpm.w="",_xlpm.v=""),"",_xlpm.v*_xlpm.w)
)</f>
        <v/>
      </c>
      <c r="CQ19" s="93" t="str" cm="1">
        <f t="array" ref="CQ19">_xlfn.LET(
  _xlpm.w, CQ$11,
  _xlpm.r, MATCH(1,('3. Enter Indicator Scores'!$B$10:$B$161=$B19)*('3. Enter Indicator Scores'!$C$10:$C$161=$C19),0),
  _xlpm.c, MATCH(CQ$8,'3. Enter Indicator Scores'!$D$8:$CZ$8,0),
  _xlpm.v, IFERROR(INDEX('3. Enter Indicator Scores'!$D$10:$CZ$161,_xlpm.r,_xlpm.c),""),
  IF(OR(_xlpm.w="",_xlpm.v=""),"",_xlpm.v*_xlpm.w)
)</f>
        <v/>
      </c>
      <c r="CR19" s="93" t="str" cm="1">
        <f t="array" ref="CR19">_xlfn.LET(
  _xlpm.w, CR$11,
  _xlpm.r, MATCH(1,('3. Enter Indicator Scores'!$B$10:$B$161=$B19)*('3. Enter Indicator Scores'!$C$10:$C$161=$C19),0),
  _xlpm.c, MATCH(CR$8,'3. Enter Indicator Scores'!$D$8:$CZ$8,0),
  _xlpm.v, IFERROR(INDEX('3. Enter Indicator Scores'!$D$10:$CZ$161,_xlpm.r,_xlpm.c),""),
  IF(OR(_xlpm.w="",_xlpm.v=""),"",_xlpm.v*_xlpm.w)
)</f>
        <v/>
      </c>
      <c r="CS19" s="93" t="str" cm="1">
        <f t="array" ref="CS19">_xlfn.LET(
  _xlpm.w, CS$11,
  _xlpm.r, MATCH(1,('3. Enter Indicator Scores'!$B$10:$B$161=$B19)*('3. Enter Indicator Scores'!$C$10:$C$161=$C19),0),
  _xlpm.c, MATCH(CS$8,'3. Enter Indicator Scores'!$D$8:$CZ$8,0),
  _xlpm.v, IFERROR(INDEX('3. Enter Indicator Scores'!$D$10:$CZ$161,_xlpm.r,_xlpm.c),""),
  IF(OR(_xlpm.w="",_xlpm.v=""),"",_xlpm.v*_xlpm.w)
)</f>
        <v/>
      </c>
      <c r="CT19" s="93" t="str" cm="1">
        <f t="array" ref="CT19">_xlfn.LET(
  _xlpm.w, CT$11,
  _xlpm.r, MATCH(1,('3. Enter Indicator Scores'!$B$10:$B$161=$B19)*('3. Enter Indicator Scores'!$C$10:$C$161=$C19),0),
  _xlpm.c, MATCH(CT$8,'3. Enter Indicator Scores'!$D$8:$CZ$8,0),
  _xlpm.v, IFERROR(INDEX('3. Enter Indicator Scores'!$D$10:$CZ$161,_xlpm.r,_xlpm.c),""),
  IF(OR(_xlpm.w="",_xlpm.v=""),"",_xlpm.v*_xlpm.w)
)</f>
        <v/>
      </c>
      <c r="CU19" s="93" t="str" cm="1">
        <f t="array" ref="CU19">_xlfn.LET(
  _xlpm.w, CU$11,
  _xlpm.r, MATCH(1,('3. Enter Indicator Scores'!$B$10:$B$161=$B19)*('3. Enter Indicator Scores'!$C$10:$C$161=$C19),0),
  _xlpm.c, MATCH(CU$8,'3. Enter Indicator Scores'!$D$8:$CZ$8,0),
  _xlpm.v, IFERROR(INDEX('3. Enter Indicator Scores'!$D$10:$CZ$161,_xlpm.r,_xlpm.c),""),
  IF(OR(_xlpm.w="",_xlpm.v=""),"",_xlpm.v*_xlpm.w)
)</f>
        <v/>
      </c>
      <c r="CV19" s="93" t="str" cm="1">
        <f t="array" ref="CV19">_xlfn.LET(
  _xlpm.w, CV$11,
  _xlpm.r, MATCH(1,('3. Enter Indicator Scores'!$B$10:$B$161=$B19)*('3. Enter Indicator Scores'!$C$10:$C$161=$C19),0),
  _xlpm.c, MATCH(CV$8,'3. Enter Indicator Scores'!$D$8:$CZ$8,0),
  _xlpm.v, IFERROR(INDEX('3. Enter Indicator Scores'!$D$10:$CZ$161,_xlpm.r,_xlpm.c),""),
  IF(OR(_xlpm.w="",_xlpm.v=""),"",_xlpm.v*_xlpm.w)
)</f>
        <v/>
      </c>
      <c r="CW19" s="93" t="str" cm="1">
        <f t="array" ref="CW19">_xlfn.LET(
  _xlpm.w, CW$11,
  _xlpm.r, MATCH(1,('3. Enter Indicator Scores'!$B$10:$B$161=$B19)*('3. Enter Indicator Scores'!$C$10:$C$161=$C19),0),
  _xlpm.c, MATCH(CW$8,'3. Enter Indicator Scores'!$D$8:$CZ$8,0),
  _xlpm.v, IFERROR(INDEX('3. Enter Indicator Scores'!$D$10:$CZ$161,_xlpm.r,_xlpm.c),""),
  IF(OR(_xlpm.w="",_xlpm.v=""),"",_xlpm.v*_xlpm.w)
)</f>
        <v/>
      </c>
      <c r="CX19" s="93" t="str" cm="1">
        <f t="array" ref="CX19">_xlfn.LET(
  _xlpm.w, CX$11,
  _xlpm.r, MATCH(1,('3. Enter Indicator Scores'!$B$10:$B$161=$B19)*('3. Enter Indicator Scores'!$C$10:$C$161=$C19),0),
  _xlpm.c, MATCH(CX$8,'3. Enter Indicator Scores'!$D$8:$CZ$8,0),
  _xlpm.v, IFERROR(INDEX('3. Enter Indicator Scores'!$D$10:$CZ$161,_xlpm.r,_xlpm.c),""),
  IF(OR(_xlpm.w="",_xlpm.v=""),"",_xlpm.v*_xlpm.w)
)</f>
        <v/>
      </c>
      <c r="CY19" s="93" t="str" cm="1">
        <f t="array" ref="CY19">_xlfn.LET(
  _xlpm.w, CY$11,
  _xlpm.r, MATCH(1,('3. Enter Indicator Scores'!$B$10:$B$161=$B19)*('3. Enter Indicator Scores'!$C$10:$C$161=$C19),0),
  _xlpm.c, MATCH(CY$8,'3. Enter Indicator Scores'!$D$8:$CZ$8,0),
  _xlpm.v, IFERROR(INDEX('3. Enter Indicator Scores'!$D$10:$CZ$161,_xlpm.r,_xlpm.c),""),
  IF(OR(_xlpm.w="",_xlpm.v=""),"",_xlpm.v*_xlpm.w)
)</f>
        <v/>
      </c>
      <c r="CZ19" s="93" t="str" cm="1">
        <f t="array" ref="CZ19">_xlfn.LET(
  _xlpm.w, CZ$11,
  _xlpm.r, MATCH(1,('3. Enter Indicator Scores'!$B$10:$B$161=$B19)*('3. Enter Indicator Scores'!$C$10:$C$161=$C19),0),
  _xlpm.c, MATCH(CZ$8,'3. Enter Indicator Scores'!$D$8:$CZ$8,0),
  _xlpm.v, IFERROR(INDEX('3. Enter Indicator Scores'!$D$10:$CZ$161,_xlpm.r,_xlpm.c),""),
  IF(OR(_xlpm.w="",_xlpm.v=""),"",_xlpm.v*_xlpm.w)
)</f>
        <v/>
      </c>
    </row>
    <row r="20" spans="1:104" x14ac:dyDescent="0.2">
      <c r="D20" s="93" t="str" cm="1">
        <f t="array" ref="D20">_xlfn.LET(
  _xlpm.w, D$11,
  _xlpm.r, MATCH(1,('3. Enter Indicator Scores'!$B$10:$B$161=$B20)*('3. Enter Indicator Scores'!$C$10:$C$161=$C20),0),
  _xlpm.c, MATCH(D$8,'3. Enter Indicator Scores'!$D$8:$CZ$8,0),
  _xlpm.v, IFERROR(INDEX('3. Enter Indicator Scores'!$D$10:$CZ$161,_xlpm.r,_xlpm.c),""),
  IF(OR(_xlpm.w="",_xlpm.v=""),"",_xlpm.v*_xlpm.w)
)</f>
        <v/>
      </c>
      <c r="E20" s="93" t="str" cm="1">
        <f t="array" ref="E20">_xlfn.LET(
  _xlpm.w, E$11,
  _xlpm.r, MATCH(1,('3. Enter Indicator Scores'!$B$10:$B$161=$B20)*('3. Enter Indicator Scores'!$C$10:$C$161=$C20),0),
  _xlpm.c, MATCH(E$8,'3. Enter Indicator Scores'!$D$8:$CZ$8,0),
  _xlpm.v, IFERROR(INDEX('3. Enter Indicator Scores'!$D$10:$CZ$161,_xlpm.r,_xlpm.c),""),
  IF(OR(_xlpm.w="",_xlpm.v=""),"",_xlpm.v*_xlpm.w)
)</f>
        <v/>
      </c>
      <c r="F20" s="93" t="str" cm="1">
        <f t="array" ref="F20">_xlfn.LET(
  _xlpm.w, F$11,
  _xlpm.r, MATCH(1,('3. Enter Indicator Scores'!$B$10:$B$161=$B20)*('3. Enter Indicator Scores'!$C$10:$C$161=$C20),0),
  _xlpm.c, MATCH(F$8,'3. Enter Indicator Scores'!$D$8:$CZ$8,0),
  _xlpm.v, IFERROR(INDEX('3. Enter Indicator Scores'!$D$10:$CZ$161,_xlpm.r,_xlpm.c),""),
  IF(OR(_xlpm.w="",_xlpm.v=""),"",_xlpm.v*_xlpm.w)
)</f>
        <v/>
      </c>
      <c r="G20" s="93" t="str" cm="1">
        <f t="array" ref="G20">_xlfn.LET(
  _xlpm.w, G$11,
  _xlpm.r, MATCH(1,('3. Enter Indicator Scores'!$B$10:$B$161=$B20)*('3. Enter Indicator Scores'!$C$10:$C$161=$C20),0),
  _xlpm.c, MATCH(G$8,'3. Enter Indicator Scores'!$D$8:$CZ$8,0),
  _xlpm.v, IFERROR(INDEX('3. Enter Indicator Scores'!$D$10:$CZ$161,_xlpm.r,_xlpm.c),""),
  IF(OR(_xlpm.w="",_xlpm.v=""),"",_xlpm.v*_xlpm.w)
)</f>
        <v/>
      </c>
      <c r="H20" s="93" t="str" cm="1">
        <f t="array" ref="H20">_xlfn.LET(
  _xlpm.w, H$11,
  _xlpm.r, MATCH(1,('3. Enter Indicator Scores'!$B$10:$B$161=$B20)*('3. Enter Indicator Scores'!$C$10:$C$161=$C20),0),
  _xlpm.c, MATCH(H$8,'3. Enter Indicator Scores'!$D$8:$CZ$8,0),
  _xlpm.v, IFERROR(INDEX('3. Enter Indicator Scores'!$D$10:$CZ$161,_xlpm.r,_xlpm.c),""),
  IF(OR(_xlpm.w="",_xlpm.v=""),"",_xlpm.v*_xlpm.w)
)</f>
        <v/>
      </c>
      <c r="I20" s="93" t="str" cm="1">
        <f t="array" ref="I20">_xlfn.LET(
  _xlpm.w, I$11,
  _xlpm.r, MATCH(1,('3. Enter Indicator Scores'!$B$10:$B$161=$B20)*('3. Enter Indicator Scores'!$C$10:$C$161=$C20),0),
  _xlpm.c, MATCH(I$8,'3. Enter Indicator Scores'!$D$8:$CZ$8,0),
  _xlpm.v, IFERROR(INDEX('3. Enter Indicator Scores'!$D$10:$CZ$161,_xlpm.r,_xlpm.c),""),
  IF(OR(_xlpm.w="",_xlpm.v=""),"",_xlpm.v*_xlpm.w)
)</f>
        <v/>
      </c>
      <c r="J20" s="93" t="str" cm="1">
        <f t="array" ref="J20">_xlfn.LET(
  _xlpm.w, J$11,
  _xlpm.r, MATCH(1,('3. Enter Indicator Scores'!$B$10:$B$161=$B20)*('3. Enter Indicator Scores'!$C$10:$C$161=$C20),0),
  _xlpm.c, MATCH(J$8,'3. Enter Indicator Scores'!$D$8:$CZ$8,0),
  _xlpm.v, IFERROR(INDEX('3. Enter Indicator Scores'!$D$10:$CZ$161,_xlpm.r,_xlpm.c),""),
  IF(OR(_xlpm.w="",_xlpm.v=""),"",_xlpm.v*_xlpm.w)
)</f>
        <v/>
      </c>
      <c r="K20" s="93" t="str" cm="1">
        <f t="array" ref="K20">_xlfn.LET(
  _xlpm.w, K$11,
  _xlpm.r, MATCH(1,('3. Enter Indicator Scores'!$B$10:$B$161=$B20)*('3. Enter Indicator Scores'!$C$10:$C$161=$C20),0),
  _xlpm.c, MATCH(K$8,'3. Enter Indicator Scores'!$D$8:$CZ$8,0),
  _xlpm.v, IFERROR(INDEX('3. Enter Indicator Scores'!$D$10:$CZ$161,_xlpm.r,_xlpm.c),""),
  IF(OR(_xlpm.w="",_xlpm.v=""),"",_xlpm.v*_xlpm.w)
)</f>
        <v/>
      </c>
      <c r="L20" s="93" t="str" cm="1">
        <f t="array" ref="L20">_xlfn.LET(
  _xlpm.w, L$11,
  _xlpm.r, MATCH(1,('3. Enter Indicator Scores'!$B$10:$B$161=$B20)*('3. Enter Indicator Scores'!$C$10:$C$161=$C20),0),
  _xlpm.c, MATCH(L$8,'3. Enter Indicator Scores'!$D$8:$CZ$8,0),
  _xlpm.v, IFERROR(INDEX('3. Enter Indicator Scores'!$D$10:$CZ$161,_xlpm.r,_xlpm.c),""),
  IF(OR(_xlpm.w="",_xlpm.v=""),"",_xlpm.v*_xlpm.w)
)</f>
        <v/>
      </c>
      <c r="M20" s="93" t="str" cm="1">
        <f t="array" ref="M20">_xlfn.LET(
  _xlpm.w, M$11,
  _xlpm.r, MATCH(1,('3. Enter Indicator Scores'!$B$10:$B$161=$B20)*('3. Enter Indicator Scores'!$C$10:$C$161=$C20),0),
  _xlpm.c, MATCH(M$8,'3. Enter Indicator Scores'!$D$8:$CZ$8,0),
  _xlpm.v, IFERROR(INDEX('3. Enter Indicator Scores'!$D$10:$CZ$161,_xlpm.r,_xlpm.c),""),
  IF(OR(_xlpm.w="",_xlpm.v=""),"",_xlpm.v*_xlpm.w)
)</f>
        <v/>
      </c>
      <c r="N20" s="93" t="str" cm="1">
        <f t="array" ref="N20">_xlfn.LET(
  _xlpm.w, N$11,
  _xlpm.r, MATCH(1,('3. Enter Indicator Scores'!$B$10:$B$161=$B20)*('3. Enter Indicator Scores'!$C$10:$C$161=$C20),0),
  _xlpm.c, MATCH(N$8,'3. Enter Indicator Scores'!$D$8:$CZ$8,0),
  _xlpm.v, IFERROR(INDEX('3. Enter Indicator Scores'!$D$10:$CZ$161,_xlpm.r,_xlpm.c),""),
  IF(OR(_xlpm.w="",_xlpm.v=""),"",_xlpm.v*_xlpm.w)
)</f>
        <v/>
      </c>
      <c r="O20" s="93" t="str" cm="1">
        <f t="array" ref="O20">_xlfn.LET(
  _xlpm.w, O$11,
  _xlpm.r, MATCH(1,('3. Enter Indicator Scores'!$B$10:$B$161=$B20)*('3. Enter Indicator Scores'!$C$10:$C$161=$C20),0),
  _xlpm.c, MATCH(O$8,'3. Enter Indicator Scores'!$D$8:$CZ$8,0),
  _xlpm.v, IFERROR(INDEX('3. Enter Indicator Scores'!$D$10:$CZ$161,_xlpm.r,_xlpm.c),""),
  IF(OR(_xlpm.w="",_xlpm.v=""),"",_xlpm.v*_xlpm.w)
)</f>
        <v/>
      </c>
      <c r="P20" s="93" t="str" cm="1">
        <f t="array" ref="P20">_xlfn.LET(
  _xlpm.w, P$11,
  _xlpm.r, MATCH(1,('3. Enter Indicator Scores'!$B$10:$B$161=$B20)*('3. Enter Indicator Scores'!$C$10:$C$161=$C20),0),
  _xlpm.c, MATCH(P$8,'3. Enter Indicator Scores'!$D$8:$CZ$8,0),
  _xlpm.v, IFERROR(INDEX('3. Enter Indicator Scores'!$D$10:$CZ$161,_xlpm.r,_xlpm.c),""),
  IF(OR(_xlpm.w="",_xlpm.v=""),"",_xlpm.v*_xlpm.w)
)</f>
        <v/>
      </c>
      <c r="Q20" s="93" t="str" cm="1">
        <f t="array" ref="Q20">_xlfn.LET(
  _xlpm.w, Q$11,
  _xlpm.r, MATCH(1,('3. Enter Indicator Scores'!$B$10:$B$161=$B20)*('3. Enter Indicator Scores'!$C$10:$C$161=$C20),0),
  _xlpm.c, MATCH(Q$8,'3. Enter Indicator Scores'!$D$8:$CZ$8,0),
  _xlpm.v, IFERROR(INDEX('3. Enter Indicator Scores'!$D$10:$CZ$161,_xlpm.r,_xlpm.c),""),
  IF(OR(_xlpm.w="",_xlpm.v=""),"",_xlpm.v*_xlpm.w)
)</f>
        <v/>
      </c>
      <c r="R20" s="93" t="str" cm="1">
        <f t="array" ref="R20">_xlfn.LET(
  _xlpm.w, R$11,
  _xlpm.r, MATCH(1,('3. Enter Indicator Scores'!$B$10:$B$161=$B20)*('3. Enter Indicator Scores'!$C$10:$C$161=$C20),0),
  _xlpm.c, MATCH(R$8,'3. Enter Indicator Scores'!$D$8:$CZ$8,0),
  _xlpm.v, IFERROR(INDEX('3. Enter Indicator Scores'!$D$10:$CZ$161,_xlpm.r,_xlpm.c),""),
  IF(OR(_xlpm.w="",_xlpm.v=""),"",_xlpm.v*_xlpm.w)
)</f>
        <v/>
      </c>
      <c r="S20" s="93" t="str" cm="1">
        <f t="array" ref="S20">_xlfn.LET(
  _xlpm.w, S$11,
  _xlpm.r, MATCH(1,('3. Enter Indicator Scores'!$B$10:$B$161=$B20)*('3. Enter Indicator Scores'!$C$10:$C$161=$C20),0),
  _xlpm.c, MATCH(S$8,'3. Enter Indicator Scores'!$D$8:$CZ$8,0),
  _xlpm.v, IFERROR(INDEX('3. Enter Indicator Scores'!$D$10:$CZ$161,_xlpm.r,_xlpm.c),""),
  IF(OR(_xlpm.w="",_xlpm.v=""),"",_xlpm.v*_xlpm.w)
)</f>
        <v/>
      </c>
      <c r="T20" s="93" t="str" cm="1">
        <f t="array" ref="T20">_xlfn.LET(
  _xlpm.w, T$11,
  _xlpm.r, MATCH(1,('3. Enter Indicator Scores'!$B$10:$B$161=$B20)*('3. Enter Indicator Scores'!$C$10:$C$161=$C20),0),
  _xlpm.c, MATCH(T$8,'3. Enter Indicator Scores'!$D$8:$CZ$8,0),
  _xlpm.v, IFERROR(INDEX('3. Enter Indicator Scores'!$D$10:$CZ$161,_xlpm.r,_xlpm.c),""),
  IF(OR(_xlpm.w="",_xlpm.v=""),"",_xlpm.v*_xlpm.w)
)</f>
        <v/>
      </c>
      <c r="U20" s="93" t="str" cm="1">
        <f t="array" ref="U20">_xlfn.LET(
  _xlpm.w, U$11,
  _xlpm.r, MATCH(1,('3. Enter Indicator Scores'!$B$10:$B$161=$B20)*('3. Enter Indicator Scores'!$C$10:$C$161=$C20),0),
  _xlpm.c, MATCH(U$8,'3. Enter Indicator Scores'!$D$8:$CZ$8,0),
  _xlpm.v, IFERROR(INDEX('3. Enter Indicator Scores'!$D$10:$CZ$161,_xlpm.r,_xlpm.c),""),
  IF(OR(_xlpm.w="",_xlpm.v=""),"",_xlpm.v*_xlpm.w)
)</f>
        <v/>
      </c>
      <c r="V20" s="93" t="str" cm="1">
        <f t="array" ref="V20">_xlfn.LET(
  _xlpm.w, V$11,
  _xlpm.r, MATCH(1,('3. Enter Indicator Scores'!$B$10:$B$161=$B20)*('3. Enter Indicator Scores'!$C$10:$C$161=$C20),0),
  _xlpm.c, MATCH(V$8,'3. Enter Indicator Scores'!$D$8:$CZ$8,0),
  _xlpm.v, IFERROR(INDEX('3. Enter Indicator Scores'!$D$10:$CZ$161,_xlpm.r,_xlpm.c),""),
  IF(OR(_xlpm.w="",_xlpm.v=""),"",_xlpm.v*_xlpm.w)
)</f>
        <v/>
      </c>
      <c r="W20" s="93" t="str" cm="1">
        <f t="array" ref="W20">_xlfn.LET(
  _xlpm.w, W$11,
  _xlpm.r, MATCH(1,('3. Enter Indicator Scores'!$B$10:$B$161=$B20)*('3. Enter Indicator Scores'!$C$10:$C$161=$C20),0),
  _xlpm.c, MATCH(W$8,'3. Enter Indicator Scores'!$D$8:$CZ$8,0),
  _xlpm.v, IFERROR(INDEX('3. Enter Indicator Scores'!$D$10:$CZ$161,_xlpm.r,_xlpm.c),""),
  IF(OR(_xlpm.w="",_xlpm.v=""),"",_xlpm.v*_xlpm.w)
)</f>
        <v/>
      </c>
      <c r="X20" s="93" t="str" cm="1">
        <f t="array" ref="X20">_xlfn.LET(
  _xlpm.w, X$11,
  _xlpm.r, MATCH(1,('3. Enter Indicator Scores'!$B$10:$B$161=$B20)*('3. Enter Indicator Scores'!$C$10:$C$161=$C20),0),
  _xlpm.c, MATCH(X$8,'3. Enter Indicator Scores'!$D$8:$CZ$8,0),
  _xlpm.v, IFERROR(INDEX('3. Enter Indicator Scores'!$D$10:$CZ$161,_xlpm.r,_xlpm.c),""),
  IF(OR(_xlpm.w="",_xlpm.v=""),"",_xlpm.v*_xlpm.w)
)</f>
        <v/>
      </c>
      <c r="Y20" s="93" t="str" cm="1">
        <f t="array" ref="Y20">_xlfn.LET(
  _xlpm.w, Y$11,
  _xlpm.r, MATCH(1,('3. Enter Indicator Scores'!$B$10:$B$161=$B20)*('3. Enter Indicator Scores'!$C$10:$C$161=$C20),0),
  _xlpm.c, MATCH(Y$8,'3. Enter Indicator Scores'!$D$8:$CZ$8,0),
  _xlpm.v, IFERROR(INDEX('3. Enter Indicator Scores'!$D$10:$CZ$161,_xlpm.r,_xlpm.c),""),
  IF(OR(_xlpm.w="",_xlpm.v=""),"",_xlpm.v*_xlpm.w)
)</f>
        <v/>
      </c>
      <c r="Z20" s="93" t="str" cm="1">
        <f t="array" ref="Z20">_xlfn.LET(
  _xlpm.w, Z$11,
  _xlpm.r, MATCH(1,('3. Enter Indicator Scores'!$B$10:$B$161=$B20)*('3. Enter Indicator Scores'!$C$10:$C$161=$C20),0),
  _xlpm.c, MATCH(Z$8,'3. Enter Indicator Scores'!$D$8:$CZ$8,0),
  _xlpm.v, IFERROR(INDEX('3. Enter Indicator Scores'!$D$10:$CZ$161,_xlpm.r,_xlpm.c),""),
  IF(OR(_xlpm.w="",_xlpm.v=""),"",_xlpm.v*_xlpm.w)
)</f>
        <v/>
      </c>
      <c r="AA20" s="93" t="str" cm="1">
        <f t="array" ref="AA20">_xlfn.LET(
  _xlpm.w, AA$11,
  _xlpm.r, MATCH(1,('3. Enter Indicator Scores'!$B$10:$B$161=$B20)*('3. Enter Indicator Scores'!$C$10:$C$161=$C20),0),
  _xlpm.c, MATCH(AA$8,'3. Enter Indicator Scores'!$D$8:$CZ$8,0),
  _xlpm.v, IFERROR(INDEX('3. Enter Indicator Scores'!$D$10:$CZ$161,_xlpm.r,_xlpm.c),""),
  IF(OR(_xlpm.w="",_xlpm.v=""),"",_xlpm.v*_xlpm.w)
)</f>
        <v/>
      </c>
      <c r="AB20" s="93" t="str" cm="1">
        <f t="array" ref="AB20">_xlfn.LET(
  _xlpm.w, AB$11,
  _xlpm.r, MATCH(1,('3. Enter Indicator Scores'!$B$10:$B$161=$B20)*('3. Enter Indicator Scores'!$C$10:$C$161=$C20),0),
  _xlpm.c, MATCH(AB$8,'3. Enter Indicator Scores'!$D$8:$CZ$8,0),
  _xlpm.v, IFERROR(INDEX('3. Enter Indicator Scores'!$D$10:$CZ$161,_xlpm.r,_xlpm.c),""),
  IF(OR(_xlpm.w="",_xlpm.v=""),"",_xlpm.v*_xlpm.w)
)</f>
        <v/>
      </c>
      <c r="AC20" s="93" t="str" cm="1">
        <f t="array" ref="AC20">_xlfn.LET(
  _xlpm.w, AC$11,
  _xlpm.r, MATCH(1,('3. Enter Indicator Scores'!$B$10:$B$161=$B20)*('3. Enter Indicator Scores'!$C$10:$C$161=$C20),0),
  _xlpm.c, MATCH(AC$8,'3. Enter Indicator Scores'!$D$8:$CZ$8,0),
  _xlpm.v, IFERROR(INDEX('3. Enter Indicator Scores'!$D$10:$CZ$161,_xlpm.r,_xlpm.c),""),
  IF(OR(_xlpm.w="",_xlpm.v=""),"",_xlpm.v*_xlpm.w)
)</f>
        <v/>
      </c>
      <c r="AD20" s="93" t="str" cm="1">
        <f t="array" ref="AD20">_xlfn.LET(
  _xlpm.w, AD$11,
  _xlpm.r, MATCH(1,('3. Enter Indicator Scores'!$B$10:$B$161=$B20)*('3. Enter Indicator Scores'!$C$10:$C$161=$C20),0),
  _xlpm.c, MATCH(AD$8,'3. Enter Indicator Scores'!$D$8:$CZ$8,0),
  _xlpm.v, IFERROR(INDEX('3. Enter Indicator Scores'!$D$10:$CZ$161,_xlpm.r,_xlpm.c),""),
  IF(OR(_xlpm.w="",_xlpm.v=""),"",_xlpm.v*_xlpm.w)
)</f>
        <v/>
      </c>
      <c r="AE20" s="93" t="str" cm="1">
        <f t="array" ref="AE20">_xlfn.LET(
  _xlpm.w, AE$11,
  _xlpm.r, MATCH(1,('3. Enter Indicator Scores'!$B$10:$B$161=$B20)*('3. Enter Indicator Scores'!$C$10:$C$161=$C20),0),
  _xlpm.c, MATCH(AE$8,'3. Enter Indicator Scores'!$D$8:$CZ$8,0),
  _xlpm.v, IFERROR(INDEX('3. Enter Indicator Scores'!$D$10:$CZ$161,_xlpm.r,_xlpm.c),""),
  IF(OR(_xlpm.w="",_xlpm.v=""),"",_xlpm.v*_xlpm.w)
)</f>
        <v/>
      </c>
      <c r="AF20" s="93" t="str" cm="1">
        <f t="array" ref="AF20">_xlfn.LET(
  _xlpm.w, AF$11,
  _xlpm.r, MATCH(1,('3. Enter Indicator Scores'!$B$10:$B$161=$B20)*('3. Enter Indicator Scores'!$C$10:$C$161=$C20),0),
  _xlpm.c, MATCH(AF$8,'3. Enter Indicator Scores'!$D$8:$CZ$8,0),
  _xlpm.v, IFERROR(INDEX('3. Enter Indicator Scores'!$D$10:$CZ$161,_xlpm.r,_xlpm.c),""),
  IF(OR(_xlpm.w="",_xlpm.v=""),"",_xlpm.v*_xlpm.w)
)</f>
        <v/>
      </c>
      <c r="AG20" s="93" t="str" cm="1">
        <f t="array" ref="AG20">_xlfn.LET(
  _xlpm.w, AG$11,
  _xlpm.r, MATCH(1,('3. Enter Indicator Scores'!$B$10:$B$161=$B20)*('3. Enter Indicator Scores'!$C$10:$C$161=$C20),0),
  _xlpm.c, MATCH(AG$8,'3. Enter Indicator Scores'!$D$8:$CZ$8,0),
  _xlpm.v, IFERROR(INDEX('3. Enter Indicator Scores'!$D$10:$CZ$161,_xlpm.r,_xlpm.c),""),
  IF(OR(_xlpm.w="",_xlpm.v=""),"",_xlpm.v*_xlpm.w)
)</f>
        <v/>
      </c>
      <c r="AH20" s="93" t="str" cm="1">
        <f t="array" ref="AH20">_xlfn.LET(
  _xlpm.w, AH$11,
  _xlpm.r, MATCH(1,('3. Enter Indicator Scores'!$B$10:$B$161=$B20)*('3. Enter Indicator Scores'!$C$10:$C$161=$C20),0),
  _xlpm.c, MATCH(AH$8,'3. Enter Indicator Scores'!$D$8:$CZ$8,0),
  _xlpm.v, IFERROR(INDEX('3. Enter Indicator Scores'!$D$10:$CZ$161,_xlpm.r,_xlpm.c),""),
  IF(OR(_xlpm.w="",_xlpm.v=""),"",_xlpm.v*_xlpm.w)
)</f>
        <v/>
      </c>
      <c r="AI20" s="93" t="str" cm="1">
        <f t="array" ref="AI20">_xlfn.LET(
  _xlpm.w, AI$11,
  _xlpm.r, MATCH(1,('3. Enter Indicator Scores'!$B$10:$B$161=$B20)*('3. Enter Indicator Scores'!$C$10:$C$161=$C20),0),
  _xlpm.c, MATCH(AI$8,'3. Enter Indicator Scores'!$D$8:$CZ$8,0),
  _xlpm.v, IFERROR(INDEX('3. Enter Indicator Scores'!$D$10:$CZ$161,_xlpm.r,_xlpm.c),""),
  IF(OR(_xlpm.w="",_xlpm.v=""),"",_xlpm.v*_xlpm.w)
)</f>
        <v/>
      </c>
      <c r="AJ20" s="93" t="str" cm="1">
        <f t="array" ref="AJ20">_xlfn.LET(
  _xlpm.w, AJ$11,
  _xlpm.r, MATCH(1,('3. Enter Indicator Scores'!$B$10:$B$161=$B20)*('3. Enter Indicator Scores'!$C$10:$C$161=$C20),0),
  _xlpm.c, MATCH(AJ$8,'3. Enter Indicator Scores'!$D$8:$CZ$8,0),
  _xlpm.v, IFERROR(INDEX('3. Enter Indicator Scores'!$D$10:$CZ$161,_xlpm.r,_xlpm.c),""),
  IF(OR(_xlpm.w="",_xlpm.v=""),"",_xlpm.v*_xlpm.w)
)</f>
        <v/>
      </c>
      <c r="AK20" s="93" t="str" cm="1">
        <f t="array" ref="AK20">_xlfn.LET(
  _xlpm.w, AK$11,
  _xlpm.r, MATCH(1,('3. Enter Indicator Scores'!$B$10:$B$161=$B20)*('3. Enter Indicator Scores'!$C$10:$C$161=$C20),0),
  _xlpm.c, MATCH(AK$8,'3. Enter Indicator Scores'!$D$8:$CZ$8,0),
  _xlpm.v, IFERROR(INDEX('3. Enter Indicator Scores'!$D$10:$CZ$161,_xlpm.r,_xlpm.c),""),
  IF(OR(_xlpm.w="",_xlpm.v=""),"",_xlpm.v*_xlpm.w)
)</f>
        <v/>
      </c>
      <c r="AL20" s="93" t="str" cm="1">
        <f t="array" ref="AL20">_xlfn.LET(
  _xlpm.w, AL$11,
  _xlpm.r, MATCH(1,('3. Enter Indicator Scores'!$B$10:$B$161=$B20)*('3. Enter Indicator Scores'!$C$10:$C$161=$C20),0),
  _xlpm.c, MATCH(AL$8,'3. Enter Indicator Scores'!$D$8:$CZ$8,0),
  _xlpm.v, IFERROR(INDEX('3. Enter Indicator Scores'!$D$10:$CZ$161,_xlpm.r,_xlpm.c),""),
  IF(OR(_xlpm.w="",_xlpm.v=""),"",_xlpm.v*_xlpm.w)
)</f>
        <v/>
      </c>
      <c r="AM20" s="93" t="str" cm="1">
        <f t="array" ref="AM20">_xlfn.LET(
  _xlpm.w, AM$11,
  _xlpm.r, MATCH(1,('3. Enter Indicator Scores'!$B$10:$B$161=$B20)*('3. Enter Indicator Scores'!$C$10:$C$161=$C20),0),
  _xlpm.c, MATCH(AM$8,'3. Enter Indicator Scores'!$D$8:$CZ$8,0),
  _xlpm.v, IFERROR(INDEX('3. Enter Indicator Scores'!$D$10:$CZ$161,_xlpm.r,_xlpm.c),""),
  IF(OR(_xlpm.w="",_xlpm.v=""),"",_xlpm.v*_xlpm.w)
)</f>
        <v/>
      </c>
      <c r="AN20" s="93" t="str" cm="1">
        <f t="array" ref="AN20">_xlfn.LET(
  _xlpm.w, AN$11,
  _xlpm.r, MATCH(1,('3. Enter Indicator Scores'!$B$10:$B$161=$B20)*('3. Enter Indicator Scores'!$C$10:$C$161=$C20),0),
  _xlpm.c, MATCH(AN$8,'3. Enter Indicator Scores'!$D$8:$CZ$8,0),
  _xlpm.v, IFERROR(INDEX('3. Enter Indicator Scores'!$D$10:$CZ$161,_xlpm.r,_xlpm.c),""),
  IF(OR(_xlpm.w="",_xlpm.v=""),"",_xlpm.v*_xlpm.w)
)</f>
        <v/>
      </c>
      <c r="AO20" s="93" t="str" cm="1">
        <f t="array" ref="AO20">_xlfn.LET(
  _xlpm.w, AO$11,
  _xlpm.r, MATCH(1,('3. Enter Indicator Scores'!$B$10:$B$161=$B20)*('3. Enter Indicator Scores'!$C$10:$C$161=$C20),0),
  _xlpm.c, MATCH(AO$8,'3. Enter Indicator Scores'!$D$8:$CZ$8,0),
  _xlpm.v, IFERROR(INDEX('3. Enter Indicator Scores'!$D$10:$CZ$161,_xlpm.r,_xlpm.c),""),
  IF(OR(_xlpm.w="",_xlpm.v=""),"",_xlpm.v*_xlpm.w)
)</f>
        <v/>
      </c>
      <c r="AP20" s="93" t="str" cm="1">
        <f t="array" ref="AP20">_xlfn.LET(
  _xlpm.w, AP$11,
  _xlpm.r, MATCH(1,('3. Enter Indicator Scores'!$B$10:$B$161=$B20)*('3. Enter Indicator Scores'!$C$10:$C$161=$C20),0),
  _xlpm.c, MATCH(AP$8,'3. Enter Indicator Scores'!$D$8:$CZ$8,0),
  _xlpm.v, IFERROR(INDEX('3. Enter Indicator Scores'!$D$10:$CZ$161,_xlpm.r,_xlpm.c),""),
  IF(OR(_xlpm.w="",_xlpm.v=""),"",_xlpm.v*_xlpm.w)
)</f>
        <v/>
      </c>
      <c r="AQ20" s="93" t="str" cm="1">
        <f t="array" ref="AQ20">_xlfn.LET(
  _xlpm.w, AQ$11,
  _xlpm.r, MATCH(1,('3. Enter Indicator Scores'!$B$10:$B$161=$B20)*('3. Enter Indicator Scores'!$C$10:$C$161=$C20),0),
  _xlpm.c, MATCH(AQ$8,'3. Enter Indicator Scores'!$D$8:$CZ$8,0),
  _xlpm.v, IFERROR(INDEX('3. Enter Indicator Scores'!$D$10:$CZ$161,_xlpm.r,_xlpm.c),""),
  IF(OR(_xlpm.w="",_xlpm.v=""),"",_xlpm.v*_xlpm.w)
)</f>
        <v/>
      </c>
      <c r="AR20" s="93" t="str" cm="1">
        <f t="array" ref="AR20">_xlfn.LET(
  _xlpm.w, AR$11,
  _xlpm.r, MATCH(1,('3. Enter Indicator Scores'!$B$10:$B$161=$B20)*('3. Enter Indicator Scores'!$C$10:$C$161=$C20),0),
  _xlpm.c, MATCH(AR$8,'3. Enter Indicator Scores'!$D$8:$CZ$8,0),
  _xlpm.v, IFERROR(INDEX('3. Enter Indicator Scores'!$D$10:$CZ$161,_xlpm.r,_xlpm.c),""),
  IF(OR(_xlpm.w="",_xlpm.v=""),"",_xlpm.v*_xlpm.w)
)</f>
        <v/>
      </c>
      <c r="AS20" s="93" t="str" cm="1">
        <f t="array" ref="AS20">_xlfn.LET(
  _xlpm.w, AS$11,
  _xlpm.r, MATCH(1,('3. Enter Indicator Scores'!$B$10:$B$161=$B20)*('3. Enter Indicator Scores'!$C$10:$C$161=$C20),0),
  _xlpm.c, MATCH(AS$8,'3. Enter Indicator Scores'!$D$8:$CZ$8,0),
  _xlpm.v, IFERROR(INDEX('3. Enter Indicator Scores'!$D$10:$CZ$161,_xlpm.r,_xlpm.c),""),
  IF(OR(_xlpm.w="",_xlpm.v=""),"",_xlpm.v*_xlpm.w)
)</f>
        <v/>
      </c>
      <c r="AT20" s="93" t="str" cm="1">
        <f t="array" ref="AT20">_xlfn.LET(
  _xlpm.w, AT$11,
  _xlpm.r, MATCH(1,('3. Enter Indicator Scores'!$B$10:$B$161=$B20)*('3. Enter Indicator Scores'!$C$10:$C$161=$C20),0),
  _xlpm.c, MATCH(AT$8,'3. Enter Indicator Scores'!$D$8:$CZ$8,0),
  _xlpm.v, IFERROR(INDEX('3. Enter Indicator Scores'!$D$10:$CZ$161,_xlpm.r,_xlpm.c),""),
  IF(OR(_xlpm.w="",_xlpm.v=""),"",_xlpm.v*_xlpm.w)
)</f>
        <v/>
      </c>
      <c r="AU20" s="93" t="str" cm="1">
        <f t="array" ref="AU20">_xlfn.LET(
  _xlpm.w, AU$11,
  _xlpm.r, MATCH(1,('3. Enter Indicator Scores'!$B$10:$B$161=$B20)*('3. Enter Indicator Scores'!$C$10:$C$161=$C20),0),
  _xlpm.c, MATCH(AU$8,'3. Enter Indicator Scores'!$D$8:$CZ$8,0),
  _xlpm.v, IFERROR(INDEX('3. Enter Indicator Scores'!$D$10:$CZ$161,_xlpm.r,_xlpm.c),""),
  IF(OR(_xlpm.w="",_xlpm.v=""),"",_xlpm.v*_xlpm.w)
)</f>
        <v/>
      </c>
      <c r="AV20" s="93" t="str" cm="1">
        <f t="array" ref="AV20">_xlfn.LET(
  _xlpm.w, AV$11,
  _xlpm.r, MATCH(1,('3. Enter Indicator Scores'!$B$10:$B$161=$B20)*('3. Enter Indicator Scores'!$C$10:$C$161=$C20),0),
  _xlpm.c, MATCH(AV$8,'3. Enter Indicator Scores'!$D$8:$CZ$8,0),
  _xlpm.v, IFERROR(INDEX('3. Enter Indicator Scores'!$D$10:$CZ$161,_xlpm.r,_xlpm.c),""),
  IF(OR(_xlpm.w="",_xlpm.v=""),"",_xlpm.v*_xlpm.w)
)</f>
        <v/>
      </c>
      <c r="AW20" s="93" t="str" cm="1">
        <f t="array" ref="AW20">_xlfn.LET(
  _xlpm.w, AW$11,
  _xlpm.r, MATCH(1,('3. Enter Indicator Scores'!$B$10:$B$161=$B20)*('3. Enter Indicator Scores'!$C$10:$C$161=$C20),0),
  _xlpm.c, MATCH(AW$8,'3. Enter Indicator Scores'!$D$8:$CZ$8,0),
  _xlpm.v, IFERROR(INDEX('3. Enter Indicator Scores'!$D$10:$CZ$161,_xlpm.r,_xlpm.c),""),
  IF(OR(_xlpm.w="",_xlpm.v=""),"",_xlpm.v*_xlpm.w)
)</f>
        <v/>
      </c>
      <c r="AX20" s="93" t="str" cm="1">
        <f t="array" ref="AX20">_xlfn.LET(
  _xlpm.w, AX$11,
  _xlpm.r, MATCH(1,('3. Enter Indicator Scores'!$B$10:$B$161=$B20)*('3. Enter Indicator Scores'!$C$10:$C$161=$C20),0),
  _xlpm.c, MATCH(AX$8,'3. Enter Indicator Scores'!$D$8:$CZ$8,0),
  _xlpm.v, IFERROR(INDEX('3. Enter Indicator Scores'!$D$10:$CZ$161,_xlpm.r,_xlpm.c),""),
  IF(OR(_xlpm.w="",_xlpm.v=""),"",_xlpm.v*_xlpm.w)
)</f>
        <v/>
      </c>
      <c r="AY20" s="93" t="str" cm="1">
        <f t="array" ref="AY20">_xlfn.LET(
  _xlpm.w, AY$11,
  _xlpm.r, MATCH(1,('3. Enter Indicator Scores'!$B$10:$B$161=$B20)*('3. Enter Indicator Scores'!$C$10:$C$161=$C20),0),
  _xlpm.c, MATCH(AY$8,'3. Enter Indicator Scores'!$D$8:$CZ$8,0),
  _xlpm.v, IFERROR(INDEX('3. Enter Indicator Scores'!$D$10:$CZ$161,_xlpm.r,_xlpm.c),""),
  IF(OR(_xlpm.w="",_xlpm.v=""),"",_xlpm.v*_xlpm.w)
)</f>
        <v/>
      </c>
      <c r="AZ20" s="93" t="str" cm="1">
        <f t="array" ref="AZ20">_xlfn.LET(
  _xlpm.w, AZ$11,
  _xlpm.r, MATCH(1,('3. Enter Indicator Scores'!$B$10:$B$161=$B20)*('3. Enter Indicator Scores'!$C$10:$C$161=$C20),0),
  _xlpm.c, MATCH(AZ$8,'3. Enter Indicator Scores'!$D$8:$CZ$8,0),
  _xlpm.v, IFERROR(INDEX('3. Enter Indicator Scores'!$D$10:$CZ$161,_xlpm.r,_xlpm.c),""),
  IF(OR(_xlpm.w="",_xlpm.v=""),"",_xlpm.v*_xlpm.w)
)</f>
        <v/>
      </c>
      <c r="BA20" s="93" t="str" cm="1">
        <f t="array" ref="BA20">_xlfn.LET(
  _xlpm.w, BA$11,
  _xlpm.r, MATCH(1,('3. Enter Indicator Scores'!$B$10:$B$161=$B20)*('3. Enter Indicator Scores'!$C$10:$C$161=$C20),0),
  _xlpm.c, MATCH(BA$8,'3. Enter Indicator Scores'!$D$8:$CZ$8,0),
  _xlpm.v, IFERROR(INDEX('3. Enter Indicator Scores'!$D$10:$CZ$161,_xlpm.r,_xlpm.c),""),
  IF(OR(_xlpm.w="",_xlpm.v=""),"",_xlpm.v*_xlpm.w)
)</f>
        <v/>
      </c>
      <c r="BB20" s="93" t="str" cm="1">
        <f t="array" ref="BB20">_xlfn.LET(
  _xlpm.w, BB$11,
  _xlpm.r, MATCH(1,('3. Enter Indicator Scores'!$B$10:$B$161=$B20)*('3. Enter Indicator Scores'!$C$10:$C$161=$C20),0),
  _xlpm.c, MATCH(BB$8,'3. Enter Indicator Scores'!$D$8:$CZ$8,0),
  _xlpm.v, IFERROR(INDEX('3. Enter Indicator Scores'!$D$10:$CZ$161,_xlpm.r,_xlpm.c),""),
  IF(OR(_xlpm.w="",_xlpm.v=""),"",_xlpm.v*_xlpm.w)
)</f>
        <v/>
      </c>
      <c r="BC20" s="93" t="str" cm="1">
        <f t="array" ref="BC20">_xlfn.LET(
  _xlpm.w, BC$11,
  _xlpm.r, MATCH(1,('3. Enter Indicator Scores'!$B$10:$B$161=$B20)*('3. Enter Indicator Scores'!$C$10:$C$161=$C20),0),
  _xlpm.c, MATCH(BC$8,'3. Enter Indicator Scores'!$D$8:$CZ$8,0),
  _xlpm.v, IFERROR(INDEX('3. Enter Indicator Scores'!$D$10:$CZ$161,_xlpm.r,_xlpm.c),""),
  IF(OR(_xlpm.w="",_xlpm.v=""),"",_xlpm.v*_xlpm.w)
)</f>
        <v/>
      </c>
      <c r="BD20" s="93" t="str" cm="1">
        <f t="array" ref="BD20">_xlfn.LET(
  _xlpm.w, BD$11,
  _xlpm.r, MATCH(1,('3. Enter Indicator Scores'!$B$10:$B$161=$B20)*('3. Enter Indicator Scores'!$C$10:$C$161=$C20),0),
  _xlpm.c, MATCH(BD$8,'3. Enter Indicator Scores'!$D$8:$CZ$8,0),
  _xlpm.v, IFERROR(INDEX('3. Enter Indicator Scores'!$D$10:$CZ$161,_xlpm.r,_xlpm.c),""),
  IF(OR(_xlpm.w="",_xlpm.v=""),"",_xlpm.v*_xlpm.w)
)</f>
        <v/>
      </c>
      <c r="BE20" s="93" t="str" cm="1">
        <f t="array" ref="BE20">_xlfn.LET(
  _xlpm.w, BE$11,
  _xlpm.r, MATCH(1,('3. Enter Indicator Scores'!$B$10:$B$161=$B20)*('3. Enter Indicator Scores'!$C$10:$C$161=$C20),0),
  _xlpm.c, MATCH(BE$8,'3. Enter Indicator Scores'!$D$8:$CZ$8,0),
  _xlpm.v, IFERROR(INDEX('3. Enter Indicator Scores'!$D$10:$CZ$161,_xlpm.r,_xlpm.c),""),
  IF(OR(_xlpm.w="",_xlpm.v=""),"",_xlpm.v*_xlpm.w)
)</f>
        <v/>
      </c>
      <c r="BF20" s="93" t="str" cm="1">
        <f t="array" ref="BF20">_xlfn.LET(
  _xlpm.w, BF$11,
  _xlpm.r, MATCH(1,('3. Enter Indicator Scores'!$B$10:$B$161=$B20)*('3. Enter Indicator Scores'!$C$10:$C$161=$C20),0),
  _xlpm.c, MATCH(BF$8,'3. Enter Indicator Scores'!$D$8:$CZ$8,0),
  _xlpm.v, IFERROR(INDEX('3. Enter Indicator Scores'!$D$10:$CZ$161,_xlpm.r,_xlpm.c),""),
  IF(OR(_xlpm.w="",_xlpm.v=""),"",_xlpm.v*_xlpm.w)
)</f>
        <v/>
      </c>
      <c r="BG20" s="93" t="str" cm="1">
        <f t="array" ref="BG20">_xlfn.LET(
  _xlpm.w, BG$11,
  _xlpm.r, MATCH(1,('3. Enter Indicator Scores'!$B$10:$B$161=$B20)*('3. Enter Indicator Scores'!$C$10:$C$161=$C20),0),
  _xlpm.c, MATCH(BG$8,'3. Enter Indicator Scores'!$D$8:$CZ$8,0),
  _xlpm.v, IFERROR(INDEX('3. Enter Indicator Scores'!$D$10:$CZ$161,_xlpm.r,_xlpm.c),""),
  IF(OR(_xlpm.w="",_xlpm.v=""),"",_xlpm.v*_xlpm.w)
)</f>
        <v/>
      </c>
      <c r="BH20" s="93" t="str" cm="1">
        <f t="array" ref="BH20">_xlfn.LET(
  _xlpm.w, BH$11,
  _xlpm.r, MATCH(1,('3. Enter Indicator Scores'!$B$10:$B$161=$B20)*('3. Enter Indicator Scores'!$C$10:$C$161=$C20),0),
  _xlpm.c, MATCH(BH$8,'3. Enter Indicator Scores'!$D$8:$CZ$8,0),
  _xlpm.v, IFERROR(INDEX('3. Enter Indicator Scores'!$D$10:$CZ$161,_xlpm.r,_xlpm.c),""),
  IF(OR(_xlpm.w="",_xlpm.v=""),"",_xlpm.v*_xlpm.w)
)</f>
        <v/>
      </c>
      <c r="BI20" s="93" t="str" cm="1">
        <f t="array" ref="BI20">_xlfn.LET(
  _xlpm.w, BI$11,
  _xlpm.r, MATCH(1,('3. Enter Indicator Scores'!$B$10:$B$161=$B20)*('3. Enter Indicator Scores'!$C$10:$C$161=$C20),0),
  _xlpm.c, MATCH(BI$8,'3. Enter Indicator Scores'!$D$8:$CZ$8,0),
  _xlpm.v, IFERROR(INDEX('3. Enter Indicator Scores'!$D$10:$CZ$161,_xlpm.r,_xlpm.c),""),
  IF(OR(_xlpm.w="",_xlpm.v=""),"",_xlpm.v*_xlpm.w)
)</f>
        <v/>
      </c>
      <c r="BJ20" s="93" t="str" cm="1">
        <f t="array" ref="BJ20">_xlfn.LET(
  _xlpm.w, BJ$11,
  _xlpm.r, MATCH(1,('3. Enter Indicator Scores'!$B$10:$B$161=$B20)*('3. Enter Indicator Scores'!$C$10:$C$161=$C20),0),
  _xlpm.c, MATCH(BJ$8,'3. Enter Indicator Scores'!$D$8:$CZ$8,0),
  _xlpm.v, IFERROR(INDEX('3. Enter Indicator Scores'!$D$10:$CZ$161,_xlpm.r,_xlpm.c),""),
  IF(OR(_xlpm.w="",_xlpm.v=""),"",_xlpm.v*_xlpm.w)
)</f>
        <v/>
      </c>
      <c r="BK20" s="93" t="str" cm="1">
        <f t="array" ref="BK20">_xlfn.LET(
  _xlpm.w, BK$11,
  _xlpm.r, MATCH(1,('3. Enter Indicator Scores'!$B$10:$B$161=$B20)*('3. Enter Indicator Scores'!$C$10:$C$161=$C20),0),
  _xlpm.c, MATCH(BK$8,'3. Enter Indicator Scores'!$D$8:$CZ$8,0),
  _xlpm.v, IFERROR(INDEX('3. Enter Indicator Scores'!$D$10:$CZ$161,_xlpm.r,_xlpm.c),""),
  IF(OR(_xlpm.w="",_xlpm.v=""),"",_xlpm.v*_xlpm.w)
)</f>
        <v/>
      </c>
      <c r="BL20" s="93" t="str" cm="1">
        <f t="array" ref="BL20">_xlfn.LET(
  _xlpm.w, BL$11,
  _xlpm.r, MATCH(1,('3. Enter Indicator Scores'!$B$10:$B$161=$B20)*('3. Enter Indicator Scores'!$C$10:$C$161=$C20),0),
  _xlpm.c, MATCH(BL$8,'3. Enter Indicator Scores'!$D$8:$CZ$8,0),
  _xlpm.v, IFERROR(INDEX('3. Enter Indicator Scores'!$D$10:$CZ$161,_xlpm.r,_xlpm.c),""),
  IF(OR(_xlpm.w="",_xlpm.v=""),"",_xlpm.v*_xlpm.w)
)</f>
        <v/>
      </c>
      <c r="BM20" s="93" t="str" cm="1">
        <f t="array" ref="BM20">_xlfn.LET(
  _xlpm.w, BM$11,
  _xlpm.r, MATCH(1,('3. Enter Indicator Scores'!$B$10:$B$161=$B20)*('3. Enter Indicator Scores'!$C$10:$C$161=$C20),0),
  _xlpm.c, MATCH(BM$8,'3. Enter Indicator Scores'!$D$8:$CZ$8,0),
  _xlpm.v, IFERROR(INDEX('3. Enter Indicator Scores'!$D$10:$CZ$161,_xlpm.r,_xlpm.c),""),
  IF(OR(_xlpm.w="",_xlpm.v=""),"",_xlpm.v*_xlpm.w)
)</f>
        <v/>
      </c>
      <c r="BN20" s="93" t="str" cm="1">
        <f t="array" ref="BN20">_xlfn.LET(
  _xlpm.w, BN$11,
  _xlpm.r, MATCH(1,('3. Enter Indicator Scores'!$B$10:$B$161=$B20)*('3. Enter Indicator Scores'!$C$10:$C$161=$C20),0),
  _xlpm.c, MATCH(BN$8,'3. Enter Indicator Scores'!$D$8:$CZ$8,0),
  _xlpm.v, IFERROR(INDEX('3. Enter Indicator Scores'!$D$10:$CZ$161,_xlpm.r,_xlpm.c),""),
  IF(OR(_xlpm.w="",_xlpm.v=""),"",_xlpm.v*_xlpm.w)
)</f>
        <v/>
      </c>
      <c r="BO20" s="93" t="str" cm="1">
        <f t="array" ref="BO20">_xlfn.LET(
  _xlpm.w, BO$11,
  _xlpm.r, MATCH(1,('3. Enter Indicator Scores'!$B$10:$B$161=$B20)*('3. Enter Indicator Scores'!$C$10:$C$161=$C20),0),
  _xlpm.c, MATCH(BO$8,'3. Enter Indicator Scores'!$D$8:$CZ$8,0),
  _xlpm.v, IFERROR(INDEX('3. Enter Indicator Scores'!$D$10:$CZ$161,_xlpm.r,_xlpm.c),""),
  IF(OR(_xlpm.w="",_xlpm.v=""),"",_xlpm.v*_xlpm.w)
)</f>
        <v/>
      </c>
      <c r="BP20" s="93" t="str" cm="1">
        <f t="array" ref="BP20">_xlfn.LET(
  _xlpm.w, BP$11,
  _xlpm.r, MATCH(1,('3. Enter Indicator Scores'!$B$10:$B$161=$B20)*('3. Enter Indicator Scores'!$C$10:$C$161=$C20),0),
  _xlpm.c, MATCH(BP$8,'3. Enter Indicator Scores'!$D$8:$CZ$8,0),
  _xlpm.v, IFERROR(INDEX('3. Enter Indicator Scores'!$D$10:$CZ$161,_xlpm.r,_xlpm.c),""),
  IF(OR(_xlpm.w="",_xlpm.v=""),"",_xlpm.v*_xlpm.w)
)</f>
        <v/>
      </c>
      <c r="BQ20" s="93" t="str" cm="1">
        <f t="array" ref="BQ20">_xlfn.LET(
  _xlpm.w, BQ$11,
  _xlpm.r, MATCH(1,('3. Enter Indicator Scores'!$B$10:$B$161=$B20)*('3. Enter Indicator Scores'!$C$10:$C$161=$C20),0),
  _xlpm.c, MATCH(BQ$8,'3. Enter Indicator Scores'!$D$8:$CZ$8,0),
  _xlpm.v, IFERROR(INDEX('3. Enter Indicator Scores'!$D$10:$CZ$161,_xlpm.r,_xlpm.c),""),
  IF(OR(_xlpm.w="",_xlpm.v=""),"",_xlpm.v*_xlpm.w)
)</f>
        <v/>
      </c>
      <c r="BR20" s="93" t="str" cm="1">
        <f t="array" ref="BR20">_xlfn.LET(
  _xlpm.w, BR$11,
  _xlpm.r, MATCH(1,('3. Enter Indicator Scores'!$B$10:$B$161=$B20)*('3. Enter Indicator Scores'!$C$10:$C$161=$C20),0),
  _xlpm.c, MATCH(BR$8,'3. Enter Indicator Scores'!$D$8:$CZ$8,0),
  _xlpm.v, IFERROR(INDEX('3. Enter Indicator Scores'!$D$10:$CZ$161,_xlpm.r,_xlpm.c),""),
  IF(OR(_xlpm.w="",_xlpm.v=""),"",_xlpm.v*_xlpm.w)
)</f>
        <v/>
      </c>
      <c r="BS20" s="93" t="str" cm="1">
        <f t="array" ref="BS20">_xlfn.LET(
  _xlpm.w, BS$11,
  _xlpm.r, MATCH(1,('3. Enter Indicator Scores'!$B$10:$B$161=$B20)*('3. Enter Indicator Scores'!$C$10:$C$161=$C20),0),
  _xlpm.c, MATCH(BS$8,'3. Enter Indicator Scores'!$D$8:$CZ$8,0),
  _xlpm.v, IFERROR(INDEX('3. Enter Indicator Scores'!$D$10:$CZ$161,_xlpm.r,_xlpm.c),""),
  IF(OR(_xlpm.w="",_xlpm.v=""),"",_xlpm.v*_xlpm.w)
)</f>
        <v/>
      </c>
      <c r="BT20" s="93" t="str" cm="1">
        <f t="array" ref="BT20">_xlfn.LET(
  _xlpm.w, BT$11,
  _xlpm.r, MATCH(1,('3. Enter Indicator Scores'!$B$10:$B$161=$B20)*('3. Enter Indicator Scores'!$C$10:$C$161=$C20),0),
  _xlpm.c, MATCH(BT$8,'3. Enter Indicator Scores'!$D$8:$CZ$8,0),
  _xlpm.v, IFERROR(INDEX('3. Enter Indicator Scores'!$D$10:$CZ$161,_xlpm.r,_xlpm.c),""),
  IF(OR(_xlpm.w="",_xlpm.v=""),"",_xlpm.v*_xlpm.w)
)</f>
        <v/>
      </c>
      <c r="BU20" s="93" t="str" cm="1">
        <f t="array" ref="BU20">_xlfn.LET(
  _xlpm.w, BU$11,
  _xlpm.r, MATCH(1,('3. Enter Indicator Scores'!$B$10:$B$161=$B20)*('3. Enter Indicator Scores'!$C$10:$C$161=$C20),0),
  _xlpm.c, MATCH(BU$8,'3. Enter Indicator Scores'!$D$8:$CZ$8,0),
  _xlpm.v, IFERROR(INDEX('3. Enter Indicator Scores'!$D$10:$CZ$161,_xlpm.r,_xlpm.c),""),
  IF(OR(_xlpm.w="",_xlpm.v=""),"",_xlpm.v*_xlpm.w)
)</f>
        <v/>
      </c>
      <c r="BV20" s="93" t="str" cm="1">
        <f t="array" ref="BV20">_xlfn.LET(
  _xlpm.w, BV$11,
  _xlpm.r, MATCH(1,('3. Enter Indicator Scores'!$B$10:$B$161=$B20)*('3. Enter Indicator Scores'!$C$10:$C$161=$C20),0),
  _xlpm.c, MATCH(BV$8,'3. Enter Indicator Scores'!$D$8:$CZ$8,0),
  _xlpm.v, IFERROR(INDEX('3. Enter Indicator Scores'!$D$10:$CZ$161,_xlpm.r,_xlpm.c),""),
  IF(OR(_xlpm.w="",_xlpm.v=""),"",_xlpm.v*_xlpm.w)
)</f>
        <v/>
      </c>
      <c r="BW20" s="93" t="str" cm="1">
        <f t="array" ref="BW20">_xlfn.LET(
  _xlpm.w, BW$11,
  _xlpm.r, MATCH(1,('3. Enter Indicator Scores'!$B$10:$B$161=$B20)*('3. Enter Indicator Scores'!$C$10:$C$161=$C20),0),
  _xlpm.c, MATCH(BW$8,'3. Enter Indicator Scores'!$D$8:$CZ$8,0),
  _xlpm.v, IFERROR(INDEX('3. Enter Indicator Scores'!$D$10:$CZ$161,_xlpm.r,_xlpm.c),""),
  IF(OR(_xlpm.w="",_xlpm.v=""),"",_xlpm.v*_xlpm.w)
)</f>
        <v/>
      </c>
      <c r="BX20" s="93" t="str" cm="1">
        <f t="array" ref="BX20">_xlfn.LET(
  _xlpm.w, BX$11,
  _xlpm.r, MATCH(1,('3. Enter Indicator Scores'!$B$10:$B$161=$B20)*('3. Enter Indicator Scores'!$C$10:$C$161=$C20),0),
  _xlpm.c, MATCH(BX$8,'3. Enter Indicator Scores'!$D$8:$CZ$8,0),
  _xlpm.v, IFERROR(INDEX('3. Enter Indicator Scores'!$D$10:$CZ$161,_xlpm.r,_xlpm.c),""),
  IF(OR(_xlpm.w="",_xlpm.v=""),"",_xlpm.v*_xlpm.w)
)</f>
        <v/>
      </c>
      <c r="BY20" s="93" t="str" cm="1">
        <f t="array" ref="BY20">_xlfn.LET(
  _xlpm.w, BY$11,
  _xlpm.r, MATCH(1,('3. Enter Indicator Scores'!$B$10:$B$161=$B20)*('3. Enter Indicator Scores'!$C$10:$C$161=$C20),0),
  _xlpm.c, MATCH(BY$8,'3. Enter Indicator Scores'!$D$8:$CZ$8,0),
  _xlpm.v, IFERROR(INDEX('3. Enter Indicator Scores'!$D$10:$CZ$161,_xlpm.r,_xlpm.c),""),
  IF(OR(_xlpm.w="",_xlpm.v=""),"",_xlpm.v*_xlpm.w)
)</f>
        <v/>
      </c>
      <c r="BZ20" s="93" t="str" cm="1">
        <f t="array" ref="BZ20">_xlfn.LET(
  _xlpm.w, BZ$11,
  _xlpm.r, MATCH(1,('3. Enter Indicator Scores'!$B$10:$B$161=$B20)*('3. Enter Indicator Scores'!$C$10:$C$161=$C20),0),
  _xlpm.c, MATCH(BZ$8,'3. Enter Indicator Scores'!$D$8:$CZ$8,0),
  _xlpm.v, IFERROR(INDEX('3. Enter Indicator Scores'!$D$10:$CZ$161,_xlpm.r,_xlpm.c),""),
  IF(OR(_xlpm.w="",_xlpm.v=""),"",_xlpm.v*_xlpm.w)
)</f>
        <v/>
      </c>
      <c r="CA20" s="93" t="str" cm="1">
        <f t="array" ref="CA20">_xlfn.LET(
  _xlpm.w, CA$11,
  _xlpm.r, MATCH(1,('3. Enter Indicator Scores'!$B$10:$B$161=$B20)*('3. Enter Indicator Scores'!$C$10:$C$161=$C20),0),
  _xlpm.c, MATCH(CA$8,'3. Enter Indicator Scores'!$D$8:$CZ$8,0),
  _xlpm.v, IFERROR(INDEX('3. Enter Indicator Scores'!$D$10:$CZ$161,_xlpm.r,_xlpm.c),""),
  IF(OR(_xlpm.w="",_xlpm.v=""),"",_xlpm.v*_xlpm.w)
)</f>
        <v/>
      </c>
      <c r="CB20" s="93" t="str" cm="1">
        <f t="array" ref="CB20">_xlfn.LET(
  _xlpm.w, CB$11,
  _xlpm.r, MATCH(1,('3. Enter Indicator Scores'!$B$10:$B$161=$B20)*('3. Enter Indicator Scores'!$C$10:$C$161=$C20),0),
  _xlpm.c, MATCH(CB$8,'3. Enter Indicator Scores'!$D$8:$CZ$8,0),
  _xlpm.v, IFERROR(INDEX('3. Enter Indicator Scores'!$D$10:$CZ$161,_xlpm.r,_xlpm.c),""),
  IF(OR(_xlpm.w="",_xlpm.v=""),"",_xlpm.v*_xlpm.w)
)</f>
        <v/>
      </c>
      <c r="CC20" s="93" t="str" cm="1">
        <f t="array" ref="CC20">_xlfn.LET(
  _xlpm.w, CC$11,
  _xlpm.r, MATCH(1,('3. Enter Indicator Scores'!$B$10:$B$161=$B20)*('3. Enter Indicator Scores'!$C$10:$C$161=$C20),0),
  _xlpm.c, MATCH(CC$8,'3. Enter Indicator Scores'!$D$8:$CZ$8,0),
  _xlpm.v, IFERROR(INDEX('3. Enter Indicator Scores'!$D$10:$CZ$161,_xlpm.r,_xlpm.c),""),
  IF(OR(_xlpm.w="",_xlpm.v=""),"",_xlpm.v*_xlpm.w)
)</f>
        <v/>
      </c>
      <c r="CD20" s="93" t="str" cm="1">
        <f t="array" ref="CD20">_xlfn.LET(
  _xlpm.w, CD$11,
  _xlpm.r, MATCH(1,('3. Enter Indicator Scores'!$B$10:$B$161=$B20)*('3. Enter Indicator Scores'!$C$10:$C$161=$C20),0),
  _xlpm.c, MATCH(CD$8,'3. Enter Indicator Scores'!$D$8:$CZ$8,0),
  _xlpm.v, IFERROR(INDEX('3. Enter Indicator Scores'!$D$10:$CZ$161,_xlpm.r,_xlpm.c),""),
  IF(OR(_xlpm.w="",_xlpm.v=""),"",_xlpm.v*_xlpm.w)
)</f>
        <v/>
      </c>
      <c r="CE20" s="93" t="str" cm="1">
        <f t="array" ref="CE20">_xlfn.LET(
  _xlpm.w, CE$11,
  _xlpm.r, MATCH(1,('3. Enter Indicator Scores'!$B$10:$B$161=$B20)*('3. Enter Indicator Scores'!$C$10:$C$161=$C20),0),
  _xlpm.c, MATCH(CE$8,'3. Enter Indicator Scores'!$D$8:$CZ$8,0),
  _xlpm.v, IFERROR(INDEX('3. Enter Indicator Scores'!$D$10:$CZ$161,_xlpm.r,_xlpm.c),""),
  IF(OR(_xlpm.w="",_xlpm.v=""),"",_xlpm.v*_xlpm.w)
)</f>
        <v/>
      </c>
      <c r="CF20" s="93" t="str" cm="1">
        <f t="array" ref="CF20">_xlfn.LET(
  _xlpm.w, CF$11,
  _xlpm.r, MATCH(1,('3. Enter Indicator Scores'!$B$10:$B$161=$B20)*('3. Enter Indicator Scores'!$C$10:$C$161=$C20),0),
  _xlpm.c, MATCH(CF$8,'3. Enter Indicator Scores'!$D$8:$CZ$8,0),
  _xlpm.v, IFERROR(INDEX('3. Enter Indicator Scores'!$D$10:$CZ$161,_xlpm.r,_xlpm.c),""),
  IF(OR(_xlpm.w="",_xlpm.v=""),"",_xlpm.v*_xlpm.w)
)</f>
        <v/>
      </c>
      <c r="CG20" s="93" t="str" cm="1">
        <f t="array" ref="CG20">_xlfn.LET(
  _xlpm.w, CG$11,
  _xlpm.r, MATCH(1,('3. Enter Indicator Scores'!$B$10:$B$161=$B20)*('3. Enter Indicator Scores'!$C$10:$C$161=$C20),0),
  _xlpm.c, MATCH(CG$8,'3. Enter Indicator Scores'!$D$8:$CZ$8,0),
  _xlpm.v, IFERROR(INDEX('3. Enter Indicator Scores'!$D$10:$CZ$161,_xlpm.r,_xlpm.c),""),
  IF(OR(_xlpm.w="",_xlpm.v=""),"",_xlpm.v*_xlpm.w)
)</f>
        <v/>
      </c>
      <c r="CH20" s="93" t="str" cm="1">
        <f t="array" ref="CH20">_xlfn.LET(
  _xlpm.w, CH$11,
  _xlpm.r, MATCH(1,('3. Enter Indicator Scores'!$B$10:$B$161=$B20)*('3. Enter Indicator Scores'!$C$10:$C$161=$C20),0),
  _xlpm.c, MATCH(CH$8,'3. Enter Indicator Scores'!$D$8:$CZ$8,0),
  _xlpm.v, IFERROR(INDEX('3. Enter Indicator Scores'!$D$10:$CZ$161,_xlpm.r,_xlpm.c),""),
  IF(OR(_xlpm.w="",_xlpm.v=""),"",_xlpm.v*_xlpm.w)
)</f>
        <v/>
      </c>
      <c r="CI20" s="93" t="str" cm="1">
        <f t="array" ref="CI20">_xlfn.LET(
  _xlpm.w, CI$11,
  _xlpm.r, MATCH(1,('3. Enter Indicator Scores'!$B$10:$B$161=$B20)*('3. Enter Indicator Scores'!$C$10:$C$161=$C20),0),
  _xlpm.c, MATCH(CI$8,'3. Enter Indicator Scores'!$D$8:$CZ$8,0),
  _xlpm.v, IFERROR(INDEX('3. Enter Indicator Scores'!$D$10:$CZ$161,_xlpm.r,_xlpm.c),""),
  IF(OR(_xlpm.w="",_xlpm.v=""),"",_xlpm.v*_xlpm.w)
)</f>
        <v/>
      </c>
      <c r="CJ20" s="93" t="str" cm="1">
        <f t="array" ref="CJ20">_xlfn.LET(
  _xlpm.w, CJ$11,
  _xlpm.r, MATCH(1,('3. Enter Indicator Scores'!$B$10:$B$161=$B20)*('3. Enter Indicator Scores'!$C$10:$C$161=$C20),0),
  _xlpm.c, MATCH(CJ$8,'3. Enter Indicator Scores'!$D$8:$CZ$8,0),
  _xlpm.v, IFERROR(INDEX('3. Enter Indicator Scores'!$D$10:$CZ$161,_xlpm.r,_xlpm.c),""),
  IF(OR(_xlpm.w="",_xlpm.v=""),"",_xlpm.v*_xlpm.w)
)</f>
        <v/>
      </c>
      <c r="CK20" s="93" t="str" cm="1">
        <f t="array" ref="CK20">_xlfn.LET(
  _xlpm.w, CK$11,
  _xlpm.r, MATCH(1,('3. Enter Indicator Scores'!$B$10:$B$161=$B20)*('3. Enter Indicator Scores'!$C$10:$C$161=$C20),0),
  _xlpm.c, MATCH(CK$8,'3. Enter Indicator Scores'!$D$8:$CZ$8,0),
  _xlpm.v, IFERROR(INDEX('3. Enter Indicator Scores'!$D$10:$CZ$161,_xlpm.r,_xlpm.c),""),
  IF(OR(_xlpm.w="",_xlpm.v=""),"",_xlpm.v*_xlpm.w)
)</f>
        <v/>
      </c>
      <c r="CL20" s="93" t="str" cm="1">
        <f t="array" ref="CL20">_xlfn.LET(
  _xlpm.w, CL$11,
  _xlpm.r, MATCH(1,('3. Enter Indicator Scores'!$B$10:$B$161=$B20)*('3. Enter Indicator Scores'!$C$10:$C$161=$C20),0),
  _xlpm.c, MATCH(CL$8,'3. Enter Indicator Scores'!$D$8:$CZ$8,0),
  _xlpm.v, IFERROR(INDEX('3. Enter Indicator Scores'!$D$10:$CZ$161,_xlpm.r,_xlpm.c),""),
  IF(OR(_xlpm.w="",_xlpm.v=""),"",_xlpm.v*_xlpm.w)
)</f>
        <v/>
      </c>
      <c r="CM20" s="93" t="str" cm="1">
        <f t="array" ref="CM20">_xlfn.LET(
  _xlpm.w, CM$11,
  _xlpm.r, MATCH(1,('3. Enter Indicator Scores'!$B$10:$B$161=$B20)*('3. Enter Indicator Scores'!$C$10:$C$161=$C20),0),
  _xlpm.c, MATCH(CM$8,'3. Enter Indicator Scores'!$D$8:$CZ$8,0),
  _xlpm.v, IFERROR(INDEX('3. Enter Indicator Scores'!$D$10:$CZ$161,_xlpm.r,_xlpm.c),""),
  IF(OR(_xlpm.w="",_xlpm.v=""),"",_xlpm.v*_xlpm.w)
)</f>
        <v/>
      </c>
      <c r="CN20" s="93" t="str" cm="1">
        <f t="array" ref="CN20">_xlfn.LET(
  _xlpm.w, CN$11,
  _xlpm.r, MATCH(1,('3. Enter Indicator Scores'!$B$10:$B$161=$B20)*('3. Enter Indicator Scores'!$C$10:$C$161=$C20),0),
  _xlpm.c, MATCH(CN$8,'3. Enter Indicator Scores'!$D$8:$CZ$8,0),
  _xlpm.v, IFERROR(INDEX('3. Enter Indicator Scores'!$D$10:$CZ$161,_xlpm.r,_xlpm.c),""),
  IF(OR(_xlpm.w="",_xlpm.v=""),"",_xlpm.v*_xlpm.w)
)</f>
        <v/>
      </c>
      <c r="CO20" s="93" t="str" cm="1">
        <f t="array" ref="CO20">_xlfn.LET(
  _xlpm.w, CO$11,
  _xlpm.r, MATCH(1,('3. Enter Indicator Scores'!$B$10:$B$161=$B20)*('3. Enter Indicator Scores'!$C$10:$C$161=$C20),0),
  _xlpm.c, MATCH(CO$8,'3. Enter Indicator Scores'!$D$8:$CZ$8,0),
  _xlpm.v, IFERROR(INDEX('3. Enter Indicator Scores'!$D$10:$CZ$161,_xlpm.r,_xlpm.c),""),
  IF(OR(_xlpm.w="",_xlpm.v=""),"",_xlpm.v*_xlpm.w)
)</f>
        <v/>
      </c>
      <c r="CP20" s="93" t="str" cm="1">
        <f t="array" ref="CP20">_xlfn.LET(
  _xlpm.w, CP$11,
  _xlpm.r, MATCH(1,('3. Enter Indicator Scores'!$B$10:$B$161=$B20)*('3. Enter Indicator Scores'!$C$10:$C$161=$C20),0),
  _xlpm.c, MATCH(CP$8,'3. Enter Indicator Scores'!$D$8:$CZ$8,0),
  _xlpm.v, IFERROR(INDEX('3. Enter Indicator Scores'!$D$10:$CZ$161,_xlpm.r,_xlpm.c),""),
  IF(OR(_xlpm.w="",_xlpm.v=""),"",_xlpm.v*_xlpm.w)
)</f>
        <v/>
      </c>
      <c r="CQ20" s="93" t="str" cm="1">
        <f t="array" ref="CQ20">_xlfn.LET(
  _xlpm.w, CQ$11,
  _xlpm.r, MATCH(1,('3. Enter Indicator Scores'!$B$10:$B$161=$B20)*('3. Enter Indicator Scores'!$C$10:$C$161=$C20),0),
  _xlpm.c, MATCH(CQ$8,'3. Enter Indicator Scores'!$D$8:$CZ$8,0),
  _xlpm.v, IFERROR(INDEX('3. Enter Indicator Scores'!$D$10:$CZ$161,_xlpm.r,_xlpm.c),""),
  IF(OR(_xlpm.w="",_xlpm.v=""),"",_xlpm.v*_xlpm.w)
)</f>
        <v/>
      </c>
      <c r="CR20" s="93" t="str" cm="1">
        <f t="array" ref="CR20">_xlfn.LET(
  _xlpm.w, CR$11,
  _xlpm.r, MATCH(1,('3. Enter Indicator Scores'!$B$10:$B$161=$B20)*('3. Enter Indicator Scores'!$C$10:$C$161=$C20),0),
  _xlpm.c, MATCH(CR$8,'3. Enter Indicator Scores'!$D$8:$CZ$8,0),
  _xlpm.v, IFERROR(INDEX('3. Enter Indicator Scores'!$D$10:$CZ$161,_xlpm.r,_xlpm.c),""),
  IF(OR(_xlpm.w="",_xlpm.v=""),"",_xlpm.v*_xlpm.w)
)</f>
        <v/>
      </c>
      <c r="CS20" s="93" t="str" cm="1">
        <f t="array" ref="CS20">_xlfn.LET(
  _xlpm.w, CS$11,
  _xlpm.r, MATCH(1,('3. Enter Indicator Scores'!$B$10:$B$161=$B20)*('3. Enter Indicator Scores'!$C$10:$C$161=$C20),0),
  _xlpm.c, MATCH(CS$8,'3. Enter Indicator Scores'!$D$8:$CZ$8,0),
  _xlpm.v, IFERROR(INDEX('3. Enter Indicator Scores'!$D$10:$CZ$161,_xlpm.r,_xlpm.c),""),
  IF(OR(_xlpm.w="",_xlpm.v=""),"",_xlpm.v*_xlpm.w)
)</f>
        <v/>
      </c>
      <c r="CT20" s="93" t="str" cm="1">
        <f t="array" ref="CT20">_xlfn.LET(
  _xlpm.w, CT$11,
  _xlpm.r, MATCH(1,('3. Enter Indicator Scores'!$B$10:$B$161=$B20)*('3. Enter Indicator Scores'!$C$10:$C$161=$C20),0),
  _xlpm.c, MATCH(CT$8,'3. Enter Indicator Scores'!$D$8:$CZ$8,0),
  _xlpm.v, IFERROR(INDEX('3. Enter Indicator Scores'!$D$10:$CZ$161,_xlpm.r,_xlpm.c),""),
  IF(OR(_xlpm.w="",_xlpm.v=""),"",_xlpm.v*_xlpm.w)
)</f>
        <v/>
      </c>
      <c r="CU20" s="93" t="str" cm="1">
        <f t="array" ref="CU20">_xlfn.LET(
  _xlpm.w, CU$11,
  _xlpm.r, MATCH(1,('3. Enter Indicator Scores'!$B$10:$B$161=$B20)*('3. Enter Indicator Scores'!$C$10:$C$161=$C20),0),
  _xlpm.c, MATCH(CU$8,'3. Enter Indicator Scores'!$D$8:$CZ$8,0),
  _xlpm.v, IFERROR(INDEX('3. Enter Indicator Scores'!$D$10:$CZ$161,_xlpm.r,_xlpm.c),""),
  IF(OR(_xlpm.w="",_xlpm.v=""),"",_xlpm.v*_xlpm.w)
)</f>
        <v/>
      </c>
      <c r="CV20" s="93" t="str" cm="1">
        <f t="array" ref="CV20">_xlfn.LET(
  _xlpm.w, CV$11,
  _xlpm.r, MATCH(1,('3. Enter Indicator Scores'!$B$10:$B$161=$B20)*('3. Enter Indicator Scores'!$C$10:$C$161=$C20),0),
  _xlpm.c, MATCH(CV$8,'3. Enter Indicator Scores'!$D$8:$CZ$8,0),
  _xlpm.v, IFERROR(INDEX('3. Enter Indicator Scores'!$D$10:$CZ$161,_xlpm.r,_xlpm.c),""),
  IF(OR(_xlpm.w="",_xlpm.v=""),"",_xlpm.v*_xlpm.w)
)</f>
        <v/>
      </c>
      <c r="CW20" s="93" t="str" cm="1">
        <f t="array" ref="CW20">_xlfn.LET(
  _xlpm.w, CW$11,
  _xlpm.r, MATCH(1,('3. Enter Indicator Scores'!$B$10:$B$161=$B20)*('3. Enter Indicator Scores'!$C$10:$C$161=$C20),0),
  _xlpm.c, MATCH(CW$8,'3. Enter Indicator Scores'!$D$8:$CZ$8,0),
  _xlpm.v, IFERROR(INDEX('3. Enter Indicator Scores'!$D$10:$CZ$161,_xlpm.r,_xlpm.c),""),
  IF(OR(_xlpm.w="",_xlpm.v=""),"",_xlpm.v*_xlpm.w)
)</f>
        <v/>
      </c>
      <c r="CX20" s="93" t="str" cm="1">
        <f t="array" ref="CX20">_xlfn.LET(
  _xlpm.w, CX$11,
  _xlpm.r, MATCH(1,('3. Enter Indicator Scores'!$B$10:$B$161=$B20)*('3. Enter Indicator Scores'!$C$10:$C$161=$C20),0),
  _xlpm.c, MATCH(CX$8,'3. Enter Indicator Scores'!$D$8:$CZ$8,0),
  _xlpm.v, IFERROR(INDEX('3. Enter Indicator Scores'!$D$10:$CZ$161,_xlpm.r,_xlpm.c),""),
  IF(OR(_xlpm.w="",_xlpm.v=""),"",_xlpm.v*_xlpm.w)
)</f>
        <v/>
      </c>
      <c r="CY20" s="93" t="str" cm="1">
        <f t="array" ref="CY20">_xlfn.LET(
  _xlpm.w, CY$11,
  _xlpm.r, MATCH(1,('3. Enter Indicator Scores'!$B$10:$B$161=$B20)*('3. Enter Indicator Scores'!$C$10:$C$161=$C20),0),
  _xlpm.c, MATCH(CY$8,'3. Enter Indicator Scores'!$D$8:$CZ$8,0),
  _xlpm.v, IFERROR(INDEX('3. Enter Indicator Scores'!$D$10:$CZ$161,_xlpm.r,_xlpm.c),""),
  IF(OR(_xlpm.w="",_xlpm.v=""),"",_xlpm.v*_xlpm.w)
)</f>
        <v/>
      </c>
      <c r="CZ20" s="93" t="str" cm="1">
        <f t="array" ref="CZ20">_xlfn.LET(
  _xlpm.w, CZ$11,
  _xlpm.r, MATCH(1,('3. Enter Indicator Scores'!$B$10:$B$161=$B20)*('3. Enter Indicator Scores'!$C$10:$C$161=$C20),0),
  _xlpm.c, MATCH(CZ$8,'3. Enter Indicator Scores'!$D$8:$CZ$8,0),
  _xlpm.v, IFERROR(INDEX('3. Enter Indicator Scores'!$D$10:$CZ$161,_xlpm.r,_xlpm.c),""),
  IF(OR(_xlpm.w="",_xlpm.v=""),"",_xlpm.v*_xlpm.w)
)</f>
        <v/>
      </c>
    </row>
    <row r="21" spans="1:104" x14ac:dyDescent="0.2">
      <c r="D21" s="93" t="str" cm="1">
        <f t="array" ref="D21">_xlfn.LET(
  _xlpm.w, D$11,
  _xlpm.r, MATCH(1,('3. Enter Indicator Scores'!$B$10:$B$161=$B21)*('3. Enter Indicator Scores'!$C$10:$C$161=$C21),0),
  _xlpm.c, MATCH(D$8,'3. Enter Indicator Scores'!$D$8:$CZ$8,0),
  _xlpm.v, IFERROR(INDEX('3. Enter Indicator Scores'!$D$10:$CZ$161,_xlpm.r,_xlpm.c),""),
  IF(OR(_xlpm.w="",_xlpm.v=""),"",_xlpm.v*_xlpm.w)
)</f>
        <v/>
      </c>
      <c r="E21" s="93" t="str" cm="1">
        <f t="array" ref="E21">_xlfn.LET(
  _xlpm.w, E$11,
  _xlpm.r, MATCH(1,('3. Enter Indicator Scores'!$B$10:$B$161=$B21)*('3. Enter Indicator Scores'!$C$10:$C$161=$C21),0),
  _xlpm.c, MATCH(E$8,'3. Enter Indicator Scores'!$D$8:$CZ$8,0),
  _xlpm.v, IFERROR(INDEX('3. Enter Indicator Scores'!$D$10:$CZ$161,_xlpm.r,_xlpm.c),""),
  IF(OR(_xlpm.w="",_xlpm.v=""),"",_xlpm.v*_xlpm.w)
)</f>
        <v/>
      </c>
      <c r="F21" s="93" t="str" cm="1">
        <f t="array" ref="F21">_xlfn.LET(
  _xlpm.w, F$11,
  _xlpm.r, MATCH(1,('3. Enter Indicator Scores'!$B$10:$B$161=$B21)*('3. Enter Indicator Scores'!$C$10:$C$161=$C21),0),
  _xlpm.c, MATCH(F$8,'3. Enter Indicator Scores'!$D$8:$CZ$8,0),
  _xlpm.v, IFERROR(INDEX('3. Enter Indicator Scores'!$D$10:$CZ$161,_xlpm.r,_xlpm.c),""),
  IF(OR(_xlpm.w="",_xlpm.v=""),"",_xlpm.v*_xlpm.w)
)</f>
        <v/>
      </c>
      <c r="G21" s="93" t="str" cm="1">
        <f t="array" ref="G21">_xlfn.LET(
  _xlpm.w, G$11,
  _xlpm.r, MATCH(1,('3. Enter Indicator Scores'!$B$10:$B$161=$B21)*('3. Enter Indicator Scores'!$C$10:$C$161=$C21),0),
  _xlpm.c, MATCH(G$8,'3. Enter Indicator Scores'!$D$8:$CZ$8,0),
  _xlpm.v, IFERROR(INDEX('3. Enter Indicator Scores'!$D$10:$CZ$161,_xlpm.r,_xlpm.c),""),
  IF(OR(_xlpm.w="",_xlpm.v=""),"",_xlpm.v*_xlpm.w)
)</f>
        <v/>
      </c>
      <c r="H21" s="93" t="str" cm="1">
        <f t="array" ref="H21">_xlfn.LET(
  _xlpm.w, H$11,
  _xlpm.r, MATCH(1,('3. Enter Indicator Scores'!$B$10:$B$161=$B21)*('3. Enter Indicator Scores'!$C$10:$C$161=$C21),0),
  _xlpm.c, MATCH(H$8,'3. Enter Indicator Scores'!$D$8:$CZ$8,0),
  _xlpm.v, IFERROR(INDEX('3. Enter Indicator Scores'!$D$10:$CZ$161,_xlpm.r,_xlpm.c),""),
  IF(OR(_xlpm.w="",_xlpm.v=""),"",_xlpm.v*_xlpm.w)
)</f>
        <v/>
      </c>
      <c r="I21" s="93" t="str" cm="1">
        <f t="array" ref="I21">_xlfn.LET(
  _xlpm.w, I$11,
  _xlpm.r, MATCH(1,('3. Enter Indicator Scores'!$B$10:$B$161=$B21)*('3. Enter Indicator Scores'!$C$10:$C$161=$C21),0),
  _xlpm.c, MATCH(I$8,'3. Enter Indicator Scores'!$D$8:$CZ$8,0),
  _xlpm.v, IFERROR(INDEX('3. Enter Indicator Scores'!$D$10:$CZ$161,_xlpm.r,_xlpm.c),""),
  IF(OR(_xlpm.w="",_xlpm.v=""),"",_xlpm.v*_xlpm.w)
)</f>
        <v/>
      </c>
      <c r="J21" s="93" t="str" cm="1">
        <f t="array" ref="J21">_xlfn.LET(
  _xlpm.w, J$11,
  _xlpm.r, MATCH(1,('3. Enter Indicator Scores'!$B$10:$B$161=$B21)*('3. Enter Indicator Scores'!$C$10:$C$161=$C21),0),
  _xlpm.c, MATCH(J$8,'3. Enter Indicator Scores'!$D$8:$CZ$8,0),
  _xlpm.v, IFERROR(INDEX('3. Enter Indicator Scores'!$D$10:$CZ$161,_xlpm.r,_xlpm.c),""),
  IF(OR(_xlpm.w="",_xlpm.v=""),"",_xlpm.v*_xlpm.w)
)</f>
        <v/>
      </c>
      <c r="K21" s="93" t="str" cm="1">
        <f t="array" ref="K21">_xlfn.LET(
  _xlpm.w, K$11,
  _xlpm.r, MATCH(1,('3. Enter Indicator Scores'!$B$10:$B$161=$B21)*('3. Enter Indicator Scores'!$C$10:$C$161=$C21),0),
  _xlpm.c, MATCH(K$8,'3. Enter Indicator Scores'!$D$8:$CZ$8,0),
  _xlpm.v, IFERROR(INDEX('3. Enter Indicator Scores'!$D$10:$CZ$161,_xlpm.r,_xlpm.c),""),
  IF(OR(_xlpm.w="",_xlpm.v=""),"",_xlpm.v*_xlpm.w)
)</f>
        <v/>
      </c>
      <c r="L21" s="93" t="str" cm="1">
        <f t="array" ref="L21">_xlfn.LET(
  _xlpm.w, L$11,
  _xlpm.r, MATCH(1,('3. Enter Indicator Scores'!$B$10:$B$161=$B21)*('3. Enter Indicator Scores'!$C$10:$C$161=$C21),0),
  _xlpm.c, MATCH(L$8,'3. Enter Indicator Scores'!$D$8:$CZ$8,0),
  _xlpm.v, IFERROR(INDEX('3. Enter Indicator Scores'!$D$10:$CZ$161,_xlpm.r,_xlpm.c),""),
  IF(OR(_xlpm.w="",_xlpm.v=""),"",_xlpm.v*_xlpm.w)
)</f>
        <v/>
      </c>
      <c r="M21" s="93" t="str" cm="1">
        <f t="array" ref="M21">_xlfn.LET(
  _xlpm.w, M$11,
  _xlpm.r, MATCH(1,('3. Enter Indicator Scores'!$B$10:$B$161=$B21)*('3. Enter Indicator Scores'!$C$10:$C$161=$C21),0),
  _xlpm.c, MATCH(M$8,'3. Enter Indicator Scores'!$D$8:$CZ$8,0),
  _xlpm.v, IFERROR(INDEX('3. Enter Indicator Scores'!$D$10:$CZ$161,_xlpm.r,_xlpm.c),""),
  IF(OR(_xlpm.w="",_xlpm.v=""),"",_xlpm.v*_xlpm.w)
)</f>
        <v/>
      </c>
      <c r="N21" s="93" t="str" cm="1">
        <f t="array" ref="N21">_xlfn.LET(
  _xlpm.w, N$11,
  _xlpm.r, MATCH(1,('3. Enter Indicator Scores'!$B$10:$B$161=$B21)*('3. Enter Indicator Scores'!$C$10:$C$161=$C21),0),
  _xlpm.c, MATCH(N$8,'3. Enter Indicator Scores'!$D$8:$CZ$8,0),
  _xlpm.v, IFERROR(INDEX('3. Enter Indicator Scores'!$D$10:$CZ$161,_xlpm.r,_xlpm.c),""),
  IF(OR(_xlpm.w="",_xlpm.v=""),"",_xlpm.v*_xlpm.w)
)</f>
        <v/>
      </c>
      <c r="O21" s="93" t="str" cm="1">
        <f t="array" ref="O21">_xlfn.LET(
  _xlpm.w, O$11,
  _xlpm.r, MATCH(1,('3. Enter Indicator Scores'!$B$10:$B$161=$B21)*('3. Enter Indicator Scores'!$C$10:$C$161=$C21),0),
  _xlpm.c, MATCH(O$8,'3. Enter Indicator Scores'!$D$8:$CZ$8,0),
  _xlpm.v, IFERROR(INDEX('3. Enter Indicator Scores'!$D$10:$CZ$161,_xlpm.r,_xlpm.c),""),
  IF(OR(_xlpm.w="",_xlpm.v=""),"",_xlpm.v*_xlpm.w)
)</f>
        <v/>
      </c>
      <c r="P21" s="93" t="str" cm="1">
        <f t="array" ref="P21">_xlfn.LET(
  _xlpm.w, P$11,
  _xlpm.r, MATCH(1,('3. Enter Indicator Scores'!$B$10:$B$161=$B21)*('3. Enter Indicator Scores'!$C$10:$C$161=$C21),0),
  _xlpm.c, MATCH(P$8,'3. Enter Indicator Scores'!$D$8:$CZ$8,0),
  _xlpm.v, IFERROR(INDEX('3. Enter Indicator Scores'!$D$10:$CZ$161,_xlpm.r,_xlpm.c),""),
  IF(OR(_xlpm.w="",_xlpm.v=""),"",_xlpm.v*_xlpm.w)
)</f>
        <v/>
      </c>
      <c r="Q21" s="93" t="str" cm="1">
        <f t="array" ref="Q21">_xlfn.LET(
  _xlpm.w, Q$11,
  _xlpm.r, MATCH(1,('3. Enter Indicator Scores'!$B$10:$B$161=$B21)*('3. Enter Indicator Scores'!$C$10:$C$161=$C21),0),
  _xlpm.c, MATCH(Q$8,'3. Enter Indicator Scores'!$D$8:$CZ$8,0),
  _xlpm.v, IFERROR(INDEX('3. Enter Indicator Scores'!$D$10:$CZ$161,_xlpm.r,_xlpm.c),""),
  IF(OR(_xlpm.w="",_xlpm.v=""),"",_xlpm.v*_xlpm.w)
)</f>
        <v/>
      </c>
      <c r="R21" s="93" t="str" cm="1">
        <f t="array" ref="R21">_xlfn.LET(
  _xlpm.w, R$11,
  _xlpm.r, MATCH(1,('3. Enter Indicator Scores'!$B$10:$B$161=$B21)*('3. Enter Indicator Scores'!$C$10:$C$161=$C21),0),
  _xlpm.c, MATCH(R$8,'3. Enter Indicator Scores'!$D$8:$CZ$8,0),
  _xlpm.v, IFERROR(INDEX('3. Enter Indicator Scores'!$D$10:$CZ$161,_xlpm.r,_xlpm.c),""),
  IF(OR(_xlpm.w="",_xlpm.v=""),"",_xlpm.v*_xlpm.w)
)</f>
        <v/>
      </c>
      <c r="S21" s="93" t="str" cm="1">
        <f t="array" ref="S21">_xlfn.LET(
  _xlpm.w, S$11,
  _xlpm.r, MATCH(1,('3. Enter Indicator Scores'!$B$10:$B$161=$B21)*('3. Enter Indicator Scores'!$C$10:$C$161=$C21),0),
  _xlpm.c, MATCH(S$8,'3. Enter Indicator Scores'!$D$8:$CZ$8,0),
  _xlpm.v, IFERROR(INDEX('3. Enter Indicator Scores'!$D$10:$CZ$161,_xlpm.r,_xlpm.c),""),
  IF(OR(_xlpm.w="",_xlpm.v=""),"",_xlpm.v*_xlpm.w)
)</f>
        <v/>
      </c>
      <c r="T21" s="93" t="str" cm="1">
        <f t="array" ref="T21">_xlfn.LET(
  _xlpm.w, T$11,
  _xlpm.r, MATCH(1,('3. Enter Indicator Scores'!$B$10:$B$161=$B21)*('3. Enter Indicator Scores'!$C$10:$C$161=$C21),0),
  _xlpm.c, MATCH(T$8,'3. Enter Indicator Scores'!$D$8:$CZ$8,0),
  _xlpm.v, IFERROR(INDEX('3. Enter Indicator Scores'!$D$10:$CZ$161,_xlpm.r,_xlpm.c),""),
  IF(OR(_xlpm.w="",_xlpm.v=""),"",_xlpm.v*_xlpm.w)
)</f>
        <v/>
      </c>
      <c r="U21" s="93" t="str" cm="1">
        <f t="array" ref="U21">_xlfn.LET(
  _xlpm.w, U$11,
  _xlpm.r, MATCH(1,('3. Enter Indicator Scores'!$B$10:$B$161=$B21)*('3. Enter Indicator Scores'!$C$10:$C$161=$C21),0),
  _xlpm.c, MATCH(U$8,'3. Enter Indicator Scores'!$D$8:$CZ$8,0),
  _xlpm.v, IFERROR(INDEX('3. Enter Indicator Scores'!$D$10:$CZ$161,_xlpm.r,_xlpm.c),""),
  IF(OR(_xlpm.w="",_xlpm.v=""),"",_xlpm.v*_xlpm.w)
)</f>
        <v/>
      </c>
      <c r="V21" s="93" t="str" cm="1">
        <f t="array" ref="V21">_xlfn.LET(
  _xlpm.w, V$11,
  _xlpm.r, MATCH(1,('3. Enter Indicator Scores'!$B$10:$B$161=$B21)*('3. Enter Indicator Scores'!$C$10:$C$161=$C21),0),
  _xlpm.c, MATCH(V$8,'3. Enter Indicator Scores'!$D$8:$CZ$8,0),
  _xlpm.v, IFERROR(INDEX('3. Enter Indicator Scores'!$D$10:$CZ$161,_xlpm.r,_xlpm.c),""),
  IF(OR(_xlpm.w="",_xlpm.v=""),"",_xlpm.v*_xlpm.w)
)</f>
        <v/>
      </c>
      <c r="W21" s="93" t="str" cm="1">
        <f t="array" ref="W21">_xlfn.LET(
  _xlpm.w, W$11,
  _xlpm.r, MATCH(1,('3. Enter Indicator Scores'!$B$10:$B$161=$B21)*('3. Enter Indicator Scores'!$C$10:$C$161=$C21),0),
  _xlpm.c, MATCH(W$8,'3. Enter Indicator Scores'!$D$8:$CZ$8,0),
  _xlpm.v, IFERROR(INDEX('3. Enter Indicator Scores'!$D$10:$CZ$161,_xlpm.r,_xlpm.c),""),
  IF(OR(_xlpm.w="",_xlpm.v=""),"",_xlpm.v*_xlpm.w)
)</f>
        <v/>
      </c>
      <c r="X21" s="93" t="str" cm="1">
        <f t="array" ref="X21">_xlfn.LET(
  _xlpm.w, X$11,
  _xlpm.r, MATCH(1,('3. Enter Indicator Scores'!$B$10:$B$161=$B21)*('3. Enter Indicator Scores'!$C$10:$C$161=$C21),0),
  _xlpm.c, MATCH(X$8,'3. Enter Indicator Scores'!$D$8:$CZ$8,0),
  _xlpm.v, IFERROR(INDEX('3. Enter Indicator Scores'!$D$10:$CZ$161,_xlpm.r,_xlpm.c),""),
  IF(OR(_xlpm.w="",_xlpm.v=""),"",_xlpm.v*_xlpm.w)
)</f>
        <v/>
      </c>
      <c r="Y21" s="93" t="str" cm="1">
        <f t="array" ref="Y21">_xlfn.LET(
  _xlpm.w, Y$11,
  _xlpm.r, MATCH(1,('3. Enter Indicator Scores'!$B$10:$B$161=$B21)*('3. Enter Indicator Scores'!$C$10:$C$161=$C21),0),
  _xlpm.c, MATCH(Y$8,'3. Enter Indicator Scores'!$D$8:$CZ$8,0),
  _xlpm.v, IFERROR(INDEX('3. Enter Indicator Scores'!$D$10:$CZ$161,_xlpm.r,_xlpm.c),""),
  IF(OR(_xlpm.w="",_xlpm.v=""),"",_xlpm.v*_xlpm.w)
)</f>
        <v/>
      </c>
      <c r="Z21" s="93" t="str" cm="1">
        <f t="array" ref="Z21">_xlfn.LET(
  _xlpm.w, Z$11,
  _xlpm.r, MATCH(1,('3. Enter Indicator Scores'!$B$10:$B$161=$B21)*('3. Enter Indicator Scores'!$C$10:$C$161=$C21),0),
  _xlpm.c, MATCH(Z$8,'3. Enter Indicator Scores'!$D$8:$CZ$8,0),
  _xlpm.v, IFERROR(INDEX('3. Enter Indicator Scores'!$D$10:$CZ$161,_xlpm.r,_xlpm.c),""),
  IF(OR(_xlpm.w="",_xlpm.v=""),"",_xlpm.v*_xlpm.w)
)</f>
        <v/>
      </c>
      <c r="AA21" s="93" t="str" cm="1">
        <f t="array" ref="AA21">_xlfn.LET(
  _xlpm.w, AA$11,
  _xlpm.r, MATCH(1,('3. Enter Indicator Scores'!$B$10:$B$161=$B21)*('3. Enter Indicator Scores'!$C$10:$C$161=$C21),0),
  _xlpm.c, MATCH(AA$8,'3. Enter Indicator Scores'!$D$8:$CZ$8,0),
  _xlpm.v, IFERROR(INDEX('3. Enter Indicator Scores'!$D$10:$CZ$161,_xlpm.r,_xlpm.c),""),
  IF(OR(_xlpm.w="",_xlpm.v=""),"",_xlpm.v*_xlpm.w)
)</f>
        <v/>
      </c>
      <c r="AB21" s="93" t="str" cm="1">
        <f t="array" ref="AB21">_xlfn.LET(
  _xlpm.w, AB$11,
  _xlpm.r, MATCH(1,('3. Enter Indicator Scores'!$B$10:$B$161=$B21)*('3. Enter Indicator Scores'!$C$10:$C$161=$C21),0),
  _xlpm.c, MATCH(AB$8,'3. Enter Indicator Scores'!$D$8:$CZ$8,0),
  _xlpm.v, IFERROR(INDEX('3. Enter Indicator Scores'!$D$10:$CZ$161,_xlpm.r,_xlpm.c),""),
  IF(OR(_xlpm.w="",_xlpm.v=""),"",_xlpm.v*_xlpm.w)
)</f>
        <v/>
      </c>
      <c r="AC21" s="93" t="str" cm="1">
        <f t="array" ref="AC21">_xlfn.LET(
  _xlpm.w, AC$11,
  _xlpm.r, MATCH(1,('3. Enter Indicator Scores'!$B$10:$B$161=$B21)*('3. Enter Indicator Scores'!$C$10:$C$161=$C21),0),
  _xlpm.c, MATCH(AC$8,'3. Enter Indicator Scores'!$D$8:$CZ$8,0),
  _xlpm.v, IFERROR(INDEX('3. Enter Indicator Scores'!$D$10:$CZ$161,_xlpm.r,_xlpm.c),""),
  IF(OR(_xlpm.w="",_xlpm.v=""),"",_xlpm.v*_xlpm.w)
)</f>
        <v/>
      </c>
      <c r="AD21" s="93" t="str" cm="1">
        <f t="array" ref="AD21">_xlfn.LET(
  _xlpm.w, AD$11,
  _xlpm.r, MATCH(1,('3. Enter Indicator Scores'!$B$10:$B$161=$B21)*('3. Enter Indicator Scores'!$C$10:$C$161=$C21),0),
  _xlpm.c, MATCH(AD$8,'3. Enter Indicator Scores'!$D$8:$CZ$8,0),
  _xlpm.v, IFERROR(INDEX('3. Enter Indicator Scores'!$D$10:$CZ$161,_xlpm.r,_xlpm.c),""),
  IF(OR(_xlpm.w="",_xlpm.v=""),"",_xlpm.v*_xlpm.w)
)</f>
        <v/>
      </c>
      <c r="AE21" s="93" t="str" cm="1">
        <f t="array" ref="AE21">_xlfn.LET(
  _xlpm.w, AE$11,
  _xlpm.r, MATCH(1,('3. Enter Indicator Scores'!$B$10:$B$161=$B21)*('3. Enter Indicator Scores'!$C$10:$C$161=$C21),0),
  _xlpm.c, MATCH(AE$8,'3. Enter Indicator Scores'!$D$8:$CZ$8,0),
  _xlpm.v, IFERROR(INDEX('3. Enter Indicator Scores'!$D$10:$CZ$161,_xlpm.r,_xlpm.c),""),
  IF(OR(_xlpm.w="",_xlpm.v=""),"",_xlpm.v*_xlpm.w)
)</f>
        <v/>
      </c>
      <c r="AF21" s="93" t="str" cm="1">
        <f t="array" ref="AF21">_xlfn.LET(
  _xlpm.w, AF$11,
  _xlpm.r, MATCH(1,('3. Enter Indicator Scores'!$B$10:$B$161=$B21)*('3. Enter Indicator Scores'!$C$10:$C$161=$C21),0),
  _xlpm.c, MATCH(AF$8,'3. Enter Indicator Scores'!$D$8:$CZ$8,0),
  _xlpm.v, IFERROR(INDEX('3. Enter Indicator Scores'!$D$10:$CZ$161,_xlpm.r,_xlpm.c),""),
  IF(OR(_xlpm.w="",_xlpm.v=""),"",_xlpm.v*_xlpm.w)
)</f>
        <v/>
      </c>
      <c r="AG21" s="93" t="str" cm="1">
        <f t="array" ref="AG21">_xlfn.LET(
  _xlpm.w, AG$11,
  _xlpm.r, MATCH(1,('3. Enter Indicator Scores'!$B$10:$B$161=$B21)*('3. Enter Indicator Scores'!$C$10:$C$161=$C21),0),
  _xlpm.c, MATCH(AG$8,'3. Enter Indicator Scores'!$D$8:$CZ$8,0),
  _xlpm.v, IFERROR(INDEX('3. Enter Indicator Scores'!$D$10:$CZ$161,_xlpm.r,_xlpm.c),""),
  IF(OR(_xlpm.w="",_xlpm.v=""),"",_xlpm.v*_xlpm.w)
)</f>
        <v/>
      </c>
      <c r="AH21" s="93" t="str" cm="1">
        <f t="array" ref="AH21">_xlfn.LET(
  _xlpm.w, AH$11,
  _xlpm.r, MATCH(1,('3. Enter Indicator Scores'!$B$10:$B$161=$B21)*('3. Enter Indicator Scores'!$C$10:$C$161=$C21),0),
  _xlpm.c, MATCH(AH$8,'3. Enter Indicator Scores'!$D$8:$CZ$8,0),
  _xlpm.v, IFERROR(INDEX('3. Enter Indicator Scores'!$D$10:$CZ$161,_xlpm.r,_xlpm.c),""),
  IF(OR(_xlpm.w="",_xlpm.v=""),"",_xlpm.v*_xlpm.w)
)</f>
        <v/>
      </c>
      <c r="AI21" s="93" t="str" cm="1">
        <f t="array" ref="AI21">_xlfn.LET(
  _xlpm.w, AI$11,
  _xlpm.r, MATCH(1,('3. Enter Indicator Scores'!$B$10:$B$161=$B21)*('3. Enter Indicator Scores'!$C$10:$C$161=$C21),0),
  _xlpm.c, MATCH(AI$8,'3. Enter Indicator Scores'!$D$8:$CZ$8,0),
  _xlpm.v, IFERROR(INDEX('3. Enter Indicator Scores'!$D$10:$CZ$161,_xlpm.r,_xlpm.c),""),
  IF(OR(_xlpm.w="",_xlpm.v=""),"",_xlpm.v*_xlpm.w)
)</f>
        <v/>
      </c>
      <c r="AJ21" s="93" t="str" cm="1">
        <f t="array" ref="AJ21">_xlfn.LET(
  _xlpm.w, AJ$11,
  _xlpm.r, MATCH(1,('3. Enter Indicator Scores'!$B$10:$B$161=$B21)*('3. Enter Indicator Scores'!$C$10:$C$161=$C21),0),
  _xlpm.c, MATCH(AJ$8,'3. Enter Indicator Scores'!$D$8:$CZ$8,0),
  _xlpm.v, IFERROR(INDEX('3. Enter Indicator Scores'!$D$10:$CZ$161,_xlpm.r,_xlpm.c),""),
  IF(OR(_xlpm.w="",_xlpm.v=""),"",_xlpm.v*_xlpm.w)
)</f>
        <v/>
      </c>
      <c r="AK21" s="93" t="str" cm="1">
        <f t="array" ref="AK21">_xlfn.LET(
  _xlpm.w, AK$11,
  _xlpm.r, MATCH(1,('3. Enter Indicator Scores'!$B$10:$B$161=$B21)*('3. Enter Indicator Scores'!$C$10:$C$161=$C21),0),
  _xlpm.c, MATCH(AK$8,'3. Enter Indicator Scores'!$D$8:$CZ$8,0),
  _xlpm.v, IFERROR(INDEX('3. Enter Indicator Scores'!$D$10:$CZ$161,_xlpm.r,_xlpm.c),""),
  IF(OR(_xlpm.w="",_xlpm.v=""),"",_xlpm.v*_xlpm.w)
)</f>
        <v/>
      </c>
      <c r="AL21" s="93" t="str" cm="1">
        <f t="array" ref="AL21">_xlfn.LET(
  _xlpm.w, AL$11,
  _xlpm.r, MATCH(1,('3. Enter Indicator Scores'!$B$10:$B$161=$B21)*('3. Enter Indicator Scores'!$C$10:$C$161=$C21),0),
  _xlpm.c, MATCH(AL$8,'3. Enter Indicator Scores'!$D$8:$CZ$8,0),
  _xlpm.v, IFERROR(INDEX('3. Enter Indicator Scores'!$D$10:$CZ$161,_xlpm.r,_xlpm.c),""),
  IF(OR(_xlpm.w="",_xlpm.v=""),"",_xlpm.v*_xlpm.w)
)</f>
        <v/>
      </c>
      <c r="AM21" s="93" t="str" cm="1">
        <f t="array" ref="AM21">_xlfn.LET(
  _xlpm.w, AM$11,
  _xlpm.r, MATCH(1,('3. Enter Indicator Scores'!$B$10:$B$161=$B21)*('3. Enter Indicator Scores'!$C$10:$C$161=$C21),0),
  _xlpm.c, MATCH(AM$8,'3. Enter Indicator Scores'!$D$8:$CZ$8,0),
  _xlpm.v, IFERROR(INDEX('3. Enter Indicator Scores'!$D$10:$CZ$161,_xlpm.r,_xlpm.c),""),
  IF(OR(_xlpm.w="",_xlpm.v=""),"",_xlpm.v*_xlpm.w)
)</f>
        <v/>
      </c>
      <c r="AN21" s="93" t="str" cm="1">
        <f t="array" ref="AN21">_xlfn.LET(
  _xlpm.w, AN$11,
  _xlpm.r, MATCH(1,('3. Enter Indicator Scores'!$B$10:$B$161=$B21)*('3. Enter Indicator Scores'!$C$10:$C$161=$C21),0),
  _xlpm.c, MATCH(AN$8,'3. Enter Indicator Scores'!$D$8:$CZ$8,0),
  _xlpm.v, IFERROR(INDEX('3. Enter Indicator Scores'!$D$10:$CZ$161,_xlpm.r,_xlpm.c),""),
  IF(OR(_xlpm.w="",_xlpm.v=""),"",_xlpm.v*_xlpm.w)
)</f>
        <v/>
      </c>
      <c r="AO21" s="93" t="str" cm="1">
        <f t="array" ref="AO21">_xlfn.LET(
  _xlpm.w, AO$11,
  _xlpm.r, MATCH(1,('3. Enter Indicator Scores'!$B$10:$B$161=$B21)*('3. Enter Indicator Scores'!$C$10:$C$161=$C21),0),
  _xlpm.c, MATCH(AO$8,'3. Enter Indicator Scores'!$D$8:$CZ$8,0),
  _xlpm.v, IFERROR(INDEX('3. Enter Indicator Scores'!$D$10:$CZ$161,_xlpm.r,_xlpm.c),""),
  IF(OR(_xlpm.w="",_xlpm.v=""),"",_xlpm.v*_xlpm.w)
)</f>
        <v/>
      </c>
      <c r="AP21" s="93" t="str" cm="1">
        <f t="array" ref="AP21">_xlfn.LET(
  _xlpm.w, AP$11,
  _xlpm.r, MATCH(1,('3. Enter Indicator Scores'!$B$10:$B$161=$B21)*('3. Enter Indicator Scores'!$C$10:$C$161=$C21),0),
  _xlpm.c, MATCH(AP$8,'3. Enter Indicator Scores'!$D$8:$CZ$8,0),
  _xlpm.v, IFERROR(INDEX('3. Enter Indicator Scores'!$D$10:$CZ$161,_xlpm.r,_xlpm.c),""),
  IF(OR(_xlpm.w="",_xlpm.v=""),"",_xlpm.v*_xlpm.w)
)</f>
        <v/>
      </c>
      <c r="AQ21" s="93" t="str" cm="1">
        <f t="array" ref="AQ21">_xlfn.LET(
  _xlpm.w, AQ$11,
  _xlpm.r, MATCH(1,('3. Enter Indicator Scores'!$B$10:$B$161=$B21)*('3. Enter Indicator Scores'!$C$10:$C$161=$C21),0),
  _xlpm.c, MATCH(AQ$8,'3. Enter Indicator Scores'!$D$8:$CZ$8,0),
  _xlpm.v, IFERROR(INDEX('3. Enter Indicator Scores'!$D$10:$CZ$161,_xlpm.r,_xlpm.c),""),
  IF(OR(_xlpm.w="",_xlpm.v=""),"",_xlpm.v*_xlpm.w)
)</f>
        <v/>
      </c>
      <c r="AR21" s="93" t="str" cm="1">
        <f t="array" ref="AR21">_xlfn.LET(
  _xlpm.w, AR$11,
  _xlpm.r, MATCH(1,('3. Enter Indicator Scores'!$B$10:$B$161=$B21)*('3. Enter Indicator Scores'!$C$10:$C$161=$C21),0),
  _xlpm.c, MATCH(AR$8,'3. Enter Indicator Scores'!$D$8:$CZ$8,0),
  _xlpm.v, IFERROR(INDEX('3. Enter Indicator Scores'!$D$10:$CZ$161,_xlpm.r,_xlpm.c),""),
  IF(OR(_xlpm.w="",_xlpm.v=""),"",_xlpm.v*_xlpm.w)
)</f>
        <v/>
      </c>
      <c r="AS21" s="93" t="str" cm="1">
        <f t="array" ref="AS21">_xlfn.LET(
  _xlpm.w, AS$11,
  _xlpm.r, MATCH(1,('3. Enter Indicator Scores'!$B$10:$B$161=$B21)*('3. Enter Indicator Scores'!$C$10:$C$161=$C21),0),
  _xlpm.c, MATCH(AS$8,'3. Enter Indicator Scores'!$D$8:$CZ$8,0),
  _xlpm.v, IFERROR(INDEX('3. Enter Indicator Scores'!$D$10:$CZ$161,_xlpm.r,_xlpm.c),""),
  IF(OR(_xlpm.w="",_xlpm.v=""),"",_xlpm.v*_xlpm.w)
)</f>
        <v/>
      </c>
      <c r="AT21" s="93" t="str" cm="1">
        <f t="array" ref="AT21">_xlfn.LET(
  _xlpm.w, AT$11,
  _xlpm.r, MATCH(1,('3. Enter Indicator Scores'!$B$10:$B$161=$B21)*('3. Enter Indicator Scores'!$C$10:$C$161=$C21),0),
  _xlpm.c, MATCH(AT$8,'3. Enter Indicator Scores'!$D$8:$CZ$8,0),
  _xlpm.v, IFERROR(INDEX('3. Enter Indicator Scores'!$D$10:$CZ$161,_xlpm.r,_xlpm.c),""),
  IF(OR(_xlpm.w="",_xlpm.v=""),"",_xlpm.v*_xlpm.w)
)</f>
        <v/>
      </c>
      <c r="AU21" s="93" t="str" cm="1">
        <f t="array" ref="AU21">_xlfn.LET(
  _xlpm.w, AU$11,
  _xlpm.r, MATCH(1,('3. Enter Indicator Scores'!$B$10:$B$161=$B21)*('3. Enter Indicator Scores'!$C$10:$C$161=$C21),0),
  _xlpm.c, MATCH(AU$8,'3. Enter Indicator Scores'!$D$8:$CZ$8,0),
  _xlpm.v, IFERROR(INDEX('3. Enter Indicator Scores'!$D$10:$CZ$161,_xlpm.r,_xlpm.c),""),
  IF(OR(_xlpm.w="",_xlpm.v=""),"",_xlpm.v*_xlpm.w)
)</f>
        <v/>
      </c>
      <c r="AV21" s="93" t="str" cm="1">
        <f t="array" ref="AV21">_xlfn.LET(
  _xlpm.w, AV$11,
  _xlpm.r, MATCH(1,('3. Enter Indicator Scores'!$B$10:$B$161=$B21)*('3. Enter Indicator Scores'!$C$10:$C$161=$C21),0),
  _xlpm.c, MATCH(AV$8,'3. Enter Indicator Scores'!$D$8:$CZ$8,0),
  _xlpm.v, IFERROR(INDEX('3. Enter Indicator Scores'!$D$10:$CZ$161,_xlpm.r,_xlpm.c),""),
  IF(OR(_xlpm.w="",_xlpm.v=""),"",_xlpm.v*_xlpm.w)
)</f>
        <v/>
      </c>
      <c r="AW21" s="93" t="str" cm="1">
        <f t="array" ref="AW21">_xlfn.LET(
  _xlpm.w, AW$11,
  _xlpm.r, MATCH(1,('3. Enter Indicator Scores'!$B$10:$B$161=$B21)*('3. Enter Indicator Scores'!$C$10:$C$161=$C21),0),
  _xlpm.c, MATCH(AW$8,'3. Enter Indicator Scores'!$D$8:$CZ$8,0),
  _xlpm.v, IFERROR(INDEX('3. Enter Indicator Scores'!$D$10:$CZ$161,_xlpm.r,_xlpm.c),""),
  IF(OR(_xlpm.w="",_xlpm.v=""),"",_xlpm.v*_xlpm.w)
)</f>
        <v/>
      </c>
      <c r="AX21" s="93" t="str" cm="1">
        <f t="array" ref="AX21">_xlfn.LET(
  _xlpm.w, AX$11,
  _xlpm.r, MATCH(1,('3. Enter Indicator Scores'!$B$10:$B$161=$B21)*('3. Enter Indicator Scores'!$C$10:$C$161=$C21),0),
  _xlpm.c, MATCH(AX$8,'3. Enter Indicator Scores'!$D$8:$CZ$8,0),
  _xlpm.v, IFERROR(INDEX('3. Enter Indicator Scores'!$D$10:$CZ$161,_xlpm.r,_xlpm.c),""),
  IF(OR(_xlpm.w="",_xlpm.v=""),"",_xlpm.v*_xlpm.w)
)</f>
        <v/>
      </c>
      <c r="AY21" s="93" t="str" cm="1">
        <f t="array" ref="AY21">_xlfn.LET(
  _xlpm.w, AY$11,
  _xlpm.r, MATCH(1,('3. Enter Indicator Scores'!$B$10:$B$161=$B21)*('3. Enter Indicator Scores'!$C$10:$C$161=$C21),0),
  _xlpm.c, MATCH(AY$8,'3. Enter Indicator Scores'!$D$8:$CZ$8,0),
  _xlpm.v, IFERROR(INDEX('3. Enter Indicator Scores'!$D$10:$CZ$161,_xlpm.r,_xlpm.c),""),
  IF(OR(_xlpm.w="",_xlpm.v=""),"",_xlpm.v*_xlpm.w)
)</f>
        <v/>
      </c>
      <c r="AZ21" s="93" t="str" cm="1">
        <f t="array" ref="AZ21">_xlfn.LET(
  _xlpm.w, AZ$11,
  _xlpm.r, MATCH(1,('3. Enter Indicator Scores'!$B$10:$B$161=$B21)*('3. Enter Indicator Scores'!$C$10:$C$161=$C21),0),
  _xlpm.c, MATCH(AZ$8,'3. Enter Indicator Scores'!$D$8:$CZ$8,0),
  _xlpm.v, IFERROR(INDEX('3. Enter Indicator Scores'!$D$10:$CZ$161,_xlpm.r,_xlpm.c),""),
  IF(OR(_xlpm.w="",_xlpm.v=""),"",_xlpm.v*_xlpm.w)
)</f>
        <v/>
      </c>
      <c r="BA21" s="93" t="str" cm="1">
        <f t="array" ref="BA21">_xlfn.LET(
  _xlpm.w, BA$11,
  _xlpm.r, MATCH(1,('3. Enter Indicator Scores'!$B$10:$B$161=$B21)*('3. Enter Indicator Scores'!$C$10:$C$161=$C21),0),
  _xlpm.c, MATCH(BA$8,'3. Enter Indicator Scores'!$D$8:$CZ$8,0),
  _xlpm.v, IFERROR(INDEX('3. Enter Indicator Scores'!$D$10:$CZ$161,_xlpm.r,_xlpm.c),""),
  IF(OR(_xlpm.w="",_xlpm.v=""),"",_xlpm.v*_xlpm.w)
)</f>
        <v/>
      </c>
      <c r="BB21" s="93" t="str" cm="1">
        <f t="array" ref="BB21">_xlfn.LET(
  _xlpm.w, BB$11,
  _xlpm.r, MATCH(1,('3. Enter Indicator Scores'!$B$10:$B$161=$B21)*('3. Enter Indicator Scores'!$C$10:$C$161=$C21),0),
  _xlpm.c, MATCH(BB$8,'3. Enter Indicator Scores'!$D$8:$CZ$8,0),
  _xlpm.v, IFERROR(INDEX('3. Enter Indicator Scores'!$D$10:$CZ$161,_xlpm.r,_xlpm.c),""),
  IF(OR(_xlpm.w="",_xlpm.v=""),"",_xlpm.v*_xlpm.w)
)</f>
        <v/>
      </c>
      <c r="BC21" s="93" t="str" cm="1">
        <f t="array" ref="BC21">_xlfn.LET(
  _xlpm.w, BC$11,
  _xlpm.r, MATCH(1,('3. Enter Indicator Scores'!$B$10:$B$161=$B21)*('3. Enter Indicator Scores'!$C$10:$C$161=$C21),0),
  _xlpm.c, MATCH(BC$8,'3. Enter Indicator Scores'!$D$8:$CZ$8,0),
  _xlpm.v, IFERROR(INDEX('3. Enter Indicator Scores'!$D$10:$CZ$161,_xlpm.r,_xlpm.c),""),
  IF(OR(_xlpm.w="",_xlpm.v=""),"",_xlpm.v*_xlpm.w)
)</f>
        <v/>
      </c>
      <c r="BD21" s="93" t="str" cm="1">
        <f t="array" ref="BD21">_xlfn.LET(
  _xlpm.w, BD$11,
  _xlpm.r, MATCH(1,('3. Enter Indicator Scores'!$B$10:$B$161=$B21)*('3. Enter Indicator Scores'!$C$10:$C$161=$C21),0),
  _xlpm.c, MATCH(BD$8,'3. Enter Indicator Scores'!$D$8:$CZ$8,0),
  _xlpm.v, IFERROR(INDEX('3. Enter Indicator Scores'!$D$10:$CZ$161,_xlpm.r,_xlpm.c),""),
  IF(OR(_xlpm.w="",_xlpm.v=""),"",_xlpm.v*_xlpm.w)
)</f>
        <v/>
      </c>
      <c r="BE21" s="93" t="str" cm="1">
        <f t="array" ref="BE21">_xlfn.LET(
  _xlpm.w, BE$11,
  _xlpm.r, MATCH(1,('3. Enter Indicator Scores'!$B$10:$B$161=$B21)*('3. Enter Indicator Scores'!$C$10:$C$161=$C21),0),
  _xlpm.c, MATCH(BE$8,'3. Enter Indicator Scores'!$D$8:$CZ$8,0),
  _xlpm.v, IFERROR(INDEX('3. Enter Indicator Scores'!$D$10:$CZ$161,_xlpm.r,_xlpm.c),""),
  IF(OR(_xlpm.w="",_xlpm.v=""),"",_xlpm.v*_xlpm.w)
)</f>
        <v/>
      </c>
      <c r="BF21" s="93" t="str" cm="1">
        <f t="array" ref="BF21">_xlfn.LET(
  _xlpm.w, BF$11,
  _xlpm.r, MATCH(1,('3. Enter Indicator Scores'!$B$10:$B$161=$B21)*('3. Enter Indicator Scores'!$C$10:$C$161=$C21),0),
  _xlpm.c, MATCH(BF$8,'3. Enter Indicator Scores'!$D$8:$CZ$8,0),
  _xlpm.v, IFERROR(INDEX('3. Enter Indicator Scores'!$D$10:$CZ$161,_xlpm.r,_xlpm.c),""),
  IF(OR(_xlpm.w="",_xlpm.v=""),"",_xlpm.v*_xlpm.w)
)</f>
        <v/>
      </c>
      <c r="BG21" s="93" t="str" cm="1">
        <f t="array" ref="BG21">_xlfn.LET(
  _xlpm.w, BG$11,
  _xlpm.r, MATCH(1,('3. Enter Indicator Scores'!$B$10:$B$161=$B21)*('3. Enter Indicator Scores'!$C$10:$C$161=$C21),0),
  _xlpm.c, MATCH(BG$8,'3. Enter Indicator Scores'!$D$8:$CZ$8,0),
  _xlpm.v, IFERROR(INDEX('3. Enter Indicator Scores'!$D$10:$CZ$161,_xlpm.r,_xlpm.c),""),
  IF(OR(_xlpm.w="",_xlpm.v=""),"",_xlpm.v*_xlpm.w)
)</f>
        <v/>
      </c>
      <c r="BH21" s="93" t="str" cm="1">
        <f t="array" ref="BH21">_xlfn.LET(
  _xlpm.w, BH$11,
  _xlpm.r, MATCH(1,('3. Enter Indicator Scores'!$B$10:$B$161=$B21)*('3. Enter Indicator Scores'!$C$10:$C$161=$C21),0),
  _xlpm.c, MATCH(BH$8,'3. Enter Indicator Scores'!$D$8:$CZ$8,0),
  _xlpm.v, IFERROR(INDEX('3. Enter Indicator Scores'!$D$10:$CZ$161,_xlpm.r,_xlpm.c),""),
  IF(OR(_xlpm.w="",_xlpm.v=""),"",_xlpm.v*_xlpm.w)
)</f>
        <v/>
      </c>
      <c r="BI21" s="93" t="str" cm="1">
        <f t="array" ref="BI21">_xlfn.LET(
  _xlpm.w, BI$11,
  _xlpm.r, MATCH(1,('3. Enter Indicator Scores'!$B$10:$B$161=$B21)*('3. Enter Indicator Scores'!$C$10:$C$161=$C21),0),
  _xlpm.c, MATCH(BI$8,'3. Enter Indicator Scores'!$D$8:$CZ$8,0),
  _xlpm.v, IFERROR(INDEX('3. Enter Indicator Scores'!$D$10:$CZ$161,_xlpm.r,_xlpm.c),""),
  IF(OR(_xlpm.w="",_xlpm.v=""),"",_xlpm.v*_xlpm.w)
)</f>
        <v/>
      </c>
      <c r="BJ21" s="93" t="str" cm="1">
        <f t="array" ref="BJ21">_xlfn.LET(
  _xlpm.w, BJ$11,
  _xlpm.r, MATCH(1,('3. Enter Indicator Scores'!$B$10:$B$161=$B21)*('3. Enter Indicator Scores'!$C$10:$C$161=$C21),0),
  _xlpm.c, MATCH(BJ$8,'3. Enter Indicator Scores'!$D$8:$CZ$8,0),
  _xlpm.v, IFERROR(INDEX('3. Enter Indicator Scores'!$D$10:$CZ$161,_xlpm.r,_xlpm.c),""),
  IF(OR(_xlpm.w="",_xlpm.v=""),"",_xlpm.v*_xlpm.w)
)</f>
        <v/>
      </c>
      <c r="BK21" s="93" t="str" cm="1">
        <f t="array" ref="BK21">_xlfn.LET(
  _xlpm.w, BK$11,
  _xlpm.r, MATCH(1,('3. Enter Indicator Scores'!$B$10:$B$161=$B21)*('3. Enter Indicator Scores'!$C$10:$C$161=$C21),0),
  _xlpm.c, MATCH(BK$8,'3. Enter Indicator Scores'!$D$8:$CZ$8,0),
  _xlpm.v, IFERROR(INDEX('3. Enter Indicator Scores'!$D$10:$CZ$161,_xlpm.r,_xlpm.c),""),
  IF(OR(_xlpm.w="",_xlpm.v=""),"",_xlpm.v*_xlpm.w)
)</f>
        <v/>
      </c>
      <c r="BL21" s="93" t="str" cm="1">
        <f t="array" ref="BL21">_xlfn.LET(
  _xlpm.w, BL$11,
  _xlpm.r, MATCH(1,('3. Enter Indicator Scores'!$B$10:$B$161=$B21)*('3. Enter Indicator Scores'!$C$10:$C$161=$C21),0),
  _xlpm.c, MATCH(BL$8,'3. Enter Indicator Scores'!$D$8:$CZ$8,0),
  _xlpm.v, IFERROR(INDEX('3. Enter Indicator Scores'!$D$10:$CZ$161,_xlpm.r,_xlpm.c),""),
  IF(OR(_xlpm.w="",_xlpm.v=""),"",_xlpm.v*_xlpm.w)
)</f>
        <v/>
      </c>
      <c r="BM21" s="93" t="str" cm="1">
        <f t="array" ref="BM21">_xlfn.LET(
  _xlpm.w, BM$11,
  _xlpm.r, MATCH(1,('3. Enter Indicator Scores'!$B$10:$B$161=$B21)*('3. Enter Indicator Scores'!$C$10:$C$161=$C21),0),
  _xlpm.c, MATCH(BM$8,'3. Enter Indicator Scores'!$D$8:$CZ$8,0),
  _xlpm.v, IFERROR(INDEX('3. Enter Indicator Scores'!$D$10:$CZ$161,_xlpm.r,_xlpm.c),""),
  IF(OR(_xlpm.w="",_xlpm.v=""),"",_xlpm.v*_xlpm.w)
)</f>
        <v/>
      </c>
      <c r="BN21" s="93" t="str" cm="1">
        <f t="array" ref="BN21">_xlfn.LET(
  _xlpm.w, BN$11,
  _xlpm.r, MATCH(1,('3. Enter Indicator Scores'!$B$10:$B$161=$B21)*('3. Enter Indicator Scores'!$C$10:$C$161=$C21),0),
  _xlpm.c, MATCH(BN$8,'3. Enter Indicator Scores'!$D$8:$CZ$8,0),
  _xlpm.v, IFERROR(INDEX('3. Enter Indicator Scores'!$D$10:$CZ$161,_xlpm.r,_xlpm.c),""),
  IF(OR(_xlpm.w="",_xlpm.v=""),"",_xlpm.v*_xlpm.w)
)</f>
        <v/>
      </c>
      <c r="BO21" s="93" t="str" cm="1">
        <f t="array" ref="BO21">_xlfn.LET(
  _xlpm.w, BO$11,
  _xlpm.r, MATCH(1,('3. Enter Indicator Scores'!$B$10:$B$161=$B21)*('3. Enter Indicator Scores'!$C$10:$C$161=$C21),0),
  _xlpm.c, MATCH(BO$8,'3. Enter Indicator Scores'!$D$8:$CZ$8,0),
  _xlpm.v, IFERROR(INDEX('3. Enter Indicator Scores'!$D$10:$CZ$161,_xlpm.r,_xlpm.c),""),
  IF(OR(_xlpm.w="",_xlpm.v=""),"",_xlpm.v*_xlpm.w)
)</f>
        <v/>
      </c>
      <c r="BP21" s="93" t="str" cm="1">
        <f t="array" ref="BP21">_xlfn.LET(
  _xlpm.w, BP$11,
  _xlpm.r, MATCH(1,('3. Enter Indicator Scores'!$B$10:$B$161=$B21)*('3. Enter Indicator Scores'!$C$10:$C$161=$C21),0),
  _xlpm.c, MATCH(BP$8,'3. Enter Indicator Scores'!$D$8:$CZ$8,0),
  _xlpm.v, IFERROR(INDEX('3. Enter Indicator Scores'!$D$10:$CZ$161,_xlpm.r,_xlpm.c),""),
  IF(OR(_xlpm.w="",_xlpm.v=""),"",_xlpm.v*_xlpm.w)
)</f>
        <v/>
      </c>
      <c r="BQ21" s="93" t="str" cm="1">
        <f t="array" ref="BQ21">_xlfn.LET(
  _xlpm.w, BQ$11,
  _xlpm.r, MATCH(1,('3. Enter Indicator Scores'!$B$10:$B$161=$B21)*('3. Enter Indicator Scores'!$C$10:$C$161=$C21),0),
  _xlpm.c, MATCH(BQ$8,'3. Enter Indicator Scores'!$D$8:$CZ$8,0),
  _xlpm.v, IFERROR(INDEX('3. Enter Indicator Scores'!$D$10:$CZ$161,_xlpm.r,_xlpm.c),""),
  IF(OR(_xlpm.w="",_xlpm.v=""),"",_xlpm.v*_xlpm.w)
)</f>
        <v/>
      </c>
      <c r="BR21" s="93" t="str" cm="1">
        <f t="array" ref="BR21">_xlfn.LET(
  _xlpm.w, BR$11,
  _xlpm.r, MATCH(1,('3. Enter Indicator Scores'!$B$10:$B$161=$B21)*('3. Enter Indicator Scores'!$C$10:$C$161=$C21),0),
  _xlpm.c, MATCH(BR$8,'3. Enter Indicator Scores'!$D$8:$CZ$8,0),
  _xlpm.v, IFERROR(INDEX('3. Enter Indicator Scores'!$D$10:$CZ$161,_xlpm.r,_xlpm.c),""),
  IF(OR(_xlpm.w="",_xlpm.v=""),"",_xlpm.v*_xlpm.w)
)</f>
        <v/>
      </c>
      <c r="BS21" s="93" t="str" cm="1">
        <f t="array" ref="BS21">_xlfn.LET(
  _xlpm.w, BS$11,
  _xlpm.r, MATCH(1,('3. Enter Indicator Scores'!$B$10:$B$161=$B21)*('3. Enter Indicator Scores'!$C$10:$C$161=$C21),0),
  _xlpm.c, MATCH(BS$8,'3. Enter Indicator Scores'!$D$8:$CZ$8,0),
  _xlpm.v, IFERROR(INDEX('3. Enter Indicator Scores'!$D$10:$CZ$161,_xlpm.r,_xlpm.c),""),
  IF(OR(_xlpm.w="",_xlpm.v=""),"",_xlpm.v*_xlpm.w)
)</f>
        <v/>
      </c>
      <c r="BT21" s="93" t="str" cm="1">
        <f t="array" ref="BT21">_xlfn.LET(
  _xlpm.w, BT$11,
  _xlpm.r, MATCH(1,('3. Enter Indicator Scores'!$B$10:$B$161=$B21)*('3. Enter Indicator Scores'!$C$10:$C$161=$C21),0),
  _xlpm.c, MATCH(BT$8,'3. Enter Indicator Scores'!$D$8:$CZ$8,0),
  _xlpm.v, IFERROR(INDEX('3. Enter Indicator Scores'!$D$10:$CZ$161,_xlpm.r,_xlpm.c),""),
  IF(OR(_xlpm.w="",_xlpm.v=""),"",_xlpm.v*_xlpm.w)
)</f>
        <v/>
      </c>
      <c r="BU21" s="93" t="str" cm="1">
        <f t="array" ref="BU21">_xlfn.LET(
  _xlpm.w, BU$11,
  _xlpm.r, MATCH(1,('3. Enter Indicator Scores'!$B$10:$B$161=$B21)*('3. Enter Indicator Scores'!$C$10:$C$161=$C21),0),
  _xlpm.c, MATCH(BU$8,'3. Enter Indicator Scores'!$D$8:$CZ$8,0),
  _xlpm.v, IFERROR(INDEX('3. Enter Indicator Scores'!$D$10:$CZ$161,_xlpm.r,_xlpm.c),""),
  IF(OR(_xlpm.w="",_xlpm.v=""),"",_xlpm.v*_xlpm.w)
)</f>
        <v/>
      </c>
      <c r="BV21" s="93" t="str" cm="1">
        <f t="array" ref="BV21">_xlfn.LET(
  _xlpm.w, BV$11,
  _xlpm.r, MATCH(1,('3. Enter Indicator Scores'!$B$10:$B$161=$B21)*('3. Enter Indicator Scores'!$C$10:$C$161=$C21),0),
  _xlpm.c, MATCH(BV$8,'3. Enter Indicator Scores'!$D$8:$CZ$8,0),
  _xlpm.v, IFERROR(INDEX('3. Enter Indicator Scores'!$D$10:$CZ$161,_xlpm.r,_xlpm.c),""),
  IF(OR(_xlpm.w="",_xlpm.v=""),"",_xlpm.v*_xlpm.w)
)</f>
        <v/>
      </c>
      <c r="BW21" s="93" t="str" cm="1">
        <f t="array" ref="BW21">_xlfn.LET(
  _xlpm.w, BW$11,
  _xlpm.r, MATCH(1,('3. Enter Indicator Scores'!$B$10:$B$161=$B21)*('3. Enter Indicator Scores'!$C$10:$C$161=$C21),0),
  _xlpm.c, MATCH(BW$8,'3. Enter Indicator Scores'!$D$8:$CZ$8,0),
  _xlpm.v, IFERROR(INDEX('3. Enter Indicator Scores'!$D$10:$CZ$161,_xlpm.r,_xlpm.c),""),
  IF(OR(_xlpm.w="",_xlpm.v=""),"",_xlpm.v*_xlpm.w)
)</f>
        <v/>
      </c>
      <c r="BX21" s="93" t="str" cm="1">
        <f t="array" ref="BX21">_xlfn.LET(
  _xlpm.w, BX$11,
  _xlpm.r, MATCH(1,('3. Enter Indicator Scores'!$B$10:$B$161=$B21)*('3. Enter Indicator Scores'!$C$10:$C$161=$C21),0),
  _xlpm.c, MATCH(BX$8,'3. Enter Indicator Scores'!$D$8:$CZ$8,0),
  _xlpm.v, IFERROR(INDEX('3. Enter Indicator Scores'!$D$10:$CZ$161,_xlpm.r,_xlpm.c),""),
  IF(OR(_xlpm.w="",_xlpm.v=""),"",_xlpm.v*_xlpm.w)
)</f>
        <v/>
      </c>
      <c r="BY21" s="93" t="str" cm="1">
        <f t="array" ref="BY21">_xlfn.LET(
  _xlpm.w, BY$11,
  _xlpm.r, MATCH(1,('3. Enter Indicator Scores'!$B$10:$B$161=$B21)*('3. Enter Indicator Scores'!$C$10:$C$161=$C21),0),
  _xlpm.c, MATCH(BY$8,'3. Enter Indicator Scores'!$D$8:$CZ$8,0),
  _xlpm.v, IFERROR(INDEX('3. Enter Indicator Scores'!$D$10:$CZ$161,_xlpm.r,_xlpm.c),""),
  IF(OR(_xlpm.w="",_xlpm.v=""),"",_xlpm.v*_xlpm.w)
)</f>
        <v/>
      </c>
      <c r="BZ21" s="93" t="str" cm="1">
        <f t="array" ref="BZ21">_xlfn.LET(
  _xlpm.w, BZ$11,
  _xlpm.r, MATCH(1,('3. Enter Indicator Scores'!$B$10:$B$161=$B21)*('3. Enter Indicator Scores'!$C$10:$C$161=$C21),0),
  _xlpm.c, MATCH(BZ$8,'3. Enter Indicator Scores'!$D$8:$CZ$8,0),
  _xlpm.v, IFERROR(INDEX('3. Enter Indicator Scores'!$D$10:$CZ$161,_xlpm.r,_xlpm.c),""),
  IF(OR(_xlpm.w="",_xlpm.v=""),"",_xlpm.v*_xlpm.w)
)</f>
        <v/>
      </c>
      <c r="CA21" s="93" t="str" cm="1">
        <f t="array" ref="CA21">_xlfn.LET(
  _xlpm.w, CA$11,
  _xlpm.r, MATCH(1,('3. Enter Indicator Scores'!$B$10:$B$161=$B21)*('3. Enter Indicator Scores'!$C$10:$C$161=$C21),0),
  _xlpm.c, MATCH(CA$8,'3. Enter Indicator Scores'!$D$8:$CZ$8,0),
  _xlpm.v, IFERROR(INDEX('3. Enter Indicator Scores'!$D$10:$CZ$161,_xlpm.r,_xlpm.c),""),
  IF(OR(_xlpm.w="",_xlpm.v=""),"",_xlpm.v*_xlpm.w)
)</f>
        <v/>
      </c>
      <c r="CB21" s="93" t="str" cm="1">
        <f t="array" ref="CB21">_xlfn.LET(
  _xlpm.w, CB$11,
  _xlpm.r, MATCH(1,('3. Enter Indicator Scores'!$B$10:$B$161=$B21)*('3. Enter Indicator Scores'!$C$10:$C$161=$C21),0),
  _xlpm.c, MATCH(CB$8,'3. Enter Indicator Scores'!$D$8:$CZ$8,0),
  _xlpm.v, IFERROR(INDEX('3. Enter Indicator Scores'!$D$10:$CZ$161,_xlpm.r,_xlpm.c),""),
  IF(OR(_xlpm.w="",_xlpm.v=""),"",_xlpm.v*_xlpm.w)
)</f>
        <v/>
      </c>
      <c r="CC21" s="93" t="str" cm="1">
        <f t="array" ref="CC21">_xlfn.LET(
  _xlpm.w, CC$11,
  _xlpm.r, MATCH(1,('3. Enter Indicator Scores'!$B$10:$B$161=$B21)*('3. Enter Indicator Scores'!$C$10:$C$161=$C21),0),
  _xlpm.c, MATCH(CC$8,'3. Enter Indicator Scores'!$D$8:$CZ$8,0),
  _xlpm.v, IFERROR(INDEX('3. Enter Indicator Scores'!$D$10:$CZ$161,_xlpm.r,_xlpm.c),""),
  IF(OR(_xlpm.w="",_xlpm.v=""),"",_xlpm.v*_xlpm.w)
)</f>
        <v/>
      </c>
      <c r="CD21" s="93" t="str" cm="1">
        <f t="array" ref="CD21">_xlfn.LET(
  _xlpm.w, CD$11,
  _xlpm.r, MATCH(1,('3. Enter Indicator Scores'!$B$10:$B$161=$B21)*('3. Enter Indicator Scores'!$C$10:$C$161=$C21),0),
  _xlpm.c, MATCH(CD$8,'3. Enter Indicator Scores'!$D$8:$CZ$8,0),
  _xlpm.v, IFERROR(INDEX('3. Enter Indicator Scores'!$D$10:$CZ$161,_xlpm.r,_xlpm.c),""),
  IF(OR(_xlpm.w="",_xlpm.v=""),"",_xlpm.v*_xlpm.w)
)</f>
        <v/>
      </c>
      <c r="CE21" s="93" t="str" cm="1">
        <f t="array" ref="CE21">_xlfn.LET(
  _xlpm.w, CE$11,
  _xlpm.r, MATCH(1,('3. Enter Indicator Scores'!$B$10:$B$161=$B21)*('3. Enter Indicator Scores'!$C$10:$C$161=$C21),0),
  _xlpm.c, MATCH(CE$8,'3. Enter Indicator Scores'!$D$8:$CZ$8,0),
  _xlpm.v, IFERROR(INDEX('3. Enter Indicator Scores'!$D$10:$CZ$161,_xlpm.r,_xlpm.c),""),
  IF(OR(_xlpm.w="",_xlpm.v=""),"",_xlpm.v*_xlpm.w)
)</f>
        <v/>
      </c>
      <c r="CF21" s="93" t="str" cm="1">
        <f t="array" ref="CF21">_xlfn.LET(
  _xlpm.w, CF$11,
  _xlpm.r, MATCH(1,('3. Enter Indicator Scores'!$B$10:$B$161=$B21)*('3. Enter Indicator Scores'!$C$10:$C$161=$C21),0),
  _xlpm.c, MATCH(CF$8,'3. Enter Indicator Scores'!$D$8:$CZ$8,0),
  _xlpm.v, IFERROR(INDEX('3. Enter Indicator Scores'!$D$10:$CZ$161,_xlpm.r,_xlpm.c),""),
  IF(OR(_xlpm.w="",_xlpm.v=""),"",_xlpm.v*_xlpm.w)
)</f>
        <v/>
      </c>
      <c r="CG21" s="93" t="str" cm="1">
        <f t="array" ref="CG21">_xlfn.LET(
  _xlpm.w, CG$11,
  _xlpm.r, MATCH(1,('3. Enter Indicator Scores'!$B$10:$B$161=$B21)*('3. Enter Indicator Scores'!$C$10:$C$161=$C21),0),
  _xlpm.c, MATCH(CG$8,'3. Enter Indicator Scores'!$D$8:$CZ$8,0),
  _xlpm.v, IFERROR(INDEX('3. Enter Indicator Scores'!$D$10:$CZ$161,_xlpm.r,_xlpm.c),""),
  IF(OR(_xlpm.w="",_xlpm.v=""),"",_xlpm.v*_xlpm.w)
)</f>
        <v/>
      </c>
      <c r="CH21" s="93" t="str" cm="1">
        <f t="array" ref="CH21">_xlfn.LET(
  _xlpm.w, CH$11,
  _xlpm.r, MATCH(1,('3. Enter Indicator Scores'!$B$10:$B$161=$B21)*('3. Enter Indicator Scores'!$C$10:$C$161=$C21),0),
  _xlpm.c, MATCH(CH$8,'3. Enter Indicator Scores'!$D$8:$CZ$8,0),
  _xlpm.v, IFERROR(INDEX('3. Enter Indicator Scores'!$D$10:$CZ$161,_xlpm.r,_xlpm.c),""),
  IF(OR(_xlpm.w="",_xlpm.v=""),"",_xlpm.v*_xlpm.w)
)</f>
        <v/>
      </c>
      <c r="CI21" s="93" t="str" cm="1">
        <f t="array" ref="CI21">_xlfn.LET(
  _xlpm.w, CI$11,
  _xlpm.r, MATCH(1,('3. Enter Indicator Scores'!$B$10:$B$161=$B21)*('3. Enter Indicator Scores'!$C$10:$C$161=$C21),0),
  _xlpm.c, MATCH(CI$8,'3. Enter Indicator Scores'!$D$8:$CZ$8,0),
  _xlpm.v, IFERROR(INDEX('3. Enter Indicator Scores'!$D$10:$CZ$161,_xlpm.r,_xlpm.c),""),
  IF(OR(_xlpm.w="",_xlpm.v=""),"",_xlpm.v*_xlpm.w)
)</f>
        <v/>
      </c>
      <c r="CJ21" s="93" t="str" cm="1">
        <f t="array" ref="CJ21">_xlfn.LET(
  _xlpm.w, CJ$11,
  _xlpm.r, MATCH(1,('3. Enter Indicator Scores'!$B$10:$B$161=$B21)*('3. Enter Indicator Scores'!$C$10:$C$161=$C21),0),
  _xlpm.c, MATCH(CJ$8,'3. Enter Indicator Scores'!$D$8:$CZ$8,0),
  _xlpm.v, IFERROR(INDEX('3. Enter Indicator Scores'!$D$10:$CZ$161,_xlpm.r,_xlpm.c),""),
  IF(OR(_xlpm.w="",_xlpm.v=""),"",_xlpm.v*_xlpm.w)
)</f>
        <v/>
      </c>
      <c r="CK21" s="93" t="str" cm="1">
        <f t="array" ref="CK21">_xlfn.LET(
  _xlpm.w, CK$11,
  _xlpm.r, MATCH(1,('3. Enter Indicator Scores'!$B$10:$B$161=$B21)*('3. Enter Indicator Scores'!$C$10:$C$161=$C21),0),
  _xlpm.c, MATCH(CK$8,'3. Enter Indicator Scores'!$D$8:$CZ$8,0),
  _xlpm.v, IFERROR(INDEX('3. Enter Indicator Scores'!$D$10:$CZ$161,_xlpm.r,_xlpm.c),""),
  IF(OR(_xlpm.w="",_xlpm.v=""),"",_xlpm.v*_xlpm.w)
)</f>
        <v/>
      </c>
      <c r="CL21" s="93" t="str" cm="1">
        <f t="array" ref="CL21">_xlfn.LET(
  _xlpm.w, CL$11,
  _xlpm.r, MATCH(1,('3. Enter Indicator Scores'!$B$10:$B$161=$B21)*('3. Enter Indicator Scores'!$C$10:$C$161=$C21),0),
  _xlpm.c, MATCH(CL$8,'3. Enter Indicator Scores'!$D$8:$CZ$8,0),
  _xlpm.v, IFERROR(INDEX('3. Enter Indicator Scores'!$D$10:$CZ$161,_xlpm.r,_xlpm.c),""),
  IF(OR(_xlpm.w="",_xlpm.v=""),"",_xlpm.v*_xlpm.w)
)</f>
        <v/>
      </c>
      <c r="CM21" s="93" t="str" cm="1">
        <f t="array" ref="CM21">_xlfn.LET(
  _xlpm.w, CM$11,
  _xlpm.r, MATCH(1,('3. Enter Indicator Scores'!$B$10:$B$161=$B21)*('3. Enter Indicator Scores'!$C$10:$C$161=$C21),0),
  _xlpm.c, MATCH(CM$8,'3. Enter Indicator Scores'!$D$8:$CZ$8,0),
  _xlpm.v, IFERROR(INDEX('3. Enter Indicator Scores'!$D$10:$CZ$161,_xlpm.r,_xlpm.c),""),
  IF(OR(_xlpm.w="",_xlpm.v=""),"",_xlpm.v*_xlpm.w)
)</f>
        <v/>
      </c>
      <c r="CN21" s="93" t="str" cm="1">
        <f t="array" ref="CN21">_xlfn.LET(
  _xlpm.w, CN$11,
  _xlpm.r, MATCH(1,('3. Enter Indicator Scores'!$B$10:$B$161=$B21)*('3. Enter Indicator Scores'!$C$10:$C$161=$C21),0),
  _xlpm.c, MATCH(CN$8,'3. Enter Indicator Scores'!$D$8:$CZ$8,0),
  _xlpm.v, IFERROR(INDEX('3. Enter Indicator Scores'!$D$10:$CZ$161,_xlpm.r,_xlpm.c),""),
  IF(OR(_xlpm.w="",_xlpm.v=""),"",_xlpm.v*_xlpm.w)
)</f>
        <v/>
      </c>
      <c r="CO21" s="93" t="str" cm="1">
        <f t="array" ref="CO21">_xlfn.LET(
  _xlpm.w, CO$11,
  _xlpm.r, MATCH(1,('3. Enter Indicator Scores'!$B$10:$B$161=$B21)*('3. Enter Indicator Scores'!$C$10:$C$161=$C21),0),
  _xlpm.c, MATCH(CO$8,'3. Enter Indicator Scores'!$D$8:$CZ$8,0),
  _xlpm.v, IFERROR(INDEX('3. Enter Indicator Scores'!$D$10:$CZ$161,_xlpm.r,_xlpm.c),""),
  IF(OR(_xlpm.w="",_xlpm.v=""),"",_xlpm.v*_xlpm.w)
)</f>
        <v/>
      </c>
      <c r="CP21" s="93" t="str" cm="1">
        <f t="array" ref="CP21">_xlfn.LET(
  _xlpm.w, CP$11,
  _xlpm.r, MATCH(1,('3. Enter Indicator Scores'!$B$10:$B$161=$B21)*('3. Enter Indicator Scores'!$C$10:$C$161=$C21),0),
  _xlpm.c, MATCH(CP$8,'3. Enter Indicator Scores'!$D$8:$CZ$8,0),
  _xlpm.v, IFERROR(INDEX('3. Enter Indicator Scores'!$D$10:$CZ$161,_xlpm.r,_xlpm.c),""),
  IF(OR(_xlpm.w="",_xlpm.v=""),"",_xlpm.v*_xlpm.w)
)</f>
        <v/>
      </c>
      <c r="CQ21" s="93" t="str" cm="1">
        <f t="array" ref="CQ21">_xlfn.LET(
  _xlpm.w, CQ$11,
  _xlpm.r, MATCH(1,('3. Enter Indicator Scores'!$B$10:$B$161=$B21)*('3. Enter Indicator Scores'!$C$10:$C$161=$C21),0),
  _xlpm.c, MATCH(CQ$8,'3. Enter Indicator Scores'!$D$8:$CZ$8,0),
  _xlpm.v, IFERROR(INDEX('3. Enter Indicator Scores'!$D$10:$CZ$161,_xlpm.r,_xlpm.c),""),
  IF(OR(_xlpm.w="",_xlpm.v=""),"",_xlpm.v*_xlpm.w)
)</f>
        <v/>
      </c>
      <c r="CR21" s="93" t="str" cm="1">
        <f t="array" ref="CR21">_xlfn.LET(
  _xlpm.w, CR$11,
  _xlpm.r, MATCH(1,('3. Enter Indicator Scores'!$B$10:$B$161=$B21)*('3. Enter Indicator Scores'!$C$10:$C$161=$C21),0),
  _xlpm.c, MATCH(CR$8,'3. Enter Indicator Scores'!$D$8:$CZ$8,0),
  _xlpm.v, IFERROR(INDEX('3. Enter Indicator Scores'!$D$10:$CZ$161,_xlpm.r,_xlpm.c),""),
  IF(OR(_xlpm.w="",_xlpm.v=""),"",_xlpm.v*_xlpm.w)
)</f>
        <v/>
      </c>
      <c r="CS21" s="93" t="str" cm="1">
        <f t="array" ref="CS21">_xlfn.LET(
  _xlpm.w, CS$11,
  _xlpm.r, MATCH(1,('3. Enter Indicator Scores'!$B$10:$B$161=$B21)*('3. Enter Indicator Scores'!$C$10:$C$161=$C21),0),
  _xlpm.c, MATCH(CS$8,'3. Enter Indicator Scores'!$D$8:$CZ$8,0),
  _xlpm.v, IFERROR(INDEX('3. Enter Indicator Scores'!$D$10:$CZ$161,_xlpm.r,_xlpm.c),""),
  IF(OR(_xlpm.w="",_xlpm.v=""),"",_xlpm.v*_xlpm.w)
)</f>
        <v/>
      </c>
      <c r="CT21" s="93" t="str" cm="1">
        <f t="array" ref="CT21">_xlfn.LET(
  _xlpm.w, CT$11,
  _xlpm.r, MATCH(1,('3. Enter Indicator Scores'!$B$10:$B$161=$B21)*('3. Enter Indicator Scores'!$C$10:$C$161=$C21),0),
  _xlpm.c, MATCH(CT$8,'3. Enter Indicator Scores'!$D$8:$CZ$8,0),
  _xlpm.v, IFERROR(INDEX('3. Enter Indicator Scores'!$D$10:$CZ$161,_xlpm.r,_xlpm.c),""),
  IF(OR(_xlpm.w="",_xlpm.v=""),"",_xlpm.v*_xlpm.w)
)</f>
        <v/>
      </c>
      <c r="CU21" s="93" t="str" cm="1">
        <f t="array" ref="CU21">_xlfn.LET(
  _xlpm.w, CU$11,
  _xlpm.r, MATCH(1,('3. Enter Indicator Scores'!$B$10:$B$161=$B21)*('3. Enter Indicator Scores'!$C$10:$C$161=$C21),0),
  _xlpm.c, MATCH(CU$8,'3. Enter Indicator Scores'!$D$8:$CZ$8,0),
  _xlpm.v, IFERROR(INDEX('3. Enter Indicator Scores'!$D$10:$CZ$161,_xlpm.r,_xlpm.c),""),
  IF(OR(_xlpm.w="",_xlpm.v=""),"",_xlpm.v*_xlpm.w)
)</f>
        <v/>
      </c>
      <c r="CV21" s="93" t="str" cm="1">
        <f t="array" ref="CV21">_xlfn.LET(
  _xlpm.w, CV$11,
  _xlpm.r, MATCH(1,('3. Enter Indicator Scores'!$B$10:$B$161=$B21)*('3. Enter Indicator Scores'!$C$10:$C$161=$C21),0),
  _xlpm.c, MATCH(CV$8,'3. Enter Indicator Scores'!$D$8:$CZ$8,0),
  _xlpm.v, IFERROR(INDEX('3. Enter Indicator Scores'!$D$10:$CZ$161,_xlpm.r,_xlpm.c),""),
  IF(OR(_xlpm.w="",_xlpm.v=""),"",_xlpm.v*_xlpm.w)
)</f>
        <v/>
      </c>
      <c r="CW21" s="93" t="str" cm="1">
        <f t="array" ref="CW21">_xlfn.LET(
  _xlpm.w, CW$11,
  _xlpm.r, MATCH(1,('3. Enter Indicator Scores'!$B$10:$B$161=$B21)*('3. Enter Indicator Scores'!$C$10:$C$161=$C21),0),
  _xlpm.c, MATCH(CW$8,'3. Enter Indicator Scores'!$D$8:$CZ$8,0),
  _xlpm.v, IFERROR(INDEX('3. Enter Indicator Scores'!$D$10:$CZ$161,_xlpm.r,_xlpm.c),""),
  IF(OR(_xlpm.w="",_xlpm.v=""),"",_xlpm.v*_xlpm.w)
)</f>
        <v/>
      </c>
      <c r="CX21" s="93" t="str" cm="1">
        <f t="array" ref="CX21">_xlfn.LET(
  _xlpm.w, CX$11,
  _xlpm.r, MATCH(1,('3. Enter Indicator Scores'!$B$10:$B$161=$B21)*('3. Enter Indicator Scores'!$C$10:$C$161=$C21),0),
  _xlpm.c, MATCH(CX$8,'3. Enter Indicator Scores'!$D$8:$CZ$8,0),
  _xlpm.v, IFERROR(INDEX('3. Enter Indicator Scores'!$D$10:$CZ$161,_xlpm.r,_xlpm.c),""),
  IF(OR(_xlpm.w="",_xlpm.v=""),"",_xlpm.v*_xlpm.w)
)</f>
        <v/>
      </c>
      <c r="CY21" s="93" t="str" cm="1">
        <f t="array" ref="CY21">_xlfn.LET(
  _xlpm.w, CY$11,
  _xlpm.r, MATCH(1,('3. Enter Indicator Scores'!$B$10:$B$161=$B21)*('3. Enter Indicator Scores'!$C$10:$C$161=$C21),0),
  _xlpm.c, MATCH(CY$8,'3. Enter Indicator Scores'!$D$8:$CZ$8,0),
  _xlpm.v, IFERROR(INDEX('3. Enter Indicator Scores'!$D$10:$CZ$161,_xlpm.r,_xlpm.c),""),
  IF(OR(_xlpm.w="",_xlpm.v=""),"",_xlpm.v*_xlpm.w)
)</f>
        <v/>
      </c>
      <c r="CZ21" s="93" t="str" cm="1">
        <f t="array" ref="CZ21">_xlfn.LET(
  _xlpm.w, CZ$11,
  _xlpm.r, MATCH(1,('3. Enter Indicator Scores'!$B$10:$B$161=$B21)*('3. Enter Indicator Scores'!$C$10:$C$161=$C21),0),
  _xlpm.c, MATCH(CZ$8,'3. Enter Indicator Scores'!$D$8:$CZ$8,0),
  _xlpm.v, IFERROR(INDEX('3. Enter Indicator Scores'!$D$10:$CZ$161,_xlpm.r,_xlpm.c),""),
  IF(OR(_xlpm.w="",_xlpm.v=""),"",_xlpm.v*_xlpm.w)
)</f>
        <v/>
      </c>
    </row>
    <row r="22" spans="1:104" x14ac:dyDescent="0.2">
      <c r="D22" s="93" t="str" cm="1">
        <f t="array" ref="D22">_xlfn.LET(
  _xlpm.w, D$11,
  _xlpm.r, MATCH(1,('3. Enter Indicator Scores'!$B$10:$B$161=$B22)*('3. Enter Indicator Scores'!$C$10:$C$161=$C22),0),
  _xlpm.c, MATCH(D$8,'3. Enter Indicator Scores'!$D$8:$CZ$8,0),
  _xlpm.v, IFERROR(INDEX('3. Enter Indicator Scores'!$D$10:$CZ$161,_xlpm.r,_xlpm.c),""),
  IF(OR(_xlpm.w="",_xlpm.v=""),"",_xlpm.v*_xlpm.w)
)</f>
        <v/>
      </c>
      <c r="E22" s="93" t="str" cm="1">
        <f t="array" ref="E22">_xlfn.LET(
  _xlpm.w, E$11,
  _xlpm.r, MATCH(1,('3. Enter Indicator Scores'!$B$10:$B$161=$B22)*('3. Enter Indicator Scores'!$C$10:$C$161=$C22),0),
  _xlpm.c, MATCH(E$8,'3. Enter Indicator Scores'!$D$8:$CZ$8,0),
  _xlpm.v, IFERROR(INDEX('3. Enter Indicator Scores'!$D$10:$CZ$161,_xlpm.r,_xlpm.c),""),
  IF(OR(_xlpm.w="",_xlpm.v=""),"",_xlpm.v*_xlpm.w)
)</f>
        <v/>
      </c>
      <c r="F22" s="93" t="str" cm="1">
        <f t="array" ref="F22">_xlfn.LET(
  _xlpm.w, F$11,
  _xlpm.r, MATCH(1,('3. Enter Indicator Scores'!$B$10:$B$161=$B22)*('3. Enter Indicator Scores'!$C$10:$C$161=$C22),0),
  _xlpm.c, MATCH(F$8,'3. Enter Indicator Scores'!$D$8:$CZ$8,0),
  _xlpm.v, IFERROR(INDEX('3. Enter Indicator Scores'!$D$10:$CZ$161,_xlpm.r,_xlpm.c),""),
  IF(OR(_xlpm.w="",_xlpm.v=""),"",_xlpm.v*_xlpm.w)
)</f>
        <v/>
      </c>
      <c r="G22" s="93" t="str" cm="1">
        <f t="array" ref="G22">_xlfn.LET(
  _xlpm.w, G$11,
  _xlpm.r, MATCH(1,('3. Enter Indicator Scores'!$B$10:$B$161=$B22)*('3. Enter Indicator Scores'!$C$10:$C$161=$C22),0),
  _xlpm.c, MATCH(G$8,'3. Enter Indicator Scores'!$D$8:$CZ$8,0),
  _xlpm.v, IFERROR(INDEX('3. Enter Indicator Scores'!$D$10:$CZ$161,_xlpm.r,_xlpm.c),""),
  IF(OR(_xlpm.w="",_xlpm.v=""),"",_xlpm.v*_xlpm.w)
)</f>
        <v/>
      </c>
      <c r="H22" s="93" t="str" cm="1">
        <f t="array" ref="H22">_xlfn.LET(
  _xlpm.w, H$11,
  _xlpm.r, MATCH(1,('3. Enter Indicator Scores'!$B$10:$B$161=$B22)*('3. Enter Indicator Scores'!$C$10:$C$161=$C22),0),
  _xlpm.c, MATCH(H$8,'3. Enter Indicator Scores'!$D$8:$CZ$8,0),
  _xlpm.v, IFERROR(INDEX('3. Enter Indicator Scores'!$D$10:$CZ$161,_xlpm.r,_xlpm.c),""),
  IF(OR(_xlpm.w="",_xlpm.v=""),"",_xlpm.v*_xlpm.w)
)</f>
        <v/>
      </c>
      <c r="I22" s="93" t="str" cm="1">
        <f t="array" ref="I22">_xlfn.LET(
  _xlpm.w, I$11,
  _xlpm.r, MATCH(1,('3. Enter Indicator Scores'!$B$10:$B$161=$B22)*('3. Enter Indicator Scores'!$C$10:$C$161=$C22),0),
  _xlpm.c, MATCH(I$8,'3. Enter Indicator Scores'!$D$8:$CZ$8,0),
  _xlpm.v, IFERROR(INDEX('3. Enter Indicator Scores'!$D$10:$CZ$161,_xlpm.r,_xlpm.c),""),
  IF(OR(_xlpm.w="",_xlpm.v=""),"",_xlpm.v*_xlpm.w)
)</f>
        <v/>
      </c>
      <c r="J22" s="93" t="str" cm="1">
        <f t="array" ref="J22">_xlfn.LET(
  _xlpm.w, J$11,
  _xlpm.r, MATCH(1,('3. Enter Indicator Scores'!$B$10:$B$161=$B22)*('3. Enter Indicator Scores'!$C$10:$C$161=$C22),0),
  _xlpm.c, MATCH(J$8,'3. Enter Indicator Scores'!$D$8:$CZ$8,0),
  _xlpm.v, IFERROR(INDEX('3. Enter Indicator Scores'!$D$10:$CZ$161,_xlpm.r,_xlpm.c),""),
  IF(OR(_xlpm.w="",_xlpm.v=""),"",_xlpm.v*_xlpm.w)
)</f>
        <v/>
      </c>
      <c r="K22" s="93" t="str" cm="1">
        <f t="array" ref="K22">_xlfn.LET(
  _xlpm.w, K$11,
  _xlpm.r, MATCH(1,('3. Enter Indicator Scores'!$B$10:$B$161=$B22)*('3. Enter Indicator Scores'!$C$10:$C$161=$C22),0),
  _xlpm.c, MATCH(K$8,'3. Enter Indicator Scores'!$D$8:$CZ$8,0),
  _xlpm.v, IFERROR(INDEX('3. Enter Indicator Scores'!$D$10:$CZ$161,_xlpm.r,_xlpm.c),""),
  IF(OR(_xlpm.w="",_xlpm.v=""),"",_xlpm.v*_xlpm.w)
)</f>
        <v/>
      </c>
      <c r="L22" s="93" t="str" cm="1">
        <f t="array" ref="L22">_xlfn.LET(
  _xlpm.w, L$11,
  _xlpm.r, MATCH(1,('3. Enter Indicator Scores'!$B$10:$B$161=$B22)*('3. Enter Indicator Scores'!$C$10:$C$161=$C22),0),
  _xlpm.c, MATCH(L$8,'3. Enter Indicator Scores'!$D$8:$CZ$8,0),
  _xlpm.v, IFERROR(INDEX('3. Enter Indicator Scores'!$D$10:$CZ$161,_xlpm.r,_xlpm.c),""),
  IF(OR(_xlpm.w="",_xlpm.v=""),"",_xlpm.v*_xlpm.w)
)</f>
        <v/>
      </c>
      <c r="M22" s="93" t="str" cm="1">
        <f t="array" ref="M22">_xlfn.LET(
  _xlpm.w, M$11,
  _xlpm.r, MATCH(1,('3. Enter Indicator Scores'!$B$10:$B$161=$B22)*('3. Enter Indicator Scores'!$C$10:$C$161=$C22),0),
  _xlpm.c, MATCH(M$8,'3. Enter Indicator Scores'!$D$8:$CZ$8,0),
  _xlpm.v, IFERROR(INDEX('3. Enter Indicator Scores'!$D$10:$CZ$161,_xlpm.r,_xlpm.c),""),
  IF(OR(_xlpm.w="",_xlpm.v=""),"",_xlpm.v*_xlpm.w)
)</f>
        <v/>
      </c>
      <c r="N22" s="93" t="str" cm="1">
        <f t="array" ref="N22">_xlfn.LET(
  _xlpm.w, N$11,
  _xlpm.r, MATCH(1,('3. Enter Indicator Scores'!$B$10:$B$161=$B22)*('3. Enter Indicator Scores'!$C$10:$C$161=$C22),0),
  _xlpm.c, MATCH(N$8,'3. Enter Indicator Scores'!$D$8:$CZ$8,0),
  _xlpm.v, IFERROR(INDEX('3. Enter Indicator Scores'!$D$10:$CZ$161,_xlpm.r,_xlpm.c),""),
  IF(OR(_xlpm.w="",_xlpm.v=""),"",_xlpm.v*_xlpm.w)
)</f>
        <v/>
      </c>
      <c r="O22" s="93" t="str" cm="1">
        <f t="array" ref="O22">_xlfn.LET(
  _xlpm.w, O$11,
  _xlpm.r, MATCH(1,('3. Enter Indicator Scores'!$B$10:$B$161=$B22)*('3. Enter Indicator Scores'!$C$10:$C$161=$C22),0),
  _xlpm.c, MATCH(O$8,'3. Enter Indicator Scores'!$D$8:$CZ$8,0),
  _xlpm.v, IFERROR(INDEX('3. Enter Indicator Scores'!$D$10:$CZ$161,_xlpm.r,_xlpm.c),""),
  IF(OR(_xlpm.w="",_xlpm.v=""),"",_xlpm.v*_xlpm.w)
)</f>
        <v/>
      </c>
      <c r="P22" s="93" t="str" cm="1">
        <f t="array" ref="P22">_xlfn.LET(
  _xlpm.w, P$11,
  _xlpm.r, MATCH(1,('3. Enter Indicator Scores'!$B$10:$B$161=$B22)*('3. Enter Indicator Scores'!$C$10:$C$161=$C22),0),
  _xlpm.c, MATCH(P$8,'3. Enter Indicator Scores'!$D$8:$CZ$8,0),
  _xlpm.v, IFERROR(INDEX('3. Enter Indicator Scores'!$D$10:$CZ$161,_xlpm.r,_xlpm.c),""),
  IF(OR(_xlpm.w="",_xlpm.v=""),"",_xlpm.v*_xlpm.w)
)</f>
        <v/>
      </c>
      <c r="Q22" s="93" t="str" cm="1">
        <f t="array" ref="Q22">_xlfn.LET(
  _xlpm.w, Q$11,
  _xlpm.r, MATCH(1,('3. Enter Indicator Scores'!$B$10:$B$161=$B22)*('3. Enter Indicator Scores'!$C$10:$C$161=$C22),0),
  _xlpm.c, MATCH(Q$8,'3. Enter Indicator Scores'!$D$8:$CZ$8,0),
  _xlpm.v, IFERROR(INDEX('3. Enter Indicator Scores'!$D$10:$CZ$161,_xlpm.r,_xlpm.c),""),
  IF(OR(_xlpm.w="",_xlpm.v=""),"",_xlpm.v*_xlpm.w)
)</f>
        <v/>
      </c>
      <c r="R22" s="93" t="str" cm="1">
        <f t="array" ref="R22">_xlfn.LET(
  _xlpm.w, R$11,
  _xlpm.r, MATCH(1,('3. Enter Indicator Scores'!$B$10:$B$161=$B22)*('3. Enter Indicator Scores'!$C$10:$C$161=$C22),0),
  _xlpm.c, MATCH(R$8,'3. Enter Indicator Scores'!$D$8:$CZ$8,0),
  _xlpm.v, IFERROR(INDEX('3. Enter Indicator Scores'!$D$10:$CZ$161,_xlpm.r,_xlpm.c),""),
  IF(OR(_xlpm.w="",_xlpm.v=""),"",_xlpm.v*_xlpm.w)
)</f>
        <v/>
      </c>
      <c r="S22" s="93" t="str" cm="1">
        <f t="array" ref="S22">_xlfn.LET(
  _xlpm.w, S$11,
  _xlpm.r, MATCH(1,('3. Enter Indicator Scores'!$B$10:$B$161=$B22)*('3. Enter Indicator Scores'!$C$10:$C$161=$C22),0),
  _xlpm.c, MATCH(S$8,'3. Enter Indicator Scores'!$D$8:$CZ$8,0),
  _xlpm.v, IFERROR(INDEX('3. Enter Indicator Scores'!$D$10:$CZ$161,_xlpm.r,_xlpm.c),""),
  IF(OR(_xlpm.w="",_xlpm.v=""),"",_xlpm.v*_xlpm.w)
)</f>
        <v/>
      </c>
      <c r="T22" s="93" t="str" cm="1">
        <f t="array" ref="T22">_xlfn.LET(
  _xlpm.w, T$11,
  _xlpm.r, MATCH(1,('3. Enter Indicator Scores'!$B$10:$B$161=$B22)*('3. Enter Indicator Scores'!$C$10:$C$161=$C22),0),
  _xlpm.c, MATCH(T$8,'3. Enter Indicator Scores'!$D$8:$CZ$8,0),
  _xlpm.v, IFERROR(INDEX('3. Enter Indicator Scores'!$D$10:$CZ$161,_xlpm.r,_xlpm.c),""),
  IF(OR(_xlpm.w="",_xlpm.v=""),"",_xlpm.v*_xlpm.w)
)</f>
        <v/>
      </c>
      <c r="U22" s="93" t="str" cm="1">
        <f t="array" ref="U22">_xlfn.LET(
  _xlpm.w, U$11,
  _xlpm.r, MATCH(1,('3. Enter Indicator Scores'!$B$10:$B$161=$B22)*('3. Enter Indicator Scores'!$C$10:$C$161=$C22),0),
  _xlpm.c, MATCH(U$8,'3. Enter Indicator Scores'!$D$8:$CZ$8,0),
  _xlpm.v, IFERROR(INDEX('3. Enter Indicator Scores'!$D$10:$CZ$161,_xlpm.r,_xlpm.c),""),
  IF(OR(_xlpm.w="",_xlpm.v=""),"",_xlpm.v*_xlpm.w)
)</f>
        <v/>
      </c>
      <c r="V22" s="93" t="str" cm="1">
        <f t="array" ref="V22">_xlfn.LET(
  _xlpm.w, V$11,
  _xlpm.r, MATCH(1,('3. Enter Indicator Scores'!$B$10:$B$161=$B22)*('3. Enter Indicator Scores'!$C$10:$C$161=$C22),0),
  _xlpm.c, MATCH(V$8,'3. Enter Indicator Scores'!$D$8:$CZ$8,0),
  _xlpm.v, IFERROR(INDEX('3. Enter Indicator Scores'!$D$10:$CZ$161,_xlpm.r,_xlpm.c),""),
  IF(OR(_xlpm.w="",_xlpm.v=""),"",_xlpm.v*_xlpm.w)
)</f>
        <v/>
      </c>
      <c r="W22" s="93" t="str" cm="1">
        <f t="array" ref="W22">_xlfn.LET(
  _xlpm.w, W$11,
  _xlpm.r, MATCH(1,('3. Enter Indicator Scores'!$B$10:$B$161=$B22)*('3. Enter Indicator Scores'!$C$10:$C$161=$C22),0),
  _xlpm.c, MATCH(W$8,'3. Enter Indicator Scores'!$D$8:$CZ$8,0),
  _xlpm.v, IFERROR(INDEX('3. Enter Indicator Scores'!$D$10:$CZ$161,_xlpm.r,_xlpm.c),""),
  IF(OR(_xlpm.w="",_xlpm.v=""),"",_xlpm.v*_xlpm.w)
)</f>
        <v/>
      </c>
      <c r="X22" s="93" t="str" cm="1">
        <f t="array" ref="X22">_xlfn.LET(
  _xlpm.w, X$11,
  _xlpm.r, MATCH(1,('3. Enter Indicator Scores'!$B$10:$B$161=$B22)*('3. Enter Indicator Scores'!$C$10:$C$161=$C22),0),
  _xlpm.c, MATCH(X$8,'3. Enter Indicator Scores'!$D$8:$CZ$8,0),
  _xlpm.v, IFERROR(INDEX('3. Enter Indicator Scores'!$D$10:$CZ$161,_xlpm.r,_xlpm.c),""),
  IF(OR(_xlpm.w="",_xlpm.v=""),"",_xlpm.v*_xlpm.w)
)</f>
        <v/>
      </c>
      <c r="Y22" s="93" t="str" cm="1">
        <f t="array" ref="Y22">_xlfn.LET(
  _xlpm.w, Y$11,
  _xlpm.r, MATCH(1,('3. Enter Indicator Scores'!$B$10:$B$161=$B22)*('3. Enter Indicator Scores'!$C$10:$C$161=$C22),0),
  _xlpm.c, MATCH(Y$8,'3. Enter Indicator Scores'!$D$8:$CZ$8,0),
  _xlpm.v, IFERROR(INDEX('3. Enter Indicator Scores'!$D$10:$CZ$161,_xlpm.r,_xlpm.c),""),
  IF(OR(_xlpm.w="",_xlpm.v=""),"",_xlpm.v*_xlpm.w)
)</f>
        <v/>
      </c>
      <c r="Z22" s="93" t="str" cm="1">
        <f t="array" ref="Z22">_xlfn.LET(
  _xlpm.w, Z$11,
  _xlpm.r, MATCH(1,('3. Enter Indicator Scores'!$B$10:$B$161=$B22)*('3. Enter Indicator Scores'!$C$10:$C$161=$C22),0),
  _xlpm.c, MATCH(Z$8,'3. Enter Indicator Scores'!$D$8:$CZ$8,0),
  _xlpm.v, IFERROR(INDEX('3. Enter Indicator Scores'!$D$10:$CZ$161,_xlpm.r,_xlpm.c),""),
  IF(OR(_xlpm.w="",_xlpm.v=""),"",_xlpm.v*_xlpm.w)
)</f>
        <v/>
      </c>
      <c r="AA22" s="93" t="str" cm="1">
        <f t="array" ref="AA22">_xlfn.LET(
  _xlpm.w, AA$11,
  _xlpm.r, MATCH(1,('3. Enter Indicator Scores'!$B$10:$B$161=$B22)*('3. Enter Indicator Scores'!$C$10:$C$161=$C22),0),
  _xlpm.c, MATCH(AA$8,'3. Enter Indicator Scores'!$D$8:$CZ$8,0),
  _xlpm.v, IFERROR(INDEX('3. Enter Indicator Scores'!$D$10:$CZ$161,_xlpm.r,_xlpm.c),""),
  IF(OR(_xlpm.w="",_xlpm.v=""),"",_xlpm.v*_xlpm.w)
)</f>
        <v/>
      </c>
      <c r="AB22" s="93" t="str" cm="1">
        <f t="array" ref="AB22">_xlfn.LET(
  _xlpm.w, AB$11,
  _xlpm.r, MATCH(1,('3. Enter Indicator Scores'!$B$10:$B$161=$B22)*('3. Enter Indicator Scores'!$C$10:$C$161=$C22),0),
  _xlpm.c, MATCH(AB$8,'3. Enter Indicator Scores'!$D$8:$CZ$8,0),
  _xlpm.v, IFERROR(INDEX('3. Enter Indicator Scores'!$D$10:$CZ$161,_xlpm.r,_xlpm.c),""),
  IF(OR(_xlpm.w="",_xlpm.v=""),"",_xlpm.v*_xlpm.w)
)</f>
        <v/>
      </c>
      <c r="AC22" s="93" t="str" cm="1">
        <f t="array" ref="AC22">_xlfn.LET(
  _xlpm.w, AC$11,
  _xlpm.r, MATCH(1,('3. Enter Indicator Scores'!$B$10:$B$161=$B22)*('3. Enter Indicator Scores'!$C$10:$C$161=$C22),0),
  _xlpm.c, MATCH(AC$8,'3. Enter Indicator Scores'!$D$8:$CZ$8,0),
  _xlpm.v, IFERROR(INDEX('3. Enter Indicator Scores'!$D$10:$CZ$161,_xlpm.r,_xlpm.c),""),
  IF(OR(_xlpm.w="",_xlpm.v=""),"",_xlpm.v*_xlpm.w)
)</f>
        <v/>
      </c>
      <c r="AD22" s="93" t="str" cm="1">
        <f t="array" ref="AD22">_xlfn.LET(
  _xlpm.w, AD$11,
  _xlpm.r, MATCH(1,('3. Enter Indicator Scores'!$B$10:$B$161=$B22)*('3. Enter Indicator Scores'!$C$10:$C$161=$C22),0),
  _xlpm.c, MATCH(AD$8,'3. Enter Indicator Scores'!$D$8:$CZ$8,0),
  _xlpm.v, IFERROR(INDEX('3. Enter Indicator Scores'!$D$10:$CZ$161,_xlpm.r,_xlpm.c),""),
  IF(OR(_xlpm.w="",_xlpm.v=""),"",_xlpm.v*_xlpm.w)
)</f>
        <v/>
      </c>
      <c r="AE22" s="93" t="str" cm="1">
        <f t="array" ref="AE22">_xlfn.LET(
  _xlpm.w, AE$11,
  _xlpm.r, MATCH(1,('3. Enter Indicator Scores'!$B$10:$B$161=$B22)*('3. Enter Indicator Scores'!$C$10:$C$161=$C22),0),
  _xlpm.c, MATCH(AE$8,'3. Enter Indicator Scores'!$D$8:$CZ$8,0),
  _xlpm.v, IFERROR(INDEX('3. Enter Indicator Scores'!$D$10:$CZ$161,_xlpm.r,_xlpm.c),""),
  IF(OR(_xlpm.w="",_xlpm.v=""),"",_xlpm.v*_xlpm.w)
)</f>
        <v/>
      </c>
      <c r="AF22" s="93" t="str" cm="1">
        <f t="array" ref="AF22">_xlfn.LET(
  _xlpm.w, AF$11,
  _xlpm.r, MATCH(1,('3. Enter Indicator Scores'!$B$10:$B$161=$B22)*('3. Enter Indicator Scores'!$C$10:$C$161=$C22),0),
  _xlpm.c, MATCH(AF$8,'3. Enter Indicator Scores'!$D$8:$CZ$8,0),
  _xlpm.v, IFERROR(INDEX('3. Enter Indicator Scores'!$D$10:$CZ$161,_xlpm.r,_xlpm.c),""),
  IF(OR(_xlpm.w="",_xlpm.v=""),"",_xlpm.v*_xlpm.w)
)</f>
        <v/>
      </c>
      <c r="AG22" s="93" t="str" cm="1">
        <f t="array" ref="AG22">_xlfn.LET(
  _xlpm.w, AG$11,
  _xlpm.r, MATCH(1,('3. Enter Indicator Scores'!$B$10:$B$161=$B22)*('3. Enter Indicator Scores'!$C$10:$C$161=$C22),0),
  _xlpm.c, MATCH(AG$8,'3. Enter Indicator Scores'!$D$8:$CZ$8,0),
  _xlpm.v, IFERROR(INDEX('3. Enter Indicator Scores'!$D$10:$CZ$161,_xlpm.r,_xlpm.c),""),
  IF(OR(_xlpm.w="",_xlpm.v=""),"",_xlpm.v*_xlpm.w)
)</f>
        <v/>
      </c>
      <c r="AH22" s="93" t="str" cm="1">
        <f t="array" ref="AH22">_xlfn.LET(
  _xlpm.w, AH$11,
  _xlpm.r, MATCH(1,('3. Enter Indicator Scores'!$B$10:$B$161=$B22)*('3. Enter Indicator Scores'!$C$10:$C$161=$C22),0),
  _xlpm.c, MATCH(AH$8,'3. Enter Indicator Scores'!$D$8:$CZ$8,0),
  _xlpm.v, IFERROR(INDEX('3. Enter Indicator Scores'!$D$10:$CZ$161,_xlpm.r,_xlpm.c),""),
  IF(OR(_xlpm.w="",_xlpm.v=""),"",_xlpm.v*_xlpm.w)
)</f>
        <v/>
      </c>
      <c r="AI22" s="93" t="str" cm="1">
        <f t="array" ref="AI22">_xlfn.LET(
  _xlpm.w, AI$11,
  _xlpm.r, MATCH(1,('3. Enter Indicator Scores'!$B$10:$B$161=$B22)*('3. Enter Indicator Scores'!$C$10:$C$161=$C22),0),
  _xlpm.c, MATCH(AI$8,'3. Enter Indicator Scores'!$D$8:$CZ$8,0),
  _xlpm.v, IFERROR(INDEX('3. Enter Indicator Scores'!$D$10:$CZ$161,_xlpm.r,_xlpm.c),""),
  IF(OR(_xlpm.w="",_xlpm.v=""),"",_xlpm.v*_xlpm.w)
)</f>
        <v/>
      </c>
      <c r="AJ22" s="93" t="str" cm="1">
        <f t="array" ref="AJ22">_xlfn.LET(
  _xlpm.w, AJ$11,
  _xlpm.r, MATCH(1,('3. Enter Indicator Scores'!$B$10:$B$161=$B22)*('3. Enter Indicator Scores'!$C$10:$C$161=$C22),0),
  _xlpm.c, MATCH(AJ$8,'3. Enter Indicator Scores'!$D$8:$CZ$8,0),
  _xlpm.v, IFERROR(INDEX('3. Enter Indicator Scores'!$D$10:$CZ$161,_xlpm.r,_xlpm.c),""),
  IF(OR(_xlpm.w="",_xlpm.v=""),"",_xlpm.v*_xlpm.w)
)</f>
        <v/>
      </c>
      <c r="AK22" s="93" t="str" cm="1">
        <f t="array" ref="AK22">_xlfn.LET(
  _xlpm.w, AK$11,
  _xlpm.r, MATCH(1,('3. Enter Indicator Scores'!$B$10:$B$161=$B22)*('3. Enter Indicator Scores'!$C$10:$C$161=$C22),0),
  _xlpm.c, MATCH(AK$8,'3. Enter Indicator Scores'!$D$8:$CZ$8,0),
  _xlpm.v, IFERROR(INDEX('3. Enter Indicator Scores'!$D$10:$CZ$161,_xlpm.r,_xlpm.c),""),
  IF(OR(_xlpm.w="",_xlpm.v=""),"",_xlpm.v*_xlpm.w)
)</f>
        <v/>
      </c>
      <c r="AL22" s="93" t="str" cm="1">
        <f t="array" ref="AL22">_xlfn.LET(
  _xlpm.w, AL$11,
  _xlpm.r, MATCH(1,('3. Enter Indicator Scores'!$B$10:$B$161=$B22)*('3. Enter Indicator Scores'!$C$10:$C$161=$C22),0),
  _xlpm.c, MATCH(AL$8,'3. Enter Indicator Scores'!$D$8:$CZ$8,0),
  _xlpm.v, IFERROR(INDEX('3. Enter Indicator Scores'!$D$10:$CZ$161,_xlpm.r,_xlpm.c),""),
  IF(OR(_xlpm.w="",_xlpm.v=""),"",_xlpm.v*_xlpm.w)
)</f>
        <v/>
      </c>
      <c r="AM22" s="93" t="str" cm="1">
        <f t="array" ref="AM22">_xlfn.LET(
  _xlpm.w, AM$11,
  _xlpm.r, MATCH(1,('3. Enter Indicator Scores'!$B$10:$B$161=$B22)*('3. Enter Indicator Scores'!$C$10:$C$161=$C22),0),
  _xlpm.c, MATCH(AM$8,'3. Enter Indicator Scores'!$D$8:$CZ$8,0),
  _xlpm.v, IFERROR(INDEX('3. Enter Indicator Scores'!$D$10:$CZ$161,_xlpm.r,_xlpm.c),""),
  IF(OR(_xlpm.w="",_xlpm.v=""),"",_xlpm.v*_xlpm.w)
)</f>
        <v/>
      </c>
      <c r="AN22" s="93" t="str" cm="1">
        <f t="array" ref="AN22">_xlfn.LET(
  _xlpm.w, AN$11,
  _xlpm.r, MATCH(1,('3. Enter Indicator Scores'!$B$10:$B$161=$B22)*('3. Enter Indicator Scores'!$C$10:$C$161=$C22),0),
  _xlpm.c, MATCH(AN$8,'3. Enter Indicator Scores'!$D$8:$CZ$8,0),
  _xlpm.v, IFERROR(INDEX('3. Enter Indicator Scores'!$D$10:$CZ$161,_xlpm.r,_xlpm.c),""),
  IF(OR(_xlpm.w="",_xlpm.v=""),"",_xlpm.v*_xlpm.w)
)</f>
        <v/>
      </c>
      <c r="AO22" s="93" t="str" cm="1">
        <f t="array" ref="AO22">_xlfn.LET(
  _xlpm.w, AO$11,
  _xlpm.r, MATCH(1,('3. Enter Indicator Scores'!$B$10:$B$161=$B22)*('3. Enter Indicator Scores'!$C$10:$C$161=$C22),0),
  _xlpm.c, MATCH(AO$8,'3. Enter Indicator Scores'!$D$8:$CZ$8,0),
  _xlpm.v, IFERROR(INDEX('3. Enter Indicator Scores'!$D$10:$CZ$161,_xlpm.r,_xlpm.c),""),
  IF(OR(_xlpm.w="",_xlpm.v=""),"",_xlpm.v*_xlpm.w)
)</f>
        <v/>
      </c>
      <c r="AP22" s="93" t="str" cm="1">
        <f t="array" ref="AP22">_xlfn.LET(
  _xlpm.w, AP$11,
  _xlpm.r, MATCH(1,('3. Enter Indicator Scores'!$B$10:$B$161=$B22)*('3. Enter Indicator Scores'!$C$10:$C$161=$C22),0),
  _xlpm.c, MATCH(AP$8,'3. Enter Indicator Scores'!$D$8:$CZ$8,0),
  _xlpm.v, IFERROR(INDEX('3. Enter Indicator Scores'!$D$10:$CZ$161,_xlpm.r,_xlpm.c),""),
  IF(OR(_xlpm.w="",_xlpm.v=""),"",_xlpm.v*_xlpm.w)
)</f>
        <v/>
      </c>
      <c r="AQ22" s="93" t="str" cm="1">
        <f t="array" ref="AQ22">_xlfn.LET(
  _xlpm.w, AQ$11,
  _xlpm.r, MATCH(1,('3. Enter Indicator Scores'!$B$10:$B$161=$B22)*('3. Enter Indicator Scores'!$C$10:$C$161=$C22),0),
  _xlpm.c, MATCH(AQ$8,'3. Enter Indicator Scores'!$D$8:$CZ$8,0),
  _xlpm.v, IFERROR(INDEX('3. Enter Indicator Scores'!$D$10:$CZ$161,_xlpm.r,_xlpm.c),""),
  IF(OR(_xlpm.w="",_xlpm.v=""),"",_xlpm.v*_xlpm.w)
)</f>
        <v/>
      </c>
      <c r="AR22" s="93" t="str" cm="1">
        <f t="array" ref="AR22">_xlfn.LET(
  _xlpm.w, AR$11,
  _xlpm.r, MATCH(1,('3. Enter Indicator Scores'!$B$10:$B$161=$B22)*('3. Enter Indicator Scores'!$C$10:$C$161=$C22),0),
  _xlpm.c, MATCH(AR$8,'3. Enter Indicator Scores'!$D$8:$CZ$8,0),
  _xlpm.v, IFERROR(INDEX('3. Enter Indicator Scores'!$D$10:$CZ$161,_xlpm.r,_xlpm.c),""),
  IF(OR(_xlpm.w="",_xlpm.v=""),"",_xlpm.v*_xlpm.w)
)</f>
        <v/>
      </c>
      <c r="AS22" s="93" t="str" cm="1">
        <f t="array" ref="AS22">_xlfn.LET(
  _xlpm.w, AS$11,
  _xlpm.r, MATCH(1,('3. Enter Indicator Scores'!$B$10:$B$161=$B22)*('3. Enter Indicator Scores'!$C$10:$C$161=$C22),0),
  _xlpm.c, MATCH(AS$8,'3. Enter Indicator Scores'!$D$8:$CZ$8,0),
  _xlpm.v, IFERROR(INDEX('3. Enter Indicator Scores'!$D$10:$CZ$161,_xlpm.r,_xlpm.c),""),
  IF(OR(_xlpm.w="",_xlpm.v=""),"",_xlpm.v*_xlpm.w)
)</f>
        <v/>
      </c>
      <c r="AT22" s="93" t="str" cm="1">
        <f t="array" ref="AT22">_xlfn.LET(
  _xlpm.w, AT$11,
  _xlpm.r, MATCH(1,('3. Enter Indicator Scores'!$B$10:$B$161=$B22)*('3. Enter Indicator Scores'!$C$10:$C$161=$C22),0),
  _xlpm.c, MATCH(AT$8,'3. Enter Indicator Scores'!$D$8:$CZ$8,0),
  _xlpm.v, IFERROR(INDEX('3. Enter Indicator Scores'!$D$10:$CZ$161,_xlpm.r,_xlpm.c),""),
  IF(OR(_xlpm.w="",_xlpm.v=""),"",_xlpm.v*_xlpm.w)
)</f>
        <v/>
      </c>
      <c r="AU22" s="93" t="str" cm="1">
        <f t="array" ref="AU22">_xlfn.LET(
  _xlpm.w, AU$11,
  _xlpm.r, MATCH(1,('3. Enter Indicator Scores'!$B$10:$B$161=$B22)*('3. Enter Indicator Scores'!$C$10:$C$161=$C22),0),
  _xlpm.c, MATCH(AU$8,'3. Enter Indicator Scores'!$D$8:$CZ$8,0),
  _xlpm.v, IFERROR(INDEX('3. Enter Indicator Scores'!$D$10:$CZ$161,_xlpm.r,_xlpm.c),""),
  IF(OR(_xlpm.w="",_xlpm.v=""),"",_xlpm.v*_xlpm.w)
)</f>
        <v/>
      </c>
      <c r="AV22" s="93" t="str" cm="1">
        <f t="array" ref="AV22">_xlfn.LET(
  _xlpm.w, AV$11,
  _xlpm.r, MATCH(1,('3. Enter Indicator Scores'!$B$10:$B$161=$B22)*('3. Enter Indicator Scores'!$C$10:$C$161=$C22),0),
  _xlpm.c, MATCH(AV$8,'3. Enter Indicator Scores'!$D$8:$CZ$8,0),
  _xlpm.v, IFERROR(INDEX('3. Enter Indicator Scores'!$D$10:$CZ$161,_xlpm.r,_xlpm.c),""),
  IF(OR(_xlpm.w="",_xlpm.v=""),"",_xlpm.v*_xlpm.w)
)</f>
        <v/>
      </c>
      <c r="AW22" s="93" t="str" cm="1">
        <f t="array" ref="AW22">_xlfn.LET(
  _xlpm.w, AW$11,
  _xlpm.r, MATCH(1,('3. Enter Indicator Scores'!$B$10:$B$161=$B22)*('3. Enter Indicator Scores'!$C$10:$C$161=$C22),0),
  _xlpm.c, MATCH(AW$8,'3. Enter Indicator Scores'!$D$8:$CZ$8,0),
  _xlpm.v, IFERROR(INDEX('3. Enter Indicator Scores'!$D$10:$CZ$161,_xlpm.r,_xlpm.c),""),
  IF(OR(_xlpm.w="",_xlpm.v=""),"",_xlpm.v*_xlpm.w)
)</f>
        <v/>
      </c>
      <c r="AX22" s="93" t="str" cm="1">
        <f t="array" ref="AX22">_xlfn.LET(
  _xlpm.w, AX$11,
  _xlpm.r, MATCH(1,('3. Enter Indicator Scores'!$B$10:$B$161=$B22)*('3. Enter Indicator Scores'!$C$10:$C$161=$C22),0),
  _xlpm.c, MATCH(AX$8,'3. Enter Indicator Scores'!$D$8:$CZ$8,0),
  _xlpm.v, IFERROR(INDEX('3. Enter Indicator Scores'!$D$10:$CZ$161,_xlpm.r,_xlpm.c),""),
  IF(OR(_xlpm.w="",_xlpm.v=""),"",_xlpm.v*_xlpm.w)
)</f>
        <v/>
      </c>
      <c r="AY22" s="93" t="str" cm="1">
        <f t="array" ref="AY22">_xlfn.LET(
  _xlpm.w, AY$11,
  _xlpm.r, MATCH(1,('3. Enter Indicator Scores'!$B$10:$B$161=$B22)*('3. Enter Indicator Scores'!$C$10:$C$161=$C22),0),
  _xlpm.c, MATCH(AY$8,'3. Enter Indicator Scores'!$D$8:$CZ$8,0),
  _xlpm.v, IFERROR(INDEX('3. Enter Indicator Scores'!$D$10:$CZ$161,_xlpm.r,_xlpm.c),""),
  IF(OR(_xlpm.w="",_xlpm.v=""),"",_xlpm.v*_xlpm.w)
)</f>
        <v/>
      </c>
      <c r="AZ22" s="93" t="str" cm="1">
        <f t="array" ref="AZ22">_xlfn.LET(
  _xlpm.w, AZ$11,
  _xlpm.r, MATCH(1,('3. Enter Indicator Scores'!$B$10:$B$161=$B22)*('3. Enter Indicator Scores'!$C$10:$C$161=$C22),0),
  _xlpm.c, MATCH(AZ$8,'3. Enter Indicator Scores'!$D$8:$CZ$8,0),
  _xlpm.v, IFERROR(INDEX('3. Enter Indicator Scores'!$D$10:$CZ$161,_xlpm.r,_xlpm.c),""),
  IF(OR(_xlpm.w="",_xlpm.v=""),"",_xlpm.v*_xlpm.w)
)</f>
        <v/>
      </c>
      <c r="BA22" s="93" t="str" cm="1">
        <f t="array" ref="BA22">_xlfn.LET(
  _xlpm.w, BA$11,
  _xlpm.r, MATCH(1,('3. Enter Indicator Scores'!$B$10:$B$161=$B22)*('3. Enter Indicator Scores'!$C$10:$C$161=$C22),0),
  _xlpm.c, MATCH(BA$8,'3. Enter Indicator Scores'!$D$8:$CZ$8,0),
  _xlpm.v, IFERROR(INDEX('3. Enter Indicator Scores'!$D$10:$CZ$161,_xlpm.r,_xlpm.c),""),
  IF(OR(_xlpm.w="",_xlpm.v=""),"",_xlpm.v*_xlpm.w)
)</f>
        <v/>
      </c>
      <c r="BB22" s="93" t="str" cm="1">
        <f t="array" ref="BB22">_xlfn.LET(
  _xlpm.w, BB$11,
  _xlpm.r, MATCH(1,('3. Enter Indicator Scores'!$B$10:$B$161=$B22)*('3. Enter Indicator Scores'!$C$10:$C$161=$C22),0),
  _xlpm.c, MATCH(BB$8,'3. Enter Indicator Scores'!$D$8:$CZ$8,0),
  _xlpm.v, IFERROR(INDEX('3. Enter Indicator Scores'!$D$10:$CZ$161,_xlpm.r,_xlpm.c),""),
  IF(OR(_xlpm.w="",_xlpm.v=""),"",_xlpm.v*_xlpm.w)
)</f>
        <v/>
      </c>
      <c r="BC22" s="93" t="str" cm="1">
        <f t="array" ref="BC22">_xlfn.LET(
  _xlpm.w, BC$11,
  _xlpm.r, MATCH(1,('3. Enter Indicator Scores'!$B$10:$B$161=$B22)*('3. Enter Indicator Scores'!$C$10:$C$161=$C22),0),
  _xlpm.c, MATCH(BC$8,'3. Enter Indicator Scores'!$D$8:$CZ$8,0),
  _xlpm.v, IFERROR(INDEX('3. Enter Indicator Scores'!$D$10:$CZ$161,_xlpm.r,_xlpm.c),""),
  IF(OR(_xlpm.w="",_xlpm.v=""),"",_xlpm.v*_xlpm.w)
)</f>
        <v/>
      </c>
      <c r="BD22" s="93" t="str" cm="1">
        <f t="array" ref="BD22">_xlfn.LET(
  _xlpm.w, BD$11,
  _xlpm.r, MATCH(1,('3. Enter Indicator Scores'!$B$10:$B$161=$B22)*('3. Enter Indicator Scores'!$C$10:$C$161=$C22),0),
  _xlpm.c, MATCH(BD$8,'3. Enter Indicator Scores'!$D$8:$CZ$8,0),
  _xlpm.v, IFERROR(INDEX('3. Enter Indicator Scores'!$D$10:$CZ$161,_xlpm.r,_xlpm.c),""),
  IF(OR(_xlpm.w="",_xlpm.v=""),"",_xlpm.v*_xlpm.w)
)</f>
        <v/>
      </c>
      <c r="BE22" s="93" t="str" cm="1">
        <f t="array" ref="BE22">_xlfn.LET(
  _xlpm.w, BE$11,
  _xlpm.r, MATCH(1,('3. Enter Indicator Scores'!$B$10:$B$161=$B22)*('3. Enter Indicator Scores'!$C$10:$C$161=$C22),0),
  _xlpm.c, MATCH(BE$8,'3. Enter Indicator Scores'!$D$8:$CZ$8,0),
  _xlpm.v, IFERROR(INDEX('3. Enter Indicator Scores'!$D$10:$CZ$161,_xlpm.r,_xlpm.c),""),
  IF(OR(_xlpm.w="",_xlpm.v=""),"",_xlpm.v*_xlpm.w)
)</f>
        <v/>
      </c>
      <c r="BF22" s="93" t="str" cm="1">
        <f t="array" ref="BF22">_xlfn.LET(
  _xlpm.w, BF$11,
  _xlpm.r, MATCH(1,('3. Enter Indicator Scores'!$B$10:$B$161=$B22)*('3. Enter Indicator Scores'!$C$10:$C$161=$C22),0),
  _xlpm.c, MATCH(BF$8,'3. Enter Indicator Scores'!$D$8:$CZ$8,0),
  _xlpm.v, IFERROR(INDEX('3. Enter Indicator Scores'!$D$10:$CZ$161,_xlpm.r,_xlpm.c),""),
  IF(OR(_xlpm.w="",_xlpm.v=""),"",_xlpm.v*_xlpm.w)
)</f>
        <v/>
      </c>
      <c r="BG22" s="93" t="str" cm="1">
        <f t="array" ref="BG22">_xlfn.LET(
  _xlpm.w, BG$11,
  _xlpm.r, MATCH(1,('3. Enter Indicator Scores'!$B$10:$B$161=$B22)*('3. Enter Indicator Scores'!$C$10:$C$161=$C22),0),
  _xlpm.c, MATCH(BG$8,'3. Enter Indicator Scores'!$D$8:$CZ$8,0),
  _xlpm.v, IFERROR(INDEX('3. Enter Indicator Scores'!$D$10:$CZ$161,_xlpm.r,_xlpm.c),""),
  IF(OR(_xlpm.w="",_xlpm.v=""),"",_xlpm.v*_xlpm.w)
)</f>
        <v/>
      </c>
      <c r="BH22" s="93" t="str" cm="1">
        <f t="array" ref="BH22">_xlfn.LET(
  _xlpm.w, BH$11,
  _xlpm.r, MATCH(1,('3. Enter Indicator Scores'!$B$10:$B$161=$B22)*('3. Enter Indicator Scores'!$C$10:$C$161=$C22),0),
  _xlpm.c, MATCH(BH$8,'3. Enter Indicator Scores'!$D$8:$CZ$8,0),
  _xlpm.v, IFERROR(INDEX('3. Enter Indicator Scores'!$D$10:$CZ$161,_xlpm.r,_xlpm.c),""),
  IF(OR(_xlpm.w="",_xlpm.v=""),"",_xlpm.v*_xlpm.w)
)</f>
        <v/>
      </c>
      <c r="BI22" s="93" t="str" cm="1">
        <f t="array" ref="BI22">_xlfn.LET(
  _xlpm.w, BI$11,
  _xlpm.r, MATCH(1,('3. Enter Indicator Scores'!$B$10:$B$161=$B22)*('3. Enter Indicator Scores'!$C$10:$C$161=$C22),0),
  _xlpm.c, MATCH(BI$8,'3. Enter Indicator Scores'!$D$8:$CZ$8,0),
  _xlpm.v, IFERROR(INDEX('3. Enter Indicator Scores'!$D$10:$CZ$161,_xlpm.r,_xlpm.c),""),
  IF(OR(_xlpm.w="",_xlpm.v=""),"",_xlpm.v*_xlpm.w)
)</f>
        <v/>
      </c>
      <c r="BJ22" s="93" t="str" cm="1">
        <f t="array" ref="BJ22">_xlfn.LET(
  _xlpm.w, BJ$11,
  _xlpm.r, MATCH(1,('3. Enter Indicator Scores'!$B$10:$B$161=$B22)*('3. Enter Indicator Scores'!$C$10:$C$161=$C22),0),
  _xlpm.c, MATCH(BJ$8,'3. Enter Indicator Scores'!$D$8:$CZ$8,0),
  _xlpm.v, IFERROR(INDEX('3. Enter Indicator Scores'!$D$10:$CZ$161,_xlpm.r,_xlpm.c),""),
  IF(OR(_xlpm.w="",_xlpm.v=""),"",_xlpm.v*_xlpm.w)
)</f>
        <v/>
      </c>
      <c r="BK22" s="93" t="str" cm="1">
        <f t="array" ref="BK22">_xlfn.LET(
  _xlpm.w, BK$11,
  _xlpm.r, MATCH(1,('3. Enter Indicator Scores'!$B$10:$B$161=$B22)*('3. Enter Indicator Scores'!$C$10:$C$161=$C22),0),
  _xlpm.c, MATCH(BK$8,'3. Enter Indicator Scores'!$D$8:$CZ$8,0),
  _xlpm.v, IFERROR(INDEX('3. Enter Indicator Scores'!$D$10:$CZ$161,_xlpm.r,_xlpm.c),""),
  IF(OR(_xlpm.w="",_xlpm.v=""),"",_xlpm.v*_xlpm.w)
)</f>
        <v/>
      </c>
      <c r="BL22" s="93" t="str" cm="1">
        <f t="array" ref="BL22">_xlfn.LET(
  _xlpm.w, BL$11,
  _xlpm.r, MATCH(1,('3. Enter Indicator Scores'!$B$10:$B$161=$B22)*('3. Enter Indicator Scores'!$C$10:$C$161=$C22),0),
  _xlpm.c, MATCH(BL$8,'3. Enter Indicator Scores'!$D$8:$CZ$8,0),
  _xlpm.v, IFERROR(INDEX('3. Enter Indicator Scores'!$D$10:$CZ$161,_xlpm.r,_xlpm.c),""),
  IF(OR(_xlpm.w="",_xlpm.v=""),"",_xlpm.v*_xlpm.w)
)</f>
        <v/>
      </c>
      <c r="BM22" s="93" t="str" cm="1">
        <f t="array" ref="BM22">_xlfn.LET(
  _xlpm.w, BM$11,
  _xlpm.r, MATCH(1,('3. Enter Indicator Scores'!$B$10:$B$161=$B22)*('3. Enter Indicator Scores'!$C$10:$C$161=$C22),0),
  _xlpm.c, MATCH(BM$8,'3. Enter Indicator Scores'!$D$8:$CZ$8,0),
  _xlpm.v, IFERROR(INDEX('3. Enter Indicator Scores'!$D$10:$CZ$161,_xlpm.r,_xlpm.c),""),
  IF(OR(_xlpm.w="",_xlpm.v=""),"",_xlpm.v*_xlpm.w)
)</f>
        <v/>
      </c>
      <c r="BN22" s="93" t="str" cm="1">
        <f t="array" ref="BN22">_xlfn.LET(
  _xlpm.w, BN$11,
  _xlpm.r, MATCH(1,('3. Enter Indicator Scores'!$B$10:$B$161=$B22)*('3. Enter Indicator Scores'!$C$10:$C$161=$C22),0),
  _xlpm.c, MATCH(BN$8,'3. Enter Indicator Scores'!$D$8:$CZ$8,0),
  _xlpm.v, IFERROR(INDEX('3. Enter Indicator Scores'!$D$10:$CZ$161,_xlpm.r,_xlpm.c),""),
  IF(OR(_xlpm.w="",_xlpm.v=""),"",_xlpm.v*_xlpm.w)
)</f>
        <v/>
      </c>
      <c r="BO22" s="93" t="str" cm="1">
        <f t="array" ref="BO22">_xlfn.LET(
  _xlpm.w, BO$11,
  _xlpm.r, MATCH(1,('3. Enter Indicator Scores'!$B$10:$B$161=$B22)*('3. Enter Indicator Scores'!$C$10:$C$161=$C22),0),
  _xlpm.c, MATCH(BO$8,'3. Enter Indicator Scores'!$D$8:$CZ$8,0),
  _xlpm.v, IFERROR(INDEX('3. Enter Indicator Scores'!$D$10:$CZ$161,_xlpm.r,_xlpm.c),""),
  IF(OR(_xlpm.w="",_xlpm.v=""),"",_xlpm.v*_xlpm.w)
)</f>
        <v/>
      </c>
      <c r="BP22" s="93" t="str" cm="1">
        <f t="array" ref="BP22">_xlfn.LET(
  _xlpm.w, BP$11,
  _xlpm.r, MATCH(1,('3. Enter Indicator Scores'!$B$10:$B$161=$B22)*('3. Enter Indicator Scores'!$C$10:$C$161=$C22),0),
  _xlpm.c, MATCH(BP$8,'3. Enter Indicator Scores'!$D$8:$CZ$8,0),
  _xlpm.v, IFERROR(INDEX('3. Enter Indicator Scores'!$D$10:$CZ$161,_xlpm.r,_xlpm.c),""),
  IF(OR(_xlpm.w="",_xlpm.v=""),"",_xlpm.v*_xlpm.w)
)</f>
        <v/>
      </c>
      <c r="BQ22" s="93" t="str" cm="1">
        <f t="array" ref="BQ22">_xlfn.LET(
  _xlpm.w, BQ$11,
  _xlpm.r, MATCH(1,('3. Enter Indicator Scores'!$B$10:$B$161=$B22)*('3. Enter Indicator Scores'!$C$10:$C$161=$C22),0),
  _xlpm.c, MATCH(BQ$8,'3. Enter Indicator Scores'!$D$8:$CZ$8,0),
  _xlpm.v, IFERROR(INDEX('3. Enter Indicator Scores'!$D$10:$CZ$161,_xlpm.r,_xlpm.c),""),
  IF(OR(_xlpm.w="",_xlpm.v=""),"",_xlpm.v*_xlpm.w)
)</f>
        <v/>
      </c>
      <c r="BR22" s="93" t="str" cm="1">
        <f t="array" ref="BR22">_xlfn.LET(
  _xlpm.w, BR$11,
  _xlpm.r, MATCH(1,('3. Enter Indicator Scores'!$B$10:$B$161=$B22)*('3. Enter Indicator Scores'!$C$10:$C$161=$C22),0),
  _xlpm.c, MATCH(BR$8,'3. Enter Indicator Scores'!$D$8:$CZ$8,0),
  _xlpm.v, IFERROR(INDEX('3. Enter Indicator Scores'!$D$10:$CZ$161,_xlpm.r,_xlpm.c),""),
  IF(OR(_xlpm.w="",_xlpm.v=""),"",_xlpm.v*_xlpm.w)
)</f>
        <v/>
      </c>
      <c r="BS22" s="93" t="str" cm="1">
        <f t="array" ref="BS22">_xlfn.LET(
  _xlpm.w, BS$11,
  _xlpm.r, MATCH(1,('3. Enter Indicator Scores'!$B$10:$B$161=$B22)*('3. Enter Indicator Scores'!$C$10:$C$161=$C22),0),
  _xlpm.c, MATCH(BS$8,'3. Enter Indicator Scores'!$D$8:$CZ$8,0),
  _xlpm.v, IFERROR(INDEX('3. Enter Indicator Scores'!$D$10:$CZ$161,_xlpm.r,_xlpm.c),""),
  IF(OR(_xlpm.w="",_xlpm.v=""),"",_xlpm.v*_xlpm.w)
)</f>
        <v/>
      </c>
      <c r="BT22" s="93" t="str" cm="1">
        <f t="array" ref="BT22">_xlfn.LET(
  _xlpm.w, BT$11,
  _xlpm.r, MATCH(1,('3. Enter Indicator Scores'!$B$10:$B$161=$B22)*('3. Enter Indicator Scores'!$C$10:$C$161=$C22),0),
  _xlpm.c, MATCH(BT$8,'3. Enter Indicator Scores'!$D$8:$CZ$8,0),
  _xlpm.v, IFERROR(INDEX('3. Enter Indicator Scores'!$D$10:$CZ$161,_xlpm.r,_xlpm.c),""),
  IF(OR(_xlpm.w="",_xlpm.v=""),"",_xlpm.v*_xlpm.w)
)</f>
        <v/>
      </c>
      <c r="BU22" s="93" t="str" cm="1">
        <f t="array" ref="BU22">_xlfn.LET(
  _xlpm.w, BU$11,
  _xlpm.r, MATCH(1,('3. Enter Indicator Scores'!$B$10:$B$161=$B22)*('3. Enter Indicator Scores'!$C$10:$C$161=$C22),0),
  _xlpm.c, MATCH(BU$8,'3. Enter Indicator Scores'!$D$8:$CZ$8,0),
  _xlpm.v, IFERROR(INDEX('3. Enter Indicator Scores'!$D$10:$CZ$161,_xlpm.r,_xlpm.c),""),
  IF(OR(_xlpm.w="",_xlpm.v=""),"",_xlpm.v*_xlpm.w)
)</f>
        <v/>
      </c>
      <c r="BV22" s="93" t="str" cm="1">
        <f t="array" ref="BV22">_xlfn.LET(
  _xlpm.w, BV$11,
  _xlpm.r, MATCH(1,('3. Enter Indicator Scores'!$B$10:$B$161=$B22)*('3. Enter Indicator Scores'!$C$10:$C$161=$C22),0),
  _xlpm.c, MATCH(BV$8,'3. Enter Indicator Scores'!$D$8:$CZ$8,0),
  _xlpm.v, IFERROR(INDEX('3. Enter Indicator Scores'!$D$10:$CZ$161,_xlpm.r,_xlpm.c),""),
  IF(OR(_xlpm.w="",_xlpm.v=""),"",_xlpm.v*_xlpm.w)
)</f>
        <v/>
      </c>
      <c r="BW22" s="93" t="str" cm="1">
        <f t="array" ref="BW22">_xlfn.LET(
  _xlpm.w, BW$11,
  _xlpm.r, MATCH(1,('3. Enter Indicator Scores'!$B$10:$B$161=$B22)*('3. Enter Indicator Scores'!$C$10:$C$161=$C22),0),
  _xlpm.c, MATCH(BW$8,'3. Enter Indicator Scores'!$D$8:$CZ$8,0),
  _xlpm.v, IFERROR(INDEX('3. Enter Indicator Scores'!$D$10:$CZ$161,_xlpm.r,_xlpm.c),""),
  IF(OR(_xlpm.w="",_xlpm.v=""),"",_xlpm.v*_xlpm.w)
)</f>
        <v/>
      </c>
      <c r="BX22" s="93" t="str" cm="1">
        <f t="array" ref="BX22">_xlfn.LET(
  _xlpm.w, BX$11,
  _xlpm.r, MATCH(1,('3. Enter Indicator Scores'!$B$10:$B$161=$B22)*('3. Enter Indicator Scores'!$C$10:$C$161=$C22),0),
  _xlpm.c, MATCH(BX$8,'3. Enter Indicator Scores'!$D$8:$CZ$8,0),
  _xlpm.v, IFERROR(INDEX('3. Enter Indicator Scores'!$D$10:$CZ$161,_xlpm.r,_xlpm.c),""),
  IF(OR(_xlpm.w="",_xlpm.v=""),"",_xlpm.v*_xlpm.w)
)</f>
        <v/>
      </c>
      <c r="BY22" s="93" t="str" cm="1">
        <f t="array" ref="BY22">_xlfn.LET(
  _xlpm.w, BY$11,
  _xlpm.r, MATCH(1,('3. Enter Indicator Scores'!$B$10:$B$161=$B22)*('3. Enter Indicator Scores'!$C$10:$C$161=$C22),0),
  _xlpm.c, MATCH(BY$8,'3. Enter Indicator Scores'!$D$8:$CZ$8,0),
  _xlpm.v, IFERROR(INDEX('3. Enter Indicator Scores'!$D$10:$CZ$161,_xlpm.r,_xlpm.c),""),
  IF(OR(_xlpm.w="",_xlpm.v=""),"",_xlpm.v*_xlpm.w)
)</f>
        <v/>
      </c>
      <c r="BZ22" s="93" t="str" cm="1">
        <f t="array" ref="BZ22">_xlfn.LET(
  _xlpm.w, BZ$11,
  _xlpm.r, MATCH(1,('3. Enter Indicator Scores'!$B$10:$B$161=$B22)*('3. Enter Indicator Scores'!$C$10:$C$161=$C22),0),
  _xlpm.c, MATCH(BZ$8,'3. Enter Indicator Scores'!$D$8:$CZ$8,0),
  _xlpm.v, IFERROR(INDEX('3. Enter Indicator Scores'!$D$10:$CZ$161,_xlpm.r,_xlpm.c),""),
  IF(OR(_xlpm.w="",_xlpm.v=""),"",_xlpm.v*_xlpm.w)
)</f>
        <v/>
      </c>
      <c r="CA22" s="93" t="str" cm="1">
        <f t="array" ref="CA22">_xlfn.LET(
  _xlpm.w, CA$11,
  _xlpm.r, MATCH(1,('3. Enter Indicator Scores'!$B$10:$B$161=$B22)*('3. Enter Indicator Scores'!$C$10:$C$161=$C22),0),
  _xlpm.c, MATCH(CA$8,'3. Enter Indicator Scores'!$D$8:$CZ$8,0),
  _xlpm.v, IFERROR(INDEX('3. Enter Indicator Scores'!$D$10:$CZ$161,_xlpm.r,_xlpm.c),""),
  IF(OR(_xlpm.w="",_xlpm.v=""),"",_xlpm.v*_xlpm.w)
)</f>
        <v/>
      </c>
      <c r="CB22" s="93" t="str" cm="1">
        <f t="array" ref="CB22">_xlfn.LET(
  _xlpm.w, CB$11,
  _xlpm.r, MATCH(1,('3. Enter Indicator Scores'!$B$10:$B$161=$B22)*('3. Enter Indicator Scores'!$C$10:$C$161=$C22),0),
  _xlpm.c, MATCH(CB$8,'3. Enter Indicator Scores'!$D$8:$CZ$8,0),
  _xlpm.v, IFERROR(INDEX('3. Enter Indicator Scores'!$D$10:$CZ$161,_xlpm.r,_xlpm.c),""),
  IF(OR(_xlpm.w="",_xlpm.v=""),"",_xlpm.v*_xlpm.w)
)</f>
        <v/>
      </c>
      <c r="CC22" s="93" t="str" cm="1">
        <f t="array" ref="CC22">_xlfn.LET(
  _xlpm.w, CC$11,
  _xlpm.r, MATCH(1,('3. Enter Indicator Scores'!$B$10:$B$161=$B22)*('3. Enter Indicator Scores'!$C$10:$C$161=$C22),0),
  _xlpm.c, MATCH(CC$8,'3. Enter Indicator Scores'!$D$8:$CZ$8,0),
  _xlpm.v, IFERROR(INDEX('3. Enter Indicator Scores'!$D$10:$CZ$161,_xlpm.r,_xlpm.c),""),
  IF(OR(_xlpm.w="",_xlpm.v=""),"",_xlpm.v*_xlpm.w)
)</f>
        <v/>
      </c>
      <c r="CD22" s="93" t="str" cm="1">
        <f t="array" ref="CD22">_xlfn.LET(
  _xlpm.w, CD$11,
  _xlpm.r, MATCH(1,('3. Enter Indicator Scores'!$B$10:$B$161=$B22)*('3. Enter Indicator Scores'!$C$10:$C$161=$C22),0),
  _xlpm.c, MATCH(CD$8,'3. Enter Indicator Scores'!$D$8:$CZ$8,0),
  _xlpm.v, IFERROR(INDEX('3. Enter Indicator Scores'!$D$10:$CZ$161,_xlpm.r,_xlpm.c),""),
  IF(OR(_xlpm.w="",_xlpm.v=""),"",_xlpm.v*_xlpm.w)
)</f>
        <v/>
      </c>
      <c r="CE22" s="93" t="str" cm="1">
        <f t="array" ref="CE22">_xlfn.LET(
  _xlpm.w, CE$11,
  _xlpm.r, MATCH(1,('3. Enter Indicator Scores'!$B$10:$B$161=$B22)*('3. Enter Indicator Scores'!$C$10:$C$161=$C22),0),
  _xlpm.c, MATCH(CE$8,'3. Enter Indicator Scores'!$D$8:$CZ$8,0),
  _xlpm.v, IFERROR(INDEX('3. Enter Indicator Scores'!$D$10:$CZ$161,_xlpm.r,_xlpm.c),""),
  IF(OR(_xlpm.w="",_xlpm.v=""),"",_xlpm.v*_xlpm.w)
)</f>
        <v/>
      </c>
      <c r="CF22" s="93" t="str" cm="1">
        <f t="array" ref="CF22">_xlfn.LET(
  _xlpm.w, CF$11,
  _xlpm.r, MATCH(1,('3. Enter Indicator Scores'!$B$10:$B$161=$B22)*('3. Enter Indicator Scores'!$C$10:$C$161=$C22),0),
  _xlpm.c, MATCH(CF$8,'3. Enter Indicator Scores'!$D$8:$CZ$8,0),
  _xlpm.v, IFERROR(INDEX('3. Enter Indicator Scores'!$D$10:$CZ$161,_xlpm.r,_xlpm.c),""),
  IF(OR(_xlpm.w="",_xlpm.v=""),"",_xlpm.v*_xlpm.w)
)</f>
        <v/>
      </c>
      <c r="CG22" s="93" t="str" cm="1">
        <f t="array" ref="CG22">_xlfn.LET(
  _xlpm.w, CG$11,
  _xlpm.r, MATCH(1,('3. Enter Indicator Scores'!$B$10:$B$161=$B22)*('3. Enter Indicator Scores'!$C$10:$C$161=$C22),0),
  _xlpm.c, MATCH(CG$8,'3. Enter Indicator Scores'!$D$8:$CZ$8,0),
  _xlpm.v, IFERROR(INDEX('3. Enter Indicator Scores'!$D$10:$CZ$161,_xlpm.r,_xlpm.c),""),
  IF(OR(_xlpm.w="",_xlpm.v=""),"",_xlpm.v*_xlpm.w)
)</f>
        <v/>
      </c>
      <c r="CH22" s="93" t="str" cm="1">
        <f t="array" ref="CH22">_xlfn.LET(
  _xlpm.w, CH$11,
  _xlpm.r, MATCH(1,('3. Enter Indicator Scores'!$B$10:$B$161=$B22)*('3. Enter Indicator Scores'!$C$10:$C$161=$C22),0),
  _xlpm.c, MATCH(CH$8,'3. Enter Indicator Scores'!$D$8:$CZ$8,0),
  _xlpm.v, IFERROR(INDEX('3. Enter Indicator Scores'!$D$10:$CZ$161,_xlpm.r,_xlpm.c),""),
  IF(OR(_xlpm.w="",_xlpm.v=""),"",_xlpm.v*_xlpm.w)
)</f>
        <v/>
      </c>
      <c r="CI22" s="93" t="str" cm="1">
        <f t="array" ref="CI22">_xlfn.LET(
  _xlpm.w, CI$11,
  _xlpm.r, MATCH(1,('3. Enter Indicator Scores'!$B$10:$B$161=$B22)*('3. Enter Indicator Scores'!$C$10:$C$161=$C22),0),
  _xlpm.c, MATCH(CI$8,'3. Enter Indicator Scores'!$D$8:$CZ$8,0),
  _xlpm.v, IFERROR(INDEX('3. Enter Indicator Scores'!$D$10:$CZ$161,_xlpm.r,_xlpm.c),""),
  IF(OR(_xlpm.w="",_xlpm.v=""),"",_xlpm.v*_xlpm.w)
)</f>
        <v/>
      </c>
      <c r="CJ22" s="93" t="str" cm="1">
        <f t="array" ref="CJ22">_xlfn.LET(
  _xlpm.w, CJ$11,
  _xlpm.r, MATCH(1,('3. Enter Indicator Scores'!$B$10:$B$161=$B22)*('3. Enter Indicator Scores'!$C$10:$C$161=$C22),0),
  _xlpm.c, MATCH(CJ$8,'3. Enter Indicator Scores'!$D$8:$CZ$8,0),
  _xlpm.v, IFERROR(INDEX('3. Enter Indicator Scores'!$D$10:$CZ$161,_xlpm.r,_xlpm.c),""),
  IF(OR(_xlpm.w="",_xlpm.v=""),"",_xlpm.v*_xlpm.w)
)</f>
        <v/>
      </c>
      <c r="CK22" s="93" t="str" cm="1">
        <f t="array" ref="CK22">_xlfn.LET(
  _xlpm.w, CK$11,
  _xlpm.r, MATCH(1,('3. Enter Indicator Scores'!$B$10:$B$161=$B22)*('3. Enter Indicator Scores'!$C$10:$C$161=$C22),0),
  _xlpm.c, MATCH(CK$8,'3. Enter Indicator Scores'!$D$8:$CZ$8,0),
  _xlpm.v, IFERROR(INDEX('3. Enter Indicator Scores'!$D$10:$CZ$161,_xlpm.r,_xlpm.c),""),
  IF(OR(_xlpm.w="",_xlpm.v=""),"",_xlpm.v*_xlpm.w)
)</f>
        <v/>
      </c>
      <c r="CL22" s="93" t="str" cm="1">
        <f t="array" ref="CL22">_xlfn.LET(
  _xlpm.w, CL$11,
  _xlpm.r, MATCH(1,('3. Enter Indicator Scores'!$B$10:$B$161=$B22)*('3. Enter Indicator Scores'!$C$10:$C$161=$C22),0),
  _xlpm.c, MATCH(CL$8,'3. Enter Indicator Scores'!$D$8:$CZ$8,0),
  _xlpm.v, IFERROR(INDEX('3. Enter Indicator Scores'!$D$10:$CZ$161,_xlpm.r,_xlpm.c),""),
  IF(OR(_xlpm.w="",_xlpm.v=""),"",_xlpm.v*_xlpm.w)
)</f>
        <v/>
      </c>
      <c r="CM22" s="93" t="str" cm="1">
        <f t="array" ref="CM22">_xlfn.LET(
  _xlpm.w, CM$11,
  _xlpm.r, MATCH(1,('3. Enter Indicator Scores'!$B$10:$B$161=$B22)*('3. Enter Indicator Scores'!$C$10:$C$161=$C22),0),
  _xlpm.c, MATCH(CM$8,'3. Enter Indicator Scores'!$D$8:$CZ$8,0),
  _xlpm.v, IFERROR(INDEX('3. Enter Indicator Scores'!$D$10:$CZ$161,_xlpm.r,_xlpm.c),""),
  IF(OR(_xlpm.w="",_xlpm.v=""),"",_xlpm.v*_xlpm.w)
)</f>
        <v/>
      </c>
      <c r="CN22" s="93" t="str" cm="1">
        <f t="array" ref="CN22">_xlfn.LET(
  _xlpm.w, CN$11,
  _xlpm.r, MATCH(1,('3. Enter Indicator Scores'!$B$10:$B$161=$B22)*('3. Enter Indicator Scores'!$C$10:$C$161=$C22),0),
  _xlpm.c, MATCH(CN$8,'3. Enter Indicator Scores'!$D$8:$CZ$8,0),
  _xlpm.v, IFERROR(INDEX('3. Enter Indicator Scores'!$D$10:$CZ$161,_xlpm.r,_xlpm.c),""),
  IF(OR(_xlpm.w="",_xlpm.v=""),"",_xlpm.v*_xlpm.w)
)</f>
        <v/>
      </c>
      <c r="CO22" s="93" t="str" cm="1">
        <f t="array" ref="CO22">_xlfn.LET(
  _xlpm.w, CO$11,
  _xlpm.r, MATCH(1,('3. Enter Indicator Scores'!$B$10:$B$161=$B22)*('3. Enter Indicator Scores'!$C$10:$C$161=$C22),0),
  _xlpm.c, MATCH(CO$8,'3. Enter Indicator Scores'!$D$8:$CZ$8,0),
  _xlpm.v, IFERROR(INDEX('3. Enter Indicator Scores'!$D$10:$CZ$161,_xlpm.r,_xlpm.c),""),
  IF(OR(_xlpm.w="",_xlpm.v=""),"",_xlpm.v*_xlpm.w)
)</f>
        <v/>
      </c>
      <c r="CP22" s="93" t="str" cm="1">
        <f t="array" ref="CP22">_xlfn.LET(
  _xlpm.w, CP$11,
  _xlpm.r, MATCH(1,('3. Enter Indicator Scores'!$B$10:$B$161=$B22)*('3. Enter Indicator Scores'!$C$10:$C$161=$C22),0),
  _xlpm.c, MATCH(CP$8,'3. Enter Indicator Scores'!$D$8:$CZ$8,0),
  _xlpm.v, IFERROR(INDEX('3. Enter Indicator Scores'!$D$10:$CZ$161,_xlpm.r,_xlpm.c),""),
  IF(OR(_xlpm.w="",_xlpm.v=""),"",_xlpm.v*_xlpm.w)
)</f>
        <v/>
      </c>
      <c r="CQ22" s="93" t="str" cm="1">
        <f t="array" ref="CQ22">_xlfn.LET(
  _xlpm.w, CQ$11,
  _xlpm.r, MATCH(1,('3. Enter Indicator Scores'!$B$10:$B$161=$B22)*('3. Enter Indicator Scores'!$C$10:$C$161=$C22),0),
  _xlpm.c, MATCH(CQ$8,'3. Enter Indicator Scores'!$D$8:$CZ$8,0),
  _xlpm.v, IFERROR(INDEX('3. Enter Indicator Scores'!$D$10:$CZ$161,_xlpm.r,_xlpm.c),""),
  IF(OR(_xlpm.w="",_xlpm.v=""),"",_xlpm.v*_xlpm.w)
)</f>
        <v/>
      </c>
      <c r="CR22" s="93" t="str" cm="1">
        <f t="array" ref="CR22">_xlfn.LET(
  _xlpm.w, CR$11,
  _xlpm.r, MATCH(1,('3. Enter Indicator Scores'!$B$10:$B$161=$B22)*('3. Enter Indicator Scores'!$C$10:$C$161=$C22),0),
  _xlpm.c, MATCH(CR$8,'3. Enter Indicator Scores'!$D$8:$CZ$8,0),
  _xlpm.v, IFERROR(INDEX('3. Enter Indicator Scores'!$D$10:$CZ$161,_xlpm.r,_xlpm.c),""),
  IF(OR(_xlpm.w="",_xlpm.v=""),"",_xlpm.v*_xlpm.w)
)</f>
        <v/>
      </c>
      <c r="CS22" s="93" t="str" cm="1">
        <f t="array" ref="CS22">_xlfn.LET(
  _xlpm.w, CS$11,
  _xlpm.r, MATCH(1,('3. Enter Indicator Scores'!$B$10:$B$161=$B22)*('3. Enter Indicator Scores'!$C$10:$C$161=$C22),0),
  _xlpm.c, MATCH(CS$8,'3. Enter Indicator Scores'!$D$8:$CZ$8,0),
  _xlpm.v, IFERROR(INDEX('3. Enter Indicator Scores'!$D$10:$CZ$161,_xlpm.r,_xlpm.c),""),
  IF(OR(_xlpm.w="",_xlpm.v=""),"",_xlpm.v*_xlpm.w)
)</f>
        <v/>
      </c>
      <c r="CT22" s="93" t="str" cm="1">
        <f t="array" ref="CT22">_xlfn.LET(
  _xlpm.w, CT$11,
  _xlpm.r, MATCH(1,('3. Enter Indicator Scores'!$B$10:$B$161=$B22)*('3. Enter Indicator Scores'!$C$10:$C$161=$C22),0),
  _xlpm.c, MATCH(CT$8,'3. Enter Indicator Scores'!$D$8:$CZ$8,0),
  _xlpm.v, IFERROR(INDEX('3. Enter Indicator Scores'!$D$10:$CZ$161,_xlpm.r,_xlpm.c),""),
  IF(OR(_xlpm.w="",_xlpm.v=""),"",_xlpm.v*_xlpm.w)
)</f>
        <v/>
      </c>
      <c r="CU22" s="93" t="str" cm="1">
        <f t="array" ref="CU22">_xlfn.LET(
  _xlpm.w, CU$11,
  _xlpm.r, MATCH(1,('3. Enter Indicator Scores'!$B$10:$B$161=$B22)*('3. Enter Indicator Scores'!$C$10:$C$161=$C22),0),
  _xlpm.c, MATCH(CU$8,'3. Enter Indicator Scores'!$D$8:$CZ$8,0),
  _xlpm.v, IFERROR(INDEX('3. Enter Indicator Scores'!$D$10:$CZ$161,_xlpm.r,_xlpm.c),""),
  IF(OR(_xlpm.w="",_xlpm.v=""),"",_xlpm.v*_xlpm.w)
)</f>
        <v/>
      </c>
      <c r="CV22" s="93" t="str" cm="1">
        <f t="array" ref="CV22">_xlfn.LET(
  _xlpm.w, CV$11,
  _xlpm.r, MATCH(1,('3. Enter Indicator Scores'!$B$10:$B$161=$B22)*('3. Enter Indicator Scores'!$C$10:$C$161=$C22),0),
  _xlpm.c, MATCH(CV$8,'3. Enter Indicator Scores'!$D$8:$CZ$8,0),
  _xlpm.v, IFERROR(INDEX('3. Enter Indicator Scores'!$D$10:$CZ$161,_xlpm.r,_xlpm.c),""),
  IF(OR(_xlpm.w="",_xlpm.v=""),"",_xlpm.v*_xlpm.w)
)</f>
        <v/>
      </c>
      <c r="CW22" s="93" t="str" cm="1">
        <f t="array" ref="CW22">_xlfn.LET(
  _xlpm.w, CW$11,
  _xlpm.r, MATCH(1,('3. Enter Indicator Scores'!$B$10:$B$161=$B22)*('3. Enter Indicator Scores'!$C$10:$C$161=$C22),0),
  _xlpm.c, MATCH(CW$8,'3. Enter Indicator Scores'!$D$8:$CZ$8,0),
  _xlpm.v, IFERROR(INDEX('3. Enter Indicator Scores'!$D$10:$CZ$161,_xlpm.r,_xlpm.c),""),
  IF(OR(_xlpm.w="",_xlpm.v=""),"",_xlpm.v*_xlpm.w)
)</f>
        <v/>
      </c>
      <c r="CX22" s="93" t="str" cm="1">
        <f t="array" ref="CX22">_xlfn.LET(
  _xlpm.w, CX$11,
  _xlpm.r, MATCH(1,('3. Enter Indicator Scores'!$B$10:$B$161=$B22)*('3. Enter Indicator Scores'!$C$10:$C$161=$C22),0),
  _xlpm.c, MATCH(CX$8,'3. Enter Indicator Scores'!$D$8:$CZ$8,0),
  _xlpm.v, IFERROR(INDEX('3. Enter Indicator Scores'!$D$10:$CZ$161,_xlpm.r,_xlpm.c),""),
  IF(OR(_xlpm.w="",_xlpm.v=""),"",_xlpm.v*_xlpm.w)
)</f>
        <v/>
      </c>
      <c r="CY22" s="93" t="str" cm="1">
        <f t="array" ref="CY22">_xlfn.LET(
  _xlpm.w, CY$11,
  _xlpm.r, MATCH(1,('3. Enter Indicator Scores'!$B$10:$B$161=$B22)*('3. Enter Indicator Scores'!$C$10:$C$161=$C22),0),
  _xlpm.c, MATCH(CY$8,'3. Enter Indicator Scores'!$D$8:$CZ$8,0),
  _xlpm.v, IFERROR(INDEX('3. Enter Indicator Scores'!$D$10:$CZ$161,_xlpm.r,_xlpm.c),""),
  IF(OR(_xlpm.w="",_xlpm.v=""),"",_xlpm.v*_xlpm.w)
)</f>
        <v/>
      </c>
      <c r="CZ22" s="93" t="str" cm="1">
        <f t="array" ref="CZ22">_xlfn.LET(
  _xlpm.w, CZ$11,
  _xlpm.r, MATCH(1,('3. Enter Indicator Scores'!$B$10:$B$161=$B22)*('3. Enter Indicator Scores'!$C$10:$C$161=$C22),0),
  _xlpm.c, MATCH(CZ$8,'3. Enter Indicator Scores'!$D$8:$CZ$8,0),
  _xlpm.v, IFERROR(INDEX('3. Enter Indicator Scores'!$D$10:$CZ$161,_xlpm.r,_xlpm.c),""),
  IF(OR(_xlpm.w="",_xlpm.v=""),"",_xlpm.v*_xlpm.w)
)</f>
        <v/>
      </c>
    </row>
    <row r="23" spans="1:104" x14ac:dyDescent="0.2">
      <c r="D23" s="93" t="str" cm="1">
        <f t="array" ref="D23">_xlfn.LET(
  _xlpm.w, D$11,
  _xlpm.r, MATCH(1,('3. Enter Indicator Scores'!$B$10:$B$161=$B23)*('3. Enter Indicator Scores'!$C$10:$C$161=$C23),0),
  _xlpm.c, MATCH(D$8,'3. Enter Indicator Scores'!$D$8:$CZ$8,0),
  _xlpm.v, IFERROR(INDEX('3. Enter Indicator Scores'!$D$10:$CZ$161,_xlpm.r,_xlpm.c),""),
  IF(OR(_xlpm.w="",_xlpm.v=""),"",_xlpm.v*_xlpm.w)
)</f>
        <v/>
      </c>
      <c r="E23" s="93" t="str" cm="1">
        <f t="array" ref="E23">_xlfn.LET(
  _xlpm.w, E$11,
  _xlpm.r, MATCH(1,('3. Enter Indicator Scores'!$B$10:$B$161=$B23)*('3. Enter Indicator Scores'!$C$10:$C$161=$C23),0),
  _xlpm.c, MATCH(E$8,'3. Enter Indicator Scores'!$D$8:$CZ$8,0),
  _xlpm.v, IFERROR(INDEX('3. Enter Indicator Scores'!$D$10:$CZ$161,_xlpm.r,_xlpm.c),""),
  IF(OR(_xlpm.w="",_xlpm.v=""),"",_xlpm.v*_xlpm.w)
)</f>
        <v/>
      </c>
      <c r="F23" s="93" t="str" cm="1">
        <f t="array" ref="F23">_xlfn.LET(
  _xlpm.w, F$11,
  _xlpm.r, MATCH(1,('3. Enter Indicator Scores'!$B$10:$B$161=$B23)*('3. Enter Indicator Scores'!$C$10:$C$161=$C23),0),
  _xlpm.c, MATCH(F$8,'3. Enter Indicator Scores'!$D$8:$CZ$8,0),
  _xlpm.v, IFERROR(INDEX('3. Enter Indicator Scores'!$D$10:$CZ$161,_xlpm.r,_xlpm.c),""),
  IF(OR(_xlpm.w="",_xlpm.v=""),"",_xlpm.v*_xlpm.w)
)</f>
        <v/>
      </c>
      <c r="G23" s="93" t="str" cm="1">
        <f t="array" ref="G23">_xlfn.LET(
  _xlpm.w, G$11,
  _xlpm.r, MATCH(1,('3. Enter Indicator Scores'!$B$10:$B$161=$B23)*('3. Enter Indicator Scores'!$C$10:$C$161=$C23),0),
  _xlpm.c, MATCH(G$8,'3. Enter Indicator Scores'!$D$8:$CZ$8,0),
  _xlpm.v, IFERROR(INDEX('3. Enter Indicator Scores'!$D$10:$CZ$161,_xlpm.r,_xlpm.c),""),
  IF(OR(_xlpm.w="",_xlpm.v=""),"",_xlpm.v*_xlpm.w)
)</f>
        <v/>
      </c>
      <c r="H23" s="93" t="str" cm="1">
        <f t="array" ref="H23">_xlfn.LET(
  _xlpm.w, H$11,
  _xlpm.r, MATCH(1,('3. Enter Indicator Scores'!$B$10:$B$161=$B23)*('3. Enter Indicator Scores'!$C$10:$C$161=$C23),0),
  _xlpm.c, MATCH(H$8,'3. Enter Indicator Scores'!$D$8:$CZ$8,0),
  _xlpm.v, IFERROR(INDEX('3. Enter Indicator Scores'!$D$10:$CZ$161,_xlpm.r,_xlpm.c),""),
  IF(OR(_xlpm.w="",_xlpm.v=""),"",_xlpm.v*_xlpm.w)
)</f>
        <v/>
      </c>
      <c r="I23" s="93" t="str" cm="1">
        <f t="array" ref="I23">_xlfn.LET(
  _xlpm.w, I$11,
  _xlpm.r, MATCH(1,('3. Enter Indicator Scores'!$B$10:$B$161=$B23)*('3. Enter Indicator Scores'!$C$10:$C$161=$C23),0),
  _xlpm.c, MATCH(I$8,'3. Enter Indicator Scores'!$D$8:$CZ$8,0),
  _xlpm.v, IFERROR(INDEX('3. Enter Indicator Scores'!$D$10:$CZ$161,_xlpm.r,_xlpm.c),""),
  IF(OR(_xlpm.w="",_xlpm.v=""),"",_xlpm.v*_xlpm.w)
)</f>
        <v/>
      </c>
      <c r="J23" s="93" t="str" cm="1">
        <f t="array" ref="J23">_xlfn.LET(
  _xlpm.w, J$11,
  _xlpm.r, MATCH(1,('3. Enter Indicator Scores'!$B$10:$B$161=$B23)*('3. Enter Indicator Scores'!$C$10:$C$161=$C23),0),
  _xlpm.c, MATCH(J$8,'3. Enter Indicator Scores'!$D$8:$CZ$8,0),
  _xlpm.v, IFERROR(INDEX('3. Enter Indicator Scores'!$D$10:$CZ$161,_xlpm.r,_xlpm.c),""),
  IF(OR(_xlpm.w="",_xlpm.v=""),"",_xlpm.v*_xlpm.w)
)</f>
        <v/>
      </c>
      <c r="K23" s="93" t="str" cm="1">
        <f t="array" ref="K23">_xlfn.LET(
  _xlpm.w, K$11,
  _xlpm.r, MATCH(1,('3. Enter Indicator Scores'!$B$10:$B$161=$B23)*('3. Enter Indicator Scores'!$C$10:$C$161=$C23),0),
  _xlpm.c, MATCH(K$8,'3. Enter Indicator Scores'!$D$8:$CZ$8,0),
  _xlpm.v, IFERROR(INDEX('3. Enter Indicator Scores'!$D$10:$CZ$161,_xlpm.r,_xlpm.c),""),
  IF(OR(_xlpm.w="",_xlpm.v=""),"",_xlpm.v*_xlpm.w)
)</f>
        <v/>
      </c>
      <c r="L23" s="93" t="str" cm="1">
        <f t="array" ref="L23">_xlfn.LET(
  _xlpm.w, L$11,
  _xlpm.r, MATCH(1,('3. Enter Indicator Scores'!$B$10:$B$161=$B23)*('3. Enter Indicator Scores'!$C$10:$C$161=$C23),0),
  _xlpm.c, MATCH(L$8,'3. Enter Indicator Scores'!$D$8:$CZ$8,0),
  _xlpm.v, IFERROR(INDEX('3. Enter Indicator Scores'!$D$10:$CZ$161,_xlpm.r,_xlpm.c),""),
  IF(OR(_xlpm.w="",_xlpm.v=""),"",_xlpm.v*_xlpm.w)
)</f>
        <v/>
      </c>
      <c r="M23" s="93" t="str" cm="1">
        <f t="array" ref="M23">_xlfn.LET(
  _xlpm.w, M$11,
  _xlpm.r, MATCH(1,('3. Enter Indicator Scores'!$B$10:$B$161=$B23)*('3. Enter Indicator Scores'!$C$10:$C$161=$C23),0),
  _xlpm.c, MATCH(M$8,'3. Enter Indicator Scores'!$D$8:$CZ$8,0),
  _xlpm.v, IFERROR(INDEX('3. Enter Indicator Scores'!$D$10:$CZ$161,_xlpm.r,_xlpm.c),""),
  IF(OR(_xlpm.w="",_xlpm.v=""),"",_xlpm.v*_xlpm.w)
)</f>
        <v/>
      </c>
      <c r="N23" s="93" t="str" cm="1">
        <f t="array" ref="N23">_xlfn.LET(
  _xlpm.w, N$11,
  _xlpm.r, MATCH(1,('3. Enter Indicator Scores'!$B$10:$B$161=$B23)*('3. Enter Indicator Scores'!$C$10:$C$161=$C23),0),
  _xlpm.c, MATCH(N$8,'3. Enter Indicator Scores'!$D$8:$CZ$8,0),
  _xlpm.v, IFERROR(INDEX('3. Enter Indicator Scores'!$D$10:$CZ$161,_xlpm.r,_xlpm.c),""),
  IF(OR(_xlpm.w="",_xlpm.v=""),"",_xlpm.v*_xlpm.w)
)</f>
        <v/>
      </c>
      <c r="O23" s="93" t="str" cm="1">
        <f t="array" ref="O23">_xlfn.LET(
  _xlpm.w, O$11,
  _xlpm.r, MATCH(1,('3. Enter Indicator Scores'!$B$10:$B$161=$B23)*('3. Enter Indicator Scores'!$C$10:$C$161=$C23),0),
  _xlpm.c, MATCH(O$8,'3. Enter Indicator Scores'!$D$8:$CZ$8,0),
  _xlpm.v, IFERROR(INDEX('3. Enter Indicator Scores'!$D$10:$CZ$161,_xlpm.r,_xlpm.c),""),
  IF(OR(_xlpm.w="",_xlpm.v=""),"",_xlpm.v*_xlpm.w)
)</f>
        <v/>
      </c>
      <c r="P23" s="93" t="str" cm="1">
        <f t="array" ref="P23">_xlfn.LET(
  _xlpm.w, P$11,
  _xlpm.r, MATCH(1,('3. Enter Indicator Scores'!$B$10:$B$161=$B23)*('3. Enter Indicator Scores'!$C$10:$C$161=$C23),0),
  _xlpm.c, MATCH(P$8,'3. Enter Indicator Scores'!$D$8:$CZ$8,0),
  _xlpm.v, IFERROR(INDEX('3. Enter Indicator Scores'!$D$10:$CZ$161,_xlpm.r,_xlpm.c),""),
  IF(OR(_xlpm.w="",_xlpm.v=""),"",_xlpm.v*_xlpm.w)
)</f>
        <v/>
      </c>
      <c r="Q23" s="93" t="str" cm="1">
        <f t="array" ref="Q23">_xlfn.LET(
  _xlpm.w, Q$11,
  _xlpm.r, MATCH(1,('3. Enter Indicator Scores'!$B$10:$B$161=$B23)*('3. Enter Indicator Scores'!$C$10:$C$161=$C23),0),
  _xlpm.c, MATCH(Q$8,'3. Enter Indicator Scores'!$D$8:$CZ$8,0),
  _xlpm.v, IFERROR(INDEX('3. Enter Indicator Scores'!$D$10:$CZ$161,_xlpm.r,_xlpm.c),""),
  IF(OR(_xlpm.w="",_xlpm.v=""),"",_xlpm.v*_xlpm.w)
)</f>
        <v/>
      </c>
      <c r="R23" s="93" t="str" cm="1">
        <f t="array" ref="R23">_xlfn.LET(
  _xlpm.w, R$11,
  _xlpm.r, MATCH(1,('3. Enter Indicator Scores'!$B$10:$B$161=$B23)*('3. Enter Indicator Scores'!$C$10:$C$161=$C23),0),
  _xlpm.c, MATCH(R$8,'3. Enter Indicator Scores'!$D$8:$CZ$8,0),
  _xlpm.v, IFERROR(INDEX('3. Enter Indicator Scores'!$D$10:$CZ$161,_xlpm.r,_xlpm.c),""),
  IF(OR(_xlpm.w="",_xlpm.v=""),"",_xlpm.v*_xlpm.w)
)</f>
        <v/>
      </c>
      <c r="S23" s="93" t="str" cm="1">
        <f t="array" ref="S23">_xlfn.LET(
  _xlpm.w, S$11,
  _xlpm.r, MATCH(1,('3. Enter Indicator Scores'!$B$10:$B$161=$B23)*('3. Enter Indicator Scores'!$C$10:$C$161=$C23),0),
  _xlpm.c, MATCH(S$8,'3. Enter Indicator Scores'!$D$8:$CZ$8,0),
  _xlpm.v, IFERROR(INDEX('3. Enter Indicator Scores'!$D$10:$CZ$161,_xlpm.r,_xlpm.c),""),
  IF(OR(_xlpm.w="",_xlpm.v=""),"",_xlpm.v*_xlpm.w)
)</f>
        <v/>
      </c>
      <c r="T23" s="93" t="str" cm="1">
        <f t="array" ref="T23">_xlfn.LET(
  _xlpm.w, T$11,
  _xlpm.r, MATCH(1,('3. Enter Indicator Scores'!$B$10:$B$161=$B23)*('3. Enter Indicator Scores'!$C$10:$C$161=$C23),0),
  _xlpm.c, MATCH(T$8,'3. Enter Indicator Scores'!$D$8:$CZ$8,0),
  _xlpm.v, IFERROR(INDEX('3. Enter Indicator Scores'!$D$10:$CZ$161,_xlpm.r,_xlpm.c),""),
  IF(OR(_xlpm.w="",_xlpm.v=""),"",_xlpm.v*_xlpm.w)
)</f>
        <v/>
      </c>
      <c r="U23" s="93" t="str" cm="1">
        <f t="array" ref="U23">_xlfn.LET(
  _xlpm.w, U$11,
  _xlpm.r, MATCH(1,('3. Enter Indicator Scores'!$B$10:$B$161=$B23)*('3. Enter Indicator Scores'!$C$10:$C$161=$C23),0),
  _xlpm.c, MATCH(U$8,'3. Enter Indicator Scores'!$D$8:$CZ$8,0),
  _xlpm.v, IFERROR(INDEX('3. Enter Indicator Scores'!$D$10:$CZ$161,_xlpm.r,_xlpm.c),""),
  IF(OR(_xlpm.w="",_xlpm.v=""),"",_xlpm.v*_xlpm.w)
)</f>
        <v/>
      </c>
      <c r="V23" s="93" t="str" cm="1">
        <f t="array" ref="V23">_xlfn.LET(
  _xlpm.w, V$11,
  _xlpm.r, MATCH(1,('3. Enter Indicator Scores'!$B$10:$B$161=$B23)*('3. Enter Indicator Scores'!$C$10:$C$161=$C23),0),
  _xlpm.c, MATCH(V$8,'3. Enter Indicator Scores'!$D$8:$CZ$8,0),
  _xlpm.v, IFERROR(INDEX('3. Enter Indicator Scores'!$D$10:$CZ$161,_xlpm.r,_xlpm.c),""),
  IF(OR(_xlpm.w="",_xlpm.v=""),"",_xlpm.v*_xlpm.w)
)</f>
        <v/>
      </c>
      <c r="W23" s="93" t="str" cm="1">
        <f t="array" ref="W23">_xlfn.LET(
  _xlpm.w, W$11,
  _xlpm.r, MATCH(1,('3. Enter Indicator Scores'!$B$10:$B$161=$B23)*('3. Enter Indicator Scores'!$C$10:$C$161=$C23),0),
  _xlpm.c, MATCH(W$8,'3. Enter Indicator Scores'!$D$8:$CZ$8,0),
  _xlpm.v, IFERROR(INDEX('3. Enter Indicator Scores'!$D$10:$CZ$161,_xlpm.r,_xlpm.c),""),
  IF(OR(_xlpm.w="",_xlpm.v=""),"",_xlpm.v*_xlpm.w)
)</f>
        <v/>
      </c>
      <c r="X23" s="93" t="str" cm="1">
        <f t="array" ref="X23">_xlfn.LET(
  _xlpm.w, X$11,
  _xlpm.r, MATCH(1,('3. Enter Indicator Scores'!$B$10:$B$161=$B23)*('3. Enter Indicator Scores'!$C$10:$C$161=$C23),0),
  _xlpm.c, MATCH(X$8,'3. Enter Indicator Scores'!$D$8:$CZ$8,0),
  _xlpm.v, IFERROR(INDEX('3. Enter Indicator Scores'!$D$10:$CZ$161,_xlpm.r,_xlpm.c),""),
  IF(OR(_xlpm.w="",_xlpm.v=""),"",_xlpm.v*_xlpm.w)
)</f>
        <v/>
      </c>
      <c r="Y23" s="93" t="str" cm="1">
        <f t="array" ref="Y23">_xlfn.LET(
  _xlpm.w, Y$11,
  _xlpm.r, MATCH(1,('3. Enter Indicator Scores'!$B$10:$B$161=$B23)*('3. Enter Indicator Scores'!$C$10:$C$161=$C23),0),
  _xlpm.c, MATCH(Y$8,'3. Enter Indicator Scores'!$D$8:$CZ$8,0),
  _xlpm.v, IFERROR(INDEX('3. Enter Indicator Scores'!$D$10:$CZ$161,_xlpm.r,_xlpm.c),""),
  IF(OR(_xlpm.w="",_xlpm.v=""),"",_xlpm.v*_xlpm.w)
)</f>
        <v/>
      </c>
      <c r="Z23" s="93" t="str" cm="1">
        <f t="array" ref="Z23">_xlfn.LET(
  _xlpm.w, Z$11,
  _xlpm.r, MATCH(1,('3. Enter Indicator Scores'!$B$10:$B$161=$B23)*('3. Enter Indicator Scores'!$C$10:$C$161=$C23),0),
  _xlpm.c, MATCH(Z$8,'3. Enter Indicator Scores'!$D$8:$CZ$8,0),
  _xlpm.v, IFERROR(INDEX('3. Enter Indicator Scores'!$D$10:$CZ$161,_xlpm.r,_xlpm.c),""),
  IF(OR(_xlpm.w="",_xlpm.v=""),"",_xlpm.v*_xlpm.w)
)</f>
        <v/>
      </c>
      <c r="AA23" s="93" t="str" cm="1">
        <f t="array" ref="AA23">_xlfn.LET(
  _xlpm.w, AA$11,
  _xlpm.r, MATCH(1,('3. Enter Indicator Scores'!$B$10:$B$161=$B23)*('3. Enter Indicator Scores'!$C$10:$C$161=$C23),0),
  _xlpm.c, MATCH(AA$8,'3. Enter Indicator Scores'!$D$8:$CZ$8,0),
  _xlpm.v, IFERROR(INDEX('3. Enter Indicator Scores'!$D$10:$CZ$161,_xlpm.r,_xlpm.c),""),
  IF(OR(_xlpm.w="",_xlpm.v=""),"",_xlpm.v*_xlpm.w)
)</f>
        <v/>
      </c>
      <c r="AB23" s="93" t="str" cm="1">
        <f t="array" ref="AB23">_xlfn.LET(
  _xlpm.w, AB$11,
  _xlpm.r, MATCH(1,('3. Enter Indicator Scores'!$B$10:$B$161=$B23)*('3. Enter Indicator Scores'!$C$10:$C$161=$C23),0),
  _xlpm.c, MATCH(AB$8,'3. Enter Indicator Scores'!$D$8:$CZ$8,0),
  _xlpm.v, IFERROR(INDEX('3. Enter Indicator Scores'!$D$10:$CZ$161,_xlpm.r,_xlpm.c),""),
  IF(OR(_xlpm.w="",_xlpm.v=""),"",_xlpm.v*_xlpm.w)
)</f>
        <v/>
      </c>
      <c r="AC23" s="93" t="str" cm="1">
        <f t="array" ref="AC23">_xlfn.LET(
  _xlpm.w, AC$11,
  _xlpm.r, MATCH(1,('3. Enter Indicator Scores'!$B$10:$B$161=$B23)*('3. Enter Indicator Scores'!$C$10:$C$161=$C23),0),
  _xlpm.c, MATCH(AC$8,'3. Enter Indicator Scores'!$D$8:$CZ$8,0),
  _xlpm.v, IFERROR(INDEX('3. Enter Indicator Scores'!$D$10:$CZ$161,_xlpm.r,_xlpm.c),""),
  IF(OR(_xlpm.w="",_xlpm.v=""),"",_xlpm.v*_xlpm.w)
)</f>
        <v/>
      </c>
      <c r="AD23" s="93" t="str" cm="1">
        <f t="array" ref="AD23">_xlfn.LET(
  _xlpm.w, AD$11,
  _xlpm.r, MATCH(1,('3. Enter Indicator Scores'!$B$10:$B$161=$B23)*('3. Enter Indicator Scores'!$C$10:$C$161=$C23),0),
  _xlpm.c, MATCH(AD$8,'3. Enter Indicator Scores'!$D$8:$CZ$8,0),
  _xlpm.v, IFERROR(INDEX('3. Enter Indicator Scores'!$D$10:$CZ$161,_xlpm.r,_xlpm.c),""),
  IF(OR(_xlpm.w="",_xlpm.v=""),"",_xlpm.v*_xlpm.w)
)</f>
        <v/>
      </c>
      <c r="AE23" s="93" t="str" cm="1">
        <f t="array" ref="AE23">_xlfn.LET(
  _xlpm.w, AE$11,
  _xlpm.r, MATCH(1,('3. Enter Indicator Scores'!$B$10:$B$161=$B23)*('3. Enter Indicator Scores'!$C$10:$C$161=$C23),0),
  _xlpm.c, MATCH(AE$8,'3. Enter Indicator Scores'!$D$8:$CZ$8,0),
  _xlpm.v, IFERROR(INDEX('3. Enter Indicator Scores'!$D$10:$CZ$161,_xlpm.r,_xlpm.c),""),
  IF(OR(_xlpm.w="",_xlpm.v=""),"",_xlpm.v*_xlpm.w)
)</f>
        <v/>
      </c>
      <c r="AF23" s="93" t="str" cm="1">
        <f t="array" ref="AF23">_xlfn.LET(
  _xlpm.w, AF$11,
  _xlpm.r, MATCH(1,('3. Enter Indicator Scores'!$B$10:$B$161=$B23)*('3. Enter Indicator Scores'!$C$10:$C$161=$C23),0),
  _xlpm.c, MATCH(AF$8,'3. Enter Indicator Scores'!$D$8:$CZ$8,0),
  _xlpm.v, IFERROR(INDEX('3. Enter Indicator Scores'!$D$10:$CZ$161,_xlpm.r,_xlpm.c),""),
  IF(OR(_xlpm.w="",_xlpm.v=""),"",_xlpm.v*_xlpm.w)
)</f>
        <v/>
      </c>
      <c r="AG23" s="93" t="str" cm="1">
        <f t="array" ref="AG23">_xlfn.LET(
  _xlpm.w, AG$11,
  _xlpm.r, MATCH(1,('3. Enter Indicator Scores'!$B$10:$B$161=$B23)*('3. Enter Indicator Scores'!$C$10:$C$161=$C23),0),
  _xlpm.c, MATCH(AG$8,'3. Enter Indicator Scores'!$D$8:$CZ$8,0),
  _xlpm.v, IFERROR(INDEX('3. Enter Indicator Scores'!$D$10:$CZ$161,_xlpm.r,_xlpm.c),""),
  IF(OR(_xlpm.w="",_xlpm.v=""),"",_xlpm.v*_xlpm.w)
)</f>
        <v/>
      </c>
      <c r="AH23" s="93" t="str" cm="1">
        <f t="array" ref="AH23">_xlfn.LET(
  _xlpm.w, AH$11,
  _xlpm.r, MATCH(1,('3. Enter Indicator Scores'!$B$10:$B$161=$B23)*('3. Enter Indicator Scores'!$C$10:$C$161=$C23),0),
  _xlpm.c, MATCH(AH$8,'3. Enter Indicator Scores'!$D$8:$CZ$8,0),
  _xlpm.v, IFERROR(INDEX('3. Enter Indicator Scores'!$D$10:$CZ$161,_xlpm.r,_xlpm.c),""),
  IF(OR(_xlpm.w="",_xlpm.v=""),"",_xlpm.v*_xlpm.w)
)</f>
        <v/>
      </c>
      <c r="AI23" s="93" t="str" cm="1">
        <f t="array" ref="AI23">_xlfn.LET(
  _xlpm.w, AI$11,
  _xlpm.r, MATCH(1,('3. Enter Indicator Scores'!$B$10:$B$161=$B23)*('3. Enter Indicator Scores'!$C$10:$C$161=$C23),0),
  _xlpm.c, MATCH(AI$8,'3. Enter Indicator Scores'!$D$8:$CZ$8,0),
  _xlpm.v, IFERROR(INDEX('3. Enter Indicator Scores'!$D$10:$CZ$161,_xlpm.r,_xlpm.c),""),
  IF(OR(_xlpm.w="",_xlpm.v=""),"",_xlpm.v*_xlpm.w)
)</f>
        <v/>
      </c>
      <c r="AJ23" s="93" t="str" cm="1">
        <f t="array" ref="AJ23">_xlfn.LET(
  _xlpm.w, AJ$11,
  _xlpm.r, MATCH(1,('3. Enter Indicator Scores'!$B$10:$B$161=$B23)*('3. Enter Indicator Scores'!$C$10:$C$161=$C23),0),
  _xlpm.c, MATCH(AJ$8,'3. Enter Indicator Scores'!$D$8:$CZ$8,0),
  _xlpm.v, IFERROR(INDEX('3. Enter Indicator Scores'!$D$10:$CZ$161,_xlpm.r,_xlpm.c),""),
  IF(OR(_xlpm.w="",_xlpm.v=""),"",_xlpm.v*_xlpm.w)
)</f>
        <v/>
      </c>
      <c r="AK23" s="93" t="str" cm="1">
        <f t="array" ref="AK23">_xlfn.LET(
  _xlpm.w, AK$11,
  _xlpm.r, MATCH(1,('3. Enter Indicator Scores'!$B$10:$B$161=$B23)*('3. Enter Indicator Scores'!$C$10:$C$161=$C23),0),
  _xlpm.c, MATCH(AK$8,'3. Enter Indicator Scores'!$D$8:$CZ$8,0),
  _xlpm.v, IFERROR(INDEX('3. Enter Indicator Scores'!$D$10:$CZ$161,_xlpm.r,_xlpm.c),""),
  IF(OR(_xlpm.w="",_xlpm.v=""),"",_xlpm.v*_xlpm.w)
)</f>
        <v/>
      </c>
      <c r="AL23" s="93" t="str" cm="1">
        <f t="array" ref="AL23">_xlfn.LET(
  _xlpm.w, AL$11,
  _xlpm.r, MATCH(1,('3. Enter Indicator Scores'!$B$10:$B$161=$B23)*('3. Enter Indicator Scores'!$C$10:$C$161=$C23),0),
  _xlpm.c, MATCH(AL$8,'3. Enter Indicator Scores'!$D$8:$CZ$8,0),
  _xlpm.v, IFERROR(INDEX('3. Enter Indicator Scores'!$D$10:$CZ$161,_xlpm.r,_xlpm.c),""),
  IF(OR(_xlpm.w="",_xlpm.v=""),"",_xlpm.v*_xlpm.w)
)</f>
        <v/>
      </c>
      <c r="AM23" s="93" t="str" cm="1">
        <f t="array" ref="AM23">_xlfn.LET(
  _xlpm.w, AM$11,
  _xlpm.r, MATCH(1,('3. Enter Indicator Scores'!$B$10:$B$161=$B23)*('3. Enter Indicator Scores'!$C$10:$C$161=$C23),0),
  _xlpm.c, MATCH(AM$8,'3. Enter Indicator Scores'!$D$8:$CZ$8,0),
  _xlpm.v, IFERROR(INDEX('3. Enter Indicator Scores'!$D$10:$CZ$161,_xlpm.r,_xlpm.c),""),
  IF(OR(_xlpm.w="",_xlpm.v=""),"",_xlpm.v*_xlpm.w)
)</f>
        <v/>
      </c>
      <c r="AN23" s="93" t="str" cm="1">
        <f t="array" ref="AN23">_xlfn.LET(
  _xlpm.w, AN$11,
  _xlpm.r, MATCH(1,('3. Enter Indicator Scores'!$B$10:$B$161=$B23)*('3. Enter Indicator Scores'!$C$10:$C$161=$C23),0),
  _xlpm.c, MATCH(AN$8,'3. Enter Indicator Scores'!$D$8:$CZ$8,0),
  _xlpm.v, IFERROR(INDEX('3. Enter Indicator Scores'!$D$10:$CZ$161,_xlpm.r,_xlpm.c),""),
  IF(OR(_xlpm.w="",_xlpm.v=""),"",_xlpm.v*_xlpm.w)
)</f>
        <v/>
      </c>
      <c r="AO23" s="93" t="str" cm="1">
        <f t="array" ref="AO23">_xlfn.LET(
  _xlpm.w, AO$11,
  _xlpm.r, MATCH(1,('3. Enter Indicator Scores'!$B$10:$B$161=$B23)*('3. Enter Indicator Scores'!$C$10:$C$161=$C23),0),
  _xlpm.c, MATCH(AO$8,'3. Enter Indicator Scores'!$D$8:$CZ$8,0),
  _xlpm.v, IFERROR(INDEX('3. Enter Indicator Scores'!$D$10:$CZ$161,_xlpm.r,_xlpm.c),""),
  IF(OR(_xlpm.w="",_xlpm.v=""),"",_xlpm.v*_xlpm.w)
)</f>
        <v/>
      </c>
      <c r="AP23" s="93" t="str" cm="1">
        <f t="array" ref="AP23">_xlfn.LET(
  _xlpm.w, AP$11,
  _xlpm.r, MATCH(1,('3. Enter Indicator Scores'!$B$10:$B$161=$B23)*('3. Enter Indicator Scores'!$C$10:$C$161=$C23),0),
  _xlpm.c, MATCH(AP$8,'3. Enter Indicator Scores'!$D$8:$CZ$8,0),
  _xlpm.v, IFERROR(INDEX('3. Enter Indicator Scores'!$D$10:$CZ$161,_xlpm.r,_xlpm.c),""),
  IF(OR(_xlpm.w="",_xlpm.v=""),"",_xlpm.v*_xlpm.w)
)</f>
        <v/>
      </c>
      <c r="AQ23" s="93" t="str" cm="1">
        <f t="array" ref="AQ23">_xlfn.LET(
  _xlpm.w, AQ$11,
  _xlpm.r, MATCH(1,('3. Enter Indicator Scores'!$B$10:$B$161=$B23)*('3. Enter Indicator Scores'!$C$10:$C$161=$C23),0),
  _xlpm.c, MATCH(AQ$8,'3. Enter Indicator Scores'!$D$8:$CZ$8,0),
  _xlpm.v, IFERROR(INDEX('3. Enter Indicator Scores'!$D$10:$CZ$161,_xlpm.r,_xlpm.c),""),
  IF(OR(_xlpm.w="",_xlpm.v=""),"",_xlpm.v*_xlpm.w)
)</f>
        <v/>
      </c>
      <c r="AR23" s="93" t="str" cm="1">
        <f t="array" ref="AR23">_xlfn.LET(
  _xlpm.w, AR$11,
  _xlpm.r, MATCH(1,('3. Enter Indicator Scores'!$B$10:$B$161=$B23)*('3. Enter Indicator Scores'!$C$10:$C$161=$C23),0),
  _xlpm.c, MATCH(AR$8,'3. Enter Indicator Scores'!$D$8:$CZ$8,0),
  _xlpm.v, IFERROR(INDEX('3. Enter Indicator Scores'!$D$10:$CZ$161,_xlpm.r,_xlpm.c),""),
  IF(OR(_xlpm.w="",_xlpm.v=""),"",_xlpm.v*_xlpm.w)
)</f>
        <v/>
      </c>
      <c r="AS23" s="93" t="str" cm="1">
        <f t="array" ref="AS23">_xlfn.LET(
  _xlpm.w, AS$11,
  _xlpm.r, MATCH(1,('3. Enter Indicator Scores'!$B$10:$B$161=$B23)*('3. Enter Indicator Scores'!$C$10:$C$161=$C23),0),
  _xlpm.c, MATCH(AS$8,'3. Enter Indicator Scores'!$D$8:$CZ$8,0),
  _xlpm.v, IFERROR(INDEX('3. Enter Indicator Scores'!$D$10:$CZ$161,_xlpm.r,_xlpm.c),""),
  IF(OR(_xlpm.w="",_xlpm.v=""),"",_xlpm.v*_xlpm.w)
)</f>
        <v/>
      </c>
      <c r="AT23" s="93" t="str" cm="1">
        <f t="array" ref="AT23">_xlfn.LET(
  _xlpm.w, AT$11,
  _xlpm.r, MATCH(1,('3. Enter Indicator Scores'!$B$10:$B$161=$B23)*('3. Enter Indicator Scores'!$C$10:$C$161=$C23),0),
  _xlpm.c, MATCH(AT$8,'3. Enter Indicator Scores'!$D$8:$CZ$8,0),
  _xlpm.v, IFERROR(INDEX('3. Enter Indicator Scores'!$D$10:$CZ$161,_xlpm.r,_xlpm.c),""),
  IF(OR(_xlpm.w="",_xlpm.v=""),"",_xlpm.v*_xlpm.w)
)</f>
        <v/>
      </c>
      <c r="AU23" s="93" t="str" cm="1">
        <f t="array" ref="AU23">_xlfn.LET(
  _xlpm.w, AU$11,
  _xlpm.r, MATCH(1,('3. Enter Indicator Scores'!$B$10:$B$161=$B23)*('3. Enter Indicator Scores'!$C$10:$C$161=$C23),0),
  _xlpm.c, MATCH(AU$8,'3. Enter Indicator Scores'!$D$8:$CZ$8,0),
  _xlpm.v, IFERROR(INDEX('3. Enter Indicator Scores'!$D$10:$CZ$161,_xlpm.r,_xlpm.c),""),
  IF(OR(_xlpm.w="",_xlpm.v=""),"",_xlpm.v*_xlpm.w)
)</f>
        <v/>
      </c>
      <c r="AV23" s="93" t="str" cm="1">
        <f t="array" ref="AV23">_xlfn.LET(
  _xlpm.w, AV$11,
  _xlpm.r, MATCH(1,('3. Enter Indicator Scores'!$B$10:$B$161=$B23)*('3. Enter Indicator Scores'!$C$10:$C$161=$C23),0),
  _xlpm.c, MATCH(AV$8,'3. Enter Indicator Scores'!$D$8:$CZ$8,0),
  _xlpm.v, IFERROR(INDEX('3. Enter Indicator Scores'!$D$10:$CZ$161,_xlpm.r,_xlpm.c),""),
  IF(OR(_xlpm.w="",_xlpm.v=""),"",_xlpm.v*_xlpm.w)
)</f>
        <v/>
      </c>
      <c r="AW23" s="93" t="str" cm="1">
        <f t="array" ref="AW23">_xlfn.LET(
  _xlpm.w, AW$11,
  _xlpm.r, MATCH(1,('3. Enter Indicator Scores'!$B$10:$B$161=$B23)*('3. Enter Indicator Scores'!$C$10:$C$161=$C23),0),
  _xlpm.c, MATCH(AW$8,'3. Enter Indicator Scores'!$D$8:$CZ$8,0),
  _xlpm.v, IFERROR(INDEX('3. Enter Indicator Scores'!$D$10:$CZ$161,_xlpm.r,_xlpm.c),""),
  IF(OR(_xlpm.w="",_xlpm.v=""),"",_xlpm.v*_xlpm.w)
)</f>
        <v/>
      </c>
      <c r="AX23" s="93" t="str" cm="1">
        <f t="array" ref="AX23">_xlfn.LET(
  _xlpm.w, AX$11,
  _xlpm.r, MATCH(1,('3. Enter Indicator Scores'!$B$10:$B$161=$B23)*('3. Enter Indicator Scores'!$C$10:$C$161=$C23),0),
  _xlpm.c, MATCH(AX$8,'3. Enter Indicator Scores'!$D$8:$CZ$8,0),
  _xlpm.v, IFERROR(INDEX('3. Enter Indicator Scores'!$D$10:$CZ$161,_xlpm.r,_xlpm.c),""),
  IF(OR(_xlpm.w="",_xlpm.v=""),"",_xlpm.v*_xlpm.w)
)</f>
        <v/>
      </c>
      <c r="AY23" s="93" t="str" cm="1">
        <f t="array" ref="AY23">_xlfn.LET(
  _xlpm.w, AY$11,
  _xlpm.r, MATCH(1,('3. Enter Indicator Scores'!$B$10:$B$161=$B23)*('3. Enter Indicator Scores'!$C$10:$C$161=$C23),0),
  _xlpm.c, MATCH(AY$8,'3. Enter Indicator Scores'!$D$8:$CZ$8,0),
  _xlpm.v, IFERROR(INDEX('3. Enter Indicator Scores'!$D$10:$CZ$161,_xlpm.r,_xlpm.c),""),
  IF(OR(_xlpm.w="",_xlpm.v=""),"",_xlpm.v*_xlpm.w)
)</f>
        <v/>
      </c>
      <c r="AZ23" s="93" t="str" cm="1">
        <f t="array" ref="AZ23">_xlfn.LET(
  _xlpm.w, AZ$11,
  _xlpm.r, MATCH(1,('3. Enter Indicator Scores'!$B$10:$B$161=$B23)*('3. Enter Indicator Scores'!$C$10:$C$161=$C23),0),
  _xlpm.c, MATCH(AZ$8,'3. Enter Indicator Scores'!$D$8:$CZ$8,0),
  _xlpm.v, IFERROR(INDEX('3. Enter Indicator Scores'!$D$10:$CZ$161,_xlpm.r,_xlpm.c),""),
  IF(OR(_xlpm.w="",_xlpm.v=""),"",_xlpm.v*_xlpm.w)
)</f>
        <v/>
      </c>
      <c r="BA23" s="93" t="str" cm="1">
        <f t="array" ref="BA23">_xlfn.LET(
  _xlpm.w, BA$11,
  _xlpm.r, MATCH(1,('3. Enter Indicator Scores'!$B$10:$B$161=$B23)*('3. Enter Indicator Scores'!$C$10:$C$161=$C23),0),
  _xlpm.c, MATCH(BA$8,'3. Enter Indicator Scores'!$D$8:$CZ$8,0),
  _xlpm.v, IFERROR(INDEX('3. Enter Indicator Scores'!$D$10:$CZ$161,_xlpm.r,_xlpm.c),""),
  IF(OR(_xlpm.w="",_xlpm.v=""),"",_xlpm.v*_xlpm.w)
)</f>
        <v/>
      </c>
      <c r="BB23" s="93" t="str" cm="1">
        <f t="array" ref="BB23">_xlfn.LET(
  _xlpm.w, BB$11,
  _xlpm.r, MATCH(1,('3. Enter Indicator Scores'!$B$10:$B$161=$B23)*('3. Enter Indicator Scores'!$C$10:$C$161=$C23),0),
  _xlpm.c, MATCH(BB$8,'3. Enter Indicator Scores'!$D$8:$CZ$8,0),
  _xlpm.v, IFERROR(INDEX('3. Enter Indicator Scores'!$D$10:$CZ$161,_xlpm.r,_xlpm.c),""),
  IF(OR(_xlpm.w="",_xlpm.v=""),"",_xlpm.v*_xlpm.w)
)</f>
        <v/>
      </c>
      <c r="BC23" s="93" t="str" cm="1">
        <f t="array" ref="BC23">_xlfn.LET(
  _xlpm.w, BC$11,
  _xlpm.r, MATCH(1,('3. Enter Indicator Scores'!$B$10:$B$161=$B23)*('3. Enter Indicator Scores'!$C$10:$C$161=$C23),0),
  _xlpm.c, MATCH(BC$8,'3. Enter Indicator Scores'!$D$8:$CZ$8,0),
  _xlpm.v, IFERROR(INDEX('3. Enter Indicator Scores'!$D$10:$CZ$161,_xlpm.r,_xlpm.c),""),
  IF(OR(_xlpm.w="",_xlpm.v=""),"",_xlpm.v*_xlpm.w)
)</f>
        <v/>
      </c>
      <c r="BD23" s="93" t="str" cm="1">
        <f t="array" ref="BD23">_xlfn.LET(
  _xlpm.w, BD$11,
  _xlpm.r, MATCH(1,('3. Enter Indicator Scores'!$B$10:$B$161=$B23)*('3. Enter Indicator Scores'!$C$10:$C$161=$C23),0),
  _xlpm.c, MATCH(BD$8,'3. Enter Indicator Scores'!$D$8:$CZ$8,0),
  _xlpm.v, IFERROR(INDEX('3. Enter Indicator Scores'!$D$10:$CZ$161,_xlpm.r,_xlpm.c),""),
  IF(OR(_xlpm.w="",_xlpm.v=""),"",_xlpm.v*_xlpm.w)
)</f>
        <v/>
      </c>
      <c r="BE23" s="93" t="str" cm="1">
        <f t="array" ref="BE23">_xlfn.LET(
  _xlpm.w, BE$11,
  _xlpm.r, MATCH(1,('3. Enter Indicator Scores'!$B$10:$B$161=$B23)*('3. Enter Indicator Scores'!$C$10:$C$161=$C23),0),
  _xlpm.c, MATCH(BE$8,'3. Enter Indicator Scores'!$D$8:$CZ$8,0),
  _xlpm.v, IFERROR(INDEX('3. Enter Indicator Scores'!$D$10:$CZ$161,_xlpm.r,_xlpm.c),""),
  IF(OR(_xlpm.w="",_xlpm.v=""),"",_xlpm.v*_xlpm.w)
)</f>
        <v/>
      </c>
      <c r="BF23" s="93" t="str" cm="1">
        <f t="array" ref="BF23">_xlfn.LET(
  _xlpm.w, BF$11,
  _xlpm.r, MATCH(1,('3. Enter Indicator Scores'!$B$10:$B$161=$B23)*('3. Enter Indicator Scores'!$C$10:$C$161=$C23),0),
  _xlpm.c, MATCH(BF$8,'3. Enter Indicator Scores'!$D$8:$CZ$8,0),
  _xlpm.v, IFERROR(INDEX('3. Enter Indicator Scores'!$D$10:$CZ$161,_xlpm.r,_xlpm.c),""),
  IF(OR(_xlpm.w="",_xlpm.v=""),"",_xlpm.v*_xlpm.w)
)</f>
        <v/>
      </c>
      <c r="BG23" s="93" t="str" cm="1">
        <f t="array" ref="BG23">_xlfn.LET(
  _xlpm.w, BG$11,
  _xlpm.r, MATCH(1,('3. Enter Indicator Scores'!$B$10:$B$161=$B23)*('3. Enter Indicator Scores'!$C$10:$C$161=$C23),0),
  _xlpm.c, MATCH(BG$8,'3. Enter Indicator Scores'!$D$8:$CZ$8,0),
  _xlpm.v, IFERROR(INDEX('3. Enter Indicator Scores'!$D$10:$CZ$161,_xlpm.r,_xlpm.c),""),
  IF(OR(_xlpm.w="",_xlpm.v=""),"",_xlpm.v*_xlpm.w)
)</f>
        <v/>
      </c>
      <c r="BH23" s="93" t="str" cm="1">
        <f t="array" ref="BH23">_xlfn.LET(
  _xlpm.w, BH$11,
  _xlpm.r, MATCH(1,('3. Enter Indicator Scores'!$B$10:$B$161=$B23)*('3. Enter Indicator Scores'!$C$10:$C$161=$C23),0),
  _xlpm.c, MATCH(BH$8,'3. Enter Indicator Scores'!$D$8:$CZ$8,0),
  _xlpm.v, IFERROR(INDEX('3. Enter Indicator Scores'!$D$10:$CZ$161,_xlpm.r,_xlpm.c),""),
  IF(OR(_xlpm.w="",_xlpm.v=""),"",_xlpm.v*_xlpm.w)
)</f>
        <v/>
      </c>
      <c r="BI23" s="93" t="str" cm="1">
        <f t="array" ref="BI23">_xlfn.LET(
  _xlpm.w, BI$11,
  _xlpm.r, MATCH(1,('3. Enter Indicator Scores'!$B$10:$B$161=$B23)*('3. Enter Indicator Scores'!$C$10:$C$161=$C23),0),
  _xlpm.c, MATCH(BI$8,'3. Enter Indicator Scores'!$D$8:$CZ$8,0),
  _xlpm.v, IFERROR(INDEX('3. Enter Indicator Scores'!$D$10:$CZ$161,_xlpm.r,_xlpm.c),""),
  IF(OR(_xlpm.w="",_xlpm.v=""),"",_xlpm.v*_xlpm.w)
)</f>
        <v/>
      </c>
      <c r="BJ23" s="93" t="str" cm="1">
        <f t="array" ref="BJ23">_xlfn.LET(
  _xlpm.w, BJ$11,
  _xlpm.r, MATCH(1,('3. Enter Indicator Scores'!$B$10:$B$161=$B23)*('3. Enter Indicator Scores'!$C$10:$C$161=$C23),0),
  _xlpm.c, MATCH(BJ$8,'3. Enter Indicator Scores'!$D$8:$CZ$8,0),
  _xlpm.v, IFERROR(INDEX('3. Enter Indicator Scores'!$D$10:$CZ$161,_xlpm.r,_xlpm.c),""),
  IF(OR(_xlpm.w="",_xlpm.v=""),"",_xlpm.v*_xlpm.w)
)</f>
        <v/>
      </c>
      <c r="BK23" s="93" t="str" cm="1">
        <f t="array" ref="BK23">_xlfn.LET(
  _xlpm.w, BK$11,
  _xlpm.r, MATCH(1,('3. Enter Indicator Scores'!$B$10:$B$161=$B23)*('3. Enter Indicator Scores'!$C$10:$C$161=$C23),0),
  _xlpm.c, MATCH(BK$8,'3. Enter Indicator Scores'!$D$8:$CZ$8,0),
  _xlpm.v, IFERROR(INDEX('3. Enter Indicator Scores'!$D$10:$CZ$161,_xlpm.r,_xlpm.c),""),
  IF(OR(_xlpm.w="",_xlpm.v=""),"",_xlpm.v*_xlpm.w)
)</f>
        <v/>
      </c>
      <c r="BL23" s="93" t="str" cm="1">
        <f t="array" ref="BL23">_xlfn.LET(
  _xlpm.w, BL$11,
  _xlpm.r, MATCH(1,('3. Enter Indicator Scores'!$B$10:$B$161=$B23)*('3. Enter Indicator Scores'!$C$10:$C$161=$C23),0),
  _xlpm.c, MATCH(BL$8,'3. Enter Indicator Scores'!$D$8:$CZ$8,0),
  _xlpm.v, IFERROR(INDEX('3. Enter Indicator Scores'!$D$10:$CZ$161,_xlpm.r,_xlpm.c),""),
  IF(OR(_xlpm.w="",_xlpm.v=""),"",_xlpm.v*_xlpm.w)
)</f>
        <v/>
      </c>
      <c r="BM23" s="93" t="str" cm="1">
        <f t="array" ref="BM23">_xlfn.LET(
  _xlpm.w, BM$11,
  _xlpm.r, MATCH(1,('3. Enter Indicator Scores'!$B$10:$B$161=$B23)*('3. Enter Indicator Scores'!$C$10:$C$161=$C23),0),
  _xlpm.c, MATCH(BM$8,'3. Enter Indicator Scores'!$D$8:$CZ$8,0),
  _xlpm.v, IFERROR(INDEX('3. Enter Indicator Scores'!$D$10:$CZ$161,_xlpm.r,_xlpm.c),""),
  IF(OR(_xlpm.w="",_xlpm.v=""),"",_xlpm.v*_xlpm.w)
)</f>
        <v/>
      </c>
      <c r="BN23" s="93" t="str" cm="1">
        <f t="array" ref="BN23">_xlfn.LET(
  _xlpm.w, BN$11,
  _xlpm.r, MATCH(1,('3. Enter Indicator Scores'!$B$10:$B$161=$B23)*('3. Enter Indicator Scores'!$C$10:$C$161=$C23),0),
  _xlpm.c, MATCH(BN$8,'3. Enter Indicator Scores'!$D$8:$CZ$8,0),
  _xlpm.v, IFERROR(INDEX('3. Enter Indicator Scores'!$D$10:$CZ$161,_xlpm.r,_xlpm.c),""),
  IF(OR(_xlpm.w="",_xlpm.v=""),"",_xlpm.v*_xlpm.w)
)</f>
        <v/>
      </c>
      <c r="BO23" s="93" t="str" cm="1">
        <f t="array" ref="BO23">_xlfn.LET(
  _xlpm.w, BO$11,
  _xlpm.r, MATCH(1,('3. Enter Indicator Scores'!$B$10:$B$161=$B23)*('3. Enter Indicator Scores'!$C$10:$C$161=$C23),0),
  _xlpm.c, MATCH(BO$8,'3. Enter Indicator Scores'!$D$8:$CZ$8,0),
  _xlpm.v, IFERROR(INDEX('3. Enter Indicator Scores'!$D$10:$CZ$161,_xlpm.r,_xlpm.c),""),
  IF(OR(_xlpm.w="",_xlpm.v=""),"",_xlpm.v*_xlpm.w)
)</f>
        <v/>
      </c>
      <c r="BP23" s="93" t="str" cm="1">
        <f t="array" ref="BP23">_xlfn.LET(
  _xlpm.w, BP$11,
  _xlpm.r, MATCH(1,('3. Enter Indicator Scores'!$B$10:$B$161=$B23)*('3. Enter Indicator Scores'!$C$10:$C$161=$C23),0),
  _xlpm.c, MATCH(BP$8,'3. Enter Indicator Scores'!$D$8:$CZ$8,0),
  _xlpm.v, IFERROR(INDEX('3. Enter Indicator Scores'!$D$10:$CZ$161,_xlpm.r,_xlpm.c),""),
  IF(OR(_xlpm.w="",_xlpm.v=""),"",_xlpm.v*_xlpm.w)
)</f>
        <v/>
      </c>
      <c r="BQ23" s="93" t="str" cm="1">
        <f t="array" ref="BQ23">_xlfn.LET(
  _xlpm.w, BQ$11,
  _xlpm.r, MATCH(1,('3. Enter Indicator Scores'!$B$10:$B$161=$B23)*('3. Enter Indicator Scores'!$C$10:$C$161=$C23),0),
  _xlpm.c, MATCH(BQ$8,'3. Enter Indicator Scores'!$D$8:$CZ$8,0),
  _xlpm.v, IFERROR(INDEX('3. Enter Indicator Scores'!$D$10:$CZ$161,_xlpm.r,_xlpm.c),""),
  IF(OR(_xlpm.w="",_xlpm.v=""),"",_xlpm.v*_xlpm.w)
)</f>
        <v/>
      </c>
      <c r="BR23" s="93" t="str" cm="1">
        <f t="array" ref="BR23">_xlfn.LET(
  _xlpm.w, BR$11,
  _xlpm.r, MATCH(1,('3. Enter Indicator Scores'!$B$10:$B$161=$B23)*('3. Enter Indicator Scores'!$C$10:$C$161=$C23),0),
  _xlpm.c, MATCH(BR$8,'3. Enter Indicator Scores'!$D$8:$CZ$8,0),
  _xlpm.v, IFERROR(INDEX('3. Enter Indicator Scores'!$D$10:$CZ$161,_xlpm.r,_xlpm.c),""),
  IF(OR(_xlpm.w="",_xlpm.v=""),"",_xlpm.v*_xlpm.w)
)</f>
        <v/>
      </c>
      <c r="BS23" s="93" t="str" cm="1">
        <f t="array" ref="BS23">_xlfn.LET(
  _xlpm.w, BS$11,
  _xlpm.r, MATCH(1,('3. Enter Indicator Scores'!$B$10:$B$161=$B23)*('3. Enter Indicator Scores'!$C$10:$C$161=$C23),0),
  _xlpm.c, MATCH(BS$8,'3. Enter Indicator Scores'!$D$8:$CZ$8,0),
  _xlpm.v, IFERROR(INDEX('3. Enter Indicator Scores'!$D$10:$CZ$161,_xlpm.r,_xlpm.c),""),
  IF(OR(_xlpm.w="",_xlpm.v=""),"",_xlpm.v*_xlpm.w)
)</f>
        <v/>
      </c>
      <c r="BT23" s="93" t="str" cm="1">
        <f t="array" ref="BT23">_xlfn.LET(
  _xlpm.w, BT$11,
  _xlpm.r, MATCH(1,('3. Enter Indicator Scores'!$B$10:$B$161=$B23)*('3. Enter Indicator Scores'!$C$10:$C$161=$C23),0),
  _xlpm.c, MATCH(BT$8,'3. Enter Indicator Scores'!$D$8:$CZ$8,0),
  _xlpm.v, IFERROR(INDEX('3. Enter Indicator Scores'!$D$10:$CZ$161,_xlpm.r,_xlpm.c),""),
  IF(OR(_xlpm.w="",_xlpm.v=""),"",_xlpm.v*_xlpm.w)
)</f>
        <v/>
      </c>
      <c r="BU23" s="93" t="str" cm="1">
        <f t="array" ref="BU23">_xlfn.LET(
  _xlpm.w, BU$11,
  _xlpm.r, MATCH(1,('3. Enter Indicator Scores'!$B$10:$B$161=$B23)*('3. Enter Indicator Scores'!$C$10:$C$161=$C23),0),
  _xlpm.c, MATCH(BU$8,'3. Enter Indicator Scores'!$D$8:$CZ$8,0),
  _xlpm.v, IFERROR(INDEX('3. Enter Indicator Scores'!$D$10:$CZ$161,_xlpm.r,_xlpm.c),""),
  IF(OR(_xlpm.w="",_xlpm.v=""),"",_xlpm.v*_xlpm.w)
)</f>
        <v/>
      </c>
      <c r="BV23" s="93" t="str" cm="1">
        <f t="array" ref="BV23">_xlfn.LET(
  _xlpm.w, BV$11,
  _xlpm.r, MATCH(1,('3. Enter Indicator Scores'!$B$10:$B$161=$B23)*('3. Enter Indicator Scores'!$C$10:$C$161=$C23),0),
  _xlpm.c, MATCH(BV$8,'3. Enter Indicator Scores'!$D$8:$CZ$8,0),
  _xlpm.v, IFERROR(INDEX('3. Enter Indicator Scores'!$D$10:$CZ$161,_xlpm.r,_xlpm.c),""),
  IF(OR(_xlpm.w="",_xlpm.v=""),"",_xlpm.v*_xlpm.w)
)</f>
        <v/>
      </c>
      <c r="BW23" s="93" t="str" cm="1">
        <f t="array" ref="BW23">_xlfn.LET(
  _xlpm.w, BW$11,
  _xlpm.r, MATCH(1,('3. Enter Indicator Scores'!$B$10:$B$161=$B23)*('3. Enter Indicator Scores'!$C$10:$C$161=$C23),0),
  _xlpm.c, MATCH(BW$8,'3. Enter Indicator Scores'!$D$8:$CZ$8,0),
  _xlpm.v, IFERROR(INDEX('3. Enter Indicator Scores'!$D$10:$CZ$161,_xlpm.r,_xlpm.c),""),
  IF(OR(_xlpm.w="",_xlpm.v=""),"",_xlpm.v*_xlpm.w)
)</f>
        <v/>
      </c>
      <c r="BX23" s="93" t="str" cm="1">
        <f t="array" ref="BX23">_xlfn.LET(
  _xlpm.w, BX$11,
  _xlpm.r, MATCH(1,('3. Enter Indicator Scores'!$B$10:$B$161=$B23)*('3. Enter Indicator Scores'!$C$10:$C$161=$C23),0),
  _xlpm.c, MATCH(BX$8,'3. Enter Indicator Scores'!$D$8:$CZ$8,0),
  _xlpm.v, IFERROR(INDEX('3. Enter Indicator Scores'!$D$10:$CZ$161,_xlpm.r,_xlpm.c),""),
  IF(OR(_xlpm.w="",_xlpm.v=""),"",_xlpm.v*_xlpm.w)
)</f>
        <v/>
      </c>
      <c r="BY23" s="93" t="str" cm="1">
        <f t="array" ref="BY23">_xlfn.LET(
  _xlpm.w, BY$11,
  _xlpm.r, MATCH(1,('3. Enter Indicator Scores'!$B$10:$B$161=$B23)*('3. Enter Indicator Scores'!$C$10:$C$161=$C23),0),
  _xlpm.c, MATCH(BY$8,'3. Enter Indicator Scores'!$D$8:$CZ$8,0),
  _xlpm.v, IFERROR(INDEX('3. Enter Indicator Scores'!$D$10:$CZ$161,_xlpm.r,_xlpm.c),""),
  IF(OR(_xlpm.w="",_xlpm.v=""),"",_xlpm.v*_xlpm.w)
)</f>
        <v/>
      </c>
      <c r="BZ23" s="93" t="str" cm="1">
        <f t="array" ref="BZ23">_xlfn.LET(
  _xlpm.w, BZ$11,
  _xlpm.r, MATCH(1,('3. Enter Indicator Scores'!$B$10:$B$161=$B23)*('3. Enter Indicator Scores'!$C$10:$C$161=$C23),0),
  _xlpm.c, MATCH(BZ$8,'3. Enter Indicator Scores'!$D$8:$CZ$8,0),
  _xlpm.v, IFERROR(INDEX('3. Enter Indicator Scores'!$D$10:$CZ$161,_xlpm.r,_xlpm.c),""),
  IF(OR(_xlpm.w="",_xlpm.v=""),"",_xlpm.v*_xlpm.w)
)</f>
        <v/>
      </c>
      <c r="CA23" s="93" t="str" cm="1">
        <f t="array" ref="CA23">_xlfn.LET(
  _xlpm.w, CA$11,
  _xlpm.r, MATCH(1,('3. Enter Indicator Scores'!$B$10:$B$161=$B23)*('3. Enter Indicator Scores'!$C$10:$C$161=$C23),0),
  _xlpm.c, MATCH(CA$8,'3. Enter Indicator Scores'!$D$8:$CZ$8,0),
  _xlpm.v, IFERROR(INDEX('3. Enter Indicator Scores'!$D$10:$CZ$161,_xlpm.r,_xlpm.c),""),
  IF(OR(_xlpm.w="",_xlpm.v=""),"",_xlpm.v*_xlpm.w)
)</f>
        <v/>
      </c>
      <c r="CB23" s="93" t="str" cm="1">
        <f t="array" ref="CB23">_xlfn.LET(
  _xlpm.w, CB$11,
  _xlpm.r, MATCH(1,('3. Enter Indicator Scores'!$B$10:$B$161=$B23)*('3. Enter Indicator Scores'!$C$10:$C$161=$C23),0),
  _xlpm.c, MATCH(CB$8,'3. Enter Indicator Scores'!$D$8:$CZ$8,0),
  _xlpm.v, IFERROR(INDEX('3. Enter Indicator Scores'!$D$10:$CZ$161,_xlpm.r,_xlpm.c),""),
  IF(OR(_xlpm.w="",_xlpm.v=""),"",_xlpm.v*_xlpm.w)
)</f>
        <v/>
      </c>
      <c r="CC23" s="93" t="str" cm="1">
        <f t="array" ref="CC23">_xlfn.LET(
  _xlpm.w, CC$11,
  _xlpm.r, MATCH(1,('3. Enter Indicator Scores'!$B$10:$B$161=$B23)*('3. Enter Indicator Scores'!$C$10:$C$161=$C23),0),
  _xlpm.c, MATCH(CC$8,'3. Enter Indicator Scores'!$D$8:$CZ$8,0),
  _xlpm.v, IFERROR(INDEX('3. Enter Indicator Scores'!$D$10:$CZ$161,_xlpm.r,_xlpm.c),""),
  IF(OR(_xlpm.w="",_xlpm.v=""),"",_xlpm.v*_xlpm.w)
)</f>
        <v/>
      </c>
      <c r="CD23" s="93" t="str" cm="1">
        <f t="array" ref="CD23">_xlfn.LET(
  _xlpm.w, CD$11,
  _xlpm.r, MATCH(1,('3. Enter Indicator Scores'!$B$10:$B$161=$B23)*('3. Enter Indicator Scores'!$C$10:$C$161=$C23),0),
  _xlpm.c, MATCH(CD$8,'3. Enter Indicator Scores'!$D$8:$CZ$8,0),
  _xlpm.v, IFERROR(INDEX('3. Enter Indicator Scores'!$D$10:$CZ$161,_xlpm.r,_xlpm.c),""),
  IF(OR(_xlpm.w="",_xlpm.v=""),"",_xlpm.v*_xlpm.w)
)</f>
        <v/>
      </c>
      <c r="CE23" s="93" t="str" cm="1">
        <f t="array" ref="CE23">_xlfn.LET(
  _xlpm.w, CE$11,
  _xlpm.r, MATCH(1,('3. Enter Indicator Scores'!$B$10:$B$161=$B23)*('3. Enter Indicator Scores'!$C$10:$C$161=$C23),0),
  _xlpm.c, MATCH(CE$8,'3. Enter Indicator Scores'!$D$8:$CZ$8,0),
  _xlpm.v, IFERROR(INDEX('3. Enter Indicator Scores'!$D$10:$CZ$161,_xlpm.r,_xlpm.c),""),
  IF(OR(_xlpm.w="",_xlpm.v=""),"",_xlpm.v*_xlpm.w)
)</f>
        <v/>
      </c>
      <c r="CF23" s="93" t="str" cm="1">
        <f t="array" ref="CF23">_xlfn.LET(
  _xlpm.w, CF$11,
  _xlpm.r, MATCH(1,('3. Enter Indicator Scores'!$B$10:$B$161=$B23)*('3. Enter Indicator Scores'!$C$10:$C$161=$C23),0),
  _xlpm.c, MATCH(CF$8,'3. Enter Indicator Scores'!$D$8:$CZ$8,0),
  _xlpm.v, IFERROR(INDEX('3. Enter Indicator Scores'!$D$10:$CZ$161,_xlpm.r,_xlpm.c),""),
  IF(OR(_xlpm.w="",_xlpm.v=""),"",_xlpm.v*_xlpm.w)
)</f>
        <v/>
      </c>
      <c r="CG23" s="93" t="str" cm="1">
        <f t="array" ref="CG23">_xlfn.LET(
  _xlpm.w, CG$11,
  _xlpm.r, MATCH(1,('3. Enter Indicator Scores'!$B$10:$B$161=$B23)*('3. Enter Indicator Scores'!$C$10:$C$161=$C23),0),
  _xlpm.c, MATCH(CG$8,'3. Enter Indicator Scores'!$D$8:$CZ$8,0),
  _xlpm.v, IFERROR(INDEX('3. Enter Indicator Scores'!$D$10:$CZ$161,_xlpm.r,_xlpm.c),""),
  IF(OR(_xlpm.w="",_xlpm.v=""),"",_xlpm.v*_xlpm.w)
)</f>
        <v/>
      </c>
      <c r="CH23" s="93" t="str" cm="1">
        <f t="array" ref="CH23">_xlfn.LET(
  _xlpm.w, CH$11,
  _xlpm.r, MATCH(1,('3. Enter Indicator Scores'!$B$10:$B$161=$B23)*('3. Enter Indicator Scores'!$C$10:$C$161=$C23),0),
  _xlpm.c, MATCH(CH$8,'3. Enter Indicator Scores'!$D$8:$CZ$8,0),
  _xlpm.v, IFERROR(INDEX('3. Enter Indicator Scores'!$D$10:$CZ$161,_xlpm.r,_xlpm.c),""),
  IF(OR(_xlpm.w="",_xlpm.v=""),"",_xlpm.v*_xlpm.w)
)</f>
        <v/>
      </c>
      <c r="CI23" s="93" t="str" cm="1">
        <f t="array" ref="CI23">_xlfn.LET(
  _xlpm.w, CI$11,
  _xlpm.r, MATCH(1,('3. Enter Indicator Scores'!$B$10:$B$161=$B23)*('3. Enter Indicator Scores'!$C$10:$C$161=$C23),0),
  _xlpm.c, MATCH(CI$8,'3. Enter Indicator Scores'!$D$8:$CZ$8,0),
  _xlpm.v, IFERROR(INDEX('3. Enter Indicator Scores'!$D$10:$CZ$161,_xlpm.r,_xlpm.c),""),
  IF(OR(_xlpm.w="",_xlpm.v=""),"",_xlpm.v*_xlpm.w)
)</f>
        <v/>
      </c>
      <c r="CJ23" s="93" t="str" cm="1">
        <f t="array" ref="CJ23">_xlfn.LET(
  _xlpm.w, CJ$11,
  _xlpm.r, MATCH(1,('3. Enter Indicator Scores'!$B$10:$B$161=$B23)*('3. Enter Indicator Scores'!$C$10:$C$161=$C23),0),
  _xlpm.c, MATCH(CJ$8,'3. Enter Indicator Scores'!$D$8:$CZ$8,0),
  _xlpm.v, IFERROR(INDEX('3. Enter Indicator Scores'!$D$10:$CZ$161,_xlpm.r,_xlpm.c),""),
  IF(OR(_xlpm.w="",_xlpm.v=""),"",_xlpm.v*_xlpm.w)
)</f>
        <v/>
      </c>
      <c r="CK23" s="93" t="str" cm="1">
        <f t="array" ref="CK23">_xlfn.LET(
  _xlpm.w, CK$11,
  _xlpm.r, MATCH(1,('3. Enter Indicator Scores'!$B$10:$B$161=$B23)*('3. Enter Indicator Scores'!$C$10:$C$161=$C23),0),
  _xlpm.c, MATCH(CK$8,'3. Enter Indicator Scores'!$D$8:$CZ$8,0),
  _xlpm.v, IFERROR(INDEX('3. Enter Indicator Scores'!$D$10:$CZ$161,_xlpm.r,_xlpm.c),""),
  IF(OR(_xlpm.w="",_xlpm.v=""),"",_xlpm.v*_xlpm.w)
)</f>
        <v/>
      </c>
      <c r="CL23" s="93" t="str" cm="1">
        <f t="array" ref="CL23">_xlfn.LET(
  _xlpm.w, CL$11,
  _xlpm.r, MATCH(1,('3. Enter Indicator Scores'!$B$10:$B$161=$B23)*('3. Enter Indicator Scores'!$C$10:$C$161=$C23),0),
  _xlpm.c, MATCH(CL$8,'3. Enter Indicator Scores'!$D$8:$CZ$8,0),
  _xlpm.v, IFERROR(INDEX('3. Enter Indicator Scores'!$D$10:$CZ$161,_xlpm.r,_xlpm.c),""),
  IF(OR(_xlpm.w="",_xlpm.v=""),"",_xlpm.v*_xlpm.w)
)</f>
        <v/>
      </c>
      <c r="CM23" s="93" t="str" cm="1">
        <f t="array" ref="CM23">_xlfn.LET(
  _xlpm.w, CM$11,
  _xlpm.r, MATCH(1,('3. Enter Indicator Scores'!$B$10:$B$161=$B23)*('3. Enter Indicator Scores'!$C$10:$C$161=$C23),0),
  _xlpm.c, MATCH(CM$8,'3. Enter Indicator Scores'!$D$8:$CZ$8,0),
  _xlpm.v, IFERROR(INDEX('3. Enter Indicator Scores'!$D$10:$CZ$161,_xlpm.r,_xlpm.c),""),
  IF(OR(_xlpm.w="",_xlpm.v=""),"",_xlpm.v*_xlpm.w)
)</f>
        <v/>
      </c>
      <c r="CN23" s="93" t="str" cm="1">
        <f t="array" ref="CN23">_xlfn.LET(
  _xlpm.w, CN$11,
  _xlpm.r, MATCH(1,('3. Enter Indicator Scores'!$B$10:$B$161=$B23)*('3. Enter Indicator Scores'!$C$10:$C$161=$C23),0),
  _xlpm.c, MATCH(CN$8,'3. Enter Indicator Scores'!$D$8:$CZ$8,0),
  _xlpm.v, IFERROR(INDEX('3. Enter Indicator Scores'!$D$10:$CZ$161,_xlpm.r,_xlpm.c),""),
  IF(OR(_xlpm.w="",_xlpm.v=""),"",_xlpm.v*_xlpm.w)
)</f>
        <v/>
      </c>
      <c r="CO23" s="93" t="str" cm="1">
        <f t="array" ref="CO23">_xlfn.LET(
  _xlpm.w, CO$11,
  _xlpm.r, MATCH(1,('3. Enter Indicator Scores'!$B$10:$B$161=$B23)*('3. Enter Indicator Scores'!$C$10:$C$161=$C23),0),
  _xlpm.c, MATCH(CO$8,'3. Enter Indicator Scores'!$D$8:$CZ$8,0),
  _xlpm.v, IFERROR(INDEX('3. Enter Indicator Scores'!$D$10:$CZ$161,_xlpm.r,_xlpm.c),""),
  IF(OR(_xlpm.w="",_xlpm.v=""),"",_xlpm.v*_xlpm.w)
)</f>
        <v/>
      </c>
      <c r="CP23" s="93" t="str" cm="1">
        <f t="array" ref="CP23">_xlfn.LET(
  _xlpm.w, CP$11,
  _xlpm.r, MATCH(1,('3. Enter Indicator Scores'!$B$10:$B$161=$B23)*('3. Enter Indicator Scores'!$C$10:$C$161=$C23),0),
  _xlpm.c, MATCH(CP$8,'3. Enter Indicator Scores'!$D$8:$CZ$8,0),
  _xlpm.v, IFERROR(INDEX('3. Enter Indicator Scores'!$D$10:$CZ$161,_xlpm.r,_xlpm.c),""),
  IF(OR(_xlpm.w="",_xlpm.v=""),"",_xlpm.v*_xlpm.w)
)</f>
        <v/>
      </c>
      <c r="CQ23" s="93" t="str" cm="1">
        <f t="array" ref="CQ23">_xlfn.LET(
  _xlpm.w, CQ$11,
  _xlpm.r, MATCH(1,('3. Enter Indicator Scores'!$B$10:$B$161=$B23)*('3. Enter Indicator Scores'!$C$10:$C$161=$C23),0),
  _xlpm.c, MATCH(CQ$8,'3. Enter Indicator Scores'!$D$8:$CZ$8,0),
  _xlpm.v, IFERROR(INDEX('3. Enter Indicator Scores'!$D$10:$CZ$161,_xlpm.r,_xlpm.c),""),
  IF(OR(_xlpm.w="",_xlpm.v=""),"",_xlpm.v*_xlpm.w)
)</f>
        <v/>
      </c>
      <c r="CR23" s="93" t="str" cm="1">
        <f t="array" ref="CR23">_xlfn.LET(
  _xlpm.w, CR$11,
  _xlpm.r, MATCH(1,('3. Enter Indicator Scores'!$B$10:$B$161=$B23)*('3. Enter Indicator Scores'!$C$10:$C$161=$C23),0),
  _xlpm.c, MATCH(CR$8,'3. Enter Indicator Scores'!$D$8:$CZ$8,0),
  _xlpm.v, IFERROR(INDEX('3. Enter Indicator Scores'!$D$10:$CZ$161,_xlpm.r,_xlpm.c),""),
  IF(OR(_xlpm.w="",_xlpm.v=""),"",_xlpm.v*_xlpm.w)
)</f>
        <v/>
      </c>
      <c r="CS23" s="93" t="str" cm="1">
        <f t="array" ref="CS23">_xlfn.LET(
  _xlpm.w, CS$11,
  _xlpm.r, MATCH(1,('3. Enter Indicator Scores'!$B$10:$B$161=$B23)*('3. Enter Indicator Scores'!$C$10:$C$161=$C23),0),
  _xlpm.c, MATCH(CS$8,'3. Enter Indicator Scores'!$D$8:$CZ$8,0),
  _xlpm.v, IFERROR(INDEX('3. Enter Indicator Scores'!$D$10:$CZ$161,_xlpm.r,_xlpm.c),""),
  IF(OR(_xlpm.w="",_xlpm.v=""),"",_xlpm.v*_xlpm.w)
)</f>
        <v/>
      </c>
      <c r="CT23" s="93" t="str" cm="1">
        <f t="array" ref="CT23">_xlfn.LET(
  _xlpm.w, CT$11,
  _xlpm.r, MATCH(1,('3. Enter Indicator Scores'!$B$10:$B$161=$B23)*('3. Enter Indicator Scores'!$C$10:$C$161=$C23),0),
  _xlpm.c, MATCH(CT$8,'3. Enter Indicator Scores'!$D$8:$CZ$8,0),
  _xlpm.v, IFERROR(INDEX('3. Enter Indicator Scores'!$D$10:$CZ$161,_xlpm.r,_xlpm.c),""),
  IF(OR(_xlpm.w="",_xlpm.v=""),"",_xlpm.v*_xlpm.w)
)</f>
        <v/>
      </c>
      <c r="CU23" s="93" t="str" cm="1">
        <f t="array" ref="CU23">_xlfn.LET(
  _xlpm.w, CU$11,
  _xlpm.r, MATCH(1,('3. Enter Indicator Scores'!$B$10:$B$161=$B23)*('3. Enter Indicator Scores'!$C$10:$C$161=$C23),0),
  _xlpm.c, MATCH(CU$8,'3. Enter Indicator Scores'!$D$8:$CZ$8,0),
  _xlpm.v, IFERROR(INDEX('3. Enter Indicator Scores'!$D$10:$CZ$161,_xlpm.r,_xlpm.c),""),
  IF(OR(_xlpm.w="",_xlpm.v=""),"",_xlpm.v*_xlpm.w)
)</f>
        <v/>
      </c>
      <c r="CV23" s="93" t="str" cm="1">
        <f t="array" ref="CV23">_xlfn.LET(
  _xlpm.w, CV$11,
  _xlpm.r, MATCH(1,('3. Enter Indicator Scores'!$B$10:$B$161=$B23)*('3. Enter Indicator Scores'!$C$10:$C$161=$C23),0),
  _xlpm.c, MATCH(CV$8,'3. Enter Indicator Scores'!$D$8:$CZ$8,0),
  _xlpm.v, IFERROR(INDEX('3. Enter Indicator Scores'!$D$10:$CZ$161,_xlpm.r,_xlpm.c),""),
  IF(OR(_xlpm.w="",_xlpm.v=""),"",_xlpm.v*_xlpm.w)
)</f>
        <v/>
      </c>
      <c r="CW23" s="93" t="str" cm="1">
        <f t="array" ref="CW23">_xlfn.LET(
  _xlpm.w, CW$11,
  _xlpm.r, MATCH(1,('3. Enter Indicator Scores'!$B$10:$B$161=$B23)*('3. Enter Indicator Scores'!$C$10:$C$161=$C23),0),
  _xlpm.c, MATCH(CW$8,'3. Enter Indicator Scores'!$D$8:$CZ$8,0),
  _xlpm.v, IFERROR(INDEX('3. Enter Indicator Scores'!$D$10:$CZ$161,_xlpm.r,_xlpm.c),""),
  IF(OR(_xlpm.w="",_xlpm.v=""),"",_xlpm.v*_xlpm.w)
)</f>
        <v/>
      </c>
      <c r="CX23" s="93" t="str" cm="1">
        <f t="array" ref="CX23">_xlfn.LET(
  _xlpm.w, CX$11,
  _xlpm.r, MATCH(1,('3. Enter Indicator Scores'!$B$10:$B$161=$B23)*('3. Enter Indicator Scores'!$C$10:$C$161=$C23),0),
  _xlpm.c, MATCH(CX$8,'3. Enter Indicator Scores'!$D$8:$CZ$8,0),
  _xlpm.v, IFERROR(INDEX('3. Enter Indicator Scores'!$D$10:$CZ$161,_xlpm.r,_xlpm.c),""),
  IF(OR(_xlpm.w="",_xlpm.v=""),"",_xlpm.v*_xlpm.w)
)</f>
        <v/>
      </c>
      <c r="CY23" s="93" t="str" cm="1">
        <f t="array" ref="CY23">_xlfn.LET(
  _xlpm.w, CY$11,
  _xlpm.r, MATCH(1,('3. Enter Indicator Scores'!$B$10:$B$161=$B23)*('3. Enter Indicator Scores'!$C$10:$C$161=$C23),0),
  _xlpm.c, MATCH(CY$8,'3. Enter Indicator Scores'!$D$8:$CZ$8,0),
  _xlpm.v, IFERROR(INDEX('3. Enter Indicator Scores'!$D$10:$CZ$161,_xlpm.r,_xlpm.c),""),
  IF(OR(_xlpm.w="",_xlpm.v=""),"",_xlpm.v*_xlpm.w)
)</f>
        <v/>
      </c>
      <c r="CZ23" s="93" t="str" cm="1">
        <f t="array" ref="CZ23">_xlfn.LET(
  _xlpm.w, CZ$11,
  _xlpm.r, MATCH(1,('3. Enter Indicator Scores'!$B$10:$B$161=$B23)*('3. Enter Indicator Scores'!$C$10:$C$161=$C23),0),
  _xlpm.c, MATCH(CZ$8,'3. Enter Indicator Scores'!$D$8:$CZ$8,0),
  _xlpm.v, IFERROR(INDEX('3. Enter Indicator Scores'!$D$10:$CZ$161,_xlpm.r,_xlpm.c),""),
  IF(OR(_xlpm.w="",_xlpm.v=""),"",_xlpm.v*_xlpm.w)
)</f>
        <v/>
      </c>
    </row>
    <row r="24" spans="1:104" x14ac:dyDescent="0.2">
      <c r="D24" s="93" t="str" cm="1">
        <f t="array" ref="D24">_xlfn.LET(
  _xlpm.w, D$11,
  _xlpm.r, MATCH(1,('3. Enter Indicator Scores'!$B$10:$B$161=$B24)*('3. Enter Indicator Scores'!$C$10:$C$161=$C24),0),
  _xlpm.c, MATCH(D$8,'3. Enter Indicator Scores'!$D$8:$CZ$8,0),
  _xlpm.v, IFERROR(INDEX('3. Enter Indicator Scores'!$D$10:$CZ$161,_xlpm.r,_xlpm.c),""),
  IF(OR(_xlpm.w="",_xlpm.v=""),"",_xlpm.v*_xlpm.w)
)</f>
        <v/>
      </c>
      <c r="E24" s="93" t="str" cm="1">
        <f t="array" ref="E24">_xlfn.LET(
  _xlpm.w, E$11,
  _xlpm.r, MATCH(1,('3. Enter Indicator Scores'!$B$10:$B$161=$B24)*('3. Enter Indicator Scores'!$C$10:$C$161=$C24),0),
  _xlpm.c, MATCH(E$8,'3. Enter Indicator Scores'!$D$8:$CZ$8,0),
  _xlpm.v, IFERROR(INDEX('3. Enter Indicator Scores'!$D$10:$CZ$161,_xlpm.r,_xlpm.c),""),
  IF(OR(_xlpm.w="",_xlpm.v=""),"",_xlpm.v*_xlpm.w)
)</f>
        <v/>
      </c>
      <c r="F24" s="93" t="str" cm="1">
        <f t="array" ref="F24">_xlfn.LET(
  _xlpm.w, F$11,
  _xlpm.r, MATCH(1,('3. Enter Indicator Scores'!$B$10:$B$161=$B24)*('3. Enter Indicator Scores'!$C$10:$C$161=$C24),0),
  _xlpm.c, MATCH(F$8,'3. Enter Indicator Scores'!$D$8:$CZ$8,0),
  _xlpm.v, IFERROR(INDEX('3. Enter Indicator Scores'!$D$10:$CZ$161,_xlpm.r,_xlpm.c),""),
  IF(OR(_xlpm.w="",_xlpm.v=""),"",_xlpm.v*_xlpm.w)
)</f>
        <v/>
      </c>
      <c r="G24" s="93" t="str" cm="1">
        <f t="array" ref="G24">_xlfn.LET(
  _xlpm.w, G$11,
  _xlpm.r, MATCH(1,('3. Enter Indicator Scores'!$B$10:$B$161=$B24)*('3. Enter Indicator Scores'!$C$10:$C$161=$C24),0),
  _xlpm.c, MATCH(G$8,'3. Enter Indicator Scores'!$D$8:$CZ$8,0),
  _xlpm.v, IFERROR(INDEX('3. Enter Indicator Scores'!$D$10:$CZ$161,_xlpm.r,_xlpm.c),""),
  IF(OR(_xlpm.w="",_xlpm.v=""),"",_xlpm.v*_xlpm.w)
)</f>
        <v/>
      </c>
      <c r="H24" s="93" t="str" cm="1">
        <f t="array" ref="H24">_xlfn.LET(
  _xlpm.w, H$11,
  _xlpm.r, MATCH(1,('3. Enter Indicator Scores'!$B$10:$B$161=$B24)*('3. Enter Indicator Scores'!$C$10:$C$161=$C24),0),
  _xlpm.c, MATCH(H$8,'3. Enter Indicator Scores'!$D$8:$CZ$8,0),
  _xlpm.v, IFERROR(INDEX('3. Enter Indicator Scores'!$D$10:$CZ$161,_xlpm.r,_xlpm.c),""),
  IF(OR(_xlpm.w="",_xlpm.v=""),"",_xlpm.v*_xlpm.w)
)</f>
        <v/>
      </c>
      <c r="I24" s="93" t="str" cm="1">
        <f t="array" ref="I24">_xlfn.LET(
  _xlpm.w, I$11,
  _xlpm.r, MATCH(1,('3. Enter Indicator Scores'!$B$10:$B$161=$B24)*('3. Enter Indicator Scores'!$C$10:$C$161=$C24),0),
  _xlpm.c, MATCH(I$8,'3. Enter Indicator Scores'!$D$8:$CZ$8,0),
  _xlpm.v, IFERROR(INDEX('3. Enter Indicator Scores'!$D$10:$CZ$161,_xlpm.r,_xlpm.c),""),
  IF(OR(_xlpm.w="",_xlpm.v=""),"",_xlpm.v*_xlpm.w)
)</f>
        <v/>
      </c>
      <c r="J24" s="93" t="str" cm="1">
        <f t="array" ref="J24">_xlfn.LET(
  _xlpm.w, J$11,
  _xlpm.r, MATCH(1,('3. Enter Indicator Scores'!$B$10:$B$161=$B24)*('3. Enter Indicator Scores'!$C$10:$C$161=$C24),0),
  _xlpm.c, MATCH(J$8,'3. Enter Indicator Scores'!$D$8:$CZ$8,0),
  _xlpm.v, IFERROR(INDEX('3. Enter Indicator Scores'!$D$10:$CZ$161,_xlpm.r,_xlpm.c),""),
  IF(OR(_xlpm.w="",_xlpm.v=""),"",_xlpm.v*_xlpm.w)
)</f>
        <v/>
      </c>
      <c r="K24" s="93" t="str" cm="1">
        <f t="array" ref="K24">_xlfn.LET(
  _xlpm.w, K$11,
  _xlpm.r, MATCH(1,('3. Enter Indicator Scores'!$B$10:$B$161=$B24)*('3. Enter Indicator Scores'!$C$10:$C$161=$C24),0),
  _xlpm.c, MATCH(K$8,'3. Enter Indicator Scores'!$D$8:$CZ$8,0),
  _xlpm.v, IFERROR(INDEX('3. Enter Indicator Scores'!$D$10:$CZ$161,_xlpm.r,_xlpm.c),""),
  IF(OR(_xlpm.w="",_xlpm.v=""),"",_xlpm.v*_xlpm.w)
)</f>
        <v/>
      </c>
      <c r="L24" s="93" t="str" cm="1">
        <f t="array" ref="L24">_xlfn.LET(
  _xlpm.w, L$11,
  _xlpm.r, MATCH(1,('3. Enter Indicator Scores'!$B$10:$B$161=$B24)*('3. Enter Indicator Scores'!$C$10:$C$161=$C24),0),
  _xlpm.c, MATCH(L$8,'3. Enter Indicator Scores'!$D$8:$CZ$8,0),
  _xlpm.v, IFERROR(INDEX('3. Enter Indicator Scores'!$D$10:$CZ$161,_xlpm.r,_xlpm.c),""),
  IF(OR(_xlpm.w="",_xlpm.v=""),"",_xlpm.v*_xlpm.w)
)</f>
        <v/>
      </c>
      <c r="M24" s="93" t="str" cm="1">
        <f t="array" ref="M24">_xlfn.LET(
  _xlpm.w, M$11,
  _xlpm.r, MATCH(1,('3. Enter Indicator Scores'!$B$10:$B$161=$B24)*('3. Enter Indicator Scores'!$C$10:$C$161=$C24),0),
  _xlpm.c, MATCH(M$8,'3. Enter Indicator Scores'!$D$8:$CZ$8,0),
  _xlpm.v, IFERROR(INDEX('3. Enter Indicator Scores'!$D$10:$CZ$161,_xlpm.r,_xlpm.c),""),
  IF(OR(_xlpm.w="",_xlpm.v=""),"",_xlpm.v*_xlpm.w)
)</f>
        <v/>
      </c>
      <c r="N24" s="93" t="str" cm="1">
        <f t="array" ref="N24">_xlfn.LET(
  _xlpm.w, N$11,
  _xlpm.r, MATCH(1,('3. Enter Indicator Scores'!$B$10:$B$161=$B24)*('3. Enter Indicator Scores'!$C$10:$C$161=$C24),0),
  _xlpm.c, MATCH(N$8,'3. Enter Indicator Scores'!$D$8:$CZ$8,0),
  _xlpm.v, IFERROR(INDEX('3. Enter Indicator Scores'!$D$10:$CZ$161,_xlpm.r,_xlpm.c),""),
  IF(OR(_xlpm.w="",_xlpm.v=""),"",_xlpm.v*_xlpm.w)
)</f>
        <v/>
      </c>
      <c r="O24" s="93" t="str" cm="1">
        <f t="array" ref="O24">_xlfn.LET(
  _xlpm.w, O$11,
  _xlpm.r, MATCH(1,('3. Enter Indicator Scores'!$B$10:$B$161=$B24)*('3. Enter Indicator Scores'!$C$10:$C$161=$C24),0),
  _xlpm.c, MATCH(O$8,'3. Enter Indicator Scores'!$D$8:$CZ$8,0),
  _xlpm.v, IFERROR(INDEX('3. Enter Indicator Scores'!$D$10:$CZ$161,_xlpm.r,_xlpm.c),""),
  IF(OR(_xlpm.w="",_xlpm.v=""),"",_xlpm.v*_xlpm.w)
)</f>
        <v/>
      </c>
      <c r="P24" s="93" t="str" cm="1">
        <f t="array" ref="P24">_xlfn.LET(
  _xlpm.w, P$11,
  _xlpm.r, MATCH(1,('3. Enter Indicator Scores'!$B$10:$B$161=$B24)*('3. Enter Indicator Scores'!$C$10:$C$161=$C24),0),
  _xlpm.c, MATCH(P$8,'3. Enter Indicator Scores'!$D$8:$CZ$8,0),
  _xlpm.v, IFERROR(INDEX('3. Enter Indicator Scores'!$D$10:$CZ$161,_xlpm.r,_xlpm.c),""),
  IF(OR(_xlpm.w="",_xlpm.v=""),"",_xlpm.v*_xlpm.w)
)</f>
        <v/>
      </c>
      <c r="Q24" s="93" t="str" cm="1">
        <f t="array" ref="Q24">_xlfn.LET(
  _xlpm.w, Q$11,
  _xlpm.r, MATCH(1,('3. Enter Indicator Scores'!$B$10:$B$161=$B24)*('3. Enter Indicator Scores'!$C$10:$C$161=$C24),0),
  _xlpm.c, MATCH(Q$8,'3. Enter Indicator Scores'!$D$8:$CZ$8,0),
  _xlpm.v, IFERROR(INDEX('3. Enter Indicator Scores'!$D$10:$CZ$161,_xlpm.r,_xlpm.c),""),
  IF(OR(_xlpm.w="",_xlpm.v=""),"",_xlpm.v*_xlpm.w)
)</f>
        <v/>
      </c>
      <c r="R24" s="93" t="str" cm="1">
        <f t="array" ref="R24">_xlfn.LET(
  _xlpm.w, R$11,
  _xlpm.r, MATCH(1,('3. Enter Indicator Scores'!$B$10:$B$161=$B24)*('3. Enter Indicator Scores'!$C$10:$C$161=$C24),0),
  _xlpm.c, MATCH(R$8,'3. Enter Indicator Scores'!$D$8:$CZ$8,0),
  _xlpm.v, IFERROR(INDEX('3. Enter Indicator Scores'!$D$10:$CZ$161,_xlpm.r,_xlpm.c),""),
  IF(OR(_xlpm.w="",_xlpm.v=""),"",_xlpm.v*_xlpm.w)
)</f>
        <v/>
      </c>
      <c r="S24" s="93" t="str" cm="1">
        <f t="array" ref="S24">_xlfn.LET(
  _xlpm.w, S$11,
  _xlpm.r, MATCH(1,('3. Enter Indicator Scores'!$B$10:$B$161=$B24)*('3. Enter Indicator Scores'!$C$10:$C$161=$C24),0),
  _xlpm.c, MATCH(S$8,'3. Enter Indicator Scores'!$D$8:$CZ$8,0),
  _xlpm.v, IFERROR(INDEX('3. Enter Indicator Scores'!$D$10:$CZ$161,_xlpm.r,_xlpm.c),""),
  IF(OR(_xlpm.w="",_xlpm.v=""),"",_xlpm.v*_xlpm.w)
)</f>
        <v/>
      </c>
      <c r="T24" s="93" t="str" cm="1">
        <f t="array" ref="T24">_xlfn.LET(
  _xlpm.w, T$11,
  _xlpm.r, MATCH(1,('3. Enter Indicator Scores'!$B$10:$B$161=$B24)*('3. Enter Indicator Scores'!$C$10:$C$161=$C24),0),
  _xlpm.c, MATCH(T$8,'3. Enter Indicator Scores'!$D$8:$CZ$8,0),
  _xlpm.v, IFERROR(INDEX('3. Enter Indicator Scores'!$D$10:$CZ$161,_xlpm.r,_xlpm.c),""),
  IF(OR(_xlpm.w="",_xlpm.v=""),"",_xlpm.v*_xlpm.w)
)</f>
        <v/>
      </c>
      <c r="U24" s="93" t="str" cm="1">
        <f t="array" ref="U24">_xlfn.LET(
  _xlpm.w, U$11,
  _xlpm.r, MATCH(1,('3. Enter Indicator Scores'!$B$10:$B$161=$B24)*('3. Enter Indicator Scores'!$C$10:$C$161=$C24),0),
  _xlpm.c, MATCH(U$8,'3. Enter Indicator Scores'!$D$8:$CZ$8,0),
  _xlpm.v, IFERROR(INDEX('3. Enter Indicator Scores'!$D$10:$CZ$161,_xlpm.r,_xlpm.c),""),
  IF(OR(_xlpm.w="",_xlpm.v=""),"",_xlpm.v*_xlpm.w)
)</f>
        <v/>
      </c>
      <c r="V24" s="93" t="str" cm="1">
        <f t="array" ref="V24">_xlfn.LET(
  _xlpm.w, V$11,
  _xlpm.r, MATCH(1,('3. Enter Indicator Scores'!$B$10:$B$161=$B24)*('3. Enter Indicator Scores'!$C$10:$C$161=$C24),0),
  _xlpm.c, MATCH(V$8,'3. Enter Indicator Scores'!$D$8:$CZ$8,0),
  _xlpm.v, IFERROR(INDEX('3. Enter Indicator Scores'!$D$10:$CZ$161,_xlpm.r,_xlpm.c),""),
  IF(OR(_xlpm.w="",_xlpm.v=""),"",_xlpm.v*_xlpm.w)
)</f>
        <v/>
      </c>
      <c r="W24" s="93" t="str" cm="1">
        <f t="array" ref="W24">_xlfn.LET(
  _xlpm.w, W$11,
  _xlpm.r, MATCH(1,('3. Enter Indicator Scores'!$B$10:$B$161=$B24)*('3. Enter Indicator Scores'!$C$10:$C$161=$C24),0),
  _xlpm.c, MATCH(W$8,'3. Enter Indicator Scores'!$D$8:$CZ$8,0),
  _xlpm.v, IFERROR(INDEX('3. Enter Indicator Scores'!$D$10:$CZ$161,_xlpm.r,_xlpm.c),""),
  IF(OR(_xlpm.w="",_xlpm.v=""),"",_xlpm.v*_xlpm.w)
)</f>
        <v/>
      </c>
      <c r="X24" s="93" t="str" cm="1">
        <f t="array" ref="X24">_xlfn.LET(
  _xlpm.w, X$11,
  _xlpm.r, MATCH(1,('3. Enter Indicator Scores'!$B$10:$B$161=$B24)*('3. Enter Indicator Scores'!$C$10:$C$161=$C24),0),
  _xlpm.c, MATCH(X$8,'3. Enter Indicator Scores'!$D$8:$CZ$8,0),
  _xlpm.v, IFERROR(INDEX('3. Enter Indicator Scores'!$D$10:$CZ$161,_xlpm.r,_xlpm.c),""),
  IF(OR(_xlpm.w="",_xlpm.v=""),"",_xlpm.v*_xlpm.w)
)</f>
        <v/>
      </c>
      <c r="Y24" s="93" t="str" cm="1">
        <f t="array" ref="Y24">_xlfn.LET(
  _xlpm.w, Y$11,
  _xlpm.r, MATCH(1,('3. Enter Indicator Scores'!$B$10:$B$161=$B24)*('3. Enter Indicator Scores'!$C$10:$C$161=$C24),0),
  _xlpm.c, MATCH(Y$8,'3. Enter Indicator Scores'!$D$8:$CZ$8,0),
  _xlpm.v, IFERROR(INDEX('3. Enter Indicator Scores'!$D$10:$CZ$161,_xlpm.r,_xlpm.c),""),
  IF(OR(_xlpm.w="",_xlpm.v=""),"",_xlpm.v*_xlpm.w)
)</f>
        <v/>
      </c>
      <c r="Z24" s="93" t="str" cm="1">
        <f t="array" ref="Z24">_xlfn.LET(
  _xlpm.w, Z$11,
  _xlpm.r, MATCH(1,('3. Enter Indicator Scores'!$B$10:$B$161=$B24)*('3. Enter Indicator Scores'!$C$10:$C$161=$C24),0),
  _xlpm.c, MATCH(Z$8,'3. Enter Indicator Scores'!$D$8:$CZ$8,0),
  _xlpm.v, IFERROR(INDEX('3. Enter Indicator Scores'!$D$10:$CZ$161,_xlpm.r,_xlpm.c),""),
  IF(OR(_xlpm.w="",_xlpm.v=""),"",_xlpm.v*_xlpm.w)
)</f>
        <v/>
      </c>
      <c r="AA24" s="93" t="str" cm="1">
        <f t="array" ref="AA24">_xlfn.LET(
  _xlpm.w, AA$11,
  _xlpm.r, MATCH(1,('3. Enter Indicator Scores'!$B$10:$B$161=$B24)*('3. Enter Indicator Scores'!$C$10:$C$161=$C24),0),
  _xlpm.c, MATCH(AA$8,'3. Enter Indicator Scores'!$D$8:$CZ$8,0),
  _xlpm.v, IFERROR(INDEX('3. Enter Indicator Scores'!$D$10:$CZ$161,_xlpm.r,_xlpm.c),""),
  IF(OR(_xlpm.w="",_xlpm.v=""),"",_xlpm.v*_xlpm.w)
)</f>
        <v/>
      </c>
      <c r="AB24" s="93" t="str" cm="1">
        <f t="array" ref="AB24">_xlfn.LET(
  _xlpm.w, AB$11,
  _xlpm.r, MATCH(1,('3. Enter Indicator Scores'!$B$10:$B$161=$B24)*('3. Enter Indicator Scores'!$C$10:$C$161=$C24),0),
  _xlpm.c, MATCH(AB$8,'3. Enter Indicator Scores'!$D$8:$CZ$8,0),
  _xlpm.v, IFERROR(INDEX('3. Enter Indicator Scores'!$D$10:$CZ$161,_xlpm.r,_xlpm.c),""),
  IF(OR(_xlpm.w="",_xlpm.v=""),"",_xlpm.v*_xlpm.w)
)</f>
        <v/>
      </c>
      <c r="AC24" s="93" t="str" cm="1">
        <f t="array" ref="AC24">_xlfn.LET(
  _xlpm.w, AC$11,
  _xlpm.r, MATCH(1,('3. Enter Indicator Scores'!$B$10:$B$161=$B24)*('3. Enter Indicator Scores'!$C$10:$C$161=$C24),0),
  _xlpm.c, MATCH(AC$8,'3. Enter Indicator Scores'!$D$8:$CZ$8,0),
  _xlpm.v, IFERROR(INDEX('3. Enter Indicator Scores'!$D$10:$CZ$161,_xlpm.r,_xlpm.c),""),
  IF(OR(_xlpm.w="",_xlpm.v=""),"",_xlpm.v*_xlpm.w)
)</f>
        <v/>
      </c>
      <c r="AD24" s="93" t="str" cm="1">
        <f t="array" ref="AD24">_xlfn.LET(
  _xlpm.w, AD$11,
  _xlpm.r, MATCH(1,('3. Enter Indicator Scores'!$B$10:$B$161=$B24)*('3. Enter Indicator Scores'!$C$10:$C$161=$C24),0),
  _xlpm.c, MATCH(AD$8,'3. Enter Indicator Scores'!$D$8:$CZ$8,0),
  _xlpm.v, IFERROR(INDEX('3. Enter Indicator Scores'!$D$10:$CZ$161,_xlpm.r,_xlpm.c),""),
  IF(OR(_xlpm.w="",_xlpm.v=""),"",_xlpm.v*_xlpm.w)
)</f>
        <v/>
      </c>
      <c r="AE24" s="93" t="str" cm="1">
        <f t="array" ref="AE24">_xlfn.LET(
  _xlpm.w, AE$11,
  _xlpm.r, MATCH(1,('3. Enter Indicator Scores'!$B$10:$B$161=$B24)*('3. Enter Indicator Scores'!$C$10:$C$161=$C24),0),
  _xlpm.c, MATCH(AE$8,'3. Enter Indicator Scores'!$D$8:$CZ$8,0),
  _xlpm.v, IFERROR(INDEX('3. Enter Indicator Scores'!$D$10:$CZ$161,_xlpm.r,_xlpm.c),""),
  IF(OR(_xlpm.w="",_xlpm.v=""),"",_xlpm.v*_xlpm.w)
)</f>
        <v/>
      </c>
      <c r="AF24" s="93" t="str" cm="1">
        <f t="array" ref="AF24">_xlfn.LET(
  _xlpm.w, AF$11,
  _xlpm.r, MATCH(1,('3. Enter Indicator Scores'!$B$10:$B$161=$B24)*('3. Enter Indicator Scores'!$C$10:$C$161=$C24),0),
  _xlpm.c, MATCH(AF$8,'3. Enter Indicator Scores'!$D$8:$CZ$8,0),
  _xlpm.v, IFERROR(INDEX('3. Enter Indicator Scores'!$D$10:$CZ$161,_xlpm.r,_xlpm.c),""),
  IF(OR(_xlpm.w="",_xlpm.v=""),"",_xlpm.v*_xlpm.w)
)</f>
        <v/>
      </c>
      <c r="AG24" s="93" t="str" cm="1">
        <f t="array" ref="AG24">_xlfn.LET(
  _xlpm.w, AG$11,
  _xlpm.r, MATCH(1,('3. Enter Indicator Scores'!$B$10:$B$161=$B24)*('3. Enter Indicator Scores'!$C$10:$C$161=$C24),0),
  _xlpm.c, MATCH(AG$8,'3. Enter Indicator Scores'!$D$8:$CZ$8,0),
  _xlpm.v, IFERROR(INDEX('3. Enter Indicator Scores'!$D$10:$CZ$161,_xlpm.r,_xlpm.c),""),
  IF(OR(_xlpm.w="",_xlpm.v=""),"",_xlpm.v*_xlpm.w)
)</f>
        <v/>
      </c>
      <c r="AH24" s="93" t="str" cm="1">
        <f t="array" ref="AH24">_xlfn.LET(
  _xlpm.w, AH$11,
  _xlpm.r, MATCH(1,('3. Enter Indicator Scores'!$B$10:$B$161=$B24)*('3. Enter Indicator Scores'!$C$10:$C$161=$C24),0),
  _xlpm.c, MATCH(AH$8,'3. Enter Indicator Scores'!$D$8:$CZ$8,0),
  _xlpm.v, IFERROR(INDEX('3. Enter Indicator Scores'!$D$10:$CZ$161,_xlpm.r,_xlpm.c),""),
  IF(OR(_xlpm.w="",_xlpm.v=""),"",_xlpm.v*_xlpm.w)
)</f>
        <v/>
      </c>
      <c r="AI24" s="93" t="str" cm="1">
        <f t="array" ref="AI24">_xlfn.LET(
  _xlpm.w, AI$11,
  _xlpm.r, MATCH(1,('3. Enter Indicator Scores'!$B$10:$B$161=$B24)*('3. Enter Indicator Scores'!$C$10:$C$161=$C24),0),
  _xlpm.c, MATCH(AI$8,'3. Enter Indicator Scores'!$D$8:$CZ$8,0),
  _xlpm.v, IFERROR(INDEX('3. Enter Indicator Scores'!$D$10:$CZ$161,_xlpm.r,_xlpm.c),""),
  IF(OR(_xlpm.w="",_xlpm.v=""),"",_xlpm.v*_xlpm.w)
)</f>
        <v/>
      </c>
      <c r="AJ24" s="93" t="str" cm="1">
        <f t="array" ref="AJ24">_xlfn.LET(
  _xlpm.w, AJ$11,
  _xlpm.r, MATCH(1,('3. Enter Indicator Scores'!$B$10:$B$161=$B24)*('3. Enter Indicator Scores'!$C$10:$C$161=$C24),0),
  _xlpm.c, MATCH(AJ$8,'3. Enter Indicator Scores'!$D$8:$CZ$8,0),
  _xlpm.v, IFERROR(INDEX('3. Enter Indicator Scores'!$D$10:$CZ$161,_xlpm.r,_xlpm.c),""),
  IF(OR(_xlpm.w="",_xlpm.v=""),"",_xlpm.v*_xlpm.w)
)</f>
        <v/>
      </c>
      <c r="AK24" s="93" t="str" cm="1">
        <f t="array" ref="AK24">_xlfn.LET(
  _xlpm.w, AK$11,
  _xlpm.r, MATCH(1,('3. Enter Indicator Scores'!$B$10:$B$161=$B24)*('3. Enter Indicator Scores'!$C$10:$C$161=$C24),0),
  _xlpm.c, MATCH(AK$8,'3. Enter Indicator Scores'!$D$8:$CZ$8,0),
  _xlpm.v, IFERROR(INDEX('3. Enter Indicator Scores'!$D$10:$CZ$161,_xlpm.r,_xlpm.c),""),
  IF(OR(_xlpm.w="",_xlpm.v=""),"",_xlpm.v*_xlpm.w)
)</f>
        <v/>
      </c>
      <c r="AL24" s="93" t="str" cm="1">
        <f t="array" ref="AL24">_xlfn.LET(
  _xlpm.w, AL$11,
  _xlpm.r, MATCH(1,('3. Enter Indicator Scores'!$B$10:$B$161=$B24)*('3. Enter Indicator Scores'!$C$10:$C$161=$C24),0),
  _xlpm.c, MATCH(AL$8,'3. Enter Indicator Scores'!$D$8:$CZ$8,0),
  _xlpm.v, IFERROR(INDEX('3. Enter Indicator Scores'!$D$10:$CZ$161,_xlpm.r,_xlpm.c),""),
  IF(OR(_xlpm.w="",_xlpm.v=""),"",_xlpm.v*_xlpm.w)
)</f>
        <v/>
      </c>
      <c r="AM24" s="93" t="str" cm="1">
        <f t="array" ref="AM24">_xlfn.LET(
  _xlpm.w, AM$11,
  _xlpm.r, MATCH(1,('3. Enter Indicator Scores'!$B$10:$B$161=$B24)*('3. Enter Indicator Scores'!$C$10:$C$161=$C24),0),
  _xlpm.c, MATCH(AM$8,'3. Enter Indicator Scores'!$D$8:$CZ$8,0),
  _xlpm.v, IFERROR(INDEX('3. Enter Indicator Scores'!$D$10:$CZ$161,_xlpm.r,_xlpm.c),""),
  IF(OR(_xlpm.w="",_xlpm.v=""),"",_xlpm.v*_xlpm.w)
)</f>
        <v/>
      </c>
      <c r="AN24" s="93" t="str" cm="1">
        <f t="array" ref="AN24">_xlfn.LET(
  _xlpm.w, AN$11,
  _xlpm.r, MATCH(1,('3. Enter Indicator Scores'!$B$10:$B$161=$B24)*('3. Enter Indicator Scores'!$C$10:$C$161=$C24),0),
  _xlpm.c, MATCH(AN$8,'3. Enter Indicator Scores'!$D$8:$CZ$8,0),
  _xlpm.v, IFERROR(INDEX('3. Enter Indicator Scores'!$D$10:$CZ$161,_xlpm.r,_xlpm.c),""),
  IF(OR(_xlpm.w="",_xlpm.v=""),"",_xlpm.v*_xlpm.w)
)</f>
        <v/>
      </c>
      <c r="AO24" s="93" t="str" cm="1">
        <f t="array" ref="AO24">_xlfn.LET(
  _xlpm.w, AO$11,
  _xlpm.r, MATCH(1,('3. Enter Indicator Scores'!$B$10:$B$161=$B24)*('3. Enter Indicator Scores'!$C$10:$C$161=$C24),0),
  _xlpm.c, MATCH(AO$8,'3. Enter Indicator Scores'!$D$8:$CZ$8,0),
  _xlpm.v, IFERROR(INDEX('3. Enter Indicator Scores'!$D$10:$CZ$161,_xlpm.r,_xlpm.c),""),
  IF(OR(_xlpm.w="",_xlpm.v=""),"",_xlpm.v*_xlpm.w)
)</f>
        <v/>
      </c>
      <c r="AP24" s="93" t="str" cm="1">
        <f t="array" ref="AP24">_xlfn.LET(
  _xlpm.w, AP$11,
  _xlpm.r, MATCH(1,('3. Enter Indicator Scores'!$B$10:$B$161=$B24)*('3. Enter Indicator Scores'!$C$10:$C$161=$C24),0),
  _xlpm.c, MATCH(AP$8,'3. Enter Indicator Scores'!$D$8:$CZ$8,0),
  _xlpm.v, IFERROR(INDEX('3. Enter Indicator Scores'!$D$10:$CZ$161,_xlpm.r,_xlpm.c),""),
  IF(OR(_xlpm.w="",_xlpm.v=""),"",_xlpm.v*_xlpm.w)
)</f>
        <v/>
      </c>
      <c r="AQ24" s="93" t="str" cm="1">
        <f t="array" ref="AQ24">_xlfn.LET(
  _xlpm.w, AQ$11,
  _xlpm.r, MATCH(1,('3. Enter Indicator Scores'!$B$10:$B$161=$B24)*('3. Enter Indicator Scores'!$C$10:$C$161=$C24),0),
  _xlpm.c, MATCH(AQ$8,'3. Enter Indicator Scores'!$D$8:$CZ$8,0),
  _xlpm.v, IFERROR(INDEX('3. Enter Indicator Scores'!$D$10:$CZ$161,_xlpm.r,_xlpm.c),""),
  IF(OR(_xlpm.w="",_xlpm.v=""),"",_xlpm.v*_xlpm.w)
)</f>
        <v/>
      </c>
      <c r="AR24" s="93" t="str" cm="1">
        <f t="array" ref="AR24">_xlfn.LET(
  _xlpm.w, AR$11,
  _xlpm.r, MATCH(1,('3. Enter Indicator Scores'!$B$10:$B$161=$B24)*('3. Enter Indicator Scores'!$C$10:$C$161=$C24),0),
  _xlpm.c, MATCH(AR$8,'3. Enter Indicator Scores'!$D$8:$CZ$8,0),
  _xlpm.v, IFERROR(INDEX('3. Enter Indicator Scores'!$D$10:$CZ$161,_xlpm.r,_xlpm.c),""),
  IF(OR(_xlpm.w="",_xlpm.v=""),"",_xlpm.v*_xlpm.w)
)</f>
        <v/>
      </c>
      <c r="AS24" s="93" t="str" cm="1">
        <f t="array" ref="AS24">_xlfn.LET(
  _xlpm.w, AS$11,
  _xlpm.r, MATCH(1,('3. Enter Indicator Scores'!$B$10:$B$161=$B24)*('3. Enter Indicator Scores'!$C$10:$C$161=$C24),0),
  _xlpm.c, MATCH(AS$8,'3. Enter Indicator Scores'!$D$8:$CZ$8,0),
  _xlpm.v, IFERROR(INDEX('3. Enter Indicator Scores'!$D$10:$CZ$161,_xlpm.r,_xlpm.c),""),
  IF(OR(_xlpm.w="",_xlpm.v=""),"",_xlpm.v*_xlpm.w)
)</f>
        <v/>
      </c>
      <c r="AT24" s="93" t="str" cm="1">
        <f t="array" ref="AT24">_xlfn.LET(
  _xlpm.w, AT$11,
  _xlpm.r, MATCH(1,('3. Enter Indicator Scores'!$B$10:$B$161=$B24)*('3. Enter Indicator Scores'!$C$10:$C$161=$C24),0),
  _xlpm.c, MATCH(AT$8,'3. Enter Indicator Scores'!$D$8:$CZ$8,0),
  _xlpm.v, IFERROR(INDEX('3. Enter Indicator Scores'!$D$10:$CZ$161,_xlpm.r,_xlpm.c),""),
  IF(OR(_xlpm.w="",_xlpm.v=""),"",_xlpm.v*_xlpm.w)
)</f>
        <v/>
      </c>
      <c r="AU24" s="93" t="str" cm="1">
        <f t="array" ref="AU24">_xlfn.LET(
  _xlpm.w, AU$11,
  _xlpm.r, MATCH(1,('3. Enter Indicator Scores'!$B$10:$B$161=$B24)*('3. Enter Indicator Scores'!$C$10:$C$161=$C24),0),
  _xlpm.c, MATCH(AU$8,'3. Enter Indicator Scores'!$D$8:$CZ$8,0),
  _xlpm.v, IFERROR(INDEX('3. Enter Indicator Scores'!$D$10:$CZ$161,_xlpm.r,_xlpm.c),""),
  IF(OR(_xlpm.w="",_xlpm.v=""),"",_xlpm.v*_xlpm.w)
)</f>
        <v/>
      </c>
      <c r="AV24" s="93" t="str" cm="1">
        <f t="array" ref="AV24">_xlfn.LET(
  _xlpm.w, AV$11,
  _xlpm.r, MATCH(1,('3. Enter Indicator Scores'!$B$10:$B$161=$B24)*('3. Enter Indicator Scores'!$C$10:$C$161=$C24),0),
  _xlpm.c, MATCH(AV$8,'3. Enter Indicator Scores'!$D$8:$CZ$8,0),
  _xlpm.v, IFERROR(INDEX('3. Enter Indicator Scores'!$D$10:$CZ$161,_xlpm.r,_xlpm.c),""),
  IF(OR(_xlpm.w="",_xlpm.v=""),"",_xlpm.v*_xlpm.w)
)</f>
        <v/>
      </c>
      <c r="AW24" s="93" t="str" cm="1">
        <f t="array" ref="AW24">_xlfn.LET(
  _xlpm.w, AW$11,
  _xlpm.r, MATCH(1,('3. Enter Indicator Scores'!$B$10:$B$161=$B24)*('3. Enter Indicator Scores'!$C$10:$C$161=$C24),0),
  _xlpm.c, MATCH(AW$8,'3. Enter Indicator Scores'!$D$8:$CZ$8,0),
  _xlpm.v, IFERROR(INDEX('3. Enter Indicator Scores'!$D$10:$CZ$161,_xlpm.r,_xlpm.c),""),
  IF(OR(_xlpm.w="",_xlpm.v=""),"",_xlpm.v*_xlpm.w)
)</f>
        <v/>
      </c>
      <c r="AX24" s="93" t="str" cm="1">
        <f t="array" ref="AX24">_xlfn.LET(
  _xlpm.w, AX$11,
  _xlpm.r, MATCH(1,('3. Enter Indicator Scores'!$B$10:$B$161=$B24)*('3. Enter Indicator Scores'!$C$10:$C$161=$C24),0),
  _xlpm.c, MATCH(AX$8,'3. Enter Indicator Scores'!$D$8:$CZ$8,0),
  _xlpm.v, IFERROR(INDEX('3. Enter Indicator Scores'!$D$10:$CZ$161,_xlpm.r,_xlpm.c),""),
  IF(OR(_xlpm.w="",_xlpm.v=""),"",_xlpm.v*_xlpm.w)
)</f>
        <v/>
      </c>
      <c r="AY24" s="93" t="str" cm="1">
        <f t="array" ref="AY24">_xlfn.LET(
  _xlpm.w, AY$11,
  _xlpm.r, MATCH(1,('3. Enter Indicator Scores'!$B$10:$B$161=$B24)*('3. Enter Indicator Scores'!$C$10:$C$161=$C24),0),
  _xlpm.c, MATCH(AY$8,'3. Enter Indicator Scores'!$D$8:$CZ$8,0),
  _xlpm.v, IFERROR(INDEX('3. Enter Indicator Scores'!$D$10:$CZ$161,_xlpm.r,_xlpm.c),""),
  IF(OR(_xlpm.w="",_xlpm.v=""),"",_xlpm.v*_xlpm.w)
)</f>
        <v/>
      </c>
      <c r="AZ24" s="93" t="str" cm="1">
        <f t="array" ref="AZ24">_xlfn.LET(
  _xlpm.w, AZ$11,
  _xlpm.r, MATCH(1,('3. Enter Indicator Scores'!$B$10:$B$161=$B24)*('3. Enter Indicator Scores'!$C$10:$C$161=$C24),0),
  _xlpm.c, MATCH(AZ$8,'3. Enter Indicator Scores'!$D$8:$CZ$8,0),
  _xlpm.v, IFERROR(INDEX('3. Enter Indicator Scores'!$D$10:$CZ$161,_xlpm.r,_xlpm.c),""),
  IF(OR(_xlpm.w="",_xlpm.v=""),"",_xlpm.v*_xlpm.w)
)</f>
        <v/>
      </c>
      <c r="BA24" s="93" t="str" cm="1">
        <f t="array" ref="BA24">_xlfn.LET(
  _xlpm.w, BA$11,
  _xlpm.r, MATCH(1,('3. Enter Indicator Scores'!$B$10:$B$161=$B24)*('3. Enter Indicator Scores'!$C$10:$C$161=$C24),0),
  _xlpm.c, MATCH(BA$8,'3. Enter Indicator Scores'!$D$8:$CZ$8,0),
  _xlpm.v, IFERROR(INDEX('3. Enter Indicator Scores'!$D$10:$CZ$161,_xlpm.r,_xlpm.c),""),
  IF(OR(_xlpm.w="",_xlpm.v=""),"",_xlpm.v*_xlpm.w)
)</f>
        <v/>
      </c>
      <c r="BB24" s="93" t="str" cm="1">
        <f t="array" ref="BB24">_xlfn.LET(
  _xlpm.w, BB$11,
  _xlpm.r, MATCH(1,('3. Enter Indicator Scores'!$B$10:$B$161=$B24)*('3. Enter Indicator Scores'!$C$10:$C$161=$C24),0),
  _xlpm.c, MATCH(BB$8,'3. Enter Indicator Scores'!$D$8:$CZ$8,0),
  _xlpm.v, IFERROR(INDEX('3. Enter Indicator Scores'!$D$10:$CZ$161,_xlpm.r,_xlpm.c),""),
  IF(OR(_xlpm.w="",_xlpm.v=""),"",_xlpm.v*_xlpm.w)
)</f>
        <v/>
      </c>
      <c r="BC24" s="93" t="str" cm="1">
        <f t="array" ref="BC24">_xlfn.LET(
  _xlpm.w, BC$11,
  _xlpm.r, MATCH(1,('3. Enter Indicator Scores'!$B$10:$B$161=$B24)*('3. Enter Indicator Scores'!$C$10:$C$161=$C24),0),
  _xlpm.c, MATCH(BC$8,'3. Enter Indicator Scores'!$D$8:$CZ$8,0),
  _xlpm.v, IFERROR(INDEX('3. Enter Indicator Scores'!$D$10:$CZ$161,_xlpm.r,_xlpm.c),""),
  IF(OR(_xlpm.w="",_xlpm.v=""),"",_xlpm.v*_xlpm.w)
)</f>
        <v/>
      </c>
      <c r="BD24" s="93" t="str" cm="1">
        <f t="array" ref="BD24">_xlfn.LET(
  _xlpm.w, BD$11,
  _xlpm.r, MATCH(1,('3. Enter Indicator Scores'!$B$10:$B$161=$B24)*('3. Enter Indicator Scores'!$C$10:$C$161=$C24),0),
  _xlpm.c, MATCH(BD$8,'3. Enter Indicator Scores'!$D$8:$CZ$8,0),
  _xlpm.v, IFERROR(INDEX('3. Enter Indicator Scores'!$D$10:$CZ$161,_xlpm.r,_xlpm.c),""),
  IF(OR(_xlpm.w="",_xlpm.v=""),"",_xlpm.v*_xlpm.w)
)</f>
        <v/>
      </c>
      <c r="BE24" s="93" t="str" cm="1">
        <f t="array" ref="BE24">_xlfn.LET(
  _xlpm.w, BE$11,
  _xlpm.r, MATCH(1,('3. Enter Indicator Scores'!$B$10:$B$161=$B24)*('3. Enter Indicator Scores'!$C$10:$C$161=$C24),0),
  _xlpm.c, MATCH(BE$8,'3. Enter Indicator Scores'!$D$8:$CZ$8,0),
  _xlpm.v, IFERROR(INDEX('3. Enter Indicator Scores'!$D$10:$CZ$161,_xlpm.r,_xlpm.c),""),
  IF(OR(_xlpm.w="",_xlpm.v=""),"",_xlpm.v*_xlpm.w)
)</f>
        <v/>
      </c>
      <c r="BF24" s="93" t="str" cm="1">
        <f t="array" ref="BF24">_xlfn.LET(
  _xlpm.w, BF$11,
  _xlpm.r, MATCH(1,('3. Enter Indicator Scores'!$B$10:$B$161=$B24)*('3. Enter Indicator Scores'!$C$10:$C$161=$C24),0),
  _xlpm.c, MATCH(BF$8,'3. Enter Indicator Scores'!$D$8:$CZ$8,0),
  _xlpm.v, IFERROR(INDEX('3. Enter Indicator Scores'!$D$10:$CZ$161,_xlpm.r,_xlpm.c),""),
  IF(OR(_xlpm.w="",_xlpm.v=""),"",_xlpm.v*_xlpm.w)
)</f>
        <v/>
      </c>
      <c r="BG24" s="93" t="str" cm="1">
        <f t="array" ref="BG24">_xlfn.LET(
  _xlpm.w, BG$11,
  _xlpm.r, MATCH(1,('3. Enter Indicator Scores'!$B$10:$B$161=$B24)*('3. Enter Indicator Scores'!$C$10:$C$161=$C24),0),
  _xlpm.c, MATCH(BG$8,'3. Enter Indicator Scores'!$D$8:$CZ$8,0),
  _xlpm.v, IFERROR(INDEX('3. Enter Indicator Scores'!$D$10:$CZ$161,_xlpm.r,_xlpm.c),""),
  IF(OR(_xlpm.w="",_xlpm.v=""),"",_xlpm.v*_xlpm.w)
)</f>
        <v/>
      </c>
      <c r="BH24" s="93" t="str" cm="1">
        <f t="array" ref="BH24">_xlfn.LET(
  _xlpm.w, BH$11,
  _xlpm.r, MATCH(1,('3. Enter Indicator Scores'!$B$10:$B$161=$B24)*('3. Enter Indicator Scores'!$C$10:$C$161=$C24),0),
  _xlpm.c, MATCH(BH$8,'3. Enter Indicator Scores'!$D$8:$CZ$8,0),
  _xlpm.v, IFERROR(INDEX('3. Enter Indicator Scores'!$D$10:$CZ$161,_xlpm.r,_xlpm.c),""),
  IF(OR(_xlpm.w="",_xlpm.v=""),"",_xlpm.v*_xlpm.w)
)</f>
        <v/>
      </c>
      <c r="BI24" s="93" t="str" cm="1">
        <f t="array" ref="BI24">_xlfn.LET(
  _xlpm.w, BI$11,
  _xlpm.r, MATCH(1,('3. Enter Indicator Scores'!$B$10:$B$161=$B24)*('3. Enter Indicator Scores'!$C$10:$C$161=$C24),0),
  _xlpm.c, MATCH(BI$8,'3. Enter Indicator Scores'!$D$8:$CZ$8,0),
  _xlpm.v, IFERROR(INDEX('3. Enter Indicator Scores'!$D$10:$CZ$161,_xlpm.r,_xlpm.c),""),
  IF(OR(_xlpm.w="",_xlpm.v=""),"",_xlpm.v*_xlpm.w)
)</f>
        <v/>
      </c>
      <c r="BJ24" s="93" t="str" cm="1">
        <f t="array" ref="BJ24">_xlfn.LET(
  _xlpm.w, BJ$11,
  _xlpm.r, MATCH(1,('3. Enter Indicator Scores'!$B$10:$B$161=$B24)*('3. Enter Indicator Scores'!$C$10:$C$161=$C24),0),
  _xlpm.c, MATCH(BJ$8,'3. Enter Indicator Scores'!$D$8:$CZ$8,0),
  _xlpm.v, IFERROR(INDEX('3. Enter Indicator Scores'!$D$10:$CZ$161,_xlpm.r,_xlpm.c),""),
  IF(OR(_xlpm.w="",_xlpm.v=""),"",_xlpm.v*_xlpm.w)
)</f>
        <v/>
      </c>
      <c r="BK24" s="93" t="str" cm="1">
        <f t="array" ref="BK24">_xlfn.LET(
  _xlpm.w, BK$11,
  _xlpm.r, MATCH(1,('3. Enter Indicator Scores'!$B$10:$B$161=$B24)*('3. Enter Indicator Scores'!$C$10:$C$161=$C24),0),
  _xlpm.c, MATCH(BK$8,'3. Enter Indicator Scores'!$D$8:$CZ$8,0),
  _xlpm.v, IFERROR(INDEX('3. Enter Indicator Scores'!$D$10:$CZ$161,_xlpm.r,_xlpm.c),""),
  IF(OR(_xlpm.w="",_xlpm.v=""),"",_xlpm.v*_xlpm.w)
)</f>
        <v/>
      </c>
      <c r="BL24" s="93" t="str" cm="1">
        <f t="array" ref="BL24">_xlfn.LET(
  _xlpm.w, BL$11,
  _xlpm.r, MATCH(1,('3. Enter Indicator Scores'!$B$10:$B$161=$B24)*('3. Enter Indicator Scores'!$C$10:$C$161=$C24),0),
  _xlpm.c, MATCH(BL$8,'3. Enter Indicator Scores'!$D$8:$CZ$8,0),
  _xlpm.v, IFERROR(INDEX('3. Enter Indicator Scores'!$D$10:$CZ$161,_xlpm.r,_xlpm.c),""),
  IF(OR(_xlpm.w="",_xlpm.v=""),"",_xlpm.v*_xlpm.w)
)</f>
        <v/>
      </c>
      <c r="BM24" s="93" t="str" cm="1">
        <f t="array" ref="BM24">_xlfn.LET(
  _xlpm.w, BM$11,
  _xlpm.r, MATCH(1,('3. Enter Indicator Scores'!$B$10:$B$161=$B24)*('3. Enter Indicator Scores'!$C$10:$C$161=$C24),0),
  _xlpm.c, MATCH(BM$8,'3. Enter Indicator Scores'!$D$8:$CZ$8,0),
  _xlpm.v, IFERROR(INDEX('3. Enter Indicator Scores'!$D$10:$CZ$161,_xlpm.r,_xlpm.c),""),
  IF(OR(_xlpm.w="",_xlpm.v=""),"",_xlpm.v*_xlpm.w)
)</f>
        <v/>
      </c>
      <c r="BN24" s="93" t="str" cm="1">
        <f t="array" ref="BN24">_xlfn.LET(
  _xlpm.w, BN$11,
  _xlpm.r, MATCH(1,('3. Enter Indicator Scores'!$B$10:$B$161=$B24)*('3. Enter Indicator Scores'!$C$10:$C$161=$C24),0),
  _xlpm.c, MATCH(BN$8,'3. Enter Indicator Scores'!$D$8:$CZ$8,0),
  _xlpm.v, IFERROR(INDEX('3. Enter Indicator Scores'!$D$10:$CZ$161,_xlpm.r,_xlpm.c),""),
  IF(OR(_xlpm.w="",_xlpm.v=""),"",_xlpm.v*_xlpm.w)
)</f>
        <v/>
      </c>
      <c r="BO24" s="93" t="str" cm="1">
        <f t="array" ref="BO24">_xlfn.LET(
  _xlpm.w, BO$11,
  _xlpm.r, MATCH(1,('3. Enter Indicator Scores'!$B$10:$B$161=$B24)*('3. Enter Indicator Scores'!$C$10:$C$161=$C24),0),
  _xlpm.c, MATCH(BO$8,'3. Enter Indicator Scores'!$D$8:$CZ$8,0),
  _xlpm.v, IFERROR(INDEX('3. Enter Indicator Scores'!$D$10:$CZ$161,_xlpm.r,_xlpm.c),""),
  IF(OR(_xlpm.w="",_xlpm.v=""),"",_xlpm.v*_xlpm.w)
)</f>
        <v/>
      </c>
      <c r="BP24" s="93" t="str" cm="1">
        <f t="array" ref="BP24">_xlfn.LET(
  _xlpm.w, BP$11,
  _xlpm.r, MATCH(1,('3. Enter Indicator Scores'!$B$10:$B$161=$B24)*('3. Enter Indicator Scores'!$C$10:$C$161=$C24),0),
  _xlpm.c, MATCH(BP$8,'3. Enter Indicator Scores'!$D$8:$CZ$8,0),
  _xlpm.v, IFERROR(INDEX('3. Enter Indicator Scores'!$D$10:$CZ$161,_xlpm.r,_xlpm.c),""),
  IF(OR(_xlpm.w="",_xlpm.v=""),"",_xlpm.v*_xlpm.w)
)</f>
        <v/>
      </c>
      <c r="BQ24" s="93" t="str" cm="1">
        <f t="array" ref="BQ24">_xlfn.LET(
  _xlpm.w, BQ$11,
  _xlpm.r, MATCH(1,('3. Enter Indicator Scores'!$B$10:$B$161=$B24)*('3. Enter Indicator Scores'!$C$10:$C$161=$C24),0),
  _xlpm.c, MATCH(BQ$8,'3. Enter Indicator Scores'!$D$8:$CZ$8,0),
  _xlpm.v, IFERROR(INDEX('3. Enter Indicator Scores'!$D$10:$CZ$161,_xlpm.r,_xlpm.c),""),
  IF(OR(_xlpm.w="",_xlpm.v=""),"",_xlpm.v*_xlpm.w)
)</f>
        <v/>
      </c>
      <c r="BR24" s="93" t="str" cm="1">
        <f t="array" ref="BR24">_xlfn.LET(
  _xlpm.w, BR$11,
  _xlpm.r, MATCH(1,('3. Enter Indicator Scores'!$B$10:$B$161=$B24)*('3. Enter Indicator Scores'!$C$10:$C$161=$C24),0),
  _xlpm.c, MATCH(BR$8,'3. Enter Indicator Scores'!$D$8:$CZ$8,0),
  _xlpm.v, IFERROR(INDEX('3. Enter Indicator Scores'!$D$10:$CZ$161,_xlpm.r,_xlpm.c),""),
  IF(OR(_xlpm.w="",_xlpm.v=""),"",_xlpm.v*_xlpm.w)
)</f>
        <v/>
      </c>
      <c r="BS24" s="93" t="str" cm="1">
        <f t="array" ref="BS24">_xlfn.LET(
  _xlpm.w, BS$11,
  _xlpm.r, MATCH(1,('3. Enter Indicator Scores'!$B$10:$B$161=$B24)*('3. Enter Indicator Scores'!$C$10:$C$161=$C24),0),
  _xlpm.c, MATCH(BS$8,'3. Enter Indicator Scores'!$D$8:$CZ$8,0),
  _xlpm.v, IFERROR(INDEX('3. Enter Indicator Scores'!$D$10:$CZ$161,_xlpm.r,_xlpm.c),""),
  IF(OR(_xlpm.w="",_xlpm.v=""),"",_xlpm.v*_xlpm.w)
)</f>
        <v/>
      </c>
      <c r="BT24" s="93" t="str" cm="1">
        <f t="array" ref="BT24">_xlfn.LET(
  _xlpm.w, BT$11,
  _xlpm.r, MATCH(1,('3. Enter Indicator Scores'!$B$10:$B$161=$B24)*('3. Enter Indicator Scores'!$C$10:$C$161=$C24),0),
  _xlpm.c, MATCH(BT$8,'3. Enter Indicator Scores'!$D$8:$CZ$8,0),
  _xlpm.v, IFERROR(INDEX('3. Enter Indicator Scores'!$D$10:$CZ$161,_xlpm.r,_xlpm.c),""),
  IF(OR(_xlpm.w="",_xlpm.v=""),"",_xlpm.v*_xlpm.w)
)</f>
        <v/>
      </c>
      <c r="BU24" s="93" t="str" cm="1">
        <f t="array" ref="BU24">_xlfn.LET(
  _xlpm.w, BU$11,
  _xlpm.r, MATCH(1,('3. Enter Indicator Scores'!$B$10:$B$161=$B24)*('3. Enter Indicator Scores'!$C$10:$C$161=$C24),0),
  _xlpm.c, MATCH(BU$8,'3. Enter Indicator Scores'!$D$8:$CZ$8,0),
  _xlpm.v, IFERROR(INDEX('3. Enter Indicator Scores'!$D$10:$CZ$161,_xlpm.r,_xlpm.c),""),
  IF(OR(_xlpm.w="",_xlpm.v=""),"",_xlpm.v*_xlpm.w)
)</f>
        <v/>
      </c>
      <c r="BV24" s="93" t="str" cm="1">
        <f t="array" ref="BV24">_xlfn.LET(
  _xlpm.w, BV$11,
  _xlpm.r, MATCH(1,('3. Enter Indicator Scores'!$B$10:$B$161=$B24)*('3. Enter Indicator Scores'!$C$10:$C$161=$C24),0),
  _xlpm.c, MATCH(BV$8,'3. Enter Indicator Scores'!$D$8:$CZ$8,0),
  _xlpm.v, IFERROR(INDEX('3. Enter Indicator Scores'!$D$10:$CZ$161,_xlpm.r,_xlpm.c),""),
  IF(OR(_xlpm.w="",_xlpm.v=""),"",_xlpm.v*_xlpm.w)
)</f>
        <v/>
      </c>
      <c r="BW24" s="93" t="str" cm="1">
        <f t="array" ref="BW24">_xlfn.LET(
  _xlpm.w, BW$11,
  _xlpm.r, MATCH(1,('3. Enter Indicator Scores'!$B$10:$B$161=$B24)*('3. Enter Indicator Scores'!$C$10:$C$161=$C24),0),
  _xlpm.c, MATCH(BW$8,'3. Enter Indicator Scores'!$D$8:$CZ$8,0),
  _xlpm.v, IFERROR(INDEX('3. Enter Indicator Scores'!$D$10:$CZ$161,_xlpm.r,_xlpm.c),""),
  IF(OR(_xlpm.w="",_xlpm.v=""),"",_xlpm.v*_xlpm.w)
)</f>
        <v/>
      </c>
      <c r="BX24" s="93" t="str" cm="1">
        <f t="array" ref="BX24">_xlfn.LET(
  _xlpm.w, BX$11,
  _xlpm.r, MATCH(1,('3. Enter Indicator Scores'!$B$10:$B$161=$B24)*('3. Enter Indicator Scores'!$C$10:$C$161=$C24),0),
  _xlpm.c, MATCH(BX$8,'3. Enter Indicator Scores'!$D$8:$CZ$8,0),
  _xlpm.v, IFERROR(INDEX('3. Enter Indicator Scores'!$D$10:$CZ$161,_xlpm.r,_xlpm.c),""),
  IF(OR(_xlpm.w="",_xlpm.v=""),"",_xlpm.v*_xlpm.w)
)</f>
        <v/>
      </c>
      <c r="BY24" s="93" t="str" cm="1">
        <f t="array" ref="BY24">_xlfn.LET(
  _xlpm.w, BY$11,
  _xlpm.r, MATCH(1,('3. Enter Indicator Scores'!$B$10:$B$161=$B24)*('3. Enter Indicator Scores'!$C$10:$C$161=$C24),0),
  _xlpm.c, MATCH(BY$8,'3. Enter Indicator Scores'!$D$8:$CZ$8,0),
  _xlpm.v, IFERROR(INDEX('3. Enter Indicator Scores'!$D$10:$CZ$161,_xlpm.r,_xlpm.c),""),
  IF(OR(_xlpm.w="",_xlpm.v=""),"",_xlpm.v*_xlpm.w)
)</f>
        <v/>
      </c>
      <c r="BZ24" s="93" t="str" cm="1">
        <f t="array" ref="BZ24">_xlfn.LET(
  _xlpm.w, BZ$11,
  _xlpm.r, MATCH(1,('3. Enter Indicator Scores'!$B$10:$B$161=$B24)*('3. Enter Indicator Scores'!$C$10:$C$161=$C24),0),
  _xlpm.c, MATCH(BZ$8,'3. Enter Indicator Scores'!$D$8:$CZ$8,0),
  _xlpm.v, IFERROR(INDEX('3. Enter Indicator Scores'!$D$10:$CZ$161,_xlpm.r,_xlpm.c),""),
  IF(OR(_xlpm.w="",_xlpm.v=""),"",_xlpm.v*_xlpm.w)
)</f>
        <v/>
      </c>
      <c r="CA24" s="93" t="str" cm="1">
        <f t="array" ref="CA24">_xlfn.LET(
  _xlpm.w, CA$11,
  _xlpm.r, MATCH(1,('3. Enter Indicator Scores'!$B$10:$B$161=$B24)*('3. Enter Indicator Scores'!$C$10:$C$161=$C24),0),
  _xlpm.c, MATCH(CA$8,'3. Enter Indicator Scores'!$D$8:$CZ$8,0),
  _xlpm.v, IFERROR(INDEX('3. Enter Indicator Scores'!$D$10:$CZ$161,_xlpm.r,_xlpm.c),""),
  IF(OR(_xlpm.w="",_xlpm.v=""),"",_xlpm.v*_xlpm.w)
)</f>
        <v/>
      </c>
      <c r="CB24" s="93" t="str" cm="1">
        <f t="array" ref="CB24">_xlfn.LET(
  _xlpm.w, CB$11,
  _xlpm.r, MATCH(1,('3. Enter Indicator Scores'!$B$10:$B$161=$B24)*('3. Enter Indicator Scores'!$C$10:$C$161=$C24),0),
  _xlpm.c, MATCH(CB$8,'3. Enter Indicator Scores'!$D$8:$CZ$8,0),
  _xlpm.v, IFERROR(INDEX('3. Enter Indicator Scores'!$D$10:$CZ$161,_xlpm.r,_xlpm.c),""),
  IF(OR(_xlpm.w="",_xlpm.v=""),"",_xlpm.v*_xlpm.w)
)</f>
        <v/>
      </c>
      <c r="CC24" s="93" t="str" cm="1">
        <f t="array" ref="CC24">_xlfn.LET(
  _xlpm.w, CC$11,
  _xlpm.r, MATCH(1,('3. Enter Indicator Scores'!$B$10:$B$161=$B24)*('3. Enter Indicator Scores'!$C$10:$C$161=$C24),0),
  _xlpm.c, MATCH(CC$8,'3. Enter Indicator Scores'!$D$8:$CZ$8,0),
  _xlpm.v, IFERROR(INDEX('3. Enter Indicator Scores'!$D$10:$CZ$161,_xlpm.r,_xlpm.c),""),
  IF(OR(_xlpm.w="",_xlpm.v=""),"",_xlpm.v*_xlpm.w)
)</f>
        <v/>
      </c>
      <c r="CD24" s="93" t="str" cm="1">
        <f t="array" ref="CD24">_xlfn.LET(
  _xlpm.w, CD$11,
  _xlpm.r, MATCH(1,('3. Enter Indicator Scores'!$B$10:$B$161=$B24)*('3. Enter Indicator Scores'!$C$10:$C$161=$C24),0),
  _xlpm.c, MATCH(CD$8,'3. Enter Indicator Scores'!$D$8:$CZ$8,0),
  _xlpm.v, IFERROR(INDEX('3. Enter Indicator Scores'!$D$10:$CZ$161,_xlpm.r,_xlpm.c),""),
  IF(OR(_xlpm.w="",_xlpm.v=""),"",_xlpm.v*_xlpm.w)
)</f>
        <v/>
      </c>
      <c r="CE24" s="93" t="str" cm="1">
        <f t="array" ref="CE24">_xlfn.LET(
  _xlpm.w, CE$11,
  _xlpm.r, MATCH(1,('3. Enter Indicator Scores'!$B$10:$B$161=$B24)*('3. Enter Indicator Scores'!$C$10:$C$161=$C24),0),
  _xlpm.c, MATCH(CE$8,'3. Enter Indicator Scores'!$D$8:$CZ$8,0),
  _xlpm.v, IFERROR(INDEX('3. Enter Indicator Scores'!$D$10:$CZ$161,_xlpm.r,_xlpm.c),""),
  IF(OR(_xlpm.w="",_xlpm.v=""),"",_xlpm.v*_xlpm.w)
)</f>
        <v/>
      </c>
      <c r="CF24" s="93" t="str" cm="1">
        <f t="array" ref="CF24">_xlfn.LET(
  _xlpm.w, CF$11,
  _xlpm.r, MATCH(1,('3. Enter Indicator Scores'!$B$10:$B$161=$B24)*('3. Enter Indicator Scores'!$C$10:$C$161=$C24),0),
  _xlpm.c, MATCH(CF$8,'3. Enter Indicator Scores'!$D$8:$CZ$8,0),
  _xlpm.v, IFERROR(INDEX('3. Enter Indicator Scores'!$D$10:$CZ$161,_xlpm.r,_xlpm.c),""),
  IF(OR(_xlpm.w="",_xlpm.v=""),"",_xlpm.v*_xlpm.w)
)</f>
        <v/>
      </c>
      <c r="CG24" s="93" t="str" cm="1">
        <f t="array" ref="CG24">_xlfn.LET(
  _xlpm.w, CG$11,
  _xlpm.r, MATCH(1,('3. Enter Indicator Scores'!$B$10:$B$161=$B24)*('3. Enter Indicator Scores'!$C$10:$C$161=$C24),0),
  _xlpm.c, MATCH(CG$8,'3. Enter Indicator Scores'!$D$8:$CZ$8,0),
  _xlpm.v, IFERROR(INDEX('3. Enter Indicator Scores'!$D$10:$CZ$161,_xlpm.r,_xlpm.c),""),
  IF(OR(_xlpm.w="",_xlpm.v=""),"",_xlpm.v*_xlpm.w)
)</f>
        <v/>
      </c>
      <c r="CH24" s="93" t="str" cm="1">
        <f t="array" ref="CH24">_xlfn.LET(
  _xlpm.w, CH$11,
  _xlpm.r, MATCH(1,('3. Enter Indicator Scores'!$B$10:$B$161=$B24)*('3. Enter Indicator Scores'!$C$10:$C$161=$C24),0),
  _xlpm.c, MATCH(CH$8,'3. Enter Indicator Scores'!$D$8:$CZ$8,0),
  _xlpm.v, IFERROR(INDEX('3. Enter Indicator Scores'!$D$10:$CZ$161,_xlpm.r,_xlpm.c),""),
  IF(OR(_xlpm.w="",_xlpm.v=""),"",_xlpm.v*_xlpm.w)
)</f>
        <v/>
      </c>
      <c r="CI24" s="93" t="str" cm="1">
        <f t="array" ref="CI24">_xlfn.LET(
  _xlpm.w, CI$11,
  _xlpm.r, MATCH(1,('3. Enter Indicator Scores'!$B$10:$B$161=$B24)*('3. Enter Indicator Scores'!$C$10:$C$161=$C24),0),
  _xlpm.c, MATCH(CI$8,'3. Enter Indicator Scores'!$D$8:$CZ$8,0),
  _xlpm.v, IFERROR(INDEX('3. Enter Indicator Scores'!$D$10:$CZ$161,_xlpm.r,_xlpm.c),""),
  IF(OR(_xlpm.w="",_xlpm.v=""),"",_xlpm.v*_xlpm.w)
)</f>
        <v/>
      </c>
      <c r="CJ24" s="93" t="str" cm="1">
        <f t="array" ref="CJ24">_xlfn.LET(
  _xlpm.w, CJ$11,
  _xlpm.r, MATCH(1,('3. Enter Indicator Scores'!$B$10:$B$161=$B24)*('3. Enter Indicator Scores'!$C$10:$C$161=$C24),0),
  _xlpm.c, MATCH(CJ$8,'3. Enter Indicator Scores'!$D$8:$CZ$8,0),
  _xlpm.v, IFERROR(INDEX('3. Enter Indicator Scores'!$D$10:$CZ$161,_xlpm.r,_xlpm.c),""),
  IF(OR(_xlpm.w="",_xlpm.v=""),"",_xlpm.v*_xlpm.w)
)</f>
        <v/>
      </c>
      <c r="CK24" s="93" t="str" cm="1">
        <f t="array" ref="CK24">_xlfn.LET(
  _xlpm.w, CK$11,
  _xlpm.r, MATCH(1,('3. Enter Indicator Scores'!$B$10:$B$161=$B24)*('3. Enter Indicator Scores'!$C$10:$C$161=$C24),0),
  _xlpm.c, MATCH(CK$8,'3. Enter Indicator Scores'!$D$8:$CZ$8,0),
  _xlpm.v, IFERROR(INDEX('3. Enter Indicator Scores'!$D$10:$CZ$161,_xlpm.r,_xlpm.c),""),
  IF(OR(_xlpm.w="",_xlpm.v=""),"",_xlpm.v*_xlpm.w)
)</f>
        <v/>
      </c>
      <c r="CL24" s="93" t="str" cm="1">
        <f t="array" ref="CL24">_xlfn.LET(
  _xlpm.w, CL$11,
  _xlpm.r, MATCH(1,('3. Enter Indicator Scores'!$B$10:$B$161=$B24)*('3. Enter Indicator Scores'!$C$10:$C$161=$C24),0),
  _xlpm.c, MATCH(CL$8,'3. Enter Indicator Scores'!$D$8:$CZ$8,0),
  _xlpm.v, IFERROR(INDEX('3. Enter Indicator Scores'!$D$10:$CZ$161,_xlpm.r,_xlpm.c),""),
  IF(OR(_xlpm.w="",_xlpm.v=""),"",_xlpm.v*_xlpm.w)
)</f>
        <v/>
      </c>
      <c r="CM24" s="93" t="str" cm="1">
        <f t="array" ref="CM24">_xlfn.LET(
  _xlpm.w, CM$11,
  _xlpm.r, MATCH(1,('3. Enter Indicator Scores'!$B$10:$B$161=$B24)*('3. Enter Indicator Scores'!$C$10:$C$161=$C24),0),
  _xlpm.c, MATCH(CM$8,'3. Enter Indicator Scores'!$D$8:$CZ$8,0),
  _xlpm.v, IFERROR(INDEX('3. Enter Indicator Scores'!$D$10:$CZ$161,_xlpm.r,_xlpm.c),""),
  IF(OR(_xlpm.w="",_xlpm.v=""),"",_xlpm.v*_xlpm.w)
)</f>
        <v/>
      </c>
      <c r="CN24" s="93" t="str" cm="1">
        <f t="array" ref="CN24">_xlfn.LET(
  _xlpm.w, CN$11,
  _xlpm.r, MATCH(1,('3. Enter Indicator Scores'!$B$10:$B$161=$B24)*('3. Enter Indicator Scores'!$C$10:$C$161=$C24),0),
  _xlpm.c, MATCH(CN$8,'3. Enter Indicator Scores'!$D$8:$CZ$8,0),
  _xlpm.v, IFERROR(INDEX('3. Enter Indicator Scores'!$D$10:$CZ$161,_xlpm.r,_xlpm.c),""),
  IF(OR(_xlpm.w="",_xlpm.v=""),"",_xlpm.v*_xlpm.w)
)</f>
        <v/>
      </c>
      <c r="CO24" s="93" t="str" cm="1">
        <f t="array" ref="CO24">_xlfn.LET(
  _xlpm.w, CO$11,
  _xlpm.r, MATCH(1,('3. Enter Indicator Scores'!$B$10:$B$161=$B24)*('3. Enter Indicator Scores'!$C$10:$C$161=$C24),0),
  _xlpm.c, MATCH(CO$8,'3. Enter Indicator Scores'!$D$8:$CZ$8,0),
  _xlpm.v, IFERROR(INDEX('3. Enter Indicator Scores'!$D$10:$CZ$161,_xlpm.r,_xlpm.c),""),
  IF(OR(_xlpm.w="",_xlpm.v=""),"",_xlpm.v*_xlpm.w)
)</f>
        <v/>
      </c>
      <c r="CP24" s="93" t="str" cm="1">
        <f t="array" ref="CP24">_xlfn.LET(
  _xlpm.w, CP$11,
  _xlpm.r, MATCH(1,('3. Enter Indicator Scores'!$B$10:$B$161=$B24)*('3. Enter Indicator Scores'!$C$10:$C$161=$C24),0),
  _xlpm.c, MATCH(CP$8,'3. Enter Indicator Scores'!$D$8:$CZ$8,0),
  _xlpm.v, IFERROR(INDEX('3. Enter Indicator Scores'!$D$10:$CZ$161,_xlpm.r,_xlpm.c),""),
  IF(OR(_xlpm.w="",_xlpm.v=""),"",_xlpm.v*_xlpm.w)
)</f>
        <v/>
      </c>
      <c r="CQ24" s="93" t="str" cm="1">
        <f t="array" ref="CQ24">_xlfn.LET(
  _xlpm.w, CQ$11,
  _xlpm.r, MATCH(1,('3. Enter Indicator Scores'!$B$10:$B$161=$B24)*('3. Enter Indicator Scores'!$C$10:$C$161=$C24),0),
  _xlpm.c, MATCH(CQ$8,'3. Enter Indicator Scores'!$D$8:$CZ$8,0),
  _xlpm.v, IFERROR(INDEX('3. Enter Indicator Scores'!$D$10:$CZ$161,_xlpm.r,_xlpm.c),""),
  IF(OR(_xlpm.w="",_xlpm.v=""),"",_xlpm.v*_xlpm.w)
)</f>
        <v/>
      </c>
      <c r="CR24" s="93" t="str" cm="1">
        <f t="array" ref="CR24">_xlfn.LET(
  _xlpm.w, CR$11,
  _xlpm.r, MATCH(1,('3. Enter Indicator Scores'!$B$10:$B$161=$B24)*('3. Enter Indicator Scores'!$C$10:$C$161=$C24),0),
  _xlpm.c, MATCH(CR$8,'3. Enter Indicator Scores'!$D$8:$CZ$8,0),
  _xlpm.v, IFERROR(INDEX('3. Enter Indicator Scores'!$D$10:$CZ$161,_xlpm.r,_xlpm.c),""),
  IF(OR(_xlpm.w="",_xlpm.v=""),"",_xlpm.v*_xlpm.w)
)</f>
        <v/>
      </c>
      <c r="CS24" s="93" t="str" cm="1">
        <f t="array" ref="CS24">_xlfn.LET(
  _xlpm.w, CS$11,
  _xlpm.r, MATCH(1,('3. Enter Indicator Scores'!$B$10:$B$161=$B24)*('3. Enter Indicator Scores'!$C$10:$C$161=$C24),0),
  _xlpm.c, MATCH(CS$8,'3. Enter Indicator Scores'!$D$8:$CZ$8,0),
  _xlpm.v, IFERROR(INDEX('3. Enter Indicator Scores'!$D$10:$CZ$161,_xlpm.r,_xlpm.c),""),
  IF(OR(_xlpm.w="",_xlpm.v=""),"",_xlpm.v*_xlpm.w)
)</f>
        <v/>
      </c>
      <c r="CT24" s="93" t="str" cm="1">
        <f t="array" ref="CT24">_xlfn.LET(
  _xlpm.w, CT$11,
  _xlpm.r, MATCH(1,('3. Enter Indicator Scores'!$B$10:$B$161=$B24)*('3. Enter Indicator Scores'!$C$10:$C$161=$C24),0),
  _xlpm.c, MATCH(CT$8,'3. Enter Indicator Scores'!$D$8:$CZ$8,0),
  _xlpm.v, IFERROR(INDEX('3. Enter Indicator Scores'!$D$10:$CZ$161,_xlpm.r,_xlpm.c),""),
  IF(OR(_xlpm.w="",_xlpm.v=""),"",_xlpm.v*_xlpm.w)
)</f>
        <v/>
      </c>
      <c r="CU24" s="93" t="str" cm="1">
        <f t="array" ref="CU24">_xlfn.LET(
  _xlpm.w, CU$11,
  _xlpm.r, MATCH(1,('3. Enter Indicator Scores'!$B$10:$B$161=$B24)*('3. Enter Indicator Scores'!$C$10:$C$161=$C24),0),
  _xlpm.c, MATCH(CU$8,'3. Enter Indicator Scores'!$D$8:$CZ$8,0),
  _xlpm.v, IFERROR(INDEX('3. Enter Indicator Scores'!$D$10:$CZ$161,_xlpm.r,_xlpm.c),""),
  IF(OR(_xlpm.w="",_xlpm.v=""),"",_xlpm.v*_xlpm.w)
)</f>
        <v/>
      </c>
      <c r="CV24" s="93" t="str" cm="1">
        <f t="array" ref="CV24">_xlfn.LET(
  _xlpm.w, CV$11,
  _xlpm.r, MATCH(1,('3. Enter Indicator Scores'!$B$10:$B$161=$B24)*('3. Enter Indicator Scores'!$C$10:$C$161=$C24),0),
  _xlpm.c, MATCH(CV$8,'3. Enter Indicator Scores'!$D$8:$CZ$8,0),
  _xlpm.v, IFERROR(INDEX('3. Enter Indicator Scores'!$D$10:$CZ$161,_xlpm.r,_xlpm.c),""),
  IF(OR(_xlpm.w="",_xlpm.v=""),"",_xlpm.v*_xlpm.w)
)</f>
        <v/>
      </c>
      <c r="CW24" s="93" t="str" cm="1">
        <f t="array" ref="CW24">_xlfn.LET(
  _xlpm.w, CW$11,
  _xlpm.r, MATCH(1,('3. Enter Indicator Scores'!$B$10:$B$161=$B24)*('3. Enter Indicator Scores'!$C$10:$C$161=$C24),0),
  _xlpm.c, MATCH(CW$8,'3. Enter Indicator Scores'!$D$8:$CZ$8,0),
  _xlpm.v, IFERROR(INDEX('3. Enter Indicator Scores'!$D$10:$CZ$161,_xlpm.r,_xlpm.c),""),
  IF(OR(_xlpm.w="",_xlpm.v=""),"",_xlpm.v*_xlpm.w)
)</f>
        <v/>
      </c>
      <c r="CX24" s="93" t="str" cm="1">
        <f t="array" ref="CX24">_xlfn.LET(
  _xlpm.w, CX$11,
  _xlpm.r, MATCH(1,('3. Enter Indicator Scores'!$B$10:$B$161=$B24)*('3. Enter Indicator Scores'!$C$10:$C$161=$C24),0),
  _xlpm.c, MATCH(CX$8,'3. Enter Indicator Scores'!$D$8:$CZ$8,0),
  _xlpm.v, IFERROR(INDEX('3. Enter Indicator Scores'!$D$10:$CZ$161,_xlpm.r,_xlpm.c),""),
  IF(OR(_xlpm.w="",_xlpm.v=""),"",_xlpm.v*_xlpm.w)
)</f>
        <v/>
      </c>
      <c r="CY24" s="93" t="str" cm="1">
        <f t="array" ref="CY24">_xlfn.LET(
  _xlpm.w, CY$11,
  _xlpm.r, MATCH(1,('3. Enter Indicator Scores'!$B$10:$B$161=$B24)*('3. Enter Indicator Scores'!$C$10:$C$161=$C24),0),
  _xlpm.c, MATCH(CY$8,'3. Enter Indicator Scores'!$D$8:$CZ$8,0),
  _xlpm.v, IFERROR(INDEX('3. Enter Indicator Scores'!$D$10:$CZ$161,_xlpm.r,_xlpm.c),""),
  IF(OR(_xlpm.w="",_xlpm.v=""),"",_xlpm.v*_xlpm.w)
)</f>
        <v/>
      </c>
      <c r="CZ24" s="93" t="str" cm="1">
        <f t="array" ref="CZ24">_xlfn.LET(
  _xlpm.w, CZ$11,
  _xlpm.r, MATCH(1,('3. Enter Indicator Scores'!$B$10:$B$161=$B24)*('3. Enter Indicator Scores'!$C$10:$C$161=$C24),0),
  _xlpm.c, MATCH(CZ$8,'3. Enter Indicator Scores'!$D$8:$CZ$8,0),
  _xlpm.v, IFERROR(INDEX('3. Enter Indicator Scores'!$D$10:$CZ$161,_xlpm.r,_xlpm.c),""),
  IF(OR(_xlpm.w="",_xlpm.v=""),"",_xlpm.v*_xlpm.w)
)</f>
        <v/>
      </c>
    </row>
    <row r="25" spans="1:104" x14ac:dyDescent="0.2">
      <c r="D25" s="93" t="str" cm="1">
        <f t="array" ref="D25">_xlfn.LET(
  _xlpm.w, D$11,
  _xlpm.r, MATCH(1,('3. Enter Indicator Scores'!$B$10:$B$161=$B25)*('3. Enter Indicator Scores'!$C$10:$C$161=$C25),0),
  _xlpm.c, MATCH(D$8,'3. Enter Indicator Scores'!$D$8:$CZ$8,0),
  _xlpm.v, IFERROR(INDEX('3. Enter Indicator Scores'!$D$10:$CZ$161,_xlpm.r,_xlpm.c),""),
  IF(OR(_xlpm.w="",_xlpm.v=""),"",_xlpm.v*_xlpm.w)
)</f>
        <v/>
      </c>
      <c r="E25" s="93" t="str" cm="1">
        <f t="array" ref="E25">_xlfn.LET(
  _xlpm.w, E$11,
  _xlpm.r, MATCH(1,('3. Enter Indicator Scores'!$B$10:$B$161=$B25)*('3. Enter Indicator Scores'!$C$10:$C$161=$C25),0),
  _xlpm.c, MATCH(E$8,'3. Enter Indicator Scores'!$D$8:$CZ$8,0),
  _xlpm.v, IFERROR(INDEX('3. Enter Indicator Scores'!$D$10:$CZ$161,_xlpm.r,_xlpm.c),""),
  IF(OR(_xlpm.w="",_xlpm.v=""),"",_xlpm.v*_xlpm.w)
)</f>
        <v/>
      </c>
      <c r="F25" s="93" t="str" cm="1">
        <f t="array" ref="F25">_xlfn.LET(
  _xlpm.w, F$11,
  _xlpm.r, MATCH(1,('3. Enter Indicator Scores'!$B$10:$B$161=$B25)*('3. Enter Indicator Scores'!$C$10:$C$161=$C25),0),
  _xlpm.c, MATCH(F$8,'3. Enter Indicator Scores'!$D$8:$CZ$8,0),
  _xlpm.v, IFERROR(INDEX('3. Enter Indicator Scores'!$D$10:$CZ$161,_xlpm.r,_xlpm.c),""),
  IF(OR(_xlpm.w="",_xlpm.v=""),"",_xlpm.v*_xlpm.w)
)</f>
        <v/>
      </c>
      <c r="G25" s="93" t="str" cm="1">
        <f t="array" ref="G25">_xlfn.LET(
  _xlpm.w, G$11,
  _xlpm.r, MATCH(1,('3. Enter Indicator Scores'!$B$10:$B$161=$B25)*('3. Enter Indicator Scores'!$C$10:$C$161=$C25),0),
  _xlpm.c, MATCH(G$8,'3. Enter Indicator Scores'!$D$8:$CZ$8,0),
  _xlpm.v, IFERROR(INDEX('3. Enter Indicator Scores'!$D$10:$CZ$161,_xlpm.r,_xlpm.c),""),
  IF(OR(_xlpm.w="",_xlpm.v=""),"",_xlpm.v*_xlpm.w)
)</f>
        <v/>
      </c>
      <c r="H25" s="93" t="str" cm="1">
        <f t="array" ref="H25">_xlfn.LET(
  _xlpm.w, H$11,
  _xlpm.r, MATCH(1,('3. Enter Indicator Scores'!$B$10:$B$161=$B25)*('3. Enter Indicator Scores'!$C$10:$C$161=$C25),0),
  _xlpm.c, MATCH(H$8,'3. Enter Indicator Scores'!$D$8:$CZ$8,0),
  _xlpm.v, IFERROR(INDEX('3. Enter Indicator Scores'!$D$10:$CZ$161,_xlpm.r,_xlpm.c),""),
  IF(OR(_xlpm.w="",_xlpm.v=""),"",_xlpm.v*_xlpm.w)
)</f>
        <v/>
      </c>
      <c r="I25" s="93" t="str" cm="1">
        <f t="array" ref="I25">_xlfn.LET(
  _xlpm.w, I$11,
  _xlpm.r, MATCH(1,('3. Enter Indicator Scores'!$B$10:$B$161=$B25)*('3. Enter Indicator Scores'!$C$10:$C$161=$C25),0),
  _xlpm.c, MATCH(I$8,'3. Enter Indicator Scores'!$D$8:$CZ$8,0),
  _xlpm.v, IFERROR(INDEX('3. Enter Indicator Scores'!$D$10:$CZ$161,_xlpm.r,_xlpm.c),""),
  IF(OR(_xlpm.w="",_xlpm.v=""),"",_xlpm.v*_xlpm.w)
)</f>
        <v/>
      </c>
      <c r="J25" s="93" t="str" cm="1">
        <f t="array" ref="J25">_xlfn.LET(
  _xlpm.w, J$11,
  _xlpm.r, MATCH(1,('3. Enter Indicator Scores'!$B$10:$B$161=$B25)*('3. Enter Indicator Scores'!$C$10:$C$161=$C25),0),
  _xlpm.c, MATCH(J$8,'3. Enter Indicator Scores'!$D$8:$CZ$8,0),
  _xlpm.v, IFERROR(INDEX('3. Enter Indicator Scores'!$D$10:$CZ$161,_xlpm.r,_xlpm.c),""),
  IF(OR(_xlpm.w="",_xlpm.v=""),"",_xlpm.v*_xlpm.w)
)</f>
        <v/>
      </c>
      <c r="K25" s="93" t="str" cm="1">
        <f t="array" ref="K25">_xlfn.LET(
  _xlpm.w, K$11,
  _xlpm.r, MATCH(1,('3. Enter Indicator Scores'!$B$10:$B$161=$B25)*('3. Enter Indicator Scores'!$C$10:$C$161=$C25),0),
  _xlpm.c, MATCH(K$8,'3. Enter Indicator Scores'!$D$8:$CZ$8,0),
  _xlpm.v, IFERROR(INDEX('3. Enter Indicator Scores'!$D$10:$CZ$161,_xlpm.r,_xlpm.c),""),
  IF(OR(_xlpm.w="",_xlpm.v=""),"",_xlpm.v*_xlpm.w)
)</f>
        <v/>
      </c>
      <c r="L25" s="93" t="str" cm="1">
        <f t="array" ref="L25">_xlfn.LET(
  _xlpm.w, L$11,
  _xlpm.r, MATCH(1,('3. Enter Indicator Scores'!$B$10:$B$161=$B25)*('3. Enter Indicator Scores'!$C$10:$C$161=$C25),0),
  _xlpm.c, MATCH(L$8,'3. Enter Indicator Scores'!$D$8:$CZ$8,0),
  _xlpm.v, IFERROR(INDEX('3. Enter Indicator Scores'!$D$10:$CZ$161,_xlpm.r,_xlpm.c),""),
  IF(OR(_xlpm.w="",_xlpm.v=""),"",_xlpm.v*_xlpm.w)
)</f>
        <v/>
      </c>
      <c r="M25" s="93" t="str" cm="1">
        <f t="array" ref="M25">_xlfn.LET(
  _xlpm.w, M$11,
  _xlpm.r, MATCH(1,('3. Enter Indicator Scores'!$B$10:$B$161=$B25)*('3. Enter Indicator Scores'!$C$10:$C$161=$C25),0),
  _xlpm.c, MATCH(M$8,'3. Enter Indicator Scores'!$D$8:$CZ$8,0),
  _xlpm.v, IFERROR(INDEX('3. Enter Indicator Scores'!$D$10:$CZ$161,_xlpm.r,_xlpm.c),""),
  IF(OR(_xlpm.w="",_xlpm.v=""),"",_xlpm.v*_xlpm.w)
)</f>
        <v/>
      </c>
      <c r="N25" s="93" t="str" cm="1">
        <f t="array" ref="N25">_xlfn.LET(
  _xlpm.w, N$11,
  _xlpm.r, MATCH(1,('3. Enter Indicator Scores'!$B$10:$B$161=$B25)*('3. Enter Indicator Scores'!$C$10:$C$161=$C25),0),
  _xlpm.c, MATCH(N$8,'3. Enter Indicator Scores'!$D$8:$CZ$8,0),
  _xlpm.v, IFERROR(INDEX('3. Enter Indicator Scores'!$D$10:$CZ$161,_xlpm.r,_xlpm.c),""),
  IF(OR(_xlpm.w="",_xlpm.v=""),"",_xlpm.v*_xlpm.w)
)</f>
        <v/>
      </c>
      <c r="O25" s="93" t="str" cm="1">
        <f t="array" ref="O25">_xlfn.LET(
  _xlpm.w, O$11,
  _xlpm.r, MATCH(1,('3. Enter Indicator Scores'!$B$10:$B$161=$B25)*('3. Enter Indicator Scores'!$C$10:$C$161=$C25),0),
  _xlpm.c, MATCH(O$8,'3. Enter Indicator Scores'!$D$8:$CZ$8,0),
  _xlpm.v, IFERROR(INDEX('3. Enter Indicator Scores'!$D$10:$CZ$161,_xlpm.r,_xlpm.c),""),
  IF(OR(_xlpm.w="",_xlpm.v=""),"",_xlpm.v*_xlpm.w)
)</f>
        <v/>
      </c>
      <c r="P25" s="93" t="str" cm="1">
        <f t="array" ref="P25">_xlfn.LET(
  _xlpm.w, P$11,
  _xlpm.r, MATCH(1,('3. Enter Indicator Scores'!$B$10:$B$161=$B25)*('3. Enter Indicator Scores'!$C$10:$C$161=$C25),0),
  _xlpm.c, MATCH(P$8,'3. Enter Indicator Scores'!$D$8:$CZ$8,0),
  _xlpm.v, IFERROR(INDEX('3. Enter Indicator Scores'!$D$10:$CZ$161,_xlpm.r,_xlpm.c),""),
  IF(OR(_xlpm.w="",_xlpm.v=""),"",_xlpm.v*_xlpm.w)
)</f>
        <v/>
      </c>
      <c r="Q25" s="93" t="str" cm="1">
        <f t="array" ref="Q25">_xlfn.LET(
  _xlpm.w, Q$11,
  _xlpm.r, MATCH(1,('3. Enter Indicator Scores'!$B$10:$B$161=$B25)*('3. Enter Indicator Scores'!$C$10:$C$161=$C25),0),
  _xlpm.c, MATCH(Q$8,'3. Enter Indicator Scores'!$D$8:$CZ$8,0),
  _xlpm.v, IFERROR(INDEX('3. Enter Indicator Scores'!$D$10:$CZ$161,_xlpm.r,_xlpm.c),""),
  IF(OR(_xlpm.w="",_xlpm.v=""),"",_xlpm.v*_xlpm.w)
)</f>
        <v/>
      </c>
      <c r="R25" s="93" t="str" cm="1">
        <f t="array" ref="R25">_xlfn.LET(
  _xlpm.w, R$11,
  _xlpm.r, MATCH(1,('3. Enter Indicator Scores'!$B$10:$B$161=$B25)*('3. Enter Indicator Scores'!$C$10:$C$161=$C25),0),
  _xlpm.c, MATCH(R$8,'3. Enter Indicator Scores'!$D$8:$CZ$8,0),
  _xlpm.v, IFERROR(INDEX('3. Enter Indicator Scores'!$D$10:$CZ$161,_xlpm.r,_xlpm.c),""),
  IF(OR(_xlpm.w="",_xlpm.v=""),"",_xlpm.v*_xlpm.w)
)</f>
        <v/>
      </c>
      <c r="S25" s="93" t="str" cm="1">
        <f t="array" ref="S25">_xlfn.LET(
  _xlpm.w, S$11,
  _xlpm.r, MATCH(1,('3. Enter Indicator Scores'!$B$10:$B$161=$B25)*('3. Enter Indicator Scores'!$C$10:$C$161=$C25),0),
  _xlpm.c, MATCH(S$8,'3. Enter Indicator Scores'!$D$8:$CZ$8,0),
  _xlpm.v, IFERROR(INDEX('3. Enter Indicator Scores'!$D$10:$CZ$161,_xlpm.r,_xlpm.c),""),
  IF(OR(_xlpm.w="",_xlpm.v=""),"",_xlpm.v*_xlpm.w)
)</f>
        <v/>
      </c>
      <c r="T25" s="93" t="str" cm="1">
        <f t="array" ref="T25">_xlfn.LET(
  _xlpm.w, T$11,
  _xlpm.r, MATCH(1,('3. Enter Indicator Scores'!$B$10:$B$161=$B25)*('3. Enter Indicator Scores'!$C$10:$C$161=$C25),0),
  _xlpm.c, MATCH(T$8,'3. Enter Indicator Scores'!$D$8:$CZ$8,0),
  _xlpm.v, IFERROR(INDEX('3. Enter Indicator Scores'!$D$10:$CZ$161,_xlpm.r,_xlpm.c),""),
  IF(OR(_xlpm.w="",_xlpm.v=""),"",_xlpm.v*_xlpm.w)
)</f>
        <v/>
      </c>
      <c r="U25" s="93" t="str" cm="1">
        <f t="array" ref="U25">_xlfn.LET(
  _xlpm.w, U$11,
  _xlpm.r, MATCH(1,('3. Enter Indicator Scores'!$B$10:$B$161=$B25)*('3. Enter Indicator Scores'!$C$10:$C$161=$C25),0),
  _xlpm.c, MATCH(U$8,'3. Enter Indicator Scores'!$D$8:$CZ$8,0),
  _xlpm.v, IFERROR(INDEX('3. Enter Indicator Scores'!$D$10:$CZ$161,_xlpm.r,_xlpm.c),""),
  IF(OR(_xlpm.w="",_xlpm.v=""),"",_xlpm.v*_xlpm.w)
)</f>
        <v/>
      </c>
      <c r="V25" s="93" t="str" cm="1">
        <f t="array" ref="V25">_xlfn.LET(
  _xlpm.w, V$11,
  _xlpm.r, MATCH(1,('3. Enter Indicator Scores'!$B$10:$B$161=$B25)*('3. Enter Indicator Scores'!$C$10:$C$161=$C25),0),
  _xlpm.c, MATCH(V$8,'3. Enter Indicator Scores'!$D$8:$CZ$8,0),
  _xlpm.v, IFERROR(INDEX('3. Enter Indicator Scores'!$D$10:$CZ$161,_xlpm.r,_xlpm.c),""),
  IF(OR(_xlpm.w="",_xlpm.v=""),"",_xlpm.v*_xlpm.w)
)</f>
        <v/>
      </c>
      <c r="W25" s="93" t="str" cm="1">
        <f t="array" ref="W25">_xlfn.LET(
  _xlpm.w, W$11,
  _xlpm.r, MATCH(1,('3. Enter Indicator Scores'!$B$10:$B$161=$B25)*('3. Enter Indicator Scores'!$C$10:$C$161=$C25),0),
  _xlpm.c, MATCH(W$8,'3. Enter Indicator Scores'!$D$8:$CZ$8,0),
  _xlpm.v, IFERROR(INDEX('3. Enter Indicator Scores'!$D$10:$CZ$161,_xlpm.r,_xlpm.c),""),
  IF(OR(_xlpm.w="",_xlpm.v=""),"",_xlpm.v*_xlpm.w)
)</f>
        <v/>
      </c>
      <c r="X25" s="93" t="str" cm="1">
        <f t="array" ref="X25">_xlfn.LET(
  _xlpm.w, X$11,
  _xlpm.r, MATCH(1,('3. Enter Indicator Scores'!$B$10:$B$161=$B25)*('3. Enter Indicator Scores'!$C$10:$C$161=$C25),0),
  _xlpm.c, MATCH(X$8,'3. Enter Indicator Scores'!$D$8:$CZ$8,0),
  _xlpm.v, IFERROR(INDEX('3. Enter Indicator Scores'!$D$10:$CZ$161,_xlpm.r,_xlpm.c),""),
  IF(OR(_xlpm.w="",_xlpm.v=""),"",_xlpm.v*_xlpm.w)
)</f>
        <v/>
      </c>
      <c r="Y25" s="93" t="str" cm="1">
        <f t="array" ref="Y25">_xlfn.LET(
  _xlpm.w, Y$11,
  _xlpm.r, MATCH(1,('3. Enter Indicator Scores'!$B$10:$B$161=$B25)*('3. Enter Indicator Scores'!$C$10:$C$161=$C25),0),
  _xlpm.c, MATCH(Y$8,'3. Enter Indicator Scores'!$D$8:$CZ$8,0),
  _xlpm.v, IFERROR(INDEX('3. Enter Indicator Scores'!$D$10:$CZ$161,_xlpm.r,_xlpm.c),""),
  IF(OR(_xlpm.w="",_xlpm.v=""),"",_xlpm.v*_xlpm.w)
)</f>
        <v/>
      </c>
      <c r="Z25" s="93" t="str" cm="1">
        <f t="array" ref="Z25">_xlfn.LET(
  _xlpm.w, Z$11,
  _xlpm.r, MATCH(1,('3. Enter Indicator Scores'!$B$10:$B$161=$B25)*('3. Enter Indicator Scores'!$C$10:$C$161=$C25),0),
  _xlpm.c, MATCH(Z$8,'3. Enter Indicator Scores'!$D$8:$CZ$8,0),
  _xlpm.v, IFERROR(INDEX('3. Enter Indicator Scores'!$D$10:$CZ$161,_xlpm.r,_xlpm.c),""),
  IF(OR(_xlpm.w="",_xlpm.v=""),"",_xlpm.v*_xlpm.w)
)</f>
        <v/>
      </c>
      <c r="AA25" s="93" t="str" cm="1">
        <f t="array" ref="AA25">_xlfn.LET(
  _xlpm.w, AA$11,
  _xlpm.r, MATCH(1,('3. Enter Indicator Scores'!$B$10:$B$161=$B25)*('3. Enter Indicator Scores'!$C$10:$C$161=$C25),0),
  _xlpm.c, MATCH(AA$8,'3. Enter Indicator Scores'!$D$8:$CZ$8,0),
  _xlpm.v, IFERROR(INDEX('3. Enter Indicator Scores'!$D$10:$CZ$161,_xlpm.r,_xlpm.c),""),
  IF(OR(_xlpm.w="",_xlpm.v=""),"",_xlpm.v*_xlpm.w)
)</f>
        <v/>
      </c>
      <c r="AB25" s="93" t="str" cm="1">
        <f t="array" ref="AB25">_xlfn.LET(
  _xlpm.w, AB$11,
  _xlpm.r, MATCH(1,('3. Enter Indicator Scores'!$B$10:$B$161=$B25)*('3. Enter Indicator Scores'!$C$10:$C$161=$C25),0),
  _xlpm.c, MATCH(AB$8,'3. Enter Indicator Scores'!$D$8:$CZ$8,0),
  _xlpm.v, IFERROR(INDEX('3. Enter Indicator Scores'!$D$10:$CZ$161,_xlpm.r,_xlpm.c),""),
  IF(OR(_xlpm.w="",_xlpm.v=""),"",_xlpm.v*_xlpm.w)
)</f>
        <v/>
      </c>
      <c r="AC25" s="93" t="str" cm="1">
        <f t="array" ref="AC25">_xlfn.LET(
  _xlpm.w, AC$11,
  _xlpm.r, MATCH(1,('3. Enter Indicator Scores'!$B$10:$B$161=$B25)*('3. Enter Indicator Scores'!$C$10:$C$161=$C25),0),
  _xlpm.c, MATCH(AC$8,'3. Enter Indicator Scores'!$D$8:$CZ$8,0),
  _xlpm.v, IFERROR(INDEX('3. Enter Indicator Scores'!$D$10:$CZ$161,_xlpm.r,_xlpm.c),""),
  IF(OR(_xlpm.w="",_xlpm.v=""),"",_xlpm.v*_xlpm.w)
)</f>
        <v/>
      </c>
      <c r="AD25" s="93" t="str" cm="1">
        <f t="array" ref="AD25">_xlfn.LET(
  _xlpm.w, AD$11,
  _xlpm.r, MATCH(1,('3. Enter Indicator Scores'!$B$10:$B$161=$B25)*('3. Enter Indicator Scores'!$C$10:$C$161=$C25),0),
  _xlpm.c, MATCH(AD$8,'3. Enter Indicator Scores'!$D$8:$CZ$8,0),
  _xlpm.v, IFERROR(INDEX('3. Enter Indicator Scores'!$D$10:$CZ$161,_xlpm.r,_xlpm.c),""),
  IF(OR(_xlpm.w="",_xlpm.v=""),"",_xlpm.v*_xlpm.w)
)</f>
        <v/>
      </c>
      <c r="AE25" s="93" t="str" cm="1">
        <f t="array" ref="AE25">_xlfn.LET(
  _xlpm.w, AE$11,
  _xlpm.r, MATCH(1,('3. Enter Indicator Scores'!$B$10:$B$161=$B25)*('3. Enter Indicator Scores'!$C$10:$C$161=$C25),0),
  _xlpm.c, MATCH(AE$8,'3. Enter Indicator Scores'!$D$8:$CZ$8,0),
  _xlpm.v, IFERROR(INDEX('3. Enter Indicator Scores'!$D$10:$CZ$161,_xlpm.r,_xlpm.c),""),
  IF(OR(_xlpm.w="",_xlpm.v=""),"",_xlpm.v*_xlpm.w)
)</f>
        <v/>
      </c>
      <c r="AF25" s="93" t="str" cm="1">
        <f t="array" ref="AF25">_xlfn.LET(
  _xlpm.w, AF$11,
  _xlpm.r, MATCH(1,('3. Enter Indicator Scores'!$B$10:$B$161=$B25)*('3. Enter Indicator Scores'!$C$10:$C$161=$C25),0),
  _xlpm.c, MATCH(AF$8,'3. Enter Indicator Scores'!$D$8:$CZ$8,0),
  _xlpm.v, IFERROR(INDEX('3. Enter Indicator Scores'!$D$10:$CZ$161,_xlpm.r,_xlpm.c),""),
  IF(OR(_xlpm.w="",_xlpm.v=""),"",_xlpm.v*_xlpm.w)
)</f>
        <v/>
      </c>
      <c r="AG25" s="93" t="str" cm="1">
        <f t="array" ref="AG25">_xlfn.LET(
  _xlpm.w, AG$11,
  _xlpm.r, MATCH(1,('3. Enter Indicator Scores'!$B$10:$B$161=$B25)*('3. Enter Indicator Scores'!$C$10:$C$161=$C25),0),
  _xlpm.c, MATCH(AG$8,'3. Enter Indicator Scores'!$D$8:$CZ$8,0),
  _xlpm.v, IFERROR(INDEX('3. Enter Indicator Scores'!$D$10:$CZ$161,_xlpm.r,_xlpm.c),""),
  IF(OR(_xlpm.w="",_xlpm.v=""),"",_xlpm.v*_xlpm.w)
)</f>
        <v/>
      </c>
      <c r="AH25" s="93" t="str" cm="1">
        <f t="array" ref="AH25">_xlfn.LET(
  _xlpm.w, AH$11,
  _xlpm.r, MATCH(1,('3. Enter Indicator Scores'!$B$10:$B$161=$B25)*('3. Enter Indicator Scores'!$C$10:$C$161=$C25),0),
  _xlpm.c, MATCH(AH$8,'3. Enter Indicator Scores'!$D$8:$CZ$8,0),
  _xlpm.v, IFERROR(INDEX('3. Enter Indicator Scores'!$D$10:$CZ$161,_xlpm.r,_xlpm.c),""),
  IF(OR(_xlpm.w="",_xlpm.v=""),"",_xlpm.v*_xlpm.w)
)</f>
        <v/>
      </c>
      <c r="AI25" s="93" t="str" cm="1">
        <f t="array" ref="AI25">_xlfn.LET(
  _xlpm.w, AI$11,
  _xlpm.r, MATCH(1,('3. Enter Indicator Scores'!$B$10:$B$161=$B25)*('3. Enter Indicator Scores'!$C$10:$C$161=$C25),0),
  _xlpm.c, MATCH(AI$8,'3. Enter Indicator Scores'!$D$8:$CZ$8,0),
  _xlpm.v, IFERROR(INDEX('3. Enter Indicator Scores'!$D$10:$CZ$161,_xlpm.r,_xlpm.c),""),
  IF(OR(_xlpm.w="",_xlpm.v=""),"",_xlpm.v*_xlpm.w)
)</f>
        <v/>
      </c>
      <c r="AJ25" s="93" t="str" cm="1">
        <f t="array" ref="AJ25">_xlfn.LET(
  _xlpm.w, AJ$11,
  _xlpm.r, MATCH(1,('3. Enter Indicator Scores'!$B$10:$B$161=$B25)*('3. Enter Indicator Scores'!$C$10:$C$161=$C25),0),
  _xlpm.c, MATCH(AJ$8,'3. Enter Indicator Scores'!$D$8:$CZ$8,0),
  _xlpm.v, IFERROR(INDEX('3. Enter Indicator Scores'!$D$10:$CZ$161,_xlpm.r,_xlpm.c),""),
  IF(OR(_xlpm.w="",_xlpm.v=""),"",_xlpm.v*_xlpm.w)
)</f>
        <v/>
      </c>
      <c r="AK25" s="93" t="str" cm="1">
        <f t="array" ref="AK25">_xlfn.LET(
  _xlpm.w, AK$11,
  _xlpm.r, MATCH(1,('3. Enter Indicator Scores'!$B$10:$B$161=$B25)*('3. Enter Indicator Scores'!$C$10:$C$161=$C25),0),
  _xlpm.c, MATCH(AK$8,'3. Enter Indicator Scores'!$D$8:$CZ$8,0),
  _xlpm.v, IFERROR(INDEX('3. Enter Indicator Scores'!$D$10:$CZ$161,_xlpm.r,_xlpm.c),""),
  IF(OR(_xlpm.w="",_xlpm.v=""),"",_xlpm.v*_xlpm.w)
)</f>
        <v/>
      </c>
      <c r="AL25" s="93" t="str" cm="1">
        <f t="array" ref="AL25">_xlfn.LET(
  _xlpm.w, AL$11,
  _xlpm.r, MATCH(1,('3. Enter Indicator Scores'!$B$10:$B$161=$B25)*('3. Enter Indicator Scores'!$C$10:$C$161=$C25),0),
  _xlpm.c, MATCH(AL$8,'3. Enter Indicator Scores'!$D$8:$CZ$8,0),
  _xlpm.v, IFERROR(INDEX('3. Enter Indicator Scores'!$D$10:$CZ$161,_xlpm.r,_xlpm.c),""),
  IF(OR(_xlpm.w="",_xlpm.v=""),"",_xlpm.v*_xlpm.w)
)</f>
        <v/>
      </c>
      <c r="AM25" s="93" t="str" cm="1">
        <f t="array" ref="AM25">_xlfn.LET(
  _xlpm.w, AM$11,
  _xlpm.r, MATCH(1,('3. Enter Indicator Scores'!$B$10:$B$161=$B25)*('3. Enter Indicator Scores'!$C$10:$C$161=$C25),0),
  _xlpm.c, MATCH(AM$8,'3. Enter Indicator Scores'!$D$8:$CZ$8,0),
  _xlpm.v, IFERROR(INDEX('3. Enter Indicator Scores'!$D$10:$CZ$161,_xlpm.r,_xlpm.c),""),
  IF(OR(_xlpm.w="",_xlpm.v=""),"",_xlpm.v*_xlpm.w)
)</f>
        <v/>
      </c>
      <c r="AN25" s="93" t="str" cm="1">
        <f t="array" ref="AN25">_xlfn.LET(
  _xlpm.w, AN$11,
  _xlpm.r, MATCH(1,('3. Enter Indicator Scores'!$B$10:$B$161=$B25)*('3. Enter Indicator Scores'!$C$10:$C$161=$C25),0),
  _xlpm.c, MATCH(AN$8,'3. Enter Indicator Scores'!$D$8:$CZ$8,0),
  _xlpm.v, IFERROR(INDEX('3. Enter Indicator Scores'!$D$10:$CZ$161,_xlpm.r,_xlpm.c),""),
  IF(OR(_xlpm.w="",_xlpm.v=""),"",_xlpm.v*_xlpm.w)
)</f>
        <v/>
      </c>
      <c r="AO25" s="93" t="str" cm="1">
        <f t="array" ref="AO25">_xlfn.LET(
  _xlpm.w, AO$11,
  _xlpm.r, MATCH(1,('3. Enter Indicator Scores'!$B$10:$B$161=$B25)*('3. Enter Indicator Scores'!$C$10:$C$161=$C25),0),
  _xlpm.c, MATCH(AO$8,'3. Enter Indicator Scores'!$D$8:$CZ$8,0),
  _xlpm.v, IFERROR(INDEX('3. Enter Indicator Scores'!$D$10:$CZ$161,_xlpm.r,_xlpm.c),""),
  IF(OR(_xlpm.w="",_xlpm.v=""),"",_xlpm.v*_xlpm.w)
)</f>
        <v/>
      </c>
      <c r="AP25" s="93" t="str" cm="1">
        <f t="array" ref="AP25">_xlfn.LET(
  _xlpm.w, AP$11,
  _xlpm.r, MATCH(1,('3. Enter Indicator Scores'!$B$10:$B$161=$B25)*('3. Enter Indicator Scores'!$C$10:$C$161=$C25),0),
  _xlpm.c, MATCH(AP$8,'3. Enter Indicator Scores'!$D$8:$CZ$8,0),
  _xlpm.v, IFERROR(INDEX('3. Enter Indicator Scores'!$D$10:$CZ$161,_xlpm.r,_xlpm.c),""),
  IF(OR(_xlpm.w="",_xlpm.v=""),"",_xlpm.v*_xlpm.w)
)</f>
        <v/>
      </c>
      <c r="AQ25" s="93" t="str" cm="1">
        <f t="array" ref="AQ25">_xlfn.LET(
  _xlpm.w, AQ$11,
  _xlpm.r, MATCH(1,('3. Enter Indicator Scores'!$B$10:$B$161=$B25)*('3. Enter Indicator Scores'!$C$10:$C$161=$C25),0),
  _xlpm.c, MATCH(AQ$8,'3. Enter Indicator Scores'!$D$8:$CZ$8,0),
  _xlpm.v, IFERROR(INDEX('3. Enter Indicator Scores'!$D$10:$CZ$161,_xlpm.r,_xlpm.c),""),
  IF(OR(_xlpm.w="",_xlpm.v=""),"",_xlpm.v*_xlpm.w)
)</f>
        <v/>
      </c>
      <c r="AR25" s="93" t="str" cm="1">
        <f t="array" ref="AR25">_xlfn.LET(
  _xlpm.w, AR$11,
  _xlpm.r, MATCH(1,('3. Enter Indicator Scores'!$B$10:$B$161=$B25)*('3. Enter Indicator Scores'!$C$10:$C$161=$C25),0),
  _xlpm.c, MATCH(AR$8,'3. Enter Indicator Scores'!$D$8:$CZ$8,0),
  _xlpm.v, IFERROR(INDEX('3. Enter Indicator Scores'!$D$10:$CZ$161,_xlpm.r,_xlpm.c),""),
  IF(OR(_xlpm.w="",_xlpm.v=""),"",_xlpm.v*_xlpm.w)
)</f>
        <v/>
      </c>
      <c r="AS25" s="93" t="str" cm="1">
        <f t="array" ref="AS25">_xlfn.LET(
  _xlpm.w, AS$11,
  _xlpm.r, MATCH(1,('3. Enter Indicator Scores'!$B$10:$B$161=$B25)*('3. Enter Indicator Scores'!$C$10:$C$161=$C25),0),
  _xlpm.c, MATCH(AS$8,'3. Enter Indicator Scores'!$D$8:$CZ$8,0),
  _xlpm.v, IFERROR(INDEX('3. Enter Indicator Scores'!$D$10:$CZ$161,_xlpm.r,_xlpm.c),""),
  IF(OR(_xlpm.w="",_xlpm.v=""),"",_xlpm.v*_xlpm.w)
)</f>
        <v/>
      </c>
      <c r="AT25" s="93" t="str" cm="1">
        <f t="array" ref="AT25">_xlfn.LET(
  _xlpm.w, AT$11,
  _xlpm.r, MATCH(1,('3. Enter Indicator Scores'!$B$10:$B$161=$B25)*('3. Enter Indicator Scores'!$C$10:$C$161=$C25),0),
  _xlpm.c, MATCH(AT$8,'3. Enter Indicator Scores'!$D$8:$CZ$8,0),
  _xlpm.v, IFERROR(INDEX('3. Enter Indicator Scores'!$D$10:$CZ$161,_xlpm.r,_xlpm.c),""),
  IF(OR(_xlpm.w="",_xlpm.v=""),"",_xlpm.v*_xlpm.w)
)</f>
        <v/>
      </c>
      <c r="AU25" s="93" t="str" cm="1">
        <f t="array" ref="AU25">_xlfn.LET(
  _xlpm.w, AU$11,
  _xlpm.r, MATCH(1,('3. Enter Indicator Scores'!$B$10:$B$161=$B25)*('3. Enter Indicator Scores'!$C$10:$C$161=$C25),0),
  _xlpm.c, MATCH(AU$8,'3. Enter Indicator Scores'!$D$8:$CZ$8,0),
  _xlpm.v, IFERROR(INDEX('3. Enter Indicator Scores'!$D$10:$CZ$161,_xlpm.r,_xlpm.c),""),
  IF(OR(_xlpm.w="",_xlpm.v=""),"",_xlpm.v*_xlpm.w)
)</f>
        <v/>
      </c>
      <c r="AV25" s="93" t="str" cm="1">
        <f t="array" ref="AV25">_xlfn.LET(
  _xlpm.w, AV$11,
  _xlpm.r, MATCH(1,('3. Enter Indicator Scores'!$B$10:$B$161=$B25)*('3. Enter Indicator Scores'!$C$10:$C$161=$C25),0),
  _xlpm.c, MATCH(AV$8,'3. Enter Indicator Scores'!$D$8:$CZ$8,0),
  _xlpm.v, IFERROR(INDEX('3. Enter Indicator Scores'!$D$10:$CZ$161,_xlpm.r,_xlpm.c),""),
  IF(OR(_xlpm.w="",_xlpm.v=""),"",_xlpm.v*_xlpm.w)
)</f>
        <v/>
      </c>
      <c r="AW25" s="93" t="str" cm="1">
        <f t="array" ref="AW25">_xlfn.LET(
  _xlpm.w, AW$11,
  _xlpm.r, MATCH(1,('3. Enter Indicator Scores'!$B$10:$B$161=$B25)*('3. Enter Indicator Scores'!$C$10:$C$161=$C25),0),
  _xlpm.c, MATCH(AW$8,'3. Enter Indicator Scores'!$D$8:$CZ$8,0),
  _xlpm.v, IFERROR(INDEX('3. Enter Indicator Scores'!$D$10:$CZ$161,_xlpm.r,_xlpm.c),""),
  IF(OR(_xlpm.w="",_xlpm.v=""),"",_xlpm.v*_xlpm.w)
)</f>
        <v/>
      </c>
      <c r="AX25" s="93" t="str" cm="1">
        <f t="array" ref="AX25">_xlfn.LET(
  _xlpm.w, AX$11,
  _xlpm.r, MATCH(1,('3. Enter Indicator Scores'!$B$10:$B$161=$B25)*('3. Enter Indicator Scores'!$C$10:$C$161=$C25),0),
  _xlpm.c, MATCH(AX$8,'3. Enter Indicator Scores'!$D$8:$CZ$8,0),
  _xlpm.v, IFERROR(INDEX('3. Enter Indicator Scores'!$D$10:$CZ$161,_xlpm.r,_xlpm.c),""),
  IF(OR(_xlpm.w="",_xlpm.v=""),"",_xlpm.v*_xlpm.w)
)</f>
        <v/>
      </c>
      <c r="AY25" s="93" t="str" cm="1">
        <f t="array" ref="AY25">_xlfn.LET(
  _xlpm.w, AY$11,
  _xlpm.r, MATCH(1,('3. Enter Indicator Scores'!$B$10:$B$161=$B25)*('3. Enter Indicator Scores'!$C$10:$C$161=$C25),0),
  _xlpm.c, MATCH(AY$8,'3. Enter Indicator Scores'!$D$8:$CZ$8,0),
  _xlpm.v, IFERROR(INDEX('3. Enter Indicator Scores'!$D$10:$CZ$161,_xlpm.r,_xlpm.c),""),
  IF(OR(_xlpm.w="",_xlpm.v=""),"",_xlpm.v*_xlpm.w)
)</f>
        <v/>
      </c>
      <c r="AZ25" s="93" t="str" cm="1">
        <f t="array" ref="AZ25">_xlfn.LET(
  _xlpm.w, AZ$11,
  _xlpm.r, MATCH(1,('3. Enter Indicator Scores'!$B$10:$B$161=$B25)*('3. Enter Indicator Scores'!$C$10:$C$161=$C25),0),
  _xlpm.c, MATCH(AZ$8,'3. Enter Indicator Scores'!$D$8:$CZ$8,0),
  _xlpm.v, IFERROR(INDEX('3. Enter Indicator Scores'!$D$10:$CZ$161,_xlpm.r,_xlpm.c),""),
  IF(OR(_xlpm.w="",_xlpm.v=""),"",_xlpm.v*_xlpm.w)
)</f>
        <v/>
      </c>
      <c r="BA25" s="93" t="str" cm="1">
        <f t="array" ref="BA25">_xlfn.LET(
  _xlpm.w, BA$11,
  _xlpm.r, MATCH(1,('3. Enter Indicator Scores'!$B$10:$B$161=$B25)*('3. Enter Indicator Scores'!$C$10:$C$161=$C25),0),
  _xlpm.c, MATCH(BA$8,'3. Enter Indicator Scores'!$D$8:$CZ$8,0),
  _xlpm.v, IFERROR(INDEX('3. Enter Indicator Scores'!$D$10:$CZ$161,_xlpm.r,_xlpm.c),""),
  IF(OR(_xlpm.w="",_xlpm.v=""),"",_xlpm.v*_xlpm.w)
)</f>
        <v/>
      </c>
      <c r="BB25" s="93" t="str" cm="1">
        <f t="array" ref="BB25">_xlfn.LET(
  _xlpm.w, BB$11,
  _xlpm.r, MATCH(1,('3. Enter Indicator Scores'!$B$10:$B$161=$B25)*('3. Enter Indicator Scores'!$C$10:$C$161=$C25),0),
  _xlpm.c, MATCH(BB$8,'3. Enter Indicator Scores'!$D$8:$CZ$8,0),
  _xlpm.v, IFERROR(INDEX('3. Enter Indicator Scores'!$D$10:$CZ$161,_xlpm.r,_xlpm.c),""),
  IF(OR(_xlpm.w="",_xlpm.v=""),"",_xlpm.v*_xlpm.w)
)</f>
        <v/>
      </c>
      <c r="BC25" s="93" t="str" cm="1">
        <f t="array" ref="BC25">_xlfn.LET(
  _xlpm.w, BC$11,
  _xlpm.r, MATCH(1,('3. Enter Indicator Scores'!$B$10:$B$161=$B25)*('3. Enter Indicator Scores'!$C$10:$C$161=$C25),0),
  _xlpm.c, MATCH(BC$8,'3. Enter Indicator Scores'!$D$8:$CZ$8,0),
  _xlpm.v, IFERROR(INDEX('3. Enter Indicator Scores'!$D$10:$CZ$161,_xlpm.r,_xlpm.c),""),
  IF(OR(_xlpm.w="",_xlpm.v=""),"",_xlpm.v*_xlpm.w)
)</f>
        <v/>
      </c>
      <c r="BD25" s="93" t="str" cm="1">
        <f t="array" ref="BD25">_xlfn.LET(
  _xlpm.w, BD$11,
  _xlpm.r, MATCH(1,('3. Enter Indicator Scores'!$B$10:$B$161=$B25)*('3. Enter Indicator Scores'!$C$10:$C$161=$C25),0),
  _xlpm.c, MATCH(BD$8,'3. Enter Indicator Scores'!$D$8:$CZ$8,0),
  _xlpm.v, IFERROR(INDEX('3. Enter Indicator Scores'!$D$10:$CZ$161,_xlpm.r,_xlpm.c),""),
  IF(OR(_xlpm.w="",_xlpm.v=""),"",_xlpm.v*_xlpm.w)
)</f>
        <v/>
      </c>
      <c r="BE25" s="93" t="str" cm="1">
        <f t="array" ref="BE25">_xlfn.LET(
  _xlpm.w, BE$11,
  _xlpm.r, MATCH(1,('3. Enter Indicator Scores'!$B$10:$B$161=$B25)*('3. Enter Indicator Scores'!$C$10:$C$161=$C25),0),
  _xlpm.c, MATCH(BE$8,'3. Enter Indicator Scores'!$D$8:$CZ$8,0),
  _xlpm.v, IFERROR(INDEX('3. Enter Indicator Scores'!$D$10:$CZ$161,_xlpm.r,_xlpm.c),""),
  IF(OR(_xlpm.w="",_xlpm.v=""),"",_xlpm.v*_xlpm.w)
)</f>
        <v/>
      </c>
      <c r="BF25" s="93" t="str" cm="1">
        <f t="array" ref="BF25">_xlfn.LET(
  _xlpm.w, BF$11,
  _xlpm.r, MATCH(1,('3. Enter Indicator Scores'!$B$10:$B$161=$B25)*('3. Enter Indicator Scores'!$C$10:$C$161=$C25),0),
  _xlpm.c, MATCH(BF$8,'3. Enter Indicator Scores'!$D$8:$CZ$8,0),
  _xlpm.v, IFERROR(INDEX('3. Enter Indicator Scores'!$D$10:$CZ$161,_xlpm.r,_xlpm.c),""),
  IF(OR(_xlpm.w="",_xlpm.v=""),"",_xlpm.v*_xlpm.w)
)</f>
        <v/>
      </c>
      <c r="BG25" s="93" t="str" cm="1">
        <f t="array" ref="BG25">_xlfn.LET(
  _xlpm.w, BG$11,
  _xlpm.r, MATCH(1,('3. Enter Indicator Scores'!$B$10:$B$161=$B25)*('3. Enter Indicator Scores'!$C$10:$C$161=$C25),0),
  _xlpm.c, MATCH(BG$8,'3. Enter Indicator Scores'!$D$8:$CZ$8,0),
  _xlpm.v, IFERROR(INDEX('3. Enter Indicator Scores'!$D$10:$CZ$161,_xlpm.r,_xlpm.c),""),
  IF(OR(_xlpm.w="",_xlpm.v=""),"",_xlpm.v*_xlpm.w)
)</f>
        <v/>
      </c>
      <c r="BH25" s="93" t="str" cm="1">
        <f t="array" ref="BH25">_xlfn.LET(
  _xlpm.w, BH$11,
  _xlpm.r, MATCH(1,('3. Enter Indicator Scores'!$B$10:$B$161=$B25)*('3. Enter Indicator Scores'!$C$10:$C$161=$C25),0),
  _xlpm.c, MATCH(BH$8,'3. Enter Indicator Scores'!$D$8:$CZ$8,0),
  _xlpm.v, IFERROR(INDEX('3. Enter Indicator Scores'!$D$10:$CZ$161,_xlpm.r,_xlpm.c),""),
  IF(OR(_xlpm.w="",_xlpm.v=""),"",_xlpm.v*_xlpm.w)
)</f>
        <v/>
      </c>
      <c r="BI25" s="93" t="str" cm="1">
        <f t="array" ref="BI25">_xlfn.LET(
  _xlpm.w, BI$11,
  _xlpm.r, MATCH(1,('3. Enter Indicator Scores'!$B$10:$B$161=$B25)*('3. Enter Indicator Scores'!$C$10:$C$161=$C25),0),
  _xlpm.c, MATCH(BI$8,'3. Enter Indicator Scores'!$D$8:$CZ$8,0),
  _xlpm.v, IFERROR(INDEX('3. Enter Indicator Scores'!$D$10:$CZ$161,_xlpm.r,_xlpm.c),""),
  IF(OR(_xlpm.w="",_xlpm.v=""),"",_xlpm.v*_xlpm.w)
)</f>
        <v/>
      </c>
      <c r="BJ25" s="93" t="str" cm="1">
        <f t="array" ref="BJ25">_xlfn.LET(
  _xlpm.w, BJ$11,
  _xlpm.r, MATCH(1,('3. Enter Indicator Scores'!$B$10:$B$161=$B25)*('3. Enter Indicator Scores'!$C$10:$C$161=$C25),0),
  _xlpm.c, MATCH(BJ$8,'3. Enter Indicator Scores'!$D$8:$CZ$8,0),
  _xlpm.v, IFERROR(INDEX('3. Enter Indicator Scores'!$D$10:$CZ$161,_xlpm.r,_xlpm.c),""),
  IF(OR(_xlpm.w="",_xlpm.v=""),"",_xlpm.v*_xlpm.w)
)</f>
        <v/>
      </c>
      <c r="BK25" s="93" t="str" cm="1">
        <f t="array" ref="BK25">_xlfn.LET(
  _xlpm.w, BK$11,
  _xlpm.r, MATCH(1,('3. Enter Indicator Scores'!$B$10:$B$161=$B25)*('3. Enter Indicator Scores'!$C$10:$C$161=$C25),0),
  _xlpm.c, MATCH(BK$8,'3. Enter Indicator Scores'!$D$8:$CZ$8,0),
  _xlpm.v, IFERROR(INDEX('3. Enter Indicator Scores'!$D$10:$CZ$161,_xlpm.r,_xlpm.c),""),
  IF(OR(_xlpm.w="",_xlpm.v=""),"",_xlpm.v*_xlpm.w)
)</f>
        <v/>
      </c>
      <c r="BL25" s="93" t="str" cm="1">
        <f t="array" ref="BL25">_xlfn.LET(
  _xlpm.w, BL$11,
  _xlpm.r, MATCH(1,('3. Enter Indicator Scores'!$B$10:$B$161=$B25)*('3. Enter Indicator Scores'!$C$10:$C$161=$C25),0),
  _xlpm.c, MATCH(BL$8,'3. Enter Indicator Scores'!$D$8:$CZ$8,0),
  _xlpm.v, IFERROR(INDEX('3. Enter Indicator Scores'!$D$10:$CZ$161,_xlpm.r,_xlpm.c),""),
  IF(OR(_xlpm.w="",_xlpm.v=""),"",_xlpm.v*_xlpm.w)
)</f>
        <v/>
      </c>
      <c r="BM25" s="93" t="str" cm="1">
        <f t="array" ref="BM25">_xlfn.LET(
  _xlpm.w, BM$11,
  _xlpm.r, MATCH(1,('3. Enter Indicator Scores'!$B$10:$B$161=$B25)*('3. Enter Indicator Scores'!$C$10:$C$161=$C25),0),
  _xlpm.c, MATCH(BM$8,'3. Enter Indicator Scores'!$D$8:$CZ$8,0),
  _xlpm.v, IFERROR(INDEX('3. Enter Indicator Scores'!$D$10:$CZ$161,_xlpm.r,_xlpm.c),""),
  IF(OR(_xlpm.w="",_xlpm.v=""),"",_xlpm.v*_xlpm.w)
)</f>
        <v/>
      </c>
      <c r="BN25" s="93" t="str" cm="1">
        <f t="array" ref="BN25">_xlfn.LET(
  _xlpm.w, BN$11,
  _xlpm.r, MATCH(1,('3. Enter Indicator Scores'!$B$10:$B$161=$B25)*('3. Enter Indicator Scores'!$C$10:$C$161=$C25),0),
  _xlpm.c, MATCH(BN$8,'3. Enter Indicator Scores'!$D$8:$CZ$8,0),
  _xlpm.v, IFERROR(INDEX('3. Enter Indicator Scores'!$D$10:$CZ$161,_xlpm.r,_xlpm.c),""),
  IF(OR(_xlpm.w="",_xlpm.v=""),"",_xlpm.v*_xlpm.w)
)</f>
        <v/>
      </c>
      <c r="BO25" s="93" t="str" cm="1">
        <f t="array" ref="BO25">_xlfn.LET(
  _xlpm.w, BO$11,
  _xlpm.r, MATCH(1,('3. Enter Indicator Scores'!$B$10:$B$161=$B25)*('3. Enter Indicator Scores'!$C$10:$C$161=$C25),0),
  _xlpm.c, MATCH(BO$8,'3. Enter Indicator Scores'!$D$8:$CZ$8,0),
  _xlpm.v, IFERROR(INDEX('3. Enter Indicator Scores'!$D$10:$CZ$161,_xlpm.r,_xlpm.c),""),
  IF(OR(_xlpm.w="",_xlpm.v=""),"",_xlpm.v*_xlpm.w)
)</f>
        <v/>
      </c>
      <c r="BP25" s="93" t="str" cm="1">
        <f t="array" ref="BP25">_xlfn.LET(
  _xlpm.w, BP$11,
  _xlpm.r, MATCH(1,('3. Enter Indicator Scores'!$B$10:$B$161=$B25)*('3. Enter Indicator Scores'!$C$10:$C$161=$C25),0),
  _xlpm.c, MATCH(BP$8,'3. Enter Indicator Scores'!$D$8:$CZ$8,0),
  _xlpm.v, IFERROR(INDEX('3. Enter Indicator Scores'!$D$10:$CZ$161,_xlpm.r,_xlpm.c),""),
  IF(OR(_xlpm.w="",_xlpm.v=""),"",_xlpm.v*_xlpm.w)
)</f>
        <v/>
      </c>
      <c r="BQ25" s="93" t="str" cm="1">
        <f t="array" ref="BQ25">_xlfn.LET(
  _xlpm.w, BQ$11,
  _xlpm.r, MATCH(1,('3. Enter Indicator Scores'!$B$10:$B$161=$B25)*('3. Enter Indicator Scores'!$C$10:$C$161=$C25),0),
  _xlpm.c, MATCH(BQ$8,'3. Enter Indicator Scores'!$D$8:$CZ$8,0),
  _xlpm.v, IFERROR(INDEX('3. Enter Indicator Scores'!$D$10:$CZ$161,_xlpm.r,_xlpm.c),""),
  IF(OR(_xlpm.w="",_xlpm.v=""),"",_xlpm.v*_xlpm.w)
)</f>
        <v/>
      </c>
      <c r="BR25" s="93" t="str" cm="1">
        <f t="array" ref="BR25">_xlfn.LET(
  _xlpm.w, BR$11,
  _xlpm.r, MATCH(1,('3. Enter Indicator Scores'!$B$10:$B$161=$B25)*('3. Enter Indicator Scores'!$C$10:$C$161=$C25),0),
  _xlpm.c, MATCH(BR$8,'3. Enter Indicator Scores'!$D$8:$CZ$8,0),
  _xlpm.v, IFERROR(INDEX('3. Enter Indicator Scores'!$D$10:$CZ$161,_xlpm.r,_xlpm.c),""),
  IF(OR(_xlpm.w="",_xlpm.v=""),"",_xlpm.v*_xlpm.w)
)</f>
        <v/>
      </c>
      <c r="BS25" s="93" t="str" cm="1">
        <f t="array" ref="BS25">_xlfn.LET(
  _xlpm.w, BS$11,
  _xlpm.r, MATCH(1,('3. Enter Indicator Scores'!$B$10:$B$161=$B25)*('3. Enter Indicator Scores'!$C$10:$C$161=$C25),0),
  _xlpm.c, MATCH(BS$8,'3. Enter Indicator Scores'!$D$8:$CZ$8,0),
  _xlpm.v, IFERROR(INDEX('3. Enter Indicator Scores'!$D$10:$CZ$161,_xlpm.r,_xlpm.c),""),
  IF(OR(_xlpm.w="",_xlpm.v=""),"",_xlpm.v*_xlpm.w)
)</f>
        <v/>
      </c>
      <c r="BT25" s="93" t="str" cm="1">
        <f t="array" ref="BT25">_xlfn.LET(
  _xlpm.w, BT$11,
  _xlpm.r, MATCH(1,('3. Enter Indicator Scores'!$B$10:$B$161=$B25)*('3. Enter Indicator Scores'!$C$10:$C$161=$C25),0),
  _xlpm.c, MATCH(BT$8,'3. Enter Indicator Scores'!$D$8:$CZ$8,0),
  _xlpm.v, IFERROR(INDEX('3. Enter Indicator Scores'!$D$10:$CZ$161,_xlpm.r,_xlpm.c),""),
  IF(OR(_xlpm.w="",_xlpm.v=""),"",_xlpm.v*_xlpm.w)
)</f>
        <v/>
      </c>
      <c r="BU25" s="93" t="str" cm="1">
        <f t="array" ref="BU25">_xlfn.LET(
  _xlpm.w, BU$11,
  _xlpm.r, MATCH(1,('3. Enter Indicator Scores'!$B$10:$B$161=$B25)*('3. Enter Indicator Scores'!$C$10:$C$161=$C25),0),
  _xlpm.c, MATCH(BU$8,'3. Enter Indicator Scores'!$D$8:$CZ$8,0),
  _xlpm.v, IFERROR(INDEX('3. Enter Indicator Scores'!$D$10:$CZ$161,_xlpm.r,_xlpm.c),""),
  IF(OR(_xlpm.w="",_xlpm.v=""),"",_xlpm.v*_xlpm.w)
)</f>
        <v/>
      </c>
      <c r="BV25" s="93" t="str" cm="1">
        <f t="array" ref="BV25">_xlfn.LET(
  _xlpm.w, BV$11,
  _xlpm.r, MATCH(1,('3. Enter Indicator Scores'!$B$10:$B$161=$B25)*('3. Enter Indicator Scores'!$C$10:$C$161=$C25),0),
  _xlpm.c, MATCH(BV$8,'3. Enter Indicator Scores'!$D$8:$CZ$8,0),
  _xlpm.v, IFERROR(INDEX('3. Enter Indicator Scores'!$D$10:$CZ$161,_xlpm.r,_xlpm.c),""),
  IF(OR(_xlpm.w="",_xlpm.v=""),"",_xlpm.v*_xlpm.w)
)</f>
        <v/>
      </c>
      <c r="BW25" s="93" t="str" cm="1">
        <f t="array" ref="BW25">_xlfn.LET(
  _xlpm.w, BW$11,
  _xlpm.r, MATCH(1,('3. Enter Indicator Scores'!$B$10:$B$161=$B25)*('3. Enter Indicator Scores'!$C$10:$C$161=$C25),0),
  _xlpm.c, MATCH(BW$8,'3. Enter Indicator Scores'!$D$8:$CZ$8,0),
  _xlpm.v, IFERROR(INDEX('3. Enter Indicator Scores'!$D$10:$CZ$161,_xlpm.r,_xlpm.c),""),
  IF(OR(_xlpm.w="",_xlpm.v=""),"",_xlpm.v*_xlpm.w)
)</f>
        <v/>
      </c>
      <c r="BX25" s="93" t="str" cm="1">
        <f t="array" ref="BX25">_xlfn.LET(
  _xlpm.w, BX$11,
  _xlpm.r, MATCH(1,('3. Enter Indicator Scores'!$B$10:$B$161=$B25)*('3. Enter Indicator Scores'!$C$10:$C$161=$C25),0),
  _xlpm.c, MATCH(BX$8,'3. Enter Indicator Scores'!$D$8:$CZ$8,0),
  _xlpm.v, IFERROR(INDEX('3. Enter Indicator Scores'!$D$10:$CZ$161,_xlpm.r,_xlpm.c),""),
  IF(OR(_xlpm.w="",_xlpm.v=""),"",_xlpm.v*_xlpm.w)
)</f>
        <v/>
      </c>
      <c r="BY25" s="93" t="str" cm="1">
        <f t="array" ref="BY25">_xlfn.LET(
  _xlpm.w, BY$11,
  _xlpm.r, MATCH(1,('3. Enter Indicator Scores'!$B$10:$B$161=$B25)*('3. Enter Indicator Scores'!$C$10:$C$161=$C25),0),
  _xlpm.c, MATCH(BY$8,'3. Enter Indicator Scores'!$D$8:$CZ$8,0),
  _xlpm.v, IFERROR(INDEX('3. Enter Indicator Scores'!$D$10:$CZ$161,_xlpm.r,_xlpm.c),""),
  IF(OR(_xlpm.w="",_xlpm.v=""),"",_xlpm.v*_xlpm.w)
)</f>
        <v/>
      </c>
      <c r="BZ25" s="93" t="str" cm="1">
        <f t="array" ref="BZ25">_xlfn.LET(
  _xlpm.w, BZ$11,
  _xlpm.r, MATCH(1,('3. Enter Indicator Scores'!$B$10:$B$161=$B25)*('3. Enter Indicator Scores'!$C$10:$C$161=$C25),0),
  _xlpm.c, MATCH(BZ$8,'3. Enter Indicator Scores'!$D$8:$CZ$8,0),
  _xlpm.v, IFERROR(INDEX('3. Enter Indicator Scores'!$D$10:$CZ$161,_xlpm.r,_xlpm.c),""),
  IF(OR(_xlpm.w="",_xlpm.v=""),"",_xlpm.v*_xlpm.w)
)</f>
        <v/>
      </c>
      <c r="CA25" s="93" t="str" cm="1">
        <f t="array" ref="CA25">_xlfn.LET(
  _xlpm.w, CA$11,
  _xlpm.r, MATCH(1,('3. Enter Indicator Scores'!$B$10:$B$161=$B25)*('3. Enter Indicator Scores'!$C$10:$C$161=$C25),0),
  _xlpm.c, MATCH(CA$8,'3. Enter Indicator Scores'!$D$8:$CZ$8,0),
  _xlpm.v, IFERROR(INDEX('3. Enter Indicator Scores'!$D$10:$CZ$161,_xlpm.r,_xlpm.c),""),
  IF(OR(_xlpm.w="",_xlpm.v=""),"",_xlpm.v*_xlpm.w)
)</f>
        <v/>
      </c>
      <c r="CB25" s="93" t="str" cm="1">
        <f t="array" ref="CB25">_xlfn.LET(
  _xlpm.w, CB$11,
  _xlpm.r, MATCH(1,('3. Enter Indicator Scores'!$B$10:$B$161=$B25)*('3. Enter Indicator Scores'!$C$10:$C$161=$C25),0),
  _xlpm.c, MATCH(CB$8,'3. Enter Indicator Scores'!$D$8:$CZ$8,0),
  _xlpm.v, IFERROR(INDEX('3. Enter Indicator Scores'!$D$10:$CZ$161,_xlpm.r,_xlpm.c),""),
  IF(OR(_xlpm.w="",_xlpm.v=""),"",_xlpm.v*_xlpm.w)
)</f>
        <v/>
      </c>
      <c r="CC25" s="93" t="str" cm="1">
        <f t="array" ref="CC25">_xlfn.LET(
  _xlpm.w, CC$11,
  _xlpm.r, MATCH(1,('3. Enter Indicator Scores'!$B$10:$B$161=$B25)*('3. Enter Indicator Scores'!$C$10:$C$161=$C25),0),
  _xlpm.c, MATCH(CC$8,'3. Enter Indicator Scores'!$D$8:$CZ$8,0),
  _xlpm.v, IFERROR(INDEX('3. Enter Indicator Scores'!$D$10:$CZ$161,_xlpm.r,_xlpm.c),""),
  IF(OR(_xlpm.w="",_xlpm.v=""),"",_xlpm.v*_xlpm.w)
)</f>
        <v/>
      </c>
      <c r="CD25" s="93" t="str" cm="1">
        <f t="array" ref="CD25">_xlfn.LET(
  _xlpm.w, CD$11,
  _xlpm.r, MATCH(1,('3. Enter Indicator Scores'!$B$10:$B$161=$B25)*('3. Enter Indicator Scores'!$C$10:$C$161=$C25),0),
  _xlpm.c, MATCH(CD$8,'3. Enter Indicator Scores'!$D$8:$CZ$8,0),
  _xlpm.v, IFERROR(INDEX('3. Enter Indicator Scores'!$D$10:$CZ$161,_xlpm.r,_xlpm.c),""),
  IF(OR(_xlpm.w="",_xlpm.v=""),"",_xlpm.v*_xlpm.w)
)</f>
        <v/>
      </c>
      <c r="CE25" s="93" t="str" cm="1">
        <f t="array" ref="CE25">_xlfn.LET(
  _xlpm.w, CE$11,
  _xlpm.r, MATCH(1,('3. Enter Indicator Scores'!$B$10:$B$161=$B25)*('3. Enter Indicator Scores'!$C$10:$C$161=$C25),0),
  _xlpm.c, MATCH(CE$8,'3. Enter Indicator Scores'!$D$8:$CZ$8,0),
  _xlpm.v, IFERROR(INDEX('3. Enter Indicator Scores'!$D$10:$CZ$161,_xlpm.r,_xlpm.c),""),
  IF(OR(_xlpm.w="",_xlpm.v=""),"",_xlpm.v*_xlpm.w)
)</f>
        <v/>
      </c>
      <c r="CF25" s="93" t="str" cm="1">
        <f t="array" ref="CF25">_xlfn.LET(
  _xlpm.w, CF$11,
  _xlpm.r, MATCH(1,('3. Enter Indicator Scores'!$B$10:$B$161=$B25)*('3. Enter Indicator Scores'!$C$10:$C$161=$C25),0),
  _xlpm.c, MATCH(CF$8,'3. Enter Indicator Scores'!$D$8:$CZ$8,0),
  _xlpm.v, IFERROR(INDEX('3. Enter Indicator Scores'!$D$10:$CZ$161,_xlpm.r,_xlpm.c),""),
  IF(OR(_xlpm.w="",_xlpm.v=""),"",_xlpm.v*_xlpm.w)
)</f>
        <v/>
      </c>
      <c r="CG25" s="93" t="str" cm="1">
        <f t="array" ref="CG25">_xlfn.LET(
  _xlpm.w, CG$11,
  _xlpm.r, MATCH(1,('3. Enter Indicator Scores'!$B$10:$B$161=$B25)*('3. Enter Indicator Scores'!$C$10:$C$161=$C25),0),
  _xlpm.c, MATCH(CG$8,'3. Enter Indicator Scores'!$D$8:$CZ$8,0),
  _xlpm.v, IFERROR(INDEX('3. Enter Indicator Scores'!$D$10:$CZ$161,_xlpm.r,_xlpm.c),""),
  IF(OR(_xlpm.w="",_xlpm.v=""),"",_xlpm.v*_xlpm.w)
)</f>
        <v/>
      </c>
      <c r="CH25" s="93" t="str" cm="1">
        <f t="array" ref="CH25">_xlfn.LET(
  _xlpm.w, CH$11,
  _xlpm.r, MATCH(1,('3. Enter Indicator Scores'!$B$10:$B$161=$B25)*('3. Enter Indicator Scores'!$C$10:$C$161=$C25),0),
  _xlpm.c, MATCH(CH$8,'3. Enter Indicator Scores'!$D$8:$CZ$8,0),
  _xlpm.v, IFERROR(INDEX('3. Enter Indicator Scores'!$D$10:$CZ$161,_xlpm.r,_xlpm.c),""),
  IF(OR(_xlpm.w="",_xlpm.v=""),"",_xlpm.v*_xlpm.w)
)</f>
        <v/>
      </c>
      <c r="CI25" s="93" t="str" cm="1">
        <f t="array" ref="CI25">_xlfn.LET(
  _xlpm.w, CI$11,
  _xlpm.r, MATCH(1,('3. Enter Indicator Scores'!$B$10:$B$161=$B25)*('3. Enter Indicator Scores'!$C$10:$C$161=$C25),0),
  _xlpm.c, MATCH(CI$8,'3. Enter Indicator Scores'!$D$8:$CZ$8,0),
  _xlpm.v, IFERROR(INDEX('3. Enter Indicator Scores'!$D$10:$CZ$161,_xlpm.r,_xlpm.c),""),
  IF(OR(_xlpm.w="",_xlpm.v=""),"",_xlpm.v*_xlpm.w)
)</f>
        <v/>
      </c>
      <c r="CJ25" s="93" t="str" cm="1">
        <f t="array" ref="CJ25">_xlfn.LET(
  _xlpm.w, CJ$11,
  _xlpm.r, MATCH(1,('3. Enter Indicator Scores'!$B$10:$B$161=$B25)*('3. Enter Indicator Scores'!$C$10:$C$161=$C25),0),
  _xlpm.c, MATCH(CJ$8,'3. Enter Indicator Scores'!$D$8:$CZ$8,0),
  _xlpm.v, IFERROR(INDEX('3. Enter Indicator Scores'!$D$10:$CZ$161,_xlpm.r,_xlpm.c),""),
  IF(OR(_xlpm.w="",_xlpm.v=""),"",_xlpm.v*_xlpm.w)
)</f>
        <v/>
      </c>
      <c r="CK25" s="93" t="str" cm="1">
        <f t="array" ref="CK25">_xlfn.LET(
  _xlpm.w, CK$11,
  _xlpm.r, MATCH(1,('3. Enter Indicator Scores'!$B$10:$B$161=$B25)*('3. Enter Indicator Scores'!$C$10:$C$161=$C25),0),
  _xlpm.c, MATCH(CK$8,'3. Enter Indicator Scores'!$D$8:$CZ$8,0),
  _xlpm.v, IFERROR(INDEX('3. Enter Indicator Scores'!$D$10:$CZ$161,_xlpm.r,_xlpm.c),""),
  IF(OR(_xlpm.w="",_xlpm.v=""),"",_xlpm.v*_xlpm.w)
)</f>
        <v/>
      </c>
      <c r="CL25" s="93" t="str" cm="1">
        <f t="array" ref="CL25">_xlfn.LET(
  _xlpm.w, CL$11,
  _xlpm.r, MATCH(1,('3. Enter Indicator Scores'!$B$10:$B$161=$B25)*('3. Enter Indicator Scores'!$C$10:$C$161=$C25),0),
  _xlpm.c, MATCH(CL$8,'3. Enter Indicator Scores'!$D$8:$CZ$8,0),
  _xlpm.v, IFERROR(INDEX('3. Enter Indicator Scores'!$D$10:$CZ$161,_xlpm.r,_xlpm.c),""),
  IF(OR(_xlpm.w="",_xlpm.v=""),"",_xlpm.v*_xlpm.w)
)</f>
        <v/>
      </c>
      <c r="CM25" s="93" t="str" cm="1">
        <f t="array" ref="CM25">_xlfn.LET(
  _xlpm.w, CM$11,
  _xlpm.r, MATCH(1,('3. Enter Indicator Scores'!$B$10:$B$161=$B25)*('3. Enter Indicator Scores'!$C$10:$C$161=$C25),0),
  _xlpm.c, MATCH(CM$8,'3. Enter Indicator Scores'!$D$8:$CZ$8,0),
  _xlpm.v, IFERROR(INDEX('3. Enter Indicator Scores'!$D$10:$CZ$161,_xlpm.r,_xlpm.c),""),
  IF(OR(_xlpm.w="",_xlpm.v=""),"",_xlpm.v*_xlpm.w)
)</f>
        <v/>
      </c>
      <c r="CN25" s="93" t="str" cm="1">
        <f t="array" ref="CN25">_xlfn.LET(
  _xlpm.w, CN$11,
  _xlpm.r, MATCH(1,('3. Enter Indicator Scores'!$B$10:$B$161=$B25)*('3. Enter Indicator Scores'!$C$10:$C$161=$C25),0),
  _xlpm.c, MATCH(CN$8,'3. Enter Indicator Scores'!$D$8:$CZ$8,0),
  _xlpm.v, IFERROR(INDEX('3. Enter Indicator Scores'!$D$10:$CZ$161,_xlpm.r,_xlpm.c),""),
  IF(OR(_xlpm.w="",_xlpm.v=""),"",_xlpm.v*_xlpm.w)
)</f>
        <v/>
      </c>
      <c r="CO25" s="93" t="str" cm="1">
        <f t="array" ref="CO25">_xlfn.LET(
  _xlpm.w, CO$11,
  _xlpm.r, MATCH(1,('3. Enter Indicator Scores'!$B$10:$B$161=$B25)*('3. Enter Indicator Scores'!$C$10:$C$161=$C25),0),
  _xlpm.c, MATCH(CO$8,'3. Enter Indicator Scores'!$D$8:$CZ$8,0),
  _xlpm.v, IFERROR(INDEX('3. Enter Indicator Scores'!$D$10:$CZ$161,_xlpm.r,_xlpm.c),""),
  IF(OR(_xlpm.w="",_xlpm.v=""),"",_xlpm.v*_xlpm.w)
)</f>
        <v/>
      </c>
      <c r="CP25" s="93" t="str" cm="1">
        <f t="array" ref="CP25">_xlfn.LET(
  _xlpm.w, CP$11,
  _xlpm.r, MATCH(1,('3. Enter Indicator Scores'!$B$10:$B$161=$B25)*('3. Enter Indicator Scores'!$C$10:$C$161=$C25),0),
  _xlpm.c, MATCH(CP$8,'3. Enter Indicator Scores'!$D$8:$CZ$8,0),
  _xlpm.v, IFERROR(INDEX('3. Enter Indicator Scores'!$D$10:$CZ$161,_xlpm.r,_xlpm.c),""),
  IF(OR(_xlpm.w="",_xlpm.v=""),"",_xlpm.v*_xlpm.w)
)</f>
        <v/>
      </c>
      <c r="CQ25" s="93" t="str" cm="1">
        <f t="array" ref="CQ25">_xlfn.LET(
  _xlpm.w, CQ$11,
  _xlpm.r, MATCH(1,('3. Enter Indicator Scores'!$B$10:$B$161=$B25)*('3. Enter Indicator Scores'!$C$10:$C$161=$C25),0),
  _xlpm.c, MATCH(CQ$8,'3. Enter Indicator Scores'!$D$8:$CZ$8,0),
  _xlpm.v, IFERROR(INDEX('3. Enter Indicator Scores'!$D$10:$CZ$161,_xlpm.r,_xlpm.c),""),
  IF(OR(_xlpm.w="",_xlpm.v=""),"",_xlpm.v*_xlpm.w)
)</f>
        <v/>
      </c>
      <c r="CR25" s="93" t="str" cm="1">
        <f t="array" ref="CR25">_xlfn.LET(
  _xlpm.w, CR$11,
  _xlpm.r, MATCH(1,('3. Enter Indicator Scores'!$B$10:$B$161=$B25)*('3. Enter Indicator Scores'!$C$10:$C$161=$C25),0),
  _xlpm.c, MATCH(CR$8,'3. Enter Indicator Scores'!$D$8:$CZ$8,0),
  _xlpm.v, IFERROR(INDEX('3. Enter Indicator Scores'!$D$10:$CZ$161,_xlpm.r,_xlpm.c),""),
  IF(OR(_xlpm.w="",_xlpm.v=""),"",_xlpm.v*_xlpm.w)
)</f>
        <v/>
      </c>
      <c r="CS25" s="93" t="str" cm="1">
        <f t="array" ref="CS25">_xlfn.LET(
  _xlpm.w, CS$11,
  _xlpm.r, MATCH(1,('3. Enter Indicator Scores'!$B$10:$B$161=$B25)*('3. Enter Indicator Scores'!$C$10:$C$161=$C25),0),
  _xlpm.c, MATCH(CS$8,'3. Enter Indicator Scores'!$D$8:$CZ$8,0),
  _xlpm.v, IFERROR(INDEX('3. Enter Indicator Scores'!$D$10:$CZ$161,_xlpm.r,_xlpm.c),""),
  IF(OR(_xlpm.w="",_xlpm.v=""),"",_xlpm.v*_xlpm.w)
)</f>
        <v/>
      </c>
      <c r="CT25" s="93" t="str" cm="1">
        <f t="array" ref="CT25">_xlfn.LET(
  _xlpm.w, CT$11,
  _xlpm.r, MATCH(1,('3. Enter Indicator Scores'!$B$10:$B$161=$B25)*('3. Enter Indicator Scores'!$C$10:$C$161=$C25),0),
  _xlpm.c, MATCH(CT$8,'3. Enter Indicator Scores'!$D$8:$CZ$8,0),
  _xlpm.v, IFERROR(INDEX('3. Enter Indicator Scores'!$D$10:$CZ$161,_xlpm.r,_xlpm.c),""),
  IF(OR(_xlpm.w="",_xlpm.v=""),"",_xlpm.v*_xlpm.w)
)</f>
        <v/>
      </c>
      <c r="CU25" s="93" t="str" cm="1">
        <f t="array" ref="CU25">_xlfn.LET(
  _xlpm.w, CU$11,
  _xlpm.r, MATCH(1,('3. Enter Indicator Scores'!$B$10:$B$161=$B25)*('3. Enter Indicator Scores'!$C$10:$C$161=$C25),0),
  _xlpm.c, MATCH(CU$8,'3. Enter Indicator Scores'!$D$8:$CZ$8,0),
  _xlpm.v, IFERROR(INDEX('3. Enter Indicator Scores'!$D$10:$CZ$161,_xlpm.r,_xlpm.c),""),
  IF(OR(_xlpm.w="",_xlpm.v=""),"",_xlpm.v*_xlpm.w)
)</f>
        <v/>
      </c>
      <c r="CV25" s="93" t="str" cm="1">
        <f t="array" ref="CV25">_xlfn.LET(
  _xlpm.w, CV$11,
  _xlpm.r, MATCH(1,('3. Enter Indicator Scores'!$B$10:$B$161=$B25)*('3. Enter Indicator Scores'!$C$10:$C$161=$C25),0),
  _xlpm.c, MATCH(CV$8,'3. Enter Indicator Scores'!$D$8:$CZ$8,0),
  _xlpm.v, IFERROR(INDEX('3. Enter Indicator Scores'!$D$10:$CZ$161,_xlpm.r,_xlpm.c),""),
  IF(OR(_xlpm.w="",_xlpm.v=""),"",_xlpm.v*_xlpm.w)
)</f>
        <v/>
      </c>
      <c r="CW25" s="93" t="str" cm="1">
        <f t="array" ref="CW25">_xlfn.LET(
  _xlpm.w, CW$11,
  _xlpm.r, MATCH(1,('3. Enter Indicator Scores'!$B$10:$B$161=$B25)*('3. Enter Indicator Scores'!$C$10:$C$161=$C25),0),
  _xlpm.c, MATCH(CW$8,'3. Enter Indicator Scores'!$D$8:$CZ$8,0),
  _xlpm.v, IFERROR(INDEX('3. Enter Indicator Scores'!$D$10:$CZ$161,_xlpm.r,_xlpm.c),""),
  IF(OR(_xlpm.w="",_xlpm.v=""),"",_xlpm.v*_xlpm.w)
)</f>
        <v/>
      </c>
      <c r="CX25" s="93" t="str" cm="1">
        <f t="array" ref="CX25">_xlfn.LET(
  _xlpm.w, CX$11,
  _xlpm.r, MATCH(1,('3. Enter Indicator Scores'!$B$10:$B$161=$B25)*('3. Enter Indicator Scores'!$C$10:$C$161=$C25),0),
  _xlpm.c, MATCH(CX$8,'3. Enter Indicator Scores'!$D$8:$CZ$8,0),
  _xlpm.v, IFERROR(INDEX('3. Enter Indicator Scores'!$D$10:$CZ$161,_xlpm.r,_xlpm.c),""),
  IF(OR(_xlpm.w="",_xlpm.v=""),"",_xlpm.v*_xlpm.w)
)</f>
        <v/>
      </c>
      <c r="CY25" s="93" t="str" cm="1">
        <f t="array" ref="CY25">_xlfn.LET(
  _xlpm.w, CY$11,
  _xlpm.r, MATCH(1,('3. Enter Indicator Scores'!$B$10:$B$161=$B25)*('3. Enter Indicator Scores'!$C$10:$C$161=$C25),0),
  _xlpm.c, MATCH(CY$8,'3. Enter Indicator Scores'!$D$8:$CZ$8,0),
  _xlpm.v, IFERROR(INDEX('3. Enter Indicator Scores'!$D$10:$CZ$161,_xlpm.r,_xlpm.c),""),
  IF(OR(_xlpm.w="",_xlpm.v=""),"",_xlpm.v*_xlpm.w)
)</f>
        <v/>
      </c>
      <c r="CZ25" s="93" t="str" cm="1">
        <f t="array" ref="CZ25">_xlfn.LET(
  _xlpm.w, CZ$11,
  _xlpm.r, MATCH(1,('3. Enter Indicator Scores'!$B$10:$B$161=$B25)*('3. Enter Indicator Scores'!$C$10:$C$161=$C25),0),
  _xlpm.c, MATCH(CZ$8,'3. Enter Indicator Scores'!$D$8:$CZ$8,0),
  _xlpm.v, IFERROR(INDEX('3. Enter Indicator Scores'!$D$10:$CZ$161,_xlpm.r,_xlpm.c),""),
  IF(OR(_xlpm.w="",_xlpm.v=""),"",_xlpm.v*_xlpm.w)
)</f>
        <v/>
      </c>
    </row>
    <row r="26" spans="1:104" x14ac:dyDescent="0.2">
      <c r="D26" s="93" t="str" cm="1">
        <f t="array" ref="D26">_xlfn.LET(
  _xlpm.w, D$11,
  _xlpm.r, MATCH(1,('3. Enter Indicator Scores'!$B$10:$B$161=$B26)*('3. Enter Indicator Scores'!$C$10:$C$161=$C26),0),
  _xlpm.c, MATCH(D$8,'3. Enter Indicator Scores'!$D$8:$CZ$8,0),
  _xlpm.v, IFERROR(INDEX('3. Enter Indicator Scores'!$D$10:$CZ$161,_xlpm.r,_xlpm.c),""),
  IF(OR(_xlpm.w="",_xlpm.v=""),"",_xlpm.v*_xlpm.w)
)</f>
        <v/>
      </c>
      <c r="E26" s="93" t="str" cm="1">
        <f t="array" ref="E26">_xlfn.LET(
  _xlpm.w, E$11,
  _xlpm.r, MATCH(1,('3. Enter Indicator Scores'!$B$10:$B$161=$B26)*('3. Enter Indicator Scores'!$C$10:$C$161=$C26),0),
  _xlpm.c, MATCH(E$8,'3. Enter Indicator Scores'!$D$8:$CZ$8,0),
  _xlpm.v, IFERROR(INDEX('3. Enter Indicator Scores'!$D$10:$CZ$161,_xlpm.r,_xlpm.c),""),
  IF(OR(_xlpm.w="",_xlpm.v=""),"",_xlpm.v*_xlpm.w)
)</f>
        <v/>
      </c>
      <c r="F26" s="93" t="str" cm="1">
        <f t="array" ref="F26">_xlfn.LET(
  _xlpm.w, F$11,
  _xlpm.r, MATCH(1,('3. Enter Indicator Scores'!$B$10:$B$161=$B26)*('3. Enter Indicator Scores'!$C$10:$C$161=$C26),0),
  _xlpm.c, MATCH(F$8,'3. Enter Indicator Scores'!$D$8:$CZ$8,0),
  _xlpm.v, IFERROR(INDEX('3. Enter Indicator Scores'!$D$10:$CZ$161,_xlpm.r,_xlpm.c),""),
  IF(OR(_xlpm.w="",_xlpm.v=""),"",_xlpm.v*_xlpm.w)
)</f>
        <v/>
      </c>
      <c r="G26" s="93" t="str" cm="1">
        <f t="array" ref="G26">_xlfn.LET(
  _xlpm.w, G$11,
  _xlpm.r, MATCH(1,('3. Enter Indicator Scores'!$B$10:$B$161=$B26)*('3. Enter Indicator Scores'!$C$10:$C$161=$C26),0),
  _xlpm.c, MATCH(G$8,'3. Enter Indicator Scores'!$D$8:$CZ$8,0),
  _xlpm.v, IFERROR(INDEX('3. Enter Indicator Scores'!$D$10:$CZ$161,_xlpm.r,_xlpm.c),""),
  IF(OR(_xlpm.w="",_xlpm.v=""),"",_xlpm.v*_xlpm.w)
)</f>
        <v/>
      </c>
      <c r="H26" s="93" t="str" cm="1">
        <f t="array" ref="H26">_xlfn.LET(
  _xlpm.w, H$11,
  _xlpm.r, MATCH(1,('3. Enter Indicator Scores'!$B$10:$B$161=$B26)*('3. Enter Indicator Scores'!$C$10:$C$161=$C26),0),
  _xlpm.c, MATCH(H$8,'3. Enter Indicator Scores'!$D$8:$CZ$8,0),
  _xlpm.v, IFERROR(INDEX('3. Enter Indicator Scores'!$D$10:$CZ$161,_xlpm.r,_xlpm.c),""),
  IF(OR(_xlpm.w="",_xlpm.v=""),"",_xlpm.v*_xlpm.w)
)</f>
        <v/>
      </c>
      <c r="I26" s="93" t="str" cm="1">
        <f t="array" ref="I26">_xlfn.LET(
  _xlpm.w, I$11,
  _xlpm.r, MATCH(1,('3. Enter Indicator Scores'!$B$10:$B$161=$B26)*('3. Enter Indicator Scores'!$C$10:$C$161=$C26),0),
  _xlpm.c, MATCH(I$8,'3. Enter Indicator Scores'!$D$8:$CZ$8,0),
  _xlpm.v, IFERROR(INDEX('3. Enter Indicator Scores'!$D$10:$CZ$161,_xlpm.r,_xlpm.c),""),
  IF(OR(_xlpm.w="",_xlpm.v=""),"",_xlpm.v*_xlpm.w)
)</f>
        <v/>
      </c>
      <c r="J26" s="93" t="str" cm="1">
        <f t="array" ref="J26">_xlfn.LET(
  _xlpm.w, J$11,
  _xlpm.r, MATCH(1,('3. Enter Indicator Scores'!$B$10:$B$161=$B26)*('3. Enter Indicator Scores'!$C$10:$C$161=$C26),0),
  _xlpm.c, MATCH(J$8,'3. Enter Indicator Scores'!$D$8:$CZ$8,0),
  _xlpm.v, IFERROR(INDEX('3. Enter Indicator Scores'!$D$10:$CZ$161,_xlpm.r,_xlpm.c),""),
  IF(OR(_xlpm.w="",_xlpm.v=""),"",_xlpm.v*_xlpm.w)
)</f>
        <v/>
      </c>
      <c r="K26" s="93" t="str" cm="1">
        <f t="array" ref="K26">_xlfn.LET(
  _xlpm.w, K$11,
  _xlpm.r, MATCH(1,('3. Enter Indicator Scores'!$B$10:$B$161=$B26)*('3. Enter Indicator Scores'!$C$10:$C$161=$C26),0),
  _xlpm.c, MATCH(K$8,'3. Enter Indicator Scores'!$D$8:$CZ$8,0),
  _xlpm.v, IFERROR(INDEX('3. Enter Indicator Scores'!$D$10:$CZ$161,_xlpm.r,_xlpm.c),""),
  IF(OR(_xlpm.w="",_xlpm.v=""),"",_xlpm.v*_xlpm.w)
)</f>
        <v/>
      </c>
      <c r="L26" s="93" t="str" cm="1">
        <f t="array" ref="L26">_xlfn.LET(
  _xlpm.w, L$11,
  _xlpm.r, MATCH(1,('3. Enter Indicator Scores'!$B$10:$B$161=$B26)*('3. Enter Indicator Scores'!$C$10:$C$161=$C26),0),
  _xlpm.c, MATCH(L$8,'3. Enter Indicator Scores'!$D$8:$CZ$8,0),
  _xlpm.v, IFERROR(INDEX('3. Enter Indicator Scores'!$D$10:$CZ$161,_xlpm.r,_xlpm.c),""),
  IF(OR(_xlpm.w="",_xlpm.v=""),"",_xlpm.v*_xlpm.w)
)</f>
        <v/>
      </c>
      <c r="M26" s="93" t="str" cm="1">
        <f t="array" ref="M26">_xlfn.LET(
  _xlpm.w, M$11,
  _xlpm.r, MATCH(1,('3. Enter Indicator Scores'!$B$10:$B$161=$B26)*('3. Enter Indicator Scores'!$C$10:$C$161=$C26),0),
  _xlpm.c, MATCH(M$8,'3. Enter Indicator Scores'!$D$8:$CZ$8,0),
  _xlpm.v, IFERROR(INDEX('3. Enter Indicator Scores'!$D$10:$CZ$161,_xlpm.r,_xlpm.c),""),
  IF(OR(_xlpm.w="",_xlpm.v=""),"",_xlpm.v*_xlpm.w)
)</f>
        <v/>
      </c>
      <c r="N26" s="93" t="str" cm="1">
        <f t="array" ref="N26">_xlfn.LET(
  _xlpm.w, N$11,
  _xlpm.r, MATCH(1,('3. Enter Indicator Scores'!$B$10:$B$161=$B26)*('3. Enter Indicator Scores'!$C$10:$C$161=$C26),0),
  _xlpm.c, MATCH(N$8,'3. Enter Indicator Scores'!$D$8:$CZ$8,0),
  _xlpm.v, IFERROR(INDEX('3. Enter Indicator Scores'!$D$10:$CZ$161,_xlpm.r,_xlpm.c),""),
  IF(OR(_xlpm.w="",_xlpm.v=""),"",_xlpm.v*_xlpm.w)
)</f>
        <v/>
      </c>
      <c r="O26" s="93" t="str" cm="1">
        <f t="array" ref="O26">_xlfn.LET(
  _xlpm.w, O$11,
  _xlpm.r, MATCH(1,('3. Enter Indicator Scores'!$B$10:$B$161=$B26)*('3. Enter Indicator Scores'!$C$10:$C$161=$C26),0),
  _xlpm.c, MATCH(O$8,'3. Enter Indicator Scores'!$D$8:$CZ$8,0),
  _xlpm.v, IFERROR(INDEX('3. Enter Indicator Scores'!$D$10:$CZ$161,_xlpm.r,_xlpm.c),""),
  IF(OR(_xlpm.w="",_xlpm.v=""),"",_xlpm.v*_xlpm.w)
)</f>
        <v/>
      </c>
      <c r="P26" s="93" t="str" cm="1">
        <f t="array" ref="P26">_xlfn.LET(
  _xlpm.w, P$11,
  _xlpm.r, MATCH(1,('3. Enter Indicator Scores'!$B$10:$B$161=$B26)*('3. Enter Indicator Scores'!$C$10:$C$161=$C26),0),
  _xlpm.c, MATCH(P$8,'3. Enter Indicator Scores'!$D$8:$CZ$8,0),
  _xlpm.v, IFERROR(INDEX('3. Enter Indicator Scores'!$D$10:$CZ$161,_xlpm.r,_xlpm.c),""),
  IF(OR(_xlpm.w="",_xlpm.v=""),"",_xlpm.v*_xlpm.w)
)</f>
        <v/>
      </c>
      <c r="Q26" s="93" t="str" cm="1">
        <f t="array" ref="Q26">_xlfn.LET(
  _xlpm.w, Q$11,
  _xlpm.r, MATCH(1,('3. Enter Indicator Scores'!$B$10:$B$161=$B26)*('3. Enter Indicator Scores'!$C$10:$C$161=$C26),0),
  _xlpm.c, MATCH(Q$8,'3. Enter Indicator Scores'!$D$8:$CZ$8,0),
  _xlpm.v, IFERROR(INDEX('3. Enter Indicator Scores'!$D$10:$CZ$161,_xlpm.r,_xlpm.c),""),
  IF(OR(_xlpm.w="",_xlpm.v=""),"",_xlpm.v*_xlpm.w)
)</f>
        <v/>
      </c>
      <c r="R26" s="93" t="str" cm="1">
        <f t="array" ref="R26">_xlfn.LET(
  _xlpm.w, R$11,
  _xlpm.r, MATCH(1,('3. Enter Indicator Scores'!$B$10:$B$161=$B26)*('3. Enter Indicator Scores'!$C$10:$C$161=$C26),0),
  _xlpm.c, MATCH(R$8,'3. Enter Indicator Scores'!$D$8:$CZ$8,0),
  _xlpm.v, IFERROR(INDEX('3. Enter Indicator Scores'!$D$10:$CZ$161,_xlpm.r,_xlpm.c),""),
  IF(OR(_xlpm.w="",_xlpm.v=""),"",_xlpm.v*_xlpm.w)
)</f>
        <v/>
      </c>
      <c r="S26" s="93" t="str" cm="1">
        <f t="array" ref="S26">_xlfn.LET(
  _xlpm.w, S$11,
  _xlpm.r, MATCH(1,('3. Enter Indicator Scores'!$B$10:$B$161=$B26)*('3. Enter Indicator Scores'!$C$10:$C$161=$C26),0),
  _xlpm.c, MATCH(S$8,'3. Enter Indicator Scores'!$D$8:$CZ$8,0),
  _xlpm.v, IFERROR(INDEX('3. Enter Indicator Scores'!$D$10:$CZ$161,_xlpm.r,_xlpm.c),""),
  IF(OR(_xlpm.w="",_xlpm.v=""),"",_xlpm.v*_xlpm.w)
)</f>
        <v/>
      </c>
      <c r="T26" s="93" t="str" cm="1">
        <f t="array" ref="T26">_xlfn.LET(
  _xlpm.w, T$11,
  _xlpm.r, MATCH(1,('3. Enter Indicator Scores'!$B$10:$B$161=$B26)*('3. Enter Indicator Scores'!$C$10:$C$161=$C26),0),
  _xlpm.c, MATCH(T$8,'3. Enter Indicator Scores'!$D$8:$CZ$8,0),
  _xlpm.v, IFERROR(INDEX('3. Enter Indicator Scores'!$D$10:$CZ$161,_xlpm.r,_xlpm.c),""),
  IF(OR(_xlpm.w="",_xlpm.v=""),"",_xlpm.v*_xlpm.w)
)</f>
        <v/>
      </c>
      <c r="U26" s="93" t="str" cm="1">
        <f t="array" ref="U26">_xlfn.LET(
  _xlpm.w, U$11,
  _xlpm.r, MATCH(1,('3. Enter Indicator Scores'!$B$10:$B$161=$B26)*('3. Enter Indicator Scores'!$C$10:$C$161=$C26),0),
  _xlpm.c, MATCH(U$8,'3. Enter Indicator Scores'!$D$8:$CZ$8,0),
  _xlpm.v, IFERROR(INDEX('3. Enter Indicator Scores'!$D$10:$CZ$161,_xlpm.r,_xlpm.c),""),
  IF(OR(_xlpm.w="",_xlpm.v=""),"",_xlpm.v*_xlpm.w)
)</f>
        <v/>
      </c>
      <c r="V26" s="93" t="str" cm="1">
        <f t="array" ref="V26">_xlfn.LET(
  _xlpm.w, V$11,
  _xlpm.r, MATCH(1,('3. Enter Indicator Scores'!$B$10:$B$161=$B26)*('3. Enter Indicator Scores'!$C$10:$C$161=$C26),0),
  _xlpm.c, MATCH(V$8,'3. Enter Indicator Scores'!$D$8:$CZ$8,0),
  _xlpm.v, IFERROR(INDEX('3. Enter Indicator Scores'!$D$10:$CZ$161,_xlpm.r,_xlpm.c),""),
  IF(OR(_xlpm.w="",_xlpm.v=""),"",_xlpm.v*_xlpm.w)
)</f>
        <v/>
      </c>
      <c r="W26" s="93" t="str" cm="1">
        <f t="array" ref="W26">_xlfn.LET(
  _xlpm.w, W$11,
  _xlpm.r, MATCH(1,('3. Enter Indicator Scores'!$B$10:$B$161=$B26)*('3. Enter Indicator Scores'!$C$10:$C$161=$C26),0),
  _xlpm.c, MATCH(W$8,'3. Enter Indicator Scores'!$D$8:$CZ$8,0),
  _xlpm.v, IFERROR(INDEX('3. Enter Indicator Scores'!$D$10:$CZ$161,_xlpm.r,_xlpm.c),""),
  IF(OR(_xlpm.w="",_xlpm.v=""),"",_xlpm.v*_xlpm.w)
)</f>
        <v/>
      </c>
      <c r="X26" s="93" t="str" cm="1">
        <f t="array" ref="X26">_xlfn.LET(
  _xlpm.w, X$11,
  _xlpm.r, MATCH(1,('3. Enter Indicator Scores'!$B$10:$B$161=$B26)*('3. Enter Indicator Scores'!$C$10:$C$161=$C26),0),
  _xlpm.c, MATCH(X$8,'3. Enter Indicator Scores'!$D$8:$CZ$8,0),
  _xlpm.v, IFERROR(INDEX('3. Enter Indicator Scores'!$D$10:$CZ$161,_xlpm.r,_xlpm.c),""),
  IF(OR(_xlpm.w="",_xlpm.v=""),"",_xlpm.v*_xlpm.w)
)</f>
        <v/>
      </c>
      <c r="Y26" s="93" t="str" cm="1">
        <f t="array" ref="Y26">_xlfn.LET(
  _xlpm.w, Y$11,
  _xlpm.r, MATCH(1,('3. Enter Indicator Scores'!$B$10:$B$161=$B26)*('3. Enter Indicator Scores'!$C$10:$C$161=$C26),0),
  _xlpm.c, MATCH(Y$8,'3. Enter Indicator Scores'!$D$8:$CZ$8,0),
  _xlpm.v, IFERROR(INDEX('3. Enter Indicator Scores'!$D$10:$CZ$161,_xlpm.r,_xlpm.c),""),
  IF(OR(_xlpm.w="",_xlpm.v=""),"",_xlpm.v*_xlpm.w)
)</f>
        <v/>
      </c>
      <c r="Z26" s="93" t="str" cm="1">
        <f t="array" ref="Z26">_xlfn.LET(
  _xlpm.w, Z$11,
  _xlpm.r, MATCH(1,('3. Enter Indicator Scores'!$B$10:$B$161=$B26)*('3. Enter Indicator Scores'!$C$10:$C$161=$C26),0),
  _xlpm.c, MATCH(Z$8,'3. Enter Indicator Scores'!$D$8:$CZ$8,0),
  _xlpm.v, IFERROR(INDEX('3. Enter Indicator Scores'!$D$10:$CZ$161,_xlpm.r,_xlpm.c),""),
  IF(OR(_xlpm.w="",_xlpm.v=""),"",_xlpm.v*_xlpm.w)
)</f>
        <v/>
      </c>
      <c r="AA26" s="93" t="str" cm="1">
        <f t="array" ref="AA26">_xlfn.LET(
  _xlpm.w, AA$11,
  _xlpm.r, MATCH(1,('3. Enter Indicator Scores'!$B$10:$B$161=$B26)*('3. Enter Indicator Scores'!$C$10:$C$161=$C26),0),
  _xlpm.c, MATCH(AA$8,'3. Enter Indicator Scores'!$D$8:$CZ$8,0),
  _xlpm.v, IFERROR(INDEX('3. Enter Indicator Scores'!$D$10:$CZ$161,_xlpm.r,_xlpm.c),""),
  IF(OR(_xlpm.w="",_xlpm.v=""),"",_xlpm.v*_xlpm.w)
)</f>
        <v/>
      </c>
      <c r="AB26" s="93" t="str" cm="1">
        <f t="array" ref="AB26">_xlfn.LET(
  _xlpm.w, AB$11,
  _xlpm.r, MATCH(1,('3. Enter Indicator Scores'!$B$10:$B$161=$B26)*('3. Enter Indicator Scores'!$C$10:$C$161=$C26),0),
  _xlpm.c, MATCH(AB$8,'3. Enter Indicator Scores'!$D$8:$CZ$8,0),
  _xlpm.v, IFERROR(INDEX('3. Enter Indicator Scores'!$D$10:$CZ$161,_xlpm.r,_xlpm.c),""),
  IF(OR(_xlpm.w="",_xlpm.v=""),"",_xlpm.v*_xlpm.w)
)</f>
        <v/>
      </c>
      <c r="AC26" s="93" t="str" cm="1">
        <f t="array" ref="AC26">_xlfn.LET(
  _xlpm.w, AC$11,
  _xlpm.r, MATCH(1,('3. Enter Indicator Scores'!$B$10:$B$161=$B26)*('3. Enter Indicator Scores'!$C$10:$C$161=$C26),0),
  _xlpm.c, MATCH(AC$8,'3. Enter Indicator Scores'!$D$8:$CZ$8,0),
  _xlpm.v, IFERROR(INDEX('3. Enter Indicator Scores'!$D$10:$CZ$161,_xlpm.r,_xlpm.c),""),
  IF(OR(_xlpm.w="",_xlpm.v=""),"",_xlpm.v*_xlpm.w)
)</f>
        <v/>
      </c>
      <c r="AD26" s="93" t="str" cm="1">
        <f t="array" ref="AD26">_xlfn.LET(
  _xlpm.w, AD$11,
  _xlpm.r, MATCH(1,('3. Enter Indicator Scores'!$B$10:$B$161=$B26)*('3. Enter Indicator Scores'!$C$10:$C$161=$C26),0),
  _xlpm.c, MATCH(AD$8,'3. Enter Indicator Scores'!$D$8:$CZ$8,0),
  _xlpm.v, IFERROR(INDEX('3. Enter Indicator Scores'!$D$10:$CZ$161,_xlpm.r,_xlpm.c),""),
  IF(OR(_xlpm.w="",_xlpm.v=""),"",_xlpm.v*_xlpm.w)
)</f>
        <v/>
      </c>
      <c r="AE26" s="93" t="str" cm="1">
        <f t="array" ref="AE26">_xlfn.LET(
  _xlpm.w, AE$11,
  _xlpm.r, MATCH(1,('3. Enter Indicator Scores'!$B$10:$B$161=$B26)*('3. Enter Indicator Scores'!$C$10:$C$161=$C26),0),
  _xlpm.c, MATCH(AE$8,'3. Enter Indicator Scores'!$D$8:$CZ$8,0),
  _xlpm.v, IFERROR(INDEX('3. Enter Indicator Scores'!$D$10:$CZ$161,_xlpm.r,_xlpm.c),""),
  IF(OR(_xlpm.w="",_xlpm.v=""),"",_xlpm.v*_xlpm.w)
)</f>
        <v/>
      </c>
      <c r="AF26" s="93" t="str" cm="1">
        <f t="array" ref="AF26">_xlfn.LET(
  _xlpm.w, AF$11,
  _xlpm.r, MATCH(1,('3. Enter Indicator Scores'!$B$10:$B$161=$B26)*('3. Enter Indicator Scores'!$C$10:$C$161=$C26),0),
  _xlpm.c, MATCH(AF$8,'3. Enter Indicator Scores'!$D$8:$CZ$8,0),
  _xlpm.v, IFERROR(INDEX('3. Enter Indicator Scores'!$D$10:$CZ$161,_xlpm.r,_xlpm.c),""),
  IF(OR(_xlpm.w="",_xlpm.v=""),"",_xlpm.v*_xlpm.w)
)</f>
        <v/>
      </c>
      <c r="AG26" s="93" t="str" cm="1">
        <f t="array" ref="AG26">_xlfn.LET(
  _xlpm.w, AG$11,
  _xlpm.r, MATCH(1,('3. Enter Indicator Scores'!$B$10:$B$161=$B26)*('3. Enter Indicator Scores'!$C$10:$C$161=$C26),0),
  _xlpm.c, MATCH(AG$8,'3. Enter Indicator Scores'!$D$8:$CZ$8,0),
  _xlpm.v, IFERROR(INDEX('3. Enter Indicator Scores'!$D$10:$CZ$161,_xlpm.r,_xlpm.c),""),
  IF(OR(_xlpm.w="",_xlpm.v=""),"",_xlpm.v*_xlpm.w)
)</f>
        <v/>
      </c>
      <c r="AH26" s="93" t="str" cm="1">
        <f t="array" ref="AH26">_xlfn.LET(
  _xlpm.w, AH$11,
  _xlpm.r, MATCH(1,('3. Enter Indicator Scores'!$B$10:$B$161=$B26)*('3. Enter Indicator Scores'!$C$10:$C$161=$C26),0),
  _xlpm.c, MATCH(AH$8,'3. Enter Indicator Scores'!$D$8:$CZ$8,0),
  _xlpm.v, IFERROR(INDEX('3. Enter Indicator Scores'!$D$10:$CZ$161,_xlpm.r,_xlpm.c),""),
  IF(OR(_xlpm.w="",_xlpm.v=""),"",_xlpm.v*_xlpm.w)
)</f>
        <v/>
      </c>
      <c r="AI26" s="93" t="str" cm="1">
        <f t="array" ref="AI26">_xlfn.LET(
  _xlpm.w, AI$11,
  _xlpm.r, MATCH(1,('3. Enter Indicator Scores'!$B$10:$B$161=$B26)*('3. Enter Indicator Scores'!$C$10:$C$161=$C26),0),
  _xlpm.c, MATCH(AI$8,'3. Enter Indicator Scores'!$D$8:$CZ$8,0),
  _xlpm.v, IFERROR(INDEX('3. Enter Indicator Scores'!$D$10:$CZ$161,_xlpm.r,_xlpm.c),""),
  IF(OR(_xlpm.w="",_xlpm.v=""),"",_xlpm.v*_xlpm.w)
)</f>
        <v/>
      </c>
      <c r="AJ26" s="93" t="str" cm="1">
        <f t="array" ref="AJ26">_xlfn.LET(
  _xlpm.w, AJ$11,
  _xlpm.r, MATCH(1,('3. Enter Indicator Scores'!$B$10:$B$161=$B26)*('3. Enter Indicator Scores'!$C$10:$C$161=$C26),0),
  _xlpm.c, MATCH(AJ$8,'3. Enter Indicator Scores'!$D$8:$CZ$8,0),
  _xlpm.v, IFERROR(INDEX('3. Enter Indicator Scores'!$D$10:$CZ$161,_xlpm.r,_xlpm.c),""),
  IF(OR(_xlpm.w="",_xlpm.v=""),"",_xlpm.v*_xlpm.w)
)</f>
        <v/>
      </c>
      <c r="AK26" s="93" t="str" cm="1">
        <f t="array" ref="AK26">_xlfn.LET(
  _xlpm.w, AK$11,
  _xlpm.r, MATCH(1,('3. Enter Indicator Scores'!$B$10:$B$161=$B26)*('3. Enter Indicator Scores'!$C$10:$C$161=$C26),0),
  _xlpm.c, MATCH(AK$8,'3. Enter Indicator Scores'!$D$8:$CZ$8,0),
  _xlpm.v, IFERROR(INDEX('3. Enter Indicator Scores'!$D$10:$CZ$161,_xlpm.r,_xlpm.c),""),
  IF(OR(_xlpm.w="",_xlpm.v=""),"",_xlpm.v*_xlpm.w)
)</f>
        <v/>
      </c>
      <c r="AL26" s="93" t="str" cm="1">
        <f t="array" ref="AL26">_xlfn.LET(
  _xlpm.w, AL$11,
  _xlpm.r, MATCH(1,('3. Enter Indicator Scores'!$B$10:$B$161=$B26)*('3. Enter Indicator Scores'!$C$10:$C$161=$C26),0),
  _xlpm.c, MATCH(AL$8,'3. Enter Indicator Scores'!$D$8:$CZ$8,0),
  _xlpm.v, IFERROR(INDEX('3. Enter Indicator Scores'!$D$10:$CZ$161,_xlpm.r,_xlpm.c),""),
  IF(OR(_xlpm.w="",_xlpm.v=""),"",_xlpm.v*_xlpm.w)
)</f>
        <v/>
      </c>
      <c r="AM26" s="93" t="str" cm="1">
        <f t="array" ref="AM26">_xlfn.LET(
  _xlpm.w, AM$11,
  _xlpm.r, MATCH(1,('3. Enter Indicator Scores'!$B$10:$B$161=$B26)*('3. Enter Indicator Scores'!$C$10:$C$161=$C26),0),
  _xlpm.c, MATCH(AM$8,'3. Enter Indicator Scores'!$D$8:$CZ$8,0),
  _xlpm.v, IFERROR(INDEX('3. Enter Indicator Scores'!$D$10:$CZ$161,_xlpm.r,_xlpm.c),""),
  IF(OR(_xlpm.w="",_xlpm.v=""),"",_xlpm.v*_xlpm.w)
)</f>
        <v/>
      </c>
      <c r="AN26" s="93" t="str" cm="1">
        <f t="array" ref="AN26">_xlfn.LET(
  _xlpm.w, AN$11,
  _xlpm.r, MATCH(1,('3. Enter Indicator Scores'!$B$10:$B$161=$B26)*('3. Enter Indicator Scores'!$C$10:$C$161=$C26),0),
  _xlpm.c, MATCH(AN$8,'3. Enter Indicator Scores'!$D$8:$CZ$8,0),
  _xlpm.v, IFERROR(INDEX('3. Enter Indicator Scores'!$D$10:$CZ$161,_xlpm.r,_xlpm.c),""),
  IF(OR(_xlpm.w="",_xlpm.v=""),"",_xlpm.v*_xlpm.w)
)</f>
        <v/>
      </c>
      <c r="AO26" s="93" t="str" cm="1">
        <f t="array" ref="AO26">_xlfn.LET(
  _xlpm.w, AO$11,
  _xlpm.r, MATCH(1,('3. Enter Indicator Scores'!$B$10:$B$161=$B26)*('3. Enter Indicator Scores'!$C$10:$C$161=$C26),0),
  _xlpm.c, MATCH(AO$8,'3. Enter Indicator Scores'!$D$8:$CZ$8,0),
  _xlpm.v, IFERROR(INDEX('3. Enter Indicator Scores'!$D$10:$CZ$161,_xlpm.r,_xlpm.c),""),
  IF(OR(_xlpm.w="",_xlpm.v=""),"",_xlpm.v*_xlpm.w)
)</f>
        <v/>
      </c>
      <c r="AP26" s="93" t="str" cm="1">
        <f t="array" ref="AP26">_xlfn.LET(
  _xlpm.w, AP$11,
  _xlpm.r, MATCH(1,('3. Enter Indicator Scores'!$B$10:$B$161=$B26)*('3. Enter Indicator Scores'!$C$10:$C$161=$C26),0),
  _xlpm.c, MATCH(AP$8,'3. Enter Indicator Scores'!$D$8:$CZ$8,0),
  _xlpm.v, IFERROR(INDEX('3. Enter Indicator Scores'!$D$10:$CZ$161,_xlpm.r,_xlpm.c),""),
  IF(OR(_xlpm.w="",_xlpm.v=""),"",_xlpm.v*_xlpm.w)
)</f>
        <v/>
      </c>
      <c r="AQ26" s="93" t="str" cm="1">
        <f t="array" ref="AQ26">_xlfn.LET(
  _xlpm.w, AQ$11,
  _xlpm.r, MATCH(1,('3. Enter Indicator Scores'!$B$10:$B$161=$B26)*('3. Enter Indicator Scores'!$C$10:$C$161=$C26),0),
  _xlpm.c, MATCH(AQ$8,'3. Enter Indicator Scores'!$D$8:$CZ$8,0),
  _xlpm.v, IFERROR(INDEX('3. Enter Indicator Scores'!$D$10:$CZ$161,_xlpm.r,_xlpm.c),""),
  IF(OR(_xlpm.w="",_xlpm.v=""),"",_xlpm.v*_xlpm.w)
)</f>
        <v/>
      </c>
      <c r="AR26" s="93" t="str" cm="1">
        <f t="array" ref="AR26">_xlfn.LET(
  _xlpm.w, AR$11,
  _xlpm.r, MATCH(1,('3. Enter Indicator Scores'!$B$10:$B$161=$B26)*('3. Enter Indicator Scores'!$C$10:$C$161=$C26),0),
  _xlpm.c, MATCH(AR$8,'3. Enter Indicator Scores'!$D$8:$CZ$8,0),
  _xlpm.v, IFERROR(INDEX('3. Enter Indicator Scores'!$D$10:$CZ$161,_xlpm.r,_xlpm.c),""),
  IF(OR(_xlpm.w="",_xlpm.v=""),"",_xlpm.v*_xlpm.w)
)</f>
        <v/>
      </c>
      <c r="AS26" s="93" t="str" cm="1">
        <f t="array" ref="AS26">_xlfn.LET(
  _xlpm.w, AS$11,
  _xlpm.r, MATCH(1,('3. Enter Indicator Scores'!$B$10:$B$161=$B26)*('3. Enter Indicator Scores'!$C$10:$C$161=$C26),0),
  _xlpm.c, MATCH(AS$8,'3. Enter Indicator Scores'!$D$8:$CZ$8,0),
  _xlpm.v, IFERROR(INDEX('3. Enter Indicator Scores'!$D$10:$CZ$161,_xlpm.r,_xlpm.c),""),
  IF(OR(_xlpm.w="",_xlpm.v=""),"",_xlpm.v*_xlpm.w)
)</f>
        <v/>
      </c>
      <c r="AT26" s="93" t="str" cm="1">
        <f t="array" ref="AT26">_xlfn.LET(
  _xlpm.w, AT$11,
  _xlpm.r, MATCH(1,('3. Enter Indicator Scores'!$B$10:$B$161=$B26)*('3. Enter Indicator Scores'!$C$10:$C$161=$C26),0),
  _xlpm.c, MATCH(AT$8,'3. Enter Indicator Scores'!$D$8:$CZ$8,0),
  _xlpm.v, IFERROR(INDEX('3. Enter Indicator Scores'!$D$10:$CZ$161,_xlpm.r,_xlpm.c),""),
  IF(OR(_xlpm.w="",_xlpm.v=""),"",_xlpm.v*_xlpm.w)
)</f>
        <v/>
      </c>
      <c r="AU26" s="93" t="str" cm="1">
        <f t="array" ref="AU26">_xlfn.LET(
  _xlpm.w, AU$11,
  _xlpm.r, MATCH(1,('3. Enter Indicator Scores'!$B$10:$B$161=$B26)*('3. Enter Indicator Scores'!$C$10:$C$161=$C26),0),
  _xlpm.c, MATCH(AU$8,'3. Enter Indicator Scores'!$D$8:$CZ$8,0),
  _xlpm.v, IFERROR(INDEX('3. Enter Indicator Scores'!$D$10:$CZ$161,_xlpm.r,_xlpm.c),""),
  IF(OR(_xlpm.w="",_xlpm.v=""),"",_xlpm.v*_xlpm.w)
)</f>
        <v/>
      </c>
      <c r="AV26" s="93" t="str" cm="1">
        <f t="array" ref="AV26">_xlfn.LET(
  _xlpm.w, AV$11,
  _xlpm.r, MATCH(1,('3. Enter Indicator Scores'!$B$10:$B$161=$B26)*('3. Enter Indicator Scores'!$C$10:$C$161=$C26),0),
  _xlpm.c, MATCH(AV$8,'3. Enter Indicator Scores'!$D$8:$CZ$8,0),
  _xlpm.v, IFERROR(INDEX('3. Enter Indicator Scores'!$D$10:$CZ$161,_xlpm.r,_xlpm.c),""),
  IF(OR(_xlpm.w="",_xlpm.v=""),"",_xlpm.v*_xlpm.w)
)</f>
        <v/>
      </c>
      <c r="AW26" s="93" t="str" cm="1">
        <f t="array" ref="AW26">_xlfn.LET(
  _xlpm.w, AW$11,
  _xlpm.r, MATCH(1,('3. Enter Indicator Scores'!$B$10:$B$161=$B26)*('3. Enter Indicator Scores'!$C$10:$C$161=$C26),0),
  _xlpm.c, MATCH(AW$8,'3. Enter Indicator Scores'!$D$8:$CZ$8,0),
  _xlpm.v, IFERROR(INDEX('3. Enter Indicator Scores'!$D$10:$CZ$161,_xlpm.r,_xlpm.c),""),
  IF(OR(_xlpm.w="",_xlpm.v=""),"",_xlpm.v*_xlpm.w)
)</f>
        <v/>
      </c>
      <c r="AX26" s="93" t="str" cm="1">
        <f t="array" ref="AX26">_xlfn.LET(
  _xlpm.w, AX$11,
  _xlpm.r, MATCH(1,('3. Enter Indicator Scores'!$B$10:$B$161=$B26)*('3. Enter Indicator Scores'!$C$10:$C$161=$C26),0),
  _xlpm.c, MATCH(AX$8,'3. Enter Indicator Scores'!$D$8:$CZ$8,0),
  _xlpm.v, IFERROR(INDEX('3. Enter Indicator Scores'!$D$10:$CZ$161,_xlpm.r,_xlpm.c),""),
  IF(OR(_xlpm.w="",_xlpm.v=""),"",_xlpm.v*_xlpm.w)
)</f>
        <v/>
      </c>
      <c r="AY26" s="93" t="str" cm="1">
        <f t="array" ref="AY26">_xlfn.LET(
  _xlpm.w, AY$11,
  _xlpm.r, MATCH(1,('3. Enter Indicator Scores'!$B$10:$B$161=$B26)*('3. Enter Indicator Scores'!$C$10:$C$161=$C26),0),
  _xlpm.c, MATCH(AY$8,'3. Enter Indicator Scores'!$D$8:$CZ$8,0),
  _xlpm.v, IFERROR(INDEX('3. Enter Indicator Scores'!$D$10:$CZ$161,_xlpm.r,_xlpm.c),""),
  IF(OR(_xlpm.w="",_xlpm.v=""),"",_xlpm.v*_xlpm.w)
)</f>
        <v/>
      </c>
      <c r="AZ26" s="93" t="str" cm="1">
        <f t="array" ref="AZ26">_xlfn.LET(
  _xlpm.w, AZ$11,
  _xlpm.r, MATCH(1,('3. Enter Indicator Scores'!$B$10:$B$161=$B26)*('3. Enter Indicator Scores'!$C$10:$C$161=$C26),0),
  _xlpm.c, MATCH(AZ$8,'3. Enter Indicator Scores'!$D$8:$CZ$8,0),
  _xlpm.v, IFERROR(INDEX('3. Enter Indicator Scores'!$D$10:$CZ$161,_xlpm.r,_xlpm.c),""),
  IF(OR(_xlpm.w="",_xlpm.v=""),"",_xlpm.v*_xlpm.w)
)</f>
        <v/>
      </c>
      <c r="BA26" s="93" t="str" cm="1">
        <f t="array" ref="BA26">_xlfn.LET(
  _xlpm.w, BA$11,
  _xlpm.r, MATCH(1,('3. Enter Indicator Scores'!$B$10:$B$161=$B26)*('3. Enter Indicator Scores'!$C$10:$C$161=$C26),0),
  _xlpm.c, MATCH(BA$8,'3. Enter Indicator Scores'!$D$8:$CZ$8,0),
  _xlpm.v, IFERROR(INDEX('3. Enter Indicator Scores'!$D$10:$CZ$161,_xlpm.r,_xlpm.c),""),
  IF(OR(_xlpm.w="",_xlpm.v=""),"",_xlpm.v*_xlpm.w)
)</f>
        <v/>
      </c>
      <c r="BB26" s="93" t="str" cm="1">
        <f t="array" ref="BB26">_xlfn.LET(
  _xlpm.w, BB$11,
  _xlpm.r, MATCH(1,('3. Enter Indicator Scores'!$B$10:$B$161=$B26)*('3. Enter Indicator Scores'!$C$10:$C$161=$C26),0),
  _xlpm.c, MATCH(BB$8,'3. Enter Indicator Scores'!$D$8:$CZ$8,0),
  _xlpm.v, IFERROR(INDEX('3. Enter Indicator Scores'!$D$10:$CZ$161,_xlpm.r,_xlpm.c),""),
  IF(OR(_xlpm.w="",_xlpm.v=""),"",_xlpm.v*_xlpm.w)
)</f>
        <v/>
      </c>
      <c r="BC26" s="93" t="str" cm="1">
        <f t="array" ref="BC26">_xlfn.LET(
  _xlpm.w, BC$11,
  _xlpm.r, MATCH(1,('3. Enter Indicator Scores'!$B$10:$B$161=$B26)*('3. Enter Indicator Scores'!$C$10:$C$161=$C26),0),
  _xlpm.c, MATCH(BC$8,'3. Enter Indicator Scores'!$D$8:$CZ$8,0),
  _xlpm.v, IFERROR(INDEX('3. Enter Indicator Scores'!$D$10:$CZ$161,_xlpm.r,_xlpm.c),""),
  IF(OR(_xlpm.w="",_xlpm.v=""),"",_xlpm.v*_xlpm.w)
)</f>
        <v/>
      </c>
      <c r="BD26" s="93" t="str" cm="1">
        <f t="array" ref="BD26">_xlfn.LET(
  _xlpm.w, BD$11,
  _xlpm.r, MATCH(1,('3. Enter Indicator Scores'!$B$10:$B$161=$B26)*('3. Enter Indicator Scores'!$C$10:$C$161=$C26),0),
  _xlpm.c, MATCH(BD$8,'3. Enter Indicator Scores'!$D$8:$CZ$8,0),
  _xlpm.v, IFERROR(INDEX('3. Enter Indicator Scores'!$D$10:$CZ$161,_xlpm.r,_xlpm.c),""),
  IF(OR(_xlpm.w="",_xlpm.v=""),"",_xlpm.v*_xlpm.w)
)</f>
        <v/>
      </c>
      <c r="BE26" s="93" t="str" cm="1">
        <f t="array" ref="BE26">_xlfn.LET(
  _xlpm.w, BE$11,
  _xlpm.r, MATCH(1,('3. Enter Indicator Scores'!$B$10:$B$161=$B26)*('3. Enter Indicator Scores'!$C$10:$C$161=$C26),0),
  _xlpm.c, MATCH(BE$8,'3. Enter Indicator Scores'!$D$8:$CZ$8,0),
  _xlpm.v, IFERROR(INDEX('3. Enter Indicator Scores'!$D$10:$CZ$161,_xlpm.r,_xlpm.c),""),
  IF(OR(_xlpm.w="",_xlpm.v=""),"",_xlpm.v*_xlpm.w)
)</f>
        <v/>
      </c>
      <c r="BF26" s="93" t="str" cm="1">
        <f t="array" ref="BF26">_xlfn.LET(
  _xlpm.w, BF$11,
  _xlpm.r, MATCH(1,('3. Enter Indicator Scores'!$B$10:$B$161=$B26)*('3. Enter Indicator Scores'!$C$10:$C$161=$C26),0),
  _xlpm.c, MATCH(BF$8,'3. Enter Indicator Scores'!$D$8:$CZ$8,0),
  _xlpm.v, IFERROR(INDEX('3. Enter Indicator Scores'!$D$10:$CZ$161,_xlpm.r,_xlpm.c),""),
  IF(OR(_xlpm.w="",_xlpm.v=""),"",_xlpm.v*_xlpm.w)
)</f>
        <v/>
      </c>
      <c r="BG26" s="93" t="str" cm="1">
        <f t="array" ref="BG26">_xlfn.LET(
  _xlpm.w, BG$11,
  _xlpm.r, MATCH(1,('3. Enter Indicator Scores'!$B$10:$B$161=$B26)*('3. Enter Indicator Scores'!$C$10:$C$161=$C26),0),
  _xlpm.c, MATCH(BG$8,'3. Enter Indicator Scores'!$D$8:$CZ$8,0),
  _xlpm.v, IFERROR(INDEX('3. Enter Indicator Scores'!$D$10:$CZ$161,_xlpm.r,_xlpm.c),""),
  IF(OR(_xlpm.w="",_xlpm.v=""),"",_xlpm.v*_xlpm.w)
)</f>
        <v/>
      </c>
      <c r="BH26" s="93" t="str" cm="1">
        <f t="array" ref="BH26">_xlfn.LET(
  _xlpm.w, BH$11,
  _xlpm.r, MATCH(1,('3. Enter Indicator Scores'!$B$10:$B$161=$B26)*('3. Enter Indicator Scores'!$C$10:$C$161=$C26),0),
  _xlpm.c, MATCH(BH$8,'3. Enter Indicator Scores'!$D$8:$CZ$8,0),
  _xlpm.v, IFERROR(INDEX('3. Enter Indicator Scores'!$D$10:$CZ$161,_xlpm.r,_xlpm.c),""),
  IF(OR(_xlpm.w="",_xlpm.v=""),"",_xlpm.v*_xlpm.w)
)</f>
        <v/>
      </c>
      <c r="BI26" s="93" t="str" cm="1">
        <f t="array" ref="BI26">_xlfn.LET(
  _xlpm.w, BI$11,
  _xlpm.r, MATCH(1,('3. Enter Indicator Scores'!$B$10:$B$161=$B26)*('3. Enter Indicator Scores'!$C$10:$C$161=$C26),0),
  _xlpm.c, MATCH(BI$8,'3. Enter Indicator Scores'!$D$8:$CZ$8,0),
  _xlpm.v, IFERROR(INDEX('3. Enter Indicator Scores'!$D$10:$CZ$161,_xlpm.r,_xlpm.c),""),
  IF(OR(_xlpm.w="",_xlpm.v=""),"",_xlpm.v*_xlpm.w)
)</f>
        <v/>
      </c>
      <c r="BJ26" s="93" t="str" cm="1">
        <f t="array" ref="BJ26">_xlfn.LET(
  _xlpm.w, BJ$11,
  _xlpm.r, MATCH(1,('3. Enter Indicator Scores'!$B$10:$B$161=$B26)*('3. Enter Indicator Scores'!$C$10:$C$161=$C26),0),
  _xlpm.c, MATCH(BJ$8,'3. Enter Indicator Scores'!$D$8:$CZ$8,0),
  _xlpm.v, IFERROR(INDEX('3. Enter Indicator Scores'!$D$10:$CZ$161,_xlpm.r,_xlpm.c),""),
  IF(OR(_xlpm.w="",_xlpm.v=""),"",_xlpm.v*_xlpm.w)
)</f>
        <v/>
      </c>
      <c r="BK26" s="93" t="str" cm="1">
        <f t="array" ref="BK26">_xlfn.LET(
  _xlpm.w, BK$11,
  _xlpm.r, MATCH(1,('3. Enter Indicator Scores'!$B$10:$B$161=$B26)*('3. Enter Indicator Scores'!$C$10:$C$161=$C26),0),
  _xlpm.c, MATCH(BK$8,'3. Enter Indicator Scores'!$D$8:$CZ$8,0),
  _xlpm.v, IFERROR(INDEX('3. Enter Indicator Scores'!$D$10:$CZ$161,_xlpm.r,_xlpm.c),""),
  IF(OR(_xlpm.w="",_xlpm.v=""),"",_xlpm.v*_xlpm.w)
)</f>
        <v/>
      </c>
      <c r="BL26" s="93" t="str" cm="1">
        <f t="array" ref="BL26">_xlfn.LET(
  _xlpm.w, BL$11,
  _xlpm.r, MATCH(1,('3. Enter Indicator Scores'!$B$10:$B$161=$B26)*('3. Enter Indicator Scores'!$C$10:$C$161=$C26),0),
  _xlpm.c, MATCH(BL$8,'3. Enter Indicator Scores'!$D$8:$CZ$8,0),
  _xlpm.v, IFERROR(INDEX('3. Enter Indicator Scores'!$D$10:$CZ$161,_xlpm.r,_xlpm.c),""),
  IF(OR(_xlpm.w="",_xlpm.v=""),"",_xlpm.v*_xlpm.w)
)</f>
        <v/>
      </c>
      <c r="BM26" s="93" t="str" cm="1">
        <f t="array" ref="BM26">_xlfn.LET(
  _xlpm.w, BM$11,
  _xlpm.r, MATCH(1,('3. Enter Indicator Scores'!$B$10:$B$161=$B26)*('3. Enter Indicator Scores'!$C$10:$C$161=$C26),0),
  _xlpm.c, MATCH(BM$8,'3. Enter Indicator Scores'!$D$8:$CZ$8,0),
  _xlpm.v, IFERROR(INDEX('3. Enter Indicator Scores'!$D$10:$CZ$161,_xlpm.r,_xlpm.c),""),
  IF(OR(_xlpm.w="",_xlpm.v=""),"",_xlpm.v*_xlpm.w)
)</f>
        <v/>
      </c>
      <c r="BN26" s="93" t="str" cm="1">
        <f t="array" ref="BN26">_xlfn.LET(
  _xlpm.w, BN$11,
  _xlpm.r, MATCH(1,('3. Enter Indicator Scores'!$B$10:$B$161=$B26)*('3. Enter Indicator Scores'!$C$10:$C$161=$C26),0),
  _xlpm.c, MATCH(BN$8,'3. Enter Indicator Scores'!$D$8:$CZ$8,0),
  _xlpm.v, IFERROR(INDEX('3. Enter Indicator Scores'!$D$10:$CZ$161,_xlpm.r,_xlpm.c),""),
  IF(OR(_xlpm.w="",_xlpm.v=""),"",_xlpm.v*_xlpm.w)
)</f>
        <v/>
      </c>
      <c r="BO26" s="93" t="str" cm="1">
        <f t="array" ref="BO26">_xlfn.LET(
  _xlpm.w, BO$11,
  _xlpm.r, MATCH(1,('3. Enter Indicator Scores'!$B$10:$B$161=$B26)*('3. Enter Indicator Scores'!$C$10:$C$161=$C26),0),
  _xlpm.c, MATCH(BO$8,'3. Enter Indicator Scores'!$D$8:$CZ$8,0),
  _xlpm.v, IFERROR(INDEX('3. Enter Indicator Scores'!$D$10:$CZ$161,_xlpm.r,_xlpm.c),""),
  IF(OR(_xlpm.w="",_xlpm.v=""),"",_xlpm.v*_xlpm.w)
)</f>
        <v/>
      </c>
      <c r="BP26" s="93" t="str" cm="1">
        <f t="array" ref="BP26">_xlfn.LET(
  _xlpm.w, BP$11,
  _xlpm.r, MATCH(1,('3. Enter Indicator Scores'!$B$10:$B$161=$B26)*('3. Enter Indicator Scores'!$C$10:$C$161=$C26),0),
  _xlpm.c, MATCH(BP$8,'3. Enter Indicator Scores'!$D$8:$CZ$8,0),
  _xlpm.v, IFERROR(INDEX('3. Enter Indicator Scores'!$D$10:$CZ$161,_xlpm.r,_xlpm.c),""),
  IF(OR(_xlpm.w="",_xlpm.v=""),"",_xlpm.v*_xlpm.w)
)</f>
        <v/>
      </c>
      <c r="BQ26" s="93" t="str" cm="1">
        <f t="array" ref="BQ26">_xlfn.LET(
  _xlpm.w, BQ$11,
  _xlpm.r, MATCH(1,('3. Enter Indicator Scores'!$B$10:$B$161=$B26)*('3. Enter Indicator Scores'!$C$10:$C$161=$C26),0),
  _xlpm.c, MATCH(BQ$8,'3. Enter Indicator Scores'!$D$8:$CZ$8,0),
  _xlpm.v, IFERROR(INDEX('3. Enter Indicator Scores'!$D$10:$CZ$161,_xlpm.r,_xlpm.c),""),
  IF(OR(_xlpm.w="",_xlpm.v=""),"",_xlpm.v*_xlpm.w)
)</f>
        <v/>
      </c>
      <c r="BR26" s="93" t="str" cm="1">
        <f t="array" ref="BR26">_xlfn.LET(
  _xlpm.w, BR$11,
  _xlpm.r, MATCH(1,('3. Enter Indicator Scores'!$B$10:$B$161=$B26)*('3. Enter Indicator Scores'!$C$10:$C$161=$C26),0),
  _xlpm.c, MATCH(BR$8,'3. Enter Indicator Scores'!$D$8:$CZ$8,0),
  _xlpm.v, IFERROR(INDEX('3. Enter Indicator Scores'!$D$10:$CZ$161,_xlpm.r,_xlpm.c),""),
  IF(OR(_xlpm.w="",_xlpm.v=""),"",_xlpm.v*_xlpm.w)
)</f>
        <v/>
      </c>
      <c r="BS26" s="93" t="str" cm="1">
        <f t="array" ref="BS26">_xlfn.LET(
  _xlpm.w, BS$11,
  _xlpm.r, MATCH(1,('3. Enter Indicator Scores'!$B$10:$B$161=$B26)*('3. Enter Indicator Scores'!$C$10:$C$161=$C26),0),
  _xlpm.c, MATCH(BS$8,'3. Enter Indicator Scores'!$D$8:$CZ$8,0),
  _xlpm.v, IFERROR(INDEX('3. Enter Indicator Scores'!$D$10:$CZ$161,_xlpm.r,_xlpm.c),""),
  IF(OR(_xlpm.w="",_xlpm.v=""),"",_xlpm.v*_xlpm.w)
)</f>
        <v/>
      </c>
      <c r="BT26" s="93" t="str" cm="1">
        <f t="array" ref="BT26">_xlfn.LET(
  _xlpm.w, BT$11,
  _xlpm.r, MATCH(1,('3. Enter Indicator Scores'!$B$10:$B$161=$B26)*('3. Enter Indicator Scores'!$C$10:$C$161=$C26),0),
  _xlpm.c, MATCH(BT$8,'3. Enter Indicator Scores'!$D$8:$CZ$8,0),
  _xlpm.v, IFERROR(INDEX('3. Enter Indicator Scores'!$D$10:$CZ$161,_xlpm.r,_xlpm.c),""),
  IF(OR(_xlpm.w="",_xlpm.v=""),"",_xlpm.v*_xlpm.w)
)</f>
        <v/>
      </c>
      <c r="BU26" s="93" t="str" cm="1">
        <f t="array" ref="BU26">_xlfn.LET(
  _xlpm.w, BU$11,
  _xlpm.r, MATCH(1,('3. Enter Indicator Scores'!$B$10:$B$161=$B26)*('3. Enter Indicator Scores'!$C$10:$C$161=$C26),0),
  _xlpm.c, MATCH(BU$8,'3. Enter Indicator Scores'!$D$8:$CZ$8,0),
  _xlpm.v, IFERROR(INDEX('3. Enter Indicator Scores'!$D$10:$CZ$161,_xlpm.r,_xlpm.c),""),
  IF(OR(_xlpm.w="",_xlpm.v=""),"",_xlpm.v*_xlpm.w)
)</f>
        <v/>
      </c>
      <c r="BV26" s="93" t="str" cm="1">
        <f t="array" ref="BV26">_xlfn.LET(
  _xlpm.w, BV$11,
  _xlpm.r, MATCH(1,('3. Enter Indicator Scores'!$B$10:$B$161=$B26)*('3. Enter Indicator Scores'!$C$10:$C$161=$C26),0),
  _xlpm.c, MATCH(BV$8,'3. Enter Indicator Scores'!$D$8:$CZ$8,0),
  _xlpm.v, IFERROR(INDEX('3. Enter Indicator Scores'!$D$10:$CZ$161,_xlpm.r,_xlpm.c),""),
  IF(OR(_xlpm.w="",_xlpm.v=""),"",_xlpm.v*_xlpm.w)
)</f>
        <v/>
      </c>
      <c r="BW26" s="93" t="str" cm="1">
        <f t="array" ref="BW26">_xlfn.LET(
  _xlpm.w, BW$11,
  _xlpm.r, MATCH(1,('3. Enter Indicator Scores'!$B$10:$B$161=$B26)*('3. Enter Indicator Scores'!$C$10:$C$161=$C26),0),
  _xlpm.c, MATCH(BW$8,'3. Enter Indicator Scores'!$D$8:$CZ$8,0),
  _xlpm.v, IFERROR(INDEX('3. Enter Indicator Scores'!$D$10:$CZ$161,_xlpm.r,_xlpm.c),""),
  IF(OR(_xlpm.w="",_xlpm.v=""),"",_xlpm.v*_xlpm.w)
)</f>
        <v/>
      </c>
      <c r="BX26" s="93" t="str" cm="1">
        <f t="array" ref="BX26">_xlfn.LET(
  _xlpm.w, BX$11,
  _xlpm.r, MATCH(1,('3. Enter Indicator Scores'!$B$10:$B$161=$B26)*('3. Enter Indicator Scores'!$C$10:$C$161=$C26),0),
  _xlpm.c, MATCH(BX$8,'3. Enter Indicator Scores'!$D$8:$CZ$8,0),
  _xlpm.v, IFERROR(INDEX('3. Enter Indicator Scores'!$D$10:$CZ$161,_xlpm.r,_xlpm.c),""),
  IF(OR(_xlpm.w="",_xlpm.v=""),"",_xlpm.v*_xlpm.w)
)</f>
        <v/>
      </c>
      <c r="BY26" s="93" t="str" cm="1">
        <f t="array" ref="BY26">_xlfn.LET(
  _xlpm.w, BY$11,
  _xlpm.r, MATCH(1,('3. Enter Indicator Scores'!$B$10:$B$161=$B26)*('3. Enter Indicator Scores'!$C$10:$C$161=$C26),0),
  _xlpm.c, MATCH(BY$8,'3. Enter Indicator Scores'!$D$8:$CZ$8,0),
  _xlpm.v, IFERROR(INDEX('3. Enter Indicator Scores'!$D$10:$CZ$161,_xlpm.r,_xlpm.c),""),
  IF(OR(_xlpm.w="",_xlpm.v=""),"",_xlpm.v*_xlpm.w)
)</f>
        <v/>
      </c>
      <c r="BZ26" s="93" t="str" cm="1">
        <f t="array" ref="BZ26">_xlfn.LET(
  _xlpm.w, BZ$11,
  _xlpm.r, MATCH(1,('3. Enter Indicator Scores'!$B$10:$B$161=$B26)*('3. Enter Indicator Scores'!$C$10:$C$161=$C26),0),
  _xlpm.c, MATCH(BZ$8,'3. Enter Indicator Scores'!$D$8:$CZ$8,0),
  _xlpm.v, IFERROR(INDEX('3. Enter Indicator Scores'!$D$10:$CZ$161,_xlpm.r,_xlpm.c),""),
  IF(OR(_xlpm.w="",_xlpm.v=""),"",_xlpm.v*_xlpm.w)
)</f>
        <v/>
      </c>
      <c r="CA26" s="93" t="str" cm="1">
        <f t="array" ref="CA26">_xlfn.LET(
  _xlpm.w, CA$11,
  _xlpm.r, MATCH(1,('3. Enter Indicator Scores'!$B$10:$B$161=$B26)*('3. Enter Indicator Scores'!$C$10:$C$161=$C26),0),
  _xlpm.c, MATCH(CA$8,'3. Enter Indicator Scores'!$D$8:$CZ$8,0),
  _xlpm.v, IFERROR(INDEX('3. Enter Indicator Scores'!$D$10:$CZ$161,_xlpm.r,_xlpm.c),""),
  IF(OR(_xlpm.w="",_xlpm.v=""),"",_xlpm.v*_xlpm.w)
)</f>
        <v/>
      </c>
      <c r="CB26" s="93" t="str" cm="1">
        <f t="array" ref="CB26">_xlfn.LET(
  _xlpm.w, CB$11,
  _xlpm.r, MATCH(1,('3. Enter Indicator Scores'!$B$10:$B$161=$B26)*('3. Enter Indicator Scores'!$C$10:$C$161=$C26),0),
  _xlpm.c, MATCH(CB$8,'3. Enter Indicator Scores'!$D$8:$CZ$8,0),
  _xlpm.v, IFERROR(INDEX('3. Enter Indicator Scores'!$D$10:$CZ$161,_xlpm.r,_xlpm.c),""),
  IF(OR(_xlpm.w="",_xlpm.v=""),"",_xlpm.v*_xlpm.w)
)</f>
        <v/>
      </c>
      <c r="CC26" s="93" t="str" cm="1">
        <f t="array" ref="CC26">_xlfn.LET(
  _xlpm.w, CC$11,
  _xlpm.r, MATCH(1,('3. Enter Indicator Scores'!$B$10:$B$161=$B26)*('3. Enter Indicator Scores'!$C$10:$C$161=$C26),0),
  _xlpm.c, MATCH(CC$8,'3. Enter Indicator Scores'!$D$8:$CZ$8,0),
  _xlpm.v, IFERROR(INDEX('3. Enter Indicator Scores'!$D$10:$CZ$161,_xlpm.r,_xlpm.c),""),
  IF(OR(_xlpm.w="",_xlpm.v=""),"",_xlpm.v*_xlpm.w)
)</f>
        <v/>
      </c>
      <c r="CD26" s="93" t="str" cm="1">
        <f t="array" ref="CD26">_xlfn.LET(
  _xlpm.w, CD$11,
  _xlpm.r, MATCH(1,('3. Enter Indicator Scores'!$B$10:$B$161=$B26)*('3. Enter Indicator Scores'!$C$10:$C$161=$C26),0),
  _xlpm.c, MATCH(CD$8,'3. Enter Indicator Scores'!$D$8:$CZ$8,0),
  _xlpm.v, IFERROR(INDEX('3. Enter Indicator Scores'!$D$10:$CZ$161,_xlpm.r,_xlpm.c),""),
  IF(OR(_xlpm.w="",_xlpm.v=""),"",_xlpm.v*_xlpm.w)
)</f>
        <v/>
      </c>
      <c r="CE26" s="93" t="str" cm="1">
        <f t="array" ref="CE26">_xlfn.LET(
  _xlpm.w, CE$11,
  _xlpm.r, MATCH(1,('3. Enter Indicator Scores'!$B$10:$B$161=$B26)*('3. Enter Indicator Scores'!$C$10:$C$161=$C26),0),
  _xlpm.c, MATCH(CE$8,'3. Enter Indicator Scores'!$D$8:$CZ$8,0),
  _xlpm.v, IFERROR(INDEX('3. Enter Indicator Scores'!$D$10:$CZ$161,_xlpm.r,_xlpm.c),""),
  IF(OR(_xlpm.w="",_xlpm.v=""),"",_xlpm.v*_xlpm.w)
)</f>
        <v/>
      </c>
      <c r="CF26" s="93" t="str" cm="1">
        <f t="array" ref="CF26">_xlfn.LET(
  _xlpm.w, CF$11,
  _xlpm.r, MATCH(1,('3. Enter Indicator Scores'!$B$10:$B$161=$B26)*('3. Enter Indicator Scores'!$C$10:$C$161=$C26),0),
  _xlpm.c, MATCH(CF$8,'3. Enter Indicator Scores'!$D$8:$CZ$8,0),
  _xlpm.v, IFERROR(INDEX('3. Enter Indicator Scores'!$D$10:$CZ$161,_xlpm.r,_xlpm.c),""),
  IF(OR(_xlpm.w="",_xlpm.v=""),"",_xlpm.v*_xlpm.w)
)</f>
        <v/>
      </c>
      <c r="CG26" s="93" t="str" cm="1">
        <f t="array" ref="CG26">_xlfn.LET(
  _xlpm.w, CG$11,
  _xlpm.r, MATCH(1,('3. Enter Indicator Scores'!$B$10:$B$161=$B26)*('3. Enter Indicator Scores'!$C$10:$C$161=$C26),0),
  _xlpm.c, MATCH(CG$8,'3. Enter Indicator Scores'!$D$8:$CZ$8,0),
  _xlpm.v, IFERROR(INDEX('3. Enter Indicator Scores'!$D$10:$CZ$161,_xlpm.r,_xlpm.c),""),
  IF(OR(_xlpm.w="",_xlpm.v=""),"",_xlpm.v*_xlpm.w)
)</f>
        <v/>
      </c>
      <c r="CH26" s="93" t="str" cm="1">
        <f t="array" ref="CH26">_xlfn.LET(
  _xlpm.w, CH$11,
  _xlpm.r, MATCH(1,('3. Enter Indicator Scores'!$B$10:$B$161=$B26)*('3. Enter Indicator Scores'!$C$10:$C$161=$C26),0),
  _xlpm.c, MATCH(CH$8,'3. Enter Indicator Scores'!$D$8:$CZ$8,0),
  _xlpm.v, IFERROR(INDEX('3. Enter Indicator Scores'!$D$10:$CZ$161,_xlpm.r,_xlpm.c),""),
  IF(OR(_xlpm.w="",_xlpm.v=""),"",_xlpm.v*_xlpm.w)
)</f>
        <v/>
      </c>
      <c r="CI26" s="93" t="str" cm="1">
        <f t="array" ref="CI26">_xlfn.LET(
  _xlpm.w, CI$11,
  _xlpm.r, MATCH(1,('3. Enter Indicator Scores'!$B$10:$B$161=$B26)*('3. Enter Indicator Scores'!$C$10:$C$161=$C26),0),
  _xlpm.c, MATCH(CI$8,'3. Enter Indicator Scores'!$D$8:$CZ$8,0),
  _xlpm.v, IFERROR(INDEX('3. Enter Indicator Scores'!$D$10:$CZ$161,_xlpm.r,_xlpm.c),""),
  IF(OR(_xlpm.w="",_xlpm.v=""),"",_xlpm.v*_xlpm.w)
)</f>
        <v/>
      </c>
      <c r="CJ26" s="93" t="str" cm="1">
        <f t="array" ref="CJ26">_xlfn.LET(
  _xlpm.w, CJ$11,
  _xlpm.r, MATCH(1,('3. Enter Indicator Scores'!$B$10:$B$161=$B26)*('3. Enter Indicator Scores'!$C$10:$C$161=$C26),0),
  _xlpm.c, MATCH(CJ$8,'3. Enter Indicator Scores'!$D$8:$CZ$8,0),
  _xlpm.v, IFERROR(INDEX('3. Enter Indicator Scores'!$D$10:$CZ$161,_xlpm.r,_xlpm.c),""),
  IF(OR(_xlpm.w="",_xlpm.v=""),"",_xlpm.v*_xlpm.w)
)</f>
        <v/>
      </c>
      <c r="CK26" s="93" t="str" cm="1">
        <f t="array" ref="CK26">_xlfn.LET(
  _xlpm.w, CK$11,
  _xlpm.r, MATCH(1,('3. Enter Indicator Scores'!$B$10:$B$161=$B26)*('3. Enter Indicator Scores'!$C$10:$C$161=$C26),0),
  _xlpm.c, MATCH(CK$8,'3. Enter Indicator Scores'!$D$8:$CZ$8,0),
  _xlpm.v, IFERROR(INDEX('3. Enter Indicator Scores'!$D$10:$CZ$161,_xlpm.r,_xlpm.c),""),
  IF(OR(_xlpm.w="",_xlpm.v=""),"",_xlpm.v*_xlpm.w)
)</f>
        <v/>
      </c>
      <c r="CL26" s="93" t="str" cm="1">
        <f t="array" ref="CL26">_xlfn.LET(
  _xlpm.w, CL$11,
  _xlpm.r, MATCH(1,('3. Enter Indicator Scores'!$B$10:$B$161=$B26)*('3. Enter Indicator Scores'!$C$10:$C$161=$C26),0),
  _xlpm.c, MATCH(CL$8,'3. Enter Indicator Scores'!$D$8:$CZ$8,0),
  _xlpm.v, IFERROR(INDEX('3. Enter Indicator Scores'!$D$10:$CZ$161,_xlpm.r,_xlpm.c),""),
  IF(OR(_xlpm.w="",_xlpm.v=""),"",_xlpm.v*_xlpm.w)
)</f>
        <v/>
      </c>
      <c r="CM26" s="93" t="str" cm="1">
        <f t="array" ref="CM26">_xlfn.LET(
  _xlpm.w, CM$11,
  _xlpm.r, MATCH(1,('3. Enter Indicator Scores'!$B$10:$B$161=$B26)*('3. Enter Indicator Scores'!$C$10:$C$161=$C26),0),
  _xlpm.c, MATCH(CM$8,'3. Enter Indicator Scores'!$D$8:$CZ$8,0),
  _xlpm.v, IFERROR(INDEX('3. Enter Indicator Scores'!$D$10:$CZ$161,_xlpm.r,_xlpm.c),""),
  IF(OR(_xlpm.w="",_xlpm.v=""),"",_xlpm.v*_xlpm.w)
)</f>
        <v/>
      </c>
      <c r="CN26" s="93" t="str" cm="1">
        <f t="array" ref="CN26">_xlfn.LET(
  _xlpm.w, CN$11,
  _xlpm.r, MATCH(1,('3. Enter Indicator Scores'!$B$10:$B$161=$B26)*('3. Enter Indicator Scores'!$C$10:$C$161=$C26),0),
  _xlpm.c, MATCH(CN$8,'3. Enter Indicator Scores'!$D$8:$CZ$8,0),
  _xlpm.v, IFERROR(INDEX('3. Enter Indicator Scores'!$D$10:$CZ$161,_xlpm.r,_xlpm.c),""),
  IF(OR(_xlpm.w="",_xlpm.v=""),"",_xlpm.v*_xlpm.w)
)</f>
        <v/>
      </c>
      <c r="CO26" s="93" t="str" cm="1">
        <f t="array" ref="CO26">_xlfn.LET(
  _xlpm.w, CO$11,
  _xlpm.r, MATCH(1,('3. Enter Indicator Scores'!$B$10:$B$161=$B26)*('3. Enter Indicator Scores'!$C$10:$C$161=$C26),0),
  _xlpm.c, MATCH(CO$8,'3. Enter Indicator Scores'!$D$8:$CZ$8,0),
  _xlpm.v, IFERROR(INDEX('3. Enter Indicator Scores'!$D$10:$CZ$161,_xlpm.r,_xlpm.c),""),
  IF(OR(_xlpm.w="",_xlpm.v=""),"",_xlpm.v*_xlpm.w)
)</f>
        <v/>
      </c>
      <c r="CP26" s="93" t="str" cm="1">
        <f t="array" ref="CP26">_xlfn.LET(
  _xlpm.w, CP$11,
  _xlpm.r, MATCH(1,('3. Enter Indicator Scores'!$B$10:$B$161=$B26)*('3. Enter Indicator Scores'!$C$10:$C$161=$C26),0),
  _xlpm.c, MATCH(CP$8,'3. Enter Indicator Scores'!$D$8:$CZ$8,0),
  _xlpm.v, IFERROR(INDEX('3. Enter Indicator Scores'!$D$10:$CZ$161,_xlpm.r,_xlpm.c),""),
  IF(OR(_xlpm.w="",_xlpm.v=""),"",_xlpm.v*_xlpm.w)
)</f>
        <v/>
      </c>
      <c r="CQ26" s="93" t="str" cm="1">
        <f t="array" ref="CQ26">_xlfn.LET(
  _xlpm.w, CQ$11,
  _xlpm.r, MATCH(1,('3. Enter Indicator Scores'!$B$10:$B$161=$B26)*('3. Enter Indicator Scores'!$C$10:$C$161=$C26),0),
  _xlpm.c, MATCH(CQ$8,'3. Enter Indicator Scores'!$D$8:$CZ$8,0),
  _xlpm.v, IFERROR(INDEX('3. Enter Indicator Scores'!$D$10:$CZ$161,_xlpm.r,_xlpm.c),""),
  IF(OR(_xlpm.w="",_xlpm.v=""),"",_xlpm.v*_xlpm.w)
)</f>
        <v/>
      </c>
      <c r="CR26" s="93" t="str" cm="1">
        <f t="array" ref="CR26">_xlfn.LET(
  _xlpm.w, CR$11,
  _xlpm.r, MATCH(1,('3. Enter Indicator Scores'!$B$10:$B$161=$B26)*('3. Enter Indicator Scores'!$C$10:$C$161=$C26),0),
  _xlpm.c, MATCH(CR$8,'3. Enter Indicator Scores'!$D$8:$CZ$8,0),
  _xlpm.v, IFERROR(INDEX('3. Enter Indicator Scores'!$D$10:$CZ$161,_xlpm.r,_xlpm.c),""),
  IF(OR(_xlpm.w="",_xlpm.v=""),"",_xlpm.v*_xlpm.w)
)</f>
        <v/>
      </c>
      <c r="CS26" s="93" t="str" cm="1">
        <f t="array" ref="CS26">_xlfn.LET(
  _xlpm.w, CS$11,
  _xlpm.r, MATCH(1,('3. Enter Indicator Scores'!$B$10:$B$161=$B26)*('3. Enter Indicator Scores'!$C$10:$C$161=$C26),0),
  _xlpm.c, MATCH(CS$8,'3. Enter Indicator Scores'!$D$8:$CZ$8,0),
  _xlpm.v, IFERROR(INDEX('3. Enter Indicator Scores'!$D$10:$CZ$161,_xlpm.r,_xlpm.c),""),
  IF(OR(_xlpm.w="",_xlpm.v=""),"",_xlpm.v*_xlpm.w)
)</f>
        <v/>
      </c>
      <c r="CT26" s="93" t="str" cm="1">
        <f t="array" ref="CT26">_xlfn.LET(
  _xlpm.w, CT$11,
  _xlpm.r, MATCH(1,('3. Enter Indicator Scores'!$B$10:$B$161=$B26)*('3. Enter Indicator Scores'!$C$10:$C$161=$C26),0),
  _xlpm.c, MATCH(CT$8,'3. Enter Indicator Scores'!$D$8:$CZ$8,0),
  _xlpm.v, IFERROR(INDEX('3. Enter Indicator Scores'!$D$10:$CZ$161,_xlpm.r,_xlpm.c),""),
  IF(OR(_xlpm.w="",_xlpm.v=""),"",_xlpm.v*_xlpm.w)
)</f>
        <v/>
      </c>
      <c r="CU26" s="93" t="str" cm="1">
        <f t="array" ref="CU26">_xlfn.LET(
  _xlpm.w, CU$11,
  _xlpm.r, MATCH(1,('3. Enter Indicator Scores'!$B$10:$B$161=$B26)*('3. Enter Indicator Scores'!$C$10:$C$161=$C26),0),
  _xlpm.c, MATCH(CU$8,'3. Enter Indicator Scores'!$D$8:$CZ$8,0),
  _xlpm.v, IFERROR(INDEX('3. Enter Indicator Scores'!$D$10:$CZ$161,_xlpm.r,_xlpm.c),""),
  IF(OR(_xlpm.w="",_xlpm.v=""),"",_xlpm.v*_xlpm.w)
)</f>
        <v/>
      </c>
      <c r="CV26" s="93" t="str" cm="1">
        <f t="array" ref="CV26">_xlfn.LET(
  _xlpm.w, CV$11,
  _xlpm.r, MATCH(1,('3. Enter Indicator Scores'!$B$10:$B$161=$B26)*('3. Enter Indicator Scores'!$C$10:$C$161=$C26),0),
  _xlpm.c, MATCH(CV$8,'3. Enter Indicator Scores'!$D$8:$CZ$8,0),
  _xlpm.v, IFERROR(INDEX('3. Enter Indicator Scores'!$D$10:$CZ$161,_xlpm.r,_xlpm.c),""),
  IF(OR(_xlpm.w="",_xlpm.v=""),"",_xlpm.v*_xlpm.w)
)</f>
        <v/>
      </c>
      <c r="CW26" s="93" t="str" cm="1">
        <f t="array" ref="CW26">_xlfn.LET(
  _xlpm.w, CW$11,
  _xlpm.r, MATCH(1,('3. Enter Indicator Scores'!$B$10:$B$161=$B26)*('3. Enter Indicator Scores'!$C$10:$C$161=$C26),0),
  _xlpm.c, MATCH(CW$8,'3. Enter Indicator Scores'!$D$8:$CZ$8,0),
  _xlpm.v, IFERROR(INDEX('3. Enter Indicator Scores'!$D$10:$CZ$161,_xlpm.r,_xlpm.c),""),
  IF(OR(_xlpm.w="",_xlpm.v=""),"",_xlpm.v*_xlpm.w)
)</f>
        <v/>
      </c>
      <c r="CX26" s="93" t="str" cm="1">
        <f t="array" ref="CX26">_xlfn.LET(
  _xlpm.w, CX$11,
  _xlpm.r, MATCH(1,('3. Enter Indicator Scores'!$B$10:$B$161=$B26)*('3. Enter Indicator Scores'!$C$10:$C$161=$C26),0),
  _xlpm.c, MATCH(CX$8,'3. Enter Indicator Scores'!$D$8:$CZ$8,0),
  _xlpm.v, IFERROR(INDEX('3. Enter Indicator Scores'!$D$10:$CZ$161,_xlpm.r,_xlpm.c),""),
  IF(OR(_xlpm.w="",_xlpm.v=""),"",_xlpm.v*_xlpm.w)
)</f>
        <v/>
      </c>
      <c r="CY26" s="93" t="str" cm="1">
        <f t="array" ref="CY26">_xlfn.LET(
  _xlpm.w, CY$11,
  _xlpm.r, MATCH(1,('3. Enter Indicator Scores'!$B$10:$B$161=$B26)*('3. Enter Indicator Scores'!$C$10:$C$161=$C26),0),
  _xlpm.c, MATCH(CY$8,'3. Enter Indicator Scores'!$D$8:$CZ$8,0),
  _xlpm.v, IFERROR(INDEX('3. Enter Indicator Scores'!$D$10:$CZ$161,_xlpm.r,_xlpm.c),""),
  IF(OR(_xlpm.w="",_xlpm.v=""),"",_xlpm.v*_xlpm.w)
)</f>
        <v/>
      </c>
      <c r="CZ26" s="93" t="str" cm="1">
        <f t="array" ref="CZ26">_xlfn.LET(
  _xlpm.w, CZ$11,
  _xlpm.r, MATCH(1,('3. Enter Indicator Scores'!$B$10:$B$161=$B26)*('3. Enter Indicator Scores'!$C$10:$C$161=$C26),0),
  _xlpm.c, MATCH(CZ$8,'3. Enter Indicator Scores'!$D$8:$CZ$8,0),
  _xlpm.v, IFERROR(INDEX('3. Enter Indicator Scores'!$D$10:$CZ$161,_xlpm.r,_xlpm.c),""),
  IF(OR(_xlpm.w="",_xlpm.v=""),"",_xlpm.v*_xlpm.w)
)</f>
        <v/>
      </c>
    </row>
    <row r="27" spans="1:104" x14ac:dyDescent="0.2">
      <c r="A27" s="11"/>
      <c r="D27" s="93" t="str" cm="1">
        <f t="array" ref="D27">_xlfn.LET(
  _xlpm.w, D$11,
  _xlpm.r, MATCH(1,('3. Enter Indicator Scores'!$B$10:$B$161=$B27)*('3. Enter Indicator Scores'!$C$10:$C$161=$C27),0),
  _xlpm.c, MATCH(D$8,'3. Enter Indicator Scores'!$D$8:$CZ$8,0),
  _xlpm.v, IFERROR(INDEX('3. Enter Indicator Scores'!$D$10:$CZ$161,_xlpm.r,_xlpm.c),""),
  IF(OR(_xlpm.w="",_xlpm.v=""),"",_xlpm.v*_xlpm.w)
)</f>
        <v/>
      </c>
      <c r="E27" s="93" t="str" cm="1">
        <f t="array" ref="E27">_xlfn.LET(
  _xlpm.w, E$11,
  _xlpm.r, MATCH(1,('3. Enter Indicator Scores'!$B$10:$B$161=$B27)*('3. Enter Indicator Scores'!$C$10:$C$161=$C27),0),
  _xlpm.c, MATCH(E$8,'3. Enter Indicator Scores'!$D$8:$CZ$8,0),
  _xlpm.v, IFERROR(INDEX('3. Enter Indicator Scores'!$D$10:$CZ$161,_xlpm.r,_xlpm.c),""),
  IF(OR(_xlpm.w="",_xlpm.v=""),"",_xlpm.v*_xlpm.w)
)</f>
        <v/>
      </c>
      <c r="F27" s="93" t="str" cm="1">
        <f t="array" ref="F27">_xlfn.LET(
  _xlpm.w, F$11,
  _xlpm.r, MATCH(1,('3. Enter Indicator Scores'!$B$10:$B$161=$B27)*('3. Enter Indicator Scores'!$C$10:$C$161=$C27),0),
  _xlpm.c, MATCH(F$8,'3. Enter Indicator Scores'!$D$8:$CZ$8,0),
  _xlpm.v, IFERROR(INDEX('3. Enter Indicator Scores'!$D$10:$CZ$161,_xlpm.r,_xlpm.c),""),
  IF(OR(_xlpm.w="",_xlpm.v=""),"",_xlpm.v*_xlpm.w)
)</f>
        <v/>
      </c>
      <c r="G27" s="93" t="str" cm="1">
        <f t="array" ref="G27">_xlfn.LET(
  _xlpm.w, G$11,
  _xlpm.r, MATCH(1,('3. Enter Indicator Scores'!$B$10:$B$161=$B27)*('3. Enter Indicator Scores'!$C$10:$C$161=$C27),0),
  _xlpm.c, MATCH(G$8,'3. Enter Indicator Scores'!$D$8:$CZ$8,0),
  _xlpm.v, IFERROR(INDEX('3. Enter Indicator Scores'!$D$10:$CZ$161,_xlpm.r,_xlpm.c),""),
  IF(OR(_xlpm.w="",_xlpm.v=""),"",_xlpm.v*_xlpm.w)
)</f>
        <v/>
      </c>
      <c r="H27" s="93" t="str" cm="1">
        <f t="array" ref="H27">_xlfn.LET(
  _xlpm.w, H$11,
  _xlpm.r, MATCH(1,('3. Enter Indicator Scores'!$B$10:$B$161=$B27)*('3. Enter Indicator Scores'!$C$10:$C$161=$C27),0),
  _xlpm.c, MATCH(H$8,'3. Enter Indicator Scores'!$D$8:$CZ$8,0),
  _xlpm.v, IFERROR(INDEX('3. Enter Indicator Scores'!$D$10:$CZ$161,_xlpm.r,_xlpm.c),""),
  IF(OR(_xlpm.w="",_xlpm.v=""),"",_xlpm.v*_xlpm.w)
)</f>
        <v/>
      </c>
      <c r="I27" s="93" t="str" cm="1">
        <f t="array" ref="I27">_xlfn.LET(
  _xlpm.w, I$11,
  _xlpm.r, MATCH(1,('3. Enter Indicator Scores'!$B$10:$B$161=$B27)*('3. Enter Indicator Scores'!$C$10:$C$161=$C27),0),
  _xlpm.c, MATCH(I$8,'3. Enter Indicator Scores'!$D$8:$CZ$8,0),
  _xlpm.v, IFERROR(INDEX('3. Enter Indicator Scores'!$D$10:$CZ$161,_xlpm.r,_xlpm.c),""),
  IF(OR(_xlpm.w="",_xlpm.v=""),"",_xlpm.v*_xlpm.w)
)</f>
        <v/>
      </c>
      <c r="J27" s="93" t="str" cm="1">
        <f t="array" ref="J27">_xlfn.LET(
  _xlpm.w, J$11,
  _xlpm.r, MATCH(1,('3. Enter Indicator Scores'!$B$10:$B$161=$B27)*('3. Enter Indicator Scores'!$C$10:$C$161=$C27),0),
  _xlpm.c, MATCH(J$8,'3. Enter Indicator Scores'!$D$8:$CZ$8,0),
  _xlpm.v, IFERROR(INDEX('3. Enter Indicator Scores'!$D$10:$CZ$161,_xlpm.r,_xlpm.c),""),
  IF(OR(_xlpm.w="",_xlpm.v=""),"",_xlpm.v*_xlpm.w)
)</f>
        <v/>
      </c>
      <c r="K27" s="93" t="str" cm="1">
        <f t="array" ref="K27">_xlfn.LET(
  _xlpm.w, K$11,
  _xlpm.r, MATCH(1,('3. Enter Indicator Scores'!$B$10:$B$161=$B27)*('3. Enter Indicator Scores'!$C$10:$C$161=$C27),0),
  _xlpm.c, MATCH(K$8,'3. Enter Indicator Scores'!$D$8:$CZ$8,0),
  _xlpm.v, IFERROR(INDEX('3. Enter Indicator Scores'!$D$10:$CZ$161,_xlpm.r,_xlpm.c),""),
  IF(OR(_xlpm.w="",_xlpm.v=""),"",_xlpm.v*_xlpm.w)
)</f>
        <v/>
      </c>
      <c r="L27" s="93" t="str" cm="1">
        <f t="array" ref="L27">_xlfn.LET(
  _xlpm.w, L$11,
  _xlpm.r, MATCH(1,('3. Enter Indicator Scores'!$B$10:$B$161=$B27)*('3. Enter Indicator Scores'!$C$10:$C$161=$C27),0),
  _xlpm.c, MATCH(L$8,'3. Enter Indicator Scores'!$D$8:$CZ$8,0),
  _xlpm.v, IFERROR(INDEX('3. Enter Indicator Scores'!$D$10:$CZ$161,_xlpm.r,_xlpm.c),""),
  IF(OR(_xlpm.w="",_xlpm.v=""),"",_xlpm.v*_xlpm.w)
)</f>
        <v/>
      </c>
      <c r="M27" s="93" t="str" cm="1">
        <f t="array" ref="M27">_xlfn.LET(
  _xlpm.w, M$11,
  _xlpm.r, MATCH(1,('3. Enter Indicator Scores'!$B$10:$B$161=$B27)*('3. Enter Indicator Scores'!$C$10:$C$161=$C27),0),
  _xlpm.c, MATCH(M$8,'3. Enter Indicator Scores'!$D$8:$CZ$8,0),
  _xlpm.v, IFERROR(INDEX('3. Enter Indicator Scores'!$D$10:$CZ$161,_xlpm.r,_xlpm.c),""),
  IF(OR(_xlpm.w="",_xlpm.v=""),"",_xlpm.v*_xlpm.w)
)</f>
        <v/>
      </c>
      <c r="N27" s="93" t="str" cm="1">
        <f t="array" ref="N27">_xlfn.LET(
  _xlpm.w, N$11,
  _xlpm.r, MATCH(1,('3. Enter Indicator Scores'!$B$10:$B$161=$B27)*('3. Enter Indicator Scores'!$C$10:$C$161=$C27),0),
  _xlpm.c, MATCH(N$8,'3. Enter Indicator Scores'!$D$8:$CZ$8,0),
  _xlpm.v, IFERROR(INDEX('3. Enter Indicator Scores'!$D$10:$CZ$161,_xlpm.r,_xlpm.c),""),
  IF(OR(_xlpm.w="",_xlpm.v=""),"",_xlpm.v*_xlpm.w)
)</f>
        <v/>
      </c>
      <c r="O27" s="93" t="str" cm="1">
        <f t="array" ref="O27">_xlfn.LET(
  _xlpm.w, O$11,
  _xlpm.r, MATCH(1,('3. Enter Indicator Scores'!$B$10:$B$161=$B27)*('3. Enter Indicator Scores'!$C$10:$C$161=$C27),0),
  _xlpm.c, MATCH(O$8,'3. Enter Indicator Scores'!$D$8:$CZ$8,0),
  _xlpm.v, IFERROR(INDEX('3. Enter Indicator Scores'!$D$10:$CZ$161,_xlpm.r,_xlpm.c),""),
  IF(OR(_xlpm.w="",_xlpm.v=""),"",_xlpm.v*_xlpm.w)
)</f>
        <v/>
      </c>
      <c r="P27" s="93" t="str" cm="1">
        <f t="array" ref="P27">_xlfn.LET(
  _xlpm.w, P$11,
  _xlpm.r, MATCH(1,('3. Enter Indicator Scores'!$B$10:$B$161=$B27)*('3. Enter Indicator Scores'!$C$10:$C$161=$C27),0),
  _xlpm.c, MATCH(P$8,'3. Enter Indicator Scores'!$D$8:$CZ$8,0),
  _xlpm.v, IFERROR(INDEX('3. Enter Indicator Scores'!$D$10:$CZ$161,_xlpm.r,_xlpm.c),""),
  IF(OR(_xlpm.w="",_xlpm.v=""),"",_xlpm.v*_xlpm.w)
)</f>
        <v/>
      </c>
      <c r="Q27" s="93" t="str" cm="1">
        <f t="array" ref="Q27">_xlfn.LET(
  _xlpm.w, Q$11,
  _xlpm.r, MATCH(1,('3. Enter Indicator Scores'!$B$10:$B$161=$B27)*('3. Enter Indicator Scores'!$C$10:$C$161=$C27),0),
  _xlpm.c, MATCH(Q$8,'3. Enter Indicator Scores'!$D$8:$CZ$8,0),
  _xlpm.v, IFERROR(INDEX('3. Enter Indicator Scores'!$D$10:$CZ$161,_xlpm.r,_xlpm.c),""),
  IF(OR(_xlpm.w="",_xlpm.v=""),"",_xlpm.v*_xlpm.w)
)</f>
        <v/>
      </c>
      <c r="R27" s="93" t="str" cm="1">
        <f t="array" ref="R27">_xlfn.LET(
  _xlpm.w, R$11,
  _xlpm.r, MATCH(1,('3. Enter Indicator Scores'!$B$10:$B$161=$B27)*('3. Enter Indicator Scores'!$C$10:$C$161=$C27),0),
  _xlpm.c, MATCH(R$8,'3. Enter Indicator Scores'!$D$8:$CZ$8,0),
  _xlpm.v, IFERROR(INDEX('3. Enter Indicator Scores'!$D$10:$CZ$161,_xlpm.r,_xlpm.c),""),
  IF(OR(_xlpm.w="",_xlpm.v=""),"",_xlpm.v*_xlpm.w)
)</f>
        <v/>
      </c>
      <c r="S27" s="93" t="str" cm="1">
        <f t="array" ref="S27">_xlfn.LET(
  _xlpm.w, S$11,
  _xlpm.r, MATCH(1,('3. Enter Indicator Scores'!$B$10:$B$161=$B27)*('3. Enter Indicator Scores'!$C$10:$C$161=$C27),0),
  _xlpm.c, MATCH(S$8,'3. Enter Indicator Scores'!$D$8:$CZ$8,0),
  _xlpm.v, IFERROR(INDEX('3. Enter Indicator Scores'!$D$10:$CZ$161,_xlpm.r,_xlpm.c),""),
  IF(OR(_xlpm.w="",_xlpm.v=""),"",_xlpm.v*_xlpm.w)
)</f>
        <v/>
      </c>
      <c r="T27" s="93" t="str" cm="1">
        <f t="array" ref="T27">_xlfn.LET(
  _xlpm.w, T$11,
  _xlpm.r, MATCH(1,('3. Enter Indicator Scores'!$B$10:$B$161=$B27)*('3. Enter Indicator Scores'!$C$10:$C$161=$C27),0),
  _xlpm.c, MATCH(T$8,'3. Enter Indicator Scores'!$D$8:$CZ$8,0),
  _xlpm.v, IFERROR(INDEX('3. Enter Indicator Scores'!$D$10:$CZ$161,_xlpm.r,_xlpm.c),""),
  IF(OR(_xlpm.w="",_xlpm.v=""),"",_xlpm.v*_xlpm.w)
)</f>
        <v/>
      </c>
      <c r="U27" s="93" t="str" cm="1">
        <f t="array" ref="U27">_xlfn.LET(
  _xlpm.w, U$11,
  _xlpm.r, MATCH(1,('3. Enter Indicator Scores'!$B$10:$B$161=$B27)*('3. Enter Indicator Scores'!$C$10:$C$161=$C27),0),
  _xlpm.c, MATCH(U$8,'3. Enter Indicator Scores'!$D$8:$CZ$8,0),
  _xlpm.v, IFERROR(INDEX('3. Enter Indicator Scores'!$D$10:$CZ$161,_xlpm.r,_xlpm.c),""),
  IF(OR(_xlpm.w="",_xlpm.v=""),"",_xlpm.v*_xlpm.w)
)</f>
        <v/>
      </c>
      <c r="V27" s="93" t="str" cm="1">
        <f t="array" ref="V27">_xlfn.LET(
  _xlpm.w, V$11,
  _xlpm.r, MATCH(1,('3. Enter Indicator Scores'!$B$10:$B$161=$B27)*('3. Enter Indicator Scores'!$C$10:$C$161=$C27),0),
  _xlpm.c, MATCH(V$8,'3. Enter Indicator Scores'!$D$8:$CZ$8,0),
  _xlpm.v, IFERROR(INDEX('3. Enter Indicator Scores'!$D$10:$CZ$161,_xlpm.r,_xlpm.c),""),
  IF(OR(_xlpm.w="",_xlpm.v=""),"",_xlpm.v*_xlpm.w)
)</f>
        <v/>
      </c>
      <c r="W27" s="93" t="str" cm="1">
        <f t="array" ref="W27">_xlfn.LET(
  _xlpm.w, W$11,
  _xlpm.r, MATCH(1,('3. Enter Indicator Scores'!$B$10:$B$161=$B27)*('3. Enter Indicator Scores'!$C$10:$C$161=$C27),0),
  _xlpm.c, MATCH(W$8,'3. Enter Indicator Scores'!$D$8:$CZ$8,0),
  _xlpm.v, IFERROR(INDEX('3. Enter Indicator Scores'!$D$10:$CZ$161,_xlpm.r,_xlpm.c),""),
  IF(OR(_xlpm.w="",_xlpm.v=""),"",_xlpm.v*_xlpm.w)
)</f>
        <v/>
      </c>
      <c r="X27" s="93" t="str" cm="1">
        <f t="array" ref="X27">_xlfn.LET(
  _xlpm.w, X$11,
  _xlpm.r, MATCH(1,('3. Enter Indicator Scores'!$B$10:$B$161=$B27)*('3. Enter Indicator Scores'!$C$10:$C$161=$C27),0),
  _xlpm.c, MATCH(X$8,'3. Enter Indicator Scores'!$D$8:$CZ$8,0),
  _xlpm.v, IFERROR(INDEX('3. Enter Indicator Scores'!$D$10:$CZ$161,_xlpm.r,_xlpm.c),""),
  IF(OR(_xlpm.w="",_xlpm.v=""),"",_xlpm.v*_xlpm.w)
)</f>
        <v/>
      </c>
      <c r="Y27" s="93" t="str" cm="1">
        <f t="array" ref="Y27">_xlfn.LET(
  _xlpm.w, Y$11,
  _xlpm.r, MATCH(1,('3. Enter Indicator Scores'!$B$10:$B$161=$B27)*('3. Enter Indicator Scores'!$C$10:$C$161=$C27),0),
  _xlpm.c, MATCH(Y$8,'3. Enter Indicator Scores'!$D$8:$CZ$8,0),
  _xlpm.v, IFERROR(INDEX('3. Enter Indicator Scores'!$D$10:$CZ$161,_xlpm.r,_xlpm.c),""),
  IF(OR(_xlpm.w="",_xlpm.v=""),"",_xlpm.v*_xlpm.w)
)</f>
        <v/>
      </c>
      <c r="Z27" s="93" t="str" cm="1">
        <f t="array" ref="Z27">_xlfn.LET(
  _xlpm.w, Z$11,
  _xlpm.r, MATCH(1,('3. Enter Indicator Scores'!$B$10:$B$161=$B27)*('3. Enter Indicator Scores'!$C$10:$C$161=$C27),0),
  _xlpm.c, MATCH(Z$8,'3. Enter Indicator Scores'!$D$8:$CZ$8,0),
  _xlpm.v, IFERROR(INDEX('3. Enter Indicator Scores'!$D$10:$CZ$161,_xlpm.r,_xlpm.c),""),
  IF(OR(_xlpm.w="",_xlpm.v=""),"",_xlpm.v*_xlpm.w)
)</f>
        <v/>
      </c>
      <c r="AA27" s="93" t="str" cm="1">
        <f t="array" ref="AA27">_xlfn.LET(
  _xlpm.w, AA$11,
  _xlpm.r, MATCH(1,('3. Enter Indicator Scores'!$B$10:$B$161=$B27)*('3. Enter Indicator Scores'!$C$10:$C$161=$C27),0),
  _xlpm.c, MATCH(AA$8,'3. Enter Indicator Scores'!$D$8:$CZ$8,0),
  _xlpm.v, IFERROR(INDEX('3. Enter Indicator Scores'!$D$10:$CZ$161,_xlpm.r,_xlpm.c),""),
  IF(OR(_xlpm.w="",_xlpm.v=""),"",_xlpm.v*_xlpm.w)
)</f>
        <v/>
      </c>
      <c r="AB27" s="93" t="str" cm="1">
        <f t="array" ref="AB27">_xlfn.LET(
  _xlpm.w, AB$11,
  _xlpm.r, MATCH(1,('3. Enter Indicator Scores'!$B$10:$B$161=$B27)*('3. Enter Indicator Scores'!$C$10:$C$161=$C27),0),
  _xlpm.c, MATCH(AB$8,'3. Enter Indicator Scores'!$D$8:$CZ$8,0),
  _xlpm.v, IFERROR(INDEX('3. Enter Indicator Scores'!$D$10:$CZ$161,_xlpm.r,_xlpm.c),""),
  IF(OR(_xlpm.w="",_xlpm.v=""),"",_xlpm.v*_xlpm.w)
)</f>
        <v/>
      </c>
      <c r="AC27" s="93" t="str" cm="1">
        <f t="array" ref="AC27">_xlfn.LET(
  _xlpm.w, AC$11,
  _xlpm.r, MATCH(1,('3. Enter Indicator Scores'!$B$10:$B$161=$B27)*('3. Enter Indicator Scores'!$C$10:$C$161=$C27),0),
  _xlpm.c, MATCH(AC$8,'3. Enter Indicator Scores'!$D$8:$CZ$8,0),
  _xlpm.v, IFERROR(INDEX('3. Enter Indicator Scores'!$D$10:$CZ$161,_xlpm.r,_xlpm.c),""),
  IF(OR(_xlpm.w="",_xlpm.v=""),"",_xlpm.v*_xlpm.w)
)</f>
        <v/>
      </c>
      <c r="AD27" s="93" t="str" cm="1">
        <f t="array" ref="AD27">_xlfn.LET(
  _xlpm.w, AD$11,
  _xlpm.r, MATCH(1,('3. Enter Indicator Scores'!$B$10:$B$161=$B27)*('3. Enter Indicator Scores'!$C$10:$C$161=$C27),0),
  _xlpm.c, MATCH(AD$8,'3. Enter Indicator Scores'!$D$8:$CZ$8,0),
  _xlpm.v, IFERROR(INDEX('3. Enter Indicator Scores'!$D$10:$CZ$161,_xlpm.r,_xlpm.c),""),
  IF(OR(_xlpm.w="",_xlpm.v=""),"",_xlpm.v*_xlpm.w)
)</f>
        <v/>
      </c>
      <c r="AE27" s="93" t="str" cm="1">
        <f t="array" ref="AE27">_xlfn.LET(
  _xlpm.w, AE$11,
  _xlpm.r, MATCH(1,('3. Enter Indicator Scores'!$B$10:$B$161=$B27)*('3. Enter Indicator Scores'!$C$10:$C$161=$C27),0),
  _xlpm.c, MATCH(AE$8,'3. Enter Indicator Scores'!$D$8:$CZ$8,0),
  _xlpm.v, IFERROR(INDEX('3. Enter Indicator Scores'!$D$10:$CZ$161,_xlpm.r,_xlpm.c),""),
  IF(OR(_xlpm.w="",_xlpm.v=""),"",_xlpm.v*_xlpm.w)
)</f>
        <v/>
      </c>
      <c r="AF27" s="93" t="str" cm="1">
        <f t="array" ref="AF27">_xlfn.LET(
  _xlpm.w, AF$11,
  _xlpm.r, MATCH(1,('3. Enter Indicator Scores'!$B$10:$B$161=$B27)*('3. Enter Indicator Scores'!$C$10:$C$161=$C27),0),
  _xlpm.c, MATCH(AF$8,'3. Enter Indicator Scores'!$D$8:$CZ$8,0),
  _xlpm.v, IFERROR(INDEX('3. Enter Indicator Scores'!$D$10:$CZ$161,_xlpm.r,_xlpm.c),""),
  IF(OR(_xlpm.w="",_xlpm.v=""),"",_xlpm.v*_xlpm.w)
)</f>
        <v/>
      </c>
      <c r="AG27" s="93" t="str" cm="1">
        <f t="array" ref="AG27">_xlfn.LET(
  _xlpm.w, AG$11,
  _xlpm.r, MATCH(1,('3. Enter Indicator Scores'!$B$10:$B$161=$B27)*('3. Enter Indicator Scores'!$C$10:$C$161=$C27),0),
  _xlpm.c, MATCH(AG$8,'3. Enter Indicator Scores'!$D$8:$CZ$8,0),
  _xlpm.v, IFERROR(INDEX('3. Enter Indicator Scores'!$D$10:$CZ$161,_xlpm.r,_xlpm.c),""),
  IF(OR(_xlpm.w="",_xlpm.v=""),"",_xlpm.v*_xlpm.w)
)</f>
        <v/>
      </c>
      <c r="AH27" s="93" t="str" cm="1">
        <f t="array" ref="AH27">_xlfn.LET(
  _xlpm.w, AH$11,
  _xlpm.r, MATCH(1,('3. Enter Indicator Scores'!$B$10:$B$161=$B27)*('3. Enter Indicator Scores'!$C$10:$C$161=$C27),0),
  _xlpm.c, MATCH(AH$8,'3. Enter Indicator Scores'!$D$8:$CZ$8,0),
  _xlpm.v, IFERROR(INDEX('3. Enter Indicator Scores'!$D$10:$CZ$161,_xlpm.r,_xlpm.c),""),
  IF(OR(_xlpm.w="",_xlpm.v=""),"",_xlpm.v*_xlpm.w)
)</f>
        <v/>
      </c>
      <c r="AI27" s="93" t="str" cm="1">
        <f t="array" ref="AI27">_xlfn.LET(
  _xlpm.w, AI$11,
  _xlpm.r, MATCH(1,('3. Enter Indicator Scores'!$B$10:$B$161=$B27)*('3. Enter Indicator Scores'!$C$10:$C$161=$C27),0),
  _xlpm.c, MATCH(AI$8,'3. Enter Indicator Scores'!$D$8:$CZ$8,0),
  _xlpm.v, IFERROR(INDEX('3. Enter Indicator Scores'!$D$10:$CZ$161,_xlpm.r,_xlpm.c),""),
  IF(OR(_xlpm.w="",_xlpm.v=""),"",_xlpm.v*_xlpm.w)
)</f>
        <v/>
      </c>
      <c r="AJ27" s="93" t="str" cm="1">
        <f t="array" ref="AJ27">_xlfn.LET(
  _xlpm.w, AJ$11,
  _xlpm.r, MATCH(1,('3. Enter Indicator Scores'!$B$10:$B$161=$B27)*('3. Enter Indicator Scores'!$C$10:$C$161=$C27),0),
  _xlpm.c, MATCH(AJ$8,'3. Enter Indicator Scores'!$D$8:$CZ$8,0),
  _xlpm.v, IFERROR(INDEX('3. Enter Indicator Scores'!$D$10:$CZ$161,_xlpm.r,_xlpm.c),""),
  IF(OR(_xlpm.w="",_xlpm.v=""),"",_xlpm.v*_xlpm.w)
)</f>
        <v/>
      </c>
      <c r="AK27" s="93" t="str" cm="1">
        <f t="array" ref="AK27">_xlfn.LET(
  _xlpm.w, AK$11,
  _xlpm.r, MATCH(1,('3. Enter Indicator Scores'!$B$10:$B$161=$B27)*('3. Enter Indicator Scores'!$C$10:$C$161=$C27),0),
  _xlpm.c, MATCH(AK$8,'3. Enter Indicator Scores'!$D$8:$CZ$8,0),
  _xlpm.v, IFERROR(INDEX('3. Enter Indicator Scores'!$D$10:$CZ$161,_xlpm.r,_xlpm.c),""),
  IF(OR(_xlpm.w="",_xlpm.v=""),"",_xlpm.v*_xlpm.w)
)</f>
        <v/>
      </c>
      <c r="AL27" s="93" t="str" cm="1">
        <f t="array" ref="AL27">_xlfn.LET(
  _xlpm.w, AL$11,
  _xlpm.r, MATCH(1,('3. Enter Indicator Scores'!$B$10:$B$161=$B27)*('3. Enter Indicator Scores'!$C$10:$C$161=$C27),0),
  _xlpm.c, MATCH(AL$8,'3. Enter Indicator Scores'!$D$8:$CZ$8,0),
  _xlpm.v, IFERROR(INDEX('3. Enter Indicator Scores'!$D$10:$CZ$161,_xlpm.r,_xlpm.c),""),
  IF(OR(_xlpm.w="",_xlpm.v=""),"",_xlpm.v*_xlpm.w)
)</f>
        <v/>
      </c>
      <c r="AM27" s="93" t="str" cm="1">
        <f t="array" ref="AM27">_xlfn.LET(
  _xlpm.w, AM$11,
  _xlpm.r, MATCH(1,('3. Enter Indicator Scores'!$B$10:$B$161=$B27)*('3. Enter Indicator Scores'!$C$10:$C$161=$C27),0),
  _xlpm.c, MATCH(AM$8,'3. Enter Indicator Scores'!$D$8:$CZ$8,0),
  _xlpm.v, IFERROR(INDEX('3. Enter Indicator Scores'!$D$10:$CZ$161,_xlpm.r,_xlpm.c),""),
  IF(OR(_xlpm.w="",_xlpm.v=""),"",_xlpm.v*_xlpm.w)
)</f>
        <v/>
      </c>
      <c r="AN27" s="93" t="str" cm="1">
        <f t="array" ref="AN27">_xlfn.LET(
  _xlpm.w, AN$11,
  _xlpm.r, MATCH(1,('3. Enter Indicator Scores'!$B$10:$B$161=$B27)*('3. Enter Indicator Scores'!$C$10:$C$161=$C27),0),
  _xlpm.c, MATCH(AN$8,'3. Enter Indicator Scores'!$D$8:$CZ$8,0),
  _xlpm.v, IFERROR(INDEX('3. Enter Indicator Scores'!$D$10:$CZ$161,_xlpm.r,_xlpm.c),""),
  IF(OR(_xlpm.w="",_xlpm.v=""),"",_xlpm.v*_xlpm.w)
)</f>
        <v/>
      </c>
      <c r="AO27" s="93" t="str" cm="1">
        <f t="array" ref="AO27">_xlfn.LET(
  _xlpm.w, AO$11,
  _xlpm.r, MATCH(1,('3. Enter Indicator Scores'!$B$10:$B$161=$B27)*('3. Enter Indicator Scores'!$C$10:$C$161=$C27),0),
  _xlpm.c, MATCH(AO$8,'3. Enter Indicator Scores'!$D$8:$CZ$8,0),
  _xlpm.v, IFERROR(INDEX('3. Enter Indicator Scores'!$D$10:$CZ$161,_xlpm.r,_xlpm.c),""),
  IF(OR(_xlpm.w="",_xlpm.v=""),"",_xlpm.v*_xlpm.w)
)</f>
        <v/>
      </c>
      <c r="AP27" s="93" t="str" cm="1">
        <f t="array" ref="AP27">_xlfn.LET(
  _xlpm.w, AP$11,
  _xlpm.r, MATCH(1,('3. Enter Indicator Scores'!$B$10:$B$161=$B27)*('3. Enter Indicator Scores'!$C$10:$C$161=$C27),0),
  _xlpm.c, MATCH(AP$8,'3. Enter Indicator Scores'!$D$8:$CZ$8,0),
  _xlpm.v, IFERROR(INDEX('3. Enter Indicator Scores'!$D$10:$CZ$161,_xlpm.r,_xlpm.c),""),
  IF(OR(_xlpm.w="",_xlpm.v=""),"",_xlpm.v*_xlpm.w)
)</f>
        <v/>
      </c>
      <c r="AQ27" s="93" t="str" cm="1">
        <f t="array" ref="AQ27">_xlfn.LET(
  _xlpm.w, AQ$11,
  _xlpm.r, MATCH(1,('3. Enter Indicator Scores'!$B$10:$B$161=$B27)*('3. Enter Indicator Scores'!$C$10:$C$161=$C27),0),
  _xlpm.c, MATCH(AQ$8,'3. Enter Indicator Scores'!$D$8:$CZ$8,0),
  _xlpm.v, IFERROR(INDEX('3. Enter Indicator Scores'!$D$10:$CZ$161,_xlpm.r,_xlpm.c),""),
  IF(OR(_xlpm.w="",_xlpm.v=""),"",_xlpm.v*_xlpm.w)
)</f>
        <v/>
      </c>
      <c r="AR27" s="93" t="str" cm="1">
        <f t="array" ref="AR27">_xlfn.LET(
  _xlpm.w, AR$11,
  _xlpm.r, MATCH(1,('3. Enter Indicator Scores'!$B$10:$B$161=$B27)*('3. Enter Indicator Scores'!$C$10:$C$161=$C27),0),
  _xlpm.c, MATCH(AR$8,'3. Enter Indicator Scores'!$D$8:$CZ$8,0),
  _xlpm.v, IFERROR(INDEX('3. Enter Indicator Scores'!$D$10:$CZ$161,_xlpm.r,_xlpm.c),""),
  IF(OR(_xlpm.w="",_xlpm.v=""),"",_xlpm.v*_xlpm.w)
)</f>
        <v/>
      </c>
      <c r="AS27" s="93" t="str" cm="1">
        <f t="array" ref="AS27">_xlfn.LET(
  _xlpm.w, AS$11,
  _xlpm.r, MATCH(1,('3. Enter Indicator Scores'!$B$10:$B$161=$B27)*('3. Enter Indicator Scores'!$C$10:$C$161=$C27),0),
  _xlpm.c, MATCH(AS$8,'3. Enter Indicator Scores'!$D$8:$CZ$8,0),
  _xlpm.v, IFERROR(INDEX('3. Enter Indicator Scores'!$D$10:$CZ$161,_xlpm.r,_xlpm.c),""),
  IF(OR(_xlpm.w="",_xlpm.v=""),"",_xlpm.v*_xlpm.w)
)</f>
        <v/>
      </c>
      <c r="AT27" s="93" t="str" cm="1">
        <f t="array" ref="AT27">_xlfn.LET(
  _xlpm.w, AT$11,
  _xlpm.r, MATCH(1,('3. Enter Indicator Scores'!$B$10:$B$161=$B27)*('3. Enter Indicator Scores'!$C$10:$C$161=$C27),0),
  _xlpm.c, MATCH(AT$8,'3. Enter Indicator Scores'!$D$8:$CZ$8,0),
  _xlpm.v, IFERROR(INDEX('3. Enter Indicator Scores'!$D$10:$CZ$161,_xlpm.r,_xlpm.c),""),
  IF(OR(_xlpm.w="",_xlpm.v=""),"",_xlpm.v*_xlpm.w)
)</f>
        <v/>
      </c>
      <c r="AU27" s="93" t="str" cm="1">
        <f t="array" ref="AU27">_xlfn.LET(
  _xlpm.w, AU$11,
  _xlpm.r, MATCH(1,('3. Enter Indicator Scores'!$B$10:$B$161=$B27)*('3. Enter Indicator Scores'!$C$10:$C$161=$C27),0),
  _xlpm.c, MATCH(AU$8,'3. Enter Indicator Scores'!$D$8:$CZ$8,0),
  _xlpm.v, IFERROR(INDEX('3. Enter Indicator Scores'!$D$10:$CZ$161,_xlpm.r,_xlpm.c),""),
  IF(OR(_xlpm.w="",_xlpm.v=""),"",_xlpm.v*_xlpm.w)
)</f>
        <v/>
      </c>
      <c r="AV27" s="93" t="str" cm="1">
        <f t="array" ref="AV27">_xlfn.LET(
  _xlpm.w, AV$11,
  _xlpm.r, MATCH(1,('3. Enter Indicator Scores'!$B$10:$B$161=$B27)*('3. Enter Indicator Scores'!$C$10:$C$161=$C27),0),
  _xlpm.c, MATCH(AV$8,'3. Enter Indicator Scores'!$D$8:$CZ$8,0),
  _xlpm.v, IFERROR(INDEX('3. Enter Indicator Scores'!$D$10:$CZ$161,_xlpm.r,_xlpm.c),""),
  IF(OR(_xlpm.w="",_xlpm.v=""),"",_xlpm.v*_xlpm.w)
)</f>
        <v/>
      </c>
      <c r="AW27" s="93" t="str" cm="1">
        <f t="array" ref="AW27">_xlfn.LET(
  _xlpm.w, AW$11,
  _xlpm.r, MATCH(1,('3. Enter Indicator Scores'!$B$10:$B$161=$B27)*('3. Enter Indicator Scores'!$C$10:$C$161=$C27),0),
  _xlpm.c, MATCH(AW$8,'3. Enter Indicator Scores'!$D$8:$CZ$8,0),
  _xlpm.v, IFERROR(INDEX('3. Enter Indicator Scores'!$D$10:$CZ$161,_xlpm.r,_xlpm.c),""),
  IF(OR(_xlpm.w="",_xlpm.v=""),"",_xlpm.v*_xlpm.w)
)</f>
        <v/>
      </c>
      <c r="AX27" s="93" t="str" cm="1">
        <f t="array" ref="AX27">_xlfn.LET(
  _xlpm.w, AX$11,
  _xlpm.r, MATCH(1,('3. Enter Indicator Scores'!$B$10:$B$161=$B27)*('3. Enter Indicator Scores'!$C$10:$C$161=$C27),0),
  _xlpm.c, MATCH(AX$8,'3. Enter Indicator Scores'!$D$8:$CZ$8,0),
  _xlpm.v, IFERROR(INDEX('3. Enter Indicator Scores'!$D$10:$CZ$161,_xlpm.r,_xlpm.c),""),
  IF(OR(_xlpm.w="",_xlpm.v=""),"",_xlpm.v*_xlpm.w)
)</f>
        <v/>
      </c>
      <c r="AY27" s="93" t="str" cm="1">
        <f t="array" ref="AY27">_xlfn.LET(
  _xlpm.w, AY$11,
  _xlpm.r, MATCH(1,('3. Enter Indicator Scores'!$B$10:$B$161=$B27)*('3. Enter Indicator Scores'!$C$10:$C$161=$C27),0),
  _xlpm.c, MATCH(AY$8,'3. Enter Indicator Scores'!$D$8:$CZ$8,0),
  _xlpm.v, IFERROR(INDEX('3. Enter Indicator Scores'!$D$10:$CZ$161,_xlpm.r,_xlpm.c),""),
  IF(OR(_xlpm.w="",_xlpm.v=""),"",_xlpm.v*_xlpm.w)
)</f>
        <v/>
      </c>
      <c r="AZ27" s="93" t="str" cm="1">
        <f t="array" ref="AZ27">_xlfn.LET(
  _xlpm.w, AZ$11,
  _xlpm.r, MATCH(1,('3. Enter Indicator Scores'!$B$10:$B$161=$B27)*('3. Enter Indicator Scores'!$C$10:$C$161=$C27),0),
  _xlpm.c, MATCH(AZ$8,'3. Enter Indicator Scores'!$D$8:$CZ$8,0),
  _xlpm.v, IFERROR(INDEX('3. Enter Indicator Scores'!$D$10:$CZ$161,_xlpm.r,_xlpm.c),""),
  IF(OR(_xlpm.w="",_xlpm.v=""),"",_xlpm.v*_xlpm.w)
)</f>
        <v/>
      </c>
      <c r="BA27" s="93" t="str" cm="1">
        <f t="array" ref="BA27">_xlfn.LET(
  _xlpm.w, BA$11,
  _xlpm.r, MATCH(1,('3. Enter Indicator Scores'!$B$10:$B$161=$B27)*('3. Enter Indicator Scores'!$C$10:$C$161=$C27),0),
  _xlpm.c, MATCH(BA$8,'3. Enter Indicator Scores'!$D$8:$CZ$8,0),
  _xlpm.v, IFERROR(INDEX('3. Enter Indicator Scores'!$D$10:$CZ$161,_xlpm.r,_xlpm.c),""),
  IF(OR(_xlpm.w="",_xlpm.v=""),"",_xlpm.v*_xlpm.w)
)</f>
        <v/>
      </c>
      <c r="BB27" s="93" t="str" cm="1">
        <f t="array" ref="BB27">_xlfn.LET(
  _xlpm.w, BB$11,
  _xlpm.r, MATCH(1,('3. Enter Indicator Scores'!$B$10:$B$161=$B27)*('3. Enter Indicator Scores'!$C$10:$C$161=$C27),0),
  _xlpm.c, MATCH(BB$8,'3. Enter Indicator Scores'!$D$8:$CZ$8,0),
  _xlpm.v, IFERROR(INDEX('3. Enter Indicator Scores'!$D$10:$CZ$161,_xlpm.r,_xlpm.c),""),
  IF(OR(_xlpm.w="",_xlpm.v=""),"",_xlpm.v*_xlpm.w)
)</f>
        <v/>
      </c>
      <c r="BC27" s="93" t="str" cm="1">
        <f t="array" ref="BC27">_xlfn.LET(
  _xlpm.w, BC$11,
  _xlpm.r, MATCH(1,('3. Enter Indicator Scores'!$B$10:$B$161=$B27)*('3. Enter Indicator Scores'!$C$10:$C$161=$C27),0),
  _xlpm.c, MATCH(BC$8,'3. Enter Indicator Scores'!$D$8:$CZ$8,0),
  _xlpm.v, IFERROR(INDEX('3. Enter Indicator Scores'!$D$10:$CZ$161,_xlpm.r,_xlpm.c),""),
  IF(OR(_xlpm.w="",_xlpm.v=""),"",_xlpm.v*_xlpm.w)
)</f>
        <v/>
      </c>
      <c r="BD27" s="93" t="str" cm="1">
        <f t="array" ref="BD27">_xlfn.LET(
  _xlpm.w, BD$11,
  _xlpm.r, MATCH(1,('3. Enter Indicator Scores'!$B$10:$B$161=$B27)*('3. Enter Indicator Scores'!$C$10:$C$161=$C27),0),
  _xlpm.c, MATCH(BD$8,'3. Enter Indicator Scores'!$D$8:$CZ$8,0),
  _xlpm.v, IFERROR(INDEX('3. Enter Indicator Scores'!$D$10:$CZ$161,_xlpm.r,_xlpm.c),""),
  IF(OR(_xlpm.w="",_xlpm.v=""),"",_xlpm.v*_xlpm.w)
)</f>
        <v/>
      </c>
      <c r="BE27" s="93" t="str" cm="1">
        <f t="array" ref="BE27">_xlfn.LET(
  _xlpm.w, BE$11,
  _xlpm.r, MATCH(1,('3. Enter Indicator Scores'!$B$10:$B$161=$B27)*('3. Enter Indicator Scores'!$C$10:$C$161=$C27),0),
  _xlpm.c, MATCH(BE$8,'3. Enter Indicator Scores'!$D$8:$CZ$8,0),
  _xlpm.v, IFERROR(INDEX('3. Enter Indicator Scores'!$D$10:$CZ$161,_xlpm.r,_xlpm.c),""),
  IF(OR(_xlpm.w="",_xlpm.v=""),"",_xlpm.v*_xlpm.w)
)</f>
        <v/>
      </c>
      <c r="BF27" s="93" t="str" cm="1">
        <f t="array" ref="BF27">_xlfn.LET(
  _xlpm.w, BF$11,
  _xlpm.r, MATCH(1,('3. Enter Indicator Scores'!$B$10:$B$161=$B27)*('3. Enter Indicator Scores'!$C$10:$C$161=$C27),0),
  _xlpm.c, MATCH(BF$8,'3. Enter Indicator Scores'!$D$8:$CZ$8,0),
  _xlpm.v, IFERROR(INDEX('3. Enter Indicator Scores'!$D$10:$CZ$161,_xlpm.r,_xlpm.c),""),
  IF(OR(_xlpm.w="",_xlpm.v=""),"",_xlpm.v*_xlpm.w)
)</f>
        <v/>
      </c>
      <c r="BG27" s="93" t="str" cm="1">
        <f t="array" ref="BG27">_xlfn.LET(
  _xlpm.w, BG$11,
  _xlpm.r, MATCH(1,('3. Enter Indicator Scores'!$B$10:$B$161=$B27)*('3. Enter Indicator Scores'!$C$10:$C$161=$C27),0),
  _xlpm.c, MATCH(BG$8,'3. Enter Indicator Scores'!$D$8:$CZ$8,0),
  _xlpm.v, IFERROR(INDEX('3. Enter Indicator Scores'!$D$10:$CZ$161,_xlpm.r,_xlpm.c),""),
  IF(OR(_xlpm.w="",_xlpm.v=""),"",_xlpm.v*_xlpm.w)
)</f>
        <v/>
      </c>
      <c r="BH27" s="93" t="str" cm="1">
        <f t="array" ref="BH27">_xlfn.LET(
  _xlpm.w, BH$11,
  _xlpm.r, MATCH(1,('3. Enter Indicator Scores'!$B$10:$B$161=$B27)*('3. Enter Indicator Scores'!$C$10:$C$161=$C27),0),
  _xlpm.c, MATCH(BH$8,'3. Enter Indicator Scores'!$D$8:$CZ$8,0),
  _xlpm.v, IFERROR(INDEX('3. Enter Indicator Scores'!$D$10:$CZ$161,_xlpm.r,_xlpm.c),""),
  IF(OR(_xlpm.w="",_xlpm.v=""),"",_xlpm.v*_xlpm.w)
)</f>
        <v/>
      </c>
      <c r="BI27" s="93" t="str" cm="1">
        <f t="array" ref="BI27">_xlfn.LET(
  _xlpm.w, BI$11,
  _xlpm.r, MATCH(1,('3. Enter Indicator Scores'!$B$10:$B$161=$B27)*('3. Enter Indicator Scores'!$C$10:$C$161=$C27),0),
  _xlpm.c, MATCH(BI$8,'3. Enter Indicator Scores'!$D$8:$CZ$8,0),
  _xlpm.v, IFERROR(INDEX('3. Enter Indicator Scores'!$D$10:$CZ$161,_xlpm.r,_xlpm.c),""),
  IF(OR(_xlpm.w="",_xlpm.v=""),"",_xlpm.v*_xlpm.w)
)</f>
        <v/>
      </c>
      <c r="BJ27" s="93" t="str" cm="1">
        <f t="array" ref="BJ27">_xlfn.LET(
  _xlpm.w, BJ$11,
  _xlpm.r, MATCH(1,('3. Enter Indicator Scores'!$B$10:$B$161=$B27)*('3. Enter Indicator Scores'!$C$10:$C$161=$C27),0),
  _xlpm.c, MATCH(BJ$8,'3. Enter Indicator Scores'!$D$8:$CZ$8,0),
  _xlpm.v, IFERROR(INDEX('3. Enter Indicator Scores'!$D$10:$CZ$161,_xlpm.r,_xlpm.c),""),
  IF(OR(_xlpm.w="",_xlpm.v=""),"",_xlpm.v*_xlpm.w)
)</f>
        <v/>
      </c>
      <c r="BK27" s="93" t="str" cm="1">
        <f t="array" ref="BK27">_xlfn.LET(
  _xlpm.w, BK$11,
  _xlpm.r, MATCH(1,('3. Enter Indicator Scores'!$B$10:$B$161=$B27)*('3. Enter Indicator Scores'!$C$10:$C$161=$C27),0),
  _xlpm.c, MATCH(BK$8,'3. Enter Indicator Scores'!$D$8:$CZ$8,0),
  _xlpm.v, IFERROR(INDEX('3. Enter Indicator Scores'!$D$10:$CZ$161,_xlpm.r,_xlpm.c),""),
  IF(OR(_xlpm.w="",_xlpm.v=""),"",_xlpm.v*_xlpm.w)
)</f>
        <v/>
      </c>
      <c r="BL27" s="93" t="str" cm="1">
        <f t="array" ref="BL27">_xlfn.LET(
  _xlpm.w, BL$11,
  _xlpm.r, MATCH(1,('3. Enter Indicator Scores'!$B$10:$B$161=$B27)*('3. Enter Indicator Scores'!$C$10:$C$161=$C27),0),
  _xlpm.c, MATCH(BL$8,'3. Enter Indicator Scores'!$D$8:$CZ$8,0),
  _xlpm.v, IFERROR(INDEX('3. Enter Indicator Scores'!$D$10:$CZ$161,_xlpm.r,_xlpm.c),""),
  IF(OR(_xlpm.w="",_xlpm.v=""),"",_xlpm.v*_xlpm.w)
)</f>
        <v/>
      </c>
      <c r="BM27" s="93" t="str" cm="1">
        <f t="array" ref="BM27">_xlfn.LET(
  _xlpm.w, BM$11,
  _xlpm.r, MATCH(1,('3. Enter Indicator Scores'!$B$10:$B$161=$B27)*('3. Enter Indicator Scores'!$C$10:$C$161=$C27),0),
  _xlpm.c, MATCH(BM$8,'3. Enter Indicator Scores'!$D$8:$CZ$8,0),
  _xlpm.v, IFERROR(INDEX('3. Enter Indicator Scores'!$D$10:$CZ$161,_xlpm.r,_xlpm.c),""),
  IF(OR(_xlpm.w="",_xlpm.v=""),"",_xlpm.v*_xlpm.w)
)</f>
        <v/>
      </c>
      <c r="BN27" s="93" t="str" cm="1">
        <f t="array" ref="BN27">_xlfn.LET(
  _xlpm.w, BN$11,
  _xlpm.r, MATCH(1,('3. Enter Indicator Scores'!$B$10:$B$161=$B27)*('3. Enter Indicator Scores'!$C$10:$C$161=$C27),0),
  _xlpm.c, MATCH(BN$8,'3. Enter Indicator Scores'!$D$8:$CZ$8,0),
  _xlpm.v, IFERROR(INDEX('3. Enter Indicator Scores'!$D$10:$CZ$161,_xlpm.r,_xlpm.c),""),
  IF(OR(_xlpm.w="",_xlpm.v=""),"",_xlpm.v*_xlpm.w)
)</f>
        <v/>
      </c>
      <c r="BO27" s="93" t="str" cm="1">
        <f t="array" ref="BO27">_xlfn.LET(
  _xlpm.w, BO$11,
  _xlpm.r, MATCH(1,('3. Enter Indicator Scores'!$B$10:$B$161=$B27)*('3. Enter Indicator Scores'!$C$10:$C$161=$C27),0),
  _xlpm.c, MATCH(BO$8,'3. Enter Indicator Scores'!$D$8:$CZ$8,0),
  _xlpm.v, IFERROR(INDEX('3. Enter Indicator Scores'!$D$10:$CZ$161,_xlpm.r,_xlpm.c),""),
  IF(OR(_xlpm.w="",_xlpm.v=""),"",_xlpm.v*_xlpm.w)
)</f>
        <v/>
      </c>
      <c r="BP27" s="93" t="str" cm="1">
        <f t="array" ref="BP27">_xlfn.LET(
  _xlpm.w, BP$11,
  _xlpm.r, MATCH(1,('3. Enter Indicator Scores'!$B$10:$B$161=$B27)*('3. Enter Indicator Scores'!$C$10:$C$161=$C27),0),
  _xlpm.c, MATCH(BP$8,'3. Enter Indicator Scores'!$D$8:$CZ$8,0),
  _xlpm.v, IFERROR(INDEX('3. Enter Indicator Scores'!$D$10:$CZ$161,_xlpm.r,_xlpm.c),""),
  IF(OR(_xlpm.w="",_xlpm.v=""),"",_xlpm.v*_xlpm.w)
)</f>
        <v/>
      </c>
      <c r="BQ27" s="93" t="str" cm="1">
        <f t="array" ref="BQ27">_xlfn.LET(
  _xlpm.w, BQ$11,
  _xlpm.r, MATCH(1,('3. Enter Indicator Scores'!$B$10:$B$161=$B27)*('3. Enter Indicator Scores'!$C$10:$C$161=$C27),0),
  _xlpm.c, MATCH(BQ$8,'3. Enter Indicator Scores'!$D$8:$CZ$8,0),
  _xlpm.v, IFERROR(INDEX('3. Enter Indicator Scores'!$D$10:$CZ$161,_xlpm.r,_xlpm.c),""),
  IF(OR(_xlpm.w="",_xlpm.v=""),"",_xlpm.v*_xlpm.w)
)</f>
        <v/>
      </c>
      <c r="BR27" s="93" t="str" cm="1">
        <f t="array" ref="BR27">_xlfn.LET(
  _xlpm.w, BR$11,
  _xlpm.r, MATCH(1,('3. Enter Indicator Scores'!$B$10:$B$161=$B27)*('3. Enter Indicator Scores'!$C$10:$C$161=$C27),0),
  _xlpm.c, MATCH(BR$8,'3. Enter Indicator Scores'!$D$8:$CZ$8,0),
  _xlpm.v, IFERROR(INDEX('3. Enter Indicator Scores'!$D$10:$CZ$161,_xlpm.r,_xlpm.c),""),
  IF(OR(_xlpm.w="",_xlpm.v=""),"",_xlpm.v*_xlpm.w)
)</f>
        <v/>
      </c>
      <c r="BS27" s="93" t="str" cm="1">
        <f t="array" ref="BS27">_xlfn.LET(
  _xlpm.w, BS$11,
  _xlpm.r, MATCH(1,('3. Enter Indicator Scores'!$B$10:$B$161=$B27)*('3. Enter Indicator Scores'!$C$10:$C$161=$C27),0),
  _xlpm.c, MATCH(BS$8,'3. Enter Indicator Scores'!$D$8:$CZ$8,0),
  _xlpm.v, IFERROR(INDEX('3. Enter Indicator Scores'!$D$10:$CZ$161,_xlpm.r,_xlpm.c),""),
  IF(OR(_xlpm.w="",_xlpm.v=""),"",_xlpm.v*_xlpm.w)
)</f>
        <v/>
      </c>
      <c r="BT27" s="93" t="str" cm="1">
        <f t="array" ref="BT27">_xlfn.LET(
  _xlpm.w, BT$11,
  _xlpm.r, MATCH(1,('3. Enter Indicator Scores'!$B$10:$B$161=$B27)*('3. Enter Indicator Scores'!$C$10:$C$161=$C27),0),
  _xlpm.c, MATCH(BT$8,'3. Enter Indicator Scores'!$D$8:$CZ$8,0),
  _xlpm.v, IFERROR(INDEX('3. Enter Indicator Scores'!$D$10:$CZ$161,_xlpm.r,_xlpm.c),""),
  IF(OR(_xlpm.w="",_xlpm.v=""),"",_xlpm.v*_xlpm.w)
)</f>
        <v/>
      </c>
      <c r="BU27" s="93" t="str" cm="1">
        <f t="array" ref="BU27">_xlfn.LET(
  _xlpm.w, BU$11,
  _xlpm.r, MATCH(1,('3. Enter Indicator Scores'!$B$10:$B$161=$B27)*('3. Enter Indicator Scores'!$C$10:$C$161=$C27),0),
  _xlpm.c, MATCH(BU$8,'3. Enter Indicator Scores'!$D$8:$CZ$8,0),
  _xlpm.v, IFERROR(INDEX('3. Enter Indicator Scores'!$D$10:$CZ$161,_xlpm.r,_xlpm.c),""),
  IF(OR(_xlpm.w="",_xlpm.v=""),"",_xlpm.v*_xlpm.w)
)</f>
        <v/>
      </c>
      <c r="BV27" s="93" t="str" cm="1">
        <f t="array" ref="BV27">_xlfn.LET(
  _xlpm.w, BV$11,
  _xlpm.r, MATCH(1,('3. Enter Indicator Scores'!$B$10:$B$161=$B27)*('3. Enter Indicator Scores'!$C$10:$C$161=$C27),0),
  _xlpm.c, MATCH(BV$8,'3. Enter Indicator Scores'!$D$8:$CZ$8,0),
  _xlpm.v, IFERROR(INDEX('3. Enter Indicator Scores'!$D$10:$CZ$161,_xlpm.r,_xlpm.c),""),
  IF(OR(_xlpm.w="",_xlpm.v=""),"",_xlpm.v*_xlpm.w)
)</f>
        <v/>
      </c>
      <c r="BW27" s="93" t="str" cm="1">
        <f t="array" ref="BW27">_xlfn.LET(
  _xlpm.w, BW$11,
  _xlpm.r, MATCH(1,('3. Enter Indicator Scores'!$B$10:$B$161=$B27)*('3. Enter Indicator Scores'!$C$10:$C$161=$C27),0),
  _xlpm.c, MATCH(BW$8,'3. Enter Indicator Scores'!$D$8:$CZ$8,0),
  _xlpm.v, IFERROR(INDEX('3. Enter Indicator Scores'!$D$10:$CZ$161,_xlpm.r,_xlpm.c),""),
  IF(OR(_xlpm.w="",_xlpm.v=""),"",_xlpm.v*_xlpm.w)
)</f>
        <v/>
      </c>
      <c r="BX27" s="93" t="str" cm="1">
        <f t="array" ref="BX27">_xlfn.LET(
  _xlpm.w, BX$11,
  _xlpm.r, MATCH(1,('3. Enter Indicator Scores'!$B$10:$B$161=$B27)*('3. Enter Indicator Scores'!$C$10:$C$161=$C27),0),
  _xlpm.c, MATCH(BX$8,'3. Enter Indicator Scores'!$D$8:$CZ$8,0),
  _xlpm.v, IFERROR(INDEX('3. Enter Indicator Scores'!$D$10:$CZ$161,_xlpm.r,_xlpm.c),""),
  IF(OR(_xlpm.w="",_xlpm.v=""),"",_xlpm.v*_xlpm.w)
)</f>
        <v/>
      </c>
      <c r="BY27" s="93" t="str" cm="1">
        <f t="array" ref="BY27">_xlfn.LET(
  _xlpm.w, BY$11,
  _xlpm.r, MATCH(1,('3. Enter Indicator Scores'!$B$10:$B$161=$B27)*('3. Enter Indicator Scores'!$C$10:$C$161=$C27),0),
  _xlpm.c, MATCH(BY$8,'3. Enter Indicator Scores'!$D$8:$CZ$8,0),
  _xlpm.v, IFERROR(INDEX('3. Enter Indicator Scores'!$D$10:$CZ$161,_xlpm.r,_xlpm.c),""),
  IF(OR(_xlpm.w="",_xlpm.v=""),"",_xlpm.v*_xlpm.w)
)</f>
        <v/>
      </c>
      <c r="BZ27" s="93" t="str" cm="1">
        <f t="array" ref="BZ27">_xlfn.LET(
  _xlpm.w, BZ$11,
  _xlpm.r, MATCH(1,('3. Enter Indicator Scores'!$B$10:$B$161=$B27)*('3. Enter Indicator Scores'!$C$10:$C$161=$C27),0),
  _xlpm.c, MATCH(BZ$8,'3. Enter Indicator Scores'!$D$8:$CZ$8,0),
  _xlpm.v, IFERROR(INDEX('3. Enter Indicator Scores'!$D$10:$CZ$161,_xlpm.r,_xlpm.c),""),
  IF(OR(_xlpm.w="",_xlpm.v=""),"",_xlpm.v*_xlpm.w)
)</f>
        <v/>
      </c>
      <c r="CA27" s="93" t="str" cm="1">
        <f t="array" ref="CA27">_xlfn.LET(
  _xlpm.w, CA$11,
  _xlpm.r, MATCH(1,('3. Enter Indicator Scores'!$B$10:$B$161=$B27)*('3. Enter Indicator Scores'!$C$10:$C$161=$C27),0),
  _xlpm.c, MATCH(CA$8,'3. Enter Indicator Scores'!$D$8:$CZ$8,0),
  _xlpm.v, IFERROR(INDEX('3. Enter Indicator Scores'!$D$10:$CZ$161,_xlpm.r,_xlpm.c),""),
  IF(OR(_xlpm.w="",_xlpm.v=""),"",_xlpm.v*_xlpm.w)
)</f>
        <v/>
      </c>
      <c r="CB27" s="93" t="str" cm="1">
        <f t="array" ref="CB27">_xlfn.LET(
  _xlpm.w, CB$11,
  _xlpm.r, MATCH(1,('3. Enter Indicator Scores'!$B$10:$B$161=$B27)*('3. Enter Indicator Scores'!$C$10:$C$161=$C27),0),
  _xlpm.c, MATCH(CB$8,'3. Enter Indicator Scores'!$D$8:$CZ$8,0),
  _xlpm.v, IFERROR(INDEX('3. Enter Indicator Scores'!$D$10:$CZ$161,_xlpm.r,_xlpm.c),""),
  IF(OR(_xlpm.w="",_xlpm.v=""),"",_xlpm.v*_xlpm.w)
)</f>
        <v/>
      </c>
      <c r="CC27" s="93" t="str" cm="1">
        <f t="array" ref="CC27">_xlfn.LET(
  _xlpm.w, CC$11,
  _xlpm.r, MATCH(1,('3. Enter Indicator Scores'!$B$10:$B$161=$B27)*('3. Enter Indicator Scores'!$C$10:$C$161=$C27),0),
  _xlpm.c, MATCH(CC$8,'3. Enter Indicator Scores'!$D$8:$CZ$8,0),
  _xlpm.v, IFERROR(INDEX('3. Enter Indicator Scores'!$D$10:$CZ$161,_xlpm.r,_xlpm.c),""),
  IF(OR(_xlpm.w="",_xlpm.v=""),"",_xlpm.v*_xlpm.w)
)</f>
        <v/>
      </c>
      <c r="CD27" s="93" t="str" cm="1">
        <f t="array" ref="CD27">_xlfn.LET(
  _xlpm.w, CD$11,
  _xlpm.r, MATCH(1,('3. Enter Indicator Scores'!$B$10:$B$161=$B27)*('3. Enter Indicator Scores'!$C$10:$C$161=$C27),0),
  _xlpm.c, MATCH(CD$8,'3. Enter Indicator Scores'!$D$8:$CZ$8,0),
  _xlpm.v, IFERROR(INDEX('3. Enter Indicator Scores'!$D$10:$CZ$161,_xlpm.r,_xlpm.c),""),
  IF(OR(_xlpm.w="",_xlpm.v=""),"",_xlpm.v*_xlpm.w)
)</f>
        <v/>
      </c>
      <c r="CE27" s="93" t="str" cm="1">
        <f t="array" ref="CE27">_xlfn.LET(
  _xlpm.w, CE$11,
  _xlpm.r, MATCH(1,('3. Enter Indicator Scores'!$B$10:$B$161=$B27)*('3. Enter Indicator Scores'!$C$10:$C$161=$C27),0),
  _xlpm.c, MATCH(CE$8,'3. Enter Indicator Scores'!$D$8:$CZ$8,0),
  _xlpm.v, IFERROR(INDEX('3. Enter Indicator Scores'!$D$10:$CZ$161,_xlpm.r,_xlpm.c),""),
  IF(OR(_xlpm.w="",_xlpm.v=""),"",_xlpm.v*_xlpm.w)
)</f>
        <v/>
      </c>
      <c r="CF27" s="93" t="str" cm="1">
        <f t="array" ref="CF27">_xlfn.LET(
  _xlpm.w, CF$11,
  _xlpm.r, MATCH(1,('3. Enter Indicator Scores'!$B$10:$B$161=$B27)*('3. Enter Indicator Scores'!$C$10:$C$161=$C27),0),
  _xlpm.c, MATCH(CF$8,'3. Enter Indicator Scores'!$D$8:$CZ$8,0),
  _xlpm.v, IFERROR(INDEX('3. Enter Indicator Scores'!$D$10:$CZ$161,_xlpm.r,_xlpm.c),""),
  IF(OR(_xlpm.w="",_xlpm.v=""),"",_xlpm.v*_xlpm.w)
)</f>
        <v/>
      </c>
      <c r="CG27" s="93" t="str" cm="1">
        <f t="array" ref="CG27">_xlfn.LET(
  _xlpm.w, CG$11,
  _xlpm.r, MATCH(1,('3. Enter Indicator Scores'!$B$10:$B$161=$B27)*('3. Enter Indicator Scores'!$C$10:$C$161=$C27),0),
  _xlpm.c, MATCH(CG$8,'3. Enter Indicator Scores'!$D$8:$CZ$8,0),
  _xlpm.v, IFERROR(INDEX('3. Enter Indicator Scores'!$D$10:$CZ$161,_xlpm.r,_xlpm.c),""),
  IF(OR(_xlpm.w="",_xlpm.v=""),"",_xlpm.v*_xlpm.w)
)</f>
        <v/>
      </c>
      <c r="CH27" s="93" t="str" cm="1">
        <f t="array" ref="CH27">_xlfn.LET(
  _xlpm.w, CH$11,
  _xlpm.r, MATCH(1,('3. Enter Indicator Scores'!$B$10:$B$161=$B27)*('3. Enter Indicator Scores'!$C$10:$C$161=$C27),0),
  _xlpm.c, MATCH(CH$8,'3. Enter Indicator Scores'!$D$8:$CZ$8,0),
  _xlpm.v, IFERROR(INDEX('3. Enter Indicator Scores'!$D$10:$CZ$161,_xlpm.r,_xlpm.c),""),
  IF(OR(_xlpm.w="",_xlpm.v=""),"",_xlpm.v*_xlpm.w)
)</f>
        <v/>
      </c>
      <c r="CI27" s="93" t="str" cm="1">
        <f t="array" ref="CI27">_xlfn.LET(
  _xlpm.w, CI$11,
  _xlpm.r, MATCH(1,('3. Enter Indicator Scores'!$B$10:$B$161=$B27)*('3. Enter Indicator Scores'!$C$10:$C$161=$C27),0),
  _xlpm.c, MATCH(CI$8,'3. Enter Indicator Scores'!$D$8:$CZ$8,0),
  _xlpm.v, IFERROR(INDEX('3. Enter Indicator Scores'!$D$10:$CZ$161,_xlpm.r,_xlpm.c),""),
  IF(OR(_xlpm.w="",_xlpm.v=""),"",_xlpm.v*_xlpm.w)
)</f>
        <v/>
      </c>
      <c r="CJ27" s="93" t="str" cm="1">
        <f t="array" ref="CJ27">_xlfn.LET(
  _xlpm.w, CJ$11,
  _xlpm.r, MATCH(1,('3. Enter Indicator Scores'!$B$10:$B$161=$B27)*('3. Enter Indicator Scores'!$C$10:$C$161=$C27),0),
  _xlpm.c, MATCH(CJ$8,'3. Enter Indicator Scores'!$D$8:$CZ$8,0),
  _xlpm.v, IFERROR(INDEX('3. Enter Indicator Scores'!$D$10:$CZ$161,_xlpm.r,_xlpm.c),""),
  IF(OR(_xlpm.w="",_xlpm.v=""),"",_xlpm.v*_xlpm.w)
)</f>
        <v/>
      </c>
      <c r="CK27" s="93" t="str" cm="1">
        <f t="array" ref="CK27">_xlfn.LET(
  _xlpm.w, CK$11,
  _xlpm.r, MATCH(1,('3. Enter Indicator Scores'!$B$10:$B$161=$B27)*('3. Enter Indicator Scores'!$C$10:$C$161=$C27),0),
  _xlpm.c, MATCH(CK$8,'3. Enter Indicator Scores'!$D$8:$CZ$8,0),
  _xlpm.v, IFERROR(INDEX('3. Enter Indicator Scores'!$D$10:$CZ$161,_xlpm.r,_xlpm.c),""),
  IF(OR(_xlpm.w="",_xlpm.v=""),"",_xlpm.v*_xlpm.w)
)</f>
        <v/>
      </c>
      <c r="CL27" s="93" t="str" cm="1">
        <f t="array" ref="CL27">_xlfn.LET(
  _xlpm.w, CL$11,
  _xlpm.r, MATCH(1,('3. Enter Indicator Scores'!$B$10:$B$161=$B27)*('3. Enter Indicator Scores'!$C$10:$C$161=$C27),0),
  _xlpm.c, MATCH(CL$8,'3. Enter Indicator Scores'!$D$8:$CZ$8,0),
  _xlpm.v, IFERROR(INDEX('3. Enter Indicator Scores'!$D$10:$CZ$161,_xlpm.r,_xlpm.c),""),
  IF(OR(_xlpm.w="",_xlpm.v=""),"",_xlpm.v*_xlpm.w)
)</f>
        <v/>
      </c>
      <c r="CM27" s="93" t="str" cm="1">
        <f t="array" ref="CM27">_xlfn.LET(
  _xlpm.w, CM$11,
  _xlpm.r, MATCH(1,('3. Enter Indicator Scores'!$B$10:$B$161=$B27)*('3. Enter Indicator Scores'!$C$10:$C$161=$C27),0),
  _xlpm.c, MATCH(CM$8,'3. Enter Indicator Scores'!$D$8:$CZ$8,0),
  _xlpm.v, IFERROR(INDEX('3. Enter Indicator Scores'!$D$10:$CZ$161,_xlpm.r,_xlpm.c),""),
  IF(OR(_xlpm.w="",_xlpm.v=""),"",_xlpm.v*_xlpm.w)
)</f>
        <v/>
      </c>
      <c r="CN27" s="93" t="str" cm="1">
        <f t="array" ref="CN27">_xlfn.LET(
  _xlpm.w, CN$11,
  _xlpm.r, MATCH(1,('3. Enter Indicator Scores'!$B$10:$B$161=$B27)*('3. Enter Indicator Scores'!$C$10:$C$161=$C27),0),
  _xlpm.c, MATCH(CN$8,'3. Enter Indicator Scores'!$D$8:$CZ$8,0),
  _xlpm.v, IFERROR(INDEX('3. Enter Indicator Scores'!$D$10:$CZ$161,_xlpm.r,_xlpm.c),""),
  IF(OR(_xlpm.w="",_xlpm.v=""),"",_xlpm.v*_xlpm.w)
)</f>
        <v/>
      </c>
      <c r="CO27" s="93" t="str" cm="1">
        <f t="array" ref="CO27">_xlfn.LET(
  _xlpm.w, CO$11,
  _xlpm.r, MATCH(1,('3. Enter Indicator Scores'!$B$10:$B$161=$B27)*('3. Enter Indicator Scores'!$C$10:$C$161=$C27),0),
  _xlpm.c, MATCH(CO$8,'3. Enter Indicator Scores'!$D$8:$CZ$8,0),
  _xlpm.v, IFERROR(INDEX('3. Enter Indicator Scores'!$D$10:$CZ$161,_xlpm.r,_xlpm.c),""),
  IF(OR(_xlpm.w="",_xlpm.v=""),"",_xlpm.v*_xlpm.w)
)</f>
        <v/>
      </c>
      <c r="CP27" s="93" t="str" cm="1">
        <f t="array" ref="CP27">_xlfn.LET(
  _xlpm.w, CP$11,
  _xlpm.r, MATCH(1,('3. Enter Indicator Scores'!$B$10:$B$161=$B27)*('3. Enter Indicator Scores'!$C$10:$C$161=$C27),0),
  _xlpm.c, MATCH(CP$8,'3. Enter Indicator Scores'!$D$8:$CZ$8,0),
  _xlpm.v, IFERROR(INDEX('3. Enter Indicator Scores'!$D$10:$CZ$161,_xlpm.r,_xlpm.c),""),
  IF(OR(_xlpm.w="",_xlpm.v=""),"",_xlpm.v*_xlpm.w)
)</f>
        <v/>
      </c>
      <c r="CQ27" s="93" t="str" cm="1">
        <f t="array" ref="CQ27">_xlfn.LET(
  _xlpm.w, CQ$11,
  _xlpm.r, MATCH(1,('3. Enter Indicator Scores'!$B$10:$B$161=$B27)*('3. Enter Indicator Scores'!$C$10:$C$161=$C27),0),
  _xlpm.c, MATCH(CQ$8,'3. Enter Indicator Scores'!$D$8:$CZ$8,0),
  _xlpm.v, IFERROR(INDEX('3. Enter Indicator Scores'!$D$10:$CZ$161,_xlpm.r,_xlpm.c),""),
  IF(OR(_xlpm.w="",_xlpm.v=""),"",_xlpm.v*_xlpm.w)
)</f>
        <v/>
      </c>
      <c r="CR27" s="93" t="str" cm="1">
        <f t="array" ref="CR27">_xlfn.LET(
  _xlpm.w, CR$11,
  _xlpm.r, MATCH(1,('3. Enter Indicator Scores'!$B$10:$B$161=$B27)*('3. Enter Indicator Scores'!$C$10:$C$161=$C27),0),
  _xlpm.c, MATCH(CR$8,'3. Enter Indicator Scores'!$D$8:$CZ$8,0),
  _xlpm.v, IFERROR(INDEX('3. Enter Indicator Scores'!$D$10:$CZ$161,_xlpm.r,_xlpm.c),""),
  IF(OR(_xlpm.w="",_xlpm.v=""),"",_xlpm.v*_xlpm.w)
)</f>
        <v/>
      </c>
      <c r="CS27" s="93" t="str" cm="1">
        <f t="array" ref="CS27">_xlfn.LET(
  _xlpm.w, CS$11,
  _xlpm.r, MATCH(1,('3. Enter Indicator Scores'!$B$10:$B$161=$B27)*('3. Enter Indicator Scores'!$C$10:$C$161=$C27),0),
  _xlpm.c, MATCH(CS$8,'3. Enter Indicator Scores'!$D$8:$CZ$8,0),
  _xlpm.v, IFERROR(INDEX('3. Enter Indicator Scores'!$D$10:$CZ$161,_xlpm.r,_xlpm.c),""),
  IF(OR(_xlpm.w="",_xlpm.v=""),"",_xlpm.v*_xlpm.w)
)</f>
        <v/>
      </c>
      <c r="CT27" s="93" t="str" cm="1">
        <f t="array" ref="CT27">_xlfn.LET(
  _xlpm.w, CT$11,
  _xlpm.r, MATCH(1,('3. Enter Indicator Scores'!$B$10:$B$161=$B27)*('3. Enter Indicator Scores'!$C$10:$C$161=$C27),0),
  _xlpm.c, MATCH(CT$8,'3. Enter Indicator Scores'!$D$8:$CZ$8,0),
  _xlpm.v, IFERROR(INDEX('3. Enter Indicator Scores'!$D$10:$CZ$161,_xlpm.r,_xlpm.c),""),
  IF(OR(_xlpm.w="",_xlpm.v=""),"",_xlpm.v*_xlpm.w)
)</f>
        <v/>
      </c>
      <c r="CU27" s="93" t="str" cm="1">
        <f t="array" ref="CU27">_xlfn.LET(
  _xlpm.w, CU$11,
  _xlpm.r, MATCH(1,('3. Enter Indicator Scores'!$B$10:$B$161=$B27)*('3. Enter Indicator Scores'!$C$10:$C$161=$C27),0),
  _xlpm.c, MATCH(CU$8,'3. Enter Indicator Scores'!$D$8:$CZ$8,0),
  _xlpm.v, IFERROR(INDEX('3. Enter Indicator Scores'!$D$10:$CZ$161,_xlpm.r,_xlpm.c),""),
  IF(OR(_xlpm.w="",_xlpm.v=""),"",_xlpm.v*_xlpm.w)
)</f>
        <v/>
      </c>
      <c r="CV27" s="93" t="str" cm="1">
        <f t="array" ref="CV27">_xlfn.LET(
  _xlpm.w, CV$11,
  _xlpm.r, MATCH(1,('3. Enter Indicator Scores'!$B$10:$B$161=$B27)*('3. Enter Indicator Scores'!$C$10:$C$161=$C27),0),
  _xlpm.c, MATCH(CV$8,'3. Enter Indicator Scores'!$D$8:$CZ$8,0),
  _xlpm.v, IFERROR(INDEX('3. Enter Indicator Scores'!$D$10:$CZ$161,_xlpm.r,_xlpm.c),""),
  IF(OR(_xlpm.w="",_xlpm.v=""),"",_xlpm.v*_xlpm.w)
)</f>
        <v/>
      </c>
      <c r="CW27" s="93" t="str" cm="1">
        <f t="array" ref="CW27">_xlfn.LET(
  _xlpm.w, CW$11,
  _xlpm.r, MATCH(1,('3. Enter Indicator Scores'!$B$10:$B$161=$B27)*('3. Enter Indicator Scores'!$C$10:$C$161=$C27),0),
  _xlpm.c, MATCH(CW$8,'3. Enter Indicator Scores'!$D$8:$CZ$8,0),
  _xlpm.v, IFERROR(INDEX('3. Enter Indicator Scores'!$D$10:$CZ$161,_xlpm.r,_xlpm.c),""),
  IF(OR(_xlpm.w="",_xlpm.v=""),"",_xlpm.v*_xlpm.w)
)</f>
        <v/>
      </c>
      <c r="CX27" s="93" t="str" cm="1">
        <f t="array" ref="CX27">_xlfn.LET(
  _xlpm.w, CX$11,
  _xlpm.r, MATCH(1,('3. Enter Indicator Scores'!$B$10:$B$161=$B27)*('3. Enter Indicator Scores'!$C$10:$C$161=$C27),0),
  _xlpm.c, MATCH(CX$8,'3. Enter Indicator Scores'!$D$8:$CZ$8,0),
  _xlpm.v, IFERROR(INDEX('3. Enter Indicator Scores'!$D$10:$CZ$161,_xlpm.r,_xlpm.c),""),
  IF(OR(_xlpm.w="",_xlpm.v=""),"",_xlpm.v*_xlpm.w)
)</f>
        <v/>
      </c>
      <c r="CY27" s="93" t="str" cm="1">
        <f t="array" ref="CY27">_xlfn.LET(
  _xlpm.w, CY$11,
  _xlpm.r, MATCH(1,('3. Enter Indicator Scores'!$B$10:$B$161=$B27)*('3. Enter Indicator Scores'!$C$10:$C$161=$C27),0),
  _xlpm.c, MATCH(CY$8,'3. Enter Indicator Scores'!$D$8:$CZ$8,0),
  _xlpm.v, IFERROR(INDEX('3. Enter Indicator Scores'!$D$10:$CZ$161,_xlpm.r,_xlpm.c),""),
  IF(OR(_xlpm.w="",_xlpm.v=""),"",_xlpm.v*_xlpm.w)
)</f>
        <v/>
      </c>
      <c r="CZ27" s="93" t="str" cm="1">
        <f t="array" ref="CZ27">_xlfn.LET(
  _xlpm.w, CZ$11,
  _xlpm.r, MATCH(1,('3. Enter Indicator Scores'!$B$10:$B$161=$B27)*('3. Enter Indicator Scores'!$C$10:$C$161=$C27),0),
  _xlpm.c, MATCH(CZ$8,'3. Enter Indicator Scores'!$D$8:$CZ$8,0),
  _xlpm.v, IFERROR(INDEX('3. Enter Indicator Scores'!$D$10:$CZ$161,_xlpm.r,_xlpm.c),""),
  IF(OR(_xlpm.w="",_xlpm.v=""),"",_xlpm.v*_xlpm.w)
)</f>
        <v/>
      </c>
    </row>
    <row r="28" spans="1:104" x14ac:dyDescent="0.2">
      <c r="A28" s="11"/>
      <c r="D28" s="93" t="str" cm="1">
        <f t="array" ref="D28">_xlfn.LET(
  _xlpm.w, D$11,
  _xlpm.r, MATCH(1,('3. Enter Indicator Scores'!$B$10:$B$161=$B28)*('3. Enter Indicator Scores'!$C$10:$C$161=$C28),0),
  _xlpm.c, MATCH(D$8,'3. Enter Indicator Scores'!$D$8:$CZ$8,0),
  _xlpm.v, IFERROR(INDEX('3. Enter Indicator Scores'!$D$10:$CZ$161,_xlpm.r,_xlpm.c),""),
  IF(OR(_xlpm.w="",_xlpm.v=""),"",_xlpm.v*_xlpm.w)
)</f>
        <v/>
      </c>
      <c r="E28" s="93" t="str" cm="1">
        <f t="array" ref="E28">_xlfn.LET(
  _xlpm.w, E$11,
  _xlpm.r, MATCH(1,('3. Enter Indicator Scores'!$B$10:$B$161=$B28)*('3. Enter Indicator Scores'!$C$10:$C$161=$C28),0),
  _xlpm.c, MATCH(E$8,'3. Enter Indicator Scores'!$D$8:$CZ$8,0),
  _xlpm.v, IFERROR(INDEX('3. Enter Indicator Scores'!$D$10:$CZ$161,_xlpm.r,_xlpm.c),""),
  IF(OR(_xlpm.w="",_xlpm.v=""),"",_xlpm.v*_xlpm.w)
)</f>
        <v/>
      </c>
      <c r="F28" s="93" t="str" cm="1">
        <f t="array" ref="F28">_xlfn.LET(
  _xlpm.w, F$11,
  _xlpm.r, MATCH(1,('3. Enter Indicator Scores'!$B$10:$B$161=$B28)*('3. Enter Indicator Scores'!$C$10:$C$161=$C28),0),
  _xlpm.c, MATCH(F$8,'3. Enter Indicator Scores'!$D$8:$CZ$8,0),
  _xlpm.v, IFERROR(INDEX('3. Enter Indicator Scores'!$D$10:$CZ$161,_xlpm.r,_xlpm.c),""),
  IF(OR(_xlpm.w="",_xlpm.v=""),"",_xlpm.v*_xlpm.w)
)</f>
        <v/>
      </c>
      <c r="G28" s="93" t="str" cm="1">
        <f t="array" ref="G28">_xlfn.LET(
  _xlpm.w, G$11,
  _xlpm.r, MATCH(1,('3. Enter Indicator Scores'!$B$10:$B$161=$B28)*('3. Enter Indicator Scores'!$C$10:$C$161=$C28),0),
  _xlpm.c, MATCH(G$8,'3. Enter Indicator Scores'!$D$8:$CZ$8,0),
  _xlpm.v, IFERROR(INDEX('3. Enter Indicator Scores'!$D$10:$CZ$161,_xlpm.r,_xlpm.c),""),
  IF(OR(_xlpm.w="",_xlpm.v=""),"",_xlpm.v*_xlpm.w)
)</f>
        <v/>
      </c>
      <c r="H28" s="93" t="str" cm="1">
        <f t="array" ref="H28">_xlfn.LET(
  _xlpm.w, H$11,
  _xlpm.r, MATCH(1,('3. Enter Indicator Scores'!$B$10:$B$161=$B28)*('3. Enter Indicator Scores'!$C$10:$C$161=$C28),0),
  _xlpm.c, MATCH(H$8,'3. Enter Indicator Scores'!$D$8:$CZ$8,0),
  _xlpm.v, IFERROR(INDEX('3. Enter Indicator Scores'!$D$10:$CZ$161,_xlpm.r,_xlpm.c),""),
  IF(OR(_xlpm.w="",_xlpm.v=""),"",_xlpm.v*_xlpm.w)
)</f>
        <v/>
      </c>
      <c r="I28" s="93" t="str" cm="1">
        <f t="array" ref="I28">_xlfn.LET(
  _xlpm.w, I$11,
  _xlpm.r, MATCH(1,('3. Enter Indicator Scores'!$B$10:$B$161=$B28)*('3. Enter Indicator Scores'!$C$10:$C$161=$C28),0),
  _xlpm.c, MATCH(I$8,'3. Enter Indicator Scores'!$D$8:$CZ$8,0),
  _xlpm.v, IFERROR(INDEX('3. Enter Indicator Scores'!$D$10:$CZ$161,_xlpm.r,_xlpm.c),""),
  IF(OR(_xlpm.w="",_xlpm.v=""),"",_xlpm.v*_xlpm.w)
)</f>
        <v/>
      </c>
      <c r="J28" s="93" t="str" cm="1">
        <f t="array" ref="J28">_xlfn.LET(
  _xlpm.w, J$11,
  _xlpm.r, MATCH(1,('3. Enter Indicator Scores'!$B$10:$B$161=$B28)*('3. Enter Indicator Scores'!$C$10:$C$161=$C28),0),
  _xlpm.c, MATCH(J$8,'3. Enter Indicator Scores'!$D$8:$CZ$8,0),
  _xlpm.v, IFERROR(INDEX('3. Enter Indicator Scores'!$D$10:$CZ$161,_xlpm.r,_xlpm.c),""),
  IF(OR(_xlpm.w="",_xlpm.v=""),"",_xlpm.v*_xlpm.w)
)</f>
        <v/>
      </c>
      <c r="K28" s="93" t="str" cm="1">
        <f t="array" ref="K28">_xlfn.LET(
  _xlpm.w, K$11,
  _xlpm.r, MATCH(1,('3. Enter Indicator Scores'!$B$10:$B$161=$B28)*('3. Enter Indicator Scores'!$C$10:$C$161=$C28),0),
  _xlpm.c, MATCH(K$8,'3. Enter Indicator Scores'!$D$8:$CZ$8,0),
  _xlpm.v, IFERROR(INDEX('3. Enter Indicator Scores'!$D$10:$CZ$161,_xlpm.r,_xlpm.c),""),
  IF(OR(_xlpm.w="",_xlpm.v=""),"",_xlpm.v*_xlpm.w)
)</f>
        <v/>
      </c>
      <c r="L28" s="93" t="str" cm="1">
        <f t="array" ref="L28">_xlfn.LET(
  _xlpm.w, L$11,
  _xlpm.r, MATCH(1,('3. Enter Indicator Scores'!$B$10:$B$161=$B28)*('3. Enter Indicator Scores'!$C$10:$C$161=$C28),0),
  _xlpm.c, MATCH(L$8,'3. Enter Indicator Scores'!$D$8:$CZ$8,0),
  _xlpm.v, IFERROR(INDEX('3. Enter Indicator Scores'!$D$10:$CZ$161,_xlpm.r,_xlpm.c),""),
  IF(OR(_xlpm.w="",_xlpm.v=""),"",_xlpm.v*_xlpm.w)
)</f>
        <v/>
      </c>
      <c r="M28" s="93" t="str" cm="1">
        <f t="array" ref="M28">_xlfn.LET(
  _xlpm.w, M$11,
  _xlpm.r, MATCH(1,('3. Enter Indicator Scores'!$B$10:$B$161=$B28)*('3. Enter Indicator Scores'!$C$10:$C$161=$C28),0),
  _xlpm.c, MATCH(M$8,'3. Enter Indicator Scores'!$D$8:$CZ$8,0),
  _xlpm.v, IFERROR(INDEX('3. Enter Indicator Scores'!$D$10:$CZ$161,_xlpm.r,_xlpm.c),""),
  IF(OR(_xlpm.w="",_xlpm.v=""),"",_xlpm.v*_xlpm.w)
)</f>
        <v/>
      </c>
      <c r="N28" s="93" t="str" cm="1">
        <f t="array" ref="N28">_xlfn.LET(
  _xlpm.w, N$11,
  _xlpm.r, MATCH(1,('3. Enter Indicator Scores'!$B$10:$B$161=$B28)*('3. Enter Indicator Scores'!$C$10:$C$161=$C28),0),
  _xlpm.c, MATCH(N$8,'3. Enter Indicator Scores'!$D$8:$CZ$8,0),
  _xlpm.v, IFERROR(INDEX('3. Enter Indicator Scores'!$D$10:$CZ$161,_xlpm.r,_xlpm.c),""),
  IF(OR(_xlpm.w="",_xlpm.v=""),"",_xlpm.v*_xlpm.w)
)</f>
        <v/>
      </c>
      <c r="O28" s="93" t="str" cm="1">
        <f t="array" ref="O28">_xlfn.LET(
  _xlpm.w, O$11,
  _xlpm.r, MATCH(1,('3. Enter Indicator Scores'!$B$10:$B$161=$B28)*('3. Enter Indicator Scores'!$C$10:$C$161=$C28),0),
  _xlpm.c, MATCH(O$8,'3. Enter Indicator Scores'!$D$8:$CZ$8,0),
  _xlpm.v, IFERROR(INDEX('3. Enter Indicator Scores'!$D$10:$CZ$161,_xlpm.r,_xlpm.c),""),
  IF(OR(_xlpm.w="",_xlpm.v=""),"",_xlpm.v*_xlpm.w)
)</f>
        <v/>
      </c>
      <c r="P28" s="93" t="str" cm="1">
        <f t="array" ref="P28">_xlfn.LET(
  _xlpm.w, P$11,
  _xlpm.r, MATCH(1,('3. Enter Indicator Scores'!$B$10:$B$161=$B28)*('3. Enter Indicator Scores'!$C$10:$C$161=$C28),0),
  _xlpm.c, MATCH(P$8,'3. Enter Indicator Scores'!$D$8:$CZ$8,0),
  _xlpm.v, IFERROR(INDEX('3. Enter Indicator Scores'!$D$10:$CZ$161,_xlpm.r,_xlpm.c),""),
  IF(OR(_xlpm.w="",_xlpm.v=""),"",_xlpm.v*_xlpm.w)
)</f>
        <v/>
      </c>
      <c r="Q28" s="93" t="str" cm="1">
        <f t="array" ref="Q28">_xlfn.LET(
  _xlpm.w, Q$11,
  _xlpm.r, MATCH(1,('3. Enter Indicator Scores'!$B$10:$B$161=$B28)*('3. Enter Indicator Scores'!$C$10:$C$161=$C28),0),
  _xlpm.c, MATCH(Q$8,'3. Enter Indicator Scores'!$D$8:$CZ$8,0),
  _xlpm.v, IFERROR(INDEX('3. Enter Indicator Scores'!$D$10:$CZ$161,_xlpm.r,_xlpm.c),""),
  IF(OR(_xlpm.w="",_xlpm.v=""),"",_xlpm.v*_xlpm.w)
)</f>
        <v/>
      </c>
      <c r="R28" s="93" t="str" cm="1">
        <f t="array" ref="R28">_xlfn.LET(
  _xlpm.w, R$11,
  _xlpm.r, MATCH(1,('3. Enter Indicator Scores'!$B$10:$B$161=$B28)*('3. Enter Indicator Scores'!$C$10:$C$161=$C28),0),
  _xlpm.c, MATCH(R$8,'3. Enter Indicator Scores'!$D$8:$CZ$8,0),
  _xlpm.v, IFERROR(INDEX('3. Enter Indicator Scores'!$D$10:$CZ$161,_xlpm.r,_xlpm.c),""),
  IF(OR(_xlpm.w="",_xlpm.v=""),"",_xlpm.v*_xlpm.w)
)</f>
        <v/>
      </c>
      <c r="S28" s="93" t="str" cm="1">
        <f t="array" ref="S28">_xlfn.LET(
  _xlpm.w, S$11,
  _xlpm.r, MATCH(1,('3. Enter Indicator Scores'!$B$10:$B$161=$B28)*('3. Enter Indicator Scores'!$C$10:$C$161=$C28),0),
  _xlpm.c, MATCH(S$8,'3. Enter Indicator Scores'!$D$8:$CZ$8,0),
  _xlpm.v, IFERROR(INDEX('3. Enter Indicator Scores'!$D$10:$CZ$161,_xlpm.r,_xlpm.c),""),
  IF(OR(_xlpm.w="",_xlpm.v=""),"",_xlpm.v*_xlpm.w)
)</f>
        <v/>
      </c>
      <c r="T28" s="93" t="str" cm="1">
        <f t="array" ref="T28">_xlfn.LET(
  _xlpm.w, T$11,
  _xlpm.r, MATCH(1,('3. Enter Indicator Scores'!$B$10:$B$161=$B28)*('3. Enter Indicator Scores'!$C$10:$C$161=$C28),0),
  _xlpm.c, MATCH(T$8,'3. Enter Indicator Scores'!$D$8:$CZ$8,0),
  _xlpm.v, IFERROR(INDEX('3. Enter Indicator Scores'!$D$10:$CZ$161,_xlpm.r,_xlpm.c),""),
  IF(OR(_xlpm.w="",_xlpm.v=""),"",_xlpm.v*_xlpm.w)
)</f>
        <v/>
      </c>
      <c r="U28" s="93" t="str" cm="1">
        <f t="array" ref="U28">_xlfn.LET(
  _xlpm.w, U$11,
  _xlpm.r, MATCH(1,('3. Enter Indicator Scores'!$B$10:$B$161=$B28)*('3. Enter Indicator Scores'!$C$10:$C$161=$C28),0),
  _xlpm.c, MATCH(U$8,'3. Enter Indicator Scores'!$D$8:$CZ$8,0),
  _xlpm.v, IFERROR(INDEX('3. Enter Indicator Scores'!$D$10:$CZ$161,_xlpm.r,_xlpm.c),""),
  IF(OR(_xlpm.w="",_xlpm.v=""),"",_xlpm.v*_xlpm.w)
)</f>
        <v/>
      </c>
      <c r="V28" s="93" t="str" cm="1">
        <f t="array" ref="V28">_xlfn.LET(
  _xlpm.w, V$11,
  _xlpm.r, MATCH(1,('3. Enter Indicator Scores'!$B$10:$B$161=$B28)*('3. Enter Indicator Scores'!$C$10:$C$161=$C28),0),
  _xlpm.c, MATCH(V$8,'3. Enter Indicator Scores'!$D$8:$CZ$8,0),
  _xlpm.v, IFERROR(INDEX('3. Enter Indicator Scores'!$D$10:$CZ$161,_xlpm.r,_xlpm.c),""),
  IF(OR(_xlpm.w="",_xlpm.v=""),"",_xlpm.v*_xlpm.w)
)</f>
        <v/>
      </c>
      <c r="W28" s="93" t="str" cm="1">
        <f t="array" ref="W28">_xlfn.LET(
  _xlpm.w, W$11,
  _xlpm.r, MATCH(1,('3. Enter Indicator Scores'!$B$10:$B$161=$B28)*('3. Enter Indicator Scores'!$C$10:$C$161=$C28),0),
  _xlpm.c, MATCH(W$8,'3. Enter Indicator Scores'!$D$8:$CZ$8,0),
  _xlpm.v, IFERROR(INDEX('3. Enter Indicator Scores'!$D$10:$CZ$161,_xlpm.r,_xlpm.c),""),
  IF(OR(_xlpm.w="",_xlpm.v=""),"",_xlpm.v*_xlpm.w)
)</f>
        <v/>
      </c>
      <c r="X28" s="93" t="str" cm="1">
        <f t="array" ref="X28">_xlfn.LET(
  _xlpm.w, X$11,
  _xlpm.r, MATCH(1,('3. Enter Indicator Scores'!$B$10:$B$161=$B28)*('3. Enter Indicator Scores'!$C$10:$C$161=$C28),0),
  _xlpm.c, MATCH(X$8,'3. Enter Indicator Scores'!$D$8:$CZ$8,0),
  _xlpm.v, IFERROR(INDEX('3. Enter Indicator Scores'!$D$10:$CZ$161,_xlpm.r,_xlpm.c),""),
  IF(OR(_xlpm.w="",_xlpm.v=""),"",_xlpm.v*_xlpm.w)
)</f>
        <v/>
      </c>
      <c r="Y28" s="93" t="str" cm="1">
        <f t="array" ref="Y28">_xlfn.LET(
  _xlpm.w, Y$11,
  _xlpm.r, MATCH(1,('3. Enter Indicator Scores'!$B$10:$B$161=$B28)*('3. Enter Indicator Scores'!$C$10:$C$161=$C28),0),
  _xlpm.c, MATCH(Y$8,'3. Enter Indicator Scores'!$D$8:$CZ$8,0),
  _xlpm.v, IFERROR(INDEX('3. Enter Indicator Scores'!$D$10:$CZ$161,_xlpm.r,_xlpm.c),""),
  IF(OR(_xlpm.w="",_xlpm.v=""),"",_xlpm.v*_xlpm.w)
)</f>
        <v/>
      </c>
      <c r="Z28" s="93" t="str" cm="1">
        <f t="array" ref="Z28">_xlfn.LET(
  _xlpm.w, Z$11,
  _xlpm.r, MATCH(1,('3. Enter Indicator Scores'!$B$10:$B$161=$B28)*('3. Enter Indicator Scores'!$C$10:$C$161=$C28),0),
  _xlpm.c, MATCH(Z$8,'3. Enter Indicator Scores'!$D$8:$CZ$8,0),
  _xlpm.v, IFERROR(INDEX('3. Enter Indicator Scores'!$D$10:$CZ$161,_xlpm.r,_xlpm.c),""),
  IF(OR(_xlpm.w="",_xlpm.v=""),"",_xlpm.v*_xlpm.w)
)</f>
        <v/>
      </c>
      <c r="AA28" s="93" t="str" cm="1">
        <f t="array" ref="AA28">_xlfn.LET(
  _xlpm.w, AA$11,
  _xlpm.r, MATCH(1,('3. Enter Indicator Scores'!$B$10:$B$161=$B28)*('3. Enter Indicator Scores'!$C$10:$C$161=$C28),0),
  _xlpm.c, MATCH(AA$8,'3. Enter Indicator Scores'!$D$8:$CZ$8,0),
  _xlpm.v, IFERROR(INDEX('3. Enter Indicator Scores'!$D$10:$CZ$161,_xlpm.r,_xlpm.c),""),
  IF(OR(_xlpm.w="",_xlpm.v=""),"",_xlpm.v*_xlpm.w)
)</f>
        <v/>
      </c>
      <c r="AB28" s="93" t="str" cm="1">
        <f t="array" ref="AB28">_xlfn.LET(
  _xlpm.w, AB$11,
  _xlpm.r, MATCH(1,('3. Enter Indicator Scores'!$B$10:$B$161=$B28)*('3. Enter Indicator Scores'!$C$10:$C$161=$C28),0),
  _xlpm.c, MATCH(AB$8,'3. Enter Indicator Scores'!$D$8:$CZ$8,0),
  _xlpm.v, IFERROR(INDEX('3. Enter Indicator Scores'!$D$10:$CZ$161,_xlpm.r,_xlpm.c),""),
  IF(OR(_xlpm.w="",_xlpm.v=""),"",_xlpm.v*_xlpm.w)
)</f>
        <v/>
      </c>
      <c r="AC28" s="93" t="str" cm="1">
        <f t="array" ref="AC28">_xlfn.LET(
  _xlpm.w, AC$11,
  _xlpm.r, MATCH(1,('3. Enter Indicator Scores'!$B$10:$B$161=$B28)*('3. Enter Indicator Scores'!$C$10:$C$161=$C28),0),
  _xlpm.c, MATCH(AC$8,'3. Enter Indicator Scores'!$D$8:$CZ$8,0),
  _xlpm.v, IFERROR(INDEX('3. Enter Indicator Scores'!$D$10:$CZ$161,_xlpm.r,_xlpm.c),""),
  IF(OR(_xlpm.w="",_xlpm.v=""),"",_xlpm.v*_xlpm.w)
)</f>
        <v/>
      </c>
      <c r="AD28" s="93" t="str" cm="1">
        <f t="array" ref="AD28">_xlfn.LET(
  _xlpm.w, AD$11,
  _xlpm.r, MATCH(1,('3. Enter Indicator Scores'!$B$10:$B$161=$B28)*('3. Enter Indicator Scores'!$C$10:$C$161=$C28),0),
  _xlpm.c, MATCH(AD$8,'3. Enter Indicator Scores'!$D$8:$CZ$8,0),
  _xlpm.v, IFERROR(INDEX('3. Enter Indicator Scores'!$D$10:$CZ$161,_xlpm.r,_xlpm.c),""),
  IF(OR(_xlpm.w="",_xlpm.v=""),"",_xlpm.v*_xlpm.w)
)</f>
        <v/>
      </c>
      <c r="AE28" s="93" t="str" cm="1">
        <f t="array" ref="AE28">_xlfn.LET(
  _xlpm.w, AE$11,
  _xlpm.r, MATCH(1,('3. Enter Indicator Scores'!$B$10:$B$161=$B28)*('3. Enter Indicator Scores'!$C$10:$C$161=$C28),0),
  _xlpm.c, MATCH(AE$8,'3. Enter Indicator Scores'!$D$8:$CZ$8,0),
  _xlpm.v, IFERROR(INDEX('3. Enter Indicator Scores'!$D$10:$CZ$161,_xlpm.r,_xlpm.c),""),
  IF(OR(_xlpm.w="",_xlpm.v=""),"",_xlpm.v*_xlpm.w)
)</f>
        <v/>
      </c>
      <c r="AF28" s="93" t="str" cm="1">
        <f t="array" ref="AF28">_xlfn.LET(
  _xlpm.w, AF$11,
  _xlpm.r, MATCH(1,('3. Enter Indicator Scores'!$B$10:$B$161=$B28)*('3. Enter Indicator Scores'!$C$10:$C$161=$C28),0),
  _xlpm.c, MATCH(AF$8,'3. Enter Indicator Scores'!$D$8:$CZ$8,0),
  _xlpm.v, IFERROR(INDEX('3. Enter Indicator Scores'!$D$10:$CZ$161,_xlpm.r,_xlpm.c),""),
  IF(OR(_xlpm.w="",_xlpm.v=""),"",_xlpm.v*_xlpm.w)
)</f>
        <v/>
      </c>
      <c r="AG28" s="93" t="str" cm="1">
        <f t="array" ref="AG28">_xlfn.LET(
  _xlpm.w, AG$11,
  _xlpm.r, MATCH(1,('3. Enter Indicator Scores'!$B$10:$B$161=$B28)*('3. Enter Indicator Scores'!$C$10:$C$161=$C28),0),
  _xlpm.c, MATCH(AG$8,'3. Enter Indicator Scores'!$D$8:$CZ$8,0),
  _xlpm.v, IFERROR(INDEX('3. Enter Indicator Scores'!$D$10:$CZ$161,_xlpm.r,_xlpm.c),""),
  IF(OR(_xlpm.w="",_xlpm.v=""),"",_xlpm.v*_xlpm.w)
)</f>
        <v/>
      </c>
      <c r="AH28" s="93" t="str" cm="1">
        <f t="array" ref="AH28">_xlfn.LET(
  _xlpm.w, AH$11,
  _xlpm.r, MATCH(1,('3. Enter Indicator Scores'!$B$10:$B$161=$B28)*('3. Enter Indicator Scores'!$C$10:$C$161=$C28),0),
  _xlpm.c, MATCH(AH$8,'3. Enter Indicator Scores'!$D$8:$CZ$8,0),
  _xlpm.v, IFERROR(INDEX('3. Enter Indicator Scores'!$D$10:$CZ$161,_xlpm.r,_xlpm.c),""),
  IF(OR(_xlpm.w="",_xlpm.v=""),"",_xlpm.v*_xlpm.w)
)</f>
        <v/>
      </c>
      <c r="AI28" s="93" t="str" cm="1">
        <f t="array" ref="AI28">_xlfn.LET(
  _xlpm.w, AI$11,
  _xlpm.r, MATCH(1,('3. Enter Indicator Scores'!$B$10:$B$161=$B28)*('3. Enter Indicator Scores'!$C$10:$C$161=$C28),0),
  _xlpm.c, MATCH(AI$8,'3. Enter Indicator Scores'!$D$8:$CZ$8,0),
  _xlpm.v, IFERROR(INDEX('3. Enter Indicator Scores'!$D$10:$CZ$161,_xlpm.r,_xlpm.c),""),
  IF(OR(_xlpm.w="",_xlpm.v=""),"",_xlpm.v*_xlpm.w)
)</f>
        <v/>
      </c>
      <c r="AJ28" s="93" t="str" cm="1">
        <f t="array" ref="AJ28">_xlfn.LET(
  _xlpm.w, AJ$11,
  _xlpm.r, MATCH(1,('3. Enter Indicator Scores'!$B$10:$B$161=$B28)*('3. Enter Indicator Scores'!$C$10:$C$161=$C28),0),
  _xlpm.c, MATCH(AJ$8,'3. Enter Indicator Scores'!$D$8:$CZ$8,0),
  _xlpm.v, IFERROR(INDEX('3. Enter Indicator Scores'!$D$10:$CZ$161,_xlpm.r,_xlpm.c),""),
  IF(OR(_xlpm.w="",_xlpm.v=""),"",_xlpm.v*_xlpm.w)
)</f>
        <v/>
      </c>
      <c r="AK28" s="93" t="str" cm="1">
        <f t="array" ref="AK28">_xlfn.LET(
  _xlpm.w, AK$11,
  _xlpm.r, MATCH(1,('3. Enter Indicator Scores'!$B$10:$B$161=$B28)*('3. Enter Indicator Scores'!$C$10:$C$161=$C28),0),
  _xlpm.c, MATCH(AK$8,'3. Enter Indicator Scores'!$D$8:$CZ$8,0),
  _xlpm.v, IFERROR(INDEX('3. Enter Indicator Scores'!$D$10:$CZ$161,_xlpm.r,_xlpm.c),""),
  IF(OR(_xlpm.w="",_xlpm.v=""),"",_xlpm.v*_xlpm.w)
)</f>
        <v/>
      </c>
      <c r="AL28" s="93" t="str" cm="1">
        <f t="array" ref="AL28">_xlfn.LET(
  _xlpm.w, AL$11,
  _xlpm.r, MATCH(1,('3. Enter Indicator Scores'!$B$10:$B$161=$B28)*('3. Enter Indicator Scores'!$C$10:$C$161=$C28),0),
  _xlpm.c, MATCH(AL$8,'3. Enter Indicator Scores'!$D$8:$CZ$8,0),
  _xlpm.v, IFERROR(INDEX('3. Enter Indicator Scores'!$D$10:$CZ$161,_xlpm.r,_xlpm.c),""),
  IF(OR(_xlpm.w="",_xlpm.v=""),"",_xlpm.v*_xlpm.w)
)</f>
        <v/>
      </c>
      <c r="AM28" s="93" t="str" cm="1">
        <f t="array" ref="AM28">_xlfn.LET(
  _xlpm.w, AM$11,
  _xlpm.r, MATCH(1,('3. Enter Indicator Scores'!$B$10:$B$161=$B28)*('3. Enter Indicator Scores'!$C$10:$C$161=$C28),0),
  _xlpm.c, MATCH(AM$8,'3. Enter Indicator Scores'!$D$8:$CZ$8,0),
  _xlpm.v, IFERROR(INDEX('3. Enter Indicator Scores'!$D$10:$CZ$161,_xlpm.r,_xlpm.c),""),
  IF(OR(_xlpm.w="",_xlpm.v=""),"",_xlpm.v*_xlpm.w)
)</f>
        <v/>
      </c>
      <c r="AN28" s="93" t="str" cm="1">
        <f t="array" ref="AN28">_xlfn.LET(
  _xlpm.w, AN$11,
  _xlpm.r, MATCH(1,('3. Enter Indicator Scores'!$B$10:$B$161=$B28)*('3. Enter Indicator Scores'!$C$10:$C$161=$C28),0),
  _xlpm.c, MATCH(AN$8,'3. Enter Indicator Scores'!$D$8:$CZ$8,0),
  _xlpm.v, IFERROR(INDEX('3. Enter Indicator Scores'!$D$10:$CZ$161,_xlpm.r,_xlpm.c),""),
  IF(OR(_xlpm.w="",_xlpm.v=""),"",_xlpm.v*_xlpm.w)
)</f>
        <v/>
      </c>
      <c r="AO28" s="93" t="str" cm="1">
        <f t="array" ref="AO28">_xlfn.LET(
  _xlpm.w, AO$11,
  _xlpm.r, MATCH(1,('3. Enter Indicator Scores'!$B$10:$B$161=$B28)*('3. Enter Indicator Scores'!$C$10:$C$161=$C28),0),
  _xlpm.c, MATCH(AO$8,'3. Enter Indicator Scores'!$D$8:$CZ$8,0),
  _xlpm.v, IFERROR(INDEX('3. Enter Indicator Scores'!$D$10:$CZ$161,_xlpm.r,_xlpm.c),""),
  IF(OR(_xlpm.w="",_xlpm.v=""),"",_xlpm.v*_xlpm.w)
)</f>
        <v/>
      </c>
      <c r="AP28" s="93" t="str" cm="1">
        <f t="array" ref="AP28">_xlfn.LET(
  _xlpm.w, AP$11,
  _xlpm.r, MATCH(1,('3. Enter Indicator Scores'!$B$10:$B$161=$B28)*('3. Enter Indicator Scores'!$C$10:$C$161=$C28),0),
  _xlpm.c, MATCH(AP$8,'3. Enter Indicator Scores'!$D$8:$CZ$8,0),
  _xlpm.v, IFERROR(INDEX('3. Enter Indicator Scores'!$D$10:$CZ$161,_xlpm.r,_xlpm.c),""),
  IF(OR(_xlpm.w="",_xlpm.v=""),"",_xlpm.v*_xlpm.w)
)</f>
        <v/>
      </c>
      <c r="AQ28" s="93" t="str" cm="1">
        <f t="array" ref="AQ28">_xlfn.LET(
  _xlpm.w, AQ$11,
  _xlpm.r, MATCH(1,('3. Enter Indicator Scores'!$B$10:$B$161=$B28)*('3. Enter Indicator Scores'!$C$10:$C$161=$C28),0),
  _xlpm.c, MATCH(AQ$8,'3. Enter Indicator Scores'!$D$8:$CZ$8,0),
  _xlpm.v, IFERROR(INDEX('3. Enter Indicator Scores'!$D$10:$CZ$161,_xlpm.r,_xlpm.c),""),
  IF(OR(_xlpm.w="",_xlpm.v=""),"",_xlpm.v*_xlpm.w)
)</f>
        <v/>
      </c>
      <c r="AR28" s="93" t="str" cm="1">
        <f t="array" ref="AR28">_xlfn.LET(
  _xlpm.w, AR$11,
  _xlpm.r, MATCH(1,('3. Enter Indicator Scores'!$B$10:$B$161=$B28)*('3. Enter Indicator Scores'!$C$10:$C$161=$C28),0),
  _xlpm.c, MATCH(AR$8,'3. Enter Indicator Scores'!$D$8:$CZ$8,0),
  _xlpm.v, IFERROR(INDEX('3. Enter Indicator Scores'!$D$10:$CZ$161,_xlpm.r,_xlpm.c),""),
  IF(OR(_xlpm.w="",_xlpm.v=""),"",_xlpm.v*_xlpm.w)
)</f>
        <v/>
      </c>
      <c r="AS28" s="93" t="str" cm="1">
        <f t="array" ref="AS28">_xlfn.LET(
  _xlpm.w, AS$11,
  _xlpm.r, MATCH(1,('3. Enter Indicator Scores'!$B$10:$B$161=$B28)*('3. Enter Indicator Scores'!$C$10:$C$161=$C28),0),
  _xlpm.c, MATCH(AS$8,'3. Enter Indicator Scores'!$D$8:$CZ$8,0),
  _xlpm.v, IFERROR(INDEX('3. Enter Indicator Scores'!$D$10:$CZ$161,_xlpm.r,_xlpm.c),""),
  IF(OR(_xlpm.w="",_xlpm.v=""),"",_xlpm.v*_xlpm.w)
)</f>
        <v/>
      </c>
      <c r="AT28" s="93" t="str" cm="1">
        <f t="array" ref="AT28">_xlfn.LET(
  _xlpm.w, AT$11,
  _xlpm.r, MATCH(1,('3. Enter Indicator Scores'!$B$10:$B$161=$B28)*('3. Enter Indicator Scores'!$C$10:$C$161=$C28),0),
  _xlpm.c, MATCH(AT$8,'3. Enter Indicator Scores'!$D$8:$CZ$8,0),
  _xlpm.v, IFERROR(INDEX('3. Enter Indicator Scores'!$D$10:$CZ$161,_xlpm.r,_xlpm.c),""),
  IF(OR(_xlpm.w="",_xlpm.v=""),"",_xlpm.v*_xlpm.w)
)</f>
        <v/>
      </c>
      <c r="AU28" s="93" t="str" cm="1">
        <f t="array" ref="AU28">_xlfn.LET(
  _xlpm.w, AU$11,
  _xlpm.r, MATCH(1,('3. Enter Indicator Scores'!$B$10:$B$161=$B28)*('3. Enter Indicator Scores'!$C$10:$C$161=$C28),0),
  _xlpm.c, MATCH(AU$8,'3. Enter Indicator Scores'!$D$8:$CZ$8,0),
  _xlpm.v, IFERROR(INDEX('3. Enter Indicator Scores'!$D$10:$CZ$161,_xlpm.r,_xlpm.c),""),
  IF(OR(_xlpm.w="",_xlpm.v=""),"",_xlpm.v*_xlpm.w)
)</f>
        <v/>
      </c>
      <c r="AV28" s="93" t="str" cm="1">
        <f t="array" ref="AV28">_xlfn.LET(
  _xlpm.w, AV$11,
  _xlpm.r, MATCH(1,('3. Enter Indicator Scores'!$B$10:$B$161=$B28)*('3. Enter Indicator Scores'!$C$10:$C$161=$C28),0),
  _xlpm.c, MATCH(AV$8,'3. Enter Indicator Scores'!$D$8:$CZ$8,0),
  _xlpm.v, IFERROR(INDEX('3. Enter Indicator Scores'!$D$10:$CZ$161,_xlpm.r,_xlpm.c),""),
  IF(OR(_xlpm.w="",_xlpm.v=""),"",_xlpm.v*_xlpm.w)
)</f>
        <v/>
      </c>
      <c r="AW28" s="93" t="str" cm="1">
        <f t="array" ref="AW28">_xlfn.LET(
  _xlpm.w, AW$11,
  _xlpm.r, MATCH(1,('3. Enter Indicator Scores'!$B$10:$B$161=$B28)*('3. Enter Indicator Scores'!$C$10:$C$161=$C28),0),
  _xlpm.c, MATCH(AW$8,'3. Enter Indicator Scores'!$D$8:$CZ$8,0),
  _xlpm.v, IFERROR(INDEX('3. Enter Indicator Scores'!$D$10:$CZ$161,_xlpm.r,_xlpm.c),""),
  IF(OR(_xlpm.w="",_xlpm.v=""),"",_xlpm.v*_xlpm.w)
)</f>
        <v/>
      </c>
      <c r="AX28" s="93" t="str" cm="1">
        <f t="array" ref="AX28">_xlfn.LET(
  _xlpm.w, AX$11,
  _xlpm.r, MATCH(1,('3. Enter Indicator Scores'!$B$10:$B$161=$B28)*('3. Enter Indicator Scores'!$C$10:$C$161=$C28),0),
  _xlpm.c, MATCH(AX$8,'3. Enter Indicator Scores'!$D$8:$CZ$8,0),
  _xlpm.v, IFERROR(INDEX('3. Enter Indicator Scores'!$D$10:$CZ$161,_xlpm.r,_xlpm.c),""),
  IF(OR(_xlpm.w="",_xlpm.v=""),"",_xlpm.v*_xlpm.w)
)</f>
        <v/>
      </c>
      <c r="AY28" s="93" t="str" cm="1">
        <f t="array" ref="AY28">_xlfn.LET(
  _xlpm.w, AY$11,
  _xlpm.r, MATCH(1,('3. Enter Indicator Scores'!$B$10:$B$161=$B28)*('3. Enter Indicator Scores'!$C$10:$C$161=$C28),0),
  _xlpm.c, MATCH(AY$8,'3. Enter Indicator Scores'!$D$8:$CZ$8,0),
  _xlpm.v, IFERROR(INDEX('3. Enter Indicator Scores'!$D$10:$CZ$161,_xlpm.r,_xlpm.c),""),
  IF(OR(_xlpm.w="",_xlpm.v=""),"",_xlpm.v*_xlpm.w)
)</f>
        <v/>
      </c>
      <c r="AZ28" s="93" t="str" cm="1">
        <f t="array" ref="AZ28">_xlfn.LET(
  _xlpm.w, AZ$11,
  _xlpm.r, MATCH(1,('3. Enter Indicator Scores'!$B$10:$B$161=$B28)*('3. Enter Indicator Scores'!$C$10:$C$161=$C28),0),
  _xlpm.c, MATCH(AZ$8,'3. Enter Indicator Scores'!$D$8:$CZ$8,0),
  _xlpm.v, IFERROR(INDEX('3. Enter Indicator Scores'!$D$10:$CZ$161,_xlpm.r,_xlpm.c),""),
  IF(OR(_xlpm.w="",_xlpm.v=""),"",_xlpm.v*_xlpm.w)
)</f>
        <v/>
      </c>
      <c r="BA28" s="93" t="str" cm="1">
        <f t="array" ref="BA28">_xlfn.LET(
  _xlpm.w, BA$11,
  _xlpm.r, MATCH(1,('3. Enter Indicator Scores'!$B$10:$B$161=$B28)*('3. Enter Indicator Scores'!$C$10:$C$161=$C28),0),
  _xlpm.c, MATCH(BA$8,'3. Enter Indicator Scores'!$D$8:$CZ$8,0),
  _xlpm.v, IFERROR(INDEX('3. Enter Indicator Scores'!$D$10:$CZ$161,_xlpm.r,_xlpm.c),""),
  IF(OR(_xlpm.w="",_xlpm.v=""),"",_xlpm.v*_xlpm.w)
)</f>
        <v/>
      </c>
      <c r="BB28" s="93" t="str" cm="1">
        <f t="array" ref="BB28">_xlfn.LET(
  _xlpm.w, BB$11,
  _xlpm.r, MATCH(1,('3. Enter Indicator Scores'!$B$10:$B$161=$B28)*('3. Enter Indicator Scores'!$C$10:$C$161=$C28),0),
  _xlpm.c, MATCH(BB$8,'3. Enter Indicator Scores'!$D$8:$CZ$8,0),
  _xlpm.v, IFERROR(INDEX('3. Enter Indicator Scores'!$D$10:$CZ$161,_xlpm.r,_xlpm.c),""),
  IF(OR(_xlpm.w="",_xlpm.v=""),"",_xlpm.v*_xlpm.w)
)</f>
        <v/>
      </c>
      <c r="BC28" s="93" t="str" cm="1">
        <f t="array" ref="BC28">_xlfn.LET(
  _xlpm.w, BC$11,
  _xlpm.r, MATCH(1,('3. Enter Indicator Scores'!$B$10:$B$161=$B28)*('3. Enter Indicator Scores'!$C$10:$C$161=$C28),0),
  _xlpm.c, MATCH(BC$8,'3. Enter Indicator Scores'!$D$8:$CZ$8,0),
  _xlpm.v, IFERROR(INDEX('3. Enter Indicator Scores'!$D$10:$CZ$161,_xlpm.r,_xlpm.c),""),
  IF(OR(_xlpm.w="",_xlpm.v=""),"",_xlpm.v*_xlpm.w)
)</f>
        <v/>
      </c>
      <c r="BD28" s="93" t="str" cm="1">
        <f t="array" ref="BD28">_xlfn.LET(
  _xlpm.w, BD$11,
  _xlpm.r, MATCH(1,('3. Enter Indicator Scores'!$B$10:$B$161=$B28)*('3. Enter Indicator Scores'!$C$10:$C$161=$C28),0),
  _xlpm.c, MATCH(BD$8,'3. Enter Indicator Scores'!$D$8:$CZ$8,0),
  _xlpm.v, IFERROR(INDEX('3. Enter Indicator Scores'!$D$10:$CZ$161,_xlpm.r,_xlpm.c),""),
  IF(OR(_xlpm.w="",_xlpm.v=""),"",_xlpm.v*_xlpm.w)
)</f>
        <v/>
      </c>
      <c r="BE28" s="93" t="str" cm="1">
        <f t="array" ref="BE28">_xlfn.LET(
  _xlpm.w, BE$11,
  _xlpm.r, MATCH(1,('3. Enter Indicator Scores'!$B$10:$B$161=$B28)*('3. Enter Indicator Scores'!$C$10:$C$161=$C28),0),
  _xlpm.c, MATCH(BE$8,'3. Enter Indicator Scores'!$D$8:$CZ$8,0),
  _xlpm.v, IFERROR(INDEX('3. Enter Indicator Scores'!$D$10:$CZ$161,_xlpm.r,_xlpm.c),""),
  IF(OR(_xlpm.w="",_xlpm.v=""),"",_xlpm.v*_xlpm.w)
)</f>
        <v/>
      </c>
      <c r="BF28" s="93" t="str" cm="1">
        <f t="array" ref="BF28">_xlfn.LET(
  _xlpm.w, BF$11,
  _xlpm.r, MATCH(1,('3. Enter Indicator Scores'!$B$10:$B$161=$B28)*('3. Enter Indicator Scores'!$C$10:$C$161=$C28),0),
  _xlpm.c, MATCH(BF$8,'3. Enter Indicator Scores'!$D$8:$CZ$8,0),
  _xlpm.v, IFERROR(INDEX('3. Enter Indicator Scores'!$D$10:$CZ$161,_xlpm.r,_xlpm.c),""),
  IF(OR(_xlpm.w="",_xlpm.v=""),"",_xlpm.v*_xlpm.w)
)</f>
        <v/>
      </c>
      <c r="BG28" s="93" t="str" cm="1">
        <f t="array" ref="BG28">_xlfn.LET(
  _xlpm.w, BG$11,
  _xlpm.r, MATCH(1,('3. Enter Indicator Scores'!$B$10:$B$161=$B28)*('3. Enter Indicator Scores'!$C$10:$C$161=$C28),0),
  _xlpm.c, MATCH(BG$8,'3. Enter Indicator Scores'!$D$8:$CZ$8,0),
  _xlpm.v, IFERROR(INDEX('3. Enter Indicator Scores'!$D$10:$CZ$161,_xlpm.r,_xlpm.c),""),
  IF(OR(_xlpm.w="",_xlpm.v=""),"",_xlpm.v*_xlpm.w)
)</f>
        <v/>
      </c>
      <c r="BH28" s="93" t="str" cm="1">
        <f t="array" ref="BH28">_xlfn.LET(
  _xlpm.w, BH$11,
  _xlpm.r, MATCH(1,('3. Enter Indicator Scores'!$B$10:$B$161=$B28)*('3. Enter Indicator Scores'!$C$10:$C$161=$C28),0),
  _xlpm.c, MATCH(BH$8,'3. Enter Indicator Scores'!$D$8:$CZ$8,0),
  _xlpm.v, IFERROR(INDEX('3. Enter Indicator Scores'!$D$10:$CZ$161,_xlpm.r,_xlpm.c),""),
  IF(OR(_xlpm.w="",_xlpm.v=""),"",_xlpm.v*_xlpm.w)
)</f>
        <v/>
      </c>
      <c r="BI28" s="93" t="str" cm="1">
        <f t="array" ref="BI28">_xlfn.LET(
  _xlpm.w, BI$11,
  _xlpm.r, MATCH(1,('3. Enter Indicator Scores'!$B$10:$B$161=$B28)*('3. Enter Indicator Scores'!$C$10:$C$161=$C28),0),
  _xlpm.c, MATCH(BI$8,'3. Enter Indicator Scores'!$D$8:$CZ$8,0),
  _xlpm.v, IFERROR(INDEX('3. Enter Indicator Scores'!$D$10:$CZ$161,_xlpm.r,_xlpm.c),""),
  IF(OR(_xlpm.w="",_xlpm.v=""),"",_xlpm.v*_xlpm.w)
)</f>
        <v/>
      </c>
      <c r="BJ28" s="93" t="str" cm="1">
        <f t="array" ref="BJ28">_xlfn.LET(
  _xlpm.w, BJ$11,
  _xlpm.r, MATCH(1,('3. Enter Indicator Scores'!$B$10:$B$161=$B28)*('3. Enter Indicator Scores'!$C$10:$C$161=$C28),0),
  _xlpm.c, MATCH(BJ$8,'3. Enter Indicator Scores'!$D$8:$CZ$8,0),
  _xlpm.v, IFERROR(INDEX('3. Enter Indicator Scores'!$D$10:$CZ$161,_xlpm.r,_xlpm.c),""),
  IF(OR(_xlpm.w="",_xlpm.v=""),"",_xlpm.v*_xlpm.w)
)</f>
        <v/>
      </c>
      <c r="BK28" s="93" t="str" cm="1">
        <f t="array" ref="BK28">_xlfn.LET(
  _xlpm.w, BK$11,
  _xlpm.r, MATCH(1,('3. Enter Indicator Scores'!$B$10:$B$161=$B28)*('3. Enter Indicator Scores'!$C$10:$C$161=$C28),0),
  _xlpm.c, MATCH(BK$8,'3. Enter Indicator Scores'!$D$8:$CZ$8,0),
  _xlpm.v, IFERROR(INDEX('3. Enter Indicator Scores'!$D$10:$CZ$161,_xlpm.r,_xlpm.c),""),
  IF(OR(_xlpm.w="",_xlpm.v=""),"",_xlpm.v*_xlpm.w)
)</f>
        <v/>
      </c>
      <c r="BL28" s="93" t="str" cm="1">
        <f t="array" ref="BL28">_xlfn.LET(
  _xlpm.w, BL$11,
  _xlpm.r, MATCH(1,('3. Enter Indicator Scores'!$B$10:$B$161=$B28)*('3. Enter Indicator Scores'!$C$10:$C$161=$C28),0),
  _xlpm.c, MATCH(BL$8,'3. Enter Indicator Scores'!$D$8:$CZ$8,0),
  _xlpm.v, IFERROR(INDEX('3. Enter Indicator Scores'!$D$10:$CZ$161,_xlpm.r,_xlpm.c),""),
  IF(OR(_xlpm.w="",_xlpm.v=""),"",_xlpm.v*_xlpm.w)
)</f>
        <v/>
      </c>
      <c r="BM28" s="93" t="str" cm="1">
        <f t="array" ref="BM28">_xlfn.LET(
  _xlpm.w, BM$11,
  _xlpm.r, MATCH(1,('3. Enter Indicator Scores'!$B$10:$B$161=$B28)*('3. Enter Indicator Scores'!$C$10:$C$161=$C28),0),
  _xlpm.c, MATCH(BM$8,'3. Enter Indicator Scores'!$D$8:$CZ$8,0),
  _xlpm.v, IFERROR(INDEX('3. Enter Indicator Scores'!$D$10:$CZ$161,_xlpm.r,_xlpm.c),""),
  IF(OR(_xlpm.w="",_xlpm.v=""),"",_xlpm.v*_xlpm.w)
)</f>
        <v/>
      </c>
      <c r="BN28" s="93" t="str" cm="1">
        <f t="array" ref="BN28">_xlfn.LET(
  _xlpm.w, BN$11,
  _xlpm.r, MATCH(1,('3. Enter Indicator Scores'!$B$10:$B$161=$B28)*('3. Enter Indicator Scores'!$C$10:$C$161=$C28),0),
  _xlpm.c, MATCH(BN$8,'3. Enter Indicator Scores'!$D$8:$CZ$8,0),
  _xlpm.v, IFERROR(INDEX('3. Enter Indicator Scores'!$D$10:$CZ$161,_xlpm.r,_xlpm.c),""),
  IF(OR(_xlpm.w="",_xlpm.v=""),"",_xlpm.v*_xlpm.w)
)</f>
        <v/>
      </c>
      <c r="BO28" s="93" t="str" cm="1">
        <f t="array" ref="BO28">_xlfn.LET(
  _xlpm.w, BO$11,
  _xlpm.r, MATCH(1,('3. Enter Indicator Scores'!$B$10:$B$161=$B28)*('3. Enter Indicator Scores'!$C$10:$C$161=$C28),0),
  _xlpm.c, MATCH(BO$8,'3. Enter Indicator Scores'!$D$8:$CZ$8,0),
  _xlpm.v, IFERROR(INDEX('3. Enter Indicator Scores'!$D$10:$CZ$161,_xlpm.r,_xlpm.c),""),
  IF(OR(_xlpm.w="",_xlpm.v=""),"",_xlpm.v*_xlpm.w)
)</f>
        <v/>
      </c>
      <c r="BP28" s="93" t="str" cm="1">
        <f t="array" ref="BP28">_xlfn.LET(
  _xlpm.w, BP$11,
  _xlpm.r, MATCH(1,('3. Enter Indicator Scores'!$B$10:$B$161=$B28)*('3. Enter Indicator Scores'!$C$10:$C$161=$C28),0),
  _xlpm.c, MATCH(BP$8,'3. Enter Indicator Scores'!$D$8:$CZ$8,0),
  _xlpm.v, IFERROR(INDEX('3. Enter Indicator Scores'!$D$10:$CZ$161,_xlpm.r,_xlpm.c),""),
  IF(OR(_xlpm.w="",_xlpm.v=""),"",_xlpm.v*_xlpm.w)
)</f>
        <v/>
      </c>
      <c r="BQ28" s="93" t="str" cm="1">
        <f t="array" ref="BQ28">_xlfn.LET(
  _xlpm.w, BQ$11,
  _xlpm.r, MATCH(1,('3. Enter Indicator Scores'!$B$10:$B$161=$B28)*('3. Enter Indicator Scores'!$C$10:$C$161=$C28),0),
  _xlpm.c, MATCH(BQ$8,'3. Enter Indicator Scores'!$D$8:$CZ$8,0),
  _xlpm.v, IFERROR(INDEX('3. Enter Indicator Scores'!$D$10:$CZ$161,_xlpm.r,_xlpm.c),""),
  IF(OR(_xlpm.w="",_xlpm.v=""),"",_xlpm.v*_xlpm.w)
)</f>
        <v/>
      </c>
      <c r="BR28" s="93" t="str" cm="1">
        <f t="array" ref="BR28">_xlfn.LET(
  _xlpm.w, BR$11,
  _xlpm.r, MATCH(1,('3. Enter Indicator Scores'!$B$10:$B$161=$B28)*('3. Enter Indicator Scores'!$C$10:$C$161=$C28),0),
  _xlpm.c, MATCH(BR$8,'3. Enter Indicator Scores'!$D$8:$CZ$8,0),
  _xlpm.v, IFERROR(INDEX('3. Enter Indicator Scores'!$D$10:$CZ$161,_xlpm.r,_xlpm.c),""),
  IF(OR(_xlpm.w="",_xlpm.v=""),"",_xlpm.v*_xlpm.w)
)</f>
        <v/>
      </c>
      <c r="BS28" s="93" t="str" cm="1">
        <f t="array" ref="BS28">_xlfn.LET(
  _xlpm.w, BS$11,
  _xlpm.r, MATCH(1,('3. Enter Indicator Scores'!$B$10:$B$161=$B28)*('3. Enter Indicator Scores'!$C$10:$C$161=$C28),0),
  _xlpm.c, MATCH(BS$8,'3. Enter Indicator Scores'!$D$8:$CZ$8,0),
  _xlpm.v, IFERROR(INDEX('3. Enter Indicator Scores'!$D$10:$CZ$161,_xlpm.r,_xlpm.c),""),
  IF(OR(_xlpm.w="",_xlpm.v=""),"",_xlpm.v*_xlpm.w)
)</f>
        <v/>
      </c>
      <c r="BT28" s="93" t="str" cm="1">
        <f t="array" ref="BT28">_xlfn.LET(
  _xlpm.w, BT$11,
  _xlpm.r, MATCH(1,('3. Enter Indicator Scores'!$B$10:$B$161=$B28)*('3. Enter Indicator Scores'!$C$10:$C$161=$C28),0),
  _xlpm.c, MATCH(BT$8,'3. Enter Indicator Scores'!$D$8:$CZ$8,0),
  _xlpm.v, IFERROR(INDEX('3. Enter Indicator Scores'!$D$10:$CZ$161,_xlpm.r,_xlpm.c),""),
  IF(OR(_xlpm.w="",_xlpm.v=""),"",_xlpm.v*_xlpm.w)
)</f>
        <v/>
      </c>
      <c r="BU28" s="93" t="str" cm="1">
        <f t="array" ref="BU28">_xlfn.LET(
  _xlpm.w, BU$11,
  _xlpm.r, MATCH(1,('3. Enter Indicator Scores'!$B$10:$B$161=$B28)*('3. Enter Indicator Scores'!$C$10:$C$161=$C28),0),
  _xlpm.c, MATCH(BU$8,'3. Enter Indicator Scores'!$D$8:$CZ$8,0),
  _xlpm.v, IFERROR(INDEX('3. Enter Indicator Scores'!$D$10:$CZ$161,_xlpm.r,_xlpm.c),""),
  IF(OR(_xlpm.w="",_xlpm.v=""),"",_xlpm.v*_xlpm.w)
)</f>
        <v/>
      </c>
      <c r="BV28" s="93" t="str" cm="1">
        <f t="array" ref="BV28">_xlfn.LET(
  _xlpm.w, BV$11,
  _xlpm.r, MATCH(1,('3. Enter Indicator Scores'!$B$10:$B$161=$B28)*('3. Enter Indicator Scores'!$C$10:$C$161=$C28),0),
  _xlpm.c, MATCH(BV$8,'3. Enter Indicator Scores'!$D$8:$CZ$8,0),
  _xlpm.v, IFERROR(INDEX('3. Enter Indicator Scores'!$D$10:$CZ$161,_xlpm.r,_xlpm.c),""),
  IF(OR(_xlpm.w="",_xlpm.v=""),"",_xlpm.v*_xlpm.w)
)</f>
        <v/>
      </c>
      <c r="BW28" s="93" t="str" cm="1">
        <f t="array" ref="BW28">_xlfn.LET(
  _xlpm.w, BW$11,
  _xlpm.r, MATCH(1,('3. Enter Indicator Scores'!$B$10:$B$161=$B28)*('3. Enter Indicator Scores'!$C$10:$C$161=$C28),0),
  _xlpm.c, MATCH(BW$8,'3. Enter Indicator Scores'!$D$8:$CZ$8,0),
  _xlpm.v, IFERROR(INDEX('3. Enter Indicator Scores'!$D$10:$CZ$161,_xlpm.r,_xlpm.c),""),
  IF(OR(_xlpm.w="",_xlpm.v=""),"",_xlpm.v*_xlpm.w)
)</f>
        <v/>
      </c>
      <c r="BX28" s="93" t="str" cm="1">
        <f t="array" ref="BX28">_xlfn.LET(
  _xlpm.w, BX$11,
  _xlpm.r, MATCH(1,('3. Enter Indicator Scores'!$B$10:$B$161=$B28)*('3. Enter Indicator Scores'!$C$10:$C$161=$C28),0),
  _xlpm.c, MATCH(BX$8,'3. Enter Indicator Scores'!$D$8:$CZ$8,0),
  _xlpm.v, IFERROR(INDEX('3. Enter Indicator Scores'!$D$10:$CZ$161,_xlpm.r,_xlpm.c),""),
  IF(OR(_xlpm.w="",_xlpm.v=""),"",_xlpm.v*_xlpm.w)
)</f>
        <v/>
      </c>
      <c r="BY28" s="93" t="str" cm="1">
        <f t="array" ref="BY28">_xlfn.LET(
  _xlpm.w, BY$11,
  _xlpm.r, MATCH(1,('3. Enter Indicator Scores'!$B$10:$B$161=$B28)*('3. Enter Indicator Scores'!$C$10:$C$161=$C28),0),
  _xlpm.c, MATCH(BY$8,'3. Enter Indicator Scores'!$D$8:$CZ$8,0),
  _xlpm.v, IFERROR(INDEX('3. Enter Indicator Scores'!$D$10:$CZ$161,_xlpm.r,_xlpm.c),""),
  IF(OR(_xlpm.w="",_xlpm.v=""),"",_xlpm.v*_xlpm.w)
)</f>
        <v/>
      </c>
      <c r="BZ28" s="93" t="str" cm="1">
        <f t="array" ref="BZ28">_xlfn.LET(
  _xlpm.w, BZ$11,
  _xlpm.r, MATCH(1,('3. Enter Indicator Scores'!$B$10:$B$161=$B28)*('3. Enter Indicator Scores'!$C$10:$C$161=$C28),0),
  _xlpm.c, MATCH(BZ$8,'3. Enter Indicator Scores'!$D$8:$CZ$8,0),
  _xlpm.v, IFERROR(INDEX('3. Enter Indicator Scores'!$D$10:$CZ$161,_xlpm.r,_xlpm.c),""),
  IF(OR(_xlpm.w="",_xlpm.v=""),"",_xlpm.v*_xlpm.w)
)</f>
        <v/>
      </c>
      <c r="CA28" s="93" t="str" cm="1">
        <f t="array" ref="CA28">_xlfn.LET(
  _xlpm.w, CA$11,
  _xlpm.r, MATCH(1,('3. Enter Indicator Scores'!$B$10:$B$161=$B28)*('3. Enter Indicator Scores'!$C$10:$C$161=$C28),0),
  _xlpm.c, MATCH(CA$8,'3. Enter Indicator Scores'!$D$8:$CZ$8,0),
  _xlpm.v, IFERROR(INDEX('3. Enter Indicator Scores'!$D$10:$CZ$161,_xlpm.r,_xlpm.c),""),
  IF(OR(_xlpm.w="",_xlpm.v=""),"",_xlpm.v*_xlpm.w)
)</f>
        <v/>
      </c>
      <c r="CB28" s="93" t="str" cm="1">
        <f t="array" ref="CB28">_xlfn.LET(
  _xlpm.w, CB$11,
  _xlpm.r, MATCH(1,('3. Enter Indicator Scores'!$B$10:$B$161=$B28)*('3. Enter Indicator Scores'!$C$10:$C$161=$C28),0),
  _xlpm.c, MATCH(CB$8,'3. Enter Indicator Scores'!$D$8:$CZ$8,0),
  _xlpm.v, IFERROR(INDEX('3. Enter Indicator Scores'!$D$10:$CZ$161,_xlpm.r,_xlpm.c),""),
  IF(OR(_xlpm.w="",_xlpm.v=""),"",_xlpm.v*_xlpm.w)
)</f>
        <v/>
      </c>
      <c r="CC28" s="93" t="str" cm="1">
        <f t="array" ref="CC28">_xlfn.LET(
  _xlpm.w, CC$11,
  _xlpm.r, MATCH(1,('3. Enter Indicator Scores'!$B$10:$B$161=$B28)*('3. Enter Indicator Scores'!$C$10:$C$161=$C28),0),
  _xlpm.c, MATCH(CC$8,'3. Enter Indicator Scores'!$D$8:$CZ$8,0),
  _xlpm.v, IFERROR(INDEX('3. Enter Indicator Scores'!$D$10:$CZ$161,_xlpm.r,_xlpm.c),""),
  IF(OR(_xlpm.w="",_xlpm.v=""),"",_xlpm.v*_xlpm.w)
)</f>
        <v/>
      </c>
      <c r="CD28" s="93" t="str" cm="1">
        <f t="array" ref="CD28">_xlfn.LET(
  _xlpm.w, CD$11,
  _xlpm.r, MATCH(1,('3. Enter Indicator Scores'!$B$10:$B$161=$B28)*('3. Enter Indicator Scores'!$C$10:$C$161=$C28),0),
  _xlpm.c, MATCH(CD$8,'3. Enter Indicator Scores'!$D$8:$CZ$8,0),
  _xlpm.v, IFERROR(INDEX('3. Enter Indicator Scores'!$D$10:$CZ$161,_xlpm.r,_xlpm.c),""),
  IF(OR(_xlpm.w="",_xlpm.v=""),"",_xlpm.v*_xlpm.w)
)</f>
        <v/>
      </c>
      <c r="CE28" s="93" t="str" cm="1">
        <f t="array" ref="CE28">_xlfn.LET(
  _xlpm.w, CE$11,
  _xlpm.r, MATCH(1,('3. Enter Indicator Scores'!$B$10:$B$161=$B28)*('3. Enter Indicator Scores'!$C$10:$C$161=$C28),0),
  _xlpm.c, MATCH(CE$8,'3. Enter Indicator Scores'!$D$8:$CZ$8,0),
  _xlpm.v, IFERROR(INDEX('3. Enter Indicator Scores'!$D$10:$CZ$161,_xlpm.r,_xlpm.c),""),
  IF(OR(_xlpm.w="",_xlpm.v=""),"",_xlpm.v*_xlpm.w)
)</f>
        <v/>
      </c>
      <c r="CF28" s="93" t="str" cm="1">
        <f t="array" ref="CF28">_xlfn.LET(
  _xlpm.w, CF$11,
  _xlpm.r, MATCH(1,('3. Enter Indicator Scores'!$B$10:$B$161=$B28)*('3. Enter Indicator Scores'!$C$10:$C$161=$C28),0),
  _xlpm.c, MATCH(CF$8,'3. Enter Indicator Scores'!$D$8:$CZ$8,0),
  _xlpm.v, IFERROR(INDEX('3. Enter Indicator Scores'!$D$10:$CZ$161,_xlpm.r,_xlpm.c),""),
  IF(OR(_xlpm.w="",_xlpm.v=""),"",_xlpm.v*_xlpm.w)
)</f>
        <v/>
      </c>
      <c r="CG28" s="93" t="str" cm="1">
        <f t="array" ref="CG28">_xlfn.LET(
  _xlpm.w, CG$11,
  _xlpm.r, MATCH(1,('3. Enter Indicator Scores'!$B$10:$B$161=$B28)*('3. Enter Indicator Scores'!$C$10:$C$161=$C28),0),
  _xlpm.c, MATCH(CG$8,'3. Enter Indicator Scores'!$D$8:$CZ$8,0),
  _xlpm.v, IFERROR(INDEX('3. Enter Indicator Scores'!$D$10:$CZ$161,_xlpm.r,_xlpm.c),""),
  IF(OR(_xlpm.w="",_xlpm.v=""),"",_xlpm.v*_xlpm.w)
)</f>
        <v/>
      </c>
      <c r="CH28" s="93" t="str" cm="1">
        <f t="array" ref="CH28">_xlfn.LET(
  _xlpm.w, CH$11,
  _xlpm.r, MATCH(1,('3. Enter Indicator Scores'!$B$10:$B$161=$B28)*('3. Enter Indicator Scores'!$C$10:$C$161=$C28),0),
  _xlpm.c, MATCH(CH$8,'3. Enter Indicator Scores'!$D$8:$CZ$8,0),
  _xlpm.v, IFERROR(INDEX('3. Enter Indicator Scores'!$D$10:$CZ$161,_xlpm.r,_xlpm.c),""),
  IF(OR(_xlpm.w="",_xlpm.v=""),"",_xlpm.v*_xlpm.w)
)</f>
        <v/>
      </c>
      <c r="CI28" s="93" t="str" cm="1">
        <f t="array" ref="CI28">_xlfn.LET(
  _xlpm.w, CI$11,
  _xlpm.r, MATCH(1,('3. Enter Indicator Scores'!$B$10:$B$161=$B28)*('3. Enter Indicator Scores'!$C$10:$C$161=$C28),0),
  _xlpm.c, MATCH(CI$8,'3. Enter Indicator Scores'!$D$8:$CZ$8,0),
  _xlpm.v, IFERROR(INDEX('3. Enter Indicator Scores'!$D$10:$CZ$161,_xlpm.r,_xlpm.c),""),
  IF(OR(_xlpm.w="",_xlpm.v=""),"",_xlpm.v*_xlpm.w)
)</f>
        <v/>
      </c>
      <c r="CJ28" s="93" t="str" cm="1">
        <f t="array" ref="CJ28">_xlfn.LET(
  _xlpm.w, CJ$11,
  _xlpm.r, MATCH(1,('3. Enter Indicator Scores'!$B$10:$B$161=$B28)*('3. Enter Indicator Scores'!$C$10:$C$161=$C28),0),
  _xlpm.c, MATCH(CJ$8,'3. Enter Indicator Scores'!$D$8:$CZ$8,0),
  _xlpm.v, IFERROR(INDEX('3. Enter Indicator Scores'!$D$10:$CZ$161,_xlpm.r,_xlpm.c),""),
  IF(OR(_xlpm.w="",_xlpm.v=""),"",_xlpm.v*_xlpm.w)
)</f>
        <v/>
      </c>
      <c r="CK28" s="93" t="str" cm="1">
        <f t="array" ref="CK28">_xlfn.LET(
  _xlpm.w, CK$11,
  _xlpm.r, MATCH(1,('3. Enter Indicator Scores'!$B$10:$B$161=$B28)*('3. Enter Indicator Scores'!$C$10:$C$161=$C28),0),
  _xlpm.c, MATCH(CK$8,'3. Enter Indicator Scores'!$D$8:$CZ$8,0),
  _xlpm.v, IFERROR(INDEX('3. Enter Indicator Scores'!$D$10:$CZ$161,_xlpm.r,_xlpm.c),""),
  IF(OR(_xlpm.w="",_xlpm.v=""),"",_xlpm.v*_xlpm.w)
)</f>
        <v/>
      </c>
      <c r="CL28" s="93" t="str" cm="1">
        <f t="array" ref="CL28">_xlfn.LET(
  _xlpm.w, CL$11,
  _xlpm.r, MATCH(1,('3. Enter Indicator Scores'!$B$10:$B$161=$B28)*('3. Enter Indicator Scores'!$C$10:$C$161=$C28),0),
  _xlpm.c, MATCH(CL$8,'3. Enter Indicator Scores'!$D$8:$CZ$8,0),
  _xlpm.v, IFERROR(INDEX('3. Enter Indicator Scores'!$D$10:$CZ$161,_xlpm.r,_xlpm.c),""),
  IF(OR(_xlpm.w="",_xlpm.v=""),"",_xlpm.v*_xlpm.w)
)</f>
        <v/>
      </c>
      <c r="CM28" s="93" t="str" cm="1">
        <f t="array" ref="CM28">_xlfn.LET(
  _xlpm.w, CM$11,
  _xlpm.r, MATCH(1,('3. Enter Indicator Scores'!$B$10:$B$161=$B28)*('3. Enter Indicator Scores'!$C$10:$C$161=$C28),0),
  _xlpm.c, MATCH(CM$8,'3. Enter Indicator Scores'!$D$8:$CZ$8,0),
  _xlpm.v, IFERROR(INDEX('3. Enter Indicator Scores'!$D$10:$CZ$161,_xlpm.r,_xlpm.c),""),
  IF(OR(_xlpm.w="",_xlpm.v=""),"",_xlpm.v*_xlpm.w)
)</f>
        <v/>
      </c>
      <c r="CN28" s="93" t="str" cm="1">
        <f t="array" ref="CN28">_xlfn.LET(
  _xlpm.w, CN$11,
  _xlpm.r, MATCH(1,('3. Enter Indicator Scores'!$B$10:$B$161=$B28)*('3. Enter Indicator Scores'!$C$10:$C$161=$C28),0),
  _xlpm.c, MATCH(CN$8,'3. Enter Indicator Scores'!$D$8:$CZ$8,0),
  _xlpm.v, IFERROR(INDEX('3. Enter Indicator Scores'!$D$10:$CZ$161,_xlpm.r,_xlpm.c),""),
  IF(OR(_xlpm.w="",_xlpm.v=""),"",_xlpm.v*_xlpm.w)
)</f>
        <v/>
      </c>
      <c r="CO28" s="93" t="str" cm="1">
        <f t="array" ref="CO28">_xlfn.LET(
  _xlpm.w, CO$11,
  _xlpm.r, MATCH(1,('3. Enter Indicator Scores'!$B$10:$B$161=$B28)*('3. Enter Indicator Scores'!$C$10:$C$161=$C28),0),
  _xlpm.c, MATCH(CO$8,'3. Enter Indicator Scores'!$D$8:$CZ$8,0),
  _xlpm.v, IFERROR(INDEX('3. Enter Indicator Scores'!$D$10:$CZ$161,_xlpm.r,_xlpm.c),""),
  IF(OR(_xlpm.w="",_xlpm.v=""),"",_xlpm.v*_xlpm.w)
)</f>
        <v/>
      </c>
      <c r="CP28" s="93" t="str" cm="1">
        <f t="array" ref="CP28">_xlfn.LET(
  _xlpm.w, CP$11,
  _xlpm.r, MATCH(1,('3. Enter Indicator Scores'!$B$10:$B$161=$B28)*('3. Enter Indicator Scores'!$C$10:$C$161=$C28),0),
  _xlpm.c, MATCH(CP$8,'3. Enter Indicator Scores'!$D$8:$CZ$8,0),
  _xlpm.v, IFERROR(INDEX('3. Enter Indicator Scores'!$D$10:$CZ$161,_xlpm.r,_xlpm.c),""),
  IF(OR(_xlpm.w="",_xlpm.v=""),"",_xlpm.v*_xlpm.w)
)</f>
        <v/>
      </c>
      <c r="CQ28" s="93" t="str" cm="1">
        <f t="array" ref="CQ28">_xlfn.LET(
  _xlpm.w, CQ$11,
  _xlpm.r, MATCH(1,('3. Enter Indicator Scores'!$B$10:$B$161=$B28)*('3. Enter Indicator Scores'!$C$10:$C$161=$C28),0),
  _xlpm.c, MATCH(CQ$8,'3. Enter Indicator Scores'!$D$8:$CZ$8,0),
  _xlpm.v, IFERROR(INDEX('3. Enter Indicator Scores'!$D$10:$CZ$161,_xlpm.r,_xlpm.c),""),
  IF(OR(_xlpm.w="",_xlpm.v=""),"",_xlpm.v*_xlpm.w)
)</f>
        <v/>
      </c>
      <c r="CR28" s="93" t="str" cm="1">
        <f t="array" ref="CR28">_xlfn.LET(
  _xlpm.w, CR$11,
  _xlpm.r, MATCH(1,('3. Enter Indicator Scores'!$B$10:$B$161=$B28)*('3. Enter Indicator Scores'!$C$10:$C$161=$C28),0),
  _xlpm.c, MATCH(CR$8,'3. Enter Indicator Scores'!$D$8:$CZ$8,0),
  _xlpm.v, IFERROR(INDEX('3. Enter Indicator Scores'!$D$10:$CZ$161,_xlpm.r,_xlpm.c),""),
  IF(OR(_xlpm.w="",_xlpm.v=""),"",_xlpm.v*_xlpm.w)
)</f>
        <v/>
      </c>
      <c r="CS28" s="93" t="str" cm="1">
        <f t="array" ref="CS28">_xlfn.LET(
  _xlpm.w, CS$11,
  _xlpm.r, MATCH(1,('3. Enter Indicator Scores'!$B$10:$B$161=$B28)*('3. Enter Indicator Scores'!$C$10:$C$161=$C28),0),
  _xlpm.c, MATCH(CS$8,'3. Enter Indicator Scores'!$D$8:$CZ$8,0),
  _xlpm.v, IFERROR(INDEX('3. Enter Indicator Scores'!$D$10:$CZ$161,_xlpm.r,_xlpm.c),""),
  IF(OR(_xlpm.w="",_xlpm.v=""),"",_xlpm.v*_xlpm.w)
)</f>
        <v/>
      </c>
      <c r="CT28" s="93" t="str" cm="1">
        <f t="array" ref="CT28">_xlfn.LET(
  _xlpm.w, CT$11,
  _xlpm.r, MATCH(1,('3. Enter Indicator Scores'!$B$10:$B$161=$B28)*('3. Enter Indicator Scores'!$C$10:$C$161=$C28),0),
  _xlpm.c, MATCH(CT$8,'3. Enter Indicator Scores'!$D$8:$CZ$8,0),
  _xlpm.v, IFERROR(INDEX('3. Enter Indicator Scores'!$D$10:$CZ$161,_xlpm.r,_xlpm.c),""),
  IF(OR(_xlpm.w="",_xlpm.v=""),"",_xlpm.v*_xlpm.w)
)</f>
        <v/>
      </c>
      <c r="CU28" s="93" t="str" cm="1">
        <f t="array" ref="CU28">_xlfn.LET(
  _xlpm.w, CU$11,
  _xlpm.r, MATCH(1,('3. Enter Indicator Scores'!$B$10:$B$161=$B28)*('3. Enter Indicator Scores'!$C$10:$C$161=$C28),0),
  _xlpm.c, MATCH(CU$8,'3. Enter Indicator Scores'!$D$8:$CZ$8,0),
  _xlpm.v, IFERROR(INDEX('3. Enter Indicator Scores'!$D$10:$CZ$161,_xlpm.r,_xlpm.c),""),
  IF(OR(_xlpm.w="",_xlpm.v=""),"",_xlpm.v*_xlpm.w)
)</f>
        <v/>
      </c>
      <c r="CV28" s="93" t="str" cm="1">
        <f t="array" ref="CV28">_xlfn.LET(
  _xlpm.w, CV$11,
  _xlpm.r, MATCH(1,('3. Enter Indicator Scores'!$B$10:$B$161=$B28)*('3. Enter Indicator Scores'!$C$10:$C$161=$C28),0),
  _xlpm.c, MATCH(CV$8,'3. Enter Indicator Scores'!$D$8:$CZ$8,0),
  _xlpm.v, IFERROR(INDEX('3. Enter Indicator Scores'!$D$10:$CZ$161,_xlpm.r,_xlpm.c),""),
  IF(OR(_xlpm.w="",_xlpm.v=""),"",_xlpm.v*_xlpm.w)
)</f>
        <v/>
      </c>
      <c r="CW28" s="93" t="str" cm="1">
        <f t="array" ref="CW28">_xlfn.LET(
  _xlpm.w, CW$11,
  _xlpm.r, MATCH(1,('3. Enter Indicator Scores'!$B$10:$B$161=$B28)*('3. Enter Indicator Scores'!$C$10:$C$161=$C28),0),
  _xlpm.c, MATCH(CW$8,'3. Enter Indicator Scores'!$D$8:$CZ$8,0),
  _xlpm.v, IFERROR(INDEX('3. Enter Indicator Scores'!$D$10:$CZ$161,_xlpm.r,_xlpm.c),""),
  IF(OR(_xlpm.w="",_xlpm.v=""),"",_xlpm.v*_xlpm.w)
)</f>
        <v/>
      </c>
      <c r="CX28" s="93" t="str" cm="1">
        <f t="array" ref="CX28">_xlfn.LET(
  _xlpm.w, CX$11,
  _xlpm.r, MATCH(1,('3. Enter Indicator Scores'!$B$10:$B$161=$B28)*('3. Enter Indicator Scores'!$C$10:$C$161=$C28),0),
  _xlpm.c, MATCH(CX$8,'3. Enter Indicator Scores'!$D$8:$CZ$8,0),
  _xlpm.v, IFERROR(INDEX('3. Enter Indicator Scores'!$D$10:$CZ$161,_xlpm.r,_xlpm.c),""),
  IF(OR(_xlpm.w="",_xlpm.v=""),"",_xlpm.v*_xlpm.w)
)</f>
        <v/>
      </c>
      <c r="CY28" s="93" t="str" cm="1">
        <f t="array" ref="CY28">_xlfn.LET(
  _xlpm.w, CY$11,
  _xlpm.r, MATCH(1,('3. Enter Indicator Scores'!$B$10:$B$161=$B28)*('3. Enter Indicator Scores'!$C$10:$C$161=$C28),0),
  _xlpm.c, MATCH(CY$8,'3. Enter Indicator Scores'!$D$8:$CZ$8,0),
  _xlpm.v, IFERROR(INDEX('3. Enter Indicator Scores'!$D$10:$CZ$161,_xlpm.r,_xlpm.c),""),
  IF(OR(_xlpm.w="",_xlpm.v=""),"",_xlpm.v*_xlpm.w)
)</f>
        <v/>
      </c>
      <c r="CZ28" s="93" t="str" cm="1">
        <f t="array" ref="CZ28">_xlfn.LET(
  _xlpm.w, CZ$11,
  _xlpm.r, MATCH(1,('3. Enter Indicator Scores'!$B$10:$B$161=$B28)*('3. Enter Indicator Scores'!$C$10:$C$161=$C28),0),
  _xlpm.c, MATCH(CZ$8,'3. Enter Indicator Scores'!$D$8:$CZ$8,0),
  _xlpm.v, IFERROR(INDEX('3. Enter Indicator Scores'!$D$10:$CZ$161,_xlpm.r,_xlpm.c),""),
  IF(OR(_xlpm.w="",_xlpm.v=""),"",_xlpm.v*_xlpm.w)
)</f>
        <v/>
      </c>
    </row>
    <row r="29" spans="1:104" s="94" customFormat="1" x14ac:dyDescent="0.2">
      <c r="A29" s="52"/>
      <c r="B29" s="6"/>
      <c r="C29" s="6"/>
      <c r="D29" s="93" t="str" cm="1">
        <f t="array" ref="D29">_xlfn.LET(
  _xlpm.w, D$11,
  _xlpm.r, MATCH(1,('3. Enter Indicator Scores'!$B$10:$B$161=$B29)*('3. Enter Indicator Scores'!$C$10:$C$161=$C29),0),
  _xlpm.c, MATCH(D$8,'3. Enter Indicator Scores'!$D$8:$CZ$8,0),
  _xlpm.v, IFERROR(INDEX('3. Enter Indicator Scores'!$D$10:$CZ$161,_xlpm.r,_xlpm.c),""),
  IF(OR(_xlpm.w="",_xlpm.v=""),"",_xlpm.v*_xlpm.w)
)</f>
        <v/>
      </c>
      <c r="E29" s="93" t="str" cm="1">
        <f t="array" ref="E29">_xlfn.LET(
  _xlpm.w, E$11,
  _xlpm.r, MATCH(1,('3. Enter Indicator Scores'!$B$10:$B$161=$B29)*('3. Enter Indicator Scores'!$C$10:$C$161=$C29),0),
  _xlpm.c, MATCH(E$8,'3. Enter Indicator Scores'!$D$8:$CZ$8,0),
  _xlpm.v, IFERROR(INDEX('3. Enter Indicator Scores'!$D$10:$CZ$161,_xlpm.r,_xlpm.c),""),
  IF(OR(_xlpm.w="",_xlpm.v=""),"",_xlpm.v*_xlpm.w)
)</f>
        <v/>
      </c>
      <c r="F29" s="93" t="str" cm="1">
        <f t="array" ref="F29">_xlfn.LET(
  _xlpm.w, F$11,
  _xlpm.r, MATCH(1,('3. Enter Indicator Scores'!$B$10:$B$161=$B29)*('3. Enter Indicator Scores'!$C$10:$C$161=$C29),0),
  _xlpm.c, MATCH(F$8,'3. Enter Indicator Scores'!$D$8:$CZ$8,0),
  _xlpm.v, IFERROR(INDEX('3. Enter Indicator Scores'!$D$10:$CZ$161,_xlpm.r,_xlpm.c),""),
  IF(OR(_xlpm.w="",_xlpm.v=""),"",_xlpm.v*_xlpm.w)
)</f>
        <v/>
      </c>
      <c r="G29" s="93" t="str" cm="1">
        <f t="array" ref="G29">_xlfn.LET(
  _xlpm.w, G$11,
  _xlpm.r, MATCH(1,('3. Enter Indicator Scores'!$B$10:$B$161=$B29)*('3. Enter Indicator Scores'!$C$10:$C$161=$C29),0),
  _xlpm.c, MATCH(G$8,'3. Enter Indicator Scores'!$D$8:$CZ$8,0),
  _xlpm.v, IFERROR(INDEX('3. Enter Indicator Scores'!$D$10:$CZ$161,_xlpm.r,_xlpm.c),""),
  IF(OR(_xlpm.w="",_xlpm.v=""),"",_xlpm.v*_xlpm.w)
)</f>
        <v/>
      </c>
      <c r="H29" s="93" t="str" cm="1">
        <f t="array" ref="H29">_xlfn.LET(
  _xlpm.w, H$11,
  _xlpm.r, MATCH(1,('3. Enter Indicator Scores'!$B$10:$B$161=$B29)*('3. Enter Indicator Scores'!$C$10:$C$161=$C29),0),
  _xlpm.c, MATCH(H$8,'3. Enter Indicator Scores'!$D$8:$CZ$8,0),
  _xlpm.v, IFERROR(INDEX('3. Enter Indicator Scores'!$D$10:$CZ$161,_xlpm.r,_xlpm.c),""),
  IF(OR(_xlpm.w="",_xlpm.v=""),"",_xlpm.v*_xlpm.w)
)</f>
        <v/>
      </c>
      <c r="I29" s="93" t="str" cm="1">
        <f t="array" ref="I29">_xlfn.LET(
  _xlpm.w, I$11,
  _xlpm.r, MATCH(1,('3. Enter Indicator Scores'!$B$10:$B$161=$B29)*('3. Enter Indicator Scores'!$C$10:$C$161=$C29),0),
  _xlpm.c, MATCH(I$8,'3. Enter Indicator Scores'!$D$8:$CZ$8,0),
  _xlpm.v, IFERROR(INDEX('3. Enter Indicator Scores'!$D$10:$CZ$161,_xlpm.r,_xlpm.c),""),
  IF(OR(_xlpm.w="",_xlpm.v=""),"",_xlpm.v*_xlpm.w)
)</f>
        <v/>
      </c>
      <c r="J29" s="93" t="str" cm="1">
        <f t="array" ref="J29">_xlfn.LET(
  _xlpm.w, J$11,
  _xlpm.r, MATCH(1,('3. Enter Indicator Scores'!$B$10:$B$161=$B29)*('3. Enter Indicator Scores'!$C$10:$C$161=$C29),0),
  _xlpm.c, MATCH(J$8,'3. Enter Indicator Scores'!$D$8:$CZ$8,0),
  _xlpm.v, IFERROR(INDEX('3. Enter Indicator Scores'!$D$10:$CZ$161,_xlpm.r,_xlpm.c),""),
  IF(OR(_xlpm.w="",_xlpm.v=""),"",_xlpm.v*_xlpm.w)
)</f>
        <v/>
      </c>
      <c r="K29" s="93" t="str" cm="1">
        <f t="array" ref="K29">_xlfn.LET(
  _xlpm.w, K$11,
  _xlpm.r, MATCH(1,('3. Enter Indicator Scores'!$B$10:$B$161=$B29)*('3. Enter Indicator Scores'!$C$10:$C$161=$C29),0),
  _xlpm.c, MATCH(K$8,'3. Enter Indicator Scores'!$D$8:$CZ$8,0),
  _xlpm.v, IFERROR(INDEX('3. Enter Indicator Scores'!$D$10:$CZ$161,_xlpm.r,_xlpm.c),""),
  IF(OR(_xlpm.w="",_xlpm.v=""),"",_xlpm.v*_xlpm.w)
)</f>
        <v/>
      </c>
      <c r="L29" s="93" t="str" cm="1">
        <f t="array" ref="L29">_xlfn.LET(
  _xlpm.w, L$11,
  _xlpm.r, MATCH(1,('3. Enter Indicator Scores'!$B$10:$B$161=$B29)*('3. Enter Indicator Scores'!$C$10:$C$161=$C29),0),
  _xlpm.c, MATCH(L$8,'3. Enter Indicator Scores'!$D$8:$CZ$8,0),
  _xlpm.v, IFERROR(INDEX('3. Enter Indicator Scores'!$D$10:$CZ$161,_xlpm.r,_xlpm.c),""),
  IF(OR(_xlpm.w="",_xlpm.v=""),"",_xlpm.v*_xlpm.w)
)</f>
        <v/>
      </c>
      <c r="M29" s="93" t="str" cm="1">
        <f t="array" ref="M29">_xlfn.LET(
  _xlpm.w, M$11,
  _xlpm.r, MATCH(1,('3. Enter Indicator Scores'!$B$10:$B$161=$B29)*('3. Enter Indicator Scores'!$C$10:$C$161=$C29),0),
  _xlpm.c, MATCH(M$8,'3. Enter Indicator Scores'!$D$8:$CZ$8,0),
  _xlpm.v, IFERROR(INDEX('3. Enter Indicator Scores'!$D$10:$CZ$161,_xlpm.r,_xlpm.c),""),
  IF(OR(_xlpm.w="",_xlpm.v=""),"",_xlpm.v*_xlpm.w)
)</f>
        <v/>
      </c>
      <c r="N29" s="93" t="str" cm="1">
        <f t="array" ref="N29">_xlfn.LET(
  _xlpm.w, N$11,
  _xlpm.r, MATCH(1,('3. Enter Indicator Scores'!$B$10:$B$161=$B29)*('3. Enter Indicator Scores'!$C$10:$C$161=$C29),0),
  _xlpm.c, MATCH(N$8,'3. Enter Indicator Scores'!$D$8:$CZ$8,0),
  _xlpm.v, IFERROR(INDEX('3. Enter Indicator Scores'!$D$10:$CZ$161,_xlpm.r,_xlpm.c),""),
  IF(OR(_xlpm.w="",_xlpm.v=""),"",_xlpm.v*_xlpm.w)
)</f>
        <v/>
      </c>
      <c r="O29" s="93" t="str" cm="1">
        <f t="array" ref="O29">_xlfn.LET(
  _xlpm.w, O$11,
  _xlpm.r, MATCH(1,('3. Enter Indicator Scores'!$B$10:$B$161=$B29)*('3. Enter Indicator Scores'!$C$10:$C$161=$C29),0),
  _xlpm.c, MATCH(O$8,'3. Enter Indicator Scores'!$D$8:$CZ$8,0),
  _xlpm.v, IFERROR(INDEX('3. Enter Indicator Scores'!$D$10:$CZ$161,_xlpm.r,_xlpm.c),""),
  IF(OR(_xlpm.w="",_xlpm.v=""),"",_xlpm.v*_xlpm.w)
)</f>
        <v/>
      </c>
      <c r="P29" s="93" t="str" cm="1">
        <f t="array" ref="P29">_xlfn.LET(
  _xlpm.w, P$11,
  _xlpm.r, MATCH(1,('3. Enter Indicator Scores'!$B$10:$B$161=$B29)*('3. Enter Indicator Scores'!$C$10:$C$161=$C29),0),
  _xlpm.c, MATCH(P$8,'3. Enter Indicator Scores'!$D$8:$CZ$8,0),
  _xlpm.v, IFERROR(INDEX('3. Enter Indicator Scores'!$D$10:$CZ$161,_xlpm.r,_xlpm.c),""),
  IF(OR(_xlpm.w="",_xlpm.v=""),"",_xlpm.v*_xlpm.w)
)</f>
        <v/>
      </c>
      <c r="Q29" s="93" t="str" cm="1">
        <f t="array" ref="Q29">_xlfn.LET(
  _xlpm.w, Q$11,
  _xlpm.r, MATCH(1,('3. Enter Indicator Scores'!$B$10:$B$161=$B29)*('3. Enter Indicator Scores'!$C$10:$C$161=$C29),0),
  _xlpm.c, MATCH(Q$8,'3. Enter Indicator Scores'!$D$8:$CZ$8,0),
  _xlpm.v, IFERROR(INDEX('3. Enter Indicator Scores'!$D$10:$CZ$161,_xlpm.r,_xlpm.c),""),
  IF(OR(_xlpm.w="",_xlpm.v=""),"",_xlpm.v*_xlpm.w)
)</f>
        <v/>
      </c>
      <c r="R29" s="93" t="str" cm="1">
        <f t="array" ref="R29">_xlfn.LET(
  _xlpm.w, R$11,
  _xlpm.r, MATCH(1,('3. Enter Indicator Scores'!$B$10:$B$161=$B29)*('3. Enter Indicator Scores'!$C$10:$C$161=$C29),0),
  _xlpm.c, MATCH(R$8,'3. Enter Indicator Scores'!$D$8:$CZ$8,0),
  _xlpm.v, IFERROR(INDEX('3. Enter Indicator Scores'!$D$10:$CZ$161,_xlpm.r,_xlpm.c),""),
  IF(OR(_xlpm.w="",_xlpm.v=""),"",_xlpm.v*_xlpm.w)
)</f>
        <v/>
      </c>
      <c r="S29" s="93" t="str" cm="1">
        <f t="array" ref="S29">_xlfn.LET(
  _xlpm.w, S$11,
  _xlpm.r, MATCH(1,('3. Enter Indicator Scores'!$B$10:$B$161=$B29)*('3. Enter Indicator Scores'!$C$10:$C$161=$C29),0),
  _xlpm.c, MATCH(S$8,'3. Enter Indicator Scores'!$D$8:$CZ$8,0),
  _xlpm.v, IFERROR(INDEX('3. Enter Indicator Scores'!$D$10:$CZ$161,_xlpm.r,_xlpm.c),""),
  IF(OR(_xlpm.w="",_xlpm.v=""),"",_xlpm.v*_xlpm.w)
)</f>
        <v/>
      </c>
      <c r="T29" s="93" t="str" cm="1">
        <f t="array" ref="T29">_xlfn.LET(
  _xlpm.w, T$11,
  _xlpm.r, MATCH(1,('3. Enter Indicator Scores'!$B$10:$B$161=$B29)*('3. Enter Indicator Scores'!$C$10:$C$161=$C29),0),
  _xlpm.c, MATCH(T$8,'3. Enter Indicator Scores'!$D$8:$CZ$8,0),
  _xlpm.v, IFERROR(INDEX('3. Enter Indicator Scores'!$D$10:$CZ$161,_xlpm.r,_xlpm.c),""),
  IF(OR(_xlpm.w="",_xlpm.v=""),"",_xlpm.v*_xlpm.w)
)</f>
        <v/>
      </c>
      <c r="U29" s="93" t="str" cm="1">
        <f t="array" ref="U29">_xlfn.LET(
  _xlpm.w, U$11,
  _xlpm.r, MATCH(1,('3. Enter Indicator Scores'!$B$10:$B$161=$B29)*('3. Enter Indicator Scores'!$C$10:$C$161=$C29),0),
  _xlpm.c, MATCH(U$8,'3. Enter Indicator Scores'!$D$8:$CZ$8,0),
  _xlpm.v, IFERROR(INDEX('3. Enter Indicator Scores'!$D$10:$CZ$161,_xlpm.r,_xlpm.c),""),
  IF(OR(_xlpm.w="",_xlpm.v=""),"",_xlpm.v*_xlpm.w)
)</f>
        <v/>
      </c>
      <c r="V29" s="93" t="str" cm="1">
        <f t="array" ref="V29">_xlfn.LET(
  _xlpm.w, V$11,
  _xlpm.r, MATCH(1,('3. Enter Indicator Scores'!$B$10:$B$161=$B29)*('3. Enter Indicator Scores'!$C$10:$C$161=$C29),0),
  _xlpm.c, MATCH(V$8,'3. Enter Indicator Scores'!$D$8:$CZ$8,0),
  _xlpm.v, IFERROR(INDEX('3. Enter Indicator Scores'!$D$10:$CZ$161,_xlpm.r,_xlpm.c),""),
  IF(OR(_xlpm.w="",_xlpm.v=""),"",_xlpm.v*_xlpm.w)
)</f>
        <v/>
      </c>
      <c r="W29" s="93" t="str" cm="1">
        <f t="array" ref="W29">_xlfn.LET(
  _xlpm.w, W$11,
  _xlpm.r, MATCH(1,('3. Enter Indicator Scores'!$B$10:$B$161=$B29)*('3. Enter Indicator Scores'!$C$10:$C$161=$C29),0),
  _xlpm.c, MATCH(W$8,'3. Enter Indicator Scores'!$D$8:$CZ$8,0),
  _xlpm.v, IFERROR(INDEX('3. Enter Indicator Scores'!$D$10:$CZ$161,_xlpm.r,_xlpm.c),""),
  IF(OR(_xlpm.w="",_xlpm.v=""),"",_xlpm.v*_xlpm.w)
)</f>
        <v/>
      </c>
      <c r="X29" s="93" t="str" cm="1">
        <f t="array" ref="X29">_xlfn.LET(
  _xlpm.w, X$11,
  _xlpm.r, MATCH(1,('3. Enter Indicator Scores'!$B$10:$B$161=$B29)*('3. Enter Indicator Scores'!$C$10:$C$161=$C29),0),
  _xlpm.c, MATCH(X$8,'3. Enter Indicator Scores'!$D$8:$CZ$8,0),
  _xlpm.v, IFERROR(INDEX('3. Enter Indicator Scores'!$D$10:$CZ$161,_xlpm.r,_xlpm.c),""),
  IF(OR(_xlpm.w="",_xlpm.v=""),"",_xlpm.v*_xlpm.w)
)</f>
        <v/>
      </c>
      <c r="Y29" s="93" t="str" cm="1">
        <f t="array" ref="Y29">_xlfn.LET(
  _xlpm.w, Y$11,
  _xlpm.r, MATCH(1,('3. Enter Indicator Scores'!$B$10:$B$161=$B29)*('3. Enter Indicator Scores'!$C$10:$C$161=$C29),0),
  _xlpm.c, MATCH(Y$8,'3. Enter Indicator Scores'!$D$8:$CZ$8,0),
  _xlpm.v, IFERROR(INDEX('3. Enter Indicator Scores'!$D$10:$CZ$161,_xlpm.r,_xlpm.c),""),
  IF(OR(_xlpm.w="",_xlpm.v=""),"",_xlpm.v*_xlpm.w)
)</f>
        <v/>
      </c>
      <c r="Z29" s="93" t="str" cm="1">
        <f t="array" ref="Z29">_xlfn.LET(
  _xlpm.w, Z$11,
  _xlpm.r, MATCH(1,('3. Enter Indicator Scores'!$B$10:$B$161=$B29)*('3. Enter Indicator Scores'!$C$10:$C$161=$C29),0),
  _xlpm.c, MATCH(Z$8,'3. Enter Indicator Scores'!$D$8:$CZ$8,0),
  _xlpm.v, IFERROR(INDEX('3. Enter Indicator Scores'!$D$10:$CZ$161,_xlpm.r,_xlpm.c),""),
  IF(OR(_xlpm.w="",_xlpm.v=""),"",_xlpm.v*_xlpm.w)
)</f>
        <v/>
      </c>
      <c r="AA29" s="93" t="str" cm="1">
        <f t="array" ref="AA29">_xlfn.LET(
  _xlpm.w, AA$11,
  _xlpm.r, MATCH(1,('3. Enter Indicator Scores'!$B$10:$B$161=$B29)*('3. Enter Indicator Scores'!$C$10:$C$161=$C29),0),
  _xlpm.c, MATCH(AA$8,'3. Enter Indicator Scores'!$D$8:$CZ$8,0),
  _xlpm.v, IFERROR(INDEX('3. Enter Indicator Scores'!$D$10:$CZ$161,_xlpm.r,_xlpm.c),""),
  IF(OR(_xlpm.w="",_xlpm.v=""),"",_xlpm.v*_xlpm.w)
)</f>
        <v/>
      </c>
      <c r="AB29" s="93" t="str" cm="1">
        <f t="array" ref="AB29">_xlfn.LET(
  _xlpm.w, AB$11,
  _xlpm.r, MATCH(1,('3. Enter Indicator Scores'!$B$10:$B$161=$B29)*('3. Enter Indicator Scores'!$C$10:$C$161=$C29),0),
  _xlpm.c, MATCH(AB$8,'3. Enter Indicator Scores'!$D$8:$CZ$8,0),
  _xlpm.v, IFERROR(INDEX('3. Enter Indicator Scores'!$D$10:$CZ$161,_xlpm.r,_xlpm.c),""),
  IF(OR(_xlpm.w="",_xlpm.v=""),"",_xlpm.v*_xlpm.w)
)</f>
        <v/>
      </c>
      <c r="AC29" s="93" t="str" cm="1">
        <f t="array" ref="AC29">_xlfn.LET(
  _xlpm.w, AC$11,
  _xlpm.r, MATCH(1,('3. Enter Indicator Scores'!$B$10:$B$161=$B29)*('3. Enter Indicator Scores'!$C$10:$C$161=$C29),0),
  _xlpm.c, MATCH(AC$8,'3. Enter Indicator Scores'!$D$8:$CZ$8,0),
  _xlpm.v, IFERROR(INDEX('3. Enter Indicator Scores'!$D$10:$CZ$161,_xlpm.r,_xlpm.c),""),
  IF(OR(_xlpm.w="",_xlpm.v=""),"",_xlpm.v*_xlpm.w)
)</f>
        <v/>
      </c>
      <c r="AD29" s="93" t="str" cm="1">
        <f t="array" ref="AD29">_xlfn.LET(
  _xlpm.w, AD$11,
  _xlpm.r, MATCH(1,('3. Enter Indicator Scores'!$B$10:$B$161=$B29)*('3. Enter Indicator Scores'!$C$10:$C$161=$C29),0),
  _xlpm.c, MATCH(AD$8,'3. Enter Indicator Scores'!$D$8:$CZ$8,0),
  _xlpm.v, IFERROR(INDEX('3. Enter Indicator Scores'!$D$10:$CZ$161,_xlpm.r,_xlpm.c),""),
  IF(OR(_xlpm.w="",_xlpm.v=""),"",_xlpm.v*_xlpm.w)
)</f>
        <v/>
      </c>
      <c r="AE29" s="93" t="str" cm="1">
        <f t="array" ref="AE29">_xlfn.LET(
  _xlpm.w, AE$11,
  _xlpm.r, MATCH(1,('3. Enter Indicator Scores'!$B$10:$B$161=$B29)*('3. Enter Indicator Scores'!$C$10:$C$161=$C29),0),
  _xlpm.c, MATCH(AE$8,'3. Enter Indicator Scores'!$D$8:$CZ$8,0),
  _xlpm.v, IFERROR(INDEX('3. Enter Indicator Scores'!$D$10:$CZ$161,_xlpm.r,_xlpm.c),""),
  IF(OR(_xlpm.w="",_xlpm.v=""),"",_xlpm.v*_xlpm.w)
)</f>
        <v/>
      </c>
      <c r="AF29" s="93" t="str" cm="1">
        <f t="array" ref="AF29">_xlfn.LET(
  _xlpm.w, AF$11,
  _xlpm.r, MATCH(1,('3. Enter Indicator Scores'!$B$10:$B$161=$B29)*('3. Enter Indicator Scores'!$C$10:$C$161=$C29),0),
  _xlpm.c, MATCH(AF$8,'3. Enter Indicator Scores'!$D$8:$CZ$8,0),
  _xlpm.v, IFERROR(INDEX('3. Enter Indicator Scores'!$D$10:$CZ$161,_xlpm.r,_xlpm.c),""),
  IF(OR(_xlpm.w="",_xlpm.v=""),"",_xlpm.v*_xlpm.w)
)</f>
        <v/>
      </c>
      <c r="AG29" s="93" t="str" cm="1">
        <f t="array" ref="AG29">_xlfn.LET(
  _xlpm.w, AG$11,
  _xlpm.r, MATCH(1,('3. Enter Indicator Scores'!$B$10:$B$161=$B29)*('3. Enter Indicator Scores'!$C$10:$C$161=$C29),0),
  _xlpm.c, MATCH(AG$8,'3. Enter Indicator Scores'!$D$8:$CZ$8,0),
  _xlpm.v, IFERROR(INDEX('3. Enter Indicator Scores'!$D$10:$CZ$161,_xlpm.r,_xlpm.c),""),
  IF(OR(_xlpm.w="",_xlpm.v=""),"",_xlpm.v*_xlpm.w)
)</f>
        <v/>
      </c>
      <c r="AH29" s="93" t="str" cm="1">
        <f t="array" ref="AH29">_xlfn.LET(
  _xlpm.w, AH$11,
  _xlpm.r, MATCH(1,('3. Enter Indicator Scores'!$B$10:$B$161=$B29)*('3. Enter Indicator Scores'!$C$10:$C$161=$C29),0),
  _xlpm.c, MATCH(AH$8,'3. Enter Indicator Scores'!$D$8:$CZ$8,0),
  _xlpm.v, IFERROR(INDEX('3. Enter Indicator Scores'!$D$10:$CZ$161,_xlpm.r,_xlpm.c),""),
  IF(OR(_xlpm.w="",_xlpm.v=""),"",_xlpm.v*_xlpm.w)
)</f>
        <v/>
      </c>
      <c r="AI29" s="93" t="str" cm="1">
        <f t="array" ref="AI29">_xlfn.LET(
  _xlpm.w, AI$11,
  _xlpm.r, MATCH(1,('3. Enter Indicator Scores'!$B$10:$B$161=$B29)*('3. Enter Indicator Scores'!$C$10:$C$161=$C29),0),
  _xlpm.c, MATCH(AI$8,'3. Enter Indicator Scores'!$D$8:$CZ$8,0),
  _xlpm.v, IFERROR(INDEX('3. Enter Indicator Scores'!$D$10:$CZ$161,_xlpm.r,_xlpm.c),""),
  IF(OR(_xlpm.w="",_xlpm.v=""),"",_xlpm.v*_xlpm.w)
)</f>
        <v/>
      </c>
      <c r="AJ29" s="93" t="str" cm="1">
        <f t="array" ref="AJ29">_xlfn.LET(
  _xlpm.w, AJ$11,
  _xlpm.r, MATCH(1,('3. Enter Indicator Scores'!$B$10:$B$161=$B29)*('3. Enter Indicator Scores'!$C$10:$C$161=$C29),0),
  _xlpm.c, MATCH(AJ$8,'3. Enter Indicator Scores'!$D$8:$CZ$8,0),
  _xlpm.v, IFERROR(INDEX('3. Enter Indicator Scores'!$D$10:$CZ$161,_xlpm.r,_xlpm.c),""),
  IF(OR(_xlpm.w="",_xlpm.v=""),"",_xlpm.v*_xlpm.w)
)</f>
        <v/>
      </c>
      <c r="AK29" s="93" t="str" cm="1">
        <f t="array" ref="AK29">_xlfn.LET(
  _xlpm.w, AK$11,
  _xlpm.r, MATCH(1,('3. Enter Indicator Scores'!$B$10:$B$161=$B29)*('3. Enter Indicator Scores'!$C$10:$C$161=$C29),0),
  _xlpm.c, MATCH(AK$8,'3. Enter Indicator Scores'!$D$8:$CZ$8,0),
  _xlpm.v, IFERROR(INDEX('3. Enter Indicator Scores'!$D$10:$CZ$161,_xlpm.r,_xlpm.c),""),
  IF(OR(_xlpm.w="",_xlpm.v=""),"",_xlpm.v*_xlpm.w)
)</f>
        <v/>
      </c>
      <c r="AL29" s="93" t="str" cm="1">
        <f t="array" ref="AL29">_xlfn.LET(
  _xlpm.w, AL$11,
  _xlpm.r, MATCH(1,('3. Enter Indicator Scores'!$B$10:$B$161=$B29)*('3. Enter Indicator Scores'!$C$10:$C$161=$C29),0),
  _xlpm.c, MATCH(AL$8,'3. Enter Indicator Scores'!$D$8:$CZ$8,0),
  _xlpm.v, IFERROR(INDEX('3. Enter Indicator Scores'!$D$10:$CZ$161,_xlpm.r,_xlpm.c),""),
  IF(OR(_xlpm.w="",_xlpm.v=""),"",_xlpm.v*_xlpm.w)
)</f>
        <v/>
      </c>
      <c r="AM29" s="93" t="str" cm="1">
        <f t="array" ref="AM29">_xlfn.LET(
  _xlpm.w, AM$11,
  _xlpm.r, MATCH(1,('3. Enter Indicator Scores'!$B$10:$B$161=$B29)*('3. Enter Indicator Scores'!$C$10:$C$161=$C29),0),
  _xlpm.c, MATCH(AM$8,'3. Enter Indicator Scores'!$D$8:$CZ$8,0),
  _xlpm.v, IFERROR(INDEX('3. Enter Indicator Scores'!$D$10:$CZ$161,_xlpm.r,_xlpm.c),""),
  IF(OR(_xlpm.w="",_xlpm.v=""),"",_xlpm.v*_xlpm.w)
)</f>
        <v/>
      </c>
      <c r="AN29" s="93" t="str" cm="1">
        <f t="array" ref="AN29">_xlfn.LET(
  _xlpm.w, AN$11,
  _xlpm.r, MATCH(1,('3. Enter Indicator Scores'!$B$10:$B$161=$B29)*('3. Enter Indicator Scores'!$C$10:$C$161=$C29),0),
  _xlpm.c, MATCH(AN$8,'3. Enter Indicator Scores'!$D$8:$CZ$8,0),
  _xlpm.v, IFERROR(INDEX('3. Enter Indicator Scores'!$D$10:$CZ$161,_xlpm.r,_xlpm.c),""),
  IF(OR(_xlpm.w="",_xlpm.v=""),"",_xlpm.v*_xlpm.w)
)</f>
        <v/>
      </c>
      <c r="AO29" s="93" t="str" cm="1">
        <f t="array" ref="AO29">_xlfn.LET(
  _xlpm.w, AO$11,
  _xlpm.r, MATCH(1,('3. Enter Indicator Scores'!$B$10:$B$161=$B29)*('3. Enter Indicator Scores'!$C$10:$C$161=$C29),0),
  _xlpm.c, MATCH(AO$8,'3. Enter Indicator Scores'!$D$8:$CZ$8,0),
  _xlpm.v, IFERROR(INDEX('3. Enter Indicator Scores'!$D$10:$CZ$161,_xlpm.r,_xlpm.c),""),
  IF(OR(_xlpm.w="",_xlpm.v=""),"",_xlpm.v*_xlpm.w)
)</f>
        <v/>
      </c>
      <c r="AP29" s="93" t="str" cm="1">
        <f t="array" ref="AP29">_xlfn.LET(
  _xlpm.w, AP$11,
  _xlpm.r, MATCH(1,('3. Enter Indicator Scores'!$B$10:$B$161=$B29)*('3. Enter Indicator Scores'!$C$10:$C$161=$C29),0),
  _xlpm.c, MATCH(AP$8,'3. Enter Indicator Scores'!$D$8:$CZ$8,0),
  _xlpm.v, IFERROR(INDEX('3. Enter Indicator Scores'!$D$10:$CZ$161,_xlpm.r,_xlpm.c),""),
  IF(OR(_xlpm.w="",_xlpm.v=""),"",_xlpm.v*_xlpm.w)
)</f>
        <v/>
      </c>
      <c r="AQ29" s="93" t="str" cm="1">
        <f t="array" ref="AQ29">_xlfn.LET(
  _xlpm.w, AQ$11,
  _xlpm.r, MATCH(1,('3. Enter Indicator Scores'!$B$10:$B$161=$B29)*('3. Enter Indicator Scores'!$C$10:$C$161=$C29),0),
  _xlpm.c, MATCH(AQ$8,'3. Enter Indicator Scores'!$D$8:$CZ$8,0),
  _xlpm.v, IFERROR(INDEX('3. Enter Indicator Scores'!$D$10:$CZ$161,_xlpm.r,_xlpm.c),""),
  IF(OR(_xlpm.w="",_xlpm.v=""),"",_xlpm.v*_xlpm.w)
)</f>
        <v/>
      </c>
      <c r="AR29" s="93" t="str" cm="1">
        <f t="array" ref="AR29">_xlfn.LET(
  _xlpm.w, AR$11,
  _xlpm.r, MATCH(1,('3. Enter Indicator Scores'!$B$10:$B$161=$B29)*('3. Enter Indicator Scores'!$C$10:$C$161=$C29),0),
  _xlpm.c, MATCH(AR$8,'3. Enter Indicator Scores'!$D$8:$CZ$8,0),
  _xlpm.v, IFERROR(INDEX('3. Enter Indicator Scores'!$D$10:$CZ$161,_xlpm.r,_xlpm.c),""),
  IF(OR(_xlpm.w="",_xlpm.v=""),"",_xlpm.v*_xlpm.w)
)</f>
        <v/>
      </c>
      <c r="AS29" s="93" t="str" cm="1">
        <f t="array" ref="AS29">_xlfn.LET(
  _xlpm.w, AS$11,
  _xlpm.r, MATCH(1,('3. Enter Indicator Scores'!$B$10:$B$161=$B29)*('3. Enter Indicator Scores'!$C$10:$C$161=$C29),0),
  _xlpm.c, MATCH(AS$8,'3. Enter Indicator Scores'!$D$8:$CZ$8,0),
  _xlpm.v, IFERROR(INDEX('3. Enter Indicator Scores'!$D$10:$CZ$161,_xlpm.r,_xlpm.c),""),
  IF(OR(_xlpm.w="",_xlpm.v=""),"",_xlpm.v*_xlpm.w)
)</f>
        <v/>
      </c>
      <c r="AT29" s="93" t="str" cm="1">
        <f t="array" ref="AT29">_xlfn.LET(
  _xlpm.w, AT$11,
  _xlpm.r, MATCH(1,('3. Enter Indicator Scores'!$B$10:$B$161=$B29)*('3. Enter Indicator Scores'!$C$10:$C$161=$C29),0),
  _xlpm.c, MATCH(AT$8,'3. Enter Indicator Scores'!$D$8:$CZ$8,0),
  _xlpm.v, IFERROR(INDEX('3. Enter Indicator Scores'!$D$10:$CZ$161,_xlpm.r,_xlpm.c),""),
  IF(OR(_xlpm.w="",_xlpm.v=""),"",_xlpm.v*_xlpm.w)
)</f>
        <v/>
      </c>
      <c r="AU29" s="93" t="str" cm="1">
        <f t="array" ref="AU29">_xlfn.LET(
  _xlpm.w, AU$11,
  _xlpm.r, MATCH(1,('3. Enter Indicator Scores'!$B$10:$B$161=$B29)*('3. Enter Indicator Scores'!$C$10:$C$161=$C29),0),
  _xlpm.c, MATCH(AU$8,'3. Enter Indicator Scores'!$D$8:$CZ$8,0),
  _xlpm.v, IFERROR(INDEX('3. Enter Indicator Scores'!$D$10:$CZ$161,_xlpm.r,_xlpm.c),""),
  IF(OR(_xlpm.w="",_xlpm.v=""),"",_xlpm.v*_xlpm.w)
)</f>
        <v/>
      </c>
      <c r="AV29" s="93" t="str" cm="1">
        <f t="array" ref="AV29">_xlfn.LET(
  _xlpm.w, AV$11,
  _xlpm.r, MATCH(1,('3. Enter Indicator Scores'!$B$10:$B$161=$B29)*('3. Enter Indicator Scores'!$C$10:$C$161=$C29),0),
  _xlpm.c, MATCH(AV$8,'3. Enter Indicator Scores'!$D$8:$CZ$8,0),
  _xlpm.v, IFERROR(INDEX('3. Enter Indicator Scores'!$D$10:$CZ$161,_xlpm.r,_xlpm.c),""),
  IF(OR(_xlpm.w="",_xlpm.v=""),"",_xlpm.v*_xlpm.w)
)</f>
        <v/>
      </c>
      <c r="AW29" s="93" t="str" cm="1">
        <f t="array" ref="AW29">_xlfn.LET(
  _xlpm.w, AW$11,
  _xlpm.r, MATCH(1,('3. Enter Indicator Scores'!$B$10:$B$161=$B29)*('3. Enter Indicator Scores'!$C$10:$C$161=$C29),0),
  _xlpm.c, MATCH(AW$8,'3. Enter Indicator Scores'!$D$8:$CZ$8,0),
  _xlpm.v, IFERROR(INDEX('3. Enter Indicator Scores'!$D$10:$CZ$161,_xlpm.r,_xlpm.c),""),
  IF(OR(_xlpm.w="",_xlpm.v=""),"",_xlpm.v*_xlpm.w)
)</f>
        <v/>
      </c>
      <c r="AX29" s="93" t="str" cm="1">
        <f t="array" ref="AX29">_xlfn.LET(
  _xlpm.w, AX$11,
  _xlpm.r, MATCH(1,('3. Enter Indicator Scores'!$B$10:$B$161=$B29)*('3. Enter Indicator Scores'!$C$10:$C$161=$C29),0),
  _xlpm.c, MATCH(AX$8,'3. Enter Indicator Scores'!$D$8:$CZ$8,0),
  _xlpm.v, IFERROR(INDEX('3. Enter Indicator Scores'!$D$10:$CZ$161,_xlpm.r,_xlpm.c),""),
  IF(OR(_xlpm.w="",_xlpm.v=""),"",_xlpm.v*_xlpm.w)
)</f>
        <v/>
      </c>
      <c r="AY29" s="93" t="str" cm="1">
        <f t="array" ref="AY29">_xlfn.LET(
  _xlpm.w, AY$11,
  _xlpm.r, MATCH(1,('3. Enter Indicator Scores'!$B$10:$B$161=$B29)*('3. Enter Indicator Scores'!$C$10:$C$161=$C29),0),
  _xlpm.c, MATCH(AY$8,'3. Enter Indicator Scores'!$D$8:$CZ$8,0),
  _xlpm.v, IFERROR(INDEX('3. Enter Indicator Scores'!$D$10:$CZ$161,_xlpm.r,_xlpm.c),""),
  IF(OR(_xlpm.w="",_xlpm.v=""),"",_xlpm.v*_xlpm.w)
)</f>
        <v/>
      </c>
      <c r="AZ29" s="93" t="str" cm="1">
        <f t="array" ref="AZ29">_xlfn.LET(
  _xlpm.w, AZ$11,
  _xlpm.r, MATCH(1,('3. Enter Indicator Scores'!$B$10:$B$161=$B29)*('3. Enter Indicator Scores'!$C$10:$C$161=$C29),0),
  _xlpm.c, MATCH(AZ$8,'3. Enter Indicator Scores'!$D$8:$CZ$8,0),
  _xlpm.v, IFERROR(INDEX('3. Enter Indicator Scores'!$D$10:$CZ$161,_xlpm.r,_xlpm.c),""),
  IF(OR(_xlpm.w="",_xlpm.v=""),"",_xlpm.v*_xlpm.w)
)</f>
        <v/>
      </c>
      <c r="BA29" s="93" t="str" cm="1">
        <f t="array" ref="BA29">_xlfn.LET(
  _xlpm.w, BA$11,
  _xlpm.r, MATCH(1,('3. Enter Indicator Scores'!$B$10:$B$161=$B29)*('3. Enter Indicator Scores'!$C$10:$C$161=$C29),0),
  _xlpm.c, MATCH(BA$8,'3. Enter Indicator Scores'!$D$8:$CZ$8,0),
  _xlpm.v, IFERROR(INDEX('3. Enter Indicator Scores'!$D$10:$CZ$161,_xlpm.r,_xlpm.c),""),
  IF(OR(_xlpm.w="",_xlpm.v=""),"",_xlpm.v*_xlpm.w)
)</f>
        <v/>
      </c>
      <c r="BB29" s="93" t="str" cm="1">
        <f t="array" ref="BB29">_xlfn.LET(
  _xlpm.w, BB$11,
  _xlpm.r, MATCH(1,('3. Enter Indicator Scores'!$B$10:$B$161=$B29)*('3. Enter Indicator Scores'!$C$10:$C$161=$C29),0),
  _xlpm.c, MATCH(BB$8,'3. Enter Indicator Scores'!$D$8:$CZ$8,0),
  _xlpm.v, IFERROR(INDEX('3. Enter Indicator Scores'!$D$10:$CZ$161,_xlpm.r,_xlpm.c),""),
  IF(OR(_xlpm.w="",_xlpm.v=""),"",_xlpm.v*_xlpm.w)
)</f>
        <v/>
      </c>
      <c r="BC29" s="93" t="str" cm="1">
        <f t="array" ref="BC29">_xlfn.LET(
  _xlpm.w, BC$11,
  _xlpm.r, MATCH(1,('3. Enter Indicator Scores'!$B$10:$B$161=$B29)*('3. Enter Indicator Scores'!$C$10:$C$161=$C29),0),
  _xlpm.c, MATCH(BC$8,'3. Enter Indicator Scores'!$D$8:$CZ$8,0),
  _xlpm.v, IFERROR(INDEX('3. Enter Indicator Scores'!$D$10:$CZ$161,_xlpm.r,_xlpm.c),""),
  IF(OR(_xlpm.w="",_xlpm.v=""),"",_xlpm.v*_xlpm.w)
)</f>
        <v/>
      </c>
      <c r="BD29" s="93" t="str" cm="1">
        <f t="array" ref="BD29">_xlfn.LET(
  _xlpm.w, BD$11,
  _xlpm.r, MATCH(1,('3. Enter Indicator Scores'!$B$10:$B$161=$B29)*('3. Enter Indicator Scores'!$C$10:$C$161=$C29),0),
  _xlpm.c, MATCH(BD$8,'3. Enter Indicator Scores'!$D$8:$CZ$8,0),
  _xlpm.v, IFERROR(INDEX('3. Enter Indicator Scores'!$D$10:$CZ$161,_xlpm.r,_xlpm.c),""),
  IF(OR(_xlpm.w="",_xlpm.v=""),"",_xlpm.v*_xlpm.w)
)</f>
        <v/>
      </c>
      <c r="BE29" s="93" t="str" cm="1">
        <f t="array" ref="BE29">_xlfn.LET(
  _xlpm.w, BE$11,
  _xlpm.r, MATCH(1,('3. Enter Indicator Scores'!$B$10:$B$161=$B29)*('3. Enter Indicator Scores'!$C$10:$C$161=$C29),0),
  _xlpm.c, MATCH(BE$8,'3. Enter Indicator Scores'!$D$8:$CZ$8,0),
  _xlpm.v, IFERROR(INDEX('3. Enter Indicator Scores'!$D$10:$CZ$161,_xlpm.r,_xlpm.c),""),
  IF(OR(_xlpm.w="",_xlpm.v=""),"",_xlpm.v*_xlpm.w)
)</f>
        <v/>
      </c>
      <c r="BF29" s="93" t="str" cm="1">
        <f t="array" ref="BF29">_xlfn.LET(
  _xlpm.w, BF$11,
  _xlpm.r, MATCH(1,('3. Enter Indicator Scores'!$B$10:$B$161=$B29)*('3. Enter Indicator Scores'!$C$10:$C$161=$C29),0),
  _xlpm.c, MATCH(BF$8,'3. Enter Indicator Scores'!$D$8:$CZ$8,0),
  _xlpm.v, IFERROR(INDEX('3. Enter Indicator Scores'!$D$10:$CZ$161,_xlpm.r,_xlpm.c),""),
  IF(OR(_xlpm.w="",_xlpm.v=""),"",_xlpm.v*_xlpm.w)
)</f>
        <v/>
      </c>
      <c r="BG29" s="93" t="str" cm="1">
        <f t="array" ref="BG29">_xlfn.LET(
  _xlpm.w, BG$11,
  _xlpm.r, MATCH(1,('3. Enter Indicator Scores'!$B$10:$B$161=$B29)*('3. Enter Indicator Scores'!$C$10:$C$161=$C29),0),
  _xlpm.c, MATCH(BG$8,'3. Enter Indicator Scores'!$D$8:$CZ$8,0),
  _xlpm.v, IFERROR(INDEX('3. Enter Indicator Scores'!$D$10:$CZ$161,_xlpm.r,_xlpm.c),""),
  IF(OR(_xlpm.w="",_xlpm.v=""),"",_xlpm.v*_xlpm.w)
)</f>
        <v/>
      </c>
      <c r="BH29" s="93" t="str" cm="1">
        <f t="array" ref="BH29">_xlfn.LET(
  _xlpm.w, BH$11,
  _xlpm.r, MATCH(1,('3. Enter Indicator Scores'!$B$10:$B$161=$B29)*('3. Enter Indicator Scores'!$C$10:$C$161=$C29),0),
  _xlpm.c, MATCH(BH$8,'3. Enter Indicator Scores'!$D$8:$CZ$8,0),
  _xlpm.v, IFERROR(INDEX('3. Enter Indicator Scores'!$D$10:$CZ$161,_xlpm.r,_xlpm.c),""),
  IF(OR(_xlpm.w="",_xlpm.v=""),"",_xlpm.v*_xlpm.w)
)</f>
        <v/>
      </c>
      <c r="BI29" s="93" t="str" cm="1">
        <f t="array" ref="BI29">_xlfn.LET(
  _xlpm.w, BI$11,
  _xlpm.r, MATCH(1,('3. Enter Indicator Scores'!$B$10:$B$161=$B29)*('3. Enter Indicator Scores'!$C$10:$C$161=$C29),0),
  _xlpm.c, MATCH(BI$8,'3. Enter Indicator Scores'!$D$8:$CZ$8,0),
  _xlpm.v, IFERROR(INDEX('3. Enter Indicator Scores'!$D$10:$CZ$161,_xlpm.r,_xlpm.c),""),
  IF(OR(_xlpm.w="",_xlpm.v=""),"",_xlpm.v*_xlpm.w)
)</f>
        <v/>
      </c>
      <c r="BJ29" s="93" t="str" cm="1">
        <f t="array" ref="BJ29">_xlfn.LET(
  _xlpm.w, BJ$11,
  _xlpm.r, MATCH(1,('3. Enter Indicator Scores'!$B$10:$B$161=$B29)*('3. Enter Indicator Scores'!$C$10:$C$161=$C29),0),
  _xlpm.c, MATCH(BJ$8,'3. Enter Indicator Scores'!$D$8:$CZ$8,0),
  _xlpm.v, IFERROR(INDEX('3. Enter Indicator Scores'!$D$10:$CZ$161,_xlpm.r,_xlpm.c),""),
  IF(OR(_xlpm.w="",_xlpm.v=""),"",_xlpm.v*_xlpm.w)
)</f>
        <v/>
      </c>
      <c r="BK29" s="93" t="str" cm="1">
        <f t="array" ref="BK29">_xlfn.LET(
  _xlpm.w, BK$11,
  _xlpm.r, MATCH(1,('3. Enter Indicator Scores'!$B$10:$B$161=$B29)*('3. Enter Indicator Scores'!$C$10:$C$161=$C29),0),
  _xlpm.c, MATCH(BK$8,'3. Enter Indicator Scores'!$D$8:$CZ$8,0),
  _xlpm.v, IFERROR(INDEX('3. Enter Indicator Scores'!$D$10:$CZ$161,_xlpm.r,_xlpm.c),""),
  IF(OR(_xlpm.w="",_xlpm.v=""),"",_xlpm.v*_xlpm.w)
)</f>
        <v/>
      </c>
      <c r="BL29" s="93" t="str" cm="1">
        <f t="array" ref="BL29">_xlfn.LET(
  _xlpm.w, BL$11,
  _xlpm.r, MATCH(1,('3. Enter Indicator Scores'!$B$10:$B$161=$B29)*('3. Enter Indicator Scores'!$C$10:$C$161=$C29),0),
  _xlpm.c, MATCH(BL$8,'3. Enter Indicator Scores'!$D$8:$CZ$8,0),
  _xlpm.v, IFERROR(INDEX('3. Enter Indicator Scores'!$D$10:$CZ$161,_xlpm.r,_xlpm.c),""),
  IF(OR(_xlpm.w="",_xlpm.v=""),"",_xlpm.v*_xlpm.w)
)</f>
        <v/>
      </c>
      <c r="BM29" s="93" t="str" cm="1">
        <f t="array" ref="BM29">_xlfn.LET(
  _xlpm.w, BM$11,
  _xlpm.r, MATCH(1,('3. Enter Indicator Scores'!$B$10:$B$161=$B29)*('3. Enter Indicator Scores'!$C$10:$C$161=$C29),0),
  _xlpm.c, MATCH(BM$8,'3. Enter Indicator Scores'!$D$8:$CZ$8,0),
  _xlpm.v, IFERROR(INDEX('3. Enter Indicator Scores'!$D$10:$CZ$161,_xlpm.r,_xlpm.c),""),
  IF(OR(_xlpm.w="",_xlpm.v=""),"",_xlpm.v*_xlpm.w)
)</f>
        <v/>
      </c>
      <c r="BN29" s="93" t="str" cm="1">
        <f t="array" ref="BN29">_xlfn.LET(
  _xlpm.w, BN$11,
  _xlpm.r, MATCH(1,('3. Enter Indicator Scores'!$B$10:$B$161=$B29)*('3. Enter Indicator Scores'!$C$10:$C$161=$C29),0),
  _xlpm.c, MATCH(BN$8,'3. Enter Indicator Scores'!$D$8:$CZ$8,0),
  _xlpm.v, IFERROR(INDEX('3. Enter Indicator Scores'!$D$10:$CZ$161,_xlpm.r,_xlpm.c),""),
  IF(OR(_xlpm.w="",_xlpm.v=""),"",_xlpm.v*_xlpm.w)
)</f>
        <v/>
      </c>
      <c r="BO29" s="93" t="str" cm="1">
        <f t="array" ref="BO29">_xlfn.LET(
  _xlpm.w, BO$11,
  _xlpm.r, MATCH(1,('3. Enter Indicator Scores'!$B$10:$B$161=$B29)*('3. Enter Indicator Scores'!$C$10:$C$161=$C29),0),
  _xlpm.c, MATCH(BO$8,'3. Enter Indicator Scores'!$D$8:$CZ$8,0),
  _xlpm.v, IFERROR(INDEX('3. Enter Indicator Scores'!$D$10:$CZ$161,_xlpm.r,_xlpm.c),""),
  IF(OR(_xlpm.w="",_xlpm.v=""),"",_xlpm.v*_xlpm.w)
)</f>
        <v/>
      </c>
      <c r="BP29" s="93" t="str" cm="1">
        <f t="array" ref="BP29">_xlfn.LET(
  _xlpm.w, BP$11,
  _xlpm.r, MATCH(1,('3. Enter Indicator Scores'!$B$10:$B$161=$B29)*('3. Enter Indicator Scores'!$C$10:$C$161=$C29),0),
  _xlpm.c, MATCH(BP$8,'3. Enter Indicator Scores'!$D$8:$CZ$8,0),
  _xlpm.v, IFERROR(INDEX('3. Enter Indicator Scores'!$D$10:$CZ$161,_xlpm.r,_xlpm.c),""),
  IF(OR(_xlpm.w="",_xlpm.v=""),"",_xlpm.v*_xlpm.w)
)</f>
        <v/>
      </c>
      <c r="BQ29" s="93" t="str" cm="1">
        <f t="array" ref="BQ29">_xlfn.LET(
  _xlpm.w, BQ$11,
  _xlpm.r, MATCH(1,('3. Enter Indicator Scores'!$B$10:$B$161=$B29)*('3. Enter Indicator Scores'!$C$10:$C$161=$C29),0),
  _xlpm.c, MATCH(BQ$8,'3. Enter Indicator Scores'!$D$8:$CZ$8,0),
  _xlpm.v, IFERROR(INDEX('3. Enter Indicator Scores'!$D$10:$CZ$161,_xlpm.r,_xlpm.c),""),
  IF(OR(_xlpm.w="",_xlpm.v=""),"",_xlpm.v*_xlpm.w)
)</f>
        <v/>
      </c>
      <c r="BR29" s="93" t="str" cm="1">
        <f t="array" ref="BR29">_xlfn.LET(
  _xlpm.w, BR$11,
  _xlpm.r, MATCH(1,('3. Enter Indicator Scores'!$B$10:$B$161=$B29)*('3. Enter Indicator Scores'!$C$10:$C$161=$C29),0),
  _xlpm.c, MATCH(BR$8,'3. Enter Indicator Scores'!$D$8:$CZ$8,0),
  _xlpm.v, IFERROR(INDEX('3. Enter Indicator Scores'!$D$10:$CZ$161,_xlpm.r,_xlpm.c),""),
  IF(OR(_xlpm.w="",_xlpm.v=""),"",_xlpm.v*_xlpm.w)
)</f>
        <v/>
      </c>
      <c r="BS29" s="93" t="str" cm="1">
        <f t="array" ref="BS29">_xlfn.LET(
  _xlpm.w, BS$11,
  _xlpm.r, MATCH(1,('3. Enter Indicator Scores'!$B$10:$B$161=$B29)*('3. Enter Indicator Scores'!$C$10:$C$161=$C29),0),
  _xlpm.c, MATCH(BS$8,'3. Enter Indicator Scores'!$D$8:$CZ$8,0),
  _xlpm.v, IFERROR(INDEX('3. Enter Indicator Scores'!$D$10:$CZ$161,_xlpm.r,_xlpm.c),""),
  IF(OR(_xlpm.w="",_xlpm.v=""),"",_xlpm.v*_xlpm.w)
)</f>
        <v/>
      </c>
      <c r="BT29" s="93" t="str" cm="1">
        <f t="array" ref="BT29">_xlfn.LET(
  _xlpm.w, BT$11,
  _xlpm.r, MATCH(1,('3. Enter Indicator Scores'!$B$10:$B$161=$B29)*('3. Enter Indicator Scores'!$C$10:$C$161=$C29),0),
  _xlpm.c, MATCH(BT$8,'3. Enter Indicator Scores'!$D$8:$CZ$8,0),
  _xlpm.v, IFERROR(INDEX('3. Enter Indicator Scores'!$D$10:$CZ$161,_xlpm.r,_xlpm.c),""),
  IF(OR(_xlpm.w="",_xlpm.v=""),"",_xlpm.v*_xlpm.w)
)</f>
        <v/>
      </c>
      <c r="BU29" s="93" t="str" cm="1">
        <f t="array" ref="BU29">_xlfn.LET(
  _xlpm.w, BU$11,
  _xlpm.r, MATCH(1,('3. Enter Indicator Scores'!$B$10:$B$161=$B29)*('3. Enter Indicator Scores'!$C$10:$C$161=$C29),0),
  _xlpm.c, MATCH(BU$8,'3. Enter Indicator Scores'!$D$8:$CZ$8,0),
  _xlpm.v, IFERROR(INDEX('3. Enter Indicator Scores'!$D$10:$CZ$161,_xlpm.r,_xlpm.c),""),
  IF(OR(_xlpm.w="",_xlpm.v=""),"",_xlpm.v*_xlpm.w)
)</f>
        <v/>
      </c>
      <c r="BV29" s="93" t="str" cm="1">
        <f t="array" ref="BV29">_xlfn.LET(
  _xlpm.w, BV$11,
  _xlpm.r, MATCH(1,('3. Enter Indicator Scores'!$B$10:$B$161=$B29)*('3. Enter Indicator Scores'!$C$10:$C$161=$C29),0),
  _xlpm.c, MATCH(BV$8,'3. Enter Indicator Scores'!$D$8:$CZ$8,0),
  _xlpm.v, IFERROR(INDEX('3. Enter Indicator Scores'!$D$10:$CZ$161,_xlpm.r,_xlpm.c),""),
  IF(OR(_xlpm.w="",_xlpm.v=""),"",_xlpm.v*_xlpm.w)
)</f>
        <v/>
      </c>
      <c r="BW29" s="93" t="str" cm="1">
        <f t="array" ref="BW29">_xlfn.LET(
  _xlpm.w, BW$11,
  _xlpm.r, MATCH(1,('3. Enter Indicator Scores'!$B$10:$B$161=$B29)*('3. Enter Indicator Scores'!$C$10:$C$161=$C29),0),
  _xlpm.c, MATCH(BW$8,'3. Enter Indicator Scores'!$D$8:$CZ$8,0),
  _xlpm.v, IFERROR(INDEX('3. Enter Indicator Scores'!$D$10:$CZ$161,_xlpm.r,_xlpm.c),""),
  IF(OR(_xlpm.w="",_xlpm.v=""),"",_xlpm.v*_xlpm.w)
)</f>
        <v/>
      </c>
      <c r="BX29" s="93" t="str" cm="1">
        <f t="array" ref="BX29">_xlfn.LET(
  _xlpm.w, BX$11,
  _xlpm.r, MATCH(1,('3. Enter Indicator Scores'!$B$10:$B$161=$B29)*('3. Enter Indicator Scores'!$C$10:$C$161=$C29),0),
  _xlpm.c, MATCH(BX$8,'3. Enter Indicator Scores'!$D$8:$CZ$8,0),
  _xlpm.v, IFERROR(INDEX('3. Enter Indicator Scores'!$D$10:$CZ$161,_xlpm.r,_xlpm.c),""),
  IF(OR(_xlpm.w="",_xlpm.v=""),"",_xlpm.v*_xlpm.w)
)</f>
        <v/>
      </c>
      <c r="BY29" s="93" t="str" cm="1">
        <f t="array" ref="BY29">_xlfn.LET(
  _xlpm.w, BY$11,
  _xlpm.r, MATCH(1,('3. Enter Indicator Scores'!$B$10:$B$161=$B29)*('3. Enter Indicator Scores'!$C$10:$C$161=$C29),0),
  _xlpm.c, MATCH(BY$8,'3. Enter Indicator Scores'!$D$8:$CZ$8,0),
  _xlpm.v, IFERROR(INDEX('3. Enter Indicator Scores'!$D$10:$CZ$161,_xlpm.r,_xlpm.c),""),
  IF(OR(_xlpm.w="",_xlpm.v=""),"",_xlpm.v*_xlpm.w)
)</f>
        <v/>
      </c>
      <c r="BZ29" s="93" t="str" cm="1">
        <f t="array" ref="BZ29">_xlfn.LET(
  _xlpm.w, BZ$11,
  _xlpm.r, MATCH(1,('3. Enter Indicator Scores'!$B$10:$B$161=$B29)*('3. Enter Indicator Scores'!$C$10:$C$161=$C29),0),
  _xlpm.c, MATCH(BZ$8,'3. Enter Indicator Scores'!$D$8:$CZ$8,0),
  _xlpm.v, IFERROR(INDEX('3. Enter Indicator Scores'!$D$10:$CZ$161,_xlpm.r,_xlpm.c),""),
  IF(OR(_xlpm.w="",_xlpm.v=""),"",_xlpm.v*_xlpm.w)
)</f>
        <v/>
      </c>
      <c r="CA29" s="93" t="str" cm="1">
        <f t="array" ref="CA29">_xlfn.LET(
  _xlpm.w, CA$11,
  _xlpm.r, MATCH(1,('3. Enter Indicator Scores'!$B$10:$B$161=$B29)*('3. Enter Indicator Scores'!$C$10:$C$161=$C29),0),
  _xlpm.c, MATCH(CA$8,'3. Enter Indicator Scores'!$D$8:$CZ$8,0),
  _xlpm.v, IFERROR(INDEX('3. Enter Indicator Scores'!$D$10:$CZ$161,_xlpm.r,_xlpm.c),""),
  IF(OR(_xlpm.w="",_xlpm.v=""),"",_xlpm.v*_xlpm.w)
)</f>
        <v/>
      </c>
      <c r="CB29" s="93" t="str" cm="1">
        <f t="array" ref="CB29">_xlfn.LET(
  _xlpm.w, CB$11,
  _xlpm.r, MATCH(1,('3. Enter Indicator Scores'!$B$10:$B$161=$B29)*('3. Enter Indicator Scores'!$C$10:$C$161=$C29),0),
  _xlpm.c, MATCH(CB$8,'3. Enter Indicator Scores'!$D$8:$CZ$8,0),
  _xlpm.v, IFERROR(INDEX('3. Enter Indicator Scores'!$D$10:$CZ$161,_xlpm.r,_xlpm.c),""),
  IF(OR(_xlpm.w="",_xlpm.v=""),"",_xlpm.v*_xlpm.w)
)</f>
        <v/>
      </c>
      <c r="CC29" s="93" t="str" cm="1">
        <f t="array" ref="CC29">_xlfn.LET(
  _xlpm.w, CC$11,
  _xlpm.r, MATCH(1,('3. Enter Indicator Scores'!$B$10:$B$161=$B29)*('3. Enter Indicator Scores'!$C$10:$C$161=$C29),0),
  _xlpm.c, MATCH(CC$8,'3. Enter Indicator Scores'!$D$8:$CZ$8,0),
  _xlpm.v, IFERROR(INDEX('3. Enter Indicator Scores'!$D$10:$CZ$161,_xlpm.r,_xlpm.c),""),
  IF(OR(_xlpm.w="",_xlpm.v=""),"",_xlpm.v*_xlpm.w)
)</f>
        <v/>
      </c>
      <c r="CD29" s="93" t="str" cm="1">
        <f t="array" ref="CD29">_xlfn.LET(
  _xlpm.w, CD$11,
  _xlpm.r, MATCH(1,('3. Enter Indicator Scores'!$B$10:$B$161=$B29)*('3. Enter Indicator Scores'!$C$10:$C$161=$C29),0),
  _xlpm.c, MATCH(CD$8,'3. Enter Indicator Scores'!$D$8:$CZ$8,0),
  _xlpm.v, IFERROR(INDEX('3. Enter Indicator Scores'!$D$10:$CZ$161,_xlpm.r,_xlpm.c),""),
  IF(OR(_xlpm.w="",_xlpm.v=""),"",_xlpm.v*_xlpm.w)
)</f>
        <v/>
      </c>
      <c r="CE29" s="93" t="str" cm="1">
        <f t="array" ref="CE29">_xlfn.LET(
  _xlpm.w, CE$11,
  _xlpm.r, MATCH(1,('3. Enter Indicator Scores'!$B$10:$B$161=$B29)*('3. Enter Indicator Scores'!$C$10:$C$161=$C29),0),
  _xlpm.c, MATCH(CE$8,'3. Enter Indicator Scores'!$D$8:$CZ$8,0),
  _xlpm.v, IFERROR(INDEX('3. Enter Indicator Scores'!$D$10:$CZ$161,_xlpm.r,_xlpm.c),""),
  IF(OR(_xlpm.w="",_xlpm.v=""),"",_xlpm.v*_xlpm.w)
)</f>
        <v/>
      </c>
      <c r="CF29" s="93" t="str" cm="1">
        <f t="array" ref="CF29">_xlfn.LET(
  _xlpm.w, CF$11,
  _xlpm.r, MATCH(1,('3. Enter Indicator Scores'!$B$10:$B$161=$B29)*('3. Enter Indicator Scores'!$C$10:$C$161=$C29),0),
  _xlpm.c, MATCH(CF$8,'3. Enter Indicator Scores'!$D$8:$CZ$8,0),
  _xlpm.v, IFERROR(INDEX('3. Enter Indicator Scores'!$D$10:$CZ$161,_xlpm.r,_xlpm.c),""),
  IF(OR(_xlpm.w="",_xlpm.v=""),"",_xlpm.v*_xlpm.w)
)</f>
        <v/>
      </c>
      <c r="CG29" s="93" t="str" cm="1">
        <f t="array" ref="CG29">_xlfn.LET(
  _xlpm.w, CG$11,
  _xlpm.r, MATCH(1,('3. Enter Indicator Scores'!$B$10:$B$161=$B29)*('3. Enter Indicator Scores'!$C$10:$C$161=$C29),0),
  _xlpm.c, MATCH(CG$8,'3. Enter Indicator Scores'!$D$8:$CZ$8,0),
  _xlpm.v, IFERROR(INDEX('3. Enter Indicator Scores'!$D$10:$CZ$161,_xlpm.r,_xlpm.c),""),
  IF(OR(_xlpm.w="",_xlpm.v=""),"",_xlpm.v*_xlpm.w)
)</f>
        <v/>
      </c>
      <c r="CH29" s="93" t="str" cm="1">
        <f t="array" ref="CH29">_xlfn.LET(
  _xlpm.w, CH$11,
  _xlpm.r, MATCH(1,('3. Enter Indicator Scores'!$B$10:$B$161=$B29)*('3. Enter Indicator Scores'!$C$10:$C$161=$C29),0),
  _xlpm.c, MATCH(CH$8,'3. Enter Indicator Scores'!$D$8:$CZ$8,0),
  _xlpm.v, IFERROR(INDEX('3. Enter Indicator Scores'!$D$10:$CZ$161,_xlpm.r,_xlpm.c),""),
  IF(OR(_xlpm.w="",_xlpm.v=""),"",_xlpm.v*_xlpm.w)
)</f>
        <v/>
      </c>
      <c r="CI29" s="93" t="str" cm="1">
        <f t="array" ref="CI29">_xlfn.LET(
  _xlpm.w, CI$11,
  _xlpm.r, MATCH(1,('3. Enter Indicator Scores'!$B$10:$B$161=$B29)*('3. Enter Indicator Scores'!$C$10:$C$161=$C29),0),
  _xlpm.c, MATCH(CI$8,'3. Enter Indicator Scores'!$D$8:$CZ$8,0),
  _xlpm.v, IFERROR(INDEX('3. Enter Indicator Scores'!$D$10:$CZ$161,_xlpm.r,_xlpm.c),""),
  IF(OR(_xlpm.w="",_xlpm.v=""),"",_xlpm.v*_xlpm.w)
)</f>
        <v/>
      </c>
      <c r="CJ29" s="93" t="str" cm="1">
        <f t="array" ref="CJ29">_xlfn.LET(
  _xlpm.w, CJ$11,
  _xlpm.r, MATCH(1,('3. Enter Indicator Scores'!$B$10:$B$161=$B29)*('3. Enter Indicator Scores'!$C$10:$C$161=$C29),0),
  _xlpm.c, MATCH(CJ$8,'3. Enter Indicator Scores'!$D$8:$CZ$8,0),
  _xlpm.v, IFERROR(INDEX('3. Enter Indicator Scores'!$D$10:$CZ$161,_xlpm.r,_xlpm.c),""),
  IF(OR(_xlpm.w="",_xlpm.v=""),"",_xlpm.v*_xlpm.w)
)</f>
        <v/>
      </c>
      <c r="CK29" s="93" t="str" cm="1">
        <f t="array" ref="CK29">_xlfn.LET(
  _xlpm.w, CK$11,
  _xlpm.r, MATCH(1,('3. Enter Indicator Scores'!$B$10:$B$161=$B29)*('3. Enter Indicator Scores'!$C$10:$C$161=$C29),0),
  _xlpm.c, MATCH(CK$8,'3. Enter Indicator Scores'!$D$8:$CZ$8,0),
  _xlpm.v, IFERROR(INDEX('3. Enter Indicator Scores'!$D$10:$CZ$161,_xlpm.r,_xlpm.c),""),
  IF(OR(_xlpm.w="",_xlpm.v=""),"",_xlpm.v*_xlpm.w)
)</f>
        <v/>
      </c>
      <c r="CL29" s="93" t="str" cm="1">
        <f t="array" ref="CL29">_xlfn.LET(
  _xlpm.w, CL$11,
  _xlpm.r, MATCH(1,('3. Enter Indicator Scores'!$B$10:$B$161=$B29)*('3. Enter Indicator Scores'!$C$10:$C$161=$C29),0),
  _xlpm.c, MATCH(CL$8,'3. Enter Indicator Scores'!$D$8:$CZ$8,0),
  _xlpm.v, IFERROR(INDEX('3. Enter Indicator Scores'!$D$10:$CZ$161,_xlpm.r,_xlpm.c),""),
  IF(OR(_xlpm.w="",_xlpm.v=""),"",_xlpm.v*_xlpm.w)
)</f>
        <v/>
      </c>
      <c r="CM29" s="93" t="str" cm="1">
        <f t="array" ref="CM29">_xlfn.LET(
  _xlpm.w, CM$11,
  _xlpm.r, MATCH(1,('3. Enter Indicator Scores'!$B$10:$B$161=$B29)*('3. Enter Indicator Scores'!$C$10:$C$161=$C29),0),
  _xlpm.c, MATCH(CM$8,'3. Enter Indicator Scores'!$D$8:$CZ$8,0),
  _xlpm.v, IFERROR(INDEX('3. Enter Indicator Scores'!$D$10:$CZ$161,_xlpm.r,_xlpm.c),""),
  IF(OR(_xlpm.w="",_xlpm.v=""),"",_xlpm.v*_xlpm.w)
)</f>
        <v/>
      </c>
      <c r="CN29" s="93" t="str" cm="1">
        <f t="array" ref="CN29">_xlfn.LET(
  _xlpm.w, CN$11,
  _xlpm.r, MATCH(1,('3. Enter Indicator Scores'!$B$10:$B$161=$B29)*('3. Enter Indicator Scores'!$C$10:$C$161=$C29),0),
  _xlpm.c, MATCH(CN$8,'3. Enter Indicator Scores'!$D$8:$CZ$8,0),
  _xlpm.v, IFERROR(INDEX('3. Enter Indicator Scores'!$D$10:$CZ$161,_xlpm.r,_xlpm.c),""),
  IF(OR(_xlpm.w="",_xlpm.v=""),"",_xlpm.v*_xlpm.w)
)</f>
        <v/>
      </c>
      <c r="CO29" s="93" t="str" cm="1">
        <f t="array" ref="CO29">_xlfn.LET(
  _xlpm.w, CO$11,
  _xlpm.r, MATCH(1,('3. Enter Indicator Scores'!$B$10:$B$161=$B29)*('3. Enter Indicator Scores'!$C$10:$C$161=$C29),0),
  _xlpm.c, MATCH(CO$8,'3. Enter Indicator Scores'!$D$8:$CZ$8,0),
  _xlpm.v, IFERROR(INDEX('3. Enter Indicator Scores'!$D$10:$CZ$161,_xlpm.r,_xlpm.c),""),
  IF(OR(_xlpm.w="",_xlpm.v=""),"",_xlpm.v*_xlpm.w)
)</f>
        <v/>
      </c>
      <c r="CP29" s="93" t="str" cm="1">
        <f t="array" ref="CP29">_xlfn.LET(
  _xlpm.w, CP$11,
  _xlpm.r, MATCH(1,('3. Enter Indicator Scores'!$B$10:$B$161=$B29)*('3. Enter Indicator Scores'!$C$10:$C$161=$C29),0),
  _xlpm.c, MATCH(CP$8,'3. Enter Indicator Scores'!$D$8:$CZ$8,0),
  _xlpm.v, IFERROR(INDEX('3. Enter Indicator Scores'!$D$10:$CZ$161,_xlpm.r,_xlpm.c),""),
  IF(OR(_xlpm.w="",_xlpm.v=""),"",_xlpm.v*_xlpm.w)
)</f>
        <v/>
      </c>
      <c r="CQ29" s="93" t="str" cm="1">
        <f t="array" ref="CQ29">_xlfn.LET(
  _xlpm.w, CQ$11,
  _xlpm.r, MATCH(1,('3. Enter Indicator Scores'!$B$10:$B$161=$B29)*('3. Enter Indicator Scores'!$C$10:$C$161=$C29),0),
  _xlpm.c, MATCH(CQ$8,'3. Enter Indicator Scores'!$D$8:$CZ$8,0),
  _xlpm.v, IFERROR(INDEX('3. Enter Indicator Scores'!$D$10:$CZ$161,_xlpm.r,_xlpm.c),""),
  IF(OR(_xlpm.w="",_xlpm.v=""),"",_xlpm.v*_xlpm.w)
)</f>
        <v/>
      </c>
      <c r="CR29" s="93" t="str" cm="1">
        <f t="array" ref="CR29">_xlfn.LET(
  _xlpm.w, CR$11,
  _xlpm.r, MATCH(1,('3. Enter Indicator Scores'!$B$10:$B$161=$B29)*('3. Enter Indicator Scores'!$C$10:$C$161=$C29),0),
  _xlpm.c, MATCH(CR$8,'3. Enter Indicator Scores'!$D$8:$CZ$8,0),
  _xlpm.v, IFERROR(INDEX('3. Enter Indicator Scores'!$D$10:$CZ$161,_xlpm.r,_xlpm.c),""),
  IF(OR(_xlpm.w="",_xlpm.v=""),"",_xlpm.v*_xlpm.w)
)</f>
        <v/>
      </c>
      <c r="CS29" s="93" t="str" cm="1">
        <f t="array" ref="CS29">_xlfn.LET(
  _xlpm.w, CS$11,
  _xlpm.r, MATCH(1,('3. Enter Indicator Scores'!$B$10:$B$161=$B29)*('3. Enter Indicator Scores'!$C$10:$C$161=$C29),0),
  _xlpm.c, MATCH(CS$8,'3. Enter Indicator Scores'!$D$8:$CZ$8,0),
  _xlpm.v, IFERROR(INDEX('3. Enter Indicator Scores'!$D$10:$CZ$161,_xlpm.r,_xlpm.c),""),
  IF(OR(_xlpm.w="",_xlpm.v=""),"",_xlpm.v*_xlpm.w)
)</f>
        <v/>
      </c>
      <c r="CT29" s="93" t="str" cm="1">
        <f t="array" ref="CT29">_xlfn.LET(
  _xlpm.w, CT$11,
  _xlpm.r, MATCH(1,('3. Enter Indicator Scores'!$B$10:$B$161=$B29)*('3. Enter Indicator Scores'!$C$10:$C$161=$C29),0),
  _xlpm.c, MATCH(CT$8,'3. Enter Indicator Scores'!$D$8:$CZ$8,0),
  _xlpm.v, IFERROR(INDEX('3. Enter Indicator Scores'!$D$10:$CZ$161,_xlpm.r,_xlpm.c),""),
  IF(OR(_xlpm.w="",_xlpm.v=""),"",_xlpm.v*_xlpm.w)
)</f>
        <v/>
      </c>
      <c r="CU29" s="93" t="str" cm="1">
        <f t="array" ref="CU29">_xlfn.LET(
  _xlpm.w, CU$11,
  _xlpm.r, MATCH(1,('3. Enter Indicator Scores'!$B$10:$B$161=$B29)*('3. Enter Indicator Scores'!$C$10:$C$161=$C29),0),
  _xlpm.c, MATCH(CU$8,'3. Enter Indicator Scores'!$D$8:$CZ$8,0),
  _xlpm.v, IFERROR(INDEX('3. Enter Indicator Scores'!$D$10:$CZ$161,_xlpm.r,_xlpm.c),""),
  IF(OR(_xlpm.w="",_xlpm.v=""),"",_xlpm.v*_xlpm.w)
)</f>
        <v/>
      </c>
      <c r="CV29" s="93" t="str" cm="1">
        <f t="array" ref="CV29">_xlfn.LET(
  _xlpm.w, CV$11,
  _xlpm.r, MATCH(1,('3. Enter Indicator Scores'!$B$10:$B$161=$B29)*('3. Enter Indicator Scores'!$C$10:$C$161=$C29),0),
  _xlpm.c, MATCH(CV$8,'3. Enter Indicator Scores'!$D$8:$CZ$8,0),
  _xlpm.v, IFERROR(INDEX('3. Enter Indicator Scores'!$D$10:$CZ$161,_xlpm.r,_xlpm.c),""),
  IF(OR(_xlpm.w="",_xlpm.v=""),"",_xlpm.v*_xlpm.w)
)</f>
        <v/>
      </c>
      <c r="CW29" s="93" t="str" cm="1">
        <f t="array" ref="CW29">_xlfn.LET(
  _xlpm.w, CW$11,
  _xlpm.r, MATCH(1,('3. Enter Indicator Scores'!$B$10:$B$161=$B29)*('3. Enter Indicator Scores'!$C$10:$C$161=$C29),0),
  _xlpm.c, MATCH(CW$8,'3. Enter Indicator Scores'!$D$8:$CZ$8,0),
  _xlpm.v, IFERROR(INDEX('3. Enter Indicator Scores'!$D$10:$CZ$161,_xlpm.r,_xlpm.c),""),
  IF(OR(_xlpm.w="",_xlpm.v=""),"",_xlpm.v*_xlpm.w)
)</f>
        <v/>
      </c>
      <c r="CX29" s="93" t="str" cm="1">
        <f t="array" ref="CX29">_xlfn.LET(
  _xlpm.w, CX$11,
  _xlpm.r, MATCH(1,('3. Enter Indicator Scores'!$B$10:$B$161=$B29)*('3. Enter Indicator Scores'!$C$10:$C$161=$C29),0),
  _xlpm.c, MATCH(CX$8,'3. Enter Indicator Scores'!$D$8:$CZ$8,0),
  _xlpm.v, IFERROR(INDEX('3. Enter Indicator Scores'!$D$10:$CZ$161,_xlpm.r,_xlpm.c),""),
  IF(OR(_xlpm.w="",_xlpm.v=""),"",_xlpm.v*_xlpm.w)
)</f>
        <v/>
      </c>
      <c r="CY29" s="93" t="str" cm="1">
        <f t="array" ref="CY29">_xlfn.LET(
  _xlpm.w, CY$11,
  _xlpm.r, MATCH(1,('3. Enter Indicator Scores'!$B$10:$B$161=$B29)*('3. Enter Indicator Scores'!$C$10:$C$161=$C29),0),
  _xlpm.c, MATCH(CY$8,'3. Enter Indicator Scores'!$D$8:$CZ$8,0),
  _xlpm.v, IFERROR(INDEX('3. Enter Indicator Scores'!$D$10:$CZ$161,_xlpm.r,_xlpm.c),""),
  IF(OR(_xlpm.w="",_xlpm.v=""),"",_xlpm.v*_xlpm.w)
)</f>
        <v/>
      </c>
      <c r="CZ29" s="93" t="str" cm="1">
        <f t="array" ref="CZ29">_xlfn.LET(
  _xlpm.w, CZ$11,
  _xlpm.r, MATCH(1,('3. Enter Indicator Scores'!$B$10:$B$161=$B29)*('3. Enter Indicator Scores'!$C$10:$C$161=$C29),0),
  _xlpm.c, MATCH(CZ$8,'3. Enter Indicator Scores'!$D$8:$CZ$8,0),
  _xlpm.v, IFERROR(INDEX('3. Enter Indicator Scores'!$D$10:$CZ$161,_xlpm.r,_xlpm.c),""),
  IF(OR(_xlpm.w="",_xlpm.v=""),"",_xlpm.v*_xlpm.w)
)</f>
        <v/>
      </c>
    </row>
    <row r="30" spans="1:104" x14ac:dyDescent="0.2">
      <c r="D30" s="93" t="str" cm="1">
        <f t="array" ref="D30">_xlfn.LET(
  _xlpm.w, D$11,
  _xlpm.r, MATCH(1,('3. Enter Indicator Scores'!$B$10:$B$161=$B30)*('3. Enter Indicator Scores'!$C$10:$C$161=$C30),0),
  _xlpm.c, MATCH(D$8,'3. Enter Indicator Scores'!$D$8:$CZ$8,0),
  _xlpm.v, IFERROR(INDEX('3. Enter Indicator Scores'!$D$10:$CZ$161,_xlpm.r,_xlpm.c),""),
  IF(OR(_xlpm.w="",_xlpm.v=""),"",_xlpm.v*_xlpm.w)
)</f>
        <v/>
      </c>
      <c r="E30" s="93" t="str" cm="1">
        <f t="array" ref="E30">_xlfn.LET(
  _xlpm.w, E$11,
  _xlpm.r, MATCH(1,('3. Enter Indicator Scores'!$B$10:$B$161=$B30)*('3. Enter Indicator Scores'!$C$10:$C$161=$C30),0),
  _xlpm.c, MATCH(E$8,'3. Enter Indicator Scores'!$D$8:$CZ$8,0),
  _xlpm.v, IFERROR(INDEX('3. Enter Indicator Scores'!$D$10:$CZ$161,_xlpm.r,_xlpm.c),""),
  IF(OR(_xlpm.w="",_xlpm.v=""),"",_xlpm.v*_xlpm.w)
)</f>
        <v/>
      </c>
      <c r="F30" s="93" t="str" cm="1">
        <f t="array" ref="F30">_xlfn.LET(
  _xlpm.w, F$11,
  _xlpm.r, MATCH(1,('3. Enter Indicator Scores'!$B$10:$B$161=$B30)*('3. Enter Indicator Scores'!$C$10:$C$161=$C30),0),
  _xlpm.c, MATCH(F$8,'3. Enter Indicator Scores'!$D$8:$CZ$8,0),
  _xlpm.v, IFERROR(INDEX('3. Enter Indicator Scores'!$D$10:$CZ$161,_xlpm.r,_xlpm.c),""),
  IF(OR(_xlpm.w="",_xlpm.v=""),"",_xlpm.v*_xlpm.w)
)</f>
        <v/>
      </c>
      <c r="G30" s="93" t="str" cm="1">
        <f t="array" ref="G30">_xlfn.LET(
  _xlpm.w, G$11,
  _xlpm.r, MATCH(1,('3. Enter Indicator Scores'!$B$10:$B$161=$B30)*('3. Enter Indicator Scores'!$C$10:$C$161=$C30),0),
  _xlpm.c, MATCH(G$8,'3. Enter Indicator Scores'!$D$8:$CZ$8,0),
  _xlpm.v, IFERROR(INDEX('3. Enter Indicator Scores'!$D$10:$CZ$161,_xlpm.r,_xlpm.c),""),
  IF(OR(_xlpm.w="",_xlpm.v=""),"",_xlpm.v*_xlpm.w)
)</f>
        <v/>
      </c>
      <c r="H30" s="93" t="str" cm="1">
        <f t="array" ref="H30">_xlfn.LET(
  _xlpm.w, H$11,
  _xlpm.r, MATCH(1,('3. Enter Indicator Scores'!$B$10:$B$161=$B30)*('3. Enter Indicator Scores'!$C$10:$C$161=$C30),0),
  _xlpm.c, MATCH(H$8,'3. Enter Indicator Scores'!$D$8:$CZ$8,0),
  _xlpm.v, IFERROR(INDEX('3. Enter Indicator Scores'!$D$10:$CZ$161,_xlpm.r,_xlpm.c),""),
  IF(OR(_xlpm.w="",_xlpm.v=""),"",_xlpm.v*_xlpm.w)
)</f>
        <v/>
      </c>
      <c r="I30" s="93" t="str" cm="1">
        <f t="array" ref="I30">_xlfn.LET(
  _xlpm.w, I$11,
  _xlpm.r, MATCH(1,('3. Enter Indicator Scores'!$B$10:$B$161=$B30)*('3. Enter Indicator Scores'!$C$10:$C$161=$C30),0),
  _xlpm.c, MATCH(I$8,'3. Enter Indicator Scores'!$D$8:$CZ$8,0),
  _xlpm.v, IFERROR(INDEX('3. Enter Indicator Scores'!$D$10:$CZ$161,_xlpm.r,_xlpm.c),""),
  IF(OR(_xlpm.w="",_xlpm.v=""),"",_xlpm.v*_xlpm.w)
)</f>
        <v/>
      </c>
      <c r="J30" s="93" t="str" cm="1">
        <f t="array" ref="J30">_xlfn.LET(
  _xlpm.w, J$11,
  _xlpm.r, MATCH(1,('3. Enter Indicator Scores'!$B$10:$B$161=$B30)*('3. Enter Indicator Scores'!$C$10:$C$161=$C30),0),
  _xlpm.c, MATCH(J$8,'3. Enter Indicator Scores'!$D$8:$CZ$8,0),
  _xlpm.v, IFERROR(INDEX('3. Enter Indicator Scores'!$D$10:$CZ$161,_xlpm.r,_xlpm.c),""),
  IF(OR(_xlpm.w="",_xlpm.v=""),"",_xlpm.v*_xlpm.w)
)</f>
        <v/>
      </c>
      <c r="K30" s="93" t="str" cm="1">
        <f t="array" ref="K30">_xlfn.LET(
  _xlpm.w, K$11,
  _xlpm.r, MATCH(1,('3. Enter Indicator Scores'!$B$10:$B$161=$B30)*('3. Enter Indicator Scores'!$C$10:$C$161=$C30),0),
  _xlpm.c, MATCH(K$8,'3. Enter Indicator Scores'!$D$8:$CZ$8,0),
  _xlpm.v, IFERROR(INDEX('3. Enter Indicator Scores'!$D$10:$CZ$161,_xlpm.r,_xlpm.c),""),
  IF(OR(_xlpm.w="",_xlpm.v=""),"",_xlpm.v*_xlpm.w)
)</f>
        <v/>
      </c>
      <c r="L30" s="93" t="str" cm="1">
        <f t="array" ref="L30">_xlfn.LET(
  _xlpm.w, L$11,
  _xlpm.r, MATCH(1,('3. Enter Indicator Scores'!$B$10:$B$161=$B30)*('3. Enter Indicator Scores'!$C$10:$C$161=$C30),0),
  _xlpm.c, MATCH(L$8,'3. Enter Indicator Scores'!$D$8:$CZ$8,0),
  _xlpm.v, IFERROR(INDEX('3. Enter Indicator Scores'!$D$10:$CZ$161,_xlpm.r,_xlpm.c),""),
  IF(OR(_xlpm.w="",_xlpm.v=""),"",_xlpm.v*_xlpm.w)
)</f>
        <v/>
      </c>
      <c r="M30" s="93" t="str" cm="1">
        <f t="array" ref="M30">_xlfn.LET(
  _xlpm.w, M$11,
  _xlpm.r, MATCH(1,('3. Enter Indicator Scores'!$B$10:$B$161=$B30)*('3. Enter Indicator Scores'!$C$10:$C$161=$C30),0),
  _xlpm.c, MATCH(M$8,'3. Enter Indicator Scores'!$D$8:$CZ$8,0),
  _xlpm.v, IFERROR(INDEX('3. Enter Indicator Scores'!$D$10:$CZ$161,_xlpm.r,_xlpm.c),""),
  IF(OR(_xlpm.w="",_xlpm.v=""),"",_xlpm.v*_xlpm.w)
)</f>
        <v/>
      </c>
      <c r="N30" s="93" t="str" cm="1">
        <f t="array" ref="N30">_xlfn.LET(
  _xlpm.w, N$11,
  _xlpm.r, MATCH(1,('3. Enter Indicator Scores'!$B$10:$B$161=$B30)*('3. Enter Indicator Scores'!$C$10:$C$161=$C30),0),
  _xlpm.c, MATCH(N$8,'3. Enter Indicator Scores'!$D$8:$CZ$8,0),
  _xlpm.v, IFERROR(INDEX('3. Enter Indicator Scores'!$D$10:$CZ$161,_xlpm.r,_xlpm.c),""),
  IF(OR(_xlpm.w="",_xlpm.v=""),"",_xlpm.v*_xlpm.w)
)</f>
        <v/>
      </c>
      <c r="O30" s="93" t="str" cm="1">
        <f t="array" ref="O30">_xlfn.LET(
  _xlpm.w, O$11,
  _xlpm.r, MATCH(1,('3. Enter Indicator Scores'!$B$10:$B$161=$B30)*('3. Enter Indicator Scores'!$C$10:$C$161=$C30),0),
  _xlpm.c, MATCH(O$8,'3. Enter Indicator Scores'!$D$8:$CZ$8,0),
  _xlpm.v, IFERROR(INDEX('3. Enter Indicator Scores'!$D$10:$CZ$161,_xlpm.r,_xlpm.c),""),
  IF(OR(_xlpm.w="",_xlpm.v=""),"",_xlpm.v*_xlpm.w)
)</f>
        <v/>
      </c>
      <c r="P30" s="93" t="str" cm="1">
        <f t="array" ref="P30">_xlfn.LET(
  _xlpm.w, P$11,
  _xlpm.r, MATCH(1,('3. Enter Indicator Scores'!$B$10:$B$161=$B30)*('3. Enter Indicator Scores'!$C$10:$C$161=$C30),0),
  _xlpm.c, MATCH(P$8,'3. Enter Indicator Scores'!$D$8:$CZ$8,0),
  _xlpm.v, IFERROR(INDEX('3. Enter Indicator Scores'!$D$10:$CZ$161,_xlpm.r,_xlpm.c),""),
  IF(OR(_xlpm.w="",_xlpm.v=""),"",_xlpm.v*_xlpm.w)
)</f>
        <v/>
      </c>
      <c r="Q30" s="93" t="str" cm="1">
        <f t="array" ref="Q30">_xlfn.LET(
  _xlpm.w, Q$11,
  _xlpm.r, MATCH(1,('3. Enter Indicator Scores'!$B$10:$B$161=$B30)*('3. Enter Indicator Scores'!$C$10:$C$161=$C30),0),
  _xlpm.c, MATCH(Q$8,'3. Enter Indicator Scores'!$D$8:$CZ$8,0),
  _xlpm.v, IFERROR(INDEX('3. Enter Indicator Scores'!$D$10:$CZ$161,_xlpm.r,_xlpm.c),""),
  IF(OR(_xlpm.w="",_xlpm.v=""),"",_xlpm.v*_xlpm.w)
)</f>
        <v/>
      </c>
      <c r="R30" s="93" t="str" cm="1">
        <f t="array" ref="R30">_xlfn.LET(
  _xlpm.w, R$11,
  _xlpm.r, MATCH(1,('3. Enter Indicator Scores'!$B$10:$B$161=$B30)*('3. Enter Indicator Scores'!$C$10:$C$161=$C30),0),
  _xlpm.c, MATCH(R$8,'3. Enter Indicator Scores'!$D$8:$CZ$8,0),
  _xlpm.v, IFERROR(INDEX('3. Enter Indicator Scores'!$D$10:$CZ$161,_xlpm.r,_xlpm.c),""),
  IF(OR(_xlpm.w="",_xlpm.v=""),"",_xlpm.v*_xlpm.w)
)</f>
        <v/>
      </c>
      <c r="S30" s="93" t="str" cm="1">
        <f t="array" ref="S30">_xlfn.LET(
  _xlpm.w, S$11,
  _xlpm.r, MATCH(1,('3. Enter Indicator Scores'!$B$10:$B$161=$B30)*('3. Enter Indicator Scores'!$C$10:$C$161=$C30),0),
  _xlpm.c, MATCH(S$8,'3. Enter Indicator Scores'!$D$8:$CZ$8,0),
  _xlpm.v, IFERROR(INDEX('3. Enter Indicator Scores'!$D$10:$CZ$161,_xlpm.r,_xlpm.c),""),
  IF(OR(_xlpm.w="",_xlpm.v=""),"",_xlpm.v*_xlpm.w)
)</f>
        <v/>
      </c>
      <c r="T30" s="93" t="str" cm="1">
        <f t="array" ref="T30">_xlfn.LET(
  _xlpm.w, T$11,
  _xlpm.r, MATCH(1,('3. Enter Indicator Scores'!$B$10:$B$161=$B30)*('3. Enter Indicator Scores'!$C$10:$C$161=$C30),0),
  _xlpm.c, MATCH(T$8,'3. Enter Indicator Scores'!$D$8:$CZ$8,0),
  _xlpm.v, IFERROR(INDEX('3. Enter Indicator Scores'!$D$10:$CZ$161,_xlpm.r,_xlpm.c),""),
  IF(OR(_xlpm.w="",_xlpm.v=""),"",_xlpm.v*_xlpm.w)
)</f>
        <v/>
      </c>
      <c r="U30" s="93" t="str" cm="1">
        <f t="array" ref="U30">_xlfn.LET(
  _xlpm.w, U$11,
  _xlpm.r, MATCH(1,('3. Enter Indicator Scores'!$B$10:$B$161=$B30)*('3. Enter Indicator Scores'!$C$10:$C$161=$C30),0),
  _xlpm.c, MATCH(U$8,'3. Enter Indicator Scores'!$D$8:$CZ$8,0),
  _xlpm.v, IFERROR(INDEX('3. Enter Indicator Scores'!$D$10:$CZ$161,_xlpm.r,_xlpm.c),""),
  IF(OR(_xlpm.w="",_xlpm.v=""),"",_xlpm.v*_xlpm.w)
)</f>
        <v/>
      </c>
      <c r="V30" s="93" t="str" cm="1">
        <f t="array" ref="V30">_xlfn.LET(
  _xlpm.w, V$11,
  _xlpm.r, MATCH(1,('3. Enter Indicator Scores'!$B$10:$B$161=$B30)*('3. Enter Indicator Scores'!$C$10:$C$161=$C30),0),
  _xlpm.c, MATCH(V$8,'3. Enter Indicator Scores'!$D$8:$CZ$8,0),
  _xlpm.v, IFERROR(INDEX('3. Enter Indicator Scores'!$D$10:$CZ$161,_xlpm.r,_xlpm.c),""),
  IF(OR(_xlpm.w="",_xlpm.v=""),"",_xlpm.v*_xlpm.w)
)</f>
        <v/>
      </c>
      <c r="W30" s="93" t="str" cm="1">
        <f t="array" ref="W30">_xlfn.LET(
  _xlpm.w, W$11,
  _xlpm.r, MATCH(1,('3. Enter Indicator Scores'!$B$10:$B$161=$B30)*('3. Enter Indicator Scores'!$C$10:$C$161=$C30),0),
  _xlpm.c, MATCH(W$8,'3. Enter Indicator Scores'!$D$8:$CZ$8,0),
  _xlpm.v, IFERROR(INDEX('3. Enter Indicator Scores'!$D$10:$CZ$161,_xlpm.r,_xlpm.c),""),
  IF(OR(_xlpm.w="",_xlpm.v=""),"",_xlpm.v*_xlpm.w)
)</f>
        <v/>
      </c>
      <c r="X30" s="93" t="str" cm="1">
        <f t="array" ref="X30">_xlfn.LET(
  _xlpm.w, X$11,
  _xlpm.r, MATCH(1,('3. Enter Indicator Scores'!$B$10:$B$161=$B30)*('3. Enter Indicator Scores'!$C$10:$C$161=$C30),0),
  _xlpm.c, MATCH(X$8,'3. Enter Indicator Scores'!$D$8:$CZ$8,0),
  _xlpm.v, IFERROR(INDEX('3. Enter Indicator Scores'!$D$10:$CZ$161,_xlpm.r,_xlpm.c),""),
  IF(OR(_xlpm.w="",_xlpm.v=""),"",_xlpm.v*_xlpm.w)
)</f>
        <v/>
      </c>
      <c r="Y30" s="93" t="str" cm="1">
        <f t="array" ref="Y30">_xlfn.LET(
  _xlpm.w, Y$11,
  _xlpm.r, MATCH(1,('3. Enter Indicator Scores'!$B$10:$B$161=$B30)*('3. Enter Indicator Scores'!$C$10:$C$161=$C30),0),
  _xlpm.c, MATCH(Y$8,'3. Enter Indicator Scores'!$D$8:$CZ$8,0),
  _xlpm.v, IFERROR(INDEX('3. Enter Indicator Scores'!$D$10:$CZ$161,_xlpm.r,_xlpm.c),""),
  IF(OR(_xlpm.w="",_xlpm.v=""),"",_xlpm.v*_xlpm.w)
)</f>
        <v/>
      </c>
      <c r="Z30" s="93" t="str" cm="1">
        <f t="array" ref="Z30">_xlfn.LET(
  _xlpm.w, Z$11,
  _xlpm.r, MATCH(1,('3. Enter Indicator Scores'!$B$10:$B$161=$B30)*('3. Enter Indicator Scores'!$C$10:$C$161=$C30),0),
  _xlpm.c, MATCH(Z$8,'3. Enter Indicator Scores'!$D$8:$CZ$8,0),
  _xlpm.v, IFERROR(INDEX('3. Enter Indicator Scores'!$D$10:$CZ$161,_xlpm.r,_xlpm.c),""),
  IF(OR(_xlpm.w="",_xlpm.v=""),"",_xlpm.v*_xlpm.w)
)</f>
        <v/>
      </c>
      <c r="AA30" s="93" t="str" cm="1">
        <f t="array" ref="AA30">_xlfn.LET(
  _xlpm.w, AA$11,
  _xlpm.r, MATCH(1,('3. Enter Indicator Scores'!$B$10:$B$161=$B30)*('3. Enter Indicator Scores'!$C$10:$C$161=$C30),0),
  _xlpm.c, MATCH(AA$8,'3. Enter Indicator Scores'!$D$8:$CZ$8,0),
  _xlpm.v, IFERROR(INDEX('3. Enter Indicator Scores'!$D$10:$CZ$161,_xlpm.r,_xlpm.c),""),
  IF(OR(_xlpm.w="",_xlpm.v=""),"",_xlpm.v*_xlpm.w)
)</f>
        <v/>
      </c>
      <c r="AB30" s="93" t="str" cm="1">
        <f t="array" ref="AB30">_xlfn.LET(
  _xlpm.w, AB$11,
  _xlpm.r, MATCH(1,('3. Enter Indicator Scores'!$B$10:$B$161=$B30)*('3. Enter Indicator Scores'!$C$10:$C$161=$C30),0),
  _xlpm.c, MATCH(AB$8,'3. Enter Indicator Scores'!$D$8:$CZ$8,0),
  _xlpm.v, IFERROR(INDEX('3. Enter Indicator Scores'!$D$10:$CZ$161,_xlpm.r,_xlpm.c),""),
  IF(OR(_xlpm.w="",_xlpm.v=""),"",_xlpm.v*_xlpm.w)
)</f>
        <v/>
      </c>
      <c r="AC30" s="93" t="str" cm="1">
        <f t="array" ref="AC30">_xlfn.LET(
  _xlpm.w, AC$11,
  _xlpm.r, MATCH(1,('3. Enter Indicator Scores'!$B$10:$B$161=$B30)*('3. Enter Indicator Scores'!$C$10:$C$161=$C30),0),
  _xlpm.c, MATCH(AC$8,'3. Enter Indicator Scores'!$D$8:$CZ$8,0),
  _xlpm.v, IFERROR(INDEX('3. Enter Indicator Scores'!$D$10:$CZ$161,_xlpm.r,_xlpm.c),""),
  IF(OR(_xlpm.w="",_xlpm.v=""),"",_xlpm.v*_xlpm.w)
)</f>
        <v/>
      </c>
      <c r="AD30" s="93" t="str" cm="1">
        <f t="array" ref="AD30">_xlfn.LET(
  _xlpm.w, AD$11,
  _xlpm.r, MATCH(1,('3. Enter Indicator Scores'!$B$10:$B$161=$B30)*('3. Enter Indicator Scores'!$C$10:$C$161=$C30),0),
  _xlpm.c, MATCH(AD$8,'3. Enter Indicator Scores'!$D$8:$CZ$8,0),
  _xlpm.v, IFERROR(INDEX('3. Enter Indicator Scores'!$D$10:$CZ$161,_xlpm.r,_xlpm.c),""),
  IF(OR(_xlpm.w="",_xlpm.v=""),"",_xlpm.v*_xlpm.w)
)</f>
        <v/>
      </c>
      <c r="AE30" s="93" t="str" cm="1">
        <f t="array" ref="AE30">_xlfn.LET(
  _xlpm.w, AE$11,
  _xlpm.r, MATCH(1,('3. Enter Indicator Scores'!$B$10:$B$161=$B30)*('3. Enter Indicator Scores'!$C$10:$C$161=$C30),0),
  _xlpm.c, MATCH(AE$8,'3. Enter Indicator Scores'!$D$8:$CZ$8,0),
  _xlpm.v, IFERROR(INDEX('3. Enter Indicator Scores'!$D$10:$CZ$161,_xlpm.r,_xlpm.c),""),
  IF(OR(_xlpm.w="",_xlpm.v=""),"",_xlpm.v*_xlpm.w)
)</f>
        <v/>
      </c>
      <c r="AF30" s="93" t="str" cm="1">
        <f t="array" ref="AF30">_xlfn.LET(
  _xlpm.w, AF$11,
  _xlpm.r, MATCH(1,('3. Enter Indicator Scores'!$B$10:$B$161=$B30)*('3. Enter Indicator Scores'!$C$10:$C$161=$C30),0),
  _xlpm.c, MATCH(AF$8,'3. Enter Indicator Scores'!$D$8:$CZ$8,0),
  _xlpm.v, IFERROR(INDEX('3. Enter Indicator Scores'!$D$10:$CZ$161,_xlpm.r,_xlpm.c),""),
  IF(OR(_xlpm.w="",_xlpm.v=""),"",_xlpm.v*_xlpm.w)
)</f>
        <v/>
      </c>
      <c r="AG30" s="93" t="str" cm="1">
        <f t="array" ref="AG30">_xlfn.LET(
  _xlpm.w, AG$11,
  _xlpm.r, MATCH(1,('3. Enter Indicator Scores'!$B$10:$B$161=$B30)*('3. Enter Indicator Scores'!$C$10:$C$161=$C30),0),
  _xlpm.c, MATCH(AG$8,'3. Enter Indicator Scores'!$D$8:$CZ$8,0),
  _xlpm.v, IFERROR(INDEX('3. Enter Indicator Scores'!$D$10:$CZ$161,_xlpm.r,_xlpm.c),""),
  IF(OR(_xlpm.w="",_xlpm.v=""),"",_xlpm.v*_xlpm.w)
)</f>
        <v/>
      </c>
      <c r="AH30" s="93" t="str" cm="1">
        <f t="array" ref="AH30">_xlfn.LET(
  _xlpm.w, AH$11,
  _xlpm.r, MATCH(1,('3. Enter Indicator Scores'!$B$10:$B$161=$B30)*('3. Enter Indicator Scores'!$C$10:$C$161=$C30),0),
  _xlpm.c, MATCH(AH$8,'3. Enter Indicator Scores'!$D$8:$CZ$8,0),
  _xlpm.v, IFERROR(INDEX('3. Enter Indicator Scores'!$D$10:$CZ$161,_xlpm.r,_xlpm.c),""),
  IF(OR(_xlpm.w="",_xlpm.v=""),"",_xlpm.v*_xlpm.w)
)</f>
        <v/>
      </c>
      <c r="AI30" s="93" t="str" cm="1">
        <f t="array" ref="AI30">_xlfn.LET(
  _xlpm.w, AI$11,
  _xlpm.r, MATCH(1,('3. Enter Indicator Scores'!$B$10:$B$161=$B30)*('3. Enter Indicator Scores'!$C$10:$C$161=$C30),0),
  _xlpm.c, MATCH(AI$8,'3. Enter Indicator Scores'!$D$8:$CZ$8,0),
  _xlpm.v, IFERROR(INDEX('3. Enter Indicator Scores'!$D$10:$CZ$161,_xlpm.r,_xlpm.c),""),
  IF(OR(_xlpm.w="",_xlpm.v=""),"",_xlpm.v*_xlpm.w)
)</f>
        <v/>
      </c>
      <c r="AJ30" s="93" t="str" cm="1">
        <f t="array" ref="AJ30">_xlfn.LET(
  _xlpm.w, AJ$11,
  _xlpm.r, MATCH(1,('3. Enter Indicator Scores'!$B$10:$B$161=$B30)*('3. Enter Indicator Scores'!$C$10:$C$161=$C30),0),
  _xlpm.c, MATCH(AJ$8,'3. Enter Indicator Scores'!$D$8:$CZ$8,0),
  _xlpm.v, IFERROR(INDEX('3. Enter Indicator Scores'!$D$10:$CZ$161,_xlpm.r,_xlpm.c),""),
  IF(OR(_xlpm.w="",_xlpm.v=""),"",_xlpm.v*_xlpm.w)
)</f>
        <v/>
      </c>
      <c r="AK30" s="93" t="str" cm="1">
        <f t="array" ref="AK30">_xlfn.LET(
  _xlpm.w, AK$11,
  _xlpm.r, MATCH(1,('3. Enter Indicator Scores'!$B$10:$B$161=$B30)*('3. Enter Indicator Scores'!$C$10:$C$161=$C30),0),
  _xlpm.c, MATCH(AK$8,'3. Enter Indicator Scores'!$D$8:$CZ$8,0),
  _xlpm.v, IFERROR(INDEX('3. Enter Indicator Scores'!$D$10:$CZ$161,_xlpm.r,_xlpm.c),""),
  IF(OR(_xlpm.w="",_xlpm.v=""),"",_xlpm.v*_xlpm.w)
)</f>
        <v/>
      </c>
      <c r="AL30" s="93" t="str" cm="1">
        <f t="array" ref="AL30">_xlfn.LET(
  _xlpm.w, AL$11,
  _xlpm.r, MATCH(1,('3. Enter Indicator Scores'!$B$10:$B$161=$B30)*('3. Enter Indicator Scores'!$C$10:$C$161=$C30),0),
  _xlpm.c, MATCH(AL$8,'3. Enter Indicator Scores'!$D$8:$CZ$8,0),
  _xlpm.v, IFERROR(INDEX('3. Enter Indicator Scores'!$D$10:$CZ$161,_xlpm.r,_xlpm.c),""),
  IF(OR(_xlpm.w="",_xlpm.v=""),"",_xlpm.v*_xlpm.w)
)</f>
        <v/>
      </c>
      <c r="AM30" s="93" t="str" cm="1">
        <f t="array" ref="AM30">_xlfn.LET(
  _xlpm.w, AM$11,
  _xlpm.r, MATCH(1,('3. Enter Indicator Scores'!$B$10:$B$161=$B30)*('3. Enter Indicator Scores'!$C$10:$C$161=$C30),0),
  _xlpm.c, MATCH(AM$8,'3. Enter Indicator Scores'!$D$8:$CZ$8,0),
  _xlpm.v, IFERROR(INDEX('3. Enter Indicator Scores'!$D$10:$CZ$161,_xlpm.r,_xlpm.c),""),
  IF(OR(_xlpm.w="",_xlpm.v=""),"",_xlpm.v*_xlpm.w)
)</f>
        <v/>
      </c>
      <c r="AN30" s="93" t="str" cm="1">
        <f t="array" ref="AN30">_xlfn.LET(
  _xlpm.w, AN$11,
  _xlpm.r, MATCH(1,('3. Enter Indicator Scores'!$B$10:$B$161=$B30)*('3. Enter Indicator Scores'!$C$10:$C$161=$C30),0),
  _xlpm.c, MATCH(AN$8,'3. Enter Indicator Scores'!$D$8:$CZ$8,0),
  _xlpm.v, IFERROR(INDEX('3. Enter Indicator Scores'!$D$10:$CZ$161,_xlpm.r,_xlpm.c),""),
  IF(OR(_xlpm.w="",_xlpm.v=""),"",_xlpm.v*_xlpm.w)
)</f>
        <v/>
      </c>
      <c r="AO30" s="93" t="str" cm="1">
        <f t="array" ref="AO30">_xlfn.LET(
  _xlpm.w, AO$11,
  _xlpm.r, MATCH(1,('3. Enter Indicator Scores'!$B$10:$B$161=$B30)*('3. Enter Indicator Scores'!$C$10:$C$161=$C30),0),
  _xlpm.c, MATCH(AO$8,'3. Enter Indicator Scores'!$D$8:$CZ$8,0),
  _xlpm.v, IFERROR(INDEX('3. Enter Indicator Scores'!$D$10:$CZ$161,_xlpm.r,_xlpm.c),""),
  IF(OR(_xlpm.w="",_xlpm.v=""),"",_xlpm.v*_xlpm.w)
)</f>
        <v/>
      </c>
      <c r="AP30" s="93" t="str" cm="1">
        <f t="array" ref="AP30">_xlfn.LET(
  _xlpm.w, AP$11,
  _xlpm.r, MATCH(1,('3. Enter Indicator Scores'!$B$10:$B$161=$B30)*('3. Enter Indicator Scores'!$C$10:$C$161=$C30),0),
  _xlpm.c, MATCH(AP$8,'3. Enter Indicator Scores'!$D$8:$CZ$8,0),
  _xlpm.v, IFERROR(INDEX('3. Enter Indicator Scores'!$D$10:$CZ$161,_xlpm.r,_xlpm.c),""),
  IF(OR(_xlpm.w="",_xlpm.v=""),"",_xlpm.v*_xlpm.w)
)</f>
        <v/>
      </c>
      <c r="AQ30" s="93" t="str" cm="1">
        <f t="array" ref="AQ30">_xlfn.LET(
  _xlpm.w, AQ$11,
  _xlpm.r, MATCH(1,('3. Enter Indicator Scores'!$B$10:$B$161=$B30)*('3. Enter Indicator Scores'!$C$10:$C$161=$C30),0),
  _xlpm.c, MATCH(AQ$8,'3. Enter Indicator Scores'!$D$8:$CZ$8,0),
  _xlpm.v, IFERROR(INDEX('3. Enter Indicator Scores'!$D$10:$CZ$161,_xlpm.r,_xlpm.c),""),
  IF(OR(_xlpm.w="",_xlpm.v=""),"",_xlpm.v*_xlpm.w)
)</f>
        <v/>
      </c>
      <c r="AR30" s="93" t="str" cm="1">
        <f t="array" ref="AR30">_xlfn.LET(
  _xlpm.w, AR$11,
  _xlpm.r, MATCH(1,('3. Enter Indicator Scores'!$B$10:$B$161=$B30)*('3. Enter Indicator Scores'!$C$10:$C$161=$C30),0),
  _xlpm.c, MATCH(AR$8,'3. Enter Indicator Scores'!$D$8:$CZ$8,0),
  _xlpm.v, IFERROR(INDEX('3. Enter Indicator Scores'!$D$10:$CZ$161,_xlpm.r,_xlpm.c),""),
  IF(OR(_xlpm.w="",_xlpm.v=""),"",_xlpm.v*_xlpm.w)
)</f>
        <v/>
      </c>
      <c r="AS30" s="93" t="str" cm="1">
        <f t="array" ref="AS30">_xlfn.LET(
  _xlpm.w, AS$11,
  _xlpm.r, MATCH(1,('3. Enter Indicator Scores'!$B$10:$B$161=$B30)*('3. Enter Indicator Scores'!$C$10:$C$161=$C30),0),
  _xlpm.c, MATCH(AS$8,'3. Enter Indicator Scores'!$D$8:$CZ$8,0),
  _xlpm.v, IFERROR(INDEX('3. Enter Indicator Scores'!$D$10:$CZ$161,_xlpm.r,_xlpm.c),""),
  IF(OR(_xlpm.w="",_xlpm.v=""),"",_xlpm.v*_xlpm.w)
)</f>
        <v/>
      </c>
      <c r="AT30" s="93" t="str" cm="1">
        <f t="array" ref="AT30">_xlfn.LET(
  _xlpm.w, AT$11,
  _xlpm.r, MATCH(1,('3. Enter Indicator Scores'!$B$10:$B$161=$B30)*('3. Enter Indicator Scores'!$C$10:$C$161=$C30),0),
  _xlpm.c, MATCH(AT$8,'3. Enter Indicator Scores'!$D$8:$CZ$8,0),
  _xlpm.v, IFERROR(INDEX('3. Enter Indicator Scores'!$D$10:$CZ$161,_xlpm.r,_xlpm.c),""),
  IF(OR(_xlpm.w="",_xlpm.v=""),"",_xlpm.v*_xlpm.w)
)</f>
        <v/>
      </c>
      <c r="AU30" s="93" t="str" cm="1">
        <f t="array" ref="AU30">_xlfn.LET(
  _xlpm.w, AU$11,
  _xlpm.r, MATCH(1,('3. Enter Indicator Scores'!$B$10:$B$161=$B30)*('3. Enter Indicator Scores'!$C$10:$C$161=$C30),0),
  _xlpm.c, MATCH(AU$8,'3. Enter Indicator Scores'!$D$8:$CZ$8,0),
  _xlpm.v, IFERROR(INDEX('3. Enter Indicator Scores'!$D$10:$CZ$161,_xlpm.r,_xlpm.c),""),
  IF(OR(_xlpm.w="",_xlpm.v=""),"",_xlpm.v*_xlpm.w)
)</f>
        <v/>
      </c>
      <c r="AV30" s="93" t="str" cm="1">
        <f t="array" ref="AV30">_xlfn.LET(
  _xlpm.w, AV$11,
  _xlpm.r, MATCH(1,('3. Enter Indicator Scores'!$B$10:$B$161=$B30)*('3. Enter Indicator Scores'!$C$10:$C$161=$C30),0),
  _xlpm.c, MATCH(AV$8,'3. Enter Indicator Scores'!$D$8:$CZ$8,0),
  _xlpm.v, IFERROR(INDEX('3. Enter Indicator Scores'!$D$10:$CZ$161,_xlpm.r,_xlpm.c),""),
  IF(OR(_xlpm.w="",_xlpm.v=""),"",_xlpm.v*_xlpm.w)
)</f>
        <v/>
      </c>
      <c r="AW30" s="93" t="str" cm="1">
        <f t="array" ref="AW30">_xlfn.LET(
  _xlpm.w, AW$11,
  _xlpm.r, MATCH(1,('3. Enter Indicator Scores'!$B$10:$B$161=$B30)*('3. Enter Indicator Scores'!$C$10:$C$161=$C30),0),
  _xlpm.c, MATCH(AW$8,'3. Enter Indicator Scores'!$D$8:$CZ$8,0),
  _xlpm.v, IFERROR(INDEX('3. Enter Indicator Scores'!$D$10:$CZ$161,_xlpm.r,_xlpm.c),""),
  IF(OR(_xlpm.w="",_xlpm.v=""),"",_xlpm.v*_xlpm.w)
)</f>
        <v/>
      </c>
      <c r="AX30" s="93" t="str" cm="1">
        <f t="array" ref="AX30">_xlfn.LET(
  _xlpm.w, AX$11,
  _xlpm.r, MATCH(1,('3. Enter Indicator Scores'!$B$10:$B$161=$B30)*('3. Enter Indicator Scores'!$C$10:$C$161=$C30),0),
  _xlpm.c, MATCH(AX$8,'3. Enter Indicator Scores'!$D$8:$CZ$8,0),
  _xlpm.v, IFERROR(INDEX('3. Enter Indicator Scores'!$D$10:$CZ$161,_xlpm.r,_xlpm.c),""),
  IF(OR(_xlpm.w="",_xlpm.v=""),"",_xlpm.v*_xlpm.w)
)</f>
        <v/>
      </c>
      <c r="AY30" s="93" t="str" cm="1">
        <f t="array" ref="AY30">_xlfn.LET(
  _xlpm.w, AY$11,
  _xlpm.r, MATCH(1,('3. Enter Indicator Scores'!$B$10:$B$161=$B30)*('3. Enter Indicator Scores'!$C$10:$C$161=$C30),0),
  _xlpm.c, MATCH(AY$8,'3. Enter Indicator Scores'!$D$8:$CZ$8,0),
  _xlpm.v, IFERROR(INDEX('3. Enter Indicator Scores'!$D$10:$CZ$161,_xlpm.r,_xlpm.c),""),
  IF(OR(_xlpm.w="",_xlpm.v=""),"",_xlpm.v*_xlpm.w)
)</f>
        <v/>
      </c>
      <c r="AZ30" s="93" t="str" cm="1">
        <f t="array" ref="AZ30">_xlfn.LET(
  _xlpm.w, AZ$11,
  _xlpm.r, MATCH(1,('3. Enter Indicator Scores'!$B$10:$B$161=$B30)*('3. Enter Indicator Scores'!$C$10:$C$161=$C30),0),
  _xlpm.c, MATCH(AZ$8,'3. Enter Indicator Scores'!$D$8:$CZ$8,0),
  _xlpm.v, IFERROR(INDEX('3. Enter Indicator Scores'!$D$10:$CZ$161,_xlpm.r,_xlpm.c),""),
  IF(OR(_xlpm.w="",_xlpm.v=""),"",_xlpm.v*_xlpm.w)
)</f>
        <v/>
      </c>
      <c r="BA30" s="93" t="str" cm="1">
        <f t="array" ref="BA30">_xlfn.LET(
  _xlpm.w, BA$11,
  _xlpm.r, MATCH(1,('3. Enter Indicator Scores'!$B$10:$B$161=$B30)*('3. Enter Indicator Scores'!$C$10:$C$161=$C30),0),
  _xlpm.c, MATCH(BA$8,'3. Enter Indicator Scores'!$D$8:$CZ$8,0),
  _xlpm.v, IFERROR(INDEX('3. Enter Indicator Scores'!$D$10:$CZ$161,_xlpm.r,_xlpm.c),""),
  IF(OR(_xlpm.w="",_xlpm.v=""),"",_xlpm.v*_xlpm.w)
)</f>
        <v/>
      </c>
      <c r="BB30" s="93" t="str" cm="1">
        <f t="array" ref="BB30">_xlfn.LET(
  _xlpm.w, BB$11,
  _xlpm.r, MATCH(1,('3. Enter Indicator Scores'!$B$10:$B$161=$B30)*('3. Enter Indicator Scores'!$C$10:$C$161=$C30),0),
  _xlpm.c, MATCH(BB$8,'3. Enter Indicator Scores'!$D$8:$CZ$8,0),
  _xlpm.v, IFERROR(INDEX('3. Enter Indicator Scores'!$D$10:$CZ$161,_xlpm.r,_xlpm.c),""),
  IF(OR(_xlpm.w="",_xlpm.v=""),"",_xlpm.v*_xlpm.w)
)</f>
        <v/>
      </c>
      <c r="BC30" s="93" t="str" cm="1">
        <f t="array" ref="BC30">_xlfn.LET(
  _xlpm.w, BC$11,
  _xlpm.r, MATCH(1,('3. Enter Indicator Scores'!$B$10:$B$161=$B30)*('3. Enter Indicator Scores'!$C$10:$C$161=$C30),0),
  _xlpm.c, MATCH(BC$8,'3. Enter Indicator Scores'!$D$8:$CZ$8,0),
  _xlpm.v, IFERROR(INDEX('3. Enter Indicator Scores'!$D$10:$CZ$161,_xlpm.r,_xlpm.c),""),
  IF(OR(_xlpm.w="",_xlpm.v=""),"",_xlpm.v*_xlpm.w)
)</f>
        <v/>
      </c>
      <c r="BD30" s="93" t="str" cm="1">
        <f t="array" ref="BD30">_xlfn.LET(
  _xlpm.w, BD$11,
  _xlpm.r, MATCH(1,('3. Enter Indicator Scores'!$B$10:$B$161=$B30)*('3. Enter Indicator Scores'!$C$10:$C$161=$C30),0),
  _xlpm.c, MATCH(BD$8,'3. Enter Indicator Scores'!$D$8:$CZ$8,0),
  _xlpm.v, IFERROR(INDEX('3. Enter Indicator Scores'!$D$10:$CZ$161,_xlpm.r,_xlpm.c),""),
  IF(OR(_xlpm.w="",_xlpm.v=""),"",_xlpm.v*_xlpm.w)
)</f>
        <v/>
      </c>
      <c r="BE30" s="93" t="str" cm="1">
        <f t="array" ref="BE30">_xlfn.LET(
  _xlpm.w, BE$11,
  _xlpm.r, MATCH(1,('3. Enter Indicator Scores'!$B$10:$B$161=$B30)*('3. Enter Indicator Scores'!$C$10:$C$161=$C30),0),
  _xlpm.c, MATCH(BE$8,'3. Enter Indicator Scores'!$D$8:$CZ$8,0),
  _xlpm.v, IFERROR(INDEX('3. Enter Indicator Scores'!$D$10:$CZ$161,_xlpm.r,_xlpm.c),""),
  IF(OR(_xlpm.w="",_xlpm.v=""),"",_xlpm.v*_xlpm.w)
)</f>
        <v/>
      </c>
      <c r="BF30" s="93" t="str" cm="1">
        <f t="array" ref="BF30">_xlfn.LET(
  _xlpm.w, BF$11,
  _xlpm.r, MATCH(1,('3. Enter Indicator Scores'!$B$10:$B$161=$B30)*('3. Enter Indicator Scores'!$C$10:$C$161=$C30),0),
  _xlpm.c, MATCH(BF$8,'3. Enter Indicator Scores'!$D$8:$CZ$8,0),
  _xlpm.v, IFERROR(INDEX('3. Enter Indicator Scores'!$D$10:$CZ$161,_xlpm.r,_xlpm.c),""),
  IF(OR(_xlpm.w="",_xlpm.v=""),"",_xlpm.v*_xlpm.w)
)</f>
        <v/>
      </c>
      <c r="BG30" s="93" t="str" cm="1">
        <f t="array" ref="BG30">_xlfn.LET(
  _xlpm.w, BG$11,
  _xlpm.r, MATCH(1,('3. Enter Indicator Scores'!$B$10:$B$161=$B30)*('3. Enter Indicator Scores'!$C$10:$C$161=$C30),0),
  _xlpm.c, MATCH(BG$8,'3. Enter Indicator Scores'!$D$8:$CZ$8,0),
  _xlpm.v, IFERROR(INDEX('3. Enter Indicator Scores'!$D$10:$CZ$161,_xlpm.r,_xlpm.c),""),
  IF(OR(_xlpm.w="",_xlpm.v=""),"",_xlpm.v*_xlpm.w)
)</f>
        <v/>
      </c>
      <c r="BH30" s="93" t="str" cm="1">
        <f t="array" ref="BH30">_xlfn.LET(
  _xlpm.w, BH$11,
  _xlpm.r, MATCH(1,('3. Enter Indicator Scores'!$B$10:$B$161=$B30)*('3. Enter Indicator Scores'!$C$10:$C$161=$C30),0),
  _xlpm.c, MATCH(BH$8,'3. Enter Indicator Scores'!$D$8:$CZ$8,0),
  _xlpm.v, IFERROR(INDEX('3. Enter Indicator Scores'!$D$10:$CZ$161,_xlpm.r,_xlpm.c),""),
  IF(OR(_xlpm.w="",_xlpm.v=""),"",_xlpm.v*_xlpm.w)
)</f>
        <v/>
      </c>
      <c r="BI30" s="93" t="str" cm="1">
        <f t="array" ref="BI30">_xlfn.LET(
  _xlpm.w, BI$11,
  _xlpm.r, MATCH(1,('3. Enter Indicator Scores'!$B$10:$B$161=$B30)*('3. Enter Indicator Scores'!$C$10:$C$161=$C30),0),
  _xlpm.c, MATCH(BI$8,'3. Enter Indicator Scores'!$D$8:$CZ$8,0),
  _xlpm.v, IFERROR(INDEX('3. Enter Indicator Scores'!$D$10:$CZ$161,_xlpm.r,_xlpm.c),""),
  IF(OR(_xlpm.w="",_xlpm.v=""),"",_xlpm.v*_xlpm.w)
)</f>
        <v/>
      </c>
      <c r="BJ30" s="93" t="str" cm="1">
        <f t="array" ref="BJ30">_xlfn.LET(
  _xlpm.w, BJ$11,
  _xlpm.r, MATCH(1,('3. Enter Indicator Scores'!$B$10:$B$161=$B30)*('3. Enter Indicator Scores'!$C$10:$C$161=$C30),0),
  _xlpm.c, MATCH(BJ$8,'3. Enter Indicator Scores'!$D$8:$CZ$8,0),
  _xlpm.v, IFERROR(INDEX('3. Enter Indicator Scores'!$D$10:$CZ$161,_xlpm.r,_xlpm.c),""),
  IF(OR(_xlpm.w="",_xlpm.v=""),"",_xlpm.v*_xlpm.w)
)</f>
        <v/>
      </c>
      <c r="BK30" s="93" t="str" cm="1">
        <f t="array" ref="BK30">_xlfn.LET(
  _xlpm.w, BK$11,
  _xlpm.r, MATCH(1,('3. Enter Indicator Scores'!$B$10:$B$161=$B30)*('3. Enter Indicator Scores'!$C$10:$C$161=$C30),0),
  _xlpm.c, MATCH(BK$8,'3. Enter Indicator Scores'!$D$8:$CZ$8,0),
  _xlpm.v, IFERROR(INDEX('3. Enter Indicator Scores'!$D$10:$CZ$161,_xlpm.r,_xlpm.c),""),
  IF(OR(_xlpm.w="",_xlpm.v=""),"",_xlpm.v*_xlpm.w)
)</f>
        <v/>
      </c>
      <c r="BL30" s="93" t="str" cm="1">
        <f t="array" ref="BL30">_xlfn.LET(
  _xlpm.w, BL$11,
  _xlpm.r, MATCH(1,('3. Enter Indicator Scores'!$B$10:$B$161=$B30)*('3. Enter Indicator Scores'!$C$10:$C$161=$C30),0),
  _xlpm.c, MATCH(BL$8,'3. Enter Indicator Scores'!$D$8:$CZ$8,0),
  _xlpm.v, IFERROR(INDEX('3. Enter Indicator Scores'!$D$10:$CZ$161,_xlpm.r,_xlpm.c),""),
  IF(OR(_xlpm.w="",_xlpm.v=""),"",_xlpm.v*_xlpm.w)
)</f>
        <v/>
      </c>
      <c r="BM30" s="93" t="str" cm="1">
        <f t="array" ref="BM30">_xlfn.LET(
  _xlpm.w, BM$11,
  _xlpm.r, MATCH(1,('3. Enter Indicator Scores'!$B$10:$B$161=$B30)*('3. Enter Indicator Scores'!$C$10:$C$161=$C30),0),
  _xlpm.c, MATCH(BM$8,'3. Enter Indicator Scores'!$D$8:$CZ$8,0),
  _xlpm.v, IFERROR(INDEX('3. Enter Indicator Scores'!$D$10:$CZ$161,_xlpm.r,_xlpm.c),""),
  IF(OR(_xlpm.w="",_xlpm.v=""),"",_xlpm.v*_xlpm.w)
)</f>
        <v/>
      </c>
      <c r="BN30" s="93" t="str" cm="1">
        <f t="array" ref="BN30">_xlfn.LET(
  _xlpm.w, BN$11,
  _xlpm.r, MATCH(1,('3. Enter Indicator Scores'!$B$10:$B$161=$B30)*('3. Enter Indicator Scores'!$C$10:$C$161=$C30),0),
  _xlpm.c, MATCH(BN$8,'3. Enter Indicator Scores'!$D$8:$CZ$8,0),
  _xlpm.v, IFERROR(INDEX('3. Enter Indicator Scores'!$D$10:$CZ$161,_xlpm.r,_xlpm.c),""),
  IF(OR(_xlpm.w="",_xlpm.v=""),"",_xlpm.v*_xlpm.w)
)</f>
        <v/>
      </c>
      <c r="BO30" s="93" t="str" cm="1">
        <f t="array" ref="BO30">_xlfn.LET(
  _xlpm.w, BO$11,
  _xlpm.r, MATCH(1,('3. Enter Indicator Scores'!$B$10:$B$161=$B30)*('3. Enter Indicator Scores'!$C$10:$C$161=$C30),0),
  _xlpm.c, MATCH(BO$8,'3. Enter Indicator Scores'!$D$8:$CZ$8,0),
  _xlpm.v, IFERROR(INDEX('3. Enter Indicator Scores'!$D$10:$CZ$161,_xlpm.r,_xlpm.c),""),
  IF(OR(_xlpm.w="",_xlpm.v=""),"",_xlpm.v*_xlpm.w)
)</f>
        <v/>
      </c>
      <c r="BP30" s="93" t="str" cm="1">
        <f t="array" ref="BP30">_xlfn.LET(
  _xlpm.w, BP$11,
  _xlpm.r, MATCH(1,('3. Enter Indicator Scores'!$B$10:$B$161=$B30)*('3. Enter Indicator Scores'!$C$10:$C$161=$C30),0),
  _xlpm.c, MATCH(BP$8,'3. Enter Indicator Scores'!$D$8:$CZ$8,0),
  _xlpm.v, IFERROR(INDEX('3. Enter Indicator Scores'!$D$10:$CZ$161,_xlpm.r,_xlpm.c),""),
  IF(OR(_xlpm.w="",_xlpm.v=""),"",_xlpm.v*_xlpm.w)
)</f>
        <v/>
      </c>
      <c r="BQ30" s="93" t="str" cm="1">
        <f t="array" ref="BQ30">_xlfn.LET(
  _xlpm.w, BQ$11,
  _xlpm.r, MATCH(1,('3. Enter Indicator Scores'!$B$10:$B$161=$B30)*('3. Enter Indicator Scores'!$C$10:$C$161=$C30),0),
  _xlpm.c, MATCH(BQ$8,'3. Enter Indicator Scores'!$D$8:$CZ$8,0),
  _xlpm.v, IFERROR(INDEX('3. Enter Indicator Scores'!$D$10:$CZ$161,_xlpm.r,_xlpm.c),""),
  IF(OR(_xlpm.w="",_xlpm.v=""),"",_xlpm.v*_xlpm.w)
)</f>
        <v/>
      </c>
      <c r="BR30" s="93" t="str" cm="1">
        <f t="array" ref="BR30">_xlfn.LET(
  _xlpm.w, BR$11,
  _xlpm.r, MATCH(1,('3. Enter Indicator Scores'!$B$10:$B$161=$B30)*('3. Enter Indicator Scores'!$C$10:$C$161=$C30),0),
  _xlpm.c, MATCH(BR$8,'3. Enter Indicator Scores'!$D$8:$CZ$8,0),
  _xlpm.v, IFERROR(INDEX('3. Enter Indicator Scores'!$D$10:$CZ$161,_xlpm.r,_xlpm.c),""),
  IF(OR(_xlpm.w="",_xlpm.v=""),"",_xlpm.v*_xlpm.w)
)</f>
        <v/>
      </c>
      <c r="BS30" s="93" t="str" cm="1">
        <f t="array" ref="BS30">_xlfn.LET(
  _xlpm.w, BS$11,
  _xlpm.r, MATCH(1,('3. Enter Indicator Scores'!$B$10:$B$161=$B30)*('3. Enter Indicator Scores'!$C$10:$C$161=$C30),0),
  _xlpm.c, MATCH(BS$8,'3. Enter Indicator Scores'!$D$8:$CZ$8,0),
  _xlpm.v, IFERROR(INDEX('3. Enter Indicator Scores'!$D$10:$CZ$161,_xlpm.r,_xlpm.c),""),
  IF(OR(_xlpm.w="",_xlpm.v=""),"",_xlpm.v*_xlpm.w)
)</f>
        <v/>
      </c>
      <c r="BT30" s="93" t="str" cm="1">
        <f t="array" ref="BT30">_xlfn.LET(
  _xlpm.w, BT$11,
  _xlpm.r, MATCH(1,('3. Enter Indicator Scores'!$B$10:$B$161=$B30)*('3. Enter Indicator Scores'!$C$10:$C$161=$C30),0),
  _xlpm.c, MATCH(BT$8,'3. Enter Indicator Scores'!$D$8:$CZ$8,0),
  _xlpm.v, IFERROR(INDEX('3. Enter Indicator Scores'!$D$10:$CZ$161,_xlpm.r,_xlpm.c),""),
  IF(OR(_xlpm.w="",_xlpm.v=""),"",_xlpm.v*_xlpm.w)
)</f>
        <v/>
      </c>
      <c r="BU30" s="93" t="str" cm="1">
        <f t="array" ref="BU30">_xlfn.LET(
  _xlpm.w, BU$11,
  _xlpm.r, MATCH(1,('3. Enter Indicator Scores'!$B$10:$B$161=$B30)*('3. Enter Indicator Scores'!$C$10:$C$161=$C30),0),
  _xlpm.c, MATCH(BU$8,'3. Enter Indicator Scores'!$D$8:$CZ$8,0),
  _xlpm.v, IFERROR(INDEX('3. Enter Indicator Scores'!$D$10:$CZ$161,_xlpm.r,_xlpm.c),""),
  IF(OR(_xlpm.w="",_xlpm.v=""),"",_xlpm.v*_xlpm.w)
)</f>
        <v/>
      </c>
      <c r="BV30" s="93" t="str" cm="1">
        <f t="array" ref="BV30">_xlfn.LET(
  _xlpm.w, BV$11,
  _xlpm.r, MATCH(1,('3. Enter Indicator Scores'!$B$10:$B$161=$B30)*('3. Enter Indicator Scores'!$C$10:$C$161=$C30),0),
  _xlpm.c, MATCH(BV$8,'3. Enter Indicator Scores'!$D$8:$CZ$8,0),
  _xlpm.v, IFERROR(INDEX('3. Enter Indicator Scores'!$D$10:$CZ$161,_xlpm.r,_xlpm.c),""),
  IF(OR(_xlpm.w="",_xlpm.v=""),"",_xlpm.v*_xlpm.w)
)</f>
        <v/>
      </c>
      <c r="BW30" s="93" t="str" cm="1">
        <f t="array" ref="BW30">_xlfn.LET(
  _xlpm.w, BW$11,
  _xlpm.r, MATCH(1,('3. Enter Indicator Scores'!$B$10:$B$161=$B30)*('3. Enter Indicator Scores'!$C$10:$C$161=$C30),0),
  _xlpm.c, MATCH(BW$8,'3. Enter Indicator Scores'!$D$8:$CZ$8,0),
  _xlpm.v, IFERROR(INDEX('3. Enter Indicator Scores'!$D$10:$CZ$161,_xlpm.r,_xlpm.c),""),
  IF(OR(_xlpm.w="",_xlpm.v=""),"",_xlpm.v*_xlpm.w)
)</f>
        <v/>
      </c>
      <c r="BX30" s="93" t="str" cm="1">
        <f t="array" ref="BX30">_xlfn.LET(
  _xlpm.w, BX$11,
  _xlpm.r, MATCH(1,('3. Enter Indicator Scores'!$B$10:$B$161=$B30)*('3. Enter Indicator Scores'!$C$10:$C$161=$C30),0),
  _xlpm.c, MATCH(BX$8,'3. Enter Indicator Scores'!$D$8:$CZ$8,0),
  _xlpm.v, IFERROR(INDEX('3. Enter Indicator Scores'!$D$10:$CZ$161,_xlpm.r,_xlpm.c),""),
  IF(OR(_xlpm.w="",_xlpm.v=""),"",_xlpm.v*_xlpm.w)
)</f>
        <v/>
      </c>
      <c r="BY30" s="93" t="str" cm="1">
        <f t="array" ref="BY30">_xlfn.LET(
  _xlpm.w, BY$11,
  _xlpm.r, MATCH(1,('3. Enter Indicator Scores'!$B$10:$B$161=$B30)*('3. Enter Indicator Scores'!$C$10:$C$161=$C30),0),
  _xlpm.c, MATCH(BY$8,'3. Enter Indicator Scores'!$D$8:$CZ$8,0),
  _xlpm.v, IFERROR(INDEX('3. Enter Indicator Scores'!$D$10:$CZ$161,_xlpm.r,_xlpm.c),""),
  IF(OR(_xlpm.w="",_xlpm.v=""),"",_xlpm.v*_xlpm.w)
)</f>
        <v/>
      </c>
      <c r="BZ30" s="93" t="str" cm="1">
        <f t="array" ref="BZ30">_xlfn.LET(
  _xlpm.w, BZ$11,
  _xlpm.r, MATCH(1,('3. Enter Indicator Scores'!$B$10:$B$161=$B30)*('3. Enter Indicator Scores'!$C$10:$C$161=$C30),0),
  _xlpm.c, MATCH(BZ$8,'3. Enter Indicator Scores'!$D$8:$CZ$8,0),
  _xlpm.v, IFERROR(INDEX('3. Enter Indicator Scores'!$D$10:$CZ$161,_xlpm.r,_xlpm.c),""),
  IF(OR(_xlpm.w="",_xlpm.v=""),"",_xlpm.v*_xlpm.w)
)</f>
        <v/>
      </c>
      <c r="CA30" s="93" t="str" cm="1">
        <f t="array" ref="CA30">_xlfn.LET(
  _xlpm.w, CA$11,
  _xlpm.r, MATCH(1,('3. Enter Indicator Scores'!$B$10:$B$161=$B30)*('3. Enter Indicator Scores'!$C$10:$C$161=$C30),0),
  _xlpm.c, MATCH(CA$8,'3. Enter Indicator Scores'!$D$8:$CZ$8,0),
  _xlpm.v, IFERROR(INDEX('3. Enter Indicator Scores'!$D$10:$CZ$161,_xlpm.r,_xlpm.c),""),
  IF(OR(_xlpm.w="",_xlpm.v=""),"",_xlpm.v*_xlpm.w)
)</f>
        <v/>
      </c>
      <c r="CB30" s="93" t="str" cm="1">
        <f t="array" ref="CB30">_xlfn.LET(
  _xlpm.w, CB$11,
  _xlpm.r, MATCH(1,('3. Enter Indicator Scores'!$B$10:$B$161=$B30)*('3. Enter Indicator Scores'!$C$10:$C$161=$C30),0),
  _xlpm.c, MATCH(CB$8,'3. Enter Indicator Scores'!$D$8:$CZ$8,0),
  _xlpm.v, IFERROR(INDEX('3. Enter Indicator Scores'!$D$10:$CZ$161,_xlpm.r,_xlpm.c),""),
  IF(OR(_xlpm.w="",_xlpm.v=""),"",_xlpm.v*_xlpm.w)
)</f>
        <v/>
      </c>
      <c r="CC30" s="93" t="str" cm="1">
        <f t="array" ref="CC30">_xlfn.LET(
  _xlpm.w, CC$11,
  _xlpm.r, MATCH(1,('3. Enter Indicator Scores'!$B$10:$B$161=$B30)*('3. Enter Indicator Scores'!$C$10:$C$161=$C30),0),
  _xlpm.c, MATCH(CC$8,'3. Enter Indicator Scores'!$D$8:$CZ$8,0),
  _xlpm.v, IFERROR(INDEX('3. Enter Indicator Scores'!$D$10:$CZ$161,_xlpm.r,_xlpm.c),""),
  IF(OR(_xlpm.w="",_xlpm.v=""),"",_xlpm.v*_xlpm.w)
)</f>
        <v/>
      </c>
      <c r="CD30" s="93" t="str" cm="1">
        <f t="array" ref="CD30">_xlfn.LET(
  _xlpm.w, CD$11,
  _xlpm.r, MATCH(1,('3. Enter Indicator Scores'!$B$10:$B$161=$B30)*('3. Enter Indicator Scores'!$C$10:$C$161=$C30),0),
  _xlpm.c, MATCH(CD$8,'3. Enter Indicator Scores'!$D$8:$CZ$8,0),
  _xlpm.v, IFERROR(INDEX('3. Enter Indicator Scores'!$D$10:$CZ$161,_xlpm.r,_xlpm.c),""),
  IF(OR(_xlpm.w="",_xlpm.v=""),"",_xlpm.v*_xlpm.w)
)</f>
        <v/>
      </c>
      <c r="CE30" s="93" t="str" cm="1">
        <f t="array" ref="CE30">_xlfn.LET(
  _xlpm.w, CE$11,
  _xlpm.r, MATCH(1,('3. Enter Indicator Scores'!$B$10:$B$161=$B30)*('3. Enter Indicator Scores'!$C$10:$C$161=$C30),0),
  _xlpm.c, MATCH(CE$8,'3. Enter Indicator Scores'!$D$8:$CZ$8,0),
  _xlpm.v, IFERROR(INDEX('3. Enter Indicator Scores'!$D$10:$CZ$161,_xlpm.r,_xlpm.c),""),
  IF(OR(_xlpm.w="",_xlpm.v=""),"",_xlpm.v*_xlpm.w)
)</f>
        <v/>
      </c>
      <c r="CF30" s="93" t="str" cm="1">
        <f t="array" ref="CF30">_xlfn.LET(
  _xlpm.w, CF$11,
  _xlpm.r, MATCH(1,('3. Enter Indicator Scores'!$B$10:$B$161=$B30)*('3. Enter Indicator Scores'!$C$10:$C$161=$C30),0),
  _xlpm.c, MATCH(CF$8,'3. Enter Indicator Scores'!$D$8:$CZ$8,0),
  _xlpm.v, IFERROR(INDEX('3. Enter Indicator Scores'!$D$10:$CZ$161,_xlpm.r,_xlpm.c),""),
  IF(OR(_xlpm.w="",_xlpm.v=""),"",_xlpm.v*_xlpm.w)
)</f>
        <v/>
      </c>
      <c r="CG30" s="93" t="str" cm="1">
        <f t="array" ref="CG30">_xlfn.LET(
  _xlpm.w, CG$11,
  _xlpm.r, MATCH(1,('3. Enter Indicator Scores'!$B$10:$B$161=$B30)*('3. Enter Indicator Scores'!$C$10:$C$161=$C30),0),
  _xlpm.c, MATCH(CG$8,'3. Enter Indicator Scores'!$D$8:$CZ$8,0),
  _xlpm.v, IFERROR(INDEX('3. Enter Indicator Scores'!$D$10:$CZ$161,_xlpm.r,_xlpm.c),""),
  IF(OR(_xlpm.w="",_xlpm.v=""),"",_xlpm.v*_xlpm.w)
)</f>
        <v/>
      </c>
      <c r="CH30" s="93" t="str" cm="1">
        <f t="array" ref="CH30">_xlfn.LET(
  _xlpm.w, CH$11,
  _xlpm.r, MATCH(1,('3. Enter Indicator Scores'!$B$10:$B$161=$B30)*('3. Enter Indicator Scores'!$C$10:$C$161=$C30),0),
  _xlpm.c, MATCH(CH$8,'3. Enter Indicator Scores'!$D$8:$CZ$8,0),
  _xlpm.v, IFERROR(INDEX('3. Enter Indicator Scores'!$D$10:$CZ$161,_xlpm.r,_xlpm.c),""),
  IF(OR(_xlpm.w="",_xlpm.v=""),"",_xlpm.v*_xlpm.w)
)</f>
        <v/>
      </c>
      <c r="CI30" s="93" t="str" cm="1">
        <f t="array" ref="CI30">_xlfn.LET(
  _xlpm.w, CI$11,
  _xlpm.r, MATCH(1,('3. Enter Indicator Scores'!$B$10:$B$161=$B30)*('3. Enter Indicator Scores'!$C$10:$C$161=$C30),0),
  _xlpm.c, MATCH(CI$8,'3. Enter Indicator Scores'!$D$8:$CZ$8,0),
  _xlpm.v, IFERROR(INDEX('3. Enter Indicator Scores'!$D$10:$CZ$161,_xlpm.r,_xlpm.c),""),
  IF(OR(_xlpm.w="",_xlpm.v=""),"",_xlpm.v*_xlpm.w)
)</f>
        <v/>
      </c>
      <c r="CJ30" s="93" t="str" cm="1">
        <f t="array" ref="CJ30">_xlfn.LET(
  _xlpm.w, CJ$11,
  _xlpm.r, MATCH(1,('3. Enter Indicator Scores'!$B$10:$B$161=$B30)*('3. Enter Indicator Scores'!$C$10:$C$161=$C30),0),
  _xlpm.c, MATCH(CJ$8,'3. Enter Indicator Scores'!$D$8:$CZ$8,0),
  _xlpm.v, IFERROR(INDEX('3. Enter Indicator Scores'!$D$10:$CZ$161,_xlpm.r,_xlpm.c),""),
  IF(OR(_xlpm.w="",_xlpm.v=""),"",_xlpm.v*_xlpm.w)
)</f>
        <v/>
      </c>
      <c r="CK30" s="93" t="str" cm="1">
        <f t="array" ref="CK30">_xlfn.LET(
  _xlpm.w, CK$11,
  _xlpm.r, MATCH(1,('3. Enter Indicator Scores'!$B$10:$B$161=$B30)*('3. Enter Indicator Scores'!$C$10:$C$161=$C30),0),
  _xlpm.c, MATCH(CK$8,'3. Enter Indicator Scores'!$D$8:$CZ$8,0),
  _xlpm.v, IFERROR(INDEX('3. Enter Indicator Scores'!$D$10:$CZ$161,_xlpm.r,_xlpm.c),""),
  IF(OR(_xlpm.w="",_xlpm.v=""),"",_xlpm.v*_xlpm.w)
)</f>
        <v/>
      </c>
      <c r="CL30" s="93" t="str" cm="1">
        <f t="array" ref="CL30">_xlfn.LET(
  _xlpm.w, CL$11,
  _xlpm.r, MATCH(1,('3. Enter Indicator Scores'!$B$10:$B$161=$B30)*('3. Enter Indicator Scores'!$C$10:$C$161=$C30),0),
  _xlpm.c, MATCH(CL$8,'3. Enter Indicator Scores'!$D$8:$CZ$8,0),
  _xlpm.v, IFERROR(INDEX('3. Enter Indicator Scores'!$D$10:$CZ$161,_xlpm.r,_xlpm.c),""),
  IF(OR(_xlpm.w="",_xlpm.v=""),"",_xlpm.v*_xlpm.w)
)</f>
        <v/>
      </c>
      <c r="CM30" s="93" t="str" cm="1">
        <f t="array" ref="CM30">_xlfn.LET(
  _xlpm.w, CM$11,
  _xlpm.r, MATCH(1,('3. Enter Indicator Scores'!$B$10:$B$161=$B30)*('3. Enter Indicator Scores'!$C$10:$C$161=$C30),0),
  _xlpm.c, MATCH(CM$8,'3. Enter Indicator Scores'!$D$8:$CZ$8,0),
  _xlpm.v, IFERROR(INDEX('3. Enter Indicator Scores'!$D$10:$CZ$161,_xlpm.r,_xlpm.c),""),
  IF(OR(_xlpm.w="",_xlpm.v=""),"",_xlpm.v*_xlpm.w)
)</f>
        <v/>
      </c>
      <c r="CN30" s="93" t="str" cm="1">
        <f t="array" ref="CN30">_xlfn.LET(
  _xlpm.w, CN$11,
  _xlpm.r, MATCH(1,('3. Enter Indicator Scores'!$B$10:$B$161=$B30)*('3. Enter Indicator Scores'!$C$10:$C$161=$C30),0),
  _xlpm.c, MATCH(CN$8,'3. Enter Indicator Scores'!$D$8:$CZ$8,0),
  _xlpm.v, IFERROR(INDEX('3. Enter Indicator Scores'!$D$10:$CZ$161,_xlpm.r,_xlpm.c),""),
  IF(OR(_xlpm.w="",_xlpm.v=""),"",_xlpm.v*_xlpm.w)
)</f>
        <v/>
      </c>
      <c r="CO30" s="93" t="str" cm="1">
        <f t="array" ref="CO30">_xlfn.LET(
  _xlpm.w, CO$11,
  _xlpm.r, MATCH(1,('3. Enter Indicator Scores'!$B$10:$B$161=$B30)*('3. Enter Indicator Scores'!$C$10:$C$161=$C30),0),
  _xlpm.c, MATCH(CO$8,'3. Enter Indicator Scores'!$D$8:$CZ$8,0),
  _xlpm.v, IFERROR(INDEX('3. Enter Indicator Scores'!$D$10:$CZ$161,_xlpm.r,_xlpm.c),""),
  IF(OR(_xlpm.w="",_xlpm.v=""),"",_xlpm.v*_xlpm.w)
)</f>
        <v/>
      </c>
      <c r="CP30" s="93" t="str" cm="1">
        <f t="array" ref="CP30">_xlfn.LET(
  _xlpm.w, CP$11,
  _xlpm.r, MATCH(1,('3. Enter Indicator Scores'!$B$10:$B$161=$B30)*('3. Enter Indicator Scores'!$C$10:$C$161=$C30),0),
  _xlpm.c, MATCH(CP$8,'3. Enter Indicator Scores'!$D$8:$CZ$8,0),
  _xlpm.v, IFERROR(INDEX('3. Enter Indicator Scores'!$D$10:$CZ$161,_xlpm.r,_xlpm.c),""),
  IF(OR(_xlpm.w="",_xlpm.v=""),"",_xlpm.v*_xlpm.w)
)</f>
        <v/>
      </c>
      <c r="CQ30" s="93" t="str" cm="1">
        <f t="array" ref="CQ30">_xlfn.LET(
  _xlpm.w, CQ$11,
  _xlpm.r, MATCH(1,('3. Enter Indicator Scores'!$B$10:$B$161=$B30)*('3. Enter Indicator Scores'!$C$10:$C$161=$C30),0),
  _xlpm.c, MATCH(CQ$8,'3. Enter Indicator Scores'!$D$8:$CZ$8,0),
  _xlpm.v, IFERROR(INDEX('3. Enter Indicator Scores'!$D$10:$CZ$161,_xlpm.r,_xlpm.c),""),
  IF(OR(_xlpm.w="",_xlpm.v=""),"",_xlpm.v*_xlpm.w)
)</f>
        <v/>
      </c>
      <c r="CR30" s="93" t="str" cm="1">
        <f t="array" ref="CR30">_xlfn.LET(
  _xlpm.w, CR$11,
  _xlpm.r, MATCH(1,('3. Enter Indicator Scores'!$B$10:$B$161=$B30)*('3. Enter Indicator Scores'!$C$10:$C$161=$C30),0),
  _xlpm.c, MATCH(CR$8,'3. Enter Indicator Scores'!$D$8:$CZ$8,0),
  _xlpm.v, IFERROR(INDEX('3. Enter Indicator Scores'!$D$10:$CZ$161,_xlpm.r,_xlpm.c),""),
  IF(OR(_xlpm.w="",_xlpm.v=""),"",_xlpm.v*_xlpm.w)
)</f>
        <v/>
      </c>
      <c r="CS30" s="93" t="str" cm="1">
        <f t="array" ref="CS30">_xlfn.LET(
  _xlpm.w, CS$11,
  _xlpm.r, MATCH(1,('3. Enter Indicator Scores'!$B$10:$B$161=$B30)*('3. Enter Indicator Scores'!$C$10:$C$161=$C30),0),
  _xlpm.c, MATCH(CS$8,'3. Enter Indicator Scores'!$D$8:$CZ$8,0),
  _xlpm.v, IFERROR(INDEX('3. Enter Indicator Scores'!$D$10:$CZ$161,_xlpm.r,_xlpm.c),""),
  IF(OR(_xlpm.w="",_xlpm.v=""),"",_xlpm.v*_xlpm.w)
)</f>
        <v/>
      </c>
      <c r="CT30" s="93" t="str" cm="1">
        <f t="array" ref="CT30">_xlfn.LET(
  _xlpm.w, CT$11,
  _xlpm.r, MATCH(1,('3. Enter Indicator Scores'!$B$10:$B$161=$B30)*('3. Enter Indicator Scores'!$C$10:$C$161=$C30),0),
  _xlpm.c, MATCH(CT$8,'3. Enter Indicator Scores'!$D$8:$CZ$8,0),
  _xlpm.v, IFERROR(INDEX('3. Enter Indicator Scores'!$D$10:$CZ$161,_xlpm.r,_xlpm.c),""),
  IF(OR(_xlpm.w="",_xlpm.v=""),"",_xlpm.v*_xlpm.w)
)</f>
        <v/>
      </c>
      <c r="CU30" s="93" t="str" cm="1">
        <f t="array" ref="CU30">_xlfn.LET(
  _xlpm.w, CU$11,
  _xlpm.r, MATCH(1,('3. Enter Indicator Scores'!$B$10:$B$161=$B30)*('3. Enter Indicator Scores'!$C$10:$C$161=$C30),0),
  _xlpm.c, MATCH(CU$8,'3. Enter Indicator Scores'!$D$8:$CZ$8,0),
  _xlpm.v, IFERROR(INDEX('3. Enter Indicator Scores'!$D$10:$CZ$161,_xlpm.r,_xlpm.c),""),
  IF(OR(_xlpm.w="",_xlpm.v=""),"",_xlpm.v*_xlpm.w)
)</f>
        <v/>
      </c>
      <c r="CV30" s="93" t="str" cm="1">
        <f t="array" ref="CV30">_xlfn.LET(
  _xlpm.w, CV$11,
  _xlpm.r, MATCH(1,('3. Enter Indicator Scores'!$B$10:$B$161=$B30)*('3. Enter Indicator Scores'!$C$10:$C$161=$C30),0),
  _xlpm.c, MATCH(CV$8,'3. Enter Indicator Scores'!$D$8:$CZ$8,0),
  _xlpm.v, IFERROR(INDEX('3. Enter Indicator Scores'!$D$10:$CZ$161,_xlpm.r,_xlpm.c),""),
  IF(OR(_xlpm.w="",_xlpm.v=""),"",_xlpm.v*_xlpm.w)
)</f>
        <v/>
      </c>
      <c r="CW30" s="93" t="str" cm="1">
        <f t="array" ref="CW30">_xlfn.LET(
  _xlpm.w, CW$11,
  _xlpm.r, MATCH(1,('3. Enter Indicator Scores'!$B$10:$B$161=$B30)*('3. Enter Indicator Scores'!$C$10:$C$161=$C30),0),
  _xlpm.c, MATCH(CW$8,'3. Enter Indicator Scores'!$D$8:$CZ$8,0),
  _xlpm.v, IFERROR(INDEX('3. Enter Indicator Scores'!$D$10:$CZ$161,_xlpm.r,_xlpm.c),""),
  IF(OR(_xlpm.w="",_xlpm.v=""),"",_xlpm.v*_xlpm.w)
)</f>
        <v/>
      </c>
      <c r="CX30" s="93" t="str" cm="1">
        <f t="array" ref="CX30">_xlfn.LET(
  _xlpm.w, CX$11,
  _xlpm.r, MATCH(1,('3. Enter Indicator Scores'!$B$10:$B$161=$B30)*('3. Enter Indicator Scores'!$C$10:$C$161=$C30),0),
  _xlpm.c, MATCH(CX$8,'3. Enter Indicator Scores'!$D$8:$CZ$8,0),
  _xlpm.v, IFERROR(INDEX('3. Enter Indicator Scores'!$D$10:$CZ$161,_xlpm.r,_xlpm.c),""),
  IF(OR(_xlpm.w="",_xlpm.v=""),"",_xlpm.v*_xlpm.w)
)</f>
        <v/>
      </c>
      <c r="CY30" s="93" t="str" cm="1">
        <f t="array" ref="CY30">_xlfn.LET(
  _xlpm.w, CY$11,
  _xlpm.r, MATCH(1,('3. Enter Indicator Scores'!$B$10:$B$161=$B30)*('3. Enter Indicator Scores'!$C$10:$C$161=$C30),0),
  _xlpm.c, MATCH(CY$8,'3. Enter Indicator Scores'!$D$8:$CZ$8,0),
  _xlpm.v, IFERROR(INDEX('3. Enter Indicator Scores'!$D$10:$CZ$161,_xlpm.r,_xlpm.c),""),
  IF(OR(_xlpm.w="",_xlpm.v=""),"",_xlpm.v*_xlpm.w)
)</f>
        <v/>
      </c>
      <c r="CZ30" s="93" t="str" cm="1">
        <f t="array" ref="CZ30">_xlfn.LET(
  _xlpm.w, CZ$11,
  _xlpm.r, MATCH(1,('3. Enter Indicator Scores'!$B$10:$B$161=$B30)*('3. Enter Indicator Scores'!$C$10:$C$161=$C30),0),
  _xlpm.c, MATCH(CZ$8,'3. Enter Indicator Scores'!$D$8:$CZ$8,0),
  _xlpm.v, IFERROR(INDEX('3. Enter Indicator Scores'!$D$10:$CZ$161,_xlpm.r,_xlpm.c),""),
  IF(OR(_xlpm.w="",_xlpm.v=""),"",_xlpm.v*_xlpm.w)
)</f>
        <v/>
      </c>
    </row>
    <row r="31" spans="1:104" x14ac:dyDescent="0.2">
      <c r="D31" s="93" t="str" cm="1">
        <f t="array" ref="D31">_xlfn.LET(
  _xlpm.w, D$11,
  _xlpm.r, MATCH(1,('3. Enter Indicator Scores'!$B$10:$B$161=$B31)*('3. Enter Indicator Scores'!$C$10:$C$161=$C31),0),
  _xlpm.c, MATCH(D$8,'3. Enter Indicator Scores'!$D$8:$CZ$8,0),
  _xlpm.v, IFERROR(INDEX('3. Enter Indicator Scores'!$D$10:$CZ$161,_xlpm.r,_xlpm.c),""),
  IF(OR(_xlpm.w="",_xlpm.v=""),"",_xlpm.v*_xlpm.w)
)</f>
        <v/>
      </c>
      <c r="E31" s="93" t="str" cm="1">
        <f t="array" ref="E31">_xlfn.LET(
  _xlpm.w, E$11,
  _xlpm.r, MATCH(1,('3. Enter Indicator Scores'!$B$10:$B$161=$B31)*('3. Enter Indicator Scores'!$C$10:$C$161=$C31),0),
  _xlpm.c, MATCH(E$8,'3. Enter Indicator Scores'!$D$8:$CZ$8,0),
  _xlpm.v, IFERROR(INDEX('3. Enter Indicator Scores'!$D$10:$CZ$161,_xlpm.r,_xlpm.c),""),
  IF(OR(_xlpm.w="",_xlpm.v=""),"",_xlpm.v*_xlpm.w)
)</f>
        <v/>
      </c>
      <c r="F31" s="93" t="str" cm="1">
        <f t="array" ref="F31">_xlfn.LET(
  _xlpm.w, F$11,
  _xlpm.r, MATCH(1,('3. Enter Indicator Scores'!$B$10:$B$161=$B31)*('3. Enter Indicator Scores'!$C$10:$C$161=$C31),0),
  _xlpm.c, MATCH(F$8,'3. Enter Indicator Scores'!$D$8:$CZ$8,0),
  _xlpm.v, IFERROR(INDEX('3. Enter Indicator Scores'!$D$10:$CZ$161,_xlpm.r,_xlpm.c),""),
  IF(OR(_xlpm.w="",_xlpm.v=""),"",_xlpm.v*_xlpm.w)
)</f>
        <v/>
      </c>
      <c r="G31" s="93" t="str" cm="1">
        <f t="array" ref="G31">_xlfn.LET(
  _xlpm.w, G$11,
  _xlpm.r, MATCH(1,('3. Enter Indicator Scores'!$B$10:$B$161=$B31)*('3. Enter Indicator Scores'!$C$10:$C$161=$C31),0),
  _xlpm.c, MATCH(G$8,'3. Enter Indicator Scores'!$D$8:$CZ$8,0),
  _xlpm.v, IFERROR(INDEX('3. Enter Indicator Scores'!$D$10:$CZ$161,_xlpm.r,_xlpm.c),""),
  IF(OR(_xlpm.w="",_xlpm.v=""),"",_xlpm.v*_xlpm.w)
)</f>
        <v/>
      </c>
      <c r="H31" s="93" t="str" cm="1">
        <f t="array" ref="H31">_xlfn.LET(
  _xlpm.w, H$11,
  _xlpm.r, MATCH(1,('3. Enter Indicator Scores'!$B$10:$B$161=$B31)*('3. Enter Indicator Scores'!$C$10:$C$161=$C31),0),
  _xlpm.c, MATCH(H$8,'3. Enter Indicator Scores'!$D$8:$CZ$8,0),
  _xlpm.v, IFERROR(INDEX('3. Enter Indicator Scores'!$D$10:$CZ$161,_xlpm.r,_xlpm.c),""),
  IF(OR(_xlpm.w="",_xlpm.v=""),"",_xlpm.v*_xlpm.w)
)</f>
        <v/>
      </c>
      <c r="I31" s="93" t="str" cm="1">
        <f t="array" ref="I31">_xlfn.LET(
  _xlpm.w, I$11,
  _xlpm.r, MATCH(1,('3. Enter Indicator Scores'!$B$10:$B$161=$B31)*('3. Enter Indicator Scores'!$C$10:$C$161=$C31),0),
  _xlpm.c, MATCH(I$8,'3. Enter Indicator Scores'!$D$8:$CZ$8,0),
  _xlpm.v, IFERROR(INDEX('3. Enter Indicator Scores'!$D$10:$CZ$161,_xlpm.r,_xlpm.c),""),
  IF(OR(_xlpm.w="",_xlpm.v=""),"",_xlpm.v*_xlpm.w)
)</f>
        <v/>
      </c>
      <c r="J31" s="93" t="str" cm="1">
        <f t="array" ref="J31">_xlfn.LET(
  _xlpm.w, J$11,
  _xlpm.r, MATCH(1,('3. Enter Indicator Scores'!$B$10:$B$161=$B31)*('3. Enter Indicator Scores'!$C$10:$C$161=$C31),0),
  _xlpm.c, MATCH(J$8,'3. Enter Indicator Scores'!$D$8:$CZ$8,0),
  _xlpm.v, IFERROR(INDEX('3. Enter Indicator Scores'!$D$10:$CZ$161,_xlpm.r,_xlpm.c),""),
  IF(OR(_xlpm.w="",_xlpm.v=""),"",_xlpm.v*_xlpm.w)
)</f>
        <v/>
      </c>
      <c r="K31" s="93" t="str" cm="1">
        <f t="array" ref="K31">_xlfn.LET(
  _xlpm.w, K$11,
  _xlpm.r, MATCH(1,('3. Enter Indicator Scores'!$B$10:$B$161=$B31)*('3. Enter Indicator Scores'!$C$10:$C$161=$C31),0),
  _xlpm.c, MATCH(K$8,'3. Enter Indicator Scores'!$D$8:$CZ$8,0),
  _xlpm.v, IFERROR(INDEX('3. Enter Indicator Scores'!$D$10:$CZ$161,_xlpm.r,_xlpm.c),""),
  IF(OR(_xlpm.w="",_xlpm.v=""),"",_xlpm.v*_xlpm.w)
)</f>
        <v/>
      </c>
      <c r="L31" s="93" t="str" cm="1">
        <f t="array" ref="L31">_xlfn.LET(
  _xlpm.w, L$11,
  _xlpm.r, MATCH(1,('3. Enter Indicator Scores'!$B$10:$B$161=$B31)*('3. Enter Indicator Scores'!$C$10:$C$161=$C31),0),
  _xlpm.c, MATCH(L$8,'3. Enter Indicator Scores'!$D$8:$CZ$8,0),
  _xlpm.v, IFERROR(INDEX('3. Enter Indicator Scores'!$D$10:$CZ$161,_xlpm.r,_xlpm.c),""),
  IF(OR(_xlpm.w="",_xlpm.v=""),"",_xlpm.v*_xlpm.w)
)</f>
        <v/>
      </c>
      <c r="M31" s="93" t="str" cm="1">
        <f t="array" ref="M31">_xlfn.LET(
  _xlpm.w, M$11,
  _xlpm.r, MATCH(1,('3. Enter Indicator Scores'!$B$10:$B$161=$B31)*('3. Enter Indicator Scores'!$C$10:$C$161=$C31),0),
  _xlpm.c, MATCH(M$8,'3. Enter Indicator Scores'!$D$8:$CZ$8,0),
  _xlpm.v, IFERROR(INDEX('3. Enter Indicator Scores'!$D$10:$CZ$161,_xlpm.r,_xlpm.c),""),
  IF(OR(_xlpm.w="",_xlpm.v=""),"",_xlpm.v*_xlpm.w)
)</f>
        <v/>
      </c>
      <c r="N31" s="93" t="str" cm="1">
        <f t="array" ref="N31">_xlfn.LET(
  _xlpm.w, N$11,
  _xlpm.r, MATCH(1,('3. Enter Indicator Scores'!$B$10:$B$161=$B31)*('3. Enter Indicator Scores'!$C$10:$C$161=$C31),0),
  _xlpm.c, MATCH(N$8,'3. Enter Indicator Scores'!$D$8:$CZ$8,0),
  _xlpm.v, IFERROR(INDEX('3. Enter Indicator Scores'!$D$10:$CZ$161,_xlpm.r,_xlpm.c),""),
  IF(OR(_xlpm.w="",_xlpm.v=""),"",_xlpm.v*_xlpm.w)
)</f>
        <v/>
      </c>
      <c r="O31" s="93" t="str" cm="1">
        <f t="array" ref="O31">_xlfn.LET(
  _xlpm.w, O$11,
  _xlpm.r, MATCH(1,('3. Enter Indicator Scores'!$B$10:$B$161=$B31)*('3. Enter Indicator Scores'!$C$10:$C$161=$C31),0),
  _xlpm.c, MATCH(O$8,'3. Enter Indicator Scores'!$D$8:$CZ$8,0),
  _xlpm.v, IFERROR(INDEX('3. Enter Indicator Scores'!$D$10:$CZ$161,_xlpm.r,_xlpm.c),""),
  IF(OR(_xlpm.w="",_xlpm.v=""),"",_xlpm.v*_xlpm.w)
)</f>
        <v/>
      </c>
      <c r="P31" s="93" t="str" cm="1">
        <f t="array" ref="P31">_xlfn.LET(
  _xlpm.w, P$11,
  _xlpm.r, MATCH(1,('3. Enter Indicator Scores'!$B$10:$B$161=$B31)*('3. Enter Indicator Scores'!$C$10:$C$161=$C31),0),
  _xlpm.c, MATCH(P$8,'3. Enter Indicator Scores'!$D$8:$CZ$8,0),
  _xlpm.v, IFERROR(INDEX('3. Enter Indicator Scores'!$D$10:$CZ$161,_xlpm.r,_xlpm.c),""),
  IF(OR(_xlpm.w="",_xlpm.v=""),"",_xlpm.v*_xlpm.w)
)</f>
        <v/>
      </c>
      <c r="Q31" s="93" t="str" cm="1">
        <f t="array" ref="Q31">_xlfn.LET(
  _xlpm.w, Q$11,
  _xlpm.r, MATCH(1,('3. Enter Indicator Scores'!$B$10:$B$161=$B31)*('3. Enter Indicator Scores'!$C$10:$C$161=$C31),0),
  _xlpm.c, MATCH(Q$8,'3. Enter Indicator Scores'!$D$8:$CZ$8,0),
  _xlpm.v, IFERROR(INDEX('3. Enter Indicator Scores'!$D$10:$CZ$161,_xlpm.r,_xlpm.c),""),
  IF(OR(_xlpm.w="",_xlpm.v=""),"",_xlpm.v*_xlpm.w)
)</f>
        <v/>
      </c>
      <c r="R31" s="93" t="str" cm="1">
        <f t="array" ref="R31">_xlfn.LET(
  _xlpm.w, R$11,
  _xlpm.r, MATCH(1,('3. Enter Indicator Scores'!$B$10:$B$161=$B31)*('3. Enter Indicator Scores'!$C$10:$C$161=$C31),0),
  _xlpm.c, MATCH(R$8,'3. Enter Indicator Scores'!$D$8:$CZ$8,0),
  _xlpm.v, IFERROR(INDEX('3. Enter Indicator Scores'!$D$10:$CZ$161,_xlpm.r,_xlpm.c),""),
  IF(OR(_xlpm.w="",_xlpm.v=""),"",_xlpm.v*_xlpm.w)
)</f>
        <v/>
      </c>
      <c r="S31" s="93" t="str" cm="1">
        <f t="array" ref="S31">_xlfn.LET(
  _xlpm.w, S$11,
  _xlpm.r, MATCH(1,('3. Enter Indicator Scores'!$B$10:$B$161=$B31)*('3. Enter Indicator Scores'!$C$10:$C$161=$C31),0),
  _xlpm.c, MATCH(S$8,'3. Enter Indicator Scores'!$D$8:$CZ$8,0),
  _xlpm.v, IFERROR(INDEX('3. Enter Indicator Scores'!$D$10:$CZ$161,_xlpm.r,_xlpm.c),""),
  IF(OR(_xlpm.w="",_xlpm.v=""),"",_xlpm.v*_xlpm.w)
)</f>
        <v/>
      </c>
      <c r="T31" s="93" t="str" cm="1">
        <f t="array" ref="T31">_xlfn.LET(
  _xlpm.w, T$11,
  _xlpm.r, MATCH(1,('3. Enter Indicator Scores'!$B$10:$B$161=$B31)*('3. Enter Indicator Scores'!$C$10:$C$161=$C31),0),
  _xlpm.c, MATCH(T$8,'3. Enter Indicator Scores'!$D$8:$CZ$8,0),
  _xlpm.v, IFERROR(INDEX('3. Enter Indicator Scores'!$D$10:$CZ$161,_xlpm.r,_xlpm.c),""),
  IF(OR(_xlpm.w="",_xlpm.v=""),"",_xlpm.v*_xlpm.w)
)</f>
        <v/>
      </c>
      <c r="U31" s="93" t="str" cm="1">
        <f t="array" ref="U31">_xlfn.LET(
  _xlpm.w, U$11,
  _xlpm.r, MATCH(1,('3. Enter Indicator Scores'!$B$10:$B$161=$B31)*('3. Enter Indicator Scores'!$C$10:$C$161=$C31),0),
  _xlpm.c, MATCH(U$8,'3. Enter Indicator Scores'!$D$8:$CZ$8,0),
  _xlpm.v, IFERROR(INDEX('3. Enter Indicator Scores'!$D$10:$CZ$161,_xlpm.r,_xlpm.c),""),
  IF(OR(_xlpm.w="",_xlpm.v=""),"",_xlpm.v*_xlpm.w)
)</f>
        <v/>
      </c>
      <c r="V31" s="93" t="str" cm="1">
        <f t="array" ref="V31">_xlfn.LET(
  _xlpm.w, V$11,
  _xlpm.r, MATCH(1,('3. Enter Indicator Scores'!$B$10:$B$161=$B31)*('3. Enter Indicator Scores'!$C$10:$C$161=$C31),0),
  _xlpm.c, MATCH(V$8,'3. Enter Indicator Scores'!$D$8:$CZ$8,0),
  _xlpm.v, IFERROR(INDEX('3. Enter Indicator Scores'!$D$10:$CZ$161,_xlpm.r,_xlpm.c),""),
  IF(OR(_xlpm.w="",_xlpm.v=""),"",_xlpm.v*_xlpm.w)
)</f>
        <v/>
      </c>
      <c r="W31" s="93" t="str" cm="1">
        <f t="array" ref="W31">_xlfn.LET(
  _xlpm.w, W$11,
  _xlpm.r, MATCH(1,('3. Enter Indicator Scores'!$B$10:$B$161=$B31)*('3. Enter Indicator Scores'!$C$10:$C$161=$C31),0),
  _xlpm.c, MATCH(W$8,'3. Enter Indicator Scores'!$D$8:$CZ$8,0),
  _xlpm.v, IFERROR(INDEX('3. Enter Indicator Scores'!$D$10:$CZ$161,_xlpm.r,_xlpm.c),""),
  IF(OR(_xlpm.w="",_xlpm.v=""),"",_xlpm.v*_xlpm.w)
)</f>
        <v/>
      </c>
      <c r="X31" s="93" t="str" cm="1">
        <f t="array" ref="X31">_xlfn.LET(
  _xlpm.w, X$11,
  _xlpm.r, MATCH(1,('3. Enter Indicator Scores'!$B$10:$B$161=$B31)*('3. Enter Indicator Scores'!$C$10:$C$161=$C31),0),
  _xlpm.c, MATCH(X$8,'3. Enter Indicator Scores'!$D$8:$CZ$8,0),
  _xlpm.v, IFERROR(INDEX('3. Enter Indicator Scores'!$D$10:$CZ$161,_xlpm.r,_xlpm.c),""),
  IF(OR(_xlpm.w="",_xlpm.v=""),"",_xlpm.v*_xlpm.w)
)</f>
        <v/>
      </c>
      <c r="Y31" s="93" t="str" cm="1">
        <f t="array" ref="Y31">_xlfn.LET(
  _xlpm.w, Y$11,
  _xlpm.r, MATCH(1,('3. Enter Indicator Scores'!$B$10:$B$161=$B31)*('3. Enter Indicator Scores'!$C$10:$C$161=$C31),0),
  _xlpm.c, MATCH(Y$8,'3. Enter Indicator Scores'!$D$8:$CZ$8,0),
  _xlpm.v, IFERROR(INDEX('3. Enter Indicator Scores'!$D$10:$CZ$161,_xlpm.r,_xlpm.c),""),
  IF(OR(_xlpm.w="",_xlpm.v=""),"",_xlpm.v*_xlpm.w)
)</f>
        <v/>
      </c>
      <c r="Z31" s="93" t="str" cm="1">
        <f t="array" ref="Z31">_xlfn.LET(
  _xlpm.w, Z$11,
  _xlpm.r, MATCH(1,('3. Enter Indicator Scores'!$B$10:$B$161=$B31)*('3. Enter Indicator Scores'!$C$10:$C$161=$C31),0),
  _xlpm.c, MATCH(Z$8,'3. Enter Indicator Scores'!$D$8:$CZ$8,0),
  _xlpm.v, IFERROR(INDEX('3. Enter Indicator Scores'!$D$10:$CZ$161,_xlpm.r,_xlpm.c),""),
  IF(OR(_xlpm.w="",_xlpm.v=""),"",_xlpm.v*_xlpm.w)
)</f>
        <v/>
      </c>
      <c r="AA31" s="93" t="str" cm="1">
        <f t="array" ref="AA31">_xlfn.LET(
  _xlpm.w, AA$11,
  _xlpm.r, MATCH(1,('3. Enter Indicator Scores'!$B$10:$B$161=$B31)*('3. Enter Indicator Scores'!$C$10:$C$161=$C31),0),
  _xlpm.c, MATCH(AA$8,'3. Enter Indicator Scores'!$D$8:$CZ$8,0),
  _xlpm.v, IFERROR(INDEX('3. Enter Indicator Scores'!$D$10:$CZ$161,_xlpm.r,_xlpm.c),""),
  IF(OR(_xlpm.w="",_xlpm.v=""),"",_xlpm.v*_xlpm.w)
)</f>
        <v/>
      </c>
      <c r="AB31" s="93" t="str" cm="1">
        <f t="array" ref="AB31">_xlfn.LET(
  _xlpm.w, AB$11,
  _xlpm.r, MATCH(1,('3. Enter Indicator Scores'!$B$10:$B$161=$B31)*('3. Enter Indicator Scores'!$C$10:$C$161=$C31),0),
  _xlpm.c, MATCH(AB$8,'3. Enter Indicator Scores'!$D$8:$CZ$8,0),
  _xlpm.v, IFERROR(INDEX('3. Enter Indicator Scores'!$D$10:$CZ$161,_xlpm.r,_xlpm.c),""),
  IF(OR(_xlpm.w="",_xlpm.v=""),"",_xlpm.v*_xlpm.w)
)</f>
        <v/>
      </c>
      <c r="AC31" s="93" t="str" cm="1">
        <f t="array" ref="AC31">_xlfn.LET(
  _xlpm.w, AC$11,
  _xlpm.r, MATCH(1,('3. Enter Indicator Scores'!$B$10:$B$161=$B31)*('3. Enter Indicator Scores'!$C$10:$C$161=$C31),0),
  _xlpm.c, MATCH(AC$8,'3. Enter Indicator Scores'!$D$8:$CZ$8,0),
  _xlpm.v, IFERROR(INDEX('3. Enter Indicator Scores'!$D$10:$CZ$161,_xlpm.r,_xlpm.c),""),
  IF(OR(_xlpm.w="",_xlpm.v=""),"",_xlpm.v*_xlpm.w)
)</f>
        <v/>
      </c>
      <c r="AD31" s="93" t="str" cm="1">
        <f t="array" ref="AD31">_xlfn.LET(
  _xlpm.w, AD$11,
  _xlpm.r, MATCH(1,('3. Enter Indicator Scores'!$B$10:$B$161=$B31)*('3. Enter Indicator Scores'!$C$10:$C$161=$C31),0),
  _xlpm.c, MATCH(AD$8,'3. Enter Indicator Scores'!$D$8:$CZ$8,0),
  _xlpm.v, IFERROR(INDEX('3. Enter Indicator Scores'!$D$10:$CZ$161,_xlpm.r,_xlpm.c),""),
  IF(OR(_xlpm.w="",_xlpm.v=""),"",_xlpm.v*_xlpm.w)
)</f>
        <v/>
      </c>
      <c r="AE31" s="93" t="str" cm="1">
        <f t="array" ref="AE31">_xlfn.LET(
  _xlpm.w, AE$11,
  _xlpm.r, MATCH(1,('3. Enter Indicator Scores'!$B$10:$B$161=$B31)*('3. Enter Indicator Scores'!$C$10:$C$161=$C31),0),
  _xlpm.c, MATCH(AE$8,'3. Enter Indicator Scores'!$D$8:$CZ$8,0),
  _xlpm.v, IFERROR(INDEX('3. Enter Indicator Scores'!$D$10:$CZ$161,_xlpm.r,_xlpm.c),""),
  IF(OR(_xlpm.w="",_xlpm.v=""),"",_xlpm.v*_xlpm.w)
)</f>
        <v/>
      </c>
      <c r="AF31" s="93" t="str" cm="1">
        <f t="array" ref="AF31">_xlfn.LET(
  _xlpm.w, AF$11,
  _xlpm.r, MATCH(1,('3. Enter Indicator Scores'!$B$10:$B$161=$B31)*('3. Enter Indicator Scores'!$C$10:$C$161=$C31),0),
  _xlpm.c, MATCH(AF$8,'3. Enter Indicator Scores'!$D$8:$CZ$8,0),
  _xlpm.v, IFERROR(INDEX('3. Enter Indicator Scores'!$D$10:$CZ$161,_xlpm.r,_xlpm.c),""),
  IF(OR(_xlpm.w="",_xlpm.v=""),"",_xlpm.v*_xlpm.w)
)</f>
        <v/>
      </c>
      <c r="AG31" s="93" t="str" cm="1">
        <f t="array" ref="AG31">_xlfn.LET(
  _xlpm.w, AG$11,
  _xlpm.r, MATCH(1,('3. Enter Indicator Scores'!$B$10:$B$161=$B31)*('3. Enter Indicator Scores'!$C$10:$C$161=$C31),0),
  _xlpm.c, MATCH(AG$8,'3. Enter Indicator Scores'!$D$8:$CZ$8,0),
  _xlpm.v, IFERROR(INDEX('3. Enter Indicator Scores'!$D$10:$CZ$161,_xlpm.r,_xlpm.c),""),
  IF(OR(_xlpm.w="",_xlpm.v=""),"",_xlpm.v*_xlpm.w)
)</f>
        <v/>
      </c>
      <c r="AH31" s="93" t="str" cm="1">
        <f t="array" ref="AH31">_xlfn.LET(
  _xlpm.w, AH$11,
  _xlpm.r, MATCH(1,('3. Enter Indicator Scores'!$B$10:$B$161=$B31)*('3. Enter Indicator Scores'!$C$10:$C$161=$C31),0),
  _xlpm.c, MATCH(AH$8,'3. Enter Indicator Scores'!$D$8:$CZ$8,0),
  _xlpm.v, IFERROR(INDEX('3. Enter Indicator Scores'!$D$10:$CZ$161,_xlpm.r,_xlpm.c),""),
  IF(OR(_xlpm.w="",_xlpm.v=""),"",_xlpm.v*_xlpm.w)
)</f>
        <v/>
      </c>
      <c r="AI31" s="93" t="str" cm="1">
        <f t="array" ref="AI31">_xlfn.LET(
  _xlpm.w, AI$11,
  _xlpm.r, MATCH(1,('3. Enter Indicator Scores'!$B$10:$B$161=$B31)*('3. Enter Indicator Scores'!$C$10:$C$161=$C31),0),
  _xlpm.c, MATCH(AI$8,'3. Enter Indicator Scores'!$D$8:$CZ$8,0),
  _xlpm.v, IFERROR(INDEX('3. Enter Indicator Scores'!$D$10:$CZ$161,_xlpm.r,_xlpm.c),""),
  IF(OR(_xlpm.w="",_xlpm.v=""),"",_xlpm.v*_xlpm.w)
)</f>
        <v/>
      </c>
      <c r="AJ31" s="93" t="str" cm="1">
        <f t="array" ref="AJ31">_xlfn.LET(
  _xlpm.w, AJ$11,
  _xlpm.r, MATCH(1,('3. Enter Indicator Scores'!$B$10:$B$161=$B31)*('3. Enter Indicator Scores'!$C$10:$C$161=$C31),0),
  _xlpm.c, MATCH(AJ$8,'3. Enter Indicator Scores'!$D$8:$CZ$8,0),
  _xlpm.v, IFERROR(INDEX('3. Enter Indicator Scores'!$D$10:$CZ$161,_xlpm.r,_xlpm.c),""),
  IF(OR(_xlpm.w="",_xlpm.v=""),"",_xlpm.v*_xlpm.w)
)</f>
        <v/>
      </c>
      <c r="AK31" s="93" t="str" cm="1">
        <f t="array" ref="AK31">_xlfn.LET(
  _xlpm.w, AK$11,
  _xlpm.r, MATCH(1,('3. Enter Indicator Scores'!$B$10:$B$161=$B31)*('3. Enter Indicator Scores'!$C$10:$C$161=$C31),0),
  _xlpm.c, MATCH(AK$8,'3. Enter Indicator Scores'!$D$8:$CZ$8,0),
  _xlpm.v, IFERROR(INDEX('3. Enter Indicator Scores'!$D$10:$CZ$161,_xlpm.r,_xlpm.c),""),
  IF(OR(_xlpm.w="",_xlpm.v=""),"",_xlpm.v*_xlpm.w)
)</f>
        <v/>
      </c>
      <c r="AL31" s="93" t="str" cm="1">
        <f t="array" ref="AL31">_xlfn.LET(
  _xlpm.w, AL$11,
  _xlpm.r, MATCH(1,('3. Enter Indicator Scores'!$B$10:$B$161=$B31)*('3. Enter Indicator Scores'!$C$10:$C$161=$C31),0),
  _xlpm.c, MATCH(AL$8,'3. Enter Indicator Scores'!$D$8:$CZ$8,0),
  _xlpm.v, IFERROR(INDEX('3. Enter Indicator Scores'!$D$10:$CZ$161,_xlpm.r,_xlpm.c),""),
  IF(OR(_xlpm.w="",_xlpm.v=""),"",_xlpm.v*_xlpm.w)
)</f>
        <v/>
      </c>
      <c r="AM31" s="93" t="str" cm="1">
        <f t="array" ref="AM31">_xlfn.LET(
  _xlpm.w, AM$11,
  _xlpm.r, MATCH(1,('3. Enter Indicator Scores'!$B$10:$B$161=$B31)*('3. Enter Indicator Scores'!$C$10:$C$161=$C31),0),
  _xlpm.c, MATCH(AM$8,'3. Enter Indicator Scores'!$D$8:$CZ$8,0),
  _xlpm.v, IFERROR(INDEX('3. Enter Indicator Scores'!$D$10:$CZ$161,_xlpm.r,_xlpm.c),""),
  IF(OR(_xlpm.w="",_xlpm.v=""),"",_xlpm.v*_xlpm.w)
)</f>
        <v/>
      </c>
      <c r="AN31" s="93" t="str" cm="1">
        <f t="array" ref="AN31">_xlfn.LET(
  _xlpm.w, AN$11,
  _xlpm.r, MATCH(1,('3. Enter Indicator Scores'!$B$10:$B$161=$B31)*('3. Enter Indicator Scores'!$C$10:$C$161=$C31),0),
  _xlpm.c, MATCH(AN$8,'3. Enter Indicator Scores'!$D$8:$CZ$8,0),
  _xlpm.v, IFERROR(INDEX('3. Enter Indicator Scores'!$D$10:$CZ$161,_xlpm.r,_xlpm.c),""),
  IF(OR(_xlpm.w="",_xlpm.v=""),"",_xlpm.v*_xlpm.w)
)</f>
        <v/>
      </c>
      <c r="AO31" s="93" t="str" cm="1">
        <f t="array" ref="AO31">_xlfn.LET(
  _xlpm.w, AO$11,
  _xlpm.r, MATCH(1,('3. Enter Indicator Scores'!$B$10:$B$161=$B31)*('3. Enter Indicator Scores'!$C$10:$C$161=$C31),0),
  _xlpm.c, MATCH(AO$8,'3. Enter Indicator Scores'!$D$8:$CZ$8,0),
  _xlpm.v, IFERROR(INDEX('3. Enter Indicator Scores'!$D$10:$CZ$161,_xlpm.r,_xlpm.c),""),
  IF(OR(_xlpm.w="",_xlpm.v=""),"",_xlpm.v*_xlpm.w)
)</f>
        <v/>
      </c>
      <c r="AP31" s="93" t="str" cm="1">
        <f t="array" ref="AP31">_xlfn.LET(
  _xlpm.w, AP$11,
  _xlpm.r, MATCH(1,('3. Enter Indicator Scores'!$B$10:$B$161=$B31)*('3. Enter Indicator Scores'!$C$10:$C$161=$C31),0),
  _xlpm.c, MATCH(AP$8,'3. Enter Indicator Scores'!$D$8:$CZ$8,0),
  _xlpm.v, IFERROR(INDEX('3. Enter Indicator Scores'!$D$10:$CZ$161,_xlpm.r,_xlpm.c),""),
  IF(OR(_xlpm.w="",_xlpm.v=""),"",_xlpm.v*_xlpm.w)
)</f>
        <v/>
      </c>
      <c r="AQ31" s="93" t="str" cm="1">
        <f t="array" ref="AQ31">_xlfn.LET(
  _xlpm.w, AQ$11,
  _xlpm.r, MATCH(1,('3. Enter Indicator Scores'!$B$10:$B$161=$B31)*('3. Enter Indicator Scores'!$C$10:$C$161=$C31),0),
  _xlpm.c, MATCH(AQ$8,'3. Enter Indicator Scores'!$D$8:$CZ$8,0),
  _xlpm.v, IFERROR(INDEX('3. Enter Indicator Scores'!$D$10:$CZ$161,_xlpm.r,_xlpm.c),""),
  IF(OR(_xlpm.w="",_xlpm.v=""),"",_xlpm.v*_xlpm.w)
)</f>
        <v/>
      </c>
      <c r="AR31" s="93" t="str" cm="1">
        <f t="array" ref="AR31">_xlfn.LET(
  _xlpm.w, AR$11,
  _xlpm.r, MATCH(1,('3. Enter Indicator Scores'!$B$10:$B$161=$B31)*('3. Enter Indicator Scores'!$C$10:$C$161=$C31),0),
  _xlpm.c, MATCH(AR$8,'3. Enter Indicator Scores'!$D$8:$CZ$8,0),
  _xlpm.v, IFERROR(INDEX('3. Enter Indicator Scores'!$D$10:$CZ$161,_xlpm.r,_xlpm.c),""),
  IF(OR(_xlpm.w="",_xlpm.v=""),"",_xlpm.v*_xlpm.w)
)</f>
        <v/>
      </c>
      <c r="AS31" s="93" t="str" cm="1">
        <f t="array" ref="AS31">_xlfn.LET(
  _xlpm.w, AS$11,
  _xlpm.r, MATCH(1,('3. Enter Indicator Scores'!$B$10:$B$161=$B31)*('3. Enter Indicator Scores'!$C$10:$C$161=$C31),0),
  _xlpm.c, MATCH(AS$8,'3. Enter Indicator Scores'!$D$8:$CZ$8,0),
  _xlpm.v, IFERROR(INDEX('3. Enter Indicator Scores'!$D$10:$CZ$161,_xlpm.r,_xlpm.c),""),
  IF(OR(_xlpm.w="",_xlpm.v=""),"",_xlpm.v*_xlpm.w)
)</f>
        <v/>
      </c>
      <c r="AT31" s="93" t="str" cm="1">
        <f t="array" ref="AT31">_xlfn.LET(
  _xlpm.w, AT$11,
  _xlpm.r, MATCH(1,('3. Enter Indicator Scores'!$B$10:$B$161=$B31)*('3. Enter Indicator Scores'!$C$10:$C$161=$C31),0),
  _xlpm.c, MATCH(AT$8,'3. Enter Indicator Scores'!$D$8:$CZ$8,0),
  _xlpm.v, IFERROR(INDEX('3. Enter Indicator Scores'!$D$10:$CZ$161,_xlpm.r,_xlpm.c),""),
  IF(OR(_xlpm.w="",_xlpm.v=""),"",_xlpm.v*_xlpm.w)
)</f>
        <v/>
      </c>
      <c r="AU31" s="93" t="str" cm="1">
        <f t="array" ref="AU31">_xlfn.LET(
  _xlpm.w, AU$11,
  _xlpm.r, MATCH(1,('3. Enter Indicator Scores'!$B$10:$B$161=$B31)*('3. Enter Indicator Scores'!$C$10:$C$161=$C31),0),
  _xlpm.c, MATCH(AU$8,'3. Enter Indicator Scores'!$D$8:$CZ$8,0),
  _xlpm.v, IFERROR(INDEX('3. Enter Indicator Scores'!$D$10:$CZ$161,_xlpm.r,_xlpm.c),""),
  IF(OR(_xlpm.w="",_xlpm.v=""),"",_xlpm.v*_xlpm.w)
)</f>
        <v/>
      </c>
      <c r="AV31" s="93" t="str" cm="1">
        <f t="array" ref="AV31">_xlfn.LET(
  _xlpm.w, AV$11,
  _xlpm.r, MATCH(1,('3. Enter Indicator Scores'!$B$10:$B$161=$B31)*('3. Enter Indicator Scores'!$C$10:$C$161=$C31),0),
  _xlpm.c, MATCH(AV$8,'3. Enter Indicator Scores'!$D$8:$CZ$8,0),
  _xlpm.v, IFERROR(INDEX('3. Enter Indicator Scores'!$D$10:$CZ$161,_xlpm.r,_xlpm.c),""),
  IF(OR(_xlpm.w="",_xlpm.v=""),"",_xlpm.v*_xlpm.w)
)</f>
        <v/>
      </c>
      <c r="AW31" s="93" t="str" cm="1">
        <f t="array" ref="AW31">_xlfn.LET(
  _xlpm.w, AW$11,
  _xlpm.r, MATCH(1,('3. Enter Indicator Scores'!$B$10:$B$161=$B31)*('3. Enter Indicator Scores'!$C$10:$C$161=$C31),0),
  _xlpm.c, MATCH(AW$8,'3. Enter Indicator Scores'!$D$8:$CZ$8,0),
  _xlpm.v, IFERROR(INDEX('3. Enter Indicator Scores'!$D$10:$CZ$161,_xlpm.r,_xlpm.c),""),
  IF(OR(_xlpm.w="",_xlpm.v=""),"",_xlpm.v*_xlpm.w)
)</f>
        <v/>
      </c>
      <c r="AX31" s="93" t="str" cm="1">
        <f t="array" ref="AX31">_xlfn.LET(
  _xlpm.w, AX$11,
  _xlpm.r, MATCH(1,('3. Enter Indicator Scores'!$B$10:$B$161=$B31)*('3. Enter Indicator Scores'!$C$10:$C$161=$C31),0),
  _xlpm.c, MATCH(AX$8,'3. Enter Indicator Scores'!$D$8:$CZ$8,0),
  _xlpm.v, IFERROR(INDEX('3. Enter Indicator Scores'!$D$10:$CZ$161,_xlpm.r,_xlpm.c),""),
  IF(OR(_xlpm.w="",_xlpm.v=""),"",_xlpm.v*_xlpm.w)
)</f>
        <v/>
      </c>
      <c r="AY31" s="93" t="str" cm="1">
        <f t="array" ref="AY31">_xlfn.LET(
  _xlpm.w, AY$11,
  _xlpm.r, MATCH(1,('3. Enter Indicator Scores'!$B$10:$B$161=$B31)*('3. Enter Indicator Scores'!$C$10:$C$161=$C31),0),
  _xlpm.c, MATCH(AY$8,'3. Enter Indicator Scores'!$D$8:$CZ$8,0),
  _xlpm.v, IFERROR(INDEX('3. Enter Indicator Scores'!$D$10:$CZ$161,_xlpm.r,_xlpm.c),""),
  IF(OR(_xlpm.w="",_xlpm.v=""),"",_xlpm.v*_xlpm.w)
)</f>
        <v/>
      </c>
      <c r="AZ31" s="93" t="str" cm="1">
        <f t="array" ref="AZ31">_xlfn.LET(
  _xlpm.w, AZ$11,
  _xlpm.r, MATCH(1,('3. Enter Indicator Scores'!$B$10:$B$161=$B31)*('3. Enter Indicator Scores'!$C$10:$C$161=$C31),0),
  _xlpm.c, MATCH(AZ$8,'3. Enter Indicator Scores'!$D$8:$CZ$8,0),
  _xlpm.v, IFERROR(INDEX('3. Enter Indicator Scores'!$D$10:$CZ$161,_xlpm.r,_xlpm.c),""),
  IF(OR(_xlpm.w="",_xlpm.v=""),"",_xlpm.v*_xlpm.w)
)</f>
        <v/>
      </c>
      <c r="BA31" s="93" t="str" cm="1">
        <f t="array" ref="BA31">_xlfn.LET(
  _xlpm.w, BA$11,
  _xlpm.r, MATCH(1,('3. Enter Indicator Scores'!$B$10:$B$161=$B31)*('3. Enter Indicator Scores'!$C$10:$C$161=$C31),0),
  _xlpm.c, MATCH(BA$8,'3. Enter Indicator Scores'!$D$8:$CZ$8,0),
  _xlpm.v, IFERROR(INDEX('3. Enter Indicator Scores'!$D$10:$CZ$161,_xlpm.r,_xlpm.c),""),
  IF(OR(_xlpm.w="",_xlpm.v=""),"",_xlpm.v*_xlpm.w)
)</f>
        <v/>
      </c>
      <c r="BB31" s="93" t="str" cm="1">
        <f t="array" ref="BB31">_xlfn.LET(
  _xlpm.w, BB$11,
  _xlpm.r, MATCH(1,('3. Enter Indicator Scores'!$B$10:$B$161=$B31)*('3. Enter Indicator Scores'!$C$10:$C$161=$C31),0),
  _xlpm.c, MATCH(BB$8,'3. Enter Indicator Scores'!$D$8:$CZ$8,0),
  _xlpm.v, IFERROR(INDEX('3. Enter Indicator Scores'!$D$10:$CZ$161,_xlpm.r,_xlpm.c),""),
  IF(OR(_xlpm.w="",_xlpm.v=""),"",_xlpm.v*_xlpm.w)
)</f>
        <v/>
      </c>
      <c r="BC31" s="93" t="str" cm="1">
        <f t="array" ref="BC31">_xlfn.LET(
  _xlpm.w, BC$11,
  _xlpm.r, MATCH(1,('3. Enter Indicator Scores'!$B$10:$B$161=$B31)*('3. Enter Indicator Scores'!$C$10:$C$161=$C31),0),
  _xlpm.c, MATCH(BC$8,'3. Enter Indicator Scores'!$D$8:$CZ$8,0),
  _xlpm.v, IFERROR(INDEX('3. Enter Indicator Scores'!$D$10:$CZ$161,_xlpm.r,_xlpm.c),""),
  IF(OR(_xlpm.w="",_xlpm.v=""),"",_xlpm.v*_xlpm.w)
)</f>
        <v/>
      </c>
      <c r="BD31" s="93" t="str" cm="1">
        <f t="array" ref="BD31">_xlfn.LET(
  _xlpm.w, BD$11,
  _xlpm.r, MATCH(1,('3. Enter Indicator Scores'!$B$10:$B$161=$B31)*('3. Enter Indicator Scores'!$C$10:$C$161=$C31),0),
  _xlpm.c, MATCH(BD$8,'3. Enter Indicator Scores'!$D$8:$CZ$8,0),
  _xlpm.v, IFERROR(INDEX('3. Enter Indicator Scores'!$D$10:$CZ$161,_xlpm.r,_xlpm.c),""),
  IF(OR(_xlpm.w="",_xlpm.v=""),"",_xlpm.v*_xlpm.w)
)</f>
        <v/>
      </c>
      <c r="BE31" s="93" t="str" cm="1">
        <f t="array" ref="BE31">_xlfn.LET(
  _xlpm.w, BE$11,
  _xlpm.r, MATCH(1,('3. Enter Indicator Scores'!$B$10:$B$161=$B31)*('3. Enter Indicator Scores'!$C$10:$C$161=$C31),0),
  _xlpm.c, MATCH(BE$8,'3. Enter Indicator Scores'!$D$8:$CZ$8,0),
  _xlpm.v, IFERROR(INDEX('3. Enter Indicator Scores'!$D$10:$CZ$161,_xlpm.r,_xlpm.c),""),
  IF(OR(_xlpm.w="",_xlpm.v=""),"",_xlpm.v*_xlpm.w)
)</f>
        <v/>
      </c>
      <c r="BF31" s="93" t="str" cm="1">
        <f t="array" ref="BF31">_xlfn.LET(
  _xlpm.w, BF$11,
  _xlpm.r, MATCH(1,('3. Enter Indicator Scores'!$B$10:$B$161=$B31)*('3. Enter Indicator Scores'!$C$10:$C$161=$C31),0),
  _xlpm.c, MATCH(BF$8,'3. Enter Indicator Scores'!$D$8:$CZ$8,0),
  _xlpm.v, IFERROR(INDEX('3. Enter Indicator Scores'!$D$10:$CZ$161,_xlpm.r,_xlpm.c),""),
  IF(OR(_xlpm.w="",_xlpm.v=""),"",_xlpm.v*_xlpm.w)
)</f>
        <v/>
      </c>
      <c r="BG31" s="93" t="str" cm="1">
        <f t="array" ref="BG31">_xlfn.LET(
  _xlpm.w, BG$11,
  _xlpm.r, MATCH(1,('3. Enter Indicator Scores'!$B$10:$B$161=$B31)*('3. Enter Indicator Scores'!$C$10:$C$161=$C31),0),
  _xlpm.c, MATCH(BG$8,'3. Enter Indicator Scores'!$D$8:$CZ$8,0),
  _xlpm.v, IFERROR(INDEX('3. Enter Indicator Scores'!$D$10:$CZ$161,_xlpm.r,_xlpm.c),""),
  IF(OR(_xlpm.w="",_xlpm.v=""),"",_xlpm.v*_xlpm.w)
)</f>
        <v/>
      </c>
      <c r="BH31" s="93" t="str" cm="1">
        <f t="array" ref="BH31">_xlfn.LET(
  _xlpm.w, BH$11,
  _xlpm.r, MATCH(1,('3. Enter Indicator Scores'!$B$10:$B$161=$B31)*('3. Enter Indicator Scores'!$C$10:$C$161=$C31),0),
  _xlpm.c, MATCH(BH$8,'3. Enter Indicator Scores'!$D$8:$CZ$8,0),
  _xlpm.v, IFERROR(INDEX('3. Enter Indicator Scores'!$D$10:$CZ$161,_xlpm.r,_xlpm.c),""),
  IF(OR(_xlpm.w="",_xlpm.v=""),"",_xlpm.v*_xlpm.w)
)</f>
        <v/>
      </c>
      <c r="BI31" s="93" t="str" cm="1">
        <f t="array" ref="BI31">_xlfn.LET(
  _xlpm.w, BI$11,
  _xlpm.r, MATCH(1,('3. Enter Indicator Scores'!$B$10:$B$161=$B31)*('3. Enter Indicator Scores'!$C$10:$C$161=$C31),0),
  _xlpm.c, MATCH(BI$8,'3. Enter Indicator Scores'!$D$8:$CZ$8,0),
  _xlpm.v, IFERROR(INDEX('3. Enter Indicator Scores'!$D$10:$CZ$161,_xlpm.r,_xlpm.c),""),
  IF(OR(_xlpm.w="",_xlpm.v=""),"",_xlpm.v*_xlpm.w)
)</f>
        <v/>
      </c>
      <c r="BJ31" s="93" t="str" cm="1">
        <f t="array" ref="BJ31">_xlfn.LET(
  _xlpm.w, BJ$11,
  _xlpm.r, MATCH(1,('3. Enter Indicator Scores'!$B$10:$B$161=$B31)*('3. Enter Indicator Scores'!$C$10:$C$161=$C31),0),
  _xlpm.c, MATCH(BJ$8,'3. Enter Indicator Scores'!$D$8:$CZ$8,0),
  _xlpm.v, IFERROR(INDEX('3. Enter Indicator Scores'!$D$10:$CZ$161,_xlpm.r,_xlpm.c),""),
  IF(OR(_xlpm.w="",_xlpm.v=""),"",_xlpm.v*_xlpm.w)
)</f>
        <v/>
      </c>
      <c r="BK31" s="93" t="str" cm="1">
        <f t="array" ref="BK31">_xlfn.LET(
  _xlpm.w, BK$11,
  _xlpm.r, MATCH(1,('3. Enter Indicator Scores'!$B$10:$B$161=$B31)*('3. Enter Indicator Scores'!$C$10:$C$161=$C31),0),
  _xlpm.c, MATCH(BK$8,'3. Enter Indicator Scores'!$D$8:$CZ$8,0),
  _xlpm.v, IFERROR(INDEX('3. Enter Indicator Scores'!$D$10:$CZ$161,_xlpm.r,_xlpm.c),""),
  IF(OR(_xlpm.w="",_xlpm.v=""),"",_xlpm.v*_xlpm.w)
)</f>
        <v/>
      </c>
      <c r="BL31" s="93" t="str" cm="1">
        <f t="array" ref="BL31">_xlfn.LET(
  _xlpm.w, BL$11,
  _xlpm.r, MATCH(1,('3. Enter Indicator Scores'!$B$10:$B$161=$B31)*('3. Enter Indicator Scores'!$C$10:$C$161=$C31),0),
  _xlpm.c, MATCH(BL$8,'3. Enter Indicator Scores'!$D$8:$CZ$8,0),
  _xlpm.v, IFERROR(INDEX('3. Enter Indicator Scores'!$D$10:$CZ$161,_xlpm.r,_xlpm.c),""),
  IF(OR(_xlpm.w="",_xlpm.v=""),"",_xlpm.v*_xlpm.w)
)</f>
        <v/>
      </c>
      <c r="BM31" s="93" t="str" cm="1">
        <f t="array" ref="BM31">_xlfn.LET(
  _xlpm.w, BM$11,
  _xlpm.r, MATCH(1,('3. Enter Indicator Scores'!$B$10:$B$161=$B31)*('3. Enter Indicator Scores'!$C$10:$C$161=$C31),0),
  _xlpm.c, MATCH(BM$8,'3. Enter Indicator Scores'!$D$8:$CZ$8,0),
  _xlpm.v, IFERROR(INDEX('3. Enter Indicator Scores'!$D$10:$CZ$161,_xlpm.r,_xlpm.c),""),
  IF(OR(_xlpm.w="",_xlpm.v=""),"",_xlpm.v*_xlpm.w)
)</f>
        <v/>
      </c>
      <c r="BN31" s="93" t="str" cm="1">
        <f t="array" ref="BN31">_xlfn.LET(
  _xlpm.w, BN$11,
  _xlpm.r, MATCH(1,('3. Enter Indicator Scores'!$B$10:$B$161=$B31)*('3. Enter Indicator Scores'!$C$10:$C$161=$C31),0),
  _xlpm.c, MATCH(BN$8,'3. Enter Indicator Scores'!$D$8:$CZ$8,0),
  _xlpm.v, IFERROR(INDEX('3. Enter Indicator Scores'!$D$10:$CZ$161,_xlpm.r,_xlpm.c),""),
  IF(OR(_xlpm.w="",_xlpm.v=""),"",_xlpm.v*_xlpm.w)
)</f>
        <v/>
      </c>
      <c r="BO31" s="93" t="str" cm="1">
        <f t="array" ref="BO31">_xlfn.LET(
  _xlpm.w, BO$11,
  _xlpm.r, MATCH(1,('3. Enter Indicator Scores'!$B$10:$B$161=$B31)*('3. Enter Indicator Scores'!$C$10:$C$161=$C31),0),
  _xlpm.c, MATCH(BO$8,'3. Enter Indicator Scores'!$D$8:$CZ$8,0),
  _xlpm.v, IFERROR(INDEX('3. Enter Indicator Scores'!$D$10:$CZ$161,_xlpm.r,_xlpm.c),""),
  IF(OR(_xlpm.w="",_xlpm.v=""),"",_xlpm.v*_xlpm.w)
)</f>
        <v/>
      </c>
      <c r="BP31" s="93" t="str" cm="1">
        <f t="array" ref="BP31">_xlfn.LET(
  _xlpm.w, BP$11,
  _xlpm.r, MATCH(1,('3. Enter Indicator Scores'!$B$10:$B$161=$B31)*('3. Enter Indicator Scores'!$C$10:$C$161=$C31),0),
  _xlpm.c, MATCH(BP$8,'3. Enter Indicator Scores'!$D$8:$CZ$8,0),
  _xlpm.v, IFERROR(INDEX('3. Enter Indicator Scores'!$D$10:$CZ$161,_xlpm.r,_xlpm.c),""),
  IF(OR(_xlpm.w="",_xlpm.v=""),"",_xlpm.v*_xlpm.w)
)</f>
        <v/>
      </c>
      <c r="BQ31" s="93" t="str" cm="1">
        <f t="array" ref="BQ31">_xlfn.LET(
  _xlpm.w, BQ$11,
  _xlpm.r, MATCH(1,('3. Enter Indicator Scores'!$B$10:$B$161=$B31)*('3. Enter Indicator Scores'!$C$10:$C$161=$C31),0),
  _xlpm.c, MATCH(BQ$8,'3. Enter Indicator Scores'!$D$8:$CZ$8,0),
  _xlpm.v, IFERROR(INDEX('3. Enter Indicator Scores'!$D$10:$CZ$161,_xlpm.r,_xlpm.c),""),
  IF(OR(_xlpm.w="",_xlpm.v=""),"",_xlpm.v*_xlpm.w)
)</f>
        <v/>
      </c>
      <c r="BR31" s="93" t="str" cm="1">
        <f t="array" ref="BR31">_xlfn.LET(
  _xlpm.w, BR$11,
  _xlpm.r, MATCH(1,('3. Enter Indicator Scores'!$B$10:$B$161=$B31)*('3. Enter Indicator Scores'!$C$10:$C$161=$C31),0),
  _xlpm.c, MATCH(BR$8,'3. Enter Indicator Scores'!$D$8:$CZ$8,0),
  _xlpm.v, IFERROR(INDEX('3. Enter Indicator Scores'!$D$10:$CZ$161,_xlpm.r,_xlpm.c),""),
  IF(OR(_xlpm.w="",_xlpm.v=""),"",_xlpm.v*_xlpm.w)
)</f>
        <v/>
      </c>
      <c r="BS31" s="93" t="str" cm="1">
        <f t="array" ref="BS31">_xlfn.LET(
  _xlpm.w, BS$11,
  _xlpm.r, MATCH(1,('3. Enter Indicator Scores'!$B$10:$B$161=$B31)*('3. Enter Indicator Scores'!$C$10:$C$161=$C31),0),
  _xlpm.c, MATCH(BS$8,'3. Enter Indicator Scores'!$D$8:$CZ$8,0),
  _xlpm.v, IFERROR(INDEX('3. Enter Indicator Scores'!$D$10:$CZ$161,_xlpm.r,_xlpm.c),""),
  IF(OR(_xlpm.w="",_xlpm.v=""),"",_xlpm.v*_xlpm.w)
)</f>
        <v/>
      </c>
      <c r="BT31" s="93" t="str" cm="1">
        <f t="array" ref="BT31">_xlfn.LET(
  _xlpm.w, BT$11,
  _xlpm.r, MATCH(1,('3. Enter Indicator Scores'!$B$10:$B$161=$B31)*('3. Enter Indicator Scores'!$C$10:$C$161=$C31),0),
  _xlpm.c, MATCH(BT$8,'3. Enter Indicator Scores'!$D$8:$CZ$8,0),
  _xlpm.v, IFERROR(INDEX('3. Enter Indicator Scores'!$D$10:$CZ$161,_xlpm.r,_xlpm.c),""),
  IF(OR(_xlpm.w="",_xlpm.v=""),"",_xlpm.v*_xlpm.w)
)</f>
        <v/>
      </c>
      <c r="BU31" s="93" t="str" cm="1">
        <f t="array" ref="BU31">_xlfn.LET(
  _xlpm.w, BU$11,
  _xlpm.r, MATCH(1,('3. Enter Indicator Scores'!$B$10:$B$161=$B31)*('3. Enter Indicator Scores'!$C$10:$C$161=$C31),0),
  _xlpm.c, MATCH(BU$8,'3. Enter Indicator Scores'!$D$8:$CZ$8,0),
  _xlpm.v, IFERROR(INDEX('3. Enter Indicator Scores'!$D$10:$CZ$161,_xlpm.r,_xlpm.c),""),
  IF(OR(_xlpm.w="",_xlpm.v=""),"",_xlpm.v*_xlpm.w)
)</f>
        <v/>
      </c>
      <c r="BV31" s="93" t="str" cm="1">
        <f t="array" ref="BV31">_xlfn.LET(
  _xlpm.w, BV$11,
  _xlpm.r, MATCH(1,('3. Enter Indicator Scores'!$B$10:$B$161=$B31)*('3. Enter Indicator Scores'!$C$10:$C$161=$C31),0),
  _xlpm.c, MATCH(BV$8,'3. Enter Indicator Scores'!$D$8:$CZ$8,0),
  _xlpm.v, IFERROR(INDEX('3. Enter Indicator Scores'!$D$10:$CZ$161,_xlpm.r,_xlpm.c),""),
  IF(OR(_xlpm.w="",_xlpm.v=""),"",_xlpm.v*_xlpm.w)
)</f>
        <v/>
      </c>
      <c r="BW31" s="93" t="str" cm="1">
        <f t="array" ref="BW31">_xlfn.LET(
  _xlpm.w, BW$11,
  _xlpm.r, MATCH(1,('3. Enter Indicator Scores'!$B$10:$B$161=$B31)*('3. Enter Indicator Scores'!$C$10:$C$161=$C31),0),
  _xlpm.c, MATCH(BW$8,'3. Enter Indicator Scores'!$D$8:$CZ$8,0),
  _xlpm.v, IFERROR(INDEX('3. Enter Indicator Scores'!$D$10:$CZ$161,_xlpm.r,_xlpm.c),""),
  IF(OR(_xlpm.w="",_xlpm.v=""),"",_xlpm.v*_xlpm.w)
)</f>
        <v/>
      </c>
      <c r="BX31" s="93" t="str" cm="1">
        <f t="array" ref="BX31">_xlfn.LET(
  _xlpm.w, BX$11,
  _xlpm.r, MATCH(1,('3. Enter Indicator Scores'!$B$10:$B$161=$B31)*('3. Enter Indicator Scores'!$C$10:$C$161=$C31),0),
  _xlpm.c, MATCH(BX$8,'3. Enter Indicator Scores'!$D$8:$CZ$8,0),
  _xlpm.v, IFERROR(INDEX('3. Enter Indicator Scores'!$D$10:$CZ$161,_xlpm.r,_xlpm.c),""),
  IF(OR(_xlpm.w="",_xlpm.v=""),"",_xlpm.v*_xlpm.w)
)</f>
        <v/>
      </c>
      <c r="BY31" s="93" t="str" cm="1">
        <f t="array" ref="BY31">_xlfn.LET(
  _xlpm.w, BY$11,
  _xlpm.r, MATCH(1,('3. Enter Indicator Scores'!$B$10:$B$161=$B31)*('3. Enter Indicator Scores'!$C$10:$C$161=$C31),0),
  _xlpm.c, MATCH(BY$8,'3. Enter Indicator Scores'!$D$8:$CZ$8,0),
  _xlpm.v, IFERROR(INDEX('3. Enter Indicator Scores'!$D$10:$CZ$161,_xlpm.r,_xlpm.c),""),
  IF(OR(_xlpm.w="",_xlpm.v=""),"",_xlpm.v*_xlpm.w)
)</f>
        <v/>
      </c>
      <c r="BZ31" s="93" t="str" cm="1">
        <f t="array" ref="BZ31">_xlfn.LET(
  _xlpm.w, BZ$11,
  _xlpm.r, MATCH(1,('3. Enter Indicator Scores'!$B$10:$B$161=$B31)*('3. Enter Indicator Scores'!$C$10:$C$161=$C31),0),
  _xlpm.c, MATCH(BZ$8,'3. Enter Indicator Scores'!$D$8:$CZ$8,0),
  _xlpm.v, IFERROR(INDEX('3. Enter Indicator Scores'!$D$10:$CZ$161,_xlpm.r,_xlpm.c),""),
  IF(OR(_xlpm.w="",_xlpm.v=""),"",_xlpm.v*_xlpm.w)
)</f>
        <v/>
      </c>
      <c r="CA31" s="93" t="str" cm="1">
        <f t="array" ref="CA31">_xlfn.LET(
  _xlpm.w, CA$11,
  _xlpm.r, MATCH(1,('3. Enter Indicator Scores'!$B$10:$B$161=$B31)*('3. Enter Indicator Scores'!$C$10:$C$161=$C31),0),
  _xlpm.c, MATCH(CA$8,'3. Enter Indicator Scores'!$D$8:$CZ$8,0),
  _xlpm.v, IFERROR(INDEX('3. Enter Indicator Scores'!$D$10:$CZ$161,_xlpm.r,_xlpm.c),""),
  IF(OR(_xlpm.w="",_xlpm.v=""),"",_xlpm.v*_xlpm.w)
)</f>
        <v/>
      </c>
      <c r="CB31" s="93" t="str" cm="1">
        <f t="array" ref="CB31">_xlfn.LET(
  _xlpm.w, CB$11,
  _xlpm.r, MATCH(1,('3. Enter Indicator Scores'!$B$10:$B$161=$B31)*('3. Enter Indicator Scores'!$C$10:$C$161=$C31),0),
  _xlpm.c, MATCH(CB$8,'3. Enter Indicator Scores'!$D$8:$CZ$8,0),
  _xlpm.v, IFERROR(INDEX('3. Enter Indicator Scores'!$D$10:$CZ$161,_xlpm.r,_xlpm.c),""),
  IF(OR(_xlpm.w="",_xlpm.v=""),"",_xlpm.v*_xlpm.w)
)</f>
        <v/>
      </c>
      <c r="CC31" s="93" t="str" cm="1">
        <f t="array" ref="CC31">_xlfn.LET(
  _xlpm.w, CC$11,
  _xlpm.r, MATCH(1,('3. Enter Indicator Scores'!$B$10:$B$161=$B31)*('3. Enter Indicator Scores'!$C$10:$C$161=$C31),0),
  _xlpm.c, MATCH(CC$8,'3. Enter Indicator Scores'!$D$8:$CZ$8,0),
  _xlpm.v, IFERROR(INDEX('3. Enter Indicator Scores'!$D$10:$CZ$161,_xlpm.r,_xlpm.c),""),
  IF(OR(_xlpm.w="",_xlpm.v=""),"",_xlpm.v*_xlpm.w)
)</f>
        <v/>
      </c>
      <c r="CD31" s="93" t="str" cm="1">
        <f t="array" ref="CD31">_xlfn.LET(
  _xlpm.w, CD$11,
  _xlpm.r, MATCH(1,('3. Enter Indicator Scores'!$B$10:$B$161=$B31)*('3. Enter Indicator Scores'!$C$10:$C$161=$C31),0),
  _xlpm.c, MATCH(CD$8,'3. Enter Indicator Scores'!$D$8:$CZ$8,0),
  _xlpm.v, IFERROR(INDEX('3. Enter Indicator Scores'!$D$10:$CZ$161,_xlpm.r,_xlpm.c),""),
  IF(OR(_xlpm.w="",_xlpm.v=""),"",_xlpm.v*_xlpm.w)
)</f>
        <v/>
      </c>
      <c r="CE31" s="93" t="str" cm="1">
        <f t="array" ref="CE31">_xlfn.LET(
  _xlpm.w, CE$11,
  _xlpm.r, MATCH(1,('3. Enter Indicator Scores'!$B$10:$B$161=$B31)*('3. Enter Indicator Scores'!$C$10:$C$161=$C31),0),
  _xlpm.c, MATCH(CE$8,'3. Enter Indicator Scores'!$D$8:$CZ$8,0),
  _xlpm.v, IFERROR(INDEX('3. Enter Indicator Scores'!$D$10:$CZ$161,_xlpm.r,_xlpm.c),""),
  IF(OR(_xlpm.w="",_xlpm.v=""),"",_xlpm.v*_xlpm.w)
)</f>
        <v/>
      </c>
      <c r="CF31" s="93" t="str" cm="1">
        <f t="array" ref="CF31">_xlfn.LET(
  _xlpm.w, CF$11,
  _xlpm.r, MATCH(1,('3. Enter Indicator Scores'!$B$10:$B$161=$B31)*('3. Enter Indicator Scores'!$C$10:$C$161=$C31),0),
  _xlpm.c, MATCH(CF$8,'3. Enter Indicator Scores'!$D$8:$CZ$8,0),
  _xlpm.v, IFERROR(INDEX('3. Enter Indicator Scores'!$D$10:$CZ$161,_xlpm.r,_xlpm.c),""),
  IF(OR(_xlpm.w="",_xlpm.v=""),"",_xlpm.v*_xlpm.w)
)</f>
        <v/>
      </c>
      <c r="CG31" s="93" t="str" cm="1">
        <f t="array" ref="CG31">_xlfn.LET(
  _xlpm.w, CG$11,
  _xlpm.r, MATCH(1,('3. Enter Indicator Scores'!$B$10:$B$161=$B31)*('3. Enter Indicator Scores'!$C$10:$C$161=$C31),0),
  _xlpm.c, MATCH(CG$8,'3. Enter Indicator Scores'!$D$8:$CZ$8,0),
  _xlpm.v, IFERROR(INDEX('3. Enter Indicator Scores'!$D$10:$CZ$161,_xlpm.r,_xlpm.c),""),
  IF(OR(_xlpm.w="",_xlpm.v=""),"",_xlpm.v*_xlpm.w)
)</f>
        <v/>
      </c>
      <c r="CH31" s="93" t="str" cm="1">
        <f t="array" ref="CH31">_xlfn.LET(
  _xlpm.w, CH$11,
  _xlpm.r, MATCH(1,('3. Enter Indicator Scores'!$B$10:$B$161=$B31)*('3. Enter Indicator Scores'!$C$10:$C$161=$C31),0),
  _xlpm.c, MATCH(CH$8,'3. Enter Indicator Scores'!$D$8:$CZ$8,0),
  _xlpm.v, IFERROR(INDEX('3. Enter Indicator Scores'!$D$10:$CZ$161,_xlpm.r,_xlpm.c),""),
  IF(OR(_xlpm.w="",_xlpm.v=""),"",_xlpm.v*_xlpm.w)
)</f>
        <v/>
      </c>
      <c r="CI31" s="93" t="str" cm="1">
        <f t="array" ref="CI31">_xlfn.LET(
  _xlpm.w, CI$11,
  _xlpm.r, MATCH(1,('3. Enter Indicator Scores'!$B$10:$B$161=$B31)*('3. Enter Indicator Scores'!$C$10:$C$161=$C31),0),
  _xlpm.c, MATCH(CI$8,'3. Enter Indicator Scores'!$D$8:$CZ$8,0),
  _xlpm.v, IFERROR(INDEX('3. Enter Indicator Scores'!$D$10:$CZ$161,_xlpm.r,_xlpm.c),""),
  IF(OR(_xlpm.w="",_xlpm.v=""),"",_xlpm.v*_xlpm.w)
)</f>
        <v/>
      </c>
      <c r="CJ31" s="93" t="str" cm="1">
        <f t="array" ref="CJ31">_xlfn.LET(
  _xlpm.w, CJ$11,
  _xlpm.r, MATCH(1,('3. Enter Indicator Scores'!$B$10:$B$161=$B31)*('3. Enter Indicator Scores'!$C$10:$C$161=$C31),0),
  _xlpm.c, MATCH(CJ$8,'3. Enter Indicator Scores'!$D$8:$CZ$8,0),
  _xlpm.v, IFERROR(INDEX('3. Enter Indicator Scores'!$D$10:$CZ$161,_xlpm.r,_xlpm.c),""),
  IF(OR(_xlpm.w="",_xlpm.v=""),"",_xlpm.v*_xlpm.w)
)</f>
        <v/>
      </c>
      <c r="CK31" s="93" t="str" cm="1">
        <f t="array" ref="CK31">_xlfn.LET(
  _xlpm.w, CK$11,
  _xlpm.r, MATCH(1,('3. Enter Indicator Scores'!$B$10:$B$161=$B31)*('3. Enter Indicator Scores'!$C$10:$C$161=$C31),0),
  _xlpm.c, MATCH(CK$8,'3. Enter Indicator Scores'!$D$8:$CZ$8,0),
  _xlpm.v, IFERROR(INDEX('3. Enter Indicator Scores'!$D$10:$CZ$161,_xlpm.r,_xlpm.c),""),
  IF(OR(_xlpm.w="",_xlpm.v=""),"",_xlpm.v*_xlpm.w)
)</f>
        <v/>
      </c>
      <c r="CL31" s="93" t="str" cm="1">
        <f t="array" ref="CL31">_xlfn.LET(
  _xlpm.w, CL$11,
  _xlpm.r, MATCH(1,('3. Enter Indicator Scores'!$B$10:$B$161=$B31)*('3. Enter Indicator Scores'!$C$10:$C$161=$C31),0),
  _xlpm.c, MATCH(CL$8,'3. Enter Indicator Scores'!$D$8:$CZ$8,0),
  _xlpm.v, IFERROR(INDEX('3. Enter Indicator Scores'!$D$10:$CZ$161,_xlpm.r,_xlpm.c),""),
  IF(OR(_xlpm.w="",_xlpm.v=""),"",_xlpm.v*_xlpm.w)
)</f>
        <v/>
      </c>
      <c r="CM31" s="93" t="str" cm="1">
        <f t="array" ref="CM31">_xlfn.LET(
  _xlpm.w, CM$11,
  _xlpm.r, MATCH(1,('3. Enter Indicator Scores'!$B$10:$B$161=$B31)*('3. Enter Indicator Scores'!$C$10:$C$161=$C31),0),
  _xlpm.c, MATCH(CM$8,'3. Enter Indicator Scores'!$D$8:$CZ$8,0),
  _xlpm.v, IFERROR(INDEX('3. Enter Indicator Scores'!$D$10:$CZ$161,_xlpm.r,_xlpm.c),""),
  IF(OR(_xlpm.w="",_xlpm.v=""),"",_xlpm.v*_xlpm.w)
)</f>
        <v/>
      </c>
      <c r="CN31" s="93" t="str" cm="1">
        <f t="array" ref="CN31">_xlfn.LET(
  _xlpm.w, CN$11,
  _xlpm.r, MATCH(1,('3. Enter Indicator Scores'!$B$10:$B$161=$B31)*('3. Enter Indicator Scores'!$C$10:$C$161=$C31),0),
  _xlpm.c, MATCH(CN$8,'3. Enter Indicator Scores'!$D$8:$CZ$8,0),
  _xlpm.v, IFERROR(INDEX('3. Enter Indicator Scores'!$D$10:$CZ$161,_xlpm.r,_xlpm.c),""),
  IF(OR(_xlpm.w="",_xlpm.v=""),"",_xlpm.v*_xlpm.w)
)</f>
        <v/>
      </c>
      <c r="CO31" s="93" t="str" cm="1">
        <f t="array" ref="CO31">_xlfn.LET(
  _xlpm.w, CO$11,
  _xlpm.r, MATCH(1,('3. Enter Indicator Scores'!$B$10:$B$161=$B31)*('3. Enter Indicator Scores'!$C$10:$C$161=$C31),0),
  _xlpm.c, MATCH(CO$8,'3. Enter Indicator Scores'!$D$8:$CZ$8,0),
  _xlpm.v, IFERROR(INDEX('3. Enter Indicator Scores'!$D$10:$CZ$161,_xlpm.r,_xlpm.c),""),
  IF(OR(_xlpm.w="",_xlpm.v=""),"",_xlpm.v*_xlpm.w)
)</f>
        <v/>
      </c>
      <c r="CP31" s="93" t="str" cm="1">
        <f t="array" ref="CP31">_xlfn.LET(
  _xlpm.w, CP$11,
  _xlpm.r, MATCH(1,('3. Enter Indicator Scores'!$B$10:$B$161=$B31)*('3. Enter Indicator Scores'!$C$10:$C$161=$C31),0),
  _xlpm.c, MATCH(CP$8,'3. Enter Indicator Scores'!$D$8:$CZ$8,0),
  _xlpm.v, IFERROR(INDEX('3. Enter Indicator Scores'!$D$10:$CZ$161,_xlpm.r,_xlpm.c),""),
  IF(OR(_xlpm.w="",_xlpm.v=""),"",_xlpm.v*_xlpm.w)
)</f>
        <v/>
      </c>
      <c r="CQ31" s="93" t="str" cm="1">
        <f t="array" ref="CQ31">_xlfn.LET(
  _xlpm.w, CQ$11,
  _xlpm.r, MATCH(1,('3. Enter Indicator Scores'!$B$10:$B$161=$B31)*('3. Enter Indicator Scores'!$C$10:$C$161=$C31),0),
  _xlpm.c, MATCH(CQ$8,'3. Enter Indicator Scores'!$D$8:$CZ$8,0),
  _xlpm.v, IFERROR(INDEX('3. Enter Indicator Scores'!$D$10:$CZ$161,_xlpm.r,_xlpm.c),""),
  IF(OR(_xlpm.w="",_xlpm.v=""),"",_xlpm.v*_xlpm.w)
)</f>
        <v/>
      </c>
      <c r="CR31" s="93" t="str" cm="1">
        <f t="array" ref="CR31">_xlfn.LET(
  _xlpm.w, CR$11,
  _xlpm.r, MATCH(1,('3. Enter Indicator Scores'!$B$10:$B$161=$B31)*('3. Enter Indicator Scores'!$C$10:$C$161=$C31),0),
  _xlpm.c, MATCH(CR$8,'3. Enter Indicator Scores'!$D$8:$CZ$8,0),
  _xlpm.v, IFERROR(INDEX('3. Enter Indicator Scores'!$D$10:$CZ$161,_xlpm.r,_xlpm.c),""),
  IF(OR(_xlpm.w="",_xlpm.v=""),"",_xlpm.v*_xlpm.w)
)</f>
        <v/>
      </c>
      <c r="CS31" s="93" t="str" cm="1">
        <f t="array" ref="CS31">_xlfn.LET(
  _xlpm.w, CS$11,
  _xlpm.r, MATCH(1,('3. Enter Indicator Scores'!$B$10:$B$161=$B31)*('3. Enter Indicator Scores'!$C$10:$C$161=$C31),0),
  _xlpm.c, MATCH(CS$8,'3. Enter Indicator Scores'!$D$8:$CZ$8,0),
  _xlpm.v, IFERROR(INDEX('3. Enter Indicator Scores'!$D$10:$CZ$161,_xlpm.r,_xlpm.c),""),
  IF(OR(_xlpm.w="",_xlpm.v=""),"",_xlpm.v*_xlpm.w)
)</f>
        <v/>
      </c>
      <c r="CT31" s="93" t="str" cm="1">
        <f t="array" ref="CT31">_xlfn.LET(
  _xlpm.w, CT$11,
  _xlpm.r, MATCH(1,('3. Enter Indicator Scores'!$B$10:$B$161=$B31)*('3. Enter Indicator Scores'!$C$10:$C$161=$C31),0),
  _xlpm.c, MATCH(CT$8,'3. Enter Indicator Scores'!$D$8:$CZ$8,0),
  _xlpm.v, IFERROR(INDEX('3. Enter Indicator Scores'!$D$10:$CZ$161,_xlpm.r,_xlpm.c),""),
  IF(OR(_xlpm.w="",_xlpm.v=""),"",_xlpm.v*_xlpm.w)
)</f>
        <v/>
      </c>
      <c r="CU31" s="93" t="str" cm="1">
        <f t="array" ref="CU31">_xlfn.LET(
  _xlpm.w, CU$11,
  _xlpm.r, MATCH(1,('3. Enter Indicator Scores'!$B$10:$B$161=$B31)*('3. Enter Indicator Scores'!$C$10:$C$161=$C31),0),
  _xlpm.c, MATCH(CU$8,'3. Enter Indicator Scores'!$D$8:$CZ$8,0),
  _xlpm.v, IFERROR(INDEX('3. Enter Indicator Scores'!$D$10:$CZ$161,_xlpm.r,_xlpm.c),""),
  IF(OR(_xlpm.w="",_xlpm.v=""),"",_xlpm.v*_xlpm.w)
)</f>
        <v/>
      </c>
      <c r="CV31" s="93" t="str" cm="1">
        <f t="array" ref="CV31">_xlfn.LET(
  _xlpm.w, CV$11,
  _xlpm.r, MATCH(1,('3. Enter Indicator Scores'!$B$10:$B$161=$B31)*('3. Enter Indicator Scores'!$C$10:$C$161=$C31),0),
  _xlpm.c, MATCH(CV$8,'3. Enter Indicator Scores'!$D$8:$CZ$8,0),
  _xlpm.v, IFERROR(INDEX('3. Enter Indicator Scores'!$D$10:$CZ$161,_xlpm.r,_xlpm.c),""),
  IF(OR(_xlpm.w="",_xlpm.v=""),"",_xlpm.v*_xlpm.w)
)</f>
        <v/>
      </c>
      <c r="CW31" s="93" t="str" cm="1">
        <f t="array" ref="CW31">_xlfn.LET(
  _xlpm.w, CW$11,
  _xlpm.r, MATCH(1,('3. Enter Indicator Scores'!$B$10:$B$161=$B31)*('3. Enter Indicator Scores'!$C$10:$C$161=$C31),0),
  _xlpm.c, MATCH(CW$8,'3. Enter Indicator Scores'!$D$8:$CZ$8,0),
  _xlpm.v, IFERROR(INDEX('3. Enter Indicator Scores'!$D$10:$CZ$161,_xlpm.r,_xlpm.c),""),
  IF(OR(_xlpm.w="",_xlpm.v=""),"",_xlpm.v*_xlpm.w)
)</f>
        <v/>
      </c>
      <c r="CX31" s="93" t="str" cm="1">
        <f t="array" ref="CX31">_xlfn.LET(
  _xlpm.w, CX$11,
  _xlpm.r, MATCH(1,('3. Enter Indicator Scores'!$B$10:$B$161=$B31)*('3. Enter Indicator Scores'!$C$10:$C$161=$C31),0),
  _xlpm.c, MATCH(CX$8,'3. Enter Indicator Scores'!$D$8:$CZ$8,0),
  _xlpm.v, IFERROR(INDEX('3. Enter Indicator Scores'!$D$10:$CZ$161,_xlpm.r,_xlpm.c),""),
  IF(OR(_xlpm.w="",_xlpm.v=""),"",_xlpm.v*_xlpm.w)
)</f>
        <v/>
      </c>
      <c r="CY31" s="93" t="str" cm="1">
        <f t="array" ref="CY31">_xlfn.LET(
  _xlpm.w, CY$11,
  _xlpm.r, MATCH(1,('3. Enter Indicator Scores'!$B$10:$B$161=$B31)*('3. Enter Indicator Scores'!$C$10:$C$161=$C31),0),
  _xlpm.c, MATCH(CY$8,'3. Enter Indicator Scores'!$D$8:$CZ$8,0),
  _xlpm.v, IFERROR(INDEX('3. Enter Indicator Scores'!$D$10:$CZ$161,_xlpm.r,_xlpm.c),""),
  IF(OR(_xlpm.w="",_xlpm.v=""),"",_xlpm.v*_xlpm.w)
)</f>
        <v/>
      </c>
      <c r="CZ31" s="93" t="str" cm="1">
        <f t="array" ref="CZ31">_xlfn.LET(
  _xlpm.w, CZ$11,
  _xlpm.r, MATCH(1,('3. Enter Indicator Scores'!$B$10:$B$161=$B31)*('3. Enter Indicator Scores'!$C$10:$C$161=$C31),0),
  _xlpm.c, MATCH(CZ$8,'3. Enter Indicator Scores'!$D$8:$CZ$8,0),
  _xlpm.v, IFERROR(INDEX('3. Enter Indicator Scores'!$D$10:$CZ$161,_xlpm.r,_xlpm.c),""),
  IF(OR(_xlpm.w="",_xlpm.v=""),"",_xlpm.v*_xlpm.w)
)</f>
        <v/>
      </c>
    </row>
    <row r="32" spans="1:104" x14ac:dyDescent="0.2">
      <c r="D32" s="93" t="str" cm="1">
        <f t="array" ref="D32">_xlfn.LET(
  _xlpm.w, D$11,
  _xlpm.r, MATCH(1,('3. Enter Indicator Scores'!$B$10:$B$161=$B32)*('3. Enter Indicator Scores'!$C$10:$C$161=$C32),0),
  _xlpm.c, MATCH(D$8,'3. Enter Indicator Scores'!$D$8:$CZ$8,0),
  _xlpm.v, IFERROR(INDEX('3. Enter Indicator Scores'!$D$10:$CZ$161,_xlpm.r,_xlpm.c),""),
  IF(OR(_xlpm.w="",_xlpm.v=""),"",_xlpm.v*_xlpm.w)
)</f>
        <v/>
      </c>
      <c r="E32" s="93" t="str" cm="1">
        <f t="array" ref="E32">_xlfn.LET(
  _xlpm.w, E$11,
  _xlpm.r, MATCH(1,('3. Enter Indicator Scores'!$B$10:$B$161=$B32)*('3. Enter Indicator Scores'!$C$10:$C$161=$C32),0),
  _xlpm.c, MATCH(E$8,'3. Enter Indicator Scores'!$D$8:$CZ$8,0),
  _xlpm.v, IFERROR(INDEX('3. Enter Indicator Scores'!$D$10:$CZ$161,_xlpm.r,_xlpm.c),""),
  IF(OR(_xlpm.w="",_xlpm.v=""),"",_xlpm.v*_xlpm.w)
)</f>
        <v/>
      </c>
      <c r="F32" s="93" t="str" cm="1">
        <f t="array" ref="F32">_xlfn.LET(
  _xlpm.w, F$11,
  _xlpm.r, MATCH(1,('3. Enter Indicator Scores'!$B$10:$B$161=$B32)*('3. Enter Indicator Scores'!$C$10:$C$161=$C32),0),
  _xlpm.c, MATCH(F$8,'3. Enter Indicator Scores'!$D$8:$CZ$8,0),
  _xlpm.v, IFERROR(INDEX('3. Enter Indicator Scores'!$D$10:$CZ$161,_xlpm.r,_xlpm.c),""),
  IF(OR(_xlpm.w="",_xlpm.v=""),"",_xlpm.v*_xlpm.w)
)</f>
        <v/>
      </c>
      <c r="G32" s="93" t="str" cm="1">
        <f t="array" ref="G32">_xlfn.LET(
  _xlpm.w, G$11,
  _xlpm.r, MATCH(1,('3. Enter Indicator Scores'!$B$10:$B$161=$B32)*('3. Enter Indicator Scores'!$C$10:$C$161=$C32),0),
  _xlpm.c, MATCH(G$8,'3. Enter Indicator Scores'!$D$8:$CZ$8,0),
  _xlpm.v, IFERROR(INDEX('3. Enter Indicator Scores'!$D$10:$CZ$161,_xlpm.r,_xlpm.c),""),
  IF(OR(_xlpm.w="",_xlpm.v=""),"",_xlpm.v*_xlpm.w)
)</f>
        <v/>
      </c>
      <c r="H32" s="93" t="str" cm="1">
        <f t="array" ref="H32">_xlfn.LET(
  _xlpm.w, H$11,
  _xlpm.r, MATCH(1,('3. Enter Indicator Scores'!$B$10:$B$161=$B32)*('3. Enter Indicator Scores'!$C$10:$C$161=$C32),0),
  _xlpm.c, MATCH(H$8,'3. Enter Indicator Scores'!$D$8:$CZ$8,0),
  _xlpm.v, IFERROR(INDEX('3. Enter Indicator Scores'!$D$10:$CZ$161,_xlpm.r,_xlpm.c),""),
  IF(OR(_xlpm.w="",_xlpm.v=""),"",_xlpm.v*_xlpm.w)
)</f>
        <v/>
      </c>
      <c r="I32" s="93" t="str" cm="1">
        <f t="array" ref="I32">_xlfn.LET(
  _xlpm.w, I$11,
  _xlpm.r, MATCH(1,('3. Enter Indicator Scores'!$B$10:$B$161=$B32)*('3. Enter Indicator Scores'!$C$10:$C$161=$C32),0),
  _xlpm.c, MATCH(I$8,'3. Enter Indicator Scores'!$D$8:$CZ$8,0),
  _xlpm.v, IFERROR(INDEX('3. Enter Indicator Scores'!$D$10:$CZ$161,_xlpm.r,_xlpm.c),""),
  IF(OR(_xlpm.w="",_xlpm.v=""),"",_xlpm.v*_xlpm.w)
)</f>
        <v/>
      </c>
      <c r="J32" s="93" t="str" cm="1">
        <f t="array" ref="J32">_xlfn.LET(
  _xlpm.w, J$11,
  _xlpm.r, MATCH(1,('3. Enter Indicator Scores'!$B$10:$B$161=$B32)*('3. Enter Indicator Scores'!$C$10:$C$161=$C32),0),
  _xlpm.c, MATCH(J$8,'3. Enter Indicator Scores'!$D$8:$CZ$8,0),
  _xlpm.v, IFERROR(INDEX('3. Enter Indicator Scores'!$D$10:$CZ$161,_xlpm.r,_xlpm.c),""),
  IF(OR(_xlpm.w="",_xlpm.v=""),"",_xlpm.v*_xlpm.w)
)</f>
        <v/>
      </c>
      <c r="K32" s="93" t="str" cm="1">
        <f t="array" ref="K32">_xlfn.LET(
  _xlpm.w, K$11,
  _xlpm.r, MATCH(1,('3. Enter Indicator Scores'!$B$10:$B$161=$B32)*('3. Enter Indicator Scores'!$C$10:$C$161=$C32),0),
  _xlpm.c, MATCH(K$8,'3. Enter Indicator Scores'!$D$8:$CZ$8,0),
  _xlpm.v, IFERROR(INDEX('3. Enter Indicator Scores'!$D$10:$CZ$161,_xlpm.r,_xlpm.c),""),
  IF(OR(_xlpm.w="",_xlpm.v=""),"",_xlpm.v*_xlpm.w)
)</f>
        <v/>
      </c>
      <c r="L32" s="93" t="str" cm="1">
        <f t="array" ref="L32">_xlfn.LET(
  _xlpm.w, L$11,
  _xlpm.r, MATCH(1,('3. Enter Indicator Scores'!$B$10:$B$161=$B32)*('3. Enter Indicator Scores'!$C$10:$C$161=$C32),0),
  _xlpm.c, MATCH(L$8,'3. Enter Indicator Scores'!$D$8:$CZ$8,0),
  _xlpm.v, IFERROR(INDEX('3. Enter Indicator Scores'!$D$10:$CZ$161,_xlpm.r,_xlpm.c),""),
  IF(OR(_xlpm.w="",_xlpm.v=""),"",_xlpm.v*_xlpm.w)
)</f>
        <v/>
      </c>
      <c r="M32" s="93" t="str" cm="1">
        <f t="array" ref="M32">_xlfn.LET(
  _xlpm.w, M$11,
  _xlpm.r, MATCH(1,('3. Enter Indicator Scores'!$B$10:$B$161=$B32)*('3. Enter Indicator Scores'!$C$10:$C$161=$C32),0),
  _xlpm.c, MATCH(M$8,'3. Enter Indicator Scores'!$D$8:$CZ$8,0),
  _xlpm.v, IFERROR(INDEX('3. Enter Indicator Scores'!$D$10:$CZ$161,_xlpm.r,_xlpm.c),""),
  IF(OR(_xlpm.w="",_xlpm.v=""),"",_xlpm.v*_xlpm.w)
)</f>
        <v/>
      </c>
      <c r="N32" s="93" t="str" cm="1">
        <f t="array" ref="N32">_xlfn.LET(
  _xlpm.w, N$11,
  _xlpm.r, MATCH(1,('3. Enter Indicator Scores'!$B$10:$B$161=$B32)*('3. Enter Indicator Scores'!$C$10:$C$161=$C32),0),
  _xlpm.c, MATCH(N$8,'3. Enter Indicator Scores'!$D$8:$CZ$8,0),
  _xlpm.v, IFERROR(INDEX('3. Enter Indicator Scores'!$D$10:$CZ$161,_xlpm.r,_xlpm.c),""),
  IF(OR(_xlpm.w="",_xlpm.v=""),"",_xlpm.v*_xlpm.w)
)</f>
        <v/>
      </c>
      <c r="O32" s="93" t="str" cm="1">
        <f t="array" ref="O32">_xlfn.LET(
  _xlpm.w, O$11,
  _xlpm.r, MATCH(1,('3. Enter Indicator Scores'!$B$10:$B$161=$B32)*('3. Enter Indicator Scores'!$C$10:$C$161=$C32),0),
  _xlpm.c, MATCH(O$8,'3. Enter Indicator Scores'!$D$8:$CZ$8,0),
  _xlpm.v, IFERROR(INDEX('3. Enter Indicator Scores'!$D$10:$CZ$161,_xlpm.r,_xlpm.c),""),
  IF(OR(_xlpm.w="",_xlpm.v=""),"",_xlpm.v*_xlpm.w)
)</f>
        <v/>
      </c>
      <c r="P32" s="93" t="str" cm="1">
        <f t="array" ref="P32">_xlfn.LET(
  _xlpm.w, P$11,
  _xlpm.r, MATCH(1,('3. Enter Indicator Scores'!$B$10:$B$161=$B32)*('3. Enter Indicator Scores'!$C$10:$C$161=$C32),0),
  _xlpm.c, MATCH(P$8,'3. Enter Indicator Scores'!$D$8:$CZ$8,0),
  _xlpm.v, IFERROR(INDEX('3. Enter Indicator Scores'!$D$10:$CZ$161,_xlpm.r,_xlpm.c),""),
  IF(OR(_xlpm.w="",_xlpm.v=""),"",_xlpm.v*_xlpm.w)
)</f>
        <v/>
      </c>
      <c r="Q32" s="93" t="str" cm="1">
        <f t="array" ref="Q32">_xlfn.LET(
  _xlpm.w, Q$11,
  _xlpm.r, MATCH(1,('3. Enter Indicator Scores'!$B$10:$B$161=$B32)*('3. Enter Indicator Scores'!$C$10:$C$161=$C32),0),
  _xlpm.c, MATCH(Q$8,'3. Enter Indicator Scores'!$D$8:$CZ$8,0),
  _xlpm.v, IFERROR(INDEX('3. Enter Indicator Scores'!$D$10:$CZ$161,_xlpm.r,_xlpm.c),""),
  IF(OR(_xlpm.w="",_xlpm.v=""),"",_xlpm.v*_xlpm.w)
)</f>
        <v/>
      </c>
      <c r="R32" s="93" t="str" cm="1">
        <f t="array" ref="R32">_xlfn.LET(
  _xlpm.w, R$11,
  _xlpm.r, MATCH(1,('3. Enter Indicator Scores'!$B$10:$B$161=$B32)*('3. Enter Indicator Scores'!$C$10:$C$161=$C32),0),
  _xlpm.c, MATCH(R$8,'3. Enter Indicator Scores'!$D$8:$CZ$8,0),
  _xlpm.v, IFERROR(INDEX('3. Enter Indicator Scores'!$D$10:$CZ$161,_xlpm.r,_xlpm.c),""),
  IF(OR(_xlpm.w="",_xlpm.v=""),"",_xlpm.v*_xlpm.w)
)</f>
        <v/>
      </c>
      <c r="S32" s="93" t="str" cm="1">
        <f t="array" ref="S32">_xlfn.LET(
  _xlpm.w, S$11,
  _xlpm.r, MATCH(1,('3. Enter Indicator Scores'!$B$10:$B$161=$B32)*('3. Enter Indicator Scores'!$C$10:$C$161=$C32),0),
  _xlpm.c, MATCH(S$8,'3. Enter Indicator Scores'!$D$8:$CZ$8,0),
  _xlpm.v, IFERROR(INDEX('3. Enter Indicator Scores'!$D$10:$CZ$161,_xlpm.r,_xlpm.c),""),
  IF(OR(_xlpm.w="",_xlpm.v=""),"",_xlpm.v*_xlpm.w)
)</f>
        <v/>
      </c>
      <c r="T32" s="93" t="str" cm="1">
        <f t="array" ref="T32">_xlfn.LET(
  _xlpm.w, T$11,
  _xlpm.r, MATCH(1,('3. Enter Indicator Scores'!$B$10:$B$161=$B32)*('3. Enter Indicator Scores'!$C$10:$C$161=$C32),0),
  _xlpm.c, MATCH(T$8,'3. Enter Indicator Scores'!$D$8:$CZ$8,0),
  _xlpm.v, IFERROR(INDEX('3. Enter Indicator Scores'!$D$10:$CZ$161,_xlpm.r,_xlpm.c),""),
  IF(OR(_xlpm.w="",_xlpm.v=""),"",_xlpm.v*_xlpm.w)
)</f>
        <v/>
      </c>
      <c r="U32" s="93" t="str" cm="1">
        <f t="array" ref="U32">_xlfn.LET(
  _xlpm.w, U$11,
  _xlpm.r, MATCH(1,('3. Enter Indicator Scores'!$B$10:$B$161=$B32)*('3. Enter Indicator Scores'!$C$10:$C$161=$C32),0),
  _xlpm.c, MATCH(U$8,'3. Enter Indicator Scores'!$D$8:$CZ$8,0),
  _xlpm.v, IFERROR(INDEX('3. Enter Indicator Scores'!$D$10:$CZ$161,_xlpm.r,_xlpm.c),""),
  IF(OR(_xlpm.w="",_xlpm.v=""),"",_xlpm.v*_xlpm.w)
)</f>
        <v/>
      </c>
      <c r="V32" s="93" t="str" cm="1">
        <f t="array" ref="V32">_xlfn.LET(
  _xlpm.w, V$11,
  _xlpm.r, MATCH(1,('3. Enter Indicator Scores'!$B$10:$B$161=$B32)*('3. Enter Indicator Scores'!$C$10:$C$161=$C32),0),
  _xlpm.c, MATCH(V$8,'3. Enter Indicator Scores'!$D$8:$CZ$8,0),
  _xlpm.v, IFERROR(INDEX('3. Enter Indicator Scores'!$D$10:$CZ$161,_xlpm.r,_xlpm.c),""),
  IF(OR(_xlpm.w="",_xlpm.v=""),"",_xlpm.v*_xlpm.w)
)</f>
        <v/>
      </c>
      <c r="W32" s="93" t="str" cm="1">
        <f t="array" ref="W32">_xlfn.LET(
  _xlpm.w, W$11,
  _xlpm.r, MATCH(1,('3. Enter Indicator Scores'!$B$10:$B$161=$B32)*('3. Enter Indicator Scores'!$C$10:$C$161=$C32),0),
  _xlpm.c, MATCH(W$8,'3. Enter Indicator Scores'!$D$8:$CZ$8,0),
  _xlpm.v, IFERROR(INDEX('3. Enter Indicator Scores'!$D$10:$CZ$161,_xlpm.r,_xlpm.c),""),
  IF(OR(_xlpm.w="",_xlpm.v=""),"",_xlpm.v*_xlpm.w)
)</f>
        <v/>
      </c>
      <c r="X32" s="93" t="str" cm="1">
        <f t="array" ref="X32">_xlfn.LET(
  _xlpm.w, X$11,
  _xlpm.r, MATCH(1,('3. Enter Indicator Scores'!$B$10:$B$161=$B32)*('3. Enter Indicator Scores'!$C$10:$C$161=$C32),0),
  _xlpm.c, MATCH(X$8,'3. Enter Indicator Scores'!$D$8:$CZ$8,0),
  _xlpm.v, IFERROR(INDEX('3. Enter Indicator Scores'!$D$10:$CZ$161,_xlpm.r,_xlpm.c),""),
  IF(OR(_xlpm.w="",_xlpm.v=""),"",_xlpm.v*_xlpm.w)
)</f>
        <v/>
      </c>
      <c r="Y32" s="93" t="str" cm="1">
        <f t="array" ref="Y32">_xlfn.LET(
  _xlpm.w, Y$11,
  _xlpm.r, MATCH(1,('3. Enter Indicator Scores'!$B$10:$B$161=$B32)*('3. Enter Indicator Scores'!$C$10:$C$161=$C32),0),
  _xlpm.c, MATCH(Y$8,'3. Enter Indicator Scores'!$D$8:$CZ$8,0),
  _xlpm.v, IFERROR(INDEX('3. Enter Indicator Scores'!$D$10:$CZ$161,_xlpm.r,_xlpm.c),""),
  IF(OR(_xlpm.w="",_xlpm.v=""),"",_xlpm.v*_xlpm.w)
)</f>
        <v/>
      </c>
      <c r="Z32" s="93" t="str" cm="1">
        <f t="array" ref="Z32">_xlfn.LET(
  _xlpm.w, Z$11,
  _xlpm.r, MATCH(1,('3. Enter Indicator Scores'!$B$10:$B$161=$B32)*('3. Enter Indicator Scores'!$C$10:$C$161=$C32),0),
  _xlpm.c, MATCH(Z$8,'3. Enter Indicator Scores'!$D$8:$CZ$8,0),
  _xlpm.v, IFERROR(INDEX('3. Enter Indicator Scores'!$D$10:$CZ$161,_xlpm.r,_xlpm.c),""),
  IF(OR(_xlpm.w="",_xlpm.v=""),"",_xlpm.v*_xlpm.w)
)</f>
        <v/>
      </c>
      <c r="AA32" s="93" t="str" cm="1">
        <f t="array" ref="AA32">_xlfn.LET(
  _xlpm.w, AA$11,
  _xlpm.r, MATCH(1,('3. Enter Indicator Scores'!$B$10:$B$161=$B32)*('3. Enter Indicator Scores'!$C$10:$C$161=$C32),0),
  _xlpm.c, MATCH(AA$8,'3. Enter Indicator Scores'!$D$8:$CZ$8,0),
  _xlpm.v, IFERROR(INDEX('3. Enter Indicator Scores'!$D$10:$CZ$161,_xlpm.r,_xlpm.c),""),
  IF(OR(_xlpm.w="",_xlpm.v=""),"",_xlpm.v*_xlpm.w)
)</f>
        <v/>
      </c>
      <c r="AB32" s="93" t="str" cm="1">
        <f t="array" ref="AB32">_xlfn.LET(
  _xlpm.w, AB$11,
  _xlpm.r, MATCH(1,('3. Enter Indicator Scores'!$B$10:$B$161=$B32)*('3. Enter Indicator Scores'!$C$10:$C$161=$C32),0),
  _xlpm.c, MATCH(AB$8,'3. Enter Indicator Scores'!$D$8:$CZ$8,0),
  _xlpm.v, IFERROR(INDEX('3. Enter Indicator Scores'!$D$10:$CZ$161,_xlpm.r,_xlpm.c),""),
  IF(OR(_xlpm.w="",_xlpm.v=""),"",_xlpm.v*_xlpm.w)
)</f>
        <v/>
      </c>
      <c r="AC32" s="93" t="str" cm="1">
        <f t="array" ref="AC32">_xlfn.LET(
  _xlpm.w, AC$11,
  _xlpm.r, MATCH(1,('3. Enter Indicator Scores'!$B$10:$B$161=$B32)*('3. Enter Indicator Scores'!$C$10:$C$161=$C32),0),
  _xlpm.c, MATCH(AC$8,'3. Enter Indicator Scores'!$D$8:$CZ$8,0),
  _xlpm.v, IFERROR(INDEX('3. Enter Indicator Scores'!$D$10:$CZ$161,_xlpm.r,_xlpm.c),""),
  IF(OR(_xlpm.w="",_xlpm.v=""),"",_xlpm.v*_xlpm.w)
)</f>
        <v/>
      </c>
      <c r="AD32" s="93" t="str" cm="1">
        <f t="array" ref="AD32">_xlfn.LET(
  _xlpm.w, AD$11,
  _xlpm.r, MATCH(1,('3. Enter Indicator Scores'!$B$10:$B$161=$B32)*('3. Enter Indicator Scores'!$C$10:$C$161=$C32),0),
  _xlpm.c, MATCH(AD$8,'3. Enter Indicator Scores'!$D$8:$CZ$8,0),
  _xlpm.v, IFERROR(INDEX('3. Enter Indicator Scores'!$D$10:$CZ$161,_xlpm.r,_xlpm.c),""),
  IF(OR(_xlpm.w="",_xlpm.v=""),"",_xlpm.v*_xlpm.w)
)</f>
        <v/>
      </c>
      <c r="AE32" s="93" t="str" cm="1">
        <f t="array" ref="AE32">_xlfn.LET(
  _xlpm.w, AE$11,
  _xlpm.r, MATCH(1,('3. Enter Indicator Scores'!$B$10:$B$161=$B32)*('3. Enter Indicator Scores'!$C$10:$C$161=$C32),0),
  _xlpm.c, MATCH(AE$8,'3. Enter Indicator Scores'!$D$8:$CZ$8,0),
  _xlpm.v, IFERROR(INDEX('3. Enter Indicator Scores'!$D$10:$CZ$161,_xlpm.r,_xlpm.c),""),
  IF(OR(_xlpm.w="",_xlpm.v=""),"",_xlpm.v*_xlpm.w)
)</f>
        <v/>
      </c>
      <c r="AF32" s="93" t="str" cm="1">
        <f t="array" ref="AF32">_xlfn.LET(
  _xlpm.w, AF$11,
  _xlpm.r, MATCH(1,('3. Enter Indicator Scores'!$B$10:$B$161=$B32)*('3. Enter Indicator Scores'!$C$10:$C$161=$C32),0),
  _xlpm.c, MATCH(AF$8,'3. Enter Indicator Scores'!$D$8:$CZ$8,0),
  _xlpm.v, IFERROR(INDEX('3. Enter Indicator Scores'!$D$10:$CZ$161,_xlpm.r,_xlpm.c),""),
  IF(OR(_xlpm.w="",_xlpm.v=""),"",_xlpm.v*_xlpm.w)
)</f>
        <v/>
      </c>
      <c r="AG32" s="93" t="str" cm="1">
        <f t="array" ref="AG32">_xlfn.LET(
  _xlpm.w, AG$11,
  _xlpm.r, MATCH(1,('3. Enter Indicator Scores'!$B$10:$B$161=$B32)*('3. Enter Indicator Scores'!$C$10:$C$161=$C32),0),
  _xlpm.c, MATCH(AG$8,'3. Enter Indicator Scores'!$D$8:$CZ$8,0),
  _xlpm.v, IFERROR(INDEX('3. Enter Indicator Scores'!$D$10:$CZ$161,_xlpm.r,_xlpm.c),""),
  IF(OR(_xlpm.w="",_xlpm.v=""),"",_xlpm.v*_xlpm.w)
)</f>
        <v/>
      </c>
      <c r="AH32" s="93" t="str" cm="1">
        <f t="array" ref="AH32">_xlfn.LET(
  _xlpm.w, AH$11,
  _xlpm.r, MATCH(1,('3. Enter Indicator Scores'!$B$10:$B$161=$B32)*('3. Enter Indicator Scores'!$C$10:$C$161=$C32),0),
  _xlpm.c, MATCH(AH$8,'3. Enter Indicator Scores'!$D$8:$CZ$8,0),
  _xlpm.v, IFERROR(INDEX('3. Enter Indicator Scores'!$D$10:$CZ$161,_xlpm.r,_xlpm.c),""),
  IF(OR(_xlpm.w="",_xlpm.v=""),"",_xlpm.v*_xlpm.w)
)</f>
        <v/>
      </c>
      <c r="AI32" s="93" t="str" cm="1">
        <f t="array" ref="AI32">_xlfn.LET(
  _xlpm.w, AI$11,
  _xlpm.r, MATCH(1,('3. Enter Indicator Scores'!$B$10:$B$161=$B32)*('3. Enter Indicator Scores'!$C$10:$C$161=$C32),0),
  _xlpm.c, MATCH(AI$8,'3. Enter Indicator Scores'!$D$8:$CZ$8,0),
  _xlpm.v, IFERROR(INDEX('3. Enter Indicator Scores'!$D$10:$CZ$161,_xlpm.r,_xlpm.c),""),
  IF(OR(_xlpm.w="",_xlpm.v=""),"",_xlpm.v*_xlpm.w)
)</f>
        <v/>
      </c>
      <c r="AJ32" s="93" t="str" cm="1">
        <f t="array" ref="AJ32">_xlfn.LET(
  _xlpm.w, AJ$11,
  _xlpm.r, MATCH(1,('3. Enter Indicator Scores'!$B$10:$B$161=$B32)*('3. Enter Indicator Scores'!$C$10:$C$161=$C32),0),
  _xlpm.c, MATCH(AJ$8,'3. Enter Indicator Scores'!$D$8:$CZ$8,0),
  _xlpm.v, IFERROR(INDEX('3. Enter Indicator Scores'!$D$10:$CZ$161,_xlpm.r,_xlpm.c),""),
  IF(OR(_xlpm.w="",_xlpm.v=""),"",_xlpm.v*_xlpm.w)
)</f>
        <v/>
      </c>
      <c r="AK32" s="93" t="str" cm="1">
        <f t="array" ref="AK32">_xlfn.LET(
  _xlpm.w, AK$11,
  _xlpm.r, MATCH(1,('3. Enter Indicator Scores'!$B$10:$B$161=$B32)*('3. Enter Indicator Scores'!$C$10:$C$161=$C32),0),
  _xlpm.c, MATCH(AK$8,'3. Enter Indicator Scores'!$D$8:$CZ$8,0),
  _xlpm.v, IFERROR(INDEX('3. Enter Indicator Scores'!$D$10:$CZ$161,_xlpm.r,_xlpm.c),""),
  IF(OR(_xlpm.w="",_xlpm.v=""),"",_xlpm.v*_xlpm.w)
)</f>
        <v/>
      </c>
      <c r="AL32" s="93" t="str" cm="1">
        <f t="array" ref="AL32">_xlfn.LET(
  _xlpm.w, AL$11,
  _xlpm.r, MATCH(1,('3. Enter Indicator Scores'!$B$10:$B$161=$B32)*('3. Enter Indicator Scores'!$C$10:$C$161=$C32),0),
  _xlpm.c, MATCH(AL$8,'3. Enter Indicator Scores'!$D$8:$CZ$8,0),
  _xlpm.v, IFERROR(INDEX('3. Enter Indicator Scores'!$D$10:$CZ$161,_xlpm.r,_xlpm.c),""),
  IF(OR(_xlpm.w="",_xlpm.v=""),"",_xlpm.v*_xlpm.w)
)</f>
        <v/>
      </c>
      <c r="AM32" s="93" t="str" cm="1">
        <f t="array" ref="AM32">_xlfn.LET(
  _xlpm.w, AM$11,
  _xlpm.r, MATCH(1,('3. Enter Indicator Scores'!$B$10:$B$161=$B32)*('3. Enter Indicator Scores'!$C$10:$C$161=$C32),0),
  _xlpm.c, MATCH(AM$8,'3. Enter Indicator Scores'!$D$8:$CZ$8,0),
  _xlpm.v, IFERROR(INDEX('3. Enter Indicator Scores'!$D$10:$CZ$161,_xlpm.r,_xlpm.c),""),
  IF(OR(_xlpm.w="",_xlpm.v=""),"",_xlpm.v*_xlpm.w)
)</f>
        <v/>
      </c>
      <c r="AN32" s="93" t="str" cm="1">
        <f t="array" ref="AN32">_xlfn.LET(
  _xlpm.w, AN$11,
  _xlpm.r, MATCH(1,('3. Enter Indicator Scores'!$B$10:$B$161=$B32)*('3. Enter Indicator Scores'!$C$10:$C$161=$C32),0),
  _xlpm.c, MATCH(AN$8,'3. Enter Indicator Scores'!$D$8:$CZ$8,0),
  _xlpm.v, IFERROR(INDEX('3. Enter Indicator Scores'!$D$10:$CZ$161,_xlpm.r,_xlpm.c),""),
  IF(OR(_xlpm.w="",_xlpm.v=""),"",_xlpm.v*_xlpm.w)
)</f>
        <v/>
      </c>
      <c r="AO32" s="93" t="str" cm="1">
        <f t="array" ref="AO32">_xlfn.LET(
  _xlpm.w, AO$11,
  _xlpm.r, MATCH(1,('3. Enter Indicator Scores'!$B$10:$B$161=$B32)*('3. Enter Indicator Scores'!$C$10:$C$161=$C32),0),
  _xlpm.c, MATCH(AO$8,'3. Enter Indicator Scores'!$D$8:$CZ$8,0),
  _xlpm.v, IFERROR(INDEX('3. Enter Indicator Scores'!$D$10:$CZ$161,_xlpm.r,_xlpm.c),""),
  IF(OR(_xlpm.w="",_xlpm.v=""),"",_xlpm.v*_xlpm.w)
)</f>
        <v/>
      </c>
      <c r="AP32" s="93" t="str" cm="1">
        <f t="array" ref="AP32">_xlfn.LET(
  _xlpm.w, AP$11,
  _xlpm.r, MATCH(1,('3. Enter Indicator Scores'!$B$10:$B$161=$B32)*('3. Enter Indicator Scores'!$C$10:$C$161=$C32),0),
  _xlpm.c, MATCH(AP$8,'3. Enter Indicator Scores'!$D$8:$CZ$8,0),
  _xlpm.v, IFERROR(INDEX('3. Enter Indicator Scores'!$D$10:$CZ$161,_xlpm.r,_xlpm.c),""),
  IF(OR(_xlpm.w="",_xlpm.v=""),"",_xlpm.v*_xlpm.w)
)</f>
        <v/>
      </c>
      <c r="AQ32" s="93" t="str" cm="1">
        <f t="array" ref="AQ32">_xlfn.LET(
  _xlpm.w, AQ$11,
  _xlpm.r, MATCH(1,('3. Enter Indicator Scores'!$B$10:$B$161=$B32)*('3. Enter Indicator Scores'!$C$10:$C$161=$C32),0),
  _xlpm.c, MATCH(AQ$8,'3. Enter Indicator Scores'!$D$8:$CZ$8,0),
  _xlpm.v, IFERROR(INDEX('3. Enter Indicator Scores'!$D$10:$CZ$161,_xlpm.r,_xlpm.c),""),
  IF(OR(_xlpm.w="",_xlpm.v=""),"",_xlpm.v*_xlpm.w)
)</f>
        <v/>
      </c>
      <c r="AR32" s="93" t="str" cm="1">
        <f t="array" ref="AR32">_xlfn.LET(
  _xlpm.w, AR$11,
  _xlpm.r, MATCH(1,('3. Enter Indicator Scores'!$B$10:$B$161=$B32)*('3. Enter Indicator Scores'!$C$10:$C$161=$C32),0),
  _xlpm.c, MATCH(AR$8,'3. Enter Indicator Scores'!$D$8:$CZ$8,0),
  _xlpm.v, IFERROR(INDEX('3. Enter Indicator Scores'!$D$10:$CZ$161,_xlpm.r,_xlpm.c),""),
  IF(OR(_xlpm.w="",_xlpm.v=""),"",_xlpm.v*_xlpm.w)
)</f>
        <v/>
      </c>
      <c r="AS32" s="93" t="str" cm="1">
        <f t="array" ref="AS32">_xlfn.LET(
  _xlpm.w, AS$11,
  _xlpm.r, MATCH(1,('3. Enter Indicator Scores'!$B$10:$B$161=$B32)*('3. Enter Indicator Scores'!$C$10:$C$161=$C32),0),
  _xlpm.c, MATCH(AS$8,'3. Enter Indicator Scores'!$D$8:$CZ$8,0),
  _xlpm.v, IFERROR(INDEX('3. Enter Indicator Scores'!$D$10:$CZ$161,_xlpm.r,_xlpm.c),""),
  IF(OR(_xlpm.w="",_xlpm.v=""),"",_xlpm.v*_xlpm.w)
)</f>
        <v/>
      </c>
      <c r="AT32" s="93" t="str" cm="1">
        <f t="array" ref="AT32">_xlfn.LET(
  _xlpm.w, AT$11,
  _xlpm.r, MATCH(1,('3. Enter Indicator Scores'!$B$10:$B$161=$B32)*('3. Enter Indicator Scores'!$C$10:$C$161=$C32),0),
  _xlpm.c, MATCH(AT$8,'3. Enter Indicator Scores'!$D$8:$CZ$8,0),
  _xlpm.v, IFERROR(INDEX('3. Enter Indicator Scores'!$D$10:$CZ$161,_xlpm.r,_xlpm.c),""),
  IF(OR(_xlpm.w="",_xlpm.v=""),"",_xlpm.v*_xlpm.w)
)</f>
        <v/>
      </c>
      <c r="AU32" s="93" t="str" cm="1">
        <f t="array" ref="AU32">_xlfn.LET(
  _xlpm.w, AU$11,
  _xlpm.r, MATCH(1,('3. Enter Indicator Scores'!$B$10:$B$161=$B32)*('3. Enter Indicator Scores'!$C$10:$C$161=$C32),0),
  _xlpm.c, MATCH(AU$8,'3. Enter Indicator Scores'!$D$8:$CZ$8,0),
  _xlpm.v, IFERROR(INDEX('3. Enter Indicator Scores'!$D$10:$CZ$161,_xlpm.r,_xlpm.c),""),
  IF(OR(_xlpm.w="",_xlpm.v=""),"",_xlpm.v*_xlpm.w)
)</f>
        <v/>
      </c>
      <c r="AV32" s="93" t="str" cm="1">
        <f t="array" ref="AV32">_xlfn.LET(
  _xlpm.w, AV$11,
  _xlpm.r, MATCH(1,('3. Enter Indicator Scores'!$B$10:$B$161=$B32)*('3. Enter Indicator Scores'!$C$10:$C$161=$C32),0),
  _xlpm.c, MATCH(AV$8,'3. Enter Indicator Scores'!$D$8:$CZ$8,0),
  _xlpm.v, IFERROR(INDEX('3. Enter Indicator Scores'!$D$10:$CZ$161,_xlpm.r,_xlpm.c),""),
  IF(OR(_xlpm.w="",_xlpm.v=""),"",_xlpm.v*_xlpm.w)
)</f>
        <v/>
      </c>
      <c r="AW32" s="93" t="str" cm="1">
        <f t="array" ref="AW32">_xlfn.LET(
  _xlpm.w, AW$11,
  _xlpm.r, MATCH(1,('3. Enter Indicator Scores'!$B$10:$B$161=$B32)*('3. Enter Indicator Scores'!$C$10:$C$161=$C32),0),
  _xlpm.c, MATCH(AW$8,'3. Enter Indicator Scores'!$D$8:$CZ$8,0),
  _xlpm.v, IFERROR(INDEX('3. Enter Indicator Scores'!$D$10:$CZ$161,_xlpm.r,_xlpm.c),""),
  IF(OR(_xlpm.w="",_xlpm.v=""),"",_xlpm.v*_xlpm.w)
)</f>
        <v/>
      </c>
      <c r="AX32" s="93" t="str" cm="1">
        <f t="array" ref="AX32">_xlfn.LET(
  _xlpm.w, AX$11,
  _xlpm.r, MATCH(1,('3. Enter Indicator Scores'!$B$10:$B$161=$B32)*('3. Enter Indicator Scores'!$C$10:$C$161=$C32),0),
  _xlpm.c, MATCH(AX$8,'3. Enter Indicator Scores'!$D$8:$CZ$8,0),
  _xlpm.v, IFERROR(INDEX('3. Enter Indicator Scores'!$D$10:$CZ$161,_xlpm.r,_xlpm.c),""),
  IF(OR(_xlpm.w="",_xlpm.v=""),"",_xlpm.v*_xlpm.w)
)</f>
        <v/>
      </c>
      <c r="AY32" s="93" t="str" cm="1">
        <f t="array" ref="AY32">_xlfn.LET(
  _xlpm.w, AY$11,
  _xlpm.r, MATCH(1,('3. Enter Indicator Scores'!$B$10:$B$161=$B32)*('3. Enter Indicator Scores'!$C$10:$C$161=$C32),0),
  _xlpm.c, MATCH(AY$8,'3. Enter Indicator Scores'!$D$8:$CZ$8,0),
  _xlpm.v, IFERROR(INDEX('3. Enter Indicator Scores'!$D$10:$CZ$161,_xlpm.r,_xlpm.c),""),
  IF(OR(_xlpm.w="",_xlpm.v=""),"",_xlpm.v*_xlpm.w)
)</f>
        <v/>
      </c>
      <c r="AZ32" s="93" t="str" cm="1">
        <f t="array" ref="AZ32">_xlfn.LET(
  _xlpm.w, AZ$11,
  _xlpm.r, MATCH(1,('3. Enter Indicator Scores'!$B$10:$B$161=$B32)*('3. Enter Indicator Scores'!$C$10:$C$161=$C32),0),
  _xlpm.c, MATCH(AZ$8,'3. Enter Indicator Scores'!$D$8:$CZ$8,0),
  _xlpm.v, IFERROR(INDEX('3. Enter Indicator Scores'!$D$10:$CZ$161,_xlpm.r,_xlpm.c),""),
  IF(OR(_xlpm.w="",_xlpm.v=""),"",_xlpm.v*_xlpm.w)
)</f>
        <v/>
      </c>
      <c r="BA32" s="93" t="str" cm="1">
        <f t="array" ref="BA32">_xlfn.LET(
  _xlpm.w, BA$11,
  _xlpm.r, MATCH(1,('3. Enter Indicator Scores'!$B$10:$B$161=$B32)*('3. Enter Indicator Scores'!$C$10:$C$161=$C32),0),
  _xlpm.c, MATCH(BA$8,'3. Enter Indicator Scores'!$D$8:$CZ$8,0),
  _xlpm.v, IFERROR(INDEX('3. Enter Indicator Scores'!$D$10:$CZ$161,_xlpm.r,_xlpm.c),""),
  IF(OR(_xlpm.w="",_xlpm.v=""),"",_xlpm.v*_xlpm.w)
)</f>
        <v/>
      </c>
      <c r="BB32" s="93" t="str" cm="1">
        <f t="array" ref="BB32">_xlfn.LET(
  _xlpm.w, BB$11,
  _xlpm.r, MATCH(1,('3. Enter Indicator Scores'!$B$10:$B$161=$B32)*('3. Enter Indicator Scores'!$C$10:$C$161=$C32),0),
  _xlpm.c, MATCH(BB$8,'3. Enter Indicator Scores'!$D$8:$CZ$8,0),
  _xlpm.v, IFERROR(INDEX('3. Enter Indicator Scores'!$D$10:$CZ$161,_xlpm.r,_xlpm.c),""),
  IF(OR(_xlpm.w="",_xlpm.v=""),"",_xlpm.v*_xlpm.w)
)</f>
        <v/>
      </c>
      <c r="BC32" s="93" t="str" cm="1">
        <f t="array" ref="BC32">_xlfn.LET(
  _xlpm.w, BC$11,
  _xlpm.r, MATCH(1,('3. Enter Indicator Scores'!$B$10:$B$161=$B32)*('3. Enter Indicator Scores'!$C$10:$C$161=$C32),0),
  _xlpm.c, MATCH(BC$8,'3. Enter Indicator Scores'!$D$8:$CZ$8,0),
  _xlpm.v, IFERROR(INDEX('3. Enter Indicator Scores'!$D$10:$CZ$161,_xlpm.r,_xlpm.c),""),
  IF(OR(_xlpm.w="",_xlpm.v=""),"",_xlpm.v*_xlpm.w)
)</f>
        <v/>
      </c>
      <c r="BD32" s="93" t="str" cm="1">
        <f t="array" ref="BD32">_xlfn.LET(
  _xlpm.w, BD$11,
  _xlpm.r, MATCH(1,('3. Enter Indicator Scores'!$B$10:$B$161=$B32)*('3. Enter Indicator Scores'!$C$10:$C$161=$C32),0),
  _xlpm.c, MATCH(BD$8,'3. Enter Indicator Scores'!$D$8:$CZ$8,0),
  _xlpm.v, IFERROR(INDEX('3. Enter Indicator Scores'!$D$10:$CZ$161,_xlpm.r,_xlpm.c),""),
  IF(OR(_xlpm.w="",_xlpm.v=""),"",_xlpm.v*_xlpm.w)
)</f>
        <v/>
      </c>
      <c r="BE32" s="93" t="str" cm="1">
        <f t="array" ref="BE32">_xlfn.LET(
  _xlpm.w, BE$11,
  _xlpm.r, MATCH(1,('3. Enter Indicator Scores'!$B$10:$B$161=$B32)*('3. Enter Indicator Scores'!$C$10:$C$161=$C32),0),
  _xlpm.c, MATCH(BE$8,'3. Enter Indicator Scores'!$D$8:$CZ$8,0),
  _xlpm.v, IFERROR(INDEX('3. Enter Indicator Scores'!$D$10:$CZ$161,_xlpm.r,_xlpm.c),""),
  IF(OR(_xlpm.w="",_xlpm.v=""),"",_xlpm.v*_xlpm.w)
)</f>
        <v/>
      </c>
      <c r="BF32" s="93" t="str" cm="1">
        <f t="array" ref="BF32">_xlfn.LET(
  _xlpm.w, BF$11,
  _xlpm.r, MATCH(1,('3. Enter Indicator Scores'!$B$10:$B$161=$B32)*('3. Enter Indicator Scores'!$C$10:$C$161=$C32),0),
  _xlpm.c, MATCH(BF$8,'3. Enter Indicator Scores'!$D$8:$CZ$8,0),
  _xlpm.v, IFERROR(INDEX('3. Enter Indicator Scores'!$D$10:$CZ$161,_xlpm.r,_xlpm.c),""),
  IF(OR(_xlpm.w="",_xlpm.v=""),"",_xlpm.v*_xlpm.w)
)</f>
        <v/>
      </c>
      <c r="BG32" s="93" t="str" cm="1">
        <f t="array" ref="BG32">_xlfn.LET(
  _xlpm.w, BG$11,
  _xlpm.r, MATCH(1,('3. Enter Indicator Scores'!$B$10:$B$161=$B32)*('3. Enter Indicator Scores'!$C$10:$C$161=$C32),0),
  _xlpm.c, MATCH(BG$8,'3. Enter Indicator Scores'!$D$8:$CZ$8,0),
  _xlpm.v, IFERROR(INDEX('3. Enter Indicator Scores'!$D$10:$CZ$161,_xlpm.r,_xlpm.c),""),
  IF(OR(_xlpm.w="",_xlpm.v=""),"",_xlpm.v*_xlpm.w)
)</f>
        <v/>
      </c>
      <c r="BH32" s="93" t="str" cm="1">
        <f t="array" ref="BH32">_xlfn.LET(
  _xlpm.w, BH$11,
  _xlpm.r, MATCH(1,('3. Enter Indicator Scores'!$B$10:$B$161=$B32)*('3. Enter Indicator Scores'!$C$10:$C$161=$C32),0),
  _xlpm.c, MATCH(BH$8,'3. Enter Indicator Scores'!$D$8:$CZ$8,0),
  _xlpm.v, IFERROR(INDEX('3. Enter Indicator Scores'!$D$10:$CZ$161,_xlpm.r,_xlpm.c),""),
  IF(OR(_xlpm.w="",_xlpm.v=""),"",_xlpm.v*_xlpm.w)
)</f>
        <v/>
      </c>
      <c r="BI32" s="93" t="str" cm="1">
        <f t="array" ref="BI32">_xlfn.LET(
  _xlpm.w, BI$11,
  _xlpm.r, MATCH(1,('3. Enter Indicator Scores'!$B$10:$B$161=$B32)*('3. Enter Indicator Scores'!$C$10:$C$161=$C32),0),
  _xlpm.c, MATCH(BI$8,'3. Enter Indicator Scores'!$D$8:$CZ$8,0),
  _xlpm.v, IFERROR(INDEX('3. Enter Indicator Scores'!$D$10:$CZ$161,_xlpm.r,_xlpm.c),""),
  IF(OR(_xlpm.w="",_xlpm.v=""),"",_xlpm.v*_xlpm.w)
)</f>
        <v/>
      </c>
      <c r="BJ32" s="93" t="str" cm="1">
        <f t="array" ref="BJ32">_xlfn.LET(
  _xlpm.w, BJ$11,
  _xlpm.r, MATCH(1,('3. Enter Indicator Scores'!$B$10:$B$161=$B32)*('3. Enter Indicator Scores'!$C$10:$C$161=$C32),0),
  _xlpm.c, MATCH(BJ$8,'3. Enter Indicator Scores'!$D$8:$CZ$8,0),
  _xlpm.v, IFERROR(INDEX('3. Enter Indicator Scores'!$D$10:$CZ$161,_xlpm.r,_xlpm.c),""),
  IF(OR(_xlpm.w="",_xlpm.v=""),"",_xlpm.v*_xlpm.w)
)</f>
        <v/>
      </c>
      <c r="BK32" s="93" t="str" cm="1">
        <f t="array" ref="BK32">_xlfn.LET(
  _xlpm.w, BK$11,
  _xlpm.r, MATCH(1,('3. Enter Indicator Scores'!$B$10:$B$161=$B32)*('3. Enter Indicator Scores'!$C$10:$C$161=$C32),0),
  _xlpm.c, MATCH(BK$8,'3. Enter Indicator Scores'!$D$8:$CZ$8,0),
  _xlpm.v, IFERROR(INDEX('3. Enter Indicator Scores'!$D$10:$CZ$161,_xlpm.r,_xlpm.c),""),
  IF(OR(_xlpm.w="",_xlpm.v=""),"",_xlpm.v*_xlpm.w)
)</f>
        <v/>
      </c>
      <c r="BL32" s="93" t="str" cm="1">
        <f t="array" ref="BL32">_xlfn.LET(
  _xlpm.w, BL$11,
  _xlpm.r, MATCH(1,('3. Enter Indicator Scores'!$B$10:$B$161=$B32)*('3. Enter Indicator Scores'!$C$10:$C$161=$C32),0),
  _xlpm.c, MATCH(BL$8,'3. Enter Indicator Scores'!$D$8:$CZ$8,0),
  _xlpm.v, IFERROR(INDEX('3. Enter Indicator Scores'!$D$10:$CZ$161,_xlpm.r,_xlpm.c),""),
  IF(OR(_xlpm.w="",_xlpm.v=""),"",_xlpm.v*_xlpm.w)
)</f>
        <v/>
      </c>
      <c r="BM32" s="93" t="str" cm="1">
        <f t="array" ref="BM32">_xlfn.LET(
  _xlpm.w, BM$11,
  _xlpm.r, MATCH(1,('3. Enter Indicator Scores'!$B$10:$B$161=$B32)*('3. Enter Indicator Scores'!$C$10:$C$161=$C32),0),
  _xlpm.c, MATCH(BM$8,'3. Enter Indicator Scores'!$D$8:$CZ$8,0),
  _xlpm.v, IFERROR(INDEX('3. Enter Indicator Scores'!$D$10:$CZ$161,_xlpm.r,_xlpm.c),""),
  IF(OR(_xlpm.w="",_xlpm.v=""),"",_xlpm.v*_xlpm.w)
)</f>
        <v/>
      </c>
      <c r="BN32" s="93" t="str" cm="1">
        <f t="array" ref="BN32">_xlfn.LET(
  _xlpm.w, BN$11,
  _xlpm.r, MATCH(1,('3. Enter Indicator Scores'!$B$10:$B$161=$B32)*('3. Enter Indicator Scores'!$C$10:$C$161=$C32),0),
  _xlpm.c, MATCH(BN$8,'3. Enter Indicator Scores'!$D$8:$CZ$8,0),
  _xlpm.v, IFERROR(INDEX('3. Enter Indicator Scores'!$D$10:$CZ$161,_xlpm.r,_xlpm.c),""),
  IF(OR(_xlpm.w="",_xlpm.v=""),"",_xlpm.v*_xlpm.w)
)</f>
        <v/>
      </c>
      <c r="BO32" s="93" t="str" cm="1">
        <f t="array" ref="BO32">_xlfn.LET(
  _xlpm.w, BO$11,
  _xlpm.r, MATCH(1,('3. Enter Indicator Scores'!$B$10:$B$161=$B32)*('3. Enter Indicator Scores'!$C$10:$C$161=$C32),0),
  _xlpm.c, MATCH(BO$8,'3. Enter Indicator Scores'!$D$8:$CZ$8,0),
  _xlpm.v, IFERROR(INDEX('3. Enter Indicator Scores'!$D$10:$CZ$161,_xlpm.r,_xlpm.c),""),
  IF(OR(_xlpm.w="",_xlpm.v=""),"",_xlpm.v*_xlpm.w)
)</f>
        <v/>
      </c>
      <c r="BP32" s="93" t="str" cm="1">
        <f t="array" ref="BP32">_xlfn.LET(
  _xlpm.w, BP$11,
  _xlpm.r, MATCH(1,('3. Enter Indicator Scores'!$B$10:$B$161=$B32)*('3. Enter Indicator Scores'!$C$10:$C$161=$C32),0),
  _xlpm.c, MATCH(BP$8,'3. Enter Indicator Scores'!$D$8:$CZ$8,0),
  _xlpm.v, IFERROR(INDEX('3. Enter Indicator Scores'!$D$10:$CZ$161,_xlpm.r,_xlpm.c),""),
  IF(OR(_xlpm.w="",_xlpm.v=""),"",_xlpm.v*_xlpm.w)
)</f>
        <v/>
      </c>
      <c r="BQ32" s="93" t="str" cm="1">
        <f t="array" ref="BQ32">_xlfn.LET(
  _xlpm.w, BQ$11,
  _xlpm.r, MATCH(1,('3. Enter Indicator Scores'!$B$10:$B$161=$B32)*('3. Enter Indicator Scores'!$C$10:$C$161=$C32),0),
  _xlpm.c, MATCH(BQ$8,'3. Enter Indicator Scores'!$D$8:$CZ$8,0),
  _xlpm.v, IFERROR(INDEX('3. Enter Indicator Scores'!$D$10:$CZ$161,_xlpm.r,_xlpm.c),""),
  IF(OR(_xlpm.w="",_xlpm.v=""),"",_xlpm.v*_xlpm.w)
)</f>
        <v/>
      </c>
      <c r="BR32" s="93" t="str" cm="1">
        <f t="array" ref="BR32">_xlfn.LET(
  _xlpm.w, BR$11,
  _xlpm.r, MATCH(1,('3. Enter Indicator Scores'!$B$10:$B$161=$B32)*('3. Enter Indicator Scores'!$C$10:$C$161=$C32),0),
  _xlpm.c, MATCH(BR$8,'3. Enter Indicator Scores'!$D$8:$CZ$8,0),
  _xlpm.v, IFERROR(INDEX('3. Enter Indicator Scores'!$D$10:$CZ$161,_xlpm.r,_xlpm.c),""),
  IF(OR(_xlpm.w="",_xlpm.v=""),"",_xlpm.v*_xlpm.w)
)</f>
        <v/>
      </c>
      <c r="BS32" s="93" t="str" cm="1">
        <f t="array" ref="BS32">_xlfn.LET(
  _xlpm.w, BS$11,
  _xlpm.r, MATCH(1,('3. Enter Indicator Scores'!$B$10:$B$161=$B32)*('3. Enter Indicator Scores'!$C$10:$C$161=$C32),0),
  _xlpm.c, MATCH(BS$8,'3. Enter Indicator Scores'!$D$8:$CZ$8,0),
  _xlpm.v, IFERROR(INDEX('3. Enter Indicator Scores'!$D$10:$CZ$161,_xlpm.r,_xlpm.c),""),
  IF(OR(_xlpm.w="",_xlpm.v=""),"",_xlpm.v*_xlpm.w)
)</f>
        <v/>
      </c>
      <c r="BT32" s="93" t="str" cm="1">
        <f t="array" ref="BT32">_xlfn.LET(
  _xlpm.w, BT$11,
  _xlpm.r, MATCH(1,('3. Enter Indicator Scores'!$B$10:$B$161=$B32)*('3. Enter Indicator Scores'!$C$10:$C$161=$C32),0),
  _xlpm.c, MATCH(BT$8,'3. Enter Indicator Scores'!$D$8:$CZ$8,0),
  _xlpm.v, IFERROR(INDEX('3. Enter Indicator Scores'!$D$10:$CZ$161,_xlpm.r,_xlpm.c),""),
  IF(OR(_xlpm.w="",_xlpm.v=""),"",_xlpm.v*_xlpm.w)
)</f>
        <v/>
      </c>
      <c r="BU32" s="93" t="str" cm="1">
        <f t="array" ref="BU32">_xlfn.LET(
  _xlpm.w, BU$11,
  _xlpm.r, MATCH(1,('3. Enter Indicator Scores'!$B$10:$B$161=$B32)*('3. Enter Indicator Scores'!$C$10:$C$161=$C32),0),
  _xlpm.c, MATCH(BU$8,'3. Enter Indicator Scores'!$D$8:$CZ$8,0),
  _xlpm.v, IFERROR(INDEX('3. Enter Indicator Scores'!$D$10:$CZ$161,_xlpm.r,_xlpm.c),""),
  IF(OR(_xlpm.w="",_xlpm.v=""),"",_xlpm.v*_xlpm.w)
)</f>
        <v/>
      </c>
      <c r="BV32" s="93" t="str" cm="1">
        <f t="array" ref="BV32">_xlfn.LET(
  _xlpm.w, BV$11,
  _xlpm.r, MATCH(1,('3. Enter Indicator Scores'!$B$10:$B$161=$B32)*('3. Enter Indicator Scores'!$C$10:$C$161=$C32),0),
  _xlpm.c, MATCH(BV$8,'3. Enter Indicator Scores'!$D$8:$CZ$8,0),
  _xlpm.v, IFERROR(INDEX('3. Enter Indicator Scores'!$D$10:$CZ$161,_xlpm.r,_xlpm.c),""),
  IF(OR(_xlpm.w="",_xlpm.v=""),"",_xlpm.v*_xlpm.w)
)</f>
        <v/>
      </c>
      <c r="BW32" s="93" t="str" cm="1">
        <f t="array" ref="BW32">_xlfn.LET(
  _xlpm.w, BW$11,
  _xlpm.r, MATCH(1,('3. Enter Indicator Scores'!$B$10:$B$161=$B32)*('3. Enter Indicator Scores'!$C$10:$C$161=$C32),0),
  _xlpm.c, MATCH(BW$8,'3. Enter Indicator Scores'!$D$8:$CZ$8,0),
  _xlpm.v, IFERROR(INDEX('3. Enter Indicator Scores'!$D$10:$CZ$161,_xlpm.r,_xlpm.c),""),
  IF(OR(_xlpm.w="",_xlpm.v=""),"",_xlpm.v*_xlpm.w)
)</f>
        <v/>
      </c>
      <c r="BX32" s="93" t="str" cm="1">
        <f t="array" ref="BX32">_xlfn.LET(
  _xlpm.w, BX$11,
  _xlpm.r, MATCH(1,('3. Enter Indicator Scores'!$B$10:$B$161=$B32)*('3. Enter Indicator Scores'!$C$10:$C$161=$C32),0),
  _xlpm.c, MATCH(BX$8,'3. Enter Indicator Scores'!$D$8:$CZ$8,0),
  _xlpm.v, IFERROR(INDEX('3. Enter Indicator Scores'!$D$10:$CZ$161,_xlpm.r,_xlpm.c),""),
  IF(OR(_xlpm.w="",_xlpm.v=""),"",_xlpm.v*_xlpm.w)
)</f>
        <v/>
      </c>
      <c r="BY32" s="93" t="str" cm="1">
        <f t="array" ref="BY32">_xlfn.LET(
  _xlpm.w, BY$11,
  _xlpm.r, MATCH(1,('3. Enter Indicator Scores'!$B$10:$B$161=$B32)*('3. Enter Indicator Scores'!$C$10:$C$161=$C32),0),
  _xlpm.c, MATCH(BY$8,'3. Enter Indicator Scores'!$D$8:$CZ$8,0),
  _xlpm.v, IFERROR(INDEX('3. Enter Indicator Scores'!$D$10:$CZ$161,_xlpm.r,_xlpm.c),""),
  IF(OR(_xlpm.w="",_xlpm.v=""),"",_xlpm.v*_xlpm.w)
)</f>
        <v/>
      </c>
      <c r="BZ32" s="93" t="str" cm="1">
        <f t="array" ref="BZ32">_xlfn.LET(
  _xlpm.w, BZ$11,
  _xlpm.r, MATCH(1,('3. Enter Indicator Scores'!$B$10:$B$161=$B32)*('3. Enter Indicator Scores'!$C$10:$C$161=$C32),0),
  _xlpm.c, MATCH(BZ$8,'3. Enter Indicator Scores'!$D$8:$CZ$8,0),
  _xlpm.v, IFERROR(INDEX('3. Enter Indicator Scores'!$D$10:$CZ$161,_xlpm.r,_xlpm.c),""),
  IF(OR(_xlpm.w="",_xlpm.v=""),"",_xlpm.v*_xlpm.w)
)</f>
        <v/>
      </c>
      <c r="CA32" s="93" t="str" cm="1">
        <f t="array" ref="CA32">_xlfn.LET(
  _xlpm.w, CA$11,
  _xlpm.r, MATCH(1,('3. Enter Indicator Scores'!$B$10:$B$161=$B32)*('3. Enter Indicator Scores'!$C$10:$C$161=$C32),0),
  _xlpm.c, MATCH(CA$8,'3. Enter Indicator Scores'!$D$8:$CZ$8,0),
  _xlpm.v, IFERROR(INDEX('3. Enter Indicator Scores'!$D$10:$CZ$161,_xlpm.r,_xlpm.c),""),
  IF(OR(_xlpm.w="",_xlpm.v=""),"",_xlpm.v*_xlpm.w)
)</f>
        <v/>
      </c>
      <c r="CB32" s="93" t="str" cm="1">
        <f t="array" ref="CB32">_xlfn.LET(
  _xlpm.w, CB$11,
  _xlpm.r, MATCH(1,('3. Enter Indicator Scores'!$B$10:$B$161=$B32)*('3. Enter Indicator Scores'!$C$10:$C$161=$C32),0),
  _xlpm.c, MATCH(CB$8,'3. Enter Indicator Scores'!$D$8:$CZ$8,0),
  _xlpm.v, IFERROR(INDEX('3. Enter Indicator Scores'!$D$10:$CZ$161,_xlpm.r,_xlpm.c),""),
  IF(OR(_xlpm.w="",_xlpm.v=""),"",_xlpm.v*_xlpm.w)
)</f>
        <v/>
      </c>
      <c r="CC32" s="93" t="str" cm="1">
        <f t="array" ref="CC32">_xlfn.LET(
  _xlpm.w, CC$11,
  _xlpm.r, MATCH(1,('3. Enter Indicator Scores'!$B$10:$B$161=$B32)*('3. Enter Indicator Scores'!$C$10:$C$161=$C32),0),
  _xlpm.c, MATCH(CC$8,'3. Enter Indicator Scores'!$D$8:$CZ$8,0),
  _xlpm.v, IFERROR(INDEX('3. Enter Indicator Scores'!$D$10:$CZ$161,_xlpm.r,_xlpm.c),""),
  IF(OR(_xlpm.w="",_xlpm.v=""),"",_xlpm.v*_xlpm.w)
)</f>
        <v/>
      </c>
      <c r="CD32" s="93" t="str" cm="1">
        <f t="array" ref="CD32">_xlfn.LET(
  _xlpm.w, CD$11,
  _xlpm.r, MATCH(1,('3. Enter Indicator Scores'!$B$10:$B$161=$B32)*('3. Enter Indicator Scores'!$C$10:$C$161=$C32),0),
  _xlpm.c, MATCH(CD$8,'3. Enter Indicator Scores'!$D$8:$CZ$8,0),
  _xlpm.v, IFERROR(INDEX('3. Enter Indicator Scores'!$D$10:$CZ$161,_xlpm.r,_xlpm.c),""),
  IF(OR(_xlpm.w="",_xlpm.v=""),"",_xlpm.v*_xlpm.w)
)</f>
        <v/>
      </c>
      <c r="CE32" s="93" t="str" cm="1">
        <f t="array" ref="CE32">_xlfn.LET(
  _xlpm.w, CE$11,
  _xlpm.r, MATCH(1,('3. Enter Indicator Scores'!$B$10:$B$161=$B32)*('3. Enter Indicator Scores'!$C$10:$C$161=$C32),0),
  _xlpm.c, MATCH(CE$8,'3. Enter Indicator Scores'!$D$8:$CZ$8,0),
  _xlpm.v, IFERROR(INDEX('3. Enter Indicator Scores'!$D$10:$CZ$161,_xlpm.r,_xlpm.c),""),
  IF(OR(_xlpm.w="",_xlpm.v=""),"",_xlpm.v*_xlpm.w)
)</f>
        <v/>
      </c>
      <c r="CF32" s="93" t="str" cm="1">
        <f t="array" ref="CF32">_xlfn.LET(
  _xlpm.w, CF$11,
  _xlpm.r, MATCH(1,('3. Enter Indicator Scores'!$B$10:$B$161=$B32)*('3. Enter Indicator Scores'!$C$10:$C$161=$C32),0),
  _xlpm.c, MATCH(CF$8,'3. Enter Indicator Scores'!$D$8:$CZ$8,0),
  _xlpm.v, IFERROR(INDEX('3. Enter Indicator Scores'!$D$10:$CZ$161,_xlpm.r,_xlpm.c),""),
  IF(OR(_xlpm.w="",_xlpm.v=""),"",_xlpm.v*_xlpm.w)
)</f>
        <v/>
      </c>
      <c r="CG32" s="93" t="str" cm="1">
        <f t="array" ref="CG32">_xlfn.LET(
  _xlpm.w, CG$11,
  _xlpm.r, MATCH(1,('3. Enter Indicator Scores'!$B$10:$B$161=$B32)*('3. Enter Indicator Scores'!$C$10:$C$161=$C32),0),
  _xlpm.c, MATCH(CG$8,'3. Enter Indicator Scores'!$D$8:$CZ$8,0),
  _xlpm.v, IFERROR(INDEX('3. Enter Indicator Scores'!$D$10:$CZ$161,_xlpm.r,_xlpm.c),""),
  IF(OR(_xlpm.w="",_xlpm.v=""),"",_xlpm.v*_xlpm.w)
)</f>
        <v/>
      </c>
      <c r="CH32" s="93" t="str" cm="1">
        <f t="array" ref="CH32">_xlfn.LET(
  _xlpm.w, CH$11,
  _xlpm.r, MATCH(1,('3. Enter Indicator Scores'!$B$10:$B$161=$B32)*('3. Enter Indicator Scores'!$C$10:$C$161=$C32),0),
  _xlpm.c, MATCH(CH$8,'3. Enter Indicator Scores'!$D$8:$CZ$8,0),
  _xlpm.v, IFERROR(INDEX('3. Enter Indicator Scores'!$D$10:$CZ$161,_xlpm.r,_xlpm.c),""),
  IF(OR(_xlpm.w="",_xlpm.v=""),"",_xlpm.v*_xlpm.w)
)</f>
        <v/>
      </c>
      <c r="CI32" s="93" t="str" cm="1">
        <f t="array" ref="CI32">_xlfn.LET(
  _xlpm.w, CI$11,
  _xlpm.r, MATCH(1,('3. Enter Indicator Scores'!$B$10:$B$161=$B32)*('3. Enter Indicator Scores'!$C$10:$C$161=$C32),0),
  _xlpm.c, MATCH(CI$8,'3. Enter Indicator Scores'!$D$8:$CZ$8,0),
  _xlpm.v, IFERROR(INDEX('3. Enter Indicator Scores'!$D$10:$CZ$161,_xlpm.r,_xlpm.c),""),
  IF(OR(_xlpm.w="",_xlpm.v=""),"",_xlpm.v*_xlpm.w)
)</f>
        <v/>
      </c>
      <c r="CJ32" s="93" t="str" cm="1">
        <f t="array" ref="CJ32">_xlfn.LET(
  _xlpm.w, CJ$11,
  _xlpm.r, MATCH(1,('3. Enter Indicator Scores'!$B$10:$B$161=$B32)*('3. Enter Indicator Scores'!$C$10:$C$161=$C32),0),
  _xlpm.c, MATCH(CJ$8,'3. Enter Indicator Scores'!$D$8:$CZ$8,0),
  _xlpm.v, IFERROR(INDEX('3. Enter Indicator Scores'!$D$10:$CZ$161,_xlpm.r,_xlpm.c),""),
  IF(OR(_xlpm.w="",_xlpm.v=""),"",_xlpm.v*_xlpm.w)
)</f>
        <v/>
      </c>
      <c r="CK32" s="93" t="str" cm="1">
        <f t="array" ref="CK32">_xlfn.LET(
  _xlpm.w, CK$11,
  _xlpm.r, MATCH(1,('3. Enter Indicator Scores'!$B$10:$B$161=$B32)*('3. Enter Indicator Scores'!$C$10:$C$161=$C32),0),
  _xlpm.c, MATCH(CK$8,'3. Enter Indicator Scores'!$D$8:$CZ$8,0),
  _xlpm.v, IFERROR(INDEX('3. Enter Indicator Scores'!$D$10:$CZ$161,_xlpm.r,_xlpm.c),""),
  IF(OR(_xlpm.w="",_xlpm.v=""),"",_xlpm.v*_xlpm.w)
)</f>
        <v/>
      </c>
      <c r="CL32" s="93" t="str" cm="1">
        <f t="array" ref="CL32">_xlfn.LET(
  _xlpm.w, CL$11,
  _xlpm.r, MATCH(1,('3. Enter Indicator Scores'!$B$10:$B$161=$B32)*('3. Enter Indicator Scores'!$C$10:$C$161=$C32),0),
  _xlpm.c, MATCH(CL$8,'3. Enter Indicator Scores'!$D$8:$CZ$8,0),
  _xlpm.v, IFERROR(INDEX('3. Enter Indicator Scores'!$D$10:$CZ$161,_xlpm.r,_xlpm.c),""),
  IF(OR(_xlpm.w="",_xlpm.v=""),"",_xlpm.v*_xlpm.w)
)</f>
        <v/>
      </c>
      <c r="CM32" s="93" t="str" cm="1">
        <f t="array" ref="CM32">_xlfn.LET(
  _xlpm.w, CM$11,
  _xlpm.r, MATCH(1,('3. Enter Indicator Scores'!$B$10:$B$161=$B32)*('3. Enter Indicator Scores'!$C$10:$C$161=$C32),0),
  _xlpm.c, MATCH(CM$8,'3. Enter Indicator Scores'!$D$8:$CZ$8,0),
  _xlpm.v, IFERROR(INDEX('3. Enter Indicator Scores'!$D$10:$CZ$161,_xlpm.r,_xlpm.c),""),
  IF(OR(_xlpm.w="",_xlpm.v=""),"",_xlpm.v*_xlpm.w)
)</f>
        <v/>
      </c>
      <c r="CN32" s="93" t="str" cm="1">
        <f t="array" ref="CN32">_xlfn.LET(
  _xlpm.w, CN$11,
  _xlpm.r, MATCH(1,('3. Enter Indicator Scores'!$B$10:$B$161=$B32)*('3. Enter Indicator Scores'!$C$10:$C$161=$C32),0),
  _xlpm.c, MATCH(CN$8,'3. Enter Indicator Scores'!$D$8:$CZ$8,0),
  _xlpm.v, IFERROR(INDEX('3. Enter Indicator Scores'!$D$10:$CZ$161,_xlpm.r,_xlpm.c),""),
  IF(OR(_xlpm.w="",_xlpm.v=""),"",_xlpm.v*_xlpm.w)
)</f>
        <v/>
      </c>
      <c r="CO32" s="93" t="str" cm="1">
        <f t="array" ref="CO32">_xlfn.LET(
  _xlpm.w, CO$11,
  _xlpm.r, MATCH(1,('3. Enter Indicator Scores'!$B$10:$B$161=$B32)*('3. Enter Indicator Scores'!$C$10:$C$161=$C32),0),
  _xlpm.c, MATCH(CO$8,'3. Enter Indicator Scores'!$D$8:$CZ$8,0),
  _xlpm.v, IFERROR(INDEX('3. Enter Indicator Scores'!$D$10:$CZ$161,_xlpm.r,_xlpm.c),""),
  IF(OR(_xlpm.w="",_xlpm.v=""),"",_xlpm.v*_xlpm.w)
)</f>
        <v/>
      </c>
      <c r="CP32" s="93" t="str" cm="1">
        <f t="array" ref="CP32">_xlfn.LET(
  _xlpm.w, CP$11,
  _xlpm.r, MATCH(1,('3. Enter Indicator Scores'!$B$10:$B$161=$B32)*('3. Enter Indicator Scores'!$C$10:$C$161=$C32),0),
  _xlpm.c, MATCH(CP$8,'3. Enter Indicator Scores'!$D$8:$CZ$8,0),
  _xlpm.v, IFERROR(INDEX('3. Enter Indicator Scores'!$D$10:$CZ$161,_xlpm.r,_xlpm.c),""),
  IF(OR(_xlpm.w="",_xlpm.v=""),"",_xlpm.v*_xlpm.w)
)</f>
        <v/>
      </c>
      <c r="CQ32" s="93" t="str" cm="1">
        <f t="array" ref="CQ32">_xlfn.LET(
  _xlpm.w, CQ$11,
  _xlpm.r, MATCH(1,('3. Enter Indicator Scores'!$B$10:$B$161=$B32)*('3. Enter Indicator Scores'!$C$10:$C$161=$C32),0),
  _xlpm.c, MATCH(CQ$8,'3. Enter Indicator Scores'!$D$8:$CZ$8,0),
  _xlpm.v, IFERROR(INDEX('3. Enter Indicator Scores'!$D$10:$CZ$161,_xlpm.r,_xlpm.c),""),
  IF(OR(_xlpm.w="",_xlpm.v=""),"",_xlpm.v*_xlpm.w)
)</f>
        <v/>
      </c>
      <c r="CR32" s="93" t="str" cm="1">
        <f t="array" ref="CR32">_xlfn.LET(
  _xlpm.w, CR$11,
  _xlpm.r, MATCH(1,('3. Enter Indicator Scores'!$B$10:$B$161=$B32)*('3. Enter Indicator Scores'!$C$10:$C$161=$C32),0),
  _xlpm.c, MATCH(CR$8,'3. Enter Indicator Scores'!$D$8:$CZ$8,0),
  _xlpm.v, IFERROR(INDEX('3. Enter Indicator Scores'!$D$10:$CZ$161,_xlpm.r,_xlpm.c),""),
  IF(OR(_xlpm.w="",_xlpm.v=""),"",_xlpm.v*_xlpm.w)
)</f>
        <v/>
      </c>
      <c r="CS32" s="93" t="str" cm="1">
        <f t="array" ref="CS32">_xlfn.LET(
  _xlpm.w, CS$11,
  _xlpm.r, MATCH(1,('3. Enter Indicator Scores'!$B$10:$B$161=$B32)*('3. Enter Indicator Scores'!$C$10:$C$161=$C32),0),
  _xlpm.c, MATCH(CS$8,'3. Enter Indicator Scores'!$D$8:$CZ$8,0),
  _xlpm.v, IFERROR(INDEX('3. Enter Indicator Scores'!$D$10:$CZ$161,_xlpm.r,_xlpm.c),""),
  IF(OR(_xlpm.w="",_xlpm.v=""),"",_xlpm.v*_xlpm.w)
)</f>
        <v/>
      </c>
      <c r="CT32" s="93" t="str" cm="1">
        <f t="array" ref="CT32">_xlfn.LET(
  _xlpm.w, CT$11,
  _xlpm.r, MATCH(1,('3. Enter Indicator Scores'!$B$10:$B$161=$B32)*('3. Enter Indicator Scores'!$C$10:$C$161=$C32),0),
  _xlpm.c, MATCH(CT$8,'3. Enter Indicator Scores'!$D$8:$CZ$8,0),
  _xlpm.v, IFERROR(INDEX('3. Enter Indicator Scores'!$D$10:$CZ$161,_xlpm.r,_xlpm.c),""),
  IF(OR(_xlpm.w="",_xlpm.v=""),"",_xlpm.v*_xlpm.w)
)</f>
        <v/>
      </c>
      <c r="CU32" s="93" t="str" cm="1">
        <f t="array" ref="CU32">_xlfn.LET(
  _xlpm.w, CU$11,
  _xlpm.r, MATCH(1,('3. Enter Indicator Scores'!$B$10:$B$161=$B32)*('3. Enter Indicator Scores'!$C$10:$C$161=$C32),0),
  _xlpm.c, MATCH(CU$8,'3. Enter Indicator Scores'!$D$8:$CZ$8,0),
  _xlpm.v, IFERROR(INDEX('3. Enter Indicator Scores'!$D$10:$CZ$161,_xlpm.r,_xlpm.c),""),
  IF(OR(_xlpm.w="",_xlpm.v=""),"",_xlpm.v*_xlpm.w)
)</f>
        <v/>
      </c>
      <c r="CV32" s="93" t="str" cm="1">
        <f t="array" ref="CV32">_xlfn.LET(
  _xlpm.w, CV$11,
  _xlpm.r, MATCH(1,('3. Enter Indicator Scores'!$B$10:$B$161=$B32)*('3. Enter Indicator Scores'!$C$10:$C$161=$C32),0),
  _xlpm.c, MATCH(CV$8,'3. Enter Indicator Scores'!$D$8:$CZ$8,0),
  _xlpm.v, IFERROR(INDEX('3. Enter Indicator Scores'!$D$10:$CZ$161,_xlpm.r,_xlpm.c),""),
  IF(OR(_xlpm.w="",_xlpm.v=""),"",_xlpm.v*_xlpm.w)
)</f>
        <v/>
      </c>
      <c r="CW32" s="93" t="str" cm="1">
        <f t="array" ref="CW32">_xlfn.LET(
  _xlpm.w, CW$11,
  _xlpm.r, MATCH(1,('3. Enter Indicator Scores'!$B$10:$B$161=$B32)*('3. Enter Indicator Scores'!$C$10:$C$161=$C32),0),
  _xlpm.c, MATCH(CW$8,'3. Enter Indicator Scores'!$D$8:$CZ$8,0),
  _xlpm.v, IFERROR(INDEX('3. Enter Indicator Scores'!$D$10:$CZ$161,_xlpm.r,_xlpm.c),""),
  IF(OR(_xlpm.w="",_xlpm.v=""),"",_xlpm.v*_xlpm.w)
)</f>
        <v/>
      </c>
      <c r="CX32" s="93" t="str" cm="1">
        <f t="array" ref="CX32">_xlfn.LET(
  _xlpm.w, CX$11,
  _xlpm.r, MATCH(1,('3. Enter Indicator Scores'!$B$10:$B$161=$B32)*('3. Enter Indicator Scores'!$C$10:$C$161=$C32),0),
  _xlpm.c, MATCH(CX$8,'3. Enter Indicator Scores'!$D$8:$CZ$8,0),
  _xlpm.v, IFERROR(INDEX('3. Enter Indicator Scores'!$D$10:$CZ$161,_xlpm.r,_xlpm.c),""),
  IF(OR(_xlpm.w="",_xlpm.v=""),"",_xlpm.v*_xlpm.w)
)</f>
        <v/>
      </c>
      <c r="CY32" s="93" t="str" cm="1">
        <f t="array" ref="CY32">_xlfn.LET(
  _xlpm.w, CY$11,
  _xlpm.r, MATCH(1,('3. Enter Indicator Scores'!$B$10:$B$161=$B32)*('3. Enter Indicator Scores'!$C$10:$C$161=$C32),0),
  _xlpm.c, MATCH(CY$8,'3. Enter Indicator Scores'!$D$8:$CZ$8,0),
  _xlpm.v, IFERROR(INDEX('3. Enter Indicator Scores'!$D$10:$CZ$161,_xlpm.r,_xlpm.c),""),
  IF(OR(_xlpm.w="",_xlpm.v=""),"",_xlpm.v*_xlpm.w)
)</f>
        <v/>
      </c>
      <c r="CZ32" s="93" t="str" cm="1">
        <f t="array" ref="CZ32">_xlfn.LET(
  _xlpm.w, CZ$11,
  _xlpm.r, MATCH(1,('3. Enter Indicator Scores'!$B$10:$B$161=$B32)*('3. Enter Indicator Scores'!$C$10:$C$161=$C32),0),
  _xlpm.c, MATCH(CZ$8,'3. Enter Indicator Scores'!$D$8:$CZ$8,0),
  _xlpm.v, IFERROR(INDEX('3. Enter Indicator Scores'!$D$10:$CZ$161,_xlpm.r,_xlpm.c),""),
  IF(OR(_xlpm.w="",_xlpm.v=""),"",_xlpm.v*_xlpm.w)
)</f>
        <v/>
      </c>
    </row>
    <row r="33" spans="4:104" x14ac:dyDescent="0.2">
      <c r="D33" s="93" t="str" cm="1">
        <f t="array" ref="D33">_xlfn.LET(
  _xlpm.w, D$11,
  _xlpm.r, MATCH(1,('3. Enter Indicator Scores'!$B$10:$B$161=$B33)*('3. Enter Indicator Scores'!$C$10:$C$161=$C33),0),
  _xlpm.c, MATCH(D$8,'3. Enter Indicator Scores'!$D$8:$CZ$8,0),
  _xlpm.v, IFERROR(INDEX('3. Enter Indicator Scores'!$D$10:$CZ$161,_xlpm.r,_xlpm.c),""),
  IF(OR(_xlpm.w="",_xlpm.v=""),"",_xlpm.v*_xlpm.w)
)</f>
        <v/>
      </c>
      <c r="E33" s="93" t="str" cm="1">
        <f t="array" ref="E33">_xlfn.LET(
  _xlpm.w, E$11,
  _xlpm.r, MATCH(1,('3. Enter Indicator Scores'!$B$10:$B$161=$B33)*('3. Enter Indicator Scores'!$C$10:$C$161=$C33),0),
  _xlpm.c, MATCH(E$8,'3. Enter Indicator Scores'!$D$8:$CZ$8,0),
  _xlpm.v, IFERROR(INDEX('3. Enter Indicator Scores'!$D$10:$CZ$161,_xlpm.r,_xlpm.c),""),
  IF(OR(_xlpm.w="",_xlpm.v=""),"",_xlpm.v*_xlpm.w)
)</f>
        <v/>
      </c>
      <c r="F33" s="93" t="str" cm="1">
        <f t="array" ref="F33">_xlfn.LET(
  _xlpm.w, F$11,
  _xlpm.r, MATCH(1,('3. Enter Indicator Scores'!$B$10:$B$161=$B33)*('3. Enter Indicator Scores'!$C$10:$C$161=$C33),0),
  _xlpm.c, MATCH(F$8,'3. Enter Indicator Scores'!$D$8:$CZ$8,0),
  _xlpm.v, IFERROR(INDEX('3. Enter Indicator Scores'!$D$10:$CZ$161,_xlpm.r,_xlpm.c),""),
  IF(OR(_xlpm.w="",_xlpm.v=""),"",_xlpm.v*_xlpm.w)
)</f>
        <v/>
      </c>
      <c r="G33" s="93" t="str" cm="1">
        <f t="array" ref="G33">_xlfn.LET(
  _xlpm.w, G$11,
  _xlpm.r, MATCH(1,('3. Enter Indicator Scores'!$B$10:$B$161=$B33)*('3. Enter Indicator Scores'!$C$10:$C$161=$C33),0),
  _xlpm.c, MATCH(G$8,'3. Enter Indicator Scores'!$D$8:$CZ$8,0),
  _xlpm.v, IFERROR(INDEX('3. Enter Indicator Scores'!$D$10:$CZ$161,_xlpm.r,_xlpm.c),""),
  IF(OR(_xlpm.w="",_xlpm.v=""),"",_xlpm.v*_xlpm.w)
)</f>
        <v/>
      </c>
      <c r="H33" s="93" t="str" cm="1">
        <f t="array" ref="H33">_xlfn.LET(
  _xlpm.w, H$11,
  _xlpm.r, MATCH(1,('3. Enter Indicator Scores'!$B$10:$B$161=$B33)*('3. Enter Indicator Scores'!$C$10:$C$161=$C33),0),
  _xlpm.c, MATCH(H$8,'3. Enter Indicator Scores'!$D$8:$CZ$8,0),
  _xlpm.v, IFERROR(INDEX('3. Enter Indicator Scores'!$D$10:$CZ$161,_xlpm.r,_xlpm.c),""),
  IF(OR(_xlpm.w="",_xlpm.v=""),"",_xlpm.v*_xlpm.w)
)</f>
        <v/>
      </c>
      <c r="I33" s="93" t="str" cm="1">
        <f t="array" ref="I33">_xlfn.LET(
  _xlpm.w, I$11,
  _xlpm.r, MATCH(1,('3. Enter Indicator Scores'!$B$10:$B$161=$B33)*('3. Enter Indicator Scores'!$C$10:$C$161=$C33),0),
  _xlpm.c, MATCH(I$8,'3. Enter Indicator Scores'!$D$8:$CZ$8,0),
  _xlpm.v, IFERROR(INDEX('3. Enter Indicator Scores'!$D$10:$CZ$161,_xlpm.r,_xlpm.c),""),
  IF(OR(_xlpm.w="",_xlpm.v=""),"",_xlpm.v*_xlpm.w)
)</f>
        <v/>
      </c>
      <c r="J33" s="93" t="str" cm="1">
        <f t="array" ref="J33">_xlfn.LET(
  _xlpm.w, J$11,
  _xlpm.r, MATCH(1,('3. Enter Indicator Scores'!$B$10:$B$161=$B33)*('3. Enter Indicator Scores'!$C$10:$C$161=$C33),0),
  _xlpm.c, MATCH(J$8,'3. Enter Indicator Scores'!$D$8:$CZ$8,0),
  _xlpm.v, IFERROR(INDEX('3. Enter Indicator Scores'!$D$10:$CZ$161,_xlpm.r,_xlpm.c),""),
  IF(OR(_xlpm.w="",_xlpm.v=""),"",_xlpm.v*_xlpm.w)
)</f>
        <v/>
      </c>
      <c r="K33" s="93" t="str" cm="1">
        <f t="array" ref="K33">_xlfn.LET(
  _xlpm.w, K$11,
  _xlpm.r, MATCH(1,('3. Enter Indicator Scores'!$B$10:$B$161=$B33)*('3. Enter Indicator Scores'!$C$10:$C$161=$C33),0),
  _xlpm.c, MATCH(K$8,'3. Enter Indicator Scores'!$D$8:$CZ$8,0),
  _xlpm.v, IFERROR(INDEX('3. Enter Indicator Scores'!$D$10:$CZ$161,_xlpm.r,_xlpm.c),""),
  IF(OR(_xlpm.w="",_xlpm.v=""),"",_xlpm.v*_xlpm.w)
)</f>
        <v/>
      </c>
      <c r="L33" s="93" t="str" cm="1">
        <f t="array" ref="L33">_xlfn.LET(
  _xlpm.w, L$11,
  _xlpm.r, MATCH(1,('3. Enter Indicator Scores'!$B$10:$B$161=$B33)*('3. Enter Indicator Scores'!$C$10:$C$161=$C33),0),
  _xlpm.c, MATCH(L$8,'3. Enter Indicator Scores'!$D$8:$CZ$8,0),
  _xlpm.v, IFERROR(INDEX('3. Enter Indicator Scores'!$D$10:$CZ$161,_xlpm.r,_xlpm.c),""),
  IF(OR(_xlpm.w="",_xlpm.v=""),"",_xlpm.v*_xlpm.w)
)</f>
        <v/>
      </c>
      <c r="M33" s="93" t="str" cm="1">
        <f t="array" ref="M33">_xlfn.LET(
  _xlpm.w, M$11,
  _xlpm.r, MATCH(1,('3. Enter Indicator Scores'!$B$10:$B$161=$B33)*('3. Enter Indicator Scores'!$C$10:$C$161=$C33),0),
  _xlpm.c, MATCH(M$8,'3. Enter Indicator Scores'!$D$8:$CZ$8,0),
  _xlpm.v, IFERROR(INDEX('3. Enter Indicator Scores'!$D$10:$CZ$161,_xlpm.r,_xlpm.c),""),
  IF(OR(_xlpm.w="",_xlpm.v=""),"",_xlpm.v*_xlpm.w)
)</f>
        <v/>
      </c>
      <c r="N33" s="93" t="str" cm="1">
        <f t="array" ref="N33">_xlfn.LET(
  _xlpm.w, N$11,
  _xlpm.r, MATCH(1,('3. Enter Indicator Scores'!$B$10:$B$161=$B33)*('3. Enter Indicator Scores'!$C$10:$C$161=$C33),0),
  _xlpm.c, MATCH(N$8,'3. Enter Indicator Scores'!$D$8:$CZ$8,0),
  _xlpm.v, IFERROR(INDEX('3. Enter Indicator Scores'!$D$10:$CZ$161,_xlpm.r,_xlpm.c),""),
  IF(OR(_xlpm.w="",_xlpm.v=""),"",_xlpm.v*_xlpm.w)
)</f>
        <v/>
      </c>
      <c r="O33" s="93" t="str" cm="1">
        <f t="array" ref="O33">_xlfn.LET(
  _xlpm.w, O$11,
  _xlpm.r, MATCH(1,('3. Enter Indicator Scores'!$B$10:$B$161=$B33)*('3. Enter Indicator Scores'!$C$10:$C$161=$C33),0),
  _xlpm.c, MATCH(O$8,'3. Enter Indicator Scores'!$D$8:$CZ$8,0),
  _xlpm.v, IFERROR(INDEX('3. Enter Indicator Scores'!$D$10:$CZ$161,_xlpm.r,_xlpm.c),""),
  IF(OR(_xlpm.w="",_xlpm.v=""),"",_xlpm.v*_xlpm.w)
)</f>
        <v/>
      </c>
      <c r="P33" s="93" t="str" cm="1">
        <f t="array" ref="P33">_xlfn.LET(
  _xlpm.w, P$11,
  _xlpm.r, MATCH(1,('3. Enter Indicator Scores'!$B$10:$B$161=$B33)*('3. Enter Indicator Scores'!$C$10:$C$161=$C33),0),
  _xlpm.c, MATCH(P$8,'3. Enter Indicator Scores'!$D$8:$CZ$8,0),
  _xlpm.v, IFERROR(INDEX('3. Enter Indicator Scores'!$D$10:$CZ$161,_xlpm.r,_xlpm.c),""),
  IF(OR(_xlpm.w="",_xlpm.v=""),"",_xlpm.v*_xlpm.w)
)</f>
        <v/>
      </c>
      <c r="Q33" s="93" t="str" cm="1">
        <f t="array" ref="Q33">_xlfn.LET(
  _xlpm.w, Q$11,
  _xlpm.r, MATCH(1,('3. Enter Indicator Scores'!$B$10:$B$161=$B33)*('3. Enter Indicator Scores'!$C$10:$C$161=$C33),0),
  _xlpm.c, MATCH(Q$8,'3. Enter Indicator Scores'!$D$8:$CZ$8,0),
  _xlpm.v, IFERROR(INDEX('3. Enter Indicator Scores'!$D$10:$CZ$161,_xlpm.r,_xlpm.c),""),
  IF(OR(_xlpm.w="",_xlpm.v=""),"",_xlpm.v*_xlpm.w)
)</f>
        <v/>
      </c>
      <c r="R33" s="93" t="str" cm="1">
        <f t="array" ref="R33">_xlfn.LET(
  _xlpm.w, R$11,
  _xlpm.r, MATCH(1,('3. Enter Indicator Scores'!$B$10:$B$161=$B33)*('3. Enter Indicator Scores'!$C$10:$C$161=$C33),0),
  _xlpm.c, MATCH(R$8,'3. Enter Indicator Scores'!$D$8:$CZ$8,0),
  _xlpm.v, IFERROR(INDEX('3. Enter Indicator Scores'!$D$10:$CZ$161,_xlpm.r,_xlpm.c),""),
  IF(OR(_xlpm.w="",_xlpm.v=""),"",_xlpm.v*_xlpm.w)
)</f>
        <v/>
      </c>
      <c r="S33" s="93" t="str" cm="1">
        <f t="array" ref="S33">_xlfn.LET(
  _xlpm.w, S$11,
  _xlpm.r, MATCH(1,('3. Enter Indicator Scores'!$B$10:$B$161=$B33)*('3. Enter Indicator Scores'!$C$10:$C$161=$C33),0),
  _xlpm.c, MATCH(S$8,'3. Enter Indicator Scores'!$D$8:$CZ$8,0),
  _xlpm.v, IFERROR(INDEX('3. Enter Indicator Scores'!$D$10:$CZ$161,_xlpm.r,_xlpm.c),""),
  IF(OR(_xlpm.w="",_xlpm.v=""),"",_xlpm.v*_xlpm.w)
)</f>
        <v/>
      </c>
      <c r="T33" s="93" t="str" cm="1">
        <f t="array" ref="T33">_xlfn.LET(
  _xlpm.w, T$11,
  _xlpm.r, MATCH(1,('3. Enter Indicator Scores'!$B$10:$B$161=$B33)*('3. Enter Indicator Scores'!$C$10:$C$161=$C33),0),
  _xlpm.c, MATCH(T$8,'3. Enter Indicator Scores'!$D$8:$CZ$8,0),
  _xlpm.v, IFERROR(INDEX('3. Enter Indicator Scores'!$D$10:$CZ$161,_xlpm.r,_xlpm.c),""),
  IF(OR(_xlpm.w="",_xlpm.v=""),"",_xlpm.v*_xlpm.w)
)</f>
        <v/>
      </c>
      <c r="U33" s="93" t="str" cm="1">
        <f t="array" ref="U33">_xlfn.LET(
  _xlpm.w, U$11,
  _xlpm.r, MATCH(1,('3. Enter Indicator Scores'!$B$10:$B$161=$B33)*('3. Enter Indicator Scores'!$C$10:$C$161=$C33),0),
  _xlpm.c, MATCH(U$8,'3. Enter Indicator Scores'!$D$8:$CZ$8,0),
  _xlpm.v, IFERROR(INDEX('3. Enter Indicator Scores'!$D$10:$CZ$161,_xlpm.r,_xlpm.c),""),
  IF(OR(_xlpm.w="",_xlpm.v=""),"",_xlpm.v*_xlpm.w)
)</f>
        <v/>
      </c>
      <c r="V33" s="93" t="str" cm="1">
        <f t="array" ref="V33">_xlfn.LET(
  _xlpm.w, V$11,
  _xlpm.r, MATCH(1,('3. Enter Indicator Scores'!$B$10:$B$161=$B33)*('3. Enter Indicator Scores'!$C$10:$C$161=$C33),0),
  _xlpm.c, MATCH(V$8,'3. Enter Indicator Scores'!$D$8:$CZ$8,0),
  _xlpm.v, IFERROR(INDEX('3. Enter Indicator Scores'!$D$10:$CZ$161,_xlpm.r,_xlpm.c),""),
  IF(OR(_xlpm.w="",_xlpm.v=""),"",_xlpm.v*_xlpm.w)
)</f>
        <v/>
      </c>
      <c r="W33" s="93" t="str" cm="1">
        <f t="array" ref="W33">_xlfn.LET(
  _xlpm.w, W$11,
  _xlpm.r, MATCH(1,('3. Enter Indicator Scores'!$B$10:$B$161=$B33)*('3. Enter Indicator Scores'!$C$10:$C$161=$C33),0),
  _xlpm.c, MATCH(W$8,'3. Enter Indicator Scores'!$D$8:$CZ$8,0),
  _xlpm.v, IFERROR(INDEX('3. Enter Indicator Scores'!$D$10:$CZ$161,_xlpm.r,_xlpm.c),""),
  IF(OR(_xlpm.w="",_xlpm.v=""),"",_xlpm.v*_xlpm.w)
)</f>
        <v/>
      </c>
      <c r="X33" s="93" t="str" cm="1">
        <f t="array" ref="X33">_xlfn.LET(
  _xlpm.w, X$11,
  _xlpm.r, MATCH(1,('3. Enter Indicator Scores'!$B$10:$B$161=$B33)*('3. Enter Indicator Scores'!$C$10:$C$161=$C33),0),
  _xlpm.c, MATCH(X$8,'3. Enter Indicator Scores'!$D$8:$CZ$8,0),
  _xlpm.v, IFERROR(INDEX('3. Enter Indicator Scores'!$D$10:$CZ$161,_xlpm.r,_xlpm.c),""),
  IF(OR(_xlpm.w="",_xlpm.v=""),"",_xlpm.v*_xlpm.w)
)</f>
        <v/>
      </c>
      <c r="Y33" s="93" t="str" cm="1">
        <f t="array" ref="Y33">_xlfn.LET(
  _xlpm.w, Y$11,
  _xlpm.r, MATCH(1,('3. Enter Indicator Scores'!$B$10:$B$161=$B33)*('3. Enter Indicator Scores'!$C$10:$C$161=$C33),0),
  _xlpm.c, MATCH(Y$8,'3. Enter Indicator Scores'!$D$8:$CZ$8,0),
  _xlpm.v, IFERROR(INDEX('3. Enter Indicator Scores'!$D$10:$CZ$161,_xlpm.r,_xlpm.c),""),
  IF(OR(_xlpm.w="",_xlpm.v=""),"",_xlpm.v*_xlpm.w)
)</f>
        <v/>
      </c>
      <c r="Z33" s="93" t="str" cm="1">
        <f t="array" ref="Z33">_xlfn.LET(
  _xlpm.w, Z$11,
  _xlpm.r, MATCH(1,('3. Enter Indicator Scores'!$B$10:$B$161=$B33)*('3. Enter Indicator Scores'!$C$10:$C$161=$C33),0),
  _xlpm.c, MATCH(Z$8,'3. Enter Indicator Scores'!$D$8:$CZ$8,0),
  _xlpm.v, IFERROR(INDEX('3. Enter Indicator Scores'!$D$10:$CZ$161,_xlpm.r,_xlpm.c),""),
  IF(OR(_xlpm.w="",_xlpm.v=""),"",_xlpm.v*_xlpm.w)
)</f>
        <v/>
      </c>
      <c r="AA33" s="93" t="str" cm="1">
        <f t="array" ref="AA33">_xlfn.LET(
  _xlpm.w, AA$11,
  _xlpm.r, MATCH(1,('3. Enter Indicator Scores'!$B$10:$B$161=$B33)*('3. Enter Indicator Scores'!$C$10:$C$161=$C33),0),
  _xlpm.c, MATCH(AA$8,'3. Enter Indicator Scores'!$D$8:$CZ$8,0),
  _xlpm.v, IFERROR(INDEX('3. Enter Indicator Scores'!$D$10:$CZ$161,_xlpm.r,_xlpm.c),""),
  IF(OR(_xlpm.w="",_xlpm.v=""),"",_xlpm.v*_xlpm.w)
)</f>
        <v/>
      </c>
      <c r="AB33" s="93" t="str" cm="1">
        <f t="array" ref="AB33">_xlfn.LET(
  _xlpm.w, AB$11,
  _xlpm.r, MATCH(1,('3. Enter Indicator Scores'!$B$10:$B$161=$B33)*('3. Enter Indicator Scores'!$C$10:$C$161=$C33),0),
  _xlpm.c, MATCH(AB$8,'3. Enter Indicator Scores'!$D$8:$CZ$8,0),
  _xlpm.v, IFERROR(INDEX('3. Enter Indicator Scores'!$D$10:$CZ$161,_xlpm.r,_xlpm.c),""),
  IF(OR(_xlpm.w="",_xlpm.v=""),"",_xlpm.v*_xlpm.w)
)</f>
        <v/>
      </c>
      <c r="AC33" s="93" t="str" cm="1">
        <f t="array" ref="AC33">_xlfn.LET(
  _xlpm.w, AC$11,
  _xlpm.r, MATCH(1,('3. Enter Indicator Scores'!$B$10:$B$161=$B33)*('3. Enter Indicator Scores'!$C$10:$C$161=$C33),0),
  _xlpm.c, MATCH(AC$8,'3. Enter Indicator Scores'!$D$8:$CZ$8,0),
  _xlpm.v, IFERROR(INDEX('3. Enter Indicator Scores'!$D$10:$CZ$161,_xlpm.r,_xlpm.c),""),
  IF(OR(_xlpm.w="",_xlpm.v=""),"",_xlpm.v*_xlpm.w)
)</f>
        <v/>
      </c>
      <c r="AD33" s="93" t="str" cm="1">
        <f t="array" ref="AD33">_xlfn.LET(
  _xlpm.w, AD$11,
  _xlpm.r, MATCH(1,('3. Enter Indicator Scores'!$B$10:$B$161=$B33)*('3. Enter Indicator Scores'!$C$10:$C$161=$C33),0),
  _xlpm.c, MATCH(AD$8,'3. Enter Indicator Scores'!$D$8:$CZ$8,0),
  _xlpm.v, IFERROR(INDEX('3. Enter Indicator Scores'!$D$10:$CZ$161,_xlpm.r,_xlpm.c),""),
  IF(OR(_xlpm.w="",_xlpm.v=""),"",_xlpm.v*_xlpm.w)
)</f>
        <v/>
      </c>
      <c r="AE33" s="93" t="str" cm="1">
        <f t="array" ref="AE33">_xlfn.LET(
  _xlpm.w, AE$11,
  _xlpm.r, MATCH(1,('3. Enter Indicator Scores'!$B$10:$B$161=$B33)*('3. Enter Indicator Scores'!$C$10:$C$161=$C33),0),
  _xlpm.c, MATCH(AE$8,'3. Enter Indicator Scores'!$D$8:$CZ$8,0),
  _xlpm.v, IFERROR(INDEX('3. Enter Indicator Scores'!$D$10:$CZ$161,_xlpm.r,_xlpm.c),""),
  IF(OR(_xlpm.w="",_xlpm.v=""),"",_xlpm.v*_xlpm.w)
)</f>
        <v/>
      </c>
      <c r="AF33" s="93" t="str" cm="1">
        <f t="array" ref="AF33">_xlfn.LET(
  _xlpm.w, AF$11,
  _xlpm.r, MATCH(1,('3. Enter Indicator Scores'!$B$10:$B$161=$B33)*('3. Enter Indicator Scores'!$C$10:$C$161=$C33),0),
  _xlpm.c, MATCH(AF$8,'3. Enter Indicator Scores'!$D$8:$CZ$8,0),
  _xlpm.v, IFERROR(INDEX('3. Enter Indicator Scores'!$D$10:$CZ$161,_xlpm.r,_xlpm.c),""),
  IF(OR(_xlpm.w="",_xlpm.v=""),"",_xlpm.v*_xlpm.w)
)</f>
        <v/>
      </c>
      <c r="AG33" s="93" t="str" cm="1">
        <f t="array" ref="AG33">_xlfn.LET(
  _xlpm.w, AG$11,
  _xlpm.r, MATCH(1,('3. Enter Indicator Scores'!$B$10:$B$161=$B33)*('3. Enter Indicator Scores'!$C$10:$C$161=$C33),0),
  _xlpm.c, MATCH(AG$8,'3. Enter Indicator Scores'!$D$8:$CZ$8,0),
  _xlpm.v, IFERROR(INDEX('3. Enter Indicator Scores'!$D$10:$CZ$161,_xlpm.r,_xlpm.c),""),
  IF(OR(_xlpm.w="",_xlpm.v=""),"",_xlpm.v*_xlpm.w)
)</f>
        <v/>
      </c>
      <c r="AH33" s="93" t="str" cm="1">
        <f t="array" ref="AH33">_xlfn.LET(
  _xlpm.w, AH$11,
  _xlpm.r, MATCH(1,('3. Enter Indicator Scores'!$B$10:$B$161=$B33)*('3. Enter Indicator Scores'!$C$10:$C$161=$C33),0),
  _xlpm.c, MATCH(AH$8,'3. Enter Indicator Scores'!$D$8:$CZ$8,0),
  _xlpm.v, IFERROR(INDEX('3. Enter Indicator Scores'!$D$10:$CZ$161,_xlpm.r,_xlpm.c),""),
  IF(OR(_xlpm.w="",_xlpm.v=""),"",_xlpm.v*_xlpm.w)
)</f>
        <v/>
      </c>
      <c r="AI33" s="93" t="str" cm="1">
        <f t="array" ref="AI33">_xlfn.LET(
  _xlpm.w, AI$11,
  _xlpm.r, MATCH(1,('3. Enter Indicator Scores'!$B$10:$B$161=$B33)*('3. Enter Indicator Scores'!$C$10:$C$161=$C33),0),
  _xlpm.c, MATCH(AI$8,'3. Enter Indicator Scores'!$D$8:$CZ$8,0),
  _xlpm.v, IFERROR(INDEX('3. Enter Indicator Scores'!$D$10:$CZ$161,_xlpm.r,_xlpm.c),""),
  IF(OR(_xlpm.w="",_xlpm.v=""),"",_xlpm.v*_xlpm.w)
)</f>
        <v/>
      </c>
      <c r="AJ33" s="93" t="str" cm="1">
        <f t="array" ref="AJ33">_xlfn.LET(
  _xlpm.w, AJ$11,
  _xlpm.r, MATCH(1,('3. Enter Indicator Scores'!$B$10:$B$161=$B33)*('3. Enter Indicator Scores'!$C$10:$C$161=$C33),0),
  _xlpm.c, MATCH(AJ$8,'3. Enter Indicator Scores'!$D$8:$CZ$8,0),
  _xlpm.v, IFERROR(INDEX('3. Enter Indicator Scores'!$D$10:$CZ$161,_xlpm.r,_xlpm.c),""),
  IF(OR(_xlpm.w="",_xlpm.v=""),"",_xlpm.v*_xlpm.w)
)</f>
        <v/>
      </c>
      <c r="AK33" s="93" t="str" cm="1">
        <f t="array" ref="AK33">_xlfn.LET(
  _xlpm.w, AK$11,
  _xlpm.r, MATCH(1,('3. Enter Indicator Scores'!$B$10:$B$161=$B33)*('3. Enter Indicator Scores'!$C$10:$C$161=$C33),0),
  _xlpm.c, MATCH(AK$8,'3. Enter Indicator Scores'!$D$8:$CZ$8,0),
  _xlpm.v, IFERROR(INDEX('3. Enter Indicator Scores'!$D$10:$CZ$161,_xlpm.r,_xlpm.c),""),
  IF(OR(_xlpm.w="",_xlpm.v=""),"",_xlpm.v*_xlpm.w)
)</f>
        <v/>
      </c>
      <c r="AL33" s="93" t="str" cm="1">
        <f t="array" ref="AL33">_xlfn.LET(
  _xlpm.w, AL$11,
  _xlpm.r, MATCH(1,('3. Enter Indicator Scores'!$B$10:$B$161=$B33)*('3. Enter Indicator Scores'!$C$10:$C$161=$C33),0),
  _xlpm.c, MATCH(AL$8,'3. Enter Indicator Scores'!$D$8:$CZ$8,0),
  _xlpm.v, IFERROR(INDEX('3. Enter Indicator Scores'!$D$10:$CZ$161,_xlpm.r,_xlpm.c),""),
  IF(OR(_xlpm.w="",_xlpm.v=""),"",_xlpm.v*_xlpm.w)
)</f>
        <v/>
      </c>
      <c r="AM33" s="93" t="str" cm="1">
        <f t="array" ref="AM33">_xlfn.LET(
  _xlpm.w, AM$11,
  _xlpm.r, MATCH(1,('3. Enter Indicator Scores'!$B$10:$B$161=$B33)*('3. Enter Indicator Scores'!$C$10:$C$161=$C33),0),
  _xlpm.c, MATCH(AM$8,'3. Enter Indicator Scores'!$D$8:$CZ$8,0),
  _xlpm.v, IFERROR(INDEX('3. Enter Indicator Scores'!$D$10:$CZ$161,_xlpm.r,_xlpm.c),""),
  IF(OR(_xlpm.w="",_xlpm.v=""),"",_xlpm.v*_xlpm.w)
)</f>
        <v/>
      </c>
      <c r="AN33" s="93" t="str" cm="1">
        <f t="array" ref="AN33">_xlfn.LET(
  _xlpm.w, AN$11,
  _xlpm.r, MATCH(1,('3. Enter Indicator Scores'!$B$10:$B$161=$B33)*('3. Enter Indicator Scores'!$C$10:$C$161=$C33),0),
  _xlpm.c, MATCH(AN$8,'3. Enter Indicator Scores'!$D$8:$CZ$8,0),
  _xlpm.v, IFERROR(INDEX('3. Enter Indicator Scores'!$D$10:$CZ$161,_xlpm.r,_xlpm.c),""),
  IF(OR(_xlpm.w="",_xlpm.v=""),"",_xlpm.v*_xlpm.w)
)</f>
        <v/>
      </c>
      <c r="AO33" s="93" t="str" cm="1">
        <f t="array" ref="AO33">_xlfn.LET(
  _xlpm.w, AO$11,
  _xlpm.r, MATCH(1,('3. Enter Indicator Scores'!$B$10:$B$161=$B33)*('3. Enter Indicator Scores'!$C$10:$C$161=$C33),0),
  _xlpm.c, MATCH(AO$8,'3. Enter Indicator Scores'!$D$8:$CZ$8,0),
  _xlpm.v, IFERROR(INDEX('3. Enter Indicator Scores'!$D$10:$CZ$161,_xlpm.r,_xlpm.c),""),
  IF(OR(_xlpm.w="",_xlpm.v=""),"",_xlpm.v*_xlpm.w)
)</f>
        <v/>
      </c>
      <c r="AP33" s="93" t="str" cm="1">
        <f t="array" ref="AP33">_xlfn.LET(
  _xlpm.w, AP$11,
  _xlpm.r, MATCH(1,('3. Enter Indicator Scores'!$B$10:$B$161=$B33)*('3. Enter Indicator Scores'!$C$10:$C$161=$C33),0),
  _xlpm.c, MATCH(AP$8,'3. Enter Indicator Scores'!$D$8:$CZ$8,0),
  _xlpm.v, IFERROR(INDEX('3. Enter Indicator Scores'!$D$10:$CZ$161,_xlpm.r,_xlpm.c),""),
  IF(OR(_xlpm.w="",_xlpm.v=""),"",_xlpm.v*_xlpm.w)
)</f>
        <v/>
      </c>
      <c r="AQ33" s="93" t="str" cm="1">
        <f t="array" ref="AQ33">_xlfn.LET(
  _xlpm.w, AQ$11,
  _xlpm.r, MATCH(1,('3. Enter Indicator Scores'!$B$10:$B$161=$B33)*('3. Enter Indicator Scores'!$C$10:$C$161=$C33),0),
  _xlpm.c, MATCH(AQ$8,'3. Enter Indicator Scores'!$D$8:$CZ$8,0),
  _xlpm.v, IFERROR(INDEX('3. Enter Indicator Scores'!$D$10:$CZ$161,_xlpm.r,_xlpm.c),""),
  IF(OR(_xlpm.w="",_xlpm.v=""),"",_xlpm.v*_xlpm.w)
)</f>
        <v/>
      </c>
      <c r="AR33" s="93" t="str" cm="1">
        <f t="array" ref="AR33">_xlfn.LET(
  _xlpm.w, AR$11,
  _xlpm.r, MATCH(1,('3. Enter Indicator Scores'!$B$10:$B$161=$B33)*('3. Enter Indicator Scores'!$C$10:$C$161=$C33),0),
  _xlpm.c, MATCH(AR$8,'3. Enter Indicator Scores'!$D$8:$CZ$8,0),
  _xlpm.v, IFERROR(INDEX('3. Enter Indicator Scores'!$D$10:$CZ$161,_xlpm.r,_xlpm.c),""),
  IF(OR(_xlpm.w="",_xlpm.v=""),"",_xlpm.v*_xlpm.w)
)</f>
        <v/>
      </c>
      <c r="AS33" s="93" t="str" cm="1">
        <f t="array" ref="AS33">_xlfn.LET(
  _xlpm.w, AS$11,
  _xlpm.r, MATCH(1,('3. Enter Indicator Scores'!$B$10:$B$161=$B33)*('3. Enter Indicator Scores'!$C$10:$C$161=$C33),0),
  _xlpm.c, MATCH(AS$8,'3. Enter Indicator Scores'!$D$8:$CZ$8,0),
  _xlpm.v, IFERROR(INDEX('3. Enter Indicator Scores'!$D$10:$CZ$161,_xlpm.r,_xlpm.c),""),
  IF(OR(_xlpm.w="",_xlpm.v=""),"",_xlpm.v*_xlpm.w)
)</f>
        <v/>
      </c>
      <c r="AT33" s="93" t="str" cm="1">
        <f t="array" ref="AT33">_xlfn.LET(
  _xlpm.w, AT$11,
  _xlpm.r, MATCH(1,('3. Enter Indicator Scores'!$B$10:$B$161=$B33)*('3. Enter Indicator Scores'!$C$10:$C$161=$C33),0),
  _xlpm.c, MATCH(AT$8,'3. Enter Indicator Scores'!$D$8:$CZ$8,0),
  _xlpm.v, IFERROR(INDEX('3. Enter Indicator Scores'!$D$10:$CZ$161,_xlpm.r,_xlpm.c),""),
  IF(OR(_xlpm.w="",_xlpm.v=""),"",_xlpm.v*_xlpm.w)
)</f>
        <v/>
      </c>
      <c r="AU33" s="93" t="str" cm="1">
        <f t="array" ref="AU33">_xlfn.LET(
  _xlpm.w, AU$11,
  _xlpm.r, MATCH(1,('3. Enter Indicator Scores'!$B$10:$B$161=$B33)*('3. Enter Indicator Scores'!$C$10:$C$161=$C33),0),
  _xlpm.c, MATCH(AU$8,'3. Enter Indicator Scores'!$D$8:$CZ$8,0),
  _xlpm.v, IFERROR(INDEX('3. Enter Indicator Scores'!$D$10:$CZ$161,_xlpm.r,_xlpm.c),""),
  IF(OR(_xlpm.w="",_xlpm.v=""),"",_xlpm.v*_xlpm.w)
)</f>
        <v/>
      </c>
      <c r="AV33" s="93" t="str" cm="1">
        <f t="array" ref="AV33">_xlfn.LET(
  _xlpm.w, AV$11,
  _xlpm.r, MATCH(1,('3. Enter Indicator Scores'!$B$10:$B$161=$B33)*('3. Enter Indicator Scores'!$C$10:$C$161=$C33),0),
  _xlpm.c, MATCH(AV$8,'3. Enter Indicator Scores'!$D$8:$CZ$8,0),
  _xlpm.v, IFERROR(INDEX('3. Enter Indicator Scores'!$D$10:$CZ$161,_xlpm.r,_xlpm.c),""),
  IF(OR(_xlpm.w="",_xlpm.v=""),"",_xlpm.v*_xlpm.w)
)</f>
        <v/>
      </c>
      <c r="AW33" s="93" t="str" cm="1">
        <f t="array" ref="AW33">_xlfn.LET(
  _xlpm.w, AW$11,
  _xlpm.r, MATCH(1,('3. Enter Indicator Scores'!$B$10:$B$161=$B33)*('3. Enter Indicator Scores'!$C$10:$C$161=$C33),0),
  _xlpm.c, MATCH(AW$8,'3. Enter Indicator Scores'!$D$8:$CZ$8,0),
  _xlpm.v, IFERROR(INDEX('3. Enter Indicator Scores'!$D$10:$CZ$161,_xlpm.r,_xlpm.c),""),
  IF(OR(_xlpm.w="",_xlpm.v=""),"",_xlpm.v*_xlpm.w)
)</f>
        <v/>
      </c>
      <c r="AX33" s="93" t="str" cm="1">
        <f t="array" ref="AX33">_xlfn.LET(
  _xlpm.w, AX$11,
  _xlpm.r, MATCH(1,('3. Enter Indicator Scores'!$B$10:$B$161=$B33)*('3. Enter Indicator Scores'!$C$10:$C$161=$C33),0),
  _xlpm.c, MATCH(AX$8,'3. Enter Indicator Scores'!$D$8:$CZ$8,0),
  _xlpm.v, IFERROR(INDEX('3. Enter Indicator Scores'!$D$10:$CZ$161,_xlpm.r,_xlpm.c),""),
  IF(OR(_xlpm.w="",_xlpm.v=""),"",_xlpm.v*_xlpm.w)
)</f>
        <v/>
      </c>
      <c r="AY33" s="93" t="str" cm="1">
        <f t="array" ref="AY33">_xlfn.LET(
  _xlpm.w, AY$11,
  _xlpm.r, MATCH(1,('3. Enter Indicator Scores'!$B$10:$B$161=$B33)*('3. Enter Indicator Scores'!$C$10:$C$161=$C33),0),
  _xlpm.c, MATCH(AY$8,'3. Enter Indicator Scores'!$D$8:$CZ$8,0),
  _xlpm.v, IFERROR(INDEX('3. Enter Indicator Scores'!$D$10:$CZ$161,_xlpm.r,_xlpm.c),""),
  IF(OR(_xlpm.w="",_xlpm.v=""),"",_xlpm.v*_xlpm.w)
)</f>
        <v/>
      </c>
      <c r="AZ33" s="93" t="str" cm="1">
        <f t="array" ref="AZ33">_xlfn.LET(
  _xlpm.w, AZ$11,
  _xlpm.r, MATCH(1,('3. Enter Indicator Scores'!$B$10:$B$161=$B33)*('3. Enter Indicator Scores'!$C$10:$C$161=$C33),0),
  _xlpm.c, MATCH(AZ$8,'3. Enter Indicator Scores'!$D$8:$CZ$8,0),
  _xlpm.v, IFERROR(INDEX('3. Enter Indicator Scores'!$D$10:$CZ$161,_xlpm.r,_xlpm.c),""),
  IF(OR(_xlpm.w="",_xlpm.v=""),"",_xlpm.v*_xlpm.w)
)</f>
        <v/>
      </c>
      <c r="BA33" s="93" t="str" cm="1">
        <f t="array" ref="BA33">_xlfn.LET(
  _xlpm.w, BA$11,
  _xlpm.r, MATCH(1,('3. Enter Indicator Scores'!$B$10:$B$161=$B33)*('3. Enter Indicator Scores'!$C$10:$C$161=$C33),0),
  _xlpm.c, MATCH(BA$8,'3. Enter Indicator Scores'!$D$8:$CZ$8,0),
  _xlpm.v, IFERROR(INDEX('3. Enter Indicator Scores'!$D$10:$CZ$161,_xlpm.r,_xlpm.c),""),
  IF(OR(_xlpm.w="",_xlpm.v=""),"",_xlpm.v*_xlpm.w)
)</f>
        <v/>
      </c>
      <c r="BB33" s="93" t="str" cm="1">
        <f t="array" ref="BB33">_xlfn.LET(
  _xlpm.w, BB$11,
  _xlpm.r, MATCH(1,('3. Enter Indicator Scores'!$B$10:$B$161=$B33)*('3. Enter Indicator Scores'!$C$10:$C$161=$C33),0),
  _xlpm.c, MATCH(BB$8,'3. Enter Indicator Scores'!$D$8:$CZ$8,0),
  _xlpm.v, IFERROR(INDEX('3. Enter Indicator Scores'!$D$10:$CZ$161,_xlpm.r,_xlpm.c),""),
  IF(OR(_xlpm.w="",_xlpm.v=""),"",_xlpm.v*_xlpm.w)
)</f>
        <v/>
      </c>
      <c r="BC33" s="93" t="str" cm="1">
        <f t="array" ref="BC33">_xlfn.LET(
  _xlpm.w, BC$11,
  _xlpm.r, MATCH(1,('3. Enter Indicator Scores'!$B$10:$B$161=$B33)*('3. Enter Indicator Scores'!$C$10:$C$161=$C33),0),
  _xlpm.c, MATCH(BC$8,'3. Enter Indicator Scores'!$D$8:$CZ$8,0),
  _xlpm.v, IFERROR(INDEX('3. Enter Indicator Scores'!$D$10:$CZ$161,_xlpm.r,_xlpm.c),""),
  IF(OR(_xlpm.w="",_xlpm.v=""),"",_xlpm.v*_xlpm.w)
)</f>
        <v/>
      </c>
      <c r="BD33" s="93" t="str" cm="1">
        <f t="array" ref="BD33">_xlfn.LET(
  _xlpm.w, BD$11,
  _xlpm.r, MATCH(1,('3. Enter Indicator Scores'!$B$10:$B$161=$B33)*('3. Enter Indicator Scores'!$C$10:$C$161=$C33),0),
  _xlpm.c, MATCH(BD$8,'3. Enter Indicator Scores'!$D$8:$CZ$8,0),
  _xlpm.v, IFERROR(INDEX('3. Enter Indicator Scores'!$D$10:$CZ$161,_xlpm.r,_xlpm.c),""),
  IF(OR(_xlpm.w="",_xlpm.v=""),"",_xlpm.v*_xlpm.w)
)</f>
        <v/>
      </c>
      <c r="BE33" s="93" t="str" cm="1">
        <f t="array" ref="BE33">_xlfn.LET(
  _xlpm.w, BE$11,
  _xlpm.r, MATCH(1,('3. Enter Indicator Scores'!$B$10:$B$161=$B33)*('3. Enter Indicator Scores'!$C$10:$C$161=$C33),0),
  _xlpm.c, MATCH(BE$8,'3. Enter Indicator Scores'!$D$8:$CZ$8,0),
  _xlpm.v, IFERROR(INDEX('3. Enter Indicator Scores'!$D$10:$CZ$161,_xlpm.r,_xlpm.c),""),
  IF(OR(_xlpm.w="",_xlpm.v=""),"",_xlpm.v*_xlpm.w)
)</f>
        <v/>
      </c>
      <c r="BF33" s="93" t="str" cm="1">
        <f t="array" ref="BF33">_xlfn.LET(
  _xlpm.w, BF$11,
  _xlpm.r, MATCH(1,('3. Enter Indicator Scores'!$B$10:$B$161=$B33)*('3. Enter Indicator Scores'!$C$10:$C$161=$C33),0),
  _xlpm.c, MATCH(BF$8,'3. Enter Indicator Scores'!$D$8:$CZ$8,0),
  _xlpm.v, IFERROR(INDEX('3. Enter Indicator Scores'!$D$10:$CZ$161,_xlpm.r,_xlpm.c),""),
  IF(OR(_xlpm.w="",_xlpm.v=""),"",_xlpm.v*_xlpm.w)
)</f>
        <v/>
      </c>
      <c r="BG33" s="93" t="str" cm="1">
        <f t="array" ref="BG33">_xlfn.LET(
  _xlpm.w, BG$11,
  _xlpm.r, MATCH(1,('3. Enter Indicator Scores'!$B$10:$B$161=$B33)*('3. Enter Indicator Scores'!$C$10:$C$161=$C33),0),
  _xlpm.c, MATCH(BG$8,'3. Enter Indicator Scores'!$D$8:$CZ$8,0),
  _xlpm.v, IFERROR(INDEX('3. Enter Indicator Scores'!$D$10:$CZ$161,_xlpm.r,_xlpm.c),""),
  IF(OR(_xlpm.w="",_xlpm.v=""),"",_xlpm.v*_xlpm.w)
)</f>
        <v/>
      </c>
      <c r="BH33" s="93" t="str" cm="1">
        <f t="array" ref="BH33">_xlfn.LET(
  _xlpm.w, BH$11,
  _xlpm.r, MATCH(1,('3. Enter Indicator Scores'!$B$10:$B$161=$B33)*('3. Enter Indicator Scores'!$C$10:$C$161=$C33),0),
  _xlpm.c, MATCH(BH$8,'3. Enter Indicator Scores'!$D$8:$CZ$8,0),
  _xlpm.v, IFERROR(INDEX('3. Enter Indicator Scores'!$D$10:$CZ$161,_xlpm.r,_xlpm.c),""),
  IF(OR(_xlpm.w="",_xlpm.v=""),"",_xlpm.v*_xlpm.w)
)</f>
        <v/>
      </c>
      <c r="BI33" s="93" t="str" cm="1">
        <f t="array" ref="BI33">_xlfn.LET(
  _xlpm.w, BI$11,
  _xlpm.r, MATCH(1,('3. Enter Indicator Scores'!$B$10:$B$161=$B33)*('3. Enter Indicator Scores'!$C$10:$C$161=$C33),0),
  _xlpm.c, MATCH(BI$8,'3. Enter Indicator Scores'!$D$8:$CZ$8,0),
  _xlpm.v, IFERROR(INDEX('3. Enter Indicator Scores'!$D$10:$CZ$161,_xlpm.r,_xlpm.c),""),
  IF(OR(_xlpm.w="",_xlpm.v=""),"",_xlpm.v*_xlpm.w)
)</f>
        <v/>
      </c>
      <c r="BJ33" s="93" t="str" cm="1">
        <f t="array" ref="BJ33">_xlfn.LET(
  _xlpm.w, BJ$11,
  _xlpm.r, MATCH(1,('3. Enter Indicator Scores'!$B$10:$B$161=$B33)*('3. Enter Indicator Scores'!$C$10:$C$161=$C33),0),
  _xlpm.c, MATCH(BJ$8,'3. Enter Indicator Scores'!$D$8:$CZ$8,0),
  _xlpm.v, IFERROR(INDEX('3. Enter Indicator Scores'!$D$10:$CZ$161,_xlpm.r,_xlpm.c),""),
  IF(OR(_xlpm.w="",_xlpm.v=""),"",_xlpm.v*_xlpm.w)
)</f>
        <v/>
      </c>
      <c r="BK33" s="93" t="str" cm="1">
        <f t="array" ref="BK33">_xlfn.LET(
  _xlpm.w, BK$11,
  _xlpm.r, MATCH(1,('3. Enter Indicator Scores'!$B$10:$B$161=$B33)*('3. Enter Indicator Scores'!$C$10:$C$161=$C33),0),
  _xlpm.c, MATCH(BK$8,'3. Enter Indicator Scores'!$D$8:$CZ$8,0),
  _xlpm.v, IFERROR(INDEX('3. Enter Indicator Scores'!$D$10:$CZ$161,_xlpm.r,_xlpm.c),""),
  IF(OR(_xlpm.w="",_xlpm.v=""),"",_xlpm.v*_xlpm.w)
)</f>
        <v/>
      </c>
      <c r="BL33" s="93" t="str" cm="1">
        <f t="array" ref="BL33">_xlfn.LET(
  _xlpm.w, BL$11,
  _xlpm.r, MATCH(1,('3. Enter Indicator Scores'!$B$10:$B$161=$B33)*('3. Enter Indicator Scores'!$C$10:$C$161=$C33),0),
  _xlpm.c, MATCH(BL$8,'3. Enter Indicator Scores'!$D$8:$CZ$8,0),
  _xlpm.v, IFERROR(INDEX('3. Enter Indicator Scores'!$D$10:$CZ$161,_xlpm.r,_xlpm.c),""),
  IF(OR(_xlpm.w="",_xlpm.v=""),"",_xlpm.v*_xlpm.w)
)</f>
        <v/>
      </c>
      <c r="BM33" s="93" t="str" cm="1">
        <f t="array" ref="BM33">_xlfn.LET(
  _xlpm.w, BM$11,
  _xlpm.r, MATCH(1,('3. Enter Indicator Scores'!$B$10:$B$161=$B33)*('3. Enter Indicator Scores'!$C$10:$C$161=$C33),0),
  _xlpm.c, MATCH(BM$8,'3. Enter Indicator Scores'!$D$8:$CZ$8,0),
  _xlpm.v, IFERROR(INDEX('3. Enter Indicator Scores'!$D$10:$CZ$161,_xlpm.r,_xlpm.c),""),
  IF(OR(_xlpm.w="",_xlpm.v=""),"",_xlpm.v*_xlpm.w)
)</f>
        <v/>
      </c>
      <c r="BN33" s="93" t="str" cm="1">
        <f t="array" ref="BN33">_xlfn.LET(
  _xlpm.w, BN$11,
  _xlpm.r, MATCH(1,('3. Enter Indicator Scores'!$B$10:$B$161=$B33)*('3. Enter Indicator Scores'!$C$10:$C$161=$C33),0),
  _xlpm.c, MATCH(BN$8,'3. Enter Indicator Scores'!$D$8:$CZ$8,0),
  _xlpm.v, IFERROR(INDEX('3. Enter Indicator Scores'!$D$10:$CZ$161,_xlpm.r,_xlpm.c),""),
  IF(OR(_xlpm.w="",_xlpm.v=""),"",_xlpm.v*_xlpm.w)
)</f>
        <v/>
      </c>
      <c r="BO33" s="93" t="str" cm="1">
        <f t="array" ref="BO33">_xlfn.LET(
  _xlpm.w, BO$11,
  _xlpm.r, MATCH(1,('3. Enter Indicator Scores'!$B$10:$B$161=$B33)*('3. Enter Indicator Scores'!$C$10:$C$161=$C33),0),
  _xlpm.c, MATCH(BO$8,'3. Enter Indicator Scores'!$D$8:$CZ$8,0),
  _xlpm.v, IFERROR(INDEX('3. Enter Indicator Scores'!$D$10:$CZ$161,_xlpm.r,_xlpm.c),""),
  IF(OR(_xlpm.w="",_xlpm.v=""),"",_xlpm.v*_xlpm.w)
)</f>
        <v/>
      </c>
      <c r="BP33" s="93" t="str" cm="1">
        <f t="array" ref="BP33">_xlfn.LET(
  _xlpm.w, BP$11,
  _xlpm.r, MATCH(1,('3. Enter Indicator Scores'!$B$10:$B$161=$B33)*('3. Enter Indicator Scores'!$C$10:$C$161=$C33),0),
  _xlpm.c, MATCH(BP$8,'3. Enter Indicator Scores'!$D$8:$CZ$8,0),
  _xlpm.v, IFERROR(INDEX('3. Enter Indicator Scores'!$D$10:$CZ$161,_xlpm.r,_xlpm.c),""),
  IF(OR(_xlpm.w="",_xlpm.v=""),"",_xlpm.v*_xlpm.w)
)</f>
        <v/>
      </c>
      <c r="BQ33" s="93" t="str" cm="1">
        <f t="array" ref="BQ33">_xlfn.LET(
  _xlpm.w, BQ$11,
  _xlpm.r, MATCH(1,('3. Enter Indicator Scores'!$B$10:$B$161=$B33)*('3. Enter Indicator Scores'!$C$10:$C$161=$C33),0),
  _xlpm.c, MATCH(BQ$8,'3. Enter Indicator Scores'!$D$8:$CZ$8,0),
  _xlpm.v, IFERROR(INDEX('3. Enter Indicator Scores'!$D$10:$CZ$161,_xlpm.r,_xlpm.c),""),
  IF(OR(_xlpm.w="",_xlpm.v=""),"",_xlpm.v*_xlpm.w)
)</f>
        <v/>
      </c>
      <c r="BR33" s="93" t="str" cm="1">
        <f t="array" ref="BR33">_xlfn.LET(
  _xlpm.w, BR$11,
  _xlpm.r, MATCH(1,('3. Enter Indicator Scores'!$B$10:$B$161=$B33)*('3. Enter Indicator Scores'!$C$10:$C$161=$C33),0),
  _xlpm.c, MATCH(BR$8,'3. Enter Indicator Scores'!$D$8:$CZ$8,0),
  _xlpm.v, IFERROR(INDEX('3. Enter Indicator Scores'!$D$10:$CZ$161,_xlpm.r,_xlpm.c),""),
  IF(OR(_xlpm.w="",_xlpm.v=""),"",_xlpm.v*_xlpm.w)
)</f>
        <v/>
      </c>
      <c r="BS33" s="93" t="str" cm="1">
        <f t="array" ref="BS33">_xlfn.LET(
  _xlpm.w, BS$11,
  _xlpm.r, MATCH(1,('3. Enter Indicator Scores'!$B$10:$B$161=$B33)*('3. Enter Indicator Scores'!$C$10:$C$161=$C33),0),
  _xlpm.c, MATCH(BS$8,'3. Enter Indicator Scores'!$D$8:$CZ$8,0),
  _xlpm.v, IFERROR(INDEX('3. Enter Indicator Scores'!$D$10:$CZ$161,_xlpm.r,_xlpm.c),""),
  IF(OR(_xlpm.w="",_xlpm.v=""),"",_xlpm.v*_xlpm.w)
)</f>
        <v/>
      </c>
      <c r="BT33" s="93" t="str" cm="1">
        <f t="array" ref="BT33">_xlfn.LET(
  _xlpm.w, BT$11,
  _xlpm.r, MATCH(1,('3. Enter Indicator Scores'!$B$10:$B$161=$B33)*('3. Enter Indicator Scores'!$C$10:$C$161=$C33),0),
  _xlpm.c, MATCH(BT$8,'3. Enter Indicator Scores'!$D$8:$CZ$8,0),
  _xlpm.v, IFERROR(INDEX('3. Enter Indicator Scores'!$D$10:$CZ$161,_xlpm.r,_xlpm.c),""),
  IF(OR(_xlpm.w="",_xlpm.v=""),"",_xlpm.v*_xlpm.w)
)</f>
        <v/>
      </c>
      <c r="BU33" s="93" t="str" cm="1">
        <f t="array" ref="BU33">_xlfn.LET(
  _xlpm.w, BU$11,
  _xlpm.r, MATCH(1,('3. Enter Indicator Scores'!$B$10:$B$161=$B33)*('3. Enter Indicator Scores'!$C$10:$C$161=$C33),0),
  _xlpm.c, MATCH(BU$8,'3. Enter Indicator Scores'!$D$8:$CZ$8,0),
  _xlpm.v, IFERROR(INDEX('3. Enter Indicator Scores'!$D$10:$CZ$161,_xlpm.r,_xlpm.c),""),
  IF(OR(_xlpm.w="",_xlpm.v=""),"",_xlpm.v*_xlpm.w)
)</f>
        <v/>
      </c>
      <c r="BV33" s="93" t="str" cm="1">
        <f t="array" ref="BV33">_xlfn.LET(
  _xlpm.w, BV$11,
  _xlpm.r, MATCH(1,('3. Enter Indicator Scores'!$B$10:$B$161=$B33)*('3. Enter Indicator Scores'!$C$10:$C$161=$C33),0),
  _xlpm.c, MATCH(BV$8,'3. Enter Indicator Scores'!$D$8:$CZ$8,0),
  _xlpm.v, IFERROR(INDEX('3. Enter Indicator Scores'!$D$10:$CZ$161,_xlpm.r,_xlpm.c),""),
  IF(OR(_xlpm.w="",_xlpm.v=""),"",_xlpm.v*_xlpm.w)
)</f>
        <v/>
      </c>
      <c r="BW33" s="93" t="str" cm="1">
        <f t="array" ref="BW33">_xlfn.LET(
  _xlpm.w, BW$11,
  _xlpm.r, MATCH(1,('3. Enter Indicator Scores'!$B$10:$B$161=$B33)*('3. Enter Indicator Scores'!$C$10:$C$161=$C33),0),
  _xlpm.c, MATCH(BW$8,'3. Enter Indicator Scores'!$D$8:$CZ$8,0),
  _xlpm.v, IFERROR(INDEX('3. Enter Indicator Scores'!$D$10:$CZ$161,_xlpm.r,_xlpm.c),""),
  IF(OR(_xlpm.w="",_xlpm.v=""),"",_xlpm.v*_xlpm.w)
)</f>
        <v/>
      </c>
      <c r="BX33" s="93" t="str" cm="1">
        <f t="array" ref="BX33">_xlfn.LET(
  _xlpm.w, BX$11,
  _xlpm.r, MATCH(1,('3. Enter Indicator Scores'!$B$10:$B$161=$B33)*('3. Enter Indicator Scores'!$C$10:$C$161=$C33),0),
  _xlpm.c, MATCH(BX$8,'3. Enter Indicator Scores'!$D$8:$CZ$8,0),
  _xlpm.v, IFERROR(INDEX('3. Enter Indicator Scores'!$D$10:$CZ$161,_xlpm.r,_xlpm.c),""),
  IF(OR(_xlpm.w="",_xlpm.v=""),"",_xlpm.v*_xlpm.w)
)</f>
        <v/>
      </c>
      <c r="BY33" s="93" t="str" cm="1">
        <f t="array" ref="BY33">_xlfn.LET(
  _xlpm.w, BY$11,
  _xlpm.r, MATCH(1,('3. Enter Indicator Scores'!$B$10:$B$161=$B33)*('3. Enter Indicator Scores'!$C$10:$C$161=$C33),0),
  _xlpm.c, MATCH(BY$8,'3. Enter Indicator Scores'!$D$8:$CZ$8,0),
  _xlpm.v, IFERROR(INDEX('3. Enter Indicator Scores'!$D$10:$CZ$161,_xlpm.r,_xlpm.c),""),
  IF(OR(_xlpm.w="",_xlpm.v=""),"",_xlpm.v*_xlpm.w)
)</f>
        <v/>
      </c>
      <c r="BZ33" s="93" t="str" cm="1">
        <f t="array" ref="BZ33">_xlfn.LET(
  _xlpm.w, BZ$11,
  _xlpm.r, MATCH(1,('3. Enter Indicator Scores'!$B$10:$B$161=$B33)*('3. Enter Indicator Scores'!$C$10:$C$161=$C33),0),
  _xlpm.c, MATCH(BZ$8,'3. Enter Indicator Scores'!$D$8:$CZ$8,0),
  _xlpm.v, IFERROR(INDEX('3. Enter Indicator Scores'!$D$10:$CZ$161,_xlpm.r,_xlpm.c),""),
  IF(OR(_xlpm.w="",_xlpm.v=""),"",_xlpm.v*_xlpm.w)
)</f>
        <v/>
      </c>
      <c r="CA33" s="93" t="str" cm="1">
        <f t="array" ref="CA33">_xlfn.LET(
  _xlpm.w, CA$11,
  _xlpm.r, MATCH(1,('3. Enter Indicator Scores'!$B$10:$B$161=$B33)*('3. Enter Indicator Scores'!$C$10:$C$161=$C33),0),
  _xlpm.c, MATCH(CA$8,'3. Enter Indicator Scores'!$D$8:$CZ$8,0),
  _xlpm.v, IFERROR(INDEX('3. Enter Indicator Scores'!$D$10:$CZ$161,_xlpm.r,_xlpm.c),""),
  IF(OR(_xlpm.w="",_xlpm.v=""),"",_xlpm.v*_xlpm.w)
)</f>
        <v/>
      </c>
      <c r="CB33" s="93" t="str" cm="1">
        <f t="array" ref="CB33">_xlfn.LET(
  _xlpm.w, CB$11,
  _xlpm.r, MATCH(1,('3. Enter Indicator Scores'!$B$10:$B$161=$B33)*('3. Enter Indicator Scores'!$C$10:$C$161=$C33),0),
  _xlpm.c, MATCH(CB$8,'3. Enter Indicator Scores'!$D$8:$CZ$8,0),
  _xlpm.v, IFERROR(INDEX('3. Enter Indicator Scores'!$D$10:$CZ$161,_xlpm.r,_xlpm.c),""),
  IF(OR(_xlpm.w="",_xlpm.v=""),"",_xlpm.v*_xlpm.w)
)</f>
        <v/>
      </c>
      <c r="CC33" s="93" t="str" cm="1">
        <f t="array" ref="CC33">_xlfn.LET(
  _xlpm.w, CC$11,
  _xlpm.r, MATCH(1,('3. Enter Indicator Scores'!$B$10:$B$161=$B33)*('3. Enter Indicator Scores'!$C$10:$C$161=$C33),0),
  _xlpm.c, MATCH(CC$8,'3. Enter Indicator Scores'!$D$8:$CZ$8,0),
  _xlpm.v, IFERROR(INDEX('3. Enter Indicator Scores'!$D$10:$CZ$161,_xlpm.r,_xlpm.c),""),
  IF(OR(_xlpm.w="",_xlpm.v=""),"",_xlpm.v*_xlpm.w)
)</f>
        <v/>
      </c>
      <c r="CD33" s="93" t="str" cm="1">
        <f t="array" ref="CD33">_xlfn.LET(
  _xlpm.w, CD$11,
  _xlpm.r, MATCH(1,('3. Enter Indicator Scores'!$B$10:$B$161=$B33)*('3. Enter Indicator Scores'!$C$10:$C$161=$C33),0),
  _xlpm.c, MATCH(CD$8,'3. Enter Indicator Scores'!$D$8:$CZ$8,0),
  _xlpm.v, IFERROR(INDEX('3. Enter Indicator Scores'!$D$10:$CZ$161,_xlpm.r,_xlpm.c),""),
  IF(OR(_xlpm.w="",_xlpm.v=""),"",_xlpm.v*_xlpm.w)
)</f>
        <v/>
      </c>
      <c r="CE33" s="93" t="str" cm="1">
        <f t="array" ref="CE33">_xlfn.LET(
  _xlpm.w, CE$11,
  _xlpm.r, MATCH(1,('3. Enter Indicator Scores'!$B$10:$B$161=$B33)*('3. Enter Indicator Scores'!$C$10:$C$161=$C33),0),
  _xlpm.c, MATCH(CE$8,'3. Enter Indicator Scores'!$D$8:$CZ$8,0),
  _xlpm.v, IFERROR(INDEX('3. Enter Indicator Scores'!$D$10:$CZ$161,_xlpm.r,_xlpm.c),""),
  IF(OR(_xlpm.w="",_xlpm.v=""),"",_xlpm.v*_xlpm.w)
)</f>
        <v/>
      </c>
      <c r="CF33" s="93" t="str" cm="1">
        <f t="array" ref="CF33">_xlfn.LET(
  _xlpm.w, CF$11,
  _xlpm.r, MATCH(1,('3. Enter Indicator Scores'!$B$10:$B$161=$B33)*('3. Enter Indicator Scores'!$C$10:$C$161=$C33),0),
  _xlpm.c, MATCH(CF$8,'3. Enter Indicator Scores'!$D$8:$CZ$8,0),
  _xlpm.v, IFERROR(INDEX('3. Enter Indicator Scores'!$D$10:$CZ$161,_xlpm.r,_xlpm.c),""),
  IF(OR(_xlpm.w="",_xlpm.v=""),"",_xlpm.v*_xlpm.w)
)</f>
        <v/>
      </c>
      <c r="CG33" s="93" t="str" cm="1">
        <f t="array" ref="CG33">_xlfn.LET(
  _xlpm.w, CG$11,
  _xlpm.r, MATCH(1,('3. Enter Indicator Scores'!$B$10:$B$161=$B33)*('3. Enter Indicator Scores'!$C$10:$C$161=$C33),0),
  _xlpm.c, MATCH(CG$8,'3. Enter Indicator Scores'!$D$8:$CZ$8,0),
  _xlpm.v, IFERROR(INDEX('3. Enter Indicator Scores'!$D$10:$CZ$161,_xlpm.r,_xlpm.c),""),
  IF(OR(_xlpm.w="",_xlpm.v=""),"",_xlpm.v*_xlpm.w)
)</f>
        <v/>
      </c>
      <c r="CH33" s="93" t="str" cm="1">
        <f t="array" ref="CH33">_xlfn.LET(
  _xlpm.w, CH$11,
  _xlpm.r, MATCH(1,('3. Enter Indicator Scores'!$B$10:$B$161=$B33)*('3. Enter Indicator Scores'!$C$10:$C$161=$C33),0),
  _xlpm.c, MATCH(CH$8,'3. Enter Indicator Scores'!$D$8:$CZ$8,0),
  _xlpm.v, IFERROR(INDEX('3. Enter Indicator Scores'!$D$10:$CZ$161,_xlpm.r,_xlpm.c),""),
  IF(OR(_xlpm.w="",_xlpm.v=""),"",_xlpm.v*_xlpm.w)
)</f>
        <v/>
      </c>
      <c r="CI33" s="93" t="str" cm="1">
        <f t="array" ref="CI33">_xlfn.LET(
  _xlpm.w, CI$11,
  _xlpm.r, MATCH(1,('3. Enter Indicator Scores'!$B$10:$B$161=$B33)*('3. Enter Indicator Scores'!$C$10:$C$161=$C33),0),
  _xlpm.c, MATCH(CI$8,'3. Enter Indicator Scores'!$D$8:$CZ$8,0),
  _xlpm.v, IFERROR(INDEX('3. Enter Indicator Scores'!$D$10:$CZ$161,_xlpm.r,_xlpm.c),""),
  IF(OR(_xlpm.w="",_xlpm.v=""),"",_xlpm.v*_xlpm.w)
)</f>
        <v/>
      </c>
      <c r="CJ33" s="93" t="str" cm="1">
        <f t="array" ref="CJ33">_xlfn.LET(
  _xlpm.w, CJ$11,
  _xlpm.r, MATCH(1,('3. Enter Indicator Scores'!$B$10:$B$161=$B33)*('3. Enter Indicator Scores'!$C$10:$C$161=$C33),0),
  _xlpm.c, MATCH(CJ$8,'3. Enter Indicator Scores'!$D$8:$CZ$8,0),
  _xlpm.v, IFERROR(INDEX('3. Enter Indicator Scores'!$D$10:$CZ$161,_xlpm.r,_xlpm.c),""),
  IF(OR(_xlpm.w="",_xlpm.v=""),"",_xlpm.v*_xlpm.w)
)</f>
        <v/>
      </c>
      <c r="CK33" s="93" t="str" cm="1">
        <f t="array" ref="CK33">_xlfn.LET(
  _xlpm.w, CK$11,
  _xlpm.r, MATCH(1,('3. Enter Indicator Scores'!$B$10:$B$161=$B33)*('3. Enter Indicator Scores'!$C$10:$C$161=$C33),0),
  _xlpm.c, MATCH(CK$8,'3. Enter Indicator Scores'!$D$8:$CZ$8,0),
  _xlpm.v, IFERROR(INDEX('3. Enter Indicator Scores'!$D$10:$CZ$161,_xlpm.r,_xlpm.c),""),
  IF(OR(_xlpm.w="",_xlpm.v=""),"",_xlpm.v*_xlpm.w)
)</f>
        <v/>
      </c>
      <c r="CL33" s="93" t="str" cm="1">
        <f t="array" ref="CL33">_xlfn.LET(
  _xlpm.w, CL$11,
  _xlpm.r, MATCH(1,('3. Enter Indicator Scores'!$B$10:$B$161=$B33)*('3. Enter Indicator Scores'!$C$10:$C$161=$C33),0),
  _xlpm.c, MATCH(CL$8,'3. Enter Indicator Scores'!$D$8:$CZ$8,0),
  _xlpm.v, IFERROR(INDEX('3. Enter Indicator Scores'!$D$10:$CZ$161,_xlpm.r,_xlpm.c),""),
  IF(OR(_xlpm.w="",_xlpm.v=""),"",_xlpm.v*_xlpm.w)
)</f>
        <v/>
      </c>
      <c r="CM33" s="93" t="str" cm="1">
        <f t="array" ref="CM33">_xlfn.LET(
  _xlpm.w, CM$11,
  _xlpm.r, MATCH(1,('3. Enter Indicator Scores'!$B$10:$B$161=$B33)*('3. Enter Indicator Scores'!$C$10:$C$161=$C33),0),
  _xlpm.c, MATCH(CM$8,'3. Enter Indicator Scores'!$D$8:$CZ$8,0),
  _xlpm.v, IFERROR(INDEX('3. Enter Indicator Scores'!$D$10:$CZ$161,_xlpm.r,_xlpm.c),""),
  IF(OR(_xlpm.w="",_xlpm.v=""),"",_xlpm.v*_xlpm.w)
)</f>
        <v/>
      </c>
      <c r="CN33" s="93" t="str" cm="1">
        <f t="array" ref="CN33">_xlfn.LET(
  _xlpm.w, CN$11,
  _xlpm.r, MATCH(1,('3. Enter Indicator Scores'!$B$10:$B$161=$B33)*('3. Enter Indicator Scores'!$C$10:$C$161=$C33),0),
  _xlpm.c, MATCH(CN$8,'3. Enter Indicator Scores'!$D$8:$CZ$8,0),
  _xlpm.v, IFERROR(INDEX('3. Enter Indicator Scores'!$D$10:$CZ$161,_xlpm.r,_xlpm.c),""),
  IF(OR(_xlpm.w="",_xlpm.v=""),"",_xlpm.v*_xlpm.w)
)</f>
        <v/>
      </c>
      <c r="CO33" s="93" t="str" cm="1">
        <f t="array" ref="CO33">_xlfn.LET(
  _xlpm.w, CO$11,
  _xlpm.r, MATCH(1,('3. Enter Indicator Scores'!$B$10:$B$161=$B33)*('3. Enter Indicator Scores'!$C$10:$C$161=$C33),0),
  _xlpm.c, MATCH(CO$8,'3. Enter Indicator Scores'!$D$8:$CZ$8,0),
  _xlpm.v, IFERROR(INDEX('3. Enter Indicator Scores'!$D$10:$CZ$161,_xlpm.r,_xlpm.c),""),
  IF(OR(_xlpm.w="",_xlpm.v=""),"",_xlpm.v*_xlpm.w)
)</f>
        <v/>
      </c>
      <c r="CP33" s="93" t="str" cm="1">
        <f t="array" ref="CP33">_xlfn.LET(
  _xlpm.w, CP$11,
  _xlpm.r, MATCH(1,('3. Enter Indicator Scores'!$B$10:$B$161=$B33)*('3. Enter Indicator Scores'!$C$10:$C$161=$C33),0),
  _xlpm.c, MATCH(CP$8,'3. Enter Indicator Scores'!$D$8:$CZ$8,0),
  _xlpm.v, IFERROR(INDEX('3. Enter Indicator Scores'!$D$10:$CZ$161,_xlpm.r,_xlpm.c),""),
  IF(OR(_xlpm.w="",_xlpm.v=""),"",_xlpm.v*_xlpm.w)
)</f>
        <v/>
      </c>
      <c r="CQ33" s="93" t="str" cm="1">
        <f t="array" ref="CQ33">_xlfn.LET(
  _xlpm.w, CQ$11,
  _xlpm.r, MATCH(1,('3. Enter Indicator Scores'!$B$10:$B$161=$B33)*('3. Enter Indicator Scores'!$C$10:$C$161=$C33),0),
  _xlpm.c, MATCH(CQ$8,'3. Enter Indicator Scores'!$D$8:$CZ$8,0),
  _xlpm.v, IFERROR(INDEX('3. Enter Indicator Scores'!$D$10:$CZ$161,_xlpm.r,_xlpm.c),""),
  IF(OR(_xlpm.w="",_xlpm.v=""),"",_xlpm.v*_xlpm.w)
)</f>
        <v/>
      </c>
      <c r="CR33" s="93" t="str" cm="1">
        <f t="array" ref="CR33">_xlfn.LET(
  _xlpm.w, CR$11,
  _xlpm.r, MATCH(1,('3. Enter Indicator Scores'!$B$10:$B$161=$B33)*('3. Enter Indicator Scores'!$C$10:$C$161=$C33),0),
  _xlpm.c, MATCH(CR$8,'3. Enter Indicator Scores'!$D$8:$CZ$8,0),
  _xlpm.v, IFERROR(INDEX('3. Enter Indicator Scores'!$D$10:$CZ$161,_xlpm.r,_xlpm.c),""),
  IF(OR(_xlpm.w="",_xlpm.v=""),"",_xlpm.v*_xlpm.w)
)</f>
        <v/>
      </c>
      <c r="CS33" s="93" t="str" cm="1">
        <f t="array" ref="CS33">_xlfn.LET(
  _xlpm.w, CS$11,
  _xlpm.r, MATCH(1,('3. Enter Indicator Scores'!$B$10:$B$161=$B33)*('3. Enter Indicator Scores'!$C$10:$C$161=$C33),0),
  _xlpm.c, MATCH(CS$8,'3. Enter Indicator Scores'!$D$8:$CZ$8,0),
  _xlpm.v, IFERROR(INDEX('3. Enter Indicator Scores'!$D$10:$CZ$161,_xlpm.r,_xlpm.c),""),
  IF(OR(_xlpm.w="",_xlpm.v=""),"",_xlpm.v*_xlpm.w)
)</f>
        <v/>
      </c>
      <c r="CT33" s="93" t="str" cm="1">
        <f t="array" ref="CT33">_xlfn.LET(
  _xlpm.w, CT$11,
  _xlpm.r, MATCH(1,('3. Enter Indicator Scores'!$B$10:$B$161=$B33)*('3. Enter Indicator Scores'!$C$10:$C$161=$C33),0),
  _xlpm.c, MATCH(CT$8,'3. Enter Indicator Scores'!$D$8:$CZ$8,0),
  _xlpm.v, IFERROR(INDEX('3. Enter Indicator Scores'!$D$10:$CZ$161,_xlpm.r,_xlpm.c),""),
  IF(OR(_xlpm.w="",_xlpm.v=""),"",_xlpm.v*_xlpm.w)
)</f>
        <v/>
      </c>
      <c r="CU33" s="93" t="str" cm="1">
        <f t="array" ref="CU33">_xlfn.LET(
  _xlpm.w, CU$11,
  _xlpm.r, MATCH(1,('3. Enter Indicator Scores'!$B$10:$B$161=$B33)*('3. Enter Indicator Scores'!$C$10:$C$161=$C33),0),
  _xlpm.c, MATCH(CU$8,'3. Enter Indicator Scores'!$D$8:$CZ$8,0),
  _xlpm.v, IFERROR(INDEX('3. Enter Indicator Scores'!$D$10:$CZ$161,_xlpm.r,_xlpm.c),""),
  IF(OR(_xlpm.w="",_xlpm.v=""),"",_xlpm.v*_xlpm.w)
)</f>
        <v/>
      </c>
      <c r="CV33" s="93" t="str" cm="1">
        <f t="array" ref="CV33">_xlfn.LET(
  _xlpm.w, CV$11,
  _xlpm.r, MATCH(1,('3. Enter Indicator Scores'!$B$10:$B$161=$B33)*('3. Enter Indicator Scores'!$C$10:$C$161=$C33),0),
  _xlpm.c, MATCH(CV$8,'3. Enter Indicator Scores'!$D$8:$CZ$8,0),
  _xlpm.v, IFERROR(INDEX('3. Enter Indicator Scores'!$D$10:$CZ$161,_xlpm.r,_xlpm.c),""),
  IF(OR(_xlpm.w="",_xlpm.v=""),"",_xlpm.v*_xlpm.w)
)</f>
        <v/>
      </c>
      <c r="CW33" s="93" t="str" cm="1">
        <f t="array" ref="CW33">_xlfn.LET(
  _xlpm.w, CW$11,
  _xlpm.r, MATCH(1,('3. Enter Indicator Scores'!$B$10:$B$161=$B33)*('3. Enter Indicator Scores'!$C$10:$C$161=$C33),0),
  _xlpm.c, MATCH(CW$8,'3. Enter Indicator Scores'!$D$8:$CZ$8,0),
  _xlpm.v, IFERROR(INDEX('3. Enter Indicator Scores'!$D$10:$CZ$161,_xlpm.r,_xlpm.c),""),
  IF(OR(_xlpm.w="",_xlpm.v=""),"",_xlpm.v*_xlpm.w)
)</f>
        <v/>
      </c>
      <c r="CX33" s="93" t="str" cm="1">
        <f t="array" ref="CX33">_xlfn.LET(
  _xlpm.w, CX$11,
  _xlpm.r, MATCH(1,('3. Enter Indicator Scores'!$B$10:$B$161=$B33)*('3. Enter Indicator Scores'!$C$10:$C$161=$C33),0),
  _xlpm.c, MATCH(CX$8,'3. Enter Indicator Scores'!$D$8:$CZ$8,0),
  _xlpm.v, IFERROR(INDEX('3. Enter Indicator Scores'!$D$10:$CZ$161,_xlpm.r,_xlpm.c),""),
  IF(OR(_xlpm.w="",_xlpm.v=""),"",_xlpm.v*_xlpm.w)
)</f>
        <v/>
      </c>
      <c r="CY33" s="93" t="str" cm="1">
        <f t="array" ref="CY33">_xlfn.LET(
  _xlpm.w, CY$11,
  _xlpm.r, MATCH(1,('3. Enter Indicator Scores'!$B$10:$B$161=$B33)*('3. Enter Indicator Scores'!$C$10:$C$161=$C33),0),
  _xlpm.c, MATCH(CY$8,'3. Enter Indicator Scores'!$D$8:$CZ$8,0),
  _xlpm.v, IFERROR(INDEX('3. Enter Indicator Scores'!$D$10:$CZ$161,_xlpm.r,_xlpm.c),""),
  IF(OR(_xlpm.w="",_xlpm.v=""),"",_xlpm.v*_xlpm.w)
)</f>
        <v/>
      </c>
      <c r="CZ33" s="93" t="str" cm="1">
        <f t="array" ref="CZ33">_xlfn.LET(
  _xlpm.w, CZ$11,
  _xlpm.r, MATCH(1,('3. Enter Indicator Scores'!$B$10:$B$161=$B33)*('3. Enter Indicator Scores'!$C$10:$C$161=$C33),0),
  _xlpm.c, MATCH(CZ$8,'3. Enter Indicator Scores'!$D$8:$CZ$8,0),
  _xlpm.v, IFERROR(INDEX('3. Enter Indicator Scores'!$D$10:$CZ$161,_xlpm.r,_xlpm.c),""),
  IF(OR(_xlpm.w="",_xlpm.v=""),"",_xlpm.v*_xlpm.w)
)</f>
        <v/>
      </c>
    </row>
    <row r="34" spans="4:104" x14ac:dyDescent="0.2">
      <c r="D34" s="93" t="str" cm="1">
        <f t="array" ref="D34">_xlfn.LET(
  _xlpm.w, D$11,
  _xlpm.r, MATCH(1,('3. Enter Indicator Scores'!$B$10:$B$161=$B34)*('3. Enter Indicator Scores'!$C$10:$C$161=$C34),0),
  _xlpm.c, MATCH(D$8,'3. Enter Indicator Scores'!$D$8:$CZ$8,0),
  _xlpm.v, IFERROR(INDEX('3. Enter Indicator Scores'!$D$10:$CZ$161,_xlpm.r,_xlpm.c),""),
  IF(OR(_xlpm.w="",_xlpm.v=""),"",_xlpm.v*_xlpm.w)
)</f>
        <v/>
      </c>
      <c r="E34" s="93" t="str" cm="1">
        <f t="array" ref="E34">_xlfn.LET(
  _xlpm.w, E$11,
  _xlpm.r, MATCH(1,('3. Enter Indicator Scores'!$B$10:$B$161=$B34)*('3. Enter Indicator Scores'!$C$10:$C$161=$C34),0),
  _xlpm.c, MATCH(E$8,'3. Enter Indicator Scores'!$D$8:$CZ$8,0),
  _xlpm.v, IFERROR(INDEX('3. Enter Indicator Scores'!$D$10:$CZ$161,_xlpm.r,_xlpm.c),""),
  IF(OR(_xlpm.w="",_xlpm.v=""),"",_xlpm.v*_xlpm.w)
)</f>
        <v/>
      </c>
      <c r="F34" s="93" t="str" cm="1">
        <f t="array" ref="F34">_xlfn.LET(
  _xlpm.w, F$11,
  _xlpm.r, MATCH(1,('3. Enter Indicator Scores'!$B$10:$B$161=$B34)*('3. Enter Indicator Scores'!$C$10:$C$161=$C34),0),
  _xlpm.c, MATCH(F$8,'3. Enter Indicator Scores'!$D$8:$CZ$8,0),
  _xlpm.v, IFERROR(INDEX('3. Enter Indicator Scores'!$D$10:$CZ$161,_xlpm.r,_xlpm.c),""),
  IF(OR(_xlpm.w="",_xlpm.v=""),"",_xlpm.v*_xlpm.w)
)</f>
        <v/>
      </c>
      <c r="G34" s="93" t="str" cm="1">
        <f t="array" ref="G34">_xlfn.LET(
  _xlpm.w, G$11,
  _xlpm.r, MATCH(1,('3. Enter Indicator Scores'!$B$10:$B$161=$B34)*('3. Enter Indicator Scores'!$C$10:$C$161=$C34),0),
  _xlpm.c, MATCH(G$8,'3. Enter Indicator Scores'!$D$8:$CZ$8,0),
  _xlpm.v, IFERROR(INDEX('3. Enter Indicator Scores'!$D$10:$CZ$161,_xlpm.r,_xlpm.c),""),
  IF(OR(_xlpm.w="",_xlpm.v=""),"",_xlpm.v*_xlpm.w)
)</f>
        <v/>
      </c>
      <c r="H34" s="93" t="str" cm="1">
        <f t="array" ref="H34">_xlfn.LET(
  _xlpm.w, H$11,
  _xlpm.r, MATCH(1,('3. Enter Indicator Scores'!$B$10:$B$161=$B34)*('3. Enter Indicator Scores'!$C$10:$C$161=$C34),0),
  _xlpm.c, MATCH(H$8,'3. Enter Indicator Scores'!$D$8:$CZ$8,0),
  _xlpm.v, IFERROR(INDEX('3. Enter Indicator Scores'!$D$10:$CZ$161,_xlpm.r,_xlpm.c),""),
  IF(OR(_xlpm.w="",_xlpm.v=""),"",_xlpm.v*_xlpm.w)
)</f>
        <v/>
      </c>
      <c r="I34" s="93" t="str" cm="1">
        <f t="array" ref="I34">_xlfn.LET(
  _xlpm.w, I$11,
  _xlpm.r, MATCH(1,('3. Enter Indicator Scores'!$B$10:$B$161=$B34)*('3. Enter Indicator Scores'!$C$10:$C$161=$C34),0),
  _xlpm.c, MATCH(I$8,'3. Enter Indicator Scores'!$D$8:$CZ$8,0),
  _xlpm.v, IFERROR(INDEX('3. Enter Indicator Scores'!$D$10:$CZ$161,_xlpm.r,_xlpm.c),""),
  IF(OR(_xlpm.w="",_xlpm.v=""),"",_xlpm.v*_xlpm.w)
)</f>
        <v/>
      </c>
      <c r="J34" s="93" t="str" cm="1">
        <f t="array" ref="J34">_xlfn.LET(
  _xlpm.w, J$11,
  _xlpm.r, MATCH(1,('3. Enter Indicator Scores'!$B$10:$B$161=$B34)*('3. Enter Indicator Scores'!$C$10:$C$161=$C34),0),
  _xlpm.c, MATCH(J$8,'3. Enter Indicator Scores'!$D$8:$CZ$8,0),
  _xlpm.v, IFERROR(INDEX('3. Enter Indicator Scores'!$D$10:$CZ$161,_xlpm.r,_xlpm.c),""),
  IF(OR(_xlpm.w="",_xlpm.v=""),"",_xlpm.v*_xlpm.w)
)</f>
        <v/>
      </c>
      <c r="K34" s="93" t="str" cm="1">
        <f t="array" ref="K34">_xlfn.LET(
  _xlpm.w, K$11,
  _xlpm.r, MATCH(1,('3. Enter Indicator Scores'!$B$10:$B$161=$B34)*('3. Enter Indicator Scores'!$C$10:$C$161=$C34),0),
  _xlpm.c, MATCH(K$8,'3. Enter Indicator Scores'!$D$8:$CZ$8,0),
  _xlpm.v, IFERROR(INDEX('3. Enter Indicator Scores'!$D$10:$CZ$161,_xlpm.r,_xlpm.c),""),
  IF(OR(_xlpm.w="",_xlpm.v=""),"",_xlpm.v*_xlpm.w)
)</f>
        <v/>
      </c>
      <c r="L34" s="93" t="str" cm="1">
        <f t="array" ref="L34">_xlfn.LET(
  _xlpm.w, L$11,
  _xlpm.r, MATCH(1,('3. Enter Indicator Scores'!$B$10:$B$161=$B34)*('3. Enter Indicator Scores'!$C$10:$C$161=$C34),0),
  _xlpm.c, MATCH(L$8,'3. Enter Indicator Scores'!$D$8:$CZ$8,0),
  _xlpm.v, IFERROR(INDEX('3. Enter Indicator Scores'!$D$10:$CZ$161,_xlpm.r,_xlpm.c),""),
  IF(OR(_xlpm.w="",_xlpm.v=""),"",_xlpm.v*_xlpm.w)
)</f>
        <v/>
      </c>
      <c r="M34" s="93" t="str" cm="1">
        <f t="array" ref="M34">_xlfn.LET(
  _xlpm.w, M$11,
  _xlpm.r, MATCH(1,('3. Enter Indicator Scores'!$B$10:$B$161=$B34)*('3. Enter Indicator Scores'!$C$10:$C$161=$C34),0),
  _xlpm.c, MATCH(M$8,'3. Enter Indicator Scores'!$D$8:$CZ$8,0),
  _xlpm.v, IFERROR(INDEX('3. Enter Indicator Scores'!$D$10:$CZ$161,_xlpm.r,_xlpm.c),""),
  IF(OR(_xlpm.w="",_xlpm.v=""),"",_xlpm.v*_xlpm.w)
)</f>
        <v/>
      </c>
      <c r="N34" s="93" t="str" cm="1">
        <f t="array" ref="N34">_xlfn.LET(
  _xlpm.w, N$11,
  _xlpm.r, MATCH(1,('3. Enter Indicator Scores'!$B$10:$B$161=$B34)*('3. Enter Indicator Scores'!$C$10:$C$161=$C34),0),
  _xlpm.c, MATCH(N$8,'3. Enter Indicator Scores'!$D$8:$CZ$8,0),
  _xlpm.v, IFERROR(INDEX('3. Enter Indicator Scores'!$D$10:$CZ$161,_xlpm.r,_xlpm.c),""),
  IF(OR(_xlpm.w="",_xlpm.v=""),"",_xlpm.v*_xlpm.w)
)</f>
        <v/>
      </c>
      <c r="O34" s="93" t="str" cm="1">
        <f t="array" ref="O34">_xlfn.LET(
  _xlpm.w, O$11,
  _xlpm.r, MATCH(1,('3. Enter Indicator Scores'!$B$10:$B$161=$B34)*('3. Enter Indicator Scores'!$C$10:$C$161=$C34),0),
  _xlpm.c, MATCH(O$8,'3. Enter Indicator Scores'!$D$8:$CZ$8,0),
  _xlpm.v, IFERROR(INDEX('3. Enter Indicator Scores'!$D$10:$CZ$161,_xlpm.r,_xlpm.c),""),
  IF(OR(_xlpm.w="",_xlpm.v=""),"",_xlpm.v*_xlpm.w)
)</f>
        <v/>
      </c>
      <c r="P34" s="93" t="str" cm="1">
        <f t="array" ref="P34">_xlfn.LET(
  _xlpm.w, P$11,
  _xlpm.r, MATCH(1,('3. Enter Indicator Scores'!$B$10:$B$161=$B34)*('3. Enter Indicator Scores'!$C$10:$C$161=$C34),0),
  _xlpm.c, MATCH(P$8,'3. Enter Indicator Scores'!$D$8:$CZ$8,0),
  _xlpm.v, IFERROR(INDEX('3. Enter Indicator Scores'!$D$10:$CZ$161,_xlpm.r,_xlpm.c),""),
  IF(OR(_xlpm.w="",_xlpm.v=""),"",_xlpm.v*_xlpm.w)
)</f>
        <v/>
      </c>
      <c r="Q34" s="93" t="str" cm="1">
        <f t="array" ref="Q34">_xlfn.LET(
  _xlpm.w, Q$11,
  _xlpm.r, MATCH(1,('3. Enter Indicator Scores'!$B$10:$B$161=$B34)*('3. Enter Indicator Scores'!$C$10:$C$161=$C34),0),
  _xlpm.c, MATCH(Q$8,'3. Enter Indicator Scores'!$D$8:$CZ$8,0),
  _xlpm.v, IFERROR(INDEX('3. Enter Indicator Scores'!$D$10:$CZ$161,_xlpm.r,_xlpm.c),""),
  IF(OR(_xlpm.w="",_xlpm.v=""),"",_xlpm.v*_xlpm.w)
)</f>
        <v/>
      </c>
      <c r="R34" s="93" t="str" cm="1">
        <f t="array" ref="R34">_xlfn.LET(
  _xlpm.w, R$11,
  _xlpm.r, MATCH(1,('3. Enter Indicator Scores'!$B$10:$B$161=$B34)*('3. Enter Indicator Scores'!$C$10:$C$161=$C34),0),
  _xlpm.c, MATCH(R$8,'3. Enter Indicator Scores'!$D$8:$CZ$8,0),
  _xlpm.v, IFERROR(INDEX('3. Enter Indicator Scores'!$D$10:$CZ$161,_xlpm.r,_xlpm.c),""),
  IF(OR(_xlpm.w="",_xlpm.v=""),"",_xlpm.v*_xlpm.w)
)</f>
        <v/>
      </c>
      <c r="S34" s="93" t="str" cm="1">
        <f t="array" ref="S34">_xlfn.LET(
  _xlpm.w, S$11,
  _xlpm.r, MATCH(1,('3. Enter Indicator Scores'!$B$10:$B$161=$B34)*('3. Enter Indicator Scores'!$C$10:$C$161=$C34),0),
  _xlpm.c, MATCH(S$8,'3. Enter Indicator Scores'!$D$8:$CZ$8,0),
  _xlpm.v, IFERROR(INDEX('3. Enter Indicator Scores'!$D$10:$CZ$161,_xlpm.r,_xlpm.c),""),
  IF(OR(_xlpm.w="",_xlpm.v=""),"",_xlpm.v*_xlpm.w)
)</f>
        <v/>
      </c>
      <c r="T34" s="93" t="str" cm="1">
        <f t="array" ref="T34">_xlfn.LET(
  _xlpm.w, T$11,
  _xlpm.r, MATCH(1,('3. Enter Indicator Scores'!$B$10:$B$161=$B34)*('3. Enter Indicator Scores'!$C$10:$C$161=$C34),0),
  _xlpm.c, MATCH(T$8,'3. Enter Indicator Scores'!$D$8:$CZ$8,0),
  _xlpm.v, IFERROR(INDEX('3. Enter Indicator Scores'!$D$10:$CZ$161,_xlpm.r,_xlpm.c),""),
  IF(OR(_xlpm.w="",_xlpm.v=""),"",_xlpm.v*_xlpm.w)
)</f>
        <v/>
      </c>
      <c r="U34" s="93" t="str" cm="1">
        <f t="array" ref="U34">_xlfn.LET(
  _xlpm.w, U$11,
  _xlpm.r, MATCH(1,('3. Enter Indicator Scores'!$B$10:$B$161=$B34)*('3. Enter Indicator Scores'!$C$10:$C$161=$C34),0),
  _xlpm.c, MATCH(U$8,'3. Enter Indicator Scores'!$D$8:$CZ$8,0),
  _xlpm.v, IFERROR(INDEX('3. Enter Indicator Scores'!$D$10:$CZ$161,_xlpm.r,_xlpm.c),""),
  IF(OR(_xlpm.w="",_xlpm.v=""),"",_xlpm.v*_xlpm.w)
)</f>
        <v/>
      </c>
      <c r="V34" s="93" t="str" cm="1">
        <f t="array" ref="V34">_xlfn.LET(
  _xlpm.w, V$11,
  _xlpm.r, MATCH(1,('3. Enter Indicator Scores'!$B$10:$B$161=$B34)*('3. Enter Indicator Scores'!$C$10:$C$161=$C34),0),
  _xlpm.c, MATCH(V$8,'3. Enter Indicator Scores'!$D$8:$CZ$8,0),
  _xlpm.v, IFERROR(INDEX('3. Enter Indicator Scores'!$D$10:$CZ$161,_xlpm.r,_xlpm.c),""),
  IF(OR(_xlpm.w="",_xlpm.v=""),"",_xlpm.v*_xlpm.w)
)</f>
        <v/>
      </c>
      <c r="W34" s="93" t="str" cm="1">
        <f t="array" ref="W34">_xlfn.LET(
  _xlpm.w, W$11,
  _xlpm.r, MATCH(1,('3. Enter Indicator Scores'!$B$10:$B$161=$B34)*('3. Enter Indicator Scores'!$C$10:$C$161=$C34),0),
  _xlpm.c, MATCH(W$8,'3. Enter Indicator Scores'!$D$8:$CZ$8,0),
  _xlpm.v, IFERROR(INDEX('3. Enter Indicator Scores'!$D$10:$CZ$161,_xlpm.r,_xlpm.c),""),
  IF(OR(_xlpm.w="",_xlpm.v=""),"",_xlpm.v*_xlpm.w)
)</f>
        <v/>
      </c>
      <c r="X34" s="93" t="str" cm="1">
        <f t="array" ref="X34">_xlfn.LET(
  _xlpm.w, X$11,
  _xlpm.r, MATCH(1,('3. Enter Indicator Scores'!$B$10:$B$161=$B34)*('3. Enter Indicator Scores'!$C$10:$C$161=$C34),0),
  _xlpm.c, MATCH(X$8,'3. Enter Indicator Scores'!$D$8:$CZ$8,0),
  _xlpm.v, IFERROR(INDEX('3. Enter Indicator Scores'!$D$10:$CZ$161,_xlpm.r,_xlpm.c),""),
  IF(OR(_xlpm.w="",_xlpm.v=""),"",_xlpm.v*_xlpm.w)
)</f>
        <v/>
      </c>
      <c r="Y34" s="93" t="str" cm="1">
        <f t="array" ref="Y34">_xlfn.LET(
  _xlpm.w, Y$11,
  _xlpm.r, MATCH(1,('3. Enter Indicator Scores'!$B$10:$B$161=$B34)*('3. Enter Indicator Scores'!$C$10:$C$161=$C34),0),
  _xlpm.c, MATCH(Y$8,'3. Enter Indicator Scores'!$D$8:$CZ$8,0),
  _xlpm.v, IFERROR(INDEX('3. Enter Indicator Scores'!$D$10:$CZ$161,_xlpm.r,_xlpm.c),""),
  IF(OR(_xlpm.w="",_xlpm.v=""),"",_xlpm.v*_xlpm.w)
)</f>
        <v/>
      </c>
      <c r="Z34" s="93" t="str" cm="1">
        <f t="array" ref="Z34">_xlfn.LET(
  _xlpm.w, Z$11,
  _xlpm.r, MATCH(1,('3. Enter Indicator Scores'!$B$10:$B$161=$B34)*('3. Enter Indicator Scores'!$C$10:$C$161=$C34),0),
  _xlpm.c, MATCH(Z$8,'3. Enter Indicator Scores'!$D$8:$CZ$8,0),
  _xlpm.v, IFERROR(INDEX('3. Enter Indicator Scores'!$D$10:$CZ$161,_xlpm.r,_xlpm.c),""),
  IF(OR(_xlpm.w="",_xlpm.v=""),"",_xlpm.v*_xlpm.w)
)</f>
        <v/>
      </c>
      <c r="AA34" s="93" t="str" cm="1">
        <f t="array" ref="AA34">_xlfn.LET(
  _xlpm.w, AA$11,
  _xlpm.r, MATCH(1,('3. Enter Indicator Scores'!$B$10:$B$161=$B34)*('3. Enter Indicator Scores'!$C$10:$C$161=$C34),0),
  _xlpm.c, MATCH(AA$8,'3. Enter Indicator Scores'!$D$8:$CZ$8,0),
  _xlpm.v, IFERROR(INDEX('3. Enter Indicator Scores'!$D$10:$CZ$161,_xlpm.r,_xlpm.c),""),
  IF(OR(_xlpm.w="",_xlpm.v=""),"",_xlpm.v*_xlpm.w)
)</f>
        <v/>
      </c>
      <c r="AB34" s="93" t="str" cm="1">
        <f t="array" ref="AB34">_xlfn.LET(
  _xlpm.w, AB$11,
  _xlpm.r, MATCH(1,('3. Enter Indicator Scores'!$B$10:$B$161=$B34)*('3. Enter Indicator Scores'!$C$10:$C$161=$C34),0),
  _xlpm.c, MATCH(AB$8,'3. Enter Indicator Scores'!$D$8:$CZ$8,0),
  _xlpm.v, IFERROR(INDEX('3. Enter Indicator Scores'!$D$10:$CZ$161,_xlpm.r,_xlpm.c),""),
  IF(OR(_xlpm.w="",_xlpm.v=""),"",_xlpm.v*_xlpm.w)
)</f>
        <v/>
      </c>
      <c r="AC34" s="93" t="str" cm="1">
        <f t="array" ref="AC34">_xlfn.LET(
  _xlpm.w, AC$11,
  _xlpm.r, MATCH(1,('3. Enter Indicator Scores'!$B$10:$B$161=$B34)*('3. Enter Indicator Scores'!$C$10:$C$161=$C34),0),
  _xlpm.c, MATCH(AC$8,'3. Enter Indicator Scores'!$D$8:$CZ$8,0),
  _xlpm.v, IFERROR(INDEX('3. Enter Indicator Scores'!$D$10:$CZ$161,_xlpm.r,_xlpm.c),""),
  IF(OR(_xlpm.w="",_xlpm.v=""),"",_xlpm.v*_xlpm.w)
)</f>
        <v/>
      </c>
      <c r="AD34" s="93" t="str" cm="1">
        <f t="array" ref="AD34">_xlfn.LET(
  _xlpm.w, AD$11,
  _xlpm.r, MATCH(1,('3. Enter Indicator Scores'!$B$10:$B$161=$B34)*('3. Enter Indicator Scores'!$C$10:$C$161=$C34),0),
  _xlpm.c, MATCH(AD$8,'3. Enter Indicator Scores'!$D$8:$CZ$8,0),
  _xlpm.v, IFERROR(INDEX('3. Enter Indicator Scores'!$D$10:$CZ$161,_xlpm.r,_xlpm.c),""),
  IF(OR(_xlpm.w="",_xlpm.v=""),"",_xlpm.v*_xlpm.w)
)</f>
        <v/>
      </c>
      <c r="AE34" s="93" t="str" cm="1">
        <f t="array" ref="AE34">_xlfn.LET(
  _xlpm.w, AE$11,
  _xlpm.r, MATCH(1,('3. Enter Indicator Scores'!$B$10:$B$161=$B34)*('3. Enter Indicator Scores'!$C$10:$C$161=$C34),0),
  _xlpm.c, MATCH(AE$8,'3. Enter Indicator Scores'!$D$8:$CZ$8,0),
  _xlpm.v, IFERROR(INDEX('3. Enter Indicator Scores'!$D$10:$CZ$161,_xlpm.r,_xlpm.c),""),
  IF(OR(_xlpm.w="",_xlpm.v=""),"",_xlpm.v*_xlpm.w)
)</f>
        <v/>
      </c>
      <c r="AF34" s="93" t="str" cm="1">
        <f t="array" ref="AF34">_xlfn.LET(
  _xlpm.w, AF$11,
  _xlpm.r, MATCH(1,('3. Enter Indicator Scores'!$B$10:$B$161=$B34)*('3. Enter Indicator Scores'!$C$10:$C$161=$C34),0),
  _xlpm.c, MATCH(AF$8,'3. Enter Indicator Scores'!$D$8:$CZ$8,0),
  _xlpm.v, IFERROR(INDEX('3. Enter Indicator Scores'!$D$10:$CZ$161,_xlpm.r,_xlpm.c),""),
  IF(OR(_xlpm.w="",_xlpm.v=""),"",_xlpm.v*_xlpm.w)
)</f>
        <v/>
      </c>
      <c r="AG34" s="93" t="str" cm="1">
        <f t="array" ref="AG34">_xlfn.LET(
  _xlpm.w, AG$11,
  _xlpm.r, MATCH(1,('3. Enter Indicator Scores'!$B$10:$B$161=$B34)*('3. Enter Indicator Scores'!$C$10:$C$161=$C34),0),
  _xlpm.c, MATCH(AG$8,'3. Enter Indicator Scores'!$D$8:$CZ$8,0),
  _xlpm.v, IFERROR(INDEX('3. Enter Indicator Scores'!$D$10:$CZ$161,_xlpm.r,_xlpm.c),""),
  IF(OR(_xlpm.w="",_xlpm.v=""),"",_xlpm.v*_xlpm.w)
)</f>
        <v/>
      </c>
      <c r="AH34" s="93" t="str" cm="1">
        <f t="array" ref="AH34">_xlfn.LET(
  _xlpm.w, AH$11,
  _xlpm.r, MATCH(1,('3. Enter Indicator Scores'!$B$10:$B$161=$B34)*('3. Enter Indicator Scores'!$C$10:$C$161=$C34),0),
  _xlpm.c, MATCH(AH$8,'3. Enter Indicator Scores'!$D$8:$CZ$8,0),
  _xlpm.v, IFERROR(INDEX('3. Enter Indicator Scores'!$D$10:$CZ$161,_xlpm.r,_xlpm.c),""),
  IF(OR(_xlpm.w="",_xlpm.v=""),"",_xlpm.v*_xlpm.w)
)</f>
        <v/>
      </c>
      <c r="AI34" s="93" t="str" cm="1">
        <f t="array" ref="AI34">_xlfn.LET(
  _xlpm.w, AI$11,
  _xlpm.r, MATCH(1,('3. Enter Indicator Scores'!$B$10:$B$161=$B34)*('3. Enter Indicator Scores'!$C$10:$C$161=$C34),0),
  _xlpm.c, MATCH(AI$8,'3. Enter Indicator Scores'!$D$8:$CZ$8,0),
  _xlpm.v, IFERROR(INDEX('3. Enter Indicator Scores'!$D$10:$CZ$161,_xlpm.r,_xlpm.c),""),
  IF(OR(_xlpm.w="",_xlpm.v=""),"",_xlpm.v*_xlpm.w)
)</f>
        <v/>
      </c>
      <c r="AJ34" s="93" t="str" cm="1">
        <f t="array" ref="AJ34">_xlfn.LET(
  _xlpm.w, AJ$11,
  _xlpm.r, MATCH(1,('3. Enter Indicator Scores'!$B$10:$B$161=$B34)*('3. Enter Indicator Scores'!$C$10:$C$161=$C34),0),
  _xlpm.c, MATCH(AJ$8,'3. Enter Indicator Scores'!$D$8:$CZ$8,0),
  _xlpm.v, IFERROR(INDEX('3. Enter Indicator Scores'!$D$10:$CZ$161,_xlpm.r,_xlpm.c),""),
  IF(OR(_xlpm.w="",_xlpm.v=""),"",_xlpm.v*_xlpm.w)
)</f>
        <v/>
      </c>
      <c r="AK34" s="93" t="str" cm="1">
        <f t="array" ref="AK34">_xlfn.LET(
  _xlpm.w, AK$11,
  _xlpm.r, MATCH(1,('3. Enter Indicator Scores'!$B$10:$B$161=$B34)*('3. Enter Indicator Scores'!$C$10:$C$161=$C34),0),
  _xlpm.c, MATCH(AK$8,'3. Enter Indicator Scores'!$D$8:$CZ$8,0),
  _xlpm.v, IFERROR(INDEX('3. Enter Indicator Scores'!$D$10:$CZ$161,_xlpm.r,_xlpm.c),""),
  IF(OR(_xlpm.w="",_xlpm.v=""),"",_xlpm.v*_xlpm.w)
)</f>
        <v/>
      </c>
      <c r="AL34" s="93" t="str" cm="1">
        <f t="array" ref="AL34">_xlfn.LET(
  _xlpm.w, AL$11,
  _xlpm.r, MATCH(1,('3. Enter Indicator Scores'!$B$10:$B$161=$B34)*('3. Enter Indicator Scores'!$C$10:$C$161=$C34),0),
  _xlpm.c, MATCH(AL$8,'3. Enter Indicator Scores'!$D$8:$CZ$8,0),
  _xlpm.v, IFERROR(INDEX('3. Enter Indicator Scores'!$D$10:$CZ$161,_xlpm.r,_xlpm.c),""),
  IF(OR(_xlpm.w="",_xlpm.v=""),"",_xlpm.v*_xlpm.w)
)</f>
        <v/>
      </c>
      <c r="AM34" s="93" t="str" cm="1">
        <f t="array" ref="AM34">_xlfn.LET(
  _xlpm.w, AM$11,
  _xlpm.r, MATCH(1,('3. Enter Indicator Scores'!$B$10:$B$161=$B34)*('3. Enter Indicator Scores'!$C$10:$C$161=$C34),0),
  _xlpm.c, MATCH(AM$8,'3. Enter Indicator Scores'!$D$8:$CZ$8,0),
  _xlpm.v, IFERROR(INDEX('3. Enter Indicator Scores'!$D$10:$CZ$161,_xlpm.r,_xlpm.c),""),
  IF(OR(_xlpm.w="",_xlpm.v=""),"",_xlpm.v*_xlpm.w)
)</f>
        <v/>
      </c>
      <c r="AN34" s="93" t="str" cm="1">
        <f t="array" ref="AN34">_xlfn.LET(
  _xlpm.w, AN$11,
  _xlpm.r, MATCH(1,('3. Enter Indicator Scores'!$B$10:$B$161=$B34)*('3. Enter Indicator Scores'!$C$10:$C$161=$C34),0),
  _xlpm.c, MATCH(AN$8,'3. Enter Indicator Scores'!$D$8:$CZ$8,0),
  _xlpm.v, IFERROR(INDEX('3. Enter Indicator Scores'!$D$10:$CZ$161,_xlpm.r,_xlpm.c),""),
  IF(OR(_xlpm.w="",_xlpm.v=""),"",_xlpm.v*_xlpm.w)
)</f>
        <v/>
      </c>
      <c r="AO34" s="93" t="str" cm="1">
        <f t="array" ref="AO34">_xlfn.LET(
  _xlpm.w, AO$11,
  _xlpm.r, MATCH(1,('3. Enter Indicator Scores'!$B$10:$B$161=$B34)*('3. Enter Indicator Scores'!$C$10:$C$161=$C34),0),
  _xlpm.c, MATCH(AO$8,'3. Enter Indicator Scores'!$D$8:$CZ$8,0),
  _xlpm.v, IFERROR(INDEX('3. Enter Indicator Scores'!$D$10:$CZ$161,_xlpm.r,_xlpm.c),""),
  IF(OR(_xlpm.w="",_xlpm.v=""),"",_xlpm.v*_xlpm.w)
)</f>
        <v/>
      </c>
      <c r="AP34" s="93" t="str" cm="1">
        <f t="array" ref="AP34">_xlfn.LET(
  _xlpm.w, AP$11,
  _xlpm.r, MATCH(1,('3. Enter Indicator Scores'!$B$10:$B$161=$B34)*('3. Enter Indicator Scores'!$C$10:$C$161=$C34),0),
  _xlpm.c, MATCH(AP$8,'3. Enter Indicator Scores'!$D$8:$CZ$8,0),
  _xlpm.v, IFERROR(INDEX('3. Enter Indicator Scores'!$D$10:$CZ$161,_xlpm.r,_xlpm.c),""),
  IF(OR(_xlpm.w="",_xlpm.v=""),"",_xlpm.v*_xlpm.w)
)</f>
        <v/>
      </c>
      <c r="AQ34" s="93" t="str" cm="1">
        <f t="array" ref="AQ34">_xlfn.LET(
  _xlpm.w, AQ$11,
  _xlpm.r, MATCH(1,('3. Enter Indicator Scores'!$B$10:$B$161=$B34)*('3. Enter Indicator Scores'!$C$10:$C$161=$C34),0),
  _xlpm.c, MATCH(AQ$8,'3. Enter Indicator Scores'!$D$8:$CZ$8,0),
  _xlpm.v, IFERROR(INDEX('3. Enter Indicator Scores'!$D$10:$CZ$161,_xlpm.r,_xlpm.c),""),
  IF(OR(_xlpm.w="",_xlpm.v=""),"",_xlpm.v*_xlpm.w)
)</f>
        <v/>
      </c>
      <c r="AR34" s="93" t="str" cm="1">
        <f t="array" ref="AR34">_xlfn.LET(
  _xlpm.w, AR$11,
  _xlpm.r, MATCH(1,('3. Enter Indicator Scores'!$B$10:$B$161=$B34)*('3. Enter Indicator Scores'!$C$10:$C$161=$C34),0),
  _xlpm.c, MATCH(AR$8,'3. Enter Indicator Scores'!$D$8:$CZ$8,0),
  _xlpm.v, IFERROR(INDEX('3. Enter Indicator Scores'!$D$10:$CZ$161,_xlpm.r,_xlpm.c),""),
  IF(OR(_xlpm.w="",_xlpm.v=""),"",_xlpm.v*_xlpm.w)
)</f>
        <v/>
      </c>
      <c r="AS34" s="93" t="str" cm="1">
        <f t="array" ref="AS34">_xlfn.LET(
  _xlpm.w, AS$11,
  _xlpm.r, MATCH(1,('3. Enter Indicator Scores'!$B$10:$B$161=$B34)*('3. Enter Indicator Scores'!$C$10:$C$161=$C34),0),
  _xlpm.c, MATCH(AS$8,'3. Enter Indicator Scores'!$D$8:$CZ$8,0),
  _xlpm.v, IFERROR(INDEX('3. Enter Indicator Scores'!$D$10:$CZ$161,_xlpm.r,_xlpm.c),""),
  IF(OR(_xlpm.w="",_xlpm.v=""),"",_xlpm.v*_xlpm.w)
)</f>
        <v/>
      </c>
      <c r="AT34" s="93" t="str" cm="1">
        <f t="array" ref="AT34">_xlfn.LET(
  _xlpm.w, AT$11,
  _xlpm.r, MATCH(1,('3. Enter Indicator Scores'!$B$10:$B$161=$B34)*('3. Enter Indicator Scores'!$C$10:$C$161=$C34),0),
  _xlpm.c, MATCH(AT$8,'3. Enter Indicator Scores'!$D$8:$CZ$8,0),
  _xlpm.v, IFERROR(INDEX('3. Enter Indicator Scores'!$D$10:$CZ$161,_xlpm.r,_xlpm.c),""),
  IF(OR(_xlpm.w="",_xlpm.v=""),"",_xlpm.v*_xlpm.w)
)</f>
        <v/>
      </c>
      <c r="AU34" s="93" t="str" cm="1">
        <f t="array" ref="AU34">_xlfn.LET(
  _xlpm.w, AU$11,
  _xlpm.r, MATCH(1,('3. Enter Indicator Scores'!$B$10:$B$161=$B34)*('3. Enter Indicator Scores'!$C$10:$C$161=$C34),0),
  _xlpm.c, MATCH(AU$8,'3. Enter Indicator Scores'!$D$8:$CZ$8,0),
  _xlpm.v, IFERROR(INDEX('3. Enter Indicator Scores'!$D$10:$CZ$161,_xlpm.r,_xlpm.c),""),
  IF(OR(_xlpm.w="",_xlpm.v=""),"",_xlpm.v*_xlpm.w)
)</f>
        <v/>
      </c>
      <c r="AV34" s="93" t="str" cm="1">
        <f t="array" ref="AV34">_xlfn.LET(
  _xlpm.w, AV$11,
  _xlpm.r, MATCH(1,('3. Enter Indicator Scores'!$B$10:$B$161=$B34)*('3. Enter Indicator Scores'!$C$10:$C$161=$C34),0),
  _xlpm.c, MATCH(AV$8,'3. Enter Indicator Scores'!$D$8:$CZ$8,0),
  _xlpm.v, IFERROR(INDEX('3. Enter Indicator Scores'!$D$10:$CZ$161,_xlpm.r,_xlpm.c),""),
  IF(OR(_xlpm.w="",_xlpm.v=""),"",_xlpm.v*_xlpm.w)
)</f>
        <v/>
      </c>
      <c r="AW34" s="93" t="str" cm="1">
        <f t="array" ref="AW34">_xlfn.LET(
  _xlpm.w, AW$11,
  _xlpm.r, MATCH(1,('3. Enter Indicator Scores'!$B$10:$B$161=$B34)*('3. Enter Indicator Scores'!$C$10:$C$161=$C34),0),
  _xlpm.c, MATCH(AW$8,'3. Enter Indicator Scores'!$D$8:$CZ$8,0),
  _xlpm.v, IFERROR(INDEX('3. Enter Indicator Scores'!$D$10:$CZ$161,_xlpm.r,_xlpm.c),""),
  IF(OR(_xlpm.w="",_xlpm.v=""),"",_xlpm.v*_xlpm.w)
)</f>
        <v/>
      </c>
      <c r="AX34" s="93" t="str" cm="1">
        <f t="array" ref="AX34">_xlfn.LET(
  _xlpm.w, AX$11,
  _xlpm.r, MATCH(1,('3. Enter Indicator Scores'!$B$10:$B$161=$B34)*('3. Enter Indicator Scores'!$C$10:$C$161=$C34),0),
  _xlpm.c, MATCH(AX$8,'3. Enter Indicator Scores'!$D$8:$CZ$8,0),
  _xlpm.v, IFERROR(INDEX('3. Enter Indicator Scores'!$D$10:$CZ$161,_xlpm.r,_xlpm.c),""),
  IF(OR(_xlpm.w="",_xlpm.v=""),"",_xlpm.v*_xlpm.w)
)</f>
        <v/>
      </c>
      <c r="AY34" s="93" t="str" cm="1">
        <f t="array" ref="AY34">_xlfn.LET(
  _xlpm.w, AY$11,
  _xlpm.r, MATCH(1,('3. Enter Indicator Scores'!$B$10:$B$161=$B34)*('3. Enter Indicator Scores'!$C$10:$C$161=$C34),0),
  _xlpm.c, MATCH(AY$8,'3. Enter Indicator Scores'!$D$8:$CZ$8,0),
  _xlpm.v, IFERROR(INDEX('3. Enter Indicator Scores'!$D$10:$CZ$161,_xlpm.r,_xlpm.c),""),
  IF(OR(_xlpm.w="",_xlpm.v=""),"",_xlpm.v*_xlpm.w)
)</f>
        <v/>
      </c>
      <c r="AZ34" s="93" t="str" cm="1">
        <f t="array" ref="AZ34">_xlfn.LET(
  _xlpm.w, AZ$11,
  _xlpm.r, MATCH(1,('3. Enter Indicator Scores'!$B$10:$B$161=$B34)*('3. Enter Indicator Scores'!$C$10:$C$161=$C34),0),
  _xlpm.c, MATCH(AZ$8,'3. Enter Indicator Scores'!$D$8:$CZ$8,0),
  _xlpm.v, IFERROR(INDEX('3. Enter Indicator Scores'!$D$10:$CZ$161,_xlpm.r,_xlpm.c),""),
  IF(OR(_xlpm.w="",_xlpm.v=""),"",_xlpm.v*_xlpm.w)
)</f>
        <v/>
      </c>
      <c r="BA34" s="93" t="str" cm="1">
        <f t="array" ref="BA34">_xlfn.LET(
  _xlpm.w, BA$11,
  _xlpm.r, MATCH(1,('3. Enter Indicator Scores'!$B$10:$B$161=$B34)*('3. Enter Indicator Scores'!$C$10:$C$161=$C34),0),
  _xlpm.c, MATCH(BA$8,'3. Enter Indicator Scores'!$D$8:$CZ$8,0),
  _xlpm.v, IFERROR(INDEX('3. Enter Indicator Scores'!$D$10:$CZ$161,_xlpm.r,_xlpm.c),""),
  IF(OR(_xlpm.w="",_xlpm.v=""),"",_xlpm.v*_xlpm.w)
)</f>
        <v/>
      </c>
      <c r="BB34" s="93" t="str" cm="1">
        <f t="array" ref="BB34">_xlfn.LET(
  _xlpm.w, BB$11,
  _xlpm.r, MATCH(1,('3. Enter Indicator Scores'!$B$10:$B$161=$B34)*('3. Enter Indicator Scores'!$C$10:$C$161=$C34),0),
  _xlpm.c, MATCH(BB$8,'3. Enter Indicator Scores'!$D$8:$CZ$8,0),
  _xlpm.v, IFERROR(INDEX('3. Enter Indicator Scores'!$D$10:$CZ$161,_xlpm.r,_xlpm.c),""),
  IF(OR(_xlpm.w="",_xlpm.v=""),"",_xlpm.v*_xlpm.w)
)</f>
        <v/>
      </c>
      <c r="BC34" s="93" t="str" cm="1">
        <f t="array" ref="BC34">_xlfn.LET(
  _xlpm.w, BC$11,
  _xlpm.r, MATCH(1,('3. Enter Indicator Scores'!$B$10:$B$161=$B34)*('3. Enter Indicator Scores'!$C$10:$C$161=$C34),0),
  _xlpm.c, MATCH(BC$8,'3. Enter Indicator Scores'!$D$8:$CZ$8,0),
  _xlpm.v, IFERROR(INDEX('3. Enter Indicator Scores'!$D$10:$CZ$161,_xlpm.r,_xlpm.c),""),
  IF(OR(_xlpm.w="",_xlpm.v=""),"",_xlpm.v*_xlpm.w)
)</f>
        <v/>
      </c>
      <c r="BD34" s="93" t="str" cm="1">
        <f t="array" ref="BD34">_xlfn.LET(
  _xlpm.w, BD$11,
  _xlpm.r, MATCH(1,('3. Enter Indicator Scores'!$B$10:$B$161=$B34)*('3. Enter Indicator Scores'!$C$10:$C$161=$C34),0),
  _xlpm.c, MATCH(BD$8,'3. Enter Indicator Scores'!$D$8:$CZ$8,0),
  _xlpm.v, IFERROR(INDEX('3. Enter Indicator Scores'!$D$10:$CZ$161,_xlpm.r,_xlpm.c),""),
  IF(OR(_xlpm.w="",_xlpm.v=""),"",_xlpm.v*_xlpm.w)
)</f>
        <v/>
      </c>
      <c r="BE34" s="93" t="str" cm="1">
        <f t="array" ref="BE34">_xlfn.LET(
  _xlpm.w, BE$11,
  _xlpm.r, MATCH(1,('3. Enter Indicator Scores'!$B$10:$B$161=$B34)*('3. Enter Indicator Scores'!$C$10:$C$161=$C34),0),
  _xlpm.c, MATCH(BE$8,'3. Enter Indicator Scores'!$D$8:$CZ$8,0),
  _xlpm.v, IFERROR(INDEX('3. Enter Indicator Scores'!$D$10:$CZ$161,_xlpm.r,_xlpm.c),""),
  IF(OR(_xlpm.w="",_xlpm.v=""),"",_xlpm.v*_xlpm.w)
)</f>
        <v/>
      </c>
      <c r="BF34" s="93" t="str" cm="1">
        <f t="array" ref="BF34">_xlfn.LET(
  _xlpm.w, BF$11,
  _xlpm.r, MATCH(1,('3. Enter Indicator Scores'!$B$10:$B$161=$B34)*('3. Enter Indicator Scores'!$C$10:$C$161=$C34),0),
  _xlpm.c, MATCH(BF$8,'3. Enter Indicator Scores'!$D$8:$CZ$8,0),
  _xlpm.v, IFERROR(INDEX('3. Enter Indicator Scores'!$D$10:$CZ$161,_xlpm.r,_xlpm.c),""),
  IF(OR(_xlpm.w="",_xlpm.v=""),"",_xlpm.v*_xlpm.w)
)</f>
        <v/>
      </c>
      <c r="BG34" s="93" t="str" cm="1">
        <f t="array" ref="BG34">_xlfn.LET(
  _xlpm.w, BG$11,
  _xlpm.r, MATCH(1,('3. Enter Indicator Scores'!$B$10:$B$161=$B34)*('3. Enter Indicator Scores'!$C$10:$C$161=$C34),0),
  _xlpm.c, MATCH(BG$8,'3. Enter Indicator Scores'!$D$8:$CZ$8,0),
  _xlpm.v, IFERROR(INDEX('3. Enter Indicator Scores'!$D$10:$CZ$161,_xlpm.r,_xlpm.c),""),
  IF(OR(_xlpm.w="",_xlpm.v=""),"",_xlpm.v*_xlpm.w)
)</f>
        <v/>
      </c>
      <c r="BH34" s="93" t="str" cm="1">
        <f t="array" ref="BH34">_xlfn.LET(
  _xlpm.w, BH$11,
  _xlpm.r, MATCH(1,('3. Enter Indicator Scores'!$B$10:$B$161=$B34)*('3. Enter Indicator Scores'!$C$10:$C$161=$C34),0),
  _xlpm.c, MATCH(BH$8,'3. Enter Indicator Scores'!$D$8:$CZ$8,0),
  _xlpm.v, IFERROR(INDEX('3. Enter Indicator Scores'!$D$10:$CZ$161,_xlpm.r,_xlpm.c),""),
  IF(OR(_xlpm.w="",_xlpm.v=""),"",_xlpm.v*_xlpm.w)
)</f>
        <v/>
      </c>
      <c r="BI34" s="93" t="str" cm="1">
        <f t="array" ref="BI34">_xlfn.LET(
  _xlpm.w, BI$11,
  _xlpm.r, MATCH(1,('3. Enter Indicator Scores'!$B$10:$B$161=$B34)*('3. Enter Indicator Scores'!$C$10:$C$161=$C34),0),
  _xlpm.c, MATCH(BI$8,'3. Enter Indicator Scores'!$D$8:$CZ$8,0),
  _xlpm.v, IFERROR(INDEX('3. Enter Indicator Scores'!$D$10:$CZ$161,_xlpm.r,_xlpm.c),""),
  IF(OR(_xlpm.w="",_xlpm.v=""),"",_xlpm.v*_xlpm.w)
)</f>
        <v/>
      </c>
      <c r="BJ34" s="93" t="str" cm="1">
        <f t="array" ref="BJ34">_xlfn.LET(
  _xlpm.w, BJ$11,
  _xlpm.r, MATCH(1,('3. Enter Indicator Scores'!$B$10:$B$161=$B34)*('3. Enter Indicator Scores'!$C$10:$C$161=$C34),0),
  _xlpm.c, MATCH(BJ$8,'3. Enter Indicator Scores'!$D$8:$CZ$8,0),
  _xlpm.v, IFERROR(INDEX('3. Enter Indicator Scores'!$D$10:$CZ$161,_xlpm.r,_xlpm.c),""),
  IF(OR(_xlpm.w="",_xlpm.v=""),"",_xlpm.v*_xlpm.w)
)</f>
        <v/>
      </c>
      <c r="BK34" s="93" t="str" cm="1">
        <f t="array" ref="BK34">_xlfn.LET(
  _xlpm.w, BK$11,
  _xlpm.r, MATCH(1,('3. Enter Indicator Scores'!$B$10:$B$161=$B34)*('3. Enter Indicator Scores'!$C$10:$C$161=$C34),0),
  _xlpm.c, MATCH(BK$8,'3. Enter Indicator Scores'!$D$8:$CZ$8,0),
  _xlpm.v, IFERROR(INDEX('3. Enter Indicator Scores'!$D$10:$CZ$161,_xlpm.r,_xlpm.c),""),
  IF(OR(_xlpm.w="",_xlpm.v=""),"",_xlpm.v*_xlpm.w)
)</f>
        <v/>
      </c>
      <c r="BL34" s="93" t="str" cm="1">
        <f t="array" ref="BL34">_xlfn.LET(
  _xlpm.w, BL$11,
  _xlpm.r, MATCH(1,('3. Enter Indicator Scores'!$B$10:$B$161=$B34)*('3. Enter Indicator Scores'!$C$10:$C$161=$C34),0),
  _xlpm.c, MATCH(BL$8,'3. Enter Indicator Scores'!$D$8:$CZ$8,0),
  _xlpm.v, IFERROR(INDEX('3. Enter Indicator Scores'!$D$10:$CZ$161,_xlpm.r,_xlpm.c),""),
  IF(OR(_xlpm.w="",_xlpm.v=""),"",_xlpm.v*_xlpm.w)
)</f>
        <v/>
      </c>
      <c r="BM34" s="93" t="str" cm="1">
        <f t="array" ref="BM34">_xlfn.LET(
  _xlpm.w, BM$11,
  _xlpm.r, MATCH(1,('3. Enter Indicator Scores'!$B$10:$B$161=$B34)*('3. Enter Indicator Scores'!$C$10:$C$161=$C34),0),
  _xlpm.c, MATCH(BM$8,'3. Enter Indicator Scores'!$D$8:$CZ$8,0),
  _xlpm.v, IFERROR(INDEX('3. Enter Indicator Scores'!$D$10:$CZ$161,_xlpm.r,_xlpm.c),""),
  IF(OR(_xlpm.w="",_xlpm.v=""),"",_xlpm.v*_xlpm.w)
)</f>
        <v/>
      </c>
      <c r="BN34" s="93" t="str" cm="1">
        <f t="array" ref="BN34">_xlfn.LET(
  _xlpm.w, BN$11,
  _xlpm.r, MATCH(1,('3. Enter Indicator Scores'!$B$10:$B$161=$B34)*('3. Enter Indicator Scores'!$C$10:$C$161=$C34),0),
  _xlpm.c, MATCH(BN$8,'3. Enter Indicator Scores'!$D$8:$CZ$8,0),
  _xlpm.v, IFERROR(INDEX('3. Enter Indicator Scores'!$D$10:$CZ$161,_xlpm.r,_xlpm.c),""),
  IF(OR(_xlpm.w="",_xlpm.v=""),"",_xlpm.v*_xlpm.w)
)</f>
        <v/>
      </c>
      <c r="BO34" s="93" t="str" cm="1">
        <f t="array" ref="BO34">_xlfn.LET(
  _xlpm.w, BO$11,
  _xlpm.r, MATCH(1,('3. Enter Indicator Scores'!$B$10:$B$161=$B34)*('3. Enter Indicator Scores'!$C$10:$C$161=$C34),0),
  _xlpm.c, MATCH(BO$8,'3. Enter Indicator Scores'!$D$8:$CZ$8,0),
  _xlpm.v, IFERROR(INDEX('3. Enter Indicator Scores'!$D$10:$CZ$161,_xlpm.r,_xlpm.c),""),
  IF(OR(_xlpm.w="",_xlpm.v=""),"",_xlpm.v*_xlpm.w)
)</f>
        <v/>
      </c>
      <c r="BP34" s="93" t="str" cm="1">
        <f t="array" ref="BP34">_xlfn.LET(
  _xlpm.w, BP$11,
  _xlpm.r, MATCH(1,('3. Enter Indicator Scores'!$B$10:$B$161=$B34)*('3. Enter Indicator Scores'!$C$10:$C$161=$C34),0),
  _xlpm.c, MATCH(BP$8,'3. Enter Indicator Scores'!$D$8:$CZ$8,0),
  _xlpm.v, IFERROR(INDEX('3. Enter Indicator Scores'!$D$10:$CZ$161,_xlpm.r,_xlpm.c),""),
  IF(OR(_xlpm.w="",_xlpm.v=""),"",_xlpm.v*_xlpm.w)
)</f>
        <v/>
      </c>
      <c r="BQ34" s="93" t="str" cm="1">
        <f t="array" ref="BQ34">_xlfn.LET(
  _xlpm.w, BQ$11,
  _xlpm.r, MATCH(1,('3. Enter Indicator Scores'!$B$10:$B$161=$B34)*('3. Enter Indicator Scores'!$C$10:$C$161=$C34),0),
  _xlpm.c, MATCH(BQ$8,'3. Enter Indicator Scores'!$D$8:$CZ$8,0),
  _xlpm.v, IFERROR(INDEX('3. Enter Indicator Scores'!$D$10:$CZ$161,_xlpm.r,_xlpm.c),""),
  IF(OR(_xlpm.w="",_xlpm.v=""),"",_xlpm.v*_xlpm.w)
)</f>
        <v/>
      </c>
      <c r="BR34" s="93" t="str" cm="1">
        <f t="array" ref="BR34">_xlfn.LET(
  _xlpm.w, BR$11,
  _xlpm.r, MATCH(1,('3. Enter Indicator Scores'!$B$10:$B$161=$B34)*('3. Enter Indicator Scores'!$C$10:$C$161=$C34),0),
  _xlpm.c, MATCH(BR$8,'3. Enter Indicator Scores'!$D$8:$CZ$8,0),
  _xlpm.v, IFERROR(INDEX('3. Enter Indicator Scores'!$D$10:$CZ$161,_xlpm.r,_xlpm.c),""),
  IF(OR(_xlpm.w="",_xlpm.v=""),"",_xlpm.v*_xlpm.w)
)</f>
        <v/>
      </c>
      <c r="BS34" s="93" t="str" cm="1">
        <f t="array" ref="BS34">_xlfn.LET(
  _xlpm.w, BS$11,
  _xlpm.r, MATCH(1,('3. Enter Indicator Scores'!$B$10:$B$161=$B34)*('3. Enter Indicator Scores'!$C$10:$C$161=$C34),0),
  _xlpm.c, MATCH(BS$8,'3. Enter Indicator Scores'!$D$8:$CZ$8,0),
  _xlpm.v, IFERROR(INDEX('3. Enter Indicator Scores'!$D$10:$CZ$161,_xlpm.r,_xlpm.c),""),
  IF(OR(_xlpm.w="",_xlpm.v=""),"",_xlpm.v*_xlpm.w)
)</f>
        <v/>
      </c>
      <c r="BT34" s="93" t="str" cm="1">
        <f t="array" ref="BT34">_xlfn.LET(
  _xlpm.w, BT$11,
  _xlpm.r, MATCH(1,('3. Enter Indicator Scores'!$B$10:$B$161=$B34)*('3. Enter Indicator Scores'!$C$10:$C$161=$C34),0),
  _xlpm.c, MATCH(BT$8,'3. Enter Indicator Scores'!$D$8:$CZ$8,0),
  _xlpm.v, IFERROR(INDEX('3. Enter Indicator Scores'!$D$10:$CZ$161,_xlpm.r,_xlpm.c),""),
  IF(OR(_xlpm.w="",_xlpm.v=""),"",_xlpm.v*_xlpm.w)
)</f>
        <v/>
      </c>
      <c r="BU34" s="93" t="str" cm="1">
        <f t="array" ref="BU34">_xlfn.LET(
  _xlpm.w, BU$11,
  _xlpm.r, MATCH(1,('3. Enter Indicator Scores'!$B$10:$B$161=$B34)*('3. Enter Indicator Scores'!$C$10:$C$161=$C34),0),
  _xlpm.c, MATCH(BU$8,'3. Enter Indicator Scores'!$D$8:$CZ$8,0),
  _xlpm.v, IFERROR(INDEX('3. Enter Indicator Scores'!$D$10:$CZ$161,_xlpm.r,_xlpm.c),""),
  IF(OR(_xlpm.w="",_xlpm.v=""),"",_xlpm.v*_xlpm.w)
)</f>
        <v/>
      </c>
      <c r="BV34" s="93" t="str" cm="1">
        <f t="array" ref="BV34">_xlfn.LET(
  _xlpm.w, BV$11,
  _xlpm.r, MATCH(1,('3. Enter Indicator Scores'!$B$10:$B$161=$B34)*('3. Enter Indicator Scores'!$C$10:$C$161=$C34),0),
  _xlpm.c, MATCH(BV$8,'3. Enter Indicator Scores'!$D$8:$CZ$8,0),
  _xlpm.v, IFERROR(INDEX('3. Enter Indicator Scores'!$D$10:$CZ$161,_xlpm.r,_xlpm.c),""),
  IF(OR(_xlpm.w="",_xlpm.v=""),"",_xlpm.v*_xlpm.w)
)</f>
        <v/>
      </c>
      <c r="BW34" s="93" t="str" cm="1">
        <f t="array" ref="BW34">_xlfn.LET(
  _xlpm.w, BW$11,
  _xlpm.r, MATCH(1,('3. Enter Indicator Scores'!$B$10:$B$161=$B34)*('3. Enter Indicator Scores'!$C$10:$C$161=$C34),0),
  _xlpm.c, MATCH(BW$8,'3. Enter Indicator Scores'!$D$8:$CZ$8,0),
  _xlpm.v, IFERROR(INDEX('3. Enter Indicator Scores'!$D$10:$CZ$161,_xlpm.r,_xlpm.c),""),
  IF(OR(_xlpm.w="",_xlpm.v=""),"",_xlpm.v*_xlpm.w)
)</f>
        <v/>
      </c>
      <c r="BX34" s="93" t="str" cm="1">
        <f t="array" ref="BX34">_xlfn.LET(
  _xlpm.w, BX$11,
  _xlpm.r, MATCH(1,('3. Enter Indicator Scores'!$B$10:$B$161=$B34)*('3. Enter Indicator Scores'!$C$10:$C$161=$C34),0),
  _xlpm.c, MATCH(BX$8,'3. Enter Indicator Scores'!$D$8:$CZ$8,0),
  _xlpm.v, IFERROR(INDEX('3. Enter Indicator Scores'!$D$10:$CZ$161,_xlpm.r,_xlpm.c),""),
  IF(OR(_xlpm.w="",_xlpm.v=""),"",_xlpm.v*_xlpm.w)
)</f>
        <v/>
      </c>
      <c r="BY34" s="93" t="str" cm="1">
        <f t="array" ref="BY34">_xlfn.LET(
  _xlpm.w, BY$11,
  _xlpm.r, MATCH(1,('3. Enter Indicator Scores'!$B$10:$B$161=$B34)*('3. Enter Indicator Scores'!$C$10:$C$161=$C34),0),
  _xlpm.c, MATCH(BY$8,'3. Enter Indicator Scores'!$D$8:$CZ$8,0),
  _xlpm.v, IFERROR(INDEX('3. Enter Indicator Scores'!$D$10:$CZ$161,_xlpm.r,_xlpm.c),""),
  IF(OR(_xlpm.w="",_xlpm.v=""),"",_xlpm.v*_xlpm.w)
)</f>
        <v/>
      </c>
      <c r="BZ34" s="93" t="str" cm="1">
        <f t="array" ref="BZ34">_xlfn.LET(
  _xlpm.w, BZ$11,
  _xlpm.r, MATCH(1,('3. Enter Indicator Scores'!$B$10:$B$161=$B34)*('3. Enter Indicator Scores'!$C$10:$C$161=$C34),0),
  _xlpm.c, MATCH(BZ$8,'3. Enter Indicator Scores'!$D$8:$CZ$8,0),
  _xlpm.v, IFERROR(INDEX('3. Enter Indicator Scores'!$D$10:$CZ$161,_xlpm.r,_xlpm.c),""),
  IF(OR(_xlpm.w="",_xlpm.v=""),"",_xlpm.v*_xlpm.w)
)</f>
        <v/>
      </c>
      <c r="CA34" s="93" t="str" cm="1">
        <f t="array" ref="CA34">_xlfn.LET(
  _xlpm.w, CA$11,
  _xlpm.r, MATCH(1,('3. Enter Indicator Scores'!$B$10:$B$161=$B34)*('3. Enter Indicator Scores'!$C$10:$C$161=$C34),0),
  _xlpm.c, MATCH(CA$8,'3. Enter Indicator Scores'!$D$8:$CZ$8,0),
  _xlpm.v, IFERROR(INDEX('3. Enter Indicator Scores'!$D$10:$CZ$161,_xlpm.r,_xlpm.c),""),
  IF(OR(_xlpm.w="",_xlpm.v=""),"",_xlpm.v*_xlpm.w)
)</f>
        <v/>
      </c>
      <c r="CB34" s="93" t="str" cm="1">
        <f t="array" ref="CB34">_xlfn.LET(
  _xlpm.w, CB$11,
  _xlpm.r, MATCH(1,('3. Enter Indicator Scores'!$B$10:$B$161=$B34)*('3. Enter Indicator Scores'!$C$10:$C$161=$C34),0),
  _xlpm.c, MATCH(CB$8,'3. Enter Indicator Scores'!$D$8:$CZ$8,0),
  _xlpm.v, IFERROR(INDEX('3. Enter Indicator Scores'!$D$10:$CZ$161,_xlpm.r,_xlpm.c),""),
  IF(OR(_xlpm.w="",_xlpm.v=""),"",_xlpm.v*_xlpm.w)
)</f>
        <v/>
      </c>
      <c r="CC34" s="93" t="str" cm="1">
        <f t="array" ref="CC34">_xlfn.LET(
  _xlpm.w, CC$11,
  _xlpm.r, MATCH(1,('3. Enter Indicator Scores'!$B$10:$B$161=$B34)*('3. Enter Indicator Scores'!$C$10:$C$161=$C34),0),
  _xlpm.c, MATCH(CC$8,'3. Enter Indicator Scores'!$D$8:$CZ$8,0),
  _xlpm.v, IFERROR(INDEX('3. Enter Indicator Scores'!$D$10:$CZ$161,_xlpm.r,_xlpm.c),""),
  IF(OR(_xlpm.w="",_xlpm.v=""),"",_xlpm.v*_xlpm.w)
)</f>
        <v/>
      </c>
      <c r="CD34" s="93" t="str" cm="1">
        <f t="array" ref="CD34">_xlfn.LET(
  _xlpm.w, CD$11,
  _xlpm.r, MATCH(1,('3. Enter Indicator Scores'!$B$10:$B$161=$B34)*('3. Enter Indicator Scores'!$C$10:$C$161=$C34),0),
  _xlpm.c, MATCH(CD$8,'3. Enter Indicator Scores'!$D$8:$CZ$8,0),
  _xlpm.v, IFERROR(INDEX('3. Enter Indicator Scores'!$D$10:$CZ$161,_xlpm.r,_xlpm.c),""),
  IF(OR(_xlpm.w="",_xlpm.v=""),"",_xlpm.v*_xlpm.w)
)</f>
        <v/>
      </c>
      <c r="CE34" s="93" t="str" cm="1">
        <f t="array" ref="CE34">_xlfn.LET(
  _xlpm.w, CE$11,
  _xlpm.r, MATCH(1,('3. Enter Indicator Scores'!$B$10:$B$161=$B34)*('3. Enter Indicator Scores'!$C$10:$C$161=$C34),0),
  _xlpm.c, MATCH(CE$8,'3. Enter Indicator Scores'!$D$8:$CZ$8,0),
  _xlpm.v, IFERROR(INDEX('3. Enter Indicator Scores'!$D$10:$CZ$161,_xlpm.r,_xlpm.c),""),
  IF(OR(_xlpm.w="",_xlpm.v=""),"",_xlpm.v*_xlpm.w)
)</f>
        <v/>
      </c>
      <c r="CF34" s="93" t="str" cm="1">
        <f t="array" ref="CF34">_xlfn.LET(
  _xlpm.w, CF$11,
  _xlpm.r, MATCH(1,('3. Enter Indicator Scores'!$B$10:$B$161=$B34)*('3. Enter Indicator Scores'!$C$10:$C$161=$C34),0),
  _xlpm.c, MATCH(CF$8,'3. Enter Indicator Scores'!$D$8:$CZ$8,0),
  _xlpm.v, IFERROR(INDEX('3. Enter Indicator Scores'!$D$10:$CZ$161,_xlpm.r,_xlpm.c),""),
  IF(OR(_xlpm.w="",_xlpm.v=""),"",_xlpm.v*_xlpm.w)
)</f>
        <v/>
      </c>
      <c r="CG34" s="93" t="str" cm="1">
        <f t="array" ref="CG34">_xlfn.LET(
  _xlpm.w, CG$11,
  _xlpm.r, MATCH(1,('3. Enter Indicator Scores'!$B$10:$B$161=$B34)*('3. Enter Indicator Scores'!$C$10:$C$161=$C34),0),
  _xlpm.c, MATCH(CG$8,'3. Enter Indicator Scores'!$D$8:$CZ$8,0),
  _xlpm.v, IFERROR(INDEX('3. Enter Indicator Scores'!$D$10:$CZ$161,_xlpm.r,_xlpm.c),""),
  IF(OR(_xlpm.w="",_xlpm.v=""),"",_xlpm.v*_xlpm.w)
)</f>
        <v/>
      </c>
      <c r="CH34" s="93" t="str" cm="1">
        <f t="array" ref="CH34">_xlfn.LET(
  _xlpm.w, CH$11,
  _xlpm.r, MATCH(1,('3. Enter Indicator Scores'!$B$10:$B$161=$B34)*('3. Enter Indicator Scores'!$C$10:$C$161=$C34),0),
  _xlpm.c, MATCH(CH$8,'3. Enter Indicator Scores'!$D$8:$CZ$8,0),
  _xlpm.v, IFERROR(INDEX('3. Enter Indicator Scores'!$D$10:$CZ$161,_xlpm.r,_xlpm.c),""),
  IF(OR(_xlpm.w="",_xlpm.v=""),"",_xlpm.v*_xlpm.w)
)</f>
        <v/>
      </c>
      <c r="CI34" s="93" t="str" cm="1">
        <f t="array" ref="CI34">_xlfn.LET(
  _xlpm.w, CI$11,
  _xlpm.r, MATCH(1,('3. Enter Indicator Scores'!$B$10:$B$161=$B34)*('3. Enter Indicator Scores'!$C$10:$C$161=$C34),0),
  _xlpm.c, MATCH(CI$8,'3. Enter Indicator Scores'!$D$8:$CZ$8,0),
  _xlpm.v, IFERROR(INDEX('3. Enter Indicator Scores'!$D$10:$CZ$161,_xlpm.r,_xlpm.c),""),
  IF(OR(_xlpm.w="",_xlpm.v=""),"",_xlpm.v*_xlpm.w)
)</f>
        <v/>
      </c>
      <c r="CJ34" s="93" t="str" cm="1">
        <f t="array" ref="CJ34">_xlfn.LET(
  _xlpm.w, CJ$11,
  _xlpm.r, MATCH(1,('3. Enter Indicator Scores'!$B$10:$B$161=$B34)*('3. Enter Indicator Scores'!$C$10:$C$161=$C34),0),
  _xlpm.c, MATCH(CJ$8,'3. Enter Indicator Scores'!$D$8:$CZ$8,0),
  _xlpm.v, IFERROR(INDEX('3. Enter Indicator Scores'!$D$10:$CZ$161,_xlpm.r,_xlpm.c),""),
  IF(OR(_xlpm.w="",_xlpm.v=""),"",_xlpm.v*_xlpm.w)
)</f>
        <v/>
      </c>
      <c r="CK34" s="93" t="str" cm="1">
        <f t="array" ref="CK34">_xlfn.LET(
  _xlpm.w, CK$11,
  _xlpm.r, MATCH(1,('3. Enter Indicator Scores'!$B$10:$B$161=$B34)*('3. Enter Indicator Scores'!$C$10:$C$161=$C34),0),
  _xlpm.c, MATCH(CK$8,'3. Enter Indicator Scores'!$D$8:$CZ$8,0),
  _xlpm.v, IFERROR(INDEX('3. Enter Indicator Scores'!$D$10:$CZ$161,_xlpm.r,_xlpm.c),""),
  IF(OR(_xlpm.w="",_xlpm.v=""),"",_xlpm.v*_xlpm.w)
)</f>
        <v/>
      </c>
      <c r="CL34" s="93" t="str" cm="1">
        <f t="array" ref="CL34">_xlfn.LET(
  _xlpm.w, CL$11,
  _xlpm.r, MATCH(1,('3. Enter Indicator Scores'!$B$10:$B$161=$B34)*('3. Enter Indicator Scores'!$C$10:$C$161=$C34),0),
  _xlpm.c, MATCH(CL$8,'3. Enter Indicator Scores'!$D$8:$CZ$8,0),
  _xlpm.v, IFERROR(INDEX('3. Enter Indicator Scores'!$D$10:$CZ$161,_xlpm.r,_xlpm.c),""),
  IF(OR(_xlpm.w="",_xlpm.v=""),"",_xlpm.v*_xlpm.w)
)</f>
        <v/>
      </c>
      <c r="CM34" s="93" t="str" cm="1">
        <f t="array" ref="CM34">_xlfn.LET(
  _xlpm.w, CM$11,
  _xlpm.r, MATCH(1,('3. Enter Indicator Scores'!$B$10:$B$161=$B34)*('3. Enter Indicator Scores'!$C$10:$C$161=$C34),0),
  _xlpm.c, MATCH(CM$8,'3. Enter Indicator Scores'!$D$8:$CZ$8,0),
  _xlpm.v, IFERROR(INDEX('3. Enter Indicator Scores'!$D$10:$CZ$161,_xlpm.r,_xlpm.c),""),
  IF(OR(_xlpm.w="",_xlpm.v=""),"",_xlpm.v*_xlpm.w)
)</f>
        <v/>
      </c>
      <c r="CN34" s="93" t="str" cm="1">
        <f t="array" ref="CN34">_xlfn.LET(
  _xlpm.w, CN$11,
  _xlpm.r, MATCH(1,('3. Enter Indicator Scores'!$B$10:$B$161=$B34)*('3. Enter Indicator Scores'!$C$10:$C$161=$C34),0),
  _xlpm.c, MATCH(CN$8,'3. Enter Indicator Scores'!$D$8:$CZ$8,0),
  _xlpm.v, IFERROR(INDEX('3. Enter Indicator Scores'!$D$10:$CZ$161,_xlpm.r,_xlpm.c),""),
  IF(OR(_xlpm.w="",_xlpm.v=""),"",_xlpm.v*_xlpm.w)
)</f>
        <v/>
      </c>
      <c r="CO34" s="93" t="str" cm="1">
        <f t="array" ref="CO34">_xlfn.LET(
  _xlpm.w, CO$11,
  _xlpm.r, MATCH(1,('3. Enter Indicator Scores'!$B$10:$B$161=$B34)*('3. Enter Indicator Scores'!$C$10:$C$161=$C34),0),
  _xlpm.c, MATCH(CO$8,'3. Enter Indicator Scores'!$D$8:$CZ$8,0),
  _xlpm.v, IFERROR(INDEX('3. Enter Indicator Scores'!$D$10:$CZ$161,_xlpm.r,_xlpm.c),""),
  IF(OR(_xlpm.w="",_xlpm.v=""),"",_xlpm.v*_xlpm.w)
)</f>
        <v/>
      </c>
      <c r="CP34" s="93" t="str" cm="1">
        <f t="array" ref="CP34">_xlfn.LET(
  _xlpm.w, CP$11,
  _xlpm.r, MATCH(1,('3. Enter Indicator Scores'!$B$10:$B$161=$B34)*('3. Enter Indicator Scores'!$C$10:$C$161=$C34),0),
  _xlpm.c, MATCH(CP$8,'3. Enter Indicator Scores'!$D$8:$CZ$8,0),
  _xlpm.v, IFERROR(INDEX('3. Enter Indicator Scores'!$D$10:$CZ$161,_xlpm.r,_xlpm.c),""),
  IF(OR(_xlpm.w="",_xlpm.v=""),"",_xlpm.v*_xlpm.w)
)</f>
        <v/>
      </c>
      <c r="CQ34" s="93" t="str" cm="1">
        <f t="array" ref="CQ34">_xlfn.LET(
  _xlpm.w, CQ$11,
  _xlpm.r, MATCH(1,('3. Enter Indicator Scores'!$B$10:$B$161=$B34)*('3. Enter Indicator Scores'!$C$10:$C$161=$C34),0),
  _xlpm.c, MATCH(CQ$8,'3. Enter Indicator Scores'!$D$8:$CZ$8,0),
  _xlpm.v, IFERROR(INDEX('3. Enter Indicator Scores'!$D$10:$CZ$161,_xlpm.r,_xlpm.c),""),
  IF(OR(_xlpm.w="",_xlpm.v=""),"",_xlpm.v*_xlpm.w)
)</f>
        <v/>
      </c>
      <c r="CR34" s="93" t="str" cm="1">
        <f t="array" ref="CR34">_xlfn.LET(
  _xlpm.w, CR$11,
  _xlpm.r, MATCH(1,('3. Enter Indicator Scores'!$B$10:$B$161=$B34)*('3. Enter Indicator Scores'!$C$10:$C$161=$C34),0),
  _xlpm.c, MATCH(CR$8,'3. Enter Indicator Scores'!$D$8:$CZ$8,0),
  _xlpm.v, IFERROR(INDEX('3. Enter Indicator Scores'!$D$10:$CZ$161,_xlpm.r,_xlpm.c),""),
  IF(OR(_xlpm.w="",_xlpm.v=""),"",_xlpm.v*_xlpm.w)
)</f>
        <v/>
      </c>
      <c r="CS34" s="93" t="str" cm="1">
        <f t="array" ref="CS34">_xlfn.LET(
  _xlpm.w, CS$11,
  _xlpm.r, MATCH(1,('3. Enter Indicator Scores'!$B$10:$B$161=$B34)*('3. Enter Indicator Scores'!$C$10:$C$161=$C34),0),
  _xlpm.c, MATCH(CS$8,'3. Enter Indicator Scores'!$D$8:$CZ$8,0),
  _xlpm.v, IFERROR(INDEX('3. Enter Indicator Scores'!$D$10:$CZ$161,_xlpm.r,_xlpm.c),""),
  IF(OR(_xlpm.w="",_xlpm.v=""),"",_xlpm.v*_xlpm.w)
)</f>
        <v/>
      </c>
      <c r="CT34" s="93" t="str" cm="1">
        <f t="array" ref="CT34">_xlfn.LET(
  _xlpm.w, CT$11,
  _xlpm.r, MATCH(1,('3. Enter Indicator Scores'!$B$10:$B$161=$B34)*('3. Enter Indicator Scores'!$C$10:$C$161=$C34),0),
  _xlpm.c, MATCH(CT$8,'3. Enter Indicator Scores'!$D$8:$CZ$8,0),
  _xlpm.v, IFERROR(INDEX('3. Enter Indicator Scores'!$D$10:$CZ$161,_xlpm.r,_xlpm.c),""),
  IF(OR(_xlpm.w="",_xlpm.v=""),"",_xlpm.v*_xlpm.w)
)</f>
        <v/>
      </c>
      <c r="CU34" s="93" t="str" cm="1">
        <f t="array" ref="CU34">_xlfn.LET(
  _xlpm.w, CU$11,
  _xlpm.r, MATCH(1,('3. Enter Indicator Scores'!$B$10:$B$161=$B34)*('3. Enter Indicator Scores'!$C$10:$C$161=$C34),0),
  _xlpm.c, MATCH(CU$8,'3. Enter Indicator Scores'!$D$8:$CZ$8,0),
  _xlpm.v, IFERROR(INDEX('3. Enter Indicator Scores'!$D$10:$CZ$161,_xlpm.r,_xlpm.c),""),
  IF(OR(_xlpm.w="",_xlpm.v=""),"",_xlpm.v*_xlpm.w)
)</f>
        <v/>
      </c>
      <c r="CV34" s="93" t="str" cm="1">
        <f t="array" ref="CV34">_xlfn.LET(
  _xlpm.w, CV$11,
  _xlpm.r, MATCH(1,('3. Enter Indicator Scores'!$B$10:$B$161=$B34)*('3. Enter Indicator Scores'!$C$10:$C$161=$C34),0),
  _xlpm.c, MATCH(CV$8,'3. Enter Indicator Scores'!$D$8:$CZ$8,0),
  _xlpm.v, IFERROR(INDEX('3. Enter Indicator Scores'!$D$10:$CZ$161,_xlpm.r,_xlpm.c),""),
  IF(OR(_xlpm.w="",_xlpm.v=""),"",_xlpm.v*_xlpm.w)
)</f>
        <v/>
      </c>
      <c r="CW34" s="93" t="str" cm="1">
        <f t="array" ref="CW34">_xlfn.LET(
  _xlpm.w, CW$11,
  _xlpm.r, MATCH(1,('3. Enter Indicator Scores'!$B$10:$B$161=$B34)*('3. Enter Indicator Scores'!$C$10:$C$161=$C34),0),
  _xlpm.c, MATCH(CW$8,'3. Enter Indicator Scores'!$D$8:$CZ$8,0),
  _xlpm.v, IFERROR(INDEX('3. Enter Indicator Scores'!$D$10:$CZ$161,_xlpm.r,_xlpm.c),""),
  IF(OR(_xlpm.w="",_xlpm.v=""),"",_xlpm.v*_xlpm.w)
)</f>
        <v/>
      </c>
      <c r="CX34" s="93" t="str" cm="1">
        <f t="array" ref="CX34">_xlfn.LET(
  _xlpm.w, CX$11,
  _xlpm.r, MATCH(1,('3. Enter Indicator Scores'!$B$10:$B$161=$B34)*('3. Enter Indicator Scores'!$C$10:$C$161=$C34),0),
  _xlpm.c, MATCH(CX$8,'3. Enter Indicator Scores'!$D$8:$CZ$8,0),
  _xlpm.v, IFERROR(INDEX('3. Enter Indicator Scores'!$D$10:$CZ$161,_xlpm.r,_xlpm.c),""),
  IF(OR(_xlpm.w="",_xlpm.v=""),"",_xlpm.v*_xlpm.w)
)</f>
        <v/>
      </c>
      <c r="CY34" s="93" t="str" cm="1">
        <f t="array" ref="CY34">_xlfn.LET(
  _xlpm.w, CY$11,
  _xlpm.r, MATCH(1,('3. Enter Indicator Scores'!$B$10:$B$161=$B34)*('3. Enter Indicator Scores'!$C$10:$C$161=$C34),0),
  _xlpm.c, MATCH(CY$8,'3. Enter Indicator Scores'!$D$8:$CZ$8,0),
  _xlpm.v, IFERROR(INDEX('3. Enter Indicator Scores'!$D$10:$CZ$161,_xlpm.r,_xlpm.c),""),
  IF(OR(_xlpm.w="",_xlpm.v=""),"",_xlpm.v*_xlpm.w)
)</f>
        <v/>
      </c>
      <c r="CZ34" s="93" t="str" cm="1">
        <f t="array" ref="CZ34">_xlfn.LET(
  _xlpm.w, CZ$11,
  _xlpm.r, MATCH(1,('3. Enter Indicator Scores'!$B$10:$B$161=$B34)*('3. Enter Indicator Scores'!$C$10:$C$161=$C34),0),
  _xlpm.c, MATCH(CZ$8,'3. Enter Indicator Scores'!$D$8:$CZ$8,0),
  _xlpm.v, IFERROR(INDEX('3. Enter Indicator Scores'!$D$10:$CZ$161,_xlpm.r,_xlpm.c),""),
  IF(OR(_xlpm.w="",_xlpm.v=""),"",_xlpm.v*_xlpm.w)
)</f>
        <v/>
      </c>
    </row>
    <row r="35" spans="4:104" x14ac:dyDescent="0.2">
      <c r="D35" s="93" t="str" cm="1">
        <f t="array" ref="D35">_xlfn.LET(
  _xlpm.w, D$11,
  _xlpm.r, MATCH(1,('3. Enter Indicator Scores'!$B$10:$B$161=$B35)*('3. Enter Indicator Scores'!$C$10:$C$161=$C35),0),
  _xlpm.c, MATCH(D$8,'3. Enter Indicator Scores'!$D$8:$CZ$8,0),
  _xlpm.v, IFERROR(INDEX('3. Enter Indicator Scores'!$D$10:$CZ$161,_xlpm.r,_xlpm.c),""),
  IF(OR(_xlpm.w="",_xlpm.v=""),"",_xlpm.v*_xlpm.w)
)</f>
        <v/>
      </c>
      <c r="E35" s="93" t="str" cm="1">
        <f t="array" ref="E35">_xlfn.LET(
  _xlpm.w, E$11,
  _xlpm.r, MATCH(1,('3. Enter Indicator Scores'!$B$10:$B$161=$B35)*('3. Enter Indicator Scores'!$C$10:$C$161=$C35),0),
  _xlpm.c, MATCH(E$8,'3. Enter Indicator Scores'!$D$8:$CZ$8,0),
  _xlpm.v, IFERROR(INDEX('3. Enter Indicator Scores'!$D$10:$CZ$161,_xlpm.r,_xlpm.c),""),
  IF(OR(_xlpm.w="",_xlpm.v=""),"",_xlpm.v*_xlpm.w)
)</f>
        <v/>
      </c>
      <c r="F35" s="93" t="str" cm="1">
        <f t="array" ref="F35">_xlfn.LET(
  _xlpm.w, F$11,
  _xlpm.r, MATCH(1,('3. Enter Indicator Scores'!$B$10:$B$161=$B35)*('3. Enter Indicator Scores'!$C$10:$C$161=$C35),0),
  _xlpm.c, MATCH(F$8,'3. Enter Indicator Scores'!$D$8:$CZ$8,0),
  _xlpm.v, IFERROR(INDEX('3. Enter Indicator Scores'!$D$10:$CZ$161,_xlpm.r,_xlpm.c),""),
  IF(OR(_xlpm.w="",_xlpm.v=""),"",_xlpm.v*_xlpm.w)
)</f>
        <v/>
      </c>
      <c r="G35" s="93" t="str" cm="1">
        <f t="array" ref="G35">_xlfn.LET(
  _xlpm.w, G$11,
  _xlpm.r, MATCH(1,('3. Enter Indicator Scores'!$B$10:$B$161=$B35)*('3. Enter Indicator Scores'!$C$10:$C$161=$C35),0),
  _xlpm.c, MATCH(G$8,'3. Enter Indicator Scores'!$D$8:$CZ$8,0),
  _xlpm.v, IFERROR(INDEX('3. Enter Indicator Scores'!$D$10:$CZ$161,_xlpm.r,_xlpm.c),""),
  IF(OR(_xlpm.w="",_xlpm.v=""),"",_xlpm.v*_xlpm.w)
)</f>
        <v/>
      </c>
      <c r="H35" s="93" t="str" cm="1">
        <f t="array" ref="H35">_xlfn.LET(
  _xlpm.w, H$11,
  _xlpm.r, MATCH(1,('3. Enter Indicator Scores'!$B$10:$B$161=$B35)*('3. Enter Indicator Scores'!$C$10:$C$161=$C35),0),
  _xlpm.c, MATCH(H$8,'3. Enter Indicator Scores'!$D$8:$CZ$8,0),
  _xlpm.v, IFERROR(INDEX('3. Enter Indicator Scores'!$D$10:$CZ$161,_xlpm.r,_xlpm.c),""),
  IF(OR(_xlpm.w="",_xlpm.v=""),"",_xlpm.v*_xlpm.w)
)</f>
        <v/>
      </c>
      <c r="I35" s="93" t="str" cm="1">
        <f t="array" ref="I35">_xlfn.LET(
  _xlpm.w, I$11,
  _xlpm.r, MATCH(1,('3. Enter Indicator Scores'!$B$10:$B$161=$B35)*('3. Enter Indicator Scores'!$C$10:$C$161=$C35),0),
  _xlpm.c, MATCH(I$8,'3. Enter Indicator Scores'!$D$8:$CZ$8,0),
  _xlpm.v, IFERROR(INDEX('3. Enter Indicator Scores'!$D$10:$CZ$161,_xlpm.r,_xlpm.c),""),
  IF(OR(_xlpm.w="",_xlpm.v=""),"",_xlpm.v*_xlpm.w)
)</f>
        <v/>
      </c>
      <c r="J35" s="93" t="str" cm="1">
        <f t="array" ref="J35">_xlfn.LET(
  _xlpm.w, J$11,
  _xlpm.r, MATCH(1,('3. Enter Indicator Scores'!$B$10:$B$161=$B35)*('3. Enter Indicator Scores'!$C$10:$C$161=$C35),0),
  _xlpm.c, MATCH(J$8,'3. Enter Indicator Scores'!$D$8:$CZ$8,0),
  _xlpm.v, IFERROR(INDEX('3. Enter Indicator Scores'!$D$10:$CZ$161,_xlpm.r,_xlpm.c),""),
  IF(OR(_xlpm.w="",_xlpm.v=""),"",_xlpm.v*_xlpm.w)
)</f>
        <v/>
      </c>
      <c r="K35" s="93" t="str" cm="1">
        <f t="array" ref="K35">_xlfn.LET(
  _xlpm.w, K$11,
  _xlpm.r, MATCH(1,('3. Enter Indicator Scores'!$B$10:$B$161=$B35)*('3. Enter Indicator Scores'!$C$10:$C$161=$C35),0),
  _xlpm.c, MATCH(K$8,'3. Enter Indicator Scores'!$D$8:$CZ$8,0),
  _xlpm.v, IFERROR(INDEX('3. Enter Indicator Scores'!$D$10:$CZ$161,_xlpm.r,_xlpm.c),""),
  IF(OR(_xlpm.w="",_xlpm.v=""),"",_xlpm.v*_xlpm.w)
)</f>
        <v/>
      </c>
      <c r="L35" s="93" t="str" cm="1">
        <f t="array" ref="L35">_xlfn.LET(
  _xlpm.w, L$11,
  _xlpm.r, MATCH(1,('3. Enter Indicator Scores'!$B$10:$B$161=$B35)*('3. Enter Indicator Scores'!$C$10:$C$161=$C35),0),
  _xlpm.c, MATCH(L$8,'3. Enter Indicator Scores'!$D$8:$CZ$8,0),
  _xlpm.v, IFERROR(INDEX('3. Enter Indicator Scores'!$D$10:$CZ$161,_xlpm.r,_xlpm.c),""),
  IF(OR(_xlpm.w="",_xlpm.v=""),"",_xlpm.v*_xlpm.w)
)</f>
        <v/>
      </c>
      <c r="M35" s="93" t="str" cm="1">
        <f t="array" ref="M35">_xlfn.LET(
  _xlpm.w, M$11,
  _xlpm.r, MATCH(1,('3. Enter Indicator Scores'!$B$10:$B$161=$B35)*('3. Enter Indicator Scores'!$C$10:$C$161=$C35),0),
  _xlpm.c, MATCH(M$8,'3. Enter Indicator Scores'!$D$8:$CZ$8,0),
  _xlpm.v, IFERROR(INDEX('3. Enter Indicator Scores'!$D$10:$CZ$161,_xlpm.r,_xlpm.c),""),
  IF(OR(_xlpm.w="",_xlpm.v=""),"",_xlpm.v*_xlpm.w)
)</f>
        <v/>
      </c>
      <c r="N35" s="93" t="str" cm="1">
        <f t="array" ref="N35">_xlfn.LET(
  _xlpm.w, N$11,
  _xlpm.r, MATCH(1,('3. Enter Indicator Scores'!$B$10:$B$161=$B35)*('3. Enter Indicator Scores'!$C$10:$C$161=$C35),0),
  _xlpm.c, MATCH(N$8,'3. Enter Indicator Scores'!$D$8:$CZ$8,0),
  _xlpm.v, IFERROR(INDEX('3. Enter Indicator Scores'!$D$10:$CZ$161,_xlpm.r,_xlpm.c),""),
  IF(OR(_xlpm.w="",_xlpm.v=""),"",_xlpm.v*_xlpm.w)
)</f>
        <v/>
      </c>
      <c r="O35" s="93" t="str" cm="1">
        <f t="array" ref="O35">_xlfn.LET(
  _xlpm.w, O$11,
  _xlpm.r, MATCH(1,('3. Enter Indicator Scores'!$B$10:$B$161=$B35)*('3. Enter Indicator Scores'!$C$10:$C$161=$C35),0),
  _xlpm.c, MATCH(O$8,'3. Enter Indicator Scores'!$D$8:$CZ$8,0),
  _xlpm.v, IFERROR(INDEX('3. Enter Indicator Scores'!$D$10:$CZ$161,_xlpm.r,_xlpm.c),""),
  IF(OR(_xlpm.w="",_xlpm.v=""),"",_xlpm.v*_xlpm.w)
)</f>
        <v/>
      </c>
      <c r="P35" s="93" t="str" cm="1">
        <f t="array" ref="P35">_xlfn.LET(
  _xlpm.w, P$11,
  _xlpm.r, MATCH(1,('3. Enter Indicator Scores'!$B$10:$B$161=$B35)*('3. Enter Indicator Scores'!$C$10:$C$161=$C35),0),
  _xlpm.c, MATCH(P$8,'3. Enter Indicator Scores'!$D$8:$CZ$8,0),
  _xlpm.v, IFERROR(INDEX('3. Enter Indicator Scores'!$D$10:$CZ$161,_xlpm.r,_xlpm.c),""),
  IF(OR(_xlpm.w="",_xlpm.v=""),"",_xlpm.v*_xlpm.w)
)</f>
        <v/>
      </c>
      <c r="Q35" s="93" t="str" cm="1">
        <f t="array" ref="Q35">_xlfn.LET(
  _xlpm.w, Q$11,
  _xlpm.r, MATCH(1,('3. Enter Indicator Scores'!$B$10:$B$161=$B35)*('3. Enter Indicator Scores'!$C$10:$C$161=$C35),0),
  _xlpm.c, MATCH(Q$8,'3. Enter Indicator Scores'!$D$8:$CZ$8,0),
  _xlpm.v, IFERROR(INDEX('3. Enter Indicator Scores'!$D$10:$CZ$161,_xlpm.r,_xlpm.c),""),
  IF(OR(_xlpm.w="",_xlpm.v=""),"",_xlpm.v*_xlpm.w)
)</f>
        <v/>
      </c>
      <c r="R35" s="93" t="str" cm="1">
        <f t="array" ref="R35">_xlfn.LET(
  _xlpm.w, R$11,
  _xlpm.r, MATCH(1,('3. Enter Indicator Scores'!$B$10:$B$161=$B35)*('3. Enter Indicator Scores'!$C$10:$C$161=$C35),0),
  _xlpm.c, MATCH(R$8,'3. Enter Indicator Scores'!$D$8:$CZ$8,0),
  _xlpm.v, IFERROR(INDEX('3. Enter Indicator Scores'!$D$10:$CZ$161,_xlpm.r,_xlpm.c),""),
  IF(OR(_xlpm.w="",_xlpm.v=""),"",_xlpm.v*_xlpm.w)
)</f>
        <v/>
      </c>
      <c r="S35" s="93" t="str" cm="1">
        <f t="array" ref="S35">_xlfn.LET(
  _xlpm.w, S$11,
  _xlpm.r, MATCH(1,('3. Enter Indicator Scores'!$B$10:$B$161=$B35)*('3. Enter Indicator Scores'!$C$10:$C$161=$C35),0),
  _xlpm.c, MATCH(S$8,'3. Enter Indicator Scores'!$D$8:$CZ$8,0),
  _xlpm.v, IFERROR(INDEX('3. Enter Indicator Scores'!$D$10:$CZ$161,_xlpm.r,_xlpm.c),""),
  IF(OR(_xlpm.w="",_xlpm.v=""),"",_xlpm.v*_xlpm.w)
)</f>
        <v/>
      </c>
      <c r="T35" s="93" t="str" cm="1">
        <f t="array" ref="T35">_xlfn.LET(
  _xlpm.w, T$11,
  _xlpm.r, MATCH(1,('3. Enter Indicator Scores'!$B$10:$B$161=$B35)*('3. Enter Indicator Scores'!$C$10:$C$161=$C35),0),
  _xlpm.c, MATCH(T$8,'3. Enter Indicator Scores'!$D$8:$CZ$8,0),
  _xlpm.v, IFERROR(INDEX('3. Enter Indicator Scores'!$D$10:$CZ$161,_xlpm.r,_xlpm.c),""),
  IF(OR(_xlpm.w="",_xlpm.v=""),"",_xlpm.v*_xlpm.w)
)</f>
        <v/>
      </c>
      <c r="U35" s="93" t="str" cm="1">
        <f t="array" ref="U35">_xlfn.LET(
  _xlpm.w, U$11,
  _xlpm.r, MATCH(1,('3. Enter Indicator Scores'!$B$10:$B$161=$B35)*('3. Enter Indicator Scores'!$C$10:$C$161=$C35),0),
  _xlpm.c, MATCH(U$8,'3. Enter Indicator Scores'!$D$8:$CZ$8,0),
  _xlpm.v, IFERROR(INDEX('3. Enter Indicator Scores'!$D$10:$CZ$161,_xlpm.r,_xlpm.c),""),
  IF(OR(_xlpm.w="",_xlpm.v=""),"",_xlpm.v*_xlpm.w)
)</f>
        <v/>
      </c>
      <c r="V35" s="93" t="str" cm="1">
        <f t="array" ref="V35">_xlfn.LET(
  _xlpm.w, V$11,
  _xlpm.r, MATCH(1,('3. Enter Indicator Scores'!$B$10:$B$161=$B35)*('3. Enter Indicator Scores'!$C$10:$C$161=$C35),0),
  _xlpm.c, MATCH(V$8,'3. Enter Indicator Scores'!$D$8:$CZ$8,0),
  _xlpm.v, IFERROR(INDEX('3. Enter Indicator Scores'!$D$10:$CZ$161,_xlpm.r,_xlpm.c),""),
  IF(OR(_xlpm.w="",_xlpm.v=""),"",_xlpm.v*_xlpm.w)
)</f>
        <v/>
      </c>
      <c r="W35" s="93" t="str" cm="1">
        <f t="array" ref="W35">_xlfn.LET(
  _xlpm.w, W$11,
  _xlpm.r, MATCH(1,('3. Enter Indicator Scores'!$B$10:$B$161=$B35)*('3. Enter Indicator Scores'!$C$10:$C$161=$C35),0),
  _xlpm.c, MATCH(W$8,'3. Enter Indicator Scores'!$D$8:$CZ$8,0),
  _xlpm.v, IFERROR(INDEX('3. Enter Indicator Scores'!$D$10:$CZ$161,_xlpm.r,_xlpm.c),""),
  IF(OR(_xlpm.w="",_xlpm.v=""),"",_xlpm.v*_xlpm.w)
)</f>
        <v/>
      </c>
      <c r="X35" s="93" t="str" cm="1">
        <f t="array" ref="X35">_xlfn.LET(
  _xlpm.w, X$11,
  _xlpm.r, MATCH(1,('3. Enter Indicator Scores'!$B$10:$B$161=$B35)*('3. Enter Indicator Scores'!$C$10:$C$161=$C35),0),
  _xlpm.c, MATCH(X$8,'3. Enter Indicator Scores'!$D$8:$CZ$8,0),
  _xlpm.v, IFERROR(INDEX('3. Enter Indicator Scores'!$D$10:$CZ$161,_xlpm.r,_xlpm.c),""),
  IF(OR(_xlpm.w="",_xlpm.v=""),"",_xlpm.v*_xlpm.w)
)</f>
        <v/>
      </c>
      <c r="Y35" s="93" t="str" cm="1">
        <f t="array" ref="Y35">_xlfn.LET(
  _xlpm.w, Y$11,
  _xlpm.r, MATCH(1,('3. Enter Indicator Scores'!$B$10:$B$161=$B35)*('3. Enter Indicator Scores'!$C$10:$C$161=$C35),0),
  _xlpm.c, MATCH(Y$8,'3. Enter Indicator Scores'!$D$8:$CZ$8,0),
  _xlpm.v, IFERROR(INDEX('3. Enter Indicator Scores'!$D$10:$CZ$161,_xlpm.r,_xlpm.c),""),
  IF(OR(_xlpm.w="",_xlpm.v=""),"",_xlpm.v*_xlpm.w)
)</f>
        <v/>
      </c>
      <c r="Z35" s="93" t="str" cm="1">
        <f t="array" ref="Z35">_xlfn.LET(
  _xlpm.w, Z$11,
  _xlpm.r, MATCH(1,('3. Enter Indicator Scores'!$B$10:$B$161=$B35)*('3. Enter Indicator Scores'!$C$10:$C$161=$C35),0),
  _xlpm.c, MATCH(Z$8,'3. Enter Indicator Scores'!$D$8:$CZ$8,0),
  _xlpm.v, IFERROR(INDEX('3. Enter Indicator Scores'!$D$10:$CZ$161,_xlpm.r,_xlpm.c),""),
  IF(OR(_xlpm.w="",_xlpm.v=""),"",_xlpm.v*_xlpm.w)
)</f>
        <v/>
      </c>
      <c r="AA35" s="93" t="str" cm="1">
        <f t="array" ref="AA35">_xlfn.LET(
  _xlpm.w, AA$11,
  _xlpm.r, MATCH(1,('3. Enter Indicator Scores'!$B$10:$B$161=$B35)*('3. Enter Indicator Scores'!$C$10:$C$161=$C35),0),
  _xlpm.c, MATCH(AA$8,'3. Enter Indicator Scores'!$D$8:$CZ$8,0),
  _xlpm.v, IFERROR(INDEX('3. Enter Indicator Scores'!$D$10:$CZ$161,_xlpm.r,_xlpm.c),""),
  IF(OR(_xlpm.w="",_xlpm.v=""),"",_xlpm.v*_xlpm.w)
)</f>
        <v/>
      </c>
      <c r="AB35" s="93" t="str" cm="1">
        <f t="array" ref="AB35">_xlfn.LET(
  _xlpm.w, AB$11,
  _xlpm.r, MATCH(1,('3. Enter Indicator Scores'!$B$10:$B$161=$B35)*('3. Enter Indicator Scores'!$C$10:$C$161=$C35),0),
  _xlpm.c, MATCH(AB$8,'3. Enter Indicator Scores'!$D$8:$CZ$8,0),
  _xlpm.v, IFERROR(INDEX('3. Enter Indicator Scores'!$D$10:$CZ$161,_xlpm.r,_xlpm.c),""),
  IF(OR(_xlpm.w="",_xlpm.v=""),"",_xlpm.v*_xlpm.w)
)</f>
        <v/>
      </c>
      <c r="AC35" s="93" t="str" cm="1">
        <f t="array" ref="AC35">_xlfn.LET(
  _xlpm.w, AC$11,
  _xlpm.r, MATCH(1,('3. Enter Indicator Scores'!$B$10:$B$161=$B35)*('3. Enter Indicator Scores'!$C$10:$C$161=$C35),0),
  _xlpm.c, MATCH(AC$8,'3. Enter Indicator Scores'!$D$8:$CZ$8,0),
  _xlpm.v, IFERROR(INDEX('3. Enter Indicator Scores'!$D$10:$CZ$161,_xlpm.r,_xlpm.c),""),
  IF(OR(_xlpm.w="",_xlpm.v=""),"",_xlpm.v*_xlpm.w)
)</f>
        <v/>
      </c>
      <c r="AD35" s="93" t="str" cm="1">
        <f t="array" ref="AD35">_xlfn.LET(
  _xlpm.w, AD$11,
  _xlpm.r, MATCH(1,('3. Enter Indicator Scores'!$B$10:$B$161=$B35)*('3. Enter Indicator Scores'!$C$10:$C$161=$C35),0),
  _xlpm.c, MATCH(AD$8,'3. Enter Indicator Scores'!$D$8:$CZ$8,0),
  _xlpm.v, IFERROR(INDEX('3. Enter Indicator Scores'!$D$10:$CZ$161,_xlpm.r,_xlpm.c),""),
  IF(OR(_xlpm.w="",_xlpm.v=""),"",_xlpm.v*_xlpm.w)
)</f>
        <v/>
      </c>
      <c r="AE35" s="93" t="str" cm="1">
        <f t="array" ref="AE35">_xlfn.LET(
  _xlpm.w, AE$11,
  _xlpm.r, MATCH(1,('3. Enter Indicator Scores'!$B$10:$B$161=$B35)*('3. Enter Indicator Scores'!$C$10:$C$161=$C35),0),
  _xlpm.c, MATCH(AE$8,'3. Enter Indicator Scores'!$D$8:$CZ$8,0),
  _xlpm.v, IFERROR(INDEX('3. Enter Indicator Scores'!$D$10:$CZ$161,_xlpm.r,_xlpm.c),""),
  IF(OR(_xlpm.w="",_xlpm.v=""),"",_xlpm.v*_xlpm.w)
)</f>
        <v/>
      </c>
      <c r="AF35" s="93" t="str" cm="1">
        <f t="array" ref="AF35">_xlfn.LET(
  _xlpm.w, AF$11,
  _xlpm.r, MATCH(1,('3. Enter Indicator Scores'!$B$10:$B$161=$B35)*('3. Enter Indicator Scores'!$C$10:$C$161=$C35),0),
  _xlpm.c, MATCH(AF$8,'3. Enter Indicator Scores'!$D$8:$CZ$8,0),
  _xlpm.v, IFERROR(INDEX('3. Enter Indicator Scores'!$D$10:$CZ$161,_xlpm.r,_xlpm.c),""),
  IF(OR(_xlpm.w="",_xlpm.v=""),"",_xlpm.v*_xlpm.w)
)</f>
        <v/>
      </c>
      <c r="AG35" s="93" t="str" cm="1">
        <f t="array" ref="AG35">_xlfn.LET(
  _xlpm.w, AG$11,
  _xlpm.r, MATCH(1,('3. Enter Indicator Scores'!$B$10:$B$161=$B35)*('3. Enter Indicator Scores'!$C$10:$C$161=$C35),0),
  _xlpm.c, MATCH(AG$8,'3. Enter Indicator Scores'!$D$8:$CZ$8,0),
  _xlpm.v, IFERROR(INDEX('3. Enter Indicator Scores'!$D$10:$CZ$161,_xlpm.r,_xlpm.c),""),
  IF(OR(_xlpm.w="",_xlpm.v=""),"",_xlpm.v*_xlpm.w)
)</f>
        <v/>
      </c>
      <c r="AH35" s="93" t="str" cm="1">
        <f t="array" ref="AH35">_xlfn.LET(
  _xlpm.w, AH$11,
  _xlpm.r, MATCH(1,('3. Enter Indicator Scores'!$B$10:$B$161=$B35)*('3. Enter Indicator Scores'!$C$10:$C$161=$C35),0),
  _xlpm.c, MATCH(AH$8,'3. Enter Indicator Scores'!$D$8:$CZ$8,0),
  _xlpm.v, IFERROR(INDEX('3. Enter Indicator Scores'!$D$10:$CZ$161,_xlpm.r,_xlpm.c),""),
  IF(OR(_xlpm.w="",_xlpm.v=""),"",_xlpm.v*_xlpm.w)
)</f>
        <v/>
      </c>
      <c r="AI35" s="93" t="str" cm="1">
        <f t="array" ref="AI35">_xlfn.LET(
  _xlpm.w, AI$11,
  _xlpm.r, MATCH(1,('3. Enter Indicator Scores'!$B$10:$B$161=$B35)*('3. Enter Indicator Scores'!$C$10:$C$161=$C35),0),
  _xlpm.c, MATCH(AI$8,'3. Enter Indicator Scores'!$D$8:$CZ$8,0),
  _xlpm.v, IFERROR(INDEX('3. Enter Indicator Scores'!$D$10:$CZ$161,_xlpm.r,_xlpm.c),""),
  IF(OR(_xlpm.w="",_xlpm.v=""),"",_xlpm.v*_xlpm.w)
)</f>
        <v/>
      </c>
      <c r="AJ35" s="93" t="str" cm="1">
        <f t="array" ref="AJ35">_xlfn.LET(
  _xlpm.w, AJ$11,
  _xlpm.r, MATCH(1,('3. Enter Indicator Scores'!$B$10:$B$161=$B35)*('3. Enter Indicator Scores'!$C$10:$C$161=$C35),0),
  _xlpm.c, MATCH(AJ$8,'3. Enter Indicator Scores'!$D$8:$CZ$8,0),
  _xlpm.v, IFERROR(INDEX('3. Enter Indicator Scores'!$D$10:$CZ$161,_xlpm.r,_xlpm.c),""),
  IF(OR(_xlpm.w="",_xlpm.v=""),"",_xlpm.v*_xlpm.w)
)</f>
        <v/>
      </c>
      <c r="AK35" s="93" t="str" cm="1">
        <f t="array" ref="AK35">_xlfn.LET(
  _xlpm.w, AK$11,
  _xlpm.r, MATCH(1,('3. Enter Indicator Scores'!$B$10:$B$161=$B35)*('3. Enter Indicator Scores'!$C$10:$C$161=$C35),0),
  _xlpm.c, MATCH(AK$8,'3. Enter Indicator Scores'!$D$8:$CZ$8,0),
  _xlpm.v, IFERROR(INDEX('3. Enter Indicator Scores'!$D$10:$CZ$161,_xlpm.r,_xlpm.c),""),
  IF(OR(_xlpm.w="",_xlpm.v=""),"",_xlpm.v*_xlpm.w)
)</f>
        <v/>
      </c>
      <c r="AL35" s="93" t="str" cm="1">
        <f t="array" ref="AL35">_xlfn.LET(
  _xlpm.w, AL$11,
  _xlpm.r, MATCH(1,('3. Enter Indicator Scores'!$B$10:$B$161=$B35)*('3. Enter Indicator Scores'!$C$10:$C$161=$C35),0),
  _xlpm.c, MATCH(AL$8,'3. Enter Indicator Scores'!$D$8:$CZ$8,0),
  _xlpm.v, IFERROR(INDEX('3. Enter Indicator Scores'!$D$10:$CZ$161,_xlpm.r,_xlpm.c),""),
  IF(OR(_xlpm.w="",_xlpm.v=""),"",_xlpm.v*_xlpm.w)
)</f>
        <v/>
      </c>
      <c r="AM35" s="93" t="str" cm="1">
        <f t="array" ref="AM35">_xlfn.LET(
  _xlpm.w, AM$11,
  _xlpm.r, MATCH(1,('3. Enter Indicator Scores'!$B$10:$B$161=$B35)*('3. Enter Indicator Scores'!$C$10:$C$161=$C35),0),
  _xlpm.c, MATCH(AM$8,'3. Enter Indicator Scores'!$D$8:$CZ$8,0),
  _xlpm.v, IFERROR(INDEX('3. Enter Indicator Scores'!$D$10:$CZ$161,_xlpm.r,_xlpm.c),""),
  IF(OR(_xlpm.w="",_xlpm.v=""),"",_xlpm.v*_xlpm.w)
)</f>
        <v/>
      </c>
      <c r="AN35" s="93" t="str" cm="1">
        <f t="array" ref="AN35">_xlfn.LET(
  _xlpm.w, AN$11,
  _xlpm.r, MATCH(1,('3. Enter Indicator Scores'!$B$10:$B$161=$B35)*('3. Enter Indicator Scores'!$C$10:$C$161=$C35),0),
  _xlpm.c, MATCH(AN$8,'3. Enter Indicator Scores'!$D$8:$CZ$8,0),
  _xlpm.v, IFERROR(INDEX('3. Enter Indicator Scores'!$D$10:$CZ$161,_xlpm.r,_xlpm.c),""),
  IF(OR(_xlpm.w="",_xlpm.v=""),"",_xlpm.v*_xlpm.w)
)</f>
        <v/>
      </c>
      <c r="AO35" s="93" t="str" cm="1">
        <f t="array" ref="AO35">_xlfn.LET(
  _xlpm.w, AO$11,
  _xlpm.r, MATCH(1,('3. Enter Indicator Scores'!$B$10:$B$161=$B35)*('3. Enter Indicator Scores'!$C$10:$C$161=$C35),0),
  _xlpm.c, MATCH(AO$8,'3. Enter Indicator Scores'!$D$8:$CZ$8,0),
  _xlpm.v, IFERROR(INDEX('3. Enter Indicator Scores'!$D$10:$CZ$161,_xlpm.r,_xlpm.c),""),
  IF(OR(_xlpm.w="",_xlpm.v=""),"",_xlpm.v*_xlpm.w)
)</f>
        <v/>
      </c>
      <c r="AP35" s="93" t="str" cm="1">
        <f t="array" ref="AP35">_xlfn.LET(
  _xlpm.w, AP$11,
  _xlpm.r, MATCH(1,('3. Enter Indicator Scores'!$B$10:$B$161=$B35)*('3. Enter Indicator Scores'!$C$10:$C$161=$C35),0),
  _xlpm.c, MATCH(AP$8,'3. Enter Indicator Scores'!$D$8:$CZ$8,0),
  _xlpm.v, IFERROR(INDEX('3. Enter Indicator Scores'!$D$10:$CZ$161,_xlpm.r,_xlpm.c),""),
  IF(OR(_xlpm.w="",_xlpm.v=""),"",_xlpm.v*_xlpm.w)
)</f>
        <v/>
      </c>
      <c r="AQ35" s="93" t="str" cm="1">
        <f t="array" ref="AQ35">_xlfn.LET(
  _xlpm.w, AQ$11,
  _xlpm.r, MATCH(1,('3. Enter Indicator Scores'!$B$10:$B$161=$B35)*('3. Enter Indicator Scores'!$C$10:$C$161=$C35),0),
  _xlpm.c, MATCH(AQ$8,'3. Enter Indicator Scores'!$D$8:$CZ$8,0),
  _xlpm.v, IFERROR(INDEX('3. Enter Indicator Scores'!$D$10:$CZ$161,_xlpm.r,_xlpm.c),""),
  IF(OR(_xlpm.w="",_xlpm.v=""),"",_xlpm.v*_xlpm.w)
)</f>
        <v/>
      </c>
      <c r="AR35" s="93" t="str" cm="1">
        <f t="array" ref="AR35">_xlfn.LET(
  _xlpm.w, AR$11,
  _xlpm.r, MATCH(1,('3. Enter Indicator Scores'!$B$10:$B$161=$B35)*('3. Enter Indicator Scores'!$C$10:$C$161=$C35),0),
  _xlpm.c, MATCH(AR$8,'3. Enter Indicator Scores'!$D$8:$CZ$8,0),
  _xlpm.v, IFERROR(INDEX('3. Enter Indicator Scores'!$D$10:$CZ$161,_xlpm.r,_xlpm.c),""),
  IF(OR(_xlpm.w="",_xlpm.v=""),"",_xlpm.v*_xlpm.w)
)</f>
        <v/>
      </c>
      <c r="AS35" s="93" t="str" cm="1">
        <f t="array" ref="AS35">_xlfn.LET(
  _xlpm.w, AS$11,
  _xlpm.r, MATCH(1,('3. Enter Indicator Scores'!$B$10:$B$161=$B35)*('3. Enter Indicator Scores'!$C$10:$C$161=$C35),0),
  _xlpm.c, MATCH(AS$8,'3. Enter Indicator Scores'!$D$8:$CZ$8,0),
  _xlpm.v, IFERROR(INDEX('3. Enter Indicator Scores'!$D$10:$CZ$161,_xlpm.r,_xlpm.c),""),
  IF(OR(_xlpm.w="",_xlpm.v=""),"",_xlpm.v*_xlpm.w)
)</f>
        <v/>
      </c>
      <c r="AT35" s="93" t="str" cm="1">
        <f t="array" ref="AT35">_xlfn.LET(
  _xlpm.w, AT$11,
  _xlpm.r, MATCH(1,('3. Enter Indicator Scores'!$B$10:$B$161=$B35)*('3. Enter Indicator Scores'!$C$10:$C$161=$C35),0),
  _xlpm.c, MATCH(AT$8,'3. Enter Indicator Scores'!$D$8:$CZ$8,0),
  _xlpm.v, IFERROR(INDEX('3. Enter Indicator Scores'!$D$10:$CZ$161,_xlpm.r,_xlpm.c),""),
  IF(OR(_xlpm.w="",_xlpm.v=""),"",_xlpm.v*_xlpm.w)
)</f>
        <v/>
      </c>
      <c r="AU35" s="93" t="str" cm="1">
        <f t="array" ref="AU35">_xlfn.LET(
  _xlpm.w, AU$11,
  _xlpm.r, MATCH(1,('3. Enter Indicator Scores'!$B$10:$B$161=$B35)*('3. Enter Indicator Scores'!$C$10:$C$161=$C35),0),
  _xlpm.c, MATCH(AU$8,'3. Enter Indicator Scores'!$D$8:$CZ$8,0),
  _xlpm.v, IFERROR(INDEX('3. Enter Indicator Scores'!$D$10:$CZ$161,_xlpm.r,_xlpm.c),""),
  IF(OR(_xlpm.w="",_xlpm.v=""),"",_xlpm.v*_xlpm.w)
)</f>
        <v/>
      </c>
      <c r="AV35" s="93" t="str" cm="1">
        <f t="array" ref="AV35">_xlfn.LET(
  _xlpm.w, AV$11,
  _xlpm.r, MATCH(1,('3. Enter Indicator Scores'!$B$10:$B$161=$B35)*('3. Enter Indicator Scores'!$C$10:$C$161=$C35),0),
  _xlpm.c, MATCH(AV$8,'3. Enter Indicator Scores'!$D$8:$CZ$8,0),
  _xlpm.v, IFERROR(INDEX('3. Enter Indicator Scores'!$D$10:$CZ$161,_xlpm.r,_xlpm.c),""),
  IF(OR(_xlpm.w="",_xlpm.v=""),"",_xlpm.v*_xlpm.w)
)</f>
        <v/>
      </c>
      <c r="AW35" s="93" t="str" cm="1">
        <f t="array" ref="AW35">_xlfn.LET(
  _xlpm.w, AW$11,
  _xlpm.r, MATCH(1,('3. Enter Indicator Scores'!$B$10:$B$161=$B35)*('3. Enter Indicator Scores'!$C$10:$C$161=$C35),0),
  _xlpm.c, MATCH(AW$8,'3. Enter Indicator Scores'!$D$8:$CZ$8,0),
  _xlpm.v, IFERROR(INDEX('3. Enter Indicator Scores'!$D$10:$CZ$161,_xlpm.r,_xlpm.c),""),
  IF(OR(_xlpm.w="",_xlpm.v=""),"",_xlpm.v*_xlpm.w)
)</f>
        <v/>
      </c>
      <c r="AX35" s="93" t="str" cm="1">
        <f t="array" ref="AX35">_xlfn.LET(
  _xlpm.w, AX$11,
  _xlpm.r, MATCH(1,('3. Enter Indicator Scores'!$B$10:$B$161=$B35)*('3. Enter Indicator Scores'!$C$10:$C$161=$C35),0),
  _xlpm.c, MATCH(AX$8,'3. Enter Indicator Scores'!$D$8:$CZ$8,0),
  _xlpm.v, IFERROR(INDEX('3. Enter Indicator Scores'!$D$10:$CZ$161,_xlpm.r,_xlpm.c),""),
  IF(OR(_xlpm.w="",_xlpm.v=""),"",_xlpm.v*_xlpm.w)
)</f>
        <v/>
      </c>
      <c r="AY35" s="93" t="str" cm="1">
        <f t="array" ref="AY35">_xlfn.LET(
  _xlpm.w, AY$11,
  _xlpm.r, MATCH(1,('3. Enter Indicator Scores'!$B$10:$B$161=$B35)*('3. Enter Indicator Scores'!$C$10:$C$161=$C35),0),
  _xlpm.c, MATCH(AY$8,'3. Enter Indicator Scores'!$D$8:$CZ$8,0),
  _xlpm.v, IFERROR(INDEX('3. Enter Indicator Scores'!$D$10:$CZ$161,_xlpm.r,_xlpm.c),""),
  IF(OR(_xlpm.w="",_xlpm.v=""),"",_xlpm.v*_xlpm.w)
)</f>
        <v/>
      </c>
      <c r="AZ35" s="93" t="str" cm="1">
        <f t="array" ref="AZ35">_xlfn.LET(
  _xlpm.w, AZ$11,
  _xlpm.r, MATCH(1,('3. Enter Indicator Scores'!$B$10:$B$161=$B35)*('3. Enter Indicator Scores'!$C$10:$C$161=$C35),0),
  _xlpm.c, MATCH(AZ$8,'3. Enter Indicator Scores'!$D$8:$CZ$8,0),
  _xlpm.v, IFERROR(INDEX('3. Enter Indicator Scores'!$D$10:$CZ$161,_xlpm.r,_xlpm.c),""),
  IF(OR(_xlpm.w="",_xlpm.v=""),"",_xlpm.v*_xlpm.w)
)</f>
        <v/>
      </c>
      <c r="BA35" s="93" t="str" cm="1">
        <f t="array" ref="BA35">_xlfn.LET(
  _xlpm.w, BA$11,
  _xlpm.r, MATCH(1,('3. Enter Indicator Scores'!$B$10:$B$161=$B35)*('3. Enter Indicator Scores'!$C$10:$C$161=$C35),0),
  _xlpm.c, MATCH(BA$8,'3. Enter Indicator Scores'!$D$8:$CZ$8,0),
  _xlpm.v, IFERROR(INDEX('3. Enter Indicator Scores'!$D$10:$CZ$161,_xlpm.r,_xlpm.c),""),
  IF(OR(_xlpm.w="",_xlpm.v=""),"",_xlpm.v*_xlpm.w)
)</f>
        <v/>
      </c>
      <c r="BB35" s="93" t="str" cm="1">
        <f t="array" ref="BB35">_xlfn.LET(
  _xlpm.w, BB$11,
  _xlpm.r, MATCH(1,('3. Enter Indicator Scores'!$B$10:$B$161=$B35)*('3. Enter Indicator Scores'!$C$10:$C$161=$C35),0),
  _xlpm.c, MATCH(BB$8,'3. Enter Indicator Scores'!$D$8:$CZ$8,0),
  _xlpm.v, IFERROR(INDEX('3. Enter Indicator Scores'!$D$10:$CZ$161,_xlpm.r,_xlpm.c),""),
  IF(OR(_xlpm.w="",_xlpm.v=""),"",_xlpm.v*_xlpm.w)
)</f>
        <v/>
      </c>
      <c r="BC35" s="93" t="str" cm="1">
        <f t="array" ref="BC35">_xlfn.LET(
  _xlpm.w, BC$11,
  _xlpm.r, MATCH(1,('3. Enter Indicator Scores'!$B$10:$B$161=$B35)*('3. Enter Indicator Scores'!$C$10:$C$161=$C35),0),
  _xlpm.c, MATCH(BC$8,'3. Enter Indicator Scores'!$D$8:$CZ$8,0),
  _xlpm.v, IFERROR(INDEX('3. Enter Indicator Scores'!$D$10:$CZ$161,_xlpm.r,_xlpm.c),""),
  IF(OR(_xlpm.w="",_xlpm.v=""),"",_xlpm.v*_xlpm.w)
)</f>
        <v/>
      </c>
      <c r="BD35" s="93" t="str" cm="1">
        <f t="array" ref="BD35">_xlfn.LET(
  _xlpm.w, BD$11,
  _xlpm.r, MATCH(1,('3. Enter Indicator Scores'!$B$10:$B$161=$B35)*('3. Enter Indicator Scores'!$C$10:$C$161=$C35),0),
  _xlpm.c, MATCH(BD$8,'3. Enter Indicator Scores'!$D$8:$CZ$8,0),
  _xlpm.v, IFERROR(INDEX('3. Enter Indicator Scores'!$D$10:$CZ$161,_xlpm.r,_xlpm.c),""),
  IF(OR(_xlpm.w="",_xlpm.v=""),"",_xlpm.v*_xlpm.w)
)</f>
        <v/>
      </c>
      <c r="BE35" s="93" t="str" cm="1">
        <f t="array" ref="BE35">_xlfn.LET(
  _xlpm.w, BE$11,
  _xlpm.r, MATCH(1,('3. Enter Indicator Scores'!$B$10:$B$161=$B35)*('3. Enter Indicator Scores'!$C$10:$C$161=$C35),0),
  _xlpm.c, MATCH(BE$8,'3. Enter Indicator Scores'!$D$8:$CZ$8,0),
  _xlpm.v, IFERROR(INDEX('3. Enter Indicator Scores'!$D$10:$CZ$161,_xlpm.r,_xlpm.c),""),
  IF(OR(_xlpm.w="",_xlpm.v=""),"",_xlpm.v*_xlpm.w)
)</f>
        <v/>
      </c>
      <c r="BF35" s="93" t="str" cm="1">
        <f t="array" ref="BF35">_xlfn.LET(
  _xlpm.w, BF$11,
  _xlpm.r, MATCH(1,('3. Enter Indicator Scores'!$B$10:$B$161=$B35)*('3. Enter Indicator Scores'!$C$10:$C$161=$C35),0),
  _xlpm.c, MATCH(BF$8,'3. Enter Indicator Scores'!$D$8:$CZ$8,0),
  _xlpm.v, IFERROR(INDEX('3. Enter Indicator Scores'!$D$10:$CZ$161,_xlpm.r,_xlpm.c),""),
  IF(OR(_xlpm.w="",_xlpm.v=""),"",_xlpm.v*_xlpm.w)
)</f>
        <v/>
      </c>
      <c r="BG35" s="93" t="str" cm="1">
        <f t="array" ref="BG35">_xlfn.LET(
  _xlpm.w, BG$11,
  _xlpm.r, MATCH(1,('3. Enter Indicator Scores'!$B$10:$B$161=$B35)*('3. Enter Indicator Scores'!$C$10:$C$161=$C35),0),
  _xlpm.c, MATCH(BG$8,'3. Enter Indicator Scores'!$D$8:$CZ$8,0),
  _xlpm.v, IFERROR(INDEX('3. Enter Indicator Scores'!$D$10:$CZ$161,_xlpm.r,_xlpm.c),""),
  IF(OR(_xlpm.w="",_xlpm.v=""),"",_xlpm.v*_xlpm.w)
)</f>
        <v/>
      </c>
      <c r="BH35" s="93" t="str" cm="1">
        <f t="array" ref="BH35">_xlfn.LET(
  _xlpm.w, BH$11,
  _xlpm.r, MATCH(1,('3. Enter Indicator Scores'!$B$10:$B$161=$B35)*('3. Enter Indicator Scores'!$C$10:$C$161=$C35),0),
  _xlpm.c, MATCH(BH$8,'3. Enter Indicator Scores'!$D$8:$CZ$8,0),
  _xlpm.v, IFERROR(INDEX('3. Enter Indicator Scores'!$D$10:$CZ$161,_xlpm.r,_xlpm.c),""),
  IF(OR(_xlpm.w="",_xlpm.v=""),"",_xlpm.v*_xlpm.w)
)</f>
        <v/>
      </c>
      <c r="BI35" s="93" t="str" cm="1">
        <f t="array" ref="BI35">_xlfn.LET(
  _xlpm.w, BI$11,
  _xlpm.r, MATCH(1,('3. Enter Indicator Scores'!$B$10:$B$161=$B35)*('3. Enter Indicator Scores'!$C$10:$C$161=$C35),0),
  _xlpm.c, MATCH(BI$8,'3. Enter Indicator Scores'!$D$8:$CZ$8,0),
  _xlpm.v, IFERROR(INDEX('3. Enter Indicator Scores'!$D$10:$CZ$161,_xlpm.r,_xlpm.c),""),
  IF(OR(_xlpm.w="",_xlpm.v=""),"",_xlpm.v*_xlpm.w)
)</f>
        <v/>
      </c>
      <c r="BJ35" s="93" t="str" cm="1">
        <f t="array" ref="BJ35">_xlfn.LET(
  _xlpm.w, BJ$11,
  _xlpm.r, MATCH(1,('3. Enter Indicator Scores'!$B$10:$B$161=$B35)*('3. Enter Indicator Scores'!$C$10:$C$161=$C35),0),
  _xlpm.c, MATCH(BJ$8,'3. Enter Indicator Scores'!$D$8:$CZ$8,0),
  _xlpm.v, IFERROR(INDEX('3. Enter Indicator Scores'!$D$10:$CZ$161,_xlpm.r,_xlpm.c),""),
  IF(OR(_xlpm.w="",_xlpm.v=""),"",_xlpm.v*_xlpm.w)
)</f>
        <v/>
      </c>
      <c r="BK35" s="93" t="str" cm="1">
        <f t="array" ref="BK35">_xlfn.LET(
  _xlpm.w, BK$11,
  _xlpm.r, MATCH(1,('3. Enter Indicator Scores'!$B$10:$B$161=$B35)*('3. Enter Indicator Scores'!$C$10:$C$161=$C35),0),
  _xlpm.c, MATCH(BK$8,'3. Enter Indicator Scores'!$D$8:$CZ$8,0),
  _xlpm.v, IFERROR(INDEX('3. Enter Indicator Scores'!$D$10:$CZ$161,_xlpm.r,_xlpm.c),""),
  IF(OR(_xlpm.w="",_xlpm.v=""),"",_xlpm.v*_xlpm.w)
)</f>
        <v/>
      </c>
      <c r="BL35" s="93" t="str" cm="1">
        <f t="array" ref="BL35">_xlfn.LET(
  _xlpm.w, BL$11,
  _xlpm.r, MATCH(1,('3. Enter Indicator Scores'!$B$10:$B$161=$B35)*('3. Enter Indicator Scores'!$C$10:$C$161=$C35),0),
  _xlpm.c, MATCH(BL$8,'3. Enter Indicator Scores'!$D$8:$CZ$8,0),
  _xlpm.v, IFERROR(INDEX('3. Enter Indicator Scores'!$D$10:$CZ$161,_xlpm.r,_xlpm.c),""),
  IF(OR(_xlpm.w="",_xlpm.v=""),"",_xlpm.v*_xlpm.w)
)</f>
        <v/>
      </c>
      <c r="BM35" s="93" t="str" cm="1">
        <f t="array" ref="BM35">_xlfn.LET(
  _xlpm.w, BM$11,
  _xlpm.r, MATCH(1,('3. Enter Indicator Scores'!$B$10:$B$161=$B35)*('3. Enter Indicator Scores'!$C$10:$C$161=$C35),0),
  _xlpm.c, MATCH(BM$8,'3. Enter Indicator Scores'!$D$8:$CZ$8,0),
  _xlpm.v, IFERROR(INDEX('3. Enter Indicator Scores'!$D$10:$CZ$161,_xlpm.r,_xlpm.c),""),
  IF(OR(_xlpm.w="",_xlpm.v=""),"",_xlpm.v*_xlpm.w)
)</f>
        <v/>
      </c>
      <c r="BN35" s="93" t="str" cm="1">
        <f t="array" ref="BN35">_xlfn.LET(
  _xlpm.w, BN$11,
  _xlpm.r, MATCH(1,('3. Enter Indicator Scores'!$B$10:$B$161=$B35)*('3. Enter Indicator Scores'!$C$10:$C$161=$C35),0),
  _xlpm.c, MATCH(BN$8,'3. Enter Indicator Scores'!$D$8:$CZ$8,0),
  _xlpm.v, IFERROR(INDEX('3. Enter Indicator Scores'!$D$10:$CZ$161,_xlpm.r,_xlpm.c),""),
  IF(OR(_xlpm.w="",_xlpm.v=""),"",_xlpm.v*_xlpm.w)
)</f>
        <v/>
      </c>
      <c r="BO35" s="93" t="str" cm="1">
        <f t="array" ref="BO35">_xlfn.LET(
  _xlpm.w, BO$11,
  _xlpm.r, MATCH(1,('3. Enter Indicator Scores'!$B$10:$B$161=$B35)*('3. Enter Indicator Scores'!$C$10:$C$161=$C35),0),
  _xlpm.c, MATCH(BO$8,'3. Enter Indicator Scores'!$D$8:$CZ$8,0),
  _xlpm.v, IFERROR(INDEX('3. Enter Indicator Scores'!$D$10:$CZ$161,_xlpm.r,_xlpm.c),""),
  IF(OR(_xlpm.w="",_xlpm.v=""),"",_xlpm.v*_xlpm.w)
)</f>
        <v/>
      </c>
      <c r="BP35" s="93" t="str" cm="1">
        <f t="array" ref="BP35">_xlfn.LET(
  _xlpm.w, BP$11,
  _xlpm.r, MATCH(1,('3. Enter Indicator Scores'!$B$10:$B$161=$B35)*('3. Enter Indicator Scores'!$C$10:$C$161=$C35),0),
  _xlpm.c, MATCH(BP$8,'3. Enter Indicator Scores'!$D$8:$CZ$8,0),
  _xlpm.v, IFERROR(INDEX('3. Enter Indicator Scores'!$D$10:$CZ$161,_xlpm.r,_xlpm.c),""),
  IF(OR(_xlpm.w="",_xlpm.v=""),"",_xlpm.v*_xlpm.w)
)</f>
        <v/>
      </c>
      <c r="BQ35" s="93" t="str" cm="1">
        <f t="array" ref="BQ35">_xlfn.LET(
  _xlpm.w, BQ$11,
  _xlpm.r, MATCH(1,('3. Enter Indicator Scores'!$B$10:$B$161=$B35)*('3. Enter Indicator Scores'!$C$10:$C$161=$C35),0),
  _xlpm.c, MATCH(BQ$8,'3. Enter Indicator Scores'!$D$8:$CZ$8,0),
  _xlpm.v, IFERROR(INDEX('3. Enter Indicator Scores'!$D$10:$CZ$161,_xlpm.r,_xlpm.c),""),
  IF(OR(_xlpm.w="",_xlpm.v=""),"",_xlpm.v*_xlpm.w)
)</f>
        <v/>
      </c>
      <c r="BR35" s="93" t="str" cm="1">
        <f t="array" ref="BR35">_xlfn.LET(
  _xlpm.w, BR$11,
  _xlpm.r, MATCH(1,('3. Enter Indicator Scores'!$B$10:$B$161=$B35)*('3. Enter Indicator Scores'!$C$10:$C$161=$C35),0),
  _xlpm.c, MATCH(BR$8,'3. Enter Indicator Scores'!$D$8:$CZ$8,0),
  _xlpm.v, IFERROR(INDEX('3. Enter Indicator Scores'!$D$10:$CZ$161,_xlpm.r,_xlpm.c),""),
  IF(OR(_xlpm.w="",_xlpm.v=""),"",_xlpm.v*_xlpm.w)
)</f>
        <v/>
      </c>
      <c r="BS35" s="93" t="str" cm="1">
        <f t="array" ref="BS35">_xlfn.LET(
  _xlpm.w, BS$11,
  _xlpm.r, MATCH(1,('3. Enter Indicator Scores'!$B$10:$B$161=$B35)*('3. Enter Indicator Scores'!$C$10:$C$161=$C35),0),
  _xlpm.c, MATCH(BS$8,'3. Enter Indicator Scores'!$D$8:$CZ$8,0),
  _xlpm.v, IFERROR(INDEX('3. Enter Indicator Scores'!$D$10:$CZ$161,_xlpm.r,_xlpm.c),""),
  IF(OR(_xlpm.w="",_xlpm.v=""),"",_xlpm.v*_xlpm.w)
)</f>
        <v/>
      </c>
      <c r="BT35" s="93" t="str" cm="1">
        <f t="array" ref="BT35">_xlfn.LET(
  _xlpm.w, BT$11,
  _xlpm.r, MATCH(1,('3. Enter Indicator Scores'!$B$10:$B$161=$B35)*('3. Enter Indicator Scores'!$C$10:$C$161=$C35),0),
  _xlpm.c, MATCH(BT$8,'3. Enter Indicator Scores'!$D$8:$CZ$8,0),
  _xlpm.v, IFERROR(INDEX('3. Enter Indicator Scores'!$D$10:$CZ$161,_xlpm.r,_xlpm.c),""),
  IF(OR(_xlpm.w="",_xlpm.v=""),"",_xlpm.v*_xlpm.w)
)</f>
        <v/>
      </c>
      <c r="BU35" s="93" t="str" cm="1">
        <f t="array" ref="BU35">_xlfn.LET(
  _xlpm.w, BU$11,
  _xlpm.r, MATCH(1,('3. Enter Indicator Scores'!$B$10:$B$161=$B35)*('3. Enter Indicator Scores'!$C$10:$C$161=$C35),0),
  _xlpm.c, MATCH(BU$8,'3. Enter Indicator Scores'!$D$8:$CZ$8,0),
  _xlpm.v, IFERROR(INDEX('3. Enter Indicator Scores'!$D$10:$CZ$161,_xlpm.r,_xlpm.c),""),
  IF(OR(_xlpm.w="",_xlpm.v=""),"",_xlpm.v*_xlpm.w)
)</f>
        <v/>
      </c>
      <c r="BV35" s="93" t="str" cm="1">
        <f t="array" ref="BV35">_xlfn.LET(
  _xlpm.w, BV$11,
  _xlpm.r, MATCH(1,('3. Enter Indicator Scores'!$B$10:$B$161=$B35)*('3. Enter Indicator Scores'!$C$10:$C$161=$C35),0),
  _xlpm.c, MATCH(BV$8,'3. Enter Indicator Scores'!$D$8:$CZ$8,0),
  _xlpm.v, IFERROR(INDEX('3. Enter Indicator Scores'!$D$10:$CZ$161,_xlpm.r,_xlpm.c),""),
  IF(OR(_xlpm.w="",_xlpm.v=""),"",_xlpm.v*_xlpm.w)
)</f>
        <v/>
      </c>
      <c r="BW35" s="93" t="str" cm="1">
        <f t="array" ref="BW35">_xlfn.LET(
  _xlpm.w, BW$11,
  _xlpm.r, MATCH(1,('3. Enter Indicator Scores'!$B$10:$B$161=$B35)*('3. Enter Indicator Scores'!$C$10:$C$161=$C35),0),
  _xlpm.c, MATCH(BW$8,'3. Enter Indicator Scores'!$D$8:$CZ$8,0),
  _xlpm.v, IFERROR(INDEX('3. Enter Indicator Scores'!$D$10:$CZ$161,_xlpm.r,_xlpm.c),""),
  IF(OR(_xlpm.w="",_xlpm.v=""),"",_xlpm.v*_xlpm.w)
)</f>
        <v/>
      </c>
      <c r="BX35" s="93" t="str" cm="1">
        <f t="array" ref="BX35">_xlfn.LET(
  _xlpm.w, BX$11,
  _xlpm.r, MATCH(1,('3. Enter Indicator Scores'!$B$10:$B$161=$B35)*('3. Enter Indicator Scores'!$C$10:$C$161=$C35),0),
  _xlpm.c, MATCH(BX$8,'3. Enter Indicator Scores'!$D$8:$CZ$8,0),
  _xlpm.v, IFERROR(INDEX('3. Enter Indicator Scores'!$D$10:$CZ$161,_xlpm.r,_xlpm.c),""),
  IF(OR(_xlpm.w="",_xlpm.v=""),"",_xlpm.v*_xlpm.w)
)</f>
        <v/>
      </c>
      <c r="BY35" s="93" t="str" cm="1">
        <f t="array" ref="BY35">_xlfn.LET(
  _xlpm.w, BY$11,
  _xlpm.r, MATCH(1,('3. Enter Indicator Scores'!$B$10:$B$161=$B35)*('3. Enter Indicator Scores'!$C$10:$C$161=$C35),0),
  _xlpm.c, MATCH(BY$8,'3. Enter Indicator Scores'!$D$8:$CZ$8,0),
  _xlpm.v, IFERROR(INDEX('3. Enter Indicator Scores'!$D$10:$CZ$161,_xlpm.r,_xlpm.c),""),
  IF(OR(_xlpm.w="",_xlpm.v=""),"",_xlpm.v*_xlpm.w)
)</f>
        <v/>
      </c>
      <c r="BZ35" s="93" t="str" cm="1">
        <f t="array" ref="BZ35">_xlfn.LET(
  _xlpm.w, BZ$11,
  _xlpm.r, MATCH(1,('3. Enter Indicator Scores'!$B$10:$B$161=$B35)*('3. Enter Indicator Scores'!$C$10:$C$161=$C35),0),
  _xlpm.c, MATCH(BZ$8,'3. Enter Indicator Scores'!$D$8:$CZ$8,0),
  _xlpm.v, IFERROR(INDEX('3. Enter Indicator Scores'!$D$10:$CZ$161,_xlpm.r,_xlpm.c),""),
  IF(OR(_xlpm.w="",_xlpm.v=""),"",_xlpm.v*_xlpm.w)
)</f>
        <v/>
      </c>
      <c r="CA35" s="93" t="str" cm="1">
        <f t="array" ref="CA35">_xlfn.LET(
  _xlpm.w, CA$11,
  _xlpm.r, MATCH(1,('3. Enter Indicator Scores'!$B$10:$B$161=$B35)*('3. Enter Indicator Scores'!$C$10:$C$161=$C35),0),
  _xlpm.c, MATCH(CA$8,'3. Enter Indicator Scores'!$D$8:$CZ$8,0),
  _xlpm.v, IFERROR(INDEX('3. Enter Indicator Scores'!$D$10:$CZ$161,_xlpm.r,_xlpm.c),""),
  IF(OR(_xlpm.w="",_xlpm.v=""),"",_xlpm.v*_xlpm.w)
)</f>
        <v/>
      </c>
      <c r="CB35" s="93" t="str" cm="1">
        <f t="array" ref="CB35">_xlfn.LET(
  _xlpm.w, CB$11,
  _xlpm.r, MATCH(1,('3. Enter Indicator Scores'!$B$10:$B$161=$B35)*('3. Enter Indicator Scores'!$C$10:$C$161=$C35),0),
  _xlpm.c, MATCH(CB$8,'3. Enter Indicator Scores'!$D$8:$CZ$8,0),
  _xlpm.v, IFERROR(INDEX('3. Enter Indicator Scores'!$D$10:$CZ$161,_xlpm.r,_xlpm.c),""),
  IF(OR(_xlpm.w="",_xlpm.v=""),"",_xlpm.v*_xlpm.w)
)</f>
        <v/>
      </c>
      <c r="CC35" s="93" t="str" cm="1">
        <f t="array" ref="CC35">_xlfn.LET(
  _xlpm.w, CC$11,
  _xlpm.r, MATCH(1,('3. Enter Indicator Scores'!$B$10:$B$161=$B35)*('3. Enter Indicator Scores'!$C$10:$C$161=$C35),0),
  _xlpm.c, MATCH(CC$8,'3. Enter Indicator Scores'!$D$8:$CZ$8,0),
  _xlpm.v, IFERROR(INDEX('3. Enter Indicator Scores'!$D$10:$CZ$161,_xlpm.r,_xlpm.c),""),
  IF(OR(_xlpm.w="",_xlpm.v=""),"",_xlpm.v*_xlpm.w)
)</f>
        <v/>
      </c>
      <c r="CD35" s="93" t="str" cm="1">
        <f t="array" ref="CD35">_xlfn.LET(
  _xlpm.w, CD$11,
  _xlpm.r, MATCH(1,('3. Enter Indicator Scores'!$B$10:$B$161=$B35)*('3. Enter Indicator Scores'!$C$10:$C$161=$C35),0),
  _xlpm.c, MATCH(CD$8,'3. Enter Indicator Scores'!$D$8:$CZ$8,0),
  _xlpm.v, IFERROR(INDEX('3. Enter Indicator Scores'!$D$10:$CZ$161,_xlpm.r,_xlpm.c),""),
  IF(OR(_xlpm.w="",_xlpm.v=""),"",_xlpm.v*_xlpm.w)
)</f>
        <v/>
      </c>
      <c r="CE35" s="93" t="str" cm="1">
        <f t="array" ref="CE35">_xlfn.LET(
  _xlpm.w, CE$11,
  _xlpm.r, MATCH(1,('3. Enter Indicator Scores'!$B$10:$B$161=$B35)*('3. Enter Indicator Scores'!$C$10:$C$161=$C35),0),
  _xlpm.c, MATCH(CE$8,'3. Enter Indicator Scores'!$D$8:$CZ$8,0),
  _xlpm.v, IFERROR(INDEX('3. Enter Indicator Scores'!$D$10:$CZ$161,_xlpm.r,_xlpm.c),""),
  IF(OR(_xlpm.w="",_xlpm.v=""),"",_xlpm.v*_xlpm.w)
)</f>
        <v/>
      </c>
      <c r="CF35" s="93" t="str" cm="1">
        <f t="array" ref="CF35">_xlfn.LET(
  _xlpm.w, CF$11,
  _xlpm.r, MATCH(1,('3. Enter Indicator Scores'!$B$10:$B$161=$B35)*('3. Enter Indicator Scores'!$C$10:$C$161=$C35),0),
  _xlpm.c, MATCH(CF$8,'3. Enter Indicator Scores'!$D$8:$CZ$8,0),
  _xlpm.v, IFERROR(INDEX('3. Enter Indicator Scores'!$D$10:$CZ$161,_xlpm.r,_xlpm.c),""),
  IF(OR(_xlpm.w="",_xlpm.v=""),"",_xlpm.v*_xlpm.w)
)</f>
        <v/>
      </c>
      <c r="CG35" s="93" t="str" cm="1">
        <f t="array" ref="CG35">_xlfn.LET(
  _xlpm.w, CG$11,
  _xlpm.r, MATCH(1,('3. Enter Indicator Scores'!$B$10:$B$161=$B35)*('3. Enter Indicator Scores'!$C$10:$C$161=$C35),0),
  _xlpm.c, MATCH(CG$8,'3. Enter Indicator Scores'!$D$8:$CZ$8,0),
  _xlpm.v, IFERROR(INDEX('3. Enter Indicator Scores'!$D$10:$CZ$161,_xlpm.r,_xlpm.c),""),
  IF(OR(_xlpm.w="",_xlpm.v=""),"",_xlpm.v*_xlpm.w)
)</f>
        <v/>
      </c>
      <c r="CH35" s="93" t="str" cm="1">
        <f t="array" ref="CH35">_xlfn.LET(
  _xlpm.w, CH$11,
  _xlpm.r, MATCH(1,('3. Enter Indicator Scores'!$B$10:$B$161=$B35)*('3. Enter Indicator Scores'!$C$10:$C$161=$C35),0),
  _xlpm.c, MATCH(CH$8,'3. Enter Indicator Scores'!$D$8:$CZ$8,0),
  _xlpm.v, IFERROR(INDEX('3. Enter Indicator Scores'!$D$10:$CZ$161,_xlpm.r,_xlpm.c),""),
  IF(OR(_xlpm.w="",_xlpm.v=""),"",_xlpm.v*_xlpm.w)
)</f>
        <v/>
      </c>
      <c r="CI35" s="93" t="str" cm="1">
        <f t="array" ref="CI35">_xlfn.LET(
  _xlpm.w, CI$11,
  _xlpm.r, MATCH(1,('3. Enter Indicator Scores'!$B$10:$B$161=$B35)*('3. Enter Indicator Scores'!$C$10:$C$161=$C35),0),
  _xlpm.c, MATCH(CI$8,'3. Enter Indicator Scores'!$D$8:$CZ$8,0),
  _xlpm.v, IFERROR(INDEX('3. Enter Indicator Scores'!$D$10:$CZ$161,_xlpm.r,_xlpm.c),""),
  IF(OR(_xlpm.w="",_xlpm.v=""),"",_xlpm.v*_xlpm.w)
)</f>
        <v/>
      </c>
      <c r="CJ35" s="93" t="str" cm="1">
        <f t="array" ref="CJ35">_xlfn.LET(
  _xlpm.w, CJ$11,
  _xlpm.r, MATCH(1,('3. Enter Indicator Scores'!$B$10:$B$161=$B35)*('3. Enter Indicator Scores'!$C$10:$C$161=$C35),0),
  _xlpm.c, MATCH(CJ$8,'3. Enter Indicator Scores'!$D$8:$CZ$8,0),
  _xlpm.v, IFERROR(INDEX('3. Enter Indicator Scores'!$D$10:$CZ$161,_xlpm.r,_xlpm.c),""),
  IF(OR(_xlpm.w="",_xlpm.v=""),"",_xlpm.v*_xlpm.w)
)</f>
        <v/>
      </c>
      <c r="CK35" s="93" t="str" cm="1">
        <f t="array" ref="CK35">_xlfn.LET(
  _xlpm.w, CK$11,
  _xlpm.r, MATCH(1,('3. Enter Indicator Scores'!$B$10:$B$161=$B35)*('3. Enter Indicator Scores'!$C$10:$C$161=$C35),0),
  _xlpm.c, MATCH(CK$8,'3. Enter Indicator Scores'!$D$8:$CZ$8,0),
  _xlpm.v, IFERROR(INDEX('3. Enter Indicator Scores'!$D$10:$CZ$161,_xlpm.r,_xlpm.c),""),
  IF(OR(_xlpm.w="",_xlpm.v=""),"",_xlpm.v*_xlpm.w)
)</f>
        <v/>
      </c>
      <c r="CL35" s="93" t="str" cm="1">
        <f t="array" ref="CL35">_xlfn.LET(
  _xlpm.w, CL$11,
  _xlpm.r, MATCH(1,('3. Enter Indicator Scores'!$B$10:$B$161=$B35)*('3. Enter Indicator Scores'!$C$10:$C$161=$C35),0),
  _xlpm.c, MATCH(CL$8,'3. Enter Indicator Scores'!$D$8:$CZ$8,0),
  _xlpm.v, IFERROR(INDEX('3. Enter Indicator Scores'!$D$10:$CZ$161,_xlpm.r,_xlpm.c),""),
  IF(OR(_xlpm.w="",_xlpm.v=""),"",_xlpm.v*_xlpm.w)
)</f>
        <v/>
      </c>
      <c r="CM35" s="93" t="str" cm="1">
        <f t="array" ref="CM35">_xlfn.LET(
  _xlpm.w, CM$11,
  _xlpm.r, MATCH(1,('3. Enter Indicator Scores'!$B$10:$B$161=$B35)*('3. Enter Indicator Scores'!$C$10:$C$161=$C35),0),
  _xlpm.c, MATCH(CM$8,'3. Enter Indicator Scores'!$D$8:$CZ$8,0),
  _xlpm.v, IFERROR(INDEX('3. Enter Indicator Scores'!$D$10:$CZ$161,_xlpm.r,_xlpm.c),""),
  IF(OR(_xlpm.w="",_xlpm.v=""),"",_xlpm.v*_xlpm.w)
)</f>
        <v/>
      </c>
      <c r="CN35" s="93" t="str" cm="1">
        <f t="array" ref="CN35">_xlfn.LET(
  _xlpm.w, CN$11,
  _xlpm.r, MATCH(1,('3. Enter Indicator Scores'!$B$10:$B$161=$B35)*('3. Enter Indicator Scores'!$C$10:$C$161=$C35),0),
  _xlpm.c, MATCH(CN$8,'3. Enter Indicator Scores'!$D$8:$CZ$8,0),
  _xlpm.v, IFERROR(INDEX('3. Enter Indicator Scores'!$D$10:$CZ$161,_xlpm.r,_xlpm.c),""),
  IF(OR(_xlpm.w="",_xlpm.v=""),"",_xlpm.v*_xlpm.w)
)</f>
        <v/>
      </c>
      <c r="CO35" s="93" t="str" cm="1">
        <f t="array" ref="CO35">_xlfn.LET(
  _xlpm.w, CO$11,
  _xlpm.r, MATCH(1,('3. Enter Indicator Scores'!$B$10:$B$161=$B35)*('3. Enter Indicator Scores'!$C$10:$C$161=$C35),0),
  _xlpm.c, MATCH(CO$8,'3. Enter Indicator Scores'!$D$8:$CZ$8,0),
  _xlpm.v, IFERROR(INDEX('3. Enter Indicator Scores'!$D$10:$CZ$161,_xlpm.r,_xlpm.c),""),
  IF(OR(_xlpm.w="",_xlpm.v=""),"",_xlpm.v*_xlpm.w)
)</f>
        <v/>
      </c>
      <c r="CP35" s="93" t="str" cm="1">
        <f t="array" ref="CP35">_xlfn.LET(
  _xlpm.w, CP$11,
  _xlpm.r, MATCH(1,('3. Enter Indicator Scores'!$B$10:$B$161=$B35)*('3. Enter Indicator Scores'!$C$10:$C$161=$C35),0),
  _xlpm.c, MATCH(CP$8,'3. Enter Indicator Scores'!$D$8:$CZ$8,0),
  _xlpm.v, IFERROR(INDEX('3. Enter Indicator Scores'!$D$10:$CZ$161,_xlpm.r,_xlpm.c),""),
  IF(OR(_xlpm.w="",_xlpm.v=""),"",_xlpm.v*_xlpm.w)
)</f>
        <v/>
      </c>
      <c r="CQ35" s="93" t="str" cm="1">
        <f t="array" ref="CQ35">_xlfn.LET(
  _xlpm.w, CQ$11,
  _xlpm.r, MATCH(1,('3. Enter Indicator Scores'!$B$10:$B$161=$B35)*('3. Enter Indicator Scores'!$C$10:$C$161=$C35),0),
  _xlpm.c, MATCH(CQ$8,'3. Enter Indicator Scores'!$D$8:$CZ$8,0),
  _xlpm.v, IFERROR(INDEX('3. Enter Indicator Scores'!$D$10:$CZ$161,_xlpm.r,_xlpm.c),""),
  IF(OR(_xlpm.w="",_xlpm.v=""),"",_xlpm.v*_xlpm.w)
)</f>
        <v/>
      </c>
      <c r="CR35" s="93" t="str" cm="1">
        <f t="array" ref="CR35">_xlfn.LET(
  _xlpm.w, CR$11,
  _xlpm.r, MATCH(1,('3. Enter Indicator Scores'!$B$10:$B$161=$B35)*('3. Enter Indicator Scores'!$C$10:$C$161=$C35),0),
  _xlpm.c, MATCH(CR$8,'3. Enter Indicator Scores'!$D$8:$CZ$8,0),
  _xlpm.v, IFERROR(INDEX('3. Enter Indicator Scores'!$D$10:$CZ$161,_xlpm.r,_xlpm.c),""),
  IF(OR(_xlpm.w="",_xlpm.v=""),"",_xlpm.v*_xlpm.w)
)</f>
        <v/>
      </c>
      <c r="CS35" s="93" t="str" cm="1">
        <f t="array" ref="CS35">_xlfn.LET(
  _xlpm.w, CS$11,
  _xlpm.r, MATCH(1,('3. Enter Indicator Scores'!$B$10:$B$161=$B35)*('3. Enter Indicator Scores'!$C$10:$C$161=$C35),0),
  _xlpm.c, MATCH(CS$8,'3. Enter Indicator Scores'!$D$8:$CZ$8,0),
  _xlpm.v, IFERROR(INDEX('3. Enter Indicator Scores'!$D$10:$CZ$161,_xlpm.r,_xlpm.c),""),
  IF(OR(_xlpm.w="",_xlpm.v=""),"",_xlpm.v*_xlpm.w)
)</f>
        <v/>
      </c>
      <c r="CT35" s="93" t="str" cm="1">
        <f t="array" ref="CT35">_xlfn.LET(
  _xlpm.w, CT$11,
  _xlpm.r, MATCH(1,('3. Enter Indicator Scores'!$B$10:$B$161=$B35)*('3. Enter Indicator Scores'!$C$10:$C$161=$C35),0),
  _xlpm.c, MATCH(CT$8,'3. Enter Indicator Scores'!$D$8:$CZ$8,0),
  _xlpm.v, IFERROR(INDEX('3. Enter Indicator Scores'!$D$10:$CZ$161,_xlpm.r,_xlpm.c),""),
  IF(OR(_xlpm.w="",_xlpm.v=""),"",_xlpm.v*_xlpm.w)
)</f>
        <v/>
      </c>
      <c r="CU35" s="93" t="str" cm="1">
        <f t="array" ref="CU35">_xlfn.LET(
  _xlpm.w, CU$11,
  _xlpm.r, MATCH(1,('3. Enter Indicator Scores'!$B$10:$B$161=$B35)*('3. Enter Indicator Scores'!$C$10:$C$161=$C35),0),
  _xlpm.c, MATCH(CU$8,'3. Enter Indicator Scores'!$D$8:$CZ$8,0),
  _xlpm.v, IFERROR(INDEX('3. Enter Indicator Scores'!$D$10:$CZ$161,_xlpm.r,_xlpm.c),""),
  IF(OR(_xlpm.w="",_xlpm.v=""),"",_xlpm.v*_xlpm.w)
)</f>
        <v/>
      </c>
      <c r="CV35" s="93" t="str" cm="1">
        <f t="array" ref="CV35">_xlfn.LET(
  _xlpm.w, CV$11,
  _xlpm.r, MATCH(1,('3. Enter Indicator Scores'!$B$10:$B$161=$B35)*('3. Enter Indicator Scores'!$C$10:$C$161=$C35),0),
  _xlpm.c, MATCH(CV$8,'3. Enter Indicator Scores'!$D$8:$CZ$8,0),
  _xlpm.v, IFERROR(INDEX('3. Enter Indicator Scores'!$D$10:$CZ$161,_xlpm.r,_xlpm.c),""),
  IF(OR(_xlpm.w="",_xlpm.v=""),"",_xlpm.v*_xlpm.w)
)</f>
        <v/>
      </c>
      <c r="CW35" s="93" t="str" cm="1">
        <f t="array" ref="CW35">_xlfn.LET(
  _xlpm.w, CW$11,
  _xlpm.r, MATCH(1,('3. Enter Indicator Scores'!$B$10:$B$161=$B35)*('3. Enter Indicator Scores'!$C$10:$C$161=$C35),0),
  _xlpm.c, MATCH(CW$8,'3. Enter Indicator Scores'!$D$8:$CZ$8,0),
  _xlpm.v, IFERROR(INDEX('3. Enter Indicator Scores'!$D$10:$CZ$161,_xlpm.r,_xlpm.c),""),
  IF(OR(_xlpm.w="",_xlpm.v=""),"",_xlpm.v*_xlpm.w)
)</f>
        <v/>
      </c>
      <c r="CX35" s="93" t="str" cm="1">
        <f t="array" ref="CX35">_xlfn.LET(
  _xlpm.w, CX$11,
  _xlpm.r, MATCH(1,('3. Enter Indicator Scores'!$B$10:$B$161=$B35)*('3. Enter Indicator Scores'!$C$10:$C$161=$C35),0),
  _xlpm.c, MATCH(CX$8,'3. Enter Indicator Scores'!$D$8:$CZ$8,0),
  _xlpm.v, IFERROR(INDEX('3. Enter Indicator Scores'!$D$10:$CZ$161,_xlpm.r,_xlpm.c),""),
  IF(OR(_xlpm.w="",_xlpm.v=""),"",_xlpm.v*_xlpm.w)
)</f>
        <v/>
      </c>
      <c r="CY35" s="93" t="str" cm="1">
        <f t="array" ref="CY35">_xlfn.LET(
  _xlpm.w, CY$11,
  _xlpm.r, MATCH(1,('3. Enter Indicator Scores'!$B$10:$B$161=$B35)*('3. Enter Indicator Scores'!$C$10:$C$161=$C35),0),
  _xlpm.c, MATCH(CY$8,'3. Enter Indicator Scores'!$D$8:$CZ$8,0),
  _xlpm.v, IFERROR(INDEX('3. Enter Indicator Scores'!$D$10:$CZ$161,_xlpm.r,_xlpm.c),""),
  IF(OR(_xlpm.w="",_xlpm.v=""),"",_xlpm.v*_xlpm.w)
)</f>
        <v/>
      </c>
      <c r="CZ35" s="93" t="str" cm="1">
        <f t="array" ref="CZ35">_xlfn.LET(
  _xlpm.w, CZ$11,
  _xlpm.r, MATCH(1,('3. Enter Indicator Scores'!$B$10:$B$161=$B35)*('3. Enter Indicator Scores'!$C$10:$C$161=$C35),0),
  _xlpm.c, MATCH(CZ$8,'3. Enter Indicator Scores'!$D$8:$CZ$8,0),
  _xlpm.v, IFERROR(INDEX('3. Enter Indicator Scores'!$D$10:$CZ$161,_xlpm.r,_xlpm.c),""),
  IF(OR(_xlpm.w="",_xlpm.v=""),"",_xlpm.v*_xlpm.w)
)</f>
        <v/>
      </c>
    </row>
    <row r="36" spans="4:104" x14ac:dyDescent="0.2">
      <c r="D36" s="93" t="str" cm="1">
        <f t="array" ref="D36">_xlfn.LET(
  _xlpm.w, D$11,
  _xlpm.r, MATCH(1,('3. Enter Indicator Scores'!$B$10:$B$161=$B36)*('3. Enter Indicator Scores'!$C$10:$C$161=$C36),0),
  _xlpm.c, MATCH(D$8,'3. Enter Indicator Scores'!$D$8:$CZ$8,0),
  _xlpm.v, IFERROR(INDEX('3. Enter Indicator Scores'!$D$10:$CZ$161,_xlpm.r,_xlpm.c),""),
  IF(OR(_xlpm.w="",_xlpm.v=""),"",_xlpm.v*_xlpm.w)
)</f>
        <v/>
      </c>
      <c r="E36" s="93" t="str" cm="1">
        <f t="array" ref="E36">_xlfn.LET(
  _xlpm.w, E$11,
  _xlpm.r, MATCH(1,('3. Enter Indicator Scores'!$B$10:$B$161=$B36)*('3. Enter Indicator Scores'!$C$10:$C$161=$C36),0),
  _xlpm.c, MATCH(E$8,'3. Enter Indicator Scores'!$D$8:$CZ$8,0),
  _xlpm.v, IFERROR(INDEX('3. Enter Indicator Scores'!$D$10:$CZ$161,_xlpm.r,_xlpm.c),""),
  IF(OR(_xlpm.w="",_xlpm.v=""),"",_xlpm.v*_xlpm.w)
)</f>
        <v/>
      </c>
      <c r="F36" s="93" t="str" cm="1">
        <f t="array" ref="F36">_xlfn.LET(
  _xlpm.w, F$11,
  _xlpm.r, MATCH(1,('3. Enter Indicator Scores'!$B$10:$B$161=$B36)*('3. Enter Indicator Scores'!$C$10:$C$161=$C36),0),
  _xlpm.c, MATCH(F$8,'3. Enter Indicator Scores'!$D$8:$CZ$8,0),
  _xlpm.v, IFERROR(INDEX('3. Enter Indicator Scores'!$D$10:$CZ$161,_xlpm.r,_xlpm.c),""),
  IF(OR(_xlpm.w="",_xlpm.v=""),"",_xlpm.v*_xlpm.w)
)</f>
        <v/>
      </c>
      <c r="G36" s="93" t="str" cm="1">
        <f t="array" ref="G36">_xlfn.LET(
  _xlpm.w, G$11,
  _xlpm.r, MATCH(1,('3. Enter Indicator Scores'!$B$10:$B$161=$B36)*('3. Enter Indicator Scores'!$C$10:$C$161=$C36),0),
  _xlpm.c, MATCH(G$8,'3. Enter Indicator Scores'!$D$8:$CZ$8,0),
  _xlpm.v, IFERROR(INDEX('3. Enter Indicator Scores'!$D$10:$CZ$161,_xlpm.r,_xlpm.c),""),
  IF(OR(_xlpm.w="",_xlpm.v=""),"",_xlpm.v*_xlpm.w)
)</f>
        <v/>
      </c>
      <c r="H36" s="93" t="str" cm="1">
        <f t="array" ref="H36">_xlfn.LET(
  _xlpm.w, H$11,
  _xlpm.r, MATCH(1,('3. Enter Indicator Scores'!$B$10:$B$161=$B36)*('3. Enter Indicator Scores'!$C$10:$C$161=$C36),0),
  _xlpm.c, MATCH(H$8,'3. Enter Indicator Scores'!$D$8:$CZ$8,0),
  _xlpm.v, IFERROR(INDEX('3. Enter Indicator Scores'!$D$10:$CZ$161,_xlpm.r,_xlpm.c),""),
  IF(OR(_xlpm.w="",_xlpm.v=""),"",_xlpm.v*_xlpm.w)
)</f>
        <v/>
      </c>
      <c r="I36" s="93" t="str" cm="1">
        <f t="array" ref="I36">_xlfn.LET(
  _xlpm.w, I$11,
  _xlpm.r, MATCH(1,('3. Enter Indicator Scores'!$B$10:$B$161=$B36)*('3. Enter Indicator Scores'!$C$10:$C$161=$C36),0),
  _xlpm.c, MATCH(I$8,'3. Enter Indicator Scores'!$D$8:$CZ$8,0),
  _xlpm.v, IFERROR(INDEX('3. Enter Indicator Scores'!$D$10:$CZ$161,_xlpm.r,_xlpm.c),""),
  IF(OR(_xlpm.w="",_xlpm.v=""),"",_xlpm.v*_xlpm.w)
)</f>
        <v/>
      </c>
      <c r="J36" s="93" t="str" cm="1">
        <f t="array" ref="J36">_xlfn.LET(
  _xlpm.w, J$11,
  _xlpm.r, MATCH(1,('3. Enter Indicator Scores'!$B$10:$B$161=$B36)*('3. Enter Indicator Scores'!$C$10:$C$161=$C36),0),
  _xlpm.c, MATCH(J$8,'3. Enter Indicator Scores'!$D$8:$CZ$8,0),
  _xlpm.v, IFERROR(INDEX('3. Enter Indicator Scores'!$D$10:$CZ$161,_xlpm.r,_xlpm.c),""),
  IF(OR(_xlpm.w="",_xlpm.v=""),"",_xlpm.v*_xlpm.w)
)</f>
        <v/>
      </c>
      <c r="K36" s="93" t="str" cm="1">
        <f t="array" ref="K36">_xlfn.LET(
  _xlpm.w, K$11,
  _xlpm.r, MATCH(1,('3. Enter Indicator Scores'!$B$10:$B$161=$B36)*('3. Enter Indicator Scores'!$C$10:$C$161=$C36),0),
  _xlpm.c, MATCH(K$8,'3. Enter Indicator Scores'!$D$8:$CZ$8,0),
  _xlpm.v, IFERROR(INDEX('3. Enter Indicator Scores'!$D$10:$CZ$161,_xlpm.r,_xlpm.c),""),
  IF(OR(_xlpm.w="",_xlpm.v=""),"",_xlpm.v*_xlpm.w)
)</f>
        <v/>
      </c>
      <c r="L36" s="93" t="str" cm="1">
        <f t="array" ref="L36">_xlfn.LET(
  _xlpm.w, L$11,
  _xlpm.r, MATCH(1,('3. Enter Indicator Scores'!$B$10:$B$161=$B36)*('3. Enter Indicator Scores'!$C$10:$C$161=$C36),0),
  _xlpm.c, MATCH(L$8,'3. Enter Indicator Scores'!$D$8:$CZ$8,0),
  _xlpm.v, IFERROR(INDEX('3. Enter Indicator Scores'!$D$10:$CZ$161,_xlpm.r,_xlpm.c),""),
  IF(OR(_xlpm.w="",_xlpm.v=""),"",_xlpm.v*_xlpm.w)
)</f>
        <v/>
      </c>
      <c r="M36" s="93" t="str" cm="1">
        <f t="array" ref="M36">_xlfn.LET(
  _xlpm.w, M$11,
  _xlpm.r, MATCH(1,('3. Enter Indicator Scores'!$B$10:$B$161=$B36)*('3. Enter Indicator Scores'!$C$10:$C$161=$C36),0),
  _xlpm.c, MATCH(M$8,'3. Enter Indicator Scores'!$D$8:$CZ$8,0),
  _xlpm.v, IFERROR(INDEX('3. Enter Indicator Scores'!$D$10:$CZ$161,_xlpm.r,_xlpm.c),""),
  IF(OR(_xlpm.w="",_xlpm.v=""),"",_xlpm.v*_xlpm.w)
)</f>
        <v/>
      </c>
      <c r="N36" s="93" t="str" cm="1">
        <f t="array" ref="N36">_xlfn.LET(
  _xlpm.w, N$11,
  _xlpm.r, MATCH(1,('3. Enter Indicator Scores'!$B$10:$B$161=$B36)*('3. Enter Indicator Scores'!$C$10:$C$161=$C36),0),
  _xlpm.c, MATCH(N$8,'3. Enter Indicator Scores'!$D$8:$CZ$8,0),
  _xlpm.v, IFERROR(INDEX('3. Enter Indicator Scores'!$D$10:$CZ$161,_xlpm.r,_xlpm.c),""),
  IF(OR(_xlpm.w="",_xlpm.v=""),"",_xlpm.v*_xlpm.w)
)</f>
        <v/>
      </c>
      <c r="O36" s="93" t="str" cm="1">
        <f t="array" ref="O36">_xlfn.LET(
  _xlpm.w, O$11,
  _xlpm.r, MATCH(1,('3. Enter Indicator Scores'!$B$10:$B$161=$B36)*('3. Enter Indicator Scores'!$C$10:$C$161=$C36),0),
  _xlpm.c, MATCH(O$8,'3. Enter Indicator Scores'!$D$8:$CZ$8,0),
  _xlpm.v, IFERROR(INDEX('3. Enter Indicator Scores'!$D$10:$CZ$161,_xlpm.r,_xlpm.c),""),
  IF(OR(_xlpm.w="",_xlpm.v=""),"",_xlpm.v*_xlpm.w)
)</f>
        <v/>
      </c>
      <c r="P36" s="93" t="str" cm="1">
        <f t="array" ref="P36">_xlfn.LET(
  _xlpm.w, P$11,
  _xlpm.r, MATCH(1,('3. Enter Indicator Scores'!$B$10:$B$161=$B36)*('3. Enter Indicator Scores'!$C$10:$C$161=$C36),0),
  _xlpm.c, MATCH(P$8,'3. Enter Indicator Scores'!$D$8:$CZ$8,0),
  _xlpm.v, IFERROR(INDEX('3. Enter Indicator Scores'!$D$10:$CZ$161,_xlpm.r,_xlpm.c),""),
  IF(OR(_xlpm.w="",_xlpm.v=""),"",_xlpm.v*_xlpm.w)
)</f>
        <v/>
      </c>
      <c r="Q36" s="93" t="str" cm="1">
        <f t="array" ref="Q36">_xlfn.LET(
  _xlpm.w, Q$11,
  _xlpm.r, MATCH(1,('3. Enter Indicator Scores'!$B$10:$B$161=$B36)*('3. Enter Indicator Scores'!$C$10:$C$161=$C36),0),
  _xlpm.c, MATCH(Q$8,'3. Enter Indicator Scores'!$D$8:$CZ$8,0),
  _xlpm.v, IFERROR(INDEX('3. Enter Indicator Scores'!$D$10:$CZ$161,_xlpm.r,_xlpm.c),""),
  IF(OR(_xlpm.w="",_xlpm.v=""),"",_xlpm.v*_xlpm.w)
)</f>
        <v/>
      </c>
      <c r="R36" s="93" t="str" cm="1">
        <f t="array" ref="R36">_xlfn.LET(
  _xlpm.w, R$11,
  _xlpm.r, MATCH(1,('3. Enter Indicator Scores'!$B$10:$B$161=$B36)*('3. Enter Indicator Scores'!$C$10:$C$161=$C36),0),
  _xlpm.c, MATCH(R$8,'3. Enter Indicator Scores'!$D$8:$CZ$8,0),
  _xlpm.v, IFERROR(INDEX('3. Enter Indicator Scores'!$D$10:$CZ$161,_xlpm.r,_xlpm.c),""),
  IF(OR(_xlpm.w="",_xlpm.v=""),"",_xlpm.v*_xlpm.w)
)</f>
        <v/>
      </c>
      <c r="S36" s="93" t="str" cm="1">
        <f t="array" ref="S36">_xlfn.LET(
  _xlpm.w, S$11,
  _xlpm.r, MATCH(1,('3. Enter Indicator Scores'!$B$10:$B$161=$B36)*('3. Enter Indicator Scores'!$C$10:$C$161=$C36),0),
  _xlpm.c, MATCH(S$8,'3. Enter Indicator Scores'!$D$8:$CZ$8,0),
  _xlpm.v, IFERROR(INDEX('3. Enter Indicator Scores'!$D$10:$CZ$161,_xlpm.r,_xlpm.c),""),
  IF(OR(_xlpm.w="",_xlpm.v=""),"",_xlpm.v*_xlpm.w)
)</f>
        <v/>
      </c>
      <c r="T36" s="93" t="str" cm="1">
        <f t="array" ref="T36">_xlfn.LET(
  _xlpm.w, T$11,
  _xlpm.r, MATCH(1,('3. Enter Indicator Scores'!$B$10:$B$161=$B36)*('3. Enter Indicator Scores'!$C$10:$C$161=$C36),0),
  _xlpm.c, MATCH(T$8,'3. Enter Indicator Scores'!$D$8:$CZ$8,0),
  _xlpm.v, IFERROR(INDEX('3. Enter Indicator Scores'!$D$10:$CZ$161,_xlpm.r,_xlpm.c),""),
  IF(OR(_xlpm.w="",_xlpm.v=""),"",_xlpm.v*_xlpm.w)
)</f>
        <v/>
      </c>
      <c r="U36" s="93" t="str" cm="1">
        <f t="array" ref="U36">_xlfn.LET(
  _xlpm.w, U$11,
  _xlpm.r, MATCH(1,('3. Enter Indicator Scores'!$B$10:$B$161=$B36)*('3. Enter Indicator Scores'!$C$10:$C$161=$C36),0),
  _xlpm.c, MATCH(U$8,'3. Enter Indicator Scores'!$D$8:$CZ$8,0),
  _xlpm.v, IFERROR(INDEX('3. Enter Indicator Scores'!$D$10:$CZ$161,_xlpm.r,_xlpm.c),""),
  IF(OR(_xlpm.w="",_xlpm.v=""),"",_xlpm.v*_xlpm.w)
)</f>
        <v/>
      </c>
      <c r="V36" s="93" t="str" cm="1">
        <f t="array" ref="V36">_xlfn.LET(
  _xlpm.w, V$11,
  _xlpm.r, MATCH(1,('3. Enter Indicator Scores'!$B$10:$B$161=$B36)*('3. Enter Indicator Scores'!$C$10:$C$161=$C36),0),
  _xlpm.c, MATCH(V$8,'3. Enter Indicator Scores'!$D$8:$CZ$8,0),
  _xlpm.v, IFERROR(INDEX('3. Enter Indicator Scores'!$D$10:$CZ$161,_xlpm.r,_xlpm.c),""),
  IF(OR(_xlpm.w="",_xlpm.v=""),"",_xlpm.v*_xlpm.w)
)</f>
        <v/>
      </c>
      <c r="W36" s="93" t="str" cm="1">
        <f t="array" ref="W36">_xlfn.LET(
  _xlpm.w, W$11,
  _xlpm.r, MATCH(1,('3. Enter Indicator Scores'!$B$10:$B$161=$B36)*('3. Enter Indicator Scores'!$C$10:$C$161=$C36),0),
  _xlpm.c, MATCH(W$8,'3. Enter Indicator Scores'!$D$8:$CZ$8,0),
  _xlpm.v, IFERROR(INDEX('3. Enter Indicator Scores'!$D$10:$CZ$161,_xlpm.r,_xlpm.c),""),
  IF(OR(_xlpm.w="",_xlpm.v=""),"",_xlpm.v*_xlpm.w)
)</f>
        <v/>
      </c>
      <c r="X36" s="93" t="str" cm="1">
        <f t="array" ref="X36">_xlfn.LET(
  _xlpm.w, X$11,
  _xlpm.r, MATCH(1,('3. Enter Indicator Scores'!$B$10:$B$161=$B36)*('3. Enter Indicator Scores'!$C$10:$C$161=$C36),0),
  _xlpm.c, MATCH(X$8,'3. Enter Indicator Scores'!$D$8:$CZ$8,0),
  _xlpm.v, IFERROR(INDEX('3. Enter Indicator Scores'!$D$10:$CZ$161,_xlpm.r,_xlpm.c),""),
  IF(OR(_xlpm.w="",_xlpm.v=""),"",_xlpm.v*_xlpm.w)
)</f>
        <v/>
      </c>
      <c r="Y36" s="93" t="str" cm="1">
        <f t="array" ref="Y36">_xlfn.LET(
  _xlpm.w, Y$11,
  _xlpm.r, MATCH(1,('3. Enter Indicator Scores'!$B$10:$B$161=$B36)*('3. Enter Indicator Scores'!$C$10:$C$161=$C36),0),
  _xlpm.c, MATCH(Y$8,'3. Enter Indicator Scores'!$D$8:$CZ$8,0),
  _xlpm.v, IFERROR(INDEX('3. Enter Indicator Scores'!$D$10:$CZ$161,_xlpm.r,_xlpm.c),""),
  IF(OR(_xlpm.w="",_xlpm.v=""),"",_xlpm.v*_xlpm.w)
)</f>
        <v/>
      </c>
      <c r="Z36" s="93" t="str" cm="1">
        <f t="array" ref="Z36">_xlfn.LET(
  _xlpm.w, Z$11,
  _xlpm.r, MATCH(1,('3. Enter Indicator Scores'!$B$10:$B$161=$B36)*('3. Enter Indicator Scores'!$C$10:$C$161=$C36),0),
  _xlpm.c, MATCH(Z$8,'3. Enter Indicator Scores'!$D$8:$CZ$8,0),
  _xlpm.v, IFERROR(INDEX('3. Enter Indicator Scores'!$D$10:$CZ$161,_xlpm.r,_xlpm.c),""),
  IF(OR(_xlpm.w="",_xlpm.v=""),"",_xlpm.v*_xlpm.w)
)</f>
        <v/>
      </c>
      <c r="AA36" s="93" t="str" cm="1">
        <f t="array" ref="AA36">_xlfn.LET(
  _xlpm.w, AA$11,
  _xlpm.r, MATCH(1,('3. Enter Indicator Scores'!$B$10:$B$161=$B36)*('3. Enter Indicator Scores'!$C$10:$C$161=$C36),0),
  _xlpm.c, MATCH(AA$8,'3. Enter Indicator Scores'!$D$8:$CZ$8,0),
  _xlpm.v, IFERROR(INDEX('3. Enter Indicator Scores'!$D$10:$CZ$161,_xlpm.r,_xlpm.c),""),
  IF(OR(_xlpm.w="",_xlpm.v=""),"",_xlpm.v*_xlpm.w)
)</f>
        <v/>
      </c>
      <c r="AB36" s="93" t="str" cm="1">
        <f t="array" ref="AB36">_xlfn.LET(
  _xlpm.w, AB$11,
  _xlpm.r, MATCH(1,('3. Enter Indicator Scores'!$B$10:$B$161=$B36)*('3. Enter Indicator Scores'!$C$10:$C$161=$C36),0),
  _xlpm.c, MATCH(AB$8,'3. Enter Indicator Scores'!$D$8:$CZ$8,0),
  _xlpm.v, IFERROR(INDEX('3. Enter Indicator Scores'!$D$10:$CZ$161,_xlpm.r,_xlpm.c),""),
  IF(OR(_xlpm.w="",_xlpm.v=""),"",_xlpm.v*_xlpm.w)
)</f>
        <v/>
      </c>
      <c r="AC36" s="93" t="str" cm="1">
        <f t="array" ref="AC36">_xlfn.LET(
  _xlpm.w, AC$11,
  _xlpm.r, MATCH(1,('3. Enter Indicator Scores'!$B$10:$B$161=$B36)*('3. Enter Indicator Scores'!$C$10:$C$161=$C36),0),
  _xlpm.c, MATCH(AC$8,'3. Enter Indicator Scores'!$D$8:$CZ$8,0),
  _xlpm.v, IFERROR(INDEX('3. Enter Indicator Scores'!$D$10:$CZ$161,_xlpm.r,_xlpm.c),""),
  IF(OR(_xlpm.w="",_xlpm.v=""),"",_xlpm.v*_xlpm.w)
)</f>
        <v/>
      </c>
      <c r="AD36" s="93" t="str" cm="1">
        <f t="array" ref="AD36">_xlfn.LET(
  _xlpm.w, AD$11,
  _xlpm.r, MATCH(1,('3. Enter Indicator Scores'!$B$10:$B$161=$B36)*('3. Enter Indicator Scores'!$C$10:$C$161=$C36),0),
  _xlpm.c, MATCH(AD$8,'3. Enter Indicator Scores'!$D$8:$CZ$8,0),
  _xlpm.v, IFERROR(INDEX('3. Enter Indicator Scores'!$D$10:$CZ$161,_xlpm.r,_xlpm.c),""),
  IF(OR(_xlpm.w="",_xlpm.v=""),"",_xlpm.v*_xlpm.w)
)</f>
        <v/>
      </c>
      <c r="AE36" s="93" t="str" cm="1">
        <f t="array" ref="AE36">_xlfn.LET(
  _xlpm.w, AE$11,
  _xlpm.r, MATCH(1,('3. Enter Indicator Scores'!$B$10:$B$161=$B36)*('3. Enter Indicator Scores'!$C$10:$C$161=$C36),0),
  _xlpm.c, MATCH(AE$8,'3. Enter Indicator Scores'!$D$8:$CZ$8,0),
  _xlpm.v, IFERROR(INDEX('3. Enter Indicator Scores'!$D$10:$CZ$161,_xlpm.r,_xlpm.c),""),
  IF(OR(_xlpm.w="",_xlpm.v=""),"",_xlpm.v*_xlpm.w)
)</f>
        <v/>
      </c>
      <c r="AF36" s="93" t="str" cm="1">
        <f t="array" ref="AF36">_xlfn.LET(
  _xlpm.w, AF$11,
  _xlpm.r, MATCH(1,('3. Enter Indicator Scores'!$B$10:$B$161=$B36)*('3. Enter Indicator Scores'!$C$10:$C$161=$C36),0),
  _xlpm.c, MATCH(AF$8,'3. Enter Indicator Scores'!$D$8:$CZ$8,0),
  _xlpm.v, IFERROR(INDEX('3. Enter Indicator Scores'!$D$10:$CZ$161,_xlpm.r,_xlpm.c),""),
  IF(OR(_xlpm.w="",_xlpm.v=""),"",_xlpm.v*_xlpm.w)
)</f>
        <v/>
      </c>
      <c r="AG36" s="93" t="str" cm="1">
        <f t="array" ref="AG36">_xlfn.LET(
  _xlpm.w, AG$11,
  _xlpm.r, MATCH(1,('3. Enter Indicator Scores'!$B$10:$B$161=$B36)*('3. Enter Indicator Scores'!$C$10:$C$161=$C36),0),
  _xlpm.c, MATCH(AG$8,'3. Enter Indicator Scores'!$D$8:$CZ$8,0),
  _xlpm.v, IFERROR(INDEX('3. Enter Indicator Scores'!$D$10:$CZ$161,_xlpm.r,_xlpm.c),""),
  IF(OR(_xlpm.w="",_xlpm.v=""),"",_xlpm.v*_xlpm.w)
)</f>
        <v/>
      </c>
      <c r="AH36" s="93" t="str" cm="1">
        <f t="array" ref="AH36">_xlfn.LET(
  _xlpm.w, AH$11,
  _xlpm.r, MATCH(1,('3. Enter Indicator Scores'!$B$10:$B$161=$B36)*('3. Enter Indicator Scores'!$C$10:$C$161=$C36),0),
  _xlpm.c, MATCH(AH$8,'3. Enter Indicator Scores'!$D$8:$CZ$8,0),
  _xlpm.v, IFERROR(INDEX('3. Enter Indicator Scores'!$D$10:$CZ$161,_xlpm.r,_xlpm.c),""),
  IF(OR(_xlpm.w="",_xlpm.v=""),"",_xlpm.v*_xlpm.w)
)</f>
        <v/>
      </c>
      <c r="AI36" s="93" t="str" cm="1">
        <f t="array" ref="AI36">_xlfn.LET(
  _xlpm.w, AI$11,
  _xlpm.r, MATCH(1,('3. Enter Indicator Scores'!$B$10:$B$161=$B36)*('3. Enter Indicator Scores'!$C$10:$C$161=$C36),0),
  _xlpm.c, MATCH(AI$8,'3. Enter Indicator Scores'!$D$8:$CZ$8,0),
  _xlpm.v, IFERROR(INDEX('3. Enter Indicator Scores'!$D$10:$CZ$161,_xlpm.r,_xlpm.c),""),
  IF(OR(_xlpm.w="",_xlpm.v=""),"",_xlpm.v*_xlpm.w)
)</f>
        <v/>
      </c>
      <c r="AJ36" s="93" t="str" cm="1">
        <f t="array" ref="AJ36">_xlfn.LET(
  _xlpm.w, AJ$11,
  _xlpm.r, MATCH(1,('3. Enter Indicator Scores'!$B$10:$B$161=$B36)*('3. Enter Indicator Scores'!$C$10:$C$161=$C36),0),
  _xlpm.c, MATCH(AJ$8,'3. Enter Indicator Scores'!$D$8:$CZ$8,0),
  _xlpm.v, IFERROR(INDEX('3. Enter Indicator Scores'!$D$10:$CZ$161,_xlpm.r,_xlpm.c),""),
  IF(OR(_xlpm.w="",_xlpm.v=""),"",_xlpm.v*_xlpm.w)
)</f>
        <v/>
      </c>
      <c r="AK36" s="93" t="str" cm="1">
        <f t="array" ref="AK36">_xlfn.LET(
  _xlpm.w, AK$11,
  _xlpm.r, MATCH(1,('3. Enter Indicator Scores'!$B$10:$B$161=$B36)*('3. Enter Indicator Scores'!$C$10:$C$161=$C36),0),
  _xlpm.c, MATCH(AK$8,'3. Enter Indicator Scores'!$D$8:$CZ$8,0),
  _xlpm.v, IFERROR(INDEX('3. Enter Indicator Scores'!$D$10:$CZ$161,_xlpm.r,_xlpm.c),""),
  IF(OR(_xlpm.w="",_xlpm.v=""),"",_xlpm.v*_xlpm.w)
)</f>
        <v/>
      </c>
      <c r="AL36" s="93" t="str" cm="1">
        <f t="array" ref="AL36">_xlfn.LET(
  _xlpm.w, AL$11,
  _xlpm.r, MATCH(1,('3. Enter Indicator Scores'!$B$10:$B$161=$B36)*('3. Enter Indicator Scores'!$C$10:$C$161=$C36),0),
  _xlpm.c, MATCH(AL$8,'3. Enter Indicator Scores'!$D$8:$CZ$8,0),
  _xlpm.v, IFERROR(INDEX('3. Enter Indicator Scores'!$D$10:$CZ$161,_xlpm.r,_xlpm.c),""),
  IF(OR(_xlpm.w="",_xlpm.v=""),"",_xlpm.v*_xlpm.w)
)</f>
        <v/>
      </c>
      <c r="AM36" s="93" t="str" cm="1">
        <f t="array" ref="AM36">_xlfn.LET(
  _xlpm.w, AM$11,
  _xlpm.r, MATCH(1,('3. Enter Indicator Scores'!$B$10:$B$161=$B36)*('3. Enter Indicator Scores'!$C$10:$C$161=$C36),0),
  _xlpm.c, MATCH(AM$8,'3. Enter Indicator Scores'!$D$8:$CZ$8,0),
  _xlpm.v, IFERROR(INDEX('3. Enter Indicator Scores'!$D$10:$CZ$161,_xlpm.r,_xlpm.c),""),
  IF(OR(_xlpm.w="",_xlpm.v=""),"",_xlpm.v*_xlpm.w)
)</f>
        <v/>
      </c>
      <c r="AN36" s="93" t="str" cm="1">
        <f t="array" ref="AN36">_xlfn.LET(
  _xlpm.w, AN$11,
  _xlpm.r, MATCH(1,('3. Enter Indicator Scores'!$B$10:$B$161=$B36)*('3. Enter Indicator Scores'!$C$10:$C$161=$C36),0),
  _xlpm.c, MATCH(AN$8,'3. Enter Indicator Scores'!$D$8:$CZ$8,0),
  _xlpm.v, IFERROR(INDEX('3. Enter Indicator Scores'!$D$10:$CZ$161,_xlpm.r,_xlpm.c),""),
  IF(OR(_xlpm.w="",_xlpm.v=""),"",_xlpm.v*_xlpm.w)
)</f>
        <v/>
      </c>
      <c r="AO36" s="93" t="str" cm="1">
        <f t="array" ref="AO36">_xlfn.LET(
  _xlpm.w, AO$11,
  _xlpm.r, MATCH(1,('3. Enter Indicator Scores'!$B$10:$B$161=$B36)*('3. Enter Indicator Scores'!$C$10:$C$161=$C36),0),
  _xlpm.c, MATCH(AO$8,'3. Enter Indicator Scores'!$D$8:$CZ$8,0),
  _xlpm.v, IFERROR(INDEX('3. Enter Indicator Scores'!$D$10:$CZ$161,_xlpm.r,_xlpm.c),""),
  IF(OR(_xlpm.w="",_xlpm.v=""),"",_xlpm.v*_xlpm.w)
)</f>
        <v/>
      </c>
      <c r="AP36" s="93" t="str" cm="1">
        <f t="array" ref="AP36">_xlfn.LET(
  _xlpm.w, AP$11,
  _xlpm.r, MATCH(1,('3. Enter Indicator Scores'!$B$10:$B$161=$B36)*('3. Enter Indicator Scores'!$C$10:$C$161=$C36),0),
  _xlpm.c, MATCH(AP$8,'3. Enter Indicator Scores'!$D$8:$CZ$8,0),
  _xlpm.v, IFERROR(INDEX('3. Enter Indicator Scores'!$D$10:$CZ$161,_xlpm.r,_xlpm.c),""),
  IF(OR(_xlpm.w="",_xlpm.v=""),"",_xlpm.v*_xlpm.w)
)</f>
        <v/>
      </c>
      <c r="AQ36" s="93" t="str" cm="1">
        <f t="array" ref="AQ36">_xlfn.LET(
  _xlpm.w, AQ$11,
  _xlpm.r, MATCH(1,('3. Enter Indicator Scores'!$B$10:$B$161=$B36)*('3. Enter Indicator Scores'!$C$10:$C$161=$C36),0),
  _xlpm.c, MATCH(AQ$8,'3. Enter Indicator Scores'!$D$8:$CZ$8,0),
  _xlpm.v, IFERROR(INDEX('3. Enter Indicator Scores'!$D$10:$CZ$161,_xlpm.r,_xlpm.c),""),
  IF(OR(_xlpm.w="",_xlpm.v=""),"",_xlpm.v*_xlpm.w)
)</f>
        <v/>
      </c>
      <c r="AR36" s="93" t="str" cm="1">
        <f t="array" ref="AR36">_xlfn.LET(
  _xlpm.w, AR$11,
  _xlpm.r, MATCH(1,('3. Enter Indicator Scores'!$B$10:$B$161=$B36)*('3. Enter Indicator Scores'!$C$10:$C$161=$C36),0),
  _xlpm.c, MATCH(AR$8,'3. Enter Indicator Scores'!$D$8:$CZ$8,0),
  _xlpm.v, IFERROR(INDEX('3. Enter Indicator Scores'!$D$10:$CZ$161,_xlpm.r,_xlpm.c),""),
  IF(OR(_xlpm.w="",_xlpm.v=""),"",_xlpm.v*_xlpm.w)
)</f>
        <v/>
      </c>
      <c r="AS36" s="93" t="str" cm="1">
        <f t="array" ref="AS36">_xlfn.LET(
  _xlpm.w, AS$11,
  _xlpm.r, MATCH(1,('3. Enter Indicator Scores'!$B$10:$B$161=$B36)*('3. Enter Indicator Scores'!$C$10:$C$161=$C36),0),
  _xlpm.c, MATCH(AS$8,'3. Enter Indicator Scores'!$D$8:$CZ$8,0),
  _xlpm.v, IFERROR(INDEX('3. Enter Indicator Scores'!$D$10:$CZ$161,_xlpm.r,_xlpm.c),""),
  IF(OR(_xlpm.w="",_xlpm.v=""),"",_xlpm.v*_xlpm.w)
)</f>
        <v/>
      </c>
      <c r="AT36" s="93" t="str" cm="1">
        <f t="array" ref="AT36">_xlfn.LET(
  _xlpm.w, AT$11,
  _xlpm.r, MATCH(1,('3. Enter Indicator Scores'!$B$10:$B$161=$B36)*('3. Enter Indicator Scores'!$C$10:$C$161=$C36),0),
  _xlpm.c, MATCH(AT$8,'3. Enter Indicator Scores'!$D$8:$CZ$8,0),
  _xlpm.v, IFERROR(INDEX('3. Enter Indicator Scores'!$D$10:$CZ$161,_xlpm.r,_xlpm.c),""),
  IF(OR(_xlpm.w="",_xlpm.v=""),"",_xlpm.v*_xlpm.w)
)</f>
        <v/>
      </c>
      <c r="AU36" s="93" t="str" cm="1">
        <f t="array" ref="AU36">_xlfn.LET(
  _xlpm.w, AU$11,
  _xlpm.r, MATCH(1,('3. Enter Indicator Scores'!$B$10:$B$161=$B36)*('3. Enter Indicator Scores'!$C$10:$C$161=$C36),0),
  _xlpm.c, MATCH(AU$8,'3. Enter Indicator Scores'!$D$8:$CZ$8,0),
  _xlpm.v, IFERROR(INDEX('3. Enter Indicator Scores'!$D$10:$CZ$161,_xlpm.r,_xlpm.c),""),
  IF(OR(_xlpm.w="",_xlpm.v=""),"",_xlpm.v*_xlpm.w)
)</f>
        <v/>
      </c>
      <c r="AV36" s="93" t="str" cm="1">
        <f t="array" ref="AV36">_xlfn.LET(
  _xlpm.w, AV$11,
  _xlpm.r, MATCH(1,('3. Enter Indicator Scores'!$B$10:$B$161=$B36)*('3. Enter Indicator Scores'!$C$10:$C$161=$C36),0),
  _xlpm.c, MATCH(AV$8,'3. Enter Indicator Scores'!$D$8:$CZ$8,0),
  _xlpm.v, IFERROR(INDEX('3. Enter Indicator Scores'!$D$10:$CZ$161,_xlpm.r,_xlpm.c),""),
  IF(OR(_xlpm.w="",_xlpm.v=""),"",_xlpm.v*_xlpm.w)
)</f>
        <v/>
      </c>
      <c r="AW36" s="93" t="str" cm="1">
        <f t="array" ref="AW36">_xlfn.LET(
  _xlpm.w, AW$11,
  _xlpm.r, MATCH(1,('3. Enter Indicator Scores'!$B$10:$B$161=$B36)*('3. Enter Indicator Scores'!$C$10:$C$161=$C36),0),
  _xlpm.c, MATCH(AW$8,'3. Enter Indicator Scores'!$D$8:$CZ$8,0),
  _xlpm.v, IFERROR(INDEX('3. Enter Indicator Scores'!$D$10:$CZ$161,_xlpm.r,_xlpm.c),""),
  IF(OR(_xlpm.w="",_xlpm.v=""),"",_xlpm.v*_xlpm.w)
)</f>
        <v/>
      </c>
      <c r="AX36" s="93" t="str" cm="1">
        <f t="array" ref="AX36">_xlfn.LET(
  _xlpm.w, AX$11,
  _xlpm.r, MATCH(1,('3. Enter Indicator Scores'!$B$10:$B$161=$B36)*('3. Enter Indicator Scores'!$C$10:$C$161=$C36),0),
  _xlpm.c, MATCH(AX$8,'3. Enter Indicator Scores'!$D$8:$CZ$8,0),
  _xlpm.v, IFERROR(INDEX('3. Enter Indicator Scores'!$D$10:$CZ$161,_xlpm.r,_xlpm.c),""),
  IF(OR(_xlpm.w="",_xlpm.v=""),"",_xlpm.v*_xlpm.w)
)</f>
        <v/>
      </c>
      <c r="AY36" s="93" t="str" cm="1">
        <f t="array" ref="AY36">_xlfn.LET(
  _xlpm.w, AY$11,
  _xlpm.r, MATCH(1,('3. Enter Indicator Scores'!$B$10:$B$161=$B36)*('3. Enter Indicator Scores'!$C$10:$C$161=$C36),0),
  _xlpm.c, MATCH(AY$8,'3. Enter Indicator Scores'!$D$8:$CZ$8,0),
  _xlpm.v, IFERROR(INDEX('3. Enter Indicator Scores'!$D$10:$CZ$161,_xlpm.r,_xlpm.c),""),
  IF(OR(_xlpm.w="",_xlpm.v=""),"",_xlpm.v*_xlpm.w)
)</f>
        <v/>
      </c>
      <c r="AZ36" s="93" t="str" cm="1">
        <f t="array" ref="AZ36">_xlfn.LET(
  _xlpm.w, AZ$11,
  _xlpm.r, MATCH(1,('3. Enter Indicator Scores'!$B$10:$B$161=$B36)*('3. Enter Indicator Scores'!$C$10:$C$161=$C36),0),
  _xlpm.c, MATCH(AZ$8,'3. Enter Indicator Scores'!$D$8:$CZ$8,0),
  _xlpm.v, IFERROR(INDEX('3. Enter Indicator Scores'!$D$10:$CZ$161,_xlpm.r,_xlpm.c),""),
  IF(OR(_xlpm.w="",_xlpm.v=""),"",_xlpm.v*_xlpm.w)
)</f>
        <v/>
      </c>
      <c r="BA36" s="93" t="str" cm="1">
        <f t="array" ref="BA36">_xlfn.LET(
  _xlpm.w, BA$11,
  _xlpm.r, MATCH(1,('3. Enter Indicator Scores'!$B$10:$B$161=$B36)*('3. Enter Indicator Scores'!$C$10:$C$161=$C36),0),
  _xlpm.c, MATCH(BA$8,'3. Enter Indicator Scores'!$D$8:$CZ$8,0),
  _xlpm.v, IFERROR(INDEX('3. Enter Indicator Scores'!$D$10:$CZ$161,_xlpm.r,_xlpm.c),""),
  IF(OR(_xlpm.w="",_xlpm.v=""),"",_xlpm.v*_xlpm.w)
)</f>
        <v/>
      </c>
      <c r="BB36" s="93" t="str" cm="1">
        <f t="array" ref="BB36">_xlfn.LET(
  _xlpm.w, BB$11,
  _xlpm.r, MATCH(1,('3. Enter Indicator Scores'!$B$10:$B$161=$B36)*('3. Enter Indicator Scores'!$C$10:$C$161=$C36),0),
  _xlpm.c, MATCH(BB$8,'3. Enter Indicator Scores'!$D$8:$CZ$8,0),
  _xlpm.v, IFERROR(INDEX('3. Enter Indicator Scores'!$D$10:$CZ$161,_xlpm.r,_xlpm.c),""),
  IF(OR(_xlpm.w="",_xlpm.v=""),"",_xlpm.v*_xlpm.w)
)</f>
        <v/>
      </c>
      <c r="BC36" s="93" t="str" cm="1">
        <f t="array" ref="BC36">_xlfn.LET(
  _xlpm.w, BC$11,
  _xlpm.r, MATCH(1,('3. Enter Indicator Scores'!$B$10:$B$161=$B36)*('3. Enter Indicator Scores'!$C$10:$C$161=$C36),0),
  _xlpm.c, MATCH(BC$8,'3. Enter Indicator Scores'!$D$8:$CZ$8,0),
  _xlpm.v, IFERROR(INDEX('3. Enter Indicator Scores'!$D$10:$CZ$161,_xlpm.r,_xlpm.c),""),
  IF(OR(_xlpm.w="",_xlpm.v=""),"",_xlpm.v*_xlpm.w)
)</f>
        <v/>
      </c>
      <c r="BD36" s="93" t="str" cm="1">
        <f t="array" ref="BD36">_xlfn.LET(
  _xlpm.w, BD$11,
  _xlpm.r, MATCH(1,('3. Enter Indicator Scores'!$B$10:$B$161=$B36)*('3. Enter Indicator Scores'!$C$10:$C$161=$C36),0),
  _xlpm.c, MATCH(BD$8,'3. Enter Indicator Scores'!$D$8:$CZ$8,0),
  _xlpm.v, IFERROR(INDEX('3. Enter Indicator Scores'!$D$10:$CZ$161,_xlpm.r,_xlpm.c),""),
  IF(OR(_xlpm.w="",_xlpm.v=""),"",_xlpm.v*_xlpm.w)
)</f>
        <v/>
      </c>
      <c r="BE36" s="93" t="str" cm="1">
        <f t="array" ref="BE36">_xlfn.LET(
  _xlpm.w, BE$11,
  _xlpm.r, MATCH(1,('3. Enter Indicator Scores'!$B$10:$B$161=$B36)*('3. Enter Indicator Scores'!$C$10:$C$161=$C36),0),
  _xlpm.c, MATCH(BE$8,'3. Enter Indicator Scores'!$D$8:$CZ$8,0),
  _xlpm.v, IFERROR(INDEX('3. Enter Indicator Scores'!$D$10:$CZ$161,_xlpm.r,_xlpm.c),""),
  IF(OR(_xlpm.w="",_xlpm.v=""),"",_xlpm.v*_xlpm.w)
)</f>
        <v/>
      </c>
      <c r="BF36" s="93" t="str" cm="1">
        <f t="array" ref="BF36">_xlfn.LET(
  _xlpm.w, BF$11,
  _xlpm.r, MATCH(1,('3. Enter Indicator Scores'!$B$10:$B$161=$B36)*('3. Enter Indicator Scores'!$C$10:$C$161=$C36),0),
  _xlpm.c, MATCH(BF$8,'3. Enter Indicator Scores'!$D$8:$CZ$8,0),
  _xlpm.v, IFERROR(INDEX('3. Enter Indicator Scores'!$D$10:$CZ$161,_xlpm.r,_xlpm.c),""),
  IF(OR(_xlpm.w="",_xlpm.v=""),"",_xlpm.v*_xlpm.w)
)</f>
        <v/>
      </c>
      <c r="BG36" s="93" t="str" cm="1">
        <f t="array" ref="BG36">_xlfn.LET(
  _xlpm.w, BG$11,
  _xlpm.r, MATCH(1,('3. Enter Indicator Scores'!$B$10:$B$161=$B36)*('3. Enter Indicator Scores'!$C$10:$C$161=$C36),0),
  _xlpm.c, MATCH(BG$8,'3. Enter Indicator Scores'!$D$8:$CZ$8,0),
  _xlpm.v, IFERROR(INDEX('3. Enter Indicator Scores'!$D$10:$CZ$161,_xlpm.r,_xlpm.c),""),
  IF(OR(_xlpm.w="",_xlpm.v=""),"",_xlpm.v*_xlpm.w)
)</f>
        <v/>
      </c>
      <c r="BH36" s="93" t="str" cm="1">
        <f t="array" ref="BH36">_xlfn.LET(
  _xlpm.w, BH$11,
  _xlpm.r, MATCH(1,('3. Enter Indicator Scores'!$B$10:$B$161=$B36)*('3. Enter Indicator Scores'!$C$10:$C$161=$C36),0),
  _xlpm.c, MATCH(BH$8,'3. Enter Indicator Scores'!$D$8:$CZ$8,0),
  _xlpm.v, IFERROR(INDEX('3. Enter Indicator Scores'!$D$10:$CZ$161,_xlpm.r,_xlpm.c),""),
  IF(OR(_xlpm.w="",_xlpm.v=""),"",_xlpm.v*_xlpm.w)
)</f>
        <v/>
      </c>
      <c r="BI36" s="93" t="str" cm="1">
        <f t="array" ref="BI36">_xlfn.LET(
  _xlpm.w, BI$11,
  _xlpm.r, MATCH(1,('3. Enter Indicator Scores'!$B$10:$B$161=$B36)*('3. Enter Indicator Scores'!$C$10:$C$161=$C36),0),
  _xlpm.c, MATCH(BI$8,'3. Enter Indicator Scores'!$D$8:$CZ$8,0),
  _xlpm.v, IFERROR(INDEX('3. Enter Indicator Scores'!$D$10:$CZ$161,_xlpm.r,_xlpm.c),""),
  IF(OR(_xlpm.w="",_xlpm.v=""),"",_xlpm.v*_xlpm.w)
)</f>
        <v/>
      </c>
      <c r="BJ36" s="93" t="str" cm="1">
        <f t="array" ref="BJ36">_xlfn.LET(
  _xlpm.w, BJ$11,
  _xlpm.r, MATCH(1,('3. Enter Indicator Scores'!$B$10:$B$161=$B36)*('3. Enter Indicator Scores'!$C$10:$C$161=$C36),0),
  _xlpm.c, MATCH(BJ$8,'3. Enter Indicator Scores'!$D$8:$CZ$8,0),
  _xlpm.v, IFERROR(INDEX('3. Enter Indicator Scores'!$D$10:$CZ$161,_xlpm.r,_xlpm.c),""),
  IF(OR(_xlpm.w="",_xlpm.v=""),"",_xlpm.v*_xlpm.w)
)</f>
        <v/>
      </c>
      <c r="BK36" s="93" t="str" cm="1">
        <f t="array" ref="BK36">_xlfn.LET(
  _xlpm.w, BK$11,
  _xlpm.r, MATCH(1,('3. Enter Indicator Scores'!$B$10:$B$161=$B36)*('3. Enter Indicator Scores'!$C$10:$C$161=$C36),0),
  _xlpm.c, MATCH(BK$8,'3. Enter Indicator Scores'!$D$8:$CZ$8,0),
  _xlpm.v, IFERROR(INDEX('3. Enter Indicator Scores'!$D$10:$CZ$161,_xlpm.r,_xlpm.c),""),
  IF(OR(_xlpm.w="",_xlpm.v=""),"",_xlpm.v*_xlpm.w)
)</f>
        <v/>
      </c>
      <c r="BL36" s="93" t="str" cm="1">
        <f t="array" ref="BL36">_xlfn.LET(
  _xlpm.w, BL$11,
  _xlpm.r, MATCH(1,('3. Enter Indicator Scores'!$B$10:$B$161=$B36)*('3. Enter Indicator Scores'!$C$10:$C$161=$C36),0),
  _xlpm.c, MATCH(BL$8,'3. Enter Indicator Scores'!$D$8:$CZ$8,0),
  _xlpm.v, IFERROR(INDEX('3. Enter Indicator Scores'!$D$10:$CZ$161,_xlpm.r,_xlpm.c),""),
  IF(OR(_xlpm.w="",_xlpm.v=""),"",_xlpm.v*_xlpm.w)
)</f>
        <v/>
      </c>
      <c r="BM36" s="93" t="str" cm="1">
        <f t="array" ref="BM36">_xlfn.LET(
  _xlpm.w, BM$11,
  _xlpm.r, MATCH(1,('3. Enter Indicator Scores'!$B$10:$B$161=$B36)*('3. Enter Indicator Scores'!$C$10:$C$161=$C36),0),
  _xlpm.c, MATCH(BM$8,'3. Enter Indicator Scores'!$D$8:$CZ$8,0),
  _xlpm.v, IFERROR(INDEX('3. Enter Indicator Scores'!$D$10:$CZ$161,_xlpm.r,_xlpm.c),""),
  IF(OR(_xlpm.w="",_xlpm.v=""),"",_xlpm.v*_xlpm.w)
)</f>
        <v/>
      </c>
      <c r="BN36" s="93" t="str" cm="1">
        <f t="array" ref="BN36">_xlfn.LET(
  _xlpm.w, BN$11,
  _xlpm.r, MATCH(1,('3. Enter Indicator Scores'!$B$10:$B$161=$B36)*('3. Enter Indicator Scores'!$C$10:$C$161=$C36),0),
  _xlpm.c, MATCH(BN$8,'3. Enter Indicator Scores'!$D$8:$CZ$8,0),
  _xlpm.v, IFERROR(INDEX('3. Enter Indicator Scores'!$D$10:$CZ$161,_xlpm.r,_xlpm.c),""),
  IF(OR(_xlpm.w="",_xlpm.v=""),"",_xlpm.v*_xlpm.w)
)</f>
        <v/>
      </c>
      <c r="BO36" s="93" t="str" cm="1">
        <f t="array" ref="BO36">_xlfn.LET(
  _xlpm.w, BO$11,
  _xlpm.r, MATCH(1,('3. Enter Indicator Scores'!$B$10:$B$161=$B36)*('3. Enter Indicator Scores'!$C$10:$C$161=$C36),0),
  _xlpm.c, MATCH(BO$8,'3. Enter Indicator Scores'!$D$8:$CZ$8,0),
  _xlpm.v, IFERROR(INDEX('3. Enter Indicator Scores'!$D$10:$CZ$161,_xlpm.r,_xlpm.c),""),
  IF(OR(_xlpm.w="",_xlpm.v=""),"",_xlpm.v*_xlpm.w)
)</f>
        <v/>
      </c>
      <c r="BP36" s="93" t="str" cm="1">
        <f t="array" ref="BP36">_xlfn.LET(
  _xlpm.w, BP$11,
  _xlpm.r, MATCH(1,('3. Enter Indicator Scores'!$B$10:$B$161=$B36)*('3. Enter Indicator Scores'!$C$10:$C$161=$C36),0),
  _xlpm.c, MATCH(BP$8,'3. Enter Indicator Scores'!$D$8:$CZ$8,0),
  _xlpm.v, IFERROR(INDEX('3. Enter Indicator Scores'!$D$10:$CZ$161,_xlpm.r,_xlpm.c),""),
  IF(OR(_xlpm.w="",_xlpm.v=""),"",_xlpm.v*_xlpm.w)
)</f>
        <v/>
      </c>
      <c r="BQ36" s="93" t="str" cm="1">
        <f t="array" ref="BQ36">_xlfn.LET(
  _xlpm.w, BQ$11,
  _xlpm.r, MATCH(1,('3. Enter Indicator Scores'!$B$10:$B$161=$B36)*('3. Enter Indicator Scores'!$C$10:$C$161=$C36),0),
  _xlpm.c, MATCH(BQ$8,'3. Enter Indicator Scores'!$D$8:$CZ$8,0),
  _xlpm.v, IFERROR(INDEX('3. Enter Indicator Scores'!$D$10:$CZ$161,_xlpm.r,_xlpm.c),""),
  IF(OR(_xlpm.w="",_xlpm.v=""),"",_xlpm.v*_xlpm.w)
)</f>
        <v/>
      </c>
      <c r="BR36" s="93" t="str" cm="1">
        <f t="array" ref="BR36">_xlfn.LET(
  _xlpm.w, BR$11,
  _xlpm.r, MATCH(1,('3. Enter Indicator Scores'!$B$10:$B$161=$B36)*('3. Enter Indicator Scores'!$C$10:$C$161=$C36),0),
  _xlpm.c, MATCH(BR$8,'3. Enter Indicator Scores'!$D$8:$CZ$8,0),
  _xlpm.v, IFERROR(INDEX('3. Enter Indicator Scores'!$D$10:$CZ$161,_xlpm.r,_xlpm.c),""),
  IF(OR(_xlpm.w="",_xlpm.v=""),"",_xlpm.v*_xlpm.w)
)</f>
        <v/>
      </c>
      <c r="BS36" s="93" t="str" cm="1">
        <f t="array" ref="BS36">_xlfn.LET(
  _xlpm.w, BS$11,
  _xlpm.r, MATCH(1,('3. Enter Indicator Scores'!$B$10:$B$161=$B36)*('3. Enter Indicator Scores'!$C$10:$C$161=$C36),0),
  _xlpm.c, MATCH(BS$8,'3. Enter Indicator Scores'!$D$8:$CZ$8,0),
  _xlpm.v, IFERROR(INDEX('3. Enter Indicator Scores'!$D$10:$CZ$161,_xlpm.r,_xlpm.c),""),
  IF(OR(_xlpm.w="",_xlpm.v=""),"",_xlpm.v*_xlpm.w)
)</f>
        <v/>
      </c>
      <c r="BT36" s="93" t="str" cm="1">
        <f t="array" ref="BT36">_xlfn.LET(
  _xlpm.w, BT$11,
  _xlpm.r, MATCH(1,('3. Enter Indicator Scores'!$B$10:$B$161=$B36)*('3. Enter Indicator Scores'!$C$10:$C$161=$C36),0),
  _xlpm.c, MATCH(BT$8,'3. Enter Indicator Scores'!$D$8:$CZ$8,0),
  _xlpm.v, IFERROR(INDEX('3. Enter Indicator Scores'!$D$10:$CZ$161,_xlpm.r,_xlpm.c),""),
  IF(OR(_xlpm.w="",_xlpm.v=""),"",_xlpm.v*_xlpm.w)
)</f>
        <v/>
      </c>
      <c r="BU36" s="93" t="str" cm="1">
        <f t="array" ref="BU36">_xlfn.LET(
  _xlpm.w, BU$11,
  _xlpm.r, MATCH(1,('3. Enter Indicator Scores'!$B$10:$B$161=$B36)*('3. Enter Indicator Scores'!$C$10:$C$161=$C36),0),
  _xlpm.c, MATCH(BU$8,'3. Enter Indicator Scores'!$D$8:$CZ$8,0),
  _xlpm.v, IFERROR(INDEX('3. Enter Indicator Scores'!$D$10:$CZ$161,_xlpm.r,_xlpm.c),""),
  IF(OR(_xlpm.w="",_xlpm.v=""),"",_xlpm.v*_xlpm.w)
)</f>
        <v/>
      </c>
      <c r="BV36" s="93" t="str" cm="1">
        <f t="array" ref="BV36">_xlfn.LET(
  _xlpm.w, BV$11,
  _xlpm.r, MATCH(1,('3. Enter Indicator Scores'!$B$10:$B$161=$B36)*('3. Enter Indicator Scores'!$C$10:$C$161=$C36),0),
  _xlpm.c, MATCH(BV$8,'3. Enter Indicator Scores'!$D$8:$CZ$8,0),
  _xlpm.v, IFERROR(INDEX('3. Enter Indicator Scores'!$D$10:$CZ$161,_xlpm.r,_xlpm.c),""),
  IF(OR(_xlpm.w="",_xlpm.v=""),"",_xlpm.v*_xlpm.w)
)</f>
        <v/>
      </c>
      <c r="BW36" s="93" t="str" cm="1">
        <f t="array" ref="BW36">_xlfn.LET(
  _xlpm.w, BW$11,
  _xlpm.r, MATCH(1,('3. Enter Indicator Scores'!$B$10:$B$161=$B36)*('3. Enter Indicator Scores'!$C$10:$C$161=$C36),0),
  _xlpm.c, MATCH(BW$8,'3. Enter Indicator Scores'!$D$8:$CZ$8,0),
  _xlpm.v, IFERROR(INDEX('3. Enter Indicator Scores'!$D$10:$CZ$161,_xlpm.r,_xlpm.c),""),
  IF(OR(_xlpm.w="",_xlpm.v=""),"",_xlpm.v*_xlpm.w)
)</f>
        <v/>
      </c>
      <c r="BX36" s="93" t="str" cm="1">
        <f t="array" ref="BX36">_xlfn.LET(
  _xlpm.w, BX$11,
  _xlpm.r, MATCH(1,('3. Enter Indicator Scores'!$B$10:$B$161=$B36)*('3. Enter Indicator Scores'!$C$10:$C$161=$C36),0),
  _xlpm.c, MATCH(BX$8,'3. Enter Indicator Scores'!$D$8:$CZ$8,0),
  _xlpm.v, IFERROR(INDEX('3. Enter Indicator Scores'!$D$10:$CZ$161,_xlpm.r,_xlpm.c),""),
  IF(OR(_xlpm.w="",_xlpm.v=""),"",_xlpm.v*_xlpm.w)
)</f>
        <v/>
      </c>
      <c r="BY36" s="93" t="str" cm="1">
        <f t="array" ref="BY36">_xlfn.LET(
  _xlpm.w, BY$11,
  _xlpm.r, MATCH(1,('3. Enter Indicator Scores'!$B$10:$B$161=$B36)*('3. Enter Indicator Scores'!$C$10:$C$161=$C36),0),
  _xlpm.c, MATCH(BY$8,'3. Enter Indicator Scores'!$D$8:$CZ$8,0),
  _xlpm.v, IFERROR(INDEX('3. Enter Indicator Scores'!$D$10:$CZ$161,_xlpm.r,_xlpm.c),""),
  IF(OR(_xlpm.w="",_xlpm.v=""),"",_xlpm.v*_xlpm.w)
)</f>
        <v/>
      </c>
      <c r="BZ36" s="93" t="str" cm="1">
        <f t="array" ref="BZ36">_xlfn.LET(
  _xlpm.w, BZ$11,
  _xlpm.r, MATCH(1,('3. Enter Indicator Scores'!$B$10:$B$161=$B36)*('3. Enter Indicator Scores'!$C$10:$C$161=$C36),0),
  _xlpm.c, MATCH(BZ$8,'3. Enter Indicator Scores'!$D$8:$CZ$8,0),
  _xlpm.v, IFERROR(INDEX('3. Enter Indicator Scores'!$D$10:$CZ$161,_xlpm.r,_xlpm.c),""),
  IF(OR(_xlpm.w="",_xlpm.v=""),"",_xlpm.v*_xlpm.w)
)</f>
        <v/>
      </c>
      <c r="CA36" s="93" t="str" cm="1">
        <f t="array" ref="CA36">_xlfn.LET(
  _xlpm.w, CA$11,
  _xlpm.r, MATCH(1,('3. Enter Indicator Scores'!$B$10:$B$161=$B36)*('3. Enter Indicator Scores'!$C$10:$C$161=$C36),0),
  _xlpm.c, MATCH(CA$8,'3. Enter Indicator Scores'!$D$8:$CZ$8,0),
  _xlpm.v, IFERROR(INDEX('3. Enter Indicator Scores'!$D$10:$CZ$161,_xlpm.r,_xlpm.c),""),
  IF(OR(_xlpm.w="",_xlpm.v=""),"",_xlpm.v*_xlpm.w)
)</f>
        <v/>
      </c>
      <c r="CB36" s="93" t="str" cm="1">
        <f t="array" ref="CB36">_xlfn.LET(
  _xlpm.w, CB$11,
  _xlpm.r, MATCH(1,('3. Enter Indicator Scores'!$B$10:$B$161=$B36)*('3. Enter Indicator Scores'!$C$10:$C$161=$C36),0),
  _xlpm.c, MATCH(CB$8,'3. Enter Indicator Scores'!$D$8:$CZ$8,0),
  _xlpm.v, IFERROR(INDEX('3. Enter Indicator Scores'!$D$10:$CZ$161,_xlpm.r,_xlpm.c),""),
  IF(OR(_xlpm.w="",_xlpm.v=""),"",_xlpm.v*_xlpm.w)
)</f>
        <v/>
      </c>
      <c r="CC36" s="93" t="str" cm="1">
        <f t="array" ref="CC36">_xlfn.LET(
  _xlpm.w, CC$11,
  _xlpm.r, MATCH(1,('3. Enter Indicator Scores'!$B$10:$B$161=$B36)*('3. Enter Indicator Scores'!$C$10:$C$161=$C36),0),
  _xlpm.c, MATCH(CC$8,'3. Enter Indicator Scores'!$D$8:$CZ$8,0),
  _xlpm.v, IFERROR(INDEX('3. Enter Indicator Scores'!$D$10:$CZ$161,_xlpm.r,_xlpm.c),""),
  IF(OR(_xlpm.w="",_xlpm.v=""),"",_xlpm.v*_xlpm.w)
)</f>
        <v/>
      </c>
      <c r="CD36" s="93" t="str" cm="1">
        <f t="array" ref="CD36">_xlfn.LET(
  _xlpm.w, CD$11,
  _xlpm.r, MATCH(1,('3. Enter Indicator Scores'!$B$10:$B$161=$B36)*('3. Enter Indicator Scores'!$C$10:$C$161=$C36),0),
  _xlpm.c, MATCH(CD$8,'3. Enter Indicator Scores'!$D$8:$CZ$8,0),
  _xlpm.v, IFERROR(INDEX('3. Enter Indicator Scores'!$D$10:$CZ$161,_xlpm.r,_xlpm.c),""),
  IF(OR(_xlpm.w="",_xlpm.v=""),"",_xlpm.v*_xlpm.w)
)</f>
        <v/>
      </c>
      <c r="CE36" s="93" t="str" cm="1">
        <f t="array" ref="CE36">_xlfn.LET(
  _xlpm.w, CE$11,
  _xlpm.r, MATCH(1,('3. Enter Indicator Scores'!$B$10:$B$161=$B36)*('3. Enter Indicator Scores'!$C$10:$C$161=$C36),0),
  _xlpm.c, MATCH(CE$8,'3. Enter Indicator Scores'!$D$8:$CZ$8,0),
  _xlpm.v, IFERROR(INDEX('3. Enter Indicator Scores'!$D$10:$CZ$161,_xlpm.r,_xlpm.c),""),
  IF(OR(_xlpm.w="",_xlpm.v=""),"",_xlpm.v*_xlpm.w)
)</f>
        <v/>
      </c>
      <c r="CF36" s="93" t="str" cm="1">
        <f t="array" ref="CF36">_xlfn.LET(
  _xlpm.w, CF$11,
  _xlpm.r, MATCH(1,('3. Enter Indicator Scores'!$B$10:$B$161=$B36)*('3. Enter Indicator Scores'!$C$10:$C$161=$C36),0),
  _xlpm.c, MATCH(CF$8,'3. Enter Indicator Scores'!$D$8:$CZ$8,0),
  _xlpm.v, IFERROR(INDEX('3. Enter Indicator Scores'!$D$10:$CZ$161,_xlpm.r,_xlpm.c),""),
  IF(OR(_xlpm.w="",_xlpm.v=""),"",_xlpm.v*_xlpm.w)
)</f>
        <v/>
      </c>
      <c r="CG36" s="93" t="str" cm="1">
        <f t="array" ref="CG36">_xlfn.LET(
  _xlpm.w, CG$11,
  _xlpm.r, MATCH(1,('3. Enter Indicator Scores'!$B$10:$B$161=$B36)*('3. Enter Indicator Scores'!$C$10:$C$161=$C36),0),
  _xlpm.c, MATCH(CG$8,'3. Enter Indicator Scores'!$D$8:$CZ$8,0),
  _xlpm.v, IFERROR(INDEX('3. Enter Indicator Scores'!$D$10:$CZ$161,_xlpm.r,_xlpm.c),""),
  IF(OR(_xlpm.w="",_xlpm.v=""),"",_xlpm.v*_xlpm.w)
)</f>
        <v/>
      </c>
      <c r="CH36" s="93" t="str" cm="1">
        <f t="array" ref="CH36">_xlfn.LET(
  _xlpm.w, CH$11,
  _xlpm.r, MATCH(1,('3. Enter Indicator Scores'!$B$10:$B$161=$B36)*('3. Enter Indicator Scores'!$C$10:$C$161=$C36),0),
  _xlpm.c, MATCH(CH$8,'3. Enter Indicator Scores'!$D$8:$CZ$8,0),
  _xlpm.v, IFERROR(INDEX('3. Enter Indicator Scores'!$D$10:$CZ$161,_xlpm.r,_xlpm.c),""),
  IF(OR(_xlpm.w="",_xlpm.v=""),"",_xlpm.v*_xlpm.w)
)</f>
        <v/>
      </c>
      <c r="CI36" s="93" t="str" cm="1">
        <f t="array" ref="CI36">_xlfn.LET(
  _xlpm.w, CI$11,
  _xlpm.r, MATCH(1,('3. Enter Indicator Scores'!$B$10:$B$161=$B36)*('3. Enter Indicator Scores'!$C$10:$C$161=$C36),0),
  _xlpm.c, MATCH(CI$8,'3. Enter Indicator Scores'!$D$8:$CZ$8,0),
  _xlpm.v, IFERROR(INDEX('3. Enter Indicator Scores'!$D$10:$CZ$161,_xlpm.r,_xlpm.c),""),
  IF(OR(_xlpm.w="",_xlpm.v=""),"",_xlpm.v*_xlpm.w)
)</f>
        <v/>
      </c>
      <c r="CJ36" s="93" t="str" cm="1">
        <f t="array" ref="CJ36">_xlfn.LET(
  _xlpm.w, CJ$11,
  _xlpm.r, MATCH(1,('3. Enter Indicator Scores'!$B$10:$B$161=$B36)*('3. Enter Indicator Scores'!$C$10:$C$161=$C36),0),
  _xlpm.c, MATCH(CJ$8,'3. Enter Indicator Scores'!$D$8:$CZ$8,0),
  _xlpm.v, IFERROR(INDEX('3. Enter Indicator Scores'!$D$10:$CZ$161,_xlpm.r,_xlpm.c),""),
  IF(OR(_xlpm.w="",_xlpm.v=""),"",_xlpm.v*_xlpm.w)
)</f>
        <v/>
      </c>
      <c r="CK36" s="93" t="str" cm="1">
        <f t="array" ref="CK36">_xlfn.LET(
  _xlpm.w, CK$11,
  _xlpm.r, MATCH(1,('3. Enter Indicator Scores'!$B$10:$B$161=$B36)*('3. Enter Indicator Scores'!$C$10:$C$161=$C36),0),
  _xlpm.c, MATCH(CK$8,'3. Enter Indicator Scores'!$D$8:$CZ$8,0),
  _xlpm.v, IFERROR(INDEX('3. Enter Indicator Scores'!$D$10:$CZ$161,_xlpm.r,_xlpm.c),""),
  IF(OR(_xlpm.w="",_xlpm.v=""),"",_xlpm.v*_xlpm.w)
)</f>
        <v/>
      </c>
      <c r="CL36" s="93" t="str" cm="1">
        <f t="array" ref="CL36">_xlfn.LET(
  _xlpm.w, CL$11,
  _xlpm.r, MATCH(1,('3. Enter Indicator Scores'!$B$10:$B$161=$B36)*('3. Enter Indicator Scores'!$C$10:$C$161=$C36),0),
  _xlpm.c, MATCH(CL$8,'3. Enter Indicator Scores'!$D$8:$CZ$8,0),
  _xlpm.v, IFERROR(INDEX('3. Enter Indicator Scores'!$D$10:$CZ$161,_xlpm.r,_xlpm.c),""),
  IF(OR(_xlpm.w="",_xlpm.v=""),"",_xlpm.v*_xlpm.w)
)</f>
        <v/>
      </c>
      <c r="CM36" s="93" t="str" cm="1">
        <f t="array" ref="CM36">_xlfn.LET(
  _xlpm.w, CM$11,
  _xlpm.r, MATCH(1,('3. Enter Indicator Scores'!$B$10:$B$161=$B36)*('3. Enter Indicator Scores'!$C$10:$C$161=$C36),0),
  _xlpm.c, MATCH(CM$8,'3. Enter Indicator Scores'!$D$8:$CZ$8,0),
  _xlpm.v, IFERROR(INDEX('3. Enter Indicator Scores'!$D$10:$CZ$161,_xlpm.r,_xlpm.c),""),
  IF(OR(_xlpm.w="",_xlpm.v=""),"",_xlpm.v*_xlpm.w)
)</f>
        <v/>
      </c>
      <c r="CN36" s="93" t="str" cm="1">
        <f t="array" ref="CN36">_xlfn.LET(
  _xlpm.w, CN$11,
  _xlpm.r, MATCH(1,('3. Enter Indicator Scores'!$B$10:$B$161=$B36)*('3. Enter Indicator Scores'!$C$10:$C$161=$C36),0),
  _xlpm.c, MATCH(CN$8,'3. Enter Indicator Scores'!$D$8:$CZ$8,0),
  _xlpm.v, IFERROR(INDEX('3. Enter Indicator Scores'!$D$10:$CZ$161,_xlpm.r,_xlpm.c),""),
  IF(OR(_xlpm.w="",_xlpm.v=""),"",_xlpm.v*_xlpm.w)
)</f>
        <v/>
      </c>
      <c r="CO36" s="93" t="str" cm="1">
        <f t="array" ref="CO36">_xlfn.LET(
  _xlpm.w, CO$11,
  _xlpm.r, MATCH(1,('3. Enter Indicator Scores'!$B$10:$B$161=$B36)*('3. Enter Indicator Scores'!$C$10:$C$161=$C36),0),
  _xlpm.c, MATCH(CO$8,'3. Enter Indicator Scores'!$D$8:$CZ$8,0),
  _xlpm.v, IFERROR(INDEX('3. Enter Indicator Scores'!$D$10:$CZ$161,_xlpm.r,_xlpm.c),""),
  IF(OR(_xlpm.w="",_xlpm.v=""),"",_xlpm.v*_xlpm.w)
)</f>
        <v/>
      </c>
      <c r="CP36" s="93" t="str" cm="1">
        <f t="array" ref="CP36">_xlfn.LET(
  _xlpm.w, CP$11,
  _xlpm.r, MATCH(1,('3. Enter Indicator Scores'!$B$10:$B$161=$B36)*('3. Enter Indicator Scores'!$C$10:$C$161=$C36),0),
  _xlpm.c, MATCH(CP$8,'3. Enter Indicator Scores'!$D$8:$CZ$8,0),
  _xlpm.v, IFERROR(INDEX('3. Enter Indicator Scores'!$D$10:$CZ$161,_xlpm.r,_xlpm.c),""),
  IF(OR(_xlpm.w="",_xlpm.v=""),"",_xlpm.v*_xlpm.w)
)</f>
        <v/>
      </c>
      <c r="CQ36" s="93" t="str" cm="1">
        <f t="array" ref="CQ36">_xlfn.LET(
  _xlpm.w, CQ$11,
  _xlpm.r, MATCH(1,('3. Enter Indicator Scores'!$B$10:$B$161=$B36)*('3. Enter Indicator Scores'!$C$10:$C$161=$C36),0),
  _xlpm.c, MATCH(CQ$8,'3. Enter Indicator Scores'!$D$8:$CZ$8,0),
  _xlpm.v, IFERROR(INDEX('3. Enter Indicator Scores'!$D$10:$CZ$161,_xlpm.r,_xlpm.c),""),
  IF(OR(_xlpm.w="",_xlpm.v=""),"",_xlpm.v*_xlpm.w)
)</f>
        <v/>
      </c>
      <c r="CR36" s="93" t="str" cm="1">
        <f t="array" ref="CR36">_xlfn.LET(
  _xlpm.w, CR$11,
  _xlpm.r, MATCH(1,('3. Enter Indicator Scores'!$B$10:$B$161=$B36)*('3. Enter Indicator Scores'!$C$10:$C$161=$C36),0),
  _xlpm.c, MATCH(CR$8,'3. Enter Indicator Scores'!$D$8:$CZ$8,0),
  _xlpm.v, IFERROR(INDEX('3. Enter Indicator Scores'!$D$10:$CZ$161,_xlpm.r,_xlpm.c),""),
  IF(OR(_xlpm.w="",_xlpm.v=""),"",_xlpm.v*_xlpm.w)
)</f>
        <v/>
      </c>
      <c r="CS36" s="93" t="str" cm="1">
        <f t="array" ref="CS36">_xlfn.LET(
  _xlpm.w, CS$11,
  _xlpm.r, MATCH(1,('3. Enter Indicator Scores'!$B$10:$B$161=$B36)*('3. Enter Indicator Scores'!$C$10:$C$161=$C36),0),
  _xlpm.c, MATCH(CS$8,'3. Enter Indicator Scores'!$D$8:$CZ$8,0),
  _xlpm.v, IFERROR(INDEX('3. Enter Indicator Scores'!$D$10:$CZ$161,_xlpm.r,_xlpm.c),""),
  IF(OR(_xlpm.w="",_xlpm.v=""),"",_xlpm.v*_xlpm.w)
)</f>
        <v/>
      </c>
      <c r="CT36" s="93" t="str" cm="1">
        <f t="array" ref="CT36">_xlfn.LET(
  _xlpm.w, CT$11,
  _xlpm.r, MATCH(1,('3. Enter Indicator Scores'!$B$10:$B$161=$B36)*('3. Enter Indicator Scores'!$C$10:$C$161=$C36),0),
  _xlpm.c, MATCH(CT$8,'3. Enter Indicator Scores'!$D$8:$CZ$8,0),
  _xlpm.v, IFERROR(INDEX('3. Enter Indicator Scores'!$D$10:$CZ$161,_xlpm.r,_xlpm.c),""),
  IF(OR(_xlpm.w="",_xlpm.v=""),"",_xlpm.v*_xlpm.w)
)</f>
        <v/>
      </c>
      <c r="CU36" s="93" t="str" cm="1">
        <f t="array" ref="CU36">_xlfn.LET(
  _xlpm.w, CU$11,
  _xlpm.r, MATCH(1,('3. Enter Indicator Scores'!$B$10:$B$161=$B36)*('3. Enter Indicator Scores'!$C$10:$C$161=$C36),0),
  _xlpm.c, MATCH(CU$8,'3. Enter Indicator Scores'!$D$8:$CZ$8,0),
  _xlpm.v, IFERROR(INDEX('3. Enter Indicator Scores'!$D$10:$CZ$161,_xlpm.r,_xlpm.c),""),
  IF(OR(_xlpm.w="",_xlpm.v=""),"",_xlpm.v*_xlpm.w)
)</f>
        <v/>
      </c>
      <c r="CV36" s="93" t="str" cm="1">
        <f t="array" ref="CV36">_xlfn.LET(
  _xlpm.w, CV$11,
  _xlpm.r, MATCH(1,('3. Enter Indicator Scores'!$B$10:$B$161=$B36)*('3. Enter Indicator Scores'!$C$10:$C$161=$C36),0),
  _xlpm.c, MATCH(CV$8,'3. Enter Indicator Scores'!$D$8:$CZ$8,0),
  _xlpm.v, IFERROR(INDEX('3. Enter Indicator Scores'!$D$10:$CZ$161,_xlpm.r,_xlpm.c),""),
  IF(OR(_xlpm.w="",_xlpm.v=""),"",_xlpm.v*_xlpm.w)
)</f>
        <v/>
      </c>
      <c r="CW36" s="93" t="str" cm="1">
        <f t="array" ref="CW36">_xlfn.LET(
  _xlpm.w, CW$11,
  _xlpm.r, MATCH(1,('3. Enter Indicator Scores'!$B$10:$B$161=$B36)*('3. Enter Indicator Scores'!$C$10:$C$161=$C36),0),
  _xlpm.c, MATCH(CW$8,'3. Enter Indicator Scores'!$D$8:$CZ$8,0),
  _xlpm.v, IFERROR(INDEX('3. Enter Indicator Scores'!$D$10:$CZ$161,_xlpm.r,_xlpm.c),""),
  IF(OR(_xlpm.w="",_xlpm.v=""),"",_xlpm.v*_xlpm.w)
)</f>
        <v/>
      </c>
      <c r="CX36" s="93" t="str" cm="1">
        <f t="array" ref="CX36">_xlfn.LET(
  _xlpm.w, CX$11,
  _xlpm.r, MATCH(1,('3. Enter Indicator Scores'!$B$10:$B$161=$B36)*('3. Enter Indicator Scores'!$C$10:$C$161=$C36),0),
  _xlpm.c, MATCH(CX$8,'3. Enter Indicator Scores'!$D$8:$CZ$8,0),
  _xlpm.v, IFERROR(INDEX('3. Enter Indicator Scores'!$D$10:$CZ$161,_xlpm.r,_xlpm.c),""),
  IF(OR(_xlpm.w="",_xlpm.v=""),"",_xlpm.v*_xlpm.w)
)</f>
        <v/>
      </c>
      <c r="CY36" s="93" t="str" cm="1">
        <f t="array" ref="CY36">_xlfn.LET(
  _xlpm.w, CY$11,
  _xlpm.r, MATCH(1,('3. Enter Indicator Scores'!$B$10:$B$161=$B36)*('3. Enter Indicator Scores'!$C$10:$C$161=$C36),0),
  _xlpm.c, MATCH(CY$8,'3. Enter Indicator Scores'!$D$8:$CZ$8,0),
  _xlpm.v, IFERROR(INDEX('3. Enter Indicator Scores'!$D$10:$CZ$161,_xlpm.r,_xlpm.c),""),
  IF(OR(_xlpm.w="",_xlpm.v=""),"",_xlpm.v*_xlpm.w)
)</f>
        <v/>
      </c>
      <c r="CZ36" s="93" t="str" cm="1">
        <f t="array" ref="CZ36">_xlfn.LET(
  _xlpm.w, CZ$11,
  _xlpm.r, MATCH(1,('3. Enter Indicator Scores'!$B$10:$B$161=$B36)*('3. Enter Indicator Scores'!$C$10:$C$161=$C36),0),
  _xlpm.c, MATCH(CZ$8,'3. Enter Indicator Scores'!$D$8:$CZ$8,0),
  _xlpm.v, IFERROR(INDEX('3. Enter Indicator Scores'!$D$10:$CZ$161,_xlpm.r,_xlpm.c),""),
  IF(OR(_xlpm.w="",_xlpm.v=""),"",_xlpm.v*_xlpm.w)
)</f>
        <v/>
      </c>
    </row>
    <row r="37" spans="4:104" x14ac:dyDescent="0.2">
      <c r="D37" s="93" t="str" cm="1">
        <f t="array" ref="D37">_xlfn.LET(
  _xlpm.w, D$11,
  _xlpm.r, MATCH(1,('3. Enter Indicator Scores'!$B$10:$B$161=$B37)*('3. Enter Indicator Scores'!$C$10:$C$161=$C37),0),
  _xlpm.c, MATCH(D$8,'3. Enter Indicator Scores'!$D$8:$CZ$8,0),
  _xlpm.v, IFERROR(INDEX('3. Enter Indicator Scores'!$D$10:$CZ$161,_xlpm.r,_xlpm.c),""),
  IF(OR(_xlpm.w="",_xlpm.v=""),"",_xlpm.v*_xlpm.w)
)</f>
        <v/>
      </c>
      <c r="E37" s="93" t="str" cm="1">
        <f t="array" ref="E37">_xlfn.LET(
  _xlpm.w, E$11,
  _xlpm.r, MATCH(1,('3. Enter Indicator Scores'!$B$10:$B$161=$B37)*('3. Enter Indicator Scores'!$C$10:$C$161=$C37),0),
  _xlpm.c, MATCH(E$8,'3. Enter Indicator Scores'!$D$8:$CZ$8,0),
  _xlpm.v, IFERROR(INDEX('3. Enter Indicator Scores'!$D$10:$CZ$161,_xlpm.r,_xlpm.c),""),
  IF(OR(_xlpm.w="",_xlpm.v=""),"",_xlpm.v*_xlpm.w)
)</f>
        <v/>
      </c>
      <c r="F37" s="93" t="str" cm="1">
        <f t="array" ref="F37">_xlfn.LET(
  _xlpm.w, F$11,
  _xlpm.r, MATCH(1,('3. Enter Indicator Scores'!$B$10:$B$161=$B37)*('3. Enter Indicator Scores'!$C$10:$C$161=$C37),0),
  _xlpm.c, MATCH(F$8,'3. Enter Indicator Scores'!$D$8:$CZ$8,0),
  _xlpm.v, IFERROR(INDEX('3. Enter Indicator Scores'!$D$10:$CZ$161,_xlpm.r,_xlpm.c),""),
  IF(OR(_xlpm.w="",_xlpm.v=""),"",_xlpm.v*_xlpm.w)
)</f>
        <v/>
      </c>
      <c r="G37" s="93" t="str" cm="1">
        <f t="array" ref="G37">_xlfn.LET(
  _xlpm.w, G$11,
  _xlpm.r, MATCH(1,('3. Enter Indicator Scores'!$B$10:$B$161=$B37)*('3. Enter Indicator Scores'!$C$10:$C$161=$C37),0),
  _xlpm.c, MATCH(G$8,'3. Enter Indicator Scores'!$D$8:$CZ$8,0),
  _xlpm.v, IFERROR(INDEX('3. Enter Indicator Scores'!$D$10:$CZ$161,_xlpm.r,_xlpm.c),""),
  IF(OR(_xlpm.w="",_xlpm.v=""),"",_xlpm.v*_xlpm.w)
)</f>
        <v/>
      </c>
      <c r="H37" s="93" t="str" cm="1">
        <f t="array" ref="H37">_xlfn.LET(
  _xlpm.w, H$11,
  _xlpm.r, MATCH(1,('3. Enter Indicator Scores'!$B$10:$B$161=$B37)*('3. Enter Indicator Scores'!$C$10:$C$161=$C37),0),
  _xlpm.c, MATCH(H$8,'3. Enter Indicator Scores'!$D$8:$CZ$8,0),
  _xlpm.v, IFERROR(INDEX('3. Enter Indicator Scores'!$D$10:$CZ$161,_xlpm.r,_xlpm.c),""),
  IF(OR(_xlpm.w="",_xlpm.v=""),"",_xlpm.v*_xlpm.w)
)</f>
        <v/>
      </c>
      <c r="I37" s="93" t="str" cm="1">
        <f t="array" ref="I37">_xlfn.LET(
  _xlpm.w, I$11,
  _xlpm.r, MATCH(1,('3. Enter Indicator Scores'!$B$10:$B$161=$B37)*('3. Enter Indicator Scores'!$C$10:$C$161=$C37),0),
  _xlpm.c, MATCH(I$8,'3. Enter Indicator Scores'!$D$8:$CZ$8,0),
  _xlpm.v, IFERROR(INDEX('3. Enter Indicator Scores'!$D$10:$CZ$161,_xlpm.r,_xlpm.c),""),
  IF(OR(_xlpm.w="",_xlpm.v=""),"",_xlpm.v*_xlpm.w)
)</f>
        <v/>
      </c>
      <c r="J37" s="93" t="str" cm="1">
        <f t="array" ref="J37">_xlfn.LET(
  _xlpm.w, J$11,
  _xlpm.r, MATCH(1,('3. Enter Indicator Scores'!$B$10:$B$161=$B37)*('3. Enter Indicator Scores'!$C$10:$C$161=$C37),0),
  _xlpm.c, MATCH(J$8,'3. Enter Indicator Scores'!$D$8:$CZ$8,0),
  _xlpm.v, IFERROR(INDEX('3. Enter Indicator Scores'!$D$10:$CZ$161,_xlpm.r,_xlpm.c),""),
  IF(OR(_xlpm.w="",_xlpm.v=""),"",_xlpm.v*_xlpm.w)
)</f>
        <v/>
      </c>
      <c r="K37" s="93" t="str" cm="1">
        <f t="array" ref="K37">_xlfn.LET(
  _xlpm.w, K$11,
  _xlpm.r, MATCH(1,('3. Enter Indicator Scores'!$B$10:$B$161=$B37)*('3. Enter Indicator Scores'!$C$10:$C$161=$C37),0),
  _xlpm.c, MATCH(K$8,'3. Enter Indicator Scores'!$D$8:$CZ$8,0),
  _xlpm.v, IFERROR(INDEX('3. Enter Indicator Scores'!$D$10:$CZ$161,_xlpm.r,_xlpm.c),""),
  IF(OR(_xlpm.w="",_xlpm.v=""),"",_xlpm.v*_xlpm.w)
)</f>
        <v/>
      </c>
      <c r="L37" s="93" t="str" cm="1">
        <f t="array" ref="L37">_xlfn.LET(
  _xlpm.w, L$11,
  _xlpm.r, MATCH(1,('3. Enter Indicator Scores'!$B$10:$B$161=$B37)*('3. Enter Indicator Scores'!$C$10:$C$161=$C37),0),
  _xlpm.c, MATCH(L$8,'3. Enter Indicator Scores'!$D$8:$CZ$8,0),
  _xlpm.v, IFERROR(INDEX('3. Enter Indicator Scores'!$D$10:$CZ$161,_xlpm.r,_xlpm.c),""),
  IF(OR(_xlpm.w="",_xlpm.v=""),"",_xlpm.v*_xlpm.w)
)</f>
        <v/>
      </c>
      <c r="M37" s="93" t="str" cm="1">
        <f t="array" ref="M37">_xlfn.LET(
  _xlpm.w, M$11,
  _xlpm.r, MATCH(1,('3. Enter Indicator Scores'!$B$10:$B$161=$B37)*('3. Enter Indicator Scores'!$C$10:$C$161=$C37),0),
  _xlpm.c, MATCH(M$8,'3. Enter Indicator Scores'!$D$8:$CZ$8,0),
  _xlpm.v, IFERROR(INDEX('3. Enter Indicator Scores'!$D$10:$CZ$161,_xlpm.r,_xlpm.c),""),
  IF(OR(_xlpm.w="",_xlpm.v=""),"",_xlpm.v*_xlpm.w)
)</f>
        <v/>
      </c>
      <c r="N37" s="93" t="str" cm="1">
        <f t="array" ref="N37">_xlfn.LET(
  _xlpm.w, N$11,
  _xlpm.r, MATCH(1,('3. Enter Indicator Scores'!$B$10:$B$161=$B37)*('3. Enter Indicator Scores'!$C$10:$C$161=$C37),0),
  _xlpm.c, MATCH(N$8,'3. Enter Indicator Scores'!$D$8:$CZ$8,0),
  _xlpm.v, IFERROR(INDEX('3. Enter Indicator Scores'!$D$10:$CZ$161,_xlpm.r,_xlpm.c),""),
  IF(OR(_xlpm.w="",_xlpm.v=""),"",_xlpm.v*_xlpm.w)
)</f>
        <v/>
      </c>
      <c r="O37" s="93" t="str" cm="1">
        <f t="array" ref="O37">_xlfn.LET(
  _xlpm.w, O$11,
  _xlpm.r, MATCH(1,('3. Enter Indicator Scores'!$B$10:$B$161=$B37)*('3. Enter Indicator Scores'!$C$10:$C$161=$C37),0),
  _xlpm.c, MATCH(O$8,'3. Enter Indicator Scores'!$D$8:$CZ$8,0),
  _xlpm.v, IFERROR(INDEX('3. Enter Indicator Scores'!$D$10:$CZ$161,_xlpm.r,_xlpm.c),""),
  IF(OR(_xlpm.w="",_xlpm.v=""),"",_xlpm.v*_xlpm.w)
)</f>
        <v/>
      </c>
      <c r="P37" s="93" t="str" cm="1">
        <f t="array" ref="P37">_xlfn.LET(
  _xlpm.w, P$11,
  _xlpm.r, MATCH(1,('3. Enter Indicator Scores'!$B$10:$B$161=$B37)*('3. Enter Indicator Scores'!$C$10:$C$161=$C37),0),
  _xlpm.c, MATCH(P$8,'3. Enter Indicator Scores'!$D$8:$CZ$8,0),
  _xlpm.v, IFERROR(INDEX('3. Enter Indicator Scores'!$D$10:$CZ$161,_xlpm.r,_xlpm.c),""),
  IF(OR(_xlpm.w="",_xlpm.v=""),"",_xlpm.v*_xlpm.w)
)</f>
        <v/>
      </c>
      <c r="Q37" s="93" t="str" cm="1">
        <f t="array" ref="Q37">_xlfn.LET(
  _xlpm.w, Q$11,
  _xlpm.r, MATCH(1,('3. Enter Indicator Scores'!$B$10:$B$161=$B37)*('3. Enter Indicator Scores'!$C$10:$C$161=$C37),0),
  _xlpm.c, MATCH(Q$8,'3. Enter Indicator Scores'!$D$8:$CZ$8,0),
  _xlpm.v, IFERROR(INDEX('3. Enter Indicator Scores'!$D$10:$CZ$161,_xlpm.r,_xlpm.c),""),
  IF(OR(_xlpm.w="",_xlpm.v=""),"",_xlpm.v*_xlpm.w)
)</f>
        <v/>
      </c>
      <c r="R37" s="93" t="str" cm="1">
        <f t="array" ref="R37">_xlfn.LET(
  _xlpm.w, R$11,
  _xlpm.r, MATCH(1,('3. Enter Indicator Scores'!$B$10:$B$161=$B37)*('3. Enter Indicator Scores'!$C$10:$C$161=$C37),0),
  _xlpm.c, MATCH(R$8,'3. Enter Indicator Scores'!$D$8:$CZ$8,0),
  _xlpm.v, IFERROR(INDEX('3. Enter Indicator Scores'!$D$10:$CZ$161,_xlpm.r,_xlpm.c),""),
  IF(OR(_xlpm.w="",_xlpm.v=""),"",_xlpm.v*_xlpm.w)
)</f>
        <v/>
      </c>
      <c r="S37" s="93" t="str" cm="1">
        <f t="array" ref="S37">_xlfn.LET(
  _xlpm.w, S$11,
  _xlpm.r, MATCH(1,('3. Enter Indicator Scores'!$B$10:$B$161=$B37)*('3. Enter Indicator Scores'!$C$10:$C$161=$C37),0),
  _xlpm.c, MATCH(S$8,'3. Enter Indicator Scores'!$D$8:$CZ$8,0),
  _xlpm.v, IFERROR(INDEX('3. Enter Indicator Scores'!$D$10:$CZ$161,_xlpm.r,_xlpm.c),""),
  IF(OR(_xlpm.w="",_xlpm.v=""),"",_xlpm.v*_xlpm.w)
)</f>
        <v/>
      </c>
      <c r="T37" s="93" t="str" cm="1">
        <f t="array" ref="T37">_xlfn.LET(
  _xlpm.w, T$11,
  _xlpm.r, MATCH(1,('3. Enter Indicator Scores'!$B$10:$B$161=$B37)*('3. Enter Indicator Scores'!$C$10:$C$161=$C37),0),
  _xlpm.c, MATCH(T$8,'3. Enter Indicator Scores'!$D$8:$CZ$8,0),
  _xlpm.v, IFERROR(INDEX('3. Enter Indicator Scores'!$D$10:$CZ$161,_xlpm.r,_xlpm.c),""),
  IF(OR(_xlpm.w="",_xlpm.v=""),"",_xlpm.v*_xlpm.w)
)</f>
        <v/>
      </c>
      <c r="U37" s="93" t="str" cm="1">
        <f t="array" ref="U37">_xlfn.LET(
  _xlpm.w, U$11,
  _xlpm.r, MATCH(1,('3. Enter Indicator Scores'!$B$10:$B$161=$B37)*('3. Enter Indicator Scores'!$C$10:$C$161=$C37),0),
  _xlpm.c, MATCH(U$8,'3. Enter Indicator Scores'!$D$8:$CZ$8,0),
  _xlpm.v, IFERROR(INDEX('3. Enter Indicator Scores'!$D$10:$CZ$161,_xlpm.r,_xlpm.c),""),
  IF(OR(_xlpm.w="",_xlpm.v=""),"",_xlpm.v*_xlpm.w)
)</f>
        <v/>
      </c>
      <c r="V37" s="93" t="str" cm="1">
        <f t="array" ref="V37">_xlfn.LET(
  _xlpm.w, V$11,
  _xlpm.r, MATCH(1,('3. Enter Indicator Scores'!$B$10:$B$161=$B37)*('3. Enter Indicator Scores'!$C$10:$C$161=$C37),0),
  _xlpm.c, MATCH(V$8,'3. Enter Indicator Scores'!$D$8:$CZ$8,0),
  _xlpm.v, IFERROR(INDEX('3. Enter Indicator Scores'!$D$10:$CZ$161,_xlpm.r,_xlpm.c),""),
  IF(OR(_xlpm.w="",_xlpm.v=""),"",_xlpm.v*_xlpm.w)
)</f>
        <v/>
      </c>
      <c r="W37" s="93" t="str" cm="1">
        <f t="array" ref="W37">_xlfn.LET(
  _xlpm.w, W$11,
  _xlpm.r, MATCH(1,('3. Enter Indicator Scores'!$B$10:$B$161=$B37)*('3. Enter Indicator Scores'!$C$10:$C$161=$C37),0),
  _xlpm.c, MATCH(W$8,'3. Enter Indicator Scores'!$D$8:$CZ$8,0),
  _xlpm.v, IFERROR(INDEX('3. Enter Indicator Scores'!$D$10:$CZ$161,_xlpm.r,_xlpm.c),""),
  IF(OR(_xlpm.w="",_xlpm.v=""),"",_xlpm.v*_xlpm.w)
)</f>
        <v/>
      </c>
      <c r="X37" s="93" t="str" cm="1">
        <f t="array" ref="X37">_xlfn.LET(
  _xlpm.w, X$11,
  _xlpm.r, MATCH(1,('3. Enter Indicator Scores'!$B$10:$B$161=$B37)*('3. Enter Indicator Scores'!$C$10:$C$161=$C37),0),
  _xlpm.c, MATCH(X$8,'3. Enter Indicator Scores'!$D$8:$CZ$8,0),
  _xlpm.v, IFERROR(INDEX('3. Enter Indicator Scores'!$D$10:$CZ$161,_xlpm.r,_xlpm.c),""),
  IF(OR(_xlpm.w="",_xlpm.v=""),"",_xlpm.v*_xlpm.w)
)</f>
        <v/>
      </c>
      <c r="Y37" s="93" t="str" cm="1">
        <f t="array" ref="Y37">_xlfn.LET(
  _xlpm.w, Y$11,
  _xlpm.r, MATCH(1,('3. Enter Indicator Scores'!$B$10:$B$161=$B37)*('3. Enter Indicator Scores'!$C$10:$C$161=$C37),0),
  _xlpm.c, MATCH(Y$8,'3. Enter Indicator Scores'!$D$8:$CZ$8,0),
  _xlpm.v, IFERROR(INDEX('3. Enter Indicator Scores'!$D$10:$CZ$161,_xlpm.r,_xlpm.c),""),
  IF(OR(_xlpm.w="",_xlpm.v=""),"",_xlpm.v*_xlpm.w)
)</f>
        <v/>
      </c>
      <c r="Z37" s="93" t="str" cm="1">
        <f t="array" ref="Z37">_xlfn.LET(
  _xlpm.w, Z$11,
  _xlpm.r, MATCH(1,('3. Enter Indicator Scores'!$B$10:$B$161=$B37)*('3. Enter Indicator Scores'!$C$10:$C$161=$C37),0),
  _xlpm.c, MATCH(Z$8,'3. Enter Indicator Scores'!$D$8:$CZ$8,0),
  _xlpm.v, IFERROR(INDEX('3. Enter Indicator Scores'!$D$10:$CZ$161,_xlpm.r,_xlpm.c),""),
  IF(OR(_xlpm.w="",_xlpm.v=""),"",_xlpm.v*_xlpm.w)
)</f>
        <v/>
      </c>
      <c r="AA37" s="93" t="str" cm="1">
        <f t="array" ref="AA37">_xlfn.LET(
  _xlpm.w, AA$11,
  _xlpm.r, MATCH(1,('3. Enter Indicator Scores'!$B$10:$B$161=$B37)*('3. Enter Indicator Scores'!$C$10:$C$161=$C37),0),
  _xlpm.c, MATCH(AA$8,'3. Enter Indicator Scores'!$D$8:$CZ$8,0),
  _xlpm.v, IFERROR(INDEX('3. Enter Indicator Scores'!$D$10:$CZ$161,_xlpm.r,_xlpm.c),""),
  IF(OR(_xlpm.w="",_xlpm.v=""),"",_xlpm.v*_xlpm.w)
)</f>
        <v/>
      </c>
      <c r="AB37" s="93" t="str" cm="1">
        <f t="array" ref="AB37">_xlfn.LET(
  _xlpm.w, AB$11,
  _xlpm.r, MATCH(1,('3. Enter Indicator Scores'!$B$10:$B$161=$B37)*('3. Enter Indicator Scores'!$C$10:$C$161=$C37),0),
  _xlpm.c, MATCH(AB$8,'3. Enter Indicator Scores'!$D$8:$CZ$8,0),
  _xlpm.v, IFERROR(INDEX('3. Enter Indicator Scores'!$D$10:$CZ$161,_xlpm.r,_xlpm.c),""),
  IF(OR(_xlpm.w="",_xlpm.v=""),"",_xlpm.v*_xlpm.w)
)</f>
        <v/>
      </c>
      <c r="AC37" s="93" t="str" cm="1">
        <f t="array" ref="AC37">_xlfn.LET(
  _xlpm.w, AC$11,
  _xlpm.r, MATCH(1,('3. Enter Indicator Scores'!$B$10:$B$161=$B37)*('3. Enter Indicator Scores'!$C$10:$C$161=$C37),0),
  _xlpm.c, MATCH(AC$8,'3. Enter Indicator Scores'!$D$8:$CZ$8,0),
  _xlpm.v, IFERROR(INDEX('3. Enter Indicator Scores'!$D$10:$CZ$161,_xlpm.r,_xlpm.c),""),
  IF(OR(_xlpm.w="",_xlpm.v=""),"",_xlpm.v*_xlpm.w)
)</f>
        <v/>
      </c>
      <c r="AD37" s="93" t="str" cm="1">
        <f t="array" ref="AD37">_xlfn.LET(
  _xlpm.w, AD$11,
  _xlpm.r, MATCH(1,('3. Enter Indicator Scores'!$B$10:$B$161=$B37)*('3. Enter Indicator Scores'!$C$10:$C$161=$C37),0),
  _xlpm.c, MATCH(AD$8,'3. Enter Indicator Scores'!$D$8:$CZ$8,0),
  _xlpm.v, IFERROR(INDEX('3. Enter Indicator Scores'!$D$10:$CZ$161,_xlpm.r,_xlpm.c),""),
  IF(OR(_xlpm.w="",_xlpm.v=""),"",_xlpm.v*_xlpm.w)
)</f>
        <v/>
      </c>
      <c r="AE37" s="93" t="str" cm="1">
        <f t="array" ref="AE37">_xlfn.LET(
  _xlpm.w, AE$11,
  _xlpm.r, MATCH(1,('3. Enter Indicator Scores'!$B$10:$B$161=$B37)*('3. Enter Indicator Scores'!$C$10:$C$161=$C37),0),
  _xlpm.c, MATCH(AE$8,'3. Enter Indicator Scores'!$D$8:$CZ$8,0),
  _xlpm.v, IFERROR(INDEX('3. Enter Indicator Scores'!$D$10:$CZ$161,_xlpm.r,_xlpm.c),""),
  IF(OR(_xlpm.w="",_xlpm.v=""),"",_xlpm.v*_xlpm.w)
)</f>
        <v/>
      </c>
      <c r="AF37" s="93" t="str" cm="1">
        <f t="array" ref="AF37">_xlfn.LET(
  _xlpm.w, AF$11,
  _xlpm.r, MATCH(1,('3. Enter Indicator Scores'!$B$10:$B$161=$B37)*('3. Enter Indicator Scores'!$C$10:$C$161=$C37),0),
  _xlpm.c, MATCH(AF$8,'3. Enter Indicator Scores'!$D$8:$CZ$8,0),
  _xlpm.v, IFERROR(INDEX('3. Enter Indicator Scores'!$D$10:$CZ$161,_xlpm.r,_xlpm.c),""),
  IF(OR(_xlpm.w="",_xlpm.v=""),"",_xlpm.v*_xlpm.w)
)</f>
        <v/>
      </c>
      <c r="AG37" s="93" t="str" cm="1">
        <f t="array" ref="AG37">_xlfn.LET(
  _xlpm.w, AG$11,
  _xlpm.r, MATCH(1,('3. Enter Indicator Scores'!$B$10:$B$161=$B37)*('3. Enter Indicator Scores'!$C$10:$C$161=$C37),0),
  _xlpm.c, MATCH(AG$8,'3. Enter Indicator Scores'!$D$8:$CZ$8,0),
  _xlpm.v, IFERROR(INDEX('3. Enter Indicator Scores'!$D$10:$CZ$161,_xlpm.r,_xlpm.c),""),
  IF(OR(_xlpm.w="",_xlpm.v=""),"",_xlpm.v*_xlpm.w)
)</f>
        <v/>
      </c>
      <c r="AH37" s="93" t="str" cm="1">
        <f t="array" ref="AH37">_xlfn.LET(
  _xlpm.w, AH$11,
  _xlpm.r, MATCH(1,('3. Enter Indicator Scores'!$B$10:$B$161=$B37)*('3. Enter Indicator Scores'!$C$10:$C$161=$C37),0),
  _xlpm.c, MATCH(AH$8,'3. Enter Indicator Scores'!$D$8:$CZ$8,0),
  _xlpm.v, IFERROR(INDEX('3. Enter Indicator Scores'!$D$10:$CZ$161,_xlpm.r,_xlpm.c),""),
  IF(OR(_xlpm.w="",_xlpm.v=""),"",_xlpm.v*_xlpm.w)
)</f>
        <v/>
      </c>
      <c r="AI37" s="93" t="str" cm="1">
        <f t="array" ref="AI37">_xlfn.LET(
  _xlpm.w, AI$11,
  _xlpm.r, MATCH(1,('3. Enter Indicator Scores'!$B$10:$B$161=$B37)*('3. Enter Indicator Scores'!$C$10:$C$161=$C37),0),
  _xlpm.c, MATCH(AI$8,'3. Enter Indicator Scores'!$D$8:$CZ$8,0),
  _xlpm.v, IFERROR(INDEX('3. Enter Indicator Scores'!$D$10:$CZ$161,_xlpm.r,_xlpm.c),""),
  IF(OR(_xlpm.w="",_xlpm.v=""),"",_xlpm.v*_xlpm.w)
)</f>
        <v/>
      </c>
      <c r="AJ37" s="93" t="str" cm="1">
        <f t="array" ref="AJ37">_xlfn.LET(
  _xlpm.w, AJ$11,
  _xlpm.r, MATCH(1,('3. Enter Indicator Scores'!$B$10:$B$161=$B37)*('3. Enter Indicator Scores'!$C$10:$C$161=$C37),0),
  _xlpm.c, MATCH(AJ$8,'3. Enter Indicator Scores'!$D$8:$CZ$8,0),
  _xlpm.v, IFERROR(INDEX('3. Enter Indicator Scores'!$D$10:$CZ$161,_xlpm.r,_xlpm.c),""),
  IF(OR(_xlpm.w="",_xlpm.v=""),"",_xlpm.v*_xlpm.w)
)</f>
        <v/>
      </c>
      <c r="AK37" s="93" t="str" cm="1">
        <f t="array" ref="AK37">_xlfn.LET(
  _xlpm.w, AK$11,
  _xlpm.r, MATCH(1,('3. Enter Indicator Scores'!$B$10:$B$161=$B37)*('3. Enter Indicator Scores'!$C$10:$C$161=$C37),0),
  _xlpm.c, MATCH(AK$8,'3. Enter Indicator Scores'!$D$8:$CZ$8,0),
  _xlpm.v, IFERROR(INDEX('3. Enter Indicator Scores'!$D$10:$CZ$161,_xlpm.r,_xlpm.c),""),
  IF(OR(_xlpm.w="",_xlpm.v=""),"",_xlpm.v*_xlpm.w)
)</f>
        <v/>
      </c>
      <c r="AL37" s="93" t="str" cm="1">
        <f t="array" ref="AL37">_xlfn.LET(
  _xlpm.w, AL$11,
  _xlpm.r, MATCH(1,('3. Enter Indicator Scores'!$B$10:$B$161=$B37)*('3. Enter Indicator Scores'!$C$10:$C$161=$C37),0),
  _xlpm.c, MATCH(AL$8,'3. Enter Indicator Scores'!$D$8:$CZ$8,0),
  _xlpm.v, IFERROR(INDEX('3. Enter Indicator Scores'!$D$10:$CZ$161,_xlpm.r,_xlpm.c),""),
  IF(OR(_xlpm.w="",_xlpm.v=""),"",_xlpm.v*_xlpm.w)
)</f>
        <v/>
      </c>
      <c r="AM37" s="93" t="str" cm="1">
        <f t="array" ref="AM37">_xlfn.LET(
  _xlpm.w, AM$11,
  _xlpm.r, MATCH(1,('3. Enter Indicator Scores'!$B$10:$B$161=$B37)*('3. Enter Indicator Scores'!$C$10:$C$161=$C37),0),
  _xlpm.c, MATCH(AM$8,'3. Enter Indicator Scores'!$D$8:$CZ$8,0),
  _xlpm.v, IFERROR(INDEX('3. Enter Indicator Scores'!$D$10:$CZ$161,_xlpm.r,_xlpm.c),""),
  IF(OR(_xlpm.w="",_xlpm.v=""),"",_xlpm.v*_xlpm.w)
)</f>
        <v/>
      </c>
      <c r="AN37" s="93" t="str" cm="1">
        <f t="array" ref="AN37">_xlfn.LET(
  _xlpm.w, AN$11,
  _xlpm.r, MATCH(1,('3. Enter Indicator Scores'!$B$10:$B$161=$B37)*('3. Enter Indicator Scores'!$C$10:$C$161=$C37),0),
  _xlpm.c, MATCH(AN$8,'3. Enter Indicator Scores'!$D$8:$CZ$8,0),
  _xlpm.v, IFERROR(INDEX('3. Enter Indicator Scores'!$D$10:$CZ$161,_xlpm.r,_xlpm.c),""),
  IF(OR(_xlpm.w="",_xlpm.v=""),"",_xlpm.v*_xlpm.w)
)</f>
        <v/>
      </c>
      <c r="AO37" s="93" t="str" cm="1">
        <f t="array" ref="AO37">_xlfn.LET(
  _xlpm.w, AO$11,
  _xlpm.r, MATCH(1,('3. Enter Indicator Scores'!$B$10:$B$161=$B37)*('3. Enter Indicator Scores'!$C$10:$C$161=$C37),0),
  _xlpm.c, MATCH(AO$8,'3. Enter Indicator Scores'!$D$8:$CZ$8,0),
  _xlpm.v, IFERROR(INDEX('3. Enter Indicator Scores'!$D$10:$CZ$161,_xlpm.r,_xlpm.c),""),
  IF(OR(_xlpm.w="",_xlpm.v=""),"",_xlpm.v*_xlpm.w)
)</f>
        <v/>
      </c>
      <c r="AP37" s="93" t="str" cm="1">
        <f t="array" ref="AP37">_xlfn.LET(
  _xlpm.w, AP$11,
  _xlpm.r, MATCH(1,('3. Enter Indicator Scores'!$B$10:$B$161=$B37)*('3. Enter Indicator Scores'!$C$10:$C$161=$C37),0),
  _xlpm.c, MATCH(AP$8,'3. Enter Indicator Scores'!$D$8:$CZ$8,0),
  _xlpm.v, IFERROR(INDEX('3. Enter Indicator Scores'!$D$10:$CZ$161,_xlpm.r,_xlpm.c),""),
  IF(OR(_xlpm.w="",_xlpm.v=""),"",_xlpm.v*_xlpm.w)
)</f>
        <v/>
      </c>
      <c r="AQ37" s="93" t="str" cm="1">
        <f t="array" ref="AQ37">_xlfn.LET(
  _xlpm.w, AQ$11,
  _xlpm.r, MATCH(1,('3. Enter Indicator Scores'!$B$10:$B$161=$B37)*('3. Enter Indicator Scores'!$C$10:$C$161=$C37),0),
  _xlpm.c, MATCH(AQ$8,'3. Enter Indicator Scores'!$D$8:$CZ$8,0),
  _xlpm.v, IFERROR(INDEX('3. Enter Indicator Scores'!$D$10:$CZ$161,_xlpm.r,_xlpm.c),""),
  IF(OR(_xlpm.w="",_xlpm.v=""),"",_xlpm.v*_xlpm.w)
)</f>
        <v/>
      </c>
      <c r="AR37" s="93" t="str" cm="1">
        <f t="array" ref="AR37">_xlfn.LET(
  _xlpm.w, AR$11,
  _xlpm.r, MATCH(1,('3. Enter Indicator Scores'!$B$10:$B$161=$B37)*('3. Enter Indicator Scores'!$C$10:$C$161=$C37),0),
  _xlpm.c, MATCH(AR$8,'3. Enter Indicator Scores'!$D$8:$CZ$8,0),
  _xlpm.v, IFERROR(INDEX('3. Enter Indicator Scores'!$D$10:$CZ$161,_xlpm.r,_xlpm.c),""),
  IF(OR(_xlpm.w="",_xlpm.v=""),"",_xlpm.v*_xlpm.w)
)</f>
        <v/>
      </c>
      <c r="AS37" s="93" t="str" cm="1">
        <f t="array" ref="AS37">_xlfn.LET(
  _xlpm.w, AS$11,
  _xlpm.r, MATCH(1,('3. Enter Indicator Scores'!$B$10:$B$161=$B37)*('3. Enter Indicator Scores'!$C$10:$C$161=$C37),0),
  _xlpm.c, MATCH(AS$8,'3. Enter Indicator Scores'!$D$8:$CZ$8,0),
  _xlpm.v, IFERROR(INDEX('3. Enter Indicator Scores'!$D$10:$CZ$161,_xlpm.r,_xlpm.c),""),
  IF(OR(_xlpm.w="",_xlpm.v=""),"",_xlpm.v*_xlpm.w)
)</f>
        <v/>
      </c>
      <c r="AT37" s="93" t="str" cm="1">
        <f t="array" ref="AT37">_xlfn.LET(
  _xlpm.w, AT$11,
  _xlpm.r, MATCH(1,('3. Enter Indicator Scores'!$B$10:$B$161=$B37)*('3. Enter Indicator Scores'!$C$10:$C$161=$C37),0),
  _xlpm.c, MATCH(AT$8,'3. Enter Indicator Scores'!$D$8:$CZ$8,0),
  _xlpm.v, IFERROR(INDEX('3. Enter Indicator Scores'!$D$10:$CZ$161,_xlpm.r,_xlpm.c),""),
  IF(OR(_xlpm.w="",_xlpm.v=""),"",_xlpm.v*_xlpm.w)
)</f>
        <v/>
      </c>
      <c r="AU37" s="93" t="str" cm="1">
        <f t="array" ref="AU37">_xlfn.LET(
  _xlpm.w, AU$11,
  _xlpm.r, MATCH(1,('3. Enter Indicator Scores'!$B$10:$B$161=$B37)*('3. Enter Indicator Scores'!$C$10:$C$161=$C37),0),
  _xlpm.c, MATCH(AU$8,'3. Enter Indicator Scores'!$D$8:$CZ$8,0),
  _xlpm.v, IFERROR(INDEX('3. Enter Indicator Scores'!$D$10:$CZ$161,_xlpm.r,_xlpm.c),""),
  IF(OR(_xlpm.w="",_xlpm.v=""),"",_xlpm.v*_xlpm.w)
)</f>
        <v/>
      </c>
      <c r="AV37" s="93" t="str" cm="1">
        <f t="array" ref="AV37">_xlfn.LET(
  _xlpm.w, AV$11,
  _xlpm.r, MATCH(1,('3. Enter Indicator Scores'!$B$10:$B$161=$B37)*('3. Enter Indicator Scores'!$C$10:$C$161=$C37),0),
  _xlpm.c, MATCH(AV$8,'3. Enter Indicator Scores'!$D$8:$CZ$8,0),
  _xlpm.v, IFERROR(INDEX('3. Enter Indicator Scores'!$D$10:$CZ$161,_xlpm.r,_xlpm.c),""),
  IF(OR(_xlpm.w="",_xlpm.v=""),"",_xlpm.v*_xlpm.w)
)</f>
        <v/>
      </c>
      <c r="AW37" s="93" t="str" cm="1">
        <f t="array" ref="AW37">_xlfn.LET(
  _xlpm.w, AW$11,
  _xlpm.r, MATCH(1,('3. Enter Indicator Scores'!$B$10:$B$161=$B37)*('3. Enter Indicator Scores'!$C$10:$C$161=$C37),0),
  _xlpm.c, MATCH(AW$8,'3. Enter Indicator Scores'!$D$8:$CZ$8,0),
  _xlpm.v, IFERROR(INDEX('3. Enter Indicator Scores'!$D$10:$CZ$161,_xlpm.r,_xlpm.c),""),
  IF(OR(_xlpm.w="",_xlpm.v=""),"",_xlpm.v*_xlpm.w)
)</f>
        <v/>
      </c>
      <c r="AX37" s="93" t="str" cm="1">
        <f t="array" ref="AX37">_xlfn.LET(
  _xlpm.w, AX$11,
  _xlpm.r, MATCH(1,('3. Enter Indicator Scores'!$B$10:$B$161=$B37)*('3. Enter Indicator Scores'!$C$10:$C$161=$C37),0),
  _xlpm.c, MATCH(AX$8,'3. Enter Indicator Scores'!$D$8:$CZ$8,0),
  _xlpm.v, IFERROR(INDEX('3. Enter Indicator Scores'!$D$10:$CZ$161,_xlpm.r,_xlpm.c),""),
  IF(OR(_xlpm.w="",_xlpm.v=""),"",_xlpm.v*_xlpm.w)
)</f>
        <v/>
      </c>
      <c r="AY37" s="93" t="str" cm="1">
        <f t="array" ref="AY37">_xlfn.LET(
  _xlpm.w, AY$11,
  _xlpm.r, MATCH(1,('3. Enter Indicator Scores'!$B$10:$B$161=$B37)*('3. Enter Indicator Scores'!$C$10:$C$161=$C37),0),
  _xlpm.c, MATCH(AY$8,'3. Enter Indicator Scores'!$D$8:$CZ$8,0),
  _xlpm.v, IFERROR(INDEX('3. Enter Indicator Scores'!$D$10:$CZ$161,_xlpm.r,_xlpm.c),""),
  IF(OR(_xlpm.w="",_xlpm.v=""),"",_xlpm.v*_xlpm.w)
)</f>
        <v/>
      </c>
      <c r="AZ37" s="93" t="str" cm="1">
        <f t="array" ref="AZ37">_xlfn.LET(
  _xlpm.w, AZ$11,
  _xlpm.r, MATCH(1,('3. Enter Indicator Scores'!$B$10:$B$161=$B37)*('3. Enter Indicator Scores'!$C$10:$C$161=$C37),0),
  _xlpm.c, MATCH(AZ$8,'3. Enter Indicator Scores'!$D$8:$CZ$8,0),
  _xlpm.v, IFERROR(INDEX('3. Enter Indicator Scores'!$D$10:$CZ$161,_xlpm.r,_xlpm.c),""),
  IF(OR(_xlpm.w="",_xlpm.v=""),"",_xlpm.v*_xlpm.w)
)</f>
        <v/>
      </c>
      <c r="BA37" s="93" t="str" cm="1">
        <f t="array" ref="BA37">_xlfn.LET(
  _xlpm.w, BA$11,
  _xlpm.r, MATCH(1,('3. Enter Indicator Scores'!$B$10:$B$161=$B37)*('3. Enter Indicator Scores'!$C$10:$C$161=$C37),0),
  _xlpm.c, MATCH(BA$8,'3. Enter Indicator Scores'!$D$8:$CZ$8,0),
  _xlpm.v, IFERROR(INDEX('3. Enter Indicator Scores'!$D$10:$CZ$161,_xlpm.r,_xlpm.c),""),
  IF(OR(_xlpm.w="",_xlpm.v=""),"",_xlpm.v*_xlpm.w)
)</f>
        <v/>
      </c>
      <c r="BB37" s="93" t="str" cm="1">
        <f t="array" ref="BB37">_xlfn.LET(
  _xlpm.w, BB$11,
  _xlpm.r, MATCH(1,('3. Enter Indicator Scores'!$B$10:$B$161=$B37)*('3. Enter Indicator Scores'!$C$10:$C$161=$C37),0),
  _xlpm.c, MATCH(BB$8,'3. Enter Indicator Scores'!$D$8:$CZ$8,0),
  _xlpm.v, IFERROR(INDEX('3. Enter Indicator Scores'!$D$10:$CZ$161,_xlpm.r,_xlpm.c),""),
  IF(OR(_xlpm.w="",_xlpm.v=""),"",_xlpm.v*_xlpm.w)
)</f>
        <v/>
      </c>
      <c r="BC37" s="93" t="str" cm="1">
        <f t="array" ref="BC37">_xlfn.LET(
  _xlpm.w, BC$11,
  _xlpm.r, MATCH(1,('3. Enter Indicator Scores'!$B$10:$B$161=$B37)*('3. Enter Indicator Scores'!$C$10:$C$161=$C37),0),
  _xlpm.c, MATCH(BC$8,'3. Enter Indicator Scores'!$D$8:$CZ$8,0),
  _xlpm.v, IFERROR(INDEX('3. Enter Indicator Scores'!$D$10:$CZ$161,_xlpm.r,_xlpm.c),""),
  IF(OR(_xlpm.w="",_xlpm.v=""),"",_xlpm.v*_xlpm.w)
)</f>
        <v/>
      </c>
      <c r="BD37" s="93" t="str" cm="1">
        <f t="array" ref="BD37">_xlfn.LET(
  _xlpm.w, BD$11,
  _xlpm.r, MATCH(1,('3. Enter Indicator Scores'!$B$10:$B$161=$B37)*('3. Enter Indicator Scores'!$C$10:$C$161=$C37),0),
  _xlpm.c, MATCH(BD$8,'3. Enter Indicator Scores'!$D$8:$CZ$8,0),
  _xlpm.v, IFERROR(INDEX('3. Enter Indicator Scores'!$D$10:$CZ$161,_xlpm.r,_xlpm.c),""),
  IF(OR(_xlpm.w="",_xlpm.v=""),"",_xlpm.v*_xlpm.w)
)</f>
        <v/>
      </c>
      <c r="BE37" s="93" t="str" cm="1">
        <f t="array" ref="BE37">_xlfn.LET(
  _xlpm.w, BE$11,
  _xlpm.r, MATCH(1,('3. Enter Indicator Scores'!$B$10:$B$161=$B37)*('3. Enter Indicator Scores'!$C$10:$C$161=$C37),0),
  _xlpm.c, MATCH(BE$8,'3. Enter Indicator Scores'!$D$8:$CZ$8,0),
  _xlpm.v, IFERROR(INDEX('3. Enter Indicator Scores'!$D$10:$CZ$161,_xlpm.r,_xlpm.c),""),
  IF(OR(_xlpm.w="",_xlpm.v=""),"",_xlpm.v*_xlpm.w)
)</f>
        <v/>
      </c>
      <c r="BF37" s="93" t="str" cm="1">
        <f t="array" ref="BF37">_xlfn.LET(
  _xlpm.w, BF$11,
  _xlpm.r, MATCH(1,('3. Enter Indicator Scores'!$B$10:$B$161=$B37)*('3. Enter Indicator Scores'!$C$10:$C$161=$C37),0),
  _xlpm.c, MATCH(BF$8,'3. Enter Indicator Scores'!$D$8:$CZ$8,0),
  _xlpm.v, IFERROR(INDEX('3. Enter Indicator Scores'!$D$10:$CZ$161,_xlpm.r,_xlpm.c),""),
  IF(OR(_xlpm.w="",_xlpm.v=""),"",_xlpm.v*_xlpm.w)
)</f>
        <v/>
      </c>
      <c r="BG37" s="93" t="str" cm="1">
        <f t="array" ref="BG37">_xlfn.LET(
  _xlpm.w, BG$11,
  _xlpm.r, MATCH(1,('3. Enter Indicator Scores'!$B$10:$B$161=$B37)*('3. Enter Indicator Scores'!$C$10:$C$161=$C37),0),
  _xlpm.c, MATCH(BG$8,'3. Enter Indicator Scores'!$D$8:$CZ$8,0),
  _xlpm.v, IFERROR(INDEX('3. Enter Indicator Scores'!$D$10:$CZ$161,_xlpm.r,_xlpm.c),""),
  IF(OR(_xlpm.w="",_xlpm.v=""),"",_xlpm.v*_xlpm.w)
)</f>
        <v/>
      </c>
      <c r="BH37" s="93" t="str" cm="1">
        <f t="array" ref="BH37">_xlfn.LET(
  _xlpm.w, BH$11,
  _xlpm.r, MATCH(1,('3. Enter Indicator Scores'!$B$10:$B$161=$B37)*('3. Enter Indicator Scores'!$C$10:$C$161=$C37),0),
  _xlpm.c, MATCH(BH$8,'3. Enter Indicator Scores'!$D$8:$CZ$8,0),
  _xlpm.v, IFERROR(INDEX('3. Enter Indicator Scores'!$D$10:$CZ$161,_xlpm.r,_xlpm.c),""),
  IF(OR(_xlpm.w="",_xlpm.v=""),"",_xlpm.v*_xlpm.w)
)</f>
        <v/>
      </c>
      <c r="BI37" s="93" t="str" cm="1">
        <f t="array" ref="BI37">_xlfn.LET(
  _xlpm.w, BI$11,
  _xlpm.r, MATCH(1,('3. Enter Indicator Scores'!$B$10:$B$161=$B37)*('3. Enter Indicator Scores'!$C$10:$C$161=$C37),0),
  _xlpm.c, MATCH(BI$8,'3. Enter Indicator Scores'!$D$8:$CZ$8,0),
  _xlpm.v, IFERROR(INDEX('3. Enter Indicator Scores'!$D$10:$CZ$161,_xlpm.r,_xlpm.c),""),
  IF(OR(_xlpm.w="",_xlpm.v=""),"",_xlpm.v*_xlpm.w)
)</f>
        <v/>
      </c>
      <c r="BJ37" s="93" t="str" cm="1">
        <f t="array" ref="BJ37">_xlfn.LET(
  _xlpm.w, BJ$11,
  _xlpm.r, MATCH(1,('3. Enter Indicator Scores'!$B$10:$B$161=$B37)*('3. Enter Indicator Scores'!$C$10:$C$161=$C37),0),
  _xlpm.c, MATCH(BJ$8,'3. Enter Indicator Scores'!$D$8:$CZ$8,0),
  _xlpm.v, IFERROR(INDEX('3. Enter Indicator Scores'!$D$10:$CZ$161,_xlpm.r,_xlpm.c),""),
  IF(OR(_xlpm.w="",_xlpm.v=""),"",_xlpm.v*_xlpm.w)
)</f>
        <v/>
      </c>
      <c r="BK37" s="93" t="str" cm="1">
        <f t="array" ref="BK37">_xlfn.LET(
  _xlpm.w, BK$11,
  _xlpm.r, MATCH(1,('3. Enter Indicator Scores'!$B$10:$B$161=$B37)*('3. Enter Indicator Scores'!$C$10:$C$161=$C37),0),
  _xlpm.c, MATCH(BK$8,'3. Enter Indicator Scores'!$D$8:$CZ$8,0),
  _xlpm.v, IFERROR(INDEX('3. Enter Indicator Scores'!$D$10:$CZ$161,_xlpm.r,_xlpm.c),""),
  IF(OR(_xlpm.w="",_xlpm.v=""),"",_xlpm.v*_xlpm.w)
)</f>
        <v/>
      </c>
      <c r="BL37" s="93" t="str" cm="1">
        <f t="array" ref="BL37">_xlfn.LET(
  _xlpm.w, BL$11,
  _xlpm.r, MATCH(1,('3. Enter Indicator Scores'!$B$10:$B$161=$B37)*('3. Enter Indicator Scores'!$C$10:$C$161=$C37),0),
  _xlpm.c, MATCH(BL$8,'3. Enter Indicator Scores'!$D$8:$CZ$8,0),
  _xlpm.v, IFERROR(INDEX('3. Enter Indicator Scores'!$D$10:$CZ$161,_xlpm.r,_xlpm.c),""),
  IF(OR(_xlpm.w="",_xlpm.v=""),"",_xlpm.v*_xlpm.w)
)</f>
        <v/>
      </c>
      <c r="BM37" s="93" t="str" cm="1">
        <f t="array" ref="BM37">_xlfn.LET(
  _xlpm.w, BM$11,
  _xlpm.r, MATCH(1,('3. Enter Indicator Scores'!$B$10:$B$161=$B37)*('3. Enter Indicator Scores'!$C$10:$C$161=$C37),0),
  _xlpm.c, MATCH(BM$8,'3. Enter Indicator Scores'!$D$8:$CZ$8,0),
  _xlpm.v, IFERROR(INDEX('3. Enter Indicator Scores'!$D$10:$CZ$161,_xlpm.r,_xlpm.c),""),
  IF(OR(_xlpm.w="",_xlpm.v=""),"",_xlpm.v*_xlpm.w)
)</f>
        <v/>
      </c>
      <c r="BN37" s="93" t="str" cm="1">
        <f t="array" ref="BN37">_xlfn.LET(
  _xlpm.w, BN$11,
  _xlpm.r, MATCH(1,('3. Enter Indicator Scores'!$B$10:$B$161=$B37)*('3. Enter Indicator Scores'!$C$10:$C$161=$C37),0),
  _xlpm.c, MATCH(BN$8,'3. Enter Indicator Scores'!$D$8:$CZ$8,0),
  _xlpm.v, IFERROR(INDEX('3. Enter Indicator Scores'!$D$10:$CZ$161,_xlpm.r,_xlpm.c),""),
  IF(OR(_xlpm.w="",_xlpm.v=""),"",_xlpm.v*_xlpm.w)
)</f>
        <v/>
      </c>
      <c r="BO37" s="93" t="str" cm="1">
        <f t="array" ref="BO37">_xlfn.LET(
  _xlpm.w, BO$11,
  _xlpm.r, MATCH(1,('3. Enter Indicator Scores'!$B$10:$B$161=$B37)*('3. Enter Indicator Scores'!$C$10:$C$161=$C37),0),
  _xlpm.c, MATCH(BO$8,'3. Enter Indicator Scores'!$D$8:$CZ$8,0),
  _xlpm.v, IFERROR(INDEX('3. Enter Indicator Scores'!$D$10:$CZ$161,_xlpm.r,_xlpm.c),""),
  IF(OR(_xlpm.w="",_xlpm.v=""),"",_xlpm.v*_xlpm.w)
)</f>
        <v/>
      </c>
      <c r="BP37" s="93" t="str" cm="1">
        <f t="array" ref="BP37">_xlfn.LET(
  _xlpm.w, BP$11,
  _xlpm.r, MATCH(1,('3. Enter Indicator Scores'!$B$10:$B$161=$B37)*('3. Enter Indicator Scores'!$C$10:$C$161=$C37),0),
  _xlpm.c, MATCH(BP$8,'3. Enter Indicator Scores'!$D$8:$CZ$8,0),
  _xlpm.v, IFERROR(INDEX('3. Enter Indicator Scores'!$D$10:$CZ$161,_xlpm.r,_xlpm.c),""),
  IF(OR(_xlpm.w="",_xlpm.v=""),"",_xlpm.v*_xlpm.w)
)</f>
        <v/>
      </c>
      <c r="BQ37" s="93" t="str" cm="1">
        <f t="array" ref="BQ37">_xlfn.LET(
  _xlpm.w, BQ$11,
  _xlpm.r, MATCH(1,('3. Enter Indicator Scores'!$B$10:$B$161=$B37)*('3. Enter Indicator Scores'!$C$10:$C$161=$C37),0),
  _xlpm.c, MATCH(BQ$8,'3. Enter Indicator Scores'!$D$8:$CZ$8,0),
  _xlpm.v, IFERROR(INDEX('3. Enter Indicator Scores'!$D$10:$CZ$161,_xlpm.r,_xlpm.c),""),
  IF(OR(_xlpm.w="",_xlpm.v=""),"",_xlpm.v*_xlpm.w)
)</f>
        <v/>
      </c>
      <c r="BR37" s="93" t="str" cm="1">
        <f t="array" ref="BR37">_xlfn.LET(
  _xlpm.w, BR$11,
  _xlpm.r, MATCH(1,('3. Enter Indicator Scores'!$B$10:$B$161=$B37)*('3. Enter Indicator Scores'!$C$10:$C$161=$C37),0),
  _xlpm.c, MATCH(BR$8,'3. Enter Indicator Scores'!$D$8:$CZ$8,0),
  _xlpm.v, IFERROR(INDEX('3. Enter Indicator Scores'!$D$10:$CZ$161,_xlpm.r,_xlpm.c),""),
  IF(OR(_xlpm.w="",_xlpm.v=""),"",_xlpm.v*_xlpm.w)
)</f>
        <v/>
      </c>
      <c r="BS37" s="93" t="str" cm="1">
        <f t="array" ref="BS37">_xlfn.LET(
  _xlpm.w, BS$11,
  _xlpm.r, MATCH(1,('3. Enter Indicator Scores'!$B$10:$B$161=$B37)*('3. Enter Indicator Scores'!$C$10:$C$161=$C37),0),
  _xlpm.c, MATCH(BS$8,'3. Enter Indicator Scores'!$D$8:$CZ$8,0),
  _xlpm.v, IFERROR(INDEX('3. Enter Indicator Scores'!$D$10:$CZ$161,_xlpm.r,_xlpm.c),""),
  IF(OR(_xlpm.w="",_xlpm.v=""),"",_xlpm.v*_xlpm.w)
)</f>
        <v/>
      </c>
      <c r="BT37" s="93" t="str" cm="1">
        <f t="array" ref="BT37">_xlfn.LET(
  _xlpm.w, BT$11,
  _xlpm.r, MATCH(1,('3. Enter Indicator Scores'!$B$10:$B$161=$B37)*('3. Enter Indicator Scores'!$C$10:$C$161=$C37),0),
  _xlpm.c, MATCH(BT$8,'3. Enter Indicator Scores'!$D$8:$CZ$8,0),
  _xlpm.v, IFERROR(INDEX('3. Enter Indicator Scores'!$D$10:$CZ$161,_xlpm.r,_xlpm.c),""),
  IF(OR(_xlpm.w="",_xlpm.v=""),"",_xlpm.v*_xlpm.w)
)</f>
        <v/>
      </c>
      <c r="BU37" s="93" t="str" cm="1">
        <f t="array" ref="BU37">_xlfn.LET(
  _xlpm.w, BU$11,
  _xlpm.r, MATCH(1,('3. Enter Indicator Scores'!$B$10:$B$161=$B37)*('3. Enter Indicator Scores'!$C$10:$C$161=$C37),0),
  _xlpm.c, MATCH(BU$8,'3. Enter Indicator Scores'!$D$8:$CZ$8,0),
  _xlpm.v, IFERROR(INDEX('3. Enter Indicator Scores'!$D$10:$CZ$161,_xlpm.r,_xlpm.c),""),
  IF(OR(_xlpm.w="",_xlpm.v=""),"",_xlpm.v*_xlpm.w)
)</f>
        <v/>
      </c>
      <c r="BV37" s="93" t="str" cm="1">
        <f t="array" ref="BV37">_xlfn.LET(
  _xlpm.w, BV$11,
  _xlpm.r, MATCH(1,('3. Enter Indicator Scores'!$B$10:$B$161=$B37)*('3. Enter Indicator Scores'!$C$10:$C$161=$C37),0),
  _xlpm.c, MATCH(BV$8,'3. Enter Indicator Scores'!$D$8:$CZ$8,0),
  _xlpm.v, IFERROR(INDEX('3. Enter Indicator Scores'!$D$10:$CZ$161,_xlpm.r,_xlpm.c),""),
  IF(OR(_xlpm.w="",_xlpm.v=""),"",_xlpm.v*_xlpm.w)
)</f>
        <v/>
      </c>
      <c r="BW37" s="93" t="str" cm="1">
        <f t="array" ref="BW37">_xlfn.LET(
  _xlpm.w, BW$11,
  _xlpm.r, MATCH(1,('3. Enter Indicator Scores'!$B$10:$B$161=$B37)*('3. Enter Indicator Scores'!$C$10:$C$161=$C37),0),
  _xlpm.c, MATCH(BW$8,'3. Enter Indicator Scores'!$D$8:$CZ$8,0),
  _xlpm.v, IFERROR(INDEX('3. Enter Indicator Scores'!$D$10:$CZ$161,_xlpm.r,_xlpm.c),""),
  IF(OR(_xlpm.w="",_xlpm.v=""),"",_xlpm.v*_xlpm.w)
)</f>
        <v/>
      </c>
      <c r="BX37" s="93" t="str" cm="1">
        <f t="array" ref="BX37">_xlfn.LET(
  _xlpm.w, BX$11,
  _xlpm.r, MATCH(1,('3. Enter Indicator Scores'!$B$10:$B$161=$B37)*('3. Enter Indicator Scores'!$C$10:$C$161=$C37),0),
  _xlpm.c, MATCH(BX$8,'3. Enter Indicator Scores'!$D$8:$CZ$8,0),
  _xlpm.v, IFERROR(INDEX('3. Enter Indicator Scores'!$D$10:$CZ$161,_xlpm.r,_xlpm.c),""),
  IF(OR(_xlpm.w="",_xlpm.v=""),"",_xlpm.v*_xlpm.w)
)</f>
        <v/>
      </c>
      <c r="BY37" s="93" t="str" cm="1">
        <f t="array" ref="BY37">_xlfn.LET(
  _xlpm.w, BY$11,
  _xlpm.r, MATCH(1,('3. Enter Indicator Scores'!$B$10:$B$161=$B37)*('3. Enter Indicator Scores'!$C$10:$C$161=$C37),0),
  _xlpm.c, MATCH(BY$8,'3. Enter Indicator Scores'!$D$8:$CZ$8,0),
  _xlpm.v, IFERROR(INDEX('3. Enter Indicator Scores'!$D$10:$CZ$161,_xlpm.r,_xlpm.c),""),
  IF(OR(_xlpm.w="",_xlpm.v=""),"",_xlpm.v*_xlpm.w)
)</f>
        <v/>
      </c>
      <c r="BZ37" s="93" t="str" cm="1">
        <f t="array" ref="BZ37">_xlfn.LET(
  _xlpm.w, BZ$11,
  _xlpm.r, MATCH(1,('3. Enter Indicator Scores'!$B$10:$B$161=$B37)*('3. Enter Indicator Scores'!$C$10:$C$161=$C37),0),
  _xlpm.c, MATCH(BZ$8,'3. Enter Indicator Scores'!$D$8:$CZ$8,0),
  _xlpm.v, IFERROR(INDEX('3. Enter Indicator Scores'!$D$10:$CZ$161,_xlpm.r,_xlpm.c),""),
  IF(OR(_xlpm.w="",_xlpm.v=""),"",_xlpm.v*_xlpm.w)
)</f>
        <v/>
      </c>
      <c r="CA37" s="93" t="str" cm="1">
        <f t="array" ref="CA37">_xlfn.LET(
  _xlpm.w, CA$11,
  _xlpm.r, MATCH(1,('3. Enter Indicator Scores'!$B$10:$B$161=$B37)*('3. Enter Indicator Scores'!$C$10:$C$161=$C37),0),
  _xlpm.c, MATCH(CA$8,'3. Enter Indicator Scores'!$D$8:$CZ$8,0),
  _xlpm.v, IFERROR(INDEX('3. Enter Indicator Scores'!$D$10:$CZ$161,_xlpm.r,_xlpm.c),""),
  IF(OR(_xlpm.w="",_xlpm.v=""),"",_xlpm.v*_xlpm.w)
)</f>
        <v/>
      </c>
      <c r="CB37" s="93" t="str" cm="1">
        <f t="array" ref="CB37">_xlfn.LET(
  _xlpm.w, CB$11,
  _xlpm.r, MATCH(1,('3. Enter Indicator Scores'!$B$10:$B$161=$B37)*('3. Enter Indicator Scores'!$C$10:$C$161=$C37),0),
  _xlpm.c, MATCH(CB$8,'3. Enter Indicator Scores'!$D$8:$CZ$8,0),
  _xlpm.v, IFERROR(INDEX('3. Enter Indicator Scores'!$D$10:$CZ$161,_xlpm.r,_xlpm.c),""),
  IF(OR(_xlpm.w="",_xlpm.v=""),"",_xlpm.v*_xlpm.w)
)</f>
        <v/>
      </c>
      <c r="CC37" s="93" t="str" cm="1">
        <f t="array" ref="CC37">_xlfn.LET(
  _xlpm.w, CC$11,
  _xlpm.r, MATCH(1,('3. Enter Indicator Scores'!$B$10:$B$161=$B37)*('3. Enter Indicator Scores'!$C$10:$C$161=$C37),0),
  _xlpm.c, MATCH(CC$8,'3. Enter Indicator Scores'!$D$8:$CZ$8,0),
  _xlpm.v, IFERROR(INDEX('3. Enter Indicator Scores'!$D$10:$CZ$161,_xlpm.r,_xlpm.c),""),
  IF(OR(_xlpm.w="",_xlpm.v=""),"",_xlpm.v*_xlpm.w)
)</f>
        <v/>
      </c>
      <c r="CD37" s="93" t="str" cm="1">
        <f t="array" ref="CD37">_xlfn.LET(
  _xlpm.w, CD$11,
  _xlpm.r, MATCH(1,('3. Enter Indicator Scores'!$B$10:$B$161=$B37)*('3. Enter Indicator Scores'!$C$10:$C$161=$C37),0),
  _xlpm.c, MATCH(CD$8,'3. Enter Indicator Scores'!$D$8:$CZ$8,0),
  _xlpm.v, IFERROR(INDEX('3. Enter Indicator Scores'!$D$10:$CZ$161,_xlpm.r,_xlpm.c),""),
  IF(OR(_xlpm.w="",_xlpm.v=""),"",_xlpm.v*_xlpm.w)
)</f>
        <v/>
      </c>
      <c r="CE37" s="93" t="str" cm="1">
        <f t="array" ref="CE37">_xlfn.LET(
  _xlpm.w, CE$11,
  _xlpm.r, MATCH(1,('3. Enter Indicator Scores'!$B$10:$B$161=$B37)*('3. Enter Indicator Scores'!$C$10:$C$161=$C37),0),
  _xlpm.c, MATCH(CE$8,'3. Enter Indicator Scores'!$D$8:$CZ$8,0),
  _xlpm.v, IFERROR(INDEX('3. Enter Indicator Scores'!$D$10:$CZ$161,_xlpm.r,_xlpm.c),""),
  IF(OR(_xlpm.w="",_xlpm.v=""),"",_xlpm.v*_xlpm.w)
)</f>
        <v/>
      </c>
      <c r="CF37" s="93" t="str" cm="1">
        <f t="array" ref="CF37">_xlfn.LET(
  _xlpm.w, CF$11,
  _xlpm.r, MATCH(1,('3. Enter Indicator Scores'!$B$10:$B$161=$B37)*('3. Enter Indicator Scores'!$C$10:$C$161=$C37),0),
  _xlpm.c, MATCH(CF$8,'3. Enter Indicator Scores'!$D$8:$CZ$8,0),
  _xlpm.v, IFERROR(INDEX('3. Enter Indicator Scores'!$D$10:$CZ$161,_xlpm.r,_xlpm.c),""),
  IF(OR(_xlpm.w="",_xlpm.v=""),"",_xlpm.v*_xlpm.w)
)</f>
        <v/>
      </c>
      <c r="CG37" s="93" t="str" cm="1">
        <f t="array" ref="CG37">_xlfn.LET(
  _xlpm.w, CG$11,
  _xlpm.r, MATCH(1,('3. Enter Indicator Scores'!$B$10:$B$161=$B37)*('3. Enter Indicator Scores'!$C$10:$C$161=$C37),0),
  _xlpm.c, MATCH(CG$8,'3. Enter Indicator Scores'!$D$8:$CZ$8,0),
  _xlpm.v, IFERROR(INDEX('3. Enter Indicator Scores'!$D$10:$CZ$161,_xlpm.r,_xlpm.c),""),
  IF(OR(_xlpm.w="",_xlpm.v=""),"",_xlpm.v*_xlpm.w)
)</f>
        <v/>
      </c>
      <c r="CH37" s="93" t="str" cm="1">
        <f t="array" ref="CH37">_xlfn.LET(
  _xlpm.w, CH$11,
  _xlpm.r, MATCH(1,('3. Enter Indicator Scores'!$B$10:$B$161=$B37)*('3. Enter Indicator Scores'!$C$10:$C$161=$C37),0),
  _xlpm.c, MATCH(CH$8,'3. Enter Indicator Scores'!$D$8:$CZ$8,0),
  _xlpm.v, IFERROR(INDEX('3. Enter Indicator Scores'!$D$10:$CZ$161,_xlpm.r,_xlpm.c),""),
  IF(OR(_xlpm.w="",_xlpm.v=""),"",_xlpm.v*_xlpm.w)
)</f>
        <v/>
      </c>
      <c r="CI37" s="93" t="str" cm="1">
        <f t="array" ref="CI37">_xlfn.LET(
  _xlpm.w, CI$11,
  _xlpm.r, MATCH(1,('3. Enter Indicator Scores'!$B$10:$B$161=$B37)*('3. Enter Indicator Scores'!$C$10:$C$161=$C37),0),
  _xlpm.c, MATCH(CI$8,'3. Enter Indicator Scores'!$D$8:$CZ$8,0),
  _xlpm.v, IFERROR(INDEX('3. Enter Indicator Scores'!$D$10:$CZ$161,_xlpm.r,_xlpm.c),""),
  IF(OR(_xlpm.w="",_xlpm.v=""),"",_xlpm.v*_xlpm.w)
)</f>
        <v/>
      </c>
      <c r="CJ37" s="93" t="str" cm="1">
        <f t="array" ref="CJ37">_xlfn.LET(
  _xlpm.w, CJ$11,
  _xlpm.r, MATCH(1,('3. Enter Indicator Scores'!$B$10:$B$161=$B37)*('3. Enter Indicator Scores'!$C$10:$C$161=$C37),0),
  _xlpm.c, MATCH(CJ$8,'3. Enter Indicator Scores'!$D$8:$CZ$8,0),
  _xlpm.v, IFERROR(INDEX('3. Enter Indicator Scores'!$D$10:$CZ$161,_xlpm.r,_xlpm.c),""),
  IF(OR(_xlpm.w="",_xlpm.v=""),"",_xlpm.v*_xlpm.w)
)</f>
        <v/>
      </c>
      <c r="CK37" s="93" t="str" cm="1">
        <f t="array" ref="CK37">_xlfn.LET(
  _xlpm.w, CK$11,
  _xlpm.r, MATCH(1,('3. Enter Indicator Scores'!$B$10:$B$161=$B37)*('3. Enter Indicator Scores'!$C$10:$C$161=$C37),0),
  _xlpm.c, MATCH(CK$8,'3. Enter Indicator Scores'!$D$8:$CZ$8,0),
  _xlpm.v, IFERROR(INDEX('3. Enter Indicator Scores'!$D$10:$CZ$161,_xlpm.r,_xlpm.c),""),
  IF(OR(_xlpm.w="",_xlpm.v=""),"",_xlpm.v*_xlpm.w)
)</f>
        <v/>
      </c>
      <c r="CL37" s="93" t="str" cm="1">
        <f t="array" ref="CL37">_xlfn.LET(
  _xlpm.w, CL$11,
  _xlpm.r, MATCH(1,('3. Enter Indicator Scores'!$B$10:$B$161=$B37)*('3. Enter Indicator Scores'!$C$10:$C$161=$C37),0),
  _xlpm.c, MATCH(CL$8,'3. Enter Indicator Scores'!$D$8:$CZ$8,0),
  _xlpm.v, IFERROR(INDEX('3. Enter Indicator Scores'!$D$10:$CZ$161,_xlpm.r,_xlpm.c),""),
  IF(OR(_xlpm.w="",_xlpm.v=""),"",_xlpm.v*_xlpm.w)
)</f>
        <v/>
      </c>
      <c r="CM37" s="93" t="str" cm="1">
        <f t="array" ref="CM37">_xlfn.LET(
  _xlpm.w, CM$11,
  _xlpm.r, MATCH(1,('3. Enter Indicator Scores'!$B$10:$B$161=$B37)*('3. Enter Indicator Scores'!$C$10:$C$161=$C37),0),
  _xlpm.c, MATCH(CM$8,'3. Enter Indicator Scores'!$D$8:$CZ$8,0),
  _xlpm.v, IFERROR(INDEX('3. Enter Indicator Scores'!$D$10:$CZ$161,_xlpm.r,_xlpm.c),""),
  IF(OR(_xlpm.w="",_xlpm.v=""),"",_xlpm.v*_xlpm.w)
)</f>
        <v/>
      </c>
      <c r="CN37" s="93" t="str" cm="1">
        <f t="array" ref="CN37">_xlfn.LET(
  _xlpm.w, CN$11,
  _xlpm.r, MATCH(1,('3. Enter Indicator Scores'!$B$10:$B$161=$B37)*('3. Enter Indicator Scores'!$C$10:$C$161=$C37),0),
  _xlpm.c, MATCH(CN$8,'3. Enter Indicator Scores'!$D$8:$CZ$8,0),
  _xlpm.v, IFERROR(INDEX('3. Enter Indicator Scores'!$D$10:$CZ$161,_xlpm.r,_xlpm.c),""),
  IF(OR(_xlpm.w="",_xlpm.v=""),"",_xlpm.v*_xlpm.w)
)</f>
        <v/>
      </c>
      <c r="CO37" s="93" t="str" cm="1">
        <f t="array" ref="CO37">_xlfn.LET(
  _xlpm.w, CO$11,
  _xlpm.r, MATCH(1,('3. Enter Indicator Scores'!$B$10:$B$161=$B37)*('3. Enter Indicator Scores'!$C$10:$C$161=$C37),0),
  _xlpm.c, MATCH(CO$8,'3. Enter Indicator Scores'!$D$8:$CZ$8,0),
  _xlpm.v, IFERROR(INDEX('3. Enter Indicator Scores'!$D$10:$CZ$161,_xlpm.r,_xlpm.c),""),
  IF(OR(_xlpm.w="",_xlpm.v=""),"",_xlpm.v*_xlpm.w)
)</f>
        <v/>
      </c>
      <c r="CP37" s="93" t="str" cm="1">
        <f t="array" ref="CP37">_xlfn.LET(
  _xlpm.w, CP$11,
  _xlpm.r, MATCH(1,('3. Enter Indicator Scores'!$B$10:$B$161=$B37)*('3. Enter Indicator Scores'!$C$10:$C$161=$C37),0),
  _xlpm.c, MATCH(CP$8,'3. Enter Indicator Scores'!$D$8:$CZ$8,0),
  _xlpm.v, IFERROR(INDEX('3. Enter Indicator Scores'!$D$10:$CZ$161,_xlpm.r,_xlpm.c),""),
  IF(OR(_xlpm.w="",_xlpm.v=""),"",_xlpm.v*_xlpm.w)
)</f>
        <v/>
      </c>
      <c r="CQ37" s="93" t="str" cm="1">
        <f t="array" ref="CQ37">_xlfn.LET(
  _xlpm.w, CQ$11,
  _xlpm.r, MATCH(1,('3. Enter Indicator Scores'!$B$10:$B$161=$B37)*('3. Enter Indicator Scores'!$C$10:$C$161=$C37),0),
  _xlpm.c, MATCH(CQ$8,'3. Enter Indicator Scores'!$D$8:$CZ$8,0),
  _xlpm.v, IFERROR(INDEX('3. Enter Indicator Scores'!$D$10:$CZ$161,_xlpm.r,_xlpm.c),""),
  IF(OR(_xlpm.w="",_xlpm.v=""),"",_xlpm.v*_xlpm.w)
)</f>
        <v/>
      </c>
      <c r="CR37" s="93" t="str" cm="1">
        <f t="array" ref="CR37">_xlfn.LET(
  _xlpm.w, CR$11,
  _xlpm.r, MATCH(1,('3. Enter Indicator Scores'!$B$10:$B$161=$B37)*('3. Enter Indicator Scores'!$C$10:$C$161=$C37),0),
  _xlpm.c, MATCH(CR$8,'3. Enter Indicator Scores'!$D$8:$CZ$8,0),
  _xlpm.v, IFERROR(INDEX('3. Enter Indicator Scores'!$D$10:$CZ$161,_xlpm.r,_xlpm.c),""),
  IF(OR(_xlpm.w="",_xlpm.v=""),"",_xlpm.v*_xlpm.w)
)</f>
        <v/>
      </c>
      <c r="CS37" s="93" t="str" cm="1">
        <f t="array" ref="CS37">_xlfn.LET(
  _xlpm.w, CS$11,
  _xlpm.r, MATCH(1,('3. Enter Indicator Scores'!$B$10:$B$161=$B37)*('3. Enter Indicator Scores'!$C$10:$C$161=$C37),0),
  _xlpm.c, MATCH(CS$8,'3. Enter Indicator Scores'!$D$8:$CZ$8,0),
  _xlpm.v, IFERROR(INDEX('3. Enter Indicator Scores'!$D$10:$CZ$161,_xlpm.r,_xlpm.c),""),
  IF(OR(_xlpm.w="",_xlpm.v=""),"",_xlpm.v*_xlpm.w)
)</f>
        <v/>
      </c>
      <c r="CT37" s="93" t="str" cm="1">
        <f t="array" ref="CT37">_xlfn.LET(
  _xlpm.w, CT$11,
  _xlpm.r, MATCH(1,('3. Enter Indicator Scores'!$B$10:$B$161=$B37)*('3. Enter Indicator Scores'!$C$10:$C$161=$C37),0),
  _xlpm.c, MATCH(CT$8,'3. Enter Indicator Scores'!$D$8:$CZ$8,0),
  _xlpm.v, IFERROR(INDEX('3. Enter Indicator Scores'!$D$10:$CZ$161,_xlpm.r,_xlpm.c),""),
  IF(OR(_xlpm.w="",_xlpm.v=""),"",_xlpm.v*_xlpm.w)
)</f>
        <v/>
      </c>
      <c r="CU37" s="93" t="str" cm="1">
        <f t="array" ref="CU37">_xlfn.LET(
  _xlpm.w, CU$11,
  _xlpm.r, MATCH(1,('3. Enter Indicator Scores'!$B$10:$B$161=$B37)*('3. Enter Indicator Scores'!$C$10:$C$161=$C37),0),
  _xlpm.c, MATCH(CU$8,'3. Enter Indicator Scores'!$D$8:$CZ$8,0),
  _xlpm.v, IFERROR(INDEX('3. Enter Indicator Scores'!$D$10:$CZ$161,_xlpm.r,_xlpm.c),""),
  IF(OR(_xlpm.w="",_xlpm.v=""),"",_xlpm.v*_xlpm.w)
)</f>
        <v/>
      </c>
      <c r="CV37" s="93" t="str" cm="1">
        <f t="array" ref="CV37">_xlfn.LET(
  _xlpm.w, CV$11,
  _xlpm.r, MATCH(1,('3. Enter Indicator Scores'!$B$10:$B$161=$B37)*('3. Enter Indicator Scores'!$C$10:$C$161=$C37),0),
  _xlpm.c, MATCH(CV$8,'3. Enter Indicator Scores'!$D$8:$CZ$8,0),
  _xlpm.v, IFERROR(INDEX('3. Enter Indicator Scores'!$D$10:$CZ$161,_xlpm.r,_xlpm.c),""),
  IF(OR(_xlpm.w="",_xlpm.v=""),"",_xlpm.v*_xlpm.w)
)</f>
        <v/>
      </c>
      <c r="CW37" s="93" t="str" cm="1">
        <f t="array" ref="CW37">_xlfn.LET(
  _xlpm.w, CW$11,
  _xlpm.r, MATCH(1,('3. Enter Indicator Scores'!$B$10:$B$161=$B37)*('3. Enter Indicator Scores'!$C$10:$C$161=$C37),0),
  _xlpm.c, MATCH(CW$8,'3. Enter Indicator Scores'!$D$8:$CZ$8,0),
  _xlpm.v, IFERROR(INDEX('3. Enter Indicator Scores'!$D$10:$CZ$161,_xlpm.r,_xlpm.c),""),
  IF(OR(_xlpm.w="",_xlpm.v=""),"",_xlpm.v*_xlpm.w)
)</f>
        <v/>
      </c>
      <c r="CX37" s="93" t="str" cm="1">
        <f t="array" ref="CX37">_xlfn.LET(
  _xlpm.w, CX$11,
  _xlpm.r, MATCH(1,('3. Enter Indicator Scores'!$B$10:$B$161=$B37)*('3. Enter Indicator Scores'!$C$10:$C$161=$C37),0),
  _xlpm.c, MATCH(CX$8,'3. Enter Indicator Scores'!$D$8:$CZ$8,0),
  _xlpm.v, IFERROR(INDEX('3. Enter Indicator Scores'!$D$10:$CZ$161,_xlpm.r,_xlpm.c),""),
  IF(OR(_xlpm.w="",_xlpm.v=""),"",_xlpm.v*_xlpm.w)
)</f>
        <v/>
      </c>
      <c r="CY37" s="93" t="str" cm="1">
        <f t="array" ref="CY37">_xlfn.LET(
  _xlpm.w, CY$11,
  _xlpm.r, MATCH(1,('3. Enter Indicator Scores'!$B$10:$B$161=$B37)*('3. Enter Indicator Scores'!$C$10:$C$161=$C37),0),
  _xlpm.c, MATCH(CY$8,'3. Enter Indicator Scores'!$D$8:$CZ$8,0),
  _xlpm.v, IFERROR(INDEX('3. Enter Indicator Scores'!$D$10:$CZ$161,_xlpm.r,_xlpm.c),""),
  IF(OR(_xlpm.w="",_xlpm.v=""),"",_xlpm.v*_xlpm.w)
)</f>
        <v/>
      </c>
      <c r="CZ37" s="93" t="str" cm="1">
        <f t="array" ref="CZ37">_xlfn.LET(
  _xlpm.w, CZ$11,
  _xlpm.r, MATCH(1,('3. Enter Indicator Scores'!$B$10:$B$161=$B37)*('3. Enter Indicator Scores'!$C$10:$C$161=$C37),0),
  _xlpm.c, MATCH(CZ$8,'3. Enter Indicator Scores'!$D$8:$CZ$8,0),
  _xlpm.v, IFERROR(INDEX('3. Enter Indicator Scores'!$D$10:$CZ$161,_xlpm.r,_xlpm.c),""),
  IF(OR(_xlpm.w="",_xlpm.v=""),"",_xlpm.v*_xlpm.w)
)</f>
        <v/>
      </c>
    </row>
    <row r="38" spans="4:104" x14ac:dyDescent="0.2">
      <c r="D38" s="93" t="str" cm="1">
        <f t="array" ref="D38">_xlfn.LET(
  _xlpm.w, D$11,
  _xlpm.r, MATCH(1,('3. Enter Indicator Scores'!$B$10:$B$161=$B38)*('3. Enter Indicator Scores'!$C$10:$C$161=$C38),0),
  _xlpm.c, MATCH(D$8,'3. Enter Indicator Scores'!$D$8:$CZ$8,0),
  _xlpm.v, IFERROR(INDEX('3. Enter Indicator Scores'!$D$10:$CZ$161,_xlpm.r,_xlpm.c),""),
  IF(OR(_xlpm.w="",_xlpm.v=""),"",_xlpm.v*_xlpm.w)
)</f>
        <v/>
      </c>
      <c r="E38" s="93" t="str" cm="1">
        <f t="array" ref="E38">_xlfn.LET(
  _xlpm.w, E$11,
  _xlpm.r, MATCH(1,('3. Enter Indicator Scores'!$B$10:$B$161=$B38)*('3. Enter Indicator Scores'!$C$10:$C$161=$C38),0),
  _xlpm.c, MATCH(E$8,'3. Enter Indicator Scores'!$D$8:$CZ$8,0),
  _xlpm.v, IFERROR(INDEX('3. Enter Indicator Scores'!$D$10:$CZ$161,_xlpm.r,_xlpm.c),""),
  IF(OR(_xlpm.w="",_xlpm.v=""),"",_xlpm.v*_xlpm.w)
)</f>
        <v/>
      </c>
      <c r="F38" s="93" t="str" cm="1">
        <f t="array" ref="F38">_xlfn.LET(
  _xlpm.w, F$11,
  _xlpm.r, MATCH(1,('3. Enter Indicator Scores'!$B$10:$B$161=$B38)*('3. Enter Indicator Scores'!$C$10:$C$161=$C38),0),
  _xlpm.c, MATCH(F$8,'3. Enter Indicator Scores'!$D$8:$CZ$8,0),
  _xlpm.v, IFERROR(INDEX('3. Enter Indicator Scores'!$D$10:$CZ$161,_xlpm.r,_xlpm.c),""),
  IF(OR(_xlpm.w="",_xlpm.v=""),"",_xlpm.v*_xlpm.w)
)</f>
        <v/>
      </c>
      <c r="G38" s="93" t="str" cm="1">
        <f t="array" ref="G38">_xlfn.LET(
  _xlpm.w, G$11,
  _xlpm.r, MATCH(1,('3. Enter Indicator Scores'!$B$10:$B$161=$B38)*('3. Enter Indicator Scores'!$C$10:$C$161=$C38),0),
  _xlpm.c, MATCH(G$8,'3. Enter Indicator Scores'!$D$8:$CZ$8,0),
  _xlpm.v, IFERROR(INDEX('3. Enter Indicator Scores'!$D$10:$CZ$161,_xlpm.r,_xlpm.c),""),
  IF(OR(_xlpm.w="",_xlpm.v=""),"",_xlpm.v*_xlpm.w)
)</f>
        <v/>
      </c>
      <c r="H38" s="93" t="str" cm="1">
        <f t="array" ref="H38">_xlfn.LET(
  _xlpm.w, H$11,
  _xlpm.r, MATCH(1,('3. Enter Indicator Scores'!$B$10:$B$161=$B38)*('3. Enter Indicator Scores'!$C$10:$C$161=$C38),0),
  _xlpm.c, MATCH(H$8,'3. Enter Indicator Scores'!$D$8:$CZ$8,0),
  _xlpm.v, IFERROR(INDEX('3. Enter Indicator Scores'!$D$10:$CZ$161,_xlpm.r,_xlpm.c),""),
  IF(OR(_xlpm.w="",_xlpm.v=""),"",_xlpm.v*_xlpm.w)
)</f>
        <v/>
      </c>
      <c r="I38" s="93" t="str" cm="1">
        <f t="array" ref="I38">_xlfn.LET(
  _xlpm.w, I$11,
  _xlpm.r, MATCH(1,('3. Enter Indicator Scores'!$B$10:$B$161=$B38)*('3. Enter Indicator Scores'!$C$10:$C$161=$C38),0),
  _xlpm.c, MATCH(I$8,'3. Enter Indicator Scores'!$D$8:$CZ$8,0),
  _xlpm.v, IFERROR(INDEX('3. Enter Indicator Scores'!$D$10:$CZ$161,_xlpm.r,_xlpm.c),""),
  IF(OR(_xlpm.w="",_xlpm.v=""),"",_xlpm.v*_xlpm.w)
)</f>
        <v/>
      </c>
      <c r="J38" s="93" t="str" cm="1">
        <f t="array" ref="J38">_xlfn.LET(
  _xlpm.w, J$11,
  _xlpm.r, MATCH(1,('3. Enter Indicator Scores'!$B$10:$B$161=$B38)*('3. Enter Indicator Scores'!$C$10:$C$161=$C38),0),
  _xlpm.c, MATCH(J$8,'3. Enter Indicator Scores'!$D$8:$CZ$8,0),
  _xlpm.v, IFERROR(INDEX('3. Enter Indicator Scores'!$D$10:$CZ$161,_xlpm.r,_xlpm.c),""),
  IF(OR(_xlpm.w="",_xlpm.v=""),"",_xlpm.v*_xlpm.w)
)</f>
        <v/>
      </c>
      <c r="K38" s="93" t="str" cm="1">
        <f t="array" ref="K38">_xlfn.LET(
  _xlpm.w, K$11,
  _xlpm.r, MATCH(1,('3. Enter Indicator Scores'!$B$10:$B$161=$B38)*('3. Enter Indicator Scores'!$C$10:$C$161=$C38),0),
  _xlpm.c, MATCH(K$8,'3. Enter Indicator Scores'!$D$8:$CZ$8,0),
  _xlpm.v, IFERROR(INDEX('3. Enter Indicator Scores'!$D$10:$CZ$161,_xlpm.r,_xlpm.c),""),
  IF(OR(_xlpm.w="",_xlpm.v=""),"",_xlpm.v*_xlpm.w)
)</f>
        <v/>
      </c>
      <c r="L38" s="93" t="str" cm="1">
        <f t="array" ref="L38">_xlfn.LET(
  _xlpm.w, L$11,
  _xlpm.r, MATCH(1,('3. Enter Indicator Scores'!$B$10:$B$161=$B38)*('3. Enter Indicator Scores'!$C$10:$C$161=$C38),0),
  _xlpm.c, MATCH(L$8,'3. Enter Indicator Scores'!$D$8:$CZ$8,0),
  _xlpm.v, IFERROR(INDEX('3. Enter Indicator Scores'!$D$10:$CZ$161,_xlpm.r,_xlpm.c),""),
  IF(OR(_xlpm.w="",_xlpm.v=""),"",_xlpm.v*_xlpm.w)
)</f>
        <v/>
      </c>
      <c r="M38" s="93" t="str" cm="1">
        <f t="array" ref="M38">_xlfn.LET(
  _xlpm.w, M$11,
  _xlpm.r, MATCH(1,('3. Enter Indicator Scores'!$B$10:$B$161=$B38)*('3. Enter Indicator Scores'!$C$10:$C$161=$C38),0),
  _xlpm.c, MATCH(M$8,'3. Enter Indicator Scores'!$D$8:$CZ$8,0),
  _xlpm.v, IFERROR(INDEX('3. Enter Indicator Scores'!$D$10:$CZ$161,_xlpm.r,_xlpm.c),""),
  IF(OR(_xlpm.w="",_xlpm.v=""),"",_xlpm.v*_xlpm.w)
)</f>
        <v/>
      </c>
      <c r="N38" s="93" t="str" cm="1">
        <f t="array" ref="N38">_xlfn.LET(
  _xlpm.w, N$11,
  _xlpm.r, MATCH(1,('3. Enter Indicator Scores'!$B$10:$B$161=$B38)*('3. Enter Indicator Scores'!$C$10:$C$161=$C38),0),
  _xlpm.c, MATCH(N$8,'3. Enter Indicator Scores'!$D$8:$CZ$8,0),
  _xlpm.v, IFERROR(INDEX('3. Enter Indicator Scores'!$D$10:$CZ$161,_xlpm.r,_xlpm.c),""),
  IF(OR(_xlpm.w="",_xlpm.v=""),"",_xlpm.v*_xlpm.w)
)</f>
        <v/>
      </c>
      <c r="O38" s="93" t="str" cm="1">
        <f t="array" ref="O38">_xlfn.LET(
  _xlpm.w, O$11,
  _xlpm.r, MATCH(1,('3. Enter Indicator Scores'!$B$10:$B$161=$B38)*('3. Enter Indicator Scores'!$C$10:$C$161=$C38),0),
  _xlpm.c, MATCH(O$8,'3. Enter Indicator Scores'!$D$8:$CZ$8,0),
  _xlpm.v, IFERROR(INDEX('3. Enter Indicator Scores'!$D$10:$CZ$161,_xlpm.r,_xlpm.c),""),
  IF(OR(_xlpm.w="",_xlpm.v=""),"",_xlpm.v*_xlpm.w)
)</f>
        <v/>
      </c>
      <c r="P38" s="93" t="str" cm="1">
        <f t="array" ref="P38">_xlfn.LET(
  _xlpm.w, P$11,
  _xlpm.r, MATCH(1,('3. Enter Indicator Scores'!$B$10:$B$161=$B38)*('3. Enter Indicator Scores'!$C$10:$C$161=$C38),0),
  _xlpm.c, MATCH(P$8,'3. Enter Indicator Scores'!$D$8:$CZ$8,0),
  _xlpm.v, IFERROR(INDEX('3. Enter Indicator Scores'!$D$10:$CZ$161,_xlpm.r,_xlpm.c),""),
  IF(OR(_xlpm.w="",_xlpm.v=""),"",_xlpm.v*_xlpm.w)
)</f>
        <v/>
      </c>
      <c r="Q38" s="93" t="str" cm="1">
        <f t="array" ref="Q38">_xlfn.LET(
  _xlpm.w, Q$11,
  _xlpm.r, MATCH(1,('3. Enter Indicator Scores'!$B$10:$B$161=$B38)*('3. Enter Indicator Scores'!$C$10:$C$161=$C38),0),
  _xlpm.c, MATCH(Q$8,'3. Enter Indicator Scores'!$D$8:$CZ$8,0),
  _xlpm.v, IFERROR(INDEX('3. Enter Indicator Scores'!$D$10:$CZ$161,_xlpm.r,_xlpm.c),""),
  IF(OR(_xlpm.w="",_xlpm.v=""),"",_xlpm.v*_xlpm.w)
)</f>
        <v/>
      </c>
      <c r="R38" s="93" t="str" cm="1">
        <f t="array" ref="R38">_xlfn.LET(
  _xlpm.w, R$11,
  _xlpm.r, MATCH(1,('3. Enter Indicator Scores'!$B$10:$B$161=$B38)*('3. Enter Indicator Scores'!$C$10:$C$161=$C38),0),
  _xlpm.c, MATCH(R$8,'3. Enter Indicator Scores'!$D$8:$CZ$8,0),
  _xlpm.v, IFERROR(INDEX('3. Enter Indicator Scores'!$D$10:$CZ$161,_xlpm.r,_xlpm.c),""),
  IF(OR(_xlpm.w="",_xlpm.v=""),"",_xlpm.v*_xlpm.w)
)</f>
        <v/>
      </c>
      <c r="S38" s="93" t="str" cm="1">
        <f t="array" ref="S38">_xlfn.LET(
  _xlpm.w, S$11,
  _xlpm.r, MATCH(1,('3. Enter Indicator Scores'!$B$10:$B$161=$B38)*('3. Enter Indicator Scores'!$C$10:$C$161=$C38),0),
  _xlpm.c, MATCH(S$8,'3. Enter Indicator Scores'!$D$8:$CZ$8,0),
  _xlpm.v, IFERROR(INDEX('3. Enter Indicator Scores'!$D$10:$CZ$161,_xlpm.r,_xlpm.c),""),
  IF(OR(_xlpm.w="",_xlpm.v=""),"",_xlpm.v*_xlpm.w)
)</f>
        <v/>
      </c>
      <c r="T38" s="93" t="str" cm="1">
        <f t="array" ref="T38">_xlfn.LET(
  _xlpm.w, T$11,
  _xlpm.r, MATCH(1,('3. Enter Indicator Scores'!$B$10:$B$161=$B38)*('3. Enter Indicator Scores'!$C$10:$C$161=$C38),0),
  _xlpm.c, MATCH(T$8,'3. Enter Indicator Scores'!$D$8:$CZ$8,0),
  _xlpm.v, IFERROR(INDEX('3. Enter Indicator Scores'!$D$10:$CZ$161,_xlpm.r,_xlpm.c),""),
  IF(OR(_xlpm.w="",_xlpm.v=""),"",_xlpm.v*_xlpm.w)
)</f>
        <v/>
      </c>
      <c r="U38" s="93" t="str" cm="1">
        <f t="array" ref="U38">_xlfn.LET(
  _xlpm.w, U$11,
  _xlpm.r, MATCH(1,('3. Enter Indicator Scores'!$B$10:$B$161=$B38)*('3. Enter Indicator Scores'!$C$10:$C$161=$C38),0),
  _xlpm.c, MATCH(U$8,'3. Enter Indicator Scores'!$D$8:$CZ$8,0),
  _xlpm.v, IFERROR(INDEX('3. Enter Indicator Scores'!$D$10:$CZ$161,_xlpm.r,_xlpm.c),""),
  IF(OR(_xlpm.w="",_xlpm.v=""),"",_xlpm.v*_xlpm.w)
)</f>
        <v/>
      </c>
      <c r="V38" s="93" t="str" cm="1">
        <f t="array" ref="V38">_xlfn.LET(
  _xlpm.w, V$11,
  _xlpm.r, MATCH(1,('3. Enter Indicator Scores'!$B$10:$B$161=$B38)*('3. Enter Indicator Scores'!$C$10:$C$161=$C38),0),
  _xlpm.c, MATCH(V$8,'3. Enter Indicator Scores'!$D$8:$CZ$8,0),
  _xlpm.v, IFERROR(INDEX('3. Enter Indicator Scores'!$D$10:$CZ$161,_xlpm.r,_xlpm.c),""),
  IF(OR(_xlpm.w="",_xlpm.v=""),"",_xlpm.v*_xlpm.w)
)</f>
        <v/>
      </c>
      <c r="W38" s="93" t="str" cm="1">
        <f t="array" ref="W38">_xlfn.LET(
  _xlpm.w, W$11,
  _xlpm.r, MATCH(1,('3. Enter Indicator Scores'!$B$10:$B$161=$B38)*('3. Enter Indicator Scores'!$C$10:$C$161=$C38),0),
  _xlpm.c, MATCH(W$8,'3. Enter Indicator Scores'!$D$8:$CZ$8,0),
  _xlpm.v, IFERROR(INDEX('3. Enter Indicator Scores'!$D$10:$CZ$161,_xlpm.r,_xlpm.c),""),
  IF(OR(_xlpm.w="",_xlpm.v=""),"",_xlpm.v*_xlpm.w)
)</f>
        <v/>
      </c>
      <c r="X38" s="93" t="str" cm="1">
        <f t="array" ref="X38">_xlfn.LET(
  _xlpm.w, X$11,
  _xlpm.r, MATCH(1,('3. Enter Indicator Scores'!$B$10:$B$161=$B38)*('3. Enter Indicator Scores'!$C$10:$C$161=$C38),0),
  _xlpm.c, MATCH(X$8,'3. Enter Indicator Scores'!$D$8:$CZ$8,0),
  _xlpm.v, IFERROR(INDEX('3. Enter Indicator Scores'!$D$10:$CZ$161,_xlpm.r,_xlpm.c),""),
  IF(OR(_xlpm.w="",_xlpm.v=""),"",_xlpm.v*_xlpm.w)
)</f>
        <v/>
      </c>
      <c r="Y38" s="93" t="str" cm="1">
        <f t="array" ref="Y38">_xlfn.LET(
  _xlpm.w, Y$11,
  _xlpm.r, MATCH(1,('3. Enter Indicator Scores'!$B$10:$B$161=$B38)*('3. Enter Indicator Scores'!$C$10:$C$161=$C38),0),
  _xlpm.c, MATCH(Y$8,'3. Enter Indicator Scores'!$D$8:$CZ$8,0),
  _xlpm.v, IFERROR(INDEX('3. Enter Indicator Scores'!$D$10:$CZ$161,_xlpm.r,_xlpm.c),""),
  IF(OR(_xlpm.w="",_xlpm.v=""),"",_xlpm.v*_xlpm.w)
)</f>
        <v/>
      </c>
      <c r="Z38" s="93" t="str" cm="1">
        <f t="array" ref="Z38">_xlfn.LET(
  _xlpm.w, Z$11,
  _xlpm.r, MATCH(1,('3. Enter Indicator Scores'!$B$10:$B$161=$B38)*('3. Enter Indicator Scores'!$C$10:$C$161=$C38),0),
  _xlpm.c, MATCH(Z$8,'3. Enter Indicator Scores'!$D$8:$CZ$8,0),
  _xlpm.v, IFERROR(INDEX('3. Enter Indicator Scores'!$D$10:$CZ$161,_xlpm.r,_xlpm.c),""),
  IF(OR(_xlpm.w="",_xlpm.v=""),"",_xlpm.v*_xlpm.w)
)</f>
        <v/>
      </c>
      <c r="AA38" s="93" t="str" cm="1">
        <f t="array" ref="AA38">_xlfn.LET(
  _xlpm.w, AA$11,
  _xlpm.r, MATCH(1,('3. Enter Indicator Scores'!$B$10:$B$161=$B38)*('3. Enter Indicator Scores'!$C$10:$C$161=$C38),0),
  _xlpm.c, MATCH(AA$8,'3. Enter Indicator Scores'!$D$8:$CZ$8,0),
  _xlpm.v, IFERROR(INDEX('3. Enter Indicator Scores'!$D$10:$CZ$161,_xlpm.r,_xlpm.c),""),
  IF(OR(_xlpm.w="",_xlpm.v=""),"",_xlpm.v*_xlpm.w)
)</f>
        <v/>
      </c>
      <c r="AB38" s="93" t="str" cm="1">
        <f t="array" ref="AB38">_xlfn.LET(
  _xlpm.w, AB$11,
  _xlpm.r, MATCH(1,('3. Enter Indicator Scores'!$B$10:$B$161=$B38)*('3. Enter Indicator Scores'!$C$10:$C$161=$C38),0),
  _xlpm.c, MATCH(AB$8,'3. Enter Indicator Scores'!$D$8:$CZ$8,0),
  _xlpm.v, IFERROR(INDEX('3. Enter Indicator Scores'!$D$10:$CZ$161,_xlpm.r,_xlpm.c),""),
  IF(OR(_xlpm.w="",_xlpm.v=""),"",_xlpm.v*_xlpm.w)
)</f>
        <v/>
      </c>
      <c r="AC38" s="93" t="str" cm="1">
        <f t="array" ref="AC38">_xlfn.LET(
  _xlpm.w, AC$11,
  _xlpm.r, MATCH(1,('3. Enter Indicator Scores'!$B$10:$B$161=$B38)*('3. Enter Indicator Scores'!$C$10:$C$161=$C38),0),
  _xlpm.c, MATCH(AC$8,'3. Enter Indicator Scores'!$D$8:$CZ$8,0),
  _xlpm.v, IFERROR(INDEX('3. Enter Indicator Scores'!$D$10:$CZ$161,_xlpm.r,_xlpm.c),""),
  IF(OR(_xlpm.w="",_xlpm.v=""),"",_xlpm.v*_xlpm.w)
)</f>
        <v/>
      </c>
      <c r="AD38" s="93" t="str" cm="1">
        <f t="array" ref="AD38">_xlfn.LET(
  _xlpm.w, AD$11,
  _xlpm.r, MATCH(1,('3. Enter Indicator Scores'!$B$10:$B$161=$B38)*('3. Enter Indicator Scores'!$C$10:$C$161=$C38),0),
  _xlpm.c, MATCH(AD$8,'3. Enter Indicator Scores'!$D$8:$CZ$8,0),
  _xlpm.v, IFERROR(INDEX('3. Enter Indicator Scores'!$D$10:$CZ$161,_xlpm.r,_xlpm.c),""),
  IF(OR(_xlpm.w="",_xlpm.v=""),"",_xlpm.v*_xlpm.w)
)</f>
        <v/>
      </c>
      <c r="AE38" s="93" t="str" cm="1">
        <f t="array" ref="AE38">_xlfn.LET(
  _xlpm.w, AE$11,
  _xlpm.r, MATCH(1,('3. Enter Indicator Scores'!$B$10:$B$161=$B38)*('3. Enter Indicator Scores'!$C$10:$C$161=$C38),0),
  _xlpm.c, MATCH(AE$8,'3. Enter Indicator Scores'!$D$8:$CZ$8,0),
  _xlpm.v, IFERROR(INDEX('3. Enter Indicator Scores'!$D$10:$CZ$161,_xlpm.r,_xlpm.c),""),
  IF(OR(_xlpm.w="",_xlpm.v=""),"",_xlpm.v*_xlpm.w)
)</f>
        <v/>
      </c>
      <c r="AF38" s="93" t="str" cm="1">
        <f t="array" ref="AF38">_xlfn.LET(
  _xlpm.w, AF$11,
  _xlpm.r, MATCH(1,('3. Enter Indicator Scores'!$B$10:$B$161=$B38)*('3. Enter Indicator Scores'!$C$10:$C$161=$C38),0),
  _xlpm.c, MATCH(AF$8,'3. Enter Indicator Scores'!$D$8:$CZ$8,0),
  _xlpm.v, IFERROR(INDEX('3. Enter Indicator Scores'!$D$10:$CZ$161,_xlpm.r,_xlpm.c),""),
  IF(OR(_xlpm.w="",_xlpm.v=""),"",_xlpm.v*_xlpm.w)
)</f>
        <v/>
      </c>
      <c r="AG38" s="93" t="str" cm="1">
        <f t="array" ref="AG38">_xlfn.LET(
  _xlpm.w, AG$11,
  _xlpm.r, MATCH(1,('3. Enter Indicator Scores'!$B$10:$B$161=$B38)*('3. Enter Indicator Scores'!$C$10:$C$161=$C38),0),
  _xlpm.c, MATCH(AG$8,'3. Enter Indicator Scores'!$D$8:$CZ$8,0),
  _xlpm.v, IFERROR(INDEX('3. Enter Indicator Scores'!$D$10:$CZ$161,_xlpm.r,_xlpm.c),""),
  IF(OR(_xlpm.w="",_xlpm.v=""),"",_xlpm.v*_xlpm.w)
)</f>
        <v/>
      </c>
      <c r="AH38" s="93" t="str" cm="1">
        <f t="array" ref="AH38">_xlfn.LET(
  _xlpm.w, AH$11,
  _xlpm.r, MATCH(1,('3. Enter Indicator Scores'!$B$10:$B$161=$B38)*('3. Enter Indicator Scores'!$C$10:$C$161=$C38),0),
  _xlpm.c, MATCH(AH$8,'3. Enter Indicator Scores'!$D$8:$CZ$8,0),
  _xlpm.v, IFERROR(INDEX('3. Enter Indicator Scores'!$D$10:$CZ$161,_xlpm.r,_xlpm.c),""),
  IF(OR(_xlpm.w="",_xlpm.v=""),"",_xlpm.v*_xlpm.w)
)</f>
        <v/>
      </c>
      <c r="AI38" s="93" t="str" cm="1">
        <f t="array" ref="AI38">_xlfn.LET(
  _xlpm.w, AI$11,
  _xlpm.r, MATCH(1,('3. Enter Indicator Scores'!$B$10:$B$161=$B38)*('3. Enter Indicator Scores'!$C$10:$C$161=$C38),0),
  _xlpm.c, MATCH(AI$8,'3. Enter Indicator Scores'!$D$8:$CZ$8,0),
  _xlpm.v, IFERROR(INDEX('3. Enter Indicator Scores'!$D$10:$CZ$161,_xlpm.r,_xlpm.c),""),
  IF(OR(_xlpm.w="",_xlpm.v=""),"",_xlpm.v*_xlpm.w)
)</f>
        <v/>
      </c>
      <c r="AJ38" s="93" t="str" cm="1">
        <f t="array" ref="AJ38">_xlfn.LET(
  _xlpm.w, AJ$11,
  _xlpm.r, MATCH(1,('3. Enter Indicator Scores'!$B$10:$B$161=$B38)*('3. Enter Indicator Scores'!$C$10:$C$161=$C38),0),
  _xlpm.c, MATCH(AJ$8,'3. Enter Indicator Scores'!$D$8:$CZ$8,0),
  _xlpm.v, IFERROR(INDEX('3. Enter Indicator Scores'!$D$10:$CZ$161,_xlpm.r,_xlpm.c),""),
  IF(OR(_xlpm.w="",_xlpm.v=""),"",_xlpm.v*_xlpm.w)
)</f>
        <v/>
      </c>
      <c r="AK38" s="93" t="str" cm="1">
        <f t="array" ref="AK38">_xlfn.LET(
  _xlpm.w, AK$11,
  _xlpm.r, MATCH(1,('3. Enter Indicator Scores'!$B$10:$B$161=$B38)*('3. Enter Indicator Scores'!$C$10:$C$161=$C38),0),
  _xlpm.c, MATCH(AK$8,'3. Enter Indicator Scores'!$D$8:$CZ$8,0),
  _xlpm.v, IFERROR(INDEX('3. Enter Indicator Scores'!$D$10:$CZ$161,_xlpm.r,_xlpm.c),""),
  IF(OR(_xlpm.w="",_xlpm.v=""),"",_xlpm.v*_xlpm.w)
)</f>
        <v/>
      </c>
      <c r="AL38" s="93" t="str" cm="1">
        <f t="array" ref="AL38">_xlfn.LET(
  _xlpm.w, AL$11,
  _xlpm.r, MATCH(1,('3. Enter Indicator Scores'!$B$10:$B$161=$B38)*('3. Enter Indicator Scores'!$C$10:$C$161=$C38),0),
  _xlpm.c, MATCH(AL$8,'3. Enter Indicator Scores'!$D$8:$CZ$8,0),
  _xlpm.v, IFERROR(INDEX('3. Enter Indicator Scores'!$D$10:$CZ$161,_xlpm.r,_xlpm.c),""),
  IF(OR(_xlpm.w="",_xlpm.v=""),"",_xlpm.v*_xlpm.w)
)</f>
        <v/>
      </c>
      <c r="AM38" s="93" t="str" cm="1">
        <f t="array" ref="AM38">_xlfn.LET(
  _xlpm.w, AM$11,
  _xlpm.r, MATCH(1,('3. Enter Indicator Scores'!$B$10:$B$161=$B38)*('3. Enter Indicator Scores'!$C$10:$C$161=$C38),0),
  _xlpm.c, MATCH(AM$8,'3. Enter Indicator Scores'!$D$8:$CZ$8,0),
  _xlpm.v, IFERROR(INDEX('3. Enter Indicator Scores'!$D$10:$CZ$161,_xlpm.r,_xlpm.c),""),
  IF(OR(_xlpm.w="",_xlpm.v=""),"",_xlpm.v*_xlpm.w)
)</f>
        <v/>
      </c>
      <c r="AN38" s="93" t="str" cm="1">
        <f t="array" ref="AN38">_xlfn.LET(
  _xlpm.w, AN$11,
  _xlpm.r, MATCH(1,('3. Enter Indicator Scores'!$B$10:$B$161=$B38)*('3. Enter Indicator Scores'!$C$10:$C$161=$C38),0),
  _xlpm.c, MATCH(AN$8,'3. Enter Indicator Scores'!$D$8:$CZ$8,0),
  _xlpm.v, IFERROR(INDEX('3. Enter Indicator Scores'!$D$10:$CZ$161,_xlpm.r,_xlpm.c),""),
  IF(OR(_xlpm.w="",_xlpm.v=""),"",_xlpm.v*_xlpm.w)
)</f>
        <v/>
      </c>
      <c r="AO38" s="93" t="str" cm="1">
        <f t="array" ref="AO38">_xlfn.LET(
  _xlpm.w, AO$11,
  _xlpm.r, MATCH(1,('3. Enter Indicator Scores'!$B$10:$B$161=$B38)*('3. Enter Indicator Scores'!$C$10:$C$161=$C38),0),
  _xlpm.c, MATCH(AO$8,'3. Enter Indicator Scores'!$D$8:$CZ$8,0),
  _xlpm.v, IFERROR(INDEX('3. Enter Indicator Scores'!$D$10:$CZ$161,_xlpm.r,_xlpm.c),""),
  IF(OR(_xlpm.w="",_xlpm.v=""),"",_xlpm.v*_xlpm.w)
)</f>
        <v/>
      </c>
      <c r="AP38" s="93" t="str" cm="1">
        <f t="array" ref="AP38">_xlfn.LET(
  _xlpm.w, AP$11,
  _xlpm.r, MATCH(1,('3. Enter Indicator Scores'!$B$10:$B$161=$B38)*('3. Enter Indicator Scores'!$C$10:$C$161=$C38),0),
  _xlpm.c, MATCH(AP$8,'3. Enter Indicator Scores'!$D$8:$CZ$8,0),
  _xlpm.v, IFERROR(INDEX('3. Enter Indicator Scores'!$D$10:$CZ$161,_xlpm.r,_xlpm.c),""),
  IF(OR(_xlpm.w="",_xlpm.v=""),"",_xlpm.v*_xlpm.w)
)</f>
        <v/>
      </c>
      <c r="AQ38" s="93" t="str" cm="1">
        <f t="array" ref="AQ38">_xlfn.LET(
  _xlpm.w, AQ$11,
  _xlpm.r, MATCH(1,('3. Enter Indicator Scores'!$B$10:$B$161=$B38)*('3. Enter Indicator Scores'!$C$10:$C$161=$C38),0),
  _xlpm.c, MATCH(AQ$8,'3. Enter Indicator Scores'!$D$8:$CZ$8,0),
  _xlpm.v, IFERROR(INDEX('3. Enter Indicator Scores'!$D$10:$CZ$161,_xlpm.r,_xlpm.c),""),
  IF(OR(_xlpm.w="",_xlpm.v=""),"",_xlpm.v*_xlpm.w)
)</f>
        <v/>
      </c>
      <c r="AR38" s="93" t="str" cm="1">
        <f t="array" ref="AR38">_xlfn.LET(
  _xlpm.w, AR$11,
  _xlpm.r, MATCH(1,('3. Enter Indicator Scores'!$B$10:$B$161=$B38)*('3. Enter Indicator Scores'!$C$10:$C$161=$C38),0),
  _xlpm.c, MATCH(AR$8,'3. Enter Indicator Scores'!$D$8:$CZ$8,0),
  _xlpm.v, IFERROR(INDEX('3. Enter Indicator Scores'!$D$10:$CZ$161,_xlpm.r,_xlpm.c),""),
  IF(OR(_xlpm.w="",_xlpm.v=""),"",_xlpm.v*_xlpm.w)
)</f>
        <v/>
      </c>
      <c r="AS38" s="93" t="str" cm="1">
        <f t="array" ref="AS38">_xlfn.LET(
  _xlpm.w, AS$11,
  _xlpm.r, MATCH(1,('3. Enter Indicator Scores'!$B$10:$B$161=$B38)*('3. Enter Indicator Scores'!$C$10:$C$161=$C38),0),
  _xlpm.c, MATCH(AS$8,'3. Enter Indicator Scores'!$D$8:$CZ$8,0),
  _xlpm.v, IFERROR(INDEX('3. Enter Indicator Scores'!$D$10:$CZ$161,_xlpm.r,_xlpm.c),""),
  IF(OR(_xlpm.w="",_xlpm.v=""),"",_xlpm.v*_xlpm.w)
)</f>
        <v/>
      </c>
      <c r="AT38" s="93" t="str" cm="1">
        <f t="array" ref="AT38">_xlfn.LET(
  _xlpm.w, AT$11,
  _xlpm.r, MATCH(1,('3. Enter Indicator Scores'!$B$10:$B$161=$B38)*('3. Enter Indicator Scores'!$C$10:$C$161=$C38),0),
  _xlpm.c, MATCH(AT$8,'3. Enter Indicator Scores'!$D$8:$CZ$8,0),
  _xlpm.v, IFERROR(INDEX('3. Enter Indicator Scores'!$D$10:$CZ$161,_xlpm.r,_xlpm.c),""),
  IF(OR(_xlpm.w="",_xlpm.v=""),"",_xlpm.v*_xlpm.w)
)</f>
        <v/>
      </c>
      <c r="AU38" s="93" t="str" cm="1">
        <f t="array" ref="AU38">_xlfn.LET(
  _xlpm.w, AU$11,
  _xlpm.r, MATCH(1,('3. Enter Indicator Scores'!$B$10:$B$161=$B38)*('3. Enter Indicator Scores'!$C$10:$C$161=$C38),0),
  _xlpm.c, MATCH(AU$8,'3. Enter Indicator Scores'!$D$8:$CZ$8,0),
  _xlpm.v, IFERROR(INDEX('3. Enter Indicator Scores'!$D$10:$CZ$161,_xlpm.r,_xlpm.c),""),
  IF(OR(_xlpm.w="",_xlpm.v=""),"",_xlpm.v*_xlpm.w)
)</f>
        <v/>
      </c>
      <c r="AV38" s="93" t="str" cm="1">
        <f t="array" ref="AV38">_xlfn.LET(
  _xlpm.w, AV$11,
  _xlpm.r, MATCH(1,('3. Enter Indicator Scores'!$B$10:$B$161=$B38)*('3. Enter Indicator Scores'!$C$10:$C$161=$C38),0),
  _xlpm.c, MATCH(AV$8,'3. Enter Indicator Scores'!$D$8:$CZ$8,0),
  _xlpm.v, IFERROR(INDEX('3. Enter Indicator Scores'!$D$10:$CZ$161,_xlpm.r,_xlpm.c),""),
  IF(OR(_xlpm.w="",_xlpm.v=""),"",_xlpm.v*_xlpm.w)
)</f>
        <v/>
      </c>
      <c r="AW38" s="93" t="str" cm="1">
        <f t="array" ref="AW38">_xlfn.LET(
  _xlpm.w, AW$11,
  _xlpm.r, MATCH(1,('3. Enter Indicator Scores'!$B$10:$B$161=$B38)*('3. Enter Indicator Scores'!$C$10:$C$161=$C38),0),
  _xlpm.c, MATCH(AW$8,'3. Enter Indicator Scores'!$D$8:$CZ$8,0),
  _xlpm.v, IFERROR(INDEX('3. Enter Indicator Scores'!$D$10:$CZ$161,_xlpm.r,_xlpm.c),""),
  IF(OR(_xlpm.w="",_xlpm.v=""),"",_xlpm.v*_xlpm.w)
)</f>
        <v/>
      </c>
      <c r="AX38" s="93" t="str" cm="1">
        <f t="array" ref="AX38">_xlfn.LET(
  _xlpm.w, AX$11,
  _xlpm.r, MATCH(1,('3. Enter Indicator Scores'!$B$10:$B$161=$B38)*('3. Enter Indicator Scores'!$C$10:$C$161=$C38),0),
  _xlpm.c, MATCH(AX$8,'3. Enter Indicator Scores'!$D$8:$CZ$8,0),
  _xlpm.v, IFERROR(INDEX('3. Enter Indicator Scores'!$D$10:$CZ$161,_xlpm.r,_xlpm.c),""),
  IF(OR(_xlpm.w="",_xlpm.v=""),"",_xlpm.v*_xlpm.w)
)</f>
        <v/>
      </c>
      <c r="AY38" s="93" t="str" cm="1">
        <f t="array" ref="AY38">_xlfn.LET(
  _xlpm.w, AY$11,
  _xlpm.r, MATCH(1,('3. Enter Indicator Scores'!$B$10:$B$161=$B38)*('3. Enter Indicator Scores'!$C$10:$C$161=$C38),0),
  _xlpm.c, MATCH(AY$8,'3. Enter Indicator Scores'!$D$8:$CZ$8,0),
  _xlpm.v, IFERROR(INDEX('3. Enter Indicator Scores'!$D$10:$CZ$161,_xlpm.r,_xlpm.c),""),
  IF(OR(_xlpm.w="",_xlpm.v=""),"",_xlpm.v*_xlpm.w)
)</f>
        <v/>
      </c>
      <c r="AZ38" s="93" t="str" cm="1">
        <f t="array" ref="AZ38">_xlfn.LET(
  _xlpm.w, AZ$11,
  _xlpm.r, MATCH(1,('3. Enter Indicator Scores'!$B$10:$B$161=$B38)*('3. Enter Indicator Scores'!$C$10:$C$161=$C38),0),
  _xlpm.c, MATCH(AZ$8,'3. Enter Indicator Scores'!$D$8:$CZ$8,0),
  _xlpm.v, IFERROR(INDEX('3. Enter Indicator Scores'!$D$10:$CZ$161,_xlpm.r,_xlpm.c),""),
  IF(OR(_xlpm.w="",_xlpm.v=""),"",_xlpm.v*_xlpm.w)
)</f>
        <v/>
      </c>
      <c r="BA38" s="93" t="str" cm="1">
        <f t="array" ref="BA38">_xlfn.LET(
  _xlpm.w, BA$11,
  _xlpm.r, MATCH(1,('3. Enter Indicator Scores'!$B$10:$B$161=$B38)*('3. Enter Indicator Scores'!$C$10:$C$161=$C38),0),
  _xlpm.c, MATCH(BA$8,'3. Enter Indicator Scores'!$D$8:$CZ$8,0),
  _xlpm.v, IFERROR(INDEX('3. Enter Indicator Scores'!$D$10:$CZ$161,_xlpm.r,_xlpm.c),""),
  IF(OR(_xlpm.w="",_xlpm.v=""),"",_xlpm.v*_xlpm.w)
)</f>
        <v/>
      </c>
      <c r="BB38" s="93" t="str" cm="1">
        <f t="array" ref="BB38">_xlfn.LET(
  _xlpm.w, BB$11,
  _xlpm.r, MATCH(1,('3. Enter Indicator Scores'!$B$10:$B$161=$B38)*('3. Enter Indicator Scores'!$C$10:$C$161=$C38),0),
  _xlpm.c, MATCH(BB$8,'3. Enter Indicator Scores'!$D$8:$CZ$8,0),
  _xlpm.v, IFERROR(INDEX('3. Enter Indicator Scores'!$D$10:$CZ$161,_xlpm.r,_xlpm.c),""),
  IF(OR(_xlpm.w="",_xlpm.v=""),"",_xlpm.v*_xlpm.w)
)</f>
        <v/>
      </c>
      <c r="BC38" s="93" t="str" cm="1">
        <f t="array" ref="BC38">_xlfn.LET(
  _xlpm.w, BC$11,
  _xlpm.r, MATCH(1,('3. Enter Indicator Scores'!$B$10:$B$161=$B38)*('3. Enter Indicator Scores'!$C$10:$C$161=$C38),0),
  _xlpm.c, MATCH(BC$8,'3. Enter Indicator Scores'!$D$8:$CZ$8,0),
  _xlpm.v, IFERROR(INDEX('3. Enter Indicator Scores'!$D$10:$CZ$161,_xlpm.r,_xlpm.c),""),
  IF(OR(_xlpm.w="",_xlpm.v=""),"",_xlpm.v*_xlpm.w)
)</f>
        <v/>
      </c>
      <c r="BD38" s="93" t="str" cm="1">
        <f t="array" ref="BD38">_xlfn.LET(
  _xlpm.w, BD$11,
  _xlpm.r, MATCH(1,('3. Enter Indicator Scores'!$B$10:$B$161=$B38)*('3. Enter Indicator Scores'!$C$10:$C$161=$C38),0),
  _xlpm.c, MATCH(BD$8,'3. Enter Indicator Scores'!$D$8:$CZ$8,0),
  _xlpm.v, IFERROR(INDEX('3. Enter Indicator Scores'!$D$10:$CZ$161,_xlpm.r,_xlpm.c),""),
  IF(OR(_xlpm.w="",_xlpm.v=""),"",_xlpm.v*_xlpm.w)
)</f>
        <v/>
      </c>
      <c r="BE38" s="93" t="str" cm="1">
        <f t="array" ref="BE38">_xlfn.LET(
  _xlpm.w, BE$11,
  _xlpm.r, MATCH(1,('3. Enter Indicator Scores'!$B$10:$B$161=$B38)*('3. Enter Indicator Scores'!$C$10:$C$161=$C38),0),
  _xlpm.c, MATCH(BE$8,'3. Enter Indicator Scores'!$D$8:$CZ$8,0),
  _xlpm.v, IFERROR(INDEX('3. Enter Indicator Scores'!$D$10:$CZ$161,_xlpm.r,_xlpm.c),""),
  IF(OR(_xlpm.w="",_xlpm.v=""),"",_xlpm.v*_xlpm.w)
)</f>
        <v/>
      </c>
      <c r="BF38" s="93" t="str" cm="1">
        <f t="array" ref="BF38">_xlfn.LET(
  _xlpm.w, BF$11,
  _xlpm.r, MATCH(1,('3. Enter Indicator Scores'!$B$10:$B$161=$B38)*('3. Enter Indicator Scores'!$C$10:$C$161=$C38),0),
  _xlpm.c, MATCH(BF$8,'3. Enter Indicator Scores'!$D$8:$CZ$8,0),
  _xlpm.v, IFERROR(INDEX('3. Enter Indicator Scores'!$D$10:$CZ$161,_xlpm.r,_xlpm.c),""),
  IF(OR(_xlpm.w="",_xlpm.v=""),"",_xlpm.v*_xlpm.w)
)</f>
        <v/>
      </c>
      <c r="BG38" s="93" t="str" cm="1">
        <f t="array" ref="BG38">_xlfn.LET(
  _xlpm.w, BG$11,
  _xlpm.r, MATCH(1,('3. Enter Indicator Scores'!$B$10:$B$161=$B38)*('3. Enter Indicator Scores'!$C$10:$C$161=$C38),0),
  _xlpm.c, MATCH(BG$8,'3. Enter Indicator Scores'!$D$8:$CZ$8,0),
  _xlpm.v, IFERROR(INDEX('3. Enter Indicator Scores'!$D$10:$CZ$161,_xlpm.r,_xlpm.c),""),
  IF(OR(_xlpm.w="",_xlpm.v=""),"",_xlpm.v*_xlpm.w)
)</f>
        <v/>
      </c>
      <c r="BH38" s="93" t="str" cm="1">
        <f t="array" ref="BH38">_xlfn.LET(
  _xlpm.w, BH$11,
  _xlpm.r, MATCH(1,('3. Enter Indicator Scores'!$B$10:$B$161=$B38)*('3. Enter Indicator Scores'!$C$10:$C$161=$C38),0),
  _xlpm.c, MATCH(BH$8,'3. Enter Indicator Scores'!$D$8:$CZ$8,0),
  _xlpm.v, IFERROR(INDEX('3. Enter Indicator Scores'!$D$10:$CZ$161,_xlpm.r,_xlpm.c),""),
  IF(OR(_xlpm.w="",_xlpm.v=""),"",_xlpm.v*_xlpm.w)
)</f>
        <v/>
      </c>
      <c r="BI38" s="93" t="str" cm="1">
        <f t="array" ref="BI38">_xlfn.LET(
  _xlpm.w, BI$11,
  _xlpm.r, MATCH(1,('3. Enter Indicator Scores'!$B$10:$B$161=$B38)*('3. Enter Indicator Scores'!$C$10:$C$161=$C38),0),
  _xlpm.c, MATCH(BI$8,'3. Enter Indicator Scores'!$D$8:$CZ$8,0),
  _xlpm.v, IFERROR(INDEX('3. Enter Indicator Scores'!$D$10:$CZ$161,_xlpm.r,_xlpm.c),""),
  IF(OR(_xlpm.w="",_xlpm.v=""),"",_xlpm.v*_xlpm.w)
)</f>
        <v/>
      </c>
      <c r="BJ38" s="93" t="str" cm="1">
        <f t="array" ref="BJ38">_xlfn.LET(
  _xlpm.w, BJ$11,
  _xlpm.r, MATCH(1,('3. Enter Indicator Scores'!$B$10:$B$161=$B38)*('3. Enter Indicator Scores'!$C$10:$C$161=$C38),0),
  _xlpm.c, MATCH(BJ$8,'3. Enter Indicator Scores'!$D$8:$CZ$8,0),
  _xlpm.v, IFERROR(INDEX('3. Enter Indicator Scores'!$D$10:$CZ$161,_xlpm.r,_xlpm.c),""),
  IF(OR(_xlpm.w="",_xlpm.v=""),"",_xlpm.v*_xlpm.w)
)</f>
        <v/>
      </c>
      <c r="BK38" s="93" t="str" cm="1">
        <f t="array" ref="BK38">_xlfn.LET(
  _xlpm.w, BK$11,
  _xlpm.r, MATCH(1,('3. Enter Indicator Scores'!$B$10:$B$161=$B38)*('3. Enter Indicator Scores'!$C$10:$C$161=$C38),0),
  _xlpm.c, MATCH(BK$8,'3. Enter Indicator Scores'!$D$8:$CZ$8,0),
  _xlpm.v, IFERROR(INDEX('3. Enter Indicator Scores'!$D$10:$CZ$161,_xlpm.r,_xlpm.c),""),
  IF(OR(_xlpm.w="",_xlpm.v=""),"",_xlpm.v*_xlpm.w)
)</f>
        <v/>
      </c>
      <c r="BL38" s="93" t="str" cm="1">
        <f t="array" ref="BL38">_xlfn.LET(
  _xlpm.w, BL$11,
  _xlpm.r, MATCH(1,('3. Enter Indicator Scores'!$B$10:$B$161=$B38)*('3. Enter Indicator Scores'!$C$10:$C$161=$C38),0),
  _xlpm.c, MATCH(BL$8,'3. Enter Indicator Scores'!$D$8:$CZ$8,0),
  _xlpm.v, IFERROR(INDEX('3. Enter Indicator Scores'!$D$10:$CZ$161,_xlpm.r,_xlpm.c),""),
  IF(OR(_xlpm.w="",_xlpm.v=""),"",_xlpm.v*_xlpm.w)
)</f>
        <v/>
      </c>
      <c r="BM38" s="93" t="str" cm="1">
        <f t="array" ref="BM38">_xlfn.LET(
  _xlpm.w, BM$11,
  _xlpm.r, MATCH(1,('3. Enter Indicator Scores'!$B$10:$B$161=$B38)*('3. Enter Indicator Scores'!$C$10:$C$161=$C38),0),
  _xlpm.c, MATCH(BM$8,'3. Enter Indicator Scores'!$D$8:$CZ$8,0),
  _xlpm.v, IFERROR(INDEX('3. Enter Indicator Scores'!$D$10:$CZ$161,_xlpm.r,_xlpm.c),""),
  IF(OR(_xlpm.w="",_xlpm.v=""),"",_xlpm.v*_xlpm.w)
)</f>
        <v/>
      </c>
      <c r="BN38" s="93" t="str" cm="1">
        <f t="array" ref="BN38">_xlfn.LET(
  _xlpm.w, BN$11,
  _xlpm.r, MATCH(1,('3. Enter Indicator Scores'!$B$10:$B$161=$B38)*('3. Enter Indicator Scores'!$C$10:$C$161=$C38),0),
  _xlpm.c, MATCH(BN$8,'3. Enter Indicator Scores'!$D$8:$CZ$8,0),
  _xlpm.v, IFERROR(INDEX('3. Enter Indicator Scores'!$D$10:$CZ$161,_xlpm.r,_xlpm.c),""),
  IF(OR(_xlpm.w="",_xlpm.v=""),"",_xlpm.v*_xlpm.w)
)</f>
        <v/>
      </c>
      <c r="BO38" s="93" t="str" cm="1">
        <f t="array" ref="BO38">_xlfn.LET(
  _xlpm.w, BO$11,
  _xlpm.r, MATCH(1,('3. Enter Indicator Scores'!$B$10:$B$161=$B38)*('3. Enter Indicator Scores'!$C$10:$C$161=$C38),0),
  _xlpm.c, MATCH(BO$8,'3. Enter Indicator Scores'!$D$8:$CZ$8,0),
  _xlpm.v, IFERROR(INDEX('3. Enter Indicator Scores'!$D$10:$CZ$161,_xlpm.r,_xlpm.c),""),
  IF(OR(_xlpm.w="",_xlpm.v=""),"",_xlpm.v*_xlpm.w)
)</f>
        <v/>
      </c>
      <c r="BP38" s="93" t="str" cm="1">
        <f t="array" ref="BP38">_xlfn.LET(
  _xlpm.w, BP$11,
  _xlpm.r, MATCH(1,('3. Enter Indicator Scores'!$B$10:$B$161=$B38)*('3. Enter Indicator Scores'!$C$10:$C$161=$C38),0),
  _xlpm.c, MATCH(BP$8,'3. Enter Indicator Scores'!$D$8:$CZ$8,0),
  _xlpm.v, IFERROR(INDEX('3. Enter Indicator Scores'!$D$10:$CZ$161,_xlpm.r,_xlpm.c),""),
  IF(OR(_xlpm.w="",_xlpm.v=""),"",_xlpm.v*_xlpm.w)
)</f>
        <v/>
      </c>
      <c r="BQ38" s="93" t="str" cm="1">
        <f t="array" ref="BQ38">_xlfn.LET(
  _xlpm.w, BQ$11,
  _xlpm.r, MATCH(1,('3. Enter Indicator Scores'!$B$10:$B$161=$B38)*('3. Enter Indicator Scores'!$C$10:$C$161=$C38),0),
  _xlpm.c, MATCH(BQ$8,'3. Enter Indicator Scores'!$D$8:$CZ$8,0),
  _xlpm.v, IFERROR(INDEX('3. Enter Indicator Scores'!$D$10:$CZ$161,_xlpm.r,_xlpm.c),""),
  IF(OR(_xlpm.w="",_xlpm.v=""),"",_xlpm.v*_xlpm.w)
)</f>
        <v/>
      </c>
      <c r="BR38" s="93" t="str" cm="1">
        <f t="array" ref="BR38">_xlfn.LET(
  _xlpm.w, BR$11,
  _xlpm.r, MATCH(1,('3. Enter Indicator Scores'!$B$10:$B$161=$B38)*('3. Enter Indicator Scores'!$C$10:$C$161=$C38),0),
  _xlpm.c, MATCH(BR$8,'3. Enter Indicator Scores'!$D$8:$CZ$8,0),
  _xlpm.v, IFERROR(INDEX('3. Enter Indicator Scores'!$D$10:$CZ$161,_xlpm.r,_xlpm.c),""),
  IF(OR(_xlpm.w="",_xlpm.v=""),"",_xlpm.v*_xlpm.w)
)</f>
        <v/>
      </c>
      <c r="BS38" s="93" t="str" cm="1">
        <f t="array" ref="BS38">_xlfn.LET(
  _xlpm.w, BS$11,
  _xlpm.r, MATCH(1,('3. Enter Indicator Scores'!$B$10:$B$161=$B38)*('3. Enter Indicator Scores'!$C$10:$C$161=$C38),0),
  _xlpm.c, MATCH(BS$8,'3. Enter Indicator Scores'!$D$8:$CZ$8,0),
  _xlpm.v, IFERROR(INDEX('3. Enter Indicator Scores'!$D$10:$CZ$161,_xlpm.r,_xlpm.c),""),
  IF(OR(_xlpm.w="",_xlpm.v=""),"",_xlpm.v*_xlpm.w)
)</f>
        <v/>
      </c>
      <c r="BT38" s="93" t="str" cm="1">
        <f t="array" ref="BT38">_xlfn.LET(
  _xlpm.w, BT$11,
  _xlpm.r, MATCH(1,('3. Enter Indicator Scores'!$B$10:$B$161=$B38)*('3. Enter Indicator Scores'!$C$10:$C$161=$C38),0),
  _xlpm.c, MATCH(BT$8,'3. Enter Indicator Scores'!$D$8:$CZ$8,0),
  _xlpm.v, IFERROR(INDEX('3. Enter Indicator Scores'!$D$10:$CZ$161,_xlpm.r,_xlpm.c),""),
  IF(OR(_xlpm.w="",_xlpm.v=""),"",_xlpm.v*_xlpm.w)
)</f>
        <v/>
      </c>
      <c r="BU38" s="93" t="str" cm="1">
        <f t="array" ref="BU38">_xlfn.LET(
  _xlpm.w, BU$11,
  _xlpm.r, MATCH(1,('3. Enter Indicator Scores'!$B$10:$B$161=$B38)*('3. Enter Indicator Scores'!$C$10:$C$161=$C38),0),
  _xlpm.c, MATCH(BU$8,'3. Enter Indicator Scores'!$D$8:$CZ$8,0),
  _xlpm.v, IFERROR(INDEX('3. Enter Indicator Scores'!$D$10:$CZ$161,_xlpm.r,_xlpm.c),""),
  IF(OR(_xlpm.w="",_xlpm.v=""),"",_xlpm.v*_xlpm.w)
)</f>
        <v/>
      </c>
      <c r="BV38" s="93" t="str" cm="1">
        <f t="array" ref="BV38">_xlfn.LET(
  _xlpm.w, BV$11,
  _xlpm.r, MATCH(1,('3. Enter Indicator Scores'!$B$10:$B$161=$B38)*('3. Enter Indicator Scores'!$C$10:$C$161=$C38),0),
  _xlpm.c, MATCH(BV$8,'3. Enter Indicator Scores'!$D$8:$CZ$8,0),
  _xlpm.v, IFERROR(INDEX('3. Enter Indicator Scores'!$D$10:$CZ$161,_xlpm.r,_xlpm.c),""),
  IF(OR(_xlpm.w="",_xlpm.v=""),"",_xlpm.v*_xlpm.w)
)</f>
        <v/>
      </c>
      <c r="BW38" s="93" t="str" cm="1">
        <f t="array" ref="BW38">_xlfn.LET(
  _xlpm.w, BW$11,
  _xlpm.r, MATCH(1,('3. Enter Indicator Scores'!$B$10:$B$161=$B38)*('3. Enter Indicator Scores'!$C$10:$C$161=$C38),0),
  _xlpm.c, MATCH(BW$8,'3. Enter Indicator Scores'!$D$8:$CZ$8,0),
  _xlpm.v, IFERROR(INDEX('3. Enter Indicator Scores'!$D$10:$CZ$161,_xlpm.r,_xlpm.c),""),
  IF(OR(_xlpm.w="",_xlpm.v=""),"",_xlpm.v*_xlpm.w)
)</f>
        <v/>
      </c>
      <c r="BX38" s="93" t="str" cm="1">
        <f t="array" ref="BX38">_xlfn.LET(
  _xlpm.w, BX$11,
  _xlpm.r, MATCH(1,('3. Enter Indicator Scores'!$B$10:$B$161=$B38)*('3. Enter Indicator Scores'!$C$10:$C$161=$C38),0),
  _xlpm.c, MATCH(BX$8,'3. Enter Indicator Scores'!$D$8:$CZ$8,0),
  _xlpm.v, IFERROR(INDEX('3. Enter Indicator Scores'!$D$10:$CZ$161,_xlpm.r,_xlpm.c),""),
  IF(OR(_xlpm.w="",_xlpm.v=""),"",_xlpm.v*_xlpm.w)
)</f>
        <v/>
      </c>
      <c r="BY38" s="93" t="str" cm="1">
        <f t="array" ref="BY38">_xlfn.LET(
  _xlpm.w, BY$11,
  _xlpm.r, MATCH(1,('3. Enter Indicator Scores'!$B$10:$B$161=$B38)*('3. Enter Indicator Scores'!$C$10:$C$161=$C38),0),
  _xlpm.c, MATCH(BY$8,'3. Enter Indicator Scores'!$D$8:$CZ$8,0),
  _xlpm.v, IFERROR(INDEX('3. Enter Indicator Scores'!$D$10:$CZ$161,_xlpm.r,_xlpm.c),""),
  IF(OR(_xlpm.w="",_xlpm.v=""),"",_xlpm.v*_xlpm.w)
)</f>
        <v/>
      </c>
      <c r="BZ38" s="93" t="str" cm="1">
        <f t="array" ref="BZ38">_xlfn.LET(
  _xlpm.w, BZ$11,
  _xlpm.r, MATCH(1,('3. Enter Indicator Scores'!$B$10:$B$161=$B38)*('3. Enter Indicator Scores'!$C$10:$C$161=$C38),0),
  _xlpm.c, MATCH(BZ$8,'3. Enter Indicator Scores'!$D$8:$CZ$8,0),
  _xlpm.v, IFERROR(INDEX('3. Enter Indicator Scores'!$D$10:$CZ$161,_xlpm.r,_xlpm.c),""),
  IF(OR(_xlpm.w="",_xlpm.v=""),"",_xlpm.v*_xlpm.w)
)</f>
        <v/>
      </c>
      <c r="CA38" s="93" t="str" cm="1">
        <f t="array" ref="CA38">_xlfn.LET(
  _xlpm.w, CA$11,
  _xlpm.r, MATCH(1,('3. Enter Indicator Scores'!$B$10:$B$161=$B38)*('3. Enter Indicator Scores'!$C$10:$C$161=$C38),0),
  _xlpm.c, MATCH(CA$8,'3. Enter Indicator Scores'!$D$8:$CZ$8,0),
  _xlpm.v, IFERROR(INDEX('3. Enter Indicator Scores'!$D$10:$CZ$161,_xlpm.r,_xlpm.c),""),
  IF(OR(_xlpm.w="",_xlpm.v=""),"",_xlpm.v*_xlpm.w)
)</f>
        <v/>
      </c>
      <c r="CB38" s="93" t="str" cm="1">
        <f t="array" ref="CB38">_xlfn.LET(
  _xlpm.w, CB$11,
  _xlpm.r, MATCH(1,('3. Enter Indicator Scores'!$B$10:$B$161=$B38)*('3. Enter Indicator Scores'!$C$10:$C$161=$C38),0),
  _xlpm.c, MATCH(CB$8,'3. Enter Indicator Scores'!$D$8:$CZ$8,0),
  _xlpm.v, IFERROR(INDEX('3. Enter Indicator Scores'!$D$10:$CZ$161,_xlpm.r,_xlpm.c),""),
  IF(OR(_xlpm.w="",_xlpm.v=""),"",_xlpm.v*_xlpm.w)
)</f>
        <v/>
      </c>
      <c r="CC38" s="93" t="str" cm="1">
        <f t="array" ref="CC38">_xlfn.LET(
  _xlpm.w, CC$11,
  _xlpm.r, MATCH(1,('3. Enter Indicator Scores'!$B$10:$B$161=$B38)*('3. Enter Indicator Scores'!$C$10:$C$161=$C38),0),
  _xlpm.c, MATCH(CC$8,'3. Enter Indicator Scores'!$D$8:$CZ$8,0),
  _xlpm.v, IFERROR(INDEX('3. Enter Indicator Scores'!$D$10:$CZ$161,_xlpm.r,_xlpm.c),""),
  IF(OR(_xlpm.w="",_xlpm.v=""),"",_xlpm.v*_xlpm.w)
)</f>
        <v/>
      </c>
      <c r="CD38" s="93" t="str" cm="1">
        <f t="array" ref="CD38">_xlfn.LET(
  _xlpm.w, CD$11,
  _xlpm.r, MATCH(1,('3. Enter Indicator Scores'!$B$10:$B$161=$B38)*('3. Enter Indicator Scores'!$C$10:$C$161=$C38),0),
  _xlpm.c, MATCH(CD$8,'3. Enter Indicator Scores'!$D$8:$CZ$8,0),
  _xlpm.v, IFERROR(INDEX('3. Enter Indicator Scores'!$D$10:$CZ$161,_xlpm.r,_xlpm.c),""),
  IF(OR(_xlpm.w="",_xlpm.v=""),"",_xlpm.v*_xlpm.w)
)</f>
        <v/>
      </c>
      <c r="CE38" s="93" t="str" cm="1">
        <f t="array" ref="CE38">_xlfn.LET(
  _xlpm.w, CE$11,
  _xlpm.r, MATCH(1,('3. Enter Indicator Scores'!$B$10:$B$161=$B38)*('3. Enter Indicator Scores'!$C$10:$C$161=$C38),0),
  _xlpm.c, MATCH(CE$8,'3. Enter Indicator Scores'!$D$8:$CZ$8,0),
  _xlpm.v, IFERROR(INDEX('3. Enter Indicator Scores'!$D$10:$CZ$161,_xlpm.r,_xlpm.c),""),
  IF(OR(_xlpm.w="",_xlpm.v=""),"",_xlpm.v*_xlpm.w)
)</f>
        <v/>
      </c>
      <c r="CF38" s="93" t="str" cm="1">
        <f t="array" ref="CF38">_xlfn.LET(
  _xlpm.w, CF$11,
  _xlpm.r, MATCH(1,('3. Enter Indicator Scores'!$B$10:$B$161=$B38)*('3. Enter Indicator Scores'!$C$10:$C$161=$C38),0),
  _xlpm.c, MATCH(CF$8,'3. Enter Indicator Scores'!$D$8:$CZ$8,0),
  _xlpm.v, IFERROR(INDEX('3. Enter Indicator Scores'!$D$10:$CZ$161,_xlpm.r,_xlpm.c),""),
  IF(OR(_xlpm.w="",_xlpm.v=""),"",_xlpm.v*_xlpm.w)
)</f>
        <v/>
      </c>
      <c r="CG38" s="93" t="str" cm="1">
        <f t="array" ref="CG38">_xlfn.LET(
  _xlpm.w, CG$11,
  _xlpm.r, MATCH(1,('3. Enter Indicator Scores'!$B$10:$B$161=$B38)*('3. Enter Indicator Scores'!$C$10:$C$161=$C38),0),
  _xlpm.c, MATCH(CG$8,'3. Enter Indicator Scores'!$D$8:$CZ$8,0),
  _xlpm.v, IFERROR(INDEX('3. Enter Indicator Scores'!$D$10:$CZ$161,_xlpm.r,_xlpm.c),""),
  IF(OR(_xlpm.w="",_xlpm.v=""),"",_xlpm.v*_xlpm.w)
)</f>
        <v/>
      </c>
      <c r="CH38" s="93" t="str" cm="1">
        <f t="array" ref="CH38">_xlfn.LET(
  _xlpm.w, CH$11,
  _xlpm.r, MATCH(1,('3. Enter Indicator Scores'!$B$10:$B$161=$B38)*('3. Enter Indicator Scores'!$C$10:$C$161=$C38),0),
  _xlpm.c, MATCH(CH$8,'3. Enter Indicator Scores'!$D$8:$CZ$8,0),
  _xlpm.v, IFERROR(INDEX('3. Enter Indicator Scores'!$D$10:$CZ$161,_xlpm.r,_xlpm.c),""),
  IF(OR(_xlpm.w="",_xlpm.v=""),"",_xlpm.v*_xlpm.w)
)</f>
        <v/>
      </c>
      <c r="CI38" s="93" t="str" cm="1">
        <f t="array" ref="CI38">_xlfn.LET(
  _xlpm.w, CI$11,
  _xlpm.r, MATCH(1,('3. Enter Indicator Scores'!$B$10:$B$161=$B38)*('3. Enter Indicator Scores'!$C$10:$C$161=$C38),0),
  _xlpm.c, MATCH(CI$8,'3. Enter Indicator Scores'!$D$8:$CZ$8,0),
  _xlpm.v, IFERROR(INDEX('3. Enter Indicator Scores'!$D$10:$CZ$161,_xlpm.r,_xlpm.c),""),
  IF(OR(_xlpm.w="",_xlpm.v=""),"",_xlpm.v*_xlpm.w)
)</f>
        <v/>
      </c>
      <c r="CJ38" s="93" t="str" cm="1">
        <f t="array" ref="CJ38">_xlfn.LET(
  _xlpm.w, CJ$11,
  _xlpm.r, MATCH(1,('3. Enter Indicator Scores'!$B$10:$B$161=$B38)*('3. Enter Indicator Scores'!$C$10:$C$161=$C38),0),
  _xlpm.c, MATCH(CJ$8,'3. Enter Indicator Scores'!$D$8:$CZ$8,0),
  _xlpm.v, IFERROR(INDEX('3. Enter Indicator Scores'!$D$10:$CZ$161,_xlpm.r,_xlpm.c),""),
  IF(OR(_xlpm.w="",_xlpm.v=""),"",_xlpm.v*_xlpm.w)
)</f>
        <v/>
      </c>
      <c r="CK38" s="93" t="str" cm="1">
        <f t="array" ref="CK38">_xlfn.LET(
  _xlpm.w, CK$11,
  _xlpm.r, MATCH(1,('3. Enter Indicator Scores'!$B$10:$B$161=$B38)*('3. Enter Indicator Scores'!$C$10:$C$161=$C38),0),
  _xlpm.c, MATCH(CK$8,'3. Enter Indicator Scores'!$D$8:$CZ$8,0),
  _xlpm.v, IFERROR(INDEX('3. Enter Indicator Scores'!$D$10:$CZ$161,_xlpm.r,_xlpm.c),""),
  IF(OR(_xlpm.w="",_xlpm.v=""),"",_xlpm.v*_xlpm.w)
)</f>
        <v/>
      </c>
      <c r="CL38" s="93" t="str" cm="1">
        <f t="array" ref="CL38">_xlfn.LET(
  _xlpm.w, CL$11,
  _xlpm.r, MATCH(1,('3. Enter Indicator Scores'!$B$10:$B$161=$B38)*('3. Enter Indicator Scores'!$C$10:$C$161=$C38),0),
  _xlpm.c, MATCH(CL$8,'3. Enter Indicator Scores'!$D$8:$CZ$8,0),
  _xlpm.v, IFERROR(INDEX('3. Enter Indicator Scores'!$D$10:$CZ$161,_xlpm.r,_xlpm.c),""),
  IF(OR(_xlpm.w="",_xlpm.v=""),"",_xlpm.v*_xlpm.w)
)</f>
        <v/>
      </c>
      <c r="CM38" s="93" t="str" cm="1">
        <f t="array" ref="CM38">_xlfn.LET(
  _xlpm.w, CM$11,
  _xlpm.r, MATCH(1,('3. Enter Indicator Scores'!$B$10:$B$161=$B38)*('3. Enter Indicator Scores'!$C$10:$C$161=$C38),0),
  _xlpm.c, MATCH(CM$8,'3. Enter Indicator Scores'!$D$8:$CZ$8,0),
  _xlpm.v, IFERROR(INDEX('3. Enter Indicator Scores'!$D$10:$CZ$161,_xlpm.r,_xlpm.c),""),
  IF(OR(_xlpm.w="",_xlpm.v=""),"",_xlpm.v*_xlpm.w)
)</f>
        <v/>
      </c>
      <c r="CN38" s="93" t="str" cm="1">
        <f t="array" ref="CN38">_xlfn.LET(
  _xlpm.w, CN$11,
  _xlpm.r, MATCH(1,('3. Enter Indicator Scores'!$B$10:$B$161=$B38)*('3. Enter Indicator Scores'!$C$10:$C$161=$C38),0),
  _xlpm.c, MATCH(CN$8,'3. Enter Indicator Scores'!$D$8:$CZ$8,0),
  _xlpm.v, IFERROR(INDEX('3. Enter Indicator Scores'!$D$10:$CZ$161,_xlpm.r,_xlpm.c),""),
  IF(OR(_xlpm.w="",_xlpm.v=""),"",_xlpm.v*_xlpm.w)
)</f>
        <v/>
      </c>
      <c r="CO38" s="93" t="str" cm="1">
        <f t="array" ref="CO38">_xlfn.LET(
  _xlpm.w, CO$11,
  _xlpm.r, MATCH(1,('3. Enter Indicator Scores'!$B$10:$B$161=$B38)*('3. Enter Indicator Scores'!$C$10:$C$161=$C38),0),
  _xlpm.c, MATCH(CO$8,'3. Enter Indicator Scores'!$D$8:$CZ$8,0),
  _xlpm.v, IFERROR(INDEX('3. Enter Indicator Scores'!$D$10:$CZ$161,_xlpm.r,_xlpm.c),""),
  IF(OR(_xlpm.w="",_xlpm.v=""),"",_xlpm.v*_xlpm.w)
)</f>
        <v/>
      </c>
      <c r="CP38" s="93" t="str" cm="1">
        <f t="array" ref="CP38">_xlfn.LET(
  _xlpm.w, CP$11,
  _xlpm.r, MATCH(1,('3. Enter Indicator Scores'!$B$10:$B$161=$B38)*('3. Enter Indicator Scores'!$C$10:$C$161=$C38),0),
  _xlpm.c, MATCH(CP$8,'3. Enter Indicator Scores'!$D$8:$CZ$8,0),
  _xlpm.v, IFERROR(INDEX('3. Enter Indicator Scores'!$D$10:$CZ$161,_xlpm.r,_xlpm.c),""),
  IF(OR(_xlpm.w="",_xlpm.v=""),"",_xlpm.v*_xlpm.w)
)</f>
        <v/>
      </c>
      <c r="CQ38" s="93" t="str" cm="1">
        <f t="array" ref="CQ38">_xlfn.LET(
  _xlpm.w, CQ$11,
  _xlpm.r, MATCH(1,('3. Enter Indicator Scores'!$B$10:$B$161=$B38)*('3. Enter Indicator Scores'!$C$10:$C$161=$C38),0),
  _xlpm.c, MATCH(CQ$8,'3. Enter Indicator Scores'!$D$8:$CZ$8,0),
  _xlpm.v, IFERROR(INDEX('3. Enter Indicator Scores'!$D$10:$CZ$161,_xlpm.r,_xlpm.c),""),
  IF(OR(_xlpm.w="",_xlpm.v=""),"",_xlpm.v*_xlpm.w)
)</f>
        <v/>
      </c>
      <c r="CR38" s="93" t="str" cm="1">
        <f t="array" ref="CR38">_xlfn.LET(
  _xlpm.w, CR$11,
  _xlpm.r, MATCH(1,('3. Enter Indicator Scores'!$B$10:$B$161=$B38)*('3. Enter Indicator Scores'!$C$10:$C$161=$C38),0),
  _xlpm.c, MATCH(CR$8,'3. Enter Indicator Scores'!$D$8:$CZ$8,0),
  _xlpm.v, IFERROR(INDEX('3. Enter Indicator Scores'!$D$10:$CZ$161,_xlpm.r,_xlpm.c),""),
  IF(OR(_xlpm.w="",_xlpm.v=""),"",_xlpm.v*_xlpm.w)
)</f>
        <v/>
      </c>
      <c r="CS38" s="93" t="str" cm="1">
        <f t="array" ref="CS38">_xlfn.LET(
  _xlpm.w, CS$11,
  _xlpm.r, MATCH(1,('3. Enter Indicator Scores'!$B$10:$B$161=$B38)*('3. Enter Indicator Scores'!$C$10:$C$161=$C38),0),
  _xlpm.c, MATCH(CS$8,'3. Enter Indicator Scores'!$D$8:$CZ$8,0),
  _xlpm.v, IFERROR(INDEX('3. Enter Indicator Scores'!$D$10:$CZ$161,_xlpm.r,_xlpm.c),""),
  IF(OR(_xlpm.w="",_xlpm.v=""),"",_xlpm.v*_xlpm.w)
)</f>
        <v/>
      </c>
      <c r="CT38" s="93" t="str" cm="1">
        <f t="array" ref="CT38">_xlfn.LET(
  _xlpm.w, CT$11,
  _xlpm.r, MATCH(1,('3. Enter Indicator Scores'!$B$10:$B$161=$B38)*('3. Enter Indicator Scores'!$C$10:$C$161=$C38),0),
  _xlpm.c, MATCH(CT$8,'3. Enter Indicator Scores'!$D$8:$CZ$8,0),
  _xlpm.v, IFERROR(INDEX('3. Enter Indicator Scores'!$D$10:$CZ$161,_xlpm.r,_xlpm.c),""),
  IF(OR(_xlpm.w="",_xlpm.v=""),"",_xlpm.v*_xlpm.w)
)</f>
        <v/>
      </c>
      <c r="CU38" s="93" t="str" cm="1">
        <f t="array" ref="CU38">_xlfn.LET(
  _xlpm.w, CU$11,
  _xlpm.r, MATCH(1,('3. Enter Indicator Scores'!$B$10:$B$161=$B38)*('3. Enter Indicator Scores'!$C$10:$C$161=$C38),0),
  _xlpm.c, MATCH(CU$8,'3. Enter Indicator Scores'!$D$8:$CZ$8,0),
  _xlpm.v, IFERROR(INDEX('3. Enter Indicator Scores'!$D$10:$CZ$161,_xlpm.r,_xlpm.c),""),
  IF(OR(_xlpm.w="",_xlpm.v=""),"",_xlpm.v*_xlpm.w)
)</f>
        <v/>
      </c>
      <c r="CV38" s="93" t="str" cm="1">
        <f t="array" ref="CV38">_xlfn.LET(
  _xlpm.w, CV$11,
  _xlpm.r, MATCH(1,('3. Enter Indicator Scores'!$B$10:$B$161=$B38)*('3. Enter Indicator Scores'!$C$10:$C$161=$C38),0),
  _xlpm.c, MATCH(CV$8,'3. Enter Indicator Scores'!$D$8:$CZ$8,0),
  _xlpm.v, IFERROR(INDEX('3. Enter Indicator Scores'!$D$10:$CZ$161,_xlpm.r,_xlpm.c),""),
  IF(OR(_xlpm.w="",_xlpm.v=""),"",_xlpm.v*_xlpm.w)
)</f>
        <v/>
      </c>
      <c r="CW38" s="93" t="str" cm="1">
        <f t="array" ref="CW38">_xlfn.LET(
  _xlpm.w, CW$11,
  _xlpm.r, MATCH(1,('3. Enter Indicator Scores'!$B$10:$B$161=$B38)*('3. Enter Indicator Scores'!$C$10:$C$161=$C38),0),
  _xlpm.c, MATCH(CW$8,'3. Enter Indicator Scores'!$D$8:$CZ$8,0),
  _xlpm.v, IFERROR(INDEX('3. Enter Indicator Scores'!$D$10:$CZ$161,_xlpm.r,_xlpm.c),""),
  IF(OR(_xlpm.w="",_xlpm.v=""),"",_xlpm.v*_xlpm.w)
)</f>
        <v/>
      </c>
      <c r="CX38" s="93" t="str" cm="1">
        <f t="array" ref="CX38">_xlfn.LET(
  _xlpm.w, CX$11,
  _xlpm.r, MATCH(1,('3. Enter Indicator Scores'!$B$10:$B$161=$B38)*('3. Enter Indicator Scores'!$C$10:$C$161=$C38),0),
  _xlpm.c, MATCH(CX$8,'3. Enter Indicator Scores'!$D$8:$CZ$8,0),
  _xlpm.v, IFERROR(INDEX('3. Enter Indicator Scores'!$D$10:$CZ$161,_xlpm.r,_xlpm.c),""),
  IF(OR(_xlpm.w="",_xlpm.v=""),"",_xlpm.v*_xlpm.w)
)</f>
        <v/>
      </c>
      <c r="CY38" s="93" t="str" cm="1">
        <f t="array" ref="CY38">_xlfn.LET(
  _xlpm.w, CY$11,
  _xlpm.r, MATCH(1,('3. Enter Indicator Scores'!$B$10:$B$161=$B38)*('3. Enter Indicator Scores'!$C$10:$C$161=$C38),0),
  _xlpm.c, MATCH(CY$8,'3. Enter Indicator Scores'!$D$8:$CZ$8,0),
  _xlpm.v, IFERROR(INDEX('3. Enter Indicator Scores'!$D$10:$CZ$161,_xlpm.r,_xlpm.c),""),
  IF(OR(_xlpm.w="",_xlpm.v=""),"",_xlpm.v*_xlpm.w)
)</f>
        <v/>
      </c>
      <c r="CZ38" s="93" t="str" cm="1">
        <f t="array" ref="CZ38">_xlfn.LET(
  _xlpm.w, CZ$11,
  _xlpm.r, MATCH(1,('3. Enter Indicator Scores'!$B$10:$B$161=$B38)*('3. Enter Indicator Scores'!$C$10:$C$161=$C38),0),
  _xlpm.c, MATCH(CZ$8,'3. Enter Indicator Scores'!$D$8:$CZ$8,0),
  _xlpm.v, IFERROR(INDEX('3. Enter Indicator Scores'!$D$10:$CZ$161,_xlpm.r,_xlpm.c),""),
  IF(OR(_xlpm.w="",_xlpm.v=""),"",_xlpm.v*_xlpm.w)
)</f>
        <v/>
      </c>
    </row>
    <row r="39" spans="4:104" x14ac:dyDescent="0.2">
      <c r="D39" s="93" t="str" cm="1">
        <f t="array" ref="D39">_xlfn.LET(
  _xlpm.w, D$11,
  _xlpm.r, MATCH(1,('3. Enter Indicator Scores'!$B$10:$B$161=$B39)*('3. Enter Indicator Scores'!$C$10:$C$161=$C39),0),
  _xlpm.c, MATCH(D$8,'3. Enter Indicator Scores'!$D$8:$CZ$8,0),
  _xlpm.v, IFERROR(INDEX('3. Enter Indicator Scores'!$D$10:$CZ$161,_xlpm.r,_xlpm.c),""),
  IF(OR(_xlpm.w="",_xlpm.v=""),"",_xlpm.v*_xlpm.w)
)</f>
        <v/>
      </c>
      <c r="E39" s="93" t="str" cm="1">
        <f t="array" ref="E39">_xlfn.LET(
  _xlpm.w, E$11,
  _xlpm.r, MATCH(1,('3. Enter Indicator Scores'!$B$10:$B$161=$B39)*('3. Enter Indicator Scores'!$C$10:$C$161=$C39),0),
  _xlpm.c, MATCH(E$8,'3. Enter Indicator Scores'!$D$8:$CZ$8,0),
  _xlpm.v, IFERROR(INDEX('3. Enter Indicator Scores'!$D$10:$CZ$161,_xlpm.r,_xlpm.c),""),
  IF(OR(_xlpm.w="",_xlpm.v=""),"",_xlpm.v*_xlpm.w)
)</f>
        <v/>
      </c>
      <c r="F39" s="93" t="str" cm="1">
        <f t="array" ref="F39">_xlfn.LET(
  _xlpm.w, F$11,
  _xlpm.r, MATCH(1,('3. Enter Indicator Scores'!$B$10:$B$161=$B39)*('3. Enter Indicator Scores'!$C$10:$C$161=$C39),0),
  _xlpm.c, MATCH(F$8,'3. Enter Indicator Scores'!$D$8:$CZ$8,0),
  _xlpm.v, IFERROR(INDEX('3. Enter Indicator Scores'!$D$10:$CZ$161,_xlpm.r,_xlpm.c),""),
  IF(OR(_xlpm.w="",_xlpm.v=""),"",_xlpm.v*_xlpm.w)
)</f>
        <v/>
      </c>
      <c r="G39" s="93" t="str" cm="1">
        <f t="array" ref="G39">_xlfn.LET(
  _xlpm.w, G$11,
  _xlpm.r, MATCH(1,('3. Enter Indicator Scores'!$B$10:$B$161=$B39)*('3. Enter Indicator Scores'!$C$10:$C$161=$C39),0),
  _xlpm.c, MATCH(G$8,'3. Enter Indicator Scores'!$D$8:$CZ$8,0),
  _xlpm.v, IFERROR(INDEX('3. Enter Indicator Scores'!$D$10:$CZ$161,_xlpm.r,_xlpm.c),""),
  IF(OR(_xlpm.w="",_xlpm.v=""),"",_xlpm.v*_xlpm.w)
)</f>
        <v/>
      </c>
      <c r="H39" s="93" t="str" cm="1">
        <f t="array" ref="H39">_xlfn.LET(
  _xlpm.w, H$11,
  _xlpm.r, MATCH(1,('3. Enter Indicator Scores'!$B$10:$B$161=$B39)*('3. Enter Indicator Scores'!$C$10:$C$161=$C39),0),
  _xlpm.c, MATCH(H$8,'3. Enter Indicator Scores'!$D$8:$CZ$8,0),
  _xlpm.v, IFERROR(INDEX('3. Enter Indicator Scores'!$D$10:$CZ$161,_xlpm.r,_xlpm.c),""),
  IF(OR(_xlpm.w="",_xlpm.v=""),"",_xlpm.v*_xlpm.w)
)</f>
        <v/>
      </c>
      <c r="I39" s="93" t="str" cm="1">
        <f t="array" ref="I39">_xlfn.LET(
  _xlpm.w, I$11,
  _xlpm.r, MATCH(1,('3. Enter Indicator Scores'!$B$10:$B$161=$B39)*('3. Enter Indicator Scores'!$C$10:$C$161=$C39),0),
  _xlpm.c, MATCH(I$8,'3. Enter Indicator Scores'!$D$8:$CZ$8,0),
  _xlpm.v, IFERROR(INDEX('3. Enter Indicator Scores'!$D$10:$CZ$161,_xlpm.r,_xlpm.c),""),
  IF(OR(_xlpm.w="",_xlpm.v=""),"",_xlpm.v*_xlpm.w)
)</f>
        <v/>
      </c>
      <c r="J39" s="93" t="str" cm="1">
        <f t="array" ref="J39">_xlfn.LET(
  _xlpm.w, J$11,
  _xlpm.r, MATCH(1,('3. Enter Indicator Scores'!$B$10:$B$161=$B39)*('3. Enter Indicator Scores'!$C$10:$C$161=$C39),0),
  _xlpm.c, MATCH(J$8,'3. Enter Indicator Scores'!$D$8:$CZ$8,0),
  _xlpm.v, IFERROR(INDEX('3. Enter Indicator Scores'!$D$10:$CZ$161,_xlpm.r,_xlpm.c),""),
  IF(OR(_xlpm.w="",_xlpm.v=""),"",_xlpm.v*_xlpm.w)
)</f>
        <v/>
      </c>
      <c r="K39" s="93" t="str" cm="1">
        <f t="array" ref="K39">_xlfn.LET(
  _xlpm.w, K$11,
  _xlpm.r, MATCH(1,('3. Enter Indicator Scores'!$B$10:$B$161=$B39)*('3. Enter Indicator Scores'!$C$10:$C$161=$C39),0),
  _xlpm.c, MATCH(K$8,'3. Enter Indicator Scores'!$D$8:$CZ$8,0),
  _xlpm.v, IFERROR(INDEX('3. Enter Indicator Scores'!$D$10:$CZ$161,_xlpm.r,_xlpm.c),""),
  IF(OR(_xlpm.w="",_xlpm.v=""),"",_xlpm.v*_xlpm.w)
)</f>
        <v/>
      </c>
      <c r="L39" s="93" t="str" cm="1">
        <f t="array" ref="L39">_xlfn.LET(
  _xlpm.w, L$11,
  _xlpm.r, MATCH(1,('3. Enter Indicator Scores'!$B$10:$B$161=$B39)*('3. Enter Indicator Scores'!$C$10:$C$161=$C39),0),
  _xlpm.c, MATCH(L$8,'3. Enter Indicator Scores'!$D$8:$CZ$8,0),
  _xlpm.v, IFERROR(INDEX('3. Enter Indicator Scores'!$D$10:$CZ$161,_xlpm.r,_xlpm.c),""),
  IF(OR(_xlpm.w="",_xlpm.v=""),"",_xlpm.v*_xlpm.w)
)</f>
        <v/>
      </c>
      <c r="M39" s="93" t="str" cm="1">
        <f t="array" ref="M39">_xlfn.LET(
  _xlpm.w, M$11,
  _xlpm.r, MATCH(1,('3. Enter Indicator Scores'!$B$10:$B$161=$B39)*('3. Enter Indicator Scores'!$C$10:$C$161=$C39),0),
  _xlpm.c, MATCH(M$8,'3. Enter Indicator Scores'!$D$8:$CZ$8,0),
  _xlpm.v, IFERROR(INDEX('3. Enter Indicator Scores'!$D$10:$CZ$161,_xlpm.r,_xlpm.c),""),
  IF(OR(_xlpm.w="",_xlpm.v=""),"",_xlpm.v*_xlpm.w)
)</f>
        <v/>
      </c>
      <c r="N39" s="93" t="str" cm="1">
        <f t="array" ref="N39">_xlfn.LET(
  _xlpm.w, N$11,
  _xlpm.r, MATCH(1,('3. Enter Indicator Scores'!$B$10:$B$161=$B39)*('3. Enter Indicator Scores'!$C$10:$C$161=$C39),0),
  _xlpm.c, MATCH(N$8,'3. Enter Indicator Scores'!$D$8:$CZ$8,0),
  _xlpm.v, IFERROR(INDEX('3. Enter Indicator Scores'!$D$10:$CZ$161,_xlpm.r,_xlpm.c),""),
  IF(OR(_xlpm.w="",_xlpm.v=""),"",_xlpm.v*_xlpm.w)
)</f>
        <v/>
      </c>
      <c r="O39" s="93" t="str" cm="1">
        <f t="array" ref="O39">_xlfn.LET(
  _xlpm.w, O$11,
  _xlpm.r, MATCH(1,('3. Enter Indicator Scores'!$B$10:$B$161=$B39)*('3. Enter Indicator Scores'!$C$10:$C$161=$C39),0),
  _xlpm.c, MATCH(O$8,'3. Enter Indicator Scores'!$D$8:$CZ$8,0),
  _xlpm.v, IFERROR(INDEX('3. Enter Indicator Scores'!$D$10:$CZ$161,_xlpm.r,_xlpm.c),""),
  IF(OR(_xlpm.w="",_xlpm.v=""),"",_xlpm.v*_xlpm.w)
)</f>
        <v/>
      </c>
      <c r="P39" s="93" t="str" cm="1">
        <f t="array" ref="P39">_xlfn.LET(
  _xlpm.w, P$11,
  _xlpm.r, MATCH(1,('3. Enter Indicator Scores'!$B$10:$B$161=$B39)*('3. Enter Indicator Scores'!$C$10:$C$161=$C39),0),
  _xlpm.c, MATCH(P$8,'3. Enter Indicator Scores'!$D$8:$CZ$8,0),
  _xlpm.v, IFERROR(INDEX('3. Enter Indicator Scores'!$D$10:$CZ$161,_xlpm.r,_xlpm.c),""),
  IF(OR(_xlpm.w="",_xlpm.v=""),"",_xlpm.v*_xlpm.w)
)</f>
        <v/>
      </c>
      <c r="Q39" s="93" t="str" cm="1">
        <f t="array" ref="Q39">_xlfn.LET(
  _xlpm.w, Q$11,
  _xlpm.r, MATCH(1,('3. Enter Indicator Scores'!$B$10:$B$161=$B39)*('3. Enter Indicator Scores'!$C$10:$C$161=$C39),0),
  _xlpm.c, MATCH(Q$8,'3. Enter Indicator Scores'!$D$8:$CZ$8,0),
  _xlpm.v, IFERROR(INDEX('3. Enter Indicator Scores'!$D$10:$CZ$161,_xlpm.r,_xlpm.c),""),
  IF(OR(_xlpm.w="",_xlpm.v=""),"",_xlpm.v*_xlpm.w)
)</f>
        <v/>
      </c>
      <c r="R39" s="93" t="str" cm="1">
        <f t="array" ref="R39">_xlfn.LET(
  _xlpm.w, R$11,
  _xlpm.r, MATCH(1,('3. Enter Indicator Scores'!$B$10:$B$161=$B39)*('3. Enter Indicator Scores'!$C$10:$C$161=$C39),0),
  _xlpm.c, MATCH(R$8,'3. Enter Indicator Scores'!$D$8:$CZ$8,0),
  _xlpm.v, IFERROR(INDEX('3. Enter Indicator Scores'!$D$10:$CZ$161,_xlpm.r,_xlpm.c),""),
  IF(OR(_xlpm.w="",_xlpm.v=""),"",_xlpm.v*_xlpm.w)
)</f>
        <v/>
      </c>
      <c r="S39" s="93" t="str" cm="1">
        <f t="array" ref="S39">_xlfn.LET(
  _xlpm.w, S$11,
  _xlpm.r, MATCH(1,('3. Enter Indicator Scores'!$B$10:$B$161=$B39)*('3. Enter Indicator Scores'!$C$10:$C$161=$C39),0),
  _xlpm.c, MATCH(S$8,'3. Enter Indicator Scores'!$D$8:$CZ$8,0),
  _xlpm.v, IFERROR(INDEX('3. Enter Indicator Scores'!$D$10:$CZ$161,_xlpm.r,_xlpm.c),""),
  IF(OR(_xlpm.w="",_xlpm.v=""),"",_xlpm.v*_xlpm.w)
)</f>
        <v/>
      </c>
      <c r="T39" s="93" t="str" cm="1">
        <f t="array" ref="T39">_xlfn.LET(
  _xlpm.w, T$11,
  _xlpm.r, MATCH(1,('3. Enter Indicator Scores'!$B$10:$B$161=$B39)*('3. Enter Indicator Scores'!$C$10:$C$161=$C39),0),
  _xlpm.c, MATCH(T$8,'3. Enter Indicator Scores'!$D$8:$CZ$8,0),
  _xlpm.v, IFERROR(INDEX('3. Enter Indicator Scores'!$D$10:$CZ$161,_xlpm.r,_xlpm.c),""),
  IF(OR(_xlpm.w="",_xlpm.v=""),"",_xlpm.v*_xlpm.w)
)</f>
        <v/>
      </c>
      <c r="U39" s="93" t="str" cm="1">
        <f t="array" ref="U39">_xlfn.LET(
  _xlpm.w, U$11,
  _xlpm.r, MATCH(1,('3. Enter Indicator Scores'!$B$10:$B$161=$B39)*('3. Enter Indicator Scores'!$C$10:$C$161=$C39),0),
  _xlpm.c, MATCH(U$8,'3. Enter Indicator Scores'!$D$8:$CZ$8,0),
  _xlpm.v, IFERROR(INDEX('3. Enter Indicator Scores'!$D$10:$CZ$161,_xlpm.r,_xlpm.c),""),
  IF(OR(_xlpm.w="",_xlpm.v=""),"",_xlpm.v*_xlpm.w)
)</f>
        <v/>
      </c>
      <c r="V39" s="93" t="str" cm="1">
        <f t="array" ref="V39">_xlfn.LET(
  _xlpm.w, V$11,
  _xlpm.r, MATCH(1,('3. Enter Indicator Scores'!$B$10:$B$161=$B39)*('3. Enter Indicator Scores'!$C$10:$C$161=$C39),0),
  _xlpm.c, MATCH(V$8,'3. Enter Indicator Scores'!$D$8:$CZ$8,0),
  _xlpm.v, IFERROR(INDEX('3. Enter Indicator Scores'!$D$10:$CZ$161,_xlpm.r,_xlpm.c),""),
  IF(OR(_xlpm.w="",_xlpm.v=""),"",_xlpm.v*_xlpm.w)
)</f>
        <v/>
      </c>
      <c r="W39" s="93" t="str" cm="1">
        <f t="array" ref="W39">_xlfn.LET(
  _xlpm.w, W$11,
  _xlpm.r, MATCH(1,('3. Enter Indicator Scores'!$B$10:$B$161=$B39)*('3. Enter Indicator Scores'!$C$10:$C$161=$C39),0),
  _xlpm.c, MATCH(W$8,'3. Enter Indicator Scores'!$D$8:$CZ$8,0),
  _xlpm.v, IFERROR(INDEX('3. Enter Indicator Scores'!$D$10:$CZ$161,_xlpm.r,_xlpm.c),""),
  IF(OR(_xlpm.w="",_xlpm.v=""),"",_xlpm.v*_xlpm.w)
)</f>
        <v/>
      </c>
      <c r="X39" s="93" t="str" cm="1">
        <f t="array" ref="X39">_xlfn.LET(
  _xlpm.w, X$11,
  _xlpm.r, MATCH(1,('3. Enter Indicator Scores'!$B$10:$B$161=$B39)*('3. Enter Indicator Scores'!$C$10:$C$161=$C39),0),
  _xlpm.c, MATCH(X$8,'3. Enter Indicator Scores'!$D$8:$CZ$8,0),
  _xlpm.v, IFERROR(INDEX('3. Enter Indicator Scores'!$D$10:$CZ$161,_xlpm.r,_xlpm.c),""),
  IF(OR(_xlpm.w="",_xlpm.v=""),"",_xlpm.v*_xlpm.w)
)</f>
        <v/>
      </c>
      <c r="Y39" s="93" t="str" cm="1">
        <f t="array" ref="Y39">_xlfn.LET(
  _xlpm.w, Y$11,
  _xlpm.r, MATCH(1,('3. Enter Indicator Scores'!$B$10:$B$161=$B39)*('3. Enter Indicator Scores'!$C$10:$C$161=$C39),0),
  _xlpm.c, MATCH(Y$8,'3. Enter Indicator Scores'!$D$8:$CZ$8,0),
  _xlpm.v, IFERROR(INDEX('3. Enter Indicator Scores'!$D$10:$CZ$161,_xlpm.r,_xlpm.c),""),
  IF(OR(_xlpm.w="",_xlpm.v=""),"",_xlpm.v*_xlpm.w)
)</f>
        <v/>
      </c>
      <c r="Z39" s="93" t="str" cm="1">
        <f t="array" ref="Z39">_xlfn.LET(
  _xlpm.w, Z$11,
  _xlpm.r, MATCH(1,('3. Enter Indicator Scores'!$B$10:$B$161=$B39)*('3. Enter Indicator Scores'!$C$10:$C$161=$C39),0),
  _xlpm.c, MATCH(Z$8,'3. Enter Indicator Scores'!$D$8:$CZ$8,0),
  _xlpm.v, IFERROR(INDEX('3. Enter Indicator Scores'!$D$10:$CZ$161,_xlpm.r,_xlpm.c),""),
  IF(OR(_xlpm.w="",_xlpm.v=""),"",_xlpm.v*_xlpm.w)
)</f>
        <v/>
      </c>
      <c r="AA39" s="93" t="str" cm="1">
        <f t="array" ref="AA39">_xlfn.LET(
  _xlpm.w, AA$11,
  _xlpm.r, MATCH(1,('3. Enter Indicator Scores'!$B$10:$B$161=$B39)*('3. Enter Indicator Scores'!$C$10:$C$161=$C39),0),
  _xlpm.c, MATCH(AA$8,'3. Enter Indicator Scores'!$D$8:$CZ$8,0),
  _xlpm.v, IFERROR(INDEX('3. Enter Indicator Scores'!$D$10:$CZ$161,_xlpm.r,_xlpm.c),""),
  IF(OR(_xlpm.w="",_xlpm.v=""),"",_xlpm.v*_xlpm.w)
)</f>
        <v/>
      </c>
      <c r="AB39" s="93" t="str" cm="1">
        <f t="array" ref="AB39">_xlfn.LET(
  _xlpm.w, AB$11,
  _xlpm.r, MATCH(1,('3. Enter Indicator Scores'!$B$10:$B$161=$B39)*('3. Enter Indicator Scores'!$C$10:$C$161=$C39),0),
  _xlpm.c, MATCH(AB$8,'3. Enter Indicator Scores'!$D$8:$CZ$8,0),
  _xlpm.v, IFERROR(INDEX('3. Enter Indicator Scores'!$D$10:$CZ$161,_xlpm.r,_xlpm.c),""),
  IF(OR(_xlpm.w="",_xlpm.v=""),"",_xlpm.v*_xlpm.w)
)</f>
        <v/>
      </c>
      <c r="AC39" s="93" t="str" cm="1">
        <f t="array" ref="AC39">_xlfn.LET(
  _xlpm.w, AC$11,
  _xlpm.r, MATCH(1,('3. Enter Indicator Scores'!$B$10:$B$161=$B39)*('3. Enter Indicator Scores'!$C$10:$C$161=$C39),0),
  _xlpm.c, MATCH(AC$8,'3. Enter Indicator Scores'!$D$8:$CZ$8,0),
  _xlpm.v, IFERROR(INDEX('3. Enter Indicator Scores'!$D$10:$CZ$161,_xlpm.r,_xlpm.c),""),
  IF(OR(_xlpm.w="",_xlpm.v=""),"",_xlpm.v*_xlpm.w)
)</f>
        <v/>
      </c>
      <c r="AD39" s="93" t="str" cm="1">
        <f t="array" ref="AD39">_xlfn.LET(
  _xlpm.w, AD$11,
  _xlpm.r, MATCH(1,('3. Enter Indicator Scores'!$B$10:$B$161=$B39)*('3. Enter Indicator Scores'!$C$10:$C$161=$C39),0),
  _xlpm.c, MATCH(AD$8,'3. Enter Indicator Scores'!$D$8:$CZ$8,0),
  _xlpm.v, IFERROR(INDEX('3. Enter Indicator Scores'!$D$10:$CZ$161,_xlpm.r,_xlpm.c),""),
  IF(OR(_xlpm.w="",_xlpm.v=""),"",_xlpm.v*_xlpm.w)
)</f>
        <v/>
      </c>
      <c r="AE39" s="93" t="str" cm="1">
        <f t="array" ref="AE39">_xlfn.LET(
  _xlpm.w, AE$11,
  _xlpm.r, MATCH(1,('3. Enter Indicator Scores'!$B$10:$B$161=$B39)*('3. Enter Indicator Scores'!$C$10:$C$161=$C39),0),
  _xlpm.c, MATCH(AE$8,'3. Enter Indicator Scores'!$D$8:$CZ$8,0),
  _xlpm.v, IFERROR(INDEX('3. Enter Indicator Scores'!$D$10:$CZ$161,_xlpm.r,_xlpm.c),""),
  IF(OR(_xlpm.w="",_xlpm.v=""),"",_xlpm.v*_xlpm.w)
)</f>
        <v/>
      </c>
      <c r="AF39" s="93" t="str" cm="1">
        <f t="array" ref="AF39">_xlfn.LET(
  _xlpm.w, AF$11,
  _xlpm.r, MATCH(1,('3. Enter Indicator Scores'!$B$10:$B$161=$B39)*('3. Enter Indicator Scores'!$C$10:$C$161=$C39),0),
  _xlpm.c, MATCH(AF$8,'3. Enter Indicator Scores'!$D$8:$CZ$8,0),
  _xlpm.v, IFERROR(INDEX('3. Enter Indicator Scores'!$D$10:$CZ$161,_xlpm.r,_xlpm.c),""),
  IF(OR(_xlpm.w="",_xlpm.v=""),"",_xlpm.v*_xlpm.w)
)</f>
        <v/>
      </c>
      <c r="AG39" s="93" t="str" cm="1">
        <f t="array" ref="AG39">_xlfn.LET(
  _xlpm.w, AG$11,
  _xlpm.r, MATCH(1,('3. Enter Indicator Scores'!$B$10:$B$161=$B39)*('3. Enter Indicator Scores'!$C$10:$C$161=$C39),0),
  _xlpm.c, MATCH(AG$8,'3. Enter Indicator Scores'!$D$8:$CZ$8,0),
  _xlpm.v, IFERROR(INDEX('3. Enter Indicator Scores'!$D$10:$CZ$161,_xlpm.r,_xlpm.c),""),
  IF(OR(_xlpm.w="",_xlpm.v=""),"",_xlpm.v*_xlpm.w)
)</f>
        <v/>
      </c>
      <c r="AH39" s="93" t="str" cm="1">
        <f t="array" ref="AH39">_xlfn.LET(
  _xlpm.w, AH$11,
  _xlpm.r, MATCH(1,('3. Enter Indicator Scores'!$B$10:$B$161=$B39)*('3. Enter Indicator Scores'!$C$10:$C$161=$C39),0),
  _xlpm.c, MATCH(AH$8,'3. Enter Indicator Scores'!$D$8:$CZ$8,0),
  _xlpm.v, IFERROR(INDEX('3. Enter Indicator Scores'!$D$10:$CZ$161,_xlpm.r,_xlpm.c),""),
  IF(OR(_xlpm.w="",_xlpm.v=""),"",_xlpm.v*_xlpm.w)
)</f>
        <v/>
      </c>
      <c r="AI39" s="93" t="str" cm="1">
        <f t="array" ref="AI39">_xlfn.LET(
  _xlpm.w, AI$11,
  _xlpm.r, MATCH(1,('3. Enter Indicator Scores'!$B$10:$B$161=$B39)*('3. Enter Indicator Scores'!$C$10:$C$161=$C39),0),
  _xlpm.c, MATCH(AI$8,'3. Enter Indicator Scores'!$D$8:$CZ$8,0),
  _xlpm.v, IFERROR(INDEX('3. Enter Indicator Scores'!$D$10:$CZ$161,_xlpm.r,_xlpm.c),""),
  IF(OR(_xlpm.w="",_xlpm.v=""),"",_xlpm.v*_xlpm.w)
)</f>
        <v/>
      </c>
      <c r="AJ39" s="93" t="str" cm="1">
        <f t="array" ref="AJ39">_xlfn.LET(
  _xlpm.w, AJ$11,
  _xlpm.r, MATCH(1,('3. Enter Indicator Scores'!$B$10:$B$161=$B39)*('3. Enter Indicator Scores'!$C$10:$C$161=$C39),0),
  _xlpm.c, MATCH(AJ$8,'3. Enter Indicator Scores'!$D$8:$CZ$8,0),
  _xlpm.v, IFERROR(INDEX('3. Enter Indicator Scores'!$D$10:$CZ$161,_xlpm.r,_xlpm.c),""),
  IF(OR(_xlpm.w="",_xlpm.v=""),"",_xlpm.v*_xlpm.w)
)</f>
        <v/>
      </c>
      <c r="AK39" s="93" t="str" cm="1">
        <f t="array" ref="AK39">_xlfn.LET(
  _xlpm.w, AK$11,
  _xlpm.r, MATCH(1,('3. Enter Indicator Scores'!$B$10:$B$161=$B39)*('3. Enter Indicator Scores'!$C$10:$C$161=$C39),0),
  _xlpm.c, MATCH(AK$8,'3. Enter Indicator Scores'!$D$8:$CZ$8,0),
  _xlpm.v, IFERROR(INDEX('3. Enter Indicator Scores'!$D$10:$CZ$161,_xlpm.r,_xlpm.c),""),
  IF(OR(_xlpm.w="",_xlpm.v=""),"",_xlpm.v*_xlpm.w)
)</f>
        <v/>
      </c>
      <c r="AL39" s="93" t="str" cm="1">
        <f t="array" ref="AL39">_xlfn.LET(
  _xlpm.w, AL$11,
  _xlpm.r, MATCH(1,('3. Enter Indicator Scores'!$B$10:$B$161=$B39)*('3. Enter Indicator Scores'!$C$10:$C$161=$C39),0),
  _xlpm.c, MATCH(AL$8,'3. Enter Indicator Scores'!$D$8:$CZ$8,0),
  _xlpm.v, IFERROR(INDEX('3. Enter Indicator Scores'!$D$10:$CZ$161,_xlpm.r,_xlpm.c),""),
  IF(OR(_xlpm.w="",_xlpm.v=""),"",_xlpm.v*_xlpm.w)
)</f>
        <v/>
      </c>
      <c r="AM39" s="93" t="str" cm="1">
        <f t="array" ref="AM39">_xlfn.LET(
  _xlpm.w, AM$11,
  _xlpm.r, MATCH(1,('3. Enter Indicator Scores'!$B$10:$B$161=$B39)*('3. Enter Indicator Scores'!$C$10:$C$161=$C39),0),
  _xlpm.c, MATCH(AM$8,'3. Enter Indicator Scores'!$D$8:$CZ$8,0),
  _xlpm.v, IFERROR(INDEX('3. Enter Indicator Scores'!$D$10:$CZ$161,_xlpm.r,_xlpm.c),""),
  IF(OR(_xlpm.w="",_xlpm.v=""),"",_xlpm.v*_xlpm.w)
)</f>
        <v/>
      </c>
      <c r="AN39" s="93" t="str" cm="1">
        <f t="array" ref="AN39">_xlfn.LET(
  _xlpm.w, AN$11,
  _xlpm.r, MATCH(1,('3. Enter Indicator Scores'!$B$10:$B$161=$B39)*('3. Enter Indicator Scores'!$C$10:$C$161=$C39),0),
  _xlpm.c, MATCH(AN$8,'3. Enter Indicator Scores'!$D$8:$CZ$8,0),
  _xlpm.v, IFERROR(INDEX('3. Enter Indicator Scores'!$D$10:$CZ$161,_xlpm.r,_xlpm.c),""),
  IF(OR(_xlpm.w="",_xlpm.v=""),"",_xlpm.v*_xlpm.w)
)</f>
        <v/>
      </c>
      <c r="AO39" s="93" t="str" cm="1">
        <f t="array" ref="AO39">_xlfn.LET(
  _xlpm.w, AO$11,
  _xlpm.r, MATCH(1,('3. Enter Indicator Scores'!$B$10:$B$161=$B39)*('3. Enter Indicator Scores'!$C$10:$C$161=$C39),0),
  _xlpm.c, MATCH(AO$8,'3. Enter Indicator Scores'!$D$8:$CZ$8,0),
  _xlpm.v, IFERROR(INDEX('3. Enter Indicator Scores'!$D$10:$CZ$161,_xlpm.r,_xlpm.c),""),
  IF(OR(_xlpm.w="",_xlpm.v=""),"",_xlpm.v*_xlpm.w)
)</f>
        <v/>
      </c>
      <c r="AP39" s="93" t="str" cm="1">
        <f t="array" ref="AP39">_xlfn.LET(
  _xlpm.w, AP$11,
  _xlpm.r, MATCH(1,('3. Enter Indicator Scores'!$B$10:$B$161=$B39)*('3. Enter Indicator Scores'!$C$10:$C$161=$C39),0),
  _xlpm.c, MATCH(AP$8,'3. Enter Indicator Scores'!$D$8:$CZ$8,0),
  _xlpm.v, IFERROR(INDEX('3. Enter Indicator Scores'!$D$10:$CZ$161,_xlpm.r,_xlpm.c),""),
  IF(OR(_xlpm.w="",_xlpm.v=""),"",_xlpm.v*_xlpm.w)
)</f>
        <v/>
      </c>
      <c r="AQ39" s="93" t="str" cm="1">
        <f t="array" ref="AQ39">_xlfn.LET(
  _xlpm.w, AQ$11,
  _xlpm.r, MATCH(1,('3. Enter Indicator Scores'!$B$10:$B$161=$B39)*('3. Enter Indicator Scores'!$C$10:$C$161=$C39),0),
  _xlpm.c, MATCH(AQ$8,'3. Enter Indicator Scores'!$D$8:$CZ$8,0),
  _xlpm.v, IFERROR(INDEX('3. Enter Indicator Scores'!$D$10:$CZ$161,_xlpm.r,_xlpm.c),""),
  IF(OR(_xlpm.w="",_xlpm.v=""),"",_xlpm.v*_xlpm.w)
)</f>
        <v/>
      </c>
      <c r="AR39" s="93" t="str" cm="1">
        <f t="array" ref="AR39">_xlfn.LET(
  _xlpm.w, AR$11,
  _xlpm.r, MATCH(1,('3. Enter Indicator Scores'!$B$10:$B$161=$B39)*('3. Enter Indicator Scores'!$C$10:$C$161=$C39),0),
  _xlpm.c, MATCH(AR$8,'3. Enter Indicator Scores'!$D$8:$CZ$8,0),
  _xlpm.v, IFERROR(INDEX('3. Enter Indicator Scores'!$D$10:$CZ$161,_xlpm.r,_xlpm.c),""),
  IF(OR(_xlpm.w="",_xlpm.v=""),"",_xlpm.v*_xlpm.w)
)</f>
        <v/>
      </c>
      <c r="AS39" s="93" t="str" cm="1">
        <f t="array" ref="AS39">_xlfn.LET(
  _xlpm.w, AS$11,
  _xlpm.r, MATCH(1,('3. Enter Indicator Scores'!$B$10:$B$161=$B39)*('3. Enter Indicator Scores'!$C$10:$C$161=$C39),0),
  _xlpm.c, MATCH(AS$8,'3. Enter Indicator Scores'!$D$8:$CZ$8,0),
  _xlpm.v, IFERROR(INDEX('3. Enter Indicator Scores'!$D$10:$CZ$161,_xlpm.r,_xlpm.c),""),
  IF(OR(_xlpm.w="",_xlpm.v=""),"",_xlpm.v*_xlpm.w)
)</f>
        <v/>
      </c>
      <c r="AT39" s="93" t="str" cm="1">
        <f t="array" ref="AT39">_xlfn.LET(
  _xlpm.w, AT$11,
  _xlpm.r, MATCH(1,('3. Enter Indicator Scores'!$B$10:$B$161=$B39)*('3. Enter Indicator Scores'!$C$10:$C$161=$C39),0),
  _xlpm.c, MATCH(AT$8,'3. Enter Indicator Scores'!$D$8:$CZ$8,0),
  _xlpm.v, IFERROR(INDEX('3. Enter Indicator Scores'!$D$10:$CZ$161,_xlpm.r,_xlpm.c),""),
  IF(OR(_xlpm.w="",_xlpm.v=""),"",_xlpm.v*_xlpm.w)
)</f>
        <v/>
      </c>
      <c r="AU39" s="93" t="str" cm="1">
        <f t="array" ref="AU39">_xlfn.LET(
  _xlpm.w, AU$11,
  _xlpm.r, MATCH(1,('3. Enter Indicator Scores'!$B$10:$B$161=$B39)*('3. Enter Indicator Scores'!$C$10:$C$161=$C39),0),
  _xlpm.c, MATCH(AU$8,'3. Enter Indicator Scores'!$D$8:$CZ$8,0),
  _xlpm.v, IFERROR(INDEX('3. Enter Indicator Scores'!$D$10:$CZ$161,_xlpm.r,_xlpm.c),""),
  IF(OR(_xlpm.w="",_xlpm.v=""),"",_xlpm.v*_xlpm.w)
)</f>
        <v/>
      </c>
      <c r="AV39" s="93" t="str" cm="1">
        <f t="array" ref="AV39">_xlfn.LET(
  _xlpm.w, AV$11,
  _xlpm.r, MATCH(1,('3. Enter Indicator Scores'!$B$10:$B$161=$B39)*('3. Enter Indicator Scores'!$C$10:$C$161=$C39),0),
  _xlpm.c, MATCH(AV$8,'3. Enter Indicator Scores'!$D$8:$CZ$8,0),
  _xlpm.v, IFERROR(INDEX('3. Enter Indicator Scores'!$D$10:$CZ$161,_xlpm.r,_xlpm.c),""),
  IF(OR(_xlpm.w="",_xlpm.v=""),"",_xlpm.v*_xlpm.w)
)</f>
        <v/>
      </c>
      <c r="AW39" s="93" t="str" cm="1">
        <f t="array" ref="AW39">_xlfn.LET(
  _xlpm.w, AW$11,
  _xlpm.r, MATCH(1,('3. Enter Indicator Scores'!$B$10:$B$161=$B39)*('3. Enter Indicator Scores'!$C$10:$C$161=$C39),0),
  _xlpm.c, MATCH(AW$8,'3. Enter Indicator Scores'!$D$8:$CZ$8,0),
  _xlpm.v, IFERROR(INDEX('3. Enter Indicator Scores'!$D$10:$CZ$161,_xlpm.r,_xlpm.c),""),
  IF(OR(_xlpm.w="",_xlpm.v=""),"",_xlpm.v*_xlpm.w)
)</f>
        <v/>
      </c>
      <c r="AX39" s="93" t="str" cm="1">
        <f t="array" ref="AX39">_xlfn.LET(
  _xlpm.w, AX$11,
  _xlpm.r, MATCH(1,('3. Enter Indicator Scores'!$B$10:$B$161=$B39)*('3. Enter Indicator Scores'!$C$10:$C$161=$C39),0),
  _xlpm.c, MATCH(AX$8,'3. Enter Indicator Scores'!$D$8:$CZ$8,0),
  _xlpm.v, IFERROR(INDEX('3. Enter Indicator Scores'!$D$10:$CZ$161,_xlpm.r,_xlpm.c),""),
  IF(OR(_xlpm.w="",_xlpm.v=""),"",_xlpm.v*_xlpm.w)
)</f>
        <v/>
      </c>
      <c r="AY39" s="93" t="str" cm="1">
        <f t="array" ref="AY39">_xlfn.LET(
  _xlpm.w, AY$11,
  _xlpm.r, MATCH(1,('3. Enter Indicator Scores'!$B$10:$B$161=$B39)*('3. Enter Indicator Scores'!$C$10:$C$161=$C39),0),
  _xlpm.c, MATCH(AY$8,'3. Enter Indicator Scores'!$D$8:$CZ$8,0),
  _xlpm.v, IFERROR(INDEX('3. Enter Indicator Scores'!$D$10:$CZ$161,_xlpm.r,_xlpm.c),""),
  IF(OR(_xlpm.w="",_xlpm.v=""),"",_xlpm.v*_xlpm.w)
)</f>
        <v/>
      </c>
      <c r="AZ39" s="93" t="str" cm="1">
        <f t="array" ref="AZ39">_xlfn.LET(
  _xlpm.w, AZ$11,
  _xlpm.r, MATCH(1,('3. Enter Indicator Scores'!$B$10:$B$161=$B39)*('3. Enter Indicator Scores'!$C$10:$C$161=$C39),0),
  _xlpm.c, MATCH(AZ$8,'3. Enter Indicator Scores'!$D$8:$CZ$8,0),
  _xlpm.v, IFERROR(INDEX('3. Enter Indicator Scores'!$D$10:$CZ$161,_xlpm.r,_xlpm.c),""),
  IF(OR(_xlpm.w="",_xlpm.v=""),"",_xlpm.v*_xlpm.w)
)</f>
        <v/>
      </c>
      <c r="BA39" s="93" t="str" cm="1">
        <f t="array" ref="BA39">_xlfn.LET(
  _xlpm.w, BA$11,
  _xlpm.r, MATCH(1,('3. Enter Indicator Scores'!$B$10:$B$161=$B39)*('3. Enter Indicator Scores'!$C$10:$C$161=$C39),0),
  _xlpm.c, MATCH(BA$8,'3. Enter Indicator Scores'!$D$8:$CZ$8,0),
  _xlpm.v, IFERROR(INDEX('3. Enter Indicator Scores'!$D$10:$CZ$161,_xlpm.r,_xlpm.c),""),
  IF(OR(_xlpm.w="",_xlpm.v=""),"",_xlpm.v*_xlpm.w)
)</f>
        <v/>
      </c>
      <c r="BB39" s="93" t="str" cm="1">
        <f t="array" ref="BB39">_xlfn.LET(
  _xlpm.w, BB$11,
  _xlpm.r, MATCH(1,('3. Enter Indicator Scores'!$B$10:$B$161=$B39)*('3. Enter Indicator Scores'!$C$10:$C$161=$C39),0),
  _xlpm.c, MATCH(BB$8,'3. Enter Indicator Scores'!$D$8:$CZ$8,0),
  _xlpm.v, IFERROR(INDEX('3. Enter Indicator Scores'!$D$10:$CZ$161,_xlpm.r,_xlpm.c),""),
  IF(OR(_xlpm.w="",_xlpm.v=""),"",_xlpm.v*_xlpm.w)
)</f>
        <v/>
      </c>
      <c r="BC39" s="93" t="str" cm="1">
        <f t="array" ref="BC39">_xlfn.LET(
  _xlpm.w, BC$11,
  _xlpm.r, MATCH(1,('3. Enter Indicator Scores'!$B$10:$B$161=$B39)*('3. Enter Indicator Scores'!$C$10:$C$161=$C39),0),
  _xlpm.c, MATCH(BC$8,'3. Enter Indicator Scores'!$D$8:$CZ$8,0),
  _xlpm.v, IFERROR(INDEX('3. Enter Indicator Scores'!$D$10:$CZ$161,_xlpm.r,_xlpm.c),""),
  IF(OR(_xlpm.w="",_xlpm.v=""),"",_xlpm.v*_xlpm.w)
)</f>
        <v/>
      </c>
      <c r="BD39" s="93" t="str" cm="1">
        <f t="array" ref="BD39">_xlfn.LET(
  _xlpm.w, BD$11,
  _xlpm.r, MATCH(1,('3. Enter Indicator Scores'!$B$10:$B$161=$B39)*('3. Enter Indicator Scores'!$C$10:$C$161=$C39),0),
  _xlpm.c, MATCH(BD$8,'3. Enter Indicator Scores'!$D$8:$CZ$8,0),
  _xlpm.v, IFERROR(INDEX('3. Enter Indicator Scores'!$D$10:$CZ$161,_xlpm.r,_xlpm.c),""),
  IF(OR(_xlpm.w="",_xlpm.v=""),"",_xlpm.v*_xlpm.w)
)</f>
        <v/>
      </c>
      <c r="BE39" s="93" t="str" cm="1">
        <f t="array" ref="BE39">_xlfn.LET(
  _xlpm.w, BE$11,
  _xlpm.r, MATCH(1,('3. Enter Indicator Scores'!$B$10:$B$161=$B39)*('3. Enter Indicator Scores'!$C$10:$C$161=$C39),0),
  _xlpm.c, MATCH(BE$8,'3. Enter Indicator Scores'!$D$8:$CZ$8,0),
  _xlpm.v, IFERROR(INDEX('3. Enter Indicator Scores'!$D$10:$CZ$161,_xlpm.r,_xlpm.c),""),
  IF(OR(_xlpm.w="",_xlpm.v=""),"",_xlpm.v*_xlpm.w)
)</f>
        <v/>
      </c>
      <c r="BF39" s="93" t="str" cm="1">
        <f t="array" ref="BF39">_xlfn.LET(
  _xlpm.w, BF$11,
  _xlpm.r, MATCH(1,('3. Enter Indicator Scores'!$B$10:$B$161=$B39)*('3. Enter Indicator Scores'!$C$10:$C$161=$C39),0),
  _xlpm.c, MATCH(BF$8,'3. Enter Indicator Scores'!$D$8:$CZ$8,0),
  _xlpm.v, IFERROR(INDEX('3. Enter Indicator Scores'!$D$10:$CZ$161,_xlpm.r,_xlpm.c),""),
  IF(OR(_xlpm.w="",_xlpm.v=""),"",_xlpm.v*_xlpm.w)
)</f>
        <v/>
      </c>
      <c r="BG39" s="93" t="str" cm="1">
        <f t="array" ref="BG39">_xlfn.LET(
  _xlpm.w, BG$11,
  _xlpm.r, MATCH(1,('3. Enter Indicator Scores'!$B$10:$B$161=$B39)*('3. Enter Indicator Scores'!$C$10:$C$161=$C39),0),
  _xlpm.c, MATCH(BG$8,'3. Enter Indicator Scores'!$D$8:$CZ$8,0),
  _xlpm.v, IFERROR(INDEX('3. Enter Indicator Scores'!$D$10:$CZ$161,_xlpm.r,_xlpm.c),""),
  IF(OR(_xlpm.w="",_xlpm.v=""),"",_xlpm.v*_xlpm.w)
)</f>
        <v/>
      </c>
      <c r="BH39" s="93" t="str" cm="1">
        <f t="array" ref="BH39">_xlfn.LET(
  _xlpm.w, BH$11,
  _xlpm.r, MATCH(1,('3. Enter Indicator Scores'!$B$10:$B$161=$B39)*('3. Enter Indicator Scores'!$C$10:$C$161=$C39),0),
  _xlpm.c, MATCH(BH$8,'3. Enter Indicator Scores'!$D$8:$CZ$8,0),
  _xlpm.v, IFERROR(INDEX('3. Enter Indicator Scores'!$D$10:$CZ$161,_xlpm.r,_xlpm.c),""),
  IF(OR(_xlpm.w="",_xlpm.v=""),"",_xlpm.v*_xlpm.w)
)</f>
        <v/>
      </c>
      <c r="BI39" s="93" t="str" cm="1">
        <f t="array" ref="BI39">_xlfn.LET(
  _xlpm.w, BI$11,
  _xlpm.r, MATCH(1,('3. Enter Indicator Scores'!$B$10:$B$161=$B39)*('3. Enter Indicator Scores'!$C$10:$C$161=$C39),0),
  _xlpm.c, MATCH(BI$8,'3. Enter Indicator Scores'!$D$8:$CZ$8,0),
  _xlpm.v, IFERROR(INDEX('3. Enter Indicator Scores'!$D$10:$CZ$161,_xlpm.r,_xlpm.c),""),
  IF(OR(_xlpm.w="",_xlpm.v=""),"",_xlpm.v*_xlpm.w)
)</f>
        <v/>
      </c>
      <c r="BJ39" s="93" t="str" cm="1">
        <f t="array" ref="BJ39">_xlfn.LET(
  _xlpm.w, BJ$11,
  _xlpm.r, MATCH(1,('3. Enter Indicator Scores'!$B$10:$B$161=$B39)*('3. Enter Indicator Scores'!$C$10:$C$161=$C39),0),
  _xlpm.c, MATCH(BJ$8,'3. Enter Indicator Scores'!$D$8:$CZ$8,0),
  _xlpm.v, IFERROR(INDEX('3. Enter Indicator Scores'!$D$10:$CZ$161,_xlpm.r,_xlpm.c),""),
  IF(OR(_xlpm.w="",_xlpm.v=""),"",_xlpm.v*_xlpm.w)
)</f>
        <v/>
      </c>
      <c r="BK39" s="93" t="str" cm="1">
        <f t="array" ref="BK39">_xlfn.LET(
  _xlpm.w, BK$11,
  _xlpm.r, MATCH(1,('3. Enter Indicator Scores'!$B$10:$B$161=$B39)*('3. Enter Indicator Scores'!$C$10:$C$161=$C39),0),
  _xlpm.c, MATCH(BK$8,'3. Enter Indicator Scores'!$D$8:$CZ$8,0),
  _xlpm.v, IFERROR(INDEX('3. Enter Indicator Scores'!$D$10:$CZ$161,_xlpm.r,_xlpm.c),""),
  IF(OR(_xlpm.w="",_xlpm.v=""),"",_xlpm.v*_xlpm.w)
)</f>
        <v/>
      </c>
      <c r="BL39" s="93" t="str" cm="1">
        <f t="array" ref="BL39">_xlfn.LET(
  _xlpm.w, BL$11,
  _xlpm.r, MATCH(1,('3. Enter Indicator Scores'!$B$10:$B$161=$B39)*('3. Enter Indicator Scores'!$C$10:$C$161=$C39),0),
  _xlpm.c, MATCH(BL$8,'3. Enter Indicator Scores'!$D$8:$CZ$8,0),
  _xlpm.v, IFERROR(INDEX('3. Enter Indicator Scores'!$D$10:$CZ$161,_xlpm.r,_xlpm.c),""),
  IF(OR(_xlpm.w="",_xlpm.v=""),"",_xlpm.v*_xlpm.w)
)</f>
        <v/>
      </c>
      <c r="BM39" s="93" t="str" cm="1">
        <f t="array" ref="BM39">_xlfn.LET(
  _xlpm.w, BM$11,
  _xlpm.r, MATCH(1,('3. Enter Indicator Scores'!$B$10:$B$161=$B39)*('3. Enter Indicator Scores'!$C$10:$C$161=$C39),0),
  _xlpm.c, MATCH(BM$8,'3. Enter Indicator Scores'!$D$8:$CZ$8,0),
  _xlpm.v, IFERROR(INDEX('3. Enter Indicator Scores'!$D$10:$CZ$161,_xlpm.r,_xlpm.c),""),
  IF(OR(_xlpm.w="",_xlpm.v=""),"",_xlpm.v*_xlpm.w)
)</f>
        <v/>
      </c>
      <c r="BN39" s="93" t="str" cm="1">
        <f t="array" ref="BN39">_xlfn.LET(
  _xlpm.w, BN$11,
  _xlpm.r, MATCH(1,('3. Enter Indicator Scores'!$B$10:$B$161=$B39)*('3. Enter Indicator Scores'!$C$10:$C$161=$C39),0),
  _xlpm.c, MATCH(BN$8,'3. Enter Indicator Scores'!$D$8:$CZ$8,0),
  _xlpm.v, IFERROR(INDEX('3. Enter Indicator Scores'!$D$10:$CZ$161,_xlpm.r,_xlpm.c),""),
  IF(OR(_xlpm.w="",_xlpm.v=""),"",_xlpm.v*_xlpm.w)
)</f>
        <v/>
      </c>
      <c r="BO39" s="93" t="str" cm="1">
        <f t="array" ref="BO39">_xlfn.LET(
  _xlpm.w, BO$11,
  _xlpm.r, MATCH(1,('3. Enter Indicator Scores'!$B$10:$B$161=$B39)*('3. Enter Indicator Scores'!$C$10:$C$161=$C39),0),
  _xlpm.c, MATCH(BO$8,'3. Enter Indicator Scores'!$D$8:$CZ$8,0),
  _xlpm.v, IFERROR(INDEX('3. Enter Indicator Scores'!$D$10:$CZ$161,_xlpm.r,_xlpm.c),""),
  IF(OR(_xlpm.w="",_xlpm.v=""),"",_xlpm.v*_xlpm.w)
)</f>
        <v/>
      </c>
      <c r="BP39" s="93" t="str" cm="1">
        <f t="array" ref="BP39">_xlfn.LET(
  _xlpm.w, BP$11,
  _xlpm.r, MATCH(1,('3. Enter Indicator Scores'!$B$10:$B$161=$B39)*('3. Enter Indicator Scores'!$C$10:$C$161=$C39),0),
  _xlpm.c, MATCH(BP$8,'3. Enter Indicator Scores'!$D$8:$CZ$8,0),
  _xlpm.v, IFERROR(INDEX('3. Enter Indicator Scores'!$D$10:$CZ$161,_xlpm.r,_xlpm.c),""),
  IF(OR(_xlpm.w="",_xlpm.v=""),"",_xlpm.v*_xlpm.w)
)</f>
        <v/>
      </c>
      <c r="BQ39" s="93" t="str" cm="1">
        <f t="array" ref="BQ39">_xlfn.LET(
  _xlpm.w, BQ$11,
  _xlpm.r, MATCH(1,('3. Enter Indicator Scores'!$B$10:$B$161=$B39)*('3. Enter Indicator Scores'!$C$10:$C$161=$C39),0),
  _xlpm.c, MATCH(BQ$8,'3. Enter Indicator Scores'!$D$8:$CZ$8,0),
  _xlpm.v, IFERROR(INDEX('3. Enter Indicator Scores'!$D$10:$CZ$161,_xlpm.r,_xlpm.c),""),
  IF(OR(_xlpm.w="",_xlpm.v=""),"",_xlpm.v*_xlpm.w)
)</f>
        <v/>
      </c>
      <c r="BR39" s="93" t="str" cm="1">
        <f t="array" ref="BR39">_xlfn.LET(
  _xlpm.w, BR$11,
  _xlpm.r, MATCH(1,('3. Enter Indicator Scores'!$B$10:$B$161=$B39)*('3. Enter Indicator Scores'!$C$10:$C$161=$C39),0),
  _xlpm.c, MATCH(BR$8,'3. Enter Indicator Scores'!$D$8:$CZ$8,0),
  _xlpm.v, IFERROR(INDEX('3. Enter Indicator Scores'!$D$10:$CZ$161,_xlpm.r,_xlpm.c),""),
  IF(OR(_xlpm.w="",_xlpm.v=""),"",_xlpm.v*_xlpm.w)
)</f>
        <v/>
      </c>
      <c r="BS39" s="93" t="str" cm="1">
        <f t="array" ref="BS39">_xlfn.LET(
  _xlpm.w, BS$11,
  _xlpm.r, MATCH(1,('3. Enter Indicator Scores'!$B$10:$B$161=$B39)*('3. Enter Indicator Scores'!$C$10:$C$161=$C39),0),
  _xlpm.c, MATCH(BS$8,'3. Enter Indicator Scores'!$D$8:$CZ$8,0),
  _xlpm.v, IFERROR(INDEX('3. Enter Indicator Scores'!$D$10:$CZ$161,_xlpm.r,_xlpm.c),""),
  IF(OR(_xlpm.w="",_xlpm.v=""),"",_xlpm.v*_xlpm.w)
)</f>
        <v/>
      </c>
      <c r="BT39" s="93" t="str" cm="1">
        <f t="array" ref="BT39">_xlfn.LET(
  _xlpm.w, BT$11,
  _xlpm.r, MATCH(1,('3. Enter Indicator Scores'!$B$10:$B$161=$B39)*('3. Enter Indicator Scores'!$C$10:$C$161=$C39),0),
  _xlpm.c, MATCH(BT$8,'3. Enter Indicator Scores'!$D$8:$CZ$8,0),
  _xlpm.v, IFERROR(INDEX('3. Enter Indicator Scores'!$D$10:$CZ$161,_xlpm.r,_xlpm.c),""),
  IF(OR(_xlpm.w="",_xlpm.v=""),"",_xlpm.v*_xlpm.w)
)</f>
        <v/>
      </c>
      <c r="BU39" s="93" t="str" cm="1">
        <f t="array" ref="BU39">_xlfn.LET(
  _xlpm.w, BU$11,
  _xlpm.r, MATCH(1,('3. Enter Indicator Scores'!$B$10:$B$161=$B39)*('3. Enter Indicator Scores'!$C$10:$C$161=$C39),0),
  _xlpm.c, MATCH(BU$8,'3. Enter Indicator Scores'!$D$8:$CZ$8,0),
  _xlpm.v, IFERROR(INDEX('3. Enter Indicator Scores'!$D$10:$CZ$161,_xlpm.r,_xlpm.c),""),
  IF(OR(_xlpm.w="",_xlpm.v=""),"",_xlpm.v*_xlpm.w)
)</f>
        <v/>
      </c>
      <c r="BV39" s="93" t="str" cm="1">
        <f t="array" ref="BV39">_xlfn.LET(
  _xlpm.w, BV$11,
  _xlpm.r, MATCH(1,('3. Enter Indicator Scores'!$B$10:$B$161=$B39)*('3. Enter Indicator Scores'!$C$10:$C$161=$C39),0),
  _xlpm.c, MATCH(BV$8,'3. Enter Indicator Scores'!$D$8:$CZ$8,0),
  _xlpm.v, IFERROR(INDEX('3. Enter Indicator Scores'!$D$10:$CZ$161,_xlpm.r,_xlpm.c),""),
  IF(OR(_xlpm.w="",_xlpm.v=""),"",_xlpm.v*_xlpm.w)
)</f>
        <v/>
      </c>
      <c r="BW39" s="93" t="str" cm="1">
        <f t="array" ref="BW39">_xlfn.LET(
  _xlpm.w, BW$11,
  _xlpm.r, MATCH(1,('3. Enter Indicator Scores'!$B$10:$B$161=$B39)*('3. Enter Indicator Scores'!$C$10:$C$161=$C39),0),
  _xlpm.c, MATCH(BW$8,'3. Enter Indicator Scores'!$D$8:$CZ$8,0),
  _xlpm.v, IFERROR(INDEX('3. Enter Indicator Scores'!$D$10:$CZ$161,_xlpm.r,_xlpm.c),""),
  IF(OR(_xlpm.w="",_xlpm.v=""),"",_xlpm.v*_xlpm.w)
)</f>
        <v/>
      </c>
      <c r="BX39" s="93" t="str" cm="1">
        <f t="array" ref="BX39">_xlfn.LET(
  _xlpm.w, BX$11,
  _xlpm.r, MATCH(1,('3. Enter Indicator Scores'!$B$10:$B$161=$B39)*('3. Enter Indicator Scores'!$C$10:$C$161=$C39),0),
  _xlpm.c, MATCH(BX$8,'3. Enter Indicator Scores'!$D$8:$CZ$8,0),
  _xlpm.v, IFERROR(INDEX('3. Enter Indicator Scores'!$D$10:$CZ$161,_xlpm.r,_xlpm.c),""),
  IF(OR(_xlpm.w="",_xlpm.v=""),"",_xlpm.v*_xlpm.w)
)</f>
        <v/>
      </c>
      <c r="BY39" s="93" t="str" cm="1">
        <f t="array" ref="BY39">_xlfn.LET(
  _xlpm.w, BY$11,
  _xlpm.r, MATCH(1,('3. Enter Indicator Scores'!$B$10:$B$161=$B39)*('3. Enter Indicator Scores'!$C$10:$C$161=$C39),0),
  _xlpm.c, MATCH(BY$8,'3. Enter Indicator Scores'!$D$8:$CZ$8,0),
  _xlpm.v, IFERROR(INDEX('3. Enter Indicator Scores'!$D$10:$CZ$161,_xlpm.r,_xlpm.c),""),
  IF(OR(_xlpm.w="",_xlpm.v=""),"",_xlpm.v*_xlpm.w)
)</f>
        <v/>
      </c>
      <c r="BZ39" s="93" t="str" cm="1">
        <f t="array" ref="BZ39">_xlfn.LET(
  _xlpm.w, BZ$11,
  _xlpm.r, MATCH(1,('3. Enter Indicator Scores'!$B$10:$B$161=$B39)*('3. Enter Indicator Scores'!$C$10:$C$161=$C39),0),
  _xlpm.c, MATCH(BZ$8,'3. Enter Indicator Scores'!$D$8:$CZ$8,0),
  _xlpm.v, IFERROR(INDEX('3. Enter Indicator Scores'!$D$10:$CZ$161,_xlpm.r,_xlpm.c),""),
  IF(OR(_xlpm.w="",_xlpm.v=""),"",_xlpm.v*_xlpm.w)
)</f>
        <v/>
      </c>
      <c r="CA39" s="93" t="str" cm="1">
        <f t="array" ref="CA39">_xlfn.LET(
  _xlpm.w, CA$11,
  _xlpm.r, MATCH(1,('3. Enter Indicator Scores'!$B$10:$B$161=$B39)*('3. Enter Indicator Scores'!$C$10:$C$161=$C39),0),
  _xlpm.c, MATCH(CA$8,'3. Enter Indicator Scores'!$D$8:$CZ$8,0),
  _xlpm.v, IFERROR(INDEX('3. Enter Indicator Scores'!$D$10:$CZ$161,_xlpm.r,_xlpm.c),""),
  IF(OR(_xlpm.w="",_xlpm.v=""),"",_xlpm.v*_xlpm.w)
)</f>
        <v/>
      </c>
      <c r="CB39" s="93" t="str" cm="1">
        <f t="array" ref="CB39">_xlfn.LET(
  _xlpm.w, CB$11,
  _xlpm.r, MATCH(1,('3. Enter Indicator Scores'!$B$10:$B$161=$B39)*('3. Enter Indicator Scores'!$C$10:$C$161=$C39),0),
  _xlpm.c, MATCH(CB$8,'3. Enter Indicator Scores'!$D$8:$CZ$8,0),
  _xlpm.v, IFERROR(INDEX('3. Enter Indicator Scores'!$D$10:$CZ$161,_xlpm.r,_xlpm.c),""),
  IF(OR(_xlpm.w="",_xlpm.v=""),"",_xlpm.v*_xlpm.w)
)</f>
        <v/>
      </c>
      <c r="CC39" s="93" t="str" cm="1">
        <f t="array" ref="CC39">_xlfn.LET(
  _xlpm.w, CC$11,
  _xlpm.r, MATCH(1,('3. Enter Indicator Scores'!$B$10:$B$161=$B39)*('3. Enter Indicator Scores'!$C$10:$C$161=$C39),0),
  _xlpm.c, MATCH(CC$8,'3. Enter Indicator Scores'!$D$8:$CZ$8,0),
  _xlpm.v, IFERROR(INDEX('3. Enter Indicator Scores'!$D$10:$CZ$161,_xlpm.r,_xlpm.c),""),
  IF(OR(_xlpm.w="",_xlpm.v=""),"",_xlpm.v*_xlpm.w)
)</f>
        <v/>
      </c>
      <c r="CD39" s="93" t="str" cm="1">
        <f t="array" ref="CD39">_xlfn.LET(
  _xlpm.w, CD$11,
  _xlpm.r, MATCH(1,('3. Enter Indicator Scores'!$B$10:$B$161=$B39)*('3. Enter Indicator Scores'!$C$10:$C$161=$C39),0),
  _xlpm.c, MATCH(CD$8,'3. Enter Indicator Scores'!$D$8:$CZ$8,0),
  _xlpm.v, IFERROR(INDEX('3. Enter Indicator Scores'!$D$10:$CZ$161,_xlpm.r,_xlpm.c),""),
  IF(OR(_xlpm.w="",_xlpm.v=""),"",_xlpm.v*_xlpm.w)
)</f>
        <v/>
      </c>
      <c r="CE39" s="93" t="str" cm="1">
        <f t="array" ref="CE39">_xlfn.LET(
  _xlpm.w, CE$11,
  _xlpm.r, MATCH(1,('3. Enter Indicator Scores'!$B$10:$B$161=$B39)*('3. Enter Indicator Scores'!$C$10:$C$161=$C39),0),
  _xlpm.c, MATCH(CE$8,'3. Enter Indicator Scores'!$D$8:$CZ$8,0),
  _xlpm.v, IFERROR(INDEX('3. Enter Indicator Scores'!$D$10:$CZ$161,_xlpm.r,_xlpm.c),""),
  IF(OR(_xlpm.w="",_xlpm.v=""),"",_xlpm.v*_xlpm.w)
)</f>
        <v/>
      </c>
      <c r="CF39" s="93" t="str" cm="1">
        <f t="array" ref="CF39">_xlfn.LET(
  _xlpm.w, CF$11,
  _xlpm.r, MATCH(1,('3. Enter Indicator Scores'!$B$10:$B$161=$B39)*('3. Enter Indicator Scores'!$C$10:$C$161=$C39),0),
  _xlpm.c, MATCH(CF$8,'3. Enter Indicator Scores'!$D$8:$CZ$8,0),
  _xlpm.v, IFERROR(INDEX('3. Enter Indicator Scores'!$D$10:$CZ$161,_xlpm.r,_xlpm.c),""),
  IF(OR(_xlpm.w="",_xlpm.v=""),"",_xlpm.v*_xlpm.w)
)</f>
        <v/>
      </c>
      <c r="CG39" s="93" t="str" cm="1">
        <f t="array" ref="CG39">_xlfn.LET(
  _xlpm.w, CG$11,
  _xlpm.r, MATCH(1,('3. Enter Indicator Scores'!$B$10:$B$161=$B39)*('3. Enter Indicator Scores'!$C$10:$C$161=$C39),0),
  _xlpm.c, MATCH(CG$8,'3. Enter Indicator Scores'!$D$8:$CZ$8,0),
  _xlpm.v, IFERROR(INDEX('3. Enter Indicator Scores'!$D$10:$CZ$161,_xlpm.r,_xlpm.c),""),
  IF(OR(_xlpm.w="",_xlpm.v=""),"",_xlpm.v*_xlpm.w)
)</f>
        <v/>
      </c>
      <c r="CH39" s="93" t="str" cm="1">
        <f t="array" ref="CH39">_xlfn.LET(
  _xlpm.w, CH$11,
  _xlpm.r, MATCH(1,('3. Enter Indicator Scores'!$B$10:$B$161=$B39)*('3. Enter Indicator Scores'!$C$10:$C$161=$C39),0),
  _xlpm.c, MATCH(CH$8,'3. Enter Indicator Scores'!$D$8:$CZ$8,0),
  _xlpm.v, IFERROR(INDEX('3. Enter Indicator Scores'!$D$10:$CZ$161,_xlpm.r,_xlpm.c),""),
  IF(OR(_xlpm.w="",_xlpm.v=""),"",_xlpm.v*_xlpm.w)
)</f>
        <v/>
      </c>
      <c r="CI39" s="93" t="str" cm="1">
        <f t="array" ref="CI39">_xlfn.LET(
  _xlpm.w, CI$11,
  _xlpm.r, MATCH(1,('3. Enter Indicator Scores'!$B$10:$B$161=$B39)*('3. Enter Indicator Scores'!$C$10:$C$161=$C39),0),
  _xlpm.c, MATCH(CI$8,'3. Enter Indicator Scores'!$D$8:$CZ$8,0),
  _xlpm.v, IFERROR(INDEX('3. Enter Indicator Scores'!$D$10:$CZ$161,_xlpm.r,_xlpm.c),""),
  IF(OR(_xlpm.w="",_xlpm.v=""),"",_xlpm.v*_xlpm.w)
)</f>
        <v/>
      </c>
      <c r="CJ39" s="93" t="str" cm="1">
        <f t="array" ref="CJ39">_xlfn.LET(
  _xlpm.w, CJ$11,
  _xlpm.r, MATCH(1,('3. Enter Indicator Scores'!$B$10:$B$161=$B39)*('3. Enter Indicator Scores'!$C$10:$C$161=$C39),0),
  _xlpm.c, MATCH(CJ$8,'3. Enter Indicator Scores'!$D$8:$CZ$8,0),
  _xlpm.v, IFERROR(INDEX('3. Enter Indicator Scores'!$D$10:$CZ$161,_xlpm.r,_xlpm.c),""),
  IF(OR(_xlpm.w="",_xlpm.v=""),"",_xlpm.v*_xlpm.w)
)</f>
        <v/>
      </c>
      <c r="CK39" s="93" t="str" cm="1">
        <f t="array" ref="CK39">_xlfn.LET(
  _xlpm.w, CK$11,
  _xlpm.r, MATCH(1,('3. Enter Indicator Scores'!$B$10:$B$161=$B39)*('3. Enter Indicator Scores'!$C$10:$C$161=$C39),0),
  _xlpm.c, MATCH(CK$8,'3. Enter Indicator Scores'!$D$8:$CZ$8,0),
  _xlpm.v, IFERROR(INDEX('3. Enter Indicator Scores'!$D$10:$CZ$161,_xlpm.r,_xlpm.c),""),
  IF(OR(_xlpm.w="",_xlpm.v=""),"",_xlpm.v*_xlpm.w)
)</f>
        <v/>
      </c>
      <c r="CL39" s="93" t="str" cm="1">
        <f t="array" ref="CL39">_xlfn.LET(
  _xlpm.w, CL$11,
  _xlpm.r, MATCH(1,('3. Enter Indicator Scores'!$B$10:$B$161=$B39)*('3. Enter Indicator Scores'!$C$10:$C$161=$C39),0),
  _xlpm.c, MATCH(CL$8,'3. Enter Indicator Scores'!$D$8:$CZ$8,0),
  _xlpm.v, IFERROR(INDEX('3. Enter Indicator Scores'!$D$10:$CZ$161,_xlpm.r,_xlpm.c),""),
  IF(OR(_xlpm.w="",_xlpm.v=""),"",_xlpm.v*_xlpm.w)
)</f>
        <v/>
      </c>
      <c r="CM39" s="93" t="str" cm="1">
        <f t="array" ref="CM39">_xlfn.LET(
  _xlpm.w, CM$11,
  _xlpm.r, MATCH(1,('3. Enter Indicator Scores'!$B$10:$B$161=$B39)*('3. Enter Indicator Scores'!$C$10:$C$161=$C39),0),
  _xlpm.c, MATCH(CM$8,'3. Enter Indicator Scores'!$D$8:$CZ$8,0),
  _xlpm.v, IFERROR(INDEX('3. Enter Indicator Scores'!$D$10:$CZ$161,_xlpm.r,_xlpm.c),""),
  IF(OR(_xlpm.w="",_xlpm.v=""),"",_xlpm.v*_xlpm.w)
)</f>
        <v/>
      </c>
      <c r="CN39" s="93" t="str" cm="1">
        <f t="array" ref="CN39">_xlfn.LET(
  _xlpm.w, CN$11,
  _xlpm.r, MATCH(1,('3. Enter Indicator Scores'!$B$10:$B$161=$B39)*('3. Enter Indicator Scores'!$C$10:$C$161=$C39),0),
  _xlpm.c, MATCH(CN$8,'3. Enter Indicator Scores'!$D$8:$CZ$8,0),
  _xlpm.v, IFERROR(INDEX('3. Enter Indicator Scores'!$D$10:$CZ$161,_xlpm.r,_xlpm.c),""),
  IF(OR(_xlpm.w="",_xlpm.v=""),"",_xlpm.v*_xlpm.w)
)</f>
        <v/>
      </c>
      <c r="CO39" s="93" t="str" cm="1">
        <f t="array" ref="CO39">_xlfn.LET(
  _xlpm.w, CO$11,
  _xlpm.r, MATCH(1,('3. Enter Indicator Scores'!$B$10:$B$161=$B39)*('3. Enter Indicator Scores'!$C$10:$C$161=$C39),0),
  _xlpm.c, MATCH(CO$8,'3. Enter Indicator Scores'!$D$8:$CZ$8,0),
  _xlpm.v, IFERROR(INDEX('3. Enter Indicator Scores'!$D$10:$CZ$161,_xlpm.r,_xlpm.c),""),
  IF(OR(_xlpm.w="",_xlpm.v=""),"",_xlpm.v*_xlpm.w)
)</f>
        <v/>
      </c>
      <c r="CP39" s="93" t="str" cm="1">
        <f t="array" ref="CP39">_xlfn.LET(
  _xlpm.w, CP$11,
  _xlpm.r, MATCH(1,('3. Enter Indicator Scores'!$B$10:$B$161=$B39)*('3. Enter Indicator Scores'!$C$10:$C$161=$C39),0),
  _xlpm.c, MATCH(CP$8,'3. Enter Indicator Scores'!$D$8:$CZ$8,0),
  _xlpm.v, IFERROR(INDEX('3. Enter Indicator Scores'!$D$10:$CZ$161,_xlpm.r,_xlpm.c),""),
  IF(OR(_xlpm.w="",_xlpm.v=""),"",_xlpm.v*_xlpm.w)
)</f>
        <v/>
      </c>
      <c r="CQ39" s="93" t="str" cm="1">
        <f t="array" ref="CQ39">_xlfn.LET(
  _xlpm.w, CQ$11,
  _xlpm.r, MATCH(1,('3. Enter Indicator Scores'!$B$10:$B$161=$B39)*('3. Enter Indicator Scores'!$C$10:$C$161=$C39),0),
  _xlpm.c, MATCH(CQ$8,'3. Enter Indicator Scores'!$D$8:$CZ$8,0),
  _xlpm.v, IFERROR(INDEX('3. Enter Indicator Scores'!$D$10:$CZ$161,_xlpm.r,_xlpm.c),""),
  IF(OR(_xlpm.w="",_xlpm.v=""),"",_xlpm.v*_xlpm.w)
)</f>
        <v/>
      </c>
      <c r="CR39" s="93" t="str" cm="1">
        <f t="array" ref="CR39">_xlfn.LET(
  _xlpm.w, CR$11,
  _xlpm.r, MATCH(1,('3. Enter Indicator Scores'!$B$10:$B$161=$B39)*('3. Enter Indicator Scores'!$C$10:$C$161=$C39),0),
  _xlpm.c, MATCH(CR$8,'3. Enter Indicator Scores'!$D$8:$CZ$8,0),
  _xlpm.v, IFERROR(INDEX('3. Enter Indicator Scores'!$D$10:$CZ$161,_xlpm.r,_xlpm.c),""),
  IF(OR(_xlpm.w="",_xlpm.v=""),"",_xlpm.v*_xlpm.w)
)</f>
        <v/>
      </c>
      <c r="CS39" s="93" t="str" cm="1">
        <f t="array" ref="CS39">_xlfn.LET(
  _xlpm.w, CS$11,
  _xlpm.r, MATCH(1,('3. Enter Indicator Scores'!$B$10:$B$161=$B39)*('3. Enter Indicator Scores'!$C$10:$C$161=$C39),0),
  _xlpm.c, MATCH(CS$8,'3. Enter Indicator Scores'!$D$8:$CZ$8,0),
  _xlpm.v, IFERROR(INDEX('3. Enter Indicator Scores'!$D$10:$CZ$161,_xlpm.r,_xlpm.c),""),
  IF(OR(_xlpm.w="",_xlpm.v=""),"",_xlpm.v*_xlpm.w)
)</f>
        <v/>
      </c>
      <c r="CT39" s="93" t="str" cm="1">
        <f t="array" ref="CT39">_xlfn.LET(
  _xlpm.w, CT$11,
  _xlpm.r, MATCH(1,('3. Enter Indicator Scores'!$B$10:$B$161=$B39)*('3. Enter Indicator Scores'!$C$10:$C$161=$C39),0),
  _xlpm.c, MATCH(CT$8,'3. Enter Indicator Scores'!$D$8:$CZ$8,0),
  _xlpm.v, IFERROR(INDEX('3. Enter Indicator Scores'!$D$10:$CZ$161,_xlpm.r,_xlpm.c),""),
  IF(OR(_xlpm.w="",_xlpm.v=""),"",_xlpm.v*_xlpm.w)
)</f>
        <v/>
      </c>
      <c r="CU39" s="93" t="str" cm="1">
        <f t="array" ref="CU39">_xlfn.LET(
  _xlpm.w, CU$11,
  _xlpm.r, MATCH(1,('3. Enter Indicator Scores'!$B$10:$B$161=$B39)*('3. Enter Indicator Scores'!$C$10:$C$161=$C39),0),
  _xlpm.c, MATCH(CU$8,'3. Enter Indicator Scores'!$D$8:$CZ$8,0),
  _xlpm.v, IFERROR(INDEX('3. Enter Indicator Scores'!$D$10:$CZ$161,_xlpm.r,_xlpm.c),""),
  IF(OR(_xlpm.w="",_xlpm.v=""),"",_xlpm.v*_xlpm.w)
)</f>
        <v/>
      </c>
      <c r="CV39" s="93" t="str" cm="1">
        <f t="array" ref="CV39">_xlfn.LET(
  _xlpm.w, CV$11,
  _xlpm.r, MATCH(1,('3. Enter Indicator Scores'!$B$10:$B$161=$B39)*('3. Enter Indicator Scores'!$C$10:$C$161=$C39),0),
  _xlpm.c, MATCH(CV$8,'3. Enter Indicator Scores'!$D$8:$CZ$8,0),
  _xlpm.v, IFERROR(INDEX('3. Enter Indicator Scores'!$D$10:$CZ$161,_xlpm.r,_xlpm.c),""),
  IF(OR(_xlpm.w="",_xlpm.v=""),"",_xlpm.v*_xlpm.w)
)</f>
        <v/>
      </c>
      <c r="CW39" s="93" t="str" cm="1">
        <f t="array" ref="CW39">_xlfn.LET(
  _xlpm.w, CW$11,
  _xlpm.r, MATCH(1,('3. Enter Indicator Scores'!$B$10:$B$161=$B39)*('3. Enter Indicator Scores'!$C$10:$C$161=$C39),0),
  _xlpm.c, MATCH(CW$8,'3. Enter Indicator Scores'!$D$8:$CZ$8,0),
  _xlpm.v, IFERROR(INDEX('3. Enter Indicator Scores'!$D$10:$CZ$161,_xlpm.r,_xlpm.c),""),
  IF(OR(_xlpm.w="",_xlpm.v=""),"",_xlpm.v*_xlpm.w)
)</f>
        <v/>
      </c>
      <c r="CX39" s="93" t="str" cm="1">
        <f t="array" ref="CX39">_xlfn.LET(
  _xlpm.w, CX$11,
  _xlpm.r, MATCH(1,('3. Enter Indicator Scores'!$B$10:$B$161=$B39)*('3. Enter Indicator Scores'!$C$10:$C$161=$C39),0),
  _xlpm.c, MATCH(CX$8,'3. Enter Indicator Scores'!$D$8:$CZ$8,0),
  _xlpm.v, IFERROR(INDEX('3. Enter Indicator Scores'!$D$10:$CZ$161,_xlpm.r,_xlpm.c),""),
  IF(OR(_xlpm.w="",_xlpm.v=""),"",_xlpm.v*_xlpm.w)
)</f>
        <v/>
      </c>
      <c r="CY39" s="93" t="str" cm="1">
        <f t="array" ref="CY39">_xlfn.LET(
  _xlpm.w, CY$11,
  _xlpm.r, MATCH(1,('3. Enter Indicator Scores'!$B$10:$B$161=$B39)*('3. Enter Indicator Scores'!$C$10:$C$161=$C39),0),
  _xlpm.c, MATCH(CY$8,'3. Enter Indicator Scores'!$D$8:$CZ$8,0),
  _xlpm.v, IFERROR(INDEX('3. Enter Indicator Scores'!$D$10:$CZ$161,_xlpm.r,_xlpm.c),""),
  IF(OR(_xlpm.w="",_xlpm.v=""),"",_xlpm.v*_xlpm.w)
)</f>
        <v/>
      </c>
      <c r="CZ39" s="93" t="str" cm="1">
        <f t="array" ref="CZ39">_xlfn.LET(
  _xlpm.w, CZ$11,
  _xlpm.r, MATCH(1,('3. Enter Indicator Scores'!$B$10:$B$161=$B39)*('3. Enter Indicator Scores'!$C$10:$C$161=$C39),0),
  _xlpm.c, MATCH(CZ$8,'3. Enter Indicator Scores'!$D$8:$CZ$8,0),
  _xlpm.v, IFERROR(INDEX('3. Enter Indicator Scores'!$D$10:$CZ$161,_xlpm.r,_xlpm.c),""),
  IF(OR(_xlpm.w="",_xlpm.v=""),"",_xlpm.v*_xlpm.w)
)</f>
        <v/>
      </c>
    </row>
    <row r="40" spans="4:104" x14ac:dyDescent="0.2">
      <c r="D40" s="93" t="str" cm="1">
        <f t="array" ref="D40">_xlfn.LET(
  _xlpm.w, D$11,
  _xlpm.r, MATCH(1,('3. Enter Indicator Scores'!$B$10:$B$161=$B40)*('3. Enter Indicator Scores'!$C$10:$C$161=$C40),0),
  _xlpm.c, MATCH(D$8,'3. Enter Indicator Scores'!$D$8:$CZ$8,0),
  _xlpm.v, IFERROR(INDEX('3. Enter Indicator Scores'!$D$10:$CZ$161,_xlpm.r,_xlpm.c),""),
  IF(OR(_xlpm.w="",_xlpm.v=""),"",_xlpm.v*_xlpm.w)
)</f>
        <v/>
      </c>
      <c r="E40" s="93" t="str" cm="1">
        <f t="array" ref="E40">_xlfn.LET(
  _xlpm.w, E$11,
  _xlpm.r, MATCH(1,('3. Enter Indicator Scores'!$B$10:$B$161=$B40)*('3. Enter Indicator Scores'!$C$10:$C$161=$C40),0),
  _xlpm.c, MATCH(E$8,'3. Enter Indicator Scores'!$D$8:$CZ$8,0),
  _xlpm.v, IFERROR(INDEX('3. Enter Indicator Scores'!$D$10:$CZ$161,_xlpm.r,_xlpm.c),""),
  IF(OR(_xlpm.w="",_xlpm.v=""),"",_xlpm.v*_xlpm.w)
)</f>
        <v/>
      </c>
      <c r="F40" s="93" t="str" cm="1">
        <f t="array" ref="F40">_xlfn.LET(
  _xlpm.w, F$11,
  _xlpm.r, MATCH(1,('3. Enter Indicator Scores'!$B$10:$B$161=$B40)*('3. Enter Indicator Scores'!$C$10:$C$161=$C40),0),
  _xlpm.c, MATCH(F$8,'3. Enter Indicator Scores'!$D$8:$CZ$8,0),
  _xlpm.v, IFERROR(INDEX('3. Enter Indicator Scores'!$D$10:$CZ$161,_xlpm.r,_xlpm.c),""),
  IF(OR(_xlpm.w="",_xlpm.v=""),"",_xlpm.v*_xlpm.w)
)</f>
        <v/>
      </c>
      <c r="G40" s="93" t="str" cm="1">
        <f t="array" ref="G40">_xlfn.LET(
  _xlpm.w, G$11,
  _xlpm.r, MATCH(1,('3. Enter Indicator Scores'!$B$10:$B$161=$B40)*('3. Enter Indicator Scores'!$C$10:$C$161=$C40),0),
  _xlpm.c, MATCH(G$8,'3. Enter Indicator Scores'!$D$8:$CZ$8,0),
  _xlpm.v, IFERROR(INDEX('3. Enter Indicator Scores'!$D$10:$CZ$161,_xlpm.r,_xlpm.c),""),
  IF(OR(_xlpm.w="",_xlpm.v=""),"",_xlpm.v*_xlpm.w)
)</f>
        <v/>
      </c>
      <c r="H40" s="93" t="str" cm="1">
        <f t="array" ref="H40">_xlfn.LET(
  _xlpm.w, H$11,
  _xlpm.r, MATCH(1,('3. Enter Indicator Scores'!$B$10:$B$161=$B40)*('3. Enter Indicator Scores'!$C$10:$C$161=$C40),0),
  _xlpm.c, MATCH(H$8,'3. Enter Indicator Scores'!$D$8:$CZ$8,0),
  _xlpm.v, IFERROR(INDEX('3. Enter Indicator Scores'!$D$10:$CZ$161,_xlpm.r,_xlpm.c),""),
  IF(OR(_xlpm.w="",_xlpm.v=""),"",_xlpm.v*_xlpm.w)
)</f>
        <v/>
      </c>
      <c r="I40" s="93" t="str" cm="1">
        <f t="array" ref="I40">_xlfn.LET(
  _xlpm.w, I$11,
  _xlpm.r, MATCH(1,('3. Enter Indicator Scores'!$B$10:$B$161=$B40)*('3. Enter Indicator Scores'!$C$10:$C$161=$C40),0),
  _xlpm.c, MATCH(I$8,'3. Enter Indicator Scores'!$D$8:$CZ$8,0),
  _xlpm.v, IFERROR(INDEX('3. Enter Indicator Scores'!$D$10:$CZ$161,_xlpm.r,_xlpm.c),""),
  IF(OR(_xlpm.w="",_xlpm.v=""),"",_xlpm.v*_xlpm.w)
)</f>
        <v/>
      </c>
      <c r="J40" s="93" t="str" cm="1">
        <f t="array" ref="J40">_xlfn.LET(
  _xlpm.w, J$11,
  _xlpm.r, MATCH(1,('3. Enter Indicator Scores'!$B$10:$B$161=$B40)*('3. Enter Indicator Scores'!$C$10:$C$161=$C40),0),
  _xlpm.c, MATCH(J$8,'3. Enter Indicator Scores'!$D$8:$CZ$8,0),
  _xlpm.v, IFERROR(INDEX('3. Enter Indicator Scores'!$D$10:$CZ$161,_xlpm.r,_xlpm.c),""),
  IF(OR(_xlpm.w="",_xlpm.v=""),"",_xlpm.v*_xlpm.w)
)</f>
        <v/>
      </c>
      <c r="K40" s="93" t="str" cm="1">
        <f t="array" ref="K40">_xlfn.LET(
  _xlpm.w, K$11,
  _xlpm.r, MATCH(1,('3. Enter Indicator Scores'!$B$10:$B$161=$B40)*('3. Enter Indicator Scores'!$C$10:$C$161=$C40),0),
  _xlpm.c, MATCH(K$8,'3. Enter Indicator Scores'!$D$8:$CZ$8,0),
  _xlpm.v, IFERROR(INDEX('3. Enter Indicator Scores'!$D$10:$CZ$161,_xlpm.r,_xlpm.c),""),
  IF(OR(_xlpm.w="",_xlpm.v=""),"",_xlpm.v*_xlpm.w)
)</f>
        <v/>
      </c>
      <c r="L40" s="93" t="str" cm="1">
        <f t="array" ref="L40">_xlfn.LET(
  _xlpm.w, L$11,
  _xlpm.r, MATCH(1,('3. Enter Indicator Scores'!$B$10:$B$161=$B40)*('3. Enter Indicator Scores'!$C$10:$C$161=$C40),0),
  _xlpm.c, MATCH(L$8,'3. Enter Indicator Scores'!$D$8:$CZ$8,0),
  _xlpm.v, IFERROR(INDEX('3. Enter Indicator Scores'!$D$10:$CZ$161,_xlpm.r,_xlpm.c),""),
  IF(OR(_xlpm.w="",_xlpm.v=""),"",_xlpm.v*_xlpm.w)
)</f>
        <v/>
      </c>
      <c r="M40" s="93" t="str" cm="1">
        <f t="array" ref="M40">_xlfn.LET(
  _xlpm.w, M$11,
  _xlpm.r, MATCH(1,('3. Enter Indicator Scores'!$B$10:$B$161=$B40)*('3. Enter Indicator Scores'!$C$10:$C$161=$C40),0),
  _xlpm.c, MATCH(M$8,'3. Enter Indicator Scores'!$D$8:$CZ$8,0),
  _xlpm.v, IFERROR(INDEX('3. Enter Indicator Scores'!$D$10:$CZ$161,_xlpm.r,_xlpm.c),""),
  IF(OR(_xlpm.w="",_xlpm.v=""),"",_xlpm.v*_xlpm.w)
)</f>
        <v/>
      </c>
      <c r="N40" s="93" t="str" cm="1">
        <f t="array" ref="N40">_xlfn.LET(
  _xlpm.w, N$11,
  _xlpm.r, MATCH(1,('3. Enter Indicator Scores'!$B$10:$B$161=$B40)*('3. Enter Indicator Scores'!$C$10:$C$161=$C40),0),
  _xlpm.c, MATCH(N$8,'3. Enter Indicator Scores'!$D$8:$CZ$8,0),
  _xlpm.v, IFERROR(INDEX('3. Enter Indicator Scores'!$D$10:$CZ$161,_xlpm.r,_xlpm.c),""),
  IF(OR(_xlpm.w="",_xlpm.v=""),"",_xlpm.v*_xlpm.w)
)</f>
        <v/>
      </c>
      <c r="O40" s="93" t="str" cm="1">
        <f t="array" ref="O40">_xlfn.LET(
  _xlpm.w, O$11,
  _xlpm.r, MATCH(1,('3. Enter Indicator Scores'!$B$10:$B$161=$B40)*('3. Enter Indicator Scores'!$C$10:$C$161=$C40),0),
  _xlpm.c, MATCH(O$8,'3. Enter Indicator Scores'!$D$8:$CZ$8,0),
  _xlpm.v, IFERROR(INDEX('3. Enter Indicator Scores'!$D$10:$CZ$161,_xlpm.r,_xlpm.c),""),
  IF(OR(_xlpm.w="",_xlpm.v=""),"",_xlpm.v*_xlpm.w)
)</f>
        <v/>
      </c>
      <c r="P40" s="93" t="str" cm="1">
        <f t="array" ref="P40">_xlfn.LET(
  _xlpm.w, P$11,
  _xlpm.r, MATCH(1,('3. Enter Indicator Scores'!$B$10:$B$161=$B40)*('3. Enter Indicator Scores'!$C$10:$C$161=$C40),0),
  _xlpm.c, MATCH(P$8,'3. Enter Indicator Scores'!$D$8:$CZ$8,0),
  _xlpm.v, IFERROR(INDEX('3. Enter Indicator Scores'!$D$10:$CZ$161,_xlpm.r,_xlpm.c),""),
  IF(OR(_xlpm.w="",_xlpm.v=""),"",_xlpm.v*_xlpm.w)
)</f>
        <v/>
      </c>
      <c r="Q40" s="93" t="str" cm="1">
        <f t="array" ref="Q40">_xlfn.LET(
  _xlpm.w, Q$11,
  _xlpm.r, MATCH(1,('3. Enter Indicator Scores'!$B$10:$B$161=$B40)*('3. Enter Indicator Scores'!$C$10:$C$161=$C40),0),
  _xlpm.c, MATCH(Q$8,'3. Enter Indicator Scores'!$D$8:$CZ$8,0),
  _xlpm.v, IFERROR(INDEX('3. Enter Indicator Scores'!$D$10:$CZ$161,_xlpm.r,_xlpm.c),""),
  IF(OR(_xlpm.w="",_xlpm.v=""),"",_xlpm.v*_xlpm.w)
)</f>
        <v/>
      </c>
      <c r="R40" s="93" t="str" cm="1">
        <f t="array" ref="R40">_xlfn.LET(
  _xlpm.w, R$11,
  _xlpm.r, MATCH(1,('3. Enter Indicator Scores'!$B$10:$B$161=$B40)*('3. Enter Indicator Scores'!$C$10:$C$161=$C40),0),
  _xlpm.c, MATCH(R$8,'3. Enter Indicator Scores'!$D$8:$CZ$8,0),
  _xlpm.v, IFERROR(INDEX('3. Enter Indicator Scores'!$D$10:$CZ$161,_xlpm.r,_xlpm.c),""),
  IF(OR(_xlpm.w="",_xlpm.v=""),"",_xlpm.v*_xlpm.w)
)</f>
        <v/>
      </c>
      <c r="S40" s="93" t="str" cm="1">
        <f t="array" ref="S40">_xlfn.LET(
  _xlpm.w, S$11,
  _xlpm.r, MATCH(1,('3. Enter Indicator Scores'!$B$10:$B$161=$B40)*('3. Enter Indicator Scores'!$C$10:$C$161=$C40),0),
  _xlpm.c, MATCH(S$8,'3. Enter Indicator Scores'!$D$8:$CZ$8,0),
  _xlpm.v, IFERROR(INDEX('3. Enter Indicator Scores'!$D$10:$CZ$161,_xlpm.r,_xlpm.c),""),
  IF(OR(_xlpm.w="",_xlpm.v=""),"",_xlpm.v*_xlpm.w)
)</f>
        <v/>
      </c>
      <c r="T40" s="93" t="str" cm="1">
        <f t="array" ref="T40">_xlfn.LET(
  _xlpm.w, T$11,
  _xlpm.r, MATCH(1,('3. Enter Indicator Scores'!$B$10:$B$161=$B40)*('3. Enter Indicator Scores'!$C$10:$C$161=$C40),0),
  _xlpm.c, MATCH(T$8,'3. Enter Indicator Scores'!$D$8:$CZ$8,0),
  _xlpm.v, IFERROR(INDEX('3. Enter Indicator Scores'!$D$10:$CZ$161,_xlpm.r,_xlpm.c),""),
  IF(OR(_xlpm.w="",_xlpm.v=""),"",_xlpm.v*_xlpm.w)
)</f>
        <v/>
      </c>
      <c r="U40" s="93" t="str" cm="1">
        <f t="array" ref="U40">_xlfn.LET(
  _xlpm.w, U$11,
  _xlpm.r, MATCH(1,('3. Enter Indicator Scores'!$B$10:$B$161=$B40)*('3. Enter Indicator Scores'!$C$10:$C$161=$C40),0),
  _xlpm.c, MATCH(U$8,'3. Enter Indicator Scores'!$D$8:$CZ$8,0),
  _xlpm.v, IFERROR(INDEX('3. Enter Indicator Scores'!$D$10:$CZ$161,_xlpm.r,_xlpm.c),""),
  IF(OR(_xlpm.w="",_xlpm.v=""),"",_xlpm.v*_xlpm.w)
)</f>
        <v/>
      </c>
      <c r="V40" s="93" t="str" cm="1">
        <f t="array" ref="V40">_xlfn.LET(
  _xlpm.w, V$11,
  _xlpm.r, MATCH(1,('3. Enter Indicator Scores'!$B$10:$B$161=$B40)*('3. Enter Indicator Scores'!$C$10:$C$161=$C40),0),
  _xlpm.c, MATCH(V$8,'3. Enter Indicator Scores'!$D$8:$CZ$8,0),
  _xlpm.v, IFERROR(INDEX('3. Enter Indicator Scores'!$D$10:$CZ$161,_xlpm.r,_xlpm.c),""),
  IF(OR(_xlpm.w="",_xlpm.v=""),"",_xlpm.v*_xlpm.w)
)</f>
        <v/>
      </c>
      <c r="W40" s="93" t="str" cm="1">
        <f t="array" ref="W40">_xlfn.LET(
  _xlpm.w, W$11,
  _xlpm.r, MATCH(1,('3. Enter Indicator Scores'!$B$10:$B$161=$B40)*('3. Enter Indicator Scores'!$C$10:$C$161=$C40),0),
  _xlpm.c, MATCH(W$8,'3. Enter Indicator Scores'!$D$8:$CZ$8,0),
  _xlpm.v, IFERROR(INDEX('3. Enter Indicator Scores'!$D$10:$CZ$161,_xlpm.r,_xlpm.c),""),
  IF(OR(_xlpm.w="",_xlpm.v=""),"",_xlpm.v*_xlpm.w)
)</f>
        <v/>
      </c>
      <c r="X40" s="93" t="str" cm="1">
        <f t="array" ref="X40">_xlfn.LET(
  _xlpm.w, X$11,
  _xlpm.r, MATCH(1,('3. Enter Indicator Scores'!$B$10:$B$161=$B40)*('3. Enter Indicator Scores'!$C$10:$C$161=$C40),0),
  _xlpm.c, MATCH(X$8,'3. Enter Indicator Scores'!$D$8:$CZ$8,0),
  _xlpm.v, IFERROR(INDEX('3. Enter Indicator Scores'!$D$10:$CZ$161,_xlpm.r,_xlpm.c),""),
  IF(OR(_xlpm.w="",_xlpm.v=""),"",_xlpm.v*_xlpm.w)
)</f>
        <v/>
      </c>
      <c r="Y40" s="93" t="str" cm="1">
        <f t="array" ref="Y40">_xlfn.LET(
  _xlpm.w, Y$11,
  _xlpm.r, MATCH(1,('3. Enter Indicator Scores'!$B$10:$B$161=$B40)*('3. Enter Indicator Scores'!$C$10:$C$161=$C40),0),
  _xlpm.c, MATCH(Y$8,'3. Enter Indicator Scores'!$D$8:$CZ$8,0),
  _xlpm.v, IFERROR(INDEX('3. Enter Indicator Scores'!$D$10:$CZ$161,_xlpm.r,_xlpm.c),""),
  IF(OR(_xlpm.w="",_xlpm.v=""),"",_xlpm.v*_xlpm.w)
)</f>
        <v/>
      </c>
      <c r="Z40" s="93" t="str" cm="1">
        <f t="array" ref="Z40">_xlfn.LET(
  _xlpm.w, Z$11,
  _xlpm.r, MATCH(1,('3. Enter Indicator Scores'!$B$10:$B$161=$B40)*('3. Enter Indicator Scores'!$C$10:$C$161=$C40),0),
  _xlpm.c, MATCH(Z$8,'3. Enter Indicator Scores'!$D$8:$CZ$8,0),
  _xlpm.v, IFERROR(INDEX('3. Enter Indicator Scores'!$D$10:$CZ$161,_xlpm.r,_xlpm.c),""),
  IF(OR(_xlpm.w="",_xlpm.v=""),"",_xlpm.v*_xlpm.w)
)</f>
        <v/>
      </c>
      <c r="AA40" s="93" t="str" cm="1">
        <f t="array" ref="AA40">_xlfn.LET(
  _xlpm.w, AA$11,
  _xlpm.r, MATCH(1,('3. Enter Indicator Scores'!$B$10:$B$161=$B40)*('3. Enter Indicator Scores'!$C$10:$C$161=$C40),0),
  _xlpm.c, MATCH(AA$8,'3. Enter Indicator Scores'!$D$8:$CZ$8,0),
  _xlpm.v, IFERROR(INDEX('3. Enter Indicator Scores'!$D$10:$CZ$161,_xlpm.r,_xlpm.c),""),
  IF(OR(_xlpm.w="",_xlpm.v=""),"",_xlpm.v*_xlpm.w)
)</f>
        <v/>
      </c>
      <c r="AB40" s="93" t="str" cm="1">
        <f t="array" ref="AB40">_xlfn.LET(
  _xlpm.w, AB$11,
  _xlpm.r, MATCH(1,('3. Enter Indicator Scores'!$B$10:$B$161=$B40)*('3. Enter Indicator Scores'!$C$10:$C$161=$C40),0),
  _xlpm.c, MATCH(AB$8,'3. Enter Indicator Scores'!$D$8:$CZ$8,0),
  _xlpm.v, IFERROR(INDEX('3. Enter Indicator Scores'!$D$10:$CZ$161,_xlpm.r,_xlpm.c),""),
  IF(OR(_xlpm.w="",_xlpm.v=""),"",_xlpm.v*_xlpm.w)
)</f>
        <v/>
      </c>
      <c r="AC40" s="93" t="str" cm="1">
        <f t="array" ref="AC40">_xlfn.LET(
  _xlpm.w, AC$11,
  _xlpm.r, MATCH(1,('3. Enter Indicator Scores'!$B$10:$B$161=$B40)*('3. Enter Indicator Scores'!$C$10:$C$161=$C40),0),
  _xlpm.c, MATCH(AC$8,'3. Enter Indicator Scores'!$D$8:$CZ$8,0),
  _xlpm.v, IFERROR(INDEX('3. Enter Indicator Scores'!$D$10:$CZ$161,_xlpm.r,_xlpm.c),""),
  IF(OR(_xlpm.w="",_xlpm.v=""),"",_xlpm.v*_xlpm.w)
)</f>
        <v/>
      </c>
      <c r="AD40" s="93" t="str" cm="1">
        <f t="array" ref="AD40">_xlfn.LET(
  _xlpm.w, AD$11,
  _xlpm.r, MATCH(1,('3. Enter Indicator Scores'!$B$10:$B$161=$B40)*('3. Enter Indicator Scores'!$C$10:$C$161=$C40),0),
  _xlpm.c, MATCH(AD$8,'3. Enter Indicator Scores'!$D$8:$CZ$8,0),
  _xlpm.v, IFERROR(INDEX('3. Enter Indicator Scores'!$D$10:$CZ$161,_xlpm.r,_xlpm.c),""),
  IF(OR(_xlpm.w="",_xlpm.v=""),"",_xlpm.v*_xlpm.w)
)</f>
        <v/>
      </c>
      <c r="AE40" s="93" t="str" cm="1">
        <f t="array" ref="AE40">_xlfn.LET(
  _xlpm.w, AE$11,
  _xlpm.r, MATCH(1,('3. Enter Indicator Scores'!$B$10:$B$161=$B40)*('3. Enter Indicator Scores'!$C$10:$C$161=$C40),0),
  _xlpm.c, MATCH(AE$8,'3. Enter Indicator Scores'!$D$8:$CZ$8,0),
  _xlpm.v, IFERROR(INDEX('3. Enter Indicator Scores'!$D$10:$CZ$161,_xlpm.r,_xlpm.c),""),
  IF(OR(_xlpm.w="",_xlpm.v=""),"",_xlpm.v*_xlpm.w)
)</f>
        <v/>
      </c>
      <c r="AF40" s="93" t="str" cm="1">
        <f t="array" ref="AF40">_xlfn.LET(
  _xlpm.w, AF$11,
  _xlpm.r, MATCH(1,('3. Enter Indicator Scores'!$B$10:$B$161=$B40)*('3. Enter Indicator Scores'!$C$10:$C$161=$C40),0),
  _xlpm.c, MATCH(AF$8,'3. Enter Indicator Scores'!$D$8:$CZ$8,0),
  _xlpm.v, IFERROR(INDEX('3. Enter Indicator Scores'!$D$10:$CZ$161,_xlpm.r,_xlpm.c),""),
  IF(OR(_xlpm.w="",_xlpm.v=""),"",_xlpm.v*_xlpm.w)
)</f>
        <v/>
      </c>
      <c r="AG40" s="93" t="str" cm="1">
        <f t="array" ref="AG40">_xlfn.LET(
  _xlpm.w, AG$11,
  _xlpm.r, MATCH(1,('3. Enter Indicator Scores'!$B$10:$B$161=$B40)*('3. Enter Indicator Scores'!$C$10:$C$161=$C40),0),
  _xlpm.c, MATCH(AG$8,'3. Enter Indicator Scores'!$D$8:$CZ$8,0),
  _xlpm.v, IFERROR(INDEX('3. Enter Indicator Scores'!$D$10:$CZ$161,_xlpm.r,_xlpm.c),""),
  IF(OR(_xlpm.w="",_xlpm.v=""),"",_xlpm.v*_xlpm.w)
)</f>
        <v/>
      </c>
      <c r="AH40" s="93" t="str" cm="1">
        <f t="array" ref="AH40">_xlfn.LET(
  _xlpm.w, AH$11,
  _xlpm.r, MATCH(1,('3. Enter Indicator Scores'!$B$10:$B$161=$B40)*('3. Enter Indicator Scores'!$C$10:$C$161=$C40),0),
  _xlpm.c, MATCH(AH$8,'3. Enter Indicator Scores'!$D$8:$CZ$8,0),
  _xlpm.v, IFERROR(INDEX('3. Enter Indicator Scores'!$D$10:$CZ$161,_xlpm.r,_xlpm.c),""),
  IF(OR(_xlpm.w="",_xlpm.v=""),"",_xlpm.v*_xlpm.w)
)</f>
        <v/>
      </c>
      <c r="AI40" s="93" t="str" cm="1">
        <f t="array" ref="AI40">_xlfn.LET(
  _xlpm.w, AI$11,
  _xlpm.r, MATCH(1,('3. Enter Indicator Scores'!$B$10:$B$161=$B40)*('3. Enter Indicator Scores'!$C$10:$C$161=$C40),0),
  _xlpm.c, MATCH(AI$8,'3. Enter Indicator Scores'!$D$8:$CZ$8,0),
  _xlpm.v, IFERROR(INDEX('3. Enter Indicator Scores'!$D$10:$CZ$161,_xlpm.r,_xlpm.c),""),
  IF(OR(_xlpm.w="",_xlpm.v=""),"",_xlpm.v*_xlpm.w)
)</f>
        <v/>
      </c>
      <c r="AJ40" s="93" t="str" cm="1">
        <f t="array" ref="AJ40">_xlfn.LET(
  _xlpm.w, AJ$11,
  _xlpm.r, MATCH(1,('3. Enter Indicator Scores'!$B$10:$B$161=$B40)*('3. Enter Indicator Scores'!$C$10:$C$161=$C40),0),
  _xlpm.c, MATCH(AJ$8,'3. Enter Indicator Scores'!$D$8:$CZ$8,0),
  _xlpm.v, IFERROR(INDEX('3. Enter Indicator Scores'!$D$10:$CZ$161,_xlpm.r,_xlpm.c),""),
  IF(OR(_xlpm.w="",_xlpm.v=""),"",_xlpm.v*_xlpm.w)
)</f>
        <v/>
      </c>
      <c r="AK40" s="93" t="str" cm="1">
        <f t="array" ref="AK40">_xlfn.LET(
  _xlpm.w, AK$11,
  _xlpm.r, MATCH(1,('3. Enter Indicator Scores'!$B$10:$B$161=$B40)*('3. Enter Indicator Scores'!$C$10:$C$161=$C40),0),
  _xlpm.c, MATCH(AK$8,'3. Enter Indicator Scores'!$D$8:$CZ$8,0),
  _xlpm.v, IFERROR(INDEX('3. Enter Indicator Scores'!$D$10:$CZ$161,_xlpm.r,_xlpm.c),""),
  IF(OR(_xlpm.w="",_xlpm.v=""),"",_xlpm.v*_xlpm.w)
)</f>
        <v/>
      </c>
      <c r="AL40" s="93" t="str" cm="1">
        <f t="array" ref="AL40">_xlfn.LET(
  _xlpm.w, AL$11,
  _xlpm.r, MATCH(1,('3. Enter Indicator Scores'!$B$10:$B$161=$B40)*('3. Enter Indicator Scores'!$C$10:$C$161=$C40),0),
  _xlpm.c, MATCH(AL$8,'3. Enter Indicator Scores'!$D$8:$CZ$8,0),
  _xlpm.v, IFERROR(INDEX('3. Enter Indicator Scores'!$D$10:$CZ$161,_xlpm.r,_xlpm.c),""),
  IF(OR(_xlpm.w="",_xlpm.v=""),"",_xlpm.v*_xlpm.w)
)</f>
        <v/>
      </c>
      <c r="AM40" s="93" t="str" cm="1">
        <f t="array" ref="AM40">_xlfn.LET(
  _xlpm.w, AM$11,
  _xlpm.r, MATCH(1,('3. Enter Indicator Scores'!$B$10:$B$161=$B40)*('3. Enter Indicator Scores'!$C$10:$C$161=$C40),0),
  _xlpm.c, MATCH(AM$8,'3. Enter Indicator Scores'!$D$8:$CZ$8,0),
  _xlpm.v, IFERROR(INDEX('3. Enter Indicator Scores'!$D$10:$CZ$161,_xlpm.r,_xlpm.c),""),
  IF(OR(_xlpm.w="",_xlpm.v=""),"",_xlpm.v*_xlpm.w)
)</f>
        <v/>
      </c>
      <c r="AN40" s="93" t="str" cm="1">
        <f t="array" ref="AN40">_xlfn.LET(
  _xlpm.w, AN$11,
  _xlpm.r, MATCH(1,('3. Enter Indicator Scores'!$B$10:$B$161=$B40)*('3. Enter Indicator Scores'!$C$10:$C$161=$C40),0),
  _xlpm.c, MATCH(AN$8,'3. Enter Indicator Scores'!$D$8:$CZ$8,0),
  _xlpm.v, IFERROR(INDEX('3. Enter Indicator Scores'!$D$10:$CZ$161,_xlpm.r,_xlpm.c),""),
  IF(OR(_xlpm.w="",_xlpm.v=""),"",_xlpm.v*_xlpm.w)
)</f>
        <v/>
      </c>
      <c r="AO40" s="93" t="str" cm="1">
        <f t="array" ref="AO40">_xlfn.LET(
  _xlpm.w, AO$11,
  _xlpm.r, MATCH(1,('3. Enter Indicator Scores'!$B$10:$B$161=$B40)*('3. Enter Indicator Scores'!$C$10:$C$161=$C40),0),
  _xlpm.c, MATCH(AO$8,'3. Enter Indicator Scores'!$D$8:$CZ$8,0),
  _xlpm.v, IFERROR(INDEX('3. Enter Indicator Scores'!$D$10:$CZ$161,_xlpm.r,_xlpm.c),""),
  IF(OR(_xlpm.w="",_xlpm.v=""),"",_xlpm.v*_xlpm.w)
)</f>
        <v/>
      </c>
      <c r="AP40" s="93" t="str" cm="1">
        <f t="array" ref="AP40">_xlfn.LET(
  _xlpm.w, AP$11,
  _xlpm.r, MATCH(1,('3. Enter Indicator Scores'!$B$10:$B$161=$B40)*('3. Enter Indicator Scores'!$C$10:$C$161=$C40),0),
  _xlpm.c, MATCH(AP$8,'3. Enter Indicator Scores'!$D$8:$CZ$8,0),
  _xlpm.v, IFERROR(INDEX('3. Enter Indicator Scores'!$D$10:$CZ$161,_xlpm.r,_xlpm.c),""),
  IF(OR(_xlpm.w="",_xlpm.v=""),"",_xlpm.v*_xlpm.w)
)</f>
        <v/>
      </c>
      <c r="AQ40" s="93" t="str" cm="1">
        <f t="array" ref="AQ40">_xlfn.LET(
  _xlpm.w, AQ$11,
  _xlpm.r, MATCH(1,('3. Enter Indicator Scores'!$B$10:$B$161=$B40)*('3. Enter Indicator Scores'!$C$10:$C$161=$C40),0),
  _xlpm.c, MATCH(AQ$8,'3. Enter Indicator Scores'!$D$8:$CZ$8,0),
  _xlpm.v, IFERROR(INDEX('3. Enter Indicator Scores'!$D$10:$CZ$161,_xlpm.r,_xlpm.c),""),
  IF(OR(_xlpm.w="",_xlpm.v=""),"",_xlpm.v*_xlpm.w)
)</f>
        <v/>
      </c>
      <c r="AR40" s="93" t="str" cm="1">
        <f t="array" ref="AR40">_xlfn.LET(
  _xlpm.w, AR$11,
  _xlpm.r, MATCH(1,('3. Enter Indicator Scores'!$B$10:$B$161=$B40)*('3. Enter Indicator Scores'!$C$10:$C$161=$C40),0),
  _xlpm.c, MATCH(AR$8,'3. Enter Indicator Scores'!$D$8:$CZ$8,0),
  _xlpm.v, IFERROR(INDEX('3. Enter Indicator Scores'!$D$10:$CZ$161,_xlpm.r,_xlpm.c),""),
  IF(OR(_xlpm.w="",_xlpm.v=""),"",_xlpm.v*_xlpm.w)
)</f>
        <v/>
      </c>
      <c r="AS40" s="93" t="str" cm="1">
        <f t="array" ref="AS40">_xlfn.LET(
  _xlpm.w, AS$11,
  _xlpm.r, MATCH(1,('3. Enter Indicator Scores'!$B$10:$B$161=$B40)*('3. Enter Indicator Scores'!$C$10:$C$161=$C40),0),
  _xlpm.c, MATCH(AS$8,'3. Enter Indicator Scores'!$D$8:$CZ$8,0),
  _xlpm.v, IFERROR(INDEX('3. Enter Indicator Scores'!$D$10:$CZ$161,_xlpm.r,_xlpm.c),""),
  IF(OR(_xlpm.w="",_xlpm.v=""),"",_xlpm.v*_xlpm.w)
)</f>
        <v/>
      </c>
      <c r="AT40" s="93" t="str" cm="1">
        <f t="array" ref="AT40">_xlfn.LET(
  _xlpm.w, AT$11,
  _xlpm.r, MATCH(1,('3. Enter Indicator Scores'!$B$10:$B$161=$B40)*('3. Enter Indicator Scores'!$C$10:$C$161=$C40),0),
  _xlpm.c, MATCH(AT$8,'3. Enter Indicator Scores'!$D$8:$CZ$8,0),
  _xlpm.v, IFERROR(INDEX('3. Enter Indicator Scores'!$D$10:$CZ$161,_xlpm.r,_xlpm.c),""),
  IF(OR(_xlpm.w="",_xlpm.v=""),"",_xlpm.v*_xlpm.w)
)</f>
        <v/>
      </c>
      <c r="AU40" s="93" t="str" cm="1">
        <f t="array" ref="AU40">_xlfn.LET(
  _xlpm.w, AU$11,
  _xlpm.r, MATCH(1,('3. Enter Indicator Scores'!$B$10:$B$161=$B40)*('3. Enter Indicator Scores'!$C$10:$C$161=$C40),0),
  _xlpm.c, MATCH(AU$8,'3. Enter Indicator Scores'!$D$8:$CZ$8,0),
  _xlpm.v, IFERROR(INDEX('3. Enter Indicator Scores'!$D$10:$CZ$161,_xlpm.r,_xlpm.c),""),
  IF(OR(_xlpm.w="",_xlpm.v=""),"",_xlpm.v*_xlpm.w)
)</f>
        <v/>
      </c>
      <c r="AV40" s="93" t="str" cm="1">
        <f t="array" ref="AV40">_xlfn.LET(
  _xlpm.w, AV$11,
  _xlpm.r, MATCH(1,('3. Enter Indicator Scores'!$B$10:$B$161=$B40)*('3. Enter Indicator Scores'!$C$10:$C$161=$C40),0),
  _xlpm.c, MATCH(AV$8,'3. Enter Indicator Scores'!$D$8:$CZ$8,0),
  _xlpm.v, IFERROR(INDEX('3. Enter Indicator Scores'!$D$10:$CZ$161,_xlpm.r,_xlpm.c),""),
  IF(OR(_xlpm.w="",_xlpm.v=""),"",_xlpm.v*_xlpm.w)
)</f>
        <v/>
      </c>
      <c r="AW40" s="93" t="str" cm="1">
        <f t="array" ref="AW40">_xlfn.LET(
  _xlpm.w, AW$11,
  _xlpm.r, MATCH(1,('3. Enter Indicator Scores'!$B$10:$B$161=$B40)*('3. Enter Indicator Scores'!$C$10:$C$161=$C40),0),
  _xlpm.c, MATCH(AW$8,'3. Enter Indicator Scores'!$D$8:$CZ$8,0),
  _xlpm.v, IFERROR(INDEX('3. Enter Indicator Scores'!$D$10:$CZ$161,_xlpm.r,_xlpm.c),""),
  IF(OR(_xlpm.w="",_xlpm.v=""),"",_xlpm.v*_xlpm.w)
)</f>
        <v/>
      </c>
      <c r="AX40" s="93" t="str" cm="1">
        <f t="array" ref="AX40">_xlfn.LET(
  _xlpm.w, AX$11,
  _xlpm.r, MATCH(1,('3. Enter Indicator Scores'!$B$10:$B$161=$B40)*('3. Enter Indicator Scores'!$C$10:$C$161=$C40),0),
  _xlpm.c, MATCH(AX$8,'3. Enter Indicator Scores'!$D$8:$CZ$8,0),
  _xlpm.v, IFERROR(INDEX('3. Enter Indicator Scores'!$D$10:$CZ$161,_xlpm.r,_xlpm.c),""),
  IF(OR(_xlpm.w="",_xlpm.v=""),"",_xlpm.v*_xlpm.w)
)</f>
        <v/>
      </c>
      <c r="AY40" s="93" t="str" cm="1">
        <f t="array" ref="AY40">_xlfn.LET(
  _xlpm.w, AY$11,
  _xlpm.r, MATCH(1,('3. Enter Indicator Scores'!$B$10:$B$161=$B40)*('3. Enter Indicator Scores'!$C$10:$C$161=$C40),0),
  _xlpm.c, MATCH(AY$8,'3. Enter Indicator Scores'!$D$8:$CZ$8,0),
  _xlpm.v, IFERROR(INDEX('3. Enter Indicator Scores'!$D$10:$CZ$161,_xlpm.r,_xlpm.c),""),
  IF(OR(_xlpm.w="",_xlpm.v=""),"",_xlpm.v*_xlpm.w)
)</f>
        <v/>
      </c>
      <c r="AZ40" s="93" t="str" cm="1">
        <f t="array" ref="AZ40">_xlfn.LET(
  _xlpm.w, AZ$11,
  _xlpm.r, MATCH(1,('3. Enter Indicator Scores'!$B$10:$B$161=$B40)*('3. Enter Indicator Scores'!$C$10:$C$161=$C40),0),
  _xlpm.c, MATCH(AZ$8,'3. Enter Indicator Scores'!$D$8:$CZ$8,0),
  _xlpm.v, IFERROR(INDEX('3. Enter Indicator Scores'!$D$10:$CZ$161,_xlpm.r,_xlpm.c),""),
  IF(OR(_xlpm.w="",_xlpm.v=""),"",_xlpm.v*_xlpm.w)
)</f>
        <v/>
      </c>
      <c r="BA40" s="93" t="str" cm="1">
        <f t="array" ref="BA40">_xlfn.LET(
  _xlpm.w, BA$11,
  _xlpm.r, MATCH(1,('3. Enter Indicator Scores'!$B$10:$B$161=$B40)*('3. Enter Indicator Scores'!$C$10:$C$161=$C40),0),
  _xlpm.c, MATCH(BA$8,'3. Enter Indicator Scores'!$D$8:$CZ$8,0),
  _xlpm.v, IFERROR(INDEX('3. Enter Indicator Scores'!$D$10:$CZ$161,_xlpm.r,_xlpm.c),""),
  IF(OR(_xlpm.w="",_xlpm.v=""),"",_xlpm.v*_xlpm.w)
)</f>
        <v/>
      </c>
      <c r="BB40" s="93" t="str" cm="1">
        <f t="array" ref="BB40">_xlfn.LET(
  _xlpm.w, BB$11,
  _xlpm.r, MATCH(1,('3. Enter Indicator Scores'!$B$10:$B$161=$B40)*('3. Enter Indicator Scores'!$C$10:$C$161=$C40),0),
  _xlpm.c, MATCH(BB$8,'3. Enter Indicator Scores'!$D$8:$CZ$8,0),
  _xlpm.v, IFERROR(INDEX('3. Enter Indicator Scores'!$D$10:$CZ$161,_xlpm.r,_xlpm.c),""),
  IF(OR(_xlpm.w="",_xlpm.v=""),"",_xlpm.v*_xlpm.w)
)</f>
        <v/>
      </c>
      <c r="BC40" s="93" t="str" cm="1">
        <f t="array" ref="BC40">_xlfn.LET(
  _xlpm.w, BC$11,
  _xlpm.r, MATCH(1,('3. Enter Indicator Scores'!$B$10:$B$161=$B40)*('3. Enter Indicator Scores'!$C$10:$C$161=$C40),0),
  _xlpm.c, MATCH(BC$8,'3. Enter Indicator Scores'!$D$8:$CZ$8,0),
  _xlpm.v, IFERROR(INDEX('3. Enter Indicator Scores'!$D$10:$CZ$161,_xlpm.r,_xlpm.c),""),
  IF(OR(_xlpm.w="",_xlpm.v=""),"",_xlpm.v*_xlpm.w)
)</f>
        <v/>
      </c>
      <c r="BD40" s="93" t="str" cm="1">
        <f t="array" ref="BD40">_xlfn.LET(
  _xlpm.w, BD$11,
  _xlpm.r, MATCH(1,('3. Enter Indicator Scores'!$B$10:$B$161=$B40)*('3. Enter Indicator Scores'!$C$10:$C$161=$C40),0),
  _xlpm.c, MATCH(BD$8,'3. Enter Indicator Scores'!$D$8:$CZ$8,0),
  _xlpm.v, IFERROR(INDEX('3. Enter Indicator Scores'!$D$10:$CZ$161,_xlpm.r,_xlpm.c),""),
  IF(OR(_xlpm.w="",_xlpm.v=""),"",_xlpm.v*_xlpm.w)
)</f>
        <v/>
      </c>
      <c r="BE40" s="93" t="str" cm="1">
        <f t="array" ref="BE40">_xlfn.LET(
  _xlpm.w, BE$11,
  _xlpm.r, MATCH(1,('3. Enter Indicator Scores'!$B$10:$B$161=$B40)*('3. Enter Indicator Scores'!$C$10:$C$161=$C40),0),
  _xlpm.c, MATCH(BE$8,'3. Enter Indicator Scores'!$D$8:$CZ$8,0),
  _xlpm.v, IFERROR(INDEX('3. Enter Indicator Scores'!$D$10:$CZ$161,_xlpm.r,_xlpm.c),""),
  IF(OR(_xlpm.w="",_xlpm.v=""),"",_xlpm.v*_xlpm.w)
)</f>
        <v/>
      </c>
      <c r="BF40" s="93" t="str" cm="1">
        <f t="array" ref="BF40">_xlfn.LET(
  _xlpm.w, BF$11,
  _xlpm.r, MATCH(1,('3. Enter Indicator Scores'!$B$10:$B$161=$B40)*('3. Enter Indicator Scores'!$C$10:$C$161=$C40),0),
  _xlpm.c, MATCH(BF$8,'3. Enter Indicator Scores'!$D$8:$CZ$8,0),
  _xlpm.v, IFERROR(INDEX('3. Enter Indicator Scores'!$D$10:$CZ$161,_xlpm.r,_xlpm.c),""),
  IF(OR(_xlpm.w="",_xlpm.v=""),"",_xlpm.v*_xlpm.w)
)</f>
        <v/>
      </c>
      <c r="BG40" s="93" t="str" cm="1">
        <f t="array" ref="BG40">_xlfn.LET(
  _xlpm.w, BG$11,
  _xlpm.r, MATCH(1,('3. Enter Indicator Scores'!$B$10:$B$161=$B40)*('3. Enter Indicator Scores'!$C$10:$C$161=$C40),0),
  _xlpm.c, MATCH(BG$8,'3. Enter Indicator Scores'!$D$8:$CZ$8,0),
  _xlpm.v, IFERROR(INDEX('3. Enter Indicator Scores'!$D$10:$CZ$161,_xlpm.r,_xlpm.c),""),
  IF(OR(_xlpm.w="",_xlpm.v=""),"",_xlpm.v*_xlpm.w)
)</f>
        <v/>
      </c>
      <c r="BH40" s="93" t="str" cm="1">
        <f t="array" ref="BH40">_xlfn.LET(
  _xlpm.w, BH$11,
  _xlpm.r, MATCH(1,('3. Enter Indicator Scores'!$B$10:$B$161=$B40)*('3. Enter Indicator Scores'!$C$10:$C$161=$C40),0),
  _xlpm.c, MATCH(BH$8,'3. Enter Indicator Scores'!$D$8:$CZ$8,0),
  _xlpm.v, IFERROR(INDEX('3. Enter Indicator Scores'!$D$10:$CZ$161,_xlpm.r,_xlpm.c),""),
  IF(OR(_xlpm.w="",_xlpm.v=""),"",_xlpm.v*_xlpm.w)
)</f>
        <v/>
      </c>
      <c r="BI40" s="93" t="str" cm="1">
        <f t="array" ref="BI40">_xlfn.LET(
  _xlpm.w, BI$11,
  _xlpm.r, MATCH(1,('3. Enter Indicator Scores'!$B$10:$B$161=$B40)*('3. Enter Indicator Scores'!$C$10:$C$161=$C40),0),
  _xlpm.c, MATCH(BI$8,'3. Enter Indicator Scores'!$D$8:$CZ$8,0),
  _xlpm.v, IFERROR(INDEX('3. Enter Indicator Scores'!$D$10:$CZ$161,_xlpm.r,_xlpm.c),""),
  IF(OR(_xlpm.w="",_xlpm.v=""),"",_xlpm.v*_xlpm.w)
)</f>
        <v/>
      </c>
      <c r="BJ40" s="93" t="str" cm="1">
        <f t="array" ref="BJ40">_xlfn.LET(
  _xlpm.w, BJ$11,
  _xlpm.r, MATCH(1,('3. Enter Indicator Scores'!$B$10:$B$161=$B40)*('3. Enter Indicator Scores'!$C$10:$C$161=$C40),0),
  _xlpm.c, MATCH(BJ$8,'3. Enter Indicator Scores'!$D$8:$CZ$8,0),
  _xlpm.v, IFERROR(INDEX('3. Enter Indicator Scores'!$D$10:$CZ$161,_xlpm.r,_xlpm.c),""),
  IF(OR(_xlpm.w="",_xlpm.v=""),"",_xlpm.v*_xlpm.w)
)</f>
        <v/>
      </c>
      <c r="BK40" s="93" t="str" cm="1">
        <f t="array" ref="BK40">_xlfn.LET(
  _xlpm.w, BK$11,
  _xlpm.r, MATCH(1,('3. Enter Indicator Scores'!$B$10:$B$161=$B40)*('3. Enter Indicator Scores'!$C$10:$C$161=$C40),0),
  _xlpm.c, MATCH(BK$8,'3. Enter Indicator Scores'!$D$8:$CZ$8,0),
  _xlpm.v, IFERROR(INDEX('3. Enter Indicator Scores'!$D$10:$CZ$161,_xlpm.r,_xlpm.c),""),
  IF(OR(_xlpm.w="",_xlpm.v=""),"",_xlpm.v*_xlpm.w)
)</f>
        <v/>
      </c>
      <c r="BL40" s="93" t="str" cm="1">
        <f t="array" ref="BL40">_xlfn.LET(
  _xlpm.w, BL$11,
  _xlpm.r, MATCH(1,('3. Enter Indicator Scores'!$B$10:$B$161=$B40)*('3. Enter Indicator Scores'!$C$10:$C$161=$C40),0),
  _xlpm.c, MATCH(BL$8,'3. Enter Indicator Scores'!$D$8:$CZ$8,0),
  _xlpm.v, IFERROR(INDEX('3. Enter Indicator Scores'!$D$10:$CZ$161,_xlpm.r,_xlpm.c),""),
  IF(OR(_xlpm.w="",_xlpm.v=""),"",_xlpm.v*_xlpm.w)
)</f>
        <v/>
      </c>
      <c r="BM40" s="93" t="str" cm="1">
        <f t="array" ref="BM40">_xlfn.LET(
  _xlpm.w, BM$11,
  _xlpm.r, MATCH(1,('3. Enter Indicator Scores'!$B$10:$B$161=$B40)*('3. Enter Indicator Scores'!$C$10:$C$161=$C40),0),
  _xlpm.c, MATCH(BM$8,'3. Enter Indicator Scores'!$D$8:$CZ$8,0),
  _xlpm.v, IFERROR(INDEX('3. Enter Indicator Scores'!$D$10:$CZ$161,_xlpm.r,_xlpm.c),""),
  IF(OR(_xlpm.w="",_xlpm.v=""),"",_xlpm.v*_xlpm.w)
)</f>
        <v/>
      </c>
      <c r="BN40" s="93" t="str" cm="1">
        <f t="array" ref="BN40">_xlfn.LET(
  _xlpm.w, BN$11,
  _xlpm.r, MATCH(1,('3. Enter Indicator Scores'!$B$10:$B$161=$B40)*('3. Enter Indicator Scores'!$C$10:$C$161=$C40),0),
  _xlpm.c, MATCH(BN$8,'3. Enter Indicator Scores'!$D$8:$CZ$8,0),
  _xlpm.v, IFERROR(INDEX('3. Enter Indicator Scores'!$D$10:$CZ$161,_xlpm.r,_xlpm.c),""),
  IF(OR(_xlpm.w="",_xlpm.v=""),"",_xlpm.v*_xlpm.w)
)</f>
        <v/>
      </c>
      <c r="BO40" s="93" t="str" cm="1">
        <f t="array" ref="BO40">_xlfn.LET(
  _xlpm.w, BO$11,
  _xlpm.r, MATCH(1,('3. Enter Indicator Scores'!$B$10:$B$161=$B40)*('3. Enter Indicator Scores'!$C$10:$C$161=$C40),0),
  _xlpm.c, MATCH(BO$8,'3. Enter Indicator Scores'!$D$8:$CZ$8,0),
  _xlpm.v, IFERROR(INDEX('3. Enter Indicator Scores'!$D$10:$CZ$161,_xlpm.r,_xlpm.c),""),
  IF(OR(_xlpm.w="",_xlpm.v=""),"",_xlpm.v*_xlpm.w)
)</f>
        <v/>
      </c>
      <c r="BP40" s="93" t="str" cm="1">
        <f t="array" ref="BP40">_xlfn.LET(
  _xlpm.w, BP$11,
  _xlpm.r, MATCH(1,('3. Enter Indicator Scores'!$B$10:$B$161=$B40)*('3. Enter Indicator Scores'!$C$10:$C$161=$C40),0),
  _xlpm.c, MATCH(BP$8,'3. Enter Indicator Scores'!$D$8:$CZ$8,0),
  _xlpm.v, IFERROR(INDEX('3. Enter Indicator Scores'!$D$10:$CZ$161,_xlpm.r,_xlpm.c),""),
  IF(OR(_xlpm.w="",_xlpm.v=""),"",_xlpm.v*_xlpm.w)
)</f>
        <v/>
      </c>
      <c r="BQ40" s="93" t="str" cm="1">
        <f t="array" ref="BQ40">_xlfn.LET(
  _xlpm.w, BQ$11,
  _xlpm.r, MATCH(1,('3. Enter Indicator Scores'!$B$10:$B$161=$B40)*('3. Enter Indicator Scores'!$C$10:$C$161=$C40),0),
  _xlpm.c, MATCH(BQ$8,'3. Enter Indicator Scores'!$D$8:$CZ$8,0),
  _xlpm.v, IFERROR(INDEX('3. Enter Indicator Scores'!$D$10:$CZ$161,_xlpm.r,_xlpm.c),""),
  IF(OR(_xlpm.w="",_xlpm.v=""),"",_xlpm.v*_xlpm.w)
)</f>
        <v/>
      </c>
      <c r="BR40" s="93" t="str" cm="1">
        <f t="array" ref="BR40">_xlfn.LET(
  _xlpm.w, BR$11,
  _xlpm.r, MATCH(1,('3. Enter Indicator Scores'!$B$10:$B$161=$B40)*('3. Enter Indicator Scores'!$C$10:$C$161=$C40),0),
  _xlpm.c, MATCH(BR$8,'3. Enter Indicator Scores'!$D$8:$CZ$8,0),
  _xlpm.v, IFERROR(INDEX('3. Enter Indicator Scores'!$D$10:$CZ$161,_xlpm.r,_xlpm.c),""),
  IF(OR(_xlpm.w="",_xlpm.v=""),"",_xlpm.v*_xlpm.w)
)</f>
        <v/>
      </c>
      <c r="BS40" s="93" t="str" cm="1">
        <f t="array" ref="BS40">_xlfn.LET(
  _xlpm.w, BS$11,
  _xlpm.r, MATCH(1,('3. Enter Indicator Scores'!$B$10:$B$161=$B40)*('3. Enter Indicator Scores'!$C$10:$C$161=$C40),0),
  _xlpm.c, MATCH(BS$8,'3. Enter Indicator Scores'!$D$8:$CZ$8,0),
  _xlpm.v, IFERROR(INDEX('3. Enter Indicator Scores'!$D$10:$CZ$161,_xlpm.r,_xlpm.c),""),
  IF(OR(_xlpm.w="",_xlpm.v=""),"",_xlpm.v*_xlpm.w)
)</f>
        <v/>
      </c>
      <c r="BT40" s="93" t="str" cm="1">
        <f t="array" ref="BT40">_xlfn.LET(
  _xlpm.w, BT$11,
  _xlpm.r, MATCH(1,('3. Enter Indicator Scores'!$B$10:$B$161=$B40)*('3. Enter Indicator Scores'!$C$10:$C$161=$C40),0),
  _xlpm.c, MATCH(BT$8,'3. Enter Indicator Scores'!$D$8:$CZ$8,0),
  _xlpm.v, IFERROR(INDEX('3. Enter Indicator Scores'!$D$10:$CZ$161,_xlpm.r,_xlpm.c),""),
  IF(OR(_xlpm.w="",_xlpm.v=""),"",_xlpm.v*_xlpm.w)
)</f>
        <v/>
      </c>
      <c r="BU40" s="93" t="str" cm="1">
        <f t="array" ref="BU40">_xlfn.LET(
  _xlpm.w, BU$11,
  _xlpm.r, MATCH(1,('3. Enter Indicator Scores'!$B$10:$B$161=$B40)*('3. Enter Indicator Scores'!$C$10:$C$161=$C40),0),
  _xlpm.c, MATCH(BU$8,'3. Enter Indicator Scores'!$D$8:$CZ$8,0),
  _xlpm.v, IFERROR(INDEX('3. Enter Indicator Scores'!$D$10:$CZ$161,_xlpm.r,_xlpm.c),""),
  IF(OR(_xlpm.w="",_xlpm.v=""),"",_xlpm.v*_xlpm.w)
)</f>
        <v/>
      </c>
      <c r="BV40" s="93" t="str" cm="1">
        <f t="array" ref="BV40">_xlfn.LET(
  _xlpm.w, BV$11,
  _xlpm.r, MATCH(1,('3. Enter Indicator Scores'!$B$10:$B$161=$B40)*('3. Enter Indicator Scores'!$C$10:$C$161=$C40),0),
  _xlpm.c, MATCH(BV$8,'3. Enter Indicator Scores'!$D$8:$CZ$8,0),
  _xlpm.v, IFERROR(INDEX('3. Enter Indicator Scores'!$D$10:$CZ$161,_xlpm.r,_xlpm.c),""),
  IF(OR(_xlpm.w="",_xlpm.v=""),"",_xlpm.v*_xlpm.w)
)</f>
        <v/>
      </c>
      <c r="BW40" s="93" t="str" cm="1">
        <f t="array" ref="BW40">_xlfn.LET(
  _xlpm.w, BW$11,
  _xlpm.r, MATCH(1,('3. Enter Indicator Scores'!$B$10:$B$161=$B40)*('3. Enter Indicator Scores'!$C$10:$C$161=$C40),0),
  _xlpm.c, MATCH(BW$8,'3. Enter Indicator Scores'!$D$8:$CZ$8,0),
  _xlpm.v, IFERROR(INDEX('3. Enter Indicator Scores'!$D$10:$CZ$161,_xlpm.r,_xlpm.c),""),
  IF(OR(_xlpm.w="",_xlpm.v=""),"",_xlpm.v*_xlpm.w)
)</f>
        <v/>
      </c>
      <c r="BX40" s="93" t="str" cm="1">
        <f t="array" ref="BX40">_xlfn.LET(
  _xlpm.w, BX$11,
  _xlpm.r, MATCH(1,('3. Enter Indicator Scores'!$B$10:$B$161=$B40)*('3. Enter Indicator Scores'!$C$10:$C$161=$C40),0),
  _xlpm.c, MATCH(BX$8,'3. Enter Indicator Scores'!$D$8:$CZ$8,0),
  _xlpm.v, IFERROR(INDEX('3. Enter Indicator Scores'!$D$10:$CZ$161,_xlpm.r,_xlpm.c),""),
  IF(OR(_xlpm.w="",_xlpm.v=""),"",_xlpm.v*_xlpm.w)
)</f>
        <v/>
      </c>
      <c r="BY40" s="93" t="str" cm="1">
        <f t="array" ref="BY40">_xlfn.LET(
  _xlpm.w, BY$11,
  _xlpm.r, MATCH(1,('3. Enter Indicator Scores'!$B$10:$B$161=$B40)*('3. Enter Indicator Scores'!$C$10:$C$161=$C40),0),
  _xlpm.c, MATCH(BY$8,'3. Enter Indicator Scores'!$D$8:$CZ$8,0),
  _xlpm.v, IFERROR(INDEX('3. Enter Indicator Scores'!$D$10:$CZ$161,_xlpm.r,_xlpm.c),""),
  IF(OR(_xlpm.w="",_xlpm.v=""),"",_xlpm.v*_xlpm.w)
)</f>
        <v/>
      </c>
      <c r="BZ40" s="93" t="str" cm="1">
        <f t="array" ref="BZ40">_xlfn.LET(
  _xlpm.w, BZ$11,
  _xlpm.r, MATCH(1,('3. Enter Indicator Scores'!$B$10:$B$161=$B40)*('3. Enter Indicator Scores'!$C$10:$C$161=$C40),0),
  _xlpm.c, MATCH(BZ$8,'3. Enter Indicator Scores'!$D$8:$CZ$8,0),
  _xlpm.v, IFERROR(INDEX('3. Enter Indicator Scores'!$D$10:$CZ$161,_xlpm.r,_xlpm.c),""),
  IF(OR(_xlpm.w="",_xlpm.v=""),"",_xlpm.v*_xlpm.w)
)</f>
        <v/>
      </c>
      <c r="CA40" s="93" t="str" cm="1">
        <f t="array" ref="CA40">_xlfn.LET(
  _xlpm.w, CA$11,
  _xlpm.r, MATCH(1,('3. Enter Indicator Scores'!$B$10:$B$161=$B40)*('3. Enter Indicator Scores'!$C$10:$C$161=$C40),0),
  _xlpm.c, MATCH(CA$8,'3. Enter Indicator Scores'!$D$8:$CZ$8,0),
  _xlpm.v, IFERROR(INDEX('3. Enter Indicator Scores'!$D$10:$CZ$161,_xlpm.r,_xlpm.c),""),
  IF(OR(_xlpm.w="",_xlpm.v=""),"",_xlpm.v*_xlpm.w)
)</f>
        <v/>
      </c>
      <c r="CB40" s="93" t="str" cm="1">
        <f t="array" ref="CB40">_xlfn.LET(
  _xlpm.w, CB$11,
  _xlpm.r, MATCH(1,('3. Enter Indicator Scores'!$B$10:$B$161=$B40)*('3. Enter Indicator Scores'!$C$10:$C$161=$C40),0),
  _xlpm.c, MATCH(CB$8,'3. Enter Indicator Scores'!$D$8:$CZ$8,0),
  _xlpm.v, IFERROR(INDEX('3. Enter Indicator Scores'!$D$10:$CZ$161,_xlpm.r,_xlpm.c),""),
  IF(OR(_xlpm.w="",_xlpm.v=""),"",_xlpm.v*_xlpm.w)
)</f>
        <v/>
      </c>
      <c r="CC40" s="93" t="str" cm="1">
        <f t="array" ref="CC40">_xlfn.LET(
  _xlpm.w, CC$11,
  _xlpm.r, MATCH(1,('3. Enter Indicator Scores'!$B$10:$B$161=$B40)*('3. Enter Indicator Scores'!$C$10:$C$161=$C40),0),
  _xlpm.c, MATCH(CC$8,'3. Enter Indicator Scores'!$D$8:$CZ$8,0),
  _xlpm.v, IFERROR(INDEX('3. Enter Indicator Scores'!$D$10:$CZ$161,_xlpm.r,_xlpm.c),""),
  IF(OR(_xlpm.w="",_xlpm.v=""),"",_xlpm.v*_xlpm.w)
)</f>
        <v/>
      </c>
      <c r="CD40" s="93" t="str" cm="1">
        <f t="array" ref="CD40">_xlfn.LET(
  _xlpm.w, CD$11,
  _xlpm.r, MATCH(1,('3. Enter Indicator Scores'!$B$10:$B$161=$B40)*('3. Enter Indicator Scores'!$C$10:$C$161=$C40),0),
  _xlpm.c, MATCH(CD$8,'3. Enter Indicator Scores'!$D$8:$CZ$8,0),
  _xlpm.v, IFERROR(INDEX('3. Enter Indicator Scores'!$D$10:$CZ$161,_xlpm.r,_xlpm.c),""),
  IF(OR(_xlpm.w="",_xlpm.v=""),"",_xlpm.v*_xlpm.w)
)</f>
        <v/>
      </c>
      <c r="CE40" s="93" t="str" cm="1">
        <f t="array" ref="CE40">_xlfn.LET(
  _xlpm.w, CE$11,
  _xlpm.r, MATCH(1,('3. Enter Indicator Scores'!$B$10:$B$161=$B40)*('3. Enter Indicator Scores'!$C$10:$C$161=$C40),0),
  _xlpm.c, MATCH(CE$8,'3. Enter Indicator Scores'!$D$8:$CZ$8,0),
  _xlpm.v, IFERROR(INDEX('3. Enter Indicator Scores'!$D$10:$CZ$161,_xlpm.r,_xlpm.c),""),
  IF(OR(_xlpm.w="",_xlpm.v=""),"",_xlpm.v*_xlpm.w)
)</f>
        <v/>
      </c>
      <c r="CF40" s="93" t="str" cm="1">
        <f t="array" ref="CF40">_xlfn.LET(
  _xlpm.w, CF$11,
  _xlpm.r, MATCH(1,('3. Enter Indicator Scores'!$B$10:$B$161=$B40)*('3. Enter Indicator Scores'!$C$10:$C$161=$C40),0),
  _xlpm.c, MATCH(CF$8,'3. Enter Indicator Scores'!$D$8:$CZ$8,0),
  _xlpm.v, IFERROR(INDEX('3. Enter Indicator Scores'!$D$10:$CZ$161,_xlpm.r,_xlpm.c),""),
  IF(OR(_xlpm.w="",_xlpm.v=""),"",_xlpm.v*_xlpm.w)
)</f>
        <v/>
      </c>
      <c r="CG40" s="93" t="str" cm="1">
        <f t="array" ref="CG40">_xlfn.LET(
  _xlpm.w, CG$11,
  _xlpm.r, MATCH(1,('3. Enter Indicator Scores'!$B$10:$B$161=$B40)*('3. Enter Indicator Scores'!$C$10:$C$161=$C40),0),
  _xlpm.c, MATCH(CG$8,'3. Enter Indicator Scores'!$D$8:$CZ$8,0),
  _xlpm.v, IFERROR(INDEX('3. Enter Indicator Scores'!$D$10:$CZ$161,_xlpm.r,_xlpm.c),""),
  IF(OR(_xlpm.w="",_xlpm.v=""),"",_xlpm.v*_xlpm.w)
)</f>
        <v/>
      </c>
      <c r="CH40" s="93" t="str" cm="1">
        <f t="array" ref="CH40">_xlfn.LET(
  _xlpm.w, CH$11,
  _xlpm.r, MATCH(1,('3. Enter Indicator Scores'!$B$10:$B$161=$B40)*('3. Enter Indicator Scores'!$C$10:$C$161=$C40),0),
  _xlpm.c, MATCH(CH$8,'3. Enter Indicator Scores'!$D$8:$CZ$8,0),
  _xlpm.v, IFERROR(INDEX('3. Enter Indicator Scores'!$D$10:$CZ$161,_xlpm.r,_xlpm.c),""),
  IF(OR(_xlpm.w="",_xlpm.v=""),"",_xlpm.v*_xlpm.w)
)</f>
        <v/>
      </c>
      <c r="CI40" s="93" t="str" cm="1">
        <f t="array" ref="CI40">_xlfn.LET(
  _xlpm.w, CI$11,
  _xlpm.r, MATCH(1,('3. Enter Indicator Scores'!$B$10:$B$161=$B40)*('3. Enter Indicator Scores'!$C$10:$C$161=$C40),0),
  _xlpm.c, MATCH(CI$8,'3. Enter Indicator Scores'!$D$8:$CZ$8,0),
  _xlpm.v, IFERROR(INDEX('3. Enter Indicator Scores'!$D$10:$CZ$161,_xlpm.r,_xlpm.c),""),
  IF(OR(_xlpm.w="",_xlpm.v=""),"",_xlpm.v*_xlpm.w)
)</f>
        <v/>
      </c>
      <c r="CJ40" s="93" t="str" cm="1">
        <f t="array" ref="CJ40">_xlfn.LET(
  _xlpm.w, CJ$11,
  _xlpm.r, MATCH(1,('3. Enter Indicator Scores'!$B$10:$B$161=$B40)*('3. Enter Indicator Scores'!$C$10:$C$161=$C40),0),
  _xlpm.c, MATCH(CJ$8,'3. Enter Indicator Scores'!$D$8:$CZ$8,0),
  _xlpm.v, IFERROR(INDEX('3. Enter Indicator Scores'!$D$10:$CZ$161,_xlpm.r,_xlpm.c),""),
  IF(OR(_xlpm.w="",_xlpm.v=""),"",_xlpm.v*_xlpm.w)
)</f>
        <v/>
      </c>
      <c r="CK40" s="93" t="str" cm="1">
        <f t="array" ref="CK40">_xlfn.LET(
  _xlpm.w, CK$11,
  _xlpm.r, MATCH(1,('3. Enter Indicator Scores'!$B$10:$B$161=$B40)*('3. Enter Indicator Scores'!$C$10:$C$161=$C40),0),
  _xlpm.c, MATCH(CK$8,'3. Enter Indicator Scores'!$D$8:$CZ$8,0),
  _xlpm.v, IFERROR(INDEX('3. Enter Indicator Scores'!$D$10:$CZ$161,_xlpm.r,_xlpm.c),""),
  IF(OR(_xlpm.w="",_xlpm.v=""),"",_xlpm.v*_xlpm.w)
)</f>
        <v/>
      </c>
      <c r="CL40" s="93" t="str" cm="1">
        <f t="array" ref="CL40">_xlfn.LET(
  _xlpm.w, CL$11,
  _xlpm.r, MATCH(1,('3. Enter Indicator Scores'!$B$10:$B$161=$B40)*('3. Enter Indicator Scores'!$C$10:$C$161=$C40),0),
  _xlpm.c, MATCH(CL$8,'3. Enter Indicator Scores'!$D$8:$CZ$8,0),
  _xlpm.v, IFERROR(INDEX('3. Enter Indicator Scores'!$D$10:$CZ$161,_xlpm.r,_xlpm.c),""),
  IF(OR(_xlpm.w="",_xlpm.v=""),"",_xlpm.v*_xlpm.w)
)</f>
        <v/>
      </c>
      <c r="CM40" s="93" t="str" cm="1">
        <f t="array" ref="CM40">_xlfn.LET(
  _xlpm.w, CM$11,
  _xlpm.r, MATCH(1,('3. Enter Indicator Scores'!$B$10:$B$161=$B40)*('3. Enter Indicator Scores'!$C$10:$C$161=$C40),0),
  _xlpm.c, MATCH(CM$8,'3. Enter Indicator Scores'!$D$8:$CZ$8,0),
  _xlpm.v, IFERROR(INDEX('3. Enter Indicator Scores'!$D$10:$CZ$161,_xlpm.r,_xlpm.c),""),
  IF(OR(_xlpm.w="",_xlpm.v=""),"",_xlpm.v*_xlpm.w)
)</f>
        <v/>
      </c>
      <c r="CN40" s="93" t="str" cm="1">
        <f t="array" ref="CN40">_xlfn.LET(
  _xlpm.w, CN$11,
  _xlpm.r, MATCH(1,('3. Enter Indicator Scores'!$B$10:$B$161=$B40)*('3. Enter Indicator Scores'!$C$10:$C$161=$C40),0),
  _xlpm.c, MATCH(CN$8,'3. Enter Indicator Scores'!$D$8:$CZ$8,0),
  _xlpm.v, IFERROR(INDEX('3. Enter Indicator Scores'!$D$10:$CZ$161,_xlpm.r,_xlpm.c),""),
  IF(OR(_xlpm.w="",_xlpm.v=""),"",_xlpm.v*_xlpm.w)
)</f>
        <v/>
      </c>
      <c r="CO40" s="93" t="str" cm="1">
        <f t="array" ref="CO40">_xlfn.LET(
  _xlpm.w, CO$11,
  _xlpm.r, MATCH(1,('3. Enter Indicator Scores'!$B$10:$B$161=$B40)*('3. Enter Indicator Scores'!$C$10:$C$161=$C40),0),
  _xlpm.c, MATCH(CO$8,'3. Enter Indicator Scores'!$D$8:$CZ$8,0),
  _xlpm.v, IFERROR(INDEX('3. Enter Indicator Scores'!$D$10:$CZ$161,_xlpm.r,_xlpm.c),""),
  IF(OR(_xlpm.w="",_xlpm.v=""),"",_xlpm.v*_xlpm.w)
)</f>
        <v/>
      </c>
      <c r="CP40" s="93" t="str" cm="1">
        <f t="array" ref="CP40">_xlfn.LET(
  _xlpm.w, CP$11,
  _xlpm.r, MATCH(1,('3. Enter Indicator Scores'!$B$10:$B$161=$B40)*('3. Enter Indicator Scores'!$C$10:$C$161=$C40),0),
  _xlpm.c, MATCH(CP$8,'3. Enter Indicator Scores'!$D$8:$CZ$8,0),
  _xlpm.v, IFERROR(INDEX('3. Enter Indicator Scores'!$D$10:$CZ$161,_xlpm.r,_xlpm.c),""),
  IF(OR(_xlpm.w="",_xlpm.v=""),"",_xlpm.v*_xlpm.w)
)</f>
        <v/>
      </c>
      <c r="CQ40" s="93" t="str" cm="1">
        <f t="array" ref="CQ40">_xlfn.LET(
  _xlpm.w, CQ$11,
  _xlpm.r, MATCH(1,('3. Enter Indicator Scores'!$B$10:$B$161=$B40)*('3. Enter Indicator Scores'!$C$10:$C$161=$C40),0),
  _xlpm.c, MATCH(CQ$8,'3. Enter Indicator Scores'!$D$8:$CZ$8,0),
  _xlpm.v, IFERROR(INDEX('3. Enter Indicator Scores'!$D$10:$CZ$161,_xlpm.r,_xlpm.c),""),
  IF(OR(_xlpm.w="",_xlpm.v=""),"",_xlpm.v*_xlpm.w)
)</f>
        <v/>
      </c>
      <c r="CR40" s="93" t="str" cm="1">
        <f t="array" ref="CR40">_xlfn.LET(
  _xlpm.w, CR$11,
  _xlpm.r, MATCH(1,('3. Enter Indicator Scores'!$B$10:$B$161=$B40)*('3. Enter Indicator Scores'!$C$10:$C$161=$C40),0),
  _xlpm.c, MATCH(CR$8,'3. Enter Indicator Scores'!$D$8:$CZ$8,0),
  _xlpm.v, IFERROR(INDEX('3. Enter Indicator Scores'!$D$10:$CZ$161,_xlpm.r,_xlpm.c),""),
  IF(OR(_xlpm.w="",_xlpm.v=""),"",_xlpm.v*_xlpm.w)
)</f>
        <v/>
      </c>
      <c r="CS40" s="93" t="str" cm="1">
        <f t="array" ref="CS40">_xlfn.LET(
  _xlpm.w, CS$11,
  _xlpm.r, MATCH(1,('3. Enter Indicator Scores'!$B$10:$B$161=$B40)*('3. Enter Indicator Scores'!$C$10:$C$161=$C40),0),
  _xlpm.c, MATCH(CS$8,'3. Enter Indicator Scores'!$D$8:$CZ$8,0),
  _xlpm.v, IFERROR(INDEX('3. Enter Indicator Scores'!$D$10:$CZ$161,_xlpm.r,_xlpm.c),""),
  IF(OR(_xlpm.w="",_xlpm.v=""),"",_xlpm.v*_xlpm.w)
)</f>
        <v/>
      </c>
      <c r="CT40" s="93" t="str" cm="1">
        <f t="array" ref="CT40">_xlfn.LET(
  _xlpm.w, CT$11,
  _xlpm.r, MATCH(1,('3. Enter Indicator Scores'!$B$10:$B$161=$B40)*('3. Enter Indicator Scores'!$C$10:$C$161=$C40),0),
  _xlpm.c, MATCH(CT$8,'3. Enter Indicator Scores'!$D$8:$CZ$8,0),
  _xlpm.v, IFERROR(INDEX('3. Enter Indicator Scores'!$D$10:$CZ$161,_xlpm.r,_xlpm.c),""),
  IF(OR(_xlpm.w="",_xlpm.v=""),"",_xlpm.v*_xlpm.w)
)</f>
        <v/>
      </c>
      <c r="CU40" s="93" t="str" cm="1">
        <f t="array" ref="CU40">_xlfn.LET(
  _xlpm.w, CU$11,
  _xlpm.r, MATCH(1,('3. Enter Indicator Scores'!$B$10:$B$161=$B40)*('3. Enter Indicator Scores'!$C$10:$C$161=$C40),0),
  _xlpm.c, MATCH(CU$8,'3. Enter Indicator Scores'!$D$8:$CZ$8,0),
  _xlpm.v, IFERROR(INDEX('3. Enter Indicator Scores'!$D$10:$CZ$161,_xlpm.r,_xlpm.c),""),
  IF(OR(_xlpm.w="",_xlpm.v=""),"",_xlpm.v*_xlpm.w)
)</f>
        <v/>
      </c>
      <c r="CV40" s="93" t="str" cm="1">
        <f t="array" ref="CV40">_xlfn.LET(
  _xlpm.w, CV$11,
  _xlpm.r, MATCH(1,('3. Enter Indicator Scores'!$B$10:$B$161=$B40)*('3. Enter Indicator Scores'!$C$10:$C$161=$C40),0),
  _xlpm.c, MATCH(CV$8,'3. Enter Indicator Scores'!$D$8:$CZ$8,0),
  _xlpm.v, IFERROR(INDEX('3. Enter Indicator Scores'!$D$10:$CZ$161,_xlpm.r,_xlpm.c),""),
  IF(OR(_xlpm.w="",_xlpm.v=""),"",_xlpm.v*_xlpm.w)
)</f>
        <v/>
      </c>
      <c r="CW40" s="93" t="str" cm="1">
        <f t="array" ref="CW40">_xlfn.LET(
  _xlpm.w, CW$11,
  _xlpm.r, MATCH(1,('3. Enter Indicator Scores'!$B$10:$B$161=$B40)*('3. Enter Indicator Scores'!$C$10:$C$161=$C40),0),
  _xlpm.c, MATCH(CW$8,'3. Enter Indicator Scores'!$D$8:$CZ$8,0),
  _xlpm.v, IFERROR(INDEX('3. Enter Indicator Scores'!$D$10:$CZ$161,_xlpm.r,_xlpm.c),""),
  IF(OR(_xlpm.w="",_xlpm.v=""),"",_xlpm.v*_xlpm.w)
)</f>
        <v/>
      </c>
      <c r="CX40" s="93" t="str" cm="1">
        <f t="array" ref="CX40">_xlfn.LET(
  _xlpm.w, CX$11,
  _xlpm.r, MATCH(1,('3. Enter Indicator Scores'!$B$10:$B$161=$B40)*('3. Enter Indicator Scores'!$C$10:$C$161=$C40),0),
  _xlpm.c, MATCH(CX$8,'3. Enter Indicator Scores'!$D$8:$CZ$8,0),
  _xlpm.v, IFERROR(INDEX('3. Enter Indicator Scores'!$D$10:$CZ$161,_xlpm.r,_xlpm.c),""),
  IF(OR(_xlpm.w="",_xlpm.v=""),"",_xlpm.v*_xlpm.w)
)</f>
        <v/>
      </c>
      <c r="CY40" s="93" t="str" cm="1">
        <f t="array" ref="CY40">_xlfn.LET(
  _xlpm.w, CY$11,
  _xlpm.r, MATCH(1,('3. Enter Indicator Scores'!$B$10:$B$161=$B40)*('3. Enter Indicator Scores'!$C$10:$C$161=$C40),0),
  _xlpm.c, MATCH(CY$8,'3. Enter Indicator Scores'!$D$8:$CZ$8,0),
  _xlpm.v, IFERROR(INDEX('3. Enter Indicator Scores'!$D$10:$CZ$161,_xlpm.r,_xlpm.c),""),
  IF(OR(_xlpm.w="",_xlpm.v=""),"",_xlpm.v*_xlpm.w)
)</f>
        <v/>
      </c>
      <c r="CZ40" s="93" t="str" cm="1">
        <f t="array" ref="CZ40">_xlfn.LET(
  _xlpm.w, CZ$11,
  _xlpm.r, MATCH(1,('3. Enter Indicator Scores'!$B$10:$B$161=$B40)*('3. Enter Indicator Scores'!$C$10:$C$161=$C40),0),
  _xlpm.c, MATCH(CZ$8,'3. Enter Indicator Scores'!$D$8:$CZ$8,0),
  _xlpm.v, IFERROR(INDEX('3. Enter Indicator Scores'!$D$10:$CZ$161,_xlpm.r,_xlpm.c),""),
  IF(OR(_xlpm.w="",_xlpm.v=""),"",_xlpm.v*_xlpm.w)
)</f>
        <v/>
      </c>
    </row>
    <row r="41" spans="4:104" x14ac:dyDescent="0.2">
      <c r="D41" s="93" t="str" cm="1">
        <f t="array" ref="D41">_xlfn.LET(
  _xlpm.w, D$11,
  _xlpm.r, MATCH(1,('3. Enter Indicator Scores'!$B$10:$B$161=$B41)*('3. Enter Indicator Scores'!$C$10:$C$161=$C41),0),
  _xlpm.c, MATCH(D$8,'3. Enter Indicator Scores'!$D$8:$CZ$8,0),
  _xlpm.v, IFERROR(INDEX('3. Enter Indicator Scores'!$D$10:$CZ$161,_xlpm.r,_xlpm.c),""),
  IF(OR(_xlpm.w="",_xlpm.v=""),"",_xlpm.v*_xlpm.w)
)</f>
        <v/>
      </c>
      <c r="E41" s="93" t="str" cm="1">
        <f t="array" ref="E41">_xlfn.LET(
  _xlpm.w, E$11,
  _xlpm.r, MATCH(1,('3. Enter Indicator Scores'!$B$10:$B$161=$B41)*('3. Enter Indicator Scores'!$C$10:$C$161=$C41),0),
  _xlpm.c, MATCH(E$8,'3. Enter Indicator Scores'!$D$8:$CZ$8,0),
  _xlpm.v, IFERROR(INDEX('3. Enter Indicator Scores'!$D$10:$CZ$161,_xlpm.r,_xlpm.c),""),
  IF(OR(_xlpm.w="",_xlpm.v=""),"",_xlpm.v*_xlpm.w)
)</f>
        <v/>
      </c>
      <c r="F41" s="93" t="str" cm="1">
        <f t="array" ref="F41">_xlfn.LET(
  _xlpm.w, F$11,
  _xlpm.r, MATCH(1,('3. Enter Indicator Scores'!$B$10:$B$161=$B41)*('3. Enter Indicator Scores'!$C$10:$C$161=$C41),0),
  _xlpm.c, MATCH(F$8,'3. Enter Indicator Scores'!$D$8:$CZ$8,0),
  _xlpm.v, IFERROR(INDEX('3. Enter Indicator Scores'!$D$10:$CZ$161,_xlpm.r,_xlpm.c),""),
  IF(OR(_xlpm.w="",_xlpm.v=""),"",_xlpm.v*_xlpm.w)
)</f>
        <v/>
      </c>
      <c r="G41" s="93" t="str" cm="1">
        <f t="array" ref="G41">_xlfn.LET(
  _xlpm.w, G$11,
  _xlpm.r, MATCH(1,('3. Enter Indicator Scores'!$B$10:$B$161=$B41)*('3. Enter Indicator Scores'!$C$10:$C$161=$C41),0),
  _xlpm.c, MATCH(G$8,'3. Enter Indicator Scores'!$D$8:$CZ$8,0),
  _xlpm.v, IFERROR(INDEX('3. Enter Indicator Scores'!$D$10:$CZ$161,_xlpm.r,_xlpm.c),""),
  IF(OR(_xlpm.w="",_xlpm.v=""),"",_xlpm.v*_xlpm.w)
)</f>
        <v/>
      </c>
      <c r="H41" s="93" t="str" cm="1">
        <f t="array" ref="H41">_xlfn.LET(
  _xlpm.w, H$11,
  _xlpm.r, MATCH(1,('3. Enter Indicator Scores'!$B$10:$B$161=$B41)*('3. Enter Indicator Scores'!$C$10:$C$161=$C41),0),
  _xlpm.c, MATCH(H$8,'3. Enter Indicator Scores'!$D$8:$CZ$8,0),
  _xlpm.v, IFERROR(INDEX('3. Enter Indicator Scores'!$D$10:$CZ$161,_xlpm.r,_xlpm.c),""),
  IF(OR(_xlpm.w="",_xlpm.v=""),"",_xlpm.v*_xlpm.w)
)</f>
        <v/>
      </c>
      <c r="I41" s="93" t="str" cm="1">
        <f t="array" ref="I41">_xlfn.LET(
  _xlpm.w, I$11,
  _xlpm.r, MATCH(1,('3. Enter Indicator Scores'!$B$10:$B$161=$B41)*('3. Enter Indicator Scores'!$C$10:$C$161=$C41),0),
  _xlpm.c, MATCH(I$8,'3. Enter Indicator Scores'!$D$8:$CZ$8,0),
  _xlpm.v, IFERROR(INDEX('3. Enter Indicator Scores'!$D$10:$CZ$161,_xlpm.r,_xlpm.c),""),
  IF(OR(_xlpm.w="",_xlpm.v=""),"",_xlpm.v*_xlpm.w)
)</f>
        <v/>
      </c>
      <c r="J41" s="93" t="str" cm="1">
        <f t="array" ref="J41">_xlfn.LET(
  _xlpm.w, J$11,
  _xlpm.r, MATCH(1,('3. Enter Indicator Scores'!$B$10:$B$161=$B41)*('3. Enter Indicator Scores'!$C$10:$C$161=$C41),0),
  _xlpm.c, MATCH(J$8,'3. Enter Indicator Scores'!$D$8:$CZ$8,0),
  _xlpm.v, IFERROR(INDEX('3. Enter Indicator Scores'!$D$10:$CZ$161,_xlpm.r,_xlpm.c),""),
  IF(OR(_xlpm.w="",_xlpm.v=""),"",_xlpm.v*_xlpm.w)
)</f>
        <v/>
      </c>
      <c r="K41" s="93" t="str" cm="1">
        <f t="array" ref="K41">_xlfn.LET(
  _xlpm.w, K$11,
  _xlpm.r, MATCH(1,('3. Enter Indicator Scores'!$B$10:$B$161=$B41)*('3. Enter Indicator Scores'!$C$10:$C$161=$C41),0),
  _xlpm.c, MATCH(K$8,'3. Enter Indicator Scores'!$D$8:$CZ$8,0),
  _xlpm.v, IFERROR(INDEX('3. Enter Indicator Scores'!$D$10:$CZ$161,_xlpm.r,_xlpm.c),""),
  IF(OR(_xlpm.w="",_xlpm.v=""),"",_xlpm.v*_xlpm.w)
)</f>
        <v/>
      </c>
      <c r="L41" s="93" t="str" cm="1">
        <f t="array" ref="L41">_xlfn.LET(
  _xlpm.w, L$11,
  _xlpm.r, MATCH(1,('3. Enter Indicator Scores'!$B$10:$B$161=$B41)*('3. Enter Indicator Scores'!$C$10:$C$161=$C41),0),
  _xlpm.c, MATCH(L$8,'3. Enter Indicator Scores'!$D$8:$CZ$8,0),
  _xlpm.v, IFERROR(INDEX('3. Enter Indicator Scores'!$D$10:$CZ$161,_xlpm.r,_xlpm.c),""),
  IF(OR(_xlpm.w="",_xlpm.v=""),"",_xlpm.v*_xlpm.w)
)</f>
        <v/>
      </c>
      <c r="M41" s="93" t="str" cm="1">
        <f t="array" ref="M41">_xlfn.LET(
  _xlpm.w, M$11,
  _xlpm.r, MATCH(1,('3. Enter Indicator Scores'!$B$10:$B$161=$B41)*('3. Enter Indicator Scores'!$C$10:$C$161=$C41),0),
  _xlpm.c, MATCH(M$8,'3. Enter Indicator Scores'!$D$8:$CZ$8,0),
  _xlpm.v, IFERROR(INDEX('3. Enter Indicator Scores'!$D$10:$CZ$161,_xlpm.r,_xlpm.c),""),
  IF(OR(_xlpm.w="",_xlpm.v=""),"",_xlpm.v*_xlpm.w)
)</f>
        <v/>
      </c>
      <c r="N41" s="93" t="str" cm="1">
        <f t="array" ref="N41">_xlfn.LET(
  _xlpm.w, N$11,
  _xlpm.r, MATCH(1,('3. Enter Indicator Scores'!$B$10:$B$161=$B41)*('3. Enter Indicator Scores'!$C$10:$C$161=$C41),0),
  _xlpm.c, MATCH(N$8,'3. Enter Indicator Scores'!$D$8:$CZ$8,0),
  _xlpm.v, IFERROR(INDEX('3. Enter Indicator Scores'!$D$10:$CZ$161,_xlpm.r,_xlpm.c),""),
  IF(OR(_xlpm.w="",_xlpm.v=""),"",_xlpm.v*_xlpm.w)
)</f>
        <v/>
      </c>
      <c r="O41" s="93" t="str" cm="1">
        <f t="array" ref="O41">_xlfn.LET(
  _xlpm.w, O$11,
  _xlpm.r, MATCH(1,('3. Enter Indicator Scores'!$B$10:$B$161=$B41)*('3. Enter Indicator Scores'!$C$10:$C$161=$C41),0),
  _xlpm.c, MATCH(O$8,'3. Enter Indicator Scores'!$D$8:$CZ$8,0),
  _xlpm.v, IFERROR(INDEX('3. Enter Indicator Scores'!$D$10:$CZ$161,_xlpm.r,_xlpm.c),""),
  IF(OR(_xlpm.w="",_xlpm.v=""),"",_xlpm.v*_xlpm.w)
)</f>
        <v/>
      </c>
      <c r="P41" s="93" t="str" cm="1">
        <f t="array" ref="P41">_xlfn.LET(
  _xlpm.w, P$11,
  _xlpm.r, MATCH(1,('3. Enter Indicator Scores'!$B$10:$B$161=$B41)*('3. Enter Indicator Scores'!$C$10:$C$161=$C41),0),
  _xlpm.c, MATCH(P$8,'3. Enter Indicator Scores'!$D$8:$CZ$8,0),
  _xlpm.v, IFERROR(INDEX('3. Enter Indicator Scores'!$D$10:$CZ$161,_xlpm.r,_xlpm.c),""),
  IF(OR(_xlpm.w="",_xlpm.v=""),"",_xlpm.v*_xlpm.w)
)</f>
        <v/>
      </c>
      <c r="Q41" s="93" t="str" cm="1">
        <f t="array" ref="Q41">_xlfn.LET(
  _xlpm.w, Q$11,
  _xlpm.r, MATCH(1,('3. Enter Indicator Scores'!$B$10:$B$161=$B41)*('3. Enter Indicator Scores'!$C$10:$C$161=$C41),0),
  _xlpm.c, MATCH(Q$8,'3. Enter Indicator Scores'!$D$8:$CZ$8,0),
  _xlpm.v, IFERROR(INDEX('3. Enter Indicator Scores'!$D$10:$CZ$161,_xlpm.r,_xlpm.c),""),
  IF(OR(_xlpm.w="",_xlpm.v=""),"",_xlpm.v*_xlpm.w)
)</f>
        <v/>
      </c>
      <c r="R41" s="93" t="str" cm="1">
        <f t="array" ref="R41">_xlfn.LET(
  _xlpm.w, R$11,
  _xlpm.r, MATCH(1,('3. Enter Indicator Scores'!$B$10:$B$161=$B41)*('3. Enter Indicator Scores'!$C$10:$C$161=$C41),0),
  _xlpm.c, MATCH(R$8,'3. Enter Indicator Scores'!$D$8:$CZ$8,0),
  _xlpm.v, IFERROR(INDEX('3. Enter Indicator Scores'!$D$10:$CZ$161,_xlpm.r,_xlpm.c),""),
  IF(OR(_xlpm.w="",_xlpm.v=""),"",_xlpm.v*_xlpm.w)
)</f>
        <v/>
      </c>
      <c r="S41" s="93" t="str" cm="1">
        <f t="array" ref="S41">_xlfn.LET(
  _xlpm.w, S$11,
  _xlpm.r, MATCH(1,('3. Enter Indicator Scores'!$B$10:$B$161=$B41)*('3. Enter Indicator Scores'!$C$10:$C$161=$C41),0),
  _xlpm.c, MATCH(S$8,'3. Enter Indicator Scores'!$D$8:$CZ$8,0),
  _xlpm.v, IFERROR(INDEX('3. Enter Indicator Scores'!$D$10:$CZ$161,_xlpm.r,_xlpm.c),""),
  IF(OR(_xlpm.w="",_xlpm.v=""),"",_xlpm.v*_xlpm.w)
)</f>
        <v/>
      </c>
      <c r="T41" s="93" t="str" cm="1">
        <f t="array" ref="T41">_xlfn.LET(
  _xlpm.w, T$11,
  _xlpm.r, MATCH(1,('3. Enter Indicator Scores'!$B$10:$B$161=$B41)*('3. Enter Indicator Scores'!$C$10:$C$161=$C41),0),
  _xlpm.c, MATCH(T$8,'3. Enter Indicator Scores'!$D$8:$CZ$8,0),
  _xlpm.v, IFERROR(INDEX('3. Enter Indicator Scores'!$D$10:$CZ$161,_xlpm.r,_xlpm.c),""),
  IF(OR(_xlpm.w="",_xlpm.v=""),"",_xlpm.v*_xlpm.w)
)</f>
        <v/>
      </c>
      <c r="U41" s="93" t="str" cm="1">
        <f t="array" ref="U41">_xlfn.LET(
  _xlpm.w, U$11,
  _xlpm.r, MATCH(1,('3. Enter Indicator Scores'!$B$10:$B$161=$B41)*('3. Enter Indicator Scores'!$C$10:$C$161=$C41),0),
  _xlpm.c, MATCH(U$8,'3. Enter Indicator Scores'!$D$8:$CZ$8,0),
  _xlpm.v, IFERROR(INDEX('3. Enter Indicator Scores'!$D$10:$CZ$161,_xlpm.r,_xlpm.c),""),
  IF(OR(_xlpm.w="",_xlpm.v=""),"",_xlpm.v*_xlpm.w)
)</f>
        <v/>
      </c>
      <c r="V41" s="93" t="str" cm="1">
        <f t="array" ref="V41">_xlfn.LET(
  _xlpm.w, V$11,
  _xlpm.r, MATCH(1,('3. Enter Indicator Scores'!$B$10:$B$161=$B41)*('3. Enter Indicator Scores'!$C$10:$C$161=$C41),0),
  _xlpm.c, MATCH(V$8,'3. Enter Indicator Scores'!$D$8:$CZ$8,0),
  _xlpm.v, IFERROR(INDEX('3. Enter Indicator Scores'!$D$10:$CZ$161,_xlpm.r,_xlpm.c),""),
  IF(OR(_xlpm.w="",_xlpm.v=""),"",_xlpm.v*_xlpm.w)
)</f>
        <v/>
      </c>
      <c r="W41" s="93" t="str" cm="1">
        <f t="array" ref="W41">_xlfn.LET(
  _xlpm.w, W$11,
  _xlpm.r, MATCH(1,('3. Enter Indicator Scores'!$B$10:$B$161=$B41)*('3. Enter Indicator Scores'!$C$10:$C$161=$C41),0),
  _xlpm.c, MATCH(W$8,'3. Enter Indicator Scores'!$D$8:$CZ$8,0),
  _xlpm.v, IFERROR(INDEX('3. Enter Indicator Scores'!$D$10:$CZ$161,_xlpm.r,_xlpm.c),""),
  IF(OR(_xlpm.w="",_xlpm.v=""),"",_xlpm.v*_xlpm.w)
)</f>
        <v/>
      </c>
      <c r="X41" s="93" t="str" cm="1">
        <f t="array" ref="X41">_xlfn.LET(
  _xlpm.w, X$11,
  _xlpm.r, MATCH(1,('3. Enter Indicator Scores'!$B$10:$B$161=$B41)*('3. Enter Indicator Scores'!$C$10:$C$161=$C41),0),
  _xlpm.c, MATCH(X$8,'3. Enter Indicator Scores'!$D$8:$CZ$8,0),
  _xlpm.v, IFERROR(INDEX('3. Enter Indicator Scores'!$D$10:$CZ$161,_xlpm.r,_xlpm.c),""),
  IF(OR(_xlpm.w="",_xlpm.v=""),"",_xlpm.v*_xlpm.w)
)</f>
        <v/>
      </c>
      <c r="Y41" s="93" t="str" cm="1">
        <f t="array" ref="Y41">_xlfn.LET(
  _xlpm.w, Y$11,
  _xlpm.r, MATCH(1,('3. Enter Indicator Scores'!$B$10:$B$161=$B41)*('3. Enter Indicator Scores'!$C$10:$C$161=$C41),0),
  _xlpm.c, MATCH(Y$8,'3. Enter Indicator Scores'!$D$8:$CZ$8,0),
  _xlpm.v, IFERROR(INDEX('3. Enter Indicator Scores'!$D$10:$CZ$161,_xlpm.r,_xlpm.c),""),
  IF(OR(_xlpm.w="",_xlpm.v=""),"",_xlpm.v*_xlpm.w)
)</f>
        <v/>
      </c>
      <c r="Z41" s="93" t="str" cm="1">
        <f t="array" ref="Z41">_xlfn.LET(
  _xlpm.w, Z$11,
  _xlpm.r, MATCH(1,('3. Enter Indicator Scores'!$B$10:$B$161=$B41)*('3. Enter Indicator Scores'!$C$10:$C$161=$C41),0),
  _xlpm.c, MATCH(Z$8,'3. Enter Indicator Scores'!$D$8:$CZ$8,0),
  _xlpm.v, IFERROR(INDEX('3. Enter Indicator Scores'!$D$10:$CZ$161,_xlpm.r,_xlpm.c),""),
  IF(OR(_xlpm.w="",_xlpm.v=""),"",_xlpm.v*_xlpm.w)
)</f>
        <v/>
      </c>
      <c r="AA41" s="93" t="str" cm="1">
        <f t="array" ref="AA41">_xlfn.LET(
  _xlpm.w, AA$11,
  _xlpm.r, MATCH(1,('3. Enter Indicator Scores'!$B$10:$B$161=$B41)*('3. Enter Indicator Scores'!$C$10:$C$161=$C41),0),
  _xlpm.c, MATCH(AA$8,'3. Enter Indicator Scores'!$D$8:$CZ$8,0),
  _xlpm.v, IFERROR(INDEX('3. Enter Indicator Scores'!$D$10:$CZ$161,_xlpm.r,_xlpm.c),""),
  IF(OR(_xlpm.w="",_xlpm.v=""),"",_xlpm.v*_xlpm.w)
)</f>
        <v/>
      </c>
      <c r="AB41" s="93" t="str" cm="1">
        <f t="array" ref="AB41">_xlfn.LET(
  _xlpm.w, AB$11,
  _xlpm.r, MATCH(1,('3. Enter Indicator Scores'!$B$10:$B$161=$B41)*('3. Enter Indicator Scores'!$C$10:$C$161=$C41),0),
  _xlpm.c, MATCH(AB$8,'3. Enter Indicator Scores'!$D$8:$CZ$8,0),
  _xlpm.v, IFERROR(INDEX('3. Enter Indicator Scores'!$D$10:$CZ$161,_xlpm.r,_xlpm.c),""),
  IF(OR(_xlpm.w="",_xlpm.v=""),"",_xlpm.v*_xlpm.w)
)</f>
        <v/>
      </c>
      <c r="AC41" s="93" t="str" cm="1">
        <f t="array" ref="AC41">_xlfn.LET(
  _xlpm.w, AC$11,
  _xlpm.r, MATCH(1,('3. Enter Indicator Scores'!$B$10:$B$161=$B41)*('3. Enter Indicator Scores'!$C$10:$C$161=$C41),0),
  _xlpm.c, MATCH(AC$8,'3. Enter Indicator Scores'!$D$8:$CZ$8,0),
  _xlpm.v, IFERROR(INDEX('3. Enter Indicator Scores'!$D$10:$CZ$161,_xlpm.r,_xlpm.c),""),
  IF(OR(_xlpm.w="",_xlpm.v=""),"",_xlpm.v*_xlpm.w)
)</f>
        <v/>
      </c>
      <c r="AD41" s="93" t="str" cm="1">
        <f t="array" ref="AD41">_xlfn.LET(
  _xlpm.w, AD$11,
  _xlpm.r, MATCH(1,('3. Enter Indicator Scores'!$B$10:$B$161=$B41)*('3. Enter Indicator Scores'!$C$10:$C$161=$C41),0),
  _xlpm.c, MATCH(AD$8,'3. Enter Indicator Scores'!$D$8:$CZ$8,0),
  _xlpm.v, IFERROR(INDEX('3. Enter Indicator Scores'!$D$10:$CZ$161,_xlpm.r,_xlpm.c),""),
  IF(OR(_xlpm.w="",_xlpm.v=""),"",_xlpm.v*_xlpm.w)
)</f>
        <v/>
      </c>
      <c r="AE41" s="93" t="str" cm="1">
        <f t="array" ref="AE41">_xlfn.LET(
  _xlpm.w, AE$11,
  _xlpm.r, MATCH(1,('3. Enter Indicator Scores'!$B$10:$B$161=$B41)*('3. Enter Indicator Scores'!$C$10:$C$161=$C41),0),
  _xlpm.c, MATCH(AE$8,'3. Enter Indicator Scores'!$D$8:$CZ$8,0),
  _xlpm.v, IFERROR(INDEX('3. Enter Indicator Scores'!$D$10:$CZ$161,_xlpm.r,_xlpm.c),""),
  IF(OR(_xlpm.w="",_xlpm.v=""),"",_xlpm.v*_xlpm.w)
)</f>
        <v/>
      </c>
      <c r="AF41" s="93" t="str" cm="1">
        <f t="array" ref="AF41">_xlfn.LET(
  _xlpm.w, AF$11,
  _xlpm.r, MATCH(1,('3. Enter Indicator Scores'!$B$10:$B$161=$B41)*('3. Enter Indicator Scores'!$C$10:$C$161=$C41),0),
  _xlpm.c, MATCH(AF$8,'3. Enter Indicator Scores'!$D$8:$CZ$8,0),
  _xlpm.v, IFERROR(INDEX('3. Enter Indicator Scores'!$D$10:$CZ$161,_xlpm.r,_xlpm.c),""),
  IF(OR(_xlpm.w="",_xlpm.v=""),"",_xlpm.v*_xlpm.w)
)</f>
        <v/>
      </c>
      <c r="AG41" s="93" t="str" cm="1">
        <f t="array" ref="AG41">_xlfn.LET(
  _xlpm.w, AG$11,
  _xlpm.r, MATCH(1,('3. Enter Indicator Scores'!$B$10:$B$161=$B41)*('3. Enter Indicator Scores'!$C$10:$C$161=$C41),0),
  _xlpm.c, MATCH(AG$8,'3. Enter Indicator Scores'!$D$8:$CZ$8,0),
  _xlpm.v, IFERROR(INDEX('3. Enter Indicator Scores'!$D$10:$CZ$161,_xlpm.r,_xlpm.c),""),
  IF(OR(_xlpm.w="",_xlpm.v=""),"",_xlpm.v*_xlpm.w)
)</f>
        <v/>
      </c>
      <c r="AH41" s="93" t="str" cm="1">
        <f t="array" ref="AH41">_xlfn.LET(
  _xlpm.w, AH$11,
  _xlpm.r, MATCH(1,('3. Enter Indicator Scores'!$B$10:$B$161=$B41)*('3. Enter Indicator Scores'!$C$10:$C$161=$C41),0),
  _xlpm.c, MATCH(AH$8,'3. Enter Indicator Scores'!$D$8:$CZ$8,0),
  _xlpm.v, IFERROR(INDEX('3. Enter Indicator Scores'!$D$10:$CZ$161,_xlpm.r,_xlpm.c),""),
  IF(OR(_xlpm.w="",_xlpm.v=""),"",_xlpm.v*_xlpm.w)
)</f>
        <v/>
      </c>
      <c r="AI41" s="93" t="str" cm="1">
        <f t="array" ref="AI41">_xlfn.LET(
  _xlpm.w, AI$11,
  _xlpm.r, MATCH(1,('3. Enter Indicator Scores'!$B$10:$B$161=$B41)*('3. Enter Indicator Scores'!$C$10:$C$161=$C41),0),
  _xlpm.c, MATCH(AI$8,'3. Enter Indicator Scores'!$D$8:$CZ$8,0),
  _xlpm.v, IFERROR(INDEX('3. Enter Indicator Scores'!$D$10:$CZ$161,_xlpm.r,_xlpm.c),""),
  IF(OR(_xlpm.w="",_xlpm.v=""),"",_xlpm.v*_xlpm.w)
)</f>
        <v/>
      </c>
      <c r="AJ41" s="93" t="str" cm="1">
        <f t="array" ref="AJ41">_xlfn.LET(
  _xlpm.w, AJ$11,
  _xlpm.r, MATCH(1,('3. Enter Indicator Scores'!$B$10:$B$161=$B41)*('3. Enter Indicator Scores'!$C$10:$C$161=$C41),0),
  _xlpm.c, MATCH(AJ$8,'3. Enter Indicator Scores'!$D$8:$CZ$8,0),
  _xlpm.v, IFERROR(INDEX('3. Enter Indicator Scores'!$D$10:$CZ$161,_xlpm.r,_xlpm.c),""),
  IF(OR(_xlpm.w="",_xlpm.v=""),"",_xlpm.v*_xlpm.w)
)</f>
        <v/>
      </c>
      <c r="AK41" s="93" t="str" cm="1">
        <f t="array" ref="AK41">_xlfn.LET(
  _xlpm.w, AK$11,
  _xlpm.r, MATCH(1,('3. Enter Indicator Scores'!$B$10:$B$161=$B41)*('3. Enter Indicator Scores'!$C$10:$C$161=$C41),0),
  _xlpm.c, MATCH(AK$8,'3. Enter Indicator Scores'!$D$8:$CZ$8,0),
  _xlpm.v, IFERROR(INDEX('3. Enter Indicator Scores'!$D$10:$CZ$161,_xlpm.r,_xlpm.c),""),
  IF(OR(_xlpm.w="",_xlpm.v=""),"",_xlpm.v*_xlpm.w)
)</f>
        <v/>
      </c>
      <c r="AL41" s="93" t="str" cm="1">
        <f t="array" ref="AL41">_xlfn.LET(
  _xlpm.w, AL$11,
  _xlpm.r, MATCH(1,('3. Enter Indicator Scores'!$B$10:$B$161=$B41)*('3. Enter Indicator Scores'!$C$10:$C$161=$C41),0),
  _xlpm.c, MATCH(AL$8,'3. Enter Indicator Scores'!$D$8:$CZ$8,0),
  _xlpm.v, IFERROR(INDEX('3. Enter Indicator Scores'!$D$10:$CZ$161,_xlpm.r,_xlpm.c),""),
  IF(OR(_xlpm.w="",_xlpm.v=""),"",_xlpm.v*_xlpm.w)
)</f>
        <v/>
      </c>
      <c r="AM41" s="93" t="str" cm="1">
        <f t="array" ref="AM41">_xlfn.LET(
  _xlpm.w, AM$11,
  _xlpm.r, MATCH(1,('3. Enter Indicator Scores'!$B$10:$B$161=$B41)*('3. Enter Indicator Scores'!$C$10:$C$161=$C41),0),
  _xlpm.c, MATCH(AM$8,'3. Enter Indicator Scores'!$D$8:$CZ$8,0),
  _xlpm.v, IFERROR(INDEX('3. Enter Indicator Scores'!$D$10:$CZ$161,_xlpm.r,_xlpm.c),""),
  IF(OR(_xlpm.w="",_xlpm.v=""),"",_xlpm.v*_xlpm.w)
)</f>
        <v/>
      </c>
      <c r="AN41" s="93" t="str" cm="1">
        <f t="array" ref="AN41">_xlfn.LET(
  _xlpm.w, AN$11,
  _xlpm.r, MATCH(1,('3. Enter Indicator Scores'!$B$10:$B$161=$B41)*('3. Enter Indicator Scores'!$C$10:$C$161=$C41),0),
  _xlpm.c, MATCH(AN$8,'3. Enter Indicator Scores'!$D$8:$CZ$8,0),
  _xlpm.v, IFERROR(INDEX('3. Enter Indicator Scores'!$D$10:$CZ$161,_xlpm.r,_xlpm.c),""),
  IF(OR(_xlpm.w="",_xlpm.v=""),"",_xlpm.v*_xlpm.w)
)</f>
        <v/>
      </c>
      <c r="AO41" s="93" t="str" cm="1">
        <f t="array" ref="AO41">_xlfn.LET(
  _xlpm.w, AO$11,
  _xlpm.r, MATCH(1,('3. Enter Indicator Scores'!$B$10:$B$161=$B41)*('3. Enter Indicator Scores'!$C$10:$C$161=$C41),0),
  _xlpm.c, MATCH(AO$8,'3. Enter Indicator Scores'!$D$8:$CZ$8,0),
  _xlpm.v, IFERROR(INDEX('3. Enter Indicator Scores'!$D$10:$CZ$161,_xlpm.r,_xlpm.c),""),
  IF(OR(_xlpm.w="",_xlpm.v=""),"",_xlpm.v*_xlpm.w)
)</f>
        <v/>
      </c>
      <c r="AP41" s="93" t="str" cm="1">
        <f t="array" ref="AP41">_xlfn.LET(
  _xlpm.w, AP$11,
  _xlpm.r, MATCH(1,('3. Enter Indicator Scores'!$B$10:$B$161=$B41)*('3. Enter Indicator Scores'!$C$10:$C$161=$C41),0),
  _xlpm.c, MATCH(AP$8,'3. Enter Indicator Scores'!$D$8:$CZ$8,0),
  _xlpm.v, IFERROR(INDEX('3. Enter Indicator Scores'!$D$10:$CZ$161,_xlpm.r,_xlpm.c),""),
  IF(OR(_xlpm.w="",_xlpm.v=""),"",_xlpm.v*_xlpm.w)
)</f>
        <v/>
      </c>
      <c r="AQ41" s="93" t="str" cm="1">
        <f t="array" ref="AQ41">_xlfn.LET(
  _xlpm.w, AQ$11,
  _xlpm.r, MATCH(1,('3. Enter Indicator Scores'!$B$10:$B$161=$B41)*('3. Enter Indicator Scores'!$C$10:$C$161=$C41),0),
  _xlpm.c, MATCH(AQ$8,'3. Enter Indicator Scores'!$D$8:$CZ$8,0),
  _xlpm.v, IFERROR(INDEX('3. Enter Indicator Scores'!$D$10:$CZ$161,_xlpm.r,_xlpm.c),""),
  IF(OR(_xlpm.w="",_xlpm.v=""),"",_xlpm.v*_xlpm.w)
)</f>
        <v/>
      </c>
      <c r="AR41" s="93" t="str" cm="1">
        <f t="array" ref="AR41">_xlfn.LET(
  _xlpm.w, AR$11,
  _xlpm.r, MATCH(1,('3. Enter Indicator Scores'!$B$10:$B$161=$B41)*('3. Enter Indicator Scores'!$C$10:$C$161=$C41),0),
  _xlpm.c, MATCH(AR$8,'3. Enter Indicator Scores'!$D$8:$CZ$8,0),
  _xlpm.v, IFERROR(INDEX('3. Enter Indicator Scores'!$D$10:$CZ$161,_xlpm.r,_xlpm.c),""),
  IF(OR(_xlpm.w="",_xlpm.v=""),"",_xlpm.v*_xlpm.w)
)</f>
        <v/>
      </c>
      <c r="AS41" s="93" t="str" cm="1">
        <f t="array" ref="AS41">_xlfn.LET(
  _xlpm.w, AS$11,
  _xlpm.r, MATCH(1,('3. Enter Indicator Scores'!$B$10:$B$161=$B41)*('3. Enter Indicator Scores'!$C$10:$C$161=$C41),0),
  _xlpm.c, MATCH(AS$8,'3. Enter Indicator Scores'!$D$8:$CZ$8,0),
  _xlpm.v, IFERROR(INDEX('3. Enter Indicator Scores'!$D$10:$CZ$161,_xlpm.r,_xlpm.c),""),
  IF(OR(_xlpm.w="",_xlpm.v=""),"",_xlpm.v*_xlpm.w)
)</f>
        <v/>
      </c>
      <c r="AT41" s="93" t="str" cm="1">
        <f t="array" ref="AT41">_xlfn.LET(
  _xlpm.w, AT$11,
  _xlpm.r, MATCH(1,('3. Enter Indicator Scores'!$B$10:$B$161=$B41)*('3. Enter Indicator Scores'!$C$10:$C$161=$C41),0),
  _xlpm.c, MATCH(AT$8,'3. Enter Indicator Scores'!$D$8:$CZ$8,0),
  _xlpm.v, IFERROR(INDEX('3. Enter Indicator Scores'!$D$10:$CZ$161,_xlpm.r,_xlpm.c),""),
  IF(OR(_xlpm.w="",_xlpm.v=""),"",_xlpm.v*_xlpm.w)
)</f>
        <v/>
      </c>
      <c r="AU41" s="93" t="str" cm="1">
        <f t="array" ref="AU41">_xlfn.LET(
  _xlpm.w, AU$11,
  _xlpm.r, MATCH(1,('3. Enter Indicator Scores'!$B$10:$B$161=$B41)*('3. Enter Indicator Scores'!$C$10:$C$161=$C41),0),
  _xlpm.c, MATCH(AU$8,'3. Enter Indicator Scores'!$D$8:$CZ$8,0),
  _xlpm.v, IFERROR(INDEX('3. Enter Indicator Scores'!$D$10:$CZ$161,_xlpm.r,_xlpm.c),""),
  IF(OR(_xlpm.w="",_xlpm.v=""),"",_xlpm.v*_xlpm.w)
)</f>
        <v/>
      </c>
      <c r="AV41" s="93" t="str" cm="1">
        <f t="array" ref="AV41">_xlfn.LET(
  _xlpm.w, AV$11,
  _xlpm.r, MATCH(1,('3. Enter Indicator Scores'!$B$10:$B$161=$B41)*('3. Enter Indicator Scores'!$C$10:$C$161=$C41),0),
  _xlpm.c, MATCH(AV$8,'3. Enter Indicator Scores'!$D$8:$CZ$8,0),
  _xlpm.v, IFERROR(INDEX('3. Enter Indicator Scores'!$D$10:$CZ$161,_xlpm.r,_xlpm.c),""),
  IF(OR(_xlpm.w="",_xlpm.v=""),"",_xlpm.v*_xlpm.w)
)</f>
        <v/>
      </c>
      <c r="AW41" s="93" t="str" cm="1">
        <f t="array" ref="AW41">_xlfn.LET(
  _xlpm.w, AW$11,
  _xlpm.r, MATCH(1,('3. Enter Indicator Scores'!$B$10:$B$161=$B41)*('3. Enter Indicator Scores'!$C$10:$C$161=$C41),0),
  _xlpm.c, MATCH(AW$8,'3. Enter Indicator Scores'!$D$8:$CZ$8,0),
  _xlpm.v, IFERROR(INDEX('3. Enter Indicator Scores'!$D$10:$CZ$161,_xlpm.r,_xlpm.c),""),
  IF(OR(_xlpm.w="",_xlpm.v=""),"",_xlpm.v*_xlpm.w)
)</f>
        <v/>
      </c>
      <c r="AX41" s="93" t="str" cm="1">
        <f t="array" ref="AX41">_xlfn.LET(
  _xlpm.w, AX$11,
  _xlpm.r, MATCH(1,('3. Enter Indicator Scores'!$B$10:$B$161=$B41)*('3. Enter Indicator Scores'!$C$10:$C$161=$C41),0),
  _xlpm.c, MATCH(AX$8,'3. Enter Indicator Scores'!$D$8:$CZ$8,0),
  _xlpm.v, IFERROR(INDEX('3. Enter Indicator Scores'!$D$10:$CZ$161,_xlpm.r,_xlpm.c),""),
  IF(OR(_xlpm.w="",_xlpm.v=""),"",_xlpm.v*_xlpm.w)
)</f>
        <v/>
      </c>
      <c r="AY41" s="93" t="str" cm="1">
        <f t="array" ref="AY41">_xlfn.LET(
  _xlpm.w, AY$11,
  _xlpm.r, MATCH(1,('3. Enter Indicator Scores'!$B$10:$B$161=$B41)*('3. Enter Indicator Scores'!$C$10:$C$161=$C41),0),
  _xlpm.c, MATCH(AY$8,'3. Enter Indicator Scores'!$D$8:$CZ$8,0),
  _xlpm.v, IFERROR(INDEX('3. Enter Indicator Scores'!$D$10:$CZ$161,_xlpm.r,_xlpm.c),""),
  IF(OR(_xlpm.w="",_xlpm.v=""),"",_xlpm.v*_xlpm.w)
)</f>
        <v/>
      </c>
      <c r="AZ41" s="93" t="str" cm="1">
        <f t="array" ref="AZ41">_xlfn.LET(
  _xlpm.w, AZ$11,
  _xlpm.r, MATCH(1,('3. Enter Indicator Scores'!$B$10:$B$161=$B41)*('3. Enter Indicator Scores'!$C$10:$C$161=$C41),0),
  _xlpm.c, MATCH(AZ$8,'3. Enter Indicator Scores'!$D$8:$CZ$8,0),
  _xlpm.v, IFERROR(INDEX('3. Enter Indicator Scores'!$D$10:$CZ$161,_xlpm.r,_xlpm.c),""),
  IF(OR(_xlpm.w="",_xlpm.v=""),"",_xlpm.v*_xlpm.w)
)</f>
        <v/>
      </c>
      <c r="BA41" s="93" t="str" cm="1">
        <f t="array" ref="BA41">_xlfn.LET(
  _xlpm.w, BA$11,
  _xlpm.r, MATCH(1,('3. Enter Indicator Scores'!$B$10:$B$161=$B41)*('3. Enter Indicator Scores'!$C$10:$C$161=$C41),0),
  _xlpm.c, MATCH(BA$8,'3. Enter Indicator Scores'!$D$8:$CZ$8,0),
  _xlpm.v, IFERROR(INDEX('3. Enter Indicator Scores'!$D$10:$CZ$161,_xlpm.r,_xlpm.c),""),
  IF(OR(_xlpm.w="",_xlpm.v=""),"",_xlpm.v*_xlpm.w)
)</f>
        <v/>
      </c>
      <c r="BB41" s="93" t="str" cm="1">
        <f t="array" ref="BB41">_xlfn.LET(
  _xlpm.w, BB$11,
  _xlpm.r, MATCH(1,('3. Enter Indicator Scores'!$B$10:$B$161=$B41)*('3. Enter Indicator Scores'!$C$10:$C$161=$C41),0),
  _xlpm.c, MATCH(BB$8,'3. Enter Indicator Scores'!$D$8:$CZ$8,0),
  _xlpm.v, IFERROR(INDEX('3. Enter Indicator Scores'!$D$10:$CZ$161,_xlpm.r,_xlpm.c),""),
  IF(OR(_xlpm.w="",_xlpm.v=""),"",_xlpm.v*_xlpm.w)
)</f>
        <v/>
      </c>
      <c r="BC41" s="93" t="str" cm="1">
        <f t="array" ref="BC41">_xlfn.LET(
  _xlpm.w, BC$11,
  _xlpm.r, MATCH(1,('3. Enter Indicator Scores'!$B$10:$B$161=$B41)*('3. Enter Indicator Scores'!$C$10:$C$161=$C41),0),
  _xlpm.c, MATCH(BC$8,'3. Enter Indicator Scores'!$D$8:$CZ$8,0),
  _xlpm.v, IFERROR(INDEX('3. Enter Indicator Scores'!$D$10:$CZ$161,_xlpm.r,_xlpm.c),""),
  IF(OR(_xlpm.w="",_xlpm.v=""),"",_xlpm.v*_xlpm.w)
)</f>
        <v/>
      </c>
      <c r="BD41" s="93" t="str" cm="1">
        <f t="array" ref="BD41">_xlfn.LET(
  _xlpm.w, BD$11,
  _xlpm.r, MATCH(1,('3. Enter Indicator Scores'!$B$10:$B$161=$B41)*('3. Enter Indicator Scores'!$C$10:$C$161=$C41),0),
  _xlpm.c, MATCH(BD$8,'3. Enter Indicator Scores'!$D$8:$CZ$8,0),
  _xlpm.v, IFERROR(INDEX('3. Enter Indicator Scores'!$D$10:$CZ$161,_xlpm.r,_xlpm.c),""),
  IF(OR(_xlpm.w="",_xlpm.v=""),"",_xlpm.v*_xlpm.w)
)</f>
        <v/>
      </c>
      <c r="BE41" s="93" t="str" cm="1">
        <f t="array" ref="BE41">_xlfn.LET(
  _xlpm.w, BE$11,
  _xlpm.r, MATCH(1,('3. Enter Indicator Scores'!$B$10:$B$161=$B41)*('3. Enter Indicator Scores'!$C$10:$C$161=$C41),0),
  _xlpm.c, MATCH(BE$8,'3. Enter Indicator Scores'!$D$8:$CZ$8,0),
  _xlpm.v, IFERROR(INDEX('3. Enter Indicator Scores'!$D$10:$CZ$161,_xlpm.r,_xlpm.c),""),
  IF(OR(_xlpm.w="",_xlpm.v=""),"",_xlpm.v*_xlpm.w)
)</f>
        <v/>
      </c>
      <c r="BF41" s="93" t="str" cm="1">
        <f t="array" ref="BF41">_xlfn.LET(
  _xlpm.w, BF$11,
  _xlpm.r, MATCH(1,('3. Enter Indicator Scores'!$B$10:$B$161=$B41)*('3. Enter Indicator Scores'!$C$10:$C$161=$C41),0),
  _xlpm.c, MATCH(BF$8,'3. Enter Indicator Scores'!$D$8:$CZ$8,0),
  _xlpm.v, IFERROR(INDEX('3. Enter Indicator Scores'!$D$10:$CZ$161,_xlpm.r,_xlpm.c),""),
  IF(OR(_xlpm.w="",_xlpm.v=""),"",_xlpm.v*_xlpm.w)
)</f>
        <v/>
      </c>
      <c r="BG41" s="93" t="str" cm="1">
        <f t="array" ref="BG41">_xlfn.LET(
  _xlpm.w, BG$11,
  _xlpm.r, MATCH(1,('3. Enter Indicator Scores'!$B$10:$B$161=$B41)*('3. Enter Indicator Scores'!$C$10:$C$161=$C41),0),
  _xlpm.c, MATCH(BG$8,'3. Enter Indicator Scores'!$D$8:$CZ$8,0),
  _xlpm.v, IFERROR(INDEX('3. Enter Indicator Scores'!$D$10:$CZ$161,_xlpm.r,_xlpm.c),""),
  IF(OR(_xlpm.w="",_xlpm.v=""),"",_xlpm.v*_xlpm.w)
)</f>
        <v/>
      </c>
      <c r="BH41" s="93" t="str" cm="1">
        <f t="array" ref="BH41">_xlfn.LET(
  _xlpm.w, BH$11,
  _xlpm.r, MATCH(1,('3. Enter Indicator Scores'!$B$10:$B$161=$B41)*('3. Enter Indicator Scores'!$C$10:$C$161=$C41),0),
  _xlpm.c, MATCH(BH$8,'3. Enter Indicator Scores'!$D$8:$CZ$8,0),
  _xlpm.v, IFERROR(INDEX('3. Enter Indicator Scores'!$D$10:$CZ$161,_xlpm.r,_xlpm.c),""),
  IF(OR(_xlpm.w="",_xlpm.v=""),"",_xlpm.v*_xlpm.w)
)</f>
        <v/>
      </c>
      <c r="BI41" s="93" t="str" cm="1">
        <f t="array" ref="BI41">_xlfn.LET(
  _xlpm.w, BI$11,
  _xlpm.r, MATCH(1,('3. Enter Indicator Scores'!$B$10:$B$161=$B41)*('3. Enter Indicator Scores'!$C$10:$C$161=$C41),0),
  _xlpm.c, MATCH(BI$8,'3. Enter Indicator Scores'!$D$8:$CZ$8,0),
  _xlpm.v, IFERROR(INDEX('3. Enter Indicator Scores'!$D$10:$CZ$161,_xlpm.r,_xlpm.c),""),
  IF(OR(_xlpm.w="",_xlpm.v=""),"",_xlpm.v*_xlpm.w)
)</f>
        <v/>
      </c>
      <c r="BJ41" s="93" t="str" cm="1">
        <f t="array" ref="BJ41">_xlfn.LET(
  _xlpm.w, BJ$11,
  _xlpm.r, MATCH(1,('3. Enter Indicator Scores'!$B$10:$B$161=$B41)*('3. Enter Indicator Scores'!$C$10:$C$161=$C41),0),
  _xlpm.c, MATCH(BJ$8,'3. Enter Indicator Scores'!$D$8:$CZ$8,0),
  _xlpm.v, IFERROR(INDEX('3. Enter Indicator Scores'!$D$10:$CZ$161,_xlpm.r,_xlpm.c),""),
  IF(OR(_xlpm.w="",_xlpm.v=""),"",_xlpm.v*_xlpm.w)
)</f>
        <v/>
      </c>
      <c r="BK41" s="93" t="str" cm="1">
        <f t="array" ref="BK41">_xlfn.LET(
  _xlpm.w, BK$11,
  _xlpm.r, MATCH(1,('3. Enter Indicator Scores'!$B$10:$B$161=$B41)*('3. Enter Indicator Scores'!$C$10:$C$161=$C41),0),
  _xlpm.c, MATCH(BK$8,'3. Enter Indicator Scores'!$D$8:$CZ$8,0),
  _xlpm.v, IFERROR(INDEX('3. Enter Indicator Scores'!$D$10:$CZ$161,_xlpm.r,_xlpm.c),""),
  IF(OR(_xlpm.w="",_xlpm.v=""),"",_xlpm.v*_xlpm.w)
)</f>
        <v/>
      </c>
      <c r="BL41" s="93" t="str" cm="1">
        <f t="array" ref="BL41">_xlfn.LET(
  _xlpm.w, BL$11,
  _xlpm.r, MATCH(1,('3. Enter Indicator Scores'!$B$10:$B$161=$B41)*('3. Enter Indicator Scores'!$C$10:$C$161=$C41),0),
  _xlpm.c, MATCH(BL$8,'3. Enter Indicator Scores'!$D$8:$CZ$8,0),
  _xlpm.v, IFERROR(INDEX('3. Enter Indicator Scores'!$D$10:$CZ$161,_xlpm.r,_xlpm.c),""),
  IF(OR(_xlpm.w="",_xlpm.v=""),"",_xlpm.v*_xlpm.w)
)</f>
        <v/>
      </c>
      <c r="BM41" s="93" t="str" cm="1">
        <f t="array" ref="BM41">_xlfn.LET(
  _xlpm.w, BM$11,
  _xlpm.r, MATCH(1,('3. Enter Indicator Scores'!$B$10:$B$161=$B41)*('3. Enter Indicator Scores'!$C$10:$C$161=$C41),0),
  _xlpm.c, MATCH(BM$8,'3. Enter Indicator Scores'!$D$8:$CZ$8,0),
  _xlpm.v, IFERROR(INDEX('3. Enter Indicator Scores'!$D$10:$CZ$161,_xlpm.r,_xlpm.c),""),
  IF(OR(_xlpm.w="",_xlpm.v=""),"",_xlpm.v*_xlpm.w)
)</f>
        <v/>
      </c>
      <c r="BN41" s="93" t="str" cm="1">
        <f t="array" ref="BN41">_xlfn.LET(
  _xlpm.w, BN$11,
  _xlpm.r, MATCH(1,('3. Enter Indicator Scores'!$B$10:$B$161=$B41)*('3. Enter Indicator Scores'!$C$10:$C$161=$C41),0),
  _xlpm.c, MATCH(BN$8,'3. Enter Indicator Scores'!$D$8:$CZ$8,0),
  _xlpm.v, IFERROR(INDEX('3. Enter Indicator Scores'!$D$10:$CZ$161,_xlpm.r,_xlpm.c),""),
  IF(OR(_xlpm.w="",_xlpm.v=""),"",_xlpm.v*_xlpm.w)
)</f>
        <v/>
      </c>
      <c r="BO41" s="93" t="str" cm="1">
        <f t="array" ref="BO41">_xlfn.LET(
  _xlpm.w, BO$11,
  _xlpm.r, MATCH(1,('3. Enter Indicator Scores'!$B$10:$B$161=$B41)*('3. Enter Indicator Scores'!$C$10:$C$161=$C41),0),
  _xlpm.c, MATCH(BO$8,'3. Enter Indicator Scores'!$D$8:$CZ$8,0),
  _xlpm.v, IFERROR(INDEX('3. Enter Indicator Scores'!$D$10:$CZ$161,_xlpm.r,_xlpm.c),""),
  IF(OR(_xlpm.w="",_xlpm.v=""),"",_xlpm.v*_xlpm.w)
)</f>
        <v/>
      </c>
      <c r="BP41" s="93" t="str" cm="1">
        <f t="array" ref="BP41">_xlfn.LET(
  _xlpm.w, BP$11,
  _xlpm.r, MATCH(1,('3. Enter Indicator Scores'!$B$10:$B$161=$B41)*('3. Enter Indicator Scores'!$C$10:$C$161=$C41),0),
  _xlpm.c, MATCH(BP$8,'3. Enter Indicator Scores'!$D$8:$CZ$8,0),
  _xlpm.v, IFERROR(INDEX('3. Enter Indicator Scores'!$D$10:$CZ$161,_xlpm.r,_xlpm.c),""),
  IF(OR(_xlpm.w="",_xlpm.v=""),"",_xlpm.v*_xlpm.w)
)</f>
        <v/>
      </c>
      <c r="BQ41" s="93" t="str" cm="1">
        <f t="array" ref="BQ41">_xlfn.LET(
  _xlpm.w, BQ$11,
  _xlpm.r, MATCH(1,('3. Enter Indicator Scores'!$B$10:$B$161=$B41)*('3. Enter Indicator Scores'!$C$10:$C$161=$C41),0),
  _xlpm.c, MATCH(BQ$8,'3. Enter Indicator Scores'!$D$8:$CZ$8,0),
  _xlpm.v, IFERROR(INDEX('3. Enter Indicator Scores'!$D$10:$CZ$161,_xlpm.r,_xlpm.c),""),
  IF(OR(_xlpm.w="",_xlpm.v=""),"",_xlpm.v*_xlpm.w)
)</f>
        <v/>
      </c>
      <c r="BR41" s="93" t="str" cm="1">
        <f t="array" ref="BR41">_xlfn.LET(
  _xlpm.w, BR$11,
  _xlpm.r, MATCH(1,('3. Enter Indicator Scores'!$B$10:$B$161=$B41)*('3. Enter Indicator Scores'!$C$10:$C$161=$C41),0),
  _xlpm.c, MATCH(BR$8,'3. Enter Indicator Scores'!$D$8:$CZ$8,0),
  _xlpm.v, IFERROR(INDEX('3. Enter Indicator Scores'!$D$10:$CZ$161,_xlpm.r,_xlpm.c),""),
  IF(OR(_xlpm.w="",_xlpm.v=""),"",_xlpm.v*_xlpm.w)
)</f>
        <v/>
      </c>
      <c r="BS41" s="93" t="str" cm="1">
        <f t="array" ref="BS41">_xlfn.LET(
  _xlpm.w, BS$11,
  _xlpm.r, MATCH(1,('3. Enter Indicator Scores'!$B$10:$B$161=$B41)*('3. Enter Indicator Scores'!$C$10:$C$161=$C41),0),
  _xlpm.c, MATCH(BS$8,'3. Enter Indicator Scores'!$D$8:$CZ$8,0),
  _xlpm.v, IFERROR(INDEX('3. Enter Indicator Scores'!$D$10:$CZ$161,_xlpm.r,_xlpm.c),""),
  IF(OR(_xlpm.w="",_xlpm.v=""),"",_xlpm.v*_xlpm.w)
)</f>
        <v/>
      </c>
      <c r="BT41" s="93" t="str" cm="1">
        <f t="array" ref="BT41">_xlfn.LET(
  _xlpm.w, BT$11,
  _xlpm.r, MATCH(1,('3. Enter Indicator Scores'!$B$10:$B$161=$B41)*('3. Enter Indicator Scores'!$C$10:$C$161=$C41),0),
  _xlpm.c, MATCH(BT$8,'3. Enter Indicator Scores'!$D$8:$CZ$8,0),
  _xlpm.v, IFERROR(INDEX('3. Enter Indicator Scores'!$D$10:$CZ$161,_xlpm.r,_xlpm.c),""),
  IF(OR(_xlpm.w="",_xlpm.v=""),"",_xlpm.v*_xlpm.w)
)</f>
        <v/>
      </c>
      <c r="BU41" s="93" t="str" cm="1">
        <f t="array" ref="BU41">_xlfn.LET(
  _xlpm.w, BU$11,
  _xlpm.r, MATCH(1,('3. Enter Indicator Scores'!$B$10:$B$161=$B41)*('3. Enter Indicator Scores'!$C$10:$C$161=$C41),0),
  _xlpm.c, MATCH(BU$8,'3. Enter Indicator Scores'!$D$8:$CZ$8,0),
  _xlpm.v, IFERROR(INDEX('3. Enter Indicator Scores'!$D$10:$CZ$161,_xlpm.r,_xlpm.c),""),
  IF(OR(_xlpm.w="",_xlpm.v=""),"",_xlpm.v*_xlpm.w)
)</f>
        <v/>
      </c>
      <c r="BV41" s="93" t="str" cm="1">
        <f t="array" ref="BV41">_xlfn.LET(
  _xlpm.w, BV$11,
  _xlpm.r, MATCH(1,('3. Enter Indicator Scores'!$B$10:$B$161=$B41)*('3. Enter Indicator Scores'!$C$10:$C$161=$C41),0),
  _xlpm.c, MATCH(BV$8,'3. Enter Indicator Scores'!$D$8:$CZ$8,0),
  _xlpm.v, IFERROR(INDEX('3. Enter Indicator Scores'!$D$10:$CZ$161,_xlpm.r,_xlpm.c),""),
  IF(OR(_xlpm.w="",_xlpm.v=""),"",_xlpm.v*_xlpm.w)
)</f>
        <v/>
      </c>
      <c r="BW41" s="93" t="str" cm="1">
        <f t="array" ref="BW41">_xlfn.LET(
  _xlpm.w, BW$11,
  _xlpm.r, MATCH(1,('3. Enter Indicator Scores'!$B$10:$B$161=$B41)*('3. Enter Indicator Scores'!$C$10:$C$161=$C41),0),
  _xlpm.c, MATCH(BW$8,'3. Enter Indicator Scores'!$D$8:$CZ$8,0),
  _xlpm.v, IFERROR(INDEX('3. Enter Indicator Scores'!$D$10:$CZ$161,_xlpm.r,_xlpm.c),""),
  IF(OR(_xlpm.w="",_xlpm.v=""),"",_xlpm.v*_xlpm.w)
)</f>
        <v/>
      </c>
      <c r="BX41" s="93" t="str" cm="1">
        <f t="array" ref="BX41">_xlfn.LET(
  _xlpm.w, BX$11,
  _xlpm.r, MATCH(1,('3. Enter Indicator Scores'!$B$10:$B$161=$B41)*('3. Enter Indicator Scores'!$C$10:$C$161=$C41),0),
  _xlpm.c, MATCH(BX$8,'3. Enter Indicator Scores'!$D$8:$CZ$8,0),
  _xlpm.v, IFERROR(INDEX('3. Enter Indicator Scores'!$D$10:$CZ$161,_xlpm.r,_xlpm.c),""),
  IF(OR(_xlpm.w="",_xlpm.v=""),"",_xlpm.v*_xlpm.w)
)</f>
        <v/>
      </c>
      <c r="BY41" s="93" t="str" cm="1">
        <f t="array" ref="BY41">_xlfn.LET(
  _xlpm.w, BY$11,
  _xlpm.r, MATCH(1,('3. Enter Indicator Scores'!$B$10:$B$161=$B41)*('3. Enter Indicator Scores'!$C$10:$C$161=$C41),0),
  _xlpm.c, MATCH(BY$8,'3. Enter Indicator Scores'!$D$8:$CZ$8,0),
  _xlpm.v, IFERROR(INDEX('3. Enter Indicator Scores'!$D$10:$CZ$161,_xlpm.r,_xlpm.c),""),
  IF(OR(_xlpm.w="",_xlpm.v=""),"",_xlpm.v*_xlpm.w)
)</f>
        <v/>
      </c>
      <c r="BZ41" s="93" t="str" cm="1">
        <f t="array" ref="BZ41">_xlfn.LET(
  _xlpm.w, BZ$11,
  _xlpm.r, MATCH(1,('3. Enter Indicator Scores'!$B$10:$B$161=$B41)*('3. Enter Indicator Scores'!$C$10:$C$161=$C41),0),
  _xlpm.c, MATCH(BZ$8,'3. Enter Indicator Scores'!$D$8:$CZ$8,0),
  _xlpm.v, IFERROR(INDEX('3. Enter Indicator Scores'!$D$10:$CZ$161,_xlpm.r,_xlpm.c),""),
  IF(OR(_xlpm.w="",_xlpm.v=""),"",_xlpm.v*_xlpm.w)
)</f>
        <v/>
      </c>
      <c r="CA41" s="93" t="str" cm="1">
        <f t="array" ref="CA41">_xlfn.LET(
  _xlpm.w, CA$11,
  _xlpm.r, MATCH(1,('3. Enter Indicator Scores'!$B$10:$B$161=$B41)*('3. Enter Indicator Scores'!$C$10:$C$161=$C41),0),
  _xlpm.c, MATCH(CA$8,'3. Enter Indicator Scores'!$D$8:$CZ$8,0),
  _xlpm.v, IFERROR(INDEX('3. Enter Indicator Scores'!$D$10:$CZ$161,_xlpm.r,_xlpm.c),""),
  IF(OR(_xlpm.w="",_xlpm.v=""),"",_xlpm.v*_xlpm.w)
)</f>
        <v/>
      </c>
      <c r="CB41" s="93" t="str" cm="1">
        <f t="array" ref="CB41">_xlfn.LET(
  _xlpm.w, CB$11,
  _xlpm.r, MATCH(1,('3. Enter Indicator Scores'!$B$10:$B$161=$B41)*('3. Enter Indicator Scores'!$C$10:$C$161=$C41),0),
  _xlpm.c, MATCH(CB$8,'3. Enter Indicator Scores'!$D$8:$CZ$8,0),
  _xlpm.v, IFERROR(INDEX('3. Enter Indicator Scores'!$D$10:$CZ$161,_xlpm.r,_xlpm.c),""),
  IF(OR(_xlpm.w="",_xlpm.v=""),"",_xlpm.v*_xlpm.w)
)</f>
        <v/>
      </c>
      <c r="CC41" s="93" t="str" cm="1">
        <f t="array" ref="CC41">_xlfn.LET(
  _xlpm.w, CC$11,
  _xlpm.r, MATCH(1,('3. Enter Indicator Scores'!$B$10:$B$161=$B41)*('3. Enter Indicator Scores'!$C$10:$C$161=$C41),0),
  _xlpm.c, MATCH(CC$8,'3. Enter Indicator Scores'!$D$8:$CZ$8,0),
  _xlpm.v, IFERROR(INDEX('3. Enter Indicator Scores'!$D$10:$CZ$161,_xlpm.r,_xlpm.c),""),
  IF(OR(_xlpm.w="",_xlpm.v=""),"",_xlpm.v*_xlpm.w)
)</f>
        <v/>
      </c>
      <c r="CD41" s="93" t="str" cm="1">
        <f t="array" ref="CD41">_xlfn.LET(
  _xlpm.w, CD$11,
  _xlpm.r, MATCH(1,('3. Enter Indicator Scores'!$B$10:$B$161=$B41)*('3. Enter Indicator Scores'!$C$10:$C$161=$C41),0),
  _xlpm.c, MATCH(CD$8,'3. Enter Indicator Scores'!$D$8:$CZ$8,0),
  _xlpm.v, IFERROR(INDEX('3. Enter Indicator Scores'!$D$10:$CZ$161,_xlpm.r,_xlpm.c),""),
  IF(OR(_xlpm.w="",_xlpm.v=""),"",_xlpm.v*_xlpm.w)
)</f>
        <v/>
      </c>
      <c r="CE41" s="93" t="str" cm="1">
        <f t="array" ref="CE41">_xlfn.LET(
  _xlpm.w, CE$11,
  _xlpm.r, MATCH(1,('3. Enter Indicator Scores'!$B$10:$B$161=$B41)*('3. Enter Indicator Scores'!$C$10:$C$161=$C41),0),
  _xlpm.c, MATCH(CE$8,'3. Enter Indicator Scores'!$D$8:$CZ$8,0),
  _xlpm.v, IFERROR(INDEX('3. Enter Indicator Scores'!$D$10:$CZ$161,_xlpm.r,_xlpm.c),""),
  IF(OR(_xlpm.w="",_xlpm.v=""),"",_xlpm.v*_xlpm.w)
)</f>
        <v/>
      </c>
      <c r="CF41" s="93" t="str" cm="1">
        <f t="array" ref="CF41">_xlfn.LET(
  _xlpm.w, CF$11,
  _xlpm.r, MATCH(1,('3. Enter Indicator Scores'!$B$10:$B$161=$B41)*('3. Enter Indicator Scores'!$C$10:$C$161=$C41),0),
  _xlpm.c, MATCH(CF$8,'3. Enter Indicator Scores'!$D$8:$CZ$8,0),
  _xlpm.v, IFERROR(INDEX('3. Enter Indicator Scores'!$D$10:$CZ$161,_xlpm.r,_xlpm.c),""),
  IF(OR(_xlpm.w="",_xlpm.v=""),"",_xlpm.v*_xlpm.w)
)</f>
        <v/>
      </c>
      <c r="CG41" s="93" t="str" cm="1">
        <f t="array" ref="CG41">_xlfn.LET(
  _xlpm.w, CG$11,
  _xlpm.r, MATCH(1,('3. Enter Indicator Scores'!$B$10:$B$161=$B41)*('3. Enter Indicator Scores'!$C$10:$C$161=$C41),0),
  _xlpm.c, MATCH(CG$8,'3. Enter Indicator Scores'!$D$8:$CZ$8,0),
  _xlpm.v, IFERROR(INDEX('3. Enter Indicator Scores'!$D$10:$CZ$161,_xlpm.r,_xlpm.c),""),
  IF(OR(_xlpm.w="",_xlpm.v=""),"",_xlpm.v*_xlpm.w)
)</f>
        <v/>
      </c>
      <c r="CH41" s="93" t="str" cm="1">
        <f t="array" ref="CH41">_xlfn.LET(
  _xlpm.w, CH$11,
  _xlpm.r, MATCH(1,('3. Enter Indicator Scores'!$B$10:$B$161=$B41)*('3. Enter Indicator Scores'!$C$10:$C$161=$C41),0),
  _xlpm.c, MATCH(CH$8,'3. Enter Indicator Scores'!$D$8:$CZ$8,0),
  _xlpm.v, IFERROR(INDEX('3. Enter Indicator Scores'!$D$10:$CZ$161,_xlpm.r,_xlpm.c),""),
  IF(OR(_xlpm.w="",_xlpm.v=""),"",_xlpm.v*_xlpm.w)
)</f>
        <v/>
      </c>
      <c r="CI41" s="93" t="str" cm="1">
        <f t="array" ref="CI41">_xlfn.LET(
  _xlpm.w, CI$11,
  _xlpm.r, MATCH(1,('3. Enter Indicator Scores'!$B$10:$B$161=$B41)*('3. Enter Indicator Scores'!$C$10:$C$161=$C41),0),
  _xlpm.c, MATCH(CI$8,'3. Enter Indicator Scores'!$D$8:$CZ$8,0),
  _xlpm.v, IFERROR(INDEX('3. Enter Indicator Scores'!$D$10:$CZ$161,_xlpm.r,_xlpm.c),""),
  IF(OR(_xlpm.w="",_xlpm.v=""),"",_xlpm.v*_xlpm.w)
)</f>
        <v/>
      </c>
      <c r="CJ41" s="93" t="str" cm="1">
        <f t="array" ref="CJ41">_xlfn.LET(
  _xlpm.w, CJ$11,
  _xlpm.r, MATCH(1,('3. Enter Indicator Scores'!$B$10:$B$161=$B41)*('3. Enter Indicator Scores'!$C$10:$C$161=$C41),0),
  _xlpm.c, MATCH(CJ$8,'3. Enter Indicator Scores'!$D$8:$CZ$8,0),
  _xlpm.v, IFERROR(INDEX('3. Enter Indicator Scores'!$D$10:$CZ$161,_xlpm.r,_xlpm.c),""),
  IF(OR(_xlpm.w="",_xlpm.v=""),"",_xlpm.v*_xlpm.w)
)</f>
        <v/>
      </c>
      <c r="CK41" s="93" t="str" cm="1">
        <f t="array" ref="CK41">_xlfn.LET(
  _xlpm.w, CK$11,
  _xlpm.r, MATCH(1,('3. Enter Indicator Scores'!$B$10:$B$161=$B41)*('3. Enter Indicator Scores'!$C$10:$C$161=$C41),0),
  _xlpm.c, MATCH(CK$8,'3. Enter Indicator Scores'!$D$8:$CZ$8,0),
  _xlpm.v, IFERROR(INDEX('3. Enter Indicator Scores'!$D$10:$CZ$161,_xlpm.r,_xlpm.c),""),
  IF(OR(_xlpm.w="",_xlpm.v=""),"",_xlpm.v*_xlpm.w)
)</f>
        <v/>
      </c>
      <c r="CL41" s="93" t="str" cm="1">
        <f t="array" ref="CL41">_xlfn.LET(
  _xlpm.w, CL$11,
  _xlpm.r, MATCH(1,('3. Enter Indicator Scores'!$B$10:$B$161=$B41)*('3. Enter Indicator Scores'!$C$10:$C$161=$C41),0),
  _xlpm.c, MATCH(CL$8,'3. Enter Indicator Scores'!$D$8:$CZ$8,0),
  _xlpm.v, IFERROR(INDEX('3. Enter Indicator Scores'!$D$10:$CZ$161,_xlpm.r,_xlpm.c),""),
  IF(OR(_xlpm.w="",_xlpm.v=""),"",_xlpm.v*_xlpm.w)
)</f>
        <v/>
      </c>
      <c r="CM41" s="93" t="str" cm="1">
        <f t="array" ref="CM41">_xlfn.LET(
  _xlpm.w, CM$11,
  _xlpm.r, MATCH(1,('3. Enter Indicator Scores'!$B$10:$B$161=$B41)*('3. Enter Indicator Scores'!$C$10:$C$161=$C41),0),
  _xlpm.c, MATCH(CM$8,'3. Enter Indicator Scores'!$D$8:$CZ$8,0),
  _xlpm.v, IFERROR(INDEX('3. Enter Indicator Scores'!$D$10:$CZ$161,_xlpm.r,_xlpm.c),""),
  IF(OR(_xlpm.w="",_xlpm.v=""),"",_xlpm.v*_xlpm.w)
)</f>
        <v/>
      </c>
      <c r="CN41" s="93" t="str" cm="1">
        <f t="array" ref="CN41">_xlfn.LET(
  _xlpm.w, CN$11,
  _xlpm.r, MATCH(1,('3. Enter Indicator Scores'!$B$10:$B$161=$B41)*('3. Enter Indicator Scores'!$C$10:$C$161=$C41),0),
  _xlpm.c, MATCH(CN$8,'3. Enter Indicator Scores'!$D$8:$CZ$8,0),
  _xlpm.v, IFERROR(INDEX('3. Enter Indicator Scores'!$D$10:$CZ$161,_xlpm.r,_xlpm.c),""),
  IF(OR(_xlpm.w="",_xlpm.v=""),"",_xlpm.v*_xlpm.w)
)</f>
        <v/>
      </c>
      <c r="CO41" s="93" t="str" cm="1">
        <f t="array" ref="CO41">_xlfn.LET(
  _xlpm.w, CO$11,
  _xlpm.r, MATCH(1,('3. Enter Indicator Scores'!$B$10:$B$161=$B41)*('3. Enter Indicator Scores'!$C$10:$C$161=$C41),0),
  _xlpm.c, MATCH(CO$8,'3. Enter Indicator Scores'!$D$8:$CZ$8,0),
  _xlpm.v, IFERROR(INDEX('3. Enter Indicator Scores'!$D$10:$CZ$161,_xlpm.r,_xlpm.c),""),
  IF(OR(_xlpm.w="",_xlpm.v=""),"",_xlpm.v*_xlpm.w)
)</f>
        <v/>
      </c>
      <c r="CP41" s="93" t="str" cm="1">
        <f t="array" ref="CP41">_xlfn.LET(
  _xlpm.w, CP$11,
  _xlpm.r, MATCH(1,('3. Enter Indicator Scores'!$B$10:$B$161=$B41)*('3. Enter Indicator Scores'!$C$10:$C$161=$C41),0),
  _xlpm.c, MATCH(CP$8,'3. Enter Indicator Scores'!$D$8:$CZ$8,0),
  _xlpm.v, IFERROR(INDEX('3. Enter Indicator Scores'!$D$10:$CZ$161,_xlpm.r,_xlpm.c),""),
  IF(OR(_xlpm.w="",_xlpm.v=""),"",_xlpm.v*_xlpm.w)
)</f>
        <v/>
      </c>
      <c r="CQ41" s="93" t="str" cm="1">
        <f t="array" ref="CQ41">_xlfn.LET(
  _xlpm.w, CQ$11,
  _xlpm.r, MATCH(1,('3. Enter Indicator Scores'!$B$10:$B$161=$B41)*('3. Enter Indicator Scores'!$C$10:$C$161=$C41),0),
  _xlpm.c, MATCH(CQ$8,'3. Enter Indicator Scores'!$D$8:$CZ$8,0),
  _xlpm.v, IFERROR(INDEX('3. Enter Indicator Scores'!$D$10:$CZ$161,_xlpm.r,_xlpm.c),""),
  IF(OR(_xlpm.w="",_xlpm.v=""),"",_xlpm.v*_xlpm.w)
)</f>
        <v/>
      </c>
      <c r="CR41" s="93" t="str" cm="1">
        <f t="array" ref="CR41">_xlfn.LET(
  _xlpm.w, CR$11,
  _xlpm.r, MATCH(1,('3. Enter Indicator Scores'!$B$10:$B$161=$B41)*('3. Enter Indicator Scores'!$C$10:$C$161=$C41),0),
  _xlpm.c, MATCH(CR$8,'3. Enter Indicator Scores'!$D$8:$CZ$8,0),
  _xlpm.v, IFERROR(INDEX('3. Enter Indicator Scores'!$D$10:$CZ$161,_xlpm.r,_xlpm.c),""),
  IF(OR(_xlpm.w="",_xlpm.v=""),"",_xlpm.v*_xlpm.w)
)</f>
        <v/>
      </c>
      <c r="CS41" s="93" t="str" cm="1">
        <f t="array" ref="CS41">_xlfn.LET(
  _xlpm.w, CS$11,
  _xlpm.r, MATCH(1,('3. Enter Indicator Scores'!$B$10:$B$161=$B41)*('3. Enter Indicator Scores'!$C$10:$C$161=$C41),0),
  _xlpm.c, MATCH(CS$8,'3. Enter Indicator Scores'!$D$8:$CZ$8,0),
  _xlpm.v, IFERROR(INDEX('3. Enter Indicator Scores'!$D$10:$CZ$161,_xlpm.r,_xlpm.c),""),
  IF(OR(_xlpm.w="",_xlpm.v=""),"",_xlpm.v*_xlpm.w)
)</f>
        <v/>
      </c>
      <c r="CT41" s="93" t="str" cm="1">
        <f t="array" ref="CT41">_xlfn.LET(
  _xlpm.w, CT$11,
  _xlpm.r, MATCH(1,('3. Enter Indicator Scores'!$B$10:$B$161=$B41)*('3. Enter Indicator Scores'!$C$10:$C$161=$C41),0),
  _xlpm.c, MATCH(CT$8,'3. Enter Indicator Scores'!$D$8:$CZ$8,0),
  _xlpm.v, IFERROR(INDEX('3. Enter Indicator Scores'!$D$10:$CZ$161,_xlpm.r,_xlpm.c),""),
  IF(OR(_xlpm.w="",_xlpm.v=""),"",_xlpm.v*_xlpm.w)
)</f>
        <v/>
      </c>
      <c r="CU41" s="93" t="str" cm="1">
        <f t="array" ref="CU41">_xlfn.LET(
  _xlpm.w, CU$11,
  _xlpm.r, MATCH(1,('3. Enter Indicator Scores'!$B$10:$B$161=$B41)*('3. Enter Indicator Scores'!$C$10:$C$161=$C41),0),
  _xlpm.c, MATCH(CU$8,'3. Enter Indicator Scores'!$D$8:$CZ$8,0),
  _xlpm.v, IFERROR(INDEX('3. Enter Indicator Scores'!$D$10:$CZ$161,_xlpm.r,_xlpm.c),""),
  IF(OR(_xlpm.w="",_xlpm.v=""),"",_xlpm.v*_xlpm.w)
)</f>
        <v/>
      </c>
      <c r="CV41" s="93" t="str" cm="1">
        <f t="array" ref="CV41">_xlfn.LET(
  _xlpm.w, CV$11,
  _xlpm.r, MATCH(1,('3. Enter Indicator Scores'!$B$10:$B$161=$B41)*('3. Enter Indicator Scores'!$C$10:$C$161=$C41),0),
  _xlpm.c, MATCH(CV$8,'3. Enter Indicator Scores'!$D$8:$CZ$8,0),
  _xlpm.v, IFERROR(INDEX('3. Enter Indicator Scores'!$D$10:$CZ$161,_xlpm.r,_xlpm.c),""),
  IF(OR(_xlpm.w="",_xlpm.v=""),"",_xlpm.v*_xlpm.w)
)</f>
        <v/>
      </c>
      <c r="CW41" s="93" t="str" cm="1">
        <f t="array" ref="CW41">_xlfn.LET(
  _xlpm.w, CW$11,
  _xlpm.r, MATCH(1,('3. Enter Indicator Scores'!$B$10:$B$161=$B41)*('3. Enter Indicator Scores'!$C$10:$C$161=$C41),0),
  _xlpm.c, MATCH(CW$8,'3. Enter Indicator Scores'!$D$8:$CZ$8,0),
  _xlpm.v, IFERROR(INDEX('3. Enter Indicator Scores'!$D$10:$CZ$161,_xlpm.r,_xlpm.c),""),
  IF(OR(_xlpm.w="",_xlpm.v=""),"",_xlpm.v*_xlpm.w)
)</f>
        <v/>
      </c>
      <c r="CX41" s="93" t="str" cm="1">
        <f t="array" ref="CX41">_xlfn.LET(
  _xlpm.w, CX$11,
  _xlpm.r, MATCH(1,('3. Enter Indicator Scores'!$B$10:$B$161=$B41)*('3. Enter Indicator Scores'!$C$10:$C$161=$C41),0),
  _xlpm.c, MATCH(CX$8,'3. Enter Indicator Scores'!$D$8:$CZ$8,0),
  _xlpm.v, IFERROR(INDEX('3. Enter Indicator Scores'!$D$10:$CZ$161,_xlpm.r,_xlpm.c),""),
  IF(OR(_xlpm.w="",_xlpm.v=""),"",_xlpm.v*_xlpm.w)
)</f>
        <v/>
      </c>
      <c r="CY41" s="93" t="str" cm="1">
        <f t="array" ref="CY41">_xlfn.LET(
  _xlpm.w, CY$11,
  _xlpm.r, MATCH(1,('3. Enter Indicator Scores'!$B$10:$B$161=$B41)*('3. Enter Indicator Scores'!$C$10:$C$161=$C41),0),
  _xlpm.c, MATCH(CY$8,'3. Enter Indicator Scores'!$D$8:$CZ$8,0),
  _xlpm.v, IFERROR(INDEX('3. Enter Indicator Scores'!$D$10:$CZ$161,_xlpm.r,_xlpm.c),""),
  IF(OR(_xlpm.w="",_xlpm.v=""),"",_xlpm.v*_xlpm.w)
)</f>
        <v/>
      </c>
      <c r="CZ41" s="93" t="str" cm="1">
        <f t="array" ref="CZ41">_xlfn.LET(
  _xlpm.w, CZ$11,
  _xlpm.r, MATCH(1,('3. Enter Indicator Scores'!$B$10:$B$161=$B41)*('3. Enter Indicator Scores'!$C$10:$C$161=$C41),0),
  _xlpm.c, MATCH(CZ$8,'3. Enter Indicator Scores'!$D$8:$CZ$8,0),
  _xlpm.v, IFERROR(INDEX('3. Enter Indicator Scores'!$D$10:$CZ$161,_xlpm.r,_xlpm.c),""),
  IF(OR(_xlpm.w="",_xlpm.v=""),"",_xlpm.v*_xlpm.w)
)</f>
        <v/>
      </c>
    </row>
    <row r="42" spans="4:104" x14ac:dyDescent="0.2">
      <c r="D42" s="93" t="str" cm="1">
        <f t="array" ref="D42">_xlfn.LET(
  _xlpm.w, D$11,
  _xlpm.r, MATCH(1,('3. Enter Indicator Scores'!$B$10:$B$161=$B42)*('3. Enter Indicator Scores'!$C$10:$C$161=$C42),0),
  _xlpm.c, MATCH(D$8,'3. Enter Indicator Scores'!$D$8:$CZ$8,0),
  _xlpm.v, IFERROR(INDEX('3. Enter Indicator Scores'!$D$10:$CZ$161,_xlpm.r,_xlpm.c),""),
  IF(OR(_xlpm.w="",_xlpm.v=""),"",_xlpm.v*_xlpm.w)
)</f>
        <v/>
      </c>
      <c r="E42" s="93" t="str" cm="1">
        <f t="array" ref="E42">_xlfn.LET(
  _xlpm.w, E$11,
  _xlpm.r, MATCH(1,('3. Enter Indicator Scores'!$B$10:$B$161=$B42)*('3. Enter Indicator Scores'!$C$10:$C$161=$C42),0),
  _xlpm.c, MATCH(E$8,'3. Enter Indicator Scores'!$D$8:$CZ$8,0),
  _xlpm.v, IFERROR(INDEX('3. Enter Indicator Scores'!$D$10:$CZ$161,_xlpm.r,_xlpm.c),""),
  IF(OR(_xlpm.w="",_xlpm.v=""),"",_xlpm.v*_xlpm.w)
)</f>
        <v/>
      </c>
      <c r="F42" s="93" t="str" cm="1">
        <f t="array" ref="F42">_xlfn.LET(
  _xlpm.w, F$11,
  _xlpm.r, MATCH(1,('3. Enter Indicator Scores'!$B$10:$B$161=$B42)*('3. Enter Indicator Scores'!$C$10:$C$161=$C42),0),
  _xlpm.c, MATCH(F$8,'3. Enter Indicator Scores'!$D$8:$CZ$8,0),
  _xlpm.v, IFERROR(INDEX('3. Enter Indicator Scores'!$D$10:$CZ$161,_xlpm.r,_xlpm.c),""),
  IF(OR(_xlpm.w="",_xlpm.v=""),"",_xlpm.v*_xlpm.w)
)</f>
        <v/>
      </c>
      <c r="G42" s="93" t="str" cm="1">
        <f t="array" ref="G42">_xlfn.LET(
  _xlpm.w, G$11,
  _xlpm.r, MATCH(1,('3. Enter Indicator Scores'!$B$10:$B$161=$B42)*('3. Enter Indicator Scores'!$C$10:$C$161=$C42),0),
  _xlpm.c, MATCH(G$8,'3. Enter Indicator Scores'!$D$8:$CZ$8,0),
  _xlpm.v, IFERROR(INDEX('3. Enter Indicator Scores'!$D$10:$CZ$161,_xlpm.r,_xlpm.c),""),
  IF(OR(_xlpm.w="",_xlpm.v=""),"",_xlpm.v*_xlpm.w)
)</f>
        <v/>
      </c>
      <c r="H42" s="93" t="str" cm="1">
        <f t="array" ref="H42">_xlfn.LET(
  _xlpm.w, H$11,
  _xlpm.r, MATCH(1,('3. Enter Indicator Scores'!$B$10:$B$161=$B42)*('3. Enter Indicator Scores'!$C$10:$C$161=$C42),0),
  _xlpm.c, MATCH(H$8,'3. Enter Indicator Scores'!$D$8:$CZ$8,0),
  _xlpm.v, IFERROR(INDEX('3. Enter Indicator Scores'!$D$10:$CZ$161,_xlpm.r,_xlpm.c),""),
  IF(OR(_xlpm.w="",_xlpm.v=""),"",_xlpm.v*_xlpm.w)
)</f>
        <v/>
      </c>
      <c r="I42" s="93" t="str" cm="1">
        <f t="array" ref="I42">_xlfn.LET(
  _xlpm.w, I$11,
  _xlpm.r, MATCH(1,('3. Enter Indicator Scores'!$B$10:$B$161=$B42)*('3. Enter Indicator Scores'!$C$10:$C$161=$C42),0),
  _xlpm.c, MATCH(I$8,'3. Enter Indicator Scores'!$D$8:$CZ$8,0),
  _xlpm.v, IFERROR(INDEX('3. Enter Indicator Scores'!$D$10:$CZ$161,_xlpm.r,_xlpm.c),""),
  IF(OR(_xlpm.w="",_xlpm.v=""),"",_xlpm.v*_xlpm.w)
)</f>
        <v/>
      </c>
      <c r="J42" s="93" t="str" cm="1">
        <f t="array" ref="J42">_xlfn.LET(
  _xlpm.w, J$11,
  _xlpm.r, MATCH(1,('3. Enter Indicator Scores'!$B$10:$B$161=$B42)*('3. Enter Indicator Scores'!$C$10:$C$161=$C42),0),
  _xlpm.c, MATCH(J$8,'3. Enter Indicator Scores'!$D$8:$CZ$8,0),
  _xlpm.v, IFERROR(INDEX('3. Enter Indicator Scores'!$D$10:$CZ$161,_xlpm.r,_xlpm.c),""),
  IF(OR(_xlpm.w="",_xlpm.v=""),"",_xlpm.v*_xlpm.w)
)</f>
        <v/>
      </c>
      <c r="K42" s="93" t="str" cm="1">
        <f t="array" ref="K42">_xlfn.LET(
  _xlpm.w, K$11,
  _xlpm.r, MATCH(1,('3. Enter Indicator Scores'!$B$10:$B$161=$B42)*('3. Enter Indicator Scores'!$C$10:$C$161=$C42),0),
  _xlpm.c, MATCH(K$8,'3. Enter Indicator Scores'!$D$8:$CZ$8,0),
  _xlpm.v, IFERROR(INDEX('3. Enter Indicator Scores'!$D$10:$CZ$161,_xlpm.r,_xlpm.c),""),
  IF(OR(_xlpm.w="",_xlpm.v=""),"",_xlpm.v*_xlpm.w)
)</f>
        <v/>
      </c>
      <c r="L42" s="93" t="str" cm="1">
        <f t="array" ref="L42">_xlfn.LET(
  _xlpm.w, L$11,
  _xlpm.r, MATCH(1,('3. Enter Indicator Scores'!$B$10:$B$161=$B42)*('3. Enter Indicator Scores'!$C$10:$C$161=$C42),0),
  _xlpm.c, MATCH(L$8,'3. Enter Indicator Scores'!$D$8:$CZ$8,0),
  _xlpm.v, IFERROR(INDEX('3. Enter Indicator Scores'!$D$10:$CZ$161,_xlpm.r,_xlpm.c),""),
  IF(OR(_xlpm.w="",_xlpm.v=""),"",_xlpm.v*_xlpm.w)
)</f>
        <v/>
      </c>
      <c r="M42" s="93" t="str" cm="1">
        <f t="array" ref="M42">_xlfn.LET(
  _xlpm.w, M$11,
  _xlpm.r, MATCH(1,('3. Enter Indicator Scores'!$B$10:$B$161=$B42)*('3. Enter Indicator Scores'!$C$10:$C$161=$C42),0),
  _xlpm.c, MATCH(M$8,'3. Enter Indicator Scores'!$D$8:$CZ$8,0),
  _xlpm.v, IFERROR(INDEX('3. Enter Indicator Scores'!$D$10:$CZ$161,_xlpm.r,_xlpm.c),""),
  IF(OR(_xlpm.w="",_xlpm.v=""),"",_xlpm.v*_xlpm.w)
)</f>
        <v/>
      </c>
      <c r="N42" s="93" t="str" cm="1">
        <f t="array" ref="N42">_xlfn.LET(
  _xlpm.w, N$11,
  _xlpm.r, MATCH(1,('3. Enter Indicator Scores'!$B$10:$B$161=$B42)*('3. Enter Indicator Scores'!$C$10:$C$161=$C42),0),
  _xlpm.c, MATCH(N$8,'3. Enter Indicator Scores'!$D$8:$CZ$8,0),
  _xlpm.v, IFERROR(INDEX('3. Enter Indicator Scores'!$D$10:$CZ$161,_xlpm.r,_xlpm.c),""),
  IF(OR(_xlpm.w="",_xlpm.v=""),"",_xlpm.v*_xlpm.w)
)</f>
        <v/>
      </c>
      <c r="O42" s="93" t="str" cm="1">
        <f t="array" ref="O42">_xlfn.LET(
  _xlpm.w, O$11,
  _xlpm.r, MATCH(1,('3. Enter Indicator Scores'!$B$10:$B$161=$B42)*('3. Enter Indicator Scores'!$C$10:$C$161=$C42),0),
  _xlpm.c, MATCH(O$8,'3. Enter Indicator Scores'!$D$8:$CZ$8,0),
  _xlpm.v, IFERROR(INDEX('3. Enter Indicator Scores'!$D$10:$CZ$161,_xlpm.r,_xlpm.c),""),
  IF(OR(_xlpm.w="",_xlpm.v=""),"",_xlpm.v*_xlpm.w)
)</f>
        <v/>
      </c>
      <c r="P42" s="93" t="str" cm="1">
        <f t="array" ref="P42">_xlfn.LET(
  _xlpm.w, P$11,
  _xlpm.r, MATCH(1,('3. Enter Indicator Scores'!$B$10:$B$161=$B42)*('3. Enter Indicator Scores'!$C$10:$C$161=$C42),0),
  _xlpm.c, MATCH(P$8,'3. Enter Indicator Scores'!$D$8:$CZ$8,0),
  _xlpm.v, IFERROR(INDEX('3. Enter Indicator Scores'!$D$10:$CZ$161,_xlpm.r,_xlpm.c),""),
  IF(OR(_xlpm.w="",_xlpm.v=""),"",_xlpm.v*_xlpm.w)
)</f>
        <v/>
      </c>
      <c r="Q42" s="93" t="str" cm="1">
        <f t="array" ref="Q42">_xlfn.LET(
  _xlpm.w, Q$11,
  _xlpm.r, MATCH(1,('3. Enter Indicator Scores'!$B$10:$B$161=$B42)*('3. Enter Indicator Scores'!$C$10:$C$161=$C42),0),
  _xlpm.c, MATCH(Q$8,'3. Enter Indicator Scores'!$D$8:$CZ$8,0),
  _xlpm.v, IFERROR(INDEX('3. Enter Indicator Scores'!$D$10:$CZ$161,_xlpm.r,_xlpm.c),""),
  IF(OR(_xlpm.w="",_xlpm.v=""),"",_xlpm.v*_xlpm.w)
)</f>
        <v/>
      </c>
      <c r="R42" s="93" t="str" cm="1">
        <f t="array" ref="R42">_xlfn.LET(
  _xlpm.w, R$11,
  _xlpm.r, MATCH(1,('3. Enter Indicator Scores'!$B$10:$B$161=$B42)*('3. Enter Indicator Scores'!$C$10:$C$161=$C42),0),
  _xlpm.c, MATCH(R$8,'3. Enter Indicator Scores'!$D$8:$CZ$8,0),
  _xlpm.v, IFERROR(INDEX('3. Enter Indicator Scores'!$D$10:$CZ$161,_xlpm.r,_xlpm.c),""),
  IF(OR(_xlpm.w="",_xlpm.v=""),"",_xlpm.v*_xlpm.w)
)</f>
        <v/>
      </c>
      <c r="S42" s="93" t="str" cm="1">
        <f t="array" ref="S42">_xlfn.LET(
  _xlpm.w, S$11,
  _xlpm.r, MATCH(1,('3. Enter Indicator Scores'!$B$10:$B$161=$B42)*('3. Enter Indicator Scores'!$C$10:$C$161=$C42),0),
  _xlpm.c, MATCH(S$8,'3. Enter Indicator Scores'!$D$8:$CZ$8,0),
  _xlpm.v, IFERROR(INDEX('3. Enter Indicator Scores'!$D$10:$CZ$161,_xlpm.r,_xlpm.c),""),
  IF(OR(_xlpm.w="",_xlpm.v=""),"",_xlpm.v*_xlpm.w)
)</f>
        <v/>
      </c>
      <c r="T42" s="93" t="str" cm="1">
        <f t="array" ref="T42">_xlfn.LET(
  _xlpm.w, T$11,
  _xlpm.r, MATCH(1,('3. Enter Indicator Scores'!$B$10:$B$161=$B42)*('3. Enter Indicator Scores'!$C$10:$C$161=$C42),0),
  _xlpm.c, MATCH(T$8,'3. Enter Indicator Scores'!$D$8:$CZ$8,0),
  _xlpm.v, IFERROR(INDEX('3. Enter Indicator Scores'!$D$10:$CZ$161,_xlpm.r,_xlpm.c),""),
  IF(OR(_xlpm.w="",_xlpm.v=""),"",_xlpm.v*_xlpm.w)
)</f>
        <v/>
      </c>
      <c r="U42" s="93" t="str" cm="1">
        <f t="array" ref="U42">_xlfn.LET(
  _xlpm.w, U$11,
  _xlpm.r, MATCH(1,('3. Enter Indicator Scores'!$B$10:$B$161=$B42)*('3. Enter Indicator Scores'!$C$10:$C$161=$C42),0),
  _xlpm.c, MATCH(U$8,'3. Enter Indicator Scores'!$D$8:$CZ$8,0),
  _xlpm.v, IFERROR(INDEX('3. Enter Indicator Scores'!$D$10:$CZ$161,_xlpm.r,_xlpm.c),""),
  IF(OR(_xlpm.w="",_xlpm.v=""),"",_xlpm.v*_xlpm.w)
)</f>
        <v/>
      </c>
      <c r="V42" s="93" t="str" cm="1">
        <f t="array" ref="V42">_xlfn.LET(
  _xlpm.w, V$11,
  _xlpm.r, MATCH(1,('3. Enter Indicator Scores'!$B$10:$B$161=$B42)*('3. Enter Indicator Scores'!$C$10:$C$161=$C42),0),
  _xlpm.c, MATCH(V$8,'3. Enter Indicator Scores'!$D$8:$CZ$8,0),
  _xlpm.v, IFERROR(INDEX('3. Enter Indicator Scores'!$D$10:$CZ$161,_xlpm.r,_xlpm.c),""),
  IF(OR(_xlpm.w="",_xlpm.v=""),"",_xlpm.v*_xlpm.w)
)</f>
        <v/>
      </c>
      <c r="W42" s="93" t="str" cm="1">
        <f t="array" ref="W42">_xlfn.LET(
  _xlpm.w, W$11,
  _xlpm.r, MATCH(1,('3. Enter Indicator Scores'!$B$10:$B$161=$B42)*('3. Enter Indicator Scores'!$C$10:$C$161=$C42),0),
  _xlpm.c, MATCH(W$8,'3. Enter Indicator Scores'!$D$8:$CZ$8,0),
  _xlpm.v, IFERROR(INDEX('3. Enter Indicator Scores'!$D$10:$CZ$161,_xlpm.r,_xlpm.c),""),
  IF(OR(_xlpm.w="",_xlpm.v=""),"",_xlpm.v*_xlpm.w)
)</f>
        <v/>
      </c>
      <c r="X42" s="93" t="str" cm="1">
        <f t="array" ref="X42">_xlfn.LET(
  _xlpm.w, X$11,
  _xlpm.r, MATCH(1,('3. Enter Indicator Scores'!$B$10:$B$161=$B42)*('3. Enter Indicator Scores'!$C$10:$C$161=$C42),0),
  _xlpm.c, MATCH(X$8,'3. Enter Indicator Scores'!$D$8:$CZ$8,0),
  _xlpm.v, IFERROR(INDEX('3. Enter Indicator Scores'!$D$10:$CZ$161,_xlpm.r,_xlpm.c),""),
  IF(OR(_xlpm.w="",_xlpm.v=""),"",_xlpm.v*_xlpm.w)
)</f>
        <v/>
      </c>
      <c r="Y42" s="93" t="str" cm="1">
        <f t="array" ref="Y42">_xlfn.LET(
  _xlpm.w, Y$11,
  _xlpm.r, MATCH(1,('3. Enter Indicator Scores'!$B$10:$B$161=$B42)*('3. Enter Indicator Scores'!$C$10:$C$161=$C42),0),
  _xlpm.c, MATCH(Y$8,'3. Enter Indicator Scores'!$D$8:$CZ$8,0),
  _xlpm.v, IFERROR(INDEX('3. Enter Indicator Scores'!$D$10:$CZ$161,_xlpm.r,_xlpm.c),""),
  IF(OR(_xlpm.w="",_xlpm.v=""),"",_xlpm.v*_xlpm.w)
)</f>
        <v/>
      </c>
      <c r="Z42" s="93" t="str" cm="1">
        <f t="array" ref="Z42">_xlfn.LET(
  _xlpm.w, Z$11,
  _xlpm.r, MATCH(1,('3. Enter Indicator Scores'!$B$10:$B$161=$B42)*('3. Enter Indicator Scores'!$C$10:$C$161=$C42),0),
  _xlpm.c, MATCH(Z$8,'3. Enter Indicator Scores'!$D$8:$CZ$8,0),
  _xlpm.v, IFERROR(INDEX('3. Enter Indicator Scores'!$D$10:$CZ$161,_xlpm.r,_xlpm.c),""),
  IF(OR(_xlpm.w="",_xlpm.v=""),"",_xlpm.v*_xlpm.w)
)</f>
        <v/>
      </c>
      <c r="AA42" s="93" t="str" cm="1">
        <f t="array" ref="AA42">_xlfn.LET(
  _xlpm.w, AA$11,
  _xlpm.r, MATCH(1,('3. Enter Indicator Scores'!$B$10:$B$161=$B42)*('3. Enter Indicator Scores'!$C$10:$C$161=$C42),0),
  _xlpm.c, MATCH(AA$8,'3. Enter Indicator Scores'!$D$8:$CZ$8,0),
  _xlpm.v, IFERROR(INDEX('3. Enter Indicator Scores'!$D$10:$CZ$161,_xlpm.r,_xlpm.c),""),
  IF(OR(_xlpm.w="",_xlpm.v=""),"",_xlpm.v*_xlpm.w)
)</f>
        <v/>
      </c>
      <c r="AB42" s="93" t="str" cm="1">
        <f t="array" ref="AB42">_xlfn.LET(
  _xlpm.w, AB$11,
  _xlpm.r, MATCH(1,('3. Enter Indicator Scores'!$B$10:$B$161=$B42)*('3. Enter Indicator Scores'!$C$10:$C$161=$C42),0),
  _xlpm.c, MATCH(AB$8,'3. Enter Indicator Scores'!$D$8:$CZ$8,0),
  _xlpm.v, IFERROR(INDEX('3. Enter Indicator Scores'!$D$10:$CZ$161,_xlpm.r,_xlpm.c),""),
  IF(OR(_xlpm.w="",_xlpm.v=""),"",_xlpm.v*_xlpm.w)
)</f>
        <v/>
      </c>
      <c r="AC42" s="93" t="str" cm="1">
        <f t="array" ref="AC42">_xlfn.LET(
  _xlpm.w, AC$11,
  _xlpm.r, MATCH(1,('3. Enter Indicator Scores'!$B$10:$B$161=$B42)*('3. Enter Indicator Scores'!$C$10:$C$161=$C42),0),
  _xlpm.c, MATCH(AC$8,'3. Enter Indicator Scores'!$D$8:$CZ$8,0),
  _xlpm.v, IFERROR(INDEX('3. Enter Indicator Scores'!$D$10:$CZ$161,_xlpm.r,_xlpm.c),""),
  IF(OR(_xlpm.w="",_xlpm.v=""),"",_xlpm.v*_xlpm.w)
)</f>
        <v/>
      </c>
      <c r="AD42" s="93" t="str" cm="1">
        <f t="array" ref="AD42">_xlfn.LET(
  _xlpm.w, AD$11,
  _xlpm.r, MATCH(1,('3. Enter Indicator Scores'!$B$10:$B$161=$B42)*('3. Enter Indicator Scores'!$C$10:$C$161=$C42),0),
  _xlpm.c, MATCH(AD$8,'3. Enter Indicator Scores'!$D$8:$CZ$8,0),
  _xlpm.v, IFERROR(INDEX('3. Enter Indicator Scores'!$D$10:$CZ$161,_xlpm.r,_xlpm.c),""),
  IF(OR(_xlpm.w="",_xlpm.v=""),"",_xlpm.v*_xlpm.w)
)</f>
        <v/>
      </c>
      <c r="AE42" s="93" t="str" cm="1">
        <f t="array" ref="AE42">_xlfn.LET(
  _xlpm.w, AE$11,
  _xlpm.r, MATCH(1,('3. Enter Indicator Scores'!$B$10:$B$161=$B42)*('3. Enter Indicator Scores'!$C$10:$C$161=$C42),0),
  _xlpm.c, MATCH(AE$8,'3. Enter Indicator Scores'!$D$8:$CZ$8,0),
  _xlpm.v, IFERROR(INDEX('3. Enter Indicator Scores'!$D$10:$CZ$161,_xlpm.r,_xlpm.c),""),
  IF(OR(_xlpm.w="",_xlpm.v=""),"",_xlpm.v*_xlpm.w)
)</f>
        <v/>
      </c>
      <c r="AF42" s="93" t="str" cm="1">
        <f t="array" ref="AF42">_xlfn.LET(
  _xlpm.w, AF$11,
  _xlpm.r, MATCH(1,('3. Enter Indicator Scores'!$B$10:$B$161=$B42)*('3. Enter Indicator Scores'!$C$10:$C$161=$C42),0),
  _xlpm.c, MATCH(AF$8,'3. Enter Indicator Scores'!$D$8:$CZ$8,0),
  _xlpm.v, IFERROR(INDEX('3. Enter Indicator Scores'!$D$10:$CZ$161,_xlpm.r,_xlpm.c),""),
  IF(OR(_xlpm.w="",_xlpm.v=""),"",_xlpm.v*_xlpm.w)
)</f>
        <v/>
      </c>
      <c r="AG42" s="93" t="str" cm="1">
        <f t="array" ref="AG42">_xlfn.LET(
  _xlpm.w, AG$11,
  _xlpm.r, MATCH(1,('3. Enter Indicator Scores'!$B$10:$B$161=$B42)*('3. Enter Indicator Scores'!$C$10:$C$161=$C42),0),
  _xlpm.c, MATCH(AG$8,'3. Enter Indicator Scores'!$D$8:$CZ$8,0),
  _xlpm.v, IFERROR(INDEX('3. Enter Indicator Scores'!$D$10:$CZ$161,_xlpm.r,_xlpm.c),""),
  IF(OR(_xlpm.w="",_xlpm.v=""),"",_xlpm.v*_xlpm.w)
)</f>
        <v/>
      </c>
      <c r="AH42" s="93" t="str" cm="1">
        <f t="array" ref="AH42">_xlfn.LET(
  _xlpm.w, AH$11,
  _xlpm.r, MATCH(1,('3. Enter Indicator Scores'!$B$10:$B$161=$B42)*('3. Enter Indicator Scores'!$C$10:$C$161=$C42),0),
  _xlpm.c, MATCH(AH$8,'3. Enter Indicator Scores'!$D$8:$CZ$8,0),
  _xlpm.v, IFERROR(INDEX('3. Enter Indicator Scores'!$D$10:$CZ$161,_xlpm.r,_xlpm.c),""),
  IF(OR(_xlpm.w="",_xlpm.v=""),"",_xlpm.v*_xlpm.w)
)</f>
        <v/>
      </c>
      <c r="AI42" s="93" t="str" cm="1">
        <f t="array" ref="AI42">_xlfn.LET(
  _xlpm.w, AI$11,
  _xlpm.r, MATCH(1,('3. Enter Indicator Scores'!$B$10:$B$161=$B42)*('3. Enter Indicator Scores'!$C$10:$C$161=$C42),0),
  _xlpm.c, MATCH(AI$8,'3. Enter Indicator Scores'!$D$8:$CZ$8,0),
  _xlpm.v, IFERROR(INDEX('3. Enter Indicator Scores'!$D$10:$CZ$161,_xlpm.r,_xlpm.c),""),
  IF(OR(_xlpm.w="",_xlpm.v=""),"",_xlpm.v*_xlpm.w)
)</f>
        <v/>
      </c>
      <c r="AJ42" s="93" t="str" cm="1">
        <f t="array" ref="AJ42">_xlfn.LET(
  _xlpm.w, AJ$11,
  _xlpm.r, MATCH(1,('3. Enter Indicator Scores'!$B$10:$B$161=$B42)*('3. Enter Indicator Scores'!$C$10:$C$161=$C42),0),
  _xlpm.c, MATCH(AJ$8,'3. Enter Indicator Scores'!$D$8:$CZ$8,0),
  _xlpm.v, IFERROR(INDEX('3. Enter Indicator Scores'!$D$10:$CZ$161,_xlpm.r,_xlpm.c),""),
  IF(OR(_xlpm.w="",_xlpm.v=""),"",_xlpm.v*_xlpm.w)
)</f>
        <v/>
      </c>
      <c r="AK42" s="93" t="str" cm="1">
        <f t="array" ref="AK42">_xlfn.LET(
  _xlpm.w, AK$11,
  _xlpm.r, MATCH(1,('3. Enter Indicator Scores'!$B$10:$B$161=$B42)*('3. Enter Indicator Scores'!$C$10:$C$161=$C42),0),
  _xlpm.c, MATCH(AK$8,'3. Enter Indicator Scores'!$D$8:$CZ$8,0),
  _xlpm.v, IFERROR(INDEX('3. Enter Indicator Scores'!$D$10:$CZ$161,_xlpm.r,_xlpm.c),""),
  IF(OR(_xlpm.w="",_xlpm.v=""),"",_xlpm.v*_xlpm.w)
)</f>
        <v/>
      </c>
      <c r="AL42" s="93" t="str" cm="1">
        <f t="array" ref="AL42">_xlfn.LET(
  _xlpm.w, AL$11,
  _xlpm.r, MATCH(1,('3. Enter Indicator Scores'!$B$10:$B$161=$B42)*('3. Enter Indicator Scores'!$C$10:$C$161=$C42),0),
  _xlpm.c, MATCH(AL$8,'3. Enter Indicator Scores'!$D$8:$CZ$8,0),
  _xlpm.v, IFERROR(INDEX('3. Enter Indicator Scores'!$D$10:$CZ$161,_xlpm.r,_xlpm.c),""),
  IF(OR(_xlpm.w="",_xlpm.v=""),"",_xlpm.v*_xlpm.w)
)</f>
        <v/>
      </c>
      <c r="AM42" s="93" t="str" cm="1">
        <f t="array" ref="AM42">_xlfn.LET(
  _xlpm.w, AM$11,
  _xlpm.r, MATCH(1,('3. Enter Indicator Scores'!$B$10:$B$161=$B42)*('3. Enter Indicator Scores'!$C$10:$C$161=$C42),0),
  _xlpm.c, MATCH(AM$8,'3. Enter Indicator Scores'!$D$8:$CZ$8,0),
  _xlpm.v, IFERROR(INDEX('3. Enter Indicator Scores'!$D$10:$CZ$161,_xlpm.r,_xlpm.c),""),
  IF(OR(_xlpm.w="",_xlpm.v=""),"",_xlpm.v*_xlpm.w)
)</f>
        <v/>
      </c>
      <c r="AN42" s="93" t="str" cm="1">
        <f t="array" ref="AN42">_xlfn.LET(
  _xlpm.w, AN$11,
  _xlpm.r, MATCH(1,('3. Enter Indicator Scores'!$B$10:$B$161=$B42)*('3. Enter Indicator Scores'!$C$10:$C$161=$C42),0),
  _xlpm.c, MATCH(AN$8,'3. Enter Indicator Scores'!$D$8:$CZ$8,0),
  _xlpm.v, IFERROR(INDEX('3. Enter Indicator Scores'!$D$10:$CZ$161,_xlpm.r,_xlpm.c),""),
  IF(OR(_xlpm.w="",_xlpm.v=""),"",_xlpm.v*_xlpm.w)
)</f>
        <v/>
      </c>
      <c r="AO42" s="93" t="str" cm="1">
        <f t="array" ref="AO42">_xlfn.LET(
  _xlpm.w, AO$11,
  _xlpm.r, MATCH(1,('3. Enter Indicator Scores'!$B$10:$B$161=$B42)*('3. Enter Indicator Scores'!$C$10:$C$161=$C42),0),
  _xlpm.c, MATCH(AO$8,'3. Enter Indicator Scores'!$D$8:$CZ$8,0),
  _xlpm.v, IFERROR(INDEX('3. Enter Indicator Scores'!$D$10:$CZ$161,_xlpm.r,_xlpm.c),""),
  IF(OR(_xlpm.w="",_xlpm.v=""),"",_xlpm.v*_xlpm.w)
)</f>
        <v/>
      </c>
      <c r="AP42" s="93" t="str" cm="1">
        <f t="array" ref="AP42">_xlfn.LET(
  _xlpm.w, AP$11,
  _xlpm.r, MATCH(1,('3. Enter Indicator Scores'!$B$10:$B$161=$B42)*('3. Enter Indicator Scores'!$C$10:$C$161=$C42),0),
  _xlpm.c, MATCH(AP$8,'3. Enter Indicator Scores'!$D$8:$CZ$8,0),
  _xlpm.v, IFERROR(INDEX('3. Enter Indicator Scores'!$D$10:$CZ$161,_xlpm.r,_xlpm.c),""),
  IF(OR(_xlpm.w="",_xlpm.v=""),"",_xlpm.v*_xlpm.w)
)</f>
        <v/>
      </c>
      <c r="AQ42" s="93" t="str" cm="1">
        <f t="array" ref="AQ42">_xlfn.LET(
  _xlpm.w, AQ$11,
  _xlpm.r, MATCH(1,('3. Enter Indicator Scores'!$B$10:$B$161=$B42)*('3. Enter Indicator Scores'!$C$10:$C$161=$C42),0),
  _xlpm.c, MATCH(AQ$8,'3. Enter Indicator Scores'!$D$8:$CZ$8,0),
  _xlpm.v, IFERROR(INDEX('3. Enter Indicator Scores'!$D$10:$CZ$161,_xlpm.r,_xlpm.c),""),
  IF(OR(_xlpm.w="",_xlpm.v=""),"",_xlpm.v*_xlpm.w)
)</f>
        <v/>
      </c>
      <c r="AR42" s="93" t="str" cm="1">
        <f t="array" ref="AR42">_xlfn.LET(
  _xlpm.w, AR$11,
  _xlpm.r, MATCH(1,('3. Enter Indicator Scores'!$B$10:$B$161=$B42)*('3. Enter Indicator Scores'!$C$10:$C$161=$C42),0),
  _xlpm.c, MATCH(AR$8,'3. Enter Indicator Scores'!$D$8:$CZ$8,0),
  _xlpm.v, IFERROR(INDEX('3. Enter Indicator Scores'!$D$10:$CZ$161,_xlpm.r,_xlpm.c),""),
  IF(OR(_xlpm.w="",_xlpm.v=""),"",_xlpm.v*_xlpm.w)
)</f>
        <v/>
      </c>
      <c r="AS42" s="93" t="str" cm="1">
        <f t="array" ref="AS42">_xlfn.LET(
  _xlpm.w, AS$11,
  _xlpm.r, MATCH(1,('3. Enter Indicator Scores'!$B$10:$B$161=$B42)*('3. Enter Indicator Scores'!$C$10:$C$161=$C42),0),
  _xlpm.c, MATCH(AS$8,'3. Enter Indicator Scores'!$D$8:$CZ$8,0),
  _xlpm.v, IFERROR(INDEX('3. Enter Indicator Scores'!$D$10:$CZ$161,_xlpm.r,_xlpm.c),""),
  IF(OR(_xlpm.w="",_xlpm.v=""),"",_xlpm.v*_xlpm.w)
)</f>
        <v/>
      </c>
      <c r="AT42" s="93" t="str" cm="1">
        <f t="array" ref="AT42">_xlfn.LET(
  _xlpm.w, AT$11,
  _xlpm.r, MATCH(1,('3. Enter Indicator Scores'!$B$10:$B$161=$B42)*('3. Enter Indicator Scores'!$C$10:$C$161=$C42),0),
  _xlpm.c, MATCH(AT$8,'3. Enter Indicator Scores'!$D$8:$CZ$8,0),
  _xlpm.v, IFERROR(INDEX('3. Enter Indicator Scores'!$D$10:$CZ$161,_xlpm.r,_xlpm.c),""),
  IF(OR(_xlpm.w="",_xlpm.v=""),"",_xlpm.v*_xlpm.w)
)</f>
        <v/>
      </c>
      <c r="AU42" s="93" t="str" cm="1">
        <f t="array" ref="AU42">_xlfn.LET(
  _xlpm.w, AU$11,
  _xlpm.r, MATCH(1,('3. Enter Indicator Scores'!$B$10:$B$161=$B42)*('3. Enter Indicator Scores'!$C$10:$C$161=$C42),0),
  _xlpm.c, MATCH(AU$8,'3. Enter Indicator Scores'!$D$8:$CZ$8,0),
  _xlpm.v, IFERROR(INDEX('3. Enter Indicator Scores'!$D$10:$CZ$161,_xlpm.r,_xlpm.c),""),
  IF(OR(_xlpm.w="",_xlpm.v=""),"",_xlpm.v*_xlpm.w)
)</f>
        <v/>
      </c>
      <c r="AV42" s="93" t="str" cm="1">
        <f t="array" ref="AV42">_xlfn.LET(
  _xlpm.w, AV$11,
  _xlpm.r, MATCH(1,('3. Enter Indicator Scores'!$B$10:$B$161=$B42)*('3. Enter Indicator Scores'!$C$10:$C$161=$C42),0),
  _xlpm.c, MATCH(AV$8,'3. Enter Indicator Scores'!$D$8:$CZ$8,0),
  _xlpm.v, IFERROR(INDEX('3. Enter Indicator Scores'!$D$10:$CZ$161,_xlpm.r,_xlpm.c),""),
  IF(OR(_xlpm.w="",_xlpm.v=""),"",_xlpm.v*_xlpm.w)
)</f>
        <v/>
      </c>
      <c r="AW42" s="93" t="str" cm="1">
        <f t="array" ref="AW42">_xlfn.LET(
  _xlpm.w, AW$11,
  _xlpm.r, MATCH(1,('3. Enter Indicator Scores'!$B$10:$B$161=$B42)*('3. Enter Indicator Scores'!$C$10:$C$161=$C42),0),
  _xlpm.c, MATCH(AW$8,'3. Enter Indicator Scores'!$D$8:$CZ$8,0),
  _xlpm.v, IFERROR(INDEX('3. Enter Indicator Scores'!$D$10:$CZ$161,_xlpm.r,_xlpm.c),""),
  IF(OR(_xlpm.w="",_xlpm.v=""),"",_xlpm.v*_xlpm.w)
)</f>
        <v/>
      </c>
      <c r="AX42" s="93" t="str" cm="1">
        <f t="array" ref="AX42">_xlfn.LET(
  _xlpm.w, AX$11,
  _xlpm.r, MATCH(1,('3. Enter Indicator Scores'!$B$10:$B$161=$B42)*('3. Enter Indicator Scores'!$C$10:$C$161=$C42),0),
  _xlpm.c, MATCH(AX$8,'3. Enter Indicator Scores'!$D$8:$CZ$8,0),
  _xlpm.v, IFERROR(INDEX('3. Enter Indicator Scores'!$D$10:$CZ$161,_xlpm.r,_xlpm.c),""),
  IF(OR(_xlpm.w="",_xlpm.v=""),"",_xlpm.v*_xlpm.w)
)</f>
        <v/>
      </c>
      <c r="AY42" s="93" t="str" cm="1">
        <f t="array" ref="AY42">_xlfn.LET(
  _xlpm.w, AY$11,
  _xlpm.r, MATCH(1,('3. Enter Indicator Scores'!$B$10:$B$161=$B42)*('3. Enter Indicator Scores'!$C$10:$C$161=$C42),0),
  _xlpm.c, MATCH(AY$8,'3. Enter Indicator Scores'!$D$8:$CZ$8,0),
  _xlpm.v, IFERROR(INDEX('3. Enter Indicator Scores'!$D$10:$CZ$161,_xlpm.r,_xlpm.c),""),
  IF(OR(_xlpm.w="",_xlpm.v=""),"",_xlpm.v*_xlpm.w)
)</f>
        <v/>
      </c>
      <c r="AZ42" s="93" t="str" cm="1">
        <f t="array" ref="AZ42">_xlfn.LET(
  _xlpm.w, AZ$11,
  _xlpm.r, MATCH(1,('3. Enter Indicator Scores'!$B$10:$B$161=$B42)*('3. Enter Indicator Scores'!$C$10:$C$161=$C42),0),
  _xlpm.c, MATCH(AZ$8,'3. Enter Indicator Scores'!$D$8:$CZ$8,0),
  _xlpm.v, IFERROR(INDEX('3. Enter Indicator Scores'!$D$10:$CZ$161,_xlpm.r,_xlpm.c),""),
  IF(OR(_xlpm.w="",_xlpm.v=""),"",_xlpm.v*_xlpm.w)
)</f>
        <v/>
      </c>
      <c r="BA42" s="93" t="str" cm="1">
        <f t="array" ref="BA42">_xlfn.LET(
  _xlpm.w, BA$11,
  _xlpm.r, MATCH(1,('3. Enter Indicator Scores'!$B$10:$B$161=$B42)*('3. Enter Indicator Scores'!$C$10:$C$161=$C42),0),
  _xlpm.c, MATCH(BA$8,'3. Enter Indicator Scores'!$D$8:$CZ$8,0),
  _xlpm.v, IFERROR(INDEX('3. Enter Indicator Scores'!$D$10:$CZ$161,_xlpm.r,_xlpm.c),""),
  IF(OR(_xlpm.w="",_xlpm.v=""),"",_xlpm.v*_xlpm.w)
)</f>
        <v/>
      </c>
      <c r="BB42" s="93" t="str" cm="1">
        <f t="array" ref="BB42">_xlfn.LET(
  _xlpm.w, BB$11,
  _xlpm.r, MATCH(1,('3. Enter Indicator Scores'!$B$10:$B$161=$B42)*('3. Enter Indicator Scores'!$C$10:$C$161=$C42),0),
  _xlpm.c, MATCH(BB$8,'3. Enter Indicator Scores'!$D$8:$CZ$8,0),
  _xlpm.v, IFERROR(INDEX('3. Enter Indicator Scores'!$D$10:$CZ$161,_xlpm.r,_xlpm.c),""),
  IF(OR(_xlpm.w="",_xlpm.v=""),"",_xlpm.v*_xlpm.w)
)</f>
        <v/>
      </c>
      <c r="BC42" s="93" t="str" cm="1">
        <f t="array" ref="BC42">_xlfn.LET(
  _xlpm.w, BC$11,
  _xlpm.r, MATCH(1,('3. Enter Indicator Scores'!$B$10:$B$161=$B42)*('3. Enter Indicator Scores'!$C$10:$C$161=$C42),0),
  _xlpm.c, MATCH(BC$8,'3. Enter Indicator Scores'!$D$8:$CZ$8,0),
  _xlpm.v, IFERROR(INDEX('3. Enter Indicator Scores'!$D$10:$CZ$161,_xlpm.r,_xlpm.c),""),
  IF(OR(_xlpm.w="",_xlpm.v=""),"",_xlpm.v*_xlpm.w)
)</f>
        <v/>
      </c>
      <c r="BD42" s="93" t="str" cm="1">
        <f t="array" ref="BD42">_xlfn.LET(
  _xlpm.w, BD$11,
  _xlpm.r, MATCH(1,('3. Enter Indicator Scores'!$B$10:$B$161=$B42)*('3. Enter Indicator Scores'!$C$10:$C$161=$C42),0),
  _xlpm.c, MATCH(BD$8,'3. Enter Indicator Scores'!$D$8:$CZ$8,0),
  _xlpm.v, IFERROR(INDEX('3. Enter Indicator Scores'!$D$10:$CZ$161,_xlpm.r,_xlpm.c),""),
  IF(OR(_xlpm.w="",_xlpm.v=""),"",_xlpm.v*_xlpm.w)
)</f>
        <v/>
      </c>
      <c r="BE42" s="93" t="str" cm="1">
        <f t="array" ref="BE42">_xlfn.LET(
  _xlpm.w, BE$11,
  _xlpm.r, MATCH(1,('3. Enter Indicator Scores'!$B$10:$B$161=$B42)*('3. Enter Indicator Scores'!$C$10:$C$161=$C42),0),
  _xlpm.c, MATCH(BE$8,'3. Enter Indicator Scores'!$D$8:$CZ$8,0),
  _xlpm.v, IFERROR(INDEX('3. Enter Indicator Scores'!$D$10:$CZ$161,_xlpm.r,_xlpm.c),""),
  IF(OR(_xlpm.w="",_xlpm.v=""),"",_xlpm.v*_xlpm.w)
)</f>
        <v/>
      </c>
      <c r="BF42" s="93" t="str" cm="1">
        <f t="array" ref="BF42">_xlfn.LET(
  _xlpm.w, BF$11,
  _xlpm.r, MATCH(1,('3. Enter Indicator Scores'!$B$10:$B$161=$B42)*('3. Enter Indicator Scores'!$C$10:$C$161=$C42),0),
  _xlpm.c, MATCH(BF$8,'3. Enter Indicator Scores'!$D$8:$CZ$8,0),
  _xlpm.v, IFERROR(INDEX('3. Enter Indicator Scores'!$D$10:$CZ$161,_xlpm.r,_xlpm.c),""),
  IF(OR(_xlpm.w="",_xlpm.v=""),"",_xlpm.v*_xlpm.w)
)</f>
        <v/>
      </c>
      <c r="BG42" s="93" t="str" cm="1">
        <f t="array" ref="BG42">_xlfn.LET(
  _xlpm.w, BG$11,
  _xlpm.r, MATCH(1,('3. Enter Indicator Scores'!$B$10:$B$161=$B42)*('3. Enter Indicator Scores'!$C$10:$C$161=$C42),0),
  _xlpm.c, MATCH(BG$8,'3. Enter Indicator Scores'!$D$8:$CZ$8,0),
  _xlpm.v, IFERROR(INDEX('3. Enter Indicator Scores'!$D$10:$CZ$161,_xlpm.r,_xlpm.c),""),
  IF(OR(_xlpm.w="",_xlpm.v=""),"",_xlpm.v*_xlpm.w)
)</f>
        <v/>
      </c>
      <c r="BH42" s="93" t="str" cm="1">
        <f t="array" ref="BH42">_xlfn.LET(
  _xlpm.w, BH$11,
  _xlpm.r, MATCH(1,('3. Enter Indicator Scores'!$B$10:$B$161=$B42)*('3. Enter Indicator Scores'!$C$10:$C$161=$C42),0),
  _xlpm.c, MATCH(BH$8,'3. Enter Indicator Scores'!$D$8:$CZ$8,0),
  _xlpm.v, IFERROR(INDEX('3. Enter Indicator Scores'!$D$10:$CZ$161,_xlpm.r,_xlpm.c),""),
  IF(OR(_xlpm.w="",_xlpm.v=""),"",_xlpm.v*_xlpm.w)
)</f>
        <v/>
      </c>
      <c r="BI42" s="93" t="str" cm="1">
        <f t="array" ref="BI42">_xlfn.LET(
  _xlpm.w, BI$11,
  _xlpm.r, MATCH(1,('3. Enter Indicator Scores'!$B$10:$B$161=$B42)*('3. Enter Indicator Scores'!$C$10:$C$161=$C42),0),
  _xlpm.c, MATCH(BI$8,'3. Enter Indicator Scores'!$D$8:$CZ$8,0),
  _xlpm.v, IFERROR(INDEX('3. Enter Indicator Scores'!$D$10:$CZ$161,_xlpm.r,_xlpm.c),""),
  IF(OR(_xlpm.w="",_xlpm.v=""),"",_xlpm.v*_xlpm.w)
)</f>
        <v/>
      </c>
      <c r="BJ42" s="93" t="str" cm="1">
        <f t="array" ref="BJ42">_xlfn.LET(
  _xlpm.w, BJ$11,
  _xlpm.r, MATCH(1,('3. Enter Indicator Scores'!$B$10:$B$161=$B42)*('3. Enter Indicator Scores'!$C$10:$C$161=$C42),0),
  _xlpm.c, MATCH(BJ$8,'3. Enter Indicator Scores'!$D$8:$CZ$8,0),
  _xlpm.v, IFERROR(INDEX('3. Enter Indicator Scores'!$D$10:$CZ$161,_xlpm.r,_xlpm.c),""),
  IF(OR(_xlpm.w="",_xlpm.v=""),"",_xlpm.v*_xlpm.w)
)</f>
        <v/>
      </c>
      <c r="BK42" s="93" t="str" cm="1">
        <f t="array" ref="BK42">_xlfn.LET(
  _xlpm.w, BK$11,
  _xlpm.r, MATCH(1,('3. Enter Indicator Scores'!$B$10:$B$161=$B42)*('3. Enter Indicator Scores'!$C$10:$C$161=$C42),0),
  _xlpm.c, MATCH(BK$8,'3. Enter Indicator Scores'!$D$8:$CZ$8,0),
  _xlpm.v, IFERROR(INDEX('3. Enter Indicator Scores'!$D$10:$CZ$161,_xlpm.r,_xlpm.c),""),
  IF(OR(_xlpm.w="",_xlpm.v=""),"",_xlpm.v*_xlpm.w)
)</f>
        <v/>
      </c>
      <c r="BL42" s="93" t="str" cm="1">
        <f t="array" ref="BL42">_xlfn.LET(
  _xlpm.w, BL$11,
  _xlpm.r, MATCH(1,('3. Enter Indicator Scores'!$B$10:$B$161=$B42)*('3. Enter Indicator Scores'!$C$10:$C$161=$C42),0),
  _xlpm.c, MATCH(BL$8,'3. Enter Indicator Scores'!$D$8:$CZ$8,0),
  _xlpm.v, IFERROR(INDEX('3. Enter Indicator Scores'!$D$10:$CZ$161,_xlpm.r,_xlpm.c),""),
  IF(OR(_xlpm.w="",_xlpm.v=""),"",_xlpm.v*_xlpm.w)
)</f>
        <v/>
      </c>
      <c r="BM42" s="93" t="str" cm="1">
        <f t="array" ref="BM42">_xlfn.LET(
  _xlpm.w, BM$11,
  _xlpm.r, MATCH(1,('3. Enter Indicator Scores'!$B$10:$B$161=$B42)*('3. Enter Indicator Scores'!$C$10:$C$161=$C42),0),
  _xlpm.c, MATCH(BM$8,'3. Enter Indicator Scores'!$D$8:$CZ$8,0),
  _xlpm.v, IFERROR(INDEX('3. Enter Indicator Scores'!$D$10:$CZ$161,_xlpm.r,_xlpm.c),""),
  IF(OR(_xlpm.w="",_xlpm.v=""),"",_xlpm.v*_xlpm.w)
)</f>
        <v/>
      </c>
      <c r="BN42" s="93" t="str" cm="1">
        <f t="array" ref="BN42">_xlfn.LET(
  _xlpm.w, BN$11,
  _xlpm.r, MATCH(1,('3. Enter Indicator Scores'!$B$10:$B$161=$B42)*('3. Enter Indicator Scores'!$C$10:$C$161=$C42),0),
  _xlpm.c, MATCH(BN$8,'3. Enter Indicator Scores'!$D$8:$CZ$8,0),
  _xlpm.v, IFERROR(INDEX('3. Enter Indicator Scores'!$D$10:$CZ$161,_xlpm.r,_xlpm.c),""),
  IF(OR(_xlpm.w="",_xlpm.v=""),"",_xlpm.v*_xlpm.w)
)</f>
        <v/>
      </c>
      <c r="BO42" s="93" t="str" cm="1">
        <f t="array" ref="BO42">_xlfn.LET(
  _xlpm.w, BO$11,
  _xlpm.r, MATCH(1,('3. Enter Indicator Scores'!$B$10:$B$161=$B42)*('3. Enter Indicator Scores'!$C$10:$C$161=$C42),0),
  _xlpm.c, MATCH(BO$8,'3. Enter Indicator Scores'!$D$8:$CZ$8,0),
  _xlpm.v, IFERROR(INDEX('3. Enter Indicator Scores'!$D$10:$CZ$161,_xlpm.r,_xlpm.c),""),
  IF(OR(_xlpm.w="",_xlpm.v=""),"",_xlpm.v*_xlpm.w)
)</f>
        <v/>
      </c>
      <c r="BP42" s="93" t="str" cm="1">
        <f t="array" ref="BP42">_xlfn.LET(
  _xlpm.w, BP$11,
  _xlpm.r, MATCH(1,('3. Enter Indicator Scores'!$B$10:$B$161=$B42)*('3. Enter Indicator Scores'!$C$10:$C$161=$C42),0),
  _xlpm.c, MATCH(BP$8,'3. Enter Indicator Scores'!$D$8:$CZ$8,0),
  _xlpm.v, IFERROR(INDEX('3. Enter Indicator Scores'!$D$10:$CZ$161,_xlpm.r,_xlpm.c),""),
  IF(OR(_xlpm.w="",_xlpm.v=""),"",_xlpm.v*_xlpm.w)
)</f>
        <v/>
      </c>
      <c r="BQ42" s="93" t="str" cm="1">
        <f t="array" ref="BQ42">_xlfn.LET(
  _xlpm.w, BQ$11,
  _xlpm.r, MATCH(1,('3. Enter Indicator Scores'!$B$10:$B$161=$B42)*('3. Enter Indicator Scores'!$C$10:$C$161=$C42),0),
  _xlpm.c, MATCH(BQ$8,'3. Enter Indicator Scores'!$D$8:$CZ$8,0),
  _xlpm.v, IFERROR(INDEX('3. Enter Indicator Scores'!$D$10:$CZ$161,_xlpm.r,_xlpm.c),""),
  IF(OR(_xlpm.w="",_xlpm.v=""),"",_xlpm.v*_xlpm.w)
)</f>
        <v/>
      </c>
      <c r="BR42" s="93" t="str" cm="1">
        <f t="array" ref="BR42">_xlfn.LET(
  _xlpm.w, BR$11,
  _xlpm.r, MATCH(1,('3. Enter Indicator Scores'!$B$10:$B$161=$B42)*('3. Enter Indicator Scores'!$C$10:$C$161=$C42),0),
  _xlpm.c, MATCH(BR$8,'3. Enter Indicator Scores'!$D$8:$CZ$8,0),
  _xlpm.v, IFERROR(INDEX('3. Enter Indicator Scores'!$D$10:$CZ$161,_xlpm.r,_xlpm.c),""),
  IF(OR(_xlpm.w="",_xlpm.v=""),"",_xlpm.v*_xlpm.w)
)</f>
        <v/>
      </c>
      <c r="BS42" s="93" t="str" cm="1">
        <f t="array" ref="BS42">_xlfn.LET(
  _xlpm.w, BS$11,
  _xlpm.r, MATCH(1,('3. Enter Indicator Scores'!$B$10:$B$161=$B42)*('3. Enter Indicator Scores'!$C$10:$C$161=$C42),0),
  _xlpm.c, MATCH(BS$8,'3. Enter Indicator Scores'!$D$8:$CZ$8,0),
  _xlpm.v, IFERROR(INDEX('3. Enter Indicator Scores'!$D$10:$CZ$161,_xlpm.r,_xlpm.c),""),
  IF(OR(_xlpm.w="",_xlpm.v=""),"",_xlpm.v*_xlpm.w)
)</f>
        <v/>
      </c>
      <c r="BT42" s="93" t="str" cm="1">
        <f t="array" ref="BT42">_xlfn.LET(
  _xlpm.w, BT$11,
  _xlpm.r, MATCH(1,('3. Enter Indicator Scores'!$B$10:$B$161=$B42)*('3. Enter Indicator Scores'!$C$10:$C$161=$C42),0),
  _xlpm.c, MATCH(BT$8,'3. Enter Indicator Scores'!$D$8:$CZ$8,0),
  _xlpm.v, IFERROR(INDEX('3. Enter Indicator Scores'!$D$10:$CZ$161,_xlpm.r,_xlpm.c),""),
  IF(OR(_xlpm.w="",_xlpm.v=""),"",_xlpm.v*_xlpm.w)
)</f>
        <v/>
      </c>
      <c r="BU42" s="93" t="str" cm="1">
        <f t="array" ref="BU42">_xlfn.LET(
  _xlpm.w, BU$11,
  _xlpm.r, MATCH(1,('3. Enter Indicator Scores'!$B$10:$B$161=$B42)*('3. Enter Indicator Scores'!$C$10:$C$161=$C42),0),
  _xlpm.c, MATCH(BU$8,'3. Enter Indicator Scores'!$D$8:$CZ$8,0),
  _xlpm.v, IFERROR(INDEX('3. Enter Indicator Scores'!$D$10:$CZ$161,_xlpm.r,_xlpm.c),""),
  IF(OR(_xlpm.w="",_xlpm.v=""),"",_xlpm.v*_xlpm.w)
)</f>
        <v/>
      </c>
      <c r="BV42" s="93" t="str" cm="1">
        <f t="array" ref="BV42">_xlfn.LET(
  _xlpm.w, BV$11,
  _xlpm.r, MATCH(1,('3. Enter Indicator Scores'!$B$10:$B$161=$B42)*('3. Enter Indicator Scores'!$C$10:$C$161=$C42),0),
  _xlpm.c, MATCH(BV$8,'3. Enter Indicator Scores'!$D$8:$CZ$8,0),
  _xlpm.v, IFERROR(INDEX('3. Enter Indicator Scores'!$D$10:$CZ$161,_xlpm.r,_xlpm.c),""),
  IF(OR(_xlpm.w="",_xlpm.v=""),"",_xlpm.v*_xlpm.w)
)</f>
        <v/>
      </c>
      <c r="BW42" s="93" t="str" cm="1">
        <f t="array" ref="BW42">_xlfn.LET(
  _xlpm.w, BW$11,
  _xlpm.r, MATCH(1,('3. Enter Indicator Scores'!$B$10:$B$161=$B42)*('3. Enter Indicator Scores'!$C$10:$C$161=$C42),0),
  _xlpm.c, MATCH(BW$8,'3. Enter Indicator Scores'!$D$8:$CZ$8,0),
  _xlpm.v, IFERROR(INDEX('3. Enter Indicator Scores'!$D$10:$CZ$161,_xlpm.r,_xlpm.c),""),
  IF(OR(_xlpm.w="",_xlpm.v=""),"",_xlpm.v*_xlpm.w)
)</f>
        <v/>
      </c>
      <c r="BX42" s="93" t="str" cm="1">
        <f t="array" ref="BX42">_xlfn.LET(
  _xlpm.w, BX$11,
  _xlpm.r, MATCH(1,('3. Enter Indicator Scores'!$B$10:$B$161=$B42)*('3. Enter Indicator Scores'!$C$10:$C$161=$C42),0),
  _xlpm.c, MATCH(BX$8,'3. Enter Indicator Scores'!$D$8:$CZ$8,0),
  _xlpm.v, IFERROR(INDEX('3. Enter Indicator Scores'!$D$10:$CZ$161,_xlpm.r,_xlpm.c),""),
  IF(OR(_xlpm.w="",_xlpm.v=""),"",_xlpm.v*_xlpm.w)
)</f>
        <v/>
      </c>
      <c r="BY42" s="93" t="str" cm="1">
        <f t="array" ref="BY42">_xlfn.LET(
  _xlpm.w, BY$11,
  _xlpm.r, MATCH(1,('3. Enter Indicator Scores'!$B$10:$B$161=$B42)*('3. Enter Indicator Scores'!$C$10:$C$161=$C42),0),
  _xlpm.c, MATCH(BY$8,'3. Enter Indicator Scores'!$D$8:$CZ$8,0),
  _xlpm.v, IFERROR(INDEX('3. Enter Indicator Scores'!$D$10:$CZ$161,_xlpm.r,_xlpm.c),""),
  IF(OR(_xlpm.w="",_xlpm.v=""),"",_xlpm.v*_xlpm.w)
)</f>
        <v/>
      </c>
      <c r="BZ42" s="93" t="str" cm="1">
        <f t="array" ref="BZ42">_xlfn.LET(
  _xlpm.w, BZ$11,
  _xlpm.r, MATCH(1,('3. Enter Indicator Scores'!$B$10:$B$161=$B42)*('3. Enter Indicator Scores'!$C$10:$C$161=$C42),0),
  _xlpm.c, MATCH(BZ$8,'3. Enter Indicator Scores'!$D$8:$CZ$8,0),
  _xlpm.v, IFERROR(INDEX('3. Enter Indicator Scores'!$D$10:$CZ$161,_xlpm.r,_xlpm.c),""),
  IF(OR(_xlpm.w="",_xlpm.v=""),"",_xlpm.v*_xlpm.w)
)</f>
        <v/>
      </c>
      <c r="CA42" s="93" t="str" cm="1">
        <f t="array" ref="CA42">_xlfn.LET(
  _xlpm.w, CA$11,
  _xlpm.r, MATCH(1,('3. Enter Indicator Scores'!$B$10:$B$161=$B42)*('3. Enter Indicator Scores'!$C$10:$C$161=$C42),0),
  _xlpm.c, MATCH(CA$8,'3. Enter Indicator Scores'!$D$8:$CZ$8,0),
  _xlpm.v, IFERROR(INDEX('3. Enter Indicator Scores'!$D$10:$CZ$161,_xlpm.r,_xlpm.c),""),
  IF(OR(_xlpm.w="",_xlpm.v=""),"",_xlpm.v*_xlpm.w)
)</f>
        <v/>
      </c>
      <c r="CB42" s="93" t="str" cm="1">
        <f t="array" ref="CB42">_xlfn.LET(
  _xlpm.w, CB$11,
  _xlpm.r, MATCH(1,('3. Enter Indicator Scores'!$B$10:$B$161=$B42)*('3. Enter Indicator Scores'!$C$10:$C$161=$C42),0),
  _xlpm.c, MATCH(CB$8,'3. Enter Indicator Scores'!$D$8:$CZ$8,0),
  _xlpm.v, IFERROR(INDEX('3. Enter Indicator Scores'!$D$10:$CZ$161,_xlpm.r,_xlpm.c),""),
  IF(OR(_xlpm.w="",_xlpm.v=""),"",_xlpm.v*_xlpm.w)
)</f>
        <v/>
      </c>
      <c r="CC42" s="93" t="str" cm="1">
        <f t="array" ref="CC42">_xlfn.LET(
  _xlpm.w, CC$11,
  _xlpm.r, MATCH(1,('3. Enter Indicator Scores'!$B$10:$B$161=$B42)*('3. Enter Indicator Scores'!$C$10:$C$161=$C42),0),
  _xlpm.c, MATCH(CC$8,'3. Enter Indicator Scores'!$D$8:$CZ$8,0),
  _xlpm.v, IFERROR(INDEX('3. Enter Indicator Scores'!$D$10:$CZ$161,_xlpm.r,_xlpm.c),""),
  IF(OR(_xlpm.w="",_xlpm.v=""),"",_xlpm.v*_xlpm.w)
)</f>
        <v/>
      </c>
      <c r="CD42" s="93" t="str" cm="1">
        <f t="array" ref="CD42">_xlfn.LET(
  _xlpm.w, CD$11,
  _xlpm.r, MATCH(1,('3. Enter Indicator Scores'!$B$10:$B$161=$B42)*('3. Enter Indicator Scores'!$C$10:$C$161=$C42),0),
  _xlpm.c, MATCH(CD$8,'3. Enter Indicator Scores'!$D$8:$CZ$8,0),
  _xlpm.v, IFERROR(INDEX('3. Enter Indicator Scores'!$D$10:$CZ$161,_xlpm.r,_xlpm.c),""),
  IF(OR(_xlpm.w="",_xlpm.v=""),"",_xlpm.v*_xlpm.w)
)</f>
        <v/>
      </c>
      <c r="CE42" s="93" t="str" cm="1">
        <f t="array" ref="CE42">_xlfn.LET(
  _xlpm.w, CE$11,
  _xlpm.r, MATCH(1,('3. Enter Indicator Scores'!$B$10:$B$161=$B42)*('3. Enter Indicator Scores'!$C$10:$C$161=$C42),0),
  _xlpm.c, MATCH(CE$8,'3. Enter Indicator Scores'!$D$8:$CZ$8,0),
  _xlpm.v, IFERROR(INDEX('3. Enter Indicator Scores'!$D$10:$CZ$161,_xlpm.r,_xlpm.c),""),
  IF(OR(_xlpm.w="",_xlpm.v=""),"",_xlpm.v*_xlpm.w)
)</f>
        <v/>
      </c>
      <c r="CF42" s="93" t="str" cm="1">
        <f t="array" ref="CF42">_xlfn.LET(
  _xlpm.w, CF$11,
  _xlpm.r, MATCH(1,('3. Enter Indicator Scores'!$B$10:$B$161=$B42)*('3. Enter Indicator Scores'!$C$10:$C$161=$C42),0),
  _xlpm.c, MATCH(CF$8,'3. Enter Indicator Scores'!$D$8:$CZ$8,0),
  _xlpm.v, IFERROR(INDEX('3. Enter Indicator Scores'!$D$10:$CZ$161,_xlpm.r,_xlpm.c),""),
  IF(OR(_xlpm.w="",_xlpm.v=""),"",_xlpm.v*_xlpm.w)
)</f>
        <v/>
      </c>
      <c r="CG42" s="93" t="str" cm="1">
        <f t="array" ref="CG42">_xlfn.LET(
  _xlpm.w, CG$11,
  _xlpm.r, MATCH(1,('3. Enter Indicator Scores'!$B$10:$B$161=$B42)*('3. Enter Indicator Scores'!$C$10:$C$161=$C42),0),
  _xlpm.c, MATCH(CG$8,'3. Enter Indicator Scores'!$D$8:$CZ$8,0),
  _xlpm.v, IFERROR(INDEX('3. Enter Indicator Scores'!$D$10:$CZ$161,_xlpm.r,_xlpm.c),""),
  IF(OR(_xlpm.w="",_xlpm.v=""),"",_xlpm.v*_xlpm.w)
)</f>
        <v/>
      </c>
      <c r="CH42" s="93" t="str" cm="1">
        <f t="array" ref="CH42">_xlfn.LET(
  _xlpm.w, CH$11,
  _xlpm.r, MATCH(1,('3. Enter Indicator Scores'!$B$10:$B$161=$B42)*('3. Enter Indicator Scores'!$C$10:$C$161=$C42),0),
  _xlpm.c, MATCH(CH$8,'3. Enter Indicator Scores'!$D$8:$CZ$8,0),
  _xlpm.v, IFERROR(INDEX('3. Enter Indicator Scores'!$D$10:$CZ$161,_xlpm.r,_xlpm.c),""),
  IF(OR(_xlpm.w="",_xlpm.v=""),"",_xlpm.v*_xlpm.w)
)</f>
        <v/>
      </c>
      <c r="CI42" s="93" t="str" cm="1">
        <f t="array" ref="CI42">_xlfn.LET(
  _xlpm.w, CI$11,
  _xlpm.r, MATCH(1,('3. Enter Indicator Scores'!$B$10:$B$161=$B42)*('3. Enter Indicator Scores'!$C$10:$C$161=$C42),0),
  _xlpm.c, MATCH(CI$8,'3. Enter Indicator Scores'!$D$8:$CZ$8,0),
  _xlpm.v, IFERROR(INDEX('3. Enter Indicator Scores'!$D$10:$CZ$161,_xlpm.r,_xlpm.c),""),
  IF(OR(_xlpm.w="",_xlpm.v=""),"",_xlpm.v*_xlpm.w)
)</f>
        <v/>
      </c>
      <c r="CJ42" s="93" t="str" cm="1">
        <f t="array" ref="CJ42">_xlfn.LET(
  _xlpm.w, CJ$11,
  _xlpm.r, MATCH(1,('3. Enter Indicator Scores'!$B$10:$B$161=$B42)*('3. Enter Indicator Scores'!$C$10:$C$161=$C42),0),
  _xlpm.c, MATCH(CJ$8,'3. Enter Indicator Scores'!$D$8:$CZ$8,0),
  _xlpm.v, IFERROR(INDEX('3. Enter Indicator Scores'!$D$10:$CZ$161,_xlpm.r,_xlpm.c),""),
  IF(OR(_xlpm.w="",_xlpm.v=""),"",_xlpm.v*_xlpm.w)
)</f>
        <v/>
      </c>
      <c r="CK42" s="93" t="str" cm="1">
        <f t="array" ref="CK42">_xlfn.LET(
  _xlpm.w, CK$11,
  _xlpm.r, MATCH(1,('3. Enter Indicator Scores'!$B$10:$B$161=$B42)*('3. Enter Indicator Scores'!$C$10:$C$161=$C42),0),
  _xlpm.c, MATCH(CK$8,'3. Enter Indicator Scores'!$D$8:$CZ$8,0),
  _xlpm.v, IFERROR(INDEX('3. Enter Indicator Scores'!$D$10:$CZ$161,_xlpm.r,_xlpm.c),""),
  IF(OR(_xlpm.w="",_xlpm.v=""),"",_xlpm.v*_xlpm.w)
)</f>
        <v/>
      </c>
      <c r="CL42" s="93" t="str" cm="1">
        <f t="array" ref="CL42">_xlfn.LET(
  _xlpm.w, CL$11,
  _xlpm.r, MATCH(1,('3. Enter Indicator Scores'!$B$10:$B$161=$B42)*('3. Enter Indicator Scores'!$C$10:$C$161=$C42),0),
  _xlpm.c, MATCH(CL$8,'3. Enter Indicator Scores'!$D$8:$CZ$8,0),
  _xlpm.v, IFERROR(INDEX('3. Enter Indicator Scores'!$D$10:$CZ$161,_xlpm.r,_xlpm.c),""),
  IF(OR(_xlpm.w="",_xlpm.v=""),"",_xlpm.v*_xlpm.w)
)</f>
        <v/>
      </c>
      <c r="CM42" s="93" t="str" cm="1">
        <f t="array" ref="CM42">_xlfn.LET(
  _xlpm.w, CM$11,
  _xlpm.r, MATCH(1,('3. Enter Indicator Scores'!$B$10:$B$161=$B42)*('3. Enter Indicator Scores'!$C$10:$C$161=$C42),0),
  _xlpm.c, MATCH(CM$8,'3. Enter Indicator Scores'!$D$8:$CZ$8,0),
  _xlpm.v, IFERROR(INDEX('3. Enter Indicator Scores'!$D$10:$CZ$161,_xlpm.r,_xlpm.c),""),
  IF(OR(_xlpm.w="",_xlpm.v=""),"",_xlpm.v*_xlpm.w)
)</f>
        <v/>
      </c>
      <c r="CN42" s="93" t="str" cm="1">
        <f t="array" ref="CN42">_xlfn.LET(
  _xlpm.w, CN$11,
  _xlpm.r, MATCH(1,('3. Enter Indicator Scores'!$B$10:$B$161=$B42)*('3. Enter Indicator Scores'!$C$10:$C$161=$C42),0),
  _xlpm.c, MATCH(CN$8,'3. Enter Indicator Scores'!$D$8:$CZ$8,0),
  _xlpm.v, IFERROR(INDEX('3. Enter Indicator Scores'!$D$10:$CZ$161,_xlpm.r,_xlpm.c),""),
  IF(OR(_xlpm.w="",_xlpm.v=""),"",_xlpm.v*_xlpm.w)
)</f>
        <v/>
      </c>
      <c r="CO42" s="93" t="str" cm="1">
        <f t="array" ref="CO42">_xlfn.LET(
  _xlpm.w, CO$11,
  _xlpm.r, MATCH(1,('3. Enter Indicator Scores'!$B$10:$B$161=$B42)*('3. Enter Indicator Scores'!$C$10:$C$161=$C42),0),
  _xlpm.c, MATCH(CO$8,'3. Enter Indicator Scores'!$D$8:$CZ$8,0),
  _xlpm.v, IFERROR(INDEX('3. Enter Indicator Scores'!$D$10:$CZ$161,_xlpm.r,_xlpm.c),""),
  IF(OR(_xlpm.w="",_xlpm.v=""),"",_xlpm.v*_xlpm.w)
)</f>
        <v/>
      </c>
      <c r="CP42" s="93" t="str" cm="1">
        <f t="array" ref="CP42">_xlfn.LET(
  _xlpm.w, CP$11,
  _xlpm.r, MATCH(1,('3. Enter Indicator Scores'!$B$10:$B$161=$B42)*('3. Enter Indicator Scores'!$C$10:$C$161=$C42),0),
  _xlpm.c, MATCH(CP$8,'3. Enter Indicator Scores'!$D$8:$CZ$8,0),
  _xlpm.v, IFERROR(INDEX('3. Enter Indicator Scores'!$D$10:$CZ$161,_xlpm.r,_xlpm.c),""),
  IF(OR(_xlpm.w="",_xlpm.v=""),"",_xlpm.v*_xlpm.w)
)</f>
        <v/>
      </c>
      <c r="CQ42" s="93" t="str" cm="1">
        <f t="array" ref="CQ42">_xlfn.LET(
  _xlpm.w, CQ$11,
  _xlpm.r, MATCH(1,('3. Enter Indicator Scores'!$B$10:$B$161=$B42)*('3. Enter Indicator Scores'!$C$10:$C$161=$C42),0),
  _xlpm.c, MATCH(CQ$8,'3. Enter Indicator Scores'!$D$8:$CZ$8,0),
  _xlpm.v, IFERROR(INDEX('3. Enter Indicator Scores'!$D$10:$CZ$161,_xlpm.r,_xlpm.c),""),
  IF(OR(_xlpm.w="",_xlpm.v=""),"",_xlpm.v*_xlpm.w)
)</f>
        <v/>
      </c>
      <c r="CR42" s="93" t="str" cm="1">
        <f t="array" ref="CR42">_xlfn.LET(
  _xlpm.w, CR$11,
  _xlpm.r, MATCH(1,('3. Enter Indicator Scores'!$B$10:$B$161=$B42)*('3. Enter Indicator Scores'!$C$10:$C$161=$C42),0),
  _xlpm.c, MATCH(CR$8,'3. Enter Indicator Scores'!$D$8:$CZ$8,0),
  _xlpm.v, IFERROR(INDEX('3. Enter Indicator Scores'!$D$10:$CZ$161,_xlpm.r,_xlpm.c),""),
  IF(OR(_xlpm.w="",_xlpm.v=""),"",_xlpm.v*_xlpm.w)
)</f>
        <v/>
      </c>
      <c r="CS42" s="93" t="str" cm="1">
        <f t="array" ref="CS42">_xlfn.LET(
  _xlpm.w, CS$11,
  _xlpm.r, MATCH(1,('3. Enter Indicator Scores'!$B$10:$B$161=$B42)*('3. Enter Indicator Scores'!$C$10:$C$161=$C42),0),
  _xlpm.c, MATCH(CS$8,'3. Enter Indicator Scores'!$D$8:$CZ$8,0),
  _xlpm.v, IFERROR(INDEX('3. Enter Indicator Scores'!$D$10:$CZ$161,_xlpm.r,_xlpm.c),""),
  IF(OR(_xlpm.w="",_xlpm.v=""),"",_xlpm.v*_xlpm.w)
)</f>
        <v/>
      </c>
      <c r="CT42" s="93" t="str" cm="1">
        <f t="array" ref="CT42">_xlfn.LET(
  _xlpm.w, CT$11,
  _xlpm.r, MATCH(1,('3. Enter Indicator Scores'!$B$10:$B$161=$B42)*('3. Enter Indicator Scores'!$C$10:$C$161=$C42),0),
  _xlpm.c, MATCH(CT$8,'3. Enter Indicator Scores'!$D$8:$CZ$8,0),
  _xlpm.v, IFERROR(INDEX('3. Enter Indicator Scores'!$D$10:$CZ$161,_xlpm.r,_xlpm.c),""),
  IF(OR(_xlpm.w="",_xlpm.v=""),"",_xlpm.v*_xlpm.w)
)</f>
        <v/>
      </c>
      <c r="CU42" s="93" t="str" cm="1">
        <f t="array" ref="CU42">_xlfn.LET(
  _xlpm.w, CU$11,
  _xlpm.r, MATCH(1,('3. Enter Indicator Scores'!$B$10:$B$161=$B42)*('3. Enter Indicator Scores'!$C$10:$C$161=$C42),0),
  _xlpm.c, MATCH(CU$8,'3. Enter Indicator Scores'!$D$8:$CZ$8,0),
  _xlpm.v, IFERROR(INDEX('3. Enter Indicator Scores'!$D$10:$CZ$161,_xlpm.r,_xlpm.c),""),
  IF(OR(_xlpm.w="",_xlpm.v=""),"",_xlpm.v*_xlpm.w)
)</f>
        <v/>
      </c>
      <c r="CV42" s="93" t="str" cm="1">
        <f t="array" ref="CV42">_xlfn.LET(
  _xlpm.w, CV$11,
  _xlpm.r, MATCH(1,('3. Enter Indicator Scores'!$B$10:$B$161=$B42)*('3. Enter Indicator Scores'!$C$10:$C$161=$C42),0),
  _xlpm.c, MATCH(CV$8,'3. Enter Indicator Scores'!$D$8:$CZ$8,0),
  _xlpm.v, IFERROR(INDEX('3. Enter Indicator Scores'!$D$10:$CZ$161,_xlpm.r,_xlpm.c),""),
  IF(OR(_xlpm.w="",_xlpm.v=""),"",_xlpm.v*_xlpm.w)
)</f>
        <v/>
      </c>
      <c r="CW42" s="93" t="str" cm="1">
        <f t="array" ref="CW42">_xlfn.LET(
  _xlpm.w, CW$11,
  _xlpm.r, MATCH(1,('3. Enter Indicator Scores'!$B$10:$B$161=$B42)*('3. Enter Indicator Scores'!$C$10:$C$161=$C42),0),
  _xlpm.c, MATCH(CW$8,'3. Enter Indicator Scores'!$D$8:$CZ$8,0),
  _xlpm.v, IFERROR(INDEX('3. Enter Indicator Scores'!$D$10:$CZ$161,_xlpm.r,_xlpm.c),""),
  IF(OR(_xlpm.w="",_xlpm.v=""),"",_xlpm.v*_xlpm.w)
)</f>
        <v/>
      </c>
      <c r="CX42" s="93" t="str" cm="1">
        <f t="array" ref="CX42">_xlfn.LET(
  _xlpm.w, CX$11,
  _xlpm.r, MATCH(1,('3. Enter Indicator Scores'!$B$10:$B$161=$B42)*('3. Enter Indicator Scores'!$C$10:$C$161=$C42),0),
  _xlpm.c, MATCH(CX$8,'3. Enter Indicator Scores'!$D$8:$CZ$8,0),
  _xlpm.v, IFERROR(INDEX('3. Enter Indicator Scores'!$D$10:$CZ$161,_xlpm.r,_xlpm.c),""),
  IF(OR(_xlpm.w="",_xlpm.v=""),"",_xlpm.v*_xlpm.w)
)</f>
        <v/>
      </c>
      <c r="CY42" s="93" t="str" cm="1">
        <f t="array" ref="CY42">_xlfn.LET(
  _xlpm.w, CY$11,
  _xlpm.r, MATCH(1,('3. Enter Indicator Scores'!$B$10:$B$161=$B42)*('3. Enter Indicator Scores'!$C$10:$C$161=$C42),0),
  _xlpm.c, MATCH(CY$8,'3. Enter Indicator Scores'!$D$8:$CZ$8,0),
  _xlpm.v, IFERROR(INDEX('3. Enter Indicator Scores'!$D$10:$CZ$161,_xlpm.r,_xlpm.c),""),
  IF(OR(_xlpm.w="",_xlpm.v=""),"",_xlpm.v*_xlpm.w)
)</f>
        <v/>
      </c>
      <c r="CZ42" s="93" t="str" cm="1">
        <f t="array" ref="CZ42">_xlfn.LET(
  _xlpm.w, CZ$11,
  _xlpm.r, MATCH(1,('3. Enter Indicator Scores'!$B$10:$B$161=$B42)*('3. Enter Indicator Scores'!$C$10:$C$161=$C42),0),
  _xlpm.c, MATCH(CZ$8,'3. Enter Indicator Scores'!$D$8:$CZ$8,0),
  _xlpm.v, IFERROR(INDEX('3. Enter Indicator Scores'!$D$10:$CZ$161,_xlpm.r,_xlpm.c),""),
  IF(OR(_xlpm.w="",_xlpm.v=""),"",_xlpm.v*_xlpm.w)
)</f>
        <v/>
      </c>
    </row>
    <row r="43" spans="4:104" x14ac:dyDescent="0.2">
      <c r="D43" s="93" t="str" cm="1">
        <f t="array" ref="D43">_xlfn.LET(
  _xlpm.w, D$11,
  _xlpm.r, MATCH(1,('3. Enter Indicator Scores'!$B$10:$B$161=$B43)*('3. Enter Indicator Scores'!$C$10:$C$161=$C43),0),
  _xlpm.c, MATCH(D$8,'3. Enter Indicator Scores'!$D$8:$CZ$8,0),
  _xlpm.v, IFERROR(INDEX('3. Enter Indicator Scores'!$D$10:$CZ$161,_xlpm.r,_xlpm.c),""),
  IF(OR(_xlpm.w="",_xlpm.v=""),"",_xlpm.v*_xlpm.w)
)</f>
        <v/>
      </c>
      <c r="E43" s="93" t="str" cm="1">
        <f t="array" ref="E43">_xlfn.LET(
  _xlpm.w, E$11,
  _xlpm.r, MATCH(1,('3. Enter Indicator Scores'!$B$10:$B$161=$B43)*('3. Enter Indicator Scores'!$C$10:$C$161=$C43),0),
  _xlpm.c, MATCH(E$8,'3. Enter Indicator Scores'!$D$8:$CZ$8,0),
  _xlpm.v, IFERROR(INDEX('3. Enter Indicator Scores'!$D$10:$CZ$161,_xlpm.r,_xlpm.c),""),
  IF(OR(_xlpm.w="",_xlpm.v=""),"",_xlpm.v*_xlpm.w)
)</f>
        <v/>
      </c>
      <c r="F43" s="93" t="str" cm="1">
        <f t="array" ref="F43">_xlfn.LET(
  _xlpm.w, F$11,
  _xlpm.r, MATCH(1,('3. Enter Indicator Scores'!$B$10:$B$161=$B43)*('3. Enter Indicator Scores'!$C$10:$C$161=$C43),0),
  _xlpm.c, MATCH(F$8,'3. Enter Indicator Scores'!$D$8:$CZ$8,0),
  _xlpm.v, IFERROR(INDEX('3. Enter Indicator Scores'!$D$10:$CZ$161,_xlpm.r,_xlpm.c),""),
  IF(OR(_xlpm.w="",_xlpm.v=""),"",_xlpm.v*_xlpm.w)
)</f>
        <v/>
      </c>
      <c r="G43" s="93" t="str" cm="1">
        <f t="array" ref="G43">_xlfn.LET(
  _xlpm.w, G$11,
  _xlpm.r, MATCH(1,('3. Enter Indicator Scores'!$B$10:$B$161=$B43)*('3. Enter Indicator Scores'!$C$10:$C$161=$C43),0),
  _xlpm.c, MATCH(G$8,'3. Enter Indicator Scores'!$D$8:$CZ$8,0),
  _xlpm.v, IFERROR(INDEX('3. Enter Indicator Scores'!$D$10:$CZ$161,_xlpm.r,_xlpm.c),""),
  IF(OR(_xlpm.w="",_xlpm.v=""),"",_xlpm.v*_xlpm.w)
)</f>
        <v/>
      </c>
      <c r="H43" s="93" t="str" cm="1">
        <f t="array" ref="H43">_xlfn.LET(
  _xlpm.w, H$11,
  _xlpm.r, MATCH(1,('3. Enter Indicator Scores'!$B$10:$B$161=$B43)*('3. Enter Indicator Scores'!$C$10:$C$161=$C43),0),
  _xlpm.c, MATCH(H$8,'3. Enter Indicator Scores'!$D$8:$CZ$8,0),
  _xlpm.v, IFERROR(INDEX('3. Enter Indicator Scores'!$D$10:$CZ$161,_xlpm.r,_xlpm.c),""),
  IF(OR(_xlpm.w="",_xlpm.v=""),"",_xlpm.v*_xlpm.w)
)</f>
        <v/>
      </c>
      <c r="I43" s="93" t="str" cm="1">
        <f t="array" ref="I43">_xlfn.LET(
  _xlpm.w, I$11,
  _xlpm.r, MATCH(1,('3. Enter Indicator Scores'!$B$10:$B$161=$B43)*('3. Enter Indicator Scores'!$C$10:$C$161=$C43),0),
  _xlpm.c, MATCH(I$8,'3. Enter Indicator Scores'!$D$8:$CZ$8,0),
  _xlpm.v, IFERROR(INDEX('3. Enter Indicator Scores'!$D$10:$CZ$161,_xlpm.r,_xlpm.c),""),
  IF(OR(_xlpm.w="",_xlpm.v=""),"",_xlpm.v*_xlpm.w)
)</f>
        <v/>
      </c>
      <c r="J43" s="93" t="str" cm="1">
        <f t="array" ref="J43">_xlfn.LET(
  _xlpm.w, J$11,
  _xlpm.r, MATCH(1,('3. Enter Indicator Scores'!$B$10:$B$161=$B43)*('3. Enter Indicator Scores'!$C$10:$C$161=$C43),0),
  _xlpm.c, MATCH(J$8,'3. Enter Indicator Scores'!$D$8:$CZ$8,0),
  _xlpm.v, IFERROR(INDEX('3. Enter Indicator Scores'!$D$10:$CZ$161,_xlpm.r,_xlpm.c),""),
  IF(OR(_xlpm.w="",_xlpm.v=""),"",_xlpm.v*_xlpm.w)
)</f>
        <v/>
      </c>
      <c r="K43" s="93" t="str" cm="1">
        <f t="array" ref="K43">_xlfn.LET(
  _xlpm.w, K$11,
  _xlpm.r, MATCH(1,('3. Enter Indicator Scores'!$B$10:$B$161=$B43)*('3. Enter Indicator Scores'!$C$10:$C$161=$C43),0),
  _xlpm.c, MATCH(K$8,'3. Enter Indicator Scores'!$D$8:$CZ$8,0),
  _xlpm.v, IFERROR(INDEX('3. Enter Indicator Scores'!$D$10:$CZ$161,_xlpm.r,_xlpm.c),""),
  IF(OR(_xlpm.w="",_xlpm.v=""),"",_xlpm.v*_xlpm.w)
)</f>
        <v/>
      </c>
      <c r="L43" s="93" t="str" cm="1">
        <f t="array" ref="L43">_xlfn.LET(
  _xlpm.w, L$11,
  _xlpm.r, MATCH(1,('3. Enter Indicator Scores'!$B$10:$B$161=$B43)*('3. Enter Indicator Scores'!$C$10:$C$161=$C43),0),
  _xlpm.c, MATCH(L$8,'3. Enter Indicator Scores'!$D$8:$CZ$8,0),
  _xlpm.v, IFERROR(INDEX('3. Enter Indicator Scores'!$D$10:$CZ$161,_xlpm.r,_xlpm.c),""),
  IF(OR(_xlpm.w="",_xlpm.v=""),"",_xlpm.v*_xlpm.w)
)</f>
        <v/>
      </c>
      <c r="M43" s="93" t="str" cm="1">
        <f t="array" ref="M43">_xlfn.LET(
  _xlpm.w, M$11,
  _xlpm.r, MATCH(1,('3. Enter Indicator Scores'!$B$10:$B$161=$B43)*('3. Enter Indicator Scores'!$C$10:$C$161=$C43),0),
  _xlpm.c, MATCH(M$8,'3. Enter Indicator Scores'!$D$8:$CZ$8,0),
  _xlpm.v, IFERROR(INDEX('3. Enter Indicator Scores'!$D$10:$CZ$161,_xlpm.r,_xlpm.c),""),
  IF(OR(_xlpm.w="",_xlpm.v=""),"",_xlpm.v*_xlpm.w)
)</f>
        <v/>
      </c>
      <c r="N43" s="93" t="str" cm="1">
        <f t="array" ref="N43">_xlfn.LET(
  _xlpm.w, N$11,
  _xlpm.r, MATCH(1,('3. Enter Indicator Scores'!$B$10:$B$161=$B43)*('3. Enter Indicator Scores'!$C$10:$C$161=$C43),0),
  _xlpm.c, MATCH(N$8,'3. Enter Indicator Scores'!$D$8:$CZ$8,0),
  _xlpm.v, IFERROR(INDEX('3. Enter Indicator Scores'!$D$10:$CZ$161,_xlpm.r,_xlpm.c),""),
  IF(OR(_xlpm.w="",_xlpm.v=""),"",_xlpm.v*_xlpm.w)
)</f>
        <v/>
      </c>
      <c r="O43" s="93" t="str" cm="1">
        <f t="array" ref="O43">_xlfn.LET(
  _xlpm.w, O$11,
  _xlpm.r, MATCH(1,('3. Enter Indicator Scores'!$B$10:$B$161=$B43)*('3. Enter Indicator Scores'!$C$10:$C$161=$C43),0),
  _xlpm.c, MATCH(O$8,'3. Enter Indicator Scores'!$D$8:$CZ$8,0),
  _xlpm.v, IFERROR(INDEX('3. Enter Indicator Scores'!$D$10:$CZ$161,_xlpm.r,_xlpm.c),""),
  IF(OR(_xlpm.w="",_xlpm.v=""),"",_xlpm.v*_xlpm.w)
)</f>
        <v/>
      </c>
      <c r="P43" s="93" t="str" cm="1">
        <f t="array" ref="P43">_xlfn.LET(
  _xlpm.w, P$11,
  _xlpm.r, MATCH(1,('3. Enter Indicator Scores'!$B$10:$B$161=$B43)*('3. Enter Indicator Scores'!$C$10:$C$161=$C43),0),
  _xlpm.c, MATCH(P$8,'3. Enter Indicator Scores'!$D$8:$CZ$8,0),
  _xlpm.v, IFERROR(INDEX('3. Enter Indicator Scores'!$D$10:$CZ$161,_xlpm.r,_xlpm.c),""),
  IF(OR(_xlpm.w="",_xlpm.v=""),"",_xlpm.v*_xlpm.w)
)</f>
        <v/>
      </c>
      <c r="Q43" s="93" t="str" cm="1">
        <f t="array" ref="Q43">_xlfn.LET(
  _xlpm.w, Q$11,
  _xlpm.r, MATCH(1,('3. Enter Indicator Scores'!$B$10:$B$161=$B43)*('3. Enter Indicator Scores'!$C$10:$C$161=$C43),0),
  _xlpm.c, MATCH(Q$8,'3. Enter Indicator Scores'!$D$8:$CZ$8,0),
  _xlpm.v, IFERROR(INDEX('3. Enter Indicator Scores'!$D$10:$CZ$161,_xlpm.r,_xlpm.c),""),
  IF(OR(_xlpm.w="",_xlpm.v=""),"",_xlpm.v*_xlpm.w)
)</f>
        <v/>
      </c>
      <c r="R43" s="93" t="str" cm="1">
        <f t="array" ref="R43">_xlfn.LET(
  _xlpm.w, R$11,
  _xlpm.r, MATCH(1,('3. Enter Indicator Scores'!$B$10:$B$161=$B43)*('3. Enter Indicator Scores'!$C$10:$C$161=$C43),0),
  _xlpm.c, MATCH(R$8,'3. Enter Indicator Scores'!$D$8:$CZ$8,0),
  _xlpm.v, IFERROR(INDEX('3. Enter Indicator Scores'!$D$10:$CZ$161,_xlpm.r,_xlpm.c),""),
  IF(OR(_xlpm.w="",_xlpm.v=""),"",_xlpm.v*_xlpm.w)
)</f>
        <v/>
      </c>
      <c r="S43" s="93" t="str" cm="1">
        <f t="array" ref="S43">_xlfn.LET(
  _xlpm.w, S$11,
  _xlpm.r, MATCH(1,('3. Enter Indicator Scores'!$B$10:$B$161=$B43)*('3. Enter Indicator Scores'!$C$10:$C$161=$C43),0),
  _xlpm.c, MATCH(S$8,'3. Enter Indicator Scores'!$D$8:$CZ$8,0),
  _xlpm.v, IFERROR(INDEX('3. Enter Indicator Scores'!$D$10:$CZ$161,_xlpm.r,_xlpm.c),""),
  IF(OR(_xlpm.w="",_xlpm.v=""),"",_xlpm.v*_xlpm.w)
)</f>
        <v/>
      </c>
      <c r="T43" s="93" t="str" cm="1">
        <f t="array" ref="T43">_xlfn.LET(
  _xlpm.w, T$11,
  _xlpm.r, MATCH(1,('3. Enter Indicator Scores'!$B$10:$B$161=$B43)*('3. Enter Indicator Scores'!$C$10:$C$161=$C43),0),
  _xlpm.c, MATCH(T$8,'3. Enter Indicator Scores'!$D$8:$CZ$8,0),
  _xlpm.v, IFERROR(INDEX('3. Enter Indicator Scores'!$D$10:$CZ$161,_xlpm.r,_xlpm.c),""),
  IF(OR(_xlpm.w="",_xlpm.v=""),"",_xlpm.v*_xlpm.w)
)</f>
        <v/>
      </c>
      <c r="U43" s="93" t="str" cm="1">
        <f t="array" ref="U43">_xlfn.LET(
  _xlpm.w, U$11,
  _xlpm.r, MATCH(1,('3. Enter Indicator Scores'!$B$10:$B$161=$B43)*('3. Enter Indicator Scores'!$C$10:$C$161=$C43),0),
  _xlpm.c, MATCH(U$8,'3. Enter Indicator Scores'!$D$8:$CZ$8,0),
  _xlpm.v, IFERROR(INDEX('3. Enter Indicator Scores'!$D$10:$CZ$161,_xlpm.r,_xlpm.c),""),
  IF(OR(_xlpm.w="",_xlpm.v=""),"",_xlpm.v*_xlpm.w)
)</f>
        <v/>
      </c>
      <c r="V43" s="93" t="str" cm="1">
        <f t="array" ref="V43">_xlfn.LET(
  _xlpm.w, V$11,
  _xlpm.r, MATCH(1,('3. Enter Indicator Scores'!$B$10:$B$161=$B43)*('3. Enter Indicator Scores'!$C$10:$C$161=$C43),0),
  _xlpm.c, MATCH(V$8,'3. Enter Indicator Scores'!$D$8:$CZ$8,0),
  _xlpm.v, IFERROR(INDEX('3. Enter Indicator Scores'!$D$10:$CZ$161,_xlpm.r,_xlpm.c),""),
  IF(OR(_xlpm.w="",_xlpm.v=""),"",_xlpm.v*_xlpm.w)
)</f>
        <v/>
      </c>
      <c r="W43" s="93" t="str" cm="1">
        <f t="array" ref="W43">_xlfn.LET(
  _xlpm.w, W$11,
  _xlpm.r, MATCH(1,('3. Enter Indicator Scores'!$B$10:$B$161=$B43)*('3. Enter Indicator Scores'!$C$10:$C$161=$C43),0),
  _xlpm.c, MATCH(W$8,'3. Enter Indicator Scores'!$D$8:$CZ$8,0),
  _xlpm.v, IFERROR(INDEX('3. Enter Indicator Scores'!$D$10:$CZ$161,_xlpm.r,_xlpm.c),""),
  IF(OR(_xlpm.w="",_xlpm.v=""),"",_xlpm.v*_xlpm.w)
)</f>
        <v/>
      </c>
      <c r="X43" s="93" t="str" cm="1">
        <f t="array" ref="X43">_xlfn.LET(
  _xlpm.w, X$11,
  _xlpm.r, MATCH(1,('3. Enter Indicator Scores'!$B$10:$B$161=$B43)*('3. Enter Indicator Scores'!$C$10:$C$161=$C43),0),
  _xlpm.c, MATCH(X$8,'3. Enter Indicator Scores'!$D$8:$CZ$8,0),
  _xlpm.v, IFERROR(INDEX('3. Enter Indicator Scores'!$D$10:$CZ$161,_xlpm.r,_xlpm.c),""),
  IF(OR(_xlpm.w="",_xlpm.v=""),"",_xlpm.v*_xlpm.w)
)</f>
        <v/>
      </c>
      <c r="Y43" s="93" t="str" cm="1">
        <f t="array" ref="Y43">_xlfn.LET(
  _xlpm.w, Y$11,
  _xlpm.r, MATCH(1,('3. Enter Indicator Scores'!$B$10:$B$161=$B43)*('3. Enter Indicator Scores'!$C$10:$C$161=$C43),0),
  _xlpm.c, MATCH(Y$8,'3. Enter Indicator Scores'!$D$8:$CZ$8,0),
  _xlpm.v, IFERROR(INDEX('3. Enter Indicator Scores'!$D$10:$CZ$161,_xlpm.r,_xlpm.c),""),
  IF(OR(_xlpm.w="",_xlpm.v=""),"",_xlpm.v*_xlpm.w)
)</f>
        <v/>
      </c>
      <c r="Z43" s="93" t="str" cm="1">
        <f t="array" ref="Z43">_xlfn.LET(
  _xlpm.w, Z$11,
  _xlpm.r, MATCH(1,('3. Enter Indicator Scores'!$B$10:$B$161=$B43)*('3. Enter Indicator Scores'!$C$10:$C$161=$C43),0),
  _xlpm.c, MATCH(Z$8,'3. Enter Indicator Scores'!$D$8:$CZ$8,0),
  _xlpm.v, IFERROR(INDEX('3. Enter Indicator Scores'!$D$10:$CZ$161,_xlpm.r,_xlpm.c),""),
  IF(OR(_xlpm.w="",_xlpm.v=""),"",_xlpm.v*_xlpm.w)
)</f>
        <v/>
      </c>
      <c r="AA43" s="93" t="str" cm="1">
        <f t="array" ref="AA43">_xlfn.LET(
  _xlpm.w, AA$11,
  _xlpm.r, MATCH(1,('3. Enter Indicator Scores'!$B$10:$B$161=$B43)*('3. Enter Indicator Scores'!$C$10:$C$161=$C43),0),
  _xlpm.c, MATCH(AA$8,'3. Enter Indicator Scores'!$D$8:$CZ$8,0),
  _xlpm.v, IFERROR(INDEX('3. Enter Indicator Scores'!$D$10:$CZ$161,_xlpm.r,_xlpm.c),""),
  IF(OR(_xlpm.w="",_xlpm.v=""),"",_xlpm.v*_xlpm.w)
)</f>
        <v/>
      </c>
      <c r="AB43" s="93" t="str" cm="1">
        <f t="array" ref="AB43">_xlfn.LET(
  _xlpm.w, AB$11,
  _xlpm.r, MATCH(1,('3. Enter Indicator Scores'!$B$10:$B$161=$B43)*('3. Enter Indicator Scores'!$C$10:$C$161=$C43),0),
  _xlpm.c, MATCH(AB$8,'3. Enter Indicator Scores'!$D$8:$CZ$8,0),
  _xlpm.v, IFERROR(INDEX('3. Enter Indicator Scores'!$D$10:$CZ$161,_xlpm.r,_xlpm.c),""),
  IF(OR(_xlpm.w="",_xlpm.v=""),"",_xlpm.v*_xlpm.w)
)</f>
        <v/>
      </c>
      <c r="AC43" s="93" t="str" cm="1">
        <f t="array" ref="AC43">_xlfn.LET(
  _xlpm.w, AC$11,
  _xlpm.r, MATCH(1,('3. Enter Indicator Scores'!$B$10:$B$161=$B43)*('3. Enter Indicator Scores'!$C$10:$C$161=$C43),0),
  _xlpm.c, MATCH(AC$8,'3. Enter Indicator Scores'!$D$8:$CZ$8,0),
  _xlpm.v, IFERROR(INDEX('3. Enter Indicator Scores'!$D$10:$CZ$161,_xlpm.r,_xlpm.c),""),
  IF(OR(_xlpm.w="",_xlpm.v=""),"",_xlpm.v*_xlpm.w)
)</f>
        <v/>
      </c>
      <c r="AD43" s="93" t="str" cm="1">
        <f t="array" ref="AD43">_xlfn.LET(
  _xlpm.w, AD$11,
  _xlpm.r, MATCH(1,('3. Enter Indicator Scores'!$B$10:$B$161=$B43)*('3. Enter Indicator Scores'!$C$10:$C$161=$C43),0),
  _xlpm.c, MATCH(AD$8,'3. Enter Indicator Scores'!$D$8:$CZ$8,0),
  _xlpm.v, IFERROR(INDEX('3. Enter Indicator Scores'!$D$10:$CZ$161,_xlpm.r,_xlpm.c),""),
  IF(OR(_xlpm.w="",_xlpm.v=""),"",_xlpm.v*_xlpm.w)
)</f>
        <v/>
      </c>
      <c r="AE43" s="93" t="str" cm="1">
        <f t="array" ref="AE43">_xlfn.LET(
  _xlpm.w, AE$11,
  _xlpm.r, MATCH(1,('3. Enter Indicator Scores'!$B$10:$B$161=$B43)*('3. Enter Indicator Scores'!$C$10:$C$161=$C43),0),
  _xlpm.c, MATCH(AE$8,'3. Enter Indicator Scores'!$D$8:$CZ$8,0),
  _xlpm.v, IFERROR(INDEX('3. Enter Indicator Scores'!$D$10:$CZ$161,_xlpm.r,_xlpm.c),""),
  IF(OR(_xlpm.w="",_xlpm.v=""),"",_xlpm.v*_xlpm.w)
)</f>
        <v/>
      </c>
      <c r="AF43" s="93" t="str" cm="1">
        <f t="array" ref="AF43">_xlfn.LET(
  _xlpm.w, AF$11,
  _xlpm.r, MATCH(1,('3. Enter Indicator Scores'!$B$10:$B$161=$B43)*('3. Enter Indicator Scores'!$C$10:$C$161=$C43),0),
  _xlpm.c, MATCH(AF$8,'3. Enter Indicator Scores'!$D$8:$CZ$8,0),
  _xlpm.v, IFERROR(INDEX('3. Enter Indicator Scores'!$D$10:$CZ$161,_xlpm.r,_xlpm.c),""),
  IF(OR(_xlpm.w="",_xlpm.v=""),"",_xlpm.v*_xlpm.w)
)</f>
        <v/>
      </c>
      <c r="AG43" s="93" t="str" cm="1">
        <f t="array" ref="AG43">_xlfn.LET(
  _xlpm.w, AG$11,
  _xlpm.r, MATCH(1,('3. Enter Indicator Scores'!$B$10:$B$161=$B43)*('3. Enter Indicator Scores'!$C$10:$C$161=$C43),0),
  _xlpm.c, MATCH(AG$8,'3. Enter Indicator Scores'!$D$8:$CZ$8,0),
  _xlpm.v, IFERROR(INDEX('3. Enter Indicator Scores'!$D$10:$CZ$161,_xlpm.r,_xlpm.c),""),
  IF(OR(_xlpm.w="",_xlpm.v=""),"",_xlpm.v*_xlpm.w)
)</f>
        <v/>
      </c>
      <c r="AH43" s="93" t="str" cm="1">
        <f t="array" ref="AH43">_xlfn.LET(
  _xlpm.w, AH$11,
  _xlpm.r, MATCH(1,('3. Enter Indicator Scores'!$B$10:$B$161=$B43)*('3. Enter Indicator Scores'!$C$10:$C$161=$C43),0),
  _xlpm.c, MATCH(AH$8,'3. Enter Indicator Scores'!$D$8:$CZ$8,0),
  _xlpm.v, IFERROR(INDEX('3. Enter Indicator Scores'!$D$10:$CZ$161,_xlpm.r,_xlpm.c),""),
  IF(OR(_xlpm.w="",_xlpm.v=""),"",_xlpm.v*_xlpm.w)
)</f>
        <v/>
      </c>
      <c r="AI43" s="93" t="str" cm="1">
        <f t="array" ref="AI43">_xlfn.LET(
  _xlpm.w, AI$11,
  _xlpm.r, MATCH(1,('3. Enter Indicator Scores'!$B$10:$B$161=$B43)*('3. Enter Indicator Scores'!$C$10:$C$161=$C43),0),
  _xlpm.c, MATCH(AI$8,'3. Enter Indicator Scores'!$D$8:$CZ$8,0),
  _xlpm.v, IFERROR(INDEX('3. Enter Indicator Scores'!$D$10:$CZ$161,_xlpm.r,_xlpm.c),""),
  IF(OR(_xlpm.w="",_xlpm.v=""),"",_xlpm.v*_xlpm.w)
)</f>
        <v/>
      </c>
      <c r="AJ43" s="93" t="str" cm="1">
        <f t="array" ref="AJ43">_xlfn.LET(
  _xlpm.w, AJ$11,
  _xlpm.r, MATCH(1,('3. Enter Indicator Scores'!$B$10:$B$161=$B43)*('3. Enter Indicator Scores'!$C$10:$C$161=$C43),0),
  _xlpm.c, MATCH(AJ$8,'3. Enter Indicator Scores'!$D$8:$CZ$8,0),
  _xlpm.v, IFERROR(INDEX('3. Enter Indicator Scores'!$D$10:$CZ$161,_xlpm.r,_xlpm.c),""),
  IF(OR(_xlpm.w="",_xlpm.v=""),"",_xlpm.v*_xlpm.w)
)</f>
        <v/>
      </c>
      <c r="AK43" s="93" t="str" cm="1">
        <f t="array" ref="AK43">_xlfn.LET(
  _xlpm.w, AK$11,
  _xlpm.r, MATCH(1,('3. Enter Indicator Scores'!$B$10:$B$161=$B43)*('3. Enter Indicator Scores'!$C$10:$C$161=$C43),0),
  _xlpm.c, MATCH(AK$8,'3. Enter Indicator Scores'!$D$8:$CZ$8,0),
  _xlpm.v, IFERROR(INDEX('3. Enter Indicator Scores'!$D$10:$CZ$161,_xlpm.r,_xlpm.c),""),
  IF(OR(_xlpm.w="",_xlpm.v=""),"",_xlpm.v*_xlpm.w)
)</f>
        <v/>
      </c>
      <c r="AL43" s="93" t="str" cm="1">
        <f t="array" ref="AL43">_xlfn.LET(
  _xlpm.w, AL$11,
  _xlpm.r, MATCH(1,('3. Enter Indicator Scores'!$B$10:$B$161=$B43)*('3. Enter Indicator Scores'!$C$10:$C$161=$C43),0),
  _xlpm.c, MATCH(AL$8,'3. Enter Indicator Scores'!$D$8:$CZ$8,0),
  _xlpm.v, IFERROR(INDEX('3. Enter Indicator Scores'!$D$10:$CZ$161,_xlpm.r,_xlpm.c),""),
  IF(OR(_xlpm.w="",_xlpm.v=""),"",_xlpm.v*_xlpm.w)
)</f>
        <v/>
      </c>
      <c r="AM43" s="93" t="str" cm="1">
        <f t="array" ref="AM43">_xlfn.LET(
  _xlpm.w, AM$11,
  _xlpm.r, MATCH(1,('3. Enter Indicator Scores'!$B$10:$B$161=$B43)*('3. Enter Indicator Scores'!$C$10:$C$161=$C43),0),
  _xlpm.c, MATCH(AM$8,'3. Enter Indicator Scores'!$D$8:$CZ$8,0),
  _xlpm.v, IFERROR(INDEX('3. Enter Indicator Scores'!$D$10:$CZ$161,_xlpm.r,_xlpm.c),""),
  IF(OR(_xlpm.w="",_xlpm.v=""),"",_xlpm.v*_xlpm.w)
)</f>
        <v/>
      </c>
      <c r="AN43" s="93" t="str" cm="1">
        <f t="array" ref="AN43">_xlfn.LET(
  _xlpm.w, AN$11,
  _xlpm.r, MATCH(1,('3. Enter Indicator Scores'!$B$10:$B$161=$B43)*('3. Enter Indicator Scores'!$C$10:$C$161=$C43),0),
  _xlpm.c, MATCH(AN$8,'3. Enter Indicator Scores'!$D$8:$CZ$8,0),
  _xlpm.v, IFERROR(INDEX('3. Enter Indicator Scores'!$D$10:$CZ$161,_xlpm.r,_xlpm.c),""),
  IF(OR(_xlpm.w="",_xlpm.v=""),"",_xlpm.v*_xlpm.w)
)</f>
        <v/>
      </c>
      <c r="AO43" s="93" t="str" cm="1">
        <f t="array" ref="AO43">_xlfn.LET(
  _xlpm.w, AO$11,
  _xlpm.r, MATCH(1,('3. Enter Indicator Scores'!$B$10:$B$161=$B43)*('3. Enter Indicator Scores'!$C$10:$C$161=$C43),0),
  _xlpm.c, MATCH(AO$8,'3. Enter Indicator Scores'!$D$8:$CZ$8,0),
  _xlpm.v, IFERROR(INDEX('3. Enter Indicator Scores'!$D$10:$CZ$161,_xlpm.r,_xlpm.c),""),
  IF(OR(_xlpm.w="",_xlpm.v=""),"",_xlpm.v*_xlpm.w)
)</f>
        <v/>
      </c>
      <c r="AP43" s="93" t="str" cm="1">
        <f t="array" ref="AP43">_xlfn.LET(
  _xlpm.w, AP$11,
  _xlpm.r, MATCH(1,('3. Enter Indicator Scores'!$B$10:$B$161=$B43)*('3. Enter Indicator Scores'!$C$10:$C$161=$C43),0),
  _xlpm.c, MATCH(AP$8,'3. Enter Indicator Scores'!$D$8:$CZ$8,0),
  _xlpm.v, IFERROR(INDEX('3. Enter Indicator Scores'!$D$10:$CZ$161,_xlpm.r,_xlpm.c),""),
  IF(OR(_xlpm.w="",_xlpm.v=""),"",_xlpm.v*_xlpm.w)
)</f>
        <v/>
      </c>
      <c r="AQ43" s="93" t="str" cm="1">
        <f t="array" ref="AQ43">_xlfn.LET(
  _xlpm.w, AQ$11,
  _xlpm.r, MATCH(1,('3. Enter Indicator Scores'!$B$10:$B$161=$B43)*('3. Enter Indicator Scores'!$C$10:$C$161=$C43),0),
  _xlpm.c, MATCH(AQ$8,'3. Enter Indicator Scores'!$D$8:$CZ$8,0),
  _xlpm.v, IFERROR(INDEX('3. Enter Indicator Scores'!$D$10:$CZ$161,_xlpm.r,_xlpm.c),""),
  IF(OR(_xlpm.w="",_xlpm.v=""),"",_xlpm.v*_xlpm.w)
)</f>
        <v/>
      </c>
      <c r="AR43" s="93" t="str" cm="1">
        <f t="array" ref="AR43">_xlfn.LET(
  _xlpm.w, AR$11,
  _xlpm.r, MATCH(1,('3. Enter Indicator Scores'!$B$10:$B$161=$B43)*('3. Enter Indicator Scores'!$C$10:$C$161=$C43),0),
  _xlpm.c, MATCH(AR$8,'3. Enter Indicator Scores'!$D$8:$CZ$8,0),
  _xlpm.v, IFERROR(INDEX('3. Enter Indicator Scores'!$D$10:$CZ$161,_xlpm.r,_xlpm.c),""),
  IF(OR(_xlpm.w="",_xlpm.v=""),"",_xlpm.v*_xlpm.w)
)</f>
        <v/>
      </c>
      <c r="AS43" s="93" t="str" cm="1">
        <f t="array" ref="AS43">_xlfn.LET(
  _xlpm.w, AS$11,
  _xlpm.r, MATCH(1,('3. Enter Indicator Scores'!$B$10:$B$161=$B43)*('3. Enter Indicator Scores'!$C$10:$C$161=$C43),0),
  _xlpm.c, MATCH(AS$8,'3. Enter Indicator Scores'!$D$8:$CZ$8,0),
  _xlpm.v, IFERROR(INDEX('3. Enter Indicator Scores'!$D$10:$CZ$161,_xlpm.r,_xlpm.c),""),
  IF(OR(_xlpm.w="",_xlpm.v=""),"",_xlpm.v*_xlpm.w)
)</f>
        <v/>
      </c>
      <c r="AT43" s="93" t="str" cm="1">
        <f t="array" ref="AT43">_xlfn.LET(
  _xlpm.w, AT$11,
  _xlpm.r, MATCH(1,('3. Enter Indicator Scores'!$B$10:$B$161=$B43)*('3. Enter Indicator Scores'!$C$10:$C$161=$C43),0),
  _xlpm.c, MATCH(AT$8,'3. Enter Indicator Scores'!$D$8:$CZ$8,0),
  _xlpm.v, IFERROR(INDEX('3. Enter Indicator Scores'!$D$10:$CZ$161,_xlpm.r,_xlpm.c),""),
  IF(OR(_xlpm.w="",_xlpm.v=""),"",_xlpm.v*_xlpm.w)
)</f>
        <v/>
      </c>
      <c r="AU43" s="93" t="str" cm="1">
        <f t="array" ref="AU43">_xlfn.LET(
  _xlpm.w, AU$11,
  _xlpm.r, MATCH(1,('3. Enter Indicator Scores'!$B$10:$B$161=$B43)*('3. Enter Indicator Scores'!$C$10:$C$161=$C43),0),
  _xlpm.c, MATCH(AU$8,'3. Enter Indicator Scores'!$D$8:$CZ$8,0),
  _xlpm.v, IFERROR(INDEX('3. Enter Indicator Scores'!$D$10:$CZ$161,_xlpm.r,_xlpm.c),""),
  IF(OR(_xlpm.w="",_xlpm.v=""),"",_xlpm.v*_xlpm.w)
)</f>
        <v/>
      </c>
      <c r="AV43" s="93" t="str" cm="1">
        <f t="array" ref="AV43">_xlfn.LET(
  _xlpm.w, AV$11,
  _xlpm.r, MATCH(1,('3. Enter Indicator Scores'!$B$10:$B$161=$B43)*('3. Enter Indicator Scores'!$C$10:$C$161=$C43),0),
  _xlpm.c, MATCH(AV$8,'3. Enter Indicator Scores'!$D$8:$CZ$8,0),
  _xlpm.v, IFERROR(INDEX('3. Enter Indicator Scores'!$D$10:$CZ$161,_xlpm.r,_xlpm.c),""),
  IF(OR(_xlpm.w="",_xlpm.v=""),"",_xlpm.v*_xlpm.w)
)</f>
        <v/>
      </c>
      <c r="AW43" s="93" t="str" cm="1">
        <f t="array" ref="AW43">_xlfn.LET(
  _xlpm.w, AW$11,
  _xlpm.r, MATCH(1,('3. Enter Indicator Scores'!$B$10:$B$161=$B43)*('3. Enter Indicator Scores'!$C$10:$C$161=$C43),0),
  _xlpm.c, MATCH(AW$8,'3. Enter Indicator Scores'!$D$8:$CZ$8,0),
  _xlpm.v, IFERROR(INDEX('3. Enter Indicator Scores'!$D$10:$CZ$161,_xlpm.r,_xlpm.c),""),
  IF(OR(_xlpm.w="",_xlpm.v=""),"",_xlpm.v*_xlpm.w)
)</f>
        <v/>
      </c>
      <c r="AX43" s="93" t="str" cm="1">
        <f t="array" ref="AX43">_xlfn.LET(
  _xlpm.w, AX$11,
  _xlpm.r, MATCH(1,('3. Enter Indicator Scores'!$B$10:$B$161=$B43)*('3. Enter Indicator Scores'!$C$10:$C$161=$C43),0),
  _xlpm.c, MATCH(AX$8,'3. Enter Indicator Scores'!$D$8:$CZ$8,0),
  _xlpm.v, IFERROR(INDEX('3. Enter Indicator Scores'!$D$10:$CZ$161,_xlpm.r,_xlpm.c),""),
  IF(OR(_xlpm.w="",_xlpm.v=""),"",_xlpm.v*_xlpm.w)
)</f>
        <v/>
      </c>
      <c r="AY43" s="93" t="str" cm="1">
        <f t="array" ref="AY43">_xlfn.LET(
  _xlpm.w, AY$11,
  _xlpm.r, MATCH(1,('3. Enter Indicator Scores'!$B$10:$B$161=$B43)*('3. Enter Indicator Scores'!$C$10:$C$161=$C43),0),
  _xlpm.c, MATCH(AY$8,'3. Enter Indicator Scores'!$D$8:$CZ$8,0),
  _xlpm.v, IFERROR(INDEX('3. Enter Indicator Scores'!$D$10:$CZ$161,_xlpm.r,_xlpm.c),""),
  IF(OR(_xlpm.w="",_xlpm.v=""),"",_xlpm.v*_xlpm.w)
)</f>
        <v/>
      </c>
      <c r="AZ43" s="93" t="str" cm="1">
        <f t="array" ref="AZ43">_xlfn.LET(
  _xlpm.w, AZ$11,
  _xlpm.r, MATCH(1,('3. Enter Indicator Scores'!$B$10:$B$161=$B43)*('3. Enter Indicator Scores'!$C$10:$C$161=$C43),0),
  _xlpm.c, MATCH(AZ$8,'3. Enter Indicator Scores'!$D$8:$CZ$8,0),
  _xlpm.v, IFERROR(INDEX('3. Enter Indicator Scores'!$D$10:$CZ$161,_xlpm.r,_xlpm.c),""),
  IF(OR(_xlpm.w="",_xlpm.v=""),"",_xlpm.v*_xlpm.w)
)</f>
        <v/>
      </c>
      <c r="BA43" s="93" t="str" cm="1">
        <f t="array" ref="BA43">_xlfn.LET(
  _xlpm.w, BA$11,
  _xlpm.r, MATCH(1,('3. Enter Indicator Scores'!$B$10:$B$161=$B43)*('3. Enter Indicator Scores'!$C$10:$C$161=$C43),0),
  _xlpm.c, MATCH(BA$8,'3. Enter Indicator Scores'!$D$8:$CZ$8,0),
  _xlpm.v, IFERROR(INDEX('3. Enter Indicator Scores'!$D$10:$CZ$161,_xlpm.r,_xlpm.c),""),
  IF(OR(_xlpm.w="",_xlpm.v=""),"",_xlpm.v*_xlpm.w)
)</f>
        <v/>
      </c>
      <c r="BB43" s="93" t="str" cm="1">
        <f t="array" ref="BB43">_xlfn.LET(
  _xlpm.w, BB$11,
  _xlpm.r, MATCH(1,('3. Enter Indicator Scores'!$B$10:$B$161=$B43)*('3. Enter Indicator Scores'!$C$10:$C$161=$C43),0),
  _xlpm.c, MATCH(BB$8,'3. Enter Indicator Scores'!$D$8:$CZ$8,0),
  _xlpm.v, IFERROR(INDEX('3. Enter Indicator Scores'!$D$10:$CZ$161,_xlpm.r,_xlpm.c),""),
  IF(OR(_xlpm.w="",_xlpm.v=""),"",_xlpm.v*_xlpm.w)
)</f>
        <v/>
      </c>
      <c r="BC43" s="93" t="str" cm="1">
        <f t="array" ref="BC43">_xlfn.LET(
  _xlpm.w, BC$11,
  _xlpm.r, MATCH(1,('3. Enter Indicator Scores'!$B$10:$B$161=$B43)*('3. Enter Indicator Scores'!$C$10:$C$161=$C43),0),
  _xlpm.c, MATCH(BC$8,'3. Enter Indicator Scores'!$D$8:$CZ$8,0),
  _xlpm.v, IFERROR(INDEX('3. Enter Indicator Scores'!$D$10:$CZ$161,_xlpm.r,_xlpm.c),""),
  IF(OR(_xlpm.w="",_xlpm.v=""),"",_xlpm.v*_xlpm.w)
)</f>
        <v/>
      </c>
      <c r="BD43" s="93" t="str" cm="1">
        <f t="array" ref="BD43">_xlfn.LET(
  _xlpm.w, BD$11,
  _xlpm.r, MATCH(1,('3. Enter Indicator Scores'!$B$10:$B$161=$B43)*('3. Enter Indicator Scores'!$C$10:$C$161=$C43),0),
  _xlpm.c, MATCH(BD$8,'3. Enter Indicator Scores'!$D$8:$CZ$8,0),
  _xlpm.v, IFERROR(INDEX('3. Enter Indicator Scores'!$D$10:$CZ$161,_xlpm.r,_xlpm.c),""),
  IF(OR(_xlpm.w="",_xlpm.v=""),"",_xlpm.v*_xlpm.w)
)</f>
        <v/>
      </c>
      <c r="BE43" s="93" t="str" cm="1">
        <f t="array" ref="BE43">_xlfn.LET(
  _xlpm.w, BE$11,
  _xlpm.r, MATCH(1,('3. Enter Indicator Scores'!$B$10:$B$161=$B43)*('3. Enter Indicator Scores'!$C$10:$C$161=$C43),0),
  _xlpm.c, MATCH(BE$8,'3. Enter Indicator Scores'!$D$8:$CZ$8,0),
  _xlpm.v, IFERROR(INDEX('3. Enter Indicator Scores'!$D$10:$CZ$161,_xlpm.r,_xlpm.c),""),
  IF(OR(_xlpm.w="",_xlpm.v=""),"",_xlpm.v*_xlpm.w)
)</f>
        <v/>
      </c>
      <c r="BF43" s="93" t="str" cm="1">
        <f t="array" ref="BF43">_xlfn.LET(
  _xlpm.w, BF$11,
  _xlpm.r, MATCH(1,('3. Enter Indicator Scores'!$B$10:$B$161=$B43)*('3. Enter Indicator Scores'!$C$10:$C$161=$C43),0),
  _xlpm.c, MATCH(BF$8,'3. Enter Indicator Scores'!$D$8:$CZ$8,0),
  _xlpm.v, IFERROR(INDEX('3. Enter Indicator Scores'!$D$10:$CZ$161,_xlpm.r,_xlpm.c),""),
  IF(OR(_xlpm.w="",_xlpm.v=""),"",_xlpm.v*_xlpm.w)
)</f>
        <v/>
      </c>
      <c r="BG43" s="93" t="str" cm="1">
        <f t="array" ref="BG43">_xlfn.LET(
  _xlpm.w, BG$11,
  _xlpm.r, MATCH(1,('3. Enter Indicator Scores'!$B$10:$B$161=$B43)*('3. Enter Indicator Scores'!$C$10:$C$161=$C43),0),
  _xlpm.c, MATCH(BG$8,'3. Enter Indicator Scores'!$D$8:$CZ$8,0),
  _xlpm.v, IFERROR(INDEX('3. Enter Indicator Scores'!$D$10:$CZ$161,_xlpm.r,_xlpm.c),""),
  IF(OR(_xlpm.w="",_xlpm.v=""),"",_xlpm.v*_xlpm.w)
)</f>
        <v/>
      </c>
      <c r="BH43" s="93" t="str" cm="1">
        <f t="array" ref="BH43">_xlfn.LET(
  _xlpm.w, BH$11,
  _xlpm.r, MATCH(1,('3. Enter Indicator Scores'!$B$10:$B$161=$B43)*('3. Enter Indicator Scores'!$C$10:$C$161=$C43),0),
  _xlpm.c, MATCH(BH$8,'3. Enter Indicator Scores'!$D$8:$CZ$8,0),
  _xlpm.v, IFERROR(INDEX('3. Enter Indicator Scores'!$D$10:$CZ$161,_xlpm.r,_xlpm.c),""),
  IF(OR(_xlpm.w="",_xlpm.v=""),"",_xlpm.v*_xlpm.w)
)</f>
        <v/>
      </c>
      <c r="BI43" s="93" t="str" cm="1">
        <f t="array" ref="BI43">_xlfn.LET(
  _xlpm.w, BI$11,
  _xlpm.r, MATCH(1,('3. Enter Indicator Scores'!$B$10:$B$161=$B43)*('3. Enter Indicator Scores'!$C$10:$C$161=$C43),0),
  _xlpm.c, MATCH(BI$8,'3. Enter Indicator Scores'!$D$8:$CZ$8,0),
  _xlpm.v, IFERROR(INDEX('3. Enter Indicator Scores'!$D$10:$CZ$161,_xlpm.r,_xlpm.c),""),
  IF(OR(_xlpm.w="",_xlpm.v=""),"",_xlpm.v*_xlpm.w)
)</f>
        <v/>
      </c>
      <c r="BJ43" s="93" t="str" cm="1">
        <f t="array" ref="BJ43">_xlfn.LET(
  _xlpm.w, BJ$11,
  _xlpm.r, MATCH(1,('3. Enter Indicator Scores'!$B$10:$B$161=$B43)*('3. Enter Indicator Scores'!$C$10:$C$161=$C43),0),
  _xlpm.c, MATCH(BJ$8,'3. Enter Indicator Scores'!$D$8:$CZ$8,0),
  _xlpm.v, IFERROR(INDEX('3. Enter Indicator Scores'!$D$10:$CZ$161,_xlpm.r,_xlpm.c),""),
  IF(OR(_xlpm.w="",_xlpm.v=""),"",_xlpm.v*_xlpm.w)
)</f>
        <v/>
      </c>
      <c r="BK43" s="93" t="str" cm="1">
        <f t="array" ref="BK43">_xlfn.LET(
  _xlpm.w, BK$11,
  _xlpm.r, MATCH(1,('3. Enter Indicator Scores'!$B$10:$B$161=$B43)*('3. Enter Indicator Scores'!$C$10:$C$161=$C43),0),
  _xlpm.c, MATCH(BK$8,'3. Enter Indicator Scores'!$D$8:$CZ$8,0),
  _xlpm.v, IFERROR(INDEX('3. Enter Indicator Scores'!$D$10:$CZ$161,_xlpm.r,_xlpm.c),""),
  IF(OR(_xlpm.w="",_xlpm.v=""),"",_xlpm.v*_xlpm.w)
)</f>
        <v/>
      </c>
      <c r="BL43" s="93" t="str" cm="1">
        <f t="array" ref="BL43">_xlfn.LET(
  _xlpm.w, BL$11,
  _xlpm.r, MATCH(1,('3. Enter Indicator Scores'!$B$10:$B$161=$B43)*('3. Enter Indicator Scores'!$C$10:$C$161=$C43),0),
  _xlpm.c, MATCH(BL$8,'3. Enter Indicator Scores'!$D$8:$CZ$8,0),
  _xlpm.v, IFERROR(INDEX('3. Enter Indicator Scores'!$D$10:$CZ$161,_xlpm.r,_xlpm.c),""),
  IF(OR(_xlpm.w="",_xlpm.v=""),"",_xlpm.v*_xlpm.w)
)</f>
        <v/>
      </c>
      <c r="BM43" s="93" t="str" cm="1">
        <f t="array" ref="BM43">_xlfn.LET(
  _xlpm.w, BM$11,
  _xlpm.r, MATCH(1,('3. Enter Indicator Scores'!$B$10:$B$161=$B43)*('3. Enter Indicator Scores'!$C$10:$C$161=$C43),0),
  _xlpm.c, MATCH(BM$8,'3. Enter Indicator Scores'!$D$8:$CZ$8,0),
  _xlpm.v, IFERROR(INDEX('3. Enter Indicator Scores'!$D$10:$CZ$161,_xlpm.r,_xlpm.c),""),
  IF(OR(_xlpm.w="",_xlpm.v=""),"",_xlpm.v*_xlpm.w)
)</f>
        <v/>
      </c>
      <c r="BN43" s="93" t="str" cm="1">
        <f t="array" ref="BN43">_xlfn.LET(
  _xlpm.w, BN$11,
  _xlpm.r, MATCH(1,('3. Enter Indicator Scores'!$B$10:$B$161=$B43)*('3. Enter Indicator Scores'!$C$10:$C$161=$C43),0),
  _xlpm.c, MATCH(BN$8,'3. Enter Indicator Scores'!$D$8:$CZ$8,0),
  _xlpm.v, IFERROR(INDEX('3. Enter Indicator Scores'!$D$10:$CZ$161,_xlpm.r,_xlpm.c),""),
  IF(OR(_xlpm.w="",_xlpm.v=""),"",_xlpm.v*_xlpm.w)
)</f>
        <v/>
      </c>
      <c r="BO43" s="93" t="str" cm="1">
        <f t="array" ref="BO43">_xlfn.LET(
  _xlpm.w, BO$11,
  _xlpm.r, MATCH(1,('3. Enter Indicator Scores'!$B$10:$B$161=$B43)*('3. Enter Indicator Scores'!$C$10:$C$161=$C43),0),
  _xlpm.c, MATCH(BO$8,'3. Enter Indicator Scores'!$D$8:$CZ$8,0),
  _xlpm.v, IFERROR(INDEX('3. Enter Indicator Scores'!$D$10:$CZ$161,_xlpm.r,_xlpm.c),""),
  IF(OR(_xlpm.w="",_xlpm.v=""),"",_xlpm.v*_xlpm.w)
)</f>
        <v/>
      </c>
      <c r="BP43" s="93" t="str" cm="1">
        <f t="array" ref="BP43">_xlfn.LET(
  _xlpm.w, BP$11,
  _xlpm.r, MATCH(1,('3. Enter Indicator Scores'!$B$10:$B$161=$B43)*('3. Enter Indicator Scores'!$C$10:$C$161=$C43),0),
  _xlpm.c, MATCH(BP$8,'3. Enter Indicator Scores'!$D$8:$CZ$8,0),
  _xlpm.v, IFERROR(INDEX('3. Enter Indicator Scores'!$D$10:$CZ$161,_xlpm.r,_xlpm.c),""),
  IF(OR(_xlpm.w="",_xlpm.v=""),"",_xlpm.v*_xlpm.w)
)</f>
        <v/>
      </c>
      <c r="BQ43" s="93" t="str" cm="1">
        <f t="array" ref="BQ43">_xlfn.LET(
  _xlpm.w, BQ$11,
  _xlpm.r, MATCH(1,('3. Enter Indicator Scores'!$B$10:$B$161=$B43)*('3. Enter Indicator Scores'!$C$10:$C$161=$C43),0),
  _xlpm.c, MATCH(BQ$8,'3. Enter Indicator Scores'!$D$8:$CZ$8,0),
  _xlpm.v, IFERROR(INDEX('3. Enter Indicator Scores'!$D$10:$CZ$161,_xlpm.r,_xlpm.c),""),
  IF(OR(_xlpm.w="",_xlpm.v=""),"",_xlpm.v*_xlpm.w)
)</f>
        <v/>
      </c>
      <c r="BR43" s="93" t="str" cm="1">
        <f t="array" ref="BR43">_xlfn.LET(
  _xlpm.w, BR$11,
  _xlpm.r, MATCH(1,('3. Enter Indicator Scores'!$B$10:$B$161=$B43)*('3. Enter Indicator Scores'!$C$10:$C$161=$C43),0),
  _xlpm.c, MATCH(BR$8,'3. Enter Indicator Scores'!$D$8:$CZ$8,0),
  _xlpm.v, IFERROR(INDEX('3. Enter Indicator Scores'!$D$10:$CZ$161,_xlpm.r,_xlpm.c),""),
  IF(OR(_xlpm.w="",_xlpm.v=""),"",_xlpm.v*_xlpm.w)
)</f>
        <v/>
      </c>
      <c r="BS43" s="93" t="str" cm="1">
        <f t="array" ref="BS43">_xlfn.LET(
  _xlpm.w, BS$11,
  _xlpm.r, MATCH(1,('3. Enter Indicator Scores'!$B$10:$B$161=$B43)*('3. Enter Indicator Scores'!$C$10:$C$161=$C43),0),
  _xlpm.c, MATCH(BS$8,'3. Enter Indicator Scores'!$D$8:$CZ$8,0),
  _xlpm.v, IFERROR(INDEX('3. Enter Indicator Scores'!$D$10:$CZ$161,_xlpm.r,_xlpm.c),""),
  IF(OR(_xlpm.w="",_xlpm.v=""),"",_xlpm.v*_xlpm.w)
)</f>
        <v/>
      </c>
      <c r="BT43" s="93" t="str" cm="1">
        <f t="array" ref="BT43">_xlfn.LET(
  _xlpm.w, BT$11,
  _xlpm.r, MATCH(1,('3. Enter Indicator Scores'!$B$10:$B$161=$B43)*('3. Enter Indicator Scores'!$C$10:$C$161=$C43),0),
  _xlpm.c, MATCH(BT$8,'3. Enter Indicator Scores'!$D$8:$CZ$8,0),
  _xlpm.v, IFERROR(INDEX('3. Enter Indicator Scores'!$D$10:$CZ$161,_xlpm.r,_xlpm.c),""),
  IF(OR(_xlpm.w="",_xlpm.v=""),"",_xlpm.v*_xlpm.w)
)</f>
        <v/>
      </c>
      <c r="BU43" s="93" t="str" cm="1">
        <f t="array" ref="BU43">_xlfn.LET(
  _xlpm.w, BU$11,
  _xlpm.r, MATCH(1,('3. Enter Indicator Scores'!$B$10:$B$161=$B43)*('3. Enter Indicator Scores'!$C$10:$C$161=$C43),0),
  _xlpm.c, MATCH(BU$8,'3. Enter Indicator Scores'!$D$8:$CZ$8,0),
  _xlpm.v, IFERROR(INDEX('3. Enter Indicator Scores'!$D$10:$CZ$161,_xlpm.r,_xlpm.c),""),
  IF(OR(_xlpm.w="",_xlpm.v=""),"",_xlpm.v*_xlpm.w)
)</f>
        <v/>
      </c>
      <c r="BV43" s="93" t="str" cm="1">
        <f t="array" ref="BV43">_xlfn.LET(
  _xlpm.w, BV$11,
  _xlpm.r, MATCH(1,('3. Enter Indicator Scores'!$B$10:$B$161=$B43)*('3. Enter Indicator Scores'!$C$10:$C$161=$C43),0),
  _xlpm.c, MATCH(BV$8,'3. Enter Indicator Scores'!$D$8:$CZ$8,0),
  _xlpm.v, IFERROR(INDEX('3. Enter Indicator Scores'!$D$10:$CZ$161,_xlpm.r,_xlpm.c),""),
  IF(OR(_xlpm.w="",_xlpm.v=""),"",_xlpm.v*_xlpm.w)
)</f>
        <v/>
      </c>
      <c r="BW43" s="93" t="str" cm="1">
        <f t="array" ref="BW43">_xlfn.LET(
  _xlpm.w, BW$11,
  _xlpm.r, MATCH(1,('3. Enter Indicator Scores'!$B$10:$B$161=$B43)*('3. Enter Indicator Scores'!$C$10:$C$161=$C43),0),
  _xlpm.c, MATCH(BW$8,'3. Enter Indicator Scores'!$D$8:$CZ$8,0),
  _xlpm.v, IFERROR(INDEX('3. Enter Indicator Scores'!$D$10:$CZ$161,_xlpm.r,_xlpm.c),""),
  IF(OR(_xlpm.w="",_xlpm.v=""),"",_xlpm.v*_xlpm.w)
)</f>
        <v/>
      </c>
      <c r="BX43" s="93" t="str" cm="1">
        <f t="array" ref="BX43">_xlfn.LET(
  _xlpm.w, BX$11,
  _xlpm.r, MATCH(1,('3. Enter Indicator Scores'!$B$10:$B$161=$B43)*('3. Enter Indicator Scores'!$C$10:$C$161=$C43),0),
  _xlpm.c, MATCH(BX$8,'3. Enter Indicator Scores'!$D$8:$CZ$8,0),
  _xlpm.v, IFERROR(INDEX('3. Enter Indicator Scores'!$D$10:$CZ$161,_xlpm.r,_xlpm.c),""),
  IF(OR(_xlpm.w="",_xlpm.v=""),"",_xlpm.v*_xlpm.w)
)</f>
        <v/>
      </c>
      <c r="BY43" s="93" t="str" cm="1">
        <f t="array" ref="BY43">_xlfn.LET(
  _xlpm.w, BY$11,
  _xlpm.r, MATCH(1,('3. Enter Indicator Scores'!$B$10:$B$161=$B43)*('3. Enter Indicator Scores'!$C$10:$C$161=$C43),0),
  _xlpm.c, MATCH(BY$8,'3. Enter Indicator Scores'!$D$8:$CZ$8,0),
  _xlpm.v, IFERROR(INDEX('3. Enter Indicator Scores'!$D$10:$CZ$161,_xlpm.r,_xlpm.c),""),
  IF(OR(_xlpm.w="",_xlpm.v=""),"",_xlpm.v*_xlpm.w)
)</f>
        <v/>
      </c>
      <c r="BZ43" s="93" t="str" cm="1">
        <f t="array" ref="BZ43">_xlfn.LET(
  _xlpm.w, BZ$11,
  _xlpm.r, MATCH(1,('3. Enter Indicator Scores'!$B$10:$B$161=$B43)*('3. Enter Indicator Scores'!$C$10:$C$161=$C43),0),
  _xlpm.c, MATCH(BZ$8,'3. Enter Indicator Scores'!$D$8:$CZ$8,0),
  _xlpm.v, IFERROR(INDEX('3. Enter Indicator Scores'!$D$10:$CZ$161,_xlpm.r,_xlpm.c),""),
  IF(OR(_xlpm.w="",_xlpm.v=""),"",_xlpm.v*_xlpm.w)
)</f>
        <v/>
      </c>
      <c r="CA43" s="93" t="str" cm="1">
        <f t="array" ref="CA43">_xlfn.LET(
  _xlpm.w, CA$11,
  _xlpm.r, MATCH(1,('3. Enter Indicator Scores'!$B$10:$B$161=$B43)*('3. Enter Indicator Scores'!$C$10:$C$161=$C43),0),
  _xlpm.c, MATCH(CA$8,'3. Enter Indicator Scores'!$D$8:$CZ$8,0),
  _xlpm.v, IFERROR(INDEX('3. Enter Indicator Scores'!$D$10:$CZ$161,_xlpm.r,_xlpm.c),""),
  IF(OR(_xlpm.w="",_xlpm.v=""),"",_xlpm.v*_xlpm.w)
)</f>
        <v/>
      </c>
      <c r="CB43" s="93" t="str" cm="1">
        <f t="array" ref="CB43">_xlfn.LET(
  _xlpm.w, CB$11,
  _xlpm.r, MATCH(1,('3. Enter Indicator Scores'!$B$10:$B$161=$B43)*('3. Enter Indicator Scores'!$C$10:$C$161=$C43),0),
  _xlpm.c, MATCH(CB$8,'3. Enter Indicator Scores'!$D$8:$CZ$8,0),
  _xlpm.v, IFERROR(INDEX('3. Enter Indicator Scores'!$D$10:$CZ$161,_xlpm.r,_xlpm.c),""),
  IF(OR(_xlpm.w="",_xlpm.v=""),"",_xlpm.v*_xlpm.w)
)</f>
        <v/>
      </c>
      <c r="CC43" s="93" t="str" cm="1">
        <f t="array" ref="CC43">_xlfn.LET(
  _xlpm.w, CC$11,
  _xlpm.r, MATCH(1,('3. Enter Indicator Scores'!$B$10:$B$161=$B43)*('3. Enter Indicator Scores'!$C$10:$C$161=$C43),0),
  _xlpm.c, MATCH(CC$8,'3. Enter Indicator Scores'!$D$8:$CZ$8,0),
  _xlpm.v, IFERROR(INDEX('3. Enter Indicator Scores'!$D$10:$CZ$161,_xlpm.r,_xlpm.c),""),
  IF(OR(_xlpm.w="",_xlpm.v=""),"",_xlpm.v*_xlpm.w)
)</f>
        <v/>
      </c>
      <c r="CD43" s="93" t="str" cm="1">
        <f t="array" ref="CD43">_xlfn.LET(
  _xlpm.w, CD$11,
  _xlpm.r, MATCH(1,('3. Enter Indicator Scores'!$B$10:$B$161=$B43)*('3. Enter Indicator Scores'!$C$10:$C$161=$C43),0),
  _xlpm.c, MATCH(CD$8,'3. Enter Indicator Scores'!$D$8:$CZ$8,0),
  _xlpm.v, IFERROR(INDEX('3. Enter Indicator Scores'!$D$10:$CZ$161,_xlpm.r,_xlpm.c),""),
  IF(OR(_xlpm.w="",_xlpm.v=""),"",_xlpm.v*_xlpm.w)
)</f>
        <v/>
      </c>
      <c r="CE43" s="93" t="str" cm="1">
        <f t="array" ref="CE43">_xlfn.LET(
  _xlpm.w, CE$11,
  _xlpm.r, MATCH(1,('3. Enter Indicator Scores'!$B$10:$B$161=$B43)*('3. Enter Indicator Scores'!$C$10:$C$161=$C43),0),
  _xlpm.c, MATCH(CE$8,'3. Enter Indicator Scores'!$D$8:$CZ$8,0),
  _xlpm.v, IFERROR(INDEX('3. Enter Indicator Scores'!$D$10:$CZ$161,_xlpm.r,_xlpm.c),""),
  IF(OR(_xlpm.w="",_xlpm.v=""),"",_xlpm.v*_xlpm.w)
)</f>
        <v/>
      </c>
      <c r="CF43" s="93" t="str" cm="1">
        <f t="array" ref="CF43">_xlfn.LET(
  _xlpm.w, CF$11,
  _xlpm.r, MATCH(1,('3. Enter Indicator Scores'!$B$10:$B$161=$B43)*('3. Enter Indicator Scores'!$C$10:$C$161=$C43),0),
  _xlpm.c, MATCH(CF$8,'3. Enter Indicator Scores'!$D$8:$CZ$8,0),
  _xlpm.v, IFERROR(INDEX('3. Enter Indicator Scores'!$D$10:$CZ$161,_xlpm.r,_xlpm.c),""),
  IF(OR(_xlpm.w="",_xlpm.v=""),"",_xlpm.v*_xlpm.w)
)</f>
        <v/>
      </c>
      <c r="CG43" s="93" t="str" cm="1">
        <f t="array" ref="CG43">_xlfn.LET(
  _xlpm.w, CG$11,
  _xlpm.r, MATCH(1,('3. Enter Indicator Scores'!$B$10:$B$161=$B43)*('3. Enter Indicator Scores'!$C$10:$C$161=$C43),0),
  _xlpm.c, MATCH(CG$8,'3. Enter Indicator Scores'!$D$8:$CZ$8,0),
  _xlpm.v, IFERROR(INDEX('3. Enter Indicator Scores'!$D$10:$CZ$161,_xlpm.r,_xlpm.c),""),
  IF(OR(_xlpm.w="",_xlpm.v=""),"",_xlpm.v*_xlpm.w)
)</f>
        <v/>
      </c>
      <c r="CH43" s="93" t="str" cm="1">
        <f t="array" ref="CH43">_xlfn.LET(
  _xlpm.w, CH$11,
  _xlpm.r, MATCH(1,('3. Enter Indicator Scores'!$B$10:$B$161=$B43)*('3. Enter Indicator Scores'!$C$10:$C$161=$C43),0),
  _xlpm.c, MATCH(CH$8,'3. Enter Indicator Scores'!$D$8:$CZ$8,0),
  _xlpm.v, IFERROR(INDEX('3. Enter Indicator Scores'!$D$10:$CZ$161,_xlpm.r,_xlpm.c),""),
  IF(OR(_xlpm.w="",_xlpm.v=""),"",_xlpm.v*_xlpm.w)
)</f>
        <v/>
      </c>
      <c r="CI43" s="93" t="str" cm="1">
        <f t="array" ref="CI43">_xlfn.LET(
  _xlpm.w, CI$11,
  _xlpm.r, MATCH(1,('3. Enter Indicator Scores'!$B$10:$B$161=$B43)*('3. Enter Indicator Scores'!$C$10:$C$161=$C43),0),
  _xlpm.c, MATCH(CI$8,'3. Enter Indicator Scores'!$D$8:$CZ$8,0),
  _xlpm.v, IFERROR(INDEX('3. Enter Indicator Scores'!$D$10:$CZ$161,_xlpm.r,_xlpm.c),""),
  IF(OR(_xlpm.w="",_xlpm.v=""),"",_xlpm.v*_xlpm.w)
)</f>
        <v/>
      </c>
      <c r="CJ43" s="93" t="str" cm="1">
        <f t="array" ref="CJ43">_xlfn.LET(
  _xlpm.w, CJ$11,
  _xlpm.r, MATCH(1,('3. Enter Indicator Scores'!$B$10:$B$161=$B43)*('3. Enter Indicator Scores'!$C$10:$C$161=$C43),0),
  _xlpm.c, MATCH(CJ$8,'3. Enter Indicator Scores'!$D$8:$CZ$8,0),
  _xlpm.v, IFERROR(INDEX('3. Enter Indicator Scores'!$D$10:$CZ$161,_xlpm.r,_xlpm.c),""),
  IF(OR(_xlpm.w="",_xlpm.v=""),"",_xlpm.v*_xlpm.w)
)</f>
        <v/>
      </c>
      <c r="CK43" s="93" t="str" cm="1">
        <f t="array" ref="CK43">_xlfn.LET(
  _xlpm.w, CK$11,
  _xlpm.r, MATCH(1,('3. Enter Indicator Scores'!$B$10:$B$161=$B43)*('3. Enter Indicator Scores'!$C$10:$C$161=$C43),0),
  _xlpm.c, MATCH(CK$8,'3. Enter Indicator Scores'!$D$8:$CZ$8,0),
  _xlpm.v, IFERROR(INDEX('3. Enter Indicator Scores'!$D$10:$CZ$161,_xlpm.r,_xlpm.c),""),
  IF(OR(_xlpm.w="",_xlpm.v=""),"",_xlpm.v*_xlpm.w)
)</f>
        <v/>
      </c>
      <c r="CL43" s="93" t="str" cm="1">
        <f t="array" ref="CL43">_xlfn.LET(
  _xlpm.w, CL$11,
  _xlpm.r, MATCH(1,('3. Enter Indicator Scores'!$B$10:$B$161=$B43)*('3. Enter Indicator Scores'!$C$10:$C$161=$C43),0),
  _xlpm.c, MATCH(CL$8,'3. Enter Indicator Scores'!$D$8:$CZ$8,0),
  _xlpm.v, IFERROR(INDEX('3. Enter Indicator Scores'!$D$10:$CZ$161,_xlpm.r,_xlpm.c),""),
  IF(OR(_xlpm.w="",_xlpm.v=""),"",_xlpm.v*_xlpm.w)
)</f>
        <v/>
      </c>
      <c r="CM43" s="93" t="str" cm="1">
        <f t="array" ref="CM43">_xlfn.LET(
  _xlpm.w, CM$11,
  _xlpm.r, MATCH(1,('3. Enter Indicator Scores'!$B$10:$B$161=$B43)*('3. Enter Indicator Scores'!$C$10:$C$161=$C43),0),
  _xlpm.c, MATCH(CM$8,'3. Enter Indicator Scores'!$D$8:$CZ$8,0),
  _xlpm.v, IFERROR(INDEX('3. Enter Indicator Scores'!$D$10:$CZ$161,_xlpm.r,_xlpm.c),""),
  IF(OR(_xlpm.w="",_xlpm.v=""),"",_xlpm.v*_xlpm.w)
)</f>
        <v/>
      </c>
      <c r="CN43" s="93" t="str" cm="1">
        <f t="array" ref="CN43">_xlfn.LET(
  _xlpm.w, CN$11,
  _xlpm.r, MATCH(1,('3. Enter Indicator Scores'!$B$10:$B$161=$B43)*('3. Enter Indicator Scores'!$C$10:$C$161=$C43),0),
  _xlpm.c, MATCH(CN$8,'3. Enter Indicator Scores'!$D$8:$CZ$8,0),
  _xlpm.v, IFERROR(INDEX('3. Enter Indicator Scores'!$D$10:$CZ$161,_xlpm.r,_xlpm.c),""),
  IF(OR(_xlpm.w="",_xlpm.v=""),"",_xlpm.v*_xlpm.w)
)</f>
        <v/>
      </c>
      <c r="CO43" s="93" t="str" cm="1">
        <f t="array" ref="CO43">_xlfn.LET(
  _xlpm.w, CO$11,
  _xlpm.r, MATCH(1,('3. Enter Indicator Scores'!$B$10:$B$161=$B43)*('3. Enter Indicator Scores'!$C$10:$C$161=$C43),0),
  _xlpm.c, MATCH(CO$8,'3. Enter Indicator Scores'!$D$8:$CZ$8,0),
  _xlpm.v, IFERROR(INDEX('3. Enter Indicator Scores'!$D$10:$CZ$161,_xlpm.r,_xlpm.c),""),
  IF(OR(_xlpm.w="",_xlpm.v=""),"",_xlpm.v*_xlpm.w)
)</f>
        <v/>
      </c>
      <c r="CP43" s="93" t="str" cm="1">
        <f t="array" ref="CP43">_xlfn.LET(
  _xlpm.w, CP$11,
  _xlpm.r, MATCH(1,('3. Enter Indicator Scores'!$B$10:$B$161=$B43)*('3. Enter Indicator Scores'!$C$10:$C$161=$C43),0),
  _xlpm.c, MATCH(CP$8,'3. Enter Indicator Scores'!$D$8:$CZ$8,0),
  _xlpm.v, IFERROR(INDEX('3. Enter Indicator Scores'!$D$10:$CZ$161,_xlpm.r,_xlpm.c),""),
  IF(OR(_xlpm.w="",_xlpm.v=""),"",_xlpm.v*_xlpm.w)
)</f>
        <v/>
      </c>
      <c r="CQ43" s="93" t="str" cm="1">
        <f t="array" ref="CQ43">_xlfn.LET(
  _xlpm.w, CQ$11,
  _xlpm.r, MATCH(1,('3. Enter Indicator Scores'!$B$10:$B$161=$B43)*('3. Enter Indicator Scores'!$C$10:$C$161=$C43),0),
  _xlpm.c, MATCH(CQ$8,'3. Enter Indicator Scores'!$D$8:$CZ$8,0),
  _xlpm.v, IFERROR(INDEX('3. Enter Indicator Scores'!$D$10:$CZ$161,_xlpm.r,_xlpm.c),""),
  IF(OR(_xlpm.w="",_xlpm.v=""),"",_xlpm.v*_xlpm.w)
)</f>
        <v/>
      </c>
      <c r="CR43" s="93" t="str" cm="1">
        <f t="array" ref="CR43">_xlfn.LET(
  _xlpm.w, CR$11,
  _xlpm.r, MATCH(1,('3. Enter Indicator Scores'!$B$10:$B$161=$B43)*('3. Enter Indicator Scores'!$C$10:$C$161=$C43),0),
  _xlpm.c, MATCH(CR$8,'3. Enter Indicator Scores'!$D$8:$CZ$8,0),
  _xlpm.v, IFERROR(INDEX('3. Enter Indicator Scores'!$D$10:$CZ$161,_xlpm.r,_xlpm.c),""),
  IF(OR(_xlpm.w="",_xlpm.v=""),"",_xlpm.v*_xlpm.w)
)</f>
        <v/>
      </c>
      <c r="CS43" s="93" t="str" cm="1">
        <f t="array" ref="CS43">_xlfn.LET(
  _xlpm.w, CS$11,
  _xlpm.r, MATCH(1,('3. Enter Indicator Scores'!$B$10:$B$161=$B43)*('3. Enter Indicator Scores'!$C$10:$C$161=$C43),0),
  _xlpm.c, MATCH(CS$8,'3. Enter Indicator Scores'!$D$8:$CZ$8,0),
  _xlpm.v, IFERROR(INDEX('3. Enter Indicator Scores'!$D$10:$CZ$161,_xlpm.r,_xlpm.c),""),
  IF(OR(_xlpm.w="",_xlpm.v=""),"",_xlpm.v*_xlpm.w)
)</f>
        <v/>
      </c>
      <c r="CT43" s="93" t="str" cm="1">
        <f t="array" ref="CT43">_xlfn.LET(
  _xlpm.w, CT$11,
  _xlpm.r, MATCH(1,('3. Enter Indicator Scores'!$B$10:$B$161=$B43)*('3. Enter Indicator Scores'!$C$10:$C$161=$C43),0),
  _xlpm.c, MATCH(CT$8,'3. Enter Indicator Scores'!$D$8:$CZ$8,0),
  _xlpm.v, IFERROR(INDEX('3. Enter Indicator Scores'!$D$10:$CZ$161,_xlpm.r,_xlpm.c),""),
  IF(OR(_xlpm.w="",_xlpm.v=""),"",_xlpm.v*_xlpm.w)
)</f>
        <v/>
      </c>
      <c r="CU43" s="93" t="str" cm="1">
        <f t="array" ref="CU43">_xlfn.LET(
  _xlpm.w, CU$11,
  _xlpm.r, MATCH(1,('3. Enter Indicator Scores'!$B$10:$B$161=$B43)*('3. Enter Indicator Scores'!$C$10:$C$161=$C43),0),
  _xlpm.c, MATCH(CU$8,'3. Enter Indicator Scores'!$D$8:$CZ$8,0),
  _xlpm.v, IFERROR(INDEX('3. Enter Indicator Scores'!$D$10:$CZ$161,_xlpm.r,_xlpm.c),""),
  IF(OR(_xlpm.w="",_xlpm.v=""),"",_xlpm.v*_xlpm.w)
)</f>
        <v/>
      </c>
      <c r="CV43" s="93" t="str" cm="1">
        <f t="array" ref="CV43">_xlfn.LET(
  _xlpm.w, CV$11,
  _xlpm.r, MATCH(1,('3. Enter Indicator Scores'!$B$10:$B$161=$B43)*('3. Enter Indicator Scores'!$C$10:$C$161=$C43),0),
  _xlpm.c, MATCH(CV$8,'3. Enter Indicator Scores'!$D$8:$CZ$8,0),
  _xlpm.v, IFERROR(INDEX('3. Enter Indicator Scores'!$D$10:$CZ$161,_xlpm.r,_xlpm.c),""),
  IF(OR(_xlpm.w="",_xlpm.v=""),"",_xlpm.v*_xlpm.w)
)</f>
        <v/>
      </c>
      <c r="CW43" s="93" t="str" cm="1">
        <f t="array" ref="CW43">_xlfn.LET(
  _xlpm.w, CW$11,
  _xlpm.r, MATCH(1,('3. Enter Indicator Scores'!$B$10:$B$161=$B43)*('3. Enter Indicator Scores'!$C$10:$C$161=$C43),0),
  _xlpm.c, MATCH(CW$8,'3. Enter Indicator Scores'!$D$8:$CZ$8,0),
  _xlpm.v, IFERROR(INDEX('3. Enter Indicator Scores'!$D$10:$CZ$161,_xlpm.r,_xlpm.c),""),
  IF(OR(_xlpm.w="",_xlpm.v=""),"",_xlpm.v*_xlpm.w)
)</f>
        <v/>
      </c>
      <c r="CX43" s="93" t="str" cm="1">
        <f t="array" ref="CX43">_xlfn.LET(
  _xlpm.w, CX$11,
  _xlpm.r, MATCH(1,('3. Enter Indicator Scores'!$B$10:$B$161=$B43)*('3. Enter Indicator Scores'!$C$10:$C$161=$C43),0),
  _xlpm.c, MATCH(CX$8,'3. Enter Indicator Scores'!$D$8:$CZ$8,0),
  _xlpm.v, IFERROR(INDEX('3. Enter Indicator Scores'!$D$10:$CZ$161,_xlpm.r,_xlpm.c),""),
  IF(OR(_xlpm.w="",_xlpm.v=""),"",_xlpm.v*_xlpm.w)
)</f>
        <v/>
      </c>
      <c r="CY43" s="93" t="str" cm="1">
        <f t="array" ref="CY43">_xlfn.LET(
  _xlpm.w, CY$11,
  _xlpm.r, MATCH(1,('3. Enter Indicator Scores'!$B$10:$B$161=$B43)*('3. Enter Indicator Scores'!$C$10:$C$161=$C43),0),
  _xlpm.c, MATCH(CY$8,'3. Enter Indicator Scores'!$D$8:$CZ$8,0),
  _xlpm.v, IFERROR(INDEX('3. Enter Indicator Scores'!$D$10:$CZ$161,_xlpm.r,_xlpm.c),""),
  IF(OR(_xlpm.w="",_xlpm.v=""),"",_xlpm.v*_xlpm.w)
)</f>
        <v/>
      </c>
      <c r="CZ43" s="93" t="str" cm="1">
        <f t="array" ref="CZ43">_xlfn.LET(
  _xlpm.w, CZ$11,
  _xlpm.r, MATCH(1,('3. Enter Indicator Scores'!$B$10:$B$161=$B43)*('3. Enter Indicator Scores'!$C$10:$C$161=$C43),0),
  _xlpm.c, MATCH(CZ$8,'3. Enter Indicator Scores'!$D$8:$CZ$8,0),
  _xlpm.v, IFERROR(INDEX('3. Enter Indicator Scores'!$D$10:$CZ$161,_xlpm.r,_xlpm.c),""),
  IF(OR(_xlpm.w="",_xlpm.v=""),"",_xlpm.v*_xlpm.w)
)</f>
        <v/>
      </c>
    </row>
    <row r="44" spans="4:104" x14ac:dyDescent="0.2">
      <c r="D44" s="93" t="str" cm="1">
        <f t="array" ref="D44">_xlfn.LET(
  _xlpm.w, D$11,
  _xlpm.r, MATCH(1,('3. Enter Indicator Scores'!$B$10:$B$161=$B44)*('3. Enter Indicator Scores'!$C$10:$C$161=$C44),0),
  _xlpm.c, MATCH(D$8,'3. Enter Indicator Scores'!$D$8:$CZ$8,0),
  _xlpm.v, IFERROR(INDEX('3. Enter Indicator Scores'!$D$10:$CZ$161,_xlpm.r,_xlpm.c),""),
  IF(OR(_xlpm.w="",_xlpm.v=""),"",_xlpm.v*_xlpm.w)
)</f>
        <v/>
      </c>
      <c r="E44" s="93" t="str" cm="1">
        <f t="array" ref="E44">_xlfn.LET(
  _xlpm.w, E$11,
  _xlpm.r, MATCH(1,('3. Enter Indicator Scores'!$B$10:$B$161=$B44)*('3. Enter Indicator Scores'!$C$10:$C$161=$C44),0),
  _xlpm.c, MATCH(E$8,'3. Enter Indicator Scores'!$D$8:$CZ$8,0),
  _xlpm.v, IFERROR(INDEX('3. Enter Indicator Scores'!$D$10:$CZ$161,_xlpm.r,_xlpm.c),""),
  IF(OR(_xlpm.w="",_xlpm.v=""),"",_xlpm.v*_xlpm.w)
)</f>
        <v/>
      </c>
      <c r="F44" s="93" t="str" cm="1">
        <f t="array" ref="F44">_xlfn.LET(
  _xlpm.w, F$11,
  _xlpm.r, MATCH(1,('3. Enter Indicator Scores'!$B$10:$B$161=$B44)*('3. Enter Indicator Scores'!$C$10:$C$161=$C44),0),
  _xlpm.c, MATCH(F$8,'3. Enter Indicator Scores'!$D$8:$CZ$8,0),
  _xlpm.v, IFERROR(INDEX('3. Enter Indicator Scores'!$D$10:$CZ$161,_xlpm.r,_xlpm.c),""),
  IF(OR(_xlpm.w="",_xlpm.v=""),"",_xlpm.v*_xlpm.w)
)</f>
        <v/>
      </c>
      <c r="G44" s="93" t="str" cm="1">
        <f t="array" ref="G44">_xlfn.LET(
  _xlpm.w, G$11,
  _xlpm.r, MATCH(1,('3. Enter Indicator Scores'!$B$10:$B$161=$B44)*('3. Enter Indicator Scores'!$C$10:$C$161=$C44),0),
  _xlpm.c, MATCH(G$8,'3. Enter Indicator Scores'!$D$8:$CZ$8,0),
  _xlpm.v, IFERROR(INDEX('3. Enter Indicator Scores'!$D$10:$CZ$161,_xlpm.r,_xlpm.c),""),
  IF(OR(_xlpm.w="",_xlpm.v=""),"",_xlpm.v*_xlpm.w)
)</f>
        <v/>
      </c>
      <c r="H44" s="93" t="str" cm="1">
        <f t="array" ref="H44">_xlfn.LET(
  _xlpm.w, H$11,
  _xlpm.r, MATCH(1,('3. Enter Indicator Scores'!$B$10:$B$161=$B44)*('3. Enter Indicator Scores'!$C$10:$C$161=$C44),0),
  _xlpm.c, MATCH(H$8,'3. Enter Indicator Scores'!$D$8:$CZ$8,0),
  _xlpm.v, IFERROR(INDEX('3. Enter Indicator Scores'!$D$10:$CZ$161,_xlpm.r,_xlpm.c),""),
  IF(OR(_xlpm.w="",_xlpm.v=""),"",_xlpm.v*_xlpm.w)
)</f>
        <v/>
      </c>
      <c r="I44" s="93" t="str" cm="1">
        <f t="array" ref="I44">_xlfn.LET(
  _xlpm.w, I$11,
  _xlpm.r, MATCH(1,('3. Enter Indicator Scores'!$B$10:$B$161=$B44)*('3. Enter Indicator Scores'!$C$10:$C$161=$C44),0),
  _xlpm.c, MATCH(I$8,'3. Enter Indicator Scores'!$D$8:$CZ$8,0),
  _xlpm.v, IFERROR(INDEX('3. Enter Indicator Scores'!$D$10:$CZ$161,_xlpm.r,_xlpm.c),""),
  IF(OR(_xlpm.w="",_xlpm.v=""),"",_xlpm.v*_xlpm.w)
)</f>
        <v/>
      </c>
      <c r="J44" s="93" t="str" cm="1">
        <f t="array" ref="J44">_xlfn.LET(
  _xlpm.w, J$11,
  _xlpm.r, MATCH(1,('3. Enter Indicator Scores'!$B$10:$B$161=$B44)*('3. Enter Indicator Scores'!$C$10:$C$161=$C44),0),
  _xlpm.c, MATCH(J$8,'3. Enter Indicator Scores'!$D$8:$CZ$8,0),
  _xlpm.v, IFERROR(INDEX('3. Enter Indicator Scores'!$D$10:$CZ$161,_xlpm.r,_xlpm.c),""),
  IF(OR(_xlpm.w="",_xlpm.v=""),"",_xlpm.v*_xlpm.w)
)</f>
        <v/>
      </c>
      <c r="K44" s="93" t="str" cm="1">
        <f t="array" ref="K44">_xlfn.LET(
  _xlpm.w, K$11,
  _xlpm.r, MATCH(1,('3. Enter Indicator Scores'!$B$10:$B$161=$B44)*('3. Enter Indicator Scores'!$C$10:$C$161=$C44),0),
  _xlpm.c, MATCH(K$8,'3. Enter Indicator Scores'!$D$8:$CZ$8,0),
  _xlpm.v, IFERROR(INDEX('3. Enter Indicator Scores'!$D$10:$CZ$161,_xlpm.r,_xlpm.c),""),
  IF(OR(_xlpm.w="",_xlpm.v=""),"",_xlpm.v*_xlpm.w)
)</f>
        <v/>
      </c>
      <c r="L44" s="93" t="str" cm="1">
        <f t="array" ref="L44">_xlfn.LET(
  _xlpm.w, L$11,
  _xlpm.r, MATCH(1,('3. Enter Indicator Scores'!$B$10:$B$161=$B44)*('3. Enter Indicator Scores'!$C$10:$C$161=$C44),0),
  _xlpm.c, MATCH(L$8,'3. Enter Indicator Scores'!$D$8:$CZ$8,0),
  _xlpm.v, IFERROR(INDEX('3. Enter Indicator Scores'!$D$10:$CZ$161,_xlpm.r,_xlpm.c),""),
  IF(OR(_xlpm.w="",_xlpm.v=""),"",_xlpm.v*_xlpm.w)
)</f>
        <v/>
      </c>
      <c r="M44" s="93" t="str" cm="1">
        <f t="array" ref="M44">_xlfn.LET(
  _xlpm.w, M$11,
  _xlpm.r, MATCH(1,('3. Enter Indicator Scores'!$B$10:$B$161=$B44)*('3. Enter Indicator Scores'!$C$10:$C$161=$C44),0),
  _xlpm.c, MATCH(M$8,'3. Enter Indicator Scores'!$D$8:$CZ$8,0),
  _xlpm.v, IFERROR(INDEX('3. Enter Indicator Scores'!$D$10:$CZ$161,_xlpm.r,_xlpm.c),""),
  IF(OR(_xlpm.w="",_xlpm.v=""),"",_xlpm.v*_xlpm.w)
)</f>
        <v/>
      </c>
      <c r="N44" s="93" t="str" cm="1">
        <f t="array" ref="N44">_xlfn.LET(
  _xlpm.w, N$11,
  _xlpm.r, MATCH(1,('3. Enter Indicator Scores'!$B$10:$B$161=$B44)*('3. Enter Indicator Scores'!$C$10:$C$161=$C44),0),
  _xlpm.c, MATCH(N$8,'3. Enter Indicator Scores'!$D$8:$CZ$8,0),
  _xlpm.v, IFERROR(INDEX('3. Enter Indicator Scores'!$D$10:$CZ$161,_xlpm.r,_xlpm.c),""),
  IF(OR(_xlpm.w="",_xlpm.v=""),"",_xlpm.v*_xlpm.w)
)</f>
        <v/>
      </c>
      <c r="O44" s="93" t="str" cm="1">
        <f t="array" ref="O44">_xlfn.LET(
  _xlpm.w, O$11,
  _xlpm.r, MATCH(1,('3. Enter Indicator Scores'!$B$10:$B$161=$B44)*('3. Enter Indicator Scores'!$C$10:$C$161=$C44),0),
  _xlpm.c, MATCH(O$8,'3. Enter Indicator Scores'!$D$8:$CZ$8,0),
  _xlpm.v, IFERROR(INDEX('3. Enter Indicator Scores'!$D$10:$CZ$161,_xlpm.r,_xlpm.c),""),
  IF(OR(_xlpm.w="",_xlpm.v=""),"",_xlpm.v*_xlpm.w)
)</f>
        <v/>
      </c>
      <c r="P44" s="93" t="str" cm="1">
        <f t="array" ref="P44">_xlfn.LET(
  _xlpm.w, P$11,
  _xlpm.r, MATCH(1,('3. Enter Indicator Scores'!$B$10:$B$161=$B44)*('3. Enter Indicator Scores'!$C$10:$C$161=$C44),0),
  _xlpm.c, MATCH(P$8,'3. Enter Indicator Scores'!$D$8:$CZ$8,0),
  _xlpm.v, IFERROR(INDEX('3. Enter Indicator Scores'!$D$10:$CZ$161,_xlpm.r,_xlpm.c),""),
  IF(OR(_xlpm.w="",_xlpm.v=""),"",_xlpm.v*_xlpm.w)
)</f>
        <v/>
      </c>
      <c r="Q44" s="93" t="str" cm="1">
        <f t="array" ref="Q44">_xlfn.LET(
  _xlpm.w, Q$11,
  _xlpm.r, MATCH(1,('3. Enter Indicator Scores'!$B$10:$B$161=$B44)*('3. Enter Indicator Scores'!$C$10:$C$161=$C44),0),
  _xlpm.c, MATCH(Q$8,'3. Enter Indicator Scores'!$D$8:$CZ$8,0),
  _xlpm.v, IFERROR(INDEX('3. Enter Indicator Scores'!$D$10:$CZ$161,_xlpm.r,_xlpm.c),""),
  IF(OR(_xlpm.w="",_xlpm.v=""),"",_xlpm.v*_xlpm.w)
)</f>
        <v/>
      </c>
      <c r="R44" s="93" t="str" cm="1">
        <f t="array" ref="R44">_xlfn.LET(
  _xlpm.w, R$11,
  _xlpm.r, MATCH(1,('3. Enter Indicator Scores'!$B$10:$B$161=$B44)*('3. Enter Indicator Scores'!$C$10:$C$161=$C44),0),
  _xlpm.c, MATCH(R$8,'3. Enter Indicator Scores'!$D$8:$CZ$8,0),
  _xlpm.v, IFERROR(INDEX('3. Enter Indicator Scores'!$D$10:$CZ$161,_xlpm.r,_xlpm.c),""),
  IF(OR(_xlpm.w="",_xlpm.v=""),"",_xlpm.v*_xlpm.w)
)</f>
        <v/>
      </c>
      <c r="S44" s="93" t="str" cm="1">
        <f t="array" ref="S44">_xlfn.LET(
  _xlpm.w, S$11,
  _xlpm.r, MATCH(1,('3. Enter Indicator Scores'!$B$10:$B$161=$B44)*('3. Enter Indicator Scores'!$C$10:$C$161=$C44),0),
  _xlpm.c, MATCH(S$8,'3. Enter Indicator Scores'!$D$8:$CZ$8,0),
  _xlpm.v, IFERROR(INDEX('3. Enter Indicator Scores'!$D$10:$CZ$161,_xlpm.r,_xlpm.c),""),
  IF(OR(_xlpm.w="",_xlpm.v=""),"",_xlpm.v*_xlpm.w)
)</f>
        <v/>
      </c>
      <c r="T44" s="93" t="str" cm="1">
        <f t="array" ref="T44">_xlfn.LET(
  _xlpm.w, T$11,
  _xlpm.r, MATCH(1,('3. Enter Indicator Scores'!$B$10:$B$161=$B44)*('3. Enter Indicator Scores'!$C$10:$C$161=$C44),0),
  _xlpm.c, MATCH(T$8,'3. Enter Indicator Scores'!$D$8:$CZ$8,0),
  _xlpm.v, IFERROR(INDEX('3. Enter Indicator Scores'!$D$10:$CZ$161,_xlpm.r,_xlpm.c),""),
  IF(OR(_xlpm.w="",_xlpm.v=""),"",_xlpm.v*_xlpm.w)
)</f>
        <v/>
      </c>
      <c r="U44" s="93" t="str" cm="1">
        <f t="array" ref="U44">_xlfn.LET(
  _xlpm.w, U$11,
  _xlpm.r, MATCH(1,('3. Enter Indicator Scores'!$B$10:$B$161=$B44)*('3. Enter Indicator Scores'!$C$10:$C$161=$C44),0),
  _xlpm.c, MATCH(U$8,'3. Enter Indicator Scores'!$D$8:$CZ$8,0),
  _xlpm.v, IFERROR(INDEX('3. Enter Indicator Scores'!$D$10:$CZ$161,_xlpm.r,_xlpm.c),""),
  IF(OR(_xlpm.w="",_xlpm.v=""),"",_xlpm.v*_xlpm.w)
)</f>
        <v/>
      </c>
      <c r="V44" s="93" t="str" cm="1">
        <f t="array" ref="V44">_xlfn.LET(
  _xlpm.w, V$11,
  _xlpm.r, MATCH(1,('3. Enter Indicator Scores'!$B$10:$B$161=$B44)*('3. Enter Indicator Scores'!$C$10:$C$161=$C44),0),
  _xlpm.c, MATCH(V$8,'3. Enter Indicator Scores'!$D$8:$CZ$8,0),
  _xlpm.v, IFERROR(INDEX('3. Enter Indicator Scores'!$D$10:$CZ$161,_xlpm.r,_xlpm.c),""),
  IF(OR(_xlpm.w="",_xlpm.v=""),"",_xlpm.v*_xlpm.w)
)</f>
        <v/>
      </c>
      <c r="W44" s="93" t="str" cm="1">
        <f t="array" ref="W44">_xlfn.LET(
  _xlpm.w, W$11,
  _xlpm.r, MATCH(1,('3. Enter Indicator Scores'!$B$10:$B$161=$B44)*('3. Enter Indicator Scores'!$C$10:$C$161=$C44),0),
  _xlpm.c, MATCH(W$8,'3. Enter Indicator Scores'!$D$8:$CZ$8,0),
  _xlpm.v, IFERROR(INDEX('3. Enter Indicator Scores'!$D$10:$CZ$161,_xlpm.r,_xlpm.c),""),
  IF(OR(_xlpm.w="",_xlpm.v=""),"",_xlpm.v*_xlpm.w)
)</f>
        <v/>
      </c>
      <c r="X44" s="93" t="str" cm="1">
        <f t="array" ref="X44">_xlfn.LET(
  _xlpm.w, X$11,
  _xlpm.r, MATCH(1,('3. Enter Indicator Scores'!$B$10:$B$161=$B44)*('3. Enter Indicator Scores'!$C$10:$C$161=$C44),0),
  _xlpm.c, MATCH(X$8,'3. Enter Indicator Scores'!$D$8:$CZ$8,0),
  _xlpm.v, IFERROR(INDEX('3. Enter Indicator Scores'!$D$10:$CZ$161,_xlpm.r,_xlpm.c),""),
  IF(OR(_xlpm.w="",_xlpm.v=""),"",_xlpm.v*_xlpm.w)
)</f>
        <v/>
      </c>
      <c r="Y44" s="93" t="str" cm="1">
        <f t="array" ref="Y44">_xlfn.LET(
  _xlpm.w, Y$11,
  _xlpm.r, MATCH(1,('3. Enter Indicator Scores'!$B$10:$B$161=$B44)*('3. Enter Indicator Scores'!$C$10:$C$161=$C44),0),
  _xlpm.c, MATCH(Y$8,'3. Enter Indicator Scores'!$D$8:$CZ$8,0),
  _xlpm.v, IFERROR(INDEX('3. Enter Indicator Scores'!$D$10:$CZ$161,_xlpm.r,_xlpm.c),""),
  IF(OR(_xlpm.w="",_xlpm.v=""),"",_xlpm.v*_xlpm.w)
)</f>
        <v/>
      </c>
      <c r="Z44" s="93" t="str" cm="1">
        <f t="array" ref="Z44">_xlfn.LET(
  _xlpm.w, Z$11,
  _xlpm.r, MATCH(1,('3. Enter Indicator Scores'!$B$10:$B$161=$B44)*('3. Enter Indicator Scores'!$C$10:$C$161=$C44),0),
  _xlpm.c, MATCH(Z$8,'3. Enter Indicator Scores'!$D$8:$CZ$8,0),
  _xlpm.v, IFERROR(INDEX('3. Enter Indicator Scores'!$D$10:$CZ$161,_xlpm.r,_xlpm.c),""),
  IF(OR(_xlpm.w="",_xlpm.v=""),"",_xlpm.v*_xlpm.w)
)</f>
        <v/>
      </c>
      <c r="AA44" s="93" t="str" cm="1">
        <f t="array" ref="AA44">_xlfn.LET(
  _xlpm.w, AA$11,
  _xlpm.r, MATCH(1,('3. Enter Indicator Scores'!$B$10:$B$161=$B44)*('3. Enter Indicator Scores'!$C$10:$C$161=$C44),0),
  _xlpm.c, MATCH(AA$8,'3. Enter Indicator Scores'!$D$8:$CZ$8,0),
  _xlpm.v, IFERROR(INDEX('3. Enter Indicator Scores'!$D$10:$CZ$161,_xlpm.r,_xlpm.c),""),
  IF(OR(_xlpm.w="",_xlpm.v=""),"",_xlpm.v*_xlpm.w)
)</f>
        <v/>
      </c>
      <c r="AB44" s="93" t="str" cm="1">
        <f t="array" ref="AB44">_xlfn.LET(
  _xlpm.w, AB$11,
  _xlpm.r, MATCH(1,('3. Enter Indicator Scores'!$B$10:$B$161=$B44)*('3. Enter Indicator Scores'!$C$10:$C$161=$C44),0),
  _xlpm.c, MATCH(AB$8,'3. Enter Indicator Scores'!$D$8:$CZ$8,0),
  _xlpm.v, IFERROR(INDEX('3. Enter Indicator Scores'!$D$10:$CZ$161,_xlpm.r,_xlpm.c),""),
  IF(OR(_xlpm.w="",_xlpm.v=""),"",_xlpm.v*_xlpm.w)
)</f>
        <v/>
      </c>
      <c r="AC44" s="93" t="str" cm="1">
        <f t="array" ref="AC44">_xlfn.LET(
  _xlpm.w, AC$11,
  _xlpm.r, MATCH(1,('3. Enter Indicator Scores'!$B$10:$B$161=$B44)*('3. Enter Indicator Scores'!$C$10:$C$161=$C44),0),
  _xlpm.c, MATCH(AC$8,'3. Enter Indicator Scores'!$D$8:$CZ$8,0),
  _xlpm.v, IFERROR(INDEX('3. Enter Indicator Scores'!$D$10:$CZ$161,_xlpm.r,_xlpm.c),""),
  IF(OR(_xlpm.w="",_xlpm.v=""),"",_xlpm.v*_xlpm.w)
)</f>
        <v/>
      </c>
      <c r="AD44" s="93" t="str" cm="1">
        <f t="array" ref="AD44">_xlfn.LET(
  _xlpm.w, AD$11,
  _xlpm.r, MATCH(1,('3. Enter Indicator Scores'!$B$10:$B$161=$B44)*('3. Enter Indicator Scores'!$C$10:$C$161=$C44),0),
  _xlpm.c, MATCH(AD$8,'3. Enter Indicator Scores'!$D$8:$CZ$8,0),
  _xlpm.v, IFERROR(INDEX('3. Enter Indicator Scores'!$D$10:$CZ$161,_xlpm.r,_xlpm.c),""),
  IF(OR(_xlpm.w="",_xlpm.v=""),"",_xlpm.v*_xlpm.w)
)</f>
        <v/>
      </c>
      <c r="AE44" s="93" t="str" cm="1">
        <f t="array" ref="AE44">_xlfn.LET(
  _xlpm.w, AE$11,
  _xlpm.r, MATCH(1,('3. Enter Indicator Scores'!$B$10:$B$161=$B44)*('3. Enter Indicator Scores'!$C$10:$C$161=$C44),0),
  _xlpm.c, MATCH(AE$8,'3. Enter Indicator Scores'!$D$8:$CZ$8,0),
  _xlpm.v, IFERROR(INDEX('3. Enter Indicator Scores'!$D$10:$CZ$161,_xlpm.r,_xlpm.c),""),
  IF(OR(_xlpm.w="",_xlpm.v=""),"",_xlpm.v*_xlpm.w)
)</f>
        <v/>
      </c>
      <c r="AF44" s="93" t="str" cm="1">
        <f t="array" ref="AF44">_xlfn.LET(
  _xlpm.w, AF$11,
  _xlpm.r, MATCH(1,('3. Enter Indicator Scores'!$B$10:$B$161=$B44)*('3. Enter Indicator Scores'!$C$10:$C$161=$C44),0),
  _xlpm.c, MATCH(AF$8,'3. Enter Indicator Scores'!$D$8:$CZ$8,0),
  _xlpm.v, IFERROR(INDEX('3. Enter Indicator Scores'!$D$10:$CZ$161,_xlpm.r,_xlpm.c),""),
  IF(OR(_xlpm.w="",_xlpm.v=""),"",_xlpm.v*_xlpm.w)
)</f>
        <v/>
      </c>
      <c r="AG44" s="93" t="str" cm="1">
        <f t="array" ref="AG44">_xlfn.LET(
  _xlpm.w, AG$11,
  _xlpm.r, MATCH(1,('3. Enter Indicator Scores'!$B$10:$B$161=$B44)*('3. Enter Indicator Scores'!$C$10:$C$161=$C44),0),
  _xlpm.c, MATCH(AG$8,'3. Enter Indicator Scores'!$D$8:$CZ$8,0),
  _xlpm.v, IFERROR(INDEX('3. Enter Indicator Scores'!$D$10:$CZ$161,_xlpm.r,_xlpm.c),""),
  IF(OR(_xlpm.w="",_xlpm.v=""),"",_xlpm.v*_xlpm.w)
)</f>
        <v/>
      </c>
      <c r="AH44" s="93" t="str" cm="1">
        <f t="array" ref="AH44">_xlfn.LET(
  _xlpm.w, AH$11,
  _xlpm.r, MATCH(1,('3. Enter Indicator Scores'!$B$10:$B$161=$B44)*('3. Enter Indicator Scores'!$C$10:$C$161=$C44),0),
  _xlpm.c, MATCH(AH$8,'3. Enter Indicator Scores'!$D$8:$CZ$8,0),
  _xlpm.v, IFERROR(INDEX('3. Enter Indicator Scores'!$D$10:$CZ$161,_xlpm.r,_xlpm.c),""),
  IF(OR(_xlpm.w="",_xlpm.v=""),"",_xlpm.v*_xlpm.w)
)</f>
        <v/>
      </c>
      <c r="AI44" s="93" t="str" cm="1">
        <f t="array" ref="AI44">_xlfn.LET(
  _xlpm.w, AI$11,
  _xlpm.r, MATCH(1,('3. Enter Indicator Scores'!$B$10:$B$161=$B44)*('3. Enter Indicator Scores'!$C$10:$C$161=$C44),0),
  _xlpm.c, MATCH(AI$8,'3. Enter Indicator Scores'!$D$8:$CZ$8,0),
  _xlpm.v, IFERROR(INDEX('3. Enter Indicator Scores'!$D$10:$CZ$161,_xlpm.r,_xlpm.c),""),
  IF(OR(_xlpm.w="",_xlpm.v=""),"",_xlpm.v*_xlpm.w)
)</f>
        <v/>
      </c>
      <c r="AJ44" s="93" t="str" cm="1">
        <f t="array" ref="AJ44">_xlfn.LET(
  _xlpm.w, AJ$11,
  _xlpm.r, MATCH(1,('3. Enter Indicator Scores'!$B$10:$B$161=$B44)*('3. Enter Indicator Scores'!$C$10:$C$161=$C44),0),
  _xlpm.c, MATCH(AJ$8,'3. Enter Indicator Scores'!$D$8:$CZ$8,0),
  _xlpm.v, IFERROR(INDEX('3. Enter Indicator Scores'!$D$10:$CZ$161,_xlpm.r,_xlpm.c),""),
  IF(OR(_xlpm.w="",_xlpm.v=""),"",_xlpm.v*_xlpm.w)
)</f>
        <v/>
      </c>
      <c r="AK44" s="93" t="str" cm="1">
        <f t="array" ref="AK44">_xlfn.LET(
  _xlpm.w, AK$11,
  _xlpm.r, MATCH(1,('3. Enter Indicator Scores'!$B$10:$B$161=$B44)*('3. Enter Indicator Scores'!$C$10:$C$161=$C44),0),
  _xlpm.c, MATCH(AK$8,'3. Enter Indicator Scores'!$D$8:$CZ$8,0),
  _xlpm.v, IFERROR(INDEX('3. Enter Indicator Scores'!$D$10:$CZ$161,_xlpm.r,_xlpm.c),""),
  IF(OR(_xlpm.w="",_xlpm.v=""),"",_xlpm.v*_xlpm.w)
)</f>
        <v/>
      </c>
      <c r="AL44" s="93" t="str" cm="1">
        <f t="array" ref="AL44">_xlfn.LET(
  _xlpm.w, AL$11,
  _xlpm.r, MATCH(1,('3. Enter Indicator Scores'!$B$10:$B$161=$B44)*('3. Enter Indicator Scores'!$C$10:$C$161=$C44),0),
  _xlpm.c, MATCH(AL$8,'3. Enter Indicator Scores'!$D$8:$CZ$8,0),
  _xlpm.v, IFERROR(INDEX('3. Enter Indicator Scores'!$D$10:$CZ$161,_xlpm.r,_xlpm.c),""),
  IF(OR(_xlpm.w="",_xlpm.v=""),"",_xlpm.v*_xlpm.w)
)</f>
        <v/>
      </c>
      <c r="AM44" s="93" t="str" cm="1">
        <f t="array" ref="AM44">_xlfn.LET(
  _xlpm.w, AM$11,
  _xlpm.r, MATCH(1,('3. Enter Indicator Scores'!$B$10:$B$161=$B44)*('3. Enter Indicator Scores'!$C$10:$C$161=$C44),0),
  _xlpm.c, MATCH(AM$8,'3. Enter Indicator Scores'!$D$8:$CZ$8,0),
  _xlpm.v, IFERROR(INDEX('3. Enter Indicator Scores'!$D$10:$CZ$161,_xlpm.r,_xlpm.c),""),
  IF(OR(_xlpm.w="",_xlpm.v=""),"",_xlpm.v*_xlpm.w)
)</f>
        <v/>
      </c>
      <c r="AN44" s="93" t="str" cm="1">
        <f t="array" ref="AN44">_xlfn.LET(
  _xlpm.w, AN$11,
  _xlpm.r, MATCH(1,('3. Enter Indicator Scores'!$B$10:$B$161=$B44)*('3. Enter Indicator Scores'!$C$10:$C$161=$C44),0),
  _xlpm.c, MATCH(AN$8,'3. Enter Indicator Scores'!$D$8:$CZ$8,0),
  _xlpm.v, IFERROR(INDEX('3. Enter Indicator Scores'!$D$10:$CZ$161,_xlpm.r,_xlpm.c),""),
  IF(OR(_xlpm.w="",_xlpm.v=""),"",_xlpm.v*_xlpm.w)
)</f>
        <v/>
      </c>
      <c r="AO44" s="93" t="str" cm="1">
        <f t="array" ref="AO44">_xlfn.LET(
  _xlpm.w, AO$11,
  _xlpm.r, MATCH(1,('3. Enter Indicator Scores'!$B$10:$B$161=$B44)*('3. Enter Indicator Scores'!$C$10:$C$161=$C44),0),
  _xlpm.c, MATCH(AO$8,'3. Enter Indicator Scores'!$D$8:$CZ$8,0),
  _xlpm.v, IFERROR(INDEX('3. Enter Indicator Scores'!$D$10:$CZ$161,_xlpm.r,_xlpm.c),""),
  IF(OR(_xlpm.w="",_xlpm.v=""),"",_xlpm.v*_xlpm.w)
)</f>
        <v/>
      </c>
      <c r="AP44" s="93" t="str" cm="1">
        <f t="array" ref="AP44">_xlfn.LET(
  _xlpm.w, AP$11,
  _xlpm.r, MATCH(1,('3. Enter Indicator Scores'!$B$10:$B$161=$B44)*('3. Enter Indicator Scores'!$C$10:$C$161=$C44),0),
  _xlpm.c, MATCH(AP$8,'3. Enter Indicator Scores'!$D$8:$CZ$8,0),
  _xlpm.v, IFERROR(INDEX('3. Enter Indicator Scores'!$D$10:$CZ$161,_xlpm.r,_xlpm.c),""),
  IF(OR(_xlpm.w="",_xlpm.v=""),"",_xlpm.v*_xlpm.w)
)</f>
        <v/>
      </c>
      <c r="AQ44" s="93" t="str" cm="1">
        <f t="array" ref="AQ44">_xlfn.LET(
  _xlpm.w, AQ$11,
  _xlpm.r, MATCH(1,('3. Enter Indicator Scores'!$B$10:$B$161=$B44)*('3. Enter Indicator Scores'!$C$10:$C$161=$C44),0),
  _xlpm.c, MATCH(AQ$8,'3. Enter Indicator Scores'!$D$8:$CZ$8,0),
  _xlpm.v, IFERROR(INDEX('3. Enter Indicator Scores'!$D$10:$CZ$161,_xlpm.r,_xlpm.c),""),
  IF(OR(_xlpm.w="",_xlpm.v=""),"",_xlpm.v*_xlpm.w)
)</f>
        <v/>
      </c>
      <c r="AR44" s="93" t="str" cm="1">
        <f t="array" ref="AR44">_xlfn.LET(
  _xlpm.w, AR$11,
  _xlpm.r, MATCH(1,('3. Enter Indicator Scores'!$B$10:$B$161=$B44)*('3. Enter Indicator Scores'!$C$10:$C$161=$C44),0),
  _xlpm.c, MATCH(AR$8,'3. Enter Indicator Scores'!$D$8:$CZ$8,0),
  _xlpm.v, IFERROR(INDEX('3. Enter Indicator Scores'!$D$10:$CZ$161,_xlpm.r,_xlpm.c),""),
  IF(OR(_xlpm.w="",_xlpm.v=""),"",_xlpm.v*_xlpm.w)
)</f>
        <v/>
      </c>
      <c r="AS44" s="93" t="str" cm="1">
        <f t="array" ref="AS44">_xlfn.LET(
  _xlpm.w, AS$11,
  _xlpm.r, MATCH(1,('3. Enter Indicator Scores'!$B$10:$B$161=$B44)*('3. Enter Indicator Scores'!$C$10:$C$161=$C44),0),
  _xlpm.c, MATCH(AS$8,'3. Enter Indicator Scores'!$D$8:$CZ$8,0),
  _xlpm.v, IFERROR(INDEX('3. Enter Indicator Scores'!$D$10:$CZ$161,_xlpm.r,_xlpm.c),""),
  IF(OR(_xlpm.w="",_xlpm.v=""),"",_xlpm.v*_xlpm.w)
)</f>
        <v/>
      </c>
      <c r="AT44" s="93" t="str" cm="1">
        <f t="array" ref="AT44">_xlfn.LET(
  _xlpm.w, AT$11,
  _xlpm.r, MATCH(1,('3. Enter Indicator Scores'!$B$10:$B$161=$B44)*('3. Enter Indicator Scores'!$C$10:$C$161=$C44),0),
  _xlpm.c, MATCH(AT$8,'3. Enter Indicator Scores'!$D$8:$CZ$8,0),
  _xlpm.v, IFERROR(INDEX('3. Enter Indicator Scores'!$D$10:$CZ$161,_xlpm.r,_xlpm.c),""),
  IF(OR(_xlpm.w="",_xlpm.v=""),"",_xlpm.v*_xlpm.w)
)</f>
        <v/>
      </c>
      <c r="AU44" s="93" t="str" cm="1">
        <f t="array" ref="AU44">_xlfn.LET(
  _xlpm.w, AU$11,
  _xlpm.r, MATCH(1,('3. Enter Indicator Scores'!$B$10:$B$161=$B44)*('3. Enter Indicator Scores'!$C$10:$C$161=$C44),0),
  _xlpm.c, MATCH(AU$8,'3. Enter Indicator Scores'!$D$8:$CZ$8,0),
  _xlpm.v, IFERROR(INDEX('3. Enter Indicator Scores'!$D$10:$CZ$161,_xlpm.r,_xlpm.c),""),
  IF(OR(_xlpm.w="",_xlpm.v=""),"",_xlpm.v*_xlpm.w)
)</f>
        <v/>
      </c>
      <c r="AV44" s="93" t="str" cm="1">
        <f t="array" ref="AV44">_xlfn.LET(
  _xlpm.w, AV$11,
  _xlpm.r, MATCH(1,('3. Enter Indicator Scores'!$B$10:$B$161=$B44)*('3. Enter Indicator Scores'!$C$10:$C$161=$C44),0),
  _xlpm.c, MATCH(AV$8,'3. Enter Indicator Scores'!$D$8:$CZ$8,0),
  _xlpm.v, IFERROR(INDEX('3. Enter Indicator Scores'!$D$10:$CZ$161,_xlpm.r,_xlpm.c),""),
  IF(OR(_xlpm.w="",_xlpm.v=""),"",_xlpm.v*_xlpm.w)
)</f>
        <v/>
      </c>
      <c r="AW44" s="93" t="str" cm="1">
        <f t="array" ref="AW44">_xlfn.LET(
  _xlpm.w, AW$11,
  _xlpm.r, MATCH(1,('3. Enter Indicator Scores'!$B$10:$B$161=$B44)*('3. Enter Indicator Scores'!$C$10:$C$161=$C44),0),
  _xlpm.c, MATCH(AW$8,'3. Enter Indicator Scores'!$D$8:$CZ$8,0),
  _xlpm.v, IFERROR(INDEX('3. Enter Indicator Scores'!$D$10:$CZ$161,_xlpm.r,_xlpm.c),""),
  IF(OR(_xlpm.w="",_xlpm.v=""),"",_xlpm.v*_xlpm.w)
)</f>
        <v/>
      </c>
      <c r="AX44" s="93" t="str" cm="1">
        <f t="array" ref="AX44">_xlfn.LET(
  _xlpm.w, AX$11,
  _xlpm.r, MATCH(1,('3. Enter Indicator Scores'!$B$10:$B$161=$B44)*('3. Enter Indicator Scores'!$C$10:$C$161=$C44),0),
  _xlpm.c, MATCH(AX$8,'3. Enter Indicator Scores'!$D$8:$CZ$8,0),
  _xlpm.v, IFERROR(INDEX('3. Enter Indicator Scores'!$D$10:$CZ$161,_xlpm.r,_xlpm.c),""),
  IF(OR(_xlpm.w="",_xlpm.v=""),"",_xlpm.v*_xlpm.w)
)</f>
        <v/>
      </c>
      <c r="AY44" s="93" t="str" cm="1">
        <f t="array" ref="AY44">_xlfn.LET(
  _xlpm.w, AY$11,
  _xlpm.r, MATCH(1,('3. Enter Indicator Scores'!$B$10:$B$161=$B44)*('3. Enter Indicator Scores'!$C$10:$C$161=$C44),0),
  _xlpm.c, MATCH(AY$8,'3. Enter Indicator Scores'!$D$8:$CZ$8,0),
  _xlpm.v, IFERROR(INDEX('3. Enter Indicator Scores'!$D$10:$CZ$161,_xlpm.r,_xlpm.c),""),
  IF(OR(_xlpm.w="",_xlpm.v=""),"",_xlpm.v*_xlpm.w)
)</f>
        <v/>
      </c>
      <c r="AZ44" s="93" t="str" cm="1">
        <f t="array" ref="AZ44">_xlfn.LET(
  _xlpm.w, AZ$11,
  _xlpm.r, MATCH(1,('3. Enter Indicator Scores'!$B$10:$B$161=$B44)*('3. Enter Indicator Scores'!$C$10:$C$161=$C44),0),
  _xlpm.c, MATCH(AZ$8,'3. Enter Indicator Scores'!$D$8:$CZ$8,0),
  _xlpm.v, IFERROR(INDEX('3. Enter Indicator Scores'!$D$10:$CZ$161,_xlpm.r,_xlpm.c),""),
  IF(OR(_xlpm.w="",_xlpm.v=""),"",_xlpm.v*_xlpm.w)
)</f>
        <v/>
      </c>
      <c r="BA44" s="93" t="str" cm="1">
        <f t="array" ref="BA44">_xlfn.LET(
  _xlpm.w, BA$11,
  _xlpm.r, MATCH(1,('3. Enter Indicator Scores'!$B$10:$B$161=$B44)*('3. Enter Indicator Scores'!$C$10:$C$161=$C44),0),
  _xlpm.c, MATCH(BA$8,'3. Enter Indicator Scores'!$D$8:$CZ$8,0),
  _xlpm.v, IFERROR(INDEX('3. Enter Indicator Scores'!$D$10:$CZ$161,_xlpm.r,_xlpm.c),""),
  IF(OR(_xlpm.w="",_xlpm.v=""),"",_xlpm.v*_xlpm.w)
)</f>
        <v/>
      </c>
      <c r="BB44" s="93" t="str" cm="1">
        <f t="array" ref="BB44">_xlfn.LET(
  _xlpm.w, BB$11,
  _xlpm.r, MATCH(1,('3. Enter Indicator Scores'!$B$10:$B$161=$B44)*('3. Enter Indicator Scores'!$C$10:$C$161=$C44),0),
  _xlpm.c, MATCH(BB$8,'3. Enter Indicator Scores'!$D$8:$CZ$8,0),
  _xlpm.v, IFERROR(INDEX('3. Enter Indicator Scores'!$D$10:$CZ$161,_xlpm.r,_xlpm.c),""),
  IF(OR(_xlpm.w="",_xlpm.v=""),"",_xlpm.v*_xlpm.w)
)</f>
        <v/>
      </c>
      <c r="BC44" s="93" t="str" cm="1">
        <f t="array" ref="BC44">_xlfn.LET(
  _xlpm.w, BC$11,
  _xlpm.r, MATCH(1,('3. Enter Indicator Scores'!$B$10:$B$161=$B44)*('3. Enter Indicator Scores'!$C$10:$C$161=$C44),0),
  _xlpm.c, MATCH(BC$8,'3. Enter Indicator Scores'!$D$8:$CZ$8,0),
  _xlpm.v, IFERROR(INDEX('3. Enter Indicator Scores'!$D$10:$CZ$161,_xlpm.r,_xlpm.c),""),
  IF(OR(_xlpm.w="",_xlpm.v=""),"",_xlpm.v*_xlpm.w)
)</f>
        <v/>
      </c>
      <c r="BD44" s="93" t="str" cm="1">
        <f t="array" ref="BD44">_xlfn.LET(
  _xlpm.w, BD$11,
  _xlpm.r, MATCH(1,('3. Enter Indicator Scores'!$B$10:$B$161=$B44)*('3. Enter Indicator Scores'!$C$10:$C$161=$C44),0),
  _xlpm.c, MATCH(BD$8,'3. Enter Indicator Scores'!$D$8:$CZ$8,0),
  _xlpm.v, IFERROR(INDEX('3. Enter Indicator Scores'!$D$10:$CZ$161,_xlpm.r,_xlpm.c),""),
  IF(OR(_xlpm.w="",_xlpm.v=""),"",_xlpm.v*_xlpm.w)
)</f>
        <v/>
      </c>
      <c r="BE44" s="93" t="str" cm="1">
        <f t="array" ref="BE44">_xlfn.LET(
  _xlpm.w, BE$11,
  _xlpm.r, MATCH(1,('3. Enter Indicator Scores'!$B$10:$B$161=$B44)*('3. Enter Indicator Scores'!$C$10:$C$161=$C44),0),
  _xlpm.c, MATCH(BE$8,'3. Enter Indicator Scores'!$D$8:$CZ$8,0),
  _xlpm.v, IFERROR(INDEX('3. Enter Indicator Scores'!$D$10:$CZ$161,_xlpm.r,_xlpm.c),""),
  IF(OR(_xlpm.w="",_xlpm.v=""),"",_xlpm.v*_xlpm.w)
)</f>
        <v/>
      </c>
      <c r="BF44" s="93" t="str" cm="1">
        <f t="array" ref="BF44">_xlfn.LET(
  _xlpm.w, BF$11,
  _xlpm.r, MATCH(1,('3. Enter Indicator Scores'!$B$10:$B$161=$B44)*('3. Enter Indicator Scores'!$C$10:$C$161=$C44),0),
  _xlpm.c, MATCH(BF$8,'3. Enter Indicator Scores'!$D$8:$CZ$8,0),
  _xlpm.v, IFERROR(INDEX('3. Enter Indicator Scores'!$D$10:$CZ$161,_xlpm.r,_xlpm.c),""),
  IF(OR(_xlpm.w="",_xlpm.v=""),"",_xlpm.v*_xlpm.w)
)</f>
        <v/>
      </c>
      <c r="BG44" s="93" t="str" cm="1">
        <f t="array" ref="BG44">_xlfn.LET(
  _xlpm.w, BG$11,
  _xlpm.r, MATCH(1,('3. Enter Indicator Scores'!$B$10:$B$161=$B44)*('3. Enter Indicator Scores'!$C$10:$C$161=$C44),0),
  _xlpm.c, MATCH(BG$8,'3. Enter Indicator Scores'!$D$8:$CZ$8,0),
  _xlpm.v, IFERROR(INDEX('3. Enter Indicator Scores'!$D$10:$CZ$161,_xlpm.r,_xlpm.c),""),
  IF(OR(_xlpm.w="",_xlpm.v=""),"",_xlpm.v*_xlpm.w)
)</f>
        <v/>
      </c>
      <c r="BH44" s="93" t="str" cm="1">
        <f t="array" ref="BH44">_xlfn.LET(
  _xlpm.w, BH$11,
  _xlpm.r, MATCH(1,('3. Enter Indicator Scores'!$B$10:$B$161=$B44)*('3. Enter Indicator Scores'!$C$10:$C$161=$C44),0),
  _xlpm.c, MATCH(BH$8,'3. Enter Indicator Scores'!$D$8:$CZ$8,0),
  _xlpm.v, IFERROR(INDEX('3. Enter Indicator Scores'!$D$10:$CZ$161,_xlpm.r,_xlpm.c),""),
  IF(OR(_xlpm.w="",_xlpm.v=""),"",_xlpm.v*_xlpm.w)
)</f>
        <v/>
      </c>
      <c r="BI44" s="93" t="str" cm="1">
        <f t="array" ref="BI44">_xlfn.LET(
  _xlpm.w, BI$11,
  _xlpm.r, MATCH(1,('3. Enter Indicator Scores'!$B$10:$B$161=$B44)*('3. Enter Indicator Scores'!$C$10:$C$161=$C44),0),
  _xlpm.c, MATCH(BI$8,'3. Enter Indicator Scores'!$D$8:$CZ$8,0),
  _xlpm.v, IFERROR(INDEX('3. Enter Indicator Scores'!$D$10:$CZ$161,_xlpm.r,_xlpm.c),""),
  IF(OR(_xlpm.w="",_xlpm.v=""),"",_xlpm.v*_xlpm.w)
)</f>
        <v/>
      </c>
      <c r="BJ44" s="93" t="str" cm="1">
        <f t="array" ref="BJ44">_xlfn.LET(
  _xlpm.w, BJ$11,
  _xlpm.r, MATCH(1,('3. Enter Indicator Scores'!$B$10:$B$161=$B44)*('3. Enter Indicator Scores'!$C$10:$C$161=$C44),0),
  _xlpm.c, MATCH(BJ$8,'3. Enter Indicator Scores'!$D$8:$CZ$8,0),
  _xlpm.v, IFERROR(INDEX('3. Enter Indicator Scores'!$D$10:$CZ$161,_xlpm.r,_xlpm.c),""),
  IF(OR(_xlpm.w="",_xlpm.v=""),"",_xlpm.v*_xlpm.w)
)</f>
        <v/>
      </c>
      <c r="BK44" s="93" t="str" cm="1">
        <f t="array" ref="BK44">_xlfn.LET(
  _xlpm.w, BK$11,
  _xlpm.r, MATCH(1,('3. Enter Indicator Scores'!$B$10:$B$161=$B44)*('3. Enter Indicator Scores'!$C$10:$C$161=$C44),0),
  _xlpm.c, MATCH(BK$8,'3. Enter Indicator Scores'!$D$8:$CZ$8,0),
  _xlpm.v, IFERROR(INDEX('3. Enter Indicator Scores'!$D$10:$CZ$161,_xlpm.r,_xlpm.c),""),
  IF(OR(_xlpm.w="",_xlpm.v=""),"",_xlpm.v*_xlpm.w)
)</f>
        <v/>
      </c>
      <c r="BL44" s="93" t="str" cm="1">
        <f t="array" ref="BL44">_xlfn.LET(
  _xlpm.w, BL$11,
  _xlpm.r, MATCH(1,('3. Enter Indicator Scores'!$B$10:$B$161=$B44)*('3. Enter Indicator Scores'!$C$10:$C$161=$C44),0),
  _xlpm.c, MATCH(BL$8,'3. Enter Indicator Scores'!$D$8:$CZ$8,0),
  _xlpm.v, IFERROR(INDEX('3. Enter Indicator Scores'!$D$10:$CZ$161,_xlpm.r,_xlpm.c),""),
  IF(OR(_xlpm.w="",_xlpm.v=""),"",_xlpm.v*_xlpm.w)
)</f>
        <v/>
      </c>
      <c r="BM44" s="93" t="str" cm="1">
        <f t="array" ref="BM44">_xlfn.LET(
  _xlpm.w, BM$11,
  _xlpm.r, MATCH(1,('3. Enter Indicator Scores'!$B$10:$B$161=$B44)*('3. Enter Indicator Scores'!$C$10:$C$161=$C44),0),
  _xlpm.c, MATCH(BM$8,'3. Enter Indicator Scores'!$D$8:$CZ$8,0),
  _xlpm.v, IFERROR(INDEX('3. Enter Indicator Scores'!$D$10:$CZ$161,_xlpm.r,_xlpm.c),""),
  IF(OR(_xlpm.w="",_xlpm.v=""),"",_xlpm.v*_xlpm.w)
)</f>
        <v/>
      </c>
      <c r="BN44" s="93" t="str" cm="1">
        <f t="array" ref="BN44">_xlfn.LET(
  _xlpm.w, BN$11,
  _xlpm.r, MATCH(1,('3. Enter Indicator Scores'!$B$10:$B$161=$B44)*('3. Enter Indicator Scores'!$C$10:$C$161=$C44),0),
  _xlpm.c, MATCH(BN$8,'3. Enter Indicator Scores'!$D$8:$CZ$8,0),
  _xlpm.v, IFERROR(INDEX('3. Enter Indicator Scores'!$D$10:$CZ$161,_xlpm.r,_xlpm.c),""),
  IF(OR(_xlpm.w="",_xlpm.v=""),"",_xlpm.v*_xlpm.w)
)</f>
        <v/>
      </c>
      <c r="BO44" s="93" t="str" cm="1">
        <f t="array" ref="BO44">_xlfn.LET(
  _xlpm.w, BO$11,
  _xlpm.r, MATCH(1,('3. Enter Indicator Scores'!$B$10:$B$161=$B44)*('3. Enter Indicator Scores'!$C$10:$C$161=$C44),0),
  _xlpm.c, MATCH(BO$8,'3. Enter Indicator Scores'!$D$8:$CZ$8,0),
  _xlpm.v, IFERROR(INDEX('3. Enter Indicator Scores'!$D$10:$CZ$161,_xlpm.r,_xlpm.c),""),
  IF(OR(_xlpm.w="",_xlpm.v=""),"",_xlpm.v*_xlpm.w)
)</f>
        <v/>
      </c>
      <c r="BP44" s="93" t="str" cm="1">
        <f t="array" ref="BP44">_xlfn.LET(
  _xlpm.w, BP$11,
  _xlpm.r, MATCH(1,('3. Enter Indicator Scores'!$B$10:$B$161=$B44)*('3. Enter Indicator Scores'!$C$10:$C$161=$C44),0),
  _xlpm.c, MATCH(BP$8,'3. Enter Indicator Scores'!$D$8:$CZ$8,0),
  _xlpm.v, IFERROR(INDEX('3. Enter Indicator Scores'!$D$10:$CZ$161,_xlpm.r,_xlpm.c),""),
  IF(OR(_xlpm.w="",_xlpm.v=""),"",_xlpm.v*_xlpm.w)
)</f>
        <v/>
      </c>
      <c r="BQ44" s="93" t="str" cm="1">
        <f t="array" ref="BQ44">_xlfn.LET(
  _xlpm.w, BQ$11,
  _xlpm.r, MATCH(1,('3. Enter Indicator Scores'!$B$10:$B$161=$B44)*('3. Enter Indicator Scores'!$C$10:$C$161=$C44),0),
  _xlpm.c, MATCH(BQ$8,'3. Enter Indicator Scores'!$D$8:$CZ$8,0),
  _xlpm.v, IFERROR(INDEX('3. Enter Indicator Scores'!$D$10:$CZ$161,_xlpm.r,_xlpm.c),""),
  IF(OR(_xlpm.w="",_xlpm.v=""),"",_xlpm.v*_xlpm.w)
)</f>
        <v/>
      </c>
      <c r="BR44" s="93" t="str" cm="1">
        <f t="array" ref="BR44">_xlfn.LET(
  _xlpm.w, BR$11,
  _xlpm.r, MATCH(1,('3. Enter Indicator Scores'!$B$10:$B$161=$B44)*('3. Enter Indicator Scores'!$C$10:$C$161=$C44),0),
  _xlpm.c, MATCH(BR$8,'3. Enter Indicator Scores'!$D$8:$CZ$8,0),
  _xlpm.v, IFERROR(INDEX('3. Enter Indicator Scores'!$D$10:$CZ$161,_xlpm.r,_xlpm.c),""),
  IF(OR(_xlpm.w="",_xlpm.v=""),"",_xlpm.v*_xlpm.w)
)</f>
        <v/>
      </c>
      <c r="BS44" s="93" t="str" cm="1">
        <f t="array" ref="BS44">_xlfn.LET(
  _xlpm.w, BS$11,
  _xlpm.r, MATCH(1,('3. Enter Indicator Scores'!$B$10:$B$161=$B44)*('3. Enter Indicator Scores'!$C$10:$C$161=$C44),0),
  _xlpm.c, MATCH(BS$8,'3. Enter Indicator Scores'!$D$8:$CZ$8,0),
  _xlpm.v, IFERROR(INDEX('3. Enter Indicator Scores'!$D$10:$CZ$161,_xlpm.r,_xlpm.c),""),
  IF(OR(_xlpm.w="",_xlpm.v=""),"",_xlpm.v*_xlpm.w)
)</f>
        <v/>
      </c>
      <c r="BT44" s="93" t="str" cm="1">
        <f t="array" ref="BT44">_xlfn.LET(
  _xlpm.w, BT$11,
  _xlpm.r, MATCH(1,('3. Enter Indicator Scores'!$B$10:$B$161=$B44)*('3. Enter Indicator Scores'!$C$10:$C$161=$C44),0),
  _xlpm.c, MATCH(BT$8,'3. Enter Indicator Scores'!$D$8:$CZ$8,0),
  _xlpm.v, IFERROR(INDEX('3. Enter Indicator Scores'!$D$10:$CZ$161,_xlpm.r,_xlpm.c),""),
  IF(OR(_xlpm.w="",_xlpm.v=""),"",_xlpm.v*_xlpm.w)
)</f>
        <v/>
      </c>
      <c r="BU44" s="93" t="str" cm="1">
        <f t="array" ref="BU44">_xlfn.LET(
  _xlpm.w, BU$11,
  _xlpm.r, MATCH(1,('3. Enter Indicator Scores'!$B$10:$B$161=$B44)*('3. Enter Indicator Scores'!$C$10:$C$161=$C44),0),
  _xlpm.c, MATCH(BU$8,'3. Enter Indicator Scores'!$D$8:$CZ$8,0),
  _xlpm.v, IFERROR(INDEX('3. Enter Indicator Scores'!$D$10:$CZ$161,_xlpm.r,_xlpm.c),""),
  IF(OR(_xlpm.w="",_xlpm.v=""),"",_xlpm.v*_xlpm.w)
)</f>
        <v/>
      </c>
      <c r="BV44" s="93" t="str" cm="1">
        <f t="array" ref="BV44">_xlfn.LET(
  _xlpm.w, BV$11,
  _xlpm.r, MATCH(1,('3. Enter Indicator Scores'!$B$10:$B$161=$B44)*('3. Enter Indicator Scores'!$C$10:$C$161=$C44),0),
  _xlpm.c, MATCH(BV$8,'3. Enter Indicator Scores'!$D$8:$CZ$8,0),
  _xlpm.v, IFERROR(INDEX('3. Enter Indicator Scores'!$D$10:$CZ$161,_xlpm.r,_xlpm.c),""),
  IF(OR(_xlpm.w="",_xlpm.v=""),"",_xlpm.v*_xlpm.w)
)</f>
        <v/>
      </c>
      <c r="BW44" s="93" t="str" cm="1">
        <f t="array" ref="BW44">_xlfn.LET(
  _xlpm.w, BW$11,
  _xlpm.r, MATCH(1,('3. Enter Indicator Scores'!$B$10:$B$161=$B44)*('3. Enter Indicator Scores'!$C$10:$C$161=$C44),0),
  _xlpm.c, MATCH(BW$8,'3. Enter Indicator Scores'!$D$8:$CZ$8,0),
  _xlpm.v, IFERROR(INDEX('3. Enter Indicator Scores'!$D$10:$CZ$161,_xlpm.r,_xlpm.c),""),
  IF(OR(_xlpm.w="",_xlpm.v=""),"",_xlpm.v*_xlpm.w)
)</f>
        <v/>
      </c>
      <c r="BX44" s="93" t="str" cm="1">
        <f t="array" ref="BX44">_xlfn.LET(
  _xlpm.w, BX$11,
  _xlpm.r, MATCH(1,('3. Enter Indicator Scores'!$B$10:$B$161=$B44)*('3. Enter Indicator Scores'!$C$10:$C$161=$C44),0),
  _xlpm.c, MATCH(BX$8,'3. Enter Indicator Scores'!$D$8:$CZ$8,0),
  _xlpm.v, IFERROR(INDEX('3. Enter Indicator Scores'!$D$10:$CZ$161,_xlpm.r,_xlpm.c),""),
  IF(OR(_xlpm.w="",_xlpm.v=""),"",_xlpm.v*_xlpm.w)
)</f>
        <v/>
      </c>
      <c r="BY44" s="93" t="str" cm="1">
        <f t="array" ref="BY44">_xlfn.LET(
  _xlpm.w, BY$11,
  _xlpm.r, MATCH(1,('3. Enter Indicator Scores'!$B$10:$B$161=$B44)*('3. Enter Indicator Scores'!$C$10:$C$161=$C44),0),
  _xlpm.c, MATCH(BY$8,'3. Enter Indicator Scores'!$D$8:$CZ$8,0),
  _xlpm.v, IFERROR(INDEX('3. Enter Indicator Scores'!$D$10:$CZ$161,_xlpm.r,_xlpm.c),""),
  IF(OR(_xlpm.w="",_xlpm.v=""),"",_xlpm.v*_xlpm.w)
)</f>
        <v/>
      </c>
      <c r="BZ44" s="93" t="str" cm="1">
        <f t="array" ref="BZ44">_xlfn.LET(
  _xlpm.w, BZ$11,
  _xlpm.r, MATCH(1,('3. Enter Indicator Scores'!$B$10:$B$161=$B44)*('3. Enter Indicator Scores'!$C$10:$C$161=$C44),0),
  _xlpm.c, MATCH(BZ$8,'3. Enter Indicator Scores'!$D$8:$CZ$8,0),
  _xlpm.v, IFERROR(INDEX('3. Enter Indicator Scores'!$D$10:$CZ$161,_xlpm.r,_xlpm.c),""),
  IF(OR(_xlpm.w="",_xlpm.v=""),"",_xlpm.v*_xlpm.w)
)</f>
        <v/>
      </c>
      <c r="CA44" s="93" t="str" cm="1">
        <f t="array" ref="CA44">_xlfn.LET(
  _xlpm.w, CA$11,
  _xlpm.r, MATCH(1,('3. Enter Indicator Scores'!$B$10:$B$161=$B44)*('3. Enter Indicator Scores'!$C$10:$C$161=$C44),0),
  _xlpm.c, MATCH(CA$8,'3. Enter Indicator Scores'!$D$8:$CZ$8,0),
  _xlpm.v, IFERROR(INDEX('3. Enter Indicator Scores'!$D$10:$CZ$161,_xlpm.r,_xlpm.c),""),
  IF(OR(_xlpm.w="",_xlpm.v=""),"",_xlpm.v*_xlpm.w)
)</f>
        <v/>
      </c>
      <c r="CB44" s="93" t="str" cm="1">
        <f t="array" ref="CB44">_xlfn.LET(
  _xlpm.w, CB$11,
  _xlpm.r, MATCH(1,('3. Enter Indicator Scores'!$B$10:$B$161=$B44)*('3. Enter Indicator Scores'!$C$10:$C$161=$C44),0),
  _xlpm.c, MATCH(CB$8,'3. Enter Indicator Scores'!$D$8:$CZ$8,0),
  _xlpm.v, IFERROR(INDEX('3. Enter Indicator Scores'!$D$10:$CZ$161,_xlpm.r,_xlpm.c),""),
  IF(OR(_xlpm.w="",_xlpm.v=""),"",_xlpm.v*_xlpm.w)
)</f>
        <v/>
      </c>
      <c r="CC44" s="93" t="str" cm="1">
        <f t="array" ref="CC44">_xlfn.LET(
  _xlpm.w, CC$11,
  _xlpm.r, MATCH(1,('3. Enter Indicator Scores'!$B$10:$B$161=$B44)*('3. Enter Indicator Scores'!$C$10:$C$161=$C44),0),
  _xlpm.c, MATCH(CC$8,'3. Enter Indicator Scores'!$D$8:$CZ$8,0),
  _xlpm.v, IFERROR(INDEX('3. Enter Indicator Scores'!$D$10:$CZ$161,_xlpm.r,_xlpm.c),""),
  IF(OR(_xlpm.w="",_xlpm.v=""),"",_xlpm.v*_xlpm.w)
)</f>
        <v/>
      </c>
      <c r="CD44" s="93" t="str" cm="1">
        <f t="array" ref="CD44">_xlfn.LET(
  _xlpm.w, CD$11,
  _xlpm.r, MATCH(1,('3. Enter Indicator Scores'!$B$10:$B$161=$B44)*('3. Enter Indicator Scores'!$C$10:$C$161=$C44),0),
  _xlpm.c, MATCH(CD$8,'3. Enter Indicator Scores'!$D$8:$CZ$8,0),
  _xlpm.v, IFERROR(INDEX('3. Enter Indicator Scores'!$D$10:$CZ$161,_xlpm.r,_xlpm.c),""),
  IF(OR(_xlpm.w="",_xlpm.v=""),"",_xlpm.v*_xlpm.w)
)</f>
        <v/>
      </c>
      <c r="CE44" s="93" t="str" cm="1">
        <f t="array" ref="CE44">_xlfn.LET(
  _xlpm.w, CE$11,
  _xlpm.r, MATCH(1,('3. Enter Indicator Scores'!$B$10:$B$161=$B44)*('3. Enter Indicator Scores'!$C$10:$C$161=$C44),0),
  _xlpm.c, MATCH(CE$8,'3. Enter Indicator Scores'!$D$8:$CZ$8,0),
  _xlpm.v, IFERROR(INDEX('3. Enter Indicator Scores'!$D$10:$CZ$161,_xlpm.r,_xlpm.c),""),
  IF(OR(_xlpm.w="",_xlpm.v=""),"",_xlpm.v*_xlpm.w)
)</f>
        <v/>
      </c>
      <c r="CF44" s="93" t="str" cm="1">
        <f t="array" ref="CF44">_xlfn.LET(
  _xlpm.w, CF$11,
  _xlpm.r, MATCH(1,('3. Enter Indicator Scores'!$B$10:$B$161=$B44)*('3. Enter Indicator Scores'!$C$10:$C$161=$C44),0),
  _xlpm.c, MATCH(CF$8,'3. Enter Indicator Scores'!$D$8:$CZ$8,0),
  _xlpm.v, IFERROR(INDEX('3. Enter Indicator Scores'!$D$10:$CZ$161,_xlpm.r,_xlpm.c),""),
  IF(OR(_xlpm.w="",_xlpm.v=""),"",_xlpm.v*_xlpm.w)
)</f>
        <v/>
      </c>
      <c r="CG44" s="93" t="str" cm="1">
        <f t="array" ref="CG44">_xlfn.LET(
  _xlpm.w, CG$11,
  _xlpm.r, MATCH(1,('3. Enter Indicator Scores'!$B$10:$B$161=$B44)*('3. Enter Indicator Scores'!$C$10:$C$161=$C44),0),
  _xlpm.c, MATCH(CG$8,'3. Enter Indicator Scores'!$D$8:$CZ$8,0),
  _xlpm.v, IFERROR(INDEX('3. Enter Indicator Scores'!$D$10:$CZ$161,_xlpm.r,_xlpm.c),""),
  IF(OR(_xlpm.w="",_xlpm.v=""),"",_xlpm.v*_xlpm.w)
)</f>
        <v/>
      </c>
      <c r="CH44" s="93" t="str" cm="1">
        <f t="array" ref="CH44">_xlfn.LET(
  _xlpm.w, CH$11,
  _xlpm.r, MATCH(1,('3. Enter Indicator Scores'!$B$10:$B$161=$B44)*('3. Enter Indicator Scores'!$C$10:$C$161=$C44),0),
  _xlpm.c, MATCH(CH$8,'3. Enter Indicator Scores'!$D$8:$CZ$8,0),
  _xlpm.v, IFERROR(INDEX('3. Enter Indicator Scores'!$D$10:$CZ$161,_xlpm.r,_xlpm.c),""),
  IF(OR(_xlpm.w="",_xlpm.v=""),"",_xlpm.v*_xlpm.w)
)</f>
        <v/>
      </c>
      <c r="CI44" s="93" t="str" cm="1">
        <f t="array" ref="CI44">_xlfn.LET(
  _xlpm.w, CI$11,
  _xlpm.r, MATCH(1,('3. Enter Indicator Scores'!$B$10:$B$161=$B44)*('3. Enter Indicator Scores'!$C$10:$C$161=$C44),0),
  _xlpm.c, MATCH(CI$8,'3. Enter Indicator Scores'!$D$8:$CZ$8,0),
  _xlpm.v, IFERROR(INDEX('3. Enter Indicator Scores'!$D$10:$CZ$161,_xlpm.r,_xlpm.c),""),
  IF(OR(_xlpm.w="",_xlpm.v=""),"",_xlpm.v*_xlpm.w)
)</f>
        <v/>
      </c>
      <c r="CJ44" s="93" t="str" cm="1">
        <f t="array" ref="CJ44">_xlfn.LET(
  _xlpm.w, CJ$11,
  _xlpm.r, MATCH(1,('3. Enter Indicator Scores'!$B$10:$B$161=$B44)*('3. Enter Indicator Scores'!$C$10:$C$161=$C44),0),
  _xlpm.c, MATCH(CJ$8,'3. Enter Indicator Scores'!$D$8:$CZ$8,0),
  _xlpm.v, IFERROR(INDEX('3. Enter Indicator Scores'!$D$10:$CZ$161,_xlpm.r,_xlpm.c),""),
  IF(OR(_xlpm.w="",_xlpm.v=""),"",_xlpm.v*_xlpm.w)
)</f>
        <v/>
      </c>
      <c r="CK44" s="93" t="str" cm="1">
        <f t="array" ref="CK44">_xlfn.LET(
  _xlpm.w, CK$11,
  _xlpm.r, MATCH(1,('3. Enter Indicator Scores'!$B$10:$B$161=$B44)*('3. Enter Indicator Scores'!$C$10:$C$161=$C44),0),
  _xlpm.c, MATCH(CK$8,'3. Enter Indicator Scores'!$D$8:$CZ$8,0),
  _xlpm.v, IFERROR(INDEX('3. Enter Indicator Scores'!$D$10:$CZ$161,_xlpm.r,_xlpm.c),""),
  IF(OR(_xlpm.w="",_xlpm.v=""),"",_xlpm.v*_xlpm.w)
)</f>
        <v/>
      </c>
      <c r="CL44" s="93" t="str" cm="1">
        <f t="array" ref="CL44">_xlfn.LET(
  _xlpm.w, CL$11,
  _xlpm.r, MATCH(1,('3. Enter Indicator Scores'!$B$10:$B$161=$B44)*('3. Enter Indicator Scores'!$C$10:$C$161=$C44),0),
  _xlpm.c, MATCH(CL$8,'3. Enter Indicator Scores'!$D$8:$CZ$8,0),
  _xlpm.v, IFERROR(INDEX('3. Enter Indicator Scores'!$D$10:$CZ$161,_xlpm.r,_xlpm.c),""),
  IF(OR(_xlpm.w="",_xlpm.v=""),"",_xlpm.v*_xlpm.w)
)</f>
        <v/>
      </c>
      <c r="CM44" s="93" t="str" cm="1">
        <f t="array" ref="CM44">_xlfn.LET(
  _xlpm.w, CM$11,
  _xlpm.r, MATCH(1,('3. Enter Indicator Scores'!$B$10:$B$161=$B44)*('3. Enter Indicator Scores'!$C$10:$C$161=$C44),0),
  _xlpm.c, MATCH(CM$8,'3. Enter Indicator Scores'!$D$8:$CZ$8,0),
  _xlpm.v, IFERROR(INDEX('3. Enter Indicator Scores'!$D$10:$CZ$161,_xlpm.r,_xlpm.c),""),
  IF(OR(_xlpm.w="",_xlpm.v=""),"",_xlpm.v*_xlpm.w)
)</f>
        <v/>
      </c>
      <c r="CN44" s="93" t="str" cm="1">
        <f t="array" ref="CN44">_xlfn.LET(
  _xlpm.w, CN$11,
  _xlpm.r, MATCH(1,('3. Enter Indicator Scores'!$B$10:$B$161=$B44)*('3. Enter Indicator Scores'!$C$10:$C$161=$C44),0),
  _xlpm.c, MATCH(CN$8,'3. Enter Indicator Scores'!$D$8:$CZ$8,0),
  _xlpm.v, IFERROR(INDEX('3. Enter Indicator Scores'!$D$10:$CZ$161,_xlpm.r,_xlpm.c),""),
  IF(OR(_xlpm.w="",_xlpm.v=""),"",_xlpm.v*_xlpm.w)
)</f>
        <v/>
      </c>
      <c r="CO44" s="93" t="str" cm="1">
        <f t="array" ref="CO44">_xlfn.LET(
  _xlpm.w, CO$11,
  _xlpm.r, MATCH(1,('3. Enter Indicator Scores'!$B$10:$B$161=$B44)*('3. Enter Indicator Scores'!$C$10:$C$161=$C44),0),
  _xlpm.c, MATCH(CO$8,'3. Enter Indicator Scores'!$D$8:$CZ$8,0),
  _xlpm.v, IFERROR(INDEX('3. Enter Indicator Scores'!$D$10:$CZ$161,_xlpm.r,_xlpm.c),""),
  IF(OR(_xlpm.w="",_xlpm.v=""),"",_xlpm.v*_xlpm.w)
)</f>
        <v/>
      </c>
      <c r="CP44" s="93" t="str" cm="1">
        <f t="array" ref="CP44">_xlfn.LET(
  _xlpm.w, CP$11,
  _xlpm.r, MATCH(1,('3. Enter Indicator Scores'!$B$10:$B$161=$B44)*('3. Enter Indicator Scores'!$C$10:$C$161=$C44),0),
  _xlpm.c, MATCH(CP$8,'3. Enter Indicator Scores'!$D$8:$CZ$8,0),
  _xlpm.v, IFERROR(INDEX('3. Enter Indicator Scores'!$D$10:$CZ$161,_xlpm.r,_xlpm.c),""),
  IF(OR(_xlpm.w="",_xlpm.v=""),"",_xlpm.v*_xlpm.w)
)</f>
        <v/>
      </c>
      <c r="CQ44" s="93" t="str" cm="1">
        <f t="array" ref="CQ44">_xlfn.LET(
  _xlpm.w, CQ$11,
  _xlpm.r, MATCH(1,('3. Enter Indicator Scores'!$B$10:$B$161=$B44)*('3. Enter Indicator Scores'!$C$10:$C$161=$C44),0),
  _xlpm.c, MATCH(CQ$8,'3. Enter Indicator Scores'!$D$8:$CZ$8,0),
  _xlpm.v, IFERROR(INDEX('3. Enter Indicator Scores'!$D$10:$CZ$161,_xlpm.r,_xlpm.c),""),
  IF(OR(_xlpm.w="",_xlpm.v=""),"",_xlpm.v*_xlpm.w)
)</f>
        <v/>
      </c>
      <c r="CR44" s="93" t="str" cm="1">
        <f t="array" ref="CR44">_xlfn.LET(
  _xlpm.w, CR$11,
  _xlpm.r, MATCH(1,('3. Enter Indicator Scores'!$B$10:$B$161=$B44)*('3. Enter Indicator Scores'!$C$10:$C$161=$C44),0),
  _xlpm.c, MATCH(CR$8,'3. Enter Indicator Scores'!$D$8:$CZ$8,0),
  _xlpm.v, IFERROR(INDEX('3. Enter Indicator Scores'!$D$10:$CZ$161,_xlpm.r,_xlpm.c),""),
  IF(OR(_xlpm.w="",_xlpm.v=""),"",_xlpm.v*_xlpm.w)
)</f>
        <v/>
      </c>
      <c r="CS44" s="93" t="str" cm="1">
        <f t="array" ref="CS44">_xlfn.LET(
  _xlpm.w, CS$11,
  _xlpm.r, MATCH(1,('3. Enter Indicator Scores'!$B$10:$B$161=$B44)*('3. Enter Indicator Scores'!$C$10:$C$161=$C44),0),
  _xlpm.c, MATCH(CS$8,'3. Enter Indicator Scores'!$D$8:$CZ$8,0),
  _xlpm.v, IFERROR(INDEX('3. Enter Indicator Scores'!$D$10:$CZ$161,_xlpm.r,_xlpm.c),""),
  IF(OR(_xlpm.w="",_xlpm.v=""),"",_xlpm.v*_xlpm.w)
)</f>
        <v/>
      </c>
      <c r="CT44" s="93" t="str" cm="1">
        <f t="array" ref="CT44">_xlfn.LET(
  _xlpm.w, CT$11,
  _xlpm.r, MATCH(1,('3. Enter Indicator Scores'!$B$10:$B$161=$B44)*('3. Enter Indicator Scores'!$C$10:$C$161=$C44),0),
  _xlpm.c, MATCH(CT$8,'3. Enter Indicator Scores'!$D$8:$CZ$8,0),
  _xlpm.v, IFERROR(INDEX('3. Enter Indicator Scores'!$D$10:$CZ$161,_xlpm.r,_xlpm.c),""),
  IF(OR(_xlpm.w="",_xlpm.v=""),"",_xlpm.v*_xlpm.w)
)</f>
        <v/>
      </c>
      <c r="CU44" s="93" t="str" cm="1">
        <f t="array" ref="CU44">_xlfn.LET(
  _xlpm.w, CU$11,
  _xlpm.r, MATCH(1,('3. Enter Indicator Scores'!$B$10:$B$161=$B44)*('3. Enter Indicator Scores'!$C$10:$C$161=$C44),0),
  _xlpm.c, MATCH(CU$8,'3. Enter Indicator Scores'!$D$8:$CZ$8,0),
  _xlpm.v, IFERROR(INDEX('3. Enter Indicator Scores'!$D$10:$CZ$161,_xlpm.r,_xlpm.c),""),
  IF(OR(_xlpm.w="",_xlpm.v=""),"",_xlpm.v*_xlpm.w)
)</f>
        <v/>
      </c>
      <c r="CV44" s="93" t="str" cm="1">
        <f t="array" ref="CV44">_xlfn.LET(
  _xlpm.w, CV$11,
  _xlpm.r, MATCH(1,('3. Enter Indicator Scores'!$B$10:$B$161=$B44)*('3. Enter Indicator Scores'!$C$10:$C$161=$C44),0),
  _xlpm.c, MATCH(CV$8,'3. Enter Indicator Scores'!$D$8:$CZ$8,0),
  _xlpm.v, IFERROR(INDEX('3. Enter Indicator Scores'!$D$10:$CZ$161,_xlpm.r,_xlpm.c),""),
  IF(OR(_xlpm.w="",_xlpm.v=""),"",_xlpm.v*_xlpm.w)
)</f>
        <v/>
      </c>
      <c r="CW44" s="93" t="str" cm="1">
        <f t="array" ref="CW44">_xlfn.LET(
  _xlpm.w, CW$11,
  _xlpm.r, MATCH(1,('3. Enter Indicator Scores'!$B$10:$B$161=$B44)*('3. Enter Indicator Scores'!$C$10:$C$161=$C44),0),
  _xlpm.c, MATCH(CW$8,'3. Enter Indicator Scores'!$D$8:$CZ$8,0),
  _xlpm.v, IFERROR(INDEX('3. Enter Indicator Scores'!$D$10:$CZ$161,_xlpm.r,_xlpm.c),""),
  IF(OR(_xlpm.w="",_xlpm.v=""),"",_xlpm.v*_xlpm.w)
)</f>
        <v/>
      </c>
      <c r="CX44" s="93" t="str" cm="1">
        <f t="array" ref="CX44">_xlfn.LET(
  _xlpm.w, CX$11,
  _xlpm.r, MATCH(1,('3. Enter Indicator Scores'!$B$10:$B$161=$B44)*('3. Enter Indicator Scores'!$C$10:$C$161=$C44),0),
  _xlpm.c, MATCH(CX$8,'3. Enter Indicator Scores'!$D$8:$CZ$8,0),
  _xlpm.v, IFERROR(INDEX('3. Enter Indicator Scores'!$D$10:$CZ$161,_xlpm.r,_xlpm.c),""),
  IF(OR(_xlpm.w="",_xlpm.v=""),"",_xlpm.v*_xlpm.w)
)</f>
        <v/>
      </c>
      <c r="CY44" s="93" t="str" cm="1">
        <f t="array" ref="CY44">_xlfn.LET(
  _xlpm.w, CY$11,
  _xlpm.r, MATCH(1,('3. Enter Indicator Scores'!$B$10:$B$161=$B44)*('3. Enter Indicator Scores'!$C$10:$C$161=$C44),0),
  _xlpm.c, MATCH(CY$8,'3. Enter Indicator Scores'!$D$8:$CZ$8,0),
  _xlpm.v, IFERROR(INDEX('3. Enter Indicator Scores'!$D$10:$CZ$161,_xlpm.r,_xlpm.c),""),
  IF(OR(_xlpm.w="",_xlpm.v=""),"",_xlpm.v*_xlpm.w)
)</f>
        <v/>
      </c>
      <c r="CZ44" s="93" t="str" cm="1">
        <f t="array" ref="CZ44">_xlfn.LET(
  _xlpm.w, CZ$11,
  _xlpm.r, MATCH(1,('3. Enter Indicator Scores'!$B$10:$B$161=$B44)*('3. Enter Indicator Scores'!$C$10:$C$161=$C44),0),
  _xlpm.c, MATCH(CZ$8,'3. Enter Indicator Scores'!$D$8:$CZ$8,0),
  _xlpm.v, IFERROR(INDEX('3. Enter Indicator Scores'!$D$10:$CZ$161,_xlpm.r,_xlpm.c),""),
  IF(OR(_xlpm.w="",_xlpm.v=""),"",_xlpm.v*_xlpm.w)
)</f>
        <v/>
      </c>
    </row>
    <row r="45" spans="4:104" x14ac:dyDescent="0.2">
      <c r="D45" s="93" t="str" cm="1">
        <f t="array" ref="D45">_xlfn.LET(
  _xlpm.w, D$11,
  _xlpm.r, MATCH(1,('3. Enter Indicator Scores'!$B$10:$B$161=$B45)*('3. Enter Indicator Scores'!$C$10:$C$161=$C45),0),
  _xlpm.c, MATCH(D$8,'3. Enter Indicator Scores'!$D$8:$CZ$8,0),
  _xlpm.v, IFERROR(INDEX('3. Enter Indicator Scores'!$D$10:$CZ$161,_xlpm.r,_xlpm.c),""),
  IF(OR(_xlpm.w="",_xlpm.v=""),"",_xlpm.v*_xlpm.w)
)</f>
        <v/>
      </c>
      <c r="E45" s="93" t="str" cm="1">
        <f t="array" ref="E45">_xlfn.LET(
  _xlpm.w, E$11,
  _xlpm.r, MATCH(1,('3. Enter Indicator Scores'!$B$10:$B$161=$B45)*('3. Enter Indicator Scores'!$C$10:$C$161=$C45),0),
  _xlpm.c, MATCH(E$8,'3. Enter Indicator Scores'!$D$8:$CZ$8,0),
  _xlpm.v, IFERROR(INDEX('3. Enter Indicator Scores'!$D$10:$CZ$161,_xlpm.r,_xlpm.c),""),
  IF(OR(_xlpm.w="",_xlpm.v=""),"",_xlpm.v*_xlpm.w)
)</f>
        <v/>
      </c>
      <c r="F45" s="93" t="str" cm="1">
        <f t="array" ref="F45">_xlfn.LET(
  _xlpm.w, F$11,
  _xlpm.r, MATCH(1,('3. Enter Indicator Scores'!$B$10:$B$161=$B45)*('3. Enter Indicator Scores'!$C$10:$C$161=$C45),0),
  _xlpm.c, MATCH(F$8,'3. Enter Indicator Scores'!$D$8:$CZ$8,0),
  _xlpm.v, IFERROR(INDEX('3. Enter Indicator Scores'!$D$10:$CZ$161,_xlpm.r,_xlpm.c),""),
  IF(OR(_xlpm.w="",_xlpm.v=""),"",_xlpm.v*_xlpm.w)
)</f>
        <v/>
      </c>
      <c r="G45" s="93" t="str" cm="1">
        <f t="array" ref="G45">_xlfn.LET(
  _xlpm.w, G$11,
  _xlpm.r, MATCH(1,('3. Enter Indicator Scores'!$B$10:$B$161=$B45)*('3. Enter Indicator Scores'!$C$10:$C$161=$C45),0),
  _xlpm.c, MATCH(G$8,'3. Enter Indicator Scores'!$D$8:$CZ$8,0),
  _xlpm.v, IFERROR(INDEX('3. Enter Indicator Scores'!$D$10:$CZ$161,_xlpm.r,_xlpm.c),""),
  IF(OR(_xlpm.w="",_xlpm.v=""),"",_xlpm.v*_xlpm.w)
)</f>
        <v/>
      </c>
      <c r="H45" s="93" t="str" cm="1">
        <f t="array" ref="H45">_xlfn.LET(
  _xlpm.w, H$11,
  _xlpm.r, MATCH(1,('3. Enter Indicator Scores'!$B$10:$B$161=$B45)*('3. Enter Indicator Scores'!$C$10:$C$161=$C45),0),
  _xlpm.c, MATCH(H$8,'3. Enter Indicator Scores'!$D$8:$CZ$8,0),
  _xlpm.v, IFERROR(INDEX('3. Enter Indicator Scores'!$D$10:$CZ$161,_xlpm.r,_xlpm.c),""),
  IF(OR(_xlpm.w="",_xlpm.v=""),"",_xlpm.v*_xlpm.w)
)</f>
        <v/>
      </c>
      <c r="I45" s="93" t="str" cm="1">
        <f t="array" ref="I45">_xlfn.LET(
  _xlpm.w, I$11,
  _xlpm.r, MATCH(1,('3. Enter Indicator Scores'!$B$10:$B$161=$B45)*('3. Enter Indicator Scores'!$C$10:$C$161=$C45),0),
  _xlpm.c, MATCH(I$8,'3. Enter Indicator Scores'!$D$8:$CZ$8,0),
  _xlpm.v, IFERROR(INDEX('3. Enter Indicator Scores'!$D$10:$CZ$161,_xlpm.r,_xlpm.c),""),
  IF(OR(_xlpm.w="",_xlpm.v=""),"",_xlpm.v*_xlpm.w)
)</f>
        <v/>
      </c>
      <c r="J45" s="93" t="str" cm="1">
        <f t="array" ref="J45">_xlfn.LET(
  _xlpm.w, J$11,
  _xlpm.r, MATCH(1,('3. Enter Indicator Scores'!$B$10:$B$161=$B45)*('3. Enter Indicator Scores'!$C$10:$C$161=$C45),0),
  _xlpm.c, MATCH(J$8,'3. Enter Indicator Scores'!$D$8:$CZ$8,0),
  _xlpm.v, IFERROR(INDEX('3. Enter Indicator Scores'!$D$10:$CZ$161,_xlpm.r,_xlpm.c),""),
  IF(OR(_xlpm.w="",_xlpm.v=""),"",_xlpm.v*_xlpm.w)
)</f>
        <v/>
      </c>
      <c r="K45" s="93" t="str" cm="1">
        <f t="array" ref="K45">_xlfn.LET(
  _xlpm.w, K$11,
  _xlpm.r, MATCH(1,('3. Enter Indicator Scores'!$B$10:$B$161=$B45)*('3. Enter Indicator Scores'!$C$10:$C$161=$C45),0),
  _xlpm.c, MATCH(K$8,'3. Enter Indicator Scores'!$D$8:$CZ$8,0),
  _xlpm.v, IFERROR(INDEX('3. Enter Indicator Scores'!$D$10:$CZ$161,_xlpm.r,_xlpm.c),""),
  IF(OR(_xlpm.w="",_xlpm.v=""),"",_xlpm.v*_xlpm.w)
)</f>
        <v/>
      </c>
      <c r="L45" s="93" t="str" cm="1">
        <f t="array" ref="L45">_xlfn.LET(
  _xlpm.w, L$11,
  _xlpm.r, MATCH(1,('3. Enter Indicator Scores'!$B$10:$B$161=$B45)*('3. Enter Indicator Scores'!$C$10:$C$161=$C45),0),
  _xlpm.c, MATCH(L$8,'3. Enter Indicator Scores'!$D$8:$CZ$8,0),
  _xlpm.v, IFERROR(INDEX('3. Enter Indicator Scores'!$D$10:$CZ$161,_xlpm.r,_xlpm.c),""),
  IF(OR(_xlpm.w="",_xlpm.v=""),"",_xlpm.v*_xlpm.w)
)</f>
        <v/>
      </c>
      <c r="M45" s="93" t="str" cm="1">
        <f t="array" ref="M45">_xlfn.LET(
  _xlpm.w, M$11,
  _xlpm.r, MATCH(1,('3. Enter Indicator Scores'!$B$10:$B$161=$B45)*('3. Enter Indicator Scores'!$C$10:$C$161=$C45),0),
  _xlpm.c, MATCH(M$8,'3. Enter Indicator Scores'!$D$8:$CZ$8,0),
  _xlpm.v, IFERROR(INDEX('3. Enter Indicator Scores'!$D$10:$CZ$161,_xlpm.r,_xlpm.c),""),
  IF(OR(_xlpm.w="",_xlpm.v=""),"",_xlpm.v*_xlpm.w)
)</f>
        <v/>
      </c>
      <c r="N45" s="93" t="str" cm="1">
        <f t="array" ref="N45">_xlfn.LET(
  _xlpm.w, N$11,
  _xlpm.r, MATCH(1,('3. Enter Indicator Scores'!$B$10:$B$161=$B45)*('3. Enter Indicator Scores'!$C$10:$C$161=$C45),0),
  _xlpm.c, MATCH(N$8,'3. Enter Indicator Scores'!$D$8:$CZ$8,0),
  _xlpm.v, IFERROR(INDEX('3. Enter Indicator Scores'!$D$10:$CZ$161,_xlpm.r,_xlpm.c),""),
  IF(OR(_xlpm.w="",_xlpm.v=""),"",_xlpm.v*_xlpm.w)
)</f>
        <v/>
      </c>
      <c r="O45" s="93" t="str" cm="1">
        <f t="array" ref="O45">_xlfn.LET(
  _xlpm.w, O$11,
  _xlpm.r, MATCH(1,('3. Enter Indicator Scores'!$B$10:$B$161=$B45)*('3. Enter Indicator Scores'!$C$10:$C$161=$C45),0),
  _xlpm.c, MATCH(O$8,'3. Enter Indicator Scores'!$D$8:$CZ$8,0),
  _xlpm.v, IFERROR(INDEX('3. Enter Indicator Scores'!$D$10:$CZ$161,_xlpm.r,_xlpm.c),""),
  IF(OR(_xlpm.w="",_xlpm.v=""),"",_xlpm.v*_xlpm.w)
)</f>
        <v/>
      </c>
      <c r="P45" s="93" t="str" cm="1">
        <f t="array" ref="P45">_xlfn.LET(
  _xlpm.w, P$11,
  _xlpm.r, MATCH(1,('3. Enter Indicator Scores'!$B$10:$B$161=$B45)*('3. Enter Indicator Scores'!$C$10:$C$161=$C45),0),
  _xlpm.c, MATCH(P$8,'3. Enter Indicator Scores'!$D$8:$CZ$8,0),
  _xlpm.v, IFERROR(INDEX('3. Enter Indicator Scores'!$D$10:$CZ$161,_xlpm.r,_xlpm.c),""),
  IF(OR(_xlpm.w="",_xlpm.v=""),"",_xlpm.v*_xlpm.w)
)</f>
        <v/>
      </c>
      <c r="Q45" s="93" t="str" cm="1">
        <f t="array" ref="Q45">_xlfn.LET(
  _xlpm.w, Q$11,
  _xlpm.r, MATCH(1,('3. Enter Indicator Scores'!$B$10:$B$161=$B45)*('3. Enter Indicator Scores'!$C$10:$C$161=$C45),0),
  _xlpm.c, MATCH(Q$8,'3. Enter Indicator Scores'!$D$8:$CZ$8,0),
  _xlpm.v, IFERROR(INDEX('3. Enter Indicator Scores'!$D$10:$CZ$161,_xlpm.r,_xlpm.c),""),
  IF(OR(_xlpm.w="",_xlpm.v=""),"",_xlpm.v*_xlpm.w)
)</f>
        <v/>
      </c>
      <c r="R45" s="93" t="str" cm="1">
        <f t="array" ref="R45">_xlfn.LET(
  _xlpm.w, R$11,
  _xlpm.r, MATCH(1,('3. Enter Indicator Scores'!$B$10:$B$161=$B45)*('3. Enter Indicator Scores'!$C$10:$C$161=$C45),0),
  _xlpm.c, MATCH(R$8,'3. Enter Indicator Scores'!$D$8:$CZ$8,0),
  _xlpm.v, IFERROR(INDEX('3. Enter Indicator Scores'!$D$10:$CZ$161,_xlpm.r,_xlpm.c),""),
  IF(OR(_xlpm.w="",_xlpm.v=""),"",_xlpm.v*_xlpm.w)
)</f>
        <v/>
      </c>
      <c r="S45" s="93" t="str" cm="1">
        <f t="array" ref="S45">_xlfn.LET(
  _xlpm.w, S$11,
  _xlpm.r, MATCH(1,('3. Enter Indicator Scores'!$B$10:$B$161=$B45)*('3. Enter Indicator Scores'!$C$10:$C$161=$C45),0),
  _xlpm.c, MATCH(S$8,'3. Enter Indicator Scores'!$D$8:$CZ$8,0),
  _xlpm.v, IFERROR(INDEX('3. Enter Indicator Scores'!$D$10:$CZ$161,_xlpm.r,_xlpm.c),""),
  IF(OR(_xlpm.w="",_xlpm.v=""),"",_xlpm.v*_xlpm.w)
)</f>
        <v/>
      </c>
      <c r="T45" s="93" t="str" cm="1">
        <f t="array" ref="T45">_xlfn.LET(
  _xlpm.w, T$11,
  _xlpm.r, MATCH(1,('3. Enter Indicator Scores'!$B$10:$B$161=$B45)*('3. Enter Indicator Scores'!$C$10:$C$161=$C45),0),
  _xlpm.c, MATCH(T$8,'3. Enter Indicator Scores'!$D$8:$CZ$8,0),
  _xlpm.v, IFERROR(INDEX('3. Enter Indicator Scores'!$D$10:$CZ$161,_xlpm.r,_xlpm.c),""),
  IF(OR(_xlpm.w="",_xlpm.v=""),"",_xlpm.v*_xlpm.w)
)</f>
        <v/>
      </c>
      <c r="U45" s="93" t="str" cm="1">
        <f t="array" ref="U45">_xlfn.LET(
  _xlpm.w, U$11,
  _xlpm.r, MATCH(1,('3. Enter Indicator Scores'!$B$10:$B$161=$B45)*('3. Enter Indicator Scores'!$C$10:$C$161=$C45),0),
  _xlpm.c, MATCH(U$8,'3. Enter Indicator Scores'!$D$8:$CZ$8,0),
  _xlpm.v, IFERROR(INDEX('3. Enter Indicator Scores'!$D$10:$CZ$161,_xlpm.r,_xlpm.c),""),
  IF(OR(_xlpm.w="",_xlpm.v=""),"",_xlpm.v*_xlpm.w)
)</f>
        <v/>
      </c>
      <c r="V45" s="93" t="str" cm="1">
        <f t="array" ref="V45">_xlfn.LET(
  _xlpm.w, V$11,
  _xlpm.r, MATCH(1,('3. Enter Indicator Scores'!$B$10:$B$161=$B45)*('3. Enter Indicator Scores'!$C$10:$C$161=$C45),0),
  _xlpm.c, MATCH(V$8,'3. Enter Indicator Scores'!$D$8:$CZ$8,0),
  _xlpm.v, IFERROR(INDEX('3. Enter Indicator Scores'!$D$10:$CZ$161,_xlpm.r,_xlpm.c),""),
  IF(OR(_xlpm.w="",_xlpm.v=""),"",_xlpm.v*_xlpm.w)
)</f>
        <v/>
      </c>
      <c r="W45" s="93" t="str" cm="1">
        <f t="array" ref="W45">_xlfn.LET(
  _xlpm.w, W$11,
  _xlpm.r, MATCH(1,('3. Enter Indicator Scores'!$B$10:$B$161=$B45)*('3. Enter Indicator Scores'!$C$10:$C$161=$C45),0),
  _xlpm.c, MATCH(W$8,'3. Enter Indicator Scores'!$D$8:$CZ$8,0),
  _xlpm.v, IFERROR(INDEX('3. Enter Indicator Scores'!$D$10:$CZ$161,_xlpm.r,_xlpm.c),""),
  IF(OR(_xlpm.w="",_xlpm.v=""),"",_xlpm.v*_xlpm.w)
)</f>
        <v/>
      </c>
      <c r="X45" s="93" t="str" cm="1">
        <f t="array" ref="X45">_xlfn.LET(
  _xlpm.w, X$11,
  _xlpm.r, MATCH(1,('3. Enter Indicator Scores'!$B$10:$B$161=$B45)*('3. Enter Indicator Scores'!$C$10:$C$161=$C45),0),
  _xlpm.c, MATCH(X$8,'3. Enter Indicator Scores'!$D$8:$CZ$8,0),
  _xlpm.v, IFERROR(INDEX('3. Enter Indicator Scores'!$D$10:$CZ$161,_xlpm.r,_xlpm.c),""),
  IF(OR(_xlpm.w="",_xlpm.v=""),"",_xlpm.v*_xlpm.w)
)</f>
        <v/>
      </c>
      <c r="Y45" s="93" t="str" cm="1">
        <f t="array" ref="Y45">_xlfn.LET(
  _xlpm.w, Y$11,
  _xlpm.r, MATCH(1,('3. Enter Indicator Scores'!$B$10:$B$161=$B45)*('3. Enter Indicator Scores'!$C$10:$C$161=$C45),0),
  _xlpm.c, MATCH(Y$8,'3. Enter Indicator Scores'!$D$8:$CZ$8,0),
  _xlpm.v, IFERROR(INDEX('3. Enter Indicator Scores'!$D$10:$CZ$161,_xlpm.r,_xlpm.c),""),
  IF(OR(_xlpm.w="",_xlpm.v=""),"",_xlpm.v*_xlpm.w)
)</f>
        <v/>
      </c>
      <c r="Z45" s="93" t="str" cm="1">
        <f t="array" ref="Z45">_xlfn.LET(
  _xlpm.w, Z$11,
  _xlpm.r, MATCH(1,('3. Enter Indicator Scores'!$B$10:$B$161=$B45)*('3. Enter Indicator Scores'!$C$10:$C$161=$C45),0),
  _xlpm.c, MATCH(Z$8,'3. Enter Indicator Scores'!$D$8:$CZ$8,0),
  _xlpm.v, IFERROR(INDEX('3. Enter Indicator Scores'!$D$10:$CZ$161,_xlpm.r,_xlpm.c),""),
  IF(OR(_xlpm.w="",_xlpm.v=""),"",_xlpm.v*_xlpm.w)
)</f>
        <v/>
      </c>
      <c r="AA45" s="93" t="str" cm="1">
        <f t="array" ref="AA45">_xlfn.LET(
  _xlpm.w, AA$11,
  _xlpm.r, MATCH(1,('3. Enter Indicator Scores'!$B$10:$B$161=$B45)*('3. Enter Indicator Scores'!$C$10:$C$161=$C45),0),
  _xlpm.c, MATCH(AA$8,'3. Enter Indicator Scores'!$D$8:$CZ$8,0),
  _xlpm.v, IFERROR(INDEX('3. Enter Indicator Scores'!$D$10:$CZ$161,_xlpm.r,_xlpm.c),""),
  IF(OR(_xlpm.w="",_xlpm.v=""),"",_xlpm.v*_xlpm.w)
)</f>
        <v/>
      </c>
      <c r="AB45" s="93" t="str" cm="1">
        <f t="array" ref="AB45">_xlfn.LET(
  _xlpm.w, AB$11,
  _xlpm.r, MATCH(1,('3. Enter Indicator Scores'!$B$10:$B$161=$B45)*('3. Enter Indicator Scores'!$C$10:$C$161=$C45),0),
  _xlpm.c, MATCH(AB$8,'3. Enter Indicator Scores'!$D$8:$CZ$8,0),
  _xlpm.v, IFERROR(INDEX('3. Enter Indicator Scores'!$D$10:$CZ$161,_xlpm.r,_xlpm.c),""),
  IF(OR(_xlpm.w="",_xlpm.v=""),"",_xlpm.v*_xlpm.w)
)</f>
        <v/>
      </c>
      <c r="AC45" s="93" t="str" cm="1">
        <f t="array" ref="AC45">_xlfn.LET(
  _xlpm.w, AC$11,
  _xlpm.r, MATCH(1,('3. Enter Indicator Scores'!$B$10:$B$161=$B45)*('3. Enter Indicator Scores'!$C$10:$C$161=$C45),0),
  _xlpm.c, MATCH(AC$8,'3. Enter Indicator Scores'!$D$8:$CZ$8,0),
  _xlpm.v, IFERROR(INDEX('3. Enter Indicator Scores'!$D$10:$CZ$161,_xlpm.r,_xlpm.c),""),
  IF(OR(_xlpm.w="",_xlpm.v=""),"",_xlpm.v*_xlpm.w)
)</f>
        <v/>
      </c>
      <c r="AD45" s="93" t="str" cm="1">
        <f t="array" ref="AD45">_xlfn.LET(
  _xlpm.w, AD$11,
  _xlpm.r, MATCH(1,('3. Enter Indicator Scores'!$B$10:$B$161=$B45)*('3. Enter Indicator Scores'!$C$10:$C$161=$C45),0),
  _xlpm.c, MATCH(AD$8,'3. Enter Indicator Scores'!$D$8:$CZ$8,0),
  _xlpm.v, IFERROR(INDEX('3. Enter Indicator Scores'!$D$10:$CZ$161,_xlpm.r,_xlpm.c),""),
  IF(OR(_xlpm.w="",_xlpm.v=""),"",_xlpm.v*_xlpm.w)
)</f>
        <v/>
      </c>
      <c r="AE45" s="93" t="str" cm="1">
        <f t="array" ref="AE45">_xlfn.LET(
  _xlpm.w, AE$11,
  _xlpm.r, MATCH(1,('3. Enter Indicator Scores'!$B$10:$B$161=$B45)*('3. Enter Indicator Scores'!$C$10:$C$161=$C45),0),
  _xlpm.c, MATCH(AE$8,'3. Enter Indicator Scores'!$D$8:$CZ$8,0),
  _xlpm.v, IFERROR(INDEX('3. Enter Indicator Scores'!$D$10:$CZ$161,_xlpm.r,_xlpm.c),""),
  IF(OR(_xlpm.w="",_xlpm.v=""),"",_xlpm.v*_xlpm.w)
)</f>
        <v/>
      </c>
      <c r="AF45" s="93" t="str" cm="1">
        <f t="array" ref="AF45">_xlfn.LET(
  _xlpm.w, AF$11,
  _xlpm.r, MATCH(1,('3. Enter Indicator Scores'!$B$10:$B$161=$B45)*('3. Enter Indicator Scores'!$C$10:$C$161=$C45),0),
  _xlpm.c, MATCH(AF$8,'3. Enter Indicator Scores'!$D$8:$CZ$8,0),
  _xlpm.v, IFERROR(INDEX('3. Enter Indicator Scores'!$D$10:$CZ$161,_xlpm.r,_xlpm.c),""),
  IF(OR(_xlpm.w="",_xlpm.v=""),"",_xlpm.v*_xlpm.w)
)</f>
        <v/>
      </c>
      <c r="AG45" s="93" t="str" cm="1">
        <f t="array" ref="AG45">_xlfn.LET(
  _xlpm.w, AG$11,
  _xlpm.r, MATCH(1,('3. Enter Indicator Scores'!$B$10:$B$161=$B45)*('3. Enter Indicator Scores'!$C$10:$C$161=$C45),0),
  _xlpm.c, MATCH(AG$8,'3. Enter Indicator Scores'!$D$8:$CZ$8,0),
  _xlpm.v, IFERROR(INDEX('3. Enter Indicator Scores'!$D$10:$CZ$161,_xlpm.r,_xlpm.c),""),
  IF(OR(_xlpm.w="",_xlpm.v=""),"",_xlpm.v*_xlpm.w)
)</f>
        <v/>
      </c>
      <c r="AH45" s="93" t="str" cm="1">
        <f t="array" ref="AH45">_xlfn.LET(
  _xlpm.w, AH$11,
  _xlpm.r, MATCH(1,('3. Enter Indicator Scores'!$B$10:$B$161=$B45)*('3. Enter Indicator Scores'!$C$10:$C$161=$C45),0),
  _xlpm.c, MATCH(AH$8,'3. Enter Indicator Scores'!$D$8:$CZ$8,0),
  _xlpm.v, IFERROR(INDEX('3. Enter Indicator Scores'!$D$10:$CZ$161,_xlpm.r,_xlpm.c),""),
  IF(OR(_xlpm.w="",_xlpm.v=""),"",_xlpm.v*_xlpm.w)
)</f>
        <v/>
      </c>
      <c r="AI45" s="93" t="str" cm="1">
        <f t="array" ref="AI45">_xlfn.LET(
  _xlpm.w, AI$11,
  _xlpm.r, MATCH(1,('3. Enter Indicator Scores'!$B$10:$B$161=$B45)*('3. Enter Indicator Scores'!$C$10:$C$161=$C45),0),
  _xlpm.c, MATCH(AI$8,'3. Enter Indicator Scores'!$D$8:$CZ$8,0),
  _xlpm.v, IFERROR(INDEX('3. Enter Indicator Scores'!$D$10:$CZ$161,_xlpm.r,_xlpm.c),""),
  IF(OR(_xlpm.w="",_xlpm.v=""),"",_xlpm.v*_xlpm.w)
)</f>
        <v/>
      </c>
      <c r="AJ45" s="93" t="str" cm="1">
        <f t="array" ref="AJ45">_xlfn.LET(
  _xlpm.w, AJ$11,
  _xlpm.r, MATCH(1,('3. Enter Indicator Scores'!$B$10:$B$161=$B45)*('3. Enter Indicator Scores'!$C$10:$C$161=$C45),0),
  _xlpm.c, MATCH(AJ$8,'3. Enter Indicator Scores'!$D$8:$CZ$8,0),
  _xlpm.v, IFERROR(INDEX('3. Enter Indicator Scores'!$D$10:$CZ$161,_xlpm.r,_xlpm.c),""),
  IF(OR(_xlpm.w="",_xlpm.v=""),"",_xlpm.v*_xlpm.w)
)</f>
        <v/>
      </c>
      <c r="AK45" s="93" t="str" cm="1">
        <f t="array" ref="AK45">_xlfn.LET(
  _xlpm.w, AK$11,
  _xlpm.r, MATCH(1,('3. Enter Indicator Scores'!$B$10:$B$161=$B45)*('3. Enter Indicator Scores'!$C$10:$C$161=$C45),0),
  _xlpm.c, MATCH(AK$8,'3. Enter Indicator Scores'!$D$8:$CZ$8,0),
  _xlpm.v, IFERROR(INDEX('3. Enter Indicator Scores'!$D$10:$CZ$161,_xlpm.r,_xlpm.c),""),
  IF(OR(_xlpm.w="",_xlpm.v=""),"",_xlpm.v*_xlpm.w)
)</f>
        <v/>
      </c>
      <c r="AL45" s="93" t="str" cm="1">
        <f t="array" ref="AL45">_xlfn.LET(
  _xlpm.w, AL$11,
  _xlpm.r, MATCH(1,('3. Enter Indicator Scores'!$B$10:$B$161=$B45)*('3. Enter Indicator Scores'!$C$10:$C$161=$C45),0),
  _xlpm.c, MATCH(AL$8,'3. Enter Indicator Scores'!$D$8:$CZ$8,0),
  _xlpm.v, IFERROR(INDEX('3. Enter Indicator Scores'!$D$10:$CZ$161,_xlpm.r,_xlpm.c),""),
  IF(OR(_xlpm.w="",_xlpm.v=""),"",_xlpm.v*_xlpm.w)
)</f>
        <v/>
      </c>
      <c r="AM45" s="93" t="str" cm="1">
        <f t="array" ref="AM45">_xlfn.LET(
  _xlpm.w, AM$11,
  _xlpm.r, MATCH(1,('3. Enter Indicator Scores'!$B$10:$B$161=$B45)*('3. Enter Indicator Scores'!$C$10:$C$161=$C45),0),
  _xlpm.c, MATCH(AM$8,'3. Enter Indicator Scores'!$D$8:$CZ$8,0),
  _xlpm.v, IFERROR(INDEX('3. Enter Indicator Scores'!$D$10:$CZ$161,_xlpm.r,_xlpm.c),""),
  IF(OR(_xlpm.w="",_xlpm.v=""),"",_xlpm.v*_xlpm.w)
)</f>
        <v/>
      </c>
      <c r="AN45" s="93" t="str" cm="1">
        <f t="array" ref="AN45">_xlfn.LET(
  _xlpm.w, AN$11,
  _xlpm.r, MATCH(1,('3. Enter Indicator Scores'!$B$10:$B$161=$B45)*('3. Enter Indicator Scores'!$C$10:$C$161=$C45),0),
  _xlpm.c, MATCH(AN$8,'3. Enter Indicator Scores'!$D$8:$CZ$8,0),
  _xlpm.v, IFERROR(INDEX('3. Enter Indicator Scores'!$D$10:$CZ$161,_xlpm.r,_xlpm.c),""),
  IF(OR(_xlpm.w="",_xlpm.v=""),"",_xlpm.v*_xlpm.w)
)</f>
        <v/>
      </c>
      <c r="AO45" s="93" t="str" cm="1">
        <f t="array" ref="AO45">_xlfn.LET(
  _xlpm.w, AO$11,
  _xlpm.r, MATCH(1,('3. Enter Indicator Scores'!$B$10:$B$161=$B45)*('3. Enter Indicator Scores'!$C$10:$C$161=$C45),0),
  _xlpm.c, MATCH(AO$8,'3. Enter Indicator Scores'!$D$8:$CZ$8,0),
  _xlpm.v, IFERROR(INDEX('3. Enter Indicator Scores'!$D$10:$CZ$161,_xlpm.r,_xlpm.c),""),
  IF(OR(_xlpm.w="",_xlpm.v=""),"",_xlpm.v*_xlpm.w)
)</f>
        <v/>
      </c>
      <c r="AP45" s="93" t="str" cm="1">
        <f t="array" ref="AP45">_xlfn.LET(
  _xlpm.w, AP$11,
  _xlpm.r, MATCH(1,('3. Enter Indicator Scores'!$B$10:$B$161=$B45)*('3. Enter Indicator Scores'!$C$10:$C$161=$C45),0),
  _xlpm.c, MATCH(AP$8,'3. Enter Indicator Scores'!$D$8:$CZ$8,0),
  _xlpm.v, IFERROR(INDEX('3. Enter Indicator Scores'!$D$10:$CZ$161,_xlpm.r,_xlpm.c),""),
  IF(OR(_xlpm.w="",_xlpm.v=""),"",_xlpm.v*_xlpm.w)
)</f>
        <v/>
      </c>
      <c r="AQ45" s="93" t="str" cm="1">
        <f t="array" ref="AQ45">_xlfn.LET(
  _xlpm.w, AQ$11,
  _xlpm.r, MATCH(1,('3. Enter Indicator Scores'!$B$10:$B$161=$B45)*('3. Enter Indicator Scores'!$C$10:$C$161=$C45),0),
  _xlpm.c, MATCH(AQ$8,'3. Enter Indicator Scores'!$D$8:$CZ$8,0),
  _xlpm.v, IFERROR(INDEX('3. Enter Indicator Scores'!$D$10:$CZ$161,_xlpm.r,_xlpm.c),""),
  IF(OR(_xlpm.w="",_xlpm.v=""),"",_xlpm.v*_xlpm.w)
)</f>
        <v/>
      </c>
      <c r="AR45" s="93" t="str" cm="1">
        <f t="array" ref="AR45">_xlfn.LET(
  _xlpm.w, AR$11,
  _xlpm.r, MATCH(1,('3. Enter Indicator Scores'!$B$10:$B$161=$B45)*('3. Enter Indicator Scores'!$C$10:$C$161=$C45),0),
  _xlpm.c, MATCH(AR$8,'3. Enter Indicator Scores'!$D$8:$CZ$8,0),
  _xlpm.v, IFERROR(INDEX('3. Enter Indicator Scores'!$D$10:$CZ$161,_xlpm.r,_xlpm.c),""),
  IF(OR(_xlpm.w="",_xlpm.v=""),"",_xlpm.v*_xlpm.w)
)</f>
        <v/>
      </c>
      <c r="AS45" s="93" t="str" cm="1">
        <f t="array" ref="AS45">_xlfn.LET(
  _xlpm.w, AS$11,
  _xlpm.r, MATCH(1,('3. Enter Indicator Scores'!$B$10:$B$161=$B45)*('3. Enter Indicator Scores'!$C$10:$C$161=$C45),0),
  _xlpm.c, MATCH(AS$8,'3. Enter Indicator Scores'!$D$8:$CZ$8,0),
  _xlpm.v, IFERROR(INDEX('3. Enter Indicator Scores'!$D$10:$CZ$161,_xlpm.r,_xlpm.c),""),
  IF(OR(_xlpm.w="",_xlpm.v=""),"",_xlpm.v*_xlpm.w)
)</f>
        <v/>
      </c>
      <c r="AT45" s="93" t="str" cm="1">
        <f t="array" ref="AT45">_xlfn.LET(
  _xlpm.w, AT$11,
  _xlpm.r, MATCH(1,('3. Enter Indicator Scores'!$B$10:$B$161=$B45)*('3. Enter Indicator Scores'!$C$10:$C$161=$C45),0),
  _xlpm.c, MATCH(AT$8,'3. Enter Indicator Scores'!$D$8:$CZ$8,0),
  _xlpm.v, IFERROR(INDEX('3. Enter Indicator Scores'!$D$10:$CZ$161,_xlpm.r,_xlpm.c),""),
  IF(OR(_xlpm.w="",_xlpm.v=""),"",_xlpm.v*_xlpm.w)
)</f>
        <v/>
      </c>
      <c r="AU45" s="93" t="str" cm="1">
        <f t="array" ref="AU45">_xlfn.LET(
  _xlpm.w, AU$11,
  _xlpm.r, MATCH(1,('3. Enter Indicator Scores'!$B$10:$B$161=$B45)*('3. Enter Indicator Scores'!$C$10:$C$161=$C45),0),
  _xlpm.c, MATCH(AU$8,'3. Enter Indicator Scores'!$D$8:$CZ$8,0),
  _xlpm.v, IFERROR(INDEX('3. Enter Indicator Scores'!$D$10:$CZ$161,_xlpm.r,_xlpm.c),""),
  IF(OR(_xlpm.w="",_xlpm.v=""),"",_xlpm.v*_xlpm.w)
)</f>
        <v/>
      </c>
      <c r="AV45" s="93" t="str" cm="1">
        <f t="array" ref="AV45">_xlfn.LET(
  _xlpm.w, AV$11,
  _xlpm.r, MATCH(1,('3. Enter Indicator Scores'!$B$10:$B$161=$B45)*('3. Enter Indicator Scores'!$C$10:$C$161=$C45),0),
  _xlpm.c, MATCH(AV$8,'3. Enter Indicator Scores'!$D$8:$CZ$8,0),
  _xlpm.v, IFERROR(INDEX('3. Enter Indicator Scores'!$D$10:$CZ$161,_xlpm.r,_xlpm.c),""),
  IF(OR(_xlpm.w="",_xlpm.v=""),"",_xlpm.v*_xlpm.w)
)</f>
        <v/>
      </c>
      <c r="AW45" s="93" t="str" cm="1">
        <f t="array" ref="AW45">_xlfn.LET(
  _xlpm.w, AW$11,
  _xlpm.r, MATCH(1,('3. Enter Indicator Scores'!$B$10:$B$161=$B45)*('3. Enter Indicator Scores'!$C$10:$C$161=$C45),0),
  _xlpm.c, MATCH(AW$8,'3. Enter Indicator Scores'!$D$8:$CZ$8,0),
  _xlpm.v, IFERROR(INDEX('3. Enter Indicator Scores'!$D$10:$CZ$161,_xlpm.r,_xlpm.c),""),
  IF(OR(_xlpm.w="",_xlpm.v=""),"",_xlpm.v*_xlpm.w)
)</f>
        <v/>
      </c>
      <c r="AX45" s="93" t="str" cm="1">
        <f t="array" ref="AX45">_xlfn.LET(
  _xlpm.w, AX$11,
  _xlpm.r, MATCH(1,('3. Enter Indicator Scores'!$B$10:$B$161=$B45)*('3. Enter Indicator Scores'!$C$10:$C$161=$C45),0),
  _xlpm.c, MATCH(AX$8,'3. Enter Indicator Scores'!$D$8:$CZ$8,0),
  _xlpm.v, IFERROR(INDEX('3. Enter Indicator Scores'!$D$10:$CZ$161,_xlpm.r,_xlpm.c),""),
  IF(OR(_xlpm.w="",_xlpm.v=""),"",_xlpm.v*_xlpm.w)
)</f>
        <v/>
      </c>
      <c r="AY45" s="93" t="str" cm="1">
        <f t="array" ref="AY45">_xlfn.LET(
  _xlpm.w, AY$11,
  _xlpm.r, MATCH(1,('3. Enter Indicator Scores'!$B$10:$B$161=$B45)*('3. Enter Indicator Scores'!$C$10:$C$161=$C45),0),
  _xlpm.c, MATCH(AY$8,'3. Enter Indicator Scores'!$D$8:$CZ$8,0),
  _xlpm.v, IFERROR(INDEX('3. Enter Indicator Scores'!$D$10:$CZ$161,_xlpm.r,_xlpm.c),""),
  IF(OR(_xlpm.w="",_xlpm.v=""),"",_xlpm.v*_xlpm.w)
)</f>
        <v/>
      </c>
      <c r="AZ45" s="93" t="str" cm="1">
        <f t="array" ref="AZ45">_xlfn.LET(
  _xlpm.w, AZ$11,
  _xlpm.r, MATCH(1,('3. Enter Indicator Scores'!$B$10:$B$161=$B45)*('3. Enter Indicator Scores'!$C$10:$C$161=$C45),0),
  _xlpm.c, MATCH(AZ$8,'3. Enter Indicator Scores'!$D$8:$CZ$8,0),
  _xlpm.v, IFERROR(INDEX('3. Enter Indicator Scores'!$D$10:$CZ$161,_xlpm.r,_xlpm.c),""),
  IF(OR(_xlpm.w="",_xlpm.v=""),"",_xlpm.v*_xlpm.w)
)</f>
        <v/>
      </c>
      <c r="BA45" s="93" t="str" cm="1">
        <f t="array" ref="BA45">_xlfn.LET(
  _xlpm.w, BA$11,
  _xlpm.r, MATCH(1,('3. Enter Indicator Scores'!$B$10:$B$161=$B45)*('3. Enter Indicator Scores'!$C$10:$C$161=$C45),0),
  _xlpm.c, MATCH(BA$8,'3. Enter Indicator Scores'!$D$8:$CZ$8,0),
  _xlpm.v, IFERROR(INDEX('3. Enter Indicator Scores'!$D$10:$CZ$161,_xlpm.r,_xlpm.c),""),
  IF(OR(_xlpm.w="",_xlpm.v=""),"",_xlpm.v*_xlpm.w)
)</f>
        <v/>
      </c>
      <c r="BB45" s="93" t="str" cm="1">
        <f t="array" ref="BB45">_xlfn.LET(
  _xlpm.w, BB$11,
  _xlpm.r, MATCH(1,('3. Enter Indicator Scores'!$B$10:$B$161=$B45)*('3. Enter Indicator Scores'!$C$10:$C$161=$C45),0),
  _xlpm.c, MATCH(BB$8,'3. Enter Indicator Scores'!$D$8:$CZ$8,0),
  _xlpm.v, IFERROR(INDEX('3. Enter Indicator Scores'!$D$10:$CZ$161,_xlpm.r,_xlpm.c),""),
  IF(OR(_xlpm.w="",_xlpm.v=""),"",_xlpm.v*_xlpm.w)
)</f>
        <v/>
      </c>
      <c r="BC45" s="93" t="str" cm="1">
        <f t="array" ref="BC45">_xlfn.LET(
  _xlpm.w, BC$11,
  _xlpm.r, MATCH(1,('3. Enter Indicator Scores'!$B$10:$B$161=$B45)*('3. Enter Indicator Scores'!$C$10:$C$161=$C45),0),
  _xlpm.c, MATCH(BC$8,'3. Enter Indicator Scores'!$D$8:$CZ$8,0),
  _xlpm.v, IFERROR(INDEX('3. Enter Indicator Scores'!$D$10:$CZ$161,_xlpm.r,_xlpm.c),""),
  IF(OR(_xlpm.w="",_xlpm.v=""),"",_xlpm.v*_xlpm.w)
)</f>
        <v/>
      </c>
      <c r="BD45" s="93" t="str" cm="1">
        <f t="array" ref="BD45">_xlfn.LET(
  _xlpm.w, BD$11,
  _xlpm.r, MATCH(1,('3. Enter Indicator Scores'!$B$10:$B$161=$B45)*('3. Enter Indicator Scores'!$C$10:$C$161=$C45),0),
  _xlpm.c, MATCH(BD$8,'3. Enter Indicator Scores'!$D$8:$CZ$8,0),
  _xlpm.v, IFERROR(INDEX('3. Enter Indicator Scores'!$D$10:$CZ$161,_xlpm.r,_xlpm.c),""),
  IF(OR(_xlpm.w="",_xlpm.v=""),"",_xlpm.v*_xlpm.w)
)</f>
        <v/>
      </c>
      <c r="BE45" s="93" t="str" cm="1">
        <f t="array" ref="BE45">_xlfn.LET(
  _xlpm.w, BE$11,
  _xlpm.r, MATCH(1,('3. Enter Indicator Scores'!$B$10:$B$161=$B45)*('3. Enter Indicator Scores'!$C$10:$C$161=$C45),0),
  _xlpm.c, MATCH(BE$8,'3. Enter Indicator Scores'!$D$8:$CZ$8,0),
  _xlpm.v, IFERROR(INDEX('3. Enter Indicator Scores'!$D$10:$CZ$161,_xlpm.r,_xlpm.c),""),
  IF(OR(_xlpm.w="",_xlpm.v=""),"",_xlpm.v*_xlpm.w)
)</f>
        <v/>
      </c>
      <c r="BF45" s="93" t="str" cm="1">
        <f t="array" ref="BF45">_xlfn.LET(
  _xlpm.w, BF$11,
  _xlpm.r, MATCH(1,('3. Enter Indicator Scores'!$B$10:$B$161=$B45)*('3. Enter Indicator Scores'!$C$10:$C$161=$C45),0),
  _xlpm.c, MATCH(BF$8,'3. Enter Indicator Scores'!$D$8:$CZ$8,0),
  _xlpm.v, IFERROR(INDEX('3. Enter Indicator Scores'!$D$10:$CZ$161,_xlpm.r,_xlpm.c),""),
  IF(OR(_xlpm.w="",_xlpm.v=""),"",_xlpm.v*_xlpm.w)
)</f>
        <v/>
      </c>
      <c r="BG45" s="93" t="str" cm="1">
        <f t="array" ref="BG45">_xlfn.LET(
  _xlpm.w, BG$11,
  _xlpm.r, MATCH(1,('3. Enter Indicator Scores'!$B$10:$B$161=$B45)*('3. Enter Indicator Scores'!$C$10:$C$161=$C45),0),
  _xlpm.c, MATCH(BG$8,'3. Enter Indicator Scores'!$D$8:$CZ$8,0),
  _xlpm.v, IFERROR(INDEX('3. Enter Indicator Scores'!$D$10:$CZ$161,_xlpm.r,_xlpm.c),""),
  IF(OR(_xlpm.w="",_xlpm.v=""),"",_xlpm.v*_xlpm.w)
)</f>
        <v/>
      </c>
      <c r="BH45" s="93" t="str" cm="1">
        <f t="array" ref="BH45">_xlfn.LET(
  _xlpm.w, BH$11,
  _xlpm.r, MATCH(1,('3. Enter Indicator Scores'!$B$10:$B$161=$B45)*('3. Enter Indicator Scores'!$C$10:$C$161=$C45),0),
  _xlpm.c, MATCH(BH$8,'3. Enter Indicator Scores'!$D$8:$CZ$8,0),
  _xlpm.v, IFERROR(INDEX('3. Enter Indicator Scores'!$D$10:$CZ$161,_xlpm.r,_xlpm.c),""),
  IF(OR(_xlpm.w="",_xlpm.v=""),"",_xlpm.v*_xlpm.w)
)</f>
        <v/>
      </c>
      <c r="BI45" s="93" t="str" cm="1">
        <f t="array" ref="BI45">_xlfn.LET(
  _xlpm.w, BI$11,
  _xlpm.r, MATCH(1,('3. Enter Indicator Scores'!$B$10:$B$161=$B45)*('3. Enter Indicator Scores'!$C$10:$C$161=$C45),0),
  _xlpm.c, MATCH(BI$8,'3. Enter Indicator Scores'!$D$8:$CZ$8,0),
  _xlpm.v, IFERROR(INDEX('3. Enter Indicator Scores'!$D$10:$CZ$161,_xlpm.r,_xlpm.c),""),
  IF(OR(_xlpm.w="",_xlpm.v=""),"",_xlpm.v*_xlpm.w)
)</f>
        <v/>
      </c>
      <c r="BJ45" s="93" t="str" cm="1">
        <f t="array" ref="BJ45">_xlfn.LET(
  _xlpm.w, BJ$11,
  _xlpm.r, MATCH(1,('3. Enter Indicator Scores'!$B$10:$B$161=$B45)*('3. Enter Indicator Scores'!$C$10:$C$161=$C45),0),
  _xlpm.c, MATCH(BJ$8,'3. Enter Indicator Scores'!$D$8:$CZ$8,0),
  _xlpm.v, IFERROR(INDEX('3. Enter Indicator Scores'!$D$10:$CZ$161,_xlpm.r,_xlpm.c),""),
  IF(OR(_xlpm.w="",_xlpm.v=""),"",_xlpm.v*_xlpm.w)
)</f>
        <v/>
      </c>
      <c r="BK45" s="93" t="str" cm="1">
        <f t="array" ref="BK45">_xlfn.LET(
  _xlpm.w, BK$11,
  _xlpm.r, MATCH(1,('3. Enter Indicator Scores'!$B$10:$B$161=$B45)*('3. Enter Indicator Scores'!$C$10:$C$161=$C45),0),
  _xlpm.c, MATCH(BK$8,'3. Enter Indicator Scores'!$D$8:$CZ$8,0),
  _xlpm.v, IFERROR(INDEX('3. Enter Indicator Scores'!$D$10:$CZ$161,_xlpm.r,_xlpm.c),""),
  IF(OR(_xlpm.w="",_xlpm.v=""),"",_xlpm.v*_xlpm.w)
)</f>
        <v/>
      </c>
      <c r="BL45" s="93" t="str" cm="1">
        <f t="array" ref="BL45">_xlfn.LET(
  _xlpm.w, BL$11,
  _xlpm.r, MATCH(1,('3. Enter Indicator Scores'!$B$10:$B$161=$B45)*('3. Enter Indicator Scores'!$C$10:$C$161=$C45),0),
  _xlpm.c, MATCH(BL$8,'3. Enter Indicator Scores'!$D$8:$CZ$8,0),
  _xlpm.v, IFERROR(INDEX('3. Enter Indicator Scores'!$D$10:$CZ$161,_xlpm.r,_xlpm.c),""),
  IF(OR(_xlpm.w="",_xlpm.v=""),"",_xlpm.v*_xlpm.w)
)</f>
        <v/>
      </c>
      <c r="BM45" s="93" t="str" cm="1">
        <f t="array" ref="BM45">_xlfn.LET(
  _xlpm.w, BM$11,
  _xlpm.r, MATCH(1,('3. Enter Indicator Scores'!$B$10:$B$161=$B45)*('3. Enter Indicator Scores'!$C$10:$C$161=$C45),0),
  _xlpm.c, MATCH(BM$8,'3. Enter Indicator Scores'!$D$8:$CZ$8,0),
  _xlpm.v, IFERROR(INDEX('3. Enter Indicator Scores'!$D$10:$CZ$161,_xlpm.r,_xlpm.c),""),
  IF(OR(_xlpm.w="",_xlpm.v=""),"",_xlpm.v*_xlpm.w)
)</f>
        <v/>
      </c>
      <c r="BN45" s="93" t="str" cm="1">
        <f t="array" ref="BN45">_xlfn.LET(
  _xlpm.w, BN$11,
  _xlpm.r, MATCH(1,('3. Enter Indicator Scores'!$B$10:$B$161=$B45)*('3. Enter Indicator Scores'!$C$10:$C$161=$C45),0),
  _xlpm.c, MATCH(BN$8,'3. Enter Indicator Scores'!$D$8:$CZ$8,0),
  _xlpm.v, IFERROR(INDEX('3. Enter Indicator Scores'!$D$10:$CZ$161,_xlpm.r,_xlpm.c),""),
  IF(OR(_xlpm.w="",_xlpm.v=""),"",_xlpm.v*_xlpm.w)
)</f>
        <v/>
      </c>
      <c r="BO45" s="93" t="str" cm="1">
        <f t="array" ref="BO45">_xlfn.LET(
  _xlpm.w, BO$11,
  _xlpm.r, MATCH(1,('3. Enter Indicator Scores'!$B$10:$B$161=$B45)*('3. Enter Indicator Scores'!$C$10:$C$161=$C45),0),
  _xlpm.c, MATCH(BO$8,'3. Enter Indicator Scores'!$D$8:$CZ$8,0),
  _xlpm.v, IFERROR(INDEX('3. Enter Indicator Scores'!$D$10:$CZ$161,_xlpm.r,_xlpm.c),""),
  IF(OR(_xlpm.w="",_xlpm.v=""),"",_xlpm.v*_xlpm.w)
)</f>
        <v/>
      </c>
      <c r="BP45" s="93" t="str" cm="1">
        <f t="array" ref="BP45">_xlfn.LET(
  _xlpm.w, BP$11,
  _xlpm.r, MATCH(1,('3. Enter Indicator Scores'!$B$10:$B$161=$B45)*('3. Enter Indicator Scores'!$C$10:$C$161=$C45),0),
  _xlpm.c, MATCH(BP$8,'3. Enter Indicator Scores'!$D$8:$CZ$8,0),
  _xlpm.v, IFERROR(INDEX('3. Enter Indicator Scores'!$D$10:$CZ$161,_xlpm.r,_xlpm.c),""),
  IF(OR(_xlpm.w="",_xlpm.v=""),"",_xlpm.v*_xlpm.w)
)</f>
        <v/>
      </c>
      <c r="BQ45" s="93" t="str" cm="1">
        <f t="array" ref="BQ45">_xlfn.LET(
  _xlpm.w, BQ$11,
  _xlpm.r, MATCH(1,('3. Enter Indicator Scores'!$B$10:$B$161=$B45)*('3. Enter Indicator Scores'!$C$10:$C$161=$C45),0),
  _xlpm.c, MATCH(BQ$8,'3. Enter Indicator Scores'!$D$8:$CZ$8,0),
  _xlpm.v, IFERROR(INDEX('3. Enter Indicator Scores'!$D$10:$CZ$161,_xlpm.r,_xlpm.c),""),
  IF(OR(_xlpm.w="",_xlpm.v=""),"",_xlpm.v*_xlpm.w)
)</f>
        <v/>
      </c>
      <c r="BR45" s="93" t="str" cm="1">
        <f t="array" ref="BR45">_xlfn.LET(
  _xlpm.w, BR$11,
  _xlpm.r, MATCH(1,('3. Enter Indicator Scores'!$B$10:$B$161=$B45)*('3. Enter Indicator Scores'!$C$10:$C$161=$C45),0),
  _xlpm.c, MATCH(BR$8,'3. Enter Indicator Scores'!$D$8:$CZ$8,0),
  _xlpm.v, IFERROR(INDEX('3. Enter Indicator Scores'!$D$10:$CZ$161,_xlpm.r,_xlpm.c),""),
  IF(OR(_xlpm.w="",_xlpm.v=""),"",_xlpm.v*_xlpm.w)
)</f>
        <v/>
      </c>
      <c r="BS45" s="93" t="str" cm="1">
        <f t="array" ref="BS45">_xlfn.LET(
  _xlpm.w, BS$11,
  _xlpm.r, MATCH(1,('3. Enter Indicator Scores'!$B$10:$B$161=$B45)*('3. Enter Indicator Scores'!$C$10:$C$161=$C45),0),
  _xlpm.c, MATCH(BS$8,'3. Enter Indicator Scores'!$D$8:$CZ$8,0),
  _xlpm.v, IFERROR(INDEX('3. Enter Indicator Scores'!$D$10:$CZ$161,_xlpm.r,_xlpm.c),""),
  IF(OR(_xlpm.w="",_xlpm.v=""),"",_xlpm.v*_xlpm.w)
)</f>
        <v/>
      </c>
      <c r="BT45" s="93" t="str" cm="1">
        <f t="array" ref="BT45">_xlfn.LET(
  _xlpm.w, BT$11,
  _xlpm.r, MATCH(1,('3. Enter Indicator Scores'!$B$10:$B$161=$B45)*('3. Enter Indicator Scores'!$C$10:$C$161=$C45),0),
  _xlpm.c, MATCH(BT$8,'3. Enter Indicator Scores'!$D$8:$CZ$8,0),
  _xlpm.v, IFERROR(INDEX('3. Enter Indicator Scores'!$D$10:$CZ$161,_xlpm.r,_xlpm.c),""),
  IF(OR(_xlpm.w="",_xlpm.v=""),"",_xlpm.v*_xlpm.w)
)</f>
        <v/>
      </c>
      <c r="BU45" s="93" t="str" cm="1">
        <f t="array" ref="BU45">_xlfn.LET(
  _xlpm.w, BU$11,
  _xlpm.r, MATCH(1,('3. Enter Indicator Scores'!$B$10:$B$161=$B45)*('3. Enter Indicator Scores'!$C$10:$C$161=$C45),0),
  _xlpm.c, MATCH(BU$8,'3. Enter Indicator Scores'!$D$8:$CZ$8,0),
  _xlpm.v, IFERROR(INDEX('3. Enter Indicator Scores'!$D$10:$CZ$161,_xlpm.r,_xlpm.c),""),
  IF(OR(_xlpm.w="",_xlpm.v=""),"",_xlpm.v*_xlpm.w)
)</f>
        <v/>
      </c>
      <c r="BV45" s="93" t="str" cm="1">
        <f t="array" ref="BV45">_xlfn.LET(
  _xlpm.w, BV$11,
  _xlpm.r, MATCH(1,('3. Enter Indicator Scores'!$B$10:$B$161=$B45)*('3. Enter Indicator Scores'!$C$10:$C$161=$C45),0),
  _xlpm.c, MATCH(BV$8,'3. Enter Indicator Scores'!$D$8:$CZ$8,0),
  _xlpm.v, IFERROR(INDEX('3. Enter Indicator Scores'!$D$10:$CZ$161,_xlpm.r,_xlpm.c),""),
  IF(OR(_xlpm.w="",_xlpm.v=""),"",_xlpm.v*_xlpm.w)
)</f>
        <v/>
      </c>
      <c r="BW45" s="93" t="str" cm="1">
        <f t="array" ref="BW45">_xlfn.LET(
  _xlpm.w, BW$11,
  _xlpm.r, MATCH(1,('3. Enter Indicator Scores'!$B$10:$B$161=$B45)*('3. Enter Indicator Scores'!$C$10:$C$161=$C45),0),
  _xlpm.c, MATCH(BW$8,'3. Enter Indicator Scores'!$D$8:$CZ$8,0),
  _xlpm.v, IFERROR(INDEX('3. Enter Indicator Scores'!$D$10:$CZ$161,_xlpm.r,_xlpm.c),""),
  IF(OR(_xlpm.w="",_xlpm.v=""),"",_xlpm.v*_xlpm.w)
)</f>
        <v/>
      </c>
      <c r="BX45" s="93" t="str" cm="1">
        <f t="array" ref="BX45">_xlfn.LET(
  _xlpm.w, BX$11,
  _xlpm.r, MATCH(1,('3. Enter Indicator Scores'!$B$10:$B$161=$B45)*('3. Enter Indicator Scores'!$C$10:$C$161=$C45),0),
  _xlpm.c, MATCH(BX$8,'3. Enter Indicator Scores'!$D$8:$CZ$8,0),
  _xlpm.v, IFERROR(INDEX('3. Enter Indicator Scores'!$D$10:$CZ$161,_xlpm.r,_xlpm.c),""),
  IF(OR(_xlpm.w="",_xlpm.v=""),"",_xlpm.v*_xlpm.w)
)</f>
        <v/>
      </c>
      <c r="BY45" s="93" t="str" cm="1">
        <f t="array" ref="BY45">_xlfn.LET(
  _xlpm.w, BY$11,
  _xlpm.r, MATCH(1,('3. Enter Indicator Scores'!$B$10:$B$161=$B45)*('3. Enter Indicator Scores'!$C$10:$C$161=$C45),0),
  _xlpm.c, MATCH(BY$8,'3. Enter Indicator Scores'!$D$8:$CZ$8,0),
  _xlpm.v, IFERROR(INDEX('3. Enter Indicator Scores'!$D$10:$CZ$161,_xlpm.r,_xlpm.c),""),
  IF(OR(_xlpm.w="",_xlpm.v=""),"",_xlpm.v*_xlpm.w)
)</f>
        <v/>
      </c>
      <c r="BZ45" s="93" t="str" cm="1">
        <f t="array" ref="BZ45">_xlfn.LET(
  _xlpm.w, BZ$11,
  _xlpm.r, MATCH(1,('3. Enter Indicator Scores'!$B$10:$B$161=$B45)*('3. Enter Indicator Scores'!$C$10:$C$161=$C45),0),
  _xlpm.c, MATCH(BZ$8,'3. Enter Indicator Scores'!$D$8:$CZ$8,0),
  _xlpm.v, IFERROR(INDEX('3. Enter Indicator Scores'!$D$10:$CZ$161,_xlpm.r,_xlpm.c),""),
  IF(OR(_xlpm.w="",_xlpm.v=""),"",_xlpm.v*_xlpm.w)
)</f>
        <v/>
      </c>
      <c r="CA45" s="93" t="str" cm="1">
        <f t="array" ref="CA45">_xlfn.LET(
  _xlpm.w, CA$11,
  _xlpm.r, MATCH(1,('3. Enter Indicator Scores'!$B$10:$B$161=$B45)*('3. Enter Indicator Scores'!$C$10:$C$161=$C45),0),
  _xlpm.c, MATCH(CA$8,'3. Enter Indicator Scores'!$D$8:$CZ$8,0),
  _xlpm.v, IFERROR(INDEX('3. Enter Indicator Scores'!$D$10:$CZ$161,_xlpm.r,_xlpm.c),""),
  IF(OR(_xlpm.w="",_xlpm.v=""),"",_xlpm.v*_xlpm.w)
)</f>
        <v/>
      </c>
      <c r="CB45" s="93" t="str" cm="1">
        <f t="array" ref="CB45">_xlfn.LET(
  _xlpm.w, CB$11,
  _xlpm.r, MATCH(1,('3. Enter Indicator Scores'!$B$10:$B$161=$B45)*('3. Enter Indicator Scores'!$C$10:$C$161=$C45),0),
  _xlpm.c, MATCH(CB$8,'3. Enter Indicator Scores'!$D$8:$CZ$8,0),
  _xlpm.v, IFERROR(INDEX('3. Enter Indicator Scores'!$D$10:$CZ$161,_xlpm.r,_xlpm.c),""),
  IF(OR(_xlpm.w="",_xlpm.v=""),"",_xlpm.v*_xlpm.w)
)</f>
        <v/>
      </c>
      <c r="CC45" s="93" t="str" cm="1">
        <f t="array" ref="CC45">_xlfn.LET(
  _xlpm.w, CC$11,
  _xlpm.r, MATCH(1,('3. Enter Indicator Scores'!$B$10:$B$161=$B45)*('3. Enter Indicator Scores'!$C$10:$C$161=$C45),0),
  _xlpm.c, MATCH(CC$8,'3. Enter Indicator Scores'!$D$8:$CZ$8,0),
  _xlpm.v, IFERROR(INDEX('3. Enter Indicator Scores'!$D$10:$CZ$161,_xlpm.r,_xlpm.c),""),
  IF(OR(_xlpm.w="",_xlpm.v=""),"",_xlpm.v*_xlpm.w)
)</f>
        <v/>
      </c>
      <c r="CD45" s="93" t="str" cm="1">
        <f t="array" ref="CD45">_xlfn.LET(
  _xlpm.w, CD$11,
  _xlpm.r, MATCH(1,('3. Enter Indicator Scores'!$B$10:$B$161=$B45)*('3. Enter Indicator Scores'!$C$10:$C$161=$C45),0),
  _xlpm.c, MATCH(CD$8,'3. Enter Indicator Scores'!$D$8:$CZ$8,0),
  _xlpm.v, IFERROR(INDEX('3. Enter Indicator Scores'!$D$10:$CZ$161,_xlpm.r,_xlpm.c),""),
  IF(OR(_xlpm.w="",_xlpm.v=""),"",_xlpm.v*_xlpm.w)
)</f>
        <v/>
      </c>
      <c r="CE45" s="93" t="str" cm="1">
        <f t="array" ref="CE45">_xlfn.LET(
  _xlpm.w, CE$11,
  _xlpm.r, MATCH(1,('3. Enter Indicator Scores'!$B$10:$B$161=$B45)*('3. Enter Indicator Scores'!$C$10:$C$161=$C45),0),
  _xlpm.c, MATCH(CE$8,'3. Enter Indicator Scores'!$D$8:$CZ$8,0),
  _xlpm.v, IFERROR(INDEX('3. Enter Indicator Scores'!$D$10:$CZ$161,_xlpm.r,_xlpm.c),""),
  IF(OR(_xlpm.w="",_xlpm.v=""),"",_xlpm.v*_xlpm.w)
)</f>
        <v/>
      </c>
      <c r="CF45" s="93" t="str" cm="1">
        <f t="array" ref="CF45">_xlfn.LET(
  _xlpm.w, CF$11,
  _xlpm.r, MATCH(1,('3. Enter Indicator Scores'!$B$10:$B$161=$B45)*('3. Enter Indicator Scores'!$C$10:$C$161=$C45),0),
  _xlpm.c, MATCH(CF$8,'3. Enter Indicator Scores'!$D$8:$CZ$8,0),
  _xlpm.v, IFERROR(INDEX('3. Enter Indicator Scores'!$D$10:$CZ$161,_xlpm.r,_xlpm.c),""),
  IF(OR(_xlpm.w="",_xlpm.v=""),"",_xlpm.v*_xlpm.w)
)</f>
        <v/>
      </c>
      <c r="CG45" s="93" t="str" cm="1">
        <f t="array" ref="CG45">_xlfn.LET(
  _xlpm.w, CG$11,
  _xlpm.r, MATCH(1,('3. Enter Indicator Scores'!$B$10:$B$161=$B45)*('3. Enter Indicator Scores'!$C$10:$C$161=$C45),0),
  _xlpm.c, MATCH(CG$8,'3. Enter Indicator Scores'!$D$8:$CZ$8,0),
  _xlpm.v, IFERROR(INDEX('3. Enter Indicator Scores'!$D$10:$CZ$161,_xlpm.r,_xlpm.c),""),
  IF(OR(_xlpm.w="",_xlpm.v=""),"",_xlpm.v*_xlpm.w)
)</f>
        <v/>
      </c>
      <c r="CH45" s="93" t="str" cm="1">
        <f t="array" ref="CH45">_xlfn.LET(
  _xlpm.w, CH$11,
  _xlpm.r, MATCH(1,('3. Enter Indicator Scores'!$B$10:$B$161=$B45)*('3. Enter Indicator Scores'!$C$10:$C$161=$C45),0),
  _xlpm.c, MATCH(CH$8,'3. Enter Indicator Scores'!$D$8:$CZ$8,0),
  _xlpm.v, IFERROR(INDEX('3. Enter Indicator Scores'!$D$10:$CZ$161,_xlpm.r,_xlpm.c),""),
  IF(OR(_xlpm.w="",_xlpm.v=""),"",_xlpm.v*_xlpm.w)
)</f>
        <v/>
      </c>
      <c r="CI45" s="93" t="str" cm="1">
        <f t="array" ref="CI45">_xlfn.LET(
  _xlpm.w, CI$11,
  _xlpm.r, MATCH(1,('3. Enter Indicator Scores'!$B$10:$B$161=$B45)*('3. Enter Indicator Scores'!$C$10:$C$161=$C45),0),
  _xlpm.c, MATCH(CI$8,'3. Enter Indicator Scores'!$D$8:$CZ$8,0),
  _xlpm.v, IFERROR(INDEX('3. Enter Indicator Scores'!$D$10:$CZ$161,_xlpm.r,_xlpm.c),""),
  IF(OR(_xlpm.w="",_xlpm.v=""),"",_xlpm.v*_xlpm.w)
)</f>
        <v/>
      </c>
      <c r="CJ45" s="93" t="str" cm="1">
        <f t="array" ref="CJ45">_xlfn.LET(
  _xlpm.w, CJ$11,
  _xlpm.r, MATCH(1,('3. Enter Indicator Scores'!$B$10:$B$161=$B45)*('3. Enter Indicator Scores'!$C$10:$C$161=$C45),0),
  _xlpm.c, MATCH(CJ$8,'3. Enter Indicator Scores'!$D$8:$CZ$8,0),
  _xlpm.v, IFERROR(INDEX('3. Enter Indicator Scores'!$D$10:$CZ$161,_xlpm.r,_xlpm.c),""),
  IF(OR(_xlpm.w="",_xlpm.v=""),"",_xlpm.v*_xlpm.w)
)</f>
        <v/>
      </c>
      <c r="CK45" s="93" t="str" cm="1">
        <f t="array" ref="CK45">_xlfn.LET(
  _xlpm.w, CK$11,
  _xlpm.r, MATCH(1,('3. Enter Indicator Scores'!$B$10:$B$161=$B45)*('3. Enter Indicator Scores'!$C$10:$C$161=$C45),0),
  _xlpm.c, MATCH(CK$8,'3. Enter Indicator Scores'!$D$8:$CZ$8,0),
  _xlpm.v, IFERROR(INDEX('3. Enter Indicator Scores'!$D$10:$CZ$161,_xlpm.r,_xlpm.c),""),
  IF(OR(_xlpm.w="",_xlpm.v=""),"",_xlpm.v*_xlpm.w)
)</f>
        <v/>
      </c>
      <c r="CL45" s="93" t="str" cm="1">
        <f t="array" ref="CL45">_xlfn.LET(
  _xlpm.w, CL$11,
  _xlpm.r, MATCH(1,('3. Enter Indicator Scores'!$B$10:$B$161=$B45)*('3. Enter Indicator Scores'!$C$10:$C$161=$C45),0),
  _xlpm.c, MATCH(CL$8,'3. Enter Indicator Scores'!$D$8:$CZ$8,0),
  _xlpm.v, IFERROR(INDEX('3. Enter Indicator Scores'!$D$10:$CZ$161,_xlpm.r,_xlpm.c),""),
  IF(OR(_xlpm.w="",_xlpm.v=""),"",_xlpm.v*_xlpm.w)
)</f>
        <v/>
      </c>
      <c r="CM45" s="93" t="str" cm="1">
        <f t="array" ref="CM45">_xlfn.LET(
  _xlpm.w, CM$11,
  _xlpm.r, MATCH(1,('3. Enter Indicator Scores'!$B$10:$B$161=$B45)*('3. Enter Indicator Scores'!$C$10:$C$161=$C45),0),
  _xlpm.c, MATCH(CM$8,'3. Enter Indicator Scores'!$D$8:$CZ$8,0),
  _xlpm.v, IFERROR(INDEX('3. Enter Indicator Scores'!$D$10:$CZ$161,_xlpm.r,_xlpm.c),""),
  IF(OR(_xlpm.w="",_xlpm.v=""),"",_xlpm.v*_xlpm.w)
)</f>
        <v/>
      </c>
      <c r="CN45" s="93" t="str" cm="1">
        <f t="array" ref="CN45">_xlfn.LET(
  _xlpm.w, CN$11,
  _xlpm.r, MATCH(1,('3. Enter Indicator Scores'!$B$10:$B$161=$B45)*('3. Enter Indicator Scores'!$C$10:$C$161=$C45),0),
  _xlpm.c, MATCH(CN$8,'3. Enter Indicator Scores'!$D$8:$CZ$8,0),
  _xlpm.v, IFERROR(INDEX('3. Enter Indicator Scores'!$D$10:$CZ$161,_xlpm.r,_xlpm.c),""),
  IF(OR(_xlpm.w="",_xlpm.v=""),"",_xlpm.v*_xlpm.w)
)</f>
        <v/>
      </c>
      <c r="CO45" s="93" t="str" cm="1">
        <f t="array" ref="CO45">_xlfn.LET(
  _xlpm.w, CO$11,
  _xlpm.r, MATCH(1,('3. Enter Indicator Scores'!$B$10:$B$161=$B45)*('3. Enter Indicator Scores'!$C$10:$C$161=$C45),0),
  _xlpm.c, MATCH(CO$8,'3. Enter Indicator Scores'!$D$8:$CZ$8,0),
  _xlpm.v, IFERROR(INDEX('3. Enter Indicator Scores'!$D$10:$CZ$161,_xlpm.r,_xlpm.c),""),
  IF(OR(_xlpm.w="",_xlpm.v=""),"",_xlpm.v*_xlpm.w)
)</f>
        <v/>
      </c>
      <c r="CP45" s="93" t="str" cm="1">
        <f t="array" ref="CP45">_xlfn.LET(
  _xlpm.w, CP$11,
  _xlpm.r, MATCH(1,('3. Enter Indicator Scores'!$B$10:$B$161=$B45)*('3. Enter Indicator Scores'!$C$10:$C$161=$C45),0),
  _xlpm.c, MATCH(CP$8,'3. Enter Indicator Scores'!$D$8:$CZ$8,0),
  _xlpm.v, IFERROR(INDEX('3. Enter Indicator Scores'!$D$10:$CZ$161,_xlpm.r,_xlpm.c),""),
  IF(OR(_xlpm.w="",_xlpm.v=""),"",_xlpm.v*_xlpm.w)
)</f>
        <v/>
      </c>
      <c r="CQ45" s="93" t="str" cm="1">
        <f t="array" ref="CQ45">_xlfn.LET(
  _xlpm.w, CQ$11,
  _xlpm.r, MATCH(1,('3. Enter Indicator Scores'!$B$10:$B$161=$B45)*('3. Enter Indicator Scores'!$C$10:$C$161=$C45),0),
  _xlpm.c, MATCH(CQ$8,'3. Enter Indicator Scores'!$D$8:$CZ$8,0),
  _xlpm.v, IFERROR(INDEX('3. Enter Indicator Scores'!$D$10:$CZ$161,_xlpm.r,_xlpm.c),""),
  IF(OR(_xlpm.w="",_xlpm.v=""),"",_xlpm.v*_xlpm.w)
)</f>
        <v/>
      </c>
      <c r="CR45" s="93" t="str" cm="1">
        <f t="array" ref="CR45">_xlfn.LET(
  _xlpm.w, CR$11,
  _xlpm.r, MATCH(1,('3. Enter Indicator Scores'!$B$10:$B$161=$B45)*('3. Enter Indicator Scores'!$C$10:$C$161=$C45),0),
  _xlpm.c, MATCH(CR$8,'3. Enter Indicator Scores'!$D$8:$CZ$8,0),
  _xlpm.v, IFERROR(INDEX('3. Enter Indicator Scores'!$D$10:$CZ$161,_xlpm.r,_xlpm.c),""),
  IF(OR(_xlpm.w="",_xlpm.v=""),"",_xlpm.v*_xlpm.w)
)</f>
        <v/>
      </c>
      <c r="CS45" s="93" t="str" cm="1">
        <f t="array" ref="CS45">_xlfn.LET(
  _xlpm.w, CS$11,
  _xlpm.r, MATCH(1,('3. Enter Indicator Scores'!$B$10:$B$161=$B45)*('3. Enter Indicator Scores'!$C$10:$C$161=$C45),0),
  _xlpm.c, MATCH(CS$8,'3. Enter Indicator Scores'!$D$8:$CZ$8,0),
  _xlpm.v, IFERROR(INDEX('3. Enter Indicator Scores'!$D$10:$CZ$161,_xlpm.r,_xlpm.c),""),
  IF(OR(_xlpm.w="",_xlpm.v=""),"",_xlpm.v*_xlpm.w)
)</f>
        <v/>
      </c>
      <c r="CT45" s="93" t="str" cm="1">
        <f t="array" ref="CT45">_xlfn.LET(
  _xlpm.w, CT$11,
  _xlpm.r, MATCH(1,('3. Enter Indicator Scores'!$B$10:$B$161=$B45)*('3. Enter Indicator Scores'!$C$10:$C$161=$C45),0),
  _xlpm.c, MATCH(CT$8,'3. Enter Indicator Scores'!$D$8:$CZ$8,0),
  _xlpm.v, IFERROR(INDEX('3. Enter Indicator Scores'!$D$10:$CZ$161,_xlpm.r,_xlpm.c),""),
  IF(OR(_xlpm.w="",_xlpm.v=""),"",_xlpm.v*_xlpm.w)
)</f>
        <v/>
      </c>
      <c r="CU45" s="93" t="str" cm="1">
        <f t="array" ref="CU45">_xlfn.LET(
  _xlpm.w, CU$11,
  _xlpm.r, MATCH(1,('3. Enter Indicator Scores'!$B$10:$B$161=$B45)*('3. Enter Indicator Scores'!$C$10:$C$161=$C45),0),
  _xlpm.c, MATCH(CU$8,'3. Enter Indicator Scores'!$D$8:$CZ$8,0),
  _xlpm.v, IFERROR(INDEX('3. Enter Indicator Scores'!$D$10:$CZ$161,_xlpm.r,_xlpm.c),""),
  IF(OR(_xlpm.w="",_xlpm.v=""),"",_xlpm.v*_xlpm.w)
)</f>
        <v/>
      </c>
      <c r="CV45" s="93" t="str" cm="1">
        <f t="array" ref="CV45">_xlfn.LET(
  _xlpm.w, CV$11,
  _xlpm.r, MATCH(1,('3. Enter Indicator Scores'!$B$10:$B$161=$B45)*('3. Enter Indicator Scores'!$C$10:$C$161=$C45),0),
  _xlpm.c, MATCH(CV$8,'3. Enter Indicator Scores'!$D$8:$CZ$8,0),
  _xlpm.v, IFERROR(INDEX('3. Enter Indicator Scores'!$D$10:$CZ$161,_xlpm.r,_xlpm.c),""),
  IF(OR(_xlpm.w="",_xlpm.v=""),"",_xlpm.v*_xlpm.w)
)</f>
        <v/>
      </c>
      <c r="CW45" s="93" t="str" cm="1">
        <f t="array" ref="CW45">_xlfn.LET(
  _xlpm.w, CW$11,
  _xlpm.r, MATCH(1,('3. Enter Indicator Scores'!$B$10:$B$161=$B45)*('3. Enter Indicator Scores'!$C$10:$C$161=$C45),0),
  _xlpm.c, MATCH(CW$8,'3. Enter Indicator Scores'!$D$8:$CZ$8,0),
  _xlpm.v, IFERROR(INDEX('3. Enter Indicator Scores'!$D$10:$CZ$161,_xlpm.r,_xlpm.c),""),
  IF(OR(_xlpm.w="",_xlpm.v=""),"",_xlpm.v*_xlpm.w)
)</f>
        <v/>
      </c>
      <c r="CX45" s="93" t="str" cm="1">
        <f t="array" ref="CX45">_xlfn.LET(
  _xlpm.w, CX$11,
  _xlpm.r, MATCH(1,('3. Enter Indicator Scores'!$B$10:$B$161=$B45)*('3. Enter Indicator Scores'!$C$10:$C$161=$C45),0),
  _xlpm.c, MATCH(CX$8,'3. Enter Indicator Scores'!$D$8:$CZ$8,0),
  _xlpm.v, IFERROR(INDEX('3. Enter Indicator Scores'!$D$10:$CZ$161,_xlpm.r,_xlpm.c),""),
  IF(OR(_xlpm.w="",_xlpm.v=""),"",_xlpm.v*_xlpm.w)
)</f>
        <v/>
      </c>
      <c r="CY45" s="93" t="str" cm="1">
        <f t="array" ref="CY45">_xlfn.LET(
  _xlpm.w, CY$11,
  _xlpm.r, MATCH(1,('3. Enter Indicator Scores'!$B$10:$B$161=$B45)*('3. Enter Indicator Scores'!$C$10:$C$161=$C45),0),
  _xlpm.c, MATCH(CY$8,'3. Enter Indicator Scores'!$D$8:$CZ$8,0),
  _xlpm.v, IFERROR(INDEX('3. Enter Indicator Scores'!$D$10:$CZ$161,_xlpm.r,_xlpm.c),""),
  IF(OR(_xlpm.w="",_xlpm.v=""),"",_xlpm.v*_xlpm.w)
)</f>
        <v/>
      </c>
      <c r="CZ45" s="93" t="str" cm="1">
        <f t="array" ref="CZ45">_xlfn.LET(
  _xlpm.w, CZ$11,
  _xlpm.r, MATCH(1,('3. Enter Indicator Scores'!$B$10:$B$161=$B45)*('3. Enter Indicator Scores'!$C$10:$C$161=$C45),0),
  _xlpm.c, MATCH(CZ$8,'3. Enter Indicator Scores'!$D$8:$CZ$8,0),
  _xlpm.v, IFERROR(INDEX('3. Enter Indicator Scores'!$D$10:$CZ$161,_xlpm.r,_xlpm.c),""),
  IF(OR(_xlpm.w="",_xlpm.v=""),"",_xlpm.v*_xlpm.w)
)</f>
        <v/>
      </c>
    </row>
    <row r="46" spans="4:104" x14ac:dyDescent="0.2">
      <c r="D46" s="93" t="str" cm="1">
        <f t="array" ref="D46">_xlfn.LET(
  _xlpm.w, D$11,
  _xlpm.r, MATCH(1,('3. Enter Indicator Scores'!$B$10:$B$161=$B46)*('3. Enter Indicator Scores'!$C$10:$C$161=$C46),0),
  _xlpm.c, MATCH(D$8,'3. Enter Indicator Scores'!$D$8:$CZ$8,0),
  _xlpm.v, IFERROR(INDEX('3. Enter Indicator Scores'!$D$10:$CZ$161,_xlpm.r,_xlpm.c),""),
  IF(OR(_xlpm.w="",_xlpm.v=""),"",_xlpm.v*_xlpm.w)
)</f>
        <v/>
      </c>
      <c r="E46" s="93" t="str" cm="1">
        <f t="array" ref="E46">_xlfn.LET(
  _xlpm.w, E$11,
  _xlpm.r, MATCH(1,('3. Enter Indicator Scores'!$B$10:$B$161=$B46)*('3. Enter Indicator Scores'!$C$10:$C$161=$C46),0),
  _xlpm.c, MATCH(E$8,'3. Enter Indicator Scores'!$D$8:$CZ$8,0),
  _xlpm.v, IFERROR(INDEX('3. Enter Indicator Scores'!$D$10:$CZ$161,_xlpm.r,_xlpm.c),""),
  IF(OR(_xlpm.w="",_xlpm.v=""),"",_xlpm.v*_xlpm.w)
)</f>
        <v/>
      </c>
      <c r="F46" s="93" t="str" cm="1">
        <f t="array" ref="F46">_xlfn.LET(
  _xlpm.w, F$11,
  _xlpm.r, MATCH(1,('3. Enter Indicator Scores'!$B$10:$B$161=$B46)*('3. Enter Indicator Scores'!$C$10:$C$161=$C46),0),
  _xlpm.c, MATCH(F$8,'3. Enter Indicator Scores'!$D$8:$CZ$8,0),
  _xlpm.v, IFERROR(INDEX('3. Enter Indicator Scores'!$D$10:$CZ$161,_xlpm.r,_xlpm.c),""),
  IF(OR(_xlpm.w="",_xlpm.v=""),"",_xlpm.v*_xlpm.w)
)</f>
        <v/>
      </c>
      <c r="G46" s="93" t="str" cm="1">
        <f t="array" ref="G46">_xlfn.LET(
  _xlpm.w, G$11,
  _xlpm.r, MATCH(1,('3. Enter Indicator Scores'!$B$10:$B$161=$B46)*('3. Enter Indicator Scores'!$C$10:$C$161=$C46),0),
  _xlpm.c, MATCH(G$8,'3. Enter Indicator Scores'!$D$8:$CZ$8,0),
  _xlpm.v, IFERROR(INDEX('3. Enter Indicator Scores'!$D$10:$CZ$161,_xlpm.r,_xlpm.c),""),
  IF(OR(_xlpm.w="",_xlpm.v=""),"",_xlpm.v*_xlpm.w)
)</f>
        <v/>
      </c>
      <c r="H46" s="93" t="str" cm="1">
        <f t="array" ref="H46">_xlfn.LET(
  _xlpm.w, H$11,
  _xlpm.r, MATCH(1,('3. Enter Indicator Scores'!$B$10:$B$161=$B46)*('3. Enter Indicator Scores'!$C$10:$C$161=$C46),0),
  _xlpm.c, MATCH(H$8,'3. Enter Indicator Scores'!$D$8:$CZ$8,0),
  _xlpm.v, IFERROR(INDEX('3. Enter Indicator Scores'!$D$10:$CZ$161,_xlpm.r,_xlpm.c),""),
  IF(OR(_xlpm.w="",_xlpm.v=""),"",_xlpm.v*_xlpm.w)
)</f>
        <v/>
      </c>
      <c r="I46" s="93" t="str" cm="1">
        <f t="array" ref="I46">_xlfn.LET(
  _xlpm.w, I$11,
  _xlpm.r, MATCH(1,('3. Enter Indicator Scores'!$B$10:$B$161=$B46)*('3. Enter Indicator Scores'!$C$10:$C$161=$C46),0),
  _xlpm.c, MATCH(I$8,'3. Enter Indicator Scores'!$D$8:$CZ$8,0),
  _xlpm.v, IFERROR(INDEX('3. Enter Indicator Scores'!$D$10:$CZ$161,_xlpm.r,_xlpm.c),""),
  IF(OR(_xlpm.w="",_xlpm.v=""),"",_xlpm.v*_xlpm.w)
)</f>
        <v/>
      </c>
      <c r="J46" s="93" t="str" cm="1">
        <f t="array" ref="J46">_xlfn.LET(
  _xlpm.w, J$11,
  _xlpm.r, MATCH(1,('3. Enter Indicator Scores'!$B$10:$B$161=$B46)*('3. Enter Indicator Scores'!$C$10:$C$161=$C46),0),
  _xlpm.c, MATCH(J$8,'3. Enter Indicator Scores'!$D$8:$CZ$8,0),
  _xlpm.v, IFERROR(INDEX('3. Enter Indicator Scores'!$D$10:$CZ$161,_xlpm.r,_xlpm.c),""),
  IF(OR(_xlpm.w="",_xlpm.v=""),"",_xlpm.v*_xlpm.w)
)</f>
        <v/>
      </c>
      <c r="K46" s="93" t="str" cm="1">
        <f t="array" ref="K46">_xlfn.LET(
  _xlpm.w, K$11,
  _xlpm.r, MATCH(1,('3. Enter Indicator Scores'!$B$10:$B$161=$B46)*('3. Enter Indicator Scores'!$C$10:$C$161=$C46),0),
  _xlpm.c, MATCH(K$8,'3. Enter Indicator Scores'!$D$8:$CZ$8,0),
  _xlpm.v, IFERROR(INDEX('3. Enter Indicator Scores'!$D$10:$CZ$161,_xlpm.r,_xlpm.c),""),
  IF(OR(_xlpm.w="",_xlpm.v=""),"",_xlpm.v*_xlpm.w)
)</f>
        <v/>
      </c>
      <c r="L46" s="93" t="str" cm="1">
        <f t="array" ref="L46">_xlfn.LET(
  _xlpm.w, L$11,
  _xlpm.r, MATCH(1,('3. Enter Indicator Scores'!$B$10:$B$161=$B46)*('3. Enter Indicator Scores'!$C$10:$C$161=$C46),0),
  _xlpm.c, MATCH(L$8,'3. Enter Indicator Scores'!$D$8:$CZ$8,0),
  _xlpm.v, IFERROR(INDEX('3. Enter Indicator Scores'!$D$10:$CZ$161,_xlpm.r,_xlpm.c),""),
  IF(OR(_xlpm.w="",_xlpm.v=""),"",_xlpm.v*_xlpm.w)
)</f>
        <v/>
      </c>
      <c r="M46" s="93" t="str" cm="1">
        <f t="array" ref="M46">_xlfn.LET(
  _xlpm.w, M$11,
  _xlpm.r, MATCH(1,('3. Enter Indicator Scores'!$B$10:$B$161=$B46)*('3. Enter Indicator Scores'!$C$10:$C$161=$C46),0),
  _xlpm.c, MATCH(M$8,'3. Enter Indicator Scores'!$D$8:$CZ$8,0),
  _xlpm.v, IFERROR(INDEX('3. Enter Indicator Scores'!$D$10:$CZ$161,_xlpm.r,_xlpm.c),""),
  IF(OR(_xlpm.w="",_xlpm.v=""),"",_xlpm.v*_xlpm.w)
)</f>
        <v/>
      </c>
      <c r="N46" s="93" t="str" cm="1">
        <f t="array" ref="N46">_xlfn.LET(
  _xlpm.w, N$11,
  _xlpm.r, MATCH(1,('3. Enter Indicator Scores'!$B$10:$B$161=$B46)*('3. Enter Indicator Scores'!$C$10:$C$161=$C46),0),
  _xlpm.c, MATCH(N$8,'3. Enter Indicator Scores'!$D$8:$CZ$8,0),
  _xlpm.v, IFERROR(INDEX('3. Enter Indicator Scores'!$D$10:$CZ$161,_xlpm.r,_xlpm.c),""),
  IF(OR(_xlpm.w="",_xlpm.v=""),"",_xlpm.v*_xlpm.w)
)</f>
        <v/>
      </c>
      <c r="O46" s="93" t="str" cm="1">
        <f t="array" ref="O46">_xlfn.LET(
  _xlpm.w, O$11,
  _xlpm.r, MATCH(1,('3. Enter Indicator Scores'!$B$10:$B$161=$B46)*('3. Enter Indicator Scores'!$C$10:$C$161=$C46),0),
  _xlpm.c, MATCH(O$8,'3. Enter Indicator Scores'!$D$8:$CZ$8,0),
  _xlpm.v, IFERROR(INDEX('3. Enter Indicator Scores'!$D$10:$CZ$161,_xlpm.r,_xlpm.c),""),
  IF(OR(_xlpm.w="",_xlpm.v=""),"",_xlpm.v*_xlpm.w)
)</f>
        <v/>
      </c>
      <c r="P46" s="93" t="str" cm="1">
        <f t="array" ref="P46">_xlfn.LET(
  _xlpm.w, P$11,
  _xlpm.r, MATCH(1,('3. Enter Indicator Scores'!$B$10:$B$161=$B46)*('3. Enter Indicator Scores'!$C$10:$C$161=$C46),0),
  _xlpm.c, MATCH(P$8,'3. Enter Indicator Scores'!$D$8:$CZ$8,0),
  _xlpm.v, IFERROR(INDEX('3. Enter Indicator Scores'!$D$10:$CZ$161,_xlpm.r,_xlpm.c),""),
  IF(OR(_xlpm.w="",_xlpm.v=""),"",_xlpm.v*_xlpm.w)
)</f>
        <v/>
      </c>
      <c r="Q46" s="93" t="str" cm="1">
        <f t="array" ref="Q46">_xlfn.LET(
  _xlpm.w, Q$11,
  _xlpm.r, MATCH(1,('3. Enter Indicator Scores'!$B$10:$B$161=$B46)*('3. Enter Indicator Scores'!$C$10:$C$161=$C46),0),
  _xlpm.c, MATCH(Q$8,'3. Enter Indicator Scores'!$D$8:$CZ$8,0),
  _xlpm.v, IFERROR(INDEX('3. Enter Indicator Scores'!$D$10:$CZ$161,_xlpm.r,_xlpm.c),""),
  IF(OR(_xlpm.w="",_xlpm.v=""),"",_xlpm.v*_xlpm.w)
)</f>
        <v/>
      </c>
      <c r="R46" s="93" t="str" cm="1">
        <f t="array" ref="R46">_xlfn.LET(
  _xlpm.w, R$11,
  _xlpm.r, MATCH(1,('3. Enter Indicator Scores'!$B$10:$B$161=$B46)*('3. Enter Indicator Scores'!$C$10:$C$161=$C46),0),
  _xlpm.c, MATCH(R$8,'3. Enter Indicator Scores'!$D$8:$CZ$8,0),
  _xlpm.v, IFERROR(INDEX('3. Enter Indicator Scores'!$D$10:$CZ$161,_xlpm.r,_xlpm.c),""),
  IF(OR(_xlpm.w="",_xlpm.v=""),"",_xlpm.v*_xlpm.w)
)</f>
        <v/>
      </c>
      <c r="S46" s="93" t="str" cm="1">
        <f t="array" ref="S46">_xlfn.LET(
  _xlpm.w, S$11,
  _xlpm.r, MATCH(1,('3. Enter Indicator Scores'!$B$10:$B$161=$B46)*('3. Enter Indicator Scores'!$C$10:$C$161=$C46),0),
  _xlpm.c, MATCH(S$8,'3. Enter Indicator Scores'!$D$8:$CZ$8,0),
  _xlpm.v, IFERROR(INDEX('3. Enter Indicator Scores'!$D$10:$CZ$161,_xlpm.r,_xlpm.c),""),
  IF(OR(_xlpm.w="",_xlpm.v=""),"",_xlpm.v*_xlpm.w)
)</f>
        <v/>
      </c>
      <c r="T46" s="93" t="str" cm="1">
        <f t="array" ref="T46">_xlfn.LET(
  _xlpm.w, T$11,
  _xlpm.r, MATCH(1,('3. Enter Indicator Scores'!$B$10:$B$161=$B46)*('3. Enter Indicator Scores'!$C$10:$C$161=$C46),0),
  _xlpm.c, MATCH(T$8,'3. Enter Indicator Scores'!$D$8:$CZ$8,0),
  _xlpm.v, IFERROR(INDEX('3. Enter Indicator Scores'!$D$10:$CZ$161,_xlpm.r,_xlpm.c),""),
  IF(OR(_xlpm.w="",_xlpm.v=""),"",_xlpm.v*_xlpm.w)
)</f>
        <v/>
      </c>
      <c r="U46" s="93" t="str" cm="1">
        <f t="array" ref="U46">_xlfn.LET(
  _xlpm.w, U$11,
  _xlpm.r, MATCH(1,('3. Enter Indicator Scores'!$B$10:$B$161=$B46)*('3. Enter Indicator Scores'!$C$10:$C$161=$C46),0),
  _xlpm.c, MATCH(U$8,'3. Enter Indicator Scores'!$D$8:$CZ$8,0),
  _xlpm.v, IFERROR(INDEX('3. Enter Indicator Scores'!$D$10:$CZ$161,_xlpm.r,_xlpm.c),""),
  IF(OR(_xlpm.w="",_xlpm.v=""),"",_xlpm.v*_xlpm.w)
)</f>
        <v/>
      </c>
      <c r="V46" s="93" t="str" cm="1">
        <f t="array" ref="V46">_xlfn.LET(
  _xlpm.w, V$11,
  _xlpm.r, MATCH(1,('3. Enter Indicator Scores'!$B$10:$B$161=$B46)*('3. Enter Indicator Scores'!$C$10:$C$161=$C46),0),
  _xlpm.c, MATCH(V$8,'3. Enter Indicator Scores'!$D$8:$CZ$8,0),
  _xlpm.v, IFERROR(INDEX('3. Enter Indicator Scores'!$D$10:$CZ$161,_xlpm.r,_xlpm.c),""),
  IF(OR(_xlpm.w="",_xlpm.v=""),"",_xlpm.v*_xlpm.w)
)</f>
        <v/>
      </c>
      <c r="W46" s="93" t="str" cm="1">
        <f t="array" ref="W46">_xlfn.LET(
  _xlpm.w, W$11,
  _xlpm.r, MATCH(1,('3. Enter Indicator Scores'!$B$10:$B$161=$B46)*('3. Enter Indicator Scores'!$C$10:$C$161=$C46),0),
  _xlpm.c, MATCH(W$8,'3. Enter Indicator Scores'!$D$8:$CZ$8,0),
  _xlpm.v, IFERROR(INDEX('3. Enter Indicator Scores'!$D$10:$CZ$161,_xlpm.r,_xlpm.c),""),
  IF(OR(_xlpm.w="",_xlpm.v=""),"",_xlpm.v*_xlpm.w)
)</f>
        <v/>
      </c>
      <c r="X46" s="93" t="str" cm="1">
        <f t="array" ref="X46">_xlfn.LET(
  _xlpm.w, X$11,
  _xlpm.r, MATCH(1,('3. Enter Indicator Scores'!$B$10:$B$161=$B46)*('3. Enter Indicator Scores'!$C$10:$C$161=$C46),0),
  _xlpm.c, MATCH(X$8,'3. Enter Indicator Scores'!$D$8:$CZ$8,0),
  _xlpm.v, IFERROR(INDEX('3. Enter Indicator Scores'!$D$10:$CZ$161,_xlpm.r,_xlpm.c),""),
  IF(OR(_xlpm.w="",_xlpm.v=""),"",_xlpm.v*_xlpm.w)
)</f>
        <v/>
      </c>
      <c r="Y46" s="93" t="str" cm="1">
        <f t="array" ref="Y46">_xlfn.LET(
  _xlpm.w, Y$11,
  _xlpm.r, MATCH(1,('3. Enter Indicator Scores'!$B$10:$B$161=$B46)*('3. Enter Indicator Scores'!$C$10:$C$161=$C46),0),
  _xlpm.c, MATCH(Y$8,'3. Enter Indicator Scores'!$D$8:$CZ$8,0),
  _xlpm.v, IFERROR(INDEX('3. Enter Indicator Scores'!$D$10:$CZ$161,_xlpm.r,_xlpm.c),""),
  IF(OR(_xlpm.w="",_xlpm.v=""),"",_xlpm.v*_xlpm.w)
)</f>
        <v/>
      </c>
      <c r="Z46" s="93" t="str" cm="1">
        <f t="array" ref="Z46">_xlfn.LET(
  _xlpm.w, Z$11,
  _xlpm.r, MATCH(1,('3. Enter Indicator Scores'!$B$10:$B$161=$B46)*('3. Enter Indicator Scores'!$C$10:$C$161=$C46),0),
  _xlpm.c, MATCH(Z$8,'3. Enter Indicator Scores'!$D$8:$CZ$8,0),
  _xlpm.v, IFERROR(INDEX('3. Enter Indicator Scores'!$D$10:$CZ$161,_xlpm.r,_xlpm.c),""),
  IF(OR(_xlpm.w="",_xlpm.v=""),"",_xlpm.v*_xlpm.w)
)</f>
        <v/>
      </c>
      <c r="AA46" s="93" t="str" cm="1">
        <f t="array" ref="AA46">_xlfn.LET(
  _xlpm.w, AA$11,
  _xlpm.r, MATCH(1,('3. Enter Indicator Scores'!$B$10:$B$161=$B46)*('3. Enter Indicator Scores'!$C$10:$C$161=$C46),0),
  _xlpm.c, MATCH(AA$8,'3. Enter Indicator Scores'!$D$8:$CZ$8,0),
  _xlpm.v, IFERROR(INDEX('3. Enter Indicator Scores'!$D$10:$CZ$161,_xlpm.r,_xlpm.c),""),
  IF(OR(_xlpm.w="",_xlpm.v=""),"",_xlpm.v*_xlpm.w)
)</f>
        <v/>
      </c>
      <c r="AB46" s="93" t="str" cm="1">
        <f t="array" ref="AB46">_xlfn.LET(
  _xlpm.w, AB$11,
  _xlpm.r, MATCH(1,('3. Enter Indicator Scores'!$B$10:$B$161=$B46)*('3. Enter Indicator Scores'!$C$10:$C$161=$C46),0),
  _xlpm.c, MATCH(AB$8,'3. Enter Indicator Scores'!$D$8:$CZ$8,0),
  _xlpm.v, IFERROR(INDEX('3. Enter Indicator Scores'!$D$10:$CZ$161,_xlpm.r,_xlpm.c),""),
  IF(OR(_xlpm.w="",_xlpm.v=""),"",_xlpm.v*_xlpm.w)
)</f>
        <v/>
      </c>
      <c r="AC46" s="93" t="str" cm="1">
        <f t="array" ref="AC46">_xlfn.LET(
  _xlpm.w, AC$11,
  _xlpm.r, MATCH(1,('3. Enter Indicator Scores'!$B$10:$B$161=$B46)*('3. Enter Indicator Scores'!$C$10:$C$161=$C46),0),
  _xlpm.c, MATCH(AC$8,'3. Enter Indicator Scores'!$D$8:$CZ$8,0),
  _xlpm.v, IFERROR(INDEX('3. Enter Indicator Scores'!$D$10:$CZ$161,_xlpm.r,_xlpm.c),""),
  IF(OR(_xlpm.w="",_xlpm.v=""),"",_xlpm.v*_xlpm.w)
)</f>
        <v/>
      </c>
      <c r="AD46" s="93" t="str" cm="1">
        <f t="array" ref="AD46">_xlfn.LET(
  _xlpm.w, AD$11,
  _xlpm.r, MATCH(1,('3. Enter Indicator Scores'!$B$10:$B$161=$B46)*('3. Enter Indicator Scores'!$C$10:$C$161=$C46),0),
  _xlpm.c, MATCH(AD$8,'3. Enter Indicator Scores'!$D$8:$CZ$8,0),
  _xlpm.v, IFERROR(INDEX('3. Enter Indicator Scores'!$D$10:$CZ$161,_xlpm.r,_xlpm.c),""),
  IF(OR(_xlpm.w="",_xlpm.v=""),"",_xlpm.v*_xlpm.w)
)</f>
        <v/>
      </c>
      <c r="AE46" s="93" t="str" cm="1">
        <f t="array" ref="AE46">_xlfn.LET(
  _xlpm.w, AE$11,
  _xlpm.r, MATCH(1,('3. Enter Indicator Scores'!$B$10:$B$161=$B46)*('3. Enter Indicator Scores'!$C$10:$C$161=$C46),0),
  _xlpm.c, MATCH(AE$8,'3. Enter Indicator Scores'!$D$8:$CZ$8,0),
  _xlpm.v, IFERROR(INDEX('3. Enter Indicator Scores'!$D$10:$CZ$161,_xlpm.r,_xlpm.c),""),
  IF(OR(_xlpm.w="",_xlpm.v=""),"",_xlpm.v*_xlpm.w)
)</f>
        <v/>
      </c>
      <c r="AF46" s="93" t="str" cm="1">
        <f t="array" ref="AF46">_xlfn.LET(
  _xlpm.w, AF$11,
  _xlpm.r, MATCH(1,('3. Enter Indicator Scores'!$B$10:$B$161=$B46)*('3. Enter Indicator Scores'!$C$10:$C$161=$C46),0),
  _xlpm.c, MATCH(AF$8,'3. Enter Indicator Scores'!$D$8:$CZ$8,0),
  _xlpm.v, IFERROR(INDEX('3. Enter Indicator Scores'!$D$10:$CZ$161,_xlpm.r,_xlpm.c),""),
  IF(OR(_xlpm.w="",_xlpm.v=""),"",_xlpm.v*_xlpm.w)
)</f>
        <v/>
      </c>
      <c r="AG46" s="93" t="str" cm="1">
        <f t="array" ref="AG46">_xlfn.LET(
  _xlpm.w, AG$11,
  _xlpm.r, MATCH(1,('3. Enter Indicator Scores'!$B$10:$B$161=$B46)*('3. Enter Indicator Scores'!$C$10:$C$161=$C46),0),
  _xlpm.c, MATCH(AG$8,'3. Enter Indicator Scores'!$D$8:$CZ$8,0),
  _xlpm.v, IFERROR(INDEX('3. Enter Indicator Scores'!$D$10:$CZ$161,_xlpm.r,_xlpm.c),""),
  IF(OR(_xlpm.w="",_xlpm.v=""),"",_xlpm.v*_xlpm.w)
)</f>
        <v/>
      </c>
      <c r="AH46" s="93" t="str" cm="1">
        <f t="array" ref="AH46">_xlfn.LET(
  _xlpm.w, AH$11,
  _xlpm.r, MATCH(1,('3. Enter Indicator Scores'!$B$10:$B$161=$B46)*('3. Enter Indicator Scores'!$C$10:$C$161=$C46),0),
  _xlpm.c, MATCH(AH$8,'3. Enter Indicator Scores'!$D$8:$CZ$8,0),
  _xlpm.v, IFERROR(INDEX('3. Enter Indicator Scores'!$D$10:$CZ$161,_xlpm.r,_xlpm.c),""),
  IF(OR(_xlpm.w="",_xlpm.v=""),"",_xlpm.v*_xlpm.w)
)</f>
        <v/>
      </c>
      <c r="AI46" s="93" t="str" cm="1">
        <f t="array" ref="AI46">_xlfn.LET(
  _xlpm.w, AI$11,
  _xlpm.r, MATCH(1,('3. Enter Indicator Scores'!$B$10:$B$161=$B46)*('3. Enter Indicator Scores'!$C$10:$C$161=$C46),0),
  _xlpm.c, MATCH(AI$8,'3. Enter Indicator Scores'!$D$8:$CZ$8,0),
  _xlpm.v, IFERROR(INDEX('3. Enter Indicator Scores'!$D$10:$CZ$161,_xlpm.r,_xlpm.c),""),
  IF(OR(_xlpm.w="",_xlpm.v=""),"",_xlpm.v*_xlpm.w)
)</f>
        <v/>
      </c>
      <c r="AJ46" s="93" t="str" cm="1">
        <f t="array" ref="AJ46">_xlfn.LET(
  _xlpm.w, AJ$11,
  _xlpm.r, MATCH(1,('3. Enter Indicator Scores'!$B$10:$B$161=$B46)*('3. Enter Indicator Scores'!$C$10:$C$161=$C46),0),
  _xlpm.c, MATCH(AJ$8,'3. Enter Indicator Scores'!$D$8:$CZ$8,0),
  _xlpm.v, IFERROR(INDEX('3. Enter Indicator Scores'!$D$10:$CZ$161,_xlpm.r,_xlpm.c),""),
  IF(OR(_xlpm.w="",_xlpm.v=""),"",_xlpm.v*_xlpm.w)
)</f>
        <v/>
      </c>
      <c r="AK46" s="93" t="str" cm="1">
        <f t="array" ref="AK46">_xlfn.LET(
  _xlpm.w, AK$11,
  _xlpm.r, MATCH(1,('3. Enter Indicator Scores'!$B$10:$B$161=$B46)*('3. Enter Indicator Scores'!$C$10:$C$161=$C46),0),
  _xlpm.c, MATCH(AK$8,'3. Enter Indicator Scores'!$D$8:$CZ$8,0),
  _xlpm.v, IFERROR(INDEX('3. Enter Indicator Scores'!$D$10:$CZ$161,_xlpm.r,_xlpm.c),""),
  IF(OR(_xlpm.w="",_xlpm.v=""),"",_xlpm.v*_xlpm.w)
)</f>
        <v/>
      </c>
      <c r="AL46" s="93" t="str" cm="1">
        <f t="array" ref="AL46">_xlfn.LET(
  _xlpm.w, AL$11,
  _xlpm.r, MATCH(1,('3. Enter Indicator Scores'!$B$10:$B$161=$B46)*('3. Enter Indicator Scores'!$C$10:$C$161=$C46),0),
  _xlpm.c, MATCH(AL$8,'3. Enter Indicator Scores'!$D$8:$CZ$8,0),
  _xlpm.v, IFERROR(INDEX('3. Enter Indicator Scores'!$D$10:$CZ$161,_xlpm.r,_xlpm.c),""),
  IF(OR(_xlpm.w="",_xlpm.v=""),"",_xlpm.v*_xlpm.w)
)</f>
        <v/>
      </c>
      <c r="AM46" s="93" t="str" cm="1">
        <f t="array" ref="AM46">_xlfn.LET(
  _xlpm.w, AM$11,
  _xlpm.r, MATCH(1,('3. Enter Indicator Scores'!$B$10:$B$161=$B46)*('3. Enter Indicator Scores'!$C$10:$C$161=$C46),0),
  _xlpm.c, MATCH(AM$8,'3. Enter Indicator Scores'!$D$8:$CZ$8,0),
  _xlpm.v, IFERROR(INDEX('3. Enter Indicator Scores'!$D$10:$CZ$161,_xlpm.r,_xlpm.c),""),
  IF(OR(_xlpm.w="",_xlpm.v=""),"",_xlpm.v*_xlpm.w)
)</f>
        <v/>
      </c>
      <c r="AN46" s="93" t="str" cm="1">
        <f t="array" ref="AN46">_xlfn.LET(
  _xlpm.w, AN$11,
  _xlpm.r, MATCH(1,('3. Enter Indicator Scores'!$B$10:$B$161=$B46)*('3. Enter Indicator Scores'!$C$10:$C$161=$C46),0),
  _xlpm.c, MATCH(AN$8,'3. Enter Indicator Scores'!$D$8:$CZ$8,0),
  _xlpm.v, IFERROR(INDEX('3. Enter Indicator Scores'!$D$10:$CZ$161,_xlpm.r,_xlpm.c),""),
  IF(OR(_xlpm.w="",_xlpm.v=""),"",_xlpm.v*_xlpm.w)
)</f>
        <v/>
      </c>
      <c r="AO46" s="93" t="str" cm="1">
        <f t="array" ref="AO46">_xlfn.LET(
  _xlpm.w, AO$11,
  _xlpm.r, MATCH(1,('3. Enter Indicator Scores'!$B$10:$B$161=$B46)*('3. Enter Indicator Scores'!$C$10:$C$161=$C46),0),
  _xlpm.c, MATCH(AO$8,'3. Enter Indicator Scores'!$D$8:$CZ$8,0),
  _xlpm.v, IFERROR(INDEX('3. Enter Indicator Scores'!$D$10:$CZ$161,_xlpm.r,_xlpm.c),""),
  IF(OR(_xlpm.w="",_xlpm.v=""),"",_xlpm.v*_xlpm.w)
)</f>
        <v/>
      </c>
      <c r="AP46" s="93" t="str" cm="1">
        <f t="array" ref="AP46">_xlfn.LET(
  _xlpm.w, AP$11,
  _xlpm.r, MATCH(1,('3. Enter Indicator Scores'!$B$10:$B$161=$B46)*('3. Enter Indicator Scores'!$C$10:$C$161=$C46),0),
  _xlpm.c, MATCH(AP$8,'3. Enter Indicator Scores'!$D$8:$CZ$8,0),
  _xlpm.v, IFERROR(INDEX('3. Enter Indicator Scores'!$D$10:$CZ$161,_xlpm.r,_xlpm.c),""),
  IF(OR(_xlpm.w="",_xlpm.v=""),"",_xlpm.v*_xlpm.w)
)</f>
        <v/>
      </c>
      <c r="AQ46" s="93" t="str" cm="1">
        <f t="array" ref="AQ46">_xlfn.LET(
  _xlpm.w, AQ$11,
  _xlpm.r, MATCH(1,('3. Enter Indicator Scores'!$B$10:$B$161=$B46)*('3. Enter Indicator Scores'!$C$10:$C$161=$C46),0),
  _xlpm.c, MATCH(AQ$8,'3. Enter Indicator Scores'!$D$8:$CZ$8,0),
  _xlpm.v, IFERROR(INDEX('3. Enter Indicator Scores'!$D$10:$CZ$161,_xlpm.r,_xlpm.c),""),
  IF(OR(_xlpm.w="",_xlpm.v=""),"",_xlpm.v*_xlpm.w)
)</f>
        <v/>
      </c>
      <c r="AR46" s="93" t="str" cm="1">
        <f t="array" ref="AR46">_xlfn.LET(
  _xlpm.w, AR$11,
  _xlpm.r, MATCH(1,('3. Enter Indicator Scores'!$B$10:$B$161=$B46)*('3. Enter Indicator Scores'!$C$10:$C$161=$C46),0),
  _xlpm.c, MATCH(AR$8,'3. Enter Indicator Scores'!$D$8:$CZ$8,0),
  _xlpm.v, IFERROR(INDEX('3. Enter Indicator Scores'!$D$10:$CZ$161,_xlpm.r,_xlpm.c),""),
  IF(OR(_xlpm.w="",_xlpm.v=""),"",_xlpm.v*_xlpm.w)
)</f>
        <v/>
      </c>
      <c r="AS46" s="93" t="str" cm="1">
        <f t="array" ref="AS46">_xlfn.LET(
  _xlpm.w, AS$11,
  _xlpm.r, MATCH(1,('3. Enter Indicator Scores'!$B$10:$B$161=$B46)*('3. Enter Indicator Scores'!$C$10:$C$161=$C46),0),
  _xlpm.c, MATCH(AS$8,'3. Enter Indicator Scores'!$D$8:$CZ$8,0),
  _xlpm.v, IFERROR(INDEX('3. Enter Indicator Scores'!$D$10:$CZ$161,_xlpm.r,_xlpm.c),""),
  IF(OR(_xlpm.w="",_xlpm.v=""),"",_xlpm.v*_xlpm.w)
)</f>
        <v/>
      </c>
      <c r="AT46" s="93" t="str" cm="1">
        <f t="array" ref="AT46">_xlfn.LET(
  _xlpm.w, AT$11,
  _xlpm.r, MATCH(1,('3. Enter Indicator Scores'!$B$10:$B$161=$B46)*('3. Enter Indicator Scores'!$C$10:$C$161=$C46),0),
  _xlpm.c, MATCH(AT$8,'3. Enter Indicator Scores'!$D$8:$CZ$8,0),
  _xlpm.v, IFERROR(INDEX('3. Enter Indicator Scores'!$D$10:$CZ$161,_xlpm.r,_xlpm.c),""),
  IF(OR(_xlpm.w="",_xlpm.v=""),"",_xlpm.v*_xlpm.w)
)</f>
        <v/>
      </c>
      <c r="AU46" s="93" t="str" cm="1">
        <f t="array" ref="AU46">_xlfn.LET(
  _xlpm.w, AU$11,
  _xlpm.r, MATCH(1,('3. Enter Indicator Scores'!$B$10:$B$161=$B46)*('3. Enter Indicator Scores'!$C$10:$C$161=$C46),0),
  _xlpm.c, MATCH(AU$8,'3. Enter Indicator Scores'!$D$8:$CZ$8,0),
  _xlpm.v, IFERROR(INDEX('3. Enter Indicator Scores'!$D$10:$CZ$161,_xlpm.r,_xlpm.c),""),
  IF(OR(_xlpm.w="",_xlpm.v=""),"",_xlpm.v*_xlpm.w)
)</f>
        <v/>
      </c>
      <c r="AV46" s="93" t="str" cm="1">
        <f t="array" ref="AV46">_xlfn.LET(
  _xlpm.w, AV$11,
  _xlpm.r, MATCH(1,('3. Enter Indicator Scores'!$B$10:$B$161=$B46)*('3. Enter Indicator Scores'!$C$10:$C$161=$C46),0),
  _xlpm.c, MATCH(AV$8,'3. Enter Indicator Scores'!$D$8:$CZ$8,0),
  _xlpm.v, IFERROR(INDEX('3. Enter Indicator Scores'!$D$10:$CZ$161,_xlpm.r,_xlpm.c),""),
  IF(OR(_xlpm.w="",_xlpm.v=""),"",_xlpm.v*_xlpm.w)
)</f>
        <v/>
      </c>
      <c r="AW46" s="93" t="str" cm="1">
        <f t="array" ref="AW46">_xlfn.LET(
  _xlpm.w, AW$11,
  _xlpm.r, MATCH(1,('3. Enter Indicator Scores'!$B$10:$B$161=$B46)*('3. Enter Indicator Scores'!$C$10:$C$161=$C46),0),
  _xlpm.c, MATCH(AW$8,'3. Enter Indicator Scores'!$D$8:$CZ$8,0),
  _xlpm.v, IFERROR(INDEX('3. Enter Indicator Scores'!$D$10:$CZ$161,_xlpm.r,_xlpm.c),""),
  IF(OR(_xlpm.w="",_xlpm.v=""),"",_xlpm.v*_xlpm.w)
)</f>
        <v/>
      </c>
      <c r="AX46" s="93" t="str" cm="1">
        <f t="array" ref="AX46">_xlfn.LET(
  _xlpm.w, AX$11,
  _xlpm.r, MATCH(1,('3. Enter Indicator Scores'!$B$10:$B$161=$B46)*('3. Enter Indicator Scores'!$C$10:$C$161=$C46),0),
  _xlpm.c, MATCH(AX$8,'3. Enter Indicator Scores'!$D$8:$CZ$8,0),
  _xlpm.v, IFERROR(INDEX('3. Enter Indicator Scores'!$D$10:$CZ$161,_xlpm.r,_xlpm.c),""),
  IF(OR(_xlpm.w="",_xlpm.v=""),"",_xlpm.v*_xlpm.w)
)</f>
        <v/>
      </c>
      <c r="AY46" s="93" t="str" cm="1">
        <f t="array" ref="AY46">_xlfn.LET(
  _xlpm.w, AY$11,
  _xlpm.r, MATCH(1,('3. Enter Indicator Scores'!$B$10:$B$161=$B46)*('3. Enter Indicator Scores'!$C$10:$C$161=$C46),0),
  _xlpm.c, MATCH(AY$8,'3. Enter Indicator Scores'!$D$8:$CZ$8,0),
  _xlpm.v, IFERROR(INDEX('3. Enter Indicator Scores'!$D$10:$CZ$161,_xlpm.r,_xlpm.c),""),
  IF(OR(_xlpm.w="",_xlpm.v=""),"",_xlpm.v*_xlpm.w)
)</f>
        <v/>
      </c>
      <c r="AZ46" s="93" t="str" cm="1">
        <f t="array" ref="AZ46">_xlfn.LET(
  _xlpm.w, AZ$11,
  _xlpm.r, MATCH(1,('3. Enter Indicator Scores'!$B$10:$B$161=$B46)*('3. Enter Indicator Scores'!$C$10:$C$161=$C46),0),
  _xlpm.c, MATCH(AZ$8,'3. Enter Indicator Scores'!$D$8:$CZ$8,0),
  _xlpm.v, IFERROR(INDEX('3. Enter Indicator Scores'!$D$10:$CZ$161,_xlpm.r,_xlpm.c),""),
  IF(OR(_xlpm.w="",_xlpm.v=""),"",_xlpm.v*_xlpm.w)
)</f>
        <v/>
      </c>
      <c r="BA46" s="93" t="str" cm="1">
        <f t="array" ref="BA46">_xlfn.LET(
  _xlpm.w, BA$11,
  _xlpm.r, MATCH(1,('3. Enter Indicator Scores'!$B$10:$B$161=$B46)*('3. Enter Indicator Scores'!$C$10:$C$161=$C46),0),
  _xlpm.c, MATCH(BA$8,'3. Enter Indicator Scores'!$D$8:$CZ$8,0),
  _xlpm.v, IFERROR(INDEX('3. Enter Indicator Scores'!$D$10:$CZ$161,_xlpm.r,_xlpm.c),""),
  IF(OR(_xlpm.w="",_xlpm.v=""),"",_xlpm.v*_xlpm.w)
)</f>
        <v/>
      </c>
      <c r="BB46" s="93" t="str" cm="1">
        <f t="array" ref="BB46">_xlfn.LET(
  _xlpm.w, BB$11,
  _xlpm.r, MATCH(1,('3. Enter Indicator Scores'!$B$10:$B$161=$B46)*('3. Enter Indicator Scores'!$C$10:$C$161=$C46),0),
  _xlpm.c, MATCH(BB$8,'3. Enter Indicator Scores'!$D$8:$CZ$8,0),
  _xlpm.v, IFERROR(INDEX('3. Enter Indicator Scores'!$D$10:$CZ$161,_xlpm.r,_xlpm.c),""),
  IF(OR(_xlpm.w="",_xlpm.v=""),"",_xlpm.v*_xlpm.w)
)</f>
        <v/>
      </c>
      <c r="BC46" s="93" t="str" cm="1">
        <f t="array" ref="BC46">_xlfn.LET(
  _xlpm.w, BC$11,
  _xlpm.r, MATCH(1,('3. Enter Indicator Scores'!$B$10:$B$161=$B46)*('3. Enter Indicator Scores'!$C$10:$C$161=$C46),0),
  _xlpm.c, MATCH(BC$8,'3. Enter Indicator Scores'!$D$8:$CZ$8,0),
  _xlpm.v, IFERROR(INDEX('3. Enter Indicator Scores'!$D$10:$CZ$161,_xlpm.r,_xlpm.c),""),
  IF(OR(_xlpm.w="",_xlpm.v=""),"",_xlpm.v*_xlpm.w)
)</f>
        <v/>
      </c>
      <c r="BD46" s="93" t="str" cm="1">
        <f t="array" ref="BD46">_xlfn.LET(
  _xlpm.w, BD$11,
  _xlpm.r, MATCH(1,('3. Enter Indicator Scores'!$B$10:$B$161=$B46)*('3. Enter Indicator Scores'!$C$10:$C$161=$C46),0),
  _xlpm.c, MATCH(BD$8,'3. Enter Indicator Scores'!$D$8:$CZ$8,0),
  _xlpm.v, IFERROR(INDEX('3. Enter Indicator Scores'!$D$10:$CZ$161,_xlpm.r,_xlpm.c),""),
  IF(OR(_xlpm.w="",_xlpm.v=""),"",_xlpm.v*_xlpm.w)
)</f>
        <v/>
      </c>
      <c r="BE46" s="93" t="str" cm="1">
        <f t="array" ref="BE46">_xlfn.LET(
  _xlpm.w, BE$11,
  _xlpm.r, MATCH(1,('3. Enter Indicator Scores'!$B$10:$B$161=$B46)*('3. Enter Indicator Scores'!$C$10:$C$161=$C46),0),
  _xlpm.c, MATCH(BE$8,'3. Enter Indicator Scores'!$D$8:$CZ$8,0),
  _xlpm.v, IFERROR(INDEX('3. Enter Indicator Scores'!$D$10:$CZ$161,_xlpm.r,_xlpm.c),""),
  IF(OR(_xlpm.w="",_xlpm.v=""),"",_xlpm.v*_xlpm.w)
)</f>
        <v/>
      </c>
      <c r="BF46" s="93" t="str" cm="1">
        <f t="array" ref="BF46">_xlfn.LET(
  _xlpm.w, BF$11,
  _xlpm.r, MATCH(1,('3. Enter Indicator Scores'!$B$10:$B$161=$B46)*('3. Enter Indicator Scores'!$C$10:$C$161=$C46),0),
  _xlpm.c, MATCH(BF$8,'3. Enter Indicator Scores'!$D$8:$CZ$8,0),
  _xlpm.v, IFERROR(INDEX('3. Enter Indicator Scores'!$D$10:$CZ$161,_xlpm.r,_xlpm.c),""),
  IF(OR(_xlpm.w="",_xlpm.v=""),"",_xlpm.v*_xlpm.w)
)</f>
        <v/>
      </c>
      <c r="BG46" s="93" t="str" cm="1">
        <f t="array" ref="BG46">_xlfn.LET(
  _xlpm.w, BG$11,
  _xlpm.r, MATCH(1,('3. Enter Indicator Scores'!$B$10:$B$161=$B46)*('3. Enter Indicator Scores'!$C$10:$C$161=$C46),0),
  _xlpm.c, MATCH(BG$8,'3. Enter Indicator Scores'!$D$8:$CZ$8,0),
  _xlpm.v, IFERROR(INDEX('3. Enter Indicator Scores'!$D$10:$CZ$161,_xlpm.r,_xlpm.c),""),
  IF(OR(_xlpm.w="",_xlpm.v=""),"",_xlpm.v*_xlpm.w)
)</f>
        <v/>
      </c>
      <c r="BH46" s="93" t="str" cm="1">
        <f t="array" ref="BH46">_xlfn.LET(
  _xlpm.w, BH$11,
  _xlpm.r, MATCH(1,('3. Enter Indicator Scores'!$B$10:$B$161=$B46)*('3. Enter Indicator Scores'!$C$10:$C$161=$C46),0),
  _xlpm.c, MATCH(BH$8,'3. Enter Indicator Scores'!$D$8:$CZ$8,0),
  _xlpm.v, IFERROR(INDEX('3. Enter Indicator Scores'!$D$10:$CZ$161,_xlpm.r,_xlpm.c),""),
  IF(OR(_xlpm.w="",_xlpm.v=""),"",_xlpm.v*_xlpm.w)
)</f>
        <v/>
      </c>
      <c r="BI46" s="93" t="str" cm="1">
        <f t="array" ref="BI46">_xlfn.LET(
  _xlpm.w, BI$11,
  _xlpm.r, MATCH(1,('3. Enter Indicator Scores'!$B$10:$B$161=$B46)*('3. Enter Indicator Scores'!$C$10:$C$161=$C46),0),
  _xlpm.c, MATCH(BI$8,'3. Enter Indicator Scores'!$D$8:$CZ$8,0),
  _xlpm.v, IFERROR(INDEX('3. Enter Indicator Scores'!$D$10:$CZ$161,_xlpm.r,_xlpm.c),""),
  IF(OR(_xlpm.w="",_xlpm.v=""),"",_xlpm.v*_xlpm.w)
)</f>
        <v/>
      </c>
      <c r="BJ46" s="93" t="str" cm="1">
        <f t="array" ref="BJ46">_xlfn.LET(
  _xlpm.w, BJ$11,
  _xlpm.r, MATCH(1,('3. Enter Indicator Scores'!$B$10:$B$161=$B46)*('3. Enter Indicator Scores'!$C$10:$C$161=$C46),0),
  _xlpm.c, MATCH(BJ$8,'3. Enter Indicator Scores'!$D$8:$CZ$8,0),
  _xlpm.v, IFERROR(INDEX('3. Enter Indicator Scores'!$D$10:$CZ$161,_xlpm.r,_xlpm.c),""),
  IF(OR(_xlpm.w="",_xlpm.v=""),"",_xlpm.v*_xlpm.w)
)</f>
        <v/>
      </c>
      <c r="BK46" s="93" t="str" cm="1">
        <f t="array" ref="BK46">_xlfn.LET(
  _xlpm.w, BK$11,
  _xlpm.r, MATCH(1,('3. Enter Indicator Scores'!$B$10:$B$161=$B46)*('3. Enter Indicator Scores'!$C$10:$C$161=$C46),0),
  _xlpm.c, MATCH(BK$8,'3. Enter Indicator Scores'!$D$8:$CZ$8,0),
  _xlpm.v, IFERROR(INDEX('3. Enter Indicator Scores'!$D$10:$CZ$161,_xlpm.r,_xlpm.c),""),
  IF(OR(_xlpm.w="",_xlpm.v=""),"",_xlpm.v*_xlpm.w)
)</f>
        <v/>
      </c>
      <c r="BL46" s="93" t="str" cm="1">
        <f t="array" ref="BL46">_xlfn.LET(
  _xlpm.w, BL$11,
  _xlpm.r, MATCH(1,('3. Enter Indicator Scores'!$B$10:$B$161=$B46)*('3. Enter Indicator Scores'!$C$10:$C$161=$C46),0),
  _xlpm.c, MATCH(BL$8,'3. Enter Indicator Scores'!$D$8:$CZ$8,0),
  _xlpm.v, IFERROR(INDEX('3. Enter Indicator Scores'!$D$10:$CZ$161,_xlpm.r,_xlpm.c),""),
  IF(OR(_xlpm.w="",_xlpm.v=""),"",_xlpm.v*_xlpm.w)
)</f>
        <v/>
      </c>
      <c r="BM46" s="93" t="str" cm="1">
        <f t="array" ref="BM46">_xlfn.LET(
  _xlpm.w, BM$11,
  _xlpm.r, MATCH(1,('3. Enter Indicator Scores'!$B$10:$B$161=$B46)*('3. Enter Indicator Scores'!$C$10:$C$161=$C46),0),
  _xlpm.c, MATCH(BM$8,'3. Enter Indicator Scores'!$D$8:$CZ$8,0),
  _xlpm.v, IFERROR(INDEX('3. Enter Indicator Scores'!$D$10:$CZ$161,_xlpm.r,_xlpm.c),""),
  IF(OR(_xlpm.w="",_xlpm.v=""),"",_xlpm.v*_xlpm.w)
)</f>
        <v/>
      </c>
      <c r="BN46" s="93" t="str" cm="1">
        <f t="array" ref="BN46">_xlfn.LET(
  _xlpm.w, BN$11,
  _xlpm.r, MATCH(1,('3. Enter Indicator Scores'!$B$10:$B$161=$B46)*('3. Enter Indicator Scores'!$C$10:$C$161=$C46),0),
  _xlpm.c, MATCH(BN$8,'3. Enter Indicator Scores'!$D$8:$CZ$8,0),
  _xlpm.v, IFERROR(INDEX('3. Enter Indicator Scores'!$D$10:$CZ$161,_xlpm.r,_xlpm.c),""),
  IF(OR(_xlpm.w="",_xlpm.v=""),"",_xlpm.v*_xlpm.w)
)</f>
        <v/>
      </c>
      <c r="BO46" s="93" t="str" cm="1">
        <f t="array" ref="BO46">_xlfn.LET(
  _xlpm.w, BO$11,
  _xlpm.r, MATCH(1,('3. Enter Indicator Scores'!$B$10:$B$161=$B46)*('3. Enter Indicator Scores'!$C$10:$C$161=$C46),0),
  _xlpm.c, MATCH(BO$8,'3. Enter Indicator Scores'!$D$8:$CZ$8,0),
  _xlpm.v, IFERROR(INDEX('3. Enter Indicator Scores'!$D$10:$CZ$161,_xlpm.r,_xlpm.c),""),
  IF(OR(_xlpm.w="",_xlpm.v=""),"",_xlpm.v*_xlpm.w)
)</f>
        <v/>
      </c>
      <c r="BP46" s="93" t="str" cm="1">
        <f t="array" ref="BP46">_xlfn.LET(
  _xlpm.w, BP$11,
  _xlpm.r, MATCH(1,('3. Enter Indicator Scores'!$B$10:$B$161=$B46)*('3. Enter Indicator Scores'!$C$10:$C$161=$C46),0),
  _xlpm.c, MATCH(BP$8,'3. Enter Indicator Scores'!$D$8:$CZ$8,0),
  _xlpm.v, IFERROR(INDEX('3. Enter Indicator Scores'!$D$10:$CZ$161,_xlpm.r,_xlpm.c),""),
  IF(OR(_xlpm.w="",_xlpm.v=""),"",_xlpm.v*_xlpm.w)
)</f>
        <v/>
      </c>
      <c r="BQ46" s="93" t="str" cm="1">
        <f t="array" ref="BQ46">_xlfn.LET(
  _xlpm.w, BQ$11,
  _xlpm.r, MATCH(1,('3. Enter Indicator Scores'!$B$10:$B$161=$B46)*('3. Enter Indicator Scores'!$C$10:$C$161=$C46),0),
  _xlpm.c, MATCH(BQ$8,'3. Enter Indicator Scores'!$D$8:$CZ$8,0),
  _xlpm.v, IFERROR(INDEX('3. Enter Indicator Scores'!$D$10:$CZ$161,_xlpm.r,_xlpm.c),""),
  IF(OR(_xlpm.w="",_xlpm.v=""),"",_xlpm.v*_xlpm.w)
)</f>
        <v/>
      </c>
      <c r="BR46" s="93" t="str" cm="1">
        <f t="array" ref="BR46">_xlfn.LET(
  _xlpm.w, BR$11,
  _xlpm.r, MATCH(1,('3. Enter Indicator Scores'!$B$10:$B$161=$B46)*('3. Enter Indicator Scores'!$C$10:$C$161=$C46),0),
  _xlpm.c, MATCH(BR$8,'3. Enter Indicator Scores'!$D$8:$CZ$8,0),
  _xlpm.v, IFERROR(INDEX('3. Enter Indicator Scores'!$D$10:$CZ$161,_xlpm.r,_xlpm.c),""),
  IF(OR(_xlpm.w="",_xlpm.v=""),"",_xlpm.v*_xlpm.w)
)</f>
        <v/>
      </c>
      <c r="BS46" s="93" t="str" cm="1">
        <f t="array" ref="BS46">_xlfn.LET(
  _xlpm.w, BS$11,
  _xlpm.r, MATCH(1,('3. Enter Indicator Scores'!$B$10:$B$161=$B46)*('3. Enter Indicator Scores'!$C$10:$C$161=$C46),0),
  _xlpm.c, MATCH(BS$8,'3. Enter Indicator Scores'!$D$8:$CZ$8,0),
  _xlpm.v, IFERROR(INDEX('3. Enter Indicator Scores'!$D$10:$CZ$161,_xlpm.r,_xlpm.c),""),
  IF(OR(_xlpm.w="",_xlpm.v=""),"",_xlpm.v*_xlpm.w)
)</f>
        <v/>
      </c>
      <c r="BT46" s="93" t="str" cm="1">
        <f t="array" ref="BT46">_xlfn.LET(
  _xlpm.w, BT$11,
  _xlpm.r, MATCH(1,('3. Enter Indicator Scores'!$B$10:$B$161=$B46)*('3. Enter Indicator Scores'!$C$10:$C$161=$C46),0),
  _xlpm.c, MATCH(BT$8,'3. Enter Indicator Scores'!$D$8:$CZ$8,0),
  _xlpm.v, IFERROR(INDEX('3. Enter Indicator Scores'!$D$10:$CZ$161,_xlpm.r,_xlpm.c),""),
  IF(OR(_xlpm.w="",_xlpm.v=""),"",_xlpm.v*_xlpm.w)
)</f>
        <v/>
      </c>
      <c r="BU46" s="93" t="str" cm="1">
        <f t="array" ref="BU46">_xlfn.LET(
  _xlpm.w, BU$11,
  _xlpm.r, MATCH(1,('3. Enter Indicator Scores'!$B$10:$B$161=$B46)*('3. Enter Indicator Scores'!$C$10:$C$161=$C46),0),
  _xlpm.c, MATCH(BU$8,'3. Enter Indicator Scores'!$D$8:$CZ$8,0),
  _xlpm.v, IFERROR(INDEX('3. Enter Indicator Scores'!$D$10:$CZ$161,_xlpm.r,_xlpm.c),""),
  IF(OR(_xlpm.w="",_xlpm.v=""),"",_xlpm.v*_xlpm.w)
)</f>
        <v/>
      </c>
      <c r="BV46" s="93" t="str" cm="1">
        <f t="array" ref="BV46">_xlfn.LET(
  _xlpm.w, BV$11,
  _xlpm.r, MATCH(1,('3. Enter Indicator Scores'!$B$10:$B$161=$B46)*('3. Enter Indicator Scores'!$C$10:$C$161=$C46),0),
  _xlpm.c, MATCH(BV$8,'3. Enter Indicator Scores'!$D$8:$CZ$8,0),
  _xlpm.v, IFERROR(INDEX('3. Enter Indicator Scores'!$D$10:$CZ$161,_xlpm.r,_xlpm.c),""),
  IF(OR(_xlpm.w="",_xlpm.v=""),"",_xlpm.v*_xlpm.w)
)</f>
        <v/>
      </c>
      <c r="BW46" s="93" t="str" cm="1">
        <f t="array" ref="BW46">_xlfn.LET(
  _xlpm.w, BW$11,
  _xlpm.r, MATCH(1,('3. Enter Indicator Scores'!$B$10:$B$161=$B46)*('3. Enter Indicator Scores'!$C$10:$C$161=$C46),0),
  _xlpm.c, MATCH(BW$8,'3. Enter Indicator Scores'!$D$8:$CZ$8,0),
  _xlpm.v, IFERROR(INDEX('3. Enter Indicator Scores'!$D$10:$CZ$161,_xlpm.r,_xlpm.c),""),
  IF(OR(_xlpm.w="",_xlpm.v=""),"",_xlpm.v*_xlpm.w)
)</f>
        <v/>
      </c>
      <c r="BX46" s="93" t="str" cm="1">
        <f t="array" ref="BX46">_xlfn.LET(
  _xlpm.w, BX$11,
  _xlpm.r, MATCH(1,('3. Enter Indicator Scores'!$B$10:$B$161=$B46)*('3. Enter Indicator Scores'!$C$10:$C$161=$C46),0),
  _xlpm.c, MATCH(BX$8,'3. Enter Indicator Scores'!$D$8:$CZ$8,0),
  _xlpm.v, IFERROR(INDEX('3. Enter Indicator Scores'!$D$10:$CZ$161,_xlpm.r,_xlpm.c),""),
  IF(OR(_xlpm.w="",_xlpm.v=""),"",_xlpm.v*_xlpm.w)
)</f>
        <v/>
      </c>
      <c r="BY46" s="93" t="str" cm="1">
        <f t="array" ref="BY46">_xlfn.LET(
  _xlpm.w, BY$11,
  _xlpm.r, MATCH(1,('3. Enter Indicator Scores'!$B$10:$B$161=$B46)*('3. Enter Indicator Scores'!$C$10:$C$161=$C46),0),
  _xlpm.c, MATCH(BY$8,'3. Enter Indicator Scores'!$D$8:$CZ$8,0),
  _xlpm.v, IFERROR(INDEX('3. Enter Indicator Scores'!$D$10:$CZ$161,_xlpm.r,_xlpm.c),""),
  IF(OR(_xlpm.w="",_xlpm.v=""),"",_xlpm.v*_xlpm.w)
)</f>
        <v/>
      </c>
      <c r="BZ46" s="93" t="str" cm="1">
        <f t="array" ref="BZ46">_xlfn.LET(
  _xlpm.w, BZ$11,
  _xlpm.r, MATCH(1,('3. Enter Indicator Scores'!$B$10:$B$161=$B46)*('3. Enter Indicator Scores'!$C$10:$C$161=$C46),0),
  _xlpm.c, MATCH(BZ$8,'3. Enter Indicator Scores'!$D$8:$CZ$8,0),
  _xlpm.v, IFERROR(INDEX('3. Enter Indicator Scores'!$D$10:$CZ$161,_xlpm.r,_xlpm.c),""),
  IF(OR(_xlpm.w="",_xlpm.v=""),"",_xlpm.v*_xlpm.w)
)</f>
        <v/>
      </c>
      <c r="CA46" s="93" t="str" cm="1">
        <f t="array" ref="CA46">_xlfn.LET(
  _xlpm.w, CA$11,
  _xlpm.r, MATCH(1,('3. Enter Indicator Scores'!$B$10:$B$161=$B46)*('3. Enter Indicator Scores'!$C$10:$C$161=$C46),0),
  _xlpm.c, MATCH(CA$8,'3. Enter Indicator Scores'!$D$8:$CZ$8,0),
  _xlpm.v, IFERROR(INDEX('3. Enter Indicator Scores'!$D$10:$CZ$161,_xlpm.r,_xlpm.c),""),
  IF(OR(_xlpm.w="",_xlpm.v=""),"",_xlpm.v*_xlpm.w)
)</f>
        <v/>
      </c>
      <c r="CB46" s="93" t="str" cm="1">
        <f t="array" ref="CB46">_xlfn.LET(
  _xlpm.w, CB$11,
  _xlpm.r, MATCH(1,('3. Enter Indicator Scores'!$B$10:$B$161=$B46)*('3. Enter Indicator Scores'!$C$10:$C$161=$C46),0),
  _xlpm.c, MATCH(CB$8,'3. Enter Indicator Scores'!$D$8:$CZ$8,0),
  _xlpm.v, IFERROR(INDEX('3. Enter Indicator Scores'!$D$10:$CZ$161,_xlpm.r,_xlpm.c),""),
  IF(OR(_xlpm.w="",_xlpm.v=""),"",_xlpm.v*_xlpm.w)
)</f>
        <v/>
      </c>
      <c r="CC46" s="93" t="str" cm="1">
        <f t="array" ref="CC46">_xlfn.LET(
  _xlpm.w, CC$11,
  _xlpm.r, MATCH(1,('3. Enter Indicator Scores'!$B$10:$B$161=$B46)*('3. Enter Indicator Scores'!$C$10:$C$161=$C46),0),
  _xlpm.c, MATCH(CC$8,'3. Enter Indicator Scores'!$D$8:$CZ$8,0),
  _xlpm.v, IFERROR(INDEX('3. Enter Indicator Scores'!$D$10:$CZ$161,_xlpm.r,_xlpm.c),""),
  IF(OR(_xlpm.w="",_xlpm.v=""),"",_xlpm.v*_xlpm.w)
)</f>
        <v/>
      </c>
      <c r="CD46" s="93" t="str" cm="1">
        <f t="array" ref="CD46">_xlfn.LET(
  _xlpm.w, CD$11,
  _xlpm.r, MATCH(1,('3. Enter Indicator Scores'!$B$10:$B$161=$B46)*('3. Enter Indicator Scores'!$C$10:$C$161=$C46),0),
  _xlpm.c, MATCH(CD$8,'3. Enter Indicator Scores'!$D$8:$CZ$8,0),
  _xlpm.v, IFERROR(INDEX('3. Enter Indicator Scores'!$D$10:$CZ$161,_xlpm.r,_xlpm.c),""),
  IF(OR(_xlpm.w="",_xlpm.v=""),"",_xlpm.v*_xlpm.w)
)</f>
        <v/>
      </c>
      <c r="CE46" s="93" t="str" cm="1">
        <f t="array" ref="CE46">_xlfn.LET(
  _xlpm.w, CE$11,
  _xlpm.r, MATCH(1,('3. Enter Indicator Scores'!$B$10:$B$161=$B46)*('3. Enter Indicator Scores'!$C$10:$C$161=$C46),0),
  _xlpm.c, MATCH(CE$8,'3. Enter Indicator Scores'!$D$8:$CZ$8,0),
  _xlpm.v, IFERROR(INDEX('3. Enter Indicator Scores'!$D$10:$CZ$161,_xlpm.r,_xlpm.c),""),
  IF(OR(_xlpm.w="",_xlpm.v=""),"",_xlpm.v*_xlpm.w)
)</f>
        <v/>
      </c>
      <c r="CF46" s="93" t="str" cm="1">
        <f t="array" ref="CF46">_xlfn.LET(
  _xlpm.w, CF$11,
  _xlpm.r, MATCH(1,('3. Enter Indicator Scores'!$B$10:$B$161=$B46)*('3. Enter Indicator Scores'!$C$10:$C$161=$C46),0),
  _xlpm.c, MATCH(CF$8,'3. Enter Indicator Scores'!$D$8:$CZ$8,0),
  _xlpm.v, IFERROR(INDEX('3. Enter Indicator Scores'!$D$10:$CZ$161,_xlpm.r,_xlpm.c),""),
  IF(OR(_xlpm.w="",_xlpm.v=""),"",_xlpm.v*_xlpm.w)
)</f>
        <v/>
      </c>
      <c r="CG46" s="93" t="str" cm="1">
        <f t="array" ref="CG46">_xlfn.LET(
  _xlpm.w, CG$11,
  _xlpm.r, MATCH(1,('3. Enter Indicator Scores'!$B$10:$B$161=$B46)*('3. Enter Indicator Scores'!$C$10:$C$161=$C46),0),
  _xlpm.c, MATCH(CG$8,'3. Enter Indicator Scores'!$D$8:$CZ$8,0),
  _xlpm.v, IFERROR(INDEX('3. Enter Indicator Scores'!$D$10:$CZ$161,_xlpm.r,_xlpm.c),""),
  IF(OR(_xlpm.w="",_xlpm.v=""),"",_xlpm.v*_xlpm.w)
)</f>
        <v/>
      </c>
      <c r="CH46" s="93" t="str" cm="1">
        <f t="array" ref="CH46">_xlfn.LET(
  _xlpm.w, CH$11,
  _xlpm.r, MATCH(1,('3. Enter Indicator Scores'!$B$10:$B$161=$B46)*('3. Enter Indicator Scores'!$C$10:$C$161=$C46),0),
  _xlpm.c, MATCH(CH$8,'3. Enter Indicator Scores'!$D$8:$CZ$8,0),
  _xlpm.v, IFERROR(INDEX('3. Enter Indicator Scores'!$D$10:$CZ$161,_xlpm.r,_xlpm.c),""),
  IF(OR(_xlpm.w="",_xlpm.v=""),"",_xlpm.v*_xlpm.w)
)</f>
        <v/>
      </c>
      <c r="CI46" s="93" t="str" cm="1">
        <f t="array" ref="CI46">_xlfn.LET(
  _xlpm.w, CI$11,
  _xlpm.r, MATCH(1,('3. Enter Indicator Scores'!$B$10:$B$161=$B46)*('3. Enter Indicator Scores'!$C$10:$C$161=$C46),0),
  _xlpm.c, MATCH(CI$8,'3. Enter Indicator Scores'!$D$8:$CZ$8,0),
  _xlpm.v, IFERROR(INDEX('3. Enter Indicator Scores'!$D$10:$CZ$161,_xlpm.r,_xlpm.c),""),
  IF(OR(_xlpm.w="",_xlpm.v=""),"",_xlpm.v*_xlpm.w)
)</f>
        <v/>
      </c>
      <c r="CJ46" s="93" t="str" cm="1">
        <f t="array" ref="CJ46">_xlfn.LET(
  _xlpm.w, CJ$11,
  _xlpm.r, MATCH(1,('3. Enter Indicator Scores'!$B$10:$B$161=$B46)*('3. Enter Indicator Scores'!$C$10:$C$161=$C46),0),
  _xlpm.c, MATCH(CJ$8,'3. Enter Indicator Scores'!$D$8:$CZ$8,0),
  _xlpm.v, IFERROR(INDEX('3. Enter Indicator Scores'!$D$10:$CZ$161,_xlpm.r,_xlpm.c),""),
  IF(OR(_xlpm.w="",_xlpm.v=""),"",_xlpm.v*_xlpm.w)
)</f>
        <v/>
      </c>
      <c r="CK46" s="93" t="str" cm="1">
        <f t="array" ref="CK46">_xlfn.LET(
  _xlpm.w, CK$11,
  _xlpm.r, MATCH(1,('3. Enter Indicator Scores'!$B$10:$B$161=$B46)*('3. Enter Indicator Scores'!$C$10:$C$161=$C46),0),
  _xlpm.c, MATCH(CK$8,'3. Enter Indicator Scores'!$D$8:$CZ$8,0),
  _xlpm.v, IFERROR(INDEX('3. Enter Indicator Scores'!$D$10:$CZ$161,_xlpm.r,_xlpm.c),""),
  IF(OR(_xlpm.w="",_xlpm.v=""),"",_xlpm.v*_xlpm.w)
)</f>
        <v/>
      </c>
      <c r="CL46" s="93" t="str" cm="1">
        <f t="array" ref="CL46">_xlfn.LET(
  _xlpm.w, CL$11,
  _xlpm.r, MATCH(1,('3. Enter Indicator Scores'!$B$10:$B$161=$B46)*('3. Enter Indicator Scores'!$C$10:$C$161=$C46),0),
  _xlpm.c, MATCH(CL$8,'3. Enter Indicator Scores'!$D$8:$CZ$8,0),
  _xlpm.v, IFERROR(INDEX('3. Enter Indicator Scores'!$D$10:$CZ$161,_xlpm.r,_xlpm.c),""),
  IF(OR(_xlpm.w="",_xlpm.v=""),"",_xlpm.v*_xlpm.w)
)</f>
        <v/>
      </c>
      <c r="CM46" s="93" t="str" cm="1">
        <f t="array" ref="CM46">_xlfn.LET(
  _xlpm.w, CM$11,
  _xlpm.r, MATCH(1,('3. Enter Indicator Scores'!$B$10:$B$161=$B46)*('3. Enter Indicator Scores'!$C$10:$C$161=$C46),0),
  _xlpm.c, MATCH(CM$8,'3. Enter Indicator Scores'!$D$8:$CZ$8,0),
  _xlpm.v, IFERROR(INDEX('3. Enter Indicator Scores'!$D$10:$CZ$161,_xlpm.r,_xlpm.c),""),
  IF(OR(_xlpm.w="",_xlpm.v=""),"",_xlpm.v*_xlpm.w)
)</f>
        <v/>
      </c>
      <c r="CN46" s="93" t="str" cm="1">
        <f t="array" ref="CN46">_xlfn.LET(
  _xlpm.w, CN$11,
  _xlpm.r, MATCH(1,('3. Enter Indicator Scores'!$B$10:$B$161=$B46)*('3. Enter Indicator Scores'!$C$10:$C$161=$C46),0),
  _xlpm.c, MATCH(CN$8,'3. Enter Indicator Scores'!$D$8:$CZ$8,0),
  _xlpm.v, IFERROR(INDEX('3. Enter Indicator Scores'!$D$10:$CZ$161,_xlpm.r,_xlpm.c),""),
  IF(OR(_xlpm.w="",_xlpm.v=""),"",_xlpm.v*_xlpm.w)
)</f>
        <v/>
      </c>
      <c r="CO46" s="93" t="str" cm="1">
        <f t="array" ref="CO46">_xlfn.LET(
  _xlpm.w, CO$11,
  _xlpm.r, MATCH(1,('3. Enter Indicator Scores'!$B$10:$B$161=$B46)*('3. Enter Indicator Scores'!$C$10:$C$161=$C46),0),
  _xlpm.c, MATCH(CO$8,'3. Enter Indicator Scores'!$D$8:$CZ$8,0),
  _xlpm.v, IFERROR(INDEX('3. Enter Indicator Scores'!$D$10:$CZ$161,_xlpm.r,_xlpm.c),""),
  IF(OR(_xlpm.w="",_xlpm.v=""),"",_xlpm.v*_xlpm.w)
)</f>
        <v/>
      </c>
      <c r="CP46" s="93" t="str" cm="1">
        <f t="array" ref="CP46">_xlfn.LET(
  _xlpm.w, CP$11,
  _xlpm.r, MATCH(1,('3. Enter Indicator Scores'!$B$10:$B$161=$B46)*('3. Enter Indicator Scores'!$C$10:$C$161=$C46),0),
  _xlpm.c, MATCH(CP$8,'3. Enter Indicator Scores'!$D$8:$CZ$8,0),
  _xlpm.v, IFERROR(INDEX('3. Enter Indicator Scores'!$D$10:$CZ$161,_xlpm.r,_xlpm.c),""),
  IF(OR(_xlpm.w="",_xlpm.v=""),"",_xlpm.v*_xlpm.w)
)</f>
        <v/>
      </c>
      <c r="CQ46" s="93" t="str" cm="1">
        <f t="array" ref="CQ46">_xlfn.LET(
  _xlpm.w, CQ$11,
  _xlpm.r, MATCH(1,('3. Enter Indicator Scores'!$B$10:$B$161=$B46)*('3. Enter Indicator Scores'!$C$10:$C$161=$C46),0),
  _xlpm.c, MATCH(CQ$8,'3. Enter Indicator Scores'!$D$8:$CZ$8,0),
  _xlpm.v, IFERROR(INDEX('3. Enter Indicator Scores'!$D$10:$CZ$161,_xlpm.r,_xlpm.c),""),
  IF(OR(_xlpm.w="",_xlpm.v=""),"",_xlpm.v*_xlpm.w)
)</f>
        <v/>
      </c>
      <c r="CR46" s="93" t="str" cm="1">
        <f t="array" ref="CR46">_xlfn.LET(
  _xlpm.w, CR$11,
  _xlpm.r, MATCH(1,('3. Enter Indicator Scores'!$B$10:$B$161=$B46)*('3. Enter Indicator Scores'!$C$10:$C$161=$C46),0),
  _xlpm.c, MATCH(CR$8,'3. Enter Indicator Scores'!$D$8:$CZ$8,0),
  _xlpm.v, IFERROR(INDEX('3. Enter Indicator Scores'!$D$10:$CZ$161,_xlpm.r,_xlpm.c),""),
  IF(OR(_xlpm.w="",_xlpm.v=""),"",_xlpm.v*_xlpm.w)
)</f>
        <v/>
      </c>
      <c r="CS46" s="93" t="str" cm="1">
        <f t="array" ref="CS46">_xlfn.LET(
  _xlpm.w, CS$11,
  _xlpm.r, MATCH(1,('3. Enter Indicator Scores'!$B$10:$B$161=$B46)*('3. Enter Indicator Scores'!$C$10:$C$161=$C46),0),
  _xlpm.c, MATCH(CS$8,'3. Enter Indicator Scores'!$D$8:$CZ$8,0),
  _xlpm.v, IFERROR(INDEX('3. Enter Indicator Scores'!$D$10:$CZ$161,_xlpm.r,_xlpm.c),""),
  IF(OR(_xlpm.w="",_xlpm.v=""),"",_xlpm.v*_xlpm.w)
)</f>
        <v/>
      </c>
      <c r="CT46" s="93" t="str" cm="1">
        <f t="array" ref="CT46">_xlfn.LET(
  _xlpm.w, CT$11,
  _xlpm.r, MATCH(1,('3. Enter Indicator Scores'!$B$10:$B$161=$B46)*('3. Enter Indicator Scores'!$C$10:$C$161=$C46),0),
  _xlpm.c, MATCH(CT$8,'3. Enter Indicator Scores'!$D$8:$CZ$8,0),
  _xlpm.v, IFERROR(INDEX('3. Enter Indicator Scores'!$D$10:$CZ$161,_xlpm.r,_xlpm.c),""),
  IF(OR(_xlpm.w="",_xlpm.v=""),"",_xlpm.v*_xlpm.w)
)</f>
        <v/>
      </c>
      <c r="CU46" s="93" t="str" cm="1">
        <f t="array" ref="CU46">_xlfn.LET(
  _xlpm.w, CU$11,
  _xlpm.r, MATCH(1,('3. Enter Indicator Scores'!$B$10:$B$161=$B46)*('3. Enter Indicator Scores'!$C$10:$C$161=$C46),0),
  _xlpm.c, MATCH(CU$8,'3. Enter Indicator Scores'!$D$8:$CZ$8,0),
  _xlpm.v, IFERROR(INDEX('3. Enter Indicator Scores'!$D$10:$CZ$161,_xlpm.r,_xlpm.c),""),
  IF(OR(_xlpm.w="",_xlpm.v=""),"",_xlpm.v*_xlpm.w)
)</f>
        <v/>
      </c>
      <c r="CV46" s="93" t="str" cm="1">
        <f t="array" ref="CV46">_xlfn.LET(
  _xlpm.w, CV$11,
  _xlpm.r, MATCH(1,('3. Enter Indicator Scores'!$B$10:$B$161=$B46)*('3. Enter Indicator Scores'!$C$10:$C$161=$C46),0),
  _xlpm.c, MATCH(CV$8,'3. Enter Indicator Scores'!$D$8:$CZ$8,0),
  _xlpm.v, IFERROR(INDEX('3. Enter Indicator Scores'!$D$10:$CZ$161,_xlpm.r,_xlpm.c),""),
  IF(OR(_xlpm.w="",_xlpm.v=""),"",_xlpm.v*_xlpm.w)
)</f>
        <v/>
      </c>
      <c r="CW46" s="93" t="str" cm="1">
        <f t="array" ref="CW46">_xlfn.LET(
  _xlpm.w, CW$11,
  _xlpm.r, MATCH(1,('3. Enter Indicator Scores'!$B$10:$B$161=$B46)*('3. Enter Indicator Scores'!$C$10:$C$161=$C46),0),
  _xlpm.c, MATCH(CW$8,'3. Enter Indicator Scores'!$D$8:$CZ$8,0),
  _xlpm.v, IFERROR(INDEX('3. Enter Indicator Scores'!$D$10:$CZ$161,_xlpm.r,_xlpm.c),""),
  IF(OR(_xlpm.w="",_xlpm.v=""),"",_xlpm.v*_xlpm.w)
)</f>
        <v/>
      </c>
      <c r="CX46" s="93" t="str" cm="1">
        <f t="array" ref="CX46">_xlfn.LET(
  _xlpm.w, CX$11,
  _xlpm.r, MATCH(1,('3. Enter Indicator Scores'!$B$10:$B$161=$B46)*('3. Enter Indicator Scores'!$C$10:$C$161=$C46),0),
  _xlpm.c, MATCH(CX$8,'3. Enter Indicator Scores'!$D$8:$CZ$8,0),
  _xlpm.v, IFERROR(INDEX('3. Enter Indicator Scores'!$D$10:$CZ$161,_xlpm.r,_xlpm.c),""),
  IF(OR(_xlpm.w="",_xlpm.v=""),"",_xlpm.v*_xlpm.w)
)</f>
        <v/>
      </c>
      <c r="CY46" s="93" t="str" cm="1">
        <f t="array" ref="CY46">_xlfn.LET(
  _xlpm.w, CY$11,
  _xlpm.r, MATCH(1,('3. Enter Indicator Scores'!$B$10:$B$161=$B46)*('3. Enter Indicator Scores'!$C$10:$C$161=$C46),0),
  _xlpm.c, MATCH(CY$8,'3. Enter Indicator Scores'!$D$8:$CZ$8,0),
  _xlpm.v, IFERROR(INDEX('3. Enter Indicator Scores'!$D$10:$CZ$161,_xlpm.r,_xlpm.c),""),
  IF(OR(_xlpm.w="",_xlpm.v=""),"",_xlpm.v*_xlpm.w)
)</f>
        <v/>
      </c>
      <c r="CZ46" s="93" t="str" cm="1">
        <f t="array" ref="CZ46">_xlfn.LET(
  _xlpm.w, CZ$11,
  _xlpm.r, MATCH(1,('3. Enter Indicator Scores'!$B$10:$B$161=$B46)*('3. Enter Indicator Scores'!$C$10:$C$161=$C46),0),
  _xlpm.c, MATCH(CZ$8,'3. Enter Indicator Scores'!$D$8:$CZ$8,0),
  _xlpm.v, IFERROR(INDEX('3. Enter Indicator Scores'!$D$10:$CZ$161,_xlpm.r,_xlpm.c),""),
  IF(OR(_xlpm.w="",_xlpm.v=""),"",_xlpm.v*_xlpm.w)
)</f>
        <v/>
      </c>
    </row>
    <row r="47" spans="4:104" x14ac:dyDescent="0.2">
      <c r="D47" s="93" t="str" cm="1">
        <f t="array" ref="D47">_xlfn.LET(
  _xlpm.w, D$11,
  _xlpm.r, MATCH(1,('3. Enter Indicator Scores'!$B$10:$B$161=$B47)*('3. Enter Indicator Scores'!$C$10:$C$161=$C47),0),
  _xlpm.c, MATCH(D$8,'3. Enter Indicator Scores'!$D$8:$CZ$8,0),
  _xlpm.v, IFERROR(INDEX('3. Enter Indicator Scores'!$D$10:$CZ$161,_xlpm.r,_xlpm.c),""),
  IF(OR(_xlpm.w="",_xlpm.v=""),"",_xlpm.v*_xlpm.w)
)</f>
        <v/>
      </c>
      <c r="E47" s="93" t="str" cm="1">
        <f t="array" ref="E47">_xlfn.LET(
  _xlpm.w, E$11,
  _xlpm.r, MATCH(1,('3. Enter Indicator Scores'!$B$10:$B$161=$B47)*('3. Enter Indicator Scores'!$C$10:$C$161=$C47),0),
  _xlpm.c, MATCH(E$8,'3. Enter Indicator Scores'!$D$8:$CZ$8,0),
  _xlpm.v, IFERROR(INDEX('3. Enter Indicator Scores'!$D$10:$CZ$161,_xlpm.r,_xlpm.c),""),
  IF(OR(_xlpm.w="",_xlpm.v=""),"",_xlpm.v*_xlpm.w)
)</f>
        <v/>
      </c>
      <c r="F47" s="93" t="str" cm="1">
        <f t="array" ref="F47">_xlfn.LET(
  _xlpm.w, F$11,
  _xlpm.r, MATCH(1,('3. Enter Indicator Scores'!$B$10:$B$161=$B47)*('3. Enter Indicator Scores'!$C$10:$C$161=$C47),0),
  _xlpm.c, MATCH(F$8,'3. Enter Indicator Scores'!$D$8:$CZ$8,0),
  _xlpm.v, IFERROR(INDEX('3. Enter Indicator Scores'!$D$10:$CZ$161,_xlpm.r,_xlpm.c),""),
  IF(OR(_xlpm.w="",_xlpm.v=""),"",_xlpm.v*_xlpm.w)
)</f>
        <v/>
      </c>
      <c r="G47" s="93" t="str" cm="1">
        <f t="array" ref="G47">_xlfn.LET(
  _xlpm.w, G$11,
  _xlpm.r, MATCH(1,('3. Enter Indicator Scores'!$B$10:$B$161=$B47)*('3. Enter Indicator Scores'!$C$10:$C$161=$C47),0),
  _xlpm.c, MATCH(G$8,'3. Enter Indicator Scores'!$D$8:$CZ$8,0),
  _xlpm.v, IFERROR(INDEX('3. Enter Indicator Scores'!$D$10:$CZ$161,_xlpm.r,_xlpm.c),""),
  IF(OR(_xlpm.w="",_xlpm.v=""),"",_xlpm.v*_xlpm.w)
)</f>
        <v/>
      </c>
      <c r="H47" s="93" t="str" cm="1">
        <f t="array" ref="H47">_xlfn.LET(
  _xlpm.w, H$11,
  _xlpm.r, MATCH(1,('3. Enter Indicator Scores'!$B$10:$B$161=$B47)*('3. Enter Indicator Scores'!$C$10:$C$161=$C47),0),
  _xlpm.c, MATCH(H$8,'3. Enter Indicator Scores'!$D$8:$CZ$8,0),
  _xlpm.v, IFERROR(INDEX('3. Enter Indicator Scores'!$D$10:$CZ$161,_xlpm.r,_xlpm.c),""),
  IF(OR(_xlpm.w="",_xlpm.v=""),"",_xlpm.v*_xlpm.w)
)</f>
        <v/>
      </c>
      <c r="I47" s="93" t="str" cm="1">
        <f t="array" ref="I47">_xlfn.LET(
  _xlpm.w, I$11,
  _xlpm.r, MATCH(1,('3. Enter Indicator Scores'!$B$10:$B$161=$B47)*('3. Enter Indicator Scores'!$C$10:$C$161=$C47),0),
  _xlpm.c, MATCH(I$8,'3. Enter Indicator Scores'!$D$8:$CZ$8,0),
  _xlpm.v, IFERROR(INDEX('3. Enter Indicator Scores'!$D$10:$CZ$161,_xlpm.r,_xlpm.c),""),
  IF(OR(_xlpm.w="",_xlpm.v=""),"",_xlpm.v*_xlpm.w)
)</f>
        <v/>
      </c>
      <c r="J47" s="93" t="str" cm="1">
        <f t="array" ref="J47">_xlfn.LET(
  _xlpm.w, J$11,
  _xlpm.r, MATCH(1,('3. Enter Indicator Scores'!$B$10:$B$161=$B47)*('3. Enter Indicator Scores'!$C$10:$C$161=$C47),0),
  _xlpm.c, MATCH(J$8,'3. Enter Indicator Scores'!$D$8:$CZ$8,0),
  _xlpm.v, IFERROR(INDEX('3. Enter Indicator Scores'!$D$10:$CZ$161,_xlpm.r,_xlpm.c),""),
  IF(OR(_xlpm.w="",_xlpm.v=""),"",_xlpm.v*_xlpm.w)
)</f>
        <v/>
      </c>
      <c r="K47" s="93" t="str" cm="1">
        <f t="array" ref="K47">_xlfn.LET(
  _xlpm.w, K$11,
  _xlpm.r, MATCH(1,('3. Enter Indicator Scores'!$B$10:$B$161=$B47)*('3. Enter Indicator Scores'!$C$10:$C$161=$C47),0),
  _xlpm.c, MATCH(K$8,'3. Enter Indicator Scores'!$D$8:$CZ$8,0),
  _xlpm.v, IFERROR(INDEX('3. Enter Indicator Scores'!$D$10:$CZ$161,_xlpm.r,_xlpm.c),""),
  IF(OR(_xlpm.w="",_xlpm.v=""),"",_xlpm.v*_xlpm.w)
)</f>
        <v/>
      </c>
      <c r="L47" s="93" t="str" cm="1">
        <f t="array" ref="L47">_xlfn.LET(
  _xlpm.w, L$11,
  _xlpm.r, MATCH(1,('3. Enter Indicator Scores'!$B$10:$B$161=$B47)*('3. Enter Indicator Scores'!$C$10:$C$161=$C47),0),
  _xlpm.c, MATCH(L$8,'3. Enter Indicator Scores'!$D$8:$CZ$8,0),
  _xlpm.v, IFERROR(INDEX('3. Enter Indicator Scores'!$D$10:$CZ$161,_xlpm.r,_xlpm.c),""),
  IF(OR(_xlpm.w="",_xlpm.v=""),"",_xlpm.v*_xlpm.w)
)</f>
        <v/>
      </c>
      <c r="M47" s="93" t="str" cm="1">
        <f t="array" ref="M47">_xlfn.LET(
  _xlpm.w, M$11,
  _xlpm.r, MATCH(1,('3. Enter Indicator Scores'!$B$10:$B$161=$B47)*('3. Enter Indicator Scores'!$C$10:$C$161=$C47),0),
  _xlpm.c, MATCH(M$8,'3. Enter Indicator Scores'!$D$8:$CZ$8,0),
  _xlpm.v, IFERROR(INDEX('3. Enter Indicator Scores'!$D$10:$CZ$161,_xlpm.r,_xlpm.c),""),
  IF(OR(_xlpm.w="",_xlpm.v=""),"",_xlpm.v*_xlpm.w)
)</f>
        <v/>
      </c>
      <c r="N47" s="93" t="str" cm="1">
        <f t="array" ref="N47">_xlfn.LET(
  _xlpm.w, N$11,
  _xlpm.r, MATCH(1,('3. Enter Indicator Scores'!$B$10:$B$161=$B47)*('3. Enter Indicator Scores'!$C$10:$C$161=$C47),0),
  _xlpm.c, MATCH(N$8,'3. Enter Indicator Scores'!$D$8:$CZ$8,0),
  _xlpm.v, IFERROR(INDEX('3. Enter Indicator Scores'!$D$10:$CZ$161,_xlpm.r,_xlpm.c),""),
  IF(OR(_xlpm.w="",_xlpm.v=""),"",_xlpm.v*_xlpm.w)
)</f>
        <v/>
      </c>
      <c r="O47" s="93" t="str" cm="1">
        <f t="array" ref="O47">_xlfn.LET(
  _xlpm.w, O$11,
  _xlpm.r, MATCH(1,('3. Enter Indicator Scores'!$B$10:$B$161=$B47)*('3. Enter Indicator Scores'!$C$10:$C$161=$C47),0),
  _xlpm.c, MATCH(O$8,'3. Enter Indicator Scores'!$D$8:$CZ$8,0),
  _xlpm.v, IFERROR(INDEX('3. Enter Indicator Scores'!$D$10:$CZ$161,_xlpm.r,_xlpm.c),""),
  IF(OR(_xlpm.w="",_xlpm.v=""),"",_xlpm.v*_xlpm.w)
)</f>
        <v/>
      </c>
      <c r="P47" s="93" t="str" cm="1">
        <f t="array" ref="P47">_xlfn.LET(
  _xlpm.w, P$11,
  _xlpm.r, MATCH(1,('3. Enter Indicator Scores'!$B$10:$B$161=$B47)*('3. Enter Indicator Scores'!$C$10:$C$161=$C47),0),
  _xlpm.c, MATCH(P$8,'3. Enter Indicator Scores'!$D$8:$CZ$8,0),
  _xlpm.v, IFERROR(INDEX('3. Enter Indicator Scores'!$D$10:$CZ$161,_xlpm.r,_xlpm.c),""),
  IF(OR(_xlpm.w="",_xlpm.v=""),"",_xlpm.v*_xlpm.w)
)</f>
        <v/>
      </c>
      <c r="Q47" s="93" t="str" cm="1">
        <f t="array" ref="Q47">_xlfn.LET(
  _xlpm.w, Q$11,
  _xlpm.r, MATCH(1,('3. Enter Indicator Scores'!$B$10:$B$161=$B47)*('3. Enter Indicator Scores'!$C$10:$C$161=$C47),0),
  _xlpm.c, MATCH(Q$8,'3. Enter Indicator Scores'!$D$8:$CZ$8,0),
  _xlpm.v, IFERROR(INDEX('3. Enter Indicator Scores'!$D$10:$CZ$161,_xlpm.r,_xlpm.c),""),
  IF(OR(_xlpm.w="",_xlpm.v=""),"",_xlpm.v*_xlpm.w)
)</f>
        <v/>
      </c>
      <c r="R47" s="93" t="str" cm="1">
        <f t="array" ref="R47">_xlfn.LET(
  _xlpm.w, R$11,
  _xlpm.r, MATCH(1,('3. Enter Indicator Scores'!$B$10:$B$161=$B47)*('3. Enter Indicator Scores'!$C$10:$C$161=$C47),0),
  _xlpm.c, MATCH(R$8,'3. Enter Indicator Scores'!$D$8:$CZ$8,0),
  _xlpm.v, IFERROR(INDEX('3. Enter Indicator Scores'!$D$10:$CZ$161,_xlpm.r,_xlpm.c),""),
  IF(OR(_xlpm.w="",_xlpm.v=""),"",_xlpm.v*_xlpm.w)
)</f>
        <v/>
      </c>
      <c r="S47" s="93" t="str" cm="1">
        <f t="array" ref="S47">_xlfn.LET(
  _xlpm.w, S$11,
  _xlpm.r, MATCH(1,('3. Enter Indicator Scores'!$B$10:$B$161=$B47)*('3. Enter Indicator Scores'!$C$10:$C$161=$C47),0),
  _xlpm.c, MATCH(S$8,'3. Enter Indicator Scores'!$D$8:$CZ$8,0),
  _xlpm.v, IFERROR(INDEX('3. Enter Indicator Scores'!$D$10:$CZ$161,_xlpm.r,_xlpm.c),""),
  IF(OR(_xlpm.w="",_xlpm.v=""),"",_xlpm.v*_xlpm.w)
)</f>
        <v/>
      </c>
      <c r="T47" s="93" t="str" cm="1">
        <f t="array" ref="T47">_xlfn.LET(
  _xlpm.w, T$11,
  _xlpm.r, MATCH(1,('3. Enter Indicator Scores'!$B$10:$B$161=$B47)*('3. Enter Indicator Scores'!$C$10:$C$161=$C47),0),
  _xlpm.c, MATCH(T$8,'3. Enter Indicator Scores'!$D$8:$CZ$8,0),
  _xlpm.v, IFERROR(INDEX('3. Enter Indicator Scores'!$D$10:$CZ$161,_xlpm.r,_xlpm.c),""),
  IF(OR(_xlpm.w="",_xlpm.v=""),"",_xlpm.v*_xlpm.w)
)</f>
        <v/>
      </c>
      <c r="U47" s="93" t="str" cm="1">
        <f t="array" ref="U47">_xlfn.LET(
  _xlpm.w, U$11,
  _xlpm.r, MATCH(1,('3. Enter Indicator Scores'!$B$10:$B$161=$B47)*('3. Enter Indicator Scores'!$C$10:$C$161=$C47),0),
  _xlpm.c, MATCH(U$8,'3. Enter Indicator Scores'!$D$8:$CZ$8,0),
  _xlpm.v, IFERROR(INDEX('3. Enter Indicator Scores'!$D$10:$CZ$161,_xlpm.r,_xlpm.c),""),
  IF(OR(_xlpm.w="",_xlpm.v=""),"",_xlpm.v*_xlpm.w)
)</f>
        <v/>
      </c>
      <c r="V47" s="93" t="str" cm="1">
        <f t="array" ref="V47">_xlfn.LET(
  _xlpm.w, V$11,
  _xlpm.r, MATCH(1,('3. Enter Indicator Scores'!$B$10:$B$161=$B47)*('3. Enter Indicator Scores'!$C$10:$C$161=$C47),0),
  _xlpm.c, MATCH(V$8,'3. Enter Indicator Scores'!$D$8:$CZ$8,0),
  _xlpm.v, IFERROR(INDEX('3. Enter Indicator Scores'!$D$10:$CZ$161,_xlpm.r,_xlpm.c),""),
  IF(OR(_xlpm.w="",_xlpm.v=""),"",_xlpm.v*_xlpm.w)
)</f>
        <v/>
      </c>
      <c r="W47" s="93" t="str" cm="1">
        <f t="array" ref="W47">_xlfn.LET(
  _xlpm.w, W$11,
  _xlpm.r, MATCH(1,('3. Enter Indicator Scores'!$B$10:$B$161=$B47)*('3. Enter Indicator Scores'!$C$10:$C$161=$C47),0),
  _xlpm.c, MATCH(W$8,'3. Enter Indicator Scores'!$D$8:$CZ$8,0),
  _xlpm.v, IFERROR(INDEX('3. Enter Indicator Scores'!$D$10:$CZ$161,_xlpm.r,_xlpm.c),""),
  IF(OR(_xlpm.w="",_xlpm.v=""),"",_xlpm.v*_xlpm.w)
)</f>
        <v/>
      </c>
      <c r="X47" s="93" t="str" cm="1">
        <f t="array" ref="X47">_xlfn.LET(
  _xlpm.w, X$11,
  _xlpm.r, MATCH(1,('3. Enter Indicator Scores'!$B$10:$B$161=$B47)*('3. Enter Indicator Scores'!$C$10:$C$161=$C47),0),
  _xlpm.c, MATCH(X$8,'3. Enter Indicator Scores'!$D$8:$CZ$8,0),
  _xlpm.v, IFERROR(INDEX('3. Enter Indicator Scores'!$D$10:$CZ$161,_xlpm.r,_xlpm.c),""),
  IF(OR(_xlpm.w="",_xlpm.v=""),"",_xlpm.v*_xlpm.w)
)</f>
        <v/>
      </c>
      <c r="Y47" s="93" t="str" cm="1">
        <f t="array" ref="Y47">_xlfn.LET(
  _xlpm.w, Y$11,
  _xlpm.r, MATCH(1,('3. Enter Indicator Scores'!$B$10:$B$161=$B47)*('3. Enter Indicator Scores'!$C$10:$C$161=$C47),0),
  _xlpm.c, MATCH(Y$8,'3. Enter Indicator Scores'!$D$8:$CZ$8,0),
  _xlpm.v, IFERROR(INDEX('3. Enter Indicator Scores'!$D$10:$CZ$161,_xlpm.r,_xlpm.c),""),
  IF(OR(_xlpm.w="",_xlpm.v=""),"",_xlpm.v*_xlpm.w)
)</f>
        <v/>
      </c>
      <c r="Z47" s="93" t="str" cm="1">
        <f t="array" ref="Z47">_xlfn.LET(
  _xlpm.w, Z$11,
  _xlpm.r, MATCH(1,('3. Enter Indicator Scores'!$B$10:$B$161=$B47)*('3. Enter Indicator Scores'!$C$10:$C$161=$C47),0),
  _xlpm.c, MATCH(Z$8,'3. Enter Indicator Scores'!$D$8:$CZ$8,0),
  _xlpm.v, IFERROR(INDEX('3. Enter Indicator Scores'!$D$10:$CZ$161,_xlpm.r,_xlpm.c),""),
  IF(OR(_xlpm.w="",_xlpm.v=""),"",_xlpm.v*_xlpm.w)
)</f>
        <v/>
      </c>
      <c r="AA47" s="93" t="str" cm="1">
        <f t="array" ref="AA47">_xlfn.LET(
  _xlpm.w, AA$11,
  _xlpm.r, MATCH(1,('3. Enter Indicator Scores'!$B$10:$B$161=$B47)*('3. Enter Indicator Scores'!$C$10:$C$161=$C47),0),
  _xlpm.c, MATCH(AA$8,'3. Enter Indicator Scores'!$D$8:$CZ$8,0),
  _xlpm.v, IFERROR(INDEX('3. Enter Indicator Scores'!$D$10:$CZ$161,_xlpm.r,_xlpm.c),""),
  IF(OR(_xlpm.w="",_xlpm.v=""),"",_xlpm.v*_xlpm.w)
)</f>
        <v/>
      </c>
      <c r="AB47" s="93" t="str" cm="1">
        <f t="array" ref="AB47">_xlfn.LET(
  _xlpm.w, AB$11,
  _xlpm.r, MATCH(1,('3. Enter Indicator Scores'!$B$10:$B$161=$B47)*('3. Enter Indicator Scores'!$C$10:$C$161=$C47),0),
  _xlpm.c, MATCH(AB$8,'3. Enter Indicator Scores'!$D$8:$CZ$8,0),
  _xlpm.v, IFERROR(INDEX('3. Enter Indicator Scores'!$D$10:$CZ$161,_xlpm.r,_xlpm.c),""),
  IF(OR(_xlpm.w="",_xlpm.v=""),"",_xlpm.v*_xlpm.w)
)</f>
        <v/>
      </c>
      <c r="AC47" s="93" t="str" cm="1">
        <f t="array" ref="AC47">_xlfn.LET(
  _xlpm.w, AC$11,
  _xlpm.r, MATCH(1,('3. Enter Indicator Scores'!$B$10:$B$161=$B47)*('3. Enter Indicator Scores'!$C$10:$C$161=$C47),0),
  _xlpm.c, MATCH(AC$8,'3. Enter Indicator Scores'!$D$8:$CZ$8,0),
  _xlpm.v, IFERROR(INDEX('3. Enter Indicator Scores'!$D$10:$CZ$161,_xlpm.r,_xlpm.c),""),
  IF(OR(_xlpm.w="",_xlpm.v=""),"",_xlpm.v*_xlpm.w)
)</f>
        <v/>
      </c>
      <c r="AD47" s="93" t="str" cm="1">
        <f t="array" ref="AD47">_xlfn.LET(
  _xlpm.w, AD$11,
  _xlpm.r, MATCH(1,('3. Enter Indicator Scores'!$B$10:$B$161=$B47)*('3. Enter Indicator Scores'!$C$10:$C$161=$C47),0),
  _xlpm.c, MATCH(AD$8,'3. Enter Indicator Scores'!$D$8:$CZ$8,0),
  _xlpm.v, IFERROR(INDEX('3. Enter Indicator Scores'!$D$10:$CZ$161,_xlpm.r,_xlpm.c),""),
  IF(OR(_xlpm.w="",_xlpm.v=""),"",_xlpm.v*_xlpm.w)
)</f>
        <v/>
      </c>
      <c r="AE47" s="93" t="str" cm="1">
        <f t="array" ref="AE47">_xlfn.LET(
  _xlpm.w, AE$11,
  _xlpm.r, MATCH(1,('3. Enter Indicator Scores'!$B$10:$B$161=$B47)*('3. Enter Indicator Scores'!$C$10:$C$161=$C47),0),
  _xlpm.c, MATCH(AE$8,'3. Enter Indicator Scores'!$D$8:$CZ$8,0),
  _xlpm.v, IFERROR(INDEX('3. Enter Indicator Scores'!$D$10:$CZ$161,_xlpm.r,_xlpm.c),""),
  IF(OR(_xlpm.w="",_xlpm.v=""),"",_xlpm.v*_xlpm.w)
)</f>
        <v/>
      </c>
      <c r="AF47" s="93" t="str" cm="1">
        <f t="array" ref="AF47">_xlfn.LET(
  _xlpm.w, AF$11,
  _xlpm.r, MATCH(1,('3. Enter Indicator Scores'!$B$10:$B$161=$B47)*('3. Enter Indicator Scores'!$C$10:$C$161=$C47),0),
  _xlpm.c, MATCH(AF$8,'3. Enter Indicator Scores'!$D$8:$CZ$8,0),
  _xlpm.v, IFERROR(INDEX('3. Enter Indicator Scores'!$D$10:$CZ$161,_xlpm.r,_xlpm.c),""),
  IF(OR(_xlpm.w="",_xlpm.v=""),"",_xlpm.v*_xlpm.w)
)</f>
        <v/>
      </c>
      <c r="AG47" s="93" t="str" cm="1">
        <f t="array" ref="AG47">_xlfn.LET(
  _xlpm.w, AG$11,
  _xlpm.r, MATCH(1,('3. Enter Indicator Scores'!$B$10:$B$161=$B47)*('3. Enter Indicator Scores'!$C$10:$C$161=$C47),0),
  _xlpm.c, MATCH(AG$8,'3. Enter Indicator Scores'!$D$8:$CZ$8,0),
  _xlpm.v, IFERROR(INDEX('3. Enter Indicator Scores'!$D$10:$CZ$161,_xlpm.r,_xlpm.c),""),
  IF(OR(_xlpm.w="",_xlpm.v=""),"",_xlpm.v*_xlpm.w)
)</f>
        <v/>
      </c>
      <c r="AH47" s="93" t="str" cm="1">
        <f t="array" ref="AH47">_xlfn.LET(
  _xlpm.w, AH$11,
  _xlpm.r, MATCH(1,('3. Enter Indicator Scores'!$B$10:$B$161=$B47)*('3. Enter Indicator Scores'!$C$10:$C$161=$C47),0),
  _xlpm.c, MATCH(AH$8,'3. Enter Indicator Scores'!$D$8:$CZ$8,0),
  _xlpm.v, IFERROR(INDEX('3. Enter Indicator Scores'!$D$10:$CZ$161,_xlpm.r,_xlpm.c),""),
  IF(OR(_xlpm.w="",_xlpm.v=""),"",_xlpm.v*_xlpm.w)
)</f>
        <v/>
      </c>
      <c r="AI47" s="93" t="str" cm="1">
        <f t="array" ref="AI47">_xlfn.LET(
  _xlpm.w, AI$11,
  _xlpm.r, MATCH(1,('3. Enter Indicator Scores'!$B$10:$B$161=$B47)*('3. Enter Indicator Scores'!$C$10:$C$161=$C47),0),
  _xlpm.c, MATCH(AI$8,'3. Enter Indicator Scores'!$D$8:$CZ$8,0),
  _xlpm.v, IFERROR(INDEX('3. Enter Indicator Scores'!$D$10:$CZ$161,_xlpm.r,_xlpm.c),""),
  IF(OR(_xlpm.w="",_xlpm.v=""),"",_xlpm.v*_xlpm.w)
)</f>
        <v/>
      </c>
      <c r="AJ47" s="93" t="str" cm="1">
        <f t="array" ref="AJ47">_xlfn.LET(
  _xlpm.w, AJ$11,
  _xlpm.r, MATCH(1,('3. Enter Indicator Scores'!$B$10:$B$161=$B47)*('3. Enter Indicator Scores'!$C$10:$C$161=$C47),0),
  _xlpm.c, MATCH(AJ$8,'3. Enter Indicator Scores'!$D$8:$CZ$8,0),
  _xlpm.v, IFERROR(INDEX('3. Enter Indicator Scores'!$D$10:$CZ$161,_xlpm.r,_xlpm.c),""),
  IF(OR(_xlpm.w="",_xlpm.v=""),"",_xlpm.v*_xlpm.w)
)</f>
        <v/>
      </c>
      <c r="AK47" s="93" t="str" cm="1">
        <f t="array" ref="AK47">_xlfn.LET(
  _xlpm.w, AK$11,
  _xlpm.r, MATCH(1,('3. Enter Indicator Scores'!$B$10:$B$161=$B47)*('3. Enter Indicator Scores'!$C$10:$C$161=$C47),0),
  _xlpm.c, MATCH(AK$8,'3. Enter Indicator Scores'!$D$8:$CZ$8,0),
  _xlpm.v, IFERROR(INDEX('3. Enter Indicator Scores'!$D$10:$CZ$161,_xlpm.r,_xlpm.c),""),
  IF(OR(_xlpm.w="",_xlpm.v=""),"",_xlpm.v*_xlpm.w)
)</f>
        <v/>
      </c>
      <c r="AL47" s="93" t="str" cm="1">
        <f t="array" ref="AL47">_xlfn.LET(
  _xlpm.w, AL$11,
  _xlpm.r, MATCH(1,('3. Enter Indicator Scores'!$B$10:$B$161=$B47)*('3. Enter Indicator Scores'!$C$10:$C$161=$C47),0),
  _xlpm.c, MATCH(AL$8,'3. Enter Indicator Scores'!$D$8:$CZ$8,0),
  _xlpm.v, IFERROR(INDEX('3. Enter Indicator Scores'!$D$10:$CZ$161,_xlpm.r,_xlpm.c),""),
  IF(OR(_xlpm.w="",_xlpm.v=""),"",_xlpm.v*_xlpm.w)
)</f>
        <v/>
      </c>
      <c r="AM47" s="93" t="str" cm="1">
        <f t="array" ref="AM47">_xlfn.LET(
  _xlpm.w, AM$11,
  _xlpm.r, MATCH(1,('3. Enter Indicator Scores'!$B$10:$B$161=$B47)*('3. Enter Indicator Scores'!$C$10:$C$161=$C47),0),
  _xlpm.c, MATCH(AM$8,'3. Enter Indicator Scores'!$D$8:$CZ$8,0),
  _xlpm.v, IFERROR(INDEX('3. Enter Indicator Scores'!$D$10:$CZ$161,_xlpm.r,_xlpm.c),""),
  IF(OR(_xlpm.w="",_xlpm.v=""),"",_xlpm.v*_xlpm.w)
)</f>
        <v/>
      </c>
      <c r="AN47" s="93" t="str" cm="1">
        <f t="array" ref="AN47">_xlfn.LET(
  _xlpm.w, AN$11,
  _xlpm.r, MATCH(1,('3. Enter Indicator Scores'!$B$10:$B$161=$B47)*('3. Enter Indicator Scores'!$C$10:$C$161=$C47),0),
  _xlpm.c, MATCH(AN$8,'3. Enter Indicator Scores'!$D$8:$CZ$8,0),
  _xlpm.v, IFERROR(INDEX('3. Enter Indicator Scores'!$D$10:$CZ$161,_xlpm.r,_xlpm.c),""),
  IF(OR(_xlpm.w="",_xlpm.v=""),"",_xlpm.v*_xlpm.w)
)</f>
        <v/>
      </c>
      <c r="AO47" s="93" t="str" cm="1">
        <f t="array" ref="AO47">_xlfn.LET(
  _xlpm.w, AO$11,
  _xlpm.r, MATCH(1,('3. Enter Indicator Scores'!$B$10:$B$161=$B47)*('3. Enter Indicator Scores'!$C$10:$C$161=$C47),0),
  _xlpm.c, MATCH(AO$8,'3. Enter Indicator Scores'!$D$8:$CZ$8,0),
  _xlpm.v, IFERROR(INDEX('3. Enter Indicator Scores'!$D$10:$CZ$161,_xlpm.r,_xlpm.c),""),
  IF(OR(_xlpm.w="",_xlpm.v=""),"",_xlpm.v*_xlpm.w)
)</f>
        <v/>
      </c>
      <c r="AP47" s="93" t="str" cm="1">
        <f t="array" ref="AP47">_xlfn.LET(
  _xlpm.w, AP$11,
  _xlpm.r, MATCH(1,('3. Enter Indicator Scores'!$B$10:$B$161=$B47)*('3. Enter Indicator Scores'!$C$10:$C$161=$C47),0),
  _xlpm.c, MATCH(AP$8,'3. Enter Indicator Scores'!$D$8:$CZ$8,0),
  _xlpm.v, IFERROR(INDEX('3. Enter Indicator Scores'!$D$10:$CZ$161,_xlpm.r,_xlpm.c),""),
  IF(OR(_xlpm.w="",_xlpm.v=""),"",_xlpm.v*_xlpm.w)
)</f>
        <v/>
      </c>
      <c r="AQ47" s="93" t="str" cm="1">
        <f t="array" ref="AQ47">_xlfn.LET(
  _xlpm.w, AQ$11,
  _xlpm.r, MATCH(1,('3. Enter Indicator Scores'!$B$10:$B$161=$B47)*('3. Enter Indicator Scores'!$C$10:$C$161=$C47),0),
  _xlpm.c, MATCH(AQ$8,'3. Enter Indicator Scores'!$D$8:$CZ$8,0),
  _xlpm.v, IFERROR(INDEX('3. Enter Indicator Scores'!$D$10:$CZ$161,_xlpm.r,_xlpm.c),""),
  IF(OR(_xlpm.w="",_xlpm.v=""),"",_xlpm.v*_xlpm.w)
)</f>
        <v/>
      </c>
      <c r="AR47" s="93" t="str" cm="1">
        <f t="array" ref="AR47">_xlfn.LET(
  _xlpm.w, AR$11,
  _xlpm.r, MATCH(1,('3. Enter Indicator Scores'!$B$10:$B$161=$B47)*('3. Enter Indicator Scores'!$C$10:$C$161=$C47),0),
  _xlpm.c, MATCH(AR$8,'3. Enter Indicator Scores'!$D$8:$CZ$8,0),
  _xlpm.v, IFERROR(INDEX('3. Enter Indicator Scores'!$D$10:$CZ$161,_xlpm.r,_xlpm.c),""),
  IF(OR(_xlpm.w="",_xlpm.v=""),"",_xlpm.v*_xlpm.w)
)</f>
        <v/>
      </c>
      <c r="AS47" s="93" t="str" cm="1">
        <f t="array" ref="AS47">_xlfn.LET(
  _xlpm.w, AS$11,
  _xlpm.r, MATCH(1,('3. Enter Indicator Scores'!$B$10:$B$161=$B47)*('3. Enter Indicator Scores'!$C$10:$C$161=$C47),0),
  _xlpm.c, MATCH(AS$8,'3. Enter Indicator Scores'!$D$8:$CZ$8,0),
  _xlpm.v, IFERROR(INDEX('3. Enter Indicator Scores'!$D$10:$CZ$161,_xlpm.r,_xlpm.c),""),
  IF(OR(_xlpm.w="",_xlpm.v=""),"",_xlpm.v*_xlpm.w)
)</f>
        <v/>
      </c>
      <c r="AT47" s="93" t="str" cm="1">
        <f t="array" ref="AT47">_xlfn.LET(
  _xlpm.w, AT$11,
  _xlpm.r, MATCH(1,('3. Enter Indicator Scores'!$B$10:$B$161=$B47)*('3. Enter Indicator Scores'!$C$10:$C$161=$C47),0),
  _xlpm.c, MATCH(AT$8,'3. Enter Indicator Scores'!$D$8:$CZ$8,0),
  _xlpm.v, IFERROR(INDEX('3. Enter Indicator Scores'!$D$10:$CZ$161,_xlpm.r,_xlpm.c),""),
  IF(OR(_xlpm.w="",_xlpm.v=""),"",_xlpm.v*_xlpm.w)
)</f>
        <v/>
      </c>
      <c r="AU47" s="93" t="str" cm="1">
        <f t="array" ref="AU47">_xlfn.LET(
  _xlpm.w, AU$11,
  _xlpm.r, MATCH(1,('3. Enter Indicator Scores'!$B$10:$B$161=$B47)*('3. Enter Indicator Scores'!$C$10:$C$161=$C47),0),
  _xlpm.c, MATCH(AU$8,'3. Enter Indicator Scores'!$D$8:$CZ$8,0),
  _xlpm.v, IFERROR(INDEX('3. Enter Indicator Scores'!$D$10:$CZ$161,_xlpm.r,_xlpm.c),""),
  IF(OR(_xlpm.w="",_xlpm.v=""),"",_xlpm.v*_xlpm.w)
)</f>
        <v/>
      </c>
      <c r="AV47" s="93" t="str" cm="1">
        <f t="array" ref="AV47">_xlfn.LET(
  _xlpm.w, AV$11,
  _xlpm.r, MATCH(1,('3. Enter Indicator Scores'!$B$10:$B$161=$B47)*('3. Enter Indicator Scores'!$C$10:$C$161=$C47),0),
  _xlpm.c, MATCH(AV$8,'3. Enter Indicator Scores'!$D$8:$CZ$8,0),
  _xlpm.v, IFERROR(INDEX('3. Enter Indicator Scores'!$D$10:$CZ$161,_xlpm.r,_xlpm.c),""),
  IF(OR(_xlpm.w="",_xlpm.v=""),"",_xlpm.v*_xlpm.w)
)</f>
        <v/>
      </c>
      <c r="AW47" s="93" t="str" cm="1">
        <f t="array" ref="AW47">_xlfn.LET(
  _xlpm.w, AW$11,
  _xlpm.r, MATCH(1,('3. Enter Indicator Scores'!$B$10:$B$161=$B47)*('3. Enter Indicator Scores'!$C$10:$C$161=$C47),0),
  _xlpm.c, MATCH(AW$8,'3. Enter Indicator Scores'!$D$8:$CZ$8,0),
  _xlpm.v, IFERROR(INDEX('3. Enter Indicator Scores'!$D$10:$CZ$161,_xlpm.r,_xlpm.c),""),
  IF(OR(_xlpm.w="",_xlpm.v=""),"",_xlpm.v*_xlpm.w)
)</f>
        <v/>
      </c>
      <c r="AX47" s="93" t="str" cm="1">
        <f t="array" ref="AX47">_xlfn.LET(
  _xlpm.w, AX$11,
  _xlpm.r, MATCH(1,('3. Enter Indicator Scores'!$B$10:$B$161=$B47)*('3. Enter Indicator Scores'!$C$10:$C$161=$C47),0),
  _xlpm.c, MATCH(AX$8,'3. Enter Indicator Scores'!$D$8:$CZ$8,0),
  _xlpm.v, IFERROR(INDEX('3. Enter Indicator Scores'!$D$10:$CZ$161,_xlpm.r,_xlpm.c),""),
  IF(OR(_xlpm.w="",_xlpm.v=""),"",_xlpm.v*_xlpm.w)
)</f>
        <v/>
      </c>
      <c r="AY47" s="93" t="str" cm="1">
        <f t="array" ref="AY47">_xlfn.LET(
  _xlpm.w, AY$11,
  _xlpm.r, MATCH(1,('3. Enter Indicator Scores'!$B$10:$B$161=$B47)*('3. Enter Indicator Scores'!$C$10:$C$161=$C47),0),
  _xlpm.c, MATCH(AY$8,'3. Enter Indicator Scores'!$D$8:$CZ$8,0),
  _xlpm.v, IFERROR(INDEX('3. Enter Indicator Scores'!$D$10:$CZ$161,_xlpm.r,_xlpm.c),""),
  IF(OR(_xlpm.w="",_xlpm.v=""),"",_xlpm.v*_xlpm.w)
)</f>
        <v/>
      </c>
      <c r="AZ47" s="93" t="str" cm="1">
        <f t="array" ref="AZ47">_xlfn.LET(
  _xlpm.w, AZ$11,
  _xlpm.r, MATCH(1,('3. Enter Indicator Scores'!$B$10:$B$161=$B47)*('3. Enter Indicator Scores'!$C$10:$C$161=$C47),0),
  _xlpm.c, MATCH(AZ$8,'3. Enter Indicator Scores'!$D$8:$CZ$8,0),
  _xlpm.v, IFERROR(INDEX('3. Enter Indicator Scores'!$D$10:$CZ$161,_xlpm.r,_xlpm.c),""),
  IF(OR(_xlpm.w="",_xlpm.v=""),"",_xlpm.v*_xlpm.w)
)</f>
        <v/>
      </c>
      <c r="BA47" s="93" t="str" cm="1">
        <f t="array" ref="BA47">_xlfn.LET(
  _xlpm.w, BA$11,
  _xlpm.r, MATCH(1,('3. Enter Indicator Scores'!$B$10:$B$161=$B47)*('3. Enter Indicator Scores'!$C$10:$C$161=$C47),0),
  _xlpm.c, MATCH(BA$8,'3. Enter Indicator Scores'!$D$8:$CZ$8,0),
  _xlpm.v, IFERROR(INDEX('3. Enter Indicator Scores'!$D$10:$CZ$161,_xlpm.r,_xlpm.c),""),
  IF(OR(_xlpm.w="",_xlpm.v=""),"",_xlpm.v*_xlpm.w)
)</f>
        <v/>
      </c>
      <c r="BB47" s="93" t="str" cm="1">
        <f t="array" ref="BB47">_xlfn.LET(
  _xlpm.w, BB$11,
  _xlpm.r, MATCH(1,('3. Enter Indicator Scores'!$B$10:$B$161=$B47)*('3. Enter Indicator Scores'!$C$10:$C$161=$C47),0),
  _xlpm.c, MATCH(BB$8,'3. Enter Indicator Scores'!$D$8:$CZ$8,0),
  _xlpm.v, IFERROR(INDEX('3. Enter Indicator Scores'!$D$10:$CZ$161,_xlpm.r,_xlpm.c),""),
  IF(OR(_xlpm.w="",_xlpm.v=""),"",_xlpm.v*_xlpm.w)
)</f>
        <v/>
      </c>
      <c r="BC47" s="93" t="str" cm="1">
        <f t="array" ref="BC47">_xlfn.LET(
  _xlpm.w, BC$11,
  _xlpm.r, MATCH(1,('3. Enter Indicator Scores'!$B$10:$B$161=$B47)*('3. Enter Indicator Scores'!$C$10:$C$161=$C47),0),
  _xlpm.c, MATCH(BC$8,'3. Enter Indicator Scores'!$D$8:$CZ$8,0),
  _xlpm.v, IFERROR(INDEX('3. Enter Indicator Scores'!$D$10:$CZ$161,_xlpm.r,_xlpm.c),""),
  IF(OR(_xlpm.w="",_xlpm.v=""),"",_xlpm.v*_xlpm.w)
)</f>
        <v/>
      </c>
      <c r="BD47" s="93" t="str" cm="1">
        <f t="array" ref="BD47">_xlfn.LET(
  _xlpm.w, BD$11,
  _xlpm.r, MATCH(1,('3. Enter Indicator Scores'!$B$10:$B$161=$B47)*('3. Enter Indicator Scores'!$C$10:$C$161=$C47),0),
  _xlpm.c, MATCH(BD$8,'3. Enter Indicator Scores'!$D$8:$CZ$8,0),
  _xlpm.v, IFERROR(INDEX('3. Enter Indicator Scores'!$D$10:$CZ$161,_xlpm.r,_xlpm.c),""),
  IF(OR(_xlpm.w="",_xlpm.v=""),"",_xlpm.v*_xlpm.w)
)</f>
        <v/>
      </c>
      <c r="BE47" s="93" t="str" cm="1">
        <f t="array" ref="BE47">_xlfn.LET(
  _xlpm.w, BE$11,
  _xlpm.r, MATCH(1,('3. Enter Indicator Scores'!$B$10:$B$161=$B47)*('3. Enter Indicator Scores'!$C$10:$C$161=$C47),0),
  _xlpm.c, MATCH(BE$8,'3. Enter Indicator Scores'!$D$8:$CZ$8,0),
  _xlpm.v, IFERROR(INDEX('3. Enter Indicator Scores'!$D$10:$CZ$161,_xlpm.r,_xlpm.c),""),
  IF(OR(_xlpm.w="",_xlpm.v=""),"",_xlpm.v*_xlpm.w)
)</f>
        <v/>
      </c>
      <c r="BF47" s="93" t="str" cm="1">
        <f t="array" ref="BF47">_xlfn.LET(
  _xlpm.w, BF$11,
  _xlpm.r, MATCH(1,('3. Enter Indicator Scores'!$B$10:$B$161=$B47)*('3. Enter Indicator Scores'!$C$10:$C$161=$C47),0),
  _xlpm.c, MATCH(BF$8,'3. Enter Indicator Scores'!$D$8:$CZ$8,0),
  _xlpm.v, IFERROR(INDEX('3. Enter Indicator Scores'!$D$10:$CZ$161,_xlpm.r,_xlpm.c),""),
  IF(OR(_xlpm.w="",_xlpm.v=""),"",_xlpm.v*_xlpm.w)
)</f>
        <v/>
      </c>
      <c r="BG47" s="93" t="str" cm="1">
        <f t="array" ref="BG47">_xlfn.LET(
  _xlpm.w, BG$11,
  _xlpm.r, MATCH(1,('3. Enter Indicator Scores'!$B$10:$B$161=$B47)*('3. Enter Indicator Scores'!$C$10:$C$161=$C47),0),
  _xlpm.c, MATCH(BG$8,'3. Enter Indicator Scores'!$D$8:$CZ$8,0),
  _xlpm.v, IFERROR(INDEX('3. Enter Indicator Scores'!$D$10:$CZ$161,_xlpm.r,_xlpm.c),""),
  IF(OR(_xlpm.w="",_xlpm.v=""),"",_xlpm.v*_xlpm.w)
)</f>
        <v/>
      </c>
      <c r="BH47" s="93" t="str" cm="1">
        <f t="array" ref="BH47">_xlfn.LET(
  _xlpm.w, BH$11,
  _xlpm.r, MATCH(1,('3. Enter Indicator Scores'!$B$10:$B$161=$B47)*('3. Enter Indicator Scores'!$C$10:$C$161=$C47),0),
  _xlpm.c, MATCH(BH$8,'3. Enter Indicator Scores'!$D$8:$CZ$8,0),
  _xlpm.v, IFERROR(INDEX('3. Enter Indicator Scores'!$D$10:$CZ$161,_xlpm.r,_xlpm.c),""),
  IF(OR(_xlpm.w="",_xlpm.v=""),"",_xlpm.v*_xlpm.w)
)</f>
        <v/>
      </c>
      <c r="BI47" s="93" t="str" cm="1">
        <f t="array" ref="BI47">_xlfn.LET(
  _xlpm.w, BI$11,
  _xlpm.r, MATCH(1,('3. Enter Indicator Scores'!$B$10:$B$161=$B47)*('3. Enter Indicator Scores'!$C$10:$C$161=$C47),0),
  _xlpm.c, MATCH(BI$8,'3. Enter Indicator Scores'!$D$8:$CZ$8,0),
  _xlpm.v, IFERROR(INDEX('3. Enter Indicator Scores'!$D$10:$CZ$161,_xlpm.r,_xlpm.c),""),
  IF(OR(_xlpm.w="",_xlpm.v=""),"",_xlpm.v*_xlpm.w)
)</f>
        <v/>
      </c>
      <c r="BJ47" s="93" t="str" cm="1">
        <f t="array" ref="BJ47">_xlfn.LET(
  _xlpm.w, BJ$11,
  _xlpm.r, MATCH(1,('3. Enter Indicator Scores'!$B$10:$B$161=$B47)*('3. Enter Indicator Scores'!$C$10:$C$161=$C47),0),
  _xlpm.c, MATCH(BJ$8,'3. Enter Indicator Scores'!$D$8:$CZ$8,0),
  _xlpm.v, IFERROR(INDEX('3. Enter Indicator Scores'!$D$10:$CZ$161,_xlpm.r,_xlpm.c),""),
  IF(OR(_xlpm.w="",_xlpm.v=""),"",_xlpm.v*_xlpm.w)
)</f>
        <v/>
      </c>
      <c r="BK47" s="93" t="str" cm="1">
        <f t="array" ref="BK47">_xlfn.LET(
  _xlpm.w, BK$11,
  _xlpm.r, MATCH(1,('3. Enter Indicator Scores'!$B$10:$B$161=$B47)*('3. Enter Indicator Scores'!$C$10:$C$161=$C47),0),
  _xlpm.c, MATCH(BK$8,'3. Enter Indicator Scores'!$D$8:$CZ$8,0),
  _xlpm.v, IFERROR(INDEX('3. Enter Indicator Scores'!$D$10:$CZ$161,_xlpm.r,_xlpm.c),""),
  IF(OR(_xlpm.w="",_xlpm.v=""),"",_xlpm.v*_xlpm.w)
)</f>
        <v/>
      </c>
      <c r="BL47" s="93" t="str" cm="1">
        <f t="array" ref="BL47">_xlfn.LET(
  _xlpm.w, BL$11,
  _xlpm.r, MATCH(1,('3. Enter Indicator Scores'!$B$10:$B$161=$B47)*('3. Enter Indicator Scores'!$C$10:$C$161=$C47),0),
  _xlpm.c, MATCH(BL$8,'3. Enter Indicator Scores'!$D$8:$CZ$8,0),
  _xlpm.v, IFERROR(INDEX('3. Enter Indicator Scores'!$D$10:$CZ$161,_xlpm.r,_xlpm.c),""),
  IF(OR(_xlpm.w="",_xlpm.v=""),"",_xlpm.v*_xlpm.w)
)</f>
        <v/>
      </c>
      <c r="BM47" s="93" t="str" cm="1">
        <f t="array" ref="BM47">_xlfn.LET(
  _xlpm.w, BM$11,
  _xlpm.r, MATCH(1,('3. Enter Indicator Scores'!$B$10:$B$161=$B47)*('3. Enter Indicator Scores'!$C$10:$C$161=$C47),0),
  _xlpm.c, MATCH(BM$8,'3. Enter Indicator Scores'!$D$8:$CZ$8,0),
  _xlpm.v, IFERROR(INDEX('3. Enter Indicator Scores'!$D$10:$CZ$161,_xlpm.r,_xlpm.c),""),
  IF(OR(_xlpm.w="",_xlpm.v=""),"",_xlpm.v*_xlpm.w)
)</f>
        <v/>
      </c>
      <c r="BN47" s="93" t="str" cm="1">
        <f t="array" ref="BN47">_xlfn.LET(
  _xlpm.w, BN$11,
  _xlpm.r, MATCH(1,('3. Enter Indicator Scores'!$B$10:$B$161=$B47)*('3. Enter Indicator Scores'!$C$10:$C$161=$C47),0),
  _xlpm.c, MATCH(BN$8,'3. Enter Indicator Scores'!$D$8:$CZ$8,0),
  _xlpm.v, IFERROR(INDEX('3. Enter Indicator Scores'!$D$10:$CZ$161,_xlpm.r,_xlpm.c),""),
  IF(OR(_xlpm.w="",_xlpm.v=""),"",_xlpm.v*_xlpm.w)
)</f>
        <v/>
      </c>
      <c r="BO47" s="93" t="str" cm="1">
        <f t="array" ref="BO47">_xlfn.LET(
  _xlpm.w, BO$11,
  _xlpm.r, MATCH(1,('3. Enter Indicator Scores'!$B$10:$B$161=$B47)*('3. Enter Indicator Scores'!$C$10:$C$161=$C47),0),
  _xlpm.c, MATCH(BO$8,'3. Enter Indicator Scores'!$D$8:$CZ$8,0),
  _xlpm.v, IFERROR(INDEX('3. Enter Indicator Scores'!$D$10:$CZ$161,_xlpm.r,_xlpm.c),""),
  IF(OR(_xlpm.w="",_xlpm.v=""),"",_xlpm.v*_xlpm.w)
)</f>
        <v/>
      </c>
      <c r="BP47" s="93" t="str" cm="1">
        <f t="array" ref="BP47">_xlfn.LET(
  _xlpm.w, BP$11,
  _xlpm.r, MATCH(1,('3. Enter Indicator Scores'!$B$10:$B$161=$B47)*('3. Enter Indicator Scores'!$C$10:$C$161=$C47),0),
  _xlpm.c, MATCH(BP$8,'3. Enter Indicator Scores'!$D$8:$CZ$8,0),
  _xlpm.v, IFERROR(INDEX('3. Enter Indicator Scores'!$D$10:$CZ$161,_xlpm.r,_xlpm.c),""),
  IF(OR(_xlpm.w="",_xlpm.v=""),"",_xlpm.v*_xlpm.w)
)</f>
        <v/>
      </c>
      <c r="BQ47" s="93" t="str" cm="1">
        <f t="array" ref="BQ47">_xlfn.LET(
  _xlpm.w, BQ$11,
  _xlpm.r, MATCH(1,('3. Enter Indicator Scores'!$B$10:$B$161=$B47)*('3. Enter Indicator Scores'!$C$10:$C$161=$C47),0),
  _xlpm.c, MATCH(BQ$8,'3. Enter Indicator Scores'!$D$8:$CZ$8,0),
  _xlpm.v, IFERROR(INDEX('3. Enter Indicator Scores'!$D$10:$CZ$161,_xlpm.r,_xlpm.c),""),
  IF(OR(_xlpm.w="",_xlpm.v=""),"",_xlpm.v*_xlpm.w)
)</f>
        <v/>
      </c>
      <c r="BR47" s="93" t="str" cm="1">
        <f t="array" ref="BR47">_xlfn.LET(
  _xlpm.w, BR$11,
  _xlpm.r, MATCH(1,('3. Enter Indicator Scores'!$B$10:$B$161=$B47)*('3. Enter Indicator Scores'!$C$10:$C$161=$C47),0),
  _xlpm.c, MATCH(BR$8,'3. Enter Indicator Scores'!$D$8:$CZ$8,0),
  _xlpm.v, IFERROR(INDEX('3. Enter Indicator Scores'!$D$10:$CZ$161,_xlpm.r,_xlpm.c),""),
  IF(OR(_xlpm.w="",_xlpm.v=""),"",_xlpm.v*_xlpm.w)
)</f>
        <v/>
      </c>
      <c r="BS47" s="93" t="str" cm="1">
        <f t="array" ref="BS47">_xlfn.LET(
  _xlpm.w, BS$11,
  _xlpm.r, MATCH(1,('3. Enter Indicator Scores'!$B$10:$B$161=$B47)*('3. Enter Indicator Scores'!$C$10:$C$161=$C47),0),
  _xlpm.c, MATCH(BS$8,'3. Enter Indicator Scores'!$D$8:$CZ$8,0),
  _xlpm.v, IFERROR(INDEX('3. Enter Indicator Scores'!$D$10:$CZ$161,_xlpm.r,_xlpm.c),""),
  IF(OR(_xlpm.w="",_xlpm.v=""),"",_xlpm.v*_xlpm.w)
)</f>
        <v/>
      </c>
      <c r="BT47" s="93" t="str" cm="1">
        <f t="array" ref="BT47">_xlfn.LET(
  _xlpm.w, BT$11,
  _xlpm.r, MATCH(1,('3. Enter Indicator Scores'!$B$10:$B$161=$B47)*('3. Enter Indicator Scores'!$C$10:$C$161=$C47),0),
  _xlpm.c, MATCH(BT$8,'3. Enter Indicator Scores'!$D$8:$CZ$8,0),
  _xlpm.v, IFERROR(INDEX('3. Enter Indicator Scores'!$D$10:$CZ$161,_xlpm.r,_xlpm.c),""),
  IF(OR(_xlpm.w="",_xlpm.v=""),"",_xlpm.v*_xlpm.w)
)</f>
        <v/>
      </c>
      <c r="BU47" s="93" t="str" cm="1">
        <f t="array" ref="BU47">_xlfn.LET(
  _xlpm.w, BU$11,
  _xlpm.r, MATCH(1,('3. Enter Indicator Scores'!$B$10:$B$161=$B47)*('3. Enter Indicator Scores'!$C$10:$C$161=$C47),0),
  _xlpm.c, MATCH(BU$8,'3. Enter Indicator Scores'!$D$8:$CZ$8,0),
  _xlpm.v, IFERROR(INDEX('3. Enter Indicator Scores'!$D$10:$CZ$161,_xlpm.r,_xlpm.c),""),
  IF(OR(_xlpm.w="",_xlpm.v=""),"",_xlpm.v*_xlpm.w)
)</f>
        <v/>
      </c>
      <c r="BV47" s="93" t="str" cm="1">
        <f t="array" ref="BV47">_xlfn.LET(
  _xlpm.w, BV$11,
  _xlpm.r, MATCH(1,('3. Enter Indicator Scores'!$B$10:$B$161=$B47)*('3. Enter Indicator Scores'!$C$10:$C$161=$C47),0),
  _xlpm.c, MATCH(BV$8,'3. Enter Indicator Scores'!$D$8:$CZ$8,0),
  _xlpm.v, IFERROR(INDEX('3. Enter Indicator Scores'!$D$10:$CZ$161,_xlpm.r,_xlpm.c),""),
  IF(OR(_xlpm.w="",_xlpm.v=""),"",_xlpm.v*_xlpm.w)
)</f>
        <v/>
      </c>
      <c r="BW47" s="93" t="str" cm="1">
        <f t="array" ref="BW47">_xlfn.LET(
  _xlpm.w, BW$11,
  _xlpm.r, MATCH(1,('3. Enter Indicator Scores'!$B$10:$B$161=$B47)*('3. Enter Indicator Scores'!$C$10:$C$161=$C47),0),
  _xlpm.c, MATCH(BW$8,'3. Enter Indicator Scores'!$D$8:$CZ$8,0),
  _xlpm.v, IFERROR(INDEX('3. Enter Indicator Scores'!$D$10:$CZ$161,_xlpm.r,_xlpm.c),""),
  IF(OR(_xlpm.w="",_xlpm.v=""),"",_xlpm.v*_xlpm.w)
)</f>
        <v/>
      </c>
      <c r="BX47" s="93" t="str" cm="1">
        <f t="array" ref="BX47">_xlfn.LET(
  _xlpm.w, BX$11,
  _xlpm.r, MATCH(1,('3. Enter Indicator Scores'!$B$10:$B$161=$B47)*('3. Enter Indicator Scores'!$C$10:$C$161=$C47),0),
  _xlpm.c, MATCH(BX$8,'3. Enter Indicator Scores'!$D$8:$CZ$8,0),
  _xlpm.v, IFERROR(INDEX('3. Enter Indicator Scores'!$D$10:$CZ$161,_xlpm.r,_xlpm.c),""),
  IF(OR(_xlpm.w="",_xlpm.v=""),"",_xlpm.v*_xlpm.w)
)</f>
        <v/>
      </c>
      <c r="BY47" s="93" t="str" cm="1">
        <f t="array" ref="BY47">_xlfn.LET(
  _xlpm.w, BY$11,
  _xlpm.r, MATCH(1,('3. Enter Indicator Scores'!$B$10:$B$161=$B47)*('3. Enter Indicator Scores'!$C$10:$C$161=$C47),0),
  _xlpm.c, MATCH(BY$8,'3. Enter Indicator Scores'!$D$8:$CZ$8,0),
  _xlpm.v, IFERROR(INDEX('3. Enter Indicator Scores'!$D$10:$CZ$161,_xlpm.r,_xlpm.c),""),
  IF(OR(_xlpm.w="",_xlpm.v=""),"",_xlpm.v*_xlpm.w)
)</f>
        <v/>
      </c>
      <c r="BZ47" s="93" t="str" cm="1">
        <f t="array" ref="BZ47">_xlfn.LET(
  _xlpm.w, BZ$11,
  _xlpm.r, MATCH(1,('3. Enter Indicator Scores'!$B$10:$B$161=$B47)*('3. Enter Indicator Scores'!$C$10:$C$161=$C47),0),
  _xlpm.c, MATCH(BZ$8,'3. Enter Indicator Scores'!$D$8:$CZ$8,0),
  _xlpm.v, IFERROR(INDEX('3. Enter Indicator Scores'!$D$10:$CZ$161,_xlpm.r,_xlpm.c),""),
  IF(OR(_xlpm.w="",_xlpm.v=""),"",_xlpm.v*_xlpm.w)
)</f>
        <v/>
      </c>
      <c r="CA47" s="93" t="str" cm="1">
        <f t="array" ref="CA47">_xlfn.LET(
  _xlpm.w, CA$11,
  _xlpm.r, MATCH(1,('3. Enter Indicator Scores'!$B$10:$B$161=$B47)*('3. Enter Indicator Scores'!$C$10:$C$161=$C47),0),
  _xlpm.c, MATCH(CA$8,'3. Enter Indicator Scores'!$D$8:$CZ$8,0),
  _xlpm.v, IFERROR(INDEX('3. Enter Indicator Scores'!$D$10:$CZ$161,_xlpm.r,_xlpm.c),""),
  IF(OR(_xlpm.w="",_xlpm.v=""),"",_xlpm.v*_xlpm.w)
)</f>
        <v/>
      </c>
      <c r="CB47" s="93" t="str" cm="1">
        <f t="array" ref="CB47">_xlfn.LET(
  _xlpm.w, CB$11,
  _xlpm.r, MATCH(1,('3. Enter Indicator Scores'!$B$10:$B$161=$B47)*('3. Enter Indicator Scores'!$C$10:$C$161=$C47),0),
  _xlpm.c, MATCH(CB$8,'3. Enter Indicator Scores'!$D$8:$CZ$8,0),
  _xlpm.v, IFERROR(INDEX('3. Enter Indicator Scores'!$D$10:$CZ$161,_xlpm.r,_xlpm.c),""),
  IF(OR(_xlpm.w="",_xlpm.v=""),"",_xlpm.v*_xlpm.w)
)</f>
        <v/>
      </c>
      <c r="CC47" s="93" t="str" cm="1">
        <f t="array" ref="CC47">_xlfn.LET(
  _xlpm.w, CC$11,
  _xlpm.r, MATCH(1,('3. Enter Indicator Scores'!$B$10:$B$161=$B47)*('3. Enter Indicator Scores'!$C$10:$C$161=$C47),0),
  _xlpm.c, MATCH(CC$8,'3. Enter Indicator Scores'!$D$8:$CZ$8,0),
  _xlpm.v, IFERROR(INDEX('3. Enter Indicator Scores'!$D$10:$CZ$161,_xlpm.r,_xlpm.c),""),
  IF(OR(_xlpm.w="",_xlpm.v=""),"",_xlpm.v*_xlpm.w)
)</f>
        <v/>
      </c>
      <c r="CD47" s="93" t="str" cm="1">
        <f t="array" ref="CD47">_xlfn.LET(
  _xlpm.w, CD$11,
  _xlpm.r, MATCH(1,('3. Enter Indicator Scores'!$B$10:$B$161=$B47)*('3. Enter Indicator Scores'!$C$10:$C$161=$C47),0),
  _xlpm.c, MATCH(CD$8,'3. Enter Indicator Scores'!$D$8:$CZ$8,0),
  _xlpm.v, IFERROR(INDEX('3. Enter Indicator Scores'!$D$10:$CZ$161,_xlpm.r,_xlpm.c),""),
  IF(OR(_xlpm.w="",_xlpm.v=""),"",_xlpm.v*_xlpm.w)
)</f>
        <v/>
      </c>
      <c r="CE47" s="93" t="str" cm="1">
        <f t="array" ref="CE47">_xlfn.LET(
  _xlpm.w, CE$11,
  _xlpm.r, MATCH(1,('3. Enter Indicator Scores'!$B$10:$B$161=$B47)*('3. Enter Indicator Scores'!$C$10:$C$161=$C47),0),
  _xlpm.c, MATCH(CE$8,'3. Enter Indicator Scores'!$D$8:$CZ$8,0),
  _xlpm.v, IFERROR(INDEX('3. Enter Indicator Scores'!$D$10:$CZ$161,_xlpm.r,_xlpm.c),""),
  IF(OR(_xlpm.w="",_xlpm.v=""),"",_xlpm.v*_xlpm.w)
)</f>
        <v/>
      </c>
      <c r="CF47" s="93" t="str" cm="1">
        <f t="array" ref="CF47">_xlfn.LET(
  _xlpm.w, CF$11,
  _xlpm.r, MATCH(1,('3. Enter Indicator Scores'!$B$10:$B$161=$B47)*('3. Enter Indicator Scores'!$C$10:$C$161=$C47),0),
  _xlpm.c, MATCH(CF$8,'3. Enter Indicator Scores'!$D$8:$CZ$8,0),
  _xlpm.v, IFERROR(INDEX('3. Enter Indicator Scores'!$D$10:$CZ$161,_xlpm.r,_xlpm.c),""),
  IF(OR(_xlpm.w="",_xlpm.v=""),"",_xlpm.v*_xlpm.w)
)</f>
        <v/>
      </c>
      <c r="CG47" s="93" t="str" cm="1">
        <f t="array" ref="CG47">_xlfn.LET(
  _xlpm.w, CG$11,
  _xlpm.r, MATCH(1,('3. Enter Indicator Scores'!$B$10:$B$161=$B47)*('3. Enter Indicator Scores'!$C$10:$C$161=$C47),0),
  _xlpm.c, MATCH(CG$8,'3. Enter Indicator Scores'!$D$8:$CZ$8,0),
  _xlpm.v, IFERROR(INDEX('3. Enter Indicator Scores'!$D$10:$CZ$161,_xlpm.r,_xlpm.c),""),
  IF(OR(_xlpm.w="",_xlpm.v=""),"",_xlpm.v*_xlpm.w)
)</f>
        <v/>
      </c>
      <c r="CH47" s="93" t="str" cm="1">
        <f t="array" ref="CH47">_xlfn.LET(
  _xlpm.w, CH$11,
  _xlpm.r, MATCH(1,('3. Enter Indicator Scores'!$B$10:$B$161=$B47)*('3. Enter Indicator Scores'!$C$10:$C$161=$C47),0),
  _xlpm.c, MATCH(CH$8,'3. Enter Indicator Scores'!$D$8:$CZ$8,0),
  _xlpm.v, IFERROR(INDEX('3. Enter Indicator Scores'!$D$10:$CZ$161,_xlpm.r,_xlpm.c),""),
  IF(OR(_xlpm.w="",_xlpm.v=""),"",_xlpm.v*_xlpm.w)
)</f>
        <v/>
      </c>
      <c r="CI47" s="93" t="str" cm="1">
        <f t="array" ref="CI47">_xlfn.LET(
  _xlpm.w, CI$11,
  _xlpm.r, MATCH(1,('3. Enter Indicator Scores'!$B$10:$B$161=$B47)*('3. Enter Indicator Scores'!$C$10:$C$161=$C47),0),
  _xlpm.c, MATCH(CI$8,'3. Enter Indicator Scores'!$D$8:$CZ$8,0),
  _xlpm.v, IFERROR(INDEX('3. Enter Indicator Scores'!$D$10:$CZ$161,_xlpm.r,_xlpm.c),""),
  IF(OR(_xlpm.w="",_xlpm.v=""),"",_xlpm.v*_xlpm.w)
)</f>
        <v/>
      </c>
      <c r="CJ47" s="93" t="str" cm="1">
        <f t="array" ref="CJ47">_xlfn.LET(
  _xlpm.w, CJ$11,
  _xlpm.r, MATCH(1,('3. Enter Indicator Scores'!$B$10:$B$161=$B47)*('3. Enter Indicator Scores'!$C$10:$C$161=$C47),0),
  _xlpm.c, MATCH(CJ$8,'3. Enter Indicator Scores'!$D$8:$CZ$8,0),
  _xlpm.v, IFERROR(INDEX('3. Enter Indicator Scores'!$D$10:$CZ$161,_xlpm.r,_xlpm.c),""),
  IF(OR(_xlpm.w="",_xlpm.v=""),"",_xlpm.v*_xlpm.w)
)</f>
        <v/>
      </c>
      <c r="CK47" s="93" t="str" cm="1">
        <f t="array" ref="CK47">_xlfn.LET(
  _xlpm.w, CK$11,
  _xlpm.r, MATCH(1,('3. Enter Indicator Scores'!$B$10:$B$161=$B47)*('3. Enter Indicator Scores'!$C$10:$C$161=$C47),0),
  _xlpm.c, MATCH(CK$8,'3. Enter Indicator Scores'!$D$8:$CZ$8,0),
  _xlpm.v, IFERROR(INDEX('3. Enter Indicator Scores'!$D$10:$CZ$161,_xlpm.r,_xlpm.c),""),
  IF(OR(_xlpm.w="",_xlpm.v=""),"",_xlpm.v*_xlpm.w)
)</f>
        <v/>
      </c>
      <c r="CL47" s="93" t="str" cm="1">
        <f t="array" ref="CL47">_xlfn.LET(
  _xlpm.w, CL$11,
  _xlpm.r, MATCH(1,('3. Enter Indicator Scores'!$B$10:$B$161=$B47)*('3. Enter Indicator Scores'!$C$10:$C$161=$C47),0),
  _xlpm.c, MATCH(CL$8,'3. Enter Indicator Scores'!$D$8:$CZ$8,0),
  _xlpm.v, IFERROR(INDEX('3. Enter Indicator Scores'!$D$10:$CZ$161,_xlpm.r,_xlpm.c),""),
  IF(OR(_xlpm.w="",_xlpm.v=""),"",_xlpm.v*_xlpm.w)
)</f>
        <v/>
      </c>
      <c r="CM47" s="93" t="str" cm="1">
        <f t="array" ref="CM47">_xlfn.LET(
  _xlpm.w, CM$11,
  _xlpm.r, MATCH(1,('3. Enter Indicator Scores'!$B$10:$B$161=$B47)*('3. Enter Indicator Scores'!$C$10:$C$161=$C47),0),
  _xlpm.c, MATCH(CM$8,'3. Enter Indicator Scores'!$D$8:$CZ$8,0),
  _xlpm.v, IFERROR(INDEX('3. Enter Indicator Scores'!$D$10:$CZ$161,_xlpm.r,_xlpm.c),""),
  IF(OR(_xlpm.w="",_xlpm.v=""),"",_xlpm.v*_xlpm.w)
)</f>
        <v/>
      </c>
      <c r="CN47" s="93" t="str" cm="1">
        <f t="array" ref="CN47">_xlfn.LET(
  _xlpm.w, CN$11,
  _xlpm.r, MATCH(1,('3. Enter Indicator Scores'!$B$10:$B$161=$B47)*('3. Enter Indicator Scores'!$C$10:$C$161=$C47),0),
  _xlpm.c, MATCH(CN$8,'3. Enter Indicator Scores'!$D$8:$CZ$8,0),
  _xlpm.v, IFERROR(INDEX('3. Enter Indicator Scores'!$D$10:$CZ$161,_xlpm.r,_xlpm.c),""),
  IF(OR(_xlpm.w="",_xlpm.v=""),"",_xlpm.v*_xlpm.w)
)</f>
        <v/>
      </c>
      <c r="CO47" s="93" t="str" cm="1">
        <f t="array" ref="CO47">_xlfn.LET(
  _xlpm.w, CO$11,
  _xlpm.r, MATCH(1,('3. Enter Indicator Scores'!$B$10:$B$161=$B47)*('3. Enter Indicator Scores'!$C$10:$C$161=$C47),0),
  _xlpm.c, MATCH(CO$8,'3. Enter Indicator Scores'!$D$8:$CZ$8,0),
  _xlpm.v, IFERROR(INDEX('3. Enter Indicator Scores'!$D$10:$CZ$161,_xlpm.r,_xlpm.c),""),
  IF(OR(_xlpm.w="",_xlpm.v=""),"",_xlpm.v*_xlpm.w)
)</f>
        <v/>
      </c>
      <c r="CP47" s="93" t="str" cm="1">
        <f t="array" ref="CP47">_xlfn.LET(
  _xlpm.w, CP$11,
  _xlpm.r, MATCH(1,('3. Enter Indicator Scores'!$B$10:$B$161=$B47)*('3. Enter Indicator Scores'!$C$10:$C$161=$C47),0),
  _xlpm.c, MATCH(CP$8,'3. Enter Indicator Scores'!$D$8:$CZ$8,0),
  _xlpm.v, IFERROR(INDEX('3. Enter Indicator Scores'!$D$10:$CZ$161,_xlpm.r,_xlpm.c),""),
  IF(OR(_xlpm.w="",_xlpm.v=""),"",_xlpm.v*_xlpm.w)
)</f>
        <v/>
      </c>
      <c r="CQ47" s="93" t="str" cm="1">
        <f t="array" ref="CQ47">_xlfn.LET(
  _xlpm.w, CQ$11,
  _xlpm.r, MATCH(1,('3. Enter Indicator Scores'!$B$10:$B$161=$B47)*('3. Enter Indicator Scores'!$C$10:$C$161=$C47),0),
  _xlpm.c, MATCH(CQ$8,'3. Enter Indicator Scores'!$D$8:$CZ$8,0),
  _xlpm.v, IFERROR(INDEX('3. Enter Indicator Scores'!$D$10:$CZ$161,_xlpm.r,_xlpm.c),""),
  IF(OR(_xlpm.w="",_xlpm.v=""),"",_xlpm.v*_xlpm.w)
)</f>
        <v/>
      </c>
      <c r="CR47" s="93" t="str" cm="1">
        <f t="array" ref="CR47">_xlfn.LET(
  _xlpm.w, CR$11,
  _xlpm.r, MATCH(1,('3. Enter Indicator Scores'!$B$10:$B$161=$B47)*('3. Enter Indicator Scores'!$C$10:$C$161=$C47),0),
  _xlpm.c, MATCH(CR$8,'3. Enter Indicator Scores'!$D$8:$CZ$8,0),
  _xlpm.v, IFERROR(INDEX('3. Enter Indicator Scores'!$D$10:$CZ$161,_xlpm.r,_xlpm.c),""),
  IF(OR(_xlpm.w="",_xlpm.v=""),"",_xlpm.v*_xlpm.w)
)</f>
        <v/>
      </c>
      <c r="CS47" s="93" t="str" cm="1">
        <f t="array" ref="CS47">_xlfn.LET(
  _xlpm.w, CS$11,
  _xlpm.r, MATCH(1,('3. Enter Indicator Scores'!$B$10:$B$161=$B47)*('3. Enter Indicator Scores'!$C$10:$C$161=$C47),0),
  _xlpm.c, MATCH(CS$8,'3. Enter Indicator Scores'!$D$8:$CZ$8,0),
  _xlpm.v, IFERROR(INDEX('3. Enter Indicator Scores'!$D$10:$CZ$161,_xlpm.r,_xlpm.c),""),
  IF(OR(_xlpm.w="",_xlpm.v=""),"",_xlpm.v*_xlpm.w)
)</f>
        <v/>
      </c>
      <c r="CT47" s="93" t="str" cm="1">
        <f t="array" ref="CT47">_xlfn.LET(
  _xlpm.w, CT$11,
  _xlpm.r, MATCH(1,('3. Enter Indicator Scores'!$B$10:$B$161=$B47)*('3. Enter Indicator Scores'!$C$10:$C$161=$C47),0),
  _xlpm.c, MATCH(CT$8,'3. Enter Indicator Scores'!$D$8:$CZ$8,0),
  _xlpm.v, IFERROR(INDEX('3. Enter Indicator Scores'!$D$10:$CZ$161,_xlpm.r,_xlpm.c),""),
  IF(OR(_xlpm.w="",_xlpm.v=""),"",_xlpm.v*_xlpm.w)
)</f>
        <v/>
      </c>
      <c r="CU47" s="93" t="str" cm="1">
        <f t="array" ref="CU47">_xlfn.LET(
  _xlpm.w, CU$11,
  _xlpm.r, MATCH(1,('3. Enter Indicator Scores'!$B$10:$B$161=$B47)*('3. Enter Indicator Scores'!$C$10:$C$161=$C47),0),
  _xlpm.c, MATCH(CU$8,'3. Enter Indicator Scores'!$D$8:$CZ$8,0),
  _xlpm.v, IFERROR(INDEX('3. Enter Indicator Scores'!$D$10:$CZ$161,_xlpm.r,_xlpm.c),""),
  IF(OR(_xlpm.w="",_xlpm.v=""),"",_xlpm.v*_xlpm.w)
)</f>
        <v/>
      </c>
      <c r="CV47" s="93" t="str" cm="1">
        <f t="array" ref="CV47">_xlfn.LET(
  _xlpm.w, CV$11,
  _xlpm.r, MATCH(1,('3. Enter Indicator Scores'!$B$10:$B$161=$B47)*('3. Enter Indicator Scores'!$C$10:$C$161=$C47),0),
  _xlpm.c, MATCH(CV$8,'3. Enter Indicator Scores'!$D$8:$CZ$8,0),
  _xlpm.v, IFERROR(INDEX('3. Enter Indicator Scores'!$D$10:$CZ$161,_xlpm.r,_xlpm.c),""),
  IF(OR(_xlpm.w="",_xlpm.v=""),"",_xlpm.v*_xlpm.w)
)</f>
        <v/>
      </c>
      <c r="CW47" s="93" t="str" cm="1">
        <f t="array" ref="CW47">_xlfn.LET(
  _xlpm.w, CW$11,
  _xlpm.r, MATCH(1,('3. Enter Indicator Scores'!$B$10:$B$161=$B47)*('3. Enter Indicator Scores'!$C$10:$C$161=$C47),0),
  _xlpm.c, MATCH(CW$8,'3. Enter Indicator Scores'!$D$8:$CZ$8,0),
  _xlpm.v, IFERROR(INDEX('3. Enter Indicator Scores'!$D$10:$CZ$161,_xlpm.r,_xlpm.c),""),
  IF(OR(_xlpm.w="",_xlpm.v=""),"",_xlpm.v*_xlpm.w)
)</f>
        <v/>
      </c>
      <c r="CX47" s="93" t="str" cm="1">
        <f t="array" ref="CX47">_xlfn.LET(
  _xlpm.w, CX$11,
  _xlpm.r, MATCH(1,('3. Enter Indicator Scores'!$B$10:$B$161=$B47)*('3. Enter Indicator Scores'!$C$10:$C$161=$C47),0),
  _xlpm.c, MATCH(CX$8,'3. Enter Indicator Scores'!$D$8:$CZ$8,0),
  _xlpm.v, IFERROR(INDEX('3. Enter Indicator Scores'!$D$10:$CZ$161,_xlpm.r,_xlpm.c),""),
  IF(OR(_xlpm.w="",_xlpm.v=""),"",_xlpm.v*_xlpm.w)
)</f>
        <v/>
      </c>
      <c r="CY47" s="93" t="str" cm="1">
        <f t="array" ref="CY47">_xlfn.LET(
  _xlpm.w, CY$11,
  _xlpm.r, MATCH(1,('3. Enter Indicator Scores'!$B$10:$B$161=$B47)*('3. Enter Indicator Scores'!$C$10:$C$161=$C47),0),
  _xlpm.c, MATCH(CY$8,'3. Enter Indicator Scores'!$D$8:$CZ$8,0),
  _xlpm.v, IFERROR(INDEX('3. Enter Indicator Scores'!$D$10:$CZ$161,_xlpm.r,_xlpm.c),""),
  IF(OR(_xlpm.w="",_xlpm.v=""),"",_xlpm.v*_xlpm.w)
)</f>
        <v/>
      </c>
      <c r="CZ47" s="93" t="str" cm="1">
        <f t="array" ref="CZ47">_xlfn.LET(
  _xlpm.w, CZ$11,
  _xlpm.r, MATCH(1,('3. Enter Indicator Scores'!$B$10:$B$161=$B47)*('3. Enter Indicator Scores'!$C$10:$C$161=$C47),0),
  _xlpm.c, MATCH(CZ$8,'3. Enter Indicator Scores'!$D$8:$CZ$8,0),
  _xlpm.v, IFERROR(INDEX('3. Enter Indicator Scores'!$D$10:$CZ$161,_xlpm.r,_xlpm.c),""),
  IF(OR(_xlpm.w="",_xlpm.v=""),"",_xlpm.v*_xlpm.w)
)</f>
        <v/>
      </c>
    </row>
    <row r="48" spans="4:104" x14ac:dyDescent="0.2">
      <c r="D48" s="93" t="str" cm="1">
        <f t="array" ref="D48">_xlfn.LET(
  _xlpm.w, D$11,
  _xlpm.r, MATCH(1,('3. Enter Indicator Scores'!$B$10:$B$161=$B48)*('3. Enter Indicator Scores'!$C$10:$C$161=$C48),0),
  _xlpm.c, MATCH(D$8,'3. Enter Indicator Scores'!$D$8:$CZ$8,0),
  _xlpm.v, IFERROR(INDEX('3. Enter Indicator Scores'!$D$10:$CZ$161,_xlpm.r,_xlpm.c),""),
  IF(OR(_xlpm.w="",_xlpm.v=""),"",_xlpm.v*_xlpm.w)
)</f>
        <v/>
      </c>
      <c r="E48" s="93" t="str" cm="1">
        <f t="array" ref="E48">_xlfn.LET(
  _xlpm.w, E$11,
  _xlpm.r, MATCH(1,('3. Enter Indicator Scores'!$B$10:$B$161=$B48)*('3. Enter Indicator Scores'!$C$10:$C$161=$C48),0),
  _xlpm.c, MATCH(E$8,'3. Enter Indicator Scores'!$D$8:$CZ$8,0),
  _xlpm.v, IFERROR(INDEX('3. Enter Indicator Scores'!$D$10:$CZ$161,_xlpm.r,_xlpm.c),""),
  IF(OR(_xlpm.w="",_xlpm.v=""),"",_xlpm.v*_xlpm.w)
)</f>
        <v/>
      </c>
      <c r="F48" s="93" t="str" cm="1">
        <f t="array" ref="F48">_xlfn.LET(
  _xlpm.w, F$11,
  _xlpm.r, MATCH(1,('3. Enter Indicator Scores'!$B$10:$B$161=$B48)*('3. Enter Indicator Scores'!$C$10:$C$161=$C48),0),
  _xlpm.c, MATCH(F$8,'3. Enter Indicator Scores'!$D$8:$CZ$8,0),
  _xlpm.v, IFERROR(INDEX('3. Enter Indicator Scores'!$D$10:$CZ$161,_xlpm.r,_xlpm.c),""),
  IF(OR(_xlpm.w="",_xlpm.v=""),"",_xlpm.v*_xlpm.w)
)</f>
        <v/>
      </c>
      <c r="G48" s="93" t="str" cm="1">
        <f t="array" ref="G48">_xlfn.LET(
  _xlpm.w, G$11,
  _xlpm.r, MATCH(1,('3. Enter Indicator Scores'!$B$10:$B$161=$B48)*('3. Enter Indicator Scores'!$C$10:$C$161=$C48),0),
  _xlpm.c, MATCH(G$8,'3. Enter Indicator Scores'!$D$8:$CZ$8,0),
  _xlpm.v, IFERROR(INDEX('3. Enter Indicator Scores'!$D$10:$CZ$161,_xlpm.r,_xlpm.c),""),
  IF(OR(_xlpm.w="",_xlpm.v=""),"",_xlpm.v*_xlpm.w)
)</f>
        <v/>
      </c>
      <c r="H48" s="93" t="str" cm="1">
        <f t="array" ref="H48">_xlfn.LET(
  _xlpm.w, H$11,
  _xlpm.r, MATCH(1,('3. Enter Indicator Scores'!$B$10:$B$161=$B48)*('3. Enter Indicator Scores'!$C$10:$C$161=$C48),0),
  _xlpm.c, MATCH(H$8,'3. Enter Indicator Scores'!$D$8:$CZ$8,0),
  _xlpm.v, IFERROR(INDEX('3. Enter Indicator Scores'!$D$10:$CZ$161,_xlpm.r,_xlpm.c),""),
  IF(OR(_xlpm.w="",_xlpm.v=""),"",_xlpm.v*_xlpm.w)
)</f>
        <v/>
      </c>
      <c r="I48" s="93" t="str" cm="1">
        <f t="array" ref="I48">_xlfn.LET(
  _xlpm.w, I$11,
  _xlpm.r, MATCH(1,('3. Enter Indicator Scores'!$B$10:$B$161=$B48)*('3. Enter Indicator Scores'!$C$10:$C$161=$C48),0),
  _xlpm.c, MATCH(I$8,'3. Enter Indicator Scores'!$D$8:$CZ$8,0),
  _xlpm.v, IFERROR(INDEX('3. Enter Indicator Scores'!$D$10:$CZ$161,_xlpm.r,_xlpm.c),""),
  IF(OR(_xlpm.w="",_xlpm.v=""),"",_xlpm.v*_xlpm.w)
)</f>
        <v/>
      </c>
      <c r="J48" s="93" t="str" cm="1">
        <f t="array" ref="J48">_xlfn.LET(
  _xlpm.w, J$11,
  _xlpm.r, MATCH(1,('3. Enter Indicator Scores'!$B$10:$B$161=$B48)*('3. Enter Indicator Scores'!$C$10:$C$161=$C48),0),
  _xlpm.c, MATCH(J$8,'3. Enter Indicator Scores'!$D$8:$CZ$8,0),
  _xlpm.v, IFERROR(INDEX('3. Enter Indicator Scores'!$D$10:$CZ$161,_xlpm.r,_xlpm.c),""),
  IF(OR(_xlpm.w="",_xlpm.v=""),"",_xlpm.v*_xlpm.w)
)</f>
        <v/>
      </c>
      <c r="K48" s="93" t="str" cm="1">
        <f t="array" ref="K48">_xlfn.LET(
  _xlpm.w, K$11,
  _xlpm.r, MATCH(1,('3. Enter Indicator Scores'!$B$10:$B$161=$B48)*('3. Enter Indicator Scores'!$C$10:$C$161=$C48),0),
  _xlpm.c, MATCH(K$8,'3. Enter Indicator Scores'!$D$8:$CZ$8,0),
  _xlpm.v, IFERROR(INDEX('3. Enter Indicator Scores'!$D$10:$CZ$161,_xlpm.r,_xlpm.c),""),
  IF(OR(_xlpm.w="",_xlpm.v=""),"",_xlpm.v*_xlpm.w)
)</f>
        <v/>
      </c>
      <c r="L48" s="93" t="str" cm="1">
        <f t="array" ref="L48">_xlfn.LET(
  _xlpm.w, L$11,
  _xlpm.r, MATCH(1,('3. Enter Indicator Scores'!$B$10:$B$161=$B48)*('3. Enter Indicator Scores'!$C$10:$C$161=$C48),0),
  _xlpm.c, MATCH(L$8,'3. Enter Indicator Scores'!$D$8:$CZ$8,0),
  _xlpm.v, IFERROR(INDEX('3. Enter Indicator Scores'!$D$10:$CZ$161,_xlpm.r,_xlpm.c),""),
  IF(OR(_xlpm.w="",_xlpm.v=""),"",_xlpm.v*_xlpm.w)
)</f>
        <v/>
      </c>
      <c r="M48" s="93" t="str" cm="1">
        <f t="array" ref="M48">_xlfn.LET(
  _xlpm.w, M$11,
  _xlpm.r, MATCH(1,('3. Enter Indicator Scores'!$B$10:$B$161=$B48)*('3. Enter Indicator Scores'!$C$10:$C$161=$C48),0),
  _xlpm.c, MATCH(M$8,'3. Enter Indicator Scores'!$D$8:$CZ$8,0),
  _xlpm.v, IFERROR(INDEX('3. Enter Indicator Scores'!$D$10:$CZ$161,_xlpm.r,_xlpm.c),""),
  IF(OR(_xlpm.w="",_xlpm.v=""),"",_xlpm.v*_xlpm.w)
)</f>
        <v/>
      </c>
      <c r="N48" s="93" t="str" cm="1">
        <f t="array" ref="N48">_xlfn.LET(
  _xlpm.w, N$11,
  _xlpm.r, MATCH(1,('3. Enter Indicator Scores'!$B$10:$B$161=$B48)*('3. Enter Indicator Scores'!$C$10:$C$161=$C48),0),
  _xlpm.c, MATCH(N$8,'3. Enter Indicator Scores'!$D$8:$CZ$8,0),
  _xlpm.v, IFERROR(INDEX('3. Enter Indicator Scores'!$D$10:$CZ$161,_xlpm.r,_xlpm.c),""),
  IF(OR(_xlpm.w="",_xlpm.v=""),"",_xlpm.v*_xlpm.w)
)</f>
        <v/>
      </c>
      <c r="O48" s="93" t="str" cm="1">
        <f t="array" ref="O48">_xlfn.LET(
  _xlpm.w, O$11,
  _xlpm.r, MATCH(1,('3. Enter Indicator Scores'!$B$10:$B$161=$B48)*('3. Enter Indicator Scores'!$C$10:$C$161=$C48),0),
  _xlpm.c, MATCH(O$8,'3. Enter Indicator Scores'!$D$8:$CZ$8,0),
  _xlpm.v, IFERROR(INDEX('3. Enter Indicator Scores'!$D$10:$CZ$161,_xlpm.r,_xlpm.c),""),
  IF(OR(_xlpm.w="",_xlpm.v=""),"",_xlpm.v*_xlpm.w)
)</f>
        <v/>
      </c>
      <c r="P48" s="93" t="str" cm="1">
        <f t="array" ref="P48">_xlfn.LET(
  _xlpm.w, P$11,
  _xlpm.r, MATCH(1,('3. Enter Indicator Scores'!$B$10:$B$161=$B48)*('3. Enter Indicator Scores'!$C$10:$C$161=$C48),0),
  _xlpm.c, MATCH(P$8,'3. Enter Indicator Scores'!$D$8:$CZ$8,0),
  _xlpm.v, IFERROR(INDEX('3. Enter Indicator Scores'!$D$10:$CZ$161,_xlpm.r,_xlpm.c),""),
  IF(OR(_xlpm.w="",_xlpm.v=""),"",_xlpm.v*_xlpm.w)
)</f>
        <v/>
      </c>
      <c r="Q48" s="93" t="str" cm="1">
        <f t="array" ref="Q48">_xlfn.LET(
  _xlpm.w, Q$11,
  _xlpm.r, MATCH(1,('3. Enter Indicator Scores'!$B$10:$B$161=$B48)*('3. Enter Indicator Scores'!$C$10:$C$161=$C48),0),
  _xlpm.c, MATCH(Q$8,'3. Enter Indicator Scores'!$D$8:$CZ$8,0),
  _xlpm.v, IFERROR(INDEX('3. Enter Indicator Scores'!$D$10:$CZ$161,_xlpm.r,_xlpm.c),""),
  IF(OR(_xlpm.w="",_xlpm.v=""),"",_xlpm.v*_xlpm.w)
)</f>
        <v/>
      </c>
      <c r="R48" s="93" t="str" cm="1">
        <f t="array" ref="R48">_xlfn.LET(
  _xlpm.w, R$11,
  _xlpm.r, MATCH(1,('3. Enter Indicator Scores'!$B$10:$B$161=$B48)*('3. Enter Indicator Scores'!$C$10:$C$161=$C48),0),
  _xlpm.c, MATCH(R$8,'3. Enter Indicator Scores'!$D$8:$CZ$8,0),
  _xlpm.v, IFERROR(INDEX('3. Enter Indicator Scores'!$D$10:$CZ$161,_xlpm.r,_xlpm.c),""),
  IF(OR(_xlpm.w="",_xlpm.v=""),"",_xlpm.v*_xlpm.w)
)</f>
        <v/>
      </c>
      <c r="S48" s="93" t="str" cm="1">
        <f t="array" ref="S48">_xlfn.LET(
  _xlpm.w, S$11,
  _xlpm.r, MATCH(1,('3. Enter Indicator Scores'!$B$10:$B$161=$B48)*('3. Enter Indicator Scores'!$C$10:$C$161=$C48),0),
  _xlpm.c, MATCH(S$8,'3. Enter Indicator Scores'!$D$8:$CZ$8,0),
  _xlpm.v, IFERROR(INDEX('3. Enter Indicator Scores'!$D$10:$CZ$161,_xlpm.r,_xlpm.c),""),
  IF(OR(_xlpm.w="",_xlpm.v=""),"",_xlpm.v*_xlpm.w)
)</f>
        <v/>
      </c>
      <c r="T48" s="93" t="str" cm="1">
        <f t="array" ref="T48">_xlfn.LET(
  _xlpm.w, T$11,
  _xlpm.r, MATCH(1,('3. Enter Indicator Scores'!$B$10:$B$161=$B48)*('3. Enter Indicator Scores'!$C$10:$C$161=$C48),0),
  _xlpm.c, MATCH(T$8,'3. Enter Indicator Scores'!$D$8:$CZ$8,0),
  _xlpm.v, IFERROR(INDEX('3. Enter Indicator Scores'!$D$10:$CZ$161,_xlpm.r,_xlpm.c),""),
  IF(OR(_xlpm.w="",_xlpm.v=""),"",_xlpm.v*_xlpm.w)
)</f>
        <v/>
      </c>
      <c r="U48" s="93" t="str" cm="1">
        <f t="array" ref="U48">_xlfn.LET(
  _xlpm.w, U$11,
  _xlpm.r, MATCH(1,('3. Enter Indicator Scores'!$B$10:$B$161=$B48)*('3. Enter Indicator Scores'!$C$10:$C$161=$C48),0),
  _xlpm.c, MATCH(U$8,'3. Enter Indicator Scores'!$D$8:$CZ$8,0),
  _xlpm.v, IFERROR(INDEX('3. Enter Indicator Scores'!$D$10:$CZ$161,_xlpm.r,_xlpm.c),""),
  IF(OR(_xlpm.w="",_xlpm.v=""),"",_xlpm.v*_xlpm.w)
)</f>
        <v/>
      </c>
      <c r="V48" s="93" t="str" cm="1">
        <f t="array" ref="V48">_xlfn.LET(
  _xlpm.w, V$11,
  _xlpm.r, MATCH(1,('3. Enter Indicator Scores'!$B$10:$B$161=$B48)*('3. Enter Indicator Scores'!$C$10:$C$161=$C48),0),
  _xlpm.c, MATCH(V$8,'3. Enter Indicator Scores'!$D$8:$CZ$8,0),
  _xlpm.v, IFERROR(INDEX('3. Enter Indicator Scores'!$D$10:$CZ$161,_xlpm.r,_xlpm.c),""),
  IF(OR(_xlpm.w="",_xlpm.v=""),"",_xlpm.v*_xlpm.w)
)</f>
        <v/>
      </c>
      <c r="W48" s="93" t="str" cm="1">
        <f t="array" ref="W48">_xlfn.LET(
  _xlpm.w, W$11,
  _xlpm.r, MATCH(1,('3. Enter Indicator Scores'!$B$10:$B$161=$B48)*('3. Enter Indicator Scores'!$C$10:$C$161=$C48),0),
  _xlpm.c, MATCH(W$8,'3. Enter Indicator Scores'!$D$8:$CZ$8,0),
  _xlpm.v, IFERROR(INDEX('3. Enter Indicator Scores'!$D$10:$CZ$161,_xlpm.r,_xlpm.c),""),
  IF(OR(_xlpm.w="",_xlpm.v=""),"",_xlpm.v*_xlpm.w)
)</f>
        <v/>
      </c>
      <c r="X48" s="93" t="str" cm="1">
        <f t="array" ref="X48">_xlfn.LET(
  _xlpm.w, X$11,
  _xlpm.r, MATCH(1,('3. Enter Indicator Scores'!$B$10:$B$161=$B48)*('3. Enter Indicator Scores'!$C$10:$C$161=$C48),0),
  _xlpm.c, MATCH(X$8,'3. Enter Indicator Scores'!$D$8:$CZ$8,0),
  _xlpm.v, IFERROR(INDEX('3. Enter Indicator Scores'!$D$10:$CZ$161,_xlpm.r,_xlpm.c),""),
  IF(OR(_xlpm.w="",_xlpm.v=""),"",_xlpm.v*_xlpm.w)
)</f>
        <v/>
      </c>
      <c r="Y48" s="93" t="str" cm="1">
        <f t="array" ref="Y48">_xlfn.LET(
  _xlpm.w, Y$11,
  _xlpm.r, MATCH(1,('3. Enter Indicator Scores'!$B$10:$B$161=$B48)*('3. Enter Indicator Scores'!$C$10:$C$161=$C48),0),
  _xlpm.c, MATCH(Y$8,'3. Enter Indicator Scores'!$D$8:$CZ$8,0),
  _xlpm.v, IFERROR(INDEX('3. Enter Indicator Scores'!$D$10:$CZ$161,_xlpm.r,_xlpm.c),""),
  IF(OR(_xlpm.w="",_xlpm.v=""),"",_xlpm.v*_xlpm.w)
)</f>
        <v/>
      </c>
      <c r="Z48" s="93" t="str" cm="1">
        <f t="array" ref="Z48">_xlfn.LET(
  _xlpm.w, Z$11,
  _xlpm.r, MATCH(1,('3. Enter Indicator Scores'!$B$10:$B$161=$B48)*('3. Enter Indicator Scores'!$C$10:$C$161=$C48),0),
  _xlpm.c, MATCH(Z$8,'3. Enter Indicator Scores'!$D$8:$CZ$8,0),
  _xlpm.v, IFERROR(INDEX('3. Enter Indicator Scores'!$D$10:$CZ$161,_xlpm.r,_xlpm.c),""),
  IF(OR(_xlpm.w="",_xlpm.v=""),"",_xlpm.v*_xlpm.w)
)</f>
        <v/>
      </c>
      <c r="AA48" s="93" t="str" cm="1">
        <f t="array" ref="AA48">_xlfn.LET(
  _xlpm.w, AA$11,
  _xlpm.r, MATCH(1,('3. Enter Indicator Scores'!$B$10:$B$161=$B48)*('3. Enter Indicator Scores'!$C$10:$C$161=$C48),0),
  _xlpm.c, MATCH(AA$8,'3. Enter Indicator Scores'!$D$8:$CZ$8,0),
  _xlpm.v, IFERROR(INDEX('3. Enter Indicator Scores'!$D$10:$CZ$161,_xlpm.r,_xlpm.c),""),
  IF(OR(_xlpm.w="",_xlpm.v=""),"",_xlpm.v*_xlpm.w)
)</f>
        <v/>
      </c>
      <c r="AB48" s="93" t="str" cm="1">
        <f t="array" ref="AB48">_xlfn.LET(
  _xlpm.w, AB$11,
  _xlpm.r, MATCH(1,('3. Enter Indicator Scores'!$B$10:$B$161=$B48)*('3. Enter Indicator Scores'!$C$10:$C$161=$C48),0),
  _xlpm.c, MATCH(AB$8,'3. Enter Indicator Scores'!$D$8:$CZ$8,0),
  _xlpm.v, IFERROR(INDEX('3. Enter Indicator Scores'!$D$10:$CZ$161,_xlpm.r,_xlpm.c),""),
  IF(OR(_xlpm.w="",_xlpm.v=""),"",_xlpm.v*_xlpm.w)
)</f>
        <v/>
      </c>
      <c r="AC48" s="93" t="str" cm="1">
        <f t="array" ref="AC48">_xlfn.LET(
  _xlpm.w, AC$11,
  _xlpm.r, MATCH(1,('3. Enter Indicator Scores'!$B$10:$B$161=$B48)*('3. Enter Indicator Scores'!$C$10:$C$161=$C48),0),
  _xlpm.c, MATCH(AC$8,'3. Enter Indicator Scores'!$D$8:$CZ$8,0),
  _xlpm.v, IFERROR(INDEX('3. Enter Indicator Scores'!$D$10:$CZ$161,_xlpm.r,_xlpm.c),""),
  IF(OR(_xlpm.w="",_xlpm.v=""),"",_xlpm.v*_xlpm.w)
)</f>
        <v/>
      </c>
      <c r="AD48" s="93" t="str" cm="1">
        <f t="array" ref="AD48">_xlfn.LET(
  _xlpm.w, AD$11,
  _xlpm.r, MATCH(1,('3. Enter Indicator Scores'!$B$10:$B$161=$B48)*('3. Enter Indicator Scores'!$C$10:$C$161=$C48),0),
  _xlpm.c, MATCH(AD$8,'3. Enter Indicator Scores'!$D$8:$CZ$8,0),
  _xlpm.v, IFERROR(INDEX('3. Enter Indicator Scores'!$D$10:$CZ$161,_xlpm.r,_xlpm.c),""),
  IF(OR(_xlpm.w="",_xlpm.v=""),"",_xlpm.v*_xlpm.w)
)</f>
        <v/>
      </c>
      <c r="AE48" s="93" t="str" cm="1">
        <f t="array" ref="AE48">_xlfn.LET(
  _xlpm.w, AE$11,
  _xlpm.r, MATCH(1,('3. Enter Indicator Scores'!$B$10:$B$161=$B48)*('3. Enter Indicator Scores'!$C$10:$C$161=$C48),0),
  _xlpm.c, MATCH(AE$8,'3. Enter Indicator Scores'!$D$8:$CZ$8,0),
  _xlpm.v, IFERROR(INDEX('3. Enter Indicator Scores'!$D$10:$CZ$161,_xlpm.r,_xlpm.c),""),
  IF(OR(_xlpm.w="",_xlpm.v=""),"",_xlpm.v*_xlpm.w)
)</f>
        <v/>
      </c>
      <c r="AF48" s="93" t="str" cm="1">
        <f t="array" ref="AF48">_xlfn.LET(
  _xlpm.w, AF$11,
  _xlpm.r, MATCH(1,('3. Enter Indicator Scores'!$B$10:$B$161=$B48)*('3. Enter Indicator Scores'!$C$10:$C$161=$C48),0),
  _xlpm.c, MATCH(AF$8,'3. Enter Indicator Scores'!$D$8:$CZ$8,0),
  _xlpm.v, IFERROR(INDEX('3. Enter Indicator Scores'!$D$10:$CZ$161,_xlpm.r,_xlpm.c),""),
  IF(OR(_xlpm.w="",_xlpm.v=""),"",_xlpm.v*_xlpm.w)
)</f>
        <v/>
      </c>
      <c r="AG48" s="93" t="str" cm="1">
        <f t="array" ref="AG48">_xlfn.LET(
  _xlpm.w, AG$11,
  _xlpm.r, MATCH(1,('3. Enter Indicator Scores'!$B$10:$B$161=$B48)*('3. Enter Indicator Scores'!$C$10:$C$161=$C48),0),
  _xlpm.c, MATCH(AG$8,'3. Enter Indicator Scores'!$D$8:$CZ$8,0),
  _xlpm.v, IFERROR(INDEX('3. Enter Indicator Scores'!$D$10:$CZ$161,_xlpm.r,_xlpm.c),""),
  IF(OR(_xlpm.w="",_xlpm.v=""),"",_xlpm.v*_xlpm.w)
)</f>
        <v/>
      </c>
      <c r="AH48" s="93" t="str" cm="1">
        <f t="array" ref="AH48">_xlfn.LET(
  _xlpm.w, AH$11,
  _xlpm.r, MATCH(1,('3. Enter Indicator Scores'!$B$10:$B$161=$B48)*('3. Enter Indicator Scores'!$C$10:$C$161=$C48),0),
  _xlpm.c, MATCH(AH$8,'3. Enter Indicator Scores'!$D$8:$CZ$8,0),
  _xlpm.v, IFERROR(INDEX('3. Enter Indicator Scores'!$D$10:$CZ$161,_xlpm.r,_xlpm.c),""),
  IF(OR(_xlpm.w="",_xlpm.v=""),"",_xlpm.v*_xlpm.w)
)</f>
        <v/>
      </c>
      <c r="AI48" s="93" t="str" cm="1">
        <f t="array" ref="AI48">_xlfn.LET(
  _xlpm.w, AI$11,
  _xlpm.r, MATCH(1,('3. Enter Indicator Scores'!$B$10:$B$161=$B48)*('3. Enter Indicator Scores'!$C$10:$C$161=$C48),0),
  _xlpm.c, MATCH(AI$8,'3. Enter Indicator Scores'!$D$8:$CZ$8,0),
  _xlpm.v, IFERROR(INDEX('3. Enter Indicator Scores'!$D$10:$CZ$161,_xlpm.r,_xlpm.c),""),
  IF(OR(_xlpm.w="",_xlpm.v=""),"",_xlpm.v*_xlpm.w)
)</f>
        <v/>
      </c>
      <c r="AJ48" s="93" t="str" cm="1">
        <f t="array" ref="AJ48">_xlfn.LET(
  _xlpm.w, AJ$11,
  _xlpm.r, MATCH(1,('3. Enter Indicator Scores'!$B$10:$B$161=$B48)*('3. Enter Indicator Scores'!$C$10:$C$161=$C48),0),
  _xlpm.c, MATCH(AJ$8,'3. Enter Indicator Scores'!$D$8:$CZ$8,0),
  _xlpm.v, IFERROR(INDEX('3. Enter Indicator Scores'!$D$10:$CZ$161,_xlpm.r,_xlpm.c),""),
  IF(OR(_xlpm.w="",_xlpm.v=""),"",_xlpm.v*_xlpm.w)
)</f>
        <v/>
      </c>
      <c r="AK48" s="93" t="str" cm="1">
        <f t="array" ref="AK48">_xlfn.LET(
  _xlpm.w, AK$11,
  _xlpm.r, MATCH(1,('3. Enter Indicator Scores'!$B$10:$B$161=$B48)*('3. Enter Indicator Scores'!$C$10:$C$161=$C48),0),
  _xlpm.c, MATCH(AK$8,'3. Enter Indicator Scores'!$D$8:$CZ$8,0),
  _xlpm.v, IFERROR(INDEX('3. Enter Indicator Scores'!$D$10:$CZ$161,_xlpm.r,_xlpm.c),""),
  IF(OR(_xlpm.w="",_xlpm.v=""),"",_xlpm.v*_xlpm.w)
)</f>
        <v/>
      </c>
      <c r="AL48" s="93" t="str" cm="1">
        <f t="array" ref="AL48">_xlfn.LET(
  _xlpm.w, AL$11,
  _xlpm.r, MATCH(1,('3. Enter Indicator Scores'!$B$10:$B$161=$B48)*('3. Enter Indicator Scores'!$C$10:$C$161=$C48),0),
  _xlpm.c, MATCH(AL$8,'3. Enter Indicator Scores'!$D$8:$CZ$8,0),
  _xlpm.v, IFERROR(INDEX('3. Enter Indicator Scores'!$D$10:$CZ$161,_xlpm.r,_xlpm.c),""),
  IF(OR(_xlpm.w="",_xlpm.v=""),"",_xlpm.v*_xlpm.w)
)</f>
        <v/>
      </c>
      <c r="AM48" s="93" t="str" cm="1">
        <f t="array" ref="AM48">_xlfn.LET(
  _xlpm.w, AM$11,
  _xlpm.r, MATCH(1,('3. Enter Indicator Scores'!$B$10:$B$161=$B48)*('3. Enter Indicator Scores'!$C$10:$C$161=$C48),0),
  _xlpm.c, MATCH(AM$8,'3. Enter Indicator Scores'!$D$8:$CZ$8,0),
  _xlpm.v, IFERROR(INDEX('3. Enter Indicator Scores'!$D$10:$CZ$161,_xlpm.r,_xlpm.c),""),
  IF(OR(_xlpm.w="",_xlpm.v=""),"",_xlpm.v*_xlpm.w)
)</f>
        <v/>
      </c>
      <c r="AN48" s="93" t="str" cm="1">
        <f t="array" ref="AN48">_xlfn.LET(
  _xlpm.w, AN$11,
  _xlpm.r, MATCH(1,('3. Enter Indicator Scores'!$B$10:$B$161=$B48)*('3. Enter Indicator Scores'!$C$10:$C$161=$C48),0),
  _xlpm.c, MATCH(AN$8,'3. Enter Indicator Scores'!$D$8:$CZ$8,0),
  _xlpm.v, IFERROR(INDEX('3. Enter Indicator Scores'!$D$10:$CZ$161,_xlpm.r,_xlpm.c),""),
  IF(OR(_xlpm.w="",_xlpm.v=""),"",_xlpm.v*_xlpm.w)
)</f>
        <v/>
      </c>
      <c r="AO48" s="93" t="str" cm="1">
        <f t="array" ref="AO48">_xlfn.LET(
  _xlpm.w, AO$11,
  _xlpm.r, MATCH(1,('3. Enter Indicator Scores'!$B$10:$B$161=$B48)*('3. Enter Indicator Scores'!$C$10:$C$161=$C48),0),
  _xlpm.c, MATCH(AO$8,'3. Enter Indicator Scores'!$D$8:$CZ$8,0),
  _xlpm.v, IFERROR(INDEX('3. Enter Indicator Scores'!$D$10:$CZ$161,_xlpm.r,_xlpm.c),""),
  IF(OR(_xlpm.w="",_xlpm.v=""),"",_xlpm.v*_xlpm.w)
)</f>
        <v/>
      </c>
      <c r="AP48" s="93" t="str" cm="1">
        <f t="array" ref="AP48">_xlfn.LET(
  _xlpm.w, AP$11,
  _xlpm.r, MATCH(1,('3. Enter Indicator Scores'!$B$10:$B$161=$B48)*('3. Enter Indicator Scores'!$C$10:$C$161=$C48),0),
  _xlpm.c, MATCH(AP$8,'3. Enter Indicator Scores'!$D$8:$CZ$8,0),
  _xlpm.v, IFERROR(INDEX('3. Enter Indicator Scores'!$D$10:$CZ$161,_xlpm.r,_xlpm.c),""),
  IF(OR(_xlpm.w="",_xlpm.v=""),"",_xlpm.v*_xlpm.w)
)</f>
        <v/>
      </c>
      <c r="AQ48" s="93" t="str" cm="1">
        <f t="array" ref="AQ48">_xlfn.LET(
  _xlpm.w, AQ$11,
  _xlpm.r, MATCH(1,('3. Enter Indicator Scores'!$B$10:$B$161=$B48)*('3. Enter Indicator Scores'!$C$10:$C$161=$C48),0),
  _xlpm.c, MATCH(AQ$8,'3. Enter Indicator Scores'!$D$8:$CZ$8,0),
  _xlpm.v, IFERROR(INDEX('3. Enter Indicator Scores'!$D$10:$CZ$161,_xlpm.r,_xlpm.c),""),
  IF(OR(_xlpm.w="",_xlpm.v=""),"",_xlpm.v*_xlpm.w)
)</f>
        <v/>
      </c>
      <c r="AR48" s="93" t="str" cm="1">
        <f t="array" ref="AR48">_xlfn.LET(
  _xlpm.w, AR$11,
  _xlpm.r, MATCH(1,('3. Enter Indicator Scores'!$B$10:$B$161=$B48)*('3. Enter Indicator Scores'!$C$10:$C$161=$C48),0),
  _xlpm.c, MATCH(AR$8,'3. Enter Indicator Scores'!$D$8:$CZ$8,0),
  _xlpm.v, IFERROR(INDEX('3. Enter Indicator Scores'!$D$10:$CZ$161,_xlpm.r,_xlpm.c),""),
  IF(OR(_xlpm.w="",_xlpm.v=""),"",_xlpm.v*_xlpm.w)
)</f>
        <v/>
      </c>
      <c r="AS48" s="93" t="str" cm="1">
        <f t="array" ref="AS48">_xlfn.LET(
  _xlpm.w, AS$11,
  _xlpm.r, MATCH(1,('3. Enter Indicator Scores'!$B$10:$B$161=$B48)*('3. Enter Indicator Scores'!$C$10:$C$161=$C48),0),
  _xlpm.c, MATCH(AS$8,'3. Enter Indicator Scores'!$D$8:$CZ$8,0),
  _xlpm.v, IFERROR(INDEX('3. Enter Indicator Scores'!$D$10:$CZ$161,_xlpm.r,_xlpm.c),""),
  IF(OR(_xlpm.w="",_xlpm.v=""),"",_xlpm.v*_xlpm.w)
)</f>
        <v/>
      </c>
      <c r="AT48" s="93" t="str" cm="1">
        <f t="array" ref="AT48">_xlfn.LET(
  _xlpm.w, AT$11,
  _xlpm.r, MATCH(1,('3. Enter Indicator Scores'!$B$10:$B$161=$B48)*('3. Enter Indicator Scores'!$C$10:$C$161=$C48),0),
  _xlpm.c, MATCH(AT$8,'3. Enter Indicator Scores'!$D$8:$CZ$8,0),
  _xlpm.v, IFERROR(INDEX('3. Enter Indicator Scores'!$D$10:$CZ$161,_xlpm.r,_xlpm.c),""),
  IF(OR(_xlpm.w="",_xlpm.v=""),"",_xlpm.v*_xlpm.w)
)</f>
        <v/>
      </c>
      <c r="AU48" s="93" t="str" cm="1">
        <f t="array" ref="AU48">_xlfn.LET(
  _xlpm.w, AU$11,
  _xlpm.r, MATCH(1,('3. Enter Indicator Scores'!$B$10:$B$161=$B48)*('3. Enter Indicator Scores'!$C$10:$C$161=$C48),0),
  _xlpm.c, MATCH(AU$8,'3. Enter Indicator Scores'!$D$8:$CZ$8,0),
  _xlpm.v, IFERROR(INDEX('3. Enter Indicator Scores'!$D$10:$CZ$161,_xlpm.r,_xlpm.c),""),
  IF(OR(_xlpm.w="",_xlpm.v=""),"",_xlpm.v*_xlpm.w)
)</f>
        <v/>
      </c>
      <c r="AV48" s="93" t="str" cm="1">
        <f t="array" ref="AV48">_xlfn.LET(
  _xlpm.w, AV$11,
  _xlpm.r, MATCH(1,('3. Enter Indicator Scores'!$B$10:$B$161=$B48)*('3. Enter Indicator Scores'!$C$10:$C$161=$C48),0),
  _xlpm.c, MATCH(AV$8,'3. Enter Indicator Scores'!$D$8:$CZ$8,0),
  _xlpm.v, IFERROR(INDEX('3. Enter Indicator Scores'!$D$10:$CZ$161,_xlpm.r,_xlpm.c),""),
  IF(OR(_xlpm.w="",_xlpm.v=""),"",_xlpm.v*_xlpm.w)
)</f>
        <v/>
      </c>
      <c r="AW48" s="93" t="str" cm="1">
        <f t="array" ref="AW48">_xlfn.LET(
  _xlpm.w, AW$11,
  _xlpm.r, MATCH(1,('3. Enter Indicator Scores'!$B$10:$B$161=$B48)*('3. Enter Indicator Scores'!$C$10:$C$161=$C48),0),
  _xlpm.c, MATCH(AW$8,'3. Enter Indicator Scores'!$D$8:$CZ$8,0),
  _xlpm.v, IFERROR(INDEX('3. Enter Indicator Scores'!$D$10:$CZ$161,_xlpm.r,_xlpm.c),""),
  IF(OR(_xlpm.w="",_xlpm.v=""),"",_xlpm.v*_xlpm.w)
)</f>
        <v/>
      </c>
      <c r="AX48" s="93" t="str" cm="1">
        <f t="array" ref="AX48">_xlfn.LET(
  _xlpm.w, AX$11,
  _xlpm.r, MATCH(1,('3. Enter Indicator Scores'!$B$10:$B$161=$B48)*('3. Enter Indicator Scores'!$C$10:$C$161=$C48),0),
  _xlpm.c, MATCH(AX$8,'3. Enter Indicator Scores'!$D$8:$CZ$8,0),
  _xlpm.v, IFERROR(INDEX('3. Enter Indicator Scores'!$D$10:$CZ$161,_xlpm.r,_xlpm.c),""),
  IF(OR(_xlpm.w="",_xlpm.v=""),"",_xlpm.v*_xlpm.w)
)</f>
        <v/>
      </c>
      <c r="AY48" s="93" t="str" cm="1">
        <f t="array" ref="AY48">_xlfn.LET(
  _xlpm.w, AY$11,
  _xlpm.r, MATCH(1,('3. Enter Indicator Scores'!$B$10:$B$161=$B48)*('3. Enter Indicator Scores'!$C$10:$C$161=$C48),0),
  _xlpm.c, MATCH(AY$8,'3. Enter Indicator Scores'!$D$8:$CZ$8,0),
  _xlpm.v, IFERROR(INDEX('3. Enter Indicator Scores'!$D$10:$CZ$161,_xlpm.r,_xlpm.c),""),
  IF(OR(_xlpm.w="",_xlpm.v=""),"",_xlpm.v*_xlpm.w)
)</f>
        <v/>
      </c>
      <c r="AZ48" s="93" t="str" cm="1">
        <f t="array" ref="AZ48">_xlfn.LET(
  _xlpm.w, AZ$11,
  _xlpm.r, MATCH(1,('3. Enter Indicator Scores'!$B$10:$B$161=$B48)*('3. Enter Indicator Scores'!$C$10:$C$161=$C48),0),
  _xlpm.c, MATCH(AZ$8,'3. Enter Indicator Scores'!$D$8:$CZ$8,0),
  _xlpm.v, IFERROR(INDEX('3. Enter Indicator Scores'!$D$10:$CZ$161,_xlpm.r,_xlpm.c),""),
  IF(OR(_xlpm.w="",_xlpm.v=""),"",_xlpm.v*_xlpm.w)
)</f>
        <v/>
      </c>
      <c r="BA48" s="93" t="str" cm="1">
        <f t="array" ref="BA48">_xlfn.LET(
  _xlpm.w, BA$11,
  _xlpm.r, MATCH(1,('3. Enter Indicator Scores'!$B$10:$B$161=$B48)*('3. Enter Indicator Scores'!$C$10:$C$161=$C48),0),
  _xlpm.c, MATCH(BA$8,'3. Enter Indicator Scores'!$D$8:$CZ$8,0),
  _xlpm.v, IFERROR(INDEX('3. Enter Indicator Scores'!$D$10:$CZ$161,_xlpm.r,_xlpm.c),""),
  IF(OR(_xlpm.w="",_xlpm.v=""),"",_xlpm.v*_xlpm.w)
)</f>
        <v/>
      </c>
      <c r="BB48" s="93" t="str" cm="1">
        <f t="array" ref="BB48">_xlfn.LET(
  _xlpm.w, BB$11,
  _xlpm.r, MATCH(1,('3. Enter Indicator Scores'!$B$10:$B$161=$B48)*('3. Enter Indicator Scores'!$C$10:$C$161=$C48),0),
  _xlpm.c, MATCH(BB$8,'3. Enter Indicator Scores'!$D$8:$CZ$8,0),
  _xlpm.v, IFERROR(INDEX('3. Enter Indicator Scores'!$D$10:$CZ$161,_xlpm.r,_xlpm.c),""),
  IF(OR(_xlpm.w="",_xlpm.v=""),"",_xlpm.v*_xlpm.w)
)</f>
        <v/>
      </c>
      <c r="BC48" s="93" t="str" cm="1">
        <f t="array" ref="BC48">_xlfn.LET(
  _xlpm.w, BC$11,
  _xlpm.r, MATCH(1,('3. Enter Indicator Scores'!$B$10:$B$161=$B48)*('3. Enter Indicator Scores'!$C$10:$C$161=$C48),0),
  _xlpm.c, MATCH(BC$8,'3. Enter Indicator Scores'!$D$8:$CZ$8,0),
  _xlpm.v, IFERROR(INDEX('3. Enter Indicator Scores'!$D$10:$CZ$161,_xlpm.r,_xlpm.c),""),
  IF(OR(_xlpm.w="",_xlpm.v=""),"",_xlpm.v*_xlpm.w)
)</f>
        <v/>
      </c>
      <c r="BD48" s="93" t="str" cm="1">
        <f t="array" ref="BD48">_xlfn.LET(
  _xlpm.w, BD$11,
  _xlpm.r, MATCH(1,('3. Enter Indicator Scores'!$B$10:$B$161=$B48)*('3. Enter Indicator Scores'!$C$10:$C$161=$C48),0),
  _xlpm.c, MATCH(BD$8,'3. Enter Indicator Scores'!$D$8:$CZ$8,0),
  _xlpm.v, IFERROR(INDEX('3. Enter Indicator Scores'!$D$10:$CZ$161,_xlpm.r,_xlpm.c),""),
  IF(OR(_xlpm.w="",_xlpm.v=""),"",_xlpm.v*_xlpm.w)
)</f>
        <v/>
      </c>
      <c r="BE48" s="93" t="str" cm="1">
        <f t="array" ref="BE48">_xlfn.LET(
  _xlpm.w, BE$11,
  _xlpm.r, MATCH(1,('3. Enter Indicator Scores'!$B$10:$B$161=$B48)*('3. Enter Indicator Scores'!$C$10:$C$161=$C48),0),
  _xlpm.c, MATCH(BE$8,'3. Enter Indicator Scores'!$D$8:$CZ$8,0),
  _xlpm.v, IFERROR(INDEX('3. Enter Indicator Scores'!$D$10:$CZ$161,_xlpm.r,_xlpm.c),""),
  IF(OR(_xlpm.w="",_xlpm.v=""),"",_xlpm.v*_xlpm.w)
)</f>
        <v/>
      </c>
      <c r="BF48" s="93" t="str" cm="1">
        <f t="array" ref="BF48">_xlfn.LET(
  _xlpm.w, BF$11,
  _xlpm.r, MATCH(1,('3. Enter Indicator Scores'!$B$10:$B$161=$B48)*('3. Enter Indicator Scores'!$C$10:$C$161=$C48),0),
  _xlpm.c, MATCH(BF$8,'3. Enter Indicator Scores'!$D$8:$CZ$8,0),
  _xlpm.v, IFERROR(INDEX('3. Enter Indicator Scores'!$D$10:$CZ$161,_xlpm.r,_xlpm.c),""),
  IF(OR(_xlpm.w="",_xlpm.v=""),"",_xlpm.v*_xlpm.w)
)</f>
        <v/>
      </c>
      <c r="BG48" s="93" t="str" cm="1">
        <f t="array" ref="BG48">_xlfn.LET(
  _xlpm.w, BG$11,
  _xlpm.r, MATCH(1,('3. Enter Indicator Scores'!$B$10:$B$161=$B48)*('3. Enter Indicator Scores'!$C$10:$C$161=$C48),0),
  _xlpm.c, MATCH(BG$8,'3. Enter Indicator Scores'!$D$8:$CZ$8,0),
  _xlpm.v, IFERROR(INDEX('3. Enter Indicator Scores'!$D$10:$CZ$161,_xlpm.r,_xlpm.c),""),
  IF(OR(_xlpm.w="",_xlpm.v=""),"",_xlpm.v*_xlpm.w)
)</f>
        <v/>
      </c>
      <c r="BH48" s="93" t="str" cm="1">
        <f t="array" ref="BH48">_xlfn.LET(
  _xlpm.w, BH$11,
  _xlpm.r, MATCH(1,('3. Enter Indicator Scores'!$B$10:$B$161=$B48)*('3. Enter Indicator Scores'!$C$10:$C$161=$C48),0),
  _xlpm.c, MATCH(BH$8,'3. Enter Indicator Scores'!$D$8:$CZ$8,0),
  _xlpm.v, IFERROR(INDEX('3. Enter Indicator Scores'!$D$10:$CZ$161,_xlpm.r,_xlpm.c),""),
  IF(OR(_xlpm.w="",_xlpm.v=""),"",_xlpm.v*_xlpm.w)
)</f>
        <v/>
      </c>
      <c r="BI48" s="93" t="str" cm="1">
        <f t="array" ref="BI48">_xlfn.LET(
  _xlpm.w, BI$11,
  _xlpm.r, MATCH(1,('3. Enter Indicator Scores'!$B$10:$B$161=$B48)*('3. Enter Indicator Scores'!$C$10:$C$161=$C48),0),
  _xlpm.c, MATCH(BI$8,'3. Enter Indicator Scores'!$D$8:$CZ$8,0),
  _xlpm.v, IFERROR(INDEX('3. Enter Indicator Scores'!$D$10:$CZ$161,_xlpm.r,_xlpm.c),""),
  IF(OR(_xlpm.w="",_xlpm.v=""),"",_xlpm.v*_xlpm.w)
)</f>
        <v/>
      </c>
      <c r="BJ48" s="93" t="str" cm="1">
        <f t="array" ref="BJ48">_xlfn.LET(
  _xlpm.w, BJ$11,
  _xlpm.r, MATCH(1,('3. Enter Indicator Scores'!$B$10:$B$161=$B48)*('3. Enter Indicator Scores'!$C$10:$C$161=$C48),0),
  _xlpm.c, MATCH(BJ$8,'3. Enter Indicator Scores'!$D$8:$CZ$8,0),
  _xlpm.v, IFERROR(INDEX('3. Enter Indicator Scores'!$D$10:$CZ$161,_xlpm.r,_xlpm.c),""),
  IF(OR(_xlpm.w="",_xlpm.v=""),"",_xlpm.v*_xlpm.w)
)</f>
        <v/>
      </c>
      <c r="BK48" s="93" t="str" cm="1">
        <f t="array" ref="BK48">_xlfn.LET(
  _xlpm.w, BK$11,
  _xlpm.r, MATCH(1,('3. Enter Indicator Scores'!$B$10:$B$161=$B48)*('3. Enter Indicator Scores'!$C$10:$C$161=$C48),0),
  _xlpm.c, MATCH(BK$8,'3. Enter Indicator Scores'!$D$8:$CZ$8,0),
  _xlpm.v, IFERROR(INDEX('3. Enter Indicator Scores'!$D$10:$CZ$161,_xlpm.r,_xlpm.c),""),
  IF(OR(_xlpm.w="",_xlpm.v=""),"",_xlpm.v*_xlpm.w)
)</f>
        <v/>
      </c>
      <c r="BL48" s="93" t="str" cm="1">
        <f t="array" ref="BL48">_xlfn.LET(
  _xlpm.w, BL$11,
  _xlpm.r, MATCH(1,('3. Enter Indicator Scores'!$B$10:$B$161=$B48)*('3. Enter Indicator Scores'!$C$10:$C$161=$C48),0),
  _xlpm.c, MATCH(BL$8,'3. Enter Indicator Scores'!$D$8:$CZ$8,0),
  _xlpm.v, IFERROR(INDEX('3. Enter Indicator Scores'!$D$10:$CZ$161,_xlpm.r,_xlpm.c),""),
  IF(OR(_xlpm.w="",_xlpm.v=""),"",_xlpm.v*_xlpm.w)
)</f>
        <v/>
      </c>
      <c r="BM48" s="93" t="str" cm="1">
        <f t="array" ref="BM48">_xlfn.LET(
  _xlpm.w, BM$11,
  _xlpm.r, MATCH(1,('3. Enter Indicator Scores'!$B$10:$B$161=$B48)*('3. Enter Indicator Scores'!$C$10:$C$161=$C48),0),
  _xlpm.c, MATCH(BM$8,'3. Enter Indicator Scores'!$D$8:$CZ$8,0),
  _xlpm.v, IFERROR(INDEX('3. Enter Indicator Scores'!$D$10:$CZ$161,_xlpm.r,_xlpm.c),""),
  IF(OR(_xlpm.w="",_xlpm.v=""),"",_xlpm.v*_xlpm.w)
)</f>
        <v/>
      </c>
      <c r="BN48" s="93" t="str" cm="1">
        <f t="array" ref="BN48">_xlfn.LET(
  _xlpm.w, BN$11,
  _xlpm.r, MATCH(1,('3. Enter Indicator Scores'!$B$10:$B$161=$B48)*('3. Enter Indicator Scores'!$C$10:$C$161=$C48),0),
  _xlpm.c, MATCH(BN$8,'3. Enter Indicator Scores'!$D$8:$CZ$8,0),
  _xlpm.v, IFERROR(INDEX('3. Enter Indicator Scores'!$D$10:$CZ$161,_xlpm.r,_xlpm.c),""),
  IF(OR(_xlpm.w="",_xlpm.v=""),"",_xlpm.v*_xlpm.w)
)</f>
        <v/>
      </c>
      <c r="BO48" s="93" t="str" cm="1">
        <f t="array" ref="BO48">_xlfn.LET(
  _xlpm.w, BO$11,
  _xlpm.r, MATCH(1,('3. Enter Indicator Scores'!$B$10:$B$161=$B48)*('3. Enter Indicator Scores'!$C$10:$C$161=$C48),0),
  _xlpm.c, MATCH(BO$8,'3. Enter Indicator Scores'!$D$8:$CZ$8,0),
  _xlpm.v, IFERROR(INDEX('3. Enter Indicator Scores'!$D$10:$CZ$161,_xlpm.r,_xlpm.c),""),
  IF(OR(_xlpm.w="",_xlpm.v=""),"",_xlpm.v*_xlpm.w)
)</f>
        <v/>
      </c>
      <c r="BP48" s="93" t="str" cm="1">
        <f t="array" ref="BP48">_xlfn.LET(
  _xlpm.w, BP$11,
  _xlpm.r, MATCH(1,('3. Enter Indicator Scores'!$B$10:$B$161=$B48)*('3. Enter Indicator Scores'!$C$10:$C$161=$C48),0),
  _xlpm.c, MATCH(BP$8,'3. Enter Indicator Scores'!$D$8:$CZ$8,0),
  _xlpm.v, IFERROR(INDEX('3. Enter Indicator Scores'!$D$10:$CZ$161,_xlpm.r,_xlpm.c),""),
  IF(OR(_xlpm.w="",_xlpm.v=""),"",_xlpm.v*_xlpm.w)
)</f>
        <v/>
      </c>
      <c r="BQ48" s="93" t="str" cm="1">
        <f t="array" ref="BQ48">_xlfn.LET(
  _xlpm.w, BQ$11,
  _xlpm.r, MATCH(1,('3. Enter Indicator Scores'!$B$10:$B$161=$B48)*('3. Enter Indicator Scores'!$C$10:$C$161=$C48),0),
  _xlpm.c, MATCH(BQ$8,'3. Enter Indicator Scores'!$D$8:$CZ$8,0),
  _xlpm.v, IFERROR(INDEX('3. Enter Indicator Scores'!$D$10:$CZ$161,_xlpm.r,_xlpm.c),""),
  IF(OR(_xlpm.w="",_xlpm.v=""),"",_xlpm.v*_xlpm.w)
)</f>
        <v/>
      </c>
      <c r="BR48" s="93" t="str" cm="1">
        <f t="array" ref="BR48">_xlfn.LET(
  _xlpm.w, BR$11,
  _xlpm.r, MATCH(1,('3. Enter Indicator Scores'!$B$10:$B$161=$B48)*('3. Enter Indicator Scores'!$C$10:$C$161=$C48),0),
  _xlpm.c, MATCH(BR$8,'3. Enter Indicator Scores'!$D$8:$CZ$8,0),
  _xlpm.v, IFERROR(INDEX('3. Enter Indicator Scores'!$D$10:$CZ$161,_xlpm.r,_xlpm.c),""),
  IF(OR(_xlpm.w="",_xlpm.v=""),"",_xlpm.v*_xlpm.w)
)</f>
        <v/>
      </c>
      <c r="BS48" s="93" t="str" cm="1">
        <f t="array" ref="BS48">_xlfn.LET(
  _xlpm.w, BS$11,
  _xlpm.r, MATCH(1,('3. Enter Indicator Scores'!$B$10:$B$161=$B48)*('3. Enter Indicator Scores'!$C$10:$C$161=$C48),0),
  _xlpm.c, MATCH(BS$8,'3. Enter Indicator Scores'!$D$8:$CZ$8,0),
  _xlpm.v, IFERROR(INDEX('3. Enter Indicator Scores'!$D$10:$CZ$161,_xlpm.r,_xlpm.c),""),
  IF(OR(_xlpm.w="",_xlpm.v=""),"",_xlpm.v*_xlpm.w)
)</f>
        <v/>
      </c>
      <c r="BT48" s="93" t="str" cm="1">
        <f t="array" ref="BT48">_xlfn.LET(
  _xlpm.w, BT$11,
  _xlpm.r, MATCH(1,('3. Enter Indicator Scores'!$B$10:$B$161=$B48)*('3. Enter Indicator Scores'!$C$10:$C$161=$C48),0),
  _xlpm.c, MATCH(BT$8,'3. Enter Indicator Scores'!$D$8:$CZ$8,0),
  _xlpm.v, IFERROR(INDEX('3. Enter Indicator Scores'!$D$10:$CZ$161,_xlpm.r,_xlpm.c),""),
  IF(OR(_xlpm.w="",_xlpm.v=""),"",_xlpm.v*_xlpm.w)
)</f>
        <v/>
      </c>
      <c r="BU48" s="93" t="str" cm="1">
        <f t="array" ref="BU48">_xlfn.LET(
  _xlpm.w, BU$11,
  _xlpm.r, MATCH(1,('3. Enter Indicator Scores'!$B$10:$B$161=$B48)*('3. Enter Indicator Scores'!$C$10:$C$161=$C48),0),
  _xlpm.c, MATCH(BU$8,'3. Enter Indicator Scores'!$D$8:$CZ$8,0),
  _xlpm.v, IFERROR(INDEX('3. Enter Indicator Scores'!$D$10:$CZ$161,_xlpm.r,_xlpm.c),""),
  IF(OR(_xlpm.w="",_xlpm.v=""),"",_xlpm.v*_xlpm.w)
)</f>
        <v/>
      </c>
      <c r="BV48" s="93" t="str" cm="1">
        <f t="array" ref="BV48">_xlfn.LET(
  _xlpm.w, BV$11,
  _xlpm.r, MATCH(1,('3. Enter Indicator Scores'!$B$10:$B$161=$B48)*('3. Enter Indicator Scores'!$C$10:$C$161=$C48),0),
  _xlpm.c, MATCH(BV$8,'3. Enter Indicator Scores'!$D$8:$CZ$8,0),
  _xlpm.v, IFERROR(INDEX('3. Enter Indicator Scores'!$D$10:$CZ$161,_xlpm.r,_xlpm.c),""),
  IF(OR(_xlpm.w="",_xlpm.v=""),"",_xlpm.v*_xlpm.w)
)</f>
        <v/>
      </c>
      <c r="BW48" s="93" t="str" cm="1">
        <f t="array" ref="BW48">_xlfn.LET(
  _xlpm.w, BW$11,
  _xlpm.r, MATCH(1,('3. Enter Indicator Scores'!$B$10:$B$161=$B48)*('3. Enter Indicator Scores'!$C$10:$C$161=$C48),0),
  _xlpm.c, MATCH(BW$8,'3. Enter Indicator Scores'!$D$8:$CZ$8,0),
  _xlpm.v, IFERROR(INDEX('3. Enter Indicator Scores'!$D$10:$CZ$161,_xlpm.r,_xlpm.c),""),
  IF(OR(_xlpm.w="",_xlpm.v=""),"",_xlpm.v*_xlpm.w)
)</f>
        <v/>
      </c>
      <c r="BX48" s="93" t="str" cm="1">
        <f t="array" ref="BX48">_xlfn.LET(
  _xlpm.w, BX$11,
  _xlpm.r, MATCH(1,('3. Enter Indicator Scores'!$B$10:$B$161=$B48)*('3. Enter Indicator Scores'!$C$10:$C$161=$C48),0),
  _xlpm.c, MATCH(BX$8,'3. Enter Indicator Scores'!$D$8:$CZ$8,0),
  _xlpm.v, IFERROR(INDEX('3. Enter Indicator Scores'!$D$10:$CZ$161,_xlpm.r,_xlpm.c),""),
  IF(OR(_xlpm.w="",_xlpm.v=""),"",_xlpm.v*_xlpm.w)
)</f>
        <v/>
      </c>
      <c r="BY48" s="93" t="str" cm="1">
        <f t="array" ref="BY48">_xlfn.LET(
  _xlpm.w, BY$11,
  _xlpm.r, MATCH(1,('3. Enter Indicator Scores'!$B$10:$B$161=$B48)*('3. Enter Indicator Scores'!$C$10:$C$161=$C48),0),
  _xlpm.c, MATCH(BY$8,'3. Enter Indicator Scores'!$D$8:$CZ$8,0),
  _xlpm.v, IFERROR(INDEX('3. Enter Indicator Scores'!$D$10:$CZ$161,_xlpm.r,_xlpm.c),""),
  IF(OR(_xlpm.w="",_xlpm.v=""),"",_xlpm.v*_xlpm.w)
)</f>
        <v/>
      </c>
      <c r="BZ48" s="93" t="str" cm="1">
        <f t="array" ref="BZ48">_xlfn.LET(
  _xlpm.w, BZ$11,
  _xlpm.r, MATCH(1,('3. Enter Indicator Scores'!$B$10:$B$161=$B48)*('3. Enter Indicator Scores'!$C$10:$C$161=$C48),0),
  _xlpm.c, MATCH(BZ$8,'3. Enter Indicator Scores'!$D$8:$CZ$8,0),
  _xlpm.v, IFERROR(INDEX('3. Enter Indicator Scores'!$D$10:$CZ$161,_xlpm.r,_xlpm.c),""),
  IF(OR(_xlpm.w="",_xlpm.v=""),"",_xlpm.v*_xlpm.w)
)</f>
        <v/>
      </c>
      <c r="CA48" s="93" t="str" cm="1">
        <f t="array" ref="CA48">_xlfn.LET(
  _xlpm.w, CA$11,
  _xlpm.r, MATCH(1,('3. Enter Indicator Scores'!$B$10:$B$161=$B48)*('3. Enter Indicator Scores'!$C$10:$C$161=$C48),0),
  _xlpm.c, MATCH(CA$8,'3. Enter Indicator Scores'!$D$8:$CZ$8,0),
  _xlpm.v, IFERROR(INDEX('3. Enter Indicator Scores'!$D$10:$CZ$161,_xlpm.r,_xlpm.c),""),
  IF(OR(_xlpm.w="",_xlpm.v=""),"",_xlpm.v*_xlpm.w)
)</f>
        <v/>
      </c>
      <c r="CB48" s="93" t="str" cm="1">
        <f t="array" ref="CB48">_xlfn.LET(
  _xlpm.w, CB$11,
  _xlpm.r, MATCH(1,('3. Enter Indicator Scores'!$B$10:$B$161=$B48)*('3. Enter Indicator Scores'!$C$10:$C$161=$C48),0),
  _xlpm.c, MATCH(CB$8,'3. Enter Indicator Scores'!$D$8:$CZ$8,0),
  _xlpm.v, IFERROR(INDEX('3. Enter Indicator Scores'!$D$10:$CZ$161,_xlpm.r,_xlpm.c),""),
  IF(OR(_xlpm.w="",_xlpm.v=""),"",_xlpm.v*_xlpm.w)
)</f>
        <v/>
      </c>
      <c r="CC48" s="93" t="str" cm="1">
        <f t="array" ref="CC48">_xlfn.LET(
  _xlpm.w, CC$11,
  _xlpm.r, MATCH(1,('3. Enter Indicator Scores'!$B$10:$B$161=$B48)*('3. Enter Indicator Scores'!$C$10:$C$161=$C48),0),
  _xlpm.c, MATCH(CC$8,'3. Enter Indicator Scores'!$D$8:$CZ$8,0),
  _xlpm.v, IFERROR(INDEX('3. Enter Indicator Scores'!$D$10:$CZ$161,_xlpm.r,_xlpm.c),""),
  IF(OR(_xlpm.w="",_xlpm.v=""),"",_xlpm.v*_xlpm.w)
)</f>
        <v/>
      </c>
      <c r="CD48" s="93" t="str" cm="1">
        <f t="array" ref="CD48">_xlfn.LET(
  _xlpm.w, CD$11,
  _xlpm.r, MATCH(1,('3. Enter Indicator Scores'!$B$10:$B$161=$B48)*('3. Enter Indicator Scores'!$C$10:$C$161=$C48),0),
  _xlpm.c, MATCH(CD$8,'3. Enter Indicator Scores'!$D$8:$CZ$8,0),
  _xlpm.v, IFERROR(INDEX('3. Enter Indicator Scores'!$D$10:$CZ$161,_xlpm.r,_xlpm.c),""),
  IF(OR(_xlpm.w="",_xlpm.v=""),"",_xlpm.v*_xlpm.w)
)</f>
        <v/>
      </c>
      <c r="CE48" s="93" t="str" cm="1">
        <f t="array" ref="CE48">_xlfn.LET(
  _xlpm.w, CE$11,
  _xlpm.r, MATCH(1,('3. Enter Indicator Scores'!$B$10:$B$161=$B48)*('3. Enter Indicator Scores'!$C$10:$C$161=$C48),0),
  _xlpm.c, MATCH(CE$8,'3. Enter Indicator Scores'!$D$8:$CZ$8,0),
  _xlpm.v, IFERROR(INDEX('3. Enter Indicator Scores'!$D$10:$CZ$161,_xlpm.r,_xlpm.c),""),
  IF(OR(_xlpm.w="",_xlpm.v=""),"",_xlpm.v*_xlpm.w)
)</f>
        <v/>
      </c>
      <c r="CF48" s="93" t="str" cm="1">
        <f t="array" ref="CF48">_xlfn.LET(
  _xlpm.w, CF$11,
  _xlpm.r, MATCH(1,('3. Enter Indicator Scores'!$B$10:$B$161=$B48)*('3. Enter Indicator Scores'!$C$10:$C$161=$C48),0),
  _xlpm.c, MATCH(CF$8,'3. Enter Indicator Scores'!$D$8:$CZ$8,0),
  _xlpm.v, IFERROR(INDEX('3. Enter Indicator Scores'!$D$10:$CZ$161,_xlpm.r,_xlpm.c),""),
  IF(OR(_xlpm.w="",_xlpm.v=""),"",_xlpm.v*_xlpm.w)
)</f>
        <v/>
      </c>
      <c r="CG48" s="93" t="str" cm="1">
        <f t="array" ref="CG48">_xlfn.LET(
  _xlpm.w, CG$11,
  _xlpm.r, MATCH(1,('3. Enter Indicator Scores'!$B$10:$B$161=$B48)*('3. Enter Indicator Scores'!$C$10:$C$161=$C48),0),
  _xlpm.c, MATCH(CG$8,'3. Enter Indicator Scores'!$D$8:$CZ$8,0),
  _xlpm.v, IFERROR(INDEX('3. Enter Indicator Scores'!$D$10:$CZ$161,_xlpm.r,_xlpm.c),""),
  IF(OR(_xlpm.w="",_xlpm.v=""),"",_xlpm.v*_xlpm.w)
)</f>
        <v/>
      </c>
      <c r="CH48" s="93" t="str" cm="1">
        <f t="array" ref="CH48">_xlfn.LET(
  _xlpm.w, CH$11,
  _xlpm.r, MATCH(1,('3. Enter Indicator Scores'!$B$10:$B$161=$B48)*('3. Enter Indicator Scores'!$C$10:$C$161=$C48),0),
  _xlpm.c, MATCH(CH$8,'3. Enter Indicator Scores'!$D$8:$CZ$8,0),
  _xlpm.v, IFERROR(INDEX('3. Enter Indicator Scores'!$D$10:$CZ$161,_xlpm.r,_xlpm.c),""),
  IF(OR(_xlpm.w="",_xlpm.v=""),"",_xlpm.v*_xlpm.w)
)</f>
        <v/>
      </c>
      <c r="CI48" s="93" t="str" cm="1">
        <f t="array" ref="CI48">_xlfn.LET(
  _xlpm.w, CI$11,
  _xlpm.r, MATCH(1,('3. Enter Indicator Scores'!$B$10:$B$161=$B48)*('3. Enter Indicator Scores'!$C$10:$C$161=$C48),0),
  _xlpm.c, MATCH(CI$8,'3. Enter Indicator Scores'!$D$8:$CZ$8,0),
  _xlpm.v, IFERROR(INDEX('3. Enter Indicator Scores'!$D$10:$CZ$161,_xlpm.r,_xlpm.c),""),
  IF(OR(_xlpm.w="",_xlpm.v=""),"",_xlpm.v*_xlpm.w)
)</f>
        <v/>
      </c>
      <c r="CJ48" s="93" t="str" cm="1">
        <f t="array" ref="CJ48">_xlfn.LET(
  _xlpm.w, CJ$11,
  _xlpm.r, MATCH(1,('3. Enter Indicator Scores'!$B$10:$B$161=$B48)*('3. Enter Indicator Scores'!$C$10:$C$161=$C48),0),
  _xlpm.c, MATCH(CJ$8,'3. Enter Indicator Scores'!$D$8:$CZ$8,0),
  _xlpm.v, IFERROR(INDEX('3. Enter Indicator Scores'!$D$10:$CZ$161,_xlpm.r,_xlpm.c),""),
  IF(OR(_xlpm.w="",_xlpm.v=""),"",_xlpm.v*_xlpm.w)
)</f>
        <v/>
      </c>
      <c r="CK48" s="93" t="str" cm="1">
        <f t="array" ref="CK48">_xlfn.LET(
  _xlpm.w, CK$11,
  _xlpm.r, MATCH(1,('3. Enter Indicator Scores'!$B$10:$B$161=$B48)*('3. Enter Indicator Scores'!$C$10:$C$161=$C48),0),
  _xlpm.c, MATCH(CK$8,'3. Enter Indicator Scores'!$D$8:$CZ$8,0),
  _xlpm.v, IFERROR(INDEX('3. Enter Indicator Scores'!$D$10:$CZ$161,_xlpm.r,_xlpm.c),""),
  IF(OR(_xlpm.w="",_xlpm.v=""),"",_xlpm.v*_xlpm.w)
)</f>
        <v/>
      </c>
      <c r="CL48" s="93" t="str" cm="1">
        <f t="array" ref="CL48">_xlfn.LET(
  _xlpm.w, CL$11,
  _xlpm.r, MATCH(1,('3. Enter Indicator Scores'!$B$10:$B$161=$B48)*('3. Enter Indicator Scores'!$C$10:$C$161=$C48),0),
  _xlpm.c, MATCH(CL$8,'3. Enter Indicator Scores'!$D$8:$CZ$8,0),
  _xlpm.v, IFERROR(INDEX('3. Enter Indicator Scores'!$D$10:$CZ$161,_xlpm.r,_xlpm.c),""),
  IF(OR(_xlpm.w="",_xlpm.v=""),"",_xlpm.v*_xlpm.w)
)</f>
        <v/>
      </c>
      <c r="CM48" s="93" t="str" cm="1">
        <f t="array" ref="CM48">_xlfn.LET(
  _xlpm.w, CM$11,
  _xlpm.r, MATCH(1,('3. Enter Indicator Scores'!$B$10:$B$161=$B48)*('3. Enter Indicator Scores'!$C$10:$C$161=$C48),0),
  _xlpm.c, MATCH(CM$8,'3. Enter Indicator Scores'!$D$8:$CZ$8,0),
  _xlpm.v, IFERROR(INDEX('3. Enter Indicator Scores'!$D$10:$CZ$161,_xlpm.r,_xlpm.c),""),
  IF(OR(_xlpm.w="",_xlpm.v=""),"",_xlpm.v*_xlpm.w)
)</f>
        <v/>
      </c>
      <c r="CN48" s="93" t="str" cm="1">
        <f t="array" ref="CN48">_xlfn.LET(
  _xlpm.w, CN$11,
  _xlpm.r, MATCH(1,('3. Enter Indicator Scores'!$B$10:$B$161=$B48)*('3. Enter Indicator Scores'!$C$10:$C$161=$C48),0),
  _xlpm.c, MATCH(CN$8,'3. Enter Indicator Scores'!$D$8:$CZ$8,0),
  _xlpm.v, IFERROR(INDEX('3. Enter Indicator Scores'!$D$10:$CZ$161,_xlpm.r,_xlpm.c),""),
  IF(OR(_xlpm.w="",_xlpm.v=""),"",_xlpm.v*_xlpm.w)
)</f>
        <v/>
      </c>
      <c r="CO48" s="93" t="str" cm="1">
        <f t="array" ref="CO48">_xlfn.LET(
  _xlpm.w, CO$11,
  _xlpm.r, MATCH(1,('3. Enter Indicator Scores'!$B$10:$B$161=$B48)*('3. Enter Indicator Scores'!$C$10:$C$161=$C48),0),
  _xlpm.c, MATCH(CO$8,'3. Enter Indicator Scores'!$D$8:$CZ$8,0),
  _xlpm.v, IFERROR(INDEX('3. Enter Indicator Scores'!$D$10:$CZ$161,_xlpm.r,_xlpm.c),""),
  IF(OR(_xlpm.w="",_xlpm.v=""),"",_xlpm.v*_xlpm.w)
)</f>
        <v/>
      </c>
      <c r="CP48" s="93" t="str" cm="1">
        <f t="array" ref="CP48">_xlfn.LET(
  _xlpm.w, CP$11,
  _xlpm.r, MATCH(1,('3. Enter Indicator Scores'!$B$10:$B$161=$B48)*('3. Enter Indicator Scores'!$C$10:$C$161=$C48),0),
  _xlpm.c, MATCH(CP$8,'3. Enter Indicator Scores'!$D$8:$CZ$8,0),
  _xlpm.v, IFERROR(INDEX('3. Enter Indicator Scores'!$D$10:$CZ$161,_xlpm.r,_xlpm.c),""),
  IF(OR(_xlpm.w="",_xlpm.v=""),"",_xlpm.v*_xlpm.w)
)</f>
        <v/>
      </c>
      <c r="CQ48" s="93" t="str" cm="1">
        <f t="array" ref="CQ48">_xlfn.LET(
  _xlpm.w, CQ$11,
  _xlpm.r, MATCH(1,('3. Enter Indicator Scores'!$B$10:$B$161=$B48)*('3. Enter Indicator Scores'!$C$10:$C$161=$C48),0),
  _xlpm.c, MATCH(CQ$8,'3. Enter Indicator Scores'!$D$8:$CZ$8,0),
  _xlpm.v, IFERROR(INDEX('3. Enter Indicator Scores'!$D$10:$CZ$161,_xlpm.r,_xlpm.c),""),
  IF(OR(_xlpm.w="",_xlpm.v=""),"",_xlpm.v*_xlpm.w)
)</f>
        <v/>
      </c>
      <c r="CR48" s="93" t="str" cm="1">
        <f t="array" ref="CR48">_xlfn.LET(
  _xlpm.w, CR$11,
  _xlpm.r, MATCH(1,('3. Enter Indicator Scores'!$B$10:$B$161=$B48)*('3. Enter Indicator Scores'!$C$10:$C$161=$C48),0),
  _xlpm.c, MATCH(CR$8,'3. Enter Indicator Scores'!$D$8:$CZ$8,0),
  _xlpm.v, IFERROR(INDEX('3. Enter Indicator Scores'!$D$10:$CZ$161,_xlpm.r,_xlpm.c),""),
  IF(OR(_xlpm.w="",_xlpm.v=""),"",_xlpm.v*_xlpm.w)
)</f>
        <v/>
      </c>
      <c r="CS48" s="93" t="str" cm="1">
        <f t="array" ref="CS48">_xlfn.LET(
  _xlpm.w, CS$11,
  _xlpm.r, MATCH(1,('3. Enter Indicator Scores'!$B$10:$B$161=$B48)*('3. Enter Indicator Scores'!$C$10:$C$161=$C48),0),
  _xlpm.c, MATCH(CS$8,'3. Enter Indicator Scores'!$D$8:$CZ$8,0),
  _xlpm.v, IFERROR(INDEX('3. Enter Indicator Scores'!$D$10:$CZ$161,_xlpm.r,_xlpm.c),""),
  IF(OR(_xlpm.w="",_xlpm.v=""),"",_xlpm.v*_xlpm.w)
)</f>
        <v/>
      </c>
      <c r="CT48" s="93" t="str" cm="1">
        <f t="array" ref="CT48">_xlfn.LET(
  _xlpm.w, CT$11,
  _xlpm.r, MATCH(1,('3. Enter Indicator Scores'!$B$10:$B$161=$B48)*('3. Enter Indicator Scores'!$C$10:$C$161=$C48),0),
  _xlpm.c, MATCH(CT$8,'3. Enter Indicator Scores'!$D$8:$CZ$8,0),
  _xlpm.v, IFERROR(INDEX('3. Enter Indicator Scores'!$D$10:$CZ$161,_xlpm.r,_xlpm.c),""),
  IF(OR(_xlpm.w="",_xlpm.v=""),"",_xlpm.v*_xlpm.w)
)</f>
        <v/>
      </c>
      <c r="CU48" s="93" t="str" cm="1">
        <f t="array" ref="CU48">_xlfn.LET(
  _xlpm.w, CU$11,
  _xlpm.r, MATCH(1,('3. Enter Indicator Scores'!$B$10:$B$161=$B48)*('3. Enter Indicator Scores'!$C$10:$C$161=$C48),0),
  _xlpm.c, MATCH(CU$8,'3. Enter Indicator Scores'!$D$8:$CZ$8,0),
  _xlpm.v, IFERROR(INDEX('3. Enter Indicator Scores'!$D$10:$CZ$161,_xlpm.r,_xlpm.c),""),
  IF(OR(_xlpm.w="",_xlpm.v=""),"",_xlpm.v*_xlpm.w)
)</f>
        <v/>
      </c>
      <c r="CV48" s="93" t="str" cm="1">
        <f t="array" ref="CV48">_xlfn.LET(
  _xlpm.w, CV$11,
  _xlpm.r, MATCH(1,('3. Enter Indicator Scores'!$B$10:$B$161=$B48)*('3. Enter Indicator Scores'!$C$10:$C$161=$C48),0),
  _xlpm.c, MATCH(CV$8,'3. Enter Indicator Scores'!$D$8:$CZ$8,0),
  _xlpm.v, IFERROR(INDEX('3. Enter Indicator Scores'!$D$10:$CZ$161,_xlpm.r,_xlpm.c),""),
  IF(OR(_xlpm.w="",_xlpm.v=""),"",_xlpm.v*_xlpm.w)
)</f>
        <v/>
      </c>
      <c r="CW48" s="93" t="str" cm="1">
        <f t="array" ref="CW48">_xlfn.LET(
  _xlpm.w, CW$11,
  _xlpm.r, MATCH(1,('3. Enter Indicator Scores'!$B$10:$B$161=$B48)*('3. Enter Indicator Scores'!$C$10:$C$161=$C48),0),
  _xlpm.c, MATCH(CW$8,'3. Enter Indicator Scores'!$D$8:$CZ$8,0),
  _xlpm.v, IFERROR(INDEX('3. Enter Indicator Scores'!$D$10:$CZ$161,_xlpm.r,_xlpm.c),""),
  IF(OR(_xlpm.w="",_xlpm.v=""),"",_xlpm.v*_xlpm.w)
)</f>
        <v/>
      </c>
      <c r="CX48" s="93" t="str" cm="1">
        <f t="array" ref="CX48">_xlfn.LET(
  _xlpm.w, CX$11,
  _xlpm.r, MATCH(1,('3. Enter Indicator Scores'!$B$10:$B$161=$B48)*('3. Enter Indicator Scores'!$C$10:$C$161=$C48),0),
  _xlpm.c, MATCH(CX$8,'3. Enter Indicator Scores'!$D$8:$CZ$8,0),
  _xlpm.v, IFERROR(INDEX('3. Enter Indicator Scores'!$D$10:$CZ$161,_xlpm.r,_xlpm.c),""),
  IF(OR(_xlpm.w="",_xlpm.v=""),"",_xlpm.v*_xlpm.w)
)</f>
        <v/>
      </c>
      <c r="CY48" s="93" t="str" cm="1">
        <f t="array" ref="CY48">_xlfn.LET(
  _xlpm.w, CY$11,
  _xlpm.r, MATCH(1,('3. Enter Indicator Scores'!$B$10:$B$161=$B48)*('3. Enter Indicator Scores'!$C$10:$C$161=$C48),0),
  _xlpm.c, MATCH(CY$8,'3. Enter Indicator Scores'!$D$8:$CZ$8,0),
  _xlpm.v, IFERROR(INDEX('3. Enter Indicator Scores'!$D$10:$CZ$161,_xlpm.r,_xlpm.c),""),
  IF(OR(_xlpm.w="",_xlpm.v=""),"",_xlpm.v*_xlpm.w)
)</f>
        <v/>
      </c>
      <c r="CZ48" s="93" t="str" cm="1">
        <f t="array" ref="CZ48">_xlfn.LET(
  _xlpm.w, CZ$11,
  _xlpm.r, MATCH(1,('3. Enter Indicator Scores'!$B$10:$B$161=$B48)*('3. Enter Indicator Scores'!$C$10:$C$161=$C48),0),
  _xlpm.c, MATCH(CZ$8,'3. Enter Indicator Scores'!$D$8:$CZ$8,0),
  _xlpm.v, IFERROR(INDEX('3. Enter Indicator Scores'!$D$10:$CZ$161,_xlpm.r,_xlpm.c),""),
  IF(OR(_xlpm.w="",_xlpm.v=""),"",_xlpm.v*_xlpm.w)
)</f>
        <v/>
      </c>
    </row>
    <row r="49" spans="4:104" x14ac:dyDescent="0.2">
      <c r="D49" s="93" t="str" cm="1">
        <f t="array" ref="D49">_xlfn.LET(
  _xlpm.w, D$11,
  _xlpm.r, MATCH(1,('3. Enter Indicator Scores'!$B$10:$B$161=$B49)*('3. Enter Indicator Scores'!$C$10:$C$161=$C49),0),
  _xlpm.c, MATCH(D$8,'3. Enter Indicator Scores'!$D$8:$CZ$8,0),
  _xlpm.v, IFERROR(INDEX('3. Enter Indicator Scores'!$D$10:$CZ$161,_xlpm.r,_xlpm.c),""),
  IF(OR(_xlpm.w="",_xlpm.v=""),"",_xlpm.v*_xlpm.w)
)</f>
        <v/>
      </c>
      <c r="E49" s="93" t="str" cm="1">
        <f t="array" ref="E49">_xlfn.LET(
  _xlpm.w, E$11,
  _xlpm.r, MATCH(1,('3. Enter Indicator Scores'!$B$10:$B$161=$B49)*('3. Enter Indicator Scores'!$C$10:$C$161=$C49),0),
  _xlpm.c, MATCH(E$8,'3. Enter Indicator Scores'!$D$8:$CZ$8,0),
  _xlpm.v, IFERROR(INDEX('3. Enter Indicator Scores'!$D$10:$CZ$161,_xlpm.r,_xlpm.c),""),
  IF(OR(_xlpm.w="",_xlpm.v=""),"",_xlpm.v*_xlpm.w)
)</f>
        <v/>
      </c>
      <c r="F49" s="93" t="str" cm="1">
        <f t="array" ref="F49">_xlfn.LET(
  _xlpm.w, F$11,
  _xlpm.r, MATCH(1,('3. Enter Indicator Scores'!$B$10:$B$161=$B49)*('3. Enter Indicator Scores'!$C$10:$C$161=$C49),0),
  _xlpm.c, MATCH(F$8,'3. Enter Indicator Scores'!$D$8:$CZ$8,0),
  _xlpm.v, IFERROR(INDEX('3. Enter Indicator Scores'!$D$10:$CZ$161,_xlpm.r,_xlpm.c),""),
  IF(OR(_xlpm.w="",_xlpm.v=""),"",_xlpm.v*_xlpm.w)
)</f>
        <v/>
      </c>
      <c r="G49" s="93" t="str" cm="1">
        <f t="array" ref="G49">_xlfn.LET(
  _xlpm.w, G$11,
  _xlpm.r, MATCH(1,('3. Enter Indicator Scores'!$B$10:$B$161=$B49)*('3. Enter Indicator Scores'!$C$10:$C$161=$C49),0),
  _xlpm.c, MATCH(G$8,'3. Enter Indicator Scores'!$D$8:$CZ$8,0),
  _xlpm.v, IFERROR(INDEX('3. Enter Indicator Scores'!$D$10:$CZ$161,_xlpm.r,_xlpm.c),""),
  IF(OR(_xlpm.w="",_xlpm.v=""),"",_xlpm.v*_xlpm.w)
)</f>
        <v/>
      </c>
      <c r="H49" s="93" t="str" cm="1">
        <f t="array" ref="H49">_xlfn.LET(
  _xlpm.w, H$11,
  _xlpm.r, MATCH(1,('3. Enter Indicator Scores'!$B$10:$B$161=$B49)*('3. Enter Indicator Scores'!$C$10:$C$161=$C49),0),
  _xlpm.c, MATCH(H$8,'3. Enter Indicator Scores'!$D$8:$CZ$8,0),
  _xlpm.v, IFERROR(INDEX('3. Enter Indicator Scores'!$D$10:$CZ$161,_xlpm.r,_xlpm.c),""),
  IF(OR(_xlpm.w="",_xlpm.v=""),"",_xlpm.v*_xlpm.w)
)</f>
        <v/>
      </c>
      <c r="I49" s="93" t="str" cm="1">
        <f t="array" ref="I49">_xlfn.LET(
  _xlpm.w, I$11,
  _xlpm.r, MATCH(1,('3. Enter Indicator Scores'!$B$10:$B$161=$B49)*('3. Enter Indicator Scores'!$C$10:$C$161=$C49),0),
  _xlpm.c, MATCH(I$8,'3. Enter Indicator Scores'!$D$8:$CZ$8,0),
  _xlpm.v, IFERROR(INDEX('3. Enter Indicator Scores'!$D$10:$CZ$161,_xlpm.r,_xlpm.c),""),
  IF(OR(_xlpm.w="",_xlpm.v=""),"",_xlpm.v*_xlpm.w)
)</f>
        <v/>
      </c>
      <c r="J49" s="93" t="str" cm="1">
        <f t="array" ref="J49">_xlfn.LET(
  _xlpm.w, J$11,
  _xlpm.r, MATCH(1,('3. Enter Indicator Scores'!$B$10:$B$161=$B49)*('3. Enter Indicator Scores'!$C$10:$C$161=$C49),0),
  _xlpm.c, MATCH(J$8,'3. Enter Indicator Scores'!$D$8:$CZ$8,0),
  _xlpm.v, IFERROR(INDEX('3. Enter Indicator Scores'!$D$10:$CZ$161,_xlpm.r,_xlpm.c),""),
  IF(OR(_xlpm.w="",_xlpm.v=""),"",_xlpm.v*_xlpm.w)
)</f>
        <v/>
      </c>
      <c r="K49" s="93" t="str" cm="1">
        <f t="array" ref="K49">_xlfn.LET(
  _xlpm.w, K$11,
  _xlpm.r, MATCH(1,('3. Enter Indicator Scores'!$B$10:$B$161=$B49)*('3. Enter Indicator Scores'!$C$10:$C$161=$C49),0),
  _xlpm.c, MATCH(K$8,'3. Enter Indicator Scores'!$D$8:$CZ$8,0),
  _xlpm.v, IFERROR(INDEX('3. Enter Indicator Scores'!$D$10:$CZ$161,_xlpm.r,_xlpm.c),""),
  IF(OR(_xlpm.w="",_xlpm.v=""),"",_xlpm.v*_xlpm.w)
)</f>
        <v/>
      </c>
      <c r="L49" s="93" t="str" cm="1">
        <f t="array" ref="L49">_xlfn.LET(
  _xlpm.w, L$11,
  _xlpm.r, MATCH(1,('3. Enter Indicator Scores'!$B$10:$B$161=$B49)*('3. Enter Indicator Scores'!$C$10:$C$161=$C49),0),
  _xlpm.c, MATCH(L$8,'3. Enter Indicator Scores'!$D$8:$CZ$8,0),
  _xlpm.v, IFERROR(INDEX('3. Enter Indicator Scores'!$D$10:$CZ$161,_xlpm.r,_xlpm.c),""),
  IF(OR(_xlpm.w="",_xlpm.v=""),"",_xlpm.v*_xlpm.w)
)</f>
        <v/>
      </c>
      <c r="M49" s="93" t="str" cm="1">
        <f t="array" ref="M49">_xlfn.LET(
  _xlpm.w, M$11,
  _xlpm.r, MATCH(1,('3. Enter Indicator Scores'!$B$10:$B$161=$B49)*('3. Enter Indicator Scores'!$C$10:$C$161=$C49),0),
  _xlpm.c, MATCH(M$8,'3. Enter Indicator Scores'!$D$8:$CZ$8,0),
  _xlpm.v, IFERROR(INDEX('3. Enter Indicator Scores'!$D$10:$CZ$161,_xlpm.r,_xlpm.c),""),
  IF(OR(_xlpm.w="",_xlpm.v=""),"",_xlpm.v*_xlpm.w)
)</f>
        <v/>
      </c>
      <c r="N49" s="93" t="str" cm="1">
        <f t="array" ref="N49">_xlfn.LET(
  _xlpm.w, N$11,
  _xlpm.r, MATCH(1,('3. Enter Indicator Scores'!$B$10:$B$161=$B49)*('3. Enter Indicator Scores'!$C$10:$C$161=$C49),0),
  _xlpm.c, MATCH(N$8,'3. Enter Indicator Scores'!$D$8:$CZ$8,0),
  _xlpm.v, IFERROR(INDEX('3. Enter Indicator Scores'!$D$10:$CZ$161,_xlpm.r,_xlpm.c),""),
  IF(OR(_xlpm.w="",_xlpm.v=""),"",_xlpm.v*_xlpm.w)
)</f>
        <v/>
      </c>
      <c r="O49" s="93" t="str" cm="1">
        <f t="array" ref="O49">_xlfn.LET(
  _xlpm.w, O$11,
  _xlpm.r, MATCH(1,('3. Enter Indicator Scores'!$B$10:$B$161=$B49)*('3. Enter Indicator Scores'!$C$10:$C$161=$C49),0),
  _xlpm.c, MATCH(O$8,'3. Enter Indicator Scores'!$D$8:$CZ$8,0),
  _xlpm.v, IFERROR(INDEX('3. Enter Indicator Scores'!$D$10:$CZ$161,_xlpm.r,_xlpm.c),""),
  IF(OR(_xlpm.w="",_xlpm.v=""),"",_xlpm.v*_xlpm.w)
)</f>
        <v/>
      </c>
      <c r="P49" s="93" t="str" cm="1">
        <f t="array" ref="P49">_xlfn.LET(
  _xlpm.w, P$11,
  _xlpm.r, MATCH(1,('3. Enter Indicator Scores'!$B$10:$B$161=$B49)*('3. Enter Indicator Scores'!$C$10:$C$161=$C49),0),
  _xlpm.c, MATCH(P$8,'3. Enter Indicator Scores'!$D$8:$CZ$8,0),
  _xlpm.v, IFERROR(INDEX('3. Enter Indicator Scores'!$D$10:$CZ$161,_xlpm.r,_xlpm.c),""),
  IF(OR(_xlpm.w="",_xlpm.v=""),"",_xlpm.v*_xlpm.w)
)</f>
        <v/>
      </c>
      <c r="Q49" s="93" t="str" cm="1">
        <f t="array" ref="Q49">_xlfn.LET(
  _xlpm.w, Q$11,
  _xlpm.r, MATCH(1,('3. Enter Indicator Scores'!$B$10:$B$161=$B49)*('3. Enter Indicator Scores'!$C$10:$C$161=$C49),0),
  _xlpm.c, MATCH(Q$8,'3. Enter Indicator Scores'!$D$8:$CZ$8,0),
  _xlpm.v, IFERROR(INDEX('3. Enter Indicator Scores'!$D$10:$CZ$161,_xlpm.r,_xlpm.c),""),
  IF(OR(_xlpm.w="",_xlpm.v=""),"",_xlpm.v*_xlpm.w)
)</f>
        <v/>
      </c>
      <c r="R49" s="93" t="str" cm="1">
        <f t="array" ref="R49">_xlfn.LET(
  _xlpm.w, R$11,
  _xlpm.r, MATCH(1,('3. Enter Indicator Scores'!$B$10:$B$161=$B49)*('3. Enter Indicator Scores'!$C$10:$C$161=$C49),0),
  _xlpm.c, MATCH(R$8,'3. Enter Indicator Scores'!$D$8:$CZ$8,0),
  _xlpm.v, IFERROR(INDEX('3. Enter Indicator Scores'!$D$10:$CZ$161,_xlpm.r,_xlpm.c),""),
  IF(OR(_xlpm.w="",_xlpm.v=""),"",_xlpm.v*_xlpm.w)
)</f>
        <v/>
      </c>
      <c r="S49" s="93" t="str" cm="1">
        <f t="array" ref="S49">_xlfn.LET(
  _xlpm.w, S$11,
  _xlpm.r, MATCH(1,('3. Enter Indicator Scores'!$B$10:$B$161=$B49)*('3. Enter Indicator Scores'!$C$10:$C$161=$C49),0),
  _xlpm.c, MATCH(S$8,'3. Enter Indicator Scores'!$D$8:$CZ$8,0),
  _xlpm.v, IFERROR(INDEX('3. Enter Indicator Scores'!$D$10:$CZ$161,_xlpm.r,_xlpm.c),""),
  IF(OR(_xlpm.w="",_xlpm.v=""),"",_xlpm.v*_xlpm.w)
)</f>
        <v/>
      </c>
      <c r="T49" s="93" t="str" cm="1">
        <f t="array" ref="T49">_xlfn.LET(
  _xlpm.w, T$11,
  _xlpm.r, MATCH(1,('3. Enter Indicator Scores'!$B$10:$B$161=$B49)*('3. Enter Indicator Scores'!$C$10:$C$161=$C49),0),
  _xlpm.c, MATCH(T$8,'3. Enter Indicator Scores'!$D$8:$CZ$8,0),
  _xlpm.v, IFERROR(INDEX('3. Enter Indicator Scores'!$D$10:$CZ$161,_xlpm.r,_xlpm.c),""),
  IF(OR(_xlpm.w="",_xlpm.v=""),"",_xlpm.v*_xlpm.w)
)</f>
        <v/>
      </c>
      <c r="U49" s="93" t="str" cm="1">
        <f t="array" ref="U49">_xlfn.LET(
  _xlpm.w, U$11,
  _xlpm.r, MATCH(1,('3. Enter Indicator Scores'!$B$10:$B$161=$B49)*('3. Enter Indicator Scores'!$C$10:$C$161=$C49),0),
  _xlpm.c, MATCH(U$8,'3. Enter Indicator Scores'!$D$8:$CZ$8,0),
  _xlpm.v, IFERROR(INDEX('3. Enter Indicator Scores'!$D$10:$CZ$161,_xlpm.r,_xlpm.c),""),
  IF(OR(_xlpm.w="",_xlpm.v=""),"",_xlpm.v*_xlpm.w)
)</f>
        <v/>
      </c>
      <c r="V49" s="93" t="str" cm="1">
        <f t="array" ref="V49">_xlfn.LET(
  _xlpm.w, V$11,
  _xlpm.r, MATCH(1,('3. Enter Indicator Scores'!$B$10:$B$161=$B49)*('3. Enter Indicator Scores'!$C$10:$C$161=$C49),0),
  _xlpm.c, MATCH(V$8,'3. Enter Indicator Scores'!$D$8:$CZ$8,0),
  _xlpm.v, IFERROR(INDEX('3. Enter Indicator Scores'!$D$10:$CZ$161,_xlpm.r,_xlpm.c),""),
  IF(OR(_xlpm.w="",_xlpm.v=""),"",_xlpm.v*_xlpm.w)
)</f>
        <v/>
      </c>
      <c r="W49" s="93" t="str" cm="1">
        <f t="array" ref="W49">_xlfn.LET(
  _xlpm.w, W$11,
  _xlpm.r, MATCH(1,('3. Enter Indicator Scores'!$B$10:$B$161=$B49)*('3. Enter Indicator Scores'!$C$10:$C$161=$C49),0),
  _xlpm.c, MATCH(W$8,'3. Enter Indicator Scores'!$D$8:$CZ$8,0),
  _xlpm.v, IFERROR(INDEX('3. Enter Indicator Scores'!$D$10:$CZ$161,_xlpm.r,_xlpm.c),""),
  IF(OR(_xlpm.w="",_xlpm.v=""),"",_xlpm.v*_xlpm.w)
)</f>
        <v/>
      </c>
      <c r="X49" s="93" t="str" cm="1">
        <f t="array" ref="X49">_xlfn.LET(
  _xlpm.w, X$11,
  _xlpm.r, MATCH(1,('3. Enter Indicator Scores'!$B$10:$B$161=$B49)*('3. Enter Indicator Scores'!$C$10:$C$161=$C49),0),
  _xlpm.c, MATCH(X$8,'3. Enter Indicator Scores'!$D$8:$CZ$8,0),
  _xlpm.v, IFERROR(INDEX('3. Enter Indicator Scores'!$D$10:$CZ$161,_xlpm.r,_xlpm.c),""),
  IF(OR(_xlpm.w="",_xlpm.v=""),"",_xlpm.v*_xlpm.w)
)</f>
        <v/>
      </c>
      <c r="Y49" s="93" t="str" cm="1">
        <f t="array" ref="Y49">_xlfn.LET(
  _xlpm.w, Y$11,
  _xlpm.r, MATCH(1,('3. Enter Indicator Scores'!$B$10:$B$161=$B49)*('3. Enter Indicator Scores'!$C$10:$C$161=$C49),0),
  _xlpm.c, MATCH(Y$8,'3. Enter Indicator Scores'!$D$8:$CZ$8,0),
  _xlpm.v, IFERROR(INDEX('3. Enter Indicator Scores'!$D$10:$CZ$161,_xlpm.r,_xlpm.c),""),
  IF(OR(_xlpm.w="",_xlpm.v=""),"",_xlpm.v*_xlpm.w)
)</f>
        <v/>
      </c>
      <c r="Z49" s="93" t="str" cm="1">
        <f t="array" ref="Z49">_xlfn.LET(
  _xlpm.w, Z$11,
  _xlpm.r, MATCH(1,('3. Enter Indicator Scores'!$B$10:$B$161=$B49)*('3. Enter Indicator Scores'!$C$10:$C$161=$C49),0),
  _xlpm.c, MATCH(Z$8,'3. Enter Indicator Scores'!$D$8:$CZ$8,0),
  _xlpm.v, IFERROR(INDEX('3. Enter Indicator Scores'!$D$10:$CZ$161,_xlpm.r,_xlpm.c),""),
  IF(OR(_xlpm.w="",_xlpm.v=""),"",_xlpm.v*_xlpm.w)
)</f>
        <v/>
      </c>
      <c r="AA49" s="93" t="str" cm="1">
        <f t="array" ref="AA49">_xlfn.LET(
  _xlpm.w, AA$11,
  _xlpm.r, MATCH(1,('3. Enter Indicator Scores'!$B$10:$B$161=$B49)*('3. Enter Indicator Scores'!$C$10:$C$161=$C49),0),
  _xlpm.c, MATCH(AA$8,'3. Enter Indicator Scores'!$D$8:$CZ$8,0),
  _xlpm.v, IFERROR(INDEX('3. Enter Indicator Scores'!$D$10:$CZ$161,_xlpm.r,_xlpm.c),""),
  IF(OR(_xlpm.w="",_xlpm.v=""),"",_xlpm.v*_xlpm.w)
)</f>
        <v/>
      </c>
      <c r="AB49" s="93" t="str" cm="1">
        <f t="array" ref="AB49">_xlfn.LET(
  _xlpm.w, AB$11,
  _xlpm.r, MATCH(1,('3. Enter Indicator Scores'!$B$10:$B$161=$B49)*('3. Enter Indicator Scores'!$C$10:$C$161=$C49),0),
  _xlpm.c, MATCH(AB$8,'3. Enter Indicator Scores'!$D$8:$CZ$8,0),
  _xlpm.v, IFERROR(INDEX('3. Enter Indicator Scores'!$D$10:$CZ$161,_xlpm.r,_xlpm.c),""),
  IF(OR(_xlpm.w="",_xlpm.v=""),"",_xlpm.v*_xlpm.w)
)</f>
        <v/>
      </c>
      <c r="AC49" s="93" t="str" cm="1">
        <f t="array" ref="AC49">_xlfn.LET(
  _xlpm.w, AC$11,
  _xlpm.r, MATCH(1,('3. Enter Indicator Scores'!$B$10:$B$161=$B49)*('3. Enter Indicator Scores'!$C$10:$C$161=$C49),0),
  _xlpm.c, MATCH(AC$8,'3. Enter Indicator Scores'!$D$8:$CZ$8,0),
  _xlpm.v, IFERROR(INDEX('3. Enter Indicator Scores'!$D$10:$CZ$161,_xlpm.r,_xlpm.c),""),
  IF(OR(_xlpm.w="",_xlpm.v=""),"",_xlpm.v*_xlpm.w)
)</f>
        <v/>
      </c>
      <c r="AD49" s="93" t="str" cm="1">
        <f t="array" ref="AD49">_xlfn.LET(
  _xlpm.w, AD$11,
  _xlpm.r, MATCH(1,('3. Enter Indicator Scores'!$B$10:$B$161=$B49)*('3. Enter Indicator Scores'!$C$10:$C$161=$C49),0),
  _xlpm.c, MATCH(AD$8,'3. Enter Indicator Scores'!$D$8:$CZ$8,0),
  _xlpm.v, IFERROR(INDEX('3. Enter Indicator Scores'!$D$10:$CZ$161,_xlpm.r,_xlpm.c),""),
  IF(OR(_xlpm.w="",_xlpm.v=""),"",_xlpm.v*_xlpm.w)
)</f>
        <v/>
      </c>
      <c r="AE49" s="93" t="str" cm="1">
        <f t="array" ref="AE49">_xlfn.LET(
  _xlpm.w, AE$11,
  _xlpm.r, MATCH(1,('3. Enter Indicator Scores'!$B$10:$B$161=$B49)*('3. Enter Indicator Scores'!$C$10:$C$161=$C49),0),
  _xlpm.c, MATCH(AE$8,'3. Enter Indicator Scores'!$D$8:$CZ$8,0),
  _xlpm.v, IFERROR(INDEX('3. Enter Indicator Scores'!$D$10:$CZ$161,_xlpm.r,_xlpm.c),""),
  IF(OR(_xlpm.w="",_xlpm.v=""),"",_xlpm.v*_xlpm.w)
)</f>
        <v/>
      </c>
      <c r="AF49" s="93" t="str" cm="1">
        <f t="array" ref="AF49">_xlfn.LET(
  _xlpm.w, AF$11,
  _xlpm.r, MATCH(1,('3. Enter Indicator Scores'!$B$10:$B$161=$B49)*('3. Enter Indicator Scores'!$C$10:$C$161=$C49),0),
  _xlpm.c, MATCH(AF$8,'3. Enter Indicator Scores'!$D$8:$CZ$8,0),
  _xlpm.v, IFERROR(INDEX('3. Enter Indicator Scores'!$D$10:$CZ$161,_xlpm.r,_xlpm.c),""),
  IF(OR(_xlpm.w="",_xlpm.v=""),"",_xlpm.v*_xlpm.w)
)</f>
        <v/>
      </c>
      <c r="AG49" s="93" t="str" cm="1">
        <f t="array" ref="AG49">_xlfn.LET(
  _xlpm.w, AG$11,
  _xlpm.r, MATCH(1,('3. Enter Indicator Scores'!$B$10:$B$161=$B49)*('3. Enter Indicator Scores'!$C$10:$C$161=$C49),0),
  _xlpm.c, MATCH(AG$8,'3. Enter Indicator Scores'!$D$8:$CZ$8,0),
  _xlpm.v, IFERROR(INDEX('3. Enter Indicator Scores'!$D$10:$CZ$161,_xlpm.r,_xlpm.c),""),
  IF(OR(_xlpm.w="",_xlpm.v=""),"",_xlpm.v*_xlpm.w)
)</f>
        <v/>
      </c>
      <c r="AH49" s="93" t="str" cm="1">
        <f t="array" ref="AH49">_xlfn.LET(
  _xlpm.w, AH$11,
  _xlpm.r, MATCH(1,('3. Enter Indicator Scores'!$B$10:$B$161=$B49)*('3. Enter Indicator Scores'!$C$10:$C$161=$C49),0),
  _xlpm.c, MATCH(AH$8,'3. Enter Indicator Scores'!$D$8:$CZ$8,0),
  _xlpm.v, IFERROR(INDEX('3. Enter Indicator Scores'!$D$10:$CZ$161,_xlpm.r,_xlpm.c),""),
  IF(OR(_xlpm.w="",_xlpm.v=""),"",_xlpm.v*_xlpm.w)
)</f>
        <v/>
      </c>
      <c r="AI49" s="93" t="str" cm="1">
        <f t="array" ref="AI49">_xlfn.LET(
  _xlpm.w, AI$11,
  _xlpm.r, MATCH(1,('3. Enter Indicator Scores'!$B$10:$B$161=$B49)*('3. Enter Indicator Scores'!$C$10:$C$161=$C49),0),
  _xlpm.c, MATCH(AI$8,'3. Enter Indicator Scores'!$D$8:$CZ$8,0),
  _xlpm.v, IFERROR(INDEX('3. Enter Indicator Scores'!$D$10:$CZ$161,_xlpm.r,_xlpm.c),""),
  IF(OR(_xlpm.w="",_xlpm.v=""),"",_xlpm.v*_xlpm.w)
)</f>
        <v/>
      </c>
      <c r="AJ49" s="93" t="str" cm="1">
        <f t="array" ref="AJ49">_xlfn.LET(
  _xlpm.w, AJ$11,
  _xlpm.r, MATCH(1,('3. Enter Indicator Scores'!$B$10:$B$161=$B49)*('3. Enter Indicator Scores'!$C$10:$C$161=$C49),0),
  _xlpm.c, MATCH(AJ$8,'3. Enter Indicator Scores'!$D$8:$CZ$8,0),
  _xlpm.v, IFERROR(INDEX('3. Enter Indicator Scores'!$D$10:$CZ$161,_xlpm.r,_xlpm.c),""),
  IF(OR(_xlpm.w="",_xlpm.v=""),"",_xlpm.v*_xlpm.w)
)</f>
        <v/>
      </c>
      <c r="AK49" s="93" t="str" cm="1">
        <f t="array" ref="AK49">_xlfn.LET(
  _xlpm.w, AK$11,
  _xlpm.r, MATCH(1,('3. Enter Indicator Scores'!$B$10:$B$161=$B49)*('3. Enter Indicator Scores'!$C$10:$C$161=$C49),0),
  _xlpm.c, MATCH(AK$8,'3. Enter Indicator Scores'!$D$8:$CZ$8,0),
  _xlpm.v, IFERROR(INDEX('3. Enter Indicator Scores'!$D$10:$CZ$161,_xlpm.r,_xlpm.c),""),
  IF(OR(_xlpm.w="",_xlpm.v=""),"",_xlpm.v*_xlpm.w)
)</f>
        <v/>
      </c>
      <c r="AL49" s="93" t="str" cm="1">
        <f t="array" ref="AL49">_xlfn.LET(
  _xlpm.w, AL$11,
  _xlpm.r, MATCH(1,('3. Enter Indicator Scores'!$B$10:$B$161=$B49)*('3. Enter Indicator Scores'!$C$10:$C$161=$C49),0),
  _xlpm.c, MATCH(AL$8,'3. Enter Indicator Scores'!$D$8:$CZ$8,0),
  _xlpm.v, IFERROR(INDEX('3. Enter Indicator Scores'!$D$10:$CZ$161,_xlpm.r,_xlpm.c),""),
  IF(OR(_xlpm.w="",_xlpm.v=""),"",_xlpm.v*_xlpm.w)
)</f>
        <v/>
      </c>
      <c r="AM49" s="93" t="str" cm="1">
        <f t="array" ref="AM49">_xlfn.LET(
  _xlpm.w, AM$11,
  _xlpm.r, MATCH(1,('3. Enter Indicator Scores'!$B$10:$B$161=$B49)*('3. Enter Indicator Scores'!$C$10:$C$161=$C49),0),
  _xlpm.c, MATCH(AM$8,'3. Enter Indicator Scores'!$D$8:$CZ$8,0),
  _xlpm.v, IFERROR(INDEX('3. Enter Indicator Scores'!$D$10:$CZ$161,_xlpm.r,_xlpm.c),""),
  IF(OR(_xlpm.w="",_xlpm.v=""),"",_xlpm.v*_xlpm.w)
)</f>
        <v/>
      </c>
      <c r="AN49" s="93" t="str" cm="1">
        <f t="array" ref="AN49">_xlfn.LET(
  _xlpm.w, AN$11,
  _xlpm.r, MATCH(1,('3. Enter Indicator Scores'!$B$10:$B$161=$B49)*('3. Enter Indicator Scores'!$C$10:$C$161=$C49),0),
  _xlpm.c, MATCH(AN$8,'3. Enter Indicator Scores'!$D$8:$CZ$8,0),
  _xlpm.v, IFERROR(INDEX('3. Enter Indicator Scores'!$D$10:$CZ$161,_xlpm.r,_xlpm.c),""),
  IF(OR(_xlpm.w="",_xlpm.v=""),"",_xlpm.v*_xlpm.w)
)</f>
        <v/>
      </c>
      <c r="AO49" s="93" t="str" cm="1">
        <f t="array" ref="AO49">_xlfn.LET(
  _xlpm.w, AO$11,
  _xlpm.r, MATCH(1,('3. Enter Indicator Scores'!$B$10:$B$161=$B49)*('3. Enter Indicator Scores'!$C$10:$C$161=$C49),0),
  _xlpm.c, MATCH(AO$8,'3. Enter Indicator Scores'!$D$8:$CZ$8,0),
  _xlpm.v, IFERROR(INDEX('3. Enter Indicator Scores'!$D$10:$CZ$161,_xlpm.r,_xlpm.c),""),
  IF(OR(_xlpm.w="",_xlpm.v=""),"",_xlpm.v*_xlpm.w)
)</f>
        <v/>
      </c>
      <c r="AP49" s="93" t="str" cm="1">
        <f t="array" ref="AP49">_xlfn.LET(
  _xlpm.w, AP$11,
  _xlpm.r, MATCH(1,('3. Enter Indicator Scores'!$B$10:$B$161=$B49)*('3. Enter Indicator Scores'!$C$10:$C$161=$C49),0),
  _xlpm.c, MATCH(AP$8,'3. Enter Indicator Scores'!$D$8:$CZ$8,0),
  _xlpm.v, IFERROR(INDEX('3. Enter Indicator Scores'!$D$10:$CZ$161,_xlpm.r,_xlpm.c),""),
  IF(OR(_xlpm.w="",_xlpm.v=""),"",_xlpm.v*_xlpm.w)
)</f>
        <v/>
      </c>
      <c r="AQ49" s="93" t="str" cm="1">
        <f t="array" ref="AQ49">_xlfn.LET(
  _xlpm.w, AQ$11,
  _xlpm.r, MATCH(1,('3. Enter Indicator Scores'!$B$10:$B$161=$B49)*('3. Enter Indicator Scores'!$C$10:$C$161=$C49),0),
  _xlpm.c, MATCH(AQ$8,'3. Enter Indicator Scores'!$D$8:$CZ$8,0),
  _xlpm.v, IFERROR(INDEX('3. Enter Indicator Scores'!$D$10:$CZ$161,_xlpm.r,_xlpm.c),""),
  IF(OR(_xlpm.w="",_xlpm.v=""),"",_xlpm.v*_xlpm.w)
)</f>
        <v/>
      </c>
      <c r="AR49" s="93" t="str" cm="1">
        <f t="array" ref="AR49">_xlfn.LET(
  _xlpm.w, AR$11,
  _xlpm.r, MATCH(1,('3. Enter Indicator Scores'!$B$10:$B$161=$B49)*('3. Enter Indicator Scores'!$C$10:$C$161=$C49),0),
  _xlpm.c, MATCH(AR$8,'3. Enter Indicator Scores'!$D$8:$CZ$8,0),
  _xlpm.v, IFERROR(INDEX('3. Enter Indicator Scores'!$D$10:$CZ$161,_xlpm.r,_xlpm.c),""),
  IF(OR(_xlpm.w="",_xlpm.v=""),"",_xlpm.v*_xlpm.w)
)</f>
        <v/>
      </c>
      <c r="AS49" s="93" t="str" cm="1">
        <f t="array" ref="AS49">_xlfn.LET(
  _xlpm.w, AS$11,
  _xlpm.r, MATCH(1,('3. Enter Indicator Scores'!$B$10:$B$161=$B49)*('3. Enter Indicator Scores'!$C$10:$C$161=$C49),0),
  _xlpm.c, MATCH(AS$8,'3. Enter Indicator Scores'!$D$8:$CZ$8,0),
  _xlpm.v, IFERROR(INDEX('3. Enter Indicator Scores'!$D$10:$CZ$161,_xlpm.r,_xlpm.c),""),
  IF(OR(_xlpm.w="",_xlpm.v=""),"",_xlpm.v*_xlpm.w)
)</f>
        <v/>
      </c>
      <c r="AT49" s="93" t="str" cm="1">
        <f t="array" ref="AT49">_xlfn.LET(
  _xlpm.w, AT$11,
  _xlpm.r, MATCH(1,('3. Enter Indicator Scores'!$B$10:$B$161=$B49)*('3. Enter Indicator Scores'!$C$10:$C$161=$C49),0),
  _xlpm.c, MATCH(AT$8,'3. Enter Indicator Scores'!$D$8:$CZ$8,0),
  _xlpm.v, IFERROR(INDEX('3. Enter Indicator Scores'!$D$10:$CZ$161,_xlpm.r,_xlpm.c),""),
  IF(OR(_xlpm.w="",_xlpm.v=""),"",_xlpm.v*_xlpm.w)
)</f>
        <v/>
      </c>
      <c r="AU49" s="93" t="str" cm="1">
        <f t="array" ref="AU49">_xlfn.LET(
  _xlpm.w, AU$11,
  _xlpm.r, MATCH(1,('3. Enter Indicator Scores'!$B$10:$B$161=$B49)*('3. Enter Indicator Scores'!$C$10:$C$161=$C49),0),
  _xlpm.c, MATCH(AU$8,'3. Enter Indicator Scores'!$D$8:$CZ$8,0),
  _xlpm.v, IFERROR(INDEX('3. Enter Indicator Scores'!$D$10:$CZ$161,_xlpm.r,_xlpm.c),""),
  IF(OR(_xlpm.w="",_xlpm.v=""),"",_xlpm.v*_xlpm.w)
)</f>
        <v/>
      </c>
      <c r="AV49" s="93" t="str" cm="1">
        <f t="array" ref="AV49">_xlfn.LET(
  _xlpm.w, AV$11,
  _xlpm.r, MATCH(1,('3. Enter Indicator Scores'!$B$10:$B$161=$B49)*('3. Enter Indicator Scores'!$C$10:$C$161=$C49),0),
  _xlpm.c, MATCH(AV$8,'3. Enter Indicator Scores'!$D$8:$CZ$8,0),
  _xlpm.v, IFERROR(INDEX('3. Enter Indicator Scores'!$D$10:$CZ$161,_xlpm.r,_xlpm.c),""),
  IF(OR(_xlpm.w="",_xlpm.v=""),"",_xlpm.v*_xlpm.w)
)</f>
        <v/>
      </c>
      <c r="AW49" s="93" t="str" cm="1">
        <f t="array" ref="AW49">_xlfn.LET(
  _xlpm.w, AW$11,
  _xlpm.r, MATCH(1,('3. Enter Indicator Scores'!$B$10:$B$161=$B49)*('3. Enter Indicator Scores'!$C$10:$C$161=$C49),0),
  _xlpm.c, MATCH(AW$8,'3. Enter Indicator Scores'!$D$8:$CZ$8,0),
  _xlpm.v, IFERROR(INDEX('3. Enter Indicator Scores'!$D$10:$CZ$161,_xlpm.r,_xlpm.c),""),
  IF(OR(_xlpm.w="",_xlpm.v=""),"",_xlpm.v*_xlpm.w)
)</f>
        <v/>
      </c>
      <c r="AX49" s="93" t="str" cm="1">
        <f t="array" ref="AX49">_xlfn.LET(
  _xlpm.w, AX$11,
  _xlpm.r, MATCH(1,('3. Enter Indicator Scores'!$B$10:$B$161=$B49)*('3. Enter Indicator Scores'!$C$10:$C$161=$C49),0),
  _xlpm.c, MATCH(AX$8,'3. Enter Indicator Scores'!$D$8:$CZ$8,0),
  _xlpm.v, IFERROR(INDEX('3. Enter Indicator Scores'!$D$10:$CZ$161,_xlpm.r,_xlpm.c),""),
  IF(OR(_xlpm.w="",_xlpm.v=""),"",_xlpm.v*_xlpm.w)
)</f>
        <v/>
      </c>
      <c r="AY49" s="93" t="str" cm="1">
        <f t="array" ref="AY49">_xlfn.LET(
  _xlpm.w, AY$11,
  _xlpm.r, MATCH(1,('3. Enter Indicator Scores'!$B$10:$B$161=$B49)*('3. Enter Indicator Scores'!$C$10:$C$161=$C49),0),
  _xlpm.c, MATCH(AY$8,'3. Enter Indicator Scores'!$D$8:$CZ$8,0),
  _xlpm.v, IFERROR(INDEX('3. Enter Indicator Scores'!$D$10:$CZ$161,_xlpm.r,_xlpm.c),""),
  IF(OR(_xlpm.w="",_xlpm.v=""),"",_xlpm.v*_xlpm.w)
)</f>
        <v/>
      </c>
      <c r="AZ49" s="93" t="str" cm="1">
        <f t="array" ref="AZ49">_xlfn.LET(
  _xlpm.w, AZ$11,
  _xlpm.r, MATCH(1,('3. Enter Indicator Scores'!$B$10:$B$161=$B49)*('3. Enter Indicator Scores'!$C$10:$C$161=$C49),0),
  _xlpm.c, MATCH(AZ$8,'3. Enter Indicator Scores'!$D$8:$CZ$8,0),
  _xlpm.v, IFERROR(INDEX('3. Enter Indicator Scores'!$D$10:$CZ$161,_xlpm.r,_xlpm.c),""),
  IF(OR(_xlpm.w="",_xlpm.v=""),"",_xlpm.v*_xlpm.w)
)</f>
        <v/>
      </c>
      <c r="BA49" s="93" t="str" cm="1">
        <f t="array" ref="BA49">_xlfn.LET(
  _xlpm.w, BA$11,
  _xlpm.r, MATCH(1,('3. Enter Indicator Scores'!$B$10:$B$161=$B49)*('3. Enter Indicator Scores'!$C$10:$C$161=$C49),0),
  _xlpm.c, MATCH(BA$8,'3. Enter Indicator Scores'!$D$8:$CZ$8,0),
  _xlpm.v, IFERROR(INDEX('3. Enter Indicator Scores'!$D$10:$CZ$161,_xlpm.r,_xlpm.c),""),
  IF(OR(_xlpm.w="",_xlpm.v=""),"",_xlpm.v*_xlpm.w)
)</f>
        <v/>
      </c>
      <c r="BB49" s="93" t="str" cm="1">
        <f t="array" ref="BB49">_xlfn.LET(
  _xlpm.w, BB$11,
  _xlpm.r, MATCH(1,('3. Enter Indicator Scores'!$B$10:$B$161=$B49)*('3. Enter Indicator Scores'!$C$10:$C$161=$C49),0),
  _xlpm.c, MATCH(BB$8,'3. Enter Indicator Scores'!$D$8:$CZ$8,0),
  _xlpm.v, IFERROR(INDEX('3. Enter Indicator Scores'!$D$10:$CZ$161,_xlpm.r,_xlpm.c),""),
  IF(OR(_xlpm.w="",_xlpm.v=""),"",_xlpm.v*_xlpm.w)
)</f>
        <v/>
      </c>
      <c r="BC49" s="93" t="str" cm="1">
        <f t="array" ref="BC49">_xlfn.LET(
  _xlpm.w, BC$11,
  _xlpm.r, MATCH(1,('3. Enter Indicator Scores'!$B$10:$B$161=$B49)*('3. Enter Indicator Scores'!$C$10:$C$161=$C49),0),
  _xlpm.c, MATCH(BC$8,'3. Enter Indicator Scores'!$D$8:$CZ$8,0),
  _xlpm.v, IFERROR(INDEX('3. Enter Indicator Scores'!$D$10:$CZ$161,_xlpm.r,_xlpm.c),""),
  IF(OR(_xlpm.w="",_xlpm.v=""),"",_xlpm.v*_xlpm.w)
)</f>
        <v/>
      </c>
      <c r="BD49" s="93" t="str" cm="1">
        <f t="array" ref="BD49">_xlfn.LET(
  _xlpm.w, BD$11,
  _xlpm.r, MATCH(1,('3. Enter Indicator Scores'!$B$10:$B$161=$B49)*('3. Enter Indicator Scores'!$C$10:$C$161=$C49),0),
  _xlpm.c, MATCH(BD$8,'3. Enter Indicator Scores'!$D$8:$CZ$8,0),
  _xlpm.v, IFERROR(INDEX('3. Enter Indicator Scores'!$D$10:$CZ$161,_xlpm.r,_xlpm.c),""),
  IF(OR(_xlpm.w="",_xlpm.v=""),"",_xlpm.v*_xlpm.w)
)</f>
        <v/>
      </c>
      <c r="BE49" s="93" t="str" cm="1">
        <f t="array" ref="BE49">_xlfn.LET(
  _xlpm.w, BE$11,
  _xlpm.r, MATCH(1,('3. Enter Indicator Scores'!$B$10:$B$161=$B49)*('3. Enter Indicator Scores'!$C$10:$C$161=$C49),0),
  _xlpm.c, MATCH(BE$8,'3. Enter Indicator Scores'!$D$8:$CZ$8,0),
  _xlpm.v, IFERROR(INDEX('3. Enter Indicator Scores'!$D$10:$CZ$161,_xlpm.r,_xlpm.c),""),
  IF(OR(_xlpm.w="",_xlpm.v=""),"",_xlpm.v*_xlpm.w)
)</f>
        <v/>
      </c>
      <c r="BF49" s="93" t="str" cm="1">
        <f t="array" ref="BF49">_xlfn.LET(
  _xlpm.w, BF$11,
  _xlpm.r, MATCH(1,('3. Enter Indicator Scores'!$B$10:$B$161=$B49)*('3. Enter Indicator Scores'!$C$10:$C$161=$C49),0),
  _xlpm.c, MATCH(BF$8,'3. Enter Indicator Scores'!$D$8:$CZ$8,0),
  _xlpm.v, IFERROR(INDEX('3. Enter Indicator Scores'!$D$10:$CZ$161,_xlpm.r,_xlpm.c),""),
  IF(OR(_xlpm.w="",_xlpm.v=""),"",_xlpm.v*_xlpm.w)
)</f>
        <v/>
      </c>
      <c r="BG49" s="93" t="str" cm="1">
        <f t="array" ref="BG49">_xlfn.LET(
  _xlpm.w, BG$11,
  _xlpm.r, MATCH(1,('3. Enter Indicator Scores'!$B$10:$B$161=$B49)*('3. Enter Indicator Scores'!$C$10:$C$161=$C49),0),
  _xlpm.c, MATCH(BG$8,'3. Enter Indicator Scores'!$D$8:$CZ$8,0),
  _xlpm.v, IFERROR(INDEX('3. Enter Indicator Scores'!$D$10:$CZ$161,_xlpm.r,_xlpm.c),""),
  IF(OR(_xlpm.w="",_xlpm.v=""),"",_xlpm.v*_xlpm.w)
)</f>
        <v/>
      </c>
      <c r="BH49" s="93" t="str" cm="1">
        <f t="array" ref="BH49">_xlfn.LET(
  _xlpm.w, BH$11,
  _xlpm.r, MATCH(1,('3. Enter Indicator Scores'!$B$10:$B$161=$B49)*('3. Enter Indicator Scores'!$C$10:$C$161=$C49),0),
  _xlpm.c, MATCH(BH$8,'3. Enter Indicator Scores'!$D$8:$CZ$8,0),
  _xlpm.v, IFERROR(INDEX('3. Enter Indicator Scores'!$D$10:$CZ$161,_xlpm.r,_xlpm.c),""),
  IF(OR(_xlpm.w="",_xlpm.v=""),"",_xlpm.v*_xlpm.w)
)</f>
        <v/>
      </c>
      <c r="BI49" s="93" t="str" cm="1">
        <f t="array" ref="BI49">_xlfn.LET(
  _xlpm.w, BI$11,
  _xlpm.r, MATCH(1,('3. Enter Indicator Scores'!$B$10:$B$161=$B49)*('3. Enter Indicator Scores'!$C$10:$C$161=$C49),0),
  _xlpm.c, MATCH(BI$8,'3. Enter Indicator Scores'!$D$8:$CZ$8,0),
  _xlpm.v, IFERROR(INDEX('3. Enter Indicator Scores'!$D$10:$CZ$161,_xlpm.r,_xlpm.c),""),
  IF(OR(_xlpm.w="",_xlpm.v=""),"",_xlpm.v*_xlpm.w)
)</f>
        <v/>
      </c>
      <c r="BJ49" s="93" t="str" cm="1">
        <f t="array" ref="BJ49">_xlfn.LET(
  _xlpm.w, BJ$11,
  _xlpm.r, MATCH(1,('3. Enter Indicator Scores'!$B$10:$B$161=$B49)*('3. Enter Indicator Scores'!$C$10:$C$161=$C49),0),
  _xlpm.c, MATCH(BJ$8,'3. Enter Indicator Scores'!$D$8:$CZ$8,0),
  _xlpm.v, IFERROR(INDEX('3. Enter Indicator Scores'!$D$10:$CZ$161,_xlpm.r,_xlpm.c),""),
  IF(OR(_xlpm.w="",_xlpm.v=""),"",_xlpm.v*_xlpm.w)
)</f>
        <v/>
      </c>
      <c r="BK49" s="93" t="str" cm="1">
        <f t="array" ref="BK49">_xlfn.LET(
  _xlpm.w, BK$11,
  _xlpm.r, MATCH(1,('3. Enter Indicator Scores'!$B$10:$B$161=$B49)*('3. Enter Indicator Scores'!$C$10:$C$161=$C49),0),
  _xlpm.c, MATCH(BK$8,'3. Enter Indicator Scores'!$D$8:$CZ$8,0),
  _xlpm.v, IFERROR(INDEX('3. Enter Indicator Scores'!$D$10:$CZ$161,_xlpm.r,_xlpm.c),""),
  IF(OR(_xlpm.w="",_xlpm.v=""),"",_xlpm.v*_xlpm.w)
)</f>
        <v/>
      </c>
      <c r="BL49" s="93" t="str" cm="1">
        <f t="array" ref="BL49">_xlfn.LET(
  _xlpm.w, BL$11,
  _xlpm.r, MATCH(1,('3. Enter Indicator Scores'!$B$10:$B$161=$B49)*('3. Enter Indicator Scores'!$C$10:$C$161=$C49),0),
  _xlpm.c, MATCH(BL$8,'3. Enter Indicator Scores'!$D$8:$CZ$8,0),
  _xlpm.v, IFERROR(INDEX('3. Enter Indicator Scores'!$D$10:$CZ$161,_xlpm.r,_xlpm.c),""),
  IF(OR(_xlpm.w="",_xlpm.v=""),"",_xlpm.v*_xlpm.w)
)</f>
        <v/>
      </c>
      <c r="BM49" s="93" t="str" cm="1">
        <f t="array" ref="BM49">_xlfn.LET(
  _xlpm.w, BM$11,
  _xlpm.r, MATCH(1,('3. Enter Indicator Scores'!$B$10:$B$161=$B49)*('3. Enter Indicator Scores'!$C$10:$C$161=$C49),0),
  _xlpm.c, MATCH(BM$8,'3. Enter Indicator Scores'!$D$8:$CZ$8,0),
  _xlpm.v, IFERROR(INDEX('3. Enter Indicator Scores'!$D$10:$CZ$161,_xlpm.r,_xlpm.c),""),
  IF(OR(_xlpm.w="",_xlpm.v=""),"",_xlpm.v*_xlpm.w)
)</f>
        <v/>
      </c>
      <c r="BN49" s="93" t="str" cm="1">
        <f t="array" ref="BN49">_xlfn.LET(
  _xlpm.w, BN$11,
  _xlpm.r, MATCH(1,('3. Enter Indicator Scores'!$B$10:$B$161=$B49)*('3. Enter Indicator Scores'!$C$10:$C$161=$C49),0),
  _xlpm.c, MATCH(BN$8,'3. Enter Indicator Scores'!$D$8:$CZ$8,0),
  _xlpm.v, IFERROR(INDEX('3. Enter Indicator Scores'!$D$10:$CZ$161,_xlpm.r,_xlpm.c),""),
  IF(OR(_xlpm.w="",_xlpm.v=""),"",_xlpm.v*_xlpm.w)
)</f>
        <v/>
      </c>
      <c r="BO49" s="93" t="str" cm="1">
        <f t="array" ref="BO49">_xlfn.LET(
  _xlpm.w, BO$11,
  _xlpm.r, MATCH(1,('3. Enter Indicator Scores'!$B$10:$B$161=$B49)*('3. Enter Indicator Scores'!$C$10:$C$161=$C49),0),
  _xlpm.c, MATCH(BO$8,'3. Enter Indicator Scores'!$D$8:$CZ$8,0),
  _xlpm.v, IFERROR(INDEX('3. Enter Indicator Scores'!$D$10:$CZ$161,_xlpm.r,_xlpm.c),""),
  IF(OR(_xlpm.w="",_xlpm.v=""),"",_xlpm.v*_xlpm.w)
)</f>
        <v/>
      </c>
      <c r="BP49" s="93" t="str" cm="1">
        <f t="array" ref="BP49">_xlfn.LET(
  _xlpm.w, BP$11,
  _xlpm.r, MATCH(1,('3. Enter Indicator Scores'!$B$10:$B$161=$B49)*('3. Enter Indicator Scores'!$C$10:$C$161=$C49),0),
  _xlpm.c, MATCH(BP$8,'3. Enter Indicator Scores'!$D$8:$CZ$8,0),
  _xlpm.v, IFERROR(INDEX('3. Enter Indicator Scores'!$D$10:$CZ$161,_xlpm.r,_xlpm.c),""),
  IF(OR(_xlpm.w="",_xlpm.v=""),"",_xlpm.v*_xlpm.w)
)</f>
        <v/>
      </c>
      <c r="BQ49" s="93" t="str" cm="1">
        <f t="array" ref="BQ49">_xlfn.LET(
  _xlpm.w, BQ$11,
  _xlpm.r, MATCH(1,('3. Enter Indicator Scores'!$B$10:$B$161=$B49)*('3. Enter Indicator Scores'!$C$10:$C$161=$C49),0),
  _xlpm.c, MATCH(BQ$8,'3. Enter Indicator Scores'!$D$8:$CZ$8,0),
  _xlpm.v, IFERROR(INDEX('3. Enter Indicator Scores'!$D$10:$CZ$161,_xlpm.r,_xlpm.c),""),
  IF(OR(_xlpm.w="",_xlpm.v=""),"",_xlpm.v*_xlpm.w)
)</f>
        <v/>
      </c>
      <c r="BR49" s="93" t="str" cm="1">
        <f t="array" ref="BR49">_xlfn.LET(
  _xlpm.w, BR$11,
  _xlpm.r, MATCH(1,('3. Enter Indicator Scores'!$B$10:$B$161=$B49)*('3. Enter Indicator Scores'!$C$10:$C$161=$C49),0),
  _xlpm.c, MATCH(BR$8,'3. Enter Indicator Scores'!$D$8:$CZ$8,0),
  _xlpm.v, IFERROR(INDEX('3. Enter Indicator Scores'!$D$10:$CZ$161,_xlpm.r,_xlpm.c),""),
  IF(OR(_xlpm.w="",_xlpm.v=""),"",_xlpm.v*_xlpm.w)
)</f>
        <v/>
      </c>
      <c r="BS49" s="93" t="str" cm="1">
        <f t="array" ref="BS49">_xlfn.LET(
  _xlpm.w, BS$11,
  _xlpm.r, MATCH(1,('3. Enter Indicator Scores'!$B$10:$B$161=$B49)*('3. Enter Indicator Scores'!$C$10:$C$161=$C49),0),
  _xlpm.c, MATCH(BS$8,'3. Enter Indicator Scores'!$D$8:$CZ$8,0),
  _xlpm.v, IFERROR(INDEX('3. Enter Indicator Scores'!$D$10:$CZ$161,_xlpm.r,_xlpm.c),""),
  IF(OR(_xlpm.w="",_xlpm.v=""),"",_xlpm.v*_xlpm.w)
)</f>
        <v/>
      </c>
      <c r="BT49" s="93" t="str" cm="1">
        <f t="array" ref="BT49">_xlfn.LET(
  _xlpm.w, BT$11,
  _xlpm.r, MATCH(1,('3. Enter Indicator Scores'!$B$10:$B$161=$B49)*('3. Enter Indicator Scores'!$C$10:$C$161=$C49),0),
  _xlpm.c, MATCH(BT$8,'3. Enter Indicator Scores'!$D$8:$CZ$8,0),
  _xlpm.v, IFERROR(INDEX('3. Enter Indicator Scores'!$D$10:$CZ$161,_xlpm.r,_xlpm.c),""),
  IF(OR(_xlpm.w="",_xlpm.v=""),"",_xlpm.v*_xlpm.w)
)</f>
        <v/>
      </c>
      <c r="BU49" s="93" t="str" cm="1">
        <f t="array" ref="BU49">_xlfn.LET(
  _xlpm.w, BU$11,
  _xlpm.r, MATCH(1,('3. Enter Indicator Scores'!$B$10:$B$161=$B49)*('3. Enter Indicator Scores'!$C$10:$C$161=$C49),0),
  _xlpm.c, MATCH(BU$8,'3. Enter Indicator Scores'!$D$8:$CZ$8,0),
  _xlpm.v, IFERROR(INDEX('3. Enter Indicator Scores'!$D$10:$CZ$161,_xlpm.r,_xlpm.c),""),
  IF(OR(_xlpm.w="",_xlpm.v=""),"",_xlpm.v*_xlpm.w)
)</f>
        <v/>
      </c>
      <c r="BV49" s="93" t="str" cm="1">
        <f t="array" ref="BV49">_xlfn.LET(
  _xlpm.w, BV$11,
  _xlpm.r, MATCH(1,('3. Enter Indicator Scores'!$B$10:$B$161=$B49)*('3. Enter Indicator Scores'!$C$10:$C$161=$C49),0),
  _xlpm.c, MATCH(BV$8,'3. Enter Indicator Scores'!$D$8:$CZ$8,0),
  _xlpm.v, IFERROR(INDEX('3. Enter Indicator Scores'!$D$10:$CZ$161,_xlpm.r,_xlpm.c),""),
  IF(OR(_xlpm.w="",_xlpm.v=""),"",_xlpm.v*_xlpm.w)
)</f>
        <v/>
      </c>
      <c r="BW49" s="93" t="str" cm="1">
        <f t="array" ref="BW49">_xlfn.LET(
  _xlpm.w, BW$11,
  _xlpm.r, MATCH(1,('3. Enter Indicator Scores'!$B$10:$B$161=$B49)*('3. Enter Indicator Scores'!$C$10:$C$161=$C49),0),
  _xlpm.c, MATCH(BW$8,'3. Enter Indicator Scores'!$D$8:$CZ$8,0),
  _xlpm.v, IFERROR(INDEX('3. Enter Indicator Scores'!$D$10:$CZ$161,_xlpm.r,_xlpm.c),""),
  IF(OR(_xlpm.w="",_xlpm.v=""),"",_xlpm.v*_xlpm.w)
)</f>
        <v/>
      </c>
      <c r="BX49" s="93" t="str" cm="1">
        <f t="array" ref="BX49">_xlfn.LET(
  _xlpm.w, BX$11,
  _xlpm.r, MATCH(1,('3. Enter Indicator Scores'!$B$10:$B$161=$B49)*('3. Enter Indicator Scores'!$C$10:$C$161=$C49),0),
  _xlpm.c, MATCH(BX$8,'3. Enter Indicator Scores'!$D$8:$CZ$8,0),
  _xlpm.v, IFERROR(INDEX('3. Enter Indicator Scores'!$D$10:$CZ$161,_xlpm.r,_xlpm.c),""),
  IF(OR(_xlpm.w="",_xlpm.v=""),"",_xlpm.v*_xlpm.w)
)</f>
        <v/>
      </c>
      <c r="BY49" s="93" t="str" cm="1">
        <f t="array" ref="BY49">_xlfn.LET(
  _xlpm.w, BY$11,
  _xlpm.r, MATCH(1,('3. Enter Indicator Scores'!$B$10:$B$161=$B49)*('3. Enter Indicator Scores'!$C$10:$C$161=$C49),0),
  _xlpm.c, MATCH(BY$8,'3. Enter Indicator Scores'!$D$8:$CZ$8,0),
  _xlpm.v, IFERROR(INDEX('3. Enter Indicator Scores'!$D$10:$CZ$161,_xlpm.r,_xlpm.c),""),
  IF(OR(_xlpm.w="",_xlpm.v=""),"",_xlpm.v*_xlpm.w)
)</f>
        <v/>
      </c>
      <c r="BZ49" s="93" t="str" cm="1">
        <f t="array" ref="BZ49">_xlfn.LET(
  _xlpm.w, BZ$11,
  _xlpm.r, MATCH(1,('3. Enter Indicator Scores'!$B$10:$B$161=$B49)*('3. Enter Indicator Scores'!$C$10:$C$161=$C49),0),
  _xlpm.c, MATCH(BZ$8,'3. Enter Indicator Scores'!$D$8:$CZ$8,0),
  _xlpm.v, IFERROR(INDEX('3. Enter Indicator Scores'!$D$10:$CZ$161,_xlpm.r,_xlpm.c),""),
  IF(OR(_xlpm.w="",_xlpm.v=""),"",_xlpm.v*_xlpm.w)
)</f>
        <v/>
      </c>
      <c r="CA49" s="93" t="str" cm="1">
        <f t="array" ref="CA49">_xlfn.LET(
  _xlpm.w, CA$11,
  _xlpm.r, MATCH(1,('3. Enter Indicator Scores'!$B$10:$B$161=$B49)*('3. Enter Indicator Scores'!$C$10:$C$161=$C49),0),
  _xlpm.c, MATCH(CA$8,'3. Enter Indicator Scores'!$D$8:$CZ$8,0),
  _xlpm.v, IFERROR(INDEX('3. Enter Indicator Scores'!$D$10:$CZ$161,_xlpm.r,_xlpm.c),""),
  IF(OR(_xlpm.w="",_xlpm.v=""),"",_xlpm.v*_xlpm.w)
)</f>
        <v/>
      </c>
      <c r="CB49" s="93" t="str" cm="1">
        <f t="array" ref="CB49">_xlfn.LET(
  _xlpm.w, CB$11,
  _xlpm.r, MATCH(1,('3. Enter Indicator Scores'!$B$10:$B$161=$B49)*('3. Enter Indicator Scores'!$C$10:$C$161=$C49),0),
  _xlpm.c, MATCH(CB$8,'3. Enter Indicator Scores'!$D$8:$CZ$8,0),
  _xlpm.v, IFERROR(INDEX('3. Enter Indicator Scores'!$D$10:$CZ$161,_xlpm.r,_xlpm.c),""),
  IF(OR(_xlpm.w="",_xlpm.v=""),"",_xlpm.v*_xlpm.w)
)</f>
        <v/>
      </c>
      <c r="CC49" s="93" t="str" cm="1">
        <f t="array" ref="CC49">_xlfn.LET(
  _xlpm.w, CC$11,
  _xlpm.r, MATCH(1,('3. Enter Indicator Scores'!$B$10:$B$161=$B49)*('3. Enter Indicator Scores'!$C$10:$C$161=$C49),0),
  _xlpm.c, MATCH(CC$8,'3. Enter Indicator Scores'!$D$8:$CZ$8,0),
  _xlpm.v, IFERROR(INDEX('3. Enter Indicator Scores'!$D$10:$CZ$161,_xlpm.r,_xlpm.c),""),
  IF(OR(_xlpm.w="",_xlpm.v=""),"",_xlpm.v*_xlpm.w)
)</f>
        <v/>
      </c>
      <c r="CD49" s="93" t="str" cm="1">
        <f t="array" ref="CD49">_xlfn.LET(
  _xlpm.w, CD$11,
  _xlpm.r, MATCH(1,('3. Enter Indicator Scores'!$B$10:$B$161=$B49)*('3. Enter Indicator Scores'!$C$10:$C$161=$C49),0),
  _xlpm.c, MATCH(CD$8,'3. Enter Indicator Scores'!$D$8:$CZ$8,0),
  _xlpm.v, IFERROR(INDEX('3. Enter Indicator Scores'!$D$10:$CZ$161,_xlpm.r,_xlpm.c),""),
  IF(OR(_xlpm.w="",_xlpm.v=""),"",_xlpm.v*_xlpm.w)
)</f>
        <v/>
      </c>
      <c r="CE49" s="93" t="str" cm="1">
        <f t="array" ref="CE49">_xlfn.LET(
  _xlpm.w, CE$11,
  _xlpm.r, MATCH(1,('3. Enter Indicator Scores'!$B$10:$B$161=$B49)*('3. Enter Indicator Scores'!$C$10:$C$161=$C49),0),
  _xlpm.c, MATCH(CE$8,'3. Enter Indicator Scores'!$D$8:$CZ$8,0),
  _xlpm.v, IFERROR(INDEX('3. Enter Indicator Scores'!$D$10:$CZ$161,_xlpm.r,_xlpm.c),""),
  IF(OR(_xlpm.w="",_xlpm.v=""),"",_xlpm.v*_xlpm.w)
)</f>
        <v/>
      </c>
      <c r="CF49" s="93" t="str" cm="1">
        <f t="array" ref="CF49">_xlfn.LET(
  _xlpm.w, CF$11,
  _xlpm.r, MATCH(1,('3. Enter Indicator Scores'!$B$10:$B$161=$B49)*('3. Enter Indicator Scores'!$C$10:$C$161=$C49),0),
  _xlpm.c, MATCH(CF$8,'3. Enter Indicator Scores'!$D$8:$CZ$8,0),
  _xlpm.v, IFERROR(INDEX('3. Enter Indicator Scores'!$D$10:$CZ$161,_xlpm.r,_xlpm.c),""),
  IF(OR(_xlpm.w="",_xlpm.v=""),"",_xlpm.v*_xlpm.w)
)</f>
        <v/>
      </c>
      <c r="CG49" s="93" t="str" cm="1">
        <f t="array" ref="CG49">_xlfn.LET(
  _xlpm.w, CG$11,
  _xlpm.r, MATCH(1,('3. Enter Indicator Scores'!$B$10:$B$161=$B49)*('3. Enter Indicator Scores'!$C$10:$C$161=$C49),0),
  _xlpm.c, MATCH(CG$8,'3. Enter Indicator Scores'!$D$8:$CZ$8,0),
  _xlpm.v, IFERROR(INDEX('3. Enter Indicator Scores'!$D$10:$CZ$161,_xlpm.r,_xlpm.c),""),
  IF(OR(_xlpm.w="",_xlpm.v=""),"",_xlpm.v*_xlpm.w)
)</f>
        <v/>
      </c>
      <c r="CH49" s="93" t="str" cm="1">
        <f t="array" ref="CH49">_xlfn.LET(
  _xlpm.w, CH$11,
  _xlpm.r, MATCH(1,('3. Enter Indicator Scores'!$B$10:$B$161=$B49)*('3. Enter Indicator Scores'!$C$10:$C$161=$C49),0),
  _xlpm.c, MATCH(CH$8,'3. Enter Indicator Scores'!$D$8:$CZ$8,0),
  _xlpm.v, IFERROR(INDEX('3. Enter Indicator Scores'!$D$10:$CZ$161,_xlpm.r,_xlpm.c),""),
  IF(OR(_xlpm.w="",_xlpm.v=""),"",_xlpm.v*_xlpm.w)
)</f>
        <v/>
      </c>
      <c r="CI49" s="93" t="str" cm="1">
        <f t="array" ref="CI49">_xlfn.LET(
  _xlpm.w, CI$11,
  _xlpm.r, MATCH(1,('3. Enter Indicator Scores'!$B$10:$B$161=$B49)*('3. Enter Indicator Scores'!$C$10:$C$161=$C49),0),
  _xlpm.c, MATCH(CI$8,'3. Enter Indicator Scores'!$D$8:$CZ$8,0),
  _xlpm.v, IFERROR(INDEX('3. Enter Indicator Scores'!$D$10:$CZ$161,_xlpm.r,_xlpm.c),""),
  IF(OR(_xlpm.w="",_xlpm.v=""),"",_xlpm.v*_xlpm.w)
)</f>
        <v/>
      </c>
      <c r="CJ49" s="93" t="str" cm="1">
        <f t="array" ref="CJ49">_xlfn.LET(
  _xlpm.w, CJ$11,
  _xlpm.r, MATCH(1,('3. Enter Indicator Scores'!$B$10:$B$161=$B49)*('3. Enter Indicator Scores'!$C$10:$C$161=$C49),0),
  _xlpm.c, MATCH(CJ$8,'3. Enter Indicator Scores'!$D$8:$CZ$8,0),
  _xlpm.v, IFERROR(INDEX('3. Enter Indicator Scores'!$D$10:$CZ$161,_xlpm.r,_xlpm.c),""),
  IF(OR(_xlpm.w="",_xlpm.v=""),"",_xlpm.v*_xlpm.w)
)</f>
        <v/>
      </c>
      <c r="CK49" s="93" t="str" cm="1">
        <f t="array" ref="CK49">_xlfn.LET(
  _xlpm.w, CK$11,
  _xlpm.r, MATCH(1,('3. Enter Indicator Scores'!$B$10:$B$161=$B49)*('3. Enter Indicator Scores'!$C$10:$C$161=$C49),0),
  _xlpm.c, MATCH(CK$8,'3. Enter Indicator Scores'!$D$8:$CZ$8,0),
  _xlpm.v, IFERROR(INDEX('3. Enter Indicator Scores'!$D$10:$CZ$161,_xlpm.r,_xlpm.c),""),
  IF(OR(_xlpm.w="",_xlpm.v=""),"",_xlpm.v*_xlpm.w)
)</f>
        <v/>
      </c>
      <c r="CL49" s="93" t="str" cm="1">
        <f t="array" ref="CL49">_xlfn.LET(
  _xlpm.w, CL$11,
  _xlpm.r, MATCH(1,('3. Enter Indicator Scores'!$B$10:$B$161=$B49)*('3. Enter Indicator Scores'!$C$10:$C$161=$C49),0),
  _xlpm.c, MATCH(CL$8,'3. Enter Indicator Scores'!$D$8:$CZ$8,0),
  _xlpm.v, IFERROR(INDEX('3. Enter Indicator Scores'!$D$10:$CZ$161,_xlpm.r,_xlpm.c),""),
  IF(OR(_xlpm.w="",_xlpm.v=""),"",_xlpm.v*_xlpm.w)
)</f>
        <v/>
      </c>
      <c r="CM49" s="93" t="str" cm="1">
        <f t="array" ref="CM49">_xlfn.LET(
  _xlpm.w, CM$11,
  _xlpm.r, MATCH(1,('3. Enter Indicator Scores'!$B$10:$B$161=$B49)*('3. Enter Indicator Scores'!$C$10:$C$161=$C49),0),
  _xlpm.c, MATCH(CM$8,'3. Enter Indicator Scores'!$D$8:$CZ$8,0),
  _xlpm.v, IFERROR(INDEX('3. Enter Indicator Scores'!$D$10:$CZ$161,_xlpm.r,_xlpm.c),""),
  IF(OR(_xlpm.w="",_xlpm.v=""),"",_xlpm.v*_xlpm.w)
)</f>
        <v/>
      </c>
      <c r="CN49" s="93" t="str" cm="1">
        <f t="array" ref="CN49">_xlfn.LET(
  _xlpm.w, CN$11,
  _xlpm.r, MATCH(1,('3. Enter Indicator Scores'!$B$10:$B$161=$B49)*('3. Enter Indicator Scores'!$C$10:$C$161=$C49),0),
  _xlpm.c, MATCH(CN$8,'3. Enter Indicator Scores'!$D$8:$CZ$8,0),
  _xlpm.v, IFERROR(INDEX('3. Enter Indicator Scores'!$D$10:$CZ$161,_xlpm.r,_xlpm.c),""),
  IF(OR(_xlpm.w="",_xlpm.v=""),"",_xlpm.v*_xlpm.w)
)</f>
        <v/>
      </c>
      <c r="CO49" s="93" t="str" cm="1">
        <f t="array" ref="CO49">_xlfn.LET(
  _xlpm.w, CO$11,
  _xlpm.r, MATCH(1,('3. Enter Indicator Scores'!$B$10:$B$161=$B49)*('3. Enter Indicator Scores'!$C$10:$C$161=$C49),0),
  _xlpm.c, MATCH(CO$8,'3. Enter Indicator Scores'!$D$8:$CZ$8,0),
  _xlpm.v, IFERROR(INDEX('3. Enter Indicator Scores'!$D$10:$CZ$161,_xlpm.r,_xlpm.c),""),
  IF(OR(_xlpm.w="",_xlpm.v=""),"",_xlpm.v*_xlpm.w)
)</f>
        <v/>
      </c>
      <c r="CP49" s="93" t="str" cm="1">
        <f t="array" ref="CP49">_xlfn.LET(
  _xlpm.w, CP$11,
  _xlpm.r, MATCH(1,('3. Enter Indicator Scores'!$B$10:$B$161=$B49)*('3. Enter Indicator Scores'!$C$10:$C$161=$C49),0),
  _xlpm.c, MATCH(CP$8,'3. Enter Indicator Scores'!$D$8:$CZ$8,0),
  _xlpm.v, IFERROR(INDEX('3. Enter Indicator Scores'!$D$10:$CZ$161,_xlpm.r,_xlpm.c),""),
  IF(OR(_xlpm.w="",_xlpm.v=""),"",_xlpm.v*_xlpm.w)
)</f>
        <v/>
      </c>
      <c r="CQ49" s="93" t="str" cm="1">
        <f t="array" ref="CQ49">_xlfn.LET(
  _xlpm.w, CQ$11,
  _xlpm.r, MATCH(1,('3. Enter Indicator Scores'!$B$10:$B$161=$B49)*('3. Enter Indicator Scores'!$C$10:$C$161=$C49),0),
  _xlpm.c, MATCH(CQ$8,'3. Enter Indicator Scores'!$D$8:$CZ$8,0),
  _xlpm.v, IFERROR(INDEX('3. Enter Indicator Scores'!$D$10:$CZ$161,_xlpm.r,_xlpm.c),""),
  IF(OR(_xlpm.w="",_xlpm.v=""),"",_xlpm.v*_xlpm.w)
)</f>
        <v/>
      </c>
      <c r="CR49" s="93" t="str" cm="1">
        <f t="array" ref="CR49">_xlfn.LET(
  _xlpm.w, CR$11,
  _xlpm.r, MATCH(1,('3. Enter Indicator Scores'!$B$10:$B$161=$B49)*('3. Enter Indicator Scores'!$C$10:$C$161=$C49),0),
  _xlpm.c, MATCH(CR$8,'3. Enter Indicator Scores'!$D$8:$CZ$8,0),
  _xlpm.v, IFERROR(INDEX('3. Enter Indicator Scores'!$D$10:$CZ$161,_xlpm.r,_xlpm.c),""),
  IF(OR(_xlpm.w="",_xlpm.v=""),"",_xlpm.v*_xlpm.w)
)</f>
        <v/>
      </c>
      <c r="CS49" s="93" t="str" cm="1">
        <f t="array" ref="CS49">_xlfn.LET(
  _xlpm.w, CS$11,
  _xlpm.r, MATCH(1,('3. Enter Indicator Scores'!$B$10:$B$161=$B49)*('3. Enter Indicator Scores'!$C$10:$C$161=$C49),0),
  _xlpm.c, MATCH(CS$8,'3. Enter Indicator Scores'!$D$8:$CZ$8,0),
  _xlpm.v, IFERROR(INDEX('3. Enter Indicator Scores'!$D$10:$CZ$161,_xlpm.r,_xlpm.c),""),
  IF(OR(_xlpm.w="",_xlpm.v=""),"",_xlpm.v*_xlpm.w)
)</f>
        <v/>
      </c>
      <c r="CT49" s="93" t="str" cm="1">
        <f t="array" ref="CT49">_xlfn.LET(
  _xlpm.w, CT$11,
  _xlpm.r, MATCH(1,('3. Enter Indicator Scores'!$B$10:$B$161=$B49)*('3. Enter Indicator Scores'!$C$10:$C$161=$C49),0),
  _xlpm.c, MATCH(CT$8,'3. Enter Indicator Scores'!$D$8:$CZ$8,0),
  _xlpm.v, IFERROR(INDEX('3. Enter Indicator Scores'!$D$10:$CZ$161,_xlpm.r,_xlpm.c),""),
  IF(OR(_xlpm.w="",_xlpm.v=""),"",_xlpm.v*_xlpm.w)
)</f>
        <v/>
      </c>
      <c r="CU49" s="93" t="str" cm="1">
        <f t="array" ref="CU49">_xlfn.LET(
  _xlpm.w, CU$11,
  _xlpm.r, MATCH(1,('3. Enter Indicator Scores'!$B$10:$B$161=$B49)*('3. Enter Indicator Scores'!$C$10:$C$161=$C49),0),
  _xlpm.c, MATCH(CU$8,'3. Enter Indicator Scores'!$D$8:$CZ$8,0),
  _xlpm.v, IFERROR(INDEX('3. Enter Indicator Scores'!$D$10:$CZ$161,_xlpm.r,_xlpm.c),""),
  IF(OR(_xlpm.w="",_xlpm.v=""),"",_xlpm.v*_xlpm.w)
)</f>
        <v/>
      </c>
      <c r="CV49" s="93" t="str" cm="1">
        <f t="array" ref="CV49">_xlfn.LET(
  _xlpm.w, CV$11,
  _xlpm.r, MATCH(1,('3. Enter Indicator Scores'!$B$10:$B$161=$B49)*('3. Enter Indicator Scores'!$C$10:$C$161=$C49),0),
  _xlpm.c, MATCH(CV$8,'3. Enter Indicator Scores'!$D$8:$CZ$8,0),
  _xlpm.v, IFERROR(INDEX('3. Enter Indicator Scores'!$D$10:$CZ$161,_xlpm.r,_xlpm.c),""),
  IF(OR(_xlpm.w="",_xlpm.v=""),"",_xlpm.v*_xlpm.w)
)</f>
        <v/>
      </c>
      <c r="CW49" s="93" t="str" cm="1">
        <f t="array" ref="CW49">_xlfn.LET(
  _xlpm.w, CW$11,
  _xlpm.r, MATCH(1,('3. Enter Indicator Scores'!$B$10:$B$161=$B49)*('3. Enter Indicator Scores'!$C$10:$C$161=$C49),0),
  _xlpm.c, MATCH(CW$8,'3. Enter Indicator Scores'!$D$8:$CZ$8,0),
  _xlpm.v, IFERROR(INDEX('3. Enter Indicator Scores'!$D$10:$CZ$161,_xlpm.r,_xlpm.c),""),
  IF(OR(_xlpm.w="",_xlpm.v=""),"",_xlpm.v*_xlpm.w)
)</f>
        <v/>
      </c>
      <c r="CX49" s="93" t="str" cm="1">
        <f t="array" ref="CX49">_xlfn.LET(
  _xlpm.w, CX$11,
  _xlpm.r, MATCH(1,('3. Enter Indicator Scores'!$B$10:$B$161=$B49)*('3. Enter Indicator Scores'!$C$10:$C$161=$C49),0),
  _xlpm.c, MATCH(CX$8,'3. Enter Indicator Scores'!$D$8:$CZ$8,0),
  _xlpm.v, IFERROR(INDEX('3. Enter Indicator Scores'!$D$10:$CZ$161,_xlpm.r,_xlpm.c),""),
  IF(OR(_xlpm.w="",_xlpm.v=""),"",_xlpm.v*_xlpm.w)
)</f>
        <v/>
      </c>
      <c r="CY49" s="93" t="str" cm="1">
        <f t="array" ref="CY49">_xlfn.LET(
  _xlpm.w, CY$11,
  _xlpm.r, MATCH(1,('3. Enter Indicator Scores'!$B$10:$B$161=$B49)*('3. Enter Indicator Scores'!$C$10:$C$161=$C49),0),
  _xlpm.c, MATCH(CY$8,'3. Enter Indicator Scores'!$D$8:$CZ$8,0),
  _xlpm.v, IFERROR(INDEX('3. Enter Indicator Scores'!$D$10:$CZ$161,_xlpm.r,_xlpm.c),""),
  IF(OR(_xlpm.w="",_xlpm.v=""),"",_xlpm.v*_xlpm.w)
)</f>
        <v/>
      </c>
      <c r="CZ49" s="93" t="str" cm="1">
        <f t="array" ref="CZ49">_xlfn.LET(
  _xlpm.w, CZ$11,
  _xlpm.r, MATCH(1,('3. Enter Indicator Scores'!$B$10:$B$161=$B49)*('3. Enter Indicator Scores'!$C$10:$C$161=$C49),0),
  _xlpm.c, MATCH(CZ$8,'3. Enter Indicator Scores'!$D$8:$CZ$8,0),
  _xlpm.v, IFERROR(INDEX('3. Enter Indicator Scores'!$D$10:$CZ$161,_xlpm.r,_xlpm.c),""),
  IF(OR(_xlpm.w="",_xlpm.v=""),"",_xlpm.v*_xlpm.w)
)</f>
        <v/>
      </c>
    </row>
    <row r="50" spans="4:104" x14ac:dyDescent="0.2">
      <c r="D50" s="93" t="str" cm="1">
        <f t="array" ref="D50">_xlfn.LET(
  _xlpm.w, D$11,
  _xlpm.r, MATCH(1,('3. Enter Indicator Scores'!$B$10:$B$161=$B50)*('3. Enter Indicator Scores'!$C$10:$C$161=$C50),0),
  _xlpm.c, MATCH(D$8,'3. Enter Indicator Scores'!$D$8:$CZ$8,0),
  _xlpm.v, IFERROR(INDEX('3. Enter Indicator Scores'!$D$10:$CZ$161,_xlpm.r,_xlpm.c),""),
  IF(OR(_xlpm.w="",_xlpm.v=""),"",_xlpm.v*_xlpm.w)
)</f>
        <v/>
      </c>
      <c r="E50" s="93" t="str" cm="1">
        <f t="array" ref="E50">_xlfn.LET(
  _xlpm.w, E$11,
  _xlpm.r, MATCH(1,('3. Enter Indicator Scores'!$B$10:$B$161=$B50)*('3. Enter Indicator Scores'!$C$10:$C$161=$C50),0),
  _xlpm.c, MATCH(E$8,'3. Enter Indicator Scores'!$D$8:$CZ$8,0),
  _xlpm.v, IFERROR(INDEX('3. Enter Indicator Scores'!$D$10:$CZ$161,_xlpm.r,_xlpm.c),""),
  IF(OR(_xlpm.w="",_xlpm.v=""),"",_xlpm.v*_xlpm.w)
)</f>
        <v/>
      </c>
      <c r="F50" s="93" t="str" cm="1">
        <f t="array" ref="F50">_xlfn.LET(
  _xlpm.w, F$11,
  _xlpm.r, MATCH(1,('3. Enter Indicator Scores'!$B$10:$B$161=$B50)*('3. Enter Indicator Scores'!$C$10:$C$161=$C50),0),
  _xlpm.c, MATCH(F$8,'3. Enter Indicator Scores'!$D$8:$CZ$8,0),
  _xlpm.v, IFERROR(INDEX('3. Enter Indicator Scores'!$D$10:$CZ$161,_xlpm.r,_xlpm.c),""),
  IF(OR(_xlpm.w="",_xlpm.v=""),"",_xlpm.v*_xlpm.w)
)</f>
        <v/>
      </c>
      <c r="G50" s="93" t="str" cm="1">
        <f t="array" ref="G50">_xlfn.LET(
  _xlpm.w, G$11,
  _xlpm.r, MATCH(1,('3. Enter Indicator Scores'!$B$10:$B$161=$B50)*('3. Enter Indicator Scores'!$C$10:$C$161=$C50),0),
  _xlpm.c, MATCH(G$8,'3. Enter Indicator Scores'!$D$8:$CZ$8,0),
  _xlpm.v, IFERROR(INDEX('3. Enter Indicator Scores'!$D$10:$CZ$161,_xlpm.r,_xlpm.c),""),
  IF(OR(_xlpm.w="",_xlpm.v=""),"",_xlpm.v*_xlpm.w)
)</f>
        <v/>
      </c>
      <c r="H50" s="93" t="str" cm="1">
        <f t="array" ref="H50">_xlfn.LET(
  _xlpm.w, H$11,
  _xlpm.r, MATCH(1,('3. Enter Indicator Scores'!$B$10:$B$161=$B50)*('3. Enter Indicator Scores'!$C$10:$C$161=$C50),0),
  _xlpm.c, MATCH(H$8,'3. Enter Indicator Scores'!$D$8:$CZ$8,0),
  _xlpm.v, IFERROR(INDEX('3. Enter Indicator Scores'!$D$10:$CZ$161,_xlpm.r,_xlpm.c),""),
  IF(OR(_xlpm.w="",_xlpm.v=""),"",_xlpm.v*_xlpm.w)
)</f>
        <v/>
      </c>
      <c r="I50" s="93" t="str" cm="1">
        <f t="array" ref="I50">_xlfn.LET(
  _xlpm.w, I$11,
  _xlpm.r, MATCH(1,('3. Enter Indicator Scores'!$B$10:$B$161=$B50)*('3. Enter Indicator Scores'!$C$10:$C$161=$C50),0),
  _xlpm.c, MATCH(I$8,'3. Enter Indicator Scores'!$D$8:$CZ$8,0),
  _xlpm.v, IFERROR(INDEX('3. Enter Indicator Scores'!$D$10:$CZ$161,_xlpm.r,_xlpm.c),""),
  IF(OR(_xlpm.w="",_xlpm.v=""),"",_xlpm.v*_xlpm.w)
)</f>
        <v/>
      </c>
      <c r="J50" s="93" t="str" cm="1">
        <f t="array" ref="J50">_xlfn.LET(
  _xlpm.w, J$11,
  _xlpm.r, MATCH(1,('3. Enter Indicator Scores'!$B$10:$B$161=$B50)*('3. Enter Indicator Scores'!$C$10:$C$161=$C50),0),
  _xlpm.c, MATCH(J$8,'3. Enter Indicator Scores'!$D$8:$CZ$8,0),
  _xlpm.v, IFERROR(INDEX('3. Enter Indicator Scores'!$D$10:$CZ$161,_xlpm.r,_xlpm.c),""),
  IF(OR(_xlpm.w="",_xlpm.v=""),"",_xlpm.v*_xlpm.w)
)</f>
        <v/>
      </c>
      <c r="K50" s="93" t="str" cm="1">
        <f t="array" ref="K50">_xlfn.LET(
  _xlpm.w, K$11,
  _xlpm.r, MATCH(1,('3. Enter Indicator Scores'!$B$10:$B$161=$B50)*('3. Enter Indicator Scores'!$C$10:$C$161=$C50),0),
  _xlpm.c, MATCH(K$8,'3. Enter Indicator Scores'!$D$8:$CZ$8,0),
  _xlpm.v, IFERROR(INDEX('3. Enter Indicator Scores'!$D$10:$CZ$161,_xlpm.r,_xlpm.c),""),
  IF(OR(_xlpm.w="",_xlpm.v=""),"",_xlpm.v*_xlpm.w)
)</f>
        <v/>
      </c>
      <c r="L50" s="93" t="str" cm="1">
        <f t="array" ref="L50">_xlfn.LET(
  _xlpm.w, L$11,
  _xlpm.r, MATCH(1,('3. Enter Indicator Scores'!$B$10:$B$161=$B50)*('3. Enter Indicator Scores'!$C$10:$C$161=$C50),0),
  _xlpm.c, MATCH(L$8,'3. Enter Indicator Scores'!$D$8:$CZ$8,0),
  _xlpm.v, IFERROR(INDEX('3. Enter Indicator Scores'!$D$10:$CZ$161,_xlpm.r,_xlpm.c),""),
  IF(OR(_xlpm.w="",_xlpm.v=""),"",_xlpm.v*_xlpm.w)
)</f>
        <v/>
      </c>
      <c r="M50" s="93" t="str" cm="1">
        <f t="array" ref="M50">_xlfn.LET(
  _xlpm.w, M$11,
  _xlpm.r, MATCH(1,('3. Enter Indicator Scores'!$B$10:$B$161=$B50)*('3. Enter Indicator Scores'!$C$10:$C$161=$C50),0),
  _xlpm.c, MATCH(M$8,'3. Enter Indicator Scores'!$D$8:$CZ$8,0),
  _xlpm.v, IFERROR(INDEX('3. Enter Indicator Scores'!$D$10:$CZ$161,_xlpm.r,_xlpm.c),""),
  IF(OR(_xlpm.w="",_xlpm.v=""),"",_xlpm.v*_xlpm.w)
)</f>
        <v/>
      </c>
      <c r="N50" s="93" t="str" cm="1">
        <f t="array" ref="N50">_xlfn.LET(
  _xlpm.w, N$11,
  _xlpm.r, MATCH(1,('3. Enter Indicator Scores'!$B$10:$B$161=$B50)*('3. Enter Indicator Scores'!$C$10:$C$161=$C50),0),
  _xlpm.c, MATCH(N$8,'3. Enter Indicator Scores'!$D$8:$CZ$8,0),
  _xlpm.v, IFERROR(INDEX('3. Enter Indicator Scores'!$D$10:$CZ$161,_xlpm.r,_xlpm.c),""),
  IF(OR(_xlpm.w="",_xlpm.v=""),"",_xlpm.v*_xlpm.w)
)</f>
        <v/>
      </c>
      <c r="O50" s="93" t="str" cm="1">
        <f t="array" ref="O50">_xlfn.LET(
  _xlpm.w, O$11,
  _xlpm.r, MATCH(1,('3. Enter Indicator Scores'!$B$10:$B$161=$B50)*('3. Enter Indicator Scores'!$C$10:$C$161=$C50),0),
  _xlpm.c, MATCH(O$8,'3. Enter Indicator Scores'!$D$8:$CZ$8,0),
  _xlpm.v, IFERROR(INDEX('3. Enter Indicator Scores'!$D$10:$CZ$161,_xlpm.r,_xlpm.c),""),
  IF(OR(_xlpm.w="",_xlpm.v=""),"",_xlpm.v*_xlpm.w)
)</f>
        <v/>
      </c>
      <c r="P50" s="93" t="str" cm="1">
        <f t="array" ref="P50">_xlfn.LET(
  _xlpm.w, P$11,
  _xlpm.r, MATCH(1,('3. Enter Indicator Scores'!$B$10:$B$161=$B50)*('3. Enter Indicator Scores'!$C$10:$C$161=$C50),0),
  _xlpm.c, MATCH(P$8,'3. Enter Indicator Scores'!$D$8:$CZ$8,0),
  _xlpm.v, IFERROR(INDEX('3. Enter Indicator Scores'!$D$10:$CZ$161,_xlpm.r,_xlpm.c),""),
  IF(OR(_xlpm.w="",_xlpm.v=""),"",_xlpm.v*_xlpm.w)
)</f>
        <v/>
      </c>
      <c r="Q50" s="93" t="str" cm="1">
        <f t="array" ref="Q50">_xlfn.LET(
  _xlpm.w, Q$11,
  _xlpm.r, MATCH(1,('3. Enter Indicator Scores'!$B$10:$B$161=$B50)*('3. Enter Indicator Scores'!$C$10:$C$161=$C50),0),
  _xlpm.c, MATCH(Q$8,'3. Enter Indicator Scores'!$D$8:$CZ$8,0),
  _xlpm.v, IFERROR(INDEX('3. Enter Indicator Scores'!$D$10:$CZ$161,_xlpm.r,_xlpm.c),""),
  IF(OR(_xlpm.w="",_xlpm.v=""),"",_xlpm.v*_xlpm.w)
)</f>
        <v/>
      </c>
      <c r="R50" s="93" t="str" cm="1">
        <f t="array" ref="R50">_xlfn.LET(
  _xlpm.w, R$11,
  _xlpm.r, MATCH(1,('3. Enter Indicator Scores'!$B$10:$B$161=$B50)*('3. Enter Indicator Scores'!$C$10:$C$161=$C50),0),
  _xlpm.c, MATCH(R$8,'3. Enter Indicator Scores'!$D$8:$CZ$8,0),
  _xlpm.v, IFERROR(INDEX('3. Enter Indicator Scores'!$D$10:$CZ$161,_xlpm.r,_xlpm.c),""),
  IF(OR(_xlpm.w="",_xlpm.v=""),"",_xlpm.v*_xlpm.w)
)</f>
        <v/>
      </c>
      <c r="S50" s="93" t="str" cm="1">
        <f t="array" ref="S50">_xlfn.LET(
  _xlpm.w, S$11,
  _xlpm.r, MATCH(1,('3. Enter Indicator Scores'!$B$10:$B$161=$B50)*('3. Enter Indicator Scores'!$C$10:$C$161=$C50),0),
  _xlpm.c, MATCH(S$8,'3. Enter Indicator Scores'!$D$8:$CZ$8,0),
  _xlpm.v, IFERROR(INDEX('3. Enter Indicator Scores'!$D$10:$CZ$161,_xlpm.r,_xlpm.c),""),
  IF(OR(_xlpm.w="",_xlpm.v=""),"",_xlpm.v*_xlpm.w)
)</f>
        <v/>
      </c>
      <c r="T50" s="93" t="str" cm="1">
        <f t="array" ref="T50">_xlfn.LET(
  _xlpm.w, T$11,
  _xlpm.r, MATCH(1,('3. Enter Indicator Scores'!$B$10:$B$161=$B50)*('3. Enter Indicator Scores'!$C$10:$C$161=$C50),0),
  _xlpm.c, MATCH(T$8,'3. Enter Indicator Scores'!$D$8:$CZ$8,0),
  _xlpm.v, IFERROR(INDEX('3. Enter Indicator Scores'!$D$10:$CZ$161,_xlpm.r,_xlpm.c),""),
  IF(OR(_xlpm.w="",_xlpm.v=""),"",_xlpm.v*_xlpm.w)
)</f>
        <v/>
      </c>
      <c r="U50" s="93" t="str" cm="1">
        <f t="array" ref="U50">_xlfn.LET(
  _xlpm.w, U$11,
  _xlpm.r, MATCH(1,('3. Enter Indicator Scores'!$B$10:$B$161=$B50)*('3. Enter Indicator Scores'!$C$10:$C$161=$C50),0),
  _xlpm.c, MATCH(U$8,'3. Enter Indicator Scores'!$D$8:$CZ$8,0),
  _xlpm.v, IFERROR(INDEX('3. Enter Indicator Scores'!$D$10:$CZ$161,_xlpm.r,_xlpm.c),""),
  IF(OR(_xlpm.w="",_xlpm.v=""),"",_xlpm.v*_xlpm.w)
)</f>
        <v/>
      </c>
      <c r="V50" s="93" t="str" cm="1">
        <f t="array" ref="V50">_xlfn.LET(
  _xlpm.w, V$11,
  _xlpm.r, MATCH(1,('3. Enter Indicator Scores'!$B$10:$B$161=$B50)*('3. Enter Indicator Scores'!$C$10:$C$161=$C50),0),
  _xlpm.c, MATCH(V$8,'3. Enter Indicator Scores'!$D$8:$CZ$8,0),
  _xlpm.v, IFERROR(INDEX('3. Enter Indicator Scores'!$D$10:$CZ$161,_xlpm.r,_xlpm.c),""),
  IF(OR(_xlpm.w="",_xlpm.v=""),"",_xlpm.v*_xlpm.w)
)</f>
        <v/>
      </c>
      <c r="W50" s="93" t="str" cm="1">
        <f t="array" ref="W50">_xlfn.LET(
  _xlpm.w, W$11,
  _xlpm.r, MATCH(1,('3. Enter Indicator Scores'!$B$10:$B$161=$B50)*('3. Enter Indicator Scores'!$C$10:$C$161=$C50),0),
  _xlpm.c, MATCH(W$8,'3. Enter Indicator Scores'!$D$8:$CZ$8,0),
  _xlpm.v, IFERROR(INDEX('3. Enter Indicator Scores'!$D$10:$CZ$161,_xlpm.r,_xlpm.c),""),
  IF(OR(_xlpm.w="",_xlpm.v=""),"",_xlpm.v*_xlpm.w)
)</f>
        <v/>
      </c>
      <c r="X50" s="93" t="str" cm="1">
        <f t="array" ref="X50">_xlfn.LET(
  _xlpm.w, X$11,
  _xlpm.r, MATCH(1,('3. Enter Indicator Scores'!$B$10:$B$161=$B50)*('3. Enter Indicator Scores'!$C$10:$C$161=$C50),0),
  _xlpm.c, MATCH(X$8,'3. Enter Indicator Scores'!$D$8:$CZ$8,0),
  _xlpm.v, IFERROR(INDEX('3. Enter Indicator Scores'!$D$10:$CZ$161,_xlpm.r,_xlpm.c),""),
  IF(OR(_xlpm.w="",_xlpm.v=""),"",_xlpm.v*_xlpm.w)
)</f>
        <v/>
      </c>
      <c r="Y50" s="93" t="str" cm="1">
        <f t="array" ref="Y50">_xlfn.LET(
  _xlpm.w, Y$11,
  _xlpm.r, MATCH(1,('3. Enter Indicator Scores'!$B$10:$B$161=$B50)*('3. Enter Indicator Scores'!$C$10:$C$161=$C50),0),
  _xlpm.c, MATCH(Y$8,'3. Enter Indicator Scores'!$D$8:$CZ$8,0),
  _xlpm.v, IFERROR(INDEX('3. Enter Indicator Scores'!$D$10:$CZ$161,_xlpm.r,_xlpm.c),""),
  IF(OR(_xlpm.w="",_xlpm.v=""),"",_xlpm.v*_xlpm.w)
)</f>
        <v/>
      </c>
      <c r="Z50" s="93" t="str" cm="1">
        <f t="array" ref="Z50">_xlfn.LET(
  _xlpm.w, Z$11,
  _xlpm.r, MATCH(1,('3. Enter Indicator Scores'!$B$10:$B$161=$B50)*('3. Enter Indicator Scores'!$C$10:$C$161=$C50),0),
  _xlpm.c, MATCH(Z$8,'3. Enter Indicator Scores'!$D$8:$CZ$8,0),
  _xlpm.v, IFERROR(INDEX('3. Enter Indicator Scores'!$D$10:$CZ$161,_xlpm.r,_xlpm.c),""),
  IF(OR(_xlpm.w="",_xlpm.v=""),"",_xlpm.v*_xlpm.w)
)</f>
        <v/>
      </c>
      <c r="AA50" s="93" t="str" cm="1">
        <f t="array" ref="AA50">_xlfn.LET(
  _xlpm.w, AA$11,
  _xlpm.r, MATCH(1,('3. Enter Indicator Scores'!$B$10:$B$161=$B50)*('3. Enter Indicator Scores'!$C$10:$C$161=$C50),0),
  _xlpm.c, MATCH(AA$8,'3. Enter Indicator Scores'!$D$8:$CZ$8,0),
  _xlpm.v, IFERROR(INDEX('3. Enter Indicator Scores'!$D$10:$CZ$161,_xlpm.r,_xlpm.c),""),
  IF(OR(_xlpm.w="",_xlpm.v=""),"",_xlpm.v*_xlpm.w)
)</f>
        <v/>
      </c>
      <c r="AB50" s="93" t="str" cm="1">
        <f t="array" ref="AB50">_xlfn.LET(
  _xlpm.w, AB$11,
  _xlpm.r, MATCH(1,('3. Enter Indicator Scores'!$B$10:$B$161=$B50)*('3. Enter Indicator Scores'!$C$10:$C$161=$C50),0),
  _xlpm.c, MATCH(AB$8,'3. Enter Indicator Scores'!$D$8:$CZ$8,0),
  _xlpm.v, IFERROR(INDEX('3. Enter Indicator Scores'!$D$10:$CZ$161,_xlpm.r,_xlpm.c),""),
  IF(OR(_xlpm.w="",_xlpm.v=""),"",_xlpm.v*_xlpm.w)
)</f>
        <v/>
      </c>
      <c r="AC50" s="93" t="str" cm="1">
        <f t="array" ref="AC50">_xlfn.LET(
  _xlpm.w, AC$11,
  _xlpm.r, MATCH(1,('3. Enter Indicator Scores'!$B$10:$B$161=$B50)*('3. Enter Indicator Scores'!$C$10:$C$161=$C50),0),
  _xlpm.c, MATCH(AC$8,'3. Enter Indicator Scores'!$D$8:$CZ$8,0),
  _xlpm.v, IFERROR(INDEX('3. Enter Indicator Scores'!$D$10:$CZ$161,_xlpm.r,_xlpm.c),""),
  IF(OR(_xlpm.w="",_xlpm.v=""),"",_xlpm.v*_xlpm.w)
)</f>
        <v/>
      </c>
      <c r="AD50" s="93" t="str" cm="1">
        <f t="array" ref="AD50">_xlfn.LET(
  _xlpm.w, AD$11,
  _xlpm.r, MATCH(1,('3. Enter Indicator Scores'!$B$10:$B$161=$B50)*('3. Enter Indicator Scores'!$C$10:$C$161=$C50),0),
  _xlpm.c, MATCH(AD$8,'3. Enter Indicator Scores'!$D$8:$CZ$8,0),
  _xlpm.v, IFERROR(INDEX('3. Enter Indicator Scores'!$D$10:$CZ$161,_xlpm.r,_xlpm.c),""),
  IF(OR(_xlpm.w="",_xlpm.v=""),"",_xlpm.v*_xlpm.w)
)</f>
        <v/>
      </c>
      <c r="AE50" s="93" t="str" cm="1">
        <f t="array" ref="AE50">_xlfn.LET(
  _xlpm.w, AE$11,
  _xlpm.r, MATCH(1,('3. Enter Indicator Scores'!$B$10:$B$161=$B50)*('3. Enter Indicator Scores'!$C$10:$C$161=$C50),0),
  _xlpm.c, MATCH(AE$8,'3. Enter Indicator Scores'!$D$8:$CZ$8,0),
  _xlpm.v, IFERROR(INDEX('3. Enter Indicator Scores'!$D$10:$CZ$161,_xlpm.r,_xlpm.c),""),
  IF(OR(_xlpm.w="",_xlpm.v=""),"",_xlpm.v*_xlpm.w)
)</f>
        <v/>
      </c>
      <c r="AF50" s="93" t="str" cm="1">
        <f t="array" ref="AF50">_xlfn.LET(
  _xlpm.w, AF$11,
  _xlpm.r, MATCH(1,('3. Enter Indicator Scores'!$B$10:$B$161=$B50)*('3. Enter Indicator Scores'!$C$10:$C$161=$C50),0),
  _xlpm.c, MATCH(AF$8,'3. Enter Indicator Scores'!$D$8:$CZ$8,0),
  _xlpm.v, IFERROR(INDEX('3. Enter Indicator Scores'!$D$10:$CZ$161,_xlpm.r,_xlpm.c),""),
  IF(OR(_xlpm.w="",_xlpm.v=""),"",_xlpm.v*_xlpm.w)
)</f>
        <v/>
      </c>
      <c r="AG50" s="93" t="str" cm="1">
        <f t="array" ref="AG50">_xlfn.LET(
  _xlpm.w, AG$11,
  _xlpm.r, MATCH(1,('3. Enter Indicator Scores'!$B$10:$B$161=$B50)*('3. Enter Indicator Scores'!$C$10:$C$161=$C50),0),
  _xlpm.c, MATCH(AG$8,'3. Enter Indicator Scores'!$D$8:$CZ$8,0),
  _xlpm.v, IFERROR(INDEX('3. Enter Indicator Scores'!$D$10:$CZ$161,_xlpm.r,_xlpm.c),""),
  IF(OR(_xlpm.w="",_xlpm.v=""),"",_xlpm.v*_xlpm.w)
)</f>
        <v/>
      </c>
      <c r="AH50" s="93" t="str" cm="1">
        <f t="array" ref="AH50">_xlfn.LET(
  _xlpm.w, AH$11,
  _xlpm.r, MATCH(1,('3. Enter Indicator Scores'!$B$10:$B$161=$B50)*('3. Enter Indicator Scores'!$C$10:$C$161=$C50),0),
  _xlpm.c, MATCH(AH$8,'3. Enter Indicator Scores'!$D$8:$CZ$8,0),
  _xlpm.v, IFERROR(INDEX('3. Enter Indicator Scores'!$D$10:$CZ$161,_xlpm.r,_xlpm.c),""),
  IF(OR(_xlpm.w="",_xlpm.v=""),"",_xlpm.v*_xlpm.w)
)</f>
        <v/>
      </c>
      <c r="AI50" s="93" t="str" cm="1">
        <f t="array" ref="AI50">_xlfn.LET(
  _xlpm.w, AI$11,
  _xlpm.r, MATCH(1,('3. Enter Indicator Scores'!$B$10:$B$161=$B50)*('3. Enter Indicator Scores'!$C$10:$C$161=$C50),0),
  _xlpm.c, MATCH(AI$8,'3. Enter Indicator Scores'!$D$8:$CZ$8,0),
  _xlpm.v, IFERROR(INDEX('3. Enter Indicator Scores'!$D$10:$CZ$161,_xlpm.r,_xlpm.c),""),
  IF(OR(_xlpm.w="",_xlpm.v=""),"",_xlpm.v*_xlpm.w)
)</f>
        <v/>
      </c>
      <c r="AJ50" s="93" t="str" cm="1">
        <f t="array" ref="AJ50">_xlfn.LET(
  _xlpm.w, AJ$11,
  _xlpm.r, MATCH(1,('3. Enter Indicator Scores'!$B$10:$B$161=$B50)*('3. Enter Indicator Scores'!$C$10:$C$161=$C50),0),
  _xlpm.c, MATCH(AJ$8,'3. Enter Indicator Scores'!$D$8:$CZ$8,0),
  _xlpm.v, IFERROR(INDEX('3. Enter Indicator Scores'!$D$10:$CZ$161,_xlpm.r,_xlpm.c),""),
  IF(OR(_xlpm.w="",_xlpm.v=""),"",_xlpm.v*_xlpm.w)
)</f>
        <v/>
      </c>
      <c r="AK50" s="93" t="str" cm="1">
        <f t="array" ref="AK50">_xlfn.LET(
  _xlpm.w, AK$11,
  _xlpm.r, MATCH(1,('3. Enter Indicator Scores'!$B$10:$B$161=$B50)*('3. Enter Indicator Scores'!$C$10:$C$161=$C50),0),
  _xlpm.c, MATCH(AK$8,'3. Enter Indicator Scores'!$D$8:$CZ$8,0),
  _xlpm.v, IFERROR(INDEX('3. Enter Indicator Scores'!$D$10:$CZ$161,_xlpm.r,_xlpm.c),""),
  IF(OR(_xlpm.w="",_xlpm.v=""),"",_xlpm.v*_xlpm.w)
)</f>
        <v/>
      </c>
      <c r="AL50" s="93" t="str" cm="1">
        <f t="array" ref="AL50">_xlfn.LET(
  _xlpm.w, AL$11,
  _xlpm.r, MATCH(1,('3. Enter Indicator Scores'!$B$10:$B$161=$B50)*('3. Enter Indicator Scores'!$C$10:$C$161=$C50),0),
  _xlpm.c, MATCH(AL$8,'3. Enter Indicator Scores'!$D$8:$CZ$8,0),
  _xlpm.v, IFERROR(INDEX('3. Enter Indicator Scores'!$D$10:$CZ$161,_xlpm.r,_xlpm.c),""),
  IF(OR(_xlpm.w="",_xlpm.v=""),"",_xlpm.v*_xlpm.w)
)</f>
        <v/>
      </c>
      <c r="AM50" s="93" t="str" cm="1">
        <f t="array" ref="AM50">_xlfn.LET(
  _xlpm.w, AM$11,
  _xlpm.r, MATCH(1,('3. Enter Indicator Scores'!$B$10:$B$161=$B50)*('3. Enter Indicator Scores'!$C$10:$C$161=$C50),0),
  _xlpm.c, MATCH(AM$8,'3. Enter Indicator Scores'!$D$8:$CZ$8,0),
  _xlpm.v, IFERROR(INDEX('3. Enter Indicator Scores'!$D$10:$CZ$161,_xlpm.r,_xlpm.c),""),
  IF(OR(_xlpm.w="",_xlpm.v=""),"",_xlpm.v*_xlpm.w)
)</f>
        <v/>
      </c>
      <c r="AN50" s="93" t="str" cm="1">
        <f t="array" ref="AN50">_xlfn.LET(
  _xlpm.w, AN$11,
  _xlpm.r, MATCH(1,('3. Enter Indicator Scores'!$B$10:$B$161=$B50)*('3. Enter Indicator Scores'!$C$10:$C$161=$C50),0),
  _xlpm.c, MATCH(AN$8,'3. Enter Indicator Scores'!$D$8:$CZ$8,0),
  _xlpm.v, IFERROR(INDEX('3. Enter Indicator Scores'!$D$10:$CZ$161,_xlpm.r,_xlpm.c),""),
  IF(OR(_xlpm.w="",_xlpm.v=""),"",_xlpm.v*_xlpm.w)
)</f>
        <v/>
      </c>
      <c r="AO50" s="93" t="str" cm="1">
        <f t="array" ref="AO50">_xlfn.LET(
  _xlpm.w, AO$11,
  _xlpm.r, MATCH(1,('3. Enter Indicator Scores'!$B$10:$B$161=$B50)*('3. Enter Indicator Scores'!$C$10:$C$161=$C50),0),
  _xlpm.c, MATCH(AO$8,'3. Enter Indicator Scores'!$D$8:$CZ$8,0),
  _xlpm.v, IFERROR(INDEX('3. Enter Indicator Scores'!$D$10:$CZ$161,_xlpm.r,_xlpm.c),""),
  IF(OR(_xlpm.w="",_xlpm.v=""),"",_xlpm.v*_xlpm.w)
)</f>
        <v/>
      </c>
      <c r="AP50" s="93" t="str" cm="1">
        <f t="array" ref="AP50">_xlfn.LET(
  _xlpm.w, AP$11,
  _xlpm.r, MATCH(1,('3. Enter Indicator Scores'!$B$10:$B$161=$B50)*('3. Enter Indicator Scores'!$C$10:$C$161=$C50),0),
  _xlpm.c, MATCH(AP$8,'3. Enter Indicator Scores'!$D$8:$CZ$8,0),
  _xlpm.v, IFERROR(INDEX('3. Enter Indicator Scores'!$D$10:$CZ$161,_xlpm.r,_xlpm.c),""),
  IF(OR(_xlpm.w="",_xlpm.v=""),"",_xlpm.v*_xlpm.w)
)</f>
        <v/>
      </c>
      <c r="AQ50" s="93" t="str" cm="1">
        <f t="array" ref="AQ50">_xlfn.LET(
  _xlpm.w, AQ$11,
  _xlpm.r, MATCH(1,('3. Enter Indicator Scores'!$B$10:$B$161=$B50)*('3. Enter Indicator Scores'!$C$10:$C$161=$C50),0),
  _xlpm.c, MATCH(AQ$8,'3. Enter Indicator Scores'!$D$8:$CZ$8,0),
  _xlpm.v, IFERROR(INDEX('3. Enter Indicator Scores'!$D$10:$CZ$161,_xlpm.r,_xlpm.c),""),
  IF(OR(_xlpm.w="",_xlpm.v=""),"",_xlpm.v*_xlpm.w)
)</f>
        <v/>
      </c>
      <c r="AR50" s="93" t="str" cm="1">
        <f t="array" ref="AR50">_xlfn.LET(
  _xlpm.w, AR$11,
  _xlpm.r, MATCH(1,('3. Enter Indicator Scores'!$B$10:$B$161=$B50)*('3. Enter Indicator Scores'!$C$10:$C$161=$C50),0),
  _xlpm.c, MATCH(AR$8,'3. Enter Indicator Scores'!$D$8:$CZ$8,0),
  _xlpm.v, IFERROR(INDEX('3. Enter Indicator Scores'!$D$10:$CZ$161,_xlpm.r,_xlpm.c),""),
  IF(OR(_xlpm.w="",_xlpm.v=""),"",_xlpm.v*_xlpm.w)
)</f>
        <v/>
      </c>
      <c r="AS50" s="93" t="str" cm="1">
        <f t="array" ref="AS50">_xlfn.LET(
  _xlpm.w, AS$11,
  _xlpm.r, MATCH(1,('3. Enter Indicator Scores'!$B$10:$B$161=$B50)*('3. Enter Indicator Scores'!$C$10:$C$161=$C50),0),
  _xlpm.c, MATCH(AS$8,'3. Enter Indicator Scores'!$D$8:$CZ$8,0),
  _xlpm.v, IFERROR(INDEX('3. Enter Indicator Scores'!$D$10:$CZ$161,_xlpm.r,_xlpm.c),""),
  IF(OR(_xlpm.w="",_xlpm.v=""),"",_xlpm.v*_xlpm.w)
)</f>
        <v/>
      </c>
      <c r="AT50" s="93" t="str" cm="1">
        <f t="array" ref="AT50">_xlfn.LET(
  _xlpm.w, AT$11,
  _xlpm.r, MATCH(1,('3. Enter Indicator Scores'!$B$10:$B$161=$B50)*('3. Enter Indicator Scores'!$C$10:$C$161=$C50),0),
  _xlpm.c, MATCH(AT$8,'3. Enter Indicator Scores'!$D$8:$CZ$8,0),
  _xlpm.v, IFERROR(INDEX('3. Enter Indicator Scores'!$D$10:$CZ$161,_xlpm.r,_xlpm.c),""),
  IF(OR(_xlpm.w="",_xlpm.v=""),"",_xlpm.v*_xlpm.w)
)</f>
        <v/>
      </c>
      <c r="AU50" s="93" t="str" cm="1">
        <f t="array" ref="AU50">_xlfn.LET(
  _xlpm.w, AU$11,
  _xlpm.r, MATCH(1,('3. Enter Indicator Scores'!$B$10:$B$161=$B50)*('3. Enter Indicator Scores'!$C$10:$C$161=$C50),0),
  _xlpm.c, MATCH(AU$8,'3. Enter Indicator Scores'!$D$8:$CZ$8,0),
  _xlpm.v, IFERROR(INDEX('3. Enter Indicator Scores'!$D$10:$CZ$161,_xlpm.r,_xlpm.c),""),
  IF(OR(_xlpm.w="",_xlpm.v=""),"",_xlpm.v*_xlpm.w)
)</f>
        <v/>
      </c>
      <c r="AV50" s="93" t="str" cm="1">
        <f t="array" ref="AV50">_xlfn.LET(
  _xlpm.w, AV$11,
  _xlpm.r, MATCH(1,('3. Enter Indicator Scores'!$B$10:$B$161=$B50)*('3. Enter Indicator Scores'!$C$10:$C$161=$C50),0),
  _xlpm.c, MATCH(AV$8,'3. Enter Indicator Scores'!$D$8:$CZ$8,0),
  _xlpm.v, IFERROR(INDEX('3. Enter Indicator Scores'!$D$10:$CZ$161,_xlpm.r,_xlpm.c),""),
  IF(OR(_xlpm.w="",_xlpm.v=""),"",_xlpm.v*_xlpm.w)
)</f>
        <v/>
      </c>
      <c r="AW50" s="93" t="str" cm="1">
        <f t="array" ref="AW50">_xlfn.LET(
  _xlpm.w, AW$11,
  _xlpm.r, MATCH(1,('3. Enter Indicator Scores'!$B$10:$B$161=$B50)*('3. Enter Indicator Scores'!$C$10:$C$161=$C50),0),
  _xlpm.c, MATCH(AW$8,'3. Enter Indicator Scores'!$D$8:$CZ$8,0),
  _xlpm.v, IFERROR(INDEX('3. Enter Indicator Scores'!$D$10:$CZ$161,_xlpm.r,_xlpm.c),""),
  IF(OR(_xlpm.w="",_xlpm.v=""),"",_xlpm.v*_xlpm.w)
)</f>
        <v/>
      </c>
      <c r="AX50" s="93" t="str" cm="1">
        <f t="array" ref="AX50">_xlfn.LET(
  _xlpm.w, AX$11,
  _xlpm.r, MATCH(1,('3. Enter Indicator Scores'!$B$10:$B$161=$B50)*('3. Enter Indicator Scores'!$C$10:$C$161=$C50),0),
  _xlpm.c, MATCH(AX$8,'3. Enter Indicator Scores'!$D$8:$CZ$8,0),
  _xlpm.v, IFERROR(INDEX('3. Enter Indicator Scores'!$D$10:$CZ$161,_xlpm.r,_xlpm.c),""),
  IF(OR(_xlpm.w="",_xlpm.v=""),"",_xlpm.v*_xlpm.w)
)</f>
        <v/>
      </c>
      <c r="AY50" s="93" t="str" cm="1">
        <f t="array" ref="AY50">_xlfn.LET(
  _xlpm.w, AY$11,
  _xlpm.r, MATCH(1,('3. Enter Indicator Scores'!$B$10:$B$161=$B50)*('3. Enter Indicator Scores'!$C$10:$C$161=$C50),0),
  _xlpm.c, MATCH(AY$8,'3. Enter Indicator Scores'!$D$8:$CZ$8,0),
  _xlpm.v, IFERROR(INDEX('3. Enter Indicator Scores'!$D$10:$CZ$161,_xlpm.r,_xlpm.c),""),
  IF(OR(_xlpm.w="",_xlpm.v=""),"",_xlpm.v*_xlpm.w)
)</f>
        <v/>
      </c>
      <c r="AZ50" s="93" t="str" cm="1">
        <f t="array" ref="AZ50">_xlfn.LET(
  _xlpm.w, AZ$11,
  _xlpm.r, MATCH(1,('3. Enter Indicator Scores'!$B$10:$B$161=$B50)*('3. Enter Indicator Scores'!$C$10:$C$161=$C50),0),
  _xlpm.c, MATCH(AZ$8,'3. Enter Indicator Scores'!$D$8:$CZ$8,0),
  _xlpm.v, IFERROR(INDEX('3. Enter Indicator Scores'!$D$10:$CZ$161,_xlpm.r,_xlpm.c),""),
  IF(OR(_xlpm.w="",_xlpm.v=""),"",_xlpm.v*_xlpm.w)
)</f>
        <v/>
      </c>
      <c r="BA50" s="93" t="str" cm="1">
        <f t="array" ref="BA50">_xlfn.LET(
  _xlpm.w, BA$11,
  _xlpm.r, MATCH(1,('3. Enter Indicator Scores'!$B$10:$B$161=$B50)*('3. Enter Indicator Scores'!$C$10:$C$161=$C50),0),
  _xlpm.c, MATCH(BA$8,'3. Enter Indicator Scores'!$D$8:$CZ$8,0),
  _xlpm.v, IFERROR(INDEX('3. Enter Indicator Scores'!$D$10:$CZ$161,_xlpm.r,_xlpm.c),""),
  IF(OR(_xlpm.w="",_xlpm.v=""),"",_xlpm.v*_xlpm.w)
)</f>
        <v/>
      </c>
      <c r="BB50" s="93" t="str" cm="1">
        <f t="array" ref="BB50">_xlfn.LET(
  _xlpm.w, BB$11,
  _xlpm.r, MATCH(1,('3. Enter Indicator Scores'!$B$10:$B$161=$B50)*('3. Enter Indicator Scores'!$C$10:$C$161=$C50),0),
  _xlpm.c, MATCH(BB$8,'3. Enter Indicator Scores'!$D$8:$CZ$8,0),
  _xlpm.v, IFERROR(INDEX('3. Enter Indicator Scores'!$D$10:$CZ$161,_xlpm.r,_xlpm.c),""),
  IF(OR(_xlpm.w="",_xlpm.v=""),"",_xlpm.v*_xlpm.w)
)</f>
        <v/>
      </c>
      <c r="BC50" s="93" t="str" cm="1">
        <f t="array" ref="BC50">_xlfn.LET(
  _xlpm.w, BC$11,
  _xlpm.r, MATCH(1,('3. Enter Indicator Scores'!$B$10:$B$161=$B50)*('3. Enter Indicator Scores'!$C$10:$C$161=$C50),0),
  _xlpm.c, MATCH(BC$8,'3. Enter Indicator Scores'!$D$8:$CZ$8,0),
  _xlpm.v, IFERROR(INDEX('3. Enter Indicator Scores'!$D$10:$CZ$161,_xlpm.r,_xlpm.c),""),
  IF(OR(_xlpm.w="",_xlpm.v=""),"",_xlpm.v*_xlpm.w)
)</f>
        <v/>
      </c>
      <c r="BD50" s="93" t="str" cm="1">
        <f t="array" ref="BD50">_xlfn.LET(
  _xlpm.w, BD$11,
  _xlpm.r, MATCH(1,('3. Enter Indicator Scores'!$B$10:$B$161=$B50)*('3. Enter Indicator Scores'!$C$10:$C$161=$C50),0),
  _xlpm.c, MATCH(BD$8,'3. Enter Indicator Scores'!$D$8:$CZ$8,0),
  _xlpm.v, IFERROR(INDEX('3. Enter Indicator Scores'!$D$10:$CZ$161,_xlpm.r,_xlpm.c),""),
  IF(OR(_xlpm.w="",_xlpm.v=""),"",_xlpm.v*_xlpm.w)
)</f>
        <v/>
      </c>
      <c r="BE50" s="93" t="str" cm="1">
        <f t="array" ref="BE50">_xlfn.LET(
  _xlpm.w, BE$11,
  _xlpm.r, MATCH(1,('3. Enter Indicator Scores'!$B$10:$B$161=$B50)*('3. Enter Indicator Scores'!$C$10:$C$161=$C50),0),
  _xlpm.c, MATCH(BE$8,'3. Enter Indicator Scores'!$D$8:$CZ$8,0),
  _xlpm.v, IFERROR(INDEX('3. Enter Indicator Scores'!$D$10:$CZ$161,_xlpm.r,_xlpm.c),""),
  IF(OR(_xlpm.w="",_xlpm.v=""),"",_xlpm.v*_xlpm.w)
)</f>
        <v/>
      </c>
      <c r="BF50" s="93" t="str" cm="1">
        <f t="array" ref="BF50">_xlfn.LET(
  _xlpm.w, BF$11,
  _xlpm.r, MATCH(1,('3. Enter Indicator Scores'!$B$10:$B$161=$B50)*('3. Enter Indicator Scores'!$C$10:$C$161=$C50),0),
  _xlpm.c, MATCH(BF$8,'3. Enter Indicator Scores'!$D$8:$CZ$8,0),
  _xlpm.v, IFERROR(INDEX('3. Enter Indicator Scores'!$D$10:$CZ$161,_xlpm.r,_xlpm.c),""),
  IF(OR(_xlpm.w="",_xlpm.v=""),"",_xlpm.v*_xlpm.w)
)</f>
        <v/>
      </c>
      <c r="BG50" s="93" t="str" cm="1">
        <f t="array" ref="BG50">_xlfn.LET(
  _xlpm.w, BG$11,
  _xlpm.r, MATCH(1,('3. Enter Indicator Scores'!$B$10:$B$161=$B50)*('3. Enter Indicator Scores'!$C$10:$C$161=$C50),0),
  _xlpm.c, MATCH(BG$8,'3. Enter Indicator Scores'!$D$8:$CZ$8,0),
  _xlpm.v, IFERROR(INDEX('3. Enter Indicator Scores'!$D$10:$CZ$161,_xlpm.r,_xlpm.c),""),
  IF(OR(_xlpm.w="",_xlpm.v=""),"",_xlpm.v*_xlpm.w)
)</f>
        <v/>
      </c>
      <c r="BH50" s="93" t="str" cm="1">
        <f t="array" ref="BH50">_xlfn.LET(
  _xlpm.w, BH$11,
  _xlpm.r, MATCH(1,('3. Enter Indicator Scores'!$B$10:$B$161=$B50)*('3. Enter Indicator Scores'!$C$10:$C$161=$C50),0),
  _xlpm.c, MATCH(BH$8,'3. Enter Indicator Scores'!$D$8:$CZ$8,0),
  _xlpm.v, IFERROR(INDEX('3. Enter Indicator Scores'!$D$10:$CZ$161,_xlpm.r,_xlpm.c),""),
  IF(OR(_xlpm.w="",_xlpm.v=""),"",_xlpm.v*_xlpm.w)
)</f>
        <v/>
      </c>
      <c r="BI50" s="93" t="str" cm="1">
        <f t="array" ref="BI50">_xlfn.LET(
  _xlpm.w, BI$11,
  _xlpm.r, MATCH(1,('3. Enter Indicator Scores'!$B$10:$B$161=$B50)*('3. Enter Indicator Scores'!$C$10:$C$161=$C50),0),
  _xlpm.c, MATCH(BI$8,'3. Enter Indicator Scores'!$D$8:$CZ$8,0),
  _xlpm.v, IFERROR(INDEX('3. Enter Indicator Scores'!$D$10:$CZ$161,_xlpm.r,_xlpm.c),""),
  IF(OR(_xlpm.w="",_xlpm.v=""),"",_xlpm.v*_xlpm.w)
)</f>
        <v/>
      </c>
      <c r="BJ50" s="93" t="str" cm="1">
        <f t="array" ref="BJ50">_xlfn.LET(
  _xlpm.w, BJ$11,
  _xlpm.r, MATCH(1,('3. Enter Indicator Scores'!$B$10:$B$161=$B50)*('3. Enter Indicator Scores'!$C$10:$C$161=$C50),0),
  _xlpm.c, MATCH(BJ$8,'3. Enter Indicator Scores'!$D$8:$CZ$8,0),
  _xlpm.v, IFERROR(INDEX('3. Enter Indicator Scores'!$D$10:$CZ$161,_xlpm.r,_xlpm.c),""),
  IF(OR(_xlpm.w="",_xlpm.v=""),"",_xlpm.v*_xlpm.w)
)</f>
        <v/>
      </c>
      <c r="BK50" s="93" t="str" cm="1">
        <f t="array" ref="BK50">_xlfn.LET(
  _xlpm.w, BK$11,
  _xlpm.r, MATCH(1,('3. Enter Indicator Scores'!$B$10:$B$161=$B50)*('3. Enter Indicator Scores'!$C$10:$C$161=$C50),0),
  _xlpm.c, MATCH(BK$8,'3. Enter Indicator Scores'!$D$8:$CZ$8,0),
  _xlpm.v, IFERROR(INDEX('3. Enter Indicator Scores'!$D$10:$CZ$161,_xlpm.r,_xlpm.c),""),
  IF(OR(_xlpm.w="",_xlpm.v=""),"",_xlpm.v*_xlpm.w)
)</f>
        <v/>
      </c>
      <c r="BL50" s="93" t="str" cm="1">
        <f t="array" ref="BL50">_xlfn.LET(
  _xlpm.w, BL$11,
  _xlpm.r, MATCH(1,('3. Enter Indicator Scores'!$B$10:$B$161=$B50)*('3. Enter Indicator Scores'!$C$10:$C$161=$C50),0),
  _xlpm.c, MATCH(BL$8,'3. Enter Indicator Scores'!$D$8:$CZ$8,0),
  _xlpm.v, IFERROR(INDEX('3. Enter Indicator Scores'!$D$10:$CZ$161,_xlpm.r,_xlpm.c),""),
  IF(OR(_xlpm.w="",_xlpm.v=""),"",_xlpm.v*_xlpm.w)
)</f>
        <v/>
      </c>
      <c r="BM50" s="93" t="str" cm="1">
        <f t="array" ref="BM50">_xlfn.LET(
  _xlpm.w, BM$11,
  _xlpm.r, MATCH(1,('3. Enter Indicator Scores'!$B$10:$B$161=$B50)*('3. Enter Indicator Scores'!$C$10:$C$161=$C50),0),
  _xlpm.c, MATCH(BM$8,'3. Enter Indicator Scores'!$D$8:$CZ$8,0),
  _xlpm.v, IFERROR(INDEX('3. Enter Indicator Scores'!$D$10:$CZ$161,_xlpm.r,_xlpm.c),""),
  IF(OR(_xlpm.w="",_xlpm.v=""),"",_xlpm.v*_xlpm.w)
)</f>
        <v/>
      </c>
      <c r="BN50" s="93" t="str" cm="1">
        <f t="array" ref="BN50">_xlfn.LET(
  _xlpm.w, BN$11,
  _xlpm.r, MATCH(1,('3. Enter Indicator Scores'!$B$10:$B$161=$B50)*('3. Enter Indicator Scores'!$C$10:$C$161=$C50),0),
  _xlpm.c, MATCH(BN$8,'3. Enter Indicator Scores'!$D$8:$CZ$8,0),
  _xlpm.v, IFERROR(INDEX('3. Enter Indicator Scores'!$D$10:$CZ$161,_xlpm.r,_xlpm.c),""),
  IF(OR(_xlpm.w="",_xlpm.v=""),"",_xlpm.v*_xlpm.w)
)</f>
        <v/>
      </c>
      <c r="BO50" s="93" t="str" cm="1">
        <f t="array" ref="BO50">_xlfn.LET(
  _xlpm.w, BO$11,
  _xlpm.r, MATCH(1,('3. Enter Indicator Scores'!$B$10:$B$161=$B50)*('3. Enter Indicator Scores'!$C$10:$C$161=$C50),0),
  _xlpm.c, MATCH(BO$8,'3. Enter Indicator Scores'!$D$8:$CZ$8,0),
  _xlpm.v, IFERROR(INDEX('3. Enter Indicator Scores'!$D$10:$CZ$161,_xlpm.r,_xlpm.c),""),
  IF(OR(_xlpm.w="",_xlpm.v=""),"",_xlpm.v*_xlpm.w)
)</f>
        <v/>
      </c>
      <c r="BP50" s="93" t="str" cm="1">
        <f t="array" ref="BP50">_xlfn.LET(
  _xlpm.w, BP$11,
  _xlpm.r, MATCH(1,('3. Enter Indicator Scores'!$B$10:$B$161=$B50)*('3. Enter Indicator Scores'!$C$10:$C$161=$C50),0),
  _xlpm.c, MATCH(BP$8,'3. Enter Indicator Scores'!$D$8:$CZ$8,0),
  _xlpm.v, IFERROR(INDEX('3. Enter Indicator Scores'!$D$10:$CZ$161,_xlpm.r,_xlpm.c),""),
  IF(OR(_xlpm.w="",_xlpm.v=""),"",_xlpm.v*_xlpm.w)
)</f>
        <v/>
      </c>
      <c r="BQ50" s="93" t="str" cm="1">
        <f t="array" ref="BQ50">_xlfn.LET(
  _xlpm.w, BQ$11,
  _xlpm.r, MATCH(1,('3. Enter Indicator Scores'!$B$10:$B$161=$B50)*('3. Enter Indicator Scores'!$C$10:$C$161=$C50),0),
  _xlpm.c, MATCH(BQ$8,'3. Enter Indicator Scores'!$D$8:$CZ$8,0),
  _xlpm.v, IFERROR(INDEX('3. Enter Indicator Scores'!$D$10:$CZ$161,_xlpm.r,_xlpm.c),""),
  IF(OR(_xlpm.w="",_xlpm.v=""),"",_xlpm.v*_xlpm.w)
)</f>
        <v/>
      </c>
      <c r="BR50" s="93" t="str" cm="1">
        <f t="array" ref="BR50">_xlfn.LET(
  _xlpm.w, BR$11,
  _xlpm.r, MATCH(1,('3. Enter Indicator Scores'!$B$10:$B$161=$B50)*('3. Enter Indicator Scores'!$C$10:$C$161=$C50),0),
  _xlpm.c, MATCH(BR$8,'3. Enter Indicator Scores'!$D$8:$CZ$8,0),
  _xlpm.v, IFERROR(INDEX('3. Enter Indicator Scores'!$D$10:$CZ$161,_xlpm.r,_xlpm.c),""),
  IF(OR(_xlpm.w="",_xlpm.v=""),"",_xlpm.v*_xlpm.w)
)</f>
        <v/>
      </c>
      <c r="BS50" s="93" t="str" cm="1">
        <f t="array" ref="BS50">_xlfn.LET(
  _xlpm.w, BS$11,
  _xlpm.r, MATCH(1,('3. Enter Indicator Scores'!$B$10:$B$161=$B50)*('3. Enter Indicator Scores'!$C$10:$C$161=$C50),0),
  _xlpm.c, MATCH(BS$8,'3. Enter Indicator Scores'!$D$8:$CZ$8,0),
  _xlpm.v, IFERROR(INDEX('3. Enter Indicator Scores'!$D$10:$CZ$161,_xlpm.r,_xlpm.c),""),
  IF(OR(_xlpm.w="",_xlpm.v=""),"",_xlpm.v*_xlpm.w)
)</f>
        <v/>
      </c>
      <c r="BT50" s="93" t="str" cm="1">
        <f t="array" ref="BT50">_xlfn.LET(
  _xlpm.w, BT$11,
  _xlpm.r, MATCH(1,('3. Enter Indicator Scores'!$B$10:$B$161=$B50)*('3. Enter Indicator Scores'!$C$10:$C$161=$C50),0),
  _xlpm.c, MATCH(BT$8,'3. Enter Indicator Scores'!$D$8:$CZ$8,0),
  _xlpm.v, IFERROR(INDEX('3. Enter Indicator Scores'!$D$10:$CZ$161,_xlpm.r,_xlpm.c),""),
  IF(OR(_xlpm.w="",_xlpm.v=""),"",_xlpm.v*_xlpm.w)
)</f>
        <v/>
      </c>
      <c r="BU50" s="93" t="str" cm="1">
        <f t="array" ref="BU50">_xlfn.LET(
  _xlpm.w, BU$11,
  _xlpm.r, MATCH(1,('3. Enter Indicator Scores'!$B$10:$B$161=$B50)*('3. Enter Indicator Scores'!$C$10:$C$161=$C50),0),
  _xlpm.c, MATCH(BU$8,'3. Enter Indicator Scores'!$D$8:$CZ$8,0),
  _xlpm.v, IFERROR(INDEX('3. Enter Indicator Scores'!$D$10:$CZ$161,_xlpm.r,_xlpm.c),""),
  IF(OR(_xlpm.w="",_xlpm.v=""),"",_xlpm.v*_xlpm.w)
)</f>
        <v/>
      </c>
      <c r="BV50" s="93" t="str" cm="1">
        <f t="array" ref="BV50">_xlfn.LET(
  _xlpm.w, BV$11,
  _xlpm.r, MATCH(1,('3. Enter Indicator Scores'!$B$10:$B$161=$B50)*('3. Enter Indicator Scores'!$C$10:$C$161=$C50),0),
  _xlpm.c, MATCH(BV$8,'3. Enter Indicator Scores'!$D$8:$CZ$8,0),
  _xlpm.v, IFERROR(INDEX('3. Enter Indicator Scores'!$D$10:$CZ$161,_xlpm.r,_xlpm.c),""),
  IF(OR(_xlpm.w="",_xlpm.v=""),"",_xlpm.v*_xlpm.w)
)</f>
        <v/>
      </c>
      <c r="BW50" s="93" t="str" cm="1">
        <f t="array" ref="BW50">_xlfn.LET(
  _xlpm.w, BW$11,
  _xlpm.r, MATCH(1,('3. Enter Indicator Scores'!$B$10:$B$161=$B50)*('3. Enter Indicator Scores'!$C$10:$C$161=$C50),0),
  _xlpm.c, MATCH(BW$8,'3. Enter Indicator Scores'!$D$8:$CZ$8,0),
  _xlpm.v, IFERROR(INDEX('3. Enter Indicator Scores'!$D$10:$CZ$161,_xlpm.r,_xlpm.c),""),
  IF(OR(_xlpm.w="",_xlpm.v=""),"",_xlpm.v*_xlpm.w)
)</f>
        <v/>
      </c>
      <c r="BX50" s="93" t="str" cm="1">
        <f t="array" ref="BX50">_xlfn.LET(
  _xlpm.w, BX$11,
  _xlpm.r, MATCH(1,('3. Enter Indicator Scores'!$B$10:$B$161=$B50)*('3. Enter Indicator Scores'!$C$10:$C$161=$C50),0),
  _xlpm.c, MATCH(BX$8,'3. Enter Indicator Scores'!$D$8:$CZ$8,0),
  _xlpm.v, IFERROR(INDEX('3. Enter Indicator Scores'!$D$10:$CZ$161,_xlpm.r,_xlpm.c),""),
  IF(OR(_xlpm.w="",_xlpm.v=""),"",_xlpm.v*_xlpm.w)
)</f>
        <v/>
      </c>
      <c r="BY50" s="93" t="str" cm="1">
        <f t="array" ref="BY50">_xlfn.LET(
  _xlpm.w, BY$11,
  _xlpm.r, MATCH(1,('3. Enter Indicator Scores'!$B$10:$B$161=$B50)*('3. Enter Indicator Scores'!$C$10:$C$161=$C50),0),
  _xlpm.c, MATCH(BY$8,'3. Enter Indicator Scores'!$D$8:$CZ$8,0),
  _xlpm.v, IFERROR(INDEX('3. Enter Indicator Scores'!$D$10:$CZ$161,_xlpm.r,_xlpm.c),""),
  IF(OR(_xlpm.w="",_xlpm.v=""),"",_xlpm.v*_xlpm.w)
)</f>
        <v/>
      </c>
      <c r="BZ50" s="93" t="str" cm="1">
        <f t="array" ref="BZ50">_xlfn.LET(
  _xlpm.w, BZ$11,
  _xlpm.r, MATCH(1,('3. Enter Indicator Scores'!$B$10:$B$161=$B50)*('3. Enter Indicator Scores'!$C$10:$C$161=$C50),0),
  _xlpm.c, MATCH(BZ$8,'3. Enter Indicator Scores'!$D$8:$CZ$8,0),
  _xlpm.v, IFERROR(INDEX('3. Enter Indicator Scores'!$D$10:$CZ$161,_xlpm.r,_xlpm.c),""),
  IF(OR(_xlpm.w="",_xlpm.v=""),"",_xlpm.v*_xlpm.w)
)</f>
        <v/>
      </c>
      <c r="CA50" s="93" t="str" cm="1">
        <f t="array" ref="CA50">_xlfn.LET(
  _xlpm.w, CA$11,
  _xlpm.r, MATCH(1,('3. Enter Indicator Scores'!$B$10:$B$161=$B50)*('3. Enter Indicator Scores'!$C$10:$C$161=$C50),0),
  _xlpm.c, MATCH(CA$8,'3. Enter Indicator Scores'!$D$8:$CZ$8,0),
  _xlpm.v, IFERROR(INDEX('3. Enter Indicator Scores'!$D$10:$CZ$161,_xlpm.r,_xlpm.c),""),
  IF(OR(_xlpm.w="",_xlpm.v=""),"",_xlpm.v*_xlpm.w)
)</f>
        <v/>
      </c>
      <c r="CB50" s="93" t="str" cm="1">
        <f t="array" ref="CB50">_xlfn.LET(
  _xlpm.w, CB$11,
  _xlpm.r, MATCH(1,('3. Enter Indicator Scores'!$B$10:$B$161=$B50)*('3. Enter Indicator Scores'!$C$10:$C$161=$C50),0),
  _xlpm.c, MATCH(CB$8,'3. Enter Indicator Scores'!$D$8:$CZ$8,0),
  _xlpm.v, IFERROR(INDEX('3. Enter Indicator Scores'!$D$10:$CZ$161,_xlpm.r,_xlpm.c),""),
  IF(OR(_xlpm.w="",_xlpm.v=""),"",_xlpm.v*_xlpm.w)
)</f>
        <v/>
      </c>
      <c r="CC50" s="93" t="str" cm="1">
        <f t="array" ref="CC50">_xlfn.LET(
  _xlpm.w, CC$11,
  _xlpm.r, MATCH(1,('3. Enter Indicator Scores'!$B$10:$B$161=$B50)*('3. Enter Indicator Scores'!$C$10:$C$161=$C50),0),
  _xlpm.c, MATCH(CC$8,'3. Enter Indicator Scores'!$D$8:$CZ$8,0),
  _xlpm.v, IFERROR(INDEX('3. Enter Indicator Scores'!$D$10:$CZ$161,_xlpm.r,_xlpm.c),""),
  IF(OR(_xlpm.w="",_xlpm.v=""),"",_xlpm.v*_xlpm.w)
)</f>
        <v/>
      </c>
      <c r="CD50" s="93" t="str" cm="1">
        <f t="array" ref="CD50">_xlfn.LET(
  _xlpm.w, CD$11,
  _xlpm.r, MATCH(1,('3. Enter Indicator Scores'!$B$10:$B$161=$B50)*('3. Enter Indicator Scores'!$C$10:$C$161=$C50),0),
  _xlpm.c, MATCH(CD$8,'3. Enter Indicator Scores'!$D$8:$CZ$8,0),
  _xlpm.v, IFERROR(INDEX('3. Enter Indicator Scores'!$D$10:$CZ$161,_xlpm.r,_xlpm.c),""),
  IF(OR(_xlpm.w="",_xlpm.v=""),"",_xlpm.v*_xlpm.w)
)</f>
        <v/>
      </c>
      <c r="CE50" s="93" t="str" cm="1">
        <f t="array" ref="CE50">_xlfn.LET(
  _xlpm.w, CE$11,
  _xlpm.r, MATCH(1,('3. Enter Indicator Scores'!$B$10:$B$161=$B50)*('3. Enter Indicator Scores'!$C$10:$C$161=$C50),0),
  _xlpm.c, MATCH(CE$8,'3. Enter Indicator Scores'!$D$8:$CZ$8,0),
  _xlpm.v, IFERROR(INDEX('3. Enter Indicator Scores'!$D$10:$CZ$161,_xlpm.r,_xlpm.c),""),
  IF(OR(_xlpm.w="",_xlpm.v=""),"",_xlpm.v*_xlpm.w)
)</f>
        <v/>
      </c>
      <c r="CF50" s="93" t="str" cm="1">
        <f t="array" ref="CF50">_xlfn.LET(
  _xlpm.w, CF$11,
  _xlpm.r, MATCH(1,('3. Enter Indicator Scores'!$B$10:$B$161=$B50)*('3. Enter Indicator Scores'!$C$10:$C$161=$C50),0),
  _xlpm.c, MATCH(CF$8,'3. Enter Indicator Scores'!$D$8:$CZ$8,0),
  _xlpm.v, IFERROR(INDEX('3. Enter Indicator Scores'!$D$10:$CZ$161,_xlpm.r,_xlpm.c),""),
  IF(OR(_xlpm.w="",_xlpm.v=""),"",_xlpm.v*_xlpm.w)
)</f>
        <v/>
      </c>
      <c r="CG50" s="93" t="str" cm="1">
        <f t="array" ref="CG50">_xlfn.LET(
  _xlpm.w, CG$11,
  _xlpm.r, MATCH(1,('3. Enter Indicator Scores'!$B$10:$B$161=$B50)*('3. Enter Indicator Scores'!$C$10:$C$161=$C50),0),
  _xlpm.c, MATCH(CG$8,'3. Enter Indicator Scores'!$D$8:$CZ$8,0),
  _xlpm.v, IFERROR(INDEX('3. Enter Indicator Scores'!$D$10:$CZ$161,_xlpm.r,_xlpm.c),""),
  IF(OR(_xlpm.w="",_xlpm.v=""),"",_xlpm.v*_xlpm.w)
)</f>
        <v/>
      </c>
      <c r="CH50" s="93" t="str" cm="1">
        <f t="array" ref="CH50">_xlfn.LET(
  _xlpm.w, CH$11,
  _xlpm.r, MATCH(1,('3. Enter Indicator Scores'!$B$10:$B$161=$B50)*('3. Enter Indicator Scores'!$C$10:$C$161=$C50),0),
  _xlpm.c, MATCH(CH$8,'3. Enter Indicator Scores'!$D$8:$CZ$8,0),
  _xlpm.v, IFERROR(INDEX('3. Enter Indicator Scores'!$D$10:$CZ$161,_xlpm.r,_xlpm.c),""),
  IF(OR(_xlpm.w="",_xlpm.v=""),"",_xlpm.v*_xlpm.w)
)</f>
        <v/>
      </c>
      <c r="CI50" s="93" t="str" cm="1">
        <f t="array" ref="CI50">_xlfn.LET(
  _xlpm.w, CI$11,
  _xlpm.r, MATCH(1,('3. Enter Indicator Scores'!$B$10:$B$161=$B50)*('3. Enter Indicator Scores'!$C$10:$C$161=$C50),0),
  _xlpm.c, MATCH(CI$8,'3. Enter Indicator Scores'!$D$8:$CZ$8,0),
  _xlpm.v, IFERROR(INDEX('3. Enter Indicator Scores'!$D$10:$CZ$161,_xlpm.r,_xlpm.c),""),
  IF(OR(_xlpm.w="",_xlpm.v=""),"",_xlpm.v*_xlpm.w)
)</f>
        <v/>
      </c>
      <c r="CJ50" s="93" t="str" cm="1">
        <f t="array" ref="CJ50">_xlfn.LET(
  _xlpm.w, CJ$11,
  _xlpm.r, MATCH(1,('3. Enter Indicator Scores'!$B$10:$B$161=$B50)*('3. Enter Indicator Scores'!$C$10:$C$161=$C50),0),
  _xlpm.c, MATCH(CJ$8,'3. Enter Indicator Scores'!$D$8:$CZ$8,0),
  _xlpm.v, IFERROR(INDEX('3. Enter Indicator Scores'!$D$10:$CZ$161,_xlpm.r,_xlpm.c),""),
  IF(OR(_xlpm.w="",_xlpm.v=""),"",_xlpm.v*_xlpm.w)
)</f>
        <v/>
      </c>
      <c r="CK50" s="93" t="str" cm="1">
        <f t="array" ref="CK50">_xlfn.LET(
  _xlpm.w, CK$11,
  _xlpm.r, MATCH(1,('3. Enter Indicator Scores'!$B$10:$B$161=$B50)*('3. Enter Indicator Scores'!$C$10:$C$161=$C50),0),
  _xlpm.c, MATCH(CK$8,'3. Enter Indicator Scores'!$D$8:$CZ$8,0),
  _xlpm.v, IFERROR(INDEX('3. Enter Indicator Scores'!$D$10:$CZ$161,_xlpm.r,_xlpm.c),""),
  IF(OR(_xlpm.w="",_xlpm.v=""),"",_xlpm.v*_xlpm.w)
)</f>
        <v/>
      </c>
      <c r="CL50" s="93" t="str" cm="1">
        <f t="array" ref="CL50">_xlfn.LET(
  _xlpm.w, CL$11,
  _xlpm.r, MATCH(1,('3. Enter Indicator Scores'!$B$10:$B$161=$B50)*('3. Enter Indicator Scores'!$C$10:$C$161=$C50),0),
  _xlpm.c, MATCH(CL$8,'3. Enter Indicator Scores'!$D$8:$CZ$8,0),
  _xlpm.v, IFERROR(INDEX('3. Enter Indicator Scores'!$D$10:$CZ$161,_xlpm.r,_xlpm.c),""),
  IF(OR(_xlpm.w="",_xlpm.v=""),"",_xlpm.v*_xlpm.w)
)</f>
        <v/>
      </c>
      <c r="CM50" s="93" t="str" cm="1">
        <f t="array" ref="CM50">_xlfn.LET(
  _xlpm.w, CM$11,
  _xlpm.r, MATCH(1,('3. Enter Indicator Scores'!$B$10:$B$161=$B50)*('3. Enter Indicator Scores'!$C$10:$C$161=$C50),0),
  _xlpm.c, MATCH(CM$8,'3. Enter Indicator Scores'!$D$8:$CZ$8,0),
  _xlpm.v, IFERROR(INDEX('3. Enter Indicator Scores'!$D$10:$CZ$161,_xlpm.r,_xlpm.c),""),
  IF(OR(_xlpm.w="",_xlpm.v=""),"",_xlpm.v*_xlpm.w)
)</f>
        <v/>
      </c>
      <c r="CN50" s="93" t="str" cm="1">
        <f t="array" ref="CN50">_xlfn.LET(
  _xlpm.w, CN$11,
  _xlpm.r, MATCH(1,('3. Enter Indicator Scores'!$B$10:$B$161=$B50)*('3. Enter Indicator Scores'!$C$10:$C$161=$C50),0),
  _xlpm.c, MATCH(CN$8,'3. Enter Indicator Scores'!$D$8:$CZ$8,0),
  _xlpm.v, IFERROR(INDEX('3. Enter Indicator Scores'!$D$10:$CZ$161,_xlpm.r,_xlpm.c),""),
  IF(OR(_xlpm.w="",_xlpm.v=""),"",_xlpm.v*_xlpm.w)
)</f>
        <v/>
      </c>
      <c r="CO50" s="93" t="str" cm="1">
        <f t="array" ref="CO50">_xlfn.LET(
  _xlpm.w, CO$11,
  _xlpm.r, MATCH(1,('3. Enter Indicator Scores'!$B$10:$B$161=$B50)*('3. Enter Indicator Scores'!$C$10:$C$161=$C50),0),
  _xlpm.c, MATCH(CO$8,'3. Enter Indicator Scores'!$D$8:$CZ$8,0),
  _xlpm.v, IFERROR(INDEX('3. Enter Indicator Scores'!$D$10:$CZ$161,_xlpm.r,_xlpm.c),""),
  IF(OR(_xlpm.w="",_xlpm.v=""),"",_xlpm.v*_xlpm.w)
)</f>
        <v/>
      </c>
      <c r="CP50" s="93" t="str" cm="1">
        <f t="array" ref="CP50">_xlfn.LET(
  _xlpm.w, CP$11,
  _xlpm.r, MATCH(1,('3. Enter Indicator Scores'!$B$10:$B$161=$B50)*('3. Enter Indicator Scores'!$C$10:$C$161=$C50),0),
  _xlpm.c, MATCH(CP$8,'3. Enter Indicator Scores'!$D$8:$CZ$8,0),
  _xlpm.v, IFERROR(INDEX('3. Enter Indicator Scores'!$D$10:$CZ$161,_xlpm.r,_xlpm.c),""),
  IF(OR(_xlpm.w="",_xlpm.v=""),"",_xlpm.v*_xlpm.w)
)</f>
        <v/>
      </c>
      <c r="CQ50" s="93" t="str" cm="1">
        <f t="array" ref="CQ50">_xlfn.LET(
  _xlpm.w, CQ$11,
  _xlpm.r, MATCH(1,('3. Enter Indicator Scores'!$B$10:$B$161=$B50)*('3. Enter Indicator Scores'!$C$10:$C$161=$C50),0),
  _xlpm.c, MATCH(CQ$8,'3. Enter Indicator Scores'!$D$8:$CZ$8,0),
  _xlpm.v, IFERROR(INDEX('3. Enter Indicator Scores'!$D$10:$CZ$161,_xlpm.r,_xlpm.c),""),
  IF(OR(_xlpm.w="",_xlpm.v=""),"",_xlpm.v*_xlpm.w)
)</f>
        <v/>
      </c>
      <c r="CR50" s="93" t="str" cm="1">
        <f t="array" ref="CR50">_xlfn.LET(
  _xlpm.w, CR$11,
  _xlpm.r, MATCH(1,('3. Enter Indicator Scores'!$B$10:$B$161=$B50)*('3. Enter Indicator Scores'!$C$10:$C$161=$C50),0),
  _xlpm.c, MATCH(CR$8,'3. Enter Indicator Scores'!$D$8:$CZ$8,0),
  _xlpm.v, IFERROR(INDEX('3. Enter Indicator Scores'!$D$10:$CZ$161,_xlpm.r,_xlpm.c),""),
  IF(OR(_xlpm.w="",_xlpm.v=""),"",_xlpm.v*_xlpm.w)
)</f>
        <v/>
      </c>
      <c r="CS50" s="93" t="str" cm="1">
        <f t="array" ref="CS50">_xlfn.LET(
  _xlpm.w, CS$11,
  _xlpm.r, MATCH(1,('3. Enter Indicator Scores'!$B$10:$B$161=$B50)*('3. Enter Indicator Scores'!$C$10:$C$161=$C50),0),
  _xlpm.c, MATCH(CS$8,'3. Enter Indicator Scores'!$D$8:$CZ$8,0),
  _xlpm.v, IFERROR(INDEX('3. Enter Indicator Scores'!$D$10:$CZ$161,_xlpm.r,_xlpm.c),""),
  IF(OR(_xlpm.w="",_xlpm.v=""),"",_xlpm.v*_xlpm.w)
)</f>
        <v/>
      </c>
      <c r="CT50" s="93" t="str" cm="1">
        <f t="array" ref="CT50">_xlfn.LET(
  _xlpm.w, CT$11,
  _xlpm.r, MATCH(1,('3. Enter Indicator Scores'!$B$10:$B$161=$B50)*('3. Enter Indicator Scores'!$C$10:$C$161=$C50),0),
  _xlpm.c, MATCH(CT$8,'3. Enter Indicator Scores'!$D$8:$CZ$8,0),
  _xlpm.v, IFERROR(INDEX('3. Enter Indicator Scores'!$D$10:$CZ$161,_xlpm.r,_xlpm.c),""),
  IF(OR(_xlpm.w="",_xlpm.v=""),"",_xlpm.v*_xlpm.w)
)</f>
        <v/>
      </c>
      <c r="CU50" s="93" t="str" cm="1">
        <f t="array" ref="CU50">_xlfn.LET(
  _xlpm.w, CU$11,
  _xlpm.r, MATCH(1,('3. Enter Indicator Scores'!$B$10:$B$161=$B50)*('3. Enter Indicator Scores'!$C$10:$C$161=$C50),0),
  _xlpm.c, MATCH(CU$8,'3. Enter Indicator Scores'!$D$8:$CZ$8,0),
  _xlpm.v, IFERROR(INDEX('3. Enter Indicator Scores'!$D$10:$CZ$161,_xlpm.r,_xlpm.c),""),
  IF(OR(_xlpm.w="",_xlpm.v=""),"",_xlpm.v*_xlpm.w)
)</f>
        <v/>
      </c>
      <c r="CV50" s="93" t="str" cm="1">
        <f t="array" ref="CV50">_xlfn.LET(
  _xlpm.w, CV$11,
  _xlpm.r, MATCH(1,('3. Enter Indicator Scores'!$B$10:$B$161=$B50)*('3. Enter Indicator Scores'!$C$10:$C$161=$C50),0),
  _xlpm.c, MATCH(CV$8,'3. Enter Indicator Scores'!$D$8:$CZ$8,0),
  _xlpm.v, IFERROR(INDEX('3. Enter Indicator Scores'!$D$10:$CZ$161,_xlpm.r,_xlpm.c),""),
  IF(OR(_xlpm.w="",_xlpm.v=""),"",_xlpm.v*_xlpm.w)
)</f>
        <v/>
      </c>
      <c r="CW50" s="93" t="str" cm="1">
        <f t="array" ref="CW50">_xlfn.LET(
  _xlpm.w, CW$11,
  _xlpm.r, MATCH(1,('3. Enter Indicator Scores'!$B$10:$B$161=$B50)*('3. Enter Indicator Scores'!$C$10:$C$161=$C50),0),
  _xlpm.c, MATCH(CW$8,'3. Enter Indicator Scores'!$D$8:$CZ$8,0),
  _xlpm.v, IFERROR(INDEX('3. Enter Indicator Scores'!$D$10:$CZ$161,_xlpm.r,_xlpm.c),""),
  IF(OR(_xlpm.w="",_xlpm.v=""),"",_xlpm.v*_xlpm.w)
)</f>
        <v/>
      </c>
      <c r="CX50" s="93" t="str" cm="1">
        <f t="array" ref="CX50">_xlfn.LET(
  _xlpm.w, CX$11,
  _xlpm.r, MATCH(1,('3. Enter Indicator Scores'!$B$10:$B$161=$B50)*('3. Enter Indicator Scores'!$C$10:$C$161=$C50),0),
  _xlpm.c, MATCH(CX$8,'3. Enter Indicator Scores'!$D$8:$CZ$8,0),
  _xlpm.v, IFERROR(INDEX('3. Enter Indicator Scores'!$D$10:$CZ$161,_xlpm.r,_xlpm.c),""),
  IF(OR(_xlpm.w="",_xlpm.v=""),"",_xlpm.v*_xlpm.w)
)</f>
        <v/>
      </c>
      <c r="CY50" s="93" t="str" cm="1">
        <f t="array" ref="CY50">_xlfn.LET(
  _xlpm.w, CY$11,
  _xlpm.r, MATCH(1,('3. Enter Indicator Scores'!$B$10:$B$161=$B50)*('3. Enter Indicator Scores'!$C$10:$C$161=$C50),0),
  _xlpm.c, MATCH(CY$8,'3. Enter Indicator Scores'!$D$8:$CZ$8,0),
  _xlpm.v, IFERROR(INDEX('3. Enter Indicator Scores'!$D$10:$CZ$161,_xlpm.r,_xlpm.c),""),
  IF(OR(_xlpm.w="",_xlpm.v=""),"",_xlpm.v*_xlpm.w)
)</f>
        <v/>
      </c>
      <c r="CZ50" s="93" t="str" cm="1">
        <f t="array" ref="CZ50">_xlfn.LET(
  _xlpm.w, CZ$11,
  _xlpm.r, MATCH(1,('3. Enter Indicator Scores'!$B$10:$B$161=$B50)*('3. Enter Indicator Scores'!$C$10:$C$161=$C50),0),
  _xlpm.c, MATCH(CZ$8,'3. Enter Indicator Scores'!$D$8:$CZ$8,0),
  _xlpm.v, IFERROR(INDEX('3. Enter Indicator Scores'!$D$10:$CZ$161,_xlpm.r,_xlpm.c),""),
  IF(OR(_xlpm.w="",_xlpm.v=""),"",_xlpm.v*_xlpm.w)
)</f>
        <v/>
      </c>
    </row>
    <row r="51" spans="4:104" x14ac:dyDescent="0.2">
      <c r="D51" s="93" t="str" cm="1">
        <f t="array" ref="D51">_xlfn.LET(
  _xlpm.w, D$11,
  _xlpm.r, MATCH(1,('3. Enter Indicator Scores'!$B$10:$B$161=$B51)*('3. Enter Indicator Scores'!$C$10:$C$161=$C51),0),
  _xlpm.c, MATCH(D$8,'3. Enter Indicator Scores'!$D$8:$CZ$8,0),
  _xlpm.v, IFERROR(INDEX('3. Enter Indicator Scores'!$D$10:$CZ$161,_xlpm.r,_xlpm.c),""),
  IF(OR(_xlpm.w="",_xlpm.v=""),"",_xlpm.v*_xlpm.w)
)</f>
        <v/>
      </c>
      <c r="E51" s="93" t="str" cm="1">
        <f t="array" ref="E51">_xlfn.LET(
  _xlpm.w, E$11,
  _xlpm.r, MATCH(1,('3. Enter Indicator Scores'!$B$10:$B$161=$B51)*('3. Enter Indicator Scores'!$C$10:$C$161=$C51),0),
  _xlpm.c, MATCH(E$8,'3. Enter Indicator Scores'!$D$8:$CZ$8,0),
  _xlpm.v, IFERROR(INDEX('3. Enter Indicator Scores'!$D$10:$CZ$161,_xlpm.r,_xlpm.c),""),
  IF(OR(_xlpm.w="",_xlpm.v=""),"",_xlpm.v*_xlpm.w)
)</f>
        <v/>
      </c>
      <c r="F51" s="93" t="str" cm="1">
        <f t="array" ref="F51">_xlfn.LET(
  _xlpm.w, F$11,
  _xlpm.r, MATCH(1,('3. Enter Indicator Scores'!$B$10:$B$161=$B51)*('3. Enter Indicator Scores'!$C$10:$C$161=$C51),0),
  _xlpm.c, MATCH(F$8,'3. Enter Indicator Scores'!$D$8:$CZ$8,0),
  _xlpm.v, IFERROR(INDEX('3. Enter Indicator Scores'!$D$10:$CZ$161,_xlpm.r,_xlpm.c),""),
  IF(OR(_xlpm.w="",_xlpm.v=""),"",_xlpm.v*_xlpm.w)
)</f>
        <v/>
      </c>
      <c r="G51" s="93" t="str" cm="1">
        <f t="array" ref="G51">_xlfn.LET(
  _xlpm.w, G$11,
  _xlpm.r, MATCH(1,('3. Enter Indicator Scores'!$B$10:$B$161=$B51)*('3. Enter Indicator Scores'!$C$10:$C$161=$C51),0),
  _xlpm.c, MATCH(G$8,'3. Enter Indicator Scores'!$D$8:$CZ$8,0),
  _xlpm.v, IFERROR(INDEX('3. Enter Indicator Scores'!$D$10:$CZ$161,_xlpm.r,_xlpm.c),""),
  IF(OR(_xlpm.w="",_xlpm.v=""),"",_xlpm.v*_xlpm.w)
)</f>
        <v/>
      </c>
      <c r="H51" s="93" t="str" cm="1">
        <f t="array" ref="H51">_xlfn.LET(
  _xlpm.w, H$11,
  _xlpm.r, MATCH(1,('3. Enter Indicator Scores'!$B$10:$B$161=$B51)*('3. Enter Indicator Scores'!$C$10:$C$161=$C51),0),
  _xlpm.c, MATCH(H$8,'3. Enter Indicator Scores'!$D$8:$CZ$8,0),
  _xlpm.v, IFERROR(INDEX('3. Enter Indicator Scores'!$D$10:$CZ$161,_xlpm.r,_xlpm.c),""),
  IF(OR(_xlpm.w="",_xlpm.v=""),"",_xlpm.v*_xlpm.w)
)</f>
        <v/>
      </c>
      <c r="I51" s="93" t="str" cm="1">
        <f t="array" ref="I51">_xlfn.LET(
  _xlpm.w, I$11,
  _xlpm.r, MATCH(1,('3. Enter Indicator Scores'!$B$10:$B$161=$B51)*('3. Enter Indicator Scores'!$C$10:$C$161=$C51),0),
  _xlpm.c, MATCH(I$8,'3. Enter Indicator Scores'!$D$8:$CZ$8,0),
  _xlpm.v, IFERROR(INDEX('3. Enter Indicator Scores'!$D$10:$CZ$161,_xlpm.r,_xlpm.c),""),
  IF(OR(_xlpm.w="",_xlpm.v=""),"",_xlpm.v*_xlpm.w)
)</f>
        <v/>
      </c>
      <c r="J51" s="93" t="str" cm="1">
        <f t="array" ref="J51">_xlfn.LET(
  _xlpm.w, J$11,
  _xlpm.r, MATCH(1,('3. Enter Indicator Scores'!$B$10:$B$161=$B51)*('3. Enter Indicator Scores'!$C$10:$C$161=$C51),0),
  _xlpm.c, MATCH(J$8,'3. Enter Indicator Scores'!$D$8:$CZ$8,0),
  _xlpm.v, IFERROR(INDEX('3. Enter Indicator Scores'!$D$10:$CZ$161,_xlpm.r,_xlpm.c),""),
  IF(OR(_xlpm.w="",_xlpm.v=""),"",_xlpm.v*_xlpm.w)
)</f>
        <v/>
      </c>
      <c r="K51" s="93" t="str" cm="1">
        <f t="array" ref="K51">_xlfn.LET(
  _xlpm.w, K$11,
  _xlpm.r, MATCH(1,('3. Enter Indicator Scores'!$B$10:$B$161=$B51)*('3. Enter Indicator Scores'!$C$10:$C$161=$C51),0),
  _xlpm.c, MATCH(K$8,'3. Enter Indicator Scores'!$D$8:$CZ$8,0),
  _xlpm.v, IFERROR(INDEX('3. Enter Indicator Scores'!$D$10:$CZ$161,_xlpm.r,_xlpm.c),""),
  IF(OR(_xlpm.w="",_xlpm.v=""),"",_xlpm.v*_xlpm.w)
)</f>
        <v/>
      </c>
      <c r="L51" s="93" t="str" cm="1">
        <f t="array" ref="L51">_xlfn.LET(
  _xlpm.w, L$11,
  _xlpm.r, MATCH(1,('3. Enter Indicator Scores'!$B$10:$B$161=$B51)*('3. Enter Indicator Scores'!$C$10:$C$161=$C51),0),
  _xlpm.c, MATCH(L$8,'3. Enter Indicator Scores'!$D$8:$CZ$8,0),
  _xlpm.v, IFERROR(INDEX('3. Enter Indicator Scores'!$D$10:$CZ$161,_xlpm.r,_xlpm.c),""),
  IF(OR(_xlpm.w="",_xlpm.v=""),"",_xlpm.v*_xlpm.w)
)</f>
        <v/>
      </c>
      <c r="M51" s="93" t="str" cm="1">
        <f t="array" ref="M51">_xlfn.LET(
  _xlpm.w, M$11,
  _xlpm.r, MATCH(1,('3. Enter Indicator Scores'!$B$10:$B$161=$B51)*('3. Enter Indicator Scores'!$C$10:$C$161=$C51),0),
  _xlpm.c, MATCH(M$8,'3. Enter Indicator Scores'!$D$8:$CZ$8,0),
  _xlpm.v, IFERROR(INDEX('3. Enter Indicator Scores'!$D$10:$CZ$161,_xlpm.r,_xlpm.c),""),
  IF(OR(_xlpm.w="",_xlpm.v=""),"",_xlpm.v*_xlpm.w)
)</f>
        <v/>
      </c>
      <c r="N51" s="93" t="str" cm="1">
        <f t="array" ref="N51">_xlfn.LET(
  _xlpm.w, N$11,
  _xlpm.r, MATCH(1,('3. Enter Indicator Scores'!$B$10:$B$161=$B51)*('3. Enter Indicator Scores'!$C$10:$C$161=$C51),0),
  _xlpm.c, MATCH(N$8,'3. Enter Indicator Scores'!$D$8:$CZ$8,0),
  _xlpm.v, IFERROR(INDEX('3. Enter Indicator Scores'!$D$10:$CZ$161,_xlpm.r,_xlpm.c),""),
  IF(OR(_xlpm.w="",_xlpm.v=""),"",_xlpm.v*_xlpm.w)
)</f>
        <v/>
      </c>
      <c r="O51" s="93" t="str" cm="1">
        <f t="array" ref="O51">_xlfn.LET(
  _xlpm.w, O$11,
  _xlpm.r, MATCH(1,('3. Enter Indicator Scores'!$B$10:$B$161=$B51)*('3. Enter Indicator Scores'!$C$10:$C$161=$C51),0),
  _xlpm.c, MATCH(O$8,'3. Enter Indicator Scores'!$D$8:$CZ$8,0),
  _xlpm.v, IFERROR(INDEX('3. Enter Indicator Scores'!$D$10:$CZ$161,_xlpm.r,_xlpm.c),""),
  IF(OR(_xlpm.w="",_xlpm.v=""),"",_xlpm.v*_xlpm.w)
)</f>
        <v/>
      </c>
      <c r="P51" s="93" t="str" cm="1">
        <f t="array" ref="P51">_xlfn.LET(
  _xlpm.w, P$11,
  _xlpm.r, MATCH(1,('3. Enter Indicator Scores'!$B$10:$B$161=$B51)*('3. Enter Indicator Scores'!$C$10:$C$161=$C51),0),
  _xlpm.c, MATCH(P$8,'3. Enter Indicator Scores'!$D$8:$CZ$8,0),
  _xlpm.v, IFERROR(INDEX('3. Enter Indicator Scores'!$D$10:$CZ$161,_xlpm.r,_xlpm.c),""),
  IF(OR(_xlpm.w="",_xlpm.v=""),"",_xlpm.v*_xlpm.w)
)</f>
        <v/>
      </c>
      <c r="Q51" s="93" t="str" cm="1">
        <f t="array" ref="Q51">_xlfn.LET(
  _xlpm.w, Q$11,
  _xlpm.r, MATCH(1,('3. Enter Indicator Scores'!$B$10:$B$161=$B51)*('3. Enter Indicator Scores'!$C$10:$C$161=$C51),0),
  _xlpm.c, MATCH(Q$8,'3. Enter Indicator Scores'!$D$8:$CZ$8,0),
  _xlpm.v, IFERROR(INDEX('3. Enter Indicator Scores'!$D$10:$CZ$161,_xlpm.r,_xlpm.c),""),
  IF(OR(_xlpm.w="",_xlpm.v=""),"",_xlpm.v*_xlpm.w)
)</f>
        <v/>
      </c>
      <c r="R51" s="93" t="str" cm="1">
        <f t="array" ref="R51">_xlfn.LET(
  _xlpm.w, R$11,
  _xlpm.r, MATCH(1,('3. Enter Indicator Scores'!$B$10:$B$161=$B51)*('3. Enter Indicator Scores'!$C$10:$C$161=$C51),0),
  _xlpm.c, MATCH(R$8,'3. Enter Indicator Scores'!$D$8:$CZ$8,0),
  _xlpm.v, IFERROR(INDEX('3. Enter Indicator Scores'!$D$10:$CZ$161,_xlpm.r,_xlpm.c),""),
  IF(OR(_xlpm.w="",_xlpm.v=""),"",_xlpm.v*_xlpm.w)
)</f>
        <v/>
      </c>
      <c r="S51" s="93" t="str" cm="1">
        <f t="array" ref="S51">_xlfn.LET(
  _xlpm.w, S$11,
  _xlpm.r, MATCH(1,('3. Enter Indicator Scores'!$B$10:$B$161=$B51)*('3. Enter Indicator Scores'!$C$10:$C$161=$C51),0),
  _xlpm.c, MATCH(S$8,'3. Enter Indicator Scores'!$D$8:$CZ$8,0),
  _xlpm.v, IFERROR(INDEX('3. Enter Indicator Scores'!$D$10:$CZ$161,_xlpm.r,_xlpm.c),""),
  IF(OR(_xlpm.w="",_xlpm.v=""),"",_xlpm.v*_xlpm.w)
)</f>
        <v/>
      </c>
      <c r="T51" s="93" t="str" cm="1">
        <f t="array" ref="T51">_xlfn.LET(
  _xlpm.w, T$11,
  _xlpm.r, MATCH(1,('3. Enter Indicator Scores'!$B$10:$B$161=$B51)*('3. Enter Indicator Scores'!$C$10:$C$161=$C51),0),
  _xlpm.c, MATCH(T$8,'3. Enter Indicator Scores'!$D$8:$CZ$8,0),
  _xlpm.v, IFERROR(INDEX('3. Enter Indicator Scores'!$D$10:$CZ$161,_xlpm.r,_xlpm.c),""),
  IF(OR(_xlpm.w="",_xlpm.v=""),"",_xlpm.v*_xlpm.w)
)</f>
        <v/>
      </c>
      <c r="U51" s="93" t="str" cm="1">
        <f t="array" ref="U51">_xlfn.LET(
  _xlpm.w, U$11,
  _xlpm.r, MATCH(1,('3. Enter Indicator Scores'!$B$10:$B$161=$B51)*('3. Enter Indicator Scores'!$C$10:$C$161=$C51),0),
  _xlpm.c, MATCH(U$8,'3. Enter Indicator Scores'!$D$8:$CZ$8,0),
  _xlpm.v, IFERROR(INDEX('3. Enter Indicator Scores'!$D$10:$CZ$161,_xlpm.r,_xlpm.c),""),
  IF(OR(_xlpm.w="",_xlpm.v=""),"",_xlpm.v*_xlpm.w)
)</f>
        <v/>
      </c>
      <c r="V51" s="93" t="str" cm="1">
        <f t="array" ref="V51">_xlfn.LET(
  _xlpm.w, V$11,
  _xlpm.r, MATCH(1,('3. Enter Indicator Scores'!$B$10:$B$161=$B51)*('3. Enter Indicator Scores'!$C$10:$C$161=$C51),0),
  _xlpm.c, MATCH(V$8,'3. Enter Indicator Scores'!$D$8:$CZ$8,0),
  _xlpm.v, IFERROR(INDEX('3. Enter Indicator Scores'!$D$10:$CZ$161,_xlpm.r,_xlpm.c),""),
  IF(OR(_xlpm.w="",_xlpm.v=""),"",_xlpm.v*_xlpm.w)
)</f>
        <v/>
      </c>
      <c r="W51" s="93" t="str" cm="1">
        <f t="array" ref="W51">_xlfn.LET(
  _xlpm.w, W$11,
  _xlpm.r, MATCH(1,('3. Enter Indicator Scores'!$B$10:$B$161=$B51)*('3. Enter Indicator Scores'!$C$10:$C$161=$C51),0),
  _xlpm.c, MATCH(W$8,'3. Enter Indicator Scores'!$D$8:$CZ$8,0),
  _xlpm.v, IFERROR(INDEX('3. Enter Indicator Scores'!$D$10:$CZ$161,_xlpm.r,_xlpm.c),""),
  IF(OR(_xlpm.w="",_xlpm.v=""),"",_xlpm.v*_xlpm.w)
)</f>
        <v/>
      </c>
      <c r="X51" s="93" t="str" cm="1">
        <f t="array" ref="X51">_xlfn.LET(
  _xlpm.w, X$11,
  _xlpm.r, MATCH(1,('3. Enter Indicator Scores'!$B$10:$B$161=$B51)*('3. Enter Indicator Scores'!$C$10:$C$161=$C51),0),
  _xlpm.c, MATCH(X$8,'3. Enter Indicator Scores'!$D$8:$CZ$8,0),
  _xlpm.v, IFERROR(INDEX('3. Enter Indicator Scores'!$D$10:$CZ$161,_xlpm.r,_xlpm.c),""),
  IF(OR(_xlpm.w="",_xlpm.v=""),"",_xlpm.v*_xlpm.w)
)</f>
        <v/>
      </c>
      <c r="Y51" s="93" t="str" cm="1">
        <f t="array" ref="Y51">_xlfn.LET(
  _xlpm.w, Y$11,
  _xlpm.r, MATCH(1,('3. Enter Indicator Scores'!$B$10:$B$161=$B51)*('3. Enter Indicator Scores'!$C$10:$C$161=$C51),0),
  _xlpm.c, MATCH(Y$8,'3. Enter Indicator Scores'!$D$8:$CZ$8,0),
  _xlpm.v, IFERROR(INDEX('3. Enter Indicator Scores'!$D$10:$CZ$161,_xlpm.r,_xlpm.c),""),
  IF(OR(_xlpm.w="",_xlpm.v=""),"",_xlpm.v*_xlpm.w)
)</f>
        <v/>
      </c>
      <c r="Z51" s="93" t="str" cm="1">
        <f t="array" ref="Z51">_xlfn.LET(
  _xlpm.w, Z$11,
  _xlpm.r, MATCH(1,('3. Enter Indicator Scores'!$B$10:$B$161=$B51)*('3. Enter Indicator Scores'!$C$10:$C$161=$C51),0),
  _xlpm.c, MATCH(Z$8,'3. Enter Indicator Scores'!$D$8:$CZ$8,0),
  _xlpm.v, IFERROR(INDEX('3. Enter Indicator Scores'!$D$10:$CZ$161,_xlpm.r,_xlpm.c),""),
  IF(OR(_xlpm.w="",_xlpm.v=""),"",_xlpm.v*_xlpm.w)
)</f>
        <v/>
      </c>
      <c r="AA51" s="93" t="str" cm="1">
        <f t="array" ref="AA51">_xlfn.LET(
  _xlpm.w, AA$11,
  _xlpm.r, MATCH(1,('3. Enter Indicator Scores'!$B$10:$B$161=$B51)*('3. Enter Indicator Scores'!$C$10:$C$161=$C51),0),
  _xlpm.c, MATCH(AA$8,'3. Enter Indicator Scores'!$D$8:$CZ$8,0),
  _xlpm.v, IFERROR(INDEX('3. Enter Indicator Scores'!$D$10:$CZ$161,_xlpm.r,_xlpm.c),""),
  IF(OR(_xlpm.w="",_xlpm.v=""),"",_xlpm.v*_xlpm.w)
)</f>
        <v/>
      </c>
      <c r="AB51" s="93" t="str" cm="1">
        <f t="array" ref="AB51">_xlfn.LET(
  _xlpm.w, AB$11,
  _xlpm.r, MATCH(1,('3. Enter Indicator Scores'!$B$10:$B$161=$B51)*('3. Enter Indicator Scores'!$C$10:$C$161=$C51),0),
  _xlpm.c, MATCH(AB$8,'3. Enter Indicator Scores'!$D$8:$CZ$8,0),
  _xlpm.v, IFERROR(INDEX('3. Enter Indicator Scores'!$D$10:$CZ$161,_xlpm.r,_xlpm.c),""),
  IF(OR(_xlpm.w="",_xlpm.v=""),"",_xlpm.v*_xlpm.w)
)</f>
        <v/>
      </c>
      <c r="AC51" s="93" t="str" cm="1">
        <f t="array" ref="AC51">_xlfn.LET(
  _xlpm.w, AC$11,
  _xlpm.r, MATCH(1,('3. Enter Indicator Scores'!$B$10:$B$161=$B51)*('3. Enter Indicator Scores'!$C$10:$C$161=$C51),0),
  _xlpm.c, MATCH(AC$8,'3. Enter Indicator Scores'!$D$8:$CZ$8,0),
  _xlpm.v, IFERROR(INDEX('3. Enter Indicator Scores'!$D$10:$CZ$161,_xlpm.r,_xlpm.c),""),
  IF(OR(_xlpm.w="",_xlpm.v=""),"",_xlpm.v*_xlpm.w)
)</f>
        <v/>
      </c>
      <c r="AD51" s="93" t="str" cm="1">
        <f t="array" ref="AD51">_xlfn.LET(
  _xlpm.w, AD$11,
  _xlpm.r, MATCH(1,('3. Enter Indicator Scores'!$B$10:$B$161=$B51)*('3. Enter Indicator Scores'!$C$10:$C$161=$C51),0),
  _xlpm.c, MATCH(AD$8,'3. Enter Indicator Scores'!$D$8:$CZ$8,0),
  _xlpm.v, IFERROR(INDEX('3. Enter Indicator Scores'!$D$10:$CZ$161,_xlpm.r,_xlpm.c),""),
  IF(OR(_xlpm.w="",_xlpm.v=""),"",_xlpm.v*_xlpm.w)
)</f>
        <v/>
      </c>
      <c r="AE51" s="93" t="str" cm="1">
        <f t="array" ref="AE51">_xlfn.LET(
  _xlpm.w, AE$11,
  _xlpm.r, MATCH(1,('3. Enter Indicator Scores'!$B$10:$B$161=$B51)*('3. Enter Indicator Scores'!$C$10:$C$161=$C51),0),
  _xlpm.c, MATCH(AE$8,'3. Enter Indicator Scores'!$D$8:$CZ$8,0),
  _xlpm.v, IFERROR(INDEX('3. Enter Indicator Scores'!$D$10:$CZ$161,_xlpm.r,_xlpm.c),""),
  IF(OR(_xlpm.w="",_xlpm.v=""),"",_xlpm.v*_xlpm.w)
)</f>
        <v/>
      </c>
      <c r="AF51" s="93" t="str" cm="1">
        <f t="array" ref="AF51">_xlfn.LET(
  _xlpm.w, AF$11,
  _xlpm.r, MATCH(1,('3. Enter Indicator Scores'!$B$10:$B$161=$B51)*('3. Enter Indicator Scores'!$C$10:$C$161=$C51),0),
  _xlpm.c, MATCH(AF$8,'3. Enter Indicator Scores'!$D$8:$CZ$8,0),
  _xlpm.v, IFERROR(INDEX('3. Enter Indicator Scores'!$D$10:$CZ$161,_xlpm.r,_xlpm.c),""),
  IF(OR(_xlpm.w="",_xlpm.v=""),"",_xlpm.v*_xlpm.w)
)</f>
        <v/>
      </c>
      <c r="AG51" s="93" t="str" cm="1">
        <f t="array" ref="AG51">_xlfn.LET(
  _xlpm.w, AG$11,
  _xlpm.r, MATCH(1,('3. Enter Indicator Scores'!$B$10:$B$161=$B51)*('3. Enter Indicator Scores'!$C$10:$C$161=$C51),0),
  _xlpm.c, MATCH(AG$8,'3. Enter Indicator Scores'!$D$8:$CZ$8,0),
  _xlpm.v, IFERROR(INDEX('3. Enter Indicator Scores'!$D$10:$CZ$161,_xlpm.r,_xlpm.c),""),
  IF(OR(_xlpm.w="",_xlpm.v=""),"",_xlpm.v*_xlpm.w)
)</f>
        <v/>
      </c>
      <c r="AH51" s="93" t="str" cm="1">
        <f t="array" ref="AH51">_xlfn.LET(
  _xlpm.w, AH$11,
  _xlpm.r, MATCH(1,('3. Enter Indicator Scores'!$B$10:$B$161=$B51)*('3. Enter Indicator Scores'!$C$10:$C$161=$C51),0),
  _xlpm.c, MATCH(AH$8,'3. Enter Indicator Scores'!$D$8:$CZ$8,0),
  _xlpm.v, IFERROR(INDEX('3. Enter Indicator Scores'!$D$10:$CZ$161,_xlpm.r,_xlpm.c),""),
  IF(OR(_xlpm.w="",_xlpm.v=""),"",_xlpm.v*_xlpm.w)
)</f>
        <v/>
      </c>
      <c r="AI51" s="93" t="str" cm="1">
        <f t="array" ref="AI51">_xlfn.LET(
  _xlpm.w, AI$11,
  _xlpm.r, MATCH(1,('3. Enter Indicator Scores'!$B$10:$B$161=$B51)*('3. Enter Indicator Scores'!$C$10:$C$161=$C51),0),
  _xlpm.c, MATCH(AI$8,'3. Enter Indicator Scores'!$D$8:$CZ$8,0),
  _xlpm.v, IFERROR(INDEX('3. Enter Indicator Scores'!$D$10:$CZ$161,_xlpm.r,_xlpm.c),""),
  IF(OR(_xlpm.w="",_xlpm.v=""),"",_xlpm.v*_xlpm.w)
)</f>
        <v/>
      </c>
      <c r="AJ51" s="93" t="str" cm="1">
        <f t="array" ref="AJ51">_xlfn.LET(
  _xlpm.w, AJ$11,
  _xlpm.r, MATCH(1,('3. Enter Indicator Scores'!$B$10:$B$161=$B51)*('3. Enter Indicator Scores'!$C$10:$C$161=$C51),0),
  _xlpm.c, MATCH(AJ$8,'3. Enter Indicator Scores'!$D$8:$CZ$8,0),
  _xlpm.v, IFERROR(INDEX('3. Enter Indicator Scores'!$D$10:$CZ$161,_xlpm.r,_xlpm.c),""),
  IF(OR(_xlpm.w="",_xlpm.v=""),"",_xlpm.v*_xlpm.w)
)</f>
        <v/>
      </c>
      <c r="AK51" s="93" t="str" cm="1">
        <f t="array" ref="AK51">_xlfn.LET(
  _xlpm.w, AK$11,
  _xlpm.r, MATCH(1,('3. Enter Indicator Scores'!$B$10:$B$161=$B51)*('3. Enter Indicator Scores'!$C$10:$C$161=$C51),0),
  _xlpm.c, MATCH(AK$8,'3. Enter Indicator Scores'!$D$8:$CZ$8,0),
  _xlpm.v, IFERROR(INDEX('3. Enter Indicator Scores'!$D$10:$CZ$161,_xlpm.r,_xlpm.c),""),
  IF(OR(_xlpm.w="",_xlpm.v=""),"",_xlpm.v*_xlpm.w)
)</f>
        <v/>
      </c>
      <c r="AL51" s="93" t="str" cm="1">
        <f t="array" ref="AL51">_xlfn.LET(
  _xlpm.w, AL$11,
  _xlpm.r, MATCH(1,('3. Enter Indicator Scores'!$B$10:$B$161=$B51)*('3. Enter Indicator Scores'!$C$10:$C$161=$C51),0),
  _xlpm.c, MATCH(AL$8,'3. Enter Indicator Scores'!$D$8:$CZ$8,0),
  _xlpm.v, IFERROR(INDEX('3. Enter Indicator Scores'!$D$10:$CZ$161,_xlpm.r,_xlpm.c),""),
  IF(OR(_xlpm.w="",_xlpm.v=""),"",_xlpm.v*_xlpm.w)
)</f>
        <v/>
      </c>
      <c r="AM51" s="93" t="str" cm="1">
        <f t="array" ref="AM51">_xlfn.LET(
  _xlpm.w, AM$11,
  _xlpm.r, MATCH(1,('3. Enter Indicator Scores'!$B$10:$B$161=$B51)*('3. Enter Indicator Scores'!$C$10:$C$161=$C51),0),
  _xlpm.c, MATCH(AM$8,'3. Enter Indicator Scores'!$D$8:$CZ$8,0),
  _xlpm.v, IFERROR(INDEX('3. Enter Indicator Scores'!$D$10:$CZ$161,_xlpm.r,_xlpm.c),""),
  IF(OR(_xlpm.w="",_xlpm.v=""),"",_xlpm.v*_xlpm.w)
)</f>
        <v/>
      </c>
      <c r="AN51" s="93" t="str" cm="1">
        <f t="array" ref="AN51">_xlfn.LET(
  _xlpm.w, AN$11,
  _xlpm.r, MATCH(1,('3. Enter Indicator Scores'!$B$10:$B$161=$B51)*('3. Enter Indicator Scores'!$C$10:$C$161=$C51),0),
  _xlpm.c, MATCH(AN$8,'3. Enter Indicator Scores'!$D$8:$CZ$8,0),
  _xlpm.v, IFERROR(INDEX('3. Enter Indicator Scores'!$D$10:$CZ$161,_xlpm.r,_xlpm.c),""),
  IF(OR(_xlpm.w="",_xlpm.v=""),"",_xlpm.v*_xlpm.w)
)</f>
        <v/>
      </c>
      <c r="AO51" s="93" t="str" cm="1">
        <f t="array" ref="AO51">_xlfn.LET(
  _xlpm.w, AO$11,
  _xlpm.r, MATCH(1,('3. Enter Indicator Scores'!$B$10:$B$161=$B51)*('3. Enter Indicator Scores'!$C$10:$C$161=$C51),0),
  _xlpm.c, MATCH(AO$8,'3. Enter Indicator Scores'!$D$8:$CZ$8,0),
  _xlpm.v, IFERROR(INDEX('3. Enter Indicator Scores'!$D$10:$CZ$161,_xlpm.r,_xlpm.c),""),
  IF(OR(_xlpm.w="",_xlpm.v=""),"",_xlpm.v*_xlpm.w)
)</f>
        <v/>
      </c>
      <c r="AP51" s="93" t="str" cm="1">
        <f t="array" ref="AP51">_xlfn.LET(
  _xlpm.w, AP$11,
  _xlpm.r, MATCH(1,('3. Enter Indicator Scores'!$B$10:$B$161=$B51)*('3. Enter Indicator Scores'!$C$10:$C$161=$C51),0),
  _xlpm.c, MATCH(AP$8,'3. Enter Indicator Scores'!$D$8:$CZ$8,0),
  _xlpm.v, IFERROR(INDEX('3. Enter Indicator Scores'!$D$10:$CZ$161,_xlpm.r,_xlpm.c),""),
  IF(OR(_xlpm.w="",_xlpm.v=""),"",_xlpm.v*_xlpm.w)
)</f>
        <v/>
      </c>
      <c r="AQ51" s="93" t="str" cm="1">
        <f t="array" ref="AQ51">_xlfn.LET(
  _xlpm.w, AQ$11,
  _xlpm.r, MATCH(1,('3. Enter Indicator Scores'!$B$10:$B$161=$B51)*('3. Enter Indicator Scores'!$C$10:$C$161=$C51),0),
  _xlpm.c, MATCH(AQ$8,'3. Enter Indicator Scores'!$D$8:$CZ$8,0),
  _xlpm.v, IFERROR(INDEX('3. Enter Indicator Scores'!$D$10:$CZ$161,_xlpm.r,_xlpm.c),""),
  IF(OR(_xlpm.w="",_xlpm.v=""),"",_xlpm.v*_xlpm.w)
)</f>
        <v/>
      </c>
      <c r="AR51" s="93" t="str" cm="1">
        <f t="array" ref="AR51">_xlfn.LET(
  _xlpm.w, AR$11,
  _xlpm.r, MATCH(1,('3. Enter Indicator Scores'!$B$10:$B$161=$B51)*('3. Enter Indicator Scores'!$C$10:$C$161=$C51),0),
  _xlpm.c, MATCH(AR$8,'3. Enter Indicator Scores'!$D$8:$CZ$8,0),
  _xlpm.v, IFERROR(INDEX('3. Enter Indicator Scores'!$D$10:$CZ$161,_xlpm.r,_xlpm.c),""),
  IF(OR(_xlpm.w="",_xlpm.v=""),"",_xlpm.v*_xlpm.w)
)</f>
        <v/>
      </c>
      <c r="AS51" s="93" t="str" cm="1">
        <f t="array" ref="AS51">_xlfn.LET(
  _xlpm.w, AS$11,
  _xlpm.r, MATCH(1,('3. Enter Indicator Scores'!$B$10:$B$161=$B51)*('3. Enter Indicator Scores'!$C$10:$C$161=$C51),0),
  _xlpm.c, MATCH(AS$8,'3. Enter Indicator Scores'!$D$8:$CZ$8,0),
  _xlpm.v, IFERROR(INDEX('3. Enter Indicator Scores'!$D$10:$CZ$161,_xlpm.r,_xlpm.c),""),
  IF(OR(_xlpm.w="",_xlpm.v=""),"",_xlpm.v*_xlpm.w)
)</f>
        <v/>
      </c>
      <c r="AT51" s="93" t="str" cm="1">
        <f t="array" ref="AT51">_xlfn.LET(
  _xlpm.w, AT$11,
  _xlpm.r, MATCH(1,('3. Enter Indicator Scores'!$B$10:$B$161=$B51)*('3. Enter Indicator Scores'!$C$10:$C$161=$C51),0),
  _xlpm.c, MATCH(AT$8,'3. Enter Indicator Scores'!$D$8:$CZ$8,0),
  _xlpm.v, IFERROR(INDEX('3. Enter Indicator Scores'!$D$10:$CZ$161,_xlpm.r,_xlpm.c),""),
  IF(OR(_xlpm.w="",_xlpm.v=""),"",_xlpm.v*_xlpm.w)
)</f>
        <v/>
      </c>
      <c r="AU51" s="93" t="str" cm="1">
        <f t="array" ref="AU51">_xlfn.LET(
  _xlpm.w, AU$11,
  _xlpm.r, MATCH(1,('3. Enter Indicator Scores'!$B$10:$B$161=$B51)*('3. Enter Indicator Scores'!$C$10:$C$161=$C51),0),
  _xlpm.c, MATCH(AU$8,'3. Enter Indicator Scores'!$D$8:$CZ$8,0),
  _xlpm.v, IFERROR(INDEX('3. Enter Indicator Scores'!$D$10:$CZ$161,_xlpm.r,_xlpm.c),""),
  IF(OR(_xlpm.w="",_xlpm.v=""),"",_xlpm.v*_xlpm.w)
)</f>
        <v/>
      </c>
      <c r="AV51" s="93" t="str" cm="1">
        <f t="array" ref="AV51">_xlfn.LET(
  _xlpm.w, AV$11,
  _xlpm.r, MATCH(1,('3. Enter Indicator Scores'!$B$10:$B$161=$B51)*('3. Enter Indicator Scores'!$C$10:$C$161=$C51),0),
  _xlpm.c, MATCH(AV$8,'3. Enter Indicator Scores'!$D$8:$CZ$8,0),
  _xlpm.v, IFERROR(INDEX('3. Enter Indicator Scores'!$D$10:$CZ$161,_xlpm.r,_xlpm.c),""),
  IF(OR(_xlpm.w="",_xlpm.v=""),"",_xlpm.v*_xlpm.w)
)</f>
        <v/>
      </c>
      <c r="AW51" s="93" t="str" cm="1">
        <f t="array" ref="AW51">_xlfn.LET(
  _xlpm.w, AW$11,
  _xlpm.r, MATCH(1,('3. Enter Indicator Scores'!$B$10:$B$161=$B51)*('3. Enter Indicator Scores'!$C$10:$C$161=$C51),0),
  _xlpm.c, MATCH(AW$8,'3. Enter Indicator Scores'!$D$8:$CZ$8,0),
  _xlpm.v, IFERROR(INDEX('3. Enter Indicator Scores'!$D$10:$CZ$161,_xlpm.r,_xlpm.c),""),
  IF(OR(_xlpm.w="",_xlpm.v=""),"",_xlpm.v*_xlpm.w)
)</f>
        <v/>
      </c>
      <c r="AX51" s="93" t="str" cm="1">
        <f t="array" ref="AX51">_xlfn.LET(
  _xlpm.w, AX$11,
  _xlpm.r, MATCH(1,('3. Enter Indicator Scores'!$B$10:$B$161=$B51)*('3. Enter Indicator Scores'!$C$10:$C$161=$C51),0),
  _xlpm.c, MATCH(AX$8,'3. Enter Indicator Scores'!$D$8:$CZ$8,0),
  _xlpm.v, IFERROR(INDEX('3. Enter Indicator Scores'!$D$10:$CZ$161,_xlpm.r,_xlpm.c),""),
  IF(OR(_xlpm.w="",_xlpm.v=""),"",_xlpm.v*_xlpm.w)
)</f>
        <v/>
      </c>
      <c r="AY51" s="93" t="str" cm="1">
        <f t="array" ref="AY51">_xlfn.LET(
  _xlpm.w, AY$11,
  _xlpm.r, MATCH(1,('3. Enter Indicator Scores'!$B$10:$B$161=$B51)*('3. Enter Indicator Scores'!$C$10:$C$161=$C51),0),
  _xlpm.c, MATCH(AY$8,'3. Enter Indicator Scores'!$D$8:$CZ$8,0),
  _xlpm.v, IFERROR(INDEX('3. Enter Indicator Scores'!$D$10:$CZ$161,_xlpm.r,_xlpm.c),""),
  IF(OR(_xlpm.w="",_xlpm.v=""),"",_xlpm.v*_xlpm.w)
)</f>
        <v/>
      </c>
      <c r="AZ51" s="93" t="str" cm="1">
        <f t="array" ref="AZ51">_xlfn.LET(
  _xlpm.w, AZ$11,
  _xlpm.r, MATCH(1,('3. Enter Indicator Scores'!$B$10:$B$161=$B51)*('3. Enter Indicator Scores'!$C$10:$C$161=$C51),0),
  _xlpm.c, MATCH(AZ$8,'3. Enter Indicator Scores'!$D$8:$CZ$8,0),
  _xlpm.v, IFERROR(INDEX('3. Enter Indicator Scores'!$D$10:$CZ$161,_xlpm.r,_xlpm.c),""),
  IF(OR(_xlpm.w="",_xlpm.v=""),"",_xlpm.v*_xlpm.w)
)</f>
        <v/>
      </c>
      <c r="BA51" s="93" t="str" cm="1">
        <f t="array" ref="BA51">_xlfn.LET(
  _xlpm.w, BA$11,
  _xlpm.r, MATCH(1,('3. Enter Indicator Scores'!$B$10:$B$161=$B51)*('3. Enter Indicator Scores'!$C$10:$C$161=$C51),0),
  _xlpm.c, MATCH(BA$8,'3. Enter Indicator Scores'!$D$8:$CZ$8,0),
  _xlpm.v, IFERROR(INDEX('3. Enter Indicator Scores'!$D$10:$CZ$161,_xlpm.r,_xlpm.c),""),
  IF(OR(_xlpm.w="",_xlpm.v=""),"",_xlpm.v*_xlpm.w)
)</f>
        <v/>
      </c>
      <c r="BB51" s="93" t="str" cm="1">
        <f t="array" ref="BB51">_xlfn.LET(
  _xlpm.w, BB$11,
  _xlpm.r, MATCH(1,('3. Enter Indicator Scores'!$B$10:$B$161=$B51)*('3. Enter Indicator Scores'!$C$10:$C$161=$C51),0),
  _xlpm.c, MATCH(BB$8,'3. Enter Indicator Scores'!$D$8:$CZ$8,0),
  _xlpm.v, IFERROR(INDEX('3. Enter Indicator Scores'!$D$10:$CZ$161,_xlpm.r,_xlpm.c),""),
  IF(OR(_xlpm.w="",_xlpm.v=""),"",_xlpm.v*_xlpm.w)
)</f>
        <v/>
      </c>
      <c r="BC51" s="93" t="str" cm="1">
        <f t="array" ref="BC51">_xlfn.LET(
  _xlpm.w, BC$11,
  _xlpm.r, MATCH(1,('3. Enter Indicator Scores'!$B$10:$B$161=$B51)*('3. Enter Indicator Scores'!$C$10:$C$161=$C51),0),
  _xlpm.c, MATCH(BC$8,'3. Enter Indicator Scores'!$D$8:$CZ$8,0),
  _xlpm.v, IFERROR(INDEX('3. Enter Indicator Scores'!$D$10:$CZ$161,_xlpm.r,_xlpm.c),""),
  IF(OR(_xlpm.w="",_xlpm.v=""),"",_xlpm.v*_xlpm.w)
)</f>
        <v/>
      </c>
      <c r="BD51" s="93" t="str" cm="1">
        <f t="array" ref="BD51">_xlfn.LET(
  _xlpm.w, BD$11,
  _xlpm.r, MATCH(1,('3. Enter Indicator Scores'!$B$10:$B$161=$B51)*('3. Enter Indicator Scores'!$C$10:$C$161=$C51),0),
  _xlpm.c, MATCH(BD$8,'3. Enter Indicator Scores'!$D$8:$CZ$8,0),
  _xlpm.v, IFERROR(INDEX('3. Enter Indicator Scores'!$D$10:$CZ$161,_xlpm.r,_xlpm.c),""),
  IF(OR(_xlpm.w="",_xlpm.v=""),"",_xlpm.v*_xlpm.w)
)</f>
        <v/>
      </c>
      <c r="BE51" s="93" t="str" cm="1">
        <f t="array" ref="BE51">_xlfn.LET(
  _xlpm.w, BE$11,
  _xlpm.r, MATCH(1,('3. Enter Indicator Scores'!$B$10:$B$161=$B51)*('3. Enter Indicator Scores'!$C$10:$C$161=$C51),0),
  _xlpm.c, MATCH(BE$8,'3. Enter Indicator Scores'!$D$8:$CZ$8,0),
  _xlpm.v, IFERROR(INDEX('3. Enter Indicator Scores'!$D$10:$CZ$161,_xlpm.r,_xlpm.c),""),
  IF(OR(_xlpm.w="",_xlpm.v=""),"",_xlpm.v*_xlpm.w)
)</f>
        <v/>
      </c>
      <c r="BF51" s="93" t="str" cm="1">
        <f t="array" ref="BF51">_xlfn.LET(
  _xlpm.w, BF$11,
  _xlpm.r, MATCH(1,('3. Enter Indicator Scores'!$B$10:$B$161=$B51)*('3. Enter Indicator Scores'!$C$10:$C$161=$C51),0),
  _xlpm.c, MATCH(BF$8,'3. Enter Indicator Scores'!$D$8:$CZ$8,0),
  _xlpm.v, IFERROR(INDEX('3. Enter Indicator Scores'!$D$10:$CZ$161,_xlpm.r,_xlpm.c),""),
  IF(OR(_xlpm.w="",_xlpm.v=""),"",_xlpm.v*_xlpm.w)
)</f>
        <v/>
      </c>
      <c r="BG51" s="93" t="str" cm="1">
        <f t="array" ref="BG51">_xlfn.LET(
  _xlpm.w, BG$11,
  _xlpm.r, MATCH(1,('3. Enter Indicator Scores'!$B$10:$B$161=$B51)*('3. Enter Indicator Scores'!$C$10:$C$161=$C51),0),
  _xlpm.c, MATCH(BG$8,'3. Enter Indicator Scores'!$D$8:$CZ$8,0),
  _xlpm.v, IFERROR(INDEX('3. Enter Indicator Scores'!$D$10:$CZ$161,_xlpm.r,_xlpm.c),""),
  IF(OR(_xlpm.w="",_xlpm.v=""),"",_xlpm.v*_xlpm.w)
)</f>
        <v/>
      </c>
      <c r="BH51" s="93" t="str" cm="1">
        <f t="array" ref="BH51">_xlfn.LET(
  _xlpm.w, BH$11,
  _xlpm.r, MATCH(1,('3. Enter Indicator Scores'!$B$10:$B$161=$B51)*('3. Enter Indicator Scores'!$C$10:$C$161=$C51),0),
  _xlpm.c, MATCH(BH$8,'3. Enter Indicator Scores'!$D$8:$CZ$8,0),
  _xlpm.v, IFERROR(INDEX('3. Enter Indicator Scores'!$D$10:$CZ$161,_xlpm.r,_xlpm.c),""),
  IF(OR(_xlpm.w="",_xlpm.v=""),"",_xlpm.v*_xlpm.w)
)</f>
        <v/>
      </c>
      <c r="BI51" s="93" t="str" cm="1">
        <f t="array" ref="BI51">_xlfn.LET(
  _xlpm.w, BI$11,
  _xlpm.r, MATCH(1,('3. Enter Indicator Scores'!$B$10:$B$161=$B51)*('3. Enter Indicator Scores'!$C$10:$C$161=$C51),0),
  _xlpm.c, MATCH(BI$8,'3. Enter Indicator Scores'!$D$8:$CZ$8,0),
  _xlpm.v, IFERROR(INDEX('3. Enter Indicator Scores'!$D$10:$CZ$161,_xlpm.r,_xlpm.c),""),
  IF(OR(_xlpm.w="",_xlpm.v=""),"",_xlpm.v*_xlpm.w)
)</f>
        <v/>
      </c>
      <c r="BJ51" s="93" t="str" cm="1">
        <f t="array" ref="BJ51">_xlfn.LET(
  _xlpm.w, BJ$11,
  _xlpm.r, MATCH(1,('3. Enter Indicator Scores'!$B$10:$B$161=$B51)*('3. Enter Indicator Scores'!$C$10:$C$161=$C51),0),
  _xlpm.c, MATCH(BJ$8,'3. Enter Indicator Scores'!$D$8:$CZ$8,0),
  _xlpm.v, IFERROR(INDEX('3. Enter Indicator Scores'!$D$10:$CZ$161,_xlpm.r,_xlpm.c),""),
  IF(OR(_xlpm.w="",_xlpm.v=""),"",_xlpm.v*_xlpm.w)
)</f>
        <v/>
      </c>
      <c r="BK51" s="93" t="str" cm="1">
        <f t="array" ref="BK51">_xlfn.LET(
  _xlpm.w, BK$11,
  _xlpm.r, MATCH(1,('3. Enter Indicator Scores'!$B$10:$B$161=$B51)*('3. Enter Indicator Scores'!$C$10:$C$161=$C51),0),
  _xlpm.c, MATCH(BK$8,'3. Enter Indicator Scores'!$D$8:$CZ$8,0),
  _xlpm.v, IFERROR(INDEX('3. Enter Indicator Scores'!$D$10:$CZ$161,_xlpm.r,_xlpm.c),""),
  IF(OR(_xlpm.w="",_xlpm.v=""),"",_xlpm.v*_xlpm.w)
)</f>
        <v/>
      </c>
      <c r="BL51" s="93" t="str" cm="1">
        <f t="array" ref="BL51">_xlfn.LET(
  _xlpm.w, BL$11,
  _xlpm.r, MATCH(1,('3. Enter Indicator Scores'!$B$10:$B$161=$B51)*('3. Enter Indicator Scores'!$C$10:$C$161=$C51),0),
  _xlpm.c, MATCH(BL$8,'3. Enter Indicator Scores'!$D$8:$CZ$8,0),
  _xlpm.v, IFERROR(INDEX('3. Enter Indicator Scores'!$D$10:$CZ$161,_xlpm.r,_xlpm.c),""),
  IF(OR(_xlpm.w="",_xlpm.v=""),"",_xlpm.v*_xlpm.w)
)</f>
        <v/>
      </c>
      <c r="BM51" s="93" t="str" cm="1">
        <f t="array" ref="BM51">_xlfn.LET(
  _xlpm.w, BM$11,
  _xlpm.r, MATCH(1,('3. Enter Indicator Scores'!$B$10:$B$161=$B51)*('3. Enter Indicator Scores'!$C$10:$C$161=$C51),0),
  _xlpm.c, MATCH(BM$8,'3. Enter Indicator Scores'!$D$8:$CZ$8,0),
  _xlpm.v, IFERROR(INDEX('3. Enter Indicator Scores'!$D$10:$CZ$161,_xlpm.r,_xlpm.c),""),
  IF(OR(_xlpm.w="",_xlpm.v=""),"",_xlpm.v*_xlpm.w)
)</f>
        <v/>
      </c>
      <c r="BN51" s="93" t="str" cm="1">
        <f t="array" ref="BN51">_xlfn.LET(
  _xlpm.w, BN$11,
  _xlpm.r, MATCH(1,('3. Enter Indicator Scores'!$B$10:$B$161=$B51)*('3. Enter Indicator Scores'!$C$10:$C$161=$C51),0),
  _xlpm.c, MATCH(BN$8,'3. Enter Indicator Scores'!$D$8:$CZ$8,0),
  _xlpm.v, IFERROR(INDEX('3. Enter Indicator Scores'!$D$10:$CZ$161,_xlpm.r,_xlpm.c),""),
  IF(OR(_xlpm.w="",_xlpm.v=""),"",_xlpm.v*_xlpm.w)
)</f>
        <v/>
      </c>
      <c r="BO51" s="93" t="str" cm="1">
        <f t="array" ref="BO51">_xlfn.LET(
  _xlpm.w, BO$11,
  _xlpm.r, MATCH(1,('3. Enter Indicator Scores'!$B$10:$B$161=$B51)*('3. Enter Indicator Scores'!$C$10:$C$161=$C51),0),
  _xlpm.c, MATCH(BO$8,'3. Enter Indicator Scores'!$D$8:$CZ$8,0),
  _xlpm.v, IFERROR(INDEX('3. Enter Indicator Scores'!$D$10:$CZ$161,_xlpm.r,_xlpm.c),""),
  IF(OR(_xlpm.w="",_xlpm.v=""),"",_xlpm.v*_xlpm.w)
)</f>
        <v/>
      </c>
      <c r="BP51" s="93" t="str" cm="1">
        <f t="array" ref="BP51">_xlfn.LET(
  _xlpm.w, BP$11,
  _xlpm.r, MATCH(1,('3. Enter Indicator Scores'!$B$10:$B$161=$B51)*('3. Enter Indicator Scores'!$C$10:$C$161=$C51),0),
  _xlpm.c, MATCH(BP$8,'3. Enter Indicator Scores'!$D$8:$CZ$8,0),
  _xlpm.v, IFERROR(INDEX('3. Enter Indicator Scores'!$D$10:$CZ$161,_xlpm.r,_xlpm.c),""),
  IF(OR(_xlpm.w="",_xlpm.v=""),"",_xlpm.v*_xlpm.w)
)</f>
        <v/>
      </c>
      <c r="BQ51" s="93" t="str" cm="1">
        <f t="array" ref="BQ51">_xlfn.LET(
  _xlpm.w, BQ$11,
  _xlpm.r, MATCH(1,('3. Enter Indicator Scores'!$B$10:$B$161=$B51)*('3. Enter Indicator Scores'!$C$10:$C$161=$C51),0),
  _xlpm.c, MATCH(BQ$8,'3. Enter Indicator Scores'!$D$8:$CZ$8,0),
  _xlpm.v, IFERROR(INDEX('3. Enter Indicator Scores'!$D$10:$CZ$161,_xlpm.r,_xlpm.c),""),
  IF(OR(_xlpm.w="",_xlpm.v=""),"",_xlpm.v*_xlpm.w)
)</f>
        <v/>
      </c>
      <c r="BR51" s="93" t="str" cm="1">
        <f t="array" ref="BR51">_xlfn.LET(
  _xlpm.w, BR$11,
  _xlpm.r, MATCH(1,('3. Enter Indicator Scores'!$B$10:$B$161=$B51)*('3. Enter Indicator Scores'!$C$10:$C$161=$C51),0),
  _xlpm.c, MATCH(BR$8,'3. Enter Indicator Scores'!$D$8:$CZ$8,0),
  _xlpm.v, IFERROR(INDEX('3. Enter Indicator Scores'!$D$10:$CZ$161,_xlpm.r,_xlpm.c),""),
  IF(OR(_xlpm.w="",_xlpm.v=""),"",_xlpm.v*_xlpm.w)
)</f>
        <v/>
      </c>
      <c r="BS51" s="93" t="str" cm="1">
        <f t="array" ref="BS51">_xlfn.LET(
  _xlpm.w, BS$11,
  _xlpm.r, MATCH(1,('3. Enter Indicator Scores'!$B$10:$B$161=$B51)*('3. Enter Indicator Scores'!$C$10:$C$161=$C51),0),
  _xlpm.c, MATCH(BS$8,'3. Enter Indicator Scores'!$D$8:$CZ$8,0),
  _xlpm.v, IFERROR(INDEX('3. Enter Indicator Scores'!$D$10:$CZ$161,_xlpm.r,_xlpm.c),""),
  IF(OR(_xlpm.w="",_xlpm.v=""),"",_xlpm.v*_xlpm.w)
)</f>
        <v/>
      </c>
      <c r="BT51" s="93" t="str" cm="1">
        <f t="array" ref="BT51">_xlfn.LET(
  _xlpm.w, BT$11,
  _xlpm.r, MATCH(1,('3. Enter Indicator Scores'!$B$10:$B$161=$B51)*('3. Enter Indicator Scores'!$C$10:$C$161=$C51),0),
  _xlpm.c, MATCH(BT$8,'3. Enter Indicator Scores'!$D$8:$CZ$8,0),
  _xlpm.v, IFERROR(INDEX('3. Enter Indicator Scores'!$D$10:$CZ$161,_xlpm.r,_xlpm.c),""),
  IF(OR(_xlpm.w="",_xlpm.v=""),"",_xlpm.v*_xlpm.w)
)</f>
        <v/>
      </c>
      <c r="BU51" s="93" t="str" cm="1">
        <f t="array" ref="BU51">_xlfn.LET(
  _xlpm.w, BU$11,
  _xlpm.r, MATCH(1,('3. Enter Indicator Scores'!$B$10:$B$161=$B51)*('3. Enter Indicator Scores'!$C$10:$C$161=$C51),0),
  _xlpm.c, MATCH(BU$8,'3. Enter Indicator Scores'!$D$8:$CZ$8,0),
  _xlpm.v, IFERROR(INDEX('3. Enter Indicator Scores'!$D$10:$CZ$161,_xlpm.r,_xlpm.c),""),
  IF(OR(_xlpm.w="",_xlpm.v=""),"",_xlpm.v*_xlpm.w)
)</f>
        <v/>
      </c>
      <c r="BV51" s="93" t="str" cm="1">
        <f t="array" ref="BV51">_xlfn.LET(
  _xlpm.w, BV$11,
  _xlpm.r, MATCH(1,('3. Enter Indicator Scores'!$B$10:$B$161=$B51)*('3. Enter Indicator Scores'!$C$10:$C$161=$C51),0),
  _xlpm.c, MATCH(BV$8,'3. Enter Indicator Scores'!$D$8:$CZ$8,0),
  _xlpm.v, IFERROR(INDEX('3. Enter Indicator Scores'!$D$10:$CZ$161,_xlpm.r,_xlpm.c),""),
  IF(OR(_xlpm.w="",_xlpm.v=""),"",_xlpm.v*_xlpm.w)
)</f>
        <v/>
      </c>
      <c r="BW51" s="93" t="str" cm="1">
        <f t="array" ref="BW51">_xlfn.LET(
  _xlpm.w, BW$11,
  _xlpm.r, MATCH(1,('3. Enter Indicator Scores'!$B$10:$B$161=$B51)*('3. Enter Indicator Scores'!$C$10:$C$161=$C51),0),
  _xlpm.c, MATCH(BW$8,'3. Enter Indicator Scores'!$D$8:$CZ$8,0),
  _xlpm.v, IFERROR(INDEX('3. Enter Indicator Scores'!$D$10:$CZ$161,_xlpm.r,_xlpm.c),""),
  IF(OR(_xlpm.w="",_xlpm.v=""),"",_xlpm.v*_xlpm.w)
)</f>
        <v/>
      </c>
      <c r="BX51" s="93" t="str" cm="1">
        <f t="array" ref="BX51">_xlfn.LET(
  _xlpm.w, BX$11,
  _xlpm.r, MATCH(1,('3. Enter Indicator Scores'!$B$10:$B$161=$B51)*('3. Enter Indicator Scores'!$C$10:$C$161=$C51),0),
  _xlpm.c, MATCH(BX$8,'3. Enter Indicator Scores'!$D$8:$CZ$8,0),
  _xlpm.v, IFERROR(INDEX('3. Enter Indicator Scores'!$D$10:$CZ$161,_xlpm.r,_xlpm.c),""),
  IF(OR(_xlpm.w="",_xlpm.v=""),"",_xlpm.v*_xlpm.w)
)</f>
        <v/>
      </c>
      <c r="BY51" s="93" t="str" cm="1">
        <f t="array" ref="BY51">_xlfn.LET(
  _xlpm.w, BY$11,
  _xlpm.r, MATCH(1,('3. Enter Indicator Scores'!$B$10:$B$161=$B51)*('3. Enter Indicator Scores'!$C$10:$C$161=$C51),0),
  _xlpm.c, MATCH(BY$8,'3. Enter Indicator Scores'!$D$8:$CZ$8,0),
  _xlpm.v, IFERROR(INDEX('3. Enter Indicator Scores'!$D$10:$CZ$161,_xlpm.r,_xlpm.c),""),
  IF(OR(_xlpm.w="",_xlpm.v=""),"",_xlpm.v*_xlpm.w)
)</f>
        <v/>
      </c>
      <c r="BZ51" s="93" t="str" cm="1">
        <f t="array" ref="BZ51">_xlfn.LET(
  _xlpm.w, BZ$11,
  _xlpm.r, MATCH(1,('3. Enter Indicator Scores'!$B$10:$B$161=$B51)*('3. Enter Indicator Scores'!$C$10:$C$161=$C51),0),
  _xlpm.c, MATCH(BZ$8,'3. Enter Indicator Scores'!$D$8:$CZ$8,0),
  _xlpm.v, IFERROR(INDEX('3. Enter Indicator Scores'!$D$10:$CZ$161,_xlpm.r,_xlpm.c),""),
  IF(OR(_xlpm.w="",_xlpm.v=""),"",_xlpm.v*_xlpm.w)
)</f>
        <v/>
      </c>
      <c r="CA51" s="93" t="str" cm="1">
        <f t="array" ref="CA51">_xlfn.LET(
  _xlpm.w, CA$11,
  _xlpm.r, MATCH(1,('3. Enter Indicator Scores'!$B$10:$B$161=$B51)*('3. Enter Indicator Scores'!$C$10:$C$161=$C51),0),
  _xlpm.c, MATCH(CA$8,'3. Enter Indicator Scores'!$D$8:$CZ$8,0),
  _xlpm.v, IFERROR(INDEX('3. Enter Indicator Scores'!$D$10:$CZ$161,_xlpm.r,_xlpm.c),""),
  IF(OR(_xlpm.w="",_xlpm.v=""),"",_xlpm.v*_xlpm.w)
)</f>
        <v/>
      </c>
      <c r="CB51" s="93" t="str" cm="1">
        <f t="array" ref="CB51">_xlfn.LET(
  _xlpm.w, CB$11,
  _xlpm.r, MATCH(1,('3. Enter Indicator Scores'!$B$10:$B$161=$B51)*('3. Enter Indicator Scores'!$C$10:$C$161=$C51),0),
  _xlpm.c, MATCH(CB$8,'3. Enter Indicator Scores'!$D$8:$CZ$8,0),
  _xlpm.v, IFERROR(INDEX('3. Enter Indicator Scores'!$D$10:$CZ$161,_xlpm.r,_xlpm.c),""),
  IF(OR(_xlpm.w="",_xlpm.v=""),"",_xlpm.v*_xlpm.w)
)</f>
        <v/>
      </c>
      <c r="CC51" s="93" t="str" cm="1">
        <f t="array" ref="CC51">_xlfn.LET(
  _xlpm.w, CC$11,
  _xlpm.r, MATCH(1,('3. Enter Indicator Scores'!$B$10:$B$161=$B51)*('3. Enter Indicator Scores'!$C$10:$C$161=$C51),0),
  _xlpm.c, MATCH(CC$8,'3. Enter Indicator Scores'!$D$8:$CZ$8,0),
  _xlpm.v, IFERROR(INDEX('3. Enter Indicator Scores'!$D$10:$CZ$161,_xlpm.r,_xlpm.c),""),
  IF(OR(_xlpm.w="",_xlpm.v=""),"",_xlpm.v*_xlpm.w)
)</f>
        <v/>
      </c>
      <c r="CD51" s="93" t="str" cm="1">
        <f t="array" ref="CD51">_xlfn.LET(
  _xlpm.w, CD$11,
  _xlpm.r, MATCH(1,('3. Enter Indicator Scores'!$B$10:$B$161=$B51)*('3. Enter Indicator Scores'!$C$10:$C$161=$C51),0),
  _xlpm.c, MATCH(CD$8,'3. Enter Indicator Scores'!$D$8:$CZ$8,0),
  _xlpm.v, IFERROR(INDEX('3. Enter Indicator Scores'!$D$10:$CZ$161,_xlpm.r,_xlpm.c),""),
  IF(OR(_xlpm.w="",_xlpm.v=""),"",_xlpm.v*_xlpm.w)
)</f>
        <v/>
      </c>
      <c r="CE51" s="93" t="str" cm="1">
        <f t="array" ref="CE51">_xlfn.LET(
  _xlpm.w, CE$11,
  _xlpm.r, MATCH(1,('3. Enter Indicator Scores'!$B$10:$B$161=$B51)*('3. Enter Indicator Scores'!$C$10:$C$161=$C51),0),
  _xlpm.c, MATCH(CE$8,'3. Enter Indicator Scores'!$D$8:$CZ$8,0),
  _xlpm.v, IFERROR(INDEX('3. Enter Indicator Scores'!$D$10:$CZ$161,_xlpm.r,_xlpm.c),""),
  IF(OR(_xlpm.w="",_xlpm.v=""),"",_xlpm.v*_xlpm.w)
)</f>
        <v/>
      </c>
      <c r="CF51" s="93" t="str" cm="1">
        <f t="array" ref="CF51">_xlfn.LET(
  _xlpm.w, CF$11,
  _xlpm.r, MATCH(1,('3. Enter Indicator Scores'!$B$10:$B$161=$B51)*('3. Enter Indicator Scores'!$C$10:$C$161=$C51),0),
  _xlpm.c, MATCH(CF$8,'3. Enter Indicator Scores'!$D$8:$CZ$8,0),
  _xlpm.v, IFERROR(INDEX('3. Enter Indicator Scores'!$D$10:$CZ$161,_xlpm.r,_xlpm.c),""),
  IF(OR(_xlpm.w="",_xlpm.v=""),"",_xlpm.v*_xlpm.w)
)</f>
        <v/>
      </c>
      <c r="CG51" s="93" t="str" cm="1">
        <f t="array" ref="CG51">_xlfn.LET(
  _xlpm.w, CG$11,
  _xlpm.r, MATCH(1,('3. Enter Indicator Scores'!$B$10:$B$161=$B51)*('3. Enter Indicator Scores'!$C$10:$C$161=$C51),0),
  _xlpm.c, MATCH(CG$8,'3. Enter Indicator Scores'!$D$8:$CZ$8,0),
  _xlpm.v, IFERROR(INDEX('3. Enter Indicator Scores'!$D$10:$CZ$161,_xlpm.r,_xlpm.c),""),
  IF(OR(_xlpm.w="",_xlpm.v=""),"",_xlpm.v*_xlpm.w)
)</f>
        <v/>
      </c>
      <c r="CH51" s="93" t="str" cm="1">
        <f t="array" ref="CH51">_xlfn.LET(
  _xlpm.w, CH$11,
  _xlpm.r, MATCH(1,('3. Enter Indicator Scores'!$B$10:$B$161=$B51)*('3. Enter Indicator Scores'!$C$10:$C$161=$C51),0),
  _xlpm.c, MATCH(CH$8,'3. Enter Indicator Scores'!$D$8:$CZ$8,0),
  _xlpm.v, IFERROR(INDEX('3. Enter Indicator Scores'!$D$10:$CZ$161,_xlpm.r,_xlpm.c),""),
  IF(OR(_xlpm.w="",_xlpm.v=""),"",_xlpm.v*_xlpm.w)
)</f>
        <v/>
      </c>
      <c r="CI51" s="93" t="str" cm="1">
        <f t="array" ref="CI51">_xlfn.LET(
  _xlpm.w, CI$11,
  _xlpm.r, MATCH(1,('3. Enter Indicator Scores'!$B$10:$B$161=$B51)*('3. Enter Indicator Scores'!$C$10:$C$161=$C51),0),
  _xlpm.c, MATCH(CI$8,'3. Enter Indicator Scores'!$D$8:$CZ$8,0),
  _xlpm.v, IFERROR(INDEX('3. Enter Indicator Scores'!$D$10:$CZ$161,_xlpm.r,_xlpm.c),""),
  IF(OR(_xlpm.w="",_xlpm.v=""),"",_xlpm.v*_xlpm.w)
)</f>
        <v/>
      </c>
      <c r="CJ51" s="93" t="str" cm="1">
        <f t="array" ref="CJ51">_xlfn.LET(
  _xlpm.w, CJ$11,
  _xlpm.r, MATCH(1,('3. Enter Indicator Scores'!$B$10:$B$161=$B51)*('3. Enter Indicator Scores'!$C$10:$C$161=$C51),0),
  _xlpm.c, MATCH(CJ$8,'3. Enter Indicator Scores'!$D$8:$CZ$8,0),
  _xlpm.v, IFERROR(INDEX('3. Enter Indicator Scores'!$D$10:$CZ$161,_xlpm.r,_xlpm.c),""),
  IF(OR(_xlpm.w="",_xlpm.v=""),"",_xlpm.v*_xlpm.w)
)</f>
        <v/>
      </c>
      <c r="CK51" s="93" t="str" cm="1">
        <f t="array" ref="CK51">_xlfn.LET(
  _xlpm.w, CK$11,
  _xlpm.r, MATCH(1,('3. Enter Indicator Scores'!$B$10:$B$161=$B51)*('3. Enter Indicator Scores'!$C$10:$C$161=$C51),0),
  _xlpm.c, MATCH(CK$8,'3. Enter Indicator Scores'!$D$8:$CZ$8,0),
  _xlpm.v, IFERROR(INDEX('3. Enter Indicator Scores'!$D$10:$CZ$161,_xlpm.r,_xlpm.c),""),
  IF(OR(_xlpm.w="",_xlpm.v=""),"",_xlpm.v*_xlpm.w)
)</f>
        <v/>
      </c>
      <c r="CL51" s="93" t="str" cm="1">
        <f t="array" ref="CL51">_xlfn.LET(
  _xlpm.w, CL$11,
  _xlpm.r, MATCH(1,('3. Enter Indicator Scores'!$B$10:$B$161=$B51)*('3. Enter Indicator Scores'!$C$10:$C$161=$C51),0),
  _xlpm.c, MATCH(CL$8,'3. Enter Indicator Scores'!$D$8:$CZ$8,0),
  _xlpm.v, IFERROR(INDEX('3. Enter Indicator Scores'!$D$10:$CZ$161,_xlpm.r,_xlpm.c),""),
  IF(OR(_xlpm.w="",_xlpm.v=""),"",_xlpm.v*_xlpm.w)
)</f>
        <v/>
      </c>
      <c r="CM51" s="93" t="str" cm="1">
        <f t="array" ref="CM51">_xlfn.LET(
  _xlpm.w, CM$11,
  _xlpm.r, MATCH(1,('3. Enter Indicator Scores'!$B$10:$B$161=$B51)*('3. Enter Indicator Scores'!$C$10:$C$161=$C51),0),
  _xlpm.c, MATCH(CM$8,'3. Enter Indicator Scores'!$D$8:$CZ$8,0),
  _xlpm.v, IFERROR(INDEX('3. Enter Indicator Scores'!$D$10:$CZ$161,_xlpm.r,_xlpm.c),""),
  IF(OR(_xlpm.w="",_xlpm.v=""),"",_xlpm.v*_xlpm.w)
)</f>
        <v/>
      </c>
      <c r="CN51" s="93" t="str" cm="1">
        <f t="array" ref="CN51">_xlfn.LET(
  _xlpm.w, CN$11,
  _xlpm.r, MATCH(1,('3. Enter Indicator Scores'!$B$10:$B$161=$B51)*('3. Enter Indicator Scores'!$C$10:$C$161=$C51),0),
  _xlpm.c, MATCH(CN$8,'3. Enter Indicator Scores'!$D$8:$CZ$8,0),
  _xlpm.v, IFERROR(INDEX('3. Enter Indicator Scores'!$D$10:$CZ$161,_xlpm.r,_xlpm.c),""),
  IF(OR(_xlpm.w="",_xlpm.v=""),"",_xlpm.v*_xlpm.w)
)</f>
        <v/>
      </c>
      <c r="CO51" s="93" t="str" cm="1">
        <f t="array" ref="CO51">_xlfn.LET(
  _xlpm.w, CO$11,
  _xlpm.r, MATCH(1,('3. Enter Indicator Scores'!$B$10:$B$161=$B51)*('3. Enter Indicator Scores'!$C$10:$C$161=$C51),0),
  _xlpm.c, MATCH(CO$8,'3. Enter Indicator Scores'!$D$8:$CZ$8,0),
  _xlpm.v, IFERROR(INDEX('3. Enter Indicator Scores'!$D$10:$CZ$161,_xlpm.r,_xlpm.c),""),
  IF(OR(_xlpm.w="",_xlpm.v=""),"",_xlpm.v*_xlpm.w)
)</f>
        <v/>
      </c>
      <c r="CP51" s="93" t="str" cm="1">
        <f t="array" ref="CP51">_xlfn.LET(
  _xlpm.w, CP$11,
  _xlpm.r, MATCH(1,('3. Enter Indicator Scores'!$B$10:$B$161=$B51)*('3. Enter Indicator Scores'!$C$10:$C$161=$C51),0),
  _xlpm.c, MATCH(CP$8,'3. Enter Indicator Scores'!$D$8:$CZ$8,0),
  _xlpm.v, IFERROR(INDEX('3. Enter Indicator Scores'!$D$10:$CZ$161,_xlpm.r,_xlpm.c),""),
  IF(OR(_xlpm.w="",_xlpm.v=""),"",_xlpm.v*_xlpm.w)
)</f>
        <v/>
      </c>
      <c r="CQ51" s="93" t="str" cm="1">
        <f t="array" ref="CQ51">_xlfn.LET(
  _xlpm.w, CQ$11,
  _xlpm.r, MATCH(1,('3. Enter Indicator Scores'!$B$10:$B$161=$B51)*('3. Enter Indicator Scores'!$C$10:$C$161=$C51),0),
  _xlpm.c, MATCH(CQ$8,'3. Enter Indicator Scores'!$D$8:$CZ$8,0),
  _xlpm.v, IFERROR(INDEX('3. Enter Indicator Scores'!$D$10:$CZ$161,_xlpm.r,_xlpm.c),""),
  IF(OR(_xlpm.w="",_xlpm.v=""),"",_xlpm.v*_xlpm.w)
)</f>
        <v/>
      </c>
      <c r="CR51" s="93" t="str" cm="1">
        <f t="array" ref="CR51">_xlfn.LET(
  _xlpm.w, CR$11,
  _xlpm.r, MATCH(1,('3. Enter Indicator Scores'!$B$10:$B$161=$B51)*('3. Enter Indicator Scores'!$C$10:$C$161=$C51),0),
  _xlpm.c, MATCH(CR$8,'3. Enter Indicator Scores'!$D$8:$CZ$8,0),
  _xlpm.v, IFERROR(INDEX('3. Enter Indicator Scores'!$D$10:$CZ$161,_xlpm.r,_xlpm.c),""),
  IF(OR(_xlpm.w="",_xlpm.v=""),"",_xlpm.v*_xlpm.w)
)</f>
        <v/>
      </c>
      <c r="CS51" s="93" t="str" cm="1">
        <f t="array" ref="CS51">_xlfn.LET(
  _xlpm.w, CS$11,
  _xlpm.r, MATCH(1,('3. Enter Indicator Scores'!$B$10:$B$161=$B51)*('3. Enter Indicator Scores'!$C$10:$C$161=$C51),0),
  _xlpm.c, MATCH(CS$8,'3. Enter Indicator Scores'!$D$8:$CZ$8,0),
  _xlpm.v, IFERROR(INDEX('3. Enter Indicator Scores'!$D$10:$CZ$161,_xlpm.r,_xlpm.c),""),
  IF(OR(_xlpm.w="",_xlpm.v=""),"",_xlpm.v*_xlpm.w)
)</f>
        <v/>
      </c>
      <c r="CT51" s="93" t="str" cm="1">
        <f t="array" ref="CT51">_xlfn.LET(
  _xlpm.w, CT$11,
  _xlpm.r, MATCH(1,('3. Enter Indicator Scores'!$B$10:$B$161=$B51)*('3. Enter Indicator Scores'!$C$10:$C$161=$C51),0),
  _xlpm.c, MATCH(CT$8,'3. Enter Indicator Scores'!$D$8:$CZ$8,0),
  _xlpm.v, IFERROR(INDEX('3. Enter Indicator Scores'!$D$10:$CZ$161,_xlpm.r,_xlpm.c),""),
  IF(OR(_xlpm.w="",_xlpm.v=""),"",_xlpm.v*_xlpm.w)
)</f>
        <v/>
      </c>
      <c r="CU51" s="93" t="str" cm="1">
        <f t="array" ref="CU51">_xlfn.LET(
  _xlpm.w, CU$11,
  _xlpm.r, MATCH(1,('3. Enter Indicator Scores'!$B$10:$B$161=$B51)*('3. Enter Indicator Scores'!$C$10:$C$161=$C51),0),
  _xlpm.c, MATCH(CU$8,'3. Enter Indicator Scores'!$D$8:$CZ$8,0),
  _xlpm.v, IFERROR(INDEX('3. Enter Indicator Scores'!$D$10:$CZ$161,_xlpm.r,_xlpm.c),""),
  IF(OR(_xlpm.w="",_xlpm.v=""),"",_xlpm.v*_xlpm.w)
)</f>
        <v/>
      </c>
      <c r="CV51" s="93" t="str" cm="1">
        <f t="array" ref="CV51">_xlfn.LET(
  _xlpm.w, CV$11,
  _xlpm.r, MATCH(1,('3. Enter Indicator Scores'!$B$10:$B$161=$B51)*('3. Enter Indicator Scores'!$C$10:$C$161=$C51),0),
  _xlpm.c, MATCH(CV$8,'3. Enter Indicator Scores'!$D$8:$CZ$8,0),
  _xlpm.v, IFERROR(INDEX('3. Enter Indicator Scores'!$D$10:$CZ$161,_xlpm.r,_xlpm.c),""),
  IF(OR(_xlpm.w="",_xlpm.v=""),"",_xlpm.v*_xlpm.w)
)</f>
        <v/>
      </c>
      <c r="CW51" s="93" t="str" cm="1">
        <f t="array" ref="CW51">_xlfn.LET(
  _xlpm.w, CW$11,
  _xlpm.r, MATCH(1,('3. Enter Indicator Scores'!$B$10:$B$161=$B51)*('3. Enter Indicator Scores'!$C$10:$C$161=$C51),0),
  _xlpm.c, MATCH(CW$8,'3. Enter Indicator Scores'!$D$8:$CZ$8,0),
  _xlpm.v, IFERROR(INDEX('3. Enter Indicator Scores'!$D$10:$CZ$161,_xlpm.r,_xlpm.c),""),
  IF(OR(_xlpm.w="",_xlpm.v=""),"",_xlpm.v*_xlpm.w)
)</f>
        <v/>
      </c>
      <c r="CX51" s="93" t="str" cm="1">
        <f t="array" ref="CX51">_xlfn.LET(
  _xlpm.w, CX$11,
  _xlpm.r, MATCH(1,('3. Enter Indicator Scores'!$B$10:$B$161=$B51)*('3. Enter Indicator Scores'!$C$10:$C$161=$C51),0),
  _xlpm.c, MATCH(CX$8,'3. Enter Indicator Scores'!$D$8:$CZ$8,0),
  _xlpm.v, IFERROR(INDEX('3. Enter Indicator Scores'!$D$10:$CZ$161,_xlpm.r,_xlpm.c),""),
  IF(OR(_xlpm.w="",_xlpm.v=""),"",_xlpm.v*_xlpm.w)
)</f>
        <v/>
      </c>
      <c r="CY51" s="93" t="str" cm="1">
        <f t="array" ref="CY51">_xlfn.LET(
  _xlpm.w, CY$11,
  _xlpm.r, MATCH(1,('3. Enter Indicator Scores'!$B$10:$B$161=$B51)*('3. Enter Indicator Scores'!$C$10:$C$161=$C51),0),
  _xlpm.c, MATCH(CY$8,'3. Enter Indicator Scores'!$D$8:$CZ$8,0),
  _xlpm.v, IFERROR(INDEX('3. Enter Indicator Scores'!$D$10:$CZ$161,_xlpm.r,_xlpm.c),""),
  IF(OR(_xlpm.w="",_xlpm.v=""),"",_xlpm.v*_xlpm.w)
)</f>
        <v/>
      </c>
      <c r="CZ51" s="93" t="str" cm="1">
        <f t="array" ref="CZ51">_xlfn.LET(
  _xlpm.w, CZ$11,
  _xlpm.r, MATCH(1,('3. Enter Indicator Scores'!$B$10:$B$161=$B51)*('3. Enter Indicator Scores'!$C$10:$C$161=$C51),0),
  _xlpm.c, MATCH(CZ$8,'3. Enter Indicator Scores'!$D$8:$CZ$8,0),
  _xlpm.v, IFERROR(INDEX('3. Enter Indicator Scores'!$D$10:$CZ$161,_xlpm.r,_xlpm.c),""),
  IF(OR(_xlpm.w="",_xlpm.v=""),"",_xlpm.v*_xlpm.w)
)</f>
        <v/>
      </c>
    </row>
    <row r="52" spans="4:104" x14ac:dyDescent="0.2">
      <c r="D52" s="93" t="str" cm="1">
        <f t="array" ref="D52">_xlfn.LET(
  _xlpm.w, D$11,
  _xlpm.r, MATCH(1,('3. Enter Indicator Scores'!$B$10:$B$161=$B52)*('3. Enter Indicator Scores'!$C$10:$C$161=$C52),0),
  _xlpm.c, MATCH(D$8,'3. Enter Indicator Scores'!$D$8:$CZ$8,0),
  _xlpm.v, IFERROR(INDEX('3. Enter Indicator Scores'!$D$10:$CZ$161,_xlpm.r,_xlpm.c),""),
  IF(OR(_xlpm.w="",_xlpm.v=""),"",_xlpm.v*_xlpm.w)
)</f>
        <v/>
      </c>
      <c r="E52" s="93" t="str" cm="1">
        <f t="array" ref="E52">_xlfn.LET(
  _xlpm.w, E$11,
  _xlpm.r, MATCH(1,('3. Enter Indicator Scores'!$B$10:$B$161=$B52)*('3. Enter Indicator Scores'!$C$10:$C$161=$C52),0),
  _xlpm.c, MATCH(E$8,'3. Enter Indicator Scores'!$D$8:$CZ$8,0),
  _xlpm.v, IFERROR(INDEX('3. Enter Indicator Scores'!$D$10:$CZ$161,_xlpm.r,_xlpm.c),""),
  IF(OR(_xlpm.w="",_xlpm.v=""),"",_xlpm.v*_xlpm.w)
)</f>
        <v/>
      </c>
      <c r="F52" s="93" t="str" cm="1">
        <f t="array" ref="F52">_xlfn.LET(
  _xlpm.w, F$11,
  _xlpm.r, MATCH(1,('3. Enter Indicator Scores'!$B$10:$B$161=$B52)*('3. Enter Indicator Scores'!$C$10:$C$161=$C52),0),
  _xlpm.c, MATCH(F$8,'3. Enter Indicator Scores'!$D$8:$CZ$8,0),
  _xlpm.v, IFERROR(INDEX('3. Enter Indicator Scores'!$D$10:$CZ$161,_xlpm.r,_xlpm.c),""),
  IF(OR(_xlpm.w="",_xlpm.v=""),"",_xlpm.v*_xlpm.w)
)</f>
        <v/>
      </c>
      <c r="G52" s="93" t="str" cm="1">
        <f t="array" ref="G52">_xlfn.LET(
  _xlpm.w, G$11,
  _xlpm.r, MATCH(1,('3. Enter Indicator Scores'!$B$10:$B$161=$B52)*('3. Enter Indicator Scores'!$C$10:$C$161=$C52),0),
  _xlpm.c, MATCH(G$8,'3. Enter Indicator Scores'!$D$8:$CZ$8,0),
  _xlpm.v, IFERROR(INDEX('3. Enter Indicator Scores'!$D$10:$CZ$161,_xlpm.r,_xlpm.c),""),
  IF(OR(_xlpm.w="",_xlpm.v=""),"",_xlpm.v*_xlpm.w)
)</f>
        <v/>
      </c>
      <c r="H52" s="93" t="str" cm="1">
        <f t="array" ref="H52">_xlfn.LET(
  _xlpm.w, H$11,
  _xlpm.r, MATCH(1,('3. Enter Indicator Scores'!$B$10:$B$161=$B52)*('3. Enter Indicator Scores'!$C$10:$C$161=$C52),0),
  _xlpm.c, MATCH(H$8,'3. Enter Indicator Scores'!$D$8:$CZ$8,0),
  _xlpm.v, IFERROR(INDEX('3. Enter Indicator Scores'!$D$10:$CZ$161,_xlpm.r,_xlpm.c),""),
  IF(OR(_xlpm.w="",_xlpm.v=""),"",_xlpm.v*_xlpm.w)
)</f>
        <v/>
      </c>
      <c r="I52" s="93" t="str" cm="1">
        <f t="array" ref="I52">_xlfn.LET(
  _xlpm.w, I$11,
  _xlpm.r, MATCH(1,('3. Enter Indicator Scores'!$B$10:$B$161=$B52)*('3. Enter Indicator Scores'!$C$10:$C$161=$C52),0),
  _xlpm.c, MATCH(I$8,'3. Enter Indicator Scores'!$D$8:$CZ$8,0),
  _xlpm.v, IFERROR(INDEX('3. Enter Indicator Scores'!$D$10:$CZ$161,_xlpm.r,_xlpm.c),""),
  IF(OR(_xlpm.w="",_xlpm.v=""),"",_xlpm.v*_xlpm.w)
)</f>
        <v/>
      </c>
      <c r="J52" s="93" t="str" cm="1">
        <f t="array" ref="J52">_xlfn.LET(
  _xlpm.w, J$11,
  _xlpm.r, MATCH(1,('3. Enter Indicator Scores'!$B$10:$B$161=$B52)*('3. Enter Indicator Scores'!$C$10:$C$161=$C52),0),
  _xlpm.c, MATCH(J$8,'3. Enter Indicator Scores'!$D$8:$CZ$8,0),
  _xlpm.v, IFERROR(INDEX('3. Enter Indicator Scores'!$D$10:$CZ$161,_xlpm.r,_xlpm.c),""),
  IF(OR(_xlpm.w="",_xlpm.v=""),"",_xlpm.v*_xlpm.w)
)</f>
        <v/>
      </c>
      <c r="K52" s="93" t="str" cm="1">
        <f t="array" ref="K52">_xlfn.LET(
  _xlpm.w, K$11,
  _xlpm.r, MATCH(1,('3. Enter Indicator Scores'!$B$10:$B$161=$B52)*('3. Enter Indicator Scores'!$C$10:$C$161=$C52),0),
  _xlpm.c, MATCH(K$8,'3. Enter Indicator Scores'!$D$8:$CZ$8,0),
  _xlpm.v, IFERROR(INDEX('3. Enter Indicator Scores'!$D$10:$CZ$161,_xlpm.r,_xlpm.c),""),
  IF(OR(_xlpm.w="",_xlpm.v=""),"",_xlpm.v*_xlpm.w)
)</f>
        <v/>
      </c>
      <c r="L52" s="93" t="str" cm="1">
        <f t="array" ref="L52">_xlfn.LET(
  _xlpm.w, L$11,
  _xlpm.r, MATCH(1,('3. Enter Indicator Scores'!$B$10:$B$161=$B52)*('3. Enter Indicator Scores'!$C$10:$C$161=$C52),0),
  _xlpm.c, MATCH(L$8,'3. Enter Indicator Scores'!$D$8:$CZ$8,0),
  _xlpm.v, IFERROR(INDEX('3. Enter Indicator Scores'!$D$10:$CZ$161,_xlpm.r,_xlpm.c),""),
  IF(OR(_xlpm.w="",_xlpm.v=""),"",_xlpm.v*_xlpm.w)
)</f>
        <v/>
      </c>
      <c r="M52" s="93" t="str" cm="1">
        <f t="array" ref="M52">_xlfn.LET(
  _xlpm.w, M$11,
  _xlpm.r, MATCH(1,('3. Enter Indicator Scores'!$B$10:$B$161=$B52)*('3. Enter Indicator Scores'!$C$10:$C$161=$C52),0),
  _xlpm.c, MATCH(M$8,'3. Enter Indicator Scores'!$D$8:$CZ$8,0),
  _xlpm.v, IFERROR(INDEX('3. Enter Indicator Scores'!$D$10:$CZ$161,_xlpm.r,_xlpm.c),""),
  IF(OR(_xlpm.w="",_xlpm.v=""),"",_xlpm.v*_xlpm.w)
)</f>
        <v/>
      </c>
      <c r="N52" s="93" t="str" cm="1">
        <f t="array" ref="N52">_xlfn.LET(
  _xlpm.w, N$11,
  _xlpm.r, MATCH(1,('3. Enter Indicator Scores'!$B$10:$B$161=$B52)*('3. Enter Indicator Scores'!$C$10:$C$161=$C52),0),
  _xlpm.c, MATCH(N$8,'3. Enter Indicator Scores'!$D$8:$CZ$8,0),
  _xlpm.v, IFERROR(INDEX('3. Enter Indicator Scores'!$D$10:$CZ$161,_xlpm.r,_xlpm.c),""),
  IF(OR(_xlpm.w="",_xlpm.v=""),"",_xlpm.v*_xlpm.w)
)</f>
        <v/>
      </c>
      <c r="O52" s="93" t="str" cm="1">
        <f t="array" ref="O52">_xlfn.LET(
  _xlpm.w, O$11,
  _xlpm.r, MATCH(1,('3. Enter Indicator Scores'!$B$10:$B$161=$B52)*('3. Enter Indicator Scores'!$C$10:$C$161=$C52),0),
  _xlpm.c, MATCH(O$8,'3. Enter Indicator Scores'!$D$8:$CZ$8,0),
  _xlpm.v, IFERROR(INDEX('3. Enter Indicator Scores'!$D$10:$CZ$161,_xlpm.r,_xlpm.c),""),
  IF(OR(_xlpm.w="",_xlpm.v=""),"",_xlpm.v*_xlpm.w)
)</f>
        <v/>
      </c>
      <c r="P52" s="93" t="str" cm="1">
        <f t="array" ref="P52">_xlfn.LET(
  _xlpm.w, P$11,
  _xlpm.r, MATCH(1,('3. Enter Indicator Scores'!$B$10:$B$161=$B52)*('3. Enter Indicator Scores'!$C$10:$C$161=$C52),0),
  _xlpm.c, MATCH(P$8,'3. Enter Indicator Scores'!$D$8:$CZ$8,0),
  _xlpm.v, IFERROR(INDEX('3. Enter Indicator Scores'!$D$10:$CZ$161,_xlpm.r,_xlpm.c),""),
  IF(OR(_xlpm.w="",_xlpm.v=""),"",_xlpm.v*_xlpm.w)
)</f>
        <v/>
      </c>
      <c r="Q52" s="93" t="str" cm="1">
        <f t="array" ref="Q52">_xlfn.LET(
  _xlpm.w, Q$11,
  _xlpm.r, MATCH(1,('3. Enter Indicator Scores'!$B$10:$B$161=$B52)*('3. Enter Indicator Scores'!$C$10:$C$161=$C52),0),
  _xlpm.c, MATCH(Q$8,'3. Enter Indicator Scores'!$D$8:$CZ$8,0),
  _xlpm.v, IFERROR(INDEX('3. Enter Indicator Scores'!$D$10:$CZ$161,_xlpm.r,_xlpm.c),""),
  IF(OR(_xlpm.w="",_xlpm.v=""),"",_xlpm.v*_xlpm.w)
)</f>
        <v/>
      </c>
      <c r="R52" s="93" t="str" cm="1">
        <f t="array" ref="R52">_xlfn.LET(
  _xlpm.w, R$11,
  _xlpm.r, MATCH(1,('3. Enter Indicator Scores'!$B$10:$B$161=$B52)*('3. Enter Indicator Scores'!$C$10:$C$161=$C52),0),
  _xlpm.c, MATCH(R$8,'3. Enter Indicator Scores'!$D$8:$CZ$8,0),
  _xlpm.v, IFERROR(INDEX('3. Enter Indicator Scores'!$D$10:$CZ$161,_xlpm.r,_xlpm.c),""),
  IF(OR(_xlpm.w="",_xlpm.v=""),"",_xlpm.v*_xlpm.w)
)</f>
        <v/>
      </c>
      <c r="S52" s="93" t="str" cm="1">
        <f t="array" ref="S52">_xlfn.LET(
  _xlpm.w, S$11,
  _xlpm.r, MATCH(1,('3. Enter Indicator Scores'!$B$10:$B$161=$B52)*('3. Enter Indicator Scores'!$C$10:$C$161=$C52),0),
  _xlpm.c, MATCH(S$8,'3. Enter Indicator Scores'!$D$8:$CZ$8,0),
  _xlpm.v, IFERROR(INDEX('3. Enter Indicator Scores'!$D$10:$CZ$161,_xlpm.r,_xlpm.c),""),
  IF(OR(_xlpm.w="",_xlpm.v=""),"",_xlpm.v*_xlpm.w)
)</f>
        <v/>
      </c>
      <c r="T52" s="93" t="str" cm="1">
        <f t="array" ref="T52">_xlfn.LET(
  _xlpm.w, T$11,
  _xlpm.r, MATCH(1,('3. Enter Indicator Scores'!$B$10:$B$161=$B52)*('3. Enter Indicator Scores'!$C$10:$C$161=$C52),0),
  _xlpm.c, MATCH(T$8,'3. Enter Indicator Scores'!$D$8:$CZ$8,0),
  _xlpm.v, IFERROR(INDEX('3. Enter Indicator Scores'!$D$10:$CZ$161,_xlpm.r,_xlpm.c),""),
  IF(OR(_xlpm.w="",_xlpm.v=""),"",_xlpm.v*_xlpm.w)
)</f>
        <v/>
      </c>
      <c r="U52" s="93" t="str" cm="1">
        <f t="array" ref="U52">_xlfn.LET(
  _xlpm.w, U$11,
  _xlpm.r, MATCH(1,('3. Enter Indicator Scores'!$B$10:$B$161=$B52)*('3. Enter Indicator Scores'!$C$10:$C$161=$C52),0),
  _xlpm.c, MATCH(U$8,'3. Enter Indicator Scores'!$D$8:$CZ$8,0),
  _xlpm.v, IFERROR(INDEX('3. Enter Indicator Scores'!$D$10:$CZ$161,_xlpm.r,_xlpm.c),""),
  IF(OR(_xlpm.w="",_xlpm.v=""),"",_xlpm.v*_xlpm.w)
)</f>
        <v/>
      </c>
      <c r="V52" s="93" t="str" cm="1">
        <f t="array" ref="V52">_xlfn.LET(
  _xlpm.w, V$11,
  _xlpm.r, MATCH(1,('3. Enter Indicator Scores'!$B$10:$B$161=$B52)*('3. Enter Indicator Scores'!$C$10:$C$161=$C52),0),
  _xlpm.c, MATCH(V$8,'3. Enter Indicator Scores'!$D$8:$CZ$8,0),
  _xlpm.v, IFERROR(INDEX('3. Enter Indicator Scores'!$D$10:$CZ$161,_xlpm.r,_xlpm.c),""),
  IF(OR(_xlpm.w="",_xlpm.v=""),"",_xlpm.v*_xlpm.w)
)</f>
        <v/>
      </c>
      <c r="W52" s="93" t="str" cm="1">
        <f t="array" ref="W52">_xlfn.LET(
  _xlpm.w, W$11,
  _xlpm.r, MATCH(1,('3. Enter Indicator Scores'!$B$10:$B$161=$B52)*('3. Enter Indicator Scores'!$C$10:$C$161=$C52),0),
  _xlpm.c, MATCH(W$8,'3. Enter Indicator Scores'!$D$8:$CZ$8,0),
  _xlpm.v, IFERROR(INDEX('3. Enter Indicator Scores'!$D$10:$CZ$161,_xlpm.r,_xlpm.c),""),
  IF(OR(_xlpm.w="",_xlpm.v=""),"",_xlpm.v*_xlpm.w)
)</f>
        <v/>
      </c>
      <c r="X52" s="93" t="str" cm="1">
        <f t="array" ref="X52">_xlfn.LET(
  _xlpm.w, X$11,
  _xlpm.r, MATCH(1,('3. Enter Indicator Scores'!$B$10:$B$161=$B52)*('3. Enter Indicator Scores'!$C$10:$C$161=$C52),0),
  _xlpm.c, MATCH(X$8,'3. Enter Indicator Scores'!$D$8:$CZ$8,0),
  _xlpm.v, IFERROR(INDEX('3. Enter Indicator Scores'!$D$10:$CZ$161,_xlpm.r,_xlpm.c),""),
  IF(OR(_xlpm.w="",_xlpm.v=""),"",_xlpm.v*_xlpm.w)
)</f>
        <v/>
      </c>
      <c r="Y52" s="93" t="str" cm="1">
        <f t="array" ref="Y52">_xlfn.LET(
  _xlpm.w, Y$11,
  _xlpm.r, MATCH(1,('3. Enter Indicator Scores'!$B$10:$B$161=$B52)*('3. Enter Indicator Scores'!$C$10:$C$161=$C52),0),
  _xlpm.c, MATCH(Y$8,'3. Enter Indicator Scores'!$D$8:$CZ$8,0),
  _xlpm.v, IFERROR(INDEX('3. Enter Indicator Scores'!$D$10:$CZ$161,_xlpm.r,_xlpm.c),""),
  IF(OR(_xlpm.w="",_xlpm.v=""),"",_xlpm.v*_xlpm.w)
)</f>
        <v/>
      </c>
      <c r="Z52" s="93" t="str" cm="1">
        <f t="array" ref="Z52">_xlfn.LET(
  _xlpm.w, Z$11,
  _xlpm.r, MATCH(1,('3. Enter Indicator Scores'!$B$10:$B$161=$B52)*('3. Enter Indicator Scores'!$C$10:$C$161=$C52),0),
  _xlpm.c, MATCH(Z$8,'3. Enter Indicator Scores'!$D$8:$CZ$8,0),
  _xlpm.v, IFERROR(INDEX('3. Enter Indicator Scores'!$D$10:$CZ$161,_xlpm.r,_xlpm.c),""),
  IF(OR(_xlpm.w="",_xlpm.v=""),"",_xlpm.v*_xlpm.w)
)</f>
        <v/>
      </c>
      <c r="AA52" s="93" t="str" cm="1">
        <f t="array" ref="AA52">_xlfn.LET(
  _xlpm.w, AA$11,
  _xlpm.r, MATCH(1,('3. Enter Indicator Scores'!$B$10:$B$161=$B52)*('3. Enter Indicator Scores'!$C$10:$C$161=$C52),0),
  _xlpm.c, MATCH(AA$8,'3. Enter Indicator Scores'!$D$8:$CZ$8,0),
  _xlpm.v, IFERROR(INDEX('3. Enter Indicator Scores'!$D$10:$CZ$161,_xlpm.r,_xlpm.c),""),
  IF(OR(_xlpm.w="",_xlpm.v=""),"",_xlpm.v*_xlpm.w)
)</f>
        <v/>
      </c>
      <c r="AB52" s="93" t="str" cm="1">
        <f t="array" ref="AB52">_xlfn.LET(
  _xlpm.w, AB$11,
  _xlpm.r, MATCH(1,('3. Enter Indicator Scores'!$B$10:$B$161=$B52)*('3. Enter Indicator Scores'!$C$10:$C$161=$C52),0),
  _xlpm.c, MATCH(AB$8,'3. Enter Indicator Scores'!$D$8:$CZ$8,0),
  _xlpm.v, IFERROR(INDEX('3. Enter Indicator Scores'!$D$10:$CZ$161,_xlpm.r,_xlpm.c),""),
  IF(OR(_xlpm.w="",_xlpm.v=""),"",_xlpm.v*_xlpm.w)
)</f>
        <v/>
      </c>
      <c r="AC52" s="93" t="str" cm="1">
        <f t="array" ref="AC52">_xlfn.LET(
  _xlpm.w, AC$11,
  _xlpm.r, MATCH(1,('3. Enter Indicator Scores'!$B$10:$B$161=$B52)*('3. Enter Indicator Scores'!$C$10:$C$161=$C52),0),
  _xlpm.c, MATCH(AC$8,'3. Enter Indicator Scores'!$D$8:$CZ$8,0),
  _xlpm.v, IFERROR(INDEX('3. Enter Indicator Scores'!$D$10:$CZ$161,_xlpm.r,_xlpm.c),""),
  IF(OR(_xlpm.w="",_xlpm.v=""),"",_xlpm.v*_xlpm.w)
)</f>
        <v/>
      </c>
      <c r="AD52" s="93" t="str" cm="1">
        <f t="array" ref="AD52">_xlfn.LET(
  _xlpm.w, AD$11,
  _xlpm.r, MATCH(1,('3. Enter Indicator Scores'!$B$10:$B$161=$B52)*('3. Enter Indicator Scores'!$C$10:$C$161=$C52),0),
  _xlpm.c, MATCH(AD$8,'3. Enter Indicator Scores'!$D$8:$CZ$8,0),
  _xlpm.v, IFERROR(INDEX('3. Enter Indicator Scores'!$D$10:$CZ$161,_xlpm.r,_xlpm.c),""),
  IF(OR(_xlpm.w="",_xlpm.v=""),"",_xlpm.v*_xlpm.w)
)</f>
        <v/>
      </c>
      <c r="AE52" s="93" t="str" cm="1">
        <f t="array" ref="AE52">_xlfn.LET(
  _xlpm.w, AE$11,
  _xlpm.r, MATCH(1,('3. Enter Indicator Scores'!$B$10:$B$161=$B52)*('3. Enter Indicator Scores'!$C$10:$C$161=$C52),0),
  _xlpm.c, MATCH(AE$8,'3. Enter Indicator Scores'!$D$8:$CZ$8,0),
  _xlpm.v, IFERROR(INDEX('3. Enter Indicator Scores'!$D$10:$CZ$161,_xlpm.r,_xlpm.c),""),
  IF(OR(_xlpm.w="",_xlpm.v=""),"",_xlpm.v*_xlpm.w)
)</f>
        <v/>
      </c>
      <c r="AF52" s="93" t="str" cm="1">
        <f t="array" ref="AF52">_xlfn.LET(
  _xlpm.w, AF$11,
  _xlpm.r, MATCH(1,('3. Enter Indicator Scores'!$B$10:$B$161=$B52)*('3. Enter Indicator Scores'!$C$10:$C$161=$C52),0),
  _xlpm.c, MATCH(AF$8,'3. Enter Indicator Scores'!$D$8:$CZ$8,0),
  _xlpm.v, IFERROR(INDEX('3. Enter Indicator Scores'!$D$10:$CZ$161,_xlpm.r,_xlpm.c),""),
  IF(OR(_xlpm.w="",_xlpm.v=""),"",_xlpm.v*_xlpm.w)
)</f>
        <v/>
      </c>
      <c r="AG52" s="93" t="str" cm="1">
        <f t="array" ref="AG52">_xlfn.LET(
  _xlpm.w, AG$11,
  _xlpm.r, MATCH(1,('3. Enter Indicator Scores'!$B$10:$B$161=$B52)*('3. Enter Indicator Scores'!$C$10:$C$161=$C52),0),
  _xlpm.c, MATCH(AG$8,'3. Enter Indicator Scores'!$D$8:$CZ$8,0),
  _xlpm.v, IFERROR(INDEX('3. Enter Indicator Scores'!$D$10:$CZ$161,_xlpm.r,_xlpm.c),""),
  IF(OR(_xlpm.w="",_xlpm.v=""),"",_xlpm.v*_xlpm.w)
)</f>
        <v/>
      </c>
      <c r="AH52" s="93" t="str" cm="1">
        <f t="array" ref="AH52">_xlfn.LET(
  _xlpm.w, AH$11,
  _xlpm.r, MATCH(1,('3. Enter Indicator Scores'!$B$10:$B$161=$B52)*('3. Enter Indicator Scores'!$C$10:$C$161=$C52),0),
  _xlpm.c, MATCH(AH$8,'3. Enter Indicator Scores'!$D$8:$CZ$8,0),
  _xlpm.v, IFERROR(INDEX('3. Enter Indicator Scores'!$D$10:$CZ$161,_xlpm.r,_xlpm.c),""),
  IF(OR(_xlpm.w="",_xlpm.v=""),"",_xlpm.v*_xlpm.w)
)</f>
        <v/>
      </c>
      <c r="AI52" s="93" t="str" cm="1">
        <f t="array" ref="AI52">_xlfn.LET(
  _xlpm.w, AI$11,
  _xlpm.r, MATCH(1,('3. Enter Indicator Scores'!$B$10:$B$161=$B52)*('3. Enter Indicator Scores'!$C$10:$C$161=$C52),0),
  _xlpm.c, MATCH(AI$8,'3. Enter Indicator Scores'!$D$8:$CZ$8,0),
  _xlpm.v, IFERROR(INDEX('3. Enter Indicator Scores'!$D$10:$CZ$161,_xlpm.r,_xlpm.c),""),
  IF(OR(_xlpm.w="",_xlpm.v=""),"",_xlpm.v*_xlpm.w)
)</f>
        <v/>
      </c>
      <c r="AJ52" s="93" t="str" cm="1">
        <f t="array" ref="AJ52">_xlfn.LET(
  _xlpm.w, AJ$11,
  _xlpm.r, MATCH(1,('3. Enter Indicator Scores'!$B$10:$B$161=$B52)*('3. Enter Indicator Scores'!$C$10:$C$161=$C52),0),
  _xlpm.c, MATCH(AJ$8,'3. Enter Indicator Scores'!$D$8:$CZ$8,0),
  _xlpm.v, IFERROR(INDEX('3. Enter Indicator Scores'!$D$10:$CZ$161,_xlpm.r,_xlpm.c),""),
  IF(OR(_xlpm.w="",_xlpm.v=""),"",_xlpm.v*_xlpm.w)
)</f>
        <v/>
      </c>
      <c r="AK52" s="93" t="str" cm="1">
        <f t="array" ref="AK52">_xlfn.LET(
  _xlpm.w, AK$11,
  _xlpm.r, MATCH(1,('3. Enter Indicator Scores'!$B$10:$B$161=$B52)*('3. Enter Indicator Scores'!$C$10:$C$161=$C52),0),
  _xlpm.c, MATCH(AK$8,'3. Enter Indicator Scores'!$D$8:$CZ$8,0),
  _xlpm.v, IFERROR(INDEX('3. Enter Indicator Scores'!$D$10:$CZ$161,_xlpm.r,_xlpm.c),""),
  IF(OR(_xlpm.w="",_xlpm.v=""),"",_xlpm.v*_xlpm.w)
)</f>
        <v/>
      </c>
      <c r="AL52" s="93" t="str" cm="1">
        <f t="array" ref="AL52">_xlfn.LET(
  _xlpm.w, AL$11,
  _xlpm.r, MATCH(1,('3. Enter Indicator Scores'!$B$10:$B$161=$B52)*('3. Enter Indicator Scores'!$C$10:$C$161=$C52),0),
  _xlpm.c, MATCH(AL$8,'3. Enter Indicator Scores'!$D$8:$CZ$8,0),
  _xlpm.v, IFERROR(INDEX('3. Enter Indicator Scores'!$D$10:$CZ$161,_xlpm.r,_xlpm.c),""),
  IF(OR(_xlpm.w="",_xlpm.v=""),"",_xlpm.v*_xlpm.w)
)</f>
        <v/>
      </c>
      <c r="AM52" s="93" t="str" cm="1">
        <f t="array" ref="AM52">_xlfn.LET(
  _xlpm.w, AM$11,
  _xlpm.r, MATCH(1,('3. Enter Indicator Scores'!$B$10:$B$161=$B52)*('3. Enter Indicator Scores'!$C$10:$C$161=$C52),0),
  _xlpm.c, MATCH(AM$8,'3. Enter Indicator Scores'!$D$8:$CZ$8,0),
  _xlpm.v, IFERROR(INDEX('3. Enter Indicator Scores'!$D$10:$CZ$161,_xlpm.r,_xlpm.c),""),
  IF(OR(_xlpm.w="",_xlpm.v=""),"",_xlpm.v*_xlpm.w)
)</f>
        <v/>
      </c>
      <c r="AN52" s="93" t="str" cm="1">
        <f t="array" ref="AN52">_xlfn.LET(
  _xlpm.w, AN$11,
  _xlpm.r, MATCH(1,('3. Enter Indicator Scores'!$B$10:$B$161=$B52)*('3. Enter Indicator Scores'!$C$10:$C$161=$C52),0),
  _xlpm.c, MATCH(AN$8,'3. Enter Indicator Scores'!$D$8:$CZ$8,0),
  _xlpm.v, IFERROR(INDEX('3. Enter Indicator Scores'!$D$10:$CZ$161,_xlpm.r,_xlpm.c),""),
  IF(OR(_xlpm.w="",_xlpm.v=""),"",_xlpm.v*_xlpm.w)
)</f>
        <v/>
      </c>
      <c r="AO52" s="93" t="str" cm="1">
        <f t="array" ref="AO52">_xlfn.LET(
  _xlpm.w, AO$11,
  _xlpm.r, MATCH(1,('3. Enter Indicator Scores'!$B$10:$B$161=$B52)*('3. Enter Indicator Scores'!$C$10:$C$161=$C52),0),
  _xlpm.c, MATCH(AO$8,'3. Enter Indicator Scores'!$D$8:$CZ$8,0),
  _xlpm.v, IFERROR(INDEX('3. Enter Indicator Scores'!$D$10:$CZ$161,_xlpm.r,_xlpm.c),""),
  IF(OR(_xlpm.w="",_xlpm.v=""),"",_xlpm.v*_xlpm.w)
)</f>
        <v/>
      </c>
      <c r="AP52" s="93" t="str" cm="1">
        <f t="array" ref="AP52">_xlfn.LET(
  _xlpm.w, AP$11,
  _xlpm.r, MATCH(1,('3. Enter Indicator Scores'!$B$10:$B$161=$B52)*('3. Enter Indicator Scores'!$C$10:$C$161=$C52),0),
  _xlpm.c, MATCH(AP$8,'3. Enter Indicator Scores'!$D$8:$CZ$8,0),
  _xlpm.v, IFERROR(INDEX('3. Enter Indicator Scores'!$D$10:$CZ$161,_xlpm.r,_xlpm.c),""),
  IF(OR(_xlpm.w="",_xlpm.v=""),"",_xlpm.v*_xlpm.w)
)</f>
        <v/>
      </c>
      <c r="AQ52" s="93" t="str" cm="1">
        <f t="array" ref="AQ52">_xlfn.LET(
  _xlpm.w, AQ$11,
  _xlpm.r, MATCH(1,('3. Enter Indicator Scores'!$B$10:$B$161=$B52)*('3. Enter Indicator Scores'!$C$10:$C$161=$C52),0),
  _xlpm.c, MATCH(AQ$8,'3. Enter Indicator Scores'!$D$8:$CZ$8,0),
  _xlpm.v, IFERROR(INDEX('3. Enter Indicator Scores'!$D$10:$CZ$161,_xlpm.r,_xlpm.c),""),
  IF(OR(_xlpm.w="",_xlpm.v=""),"",_xlpm.v*_xlpm.w)
)</f>
        <v/>
      </c>
      <c r="AR52" s="93" t="str" cm="1">
        <f t="array" ref="AR52">_xlfn.LET(
  _xlpm.w, AR$11,
  _xlpm.r, MATCH(1,('3. Enter Indicator Scores'!$B$10:$B$161=$B52)*('3. Enter Indicator Scores'!$C$10:$C$161=$C52),0),
  _xlpm.c, MATCH(AR$8,'3. Enter Indicator Scores'!$D$8:$CZ$8,0),
  _xlpm.v, IFERROR(INDEX('3. Enter Indicator Scores'!$D$10:$CZ$161,_xlpm.r,_xlpm.c),""),
  IF(OR(_xlpm.w="",_xlpm.v=""),"",_xlpm.v*_xlpm.w)
)</f>
        <v/>
      </c>
      <c r="AS52" s="93" t="str" cm="1">
        <f t="array" ref="AS52">_xlfn.LET(
  _xlpm.w, AS$11,
  _xlpm.r, MATCH(1,('3. Enter Indicator Scores'!$B$10:$B$161=$B52)*('3. Enter Indicator Scores'!$C$10:$C$161=$C52),0),
  _xlpm.c, MATCH(AS$8,'3. Enter Indicator Scores'!$D$8:$CZ$8,0),
  _xlpm.v, IFERROR(INDEX('3. Enter Indicator Scores'!$D$10:$CZ$161,_xlpm.r,_xlpm.c),""),
  IF(OR(_xlpm.w="",_xlpm.v=""),"",_xlpm.v*_xlpm.w)
)</f>
        <v/>
      </c>
      <c r="AT52" s="93" t="str" cm="1">
        <f t="array" ref="AT52">_xlfn.LET(
  _xlpm.w, AT$11,
  _xlpm.r, MATCH(1,('3. Enter Indicator Scores'!$B$10:$B$161=$B52)*('3. Enter Indicator Scores'!$C$10:$C$161=$C52),0),
  _xlpm.c, MATCH(AT$8,'3. Enter Indicator Scores'!$D$8:$CZ$8,0),
  _xlpm.v, IFERROR(INDEX('3. Enter Indicator Scores'!$D$10:$CZ$161,_xlpm.r,_xlpm.c),""),
  IF(OR(_xlpm.w="",_xlpm.v=""),"",_xlpm.v*_xlpm.w)
)</f>
        <v/>
      </c>
      <c r="AU52" s="93" t="str" cm="1">
        <f t="array" ref="AU52">_xlfn.LET(
  _xlpm.w, AU$11,
  _xlpm.r, MATCH(1,('3. Enter Indicator Scores'!$B$10:$B$161=$B52)*('3. Enter Indicator Scores'!$C$10:$C$161=$C52),0),
  _xlpm.c, MATCH(AU$8,'3. Enter Indicator Scores'!$D$8:$CZ$8,0),
  _xlpm.v, IFERROR(INDEX('3. Enter Indicator Scores'!$D$10:$CZ$161,_xlpm.r,_xlpm.c),""),
  IF(OR(_xlpm.w="",_xlpm.v=""),"",_xlpm.v*_xlpm.w)
)</f>
        <v/>
      </c>
      <c r="AV52" s="93" t="str" cm="1">
        <f t="array" ref="AV52">_xlfn.LET(
  _xlpm.w, AV$11,
  _xlpm.r, MATCH(1,('3. Enter Indicator Scores'!$B$10:$B$161=$B52)*('3. Enter Indicator Scores'!$C$10:$C$161=$C52),0),
  _xlpm.c, MATCH(AV$8,'3. Enter Indicator Scores'!$D$8:$CZ$8,0),
  _xlpm.v, IFERROR(INDEX('3. Enter Indicator Scores'!$D$10:$CZ$161,_xlpm.r,_xlpm.c),""),
  IF(OR(_xlpm.w="",_xlpm.v=""),"",_xlpm.v*_xlpm.w)
)</f>
        <v/>
      </c>
      <c r="AW52" s="93" t="str" cm="1">
        <f t="array" ref="AW52">_xlfn.LET(
  _xlpm.w, AW$11,
  _xlpm.r, MATCH(1,('3. Enter Indicator Scores'!$B$10:$B$161=$B52)*('3. Enter Indicator Scores'!$C$10:$C$161=$C52),0),
  _xlpm.c, MATCH(AW$8,'3. Enter Indicator Scores'!$D$8:$CZ$8,0),
  _xlpm.v, IFERROR(INDEX('3. Enter Indicator Scores'!$D$10:$CZ$161,_xlpm.r,_xlpm.c),""),
  IF(OR(_xlpm.w="",_xlpm.v=""),"",_xlpm.v*_xlpm.w)
)</f>
        <v/>
      </c>
      <c r="AX52" s="93" t="str" cm="1">
        <f t="array" ref="AX52">_xlfn.LET(
  _xlpm.w, AX$11,
  _xlpm.r, MATCH(1,('3. Enter Indicator Scores'!$B$10:$B$161=$B52)*('3. Enter Indicator Scores'!$C$10:$C$161=$C52),0),
  _xlpm.c, MATCH(AX$8,'3. Enter Indicator Scores'!$D$8:$CZ$8,0),
  _xlpm.v, IFERROR(INDEX('3. Enter Indicator Scores'!$D$10:$CZ$161,_xlpm.r,_xlpm.c),""),
  IF(OR(_xlpm.w="",_xlpm.v=""),"",_xlpm.v*_xlpm.w)
)</f>
        <v/>
      </c>
      <c r="AY52" s="93" t="str" cm="1">
        <f t="array" ref="AY52">_xlfn.LET(
  _xlpm.w, AY$11,
  _xlpm.r, MATCH(1,('3. Enter Indicator Scores'!$B$10:$B$161=$B52)*('3. Enter Indicator Scores'!$C$10:$C$161=$C52),0),
  _xlpm.c, MATCH(AY$8,'3. Enter Indicator Scores'!$D$8:$CZ$8,0),
  _xlpm.v, IFERROR(INDEX('3. Enter Indicator Scores'!$D$10:$CZ$161,_xlpm.r,_xlpm.c),""),
  IF(OR(_xlpm.w="",_xlpm.v=""),"",_xlpm.v*_xlpm.w)
)</f>
        <v/>
      </c>
      <c r="AZ52" s="93" t="str" cm="1">
        <f t="array" ref="AZ52">_xlfn.LET(
  _xlpm.w, AZ$11,
  _xlpm.r, MATCH(1,('3. Enter Indicator Scores'!$B$10:$B$161=$B52)*('3. Enter Indicator Scores'!$C$10:$C$161=$C52),0),
  _xlpm.c, MATCH(AZ$8,'3. Enter Indicator Scores'!$D$8:$CZ$8,0),
  _xlpm.v, IFERROR(INDEX('3. Enter Indicator Scores'!$D$10:$CZ$161,_xlpm.r,_xlpm.c),""),
  IF(OR(_xlpm.w="",_xlpm.v=""),"",_xlpm.v*_xlpm.w)
)</f>
        <v/>
      </c>
      <c r="BA52" s="93" t="str" cm="1">
        <f t="array" ref="BA52">_xlfn.LET(
  _xlpm.w, BA$11,
  _xlpm.r, MATCH(1,('3. Enter Indicator Scores'!$B$10:$B$161=$B52)*('3. Enter Indicator Scores'!$C$10:$C$161=$C52),0),
  _xlpm.c, MATCH(BA$8,'3. Enter Indicator Scores'!$D$8:$CZ$8,0),
  _xlpm.v, IFERROR(INDEX('3. Enter Indicator Scores'!$D$10:$CZ$161,_xlpm.r,_xlpm.c),""),
  IF(OR(_xlpm.w="",_xlpm.v=""),"",_xlpm.v*_xlpm.w)
)</f>
        <v/>
      </c>
      <c r="BB52" s="93" t="str" cm="1">
        <f t="array" ref="BB52">_xlfn.LET(
  _xlpm.w, BB$11,
  _xlpm.r, MATCH(1,('3. Enter Indicator Scores'!$B$10:$B$161=$B52)*('3. Enter Indicator Scores'!$C$10:$C$161=$C52),0),
  _xlpm.c, MATCH(BB$8,'3. Enter Indicator Scores'!$D$8:$CZ$8,0),
  _xlpm.v, IFERROR(INDEX('3. Enter Indicator Scores'!$D$10:$CZ$161,_xlpm.r,_xlpm.c),""),
  IF(OR(_xlpm.w="",_xlpm.v=""),"",_xlpm.v*_xlpm.w)
)</f>
        <v/>
      </c>
      <c r="BC52" s="93" t="str" cm="1">
        <f t="array" ref="BC52">_xlfn.LET(
  _xlpm.w, BC$11,
  _xlpm.r, MATCH(1,('3. Enter Indicator Scores'!$B$10:$B$161=$B52)*('3. Enter Indicator Scores'!$C$10:$C$161=$C52),0),
  _xlpm.c, MATCH(BC$8,'3. Enter Indicator Scores'!$D$8:$CZ$8,0),
  _xlpm.v, IFERROR(INDEX('3. Enter Indicator Scores'!$D$10:$CZ$161,_xlpm.r,_xlpm.c),""),
  IF(OR(_xlpm.w="",_xlpm.v=""),"",_xlpm.v*_xlpm.w)
)</f>
        <v/>
      </c>
      <c r="BD52" s="93" t="str" cm="1">
        <f t="array" ref="BD52">_xlfn.LET(
  _xlpm.w, BD$11,
  _xlpm.r, MATCH(1,('3. Enter Indicator Scores'!$B$10:$B$161=$B52)*('3. Enter Indicator Scores'!$C$10:$C$161=$C52),0),
  _xlpm.c, MATCH(BD$8,'3. Enter Indicator Scores'!$D$8:$CZ$8,0),
  _xlpm.v, IFERROR(INDEX('3. Enter Indicator Scores'!$D$10:$CZ$161,_xlpm.r,_xlpm.c),""),
  IF(OR(_xlpm.w="",_xlpm.v=""),"",_xlpm.v*_xlpm.w)
)</f>
        <v/>
      </c>
      <c r="BE52" s="93" t="str" cm="1">
        <f t="array" ref="BE52">_xlfn.LET(
  _xlpm.w, BE$11,
  _xlpm.r, MATCH(1,('3. Enter Indicator Scores'!$B$10:$B$161=$B52)*('3. Enter Indicator Scores'!$C$10:$C$161=$C52),0),
  _xlpm.c, MATCH(BE$8,'3. Enter Indicator Scores'!$D$8:$CZ$8,0),
  _xlpm.v, IFERROR(INDEX('3. Enter Indicator Scores'!$D$10:$CZ$161,_xlpm.r,_xlpm.c),""),
  IF(OR(_xlpm.w="",_xlpm.v=""),"",_xlpm.v*_xlpm.w)
)</f>
        <v/>
      </c>
      <c r="BF52" s="93" t="str" cm="1">
        <f t="array" ref="BF52">_xlfn.LET(
  _xlpm.w, BF$11,
  _xlpm.r, MATCH(1,('3. Enter Indicator Scores'!$B$10:$B$161=$B52)*('3. Enter Indicator Scores'!$C$10:$C$161=$C52),0),
  _xlpm.c, MATCH(BF$8,'3. Enter Indicator Scores'!$D$8:$CZ$8,0),
  _xlpm.v, IFERROR(INDEX('3. Enter Indicator Scores'!$D$10:$CZ$161,_xlpm.r,_xlpm.c),""),
  IF(OR(_xlpm.w="",_xlpm.v=""),"",_xlpm.v*_xlpm.w)
)</f>
        <v/>
      </c>
      <c r="BG52" s="93" t="str" cm="1">
        <f t="array" ref="BG52">_xlfn.LET(
  _xlpm.w, BG$11,
  _xlpm.r, MATCH(1,('3. Enter Indicator Scores'!$B$10:$B$161=$B52)*('3. Enter Indicator Scores'!$C$10:$C$161=$C52),0),
  _xlpm.c, MATCH(BG$8,'3. Enter Indicator Scores'!$D$8:$CZ$8,0),
  _xlpm.v, IFERROR(INDEX('3. Enter Indicator Scores'!$D$10:$CZ$161,_xlpm.r,_xlpm.c),""),
  IF(OR(_xlpm.w="",_xlpm.v=""),"",_xlpm.v*_xlpm.w)
)</f>
        <v/>
      </c>
      <c r="BH52" s="93" t="str" cm="1">
        <f t="array" ref="BH52">_xlfn.LET(
  _xlpm.w, BH$11,
  _xlpm.r, MATCH(1,('3. Enter Indicator Scores'!$B$10:$B$161=$B52)*('3. Enter Indicator Scores'!$C$10:$C$161=$C52),0),
  _xlpm.c, MATCH(BH$8,'3. Enter Indicator Scores'!$D$8:$CZ$8,0),
  _xlpm.v, IFERROR(INDEX('3. Enter Indicator Scores'!$D$10:$CZ$161,_xlpm.r,_xlpm.c),""),
  IF(OR(_xlpm.w="",_xlpm.v=""),"",_xlpm.v*_xlpm.w)
)</f>
        <v/>
      </c>
      <c r="BI52" s="93" t="str" cm="1">
        <f t="array" ref="BI52">_xlfn.LET(
  _xlpm.w, BI$11,
  _xlpm.r, MATCH(1,('3. Enter Indicator Scores'!$B$10:$B$161=$B52)*('3. Enter Indicator Scores'!$C$10:$C$161=$C52),0),
  _xlpm.c, MATCH(BI$8,'3. Enter Indicator Scores'!$D$8:$CZ$8,0),
  _xlpm.v, IFERROR(INDEX('3. Enter Indicator Scores'!$D$10:$CZ$161,_xlpm.r,_xlpm.c),""),
  IF(OR(_xlpm.w="",_xlpm.v=""),"",_xlpm.v*_xlpm.w)
)</f>
        <v/>
      </c>
      <c r="BJ52" s="93" t="str" cm="1">
        <f t="array" ref="BJ52">_xlfn.LET(
  _xlpm.w, BJ$11,
  _xlpm.r, MATCH(1,('3. Enter Indicator Scores'!$B$10:$B$161=$B52)*('3. Enter Indicator Scores'!$C$10:$C$161=$C52),0),
  _xlpm.c, MATCH(BJ$8,'3. Enter Indicator Scores'!$D$8:$CZ$8,0),
  _xlpm.v, IFERROR(INDEX('3. Enter Indicator Scores'!$D$10:$CZ$161,_xlpm.r,_xlpm.c),""),
  IF(OR(_xlpm.w="",_xlpm.v=""),"",_xlpm.v*_xlpm.w)
)</f>
        <v/>
      </c>
      <c r="BK52" s="93" t="str" cm="1">
        <f t="array" ref="BK52">_xlfn.LET(
  _xlpm.w, BK$11,
  _xlpm.r, MATCH(1,('3. Enter Indicator Scores'!$B$10:$B$161=$B52)*('3. Enter Indicator Scores'!$C$10:$C$161=$C52),0),
  _xlpm.c, MATCH(BK$8,'3. Enter Indicator Scores'!$D$8:$CZ$8,0),
  _xlpm.v, IFERROR(INDEX('3. Enter Indicator Scores'!$D$10:$CZ$161,_xlpm.r,_xlpm.c),""),
  IF(OR(_xlpm.w="",_xlpm.v=""),"",_xlpm.v*_xlpm.w)
)</f>
        <v/>
      </c>
      <c r="BL52" s="93" t="str" cm="1">
        <f t="array" ref="BL52">_xlfn.LET(
  _xlpm.w, BL$11,
  _xlpm.r, MATCH(1,('3. Enter Indicator Scores'!$B$10:$B$161=$B52)*('3. Enter Indicator Scores'!$C$10:$C$161=$C52),0),
  _xlpm.c, MATCH(BL$8,'3. Enter Indicator Scores'!$D$8:$CZ$8,0),
  _xlpm.v, IFERROR(INDEX('3. Enter Indicator Scores'!$D$10:$CZ$161,_xlpm.r,_xlpm.c),""),
  IF(OR(_xlpm.w="",_xlpm.v=""),"",_xlpm.v*_xlpm.w)
)</f>
        <v/>
      </c>
      <c r="BM52" s="93" t="str" cm="1">
        <f t="array" ref="BM52">_xlfn.LET(
  _xlpm.w, BM$11,
  _xlpm.r, MATCH(1,('3. Enter Indicator Scores'!$B$10:$B$161=$B52)*('3. Enter Indicator Scores'!$C$10:$C$161=$C52),0),
  _xlpm.c, MATCH(BM$8,'3. Enter Indicator Scores'!$D$8:$CZ$8,0),
  _xlpm.v, IFERROR(INDEX('3. Enter Indicator Scores'!$D$10:$CZ$161,_xlpm.r,_xlpm.c),""),
  IF(OR(_xlpm.w="",_xlpm.v=""),"",_xlpm.v*_xlpm.w)
)</f>
        <v/>
      </c>
      <c r="BN52" s="93" t="str" cm="1">
        <f t="array" ref="BN52">_xlfn.LET(
  _xlpm.w, BN$11,
  _xlpm.r, MATCH(1,('3. Enter Indicator Scores'!$B$10:$B$161=$B52)*('3. Enter Indicator Scores'!$C$10:$C$161=$C52),0),
  _xlpm.c, MATCH(BN$8,'3. Enter Indicator Scores'!$D$8:$CZ$8,0),
  _xlpm.v, IFERROR(INDEX('3. Enter Indicator Scores'!$D$10:$CZ$161,_xlpm.r,_xlpm.c),""),
  IF(OR(_xlpm.w="",_xlpm.v=""),"",_xlpm.v*_xlpm.w)
)</f>
        <v/>
      </c>
      <c r="BO52" s="93" t="str" cm="1">
        <f t="array" ref="BO52">_xlfn.LET(
  _xlpm.w, BO$11,
  _xlpm.r, MATCH(1,('3. Enter Indicator Scores'!$B$10:$B$161=$B52)*('3. Enter Indicator Scores'!$C$10:$C$161=$C52),0),
  _xlpm.c, MATCH(BO$8,'3. Enter Indicator Scores'!$D$8:$CZ$8,0),
  _xlpm.v, IFERROR(INDEX('3. Enter Indicator Scores'!$D$10:$CZ$161,_xlpm.r,_xlpm.c),""),
  IF(OR(_xlpm.w="",_xlpm.v=""),"",_xlpm.v*_xlpm.w)
)</f>
        <v/>
      </c>
      <c r="BP52" s="93" t="str" cm="1">
        <f t="array" ref="BP52">_xlfn.LET(
  _xlpm.w, BP$11,
  _xlpm.r, MATCH(1,('3. Enter Indicator Scores'!$B$10:$B$161=$B52)*('3. Enter Indicator Scores'!$C$10:$C$161=$C52),0),
  _xlpm.c, MATCH(BP$8,'3. Enter Indicator Scores'!$D$8:$CZ$8,0),
  _xlpm.v, IFERROR(INDEX('3. Enter Indicator Scores'!$D$10:$CZ$161,_xlpm.r,_xlpm.c),""),
  IF(OR(_xlpm.w="",_xlpm.v=""),"",_xlpm.v*_xlpm.w)
)</f>
        <v/>
      </c>
      <c r="BQ52" s="93" t="str" cm="1">
        <f t="array" ref="BQ52">_xlfn.LET(
  _xlpm.w, BQ$11,
  _xlpm.r, MATCH(1,('3. Enter Indicator Scores'!$B$10:$B$161=$B52)*('3. Enter Indicator Scores'!$C$10:$C$161=$C52),0),
  _xlpm.c, MATCH(BQ$8,'3. Enter Indicator Scores'!$D$8:$CZ$8,0),
  _xlpm.v, IFERROR(INDEX('3. Enter Indicator Scores'!$D$10:$CZ$161,_xlpm.r,_xlpm.c),""),
  IF(OR(_xlpm.w="",_xlpm.v=""),"",_xlpm.v*_xlpm.w)
)</f>
        <v/>
      </c>
      <c r="BR52" s="93" t="str" cm="1">
        <f t="array" ref="BR52">_xlfn.LET(
  _xlpm.w, BR$11,
  _xlpm.r, MATCH(1,('3. Enter Indicator Scores'!$B$10:$B$161=$B52)*('3. Enter Indicator Scores'!$C$10:$C$161=$C52),0),
  _xlpm.c, MATCH(BR$8,'3. Enter Indicator Scores'!$D$8:$CZ$8,0),
  _xlpm.v, IFERROR(INDEX('3. Enter Indicator Scores'!$D$10:$CZ$161,_xlpm.r,_xlpm.c),""),
  IF(OR(_xlpm.w="",_xlpm.v=""),"",_xlpm.v*_xlpm.w)
)</f>
        <v/>
      </c>
      <c r="BS52" s="93" t="str" cm="1">
        <f t="array" ref="BS52">_xlfn.LET(
  _xlpm.w, BS$11,
  _xlpm.r, MATCH(1,('3. Enter Indicator Scores'!$B$10:$B$161=$B52)*('3. Enter Indicator Scores'!$C$10:$C$161=$C52),0),
  _xlpm.c, MATCH(BS$8,'3. Enter Indicator Scores'!$D$8:$CZ$8,0),
  _xlpm.v, IFERROR(INDEX('3. Enter Indicator Scores'!$D$10:$CZ$161,_xlpm.r,_xlpm.c),""),
  IF(OR(_xlpm.w="",_xlpm.v=""),"",_xlpm.v*_xlpm.w)
)</f>
        <v/>
      </c>
      <c r="BT52" s="93" t="str" cm="1">
        <f t="array" ref="BT52">_xlfn.LET(
  _xlpm.w, BT$11,
  _xlpm.r, MATCH(1,('3. Enter Indicator Scores'!$B$10:$B$161=$B52)*('3. Enter Indicator Scores'!$C$10:$C$161=$C52),0),
  _xlpm.c, MATCH(BT$8,'3. Enter Indicator Scores'!$D$8:$CZ$8,0),
  _xlpm.v, IFERROR(INDEX('3. Enter Indicator Scores'!$D$10:$CZ$161,_xlpm.r,_xlpm.c),""),
  IF(OR(_xlpm.w="",_xlpm.v=""),"",_xlpm.v*_xlpm.w)
)</f>
        <v/>
      </c>
      <c r="BU52" s="93" t="str" cm="1">
        <f t="array" ref="BU52">_xlfn.LET(
  _xlpm.w, BU$11,
  _xlpm.r, MATCH(1,('3. Enter Indicator Scores'!$B$10:$B$161=$B52)*('3. Enter Indicator Scores'!$C$10:$C$161=$C52),0),
  _xlpm.c, MATCH(BU$8,'3. Enter Indicator Scores'!$D$8:$CZ$8,0),
  _xlpm.v, IFERROR(INDEX('3. Enter Indicator Scores'!$D$10:$CZ$161,_xlpm.r,_xlpm.c),""),
  IF(OR(_xlpm.w="",_xlpm.v=""),"",_xlpm.v*_xlpm.w)
)</f>
        <v/>
      </c>
      <c r="BV52" s="93" t="str" cm="1">
        <f t="array" ref="BV52">_xlfn.LET(
  _xlpm.w, BV$11,
  _xlpm.r, MATCH(1,('3. Enter Indicator Scores'!$B$10:$B$161=$B52)*('3. Enter Indicator Scores'!$C$10:$C$161=$C52),0),
  _xlpm.c, MATCH(BV$8,'3. Enter Indicator Scores'!$D$8:$CZ$8,0),
  _xlpm.v, IFERROR(INDEX('3. Enter Indicator Scores'!$D$10:$CZ$161,_xlpm.r,_xlpm.c),""),
  IF(OR(_xlpm.w="",_xlpm.v=""),"",_xlpm.v*_xlpm.w)
)</f>
        <v/>
      </c>
      <c r="BW52" s="93" t="str" cm="1">
        <f t="array" ref="BW52">_xlfn.LET(
  _xlpm.w, BW$11,
  _xlpm.r, MATCH(1,('3. Enter Indicator Scores'!$B$10:$B$161=$B52)*('3. Enter Indicator Scores'!$C$10:$C$161=$C52),0),
  _xlpm.c, MATCH(BW$8,'3. Enter Indicator Scores'!$D$8:$CZ$8,0),
  _xlpm.v, IFERROR(INDEX('3. Enter Indicator Scores'!$D$10:$CZ$161,_xlpm.r,_xlpm.c),""),
  IF(OR(_xlpm.w="",_xlpm.v=""),"",_xlpm.v*_xlpm.w)
)</f>
        <v/>
      </c>
      <c r="BX52" s="93" t="str" cm="1">
        <f t="array" ref="BX52">_xlfn.LET(
  _xlpm.w, BX$11,
  _xlpm.r, MATCH(1,('3. Enter Indicator Scores'!$B$10:$B$161=$B52)*('3. Enter Indicator Scores'!$C$10:$C$161=$C52),0),
  _xlpm.c, MATCH(BX$8,'3. Enter Indicator Scores'!$D$8:$CZ$8,0),
  _xlpm.v, IFERROR(INDEX('3. Enter Indicator Scores'!$D$10:$CZ$161,_xlpm.r,_xlpm.c),""),
  IF(OR(_xlpm.w="",_xlpm.v=""),"",_xlpm.v*_xlpm.w)
)</f>
        <v/>
      </c>
      <c r="BY52" s="93" t="str" cm="1">
        <f t="array" ref="BY52">_xlfn.LET(
  _xlpm.w, BY$11,
  _xlpm.r, MATCH(1,('3. Enter Indicator Scores'!$B$10:$B$161=$B52)*('3. Enter Indicator Scores'!$C$10:$C$161=$C52),0),
  _xlpm.c, MATCH(BY$8,'3. Enter Indicator Scores'!$D$8:$CZ$8,0),
  _xlpm.v, IFERROR(INDEX('3. Enter Indicator Scores'!$D$10:$CZ$161,_xlpm.r,_xlpm.c),""),
  IF(OR(_xlpm.w="",_xlpm.v=""),"",_xlpm.v*_xlpm.w)
)</f>
        <v/>
      </c>
      <c r="BZ52" s="93" t="str" cm="1">
        <f t="array" ref="BZ52">_xlfn.LET(
  _xlpm.w, BZ$11,
  _xlpm.r, MATCH(1,('3. Enter Indicator Scores'!$B$10:$B$161=$B52)*('3. Enter Indicator Scores'!$C$10:$C$161=$C52),0),
  _xlpm.c, MATCH(BZ$8,'3. Enter Indicator Scores'!$D$8:$CZ$8,0),
  _xlpm.v, IFERROR(INDEX('3. Enter Indicator Scores'!$D$10:$CZ$161,_xlpm.r,_xlpm.c),""),
  IF(OR(_xlpm.w="",_xlpm.v=""),"",_xlpm.v*_xlpm.w)
)</f>
        <v/>
      </c>
      <c r="CA52" s="93" t="str" cm="1">
        <f t="array" ref="CA52">_xlfn.LET(
  _xlpm.w, CA$11,
  _xlpm.r, MATCH(1,('3. Enter Indicator Scores'!$B$10:$B$161=$B52)*('3. Enter Indicator Scores'!$C$10:$C$161=$C52),0),
  _xlpm.c, MATCH(CA$8,'3. Enter Indicator Scores'!$D$8:$CZ$8,0),
  _xlpm.v, IFERROR(INDEX('3. Enter Indicator Scores'!$D$10:$CZ$161,_xlpm.r,_xlpm.c),""),
  IF(OR(_xlpm.w="",_xlpm.v=""),"",_xlpm.v*_xlpm.w)
)</f>
        <v/>
      </c>
      <c r="CB52" s="93" t="str" cm="1">
        <f t="array" ref="CB52">_xlfn.LET(
  _xlpm.w, CB$11,
  _xlpm.r, MATCH(1,('3. Enter Indicator Scores'!$B$10:$B$161=$B52)*('3. Enter Indicator Scores'!$C$10:$C$161=$C52),0),
  _xlpm.c, MATCH(CB$8,'3. Enter Indicator Scores'!$D$8:$CZ$8,0),
  _xlpm.v, IFERROR(INDEX('3. Enter Indicator Scores'!$D$10:$CZ$161,_xlpm.r,_xlpm.c),""),
  IF(OR(_xlpm.w="",_xlpm.v=""),"",_xlpm.v*_xlpm.w)
)</f>
        <v/>
      </c>
      <c r="CC52" s="93" t="str" cm="1">
        <f t="array" ref="CC52">_xlfn.LET(
  _xlpm.w, CC$11,
  _xlpm.r, MATCH(1,('3. Enter Indicator Scores'!$B$10:$B$161=$B52)*('3. Enter Indicator Scores'!$C$10:$C$161=$C52),0),
  _xlpm.c, MATCH(CC$8,'3. Enter Indicator Scores'!$D$8:$CZ$8,0),
  _xlpm.v, IFERROR(INDEX('3. Enter Indicator Scores'!$D$10:$CZ$161,_xlpm.r,_xlpm.c),""),
  IF(OR(_xlpm.w="",_xlpm.v=""),"",_xlpm.v*_xlpm.w)
)</f>
        <v/>
      </c>
      <c r="CD52" s="93" t="str" cm="1">
        <f t="array" ref="CD52">_xlfn.LET(
  _xlpm.w, CD$11,
  _xlpm.r, MATCH(1,('3. Enter Indicator Scores'!$B$10:$B$161=$B52)*('3. Enter Indicator Scores'!$C$10:$C$161=$C52),0),
  _xlpm.c, MATCH(CD$8,'3. Enter Indicator Scores'!$D$8:$CZ$8,0),
  _xlpm.v, IFERROR(INDEX('3. Enter Indicator Scores'!$D$10:$CZ$161,_xlpm.r,_xlpm.c),""),
  IF(OR(_xlpm.w="",_xlpm.v=""),"",_xlpm.v*_xlpm.w)
)</f>
        <v/>
      </c>
      <c r="CE52" s="93" t="str" cm="1">
        <f t="array" ref="CE52">_xlfn.LET(
  _xlpm.w, CE$11,
  _xlpm.r, MATCH(1,('3. Enter Indicator Scores'!$B$10:$B$161=$B52)*('3. Enter Indicator Scores'!$C$10:$C$161=$C52),0),
  _xlpm.c, MATCH(CE$8,'3. Enter Indicator Scores'!$D$8:$CZ$8,0),
  _xlpm.v, IFERROR(INDEX('3. Enter Indicator Scores'!$D$10:$CZ$161,_xlpm.r,_xlpm.c),""),
  IF(OR(_xlpm.w="",_xlpm.v=""),"",_xlpm.v*_xlpm.w)
)</f>
        <v/>
      </c>
      <c r="CF52" s="93" t="str" cm="1">
        <f t="array" ref="CF52">_xlfn.LET(
  _xlpm.w, CF$11,
  _xlpm.r, MATCH(1,('3. Enter Indicator Scores'!$B$10:$B$161=$B52)*('3. Enter Indicator Scores'!$C$10:$C$161=$C52),0),
  _xlpm.c, MATCH(CF$8,'3. Enter Indicator Scores'!$D$8:$CZ$8,0),
  _xlpm.v, IFERROR(INDEX('3. Enter Indicator Scores'!$D$10:$CZ$161,_xlpm.r,_xlpm.c),""),
  IF(OR(_xlpm.w="",_xlpm.v=""),"",_xlpm.v*_xlpm.w)
)</f>
        <v/>
      </c>
      <c r="CG52" s="93" t="str" cm="1">
        <f t="array" ref="CG52">_xlfn.LET(
  _xlpm.w, CG$11,
  _xlpm.r, MATCH(1,('3. Enter Indicator Scores'!$B$10:$B$161=$B52)*('3. Enter Indicator Scores'!$C$10:$C$161=$C52),0),
  _xlpm.c, MATCH(CG$8,'3. Enter Indicator Scores'!$D$8:$CZ$8,0),
  _xlpm.v, IFERROR(INDEX('3. Enter Indicator Scores'!$D$10:$CZ$161,_xlpm.r,_xlpm.c),""),
  IF(OR(_xlpm.w="",_xlpm.v=""),"",_xlpm.v*_xlpm.w)
)</f>
        <v/>
      </c>
      <c r="CH52" s="93" t="str" cm="1">
        <f t="array" ref="CH52">_xlfn.LET(
  _xlpm.w, CH$11,
  _xlpm.r, MATCH(1,('3. Enter Indicator Scores'!$B$10:$B$161=$B52)*('3. Enter Indicator Scores'!$C$10:$C$161=$C52),0),
  _xlpm.c, MATCH(CH$8,'3. Enter Indicator Scores'!$D$8:$CZ$8,0),
  _xlpm.v, IFERROR(INDEX('3. Enter Indicator Scores'!$D$10:$CZ$161,_xlpm.r,_xlpm.c),""),
  IF(OR(_xlpm.w="",_xlpm.v=""),"",_xlpm.v*_xlpm.w)
)</f>
        <v/>
      </c>
      <c r="CI52" s="93" t="str" cm="1">
        <f t="array" ref="CI52">_xlfn.LET(
  _xlpm.w, CI$11,
  _xlpm.r, MATCH(1,('3. Enter Indicator Scores'!$B$10:$B$161=$B52)*('3. Enter Indicator Scores'!$C$10:$C$161=$C52),0),
  _xlpm.c, MATCH(CI$8,'3. Enter Indicator Scores'!$D$8:$CZ$8,0),
  _xlpm.v, IFERROR(INDEX('3. Enter Indicator Scores'!$D$10:$CZ$161,_xlpm.r,_xlpm.c),""),
  IF(OR(_xlpm.w="",_xlpm.v=""),"",_xlpm.v*_xlpm.w)
)</f>
        <v/>
      </c>
      <c r="CJ52" s="93" t="str" cm="1">
        <f t="array" ref="CJ52">_xlfn.LET(
  _xlpm.w, CJ$11,
  _xlpm.r, MATCH(1,('3. Enter Indicator Scores'!$B$10:$B$161=$B52)*('3. Enter Indicator Scores'!$C$10:$C$161=$C52),0),
  _xlpm.c, MATCH(CJ$8,'3. Enter Indicator Scores'!$D$8:$CZ$8,0),
  _xlpm.v, IFERROR(INDEX('3. Enter Indicator Scores'!$D$10:$CZ$161,_xlpm.r,_xlpm.c),""),
  IF(OR(_xlpm.w="",_xlpm.v=""),"",_xlpm.v*_xlpm.w)
)</f>
        <v/>
      </c>
      <c r="CK52" s="93" t="str" cm="1">
        <f t="array" ref="CK52">_xlfn.LET(
  _xlpm.w, CK$11,
  _xlpm.r, MATCH(1,('3. Enter Indicator Scores'!$B$10:$B$161=$B52)*('3. Enter Indicator Scores'!$C$10:$C$161=$C52),0),
  _xlpm.c, MATCH(CK$8,'3. Enter Indicator Scores'!$D$8:$CZ$8,0),
  _xlpm.v, IFERROR(INDEX('3. Enter Indicator Scores'!$D$10:$CZ$161,_xlpm.r,_xlpm.c),""),
  IF(OR(_xlpm.w="",_xlpm.v=""),"",_xlpm.v*_xlpm.w)
)</f>
        <v/>
      </c>
      <c r="CL52" s="93" t="str" cm="1">
        <f t="array" ref="CL52">_xlfn.LET(
  _xlpm.w, CL$11,
  _xlpm.r, MATCH(1,('3. Enter Indicator Scores'!$B$10:$B$161=$B52)*('3. Enter Indicator Scores'!$C$10:$C$161=$C52),0),
  _xlpm.c, MATCH(CL$8,'3. Enter Indicator Scores'!$D$8:$CZ$8,0),
  _xlpm.v, IFERROR(INDEX('3. Enter Indicator Scores'!$D$10:$CZ$161,_xlpm.r,_xlpm.c),""),
  IF(OR(_xlpm.w="",_xlpm.v=""),"",_xlpm.v*_xlpm.w)
)</f>
        <v/>
      </c>
      <c r="CM52" s="93" t="str" cm="1">
        <f t="array" ref="CM52">_xlfn.LET(
  _xlpm.w, CM$11,
  _xlpm.r, MATCH(1,('3. Enter Indicator Scores'!$B$10:$B$161=$B52)*('3. Enter Indicator Scores'!$C$10:$C$161=$C52),0),
  _xlpm.c, MATCH(CM$8,'3. Enter Indicator Scores'!$D$8:$CZ$8,0),
  _xlpm.v, IFERROR(INDEX('3. Enter Indicator Scores'!$D$10:$CZ$161,_xlpm.r,_xlpm.c),""),
  IF(OR(_xlpm.w="",_xlpm.v=""),"",_xlpm.v*_xlpm.w)
)</f>
        <v/>
      </c>
      <c r="CN52" s="93" t="str" cm="1">
        <f t="array" ref="CN52">_xlfn.LET(
  _xlpm.w, CN$11,
  _xlpm.r, MATCH(1,('3. Enter Indicator Scores'!$B$10:$B$161=$B52)*('3. Enter Indicator Scores'!$C$10:$C$161=$C52),0),
  _xlpm.c, MATCH(CN$8,'3. Enter Indicator Scores'!$D$8:$CZ$8,0),
  _xlpm.v, IFERROR(INDEX('3. Enter Indicator Scores'!$D$10:$CZ$161,_xlpm.r,_xlpm.c),""),
  IF(OR(_xlpm.w="",_xlpm.v=""),"",_xlpm.v*_xlpm.w)
)</f>
        <v/>
      </c>
      <c r="CO52" s="93" t="str" cm="1">
        <f t="array" ref="CO52">_xlfn.LET(
  _xlpm.w, CO$11,
  _xlpm.r, MATCH(1,('3. Enter Indicator Scores'!$B$10:$B$161=$B52)*('3. Enter Indicator Scores'!$C$10:$C$161=$C52),0),
  _xlpm.c, MATCH(CO$8,'3. Enter Indicator Scores'!$D$8:$CZ$8,0),
  _xlpm.v, IFERROR(INDEX('3. Enter Indicator Scores'!$D$10:$CZ$161,_xlpm.r,_xlpm.c),""),
  IF(OR(_xlpm.w="",_xlpm.v=""),"",_xlpm.v*_xlpm.w)
)</f>
        <v/>
      </c>
      <c r="CP52" s="93" t="str" cm="1">
        <f t="array" ref="CP52">_xlfn.LET(
  _xlpm.w, CP$11,
  _xlpm.r, MATCH(1,('3. Enter Indicator Scores'!$B$10:$B$161=$B52)*('3. Enter Indicator Scores'!$C$10:$C$161=$C52),0),
  _xlpm.c, MATCH(CP$8,'3. Enter Indicator Scores'!$D$8:$CZ$8,0),
  _xlpm.v, IFERROR(INDEX('3. Enter Indicator Scores'!$D$10:$CZ$161,_xlpm.r,_xlpm.c),""),
  IF(OR(_xlpm.w="",_xlpm.v=""),"",_xlpm.v*_xlpm.w)
)</f>
        <v/>
      </c>
      <c r="CQ52" s="93" t="str" cm="1">
        <f t="array" ref="CQ52">_xlfn.LET(
  _xlpm.w, CQ$11,
  _xlpm.r, MATCH(1,('3. Enter Indicator Scores'!$B$10:$B$161=$B52)*('3. Enter Indicator Scores'!$C$10:$C$161=$C52),0),
  _xlpm.c, MATCH(CQ$8,'3. Enter Indicator Scores'!$D$8:$CZ$8,0),
  _xlpm.v, IFERROR(INDEX('3. Enter Indicator Scores'!$D$10:$CZ$161,_xlpm.r,_xlpm.c),""),
  IF(OR(_xlpm.w="",_xlpm.v=""),"",_xlpm.v*_xlpm.w)
)</f>
        <v/>
      </c>
      <c r="CR52" s="93" t="str" cm="1">
        <f t="array" ref="CR52">_xlfn.LET(
  _xlpm.w, CR$11,
  _xlpm.r, MATCH(1,('3. Enter Indicator Scores'!$B$10:$B$161=$B52)*('3. Enter Indicator Scores'!$C$10:$C$161=$C52),0),
  _xlpm.c, MATCH(CR$8,'3. Enter Indicator Scores'!$D$8:$CZ$8,0),
  _xlpm.v, IFERROR(INDEX('3. Enter Indicator Scores'!$D$10:$CZ$161,_xlpm.r,_xlpm.c),""),
  IF(OR(_xlpm.w="",_xlpm.v=""),"",_xlpm.v*_xlpm.w)
)</f>
        <v/>
      </c>
      <c r="CS52" s="93" t="str" cm="1">
        <f t="array" ref="CS52">_xlfn.LET(
  _xlpm.w, CS$11,
  _xlpm.r, MATCH(1,('3. Enter Indicator Scores'!$B$10:$B$161=$B52)*('3. Enter Indicator Scores'!$C$10:$C$161=$C52),0),
  _xlpm.c, MATCH(CS$8,'3. Enter Indicator Scores'!$D$8:$CZ$8,0),
  _xlpm.v, IFERROR(INDEX('3. Enter Indicator Scores'!$D$10:$CZ$161,_xlpm.r,_xlpm.c),""),
  IF(OR(_xlpm.w="",_xlpm.v=""),"",_xlpm.v*_xlpm.w)
)</f>
        <v/>
      </c>
      <c r="CT52" s="93" t="str" cm="1">
        <f t="array" ref="CT52">_xlfn.LET(
  _xlpm.w, CT$11,
  _xlpm.r, MATCH(1,('3. Enter Indicator Scores'!$B$10:$B$161=$B52)*('3. Enter Indicator Scores'!$C$10:$C$161=$C52),0),
  _xlpm.c, MATCH(CT$8,'3. Enter Indicator Scores'!$D$8:$CZ$8,0),
  _xlpm.v, IFERROR(INDEX('3. Enter Indicator Scores'!$D$10:$CZ$161,_xlpm.r,_xlpm.c),""),
  IF(OR(_xlpm.w="",_xlpm.v=""),"",_xlpm.v*_xlpm.w)
)</f>
        <v/>
      </c>
      <c r="CU52" s="93" t="str" cm="1">
        <f t="array" ref="CU52">_xlfn.LET(
  _xlpm.w, CU$11,
  _xlpm.r, MATCH(1,('3. Enter Indicator Scores'!$B$10:$B$161=$B52)*('3. Enter Indicator Scores'!$C$10:$C$161=$C52),0),
  _xlpm.c, MATCH(CU$8,'3. Enter Indicator Scores'!$D$8:$CZ$8,0),
  _xlpm.v, IFERROR(INDEX('3. Enter Indicator Scores'!$D$10:$CZ$161,_xlpm.r,_xlpm.c),""),
  IF(OR(_xlpm.w="",_xlpm.v=""),"",_xlpm.v*_xlpm.w)
)</f>
        <v/>
      </c>
      <c r="CV52" s="93" t="str" cm="1">
        <f t="array" ref="CV52">_xlfn.LET(
  _xlpm.w, CV$11,
  _xlpm.r, MATCH(1,('3. Enter Indicator Scores'!$B$10:$B$161=$B52)*('3. Enter Indicator Scores'!$C$10:$C$161=$C52),0),
  _xlpm.c, MATCH(CV$8,'3. Enter Indicator Scores'!$D$8:$CZ$8,0),
  _xlpm.v, IFERROR(INDEX('3. Enter Indicator Scores'!$D$10:$CZ$161,_xlpm.r,_xlpm.c),""),
  IF(OR(_xlpm.w="",_xlpm.v=""),"",_xlpm.v*_xlpm.w)
)</f>
        <v/>
      </c>
      <c r="CW52" s="93" t="str" cm="1">
        <f t="array" ref="CW52">_xlfn.LET(
  _xlpm.w, CW$11,
  _xlpm.r, MATCH(1,('3. Enter Indicator Scores'!$B$10:$B$161=$B52)*('3. Enter Indicator Scores'!$C$10:$C$161=$C52),0),
  _xlpm.c, MATCH(CW$8,'3. Enter Indicator Scores'!$D$8:$CZ$8,0),
  _xlpm.v, IFERROR(INDEX('3. Enter Indicator Scores'!$D$10:$CZ$161,_xlpm.r,_xlpm.c),""),
  IF(OR(_xlpm.w="",_xlpm.v=""),"",_xlpm.v*_xlpm.w)
)</f>
        <v/>
      </c>
      <c r="CX52" s="93" t="str" cm="1">
        <f t="array" ref="CX52">_xlfn.LET(
  _xlpm.w, CX$11,
  _xlpm.r, MATCH(1,('3. Enter Indicator Scores'!$B$10:$B$161=$B52)*('3. Enter Indicator Scores'!$C$10:$C$161=$C52),0),
  _xlpm.c, MATCH(CX$8,'3. Enter Indicator Scores'!$D$8:$CZ$8,0),
  _xlpm.v, IFERROR(INDEX('3. Enter Indicator Scores'!$D$10:$CZ$161,_xlpm.r,_xlpm.c),""),
  IF(OR(_xlpm.w="",_xlpm.v=""),"",_xlpm.v*_xlpm.w)
)</f>
        <v/>
      </c>
      <c r="CY52" s="93" t="str" cm="1">
        <f t="array" ref="CY52">_xlfn.LET(
  _xlpm.w, CY$11,
  _xlpm.r, MATCH(1,('3. Enter Indicator Scores'!$B$10:$B$161=$B52)*('3. Enter Indicator Scores'!$C$10:$C$161=$C52),0),
  _xlpm.c, MATCH(CY$8,'3. Enter Indicator Scores'!$D$8:$CZ$8,0),
  _xlpm.v, IFERROR(INDEX('3. Enter Indicator Scores'!$D$10:$CZ$161,_xlpm.r,_xlpm.c),""),
  IF(OR(_xlpm.w="",_xlpm.v=""),"",_xlpm.v*_xlpm.w)
)</f>
        <v/>
      </c>
      <c r="CZ52" s="93" t="str" cm="1">
        <f t="array" ref="CZ52">_xlfn.LET(
  _xlpm.w, CZ$11,
  _xlpm.r, MATCH(1,('3. Enter Indicator Scores'!$B$10:$B$161=$B52)*('3. Enter Indicator Scores'!$C$10:$C$161=$C52),0),
  _xlpm.c, MATCH(CZ$8,'3. Enter Indicator Scores'!$D$8:$CZ$8,0),
  _xlpm.v, IFERROR(INDEX('3. Enter Indicator Scores'!$D$10:$CZ$161,_xlpm.r,_xlpm.c),""),
  IF(OR(_xlpm.w="",_xlpm.v=""),"",_xlpm.v*_xlpm.w)
)</f>
        <v/>
      </c>
    </row>
    <row r="53" spans="4:104" x14ac:dyDescent="0.2">
      <c r="D53" s="93" t="str" cm="1">
        <f t="array" ref="D53">_xlfn.LET(
  _xlpm.w, D$11,
  _xlpm.r, MATCH(1,('3. Enter Indicator Scores'!$B$10:$B$161=$B53)*('3. Enter Indicator Scores'!$C$10:$C$161=$C53),0),
  _xlpm.c, MATCH(D$8,'3. Enter Indicator Scores'!$D$8:$CZ$8,0),
  _xlpm.v, IFERROR(INDEX('3. Enter Indicator Scores'!$D$10:$CZ$161,_xlpm.r,_xlpm.c),""),
  IF(OR(_xlpm.w="",_xlpm.v=""),"",_xlpm.v*_xlpm.w)
)</f>
        <v/>
      </c>
      <c r="E53" s="93" t="str" cm="1">
        <f t="array" ref="E53">_xlfn.LET(
  _xlpm.w, E$11,
  _xlpm.r, MATCH(1,('3. Enter Indicator Scores'!$B$10:$B$161=$B53)*('3. Enter Indicator Scores'!$C$10:$C$161=$C53),0),
  _xlpm.c, MATCH(E$8,'3. Enter Indicator Scores'!$D$8:$CZ$8,0),
  _xlpm.v, IFERROR(INDEX('3. Enter Indicator Scores'!$D$10:$CZ$161,_xlpm.r,_xlpm.c),""),
  IF(OR(_xlpm.w="",_xlpm.v=""),"",_xlpm.v*_xlpm.w)
)</f>
        <v/>
      </c>
      <c r="F53" s="93" t="str" cm="1">
        <f t="array" ref="F53">_xlfn.LET(
  _xlpm.w, F$11,
  _xlpm.r, MATCH(1,('3. Enter Indicator Scores'!$B$10:$B$161=$B53)*('3. Enter Indicator Scores'!$C$10:$C$161=$C53),0),
  _xlpm.c, MATCH(F$8,'3. Enter Indicator Scores'!$D$8:$CZ$8,0),
  _xlpm.v, IFERROR(INDEX('3. Enter Indicator Scores'!$D$10:$CZ$161,_xlpm.r,_xlpm.c),""),
  IF(OR(_xlpm.w="",_xlpm.v=""),"",_xlpm.v*_xlpm.w)
)</f>
        <v/>
      </c>
      <c r="G53" s="93" t="str" cm="1">
        <f t="array" ref="G53">_xlfn.LET(
  _xlpm.w, G$11,
  _xlpm.r, MATCH(1,('3. Enter Indicator Scores'!$B$10:$B$161=$B53)*('3. Enter Indicator Scores'!$C$10:$C$161=$C53),0),
  _xlpm.c, MATCH(G$8,'3. Enter Indicator Scores'!$D$8:$CZ$8,0),
  _xlpm.v, IFERROR(INDEX('3. Enter Indicator Scores'!$D$10:$CZ$161,_xlpm.r,_xlpm.c),""),
  IF(OR(_xlpm.w="",_xlpm.v=""),"",_xlpm.v*_xlpm.w)
)</f>
        <v/>
      </c>
      <c r="H53" s="93" t="str" cm="1">
        <f t="array" ref="H53">_xlfn.LET(
  _xlpm.w, H$11,
  _xlpm.r, MATCH(1,('3. Enter Indicator Scores'!$B$10:$B$161=$B53)*('3. Enter Indicator Scores'!$C$10:$C$161=$C53),0),
  _xlpm.c, MATCH(H$8,'3. Enter Indicator Scores'!$D$8:$CZ$8,0),
  _xlpm.v, IFERROR(INDEX('3. Enter Indicator Scores'!$D$10:$CZ$161,_xlpm.r,_xlpm.c),""),
  IF(OR(_xlpm.w="",_xlpm.v=""),"",_xlpm.v*_xlpm.w)
)</f>
        <v/>
      </c>
      <c r="I53" s="93" t="str" cm="1">
        <f t="array" ref="I53">_xlfn.LET(
  _xlpm.w, I$11,
  _xlpm.r, MATCH(1,('3. Enter Indicator Scores'!$B$10:$B$161=$B53)*('3. Enter Indicator Scores'!$C$10:$C$161=$C53),0),
  _xlpm.c, MATCH(I$8,'3. Enter Indicator Scores'!$D$8:$CZ$8,0),
  _xlpm.v, IFERROR(INDEX('3. Enter Indicator Scores'!$D$10:$CZ$161,_xlpm.r,_xlpm.c),""),
  IF(OR(_xlpm.w="",_xlpm.v=""),"",_xlpm.v*_xlpm.w)
)</f>
        <v/>
      </c>
      <c r="J53" s="93" t="str" cm="1">
        <f t="array" ref="J53">_xlfn.LET(
  _xlpm.w, J$11,
  _xlpm.r, MATCH(1,('3. Enter Indicator Scores'!$B$10:$B$161=$B53)*('3. Enter Indicator Scores'!$C$10:$C$161=$C53),0),
  _xlpm.c, MATCH(J$8,'3. Enter Indicator Scores'!$D$8:$CZ$8,0),
  _xlpm.v, IFERROR(INDEX('3. Enter Indicator Scores'!$D$10:$CZ$161,_xlpm.r,_xlpm.c),""),
  IF(OR(_xlpm.w="",_xlpm.v=""),"",_xlpm.v*_xlpm.w)
)</f>
        <v/>
      </c>
      <c r="K53" s="93" t="str" cm="1">
        <f t="array" ref="K53">_xlfn.LET(
  _xlpm.w, K$11,
  _xlpm.r, MATCH(1,('3. Enter Indicator Scores'!$B$10:$B$161=$B53)*('3. Enter Indicator Scores'!$C$10:$C$161=$C53),0),
  _xlpm.c, MATCH(K$8,'3. Enter Indicator Scores'!$D$8:$CZ$8,0),
  _xlpm.v, IFERROR(INDEX('3. Enter Indicator Scores'!$D$10:$CZ$161,_xlpm.r,_xlpm.c),""),
  IF(OR(_xlpm.w="",_xlpm.v=""),"",_xlpm.v*_xlpm.w)
)</f>
        <v/>
      </c>
      <c r="L53" s="93" t="str" cm="1">
        <f t="array" ref="L53">_xlfn.LET(
  _xlpm.w, L$11,
  _xlpm.r, MATCH(1,('3. Enter Indicator Scores'!$B$10:$B$161=$B53)*('3. Enter Indicator Scores'!$C$10:$C$161=$C53),0),
  _xlpm.c, MATCH(L$8,'3. Enter Indicator Scores'!$D$8:$CZ$8,0),
  _xlpm.v, IFERROR(INDEX('3. Enter Indicator Scores'!$D$10:$CZ$161,_xlpm.r,_xlpm.c),""),
  IF(OR(_xlpm.w="",_xlpm.v=""),"",_xlpm.v*_xlpm.w)
)</f>
        <v/>
      </c>
      <c r="M53" s="93" t="str" cm="1">
        <f t="array" ref="M53">_xlfn.LET(
  _xlpm.w, M$11,
  _xlpm.r, MATCH(1,('3. Enter Indicator Scores'!$B$10:$B$161=$B53)*('3. Enter Indicator Scores'!$C$10:$C$161=$C53),0),
  _xlpm.c, MATCH(M$8,'3. Enter Indicator Scores'!$D$8:$CZ$8,0),
  _xlpm.v, IFERROR(INDEX('3. Enter Indicator Scores'!$D$10:$CZ$161,_xlpm.r,_xlpm.c),""),
  IF(OR(_xlpm.w="",_xlpm.v=""),"",_xlpm.v*_xlpm.w)
)</f>
        <v/>
      </c>
      <c r="N53" s="93" t="str" cm="1">
        <f t="array" ref="N53">_xlfn.LET(
  _xlpm.w, N$11,
  _xlpm.r, MATCH(1,('3. Enter Indicator Scores'!$B$10:$B$161=$B53)*('3. Enter Indicator Scores'!$C$10:$C$161=$C53),0),
  _xlpm.c, MATCH(N$8,'3. Enter Indicator Scores'!$D$8:$CZ$8,0),
  _xlpm.v, IFERROR(INDEX('3. Enter Indicator Scores'!$D$10:$CZ$161,_xlpm.r,_xlpm.c),""),
  IF(OR(_xlpm.w="",_xlpm.v=""),"",_xlpm.v*_xlpm.w)
)</f>
        <v/>
      </c>
      <c r="O53" s="93" t="str" cm="1">
        <f t="array" ref="O53">_xlfn.LET(
  _xlpm.w, O$11,
  _xlpm.r, MATCH(1,('3. Enter Indicator Scores'!$B$10:$B$161=$B53)*('3. Enter Indicator Scores'!$C$10:$C$161=$C53),0),
  _xlpm.c, MATCH(O$8,'3. Enter Indicator Scores'!$D$8:$CZ$8,0),
  _xlpm.v, IFERROR(INDEX('3. Enter Indicator Scores'!$D$10:$CZ$161,_xlpm.r,_xlpm.c),""),
  IF(OR(_xlpm.w="",_xlpm.v=""),"",_xlpm.v*_xlpm.w)
)</f>
        <v/>
      </c>
      <c r="P53" s="93" t="str" cm="1">
        <f t="array" ref="P53">_xlfn.LET(
  _xlpm.w, P$11,
  _xlpm.r, MATCH(1,('3. Enter Indicator Scores'!$B$10:$B$161=$B53)*('3. Enter Indicator Scores'!$C$10:$C$161=$C53),0),
  _xlpm.c, MATCH(P$8,'3. Enter Indicator Scores'!$D$8:$CZ$8,0),
  _xlpm.v, IFERROR(INDEX('3. Enter Indicator Scores'!$D$10:$CZ$161,_xlpm.r,_xlpm.c),""),
  IF(OR(_xlpm.w="",_xlpm.v=""),"",_xlpm.v*_xlpm.w)
)</f>
        <v/>
      </c>
      <c r="Q53" s="93" t="str" cm="1">
        <f t="array" ref="Q53">_xlfn.LET(
  _xlpm.w, Q$11,
  _xlpm.r, MATCH(1,('3. Enter Indicator Scores'!$B$10:$B$161=$B53)*('3. Enter Indicator Scores'!$C$10:$C$161=$C53),0),
  _xlpm.c, MATCH(Q$8,'3. Enter Indicator Scores'!$D$8:$CZ$8,0),
  _xlpm.v, IFERROR(INDEX('3. Enter Indicator Scores'!$D$10:$CZ$161,_xlpm.r,_xlpm.c),""),
  IF(OR(_xlpm.w="",_xlpm.v=""),"",_xlpm.v*_xlpm.w)
)</f>
        <v/>
      </c>
      <c r="R53" s="93" t="str" cm="1">
        <f t="array" ref="R53">_xlfn.LET(
  _xlpm.w, R$11,
  _xlpm.r, MATCH(1,('3. Enter Indicator Scores'!$B$10:$B$161=$B53)*('3. Enter Indicator Scores'!$C$10:$C$161=$C53),0),
  _xlpm.c, MATCH(R$8,'3. Enter Indicator Scores'!$D$8:$CZ$8,0),
  _xlpm.v, IFERROR(INDEX('3. Enter Indicator Scores'!$D$10:$CZ$161,_xlpm.r,_xlpm.c),""),
  IF(OR(_xlpm.w="",_xlpm.v=""),"",_xlpm.v*_xlpm.w)
)</f>
        <v/>
      </c>
      <c r="S53" s="93" t="str" cm="1">
        <f t="array" ref="S53">_xlfn.LET(
  _xlpm.w, S$11,
  _xlpm.r, MATCH(1,('3. Enter Indicator Scores'!$B$10:$B$161=$B53)*('3. Enter Indicator Scores'!$C$10:$C$161=$C53),0),
  _xlpm.c, MATCH(S$8,'3. Enter Indicator Scores'!$D$8:$CZ$8,0),
  _xlpm.v, IFERROR(INDEX('3. Enter Indicator Scores'!$D$10:$CZ$161,_xlpm.r,_xlpm.c),""),
  IF(OR(_xlpm.w="",_xlpm.v=""),"",_xlpm.v*_xlpm.w)
)</f>
        <v/>
      </c>
      <c r="T53" s="93" t="str" cm="1">
        <f t="array" ref="T53">_xlfn.LET(
  _xlpm.w, T$11,
  _xlpm.r, MATCH(1,('3. Enter Indicator Scores'!$B$10:$B$161=$B53)*('3. Enter Indicator Scores'!$C$10:$C$161=$C53),0),
  _xlpm.c, MATCH(T$8,'3. Enter Indicator Scores'!$D$8:$CZ$8,0),
  _xlpm.v, IFERROR(INDEX('3. Enter Indicator Scores'!$D$10:$CZ$161,_xlpm.r,_xlpm.c),""),
  IF(OR(_xlpm.w="",_xlpm.v=""),"",_xlpm.v*_xlpm.w)
)</f>
        <v/>
      </c>
      <c r="U53" s="93" t="str" cm="1">
        <f t="array" ref="U53">_xlfn.LET(
  _xlpm.w, U$11,
  _xlpm.r, MATCH(1,('3. Enter Indicator Scores'!$B$10:$B$161=$B53)*('3. Enter Indicator Scores'!$C$10:$C$161=$C53),0),
  _xlpm.c, MATCH(U$8,'3. Enter Indicator Scores'!$D$8:$CZ$8,0),
  _xlpm.v, IFERROR(INDEX('3. Enter Indicator Scores'!$D$10:$CZ$161,_xlpm.r,_xlpm.c),""),
  IF(OR(_xlpm.w="",_xlpm.v=""),"",_xlpm.v*_xlpm.w)
)</f>
        <v/>
      </c>
      <c r="V53" s="93" t="str" cm="1">
        <f t="array" ref="V53">_xlfn.LET(
  _xlpm.w, V$11,
  _xlpm.r, MATCH(1,('3. Enter Indicator Scores'!$B$10:$B$161=$B53)*('3. Enter Indicator Scores'!$C$10:$C$161=$C53),0),
  _xlpm.c, MATCH(V$8,'3. Enter Indicator Scores'!$D$8:$CZ$8,0),
  _xlpm.v, IFERROR(INDEX('3. Enter Indicator Scores'!$D$10:$CZ$161,_xlpm.r,_xlpm.c),""),
  IF(OR(_xlpm.w="",_xlpm.v=""),"",_xlpm.v*_xlpm.w)
)</f>
        <v/>
      </c>
      <c r="W53" s="93" t="str" cm="1">
        <f t="array" ref="W53">_xlfn.LET(
  _xlpm.w, W$11,
  _xlpm.r, MATCH(1,('3. Enter Indicator Scores'!$B$10:$B$161=$B53)*('3. Enter Indicator Scores'!$C$10:$C$161=$C53),0),
  _xlpm.c, MATCH(W$8,'3. Enter Indicator Scores'!$D$8:$CZ$8,0),
  _xlpm.v, IFERROR(INDEX('3. Enter Indicator Scores'!$D$10:$CZ$161,_xlpm.r,_xlpm.c),""),
  IF(OR(_xlpm.w="",_xlpm.v=""),"",_xlpm.v*_xlpm.w)
)</f>
        <v/>
      </c>
      <c r="X53" s="93" t="str" cm="1">
        <f t="array" ref="X53">_xlfn.LET(
  _xlpm.w, X$11,
  _xlpm.r, MATCH(1,('3. Enter Indicator Scores'!$B$10:$B$161=$B53)*('3. Enter Indicator Scores'!$C$10:$C$161=$C53),0),
  _xlpm.c, MATCH(X$8,'3. Enter Indicator Scores'!$D$8:$CZ$8,0),
  _xlpm.v, IFERROR(INDEX('3. Enter Indicator Scores'!$D$10:$CZ$161,_xlpm.r,_xlpm.c),""),
  IF(OR(_xlpm.w="",_xlpm.v=""),"",_xlpm.v*_xlpm.w)
)</f>
        <v/>
      </c>
      <c r="Y53" s="93" t="str" cm="1">
        <f t="array" ref="Y53">_xlfn.LET(
  _xlpm.w, Y$11,
  _xlpm.r, MATCH(1,('3. Enter Indicator Scores'!$B$10:$B$161=$B53)*('3. Enter Indicator Scores'!$C$10:$C$161=$C53),0),
  _xlpm.c, MATCH(Y$8,'3. Enter Indicator Scores'!$D$8:$CZ$8,0),
  _xlpm.v, IFERROR(INDEX('3. Enter Indicator Scores'!$D$10:$CZ$161,_xlpm.r,_xlpm.c),""),
  IF(OR(_xlpm.w="",_xlpm.v=""),"",_xlpm.v*_xlpm.w)
)</f>
        <v/>
      </c>
      <c r="Z53" s="93" t="str" cm="1">
        <f t="array" ref="Z53">_xlfn.LET(
  _xlpm.w, Z$11,
  _xlpm.r, MATCH(1,('3. Enter Indicator Scores'!$B$10:$B$161=$B53)*('3. Enter Indicator Scores'!$C$10:$C$161=$C53),0),
  _xlpm.c, MATCH(Z$8,'3. Enter Indicator Scores'!$D$8:$CZ$8,0),
  _xlpm.v, IFERROR(INDEX('3. Enter Indicator Scores'!$D$10:$CZ$161,_xlpm.r,_xlpm.c),""),
  IF(OR(_xlpm.w="",_xlpm.v=""),"",_xlpm.v*_xlpm.w)
)</f>
        <v/>
      </c>
      <c r="AA53" s="93" t="str" cm="1">
        <f t="array" ref="AA53">_xlfn.LET(
  _xlpm.w, AA$11,
  _xlpm.r, MATCH(1,('3. Enter Indicator Scores'!$B$10:$B$161=$B53)*('3. Enter Indicator Scores'!$C$10:$C$161=$C53),0),
  _xlpm.c, MATCH(AA$8,'3. Enter Indicator Scores'!$D$8:$CZ$8,0),
  _xlpm.v, IFERROR(INDEX('3. Enter Indicator Scores'!$D$10:$CZ$161,_xlpm.r,_xlpm.c),""),
  IF(OR(_xlpm.w="",_xlpm.v=""),"",_xlpm.v*_xlpm.w)
)</f>
        <v/>
      </c>
      <c r="AB53" s="93" t="str" cm="1">
        <f t="array" ref="AB53">_xlfn.LET(
  _xlpm.w, AB$11,
  _xlpm.r, MATCH(1,('3. Enter Indicator Scores'!$B$10:$B$161=$B53)*('3. Enter Indicator Scores'!$C$10:$C$161=$C53),0),
  _xlpm.c, MATCH(AB$8,'3. Enter Indicator Scores'!$D$8:$CZ$8,0),
  _xlpm.v, IFERROR(INDEX('3. Enter Indicator Scores'!$D$10:$CZ$161,_xlpm.r,_xlpm.c),""),
  IF(OR(_xlpm.w="",_xlpm.v=""),"",_xlpm.v*_xlpm.w)
)</f>
        <v/>
      </c>
      <c r="AC53" s="93" t="str" cm="1">
        <f t="array" ref="AC53">_xlfn.LET(
  _xlpm.w, AC$11,
  _xlpm.r, MATCH(1,('3. Enter Indicator Scores'!$B$10:$B$161=$B53)*('3. Enter Indicator Scores'!$C$10:$C$161=$C53),0),
  _xlpm.c, MATCH(AC$8,'3. Enter Indicator Scores'!$D$8:$CZ$8,0),
  _xlpm.v, IFERROR(INDEX('3. Enter Indicator Scores'!$D$10:$CZ$161,_xlpm.r,_xlpm.c),""),
  IF(OR(_xlpm.w="",_xlpm.v=""),"",_xlpm.v*_xlpm.w)
)</f>
        <v/>
      </c>
      <c r="AD53" s="93" t="str" cm="1">
        <f t="array" ref="AD53">_xlfn.LET(
  _xlpm.w, AD$11,
  _xlpm.r, MATCH(1,('3. Enter Indicator Scores'!$B$10:$B$161=$B53)*('3. Enter Indicator Scores'!$C$10:$C$161=$C53),0),
  _xlpm.c, MATCH(AD$8,'3. Enter Indicator Scores'!$D$8:$CZ$8,0),
  _xlpm.v, IFERROR(INDEX('3. Enter Indicator Scores'!$D$10:$CZ$161,_xlpm.r,_xlpm.c),""),
  IF(OR(_xlpm.w="",_xlpm.v=""),"",_xlpm.v*_xlpm.w)
)</f>
        <v/>
      </c>
      <c r="AE53" s="93" t="str" cm="1">
        <f t="array" ref="AE53">_xlfn.LET(
  _xlpm.w, AE$11,
  _xlpm.r, MATCH(1,('3. Enter Indicator Scores'!$B$10:$B$161=$B53)*('3. Enter Indicator Scores'!$C$10:$C$161=$C53),0),
  _xlpm.c, MATCH(AE$8,'3. Enter Indicator Scores'!$D$8:$CZ$8,0),
  _xlpm.v, IFERROR(INDEX('3. Enter Indicator Scores'!$D$10:$CZ$161,_xlpm.r,_xlpm.c),""),
  IF(OR(_xlpm.w="",_xlpm.v=""),"",_xlpm.v*_xlpm.w)
)</f>
        <v/>
      </c>
      <c r="AF53" s="93" t="str" cm="1">
        <f t="array" ref="AF53">_xlfn.LET(
  _xlpm.w, AF$11,
  _xlpm.r, MATCH(1,('3. Enter Indicator Scores'!$B$10:$B$161=$B53)*('3. Enter Indicator Scores'!$C$10:$C$161=$C53),0),
  _xlpm.c, MATCH(AF$8,'3. Enter Indicator Scores'!$D$8:$CZ$8,0),
  _xlpm.v, IFERROR(INDEX('3. Enter Indicator Scores'!$D$10:$CZ$161,_xlpm.r,_xlpm.c),""),
  IF(OR(_xlpm.w="",_xlpm.v=""),"",_xlpm.v*_xlpm.w)
)</f>
        <v/>
      </c>
      <c r="AG53" s="93" t="str" cm="1">
        <f t="array" ref="AG53">_xlfn.LET(
  _xlpm.w, AG$11,
  _xlpm.r, MATCH(1,('3. Enter Indicator Scores'!$B$10:$B$161=$B53)*('3. Enter Indicator Scores'!$C$10:$C$161=$C53),0),
  _xlpm.c, MATCH(AG$8,'3. Enter Indicator Scores'!$D$8:$CZ$8,0),
  _xlpm.v, IFERROR(INDEX('3. Enter Indicator Scores'!$D$10:$CZ$161,_xlpm.r,_xlpm.c),""),
  IF(OR(_xlpm.w="",_xlpm.v=""),"",_xlpm.v*_xlpm.w)
)</f>
        <v/>
      </c>
      <c r="AH53" s="93" t="str" cm="1">
        <f t="array" ref="AH53">_xlfn.LET(
  _xlpm.w, AH$11,
  _xlpm.r, MATCH(1,('3. Enter Indicator Scores'!$B$10:$B$161=$B53)*('3. Enter Indicator Scores'!$C$10:$C$161=$C53),0),
  _xlpm.c, MATCH(AH$8,'3. Enter Indicator Scores'!$D$8:$CZ$8,0),
  _xlpm.v, IFERROR(INDEX('3. Enter Indicator Scores'!$D$10:$CZ$161,_xlpm.r,_xlpm.c),""),
  IF(OR(_xlpm.w="",_xlpm.v=""),"",_xlpm.v*_xlpm.w)
)</f>
        <v/>
      </c>
      <c r="AI53" s="93" t="str" cm="1">
        <f t="array" ref="AI53">_xlfn.LET(
  _xlpm.w, AI$11,
  _xlpm.r, MATCH(1,('3. Enter Indicator Scores'!$B$10:$B$161=$B53)*('3. Enter Indicator Scores'!$C$10:$C$161=$C53),0),
  _xlpm.c, MATCH(AI$8,'3. Enter Indicator Scores'!$D$8:$CZ$8,0),
  _xlpm.v, IFERROR(INDEX('3. Enter Indicator Scores'!$D$10:$CZ$161,_xlpm.r,_xlpm.c),""),
  IF(OR(_xlpm.w="",_xlpm.v=""),"",_xlpm.v*_xlpm.w)
)</f>
        <v/>
      </c>
      <c r="AJ53" s="93" t="str" cm="1">
        <f t="array" ref="AJ53">_xlfn.LET(
  _xlpm.w, AJ$11,
  _xlpm.r, MATCH(1,('3. Enter Indicator Scores'!$B$10:$B$161=$B53)*('3. Enter Indicator Scores'!$C$10:$C$161=$C53),0),
  _xlpm.c, MATCH(AJ$8,'3. Enter Indicator Scores'!$D$8:$CZ$8,0),
  _xlpm.v, IFERROR(INDEX('3. Enter Indicator Scores'!$D$10:$CZ$161,_xlpm.r,_xlpm.c),""),
  IF(OR(_xlpm.w="",_xlpm.v=""),"",_xlpm.v*_xlpm.w)
)</f>
        <v/>
      </c>
      <c r="AK53" s="93" t="str" cm="1">
        <f t="array" ref="AK53">_xlfn.LET(
  _xlpm.w, AK$11,
  _xlpm.r, MATCH(1,('3. Enter Indicator Scores'!$B$10:$B$161=$B53)*('3. Enter Indicator Scores'!$C$10:$C$161=$C53),0),
  _xlpm.c, MATCH(AK$8,'3. Enter Indicator Scores'!$D$8:$CZ$8,0),
  _xlpm.v, IFERROR(INDEX('3. Enter Indicator Scores'!$D$10:$CZ$161,_xlpm.r,_xlpm.c),""),
  IF(OR(_xlpm.w="",_xlpm.v=""),"",_xlpm.v*_xlpm.w)
)</f>
        <v/>
      </c>
      <c r="AL53" s="93" t="str" cm="1">
        <f t="array" ref="AL53">_xlfn.LET(
  _xlpm.w, AL$11,
  _xlpm.r, MATCH(1,('3. Enter Indicator Scores'!$B$10:$B$161=$B53)*('3. Enter Indicator Scores'!$C$10:$C$161=$C53),0),
  _xlpm.c, MATCH(AL$8,'3. Enter Indicator Scores'!$D$8:$CZ$8,0),
  _xlpm.v, IFERROR(INDEX('3. Enter Indicator Scores'!$D$10:$CZ$161,_xlpm.r,_xlpm.c),""),
  IF(OR(_xlpm.w="",_xlpm.v=""),"",_xlpm.v*_xlpm.w)
)</f>
        <v/>
      </c>
      <c r="AM53" s="93" t="str" cm="1">
        <f t="array" ref="AM53">_xlfn.LET(
  _xlpm.w, AM$11,
  _xlpm.r, MATCH(1,('3. Enter Indicator Scores'!$B$10:$B$161=$B53)*('3. Enter Indicator Scores'!$C$10:$C$161=$C53),0),
  _xlpm.c, MATCH(AM$8,'3. Enter Indicator Scores'!$D$8:$CZ$8,0),
  _xlpm.v, IFERROR(INDEX('3. Enter Indicator Scores'!$D$10:$CZ$161,_xlpm.r,_xlpm.c),""),
  IF(OR(_xlpm.w="",_xlpm.v=""),"",_xlpm.v*_xlpm.w)
)</f>
        <v/>
      </c>
      <c r="AN53" s="93" t="str" cm="1">
        <f t="array" ref="AN53">_xlfn.LET(
  _xlpm.w, AN$11,
  _xlpm.r, MATCH(1,('3. Enter Indicator Scores'!$B$10:$B$161=$B53)*('3. Enter Indicator Scores'!$C$10:$C$161=$C53),0),
  _xlpm.c, MATCH(AN$8,'3. Enter Indicator Scores'!$D$8:$CZ$8,0),
  _xlpm.v, IFERROR(INDEX('3. Enter Indicator Scores'!$D$10:$CZ$161,_xlpm.r,_xlpm.c),""),
  IF(OR(_xlpm.w="",_xlpm.v=""),"",_xlpm.v*_xlpm.w)
)</f>
        <v/>
      </c>
      <c r="AO53" s="93" t="str" cm="1">
        <f t="array" ref="AO53">_xlfn.LET(
  _xlpm.w, AO$11,
  _xlpm.r, MATCH(1,('3. Enter Indicator Scores'!$B$10:$B$161=$B53)*('3. Enter Indicator Scores'!$C$10:$C$161=$C53),0),
  _xlpm.c, MATCH(AO$8,'3. Enter Indicator Scores'!$D$8:$CZ$8,0),
  _xlpm.v, IFERROR(INDEX('3. Enter Indicator Scores'!$D$10:$CZ$161,_xlpm.r,_xlpm.c),""),
  IF(OR(_xlpm.w="",_xlpm.v=""),"",_xlpm.v*_xlpm.w)
)</f>
        <v/>
      </c>
      <c r="AP53" s="93" t="str" cm="1">
        <f t="array" ref="AP53">_xlfn.LET(
  _xlpm.w, AP$11,
  _xlpm.r, MATCH(1,('3. Enter Indicator Scores'!$B$10:$B$161=$B53)*('3. Enter Indicator Scores'!$C$10:$C$161=$C53),0),
  _xlpm.c, MATCH(AP$8,'3. Enter Indicator Scores'!$D$8:$CZ$8,0),
  _xlpm.v, IFERROR(INDEX('3. Enter Indicator Scores'!$D$10:$CZ$161,_xlpm.r,_xlpm.c),""),
  IF(OR(_xlpm.w="",_xlpm.v=""),"",_xlpm.v*_xlpm.w)
)</f>
        <v/>
      </c>
      <c r="AQ53" s="93" t="str" cm="1">
        <f t="array" ref="AQ53">_xlfn.LET(
  _xlpm.w, AQ$11,
  _xlpm.r, MATCH(1,('3. Enter Indicator Scores'!$B$10:$B$161=$B53)*('3. Enter Indicator Scores'!$C$10:$C$161=$C53),0),
  _xlpm.c, MATCH(AQ$8,'3. Enter Indicator Scores'!$D$8:$CZ$8,0),
  _xlpm.v, IFERROR(INDEX('3. Enter Indicator Scores'!$D$10:$CZ$161,_xlpm.r,_xlpm.c),""),
  IF(OR(_xlpm.w="",_xlpm.v=""),"",_xlpm.v*_xlpm.w)
)</f>
        <v/>
      </c>
      <c r="AR53" s="93" t="str" cm="1">
        <f t="array" ref="AR53">_xlfn.LET(
  _xlpm.w, AR$11,
  _xlpm.r, MATCH(1,('3. Enter Indicator Scores'!$B$10:$B$161=$B53)*('3. Enter Indicator Scores'!$C$10:$C$161=$C53),0),
  _xlpm.c, MATCH(AR$8,'3. Enter Indicator Scores'!$D$8:$CZ$8,0),
  _xlpm.v, IFERROR(INDEX('3. Enter Indicator Scores'!$D$10:$CZ$161,_xlpm.r,_xlpm.c),""),
  IF(OR(_xlpm.w="",_xlpm.v=""),"",_xlpm.v*_xlpm.w)
)</f>
        <v/>
      </c>
      <c r="AS53" s="93" t="str" cm="1">
        <f t="array" ref="AS53">_xlfn.LET(
  _xlpm.w, AS$11,
  _xlpm.r, MATCH(1,('3. Enter Indicator Scores'!$B$10:$B$161=$B53)*('3. Enter Indicator Scores'!$C$10:$C$161=$C53),0),
  _xlpm.c, MATCH(AS$8,'3. Enter Indicator Scores'!$D$8:$CZ$8,0),
  _xlpm.v, IFERROR(INDEX('3. Enter Indicator Scores'!$D$10:$CZ$161,_xlpm.r,_xlpm.c),""),
  IF(OR(_xlpm.w="",_xlpm.v=""),"",_xlpm.v*_xlpm.w)
)</f>
        <v/>
      </c>
      <c r="AT53" s="93" t="str" cm="1">
        <f t="array" ref="AT53">_xlfn.LET(
  _xlpm.w, AT$11,
  _xlpm.r, MATCH(1,('3. Enter Indicator Scores'!$B$10:$B$161=$B53)*('3. Enter Indicator Scores'!$C$10:$C$161=$C53),0),
  _xlpm.c, MATCH(AT$8,'3. Enter Indicator Scores'!$D$8:$CZ$8,0),
  _xlpm.v, IFERROR(INDEX('3. Enter Indicator Scores'!$D$10:$CZ$161,_xlpm.r,_xlpm.c),""),
  IF(OR(_xlpm.w="",_xlpm.v=""),"",_xlpm.v*_xlpm.w)
)</f>
        <v/>
      </c>
      <c r="AU53" s="93" t="str" cm="1">
        <f t="array" ref="AU53">_xlfn.LET(
  _xlpm.w, AU$11,
  _xlpm.r, MATCH(1,('3. Enter Indicator Scores'!$B$10:$B$161=$B53)*('3. Enter Indicator Scores'!$C$10:$C$161=$C53),0),
  _xlpm.c, MATCH(AU$8,'3. Enter Indicator Scores'!$D$8:$CZ$8,0),
  _xlpm.v, IFERROR(INDEX('3. Enter Indicator Scores'!$D$10:$CZ$161,_xlpm.r,_xlpm.c),""),
  IF(OR(_xlpm.w="",_xlpm.v=""),"",_xlpm.v*_xlpm.w)
)</f>
        <v/>
      </c>
      <c r="AV53" s="93" t="str" cm="1">
        <f t="array" ref="AV53">_xlfn.LET(
  _xlpm.w, AV$11,
  _xlpm.r, MATCH(1,('3. Enter Indicator Scores'!$B$10:$B$161=$B53)*('3. Enter Indicator Scores'!$C$10:$C$161=$C53),0),
  _xlpm.c, MATCH(AV$8,'3. Enter Indicator Scores'!$D$8:$CZ$8,0),
  _xlpm.v, IFERROR(INDEX('3. Enter Indicator Scores'!$D$10:$CZ$161,_xlpm.r,_xlpm.c),""),
  IF(OR(_xlpm.w="",_xlpm.v=""),"",_xlpm.v*_xlpm.w)
)</f>
        <v/>
      </c>
      <c r="AW53" s="93" t="str" cm="1">
        <f t="array" ref="AW53">_xlfn.LET(
  _xlpm.w, AW$11,
  _xlpm.r, MATCH(1,('3. Enter Indicator Scores'!$B$10:$B$161=$B53)*('3. Enter Indicator Scores'!$C$10:$C$161=$C53),0),
  _xlpm.c, MATCH(AW$8,'3. Enter Indicator Scores'!$D$8:$CZ$8,0),
  _xlpm.v, IFERROR(INDEX('3. Enter Indicator Scores'!$D$10:$CZ$161,_xlpm.r,_xlpm.c),""),
  IF(OR(_xlpm.w="",_xlpm.v=""),"",_xlpm.v*_xlpm.w)
)</f>
        <v/>
      </c>
      <c r="AX53" s="93" t="str" cm="1">
        <f t="array" ref="AX53">_xlfn.LET(
  _xlpm.w, AX$11,
  _xlpm.r, MATCH(1,('3. Enter Indicator Scores'!$B$10:$B$161=$B53)*('3. Enter Indicator Scores'!$C$10:$C$161=$C53),0),
  _xlpm.c, MATCH(AX$8,'3. Enter Indicator Scores'!$D$8:$CZ$8,0),
  _xlpm.v, IFERROR(INDEX('3. Enter Indicator Scores'!$D$10:$CZ$161,_xlpm.r,_xlpm.c),""),
  IF(OR(_xlpm.w="",_xlpm.v=""),"",_xlpm.v*_xlpm.w)
)</f>
        <v/>
      </c>
      <c r="AY53" s="93" t="str" cm="1">
        <f t="array" ref="AY53">_xlfn.LET(
  _xlpm.w, AY$11,
  _xlpm.r, MATCH(1,('3. Enter Indicator Scores'!$B$10:$B$161=$B53)*('3. Enter Indicator Scores'!$C$10:$C$161=$C53),0),
  _xlpm.c, MATCH(AY$8,'3. Enter Indicator Scores'!$D$8:$CZ$8,0),
  _xlpm.v, IFERROR(INDEX('3. Enter Indicator Scores'!$D$10:$CZ$161,_xlpm.r,_xlpm.c),""),
  IF(OR(_xlpm.w="",_xlpm.v=""),"",_xlpm.v*_xlpm.w)
)</f>
        <v/>
      </c>
      <c r="AZ53" s="93" t="str" cm="1">
        <f t="array" ref="AZ53">_xlfn.LET(
  _xlpm.w, AZ$11,
  _xlpm.r, MATCH(1,('3. Enter Indicator Scores'!$B$10:$B$161=$B53)*('3. Enter Indicator Scores'!$C$10:$C$161=$C53),0),
  _xlpm.c, MATCH(AZ$8,'3. Enter Indicator Scores'!$D$8:$CZ$8,0),
  _xlpm.v, IFERROR(INDEX('3. Enter Indicator Scores'!$D$10:$CZ$161,_xlpm.r,_xlpm.c),""),
  IF(OR(_xlpm.w="",_xlpm.v=""),"",_xlpm.v*_xlpm.w)
)</f>
        <v/>
      </c>
      <c r="BA53" s="93" t="str" cm="1">
        <f t="array" ref="BA53">_xlfn.LET(
  _xlpm.w, BA$11,
  _xlpm.r, MATCH(1,('3. Enter Indicator Scores'!$B$10:$B$161=$B53)*('3. Enter Indicator Scores'!$C$10:$C$161=$C53),0),
  _xlpm.c, MATCH(BA$8,'3. Enter Indicator Scores'!$D$8:$CZ$8,0),
  _xlpm.v, IFERROR(INDEX('3. Enter Indicator Scores'!$D$10:$CZ$161,_xlpm.r,_xlpm.c),""),
  IF(OR(_xlpm.w="",_xlpm.v=""),"",_xlpm.v*_xlpm.w)
)</f>
        <v/>
      </c>
      <c r="BB53" s="93" t="str" cm="1">
        <f t="array" ref="BB53">_xlfn.LET(
  _xlpm.w, BB$11,
  _xlpm.r, MATCH(1,('3. Enter Indicator Scores'!$B$10:$B$161=$B53)*('3. Enter Indicator Scores'!$C$10:$C$161=$C53),0),
  _xlpm.c, MATCH(BB$8,'3. Enter Indicator Scores'!$D$8:$CZ$8,0),
  _xlpm.v, IFERROR(INDEX('3. Enter Indicator Scores'!$D$10:$CZ$161,_xlpm.r,_xlpm.c),""),
  IF(OR(_xlpm.w="",_xlpm.v=""),"",_xlpm.v*_xlpm.w)
)</f>
        <v/>
      </c>
      <c r="BC53" s="93" t="str" cm="1">
        <f t="array" ref="BC53">_xlfn.LET(
  _xlpm.w, BC$11,
  _xlpm.r, MATCH(1,('3. Enter Indicator Scores'!$B$10:$B$161=$B53)*('3. Enter Indicator Scores'!$C$10:$C$161=$C53),0),
  _xlpm.c, MATCH(BC$8,'3. Enter Indicator Scores'!$D$8:$CZ$8,0),
  _xlpm.v, IFERROR(INDEX('3. Enter Indicator Scores'!$D$10:$CZ$161,_xlpm.r,_xlpm.c),""),
  IF(OR(_xlpm.w="",_xlpm.v=""),"",_xlpm.v*_xlpm.w)
)</f>
        <v/>
      </c>
      <c r="BD53" s="93" t="str" cm="1">
        <f t="array" ref="BD53">_xlfn.LET(
  _xlpm.w, BD$11,
  _xlpm.r, MATCH(1,('3. Enter Indicator Scores'!$B$10:$B$161=$B53)*('3. Enter Indicator Scores'!$C$10:$C$161=$C53),0),
  _xlpm.c, MATCH(BD$8,'3. Enter Indicator Scores'!$D$8:$CZ$8,0),
  _xlpm.v, IFERROR(INDEX('3. Enter Indicator Scores'!$D$10:$CZ$161,_xlpm.r,_xlpm.c),""),
  IF(OR(_xlpm.w="",_xlpm.v=""),"",_xlpm.v*_xlpm.w)
)</f>
        <v/>
      </c>
      <c r="BE53" s="93" t="str" cm="1">
        <f t="array" ref="BE53">_xlfn.LET(
  _xlpm.w, BE$11,
  _xlpm.r, MATCH(1,('3. Enter Indicator Scores'!$B$10:$B$161=$B53)*('3. Enter Indicator Scores'!$C$10:$C$161=$C53),0),
  _xlpm.c, MATCH(BE$8,'3. Enter Indicator Scores'!$D$8:$CZ$8,0),
  _xlpm.v, IFERROR(INDEX('3. Enter Indicator Scores'!$D$10:$CZ$161,_xlpm.r,_xlpm.c),""),
  IF(OR(_xlpm.w="",_xlpm.v=""),"",_xlpm.v*_xlpm.w)
)</f>
        <v/>
      </c>
      <c r="BF53" s="93" t="str" cm="1">
        <f t="array" ref="BF53">_xlfn.LET(
  _xlpm.w, BF$11,
  _xlpm.r, MATCH(1,('3. Enter Indicator Scores'!$B$10:$B$161=$B53)*('3. Enter Indicator Scores'!$C$10:$C$161=$C53),0),
  _xlpm.c, MATCH(BF$8,'3. Enter Indicator Scores'!$D$8:$CZ$8,0),
  _xlpm.v, IFERROR(INDEX('3. Enter Indicator Scores'!$D$10:$CZ$161,_xlpm.r,_xlpm.c),""),
  IF(OR(_xlpm.w="",_xlpm.v=""),"",_xlpm.v*_xlpm.w)
)</f>
        <v/>
      </c>
      <c r="BG53" s="93" t="str" cm="1">
        <f t="array" ref="BG53">_xlfn.LET(
  _xlpm.w, BG$11,
  _xlpm.r, MATCH(1,('3. Enter Indicator Scores'!$B$10:$B$161=$B53)*('3. Enter Indicator Scores'!$C$10:$C$161=$C53),0),
  _xlpm.c, MATCH(BG$8,'3. Enter Indicator Scores'!$D$8:$CZ$8,0),
  _xlpm.v, IFERROR(INDEX('3. Enter Indicator Scores'!$D$10:$CZ$161,_xlpm.r,_xlpm.c),""),
  IF(OR(_xlpm.w="",_xlpm.v=""),"",_xlpm.v*_xlpm.w)
)</f>
        <v/>
      </c>
      <c r="BH53" s="93" t="str" cm="1">
        <f t="array" ref="BH53">_xlfn.LET(
  _xlpm.w, BH$11,
  _xlpm.r, MATCH(1,('3. Enter Indicator Scores'!$B$10:$B$161=$B53)*('3. Enter Indicator Scores'!$C$10:$C$161=$C53),0),
  _xlpm.c, MATCH(BH$8,'3. Enter Indicator Scores'!$D$8:$CZ$8,0),
  _xlpm.v, IFERROR(INDEX('3. Enter Indicator Scores'!$D$10:$CZ$161,_xlpm.r,_xlpm.c),""),
  IF(OR(_xlpm.w="",_xlpm.v=""),"",_xlpm.v*_xlpm.w)
)</f>
        <v/>
      </c>
      <c r="BI53" s="93" t="str" cm="1">
        <f t="array" ref="BI53">_xlfn.LET(
  _xlpm.w, BI$11,
  _xlpm.r, MATCH(1,('3. Enter Indicator Scores'!$B$10:$B$161=$B53)*('3. Enter Indicator Scores'!$C$10:$C$161=$C53),0),
  _xlpm.c, MATCH(BI$8,'3. Enter Indicator Scores'!$D$8:$CZ$8,0),
  _xlpm.v, IFERROR(INDEX('3. Enter Indicator Scores'!$D$10:$CZ$161,_xlpm.r,_xlpm.c),""),
  IF(OR(_xlpm.w="",_xlpm.v=""),"",_xlpm.v*_xlpm.w)
)</f>
        <v/>
      </c>
      <c r="BJ53" s="93" t="str" cm="1">
        <f t="array" ref="BJ53">_xlfn.LET(
  _xlpm.w, BJ$11,
  _xlpm.r, MATCH(1,('3. Enter Indicator Scores'!$B$10:$B$161=$B53)*('3. Enter Indicator Scores'!$C$10:$C$161=$C53),0),
  _xlpm.c, MATCH(BJ$8,'3. Enter Indicator Scores'!$D$8:$CZ$8,0),
  _xlpm.v, IFERROR(INDEX('3. Enter Indicator Scores'!$D$10:$CZ$161,_xlpm.r,_xlpm.c),""),
  IF(OR(_xlpm.w="",_xlpm.v=""),"",_xlpm.v*_xlpm.w)
)</f>
        <v/>
      </c>
      <c r="BK53" s="93" t="str" cm="1">
        <f t="array" ref="BK53">_xlfn.LET(
  _xlpm.w, BK$11,
  _xlpm.r, MATCH(1,('3. Enter Indicator Scores'!$B$10:$B$161=$B53)*('3. Enter Indicator Scores'!$C$10:$C$161=$C53),0),
  _xlpm.c, MATCH(BK$8,'3. Enter Indicator Scores'!$D$8:$CZ$8,0),
  _xlpm.v, IFERROR(INDEX('3. Enter Indicator Scores'!$D$10:$CZ$161,_xlpm.r,_xlpm.c),""),
  IF(OR(_xlpm.w="",_xlpm.v=""),"",_xlpm.v*_xlpm.w)
)</f>
        <v/>
      </c>
      <c r="BL53" s="93" t="str" cm="1">
        <f t="array" ref="BL53">_xlfn.LET(
  _xlpm.w, BL$11,
  _xlpm.r, MATCH(1,('3. Enter Indicator Scores'!$B$10:$B$161=$B53)*('3. Enter Indicator Scores'!$C$10:$C$161=$C53),0),
  _xlpm.c, MATCH(BL$8,'3. Enter Indicator Scores'!$D$8:$CZ$8,0),
  _xlpm.v, IFERROR(INDEX('3. Enter Indicator Scores'!$D$10:$CZ$161,_xlpm.r,_xlpm.c),""),
  IF(OR(_xlpm.w="",_xlpm.v=""),"",_xlpm.v*_xlpm.w)
)</f>
        <v/>
      </c>
      <c r="BM53" s="93" t="str" cm="1">
        <f t="array" ref="BM53">_xlfn.LET(
  _xlpm.w, BM$11,
  _xlpm.r, MATCH(1,('3. Enter Indicator Scores'!$B$10:$B$161=$B53)*('3. Enter Indicator Scores'!$C$10:$C$161=$C53),0),
  _xlpm.c, MATCH(BM$8,'3. Enter Indicator Scores'!$D$8:$CZ$8,0),
  _xlpm.v, IFERROR(INDEX('3. Enter Indicator Scores'!$D$10:$CZ$161,_xlpm.r,_xlpm.c),""),
  IF(OR(_xlpm.w="",_xlpm.v=""),"",_xlpm.v*_xlpm.w)
)</f>
        <v/>
      </c>
      <c r="BN53" s="93" t="str" cm="1">
        <f t="array" ref="BN53">_xlfn.LET(
  _xlpm.w, BN$11,
  _xlpm.r, MATCH(1,('3. Enter Indicator Scores'!$B$10:$B$161=$B53)*('3. Enter Indicator Scores'!$C$10:$C$161=$C53),0),
  _xlpm.c, MATCH(BN$8,'3. Enter Indicator Scores'!$D$8:$CZ$8,0),
  _xlpm.v, IFERROR(INDEX('3. Enter Indicator Scores'!$D$10:$CZ$161,_xlpm.r,_xlpm.c),""),
  IF(OR(_xlpm.w="",_xlpm.v=""),"",_xlpm.v*_xlpm.w)
)</f>
        <v/>
      </c>
      <c r="BO53" s="93" t="str" cm="1">
        <f t="array" ref="BO53">_xlfn.LET(
  _xlpm.w, BO$11,
  _xlpm.r, MATCH(1,('3. Enter Indicator Scores'!$B$10:$B$161=$B53)*('3. Enter Indicator Scores'!$C$10:$C$161=$C53),0),
  _xlpm.c, MATCH(BO$8,'3. Enter Indicator Scores'!$D$8:$CZ$8,0),
  _xlpm.v, IFERROR(INDEX('3. Enter Indicator Scores'!$D$10:$CZ$161,_xlpm.r,_xlpm.c),""),
  IF(OR(_xlpm.w="",_xlpm.v=""),"",_xlpm.v*_xlpm.w)
)</f>
        <v/>
      </c>
      <c r="BP53" s="93" t="str" cm="1">
        <f t="array" ref="BP53">_xlfn.LET(
  _xlpm.w, BP$11,
  _xlpm.r, MATCH(1,('3. Enter Indicator Scores'!$B$10:$B$161=$B53)*('3. Enter Indicator Scores'!$C$10:$C$161=$C53),0),
  _xlpm.c, MATCH(BP$8,'3. Enter Indicator Scores'!$D$8:$CZ$8,0),
  _xlpm.v, IFERROR(INDEX('3. Enter Indicator Scores'!$D$10:$CZ$161,_xlpm.r,_xlpm.c),""),
  IF(OR(_xlpm.w="",_xlpm.v=""),"",_xlpm.v*_xlpm.w)
)</f>
        <v/>
      </c>
      <c r="BQ53" s="93" t="str" cm="1">
        <f t="array" ref="BQ53">_xlfn.LET(
  _xlpm.w, BQ$11,
  _xlpm.r, MATCH(1,('3. Enter Indicator Scores'!$B$10:$B$161=$B53)*('3. Enter Indicator Scores'!$C$10:$C$161=$C53),0),
  _xlpm.c, MATCH(BQ$8,'3. Enter Indicator Scores'!$D$8:$CZ$8,0),
  _xlpm.v, IFERROR(INDEX('3. Enter Indicator Scores'!$D$10:$CZ$161,_xlpm.r,_xlpm.c),""),
  IF(OR(_xlpm.w="",_xlpm.v=""),"",_xlpm.v*_xlpm.w)
)</f>
        <v/>
      </c>
      <c r="BR53" s="93" t="str" cm="1">
        <f t="array" ref="BR53">_xlfn.LET(
  _xlpm.w, BR$11,
  _xlpm.r, MATCH(1,('3. Enter Indicator Scores'!$B$10:$B$161=$B53)*('3. Enter Indicator Scores'!$C$10:$C$161=$C53),0),
  _xlpm.c, MATCH(BR$8,'3. Enter Indicator Scores'!$D$8:$CZ$8,0),
  _xlpm.v, IFERROR(INDEX('3. Enter Indicator Scores'!$D$10:$CZ$161,_xlpm.r,_xlpm.c),""),
  IF(OR(_xlpm.w="",_xlpm.v=""),"",_xlpm.v*_xlpm.w)
)</f>
        <v/>
      </c>
      <c r="BS53" s="93" t="str" cm="1">
        <f t="array" ref="BS53">_xlfn.LET(
  _xlpm.w, BS$11,
  _xlpm.r, MATCH(1,('3. Enter Indicator Scores'!$B$10:$B$161=$B53)*('3. Enter Indicator Scores'!$C$10:$C$161=$C53),0),
  _xlpm.c, MATCH(BS$8,'3. Enter Indicator Scores'!$D$8:$CZ$8,0),
  _xlpm.v, IFERROR(INDEX('3. Enter Indicator Scores'!$D$10:$CZ$161,_xlpm.r,_xlpm.c),""),
  IF(OR(_xlpm.w="",_xlpm.v=""),"",_xlpm.v*_xlpm.w)
)</f>
        <v/>
      </c>
      <c r="BT53" s="93" t="str" cm="1">
        <f t="array" ref="BT53">_xlfn.LET(
  _xlpm.w, BT$11,
  _xlpm.r, MATCH(1,('3. Enter Indicator Scores'!$B$10:$B$161=$B53)*('3. Enter Indicator Scores'!$C$10:$C$161=$C53),0),
  _xlpm.c, MATCH(BT$8,'3. Enter Indicator Scores'!$D$8:$CZ$8,0),
  _xlpm.v, IFERROR(INDEX('3. Enter Indicator Scores'!$D$10:$CZ$161,_xlpm.r,_xlpm.c),""),
  IF(OR(_xlpm.w="",_xlpm.v=""),"",_xlpm.v*_xlpm.w)
)</f>
        <v/>
      </c>
      <c r="BU53" s="93" t="str" cm="1">
        <f t="array" ref="BU53">_xlfn.LET(
  _xlpm.w, BU$11,
  _xlpm.r, MATCH(1,('3. Enter Indicator Scores'!$B$10:$B$161=$B53)*('3. Enter Indicator Scores'!$C$10:$C$161=$C53),0),
  _xlpm.c, MATCH(BU$8,'3. Enter Indicator Scores'!$D$8:$CZ$8,0),
  _xlpm.v, IFERROR(INDEX('3. Enter Indicator Scores'!$D$10:$CZ$161,_xlpm.r,_xlpm.c),""),
  IF(OR(_xlpm.w="",_xlpm.v=""),"",_xlpm.v*_xlpm.w)
)</f>
        <v/>
      </c>
      <c r="BV53" s="93" t="str" cm="1">
        <f t="array" ref="BV53">_xlfn.LET(
  _xlpm.w, BV$11,
  _xlpm.r, MATCH(1,('3. Enter Indicator Scores'!$B$10:$B$161=$B53)*('3. Enter Indicator Scores'!$C$10:$C$161=$C53),0),
  _xlpm.c, MATCH(BV$8,'3. Enter Indicator Scores'!$D$8:$CZ$8,0),
  _xlpm.v, IFERROR(INDEX('3. Enter Indicator Scores'!$D$10:$CZ$161,_xlpm.r,_xlpm.c),""),
  IF(OR(_xlpm.w="",_xlpm.v=""),"",_xlpm.v*_xlpm.w)
)</f>
        <v/>
      </c>
      <c r="BW53" s="93" t="str" cm="1">
        <f t="array" ref="BW53">_xlfn.LET(
  _xlpm.w, BW$11,
  _xlpm.r, MATCH(1,('3. Enter Indicator Scores'!$B$10:$B$161=$B53)*('3. Enter Indicator Scores'!$C$10:$C$161=$C53),0),
  _xlpm.c, MATCH(BW$8,'3. Enter Indicator Scores'!$D$8:$CZ$8,0),
  _xlpm.v, IFERROR(INDEX('3. Enter Indicator Scores'!$D$10:$CZ$161,_xlpm.r,_xlpm.c),""),
  IF(OR(_xlpm.w="",_xlpm.v=""),"",_xlpm.v*_xlpm.w)
)</f>
        <v/>
      </c>
      <c r="BX53" s="93" t="str" cm="1">
        <f t="array" ref="BX53">_xlfn.LET(
  _xlpm.w, BX$11,
  _xlpm.r, MATCH(1,('3. Enter Indicator Scores'!$B$10:$B$161=$B53)*('3. Enter Indicator Scores'!$C$10:$C$161=$C53),0),
  _xlpm.c, MATCH(BX$8,'3. Enter Indicator Scores'!$D$8:$CZ$8,0),
  _xlpm.v, IFERROR(INDEX('3. Enter Indicator Scores'!$D$10:$CZ$161,_xlpm.r,_xlpm.c),""),
  IF(OR(_xlpm.w="",_xlpm.v=""),"",_xlpm.v*_xlpm.w)
)</f>
        <v/>
      </c>
      <c r="BY53" s="93" t="str" cm="1">
        <f t="array" ref="BY53">_xlfn.LET(
  _xlpm.w, BY$11,
  _xlpm.r, MATCH(1,('3. Enter Indicator Scores'!$B$10:$B$161=$B53)*('3. Enter Indicator Scores'!$C$10:$C$161=$C53),0),
  _xlpm.c, MATCH(BY$8,'3. Enter Indicator Scores'!$D$8:$CZ$8,0),
  _xlpm.v, IFERROR(INDEX('3. Enter Indicator Scores'!$D$10:$CZ$161,_xlpm.r,_xlpm.c),""),
  IF(OR(_xlpm.w="",_xlpm.v=""),"",_xlpm.v*_xlpm.w)
)</f>
        <v/>
      </c>
      <c r="BZ53" s="93" t="str" cm="1">
        <f t="array" ref="BZ53">_xlfn.LET(
  _xlpm.w, BZ$11,
  _xlpm.r, MATCH(1,('3. Enter Indicator Scores'!$B$10:$B$161=$B53)*('3. Enter Indicator Scores'!$C$10:$C$161=$C53),0),
  _xlpm.c, MATCH(BZ$8,'3. Enter Indicator Scores'!$D$8:$CZ$8,0),
  _xlpm.v, IFERROR(INDEX('3. Enter Indicator Scores'!$D$10:$CZ$161,_xlpm.r,_xlpm.c),""),
  IF(OR(_xlpm.w="",_xlpm.v=""),"",_xlpm.v*_xlpm.w)
)</f>
        <v/>
      </c>
      <c r="CA53" s="93" t="str" cm="1">
        <f t="array" ref="CA53">_xlfn.LET(
  _xlpm.w, CA$11,
  _xlpm.r, MATCH(1,('3. Enter Indicator Scores'!$B$10:$B$161=$B53)*('3. Enter Indicator Scores'!$C$10:$C$161=$C53),0),
  _xlpm.c, MATCH(CA$8,'3. Enter Indicator Scores'!$D$8:$CZ$8,0),
  _xlpm.v, IFERROR(INDEX('3. Enter Indicator Scores'!$D$10:$CZ$161,_xlpm.r,_xlpm.c),""),
  IF(OR(_xlpm.w="",_xlpm.v=""),"",_xlpm.v*_xlpm.w)
)</f>
        <v/>
      </c>
      <c r="CB53" s="93" t="str" cm="1">
        <f t="array" ref="CB53">_xlfn.LET(
  _xlpm.w, CB$11,
  _xlpm.r, MATCH(1,('3. Enter Indicator Scores'!$B$10:$B$161=$B53)*('3. Enter Indicator Scores'!$C$10:$C$161=$C53),0),
  _xlpm.c, MATCH(CB$8,'3. Enter Indicator Scores'!$D$8:$CZ$8,0),
  _xlpm.v, IFERROR(INDEX('3. Enter Indicator Scores'!$D$10:$CZ$161,_xlpm.r,_xlpm.c),""),
  IF(OR(_xlpm.w="",_xlpm.v=""),"",_xlpm.v*_xlpm.w)
)</f>
        <v/>
      </c>
      <c r="CC53" s="93" t="str" cm="1">
        <f t="array" ref="CC53">_xlfn.LET(
  _xlpm.w, CC$11,
  _xlpm.r, MATCH(1,('3. Enter Indicator Scores'!$B$10:$B$161=$B53)*('3. Enter Indicator Scores'!$C$10:$C$161=$C53),0),
  _xlpm.c, MATCH(CC$8,'3. Enter Indicator Scores'!$D$8:$CZ$8,0),
  _xlpm.v, IFERROR(INDEX('3. Enter Indicator Scores'!$D$10:$CZ$161,_xlpm.r,_xlpm.c),""),
  IF(OR(_xlpm.w="",_xlpm.v=""),"",_xlpm.v*_xlpm.w)
)</f>
        <v/>
      </c>
      <c r="CD53" s="93" t="str" cm="1">
        <f t="array" ref="CD53">_xlfn.LET(
  _xlpm.w, CD$11,
  _xlpm.r, MATCH(1,('3. Enter Indicator Scores'!$B$10:$B$161=$B53)*('3. Enter Indicator Scores'!$C$10:$C$161=$C53),0),
  _xlpm.c, MATCH(CD$8,'3. Enter Indicator Scores'!$D$8:$CZ$8,0),
  _xlpm.v, IFERROR(INDEX('3. Enter Indicator Scores'!$D$10:$CZ$161,_xlpm.r,_xlpm.c),""),
  IF(OR(_xlpm.w="",_xlpm.v=""),"",_xlpm.v*_xlpm.w)
)</f>
        <v/>
      </c>
      <c r="CE53" s="93" t="str" cm="1">
        <f t="array" ref="CE53">_xlfn.LET(
  _xlpm.w, CE$11,
  _xlpm.r, MATCH(1,('3. Enter Indicator Scores'!$B$10:$B$161=$B53)*('3. Enter Indicator Scores'!$C$10:$C$161=$C53),0),
  _xlpm.c, MATCH(CE$8,'3. Enter Indicator Scores'!$D$8:$CZ$8,0),
  _xlpm.v, IFERROR(INDEX('3. Enter Indicator Scores'!$D$10:$CZ$161,_xlpm.r,_xlpm.c),""),
  IF(OR(_xlpm.w="",_xlpm.v=""),"",_xlpm.v*_xlpm.w)
)</f>
        <v/>
      </c>
      <c r="CF53" s="93" t="str" cm="1">
        <f t="array" ref="CF53">_xlfn.LET(
  _xlpm.w, CF$11,
  _xlpm.r, MATCH(1,('3. Enter Indicator Scores'!$B$10:$B$161=$B53)*('3. Enter Indicator Scores'!$C$10:$C$161=$C53),0),
  _xlpm.c, MATCH(CF$8,'3. Enter Indicator Scores'!$D$8:$CZ$8,0),
  _xlpm.v, IFERROR(INDEX('3. Enter Indicator Scores'!$D$10:$CZ$161,_xlpm.r,_xlpm.c),""),
  IF(OR(_xlpm.w="",_xlpm.v=""),"",_xlpm.v*_xlpm.w)
)</f>
        <v/>
      </c>
      <c r="CG53" s="93" t="str" cm="1">
        <f t="array" ref="CG53">_xlfn.LET(
  _xlpm.w, CG$11,
  _xlpm.r, MATCH(1,('3. Enter Indicator Scores'!$B$10:$B$161=$B53)*('3. Enter Indicator Scores'!$C$10:$C$161=$C53),0),
  _xlpm.c, MATCH(CG$8,'3. Enter Indicator Scores'!$D$8:$CZ$8,0),
  _xlpm.v, IFERROR(INDEX('3. Enter Indicator Scores'!$D$10:$CZ$161,_xlpm.r,_xlpm.c),""),
  IF(OR(_xlpm.w="",_xlpm.v=""),"",_xlpm.v*_xlpm.w)
)</f>
        <v/>
      </c>
      <c r="CH53" s="93" t="str" cm="1">
        <f t="array" ref="CH53">_xlfn.LET(
  _xlpm.w, CH$11,
  _xlpm.r, MATCH(1,('3. Enter Indicator Scores'!$B$10:$B$161=$B53)*('3. Enter Indicator Scores'!$C$10:$C$161=$C53),0),
  _xlpm.c, MATCH(CH$8,'3. Enter Indicator Scores'!$D$8:$CZ$8,0),
  _xlpm.v, IFERROR(INDEX('3. Enter Indicator Scores'!$D$10:$CZ$161,_xlpm.r,_xlpm.c),""),
  IF(OR(_xlpm.w="",_xlpm.v=""),"",_xlpm.v*_xlpm.w)
)</f>
        <v/>
      </c>
      <c r="CI53" s="93" t="str" cm="1">
        <f t="array" ref="CI53">_xlfn.LET(
  _xlpm.w, CI$11,
  _xlpm.r, MATCH(1,('3. Enter Indicator Scores'!$B$10:$B$161=$B53)*('3. Enter Indicator Scores'!$C$10:$C$161=$C53),0),
  _xlpm.c, MATCH(CI$8,'3. Enter Indicator Scores'!$D$8:$CZ$8,0),
  _xlpm.v, IFERROR(INDEX('3. Enter Indicator Scores'!$D$10:$CZ$161,_xlpm.r,_xlpm.c),""),
  IF(OR(_xlpm.w="",_xlpm.v=""),"",_xlpm.v*_xlpm.w)
)</f>
        <v/>
      </c>
      <c r="CJ53" s="93" t="str" cm="1">
        <f t="array" ref="CJ53">_xlfn.LET(
  _xlpm.w, CJ$11,
  _xlpm.r, MATCH(1,('3. Enter Indicator Scores'!$B$10:$B$161=$B53)*('3. Enter Indicator Scores'!$C$10:$C$161=$C53),0),
  _xlpm.c, MATCH(CJ$8,'3. Enter Indicator Scores'!$D$8:$CZ$8,0),
  _xlpm.v, IFERROR(INDEX('3. Enter Indicator Scores'!$D$10:$CZ$161,_xlpm.r,_xlpm.c),""),
  IF(OR(_xlpm.w="",_xlpm.v=""),"",_xlpm.v*_xlpm.w)
)</f>
        <v/>
      </c>
      <c r="CK53" s="93" t="str" cm="1">
        <f t="array" ref="CK53">_xlfn.LET(
  _xlpm.w, CK$11,
  _xlpm.r, MATCH(1,('3. Enter Indicator Scores'!$B$10:$B$161=$B53)*('3. Enter Indicator Scores'!$C$10:$C$161=$C53),0),
  _xlpm.c, MATCH(CK$8,'3. Enter Indicator Scores'!$D$8:$CZ$8,0),
  _xlpm.v, IFERROR(INDEX('3. Enter Indicator Scores'!$D$10:$CZ$161,_xlpm.r,_xlpm.c),""),
  IF(OR(_xlpm.w="",_xlpm.v=""),"",_xlpm.v*_xlpm.w)
)</f>
        <v/>
      </c>
      <c r="CL53" s="93" t="str" cm="1">
        <f t="array" ref="CL53">_xlfn.LET(
  _xlpm.w, CL$11,
  _xlpm.r, MATCH(1,('3. Enter Indicator Scores'!$B$10:$B$161=$B53)*('3. Enter Indicator Scores'!$C$10:$C$161=$C53),0),
  _xlpm.c, MATCH(CL$8,'3. Enter Indicator Scores'!$D$8:$CZ$8,0),
  _xlpm.v, IFERROR(INDEX('3. Enter Indicator Scores'!$D$10:$CZ$161,_xlpm.r,_xlpm.c),""),
  IF(OR(_xlpm.w="",_xlpm.v=""),"",_xlpm.v*_xlpm.w)
)</f>
        <v/>
      </c>
      <c r="CM53" s="93" t="str" cm="1">
        <f t="array" ref="CM53">_xlfn.LET(
  _xlpm.w, CM$11,
  _xlpm.r, MATCH(1,('3. Enter Indicator Scores'!$B$10:$B$161=$B53)*('3. Enter Indicator Scores'!$C$10:$C$161=$C53),0),
  _xlpm.c, MATCH(CM$8,'3. Enter Indicator Scores'!$D$8:$CZ$8,0),
  _xlpm.v, IFERROR(INDEX('3. Enter Indicator Scores'!$D$10:$CZ$161,_xlpm.r,_xlpm.c),""),
  IF(OR(_xlpm.w="",_xlpm.v=""),"",_xlpm.v*_xlpm.w)
)</f>
        <v/>
      </c>
      <c r="CN53" s="93" t="str" cm="1">
        <f t="array" ref="CN53">_xlfn.LET(
  _xlpm.w, CN$11,
  _xlpm.r, MATCH(1,('3. Enter Indicator Scores'!$B$10:$B$161=$B53)*('3. Enter Indicator Scores'!$C$10:$C$161=$C53),0),
  _xlpm.c, MATCH(CN$8,'3. Enter Indicator Scores'!$D$8:$CZ$8,0),
  _xlpm.v, IFERROR(INDEX('3. Enter Indicator Scores'!$D$10:$CZ$161,_xlpm.r,_xlpm.c),""),
  IF(OR(_xlpm.w="",_xlpm.v=""),"",_xlpm.v*_xlpm.w)
)</f>
        <v/>
      </c>
      <c r="CO53" s="93" t="str" cm="1">
        <f t="array" ref="CO53">_xlfn.LET(
  _xlpm.w, CO$11,
  _xlpm.r, MATCH(1,('3. Enter Indicator Scores'!$B$10:$B$161=$B53)*('3. Enter Indicator Scores'!$C$10:$C$161=$C53),0),
  _xlpm.c, MATCH(CO$8,'3. Enter Indicator Scores'!$D$8:$CZ$8,0),
  _xlpm.v, IFERROR(INDEX('3. Enter Indicator Scores'!$D$10:$CZ$161,_xlpm.r,_xlpm.c),""),
  IF(OR(_xlpm.w="",_xlpm.v=""),"",_xlpm.v*_xlpm.w)
)</f>
        <v/>
      </c>
      <c r="CP53" s="93" t="str" cm="1">
        <f t="array" ref="CP53">_xlfn.LET(
  _xlpm.w, CP$11,
  _xlpm.r, MATCH(1,('3. Enter Indicator Scores'!$B$10:$B$161=$B53)*('3. Enter Indicator Scores'!$C$10:$C$161=$C53),0),
  _xlpm.c, MATCH(CP$8,'3. Enter Indicator Scores'!$D$8:$CZ$8,0),
  _xlpm.v, IFERROR(INDEX('3. Enter Indicator Scores'!$D$10:$CZ$161,_xlpm.r,_xlpm.c),""),
  IF(OR(_xlpm.w="",_xlpm.v=""),"",_xlpm.v*_xlpm.w)
)</f>
        <v/>
      </c>
      <c r="CQ53" s="93" t="str" cm="1">
        <f t="array" ref="CQ53">_xlfn.LET(
  _xlpm.w, CQ$11,
  _xlpm.r, MATCH(1,('3. Enter Indicator Scores'!$B$10:$B$161=$B53)*('3. Enter Indicator Scores'!$C$10:$C$161=$C53),0),
  _xlpm.c, MATCH(CQ$8,'3. Enter Indicator Scores'!$D$8:$CZ$8,0),
  _xlpm.v, IFERROR(INDEX('3. Enter Indicator Scores'!$D$10:$CZ$161,_xlpm.r,_xlpm.c),""),
  IF(OR(_xlpm.w="",_xlpm.v=""),"",_xlpm.v*_xlpm.w)
)</f>
        <v/>
      </c>
      <c r="CR53" s="93" t="str" cm="1">
        <f t="array" ref="CR53">_xlfn.LET(
  _xlpm.w, CR$11,
  _xlpm.r, MATCH(1,('3. Enter Indicator Scores'!$B$10:$B$161=$B53)*('3. Enter Indicator Scores'!$C$10:$C$161=$C53),0),
  _xlpm.c, MATCH(CR$8,'3. Enter Indicator Scores'!$D$8:$CZ$8,0),
  _xlpm.v, IFERROR(INDEX('3. Enter Indicator Scores'!$D$10:$CZ$161,_xlpm.r,_xlpm.c),""),
  IF(OR(_xlpm.w="",_xlpm.v=""),"",_xlpm.v*_xlpm.w)
)</f>
        <v/>
      </c>
      <c r="CS53" s="93" t="str" cm="1">
        <f t="array" ref="CS53">_xlfn.LET(
  _xlpm.w, CS$11,
  _xlpm.r, MATCH(1,('3. Enter Indicator Scores'!$B$10:$B$161=$B53)*('3. Enter Indicator Scores'!$C$10:$C$161=$C53),0),
  _xlpm.c, MATCH(CS$8,'3. Enter Indicator Scores'!$D$8:$CZ$8,0),
  _xlpm.v, IFERROR(INDEX('3. Enter Indicator Scores'!$D$10:$CZ$161,_xlpm.r,_xlpm.c),""),
  IF(OR(_xlpm.w="",_xlpm.v=""),"",_xlpm.v*_xlpm.w)
)</f>
        <v/>
      </c>
      <c r="CT53" s="93" t="str" cm="1">
        <f t="array" ref="CT53">_xlfn.LET(
  _xlpm.w, CT$11,
  _xlpm.r, MATCH(1,('3. Enter Indicator Scores'!$B$10:$B$161=$B53)*('3. Enter Indicator Scores'!$C$10:$C$161=$C53),0),
  _xlpm.c, MATCH(CT$8,'3. Enter Indicator Scores'!$D$8:$CZ$8,0),
  _xlpm.v, IFERROR(INDEX('3. Enter Indicator Scores'!$D$10:$CZ$161,_xlpm.r,_xlpm.c),""),
  IF(OR(_xlpm.w="",_xlpm.v=""),"",_xlpm.v*_xlpm.w)
)</f>
        <v/>
      </c>
      <c r="CU53" s="93" t="str" cm="1">
        <f t="array" ref="CU53">_xlfn.LET(
  _xlpm.w, CU$11,
  _xlpm.r, MATCH(1,('3. Enter Indicator Scores'!$B$10:$B$161=$B53)*('3. Enter Indicator Scores'!$C$10:$C$161=$C53),0),
  _xlpm.c, MATCH(CU$8,'3. Enter Indicator Scores'!$D$8:$CZ$8,0),
  _xlpm.v, IFERROR(INDEX('3. Enter Indicator Scores'!$D$10:$CZ$161,_xlpm.r,_xlpm.c),""),
  IF(OR(_xlpm.w="",_xlpm.v=""),"",_xlpm.v*_xlpm.w)
)</f>
        <v/>
      </c>
      <c r="CV53" s="93" t="str" cm="1">
        <f t="array" ref="CV53">_xlfn.LET(
  _xlpm.w, CV$11,
  _xlpm.r, MATCH(1,('3. Enter Indicator Scores'!$B$10:$B$161=$B53)*('3. Enter Indicator Scores'!$C$10:$C$161=$C53),0),
  _xlpm.c, MATCH(CV$8,'3. Enter Indicator Scores'!$D$8:$CZ$8,0),
  _xlpm.v, IFERROR(INDEX('3. Enter Indicator Scores'!$D$10:$CZ$161,_xlpm.r,_xlpm.c),""),
  IF(OR(_xlpm.w="",_xlpm.v=""),"",_xlpm.v*_xlpm.w)
)</f>
        <v/>
      </c>
      <c r="CW53" s="93" t="str" cm="1">
        <f t="array" ref="CW53">_xlfn.LET(
  _xlpm.w, CW$11,
  _xlpm.r, MATCH(1,('3. Enter Indicator Scores'!$B$10:$B$161=$B53)*('3. Enter Indicator Scores'!$C$10:$C$161=$C53),0),
  _xlpm.c, MATCH(CW$8,'3. Enter Indicator Scores'!$D$8:$CZ$8,0),
  _xlpm.v, IFERROR(INDEX('3. Enter Indicator Scores'!$D$10:$CZ$161,_xlpm.r,_xlpm.c),""),
  IF(OR(_xlpm.w="",_xlpm.v=""),"",_xlpm.v*_xlpm.w)
)</f>
        <v/>
      </c>
      <c r="CX53" s="93" t="str" cm="1">
        <f t="array" ref="CX53">_xlfn.LET(
  _xlpm.w, CX$11,
  _xlpm.r, MATCH(1,('3. Enter Indicator Scores'!$B$10:$B$161=$B53)*('3. Enter Indicator Scores'!$C$10:$C$161=$C53),0),
  _xlpm.c, MATCH(CX$8,'3. Enter Indicator Scores'!$D$8:$CZ$8,0),
  _xlpm.v, IFERROR(INDEX('3. Enter Indicator Scores'!$D$10:$CZ$161,_xlpm.r,_xlpm.c),""),
  IF(OR(_xlpm.w="",_xlpm.v=""),"",_xlpm.v*_xlpm.w)
)</f>
        <v/>
      </c>
      <c r="CY53" s="93" t="str" cm="1">
        <f t="array" ref="CY53">_xlfn.LET(
  _xlpm.w, CY$11,
  _xlpm.r, MATCH(1,('3. Enter Indicator Scores'!$B$10:$B$161=$B53)*('3. Enter Indicator Scores'!$C$10:$C$161=$C53),0),
  _xlpm.c, MATCH(CY$8,'3. Enter Indicator Scores'!$D$8:$CZ$8,0),
  _xlpm.v, IFERROR(INDEX('3. Enter Indicator Scores'!$D$10:$CZ$161,_xlpm.r,_xlpm.c),""),
  IF(OR(_xlpm.w="",_xlpm.v=""),"",_xlpm.v*_xlpm.w)
)</f>
        <v/>
      </c>
      <c r="CZ53" s="93" t="str" cm="1">
        <f t="array" ref="CZ53">_xlfn.LET(
  _xlpm.w, CZ$11,
  _xlpm.r, MATCH(1,('3. Enter Indicator Scores'!$B$10:$B$161=$B53)*('3. Enter Indicator Scores'!$C$10:$C$161=$C53),0),
  _xlpm.c, MATCH(CZ$8,'3. Enter Indicator Scores'!$D$8:$CZ$8,0),
  _xlpm.v, IFERROR(INDEX('3. Enter Indicator Scores'!$D$10:$CZ$161,_xlpm.r,_xlpm.c),""),
  IF(OR(_xlpm.w="",_xlpm.v=""),"",_xlpm.v*_xlpm.w)
)</f>
        <v/>
      </c>
    </row>
    <row r="54" spans="4:104" x14ac:dyDescent="0.2">
      <c r="D54" s="93" t="str" cm="1">
        <f t="array" ref="D54">_xlfn.LET(
  _xlpm.w, D$11,
  _xlpm.r, MATCH(1,('3. Enter Indicator Scores'!$B$10:$B$161=$B54)*('3. Enter Indicator Scores'!$C$10:$C$161=$C54),0),
  _xlpm.c, MATCH(D$8,'3. Enter Indicator Scores'!$D$8:$CZ$8,0),
  _xlpm.v, IFERROR(INDEX('3. Enter Indicator Scores'!$D$10:$CZ$161,_xlpm.r,_xlpm.c),""),
  IF(OR(_xlpm.w="",_xlpm.v=""),"",_xlpm.v*_xlpm.w)
)</f>
        <v/>
      </c>
      <c r="E54" s="93" t="str" cm="1">
        <f t="array" ref="E54">_xlfn.LET(
  _xlpm.w, E$11,
  _xlpm.r, MATCH(1,('3. Enter Indicator Scores'!$B$10:$B$161=$B54)*('3. Enter Indicator Scores'!$C$10:$C$161=$C54),0),
  _xlpm.c, MATCH(E$8,'3. Enter Indicator Scores'!$D$8:$CZ$8,0),
  _xlpm.v, IFERROR(INDEX('3. Enter Indicator Scores'!$D$10:$CZ$161,_xlpm.r,_xlpm.c),""),
  IF(OR(_xlpm.w="",_xlpm.v=""),"",_xlpm.v*_xlpm.w)
)</f>
        <v/>
      </c>
      <c r="F54" s="93" t="str" cm="1">
        <f t="array" ref="F54">_xlfn.LET(
  _xlpm.w, F$11,
  _xlpm.r, MATCH(1,('3. Enter Indicator Scores'!$B$10:$B$161=$B54)*('3. Enter Indicator Scores'!$C$10:$C$161=$C54),0),
  _xlpm.c, MATCH(F$8,'3. Enter Indicator Scores'!$D$8:$CZ$8,0),
  _xlpm.v, IFERROR(INDEX('3. Enter Indicator Scores'!$D$10:$CZ$161,_xlpm.r,_xlpm.c),""),
  IF(OR(_xlpm.w="",_xlpm.v=""),"",_xlpm.v*_xlpm.w)
)</f>
        <v/>
      </c>
      <c r="G54" s="93" t="str" cm="1">
        <f t="array" ref="G54">_xlfn.LET(
  _xlpm.w, G$11,
  _xlpm.r, MATCH(1,('3. Enter Indicator Scores'!$B$10:$B$161=$B54)*('3. Enter Indicator Scores'!$C$10:$C$161=$C54),0),
  _xlpm.c, MATCH(G$8,'3. Enter Indicator Scores'!$D$8:$CZ$8,0),
  _xlpm.v, IFERROR(INDEX('3. Enter Indicator Scores'!$D$10:$CZ$161,_xlpm.r,_xlpm.c),""),
  IF(OR(_xlpm.w="",_xlpm.v=""),"",_xlpm.v*_xlpm.w)
)</f>
        <v/>
      </c>
      <c r="H54" s="93" t="str" cm="1">
        <f t="array" ref="H54">_xlfn.LET(
  _xlpm.w, H$11,
  _xlpm.r, MATCH(1,('3. Enter Indicator Scores'!$B$10:$B$161=$B54)*('3. Enter Indicator Scores'!$C$10:$C$161=$C54),0),
  _xlpm.c, MATCH(H$8,'3. Enter Indicator Scores'!$D$8:$CZ$8,0),
  _xlpm.v, IFERROR(INDEX('3. Enter Indicator Scores'!$D$10:$CZ$161,_xlpm.r,_xlpm.c),""),
  IF(OR(_xlpm.w="",_xlpm.v=""),"",_xlpm.v*_xlpm.w)
)</f>
        <v/>
      </c>
      <c r="I54" s="93" t="str" cm="1">
        <f t="array" ref="I54">_xlfn.LET(
  _xlpm.w, I$11,
  _xlpm.r, MATCH(1,('3. Enter Indicator Scores'!$B$10:$B$161=$B54)*('3. Enter Indicator Scores'!$C$10:$C$161=$C54),0),
  _xlpm.c, MATCH(I$8,'3. Enter Indicator Scores'!$D$8:$CZ$8,0),
  _xlpm.v, IFERROR(INDEX('3. Enter Indicator Scores'!$D$10:$CZ$161,_xlpm.r,_xlpm.c),""),
  IF(OR(_xlpm.w="",_xlpm.v=""),"",_xlpm.v*_xlpm.w)
)</f>
        <v/>
      </c>
      <c r="J54" s="93" t="str" cm="1">
        <f t="array" ref="J54">_xlfn.LET(
  _xlpm.w, J$11,
  _xlpm.r, MATCH(1,('3. Enter Indicator Scores'!$B$10:$B$161=$B54)*('3. Enter Indicator Scores'!$C$10:$C$161=$C54),0),
  _xlpm.c, MATCH(J$8,'3. Enter Indicator Scores'!$D$8:$CZ$8,0),
  _xlpm.v, IFERROR(INDEX('3. Enter Indicator Scores'!$D$10:$CZ$161,_xlpm.r,_xlpm.c),""),
  IF(OR(_xlpm.w="",_xlpm.v=""),"",_xlpm.v*_xlpm.w)
)</f>
        <v/>
      </c>
      <c r="K54" s="93" t="str" cm="1">
        <f t="array" ref="K54">_xlfn.LET(
  _xlpm.w, K$11,
  _xlpm.r, MATCH(1,('3. Enter Indicator Scores'!$B$10:$B$161=$B54)*('3. Enter Indicator Scores'!$C$10:$C$161=$C54),0),
  _xlpm.c, MATCH(K$8,'3. Enter Indicator Scores'!$D$8:$CZ$8,0),
  _xlpm.v, IFERROR(INDEX('3. Enter Indicator Scores'!$D$10:$CZ$161,_xlpm.r,_xlpm.c),""),
  IF(OR(_xlpm.w="",_xlpm.v=""),"",_xlpm.v*_xlpm.w)
)</f>
        <v/>
      </c>
      <c r="L54" s="93" t="str" cm="1">
        <f t="array" ref="L54">_xlfn.LET(
  _xlpm.w, L$11,
  _xlpm.r, MATCH(1,('3. Enter Indicator Scores'!$B$10:$B$161=$B54)*('3. Enter Indicator Scores'!$C$10:$C$161=$C54),0),
  _xlpm.c, MATCH(L$8,'3. Enter Indicator Scores'!$D$8:$CZ$8,0),
  _xlpm.v, IFERROR(INDEX('3. Enter Indicator Scores'!$D$10:$CZ$161,_xlpm.r,_xlpm.c),""),
  IF(OR(_xlpm.w="",_xlpm.v=""),"",_xlpm.v*_xlpm.w)
)</f>
        <v/>
      </c>
      <c r="M54" s="93" t="str" cm="1">
        <f t="array" ref="M54">_xlfn.LET(
  _xlpm.w, M$11,
  _xlpm.r, MATCH(1,('3. Enter Indicator Scores'!$B$10:$B$161=$B54)*('3. Enter Indicator Scores'!$C$10:$C$161=$C54),0),
  _xlpm.c, MATCH(M$8,'3. Enter Indicator Scores'!$D$8:$CZ$8,0),
  _xlpm.v, IFERROR(INDEX('3. Enter Indicator Scores'!$D$10:$CZ$161,_xlpm.r,_xlpm.c),""),
  IF(OR(_xlpm.w="",_xlpm.v=""),"",_xlpm.v*_xlpm.w)
)</f>
        <v/>
      </c>
      <c r="N54" s="93" t="str" cm="1">
        <f t="array" ref="N54">_xlfn.LET(
  _xlpm.w, N$11,
  _xlpm.r, MATCH(1,('3. Enter Indicator Scores'!$B$10:$B$161=$B54)*('3. Enter Indicator Scores'!$C$10:$C$161=$C54),0),
  _xlpm.c, MATCH(N$8,'3. Enter Indicator Scores'!$D$8:$CZ$8,0),
  _xlpm.v, IFERROR(INDEX('3. Enter Indicator Scores'!$D$10:$CZ$161,_xlpm.r,_xlpm.c),""),
  IF(OR(_xlpm.w="",_xlpm.v=""),"",_xlpm.v*_xlpm.w)
)</f>
        <v/>
      </c>
      <c r="O54" s="93" t="str" cm="1">
        <f t="array" ref="O54">_xlfn.LET(
  _xlpm.w, O$11,
  _xlpm.r, MATCH(1,('3. Enter Indicator Scores'!$B$10:$B$161=$B54)*('3. Enter Indicator Scores'!$C$10:$C$161=$C54),0),
  _xlpm.c, MATCH(O$8,'3. Enter Indicator Scores'!$D$8:$CZ$8,0),
  _xlpm.v, IFERROR(INDEX('3. Enter Indicator Scores'!$D$10:$CZ$161,_xlpm.r,_xlpm.c),""),
  IF(OR(_xlpm.w="",_xlpm.v=""),"",_xlpm.v*_xlpm.w)
)</f>
        <v/>
      </c>
      <c r="P54" s="93" t="str" cm="1">
        <f t="array" ref="P54">_xlfn.LET(
  _xlpm.w, P$11,
  _xlpm.r, MATCH(1,('3. Enter Indicator Scores'!$B$10:$B$161=$B54)*('3. Enter Indicator Scores'!$C$10:$C$161=$C54),0),
  _xlpm.c, MATCH(P$8,'3. Enter Indicator Scores'!$D$8:$CZ$8,0),
  _xlpm.v, IFERROR(INDEX('3. Enter Indicator Scores'!$D$10:$CZ$161,_xlpm.r,_xlpm.c),""),
  IF(OR(_xlpm.w="",_xlpm.v=""),"",_xlpm.v*_xlpm.w)
)</f>
        <v/>
      </c>
      <c r="Q54" s="93" t="str" cm="1">
        <f t="array" ref="Q54">_xlfn.LET(
  _xlpm.w, Q$11,
  _xlpm.r, MATCH(1,('3. Enter Indicator Scores'!$B$10:$B$161=$B54)*('3. Enter Indicator Scores'!$C$10:$C$161=$C54),0),
  _xlpm.c, MATCH(Q$8,'3. Enter Indicator Scores'!$D$8:$CZ$8,0),
  _xlpm.v, IFERROR(INDEX('3. Enter Indicator Scores'!$D$10:$CZ$161,_xlpm.r,_xlpm.c),""),
  IF(OR(_xlpm.w="",_xlpm.v=""),"",_xlpm.v*_xlpm.w)
)</f>
        <v/>
      </c>
      <c r="R54" s="93" t="str" cm="1">
        <f t="array" ref="R54">_xlfn.LET(
  _xlpm.w, R$11,
  _xlpm.r, MATCH(1,('3. Enter Indicator Scores'!$B$10:$B$161=$B54)*('3. Enter Indicator Scores'!$C$10:$C$161=$C54),0),
  _xlpm.c, MATCH(R$8,'3. Enter Indicator Scores'!$D$8:$CZ$8,0),
  _xlpm.v, IFERROR(INDEX('3. Enter Indicator Scores'!$D$10:$CZ$161,_xlpm.r,_xlpm.c),""),
  IF(OR(_xlpm.w="",_xlpm.v=""),"",_xlpm.v*_xlpm.w)
)</f>
        <v/>
      </c>
      <c r="S54" s="93" t="str" cm="1">
        <f t="array" ref="S54">_xlfn.LET(
  _xlpm.w, S$11,
  _xlpm.r, MATCH(1,('3. Enter Indicator Scores'!$B$10:$B$161=$B54)*('3. Enter Indicator Scores'!$C$10:$C$161=$C54),0),
  _xlpm.c, MATCH(S$8,'3. Enter Indicator Scores'!$D$8:$CZ$8,0),
  _xlpm.v, IFERROR(INDEX('3. Enter Indicator Scores'!$D$10:$CZ$161,_xlpm.r,_xlpm.c),""),
  IF(OR(_xlpm.w="",_xlpm.v=""),"",_xlpm.v*_xlpm.w)
)</f>
        <v/>
      </c>
      <c r="T54" s="93" t="str" cm="1">
        <f t="array" ref="T54">_xlfn.LET(
  _xlpm.w, T$11,
  _xlpm.r, MATCH(1,('3. Enter Indicator Scores'!$B$10:$B$161=$B54)*('3. Enter Indicator Scores'!$C$10:$C$161=$C54),0),
  _xlpm.c, MATCH(T$8,'3. Enter Indicator Scores'!$D$8:$CZ$8,0),
  _xlpm.v, IFERROR(INDEX('3. Enter Indicator Scores'!$D$10:$CZ$161,_xlpm.r,_xlpm.c),""),
  IF(OR(_xlpm.w="",_xlpm.v=""),"",_xlpm.v*_xlpm.w)
)</f>
        <v/>
      </c>
      <c r="U54" s="93" t="str" cm="1">
        <f t="array" ref="U54">_xlfn.LET(
  _xlpm.w, U$11,
  _xlpm.r, MATCH(1,('3. Enter Indicator Scores'!$B$10:$B$161=$B54)*('3. Enter Indicator Scores'!$C$10:$C$161=$C54),0),
  _xlpm.c, MATCH(U$8,'3. Enter Indicator Scores'!$D$8:$CZ$8,0),
  _xlpm.v, IFERROR(INDEX('3. Enter Indicator Scores'!$D$10:$CZ$161,_xlpm.r,_xlpm.c),""),
  IF(OR(_xlpm.w="",_xlpm.v=""),"",_xlpm.v*_xlpm.w)
)</f>
        <v/>
      </c>
      <c r="V54" s="93" t="str" cm="1">
        <f t="array" ref="V54">_xlfn.LET(
  _xlpm.w, V$11,
  _xlpm.r, MATCH(1,('3. Enter Indicator Scores'!$B$10:$B$161=$B54)*('3. Enter Indicator Scores'!$C$10:$C$161=$C54),0),
  _xlpm.c, MATCH(V$8,'3. Enter Indicator Scores'!$D$8:$CZ$8,0),
  _xlpm.v, IFERROR(INDEX('3. Enter Indicator Scores'!$D$10:$CZ$161,_xlpm.r,_xlpm.c),""),
  IF(OR(_xlpm.w="",_xlpm.v=""),"",_xlpm.v*_xlpm.w)
)</f>
        <v/>
      </c>
      <c r="W54" s="93" t="str" cm="1">
        <f t="array" ref="W54">_xlfn.LET(
  _xlpm.w, W$11,
  _xlpm.r, MATCH(1,('3. Enter Indicator Scores'!$B$10:$B$161=$B54)*('3. Enter Indicator Scores'!$C$10:$C$161=$C54),0),
  _xlpm.c, MATCH(W$8,'3. Enter Indicator Scores'!$D$8:$CZ$8,0),
  _xlpm.v, IFERROR(INDEX('3. Enter Indicator Scores'!$D$10:$CZ$161,_xlpm.r,_xlpm.c),""),
  IF(OR(_xlpm.w="",_xlpm.v=""),"",_xlpm.v*_xlpm.w)
)</f>
        <v/>
      </c>
      <c r="X54" s="93" t="str" cm="1">
        <f t="array" ref="X54">_xlfn.LET(
  _xlpm.w, X$11,
  _xlpm.r, MATCH(1,('3. Enter Indicator Scores'!$B$10:$B$161=$B54)*('3. Enter Indicator Scores'!$C$10:$C$161=$C54),0),
  _xlpm.c, MATCH(X$8,'3. Enter Indicator Scores'!$D$8:$CZ$8,0),
  _xlpm.v, IFERROR(INDEX('3. Enter Indicator Scores'!$D$10:$CZ$161,_xlpm.r,_xlpm.c),""),
  IF(OR(_xlpm.w="",_xlpm.v=""),"",_xlpm.v*_xlpm.w)
)</f>
        <v/>
      </c>
      <c r="Y54" s="93" t="str" cm="1">
        <f t="array" ref="Y54">_xlfn.LET(
  _xlpm.w, Y$11,
  _xlpm.r, MATCH(1,('3. Enter Indicator Scores'!$B$10:$B$161=$B54)*('3. Enter Indicator Scores'!$C$10:$C$161=$C54),0),
  _xlpm.c, MATCH(Y$8,'3. Enter Indicator Scores'!$D$8:$CZ$8,0),
  _xlpm.v, IFERROR(INDEX('3. Enter Indicator Scores'!$D$10:$CZ$161,_xlpm.r,_xlpm.c),""),
  IF(OR(_xlpm.w="",_xlpm.v=""),"",_xlpm.v*_xlpm.w)
)</f>
        <v/>
      </c>
      <c r="Z54" s="93" t="str" cm="1">
        <f t="array" ref="Z54">_xlfn.LET(
  _xlpm.w, Z$11,
  _xlpm.r, MATCH(1,('3. Enter Indicator Scores'!$B$10:$B$161=$B54)*('3. Enter Indicator Scores'!$C$10:$C$161=$C54),0),
  _xlpm.c, MATCH(Z$8,'3. Enter Indicator Scores'!$D$8:$CZ$8,0),
  _xlpm.v, IFERROR(INDEX('3. Enter Indicator Scores'!$D$10:$CZ$161,_xlpm.r,_xlpm.c),""),
  IF(OR(_xlpm.w="",_xlpm.v=""),"",_xlpm.v*_xlpm.w)
)</f>
        <v/>
      </c>
      <c r="AA54" s="93" t="str" cm="1">
        <f t="array" ref="AA54">_xlfn.LET(
  _xlpm.w, AA$11,
  _xlpm.r, MATCH(1,('3. Enter Indicator Scores'!$B$10:$B$161=$B54)*('3. Enter Indicator Scores'!$C$10:$C$161=$C54),0),
  _xlpm.c, MATCH(AA$8,'3. Enter Indicator Scores'!$D$8:$CZ$8,0),
  _xlpm.v, IFERROR(INDEX('3. Enter Indicator Scores'!$D$10:$CZ$161,_xlpm.r,_xlpm.c),""),
  IF(OR(_xlpm.w="",_xlpm.v=""),"",_xlpm.v*_xlpm.w)
)</f>
        <v/>
      </c>
      <c r="AB54" s="93" t="str" cm="1">
        <f t="array" ref="AB54">_xlfn.LET(
  _xlpm.w, AB$11,
  _xlpm.r, MATCH(1,('3. Enter Indicator Scores'!$B$10:$B$161=$B54)*('3. Enter Indicator Scores'!$C$10:$C$161=$C54),0),
  _xlpm.c, MATCH(AB$8,'3. Enter Indicator Scores'!$D$8:$CZ$8,0),
  _xlpm.v, IFERROR(INDEX('3. Enter Indicator Scores'!$D$10:$CZ$161,_xlpm.r,_xlpm.c),""),
  IF(OR(_xlpm.w="",_xlpm.v=""),"",_xlpm.v*_xlpm.w)
)</f>
        <v/>
      </c>
      <c r="AC54" s="93" t="str" cm="1">
        <f t="array" ref="AC54">_xlfn.LET(
  _xlpm.w, AC$11,
  _xlpm.r, MATCH(1,('3. Enter Indicator Scores'!$B$10:$B$161=$B54)*('3. Enter Indicator Scores'!$C$10:$C$161=$C54),0),
  _xlpm.c, MATCH(AC$8,'3. Enter Indicator Scores'!$D$8:$CZ$8,0),
  _xlpm.v, IFERROR(INDEX('3. Enter Indicator Scores'!$D$10:$CZ$161,_xlpm.r,_xlpm.c),""),
  IF(OR(_xlpm.w="",_xlpm.v=""),"",_xlpm.v*_xlpm.w)
)</f>
        <v/>
      </c>
      <c r="AD54" s="93" t="str" cm="1">
        <f t="array" ref="AD54">_xlfn.LET(
  _xlpm.w, AD$11,
  _xlpm.r, MATCH(1,('3. Enter Indicator Scores'!$B$10:$B$161=$B54)*('3. Enter Indicator Scores'!$C$10:$C$161=$C54),0),
  _xlpm.c, MATCH(AD$8,'3. Enter Indicator Scores'!$D$8:$CZ$8,0),
  _xlpm.v, IFERROR(INDEX('3. Enter Indicator Scores'!$D$10:$CZ$161,_xlpm.r,_xlpm.c),""),
  IF(OR(_xlpm.w="",_xlpm.v=""),"",_xlpm.v*_xlpm.w)
)</f>
        <v/>
      </c>
      <c r="AE54" s="93" t="str" cm="1">
        <f t="array" ref="AE54">_xlfn.LET(
  _xlpm.w, AE$11,
  _xlpm.r, MATCH(1,('3. Enter Indicator Scores'!$B$10:$B$161=$B54)*('3. Enter Indicator Scores'!$C$10:$C$161=$C54),0),
  _xlpm.c, MATCH(AE$8,'3. Enter Indicator Scores'!$D$8:$CZ$8,0),
  _xlpm.v, IFERROR(INDEX('3. Enter Indicator Scores'!$D$10:$CZ$161,_xlpm.r,_xlpm.c),""),
  IF(OR(_xlpm.w="",_xlpm.v=""),"",_xlpm.v*_xlpm.w)
)</f>
        <v/>
      </c>
      <c r="AF54" s="93" t="str" cm="1">
        <f t="array" ref="AF54">_xlfn.LET(
  _xlpm.w, AF$11,
  _xlpm.r, MATCH(1,('3. Enter Indicator Scores'!$B$10:$B$161=$B54)*('3. Enter Indicator Scores'!$C$10:$C$161=$C54),0),
  _xlpm.c, MATCH(AF$8,'3. Enter Indicator Scores'!$D$8:$CZ$8,0),
  _xlpm.v, IFERROR(INDEX('3. Enter Indicator Scores'!$D$10:$CZ$161,_xlpm.r,_xlpm.c),""),
  IF(OR(_xlpm.w="",_xlpm.v=""),"",_xlpm.v*_xlpm.w)
)</f>
        <v/>
      </c>
      <c r="AG54" s="93" t="str" cm="1">
        <f t="array" ref="AG54">_xlfn.LET(
  _xlpm.w, AG$11,
  _xlpm.r, MATCH(1,('3. Enter Indicator Scores'!$B$10:$B$161=$B54)*('3. Enter Indicator Scores'!$C$10:$C$161=$C54),0),
  _xlpm.c, MATCH(AG$8,'3. Enter Indicator Scores'!$D$8:$CZ$8,0),
  _xlpm.v, IFERROR(INDEX('3. Enter Indicator Scores'!$D$10:$CZ$161,_xlpm.r,_xlpm.c),""),
  IF(OR(_xlpm.w="",_xlpm.v=""),"",_xlpm.v*_xlpm.w)
)</f>
        <v/>
      </c>
      <c r="AH54" s="93" t="str" cm="1">
        <f t="array" ref="AH54">_xlfn.LET(
  _xlpm.w, AH$11,
  _xlpm.r, MATCH(1,('3. Enter Indicator Scores'!$B$10:$B$161=$B54)*('3. Enter Indicator Scores'!$C$10:$C$161=$C54),0),
  _xlpm.c, MATCH(AH$8,'3. Enter Indicator Scores'!$D$8:$CZ$8,0),
  _xlpm.v, IFERROR(INDEX('3. Enter Indicator Scores'!$D$10:$CZ$161,_xlpm.r,_xlpm.c),""),
  IF(OR(_xlpm.w="",_xlpm.v=""),"",_xlpm.v*_xlpm.w)
)</f>
        <v/>
      </c>
      <c r="AI54" s="93" t="str" cm="1">
        <f t="array" ref="AI54">_xlfn.LET(
  _xlpm.w, AI$11,
  _xlpm.r, MATCH(1,('3. Enter Indicator Scores'!$B$10:$B$161=$B54)*('3. Enter Indicator Scores'!$C$10:$C$161=$C54),0),
  _xlpm.c, MATCH(AI$8,'3. Enter Indicator Scores'!$D$8:$CZ$8,0),
  _xlpm.v, IFERROR(INDEX('3. Enter Indicator Scores'!$D$10:$CZ$161,_xlpm.r,_xlpm.c),""),
  IF(OR(_xlpm.w="",_xlpm.v=""),"",_xlpm.v*_xlpm.w)
)</f>
        <v/>
      </c>
      <c r="AJ54" s="93" t="str" cm="1">
        <f t="array" ref="AJ54">_xlfn.LET(
  _xlpm.w, AJ$11,
  _xlpm.r, MATCH(1,('3. Enter Indicator Scores'!$B$10:$B$161=$B54)*('3. Enter Indicator Scores'!$C$10:$C$161=$C54),0),
  _xlpm.c, MATCH(AJ$8,'3. Enter Indicator Scores'!$D$8:$CZ$8,0),
  _xlpm.v, IFERROR(INDEX('3. Enter Indicator Scores'!$D$10:$CZ$161,_xlpm.r,_xlpm.c),""),
  IF(OR(_xlpm.w="",_xlpm.v=""),"",_xlpm.v*_xlpm.w)
)</f>
        <v/>
      </c>
      <c r="AK54" s="93" t="str" cm="1">
        <f t="array" ref="AK54">_xlfn.LET(
  _xlpm.w, AK$11,
  _xlpm.r, MATCH(1,('3. Enter Indicator Scores'!$B$10:$B$161=$B54)*('3. Enter Indicator Scores'!$C$10:$C$161=$C54),0),
  _xlpm.c, MATCH(AK$8,'3. Enter Indicator Scores'!$D$8:$CZ$8,0),
  _xlpm.v, IFERROR(INDEX('3. Enter Indicator Scores'!$D$10:$CZ$161,_xlpm.r,_xlpm.c),""),
  IF(OR(_xlpm.w="",_xlpm.v=""),"",_xlpm.v*_xlpm.w)
)</f>
        <v/>
      </c>
      <c r="AL54" s="93" t="str" cm="1">
        <f t="array" ref="AL54">_xlfn.LET(
  _xlpm.w, AL$11,
  _xlpm.r, MATCH(1,('3. Enter Indicator Scores'!$B$10:$B$161=$B54)*('3. Enter Indicator Scores'!$C$10:$C$161=$C54),0),
  _xlpm.c, MATCH(AL$8,'3. Enter Indicator Scores'!$D$8:$CZ$8,0),
  _xlpm.v, IFERROR(INDEX('3. Enter Indicator Scores'!$D$10:$CZ$161,_xlpm.r,_xlpm.c),""),
  IF(OR(_xlpm.w="",_xlpm.v=""),"",_xlpm.v*_xlpm.w)
)</f>
        <v/>
      </c>
      <c r="AM54" s="93" t="str" cm="1">
        <f t="array" ref="AM54">_xlfn.LET(
  _xlpm.w, AM$11,
  _xlpm.r, MATCH(1,('3. Enter Indicator Scores'!$B$10:$B$161=$B54)*('3. Enter Indicator Scores'!$C$10:$C$161=$C54),0),
  _xlpm.c, MATCH(AM$8,'3. Enter Indicator Scores'!$D$8:$CZ$8,0),
  _xlpm.v, IFERROR(INDEX('3. Enter Indicator Scores'!$D$10:$CZ$161,_xlpm.r,_xlpm.c),""),
  IF(OR(_xlpm.w="",_xlpm.v=""),"",_xlpm.v*_xlpm.w)
)</f>
        <v/>
      </c>
      <c r="AN54" s="93" t="str" cm="1">
        <f t="array" ref="AN54">_xlfn.LET(
  _xlpm.w, AN$11,
  _xlpm.r, MATCH(1,('3. Enter Indicator Scores'!$B$10:$B$161=$B54)*('3. Enter Indicator Scores'!$C$10:$C$161=$C54),0),
  _xlpm.c, MATCH(AN$8,'3. Enter Indicator Scores'!$D$8:$CZ$8,0),
  _xlpm.v, IFERROR(INDEX('3. Enter Indicator Scores'!$D$10:$CZ$161,_xlpm.r,_xlpm.c),""),
  IF(OR(_xlpm.w="",_xlpm.v=""),"",_xlpm.v*_xlpm.w)
)</f>
        <v/>
      </c>
      <c r="AO54" s="93" t="str" cm="1">
        <f t="array" ref="AO54">_xlfn.LET(
  _xlpm.w, AO$11,
  _xlpm.r, MATCH(1,('3. Enter Indicator Scores'!$B$10:$B$161=$B54)*('3. Enter Indicator Scores'!$C$10:$C$161=$C54),0),
  _xlpm.c, MATCH(AO$8,'3. Enter Indicator Scores'!$D$8:$CZ$8,0),
  _xlpm.v, IFERROR(INDEX('3. Enter Indicator Scores'!$D$10:$CZ$161,_xlpm.r,_xlpm.c),""),
  IF(OR(_xlpm.w="",_xlpm.v=""),"",_xlpm.v*_xlpm.w)
)</f>
        <v/>
      </c>
      <c r="AP54" s="93" t="str" cm="1">
        <f t="array" ref="AP54">_xlfn.LET(
  _xlpm.w, AP$11,
  _xlpm.r, MATCH(1,('3. Enter Indicator Scores'!$B$10:$B$161=$B54)*('3. Enter Indicator Scores'!$C$10:$C$161=$C54),0),
  _xlpm.c, MATCH(AP$8,'3. Enter Indicator Scores'!$D$8:$CZ$8,0),
  _xlpm.v, IFERROR(INDEX('3. Enter Indicator Scores'!$D$10:$CZ$161,_xlpm.r,_xlpm.c),""),
  IF(OR(_xlpm.w="",_xlpm.v=""),"",_xlpm.v*_xlpm.w)
)</f>
        <v/>
      </c>
      <c r="AQ54" s="93" t="str" cm="1">
        <f t="array" ref="AQ54">_xlfn.LET(
  _xlpm.w, AQ$11,
  _xlpm.r, MATCH(1,('3. Enter Indicator Scores'!$B$10:$B$161=$B54)*('3. Enter Indicator Scores'!$C$10:$C$161=$C54),0),
  _xlpm.c, MATCH(AQ$8,'3. Enter Indicator Scores'!$D$8:$CZ$8,0),
  _xlpm.v, IFERROR(INDEX('3. Enter Indicator Scores'!$D$10:$CZ$161,_xlpm.r,_xlpm.c),""),
  IF(OR(_xlpm.w="",_xlpm.v=""),"",_xlpm.v*_xlpm.w)
)</f>
        <v/>
      </c>
      <c r="AR54" s="93" t="str" cm="1">
        <f t="array" ref="AR54">_xlfn.LET(
  _xlpm.w, AR$11,
  _xlpm.r, MATCH(1,('3. Enter Indicator Scores'!$B$10:$B$161=$B54)*('3. Enter Indicator Scores'!$C$10:$C$161=$C54),0),
  _xlpm.c, MATCH(AR$8,'3. Enter Indicator Scores'!$D$8:$CZ$8,0),
  _xlpm.v, IFERROR(INDEX('3. Enter Indicator Scores'!$D$10:$CZ$161,_xlpm.r,_xlpm.c),""),
  IF(OR(_xlpm.w="",_xlpm.v=""),"",_xlpm.v*_xlpm.w)
)</f>
        <v/>
      </c>
      <c r="AS54" s="93" t="str" cm="1">
        <f t="array" ref="AS54">_xlfn.LET(
  _xlpm.w, AS$11,
  _xlpm.r, MATCH(1,('3. Enter Indicator Scores'!$B$10:$B$161=$B54)*('3. Enter Indicator Scores'!$C$10:$C$161=$C54),0),
  _xlpm.c, MATCH(AS$8,'3. Enter Indicator Scores'!$D$8:$CZ$8,0),
  _xlpm.v, IFERROR(INDEX('3. Enter Indicator Scores'!$D$10:$CZ$161,_xlpm.r,_xlpm.c),""),
  IF(OR(_xlpm.w="",_xlpm.v=""),"",_xlpm.v*_xlpm.w)
)</f>
        <v/>
      </c>
      <c r="AT54" s="93" t="str" cm="1">
        <f t="array" ref="AT54">_xlfn.LET(
  _xlpm.w, AT$11,
  _xlpm.r, MATCH(1,('3. Enter Indicator Scores'!$B$10:$B$161=$B54)*('3. Enter Indicator Scores'!$C$10:$C$161=$C54),0),
  _xlpm.c, MATCH(AT$8,'3. Enter Indicator Scores'!$D$8:$CZ$8,0),
  _xlpm.v, IFERROR(INDEX('3. Enter Indicator Scores'!$D$10:$CZ$161,_xlpm.r,_xlpm.c),""),
  IF(OR(_xlpm.w="",_xlpm.v=""),"",_xlpm.v*_xlpm.w)
)</f>
        <v/>
      </c>
      <c r="AU54" s="93" t="str" cm="1">
        <f t="array" ref="AU54">_xlfn.LET(
  _xlpm.w, AU$11,
  _xlpm.r, MATCH(1,('3. Enter Indicator Scores'!$B$10:$B$161=$B54)*('3. Enter Indicator Scores'!$C$10:$C$161=$C54),0),
  _xlpm.c, MATCH(AU$8,'3. Enter Indicator Scores'!$D$8:$CZ$8,0),
  _xlpm.v, IFERROR(INDEX('3. Enter Indicator Scores'!$D$10:$CZ$161,_xlpm.r,_xlpm.c),""),
  IF(OR(_xlpm.w="",_xlpm.v=""),"",_xlpm.v*_xlpm.w)
)</f>
        <v/>
      </c>
      <c r="AV54" s="93" t="str" cm="1">
        <f t="array" ref="AV54">_xlfn.LET(
  _xlpm.w, AV$11,
  _xlpm.r, MATCH(1,('3. Enter Indicator Scores'!$B$10:$B$161=$B54)*('3. Enter Indicator Scores'!$C$10:$C$161=$C54),0),
  _xlpm.c, MATCH(AV$8,'3. Enter Indicator Scores'!$D$8:$CZ$8,0),
  _xlpm.v, IFERROR(INDEX('3. Enter Indicator Scores'!$D$10:$CZ$161,_xlpm.r,_xlpm.c),""),
  IF(OR(_xlpm.w="",_xlpm.v=""),"",_xlpm.v*_xlpm.w)
)</f>
        <v/>
      </c>
      <c r="AW54" s="93" t="str" cm="1">
        <f t="array" ref="AW54">_xlfn.LET(
  _xlpm.w, AW$11,
  _xlpm.r, MATCH(1,('3. Enter Indicator Scores'!$B$10:$B$161=$B54)*('3. Enter Indicator Scores'!$C$10:$C$161=$C54),0),
  _xlpm.c, MATCH(AW$8,'3. Enter Indicator Scores'!$D$8:$CZ$8,0),
  _xlpm.v, IFERROR(INDEX('3. Enter Indicator Scores'!$D$10:$CZ$161,_xlpm.r,_xlpm.c),""),
  IF(OR(_xlpm.w="",_xlpm.v=""),"",_xlpm.v*_xlpm.w)
)</f>
        <v/>
      </c>
      <c r="AX54" s="93" t="str" cm="1">
        <f t="array" ref="AX54">_xlfn.LET(
  _xlpm.w, AX$11,
  _xlpm.r, MATCH(1,('3. Enter Indicator Scores'!$B$10:$B$161=$B54)*('3. Enter Indicator Scores'!$C$10:$C$161=$C54),0),
  _xlpm.c, MATCH(AX$8,'3. Enter Indicator Scores'!$D$8:$CZ$8,0),
  _xlpm.v, IFERROR(INDEX('3. Enter Indicator Scores'!$D$10:$CZ$161,_xlpm.r,_xlpm.c),""),
  IF(OR(_xlpm.w="",_xlpm.v=""),"",_xlpm.v*_xlpm.w)
)</f>
        <v/>
      </c>
      <c r="AY54" s="93" t="str" cm="1">
        <f t="array" ref="AY54">_xlfn.LET(
  _xlpm.w, AY$11,
  _xlpm.r, MATCH(1,('3. Enter Indicator Scores'!$B$10:$B$161=$B54)*('3. Enter Indicator Scores'!$C$10:$C$161=$C54),0),
  _xlpm.c, MATCH(AY$8,'3. Enter Indicator Scores'!$D$8:$CZ$8,0),
  _xlpm.v, IFERROR(INDEX('3. Enter Indicator Scores'!$D$10:$CZ$161,_xlpm.r,_xlpm.c),""),
  IF(OR(_xlpm.w="",_xlpm.v=""),"",_xlpm.v*_xlpm.w)
)</f>
        <v/>
      </c>
      <c r="AZ54" s="93" t="str" cm="1">
        <f t="array" ref="AZ54">_xlfn.LET(
  _xlpm.w, AZ$11,
  _xlpm.r, MATCH(1,('3. Enter Indicator Scores'!$B$10:$B$161=$B54)*('3. Enter Indicator Scores'!$C$10:$C$161=$C54),0),
  _xlpm.c, MATCH(AZ$8,'3. Enter Indicator Scores'!$D$8:$CZ$8,0),
  _xlpm.v, IFERROR(INDEX('3. Enter Indicator Scores'!$D$10:$CZ$161,_xlpm.r,_xlpm.c),""),
  IF(OR(_xlpm.w="",_xlpm.v=""),"",_xlpm.v*_xlpm.w)
)</f>
        <v/>
      </c>
      <c r="BA54" s="93" t="str" cm="1">
        <f t="array" ref="BA54">_xlfn.LET(
  _xlpm.w, BA$11,
  _xlpm.r, MATCH(1,('3. Enter Indicator Scores'!$B$10:$B$161=$B54)*('3. Enter Indicator Scores'!$C$10:$C$161=$C54),0),
  _xlpm.c, MATCH(BA$8,'3. Enter Indicator Scores'!$D$8:$CZ$8,0),
  _xlpm.v, IFERROR(INDEX('3. Enter Indicator Scores'!$D$10:$CZ$161,_xlpm.r,_xlpm.c),""),
  IF(OR(_xlpm.w="",_xlpm.v=""),"",_xlpm.v*_xlpm.w)
)</f>
        <v/>
      </c>
      <c r="BB54" s="93" t="str" cm="1">
        <f t="array" ref="BB54">_xlfn.LET(
  _xlpm.w, BB$11,
  _xlpm.r, MATCH(1,('3. Enter Indicator Scores'!$B$10:$B$161=$B54)*('3. Enter Indicator Scores'!$C$10:$C$161=$C54),0),
  _xlpm.c, MATCH(BB$8,'3. Enter Indicator Scores'!$D$8:$CZ$8,0),
  _xlpm.v, IFERROR(INDEX('3. Enter Indicator Scores'!$D$10:$CZ$161,_xlpm.r,_xlpm.c),""),
  IF(OR(_xlpm.w="",_xlpm.v=""),"",_xlpm.v*_xlpm.w)
)</f>
        <v/>
      </c>
      <c r="BC54" s="93" t="str" cm="1">
        <f t="array" ref="BC54">_xlfn.LET(
  _xlpm.w, BC$11,
  _xlpm.r, MATCH(1,('3. Enter Indicator Scores'!$B$10:$B$161=$B54)*('3. Enter Indicator Scores'!$C$10:$C$161=$C54),0),
  _xlpm.c, MATCH(BC$8,'3. Enter Indicator Scores'!$D$8:$CZ$8,0),
  _xlpm.v, IFERROR(INDEX('3. Enter Indicator Scores'!$D$10:$CZ$161,_xlpm.r,_xlpm.c),""),
  IF(OR(_xlpm.w="",_xlpm.v=""),"",_xlpm.v*_xlpm.w)
)</f>
        <v/>
      </c>
      <c r="BD54" s="93" t="str" cm="1">
        <f t="array" ref="BD54">_xlfn.LET(
  _xlpm.w, BD$11,
  _xlpm.r, MATCH(1,('3. Enter Indicator Scores'!$B$10:$B$161=$B54)*('3. Enter Indicator Scores'!$C$10:$C$161=$C54),0),
  _xlpm.c, MATCH(BD$8,'3. Enter Indicator Scores'!$D$8:$CZ$8,0),
  _xlpm.v, IFERROR(INDEX('3. Enter Indicator Scores'!$D$10:$CZ$161,_xlpm.r,_xlpm.c),""),
  IF(OR(_xlpm.w="",_xlpm.v=""),"",_xlpm.v*_xlpm.w)
)</f>
        <v/>
      </c>
      <c r="BE54" s="93" t="str" cm="1">
        <f t="array" ref="BE54">_xlfn.LET(
  _xlpm.w, BE$11,
  _xlpm.r, MATCH(1,('3. Enter Indicator Scores'!$B$10:$B$161=$B54)*('3. Enter Indicator Scores'!$C$10:$C$161=$C54),0),
  _xlpm.c, MATCH(BE$8,'3. Enter Indicator Scores'!$D$8:$CZ$8,0),
  _xlpm.v, IFERROR(INDEX('3. Enter Indicator Scores'!$D$10:$CZ$161,_xlpm.r,_xlpm.c),""),
  IF(OR(_xlpm.w="",_xlpm.v=""),"",_xlpm.v*_xlpm.w)
)</f>
        <v/>
      </c>
      <c r="BF54" s="93" t="str" cm="1">
        <f t="array" ref="BF54">_xlfn.LET(
  _xlpm.w, BF$11,
  _xlpm.r, MATCH(1,('3. Enter Indicator Scores'!$B$10:$B$161=$B54)*('3. Enter Indicator Scores'!$C$10:$C$161=$C54),0),
  _xlpm.c, MATCH(BF$8,'3. Enter Indicator Scores'!$D$8:$CZ$8,0),
  _xlpm.v, IFERROR(INDEX('3. Enter Indicator Scores'!$D$10:$CZ$161,_xlpm.r,_xlpm.c),""),
  IF(OR(_xlpm.w="",_xlpm.v=""),"",_xlpm.v*_xlpm.w)
)</f>
        <v/>
      </c>
      <c r="BG54" s="93" t="str" cm="1">
        <f t="array" ref="BG54">_xlfn.LET(
  _xlpm.w, BG$11,
  _xlpm.r, MATCH(1,('3. Enter Indicator Scores'!$B$10:$B$161=$B54)*('3. Enter Indicator Scores'!$C$10:$C$161=$C54),0),
  _xlpm.c, MATCH(BG$8,'3. Enter Indicator Scores'!$D$8:$CZ$8,0),
  _xlpm.v, IFERROR(INDEX('3. Enter Indicator Scores'!$D$10:$CZ$161,_xlpm.r,_xlpm.c),""),
  IF(OR(_xlpm.w="",_xlpm.v=""),"",_xlpm.v*_xlpm.w)
)</f>
        <v/>
      </c>
      <c r="BH54" s="93" t="str" cm="1">
        <f t="array" ref="BH54">_xlfn.LET(
  _xlpm.w, BH$11,
  _xlpm.r, MATCH(1,('3. Enter Indicator Scores'!$B$10:$B$161=$B54)*('3. Enter Indicator Scores'!$C$10:$C$161=$C54),0),
  _xlpm.c, MATCH(BH$8,'3. Enter Indicator Scores'!$D$8:$CZ$8,0),
  _xlpm.v, IFERROR(INDEX('3. Enter Indicator Scores'!$D$10:$CZ$161,_xlpm.r,_xlpm.c),""),
  IF(OR(_xlpm.w="",_xlpm.v=""),"",_xlpm.v*_xlpm.w)
)</f>
        <v/>
      </c>
      <c r="BI54" s="93" t="str" cm="1">
        <f t="array" ref="BI54">_xlfn.LET(
  _xlpm.w, BI$11,
  _xlpm.r, MATCH(1,('3. Enter Indicator Scores'!$B$10:$B$161=$B54)*('3. Enter Indicator Scores'!$C$10:$C$161=$C54),0),
  _xlpm.c, MATCH(BI$8,'3. Enter Indicator Scores'!$D$8:$CZ$8,0),
  _xlpm.v, IFERROR(INDEX('3. Enter Indicator Scores'!$D$10:$CZ$161,_xlpm.r,_xlpm.c),""),
  IF(OR(_xlpm.w="",_xlpm.v=""),"",_xlpm.v*_xlpm.w)
)</f>
        <v/>
      </c>
      <c r="BJ54" s="93" t="str" cm="1">
        <f t="array" ref="BJ54">_xlfn.LET(
  _xlpm.w, BJ$11,
  _xlpm.r, MATCH(1,('3. Enter Indicator Scores'!$B$10:$B$161=$B54)*('3. Enter Indicator Scores'!$C$10:$C$161=$C54),0),
  _xlpm.c, MATCH(BJ$8,'3. Enter Indicator Scores'!$D$8:$CZ$8,0),
  _xlpm.v, IFERROR(INDEX('3. Enter Indicator Scores'!$D$10:$CZ$161,_xlpm.r,_xlpm.c),""),
  IF(OR(_xlpm.w="",_xlpm.v=""),"",_xlpm.v*_xlpm.w)
)</f>
        <v/>
      </c>
      <c r="BK54" s="93" t="str" cm="1">
        <f t="array" ref="BK54">_xlfn.LET(
  _xlpm.w, BK$11,
  _xlpm.r, MATCH(1,('3. Enter Indicator Scores'!$B$10:$B$161=$B54)*('3. Enter Indicator Scores'!$C$10:$C$161=$C54),0),
  _xlpm.c, MATCH(BK$8,'3. Enter Indicator Scores'!$D$8:$CZ$8,0),
  _xlpm.v, IFERROR(INDEX('3. Enter Indicator Scores'!$D$10:$CZ$161,_xlpm.r,_xlpm.c),""),
  IF(OR(_xlpm.w="",_xlpm.v=""),"",_xlpm.v*_xlpm.w)
)</f>
        <v/>
      </c>
      <c r="BL54" s="93" t="str" cm="1">
        <f t="array" ref="BL54">_xlfn.LET(
  _xlpm.w, BL$11,
  _xlpm.r, MATCH(1,('3. Enter Indicator Scores'!$B$10:$B$161=$B54)*('3. Enter Indicator Scores'!$C$10:$C$161=$C54),0),
  _xlpm.c, MATCH(BL$8,'3. Enter Indicator Scores'!$D$8:$CZ$8,0),
  _xlpm.v, IFERROR(INDEX('3. Enter Indicator Scores'!$D$10:$CZ$161,_xlpm.r,_xlpm.c),""),
  IF(OR(_xlpm.w="",_xlpm.v=""),"",_xlpm.v*_xlpm.w)
)</f>
        <v/>
      </c>
      <c r="BM54" s="93" t="str" cm="1">
        <f t="array" ref="BM54">_xlfn.LET(
  _xlpm.w, BM$11,
  _xlpm.r, MATCH(1,('3. Enter Indicator Scores'!$B$10:$B$161=$B54)*('3. Enter Indicator Scores'!$C$10:$C$161=$C54),0),
  _xlpm.c, MATCH(BM$8,'3. Enter Indicator Scores'!$D$8:$CZ$8,0),
  _xlpm.v, IFERROR(INDEX('3. Enter Indicator Scores'!$D$10:$CZ$161,_xlpm.r,_xlpm.c),""),
  IF(OR(_xlpm.w="",_xlpm.v=""),"",_xlpm.v*_xlpm.w)
)</f>
        <v/>
      </c>
      <c r="BN54" s="93" t="str" cm="1">
        <f t="array" ref="BN54">_xlfn.LET(
  _xlpm.w, BN$11,
  _xlpm.r, MATCH(1,('3. Enter Indicator Scores'!$B$10:$B$161=$B54)*('3. Enter Indicator Scores'!$C$10:$C$161=$C54),0),
  _xlpm.c, MATCH(BN$8,'3. Enter Indicator Scores'!$D$8:$CZ$8,0),
  _xlpm.v, IFERROR(INDEX('3. Enter Indicator Scores'!$D$10:$CZ$161,_xlpm.r,_xlpm.c),""),
  IF(OR(_xlpm.w="",_xlpm.v=""),"",_xlpm.v*_xlpm.w)
)</f>
        <v/>
      </c>
      <c r="BO54" s="93" t="str" cm="1">
        <f t="array" ref="BO54">_xlfn.LET(
  _xlpm.w, BO$11,
  _xlpm.r, MATCH(1,('3. Enter Indicator Scores'!$B$10:$B$161=$B54)*('3. Enter Indicator Scores'!$C$10:$C$161=$C54),0),
  _xlpm.c, MATCH(BO$8,'3. Enter Indicator Scores'!$D$8:$CZ$8,0),
  _xlpm.v, IFERROR(INDEX('3. Enter Indicator Scores'!$D$10:$CZ$161,_xlpm.r,_xlpm.c),""),
  IF(OR(_xlpm.w="",_xlpm.v=""),"",_xlpm.v*_xlpm.w)
)</f>
        <v/>
      </c>
      <c r="BP54" s="93" t="str" cm="1">
        <f t="array" ref="BP54">_xlfn.LET(
  _xlpm.w, BP$11,
  _xlpm.r, MATCH(1,('3. Enter Indicator Scores'!$B$10:$B$161=$B54)*('3. Enter Indicator Scores'!$C$10:$C$161=$C54),0),
  _xlpm.c, MATCH(BP$8,'3. Enter Indicator Scores'!$D$8:$CZ$8,0),
  _xlpm.v, IFERROR(INDEX('3. Enter Indicator Scores'!$D$10:$CZ$161,_xlpm.r,_xlpm.c),""),
  IF(OR(_xlpm.w="",_xlpm.v=""),"",_xlpm.v*_xlpm.w)
)</f>
        <v/>
      </c>
      <c r="BQ54" s="93" t="str" cm="1">
        <f t="array" ref="BQ54">_xlfn.LET(
  _xlpm.w, BQ$11,
  _xlpm.r, MATCH(1,('3. Enter Indicator Scores'!$B$10:$B$161=$B54)*('3. Enter Indicator Scores'!$C$10:$C$161=$C54),0),
  _xlpm.c, MATCH(BQ$8,'3. Enter Indicator Scores'!$D$8:$CZ$8,0),
  _xlpm.v, IFERROR(INDEX('3. Enter Indicator Scores'!$D$10:$CZ$161,_xlpm.r,_xlpm.c),""),
  IF(OR(_xlpm.w="",_xlpm.v=""),"",_xlpm.v*_xlpm.w)
)</f>
        <v/>
      </c>
      <c r="BR54" s="93" t="str" cm="1">
        <f t="array" ref="BR54">_xlfn.LET(
  _xlpm.w, BR$11,
  _xlpm.r, MATCH(1,('3. Enter Indicator Scores'!$B$10:$B$161=$B54)*('3. Enter Indicator Scores'!$C$10:$C$161=$C54),0),
  _xlpm.c, MATCH(BR$8,'3. Enter Indicator Scores'!$D$8:$CZ$8,0),
  _xlpm.v, IFERROR(INDEX('3. Enter Indicator Scores'!$D$10:$CZ$161,_xlpm.r,_xlpm.c),""),
  IF(OR(_xlpm.w="",_xlpm.v=""),"",_xlpm.v*_xlpm.w)
)</f>
        <v/>
      </c>
      <c r="BS54" s="93" t="str" cm="1">
        <f t="array" ref="BS54">_xlfn.LET(
  _xlpm.w, BS$11,
  _xlpm.r, MATCH(1,('3. Enter Indicator Scores'!$B$10:$B$161=$B54)*('3. Enter Indicator Scores'!$C$10:$C$161=$C54),0),
  _xlpm.c, MATCH(BS$8,'3. Enter Indicator Scores'!$D$8:$CZ$8,0),
  _xlpm.v, IFERROR(INDEX('3. Enter Indicator Scores'!$D$10:$CZ$161,_xlpm.r,_xlpm.c),""),
  IF(OR(_xlpm.w="",_xlpm.v=""),"",_xlpm.v*_xlpm.w)
)</f>
        <v/>
      </c>
      <c r="BT54" s="93" t="str" cm="1">
        <f t="array" ref="BT54">_xlfn.LET(
  _xlpm.w, BT$11,
  _xlpm.r, MATCH(1,('3. Enter Indicator Scores'!$B$10:$B$161=$B54)*('3. Enter Indicator Scores'!$C$10:$C$161=$C54),0),
  _xlpm.c, MATCH(BT$8,'3. Enter Indicator Scores'!$D$8:$CZ$8,0),
  _xlpm.v, IFERROR(INDEX('3. Enter Indicator Scores'!$D$10:$CZ$161,_xlpm.r,_xlpm.c),""),
  IF(OR(_xlpm.w="",_xlpm.v=""),"",_xlpm.v*_xlpm.w)
)</f>
        <v/>
      </c>
      <c r="BU54" s="93" t="str" cm="1">
        <f t="array" ref="BU54">_xlfn.LET(
  _xlpm.w, BU$11,
  _xlpm.r, MATCH(1,('3. Enter Indicator Scores'!$B$10:$B$161=$B54)*('3. Enter Indicator Scores'!$C$10:$C$161=$C54),0),
  _xlpm.c, MATCH(BU$8,'3. Enter Indicator Scores'!$D$8:$CZ$8,0),
  _xlpm.v, IFERROR(INDEX('3. Enter Indicator Scores'!$D$10:$CZ$161,_xlpm.r,_xlpm.c),""),
  IF(OR(_xlpm.w="",_xlpm.v=""),"",_xlpm.v*_xlpm.w)
)</f>
        <v/>
      </c>
      <c r="BV54" s="93" t="str" cm="1">
        <f t="array" ref="BV54">_xlfn.LET(
  _xlpm.w, BV$11,
  _xlpm.r, MATCH(1,('3. Enter Indicator Scores'!$B$10:$B$161=$B54)*('3. Enter Indicator Scores'!$C$10:$C$161=$C54),0),
  _xlpm.c, MATCH(BV$8,'3. Enter Indicator Scores'!$D$8:$CZ$8,0),
  _xlpm.v, IFERROR(INDEX('3. Enter Indicator Scores'!$D$10:$CZ$161,_xlpm.r,_xlpm.c),""),
  IF(OR(_xlpm.w="",_xlpm.v=""),"",_xlpm.v*_xlpm.w)
)</f>
        <v/>
      </c>
      <c r="BW54" s="93" t="str" cm="1">
        <f t="array" ref="BW54">_xlfn.LET(
  _xlpm.w, BW$11,
  _xlpm.r, MATCH(1,('3. Enter Indicator Scores'!$B$10:$B$161=$B54)*('3. Enter Indicator Scores'!$C$10:$C$161=$C54),0),
  _xlpm.c, MATCH(BW$8,'3. Enter Indicator Scores'!$D$8:$CZ$8,0),
  _xlpm.v, IFERROR(INDEX('3. Enter Indicator Scores'!$D$10:$CZ$161,_xlpm.r,_xlpm.c),""),
  IF(OR(_xlpm.w="",_xlpm.v=""),"",_xlpm.v*_xlpm.w)
)</f>
        <v/>
      </c>
      <c r="BX54" s="93" t="str" cm="1">
        <f t="array" ref="BX54">_xlfn.LET(
  _xlpm.w, BX$11,
  _xlpm.r, MATCH(1,('3. Enter Indicator Scores'!$B$10:$B$161=$B54)*('3. Enter Indicator Scores'!$C$10:$C$161=$C54),0),
  _xlpm.c, MATCH(BX$8,'3. Enter Indicator Scores'!$D$8:$CZ$8,0),
  _xlpm.v, IFERROR(INDEX('3. Enter Indicator Scores'!$D$10:$CZ$161,_xlpm.r,_xlpm.c),""),
  IF(OR(_xlpm.w="",_xlpm.v=""),"",_xlpm.v*_xlpm.w)
)</f>
        <v/>
      </c>
      <c r="BY54" s="93" t="str" cm="1">
        <f t="array" ref="BY54">_xlfn.LET(
  _xlpm.w, BY$11,
  _xlpm.r, MATCH(1,('3. Enter Indicator Scores'!$B$10:$B$161=$B54)*('3. Enter Indicator Scores'!$C$10:$C$161=$C54),0),
  _xlpm.c, MATCH(BY$8,'3. Enter Indicator Scores'!$D$8:$CZ$8,0),
  _xlpm.v, IFERROR(INDEX('3. Enter Indicator Scores'!$D$10:$CZ$161,_xlpm.r,_xlpm.c),""),
  IF(OR(_xlpm.w="",_xlpm.v=""),"",_xlpm.v*_xlpm.w)
)</f>
        <v/>
      </c>
      <c r="BZ54" s="93" t="str" cm="1">
        <f t="array" ref="BZ54">_xlfn.LET(
  _xlpm.w, BZ$11,
  _xlpm.r, MATCH(1,('3. Enter Indicator Scores'!$B$10:$B$161=$B54)*('3. Enter Indicator Scores'!$C$10:$C$161=$C54),0),
  _xlpm.c, MATCH(BZ$8,'3. Enter Indicator Scores'!$D$8:$CZ$8,0),
  _xlpm.v, IFERROR(INDEX('3. Enter Indicator Scores'!$D$10:$CZ$161,_xlpm.r,_xlpm.c),""),
  IF(OR(_xlpm.w="",_xlpm.v=""),"",_xlpm.v*_xlpm.w)
)</f>
        <v/>
      </c>
      <c r="CA54" s="93" t="str" cm="1">
        <f t="array" ref="CA54">_xlfn.LET(
  _xlpm.w, CA$11,
  _xlpm.r, MATCH(1,('3. Enter Indicator Scores'!$B$10:$B$161=$B54)*('3. Enter Indicator Scores'!$C$10:$C$161=$C54),0),
  _xlpm.c, MATCH(CA$8,'3. Enter Indicator Scores'!$D$8:$CZ$8,0),
  _xlpm.v, IFERROR(INDEX('3. Enter Indicator Scores'!$D$10:$CZ$161,_xlpm.r,_xlpm.c),""),
  IF(OR(_xlpm.w="",_xlpm.v=""),"",_xlpm.v*_xlpm.w)
)</f>
        <v/>
      </c>
      <c r="CB54" s="93" t="str" cm="1">
        <f t="array" ref="CB54">_xlfn.LET(
  _xlpm.w, CB$11,
  _xlpm.r, MATCH(1,('3. Enter Indicator Scores'!$B$10:$B$161=$B54)*('3. Enter Indicator Scores'!$C$10:$C$161=$C54),0),
  _xlpm.c, MATCH(CB$8,'3. Enter Indicator Scores'!$D$8:$CZ$8,0),
  _xlpm.v, IFERROR(INDEX('3. Enter Indicator Scores'!$D$10:$CZ$161,_xlpm.r,_xlpm.c),""),
  IF(OR(_xlpm.w="",_xlpm.v=""),"",_xlpm.v*_xlpm.w)
)</f>
        <v/>
      </c>
      <c r="CC54" s="93" t="str" cm="1">
        <f t="array" ref="CC54">_xlfn.LET(
  _xlpm.w, CC$11,
  _xlpm.r, MATCH(1,('3. Enter Indicator Scores'!$B$10:$B$161=$B54)*('3. Enter Indicator Scores'!$C$10:$C$161=$C54),0),
  _xlpm.c, MATCH(CC$8,'3. Enter Indicator Scores'!$D$8:$CZ$8,0),
  _xlpm.v, IFERROR(INDEX('3. Enter Indicator Scores'!$D$10:$CZ$161,_xlpm.r,_xlpm.c),""),
  IF(OR(_xlpm.w="",_xlpm.v=""),"",_xlpm.v*_xlpm.w)
)</f>
        <v/>
      </c>
      <c r="CD54" s="93" t="str" cm="1">
        <f t="array" ref="CD54">_xlfn.LET(
  _xlpm.w, CD$11,
  _xlpm.r, MATCH(1,('3. Enter Indicator Scores'!$B$10:$B$161=$B54)*('3. Enter Indicator Scores'!$C$10:$C$161=$C54),0),
  _xlpm.c, MATCH(CD$8,'3. Enter Indicator Scores'!$D$8:$CZ$8,0),
  _xlpm.v, IFERROR(INDEX('3. Enter Indicator Scores'!$D$10:$CZ$161,_xlpm.r,_xlpm.c),""),
  IF(OR(_xlpm.w="",_xlpm.v=""),"",_xlpm.v*_xlpm.w)
)</f>
        <v/>
      </c>
      <c r="CE54" s="93" t="str" cm="1">
        <f t="array" ref="CE54">_xlfn.LET(
  _xlpm.w, CE$11,
  _xlpm.r, MATCH(1,('3. Enter Indicator Scores'!$B$10:$B$161=$B54)*('3. Enter Indicator Scores'!$C$10:$C$161=$C54),0),
  _xlpm.c, MATCH(CE$8,'3. Enter Indicator Scores'!$D$8:$CZ$8,0),
  _xlpm.v, IFERROR(INDEX('3. Enter Indicator Scores'!$D$10:$CZ$161,_xlpm.r,_xlpm.c),""),
  IF(OR(_xlpm.w="",_xlpm.v=""),"",_xlpm.v*_xlpm.w)
)</f>
        <v/>
      </c>
      <c r="CF54" s="93" t="str" cm="1">
        <f t="array" ref="CF54">_xlfn.LET(
  _xlpm.w, CF$11,
  _xlpm.r, MATCH(1,('3. Enter Indicator Scores'!$B$10:$B$161=$B54)*('3. Enter Indicator Scores'!$C$10:$C$161=$C54),0),
  _xlpm.c, MATCH(CF$8,'3. Enter Indicator Scores'!$D$8:$CZ$8,0),
  _xlpm.v, IFERROR(INDEX('3. Enter Indicator Scores'!$D$10:$CZ$161,_xlpm.r,_xlpm.c),""),
  IF(OR(_xlpm.w="",_xlpm.v=""),"",_xlpm.v*_xlpm.w)
)</f>
        <v/>
      </c>
      <c r="CG54" s="93" t="str" cm="1">
        <f t="array" ref="CG54">_xlfn.LET(
  _xlpm.w, CG$11,
  _xlpm.r, MATCH(1,('3. Enter Indicator Scores'!$B$10:$B$161=$B54)*('3. Enter Indicator Scores'!$C$10:$C$161=$C54),0),
  _xlpm.c, MATCH(CG$8,'3. Enter Indicator Scores'!$D$8:$CZ$8,0),
  _xlpm.v, IFERROR(INDEX('3. Enter Indicator Scores'!$D$10:$CZ$161,_xlpm.r,_xlpm.c),""),
  IF(OR(_xlpm.w="",_xlpm.v=""),"",_xlpm.v*_xlpm.w)
)</f>
        <v/>
      </c>
      <c r="CH54" s="93" t="str" cm="1">
        <f t="array" ref="CH54">_xlfn.LET(
  _xlpm.w, CH$11,
  _xlpm.r, MATCH(1,('3. Enter Indicator Scores'!$B$10:$B$161=$B54)*('3. Enter Indicator Scores'!$C$10:$C$161=$C54),0),
  _xlpm.c, MATCH(CH$8,'3. Enter Indicator Scores'!$D$8:$CZ$8,0),
  _xlpm.v, IFERROR(INDEX('3. Enter Indicator Scores'!$D$10:$CZ$161,_xlpm.r,_xlpm.c),""),
  IF(OR(_xlpm.w="",_xlpm.v=""),"",_xlpm.v*_xlpm.w)
)</f>
        <v/>
      </c>
      <c r="CI54" s="93" t="str" cm="1">
        <f t="array" ref="CI54">_xlfn.LET(
  _xlpm.w, CI$11,
  _xlpm.r, MATCH(1,('3. Enter Indicator Scores'!$B$10:$B$161=$B54)*('3. Enter Indicator Scores'!$C$10:$C$161=$C54),0),
  _xlpm.c, MATCH(CI$8,'3. Enter Indicator Scores'!$D$8:$CZ$8,0),
  _xlpm.v, IFERROR(INDEX('3. Enter Indicator Scores'!$D$10:$CZ$161,_xlpm.r,_xlpm.c),""),
  IF(OR(_xlpm.w="",_xlpm.v=""),"",_xlpm.v*_xlpm.w)
)</f>
        <v/>
      </c>
      <c r="CJ54" s="93" t="str" cm="1">
        <f t="array" ref="CJ54">_xlfn.LET(
  _xlpm.w, CJ$11,
  _xlpm.r, MATCH(1,('3. Enter Indicator Scores'!$B$10:$B$161=$B54)*('3. Enter Indicator Scores'!$C$10:$C$161=$C54),0),
  _xlpm.c, MATCH(CJ$8,'3. Enter Indicator Scores'!$D$8:$CZ$8,0),
  _xlpm.v, IFERROR(INDEX('3. Enter Indicator Scores'!$D$10:$CZ$161,_xlpm.r,_xlpm.c),""),
  IF(OR(_xlpm.w="",_xlpm.v=""),"",_xlpm.v*_xlpm.w)
)</f>
        <v/>
      </c>
      <c r="CK54" s="93" t="str" cm="1">
        <f t="array" ref="CK54">_xlfn.LET(
  _xlpm.w, CK$11,
  _xlpm.r, MATCH(1,('3. Enter Indicator Scores'!$B$10:$B$161=$B54)*('3. Enter Indicator Scores'!$C$10:$C$161=$C54),0),
  _xlpm.c, MATCH(CK$8,'3. Enter Indicator Scores'!$D$8:$CZ$8,0),
  _xlpm.v, IFERROR(INDEX('3. Enter Indicator Scores'!$D$10:$CZ$161,_xlpm.r,_xlpm.c),""),
  IF(OR(_xlpm.w="",_xlpm.v=""),"",_xlpm.v*_xlpm.w)
)</f>
        <v/>
      </c>
      <c r="CL54" s="93" t="str" cm="1">
        <f t="array" ref="CL54">_xlfn.LET(
  _xlpm.w, CL$11,
  _xlpm.r, MATCH(1,('3. Enter Indicator Scores'!$B$10:$B$161=$B54)*('3. Enter Indicator Scores'!$C$10:$C$161=$C54),0),
  _xlpm.c, MATCH(CL$8,'3. Enter Indicator Scores'!$D$8:$CZ$8,0),
  _xlpm.v, IFERROR(INDEX('3. Enter Indicator Scores'!$D$10:$CZ$161,_xlpm.r,_xlpm.c),""),
  IF(OR(_xlpm.w="",_xlpm.v=""),"",_xlpm.v*_xlpm.w)
)</f>
        <v/>
      </c>
      <c r="CM54" s="93" t="str" cm="1">
        <f t="array" ref="CM54">_xlfn.LET(
  _xlpm.w, CM$11,
  _xlpm.r, MATCH(1,('3. Enter Indicator Scores'!$B$10:$B$161=$B54)*('3. Enter Indicator Scores'!$C$10:$C$161=$C54),0),
  _xlpm.c, MATCH(CM$8,'3. Enter Indicator Scores'!$D$8:$CZ$8,0),
  _xlpm.v, IFERROR(INDEX('3. Enter Indicator Scores'!$D$10:$CZ$161,_xlpm.r,_xlpm.c),""),
  IF(OR(_xlpm.w="",_xlpm.v=""),"",_xlpm.v*_xlpm.w)
)</f>
        <v/>
      </c>
      <c r="CN54" s="93" t="str" cm="1">
        <f t="array" ref="CN54">_xlfn.LET(
  _xlpm.w, CN$11,
  _xlpm.r, MATCH(1,('3. Enter Indicator Scores'!$B$10:$B$161=$B54)*('3. Enter Indicator Scores'!$C$10:$C$161=$C54),0),
  _xlpm.c, MATCH(CN$8,'3. Enter Indicator Scores'!$D$8:$CZ$8,0),
  _xlpm.v, IFERROR(INDEX('3. Enter Indicator Scores'!$D$10:$CZ$161,_xlpm.r,_xlpm.c),""),
  IF(OR(_xlpm.w="",_xlpm.v=""),"",_xlpm.v*_xlpm.w)
)</f>
        <v/>
      </c>
      <c r="CO54" s="93" t="str" cm="1">
        <f t="array" ref="CO54">_xlfn.LET(
  _xlpm.w, CO$11,
  _xlpm.r, MATCH(1,('3. Enter Indicator Scores'!$B$10:$B$161=$B54)*('3. Enter Indicator Scores'!$C$10:$C$161=$C54),0),
  _xlpm.c, MATCH(CO$8,'3. Enter Indicator Scores'!$D$8:$CZ$8,0),
  _xlpm.v, IFERROR(INDEX('3. Enter Indicator Scores'!$D$10:$CZ$161,_xlpm.r,_xlpm.c),""),
  IF(OR(_xlpm.w="",_xlpm.v=""),"",_xlpm.v*_xlpm.w)
)</f>
        <v/>
      </c>
      <c r="CP54" s="93" t="str" cm="1">
        <f t="array" ref="CP54">_xlfn.LET(
  _xlpm.w, CP$11,
  _xlpm.r, MATCH(1,('3. Enter Indicator Scores'!$B$10:$B$161=$B54)*('3. Enter Indicator Scores'!$C$10:$C$161=$C54),0),
  _xlpm.c, MATCH(CP$8,'3. Enter Indicator Scores'!$D$8:$CZ$8,0),
  _xlpm.v, IFERROR(INDEX('3. Enter Indicator Scores'!$D$10:$CZ$161,_xlpm.r,_xlpm.c),""),
  IF(OR(_xlpm.w="",_xlpm.v=""),"",_xlpm.v*_xlpm.w)
)</f>
        <v/>
      </c>
      <c r="CQ54" s="93" t="str" cm="1">
        <f t="array" ref="CQ54">_xlfn.LET(
  _xlpm.w, CQ$11,
  _xlpm.r, MATCH(1,('3. Enter Indicator Scores'!$B$10:$B$161=$B54)*('3. Enter Indicator Scores'!$C$10:$C$161=$C54),0),
  _xlpm.c, MATCH(CQ$8,'3. Enter Indicator Scores'!$D$8:$CZ$8,0),
  _xlpm.v, IFERROR(INDEX('3. Enter Indicator Scores'!$D$10:$CZ$161,_xlpm.r,_xlpm.c),""),
  IF(OR(_xlpm.w="",_xlpm.v=""),"",_xlpm.v*_xlpm.w)
)</f>
        <v/>
      </c>
      <c r="CR54" s="93" t="str" cm="1">
        <f t="array" ref="CR54">_xlfn.LET(
  _xlpm.w, CR$11,
  _xlpm.r, MATCH(1,('3. Enter Indicator Scores'!$B$10:$B$161=$B54)*('3. Enter Indicator Scores'!$C$10:$C$161=$C54),0),
  _xlpm.c, MATCH(CR$8,'3. Enter Indicator Scores'!$D$8:$CZ$8,0),
  _xlpm.v, IFERROR(INDEX('3. Enter Indicator Scores'!$D$10:$CZ$161,_xlpm.r,_xlpm.c),""),
  IF(OR(_xlpm.w="",_xlpm.v=""),"",_xlpm.v*_xlpm.w)
)</f>
        <v/>
      </c>
      <c r="CS54" s="93" t="str" cm="1">
        <f t="array" ref="CS54">_xlfn.LET(
  _xlpm.w, CS$11,
  _xlpm.r, MATCH(1,('3. Enter Indicator Scores'!$B$10:$B$161=$B54)*('3. Enter Indicator Scores'!$C$10:$C$161=$C54),0),
  _xlpm.c, MATCH(CS$8,'3. Enter Indicator Scores'!$D$8:$CZ$8,0),
  _xlpm.v, IFERROR(INDEX('3. Enter Indicator Scores'!$D$10:$CZ$161,_xlpm.r,_xlpm.c),""),
  IF(OR(_xlpm.w="",_xlpm.v=""),"",_xlpm.v*_xlpm.w)
)</f>
        <v/>
      </c>
      <c r="CT54" s="93" t="str" cm="1">
        <f t="array" ref="CT54">_xlfn.LET(
  _xlpm.w, CT$11,
  _xlpm.r, MATCH(1,('3. Enter Indicator Scores'!$B$10:$B$161=$B54)*('3. Enter Indicator Scores'!$C$10:$C$161=$C54),0),
  _xlpm.c, MATCH(CT$8,'3. Enter Indicator Scores'!$D$8:$CZ$8,0),
  _xlpm.v, IFERROR(INDEX('3. Enter Indicator Scores'!$D$10:$CZ$161,_xlpm.r,_xlpm.c),""),
  IF(OR(_xlpm.w="",_xlpm.v=""),"",_xlpm.v*_xlpm.w)
)</f>
        <v/>
      </c>
      <c r="CU54" s="93" t="str" cm="1">
        <f t="array" ref="CU54">_xlfn.LET(
  _xlpm.w, CU$11,
  _xlpm.r, MATCH(1,('3. Enter Indicator Scores'!$B$10:$B$161=$B54)*('3. Enter Indicator Scores'!$C$10:$C$161=$C54),0),
  _xlpm.c, MATCH(CU$8,'3. Enter Indicator Scores'!$D$8:$CZ$8,0),
  _xlpm.v, IFERROR(INDEX('3. Enter Indicator Scores'!$D$10:$CZ$161,_xlpm.r,_xlpm.c),""),
  IF(OR(_xlpm.w="",_xlpm.v=""),"",_xlpm.v*_xlpm.w)
)</f>
        <v/>
      </c>
      <c r="CV54" s="93" t="str" cm="1">
        <f t="array" ref="CV54">_xlfn.LET(
  _xlpm.w, CV$11,
  _xlpm.r, MATCH(1,('3. Enter Indicator Scores'!$B$10:$B$161=$B54)*('3. Enter Indicator Scores'!$C$10:$C$161=$C54),0),
  _xlpm.c, MATCH(CV$8,'3. Enter Indicator Scores'!$D$8:$CZ$8,0),
  _xlpm.v, IFERROR(INDEX('3. Enter Indicator Scores'!$D$10:$CZ$161,_xlpm.r,_xlpm.c),""),
  IF(OR(_xlpm.w="",_xlpm.v=""),"",_xlpm.v*_xlpm.w)
)</f>
        <v/>
      </c>
      <c r="CW54" s="93" t="str" cm="1">
        <f t="array" ref="CW54">_xlfn.LET(
  _xlpm.w, CW$11,
  _xlpm.r, MATCH(1,('3. Enter Indicator Scores'!$B$10:$B$161=$B54)*('3. Enter Indicator Scores'!$C$10:$C$161=$C54),0),
  _xlpm.c, MATCH(CW$8,'3. Enter Indicator Scores'!$D$8:$CZ$8,0),
  _xlpm.v, IFERROR(INDEX('3. Enter Indicator Scores'!$D$10:$CZ$161,_xlpm.r,_xlpm.c),""),
  IF(OR(_xlpm.w="",_xlpm.v=""),"",_xlpm.v*_xlpm.w)
)</f>
        <v/>
      </c>
      <c r="CX54" s="93" t="str" cm="1">
        <f t="array" ref="CX54">_xlfn.LET(
  _xlpm.w, CX$11,
  _xlpm.r, MATCH(1,('3. Enter Indicator Scores'!$B$10:$B$161=$B54)*('3. Enter Indicator Scores'!$C$10:$C$161=$C54),0),
  _xlpm.c, MATCH(CX$8,'3. Enter Indicator Scores'!$D$8:$CZ$8,0),
  _xlpm.v, IFERROR(INDEX('3. Enter Indicator Scores'!$D$10:$CZ$161,_xlpm.r,_xlpm.c),""),
  IF(OR(_xlpm.w="",_xlpm.v=""),"",_xlpm.v*_xlpm.w)
)</f>
        <v/>
      </c>
      <c r="CY54" s="93" t="str" cm="1">
        <f t="array" ref="CY54">_xlfn.LET(
  _xlpm.w, CY$11,
  _xlpm.r, MATCH(1,('3. Enter Indicator Scores'!$B$10:$B$161=$B54)*('3. Enter Indicator Scores'!$C$10:$C$161=$C54),0),
  _xlpm.c, MATCH(CY$8,'3. Enter Indicator Scores'!$D$8:$CZ$8,0),
  _xlpm.v, IFERROR(INDEX('3. Enter Indicator Scores'!$D$10:$CZ$161,_xlpm.r,_xlpm.c),""),
  IF(OR(_xlpm.w="",_xlpm.v=""),"",_xlpm.v*_xlpm.w)
)</f>
        <v/>
      </c>
      <c r="CZ54" s="93" t="str" cm="1">
        <f t="array" ref="CZ54">_xlfn.LET(
  _xlpm.w, CZ$11,
  _xlpm.r, MATCH(1,('3. Enter Indicator Scores'!$B$10:$B$161=$B54)*('3. Enter Indicator Scores'!$C$10:$C$161=$C54),0),
  _xlpm.c, MATCH(CZ$8,'3. Enter Indicator Scores'!$D$8:$CZ$8,0),
  _xlpm.v, IFERROR(INDEX('3. Enter Indicator Scores'!$D$10:$CZ$161,_xlpm.r,_xlpm.c),""),
  IF(OR(_xlpm.w="",_xlpm.v=""),"",_xlpm.v*_xlpm.w)
)</f>
        <v/>
      </c>
    </row>
    <row r="55" spans="4:104" x14ac:dyDescent="0.2">
      <c r="D55" s="93" t="str" cm="1">
        <f t="array" ref="D55">_xlfn.LET(
  _xlpm.w, D$11,
  _xlpm.r, MATCH(1,('3. Enter Indicator Scores'!$B$10:$B$161=$B55)*('3. Enter Indicator Scores'!$C$10:$C$161=$C55),0),
  _xlpm.c, MATCH(D$8,'3. Enter Indicator Scores'!$D$8:$CZ$8,0),
  _xlpm.v, IFERROR(INDEX('3. Enter Indicator Scores'!$D$10:$CZ$161,_xlpm.r,_xlpm.c),""),
  IF(OR(_xlpm.w="",_xlpm.v=""),"",_xlpm.v*_xlpm.w)
)</f>
        <v/>
      </c>
      <c r="E55" s="93" t="str" cm="1">
        <f t="array" ref="E55">_xlfn.LET(
  _xlpm.w, E$11,
  _xlpm.r, MATCH(1,('3. Enter Indicator Scores'!$B$10:$B$161=$B55)*('3. Enter Indicator Scores'!$C$10:$C$161=$C55),0),
  _xlpm.c, MATCH(E$8,'3. Enter Indicator Scores'!$D$8:$CZ$8,0),
  _xlpm.v, IFERROR(INDEX('3. Enter Indicator Scores'!$D$10:$CZ$161,_xlpm.r,_xlpm.c),""),
  IF(OR(_xlpm.w="",_xlpm.v=""),"",_xlpm.v*_xlpm.w)
)</f>
        <v/>
      </c>
      <c r="F55" s="93" t="str" cm="1">
        <f t="array" ref="F55">_xlfn.LET(
  _xlpm.w, F$11,
  _xlpm.r, MATCH(1,('3. Enter Indicator Scores'!$B$10:$B$161=$B55)*('3. Enter Indicator Scores'!$C$10:$C$161=$C55),0),
  _xlpm.c, MATCH(F$8,'3. Enter Indicator Scores'!$D$8:$CZ$8,0),
  _xlpm.v, IFERROR(INDEX('3. Enter Indicator Scores'!$D$10:$CZ$161,_xlpm.r,_xlpm.c),""),
  IF(OR(_xlpm.w="",_xlpm.v=""),"",_xlpm.v*_xlpm.w)
)</f>
        <v/>
      </c>
      <c r="G55" s="93" t="str" cm="1">
        <f t="array" ref="G55">_xlfn.LET(
  _xlpm.w, G$11,
  _xlpm.r, MATCH(1,('3. Enter Indicator Scores'!$B$10:$B$161=$B55)*('3. Enter Indicator Scores'!$C$10:$C$161=$C55),0),
  _xlpm.c, MATCH(G$8,'3. Enter Indicator Scores'!$D$8:$CZ$8,0),
  _xlpm.v, IFERROR(INDEX('3. Enter Indicator Scores'!$D$10:$CZ$161,_xlpm.r,_xlpm.c),""),
  IF(OR(_xlpm.w="",_xlpm.v=""),"",_xlpm.v*_xlpm.w)
)</f>
        <v/>
      </c>
      <c r="H55" s="93" t="str" cm="1">
        <f t="array" ref="H55">_xlfn.LET(
  _xlpm.w, H$11,
  _xlpm.r, MATCH(1,('3. Enter Indicator Scores'!$B$10:$B$161=$B55)*('3. Enter Indicator Scores'!$C$10:$C$161=$C55),0),
  _xlpm.c, MATCH(H$8,'3. Enter Indicator Scores'!$D$8:$CZ$8,0),
  _xlpm.v, IFERROR(INDEX('3. Enter Indicator Scores'!$D$10:$CZ$161,_xlpm.r,_xlpm.c),""),
  IF(OR(_xlpm.w="",_xlpm.v=""),"",_xlpm.v*_xlpm.w)
)</f>
        <v/>
      </c>
      <c r="I55" s="93" t="str" cm="1">
        <f t="array" ref="I55">_xlfn.LET(
  _xlpm.w, I$11,
  _xlpm.r, MATCH(1,('3. Enter Indicator Scores'!$B$10:$B$161=$B55)*('3. Enter Indicator Scores'!$C$10:$C$161=$C55),0),
  _xlpm.c, MATCH(I$8,'3. Enter Indicator Scores'!$D$8:$CZ$8,0),
  _xlpm.v, IFERROR(INDEX('3. Enter Indicator Scores'!$D$10:$CZ$161,_xlpm.r,_xlpm.c),""),
  IF(OR(_xlpm.w="",_xlpm.v=""),"",_xlpm.v*_xlpm.w)
)</f>
        <v/>
      </c>
      <c r="J55" s="93" t="str" cm="1">
        <f t="array" ref="J55">_xlfn.LET(
  _xlpm.w, J$11,
  _xlpm.r, MATCH(1,('3. Enter Indicator Scores'!$B$10:$B$161=$B55)*('3. Enter Indicator Scores'!$C$10:$C$161=$C55),0),
  _xlpm.c, MATCH(J$8,'3. Enter Indicator Scores'!$D$8:$CZ$8,0),
  _xlpm.v, IFERROR(INDEX('3. Enter Indicator Scores'!$D$10:$CZ$161,_xlpm.r,_xlpm.c),""),
  IF(OR(_xlpm.w="",_xlpm.v=""),"",_xlpm.v*_xlpm.w)
)</f>
        <v/>
      </c>
      <c r="K55" s="93" t="str" cm="1">
        <f t="array" ref="K55">_xlfn.LET(
  _xlpm.w, K$11,
  _xlpm.r, MATCH(1,('3. Enter Indicator Scores'!$B$10:$B$161=$B55)*('3. Enter Indicator Scores'!$C$10:$C$161=$C55),0),
  _xlpm.c, MATCH(K$8,'3. Enter Indicator Scores'!$D$8:$CZ$8,0),
  _xlpm.v, IFERROR(INDEX('3. Enter Indicator Scores'!$D$10:$CZ$161,_xlpm.r,_xlpm.c),""),
  IF(OR(_xlpm.w="",_xlpm.v=""),"",_xlpm.v*_xlpm.w)
)</f>
        <v/>
      </c>
      <c r="L55" s="93" t="str" cm="1">
        <f t="array" ref="L55">_xlfn.LET(
  _xlpm.w, L$11,
  _xlpm.r, MATCH(1,('3. Enter Indicator Scores'!$B$10:$B$161=$B55)*('3. Enter Indicator Scores'!$C$10:$C$161=$C55),0),
  _xlpm.c, MATCH(L$8,'3. Enter Indicator Scores'!$D$8:$CZ$8,0),
  _xlpm.v, IFERROR(INDEX('3. Enter Indicator Scores'!$D$10:$CZ$161,_xlpm.r,_xlpm.c),""),
  IF(OR(_xlpm.w="",_xlpm.v=""),"",_xlpm.v*_xlpm.w)
)</f>
        <v/>
      </c>
      <c r="M55" s="93" t="str" cm="1">
        <f t="array" ref="M55">_xlfn.LET(
  _xlpm.w, M$11,
  _xlpm.r, MATCH(1,('3. Enter Indicator Scores'!$B$10:$B$161=$B55)*('3. Enter Indicator Scores'!$C$10:$C$161=$C55),0),
  _xlpm.c, MATCH(M$8,'3. Enter Indicator Scores'!$D$8:$CZ$8,0),
  _xlpm.v, IFERROR(INDEX('3. Enter Indicator Scores'!$D$10:$CZ$161,_xlpm.r,_xlpm.c),""),
  IF(OR(_xlpm.w="",_xlpm.v=""),"",_xlpm.v*_xlpm.w)
)</f>
        <v/>
      </c>
      <c r="N55" s="93" t="str" cm="1">
        <f t="array" ref="N55">_xlfn.LET(
  _xlpm.w, N$11,
  _xlpm.r, MATCH(1,('3. Enter Indicator Scores'!$B$10:$B$161=$B55)*('3. Enter Indicator Scores'!$C$10:$C$161=$C55),0),
  _xlpm.c, MATCH(N$8,'3. Enter Indicator Scores'!$D$8:$CZ$8,0),
  _xlpm.v, IFERROR(INDEX('3. Enter Indicator Scores'!$D$10:$CZ$161,_xlpm.r,_xlpm.c),""),
  IF(OR(_xlpm.w="",_xlpm.v=""),"",_xlpm.v*_xlpm.w)
)</f>
        <v/>
      </c>
      <c r="O55" s="93" t="str" cm="1">
        <f t="array" ref="O55">_xlfn.LET(
  _xlpm.w, O$11,
  _xlpm.r, MATCH(1,('3. Enter Indicator Scores'!$B$10:$B$161=$B55)*('3. Enter Indicator Scores'!$C$10:$C$161=$C55),0),
  _xlpm.c, MATCH(O$8,'3. Enter Indicator Scores'!$D$8:$CZ$8,0),
  _xlpm.v, IFERROR(INDEX('3. Enter Indicator Scores'!$D$10:$CZ$161,_xlpm.r,_xlpm.c),""),
  IF(OR(_xlpm.w="",_xlpm.v=""),"",_xlpm.v*_xlpm.w)
)</f>
        <v/>
      </c>
      <c r="P55" s="93" t="str" cm="1">
        <f t="array" ref="P55">_xlfn.LET(
  _xlpm.w, P$11,
  _xlpm.r, MATCH(1,('3. Enter Indicator Scores'!$B$10:$B$161=$B55)*('3. Enter Indicator Scores'!$C$10:$C$161=$C55),0),
  _xlpm.c, MATCH(P$8,'3. Enter Indicator Scores'!$D$8:$CZ$8,0),
  _xlpm.v, IFERROR(INDEX('3. Enter Indicator Scores'!$D$10:$CZ$161,_xlpm.r,_xlpm.c),""),
  IF(OR(_xlpm.w="",_xlpm.v=""),"",_xlpm.v*_xlpm.w)
)</f>
        <v/>
      </c>
      <c r="Q55" s="93" t="str" cm="1">
        <f t="array" ref="Q55">_xlfn.LET(
  _xlpm.w, Q$11,
  _xlpm.r, MATCH(1,('3. Enter Indicator Scores'!$B$10:$B$161=$B55)*('3. Enter Indicator Scores'!$C$10:$C$161=$C55),0),
  _xlpm.c, MATCH(Q$8,'3. Enter Indicator Scores'!$D$8:$CZ$8,0),
  _xlpm.v, IFERROR(INDEX('3. Enter Indicator Scores'!$D$10:$CZ$161,_xlpm.r,_xlpm.c),""),
  IF(OR(_xlpm.w="",_xlpm.v=""),"",_xlpm.v*_xlpm.w)
)</f>
        <v/>
      </c>
      <c r="R55" s="93" t="str" cm="1">
        <f t="array" ref="R55">_xlfn.LET(
  _xlpm.w, R$11,
  _xlpm.r, MATCH(1,('3. Enter Indicator Scores'!$B$10:$B$161=$B55)*('3. Enter Indicator Scores'!$C$10:$C$161=$C55),0),
  _xlpm.c, MATCH(R$8,'3. Enter Indicator Scores'!$D$8:$CZ$8,0),
  _xlpm.v, IFERROR(INDEX('3. Enter Indicator Scores'!$D$10:$CZ$161,_xlpm.r,_xlpm.c),""),
  IF(OR(_xlpm.w="",_xlpm.v=""),"",_xlpm.v*_xlpm.w)
)</f>
        <v/>
      </c>
      <c r="S55" s="93" t="str" cm="1">
        <f t="array" ref="S55">_xlfn.LET(
  _xlpm.w, S$11,
  _xlpm.r, MATCH(1,('3. Enter Indicator Scores'!$B$10:$B$161=$B55)*('3. Enter Indicator Scores'!$C$10:$C$161=$C55),0),
  _xlpm.c, MATCH(S$8,'3. Enter Indicator Scores'!$D$8:$CZ$8,0),
  _xlpm.v, IFERROR(INDEX('3. Enter Indicator Scores'!$D$10:$CZ$161,_xlpm.r,_xlpm.c),""),
  IF(OR(_xlpm.w="",_xlpm.v=""),"",_xlpm.v*_xlpm.w)
)</f>
        <v/>
      </c>
      <c r="T55" s="93" t="str" cm="1">
        <f t="array" ref="T55">_xlfn.LET(
  _xlpm.w, T$11,
  _xlpm.r, MATCH(1,('3. Enter Indicator Scores'!$B$10:$B$161=$B55)*('3. Enter Indicator Scores'!$C$10:$C$161=$C55),0),
  _xlpm.c, MATCH(T$8,'3. Enter Indicator Scores'!$D$8:$CZ$8,0),
  _xlpm.v, IFERROR(INDEX('3. Enter Indicator Scores'!$D$10:$CZ$161,_xlpm.r,_xlpm.c),""),
  IF(OR(_xlpm.w="",_xlpm.v=""),"",_xlpm.v*_xlpm.w)
)</f>
        <v/>
      </c>
      <c r="U55" s="93" t="str" cm="1">
        <f t="array" ref="U55">_xlfn.LET(
  _xlpm.w, U$11,
  _xlpm.r, MATCH(1,('3. Enter Indicator Scores'!$B$10:$B$161=$B55)*('3. Enter Indicator Scores'!$C$10:$C$161=$C55),0),
  _xlpm.c, MATCH(U$8,'3. Enter Indicator Scores'!$D$8:$CZ$8,0),
  _xlpm.v, IFERROR(INDEX('3. Enter Indicator Scores'!$D$10:$CZ$161,_xlpm.r,_xlpm.c),""),
  IF(OR(_xlpm.w="",_xlpm.v=""),"",_xlpm.v*_xlpm.w)
)</f>
        <v/>
      </c>
      <c r="V55" s="93" t="str" cm="1">
        <f t="array" ref="V55">_xlfn.LET(
  _xlpm.w, V$11,
  _xlpm.r, MATCH(1,('3. Enter Indicator Scores'!$B$10:$B$161=$B55)*('3. Enter Indicator Scores'!$C$10:$C$161=$C55),0),
  _xlpm.c, MATCH(V$8,'3. Enter Indicator Scores'!$D$8:$CZ$8,0),
  _xlpm.v, IFERROR(INDEX('3. Enter Indicator Scores'!$D$10:$CZ$161,_xlpm.r,_xlpm.c),""),
  IF(OR(_xlpm.w="",_xlpm.v=""),"",_xlpm.v*_xlpm.w)
)</f>
        <v/>
      </c>
      <c r="W55" s="93" t="str" cm="1">
        <f t="array" ref="W55">_xlfn.LET(
  _xlpm.w, W$11,
  _xlpm.r, MATCH(1,('3. Enter Indicator Scores'!$B$10:$B$161=$B55)*('3. Enter Indicator Scores'!$C$10:$C$161=$C55),0),
  _xlpm.c, MATCH(W$8,'3. Enter Indicator Scores'!$D$8:$CZ$8,0),
  _xlpm.v, IFERROR(INDEX('3. Enter Indicator Scores'!$D$10:$CZ$161,_xlpm.r,_xlpm.c),""),
  IF(OR(_xlpm.w="",_xlpm.v=""),"",_xlpm.v*_xlpm.w)
)</f>
        <v/>
      </c>
      <c r="X55" s="93" t="str" cm="1">
        <f t="array" ref="X55">_xlfn.LET(
  _xlpm.w, X$11,
  _xlpm.r, MATCH(1,('3. Enter Indicator Scores'!$B$10:$B$161=$B55)*('3. Enter Indicator Scores'!$C$10:$C$161=$C55),0),
  _xlpm.c, MATCH(X$8,'3. Enter Indicator Scores'!$D$8:$CZ$8,0),
  _xlpm.v, IFERROR(INDEX('3. Enter Indicator Scores'!$D$10:$CZ$161,_xlpm.r,_xlpm.c),""),
  IF(OR(_xlpm.w="",_xlpm.v=""),"",_xlpm.v*_xlpm.w)
)</f>
        <v/>
      </c>
      <c r="Y55" s="93" t="str" cm="1">
        <f t="array" ref="Y55">_xlfn.LET(
  _xlpm.w, Y$11,
  _xlpm.r, MATCH(1,('3. Enter Indicator Scores'!$B$10:$B$161=$B55)*('3. Enter Indicator Scores'!$C$10:$C$161=$C55),0),
  _xlpm.c, MATCH(Y$8,'3. Enter Indicator Scores'!$D$8:$CZ$8,0),
  _xlpm.v, IFERROR(INDEX('3. Enter Indicator Scores'!$D$10:$CZ$161,_xlpm.r,_xlpm.c),""),
  IF(OR(_xlpm.w="",_xlpm.v=""),"",_xlpm.v*_xlpm.w)
)</f>
        <v/>
      </c>
      <c r="Z55" s="93" t="str" cm="1">
        <f t="array" ref="Z55">_xlfn.LET(
  _xlpm.w, Z$11,
  _xlpm.r, MATCH(1,('3. Enter Indicator Scores'!$B$10:$B$161=$B55)*('3. Enter Indicator Scores'!$C$10:$C$161=$C55),0),
  _xlpm.c, MATCH(Z$8,'3. Enter Indicator Scores'!$D$8:$CZ$8,0),
  _xlpm.v, IFERROR(INDEX('3. Enter Indicator Scores'!$D$10:$CZ$161,_xlpm.r,_xlpm.c),""),
  IF(OR(_xlpm.w="",_xlpm.v=""),"",_xlpm.v*_xlpm.w)
)</f>
        <v/>
      </c>
      <c r="AA55" s="93" t="str" cm="1">
        <f t="array" ref="AA55">_xlfn.LET(
  _xlpm.w, AA$11,
  _xlpm.r, MATCH(1,('3. Enter Indicator Scores'!$B$10:$B$161=$B55)*('3. Enter Indicator Scores'!$C$10:$C$161=$C55),0),
  _xlpm.c, MATCH(AA$8,'3. Enter Indicator Scores'!$D$8:$CZ$8,0),
  _xlpm.v, IFERROR(INDEX('3. Enter Indicator Scores'!$D$10:$CZ$161,_xlpm.r,_xlpm.c),""),
  IF(OR(_xlpm.w="",_xlpm.v=""),"",_xlpm.v*_xlpm.w)
)</f>
        <v/>
      </c>
      <c r="AB55" s="93" t="str" cm="1">
        <f t="array" ref="AB55">_xlfn.LET(
  _xlpm.w, AB$11,
  _xlpm.r, MATCH(1,('3. Enter Indicator Scores'!$B$10:$B$161=$B55)*('3. Enter Indicator Scores'!$C$10:$C$161=$C55),0),
  _xlpm.c, MATCH(AB$8,'3. Enter Indicator Scores'!$D$8:$CZ$8,0),
  _xlpm.v, IFERROR(INDEX('3. Enter Indicator Scores'!$D$10:$CZ$161,_xlpm.r,_xlpm.c),""),
  IF(OR(_xlpm.w="",_xlpm.v=""),"",_xlpm.v*_xlpm.w)
)</f>
        <v/>
      </c>
      <c r="AC55" s="93" t="str" cm="1">
        <f t="array" ref="AC55">_xlfn.LET(
  _xlpm.w, AC$11,
  _xlpm.r, MATCH(1,('3. Enter Indicator Scores'!$B$10:$B$161=$B55)*('3. Enter Indicator Scores'!$C$10:$C$161=$C55),0),
  _xlpm.c, MATCH(AC$8,'3. Enter Indicator Scores'!$D$8:$CZ$8,0),
  _xlpm.v, IFERROR(INDEX('3. Enter Indicator Scores'!$D$10:$CZ$161,_xlpm.r,_xlpm.c),""),
  IF(OR(_xlpm.w="",_xlpm.v=""),"",_xlpm.v*_xlpm.w)
)</f>
        <v/>
      </c>
      <c r="AD55" s="93" t="str" cm="1">
        <f t="array" ref="AD55">_xlfn.LET(
  _xlpm.w, AD$11,
  _xlpm.r, MATCH(1,('3. Enter Indicator Scores'!$B$10:$B$161=$B55)*('3. Enter Indicator Scores'!$C$10:$C$161=$C55),0),
  _xlpm.c, MATCH(AD$8,'3. Enter Indicator Scores'!$D$8:$CZ$8,0),
  _xlpm.v, IFERROR(INDEX('3. Enter Indicator Scores'!$D$10:$CZ$161,_xlpm.r,_xlpm.c),""),
  IF(OR(_xlpm.w="",_xlpm.v=""),"",_xlpm.v*_xlpm.w)
)</f>
        <v/>
      </c>
      <c r="AE55" s="93" t="str" cm="1">
        <f t="array" ref="AE55">_xlfn.LET(
  _xlpm.w, AE$11,
  _xlpm.r, MATCH(1,('3. Enter Indicator Scores'!$B$10:$B$161=$B55)*('3. Enter Indicator Scores'!$C$10:$C$161=$C55),0),
  _xlpm.c, MATCH(AE$8,'3. Enter Indicator Scores'!$D$8:$CZ$8,0),
  _xlpm.v, IFERROR(INDEX('3. Enter Indicator Scores'!$D$10:$CZ$161,_xlpm.r,_xlpm.c),""),
  IF(OR(_xlpm.w="",_xlpm.v=""),"",_xlpm.v*_xlpm.w)
)</f>
        <v/>
      </c>
      <c r="AF55" s="93" t="str" cm="1">
        <f t="array" ref="AF55">_xlfn.LET(
  _xlpm.w, AF$11,
  _xlpm.r, MATCH(1,('3. Enter Indicator Scores'!$B$10:$B$161=$B55)*('3. Enter Indicator Scores'!$C$10:$C$161=$C55),0),
  _xlpm.c, MATCH(AF$8,'3. Enter Indicator Scores'!$D$8:$CZ$8,0),
  _xlpm.v, IFERROR(INDEX('3. Enter Indicator Scores'!$D$10:$CZ$161,_xlpm.r,_xlpm.c),""),
  IF(OR(_xlpm.w="",_xlpm.v=""),"",_xlpm.v*_xlpm.w)
)</f>
        <v/>
      </c>
      <c r="AG55" s="93" t="str" cm="1">
        <f t="array" ref="AG55">_xlfn.LET(
  _xlpm.w, AG$11,
  _xlpm.r, MATCH(1,('3. Enter Indicator Scores'!$B$10:$B$161=$B55)*('3. Enter Indicator Scores'!$C$10:$C$161=$C55),0),
  _xlpm.c, MATCH(AG$8,'3. Enter Indicator Scores'!$D$8:$CZ$8,0),
  _xlpm.v, IFERROR(INDEX('3. Enter Indicator Scores'!$D$10:$CZ$161,_xlpm.r,_xlpm.c),""),
  IF(OR(_xlpm.w="",_xlpm.v=""),"",_xlpm.v*_xlpm.w)
)</f>
        <v/>
      </c>
      <c r="AH55" s="93" t="str" cm="1">
        <f t="array" ref="AH55">_xlfn.LET(
  _xlpm.w, AH$11,
  _xlpm.r, MATCH(1,('3. Enter Indicator Scores'!$B$10:$B$161=$B55)*('3. Enter Indicator Scores'!$C$10:$C$161=$C55),0),
  _xlpm.c, MATCH(AH$8,'3. Enter Indicator Scores'!$D$8:$CZ$8,0),
  _xlpm.v, IFERROR(INDEX('3. Enter Indicator Scores'!$D$10:$CZ$161,_xlpm.r,_xlpm.c),""),
  IF(OR(_xlpm.w="",_xlpm.v=""),"",_xlpm.v*_xlpm.w)
)</f>
        <v/>
      </c>
      <c r="AI55" s="93" t="str" cm="1">
        <f t="array" ref="AI55">_xlfn.LET(
  _xlpm.w, AI$11,
  _xlpm.r, MATCH(1,('3. Enter Indicator Scores'!$B$10:$B$161=$B55)*('3. Enter Indicator Scores'!$C$10:$C$161=$C55),0),
  _xlpm.c, MATCH(AI$8,'3. Enter Indicator Scores'!$D$8:$CZ$8,0),
  _xlpm.v, IFERROR(INDEX('3. Enter Indicator Scores'!$D$10:$CZ$161,_xlpm.r,_xlpm.c),""),
  IF(OR(_xlpm.w="",_xlpm.v=""),"",_xlpm.v*_xlpm.w)
)</f>
        <v/>
      </c>
      <c r="AJ55" s="93" t="str" cm="1">
        <f t="array" ref="AJ55">_xlfn.LET(
  _xlpm.w, AJ$11,
  _xlpm.r, MATCH(1,('3. Enter Indicator Scores'!$B$10:$B$161=$B55)*('3. Enter Indicator Scores'!$C$10:$C$161=$C55),0),
  _xlpm.c, MATCH(AJ$8,'3. Enter Indicator Scores'!$D$8:$CZ$8,0),
  _xlpm.v, IFERROR(INDEX('3. Enter Indicator Scores'!$D$10:$CZ$161,_xlpm.r,_xlpm.c),""),
  IF(OR(_xlpm.w="",_xlpm.v=""),"",_xlpm.v*_xlpm.w)
)</f>
        <v/>
      </c>
      <c r="AK55" s="93" t="str" cm="1">
        <f t="array" ref="AK55">_xlfn.LET(
  _xlpm.w, AK$11,
  _xlpm.r, MATCH(1,('3. Enter Indicator Scores'!$B$10:$B$161=$B55)*('3. Enter Indicator Scores'!$C$10:$C$161=$C55),0),
  _xlpm.c, MATCH(AK$8,'3. Enter Indicator Scores'!$D$8:$CZ$8,0),
  _xlpm.v, IFERROR(INDEX('3. Enter Indicator Scores'!$D$10:$CZ$161,_xlpm.r,_xlpm.c),""),
  IF(OR(_xlpm.w="",_xlpm.v=""),"",_xlpm.v*_xlpm.w)
)</f>
        <v/>
      </c>
      <c r="AL55" s="93" t="str" cm="1">
        <f t="array" ref="AL55">_xlfn.LET(
  _xlpm.w, AL$11,
  _xlpm.r, MATCH(1,('3. Enter Indicator Scores'!$B$10:$B$161=$B55)*('3. Enter Indicator Scores'!$C$10:$C$161=$C55),0),
  _xlpm.c, MATCH(AL$8,'3. Enter Indicator Scores'!$D$8:$CZ$8,0),
  _xlpm.v, IFERROR(INDEX('3. Enter Indicator Scores'!$D$10:$CZ$161,_xlpm.r,_xlpm.c),""),
  IF(OR(_xlpm.w="",_xlpm.v=""),"",_xlpm.v*_xlpm.w)
)</f>
        <v/>
      </c>
      <c r="AM55" s="93" t="str" cm="1">
        <f t="array" ref="AM55">_xlfn.LET(
  _xlpm.w, AM$11,
  _xlpm.r, MATCH(1,('3. Enter Indicator Scores'!$B$10:$B$161=$B55)*('3. Enter Indicator Scores'!$C$10:$C$161=$C55),0),
  _xlpm.c, MATCH(AM$8,'3. Enter Indicator Scores'!$D$8:$CZ$8,0),
  _xlpm.v, IFERROR(INDEX('3. Enter Indicator Scores'!$D$10:$CZ$161,_xlpm.r,_xlpm.c),""),
  IF(OR(_xlpm.w="",_xlpm.v=""),"",_xlpm.v*_xlpm.w)
)</f>
        <v/>
      </c>
      <c r="AN55" s="93" t="str" cm="1">
        <f t="array" ref="AN55">_xlfn.LET(
  _xlpm.w, AN$11,
  _xlpm.r, MATCH(1,('3. Enter Indicator Scores'!$B$10:$B$161=$B55)*('3. Enter Indicator Scores'!$C$10:$C$161=$C55),0),
  _xlpm.c, MATCH(AN$8,'3. Enter Indicator Scores'!$D$8:$CZ$8,0),
  _xlpm.v, IFERROR(INDEX('3. Enter Indicator Scores'!$D$10:$CZ$161,_xlpm.r,_xlpm.c),""),
  IF(OR(_xlpm.w="",_xlpm.v=""),"",_xlpm.v*_xlpm.w)
)</f>
        <v/>
      </c>
      <c r="AO55" s="93" t="str" cm="1">
        <f t="array" ref="AO55">_xlfn.LET(
  _xlpm.w, AO$11,
  _xlpm.r, MATCH(1,('3. Enter Indicator Scores'!$B$10:$B$161=$B55)*('3. Enter Indicator Scores'!$C$10:$C$161=$C55),0),
  _xlpm.c, MATCH(AO$8,'3. Enter Indicator Scores'!$D$8:$CZ$8,0),
  _xlpm.v, IFERROR(INDEX('3. Enter Indicator Scores'!$D$10:$CZ$161,_xlpm.r,_xlpm.c),""),
  IF(OR(_xlpm.w="",_xlpm.v=""),"",_xlpm.v*_xlpm.w)
)</f>
        <v/>
      </c>
      <c r="AP55" s="93" t="str" cm="1">
        <f t="array" ref="AP55">_xlfn.LET(
  _xlpm.w, AP$11,
  _xlpm.r, MATCH(1,('3. Enter Indicator Scores'!$B$10:$B$161=$B55)*('3. Enter Indicator Scores'!$C$10:$C$161=$C55),0),
  _xlpm.c, MATCH(AP$8,'3. Enter Indicator Scores'!$D$8:$CZ$8,0),
  _xlpm.v, IFERROR(INDEX('3. Enter Indicator Scores'!$D$10:$CZ$161,_xlpm.r,_xlpm.c),""),
  IF(OR(_xlpm.w="",_xlpm.v=""),"",_xlpm.v*_xlpm.w)
)</f>
        <v/>
      </c>
      <c r="AQ55" s="93" t="str" cm="1">
        <f t="array" ref="AQ55">_xlfn.LET(
  _xlpm.w, AQ$11,
  _xlpm.r, MATCH(1,('3. Enter Indicator Scores'!$B$10:$B$161=$B55)*('3. Enter Indicator Scores'!$C$10:$C$161=$C55),0),
  _xlpm.c, MATCH(AQ$8,'3. Enter Indicator Scores'!$D$8:$CZ$8,0),
  _xlpm.v, IFERROR(INDEX('3. Enter Indicator Scores'!$D$10:$CZ$161,_xlpm.r,_xlpm.c),""),
  IF(OR(_xlpm.w="",_xlpm.v=""),"",_xlpm.v*_xlpm.w)
)</f>
        <v/>
      </c>
      <c r="AR55" s="93" t="str" cm="1">
        <f t="array" ref="AR55">_xlfn.LET(
  _xlpm.w, AR$11,
  _xlpm.r, MATCH(1,('3. Enter Indicator Scores'!$B$10:$B$161=$B55)*('3. Enter Indicator Scores'!$C$10:$C$161=$C55),0),
  _xlpm.c, MATCH(AR$8,'3. Enter Indicator Scores'!$D$8:$CZ$8,0),
  _xlpm.v, IFERROR(INDEX('3. Enter Indicator Scores'!$D$10:$CZ$161,_xlpm.r,_xlpm.c),""),
  IF(OR(_xlpm.w="",_xlpm.v=""),"",_xlpm.v*_xlpm.w)
)</f>
        <v/>
      </c>
      <c r="AS55" s="93" t="str" cm="1">
        <f t="array" ref="AS55">_xlfn.LET(
  _xlpm.w, AS$11,
  _xlpm.r, MATCH(1,('3. Enter Indicator Scores'!$B$10:$B$161=$B55)*('3. Enter Indicator Scores'!$C$10:$C$161=$C55),0),
  _xlpm.c, MATCH(AS$8,'3. Enter Indicator Scores'!$D$8:$CZ$8,0),
  _xlpm.v, IFERROR(INDEX('3. Enter Indicator Scores'!$D$10:$CZ$161,_xlpm.r,_xlpm.c),""),
  IF(OR(_xlpm.w="",_xlpm.v=""),"",_xlpm.v*_xlpm.w)
)</f>
        <v/>
      </c>
      <c r="AT55" s="93" t="str" cm="1">
        <f t="array" ref="AT55">_xlfn.LET(
  _xlpm.w, AT$11,
  _xlpm.r, MATCH(1,('3. Enter Indicator Scores'!$B$10:$B$161=$B55)*('3. Enter Indicator Scores'!$C$10:$C$161=$C55),0),
  _xlpm.c, MATCH(AT$8,'3. Enter Indicator Scores'!$D$8:$CZ$8,0),
  _xlpm.v, IFERROR(INDEX('3. Enter Indicator Scores'!$D$10:$CZ$161,_xlpm.r,_xlpm.c),""),
  IF(OR(_xlpm.w="",_xlpm.v=""),"",_xlpm.v*_xlpm.w)
)</f>
        <v/>
      </c>
      <c r="AU55" s="93" t="str" cm="1">
        <f t="array" ref="AU55">_xlfn.LET(
  _xlpm.w, AU$11,
  _xlpm.r, MATCH(1,('3. Enter Indicator Scores'!$B$10:$B$161=$B55)*('3. Enter Indicator Scores'!$C$10:$C$161=$C55),0),
  _xlpm.c, MATCH(AU$8,'3. Enter Indicator Scores'!$D$8:$CZ$8,0),
  _xlpm.v, IFERROR(INDEX('3. Enter Indicator Scores'!$D$10:$CZ$161,_xlpm.r,_xlpm.c),""),
  IF(OR(_xlpm.w="",_xlpm.v=""),"",_xlpm.v*_xlpm.w)
)</f>
        <v/>
      </c>
      <c r="AV55" s="93" t="str" cm="1">
        <f t="array" ref="AV55">_xlfn.LET(
  _xlpm.w, AV$11,
  _xlpm.r, MATCH(1,('3. Enter Indicator Scores'!$B$10:$B$161=$B55)*('3. Enter Indicator Scores'!$C$10:$C$161=$C55),0),
  _xlpm.c, MATCH(AV$8,'3. Enter Indicator Scores'!$D$8:$CZ$8,0),
  _xlpm.v, IFERROR(INDEX('3. Enter Indicator Scores'!$D$10:$CZ$161,_xlpm.r,_xlpm.c),""),
  IF(OR(_xlpm.w="",_xlpm.v=""),"",_xlpm.v*_xlpm.w)
)</f>
        <v/>
      </c>
      <c r="AW55" s="93" t="str" cm="1">
        <f t="array" ref="AW55">_xlfn.LET(
  _xlpm.w, AW$11,
  _xlpm.r, MATCH(1,('3. Enter Indicator Scores'!$B$10:$B$161=$B55)*('3. Enter Indicator Scores'!$C$10:$C$161=$C55),0),
  _xlpm.c, MATCH(AW$8,'3. Enter Indicator Scores'!$D$8:$CZ$8,0),
  _xlpm.v, IFERROR(INDEX('3. Enter Indicator Scores'!$D$10:$CZ$161,_xlpm.r,_xlpm.c),""),
  IF(OR(_xlpm.w="",_xlpm.v=""),"",_xlpm.v*_xlpm.w)
)</f>
        <v/>
      </c>
      <c r="AX55" s="93" t="str" cm="1">
        <f t="array" ref="AX55">_xlfn.LET(
  _xlpm.w, AX$11,
  _xlpm.r, MATCH(1,('3. Enter Indicator Scores'!$B$10:$B$161=$B55)*('3. Enter Indicator Scores'!$C$10:$C$161=$C55),0),
  _xlpm.c, MATCH(AX$8,'3. Enter Indicator Scores'!$D$8:$CZ$8,0),
  _xlpm.v, IFERROR(INDEX('3. Enter Indicator Scores'!$D$10:$CZ$161,_xlpm.r,_xlpm.c),""),
  IF(OR(_xlpm.w="",_xlpm.v=""),"",_xlpm.v*_xlpm.w)
)</f>
        <v/>
      </c>
      <c r="AY55" s="93" t="str" cm="1">
        <f t="array" ref="AY55">_xlfn.LET(
  _xlpm.w, AY$11,
  _xlpm.r, MATCH(1,('3. Enter Indicator Scores'!$B$10:$B$161=$B55)*('3. Enter Indicator Scores'!$C$10:$C$161=$C55),0),
  _xlpm.c, MATCH(AY$8,'3. Enter Indicator Scores'!$D$8:$CZ$8,0),
  _xlpm.v, IFERROR(INDEX('3. Enter Indicator Scores'!$D$10:$CZ$161,_xlpm.r,_xlpm.c),""),
  IF(OR(_xlpm.w="",_xlpm.v=""),"",_xlpm.v*_xlpm.w)
)</f>
        <v/>
      </c>
      <c r="AZ55" s="93" t="str" cm="1">
        <f t="array" ref="AZ55">_xlfn.LET(
  _xlpm.w, AZ$11,
  _xlpm.r, MATCH(1,('3. Enter Indicator Scores'!$B$10:$B$161=$B55)*('3. Enter Indicator Scores'!$C$10:$C$161=$C55),0),
  _xlpm.c, MATCH(AZ$8,'3. Enter Indicator Scores'!$D$8:$CZ$8,0),
  _xlpm.v, IFERROR(INDEX('3. Enter Indicator Scores'!$D$10:$CZ$161,_xlpm.r,_xlpm.c),""),
  IF(OR(_xlpm.w="",_xlpm.v=""),"",_xlpm.v*_xlpm.w)
)</f>
        <v/>
      </c>
      <c r="BA55" s="93" t="str" cm="1">
        <f t="array" ref="BA55">_xlfn.LET(
  _xlpm.w, BA$11,
  _xlpm.r, MATCH(1,('3. Enter Indicator Scores'!$B$10:$B$161=$B55)*('3. Enter Indicator Scores'!$C$10:$C$161=$C55),0),
  _xlpm.c, MATCH(BA$8,'3. Enter Indicator Scores'!$D$8:$CZ$8,0),
  _xlpm.v, IFERROR(INDEX('3. Enter Indicator Scores'!$D$10:$CZ$161,_xlpm.r,_xlpm.c),""),
  IF(OR(_xlpm.w="",_xlpm.v=""),"",_xlpm.v*_xlpm.w)
)</f>
        <v/>
      </c>
      <c r="BB55" s="93" t="str" cm="1">
        <f t="array" ref="BB55">_xlfn.LET(
  _xlpm.w, BB$11,
  _xlpm.r, MATCH(1,('3. Enter Indicator Scores'!$B$10:$B$161=$B55)*('3. Enter Indicator Scores'!$C$10:$C$161=$C55),0),
  _xlpm.c, MATCH(BB$8,'3. Enter Indicator Scores'!$D$8:$CZ$8,0),
  _xlpm.v, IFERROR(INDEX('3. Enter Indicator Scores'!$D$10:$CZ$161,_xlpm.r,_xlpm.c),""),
  IF(OR(_xlpm.w="",_xlpm.v=""),"",_xlpm.v*_xlpm.w)
)</f>
        <v/>
      </c>
      <c r="BC55" s="93" t="str" cm="1">
        <f t="array" ref="BC55">_xlfn.LET(
  _xlpm.w, BC$11,
  _xlpm.r, MATCH(1,('3. Enter Indicator Scores'!$B$10:$B$161=$B55)*('3. Enter Indicator Scores'!$C$10:$C$161=$C55),0),
  _xlpm.c, MATCH(BC$8,'3. Enter Indicator Scores'!$D$8:$CZ$8,0),
  _xlpm.v, IFERROR(INDEX('3. Enter Indicator Scores'!$D$10:$CZ$161,_xlpm.r,_xlpm.c),""),
  IF(OR(_xlpm.w="",_xlpm.v=""),"",_xlpm.v*_xlpm.w)
)</f>
        <v/>
      </c>
      <c r="BD55" s="93" t="str" cm="1">
        <f t="array" ref="BD55">_xlfn.LET(
  _xlpm.w, BD$11,
  _xlpm.r, MATCH(1,('3. Enter Indicator Scores'!$B$10:$B$161=$B55)*('3. Enter Indicator Scores'!$C$10:$C$161=$C55),0),
  _xlpm.c, MATCH(BD$8,'3. Enter Indicator Scores'!$D$8:$CZ$8,0),
  _xlpm.v, IFERROR(INDEX('3. Enter Indicator Scores'!$D$10:$CZ$161,_xlpm.r,_xlpm.c),""),
  IF(OR(_xlpm.w="",_xlpm.v=""),"",_xlpm.v*_xlpm.w)
)</f>
        <v/>
      </c>
      <c r="BE55" s="93" t="str" cm="1">
        <f t="array" ref="BE55">_xlfn.LET(
  _xlpm.w, BE$11,
  _xlpm.r, MATCH(1,('3. Enter Indicator Scores'!$B$10:$B$161=$B55)*('3. Enter Indicator Scores'!$C$10:$C$161=$C55),0),
  _xlpm.c, MATCH(BE$8,'3. Enter Indicator Scores'!$D$8:$CZ$8,0),
  _xlpm.v, IFERROR(INDEX('3. Enter Indicator Scores'!$D$10:$CZ$161,_xlpm.r,_xlpm.c),""),
  IF(OR(_xlpm.w="",_xlpm.v=""),"",_xlpm.v*_xlpm.w)
)</f>
        <v/>
      </c>
      <c r="BF55" s="93" t="str" cm="1">
        <f t="array" ref="BF55">_xlfn.LET(
  _xlpm.w, BF$11,
  _xlpm.r, MATCH(1,('3. Enter Indicator Scores'!$B$10:$B$161=$B55)*('3. Enter Indicator Scores'!$C$10:$C$161=$C55),0),
  _xlpm.c, MATCH(BF$8,'3. Enter Indicator Scores'!$D$8:$CZ$8,0),
  _xlpm.v, IFERROR(INDEX('3. Enter Indicator Scores'!$D$10:$CZ$161,_xlpm.r,_xlpm.c),""),
  IF(OR(_xlpm.w="",_xlpm.v=""),"",_xlpm.v*_xlpm.w)
)</f>
        <v/>
      </c>
      <c r="BG55" s="93" t="str" cm="1">
        <f t="array" ref="BG55">_xlfn.LET(
  _xlpm.w, BG$11,
  _xlpm.r, MATCH(1,('3. Enter Indicator Scores'!$B$10:$B$161=$B55)*('3. Enter Indicator Scores'!$C$10:$C$161=$C55),0),
  _xlpm.c, MATCH(BG$8,'3. Enter Indicator Scores'!$D$8:$CZ$8,0),
  _xlpm.v, IFERROR(INDEX('3. Enter Indicator Scores'!$D$10:$CZ$161,_xlpm.r,_xlpm.c),""),
  IF(OR(_xlpm.w="",_xlpm.v=""),"",_xlpm.v*_xlpm.w)
)</f>
        <v/>
      </c>
      <c r="BH55" s="93" t="str" cm="1">
        <f t="array" ref="BH55">_xlfn.LET(
  _xlpm.w, BH$11,
  _xlpm.r, MATCH(1,('3. Enter Indicator Scores'!$B$10:$B$161=$B55)*('3. Enter Indicator Scores'!$C$10:$C$161=$C55),0),
  _xlpm.c, MATCH(BH$8,'3. Enter Indicator Scores'!$D$8:$CZ$8,0),
  _xlpm.v, IFERROR(INDEX('3. Enter Indicator Scores'!$D$10:$CZ$161,_xlpm.r,_xlpm.c),""),
  IF(OR(_xlpm.w="",_xlpm.v=""),"",_xlpm.v*_xlpm.w)
)</f>
        <v/>
      </c>
      <c r="BI55" s="93" t="str" cm="1">
        <f t="array" ref="BI55">_xlfn.LET(
  _xlpm.w, BI$11,
  _xlpm.r, MATCH(1,('3. Enter Indicator Scores'!$B$10:$B$161=$B55)*('3. Enter Indicator Scores'!$C$10:$C$161=$C55),0),
  _xlpm.c, MATCH(BI$8,'3. Enter Indicator Scores'!$D$8:$CZ$8,0),
  _xlpm.v, IFERROR(INDEX('3. Enter Indicator Scores'!$D$10:$CZ$161,_xlpm.r,_xlpm.c),""),
  IF(OR(_xlpm.w="",_xlpm.v=""),"",_xlpm.v*_xlpm.w)
)</f>
        <v/>
      </c>
      <c r="BJ55" s="93" t="str" cm="1">
        <f t="array" ref="BJ55">_xlfn.LET(
  _xlpm.w, BJ$11,
  _xlpm.r, MATCH(1,('3. Enter Indicator Scores'!$B$10:$B$161=$B55)*('3. Enter Indicator Scores'!$C$10:$C$161=$C55),0),
  _xlpm.c, MATCH(BJ$8,'3. Enter Indicator Scores'!$D$8:$CZ$8,0),
  _xlpm.v, IFERROR(INDEX('3. Enter Indicator Scores'!$D$10:$CZ$161,_xlpm.r,_xlpm.c),""),
  IF(OR(_xlpm.w="",_xlpm.v=""),"",_xlpm.v*_xlpm.w)
)</f>
        <v/>
      </c>
      <c r="BK55" s="93" t="str" cm="1">
        <f t="array" ref="BK55">_xlfn.LET(
  _xlpm.w, BK$11,
  _xlpm.r, MATCH(1,('3. Enter Indicator Scores'!$B$10:$B$161=$B55)*('3. Enter Indicator Scores'!$C$10:$C$161=$C55),0),
  _xlpm.c, MATCH(BK$8,'3. Enter Indicator Scores'!$D$8:$CZ$8,0),
  _xlpm.v, IFERROR(INDEX('3. Enter Indicator Scores'!$D$10:$CZ$161,_xlpm.r,_xlpm.c),""),
  IF(OR(_xlpm.w="",_xlpm.v=""),"",_xlpm.v*_xlpm.w)
)</f>
        <v/>
      </c>
      <c r="BL55" s="93" t="str" cm="1">
        <f t="array" ref="BL55">_xlfn.LET(
  _xlpm.w, BL$11,
  _xlpm.r, MATCH(1,('3. Enter Indicator Scores'!$B$10:$B$161=$B55)*('3. Enter Indicator Scores'!$C$10:$C$161=$C55),0),
  _xlpm.c, MATCH(BL$8,'3. Enter Indicator Scores'!$D$8:$CZ$8,0),
  _xlpm.v, IFERROR(INDEX('3. Enter Indicator Scores'!$D$10:$CZ$161,_xlpm.r,_xlpm.c),""),
  IF(OR(_xlpm.w="",_xlpm.v=""),"",_xlpm.v*_xlpm.w)
)</f>
        <v/>
      </c>
      <c r="BM55" s="93" t="str" cm="1">
        <f t="array" ref="BM55">_xlfn.LET(
  _xlpm.w, BM$11,
  _xlpm.r, MATCH(1,('3. Enter Indicator Scores'!$B$10:$B$161=$B55)*('3. Enter Indicator Scores'!$C$10:$C$161=$C55),0),
  _xlpm.c, MATCH(BM$8,'3. Enter Indicator Scores'!$D$8:$CZ$8,0),
  _xlpm.v, IFERROR(INDEX('3. Enter Indicator Scores'!$D$10:$CZ$161,_xlpm.r,_xlpm.c),""),
  IF(OR(_xlpm.w="",_xlpm.v=""),"",_xlpm.v*_xlpm.w)
)</f>
        <v/>
      </c>
      <c r="BN55" s="93" t="str" cm="1">
        <f t="array" ref="BN55">_xlfn.LET(
  _xlpm.w, BN$11,
  _xlpm.r, MATCH(1,('3. Enter Indicator Scores'!$B$10:$B$161=$B55)*('3. Enter Indicator Scores'!$C$10:$C$161=$C55),0),
  _xlpm.c, MATCH(BN$8,'3. Enter Indicator Scores'!$D$8:$CZ$8,0),
  _xlpm.v, IFERROR(INDEX('3. Enter Indicator Scores'!$D$10:$CZ$161,_xlpm.r,_xlpm.c),""),
  IF(OR(_xlpm.w="",_xlpm.v=""),"",_xlpm.v*_xlpm.w)
)</f>
        <v/>
      </c>
      <c r="BO55" s="93" t="str" cm="1">
        <f t="array" ref="BO55">_xlfn.LET(
  _xlpm.w, BO$11,
  _xlpm.r, MATCH(1,('3. Enter Indicator Scores'!$B$10:$B$161=$B55)*('3. Enter Indicator Scores'!$C$10:$C$161=$C55),0),
  _xlpm.c, MATCH(BO$8,'3. Enter Indicator Scores'!$D$8:$CZ$8,0),
  _xlpm.v, IFERROR(INDEX('3. Enter Indicator Scores'!$D$10:$CZ$161,_xlpm.r,_xlpm.c),""),
  IF(OR(_xlpm.w="",_xlpm.v=""),"",_xlpm.v*_xlpm.w)
)</f>
        <v/>
      </c>
      <c r="BP55" s="93" t="str" cm="1">
        <f t="array" ref="BP55">_xlfn.LET(
  _xlpm.w, BP$11,
  _xlpm.r, MATCH(1,('3. Enter Indicator Scores'!$B$10:$B$161=$B55)*('3. Enter Indicator Scores'!$C$10:$C$161=$C55),0),
  _xlpm.c, MATCH(BP$8,'3. Enter Indicator Scores'!$D$8:$CZ$8,0),
  _xlpm.v, IFERROR(INDEX('3. Enter Indicator Scores'!$D$10:$CZ$161,_xlpm.r,_xlpm.c),""),
  IF(OR(_xlpm.w="",_xlpm.v=""),"",_xlpm.v*_xlpm.w)
)</f>
        <v/>
      </c>
      <c r="BQ55" s="93" t="str" cm="1">
        <f t="array" ref="BQ55">_xlfn.LET(
  _xlpm.w, BQ$11,
  _xlpm.r, MATCH(1,('3. Enter Indicator Scores'!$B$10:$B$161=$B55)*('3. Enter Indicator Scores'!$C$10:$C$161=$C55),0),
  _xlpm.c, MATCH(BQ$8,'3. Enter Indicator Scores'!$D$8:$CZ$8,0),
  _xlpm.v, IFERROR(INDEX('3. Enter Indicator Scores'!$D$10:$CZ$161,_xlpm.r,_xlpm.c),""),
  IF(OR(_xlpm.w="",_xlpm.v=""),"",_xlpm.v*_xlpm.w)
)</f>
        <v/>
      </c>
      <c r="BR55" s="93" t="str" cm="1">
        <f t="array" ref="BR55">_xlfn.LET(
  _xlpm.w, BR$11,
  _xlpm.r, MATCH(1,('3. Enter Indicator Scores'!$B$10:$B$161=$B55)*('3. Enter Indicator Scores'!$C$10:$C$161=$C55),0),
  _xlpm.c, MATCH(BR$8,'3. Enter Indicator Scores'!$D$8:$CZ$8,0),
  _xlpm.v, IFERROR(INDEX('3. Enter Indicator Scores'!$D$10:$CZ$161,_xlpm.r,_xlpm.c),""),
  IF(OR(_xlpm.w="",_xlpm.v=""),"",_xlpm.v*_xlpm.w)
)</f>
        <v/>
      </c>
      <c r="BS55" s="93" t="str" cm="1">
        <f t="array" ref="BS55">_xlfn.LET(
  _xlpm.w, BS$11,
  _xlpm.r, MATCH(1,('3. Enter Indicator Scores'!$B$10:$B$161=$B55)*('3. Enter Indicator Scores'!$C$10:$C$161=$C55),0),
  _xlpm.c, MATCH(BS$8,'3. Enter Indicator Scores'!$D$8:$CZ$8,0),
  _xlpm.v, IFERROR(INDEX('3. Enter Indicator Scores'!$D$10:$CZ$161,_xlpm.r,_xlpm.c),""),
  IF(OR(_xlpm.w="",_xlpm.v=""),"",_xlpm.v*_xlpm.w)
)</f>
        <v/>
      </c>
      <c r="BT55" s="93" t="str" cm="1">
        <f t="array" ref="BT55">_xlfn.LET(
  _xlpm.w, BT$11,
  _xlpm.r, MATCH(1,('3. Enter Indicator Scores'!$B$10:$B$161=$B55)*('3. Enter Indicator Scores'!$C$10:$C$161=$C55),0),
  _xlpm.c, MATCH(BT$8,'3. Enter Indicator Scores'!$D$8:$CZ$8,0),
  _xlpm.v, IFERROR(INDEX('3. Enter Indicator Scores'!$D$10:$CZ$161,_xlpm.r,_xlpm.c),""),
  IF(OR(_xlpm.w="",_xlpm.v=""),"",_xlpm.v*_xlpm.w)
)</f>
        <v/>
      </c>
      <c r="BU55" s="93" t="str" cm="1">
        <f t="array" ref="BU55">_xlfn.LET(
  _xlpm.w, BU$11,
  _xlpm.r, MATCH(1,('3. Enter Indicator Scores'!$B$10:$B$161=$B55)*('3. Enter Indicator Scores'!$C$10:$C$161=$C55),0),
  _xlpm.c, MATCH(BU$8,'3. Enter Indicator Scores'!$D$8:$CZ$8,0),
  _xlpm.v, IFERROR(INDEX('3. Enter Indicator Scores'!$D$10:$CZ$161,_xlpm.r,_xlpm.c),""),
  IF(OR(_xlpm.w="",_xlpm.v=""),"",_xlpm.v*_xlpm.w)
)</f>
        <v/>
      </c>
      <c r="BV55" s="93" t="str" cm="1">
        <f t="array" ref="BV55">_xlfn.LET(
  _xlpm.w, BV$11,
  _xlpm.r, MATCH(1,('3. Enter Indicator Scores'!$B$10:$B$161=$B55)*('3. Enter Indicator Scores'!$C$10:$C$161=$C55),0),
  _xlpm.c, MATCH(BV$8,'3. Enter Indicator Scores'!$D$8:$CZ$8,0),
  _xlpm.v, IFERROR(INDEX('3. Enter Indicator Scores'!$D$10:$CZ$161,_xlpm.r,_xlpm.c),""),
  IF(OR(_xlpm.w="",_xlpm.v=""),"",_xlpm.v*_xlpm.w)
)</f>
        <v/>
      </c>
      <c r="BW55" s="93" t="str" cm="1">
        <f t="array" ref="BW55">_xlfn.LET(
  _xlpm.w, BW$11,
  _xlpm.r, MATCH(1,('3. Enter Indicator Scores'!$B$10:$B$161=$B55)*('3. Enter Indicator Scores'!$C$10:$C$161=$C55),0),
  _xlpm.c, MATCH(BW$8,'3. Enter Indicator Scores'!$D$8:$CZ$8,0),
  _xlpm.v, IFERROR(INDEX('3. Enter Indicator Scores'!$D$10:$CZ$161,_xlpm.r,_xlpm.c),""),
  IF(OR(_xlpm.w="",_xlpm.v=""),"",_xlpm.v*_xlpm.w)
)</f>
        <v/>
      </c>
      <c r="BX55" s="93" t="str" cm="1">
        <f t="array" ref="BX55">_xlfn.LET(
  _xlpm.w, BX$11,
  _xlpm.r, MATCH(1,('3. Enter Indicator Scores'!$B$10:$B$161=$B55)*('3. Enter Indicator Scores'!$C$10:$C$161=$C55),0),
  _xlpm.c, MATCH(BX$8,'3. Enter Indicator Scores'!$D$8:$CZ$8,0),
  _xlpm.v, IFERROR(INDEX('3. Enter Indicator Scores'!$D$10:$CZ$161,_xlpm.r,_xlpm.c),""),
  IF(OR(_xlpm.w="",_xlpm.v=""),"",_xlpm.v*_xlpm.w)
)</f>
        <v/>
      </c>
      <c r="BY55" s="93" t="str" cm="1">
        <f t="array" ref="BY55">_xlfn.LET(
  _xlpm.w, BY$11,
  _xlpm.r, MATCH(1,('3. Enter Indicator Scores'!$B$10:$B$161=$B55)*('3. Enter Indicator Scores'!$C$10:$C$161=$C55),0),
  _xlpm.c, MATCH(BY$8,'3. Enter Indicator Scores'!$D$8:$CZ$8,0),
  _xlpm.v, IFERROR(INDEX('3. Enter Indicator Scores'!$D$10:$CZ$161,_xlpm.r,_xlpm.c),""),
  IF(OR(_xlpm.w="",_xlpm.v=""),"",_xlpm.v*_xlpm.w)
)</f>
        <v/>
      </c>
      <c r="BZ55" s="93" t="str" cm="1">
        <f t="array" ref="BZ55">_xlfn.LET(
  _xlpm.w, BZ$11,
  _xlpm.r, MATCH(1,('3. Enter Indicator Scores'!$B$10:$B$161=$B55)*('3. Enter Indicator Scores'!$C$10:$C$161=$C55),0),
  _xlpm.c, MATCH(BZ$8,'3. Enter Indicator Scores'!$D$8:$CZ$8,0),
  _xlpm.v, IFERROR(INDEX('3. Enter Indicator Scores'!$D$10:$CZ$161,_xlpm.r,_xlpm.c),""),
  IF(OR(_xlpm.w="",_xlpm.v=""),"",_xlpm.v*_xlpm.w)
)</f>
        <v/>
      </c>
      <c r="CA55" s="93" t="str" cm="1">
        <f t="array" ref="CA55">_xlfn.LET(
  _xlpm.w, CA$11,
  _xlpm.r, MATCH(1,('3. Enter Indicator Scores'!$B$10:$B$161=$B55)*('3. Enter Indicator Scores'!$C$10:$C$161=$C55),0),
  _xlpm.c, MATCH(CA$8,'3. Enter Indicator Scores'!$D$8:$CZ$8,0),
  _xlpm.v, IFERROR(INDEX('3. Enter Indicator Scores'!$D$10:$CZ$161,_xlpm.r,_xlpm.c),""),
  IF(OR(_xlpm.w="",_xlpm.v=""),"",_xlpm.v*_xlpm.w)
)</f>
        <v/>
      </c>
      <c r="CB55" s="93" t="str" cm="1">
        <f t="array" ref="CB55">_xlfn.LET(
  _xlpm.w, CB$11,
  _xlpm.r, MATCH(1,('3. Enter Indicator Scores'!$B$10:$B$161=$B55)*('3. Enter Indicator Scores'!$C$10:$C$161=$C55),0),
  _xlpm.c, MATCH(CB$8,'3. Enter Indicator Scores'!$D$8:$CZ$8,0),
  _xlpm.v, IFERROR(INDEX('3. Enter Indicator Scores'!$D$10:$CZ$161,_xlpm.r,_xlpm.c),""),
  IF(OR(_xlpm.w="",_xlpm.v=""),"",_xlpm.v*_xlpm.w)
)</f>
        <v/>
      </c>
      <c r="CC55" s="93" t="str" cm="1">
        <f t="array" ref="CC55">_xlfn.LET(
  _xlpm.w, CC$11,
  _xlpm.r, MATCH(1,('3. Enter Indicator Scores'!$B$10:$B$161=$B55)*('3. Enter Indicator Scores'!$C$10:$C$161=$C55),0),
  _xlpm.c, MATCH(CC$8,'3. Enter Indicator Scores'!$D$8:$CZ$8,0),
  _xlpm.v, IFERROR(INDEX('3. Enter Indicator Scores'!$D$10:$CZ$161,_xlpm.r,_xlpm.c),""),
  IF(OR(_xlpm.w="",_xlpm.v=""),"",_xlpm.v*_xlpm.w)
)</f>
        <v/>
      </c>
      <c r="CD55" s="93" t="str" cm="1">
        <f t="array" ref="CD55">_xlfn.LET(
  _xlpm.w, CD$11,
  _xlpm.r, MATCH(1,('3. Enter Indicator Scores'!$B$10:$B$161=$B55)*('3. Enter Indicator Scores'!$C$10:$C$161=$C55),0),
  _xlpm.c, MATCH(CD$8,'3. Enter Indicator Scores'!$D$8:$CZ$8,0),
  _xlpm.v, IFERROR(INDEX('3. Enter Indicator Scores'!$D$10:$CZ$161,_xlpm.r,_xlpm.c),""),
  IF(OR(_xlpm.w="",_xlpm.v=""),"",_xlpm.v*_xlpm.w)
)</f>
        <v/>
      </c>
      <c r="CE55" s="93" t="str" cm="1">
        <f t="array" ref="CE55">_xlfn.LET(
  _xlpm.w, CE$11,
  _xlpm.r, MATCH(1,('3. Enter Indicator Scores'!$B$10:$B$161=$B55)*('3. Enter Indicator Scores'!$C$10:$C$161=$C55),0),
  _xlpm.c, MATCH(CE$8,'3. Enter Indicator Scores'!$D$8:$CZ$8,0),
  _xlpm.v, IFERROR(INDEX('3. Enter Indicator Scores'!$D$10:$CZ$161,_xlpm.r,_xlpm.c),""),
  IF(OR(_xlpm.w="",_xlpm.v=""),"",_xlpm.v*_xlpm.w)
)</f>
        <v/>
      </c>
      <c r="CF55" s="93" t="str" cm="1">
        <f t="array" ref="CF55">_xlfn.LET(
  _xlpm.w, CF$11,
  _xlpm.r, MATCH(1,('3. Enter Indicator Scores'!$B$10:$B$161=$B55)*('3. Enter Indicator Scores'!$C$10:$C$161=$C55),0),
  _xlpm.c, MATCH(CF$8,'3. Enter Indicator Scores'!$D$8:$CZ$8,0),
  _xlpm.v, IFERROR(INDEX('3. Enter Indicator Scores'!$D$10:$CZ$161,_xlpm.r,_xlpm.c),""),
  IF(OR(_xlpm.w="",_xlpm.v=""),"",_xlpm.v*_xlpm.w)
)</f>
        <v/>
      </c>
      <c r="CG55" s="93" t="str" cm="1">
        <f t="array" ref="CG55">_xlfn.LET(
  _xlpm.w, CG$11,
  _xlpm.r, MATCH(1,('3. Enter Indicator Scores'!$B$10:$B$161=$B55)*('3. Enter Indicator Scores'!$C$10:$C$161=$C55),0),
  _xlpm.c, MATCH(CG$8,'3. Enter Indicator Scores'!$D$8:$CZ$8,0),
  _xlpm.v, IFERROR(INDEX('3. Enter Indicator Scores'!$D$10:$CZ$161,_xlpm.r,_xlpm.c),""),
  IF(OR(_xlpm.w="",_xlpm.v=""),"",_xlpm.v*_xlpm.w)
)</f>
        <v/>
      </c>
      <c r="CH55" s="93" t="str" cm="1">
        <f t="array" ref="CH55">_xlfn.LET(
  _xlpm.w, CH$11,
  _xlpm.r, MATCH(1,('3. Enter Indicator Scores'!$B$10:$B$161=$B55)*('3. Enter Indicator Scores'!$C$10:$C$161=$C55),0),
  _xlpm.c, MATCH(CH$8,'3. Enter Indicator Scores'!$D$8:$CZ$8,0),
  _xlpm.v, IFERROR(INDEX('3. Enter Indicator Scores'!$D$10:$CZ$161,_xlpm.r,_xlpm.c),""),
  IF(OR(_xlpm.w="",_xlpm.v=""),"",_xlpm.v*_xlpm.w)
)</f>
        <v/>
      </c>
      <c r="CI55" s="93" t="str" cm="1">
        <f t="array" ref="CI55">_xlfn.LET(
  _xlpm.w, CI$11,
  _xlpm.r, MATCH(1,('3. Enter Indicator Scores'!$B$10:$B$161=$B55)*('3. Enter Indicator Scores'!$C$10:$C$161=$C55),0),
  _xlpm.c, MATCH(CI$8,'3. Enter Indicator Scores'!$D$8:$CZ$8,0),
  _xlpm.v, IFERROR(INDEX('3. Enter Indicator Scores'!$D$10:$CZ$161,_xlpm.r,_xlpm.c),""),
  IF(OR(_xlpm.w="",_xlpm.v=""),"",_xlpm.v*_xlpm.w)
)</f>
        <v/>
      </c>
      <c r="CJ55" s="93" t="str" cm="1">
        <f t="array" ref="CJ55">_xlfn.LET(
  _xlpm.w, CJ$11,
  _xlpm.r, MATCH(1,('3. Enter Indicator Scores'!$B$10:$B$161=$B55)*('3. Enter Indicator Scores'!$C$10:$C$161=$C55),0),
  _xlpm.c, MATCH(CJ$8,'3. Enter Indicator Scores'!$D$8:$CZ$8,0),
  _xlpm.v, IFERROR(INDEX('3. Enter Indicator Scores'!$D$10:$CZ$161,_xlpm.r,_xlpm.c),""),
  IF(OR(_xlpm.w="",_xlpm.v=""),"",_xlpm.v*_xlpm.w)
)</f>
        <v/>
      </c>
      <c r="CK55" s="93" t="str" cm="1">
        <f t="array" ref="CK55">_xlfn.LET(
  _xlpm.w, CK$11,
  _xlpm.r, MATCH(1,('3. Enter Indicator Scores'!$B$10:$B$161=$B55)*('3. Enter Indicator Scores'!$C$10:$C$161=$C55),0),
  _xlpm.c, MATCH(CK$8,'3. Enter Indicator Scores'!$D$8:$CZ$8,0),
  _xlpm.v, IFERROR(INDEX('3. Enter Indicator Scores'!$D$10:$CZ$161,_xlpm.r,_xlpm.c),""),
  IF(OR(_xlpm.w="",_xlpm.v=""),"",_xlpm.v*_xlpm.w)
)</f>
        <v/>
      </c>
      <c r="CL55" s="93" t="str" cm="1">
        <f t="array" ref="CL55">_xlfn.LET(
  _xlpm.w, CL$11,
  _xlpm.r, MATCH(1,('3. Enter Indicator Scores'!$B$10:$B$161=$B55)*('3. Enter Indicator Scores'!$C$10:$C$161=$C55),0),
  _xlpm.c, MATCH(CL$8,'3. Enter Indicator Scores'!$D$8:$CZ$8,0),
  _xlpm.v, IFERROR(INDEX('3. Enter Indicator Scores'!$D$10:$CZ$161,_xlpm.r,_xlpm.c),""),
  IF(OR(_xlpm.w="",_xlpm.v=""),"",_xlpm.v*_xlpm.w)
)</f>
        <v/>
      </c>
      <c r="CM55" s="93" t="str" cm="1">
        <f t="array" ref="CM55">_xlfn.LET(
  _xlpm.w, CM$11,
  _xlpm.r, MATCH(1,('3. Enter Indicator Scores'!$B$10:$B$161=$B55)*('3. Enter Indicator Scores'!$C$10:$C$161=$C55),0),
  _xlpm.c, MATCH(CM$8,'3. Enter Indicator Scores'!$D$8:$CZ$8,0),
  _xlpm.v, IFERROR(INDEX('3. Enter Indicator Scores'!$D$10:$CZ$161,_xlpm.r,_xlpm.c),""),
  IF(OR(_xlpm.w="",_xlpm.v=""),"",_xlpm.v*_xlpm.w)
)</f>
        <v/>
      </c>
      <c r="CN55" s="93" t="str" cm="1">
        <f t="array" ref="CN55">_xlfn.LET(
  _xlpm.w, CN$11,
  _xlpm.r, MATCH(1,('3. Enter Indicator Scores'!$B$10:$B$161=$B55)*('3. Enter Indicator Scores'!$C$10:$C$161=$C55),0),
  _xlpm.c, MATCH(CN$8,'3. Enter Indicator Scores'!$D$8:$CZ$8,0),
  _xlpm.v, IFERROR(INDEX('3. Enter Indicator Scores'!$D$10:$CZ$161,_xlpm.r,_xlpm.c),""),
  IF(OR(_xlpm.w="",_xlpm.v=""),"",_xlpm.v*_xlpm.w)
)</f>
        <v/>
      </c>
      <c r="CO55" s="93" t="str" cm="1">
        <f t="array" ref="CO55">_xlfn.LET(
  _xlpm.w, CO$11,
  _xlpm.r, MATCH(1,('3. Enter Indicator Scores'!$B$10:$B$161=$B55)*('3. Enter Indicator Scores'!$C$10:$C$161=$C55),0),
  _xlpm.c, MATCH(CO$8,'3. Enter Indicator Scores'!$D$8:$CZ$8,0),
  _xlpm.v, IFERROR(INDEX('3. Enter Indicator Scores'!$D$10:$CZ$161,_xlpm.r,_xlpm.c),""),
  IF(OR(_xlpm.w="",_xlpm.v=""),"",_xlpm.v*_xlpm.w)
)</f>
        <v/>
      </c>
      <c r="CP55" s="93" t="str" cm="1">
        <f t="array" ref="CP55">_xlfn.LET(
  _xlpm.w, CP$11,
  _xlpm.r, MATCH(1,('3. Enter Indicator Scores'!$B$10:$B$161=$B55)*('3. Enter Indicator Scores'!$C$10:$C$161=$C55),0),
  _xlpm.c, MATCH(CP$8,'3. Enter Indicator Scores'!$D$8:$CZ$8,0),
  _xlpm.v, IFERROR(INDEX('3. Enter Indicator Scores'!$D$10:$CZ$161,_xlpm.r,_xlpm.c),""),
  IF(OR(_xlpm.w="",_xlpm.v=""),"",_xlpm.v*_xlpm.w)
)</f>
        <v/>
      </c>
      <c r="CQ55" s="93" t="str" cm="1">
        <f t="array" ref="CQ55">_xlfn.LET(
  _xlpm.w, CQ$11,
  _xlpm.r, MATCH(1,('3. Enter Indicator Scores'!$B$10:$B$161=$B55)*('3. Enter Indicator Scores'!$C$10:$C$161=$C55),0),
  _xlpm.c, MATCH(CQ$8,'3. Enter Indicator Scores'!$D$8:$CZ$8,0),
  _xlpm.v, IFERROR(INDEX('3. Enter Indicator Scores'!$D$10:$CZ$161,_xlpm.r,_xlpm.c),""),
  IF(OR(_xlpm.w="",_xlpm.v=""),"",_xlpm.v*_xlpm.w)
)</f>
        <v/>
      </c>
      <c r="CR55" s="93" t="str" cm="1">
        <f t="array" ref="CR55">_xlfn.LET(
  _xlpm.w, CR$11,
  _xlpm.r, MATCH(1,('3. Enter Indicator Scores'!$B$10:$B$161=$B55)*('3. Enter Indicator Scores'!$C$10:$C$161=$C55),0),
  _xlpm.c, MATCH(CR$8,'3. Enter Indicator Scores'!$D$8:$CZ$8,0),
  _xlpm.v, IFERROR(INDEX('3. Enter Indicator Scores'!$D$10:$CZ$161,_xlpm.r,_xlpm.c),""),
  IF(OR(_xlpm.w="",_xlpm.v=""),"",_xlpm.v*_xlpm.w)
)</f>
        <v/>
      </c>
      <c r="CS55" s="93" t="str" cm="1">
        <f t="array" ref="CS55">_xlfn.LET(
  _xlpm.w, CS$11,
  _xlpm.r, MATCH(1,('3. Enter Indicator Scores'!$B$10:$B$161=$B55)*('3. Enter Indicator Scores'!$C$10:$C$161=$C55),0),
  _xlpm.c, MATCH(CS$8,'3. Enter Indicator Scores'!$D$8:$CZ$8,0),
  _xlpm.v, IFERROR(INDEX('3. Enter Indicator Scores'!$D$10:$CZ$161,_xlpm.r,_xlpm.c),""),
  IF(OR(_xlpm.w="",_xlpm.v=""),"",_xlpm.v*_xlpm.w)
)</f>
        <v/>
      </c>
      <c r="CT55" s="93" t="str" cm="1">
        <f t="array" ref="CT55">_xlfn.LET(
  _xlpm.w, CT$11,
  _xlpm.r, MATCH(1,('3. Enter Indicator Scores'!$B$10:$B$161=$B55)*('3. Enter Indicator Scores'!$C$10:$C$161=$C55),0),
  _xlpm.c, MATCH(CT$8,'3. Enter Indicator Scores'!$D$8:$CZ$8,0),
  _xlpm.v, IFERROR(INDEX('3. Enter Indicator Scores'!$D$10:$CZ$161,_xlpm.r,_xlpm.c),""),
  IF(OR(_xlpm.w="",_xlpm.v=""),"",_xlpm.v*_xlpm.w)
)</f>
        <v/>
      </c>
      <c r="CU55" s="93" t="str" cm="1">
        <f t="array" ref="CU55">_xlfn.LET(
  _xlpm.w, CU$11,
  _xlpm.r, MATCH(1,('3. Enter Indicator Scores'!$B$10:$B$161=$B55)*('3. Enter Indicator Scores'!$C$10:$C$161=$C55),0),
  _xlpm.c, MATCH(CU$8,'3. Enter Indicator Scores'!$D$8:$CZ$8,0),
  _xlpm.v, IFERROR(INDEX('3. Enter Indicator Scores'!$D$10:$CZ$161,_xlpm.r,_xlpm.c),""),
  IF(OR(_xlpm.w="",_xlpm.v=""),"",_xlpm.v*_xlpm.w)
)</f>
        <v/>
      </c>
      <c r="CV55" s="93" t="str" cm="1">
        <f t="array" ref="CV55">_xlfn.LET(
  _xlpm.w, CV$11,
  _xlpm.r, MATCH(1,('3. Enter Indicator Scores'!$B$10:$B$161=$B55)*('3. Enter Indicator Scores'!$C$10:$C$161=$C55),0),
  _xlpm.c, MATCH(CV$8,'3. Enter Indicator Scores'!$D$8:$CZ$8,0),
  _xlpm.v, IFERROR(INDEX('3. Enter Indicator Scores'!$D$10:$CZ$161,_xlpm.r,_xlpm.c),""),
  IF(OR(_xlpm.w="",_xlpm.v=""),"",_xlpm.v*_xlpm.w)
)</f>
        <v/>
      </c>
      <c r="CW55" s="93" t="str" cm="1">
        <f t="array" ref="CW55">_xlfn.LET(
  _xlpm.w, CW$11,
  _xlpm.r, MATCH(1,('3. Enter Indicator Scores'!$B$10:$B$161=$B55)*('3. Enter Indicator Scores'!$C$10:$C$161=$C55),0),
  _xlpm.c, MATCH(CW$8,'3. Enter Indicator Scores'!$D$8:$CZ$8,0),
  _xlpm.v, IFERROR(INDEX('3. Enter Indicator Scores'!$D$10:$CZ$161,_xlpm.r,_xlpm.c),""),
  IF(OR(_xlpm.w="",_xlpm.v=""),"",_xlpm.v*_xlpm.w)
)</f>
        <v/>
      </c>
      <c r="CX55" s="93" t="str" cm="1">
        <f t="array" ref="CX55">_xlfn.LET(
  _xlpm.w, CX$11,
  _xlpm.r, MATCH(1,('3. Enter Indicator Scores'!$B$10:$B$161=$B55)*('3. Enter Indicator Scores'!$C$10:$C$161=$C55),0),
  _xlpm.c, MATCH(CX$8,'3. Enter Indicator Scores'!$D$8:$CZ$8,0),
  _xlpm.v, IFERROR(INDEX('3. Enter Indicator Scores'!$D$10:$CZ$161,_xlpm.r,_xlpm.c),""),
  IF(OR(_xlpm.w="",_xlpm.v=""),"",_xlpm.v*_xlpm.w)
)</f>
        <v/>
      </c>
      <c r="CY55" s="93" t="str" cm="1">
        <f t="array" ref="CY55">_xlfn.LET(
  _xlpm.w, CY$11,
  _xlpm.r, MATCH(1,('3. Enter Indicator Scores'!$B$10:$B$161=$B55)*('3. Enter Indicator Scores'!$C$10:$C$161=$C55),0),
  _xlpm.c, MATCH(CY$8,'3. Enter Indicator Scores'!$D$8:$CZ$8,0),
  _xlpm.v, IFERROR(INDEX('3. Enter Indicator Scores'!$D$10:$CZ$161,_xlpm.r,_xlpm.c),""),
  IF(OR(_xlpm.w="",_xlpm.v=""),"",_xlpm.v*_xlpm.w)
)</f>
        <v/>
      </c>
      <c r="CZ55" s="93" t="str" cm="1">
        <f t="array" ref="CZ55">_xlfn.LET(
  _xlpm.w, CZ$11,
  _xlpm.r, MATCH(1,('3. Enter Indicator Scores'!$B$10:$B$161=$B55)*('3. Enter Indicator Scores'!$C$10:$C$161=$C55),0),
  _xlpm.c, MATCH(CZ$8,'3. Enter Indicator Scores'!$D$8:$CZ$8,0),
  _xlpm.v, IFERROR(INDEX('3. Enter Indicator Scores'!$D$10:$CZ$161,_xlpm.r,_xlpm.c),""),
  IF(OR(_xlpm.w="",_xlpm.v=""),"",_xlpm.v*_xlpm.w)
)</f>
        <v/>
      </c>
    </row>
    <row r="56" spans="4:104" x14ac:dyDescent="0.2">
      <c r="D56" s="93" t="str" cm="1">
        <f t="array" ref="D56">_xlfn.LET(
  _xlpm.w, D$11,
  _xlpm.r, MATCH(1,('3. Enter Indicator Scores'!$B$10:$B$161=$B56)*('3. Enter Indicator Scores'!$C$10:$C$161=$C56),0),
  _xlpm.c, MATCH(D$8,'3. Enter Indicator Scores'!$D$8:$CZ$8,0),
  _xlpm.v, IFERROR(INDEX('3. Enter Indicator Scores'!$D$10:$CZ$161,_xlpm.r,_xlpm.c),""),
  IF(OR(_xlpm.w="",_xlpm.v=""),"",_xlpm.v*_xlpm.w)
)</f>
        <v/>
      </c>
      <c r="E56" s="93" t="str" cm="1">
        <f t="array" ref="E56">_xlfn.LET(
  _xlpm.w, E$11,
  _xlpm.r, MATCH(1,('3. Enter Indicator Scores'!$B$10:$B$161=$B56)*('3. Enter Indicator Scores'!$C$10:$C$161=$C56),0),
  _xlpm.c, MATCH(E$8,'3. Enter Indicator Scores'!$D$8:$CZ$8,0),
  _xlpm.v, IFERROR(INDEX('3. Enter Indicator Scores'!$D$10:$CZ$161,_xlpm.r,_xlpm.c),""),
  IF(OR(_xlpm.w="",_xlpm.v=""),"",_xlpm.v*_xlpm.w)
)</f>
        <v/>
      </c>
      <c r="F56" s="93" t="str" cm="1">
        <f t="array" ref="F56">_xlfn.LET(
  _xlpm.w, F$11,
  _xlpm.r, MATCH(1,('3. Enter Indicator Scores'!$B$10:$B$161=$B56)*('3. Enter Indicator Scores'!$C$10:$C$161=$C56),0),
  _xlpm.c, MATCH(F$8,'3. Enter Indicator Scores'!$D$8:$CZ$8,0),
  _xlpm.v, IFERROR(INDEX('3. Enter Indicator Scores'!$D$10:$CZ$161,_xlpm.r,_xlpm.c),""),
  IF(OR(_xlpm.w="",_xlpm.v=""),"",_xlpm.v*_xlpm.w)
)</f>
        <v/>
      </c>
      <c r="G56" s="93" t="str" cm="1">
        <f t="array" ref="G56">_xlfn.LET(
  _xlpm.w, G$11,
  _xlpm.r, MATCH(1,('3. Enter Indicator Scores'!$B$10:$B$161=$B56)*('3. Enter Indicator Scores'!$C$10:$C$161=$C56),0),
  _xlpm.c, MATCH(G$8,'3. Enter Indicator Scores'!$D$8:$CZ$8,0),
  _xlpm.v, IFERROR(INDEX('3. Enter Indicator Scores'!$D$10:$CZ$161,_xlpm.r,_xlpm.c),""),
  IF(OR(_xlpm.w="",_xlpm.v=""),"",_xlpm.v*_xlpm.w)
)</f>
        <v/>
      </c>
      <c r="H56" s="93" t="str" cm="1">
        <f t="array" ref="H56">_xlfn.LET(
  _xlpm.w, H$11,
  _xlpm.r, MATCH(1,('3. Enter Indicator Scores'!$B$10:$B$161=$B56)*('3. Enter Indicator Scores'!$C$10:$C$161=$C56),0),
  _xlpm.c, MATCH(H$8,'3. Enter Indicator Scores'!$D$8:$CZ$8,0),
  _xlpm.v, IFERROR(INDEX('3. Enter Indicator Scores'!$D$10:$CZ$161,_xlpm.r,_xlpm.c),""),
  IF(OR(_xlpm.w="",_xlpm.v=""),"",_xlpm.v*_xlpm.w)
)</f>
        <v/>
      </c>
      <c r="I56" s="93" t="str" cm="1">
        <f t="array" ref="I56">_xlfn.LET(
  _xlpm.w, I$11,
  _xlpm.r, MATCH(1,('3. Enter Indicator Scores'!$B$10:$B$161=$B56)*('3. Enter Indicator Scores'!$C$10:$C$161=$C56),0),
  _xlpm.c, MATCH(I$8,'3. Enter Indicator Scores'!$D$8:$CZ$8,0),
  _xlpm.v, IFERROR(INDEX('3. Enter Indicator Scores'!$D$10:$CZ$161,_xlpm.r,_xlpm.c),""),
  IF(OR(_xlpm.w="",_xlpm.v=""),"",_xlpm.v*_xlpm.w)
)</f>
        <v/>
      </c>
      <c r="J56" s="93" t="str" cm="1">
        <f t="array" ref="J56">_xlfn.LET(
  _xlpm.w, J$11,
  _xlpm.r, MATCH(1,('3. Enter Indicator Scores'!$B$10:$B$161=$B56)*('3. Enter Indicator Scores'!$C$10:$C$161=$C56),0),
  _xlpm.c, MATCH(J$8,'3. Enter Indicator Scores'!$D$8:$CZ$8,0),
  _xlpm.v, IFERROR(INDEX('3. Enter Indicator Scores'!$D$10:$CZ$161,_xlpm.r,_xlpm.c),""),
  IF(OR(_xlpm.w="",_xlpm.v=""),"",_xlpm.v*_xlpm.w)
)</f>
        <v/>
      </c>
      <c r="K56" s="93" t="str" cm="1">
        <f t="array" ref="K56">_xlfn.LET(
  _xlpm.w, K$11,
  _xlpm.r, MATCH(1,('3. Enter Indicator Scores'!$B$10:$B$161=$B56)*('3. Enter Indicator Scores'!$C$10:$C$161=$C56),0),
  _xlpm.c, MATCH(K$8,'3. Enter Indicator Scores'!$D$8:$CZ$8,0),
  _xlpm.v, IFERROR(INDEX('3. Enter Indicator Scores'!$D$10:$CZ$161,_xlpm.r,_xlpm.c),""),
  IF(OR(_xlpm.w="",_xlpm.v=""),"",_xlpm.v*_xlpm.w)
)</f>
        <v/>
      </c>
      <c r="L56" s="93" t="str" cm="1">
        <f t="array" ref="L56">_xlfn.LET(
  _xlpm.w, L$11,
  _xlpm.r, MATCH(1,('3. Enter Indicator Scores'!$B$10:$B$161=$B56)*('3. Enter Indicator Scores'!$C$10:$C$161=$C56),0),
  _xlpm.c, MATCH(L$8,'3. Enter Indicator Scores'!$D$8:$CZ$8,0),
  _xlpm.v, IFERROR(INDEX('3. Enter Indicator Scores'!$D$10:$CZ$161,_xlpm.r,_xlpm.c),""),
  IF(OR(_xlpm.w="",_xlpm.v=""),"",_xlpm.v*_xlpm.w)
)</f>
        <v/>
      </c>
      <c r="M56" s="93" t="str" cm="1">
        <f t="array" ref="M56">_xlfn.LET(
  _xlpm.w, M$11,
  _xlpm.r, MATCH(1,('3. Enter Indicator Scores'!$B$10:$B$161=$B56)*('3. Enter Indicator Scores'!$C$10:$C$161=$C56),0),
  _xlpm.c, MATCH(M$8,'3. Enter Indicator Scores'!$D$8:$CZ$8,0),
  _xlpm.v, IFERROR(INDEX('3. Enter Indicator Scores'!$D$10:$CZ$161,_xlpm.r,_xlpm.c),""),
  IF(OR(_xlpm.w="",_xlpm.v=""),"",_xlpm.v*_xlpm.w)
)</f>
        <v/>
      </c>
      <c r="N56" s="93" t="str" cm="1">
        <f t="array" ref="N56">_xlfn.LET(
  _xlpm.w, N$11,
  _xlpm.r, MATCH(1,('3. Enter Indicator Scores'!$B$10:$B$161=$B56)*('3. Enter Indicator Scores'!$C$10:$C$161=$C56),0),
  _xlpm.c, MATCH(N$8,'3. Enter Indicator Scores'!$D$8:$CZ$8,0),
  _xlpm.v, IFERROR(INDEX('3. Enter Indicator Scores'!$D$10:$CZ$161,_xlpm.r,_xlpm.c),""),
  IF(OR(_xlpm.w="",_xlpm.v=""),"",_xlpm.v*_xlpm.w)
)</f>
        <v/>
      </c>
      <c r="O56" s="93" t="str" cm="1">
        <f t="array" ref="O56">_xlfn.LET(
  _xlpm.w, O$11,
  _xlpm.r, MATCH(1,('3. Enter Indicator Scores'!$B$10:$B$161=$B56)*('3. Enter Indicator Scores'!$C$10:$C$161=$C56),0),
  _xlpm.c, MATCH(O$8,'3. Enter Indicator Scores'!$D$8:$CZ$8,0),
  _xlpm.v, IFERROR(INDEX('3. Enter Indicator Scores'!$D$10:$CZ$161,_xlpm.r,_xlpm.c),""),
  IF(OR(_xlpm.w="",_xlpm.v=""),"",_xlpm.v*_xlpm.w)
)</f>
        <v/>
      </c>
      <c r="P56" s="93" t="str" cm="1">
        <f t="array" ref="P56">_xlfn.LET(
  _xlpm.w, P$11,
  _xlpm.r, MATCH(1,('3. Enter Indicator Scores'!$B$10:$B$161=$B56)*('3. Enter Indicator Scores'!$C$10:$C$161=$C56),0),
  _xlpm.c, MATCH(P$8,'3. Enter Indicator Scores'!$D$8:$CZ$8,0),
  _xlpm.v, IFERROR(INDEX('3. Enter Indicator Scores'!$D$10:$CZ$161,_xlpm.r,_xlpm.c),""),
  IF(OR(_xlpm.w="",_xlpm.v=""),"",_xlpm.v*_xlpm.w)
)</f>
        <v/>
      </c>
      <c r="Q56" s="93" t="str" cm="1">
        <f t="array" ref="Q56">_xlfn.LET(
  _xlpm.w, Q$11,
  _xlpm.r, MATCH(1,('3. Enter Indicator Scores'!$B$10:$B$161=$B56)*('3. Enter Indicator Scores'!$C$10:$C$161=$C56),0),
  _xlpm.c, MATCH(Q$8,'3. Enter Indicator Scores'!$D$8:$CZ$8,0),
  _xlpm.v, IFERROR(INDEX('3. Enter Indicator Scores'!$D$10:$CZ$161,_xlpm.r,_xlpm.c),""),
  IF(OR(_xlpm.w="",_xlpm.v=""),"",_xlpm.v*_xlpm.w)
)</f>
        <v/>
      </c>
      <c r="R56" s="93" t="str" cm="1">
        <f t="array" ref="R56">_xlfn.LET(
  _xlpm.w, R$11,
  _xlpm.r, MATCH(1,('3. Enter Indicator Scores'!$B$10:$B$161=$B56)*('3. Enter Indicator Scores'!$C$10:$C$161=$C56),0),
  _xlpm.c, MATCH(R$8,'3. Enter Indicator Scores'!$D$8:$CZ$8,0),
  _xlpm.v, IFERROR(INDEX('3. Enter Indicator Scores'!$D$10:$CZ$161,_xlpm.r,_xlpm.c),""),
  IF(OR(_xlpm.w="",_xlpm.v=""),"",_xlpm.v*_xlpm.w)
)</f>
        <v/>
      </c>
      <c r="S56" s="93" t="str" cm="1">
        <f t="array" ref="S56">_xlfn.LET(
  _xlpm.w, S$11,
  _xlpm.r, MATCH(1,('3. Enter Indicator Scores'!$B$10:$B$161=$B56)*('3. Enter Indicator Scores'!$C$10:$C$161=$C56),0),
  _xlpm.c, MATCH(S$8,'3. Enter Indicator Scores'!$D$8:$CZ$8,0),
  _xlpm.v, IFERROR(INDEX('3. Enter Indicator Scores'!$D$10:$CZ$161,_xlpm.r,_xlpm.c),""),
  IF(OR(_xlpm.w="",_xlpm.v=""),"",_xlpm.v*_xlpm.w)
)</f>
        <v/>
      </c>
      <c r="T56" s="93" t="str" cm="1">
        <f t="array" ref="T56">_xlfn.LET(
  _xlpm.w, T$11,
  _xlpm.r, MATCH(1,('3. Enter Indicator Scores'!$B$10:$B$161=$B56)*('3. Enter Indicator Scores'!$C$10:$C$161=$C56),0),
  _xlpm.c, MATCH(T$8,'3. Enter Indicator Scores'!$D$8:$CZ$8,0),
  _xlpm.v, IFERROR(INDEX('3. Enter Indicator Scores'!$D$10:$CZ$161,_xlpm.r,_xlpm.c),""),
  IF(OR(_xlpm.w="",_xlpm.v=""),"",_xlpm.v*_xlpm.w)
)</f>
        <v/>
      </c>
      <c r="U56" s="93" t="str" cm="1">
        <f t="array" ref="U56">_xlfn.LET(
  _xlpm.w, U$11,
  _xlpm.r, MATCH(1,('3. Enter Indicator Scores'!$B$10:$B$161=$B56)*('3. Enter Indicator Scores'!$C$10:$C$161=$C56),0),
  _xlpm.c, MATCH(U$8,'3. Enter Indicator Scores'!$D$8:$CZ$8,0),
  _xlpm.v, IFERROR(INDEX('3. Enter Indicator Scores'!$D$10:$CZ$161,_xlpm.r,_xlpm.c),""),
  IF(OR(_xlpm.w="",_xlpm.v=""),"",_xlpm.v*_xlpm.w)
)</f>
        <v/>
      </c>
      <c r="V56" s="93" t="str" cm="1">
        <f t="array" ref="V56">_xlfn.LET(
  _xlpm.w, V$11,
  _xlpm.r, MATCH(1,('3. Enter Indicator Scores'!$B$10:$B$161=$B56)*('3. Enter Indicator Scores'!$C$10:$C$161=$C56),0),
  _xlpm.c, MATCH(V$8,'3. Enter Indicator Scores'!$D$8:$CZ$8,0),
  _xlpm.v, IFERROR(INDEX('3. Enter Indicator Scores'!$D$10:$CZ$161,_xlpm.r,_xlpm.c),""),
  IF(OR(_xlpm.w="",_xlpm.v=""),"",_xlpm.v*_xlpm.w)
)</f>
        <v/>
      </c>
      <c r="W56" s="93" t="str" cm="1">
        <f t="array" ref="W56">_xlfn.LET(
  _xlpm.w, W$11,
  _xlpm.r, MATCH(1,('3. Enter Indicator Scores'!$B$10:$B$161=$B56)*('3. Enter Indicator Scores'!$C$10:$C$161=$C56),0),
  _xlpm.c, MATCH(W$8,'3. Enter Indicator Scores'!$D$8:$CZ$8,0),
  _xlpm.v, IFERROR(INDEX('3. Enter Indicator Scores'!$D$10:$CZ$161,_xlpm.r,_xlpm.c),""),
  IF(OR(_xlpm.w="",_xlpm.v=""),"",_xlpm.v*_xlpm.w)
)</f>
        <v/>
      </c>
      <c r="X56" s="93" t="str" cm="1">
        <f t="array" ref="X56">_xlfn.LET(
  _xlpm.w, X$11,
  _xlpm.r, MATCH(1,('3. Enter Indicator Scores'!$B$10:$B$161=$B56)*('3. Enter Indicator Scores'!$C$10:$C$161=$C56),0),
  _xlpm.c, MATCH(X$8,'3. Enter Indicator Scores'!$D$8:$CZ$8,0),
  _xlpm.v, IFERROR(INDEX('3. Enter Indicator Scores'!$D$10:$CZ$161,_xlpm.r,_xlpm.c),""),
  IF(OR(_xlpm.w="",_xlpm.v=""),"",_xlpm.v*_xlpm.w)
)</f>
        <v/>
      </c>
      <c r="Y56" s="93" t="str" cm="1">
        <f t="array" ref="Y56">_xlfn.LET(
  _xlpm.w, Y$11,
  _xlpm.r, MATCH(1,('3. Enter Indicator Scores'!$B$10:$B$161=$B56)*('3. Enter Indicator Scores'!$C$10:$C$161=$C56),0),
  _xlpm.c, MATCH(Y$8,'3. Enter Indicator Scores'!$D$8:$CZ$8,0),
  _xlpm.v, IFERROR(INDEX('3. Enter Indicator Scores'!$D$10:$CZ$161,_xlpm.r,_xlpm.c),""),
  IF(OR(_xlpm.w="",_xlpm.v=""),"",_xlpm.v*_xlpm.w)
)</f>
        <v/>
      </c>
      <c r="Z56" s="93" t="str" cm="1">
        <f t="array" ref="Z56">_xlfn.LET(
  _xlpm.w, Z$11,
  _xlpm.r, MATCH(1,('3. Enter Indicator Scores'!$B$10:$B$161=$B56)*('3. Enter Indicator Scores'!$C$10:$C$161=$C56),0),
  _xlpm.c, MATCH(Z$8,'3. Enter Indicator Scores'!$D$8:$CZ$8,0),
  _xlpm.v, IFERROR(INDEX('3. Enter Indicator Scores'!$D$10:$CZ$161,_xlpm.r,_xlpm.c),""),
  IF(OR(_xlpm.w="",_xlpm.v=""),"",_xlpm.v*_xlpm.w)
)</f>
        <v/>
      </c>
      <c r="AA56" s="93" t="str" cm="1">
        <f t="array" ref="AA56">_xlfn.LET(
  _xlpm.w, AA$11,
  _xlpm.r, MATCH(1,('3. Enter Indicator Scores'!$B$10:$B$161=$B56)*('3. Enter Indicator Scores'!$C$10:$C$161=$C56),0),
  _xlpm.c, MATCH(AA$8,'3. Enter Indicator Scores'!$D$8:$CZ$8,0),
  _xlpm.v, IFERROR(INDEX('3. Enter Indicator Scores'!$D$10:$CZ$161,_xlpm.r,_xlpm.c),""),
  IF(OR(_xlpm.w="",_xlpm.v=""),"",_xlpm.v*_xlpm.w)
)</f>
        <v/>
      </c>
      <c r="AB56" s="93" t="str" cm="1">
        <f t="array" ref="AB56">_xlfn.LET(
  _xlpm.w, AB$11,
  _xlpm.r, MATCH(1,('3. Enter Indicator Scores'!$B$10:$B$161=$B56)*('3. Enter Indicator Scores'!$C$10:$C$161=$C56),0),
  _xlpm.c, MATCH(AB$8,'3. Enter Indicator Scores'!$D$8:$CZ$8,0),
  _xlpm.v, IFERROR(INDEX('3. Enter Indicator Scores'!$D$10:$CZ$161,_xlpm.r,_xlpm.c),""),
  IF(OR(_xlpm.w="",_xlpm.v=""),"",_xlpm.v*_xlpm.w)
)</f>
        <v/>
      </c>
      <c r="AC56" s="93" t="str" cm="1">
        <f t="array" ref="AC56">_xlfn.LET(
  _xlpm.w, AC$11,
  _xlpm.r, MATCH(1,('3. Enter Indicator Scores'!$B$10:$B$161=$B56)*('3. Enter Indicator Scores'!$C$10:$C$161=$C56),0),
  _xlpm.c, MATCH(AC$8,'3. Enter Indicator Scores'!$D$8:$CZ$8,0),
  _xlpm.v, IFERROR(INDEX('3. Enter Indicator Scores'!$D$10:$CZ$161,_xlpm.r,_xlpm.c),""),
  IF(OR(_xlpm.w="",_xlpm.v=""),"",_xlpm.v*_xlpm.w)
)</f>
        <v/>
      </c>
      <c r="AD56" s="93" t="str" cm="1">
        <f t="array" ref="AD56">_xlfn.LET(
  _xlpm.w, AD$11,
  _xlpm.r, MATCH(1,('3. Enter Indicator Scores'!$B$10:$B$161=$B56)*('3. Enter Indicator Scores'!$C$10:$C$161=$C56),0),
  _xlpm.c, MATCH(AD$8,'3. Enter Indicator Scores'!$D$8:$CZ$8,0),
  _xlpm.v, IFERROR(INDEX('3. Enter Indicator Scores'!$D$10:$CZ$161,_xlpm.r,_xlpm.c),""),
  IF(OR(_xlpm.w="",_xlpm.v=""),"",_xlpm.v*_xlpm.w)
)</f>
        <v/>
      </c>
      <c r="AE56" s="93" t="str" cm="1">
        <f t="array" ref="AE56">_xlfn.LET(
  _xlpm.w, AE$11,
  _xlpm.r, MATCH(1,('3. Enter Indicator Scores'!$B$10:$B$161=$B56)*('3. Enter Indicator Scores'!$C$10:$C$161=$C56),0),
  _xlpm.c, MATCH(AE$8,'3. Enter Indicator Scores'!$D$8:$CZ$8,0),
  _xlpm.v, IFERROR(INDEX('3. Enter Indicator Scores'!$D$10:$CZ$161,_xlpm.r,_xlpm.c),""),
  IF(OR(_xlpm.w="",_xlpm.v=""),"",_xlpm.v*_xlpm.w)
)</f>
        <v/>
      </c>
      <c r="AF56" s="93" t="str" cm="1">
        <f t="array" ref="AF56">_xlfn.LET(
  _xlpm.w, AF$11,
  _xlpm.r, MATCH(1,('3. Enter Indicator Scores'!$B$10:$B$161=$B56)*('3. Enter Indicator Scores'!$C$10:$C$161=$C56),0),
  _xlpm.c, MATCH(AF$8,'3. Enter Indicator Scores'!$D$8:$CZ$8,0),
  _xlpm.v, IFERROR(INDEX('3. Enter Indicator Scores'!$D$10:$CZ$161,_xlpm.r,_xlpm.c),""),
  IF(OR(_xlpm.w="",_xlpm.v=""),"",_xlpm.v*_xlpm.w)
)</f>
        <v/>
      </c>
      <c r="AG56" s="93" t="str" cm="1">
        <f t="array" ref="AG56">_xlfn.LET(
  _xlpm.w, AG$11,
  _xlpm.r, MATCH(1,('3. Enter Indicator Scores'!$B$10:$B$161=$B56)*('3. Enter Indicator Scores'!$C$10:$C$161=$C56),0),
  _xlpm.c, MATCH(AG$8,'3. Enter Indicator Scores'!$D$8:$CZ$8,0),
  _xlpm.v, IFERROR(INDEX('3. Enter Indicator Scores'!$D$10:$CZ$161,_xlpm.r,_xlpm.c),""),
  IF(OR(_xlpm.w="",_xlpm.v=""),"",_xlpm.v*_xlpm.w)
)</f>
        <v/>
      </c>
      <c r="AH56" s="93" t="str" cm="1">
        <f t="array" ref="AH56">_xlfn.LET(
  _xlpm.w, AH$11,
  _xlpm.r, MATCH(1,('3. Enter Indicator Scores'!$B$10:$B$161=$B56)*('3. Enter Indicator Scores'!$C$10:$C$161=$C56),0),
  _xlpm.c, MATCH(AH$8,'3. Enter Indicator Scores'!$D$8:$CZ$8,0),
  _xlpm.v, IFERROR(INDEX('3. Enter Indicator Scores'!$D$10:$CZ$161,_xlpm.r,_xlpm.c),""),
  IF(OR(_xlpm.w="",_xlpm.v=""),"",_xlpm.v*_xlpm.w)
)</f>
        <v/>
      </c>
      <c r="AI56" s="93" t="str" cm="1">
        <f t="array" ref="AI56">_xlfn.LET(
  _xlpm.w, AI$11,
  _xlpm.r, MATCH(1,('3. Enter Indicator Scores'!$B$10:$B$161=$B56)*('3. Enter Indicator Scores'!$C$10:$C$161=$C56),0),
  _xlpm.c, MATCH(AI$8,'3. Enter Indicator Scores'!$D$8:$CZ$8,0),
  _xlpm.v, IFERROR(INDEX('3. Enter Indicator Scores'!$D$10:$CZ$161,_xlpm.r,_xlpm.c),""),
  IF(OR(_xlpm.w="",_xlpm.v=""),"",_xlpm.v*_xlpm.w)
)</f>
        <v/>
      </c>
      <c r="AJ56" s="93" t="str" cm="1">
        <f t="array" ref="AJ56">_xlfn.LET(
  _xlpm.w, AJ$11,
  _xlpm.r, MATCH(1,('3. Enter Indicator Scores'!$B$10:$B$161=$B56)*('3. Enter Indicator Scores'!$C$10:$C$161=$C56),0),
  _xlpm.c, MATCH(AJ$8,'3. Enter Indicator Scores'!$D$8:$CZ$8,0),
  _xlpm.v, IFERROR(INDEX('3. Enter Indicator Scores'!$D$10:$CZ$161,_xlpm.r,_xlpm.c),""),
  IF(OR(_xlpm.w="",_xlpm.v=""),"",_xlpm.v*_xlpm.w)
)</f>
        <v/>
      </c>
      <c r="AK56" s="93" t="str" cm="1">
        <f t="array" ref="AK56">_xlfn.LET(
  _xlpm.w, AK$11,
  _xlpm.r, MATCH(1,('3. Enter Indicator Scores'!$B$10:$B$161=$B56)*('3. Enter Indicator Scores'!$C$10:$C$161=$C56),0),
  _xlpm.c, MATCH(AK$8,'3. Enter Indicator Scores'!$D$8:$CZ$8,0),
  _xlpm.v, IFERROR(INDEX('3. Enter Indicator Scores'!$D$10:$CZ$161,_xlpm.r,_xlpm.c),""),
  IF(OR(_xlpm.w="",_xlpm.v=""),"",_xlpm.v*_xlpm.w)
)</f>
        <v/>
      </c>
      <c r="AL56" s="93" t="str" cm="1">
        <f t="array" ref="AL56">_xlfn.LET(
  _xlpm.w, AL$11,
  _xlpm.r, MATCH(1,('3. Enter Indicator Scores'!$B$10:$B$161=$B56)*('3. Enter Indicator Scores'!$C$10:$C$161=$C56),0),
  _xlpm.c, MATCH(AL$8,'3. Enter Indicator Scores'!$D$8:$CZ$8,0),
  _xlpm.v, IFERROR(INDEX('3. Enter Indicator Scores'!$D$10:$CZ$161,_xlpm.r,_xlpm.c),""),
  IF(OR(_xlpm.w="",_xlpm.v=""),"",_xlpm.v*_xlpm.w)
)</f>
        <v/>
      </c>
      <c r="AM56" s="93" t="str" cm="1">
        <f t="array" ref="AM56">_xlfn.LET(
  _xlpm.w, AM$11,
  _xlpm.r, MATCH(1,('3. Enter Indicator Scores'!$B$10:$B$161=$B56)*('3. Enter Indicator Scores'!$C$10:$C$161=$C56),0),
  _xlpm.c, MATCH(AM$8,'3. Enter Indicator Scores'!$D$8:$CZ$8,0),
  _xlpm.v, IFERROR(INDEX('3. Enter Indicator Scores'!$D$10:$CZ$161,_xlpm.r,_xlpm.c),""),
  IF(OR(_xlpm.w="",_xlpm.v=""),"",_xlpm.v*_xlpm.w)
)</f>
        <v/>
      </c>
      <c r="AN56" s="93" t="str" cm="1">
        <f t="array" ref="AN56">_xlfn.LET(
  _xlpm.w, AN$11,
  _xlpm.r, MATCH(1,('3. Enter Indicator Scores'!$B$10:$B$161=$B56)*('3. Enter Indicator Scores'!$C$10:$C$161=$C56),0),
  _xlpm.c, MATCH(AN$8,'3. Enter Indicator Scores'!$D$8:$CZ$8,0),
  _xlpm.v, IFERROR(INDEX('3. Enter Indicator Scores'!$D$10:$CZ$161,_xlpm.r,_xlpm.c),""),
  IF(OR(_xlpm.w="",_xlpm.v=""),"",_xlpm.v*_xlpm.w)
)</f>
        <v/>
      </c>
      <c r="AO56" s="93" t="str" cm="1">
        <f t="array" ref="AO56">_xlfn.LET(
  _xlpm.w, AO$11,
  _xlpm.r, MATCH(1,('3. Enter Indicator Scores'!$B$10:$B$161=$B56)*('3. Enter Indicator Scores'!$C$10:$C$161=$C56),0),
  _xlpm.c, MATCH(AO$8,'3. Enter Indicator Scores'!$D$8:$CZ$8,0),
  _xlpm.v, IFERROR(INDEX('3. Enter Indicator Scores'!$D$10:$CZ$161,_xlpm.r,_xlpm.c),""),
  IF(OR(_xlpm.w="",_xlpm.v=""),"",_xlpm.v*_xlpm.w)
)</f>
        <v/>
      </c>
      <c r="AP56" s="93" t="str" cm="1">
        <f t="array" ref="AP56">_xlfn.LET(
  _xlpm.w, AP$11,
  _xlpm.r, MATCH(1,('3. Enter Indicator Scores'!$B$10:$B$161=$B56)*('3. Enter Indicator Scores'!$C$10:$C$161=$C56),0),
  _xlpm.c, MATCH(AP$8,'3. Enter Indicator Scores'!$D$8:$CZ$8,0),
  _xlpm.v, IFERROR(INDEX('3. Enter Indicator Scores'!$D$10:$CZ$161,_xlpm.r,_xlpm.c),""),
  IF(OR(_xlpm.w="",_xlpm.v=""),"",_xlpm.v*_xlpm.w)
)</f>
        <v/>
      </c>
      <c r="AQ56" s="93" t="str" cm="1">
        <f t="array" ref="AQ56">_xlfn.LET(
  _xlpm.w, AQ$11,
  _xlpm.r, MATCH(1,('3. Enter Indicator Scores'!$B$10:$B$161=$B56)*('3. Enter Indicator Scores'!$C$10:$C$161=$C56),0),
  _xlpm.c, MATCH(AQ$8,'3. Enter Indicator Scores'!$D$8:$CZ$8,0),
  _xlpm.v, IFERROR(INDEX('3. Enter Indicator Scores'!$D$10:$CZ$161,_xlpm.r,_xlpm.c),""),
  IF(OR(_xlpm.w="",_xlpm.v=""),"",_xlpm.v*_xlpm.w)
)</f>
        <v/>
      </c>
      <c r="AR56" s="93" t="str" cm="1">
        <f t="array" ref="AR56">_xlfn.LET(
  _xlpm.w, AR$11,
  _xlpm.r, MATCH(1,('3. Enter Indicator Scores'!$B$10:$B$161=$B56)*('3. Enter Indicator Scores'!$C$10:$C$161=$C56),0),
  _xlpm.c, MATCH(AR$8,'3. Enter Indicator Scores'!$D$8:$CZ$8,0),
  _xlpm.v, IFERROR(INDEX('3. Enter Indicator Scores'!$D$10:$CZ$161,_xlpm.r,_xlpm.c),""),
  IF(OR(_xlpm.w="",_xlpm.v=""),"",_xlpm.v*_xlpm.w)
)</f>
        <v/>
      </c>
      <c r="AS56" s="93" t="str" cm="1">
        <f t="array" ref="AS56">_xlfn.LET(
  _xlpm.w, AS$11,
  _xlpm.r, MATCH(1,('3. Enter Indicator Scores'!$B$10:$B$161=$B56)*('3. Enter Indicator Scores'!$C$10:$C$161=$C56),0),
  _xlpm.c, MATCH(AS$8,'3. Enter Indicator Scores'!$D$8:$CZ$8,0),
  _xlpm.v, IFERROR(INDEX('3. Enter Indicator Scores'!$D$10:$CZ$161,_xlpm.r,_xlpm.c),""),
  IF(OR(_xlpm.w="",_xlpm.v=""),"",_xlpm.v*_xlpm.w)
)</f>
        <v/>
      </c>
      <c r="AT56" s="93" t="str" cm="1">
        <f t="array" ref="AT56">_xlfn.LET(
  _xlpm.w, AT$11,
  _xlpm.r, MATCH(1,('3. Enter Indicator Scores'!$B$10:$B$161=$B56)*('3. Enter Indicator Scores'!$C$10:$C$161=$C56),0),
  _xlpm.c, MATCH(AT$8,'3. Enter Indicator Scores'!$D$8:$CZ$8,0),
  _xlpm.v, IFERROR(INDEX('3. Enter Indicator Scores'!$D$10:$CZ$161,_xlpm.r,_xlpm.c),""),
  IF(OR(_xlpm.w="",_xlpm.v=""),"",_xlpm.v*_xlpm.w)
)</f>
        <v/>
      </c>
      <c r="AU56" s="93" t="str" cm="1">
        <f t="array" ref="AU56">_xlfn.LET(
  _xlpm.w, AU$11,
  _xlpm.r, MATCH(1,('3. Enter Indicator Scores'!$B$10:$B$161=$B56)*('3. Enter Indicator Scores'!$C$10:$C$161=$C56),0),
  _xlpm.c, MATCH(AU$8,'3. Enter Indicator Scores'!$D$8:$CZ$8,0),
  _xlpm.v, IFERROR(INDEX('3. Enter Indicator Scores'!$D$10:$CZ$161,_xlpm.r,_xlpm.c),""),
  IF(OR(_xlpm.w="",_xlpm.v=""),"",_xlpm.v*_xlpm.w)
)</f>
        <v/>
      </c>
      <c r="AV56" s="93" t="str" cm="1">
        <f t="array" ref="AV56">_xlfn.LET(
  _xlpm.w, AV$11,
  _xlpm.r, MATCH(1,('3. Enter Indicator Scores'!$B$10:$B$161=$B56)*('3. Enter Indicator Scores'!$C$10:$C$161=$C56),0),
  _xlpm.c, MATCH(AV$8,'3. Enter Indicator Scores'!$D$8:$CZ$8,0),
  _xlpm.v, IFERROR(INDEX('3. Enter Indicator Scores'!$D$10:$CZ$161,_xlpm.r,_xlpm.c),""),
  IF(OR(_xlpm.w="",_xlpm.v=""),"",_xlpm.v*_xlpm.w)
)</f>
        <v/>
      </c>
      <c r="AW56" s="93" t="str" cm="1">
        <f t="array" ref="AW56">_xlfn.LET(
  _xlpm.w, AW$11,
  _xlpm.r, MATCH(1,('3. Enter Indicator Scores'!$B$10:$B$161=$B56)*('3. Enter Indicator Scores'!$C$10:$C$161=$C56),0),
  _xlpm.c, MATCH(AW$8,'3. Enter Indicator Scores'!$D$8:$CZ$8,0),
  _xlpm.v, IFERROR(INDEX('3. Enter Indicator Scores'!$D$10:$CZ$161,_xlpm.r,_xlpm.c),""),
  IF(OR(_xlpm.w="",_xlpm.v=""),"",_xlpm.v*_xlpm.w)
)</f>
        <v/>
      </c>
      <c r="AX56" s="93" t="str" cm="1">
        <f t="array" ref="AX56">_xlfn.LET(
  _xlpm.w, AX$11,
  _xlpm.r, MATCH(1,('3. Enter Indicator Scores'!$B$10:$B$161=$B56)*('3. Enter Indicator Scores'!$C$10:$C$161=$C56),0),
  _xlpm.c, MATCH(AX$8,'3. Enter Indicator Scores'!$D$8:$CZ$8,0),
  _xlpm.v, IFERROR(INDEX('3. Enter Indicator Scores'!$D$10:$CZ$161,_xlpm.r,_xlpm.c),""),
  IF(OR(_xlpm.w="",_xlpm.v=""),"",_xlpm.v*_xlpm.w)
)</f>
        <v/>
      </c>
      <c r="AY56" s="93" t="str" cm="1">
        <f t="array" ref="AY56">_xlfn.LET(
  _xlpm.w, AY$11,
  _xlpm.r, MATCH(1,('3. Enter Indicator Scores'!$B$10:$B$161=$B56)*('3. Enter Indicator Scores'!$C$10:$C$161=$C56),0),
  _xlpm.c, MATCH(AY$8,'3. Enter Indicator Scores'!$D$8:$CZ$8,0),
  _xlpm.v, IFERROR(INDEX('3. Enter Indicator Scores'!$D$10:$CZ$161,_xlpm.r,_xlpm.c),""),
  IF(OR(_xlpm.w="",_xlpm.v=""),"",_xlpm.v*_xlpm.w)
)</f>
        <v/>
      </c>
      <c r="AZ56" s="93" t="str" cm="1">
        <f t="array" ref="AZ56">_xlfn.LET(
  _xlpm.w, AZ$11,
  _xlpm.r, MATCH(1,('3. Enter Indicator Scores'!$B$10:$B$161=$B56)*('3. Enter Indicator Scores'!$C$10:$C$161=$C56),0),
  _xlpm.c, MATCH(AZ$8,'3. Enter Indicator Scores'!$D$8:$CZ$8,0),
  _xlpm.v, IFERROR(INDEX('3. Enter Indicator Scores'!$D$10:$CZ$161,_xlpm.r,_xlpm.c),""),
  IF(OR(_xlpm.w="",_xlpm.v=""),"",_xlpm.v*_xlpm.w)
)</f>
        <v/>
      </c>
      <c r="BA56" s="93" t="str" cm="1">
        <f t="array" ref="BA56">_xlfn.LET(
  _xlpm.w, BA$11,
  _xlpm.r, MATCH(1,('3. Enter Indicator Scores'!$B$10:$B$161=$B56)*('3. Enter Indicator Scores'!$C$10:$C$161=$C56),0),
  _xlpm.c, MATCH(BA$8,'3. Enter Indicator Scores'!$D$8:$CZ$8,0),
  _xlpm.v, IFERROR(INDEX('3. Enter Indicator Scores'!$D$10:$CZ$161,_xlpm.r,_xlpm.c),""),
  IF(OR(_xlpm.w="",_xlpm.v=""),"",_xlpm.v*_xlpm.w)
)</f>
        <v/>
      </c>
      <c r="BB56" s="93" t="str" cm="1">
        <f t="array" ref="BB56">_xlfn.LET(
  _xlpm.w, BB$11,
  _xlpm.r, MATCH(1,('3. Enter Indicator Scores'!$B$10:$B$161=$B56)*('3. Enter Indicator Scores'!$C$10:$C$161=$C56),0),
  _xlpm.c, MATCH(BB$8,'3. Enter Indicator Scores'!$D$8:$CZ$8,0),
  _xlpm.v, IFERROR(INDEX('3. Enter Indicator Scores'!$D$10:$CZ$161,_xlpm.r,_xlpm.c),""),
  IF(OR(_xlpm.w="",_xlpm.v=""),"",_xlpm.v*_xlpm.w)
)</f>
        <v/>
      </c>
      <c r="BC56" s="93" t="str" cm="1">
        <f t="array" ref="BC56">_xlfn.LET(
  _xlpm.w, BC$11,
  _xlpm.r, MATCH(1,('3. Enter Indicator Scores'!$B$10:$B$161=$B56)*('3. Enter Indicator Scores'!$C$10:$C$161=$C56),0),
  _xlpm.c, MATCH(BC$8,'3. Enter Indicator Scores'!$D$8:$CZ$8,0),
  _xlpm.v, IFERROR(INDEX('3. Enter Indicator Scores'!$D$10:$CZ$161,_xlpm.r,_xlpm.c),""),
  IF(OR(_xlpm.w="",_xlpm.v=""),"",_xlpm.v*_xlpm.w)
)</f>
        <v/>
      </c>
      <c r="BD56" s="93" t="str" cm="1">
        <f t="array" ref="BD56">_xlfn.LET(
  _xlpm.w, BD$11,
  _xlpm.r, MATCH(1,('3. Enter Indicator Scores'!$B$10:$B$161=$B56)*('3. Enter Indicator Scores'!$C$10:$C$161=$C56),0),
  _xlpm.c, MATCH(BD$8,'3. Enter Indicator Scores'!$D$8:$CZ$8,0),
  _xlpm.v, IFERROR(INDEX('3. Enter Indicator Scores'!$D$10:$CZ$161,_xlpm.r,_xlpm.c),""),
  IF(OR(_xlpm.w="",_xlpm.v=""),"",_xlpm.v*_xlpm.w)
)</f>
        <v/>
      </c>
      <c r="BE56" s="93" t="str" cm="1">
        <f t="array" ref="BE56">_xlfn.LET(
  _xlpm.w, BE$11,
  _xlpm.r, MATCH(1,('3. Enter Indicator Scores'!$B$10:$B$161=$B56)*('3. Enter Indicator Scores'!$C$10:$C$161=$C56),0),
  _xlpm.c, MATCH(BE$8,'3. Enter Indicator Scores'!$D$8:$CZ$8,0),
  _xlpm.v, IFERROR(INDEX('3. Enter Indicator Scores'!$D$10:$CZ$161,_xlpm.r,_xlpm.c),""),
  IF(OR(_xlpm.w="",_xlpm.v=""),"",_xlpm.v*_xlpm.w)
)</f>
        <v/>
      </c>
      <c r="BF56" s="93" t="str" cm="1">
        <f t="array" ref="BF56">_xlfn.LET(
  _xlpm.w, BF$11,
  _xlpm.r, MATCH(1,('3. Enter Indicator Scores'!$B$10:$B$161=$B56)*('3. Enter Indicator Scores'!$C$10:$C$161=$C56),0),
  _xlpm.c, MATCH(BF$8,'3. Enter Indicator Scores'!$D$8:$CZ$8,0),
  _xlpm.v, IFERROR(INDEX('3. Enter Indicator Scores'!$D$10:$CZ$161,_xlpm.r,_xlpm.c),""),
  IF(OR(_xlpm.w="",_xlpm.v=""),"",_xlpm.v*_xlpm.w)
)</f>
        <v/>
      </c>
      <c r="BG56" s="93" t="str" cm="1">
        <f t="array" ref="BG56">_xlfn.LET(
  _xlpm.w, BG$11,
  _xlpm.r, MATCH(1,('3. Enter Indicator Scores'!$B$10:$B$161=$B56)*('3. Enter Indicator Scores'!$C$10:$C$161=$C56),0),
  _xlpm.c, MATCH(BG$8,'3. Enter Indicator Scores'!$D$8:$CZ$8,0),
  _xlpm.v, IFERROR(INDEX('3. Enter Indicator Scores'!$D$10:$CZ$161,_xlpm.r,_xlpm.c),""),
  IF(OR(_xlpm.w="",_xlpm.v=""),"",_xlpm.v*_xlpm.w)
)</f>
        <v/>
      </c>
      <c r="BH56" s="93" t="str" cm="1">
        <f t="array" ref="BH56">_xlfn.LET(
  _xlpm.w, BH$11,
  _xlpm.r, MATCH(1,('3. Enter Indicator Scores'!$B$10:$B$161=$B56)*('3. Enter Indicator Scores'!$C$10:$C$161=$C56),0),
  _xlpm.c, MATCH(BH$8,'3. Enter Indicator Scores'!$D$8:$CZ$8,0),
  _xlpm.v, IFERROR(INDEX('3. Enter Indicator Scores'!$D$10:$CZ$161,_xlpm.r,_xlpm.c),""),
  IF(OR(_xlpm.w="",_xlpm.v=""),"",_xlpm.v*_xlpm.w)
)</f>
        <v/>
      </c>
      <c r="BI56" s="93" t="str" cm="1">
        <f t="array" ref="BI56">_xlfn.LET(
  _xlpm.w, BI$11,
  _xlpm.r, MATCH(1,('3. Enter Indicator Scores'!$B$10:$B$161=$B56)*('3. Enter Indicator Scores'!$C$10:$C$161=$C56),0),
  _xlpm.c, MATCH(BI$8,'3. Enter Indicator Scores'!$D$8:$CZ$8,0),
  _xlpm.v, IFERROR(INDEX('3. Enter Indicator Scores'!$D$10:$CZ$161,_xlpm.r,_xlpm.c),""),
  IF(OR(_xlpm.w="",_xlpm.v=""),"",_xlpm.v*_xlpm.w)
)</f>
        <v/>
      </c>
      <c r="BJ56" s="93" t="str" cm="1">
        <f t="array" ref="BJ56">_xlfn.LET(
  _xlpm.w, BJ$11,
  _xlpm.r, MATCH(1,('3. Enter Indicator Scores'!$B$10:$B$161=$B56)*('3. Enter Indicator Scores'!$C$10:$C$161=$C56),0),
  _xlpm.c, MATCH(BJ$8,'3. Enter Indicator Scores'!$D$8:$CZ$8,0),
  _xlpm.v, IFERROR(INDEX('3. Enter Indicator Scores'!$D$10:$CZ$161,_xlpm.r,_xlpm.c),""),
  IF(OR(_xlpm.w="",_xlpm.v=""),"",_xlpm.v*_xlpm.w)
)</f>
        <v/>
      </c>
      <c r="BK56" s="93" t="str" cm="1">
        <f t="array" ref="BK56">_xlfn.LET(
  _xlpm.w, BK$11,
  _xlpm.r, MATCH(1,('3. Enter Indicator Scores'!$B$10:$B$161=$B56)*('3. Enter Indicator Scores'!$C$10:$C$161=$C56),0),
  _xlpm.c, MATCH(BK$8,'3. Enter Indicator Scores'!$D$8:$CZ$8,0),
  _xlpm.v, IFERROR(INDEX('3. Enter Indicator Scores'!$D$10:$CZ$161,_xlpm.r,_xlpm.c),""),
  IF(OR(_xlpm.w="",_xlpm.v=""),"",_xlpm.v*_xlpm.w)
)</f>
        <v/>
      </c>
      <c r="BL56" s="93" t="str" cm="1">
        <f t="array" ref="BL56">_xlfn.LET(
  _xlpm.w, BL$11,
  _xlpm.r, MATCH(1,('3. Enter Indicator Scores'!$B$10:$B$161=$B56)*('3. Enter Indicator Scores'!$C$10:$C$161=$C56),0),
  _xlpm.c, MATCH(BL$8,'3. Enter Indicator Scores'!$D$8:$CZ$8,0),
  _xlpm.v, IFERROR(INDEX('3. Enter Indicator Scores'!$D$10:$CZ$161,_xlpm.r,_xlpm.c),""),
  IF(OR(_xlpm.w="",_xlpm.v=""),"",_xlpm.v*_xlpm.w)
)</f>
        <v/>
      </c>
      <c r="BM56" s="93" t="str" cm="1">
        <f t="array" ref="BM56">_xlfn.LET(
  _xlpm.w, BM$11,
  _xlpm.r, MATCH(1,('3. Enter Indicator Scores'!$B$10:$B$161=$B56)*('3. Enter Indicator Scores'!$C$10:$C$161=$C56),0),
  _xlpm.c, MATCH(BM$8,'3. Enter Indicator Scores'!$D$8:$CZ$8,0),
  _xlpm.v, IFERROR(INDEX('3. Enter Indicator Scores'!$D$10:$CZ$161,_xlpm.r,_xlpm.c),""),
  IF(OR(_xlpm.w="",_xlpm.v=""),"",_xlpm.v*_xlpm.w)
)</f>
        <v/>
      </c>
      <c r="BN56" s="93" t="str" cm="1">
        <f t="array" ref="BN56">_xlfn.LET(
  _xlpm.w, BN$11,
  _xlpm.r, MATCH(1,('3. Enter Indicator Scores'!$B$10:$B$161=$B56)*('3. Enter Indicator Scores'!$C$10:$C$161=$C56),0),
  _xlpm.c, MATCH(BN$8,'3. Enter Indicator Scores'!$D$8:$CZ$8,0),
  _xlpm.v, IFERROR(INDEX('3. Enter Indicator Scores'!$D$10:$CZ$161,_xlpm.r,_xlpm.c),""),
  IF(OR(_xlpm.w="",_xlpm.v=""),"",_xlpm.v*_xlpm.w)
)</f>
        <v/>
      </c>
      <c r="BO56" s="93" t="str" cm="1">
        <f t="array" ref="BO56">_xlfn.LET(
  _xlpm.w, BO$11,
  _xlpm.r, MATCH(1,('3. Enter Indicator Scores'!$B$10:$B$161=$B56)*('3. Enter Indicator Scores'!$C$10:$C$161=$C56),0),
  _xlpm.c, MATCH(BO$8,'3. Enter Indicator Scores'!$D$8:$CZ$8,0),
  _xlpm.v, IFERROR(INDEX('3. Enter Indicator Scores'!$D$10:$CZ$161,_xlpm.r,_xlpm.c),""),
  IF(OR(_xlpm.w="",_xlpm.v=""),"",_xlpm.v*_xlpm.w)
)</f>
        <v/>
      </c>
      <c r="BP56" s="93" t="str" cm="1">
        <f t="array" ref="BP56">_xlfn.LET(
  _xlpm.w, BP$11,
  _xlpm.r, MATCH(1,('3. Enter Indicator Scores'!$B$10:$B$161=$B56)*('3. Enter Indicator Scores'!$C$10:$C$161=$C56),0),
  _xlpm.c, MATCH(BP$8,'3. Enter Indicator Scores'!$D$8:$CZ$8,0),
  _xlpm.v, IFERROR(INDEX('3. Enter Indicator Scores'!$D$10:$CZ$161,_xlpm.r,_xlpm.c),""),
  IF(OR(_xlpm.w="",_xlpm.v=""),"",_xlpm.v*_xlpm.w)
)</f>
        <v/>
      </c>
      <c r="BQ56" s="93" t="str" cm="1">
        <f t="array" ref="BQ56">_xlfn.LET(
  _xlpm.w, BQ$11,
  _xlpm.r, MATCH(1,('3. Enter Indicator Scores'!$B$10:$B$161=$B56)*('3. Enter Indicator Scores'!$C$10:$C$161=$C56),0),
  _xlpm.c, MATCH(BQ$8,'3. Enter Indicator Scores'!$D$8:$CZ$8,0),
  _xlpm.v, IFERROR(INDEX('3. Enter Indicator Scores'!$D$10:$CZ$161,_xlpm.r,_xlpm.c),""),
  IF(OR(_xlpm.w="",_xlpm.v=""),"",_xlpm.v*_xlpm.w)
)</f>
        <v/>
      </c>
      <c r="BR56" s="93" t="str" cm="1">
        <f t="array" ref="BR56">_xlfn.LET(
  _xlpm.w, BR$11,
  _xlpm.r, MATCH(1,('3. Enter Indicator Scores'!$B$10:$B$161=$B56)*('3. Enter Indicator Scores'!$C$10:$C$161=$C56),0),
  _xlpm.c, MATCH(BR$8,'3. Enter Indicator Scores'!$D$8:$CZ$8,0),
  _xlpm.v, IFERROR(INDEX('3. Enter Indicator Scores'!$D$10:$CZ$161,_xlpm.r,_xlpm.c),""),
  IF(OR(_xlpm.w="",_xlpm.v=""),"",_xlpm.v*_xlpm.w)
)</f>
        <v/>
      </c>
      <c r="BS56" s="93" t="str" cm="1">
        <f t="array" ref="BS56">_xlfn.LET(
  _xlpm.w, BS$11,
  _xlpm.r, MATCH(1,('3. Enter Indicator Scores'!$B$10:$B$161=$B56)*('3. Enter Indicator Scores'!$C$10:$C$161=$C56),0),
  _xlpm.c, MATCH(BS$8,'3. Enter Indicator Scores'!$D$8:$CZ$8,0),
  _xlpm.v, IFERROR(INDEX('3. Enter Indicator Scores'!$D$10:$CZ$161,_xlpm.r,_xlpm.c),""),
  IF(OR(_xlpm.w="",_xlpm.v=""),"",_xlpm.v*_xlpm.w)
)</f>
        <v/>
      </c>
      <c r="BT56" s="93" t="str" cm="1">
        <f t="array" ref="BT56">_xlfn.LET(
  _xlpm.w, BT$11,
  _xlpm.r, MATCH(1,('3. Enter Indicator Scores'!$B$10:$B$161=$B56)*('3. Enter Indicator Scores'!$C$10:$C$161=$C56),0),
  _xlpm.c, MATCH(BT$8,'3. Enter Indicator Scores'!$D$8:$CZ$8,0),
  _xlpm.v, IFERROR(INDEX('3. Enter Indicator Scores'!$D$10:$CZ$161,_xlpm.r,_xlpm.c),""),
  IF(OR(_xlpm.w="",_xlpm.v=""),"",_xlpm.v*_xlpm.w)
)</f>
        <v/>
      </c>
      <c r="BU56" s="93" t="str" cm="1">
        <f t="array" ref="BU56">_xlfn.LET(
  _xlpm.w, BU$11,
  _xlpm.r, MATCH(1,('3. Enter Indicator Scores'!$B$10:$B$161=$B56)*('3. Enter Indicator Scores'!$C$10:$C$161=$C56),0),
  _xlpm.c, MATCH(BU$8,'3. Enter Indicator Scores'!$D$8:$CZ$8,0),
  _xlpm.v, IFERROR(INDEX('3. Enter Indicator Scores'!$D$10:$CZ$161,_xlpm.r,_xlpm.c),""),
  IF(OR(_xlpm.w="",_xlpm.v=""),"",_xlpm.v*_xlpm.w)
)</f>
        <v/>
      </c>
      <c r="BV56" s="93" t="str" cm="1">
        <f t="array" ref="BV56">_xlfn.LET(
  _xlpm.w, BV$11,
  _xlpm.r, MATCH(1,('3. Enter Indicator Scores'!$B$10:$B$161=$B56)*('3. Enter Indicator Scores'!$C$10:$C$161=$C56),0),
  _xlpm.c, MATCH(BV$8,'3. Enter Indicator Scores'!$D$8:$CZ$8,0),
  _xlpm.v, IFERROR(INDEX('3. Enter Indicator Scores'!$D$10:$CZ$161,_xlpm.r,_xlpm.c),""),
  IF(OR(_xlpm.w="",_xlpm.v=""),"",_xlpm.v*_xlpm.w)
)</f>
        <v/>
      </c>
      <c r="BW56" s="93" t="str" cm="1">
        <f t="array" ref="BW56">_xlfn.LET(
  _xlpm.w, BW$11,
  _xlpm.r, MATCH(1,('3. Enter Indicator Scores'!$B$10:$B$161=$B56)*('3. Enter Indicator Scores'!$C$10:$C$161=$C56),0),
  _xlpm.c, MATCH(BW$8,'3. Enter Indicator Scores'!$D$8:$CZ$8,0),
  _xlpm.v, IFERROR(INDEX('3. Enter Indicator Scores'!$D$10:$CZ$161,_xlpm.r,_xlpm.c),""),
  IF(OR(_xlpm.w="",_xlpm.v=""),"",_xlpm.v*_xlpm.w)
)</f>
        <v/>
      </c>
      <c r="BX56" s="93" t="str" cm="1">
        <f t="array" ref="BX56">_xlfn.LET(
  _xlpm.w, BX$11,
  _xlpm.r, MATCH(1,('3. Enter Indicator Scores'!$B$10:$B$161=$B56)*('3. Enter Indicator Scores'!$C$10:$C$161=$C56),0),
  _xlpm.c, MATCH(BX$8,'3. Enter Indicator Scores'!$D$8:$CZ$8,0),
  _xlpm.v, IFERROR(INDEX('3. Enter Indicator Scores'!$D$10:$CZ$161,_xlpm.r,_xlpm.c),""),
  IF(OR(_xlpm.w="",_xlpm.v=""),"",_xlpm.v*_xlpm.w)
)</f>
        <v/>
      </c>
      <c r="BY56" s="93" t="str" cm="1">
        <f t="array" ref="BY56">_xlfn.LET(
  _xlpm.w, BY$11,
  _xlpm.r, MATCH(1,('3. Enter Indicator Scores'!$B$10:$B$161=$B56)*('3. Enter Indicator Scores'!$C$10:$C$161=$C56),0),
  _xlpm.c, MATCH(BY$8,'3. Enter Indicator Scores'!$D$8:$CZ$8,0),
  _xlpm.v, IFERROR(INDEX('3. Enter Indicator Scores'!$D$10:$CZ$161,_xlpm.r,_xlpm.c),""),
  IF(OR(_xlpm.w="",_xlpm.v=""),"",_xlpm.v*_xlpm.w)
)</f>
        <v/>
      </c>
      <c r="BZ56" s="93" t="str" cm="1">
        <f t="array" ref="BZ56">_xlfn.LET(
  _xlpm.w, BZ$11,
  _xlpm.r, MATCH(1,('3. Enter Indicator Scores'!$B$10:$B$161=$B56)*('3. Enter Indicator Scores'!$C$10:$C$161=$C56),0),
  _xlpm.c, MATCH(BZ$8,'3. Enter Indicator Scores'!$D$8:$CZ$8,0),
  _xlpm.v, IFERROR(INDEX('3. Enter Indicator Scores'!$D$10:$CZ$161,_xlpm.r,_xlpm.c),""),
  IF(OR(_xlpm.w="",_xlpm.v=""),"",_xlpm.v*_xlpm.w)
)</f>
        <v/>
      </c>
      <c r="CA56" s="93" t="str" cm="1">
        <f t="array" ref="CA56">_xlfn.LET(
  _xlpm.w, CA$11,
  _xlpm.r, MATCH(1,('3. Enter Indicator Scores'!$B$10:$B$161=$B56)*('3. Enter Indicator Scores'!$C$10:$C$161=$C56),0),
  _xlpm.c, MATCH(CA$8,'3. Enter Indicator Scores'!$D$8:$CZ$8,0),
  _xlpm.v, IFERROR(INDEX('3. Enter Indicator Scores'!$D$10:$CZ$161,_xlpm.r,_xlpm.c),""),
  IF(OR(_xlpm.w="",_xlpm.v=""),"",_xlpm.v*_xlpm.w)
)</f>
        <v/>
      </c>
      <c r="CB56" s="93" t="str" cm="1">
        <f t="array" ref="CB56">_xlfn.LET(
  _xlpm.w, CB$11,
  _xlpm.r, MATCH(1,('3. Enter Indicator Scores'!$B$10:$B$161=$B56)*('3. Enter Indicator Scores'!$C$10:$C$161=$C56),0),
  _xlpm.c, MATCH(CB$8,'3. Enter Indicator Scores'!$D$8:$CZ$8,0),
  _xlpm.v, IFERROR(INDEX('3. Enter Indicator Scores'!$D$10:$CZ$161,_xlpm.r,_xlpm.c),""),
  IF(OR(_xlpm.w="",_xlpm.v=""),"",_xlpm.v*_xlpm.w)
)</f>
        <v/>
      </c>
      <c r="CC56" s="93" t="str" cm="1">
        <f t="array" ref="CC56">_xlfn.LET(
  _xlpm.w, CC$11,
  _xlpm.r, MATCH(1,('3. Enter Indicator Scores'!$B$10:$B$161=$B56)*('3. Enter Indicator Scores'!$C$10:$C$161=$C56),0),
  _xlpm.c, MATCH(CC$8,'3. Enter Indicator Scores'!$D$8:$CZ$8,0),
  _xlpm.v, IFERROR(INDEX('3. Enter Indicator Scores'!$D$10:$CZ$161,_xlpm.r,_xlpm.c),""),
  IF(OR(_xlpm.w="",_xlpm.v=""),"",_xlpm.v*_xlpm.w)
)</f>
        <v/>
      </c>
      <c r="CD56" s="93" t="str" cm="1">
        <f t="array" ref="CD56">_xlfn.LET(
  _xlpm.w, CD$11,
  _xlpm.r, MATCH(1,('3. Enter Indicator Scores'!$B$10:$B$161=$B56)*('3. Enter Indicator Scores'!$C$10:$C$161=$C56),0),
  _xlpm.c, MATCH(CD$8,'3. Enter Indicator Scores'!$D$8:$CZ$8,0),
  _xlpm.v, IFERROR(INDEX('3. Enter Indicator Scores'!$D$10:$CZ$161,_xlpm.r,_xlpm.c),""),
  IF(OR(_xlpm.w="",_xlpm.v=""),"",_xlpm.v*_xlpm.w)
)</f>
        <v/>
      </c>
      <c r="CE56" s="93" t="str" cm="1">
        <f t="array" ref="CE56">_xlfn.LET(
  _xlpm.w, CE$11,
  _xlpm.r, MATCH(1,('3. Enter Indicator Scores'!$B$10:$B$161=$B56)*('3. Enter Indicator Scores'!$C$10:$C$161=$C56),0),
  _xlpm.c, MATCH(CE$8,'3. Enter Indicator Scores'!$D$8:$CZ$8,0),
  _xlpm.v, IFERROR(INDEX('3. Enter Indicator Scores'!$D$10:$CZ$161,_xlpm.r,_xlpm.c),""),
  IF(OR(_xlpm.w="",_xlpm.v=""),"",_xlpm.v*_xlpm.w)
)</f>
        <v/>
      </c>
      <c r="CF56" s="93" t="str" cm="1">
        <f t="array" ref="CF56">_xlfn.LET(
  _xlpm.w, CF$11,
  _xlpm.r, MATCH(1,('3. Enter Indicator Scores'!$B$10:$B$161=$B56)*('3. Enter Indicator Scores'!$C$10:$C$161=$C56),0),
  _xlpm.c, MATCH(CF$8,'3. Enter Indicator Scores'!$D$8:$CZ$8,0),
  _xlpm.v, IFERROR(INDEX('3. Enter Indicator Scores'!$D$10:$CZ$161,_xlpm.r,_xlpm.c),""),
  IF(OR(_xlpm.w="",_xlpm.v=""),"",_xlpm.v*_xlpm.w)
)</f>
        <v/>
      </c>
      <c r="CG56" s="93" t="str" cm="1">
        <f t="array" ref="CG56">_xlfn.LET(
  _xlpm.w, CG$11,
  _xlpm.r, MATCH(1,('3. Enter Indicator Scores'!$B$10:$B$161=$B56)*('3. Enter Indicator Scores'!$C$10:$C$161=$C56),0),
  _xlpm.c, MATCH(CG$8,'3. Enter Indicator Scores'!$D$8:$CZ$8,0),
  _xlpm.v, IFERROR(INDEX('3. Enter Indicator Scores'!$D$10:$CZ$161,_xlpm.r,_xlpm.c),""),
  IF(OR(_xlpm.w="",_xlpm.v=""),"",_xlpm.v*_xlpm.w)
)</f>
        <v/>
      </c>
      <c r="CH56" s="93" t="str" cm="1">
        <f t="array" ref="CH56">_xlfn.LET(
  _xlpm.w, CH$11,
  _xlpm.r, MATCH(1,('3. Enter Indicator Scores'!$B$10:$B$161=$B56)*('3. Enter Indicator Scores'!$C$10:$C$161=$C56),0),
  _xlpm.c, MATCH(CH$8,'3. Enter Indicator Scores'!$D$8:$CZ$8,0),
  _xlpm.v, IFERROR(INDEX('3. Enter Indicator Scores'!$D$10:$CZ$161,_xlpm.r,_xlpm.c),""),
  IF(OR(_xlpm.w="",_xlpm.v=""),"",_xlpm.v*_xlpm.w)
)</f>
        <v/>
      </c>
      <c r="CI56" s="93" t="str" cm="1">
        <f t="array" ref="CI56">_xlfn.LET(
  _xlpm.w, CI$11,
  _xlpm.r, MATCH(1,('3. Enter Indicator Scores'!$B$10:$B$161=$B56)*('3. Enter Indicator Scores'!$C$10:$C$161=$C56),0),
  _xlpm.c, MATCH(CI$8,'3. Enter Indicator Scores'!$D$8:$CZ$8,0),
  _xlpm.v, IFERROR(INDEX('3. Enter Indicator Scores'!$D$10:$CZ$161,_xlpm.r,_xlpm.c),""),
  IF(OR(_xlpm.w="",_xlpm.v=""),"",_xlpm.v*_xlpm.w)
)</f>
        <v/>
      </c>
      <c r="CJ56" s="93" t="str" cm="1">
        <f t="array" ref="CJ56">_xlfn.LET(
  _xlpm.w, CJ$11,
  _xlpm.r, MATCH(1,('3. Enter Indicator Scores'!$B$10:$B$161=$B56)*('3. Enter Indicator Scores'!$C$10:$C$161=$C56),0),
  _xlpm.c, MATCH(CJ$8,'3. Enter Indicator Scores'!$D$8:$CZ$8,0),
  _xlpm.v, IFERROR(INDEX('3. Enter Indicator Scores'!$D$10:$CZ$161,_xlpm.r,_xlpm.c),""),
  IF(OR(_xlpm.w="",_xlpm.v=""),"",_xlpm.v*_xlpm.w)
)</f>
        <v/>
      </c>
      <c r="CK56" s="93" t="str" cm="1">
        <f t="array" ref="CK56">_xlfn.LET(
  _xlpm.w, CK$11,
  _xlpm.r, MATCH(1,('3. Enter Indicator Scores'!$B$10:$B$161=$B56)*('3. Enter Indicator Scores'!$C$10:$C$161=$C56),0),
  _xlpm.c, MATCH(CK$8,'3. Enter Indicator Scores'!$D$8:$CZ$8,0),
  _xlpm.v, IFERROR(INDEX('3. Enter Indicator Scores'!$D$10:$CZ$161,_xlpm.r,_xlpm.c),""),
  IF(OR(_xlpm.w="",_xlpm.v=""),"",_xlpm.v*_xlpm.w)
)</f>
        <v/>
      </c>
      <c r="CL56" s="93" t="str" cm="1">
        <f t="array" ref="CL56">_xlfn.LET(
  _xlpm.w, CL$11,
  _xlpm.r, MATCH(1,('3. Enter Indicator Scores'!$B$10:$B$161=$B56)*('3. Enter Indicator Scores'!$C$10:$C$161=$C56),0),
  _xlpm.c, MATCH(CL$8,'3. Enter Indicator Scores'!$D$8:$CZ$8,0),
  _xlpm.v, IFERROR(INDEX('3. Enter Indicator Scores'!$D$10:$CZ$161,_xlpm.r,_xlpm.c),""),
  IF(OR(_xlpm.w="",_xlpm.v=""),"",_xlpm.v*_xlpm.w)
)</f>
        <v/>
      </c>
      <c r="CM56" s="93" t="str" cm="1">
        <f t="array" ref="CM56">_xlfn.LET(
  _xlpm.w, CM$11,
  _xlpm.r, MATCH(1,('3. Enter Indicator Scores'!$B$10:$B$161=$B56)*('3. Enter Indicator Scores'!$C$10:$C$161=$C56),0),
  _xlpm.c, MATCH(CM$8,'3. Enter Indicator Scores'!$D$8:$CZ$8,0),
  _xlpm.v, IFERROR(INDEX('3. Enter Indicator Scores'!$D$10:$CZ$161,_xlpm.r,_xlpm.c),""),
  IF(OR(_xlpm.w="",_xlpm.v=""),"",_xlpm.v*_xlpm.w)
)</f>
        <v/>
      </c>
      <c r="CN56" s="93" t="str" cm="1">
        <f t="array" ref="CN56">_xlfn.LET(
  _xlpm.w, CN$11,
  _xlpm.r, MATCH(1,('3. Enter Indicator Scores'!$B$10:$B$161=$B56)*('3. Enter Indicator Scores'!$C$10:$C$161=$C56),0),
  _xlpm.c, MATCH(CN$8,'3. Enter Indicator Scores'!$D$8:$CZ$8,0),
  _xlpm.v, IFERROR(INDEX('3. Enter Indicator Scores'!$D$10:$CZ$161,_xlpm.r,_xlpm.c),""),
  IF(OR(_xlpm.w="",_xlpm.v=""),"",_xlpm.v*_xlpm.w)
)</f>
        <v/>
      </c>
      <c r="CO56" s="93" t="str" cm="1">
        <f t="array" ref="CO56">_xlfn.LET(
  _xlpm.w, CO$11,
  _xlpm.r, MATCH(1,('3. Enter Indicator Scores'!$B$10:$B$161=$B56)*('3. Enter Indicator Scores'!$C$10:$C$161=$C56),0),
  _xlpm.c, MATCH(CO$8,'3. Enter Indicator Scores'!$D$8:$CZ$8,0),
  _xlpm.v, IFERROR(INDEX('3. Enter Indicator Scores'!$D$10:$CZ$161,_xlpm.r,_xlpm.c),""),
  IF(OR(_xlpm.w="",_xlpm.v=""),"",_xlpm.v*_xlpm.w)
)</f>
        <v/>
      </c>
      <c r="CP56" s="93" t="str" cm="1">
        <f t="array" ref="CP56">_xlfn.LET(
  _xlpm.w, CP$11,
  _xlpm.r, MATCH(1,('3. Enter Indicator Scores'!$B$10:$B$161=$B56)*('3. Enter Indicator Scores'!$C$10:$C$161=$C56),0),
  _xlpm.c, MATCH(CP$8,'3. Enter Indicator Scores'!$D$8:$CZ$8,0),
  _xlpm.v, IFERROR(INDEX('3. Enter Indicator Scores'!$D$10:$CZ$161,_xlpm.r,_xlpm.c),""),
  IF(OR(_xlpm.w="",_xlpm.v=""),"",_xlpm.v*_xlpm.w)
)</f>
        <v/>
      </c>
      <c r="CQ56" s="93" t="str" cm="1">
        <f t="array" ref="CQ56">_xlfn.LET(
  _xlpm.w, CQ$11,
  _xlpm.r, MATCH(1,('3. Enter Indicator Scores'!$B$10:$B$161=$B56)*('3. Enter Indicator Scores'!$C$10:$C$161=$C56),0),
  _xlpm.c, MATCH(CQ$8,'3. Enter Indicator Scores'!$D$8:$CZ$8,0),
  _xlpm.v, IFERROR(INDEX('3. Enter Indicator Scores'!$D$10:$CZ$161,_xlpm.r,_xlpm.c),""),
  IF(OR(_xlpm.w="",_xlpm.v=""),"",_xlpm.v*_xlpm.w)
)</f>
        <v/>
      </c>
      <c r="CR56" s="93" t="str" cm="1">
        <f t="array" ref="CR56">_xlfn.LET(
  _xlpm.w, CR$11,
  _xlpm.r, MATCH(1,('3. Enter Indicator Scores'!$B$10:$B$161=$B56)*('3. Enter Indicator Scores'!$C$10:$C$161=$C56),0),
  _xlpm.c, MATCH(CR$8,'3. Enter Indicator Scores'!$D$8:$CZ$8,0),
  _xlpm.v, IFERROR(INDEX('3. Enter Indicator Scores'!$D$10:$CZ$161,_xlpm.r,_xlpm.c),""),
  IF(OR(_xlpm.w="",_xlpm.v=""),"",_xlpm.v*_xlpm.w)
)</f>
        <v/>
      </c>
      <c r="CS56" s="93" t="str" cm="1">
        <f t="array" ref="CS56">_xlfn.LET(
  _xlpm.w, CS$11,
  _xlpm.r, MATCH(1,('3. Enter Indicator Scores'!$B$10:$B$161=$B56)*('3. Enter Indicator Scores'!$C$10:$C$161=$C56),0),
  _xlpm.c, MATCH(CS$8,'3. Enter Indicator Scores'!$D$8:$CZ$8,0),
  _xlpm.v, IFERROR(INDEX('3. Enter Indicator Scores'!$D$10:$CZ$161,_xlpm.r,_xlpm.c),""),
  IF(OR(_xlpm.w="",_xlpm.v=""),"",_xlpm.v*_xlpm.w)
)</f>
        <v/>
      </c>
      <c r="CT56" s="93" t="str" cm="1">
        <f t="array" ref="CT56">_xlfn.LET(
  _xlpm.w, CT$11,
  _xlpm.r, MATCH(1,('3. Enter Indicator Scores'!$B$10:$B$161=$B56)*('3. Enter Indicator Scores'!$C$10:$C$161=$C56),0),
  _xlpm.c, MATCH(CT$8,'3. Enter Indicator Scores'!$D$8:$CZ$8,0),
  _xlpm.v, IFERROR(INDEX('3. Enter Indicator Scores'!$D$10:$CZ$161,_xlpm.r,_xlpm.c),""),
  IF(OR(_xlpm.w="",_xlpm.v=""),"",_xlpm.v*_xlpm.w)
)</f>
        <v/>
      </c>
      <c r="CU56" s="93" t="str" cm="1">
        <f t="array" ref="CU56">_xlfn.LET(
  _xlpm.w, CU$11,
  _xlpm.r, MATCH(1,('3. Enter Indicator Scores'!$B$10:$B$161=$B56)*('3. Enter Indicator Scores'!$C$10:$C$161=$C56),0),
  _xlpm.c, MATCH(CU$8,'3. Enter Indicator Scores'!$D$8:$CZ$8,0),
  _xlpm.v, IFERROR(INDEX('3. Enter Indicator Scores'!$D$10:$CZ$161,_xlpm.r,_xlpm.c),""),
  IF(OR(_xlpm.w="",_xlpm.v=""),"",_xlpm.v*_xlpm.w)
)</f>
        <v/>
      </c>
      <c r="CV56" s="93" t="str" cm="1">
        <f t="array" ref="CV56">_xlfn.LET(
  _xlpm.w, CV$11,
  _xlpm.r, MATCH(1,('3. Enter Indicator Scores'!$B$10:$B$161=$B56)*('3. Enter Indicator Scores'!$C$10:$C$161=$C56),0),
  _xlpm.c, MATCH(CV$8,'3. Enter Indicator Scores'!$D$8:$CZ$8,0),
  _xlpm.v, IFERROR(INDEX('3. Enter Indicator Scores'!$D$10:$CZ$161,_xlpm.r,_xlpm.c),""),
  IF(OR(_xlpm.w="",_xlpm.v=""),"",_xlpm.v*_xlpm.w)
)</f>
        <v/>
      </c>
      <c r="CW56" s="93" t="str" cm="1">
        <f t="array" ref="CW56">_xlfn.LET(
  _xlpm.w, CW$11,
  _xlpm.r, MATCH(1,('3. Enter Indicator Scores'!$B$10:$B$161=$B56)*('3. Enter Indicator Scores'!$C$10:$C$161=$C56),0),
  _xlpm.c, MATCH(CW$8,'3. Enter Indicator Scores'!$D$8:$CZ$8,0),
  _xlpm.v, IFERROR(INDEX('3. Enter Indicator Scores'!$D$10:$CZ$161,_xlpm.r,_xlpm.c),""),
  IF(OR(_xlpm.w="",_xlpm.v=""),"",_xlpm.v*_xlpm.w)
)</f>
        <v/>
      </c>
      <c r="CX56" s="93" t="str" cm="1">
        <f t="array" ref="CX56">_xlfn.LET(
  _xlpm.w, CX$11,
  _xlpm.r, MATCH(1,('3. Enter Indicator Scores'!$B$10:$B$161=$B56)*('3. Enter Indicator Scores'!$C$10:$C$161=$C56),0),
  _xlpm.c, MATCH(CX$8,'3. Enter Indicator Scores'!$D$8:$CZ$8,0),
  _xlpm.v, IFERROR(INDEX('3. Enter Indicator Scores'!$D$10:$CZ$161,_xlpm.r,_xlpm.c),""),
  IF(OR(_xlpm.w="",_xlpm.v=""),"",_xlpm.v*_xlpm.w)
)</f>
        <v/>
      </c>
      <c r="CY56" s="93" t="str" cm="1">
        <f t="array" ref="CY56">_xlfn.LET(
  _xlpm.w, CY$11,
  _xlpm.r, MATCH(1,('3. Enter Indicator Scores'!$B$10:$B$161=$B56)*('3. Enter Indicator Scores'!$C$10:$C$161=$C56),0),
  _xlpm.c, MATCH(CY$8,'3. Enter Indicator Scores'!$D$8:$CZ$8,0),
  _xlpm.v, IFERROR(INDEX('3. Enter Indicator Scores'!$D$10:$CZ$161,_xlpm.r,_xlpm.c),""),
  IF(OR(_xlpm.w="",_xlpm.v=""),"",_xlpm.v*_xlpm.w)
)</f>
        <v/>
      </c>
      <c r="CZ56" s="93" t="str" cm="1">
        <f t="array" ref="CZ56">_xlfn.LET(
  _xlpm.w, CZ$11,
  _xlpm.r, MATCH(1,('3. Enter Indicator Scores'!$B$10:$B$161=$B56)*('3. Enter Indicator Scores'!$C$10:$C$161=$C56),0),
  _xlpm.c, MATCH(CZ$8,'3. Enter Indicator Scores'!$D$8:$CZ$8,0),
  _xlpm.v, IFERROR(INDEX('3. Enter Indicator Scores'!$D$10:$CZ$161,_xlpm.r,_xlpm.c),""),
  IF(OR(_xlpm.w="",_xlpm.v=""),"",_xlpm.v*_xlpm.w)
)</f>
        <v/>
      </c>
    </row>
    <row r="57" spans="4:104" x14ac:dyDescent="0.2">
      <c r="D57" s="93" t="str" cm="1">
        <f t="array" ref="D57">_xlfn.LET(
  _xlpm.w, D$11,
  _xlpm.r, MATCH(1,('3. Enter Indicator Scores'!$B$10:$B$161=$B57)*('3. Enter Indicator Scores'!$C$10:$C$161=$C57),0),
  _xlpm.c, MATCH(D$8,'3. Enter Indicator Scores'!$D$8:$CZ$8,0),
  _xlpm.v, IFERROR(INDEX('3. Enter Indicator Scores'!$D$10:$CZ$161,_xlpm.r,_xlpm.c),""),
  IF(OR(_xlpm.w="",_xlpm.v=""),"",_xlpm.v*_xlpm.w)
)</f>
        <v/>
      </c>
      <c r="E57" s="93" t="str" cm="1">
        <f t="array" ref="E57">_xlfn.LET(
  _xlpm.w, E$11,
  _xlpm.r, MATCH(1,('3. Enter Indicator Scores'!$B$10:$B$161=$B57)*('3. Enter Indicator Scores'!$C$10:$C$161=$C57),0),
  _xlpm.c, MATCH(E$8,'3. Enter Indicator Scores'!$D$8:$CZ$8,0),
  _xlpm.v, IFERROR(INDEX('3. Enter Indicator Scores'!$D$10:$CZ$161,_xlpm.r,_xlpm.c),""),
  IF(OR(_xlpm.w="",_xlpm.v=""),"",_xlpm.v*_xlpm.w)
)</f>
        <v/>
      </c>
      <c r="F57" s="93" t="str" cm="1">
        <f t="array" ref="F57">_xlfn.LET(
  _xlpm.w, F$11,
  _xlpm.r, MATCH(1,('3. Enter Indicator Scores'!$B$10:$B$161=$B57)*('3. Enter Indicator Scores'!$C$10:$C$161=$C57),0),
  _xlpm.c, MATCH(F$8,'3. Enter Indicator Scores'!$D$8:$CZ$8,0),
  _xlpm.v, IFERROR(INDEX('3. Enter Indicator Scores'!$D$10:$CZ$161,_xlpm.r,_xlpm.c),""),
  IF(OR(_xlpm.w="",_xlpm.v=""),"",_xlpm.v*_xlpm.w)
)</f>
        <v/>
      </c>
      <c r="G57" s="93" t="str" cm="1">
        <f t="array" ref="G57">_xlfn.LET(
  _xlpm.w, G$11,
  _xlpm.r, MATCH(1,('3. Enter Indicator Scores'!$B$10:$B$161=$B57)*('3. Enter Indicator Scores'!$C$10:$C$161=$C57),0),
  _xlpm.c, MATCH(G$8,'3. Enter Indicator Scores'!$D$8:$CZ$8,0),
  _xlpm.v, IFERROR(INDEX('3. Enter Indicator Scores'!$D$10:$CZ$161,_xlpm.r,_xlpm.c),""),
  IF(OR(_xlpm.w="",_xlpm.v=""),"",_xlpm.v*_xlpm.w)
)</f>
        <v/>
      </c>
      <c r="H57" s="93" t="str" cm="1">
        <f t="array" ref="H57">_xlfn.LET(
  _xlpm.w, H$11,
  _xlpm.r, MATCH(1,('3. Enter Indicator Scores'!$B$10:$B$161=$B57)*('3. Enter Indicator Scores'!$C$10:$C$161=$C57),0),
  _xlpm.c, MATCH(H$8,'3. Enter Indicator Scores'!$D$8:$CZ$8,0),
  _xlpm.v, IFERROR(INDEX('3. Enter Indicator Scores'!$D$10:$CZ$161,_xlpm.r,_xlpm.c),""),
  IF(OR(_xlpm.w="",_xlpm.v=""),"",_xlpm.v*_xlpm.w)
)</f>
        <v/>
      </c>
      <c r="I57" s="93" t="str" cm="1">
        <f t="array" ref="I57">_xlfn.LET(
  _xlpm.w, I$11,
  _xlpm.r, MATCH(1,('3. Enter Indicator Scores'!$B$10:$B$161=$B57)*('3. Enter Indicator Scores'!$C$10:$C$161=$C57),0),
  _xlpm.c, MATCH(I$8,'3. Enter Indicator Scores'!$D$8:$CZ$8,0),
  _xlpm.v, IFERROR(INDEX('3. Enter Indicator Scores'!$D$10:$CZ$161,_xlpm.r,_xlpm.c),""),
  IF(OR(_xlpm.w="",_xlpm.v=""),"",_xlpm.v*_xlpm.w)
)</f>
        <v/>
      </c>
      <c r="J57" s="93" t="str" cm="1">
        <f t="array" ref="J57">_xlfn.LET(
  _xlpm.w, J$11,
  _xlpm.r, MATCH(1,('3. Enter Indicator Scores'!$B$10:$B$161=$B57)*('3. Enter Indicator Scores'!$C$10:$C$161=$C57),0),
  _xlpm.c, MATCH(J$8,'3. Enter Indicator Scores'!$D$8:$CZ$8,0),
  _xlpm.v, IFERROR(INDEX('3. Enter Indicator Scores'!$D$10:$CZ$161,_xlpm.r,_xlpm.c),""),
  IF(OR(_xlpm.w="",_xlpm.v=""),"",_xlpm.v*_xlpm.w)
)</f>
        <v/>
      </c>
      <c r="K57" s="93" t="str" cm="1">
        <f t="array" ref="K57">_xlfn.LET(
  _xlpm.w, K$11,
  _xlpm.r, MATCH(1,('3. Enter Indicator Scores'!$B$10:$B$161=$B57)*('3. Enter Indicator Scores'!$C$10:$C$161=$C57),0),
  _xlpm.c, MATCH(K$8,'3. Enter Indicator Scores'!$D$8:$CZ$8,0),
  _xlpm.v, IFERROR(INDEX('3. Enter Indicator Scores'!$D$10:$CZ$161,_xlpm.r,_xlpm.c),""),
  IF(OR(_xlpm.w="",_xlpm.v=""),"",_xlpm.v*_xlpm.w)
)</f>
        <v/>
      </c>
      <c r="L57" s="93" t="str" cm="1">
        <f t="array" ref="L57">_xlfn.LET(
  _xlpm.w, L$11,
  _xlpm.r, MATCH(1,('3. Enter Indicator Scores'!$B$10:$B$161=$B57)*('3. Enter Indicator Scores'!$C$10:$C$161=$C57),0),
  _xlpm.c, MATCH(L$8,'3. Enter Indicator Scores'!$D$8:$CZ$8,0),
  _xlpm.v, IFERROR(INDEX('3. Enter Indicator Scores'!$D$10:$CZ$161,_xlpm.r,_xlpm.c),""),
  IF(OR(_xlpm.w="",_xlpm.v=""),"",_xlpm.v*_xlpm.w)
)</f>
        <v/>
      </c>
      <c r="M57" s="93" t="str" cm="1">
        <f t="array" ref="M57">_xlfn.LET(
  _xlpm.w, M$11,
  _xlpm.r, MATCH(1,('3. Enter Indicator Scores'!$B$10:$B$161=$B57)*('3. Enter Indicator Scores'!$C$10:$C$161=$C57),0),
  _xlpm.c, MATCH(M$8,'3. Enter Indicator Scores'!$D$8:$CZ$8,0),
  _xlpm.v, IFERROR(INDEX('3. Enter Indicator Scores'!$D$10:$CZ$161,_xlpm.r,_xlpm.c),""),
  IF(OR(_xlpm.w="",_xlpm.v=""),"",_xlpm.v*_xlpm.w)
)</f>
        <v/>
      </c>
      <c r="N57" s="93" t="str" cm="1">
        <f t="array" ref="N57">_xlfn.LET(
  _xlpm.w, N$11,
  _xlpm.r, MATCH(1,('3. Enter Indicator Scores'!$B$10:$B$161=$B57)*('3. Enter Indicator Scores'!$C$10:$C$161=$C57),0),
  _xlpm.c, MATCH(N$8,'3. Enter Indicator Scores'!$D$8:$CZ$8,0),
  _xlpm.v, IFERROR(INDEX('3. Enter Indicator Scores'!$D$10:$CZ$161,_xlpm.r,_xlpm.c),""),
  IF(OR(_xlpm.w="",_xlpm.v=""),"",_xlpm.v*_xlpm.w)
)</f>
        <v/>
      </c>
      <c r="O57" s="93" t="str" cm="1">
        <f t="array" ref="O57">_xlfn.LET(
  _xlpm.w, O$11,
  _xlpm.r, MATCH(1,('3. Enter Indicator Scores'!$B$10:$B$161=$B57)*('3. Enter Indicator Scores'!$C$10:$C$161=$C57),0),
  _xlpm.c, MATCH(O$8,'3. Enter Indicator Scores'!$D$8:$CZ$8,0),
  _xlpm.v, IFERROR(INDEX('3. Enter Indicator Scores'!$D$10:$CZ$161,_xlpm.r,_xlpm.c),""),
  IF(OR(_xlpm.w="",_xlpm.v=""),"",_xlpm.v*_xlpm.w)
)</f>
        <v/>
      </c>
      <c r="P57" s="93" t="str" cm="1">
        <f t="array" ref="P57">_xlfn.LET(
  _xlpm.w, P$11,
  _xlpm.r, MATCH(1,('3. Enter Indicator Scores'!$B$10:$B$161=$B57)*('3. Enter Indicator Scores'!$C$10:$C$161=$C57),0),
  _xlpm.c, MATCH(P$8,'3. Enter Indicator Scores'!$D$8:$CZ$8,0),
  _xlpm.v, IFERROR(INDEX('3. Enter Indicator Scores'!$D$10:$CZ$161,_xlpm.r,_xlpm.c),""),
  IF(OR(_xlpm.w="",_xlpm.v=""),"",_xlpm.v*_xlpm.w)
)</f>
        <v/>
      </c>
      <c r="Q57" s="93" t="str" cm="1">
        <f t="array" ref="Q57">_xlfn.LET(
  _xlpm.w, Q$11,
  _xlpm.r, MATCH(1,('3. Enter Indicator Scores'!$B$10:$B$161=$B57)*('3. Enter Indicator Scores'!$C$10:$C$161=$C57),0),
  _xlpm.c, MATCH(Q$8,'3. Enter Indicator Scores'!$D$8:$CZ$8,0),
  _xlpm.v, IFERROR(INDEX('3. Enter Indicator Scores'!$D$10:$CZ$161,_xlpm.r,_xlpm.c),""),
  IF(OR(_xlpm.w="",_xlpm.v=""),"",_xlpm.v*_xlpm.w)
)</f>
        <v/>
      </c>
      <c r="R57" s="93" t="str" cm="1">
        <f t="array" ref="R57">_xlfn.LET(
  _xlpm.w, R$11,
  _xlpm.r, MATCH(1,('3. Enter Indicator Scores'!$B$10:$B$161=$B57)*('3. Enter Indicator Scores'!$C$10:$C$161=$C57),0),
  _xlpm.c, MATCH(R$8,'3. Enter Indicator Scores'!$D$8:$CZ$8,0),
  _xlpm.v, IFERROR(INDEX('3. Enter Indicator Scores'!$D$10:$CZ$161,_xlpm.r,_xlpm.c),""),
  IF(OR(_xlpm.w="",_xlpm.v=""),"",_xlpm.v*_xlpm.w)
)</f>
        <v/>
      </c>
      <c r="S57" s="93" t="str" cm="1">
        <f t="array" ref="S57">_xlfn.LET(
  _xlpm.w, S$11,
  _xlpm.r, MATCH(1,('3. Enter Indicator Scores'!$B$10:$B$161=$B57)*('3. Enter Indicator Scores'!$C$10:$C$161=$C57),0),
  _xlpm.c, MATCH(S$8,'3. Enter Indicator Scores'!$D$8:$CZ$8,0),
  _xlpm.v, IFERROR(INDEX('3. Enter Indicator Scores'!$D$10:$CZ$161,_xlpm.r,_xlpm.c),""),
  IF(OR(_xlpm.w="",_xlpm.v=""),"",_xlpm.v*_xlpm.w)
)</f>
        <v/>
      </c>
      <c r="T57" s="93" t="str" cm="1">
        <f t="array" ref="T57">_xlfn.LET(
  _xlpm.w, T$11,
  _xlpm.r, MATCH(1,('3. Enter Indicator Scores'!$B$10:$B$161=$B57)*('3. Enter Indicator Scores'!$C$10:$C$161=$C57),0),
  _xlpm.c, MATCH(T$8,'3. Enter Indicator Scores'!$D$8:$CZ$8,0),
  _xlpm.v, IFERROR(INDEX('3. Enter Indicator Scores'!$D$10:$CZ$161,_xlpm.r,_xlpm.c),""),
  IF(OR(_xlpm.w="",_xlpm.v=""),"",_xlpm.v*_xlpm.w)
)</f>
        <v/>
      </c>
      <c r="U57" s="93" t="str" cm="1">
        <f t="array" ref="U57">_xlfn.LET(
  _xlpm.w, U$11,
  _xlpm.r, MATCH(1,('3. Enter Indicator Scores'!$B$10:$B$161=$B57)*('3. Enter Indicator Scores'!$C$10:$C$161=$C57),0),
  _xlpm.c, MATCH(U$8,'3. Enter Indicator Scores'!$D$8:$CZ$8,0),
  _xlpm.v, IFERROR(INDEX('3. Enter Indicator Scores'!$D$10:$CZ$161,_xlpm.r,_xlpm.c),""),
  IF(OR(_xlpm.w="",_xlpm.v=""),"",_xlpm.v*_xlpm.w)
)</f>
        <v/>
      </c>
      <c r="V57" s="93" t="str" cm="1">
        <f t="array" ref="V57">_xlfn.LET(
  _xlpm.w, V$11,
  _xlpm.r, MATCH(1,('3. Enter Indicator Scores'!$B$10:$B$161=$B57)*('3. Enter Indicator Scores'!$C$10:$C$161=$C57),0),
  _xlpm.c, MATCH(V$8,'3. Enter Indicator Scores'!$D$8:$CZ$8,0),
  _xlpm.v, IFERROR(INDEX('3. Enter Indicator Scores'!$D$10:$CZ$161,_xlpm.r,_xlpm.c),""),
  IF(OR(_xlpm.w="",_xlpm.v=""),"",_xlpm.v*_xlpm.w)
)</f>
        <v/>
      </c>
      <c r="W57" s="93" t="str" cm="1">
        <f t="array" ref="W57">_xlfn.LET(
  _xlpm.w, W$11,
  _xlpm.r, MATCH(1,('3. Enter Indicator Scores'!$B$10:$B$161=$B57)*('3. Enter Indicator Scores'!$C$10:$C$161=$C57),0),
  _xlpm.c, MATCH(W$8,'3. Enter Indicator Scores'!$D$8:$CZ$8,0),
  _xlpm.v, IFERROR(INDEX('3. Enter Indicator Scores'!$D$10:$CZ$161,_xlpm.r,_xlpm.c),""),
  IF(OR(_xlpm.w="",_xlpm.v=""),"",_xlpm.v*_xlpm.w)
)</f>
        <v/>
      </c>
      <c r="X57" s="93" t="str" cm="1">
        <f t="array" ref="X57">_xlfn.LET(
  _xlpm.w, X$11,
  _xlpm.r, MATCH(1,('3. Enter Indicator Scores'!$B$10:$B$161=$B57)*('3. Enter Indicator Scores'!$C$10:$C$161=$C57),0),
  _xlpm.c, MATCH(X$8,'3. Enter Indicator Scores'!$D$8:$CZ$8,0),
  _xlpm.v, IFERROR(INDEX('3. Enter Indicator Scores'!$D$10:$CZ$161,_xlpm.r,_xlpm.c),""),
  IF(OR(_xlpm.w="",_xlpm.v=""),"",_xlpm.v*_xlpm.w)
)</f>
        <v/>
      </c>
      <c r="Y57" s="93" t="str" cm="1">
        <f t="array" ref="Y57">_xlfn.LET(
  _xlpm.w, Y$11,
  _xlpm.r, MATCH(1,('3. Enter Indicator Scores'!$B$10:$B$161=$B57)*('3. Enter Indicator Scores'!$C$10:$C$161=$C57),0),
  _xlpm.c, MATCH(Y$8,'3. Enter Indicator Scores'!$D$8:$CZ$8,0),
  _xlpm.v, IFERROR(INDEX('3. Enter Indicator Scores'!$D$10:$CZ$161,_xlpm.r,_xlpm.c),""),
  IF(OR(_xlpm.w="",_xlpm.v=""),"",_xlpm.v*_xlpm.w)
)</f>
        <v/>
      </c>
      <c r="Z57" s="93" t="str" cm="1">
        <f t="array" ref="Z57">_xlfn.LET(
  _xlpm.w, Z$11,
  _xlpm.r, MATCH(1,('3. Enter Indicator Scores'!$B$10:$B$161=$B57)*('3. Enter Indicator Scores'!$C$10:$C$161=$C57),0),
  _xlpm.c, MATCH(Z$8,'3. Enter Indicator Scores'!$D$8:$CZ$8,0),
  _xlpm.v, IFERROR(INDEX('3. Enter Indicator Scores'!$D$10:$CZ$161,_xlpm.r,_xlpm.c),""),
  IF(OR(_xlpm.w="",_xlpm.v=""),"",_xlpm.v*_xlpm.w)
)</f>
        <v/>
      </c>
      <c r="AA57" s="93" t="str" cm="1">
        <f t="array" ref="AA57">_xlfn.LET(
  _xlpm.w, AA$11,
  _xlpm.r, MATCH(1,('3. Enter Indicator Scores'!$B$10:$B$161=$B57)*('3. Enter Indicator Scores'!$C$10:$C$161=$C57),0),
  _xlpm.c, MATCH(AA$8,'3. Enter Indicator Scores'!$D$8:$CZ$8,0),
  _xlpm.v, IFERROR(INDEX('3. Enter Indicator Scores'!$D$10:$CZ$161,_xlpm.r,_xlpm.c),""),
  IF(OR(_xlpm.w="",_xlpm.v=""),"",_xlpm.v*_xlpm.w)
)</f>
        <v/>
      </c>
      <c r="AB57" s="93" t="str" cm="1">
        <f t="array" ref="AB57">_xlfn.LET(
  _xlpm.w, AB$11,
  _xlpm.r, MATCH(1,('3. Enter Indicator Scores'!$B$10:$B$161=$B57)*('3. Enter Indicator Scores'!$C$10:$C$161=$C57),0),
  _xlpm.c, MATCH(AB$8,'3. Enter Indicator Scores'!$D$8:$CZ$8,0),
  _xlpm.v, IFERROR(INDEX('3. Enter Indicator Scores'!$D$10:$CZ$161,_xlpm.r,_xlpm.c),""),
  IF(OR(_xlpm.w="",_xlpm.v=""),"",_xlpm.v*_xlpm.w)
)</f>
        <v/>
      </c>
      <c r="AC57" s="93" t="str" cm="1">
        <f t="array" ref="AC57">_xlfn.LET(
  _xlpm.w, AC$11,
  _xlpm.r, MATCH(1,('3. Enter Indicator Scores'!$B$10:$B$161=$B57)*('3. Enter Indicator Scores'!$C$10:$C$161=$C57),0),
  _xlpm.c, MATCH(AC$8,'3. Enter Indicator Scores'!$D$8:$CZ$8,0),
  _xlpm.v, IFERROR(INDEX('3. Enter Indicator Scores'!$D$10:$CZ$161,_xlpm.r,_xlpm.c),""),
  IF(OR(_xlpm.w="",_xlpm.v=""),"",_xlpm.v*_xlpm.w)
)</f>
        <v/>
      </c>
      <c r="AD57" s="93" t="str" cm="1">
        <f t="array" ref="AD57">_xlfn.LET(
  _xlpm.w, AD$11,
  _xlpm.r, MATCH(1,('3. Enter Indicator Scores'!$B$10:$B$161=$B57)*('3. Enter Indicator Scores'!$C$10:$C$161=$C57),0),
  _xlpm.c, MATCH(AD$8,'3. Enter Indicator Scores'!$D$8:$CZ$8,0),
  _xlpm.v, IFERROR(INDEX('3. Enter Indicator Scores'!$D$10:$CZ$161,_xlpm.r,_xlpm.c),""),
  IF(OR(_xlpm.w="",_xlpm.v=""),"",_xlpm.v*_xlpm.w)
)</f>
        <v/>
      </c>
      <c r="AE57" s="93" t="str" cm="1">
        <f t="array" ref="AE57">_xlfn.LET(
  _xlpm.w, AE$11,
  _xlpm.r, MATCH(1,('3. Enter Indicator Scores'!$B$10:$B$161=$B57)*('3. Enter Indicator Scores'!$C$10:$C$161=$C57),0),
  _xlpm.c, MATCH(AE$8,'3. Enter Indicator Scores'!$D$8:$CZ$8,0),
  _xlpm.v, IFERROR(INDEX('3. Enter Indicator Scores'!$D$10:$CZ$161,_xlpm.r,_xlpm.c),""),
  IF(OR(_xlpm.w="",_xlpm.v=""),"",_xlpm.v*_xlpm.w)
)</f>
        <v/>
      </c>
      <c r="AF57" s="93" t="str" cm="1">
        <f t="array" ref="AF57">_xlfn.LET(
  _xlpm.w, AF$11,
  _xlpm.r, MATCH(1,('3. Enter Indicator Scores'!$B$10:$B$161=$B57)*('3. Enter Indicator Scores'!$C$10:$C$161=$C57),0),
  _xlpm.c, MATCH(AF$8,'3. Enter Indicator Scores'!$D$8:$CZ$8,0),
  _xlpm.v, IFERROR(INDEX('3. Enter Indicator Scores'!$D$10:$CZ$161,_xlpm.r,_xlpm.c),""),
  IF(OR(_xlpm.w="",_xlpm.v=""),"",_xlpm.v*_xlpm.w)
)</f>
        <v/>
      </c>
      <c r="AG57" s="93" t="str" cm="1">
        <f t="array" ref="AG57">_xlfn.LET(
  _xlpm.w, AG$11,
  _xlpm.r, MATCH(1,('3. Enter Indicator Scores'!$B$10:$B$161=$B57)*('3. Enter Indicator Scores'!$C$10:$C$161=$C57),0),
  _xlpm.c, MATCH(AG$8,'3. Enter Indicator Scores'!$D$8:$CZ$8,0),
  _xlpm.v, IFERROR(INDEX('3. Enter Indicator Scores'!$D$10:$CZ$161,_xlpm.r,_xlpm.c),""),
  IF(OR(_xlpm.w="",_xlpm.v=""),"",_xlpm.v*_xlpm.w)
)</f>
        <v/>
      </c>
      <c r="AH57" s="93" t="str" cm="1">
        <f t="array" ref="AH57">_xlfn.LET(
  _xlpm.w, AH$11,
  _xlpm.r, MATCH(1,('3. Enter Indicator Scores'!$B$10:$B$161=$B57)*('3. Enter Indicator Scores'!$C$10:$C$161=$C57),0),
  _xlpm.c, MATCH(AH$8,'3. Enter Indicator Scores'!$D$8:$CZ$8,0),
  _xlpm.v, IFERROR(INDEX('3. Enter Indicator Scores'!$D$10:$CZ$161,_xlpm.r,_xlpm.c),""),
  IF(OR(_xlpm.w="",_xlpm.v=""),"",_xlpm.v*_xlpm.w)
)</f>
        <v/>
      </c>
      <c r="AI57" s="93" t="str" cm="1">
        <f t="array" ref="AI57">_xlfn.LET(
  _xlpm.w, AI$11,
  _xlpm.r, MATCH(1,('3. Enter Indicator Scores'!$B$10:$B$161=$B57)*('3. Enter Indicator Scores'!$C$10:$C$161=$C57),0),
  _xlpm.c, MATCH(AI$8,'3. Enter Indicator Scores'!$D$8:$CZ$8,0),
  _xlpm.v, IFERROR(INDEX('3. Enter Indicator Scores'!$D$10:$CZ$161,_xlpm.r,_xlpm.c),""),
  IF(OR(_xlpm.w="",_xlpm.v=""),"",_xlpm.v*_xlpm.w)
)</f>
        <v/>
      </c>
      <c r="AJ57" s="93" t="str" cm="1">
        <f t="array" ref="AJ57">_xlfn.LET(
  _xlpm.w, AJ$11,
  _xlpm.r, MATCH(1,('3. Enter Indicator Scores'!$B$10:$B$161=$B57)*('3. Enter Indicator Scores'!$C$10:$C$161=$C57),0),
  _xlpm.c, MATCH(AJ$8,'3. Enter Indicator Scores'!$D$8:$CZ$8,0),
  _xlpm.v, IFERROR(INDEX('3. Enter Indicator Scores'!$D$10:$CZ$161,_xlpm.r,_xlpm.c),""),
  IF(OR(_xlpm.w="",_xlpm.v=""),"",_xlpm.v*_xlpm.w)
)</f>
        <v/>
      </c>
      <c r="AK57" s="93" t="str" cm="1">
        <f t="array" ref="AK57">_xlfn.LET(
  _xlpm.w, AK$11,
  _xlpm.r, MATCH(1,('3. Enter Indicator Scores'!$B$10:$B$161=$B57)*('3. Enter Indicator Scores'!$C$10:$C$161=$C57),0),
  _xlpm.c, MATCH(AK$8,'3. Enter Indicator Scores'!$D$8:$CZ$8,0),
  _xlpm.v, IFERROR(INDEX('3. Enter Indicator Scores'!$D$10:$CZ$161,_xlpm.r,_xlpm.c),""),
  IF(OR(_xlpm.w="",_xlpm.v=""),"",_xlpm.v*_xlpm.w)
)</f>
        <v/>
      </c>
      <c r="AL57" s="93" t="str" cm="1">
        <f t="array" ref="AL57">_xlfn.LET(
  _xlpm.w, AL$11,
  _xlpm.r, MATCH(1,('3. Enter Indicator Scores'!$B$10:$B$161=$B57)*('3. Enter Indicator Scores'!$C$10:$C$161=$C57),0),
  _xlpm.c, MATCH(AL$8,'3. Enter Indicator Scores'!$D$8:$CZ$8,0),
  _xlpm.v, IFERROR(INDEX('3. Enter Indicator Scores'!$D$10:$CZ$161,_xlpm.r,_xlpm.c),""),
  IF(OR(_xlpm.w="",_xlpm.v=""),"",_xlpm.v*_xlpm.w)
)</f>
        <v/>
      </c>
      <c r="AM57" s="93" t="str" cm="1">
        <f t="array" ref="AM57">_xlfn.LET(
  _xlpm.w, AM$11,
  _xlpm.r, MATCH(1,('3. Enter Indicator Scores'!$B$10:$B$161=$B57)*('3. Enter Indicator Scores'!$C$10:$C$161=$C57),0),
  _xlpm.c, MATCH(AM$8,'3. Enter Indicator Scores'!$D$8:$CZ$8,0),
  _xlpm.v, IFERROR(INDEX('3. Enter Indicator Scores'!$D$10:$CZ$161,_xlpm.r,_xlpm.c),""),
  IF(OR(_xlpm.w="",_xlpm.v=""),"",_xlpm.v*_xlpm.w)
)</f>
        <v/>
      </c>
      <c r="AN57" s="93" t="str" cm="1">
        <f t="array" ref="AN57">_xlfn.LET(
  _xlpm.w, AN$11,
  _xlpm.r, MATCH(1,('3. Enter Indicator Scores'!$B$10:$B$161=$B57)*('3. Enter Indicator Scores'!$C$10:$C$161=$C57),0),
  _xlpm.c, MATCH(AN$8,'3. Enter Indicator Scores'!$D$8:$CZ$8,0),
  _xlpm.v, IFERROR(INDEX('3. Enter Indicator Scores'!$D$10:$CZ$161,_xlpm.r,_xlpm.c),""),
  IF(OR(_xlpm.w="",_xlpm.v=""),"",_xlpm.v*_xlpm.w)
)</f>
        <v/>
      </c>
      <c r="AO57" s="93" t="str" cm="1">
        <f t="array" ref="AO57">_xlfn.LET(
  _xlpm.w, AO$11,
  _xlpm.r, MATCH(1,('3. Enter Indicator Scores'!$B$10:$B$161=$B57)*('3. Enter Indicator Scores'!$C$10:$C$161=$C57),0),
  _xlpm.c, MATCH(AO$8,'3. Enter Indicator Scores'!$D$8:$CZ$8,0),
  _xlpm.v, IFERROR(INDEX('3. Enter Indicator Scores'!$D$10:$CZ$161,_xlpm.r,_xlpm.c),""),
  IF(OR(_xlpm.w="",_xlpm.v=""),"",_xlpm.v*_xlpm.w)
)</f>
        <v/>
      </c>
      <c r="AP57" s="93" t="str" cm="1">
        <f t="array" ref="AP57">_xlfn.LET(
  _xlpm.w, AP$11,
  _xlpm.r, MATCH(1,('3. Enter Indicator Scores'!$B$10:$B$161=$B57)*('3. Enter Indicator Scores'!$C$10:$C$161=$C57),0),
  _xlpm.c, MATCH(AP$8,'3. Enter Indicator Scores'!$D$8:$CZ$8,0),
  _xlpm.v, IFERROR(INDEX('3. Enter Indicator Scores'!$D$10:$CZ$161,_xlpm.r,_xlpm.c),""),
  IF(OR(_xlpm.w="",_xlpm.v=""),"",_xlpm.v*_xlpm.w)
)</f>
        <v/>
      </c>
      <c r="AQ57" s="93" t="str" cm="1">
        <f t="array" ref="AQ57">_xlfn.LET(
  _xlpm.w, AQ$11,
  _xlpm.r, MATCH(1,('3. Enter Indicator Scores'!$B$10:$B$161=$B57)*('3. Enter Indicator Scores'!$C$10:$C$161=$C57),0),
  _xlpm.c, MATCH(AQ$8,'3. Enter Indicator Scores'!$D$8:$CZ$8,0),
  _xlpm.v, IFERROR(INDEX('3. Enter Indicator Scores'!$D$10:$CZ$161,_xlpm.r,_xlpm.c),""),
  IF(OR(_xlpm.w="",_xlpm.v=""),"",_xlpm.v*_xlpm.w)
)</f>
        <v/>
      </c>
      <c r="AR57" s="93" t="str" cm="1">
        <f t="array" ref="AR57">_xlfn.LET(
  _xlpm.w, AR$11,
  _xlpm.r, MATCH(1,('3. Enter Indicator Scores'!$B$10:$B$161=$B57)*('3. Enter Indicator Scores'!$C$10:$C$161=$C57),0),
  _xlpm.c, MATCH(AR$8,'3. Enter Indicator Scores'!$D$8:$CZ$8,0),
  _xlpm.v, IFERROR(INDEX('3. Enter Indicator Scores'!$D$10:$CZ$161,_xlpm.r,_xlpm.c),""),
  IF(OR(_xlpm.w="",_xlpm.v=""),"",_xlpm.v*_xlpm.w)
)</f>
        <v/>
      </c>
      <c r="AS57" s="93" t="str" cm="1">
        <f t="array" ref="AS57">_xlfn.LET(
  _xlpm.w, AS$11,
  _xlpm.r, MATCH(1,('3. Enter Indicator Scores'!$B$10:$B$161=$B57)*('3. Enter Indicator Scores'!$C$10:$C$161=$C57),0),
  _xlpm.c, MATCH(AS$8,'3. Enter Indicator Scores'!$D$8:$CZ$8,0),
  _xlpm.v, IFERROR(INDEX('3. Enter Indicator Scores'!$D$10:$CZ$161,_xlpm.r,_xlpm.c),""),
  IF(OR(_xlpm.w="",_xlpm.v=""),"",_xlpm.v*_xlpm.w)
)</f>
        <v/>
      </c>
      <c r="AT57" s="93" t="str" cm="1">
        <f t="array" ref="AT57">_xlfn.LET(
  _xlpm.w, AT$11,
  _xlpm.r, MATCH(1,('3. Enter Indicator Scores'!$B$10:$B$161=$B57)*('3. Enter Indicator Scores'!$C$10:$C$161=$C57),0),
  _xlpm.c, MATCH(AT$8,'3. Enter Indicator Scores'!$D$8:$CZ$8,0),
  _xlpm.v, IFERROR(INDEX('3. Enter Indicator Scores'!$D$10:$CZ$161,_xlpm.r,_xlpm.c),""),
  IF(OR(_xlpm.w="",_xlpm.v=""),"",_xlpm.v*_xlpm.w)
)</f>
        <v/>
      </c>
      <c r="AU57" s="93" t="str" cm="1">
        <f t="array" ref="AU57">_xlfn.LET(
  _xlpm.w, AU$11,
  _xlpm.r, MATCH(1,('3. Enter Indicator Scores'!$B$10:$B$161=$B57)*('3. Enter Indicator Scores'!$C$10:$C$161=$C57),0),
  _xlpm.c, MATCH(AU$8,'3. Enter Indicator Scores'!$D$8:$CZ$8,0),
  _xlpm.v, IFERROR(INDEX('3. Enter Indicator Scores'!$D$10:$CZ$161,_xlpm.r,_xlpm.c),""),
  IF(OR(_xlpm.w="",_xlpm.v=""),"",_xlpm.v*_xlpm.w)
)</f>
        <v/>
      </c>
      <c r="AV57" s="93" t="str" cm="1">
        <f t="array" ref="AV57">_xlfn.LET(
  _xlpm.w, AV$11,
  _xlpm.r, MATCH(1,('3. Enter Indicator Scores'!$B$10:$B$161=$B57)*('3. Enter Indicator Scores'!$C$10:$C$161=$C57),0),
  _xlpm.c, MATCH(AV$8,'3. Enter Indicator Scores'!$D$8:$CZ$8,0),
  _xlpm.v, IFERROR(INDEX('3. Enter Indicator Scores'!$D$10:$CZ$161,_xlpm.r,_xlpm.c),""),
  IF(OR(_xlpm.w="",_xlpm.v=""),"",_xlpm.v*_xlpm.w)
)</f>
        <v/>
      </c>
      <c r="AW57" s="93" t="str" cm="1">
        <f t="array" ref="AW57">_xlfn.LET(
  _xlpm.w, AW$11,
  _xlpm.r, MATCH(1,('3. Enter Indicator Scores'!$B$10:$B$161=$B57)*('3. Enter Indicator Scores'!$C$10:$C$161=$C57),0),
  _xlpm.c, MATCH(AW$8,'3. Enter Indicator Scores'!$D$8:$CZ$8,0),
  _xlpm.v, IFERROR(INDEX('3. Enter Indicator Scores'!$D$10:$CZ$161,_xlpm.r,_xlpm.c),""),
  IF(OR(_xlpm.w="",_xlpm.v=""),"",_xlpm.v*_xlpm.w)
)</f>
        <v/>
      </c>
      <c r="AX57" s="93" t="str" cm="1">
        <f t="array" ref="AX57">_xlfn.LET(
  _xlpm.w, AX$11,
  _xlpm.r, MATCH(1,('3. Enter Indicator Scores'!$B$10:$B$161=$B57)*('3. Enter Indicator Scores'!$C$10:$C$161=$C57),0),
  _xlpm.c, MATCH(AX$8,'3. Enter Indicator Scores'!$D$8:$CZ$8,0),
  _xlpm.v, IFERROR(INDEX('3. Enter Indicator Scores'!$D$10:$CZ$161,_xlpm.r,_xlpm.c),""),
  IF(OR(_xlpm.w="",_xlpm.v=""),"",_xlpm.v*_xlpm.w)
)</f>
        <v/>
      </c>
      <c r="AY57" s="93" t="str" cm="1">
        <f t="array" ref="AY57">_xlfn.LET(
  _xlpm.w, AY$11,
  _xlpm.r, MATCH(1,('3. Enter Indicator Scores'!$B$10:$B$161=$B57)*('3. Enter Indicator Scores'!$C$10:$C$161=$C57),0),
  _xlpm.c, MATCH(AY$8,'3. Enter Indicator Scores'!$D$8:$CZ$8,0),
  _xlpm.v, IFERROR(INDEX('3. Enter Indicator Scores'!$D$10:$CZ$161,_xlpm.r,_xlpm.c),""),
  IF(OR(_xlpm.w="",_xlpm.v=""),"",_xlpm.v*_xlpm.w)
)</f>
        <v/>
      </c>
      <c r="AZ57" s="93" t="str" cm="1">
        <f t="array" ref="AZ57">_xlfn.LET(
  _xlpm.w, AZ$11,
  _xlpm.r, MATCH(1,('3. Enter Indicator Scores'!$B$10:$B$161=$B57)*('3. Enter Indicator Scores'!$C$10:$C$161=$C57),0),
  _xlpm.c, MATCH(AZ$8,'3. Enter Indicator Scores'!$D$8:$CZ$8,0),
  _xlpm.v, IFERROR(INDEX('3. Enter Indicator Scores'!$D$10:$CZ$161,_xlpm.r,_xlpm.c),""),
  IF(OR(_xlpm.w="",_xlpm.v=""),"",_xlpm.v*_xlpm.w)
)</f>
        <v/>
      </c>
      <c r="BA57" s="93" t="str" cm="1">
        <f t="array" ref="BA57">_xlfn.LET(
  _xlpm.w, BA$11,
  _xlpm.r, MATCH(1,('3. Enter Indicator Scores'!$B$10:$B$161=$B57)*('3. Enter Indicator Scores'!$C$10:$C$161=$C57),0),
  _xlpm.c, MATCH(BA$8,'3. Enter Indicator Scores'!$D$8:$CZ$8,0),
  _xlpm.v, IFERROR(INDEX('3. Enter Indicator Scores'!$D$10:$CZ$161,_xlpm.r,_xlpm.c),""),
  IF(OR(_xlpm.w="",_xlpm.v=""),"",_xlpm.v*_xlpm.w)
)</f>
        <v/>
      </c>
      <c r="BB57" s="93" t="str" cm="1">
        <f t="array" ref="BB57">_xlfn.LET(
  _xlpm.w, BB$11,
  _xlpm.r, MATCH(1,('3. Enter Indicator Scores'!$B$10:$B$161=$B57)*('3. Enter Indicator Scores'!$C$10:$C$161=$C57),0),
  _xlpm.c, MATCH(BB$8,'3. Enter Indicator Scores'!$D$8:$CZ$8,0),
  _xlpm.v, IFERROR(INDEX('3. Enter Indicator Scores'!$D$10:$CZ$161,_xlpm.r,_xlpm.c),""),
  IF(OR(_xlpm.w="",_xlpm.v=""),"",_xlpm.v*_xlpm.w)
)</f>
        <v/>
      </c>
      <c r="BC57" s="93" t="str" cm="1">
        <f t="array" ref="BC57">_xlfn.LET(
  _xlpm.w, BC$11,
  _xlpm.r, MATCH(1,('3. Enter Indicator Scores'!$B$10:$B$161=$B57)*('3. Enter Indicator Scores'!$C$10:$C$161=$C57),0),
  _xlpm.c, MATCH(BC$8,'3. Enter Indicator Scores'!$D$8:$CZ$8,0),
  _xlpm.v, IFERROR(INDEX('3. Enter Indicator Scores'!$D$10:$CZ$161,_xlpm.r,_xlpm.c),""),
  IF(OR(_xlpm.w="",_xlpm.v=""),"",_xlpm.v*_xlpm.w)
)</f>
        <v/>
      </c>
      <c r="BD57" s="93" t="str" cm="1">
        <f t="array" ref="BD57">_xlfn.LET(
  _xlpm.w, BD$11,
  _xlpm.r, MATCH(1,('3. Enter Indicator Scores'!$B$10:$B$161=$B57)*('3. Enter Indicator Scores'!$C$10:$C$161=$C57),0),
  _xlpm.c, MATCH(BD$8,'3. Enter Indicator Scores'!$D$8:$CZ$8,0),
  _xlpm.v, IFERROR(INDEX('3. Enter Indicator Scores'!$D$10:$CZ$161,_xlpm.r,_xlpm.c),""),
  IF(OR(_xlpm.w="",_xlpm.v=""),"",_xlpm.v*_xlpm.w)
)</f>
        <v/>
      </c>
      <c r="BE57" s="93" t="str" cm="1">
        <f t="array" ref="BE57">_xlfn.LET(
  _xlpm.w, BE$11,
  _xlpm.r, MATCH(1,('3. Enter Indicator Scores'!$B$10:$B$161=$B57)*('3. Enter Indicator Scores'!$C$10:$C$161=$C57),0),
  _xlpm.c, MATCH(BE$8,'3. Enter Indicator Scores'!$D$8:$CZ$8,0),
  _xlpm.v, IFERROR(INDEX('3. Enter Indicator Scores'!$D$10:$CZ$161,_xlpm.r,_xlpm.c),""),
  IF(OR(_xlpm.w="",_xlpm.v=""),"",_xlpm.v*_xlpm.w)
)</f>
        <v/>
      </c>
      <c r="BF57" s="93" t="str" cm="1">
        <f t="array" ref="BF57">_xlfn.LET(
  _xlpm.w, BF$11,
  _xlpm.r, MATCH(1,('3. Enter Indicator Scores'!$B$10:$B$161=$B57)*('3. Enter Indicator Scores'!$C$10:$C$161=$C57),0),
  _xlpm.c, MATCH(BF$8,'3. Enter Indicator Scores'!$D$8:$CZ$8,0),
  _xlpm.v, IFERROR(INDEX('3. Enter Indicator Scores'!$D$10:$CZ$161,_xlpm.r,_xlpm.c),""),
  IF(OR(_xlpm.w="",_xlpm.v=""),"",_xlpm.v*_xlpm.w)
)</f>
        <v/>
      </c>
      <c r="BG57" s="93" t="str" cm="1">
        <f t="array" ref="BG57">_xlfn.LET(
  _xlpm.w, BG$11,
  _xlpm.r, MATCH(1,('3. Enter Indicator Scores'!$B$10:$B$161=$B57)*('3. Enter Indicator Scores'!$C$10:$C$161=$C57),0),
  _xlpm.c, MATCH(BG$8,'3. Enter Indicator Scores'!$D$8:$CZ$8,0),
  _xlpm.v, IFERROR(INDEX('3. Enter Indicator Scores'!$D$10:$CZ$161,_xlpm.r,_xlpm.c),""),
  IF(OR(_xlpm.w="",_xlpm.v=""),"",_xlpm.v*_xlpm.w)
)</f>
        <v/>
      </c>
      <c r="BH57" s="93" t="str" cm="1">
        <f t="array" ref="BH57">_xlfn.LET(
  _xlpm.w, BH$11,
  _xlpm.r, MATCH(1,('3. Enter Indicator Scores'!$B$10:$B$161=$B57)*('3. Enter Indicator Scores'!$C$10:$C$161=$C57),0),
  _xlpm.c, MATCH(BH$8,'3. Enter Indicator Scores'!$D$8:$CZ$8,0),
  _xlpm.v, IFERROR(INDEX('3. Enter Indicator Scores'!$D$10:$CZ$161,_xlpm.r,_xlpm.c),""),
  IF(OR(_xlpm.w="",_xlpm.v=""),"",_xlpm.v*_xlpm.w)
)</f>
        <v/>
      </c>
      <c r="BI57" s="93" t="str" cm="1">
        <f t="array" ref="BI57">_xlfn.LET(
  _xlpm.w, BI$11,
  _xlpm.r, MATCH(1,('3. Enter Indicator Scores'!$B$10:$B$161=$B57)*('3. Enter Indicator Scores'!$C$10:$C$161=$C57),0),
  _xlpm.c, MATCH(BI$8,'3. Enter Indicator Scores'!$D$8:$CZ$8,0),
  _xlpm.v, IFERROR(INDEX('3. Enter Indicator Scores'!$D$10:$CZ$161,_xlpm.r,_xlpm.c),""),
  IF(OR(_xlpm.w="",_xlpm.v=""),"",_xlpm.v*_xlpm.w)
)</f>
        <v/>
      </c>
      <c r="BJ57" s="93" t="str" cm="1">
        <f t="array" ref="BJ57">_xlfn.LET(
  _xlpm.w, BJ$11,
  _xlpm.r, MATCH(1,('3. Enter Indicator Scores'!$B$10:$B$161=$B57)*('3. Enter Indicator Scores'!$C$10:$C$161=$C57),0),
  _xlpm.c, MATCH(BJ$8,'3. Enter Indicator Scores'!$D$8:$CZ$8,0),
  _xlpm.v, IFERROR(INDEX('3. Enter Indicator Scores'!$D$10:$CZ$161,_xlpm.r,_xlpm.c),""),
  IF(OR(_xlpm.w="",_xlpm.v=""),"",_xlpm.v*_xlpm.w)
)</f>
        <v/>
      </c>
      <c r="BK57" s="93" t="str" cm="1">
        <f t="array" ref="BK57">_xlfn.LET(
  _xlpm.w, BK$11,
  _xlpm.r, MATCH(1,('3. Enter Indicator Scores'!$B$10:$B$161=$B57)*('3. Enter Indicator Scores'!$C$10:$C$161=$C57),0),
  _xlpm.c, MATCH(BK$8,'3. Enter Indicator Scores'!$D$8:$CZ$8,0),
  _xlpm.v, IFERROR(INDEX('3. Enter Indicator Scores'!$D$10:$CZ$161,_xlpm.r,_xlpm.c),""),
  IF(OR(_xlpm.w="",_xlpm.v=""),"",_xlpm.v*_xlpm.w)
)</f>
        <v/>
      </c>
      <c r="BL57" s="93" t="str" cm="1">
        <f t="array" ref="BL57">_xlfn.LET(
  _xlpm.w, BL$11,
  _xlpm.r, MATCH(1,('3. Enter Indicator Scores'!$B$10:$B$161=$B57)*('3. Enter Indicator Scores'!$C$10:$C$161=$C57),0),
  _xlpm.c, MATCH(BL$8,'3. Enter Indicator Scores'!$D$8:$CZ$8,0),
  _xlpm.v, IFERROR(INDEX('3. Enter Indicator Scores'!$D$10:$CZ$161,_xlpm.r,_xlpm.c),""),
  IF(OR(_xlpm.w="",_xlpm.v=""),"",_xlpm.v*_xlpm.w)
)</f>
        <v/>
      </c>
      <c r="BM57" s="93" t="str" cm="1">
        <f t="array" ref="BM57">_xlfn.LET(
  _xlpm.w, BM$11,
  _xlpm.r, MATCH(1,('3. Enter Indicator Scores'!$B$10:$B$161=$B57)*('3. Enter Indicator Scores'!$C$10:$C$161=$C57),0),
  _xlpm.c, MATCH(BM$8,'3. Enter Indicator Scores'!$D$8:$CZ$8,0),
  _xlpm.v, IFERROR(INDEX('3. Enter Indicator Scores'!$D$10:$CZ$161,_xlpm.r,_xlpm.c),""),
  IF(OR(_xlpm.w="",_xlpm.v=""),"",_xlpm.v*_xlpm.w)
)</f>
        <v/>
      </c>
      <c r="BN57" s="93" t="str" cm="1">
        <f t="array" ref="BN57">_xlfn.LET(
  _xlpm.w, BN$11,
  _xlpm.r, MATCH(1,('3. Enter Indicator Scores'!$B$10:$B$161=$B57)*('3. Enter Indicator Scores'!$C$10:$C$161=$C57),0),
  _xlpm.c, MATCH(BN$8,'3. Enter Indicator Scores'!$D$8:$CZ$8,0),
  _xlpm.v, IFERROR(INDEX('3. Enter Indicator Scores'!$D$10:$CZ$161,_xlpm.r,_xlpm.c),""),
  IF(OR(_xlpm.w="",_xlpm.v=""),"",_xlpm.v*_xlpm.w)
)</f>
        <v/>
      </c>
      <c r="BO57" s="93" t="str" cm="1">
        <f t="array" ref="BO57">_xlfn.LET(
  _xlpm.w, BO$11,
  _xlpm.r, MATCH(1,('3. Enter Indicator Scores'!$B$10:$B$161=$B57)*('3. Enter Indicator Scores'!$C$10:$C$161=$C57),0),
  _xlpm.c, MATCH(BO$8,'3. Enter Indicator Scores'!$D$8:$CZ$8,0),
  _xlpm.v, IFERROR(INDEX('3. Enter Indicator Scores'!$D$10:$CZ$161,_xlpm.r,_xlpm.c),""),
  IF(OR(_xlpm.w="",_xlpm.v=""),"",_xlpm.v*_xlpm.w)
)</f>
        <v/>
      </c>
      <c r="BP57" s="93" t="str" cm="1">
        <f t="array" ref="BP57">_xlfn.LET(
  _xlpm.w, BP$11,
  _xlpm.r, MATCH(1,('3. Enter Indicator Scores'!$B$10:$B$161=$B57)*('3. Enter Indicator Scores'!$C$10:$C$161=$C57),0),
  _xlpm.c, MATCH(BP$8,'3. Enter Indicator Scores'!$D$8:$CZ$8,0),
  _xlpm.v, IFERROR(INDEX('3. Enter Indicator Scores'!$D$10:$CZ$161,_xlpm.r,_xlpm.c),""),
  IF(OR(_xlpm.w="",_xlpm.v=""),"",_xlpm.v*_xlpm.w)
)</f>
        <v/>
      </c>
      <c r="BQ57" s="93" t="str" cm="1">
        <f t="array" ref="BQ57">_xlfn.LET(
  _xlpm.w, BQ$11,
  _xlpm.r, MATCH(1,('3. Enter Indicator Scores'!$B$10:$B$161=$B57)*('3. Enter Indicator Scores'!$C$10:$C$161=$C57),0),
  _xlpm.c, MATCH(BQ$8,'3. Enter Indicator Scores'!$D$8:$CZ$8,0),
  _xlpm.v, IFERROR(INDEX('3. Enter Indicator Scores'!$D$10:$CZ$161,_xlpm.r,_xlpm.c),""),
  IF(OR(_xlpm.w="",_xlpm.v=""),"",_xlpm.v*_xlpm.w)
)</f>
        <v/>
      </c>
      <c r="BR57" s="93" t="str" cm="1">
        <f t="array" ref="BR57">_xlfn.LET(
  _xlpm.w, BR$11,
  _xlpm.r, MATCH(1,('3. Enter Indicator Scores'!$B$10:$B$161=$B57)*('3. Enter Indicator Scores'!$C$10:$C$161=$C57),0),
  _xlpm.c, MATCH(BR$8,'3. Enter Indicator Scores'!$D$8:$CZ$8,0),
  _xlpm.v, IFERROR(INDEX('3. Enter Indicator Scores'!$D$10:$CZ$161,_xlpm.r,_xlpm.c),""),
  IF(OR(_xlpm.w="",_xlpm.v=""),"",_xlpm.v*_xlpm.w)
)</f>
        <v/>
      </c>
      <c r="BS57" s="93" t="str" cm="1">
        <f t="array" ref="BS57">_xlfn.LET(
  _xlpm.w, BS$11,
  _xlpm.r, MATCH(1,('3. Enter Indicator Scores'!$B$10:$B$161=$B57)*('3. Enter Indicator Scores'!$C$10:$C$161=$C57),0),
  _xlpm.c, MATCH(BS$8,'3. Enter Indicator Scores'!$D$8:$CZ$8,0),
  _xlpm.v, IFERROR(INDEX('3. Enter Indicator Scores'!$D$10:$CZ$161,_xlpm.r,_xlpm.c),""),
  IF(OR(_xlpm.w="",_xlpm.v=""),"",_xlpm.v*_xlpm.w)
)</f>
        <v/>
      </c>
      <c r="BT57" s="93" t="str" cm="1">
        <f t="array" ref="BT57">_xlfn.LET(
  _xlpm.w, BT$11,
  _xlpm.r, MATCH(1,('3. Enter Indicator Scores'!$B$10:$B$161=$B57)*('3. Enter Indicator Scores'!$C$10:$C$161=$C57),0),
  _xlpm.c, MATCH(BT$8,'3. Enter Indicator Scores'!$D$8:$CZ$8,0),
  _xlpm.v, IFERROR(INDEX('3. Enter Indicator Scores'!$D$10:$CZ$161,_xlpm.r,_xlpm.c),""),
  IF(OR(_xlpm.w="",_xlpm.v=""),"",_xlpm.v*_xlpm.w)
)</f>
        <v/>
      </c>
      <c r="BU57" s="93" t="str" cm="1">
        <f t="array" ref="BU57">_xlfn.LET(
  _xlpm.w, BU$11,
  _xlpm.r, MATCH(1,('3. Enter Indicator Scores'!$B$10:$B$161=$B57)*('3. Enter Indicator Scores'!$C$10:$C$161=$C57),0),
  _xlpm.c, MATCH(BU$8,'3. Enter Indicator Scores'!$D$8:$CZ$8,0),
  _xlpm.v, IFERROR(INDEX('3. Enter Indicator Scores'!$D$10:$CZ$161,_xlpm.r,_xlpm.c),""),
  IF(OR(_xlpm.w="",_xlpm.v=""),"",_xlpm.v*_xlpm.w)
)</f>
        <v/>
      </c>
      <c r="BV57" s="93" t="str" cm="1">
        <f t="array" ref="BV57">_xlfn.LET(
  _xlpm.w, BV$11,
  _xlpm.r, MATCH(1,('3. Enter Indicator Scores'!$B$10:$B$161=$B57)*('3. Enter Indicator Scores'!$C$10:$C$161=$C57),0),
  _xlpm.c, MATCH(BV$8,'3. Enter Indicator Scores'!$D$8:$CZ$8,0),
  _xlpm.v, IFERROR(INDEX('3. Enter Indicator Scores'!$D$10:$CZ$161,_xlpm.r,_xlpm.c),""),
  IF(OR(_xlpm.w="",_xlpm.v=""),"",_xlpm.v*_xlpm.w)
)</f>
        <v/>
      </c>
      <c r="BW57" s="93" t="str" cm="1">
        <f t="array" ref="BW57">_xlfn.LET(
  _xlpm.w, BW$11,
  _xlpm.r, MATCH(1,('3. Enter Indicator Scores'!$B$10:$B$161=$B57)*('3. Enter Indicator Scores'!$C$10:$C$161=$C57),0),
  _xlpm.c, MATCH(BW$8,'3. Enter Indicator Scores'!$D$8:$CZ$8,0),
  _xlpm.v, IFERROR(INDEX('3. Enter Indicator Scores'!$D$10:$CZ$161,_xlpm.r,_xlpm.c),""),
  IF(OR(_xlpm.w="",_xlpm.v=""),"",_xlpm.v*_xlpm.w)
)</f>
        <v/>
      </c>
      <c r="BX57" s="93" t="str" cm="1">
        <f t="array" ref="BX57">_xlfn.LET(
  _xlpm.w, BX$11,
  _xlpm.r, MATCH(1,('3. Enter Indicator Scores'!$B$10:$B$161=$B57)*('3. Enter Indicator Scores'!$C$10:$C$161=$C57),0),
  _xlpm.c, MATCH(BX$8,'3. Enter Indicator Scores'!$D$8:$CZ$8,0),
  _xlpm.v, IFERROR(INDEX('3. Enter Indicator Scores'!$D$10:$CZ$161,_xlpm.r,_xlpm.c),""),
  IF(OR(_xlpm.w="",_xlpm.v=""),"",_xlpm.v*_xlpm.w)
)</f>
        <v/>
      </c>
      <c r="BY57" s="93" t="str" cm="1">
        <f t="array" ref="BY57">_xlfn.LET(
  _xlpm.w, BY$11,
  _xlpm.r, MATCH(1,('3. Enter Indicator Scores'!$B$10:$B$161=$B57)*('3. Enter Indicator Scores'!$C$10:$C$161=$C57),0),
  _xlpm.c, MATCH(BY$8,'3. Enter Indicator Scores'!$D$8:$CZ$8,0),
  _xlpm.v, IFERROR(INDEX('3. Enter Indicator Scores'!$D$10:$CZ$161,_xlpm.r,_xlpm.c),""),
  IF(OR(_xlpm.w="",_xlpm.v=""),"",_xlpm.v*_xlpm.w)
)</f>
        <v/>
      </c>
      <c r="BZ57" s="93" t="str" cm="1">
        <f t="array" ref="BZ57">_xlfn.LET(
  _xlpm.w, BZ$11,
  _xlpm.r, MATCH(1,('3. Enter Indicator Scores'!$B$10:$B$161=$B57)*('3. Enter Indicator Scores'!$C$10:$C$161=$C57),0),
  _xlpm.c, MATCH(BZ$8,'3. Enter Indicator Scores'!$D$8:$CZ$8,0),
  _xlpm.v, IFERROR(INDEX('3. Enter Indicator Scores'!$D$10:$CZ$161,_xlpm.r,_xlpm.c),""),
  IF(OR(_xlpm.w="",_xlpm.v=""),"",_xlpm.v*_xlpm.w)
)</f>
        <v/>
      </c>
      <c r="CA57" s="93" t="str" cm="1">
        <f t="array" ref="CA57">_xlfn.LET(
  _xlpm.w, CA$11,
  _xlpm.r, MATCH(1,('3. Enter Indicator Scores'!$B$10:$B$161=$B57)*('3. Enter Indicator Scores'!$C$10:$C$161=$C57),0),
  _xlpm.c, MATCH(CA$8,'3. Enter Indicator Scores'!$D$8:$CZ$8,0),
  _xlpm.v, IFERROR(INDEX('3. Enter Indicator Scores'!$D$10:$CZ$161,_xlpm.r,_xlpm.c),""),
  IF(OR(_xlpm.w="",_xlpm.v=""),"",_xlpm.v*_xlpm.w)
)</f>
        <v/>
      </c>
      <c r="CB57" s="93" t="str" cm="1">
        <f t="array" ref="CB57">_xlfn.LET(
  _xlpm.w, CB$11,
  _xlpm.r, MATCH(1,('3. Enter Indicator Scores'!$B$10:$B$161=$B57)*('3. Enter Indicator Scores'!$C$10:$C$161=$C57),0),
  _xlpm.c, MATCH(CB$8,'3. Enter Indicator Scores'!$D$8:$CZ$8,0),
  _xlpm.v, IFERROR(INDEX('3. Enter Indicator Scores'!$D$10:$CZ$161,_xlpm.r,_xlpm.c),""),
  IF(OR(_xlpm.w="",_xlpm.v=""),"",_xlpm.v*_xlpm.w)
)</f>
        <v/>
      </c>
      <c r="CC57" s="93" t="str" cm="1">
        <f t="array" ref="CC57">_xlfn.LET(
  _xlpm.w, CC$11,
  _xlpm.r, MATCH(1,('3. Enter Indicator Scores'!$B$10:$B$161=$B57)*('3. Enter Indicator Scores'!$C$10:$C$161=$C57),0),
  _xlpm.c, MATCH(CC$8,'3. Enter Indicator Scores'!$D$8:$CZ$8,0),
  _xlpm.v, IFERROR(INDEX('3. Enter Indicator Scores'!$D$10:$CZ$161,_xlpm.r,_xlpm.c),""),
  IF(OR(_xlpm.w="",_xlpm.v=""),"",_xlpm.v*_xlpm.w)
)</f>
        <v/>
      </c>
      <c r="CD57" s="93" t="str" cm="1">
        <f t="array" ref="CD57">_xlfn.LET(
  _xlpm.w, CD$11,
  _xlpm.r, MATCH(1,('3. Enter Indicator Scores'!$B$10:$B$161=$B57)*('3. Enter Indicator Scores'!$C$10:$C$161=$C57),0),
  _xlpm.c, MATCH(CD$8,'3. Enter Indicator Scores'!$D$8:$CZ$8,0),
  _xlpm.v, IFERROR(INDEX('3. Enter Indicator Scores'!$D$10:$CZ$161,_xlpm.r,_xlpm.c),""),
  IF(OR(_xlpm.w="",_xlpm.v=""),"",_xlpm.v*_xlpm.w)
)</f>
        <v/>
      </c>
      <c r="CE57" s="93" t="str" cm="1">
        <f t="array" ref="CE57">_xlfn.LET(
  _xlpm.w, CE$11,
  _xlpm.r, MATCH(1,('3. Enter Indicator Scores'!$B$10:$B$161=$B57)*('3. Enter Indicator Scores'!$C$10:$C$161=$C57),0),
  _xlpm.c, MATCH(CE$8,'3. Enter Indicator Scores'!$D$8:$CZ$8,0),
  _xlpm.v, IFERROR(INDEX('3. Enter Indicator Scores'!$D$10:$CZ$161,_xlpm.r,_xlpm.c),""),
  IF(OR(_xlpm.w="",_xlpm.v=""),"",_xlpm.v*_xlpm.w)
)</f>
        <v/>
      </c>
      <c r="CF57" s="93" t="str" cm="1">
        <f t="array" ref="CF57">_xlfn.LET(
  _xlpm.w, CF$11,
  _xlpm.r, MATCH(1,('3. Enter Indicator Scores'!$B$10:$B$161=$B57)*('3. Enter Indicator Scores'!$C$10:$C$161=$C57),0),
  _xlpm.c, MATCH(CF$8,'3. Enter Indicator Scores'!$D$8:$CZ$8,0),
  _xlpm.v, IFERROR(INDEX('3. Enter Indicator Scores'!$D$10:$CZ$161,_xlpm.r,_xlpm.c),""),
  IF(OR(_xlpm.w="",_xlpm.v=""),"",_xlpm.v*_xlpm.w)
)</f>
        <v/>
      </c>
      <c r="CG57" s="93" t="str" cm="1">
        <f t="array" ref="CG57">_xlfn.LET(
  _xlpm.w, CG$11,
  _xlpm.r, MATCH(1,('3. Enter Indicator Scores'!$B$10:$B$161=$B57)*('3. Enter Indicator Scores'!$C$10:$C$161=$C57),0),
  _xlpm.c, MATCH(CG$8,'3. Enter Indicator Scores'!$D$8:$CZ$8,0),
  _xlpm.v, IFERROR(INDEX('3. Enter Indicator Scores'!$D$10:$CZ$161,_xlpm.r,_xlpm.c),""),
  IF(OR(_xlpm.w="",_xlpm.v=""),"",_xlpm.v*_xlpm.w)
)</f>
        <v/>
      </c>
      <c r="CH57" s="93" t="str" cm="1">
        <f t="array" ref="CH57">_xlfn.LET(
  _xlpm.w, CH$11,
  _xlpm.r, MATCH(1,('3. Enter Indicator Scores'!$B$10:$B$161=$B57)*('3. Enter Indicator Scores'!$C$10:$C$161=$C57),0),
  _xlpm.c, MATCH(CH$8,'3. Enter Indicator Scores'!$D$8:$CZ$8,0),
  _xlpm.v, IFERROR(INDEX('3. Enter Indicator Scores'!$D$10:$CZ$161,_xlpm.r,_xlpm.c),""),
  IF(OR(_xlpm.w="",_xlpm.v=""),"",_xlpm.v*_xlpm.w)
)</f>
        <v/>
      </c>
      <c r="CI57" s="93" t="str" cm="1">
        <f t="array" ref="CI57">_xlfn.LET(
  _xlpm.w, CI$11,
  _xlpm.r, MATCH(1,('3. Enter Indicator Scores'!$B$10:$B$161=$B57)*('3. Enter Indicator Scores'!$C$10:$C$161=$C57),0),
  _xlpm.c, MATCH(CI$8,'3. Enter Indicator Scores'!$D$8:$CZ$8,0),
  _xlpm.v, IFERROR(INDEX('3. Enter Indicator Scores'!$D$10:$CZ$161,_xlpm.r,_xlpm.c),""),
  IF(OR(_xlpm.w="",_xlpm.v=""),"",_xlpm.v*_xlpm.w)
)</f>
        <v/>
      </c>
      <c r="CJ57" s="93" t="str" cm="1">
        <f t="array" ref="CJ57">_xlfn.LET(
  _xlpm.w, CJ$11,
  _xlpm.r, MATCH(1,('3. Enter Indicator Scores'!$B$10:$B$161=$B57)*('3. Enter Indicator Scores'!$C$10:$C$161=$C57),0),
  _xlpm.c, MATCH(CJ$8,'3. Enter Indicator Scores'!$D$8:$CZ$8,0),
  _xlpm.v, IFERROR(INDEX('3. Enter Indicator Scores'!$D$10:$CZ$161,_xlpm.r,_xlpm.c),""),
  IF(OR(_xlpm.w="",_xlpm.v=""),"",_xlpm.v*_xlpm.w)
)</f>
        <v/>
      </c>
      <c r="CK57" s="93" t="str" cm="1">
        <f t="array" ref="CK57">_xlfn.LET(
  _xlpm.w, CK$11,
  _xlpm.r, MATCH(1,('3. Enter Indicator Scores'!$B$10:$B$161=$B57)*('3. Enter Indicator Scores'!$C$10:$C$161=$C57),0),
  _xlpm.c, MATCH(CK$8,'3. Enter Indicator Scores'!$D$8:$CZ$8,0),
  _xlpm.v, IFERROR(INDEX('3. Enter Indicator Scores'!$D$10:$CZ$161,_xlpm.r,_xlpm.c),""),
  IF(OR(_xlpm.w="",_xlpm.v=""),"",_xlpm.v*_xlpm.w)
)</f>
        <v/>
      </c>
      <c r="CL57" s="93" t="str" cm="1">
        <f t="array" ref="CL57">_xlfn.LET(
  _xlpm.w, CL$11,
  _xlpm.r, MATCH(1,('3. Enter Indicator Scores'!$B$10:$B$161=$B57)*('3. Enter Indicator Scores'!$C$10:$C$161=$C57),0),
  _xlpm.c, MATCH(CL$8,'3. Enter Indicator Scores'!$D$8:$CZ$8,0),
  _xlpm.v, IFERROR(INDEX('3. Enter Indicator Scores'!$D$10:$CZ$161,_xlpm.r,_xlpm.c),""),
  IF(OR(_xlpm.w="",_xlpm.v=""),"",_xlpm.v*_xlpm.w)
)</f>
        <v/>
      </c>
      <c r="CM57" s="93" t="str" cm="1">
        <f t="array" ref="CM57">_xlfn.LET(
  _xlpm.w, CM$11,
  _xlpm.r, MATCH(1,('3. Enter Indicator Scores'!$B$10:$B$161=$B57)*('3. Enter Indicator Scores'!$C$10:$C$161=$C57),0),
  _xlpm.c, MATCH(CM$8,'3. Enter Indicator Scores'!$D$8:$CZ$8,0),
  _xlpm.v, IFERROR(INDEX('3. Enter Indicator Scores'!$D$10:$CZ$161,_xlpm.r,_xlpm.c),""),
  IF(OR(_xlpm.w="",_xlpm.v=""),"",_xlpm.v*_xlpm.w)
)</f>
        <v/>
      </c>
      <c r="CN57" s="93" t="str" cm="1">
        <f t="array" ref="CN57">_xlfn.LET(
  _xlpm.w, CN$11,
  _xlpm.r, MATCH(1,('3. Enter Indicator Scores'!$B$10:$B$161=$B57)*('3. Enter Indicator Scores'!$C$10:$C$161=$C57),0),
  _xlpm.c, MATCH(CN$8,'3. Enter Indicator Scores'!$D$8:$CZ$8,0),
  _xlpm.v, IFERROR(INDEX('3. Enter Indicator Scores'!$D$10:$CZ$161,_xlpm.r,_xlpm.c),""),
  IF(OR(_xlpm.w="",_xlpm.v=""),"",_xlpm.v*_xlpm.w)
)</f>
        <v/>
      </c>
      <c r="CO57" s="93" t="str" cm="1">
        <f t="array" ref="CO57">_xlfn.LET(
  _xlpm.w, CO$11,
  _xlpm.r, MATCH(1,('3. Enter Indicator Scores'!$B$10:$B$161=$B57)*('3. Enter Indicator Scores'!$C$10:$C$161=$C57),0),
  _xlpm.c, MATCH(CO$8,'3. Enter Indicator Scores'!$D$8:$CZ$8,0),
  _xlpm.v, IFERROR(INDEX('3. Enter Indicator Scores'!$D$10:$CZ$161,_xlpm.r,_xlpm.c),""),
  IF(OR(_xlpm.w="",_xlpm.v=""),"",_xlpm.v*_xlpm.w)
)</f>
        <v/>
      </c>
      <c r="CP57" s="93" t="str" cm="1">
        <f t="array" ref="CP57">_xlfn.LET(
  _xlpm.w, CP$11,
  _xlpm.r, MATCH(1,('3. Enter Indicator Scores'!$B$10:$B$161=$B57)*('3. Enter Indicator Scores'!$C$10:$C$161=$C57),0),
  _xlpm.c, MATCH(CP$8,'3. Enter Indicator Scores'!$D$8:$CZ$8,0),
  _xlpm.v, IFERROR(INDEX('3. Enter Indicator Scores'!$D$10:$CZ$161,_xlpm.r,_xlpm.c),""),
  IF(OR(_xlpm.w="",_xlpm.v=""),"",_xlpm.v*_xlpm.w)
)</f>
        <v/>
      </c>
      <c r="CQ57" s="93" t="str" cm="1">
        <f t="array" ref="CQ57">_xlfn.LET(
  _xlpm.w, CQ$11,
  _xlpm.r, MATCH(1,('3. Enter Indicator Scores'!$B$10:$B$161=$B57)*('3. Enter Indicator Scores'!$C$10:$C$161=$C57),0),
  _xlpm.c, MATCH(CQ$8,'3. Enter Indicator Scores'!$D$8:$CZ$8,0),
  _xlpm.v, IFERROR(INDEX('3. Enter Indicator Scores'!$D$10:$CZ$161,_xlpm.r,_xlpm.c),""),
  IF(OR(_xlpm.w="",_xlpm.v=""),"",_xlpm.v*_xlpm.w)
)</f>
        <v/>
      </c>
      <c r="CR57" s="93" t="str" cm="1">
        <f t="array" ref="CR57">_xlfn.LET(
  _xlpm.w, CR$11,
  _xlpm.r, MATCH(1,('3. Enter Indicator Scores'!$B$10:$B$161=$B57)*('3. Enter Indicator Scores'!$C$10:$C$161=$C57),0),
  _xlpm.c, MATCH(CR$8,'3. Enter Indicator Scores'!$D$8:$CZ$8,0),
  _xlpm.v, IFERROR(INDEX('3. Enter Indicator Scores'!$D$10:$CZ$161,_xlpm.r,_xlpm.c),""),
  IF(OR(_xlpm.w="",_xlpm.v=""),"",_xlpm.v*_xlpm.w)
)</f>
        <v/>
      </c>
      <c r="CS57" s="93" t="str" cm="1">
        <f t="array" ref="CS57">_xlfn.LET(
  _xlpm.w, CS$11,
  _xlpm.r, MATCH(1,('3. Enter Indicator Scores'!$B$10:$B$161=$B57)*('3. Enter Indicator Scores'!$C$10:$C$161=$C57),0),
  _xlpm.c, MATCH(CS$8,'3. Enter Indicator Scores'!$D$8:$CZ$8,0),
  _xlpm.v, IFERROR(INDEX('3. Enter Indicator Scores'!$D$10:$CZ$161,_xlpm.r,_xlpm.c),""),
  IF(OR(_xlpm.w="",_xlpm.v=""),"",_xlpm.v*_xlpm.w)
)</f>
        <v/>
      </c>
      <c r="CT57" s="93" t="str" cm="1">
        <f t="array" ref="CT57">_xlfn.LET(
  _xlpm.w, CT$11,
  _xlpm.r, MATCH(1,('3. Enter Indicator Scores'!$B$10:$B$161=$B57)*('3. Enter Indicator Scores'!$C$10:$C$161=$C57),0),
  _xlpm.c, MATCH(CT$8,'3. Enter Indicator Scores'!$D$8:$CZ$8,0),
  _xlpm.v, IFERROR(INDEX('3. Enter Indicator Scores'!$D$10:$CZ$161,_xlpm.r,_xlpm.c),""),
  IF(OR(_xlpm.w="",_xlpm.v=""),"",_xlpm.v*_xlpm.w)
)</f>
        <v/>
      </c>
      <c r="CU57" s="93" t="str" cm="1">
        <f t="array" ref="CU57">_xlfn.LET(
  _xlpm.w, CU$11,
  _xlpm.r, MATCH(1,('3. Enter Indicator Scores'!$B$10:$B$161=$B57)*('3. Enter Indicator Scores'!$C$10:$C$161=$C57),0),
  _xlpm.c, MATCH(CU$8,'3. Enter Indicator Scores'!$D$8:$CZ$8,0),
  _xlpm.v, IFERROR(INDEX('3. Enter Indicator Scores'!$D$10:$CZ$161,_xlpm.r,_xlpm.c),""),
  IF(OR(_xlpm.w="",_xlpm.v=""),"",_xlpm.v*_xlpm.w)
)</f>
        <v/>
      </c>
      <c r="CV57" s="93" t="str" cm="1">
        <f t="array" ref="CV57">_xlfn.LET(
  _xlpm.w, CV$11,
  _xlpm.r, MATCH(1,('3. Enter Indicator Scores'!$B$10:$B$161=$B57)*('3. Enter Indicator Scores'!$C$10:$C$161=$C57),0),
  _xlpm.c, MATCH(CV$8,'3. Enter Indicator Scores'!$D$8:$CZ$8,0),
  _xlpm.v, IFERROR(INDEX('3. Enter Indicator Scores'!$D$10:$CZ$161,_xlpm.r,_xlpm.c),""),
  IF(OR(_xlpm.w="",_xlpm.v=""),"",_xlpm.v*_xlpm.w)
)</f>
        <v/>
      </c>
      <c r="CW57" s="93" t="str" cm="1">
        <f t="array" ref="CW57">_xlfn.LET(
  _xlpm.w, CW$11,
  _xlpm.r, MATCH(1,('3. Enter Indicator Scores'!$B$10:$B$161=$B57)*('3. Enter Indicator Scores'!$C$10:$C$161=$C57),0),
  _xlpm.c, MATCH(CW$8,'3. Enter Indicator Scores'!$D$8:$CZ$8,0),
  _xlpm.v, IFERROR(INDEX('3. Enter Indicator Scores'!$D$10:$CZ$161,_xlpm.r,_xlpm.c),""),
  IF(OR(_xlpm.w="",_xlpm.v=""),"",_xlpm.v*_xlpm.w)
)</f>
        <v/>
      </c>
      <c r="CX57" s="93" t="str" cm="1">
        <f t="array" ref="CX57">_xlfn.LET(
  _xlpm.w, CX$11,
  _xlpm.r, MATCH(1,('3. Enter Indicator Scores'!$B$10:$B$161=$B57)*('3. Enter Indicator Scores'!$C$10:$C$161=$C57),0),
  _xlpm.c, MATCH(CX$8,'3. Enter Indicator Scores'!$D$8:$CZ$8,0),
  _xlpm.v, IFERROR(INDEX('3. Enter Indicator Scores'!$D$10:$CZ$161,_xlpm.r,_xlpm.c),""),
  IF(OR(_xlpm.w="",_xlpm.v=""),"",_xlpm.v*_xlpm.w)
)</f>
        <v/>
      </c>
      <c r="CY57" s="93" t="str" cm="1">
        <f t="array" ref="CY57">_xlfn.LET(
  _xlpm.w, CY$11,
  _xlpm.r, MATCH(1,('3. Enter Indicator Scores'!$B$10:$B$161=$B57)*('3. Enter Indicator Scores'!$C$10:$C$161=$C57),0),
  _xlpm.c, MATCH(CY$8,'3. Enter Indicator Scores'!$D$8:$CZ$8,0),
  _xlpm.v, IFERROR(INDEX('3. Enter Indicator Scores'!$D$10:$CZ$161,_xlpm.r,_xlpm.c),""),
  IF(OR(_xlpm.w="",_xlpm.v=""),"",_xlpm.v*_xlpm.w)
)</f>
        <v/>
      </c>
      <c r="CZ57" s="93" t="str" cm="1">
        <f t="array" ref="CZ57">_xlfn.LET(
  _xlpm.w, CZ$11,
  _xlpm.r, MATCH(1,('3. Enter Indicator Scores'!$B$10:$B$161=$B57)*('3. Enter Indicator Scores'!$C$10:$C$161=$C57),0),
  _xlpm.c, MATCH(CZ$8,'3. Enter Indicator Scores'!$D$8:$CZ$8,0),
  _xlpm.v, IFERROR(INDEX('3. Enter Indicator Scores'!$D$10:$CZ$161,_xlpm.r,_xlpm.c),""),
  IF(OR(_xlpm.w="",_xlpm.v=""),"",_xlpm.v*_xlpm.w)
)</f>
        <v/>
      </c>
    </row>
    <row r="58" spans="4:104" x14ac:dyDescent="0.2">
      <c r="D58" s="93" t="str" cm="1">
        <f t="array" ref="D58">_xlfn.LET(
  _xlpm.w, D$11,
  _xlpm.r, MATCH(1,('3. Enter Indicator Scores'!$B$10:$B$161=$B58)*('3. Enter Indicator Scores'!$C$10:$C$161=$C58),0),
  _xlpm.c, MATCH(D$8,'3. Enter Indicator Scores'!$D$8:$CZ$8,0),
  _xlpm.v, IFERROR(INDEX('3. Enter Indicator Scores'!$D$10:$CZ$161,_xlpm.r,_xlpm.c),""),
  IF(OR(_xlpm.w="",_xlpm.v=""),"",_xlpm.v*_xlpm.w)
)</f>
        <v/>
      </c>
      <c r="E58" s="93" t="str" cm="1">
        <f t="array" ref="E58">_xlfn.LET(
  _xlpm.w, E$11,
  _xlpm.r, MATCH(1,('3. Enter Indicator Scores'!$B$10:$B$161=$B58)*('3. Enter Indicator Scores'!$C$10:$C$161=$C58),0),
  _xlpm.c, MATCH(E$8,'3. Enter Indicator Scores'!$D$8:$CZ$8,0),
  _xlpm.v, IFERROR(INDEX('3. Enter Indicator Scores'!$D$10:$CZ$161,_xlpm.r,_xlpm.c),""),
  IF(OR(_xlpm.w="",_xlpm.v=""),"",_xlpm.v*_xlpm.w)
)</f>
        <v/>
      </c>
      <c r="F58" s="93" t="str" cm="1">
        <f t="array" ref="F58">_xlfn.LET(
  _xlpm.w, F$11,
  _xlpm.r, MATCH(1,('3. Enter Indicator Scores'!$B$10:$B$161=$B58)*('3. Enter Indicator Scores'!$C$10:$C$161=$C58),0),
  _xlpm.c, MATCH(F$8,'3. Enter Indicator Scores'!$D$8:$CZ$8,0),
  _xlpm.v, IFERROR(INDEX('3. Enter Indicator Scores'!$D$10:$CZ$161,_xlpm.r,_xlpm.c),""),
  IF(OR(_xlpm.w="",_xlpm.v=""),"",_xlpm.v*_xlpm.w)
)</f>
        <v/>
      </c>
      <c r="G58" s="93" t="str" cm="1">
        <f t="array" ref="G58">_xlfn.LET(
  _xlpm.w, G$11,
  _xlpm.r, MATCH(1,('3. Enter Indicator Scores'!$B$10:$B$161=$B58)*('3. Enter Indicator Scores'!$C$10:$C$161=$C58),0),
  _xlpm.c, MATCH(G$8,'3. Enter Indicator Scores'!$D$8:$CZ$8,0),
  _xlpm.v, IFERROR(INDEX('3. Enter Indicator Scores'!$D$10:$CZ$161,_xlpm.r,_xlpm.c),""),
  IF(OR(_xlpm.w="",_xlpm.v=""),"",_xlpm.v*_xlpm.w)
)</f>
        <v/>
      </c>
      <c r="H58" s="93" t="str" cm="1">
        <f t="array" ref="H58">_xlfn.LET(
  _xlpm.w, H$11,
  _xlpm.r, MATCH(1,('3. Enter Indicator Scores'!$B$10:$B$161=$B58)*('3. Enter Indicator Scores'!$C$10:$C$161=$C58),0),
  _xlpm.c, MATCH(H$8,'3. Enter Indicator Scores'!$D$8:$CZ$8,0),
  _xlpm.v, IFERROR(INDEX('3. Enter Indicator Scores'!$D$10:$CZ$161,_xlpm.r,_xlpm.c),""),
  IF(OR(_xlpm.w="",_xlpm.v=""),"",_xlpm.v*_xlpm.w)
)</f>
        <v/>
      </c>
      <c r="I58" s="93" t="str" cm="1">
        <f t="array" ref="I58">_xlfn.LET(
  _xlpm.w, I$11,
  _xlpm.r, MATCH(1,('3. Enter Indicator Scores'!$B$10:$B$161=$B58)*('3. Enter Indicator Scores'!$C$10:$C$161=$C58),0),
  _xlpm.c, MATCH(I$8,'3. Enter Indicator Scores'!$D$8:$CZ$8,0),
  _xlpm.v, IFERROR(INDEX('3. Enter Indicator Scores'!$D$10:$CZ$161,_xlpm.r,_xlpm.c),""),
  IF(OR(_xlpm.w="",_xlpm.v=""),"",_xlpm.v*_xlpm.w)
)</f>
        <v/>
      </c>
      <c r="J58" s="93" t="str" cm="1">
        <f t="array" ref="J58">_xlfn.LET(
  _xlpm.w, J$11,
  _xlpm.r, MATCH(1,('3. Enter Indicator Scores'!$B$10:$B$161=$B58)*('3. Enter Indicator Scores'!$C$10:$C$161=$C58),0),
  _xlpm.c, MATCH(J$8,'3. Enter Indicator Scores'!$D$8:$CZ$8,0),
  _xlpm.v, IFERROR(INDEX('3. Enter Indicator Scores'!$D$10:$CZ$161,_xlpm.r,_xlpm.c),""),
  IF(OR(_xlpm.w="",_xlpm.v=""),"",_xlpm.v*_xlpm.w)
)</f>
        <v/>
      </c>
      <c r="K58" s="93" t="str" cm="1">
        <f t="array" ref="K58">_xlfn.LET(
  _xlpm.w, K$11,
  _xlpm.r, MATCH(1,('3. Enter Indicator Scores'!$B$10:$B$161=$B58)*('3. Enter Indicator Scores'!$C$10:$C$161=$C58),0),
  _xlpm.c, MATCH(K$8,'3. Enter Indicator Scores'!$D$8:$CZ$8,0),
  _xlpm.v, IFERROR(INDEX('3. Enter Indicator Scores'!$D$10:$CZ$161,_xlpm.r,_xlpm.c),""),
  IF(OR(_xlpm.w="",_xlpm.v=""),"",_xlpm.v*_xlpm.w)
)</f>
        <v/>
      </c>
      <c r="L58" s="93" t="str" cm="1">
        <f t="array" ref="L58">_xlfn.LET(
  _xlpm.w, L$11,
  _xlpm.r, MATCH(1,('3. Enter Indicator Scores'!$B$10:$B$161=$B58)*('3. Enter Indicator Scores'!$C$10:$C$161=$C58),0),
  _xlpm.c, MATCH(L$8,'3. Enter Indicator Scores'!$D$8:$CZ$8,0),
  _xlpm.v, IFERROR(INDEX('3. Enter Indicator Scores'!$D$10:$CZ$161,_xlpm.r,_xlpm.c),""),
  IF(OR(_xlpm.w="",_xlpm.v=""),"",_xlpm.v*_xlpm.w)
)</f>
        <v/>
      </c>
      <c r="M58" s="93" t="str" cm="1">
        <f t="array" ref="M58">_xlfn.LET(
  _xlpm.w, M$11,
  _xlpm.r, MATCH(1,('3. Enter Indicator Scores'!$B$10:$B$161=$B58)*('3. Enter Indicator Scores'!$C$10:$C$161=$C58),0),
  _xlpm.c, MATCH(M$8,'3. Enter Indicator Scores'!$D$8:$CZ$8,0),
  _xlpm.v, IFERROR(INDEX('3. Enter Indicator Scores'!$D$10:$CZ$161,_xlpm.r,_xlpm.c),""),
  IF(OR(_xlpm.w="",_xlpm.v=""),"",_xlpm.v*_xlpm.w)
)</f>
        <v/>
      </c>
      <c r="N58" s="93" t="str" cm="1">
        <f t="array" ref="N58">_xlfn.LET(
  _xlpm.w, N$11,
  _xlpm.r, MATCH(1,('3. Enter Indicator Scores'!$B$10:$B$161=$B58)*('3. Enter Indicator Scores'!$C$10:$C$161=$C58),0),
  _xlpm.c, MATCH(N$8,'3. Enter Indicator Scores'!$D$8:$CZ$8,0),
  _xlpm.v, IFERROR(INDEX('3. Enter Indicator Scores'!$D$10:$CZ$161,_xlpm.r,_xlpm.c),""),
  IF(OR(_xlpm.w="",_xlpm.v=""),"",_xlpm.v*_xlpm.w)
)</f>
        <v/>
      </c>
      <c r="O58" s="93" t="str" cm="1">
        <f t="array" ref="O58">_xlfn.LET(
  _xlpm.w, O$11,
  _xlpm.r, MATCH(1,('3. Enter Indicator Scores'!$B$10:$B$161=$B58)*('3. Enter Indicator Scores'!$C$10:$C$161=$C58),0),
  _xlpm.c, MATCH(O$8,'3. Enter Indicator Scores'!$D$8:$CZ$8,0),
  _xlpm.v, IFERROR(INDEX('3. Enter Indicator Scores'!$D$10:$CZ$161,_xlpm.r,_xlpm.c),""),
  IF(OR(_xlpm.w="",_xlpm.v=""),"",_xlpm.v*_xlpm.w)
)</f>
        <v/>
      </c>
      <c r="P58" s="93" t="str" cm="1">
        <f t="array" ref="P58">_xlfn.LET(
  _xlpm.w, P$11,
  _xlpm.r, MATCH(1,('3. Enter Indicator Scores'!$B$10:$B$161=$B58)*('3. Enter Indicator Scores'!$C$10:$C$161=$C58),0),
  _xlpm.c, MATCH(P$8,'3. Enter Indicator Scores'!$D$8:$CZ$8,0),
  _xlpm.v, IFERROR(INDEX('3. Enter Indicator Scores'!$D$10:$CZ$161,_xlpm.r,_xlpm.c),""),
  IF(OR(_xlpm.w="",_xlpm.v=""),"",_xlpm.v*_xlpm.w)
)</f>
        <v/>
      </c>
      <c r="Q58" s="93" t="str" cm="1">
        <f t="array" ref="Q58">_xlfn.LET(
  _xlpm.w, Q$11,
  _xlpm.r, MATCH(1,('3. Enter Indicator Scores'!$B$10:$B$161=$B58)*('3. Enter Indicator Scores'!$C$10:$C$161=$C58),0),
  _xlpm.c, MATCH(Q$8,'3. Enter Indicator Scores'!$D$8:$CZ$8,0),
  _xlpm.v, IFERROR(INDEX('3. Enter Indicator Scores'!$D$10:$CZ$161,_xlpm.r,_xlpm.c),""),
  IF(OR(_xlpm.w="",_xlpm.v=""),"",_xlpm.v*_xlpm.w)
)</f>
        <v/>
      </c>
      <c r="R58" s="93" t="str" cm="1">
        <f t="array" ref="R58">_xlfn.LET(
  _xlpm.w, R$11,
  _xlpm.r, MATCH(1,('3. Enter Indicator Scores'!$B$10:$B$161=$B58)*('3. Enter Indicator Scores'!$C$10:$C$161=$C58),0),
  _xlpm.c, MATCH(R$8,'3. Enter Indicator Scores'!$D$8:$CZ$8,0),
  _xlpm.v, IFERROR(INDEX('3. Enter Indicator Scores'!$D$10:$CZ$161,_xlpm.r,_xlpm.c),""),
  IF(OR(_xlpm.w="",_xlpm.v=""),"",_xlpm.v*_xlpm.w)
)</f>
        <v/>
      </c>
      <c r="S58" s="93" t="str" cm="1">
        <f t="array" ref="S58">_xlfn.LET(
  _xlpm.w, S$11,
  _xlpm.r, MATCH(1,('3. Enter Indicator Scores'!$B$10:$B$161=$B58)*('3. Enter Indicator Scores'!$C$10:$C$161=$C58),0),
  _xlpm.c, MATCH(S$8,'3. Enter Indicator Scores'!$D$8:$CZ$8,0),
  _xlpm.v, IFERROR(INDEX('3. Enter Indicator Scores'!$D$10:$CZ$161,_xlpm.r,_xlpm.c),""),
  IF(OR(_xlpm.w="",_xlpm.v=""),"",_xlpm.v*_xlpm.w)
)</f>
        <v/>
      </c>
      <c r="T58" s="93" t="str" cm="1">
        <f t="array" ref="T58">_xlfn.LET(
  _xlpm.w, T$11,
  _xlpm.r, MATCH(1,('3. Enter Indicator Scores'!$B$10:$B$161=$B58)*('3. Enter Indicator Scores'!$C$10:$C$161=$C58),0),
  _xlpm.c, MATCH(T$8,'3. Enter Indicator Scores'!$D$8:$CZ$8,0),
  _xlpm.v, IFERROR(INDEX('3. Enter Indicator Scores'!$D$10:$CZ$161,_xlpm.r,_xlpm.c),""),
  IF(OR(_xlpm.w="",_xlpm.v=""),"",_xlpm.v*_xlpm.w)
)</f>
        <v/>
      </c>
      <c r="U58" s="93" t="str" cm="1">
        <f t="array" ref="U58">_xlfn.LET(
  _xlpm.w, U$11,
  _xlpm.r, MATCH(1,('3. Enter Indicator Scores'!$B$10:$B$161=$B58)*('3. Enter Indicator Scores'!$C$10:$C$161=$C58),0),
  _xlpm.c, MATCH(U$8,'3. Enter Indicator Scores'!$D$8:$CZ$8,0),
  _xlpm.v, IFERROR(INDEX('3. Enter Indicator Scores'!$D$10:$CZ$161,_xlpm.r,_xlpm.c),""),
  IF(OR(_xlpm.w="",_xlpm.v=""),"",_xlpm.v*_xlpm.w)
)</f>
        <v/>
      </c>
      <c r="V58" s="93" t="str" cm="1">
        <f t="array" ref="V58">_xlfn.LET(
  _xlpm.w, V$11,
  _xlpm.r, MATCH(1,('3. Enter Indicator Scores'!$B$10:$B$161=$B58)*('3. Enter Indicator Scores'!$C$10:$C$161=$C58),0),
  _xlpm.c, MATCH(V$8,'3. Enter Indicator Scores'!$D$8:$CZ$8,0),
  _xlpm.v, IFERROR(INDEX('3. Enter Indicator Scores'!$D$10:$CZ$161,_xlpm.r,_xlpm.c),""),
  IF(OR(_xlpm.w="",_xlpm.v=""),"",_xlpm.v*_xlpm.w)
)</f>
        <v/>
      </c>
      <c r="W58" s="93" t="str" cm="1">
        <f t="array" ref="W58">_xlfn.LET(
  _xlpm.w, W$11,
  _xlpm.r, MATCH(1,('3. Enter Indicator Scores'!$B$10:$B$161=$B58)*('3. Enter Indicator Scores'!$C$10:$C$161=$C58),0),
  _xlpm.c, MATCH(W$8,'3. Enter Indicator Scores'!$D$8:$CZ$8,0),
  _xlpm.v, IFERROR(INDEX('3. Enter Indicator Scores'!$D$10:$CZ$161,_xlpm.r,_xlpm.c),""),
  IF(OR(_xlpm.w="",_xlpm.v=""),"",_xlpm.v*_xlpm.w)
)</f>
        <v/>
      </c>
      <c r="X58" s="93" t="str" cm="1">
        <f t="array" ref="X58">_xlfn.LET(
  _xlpm.w, X$11,
  _xlpm.r, MATCH(1,('3. Enter Indicator Scores'!$B$10:$B$161=$B58)*('3. Enter Indicator Scores'!$C$10:$C$161=$C58),0),
  _xlpm.c, MATCH(X$8,'3. Enter Indicator Scores'!$D$8:$CZ$8,0),
  _xlpm.v, IFERROR(INDEX('3. Enter Indicator Scores'!$D$10:$CZ$161,_xlpm.r,_xlpm.c),""),
  IF(OR(_xlpm.w="",_xlpm.v=""),"",_xlpm.v*_xlpm.w)
)</f>
        <v/>
      </c>
      <c r="Y58" s="93" t="str" cm="1">
        <f t="array" ref="Y58">_xlfn.LET(
  _xlpm.w, Y$11,
  _xlpm.r, MATCH(1,('3. Enter Indicator Scores'!$B$10:$B$161=$B58)*('3. Enter Indicator Scores'!$C$10:$C$161=$C58),0),
  _xlpm.c, MATCH(Y$8,'3. Enter Indicator Scores'!$D$8:$CZ$8,0),
  _xlpm.v, IFERROR(INDEX('3. Enter Indicator Scores'!$D$10:$CZ$161,_xlpm.r,_xlpm.c),""),
  IF(OR(_xlpm.w="",_xlpm.v=""),"",_xlpm.v*_xlpm.w)
)</f>
        <v/>
      </c>
      <c r="Z58" s="93" t="str" cm="1">
        <f t="array" ref="Z58">_xlfn.LET(
  _xlpm.w, Z$11,
  _xlpm.r, MATCH(1,('3. Enter Indicator Scores'!$B$10:$B$161=$B58)*('3. Enter Indicator Scores'!$C$10:$C$161=$C58),0),
  _xlpm.c, MATCH(Z$8,'3. Enter Indicator Scores'!$D$8:$CZ$8,0),
  _xlpm.v, IFERROR(INDEX('3. Enter Indicator Scores'!$D$10:$CZ$161,_xlpm.r,_xlpm.c),""),
  IF(OR(_xlpm.w="",_xlpm.v=""),"",_xlpm.v*_xlpm.w)
)</f>
        <v/>
      </c>
      <c r="AA58" s="93" t="str" cm="1">
        <f t="array" ref="AA58">_xlfn.LET(
  _xlpm.w, AA$11,
  _xlpm.r, MATCH(1,('3. Enter Indicator Scores'!$B$10:$B$161=$B58)*('3. Enter Indicator Scores'!$C$10:$C$161=$C58),0),
  _xlpm.c, MATCH(AA$8,'3. Enter Indicator Scores'!$D$8:$CZ$8,0),
  _xlpm.v, IFERROR(INDEX('3. Enter Indicator Scores'!$D$10:$CZ$161,_xlpm.r,_xlpm.c),""),
  IF(OR(_xlpm.w="",_xlpm.v=""),"",_xlpm.v*_xlpm.w)
)</f>
        <v/>
      </c>
      <c r="AB58" s="93" t="str" cm="1">
        <f t="array" ref="AB58">_xlfn.LET(
  _xlpm.w, AB$11,
  _xlpm.r, MATCH(1,('3. Enter Indicator Scores'!$B$10:$B$161=$B58)*('3. Enter Indicator Scores'!$C$10:$C$161=$C58),0),
  _xlpm.c, MATCH(AB$8,'3. Enter Indicator Scores'!$D$8:$CZ$8,0),
  _xlpm.v, IFERROR(INDEX('3. Enter Indicator Scores'!$D$10:$CZ$161,_xlpm.r,_xlpm.c),""),
  IF(OR(_xlpm.w="",_xlpm.v=""),"",_xlpm.v*_xlpm.w)
)</f>
        <v/>
      </c>
      <c r="AC58" s="93" t="str" cm="1">
        <f t="array" ref="AC58">_xlfn.LET(
  _xlpm.w, AC$11,
  _xlpm.r, MATCH(1,('3. Enter Indicator Scores'!$B$10:$B$161=$B58)*('3. Enter Indicator Scores'!$C$10:$C$161=$C58),0),
  _xlpm.c, MATCH(AC$8,'3. Enter Indicator Scores'!$D$8:$CZ$8,0),
  _xlpm.v, IFERROR(INDEX('3. Enter Indicator Scores'!$D$10:$CZ$161,_xlpm.r,_xlpm.c),""),
  IF(OR(_xlpm.w="",_xlpm.v=""),"",_xlpm.v*_xlpm.w)
)</f>
        <v/>
      </c>
      <c r="AD58" s="93" t="str" cm="1">
        <f t="array" ref="AD58">_xlfn.LET(
  _xlpm.w, AD$11,
  _xlpm.r, MATCH(1,('3. Enter Indicator Scores'!$B$10:$B$161=$B58)*('3. Enter Indicator Scores'!$C$10:$C$161=$C58),0),
  _xlpm.c, MATCH(AD$8,'3. Enter Indicator Scores'!$D$8:$CZ$8,0),
  _xlpm.v, IFERROR(INDEX('3. Enter Indicator Scores'!$D$10:$CZ$161,_xlpm.r,_xlpm.c),""),
  IF(OR(_xlpm.w="",_xlpm.v=""),"",_xlpm.v*_xlpm.w)
)</f>
        <v/>
      </c>
      <c r="AE58" s="93" t="str" cm="1">
        <f t="array" ref="AE58">_xlfn.LET(
  _xlpm.w, AE$11,
  _xlpm.r, MATCH(1,('3. Enter Indicator Scores'!$B$10:$B$161=$B58)*('3. Enter Indicator Scores'!$C$10:$C$161=$C58),0),
  _xlpm.c, MATCH(AE$8,'3. Enter Indicator Scores'!$D$8:$CZ$8,0),
  _xlpm.v, IFERROR(INDEX('3. Enter Indicator Scores'!$D$10:$CZ$161,_xlpm.r,_xlpm.c),""),
  IF(OR(_xlpm.w="",_xlpm.v=""),"",_xlpm.v*_xlpm.w)
)</f>
        <v/>
      </c>
      <c r="AF58" s="93" t="str" cm="1">
        <f t="array" ref="AF58">_xlfn.LET(
  _xlpm.w, AF$11,
  _xlpm.r, MATCH(1,('3. Enter Indicator Scores'!$B$10:$B$161=$B58)*('3. Enter Indicator Scores'!$C$10:$C$161=$C58),0),
  _xlpm.c, MATCH(AF$8,'3. Enter Indicator Scores'!$D$8:$CZ$8,0),
  _xlpm.v, IFERROR(INDEX('3. Enter Indicator Scores'!$D$10:$CZ$161,_xlpm.r,_xlpm.c),""),
  IF(OR(_xlpm.w="",_xlpm.v=""),"",_xlpm.v*_xlpm.w)
)</f>
        <v/>
      </c>
      <c r="AG58" s="93" t="str" cm="1">
        <f t="array" ref="AG58">_xlfn.LET(
  _xlpm.w, AG$11,
  _xlpm.r, MATCH(1,('3. Enter Indicator Scores'!$B$10:$B$161=$B58)*('3. Enter Indicator Scores'!$C$10:$C$161=$C58),0),
  _xlpm.c, MATCH(AG$8,'3. Enter Indicator Scores'!$D$8:$CZ$8,0),
  _xlpm.v, IFERROR(INDEX('3. Enter Indicator Scores'!$D$10:$CZ$161,_xlpm.r,_xlpm.c),""),
  IF(OR(_xlpm.w="",_xlpm.v=""),"",_xlpm.v*_xlpm.w)
)</f>
        <v/>
      </c>
      <c r="AH58" s="93" t="str" cm="1">
        <f t="array" ref="AH58">_xlfn.LET(
  _xlpm.w, AH$11,
  _xlpm.r, MATCH(1,('3. Enter Indicator Scores'!$B$10:$B$161=$B58)*('3. Enter Indicator Scores'!$C$10:$C$161=$C58),0),
  _xlpm.c, MATCH(AH$8,'3. Enter Indicator Scores'!$D$8:$CZ$8,0),
  _xlpm.v, IFERROR(INDEX('3. Enter Indicator Scores'!$D$10:$CZ$161,_xlpm.r,_xlpm.c),""),
  IF(OR(_xlpm.w="",_xlpm.v=""),"",_xlpm.v*_xlpm.w)
)</f>
        <v/>
      </c>
      <c r="AI58" s="93" t="str" cm="1">
        <f t="array" ref="AI58">_xlfn.LET(
  _xlpm.w, AI$11,
  _xlpm.r, MATCH(1,('3. Enter Indicator Scores'!$B$10:$B$161=$B58)*('3. Enter Indicator Scores'!$C$10:$C$161=$C58),0),
  _xlpm.c, MATCH(AI$8,'3. Enter Indicator Scores'!$D$8:$CZ$8,0),
  _xlpm.v, IFERROR(INDEX('3. Enter Indicator Scores'!$D$10:$CZ$161,_xlpm.r,_xlpm.c),""),
  IF(OR(_xlpm.w="",_xlpm.v=""),"",_xlpm.v*_xlpm.w)
)</f>
        <v/>
      </c>
      <c r="AJ58" s="93" t="str" cm="1">
        <f t="array" ref="AJ58">_xlfn.LET(
  _xlpm.w, AJ$11,
  _xlpm.r, MATCH(1,('3. Enter Indicator Scores'!$B$10:$B$161=$B58)*('3. Enter Indicator Scores'!$C$10:$C$161=$C58),0),
  _xlpm.c, MATCH(AJ$8,'3. Enter Indicator Scores'!$D$8:$CZ$8,0),
  _xlpm.v, IFERROR(INDEX('3. Enter Indicator Scores'!$D$10:$CZ$161,_xlpm.r,_xlpm.c),""),
  IF(OR(_xlpm.w="",_xlpm.v=""),"",_xlpm.v*_xlpm.w)
)</f>
        <v/>
      </c>
      <c r="AK58" s="93" t="str" cm="1">
        <f t="array" ref="AK58">_xlfn.LET(
  _xlpm.w, AK$11,
  _xlpm.r, MATCH(1,('3. Enter Indicator Scores'!$B$10:$B$161=$B58)*('3. Enter Indicator Scores'!$C$10:$C$161=$C58),0),
  _xlpm.c, MATCH(AK$8,'3. Enter Indicator Scores'!$D$8:$CZ$8,0),
  _xlpm.v, IFERROR(INDEX('3. Enter Indicator Scores'!$D$10:$CZ$161,_xlpm.r,_xlpm.c),""),
  IF(OR(_xlpm.w="",_xlpm.v=""),"",_xlpm.v*_xlpm.w)
)</f>
        <v/>
      </c>
      <c r="AL58" s="93" t="str" cm="1">
        <f t="array" ref="AL58">_xlfn.LET(
  _xlpm.w, AL$11,
  _xlpm.r, MATCH(1,('3. Enter Indicator Scores'!$B$10:$B$161=$B58)*('3. Enter Indicator Scores'!$C$10:$C$161=$C58),0),
  _xlpm.c, MATCH(AL$8,'3. Enter Indicator Scores'!$D$8:$CZ$8,0),
  _xlpm.v, IFERROR(INDEX('3. Enter Indicator Scores'!$D$10:$CZ$161,_xlpm.r,_xlpm.c),""),
  IF(OR(_xlpm.w="",_xlpm.v=""),"",_xlpm.v*_xlpm.w)
)</f>
        <v/>
      </c>
      <c r="AM58" s="93" t="str" cm="1">
        <f t="array" ref="AM58">_xlfn.LET(
  _xlpm.w, AM$11,
  _xlpm.r, MATCH(1,('3. Enter Indicator Scores'!$B$10:$B$161=$B58)*('3. Enter Indicator Scores'!$C$10:$C$161=$C58),0),
  _xlpm.c, MATCH(AM$8,'3. Enter Indicator Scores'!$D$8:$CZ$8,0),
  _xlpm.v, IFERROR(INDEX('3. Enter Indicator Scores'!$D$10:$CZ$161,_xlpm.r,_xlpm.c),""),
  IF(OR(_xlpm.w="",_xlpm.v=""),"",_xlpm.v*_xlpm.w)
)</f>
        <v/>
      </c>
      <c r="AN58" s="93" t="str" cm="1">
        <f t="array" ref="AN58">_xlfn.LET(
  _xlpm.w, AN$11,
  _xlpm.r, MATCH(1,('3. Enter Indicator Scores'!$B$10:$B$161=$B58)*('3. Enter Indicator Scores'!$C$10:$C$161=$C58),0),
  _xlpm.c, MATCH(AN$8,'3. Enter Indicator Scores'!$D$8:$CZ$8,0),
  _xlpm.v, IFERROR(INDEX('3. Enter Indicator Scores'!$D$10:$CZ$161,_xlpm.r,_xlpm.c),""),
  IF(OR(_xlpm.w="",_xlpm.v=""),"",_xlpm.v*_xlpm.w)
)</f>
        <v/>
      </c>
      <c r="AO58" s="93" t="str" cm="1">
        <f t="array" ref="AO58">_xlfn.LET(
  _xlpm.w, AO$11,
  _xlpm.r, MATCH(1,('3. Enter Indicator Scores'!$B$10:$B$161=$B58)*('3. Enter Indicator Scores'!$C$10:$C$161=$C58),0),
  _xlpm.c, MATCH(AO$8,'3. Enter Indicator Scores'!$D$8:$CZ$8,0),
  _xlpm.v, IFERROR(INDEX('3. Enter Indicator Scores'!$D$10:$CZ$161,_xlpm.r,_xlpm.c),""),
  IF(OR(_xlpm.w="",_xlpm.v=""),"",_xlpm.v*_xlpm.w)
)</f>
        <v/>
      </c>
      <c r="AP58" s="93" t="str" cm="1">
        <f t="array" ref="AP58">_xlfn.LET(
  _xlpm.w, AP$11,
  _xlpm.r, MATCH(1,('3. Enter Indicator Scores'!$B$10:$B$161=$B58)*('3. Enter Indicator Scores'!$C$10:$C$161=$C58),0),
  _xlpm.c, MATCH(AP$8,'3. Enter Indicator Scores'!$D$8:$CZ$8,0),
  _xlpm.v, IFERROR(INDEX('3. Enter Indicator Scores'!$D$10:$CZ$161,_xlpm.r,_xlpm.c),""),
  IF(OR(_xlpm.w="",_xlpm.v=""),"",_xlpm.v*_xlpm.w)
)</f>
        <v/>
      </c>
      <c r="AQ58" s="93" t="str" cm="1">
        <f t="array" ref="AQ58">_xlfn.LET(
  _xlpm.w, AQ$11,
  _xlpm.r, MATCH(1,('3. Enter Indicator Scores'!$B$10:$B$161=$B58)*('3. Enter Indicator Scores'!$C$10:$C$161=$C58),0),
  _xlpm.c, MATCH(AQ$8,'3. Enter Indicator Scores'!$D$8:$CZ$8,0),
  _xlpm.v, IFERROR(INDEX('3. Enter Indicator Scores'!$D$10:$CZ$161,_xlpm.r,_xlpm.c),""),
  IF(OR(_xlpm.w="",_xlpm.v=""),"",_xlpm.v*_xlpm.w)
)</f>
        <v/>
      </c>
      <c r="AR58" s="93" t="str" cm="1">
        <f t="array" ref="AR58">_xlfn.LET(
  _xlpm.w, AR$11,
  _xlpm.r, MATCH(1,('3. Enter Indicator Scores'!$B$10:$B$161=$B58)*('3. Enter Indicator Scores'!$C$10:$C$161=$C58),0),
  _xlpm.c, MATCH(AR$8,'3. Enter Indicator Scores'!$D$8:$CZ$8,0),
  _xlpm.v, IFERROR(INDEX('3. Enter Indicator Scores'!$D$10:$CZ$161,_xlpm.r,_xlpm.c),""),
  IF(OR(_xlpm.w="",_xlpm.v=""),"",_xlpm.v*_xlpm.w)
)</f>
        <v/>
      </c>
      <c r="AS58" s="93" t="str" cm="1">
        <f t="array" ref="AS58">_xlfn.LET(
  _xlpm.w, AS$11,
  _xlpm.r, MATCH(1,('3. Enter Indicator Scores'!$B$10:$B$161=$B58)*('3. Enter Indicator Scores'!$C$10:$C$161=$C58),0),
  _xlpm.c, MATCH(AS$8,'3. Enter Indicator Scores'!$D$8:$CZ$8,0),
  _xlpm.v, IFERROR(INDEX('3. Enter Indicator Scores'!$D$10:$CZ$161,_xlpm.r,_xlpm.c),""),
  IF(OR(_xlpm.w="",_xlpm.v=""),"",_xlpm.v*_xlpm.w)
)</f>
        <v/>
      </c>
      <c r="AT58" s="93" t="str" cm="1">
        <f t="array" ref="AT58">_xlfn.LET(
  _xlpm.w, AT$11,
  _xlpm.r, MATCH(1,('3. Enter Indicator Scores'!$B$10:$B$161=$B58)*('3. Enter Indicator Scores'!$C$10:$C$161=$C58),0),
  _xlpm.c, MATCH(AT$8,'3. Enter Indicator Scores'!$D$8:$CZ$8,0),
  _xlpm.v, IFERROR(INDEX('3. Enter Indicator Scores'!$D$10:$CZ$161,_xlpm.r,_xlpm.c),""),
  IF(OR(_xlpm.w="",_xlpm.v=""),"",_xlpm.v*_xlpm.w)
)</f>
        <v/>
      </c>
      <c r="AU58" s="93" t="str" cm="1">
        <f t="array" ref="AU58">_xlfn.LET(
  _xlpm.w, AU$11,
  _xlpm.r, MATCH(1,('3. Enter Indicator Scores'!$B$10:$B$161=$B58)*('3. Enter Indicator Scores'!$C$10:$C$161=$C58),0),
  _xlpm.c, MATCH(AU$8,'3. Enter Indicator Scores'!$D$8:$CZ$8,0),
  _xlpm.v, IFERROR(INDEX('3. Enter Indicator Scores'!$D$10:$CZ$161,_xlpm.r,_xlpm.c),""),
  IF(OR(_xlpm.w="",_xlpm.v=""),"",_xlpm.v*_xlpm.w)
)</f>
        <v/>
      </c>
      <c r="AV58" s="93" t="str" cm="1">
        <f t="array" ref="AV58">_xlfn.LET(
  _xlpm.w, AV$11,
  _xlpm.r, MATCH(1,('3. Enter Indicator Scores'!$B$10:$B$161=$B58)*('3. Enter Indicator Scores'!$C$10:$C$161=$C58),0),
  _xlpm.c, MATCH(AV$8,'3. Enter Indicator Scores'!$D$8:$CZ$8,0),
  _xlpm.v, IFERROR(INDEX('3. Enter Indicator Scores'!$D$10:$CZ$161,_xlpm.r,_xlpm.c),""),
  IF(OR(_xlpm.w="",_xlpm.v=""),"",_xlpm.v*_xlpm.w)
)</f>
        <v/>
      </c>
      <c r="AW58" s="93" t="str" cm="1">
        <f t="array" ref="AW58">_xlfn.LET(
  _xlpm.w, AW$11,
  _xlpm.r, MATCH(1,('3. Enter Indicator Scores'!$B$10:$B$161=$B58)*('3. Enter Indicator Scores'!$C$10:$C$161=$C58),0),
  _xlpm.c, MATCH(AW$8,'3. Enter Indicator Scores'!$D$8:$CZ$8,0),
  _xlpm.v, IFERROR(INDEX('3. Enter Indicator Scores'!$D$10:$CZ$161,_xlpm.r,_xlpm.c),""),
  IF(OR(_xlpm.w="",_xlpm.v=""),"",_xlpm.v*_xlpm.w)
)</f>
        <v/>
      </c>
      <c r="AX58" s="93" t="str" cm="1">
        <f t="array" ref="AX58">_xlfn.LET(
  _xlpm.w, AX$11,
  _xlpm.r, MATCH(1,('3. Enter Indicator Scores'!$B$10:$B$161=$B58)*('3. Enter Indicator Scores'!$C$10:$C$161=$C58),0),
  _xlpm.c, MATCH(AX$8,'3. Enter Indicator Scores'!$D$8:$CZ$8,0),
  _xlpm.v, IFERROR(INDEX('3. Enter Indicator Scores'!$D$10:$CZ$161,_xlpm.r,_xlpm.c),""),
  IF(OR(_xlpm.w="",_xlpm.v=""),"",_xlpm.v*_xlpm.w)
)</f>
        <v/>
      </c>
      <c r="AY58" s="93" t="str" cm="1">
        <f t="array" ref="AY58">_xlfn.LET(
  _xlpm.w, AY$11,
  _xlpm.r, MATCH(1,('3. Enter Indicator Scores'!$B$10:$B$161=$B58)*('3. Enter Indicator Scores'!$C$10:$C$161=$C58),0),
  _xlpm.c, MATCH(AY$8,'3. Enter Indicator Scores'!$D$8:$CZ$8,0),
  _xlpm.v, IFERROR(INDEX('3. Enter Indicator Scores'!$D$10:$CZ$161,_xlpm.r,_xlpm.c),""),
  IF(OR(_xlpm.w="",_xlpm.v=""),"",_xlpm.v*_xlpm.w)
)</f>
        <v/>
      </c>
      <c r="AZ58" s="93" t="str" cm="1">
        <f t="array" ref="AZ58">_xlfn.LET(
  _xlpm.w, AZ$11,
  _xlpm.r, MATCH(1,('3. Enter Indicator Scores'!$B$10:$B$161=$B58)*('3. Enter Indicator Scores'!$C$10:$C$161=$C58),0),
  _xlpm.c, MATCH(AZ$8,'3. Enter Indicator Scores'!$D$8:$CZ$8,0),
  _xlpm.v, IFERROR(INDEX('3. Enter Indicator Scores'!$D$10:$CZ$161,_xlpm.r,_xlpm.c),""),
  IF(OR(_xlpm.w="",_xlpm.v=""),"",_xlpm.v*_xlpm.w)
)</f>
        <v/>
      </c>
      <c r="BA58" s="93" t="str" cm="1">
        <f t="array" ref="BA58">_xlfn.LET(
  _xlpm.w, BA$11,
  _xlpm.r, MATCH(1,('3. Enter Indicator Scores'!$B$10:$B$161=$B58)*('3. Enter Indicator Scores'!$C$10:$C$161=$C58),0),
  _xlpm.c, MATCH(BA$8,'3. Enter Indicator Scores'!$D$8:$CZ$8,0),
  _xlpm.v, IFERROR(INDEX('3. Enter Indicator Scores'!$D$10:$CZ$161,_xlpm.r,_xlpm.c),""),
  IF(OR(_xlpm.w="",_xlpm.v=""),"",_xlpm.v*_xlpm.w)
)</f>
        <v/>
      </c>
      <c r="BB58" s="93" t="str" cm="1">
        <f t="array" ref="BB58">_xlfn.LET(
  _xlpm.w, BB$11,
  _xlpm.r, MATCH(1,('3. Enter Indicator Scores'!$B$10:$B$161=$B58)*('3. Enter Indicator Scores'!$C$10:$C$161=$C58),0),
  _xlpm.c, MATCH(BB$8,'3. Enter Indicator Scores'!$D$8:$CZ$8,0),
  _xlpm.v, IFERROR(INDEX('3. Enter Indicator Scores'!$D$10:$CZ$161,_xlpm.r,_xlpm.c),""),
  IF(OR(_xlpm.w="",_xlpm.v=""),"",_xlpm.v*_xlpm.w)
)</f>
        <v/>
      </c>
      <c r="BC58" s="93" t="str" cm="1">
        <f t="array" ref="BC58">_xlfn.LET(
  _xlpm.w, BC$11,
  _xlpm.r, MATCH(1,('3. Enter Indicator Scores'!$B$10:$B$161=$B58)*('3. Enter Indicator Scores'!$C$10:$C$161=$C58),0),
  _xlpm.c, MATCH(BC$8,'3. Enter Indicator Scores'!$D$8:$CZ$8,0),
  _xlpm.v, IFERROR(INDEX('3. Enter Indicator Scores'!$D$10:$CZ$161,_xlpm.r,_xlpm.c),""),
  IF(OR(_xlpm.w="",_xlpm.v=""),"",_xlpm.v*_xlpm.w)
)</f>
        <v/>
      </c>
      <c r="BD58" s="93" t="str" cm="1">
        <f t="array" ref="BD58">_xlfn.LET(
  _xlpm.w, BD$11,
  _xlpm.r, MATCH(1,('3. Enter Indicator Scores'!$B$10:$B$161=$B58)*('3. Enter Indicator Scores'!$C$10:$C$161=$C58),0),
  _xlpm.c, MATCH(BD$8,'3. Enter Indicator Scores'!$D$8:$CZ$8,0),
  _xlpm.v, IFERROR(INDEX('3. Enter Indicator Scores'!$D$10:$CZ$161,_xlpm.r,_xlpm.c),""),
  IF(OR(_xlpm.w="",_xlpm.v=""),"",_xlpm.v*_xlpm.w)
)</f>
        <v/>
      </c>
      <c r="BE58" s="93" t="str" cm="1">
        <f t="array" ref="BE58">_xlfn.LET(
  _xlpm.w, BE$11,
  _xlpm.r, MATCH(1,('3. Enter Indicator Scores'!$B$10:$B$161=$B58)*('3. Enter Indicator Scores'!$C$10:$C$161=$C58),0),
  _xlpm.c, MATCH(BE$8,'3. Enter Indicator Scores'!$D$8:$CZ$8,0),
  _xlpm.v, IFERROR(INDEX('3. Enter Indicator Scores'!$D$10:$CZ$161,_xlpm.r,_xlpm.c),""),
  IF(OR(_xlpm.w="",_xlpm.v=""),"",_xlpm.v*_xlpm.w)
)</f>
        <v/>
      </c>
      <c r="BF58" s="93" t="str" cm="1">
        <f t="array" ref="BF58">_xlfn.LET(
  _xlpm.w, BF$11,
  _xlpm.r, MATCH(1,('3. Enter Indicator Scores'!$B$10:$B$161=$B58)*('3. Enter Indicator Scores'!$C$10:$C$161=$C58),0),
  _xlpm.c, MATCH(BF$8,'3. Enter Indicator Scores'!$D$8:$CZ$8,0),
  _xlpm.v, IFERROR(INDEX('3. Enter Indicator Scores'!$D$10:$CZ$161,_xlpm.r,_xlpm.c),""),
  IF(OR(_xlpm.w="",_xlpm.v=""),"",_xlpm.v*_xlpm.w)
)</f>
        <v/>
      </c>
      <c r="BG58" s="93" t="str" cm="1">
        <f t="array" ref="BG58">_xlfn.LET(
  _xlpm.w, BG$11,
  _xlpm.r, MATCH(1,('3. Enter Indicator Scores'!$B$10:$B$161=$B58)*('3. Enter Indicator Scores'!$C$10:$C$161=$C58),0),
  _xlpm.c, MATCH(BG$8,'3. Enter Indicator Scores'!$D$8:$CZ$8,0),
  _xlpm.v, IFERROR(INDEX('3. Enter Indicator Scores'!$D$10:$CZ$161,_xlpm.r,_xlpm.c),""),
  IF(OR(_xlpm.w="",_xlpm.v=""),"",_xlpm.v*_xlpm.w)
)</f>
        <v/>
      </c>
      <c r="BH58" s="93" t="str" cm="1">
        <f t="array" ref="BH58">_xlfn.LET(
  _xlpm.w, BH$11,
  _xlpm.r, MATCH(1,('3. Enter Indicator Scores'!$B$10:$B$161=$B58)*('3. Enter Indicator Scores'!$C$10:$C$161=$C58),0),
  _xlpm.c, MATCH(BH$8,'3. Enter Indicator Scores'!$D$8:$CZ$8,0),
  _xlpm.v, IFERROR(INDEX('3. Enter Indicator Scores'!$D$10:$CZ$161,_xlpm.r,_xlpm.c),""),
  IF(OR(_xlpm.w="",_xlpm.v=""),"",_xlpm.v*_xlpm.w)
)</f>
        <v/>
      </c>
      <c r="BI58" s="93" t="str" cm="1">
        <f t="array" ref="BI58">_xlfn.LET(
  _xlpm.w, BI$11,
  _xlpm.r, MATCH(1,('3. Enter Indicator Scores'!$B$10:$B$161=$B58)*('3. Enter Indicator Scores'!$C$10:$C$161=$C58),0),
  _xlpm.c, MATCH(BI$8,'3. Enter Indicator Scores'!$D$8:$CZ$8,0),
  _xlpm.v, IFERROR(INDEX('3. Enter Indicator Scores'!$D$10:$CZ$161,_xlpm.r,_xlpm.c),""),
  IF(OR(_xlpm.w="",_xlpm.v=""),"",_xlpm.v*_xlpm.w)
)</f>
        <v/>
      </c>
      <c r="BJ58" s="93" t="str" cm="1">
        <f t="array" ref="BJ58">_xlfn.LET(
  _xlpm.w, BJ$11,
  _xlpm.r, MATCH(1,('3. Enter Indicator Scores'!$B$10:$B$161=$B58)*('3. Enter Indicator Scores'!$C$10:$C$161=$C58),0),
  _xlpm.c, MATCH(BJ$8,'3. Enter Indicator Scores'!$D$8:$CZ$8,0),
  _xlpm.v, IFERROR(INDEX('3. Enter Indicator Scores'!$D$10:$CZ$161,_xlpm.r,_xlpm.c),""),
  IF(OR(_xlpm.w="",_xlpm.v=""),"",_xlpm.v*_xlpm.w)
)</f>
        <v/>
      </c>
      <c r="BK58" s="93" t="str" cm="1">
        <f t="array" ref="BK58">_xlfn.LET(
  _xlpm.w, BK$11,
  _xlpm.r, MATCH(1,('3. Enter Indicator Scores'!$B$10:$B$161=$B58)*('3. Enter Indicator Scores'!$C$10:$C$161=$C58),0),
  _xlpm.c, MATCH(BK$8,'3. Enter Indicator Scores'!$D$8:$CZ$8,0),
  _xlpm.v, IFERROR(INDEX('3. Enter Indicator Scores'!$D$10:$CZ$161,_xlpm.r,_xlpm.c),""),
  IF(OR(_xlpm.w="",_xlpm.v=""),"",_xlpm.v*_xlpm.w)
)</f>
        <v/>
      </c>
      <c r="BL58" s="93" t="str" cm="1">
        <f t="array" ref="BL58">_xlfn.LET(
  _xlpm.w, BL$11,
  _xlpm.r, MATCH(1,('3. Enter Indicator Scores'!$B$10:$B$161=$B58)*('3. Enter Indicator Scores'!$C$10:$C$161=$C58),0),
  _xlpm.c, MATCH(BL$8,'3. Enter Indicator Scores'!$D$8:$CZ$8,0),
  _xlpm.v, IFERROR(INDEX('3. Enter Indicator Scores'!$D$10:$CZ$161,_xlpm.r,_xlpm.c),""),
  IF(OR(_xlpm.w="",_xlpm.v=""),"",_xlpm.v*_xlpm.w)
)</f>
        <v/>
      </c>
      <c r="BM58" s="93" t="str" cm="1">
        <f t="array" ref="BM58">_xlfn.LET(
  _xlpm.w, BM$11,
  _xlpm.r, MATCH(1,('3. Enter Indicator Scores'!$B$10:$B$161=$B58)*('3. Enter Indicator Scores'!$C$10:$C$161=$C58),0),
  _xlpm.c, MATCH(BM$8,'3. Enter Indicator Scores'!$D$8:$CZ$8,0),
  _xlpm.v, IFERROR(INDEX('3. Enter Indicator Scores'!$D$10:$CZ$161,_xlpm.r,_xlpm.c),""),
  IF(OR(_xlpm.w="",_xlpm.v=""),"",_xlpm.v*_xlpm.w)
)</f>
        <v/>
      </c>
      <c r="BN58" s="93" t="str" cm="1">
        <f t="array" ref="BN58">_xlfn.LET(
  _xlpm.w, BN$11,
  _xlpm.r, MATCH(1,('3. Enter Indicator Scores'!$B$10:$B$161=$B58)*('3. Enter Indicator Scores'!$C$10:$C$161=$C58),0),
  _xlpm.c, MATCH(BN$8,'3. Enter Indicator Scores'!$D$8:$CZ$8,0),
  _xlpm.v, IFERROR(INDEX('3. Enter Indicator Scores'!$D$10:$CZ$161,_xlpm.r,_xlpm.c),""),
  IF(OR(_xlpm.w="",_xlpm.v=""),"",_xlpm.v*_xlpm.w)
)</f>
        <v/>
      </c>
      <c r="BO58" s="93" t="str" cm="1">
        <f t="array" ref="BO58">_xlfn.LET(
  _xlpm.w, BO$11,
  _xlpm.r, MATCH(1,('3. Enter Indicator Scores'!$B$10:$B$161=$B58)*('3. Enter Indicator Scores'!$C$10:$C$161=$C58),0),
  _xlpm.c, MATCH(BO$8,'3. Enter Indicator Scores'!$D$8:$CZ$8,0),
  _xlpm.v, IFERROR(INDEX('3. Enter Indicator Scores'!$D$10:$CZ$161,_xlpm.r,_xlpm.c),""),
  IF(OR(_xlpm.w="",_xlpm.v=""),"",_xlpm.v*_xlpm.w)
)</f>
        <v/>
      </c>
      <c r="BP58" s="93" t="str" cm="1">
        <f t="array" ref="BP58">_xlfn.LET(
  _xlpm.w, BP$11,
  _xlpm.r, MATCH(1,('3. Enter Indicator Scores'!$B$10:$B$161=$B58)*('3. Enter Indicator Scores'!$C$10:$C$161=$C58),0),
  _xlpm.c, MATCH(BP$8,'3. Enter Indicator Scores'!$D$8:$CZ$8,0),
  _xlpm.v, IFERROR(INDEX('3. Enter Indicator Scores'!$D$10:$CZ$161,_xlpm.r,_xlpm.c),""),
  IF(OR(_xlpm.w="",_xlpm.v=""),"",_xlpm.v*_xlpm.w)
)</f>
        <v/>
      </c>
      <c r="BQ58" s="93" t="str" cm="1">
        <f t="array" ref="BQ58">_xlfn.LET(
  _xlpm.w, BQ$11,
  _xlpm.r, MATCH(1,('3. Enter Indicator Scores'!$B$10:$B$161=$B58)*('3. Enter Indicator Scores'!$C$10:$C$161=$C58),0),
  _xlpm.c, MATCH(BQ$8,'3. Enter Indicator Scores'!$D$8:$CZ$8,0),
  _xlpm.v, IFERROR(INDEX('3. Enter Indicator Scores'!$D$10:$CZ$161,_xlpm.r,_xlpm.c),""),
  IF(OR(_xlpm.w="",_xlpm.v=""),"",_xlpm.v*_xlpm.w)
)</f>
        <v/>
      </c>
      <c r="BR58" s="93" t="str" cm="1">
        <f t="array" ref="BR58">_xlfn.LET(
  _xlpm.w, BR$11,
  _xlpm.r, MATCH(1,('3. Enter Indicator Scores'!$B$10:$B$161=$B58)*('3. Enter Indicator Scores'!$C$10:$C$161=$C58),0),
  _xlpm.c, MATCH(BR$8,'3. Enter Indicator Scores'!$D$8:$CZ$8,0),
  _xlpm.v, IFERROR(INDEX('3. Enter Indicator Scores'!$D$10:$CZ$161,_xlpm.r,_xlpm.c),""),
  IF(OR(_xlpm.w="",_xlpm.v=""),"",_xlpm.v*_xlpm.w)
)</f>
        <v/>
      </c>
      <c r="BS58" s="93" t="str" cm="1">
        <f t="array" ref="BS58">_xlfn.LET(
  _xlpm.w, BS$11,
  _xlpm.r, MATCH(1,('3. Enter Indicator Scores'!$B$10:$B$161=$B58)*('3. Enter Indicator Scores'!$C$10:$C$161=$C58),0),
  _xlpm.c, MATCH(BS$8,'3. Enter Indicator Scores'!$D$8:$CZ$8,0),
  _xlpm.v, IFERROR(INDEX('3. Enter Indicator Scores'!$D$10:$CZ$161,_xlpm.r,_xlpm.c),""),
  IF(OR(_xlpm.w="",_xlpm.v=""),"",_xlpm.v*_xlpm.w)
)</f>
        <v/>
      </c>
      <c r="BT58" s="93" t="str" cm="1">
        <f t="array" ref="BT58">_xlfn.LET(
  _xlpm.w, BT$11,
  _xlpm.r, MATCH(1,('3. Enter Indicator Scores'!$B$10:$B$161=$B58)*('3. Enter Indicator Scores'!$C$10:$C$161=$C58),0),
  _xlpm.c, MATCH(BT$8,'3. Enter Indicator Scores'!$D$8:$CZ$8,0),
  _xlpm.v, IFERROR(INDEX('3. Enter Indicator Scores'!$D$10:$CZ$161,_xlpm.r,_xlpm.c),""),
  IF(OR(_xlpm.w="",_xlpm.v=""),"",_xlpm.v*_xlpm.w)
)</f>
        <v/>
      </c>
      <c r="BU58" s="93" t="str" cm="1">
        <f t="array" ref="BU58">_xlfn.LET(
  _xlpm.w, BU$11,
  _xlpm.r, MATCH(1,('3. Enter Indicator Scores'!$B$10:$B$161=$B58)*('3. Enter Indicator Scores'!$C$10:$C$161=$C58),0),
  _xlpm.c, MATCH(BU$8,'3. Enter Indicator Scores'!$D$8:$CZ$8,0),
  _xlpm.v, IFERROR(INDEX('3. Enter Indicator Scores'!$D$10:$CZ$161,_xlpm.r,_xlpm.c),""),
  IF(OR(_xlpm.w="",_xlpm.v=""),"",_xlpm.v*_xlpm.w)
)</f>
        <v/>
      </c>
      <c r="BV58" s="93" t="str" cm="1">
        <f t="array" ref="BV58">_xlfn.LET(
  _xlpm.w, BV$11,
  _xlpm.r, MATCH(1,('3. Enter Indicator Scores'!$B$10:$B$161=$B58)*('3. Enter Indicator Scores'!$C$10:$C$161=$C58),0),
  _xlpm.c, MATCH(BV$8,'3. Enter Indicator Scores'!$D$8:$CZ$8,0),
  _xlpm.v, IFERROR(INDEX('3. Enter Indicator Scores'!$D$10:$CZ$161,_xlpm.r,_xlpm.c),""),
  IF(OR(_xlpm.w="",_xlpm.v=""),"",_xlpm.v*_xlpm.w)
)</f>
        <v/>
      </c>
      <c r="BW58" s="93" t="str" cm="1">
        <f t="array" ref="BW58">_xlfn.LET(
  _xlpm.w, BW$11,
  _xlpm.r, MATCH(1,('3. Enter Indicator Scores'!$B$10:$B$161=$B58)*('3. Enter Indicator Scores'!$C$10:$C$161=$C58),0),
  _xlpm.c, MATCH(BW$8,'3. Enter Indicator Scores'!$D$8:$CZ$8,0),
  _xlpm.v, IFERROR(INDEX('3. Enter Indicator Scores'!$D$10:$CZ$161,_xlpm.r,_xlpm.c),""),
  IF(OR(_xlpm.w="",_xlpm.v=""),"",_xlpm.v*_xlpm.w)
)</f>
        <v/>
      </c>
      <c r="BX58" s="93" t="str" cm="1">
        <f t="array" ref="BX58">_xlfn.LET(
  _xlpm.w, BX$11,
  _xlpm.r, MATCH(1,('3. Enter Indicator Scores'!$B$10:$B$161=$B58)*('3. Enter Indicator Scores'!$C$10:$C$161=$C58),0),
  _xlpm.c, MATCH(BX$8,'3. Enter Indicator Scores'!$D$8:$CZ$8,0),
  _xlpm.v, IFERROR(INDEX('3. Enter Indicator Scores'!$D$10:$CZ$161,_xlpm.r,_xlpm.c),""),
  IF(OR(_xlpm.w="",_xlpm.v=""),"",_xlpm.v*_xlpm.w)
)</f>
        <v/>
      </c>
      <c r="BY58" s="93" t="str" cm="1">
        <f t="array" ref="BY58">_xlfn.LET(
  _xlpm.w, BY$11,
  _xlpm.r, MATCH(1,('3. Enter Indicator Scores'!$B$10:$B$161=$B58)*('3. Enter Indicator Scores'!$C$10:$C$161=$C58),0),
  _xlpm.c, MATCH(BY$8,'3. Enter Indicator Scores'!$D$8:$CZ$8,0),
  _xlpm.v, IFERROR(INDEX('3. Enter Indicator Scores'!$D$10:$CZ$161,_xlpm.r,_xlpm.c),""),
  IF(OR(_xlpm.w="",_xlpm.v=""),"",_xlpm.v*_xlpm.w)
)</f>
        <v/>
      </c>
      <c r="BZ58" s="93" t="str" cm="1">
        <f t="array" ref="BZ58">_xlfn.LET(
  _xlpm.w, BZ$11,
  _xlpm.r, MATCH(1,('3. Enter Indicator Scores'!$B$10:$B$161=$B58)*('3. Enter Indicator Scores'!$C$10:$C$161=$C58),0),
  _xlpm.c, MATCH(BZ$8,'3. Enter Indicator Scores'!$D$8:$CZ$8,0),
  _xlpm.v, IFERROR(INDEX('3. Enter Indicator Scores'!$D$10:$CZ$161,_xlpm.r,_xlpm.c),""),
  IF(OR(_xlpm.w="",_xlpm.v=""),"",_xlpm.v*_xlpm.w)
)</f>
        <v/>
      </c>
      <c r="CA58" s="93" t="str" cm="1">
        <f t="array" ref="CA58">_xlfn.LET(
  _xlpm.w, CA$11,
  _xlpm.r, MATCH(1,('3. Enter Indicator Scores'!$B$10:$B$161=$B58)*('3. Enter Indicator Scores'!$C$10:$C$161=$C58),0),
  _xlpm.c, MATCH(CA$8,'3. Enter Indicator Scores'!$D$8:$CZ$8,0),
  _xlpm.v, IFERROR(INDEX('3. Enter Indicator Scores'!$D$10:$CZ$161,_xlpm.r,_xlpm.c),""),
  IF(OR(_xlpm.w="",_xlpm.v=""),"",_xlpm.v*_xlpm.w)
)</f>
        <v/>
      </c>
      <c r="CB58" s="93" t="str" cm="1">
        <f t="array" ref="CB58">_xlfn.LET(
  _xlpm.w, CB$11,
  _xlpm.r, MATCH(1,('3. Enter Indicator Scores'!$B$10:$B$161=$B58)*('3. Enter Indicator Scores'!$C$10:$C$161=$C58),0),
  _xlpm.c, MATCH(CB$8,'3. Enter Indicator Scores'!$D$8:$CZ$8,0),
  _xlpm.v, IFERROR(INDEX('3. Enter Indicator Scores'!$D$10:$CZ$161,_xlpm.r,_xlpm.c),""),
  IF(OR(_xlpm.w="",_xlpm.v=""),"",_xlpm.v*_xlpm.w)
)</f>
        <v/>
      </c>
      <c r="CC58" s="93" t="str" cm="1">
        <f t="array" ref="CC58">_xlfn.LET(
  _xlpm.w, CC$11,
  _xlpm.r, MATCH(1,('3. Enter Indicator Scores'!$B$10:$B$161=$B58)*('3. Enter Indicator Scores'!$C$10:$C$161=$C58),0),
  _xlpm.c, MATCH(CC$8,'3. Enter Indicator Scores'!$D$8:$CZ$8,0),
  _xlpm.v, IFERROR(INDEX('3. Enter Indicator Scores'!$D$10:$CZ$161,_xlpm.r,_xlpm.c),""),
  IF(OR(_xlpm.w="",_xlpm.v=""),"",_xlpm.v*_xlpm.w)
)</f>
        <v/>
      </c>
      <c r="CD58" s="93" t="str" cm="1">
        <f t="array" ref="CD58">_xlfn.LET(
  _xlpm.w, CD$11,
  _xlpm.r, MATCH(1,('3. Enter Indicator Scores'!$B$10:$B$161=$B58)*('3. Enter Indicator Scores'!$C$10:$C$161=$C58),0),
  _xlpm.c, MATCH(CD$8,'3. Enter Indicator Scores'!$D$8:$CZ$8,0),
  _xlpm.v, IFERROR(INDEX('3. Enter Indicator Scores'!$D$10:$CZ$161,_xlpm.r,_xlpm.c),""),
  IF(OR(_xlpm.w="",_xlpm.v=""),"",_xlpm.v*_xlpm.w)
)</f>
        <v/>
      </c>
      <c r="CE58" s="93" t="str" cm="1">
        <f t="array" ref="CE58">_xlfn.LET(
  _xlpm.w, CE$11,
  _xlpm.r, MATCH(1,('3. Enter Indicator Scores'!$B$10:$B$161=$B58)*('3. Enter Indicator Scores'!$C$10:$C$161=$C58),0),
  _xlpm.c, MATCH(CE$8,'3. Enter Indicator Scores'!$D$8:$CZ$8,0),
  _xlpm.v, IFERROR(INDEX('3. Enter Indicator Scores'!$D$10:$CZ$161,_xlpm.r,_xlpm.c),""),
  IF(OR(_xlpm.w="",_xlpm.v=""),"",_xlpm.v*_xlpm.w)
)</f>
        <v/>
      </c>
      <c r="CF58" s="93" t="str" cm="1">
        <f t="array" ref="CF58">_xlfn.LET(
  _xlpm.w, CF$11,
  _xlpm.r, MATCH(1,('3. Enter Indicator Scores'!$B$10:$B$161=$B58)*('3. Enter Indicator Scores'!$C$10:$C$161=$C58),0),
  _xlpm.c, MATCH(CF$8,'3. Enter Indicator Scores'!$D$8:$CZ$8,0),
  _xlpm.v, IFERROR(INDEX('3. Enter Indicator Scores'!$D$10:$CZ$161,_xlpm.r,_xlpm.c),""),
  IF(OR(_xlpm.w="",_xlpm.v=""),"",_xlpm.v*_xlpm.w)
)</f>
        <v/>
      </c>
      <c r="CG58" s="93" t="str" cm="1">
        <f t="array" ref="CG58">_xlfn.LET(
  _xlpm.w, CG$11,
  _xlpm.r, MATCH(1,('3. Enter Indicator Scores'!$B$10:$B$161=$B58)*('3. Enter Indicator Scores'!$C$10:$C$161=$C58),0),
  _xlpm.c, MATCH(CG$8,'3. Enter Indicator Scores'!$D$8:$CZ$8,0),
  _xlpm.v, IFERROR(INDEX('3. Enter Indicator Scores'!$D$10:$CZ$161,_xlpm.r,_xlpm.c),""),
  IF(OR(_xlpm.w="",_xlpm.v=""),"",_xlpm.v*_xlpm.w)
)</f>
        <v/>
      </c>
      <c r="CH58" s="93" t="str" cm="1">
        <f t="array" ref="CH58">_xlfn.LET(
  _xlpm.w, CH$11,
  _xlpm.r, MATCH(1,('3. Enter Indicator Scores'!$B$10:$B$161=$B58)*('3. Enter Indicator Scores'!$C$10:$C$161=$C58),0),
  _xlpm.c, MATCH(CH$8,'3. Enter Indicator Scores'!$D$8:$CZ$8,0),
  _xlpm.v, IFERROR(INDEX('3. Enter Indicator Scores'!$D$10:$CZ$161,_xlpm.r,_xlpm.c),""),
  IF(OR(_xlpm.w="",_xlpm.v=""),"",_xlpm.v*_xlpm.w)
)</f>
        <v/>
      </c>
      <c r="CI58" s="93" t="str" cm="1">
        <f t="array" ref="CI58">_xlfn.LET(
  _xlpm.w, CI$11,
  _xlpm.r, MATCH(1,('3. Enter Indicator Scores'!$B$10:$B$161=$B58)*('3. Enter Indicator Scores'!$C$10:$C$161=$C58),0),
  _xlpm.c, MATCH(CI$8,'3. Enter Indicator Scores'!$D$8:$CZ$8,0),
  _xlpm.v, IFERROR(INDEX('3. Enter Indicator Scores'!$D$10:$CZ$161,_xlpm.r,_xlpm.c),""),
  IF(OR(_xlpm.w="",_xlpm.v=""),"",_xlpm.v*_xlpm.w)
)</f>
        <v/>
      </c>
      <c r="CJ58" s="93" t="str" cm="1">
        <f t="array" ref="CJ58">_xlfn.LET(
  _xlpm.w, CJ$11,
  _xlpm.r, MATCH(1,('3. Enter Indicator Scores'!$B$10:$B$161=$B58)*('3. Enter Indicator Scores'!$C$10:$C$161=$C58),0),
  _xlpm.c, MATCH(CJ$8,'3. Enter Indicator Scores'!$D$8:$CZ$8,0),
  _xlpm.v, IFERROR(INDEX('3. Enter Indicator Scores'!$D$10:$CZ$161,_xlpm.r,_xlpm.c),""),
  IF(OR(_xlpm.w="",_xlpm.v=""),"",_xlpm.v*_xlpm.w)
)</f>
        <v/>
      </c>
      <c r="CK58" s="93" t="str" cm="1">
        <f t="array" ref="CK58">_xlfn.LET(
  _xlpm.w, CK$11,
  _xlpm.r, MATCH(1,('3. Enter Indicator Scores'!$B$10:$B$161=$B58)*('3. Enter Indicator Scores'!$C$10:$C$161=$C58),0),
  _xlpm.c, MATCH(CK$8,'3. Enter Indicator Scores'!$D$8:$CZ$8,0),
  _xlpm.v, IFERROR(INDEX('3. Enter Indicator Scores'!$D$10:$CZ$161,_xlpm.r,_xlpm.c),""),
  IF(OR(_xlpm.w="",_xlpm.v=""),"",_xlpm.v*_xlpm.w)
)</f>
        <v/>
      </c>
      <c r="CL58" s="93" t="str" cm="1">
        <f t="array" ref="CL58">_xlfn.LET(
  _xlpm.w, CL$11,
  _xlpm.r, MATCH(1,('3. Enter Indicator Scores'!$B$10:$B$161=$B58)*('3. Enter Indicator Scores'!$C$10:$C$161=$C58),0),
  _xlpm.c, MATCH(CL$8,'3. Enter Indicator Scores'!$D$8:$CZ$8,0),
  _xlpm.v, IFERROR(INDEX('3. Enter Indicator Scores'!$D$10:$CZ$161,_xlpm.r,_xlpm.c),""),
  IF(OR(_xlpm.w="",_xlpm.v=""),"",_xlpm.v*_xlpm.w)
)</f>
        <v/>
      </c>
      <c r="CM58" s="93" t="str" cm="1">
        <f t="array" ref="CM58">_xlfn.LET(
  _xlpm.w, CM$11,
  _xlpm.r, MATCH(1,('3. Enter Indicator Scores'!$B$10:$B$161=$B58)*('3. Enter Indicator Scores'!$C$10:$C$161=$C58),0),
  _xlpm.c, MATCH(CM$8,'3. Enter Indicator Scores'!$D$8:$CZ$8,0),
  _xlpm.v, IFERROR(INDEX('3. Enter Indicator Scores'!$D$10:$CZ$161,_xlpm.r,_xlpm.c),""),
  IF(OR(_xlpm.w="",_xlpm.v=""),"",_xlpm.v*_xlpm.w)
)</f>
        <v/>
      </c>
      <c r="CN58" s="93" t="str" cm="1">
        <f t="array" ref="CN58">_xlfn.LET(
  _xlpm.w, CN$11,
  _xlpm.r, MATCH(1,('3. Enter Indicator Scores'!$B$10:$B$161=$B58)*('3. Enter Indicator Scores'!$C$10:$C$161=$C58),0),
  _xlpm.c, MATCH(CN$8,'3. Enter Indicator Scores'!$D$8:$CZ$8,0),
  _xlpm.v, IFERROR(INDEX('3. Enter Indicator Scores'!$D$10:$CZ$161,_xlpm.r,_xlpm.c),""),
  IF(OR(_xlpm.w="",_xlpm.v=""),"",_xlpm.v*_xlpm.w)
)</f>
        <v/>
      </c>
      <c r="CO58" s="93" t="str" cm="1">
        <f t="array" ref="CO58">_xlfn.LET(
  _xlpm.w, CO$11,
  _xlpm.r, MATCH(1,('3. Enter Indicator Scores'!$B$10:$B$161=$B58)*('3. Enter Indicator Scores'!$C$10:$C$161=$C58),0),
  _xlpm.c, MATCH(CO$8,'3. Enter Indicator Scores'!$D$8:$CZ$8,0),
  _xlpm.v, IFERROR(INDEX('3. Enter Indicator Scores'!$D$10:$CZ$161,_xlpm.r,_xlpm.c),""),
  IF(OR(_xlpm.w="",_xlpm.v=""),"",_xlpm.v*_xlpm.w)
)</f>
        <v/>
      </c>
      <c r="CP58" s="93" t="str" cm="1">
        <f t="array" ref="CP58">_xlfn.LET(
  _xlpm.w, CP$11,
  _xlpm.r, MATCH(1,('3. Enter Indicator Scores'!$B$10:$B$161=$B58)*('3. Enter Indicator Scores'!$C$10:$C$161=$C58),0),
  _xlpm.c, MATCH(CP$8,'3. Enter Indicator Scores'!$D$8:$CZ$8,0),
  _xlpm.v, IFERROR(INDEX('3. Enter Indicator Scores'!$D$10:$CZ$161,_xlpm.r,_xlpm.c),""),
  IF(OR(_xlpm.w="",_xlpm.v=""),"",_xlpm.v*_xlpm.w)
)</f>
        <v/>
      </c>
      <c r="CQ58" s="93" t="str" cm="1">
        <f t="array" ref="CQ58">_xlfn.LET(
  _xlpm.w, CQ$11,
  _xlpm.r, MATCH(1,('3. Enter Indicator Scores'!$B$10:$B$161=$B58)*('3. Enter Indicator Scores'!$C$10:$C$161=$C58),0),
  _xlpm.c, MATCH(CQ$8,'3. Enter Indicator Scores'!$D$8:$CZ$8,0),
  _xlpm.v, IFERROR(INDEX('3. Enter Indicator Scores'!$D$10:$CZ$161,_xlpm.r,_xlpm.c),""),
  IF(OR(_xlpm.w="",_xlpm.v=""),"",_xlpm.v*_xlpm.w)
)</f>
        <v/>
      </c>
      <c r="CR58" s="93" t="str" cm="1">
        <f t="array" ref="CR58">_xlfn.LET(
  _xlpm.w, CR$11,
  _xlpm.r, MATCH(1,('3. Enter Indicator Scores'!$B$10:$B$161=$B58)*('3. Enter Indicator Scores'!$C$10:$C$161=$C58),0),
  _xlpm.c, MATCH(CR$8,'3. Enter Indicator Scores'!$D$8:$CZ$8,0),
  _xlpm.v, IFERROR(INDEX('3. Enter Indicator Scores'!$D$10:$CZ$161,_xlpm.r,_xlpm.c),""),
  IF(OR(_xlpm.w="",_xlpm.v=""),"",_xlpm.v*_xlpm.w)
)</f>
        <v/>
      </c>
      <c r="CS58" s="93" t="str" cm="1">
        <f t="array" ref="CS58">_xlfn.LET(
  _xlpm.w, CS$11,
  _xlpm.r, MATCH(1,('3. Enter Indicator Scores'!$B$10:$B$161=$B58)*('3. Enter Indicator Scores'!$C$10:$C$161=$C58),0),
  _xlpm.c, MATCH(CS$8,'3. Enter Indicator Scores'!$D$8:$CZ$8,0),
  _xlpm.v, IFERROR(INDEX('3. Enter Indicator Scores'!$D$10:$CZ$161,_xlpm.r,_xlpm.c),""),
  IF(OR(_xlpm.w="",_xlpm.v=""),"",_xlpm.v*_xlpm.w)
)</f>
        <v/>
      </c>
      <c r="CT58" s="93" t="str" cm="1">
        <f t="array" ref="CT58">_xlfn.LET(
  _xlpm.w, CT$11,
  _xlpm.r, MATCH(1,('3. Enter Indicator Scores'!$B$10:$B$161=$B58)*('3. Enter Indicator Scores'!$C$10:$C$161=$C58),0),
  _xlpm.c, MATCH(CT$8,'3. Enter Indicator Scores'!$D$8:$CZ$8,0),
  _xlpm.v, IFERROR(INDEX('3. Enter Indicator Scores'!$D$10:$CZ$161,_xlpm.r,_xlpm.c),""),
  IF(OR(_xlpm.w="",_xlpm.v=""),"",_xlpm.v*_xlpm.w)
)</f>
        <v/>
      </c>
      <c r="CU58" s="93" t="str" cm="1">
        <f t="array" ref="CU58">_xlfn.LET(
  _xlpm.w, CU$11,
  _xlpm.r, MATCH(1,('3. Enter Indicator Scores'!$B$10:$B$161=$B58)*('3. Enter Indicator Scores'!$C$10:$C$161=$C58),0),
  _xlpm.c, MATCH(CU$8,'3. Enter Indicator Scores'!$D$8:$CZ$8,0),
  _xlpm.v, IFERROR(INDEX('3. Enter Indicator Scores'!$D$10:$CZ$161,_xlpm.r,_xlpm.c),""),
  IF(OR(_xlpm.w="",_xlpm.v=""),"",_xlpm.v*_xlpm.w)
)</f>
        <v/>
      </c>
      <c r="CV58" s="93" t="str" cm="1">
        <f t="array" ref="CV58">_xlfn.LET(
  _xlpm.w, CV$11,
  _xlpm.r, MATCH(1,('3. Enter Indicator Scores'!$B$10:$B$161=$B58)*('3. Enter Indicator Scores'!$C$10:$C$161=$C58),0),
  _xlpm.c, MATCH(CV$8,'3. Enter Indicator Scores'!$D$8:$CZ$8,0),
  _xlpm.v, IFERROR(INDEX('3. Enter Indicator Scores'!$D$10:$CZ$161,_xlpm.r,_xlpm.c),""),
  IF(OR(_xlpm.w="",_xlpm.v=""),"",_xlpm.v*_xlpm.w)
)</f>
        <v/>
      </c>
      <c r="CW58" s="93" t="str" cm="1">
        <f t="array" ref="CW58">_xlfn.LET(
  _xlpm.w, CW$11,
  _xlpm.r, MATCH(1,('3. Enter Indicator Scores'!$B$10:$B$161=$B58)*('3. Enter Indicator Scores'!$C$10:$C$161=$C58),0),
  _xlpm.c, MATCH(CW$8,'3. Enter Indicator Scores'!$D$8:$CZ$8,0),
  _xlpm.v, IFERROR(INDEX('3. Enter Indicator Scores'!$D$10:$CZ$161,_xlpm.r,_xlpm.c),""),
  IF(OR(_xlpm.w="",_xlpm.v=""),"",_xlpm.v*_xlpm.w)
)</f>
        <v/>
      </c>
      <c r="CX58" s="93" t="str" cm="1">
        <f t="array" ref="CX58">_xlfn.LET(
  _xlpm.w, CX$11,
  _xlpm.r, MATCH(1,('3. Enter Indicator Scores'!$B$10:$B$161=$B58)*('3. Enter Indicator Scores'!$C$10:$C$161=$C58),0),
  _xlpm.c, MATCH(CX$8,'3. Enter Indicator Scores'!$D$8:$CZ$8,0),
  _xlpm.v, IFERROR(INDEX('3. Enter Indicator Scores'!$D$10:$CZ$161,_xlpm.r,_xlpm.c),""),
  IF(OR(_xlpm.w="",_xlpm.v=""),"",_xlpm.v*_xlpm.w)
)</f>
        <v/>
      </c>
      <c r="CY58" s="93" t="str" cm="1">
        <f t="array" ref="CY58">_xlfn.LET(
  _xlpm.w, CY$11,
  _xlpm.r, MATCH(1,('3. Enter Indicator Scores'!$B$10:$B$161=$B58)*('3. Enter Indicator Scores'!$C$10:$C$161=$C58),0),
  _xlpm.c, MATCH(CY$8,'3. Enter Indicator Scores'!$D$8:$CZ$8,0),
  _xlpm.v, IFERROR(INDEX('3. Enter Indicator Scores'!$D$10:$CZ$161,_xlpm.r,_xlpm.c),""),
  IF(OR(_xlpm.w="",_xlpm.v=""),"",_xlpm.v*_xlpm.w)
)</f>
        <v/>
      </c>
      <c r="CZ58" s="93" t="str" cm="1">
        <f t="array" ref="CZ58">_xlfn.LET(
  _xlpm.w, CZ$11,
  _xlpm.r, MATCH(1,('3. Enter Indicator Scores'!$B$10:$B$161=$B58)*('3. Enter Indicator Scores'!$C$10:$C$161=$C58),0),
  _xlpm.c, MATCH(CZ$8,'3. Enter Indicator Scores'!$D$8:$CZ$8,0),
  _xlpm.v, IFERROR(INDEX('3. Enter Indicator Scores'!$D$10:$CZ$161,_xlpm.r,_xlpm.c),""),
  IF(OR(_xlpm.w="",_xlpm.v=""),"",_xlpm.v*_xlpm.w)
)</f>
        <v/>
      </c>
    </row>
    <row r="59" spans="4:104" x14ac:dyDescent="0.2">
      <c r="D59" s="93" t="str" cm="1">
        <f t="array" ref="D59">_xlfn.LET(
  _xlpm.w, D$11,
  _xlpm.r, MATCH(1,('3. Enter Indicator Scores'!$B$10:$B$161=$B59)*('3. Enter Indicator Scores'!$C$10:$C$161=$C59),0),
  _xlpm.c, MATCH(D$8,'3. Enter Indicator Scores'!$D$8:$CZ$8,0),
  _xlpm.v, IFERROR(INDEX('3. Enter Indicator Scores'!$D$10:$CZ$161,_xlpm.r,_xlpm.c),""),
  IF(OR(_xlpm.w="",_xlpm.v=""),"",_xlpm.v*_xlpm.w)
)</f>
        <v/>
      </c>
      <c r="E59" s="93" t="str" cm="1">
        <f t="array" ref="E59">_xlfn.LET(
  _xlpm.w, E$11,
  _xlpm.r, MATCH(1,('3. Enter Indicator Scores'!$B$10:$B$161=$B59)*('3. Enter Indicator Scores'!$C$10:$C$161=$C59),0),
  _xlpm.c, MATCH(E$8,'3. Enter Indicator Scores'!$D$8:$CZ$8,0),
  _xlpm.v, IFERROR(INDEX('3. Enter Indicator Scores'!$D$10:$CZ$161,_xlpm.r,_xlpm.c),""),
  IF(OR(_xlpm.w="",_xlpm.v=""),"",_xlpm.v*_xlpm.w)
)</f>
        <v/>
      </c>
      <c r="F59" s="93" t="str" cm="1">
        <f t="array" ref="F59">_xlfn.LET(
  _xlpm.w, F$11,
  _xlpm.r, MATCH(1,('3. Enter Indicator Scores'!$B$10:$B$161=$B59)*('3. Enter Indicator Scores'!$C$10:$C$161=$C59),0),
  _xlpm.c, MATCH(F$8,'3. Enter Indicator Scores'!$D$8:$CZ$8,0),
  _xlpm.v, IFERROR(INDEX('3. Enter Indicator Scores'!$D$10:$CZ$161,_xlpm.r,_xlpm.c),""),
  IF(OR(_xlpm.w="",_xlpm.v=""),"",_xlpm.v*_xlpm.w)
)</f>
        <v/>
      </c>
      <c r="G59" s="93" t="str" cm="1">
        <f t="array" ref="G59">_xlfn.LET(
  _xlpm.w, G$11,
  _xlpm.r, MATCH(1,('3. Enter Indicator Scores'!$B$10:$B$161=$B59)*('3. Enter Indicator Scores'!$C$10:$C$161=$C59),0),
  _xlpm.c, MATCH(G$8,'3. Enter Indicator Scores'!$D$8:$CZ$8,0),
  _xlpm.v, IFERROR(INDEX('3. Enter Indicator Scores'!$D$10:$CZ$161,_xlpm.r,_xlpm.c),""),
  IF(OR(_xlpm.w="",_xlpm.v=""),"",_xlpm.v*_xlpm.w)
)</f>
        <v/>
      </c>
      <c r="H59" s="93" t="str" cm="1">
        <f t="array" ref="H59">_xlfn.LET(
  _xlpm.w, H$11,
  _xlpm.r, MATCH(1,('3. Enter Indicator Scores'!$B$10:$B$161=$B59)*('3. Enter Indicator Scores'!$C$10:$C$161=$C59),0),
  _xlpm.c, MATCH(H$8,'3. Enter Indicator Scores'!$D$8:$CZ$8,0),
  _xlpm.v, IFERROR(INDEX('3. Enter Indicator Scores'!$D$10:$CZ$161,_xlpm.r,_xlpm.c),""),
  IF(OR(_xlpm.w="",_xlpm.v=""),"",_xlpm.v*_xlpm.w)
)</f>
        <v/>
      </c>
      <c r="I59" s="93" t="str" cm="1">
        <f t="array" ref="I59">_xlfn.LET(
  _xlpm.w, I$11,
  _xlpm.r, MATCH(1,('3. Enter Indicator Scores'!$B$10:$B$161=$B59)*('3. Enter Indicator Scores'!$C$10:$C$161=$C59),0),
  _xlpm.c, MATCH(I$8,'3. Enter Indicator Scores'!$D$8:$CZ$8,0),
  _xlpm.v, IFERROR(INDEX('3. Enter Indicator Scores'!$D$10:$CZ$161,_xlpm.r,_xlpm.c),""),
  IF(OR(_xlpm.w="",_xlpm.v=""),"",_xlpm.v*_xlpm.w)
)</f>
        <v/>
      </c>
      <c r="J59" s="93" t="str" cm="1">
        <f t="array" ref="J59">_xlfn.LET(
  _xlpm.w, J$11,
  _xlpm.r, MATCH(1,('3. Enter Indicator Scores'!$B$10:$B$161=$B59)*('3. Enter Indicator Scores'!$C$10:$C$161=$C59),0),
  _xlpm.c, MATCH(J$8,'3. Enter Indicator Scores'!$D$8:$CZ$8,0),
  _xlpm.v, IFERROR(INDEX('3. Enter Indicator Scores'!$D$10:$CZ$161,_xlpm.r,_xlpm.c),""),
  IF(OR(_xlpm.w="",_xlpm.v=""),"",_xlpm.v*_xlpm.w)
)</f>
        <v/>
      </c>
      <c r="K59" s="93" t="str" cm="1">
        <f t="array" ref="K59">_xlfn.LET(
  _xlpm.w, K$11,
  _xlpm.r, MATCH(1,('3. Enter Indicator Scores'!$B$10:$B$161=$B59)*('3. Enter Indicator Scores'!$C$10:$C$161=$C59),0),
  _xlpm.c, MATCH(K$8,'3. Enter Indicator Scores'!$D$8:$CZ$8,0),
  _xlpm.v, IFERROR(INDEX('3. Enter Indicator Scores'!$D$10:$CZ$161,_xlpm.r,_xlpm.c),""),
  IF(OR(_xlpm.w="",_xlpm.v=""),"",_xlpm.v*_xlpm.w)
)</f>
        <v/>
      </c>
      <c r="L59" s="93" t="str" cm="1">
        <f t="array" ref="L59">_xlfn.LET(
  _xlpm.w, L$11,
  _xlpm.r, MATCH(1,('3. Enter Indicator Scores'!$B$10:$B$161=$B59)*('3. Enter Indicator Scores'!$C$10:$C$161=$C59),0),
  _xlpm.c, MATCH(L$8,'3. Enter Indicator Scores'!$D$8:$CZ$8,0),
  _xlpm.v, IFERROR(INDEX('3. Enter Indicator Scores'!$D$10:$CZ$161,_xlpm.r,_xlpm.c),""),
  IF(OR(_xlpm.w="",_xlpm.v=""),"",_xlpm.v*_xlpm.w)
)</f>
        <v/>
      </c>
      <c r="M59" s="93" t="str" cm="1">
        <f t="array" ref="M59">_xlfn.LET(
  _xlpm.w, M$11,
  _xlpm.r, MATCH(1,('3. Enter Indicator Scores'!$B$10:$B$161=$B59)*('3. Enter Indicator Scores'!$C$10:$C$161=$C59),0),
  _xlpm.c, MATCH(M$8,'3. Enter Indicator Scores'!$D$8:$CZ$8,0),
  _xlpm.v, IFERROR(INDEX('3. Enter Indicator Scores'!$D$10:$CZ$161,_xlpm.r,_xlpm.c),""),
  IF(OR(_xlpm.w="",_xlpm.v=""),"",_xlpm.v*_xlpm.w)
)</f>
        <v/>
      </c>
      <c r="N59" s="93" t="str" cm="1">
        <f t="array" ref="N59">_xlfn.LET(
  _xlpm.w, N$11,
  _xlpm.r, MATCH(1,('3. Enter Indicator Scores'!$B$10:$B$161=$B59)*('3. Enter Indicator Scores'!$C$10:$C$161=$C59),0),
  _xlpm.c, MATCH(N$8,'3. Enter Indicator Scores'!$D$8:$CZ$8,0),
  _xlpm.v, IFERROR(INDEX('3. Enter Indicator Scores'!$D$10:$CZ$161,_xlpm.r,_xlpm.c),""),
  IF(OR(_xlpm.w="",_xlpm.v=""),"",_xlpm.v*_xlpm.w)
)</f>
        <v/>
      </c>
      <c r="O59" s="93" t="str" cm="1">
        <f t="array" ref="O59">_xlfn.LET(
  _xlpm.w, O$11,
  _xlpm.r, MATCH(1,('3. Enter Indicator Scores'!$B$10:$B$161=$B59)*('3. Enter Indicator Scores'!$C$10:$C$161=$C59),0),
  _xlpm.c, MATCH(O$8,'3. Enter Indicator Scores'!$D$8:$CZ$8,0),
  _xlpm.v, IFERROR(INDEX('3. Enter Indicator Scores'!$D$10:$CZ$161,_xlpm.r,_xlpm.c),""),
  IF(OR(_xlpm.w="",_xlpm.v=""),"",_xlpm.v*_xlpm.w)
)</f>
        <v/>
      </c>
      <c r="P59" s="93" t="str" cm="1">
        <f t="array" ref="P59">_xlfn.LET(
  _xlpm.w, P$11,
  _xlpm.r, MATCH(1,('3. Enter Indicator Scores'!$B$10:$B$161=$B59)*('3. Enter Indicator Scores'!$C$10:$C$161=$C59),0),
  _xlpm.c, MATCH(P$8,'3. Enter Indicator Scores'!$D$8:$CZ$8,0),
  _xlpm.v, IFERROR(INDEX('3. Enter Indicator Scores'!$D$10:$CZ$161,_xlpm.r,_xlpm.c),""),
  IF(OR(_xlpm.w="",_xlpm.v=""),"",_xlpm.v*_xlpm.w)
)</f>
        <v/>
      </c>
      <c r="Q59" s="93" t="str" cm="1">
        <f t="array" ref="Q59">_xlfn.LET(
  _xlpm.w, Q$11,
  _xlpm.r, MATCH(1,('3. Enter Indicator Scores'!$B$10:$B$161=$B59)*('3. Enter Indicator Scores'!$C$10:$C$161=$C59),0),
  _xlpm.c, MATCH(Q$8,'3. Enter Indicator Scores'!$D$8:$CZ$8,0),
  _xlpm.v, IFERROR(INDEX('3. Enter Indicator Scores'!$D$10:$CZ$161,_xlpm.r,_xlpm.c),""),
  IF(OR(_xlpm.w="",_xlpm.v=""),"",_xlpm.v*_xlpm.w)
)</f>
        <v/>
      </c>
      <c r="R59" s="93" t="str" cm="1">
        <f t="array" ref="R59">_xlfn.LET(
  _xlpm.w, R$11,
  _xlpm.r, MATCH(1,('3. Enter Indicator Scores'!$B$10:$B$161=$B59)*('3. Enter Indicator Scores'!$C$10:$C$161=$C59),0),
  _xlpm.c, MATCH(R$8,'3. Enter Indicator Scores'!$D$8:$CZ$8,0),
  _xlpm.v, IFERROR(INDEX('3. Enter Indicator Scores'!$D$10:$CZ$161,_xlpm.r,_xlpm.c),""),
  IF(OR(_xlpm.w="",_xlpm.v=""),"",_xlpm.v*_xlpm.w)
)</f>
        <v/>
      </c>
      <c r="S59" s="93" t="str" cm="1">
        <f t="array" ref="S59">_xlfn.LET(
  _xlpm.w, S$11,
  _xlpm.r, MATCH(1,('3. Enter Indicator Scores'!$B$10:$B$161=$B59)*('3. Enter Indicator Scores'!$C$10:$C$161=$C59),0),
  _xlpm.c, MATCH(S$8,'3. Enter Indicator Scores'!$D$8:$CZ$8,0),
  _xlpm.v, IFERROR(INDEX('3. Enter Indicator Scores'!$D$10:$CZ$161,_xlpm.r,_xlpm.c),""),
  IF(OR(_xlpm.w="",_xlpm.v=""),"",_xlpm.v*_xlpm.w)
)</f>
        <v/>
      </c>
      <c r="T59" s="93" t="str" cm="1">
        <f t="array" ref="T59">_xlfn.LET(
  _xlpm.w, T$11,
  _xlpm.r, MATCH(1,('3. Enter Indicator Scores'!$B$10:$B$161=$B59)*('3. Enter Indicator Scores'!$C$10:$C$161=$C59),0),
  _xlpm.c, MATCH(T$8,'3. Enter Indicator Scores'!$D$8:$CZ$8,0),
  _xlpm.v, IFERROR(INDEX('3. Enter Indicator Scores'!$D$10:$CZ$161,_xlpm.r,_xlpm.c),""),
  IF(OR(_xlpm.w="",_xlpm.v=""),"",_xlpm.v*_xlpm.w)
)</f>
        <v/>
      </c>
      <c r="U59" s="93" t="str" cm="1">
        <f t="array" ref="U59">_xlfn.LET(
  _xlpm.w, U$11,
  _xlpm.r, MATCH(1,('3. Enter Indicator Scores'!$B$10:$B$161=$B59)*('3. Enter Indicator Scores'!$C$10:$C$161=$C59),0),
  _xlpm.c, MATCH(U$8,'3. Enter Indicator Scores'!$D$8:$CZ$8,0),
  _xlpm.v, IFERROR(INDEX('3. Enter Indicator Scores'!$D$10:$CZ$161,_xlpm.r,_xlpm.c),""),
  IF(OR(_xlpm.w="",_xlpm.v=""),"",_xlpm.v*_xlpm.w)
)</f>
        <v/>
      </c>
      <c r="V59" s="93" t="str" cm="1">
        <f t="array" ref="V59">_xlfn.LET(
  _xlpm.w, V$11,
  _xlpm.r, MATCH(1,('3. Enter Indicator Scores'!$B$10:$B$161=$B59)*('3. Enter Indicator Scores'!$C$10:$C$161=$C59),0),
  _xlpm.c, MATCH(V$8,'3. Enter Indicator Scores'!$D$8:$CZ$8,0),
  _xlpm.v, IFERROR(INDEX('3. Enter Indicator Scores'!$D$10:$CZ$161,_xlpm.r,_xlpm.c),""),
  IF(OR(_xlpm.w="",_xlpm.v=""),"",_xlpm.v*_xlpm.w)
)</f>
        <v/>
      </c>
      <c r="W59" s="93" t="str" cm="1">
        <f t="array" ref="W59">_xlfn.LET(
  _xlpm.w, W$11,
  _xlpm.r, MATCH(1,('3. Enter Indicator Scores'!$B$10:$B$161=$B59)*('3. Enter Indicator Scores'!$C$10:$C$161=$C59),0),
  _xlpm.c, MATCH(W$8,'3. Enter Indicator Scores'!$D$8:$CZ$8,0),
  _xlpm.v, IFERROR(INDEX('3. Enter Indicator Scores'!$D$10:$CZ$161,_xlpm.r,_xlpm.c),""),
  IF(OR(_xlpm.w="",_xlpm.v=""),"",_xlpm.v*_xlpm.w)
)</f>
        <v/>
      </c>
      <c r="X59" s="93" t="str" cm="1">
        <f t="array" ref="X59">_xlfn.LET(
  _xlpm.w, X$11,
  _xlpm.r, MATCH(1,('3. Enter Indicator Scores'!$B$10:$B$161=$B59)*('3. Enter Indicator Scores'!$C$10:$C$161=$C59),0),
  _xlpm.c, MATCH(X$8,'3. Enter Indicator Scores'!$D$8:$CZ$8,0),
  _xlpm.v, IFERROR(INDEX('3. Enter Indicator Scores'!$D$10:$CZ$161,_xlpm.r,_xlpm.c),""),
  IF(OR(_xlpm.w="",_xlpm.v=""),"",_xlpm.v*_xlpm.w)
)</f>
        <v/>
      </c>
      <c r="Y59" s="93" t="str" cm="1">
        <f t="array" ref="Y59">_xlfn.LET(
  _xlpm.w, Y$11,
  _xlpm.r, MATCH(1,('3. Enter Indicator Scores'!$B$10:$B$161=$B59)*('3. Enter Indicator Scores'!$C$10:$C$161=$C59),0),
  _xlpm.c, MATCH(Y$8,'3. Enter Indicator Scores'!$D$8:$CZ$8,0),
  _xlpm.v, IFERROR(INDEX('3. Enter Indicator Scores'!$D$10:$CZ$161,_xlpm.r,_xlpm.c),""),
  IF(OR(_xlpm.w="",_xlpm.v=""),"",_xlpm.v*_xlpm.w)
)</f>
        <v/>
      </c>
      <c r="Z59" s="93" t="str" cm="1">
        <f t="array" ref="Z59">_xlfn.LET(
  _xlpm.w, Z$11,
  _xlpm.r, MATCH(1,('3. Enter Indicator Scores'!$B$10:$B$161=$B59)*('3. Enter Indicator Scores'!$C$10:$C$161=$C59),0),
  _xlpm.c, MATCH(Z$8,'3. Enter Indicator Scores'!$D$8:$CZ$8,0),
  _xlpm.v, IFERROR(INDEX('3. Enter Indicator Scores'!$D$10:$CZ$161,_xlpm.r,_xlpm.c),""),
  IF(OR(_xlpm.w="",_xlpm.v=""),"",_xlpm.v*_xlpm.w)
)</f>
        <v/>
      </c>
      <c r="AA59" s="93" t="str" cm="1">
        <f t="array" ref="AA59">_xlfn.LET(
  _xlpm.w, AA$11,
  _xlpm.r, MATCH(1,('3. Enter Indicator Scores'!$B$10:$B$161=$B59)*('3. Enter Indicator Scores'!$C$10:$C$161=$C59),0),
  _xlpm.c, MATCH(AA$8,'3. Enter Indicator Scores'!$D$8:$CZ$8,0),
  _xlpm.v, IFERROR(INDEX('3. Enter Indicator Scores'!$D$10:$CZ$161,_xlpm.r,_xlpm.c),""),
  IF(OR(_xlpm.w="",_xlpm.v=""),"",_xlpm.v*_xlpm.w)
)</f>
        <v/>
      </c>
      <c r="AB59" s="93" t="str" cm="1">
        <f t="array" ref="AB59">_xlfn.LET(
  _xlpm.w, AB$11,
  _xlpm.r, MATCH(1,('3. Enter Indicator Scores'!$B$10:$B$161=$B59)*('3. Enter Indicator Scores'!$C$10:$C$161=$C59),0),
  _xlpm.c, MATCH(AB$8,'3. Enter Indicator Scores'!$D$8:$CZ$8,0),
  _xlpm.v, IFERROR(INDEX('3. Enter Indicator Scores'!$D$10:$CZ$161,_xlpm.r,_xlpm.c),""),
  IF(OR(_xlpm.w="",_xlpm.v=""),"",_xlpm.v*_xlpm.w)
)</f>
        <v/>
      </c>
      <c r="AC59" s="93" t="str" cm="1">
        <f t="array" ref="AC59">_xlfn.LET(
  _xlpm.w, AC$11,
  _xlpm.r, MATCH(1,('3. Enter Indicator Scores'!$B$10:$B$161=$B59)*('3. Enter Indicator Scores'!$C$10:$C$161=$C59),0),
  _xlpm.c, MATCH(AC$8,'3. Enter Indicator Scores'!$D$8:$CZ$8,0),
  _xlpm.v, IFERROR(INDEX('3. Enter Indicator Scores'!$D$10:$CZ$161,_xlpm.r,_xlpm.c),""),
  IF(OR(_xlpm.w="",_xlpm.v=""),"",_xlpm.v*_xlpm.w)
)</f>
        <v/>
      </c>
      <c r="AD59" s="93" t="str" cm="1">
        <f t="array" ref="AD59">_xlfn.LET(
  _xlpm.w, AD$11,
  _xlpm.r, MATCH(1,('3. Enter Indicator Scores'!$B$10:$B$161=$B59)*('3. Enter Indicator Scores'!$C$10:$C$161=$C59),0),
  _xlpm.c, MATCH(AD$8,'3. Enter Indicator Scores'!$D$8:$CZ$8,0),
  _xlpm.v, IFERROR(INDEX('3. Enter Indicator Scores'!$D$10:$CZ$161,_xlpm.r,_xlpm.c),""),
  IF(OR(_xlpm.w="",_xlpm.v=""),"",_xlpm.v*_xlpm.w)
)</f>
        <v/>
      </c>
      <c r="AE59" s="93" t="str" cm="1">
        <f t="array" ref="AE59">_xlfn.LET(
  _xlpm.w, AE$11,
  _xlpm.r, MATCH(1,('3. Enter Indicator Scores'!$B$10:$B$161=$B59)*('3. Enter Indicator Scores'!$C$10:$C$161=$C59),0),
  _xlpm.c, MATCH(AE$8,'3. Enter Indicator Scores'!$D$8:$CZ$8,0),
  _xlpm.v, IFERROR(INDEX('3. Enter Indicator Scores'!$D$10:$CZ$161,_xlpm.r,_xlpm.c),""),
  IF(OR(_xlpm.w="",_xlpm.v=""),"",_xlpm.v*_xlpm.w)
)</f>
        <v/>
      </c>
      <c r="AF59" s="93" t="str" cm="1">
        <f t="array" ref="AF59">_xlfn.LET(
  _xlpm.w, AF$11,
  _xlpm.r, MATCH(1,('3. Enter Indicator Scores'!$B$10:$B$161=$B59)*('3. Enter Indicator Scores'!$C$10:$C$161=$C59),0),
  _xlpm.c, MATCH(AF$8,'3. Enter Indicator Scores'!$D$8:$CZ$8,0),
  _xlpm.v, IFERROR(INDEX('3. Enter Indicator Scores'!$D$10:$CZ$161,_xlpm.r,_xlpm.c),""),
  IF(OR(_xlpm.w="",_xlpm.v=""),"",_xlpm.v*_xlpm.w)
)</f>
        <v/>
      </c>
      <c r="AG59" s="93" t="str" cm="1">
        <f t="array" ref="AG59">_xlfn.LET(
  _xlpm.w, AG$11,
  _xlpm.r, MATCH(1,('3. Enter Indicator Scores'!$B$10:$B$161=$B59)*('3. Enter Indicator Scores'!$C$10:$C$161=$C59),0),
  _xlpm.c, MATCH(AG$8,'3. Enter Indicator Scores'!$D$8:$CZ$8,0),
  _xlpm.v, IFERROR(INDEX('3. Enter Indicator Scores'!$D$10:$CZ$161,_xlpm.r,_xlpm.c),""),
  IF(OR(_xlpm.w="",_xlpm.v=""),"",_xlpm.v*_xlpm.w)
)</f>
        <v/>
      </c>
      <c r="AH59" s="93" t="str" cm="1">
        <f t="array" ref="AH59">_xlfn.LET(
  _xlpm.w, AH$11,
  _xlpm.r, MATCH(1,('3. Enter Indicator Scores'!$B$10:$B$161=$B59)*('3. Enter Indicator Scores'!$C$10:$C$161=$C59),0),
  _xlpm.c, MATCH(AH$8,'3. Enter Indicator Scores'!$D$8:$CZ$8,0),
  _xlpm.v, IFERROR(INDEX('3. Enter Indicator Scores'!$D$10:$CZ$161,_xlpm.r,_xlpm.c),""),
  IF(OR(_xlpm.w="",_xlpm.v=""),"",_xlpm.v*_xlpm.w)
)</f>
        <v/>
      </c>
      <c r="AI59" s="93" t="str" cm="1">
        <f t="array" ref="AI59">_xlfn.LET(
  _xlpm.w, AI$11,
  _xlpm.r, MATCH(1,('3. Enter Indicator Scores'!$B$10:$B$161=$B59)*('3. Enter Indicator Scores'!$C$10:$C$161=$C59),0),
  _xlpm.c, MATCH(AI$8,'3. Enter Indicator Scores'!$D$8:$CZ$8,0),
  _xlpm.v, IFERROR(INDEX('3. Enter Indicator Scores'!$D$10:$CZ$161,_xlpm.r,_xlpm.c),""),
  IF(OR(_xlpm.w="",_xlpm.v=""),"",_xlpm.v*_xlpm.w)
)</f>
        <v/>
      </c>
      <c r="AJ59" s="93" t="str" cm="1">
        <f t="array" ref="AJ59">_xlfn.LET(
  _xlpm.w, AJ$11,
  _xlpm.r, MATCH(1,('3. Enter Indicator Scores'!$B$10:$B$161=$B59)*('3. Enter Indicator Scores'!$C$10:$C$161=$C59),0),
  _xlpm.c, MATCH(AJ$8,'3. Enter Indicator Scores'!$D$8:$CZ$8,0),
  _xlpm.v, IFERROR(INDEX('3. Enter Indicator Scores'!$D$10:$CZ$161,_xlpm.r,_xlpm.c),""),
  IF(OR(_xlpm.w="",_xlpm.v=""),"",_xlpm.v*_xlpm.w)
)</f>
        <v/>
      </c>
      <c r="AK59" s="93" t="str" cm="1">
        <f t="array" ref="AK59">_xlfn.LET(
  _xlpm.w, AK$11,
  _xlpm.r, MATCH(1,('3. Enter Indicator Scores'!$B$10:$B$161=$B59)*('3. Enter Indicator Scores'!$C$10:$C$161=$C59),0),
  _xlpm.c, MATCH(AK$8,'3. Enter Indicator Scores'!$D$8:$CZ$8,0),
  _xlpm.v, IFERROR(INDEX('3. Enter Indicator Scores'!$D$10:$CZ$161,_xlpm.r,_xlpm.c),""),
  IF(OR(_xlpm.w="",_xlpm.v=""),"",_xlpm.v*_xlpm.w)
)</f>
        <v/>
      </c>
      <c r="AL59" s="93" t="str" cm="1">
        <f t="array" ref="AL59">_xlfn.LET(
  _xlpm.w, AL$11,
  _xlpm.r, MATCH(1,('3. Enter Indicator Scores'!$B$10:$B$161=$B59)*('3. Enter Indicator Scores'!$C$10:$C$161=$C59),0),
  _xlpm.c, MATCH(AL$8,'3. Enter Indicator Scores'!$D$8:$CZ$8,0),
  _xlpm.v, IFERROR(INDEX('3. Enter Indicator Scores'!$D$10:$CZ$161,_xlpm.r,_xlpm.c),""),
  IF(OR(_xlpm.w="",_xlpm.v=""),"",_xlpm.v*_xlpm.w)
)</f>
        <v/>
      </c>
      <c r="AM59" s="93" t="str" cm="1">
        <f t="array" ref="AM59">_xlfn.LET(
  _xlpm.w, AM$11,
  _xlpm.r, MATCH(1,('3. Enter Indicator Scores'!$B$10:$B$161=$B59)*('3. Enter Indicator Scores'!$C$10:$C$161=$C59),0),
  _xlpm.c, MATCH(AM$8,'3. Enter Indicator Scores'!$D$8:$CZ$8,0),
  _xlpm.v, IFERROR(INDEX('3. Enter Indicator Scores'!$D$10:$CZ$161,_xlpm.r,_xlpm.c),""),
  IF(OR(_xlpm.w="",_xlpm.v=""),"",_xlpm.v*_xlpm.w)
)</f>
        <v/>
      </c>
      <c r="AN59" s="93" t="str" cm="1">
        <f t="array" ref="AN59">_xlfn.LET(
  _xlpm.w, AN$11,
  _xlpm.r, MATCH(1,('3. Enter Indicator Scores'!$B$10:$B$161=$B59)*('3. Enter Indicator Scores'!$C$10:$C$161=$C59),0),
  _xlpm.c, MATCH(AN$8,'3. Enter Indicator Scores'!$D$8:$CZ$8,0),
  _xlpm.v, IFERROR(INDEX('3. Enter Indicator Scores'!$D$10:$CZ$161,_xlpm.r,_xlpm.c),""),
  IF(OR(_xlpm.w="",_xlpm.v=""),"",_xlpm.v*_xlpm.w)
)</f>
        <v/>
      </c>
      <c r="AO59" s="93" t="str" cm="1">
        <f t="array" ref="AO59">_xlfn.LET(
  _xlpm.w, AO$11,
  _xlpm.r, MATCH(1,('3. Enter Indicator Scores'!$B$10:$B$161=$B59)*('3. Enter Indicator Scores'!$C$10:$C$161=$C59),0),
  _xlpm.c, MATCH(AO$8,'3. Enter Indicator Scores'!$D$8:$CZ$8,0),
  _xlpm.v, IFERROR(INDEX('3. Enter Indicator Scores'!$D$10:$CZ$161,_xlpm.r,_xlpm.c),""),
  IF(OR(_xlpm.w="",_xlpm.v=""),"",_xlpm.v*_xlpm.w)
)</f>
        <v/>
      </c>
      <c r="AP59" s="93" t="str" cm="1">
        <f t="array" ref="AP59">_xlfn.LET(
  _xlpm.w, AP$11,
  _xlpm.r, MATCH(1,('3. Enter Indicator Scores'!$B$10:$B$161=$B59)*('3. Enter Indicator Scores'!$C$10:$C$161=$C59),0),
  _xlpm.c, MATCH(AP$8,'3. Enter Indicator Scores'!$D$8:$CZ$8,0),
  _xlpm.v, IFERROR(INDEX('3. Enter Indicator Scores'!$D$10:$CZ$161,_xlpm.r,_xlpm.c),""),
  IF(OR(_xlpm.w="",_xlpm.v=""),"",_xlpm.v*_xlpm.w)
)</f>
        <v/>
      </c>
      <c r="AQ59" s="93" t="str" cm="1">
        <f t="array" ref="AQ59">_xlfn.LET(
  _xlpm.w, AQ$11,
  _xlpm.r, MATCH(1,('3. Enter Indicator Scores'!$B$10:$B$161=$B59)*('3. Enter Indicator Scores'!$C$10:$C$161=$C59),0),
  _xlpm.c, MATCH(AQ$8,'3. Enter Indicator Scores'!$D$8:$CZ$8,0),
  _xlpm.v, IFERROR(INDEX('3. Enter Indicator Scores'!$D$10:$CZ$161,_xlpm.r,_xlpm.c),""),
  IF(OR(_xlpm.w="",_xlpm.v=""),"",_xlpm.v*_xlpm.w)
)</f>
        <v/>
      </c>
      <c r="AR59" s="93" t="str" cm="1">
        <f t="array" ref="AR59">_xlfn.LET(
  _xlpm.w, AR$11,
  _xlpm.r, MATCH(1,('3. Enter Indicator Scores'!$B$10:$B$161=$B59)*('3. Enter Indicator Scores'!$C$10:$C$161=$C59),0),
  _xlpm.c, MATCH(AR$8,'3. Enter Indicator Scores'!$D$8:$CZ$8,0),
  _xlpm.v, IFERROR(INDEX('3. Enter Indicator Scores'!$D$10:$CZ$161,_xlpm.r,_xlpm.c),""),
  IF(OR(_xlpm.w="",_xlpm.v=""),"",_xlpm.v*_xlpm.w)
)</f>
        <v/>
      </c>
      <c r="AS59" s="93" t="str" cm="1">
        <f t="array" ref="AS59">_xlfn.LET(
  _xlpm.w, AS$11,
  _xlpm.r, MATCH(1,('3. Enter Indicator Scores'!$B$10:$B$161=$B59)*('3. Enter Indicator Scores'!$C$10:$C$161=$C59),0),
  _xlpm.c, MATCH(AS$8,'3. Enter Indicator Scores'!$D$8:$CZ$8,0),
  _xlpm.v, IFERROR(INDEX('3. Enter Indicator Scores'!$D$10:$CZ$161,_xlpm.r,_xlpm.c),""),
  IF(OR(_xlpm.w="",_xlpm.v=""),"",_xlpm.v*_xlpm.w)
)</f>
        <v/>
      </c>
      <c r="AT59" s="93" t="str" cm="1">
        <f t="array" ref="AT59">_xlfn.LET(
  _xlpm.w, AT$11,
  _xlpm.r, MATCH(1,('3. Enter Indicator Scores'!$B$10:$B$161=$B59)*('3. Enter Indicator Scores'!$C$10:$C$161=$C59),0),
  _xlpm.c, MATCH(AT$8,'3. Enter Indicator Scores'!$D$8:$CZ$8,0),
  _xlpm.v, IFERROR(INDEX('3. Enter Indicator Scores'!$D$10:$CZ$161,_xlpm.r,_xlpm.c),""),
  IF(OR(_xlpm.w="",_xlpm.v=""),"",_xlpm.v*_xlpm.w)
)</f>
        <v/>
      </c>
      <c r="AU59" s="93" t="str" cm="1">
        <f t="array" ref="AU59">_xlfn.LET(
  _xlpm.w, AU$11,
  _xlpm.r, MATCH(1,('3. Enter Indicator Scores'!$B$10:$B$161=$B59)*('3. Enter Indicator Scores'!$C$10:$C$161=$C59),0),
  _xlpm.c, MATCH(AU$8,'3. Enter Indicator Scores'!$D$8:$CZ$8,0),
  _xlpm.v, IFERROR(INDEX('3. Enter Indicator Scores'!$D$10:$CZ$161,_xlpm.r,_xlpm.c),""),
  IF(OR(_xlpm.w="",_xlpm.v=""),"",_xlpm.v*_xlpm.w)
)</f>
        <v/>
      </c>
      <c r="AV59" s="93" t="str" cm="1">
        <f t="array" ref="AV59">_xlfn.LET(
  _xlpm.w, AV$11,
  _xlpm.r, MATCH(1,('3. Enter Indicator Scores'!$B$10:$B$161=$B59)*('3. Enter Indicator Scores'!$C$10:$C$161=$C59),0),
  _xlpm.c, MATCH(AV$8,'3. Enter Indicator Scores'!$D$8:$CZ$8,0),
  _xlpm.v, IFERROR(INDEX('3. Enter Indicator Scores'!$D$10:$CZ$161,_xlpm.r,_xlpm.c),""),
  IF(OR(_xlpm.w="",_xlpm.v=""),"",_xlpm.v*_xlpm.w)
)</f>
        <v/>
      </c>
      <c r="AW59" s="93" t="str" cm="1">
        <f t="array" ref="AW59">_xlfn.LET(
  _xlpm.w, AW$11,
  _xlpm.r, MATCH(1,('3. Enter Indicator Scores'!$B$10:$B$161=$B59)*('3. Enter Indicator Scores'!$C$10:$C$161=$C59),0),
  _xlpm.c, MATCH(AW$8,'3. Enter Indicator Scores'!$D$8:$CZ$8,0),
  _xlpm.v, IFERROR(INDEX('3. Enter Indicator Scores'!$D$10:$CZ$161,_xlpm.r,_xlpm.c),""),
  IF(OR(_xlpm.w="",_xlpm.v=""),"",_xlpm.v*_xlpm.w)
)</f>
        <v/>
      </c>
      <c r="AX59" s="93" t="str" cm="1">
        <f t="array" ref="AX59">_xlfn.LET(
  _xlpm.w, AX$11,
  _xlpm.r, MATCH(1,('3. Enter Indicator Scores'!$B$10:$B$161=$B59)*('3. Enter Indicator Scores'!$C$10:$C$161=$C59),0),
  _xlpm.c, MATCH(AX$8,'3. Enter Indicator Scores'!$D$8:$CZ$8,0),
  _xlpm.v, IFERROR(INDEX('3. Enter Indicator Scores'!$D$10:$CZ$161,_xlpm.r,_xlpm.c),""),
  IF(OR(_xlpm.w="",_xlpm.v=""),"",_xlpm.v*_xlpm.w)
)</f>
        <v/>
      </c>
      <c r="AY59" s="93" t="str" cm="1">
        <f t="array" ref="AY59">_xlfn.LET(
  _xlpm.w, AY$11,
  _xlpm.r, MATCH(1,('3. Enter Indicator Scores'!$B$10:$B$161=$B59)*('3. Enter Indicator Scores'!$C$10:$C$161=$C59),0),
  _xlpm.c, MATCH(AY$8,'3. Enter Indicator Scores'!$D$8:$CZ$8,0),
  _xlpm.v, IFERROR(INDEX('3. Enter Indicator Scores'!$D$10:$CZ$161,_xlpm.r,_xlpm.c),""),
  IF(OR(_xlpm.w="",_xlpm.v=""),"",_xlpm.v*_xlpm.w)
)</f>
        <v/>
      </c>
      <c r="AZ59" s="93" t="str" cm="1">
        <f t="array" ref="AZ59">_xlfn.LET(
  _xlpm.w, AZ$11,
  _xlpm.r, MATCH(1,('3. Enter Indicator Scores'!$B$10:$B$161=$B59)*('3. Enter Indicator Scores'!$C$10:$C$161=$C59),0),
  _xlpm.c, MATCH(AZ$8,'3. Enter Indicator Scores'!$D$8:$CZ$8,0),
  _xlpm.v, IFERROR(INDEX('3. Enter Indicator Scores'!$D$10:$CZ$161,_xlpm.r,_xlpm.c),""),
  IF(OR(_xlpm.w="",_xlpm.v=""),"",_xlpm.v*_xlpm.w)
)</f>
        <v/>
      </c>
      <c r="BA59" s="93" t="str" cm="1">
        <f t="array" ref="BA59">_xlfn.LET(
  _xlpm.w, BA$11,
  _xlpm.r, MATCH(1,('3. Enter Indicator Scores'!$B$10:$B$161=$B59)*('3. Enter Indicator Scores'!$C$10:$C$161=$C59),0),
  _xlpm.c, MATCH(BA$8,'3. Enter Indicator Scores'!$D$8:$CZ$8,0),
  _xlpm.v, IFERROR(INDEX('3. Enter Indicator Scores'!$D$10:$CZ$161,_xlpm.r,_xlpm.c),""),
  IF(OR(_xlpm.w="",_xlpm.v=""),"",_xlpm.v*_xlpm.w)
)</f>
        <v/>
      </c>
      <c r="BB59" s="93" t="str" cm="1">
        <f t="array" ref="BB59">_xlfn.LET(
  _xlpm.w, BB$11,
  _xlpm.r, MATCH(1,('3. Enter Indicator Scores'!$B$10:$B$161=$B59)*('3. Enter Indicator Scores'!$C$10:$C$161=$C59),0),
  _xlpm.c, MATCH(BB$8,'3. Enter Indicator Scores'!$D$8:$CZ$8,0),
  _xlpm.v, IFERROR(INDEX('3. Enter Indicator Scores'!$D$10:$CZ$161,_xlpm.r,_xlpm.c),""),
  IF(OR(_xlpm.w="",_xlpm.v=""),"",_xlpm.v*_xlpm.w)
)</f>
        <v/>
      </c>
      <c r="BC59" s="93" t="str" cm="1">
        <f t="array" ref="BC59">_xlfn.LET(
  _xlpm.w, BC$11,
  _xlpm.r, MATCH(1,('3. Enter Indicator Scores'!$B$10:$B$161=$B59)*('3. Enter Indicator Scores'!$C$10:$C$161=$C59),0),
  _xlpm.c, MATCH(BC$8,'3. Enter Indicator Scores'!$D$8:$CZ$8,0),
  _xlpm.v, IFERROR(INDEX('3. Enter Indicator Scores'!$D$10:$CZ$161,_xlpm.r,_xlpm.c),""),
  IF(OR(_xlpm.w="",_xlpm.v=""),"",_xlpm.v*_xlpm.w)
)</f>
        <v/>
      </c>
      <c r="BD59" s="93" t="str" cm="1">
        <f t="array" ref="BD59">_xlfn.LET(
  _xlpm.w, BD$11,
  _xlpm.r, MATCH(1,('3. Enter Indicator Scores'!$B$10:$B$161=$B59)*('3. Enter Indicator Scores'!$C$10:$C$161=$C59),0),
  _xlpm.c, MATCH(BD$8,'3. Enter Indicator Scores'!$D$8:$CZ$8,0),
  _xlpm.v, IFERROR(INDEX('3. Enter Indicator Scores'!$D$10:$CZ$161,_xlpm.r,_xlpm.c),""),
  IF(OR(_xlpm.w="",_xlpm.v=""),"",_xlpm.v*_xlpm.w)
)</f>
        <v/>
      </c>
      <c r="BE59" s="93" t="str" cm="1">
        <f t="array" ref="BE59">_xlfn.LET(
  _xlpm.w, BE$11,
  _xlpm.r, MATCH(1,('3. Enter Indicator Scores'!$B$10:$B$161=$B59)*('3. Enter Indicator Scores'!$C$10:$C$161=$C59),0),
  _xlpm.c, MATCH(BE$8,'3. Enter Indicator Scores'!$D$8:$CZ$8,0),
  _xlpm.v, IFERROR(INDEX('3. Enter Indicator Scores'!$D$10:$CZ$161,_xlpm.r,_xlpm.c),""),
  IF(OR(_xlpm.w="",_xlpm.v=""),"",_xlpm.v*_xlpm.w)
)</f>
        <v/>
      </c>
      <c r="BF59" s="93" t="str" cm="1">
        <f t="array" ref="BF59">_xlfn.LET(
  _xlpm.w, BF$11,
  _xlpm.r, MATCH(1,('3. Enter Indicator Scores'!$B$10:$B$161=$B59)*('3. Enter Indicator Scores'!$C$10:$C$161=$C59),0),
  _xlpm.c, MATCH(BF$8,'3. Enter Indicator Scores'!$D$8:$CZ$8,0),
  _xlpm.v, IFERROR(INDEX('3. Enter Indicator Scores'!$D$10:$CZ$161,_xlpm.r,_xlpm.c),""),
  IF(OR(_xlpm.w="",_xlpm.v=""),"",_xlpm.v*_xlpm.w)
)</f>
        <v/>
      </c>
      <c r="BG59" s="93" t="str" cm="1">
        <f t="array" ref="BG59">_xlfn.LET(
  _xlpm.w, BG$11,
  _xlpm.r, MATCH(1,('3. Enter Indicator Scores'!$B$10:$B$161=$B59)*('3. Enter Indicator Scores'!$C$10:$C$161=$C59),0),
  _xlpm.c, MATCH(BG$8,'3. Enter Indicator Scores'!$D$8:$CZ$8,0),
  _xlpm.v, IFERROR(INDEX('3. Enter Indicator Scores'!$D$10:$CZ$161,_xlpm.r,_xlpm.c),""),
  IF(OR(_xlpm.w="",_xlpm.v=""),"",_xlpm.v*_xlpm.w)
)</f>
        <v/>
      </c>
      <c r="BH59" s="93" t="str" cm="1">
        <f t="array" ref="BH59">_xlfn.LET(
  _xlpm.w, BH$11,
  _xlpm.r, MATCH(1,('3. Enter Indicator Scores'!$B$10:$B$161=$B59)*('3. Enter Indicator Scores'!$C$10:$C$161=$C59),0),
  _xlpm.c, MATCH(BH$8,'3. Enter Indicator Scores'!$D$8:$CZ$8,0),
  _xlpm.v, IFERROR(INDEX('3. Enter Indicator Scores'!$D$10:$CZ$161,_xlpm.r,_xlpm.c),""),
  IF(OR(_xlpm.w="",_xlpm.v=""),"",_xlpm.v*_xlpm.w)
)</f>
        <v/>
      </c>
      <c r="BI59" s="93" t="str" cm="1">
        <f t="array" ref="BI59">_xlfn.LET(
  _xlpm.w, BI$11,
  _xlpm.r, MATCH(1,('3. Enter Indicator Scores'!$B$10:$B$161=$B59)*('3. Enter Indicator Scores'!$C$10:$C$161=$C59),0),
  _xlpm.c, MATCH(BI$8,'3. Enter Indicator Scores'!$D$8:$CZ$8,0),
  _xlpm.v, IFERROR(INDEX('3. Enter Indicator Scores'!$D$10:$CZ$161,_xlpm.r,_xlpm.c),""),
  IF(OR(_xlpm.w="",_xlpm.v=""),"",_xlpm.v*_xlpm.w)
)</f>
        <v/>
      </c>
      <c r="BJ59" s="93" t="str" cm="1">
        <f t="array" ref="BJ59">_xlfn.LET(
  _xlpm.w, BJ$11,
  _xlpm.r, MATCH(1,('3. Enter Indicator Scores'!$B$10:$B$161=$B59)*('3. Enter Indicator Scores'!$C$10:$C$161=$C59),0),
  _xlpm.c, MATCH(BJ$8,'3. Enter Indicator Scores'!$D$8:$CZ$8,0),
  _xlpm.v, IFERROR(INDEX('3. Enter Indicator Scores'!$D$10:$CZ$161,_xlpm.r,_xlpm.c),""),
  IF(OR(_xlpm.w="",_xlpm.v=""),"",_xlpm.v*_xlpm.w)
)</f>
        <v/>
      </c>
      <c r="BK59" s="93" t="str" cm="1">
        <f t="array" ref="BK59">_xlfn.LET(
  _xlpm.w, BK$11,
  _xlpm.r, MATCH(1,('3. Enter Indicator Scores'!$B$10:$B$161=$B59)*('3. Enter Indicator Scores'!$C$10:$C$161=$C59),0),
  _xlpm.c, MATCH(BK$8,'3. Enter Indicator Scores'!$D$8:$CZ$8,0),
  _xlpm.v, IFERROR(INDEX('3. Enter Indicator Scores'!$D$10:$CZ$161,_xlpm.r,_xlpm.c),""),
  IF(OR(_xlpm.w="",_xlpm.v=""),"",_xlpm.v*_xlpm.w)
)</f>
        <v/>
      </c>
      <c r="BL59" s="93" t="str" cm="1">
        <f t="array" ref="BL59">_xlfn.LET(
  _xlpm.w, BL$11,
  _xlpm.r, MATCH(1,('3. Enter Indicator Scores'!$B$10:$B$161=$B59)*('3. Enter Indicator Scores'!$C$10:$C$161=$C59),0),
  _xlpm.c, MATCH(BL$8,'3. Enter Indicator Scores'!$D$8:$CZ$8,0),
  _xlpm.v, IFERROR(INDEX('3. Enter Indicator Scores'!$D$10:$CZ$161,_xlpm.r,_xlpm.c),""),
  IF(OR(_xlpm.w="",_xlpm.v=""),"",_xlpm.v*_xlpm.w)
)</f>
        <v/>
      </c>
      <c r="BM59" s="93" t="str" cm="1">
        <f t="array" ref="BM59">_xlfn.LET(
  _xlpm.w, BM$11,
  _xlpm.r, MATCH(1,('3. Enter Indicator Scores'!$B$10:$B$161=$B59)*('3. Enter Indicator Scores'!$C$10:$C$161=$C59),0),
  _xlpm.c, MATCH(BM$8,'3. Enter Indicator Scores'!$D$8:$CZ$8,0),
  _xlpm.v, IFERROR(INDEX('3. Enter Indicator Scores'!$D$10:$CZ$161,_xlpm.r,_xlpm.c),""),
  IF(OR(_xlpm.w="",_xlpm.v=""),"",_xlpm.v*_xlpm.w)
)</f>
        <v/>
      </c>
      <c r="BN59" s="93" t="str" cm="1">
        <f t="array" ref="BN59">_xlfn.LET(
  _xlpm.w, BN$11,
  _xlpm.r, MATCH(1,('3. Enter Indicator Scores'!$B$10:$B$161=$B59)*('3. Enter Indicator Scores'!$C$10:$C$161=$C59),0),
  _xlpm.c, MATCH(BN$8,'3. Enter Indicator Scores'!$D$8:$CZ$8,0),
  _xlpm.v, IFERROR(INDEX('3. Enter Indicator Scores'!$D$10:$CZ$161,_xlpm.r,_xlpm.c),""),
  IF(OR(_xlpm.w="",_xlpm.v=""),"",_xlpm.v*_xlpm.w)
)</f>
        <v/>
      </c>
      <c r="BO59" s="93" t="str" cm="1">
        <f t="array" ref="BO59">_xlfn.LET(
  _xlpm.w, BO$11,
  _xlpm.r, MATCH(1,('3. Enter Indicator Scores'!$B$10:$B$161=$B59)*('3. Enter Indicator Scores'!$C$10:$C$161=$C59),0),
  _xlpm.c, MATCH(BO$8,'3. Enter Indicator Scores'!$D$8:$CZ$8,0),
  _xlpm.v, IFERROR(INDEX('3. Enter Indicator Scores'!$D$10:$CZ$161,_xlpm.r,_xlpm.c),""),
  IF(OR(_xlpm.w="",_xlpm.v=""),"",_xlpm.v*_xlpm.w)
)</f>
        <v/>
      </c>
      <c r="BP59" s="93" t="str" cm="1">
        <f t="array" ref="BP59">_xlfn.LET(
  _xlpm.w, BP$11,
  _xlpm.r, MATCH(1,('3. Enter Indicator Scores'!$B$10:$B$161=$B59)*('3. Enter Indicator Scores'!$C$10:$C$161=$C59),0),
  _xlpm.c, MATCH(BP$8,'3. Enter Indicator Scores'!$D$8:$CZ$8,0),
  _xlpm.v, IFERROR(INDEX('3. Enter Indicator Scores'!$D$10:$CZ$161,_xlpm.r,_xlpm.c),""),
  IF(OR(_xlpm.w="",_xlpm.v=""),"",_xlpm.v*_xlpm.w)
)</f>
        <v/>
      </c>
      <c r="BQ59" s="93" t="str" cm="1">
        <f t="array" ref="BQ59">_xlfn.LET(
  _xlpm.w, BQ$11,
  _xlpm.r, MATCH(1,('3. Enter Indicator Scores'!$B$10:$B$161=$B59)*('3. Enter Indicator Scores'!$C$10:$C$161=$C59),0),
  _xlpm.c, MATCH(BQ$8,'3. Enter Indicator Scores'!$D$8:$CZ$8,0),
  _xlpm.v, IFERROR(INDEX('3. Enter Indicator Scores'!$D$10:$CZ$161,_xlpm.r,_xlpm.c),""),
  IF(OR(_xlpm.w="",_xlpm.v=""),"",_xlpm.v*_xlpm.w)
)</f>
        <v/>
      </c>
      <c r="BR59" s="93" t="str" cm="1">
        <f t="array" ref="BR59">_xlfn.LET(
  _xlpm.w, BR$11,
  _xlpm.r, MATCH(1,('3. Enter Indicator Scores'!$B$10:$B$161=$B59)*('3. Enter Indicator Scores'!$C$10:$C$161=$C59),0),
  _xlpm.c, MATCH(BR$8,'3. Enter Indicator Scores'!$D$8:$CZ$8,0),
  _xlpm.v, IFERROR(INDEX('3. Enter Indicator Scores'!$D$10:$CZ$161,_xlpm.r,_xlpm.c),""),
  IF(OR(_xlpm.w="",_xlpm.v=""),"",_xlpm.v*_xlpm.w)
)</f>
        <v/>
      </c>
      <c r="BS59" s="93" t="str" cm="1">
        <f t="array" ref="BS59">_xlfn.LET(
  _xlpm.w, BS$11,
  _xlpm.r, MATCH(1,('3. Enter Indicator Scores'!$B$10:$B$161=$B59)*('3. Enter Indicator Scores'!$C$10:$C$161=$C59),0),
  _xlpm.c, MATCH(BS$8,'3. Enter Indicator Scores'!$D$8:$CZ$8,0),
  _xlpm.v, IFERROR(INDEX('3. Enter Indicator Scores'!$D$10:$CZ$161,_xlpm.r,_xlpm.c),""),
  IF(OR(_xlpm.w="",_xlpm.v=""),"",_xlpm.v*_xlpm.w)
)</f>
        <v/>
      </c>
      <c r="BT59" s="93" t="str" cm="1">
        <f t="array" ref="BT59">_xlfn.LET(
  _xlpm.w, BT$11,
  _xlpm.r, MATCH(1,('3. Enter Indicator Scores'!$B$10:$B$161=$B59)*('3. Enter Indicator Scores'!$C$10:$C$161=$C59),0),
  _xlpm.c, MATCH(BT$8,'3. Enter Indicator Scores'!$D$8:$CZ$8,0),
  _xlpm.v, IFERROR(INDEX('3. Enter Indicator Scores'!$D$10:$CZ$161,_xlpm.r,_xlpm.c),""),
  IF(OR(_xlpm.w="",_xlpm.v=""),"",_xlpm.v*_xlpm.w)
)</f>
        <v/>
      </c>
      <c r="BU59" s="93" t="str" cm="1">
        <f t="array" ref="BU59">_xlfn.LET(
  _xlpm.w, BU$11,
  _xlpm.r, MATCH(1,('3. Enter Indicator Scores'!$B$10:$B$161=$B59)*('3. Enter Indicator Scores'!$C$10:$C$161=$C59),0),
  _xlpm.c, MATCH(BU$8,'3. Enter Indicator Scores'!$D$8:$CZ$8,0),
  _xlpm.v, IFERROR(INDEX('3. Enter Indicator Scores'!$D$10:$CZ$161,_xlpm.r,_xlpm.c),""),
  IF(OR(_xlpm.w="",_xlpm.v=""),"",_xlpm.v*_xlpm.w)
)</f>
        <v/>
      </c>
      <c r="BV59" s="93" t="str" cm="1">
        <f t="array" ref="BV59">_xlfn.LET(
  _xlpm.w, BV$11,
  _xlpm.r, MATCH(1,('3. Enter Indicator Scores'!$B$10:$B$161=$B59)*('3. Enter Indicator Scores'!$C$10:$C$161=$C59),0),
  _xlpm.c, MATCH(BV$8,'3. Enter Indicator Scores'!$D$8:$CZ$8,0),
  _xlpm.v, IFERROR(INDEX('3. Enter Indicator Scores'!$D$10:$CZ$161,_xlpm.r,_xlpm.c),""),
  IF(OR(_xlpm.w="",_xlpm.v=""),"",_xlpm.v*_xlpm.w)
)</f>
        <v/>
      </c>
      <c r="BW59" s="93" t="str" cm="1">
        <f t="array" ref="BW59">_xlfn.LET(
  _xlpm.w, BW$11,
  _xlpm.r, MATCH(1,('3. Enter Indicator Scores'!$B$10:$B$161=$B59)*('3. Enter Indicator Scores'!$C$10:$C$161=$C59),0),
  _xlpm.c, MATCH(BW$8,'3. Enter Indicator Scores'!$D$8:$CZ$8,0),
  _xlpm.v, IFERROR(INDEX('3. Enter Indicator Scores'!$D$10:$CZ$161,_xlpm.r,_xlpm.c),""),
  IF(OR(_xlpm.w="",_xlpm.v=""),"",_xlpm.v*_xlpm.w)
)</f>
        <v/>
      </c>
      <c r="BX59" s="93" t="str" cm="1">
        <f t="array" ref="BX59">_xlfn.LET(
  _xlpm.w, BX$11,
  _xlpm.r, MATCH(1,('3. Enter Indicator Scores'!$B$10:$B$161=$B59)*('3. Enter Indicator Scores'!$C$10:$C$161=$C59),0),
  _xlpm.c, MATCH(BX$8,'3. Enter Indicator Scores'!$D$8:$CZ$8,0),
  _xlpm.v, IFERROR(INDEX('3. Enter Indicator Scores'!$D$10:$CZ$161,_xlpm.r,_xlpm.c),""),
  IF(OR(_xlpm.w="",_xlpm.v=""),"",_xlpm.v*_xlpm.w)
)</f>
        <v/>
      </c>
      <c r="BY59" s="93" t="str" cm="1">
        <f t="array" ref="BY59">_xlfn.LET(
  _xlpm.w, BY$11,
  _xlpm.r, MATCH(1,('3. Enter Indicator Scores'!$B$10:$B$161=$B59)*('3. Enter Indicator Scores'!$C$10:$C$161=$C59),0),
  _xlpm.c, MATCH(BY$8,'3. Enter Indicator Scores'!$D$8:$CZ$8,0),
  _xlpm.v, IFERROR(INDEX('3. Enter Indicator Scores'!$D$10:$CZ$161,_xlpm.r,_xlpm.c),""),
  IF(OR(_xlpm.w="",_xlpm.v=""),"",_xlpm.v*_xlpm.w)
)</f>
        <v/>
      </c>
      <c r="BZ59" s="93" t="str" cm="1">
        <f t="array" ref="BZ59">_xlfn.LET(
  _xlpm.w, BZ$11,
  _xlpm.r, MATCH(1,('3. Enter Indicator Scores'!$B$10:$B$161=$B59)*('3. Enter Indicator Scores'!$C$10:$C$161=$C59),0),
  _xlpm.c, MATCH(BZ$8,'3. Enter Indicator Scores'!$D$8:$CZ$8,0),
  _xlpm.v, IFERROR(INDEX('3. Enter Indicator Scores'!$D$10:$CZ$161,_xlpm.r,_xlpm.c),""),
  IF(OR(_xlpm.w="",_xlpm.v=""),"",_xlpm.v*_xlpm.w)
)</f>
        <v/>
      </c>
      <c r="CA59" s="93" t="str" cm="1">
        <f t="array" ref="CA59">_xlfn.LET(
  _xlpm.w, CA$11,
  _xlpm.r, MATCH(1,('3. Enter Indicator Scores'!$B$10:$B$161=$B59)*('3. Enter Indicator Scores'!$C$10:$C$161=$C59),0),
  _xlpm.c, MATCH(CA$8,'3. Enter Indicator Scores'!$D$8:$CZ$8,0),
  _xlpm.v, IFERROR(INDEX('3. Enter Indicator Scores'!$D$10:$CZ$161,_xlpm.r,_xlpm.c),""),
  IF(OR(_xlpm.w="",_xlpm.v=""),"",_xlpm.v*_xlpm.w)
)</f>
        <v/>
      </c>
      <c r="CB59" s="93" t="str" cm="1">
        <f t="array" ref="CB59">_xlfn.LET(
  _xlpm.w, CB$11,
  _xlpm.r, MATCH(1,('3. Enter Indicator Scores'!$B$10:$B$161=$B59)*('3. Enter Indicator Scores'!$C$10:$C$161=$C59),0),
  _xlpm.c, MATCH(CB$8,'3. Enter Indicator Scores'!$D$8:$CZ$8,0),
  _xlpm.v, IFERROR(INDEX('3. Enter Indicator Scores'!$D$10:$CZ$161,_xlpm.r,_xlpm.c),""),
  IF(OR(_xlpm.w="",_xlpm.v=""),"",_xlpm.v*_xlpm.w)
)</f>
        <v/>
      </c>
      <c r="CC59" s="93" t="str" cm="1">
        <f t="array" ref="CC59">_xlfn.LET(
  _xlpm.w, CC$11,
  _xlpm.r, MATCH(1,('3. Enter Indicator Scores'!$B$10:$B$161=$B59)*('3. Enter Indicator Scores'!$C$10:$C$161=$C59),0),
  _xlpm.c, MATCH(CC$8,'3. Enter Indicator Scores'!$D$8:$CZ$8,0),
  _xlpm.v, IFERROR(INDEX('3. Enter Indicator Scores'!$D$10:$CZ$161,_xlpm.r,_xlpm.c),""),
  IF(OR(_xlpm.w="",_xlpm.v=""),"",_xlpm.v*_xlpm.w)
)</f>
        <v/>
      </c>
      <c r="CD59" s="93" t="str" cm="1">
        <f t="array" ref="CD59">_xlfn.LET(
  _xlpm.w, CD$11,
  _xlpm.r, MATCH(1,('3. Enter Indicator Scores'!$B$10:$B$161=$B59)*('3. Enter Indicator Scores'!$C$10:$C$161=$C59),0),
  _xlpm.c, MATCH(CD$8,'3. Enter Indicator Scores'!$D$8:$CZ$8,0),
  _xlpm.v, IFERROR(INDEX('3. Enter Indicator Scores'!$D$10:$CZ$161,_xlpm.r,_xlpm.c),""),
  IF(OR(_xlpm.w="",_xlpm.v=""),"",_xlpm.v*_xlpm.w)
)</f>
        <v/>
      </c>
      <c r="CE59" s="93" t="str" cm="1">
        <f t="array" ref="CE59">_xlfn.LET(
  _xlpm.w, CE$11,
  _xlpm.r, MATCH(1,('3. Enter Indicator Scores'!$B$10:$B$161=$B59)*('3. Enter Indicator Scores'!$C$10:$C$161=$C59),0),
  _xlpm.c, MATCH(CE$8,'3. Enter Indicator Scores'!$D$8:$CZ$8,0),
  _xlpm.v, IFERROR(INDEX('3. Enter Indicator Scores'!$D$10:$CZ$161,_xlpm.r,_xlpm.c),""),
  IF(OR(_xlpm.w="",_xlpm.v=""),"",_xlpm.v*_xlpm.w)
)</f>
        <v/>
      </c>
      <c r="CF59" s="93" t="str" cm="1">
        <f t="array" ref="CF59">_xlfn.LET(
  _xlpm.w, CF$11,
  _xlpm.r, MATCH(1,('3. Enter Indicator Scores'!$B$10:$B$161=$B59)*('3. Enter Indicator Scores'!$C$10:$C$161=$C59),0),
  _xlpm.c, MATCH(CF$8,'3. Enter Indicator Scores'!$D$8:$CZ$8,0),
  _xlpm.v, IFERROR(INDEX('3. Enter Indicator Scores'!$D$10:$CZ$161,_xlpm.r,_xlpm.c),""),
  IF(OR(_xlpm.w="",_xlpm.v=""),"",_xlpm.v*_xlpm.w)
)</f>
        <v/>
      </c>
      <c r="CG59" s="93" t="str" cm="1">
        <f t="array" ref="CG59">_xlfn.LET(
  _xlpm.w, CG$11,
  _xlpm.r, MATCH(1,('3. Enter Indicator Scores'!$B$10:$B$161=$B59)*('3. Enter Indicator Scores'!$C$10:$C$161=$C59),0),
  _xlpm.c, MATCH(CG$8,'3. Enter Indicator Scores'!$D$8:$CZ$8,0),
  _xlpm.v, IFERROR(INDEX('3. Enter Indicator Scores'!$D$10:$CZ$161,_xlpm.r,_xlpm.c),""),
  IF(OR(_xlpm.w="",_xlpm.v=""),"",_xlpm.v*_xlpm.w)
)</f>
        <v/>
      </c>
      <c r="CH59" s="93" t="str" cm="1">
        <f t="array" ref="CH59">_xlfn.LET(
  _xlpm.w, CH$11,
  _xlpm.r, MATCH(1,('3. Enter Indicator Scores'!$B$10:$B$161=$B59)*('3. Enter Indicator Scores'!$C$10:$C$161=$C59),0),
  _xlpm.c, MATCH(CH$8,'3. Enter Indicator Scores'!$D$8:$CZ$8,0),
  _xlpm.v, IFERROR(INDEX('3. Enter Indicator Scores'!$D$10:$CZ$161,_xlpm.r,_xlpm.c),""),
  IF(OR(_xlpm.w="",_xlpm.v=""),"",_xlpm.v*_xlpm.w)
)</f>
        <v/>
      </c>
      <c r="CI59" s="93" t="str" cm="1">
        <f t="array" ref="CI59">_xlfn.LET(
  _xlpm.w, CI$11,
  _xlpm.r, MATCH(1,('3. Enter Indicator Scores'!$B$10:$B$161=$B59)*('3. Enter Indicator Scores'!$C$10:$C$161=$C59),0),
  _xlpm.c, MATCH(CI$8,'3. Enter Indicator Scores'!$D$8:$CZ$8,0),
  _xlpm.v, IFERROR(INDEX('3. Enter Indicator Scores'!$D$10:$CZ$161,_xlpm.r,_xlpm.c),""),
  IF(OR(_xlpm.w="",_xlpm.v=""),"",_xlpm.v*_xlpm.w)
)</f>
        <v/>
      </c>
      <c r="CJ59" s="93" t="str" cm="1">
        <f t="array" ref="CJ59">_xlfn.LET(
  _xlpm.w, CJ$11,
  _xlpm.r, MATCH(1,('3. Enter Indicator Scores'!$B$10:$B$161=$B59)*('3. Enter Indicator Scores'!$C$10:$C$161=$C59),0),
  _xlpm.c, MATCH(CJ$8,'3. Enter Indicator Scores'!$D$8:$CZ$8,0),
  _xlpm.v, IFERROR(INDEX('3. Enter Indicator Scores'!$D$10:$CZ$161,_xlpm.r,_xlpm.c),""),
  IF(OR(_xlpm.w="",_xlpm.v=""),"",_xlpm.v*_xlpm.w)
)</f>
        <v/>
      </c>
      <c r="CK59" s="93" t="str" cm="1">
        <f t="array" ref="CK59">_xlfn.LET(
  _xlpm.w, CK$11,
  _xlpm.r, MATCH(1,('3. Enter Indicator Scores'!$B$10:$B$161=$B59)*('3. Enter Indicator Scores'!$C$10:$C$161=$C59),0),
  _xlpm.c, MATCH(CK$8,'3. Enter Indicator Scores'!$D$8:$CZ$8,0),
  _xlpm.v, IFERROR(INDEX('3. Enter Indicator Scores'!$D$10:$CZ$161,_xlpm.r,_xlpm.c),""),
  IF(OR(_xlpm.w="",_xlpm.v=""),"",_xlpm.v*_xlpm.w)
)</f>
        <v/>
      </c>
      <c r="CL59" s="93" t="str" cm="1">
        <f t="array" ref="CL59">_xlfn.LET(
  _xlpm.w, CL$11,
  _xlpm.r, MATCH(1,('3. Enter Indicator Scores'!$B$10:$B$161=$B59)*('3. Enter Indicator Scores'!$C$10:$C$161=$C59),0),
  _xlpm.c, MATCH(CL$8,'3. Enter Indicator Scores'!$D$8:$CZ$8,0),
  _xlpm.v, IFERROR(INDEX('3. Enter Indicator Scores'!$D$10:$CZ$161,_xlpm.r,_xlpm.c),""),
  IF(OR(_xlpm.w="",_xlpm.v=""),"",_xlpm.v*_xlpm.w)
)</f>
        <v/>
      </c>
      <c r="CM59" s="93" t="str" cm="1">
        <f t="array" ref="CM59">_xlfn.LET(
  _xlpm.w, CM$11,
  _xlpm.r, MATCH(1,('3. Enter Indicator Scores'!$B$10:$B$161=$B59)*('3. Enter Indicator Scores'!$C$10:$C$161=$C59),0),
  _xlpm.c, MATCH(CM$8,'3. Enter Indicator Scores'!$D$8:$CZ$8,0),
  _xlpm.v, IFERROR(INDEX('3. Enter Indicator Scores'!$D$10:$CZ$161,_xlpm.r,_xlpm.c),""),
  IF(OR(_xlpm.w="",_xlpm.v=""),"",_xlpm.v*_xlpm.w)
)</f>
        <v/>
      </c>
      <c r="CN59" s="93" t="str" cm="1">
        <f t="array" ref="CN59">_xlfn.LET(
  _xlpm.w, CN$11,
  _xlpm.r, MATCH(1,('3. Enter Indicator Scores'!$B$10:$B$161=$B59)*('3. Enter Indicator Scores'!$C$10:$C$161=$C59),0),
  _xlpm.c, MATCH(CN$8,'3. Enter Indicator Scores'!$D$8:$CZ$8,0),
  _xlpm.v, IFERROR(INDEX('3. Enter Indicator Scores'!$D$10:$CZ$161,_xlpm.r,_xlpm.c),""),
  IF(OR(_xlpm.w="",_xlpm.v=""),"",_xlpm.v*_xlpm.w)
)</f>
        <v/>
      </c>
      <c r="CO59" s="93" t="str" cm="1">
        <f t="array" ref="CO59">_xlfn.LET(
  _xlpm.w, CO$11,
  _xlpm.r, MATCH(1,('3. Enter Indicator Scores'!$B$10:$B$161=$B59)*('3. Enter Indicator Scores'!$C$10:$C$161=$C59),0),
  _xlpm.c, MATCH(CO$8,'3. Enter Indicator Scores'!$D$8:$CZ$8,0),
  _xlpm.v, IFERROR(INDEX('3. Enter Indicator Scores'!$D$10:$CZ$161,_xlpm.r,_xlpm.c),""),
  IF(OR(_xlpm.w="",_xlpm.v=""),"",_xlpm.v*_xlpm.w)
)</f>
        <v/>
      </c>
      <c r="CP59" s="93" t="str" cm="1">
        <f t="array" ref="CP59">_xlfn.LET(
  _xlpm.w, CP$11,
  _xlpm.r, MATCH(1,('3. Enter Indicator Scores'!$B$10:$B$161=$B59)*('3. Enter Indicator Scores'!$C$10:$C$161=$C59),0),
  _xlpm.c, MATCH(CP$8,'3. Enter Indicator Scores'!$D$8:$CZ$8,0),
  _xlpm.v, IFERROR(INDEX('3. Enter Indicator Scores'!$D$10:$CZ$161,_xlpm.r,_xlpm.c),""),
  IF(OR(_xlpm.w="",_xlpm.v=""),"",_xlpm.v*_xlpm.w)
)</f>
        <v/>
      </c>
      <c r="CQ59" s="93" t="str" cm="1">
        <f t="array" ref="CQ59">_xlfn.LET(
  _xlpm.w, CQ$11,
  _xlpm.r, MATCH(1,('3. Enter Indicator Scores'!$B$10:$B$161=$B59)*('3. Enter Indicator Scores'!$C$10:$C$161=$C59),0),
  _xlpm.c, MATCH(CQ$8,'3. Enter Indicator Scores'!$D$8:$CZ$8,0),
  _xlpm.v, IFERROR(INDEX('3. Enter Indicator Scores'!$D$10:$CZ$161,_xlpm.r,_xlpm.c),""),
  IF(OR(_xlpm.w="",_xlpm.v=""),"",_xlpm.v*_xlpm.w)
)</f>
        <v/>
      </c>
      <c r="CR59" s="93" t="str" cm="1">
        <f t="array" ref="CR59">_xlfn.LET(
  _xlpm.w, CR$11,
  _xlpm.r, MATCH(1,('3. Enter Indicator Scores'!$B$10:$B$161=$B59)*('3. Enter Indicator Scores'!$C$10:$C$161=$C59),0),
  _xlpm.c, MATCH(CR$8,'3. Enter Indicator Scores'!$D$8:$CZ$8,0),
  _xlpm.v, IFERROR(INDEX('3. Enter Indicator Scores'!$D$10:$CZ$161,_xlpm.r,_xlpm.c),""),
  IF(OR(_xlpm.w="",_xlpm.v=""),"",_xlpm.v*_xlpm.w)
)</f>
        <v/>
      </c>
      <c r="CS59" s="93" t="str" cm="1">
        <f t="array" ref="CS59">_xlfn.LET(
  _xlpm.w, CS$11,
  _xlpm.r, MATCH(1,('3. Enter Indicator Scores'!$B$10:$B$161=$B59)*('3. Enter Indicator Scores'!$C$10:$C$161=$C59),0),
  _xlpm.c, MATCH(CS$8,'3. Enter Indicator Scores'!$D$8:$CZ$8,0),
  _xlpm.v, IFERROR(INDEX('3. Enter Indicator Scores'!$D$10:$CZ$161,_xlpm.r,_xlpm.c),""),
  IF(OR(_xlpm.w="",_xlpm.v=""),"",_xlpm.v*_xlpm.w)
)</f>
        <v/>
      </c>
      <c r="CT59" s="93" t="str" cm="1">
        <f t="array" ref="CT59">_xlfn.LET(
  _xlpm.w, CT$11,
  _xlpm.r, MATCH(1,('3. Enter Indicator Scores'!$B$10:$B$161=$B59)*('3. Enter Indicator Scores'!$C$10:$C$161=$C59),0),
  _xlpm.c, MATCH(CT$8,'3. Enter Indicator Scores'!$D$8:$CZ$8,0),
  _xlpm.v, IFERROR(INDEX('3. Enter Indicator Scores'!$D$10:$CZ$161,_xlpm.r,_xlpm.c),""),
  IF(OR(_xlpm.w="",_xlpm.v=""),"",_xlpm.v*_xlpm.w)
)</f>
        <v/>
      </c>
      <c r="CU59" s="93" t="str" cm="1">
        <f t="array" ref="CU59">_xlfn.LET(
  _xlpm.w, CU$11,
  _xlpm.r, MATCH(1,('3. Enter Indicator Scores'!$B$10:$B$161=$B59)*('3. Enter Indicator Scores'!$C$10:$C$161=$C59),0),
  _xlpm.c, MATCH(CU$8,'3. Enter Indicator Scores'!$D$8:$CZ$8,0),
  _xlpm.v, IFERROR(INDEX('3. Enter Indicator Scores'!$D$10:$CZ$161,_xlpm.r,_xlpm.c),""),
  IF(OR(_xlpm.w="",_xlpm.v=""),"",_xlpm.v*_xlpm.w)
)</f>
        <v/>
      </c>
      <c r="CV59" s="93" t="str" cm="1">
        <f t="array" ref="CV59">_xlfn.LET(
  _xlpm.w, CV$11,
  _xlpm.r, MATCH(1,('3. Enter Indicator Scores'!$B$10:$B$161=$B59)*('3. Enter Indicator Scores'!$C$10:$C$161=$C59),0),
  _xlpm.c, MATCH(CV$8,'3. Enter Indicator Scores'!$D$8:$CZ$8,0),
  _xlpm.v, IFERROR(INDEX('3. Enter Indicator Scores'!$D$10:$CZ$161,_xlpm.r,_xlpm.c),""),
  IF(OR(_xlpm.w="",_xlpm.v=""),"",_xlpm.v*_xlpm.w)
)</f>
        <v/>
      </c>
      <c r="CW59" s="93" t="str" cm="1">
        <f t="array" ref="CW59">_xlfn.LET(
  _xlpm.w, CW$11,
  _xlpm.r, MATCH(1,('3. Enter Indicator Scores'!$B$10:$B$161=$B59)*('3. Enter Indicator Scores'!$C$10:$C$161=$C59),0),
  _xlpm.c, MATCH(CW$8,'3. Enter Indicator Scores'!$D$8:$CZ$8,0),
  _xlpm.v, IFERROR(INDEX('3. Enter Indicator Scores'!$D$10:$CZ$161,_xlpm.r,_xlpm.c),""),
  IF(OR(_xlpm.w="",_xlpm.v=""),"",_xlpm.v*_xlpm.w)
)</f>
        <v/>
      </c>
      <c r="CX59" s="93" t="str" cm="1">
        <f t="array" ref="CX59">_xlfn.LET(
  _xlpm.w, CX$11,
  _xlpm.r, MATCH(1,('3. Enter Indicator Scores'!$B$10:$B$161=$B59)*('3. Enter Indicator Scores'!$C$10:$C$161=$C59),0),
  _xlpm.c, MATCH(CX$8,'3. Enter Indicator Scores'!$D$8:$CZ$8,0),
  _xlpm.v, IFERROR(INDEX('3. Enter Indicator Scores'!$D$10:$CZ$161,_xlpm.r,_xlpm.c),""),
  IF(OR(_xlpm.w="",_xlpm.v=""),"",_xlpm.v*_xlpm.w)
)</f>
        <v/>
      </c>
      <c r="CY59" s="93" t="str" cm="1">
        <f t="array" ref="CY59">_xlfn.LET(
  _xlpm.w, CY$11,
  _xlpm.r, MATCH(1,('3. Enter Indicator Scores'!$B$10:$B$161=$B59)*('3. Enter Indicator Scores'!$C$10:$C$161=$C59),0),
  _xlpm.c, MATCH(CY$8,'3. Enter Indicator Scores'!$D$8:$CZ$8,0),
  _xlpm.v, IFERROR(INDEX('3. Enter Indicator Scores'!$D$10:$CZ$161,_xlpm.r,_xlpm.c),""),
  IF(OR(_xlpm.w="",_xlpm.v=""),"",_xlpm.v*_xlpm.w)
)</f>
        <v/>
      </c>
      <c r="CZ59" s="93" t="str" cm="1">
        <f t="array" ref="CZ59">_xlfn.LET(
  _xlpm.w, CZ$11,
  _xlpm.r, MATCH(1,('3. Enter Indicator Scores'!$B$10:$B$161=$B59)*('3. Enter Indicator Scores'!$C$10:$C$161=$C59),0),
  _xlpm.c, MATCH(CZ$8,'3. Enter Indicator Scores'!$D$8:$CZ$8,0),
  _xlpm.v, IFERROR(INDEX('3. Enter Indicator Scores'!$D$10:$CZ$161,_xlpm.r,_xlpm.c),""),
  IF(OR(_xlpm.w="",_xlpm.v=""),"",_xlpm.v*_xlpm.w)
)</f>
        <v/>
      </c>
    </row>
    <row r="60" spans="4:104" x14ac:dyDescent="0.2">
      <c r="D60" s="93" t="str" cm="1">
        <f t="array" ref="D60">_xlfn.LET(
  _xlpm.w, D$11,
  _xlpm.r, MATCH(1,('3. Enter Indicator Scores'!$B$10:$B$161=$B60)*('3. Enter Indicator Scores'!$C$10:$C$161=$C60),0),
  _xlpm.c, MATCH(D$8,'3. Enter Indicator Scores'!$D$8:$CZ$8,0),
  _xlpm.v, IFERROR(INDEX('3. Enter Indicator Scores'!$D$10:$CZ$161,_xlpm.r,_xlpm.c),""),
  IF(OR(_xlpm.w="",_xlpm.v=""),"",_xlpm.v*_xlpm.w)
)</f>
        <v/>
      </c>
      <c r="E60" s="93" t="str" cm="1">
        <f t="array" ref="E60">_xlfn.LET(
  _xlpm.w, E$11,
  _xlpm.r, MATCH(1,('3. Enter Indicator Scores'!$B$10:$B$161=$B60)*('3. Enter Indicator Scores'!$C$10:$C$161=$C60),0),
  _xlpm.c, MATCH(E$8,'3. Enter Indicator Scores'!$D$8:$CZ$8,0),
  _xlpm.v, IFERROR(INDEX('3. Enter Indicator Scores'!$D$10:$CZ$161,_xlpm.r,_xlpm.c),""),
  IF(OR(_xlpm.w="",_xlpm.v=""),"",_xlpm.v*_xlpm.w)
)</f>
        <v/>
      </c>
      <c r="F60" s="93" t="str" cm="1">
        <f t="array" ref="F60">_xlfn.LET(
  _xlpm.w, F$11,
  _xlpm.r, MATCH(1,('3. Enter Indicator Scores'!$B$10:$B$161=$B60)*('3. Enter Indicator Scores'!$C$10:$C$161=$C60),0),
  _xlpm.c, MATCH(F$8,'3. Enter Indicator Scores'!$D$8:$CZ$8,0),
  _xlpm.v, IFERROR(INDEX('3. Enter Indicator Scores'!$D$10:$CZ$161,_xlpm.r,_xlpm.c),""),
  IF(OR(_xlpm.w="",_xlpm.v=""),"",_xlpm.v*_xlpm.w)
)</f>
        <v/>
      </c>
      <c r="G60" s="93" t="str" cm="1">
        <f t="array" ref="G60">_xlfn.LET(
  _xlpm.w, G$11,
  _xlpm.r, MATCH(1,('3. Enter Indicator Scores'!$B$10:$B$161=$B60)*('3. Enter Indicator Scores'!$C$10:$C$161=$C60),0),
  _xlpm.c, MATCH(G$8,'3. Enter Indicator Scores'!$D$8:$CZ$8,0),
  _xlpm.v, IFERROR(INDEX('3. Enter Indicator Scores'!$D$10:$CZ$161,_xlpm.r,_xlpm.c),""),
  IF(OR(_xlpm.w="",_xlpm.v=""),"",_xlpm.v*_xlpm.w)
)</f>
        <v/>
      </c>
      <c r="H60" s="93" t="str" cm="1">
        <f t="array" ref="H60">_xlfn.LET(
  _xlpm.w, H$11,
  _xlpm.r, MATCH(1,('3. Enter Indicator Scores'!$B$10:$B$161=$B60)*('3. Enter Indicator Scores'!$C$10:$C$161=$C60),0),
  _xlpm.c, MATCH(H$8,'3. Enter Indicator Scores'!$D$8:$CZ$8,0),
  _xlpm.v, IFERROR(INDEX('3. Enter Indicator Scores'!$D$10:$CZ$161,_xlpm.r,_xlpm.c),""),
  IF(OR(_xlpm.w="",_xlpm.v=""),"",_xlpm.v*_xlpm.w)
)</f>
        <v/>
      </c>
      <c r="I60" s="93" t="str" cm="1">
        <f t="array" ref="I60">_xlfn.LET(
  _xlpm.w, I$11,
  _xlpm.r, MATCH(1,('3. Enter Indicator Scores'!$B$10:$B$161=$B60)*('3. Enter Indicator Scores'!$C$10:$C$161=$C60),0),
  _xlpm.c, MATCH(I$8,'3. Enter Indicator Scores'!$D$8:$CZ$8,0),
  _xlpm.v, IFERROR(INDEX('3. Enter Indicator Scores'!$D$10:$CZ$161,_xlpm.r,_xlpm.c),""),
  IF(OR(_xlpm.w="",_xlpm.v=""),"",_xlpm.v*_xlpm.w)
)</f>
        <v/>
      </c>
      <c r="J60" s="93" t="str" cm="1">
        <f t="array" ref="J60">_xlfn.LET(
  _xlpm.w, J$11,
  _xlpm.r, MATCH(1,('3. Enter Indicator Scores'!$B$10:$B$161=$B60)*('3. Enter Indicator Scores'!$C$10:$C$161=$C60),0),
  _xlpm.c, MATCH(J$8,'3. Enter Indicator Scores'!$D$8:$CZ$8,0),
  _xlpm.v, IFERROR(INDEX('3. Enter Indicator Scores'!$D$10:$CZ$161,_xlpm.r,_xlpm.c),""),
  IF(OR(_xlpm.w="",_xlpm.v=""),"",_xlpm.v*_xlpm.w)
)</f>
        <v/>
      </c>
      <c r="K60" s="93" t="str" cm="1">
        <f t="array" ref="K60">_xlfn.LET(
  _xlpm.w, K$11,
  _xlpm.r, MATCH(1,('3. Enter Indicator Scores'!$B$10:$B$161=$B60)*('3. Enter Indicator Scores'!$C$10:$C$161=$C60),0),
  _xlpm.c, MATCH(K$8,'3. Enter Indicator Scores'!$D$8:$CZ$8,0),
  _xlpm.v, IFERROR(INDEX('3. Enter Indicator Scores'!$D$10:$CZ$161,_xlpm.r,_xlpm.c),""),
  IF(OR(_xlpm.w="",_xlpm.v=""),"",_xlpm.v*_xlpm.w)
)</f>
        <v/>
      </c>
      <c r="L60" s="93" t="str" cm="1">
        <f t="array" ref="L60">_xlfn.LET(
  _xlpm.w, L$11,
  _xlpm.r, MATCH(1,('3. Enter Indicator Scores'!$B$10:$B$161=$B60)*('3. Enter Indicator Scores'!$C$10:$C$161=$C60),0),
  _xlpm.c, MATCH(L$8,'3. Enter Indicator Scores'!$D$8:$CZ$8,0),
  _xlpm.v, IFERROR(INDEX('3. Enter Indicator Scores'!$D$10:$CZ$161,_xlpm.r,_xlpm.c),""),
  IF(OR(_xlpm.w="",_xlpm.v=""),"",_xlpm.v*_xlpm.w)
)</f>
        <v/>
      </c>
      <c r="M60" s="93" t="str" cm="1">
        <f t="array" ref="M60">_xlfn.LET(
  _xlpm.w, M$11,
  _xlpm.r, MATCH(1,('3. Enter Indicator Scores'!$B$10:$B$161=$B60)*('3. Enter Indicator Scores'!$C$10:$C$161=$C60),0),
  _xlpm.c, MATCH(M$8,'3. Enter Indicator Scores'!$D$8:$CZ$8,0),
  _xlpm.v, IFERROR(INDEX('3. Enter Indicator Scores'!$D$10:$CZ$161,_xlpm.r,_xlpm.c),""),
  IF(OR(_xlpm.w="",_xlpm.v=""),"",_xlpm.v*_xlpm.w)
)</f>
        <v/>
      </c>
      <c r="N60" s="93" t="str" cm="1">
        <f t="array" ref="N60">_xlfn.LET(
  _xlpm.w, N$11,
  _xlpm.r, MATCH(1,('3. Enter Indicator Scores'!$B$10:$B$161=$B60)*('3. Enter Indicator Scores'!$C$10:$C$161=$C60),0),
  _xlpm.c, MATCH(N$8,'3. Enter Indicator Scores'!$D$8:$CZ$8,0),
  _xlpm.v, IFERROR(INDEX('3. Enter Indicator Scores'!$D$10:$CZ$161,_xlpm.r,_xlpm.c),""),
  IF(OR(_xlpm.w="",_xlpm.v=""),"",_xlpm.v*_xlpm.w)
)</f>
        <v/>
      </c>
      <c r="O60" s="93" t="str" cm="1">
        <f t="array" ref="O60">_xlfn.LET(
  _xlpm.w, O$11,
  _xlpm.r, MATCH(1,('3. Enter Indicator Scores'!$B$10:$B$161=$B60)*('3. Enter Indicator Scores'!$C$10:$C$161=$C60),0),
  _xlpm.c, MATCH(O$8,'3. Enter Indicator Scores'!$D$8:$CZ$8,0),
  _xlpm.v, IFERROR(INDEX('3. Enter Indicator Scores'!$D$10:$CZ$161,_xlpm.r,_xlpm.c),""),
  IF(OR(_xlpm.w="",_xlpm.v=""),"",_xlpm.v*_xlpm.w)
)</f>
        <v/>
      </c>
      <c r="P60" s="93" t="str" cm="1">
        <f t="array" ref="P60">_xlfn.LET(
  _xlpm.w, P$11,
  _xlpm.r, MATCH(1,('3. Enter Indicator Scores'!$B$10:$B$161=$B60)*('3. Enter Indicator Scores'!$C$10:$C$161=$C60),0),
  _xlpm.c, MATCH(P$8,'3. Enter Indicator Scores'!$D$8:$CZ$8,0),
  _xlpm.v, IFERROR(INDEX('3. Enter Indicator Scores'!$D$10:$CZ$161,_xlpm.r,_xlpm.c),""),
  IF(OR(_xlpm.w="",_xlpm.v=""),"",_xlpm.v*_xlpm.w)
)</f>
        <v/>
      </c>
      <c r="Q60" s="93" t="str" cm="1">
        <f t="array" ref="Q60">_xlfn.LET(
  _xlpm.w, Q$11,
  _xlpm.r, MATCH(1,('3. Enter Indicator Scores'!$B$10:$B$161=$B60)*('3. Enter Indicator Scores'!$C$10:$C$161=$C60),0),
  _xlpm.c, MATCH(Q$8,'3. Enter Indicator Scores'!$D$8:$CZ$8,0),
  _xlpm.v, IFERROR(INDEX('3. Enter Indicator Scores'!$D$10:$CZ$161,_xlpm.r,_xlpm.c),""),
  IF(OR(_xlpm.w="",_xlpm.v=""),"",_xlpm.v*_xlpm.w)
)</f>
        <v/>
      </c>
      <c r="R60" s="93" t="str" cm="1">
        <f t="array" ref="R60">_xlfn.LET(
  _xlpm.w, R$11,
  _xlpm.r, MATCH(1,('3. Enter Indicator Scores'!$B$10:$B$161=$B60)*('3. Enter Indicator Scores'!$C$10:$C$161=$C60),0),
  _xlpm.c, MATCH(R$8,'3. Enter Indicator Scores'!$D$8:$CZ$8,0),
  _xlpm.v, IFERROR(INDEX('3. Enter Indicator Scores'!$D$10:$CZ$161,_xlpm.r,_xlpm.c),""),
  IF(OR(_xlpm.w="",_xlpm.v=""),"",_xlpm.v*_xlpm.w)
)</f>
        <v/>
      </c>
      <c r="S60" s="93" t="str" cm="1">
        <f t="array" ref="S60">_xlfn.LET(
  _xlpm.w, S$11,
  _xlpm.r, MATCH(1,('3. Enter Indicator Scores'!$B$10:$B$161=$B60)*('3. Enter Indicator Scores'!$C$10:$C$161=$C60),0),
  _xlpm.c, MATCH(S$8,'3. Enter Indicator Scores'!$D$8:$CZ$8,0),
  _xlpm.v, IFERROR(INDEX('3. Enter Indicator Scores'!$D$10:$CZ$161,_xlpm.r,_xlpm.c),""),
  IF(OR(_xlpm.w="",_xlpm.v=""),"",_xlpm.v*_xlpm.w)
)</f>
        <v/>
      </c>
      <c r="T60" s="93" t="str" cm="1">
        <f t="array" ref="T60">_xlfn.LET(
  _xlpm.w, T$11,
  _xlpm.r, MATCH(1,('3. Enter Indicator Scores'!$B$10:$B$161=$B60)*('3. Enter Indicator Scores'!$C$10:$C$161=$C60),0),
  _xlpm.c, MATCH(T$8,'3. Enter Indicator Scores'!$D$8:$CZ$8,0),
  _xlpm.v, IFERROR(INDEX('3. Enter Indicator Scores'!$D$10:$CZ$161,_xlpm.r,_xlpm.c),""),
  IF(OR(_xlpm.w="",_xlpm.v=""),"",_xlpm.v*_xlpm.w)
)</f>
        <v/>
      </c>
      <c r="U60" s="93" t="str" cm="1">
        <f t="array" ref="U60">_xlfn.LET(
  _xlpm.w, U$11,
  _xlpm.r, MATCH(1,('3. Enter Indicator Scores'!$B$10:$B$161=$B60)*('3. Enter Indicator Scores'!$C$10:$C$161=$C60),0),
  _xlpm.c, MATCH(U$8,'3. Enter Indicator Scores'!$D$8:$CZ$8,0),
  _xlpm.v, IFERROR(INDEX('3. Enter Indicator Scores'!$D$10:$CZ$161,_xlpm.r,_xlpm.c),""),
  IF(OR(_xlpm.w="",_xlpm.v=""),"",_xlpm.v*_xlpm.w)
)</f>
        <v/>
      </c>
      <c r="V60" s="93" t="str" cm="1">
        <f t="array" ref="V60">_xlfn.LET(
  _xlpm.w, V$11,
  _xlpm.r, MATCH(1,('3. Enter Indicator Scores'!$B$10:$B$161=$B60)*('3. Enter Indicator Scores'!$C$10:$C$161=$C60),0),
  _xlpm.c, MATCH(V$8,'3. Enter Indicator Scores'!$D$8:$CZ$8,0),
  _xlpm.v, IFERROR(INDEX('3. Enter Indicator Scores'!$D$10:$CZ$161,_xlpm.r,_xlpm.c),""),
  IF(OR(_xlpm.w="",_xlpm.v=""),"",_xlpm.v*_xlpm.w)
)</f>
        <v/>
      </c>
      <c r="W60" s="93" t="str" cm="1">
        <f t="array" ref="W60">_xlfn.LET(
  _xlpm.w, W$11,
  _xlpm.r, MATCH(1,('3. Enter Indicator Scores'!$B$10:$B$161=$B60)*('3. Enter Indicator Scores'!$C$10:$C$161=$C60),0),
  _xlpm.c, MATCH(W$8,'3. Enter Indicator Scores'!$D$8:$CZ$8,0),
  _xlpm.v, IFERROR(INDEX('3. Enter Indicator Scores'!$D$10:$CZ$161,_xlpm.r,_xlpm.c),""),
  IF(OR(_xlpm.w="",_xlpm.v=""),"",_xlpm.v*_xlpm.w)
)</f>
        <v/>
      </c>
      <c r="X60" s="93" t="str" cm="1">
        <f t="array" ref="X60">_xlfn.LET(
  _xlpm.w, X$11,
  _xlpm.r, MATCH(1,('3. Enter Indicator Scores'!$B$10:$B$161=$B60)*('3. Enter Indicator Scores'!$C$10:$C$161=$C60),0),
  _xlpm.c, MATCH(X$8,'3. Enter Indicator Scores'!$D$8:$CZ$8,0),
  _xlpm.v, IFERROR(INDEX('3. Enter Indicator Scores'!$D$10:$CZ$161,_xlpm.r,_xlpm.c),""),
  IF(OR(_xlpm.w="",_xlpm.v=""),"",_xlpm.v*_xlpm.w)
)</f>
        <v/>
      </c>
      <c r="Y60" s="93" t="str" cm="1">
        <f t="array" ref="Y60">_xlfn.LET(
  _xlpm.w, Y$11,
  _xlpm.r, MATCH(1,('3. Enter Indicator Scores'!$B$10:$B$161=$B60)*('3. Enter Indicator Scores'!$C$10:$C$161=$C60),0),
  _xlpm.c, MATCH(Y$8,'3. Enter Indicator Scores'!$D$8:$CZ$8,0),
  _xlpm.v, IFERROR(INDEX('3. Enter Indicator Scores'!$D$10:$CZ$161,_xlpm.r,_xlpm.c),""),
  IF(OR(_xlpm.w="",_xlpm.v=""),"",_xlpm.v*_xlpm.w)
)</f>
        <v/>
      </c>
      <c r="Z60" s="93" t="str" cm="1">
        <f t="array" ref="Z60">_xlfn.LET(
  _xlpm.w, Z$11,
  _xlpm.r, MATCH(1,('3. Enter Indicator Scores'!$B$10:$B$161=$B60)*('3. Enter Indicator Scores'!$C$10:$C$161=$C60),0),
  _xlpm.c, MATCH(Z$8,'3. Enter Indicator Scores'!$D$8:$CZ$8,0),
  _xlpm.v, IFERROR(INDEX('3. Enter Indicator Scores'!$D$10:$CZ$161,_xlpm.r,_xlpm.c),""),
  IF(OR(_xlpm.w="",_xlpm.v=""),"",_xlpm.v*_xlpm.w)
)</f>
        <v/>
      </c>
      <c r="AA60" s="93" t="str" cm="1">
        <f t="array" ref="AA60">_xlfn.LET(
  _xlpm.w, AA$11,
  _xlpm.r, MATCH(1,('3. Enter Indicator Scores'!$B$10:$B$161=$B60)*('3. Enter Indicator Scores'!$C$10:$C$161=$C60),0),
  _xlpm.c, MATCH(AA$8,'3. Enter Indicator Scores'!$D$8:$CZ$8,0),
  _xlpm.v, IFERROR(INDEX('3. Enter Indicator Scores'!$D$10:$CZ$161,_xlpm.r,_xlpm.c),""),
  IF(OR(_xlpm.w="",_xlpm.v=""),"",_xlpm.v*_xlpm.w)
)</f>
        <v/>
      </c>
      <c r="AB60" s="93" t="str" cm="1">
        <f t="array" ref="AB60">_xlfn.LET(
  _xlpm.w, AB$11,
  _xlpm.r, MATCH(1,('3. Enter Indicator Scores'!$B$10:$B$161=$B60)*('3. Enter Indicator Scores'!$C$10:$C$161=$C60),0),
  _xlpm.c, MATCH(AB$8,'3. Enter Indicator Scores'!$D$8:$CZ$8,0),
  _xlpm.v, IFERROR(INDEX('3. Enter Indicator Scores'!$D$10:$CZ$161,_xlpm.r,_xlpm.c),""),
  IF(OR(_xlpm.w="",_xlpm.v=""),"",_xlpm.v*_xlpm.w)
)</f>
        <v/>
      </c>
      <c r="AC60" s="93" t="str" cm="1">
        <f t="array" ref="AC60">_xlfn.LET(
  _xlpm.w, AC$11,
  _xlpm.r, MATCH(1,('3. Enter Indicator Scores'!$B$10:$B$161=$B60)*('3. Enter Indicator Scores'!$C$10:$C$161=$C60),0),
  _xlpm.c, MATCH(AC$8,'3. Enter Indicator Scores'!$D$8:$CZ$8,0),
  _xlpm.v, IFERROR(INDEX('3. Enter Indicator Scores'!$D$10:$CZ$161,_xlpm.r,_xlpm.c),""),
  IF(OR(_xlpm.w="",_xlpm.v=""),"",_xlpm.v*_xlpm.w)
)</f>
        <v/>
      </c>
      <c r="AD60" s="93" t="str" cm="1">
        <f t="array" ref="AD60">_xlfn.LET(
  _xlpm.w, AD$11,
  _xlpm.r, MATCH(1,('3. Enter Indicator Scores'!$B$10:$B$161=$B60)*('3. Enter Indicator Scores'!$C$10:$C$161=$C60),0),
  _xlpm.c, MATCH(AD$8,'3. Enter Indicator Scores'!$D$8:$CZ$8,0),
  _xlpm.v, IFERROR(INDEX('3. Enter Indicator Scores'!$D$10:$CZ$161,_xlpm.r,_xlpm.c),""),
  IF(OR(_xlpm.w="",_xlpm.v=""),"",_xlpm.v*_xlpm.w)
)</f>
        <v/>
      </c>
      <c r="AE60" s="93" t="str" cm="1">
        <f t="array" ref="AE60">_xlfn.LET(
  _xlpm.w, AE$11,
  _xlpm.r, MATCH(1,('3. Enter Indicator Scores'!$B$10:$B$161=$B60)*('3. Enter Indicator Scores'!$C$10:$C$161=$C60),0),
  _xlpm.c, MATCH(AE$8,'3. Enter Indicator Scores'!$D$8:$CZ$8,0),
  _xlpm.v, IFERROR(INDEX('3. Enter Indicator Scores'!$D$10:$CZ$161,_xlpm.r,_xlpm.c),""),
  IF(OR(_xlpm.w="",_xlpm.v=""),"",_xlpm.v*_xlpm.w)
)</f>
        <v/>
      </c>
      <c r="AF60" s="93" t="str" cm="1">
        <f t="array" ref="AF60">_xlfn.LET(
  _xlpm.w, AF$11,
  _xlpm.r, MATCH(1,('3. Enter Indicator Scores'!$B$10:$B$161=$B60)*('3. Enter Indicator Scores'!$C$10:$C$161=$C60),0),
  _xlpm.c, MATCH(AF$8,'3. Enter Indicator Scores'!$D$8:$CZ$8,0),
  _xlpm.v, IFERROR(INDEX('3. Enter Indicator Scores'!$D$10:$CZ$161,_xlpm.r,_xlpm.c),""),
  IF(OR(_xlpm.w="",_xlpm.v=""),"",_xlpm.v*_xlpm.w)
)</f>
        <v/>
      </c>
      <c r="AG60" s="93" t="str" cm="1">
        <f t="array" ref="AG60">_xlfn.LET(
  _xlpm.w, AG$11,
  _xlpm.r, MATCH(1,('3. Enter Indicator Scores'!$B$10:$B$161=$B60)*('3. Enter Indicator Scores'!$C$10:$C$161=$C60),0),
  _xlpm.c, MATCH(AG$8,'3. Enter Indicator Scores'!$D$8:$CZ$8,0),
  _xlpm.v, IFERROR(INDEX('3. Enter Indicator Scores'!$D$10:$CZ$161,_xlpm.r,_xlpm.c),""),
  IF(OR(_xlpm.w="",_xlpm.v=""),"",_xlpm.v*_xlpm.w)
)</f>
        <v/>
      </c>
      <c r="AH60" s="93" t="str" cm="1">
        <f t="array" ref="AH60">_xlfn.LET(
  _xlpm.w, AH$11,
  _xlpm.r, MATCH(1,('3. Enter Indicator Scores'!$B$10:$B$161=$B60)*('3. Enter Indicator Scores'!$C$10:$C$161=$C60),0),
  _xlpm.c, MATCH(AH$8,'3. Enter Indicator Scores'!$D$8:$CZ$8,0),
  _xlpm.v, IFERROR(INDEX('3. Enter Indicator Scores'!$D$10:$CZ$161,_xlpm.r,_xlpm.c),""),
  IF(OR(_xlpm.w="",_xlpm.v=""),"",_xlpm.v*_xlpm.w)
)</f>
        <v/>
      </c>
      <c r="AI60" s="93" t="str" cm="1">
        <f t="array" ref="AI60">_xlfn.LET(
  _xlpm.w, AI$11,
  _xlpm.r, MATCH(1,('3. Enter Indicator Scores'!$B$10:$B$161=$B60)*('3. Enter Indicator Scores'!$C$10:$C$161=$C60),0),
  _xlpm.c, MATCH(AI$8,'3. Enter Indicator Scores'!$D$8:$CZ$8,0),
  _xlpm.v, IFERROR(INDEX('3. Enter Indicator Scores'!$D$10:$CZ$161,_xlpm.r,_xlpm.c),""),
  IF(OR(_xlpm.w="",_xlpm.v=""),"",_xlpm.v*_xlpm.w)
)</f>
        <v/>
      </c>
      <c r="AJ60" s="93" t="str" cm="1">
        <f t="array" ref="AJ60">_xlfn.LET(
  _xlpm.w, AJ$11,
  _xlpm.r, MATCH(1,('3. Enter Indicator Scores'!$B$10:$B$161=$B60)*('3. Enter Indicator Scores'!$C$10:$C$161=$C60),0),
  _xlpm.c, MATCH(AJ$8,'3. Enter Indicator Scores'!$D$8:$CZ$8,0),
  _xlpm.v, IFERROR(INDEX('3. Enter Indicator Scores'!$D$10:$CZ$161,_xlpm.r,_xlpm.c),""),
  IF(OR(_xlpm.w="",_xlpm.v=""),"",_xlpm.v*_xlpm.w)
)</f>
        <v/>
      </c>
      <c r="AK60" s="93" t="str" cm="1">
        <f t="array" ref="AK60">_xlfn.LET(
  _xlpm.w, AK$11,
  _xlpm.r, MATCH(1,('3. Enter Indicator Scores'!$B$10:$B$161=$B60)*('3. Enter Indicator Scores'!$C$10:$C$161=$C60),0),
  _xlpm.c, MATCH(AK$8,'3. Enter Indicator Scores'!$D$8:$CZ$8,0),
  _xlpm.v, IFERROR(INDEX('3. Enter Indicator Scores'!$D$10:$CZ$161,_xlpm.r,_xlpm.c),""),
  IF(OR(_xlpm.w="",_xlpm.v=""),"",_xlpm.v*_xlpm.w)
)</f>
        <v/>
      </c>
      <c r="AL60" s="93" t="str" cm="1">
        <f t="array" ref="AL60">_xlfn.LET(
  _xlpm.w, AL$11,
  _xlpm.r, MATCH(1,('3. Enter Indicator Scores'!$B$10:$B$161=$B60)*('3. Enter Indicator Scores'!$C$10:$C$161=$C60),0),
  _xlpm.c, MATCH(AL$8,'3. Enter Indicator Scores'!$D$8:$CZ$8,0),
  _xlpm.v, IFERROR(INDEX('3. Enter Indicator Scores'!$D$10:$CZ$161,_xlpm.r,_xlpm.c),""),
  IF(OR(_xlpm.w="",_xlpm.v=""),"",_xlpm.v*_xlpm.w)
)</f>
        <v/>
      </c>
      <c r="AM60" s="93" t="str" cm="1">
        <f t="array" ref="AM60">_xlfn.LET(
  _xlpm.w, AM$11,
  _xlpm.r, MATCH(1,('3. Enter Indicator Scores'!$B$10:$B$161=$B60)*('3. Enter Indicator Scores'!$C$10:$C$161=$C60),0),
  _xlpm.c, MATCH(AM$8,'3. Enter Indicator Scores'!$D$8:$CZ$8,0),
  _xlpm.v, IFERROR(INDEX('3. Enter Indicator Scores'!$D$10:$CZ$161,_xlpm.r,_xlpm.c),""),
  IF(OR(_xlpm.w="",_xlpm.v=""),"",_xlpm.v*_xlpm.w)
)</f>
        <v/>
      </c>
      <c r="AN60" s="93" t="str" cm="1">
        <f t="array" ref="AN60">_xlfn.LET(
  _xlpm.w, AN$11,
  _xlpm.r, MATCH(1,('3. Enter Indicator Scores'!$B$10:$B$161=$B60)*('3. Enter Indicator Scores'!$C$10:$C$161=$C60),0),
  _xlpm.c, MATCH(AN$8,'3. Enter Indicator Scores'!$D$8:$CZ$8,0),
  _xlpm.v, IFERROR(INDEX('3. Enter Indicator Scores'!$D$10:$CZ$161,_xlpm.r,_xlpm.c),""),
  IF(OR(_xlpm.w="",_xlpm.v=""),"",_xlpm.v*_xlpm.w)
)</f>
        <v/>
      </c>
      <c r="AO60" s="93" t="str" cm="1">
        <f t="array" ref="AO60">_xlfn.LET(
  _xlpm.w, AO$11,
  _xlpm.r, MATCH(1,('3. Enter Indicator Scores'!$B$10:$B$161=$B60)*('3. Enter Indicator Scores'!$C$10:$C$161=$C60),0),
  _xlpm.c, MATCH(AO$8,'3. Enter Indicator Scores'!$D$8:$CZ$8,0),
  _xlpm.v, IFERROR(INDEX('3. Enter Indicator Scores'!$D$10:$CZ$161,_xlpm.r,_xlpm.c),""),
  IF(OR(_xlpm.w="",_xlpm.v=""),"",_xlpm.v*_xlpm.w)
)</f>
        <v/>
      </c>
      <c r="AP60" s="93" t="str" cm="1">
        <f t="array" ref="AP60">_xlfn.LET(
  _xlpm.w, AP$11,
  _xlpm.r, MATCH(1,('3. Enter Indicator Scores'!$B$10:$B$161=$B60)*('3. Enter Indicator Scores'!$C$10:$C$161=$C60),0),
  _xlpm.c, MATCH(AP$8,'3. Enter Indicator Scores'!$D$8:$CZ$8,0),
  _xlpm.v, IFERROR(INDEX('3. Enter Indicator Scores'!$D$10:$CZ$161,_xlpm.r,_xlpm.c),""),
  IF(OR(_xlpm.w="",_xlpm.v=""),"",_xlpm.v*_xlpm.w)
)</f>
        <v/>
      </c>
      <c r="AQ60" s="93" t="str" cm="1">
        <f t="array" ref="AQ60">_xlfn.LET(
  _xlpm.w, AQ$11,
  _xlpm.r, MATCH(1,('3. Enter Indicator Scores'!$B$10:$B$161=$B60)*('3. Enter Indicator Scores'!$C$10:$C$161=$C60),0),
  _xlpm.c, MATCH(AQ$8,'3. Enter Indicator Scores'!$D$8:$CZ$8,0),
  _xlpm.v, IFERROR(INDEX('3. Enter Indicator Scores'!$D$10:$CZ$161,_xlpm.r,_xlpm.c),""),
  IF(OR(_xlpm.w="",_xlpm.v=""),"",_xlpm.v*_xlpm.w)
)</f>
        <v/>
      </c>
      <c r="AR60" s="93" t="str" cm="1">
        <f t="array" ref="AR60">_xlfn.LET(
  _xlpm.w, AR$11,
  _xlpm.r, MATCH(1,('3. Enter Indicator Scores'!$B$10:$B$161=$B60)*('3. Enter Indicator Scores'!$C$10:$C$161=$C60),0),
  _xlpm.c, MATCH(AR$8,'3. Enter Indicator Scores'!$D$8:$CZ$8,0),
  _xlpm.v, IFERROR(INDEX('3. Enter Indicator Scores'!$D$10:$CZ$161,_xlpm.r,_xlpm.c),""),
  IF(OR(_xlpm.w="",_xlpm.v=""),"",_xlpm.v*_xlpm.w)
)</f>
        <v/>
      </c>
      <c r="AS60" s="93" t="str" cm="1">
        <f t="array" ref="AS60">_xlfn.LET(
  _xlpm.w, AS$11,
  _xlpm.r, MATCH(1,('3. Enter Indicator Scores'!$B$10:$B$161=$B60)*('3. Enter Indicator Scores'!$C$10:$C$161=$C60),0),
  _xlpm.c, MATCH(AS$8,'3. Enter Indicator Scores'!$D$8:$CZ$8,0),
  _xlpm.v, IFERROR(INDEX('3. Enter Indicator Scores'!$D$10:$CZ$161,_xlpm.r,_xlpm.c),""),
  IF(OR(_xlpm.w="",_xlpm.v=""),"",_xlpm.v*_xlpm.w)
)</f>
        <v/>
      </c>
      <c r="AT60" s="93" t="str" cm="1">
        <f t="array" ref="AT60">_xlfn.LET(
  _xlpm.w, AT$11,
  _xlpm.r, MATCH(1,('3. Enter Indicator Scores'!$B$10:$B$161=$B60)*('3. Enter Indicator Scores'!$C$10:$C$161=$C60),0),
  _xlpm.c, MATCH(AT$8,'3. Enter Indicator Scores'!$D$8:$CZ$8,0),
  _xlpm.v, IFERROR(INDEX('3. Enter Indicator Scores'!$D$10:$CZ$161,_xlpm.r,_xlpm.c),""),
  IF(OR(_xlpm.w="",_xlpm.v=""),"",_xlpm.v*_xlpm.w)
)</f>
        <v/>
      </c>
      <c r="AU60" s="93" t="str" cm="1">
        <f t="array" ref="AU60">_xlfn.LET(
  _xlpm.w, AU$11,
  _xlpm.r, MATCH(1,('3. Enter Indicator Scores'!$B$10:$B$161=$B60)*('3. Enter Indicator Scores'!$C$10:$C$161=$C60),0),
  _xlpm.c, MATCH(AU$8,'3. Enter Indicator Scores'!$D$8:$CZ$8,0),
  _xlpm.v, IFERROR(INDEX('3. Enter Indicator Scores'!$D$10:$CZ$161,_xlpm.r,_xlpm.c),""),
  IF(OR(_xlpm.w="",_xlpm.v=""),"",_xlpm.v*_xlpm.w)
)</f>
        <v/>
      </c>
      <c r="AV60" s="93" t="str" cm="1">
        <f t="array" ref="AV60">_xlfn.LET(
  _xlpm.w, AV$11,
  _xlpm.r, MATCH(1,('3. Enter Indicator Scores'!$B$10:$B$161=$B60)*('3. Enter Indicator Scores'!$C$10:$C$161=$C60),0),
  _xlpm.c, MATCH(AV$8,'3. Enter Indicator Scores'!$D$8:$CZ$8,0),
  _xlpm.v, IFERROR(INDEX('3. Enter Indicator Scores'!$D$10:$CZ$161,_xlpm.r,_xlpm.c),""),
  IF(OR(_xlpm.w="",_xlpm.v=""),"",_xlpm.v*_xlpm.w)
)</f>
        <v/>
      </c>
      <c r="AW60" s="93" t="str" cm="1">
        <f t="array" ref="AW60">_xlfn.LET(
  _xlpm.w, AW$11,
  _xlpm.r, MATCH(1,('3. Enter Indicator Scores'!$B$10:$B$161=$B60)*('3. Enter Indicator Scores'!$C$10:$C$161=$C60),0),
  _xlpm.c, MATCH(AW$8,'3. Enter Indicator Scores'!$D$8:$CZ$8,0),
  _xlpm.v, IFERROR(INDEX('3. Enter Indicator Scores'!$D$10:$CZ$161,_xlpm.r,_xlpm.c),""),
  IF(OR(_xlpm.w="",_xlpm.v=""),"",_xlpm.v*_xlpm.w)
)</f>
        <v/>
      </c>
      <c r="AX60" s="93" t="str" cm="1">
        <f t="array" ref="AX60">_xlfn.LET(
  _xlpm.w, AX$11,
  _xlpm.r, MATCH(1,('3. Enter Indicator Scores'!$B$10:$B$161=$B60)*('3. Enter Indicator Scores'!$C$10:$C$161=$C60),0),
  _xlpm.c, MATCH(AX$8,'3. Enter Indicator Scores'!$D$8:$CZ$8,0),
  _xlpm.v, IFERROR(INDEX('3. Enter Indicator Scores'!$D$10:$CZ$161,_xlpm.r,_xlpm.c),""),
  IF(OR(_xlpm.w="",_xlpm.v=""),"",_xlpm.v*_xlpm.w)
)</f>
        <v/>
      </c>
      <c r="AY60" s="93" t="str" cm="1">
        <f t="array" ref="AY60">_xlfn.LET(
  _xlpm.w, AY$11,
  _xlpm.r, MATCH(1,('3. Enter Indicator Scores'!$B$10:$B$161=$B60)*('3. Enter Indicator Scores'!$C$10:$C$161=$C60),0),
  _xlpm.c, MATCH(AY$8,'3. Enter Indicator Scores'!$D$8:$CZ$8,0),
  _xlpm.v, IFERROR(INDEX('3. Enter Indicator Scores'!$D$10:$CZ$161,_xlpm.r,_xlpm.c),""),
  IF(OR(_xlpm.w="",_xlpm.v=""),"",_xlpm.v*_xlpm.w)
)</f>
        <v/>
      </c>
      <c r="AZ60" s="93" t="str" cm="1">
        <f t="array" ref="AZ60">_xlfn.LET(
  _xlpm.w, AZ$11,
  _xlpm.r, MATCH(1,('3. Enter Indicator Scores'!$B$10:$B$161=$B60)*('3. Enter Indicator Scores'!$C$10:$C$161=$C60),0),
  _xlpm.c, MATCH(AZ$8,'3. Enter Indicator Scores'!$D$8:$CZ$8,0),
  _xlpm.v, IFERROR(INDEX('3. Enter Indicator Scores'!$D$10:$CZ$161,_xlpm.r,_xlpm.c),""),
  IF(OR(_xlpm.w="",_xlpm.v=""),"",_xlpm.v*_xlpm.w)
)</f>
        <v/>
      </c>
      <c r="BA60" s="93" t="str" cm="1">
        <f t="array" ref="BA60">_xlfn.LET(
  _xlpm.w, BA$11,
  _xlpm.r, MATCH(1,('3. Enter Indicator Scores'!$B$10:$B$161=$B60)*('3. Enter Indicator Scores'!$C$10:$C$161=$C60),0),
  _xlpm.c, MATCH(BA$8,'3. Enter Indicator Scores'!$D$8:$CZ$8,0),
  _xlpm.v, IFERROR(INDEX('3. Enter Indicator Scores'!$D$10:$CZ$161,_xlpm.r,_xlpm.c),""),
  IF(OR(_xlpm.w="",_xlpm.v=""),"",_xlpm.v*_xlpm.w)
)</f>
        <v/>
      </c>
      <c r="BB60" s="93" t="str" cm="1">
        <f t="array" ref="BB60">_xlfn.LET(
  _xlpm.w, BB$11,
  _xlpm.r, MATCH(1,('3. Enter Indicator Scores'!$B$10:$B$161=$B60)*('3. Enter Indicator Scores'!$C$10:$C$161=$C60),0),
  _xlpm.c, MATCH(BB$8,'3. Enter Indicator Scores'!$D$8:$CZ$8,0),
  _xlpm.v, IFERROR(INDEX('3. Enter Indicator Scores'!$D$10:$CZ$161,_xlpm.r,_xlpm.c),""),
  IF(OR(_xlpm.w="",_xlpm.v=""),"",_xlpm.v*_xlpm.w)
)</f>
        <v/>
      </c>
      <c r="BC60" s="93" t="str" cm="1">
        <f t="array" ref="BC60">_xlfn.LET(
  _xlpm.w, BC$11,
  _xlpm.r, MATCH(1,('3. Enter Indicator Scores'!$B$10:$B$161=$B60)*('3. Enter Indicator Scores'!$C$10:$C$161=$C60),0),
  _xlpm.c, MATCH(BC$8,'3. Enter Indicator Scores'!$D$8:$CZ$8,0),
  _xlpm.v, IFERROR(INDEX('3. Enter Indicator Scores'!$D$10:$CZ$161,_xlpm.r,_xlpm.c),""),
  IF(OR(_xlpm.w="",_xlpm.v=""),"",_xlpm.v*_xlpm.w)
)</f>
        <v/>
      </c>
      <c r="BD60" s="93" t="str" cm="1">
        <f t="array" ref="BD60">_xlfn.LET(
  _xlpm.w, BD$11,
  _xlpm.r, MATCH(1,('3. Enter Indicator Scores'!$B$10:$B$161=$B60)*('3. Enter Indicator Scores'!$C$10:$C$161=$C60),0),
  _xlpm.c, MATCH(BD$8,'3. Enter Indicator Scores'!$D$8:$CZ$8,0),
  _xlpm.v, IFERROR(INDEX('3. Enter Indicator Scores'!$D$10:$CZ$161,_xlpm.r,_xlpm.c),""),
  IF(OR(_xlpm.w="",_xlpm.v=""),"",_xlpm.v*_xlpm.w)
)</f>
        <v/>
      </c>
      <c r="BE60" s="93" t="str" cm="1">
        <f t="array" ref="BE60">_xlfn.LET(
  _xlpm.w, BE$11,
  _xlpm.r, MATCH(1,('3. Enter Indicator Scores'!$B$10:$B$161=$B60)*('3. Enter Indicator Scores'!$C$10:$C$161=$C60),0),
  _xlpm.c, MATCH(BE$8,'3. Enter Indicator Scores'!$D$8:$CZ$8,0),
  _xlpm.v, IFERROR(INDEX('3. Enter Indicator Scores'!$D$10:$CZ$161,_xlpm.r,_xlpm.c),""),
  IF(OR(_xlpm.w="",_xlpm.v=""),"",_xlpm.v*_xlpm.w)
)</f>
        <v/>
      </c>
      <c r="BF60" s="93" t="str" cm="1">
        <f t="array" ref="BF60">_xlfn.LET(
  _xlpm.w, BF$11,
  _xlpm.r, MATCH(1,('3. Enter Indicator Scores'!$B$10:$B$161=$B60)*('3. Enter Indicator Scores'!$C$10:$C$161=$C60),0),
  _xlpm.c, MATCH(BF$8,'3. Enter Indicator Scores'!$D$8:$CZ$8,0),
  _xlpm.v, IFERROR(INDEX('3. Enter Indicator Scores'!$D$10:$CZ$161,_xlpm.r,_xlpm.c),""),
  IF(OR(_xlpm.w="",_xlpm.v=""),"",_xlpm.v*_xlpm.w)
)</f>
        <v/>
      </c>
      <c r="BG60" s="93" t="str" cm="1">
        <f t="array" ref="BG60">_xlfn.LET(
  _xlpm.w, BG$11,
  _xlpm.r, MATCH(1,('3. Enter Indicator Scores'!$B$10:$B$161=$B60)*('3. Enter Indicator Scores'!$C$10:$C$161=$C60),0),
  _xlpm.c, MATCH(BG$8,'3. Enter Indicator Scores'!$D$8:$CZ$8,0),
  _xlpm.v, IFERROR(INDEX('3. Enter Indicator Scores'!$D$10:$CZ$161,_xlpm.r,_xlpm.c),""),
  IF(OR(_xlpm.w="",_xlpm.v=""),"",_xlpm.v*_xlpm.w)
)</f>
        <v/>
      </c>
      <c r="BH60" s="93" t="str" cm="1">
        <f t="array" ref="BH60">_xlfn.LET(
  _xlpm.w, BH$11,
  _xlpm.r, MATCH(1,('3. Enter Indicator Scores'!$B$10:$B$161=$B60)*('3. Enter Indicator Scores'!$C$10:$C$161=$C60),0),
  _xlpm.c, MATCH(BH$8,'3. Enter Indicator Scores'!$D$8:$CZ$8,0),
  _xlpm.v, IFERROR(INDEX('3. Enter Indicator Scores'!$D$10:$CZ$161,_xlpm.r,_xlpm.c),""),
  IF(OR(_xlpm.w="",_xlpm.v=""),"",_xlpm.v*_xlpm.w)
)</f>
        <v/>
      </c>
      <c r="BI60" s="93" t="str" cm="1">
        <f t="array" ref="BI60">_xlfn.LET(
  _xlpm.w, BI$11,
  _xlpm.r, MATCH(1,('3. Enter Indicator Scores'!$B$10:$B$161=$B60)*('3. Enter Indicator Scores'!$C$10:$C$161=$C60),0),
  _xlpm.c, MATCH(BI$8,'3. Enter Indicator Scores'!$D$8:$CZ$8,0),
  _xlpm.v, IFERROR(INDEX('3. Enter Indicator Scores'!$D$10:$CZ$161,_xlpm.r,_xlpm.c),""),
  IF(OR(_xlpm.w="",_xlpm.v=""),"",_xlpm.v*_xlpm.w)
)</f>
        <v/>
      </c>
      <c r="BJ60" s="93" t="str" cm="1">
        <f t="array" ref="BJ60">_xlfn.LET(
  _xlpm.w, BJ$11,
  _xlpm.r, MATCH(1,('3. Enter Indicator Scores'!$B$10:$B$161=$B60)*('3. Enter Indicator Scores'!$C$10:$C$161=$C60),0),
  _xlpm.c, MATCH(BJ$8,'3. Enter Indicator Scores'!$D$8:$CZ$8,0),
  _xlpm.v, IFERROR(INDEX('3. Enter Indicator Scores'!$D$10:$CZ$161,_xlpm.r,_xlpm.c),""),
  IF(OR(_xlpm.w="",_xlpm.v=""),"",_xlpm.v*_xlpm.w)
)</f>
        <v/>
      </c>
      <c r="BK60" s="93" t="str" cm="1">
        <f t="array" ref="BK60">_xlfn.LET(
  _xlpm.w, BK$11,
  _xlpm.r, MATCH(1,('3. Enter Indicator Scores'!$B$10:$B$161=$B60)*('3. Enter Indicator Scores'!$C$10:$C$161=$C60),0),
  _xlpm.c, MATCH(BK$8,'3. Enter Indicator Scores'!$D$8:$CZ$8,0),
  _xlpm.v, IFERROR(INDEX('3. Enter Indicator Scores'!$D$10:$CZ$161,_xlpm.r,_xlpm.c),""),
  IF(OR(_xlpm.w="",_xlpm.v=""),"",_xlpm.v*_xlpm.w)
)</f>
        <v/>
      </c>
      <c r="BL60" s="93" t="str" cm="1">
        <f t="array" ref="BL60">_xlfn.LET(
  _xlpm.w, BL$11,
  _xlpm.r, MATCH(1,('3. Enter Indicator Scores'!$B$10:$B$161=$B60)*('3. Enter Indicator Scores'!$C$10:$C$161=$C60),0),
  _xlpm.c, MATCH(BL$8,'3. Enter Indicator Scores'!$D$8:$CZ$8,0),
  _xlpm.v, IFERROR(INDEX('3. Enter Indicator Scores'!$D$10:$CZ$161,_xlpm.r,_xlpm.c),""),
  IF(OR(_xlpm.w="",_xlpm.v=""),"",_xlpm.v*_xlpm.w)
)</f>
        <v/>
      </c>
      <c r="BM60" s="93" t="str" cm="1">
        <f t="array" ref="BM60">_xlfn.LET(
  _xlpm.w, BM$11,
  _xlpm.r, MATCH(1,('3. Enter Indicator Scores'!$B$10:$B$161=$B60)*('3. Enter Indicator Scores'!$C$10:$C$161=$C60),0),
  _xlpm.c, MATCH(BM$8,'3. Enter Indicator Scores'!$D$8:$CZ$8,0),
  _xlpm.v, IFERROR(INDEX('3. Enter Indicator Scores'!$D$10:$CZ$161,_xlpm.r,_xlpm.c),""),
  IF(OR(_xlpm.w="",_xlpm.v=""),"",_xlpm.v*_xlpm.w)
)</f>
        <v/>
      </c>
      <c r="BN60" s="93" t="str" cm="1">
        <f t="array" ref="BN60">_xlfn.LET(
  _xlpm.w, BN$11,
  _xlpm.r, MATCH(1,('3. Enter Indicator Scores'!$B$10:$B$161=$B60)*('3. Enter Indicator Scores'!$C$10:$C$161=$C60),0),
  _xlpm.c, MATCH(BN$8,'3. Enter Indicator Scores'!$D$8:$CZ$8,0),
  _xlpm.v, IFERROR(INDEX('3. Enter Indicator Scores'!$D$10:$CZ$161,_xlpm.r,_xlpm.c),""),
  IF(OR(_xlpm.w="",_xlpm.v=""),"",_xlpm.v*_xlpm.w)
)</f>
        <v/>
      </c>
      <c r="BO60" s="93" t="str" cm="1">
        <f t="array" ref="BO60">_xlfn.LET(
  _xlpm.w, BO$11,
  _xlpm.r, MATCH(1,('3. Enter Indicator Scores'!$B$10:$B$161=$B60)*('3. Enter Indicator Scores'!$C$10:$C$161=$C60),0),
  _xlpm.c, MATCH(BO$8,'3. Enter Indicator Scores'!$D$8:$CZ$8,0),
  _xlpm.v, IFERROR(INDEX('3. Enter Indicator Scores'!$D$10:$CZ$161,_xlpm.r,_xlpm.c),""),
  IF(OR(_xlpm.w="",_xlpm.v=""),"",_xlpm.v*_xlpm.w)
)</f>
        <v/>
      </c>
      <c r="BP60" s="93" t="str" cm="1">
        <f t="array" ref="BP60">_xlfn.LET(
  _xlpm.w, BP$11,
  _xlpm.r, MATCH(1,('3. Enter Indicator Scores'!$B$10:$B$161=$B60)*('3. Enter Indicator Scores'!$C$10:$C$161=$C60),0),
  _xlpm.c, MATCH(BP$8,'3. Enter Indicator Scores'!$D$8:$CZ$8,0),
  _xlpm.v, IFERROR(INDEX('3. Enter Indicator Scores'!$D$10:$CZ$161,_xlpm.r,_xlpm.c),""),
  IF(OR(_xlpm.w="",_xlpm.v=""),"",_xlpm.v*_xlpm.w)
)</f>
        <v/>
      </c>
      <c r="BQ60" s="93" t="str" cm="1">
        <f t="array" ref="BQ60">_xlfn.LET(
  _xlpm.w, BQ$11,
  _xlpm.r, MATCH(1,('3. Enter Indicator Scores'!$B$10:$B$161=$B60)*('3. Enter Indicator Scores'!$C$10:$C$161=$C60),0),
  _xlpm.c, MATCH(BQ$8,'3. Enter Indicator Scores'!$D$8:$CZ$8,0),
  _xlpm.v, IFERROR(INDEX('3. Enter Indicator Scores'!$D$10:$CZ$161,_xlpm.r,_xlpm.c),""),
  IF(OR(_xlpm.w="",_xlpm.v=""),"",_xlpm.v*_xlpm.w)
)</f>
        <v/>
      </c>
      <c r="BR60" s="93" t="str" cm="1">
        <f t="array" ref="BR60">_xlfn.LET(
  _xlpm.w, BR$11,
  _xlpm.r, MATCH(1,('3. Enter Indicator Scores'!$B$10:$B$161=$B60)*('3. Enter Indicator Scores'!$C$10:$C$161=$C60),0),
  _xlpm.c, MATCH(BR$8,'3. Enter Indicator Scores'!$D$8:$CZ$8,0),
  _xlpm.v, IFERROR(INDEX('3. Enter Indicator Scores'!$D$10:$CZ$161,_xlpm.r,_xlpm.c),""),
  IF(OR(_xlpm.w="",_xlpm.v=""),"",_xlpm.v*_xlpm.w)
)</f>
        <v/>
      </c>
      <c r="BS60" s="93" t="str" cm="1">
        <f t="array" ref="BS60">_xlfn.LET(
  _xlpm.w, BS$11,
  _xlpm.r, MATCH(1,('3. Enter Indicator Scores'!$B$10:$B$161=$B60)*('3. Enter Indicator Scores'!$C$10:$C$161=$C60),0),
  _xlpm.c, MATCH(BS$8,'3. Enter Indicator Scores'!$D$8:$CZ$8,0),
  _xlpm.v, IFERROR(INDEX('3. Enter Indicator Scores'!$D$10:$CZ$161,_xlpm.r,_xlpm.c),""),
  IF(OR(_xlpm.w="",_xlpm.v=""),"",_xlpm.v*_xlpm.w)
)</f>
        <v/>
      </c>
      <c r="BT60" s="93" t="str" cm="1">
        <f t="array" ref="BT60">_xlfn.LET(
  _xlpm.w, BT$11,
  _xlpm.r, MATCH(1,('3. Enter Indicator Scores'!$B$10:$B$161=$B60)*('3. Enter Indicator Scores'!$C$10:$C$161=$C60),0),
  _xlpm.c, MATCH(BT$8,'3. Enter Indicator Scores'!$D$8:$CZ$8,0),
  _xlpm.v, IFERROR(INDEX('3. Enter Indicator Scores'!$D$10:$CZ$161,_xlpm.r,_xlpm.c),""),
  IF(OR(_xlpm.w="",_xlpm.v=""),"",_xlpm.v*_xlpm.w)
)</f>
        <v/>
      </c>
      <c r="BU60" s="93" t="str" cm="1">
        <f t="array" ref="BU60">_xlfn.LET(
  _xlpm.w, BU$11,
  _xlpm.r, MATCH(1,('3. Enter Indicator Scores'!$B$10:$B$161=$B60)*('3. Enter Indicator Scores'!$C$10:$C$161=$C60),0),
  _xlpm.c, MATCH(BU$8,'3. Enter Indicator Scores'!$D$8:$CZ$8,0),
  _xlpm.v, IFERROR(INDEX('3. Enter Indicator Scores'!$D$10:$CZ$161,_xlpm.r,_xlpm.c),""),
  IF(OR(_xlpm.w="",_xlpm.v=""),"",_xlpm.v*_xlpm.w)
)</f>
        <v/>
      </c>
      <c r="BV60" s="93" t="str" cm="1">
        <f t="array" ref="BV60">_xlfn.LET(
  _xlpm.w, BV$11,
  _xlpm.r, MATCH(1,('3. Enter Indicator Scores'!$B$10:$B$161=$B60)*('3. Enter Indicator Scores'!$C$10:$C$161=$C60),0),
  _xlpm.c, MATCH(BV$8,'3. Enter Indicator Scores'!$D$8:$CZ$8,0),
  _xlpm.v, IFERROR(INDEX('3. Enter Indicator Scores'!$D$10:$CZ$161,_xlpm.r,_xlpm.c),""),
  IF(OR(_xlpm.w="",_xlpm.v=""),"",_xlpm.v*_xlpm.w)
)</f>
        <v/>
      </c>
      <c r="BW60" s="93" t="str" cm="1">
        <f t="array" ref="BW60">_xlfn.LET(
  _xlpm.w, BW$11,
  _xlpm.r, MATCH(1,('3. Enter Indicator Scores'!$B$10:$B$161=$B60)*('3. Enter Indicator Scores'!$C$10:$C$161=$C60),0),
  _xlpm.c, MATCH(BW$8,'3. Enter Indicator Scores'!$D$8:$CZ$8,0),
  _xlpm.v, IFERROR(INDEX('3. Enter Indicator Scores'!$D$10:$CZ$161,_xlpm.r,_xlpm.c),""),
  IF(OR(_xlpm.w="",_xlpm.v=""),"",_xlpm.v*_xlpm.w)
)</f>
        <v/>
      </c>
      <c r="BX60" s="93" t="str" cm="1">
        <f t="array" ref="BX60">_xlfn.LET(
  _xlpm.w, BX$11,
  _xlpm.r, MATCH(1,('3. Enter Indicator Scores'!$B$10:$B$161=$B60)*('3. Enter Indicator Scores'!$C$10:$C$161=$C60),0),
  _xlpm.c, MATCH(BX$8,'3. Enter Indicator Scores'!$D$8:$CZ$8,0),
  _xlpm.v, IFERROR(INDEX('3. Enter Indicator Scores'!$D$10:$CZ$161,_xlpm.r,_xlpm.c),""),
  IF(OR(_xlpm.w="",_xlpm.v=""),"",_xlpm.v*_xlpm.w)
)</f>
        <v/>
      </c>
      <c r="BY60" s="93" t="str" cm="1">
        <f t="array" ref="BY60">_xlfn.LET(
  _xlpm.w, BY$11,
  _xlpm.r, MATCH(1,('3. Enter Indicator Scores'!$B$10:$B$161=$B60)*('3. Enter Indicator Scores'!$C$10:$C$161=$C60),0),
  _xlpm.c, MATCH(BY$8,'3. Enter Indicator Scores'!$D$8:$CZ$8,0),
  _xlpm.v, IFERROR(INDEX('3. Enter Indicator Scores'!$D$10:$CZ$161,_xlpm.r,_xlpm.c),""),
  IF(OR(_xlpm.w="",_xlpm.v=""),"",_xlpm.v*_xlpm.w)
)</f>
        <v/>
      </c>
      <c r="BZ60" s="93" t="str" cm="1">
        <f t="array" ref="BZ60">_xlfn.LET(
  _xlpm.w, BZ$11,
  _xlpm.r, MATCH(1,('3. Enter Indicator Scores'!$B$10:$B$161=$B60)*('3. Enter Indicator Scores'!$C$10:$C$161=$C60),0),
  _xlpm.c, MATCH(BZ$8,'3. Enter Indicator Scores'!$D$8:$CZ$8,0),
  _xlpm.v, IFERROR(INDEX('3. Enter Indicator Scores'!$D$10:$CZ$161,_xlpm.r,_xlpm.c),""),
  IF(OR(_xlpm.w="",_xlpm.v=""),"",_xlpm.v*_xlpm.w)
)</f>
        <v/>
      </c>
      <c r="CA60" s="93" t="str" cm="1">
        <f t="array" ref="CA60">_xlfn.LET(
  _xlpm.w, CA$11,
  _xlpm.r, MATCH(1,('3. Enter Indicator Scores'!$B$10:$B$161=$B60)*('3. Enter Indicator Scores'!$C$10:$C$161=$C60),0),
  _xlpm.c, MATCH(CA$8,'3. Enter Indicator Scores'!$D$8:$CZ$8,0),
  _xlpm.v, IFERROR(INDEX('3. Enter Indicator Scores'!$D$10:$CZ$161,_xlpm.r,_xlpm.c),""),
  IF(OR(_xlpm.w="",_xlpm.v=""),"",_xlpm.v*_xlpm.w)
)</f>
        <v/>
      </c>
      <c r="CB60" s="93" t="str" cm="1">
        <f t="array" ref="CB60">_xlfn.LET(
  _xlpm.w, CB$11,
  _xlpm.r, MATCH(1,('3. Enter Indicator Scores'!$B$10:$B$161=$B60)*('3. Enter Indicator Scores'!$C$10:$C$161=$C60),0),
  _xlpm.c, MATCH(CB$8,'3. Enter Indicator Scores'!$D$8:$CZ$8,0),
  _xlpm.v, IFERROR(INDEX('3. Enter Indicator Scores'!$D$10:$CZ$161,_xlpm.r,_xlpm.c),""),
  IF(OR(_xlpm.w="",_xlpm.v=""),"",_xlpm.v*_xlpm.w)
)</f>
        <v/>
      </c>
      <c r="CC60" s="93" t="str" cm="1">
        <f t="array" ref="CC60">_xlfn.LET(
  _xlpm.w, CC$11,
  _xlpm.r, MATCH(1,('3. Enter Indicator Scores'!$B$10:$B$161=$B60)*('3. Enter Indicator Scores'!$C$10:$C$161=$C60),0),
  _xlpm.c, MATCH(CC$8,'3. Enter Indicator Scores'!$D$8:$CZ$8,0),
  _xlpm.v, IFERROR(INDEX('3. Enter Indicator Scores'!$D$10:$CZ$161,_xlpm.r,_xlpm.c),""),
  IF(OR(_xlpm.w="",_xlpm.v=""),"",_xlpm.v*_xlpm.w)
)</f>
        <v/>
      </c>
      <c r="CD60" s="93" t="str" cm="1">
        <f t="array" ref="CD60">_xlfn.LET(
  _xlpm.w, CD$11,
  _xlpm.r, MATCH(1,('3. Enter Indicator Scores'!$B$10:$B$161=$B60)*('3. Enter Indicator Scores'!$C$10:$C$161=$C60),0),
  _xlpm.c, MATCH(CD$8,'3. Enter Indicator Scores'!$D$8:$CZ$8,0),
  _xlpm.v, IFERROR(INDEX('3. Enter Indicator Scores'!$D$10:$CZ$161,_xlpm.r,_xlpm.c),""),
  IF(OR(_xlpm.w="",_xlpm.v=""),"",_xlpm.v*_xlpm.w)
)</f>
        <v/>
      </c>
      <c r="CE60" s="93" t="str" cm="1">
        <f t="array" ref="CE60">_xlfn.LET(
  _xlpm.w, CE$11,
  _xlpm.r, MATCH(1,('3. Enter Indicator Scores'!$B$10:$B$161=$B60)*('3. Enter Indicator Scores'!$C$10:$C$161=$C60),0),
  _xlpm.c, MATCH(CE$8,'3. Enter Indicator Scores'!$D$8:$CZ$8,0),
  _xlpm.v, IFERROR(INDEX('3. Enter Indicator Scores'!$D$10:$CZ$161,_xlpm.r,_xlpm.c),""),
  IF(OR(_xlpm.w="",_xlpm.v=""),"",_xlpm.v*_xlpm.w)
)</f>
        <v/>
      </c>
      <c r="CF60" s="93" t="str" cm="1">
        <f t="array" ref="CF60">_xlfn.LET(
  _xlpm.w, CF$11,
  _xlpm.r, MATCH(1,('3. Enter Indicator Scores'!$B$10:$B$161=$B60)*('3. Enter Indicator Scores'!$C$10:$C$161=$C60),0),
  _xlpm.c, MATCH(CF$8,'3. Enter Indicator Scores'!$D$8:$CZ$8,0),
  _xlpm.v, IFERROR(INDEX('3. Enter Indicator Scores'!$D$10:$CZ$161,_xlpm.r,_xlpm.c),""),
  IF(OR(_xlpm.w="",_xlpm.v=""),"",_xlpm.v*_xlpm.w)
)</f>
        <v/>
      </c>
      <c r="CG60" s="93" t="str" cm="1">
        <f t="array" ref="CG60">_xlfn.LET(
  _xlpm.w, CG$11,
  _xlpm.r, MATCH(1,('3. Enter Indicator Scores'!$B$10:$B$161=$B60)*('3. Enter Indicator Scores'!$C$10:$C$161=$C60),0),
  _xlpm.c, MATCH(CG$8,'3. Enter Indicator Scores'!$D$8:$CZ$8,0),
  _xlpm.v, IFERROR(INDEX('3. Enter Indicator Scores'!$D$10:$CZ$161,_xlpm.r,_xlpm.c),""),
  IF(OR(_xlpm.w="",_xlpm.v=""),"",_xlpm.v*_xlpm.w)
)</f>
        <v/>
      </c>
      <c r="CH60" s="93" t="str" cm="1">
        <f t="array" ref="CH60">_xlfn.LET(
  _xlpm.w, CH$11,
  _xlpm.r, MATCH(1,('3. Enter Indicator Scores'!$B$10:$B$161=$B60)*('3. Enter Indicator Scores'!$C$10:$C$161=$C60),0),
  _xlpm.c, MATCH(CH$8,'3. Enter Indicator Scores'!$D$8:$CZ$8,0),
  _xlpm.v, IFERROR(INDEX('3. Enter Indicator Scores'!$D$10:$CZ$161,_xlpm.r,_xlpm.c),""),
  IF(OR(_xlpm.w="",_xlpm.v=""),"",_xlpm.v*_xlpm.w)
)</f>
        <v/>
      </c>
      <c r="CI60" s="93" t="str" cm="1">
        <f t="array" ref="CI60">_xlfn.LET(
  _xlpm.w, CI$11,
  _xlpm.r, MATCH(1,('3. Enter Indicator Scores'!$B$10:$B$161=$B60)*('3. Enter Indicator Scores'!$C$10:$C$161=$C60),0),
  _xlpm.c, MATCH(CI$8,'3. Enter Indicator Scores'!$D$8:$CZ$8,0),
  _xlpm.v, IFERROR(INDEX('3. Enter Indicator Scores'!$D$10:$CZ$161,_xlpm.r,_xlpm.c),""),
  IF(OR(_xlpm.w="",_xlpm.v=""),"",_xlpm.v*_xlpm.w)
)</f>
        <v/>
      </c>
      <c r="CJ60" s="93" t="str" cm="1">
        <f t="array" ref="CJ60">_xlfn.LET(
  _xlpm.w, CJ$11,
  _xlpm.r, MATCH(1,('3. Enter Indicator Scores'!$B$10:$B$161=$B60)*('3. Enter Indicator Scores'!$C$10:$C$161=$C60),0),
  _xlpm.c, MATCH(CJ$8,'3. Enter Indicator Scores'!$D$8:$CZ$8,0),
  _xlpm.v, IFERROR(INDEX('3. Enter Indicator Scores'!$D$10:$CZ$161,_xlpm.r,_xlpm.c),""),
  IF(OR(_xlpm.w="",_xlpm.v=""),"",_xlpm.v*_xlpm.w)
)</f>
        <v/>
      </c>
      <c r="CK60" s="93" t="str" cm="1">
        <f t="array" ref="CK60">_xlfn.LET(
  _xlpm.w, CK$11,
  _xlpm.r, MATCH(1,('3. Enter Indicator Scores'!$B$10:$B$161=$B60)*('3. Enter Indicator Scores'!$C$10:$C$161=$C60),0),
  _xlpm.c, MATCH(CK$8,'3. Enter Indicator Scores'!$D$8:$CZ$8,0),
  _xlpm.v, IFERROR(INDEX('3. Enter Indicator Scores'!$D$10:$CZ$161,_xlpm.r,_xlpm.c),""),
  IF(OR(_xlpm.w="",_xlpm.v=""),"",_xlpm.v*_xlpm.w)
)</f>
        <v/>
      </c>
      <c r="CL60" s="93" t="str" cm="1">
        <f t="array" ref="CL60">_xlfn.LET(
  _xlpm.w, CL$11,
  _xlpm.r, MATCH(1,('3. Enter Indicator Scores'!$B$10:$B$161=$B60)*('3. Enter Indicator Scores'!$C$10:$C$161=$C60),0),
  _xlpm.c, MATCH(CL$8,'3. Enter Indicator Scores'!$D$8:$CZ$8,0),
  _xlpm.v, IFERROR(INDEX('3. Enter Indicator Scores'!$D$10:$CZ$161,_xlpm.r,_xlpm.c),""),
  IF(OR(_xlpm.w="",_xlpm.v=""),"",_xlpm.v*_xlpm.w)
)</f>
        <v/>
      </c>
      <c r="CM60" s="93" t="str" cm="1">
        <f t="array" ref="CM60">_xlfn.LET(
  _xlpm.w, CM$11,
  _xlpm.r, MATCH(1,('3. Enter Indicator Scores'!$B$10:$B$161=$B60)*('3. Enter Indicator Scores'!$C$10:$C$161=$C60),0),
  _xlpm.c, MATCH(CM$8,'3. Enter Indicator Scores'!$D$8:$CZ$8,0),
  _xlpm.v, IFERROR(INDEX('3. Enter Indicator Scores'!$D$10:$CZ$161,_xlpm.r,_xlpm.c),""),
  IF(OR(_xlpm.w="",_xlpm.v=""),"",_xlpm.v*_xlpm.w)
)</f>
        <v/>
      </c>
      <c r="CN60" s="93" t="str" cm="1">
        <f t="array" ref="CN60">_xlfn.LET(
  _xlpm.w, CN$11,
  _xlpm.r, MATCH(1,('3. Enter Indicator Scores'!$B$10:$B$161=$B60)*('3. Enter Indicator Scores'!$C$10:$C$161=$C60),0),
  _xlpm.c, MATCH(CN$8,'3. Enter Indicator Scores'!$D$8:$CZ$8,0),
  _xlpm.v, IFERROR(INDEX('3. Enter Indicator Scores'!$D$10:$CZ$161,_xlpm.r,_xlpm.c),""),
  IF(OR(_xlpm.w="",_xlpm.v=""),"",_xlpm.v*_xlpm.w)
)</f>
        <v/>
      </c>
      <c r="CO60" s="93" t="str" cm="1">
        <f t="array" ref="CO60">_xlfn.LET(
  _xlpm.w, CO$11,
  _xlpm.r, MATCH(1,('3. Enter Indicator Scores'!$B$10:$B$161=$B60)*('3. Enter Indicator Scores'!$C$10:$C$161=$C60),0),
  _xlpm.c, MATCH(CO$8,'3. Enter Indicator Scores'!$D$8:$CZ$8,0),
  _xlpm.v, IFERROR(INDEX('3. Enter Indicator Scores'!$D$10:$CZ$161,_xlpm.r,_xlpm.c),""),
  IF(OR(_xlpm.w="",_xlpm.v=""),"",_xlpm.v*_xlpm.w)
)</f>
        <v/>
      </c>
      <c r="CP60" s="93" t="str" cm="1">
        <f t="array" ref="CP60">_xlfn.LET(
  _xlpm.w, CP$11,
  _xlpm.r, MATCH(1,('3. Enter Indicator Scores'!$B$10:$B$161=$B60)*('3. Enter Indicator Scores'!$C$10:$C$161=$C60),0),
  _xlpm.c, MATCH(CP$8,'3. Enter Indicator Scores'!$D$8:$CZ$8,0),
  _xlpm.v, IFERROR(INDEX('3. Enter Indicator Scores'!$D$10:$CZ$161,_xlpm.r,_xlpm.c),""),
  IF(OR(_xlpm.w="",_xlpm.v=""),"",_xlpm.v*_xlpm.w)
)</f>
        <v/>
      </c>
      <c r="CQ60" s="93" t="str" cm="1">
        <f t="array" ref="CQ60">_xlfn.LET(
  _xlpm.w, CQ$11,
  _xlpm.r, MATCH(1,('3. Enter Indicator Scores'!$B$10:$B$161=$B60)*('3. Enter Indicator Scores'!$C$10:$C$161=$C60),0),
  _xlpm.c, MATCH(CQ$8,'3. Enter Indicator Scores'!$D$8:$CZ$8,0),
  _xlpm.v, IFERROR(INDEX('3. Enter Indicator Scores'!$D$10:$CZ$161,_xlpm.r,_xlpm.c),""),
  IF(OR(_xlpm.w="",_xlpm.v=""),"",_xlpm.v*_xlpm.w)
)</f>
        <v/>
      </c>
      <c r="CR60" s="93" t="str" cm="1">
        <f t="array" ref="CR60">_xlfn.LET(
  _xlpm.w, CR$11,
  _xlpm.r, MATCH(1,('3. Enter Indicator Scores'!$B$10:$B$161=$B60)*('3. Enter Indicator Scores'!$C$10:$C$161=$C60),0),
  _xlpm.c, MATCH(CR$8,'3. Enter Indicator Scores'!$D$8:$CZ$8,0),
  _xlpm.v, IFERROR(INDEX('3. Enter Indicator Scores'!$D$10:$CZ$161,_xlpm.r,_xlpm.c),""),
  IF(OR(_xlpm.w="",_xlpm.v=""),"",_xlpm.v*_xlpm.w)
)</f>
        <v/>
      </c>
      <c r="CS60" s="93" t="str" cm="1">
        <f t="array" ref="CS60">_xlfn.LET(
  _xlpm.w, CS$11,
  _xlpm.r, MATCH(1,('3. Enter Indicator Scores'!$B$10:$B$161=$B60)*('3. Enter Indicator Scores'!$C$10:$C$161=$C60),0),
  _xlpm.c, MATCH(CS$8,'3. Enter Indicator Scores'!$D$8:$CZ$8,0),
  _xlpm.v, IFERROR(INDEX('3. Enter Indicator Scores'!$D$10:$CZ$161,_xlpm.r,_xlpm.c),""),
  IF(OR(_xlpm.w="",_xlpm.v=""),"",_xlpm.v*_xlpm.w)
)</f>
        <v/>
      </c>
      <c r="CT60" s="93" t="str" cm="1">
        <f t="array" ref="CT60">_xlfn.LET(
  _xlpm.w, CT$11,
  _xlpm.r, MATCH(1,('3. Enter Indicator Scores'!$B$10:$B$161=$B60)*('3. Enter Indicator Scores'!$C$10:$C$161=$C60),0),
  _xlpm.c, MATCH(CT$8,'3. Enter Indicator Scores'!$D$8:$CZ$8,0),
  _xlpm.v, IFERROR(INDEX('3. Enter Indicator Scores'!$D$10:$CZ$161,_xlpm.r,_xlpm.c),""),
  IF(OR(_xlpm.w="",_xlpm.v=""),"",_xlpm.v*_xlpm.w)
)</f>
        <v/>
      </c>
      <c r="CU60" s="93" t="str" cm="1">
        <f t="array" ref="CU60">_xlfn.LET(
  _xlpm.w, CU$11,
  _xlpm.r, MATCH(1,('3. Enter Indicator Scores'!$B$10:$B$161=$B60)*('3. Enter Indicator Scores'!$C$10:$C$161=$C60),0),
  _xlpm.c, MATCH(CU$8,'3. Enter Indicator Scores'!$D$8:$CZ$8,0),
  _xlpm.v, IFERROR(INDEX('3. Enter Indicator Scores'!$D$10:$CZ$161,_xlpm.r,_xlpm.c),""),
  IF(OR(_xlpm.w="",_xlpm.v=""),"",_xlpm.v*_xlpm.w)
)</f>
        <v/>
      </c>
      <c r="CV60" s="93" t="str" cm="1">
        <f t="array" ref="CV60">_xlfn.LET(
  _xlpm.w, CV$11,
  _xlpm.r, MATCH(1,('3. Enter Indicator Scores'!$B$10:$B$161=$B60)*('3. Enter Indicator Scores'!$C$10:$C$161=$C60),0),
  _xlpm.c, MATCH(CV$8,'3. Enter Indicator Scores'!$D$8:$CZ$8,0),
  _xlpm.v, IFERROR(INDEX('3. Enter Indicator Scores'!$D$10:$CZ$161,_xlpm.r,_xlpm.c),""),
  IF(OR(_xlpm.w="",_xlpm.v=""),"",_xlpm.v*_xlpm.w)
)</f>
        <v/>
      </c>
      <c r="CW60" s="93" t="str" cm="1">
        <f t="array" ref="CW60">_xlfn.LET(
  _xlpm.w, CW$11,
  _xlpm.r, MATCH(1,('3. Enter Indicator Scores'!$B$10:$B$161=$B60)*('3. Enter Indicator Scores'!$C$10:$C$161=$C60),0),
  _xlpm.c, MATCH(CW$8,'3. Enter Indicator Scores'!$D$8:$CZ$8,0),
  _xlpm.v, IFERROR(INDEX('3. Enter Indicator Scores'!$D$10:$CZ$161,_xlpm.r,_xlpm.c),""),
  IF(OR(_xlpm.w="",_xlpm.v=""),"",_xlpm.v*_xlpm.w)
)</f>
        <v/>
      </c>
      <c r="CX60" s="93" t="str" cm="1">
        <f t="array" ref="CX60">_xlfn.LET(
  _xlpm.w, CX$11,
  _xlpm.r, MATCH(1,('3. Enter Indicator Scores'!$B$10:$B$161=$B60)*('3. Enter Indicator Scores'!$C$10:$C$161=$C60),0),
  _xlpm.c, MATCH(CX$8,'3. Enter Indicator Scores'!$D$8:$CZ$8,0),
  _xlpm.v, IFERROR(INDEX('3. Enter Indicator Scores'!$D$10:$CZ$161,_xlpm.r,_xlpm.c),""),
  IF(OR(_xlpm.w="",_xlpm.v=""),"",_xlpm.v*_xlpm.w)
)</f>
        <v/>
      </c>
      <c r="CY60" s="93" t="str" cm="1">
        <f t="array" ref="CY60">_xlfn.LET(
  _xlpm.w, CY$11,
  _xlpm.r, MATCH(1,('3. Enter Indicator Scores'!$B$10:$B$161=$B60)*('3. Enter Indicator Scores'!$C$10:$C$161=$C60),0),
  _xlpm.c, MATCH(CY$8,'3. Enter Indicator Scores'!$D$8:$CZ$8,0),
  _xlpm.v, IFERROR(INDEX('3. Enter Indicator Scores'!$D$10:$CZ$161,_xlpm.r,_xlpm.c),""),
  IF(OR(_xlpm.w="",_xlpm.v=""),"",_xlpm.v*_xlpm.w)
)</f>
        <v/>
      </c>
      <c r="CZ60" s="93" t="str" cm="1">
        <f t="array" ref="CZ60">_xlfn.LET(
  _xlpm.w, CZ$11,
  _xlpm.r, MATCH(1,('3. Enter Indicator Scores'!$B$10:$B$161=$B60)*('3. Enter Indicator Scores'!$C$10:$C$161=$C60),0),
  _xlpm.c, MATCH(CZ$8,'3. Enter Indicator Scores'!$D$8:$CZ$8,0),
  _xlpm.v, IFERROR(INDEX('3. Enter Indicator Scores'!$D$10:$CZ$161,_xlpm.r,_xlpm.c),""),
  IF(OR(_xlpm.w="",_xlpm.v=""),"",_xlpm.v*_xlpm.w)
)</f>
        <v/>
      </c>
    </row>
    <row r="61" spans="4:104" x14ac:dyDescent="0.2">
      <c r="D61" s="93" t="str" cm="1">
        <f t="array" ref="D61">_xlfn.LET(
  _xlpm.w, D$11,
  _xlpm.r, MATCH(1,('3. Enter Indicator Scores'!$B$10:$B$161=$B61)*('3. Enter Indicator Scores'!$C$10:$C$161=$C61),0),
  _xlpm.c, MATCH(D$8,'3. Enter Indicator Scores'!$D$8:$CZ$8,0),
  _xlpm.v, IFERROR(INDEX('3. Enter Indicator Scores'!$D$10:$CZ$161,_xlpm.r,_xlpm.c),""),
  IF(OR(_xlpm.w="",_xlpm.v=""),"",_xlpm.v*_xlpm.w)
)</f>
        <v/>
      </c>
      <c r="E61" s="93" t="str" cm="1">
        <f t="array" ref="E61">_xlfn.LET(
  _xlpm.w, E$11,
  _xlpm.r, MATCH(1,('3. Enter Indicator Scores'!$B$10:$B$161=$B61)*('3. Enter Indicator Scores'!$C$10:$C$161=$C61),0),
  _xlpm.c, MATCH(E$8,'3. Enter Indicator Scores'!$D$8:$CZ$8,0),
  _xlpm.v, IFERROR(INDEX('3. Enter Indicator Scores'!$D$10:$CZ$161,_xlpm.r,_xlpm.c),""),
  IF(OR(_xlpm.w="",_xlpm.v=""),"",_xlpm.v*_xlpm.w)
)</f>
        <v/>
      </c>
      <c r="F61" s="93" t="str" cm="1">
        <f t="array" ref="F61">_xlfn.LET(
  _xlpm.w, F$11,
  _xlpm.r, MATCH(1,('3. Enter Indicator Scores'!$B$10:$B$161=$B61)*('3. Enter Indicator Scores'!$C$10:$C$161=$C61),0),
  _xlpm.c, MATCH(F$8,'3. Enter Indicator Scores'!$D$8:$CZ$8,0),
  _xlpm.v, IFERROR(INDEX('3. Enter Indicator Scores'!$D$10:$CZ$161,_xlpm.r,_xlpm.c),""),
  IF(OR(_xlpm.w="",_xlpm.v=""),"",_xlpm.v*_xlpm.w)
)</f>
        <v/>
      </c>
      <c r="G61" s="93" t="str" cm="1">
        <f t="array" ref="G61">_xlfn.LET(
  _xlpm.w, G$11,
  _xlpm.r, MATCH(1,('3. Enter Indicator Scores'!$B$10:$B$161=$B61)*('3. Enter Indicator Scores'!$C$10:$C$161=$C61),0),
  _xlpm.c, MATCH(G$8,'3. Enter Indicator Scores'!$D$8:$CZ$8,0),
  _xlpm.v, IFERROR(INDEX('3. Enter Indicator Scores'!$D$10:$CZ$161,_xlpm.r,_xlpm.c),""),
  IF(OR(_xlpm.w="",_xlpm.v=""),"",_xlpm.v*_xlpm.w)
)</f>
        <v/>
      </c>
      <c r="H61" s="93" t="str" cm="1">
        <f t="array" ref="H61">_xlfn.LET(
  _xlpm.w, H$11,
  _xlpm.r, MATCH(1,('3. Enter Indicator Scores'!$B$10:$B$161=$B61)*('3. Enter Indicator Scores'!$C$10:$C$161=$C61),0),
  _xlpm.c, MATCH(H$8,'3. Enter Indicator Scores'!$D$8:$CZ$8,0),
  _xlpm.v, IFERROR(INDEX('3. Enter Indicator Scores'!$D$10:$CZ$161,_xlpm.r,_xlpm.c),""),
  IF(OR(_xlpm.w="",_xlpm.v=""),"",_xlpm.v*_xlpm.w)
)</f>
        <v/>
      </c>
      <c r="I61" s="93" t="str" cm="1">
        <f t="array" ref="I61">_xlfn.LET(
  _xlpm.w, I$11,
  _xlpm.r, MATCH(1,('3. Enter Indicator Scores'!$B$10:$B$161=$B61)*('3. Enter Indicator Scores'!$C$10:$C$161=$C61),0),
  _xlpm.c, MATCH(I$8,'3. Enter Indicator Scores'!$D$8:$CZ$8,0),
  _xlpm.v, IFERROR(INDEX('3. Enter Indicator Scores'!$D$10:$CZ$161,_xlpm.r,_xlpm.c),""),
  IF(OR(_xlpm.w="",_xlpm.v=""),"",_xlpm.v*_xlpm.w)
)</f>
        <v/>
      </c>
      <c r="J61" s="93" t="str" cm="1">
        <f t="array" ref="J61">_xlfn.LET(
  _xlpm.w, J$11,
  _xlpm.r, MATCH(1,('3. Enter Indicator Scores'!$B$10:$B$161=$B61)*('3. Enter Indicator Scores'!$C$10:$C$161=$C61),0),
  _xlpm.c, MATCH(J$8,'3. Enter Indicator Scores'!$D$8:$CZ$8,0),
  _xlpm.v, IFERROR(INDEX('3. Enter Indicator Scores'!$D$10:$CZ$161,_xlpm.r,_xlpm.c),""),
  IF(OR(_xlpm.w="",_xlpm.v=""),"",_xlpm.v*_xlpm.w)
)</f>
        <v/>
      </c>
      <c r="K61" s="93" t="str" cm="1">
        <f t="array" ref="K61">_xlfn.LET(
  _xlpm.w, K$11,
  _xlpm.r, MATCH(1,('3. Enter Indicator Scores'!$B$10:$B$161=$B61)*('3. Enter Indicator Scores'!$C$10:$C$161=$C61),0),
  _xlpm.c, MATCH(K$8,'3. Enter Indicator Scores'!$D$8:$CZ$8,0),
  _xlpm.v, IFERROR(INDEX('3. Enter Indicator Scores'!$D$10:$CZ$161,_xlpm.r,_xlpm.c),""),
  IF(OR(_xlpm.w="",_xlpm.v=""),"",_xlpm.v*_xlpm.w)
)</f>
        <v/>
      </c>
      <c r="L61" s="93" t="str" cm="1">
        <f t="array" ref="L61">_xlfn.LET(
  _xlpm.w, L$11,
  _xlpm.r, MATCH(1,('3. Enter Indicator Scores'!$B$10:$B$161=$B61)*('3. Enter Indicator Scores'!$C$10:$C$161=$C61),0),
  _xlpm.c, MATCH(L$8,'3. Enter Indicator Scores'!$D$8:$CZ$8,0),
  _xlpm.v, IFERROR(INDEX('3. Enter Indicator Scores'!$D$10:$CZ$161,_xlpm.r,_xlpm.c),""),
  IF(OR(_xlpm.w="",_xlpm.v=""),"",_xlpm.v*_xlpm.w)
)</f>
        <v/>
      </c>
      <c r="M61" s="93" t="str" cm="1">
        <f t="array" ref="M61">_xlfn.LET(
  _xlpm.w, M$11,
  _xlpm.r, MATCH(1,('3. Enter Indicator Scores'!$B$10:$B$161=$B61)*('3. Enter Indicator Scores'!$C$10:$C$161=$C61),0),
  _xlpm.c, MATCH(M$8,'3. Enter Indicator Scores'!$D$8:$CZ$8,0),
  _xlpm.v, IFERROR(INDEX('3. Enter Indicator Scores'!$D$10:$CZ$161,_xlpm.r,_xlpm.c),""),
  IF(OR(_xlpm.w="",_xlpm.v=""),"",_xlpm.v*_xlpm.w)
)</f>
        <v/>
      </c>
      <c r="N61" s="93" t="str" cm="1">
        <f t="array" ref="N61">_xlfn.LET(
  _xlpm.w, N$11,
  _xlpm.r, MATCH(1,('3. Enter Indicator Scores'!$B$10:$B$161=$B61)*('3. Enter Indicator Scores'!$C$10:$C$161=$C61),0),
  _xlpm.c, MATCH(N$8,'3. Enter Indicator Scores'!$D$8:$CZ$8,0),
  _xlpm.v, IFERROR(INDEX('3. Enter Indicator Scores'!$D$10:$CZ$161,_xlpm.r,_xlpm.c),""),
  IF(OR(_xlpm.w="",_xlpm.v=""),"",_xlpm.v*_xlpm.w)
)</f>
        <v/>
      </c>
      <c r="O61" s="93" t="str" cm="1">
        <f t="array" ref="O61">_xlfn.LET(
  _xlpm.w, O$11,
  _xlpm.r, MATCH(1,('3. Enter Indicator Scores'!$B$10:$B$161=$B61)*('3. Enter Indicator Scores'!$C$10:$C$161=$C61),0),
  _xlpm.c, MATCH(O$8,'3. Enter Indicator Scores'!$D$8:$CZ$8,0),
  _xlpm.v, IFERROR(INDEX('3. Enter Indicator Scores'!$D$10:$CZ$161,_xlpm.r,_xlpm.c),""),
  IF(OR(_xlpm.w="",_xlpm.v=""),"",_xlpm.v*_xlpm.w)
)</f>
        <v/>
      </c>
      <c r="P61" s="93" t="str" cm="1">
        <f t="array" ref="P61">_xlfn.LET(
  _xlpm.w, P$11,
  _xlpm.r, MATCH(1,('3. Enter Indicator Scores'!$B$10:$B$161=$B61)*('3. Enter Indicator Scores'!$C$10:$C$161=$C61),0),
  _xlpm.c, MATCH(P$8,'3. Enter Indicator Scores'!$D$8:$CZ$8,0),
  _xlpm.v, IFERROR(INDEX('3. Enter Indicator Scores'!$D$10:$CZ$161,_xlpm.r,_xlpm.c),""),
  IF(OR(_xlpm.w="",_xlpm.v=""),"",_xlpm.v*_xlpm.w)
)</f>
        <v/>
      </c>
      <c r="Q61" s="93" t="str" cm="1">
        <f t="array" ref="Q61">_xlfn.LET(
  _xlpm.w, Q$11,
  _xlpm.r, MATCH(1,('3. Enter Indicator Scores'!$B$10:$B$161=$B61)*('3. Enter Indicator Scores'!$C$10:$C$161=$C61),0),
  _xlpm.c, MATCH(Q$8,'3. Enter Indicator Scores'!$D$8:$CZ$8,0),
  _xlpm.v, IFERROR(INDEX('3. Enter Indicator Scores'!$D$10:$CZ$161,_xlpm.r,_xlpm.c),""),
  IF(OR(_xlpm.w="",_xlpm.v=""),"",_xlpm.v*_xlpm.w)
)</f>
        <v/>
      </c>
      <c r="R61" s="93" t="str" cm="1">
        <f t="array" ref="R61">_xlfn.LET(
  _xlpm.w, R$11,
  _xlpm.r, MATCH(1,('3. Enter Indicator Scores'!$B$10:$B$161=$B61)*('3. Enter Indicator Scores'!$C$10:$C$161=$C61),0),
  _xlpm.c, MATCH(R$8,'3. Enter Indicator Scores'!$D$8:$CZ$8,0),
  _xlpm.v, IFERROR(INDEX('3. Enter Indicator Scores'!$D$10:$CZ$161,_xlpm.r,_xlpm.c),""),
  IF(OR(_xlpm.w="",_xlpm.v=""),"",_xlpm.v*_xlpm.w)
)</f>
        <v/>
      </c>
      <c r="S61" s="93" t="str" cm="1">
        <f t="array" ref="S61">_xlfn.LET(
  _xlpm.w, S$11,
  _xlpm.r, MATCH(1,('3. Enter Indicator Scores'!$B$10:$B$161=$B61)*('3. Enter Indicator Scores'!$C$10:$C$161=$C61),0),
  _xlpm.c, MATCH(S$8,'3. Enter Indicator Scores'!$D$8:$CZ$8,0),
  _xlpm.v, IFERROR(INDEX('3. Enter Indicator Scores'!$D$10:$CZ$161,_xlpm.r,_xlpm.c),""),
  IF(OR(_xlpm.w="",_xlpm.v=""),"",_xlpm.v*_xlpm.w)
)</f>
        <v/>
      </c>
      <c r="T61" s="93" t="str" cm="1">
        <f t="array" ref="T61">_xlfn.LET(
  _xlpm.w, T$11,
  _xlpm.r, MATCH(1,('3. Enter Indicator Scores'!$B$10:$B$161=$B61)*('3. Enter Indicator Scores'!$C$10:$C$161=$C61),0),
  _xlpm.c, MATCH(T$8,'3. Enter Indicator Scores'!$D$8:$CZ$8,0),
  _xlpm.v, IFERROR(INDEX('3. Enter Indicator Scores'!$D$10:$CZ$161,_xlpm.r,_xlpm.c),""),
  IF(OR(_xlpm.w="",_xlpm.v=""),"",_xlpm.v*_xlpm.w)
)</f>
        <v/>
      </c>
      <c r="U61" s="93" t="str" cm="1">
        <f t="array" ref="U61">_xlfn.LET(
  _xlpm.w, U$11,
  _xlpm.r, MATCH(1,('3. Enter Indicator Scores'!$B$10:$B$161=$B61)*('3. Enter Indicator Scores'!$C$10:$C$161=$C61),0),
  _xlpm.c, MATCH(U$8,'3. Enter Indicator Scores'!$D$8:$CZ$8,0),
  _xlpm.v, IFERROR(INDEX('3. Enter Indicator Scores'!$D$10:$CZ$161,_xlpm.r,_xlpm.c),""),
  IF(OR(_xlpm.w="",_xlpm.v=""),"",_xlpm.v*_xlpm.w)
)</f>
        <v/>
      </c>
      <c r="V61" s="93" t="str" cm="1">
        <f t="array" ref="V61">_xlfn.LET(
  _xlpm.w, V$11,
  _xlpm.r, MATCH(1,('3. Enter Indicator Scores'!$B$10:$B$161=$B61)*('3. Enter Indicator Scores'!$C$10:$C$161=$C61),0),
  _xlpm.c, MATCH(V$8,'3. Enter Indicator Scores'!$D$8:$CZ$8,0),
  _xlpm.v, IFERROR(INDEX('3. Enter Indicator Scores'!$D$10:$CZ$161,_xlpm.r,_xlpm.c),""),
  IF(OR(_xlpm.w="",_xlpm.v=""),"",_xlpm.v*_xlpm.w)
)</f>
        <v/>
      </c>
      <c r="W61" s="93" t="str" cm="1">
        <f t="array" ref="W61">_xlfn.LET(
  _xlpm.w, W$11,
  _xlpm.r, MATCH(1,('3. Enter Indicator Scores'!$B$10:$B$161=$B61)*('3. Enter Indicator Scores'!$C$10:$C$161=$C61),0),
  _xlpm.c, MATCH(W$8,'3. Enter Indicator Scores'!$D$8:$CZ$8,0),
  _xlpm.v, IFERROR(INDEX('3. Enter Indicator Scores'!$D$10:$CZ$161,_xlpm.r,_xlpm.c),""),
  IF(OR(_xlpm.w="",_xlpm.v=""),"",_xlpm.v*_xlpm.w)
)</f>
        <v/>
      </c>
      <c r="X61" s="93" t="str" cm="1">
        <f t="array" ref="X61">_xlfn.LET(
  _xlpm.w, X$11,
  _xlpm.r, MATCH(1,('3. Enter Indicator Scores'!$B$10:$B$161=$B61)*('3. Enter Indicator Scores'!$C$10:$C$161=$C61),0),
  _xlpm.c, MATCH(X$8,'3. Enter Indicator Scores'!$D$8:$CZ$8,0),
  _xlpm.v, IFERROR(INDEX('3. Enter Indicator Scores'!$D$10:$CZ$161,_xlpm.r,_xlpm.c),""),
  IF(OR(_xlpm.w="",_xlpm.v=""),"",_xlpm.v*_xlpm.w)
)</f>
        <v/>
      </c>
      <c r="Y61" s="93" t="str" cm="1">
        <f t="array" ref="Y61">_xlfn.LET(
  _xlpm.w, Y$11,
  _xlpm.r, MATCH(1,('3. Enter Indicator Scores'!$B$10:$B$161=$B61)*('3. Enter Indicator Scores'!$C$10:$C$161=$C61),0),
  _xlpm.c, MATCH(Y$8,'3. Enter Indicator Scores'!$D$8:$CZ$8,0),
  _xlpm.v, IFERROR(INDEX('3. Enter Indicator Scores'!$D$10:$CZ$161,_xlpm.r,_xlpm.c),""),
  IF(OR(_xlpm.w="",_xlpm.v=""),"",_xlpm.v*_xlpm.w)
)</f>
        <v/>
      </c>
      <c r="Z61" s="93" t="str" cm="1">
        <f t="array" ref="Z61">_xlfn.LET(
  _xlpm.w, Z$11,
  _xlpm.r, MATCH(1,('3. Enter Indicator Scores'!$B$10:$B$161=$B61)*('3. Enter Indicator Scores'!$C$10:$C$161=$C61),0),
  _xlpm.c, MATCH(Z$8,'3. Enter Indicator Scores'!$D$8:$CZ$8,0),
  _xlpm.v, IFERROR(INDEX('3. Enter Indicator Scores'!$D$10:$CZ$161,_xlpm.r,_xlpm.c),""),
  IF(OR(_xlpm.w="",_xlpm.v=""),"",_xlpm.v*_xlpm.w)
)</f>
        <v/>
      </c>
      <c r="AA61" s="93" t="str" cm="1">
        <f t="array" ref="AA61">_xlfn.LET(
  _xlpm.w, AA$11,
  _xlpm.r, MATCH(1,('3. Enter Indicator Scores'!$B$10:$B$161=$B61)*('3. Enter Indicator Scores'!$C$10:$C$161=$C61),0),
  _xlpm.c, MATCH(AA$8,'3. Enter Indicator Scores'!$D$8:$CZ$8,0),
  _xlpm.v, IFERROR(INDEX('3. Enter Indicator Scores'!$D$10:$CZ$161,_xlpm.r,_xlpm.c),""),
  IF(OR(_xlpm.w="",_xlpm.v=""),"",_xlpm.v*_xlpm.w)
)</f>
        <v/>
      </c>
      <c r="AB61" s="93" t="str" cm="1">
        <f t="array" ref="AB61">_xlfn.LET(
  _xlpm.w, AB$11,
  _xlpm.r, MATCH(1,('3. Enter Indicator Scores'!$B$10:$B$161=$B61)*('3. Enter Indicator Scores'!$C$10:$C$161=$C61),0),
  _xlpm.c, MATCH(AB$8,'3. Enter Indicator Scores'!$D$8:$CZ$8,0),
  _xlpm.v, IFERROR(INDEX('3. Enter Indicator Scores'!$D$10:$CZ$161,_xlpm.r,_xlpm.c),""),
  IF(OR(_xlpm.w="",_xlpm.v=""),"",_xlpm.v*_xlpm.w)
)</f>
        <v/>
      </c>
      <c r="AC61" s="93" t="str" cm="1">
        <f t="array" ref="AC61">_xlfn.LET(
  _xlpm.w, AC$11,
  _xlpm.r, MATCH(1,('3. Enter Indicator Scores'!$B$10:$B$161=$B61)*('3. Enter Indicator Scores'!$C$10:$C$161=$C61),0),
  _xlpm.c, MATCH(AC$8,'3. Enter Indicator Scores'!$D$8:$CZ$8,0),
  _xlpm.v, IFERROR(INDEX('3. Enter Indicator Scores'!$D$10:$CZ$161,_xlpm.r,_xlpm.c),""),
  IF(OR(_xlpm.w="",_xlpm.v=""),"",_xlpm.v*_xlpm.w)
)</f>
        <v/>
      </c>
      <c r="AD61" s="93" t="str" cm="1">
        <f t="array" ref="AD61">_xlfn.LET(
  _xlpm.w, AD$11,
  _xlpm.r, MATCH(1,('3. Enter Indicator Scores'!$B$10:$B$161=$B61)*('3. Enter Indicator Scores'!$C$10:$C$161=$C61),0),
  _xlpm.c, MATCH(AD$8,'3. Enter Indicator Scores'!$D$8:$CZ$8,0),
  _xlpm.v, IFERROR(INDEX('3. Enter Indicator Scores'!$D$10:$CZ$161,_xlpm.r,_xlpm.c),""),
  IF(OR(_xlpm.w="",_xlpm.v=""),"",_xlpm.v*_xlpm.w)
)</f>
        <v/>
      </c>
      <c r="AE61" s="93" t="str" cm="1">
        <f t="array" ref="AE61">_xlfn.LET(
  _xlpm.w, AE$11,
  _xlpm.r, MATCH(1,('3. Enter Indicator Scores'!$B$10:$B$161=$B61)*('3. Enter Indicator Scores'!$C$10:$C$161=$C61),0),
  _xlpm.c, MATCH(AE$8,'3. Enter Indicator Scores'!$D$8:$CZ$8,0),
  _xlpm.v, IFERROR(INDEX('3. Enter Indicator Scores'!$D$10:$CZ$161,_xlpm.r,_xlpm.c),""),
  IF(OR(_xlpm.w="",_xlpm.v=""),"",_xlpm.v*_xlpm.w)
)</f>
        <v/>
      </c>
      <c r="AF61" s="93" t="str" cm="1">
        <f t="array" ref="AF61">_xlfn.LET(
  _xlpm.w, AF$11,
  _xlpm.r, MATCH(1,('3. Enter Indicator Scores'!$B$10:$B$161=$B61)*('3. Enter Indicator Scores'!$C$10:$C$161=$C61),0),
  _xlpm.c, MATCH(AF$8,'3. Enter Indicator Scores'!$D$8:$CZ$8,0),
  _xlpm.v, IFERROR(INDEX('3. Enter Indicator Scores'!$D$10:$CZ$161,_xlpm.r,_xlpm.c),""),
  IF(OR(_xlpm.w="",_xlpm.v=""),"",_xlpm.v*_xlpm.w)
)</f>
        <v/>
      </c>
      <c r="AG61" s="93" t="str" cm="1">
        <f t="array" ref="AG61">_xlfn.LET(
  _xlpm.w, AG$11,
  _xlpm.r, MATCH(1,('3. Enter Indicator Scores'!$B$10:$B$161=$B61)*('3. Enter Indicator Scores'!$C$10:$C$161=$C61),0),
  _xlpm.c, MATCH(AG$8,'3. Enter Indicator Scores'!$D$8:$CZ$8,0),
  _xlpm.v, IFERROR(INDEX('3. Enter Indicator Scores'!$D$10:$CZ$161,_xlpm.r,_xlpm.c),""),
  IF(OR(_xlpm.w="",_xlpm.v=""),"",_xlpm.v*_xlpm.w)
)</f>
        <v/>
      </c>
      <c r="AH61" s="93" t="str" cm="1">
        <f t="array" ref="AH61">_xlfn.LET(
  _xlpm.w, AH$11,
  _xlpm.r, MATCH(1,('3. Enter Indicator Scores'!$B$10:$B$161=$B61)*('3. Enter Indicator Scores'!$C$10:$C$161=$C61),0),
  _xlpm.c, MATCH(AH$8,'3. Enter Indicator Scores'!$D$8:$CZ$8,0),
  _xlpm.v, IFERROR(INDEX('3. Enter Indicator Scores'!$D$10:$CZ$161,_xlpm.r,_xlpm.c),""),
  IF(OR(_xlpm.w="",_xlpm.v=""),"",_xlpm.v*_xlpm.w)
)</f>
        <v/>
      </c>
      <c r="AI61" s="93" t="str" cm="1">
        <f t="array" ref="AI61">_xlfn.LET(
  _xlpm.w, AI$11,
  _xlpm.r, MATCH(1,('3. Enter Indicator Scores'!$B$10:$B$161=$B61)*('3. Enter Indicator Scores'!$C$10:$C$161=$C61),0),
  _xlpm.c, MATCH(AI$8,'3. Enter Indicator Scores'!$D$8:$CZ$8,0),
  _xlpm.v, IFERROR(INDEX('3. Enter Indicator Scores'!$D$10:$CZ$161,_xlpm.r,_xlpm.c),""),
  IF(OR(_xlpm.w="",_xlpm.v=""),"",_xlpm.v*_xlpm.w)
)</f>
        <v/>
      </c>
      <c r="AJ61" s="93" t="str" cm="1">
        <f t="array" ref="AJ61">_xlfn.LET(
  _xlpm.w, AJ$11,
  _xlpm.r, MATCH(1,('3. Enter Indicator Scores'!$B$10:$B$161=$B61)*('3. Enter Indicator Scores'!$C$10:$C$161=$C61),0),
  _xlpm.c, MATCH(AJ$8,'3. Enter Indicator Scores'!$D$8:$CZ$8,0),
  _xlpm.v, IFERROR(INDEX('3. Enter Indicator Scores'!$D$10:$CZ$161,_xlpm.r,_xlpm.c),""),
  IF(OR(_xlpm.w="",_xlpm.v=""),"",_xlpm.v*_xlpm.w)
)</f>
        <v/>
      </c>
      <c r="AK61" s="93" t="str" cm="1">
        <f t="array" ref="AK61">_xlfn.LET(
  _xlpm.w, AK$11,
  _xlpm.r, MATCH(1,('3. Enter Indicator Scores'!$B$10:$B$161=$B61)*('3. Enter Indicator Scores'!$C$10:$C$161=$C61),0),
  _xlpm.c, MATCH(AK$8,'3. Enter Indicator Scores'!$D$8:$CZ$8,0),
  _xlpm.v, IFERROR(INDEX('3. Enter Indicator Scores'!$D$10:$CZ$161,_xlpm.r,_xlpm.c),""),
  IF(OR(_xlpm.w="",_xlpm.v=""),"",_xlpm.v*_xlpm.w)
)</f>
        <v/>
      </c>
      <c r="AL61" s="93" t="str" cm="1">
        <f t="array" ref="AL61">_xlfn.LET(
  _xlpm.w, AL$11,
  _xlpm.r, MATCH(1,('3. Enter Indicator Scores'!$B$10:$B$161=$B61)*('3. Enter Indicator Scores'!$C$10:$C$161=$C61),0),
  _xlpm.c, MATCH(AL$8,'3. Enter Indicator Scores'!$D$8:$CZ$8,0),
  _xlpm.v, IFERROR(INDEX('3. Enter Indicator Scores'!$D$10:$CZ$161,_xlpm.r,_xlpm.c),""),
  IF(OR(_xlpm.w="",_xlpm.v=""),"",_xlpm.v*_xlpm.w)
)</f>
        <v/>
      </c>
      <c r="AM61" s="93" t="str" cm="1">
        <f t="array" ref="AM61">_xlfn.LET(
  _xlpm.w, AM$11,
  _xlpm.r, MATCH(1,('3. Enter Indicator Scores'!$B$10:$B$161=$B61)*('3. Enter Indicator Scores'!$C$10:$C$161=$C61),0),
  _xlpm.c, MATCH(AM$8,'3. Enter Indicator Scores'!$D$8:$CZ$8,0),
  _xlpm.v, IFERROR(INDEX('3. Enter Indicator Scores'!$D$10:$CZ$161,_xlpm.r,_xlpm.c),""),
  IF(OR(_xlpm.w="",_xlpm.v=""),"",_xlpm.v*_xlpm.w)
)</f>
        <v/>
      </c>
      <c r="AN61" s="93" t="str" cm="1">
        <f t="array" ref="AN61">_xlfn.LET(
  _xlpm.w, AN$11,
  _xlpm.r, MATCH(1,('3. Enter Indicator Scores'!$B$10:$B$161=$B61)*('3. Enter Indicator Scores'!$C$10:$C$161=$C61),0),
  _xlpm.c, MATCH(AN$8,'3. Enter Indicator Scores'!$D$8:$CZ$8,0),
  _xlpm.v, IFERROR(INDEX('3. Enter Indicator Scores'!$D$10:$CZ$161,_xlpm.r,_xlpm.c),""),
  IF(OR(_xlpm.w="",_xlpm.v=""),"",_xlpm.v*_xlpm.w)
)</f>
        <v/>
      </c>
      <c r="AO61" s="93" t="str" cm="1">
        <f t="array" ref="AO61">_xlfn.LET(
  _xlpm.w, AO$11,
  _xlpm.r, MATCH(1,('3. Enter Indicator Scores'!$B$10:$B$161=$B61)*('3. Enter Indicator Scores'!$C$10:$C$161=$C61),0),
  _xlpm.c, MATCH(AO$8,'3. Enter Indicator Scores'!$D$8:$CZ$8,0),
  _xlpm.v, IFERROR(INDEX('3. Enter Indicator Scores'!$D$10:$CZ$161,_xlpm.r,_xlpm.c),""),
  IF(OR(_xlpm.w="",_xlpm.v=""),"",_xlpm.v*_xlpm.w)
)</f>
        <v/>
      </c>
      <c r="AP61" s="93" t="str" cm="1">
        <f t="array" ref="AP61">_xlfn.LET(
  _xlpm.w, AP$11,
  _xlpm.r, MATCH(1,('3. Enter Indicator Scores'!$B$10:$B$161=$B61)*('3. Enter Indicator Scores'!$C$10:$C$161=$C61),0),
  _xlpm.c, MATCH(AP$8,'3. Enter Indicator Scores'!$D$8:$CZ$8,0),
  _xlpm.v, IFERROR(INDEX('3. Enter Indicator Scores'!$D$10:$CZ$161,_xlpm.r,_xlpm.c),""),
  IF(OR(_xlpm.w="",_xlpm.v=""),"",_xlpm.v*_xlpm.w)
)</f>
        <v/>
      </c>
      <c r="AQ61" s="93" t="str" cm="1">
        <f t="array" ref="AQ61">_xlfn.LET(
  _xlpm.w, AQ$11,
  _xlpm.r, MATCH(1,('3. Enter Indicator Scores'!$B$10:$B$161=$B61)*('3. Enter Indicator Scores'!$C$10:$C$161=$C61),0),
  _xlpm.c, MATCH(AQ$8,'3. Enter Indicator Scores'!$D$8:$CZ$8,0),
  _xlpm.v, IFERROR(INDEX('3. Enter Indicator Scores'!$D$10:$CZ$161,_xlpm.r,_xlpm.c),""),
  IF(OR(_xlpm.w="",_xlpm.v=""),"",_xlpm.v*_xlpm.w)
)</f>
        <v/>
      </c>
      <c r="AR61" s="93" t="str" cm="1">
        <f t="array" ref="AR61">_xlfn.LET(
  _xlpm.w, AR$11,
  _xlpm.r, MATCH(1,('3. Enter Indicator Scores'!$B$10:$B$161=$B61)*('3. Enter Indicator Scores'!$C$10:$C$161=$C61),0),
  _xlpm.c, MATCH(AR$8,'3. Enter Indicator Scores'!$D$8:$CZ$8,0),
  _xlpm.v, IFERROR(INDEX('3. Enter Indicator Scores'!$D$10:$CZ$161,_xlpm.r,_xlpm.c),""),
  IF(OR(_xlpm.w="",_xlpm.v=""),"",_xlpm.v*_xlpm.w)
)</f>
        <v/>
      </c>
      <c r="AS61" s="93" t="str" cm="1">
        <f t="array" ref="AS61">_xlfn.LET(
  _xlpm.w, AS$11,
  _xlpm.r, MATCH(1,('3. Enter Indicator Scores'!$B$10:$B$161=$B61)*('3. Enter Indicator Scores'!$C$10:$C$161=$C61),0),
  _xlpm.c, MATCH(AS$8,'3. Enter Indicator Scores'!$D$8:$CZ$8,0),
  _xlpm.v, IFERROR(INDEX('3. Enter Indicator Scores'!$D$10:$CZ$161,_xlpm.r,_xlpm.c),""),
  IF(OR(_xlpm.w="",_xlpm.v=""),"",_xlpm.v*_xlpm.w)
)</f>
        <v/>
      </c>
      <c r="AT61" s="93" t="str" cm="1">
        <f t="array" ref="AT61">_xlfn.LET(
  _xlpm.w, AT$11,
  _xlpm.r, MATCH(1,('3. Enter Indicator Scores'!$B$10:$B$161=$B61)*('3. Enter Indicator Scores'!$C$10:$C$161=$C61),0),
  _xlpm.c, MATCH(AT$8,'3. Enter Indicator Scores'!$D$8:$CZ$8,0),
  _xlpm.v, IFERROR(INDEX('3. Enter Indicator Scores'!$D$10:$CZ$161,_xlpm.r,_xlpm.c),""),
  IF(OR(_xlpm.w="",_xlpm.v=""),"",_xlpm.v*_xlpm.w)
)</f>
        <v/>
      </c>
      <c r="AU61" s="93" t="str" cm="1">
        <f t="array" ref="AU61">_xlfn.LET(
  _xlpm.w, AU$11,
  _xlpm.r, MATCH(1,('3. Enter Indicator Scores'!$B$10:$B$161=$B61)*('3. Enter Indicator Scores'!$C$10:$C$161=$C61),0),
  _xlpm.c, MATCH(AU$8,'3. Enter Indicator Scores'!$D$8:$CZ$8,0),
  _xlpm.v, IFERROR(INDEX('3. Enter Indicator Scores'!$D$10:$CZ$161,_xlpm.r,_xlpm.c),""),
  IF(OR(_xlpm.w="",_xlpm.v=""),"",_xlpm.v*_xlpm.w)
)</f>
        <v/>
      </c>
      <c r="AV61" s="93" t="str" cm="1">
        <f t="array" ref="AV61">_xlfn.LET(
  _xlpm.w, AV$11,
  _xlpm.r, MATCH(1,('3. Enter Indicator Scores'!$B$10:$B$161=$B61)*('3. Enter Indicator Scores'!$C$10:$C$161=$C61),0),
  _xlpm.c, MATCH(AV$8,'3. Enter Indicator Scores'!$D$8:$CZ$8,0),
  _xlpm.v, IFERROR(INDEX('3. Enter Indicator Scores'!$D$10:$CZ$161,_xlpm.r,_xlpm.c),""),
  IF(OR(_xlpm.w="",_xlpm.v=""),"",_xlpm.v*_xlpm.w)
)</f>
        <v/>
      </c>
      <c r="AW61" s="93" t="str" cm="1">
        <f t="array" ref="AW61">_xlfn.LET(
  _xlpm.w, AW$11,
  _xlpm.r, MATCH(1,('3. Enter Indicator Scores'!$B$10:$B$161=$B61)*('3. Enter Indicator Scores'!$C$10:$C$161=$C61),0),
  _xlpm.c, MATCH(AW$8,'3. Enter Indicator Scores'!$D$8:$CZ$8,0),
  _xlpm.v, IFERROR(INDEX('3. Enter Indicator Scores'!$D$10:$CZ$161,_xlpm.r,_xlpm.c),""),
  IF(OR(_xlpm.w="",_xlpm.v=""),"",_xlpm.v*_xlpm.w)
)</f>
        <v/>
      </c>
      <c r="AX61" s="93" t="str" cm="1">
        <f t="array" ref="AX61">_xlfn.LET(
  _xlpm.w, AX$11,
  _xlpm.r, MATCH(1,('3. Enter Indicator Scores'!$B$10:$B$161=$B61)*('3. Enter Indicator Scores'!$C$10:$C$161=$C61),0),
  _xlpm.c, MATCH(AX$8,'3. Enter Indicator Scores'!$D$8:$CZ$8,0),
  _xlpm.v, IFERROR(INDEX('3. Enter Indicator Scores'!$D$10:$CZ$161,_xlpm.r,_xlpm.c),""),
  IF(OR(_xlpm.w="",_xlpm.v=""),"",_xlpm.v*_xlpm.w)
)</f>
        <v/>
      </c>
      <c r="AY61" s="93" t="str" cm="1">
        <f t="array" ref="AY61">_xlfn.LET(
  _xlpm.w, AY$11,
  _xlpm.r, MATCH(1,('3. Enter Indicator Scores'!$B$10:$B$161=$B61)*('3. Enter Indicator Scores'!$C$10:$C$161=$C61),0),
  _xlpm.c, MATCH(AY$8,'3. Enter Indicator Scores'!$D$8:$CZ$8,0),
  _xlpm.v, IFERROR(INDEX('3. Enter Indicator Scores'!$D$10:$CZ$161,_xlpm.r,_xlpm.c),""),
  IF(OR(_xlpm.w="",_xlpm.v=""),"",_xlpm.v*_xlpm.w)
)</f>
        <v/>
      </c>
      <c r="AZ61" s="93" t="str" cm="1">
        <f t="array" ref="AZ61">_xlfn.LET(
  _xlpm.w, AZ$11,
  _xlpm.r, MATCH(1,('3. Enter Indicator Scores'!$B$10:$B$161=$B61)*('3. Enter Indicator Scores'!$C$10:$C$161=$C61),0),
  _xlpm.c, MATCH(AZ$8,'3. Enter Indicator Scores'!$D$8:$CZ$8,0),
  _xlpm.v, IFERROR(INDEX('3. Enter Indicator Scores'!$D$10:$CZ$161,_xlpm.r,_xlpm.c),""),
  IF(OR(_xlpm.w="",_xlpm.v=""),"",_xlpm.v*_xlpm.w)
)</f>
        <v/>
      </c>
      <c r="BA61" s="93" t="str" cm="1">
        <f t="array" ref="BA61">_xlfn.LET(
  _xlpm.w, BA$11,
  _xlpm.r, MATCH(1,('3. Enter Indicator Scores'!$B$10:$B$161=$B61)*('3. Enter Indicator Scores'!$C$10:$C$161=$C61),0),
  _xlpm.c, MATCH(BA$8,'3. Enter Indicator Scores'!$D$8:$CZ$8,0),
  _xlpm.v, IFERROR(INDEX('3. Enter Indicator Scores'!$D$10:$CZ$161,_xlpm.r,_xlpm.c),""),
  IF(OR(_xlpm.w="",_xlpm.v=""),"",_xlpm.v*_xlpm.w)
)</f>
        <v/>
      </c>
      <c r="BB61" s="93" t="str" cm="1">
        <f t="array" ref="BB61">_xlfn.LET(
  _xlpm.w, BB$11,
  _xlpm.r, MATCH(1,('3. Enter Indicator Scores'!$B$10:$B$161=$B61)*('3. Enter Indicator Scores'!$C$10:$C$161=$C61),0),
  _xlpm.c, MATCH(BB$8,'3. Enter Indicator Scores'!$D$8:$CZ$8,0),
  _xlpm.v, IFERROR(INDEX('3. Enter Indicator Scores'!$D$10:$CZ$161,_xlpm.r,_xlpm.c),""),
  IF(OR(_xlpm.w="",_xlpm.v=""),"",_xlpm.v*_xlpm.w)
)</f>
        <v/>
      </c>
      <c r="BC61" s="93" t="str" cm="1">
        <f t="array" ref="BC61">_xlfn.LET(
  _xlpm.w, BC$11,
  _xlpm.r, MATCH(1,('3. Enter Indicator Scores'!$B$10:$B$161=$B61)*('3. Enter Indicator Scores'!$C$10:$C$161=$C61),0),
  _xlpm.c, MATCH(BC$8,'3. Enter Indicator Scores'!$D$8:$CZ$8,0),
  _xlpm.v, IFERROR(INDEX('3. Enter Indicator Scores'!$D$10:$CZ$161,_xlpm.r,_xlpm.c),""),
  IF(OR(_xlpm.w="",_xlpm.v=""),"",_xlpm.v*_xlpm.w)
)</f>
        <v/>
      </c>
      <c r="BD61" s="93" t="str" cm="1">
        <f t="array" ref="BD61">_xlfn.LET(
  _xlpm.w, BD$11,
  _xlpm.r, MATCH(1,('3. Enter Indicator Scores'!$B$10:$B$161=$B61)*('3. Enter Indicator Scores'!$C$10:$C$161=$C61),0),
  _xlpm.c, MATCH(BD$8,'3. Enter Indicator Scores'!$D$8:$CZ$8,0),
  _xlpm.v, IFERROR(INDEX('3. Enter Indicator Scores'!$D$10:$CZ$161,_xlpm.r,_xlpm.c),""),
  IF(OR(_xlpm.w="",_xlpm.v=""),"",_xlpm.v*_xlpm.w)
)</f>
        <v/>
      </c>
      <c r="BE61" s="93" t="str" cm="1">
        <f t="array" ref="BE61">_xlfn.LET(
  _xlpm.w, BE$11,
  _xlpm.r, MATCH(1,('3. Enter Indicator Scores'!$B$10:$B$161=$B61)*('3. Enter Indicator Scores'!$C$10:$C$161=$C61),0),
  _xlpm.c, MATCH(BE$8,'3. Enter Indicator Scores'!$D$8:$CZ$8,0),
  _xlpm.v, IFERROR(INDEX('3. Enter Indicator Scores'!$D$10:$CZ$161,_xlpm.r,_xlpm.c),""),
  IF(OR(_xlpm.w="",_xlpm.v=""),"",_xlpm.v*_xlpm.w)
)</f>
        <v/>
      </c>
      <c r="BF61" s="93" t="str" cm="1">
        <f t="array" ref="BF61">_xlfn.LET(
  _xlpm.w, BF$11,
  _xlpm.r, MATCH(1,('3. Enter Indicator Scores'!$B$10:$B$161=$B61)*('3. Enter Indicator Scores'!$C$10:$C$161=$C61),0),
  _xlpm.c, MATCH(BF$8,'3. Enter Indicator Scores'!$D$8:$CZ$8,0),
  _xlpm.v, IFERROR(INDEX('3. Enter Indicator Scores'!$D$10:$CZ$161,_xlpm.r,_xlpm.c),""),
  IF(OR(_xlpm.w="",_xlpm.v=""),"",_xlpm.v*_xlpm.w)
)</f>
        <v/>
      </c>
      <c r="BG61" s="93" t="str" cm="1">
        <f t="array" ref="BG61">_xlfn.LET(
  _xlpm.w, BG$11,
  _xlpm.r, MATCH(1,('3. Enter Indicator Scores'!$B$10:$B$161=$B61)*('3. Enter Indicator Scores'!$C$10:$C$161=$C61),0),
  _xlpm.c, MATCH(BG$8,'3. Enter Indicator Scores'!$D$8:$CZ$8,0),
  _xlpm.v, IFERROR(INDEX('3. Enter Indicator Scores'!$D$10:$CZ$161,_xlpm.r,_xlpm.c),""),
  IF(OR(_xlpm.w="",_xlpm.v=""),"",_xlpm.v*_xlpm.w)
)</f>
        <v/>
      </c>
      <c r="BH61" s="93" t="str" cm="1">
        <f t="array" ref="BH61">_xlfn.LET(
  _xlpm.w, BH$11,
  _xlpm.r, MATCH(1,('3. Enter Indicator Scores'!$B$10:$B$161=$B61)*('3. Enter Indicator Scores'!$C$10:$C$161=$C61),0),
  _xlpm.c, MATCH(BH$8,'3. Enter Indicator Scores'!$D$8:$CZ$8,0),
  _xlpm.v, IFERROR(INDEX('3. Enter Indicator Scores'!$D$10:$CZ$161,_xlpm.r,_xlpm.c),""),
  IF(OR(_xlpm.w="",_xlpm.v=""),"",_xlpm.v*_xlpm.w)
)</f>
        <v/>
      </c>
      <c r="BI61" s="93" t="str" cm="1">
        <f t="array" ref="BI61">_xlfn.LET(
  _xlpm.w, BI$11,
  _xlpm.r, MATCH(1,('3. Enter Indicator Scores'!$B$10:$B$161=$B61)*('3. Enter Indicator Scores'!$C$10:$C$161=$C61),0),
  _xlpm.c, MATCH(BI$8,'3. Enter Indicator Scores'!$D$8:$CZ$8,0),
  _xlpm.v, IFERROR(INDEX('3. Enter Indicator Scores'!$D$10:$CZ$161,_xlpm.r,_xlpm.c),""),
  IF(OR(_xlpm.w="",_xlpm.v=""),"",_xlpm.v*_xlpm.w)
)</f>
        <v/>
      </c>
      <c r="BJ61" s="93" t="str" cm="1">
        <f t="array" ref="BJ61">_xlfn.LET(
  _xlpm.w, BJ$11,
  _xlpm.r, MATCH(1,('3. Enter Indicator Scores'!$B$10:$B$161=$B61)*('3. Enter Indicator Scores'!$C$10:$C$161=$C61),0),
  _xlpm.c, MATCH(BJ$8,'3. Enter Indicator Scores'!$D$8:$CZ$8,0),
  _xlpm.v, IFERROR(INDEX('3. Enter Indicator Scores'!$D$10:$CZ$161,_xlpm.r,_xlpm.c),""),
  IF(OR(_xlpm.w="",_xlpm.v=""),"",_xlpm.v*_xlpm.w)
)</f>
        <v/>
      </c>
      <c r="BK61" s="93" t="str" cm="1">
        <f t="array" ref="BK61">_xlfn.LET(
  _xlpm.w, BK$11,
  _xlpm.r, MATCH(1,('3. Enter Indicator Scores'!$B$10:$B$161=$B61)*('3. Enter Indicator Scores'!$C$10:$C$161=$C61),0),
  _xlpm.c, MATCH(BK$8,'3. Enter Indicator Scores'!$D$8:$CZ$8,0),
  _xlpm.v, IFERROR(INDEX('3. Enter Indicator Scores'!$D$10:$CZ$161,_xlpm.r,_xlpm.c),""),
  IF(OR(_xlpm.w="",_xlpm.v=""),"",_xlpm.v*_xlpm.w)
)</f>
        <v/>
      </c>
      <c r="BL61" s="93" t="str" cm="1">
        <f t="array" ref="BL61">_xlfn.LET(
  _xlpm.w, BL$11,
  _xlpm.r, MATCH(1,('3. Enter Indicator Scores'!$B$10:$B$161=$B61)*('3. Enter Indicator Scores'!$C$10:$C$161=$C61),0),
  _xlpm.c, MATCH(BL$8,'3. Enter Indicator Scores'!$D$8:$CZ$8,0),
  _xlpm.v, IFERROR(INDEX('3. Enter Indicator Scores'!$D$10:$CZ$161,_xlpm.r,_xlpm.c),""),
  IF(OR(_xlpm.w="",_xlpm.v=""),"",_xlpm.v*_xlpm.w)
)</f>
        <v/>
      </c>
      <c r="BM61" s="93" t="str" cm="1">
        <f t="array" ref="BM61">_xlfn.LET(
  _xlpm.w, BM$11,
  _xlpm.r, MATCH(1,('3. Enter Indicator Scores'!$B$10:$B$161=$B61)*('3. Enter Indicator Scores'!$C$10:$C$161=$C61),0),
  _xlpm.c, MATCH(BM$8,'3. Enter Indicator Scores'!$D$8:$CZ$8,0),
  _xlpm.v, IFERROR(INDEX('3. Enter Indicator Scores'!$D$10:$CZ$161,_xlpm.r,_xlpm.c),""),
  IF(OR(_xlpm.w="",_xlpm.v=""),"",_xlpm.v*_xlpm.w)
)</f>
        <v/>
      </c>
      <c r="BN61" s="93" t="str" cm="1">
        <f t="array" ref="BN61">_xlfn.LET(
  _xlpm.w, BN$11,
  _xlpm.r, MATCH(1,('3. Enter Indicator Scores'!$B$10:$B$161=$B61)*('3. Enter Indicator Scores'!$C$10:$C$161=$C61),0),
  _xlpm.c, MATCH(BN$8,'3. Enter Indicator Scores'!$D$8:$CZ$8,0),
  _xlpm.v, IFERROR(INDEX('3. Enter Indicator Scores'!$D$10:$CZ$161,_xlpm.r,_xlpm.c),""),
  IF(OR(_xlpm.w="",_xlpm.v=""),"",_xlpm.v*_xlpm.w)
)</f>
        <v/>
      </c>
      <c r="BO61" s="93" t="str" cm="1">
        <f t="array" ref="BO61">_xlfn.LET(
  _xlpm.w, BO$11,
  _xlpm.r, MATCH(1,('3. Enter Indicator Scores'!$B$10:$B$161=$B61)*('3. Enter Indicator Scores'!$C$10:$C$161=$C61),0),
  _xlpm.c, MATCH(BO$8,'3. Enter Indicator Scores'!$D$8:$CZ$8,0),
  _xlpm.v, IFERROR(INDEX('3. Enter Indicator Scores'!$D$10:$CZ$161,_xlpm.r,_xlpm.c),""),
  IF(OR(_xlpm.w="",_xlpm.v=""),"",_xlpm.v*_xlpm.w)
)</f>
        <v/>
      </c>
      <c r="BP61" s="93" t="str" cm="1">
        <f t="array" ref="BP61">_xlfn.LET(
  _xlpm.w, BP$11,
  _xlpm.r, MATCH(1,('3. Enter Indicator Scores'!$B$10:$B$161=$B61)*('3. Enter Indicator Scores'!$C$10:$C$161=$C61),0),
  _xlpm.c, MATCH(BP$8,'3. Enter Indicator Scores'!$D$8:$CZ$8,0),
  _xlpm.v, IFERROR(INDEX('3. Enter Indicator Scores'!$D$10:$CZ$161,_xlpm.r,_xlpm.c),""),
  IF(OR(_xlpm.w="",_xlpm.v=""),"",_xlpm.v*_xlpm.w)
)</f>
        <v/>
      </c>
      <c r="BQ61" s="93" t="str" cm="1">
        <f t="array" ref="BQ61">_xlfn.LET(
  _xlpm.w, BQ$11,
  _xlpm.r, MATCH(1,('3. Enter Indicator Scores'!$B$10:$B$161=$B61)*('3. Enter Indicator Scores'!$C$10:$C$161=$C61),0),
  _xlpm.c, MATCH(BQ$8,'3. Enter Indicator Scores'!$D$8:$CZ$8,0),
  _xlpm.v, IFERROR(INDEX('3. Enter Indicator Scores'!$D$10:$CZ$161,_xlpm.r,_xlpm.c),""),
  IF(OR(_xlpm.w="",_xlpm.v=""),"",_xlpm.v*_xlpm.w)
)</f>
        <v/>
      </c>
      <c r="BR61" s="93" t="str" cm="1">
        <f t="array" ref="BR61">_xlfn.LET(
  _xlpm.w, BR$11,
  _xlpm.r, MATCH(1,('3. Enter Indicator Scores'!$B$10:$B$161=$B61)*('3. Enter Indicator Scores'!$C$10:$C$161=$C61),0),
  _xlpm.c, MATCH(BR$8,'3. Enter Indicator Scores'!$D$8:$CZ$8,0),
  _xlpm.v, IFERROR(INDEX('3. Enter Indicator Scores'!$D$10:$CZ$161,_xlpm.r,_xlpm.c),""),
  IF(OR(_xlpm.w="",_xlpm.v=""),"",_xlpm.v*_xlpm.w)
)</f>
        <v/>
      </c>
      <c r="BS61" s="93" t="str" cm="1">
        <f t="array" ref="BS61">_xlfn.LET(
  _xlpm.w, BS$11,
  _xlpm.r, MATCH(1,('3. Enter Indicator Scores'!$B$10:$B$161=$B61)*('3. Enter Indicator Scores'!$C$10:$C$161=$C61),0),
  _xlpm.c, MATCH(BS$8,'3. Enter Indicator Scores'!$D$8:$CZ$8,0),
  _xlpm.v, IFERROR(INDEX('3. Enter Indicator Scores'!$D$10:$CZ$161,_xlpm.r,_xlpm.c),""),
  IF(OR(_xlpm.w="",_xlpm.v=""),"",_xlpm.v*_xlpm.w)
)</f>
        <v/>
      </c>
      <c r="BT61" s="93" t="str" cm="1">
        <f t="array" ref="BT61">_xlfn.LET(
  _xlpm.w, BT$11,
  _xlpm.r, MATCH(1,('3. Enter Indicator Scores'!$B$10:$B$161=$B61)*('3. Enter Indicator Scores'!$C$10:$C$161=$C61),0),
  _xlpm.c, MATCH(BT$8,'3. Enter Indicator Scores'!$D$8:$CZ$8,0),
  _xlpm.v, IFERROR(INDEX('3. Enter Indicator Scores'!$D$10:$CZ$161,_xlpm.r,_xlpm.c),""),
  IF(OR(_xlpm.w="",_xlpm.v=""),"",_xlpm.v*_xlpm.w)
)</f>
        <v/>
      </c>
      <c r="BU61" s="93" t="str" cm="1">
        <f t="array" ref="BU61">_xlfn.LET(
  _xlpm.w, BU$11,
  _xlpm.r, MATCH(1,('3. Enter Indicator Scores'!$B$10:$B$161=$B61)*('3. Enter Indicator Scores'!$C$10:$C$161=$C61),0),
  _xlpm.c, MATCH(BU$8,'3. Enter Indicator Scores'!$D$8:$CZ$8,0),
  _xlpm.v, IFERROR(INDEX('3. Enter Indicator Scores'!$D$10:$CZ$161,_xlpm.r,_xlpm.c),""),
  IF(OR(_xlpm.w="",_xlpm.v=""),"",_xlpm.v*_xlpm.w)
)</f>
        <v/>
      </c>
      <c r="BV61" s="93" t="str" cm="1">
        <f t="array" ref="BV61">_xlfn.LET(
  _xlpm.w, BV$11,
  _xlpm.r, MATCH(1,('3. Enter Indicator Scores'!$B$10:$B$161=$B61)*('3. Enter Indicator Scores'!$C$10:$C$161=$C61),0),
  _xlpm.c, MATCH(BV$8,'3. Enter Indicator Scores'!$D$8:$CZ$8,0),
  _xlpm.v, IFERROR(INDEX('3. Enter Indicator Scores'!$D$10:$CZ$161,_xlpm.r,_xlpm.c),""),
  IF(OR(_xlpm.w="",_xlpm.v=""),"",_xlpm.v*_xlpm.w)
)</f>
        <v/>
      </c>
      <c r="BW61" s="93" t="str" cm="1">
        <f t="array" ref="BW61">_xlfn.LET(
  _xlpm.w, BW$11,
  _xlpm.r, MATCH(1,('3. Enter Indicator Scores'!$B$10:$B$161=$B61)*('3. Enter Indicator Scores'!$C$10:$C$161=$C61),0),
  _xlpm.c, MATCH(BW$8,'3. Enter Indicator Scores'!$D$8:$CZ$8,0),
  _xlpm.v, IFERROR(INDEX('3. Enter Indicator Scores'!$D$10:$CZ$161,_xlpm.r,_xlpm.c),""),
  IF(OR(_xlpm.w="",_xlpm.v=""),"",_xlpm.v*_xlpm.w)
)</f>
        <v/>
      </c>
      <c r="BX61" s="93" t="str" cm="1">
        <f t="array" ref="BX61">_xlfn.LET(
  _xlpm.w, BX$11,
  _xlpm.r, MATCH(1,('3. Enter Indicator Scores'!$B$10:$B$161=$B61)*('3. Enter Indicator Scores'!$C$10:$C$161=$C61),0),
  _xlpm.c, MATCH(BX$8,'3. Enter Indicator Scores'!$D$8:$CZ$8,0),
  _xlpm.v, IFERROR(INDEX('3. Enter Indicator Scores'!$D$10:$CZ$161,_xlpm.r,_xlpm.c),""),
  IF(OR(_xlpm.w="",_xlpm.v=""),"",_xlpm.v*_xlpm.w)
)</f>
        <v/>
      </c>
      <c r="BY61" s="93" t="str" cm="1">
        <f t="array" ref="BY61">_xlfn.LET(
  _xlpm.w, BY$11,
  _xlpm.r, MATCH(1,('3. Enter Indicator Scores'!$B$10:$B$161=$B61)*('3. Enter Indicator Scores'!$C$10:$C$161=$C61),0),
  _xlpm.c, MATCH(BY$8,'3. Enter Indicator Scores'!$D$8:$CZ$8,0),
  _xlpm.v, IFERROR(INDEX('3. Enter Indicator Scores'!$D$10:$CZ$161,_xlpm.r,_xlpm.c),""),
  IF(OR(_xlpm.w="",_xlpm.v=""),"",_xlpm.v*_xlpm.w)
)</f>
        <v/>
      </c>
      <c r="BZ61" s="93" t="str" cm="1">
        <f t="array" ref="BZ61">_xlfn.LET(
  _xlpm.w, BZ$11,
  _xlpm.r, MATCH(1,('3. Enter Indicator Scores'!$B$10:$B$161=$B61)*('3. Enter Indicator Scores'!$C$10:$C$161=$C61),0),
  _xlpm.c, MATCH(BZ$8,'3. Enter Indicator Scores'!$D$8:$CZ$8,0),
  _xlpm.v, IFERROR(INDEX('3. Enter Indicator Scores'!$D$10:$CZ$161,_xlpm.r,_xlpm.c),""),
  IF(OR(_xlpm.w="",_xlpm.v=""),"",_xlpm.v*_xlpm.w)
)</f>
        <v/>
      </c>
      <c r="CA61" s="93" t="str" cm="1">
        <f t="array" ref="CA61">_xlfn.LET(
  _xlpm.w, CA$11,
  _xlpm.r, MATCH(1,('3. Enter Indicator Scores'!$B$10:$B$161=$B61)*('3. Enter Indicator Scores'!$C$10:$C$161=$C61),0),
  _xlpm.c, MATCH(CA$8,'3. Enter Indicator Scores'!$D$8:$CZ$8,0),
  _xlpm.v, IFERROR(INDEX('3. Enter Indicator Scores'!$D$10:$CZ$161,_xlpm.r,_xlpm.c),""),
  IF(OR(_xlpm.w="",_xlpm.v=""),"",_xlpm.v*_xlpm.w)
)</f>
        <v/>
      </c>
      <c r="CB61" s="93" t="str" cm="1">
        <f t="array" ref="CB61">_xlfn.LET(
  _xlpm.w, CB$11,
  _xlpm.r, MATCH(1,('3. Enter Indicator Scores'!$B$10:$B$161=$B61)*('3. Enter Indicator Scores'!$C$10:$C$161=$C61),0),
  _xlpm.c, MATCH(CB$8,'3. Enter Indicator Scores'!$D$8:$CZ$8,0),
  _xlpm.v, IFERROR(INDEX('3. Enter Indicator Scores'!$D$10:$CZ$161,_xlpm.r,_xlpm.c),""),
  IF(OR(_xlpm.w="",_xlpm.v=""),"",_xlpm.v*_xlpm.w)
)</f>
        <v/>
      </c>
      <c r="CC61" s="93" t="str" cm="1">
        <f t="array" ref="CC61">_xlfn.LET(
  _xlpm.w, CC$11,
  _xlpm.r, MATCH(1,('3. Enter Indicator Scores'!$B$10:$B$161=$B61)*('3. Enter Indicator Scores'!$C$10:$C$161=$C61),0),
  _xlpm.c, MATCH(CC$8,'3. Enter Indicator Scores'!$D$8:$CZ$8,0),
  _xlpm.v, IFERROR(INDEX('3. Enter Indicator Scores'!$D$10:$CZ$161,_xlpm.r,_xlpm.c),""),
  IF(OR(_xlpm.w="",_xlpm.v=""),"",_xlpm.v*_xlpm.w)
)</f>
        <v/>
      </c>
      <c r="CD61" s="93" t="str" cm="1">
        <f t="array" ref="CD61">_xlfn.LET(
  _xlpm.w, CD$11,
  _xlpm.r, MATCH(1,('3. Enter Indicator Scores'!$B$10:$B$161=$B61)*('3. Enter Indicator Scores'!$C$10:$C$161=$C61),0),
  _xlpm.c, MATCH(CD$8,'3. Enter Indicator Scores'!$D$8:$CZ$8,0),
  _xlpm.v, IFERROR(INDEX('3. Enter Indicator Scores'!$D$10:$CZ$161,_xlpm.r,_xlpm.c),""),
  IF(OR(_xlpm.w="",_xlpm.v=""),"",_xlpm.v*_xlpm.w)
)</f>
        <v/>
      </c>
      <c r="CE61" s="93" t="str" cm="1">
        <f t="array" ref="CE61">_xlfn.LET(
  _xlpm.w, CE$11,
  _xlpm.r, MATCH(1,('3. Enter Indicator Scores'!$B$10:$B$161=$B61)*('3. Enter Indicator Scores'!$C$10:$C$161=$C61),0),
  _xlpm.c, MATCH(CE$8,'3. Enter Indicator Scores'!$D$8:$CZ$8,0),
  _xlpm.v, IFERROR(INDEX('3. Enter Indicator Scores'!$D$10:$CZ$161,_xlpm.r,_xlpm.c),""),
  IF(OR(_xlpm.w="",_xlpm.v=""),"",_xlpm.v*_xlpm.w)
)</f>
        <v/>
      </c>
      <c r="CF61" s="93" t="str" cm="1">
        <f t="array" ref="CF61">_xlfn.LET(
  _xlpm.w, CF$11,
  _xlpm.r, MATCH(1,('3. Enter Indicator Scores'!$B$10:$B$161=$B61)*('3. Enter Indicator Scores'!$C$10:$C$161=$C61),0),
  _xlpm.c, MATCH(CF$8,'3. Enter Indicator Scores'!$D$8:$CZ$8,0),
  _xlpm.v, IFERROR(INDEX('3. Enter Indicator Scores'!$D$10:$CZ$161,_xlpm.r,_xlpm.c),""),
  IF(OR(_xlpm.w="",_xlpm.v=""),"",_xlpm.v*_xlpm.w)
)</f>
        <v/>
      </c>
      <c r="CG61" s="93" t="str" cm="1">
        <f t="array" ref="CG61">_xlfn.LET(
  _xlpm.w, CG$11,
  _xlpm.r, MATCH(1,('3. Enter Indicator Scores'!$B$10:$B$161=$B61)*('3. Enter Indicator Scores'!$C$10:$C$161=$C61),0),
  _xlpm.c, MATCH(CG$8,'3. Enter Indicator Scores'!$D$8:$CZ$8,0),
  _xlpm.v, IFERROR(INDEX('3. Enter Indicator Scores'!$D$10:$CZ$161,_xlpm.r,_xlpm.c),""),
  IF(OR(_xlpm.w="",_xlpm.v=""),"",_xlpm.v*_xlpm.w)
)</f>
        <v/>
      </c>
      <c r="CH61" s="93" t="str" cm="1">
        <f t="array" ref="CH61">_xlfn.LET(
  _xlpm.w, CH$11,
  _xlpm.r, MATCH(1,('3. Enter Indicator Scores'!$B$10:$B$161=$B61)*('3. Enter Indicator Scores'!$C$10:$C$161=$C61),0),
  _xlpm.c, MATCH(CH$8,'3. Enter Indicator Scores'!$D$8:$CZ$8,0),
  _xlpm.v, IFERROR(INDEX('3. Enter Indicator Scores'!$D$10:$CZ$161,_xlpm.r,_xlpm.c),""),
  IF(OR(_xlpm.w="",_xlpm.v=""),"",_xlpm.v*_xlpm.w)
)</f>
        <v/>
      </c>
      <c r="CI61" s="93" t="str" cm="1">
        <f t="array" ref="CI61">_xlfn.LET(
  _xlpm.w, CI$11,
  _xlpm.r, MATCH(1,('3. Enter Indicator Scores'!$B$10:$B$161=$B61)*('3. Enter Indicator Scores'!$C$10:$C$161=$C61),0),
  _xlpm.c, MATCH(CI$8,'3. Enter Indicator Scores'!$D$8:$CZ$8,0),
  _xlpm.v, IFERROR(INDEX('3. Enter Indicator Scores'!$D$10:$CZ$161,_xlpm.r,_xlpm.c),""),
  IF(OR(_xlpm.w="",_xlpm.v=""),"",_xlpm.v*_xlpm.w)
)</f>
        <v/>
      </c>
      <c r="CJ61" s="93" t="str" cm="1">
        <f t="array" ref="CJ61">_xlfn.LET(
  _xlpm.w, CJ$11,
  _xlpm.r, MATCH(1,('3. Enter Indicator Scores'!$B$10:$B$161=$B61)*('3. Enter Indicator Scores'!$C$10:$C$161=$C61),0),
  _xlpm.c, MATCH(CJ$8,'3. Enter Indicator Scores'!$D$8:$CZ$8,0),
  _xlpm.v, IFERROR(INDEX('3. Enter Indicator Scores'!$D$10:$CZ$161,_xlpm.r,_xlpm.c),""),
  IF(OR(_xlpm.w="",_xlpm.v=""),"",_xlpm.v*_xlpm.w)
)</f>
        <v/>
      </c>
      <c r="CK61" s="93" t="str" cm="1">
        <f t="array" ref="CK61">_xlfn.LET(
  _xlpm.w, CK$11,
  _xlpm.r, MATCH(1,('3. Enter Indicator Scores'!$B$10:$B$161=$B61)*('3. Enter Indicator Scores'!$C$10:$C$161=$C61),0),
  _xlpm.c, MATCH(CK$8,'3. Enter Indicator Scores'!$D$8:$CZ$8,0),
  _xlpm.v, IFERROR(INDEX('3. Enter Indicator Scores'!$D$10:$CZ$161,_xlpm.r,_xlpm.c),""),
  IF(OR(_xlpm.w="",_xlpm.v=""),"",_xlpm.v*_xlpm.w)
)</f>
        <v/>
      </c>
      <c r="CL61" s="93" t="str" cm="1">
        <f t="array" ref="CL61">_xlfn.LET(
  _xlpm.w, CL$11,
  _xlpm.r, MATCH(1,('3. Enter Indicator Scores'!$B$10:$B$161=$B61)*('3. Enter Indicator Scores'!$C$10:$C$161=$C61),0),
  _xlpm.c, MATCH(CL$8,'3. Enter Indicator Scores'!$D$8:$CZ$8,0),
  _xlpm.v, IFERROR(INDEX('3. Enter Indicator Scores'!$D$10:$CZ$161,_xlpm.r,_xlpm.c),""),
  IF(OR(_xlpm.w="",_xlpm.v=""),"",_xlpm.v*_xlpm.w)
)</f>
        <v/>
      </c>
      <c r="CM61" s="93" t="str" cm="1">
        <f t="array" ref="CM61">_xlfn.LET(
  _xlpm.w, CM$11,
  _xlpm.r, MATCH(1,('3. Enter Indicator Scores'!$B$10:$B$161=$B61)*('3. Enter Indicator Scores'!$C$10:$C$161=$C61),0),
  _xlpm.c, MATCH(CM$8,'3. Enter Indicator Scores'!$D$8:$CZ$8,0),
  _xlpm.v, IFERROR(INDEX('3. Enter Indicator Scores'!$D$10:$CZ$161,_xlpm.r,_xlpm.c),""),
  IF(OR(_xlpm.w="",_xlpm.v=""),"",_xlpm.v*_xlpm.w)
)</f>
        <v/>
      </c>
      <c r="CN61" s="93" t="str" cm="1">
        <f t="array" ref="CN61">_xlfn.LET(
  _xlpm.w, CN$11,
  _xlpm.r, MATCH(1,('3. Enter Indicator Scores'!$B$10:$B$161=$B61)*('3. Enter Indicator Scores'!$C$10:$C$161=$C61),0),
  _xlpm.c, MATCH(CN$8,'3. Enter Indicator Scores'!$D$8:$CZ$8,0),
  _xlpm.v, IFERROR(INDEX('3. Enter Indicator Scores'!$D$10:$CZ$161,_xlpm.r,_xlpm.c),""),
  IF(OR(_xlpm.w="",_xlpm.v=""),"",_xlpm.v*_xlpm.w)
)</f>
        <v/>
      </c>
      <c r="CO61" s="93" t="str" cm="1">
        <f t="array" ref="CO61">_xlfn.LET(
  _xlpm.w, CO$11,
  _xlpm.r, MATCH(1,('3. Enter Indicator Scores'!$B$10:$B$161=$B61)*('3. Enter Indicator Scores'!$C$10:$C$161=$C61),0),
  _xlpm.c, MATCH(CO$8,'3. Enter Indicator Scores'!$D$8:$CZ$8,0),
  _xlpm.v, IFERROR(INDEX('3. Enter Indicator Scores'!$D$10:$CZ$161,_xlpm.r,_xlpm.c),""),
  IF(OR(_xlpm.w="",_xlpm.v=""),"",_xlpm.v*_xlpm.w)
)</f>
        <v/>
      </c>
      <c r="CP61" s="93" t="str" cm="1">
        <f t="array" ref="CP61">_xlfn.LET(
  _xlpm.w, CP$11,
  _xlpm.r, MATCH(1,('3. Enter Indicator Scores'!$B$10:$B$161=$B61)*('3. Enter Indicator Scores'!$C$10:$C$161=$C61),0),
  _xlpm.c, MATCH(CP$8,'3. Enter Indicator Scores'!$D$8:$CZ$8,0),
  _xlpm.v, IFERROR(INDEX('3. Enter Indicator Scores'!$D$10:$CZ$161,_xlpm.r,_xlpm.c),""),
  IF(OR(_xlpm.w="",_xlpm.v=""),"",_xlpm.v*_xlpm.w)
)</f>
        <v/>
      </c>
      <c r="CQ61" s="93" t="str" cm="1">
        <f t="array" ref="CQ61">_xlfn.LET(
  _xlpm.w, CQ$11,
  _xlpm.r, MATCH(1,('3. Enter Indicator Scores'!$B$10:$B$161=$B61)*('3. Enter Indicator Scores'!$C$10:$C$161=$C61),0),
  _xlpm.c, MATCH(CQ$8,'3. Enter Indicator Scores'!$D$8:$CZ$8,0),
  _xlpm.v, IFERROR(INDEX('3. Enter Indicator Scores'!$D$10:$CZ$161,_xlpm.r,_xlpm.c),""),
  IF(OR(_xlpm.w="",_xlpm.v=""),"",_xlpm.v*_xlpm.w)
)</f>
        <v/>
      </c>
      <c r="CR61" s="93" t="str" cm="1">
        <f t="array" ref="CR61">_xlfn.LET(
  _xlpm.w, CR$11,
  _xlpm.r, MATCH(1,('3. Enter Indicator Scores'!$B$10:$B$161=$B61)*('3. Enter Indicator Scores'!$C$10:$C$161=$C61),0),
  _xlpm.c, MATCH(CR$8,'3. Enter Indicator Scores'!$D$8:$CZ$8,0),
  _xlpm.v, IFERROR(INDEX('3. Enter Indicator Scores'!$D$10:$CZ$161,_xlpm.r,_xlpm.c),""),
  IF(OR(_xlpm.w="",_xlpm.v=""),"",_xlpm.v*_xlpm.w)
)</f>
        <v/>
      </c>
      <c r="CS61" s="93" t="str" cm="1">
        <f t="array" ref="CS61">_xlfn.LET(
  _xlpm.w, CS$11,
  _xlpm.r, MATCH(1,('3. Enter Indicator Scores'!$B$10:$B$161=$B61)*('3. Enter Indicator Scores'!$C$10:$C$161=$C61),0),
  _xlpm.c, MATCH(CS$8,'3. Enter Indicator Scores'!$D$8:$CZ$8,0),
  _xlpm.v, IFERROR(INDEX('3. Enter Indicator Scores'!$D$10:$CZ$161,_xlpm.r,_xlpm.c),""),
  IF(OR(_xlpm.w="",_xlpm.v=""),"",_xlpm.v*_xlpm.w)
)</f>
        <v/>
      </c>
      <c r="CT61" s="93" t="str" cm="1">
        <f t="array" ref="CT61">_xlfn.LET(
  _xlpm.w, CT$11,
  _xlpm.r, MATCH(1,('3. Enter Indicator Scores'!$B$10:$B$161=$B61)*('3. Enter Indicator Scores'!$C$10:$C$161=$C61),0),
  _xlpm.c, MATCH(CT$8,'3. Enter Indicator Scores'!$D$8:$CZ$8,0),
  _xlpm.v, IFERROR(INDEX('3. Enter Indicator Scores'!$D$10:$CZ$161,_xlpm.r,_xlpm.c),""),
  IF(OR(_xlpm.w="",_xlpm.v=""),"",_xlpm.v*_xlpm.w)
)</f>
        <v/>
      </c>
      <c r="CU61" s="93" t="str" cm="1">
        <f t="array" ref="CU61">_xlfn.LET(
  _xlpm.w, CU$11,
  _xlpm.r, MATCH(1,('3. Enter Indicator Scores'!$B$10:$B$161=$B61)*('3. Enter Indicator Scores'!$C$10:$C$161=$C61),0),
  _xlpm.c, MATCH(CU$8,'3. Enter Indicator Scores'!$D$8:$CZ$8,0),
  _xlpm.v, IFERROR(INDEX('3. Enter Indicator Scores'!$D$10:$CZ$161,_xlpm.r,_xlpm.c),""),
  IF(OR(_xlpm.w="",_xlpm.v=""),"",_xlpm.v*_xlpm.w)
)</f>
        <v/>
      </c>
      <c r="CV61" s="93" t="str" cm="1">
        <f t="array" ref="CV61">_xlfn.LET(
  _xlpm.w, CV$11,
  _xlpm.r, MATCH(1,('3. Enter Indicator Scores'!$B$10:$B$161=$B61)*('3. Enter Indicator Scores'!$C$10:$C$161=$C61),0),
  _xlpm.c, MATCH(CV$8,'3. Enter Indicator Scores'!$D$8:$CZ$8,0),
  _xlpm.v, IFERROR(INDEX('3. Enter Indicator Scores'!$D$10:$CZ$161,_xlpm.r,_xlpm.c),""),
  IF(OR(_xlpm.w="",_xlpm.v=""),"",_xlpm.v*_xlpm.w)
)</f>
        <v/>
      </c>
      <c r="CW61" s="93" t="str" cm="1">
        <f t="array" ref="CW61">_xlfn.LET(
  _xlpm.w, CW$11,
  _xlpm.r, MATCH(1,('3. Enter Indicator Scores'!$B$10:$B$161=$B61)*('3. Enter Indicator Scores'!$C$10:$C$161=$C61),0),
  _xlpm.c, MATCH(CW$8,'3. Enter Indicator Scores'!$D$8:$CZ$8,0),
  _xlpm.v, IFERROR(INDEX('3. Enter Indicator Scores'!$D$10:$CZ$161,_xlpm.r,_xlpm.c),""),
  IF(OR(_xlpm.w="",_xlpm.v=""),"",_xlpm.v*_xlpm.w)
)</f>
        <v/>
      </c>
      <c r="CX61" s="93" t="str" cm="1">
        <f t="array" ref="CX61">_xlfn.LET(
  _xlpm.w, CX$11,
  _xlpm.r, MATCH(1,('3. Enter Indicator Scores'!$B$10:$B$161=$B61)*('3. Enter Indicator Scores'!$C$10:$C$161=$C61),0),
  _xlpm.c, MATCH(CX$8,'3. Enter Indicator Scores'!$D$8:$CZ$8,0),
  _xlpm.v, IFERROR(INDEX('3. Enter Indicator Scores'!$D$10:$CZ$161,_xlpm.r,_xlpm.c),""),
  IF(OR(_xlpm.w="",_xlpm.v=""),"",_xlpm.v*_xlpm.w)
)</f>
        <v/>
      </c>
      <c r="CY61" s="93" t="str" cm="1">
        <f t="array" ref="CY61">_xlfn.LET(
  _xlpm.w, CY$11,
  _xlpm.r, MATCH(1,('3. Enter Indicator Scores'!$B$10:$B$161=$B61)*('3. Enter Indicator Scores'!$C$10:$C$161=$C61),0),
  _xlpm.c, MATCH(CY$8,'3. Enter Indicator Scores'!$D$8:$CZ$8,0),
  _xlpm.v, IFERROR(INDEX('3. Enter Indicator Scores'!$D$10:$CZ$161,_xlpm.r,_xlpm.c),""),
  IF(OR(_xlpm.w="",_xlpm.v=""),"",_xlpm.v*_xlpm.w)
)</f>
        <v/>
      </c>
      <c r="CZ61" s="93" t="str" cm="1">
        <f t="array" ref="CZ61">_xlfn.LET(
  _xlpm.w, CZ$11,
  _xlpm.r, MATCH(1,('3. Enter Indicator Scores'!$B$10:$B$161=$B61)*('3. Enter Indicator Scores'!$C$10:$C$161=$C61),0),
  _xlpm.c, MATCH(CZ$8,'3. Enter Indicator Scores'!$D$8:$CZ$8,0),
  _xlpm.v, IFERROR(INDEX('3. Enter Indicator Scores'!$D$10:$CZ$161,_xlpm.r,_xlpm.c),""),
  IF(OR(_xlpm.w="",_xlpm.v=""),"",_xlpm.v*_xlpm.w)
)</f>
        <v/>
      </c>
    </row>
    <row r="62" spans="4:104" x14ac:dyDescent="0.2">
      <c r="D62" s="93" t="str" cm="1">
        <f t="array" ref="D62">_xlfn.LET(
  _xlpm.w, D$11,
  _xlpm.r, MATCH(1,('3. Enter Indicator Scores'!$B$10:$B$161=$B62)*('3. Enter Indicator Scores'!$C$10:$C$161=$C62),0),
  _xlpm.c, MATCH(D$8,'3. Enter Indicator Scores'!$D$8:$CZ$8,0),
  _xlpm.v, IFERROR(INDEX('3. Enter Indicator Scores'!$D$10:$CZ$161,_xlpm.r,_xlpm.c),""),
  IF(OR(_xlpm.w="",_xlpm.v=""),"",_xlpm.v*_xlpm.w)
)</f>
        <v/>
      </c>
      <c r="E62" s="93" t="str" cm="1">
        <f t="array" ref="E62">_xlfn.LET(
  _xlpm.w, E$11,
  _xlpm.r, MATCH(1,('3. Enter Indicator Scores'!$B$10:$B$161=$B62)*('3. Enter Indicator Scores'!$C$10:$C$161=$C62),0),
  _xlpm.c, MATCH(E$8,'3. Enter Indicator Scores'!$D$8:$CZ$8,0),
  _xlpm.v, IFERROR(INDEX('3. Enter Indicator Scores'!$D$10:$CZ$161,_xlpm.r,_xlpm.c),""),
  IF(OR(_xlpm.w="",_xlpm.v=""),"",_xlpm.v*_xlpm.w)
)</f>
        <v/>
      </c>
      <c r="F62" s="93" t="str" cm="1">
        <f t="array" ref="F62">_xlfn.LET(
  _xlpm.w, F$11,
  _xlpm.r, MATCH(1,('3. Enter Indicator Scores'!$B$10:$B$161=$B62)*('3. Enter Indicator Scores'!$C$10:$C$161=$C62),0),
  _xlpm.c, MATCH(F$8,'3. Enter Indicator Scores'!$D$8:$CZ$8,0),
  _xlpm.v, IFERROR(INDEX('3. Enter Indicator Scores'!$D$10:$CZ$161,_xlpm.r,_xlpm.c),""),
  IF(OR(_xlpm.w="",_xlpm.v=""),"",_xlpm.v*_xlpm.w)
)</f>
        <v/>
      </c>
      <c r="G62" s="93" t="str" cm="1">
        <f t="array" ref="G62">_xlfn.LET(
  _xlpm.w, G$11,
  _xlpm.r, MATCH(1,('3. Enter Indicator Scores'!$B$10:$B$161=$B62)*('3. Enter Indicator Scores'!$C$10:$C$161=$C62),0),
  _xlpm.c, MATCH(G$8,'3. Enter Indicator Scores'!$D$8:$CZ$8,0),
  _xlpm.v, IFERROR(INDEX('3. Enter Indicator Scores'!$D$10:$CZ$161,_xlpm.r,_xlpm.c),""),
  IF(OR(_xlpm.w="",_xlpm.v=""),"",_xlpm.v*_xlpm.w)
)</f>
        <v/>
      </c>
      <c r="H62" s="93" t="str" cm="1">
        <f t="array" ref="H62">_xlfn.LET(
  _xlpm.w, H$11,
  _xlpm.r, MATCH(1,('3. Enter Indicator Scores'!$B$10:$B$161=$B62)*('3. Enter Indicator Scores'!$C$10:$C$161=$C62),0),
  _xlpm.c, MATCH(H$8,'3. Enter Indicator Scores'!$D$8:$CZ$8,0),
  _xlpm.v, IFERROR(INDEX('3. Enter Indicator Scores'!$D$10:$CZ$161,_xlpm.r,_xlpm.c),""),
  IF(OR(_xlpm.w="",_xlpm.v=""),"",_xlpm.v*_xlpm.w)
)</f>
        <v/>
      </c>
      <c r="I62" s="93" t="str" cm="1">
        <f t="array" ref="I62">_xlfn.LET(
  _xlpm.w, I$11,
  _xlpm.r, MATCH(1,('3. Enter Indicator Scores'!$B$10:$B$161=$B62)*('3. Enter Indicator Scores'!$C$10:$C$161=$C62),0),
  _xlpm.c, MATCH(I$8,'3. Enter Indicator Scores'!$D$8:$CZ$8,0),
  _xlpm.v, IFERROR(INDEX('3. Enter Indicator Scores'!$D$10:$CZ$161,_xlpm.r,_xlpm.c),""),
  IF(OR(_xlpm.w="",_xlpm.v=""),"",_xlpm.v*_xlpm.w)
)</f>
        <v/>
      </c>
      <c r="J62" s="93" t="str" cm="1">
        <f t="array" ref="J62">_xlfn.LET(
  _xlpm.w, J$11,
  _xlpm.r, MATCH(1,('3. Enter Indicator Scores'!$B$10:$B$161=$B62)*('3. Enter Indicator Scores'!$C$10:$C$161=$C62),0),
  _xlpm.c, MATCH(J$8,'3. Enter Indicator Scores'!$D$8:$CZ$8,0),
  _xlpm.v, IFERROR(INDEX('3. Enter Indicator Scores'!$D$10:$CZ$161,_xlpm.r,_xlpm.c),""),
  IF(OR(_xlpm.w="",_xlpm.v=""),"",_xlpm.v*_xlpm.w)
)</f>
        <v/>
      </c>
      <c r="K62" s="93" t="str" cm="1">
        <f t="array" ref="K62">_xlfn.LET(
  _xlpm.w, K$11,
  _xlpm.r, MATCH(1,('3. Enter Indicator Scores'!$B$10:$B$161=$B62)*('3. Enter Indicator Scores'!$C$10:$C$161=$C62),0),
  _xlpm.c, MATCH(K$8,'3. Enter Indicator Scores'!$D$8:$CZ$8,0),
  _xlpm.v, IFERROR(INDEX('3. Enter Indicator Scores'!$D$10:$CZ$161,_xlpm.r,_xlpm.c),""),
  IF(OR(_xlpm.w="",_xlpm.v=""),"",_xlpm.v*_xlpm.w)
)</f>
        <v/>
      </c>
      <c r="L62" s="93" t="str" cm="1">
        <f t="array" ref="L62">_xlfn.LET(
  _xlpm.w, L$11,
  _xlpm.r, MATCH(1,('3. Enter Indicator Scores'!$B$10:$B$161=$B62)*('3. Enter Indicator Scores'!$C$10:$C$161=$C62),0),
  _xlpm.c, MATCH(L$8,'3. Enter Indicator Scores'!$D$8:$CZ$8,0),
  _xlpm.v, IFERROR(INDEX('3. Enter Indicator Scores'!$D$10:$CZ$161,_xlpm.r,_xlpm.c),""),
  IF(OR(_xlpm.w="",_xlpm.v=""),"",_xlpm.v*_xlpm.w)
)</f>
        <v/>
      </c>
      <c r="M62" s="93" t="str" cm="1">
        <f t="array" ref="M62">_xlfn.LET(
  _xlpm.w, M$11,
  _xlpm.r, MATCH(1,('3. Enter Indicator Scores'!$B$10:$B$161=$B62)*('3. Enter Indicator Scores'!$C$10:$C$161=$C62),0),
  _xlpm.c, MATCH(M$8,'3. Enter Indicator Scores'!$D$8:$CZ$8,0),
  _xlpm.v, IFERROR(INDEX('3. Enter Indicator Scores'!$D$10:$CZ$161,_xlpm.r,_xlpm.c),""),
  IF(OR(_xlpm.w="",_xlpm.v=""),"",_xlpm.v*_xlpm.w)
)</f>
        <v/>
      </c>
      <c r="N62" s="93" t="str" cm="1">
        <f t="array" ref="N62">_xlfn.LET(
  _xlpm.w, N$11,
  _xlpm.r, MATCH(1,('3. Enter Indicator Scores'!$B$10:$B$161=$B62)*('3. Enter Indicator Scores'!$C$10:$C$161=$C62),0),
  _xlpm.c, MATCH(N$8,'3. Enter Indicator Scores'!$D$8:$CZ$8,0),
  _xlpm.v, IFERROR(INDEX('3. Enter Indicator Scores'!$D$10:$CZ$161,_xlpm.r,_xlpm.c),""),
  IF(OR(_xlpm.w="",_xlpm.v=""),"",_xlpm.v*_xlpm.w)
)</f>
        <v/>
      </c>
      <c r="O62" s="93" t="str" cm="1">
        <f t="array" ref="O62">_xlfn.LET(
  _xlpm.w, O$11,
  _xlpm.r, MATCH(1,('3. Enter Indicator Scores'!$B$10:$B$161=$B62)*('3. Enter Indicator Scores'!$C$10:$C$161=$C62),0),
  _xlpm.c, MATCH(O$8,'3. Enter Indicator Scores'!$D$8:$CZ$8,0),
  _xlpm.v, IFERROR(INDEX('3. Enter Indicator Scores'!$D$10:$CZ$161,_xlpm.r,_xlpm.c),""),
  IF(OR(_xlpm.w="",_xlpm.v=""),"",_xlpm.v*_xlpm.w)
)</f>
        <v/>
      </c>
      <c r="P62" s="93" t="str" cm="1">
        <f t="array" ref="P62">_xlfn.LET(
  _xlpm.w, P$11,
  _xlpm.r, MATCH(1,('3. Enter Indicator Scores'!$B$10:$B$161=$B62)*('3. Enter Indicator Scores'!$C$10:$C$161=$C62),0),
  _xlpm.c, MATCH(P$8,'3. Enter Indicator Scores'!$D$8:$CZ$8,0),
  _xlpm.v, IFERROR(INDEX('3. Enter Indicator Scores'!$D$10:$CZ$161,_xlpm.r,_xlpm.c),""),
  IF(OR(_xlpm.w="",_xlpm.v=""),"",_xlpm.v*_xlpm.w)
)</f>
        <v/>
      </c>
      <c r="Q62" s="93" t="str" cm="1">
        <f t="array" ref="Q62">_xlfn.LET(
  _xlpm.w, Q$11,
  _xlpm.r, MATCH(1,('3. Enter Indicator Scores'!$B$10:$B$161=$B62)*('3. Enter Indicator Scores'!$C$10:$C$161=$C62),0),
  _xlpm.c, MATCH(Q$8,'3. Enter Indicator Scores'!$D$8:$CZ$8,0),
  _xlpm.v, IFERROR(INDEX('3. Enter Indicator Scores'!$D$10:$CZ$161,_xlpm.r,_xlpm.c),""),
  IF(OR(_xlpm.w="",_xlpm.v=""),"",_xlpm.v*_xlpm.w)
)</f>
        <v/>
      </c>
      <c r="R62" s="93" t="str" cm="1">
        <f t="array" ref="R62">_xlfn.LET(
  _xlpm.w, R$11,
  _xlpm.r, MATCH(1,('3. Enter Indicator Scores'!$B$10:$B$161=$B62)*('3. Enter Indicator Scores'!$C$10:$C$161=$C62),0),
  _xlpm.c, MATCH(R$8,'3. Enter Indicator Scores'!$D$8:$CZ$8,0),
  _xlpm.v, IFERROR(INDEX('3. Enter Indicator Scores'!$D$10:$CZ$161,_xlpm.r,_xlpm.c),""),
  IF(OR(_xlpm.w="",_xlpm.v=""),"",_xlpm.v*_xlpm.w)
)</f>
        <v/>
      </c>
      <c r="S62" s="93" t="str" cm="1">
        <f t="array" ref="S62">_xlfn.LET(
  _xlpm.w, S$11,
  _xlpm.r, MATCH(1,('3. Enter Indicator Scores'!$B$10:$B$161=$B62)*('3. Enter Indicator Scores'!$C$10:$C$161=$C62),0),
  _xlpm.c, MATCH(S$8,'3. Enter Indicator Scores'!$D$8:$CZ$8,0),
  _xlpm.v, IFERROR(INDEX('3. Enter Indicator Scores'!$D$10:$CZ$161,_xlpm.r,_xlpm.c),""),
  IF(OR(_xlpm.w="",_xlpm.v=""),"",_xlpm.v*_xlpm.w)
)</f>
        <v/>
      </c>
      <c r="T62" s="93" t="str" cm="1">
        <f t="array" ref="T62">_xlfn.LET(
  _xlpm.w, T$11,
  _xlpm.r, MATCH(1,('3. Enter Indicator Scores'!$B$10:$B$161=$B62)*('3. Enter Indicator Scores'!$C$10:$C$161=$C62),0),
  _xlpm.c, MATCH(T$8,'3. Enter Indicator Scores'!$D$8:$CZ$8,0),
  _xlpm.v, IFERROR(INDEX('3. Enter Indicator Scores'!$D$10:$CZ$161,_xlpm.r,_xlpm.c),""),
  IF(OR(_xlpm.w="",_xlpm.v=""),"",_xlpm.v*_xlpm.w)
)</f>
        <v/>
      </c>
      <c r="U62" s="93" t="str" cm="1">
        <f t="array" ref="U62">_xlfn.LET(
  _xlpm.w, U$11,
  _xlpm.r, MATCH(1,('3. Enter Indicator Scores'!$B$10:$B$161=$B62)*('3. Enter Indicator Scores'!$C$10:$C$161=$C62),0),
  _xlpm.c, MATCH(U$8,'3. Enter Indicator Scores'!$D$8:$CZ$8,0),
  _xlpm.v, IFERROR(INDEX('3. Enter Indicator Scores'!$D$10:$CZ$161,_xlpm.r,_xlpm.c),""),
  IF(OR(_xlpm.w="",_xlpm.v=""),"",_xlpm.v*_xlpm.w)
)</f>
        <v/>
      </c>
      <c r="V62" s="93" t="str" cm="1">
        <f t="array" ref="V62">_xlfn.LET(
  _xlpm.w, V$11,
  _xlpm.r, MATCH(1,('3. Enter Indicator Scores'!$B$10:$B$161=$B62)*('3. Enter Indicator Scores'!$C$10:$C$161=$C62),0),
  _xlpm.c, MATCH(V$8,'3. Enter Indicator Scores'!$D$8:$CZ$8,0),
  _xlpm.v, IFERROR(INDEX('3. Enter Indicator Scores'!$D$10:$CZ$161,_xlpm.r,_xlpm.c),""),
  IF(OR(_xlpm.w="",_xlpm.v=""),"",_xlpm.v*_xlpm.w)
)</f>
        <v/>
      </c>
      <c r="W62" s="93" t="str" cm="1">
        <f t="array" ref="W62">_xlfn.LET(
  _xlpm.w, W$11,
  _xlpm.r, MATCH(1,('3. Enter Indicator Scores'!$B$10:$B$161=$B62)*('3. Enter Indicator Scores'!$C$10:$C$161=$C62),0),
  _xlpm.c, MATCH(W$8,'3. Enter Indicator Scores'!$D$8:$CZ$8,0),
  _xlpm.v, IFERROR(INDEX('3. Enter Indicator Scores'!$D$10:$CZ$161,_xlpm.r,_xlpm.c),""),
  IF(OR(_xlpm.w="",_xlpm.v=""),"",_xlpm.v*_xlpm.w)
)</f>
        <v/>
      </c>
      <c r="X62" s="93" t="str" cm="1">
        <f t="array" ref="X62">_xlfn.LET(
  _xlpm.w, X$11,
  _xlpm.r, MATCH(1,('3. Enter Indicator Scores'!$B$10:$B$161=$B62)*('3. Enter Indicator Scores'!$C$10:$C$161=$C62),0),
  _xlpm.c, MATCH(X$8,'3. Enter Indicator Scores'!$D$8:$CZ$8,0),
  _xlpm.v, IFERROR(INDEX('3. Enter Indicator Scores'!$D$10:$CZ$161,_xlpm.r,_xlpm.c),""),
  IF(OR(_xlpm.w="",_xlpm.v=""),"",_xlpm.v*_xlpm.w)
)</f>
        <v/>
      </c>
      <c r="Y62" s="93" t="str" cm="1">
        <f t="array" ref="Y62">_xlfn.LET(
  _xlpm.w, Y$11,
  _xlpm.r, MATCH(1,('3. Enter Indicator Scores'!$B$10:$B$161=$B62)*('3. Enter Indicator Scores'!$C$10:$C$161=$C62),0),
  _xlpm.c, MATCH(Y$8,'3. Enter Indicator Scores'!$D$8:$CZ$8,0),
  _xlpm.v, IFERROR(INDEX('3. Enter Indicator Scores'!$D$10:$CZ$161,_xlpm.r,_xlpm.c),""),
  IF(OR(_xlpm.w="",_xlpm.v=""),"",_xlpm.v*_xlpm.w)
)</f>
        <v/>
      </c>
      <c r="Z62" s="93" t="str" cm="1">
        <f t="array" ref="Z62">_xlfn.LET(
  _xlpm.w, Z$11,
  _xlpm.r, MATCH(1,('3. Enter Indicator Scores'!$B$10:$B$161=$B62)*('3. Enter Indicator Scores'!$C$10:$C$161=$C62),0),
  _xlpm.c, MATCH(Z$8,'3. Enter Indicator Scores'!$D$8:$CZ$8,0),
  _xlpm.v, IFERROR(INDEX('3. Enter Indicator Scores'!$D$10:$CZ$161,_xlpm.r,_xlpm.c),""),
  IF(OR(_xlpm.w="",_xlpm.v=""),"",_xlpm.v*_xlpm.w)
)</f>
        <v/>
      </c>
      <c r="AA62" s="93" t="str" cm="1">
        <f t="array" ref="AA62">_xlfn.LET(
  _xlpm.w, AA$11,
  _xlpm.r, MATCH(1,('3. Enter Indicator Scores'!$B$10:$B$161=$B62)*('3. Enter Indicator Scores'!$C$10:$C$161=$C62),0),
  _xlpm.c, MATCH(AA$8,'3. Enter Indicator Scores'!$D$8:$CZ$8,0),
  _xlpm.v, IFERROR(INDEX('3. Enter Indicator Scores'!$D$10:$CZ$161,_xlpm.r,_xlpm.c),""),
  IF(OR(_xlpm.w="",_xlpm.v=""),"",_xlpm.v*_xlpm.w)
)</f>
        <v/>
      </c>
      <c r="AB62" s="93" t="str" cm="1">
        <f t="array" ref="AB62">_xlfn.LET(
  _xlpm.w, AB$11,
  _xlpm.r, MATCH(1,('3. Enter Indicator Scores'!$B$10:$B$161=$B62)*('3. Enter Indicator Scores'!$C$10:$C$161=$C62),0),
  _xlpm.c, MATCH(AB$8,'3. Enter Indicator Scores'!$D$8:$CZ$8,0),
  _xlpm.v, IFERROR(INDEX('3. Enter Indicator Scores'!$D$10:$CZ$161,_xlpm.r,_xlpm.c),""),
  IF(OR(_xlpm.w="",_xlpm.v=""),"",_xlpm.v*_xlpm.w)
)</f>
        <v/>
      </c>
      <c r="AC62" s="93" t="str" cm="1">
        <f t="array" ref="AC62">_xlfn.LET(
  _xlpm.w, AC$11,
  _xlpm.r, MATCH(1,('3. Enter Indicator Scores'!$B$10:$B$161=$B62)*('3. Enter Indicator Scores'!$C$10:$C$161=$C62),0),
  _xlpm.c, MATCH(AC$8,'3. Enter Indicator Scores'!$D$8:$CZ$8,0),
  _xlpm.v, IFERROR(INDEX('3. Enter Indicator Scores'!$D$10:$CZ$161,_xlpm.r,_xlpm.c),""),
  IF(OR(_xlpm.w="",_xlpm.v=""),"",_xlpm.v*_xlpm.w)
)</f>
        <v/>
      </c>
      <c r="AD62" s="93" t="str" cm="1">
        <f t="array" ref="AD62">_xlfn.LET(
  _xlpm.w, AD$11,
  _xlpm.r, MATCH(1,('3. Enter Indicator Scores'!$B$10:$B$161=$B62)*('3. Enter Indicator Scores'!$C$10:$C$161=$C62),0),
  _xlpm.c, MATCH(AD$8,'3. Enter Indicator Scores'!$D$8:$CZ$8,0),
  _xlpm.v, IFERROR(INDEX('3. Enter Indicator Scores'!$D$10:$CZ$161,_xlpm.r,_xlpm.c),""),
  IF(OR(_xlpm.w="",_xlpm.v=""),"",_xlpm.v*_xlpm.w)
)</f>
        <v/>
      </c>
      <c r="AE62" s="93" t="str" cm="1">
        <f t="array" ref="AE62">_xlfn.LET(
  _xlpm.w, AE$11,
  _xlpm.r, MATCH(1,('3. Enter Indicator Scores'!$B$10:$B$161=$B62)*('3. Enter Indicator Scores'!$C$10:$C$161=$C62),0),
  _xlpm.c, MATCH(AE$8,'3. Enter Indicator Scores'!$D$8:$CZ$8,0),
  _xlpm.v, IFERROR(INDEX('3. Enter Indicator Scores'!$D$10:$CZ$161,_xlpm.r,_xlpm.c),""),
  IF(OR(_xlpm.w="",_xlpm.v=""),"",_xlpm.v*_xlpm.w)
)</f>
        <v/>
      </c>
      <c r="AF62" s="93" t="str" cm="1">
        <f t="array" ref="AF62">_xlfn.LET(
  _xlpm.w, AF$11,
  _xlpm.r, MATCH(1,('3. Enter Indicator Scores'!$B$10:$B$161=$B62)*('3. Enter Indicator Scores'!$C$10:$C$161=$C62),0),
  _xlpm.c, MATCH(AF$8,'3. Enter Indicator Scores'!$D$8:$CZ$8,0),
  _xlpm.v, IFERROR(INDEX('3. Enter Indicator Scores'!$D$10:$CZ$161,_xlpm.r,_xlpm.c),""),
  IF(OR(_xlpm.w="",_xlpm.v=""),"",_xlpm.v*_xlpm.w)
)</f>
        <v/>
      </c>
      <c r="AG62" s="93" t="str" cm="1">
        <f t="array" ref="AG62">_xlfn.LET(
  _xlpm.w, AG$11,
  _xlpm.r, MATCH(1,('3. Enter Indicator Scores'!$B$10:$B$161=$B62)*('3. Enter Indicator Scores'!$C$10:$C$161=$C62),0),
  _xlpm.c, MATCH(AG$8,'3. Enter Indicator Scores'!$D$8:$CZ$8,0),
  _xlpm.v, IFERROR(INDEX('3. Enter Indicator Scores'!$D$10:$CZ$161,_xlpm.r,_xlpm.c),""),
  IF(OR(_xlpm.w="",_xlpm.v=""),"",_xlpm.v*_xlpm.w)
)</f>
        <v/>
      </c>
      <c r="AH62" s="93" t="str" cm="1">
        <f t="array" ref="AH62">_xlfn.LET(
  _xlpm.w, AH$11,
  _xlpm.r, MATCH(1,('3. Enter Indicator Scores'!$B$10:$B$161=$B62)*('3. Enter Indicator Scores'!$C$10:$C$161=$C62),0),
  _xlpm.c, MATCH(AH$8,'3. Enter Indicator Scores'!$D$8:$CZ$8,0),
  _xlpm.v, IFERROR(INDEX('3. Enter Indicator Scores'!$D$10:$CZ$161,_xlpm.r,_xlpm.c),""),
  IF(OR(_xlpm.w="",_xlpm.v=""),"",_xlpm.v*_xlpm.w)
)</f>
        <v/>
      </c>
      <c r="AI62" s="93" t="str" cm="1">
        <f t="array" ref="AI62">_xlfn.LET(
  _xlpm.w, AI$11,
  _xlpm.r, MATCH(1,('3. Enter Indicator Scores'!$B$10:$B$161=$B62)*('3. Enter Indicator Scores'!$C$10:$C$161=$C62),0),
  _xlpm.c, MATCH(AI$8,'3. Enter Indicator Scores'!$D$8:$CZ$8,0),
  _xlpm.v, IFERROR(INDEX('3. Enter Indicator Scores'!$D$10:$CZ$161,_xlpm.r,_xlpm.c),""),
  IF(OR(_xlpm.w="",_xlpm.v=""),"",_xlpm.v*_xlpm.w)
)</f>
        <v/>
      </c>
      <c r="AJ62" s="93" t="str" cm="1">
        <f t="array" ref="AJ62">_xlfn.LET(
  _xlpm.w, AJ$11,
  _xlpm.r, MATCH(1,('3. Enter Indicator Scores'!$B$10:$B$161=$B62)*('3. Enter Indicator Scores'!$C$10:$C$161=$C62),0),
  _xlpm.c, MATCH(AJ$8,'3. Enter Indicator Scores'!$D$8:$CZ$8,0),
  _xlpm.v, IFERROR(INDEX('3. Enter Indicator Scores'!$D$10:$CZ$161,_xlpm.r,_xlpm.c),""),
  IF(OR(_xlpm.w="",_xlpm.v=""),"",_xlpm.v*_xlpm.w)
)</f>
        <v/>
      </c>
      <c r="AK62" s="93" t="str" cm="1">
        <f t="array" ref="AK62">_xlfn.LET(
  _xlpm.w, AK$11,
  _xlpm.r, MATCH(1,('3. Enter Indicator Scores'!$B$10:$B$161=$B62)*('3. Enter Indicator Scores'!$C$10:$C$161=$C62),0),
  _xlpm.c, MATCH(AK$8,'3. Enter Indicator Scores'!$D$8:$CZ$8,0),
  _xlpm.v, IFERROR(INDEX('3. Enter Indicator Scores'!$D$10:$CZ$161,_xlpm.r,_xlpm.c),""),
  IF(OR(_xlpm.w="",_xlpm.v=""),"",_xlpm.v*_xlpm.w)
)</f>
        <v/>
      </c>
      <c r="AL62" s="93" t="str" cm="1">
        <f t="array" ref="AL62">_xlfn.LET(
  _xlpm.w, AL$11,
  _xlpm.r, MATCH(1,('3. Enter Indicator Scores'!$B$10:$B$161=$B62)*('3. Enter Indicator Scores'!$C$10:$C$161=$C62),0),
  _xlpm.c, MATCH(AL$8,'3. Enter Indicator Scores'!$D$8:$CZ$8,0),
  _xlpm.v, IFERROR(INDEX('3. Enter Indicator Scores'!$D$10:$CZ$161,_xlpm.r,_xlpm.c),""),
  IF(OR(_xlpm.w="",_xlpm.v=""),"",_xlpm.v*_xlpm.w)
)</f>
        <v/>
      </c>
      <c r="AM62" s="93" t="str" cm="1">
        <f t="array" ref="AM62">_xlfn.LET(
  _xlpm.w, AM$11,
  _xlpm.r, MATCH(1,('3. Enter Indicator Scores'!$B$10:$B$161=$B62)*('3. Enter Indicator Scores'!$C$10:$C$161=$C62),0),
  _xlpm.c, MATCH(AM$8,'3. Enter Indicator Scores'!$D$8:$CZ$8,0),
  _xlpm.v, IFERROR(INDEX('3. Enter Indicator Scores'!$D$10:$CZ$161,_xlpm.r,_xlpm.c),""),
  IF(OR(_xlpm.w="",_xlpm.v=""),"",_xlpm.v*_xlpm.w)
)</f>
        <v/>
      </c>
      <c r="AN62" s="93" t="str" cm="1">
        <f t="array" ref="AN62">_xlfn.LET(
  _xlpm.w, AN$11,
  _xlpm.r, MATCH(1,('3. Enter Indicator Scores'!$B$10:$B$161=$B62)*('3. Enter Indicator Scores'!$C$10:$C$161=$C62),0),
  _xlpm.c, MATCH(AN$8,'3. Enter Indicator Scores'!$D$8:$CZ$8,0),
  _xlpm.v, IFERROR(INDEX('3. Enter Indicator Scores'!$D$10:$CZ$161,_xlpm.r,_xlpm.c),""),
  IF(OR(_xlpm.w="",_xlpm.v=""),"",_xlpm.v*_xlpm.w)
)</f>
        <v/>
      </c>
      <c r="AO62" s="93" t="str" cm="1">
        <f t="array" ref="AO62">_xlfn.LET(
  _xlpm.w, AO$11,
  _xlpm.r, MATCH(1,('3. Enter Indicator Scores'!$B$10:$B$161=$B62)*('3. Enter Indicator Scores'!$C$10:$C$161=$C62),0),
  _xlpm.c, MATCH(AO$8,'3. Enter Indicator Scores'!$D$8:$CZ$8,0),
  _xlpm.v, IFERROR(INDEX('3. Enter Indicator Scores'!$D$10:$CZ$161,_xlpm.r,_xlpm.c),""),
  IF(OR(_xlpm.w="",_xlpm.v=""),"",_xlpm.v*_xlpm.w)
)</f>
        <v/>
      </c>
      <c r="AP62" s="93" t="str" cm="1">
        <f t="array" ref="AP62">_xlfn.LET(
  _xlpm.w, AP$11,
  _xlpm.r, MATCH(1,('3. Enter Indicator Scores'!$B$10:$B$161=$B62)*('3. Enter Indicator Scores'!$C$10:$C$161=$C62),0),
  _xlpm.c, MATCH(AP$8,'3. Enter Indicator Scores'!$D$8:$CZ$8,0),
  _xlpm.v, IFERROR(INDEX('3. Enter Indicator Scores'!$D$10:$CZ$161,_xlpm.r,_xlpm.c),""),
  IF(OR(_xlpm.w="",_xlpm.v=""),"",_xlpm.v*_xlpm.w)
)</f>
        <v/>
      </c>
      <c r="AQ62" s="93" t="str" cm="1">
        <f t="array" ref="AQ62">_xlfn.LET(
  _xlpm.w, AQ$11,
  _xlpm.r, MATCH(1,('3. Enter Indicator Scores'!$B$10:$B$161=$B62)*('3. Enter Indicator Scores'!$C$10:$C$161=$C62),0),
  _xlpm.c, MATCH(AQ$8,'3. Enter Indicator Scores'!$D$8:$CZ$8,0),
  _xlpm.v, IFERROR(INDEX('3. Enter Indicator Scores'!$D$10:$CZ$161,_xlpm.r,_xlpm.c),""),
  IF(OR(_xlpm.w="",_xlpm.v=""),"",_xlpm.v*_xlpm.w)
)</f>
        <v/>
      </c>
      <c r="AR62" s="93" t="str" cm="1">
        <f t="array" ref="AR62">_xlfn.LET(
  _xlpm.w, AR$11,
  _xlpm.r, MATCH(1,('3. Enter Indicator Scores'!$B$10:$B$161=$B62)*('3. Enter Indicator Scores'!$C$10:$C$161=$C62),0),
  _xlpm.c, MATCH(AR$8,'3. Enter Indicator Scores'!$D$8:$CZ$8,0),
  _xlpm.v, IFERROR(INDEX('3. Enter Indicator Scores'!$D$10:$CZ$161,_xlpm.r,_xlpm.c),""),
  IF(OR(_xlpm.w="",_xlpm.v=""),"",_xlpm.v*_xlpm.w)
)</f>
        <v/>
      </c>
      <c r="AS62" s="93" t="str" cm="1">
        <f t="array" ref="AS62">_xlfn.LET(
  _xlpm.w, AS$11,
  _xlpm.r, MATCH(1,('3. Enter Indicator Scores'!$B$10:$B$161=$B62)*('3. Enter Indicator Scores'!$C$10:$C$161=$C62),0),
  _xlpm.c, MATCH(AS$8,'3. Enter Indicator Scores'!$D$8:$CZ$8,0),
  _xlpm.v, IFERROR(INDEX('3. Enter Indicator Scores'!$D$10:$CZ$161,_xlpm.r,_xlpm.c),""),
  IF(OR(_xlpm.w="",_xlpm.v=""),"",_xlpm.v*_xlpm.w)
)</f>
        <v/>
      </c>
      <c r="AT62" s="93" t="str" cm="1">
        <f t="array" ref="AT62">_xlfn.LET(
  _xlpm.w, AT$11,
  _xlpm.r, MATCH(1,('3. Enter Indicator Scores'!$B$10:$B$161=$B62)*('3. Enter Indicator Scores'!$C$10:$C$161=$C62),0),
  _xlpm.c, MATCH(AT$8,'3. Enter Indicator Scores'!$D$8:$CZ$8,0),
  _xlpm.v, IFERROR(INDEX('3. Enter Indicator Scores'!$D$10:$CZ$161,_xlpm.r,_xlpm.c),""),
  IF(OR(_xlpm.w="",_xlpm.v=""),"",_xlpm.v*_xlpm.w)
)</f>
        <v/>
      </c>
      <c r="AU62" s="93" t="str" cm="1">
        <f t="array" ref="AU62">_xlfn.LET(
  _xlpm.w, AU$11,
  _xlpm.r, MATCH(1,('3. Enter Indicator Scores'!$B$10:$B$161=$B62)*('3. Enter Indicator Scores'!$C$10:$C$161=$C62),0),
  _xlpm.c, MATCH(AU$8,'3. Enter Indicator Scores'!$D$8:$CZ$8,0),
  _xlpm.v, IFERROR(INDEX('3. Enter Indicator Scores'!$D$10:$CZ$161,_xlpm.r,_xlpm.c),""),
  IF(OR(_xlpm.w="",_xlpm.v=""),"",_xlpm.v*_xlpm.w)
)</f>
        <v/>
      </c>
      <c r="AV62" s="93" t="str" cm="1">
        <f t="array" ref="AV62">_xlfn.LET(
  _xlpm.w, AV$11,
  _xlpm.r, MATCH(1,('3. Enter Indicator Scores'!$B$10:$B$161=$B62)*('3. Enter Indicator Scores'!$C$10:$C$161=$C62),0),
  _xlpm.c, MATCH(AV$8,'3. Enter Indicator Scores'!$D$8:$CZ$8,0),
  _xlpm.v, IFERROR(INDEX('3. Enter Indicator Scores'!$D$10:$CZ$161,_xlpm.r,_xlpm.c),""),
  IF(OR(_xlpm.w="",_xlpm.v=""),"",_xlpm.v*_xlpm.w)
)</f>
        <v/>
      </c>
      <c r="AW62" s="93" t="str" cm="1">
        <f t="array" ref="AW62">_xlfn.LET(
  _xlpm.w, AW$11,
  _xlpm.r, MATCH(1,('3. Enter Indicator Scores'!$B$10:$B$161=$B62)*('3. Enter Indicator Scores'!$C$10:$C$161=$C62),0),
  _xlpm.c, MATCH(AW$8,'3. Enter Indicator Scores'!$D$8:$CZ$8,0),
  _xlpm.v, IFERROR(INDEX('3. Enter Indicator Scores'!$D$10:$CZ$161,_xlpm.r,_xlpm.c),""),
  IF(OR(_xlpm.w="",_xlpm.v=""),"",_xlpm.v*_xlpm.w)
)</f>
        <v/>
      </c>
      <c r="AX62" s="93" t="str" cm="1">
        <f t="array" ref="AX62">_xlfn.LET(
  _xlpm.w, AX$11,
  _xlpm.r, MATCH(1,('3. Enter Indicator Scores'!$B$10:$B$161=$B62)*('3. Enter Indicator Scores'!$C$10:$C$161=$C62),0),
  _xlpm.c, MATCH(AX$8,'3. Enter Indicator Scores'!$D$8:$CZ$8,0),
  _xlpm.v, IFERROR(INDEX('3. Enter Indicator Scores'!$D$10:$CZ$161,_xlpm.r,_xlpm.c),""),
  IF(OR(_xlpm.w="",_xlpm.v=""),"",_xlpm.v*_xlpm.w)
)</f>
        <v/>
      </c>
      <c r="AY62" s="93" t="str" cm="1">
        <f t="array" ref="AY62">_xlfn.LET(
  _xlpm.w, AY$11,
  _xlpm.r, MATCH(1,('3. Enter Indicator Scores'!$B$10:$B$161=$B62)*('3. Enter Indicator Scores'!$C$10:$C$161=$C62),0),
  _xlpm.c, MATCH(AY$8,'3. Enter Indicator Scores'!$D$8:$CZ$8,0),
  _xlpm.v, IFERROR(INDEX('3. Enter Indicator Scores'!$D$10:$CZ$161,_xlpm.r,_xlpm.c),""),
  IF(OR(_xlpm.w="",_xlpm.v=""),"",_xlpm.v*_xlpm.w)
)</f>
        <v/>
      </c>
      <c r="AZ62" s="93" t="str" cm="1">
        <f t="array" ref="AZ62">_xlfn.LET(
  _xlpm.w, AZ$11,
  _xlpm.r, MATCH(1,('3. Enter Indicator Scores'!$B$10:$B$161=$B62)*('3. Enter Indicator Scores'!$C$10:$C$161=$C62),0),
  _xlpm.c, MATCH(AZ$8,'3. Enter Indicator Scores'!$D$8:$CZ$8,0),
  _xlpm.v, IFERROR(INDEX('3. Enter Indicator Scores'!$D$10:$CZ$161,_xlpm.r,_xlpm.c),""),
  IF(OR(_xlpm.w="",_xlpm.v=""),"",_xlpm.v*_xlpm.w)
)</f>
        <v/>
      </c>
      <c r="BA62" s="93" t="str" cm="1">
        <f t="array" ref="BA62">_xlfn.LET(
  _xlpm.w, BA$11,
  _xlpm.r, MATCH(1,('3. Enter Indicator Scores'!$B$10:$B$161=$B62)*('3. Enter Indicator Scores'!$C$10:$C$161=$C62),0),
  _xlpm.c, MATCH(BA$8,'3. Enter Indicator Scores'!$D$8:$CZ$8,0),
  _xlpm.v, IFERROR(INDEX('3. Enter Indicator Scores'!$D$10:$CZ$161,_xlpm.r,_xlpm.c),""),
  IF(OR(_xlpm.w="",_xlpm.v=""),"",_xlpm.v*_xlpm.w)
)</f>
        <v/>
      </c>
      <c r="BB62" s="93" t="str" cm="1">
        <f t="array" ref="BB62">_xlfn.LET(
  _xlpm.w, BB$11,
  _xlpm.r, MATCH(1,('3. Enter Indicator Scores'!$B$10:$B$161=$B62)*('3. Enter Indicator Scores'!$C$10:$C$161=$C62),0),
  _xlpm.c, MATCH(BB$8,'3. Enter Indicator Scores'!$D$8:$CZ$8,0),
  _xlpm.v, IFERROR(INDEX('3. Enter Indicator Scores'!$D$10:$CZ$161,_xlpm.r,_xlpm.c),""),
  IF(OR(_xlpm.w="",_xlpm.v=""),"",_xlpm.v*_xlpm.w)
)</f>
        <v/>
      </c>
      <c r="BC62" s="93" t="str" cm="1">
        <f t="array" ref="BC62">_xlfn.LET(
  _xlpm.w, BC$11,
  _xlpm.r, MATCH(1,('3. Enter Indicator Scores'!$B$10:$B$161=$B62)*('3. Enter Indicator Scores'!$C$10:$C$161=$C62),0),
  _xlpm.c, MATCH(BC$8,'3. Enter Indicator Scores'!$D$8:$CZ$8,0),
  _xlpm.v, IFERROR(INDEX('3. Enter Indicator Scores'!$D$10:$CZ$161,_xlpm.r,_xlpm.c),""),
  IF(OR(_xlpm.w="",_xlpm.v=""),"",_xlpm.v*_xlpm.w)
)</f>
        <v/>
      </c>
      <c r="BD62" s="93" t="str" cm="1">
        <f t="array" ref="BD62">_xlfn.LET(
  _xlpm.w, BD$11,
  _xlpm.r, MATCH(1,('3. Enter Indicator Scores'!$B$10:$B$161=$B62)*('3. Enter Indicator Scores'!$C$10:$C$161=$C62),0),
  _xlpm.c, MATCH(BD$8,'3. Enter Indicator Scores'!$D$8:$CZ$8,0),
  _xlpm.v, IFERROR(INDEX('3. Enter Indicator Scores'!$D$10:$CZ$161,_xlpm.r,_xlpm.c),""),
  IF(OR(_xlpm.w="",_xlpm.v=""),"",_xlpm.v*_xlpm.w)
)</f>
        <v/>
      </c>
      <c r="BE62" s="93" t="str" cm="1">
        <f t="array" ref="BE62">_xlfn.LET(
  _xlpm.w, BE$11,
  _xlpm.r, MATCH(1,('3. Enter Indicator Scores'!$B$10:$B$161=$B62)*('3. Enter Indicator Scores'!$C$10:$C$161=$C62),0),
  _xlpm.c, MATCH(BE$8,'3. Enter Indicator Scores'!$D$8:$CZ$8,0),
  _xlpm.v, IFERROR(INDEX('3. Enter Indicator Scores'!$D$10:$CZ$161,_xlpm.r,_xlpm.c),""),
  IF(OR(_xlpm.w="",_xlpm.v=""),"",_xlpm.v*_xlpm.w)
)</f>
        <v/>
      </c>
      <c r="BF62" s="93" t="str" cm="1">
        <f t="array" ref="BF62">_xlfn.LET(
  _xlpm.w, BF$11,
  _xlpm.r, MATCH(1,('3. Enter Indicator Scores'!$B$10:$B$161=$B62)*('3. Enter Indicator Scores'!$C$10:$C$161=$C62),0),
  _xlpm.c, MATCH(BF$8,'3. Enter Indicator Scores'!$D$8:$CZ$8,0),
  _xlpm.v, IFERROR(INDEX('3. Enter Indicator Scores'!$D$10:$CZ$161,_xlpm.r,_xlpm.c),""),
  IF(OR(_xlpm.w="",_xlpm.v=""),"",_xlpm.v*_xlpm.w)
)</f>
        <v/>
      </c>
      <c r="BG62" s="93" t="str" cm="1">
        <f t="array" ref="BG62">_xlfn.LET(
  _xlpm.w, BG$11,
  _xlpm.r, MATCH(1,('3. Enter Indicator Scores'!$B$10:$B$161=$B62)*('3. Enter Indicator Scores'!$C$10:$C$161=$C62),0),
  _xlpm.c, MATCH(BG$8,'3. Enter Indicator Scores'!$D$8:$CZ$8,0),
  _xlpm.v, IFERROR(INDEX('3. Enter Indicator Scores'!$D$10:$CZ$161,_xlpm.r,_xlpm.c),""),
  IF(OR(_xlpm.w="",_xlpm.v=""),"",_xlpm.v*_xlpm.w)
)</f>
        <v/>
      </c>
      <c r="BH62" s="93" t="str" cm="1">
        <f t="array" ref="BH62">_xlfn.LET(
  _xlpm.w, BH$11,
  _xlpm.r, MATCH(1,('3. Enter Indicator Scores'!$B$10:$B$161=$B62)*('3. Enter Indicator Scores'!$C$10:$C$161=$C62),0),
  _xlpm.c, MATCH(BH$8,'3. Enter Indicator Scores'!$D$8:$CZ$8,0),
  _xlpm.v, IFERROR(INDEX('3. Enter Indicator Scores'!$D$10:$CZ$161,_xlpm.r,_xlpm.c),""),
  IF(OR(_xlpm.w="",_xlpm.v=""),"",_xlpm.v*_xlpm.w)
)</f>
        <v/>
      </c>
      <c r="BI62" s="93" t="str" cm="1">
        <f t="array" ref="BI62">_xlfn.LET(
  _xlpm.w, BI$11,
  _xlpm.r, MATCH(1,('3. Enter Indicator Scores'!$B$10:$B$161=$B62)*('3. Enter Indicator Scores'!$C$10:$C$161=$C62),0),
  _xlpm.c, MATCH(BI$8,'3. Enter Indicator Scores'!$D$8:$CZ$8,0),
  _xlpm.v, IFERROR(INDEX('3. Enter Indicator Scores'!$D$10:$CZ$161,_xlpm.r,_xlpm.c),""),
  IF(OR(_xlpm.w="",_xlpm.v=""),"",_xlpm.v*_xlpm.w)
)</f>
        <v/>
      </c>
      <c r="BJ62" s="93" t="str" cm="1">
        <f t="array" ref="BJ62">_xlfn.LET(
  _xlpm.w, BJ$11,
  _xlpm.r, MATCH(1,('3. Enter Indicator Scores'!$B$10:$B$161=$B62)*('3. Enter Indicator Scores'!$C$10:$C$161=$C62),0),
  _xlpm.c, MATCH(BJ$8,'3. Enter Indicator Scores'!$D$8:$CZ$8,0),
  _xlpm.v, IFERROR(INDEX('3. Enter Indicator Scores'!$D$10:$CZ$161,_xlpm.r,_xlpm.c),""),
  IF(OR(_xlpm.w="",_xlpm.v=""),"",_xlpm.v*_xlpm.w)
)</f>
        <v/>
      </c>
      <c r="BK62" s="93" t="str" cm="1">
        <f t="array" ref="BK62">_xlfn.LET(
  _xlpm.w, BK$11,
  _xlpm.r, MATCH(1,('3. Enter Indicator Scores'!$B$10:$B$161=$B62)*('3. Enter Indicator Scores'!$C$10:$C$161=$C62),0),
  _xlpm.c, MATCH(BK$8,'3. Enter Indicator Scores'!$D$8:$CZ$8,0),
  _xlpm.v, IFERROR(INDEX('3. Enter Indicator Scores'!$D$10:$CZ$161,_xlpm.r,_xlpm.c),""),
  IF(OR(_xlpm.w="",_xlpm.v=""),"",_xlpm.v*_xlpm.w)
)</f>
        <v/>
      </c>
      <c r="BL62" s="93" t="str" cm="1">
        <f t="array" ref="BL62">_xlfn.LET(
  _xlpm.w, BL$11,
  _xlpm.r, MATCH(1,('3. Enter Indicator Scores'!$B$10:$B$161=$B62)*('3. Enter Indicator Scores'!$C$10:$C$161=$C62),0),
  _xlpm.c, MATCH(BL$8,'3. Enter Indicator Scores'!$D$8:$CZ$8,0),
  _xlpm.v, IFERROR(INDEX('3. Enter Indicator Scores'!$D$10:$CZ$161,_xlpm.r,_xlpm.c),""),
  IF(OR(_xlpm.w="",_xlpm.v=""),"",_xlpm.v*_xlpm.w)
)</f>
        <v/>
      </c>
      <c r="BM62" s="93" t="str" cm="1">
        <f t="array" ref="BM62">_xlfn.LET(
  _xlpm.w, BM$11,
  _xlpm.r, MATCH(1,('3. Enter Indicator Scores'!$B$10:$B$161=$B62)*('3. Enter Indicator Scores'!$C$10:$C$161=$C62),0),
  _xlpm.c, MATCH(BM$8,'3. Enter Indicator Scores'!$D$8:$CZ$8,0),
  _xlpm.v, IFERROR(INDEX('3. Enter Indicator Scores'!$D$10:$CZ$161,_xlpm.r,_xlpm.c),""),
  IF(OR(_xlpm.w="",_xlpm.v=""),"",_xlpm.v*_xlpm.w)
)</f>
        <v/>
      </c>
      <c r="BN62" s="93" t="str" cm="1">
        <f t="array" ref="BN62">_xlfn.LET(
  _xlpm.w, BN$11,
  _xlpm.r, MATCH(1,('3. Enter Indicator Scores'!$B$10:$B$161=$B62)*('3. Enter Indicator Scores'!$C$10:$C$161=$C62),0),
  _xlpm.c, MATCH(BN$8,'3. Enter Indicator Scores'!$D$8:$CZ$8,0),
  _xlpm.v, IFERROR(INDEX('3. Enter Indicator Scores'!$D$10:$CZ$161,_xlpm.r,_xlpm.c),""),
  IF(OR(_xlpm.w="",_xlpm.v=""),"",_xlpm.v*_xlpm.w)
)</f>
        <v/>
      </c>
      <c r="BO62" s="93" t="str" cm="1">
        <f t="array" ref="BO62">_xlfn.LET(
  _xlpm.w, BO$11,
  _xlpm.r, MATCH(1,('3. Enter Indicator Scores'!$B$10:$B$161=$B62)*('3. Enter Indicator Scores'!$C$10:$C$161=$C62),0),
  _xlpm.c, MATCH(BO$8,'3. Enter Indicator Scores'!$D$8:$CZ$8,0),
  _xlpm.v, IFERROR(INDEX('3. Enter Indicator Scores'!$D$10:$CZ$161,_xlpm.r,_xlpm.c),""),
  IF(OR(_xlpm.w="",_xlpm.v=""),"",_xlpm.v*_xlpm.w)
)</f>
        <v/>
      </c>
      <c r="BP62" s="93" t="str" cm="1">
        <f t="array" ref="BP62">_xlfn.LET(
  _xlpm.w, BP$11,
  _xlpm.r, MATCH(1,('3. Enter Indicator Scores'!$B$10:$B$161=$B62)*('3. Enter Indicator Scores'!$C$10:$C$161=$C62),0),
  _xlpm.c, MATCH(BP$8,'3. Enter Indicator Scores'!$D$8:$CZ$8,0),
  _xlpm.v, IFERROR(INDEX('3. Enter Indicator Scores'!$D$10:$CZ$161,_xlpm.r,_xlpm.c),""),
  IF(OR(_xlpm.w="",_xlpm.v=""),"",_xlpm.v*_xlpm.w)
)</f>
        <v/>
      </c>
      <c r="BQ62" s="93" t="str" cm="1">
        <f t="array" ref="BQ62">_xlfn.LET(
  _xlpm.w, BQ$11,
  _xlpm.r, MATCH(1,('3. Enter Indicator Scores'!$B$10:$B$161=$B62)*('3. Enter Indicator Scores'!$C$10:$C$161=$C62),0),
  _xlpm.c, MATCH(BQ$8,'3. Enter Indicator Scores'!$D$8:$CZ$8,0),
  _xlpm.v, IFERROR(INDEX('3. Enter Indicator Scores'!$D$10:$CZ$161,_xlpm.r,_xlpm.c),""),
  IF(OR(_xlpm.w="",_xlpm.v=""),"",_xlpm.v*_xlpm.w)
)</f>
        <v/>
      </c>
      <c r="BR62" s="93" t="str" cm="1">
        <f t="array" ref="BR62">_xlfn.LET(
  _xlpm.w, BR$11,
  _xlpm.r, MATCH(1,('3. Enter Indicator Scores'!$B$10:$B$161=$B62)*('3. Enter Indicator Scores'!$C$10:$C$161=$C62),0),
  _xlpm.c, MATCH(BR$8,'3. Enter Indicator Scores'!$D$8:$CZ$8,0),
  _xlpm.v, IFERROR(INDEX('3. Enter Indicator Scores'!$D$10:$CZ$161,_xlpm.r,_xlpm.c),""),
  IF(OR(_xlpm.w="",_xlpm.v=""),"",_xlpm.v*_xlpm.w)
)</f>
        <v/>
      </c>
      <c r="BS62" s="93" t="str" cm="1">
        <f t="array" ref="BS62">_xlfn.LET(
  _xlpm.w, BS$11,
  _xlpm.r, MATCH(1,('3. Enter Indicator Scores'!$B$10:$B$161=$B62)*('3. Enter Indicator Scores'!$C$10:$C$161=$C62),0),
  _xlpm.c, MATCH(BS$8,'3. Enter Indicator Scores'!$D$8:$CZ$8,0),
  _xlpm.v, IFERROR(INDEX('3. Enter Indicator Scores'!$D$10:$CZ$161,_xlpm.r,_xlpm.c),""),
  IF(OR(_xlpm.w="",_xlpm.v=""),"",_xlpm.v*_xlpm.w)
)</f>
        <v/>
      </c>
      <c r="BT62" s="93" t="str" cm="1">
        <f t="array" ref="BT62">_xlfn.LET(
  _xlpm.w, BT$11,
  _xlpm.r, MATCH(1,('3. Enter Indicator Scores'!$B$10:$B$161=$B62)*('3. Enter Indicator Scores'!$C$10:$C$161=$C62),0),
  _xlpm.c, MATCH(BT$8,'3. Enter Indicator Scores'!$D$8:$CZ$8,0),
  _xlpm.v, IFERROR(INDEX('3. Enter Indicator Scores'!$D$10:$CZ$161,_xlpm.r,_xlpm.c),""),
  IF(OR(_xlpm.w="",_xlpm.v=""),"",_xlpm.v*_xlpm.w)
)</f>
        <v/>
      </c>
      <c r="BU62" s="93" t="str" cm="1">
        <f t="array" ref="BU62">_xlfn.LET(
  _xlpm.w, BU$11,
  _xlpm.r, MATCH(1,('3. Enter Indicator Scores'!$B$10:$B$161=$B62)*('3. Enter Indicator Scores'!$C$10:$C$161=$C62),0),
  _xlpm.c, MATCH(BU$8,'3. Enter Indicator Scores'!$D$8:$CZ$8,0),
  _xlpm.v, IFERROR(INDEX('3. Enter Indicator Scores'!$D$10:$CZ$161,_xlpm.r,_xlpm.c),""),
  IF(OR(_xlpm.w="",_xlpm.v=""),"",_xlpm.v*_xlpm.w)
)</f>
        <v/>
      </c>
      <c r="BV62" s="93" t="str" cm="1">
        <f t="array" ref="BV62">_xlfn.LET(
  _xlpm.w, BV$11,
  _xlpm.r, MATCH(1,('3. Enter Indicator Scores'!$B$10:$B$161=$B62)*('3. Enter Indicator Scores'!$C$10:$C$161=$C62),0),
  _xlpm.c, MATCH(BV$8,'3. Enter Indicator Scores'!$D$8:$CZ$8,0),
  _xlpm.v, IFERROR(INDEX('3. Enter Indicator Scores'!$D$10:$CZ$161,_xlpm.r,_xlpm.c),""),
  IF(OR(_xlpm.w="",_xlpm.v=""),"",_xlpm.v*_xlpm.w)
)</f>
        <v/>
      </c>
      <c r="BW62" s="93" t="str" cm="1">
        <f t="array" ref="BW62">_xlfn.LET(
  _xlpm.w, BW$11,
  _xlpm.r, MATCH(1,('3. Enter Indicator Scores'!$B$10:$B$161=$B62)*('3. Enter Indicator Scores'!$C$10:$C$161=$C62),0),
  _xlpm.c, MATCH(BW$8,'3. Enter Indicator Scores'!$D$8:$CZ$8,0),
  _xlpm.v, IFERROR(INDEX('3. Enter Indicator Scores'!$D$10:$CZ$161,_xlpm.r,_xlpm.c),""),
  IF(OR(_xlpm.w="",_xlpm.v=""),"",_xlpm.v*_xlpm.w)
)</f>
        <v/>
      </c>
      <c r="BX62" s="93" t="str" cm="1">
        <f t="array" ref="BX62">_xlfn.LET(
  _xlpm.w, BX$11,
  _xlpm.r, MATCH(1,('3. Enter Indicator Scores'!$B$10:$B$161=$B62)*('3. Enter Indicator Scores'!$C$10:$C$161=$C62),0),
  _xlpm.c, MATCH(BX$8,'3. Enter Indicator Scores'!$D$8:$CZ$8,0),
  _xlpm.v, IFERROR(INDEX('3. Enter Indicator Scores'!$D$10:$CZ$161,_xlpm.r,_xlpm.c),""),
  IF(OR(_xlpm.w="",_xlpm.v=""),"",_xlpm.v*_xlpm.w)
)</f>
        <v/>
      </c>
      <c r="BY62" s="93" t="str" cm="1">
        <f t="array" ref="BY62">_xlfn.LET(
  _xlpm.w, BY$11,
  _xlpm.r, MATCH(1,('3. Enter Indicator Scores'!$B$10:$B$161=$B62)*('3. Enter Indicator Scores'!$C$10:$C$161=$C62),0),
  _xlpm.c, MATCH(BY$8,'3. Enter Indicator Scores'!$D$8:$CZ$8,0),
  _xlpm.v, IFERROR(INDEX('3. Enter Indicator Scores'!$D$10:$CZ$161,_xlpm.r,_xlpm.c),""),
  IF(OR(_xlpm.w="",_xlpm.v=""),"",_xlpm.v*_xlpm.w)
)</f>
        <v/>
      </c>
      <c r="BZ62" s="93" t="str" cm="1">
        <f t="array" ref="BZ62">_xlfn.LET(
  _xlpm.w, BZ$11,
  _xlpm.r, MATCH(1,('3. Enter Indicator Scores'!$B$10:$B$161=$B62)*('3. Enter Indicator Scores'!$C$10:$C$161=$C62),0),
  _xlpm.c, MATCH(BZ$8,'3. Enter Indicator Scores'!$D$8:$CZ$8,0),
  _xlpm.v, IFERROR(INDEX('3. Enter Indicator Scores'!$D$10:$CZ$161,_xlpm.r,_xlpm.c),""),
  IF(OR(_xlpm.w="",_xlpm.v=""),"",_xlpm.v*_xlpm.w)
)</f>
        <v/>
      </c>
      <c r="CA62" s="93" t="str" cm="1">
        <f t="array" ref="CA62">_xlfn.LET(
  _xlpm.w, CA$11,
  _xlpm.r, MATCH(1,('3. Enter Indicator Scores'!$B$10:$B$161=$B62)*('3. Enter Indicator Scores'!$C$10:$C$161=$C62),0),
  _xlpm.c, MATCH(CA$8,'3. Enter Indicator Scores'!$D$8:$CZ$8,0),
  _xlpm.v, IFERROR(INDEX('3. Enter Indicator Scores'!$D$10:$CZ$161,_xlpm.r,_xlpm.c),""),
  IF(OR(_xlpm.w="",_xlpm.v=""),"",_xlpm.v*_xlpm.w)
)</f>
        <v/>
      </c>
      <c r="CB62" s="93" t="str" cm="1">
        <f t="array" ref="CB62">_xlfn.LET(
  _xlpm.w, CB$11,
  _xlpm.r, MATCH(1,('3. Enter Indicator Scores'!$B$10:$B$161=$B62)*('3. Enter Indicator Scores'!$C$10:$C$161=$C62),0),
  _xlpm.c, MATCH(CB$8,'3. Enter Indicator Scores'!$D$8:$CZ$8,0),
  _xlpm.v, IFERROR(INDEX('3. Enter Indicator Scores'!$D$10:$CZ$161,_xlpm.r,_xlpm.c),""),
  IF(OR(_xlpm.w="",_xlpm.v=""),"",_xlpm.v*_xlpm.w)
)</f>
        <v/>
      </c>
      <c r="CC62" s="93" t="str" cm="1">
        <f t="array" ref="CC62">_xlfn.LET(
  _xlpm.w, CC$11,
  _xlpm.r, MATCH(1,('3. Enter Indicator Scores'!$B$10:$B$161=$B62)*('3. Enter Indicator Scores'!$C$10:$C$161=$C62),0),
  _xlpm.c, MATCH(CC$8,'3. Enter Indicator Scores'!$D$8:$CZ$8,0),
  _xlpm.v, IFERROR(INDEX('3. Enter Indicator Scores'!$D$10:$CZ$161,_xlpm.r,_xlpm.c),""),
  IF(OR(_xlpm.w="",_xlpm.v=""),"",_xlpm.v*_xlpm.w)
)</f>
        <v/>
      </c>
      <c r="CD62" s="93" t="str" cm="1">
        <f t="array" ref="CD62">_xlfn.LET(
  _xlpm.w, CD$11,
  _xlpm.r, MATCH(1,('3. Enter Indicator Scores'!$B$10:$B$161=$B62)*('3. Enter Indicator Scores'!$C$10:$C$161=$C62),0),
  _xlpm.c, MATCH(CD$8,'3. Enter Indicator Scores'!$D$8:$CZ$8,0),
  _xlpm.v, IFERROR(INDEX('3. Enter Indicator Scores'!$D$10:$CZ$161,_xlpm.r,_xlpm.c),""),
  IF(OR(_xlpm.w="",_xlpm.v=""),"",_xlpm.v*_xlpm.w)
)</f>
        <v/>
      </c>
      <c r="CE62" s="93" t="str" cm="1">
        <f t="array" ref="CE62">_xlfn.LET(
  _xlpm.w, CE$11,
  _xlpm.r, MATCH(1,('3. Enter Indicator Scores'!$B$10:$B$161=$B62)*('3. Enter Indicator Scores'!$C$10:$C$161=$C62),0),
  _xlpm.c, MATCH(CE$8,'3. Enter Indicator Scores'!$D$8:$CZ$8,0),
  _xlpm.v, IFERROR(INDEX('3. Enter Indicator Scores'!$D$10:$CZ$161,_xlpm.r,_xlpm.c),""),
  IF(OR(_xlpm.w="",_xlpm.v=""),"",_xlpm.v*_xlpm.w)
)</f>
        <v/>
      </c>
      <c r="CF62" s="93" t="str" cm="1">
        <f t="array" ref="CF62">_xlfn.LET(
  _xlpm.w, CF$11,
  _xlpm.r, MATCH(1,('3. Enter Indicator Scores'!$B$10:$B$161=$B62)*('3. Enter Indicator Scores'!$C$10:$C$161=$C62),0),
  _xlpm.c, MATCH(CF$8,'3. Enter Indicator Scores'!$D$8:$CZ$8,0),
  _xlpm.v, IFERROR(INDEX('3. Enter Indicator Scores'!$D$10:$CZ$161,_xlpm.r,_xlpm.c),""),
  IF(OR(_xlpm.w="",_xlpm.v=""),"",_xlpm.v*_xlpm.w)
)</f>
        <v/>
      </c>
      <c r="CG62" s="93" t="str" cm="1">
        <f t="array" ref="CG62">_xlfn.LET(
  _xlpm.w, CG$11,
  _xlpm.r, MATCH(1,('3. Enter Indicator Scores'!$B$10:$B$161=$B62)*('3. Enter Indicator Scores'!$C$10:$C$161=$C62),0),
  _xlpm.c, MATCH(CG$8,'3. Enter Indicator Scores'!$D$8:$CZ$8,0),
  _xlpm.v, IFERROR(INDEX('3. Enter Indicator Scores'!$D$10:$CZ$161,_xlpm.r,_xlpm.c),""),
  IF(OR(_xlpm.w="",_xlpm.v=""),"",_xlpm.v*_xlpm.w)
)</f>
        <v/>
      </c>
      <c r="CH62" s="93" t="str" cm="1">
        <f t="array" ref="CH62">_xlfn.LET(
  _xlpm.w, CH$11,
  _xlpm.r, MATCH(1,('3. Enter Indicator Scores'!$B$10:$B$161=$B62)*('3. Enter Indicator Scores'!$C$10:$C$161=$C62),0),
  _xlpm.c, MATCH(CH$8,'3. Enter Indicator Scores'!$D$8:$CZ$8,0),
  _xlpm.v, IFERROR(INDEX('3. Enter Indicator Scores'!$D$10:$CZ$161,_xlpm.r,_xlpm.c),""),
  IF(OR(_xlpm.w="",_xlpm.v=""),"",_xlpm.v*_xlpm.w)
)</f>
        <v/>
      </c>
      <c r="CI62" s="93" t="str" cm="1">
        <f t="array" ref="CI62">_xlfn.LET(
  _xlpm.w, CI$11,
  _xlpm.r, MATCH(1,('3. Enter Indicator Scores'!$B$10:$B$161=$B62)*('3. Enter Indicator Scores'!$C$10:$C$161=$C62),0),
  _xlpm.c, MATCH(CI$8,'3. Enter Indicator Scores'!$D$8:$CZ$8,0),
  _xlpm.v, IFERROR(INDEX('3. Enter Indicator Scores'!$D$10:$CZ$161,_xlpm.r,_xlpm.c),""),
  IF(OR(_xlpm.w="",_xlpm.v=""),"",_xlpm.v*_xlpm.w)
)</f>
        <v/>
      </c>
      <c r="CJ62" s="93" t="str" cm="1">
        <f t="array" ref="CJ62">_xlfn.LET(
  _xlpm.w, CJ$11,
  _xlpm.r, MATCH(1,('3. Enter Indicator Scores'!$B$10:$B$161=$B62)*('3. Enter Indicator Scores'!$C$10:$C$161=$C62),0),
  _xlpm.c, MATCH(CJ$8,'3. Enter Indicator Scores'!$D$8:$CZ$8,0),
  _xlpm.v, IFERROR(INDEX('3. Enter Indicator Scores'!$D$10:$CZ$161,_xlpm.r,_xlpm.c),""),
  IF(OR(_xlpm.w="",_xlpm.v=""),"",_xlpm.v*_xlpm.w)
)</f>
        <v/>
      </c>
      <c r="CK62" s="93" t="str" cm="1">
        <f t="array" ref="CK62">_xlfn.LET(
  _xlpm.w, CK$11,
  _xlpm.r, MATCH(1,('3. Enter Indicator Scores'!$B$10:$B$161=$B62)*('3. Enter Indicator Scores'!$C$10:$C$161=$C62),0),
  _xlpm.c, MATCH(CK$8,'3. Enter Indicator Scores'!$D$8:$CZ$8,0),
  _xlpm.v, IFERROR(INDEX('3. Enter Indicator Scores'!$D$10:$CZ$161,_xlpm.r,_xlpm.c),""),
  IF(OR(_xlpm.w="",_xlpm.v=""),"",_xlpm.v*_xlpm.w)
)</f>
        <v/>
      </c>
      <c r="CL62" s="93" t="str" cm="1">
        <f t="array" ref="CL62">_xlfn.LET(
  _xlpm.w, CL$11,
  _xlpm.r, MATCH(1,('3. Enter Indicator Scores'!$B$10:$B$161=$B62)*('3. Enter Indicator Scores'!$C$10:$C$161=$C62),0),
  _xlpm.c, MATCH(CL$8,'3. Enter Indicator Scores'!$D$8:$CZ$8,0),
  _xlpm.v, IFERROR(INDEX('3. Enter Indicator Scores'!$D$10:$CZ$161,_xlpm.r,_xlpm.c),""),
  IF(OR(_xlpm.w="",_xlpm.v=""),"",_xlpm.v*_xlpm.w)
)</f>
        <v/>
      </c>
      <c r="CM62" s="93" t="str" cm="1">
        <f t="array" ref="CM62">_xlfn.LET(
  _xlpm.w, CM$11,
  _xlpm.r, MATCH(1,('3. Enter Indicator Scores'!$B$10:$B$161=$B62)*('3. Enter Indicator Scores'!$C$10:$C$161=$C62),0),
  _xlpm.c, MATCH(CM$8,'3. Enter Indicator Scores'!$D$8:$CZ$8,0),
  _xlpm.v, IFERROR(INDEX('3. Enter Indicator Scores'!$D$10:$CZ$161,_xlpm.r,_xlpm.c),""),
  IF(OR(_xlpm.w="",_xlpm.v=""),"",_xlpm.v*_xlpm.w)
)</f>
        <v/>
      </c>
      <c r="CN62" s="93" t="str" cm="1">
        <f t="array" ref="CN62">_xlfn.LET(
  _xlpm.w, CN$11,
  _xlpm.r, MATCH(1,('3. Enter Indicator Scores'!$B$10:$B$161=$B62)*('3. Enter Indicator Scores'!$C$10:$C$161=$C62),0),
  _xlpm.c, MATCH(CN$8,'3. Enter Indicator Scores'!$D$8:$CZ$8,0),
  _xlpm.v, IFERROR(INDEX('3. Enter Indicator Scores'!$D$10:$CZ$161,_xlpm.r,_xlpm.c),""),
  IF(OR(_xlpm.w="",_xlpm.v=""),"",_xlpm.v*_xlpm.w)
)</f>
        <v/>
      </c>
      <c r="CO62" s="93" t="str" cm="1">
        <f t="array" ref="CO62">_xlfn.LET(
  _xlpm.w, CO$11,
  _xlpm.r, MATCH(1,('3. Enter Indicator Scores'!$B$10:$B$161=$B62)*('3. Enter Indicator Scores'!$C$10:$C$161=$C62),0),
  _xlpm.c, MATCH(CO$8,'3. Enter Indicator Scores'!$D$8:$CZ$8,0),
  _xlpm.v, IFERROR(INDEX('3. Enter Indicator Scores'!$D$10:$CZ$161,_xlpm.r,_xlpm.c),""),
  IF(OR(_xlpm.w="",_xlpm.v=""),"",_xlpm.v*_xlpm.w)
)</f>
        <v/>
      </c>
      <c r="CP62" s="93" t="str" cm="1">
        <f t="array" ref="CP62">_xlfn.LET(
  _xlpm.w, CP$11,
  _xlpm.r, MATCH(1,('3. Enter Indicator Scores'!$B$10:$B$161=$B62)*('3. Enter Indicator Scores'!$C$10:$C$161=$C62),0),
  _xlpm.c, MATCH(CP$8,'3. Enter Indicator Scores'!$D$8:$CZ$8,0),
  _xlpm.v, IFERROR(INDEX('3. Enter Indicator Scores'!$D$10:$CZ$161,_xlpm.r,_xlpm.c),""),
  IF(OR(_xlpm.w="",_xlpm.v=""),"",_xlpm.v*_xlpm.w)
)</f>
        <v/>
      </c>
      <c r="CQ62" s="93" t="str" cm="1">
        <f t="array" ref="CQ62">_xlfn.LET(
  _xlpm.w, CQ$11,
  _xlpm.r, MATCH(1,('3. Enter Indicator Scores'!$B$10:$B$161=$B62)*('3. Enter Indicator Scores'!$C$10:$C$161=$C62),0),
  _xlpm.c, MATCH(CQ$8,'3. Enter Indicator Scores'!$D$8:$CZ$8,0),
  _xlpm.v, IFERROR(INDEX('3. Enter Indicator Scores'!$D$10:$CZ$161,_xlpm.r,_xlpm.c),""),
  IF(OR(_xlpm.w="",_xlpm.v=""),"",_xlpm.v*_xlpm.w)
)</f>
        <v/>
      </c>
      <c r="CR62" s="93" t="str" cm="1">
        <f t="array" ref="CR62">_xlfn.LET(
  _xlpm.w, CR$11,
  _xlpm.r, MATCH(1,('3. Enter Indicator Scores'!$B$10:$B$161=$B62)*('3. Enter Indicator Scores'!$C$10:$C$161=$C62),0),
  _xlpm.c, MATCH(CR$8,'3. Enter Indicator Scores'!$D$8:$CZ$8,0),
  _xlpm.v, IFERROR(INDEX('3. Enter Indicator Scores'!$D$10:$CZ$161,_xlpm.r,_xlpm.c),""),
  IF(OR(_xlpm.w="",_xlpm.v=""),"",_xlpm.v*_xlpm.w)
)</f>
        <v/>
      </c>
      <c r="CS62" s="93" t="str" cm="1">
        <f t="array" ref="CS62">_xlfn.LET(
  _xlpm.w, CS$11,
  _xlpm.r, MATCH(1,('3. Enter Indicator Scores'!$B$10:$B$161=$B62)*('3. Enter Indicator Scores'!$C$10:$C$161=$C62),0),
  _xlpm.c, MATCH(CS$8,'3. Enter Indicator Scores'!$D$8:$CZ$8,0),
  _xlpm.v, IFERROR(INDEX('3. Enter Indicator Scores'!$D$10:$CZ$161,_xlpm.r,_xlpm.c),""),
  IF(OR(_xlpm.w="",_xlpm.v=""),"",_xlpm.v*_xlpm.w)
)</f>
        <v/>
      </c>
      <c r="CT62" s="93" t="str" cm="1">
        <f t="array" ref="CT62">_xlfn.LET(
  _xlpm.w, CT$11,
  _xlpm.r, MATCH(1,('3. Enter Indicator Scores'!$B$10:$B$161=$B62)*('3. Enter Indicator Scores'!$C$10:$C$161=$C62),0),
  _xlpm.c, MATCH(CT$8,'3. Enter Indicator Scores'!$D$8:$CZ$8,0),
  _xlpm.v, IFERROR(INDEX('3. Enter Indicator Scores'!$D$10:$CZ$161,_xlpm.r,_xlpm.c),""),
  IF(OR(_xlpm.w="",_xlpm.v=""),"",_xlpm.v*_xlpm.w)
)</f>
        <v/>
      </c>
      <c r="CU62" s="93" t="str" cm="1">
        <f t="array" ref="CU62">_xlfn.LET(
  _xlpm.w, CU$11,
  _xlpm.r, MATCH(1,('3. Enter Indicator Scores'!$B$10:$B$161=$B62)*('3. Enter Indicator Scores'!$C$10:$C$161=$C62),0),
  _xlpm.c, MATCH(CU$8,'3. Enter Indicator Scores'!$D$8:$CZ$8,0),
  _xlpm.v, IFERROR(INDEX('3. Enter Indicator Scores'!$D$10:$CZ$161,_xlpm.r,_xlpm.c),""),
  IF(OR(_xlpm.w="",_xlpm.v=""),"",_xlpm.v*_xlpm.w)
)</f>
        <v/>
      </c>
      <c r="CV62" s="93" t="str" cm="1">
        <f t="array" ref="CV62">_xlfn.LET(
  _xlpm.w, CV$11,
  _xlpm.r, MATCH(1,('3. Enter Indicator Scores'!$B$10:$B$161=$B62)*('3. Enter Indicator Scores'!$C$10:$C$161=$C62),0),
  _xlpm.c, MATCH(CV$8,'3. Enter Indicator Scores'!$D$8:$CZ$8,0),
  _xlpm.v, IFERROR(INDEX('3. Enter Indicator Scores'!$D$10:$CZ$161,_xlpm.r,_xlpm.c),""),
  IF(OR(_xlpm.w="",_xlpm.v=""),"",_xlpm.v*_xlpm.w)
)</f>
        <v/>
      </c>
      <c r="CW62" s="93" t="str" cm="1">
        <f t="array" ref="CW62">_xlfn.LET(
  _xlpm.w, CW$11,
  _xlpm.r, MATCH(1,('3. Enter Indicator Scores'!$B$10:$B$161=$B62)*('3. Enter Indicator Scores'!$C$10:$C$161=$C62),0),
  _xlpm.c, MATCH(CW$8,'3. Enter Indicator Scores'!$D$8:$CZ$8,0),
  _xlpm.v, IFERROR(INDEX('3. Enter Indicator Scores'!$D$10:$CZ$161,_xlpm.r,_xlpm.c),""),
  IF(OR(_xlpm.w="",_xlpm.v=""),"",_xlpm.v*_xlpm.w)
)</f>
        <v/>
      </c>
      <c r="CX62" s="93" t="str" cm="1">
        <f t="array" ref="CX62">_xlfn.LET(
  _xlpm.w, CX$11,
  _xlpm.r, MATCH(1,('3. Enter Indicator Scores'!$B$10:$B$161=$B62)*('3. Enter Indicator Scores'!$C$10:$C$161=$C62),0),
  _xlpm.c, MATCH(CX$8,'3. Enter Indicator Scores'!$D$8:$CZ$8,0),
  _xlpm.v, IFERROR(INDEX('3. Enter Indicator Scores'!$D$10:$CZ$161,_xlpm.r,_xlpm.c),""),
  IF(OR(_xlpm.w="",_xlpm.v=""),"",_xlpm.v*_xlpm.w)
)</f>
        <v/>
      </c>
      <c r="CY62" s="93" t="str" cm="1">
        <f t="array" ref="CY62">_xlfn.LET(
  _xlpm.w, CY$11,
  _xlpm.r, MATCH(1,('3. Enter Indicator Scores'!$B$10:$B$161=$B62)*('3. Enter Indicator Scores'!$C$10:$C$161=$C62),0),
  _xlpm.c, MATCH(CY$8,'3. Enter Indicator Scores'!$D$8:$CZ$8,0),
  _xlpm.v, IFERROR(INDEX('3. Enter Indicator Scores'!$D$10:$CZ$161,_xlpm.r,_xlpm.c),""),
  IF(OR(_xlpm.w="",_xlpm.v=""),"",_xlpm.v*_xlpm.w)
)</f>
        <v/>
      </c>
      <c r="CZ62" s="93" t="str" cm="1">
        <f t="array" ref="CZ62">_xlfn.LET(
  _xlpm.w, CZ$11,
  _xlpm.r, MATCH(1,('3. Enter Indicator Scores'!$B$10:$B$161=$B62)*('3. Enter Indicator Scores'!$C$10:$C$161=$C62),0),
  _xlpm.c, MATCH(CZ$8,'3. Enter Indicator Scores'!$D$8:$CZ$8,0),
  _xlpm.v, IFERROR(INDEX('3. Enter Indicator Scores'!$D$10:$CZ$161,_xlpm.r,_xlpm.c),""),
  IF(OR(_xlpm.w="",_xlpm.v=""),"",_xlpm.v*_xlpm.w)
)</f>
        <v/>
      </c>
    </row>
    <row r="63" spans="4:104" x14ac:dyDescent="0.2">
      <c r="D63" s="93" t="str" cm="1">
        <f t="array" ref="D63">_xlfn.LET(
  _xlpm.w, D$11,
  _xlpm.r, MATCH(1,('3. Enter Indicator Scores'!$B$10:$B$161=$B63)*('3. Enter Indicator Scores'!$C$10:$C$161=$C63),0),
  _xlpm.c, MATCH(D$8,'3. Enter Indicator Scores'!$D$8:$CZ$8,0),
  _xlpm.v, IFERROR(INDEX('3. Enter Indicator Scores'!$D$10:$CZ$161,_xlpm.r,_xlpm.c),""),
  IF(OR(_xlpm.w="",_xlpm.v=""),"",_xlpm.v*_xlpm.w)
)</f>
        <v/>
      </c>
      <c r="E63" s="93" t="str" cm="1">
        <f t="array" ref="E63">_xlfn.LET(
  _xlpm.w, E$11,
  _xlpm.r, MATCH(1,('3. Enter Indicator Scores'!$B$10:$B$161=$B63)*('3. Enter Indicator Scores'!$C$10:$C$161=$C63),0),
  _xlpm.c, MATCH(E$8,'3. Enter Indicator Scores'!$D$8:$CZ$8,0),
  _xlpm.v, IFERROR(INDEX('3. Enter Indicator Scores'!$D$10:$CZ$161,_xlpm.r,_xlpm.c),""),
  IF(OR(_xlpm.w="",_xlpm.v=""),"",_xlpm.v*_xlpm.w)
)</f>
        <v/>
      </c>
      <c r="F63" s="93" t="str" cm="1">
        <f t="array" ref="F63">_xlfn.LET(
  _xlpm.w, F$11,
  _xlpm.r, MATCH(1,('3. Enter Indicator Scores'!$B$10:$B$161=$B63)*('3. Enter Indicator Scores'!$C$10:$C$161=$C63),0),
  _xlpm.c, MATCH(F$8,'3. Enter Indicator Scores'!$D$8:$CZ$8,0),
  _xlpm.v, IFERROR(INDEX('3. Enter Indicator Scores'!$D$10:$CZ$161,_xlpm.r,_xlpm.c),""),
  IF(OR(_xlpm.w="",_xlpm.v=""),"",_xlpm.v*_xlpm.w)
)</f>
        <v/>
      </c>
      <c r="G63" s="93" t="str" cm="1">
        <f t="array" ref="G63">_xlfn.LET(
  _xlpm.w, G$11,
  _xlpm.r, MATCH(1,('3. Enter Indicator Scores'!$B$10:$B$161=$B63)*('3. Enter Indicator Scores'!$C$10:$C$161=$C63),0),
  _xlpm.c, MATCH(G$8,'3. Enter Indicator Scores'!$D$8:$CZ$8,0),
  _xlpm.v, IFERROR(INDEX('3. Enter Indicator Scores'!$D$10:$CZ$161,_xlpm.r,_xlpm.c),""),
  IF(OR(_xlpm.w="",_xlpm.v=""),"",_xlpm.v*_xlpm.w)
)</f>
        <v/>
      </c>
      <c r="H63" s="93" t="str" cm="1">
        <f t="array" ref="H63">_xlfn.LET(
  _xlpm.w, H$11,
  _xlpm.r, MATCH(1,('3. Enter Indicator Scores'!$B$10:$B$161=$B63)*('3. Enter Indicator Scores'!$C$10:$C$161=$C63),0),
  _xlpm.c, MATCH(H$8,'3. Enter Indicator Scores'!$D$8:$CZ$8,0),
  _xlpm.v, IFERROR(INDEX('3. Enter Indicator Scores'!$D$10:$CZ$161,_xlpm.r,_xlpm.c),""),
  IF(OR(_xlpm.w="",_xlpm.v=""),"",_xlpm.v*_xlpm.w)
)</f>
        <v/>
      </c>
      <c r="I63" s="93" t="str" cm="1">
        <f t="array" ref="I63">_xlfn.LET(
  _xlpm.w, I$11,
  _xlpm.r, MATCH(1,('3. Enter Indicator Scores'!$B$10:$B$161=$B63)*('3. Enter Indicator Scores'!$C$10:$C$161=$C63),0),
  _xlpm.c, MATCH(I$8,'3. Enter Indicator Scores'!$D$8:$CZ$8,0),
  _xlpm.v, IFERROR(INDEX('3. Enter Indicator Scores'!$D$10:$CZ$161,_xlpm.r,_xlpm.c),""),
  IF(OR(_xlpm.w="",_xlpm.v=""),"",_xlpm.v*_xlpm.w)
)</f>
        <v/>
      </c>
      <c r="J63" s="93" t="str" cm="1">
        <f t="array" ref="J63">_xlfn.LET(
  _xlpm.w, J$11,
  _xlpm.r, MATCH(1,('3. Enter Indicator Scores'!$B$10:$B$161=$B63)*('3. Enter Indicator Scores'!$C$10:$C$161=$C63),0),
  _xlpm.c, MATCH(J$8,'3. Enter Indicator Scores'!$D$8:$CZ$8,0),
  _xlpm.v, IFERROR(INDEX('3. Enter Indicator Scores'!$D$10:$CZ$161,_xlpm.r,_xlpm.c),""),
  IF(OR(_xlpm.w="",_xlpm.v=""),"",_xlpm.v*_xlpm.w)
)</f>
        <v/>
      </c>
      <c r="K63" s="93" t="str" cm="1">
        <f t="array" ref="K63">_xlfn.LET(
  _xlpm.w, K$11,
  _xlpm.r, MATCH(1,('3. Enter Indicator Scores'!$B$10:$B$161=$B63)*('3. Enter Indicator Scores'!$C$10:$C$161=$C63),0),
  _xlpm.c, MATCH(K$8,'3. Enter Indicator Scores'!$D$8:$CZ$8,0),
  _xlpm.v, IFERROR(INDEX('3. Enter Indicator Scores'!$D$10:$CZ$161,_xlpm.r,_xlpm.c),""),
  IF(OR(_xlpm.w="",_xlpm.v=""),"",_xlpm.v*_xlpm.w)
)</f>
        <v/>
      </c>
      <c r="L63" s="93" t="str" cm="1">
        <f t="array" ref="L63">_xlfn.LET(
  _xlpm.w, L$11,
  _xlpm.r, MATCH(1,('3. Enter Indicator Scores'!$B$10:$B$161=$B63)*('3. Enter Indicator Scores'!$C$10:$C$161=$C63),0),
  _xlpm.c, MATCH(L$8,'3. Enter Indicator Scores'!$D$8:$CZ$8,0),
  _xlpm.v, IFERROR(INDEX('3. Enter Indicator Scores'!$D$10:$CZ$161,_xlpm.r,_xlpm.c),""),
  IF(OR(_xlpm.w="",_xlpm.v=""),"",_xlpm.v*_xlpm.w)
)</f>
        <v/>
      </c>
      <c r="M63" s="93" t="str" cm="1">
        <f t="array" ref="M63">_xlfn.LET(
  _xlpm.w, M$11,
  _xlpm.r, MATCH(1,('3. Enter Indicator Scores'!$B$10:$B$161=$B63)*('3. Enter Indicator Scores'!$C$10:$C$161=$C63),0),
  _xlpm.c, MATCH(M$8,'3. Enter Indicator Scores'!$D$8:$CZ$8,0),
  _xlpm.v, IFERROR(INDEX('3. Enter Indicator Scores'!$D$10:$CZ$161,_xlpm.r,_xlpm.c),""),
  IF(OR(_xlpm.w="",_xlpm.v=""),"",_xlpm.v*_xlpm.w)
)</f>
        <v/>
      </c>
      <c r="N63" s="93" t="str" cm="1">
        <f t="array" ref="N63">_xlfn.LET(
  _xlpm.w, N$11,
  _xlpm.r, MATCH(1,('3. Enter Indicator Scores'!$B$10:$B$161=$B63)*('3. Enter Indicator Scores'!$C$10:$C$161=$C63),0),
  _xlpm.c, MATCH(N$8,'3. Enter Indicator Scores'!$D$8:$CZ$8,0),
  _xlpm.v, IFERROR(INDEX('3. Enter Indicator Scores'!$D$10:$CZ$161,_xlpm.r,_xlpm.c),""),
  IF(OR(_xlpm.w="",_xlpm.v=""),"",_xlpm.v*_xlpm.w)
)</f>
        <v/>
      </c>
      <c r="O63" s="93" t="str" cm="1">
        <f t="array" ref="O63">_xlfn.LET(
  _xlpm.w, O$11,
  _xlpm.r, MATCH(1,('3. Enter Indicator Scores'!$B$10:$B$161=$B63)*('3. Enter Indicator Scores'!$C$10:$C$161=$C63),0),
  _xlpm.c, MATCH(O$8,'3. Enter Indicator Scores'!$D$8:$CZ$8,0),
  _xlpm.v, IFERROR(INDEX('3. Enter Indicator Scores'!$D$10:$CZ$161,_xlpm.r,_xlpm.c),""),
  IF(OR(_xlpm.w="",_xlpm.v=""),"",_xlpm.v*_xlpm.w)
)</f>
        <v/>
      </c>
      <c r="P63" s="93" t="str" cm="1">
        <f t="array" ref="P63">_xlfn.LET(
  _xlpm.w, P$11,
  _xlpm.r, MATCH(1,('3. Enter Indicator Scores'!$B$10:$B$161=$B63)*('3. Enter Indicator Scores'!$C$10:$C$161=$C63),0),
  _xlpm.c, MATCH(P$8,'3. Enter Indicator Scores'!$D$8:$CZ$8,0),
  _xlpm.v, IFERROR(INDEX('3. Enter Indicator Scores'!$D$10:$CZ$161,_xlpm.r,_xlpm.c),""),
  IF(OR(_xlpm.w="",_xlpm.v=""),"",_xlpm.v*_xlpm.w)
)</f>
        <v/>
      </c>
      <c r="Q63" s="93" t="str" cm="1">
        <f t="array" ref="Q63">_xlfn.LET(
  _xlpm.w, Q$11,
  _xlpm.r, MATCH(1,('3. Enter Indicator Scores'!$B$10:$B$161=$B63)*('3. Enter Indicator Scores'!$C$10:$C$161=$C63),0),
  _xlpm.c, MATCH(Q$8,'3. Enter Indicator Scores'!$D$8:$CZ$8,0),
  _xlpm.v, IFERROR(INDEX('3. Enter Indicator Scores'!$D$10:$CZ$161,_xlpm.r,_xlpm.c),""),
  IF(OR(_xlpm.w="",_xlpm.v=""),"",_xlpm.v*_xlpm.w)
)</f>
        <v/>
      </c>
      <c r="R63" s="93" t="str" cm="1">
        <f t="array" ref="R63">_xlfn.LET(
  _xlpm.w, R$11,
  _xlpm.r, MATCH(1,('3. Enter Indicator Scores'!$B$10:$B$161=$B63)*('3. Enter Indicator Scores'!$C$10:$C$161=$C63),0),
  _xlpm.c, MATCH(R$8,'3. Enter Indicator Scores'!$D$8:$CZ$8,0),
  _xlpm.v, IFERROR(INDEX('3. Enter Indicator Scores'!$D$10:$CZ$161,_xlpm.r,_xlpm.c),""),
  IF(OR(_xlpm.w="",_xlpm.v=""),"",_xlpm.v*_xlpm.w)
)</f>
        <v/>
      </c>
      <c r="S63" s="93" t="str" cm="1">
        <f t="array" ref="S63">_xlfn.LET(
  _xlpm.w, S$11,
  _xlpm.r, MATCH(1,('3. Enter Indicator Scores'!$B$10:$B$161=$B63)*('3. Enter Indicator Scores'!$C$10:$C$161=$C63),0),
  _xlpm.c, MATCH(S$8,'3. Enter Indicator Scores'!$D$8:$CZ$8,0),
  _xlpm.v, IFERROR(INDEX('3. Enter Indicator Scores'!$D$10:$CZ$161,_xlpm.r,_xlpm.c),""),
  IF(OR(_xlpm.w="",_xlpm.v=""),"",_xlpm.v*_xlpm.w)
)</f>
        <v/>
      </c>
      <c r="T63" s="93" t="str" cm="1">
        <f t="array" ref="T63">_xlfn.LET(
  _xlpm.w, T$11,
  _xlpm.r, MATCH(1,('3. Enter Indicator Scores'!$B$10:$B$161=$B63)*('3. Enter Indicator Scores'!$C$10:$C$161=$C63),0),
  _xlpm.c, MATCH(T$8,'3. Enter Indicator Scores'!$D$8:$CZ$8,0),
  _xlpm.v, IFERROR(INDEX('3. Enter Indicator Scores'!$D$10:$CZ$161,_xlpm.r,_xlpm.c),""),
  IF(OR(_xlpm.w="",_xlpm.v=""),"",_xlpm.v*_xlpm.w)
)</f>
        <v/>
      </c>
      <c r="U63" s="93" t="str" cm="1">
        <f t="array" ref="U63">_xlfn.LET(
  _xlpm.w, U$11,
  _xlpm.r, MATCH(1,('3. Enter Indicator Scores'!$B$10:$B$161=$B63)*('3. Enter Indicator Scores'!$C$10:$C$161=$C63),0),
  _xlpm.c, MATCH(U$8,'3. Enter Indicator Scores'!$D$8:$CZ$8,0),
  _xlpm.v, IFERROR(INDEX('3. Enter Indicator Scores'!$D$10:$CZ$161,_xlpm.r,_xlpm.c),""),
  IF(OR(_xlpm.w="",_xlpm.v=""),"",_xlpm.v*_xlpm.w)
)</f>
        <v/>
      </c>
      <c r="V63" s="93" t="str" cm="1">
        <f t="array" ref="V63">_xlfn.LET(
  _xlpm.w, V$11,
  _xlpm.r, MATCH(1,('3. Enter Indicator Scores'!$B$10:$B$161=$B63)*('3. Enter Indicator Scores'!$C$10:$C$161=$C63),0),
  _xlpm.c, MATCH(V$8,'3. Enter Indicator Scores'!$D$8:$CZ$8,0),
  _xlpm.v, IFERROR(INDEX('3. Enter Indicator Scores'!$D$10:$CZ$161,_xlpm.r,_xlpm.c),""),
  IF(OR(_xlpm.w="",_xlpm.v=""),"",_xlpm.v*_xlpm.w)
)</f>
        <v/>
      </c>
      <c r="W63" s="93" t="str" cm="1">
        <f t="array" ref="W63">_xlfn.LET(
  _xlpm.w, W$11,
  _xlpm.r, MATCH(1,('3. Enter Indicator Scores'!$B$10:$B$161=$B63)*('3. Enter Indicator Scores'!$C$10:$C$161=$C63),0),
  _xlpm.c, MATCH(W$8,'3. Enter Indicator Scores'!$D$8:$CZ$8,0),
  _xlpm.v, IFERROR(INDEX('3. Enter Indicator Scores'!$D$10:$CZ$161,_xlpm.r,_xlpm.c),""),
  IF(OR(_xlpm.w="",_xlpm.v=""),"",_xlpm.v*_xlpm.w)
)</f>
        <v/>
      </c>
      <c r="X63" s="93" t="str" cm="1">
        <f t="array" ref="X63">_xlfn.LET(
  _xlpm.w, X$11,
  _xlpm.r, MATCH(1,('3. Enter Indicator Scores'!$B$10:$B$161=$B63)*('3. Enter Indicator Scores'!$C$10:$C$161=$C63),0),
  _xlpm.c, MATCH(X$8,'3. Enter Indicator Scores'!$D$8:$CZ$8,0),
  _xlpm.v, IFERROR(INDEX('3. Enter Indicator Scores'!$D$10:$CZ$161,_xlpm.r,_xlpm.c),""),
  IF(OR(_xlpm.w="",_xlpm.v=""),"",_xlpm.v*_xlpm.w)
)</f>
        <v/>
      </c>
      <c r="Y63" s="93" t="str" cm="1">
        <f t="array" ref="Y63">_xlfn.LET(
  _xlpm.w, Y$11,
  _xlpm.r, MATCH(1,('3. Enter Indicator Scores'!$B$10:$B$161=$B63)*('3. Enter Indicator Scores'!$C$10:$C$161=$C63),0),
  _xlpm.c, MATCH(Y$8,'3. Enter Indicator Scores'!$D$8:$CZ$8,0),
  _xlpm.v, IFERROR(INDEX('3. Enter Indicator Scores'!$D$10:$CZ$161,_xlpm.r,_xlpm.c),""),
  IF(OR(_xlpm.w="",_xlpm.v=""),"",_xlpm.v*_xlpm.w)
)</f>
        <v/>
      </c>
      <c r="Z63" s="93" t="str" cm="1">
        <f t="array" ref="Z63">_xlfn.LET(
  _xlpm.w, Z$11,
  _xlpm.r, MATCH(1,('3. Enter Indicator Scores'!$B$10:$B$161=$B63)*('3. Enter Indicator Scores'!$C$10:$C$161=$C63),0),
  _xlpm.c, MATCH(Z$8,'3. Enter Indicator Scores'!$D$8:$CZ$8,0),
  _xlpm.v, IFERROR(INDEX('3. Enter Indicator Scores'!$D$10:$CZ$161,_xlpm.r,_xlpm.c),""),
  IF(OR(_xlpm.w="",_xlpm.v=""),"",_xlpm.v*_xlpm.w)
)</f>
        <v/>
      </c>
      <c r="AA63" s="93" t="str" cm="1">
        <f t="array" ref="AA63">_xlfn.LET(
  _xlpm.w, AA$11,
  _xlpm.r, MATCH(1,('3. Enter Indicator Scores'!$B$10:$B$161=$B63)*('3. Enter Indicator Scores'!$C$10:$C$161=$C63),0),
  _xlpm.c, MATCH(AA$8,'3. Enter Indicator Scores'!$D$8:$CZ$8,0),
  _xlpm.v, IFERROR(INDEX('3. Enter Indicator Scores'!$D$10:$CZ$161,_xlpm.r,_xlpm.c),""),
  IF(OR(_xlpm.w="",_xlpm.v=""),"",_xlpm.v*_xlpm.w)
)</f>
        <v/>
      </c>
      <c r="AB63" s="93" t="str" cm="1">
        <f t="array" ref="AB63">_xlfn.LET(
  _xlpm.w, AB$11,
  _xlpm.r, MATCH(1,('3. Enter Indicator Scores'!$B$10:$B$161=$B63)*('3. Enter Indicator Scores'!$C$10:$C$161=$C63),0),
  _xlpm.c, MATCH(AB$8,'3. Enter Indicator Scores'!$D$8:$CZ$8,0),
  _xlpm.v, IFERROR(INDEX('3. Enter Indicator Scores'!$D$10:$CZ$161,_xlpm.r,_xlpm.c),""),
  IF(OR(_xlpm.w="",_xlpm.v=""),"",_xlpm.v*_xlpm.w)
)</f>
        <v/>
      </c>
      <c r="AC63" s="93" t="str" cm="1">
        <f t="array" ref="AC63">_xlfn.LET(
  _xlpm.w, AC$11,
  _xlpm.r, MATCH(1,('3. Enter Indicator Scores'!$B$10:$B$161=$B63)*('3. Enter Indicator Scores'!$C$10:$C$161=$C63),0),
  _xlpm.c, MATCH(AC$8,'3. Enter Indicator Scores'!$D$8:$CZ$8,0),
  _xlpm.v, IFERROR(INDEX('3. Enter Indicator Scores'!$D$10:$CZ$161,_xlpm.r,_xlpm.c),""),
  IF(OR(_xlpm.w="",_xlpm.v=""),"",_xlpm.v*_xlpm.w)
)</f>
        <v/>
      </c>
      <c r="AD63" s="93" t="str" cm="1">
        <f t="array" ref="AD63">_xlfn.LET(
  _xlpm.w, AD$11,
  _xlpm.r, MATCH(1,('3. Enter Indicator Scores'!$B$10:$B$161=$B63)*('3. Enter Indicator Scores'!$C$10:$C$161=$C63),0),
  _xlpm.c, MATCH(AD$8,'3. Enter Indicator Scores'!$D$8:$CZ$8,0),
  _xlpm.v, IFERROR(INDEX('3. Enter Indicator Scores'!$D$10:$CZ$161,_xlpm.r,_xlpm.c),""),
  IF(OR(_xlpm.w="",_xlpm.v=""),"",_xlpm.v*_xlpm.w)
)</f>
        <v/>
      </c>
      <c r="AE63" s="93" t="str" cm="1">
        <f t="array" ref="AE63">_xlfn.LET(
  _xlpm.w, AE$11,
  _xlpm.r, MATCH(1,('3. Enter Indicator Scores'!$B$10:$B$161=$B63)*('3. Enter Indicator Scores'!$C$10:$C$161=$C63),0),
  _xlpm.c, MATCH(AE$8,'3. Enter Indicator Scores'!$D$8:$CZ$8,0),
  _xlpm.v, IFERROR(INDEX('3. Enter Indicator Scores'!$D$10:$CZ$161,_xlpm.r,_xlpm.c),""),
  IF(OR(_xlpm.w="",_xlpm.v=""),"",_xlpm.v*_xlpm.w)
)</f>
        <v/>
      </c>
      <c r="AF63" s="93" t="str" cm="1">
        <f t="array" ref="AF63">_xlfn.LET(
  _xlpm.w, AF$11,
  _xlpm.r, MATCH(1,('3. Enter Indicator Scores'!$B$10:$B$161=$B63)*('3. Enter Indicator Scores'!$C$10:$C$161=$C63),0),
  _xlpm.c, MATCH(AF$8,'3. Enter Indicator Scores'!$D$8:$CZ$8,0),
  _xlpm.v, IFERROR(INDEX('3. Enter Indicator Scores'!$D$10:$CZ$161,_xlpm.r,_xlpm.c),""),
  IF(OR(_xlpm.w="",_xlpm.v=""),"",_xlpm.v*_xlpm.w)
)</f>
        <v/>
      </c>
      <c r="AG63" s="93" t="str" cm="1">
        <f t="array" ref="AG63">_xlfn.LET(
  _xlpm.w, AG$11,
  _xlpm.r, MATCH(1,('3. Enter Indicator Scores'!$B$10:$B$161=$B63)*('3. Enter Indicator Scores'!$C$10:$C$161=$C63),0),
  _xlpm.c, MATCH(AG$8,'3. Enter Indicator Scores'!$D$8:$CZ$8,0),
  _xlpm.v, IFERROR(INDEX('3. Enter Indicator Scores'!$D$10:$CZ$161,_xlpm.r,_xlpm.c),""),
  IF(OR(_xlpm.w="",_xlpm.v=""),"",_xlpm.v*_xlpm.w)
)</f>
        <v/>
      </c>
      <c r="AH63" s="93" t="str" cm="1">
        <f t="array" ref="AH63">_xlfn.LET(
  _xlpm.w, AH$11,
  _xlpm.r, MATCH(1,('3. Enter Indicator Scores'!$B$10:$B$161=$B63)*('3. Enter Indicator Scores'!$C$10:$C$161=$C63),0),
  _xlpm.c, MATCH(AH$8,'3. Enter Indicator Scores'!$D$8:$CZ$8,0),
  _xlpm.v, IFERROR(INDEX('3. Enter Indicator Scores'!$D$10:$CZ$161,_xlpm.r,_xlpm.c),""),
  IF(OR(_xlpm.w="",_xlpm.v=""),"",_xlpm.v*_xlpm.w)
)</f>
        <v/>
      </c>
      <c r="AI63" s="93" t="str" cm="1">
        <f t="array" ref="AI63">_xlfn.LET(
  _xlpm.w, AI$11,
  _xlpm.r, MATCH(1,('3. Enter Indicator Scores'!$B$10:$B$161=$B63)*('3. Enter Indicator Scores'!$C$10:$C$161=$C63),0),
  _xlpm.c, MATCH(AI$8,'3. Enter Indicator Scores'!$D$8:$CZ$8,0),
  _xlpm.v, IFERROR(INDEX('3. Enter Indicator Scores'!$D$10:$CZ$161,_xlpm.r,_xlpm.c),""),
  IF(OR(_xlpm.w="",_xlpm.v=""),"",_xlpm.v*_xlpm.w)
)</f>
        <v/>
      </c>
      <c r="AJ63" s="93" t="str" cm="1">
        <f t="array" ref="AJ63">_xlfn.LET(
  _xlpm.w, AJ$11,
  _xlpm.r, MATCH(1,('3. Enter Indicator Scores'!$B$10:$B$161=$B63)*('3. Enter Indicator Scores'!$C$10:$C$161=$C63),0),
  _xlpm.c, MATCH(AJ$8,'3. Enter Indicator Scores'!$D$8:$CZ$8,0),
  _xlpm.v, IFERROR(INDEX('3. Enter Indicator Scores'!$D$10:$CZ$161,_xlpm.r,_xlpm.c),""),
  IF(OR(_xlpm.w="",_xlpm.v=""),"",_xlpm.v*_xlpm.w)
)</f>
        <v/>
      </c>
      <c r="AK63" s="93" t="str" cm="1">
        <f t="array" ref="AK63">_xlfn.LET(
  _xlpm.w, AK$11,
  _xlpm.r, MATCH(1,('3. Enter Indicator Scores'!$B$10:$B$161=$B63)*('3. Enter Indicator Scores'!$C$10:$C$161=$C63),0),
  _xlpm.c, MATCH(AK$8,'3. Enter Indicator Scores'!$D$8:$CZ$8,0),
  _xlpm.v, IFERROR(INDEX('3. Enter Indicator Scores'!$D$10:$CZ$161,_xlpm.r,_xlpm.c),""),
  IF(OR(_xlpm.w="",_xlpm.v=""),"",_xlpm.v*_xlpm.w)
)</f>
        <v/>
      </c>
      <c r="AL63" s="93" t="str" cm="1">
        <f t="array" ref="AL63">_xlfn.LET(
  _xlpm.w, AL$11,
  _xlpm.r, MATCH(1,('3. Enter Indicator Scores'!$B$10:$B$161=$B63)*('3. Enter Indicator Scores'!$C$10:$C$161=$C63),0),
  _xlpm.c, MATCH(AL$8,'3. Enter Indicator Scores'!$D$8:$CZ$8,0),
  _xlpm.v, IFERROR(INDEX('3. Enter Indicator Scores'!$D$10:$CZ$161,_xlpm.r,_xlpm.c),""),
  IF(OR(_xlpm.w="",_xlpm.v=""),"",_xlpm.v*_xlpm.w)
)</f>
        <v/>
      </c>
      <c r="AM63" s="93" t="str" cm="1">
        <f t="array" ref="AM63">_xlfn.LET(
  _xlpm.w, AM$11,
  _xlpm.r, MATCH(1,('3. Enter Indicator Scores'!$B$10:$B$161=$B63)*('3. Enter Indicator Scores'!$C$10:$C$161=$C63),0),
  _xlpm.c, MATCH(AM$8,'3. Enter Indicator Scores'!$D$8:$CZ$8,0),
  _xlpm.v, IFERROR(INDEX('3. Enter Indicator Scores'!$D$10:$CZ$161,_xlpm.r,_xlpm.c),""),
  IF(OR(_xlpm.w="",_xlpm.v=""),"",_xlpm.v*_xlpm.w)
)</f>
        <v/>
      </c>
      <c r="AN63" s="93" t="str" cm="1">
        <f t="array" ref="AN63">_xlfn.LET(
  _xlpm.w, AN$11,
  _xlpm.r, MATCH(1,('3. Enter Indicator Scores'!$B$10:$B$161=$B63)*('3. Enter Indicator Scores'!$C$10:$C$161=$C63),0),
  _xlpm.c, MATCH(AN$8,'3. Enter Indicator Scores'!$D$8:$CZ$8,0),
  _xlpm.v, IFERROR(INDEX('3. Enter Indicator Scores'!$D$10:$CZ$161,_xlpm.r,_xlpm.c),""),
  IF(OR(_xlpm.w="",_xlpm.v=""),"",_xlpm.v*_xlpm.w)
)</f>
        <v/>
      </c>
      <c r="AO63" s="93" t="str" cm="1">
        <f t="array" ref="AO63">_xlfn.LET(
  _xlpm.w, AO$11,
  _xlpm.r, MATCH(1,('3. Enter Indicator Scores'!$B$10:$B$161=$B63)*('3. Enter Indicator Scores'!$C$10:$C$161=$C63),0),
  _xlpm.c, MATCH(AO$8,'3. Enter Indicator Scores'!$D$8:$CZ$8,0),
  _xlpm.v, IFERROR(INDEX('3. Enter Indicator Scores'!$D$10:$CZ$161,_xlpm.r,_xlpm.c),""),
  IF(OR(_xlpm.w="",_xlpm.v=""),"",_xlpm.v*_xlpm.w)
)</f>
        <v/>
      </c>
      <c r="AP63" s="93" t="str" cm="1">
        <f t="array" ref="AP63">_xlfn.LET(
  _xlpm.w, AP$11,
  _xlpm.r, MATCH(1,('3. Enter Indicator Scores'!$B$10:$B$161=$B63)*('3. Enter Indicator Scores'!$C$10:$C$161=$C63),0),
  _xlpm.c, MATCH(AP$8,'3. Enter Indicator Scores'!$D$8:$CZ$8,0),
  _xlpm.v, IFERROR(INDEX('3. Enter Indicator Scores'!$D$10:$CZ$161,_xlpm.r,_xlpm.c),""),
  IF(OR(_xlpm.w="",_xlpm.v=""),"",_xlpm.v*_xlpm.w)
)</f>
        <v/>
      </c>
      <c r="AQ63" s="93" t="str" cm="1">
        <f t="array" ref="AQ63">_xlfn.LET(
  _xlpm.w, AQ$11,
  _xlpm.r, MATCH(1,('3. Enter Indicator Scores'!$B$10:$B$161=$B63)*('3. Enter Indicator Scores'!$C$10:$C$161=$C63),0),
  _xlpm.c, MATCH(AQ$8,'3. Enter Indicator Scores'!$D$8:$CZ$8,0),
  _xlpm.v, IFERROR(INDEX('3. Enter Indicator Scores'!$D$10:$CZ$161,_xlpm.r,_xlpm.c),""),
  IF(OR(_xlpm.w="",_xlpm.v=""),"",_xlpm.v*_xlpm.w)
)</f>
        <v/>
      </c>
      <c r="AR63" s="93" t="str" cm="1">
        <f t="array" ref="AR63">_xlfn.LET(
  _xlpm.w, AR$11,
  _xlpm.r, MATCH(1,('3. Enter Indicator Scores'!$B$10:$B$161=$B63)*('3. Enter Indicator Scores'!$C$10:$C$161=$C63),0),
  _xlpm.c, MATCH(AR$8,'3. Enter Indicator Scores'!$D$8:$CZ$8,0),
  _xlpm.v, IFERROR(INDEX('3. Enter Indicator Scores'!$D$10:$CZ$161,_xlpm.r,_xlpm.c),""),
  IF(OR(_xlpm.w="",_xlpm.v=""),"",_xlpm.v*_xlpm.w)
)</f>
        <v/>
      </c>
      <c r="AS63" s="93" t="str" cm="1">
        <f t="array" ref="AS63">_xlfn.LET(
  _xlpm.w, AS$11,
  _xlpm.r, MATCH(1,('3. Enter Indicator Scores'!$B$10:$B$161=$B63)*('3. Enter Indicator Scores'!$C$10:$C$161=$C63),0),
  _xlpm.c, MATCH(AS$8,'3. Enter Indicator Scores'!$D$8:$CZ$8,0),
  _xlpm.v, IFERROR(INDEX('3. Enter Indicator Scores'!$D$10:$CZ$161,_xlpm.r,_xlpm.c),""),
  IF(OR(_xlpm.w="",_xlpm.v=""),"",_xlpm.v*_xlpm.w)
)</f>
        <v/>
      </c>
      <c r="AT63" s="93" t="str" cm="1">
        <f t="array" ref="AT63">_xlfn.LET(
  _xlpm.w, AT$11,
  _xlpm.r, MATCH(1,('3. Enter Indicator Scores'!$B$10:$B$161=$B63)*('3. Enter Indicator Scores'!$C$10:$C$161=$C63),0),
  _xlpm.c, MATCH(AT$8,'3. Enter Indicator Scores'!$D$8:$CZ$8,0),
  _xlpm.v, IFERROR(INDEX('3. Enter Indicator Scores'!$D$10:$CZ$161,_xlpm.r,_xlpm.c),""),
  IF(OR(_xlpm.w="",_xlpm.v=""),"",_xlpm.v*_xlpm.w)
)</f>
        <v/>
      </c>
      <c r="AU63" s="93" t="str" cm="1">
        <f t="array" ref="AU63">_xlfn.LET(
  _xlpm.w, AU$11,
  _xlpm.r, MATCH(1,('3. Enter Indicator Scores'!$B$10:$B$161=$B63)*('3. Enter Indicator Scores'!$C$10:$C$161=$C63),0),
  _xlpm.c, MATCH(AU$8,'3. Enter Indicator Scores'!$D$8:$CZ$8,0),
  _xlpm.v, IFERROR(INDEX('3. Enter Indicator Scores'!$D$10:$CZ$161,_xlpm.r,_xlpm.c),""),
  IF(OR(_xlpm.w="",_xlpm.v=""),"",_xlpm.v*_xlpm.w)
)</f>
        <v/>
      </c>
      <c r="AV63" s="93" t="str" cm="1">
        <f t="array" ref="AV63">_xlfn.LET(
  _xlpm.w, AV$11,
  _xlpm.r, MATCH(1,('3. Enter Indicator Scores'!$B$10:$B$161=$B63)*('3. Enter Indicator Scores'!$C$10:$C$161=$C63),0),
  _xlpm.c, MATCH(AV$8,'3. Enter Indicator Scores'!$D$8:$CZ$8,0),
  _xlpm.v, IFERROR(INDEX('3. Enter Indicator Scores'!$D$10:$CZ$161,_xlpm.r,_xlpm.c),""),
  IF(OR(_xlpm.w="",_xlpm.v=""),"",_xlpm.v*_xlpm.w)
)</f>
        <v/>
      </c>
      <c r="AW63" s="93" t="str" cm="1">
        <f t="array" ref="AW63">_xlfn.LET(
  _xlpm.w, AW$11,
  _xlpm.r, MATCH(1,('3. Enter Indicator Scores'!$B$10:$B$161=$B63)*('3. Enter Indicator Scores'!$C$10:$C$161=$C63),0),
  _xlpm.c, MATCH(AW$8,'3. Enter Indicator Scores'!$D$8:$CZ$8,0),
  _xlpm.v, IFERROR(INDEX('3. Enter Indicator Scores'!$D$10:$CZ$161,_xlpm.r,_xlpm.c),""),
  IF(OR(_xlpm.w="",_xlpm.v=""),"",_xlpm.v*_xlpm.w)
)</f>
        <v/>
      </c>
      <c r="AX63" s="93" t="str" cm="1">
        <f t="array" ref="AX63">_xlfn.LET(
  _xlpm.w, AX$11,
  _xlpm.r, MATCH(1,('3. Enter Indicator Scores'!$B$10:$B$161=$B63)*('3. Enter Indicator Scores'!$C$10:$C$161=$C63),0),
  _xlpm.c, MATCH(AX$8,'3. Enter Indicator Scores'!$D$8:$CZ$8,0),
  _xlpm.v, IFERROR(INDEX('3. Enter Indicator Scores'!$D$10:$CZ$161,_xlpm.r,_xlpm.c),""),
  IF(OR(_xlpm.w="",_xlpm.v=""),"",_xlpm.v*_xlpm.w)
)</f>
        <v/>
      </c>
      <c r="AY63" s="93" t="str" cm="1">
        <f t="array" ref="AY63">_xlfn.LET(
  _xlpm.w, AY$11,
  _xlpm.r, MATCH(1,('3. Enter Indicator Scores'!$B$10:$B$161=$B63)*('3. Enter Indicator Scores'!$C$10:$C$161=$C63),0),
  _xlpm.c, MATCH(AY$8,'3. Enter Indicator Scores'!$D$8:$CZ$8,0),
  _xlpm.v, IFERROR(INDEX('3. Enter Indicator Scores'!$D$10:$CZ$161,_xlpm.r,_xlpm.c),""),
  IF(OR(_xlpm.w="",_xlpm.v=""),"",_xlpm.v*_xlpm.w)
)</f>
        <v/>
      </c>
      <c r="AZ63" s="93" t="str" cm="1">
        <f t="array" ref="AZ63">_xlfn.LET(
  _xlpm.w, AZ$11,
  _xlpm.r, MATCH(1,('3. Enter Indicator Scores'!$B$10:$B$161=$B63)*('3. Enter Indicator Scores'!$C$10:$C$161=$C63),0),
  _xlpm.c, MATCH(AZ$8,'3. Enter Indicator Scores'!$D$8:$CZ$8,0),
  _xlpm.v, IFERROR(INDEX('3. Enter Indicator Scores'!$D$10:$CZ$161,_xlpm.r,_xlpm.c),""),
  IF(OR(_xlpm.w="",_xlpm.v=""),"",_xlpm.v*_xlpm.w)
)</f>
        <v/>
      </c>
      <c r="BA63" s="93" t="str" cm="1">
        <f t="array" ref="BA63">_xlfn.LET(
  _xlpm.w, BA$11,
  _xlpm.r, MATCH(1,('3. Enter Indicator Scores'!$B$10:$B$161=$B63)*('3. Enter Indicator Scores'!$C$10:$C$161=$C63),0),
  _xlpm.c, MATCH(BA$8,'3. Enter Indicator Scores'!$D$8:$CZ$8,0),
  _xlpm.v, IFERROR(INDEX('3. Enter Indicator Scores'!$D$10:$CZ$161,_xlpm.r,_xlpm.c),""),
  IF(OR(_xlpm.w="",_xlpm.v=""),"",_xlpm.v*_xlpm.w)
)</f>
        <v/>
      </c>
      <c r="BB63" s="93" t="str" cm="1">
        <f t="array" ref="BB63">_xlfn.LET(
  _xlpm.w, BB$11,
  _xlpm.r, MATCH(1,('3. Enter Indicator Scores'!$B$10:$B$161=$B63)*('3. Enter Indicator Scores'!$C$10:$C$161=$C63),0),
  _xlpm.c, MATCH(BB$8,'3. Enter Indicator Scores'!$D$8:$CZ$8,0),
  _xlpm.v, IFERROR(INDEX('3. Enter Indicator Scores'!$D$10:$CZ$161,_xlpm.r,_xlpm.c),""),
  IF(OR(_xlpm.w="",_xlpm.v=""),"",_xlpm.v*_xlpm.w)
)</f>
        <v/>
      </c>
      <c r="BC63" s="93" t="str" cm="1">
        <f t="array" ref="BC63">_xlfn.LET(
  _xlpm.w, BC$11,
  _xlpm.r, MATCH(1,('3. Enter Indicator Scores'!$B$10:$B$161=$B63)*('3. Enter Indicator Scores'!$C$10:$C$161=$C63),0),
  _xlpm.c, MATCH(BC$8,'3. Enter Indicator Scores'!$D$8:$CZ$8,0),
  _xlpm.v, IFERROR(INDEX('3. Enter Indicator Scores'!$D$10:$CZ$161,_xlpm.r,_xlpm.c),""),
  IF(OR(_xlpm.w="",_xlpm.v=""),"",_xlpm.v*_xlpm.w)
)</f>
        <v/>
      </c>
      <c r="BD63" s="93" t="str" cm="1">
        <f t="array" ref="BD63">_xlfn.LET(
  _xlpm.w, BD$11,
  _xlpm.r, MATCH(1,('3. Enter Indicator Scores'!$B$10:$B$161=$B63)*('3. Enter Indicator Scores'!$C$10:$C$161=$C63),0),
  _xlpm.c, MATCH(BD$8,'3. Enter Indicator Scores'!$D$8:$CZ$8,0),
  _xlpm.v, IFERROR(INDEX('3. Enter Indicator Scores'!$D$10:$CZ$161,_xlpm.r,_xlpm.c),""),
  IF(OR(_xlpm.w="",_xlpm.v=""),"",_xlpm.v*_xlpm.w)
)</f>
        <v/>
      </c>
      <c r="BE63" s="93" t="str" cm="1">
        <f t="array" ref="BE63">_xlfn.LET(
  _xlpm.w, BE$11,
  _xlpm.r, MATCH(1,('3. Enter Indicator Scores'!$B$10:$B$161=$B63)*('3. Enter Indicator Scores'!$C$10:$C$161=$C63),0),
  _xlpm.c, MATCH(BE$8,'3. Enter Indicator Scores'!$D$8:$CZ$8,0),
  _xlpm.v, IFERROR(INDEX('3. Enter Indicator Scores'!$D$10:$CZ$161,_xlpm.r,_xlpm.c),""),
  IF(OR(_xlpm.w="",_xlpm.v=""),"",_xlpm.v*_xlpm.w)
)</f>
        <v/>
      </c>
      <c r="BF63" s="93" t="str" cm="1">
        <f t="array" ref="BF63">_xlfn.LET(
  _xlpm.w, BF$11,
  _xlpm.r, MATCH(1,('3. Enter Indicator Scores'!$B$10:$B$161=$B63)*('3. Enter Indicator Scores'!$C$10:$C$161=$C63),0),
  _xlpm.c, MATCH(BF$8,'3. Enter Indicator Scores'!$D$8:$CZ$8,0),
  _xlpm.v, IFERROR(INDEX('3. Enter Indicator Scores'!$D$10:$CZ$161,_xlpm.r,_xlpm.c),""),
  IF(OR(_xlpm.w="",_xlpm.v=""),"",_xlpm.v*_xlpm.w)
)</f>
        <v/>
      </c>
      <c r="BG63" s="93" t="str" cm="1">
        <f t="array" ref="BG63">_xlfn.LET(
  _xlpm.w, BG$11,
  _xlpm.r, MATCH(1,('3. Enter Indicator Scores'!$B$10:$B$161=$B63)*('3. Enter Indicator Scores'!$C$10:$C$161=$C63),0),
  _xlpm.c, MATCH(BG$8,'3. Enter Indicator Scores'!$D$8:$CZ$8,0),
  _xlpm.v, IFERROR(INDEX('3. Enter Indicator Scores'!$D$10:$CZ$161,_xlpm.r,_xlpm.c),""),
  IF(OR(_xlpm.w="",_xlpm.v=""),"",_xlpm.v*_xlpm.w)
)</f>
        <v/>
      </c>
      <c r="BH63" s="93" t="str" cm="1">
        <f t="array" ref="BH63">_xlfn.LET(
  _xlpm.w, BH$11,
  _xlpm.r, MATCH(1,('3. Enter Indicator Scores'!$B$10:$B$161=$B63)*('3. Enter Indicator Scores'!$C$10:$C$161=$C63),0),
  _xlpm.c, MATCH(BH$8,'3. Enter Indicator Scores'!$D$8:$CZ$8,0),
  _xlpm.v, IFERROR(INDEX('3. Enter Indicator Scores'!$D$10:$CZ$161,_xlpm.r,_xlpm.c),""),
  IF(OR(_xlpm.w="",_xlpm.v=""),"",_xlpm.v*_xlpm.w)
)</f>
        <v/>
      </c>
      <c r="BI63" s="93" t="str" cm="1">
        <f t="array" ref="BI63">_xlfn.LET(
  _xlpm.w, BI$11,
  _xlpm.r, MATCH(1,('3. Enter Indicator Scores'!$B$10:$B$161=$B63)*('3. Enter Indicator Scores'!$C$10:$C$161=$C63),0),
  _xlpm.c, MATCH(BI$8,'3. Enter Indicator Scores'!$D$8:$CZ$8,0),
  _xlpm.v, IFERROR(INDEX('3. Enter Indicator Scores'!$D$10:$CZ$161,_xlpm.r,_xlpm.c),""),
  IF(OR(_xlpm.w="",_xlpm.v=""),"",_xlpm.v*_xlpm.w)
)</f>
        <v/>
      </c>
      <c r="BJ63" s="93" t="str" cm="1">
        <f t="array" ref="BJ63">_xlfn.LET(
  _xlpm.w, BJ$11,
  _xlpm.r, MATCH(1,('3. Enter Indicator Scores'!$B$10:$B$161=$B63)*('3. Enter Indicator Scores'!$C$10:$C$161=$C63),0),
  _xlpm.c, MATCH(BJ$8,'3. Enter Indicator Scores'!$D$8:$CZ$8,0),
  _xlpm.v, IFERROR(INDEX('3. Enter Indicator Scores'!$D$10:$CZ$161,_xlpm.r,_xlpm.c),""),
  IF(OR(_xlpm.w="",_xlpm.v=""),"",_xlpm.v*_xlpm.w)
)</f>
        <v/>
      </c>
      <c r="BK63" s="93" t="str" cm="1">
        <f t="array" ref="BK63">_xlfn.LET(
  _xlpm.w, BK$11,
  _xlpm.r, MATCH(1,('3. Enter Indicator Scores'!$B$10:$B$161=$B63)*('3. Enter Indicator Scores'!$C$10:$C$161=$C63),0),
  _xlpm.c, MATCH(BK$8,'3. Enter Indicator Scores'!$D$8:$CZ$8,0),
  _xlpm.v, IFERROR(INDEX('3. Enter Indicator Scores'!$D$10:$CZ$161,_xlpm.r,_xlpm.c),""),
  IF(OR(_xlpm.w="",_xlpm.v=""),"",_xlpm.v*_xlpm.w)
)</f>
        <v/>
      </c>
      <c r="BL63" s="93" t="str" cm="1">
        <f t="array" ref="BL63">_xlfn.LET(
  _xlpm.w, BL$11,
  _xlpm.r, MATCH(1,('3. Enter Indicator Scores'!$B$10:$B$161=$B63)*('3. Enter Indicator Scores'!$C$10:$C$161=$C63),0),
  _xlpm.c, MATCH(BL$8,'3. Enter Indicator Scores'!$D$8:$CZ$8,0),
  _xlpm.v, IFERROR(INDEX('3. Enter Indicator Scores'!$D$10:$CZ$161,_xlpm.r,_xlpm.c),""),
  IF(OR(_xlpm.w="",_xlpm.v=""),"",_xlpm.v*_xlpm.w)
)</f>
        <v/>
      </c>
      <c r="BM63" s="93" t="str" cm="1">
        <f t="array" ref="BM63">_xlfn.LET(
  _xlpm.w, BM$11,
  _xlpm.r, MATCH(1,('3. Enter Indicator Scores'!$B$10:$B$161=$B63)*('3. Enter Indicator Scores'!$C$10:$C$161=$C63),0),
  _xlpm.c, MATCH(BM$8,'3. Enter Indicator Scores'!$D$8:$CZ$8,0),
  _xlpm.v, IFERROR(INDEX('3. Enter Indicator Scores'!$D$10:$CZ$161,_xlpm.r,_xlpm.c),""),
  IF(OR(_xlpm.w="",_xlpm.v=""),"",_xlpm.v*_xlpm.w)
)</f>
        <v/>
      </c>
      <c r="BN63" s="93" t="str" cm="1">
        <f t="array" ref="BN63">_xlfn.LET(
  _xlpm.w, BN$11,
  _xlpm.r, MATCH(1,('3. Enter Indicator Scores'!$B$10:$B$161=$B63)*('3. Enter Indicator Scores'!$C$10:$C$161=$C63),0),
  _xlpm.c, MATCH(BN$8,'3. Enter Indicator Scores'!$D$8:$CZ$8,0),
  _xlpm.v, IFERROR(INDEX('3. Enter Indicator Scores'!$D$10:$CZ$161,_xlpm.r,_xlpm.c),""),
  IF(OR(_xlpm.w="",_xlpm.v=""),"",_xlpm.v*_xlpm.w)
)</f>
        <v/>
      </c>
      <c r="BO63" s="93" t="str" cm="1">
        <f t="array" ref="BO63">_xlfn.LET(
  _xlpm.w, BO$11,
  _xlpm.r, MATCH(1,('3. Enter Indicator Scores'!$B$10:$B$161=$B63)*('3. Enter Indicator Scores'!$C$10:$C$161=$C63),0),
  _xlpm.c, MATCH(BO$8,'3. Enter Indicator Scores'!$D$8:$CZ$8,0),
  _xlpm.v, IFERROR(INDEX('3. Enter Indicator Scores'!$D$10:$CZ$161,_xlpm.r,_xlpm.c),""),
  IF(OR(_xlpm.w="",_xlpm.v=""),"",_xlpm.v*_xlpm.w)
)</f>
        <v/>
      </c>
      <c r="BP63" s="93" t="str" cm="1">
        <f t="array" ref="BP63">_xlfn.LET(
  _xlpm.w, BP$11,
  _xlpm.r, MATCH(1,('3. Enter Indicator Scores'!$B$10:$B$161=$B63)*('3. Enter Indicator Scores'!$C$10:$C$161=$C63),0),
  _xlpm.c, MATCH(BP$8,'3. Enter Indicator Scores'!$D$8:$CZ$8,0),
  _xlpm.v, IFERROR(INDEX('3. Enter Indicator Scores'!$D$10:$CZ$161,_xlpm.r,_xlpm.c),""),
  IF(OR(_xlpm.w="",_xlpm.v=""),"",_xlpm.v*_xlpm.w)
)</f>
        <v/>
      </c>
      <c r="BQ63" s="93" t="str" cm="1">
        <f t="array" ref="BQ63">_xlfn.LET(
  _xlpm.w, BQ$11,
  _xlpm.r, MATCH(1,('3. Enter Indicator Scores'!$B$10:$B$161=$B63)*('3. Enter Indicator Scores'!$C$10:$C$161=$C63),0),
  _xlpm.c, MATCH(BQ$8,'3. Enter Indicator Scores'!$D$8:$CZ$8,0),
  _xlpm.v, IFERROR(INDEX('3. Enter Indicator Scores'!$D$10:$CZ$161,_xlpm.r,_xlpm.c),""),
  IF(OR(_xlpm.w="",_xlpm.v=""),"",_xlpm.v*_xlpm.w)
)</f>
        <v/>
      </c>
      <c r="BR63" s="93" t="str" cm="1">
        <f t="array" ref="BR63">_xlfn.LET(
  _xlpm.w, BR$11,
  _xlpm.r, MATCH(1,('3. Enter Indicator Scores'!$B$10:$B$161=$B63)*('3. Enter Indicator Scores'!$C$10:$C$161=$C63),0),
  _xlpm.c, MATCH(BR$8,'3. Enter Indicator Scores'!$D$8:$CZ$8,0),
  _xlpm.v, IFERROR(INDEX('3. Enter Indicator Scores'!$D$10:$CZ$161,_xlpm.r,_xlpm.c),""),
  IF(OR(_xlpm.w="",_xlpm.v=""),"",_xlpm.v*_xlpm.w)
)</f>
        <v/>
      </c>
      <c r="BS63" s="93" t="str" cm="1">
        <f t="array" ref="BS63">_xlfn.LET(
  _xlpm.w, BS$11,
  _xlpm.r, MATCH(1,('3. Enter Indicator Scores'!$B$10:$B$161=$B63)*('3. Enter Indicator Scores'!$C$10:$C$161=$C63),0),
  _xlpm.c, MATCH(BS$8,'3. Enter Indicator Scores'!$D$8:$CZ$8,0),
  _xlpm.v, IFERROR(INDEX('3. Enter Indicator Scores'!$D$10:$CZ$161,_xlpm.r,_xlpm.c),""),
  IF(OR(_xlpm.w="",_xlpm.v=""),"",_xlpm.v*_xlpm.w)
)</f>
        <v/>
      </c>
      <c r="BT63" s="93" t="str" cm="1">
        <f t="array" ref="BT63">_xlfn.LET(
  _xlpm.w, BT$11,
  _xlpm.r, MATCH(1,('3. Enter Indicator Scores'!$B$10:$B$161=$B63)*('3. Enter Indicator Scores'!$C$10:$C$161=$C63),0),
  _xlpm.c, MATCH(BT$8,'3. Enter Indicator Scores'!$D$8:$CZ$8,0),
  _xlpm.v, IFERROR(INDEX('3. Enter Indicator Scores'!$D$10:$CZ$161,_xlpm.r,_xlpm.c),""),
  IF(OR(_xlpm.w="",_xlpm.v=""),"",_xlpm.v*_xlpm.w)
)</f>
        <v/>
      </c>
      <c r="BU63" s="93" t="str" cm="1">
        <f t="array" ref="BU63">_xlfn.LET(
  _xlpm.w, BU$11,
  _xlpm.r, MATCH(1,('3. Enter Indicator Scores'!$B$10:$B$161=$B63)*('3. Enter Indicator Scores'!$C$10:$C$161=$C63),0),
  _xlpm.c, MATCH(BU$8,'3. Enter Indicator Scores'!$D$8:$CZ$8,0),
  _xlpm.v, IFERROR(INDEX('3. Enter Indicator Scores'!$D$10:$CZ$161,_xlpm.r,_xlpm.c),""),
  IF(OR(_xlpm.w="",_xlpm.v=""),"",_xlpm.v*_xlpm.w)
)</f>
        <v/>
      </c>
      <c r="BV63" s="93" t="str" cm="1">
        <f t="array" ref="BV63">_xlfn.LET(
  _xlpm.w, BV$11,
  _xlpm.r, MATCH(1,('3. Enter Indicator Scores'!$B$10:$B$161=$B63)*('3. Enter Indicator Scores'!$C$10:$C$161=$C63),0),
  _xlpm.c, MATCH(BV$8,'3. Enter Indicator Scores'!$D$8:$CZ$8,0),
  _xlpm.v, IFERROR(INDEX('3. Enter Indicator Scores'!$D$10:$CZ$161,_xlpm.r,_xlpm.c),""),
  IF(OR(_xlpm.w="",_xlpm.v=""),"",_xlpm.v*_xlpm.w)
)</f>
        <v/>
      </c>
      <c r="BW63" s="93" t="str" cm="1">
        <f t="array" ref="BW63">_xlfn.LET(
  _xlpm.w, BW$11,
  _xlpm.r, MATCH(1,('3. Enter Indicator Scores'!$B$10:$B$161=$B63)*('3. Enter Indicator Scores'!$C$10:$C$161=$C63),0),
  _xlpm.c, MATCH(BW$8,'3. Enter Indicator Scores'!$D$8:$CZ$8,0),
  _xlpm.v, IFERROR(INDEX('3. Enter Indicator Scores'!$D$10:$CZ$161,_xlpm.r,_xlpm.c),""),
  IF(OR(_xlpm.w="",_xlpm.v=""),"",_xlpm.v*_xlpm.w)
)</f>
        <v/>
      </c>
      <c r="BX63" s="93" t="str" cm="1">
        <f t="array" ref="BX63">_xlfn.LET(
  _xlpm.w, BX$11,
  _xlpm.r, MATCH(1,('3. Enter Indicator Scores'!$B$10:$B$161=$B63)*('3. Enter Indicator Scores'!$C$10:$C$161=$C63),0),
  _xlpm.c, MATCH(BX$8,'3. Enter Indicator Scores'!$D$8:$CZ$8,0),
  _xlpm.v, IFERROR(INDEX('3. Enter Indicator Scores'!$D$10:$CZ$161,_xlpm.r,_xlpm.c),""),
  IF(OR(_xlpm.w="",_xlpm.v=""),"",_xlpm.v*_xlpm.w)
)</f>
        <v/>
      </c>
      <c r="BY63" s="93" t="str" cm="1">
        <f t="array" ref="BY63">_xlfn.LET(
  _xlpm.w, BY$11,
  _xlpm.r, MATCH(1,('3. Enter Indicator Scores'!$B$10:$B$161=$B63)*('3. Enter Indicator Scores'!$C$10:$C$161=$C63),0),
  _xlpm.c, MATCH(BY$8,'3. Enter Indicator Scores'!$D$8:$CZ$8,0),
  _xlpm.v, IFERROR(INDEX('3. Enter Indicator Scores'!$D$10:$CZ$161,_xlpm.r,_xlpm.c),""),
  IF(OR(_xlpm.w="",_xlpm.v=""),"",_xlpm.v*_xlpm.w)
)</f>
        <v/>
      </c>
      <c r="BZ63" s="93" t="str" cm="1">
        <f t="array" ref="BZ63">_xlfn.LET(
  _xlpm.w, BZ$11,
  _xlpm.r, MATCH(1,('3. Enter Indicator Scores'!$B$10:$B$161=$B63)*('3. Enter Indicator Scores'!$C$10:$C$161=$C63),0),
  _xlpm.c, MATCH(BZ$8,'3. Enter Indicator Scores'!$D$8:$CZ$8,0),
  _xlpm.v, IFERROR(INDEX('3. Enter Indicator Scores'!$D$10:$CZ$161,_xlpm.r,_xlpm.c),""),
  IF(OR(_xlpm.w="",_xlpm.v=""),"",_xlpm.v*_xlpm.w)
)</f>
        <v/>
      </c>
      <c r="CA63" s="93" t="str" cm="1">
        <f t="array" ref="CA63">_xlfn.LET(
  _xlpm.w, CA$11,
  _xlpm.r, MATCH(1,('3. Enter Indicator Scores'!$B$10:$B$161=$B63)*('3. Enter Indicator Scores'!$C$10:$C$161=$C63),0),
  _xlpm.c, MATCH(CA$8,'3. Enter Indicator Scores'!$D$8:$CZ$8,0),
  _xlpm.v, IFERROR(INDEX('3. Enter Indicator Scores'!$D$10:$CZ$161,_xlpm.r,_xlpm.c),""),
  IF(OR(_xlpm.w="",_xlpm.v=""),"",_xlpm.v*_xlpm.w)
)</f>
        <v/>
      </c>
      <c r="CB63" s="93" t="str" cm="1">
        <f t="array" ref="CB63">_xlfn.LET(
  _xlpm.w, CB$11,
  _xlpm.r, MATCH(1,('3. Enter Indicator Scores'!$B$10:$B$161=$B63)*('3. Enter Indicator Scores'!$C$10:$C$161=$C63),0),
  _xlpm.c, MATCH(CB$8,'3. Enter Indicator Scores'!$D$8:$CZ$8,0),
  _xlpm.v, IFERROR(INDEX('3. Enter Indicator Scores'!$D$10:$CZ$161,_xlpm.r,_xlpm.c),""),
  IF(OR(_xlpm.w="",_xlpm.v=""),"",_xlpm.v*_xlpm.w)
)</f>
        <v/>
      </c>
      <c r="CC63" s="93" t="str" cm="1">
        <f t="array" ref="CC63">_xlfn.LET(
  _xlpm.w, CC$11,
  _xlpm.r, MATCH(1,('3. Enter Indicator Scores'!$B$10:$B$161=$B63)*('3. Enter Indicator Scores'!$C$10:$C$161=$C63),0),
  _xlpm.c, MATCH(CC$8,'3. Enter Indicator Scores'!$D$8:$CZ$8,0),
  _xlpm.v, IFERROR(INDEX('3. Enter Indicator Scores'!$D$10:$CZ$161,_xlpm.r,_xlpm.c),""),
  IF(OR(_xlpm.w="",_xlpm.v=""),"",_xlpm.v*_xlpm.w)
)</f>
        <v/>
      </c>
      <c r="CD63" s="93" t="str" cm="1">
        <f t="array" ref="CD63">_xlfn.LET(
  _xlpm.w, CD$11,
  _xlpm.r, MATCH(1,('3. Enter Indicator Scores'!$B$10:$B$161=$B63)*('3. Enter Indicator Scores'!$C$10:$C$161=$C63),0),
  _xlpm.c, MATCH(CD$8,'3. Enter Indicator Scores'!$D$8:$CZ$8,0),
  _xlpm.v, IFERROR(INDEX('3. Enter Indicator Scores'!$D$10:$CZ$161,_xlpm.r,_xlpm.c),""),
  IF(OR(_xlpm.w="",_xlpm.v=""),"",_xlpm.v*_xlpm.w)
)</f>
        <v/>
      </c>
      <c r="CE63" s="93" t="str" cm="1">
        <f t="array" ref="CE63">_xlfn.LET(
  _xlpm.w, CE$11,
  _xlpm.r, MATCH(1,('3. Enter Indicator Scores'!$B$10:$B$161=$B63)*('3. Enter Indicator Scores'!$C$10:$C$161=$C63),0),
  _xlpm.c, MATCH(CE$8,'3. Enter Indicator Scores'!$D$8:$CZ$8,0),
  _xlpm.v, IFERROR(INDEX('3. Enter Indicator Scores'!$D$10:$CZ$161,_xlpm.r,_xlpm.c),""),
  IF(OR(_xlpm.w="",_xlpm.v=""),"",_xlpm.v*_xlpm.w)
)</f>
        <v/>
      </c>
      <c r="CF63" s="93" t="str" cm="1">
        <f t="array" ref="CF63">_xlfn.LET(
  _xlpm.w, CF$11,
  _xlpm.r, MATCH(1,('3. Enter Indicator Scores'!$B$10:$B$161=$B63)*('3. Enter Indicator Scores'!$C$10:$C$161=$C63),0),
  _xlpm.c, MATCH(CF$8,'3. Enter Indicator Scores'!$D$8:$CZ$8,0),
  _xlpm.v, IFERROR(INDEX('3. Enter Indicator Scores'!$D$10:$CZ$161,_xlpm.r,_xlpm.c),""),
  IF(OR(_xlpm.w="",_xlpm.v=""),"",_xlpm.v*_xlpm.w)
)</f>
        <v/>
      </c>
      <c r="CG63" s="93" t="str" cm="1">
        <f t="array" ref="CG63">_xlfn.LET(
  _xlpm.w, CG$11,
  _xlpm.r, MATCH(1,('3. Enter Indicator Scores'!$B$10:$B$161=$B63)*('3. Enter Indicator Scores'!$C$10:$C$161=$C63),0),
  _xlpm.c, MATCH(CG$8,'3. Enter Indicator Scores'!$D$8:$CZ$8,0),
  _xlpm.v, IFERROR(INDEX('3. Enter Indicator Scores'!$D$10:$CZ$161,_xlpm.r,_xlpm.c),""),
  IF(OR(_xlpm.w="",_xlpm.v=""),"",_xlpm.v*_xlpm.w)
)</f>
        <v/>
      </c>
      <c r="CH63" s="93" t="str" cm="1">
        <f t="array" ref="CH63">_xlfn.LET(
  _xlpm.w, CH$11,
  _xlpm.r, MATCH(1,('3. Enter Indicator Scores'!$B$10:$B$161=$B63)*('3. Enter Indicator Scores'!$C$10:$C$161=$C63),0),
  _xlpm.c, MATCH(CH$8,'3. Enter Indicator Scores'!$D$8:$CZ$8,0),
  _xlpm.v, IFERROR(INDEX('3. Enter Indicator Scores'!$D$10:$CZ$161,_xlpm.r,_xlpm.c),""),
  IF(OR(_xlpm.w="",_xlpm.v=""),"",_xlpm.v*_xlpm.w)
)</f>
        <v/>
      </c>
      <c r="CI63" s="93" t="str" cm="1">
        <f t="array" ref="CI63">_xlfn.LET(
  _xlpm.w, CI$11,
  _xlpm.r, MATCH(1,('3. Enter Indicator Scores'!$B$10:$B$161=$B63)*('3. Enter Indicator Scores'!$C$10:$C$161=$C63),0),
  _xlpm.c, MATCH(CI$8,'3. Enter Indicator Scores'!$D$8:$CZ$8,0),
  _xlpm.v, IFERROR(INDEX('3. Enter Indicator Scores'!$D$10:$CZ$161,_xlpm.r,_xlpm.c),""),
  IF(OR(_xlpm.w="",_xlpm.v=""),"",_xlpm.v*_xlpm.w)
)</f>
        <v/>
      </c>
      <c r="CJ63" s="93" t="str" cm="1">
        <f t="array" ref="CJ63">_xlfn.LET(
  _xlpm.w, CJ$11,
  _xlpm.r, MATCH(1,('3. Enter Indicator Scores'!$B$10:$B$161=$B63)*('3. Enter Indicator Scores'!$C$10:$C$161=$C63),0),
  _xlpm.c, MATCH(CJ$8,'3. Enter Indicator Scores'!$D$8:$CZ$8,0),
  _xlpm.v, IFERROR(INDEX('3. Enter Indicator Scores'!$D$10:$CZ$161,_xlpm.r,_xlpm.c),""),
  IF(OR(_xlpm.w="",_xlpm.v=""),"",_xlpm.v*_xlpm.w)
)</f>
        <v/>
      </c>
      <c r="CK63" s="93" t="str" cm="1">
        <f t="array" ref="CK63">_xlfn.LET(
  _xlpm.w, CK$11,
  _xlpm.r, MATCH(1,('3. Enter Indicator Scores'!$B$10:$B$161=$B63)*('3. Enter Indicator Scores'!$C$10:$C$161=$C63),0),
  _xlpm.c, MATCH(CK$8,'3. Enter Indicator Scores'!$D$8:$CZ$8,0),
  _xlpm.v, IFERROR(INDEX('3. Enter Indicator Scores'!$D$10:$CZ$161,_xlpm.r,_xlpm.c),""),
  IF(OR(_xlpm.w="",_xlpm.v=""),"",_xlpm.v*_xlpm.w)
)</f>
        <v/>
      </c>
      <c r="CL63" s="93" t="str" cm="1">
        <f t="array" ref="CL63">_xlfn.LET(
  _xlpm.w, CL$11,
  _xlpm.r, MATCH(1,('3. Enter Indicator Scores'!$B$10:$B$161=$B63)*('3. Enter Indicator Scores'!$C$10:$C$161=$C63),0),
  _xlpm.c, MATCH(CL$8,'3. Enter Indicator Scores'!$D$8:$CZ$8,0),
  _xlpm.v, IFERROR(INDEX('3. Enter Indicator Scores'!$D$10:$CZ$161,_xlpm.r,_xlpm.c),""),
  IF(OR(_xlpm.w="",_xlpm.v=""),"",_xlpm.v*_xlpm.w)
)</f>
        <v/>
      </c>
      <c r="CM63" s="93" t="str" cm="1">
        <f t="array" ref="CM63">_xlfn.LET(
  _xlpm.w, CM$11,
  _xlpm.r, MATCH(1,('3. Enter Indicator Scores'!$B$10:$B$161=$B63)*('3. Enter Indicator Scores'!$C$10:$C$161=$C63),0),
  _xlpm.c, MATCH(CM$8,'3. Enter Indicator Scores'!$D$8:$CZ$8,0),
  _xlpm.v, IFERROR(INDEX('3. Enter Indicator Scores'!$D$10:$CZ$161,_xlpm.r,_xlpm.c),""),
  IF(OR(_xlpm.w="",_xlpm.v=""),"",_xlpm.v*_xlpm.w)
)</f>
        <v/>
      </c>
      <c r="CN63" s="93" t="str" cm="1">
        <f t="array" ref="CN63">_xlfn.LET(
  _xlpm.w, CN$11,
  _xlpm.r, MATCH(1,('3. Enter Indicator Scores'!$B$10:$B$161=$B63)*('3. Enter Indicator Scores'!$C$10:$C$161=$C63),0),
  _xlpm.c, MATCH(CN$8,'3. Enter Indicator Scores'!$D$8:$CZ$8,0),
  _xlpm.v, IFERROR(INDEX('3. Enter Indicator Scores'!$D$10:$CZ$161,_xlpm.r,_xlpm.c),""),
  IF(OR(_xlpm.w="",_xlpm.v=""),"",_xlpm.v*_xlpm.w)
)</f>
        <v/>
      </c>
      <c r="CO63" s="93" t="str" cm="1">
        <f t="array" ref="CO63">_xlfn.LET(
  _xlpm.w, CO$11,
  _xlpm.r, MATCH(1,('3. Enter Indicator Scores'!$B$10:$B$161=$B63)*('3. Enter Indicator Scores'!$C$10:$C$161=$C63),0),
  _xlpm.c, MATCH(CO$8,'3. Enter Indicator Scores'!$D$8:$CZ$8,0),
  _xlpm.v, IFERROR(INDEX('3. Enter Indicator Scores'!$D$10:$CZ$161,_xlpm.r,_xlpm.c),""),
  IF(OR(_xlpm.w="",_xlpm.v=""),"",_xlpm.v*_xlpm.w)
)</f>
        <v/>
      </c>
      <c r="CP63" s="93" t="str" cm="1">
        <f t="array" ref="CP63">_xlfn.LET(
  _xlpm.w, CP$11,
  _xlpm.r, MATCH(1,('3. Enter Indicator Scores'!$B$10:$B$161=$B63)*('3. Enter Indicator Scores'!$C$10:$C$161=$C63),0),
  _xlpm.c, MATCH(CP$8,'3. Enter Indicator Scores'!$D$8:$CZ$8,0),
  _xlpm.v, IFERROR(INDEX('3. Enter Indicator Scores'!$D$10:$CZ$161,_xlpm.r,_xlpm.c),""),
  IF(OR(_xlpm.w="",_xlpm.v=""),"",_xlpm.v*_xlpm.w)
)</f>
        <v/>
      </c>
      <c r="CQ63" s="93" t="str" cm="1">
        <f t="array" ref="CQ63">_xlfn.LET(
  _xlpm.w, CQ$11,
  _xlpm.r, MATCH(1,('3. Enter Indicator Scores'!$B$10:$B$161=$B63)*('3. Enter Indicator Scores'!$C$10:$C$161=$C63),0),
  _xlpm.c, MATCH(CQ$8,'3. Enter Indicator Scores'!$D$8:$CZ$8,0),
  _xlpm.v, IFERROR(INDEX('3. Enter Indicator Scores'!$D$10:$CZ$161,_xlpm.r,_xlpm.c),""),
  IF(OR(_xlpm.w="",_xlpm.v=""),"",_xlpm.v*_xlpm.w)
)</f>
        <v/>
      </c>
      <c r="CR63" s="93" t="str" cm="1">
        <f t="array" ref="CR63">_xlfn.LET(
  _xlpm.w, CR$11,
  _xlpm.r, MATCH(1,('3. Enter Indicator Scores'!$B$10:$B$161=$B63)*('3. Enter Indicator Scores'!$C$10:$C$161=$C63),0),
  _xlpm.c, MATCH(CR$8,'3. Enter Indicator Scores'!$D$8:$CZ$8,0),
  _xlpm.v, IFERROR(INDEX('3. Enter Indicator Scores'!$D$10:$CZ$161,_xlpm.r,_xlpm.c),""),
  IF(OR(_xlpm.w="",_xlpm.v=""),"",_xlpm.v*_xlpm.w)
)</f>
        <v/>
      </c>
      <c r="CS63" s="93" t="str" cm="1">
        <f t="array" ref="CS63">_xlfn.LET(
  _xlpm.w, CS$11,
  _xlpm.r, MATCH(1,('3. Enter Indicator Scores'!$B$10:$B$161=$B63)*('3. Enter Indicator Scores'!$C$10:$C$161=$C63),0),
  _xlpm.c, MATCH(CS$8,'3. Enter Indicator Scores'!$D$8:$CZ$8,0),
  _xlpm.v, IFERROR(INDEX('3. Enter Indicator Scores'!$D$10:$CZ$161,_xlpm.r,_xlpm.c),""),
  IF(OR(_xlpm.w="",_xlpm.v=""),"",_xlpm.v*_xlpm.w)
)</f>
        <v/>
      </c>
      <c r="CT63" s="93" t="str" cm="1">
        <f t="array" ref="CT63">_xlfn.LET(
  _xlpm.w, CT$11,
  _xlpm.r, MATCH(1,('3. Enter Indicator Scores'!$B$10:$B$161=$B63)*('3. Enter Indicator Scores'!$C$10:$C$161=$C63),0),
  _xlpm.c, MATCH(CT$8,'3. Enter Indicator Scores'!$D$8:$CZ$8,0),
  _xlpm.v, IFERROR(INDEX('3. Enter Indicator Scores'!$D$10:$CZ$161,_xlpm.r,_xlpm.c),""),
  IF(OR(_xlpm.w="",_xlpm.v=""),"",_xlpm.v*_xlpm.w)
)</f>
        <v/>
      </c>
      <c r="CU63" s="93" t="str" cm="1">
        <f t="array" ref="CU63">_xlfn.LET(
  _xlpm.w, CU$11,
  _xlpm.r, MATCH(1,('3. Enter Indicator Scores'!$B$10:$B$161=$B63)*('3. Enter Indicator Scores'!$C$10:$C$161=$C63),0),
  _xlpm.c, MATCH(CU$8,'3. Enter Indicator Scores'!$D$8:$CZ$8,0),
  _xlpm.v, IFERROR(INDEX('3. Enter Indicator Scores'!$D$10:$CZ$161,_xlpm.r,_xlpm.c),""),
  IF(OR(_xlpm.w="",_xlpm.v=""),"",_xlpm.v*_xlpm.w)
)</f>
        <v/>
      </c>
      <c r="CV63" s="93" t="str" cm="1">
        <f t="array" ref="CV63">_xlfn.LET(
  _xlpm.w, CV$11,
  _xlpm.r, MATCH(1,('3. Enter Indicator Scores'!$B$10:$B$161=$B63)*('3. Enter Indicator Scores'!$C$10:$C$161=$C63),0),
  _xlpm.c, MATCH(CV$8,'3. Enter Indicator Scores'!$D$8:$CZ$8,0),
  _xlpm.v, IFERROR(INDEX('3. Enter Indicator Scores'!$D$10:$CZ$161,_xlpm.r,_xlpm.c),""),
  IF(OR(_xlpm.w="",_xlpm.v=""),"",_xlpm.v*_xlpm.w)
)</f>
        <v/>
      </c>
      <c r="CW63" s="93" t="str" cm="1">
        <f t="array" ref="CW63">_xlfn.LET(
  _xlpm.w, CW$11,
  _xlpm.r, MATCH(1,('3. Enter Indicator Scores'!$B$10:$B$161=$B63)*('3. Enter Indicator Scores'!$C$10:$C$161=$C63),0),
  _xlpm.c, MATCH(CW$8,'3. Enter Indicator Scores'!$D$8:$CZ$8,0),
  _xlpm.v, IFERROR(INDEX('3. Enter Indicator Scores'!$D$10:$CZ$161,_xlpm.r,_xlpm.c),""),
  IF(OR(_xlpm.w="",_xlpm.v=""),"",_xlpm.v*_xlpm.w)
)</f>
        <v/>
      </c>
      <c r="CX63" s="93" t="str" cm="1">
        <f t="array" ref="CX63">_xlfn.LET(
  _xlpm.w, CX$11,
  _xlpm.r, MATCH(1,('3. Enter Indicator Scores'!$B$10:$B$161=$B63)*('3. Enter Indicator Scores'!$C$10:$C$161=$C63),0),
  _xlpm.c, MATCH(CX$8,'3. Enter Indicator Scores'!$D$8:$CZ$8,0),
  _xlpm.v, IFERROR(INDEX('3. Enter Indicator Scores'!$D$10:$CZ$161,_xlpm.r,_xlpm.c),""),
  IF(OR(_xlpm.w="",_xlpm.v=""),"",_xlpm.v*_xlpm.w)
)</f>
        <v/>
      </c>
      <c r="CY63" s="93" t="str" cm="1">
        <f t="array" ref="CY63">_xlfn.LET(
  _xlpm.w, CY$11,
  _xlpm.r, MATCH(1,('3. Enter Indicator Scores'!$B$10:$B$161=$B63)*('3. Enter Indicator Scores'!$C$10:$C$161=$C63),0),
  _xlpm.c, MATCH(CY$8,'3. Enter Indicator Scores'!$D$8:$CZ$8,0),
  _xlpm.v, IFERROR(INDEX('3. Enter Indicator Scores'!$D$10:$CZ$161,_xlpm.r,_xlpm.c),""),
  IF(OR(_xlpm.w="",_xlpm.v=""),"",_xlpm.v*_xlpm.w)
)</f>
        <v/>
      </c>
      <c r="CZ63" s="93" t="str" cm="1">
        <f t="array" ref="CZ63">_xlfn.LET(
  _xlpm.w, CZ$11,
  _xlpm.r, MATCH(1,('3. Enter Indicator Scores'!$B$10:$B$161=$B63)*('3. Enter Indicator Scores'!$C$10:$C$161=$C63),0),
  _xlpm.c, MATCH(CZ$8,'3. Enter Indicator Scores'!$D$8:$CZ$8,0),
  _xlpm.v, IFERROR(INDEX('3. Enter Indicator Scores'!$D$10:$CZ$161,_xlpm.r,_xlpm.c),""),
  IF(OR(_xlpm.w="",_xlpm.v=""),"",_xlpm.v*_xlpm.w)
)</f>
        <v/>
      </c>
    </row>
    <row r="64" spans="4:104" x14ac:dyDescent="0.2">
      <c r="D64" s="93" t="str" cm="1">
        <f t="array" ref="D64">_xlfn.LET(
  _xlpm.w, D$11,
  _xlpm.r, MATCH(1,('3. Enter Indicator Scores'!$B$10:$B$161=$B64)*('3. Enter Indicator Scores'!$C$10:$C$161=$C64),0),
  _xlpm.c, MATCH(D$8,'3. Enter Indicator Scores'!$D$8:$CZ$8,0),
  _xlpm.v, IFERROR(INDEX('3. Enter Indicator Scores'!$D$10:$CZ$161,_xlpm.r,_xlpm.c),""),
  IF(OR(_xlpm.w="",_xlpm.v=""),"",_xlpm.v*_xlpm.w)
)</f>
        <v/>
      </c>
      <c r="E64" s="93" t="str" cm="1">
        <f t="array" ref="E64">_xlfn.LET(
  _xlpm.w, E$11,
  _xlpm.r, MATCH(1,('3. Enter Indicator Scores'!$B$10:$B$161=$B64)*('3. Enter Indicator Scores'!$C$10:$C$161=$C64),0),
  _xlpm.c, MATCH(E$8,'3. Enter Indicator Scores'!$D$8:$CZ$8,0),
  _xlpm.v, IFERROR(INDEX('3. Enter Indicator Scores'!$D$10:$CZ$161,_xlpm.r,_xlpm.c),""),
  IF(OR(_xlpm.w="",_xlpm.v=""),"",_xlpm.v*_xlpm.w)
)</f>
        <v/>
      </c>
      <c r="F64" s="93" t="str" cm="1">
        <f t="array" ref="F64">_xlfn.LET(
  _xlpm.w, F$11,
  _xlpm.r, MATCH(1,('3. Enter Indicator Scores'!$B$10:$B$161=$B64)*('3. Enter Indicator Scores'!$C$10:$C$161=$C64),0),
  _xlpm.c, MATCH(F$8,'3. Enter Indicator Scores'!$D$8:$CZ$8,0),
  _xlpm.v, IFERROR(INDEX('3. Enter Indicator Scores'!$D$10:$CZ$161,_xlpm.r,_xlpm.c),""),
  IF(OR(_xlpm.w="",_xlpm.v=""),"",_xlpm.v*_xlpm.w)
)</f>
        <v/>
      </c>
      <c r="G64" s="93" t="str" cm="1">
        <f t="array" ref="G64">_xlfn.LET(
  _xlpm.w, G$11,
  _xlpm.r, MATCH(1,('3. Enter Indicator Scores'!$B$10:$B$161=$B64)*('3. Enter Indicator Scores'!$C$10:$C$161=$C64),0),
  _xlpm.c, MATCH(G$8,'3. Enter Indicator Scores'!$D$8:$CZ$8,0),
  _xlpm.v, IFERROR(INDEX('3. Enter Indicator Scores'!$D$10:$CZ$161,_xlpm.r,_xlpm.c),""),
  IF(OR(_xlpm.w="",_xlpm.v=""),"",_xlpm.v*_xlpm.w)
)</f>
        <v/>
      </c>
      <c r="H64" s="93" t="str" cm="1">
        <f t="array" ref="H64">_xlfn.LET(
  _xlpm.w, H$11,
  _xlpm.r, MATCH(1,('3. Enter Indicator Scores'!$B$10:$B$161=$B64)*('3. Enter Indicator Scores'!$C$10:$C$161=$C64),0),
  _xlpm.c, MATCH(H$8,'3. Enter Indicator Scores'!$D$8:$CZ$8,0),
  _xlpm.v, IFERROR(INDEX('3. Enter Indicator Scores'!$D$10:$CZ$161,_xlpm.r,_xlpm.c),""),
  IF(OR(_xlpm.w="",_xlpm.v=""),"",_xlpm.v*_xlpm.w)
)</f>
        <v/>
      </c>
      <c r="I64" s="93" t="str" cm="1">
        <f t="array" ref="I64">_xlfn.LET(
  _xlpm.w, I$11,
  _xlpm.r, MATCH(1,('3. Enter Indicator Scores'!$B$10:$B$161=$B64)*('3. Enter Indicator Scores'!$C$10:$C$161=$C64),0),
  _xlpm.c, MATCH(I$8,'3. Enter Indicator Scores'!$D$8:$CZ$8,0),
  _xlpm.v, IFERROR(INDEX('3. Enter Indicator Scores'!$D$10:$CZ$161,_xlpm.r,_xlpm.c),""),
  IF(OR(_xlpm.w="",_xlpm.v=""),"",_xlpm.v*_xlpm.w)
)</f>
        <v/>
      </c>
      <c r="J64" s="93" t="str" cm="1">
        <f t="array" ref="J64">_xlfn.LET(
  _xlpm.w, J$11,
  _xlpm.r, MATCH(1,('3. Enter Indicator Scores'!$B$10:$B$161=$B64)*('3. Enter Indicator Scores'!$C$10:$C$161=$C64),0),
  _xlpm.c, MATCH(J$8,'3. Enter Indicator Scores'!$D$8:$CZ$8,0),
  _xlpm.v, IFERROR(INDEX('3. Enter Indicator Scores'!$D$10:$CZ$161,_xlpm.r,_xlpm.c),""),
  IF(OR(_xlpm.w="",_xlpm.v=""),"",_xlpm.v*_xlpm.w)
)</f>
        <v/>
      </c>
      <c r="K64" s="93" t="str" cm="1">
        <f t="array" ref="K64">_xlfn.LET(
  _xlpm.w, K$11,
  _xlpm.r, MATCH(1,('3. Enter Indicator Scores'!$B$10:$B$161=$B64)*('3. Enter Indicator Scores'!$C$10:$C$161=$C64),0),
  _xlpm.c, MATCH(K$8,'3. Enter Indicator Scores'!$D$8:$CZ$8,0),
  _xlpm.v, IFERROR(INDEX('3. Enter Indicator Scores'!$D$10:$CZ$161,_xlpm.r,_xlpm.c),""),
  IF(OR(_xlpm.w="",_xlpm.v=""),"",_xlpm.v*_xlpm.w)
)</f>
        <v/>
      </c>
      <c r="L64" s="93" t="str" cm="1">
        <f t="array" ref="L64">_xlfn.LET(
  _xlpm.w, L$11,
  _xlpm.r, MATCH(1,('3. Enter Indicator Scores'!$B$10:$B$161=$B64)*('3. Enter Indicator Scores'!$C$10:$C$161=$C64),0),
  _xlpm.c, MATCH(L$8,'3. Enter Indicator Scores'!$D$8:$CZ$8,0),
  _xlpm.v, IFERROR(INDEX('3. Enter Indicator Scores'!$D$10:$CZ$161,_xlpm.r,_xlpm.c),""),
  IF(OR(_xlpm.w="",_xlpm.v=""),"",_xlpm.v*_xlpm.w)
)</f>
        <v/>
      </c>
      <c r="M64" s="93" t="str" cm="1">
        <f t="array" ref="M64">_xlfn.LET(
  _xlpm.w, M$11,
  _xlpm.r, MATCH(1,('3. Enter Indicator Scores'!$B$10:$B$161=$B64)*('3. Enter Indicator Scores'!$C$10:$C$161=$C64),0),
  _xlpm.c, MATCH(M$8,'3. Enter Indicator Scores'!$D$8:$CZ$8,0),
  _xlpm.v, IFERROR(INDEX('3. Enter Indicator Scores'!$D$10:$CZ$161,_xlpm.r,_xlpm.c),""),
  IF(OR(_xlpm.w="",_xlpm.v=""),"",_xlpm.v*_xlpm.w)
)</f>
        <v/>
      </c>
      <c r="N64" s="93" t="str" cm="1">
        <f t="array" ref="N64">_xlfn.LET(
  _xlpm.w, N$11,
  _xlpm.r, MATCH(1,('3. Enter Indicator Scores'!$B$10:$B$161=$B64)*('3. Enter Indicator Scores'!$C$10:$C$161=$C64),0),
  _xlpm.c, MATCH(N$8,'3. Enter Indicator Scores'!$D$8:$CZ$8,0),
  _xlpm.v, IFERROR(INDEX('3. Enter Indicator Scores'!$D$10:$CZ$161,_xlpm.r,_xlpm.c),""),
  IF(OR(_xlpm.w="",_xlpm.v=""),"",_xlpm.v*_xlpm.w)
)</f>
        <v/>
      </c>
      <c r="O64" s="93" t="str" cm="1">
        <f t="array" ref="O64">_xlfn.LET(
  _xlpm.w, O$11,
  _xlpm.r, MATCH(1,('3. Enter Indicator Scores'!$B$10:$B$161=$B64)*('3. Enter Indicator Scores'!$C$10:$C$161=$C64),0),
  _xlpm.c, MATCH(O$8,'3. Enter Indicator Scores'!$D$8:$CZ$8,0),
  _xlpm.v, IFERROR(INDEX('3. Enter Indicator Scores'!$D$10:$CZ$161,_xlpm.r,_xlpm.c),""),
  IF(OR(_xlpm.w="",_xlpm.v=""),"",_xlpm.v*_xlpm.w)
)</f>
        <v/>
      </c>
      <c r="P64" s="93" t="str" cm="1">
        <f t="array" ref="P64">_xlfn.LET(
  _xlpm.w, P$11,
  _xlpm.r, MATCH(1,('3. Enter Indicator Scores'!$B$10:$B$161=$B64)*('3. Enter Indicator Scores'!$C$10:$C$161=$C64),0),
  _xlpm.c, MATCH(P$8,'3. Enter Indicator Scores'!$D$8:$CZ$8,0),
  _xlpm.v, IFERROR(INDEX('3. Enter Indicator Scores'!$D$10:$CZ$161,_xlpm.r,_xlpm.c),""),
  IF(OR(_xlpm.w="",_xlpm.v=""),"",_xlpm.v*_xlpm.w)
)</f>
        <v/>
      </c>
      <c r="Q64" s="93" t="str" cm="1">
        <f t="array" ref="Q64">_xlfn.LET(
  _xlpm.w, Q$11,
  _xlpm.r, MATCH(1,('3. Enter Indicator Scores'!$B$10:$B$161=$B64)*('3. Enter Indicator Scores'!$C$10:$C$161=$C64),0),
  _xlpm.c, MATCH(Q$8,'3. Enter Indicator Scores'!$D$8:$CZ$8,0),
  _xlpm.v, IFERROR(INDEX('3. Enter Indicator Scores'!$D$10:$CZ$161,_xlpm.r,_xlpm.c),""),
  IF(OR(_xlpm.w="",_xlpm.v=""),"",_xlpm.v*_xlpm.w)
)</f>
        <v/>
      </c>
      <c r="R64" s="93" t="str" cm="1">
        <f t="array" ref="R64">_xlfn.LET(
  _xlpm.w, R$11,
  _xlpm.r, MATCH(1,('3. Enter Indicator Scores'!$B$10:$B$161=$B64)*('3. Enter Indicator Scores'!$C$10:$C$161=$C64),0),
  _xlpm.c, MATCH(R$8,'3. Enter Indicator Scores'!$D$8:$CZ$8,0),
  _xlpm.v, IFERROR(INDEX('3. Enter Indicator Scores'!$D$10:$CZ$161,_xlpm.r,_xlpm.c),""),
  IF(OR(_xlpm.w="",_xlpm.v=""),"",_xlpm.v*_xlpm.w)
)</f>
        <v/>
      </c>
      <c r="S64" s="93" t="str" cm="1">
        <f t="array" ref="S64">_xlfn.LET(
  _xlpm.w, S$11,
  _xlpm.r, MATCH(1,('3. Enter Indicator Scores'!$B$10:$B$161=$B64)*('3. Enter Indicator Scores'!$C$10:$C$161=$C64),0),
  _xlpm.c, MATCH(S$8,'3. Enter Indicator Scores'!$D$8:$CZ$8,0),
  _xlpm.v, IFERROR(INDEX('3. Enter Indicator Scores'!$D$10:$CZ$161,_xlpm.r,_xlpm.c),""),
  IF(OR(_xlpm.w="",_xlpm.v=""),"",_xlpm.v*_xlpm.w)
)</f>
        <v/>
      </c>
      <c r="T64" s="93" t="str" cm="1">
        <f t="array" ref="T64">_xlfn.LET(
  _xlpm.w, T$11,
  _xlpm.r, MATCH(1,('3. Enter Indicator Scores'!$B$10:$B$161=$B64)*('3. Enter Indicator Scores'!$C$10:$C$161=$C64),0),
  _xlpm.c, MATCH(T$8,'3. Enter Indicator Scores'!$D$8:$CZ$8,0),
  _xlpm.v, IFERROR(INDEX('3. Enter Indicator Scores'!$D$10:$CZ$161,_xlpm.r,_xlpm.c),""),
  IF(OR(_xlpm.w="",_xlpm.v=""),"",_xlpm.v*_xlpm.w)
)</f>
        <v/>
      </c>
      <c r="U64" s="93" t="str" cm="1">
        <f t="array" ref="U64">_xlfn.LET(
  _xlpm.w, U$11,
  _xlpm.r, MATCH(1,('3. Enter Indicator Scores'!$B$10:$B$161=$B64)*('3. Enter Indicator Scores'!$C$10:$C$161=$C64),0),
  _xlpm.c, MATCH(U$8,'3. Enter Indicator Scores'!$D$8:$CZ$8,0),
  _xlpm.v, IFERROR(INDEX('3. Enter Indicator Scores'!$D$10:$CZ$161,_xlpm.r,_xlpm.c),""),
  IF(OR(_xlpm.w="",_xlpm.v=""),"",_xlpm.v*_xlpm.w)
)</f>
        <v/>
      </c>
      <c r="V64" s="93" t="str" cm="1">
        <f t="array" ref="V64">_xlfn.LET(
  _xlpm.w, V$11,
  _xlpm.r, MATCH(1,('3. Enter Indicator Scores'!$B$10:$B$161=$B64)*('3. Enter Indicator Scores'!$C$10:$C$161=$C64),0),
  _xlpm.c, MATCH(V$8,'3. Enter Indicator Scores'!$D$8:$CZ$8,0),
  _xlpm.v, IFERROR(INDEX('3. Enter Indicator Scores'!$D$10:$CZ$161,_xlpm.r,_xlpm.c),""),
  IF(OR(_xlpm.w="",_xlpm.v=""),"",_xlpm.v*_xlpm.w)
)</f>
        <v/>
      </c>
      <c r="W64" s="93" t="str" cm="1">
        <f t="array" ref="W64">_xlfn.LET(
  _xlpm.w, W$11,
  _xlpm.r, MATCH(1,('3. Enter Indicator Scores'!$B$10:$B$161=$B64)*('3. Enter Indicator Scores'!$C$10:$C$161=$C64),0),
  _xlpm.c, MATCH(W$8,'3. Enter Indicator Scores'!$D$8:$CZ$8,0),
  _xlpm.v, IFERROR(INDEX('3. Enter Indicator Scores'!$D$10:$CZ$161,_xlpm.r,_xlpm.c),""),
  IF(OR(_xlpm.w="",_xlpm.v=""),"",_xlpm.v*_xlpm.w)
)</f>
        <v/>
      </c>
      <c r="X64" s="93" t="str" cm="1">
        <f t="array" ref="X64">_xlfn.LET(
  _xlpm.w, X$11,
  _xlpm.r, MATCH(1,('3. Enter Indicator Scores'!$B$10:$B$161=$B64)*('3. Enter Indicator Scores'!$C$10:$C$161=$C64),0),
  _xlpm.c, MATCH(X$8,'3. Enter Indicator Scores'!$D$8:$CZ$8,0),
  _xlpm.v, IFERROR(INDEX('3. Enter Indicator Scores'!$D$10:$CZ$161,_xlpm.r,_xlpm.c),""),
  IF(OR(_xlpm.w="",_xlpm.v=""),"",_xlpm.v*_xlpm.w)
)</f>
        <v/>
      </c>
      <c r="Y64" s="93" t="str" cm="1">
        <f t="array" ref="Y64">_xlfn.LET(
  _xlpm.w, Y$11,
  _xlpm.r, MATCH(1,('3. Enter Indicator Scores'!$B$10:$B$161=$B64)*('3. Enter Indicator Scores'!$C$10:$C$161=$C64),0),
  _xlpm.c, MATCH(Y$8,'3. Enter Indicator Scores'!$D$8:$CZ$8,0),
  _xlpm.v, IFERROR(INDEX('3. Enter Indicator Scores'!$D$10:$CZ$161,_xlpm.r,_xlpm.c),""),
  IF(OR(_xlpm.w="",_xlpm.v=""),"",_xlpm.v*_xlpm.w)
)</f>
        <v/>
      </c>
      <c r="Z64" s="93" t="str" cm="1">
        <f t="array" ref="Z64">_xlfn.LET(
  _xlpm.w, Z$11,
  _xlpm.r, MATCH(1,('3. Enter Indicator Scores'!$B$10:$B$161=$B64)*('3. Enter Indicator Scores'!$C$10:$C$161=$C64),0),
  _xlpm.c, MATCH(Z$8,'3. Enter Indicator Scores'!$D$8:$CZ$8,0),
  _xlpm.v, IFERROR(INDEX('3. Enter Indicator Scores'!$D$10:$CZ$161,_xlpm.r,_xlpm.c),""),
  IF(OR(_xlpm.w="",_xlpm.v=""),"",_xlpm.v*_xlpm.w)
)</f>
        <v/>
      </c>
      <c r="AA64" s="93" t="str" cm="1">
        <f t="array" ref="AA64">_xlfn.LET(
  _xlpm.w, AA$11,
  _xlpm.r, MATCH(1,('3. Enter Indicator Scores'!$B$10:$B$161=$B64)*('3. Enter Indicator Scores'!$C$10:$C$161=$C64),0),
  _xlpm.c, MATCH(AA$8,'3. Enter Indicator Scores'!$D$8:$CZ$8,0),
  _xlpm.v, IFERROR(INDEX('3. Enter Indicator Scores'!$D$10:$CZ$161,_xlpm.r,_xlpm.c),""),
  IF(OR(_xlpm.w="",_xlpm.v=""),"",_xlpm.v*_xlpm.w)
)</f>
        <v/>
      </c>
      <c r="AB64" s="93" t="str" cm="1">
        <f t="array" ref="AB64">_xlfn.LET(
  _xlpm.w, AB$11,
  _xlpm.r, MATCH(1,('3. Enter Indicator Scores'!$B$10:$B$161=$B64)*('3. Enter Indicator Scores'!$C$10:$C$161=$C64),0),
  _xlpm.c, MATCH(AB$8,'3. Enter Indicator Scores'!$D$8:$CZ$8,0),
  _xlpm.v, IFERROR(INDEX('3. Enter Indicator Scores'!$D$10:$CZ$161,_xlpm.r,_xlpm.c),""),
  IF(OR(_xlpm.w="",_xlpm.v=""),"",_xlpm.v*_xlpm.w)
)</f>
        <v/>
      </c>
      <c r="AC64" s="93" t="str" cm="1">
        <f t="array" ref="AC64">_xlfn.LET(
  _xlpm.w, AC$11,
  _xlpm.r, MATCH(1,('3. Enter Indicator Scores'!$B$10:$B$161=$B64)*('3. Enter Indicator Scores'!$C$10:$C$161=$C64),0),
  _xlpm.c, MATCH(AC$8,'3. Enter Indicator Scores'!$D$8:$CZ$8,0),
  _xlpm.v, IFERROR(INDEX('3. Enter Indicator Scores'!$D$10:$CZ$161,_xlpm.r,_xlpm.c),""),
  IF(OR(_xlpm.w="",_xlpm.v=""),"",_xlpm.v*_xlpm.w)
)</f>
        <v/>
      </c>
      <c r="AD64" s="93" t="str" cm="1">
        <f t="array" ref="AD64">_xlfn.LET(
  _xlpm.w, AD$11,
  _xlpm.r, MATCH(1,('3. Enter Indicator Scores'!$B$10:$B$161=$B64)*('3. Enter Indicator Scores'!$C$10:$C$161=$C64),0),
  _xlpm.c, MATCH(AD$8,'3. Enter Indicator Scores'!$D$8:$CZ$8,0),
  _xlpm.v, IFERROR(INDEX('3. Enter Indicator Scores'!$D$10:$CZ$161,_xlpm.r,_xlpm.c),""),
  IF(OR(_xlpm.w="",_xlpm.v=""),"",_xlpm.v*_xlpm.w)
)</f>
        <v/>
      </c>
      <c r="AE64" s="93" t="str" cm="1">
        <f t="array" ref="AE64">_xlfn.LET(
  _xlpm.w, AE$11,
  _xlpm.r, MATCH(1,('3. Enter Indicator Scores'!$B$10:$B$161=$B64)*('3. Enter Indicator Scores'!$C$10:$C$161=$C64),0),
  _xlpm.c, MATCH(AE$8,'3. Enter Indicator Scores'!$D$8:$CZ$8,0),
  _xlpm.v, IFERROR(INDEX('3. Enter Indicator Scores'!$D$10:$CZ$161,_xlpm.r,_xlpm.c),""),
  IF(OR(_xlpm.w="",_xlpm.v=""),"",_xlpm.v*_xlpm.w)
)</f>
        <v/>
      </c>
      <c r="AF64" s="93" t="str" cm="1">
        <f t="array" ref="AF64">_xlfn.LET(
  _xlpm.w, AF$11,
  _xlpm.r, MATCH(1,('3. Enter Indicator Scores'!$B$10:$B$161=$B64)*('3. Enter Indicator Scores'!$C$10:$C$161=$C64),0),
  _xlpm.c, MATCH(AF$8,'3. Enter Indicator Scores'!$D$8:$CZ$8,0),
  _xlpm.v, IFERROR(INDEX('3. Enter Indicator Scores'!$D$10:$CZ$161,_xlpm.r,_xlpm.c),""),
  IF(OR(_xlpm.w="",_xlpm.v=""),"",_xlpm.v*_xlpm.w)
)</f>
        <v/>
      </c>
      <c r="AG64" s="93" t="str" cm="1">
        <f t="array" ref="AG64">_xlfn.LET(
  _xlpm.w, AG$11,
  _xlpm.r, MATCH(1,('3. Enter Indicator Scores'!$B$10:$B$161=$B64)*('3. Enter Indicator Scores'!$C$10:$C$161=$C64),0),
  _xlpm.c, MATCH(AG$8,'3. Enter Indicator Scores'!$D$8:$CZ$8,0),
  _xlpm.v, IFERROR(INDEX('3. Enter Indicator Scores'!$D$10:$CZ$161,_xlpm.r,_xlpm.c),""),
  IF(OR(_xlpm.w="",_xlpm.v=""),"",_xlpm.v*_xlpm.w)
)</f>
        <v/>
      </c>
      <c r="AH64" s="93" t="str" cm="1">
        <f t="array" ref="AH64">_xlfn.LET(
  _xlpm.w, AH$11,
  _xlpm.r, MATCH(1,('3. Enter Indicator Scores'!$B$10:$B$161=$B64)*('3. Enter Indicator Scores'!$C$10:$C$161=$C64),0),
  _xlpm.c, MATCH(AH$8,'3. Enter Indicator Scores'!$D$8:$CZ$8,0),
  _xlpm.v, IFERROR(INDEX('3. Enter Indicator Scores'!$D$10:$CZ$161,_xlpm.r,_xlpm.c),""),
  IF(OR(_xlpm.w="",_xlpm.v=""),"",_xlpm.v*_xlpm.w)
)</f>
        <v/>
      </c>
      <c r="AI64" s="93" t="str" cm="1">
        <f t="array" ref="AI64">_xlfn.LET(
  _xlpm.w, AI$11,
  _xlpm.r, MATCH(1,('3. Enter Indicator Scores'!$B$10:$B$161=$B64)*('3. Enter Indicator Scores'!$C$10:$C$161=$C64),0),
  _xlpm.c, MATCH(AI$8,'3. Enter Indicator Scores'!$D$8:$CZ$8,0),
  _xlpm.v, IFERROR(INDEX('3. Enter Indicator Scores'!$D$10:$CZ$161,_xlpm.r,_xlpm.c),""),
  IF(OR(_xlpm.w="",_xlpm.v=""),"",_xlpm.v*_xlpm.w)
)</f>
        <v/>
      </c>
      <c r="AJ64" s="93" t="str" cm="1">
        <f t="array" ref="AJ64">_xlfn.LET(
  _xlpm.w, AJ$11,
  _xlpm.r, MATCH(1,('3. Enter Indicator Scores'!$B$10:$B$161=$B64)*('3. Enter Indicator Scores'!$C$10:$C$161=$C64),0),
  _xlpm.c, MATCH(AJ$8,'3. Enter Indicator Scores'!$D$8:$CZ$8,0),
  _xlpm.v, IFERROR(INDEX('3. Enter Indicator Scores'!$D$10:$CZ$161,_xlpm.r,_xlpm.c),""),
  IF(OR(_xlpm.w="",_xlpm.v=""),"",_xlpm.v*_xlpm.w)
)</f>
        <v/>
      </c>
      <c r="AK64" s="93" t="str" cm="1">
        <f t="array" ref="AK64">_xlfn.LET(
  _xlpm.w, AK$11,
  _xlpm.r, MATCH(1,('3. Enter Indicator Scores'!$B$10:$B$161=$B64)*('3. Enter Indicator Scores'!$C$10:$C$161=$C64),0),
  _xlpm.c, MATCH(AK$8,'3. Enter Indicator Scores'!$D$8:$CZ$8,0),
  _xlpm.v, IFERROR(INDEX('3. Enter Indicator Scores'!$D$10:$CZ$161,_xlpm.r,_xlpm.c),""),
  IF(OR(_xlpm.w="",_xlpm.v=""),"",_xlpm.v*_xlpm.w)
)</f>
        <v/>
      </c>
      <c r="AL64" s="93" t="str" cm="1">
        <f t="array" ref="AL64">_xlfn.LET(
  _xlpm.w, AL$11,
  _xlpm.r, MATCH(1,('3. Enter Indicator Scores'!$B$10:$B$161=$B64)*('3. Enter Indicator Scores'!$C$10:$C$161=$C64),0),
  _xlpm.c, MATCH(AL$8,'3. Enter Indicator Scores'!$D$8:$CZ$8,0),
  _xlpm.v, IFERROR(INDEX('3. Enter Indicator Scores'!$D$10:$CZ$161,_xlpm.r,_xlpm.c),""),
  IF(OR(_xlpm.w="",_xlpm.v=""),"",_xlpm.v*_xlpm.w)
)</f>
        <v/>
      </c>
      <c r="AM64" s="93" t="str" cm="1">
        <f t="array" ref="AM64">_xlfn.LET(
  _xlpm.w, AM$11,
  _xlpm.r, MATCH(1,('3. Enter Indicator Scores'!$B$10:$B$161=$B64)*('3. Enter Indicator Scores'!$C$10:$C$161=$C64),0),
  _xlpm.c, MATCH(AM$8,'3. Enter Indicator Scores'!$D$8:$CZ$8,0),
  _xlpm.v, IFERROR(INDEX('3. Enter Indicator Scores'!$D$10:$CZ$161,_xlpm.r,_xlpm.c),""),
  IF(OR(_xlpm.w="",_xlpm.v=""),"",_xlpm.v*_xlpm.w)
)</f>
        <v/>
      </c>
      <c r="AN64" s="93" t="str" cm="1">
        <f t="array" ref="AN64">_xlfn.LET(
  _xlpm.w, AN$11,
  _xlpm.r, MATCH(1,('3. Enter Indicator Scores'!$B$10:$B$161=$B64)*('3. Enter Indicator Scores'!$C$10:$C$161=$C64),0),
  _xlpm.c, MATCH(AN$8,'3. Enter Indicator Scores'!$D$8:$CZ$8,0),
  _xlpm.v, IFERROR(INDEX('3. Enter Indicator Scores'!$D$10:$CZ$161,_xlpm.r,_xlpm.c),""),
  IF(OR(_xlpm.w="",_xlpm.v=""),"",_xlpm.v*_xlpm.w)
)</f>
        <v/>
      </c>
      <c r="AO64" s="93" t="str" cm="1">
        <f t="array" ref="AO64">_xlfn.LET(
  _xlpm.w, AO$11,
  _xlpm.r, MATCH(1,('3. Enter Indicator Scores'!$B$10:$B$161=$B64)*('3. Enter Indicator Scores'!$C$10:$C$161=$C64),0),
  _xlpm.c, MATCH(AO$8,'3. Enter Indicator Scores'!$D$8:$CZ$8,0),
  _xlpm.v, IFERROR(INDEX('3. Enter Indicator Scores'!$D$10:$CZ$161,_xlpm.r,_xlpm.c),""),
  IF(OR(_xlpm.w="",_xlpm.v=""),"",_xlpm.v*_xlpm.w)
)</f>
        <v/>
      </c>
      <c r="AP64" s="93" t="str" cm="1">
        <f t="array" ref="AP64">_xlfn.LET(
  _xlpm.w, AP$11,
  _xlpm.r, MATCH(1,('3. Enter Indicator Scores'!$B$10:$B$161=$B64)*('3. Enter Indicator Scores'!$C$10:$C$161=$C64),0),
  _xlpm.c, MATCH(AP$8,'3. Enter Indicator Scores'!$D$8:$CZ$8,0),
  _xlpm.v, IFERROR(INDEX('3. Enter Indicator Scores'!$D$10:$CZ$161,_xlpm.r,_xlpm.c),""),
  IF(OR(_xlpm.w="",_xlpm.v=""),"",_xlpm.v*_xlpm.w)
)</f>
        <v/>
      </c>
      <c r="AQ64" s="93" t="str" cm="1">
        <f t="array" ref="AQ64">_xlfn.LET(
  _xlpm.w, AQ$11,
  _xlpm.r, MATCH(1,('3. Enter Indicator Scores'!$B$10:$B$161=$B64)*('3. Enter Indicator Scores'!$C$10:$C$161=$C64),0),
  _xlpm.c, MATCH(AQ$8,'3. Enter Indicator Scores'!$D$8:$CZ$8,0),
  _xlpm.v, IFERROR(INDEX('3. Enter Indicator Scores'!$D$10:$CZ$161,_xlpm.r,_xlpm.c),""),
  IF(OR(_xlpm.w="",_xlpm.v=""),"",_xlpm.v*_xlpm.w)
)</f>
        <v/>
      </c>
      <c r="AR64" s="93" t="str" cm="1">
        <f t="array" ref="AR64">_xlfn.LET(
  _xlpm.w, AR$11,
  _xlpm.r, MATCH(1,('3. Enter Indicator Scores'!$B$10:$B$161=$B64)*('3. Enter Indicator Scores'!$C$10:$C$161=$C64),0),
  _xlpm.c, MATCH(AR$8,'3. Enter Indicator Scores'!$D$8:$CZ$8,0),
  _xlpm.v, IFERROR(INDEX('3. Enter Indicator Scores'!$D$10:$CZ$161,_xlpm.r,_xlpm.c),""),
  IF(OR(_xlpm.w="",_xlpm.v=""),"",_xlpm.v*_xlpm.w)
)</f>
        <v/>
      </c>
      <c r="AS64" s="93" t="str" cm="1">
        <f t="array" ref="AS64">_xlfn.LET(
  _xlpm.w, AS$11,
  _xlpm.r, MATCH(1,('3. Enter Indicator Scores'!$B$10:$B$161=$B64)*('3. Enter Indicator Scores'!$C$10:$C$161=$C64),0),
  _xlpm.c, MATCH(AS$8,'3. Enter Indicator Scores'!$D$8:$CZ$8,0),
  _xlpm.v, IFERROR(INDEX('3. Enter Indicator Scores'!$D$10:$CZ$161,_xlpm.r,_xlpm.c),""),
  IF(OR(_xlpm.w="",_xlpm.v=""),"",_xlpm.v*_xlpm.w)
)</f>
        <v/>
      </c>
      <c r="AT64" s="93" t="str" cm="1">
        <f t="array" ref="AT64">_xlfn.LET(
  _xlpm.w, AT$11,
  _xlpm.r, MATCH(1,('3. Enter Indicator Scores'!$B$10:$B$161=$B64)*('3. Enter Indicator Scores'!$C$10:$C$161=$C64),0),
  _xlpm.c, MATCH(AT$8,'3. Enter Indicator Scores'!$D$8:$CZ$8,0),
  _xlpm.v, IFERROR(INDEX('3. Enter Indicator Scores'!$D$10:$CZ$161,_xlpm.r,_xlpm.c),""),
  IF(OR(_xlpm.w="",_xlpm.v=""),"",_xlpm.v*_xlpm.w)
)</f>
        <v/>
      </c>
      <c r="AU64" s="93" t="str" cm="1">
        <f t="array" ref="AU64">_xlfn.LET(
  _xlpm.w, AU$11,
  _xlpm.r, MATCH(1,('3. Enter Indicator Scores'!$B$10:$B$161=$B64)*('3. Enter Indicator Scores'!$C$10:$C$161=$C64),0),
  _xlpm.c, MATCH(AU$8,'3. Enter Indicator Scores'!$D$8:$CZ$8,0),
  _xlpm.v, IFERROR(INDEX('3. Enter Indicator Scores'!$D$10:$CZ$161,_xlpm.r,_xlpm.c),""),
  IF(OR(_xlpm.w="",_xlpm.v=""),"",_xlpm.v*_xlpm.w)
)</f>
        <v/>
      </c>
      <c r="AV64" s="93" t="str" cm="1">
        <f t="array" ref="AV64">_xlfn.LET(
  _xlpm.w, AV$11,
  _xlpm.r, MATCH(1,('3. Enter Indicator Scores'!$B$10:$B$161=$B64)*('3. Enter Indicator Scores'!$C$10:$C$161=$C64),0),
  _xlpm.c, MATCH(AV$8,'3. Enter Indicator Scores'!$D$8:$CZ$8,0),
  _xlpm.v, IFERROR(INDEX('3. Enter Indicator Scores'!$D$10:$CZ$161,_xlpm.r,_xlpm.c),""),
  IF(OR(_xlpm.w="",_xlpm.v=""),"",_xlpm.v*_xlpm.w)
)</f>
        <v/>
      </c>
      <c r="AW64" s="93" t="str" cm="1">
        <f t="array" ref="AW64">_xlfn.LET(
  _xlpm.w, AW$11,
  _xlpm.r, MATCH(1,('3. Enter Indicator Scores'!$B$10:$B$161=$B64)*('3. Enter Indicator Scores'!$C$10:$C$161=$C64),0),
  _xlpm.c, MATCH(AW$8,'3. Enter Indicator Scores'!$D$8:$CZ$8,0),
  _xlpm.v, IFERROR(INDEX('3. Enter Indicator Scores'!$D$10:$CZ$161,_xlpm.r,_xlpm.c),""),
  IF(OR(_xlpm.w="",_xlpm.v=""),"",_xlpm.v*_xlpm.w)
)</f>
        <v/>
      </c>
      <c r="AX64" s="93" t="str" cm="1">
        <f t="array" ref="AX64">_xlfn.LET(
  _xlpm.w, AX$11,
  _xlpm.r, MATCH(1,('3. Enter Indicator Scores'!$B$10:$B$161=$B64)*('3. Enter Indicator Scores'!$C$10:$C$161=$C64),0),
  _xlpm.c, MATCH(AX$8,'3. Enter Indicator Scores'!$D$8:$CZ$8,0),
  _xlpm.v, IFERROR(INDEX('3. Enter Indicator Scores'!$D$10:$CZ$161,_xlpm.r,_xlpm.c),""),
  IF(OR(_xlpm.w="",_xlpm.v=""),"",_xlpm.v*_xlpm.w)
)</f>
        <v/>
      </c>
      <c r="AY64" s="93" t="str" cm="1">
        <f t="array" ref="AY64">_xlfn.LET(
  _xlpm.w, AY$11,
  _xlpm.r, MATCH(1,('3. Enter Indicator Scores'!$B$10:$B$161=$B64)*('3. Enter Indicator Scores'!$C$10:$C$161=$C64),0),
  _xlpm.c, MATCH(AY$8,'3. Enter Indicator Scores'!$D$8:$CZ$8,0),
  _xlpm.v, IFERROR(INDEX('3. Enter Indicator Scores'!$D$10:$CZ$161,_xlpm.r,_xlpm.c),""),
  IF(OR(_xlpm.w="",_xlpm.v=""),"",_xlpm.v*_xlpm.w)
)</f>
        <v/>
      </c>
      <c r="AZ64" s="93" t="str" cm="1">
        <f t="array" ref="AZ64">_xlfn.LET(
  _xlpm.w, AZ$11,
  _xlpm.r, MATCH(1,('3. Enter Indicator Scores'!$B$10:$B$161=$B64)*('3. Enter Indicator Scores'!$C$10:$C$161=$C64),0),
  _xlpm.c, MATCH(AZ$8,'3. Enter Indicator Scores'!$D$8:$CZ$8,0),
  _xlpm.v, IFERROR(INDEX('3. Enter Indicator Scores'!$D$10:$CZ$161,_xlpm.r,_xlpm.c),""),
  IF(OR(_xlpm.w="",_xlpm.v=""),"",_xlpm.v*_xlpm.w)
)</f>
        <v/>
      </c>
      <c r="BA64" s="93" t="str" cm="1">
        <f t="array" ref="BA64">_xlfn.LET(
  _xlpm.w, BA$11,
  _xlpm.r, MATCH(1,('3. Enter Indicator Scores'!$B$10:$B$161=$B64)*('3. Enter Indicator Scores'!$C$10:$C$161=$C64),0),
  _xlpm.c, MATCH(BA$8,'3. Enter Indicator Scores'!$D$8:$CZ$8,0),
  _xlpm.v, IFERROR(INDEX('3. Enter Indicator Scores'!$D$10:$CZ$161,_xlpm.r,_xlpm.c),""),
  IF(OR(_xlpm.w="",_xlpm.v=""),"",_xlpm.v*_xlpm.w)
)</f>
        <v/>
      </c>
      <c r="BB64" s="93" t="str" cm="1">
        <f t="array" ref="BB64">_xlfn.LET(
  _xlpm.w, BB$11,
  _xlpm.r, MATCH(1,('3. Enter Indicator Scores'!$B$10:$B$161=$B64)*('3. Enter Indicator Scores'!$C$10:$C$161=$C64),0),
  _xlpm.c, MATCH(BB$8,'3. Enter Indicator Scores'!$D$8:$CZ$8,0),
  _xlpm.v, IFERROR(INDEX('3. Enter Indicator Scores'!$D$10:$CZ$161,_xlpm.r,_xlpm.c),""),
  IF(OR(_xlpm.w="",_xlpm.v=""),"",_xlpm.v*_xlpm.w)
)</f>
        <v/>
      </c>
      <c r="BC64" s="93" t="str" cm="1">
        <f t="array" ref="BC64">_xlfn.LET(
  _xlpm.w, BC$11,
  _xlpm.r, MATCH(1,('3. Enter Indicator Scores'!$B$10:$B$161=$B64)*('3. Enter Indicator Scores'!$C$10:$C$161=$C64),0),
  _xlpm.c, MATCH(BC$8,'3. Enter Indicator Scores'!$D$8:$CZ$8,0),
  _xlpm.v, IFERROR(INDEX('3. Enter Indicator Scores'!$D$10:$CZ$161,_xlpm.r,_xlpm.c),""),
  IF(OR(_xlpm.w="",_xlpm.v=""),"",_xlpm.v*_xlpm.w)
)</f>
        <v/>
      </c>
      <c r="BD64" s="93" t="str" cm="1">
        <f t="array" ref="BD64">_xlfn.LET(
  _xlpm.w, BD$11,
  _xlpm.r, MATCH(1,('3. Enter Indicator Scores'!$B$10:$B$161=$B64)*('3. Enter Indicator Scores'!$C$10:$C$161=$C64),0),
  _xlpm.c, MATCH(BD$8,'3. Enter Indicator Scores'!$D$8:$CZ$8,0),
  _xlpm.v, IFERROR(INDEX('3. Enter Indicator Scores'!$D$10:$CZ$161,_xlpm.r,_xlpm.c),""),
  IF(OR(_xlpm.w="",_xlpm.v=""),"",_xlpm.v*_xlpm.w)
)</f>
        <v/>
      </c>
      <c r="BE64" s="93" t="str" cm="1">
        <f t="array" ref="BE64">_xlfn.LET(
  _xlpm.w, BE$11,
  _xlpm.r, MATCH(1,('3. Enter Indicator Scores'!$B$10:$B$161=$B64)*('3. Enter Indicator Scores'!$C$10:$C$161=$C64),0),
  _xlpm.c, MATCH(BE$8,'3. Enter Indicator Scores'!$D$8:$CZ$8,0),
  _xlpm.v, IFERROR(INDEX('3. Enter Indicator Scores'!$D$10:$CZ$161,_xlpm.r,_xlpm.c),""),
  IF(OR(_xlpm.w="",_xlpm.v=""),"",_xlpm.v*_xlpm.w)
)</f>
        <v/>
      </c>
      <c r="BF64" s="93" t="str" cm="1">
        <f t="array" ref="BF64">_xlfn.LET(
  _xlpm.w, BF$11,
  _xlpm.r, MATCH(1,('3. Enter Indicator Scores'!$B$10:$B$161=$B64)*('3. Enter Indicator Scores'!$C$10:$C$161=$C64),0),
  _xlpm.c, MATCH(BF$8,'3. Enter Indicator Scores'!$D$8:$CZ$8,0),
  _xlpm.v, IFERROR(INDEX('3. Enter Indicator Scores'!$D$10:$CZ$161,_xlpm.r,_xlpm.c),""),
  IF(OR(_xlpm.w="",_xlpm.v=""),"",_xlpm.v*_xlpm.w)
)</f>
        <v/>
      </c>
      <c r="BG64" s="93" t="str" cm="1">
        <f t="array" ref="BG64">_xlfn.LET(
  _xlpm.w, BG$11,
  _xlpm.r, MATCH(1,('3. Enter Indicator Scores'!$B$10:$B$161=$B64)*('3. Enter Indicator Scores'!$C$10:$C$161=$C64),0),
  _xlpm.c, MATCH(BG$8,'3. Enter Indicator Scores'!$D$8:$CZ$8,0),
  _xlpm.v, IFERROR(INDEX('3. Enter Indicator Scores'!$D$10:$CZ$161,_xlpm.r,_xlpm.c),""),
  IF(OR(_xlpm.w="",_xlpm.v=""),"",_xlpm.v*_xlpm.w)
)</f>
        <v/>
      </c>
      <c r="BH64" s="93" t="str" cm="1">
        <f t="array" ref="BH64">_xlfn.LET(
  _xlpm.w, BH$11,
  _xlpm.r, MATCH(1,('3. Enter Indicator Scores'!$B$10:$B$161=$B64)*('3. Enter Indicator Scores'!$C$10:$C$161=$C64),0),
  _xlpm.c, MATCH(BH$8,'3. Enter Indicator Scores'!$D$8:$CZ$8,0),
  _xlpm.v, IFERROR(INDEX('3. Enter Indicator Scores'!$D$10:$CZ$161,_xlpm.r,_xlpm.c),""),
  IF(OR(_xlpm.w="",_xlpm.v=""),"",_xlpm.v*_xlpm.w)
)</f>
        <v/>
      </c>
      <c r="BI64" s="93" t="str" cm="1">
        <f t="array" ref="BI64">_xlfn.LET(
  _xlpm.w, BI$11,
  _xlpm.r, MATCH(1,('3. Enter Indicator Scores'!$B$10:$B$161=$B64)*('3. Enter Indicator Scores'!$C$10:$C$161=$C64),0),
  _xlpm.c, MATCH(BI$8,'3. Enter Indicator Scores'!$D$8:$CZ$8,0),
  _xlpm.v, IFERROR(INDEX('3. Enter Indicator Scores'!$D$10:$CZ$161,_xlpm.r,_xlpm.c),""),
  IF(OR(_xlpm.w="",_xlpm.v=""),"",_xlpm.v*_xlpm.w)
)</f>
        <v/>
      </c>
      <c r="BJ64" s="93" t="str" cm="1">
        <f t="array" ref="BJ64">_xlfn.LET(
  _xlpm.w, BJ$11,
  _xlpm.r, MATCH(1,('3. Enter Indicator Scores'!$B$10:$B$161=$B64)*('3. Enter Indicator Scores'!$C$10:$C$161=$C64),0),
  _xlpm.c, MATCH(BJ$8,'3. Enter Indicator Scores'!$D$8:$CZ$8,0),
  _xlpm.v, IFERROR(INDEX('3. Enter Indicator Scores'!$D$10:$CZ$161,_xlpm.r,_xlpm.c),""),
  IF(OR(_xlpm.w="",_xlpm.v=""),"",_xlpm.v*_xlpm.w)
)</f>
        <v/>
      </c>
      <c r="BK64" s="93" t="str" cm="1">
        <f t="array" ref="BK64">_xlfn.LET(
  _xlpm.w, BK$11,
  _xlpm.r, MATCH(1,('3. Enter Indicator Scores'!$B$10:$B$161=$B64)*('3. Enter Indicator Scores'!$C$10:$C$161=$C64),0),
  _xlpm.c, MATCH(BK$8,'3. Enter Indicator Scores'!$D$8:$CZ$8,0),
  _xlpm.v, IFERROR(INDEX('3. Enter Indicator Scores'!$D$10:$CZ$161,_xlpm.r,_xlpm.c),""),
  IF(OR(_xlpm.w="",_xlpm.v=""),"",_xlpm.v*_xlpm.w)
)</f>
        <v/>
      </c>
      <c r="BL64" s="93" t="str" cm="1">
        <f t="array" ref="BL64">_xlfn.LET(
  _xlpm.w, BL$11,
  _xlpm.r, MATCH(1,('3. Enter Indicator Scores'!$B$10:$B$161=$B64)*('3. Enter Indicator Scores'!$C$10:$C$161=$C64),0),
  _xlpm.c, MATCH(BL$8,'3. Enter Indicator Scores'!$D$8:$CZ$8,0),
  _xlpm.v, IFERROR(INDEX('3. Enter Indicator Scores'!$D$10:$CZ$161,_xlpm.r,_xlpm.c),""),
  IF(OR(_xlpm.w="",_xlpm.v=""),"",_xlpm.v*_xlpm.w)
)</f>
        <v/>
      </c>
      <c r="BM64" s="93" t="str" cm="1">
        <f t="array" ref="BM64">_xlfn.LET(
  _xlpm.w, BM$11,
  _xlpm.r, MATCH(1,('3. Enter Indicator Scores'!$B$10:$B$161=$B64)*('3. Enter Indicator Scores'!$C$10:$C$161=$C64),0),
  _xlpm.c, MATCH(BM$8,'3. Enter Indicator Scores'!$D$8:$CZ$8,0),
  _xlpm.v, IFERROR(INDEX('3. Enter Indicator Scores'!$D$10:$CZ$161,_xlpm.r,_xlpm.c),""),
  IF(OR(_xlpm.w="",_xlpm.v=""),"",_xlpm.v*_xlpm.w)
)</f>
        <v/>
      </c>
      <c r="BN64" s="93" t="str" cm="1">
        <f t="array" ref="BN64">_xlfn.LET(
  _xlpm.w, BN$11,
  _xlpm.r, MATCH(1,('3. Enter Indicator Scores'!$B$10:$B$161=$B64)*('3. Enter Indicator Scores'!$C$10:$C$161=$C64),0),
  _xlpm.c, MATCH(BN$8,'3. Enter Indicator Scores'!$D$8:$CZ$8,0),
  _xlpm.v, IFERROR(INDEX('3. Enter Indicator Scores'!$D$10:$CZ$161,_xlpm.r,_xlpm.c),""),
  IF(OR(_xlpm.w="",_xlpm.v=""),"",_xlpm.v*_xlpm.w)
)</f>
        <v/>
      </c>
      <c r="BO64" s="93" t="str" cm="1">
        <f t="array" ref="BO64">_xlfn.LET(
  _xlpm.w, BO$11,
  _xlpm.r, MATCH(1,('3. Enter Indicator Scores'!$B$10:$B$161=$B64)*('3. Enter Indicator Scores'!$C$10:$C$161=$C64),0),
  _xlpm.c, MATCH(BO$8,'3. Enter Indicator Scores'!$D$8:$CZ$8,0),
  _xlpm.v, IFERROR(INDEX('3. Enter Indicator Scores'!$D$10:$CZ$161,_xlpm.r,_xlpm.c),""),
  IF(OR(_xlpm.w="",_xlpm.v=""),"",_xlpm.v*_xlpm.w)
)</f>
        <v/>
      </c>
      <c r="BP64" s="93" t="str" cm="1">
        <f t="array" ref="BP64">_xlfn.LET(
  _xlpm.w, BP$11,
  _xlpm.r, MATCH(1,('3. Enter Indicator Scores'!$B$10:$B$161=$B64)*('3. Enter Indicator Scores'!$C$10:$C$161=$C64),0),
  _xlpm.c, MATCH(BP$8,'3. Enter Indicator Scores'!$D$8:$CZ$8,0),
  _xlpm.v, IFERROR(INDEX('3. Enter Indicator Scores'!$D$10:$CZ$161,_xlpm.r,_xlpm.c),""),
  IF(OR(_xlpm.w="",_xlpm.v=""),"",_xlpm.v*_xlpm.w)
)</f>
        <v/>
      </c>
      <c r="BQ64" s="93" t="str" cm="1">
        <f t="array" ref="BQ64">_xlfn.LET(
  _xlpm.w, BQ$11,
  _xlpm.r, MATCH(1,('3. Enter Indicator Scores'!$B$10:$B$161=$B64)*('3. Enter Indicator Scores'!$C$10:$C$161=$C64),0),
  _xlpm.c, MATCH(BQ$8,'3. Enter Indicator Scores'!$D$8:$CZ$8,0),
  _xlpm.v, IFERROR(INDEX('3. Enter Indicator Scores'!$D$10:$CZ$161,_xlpm.r,_xlpm.c),""),
  IF(OR(_xlpm.w="",_xlpm.v=""),"",_xlpm.v*_xlpm.w)
)</f>
        <v/>
      </c>
      <c r="BR64" s="93" t="str" cm="1">
        <f t="array" ref="BR64">_xlfn.LET(
  _xlpm.w, BR$11,
  _xlpm.r, MATCH(1,('3. Enter Indicator Scores'!$B$10:$B$161=$B64)*('3. Enter Indicator Scores'!$C$10:$C$161=$C64),0),
  _xlpm.c, MATCH(BR$8,'3. Enter Indicator Scores'!$D$8:$CZ$8,0),
  _xlpm.v, IFERROR(INDEX('3. Enter Indicator Scores'!$D$10:$CZ$161,_xlpm.r,_xlpm.c),""),
  IF(OR(_xlpm.w="",_xlpm.v=""),"",_xlpm.v*_xlpm.w)
)</f>
        <v/>
      </c>
      <c r="BS64" s="93" t="str" cm="1">
        <f t="array" ref="BS64">_xlfn.LET(
  _xlpm.w, BS$11,
  _xlpm.r, MATCH(1,('3. Enter Indicator Scores'!$B$10:$B$161=$B64)*('3. Enter Indicator Scores'!$C$10:$C$161=$C64),0),
  _xlpm.c, MATCH(BS$8,'3. Enter Indicator Scores'!$D$8:$CZ$8,0),
  _xlpm.v, IFERROR(INDEX('3. Enter Indicator Scores'!$D$10:$CZ$161,_xlpm.r,_xlpm.c),""),
  IF(OR(_xlpm.w="",_xlpm.v=""),"",_xlpm.v*_xlpm.w)
)</f>
        <v/>
      </c>
      <c r="BT64" s="93" t="str" cm="1">
        <f t="array" ref="BT64">_xlfn.LET(
  _xlpm.w, BT$11,
  _xlpm.r, MATCH(1,('3. Enter Indicator Scores'!$B$10:$B$161=$B64)*('3. Enter Indicator Scores'!$C$10:$C$161=$C64),0),
  _xlpm.c, MATCH(BT$8,'3. Enter Indicator Scores'!$D$8:$CZ$8,0),
  _xlpm.v, IFERROR(INDEX('3. Enter Indicator Scores'!$D$10:$CZ$161,_xlpm.r,_xlpm.c),""),
  IF(OR(_xlpm.w="",_xlpm.v=""),"",_xlpm.v*_xlpm.w)
)</f>
        <v/>
      </c>
      <c r="BU64" s="93" t="str" cm="1">
        <f t="array" ref="BU64">_xlfn.LET(
  _xlpm.w, BU$11,
  _xlpm.r, MATCH(1,('3. Enter Indicator Scores'!$B$10:$B$161=$B64)*('3. Enter Indicator Scores'!$C$10:$C$161=$C64),0),
  _xlpm.c, MATCH(BU$8,'3. Enter Indicator Scores'!$D$8:$CZ$8,0),
  _xlpm.v, IFERROR(INDEX('3. Enter Indicator Scores'!$D$10:$CZ$161,_xlpm.r,_xlpm.c),""),
  IF(OR(_xlpm.w="",_xlpm.v=""),"",_xlpm.v*_xlpm.w)
)</f>
        <v/>
      </c>
      <c r="BV64" s="93" t="str" cm="1">
        <f t="array" ref="BV64">_xlfn.LET(
  _xlpm.w, BV$11,
  _xlpm.r, MATCH(1,('3. Enter Indicator Scores'!$B$10:$B$161=$B64)*('3. Enter Indicator Scores'!$C$10:$C$161=$C64),0),
  _xlpm.c, MATCH(BV$8,'3. Enter Indicator Scores'!$D$8:$CZ$8,0),
  _xlpm.v, IFERROR(INDEX('3. Enter Indicator Scores'!$D$10:$CZ$161,_xlpm.r,_xlpm.c),""),
  IF(OR(_xlpm.w="",_xlpm.v=""),"",_xlpm.v*_xlpm.w)
)</f>
        <v/>
      </c>
      <c r="BW64" s="93" t="str" cm="1">
        <f t="array" ref="BW64">_xlfn.LET(
  _xlpm.w, BW$11,
  _xlpm.r, MATCH(1,('3. Enter Indicator Scores'!$B$10:$B$161=$B64)*('3. Enter Indicator Scores'!$C$10:$C$161=$C64),0),
  _xlpm.c, MATCH(BW$8,'3. Enter Indicator Scores'!$D$8:$CZ$8,0),
  _xlpm.v, IFERROR(INDEX('3. Enter Indicator Scores'!$D$10:$CZ$161,_xlpm.r,_xlpm.c),""),
  IF(OR(_xlpm.w="",_xlpm.v=""),"",_xlpm.v*_xlpm.w)
)</f>
        <v/>
      </c>
      <c r="BX64" s="93" t="str" cm="1">
        <f t="array" ref="BX64">_xlfn.LET(
  _xlpm.w, BX$11,
  _xlpm.r, MATCH(1,('3. Enter Indicator Scores'!$B$10:$B$161=$B64)*('3. Enter Indicator Scores'!$C$10:$C$161=$C64),0),
  _xlpm.c, MATCH(BX$8,'3. Enter Indicator Scores'!$D$8:$CZ$8,0),
  _xlpm.v, IFERROR(INDEX('3. Enter Indicator Scores'!$D$10:$CZ$161,_xlpm.r,_xlpm.c),""),
  IF(OR(_xlpm.w="",_xlpm.v=""),"",_xlpm.v*_xlpm.w)
)</f>
        <v/>
      </c>
      <c r="BY64" s="93" t="str" cm="1">
        <f t="array" ref="BY64">_xlfn.LET(
  _xlpm.w, BY$11,
  _xlpm.r, MATCH(1,('3. Enter Indicator Scores'!$B$10:$B$161=$B64)*('3. Enter Indicator Scores'!$C$10:$C$161=$C64),0),
  _xlpm.c, MATCH(BY$8,'3. Enter Indicator Scores'!$D$8:$CZ$8,0),
  _xlpm.v, IFERROR(INDEX('3. Enter Indicator Scores'!$D$10:$CZ$161,_xlpm.r,_xlpm.c),""),
  IF(OR(_xlpm.w="",_xlpm.v=""),"",_xlpm.v*_xlpm.w)
)</f>
        <v/>
      </c>
      <c r="BZ64" s="93" t="str" cm="1">
        <f t="array" ref="BZ64">_xlfn.LET(
  _xlpm.w, BZ$11,
  _xlpm.r, MATCH(1,('3. Enter Indicator Scores'!$B$10:$B$161=$B64)*('3. Enter Indicator Scores'!$C$10:$C$161=$C64),0),
  _xlpm.c, MATCH(BZ$8,'3. Enter Indicator Scores'!$D$8:$CZ$8,0),
  _xlpm.v, IFERROR(INDEX('3. Enter Indicator Scores'!$D$10:$CZ$161,_xlpm.r,_xlpm.c),""),
  IF(OR(_xlpm.w="",_xlpm.v=""),"",_xlpm.v*_xlpm.w)
)</f>
        <v/>
      </c>
      <c r="CA64" s="93" t="str" cm="1">
        <f t="array" ref="CA64">_xlfn.LET(
  _xlpm.w, CA$11,
  _xlpm.r, MATCH(1,('3. Enter Indicator Scores'!$B$10:$B$161=$B64)*('3. Enter Indicator Scores'!$C$10:$C$161=$C64),0),
  _xlpm.c, MATCH(CA$8,'3. Enter Indicator Scores'!$D$8:$CZ$8,0),
  _xlpm.v, IFERROR(INDEX('3. Enter Indicator Scores'!$D$10:$CZ$161,_xlpm.r,_xlpm.c),""),
  IF(OR(_xlpm.w="",_xlpm.v=""),"",_xlpm.v*_xlpm.w)
)</f>
        <v/>
      </c>
      <c r="CB64" s="93" t="str" cm="1">
        <f t="array" ref="CB64">_xlfn.LET(
  _xlpm.w, CB$11,
  _xlpm.r, MATCH(1,('3. Enter Indicator Scores'!$B$10:$B$161=$B64)*('3. Enter Indicator Scores'!$C$10:$C$161=$C64),0),
  _xlpm.c, MATCH(CB$8,'3. Enter Indicator Scores'!$D$8:$CZ$8,0),
  _xlpm.v, IFERROR(INDEX('3. Enter Indicator Scores'!$D$10:$CZ$161,_xlpm.r,_xlpm.c),""),
  IF(OR(_xlpm.w="",_xlpm.v=""),"",_xlpm.v*_xlpm.w)
)</f>
        <v/>
      </c>
      <c r="CC64" s="93" t="str" cm="1">
        <f t="array" ref="CC64">_xlfn.LET(
  _xlpm.w, CC$11,
  _xlpm.r, MATCH(1,('3. Enter Indicator Scores'!$B$10:$B$161=$B64)*('3. Enter Indicator Scores'!$C$10:$C$161=$C64),0),
  _xlpm.c, MATCH(CC$8,'3. Enter Indicator Scores'!$D$8:$CZ$8,0),
  _xlpm.v, IFERROR(INDEX('3. Enter Indicator Scores'!$D$10:$CZ$161,_xlpm.r,_xlpm.c),""),
  IF(OR(_xlpm.w="",_xlpm.v=""),"",_xlpm.v*_xlpm.w)
)</f>
        <v/>
      </c>
      <c r="CD64" s="93" t="str" cm="1">
        <f t="array" ref="CD64">_xlfn.LET(
  _xlpm.w, CD$11,
  _xlpm.r, MATCH(1,('3. Enter Indicator Scores'!$B$10:$B$161=$B64)*('3. Enter Indicator Scores'!$C$10:$C$161=$C64),0),
  _xlpm.c, MATCH(CD$8,'3. Enter Indicator Scores'!$D$8:$CZ$8,0),
  _xlpm.v, IFERROR(INDEX('3. Enter Indicator Scores'!$D$10:$CZ$161,_xlpm.r,_xlpm.c),""),
  IF(OR(_xlpm.w="",_xlpm.v=""),"",_xlpm.v*_xlpm.w)
)</f>
        <v/>
      </c>
      <c r="CE64" s="93" t="str" cm="1">
        <f t="array" ref="CE64">_xlfn.LET(
  _xlpm.w, CE$11,
  _xlpm.r, MATCH(1,('3. Enter Indicator Scores'!$B$10:$B$161=$B64)*('3. Enter Indicator Scores'!$C$10:$C$161=$C64),0),
  _xlpm.c, MATCH(CE$8,'3. Enter Indicator Scores'!$D$8:$CZ$8,0),
  _xlpm.v, IFERROR(INDEX('3. Enter Indicator Scores'!$D$10:$CZ$161,_xlpm.r,_xlpm.c),""),
  IF(OR(_xlpm.w="",_xlpm.v=""),"",_xlpm.v*_xlpm.w)
)</f>
        <v/>
      </c>
      <c r="CF64" s="93" t="str" cm="1">
        <f t="array" ref="CF64">_xlfn.LET(
  _xlpm.w, CF$11,
  _xlpm.r, MATCH(1,('3. Enter Indicator Scores'!$B$10:$B$161=$B64)*('3. Enter Indicator Scores'!$C$10:$C$161=$C64),0),
  _xlpm.c, MATCH(CF$8,'3. Enter Indicator Scores'!$D$8:$CZ$8,0),
  _xlpm.v, IFERROR(INDEX('3. Enter Indicator Scores'!$D$10:$CZ$161,_xlpm.r,_xlpm.c),""),
  IF(OR(_xlpm.w="",_xlpm.v=""),"",_xlpm.v*_xlpm.w)
)</f>
        <v/>
      </c>
      <c r="CG64" s="93" t="str" cm="1">
        <f t="array" ref="CG64">_xlfn.LET(
  _xlpm.w, CG$11,
  _xlpm.r, MATCH(1,('3. Enter Indicator Scores'!$B$10:$B$161=$B64)*('3. Enter Indicator Scores'!$C$10:$C$161=$C64),0),
  _xlpm.c, MATCH(CG$8,'3. Enter Indicator Scores'!$D$8:$CZ$8,0),
  _xlpm.v, IFERROR(INDEX('3. Enter Indicator Scores'!$D$10:$CZ$161,_xlpm.r,_xlpm.c),""),
  IF(OR(_xlpm.w="",_xlpm.v=""),"",_xlpm.v*_xlpm.w)
)</f>
        <v/>
      </c>
      <c r="CH64" s="93" t="str" cm="1">
        <f t="array" ref="CH64">_xlfn.LET(
  _xlpm.w, CH$11,
  _xlpm.r, MATCH(1,('3. Enter Indicator Scores'!$B$10:$B$161=$B64)*('3. Enter Indicator Scores'!$C$10:$C$161=$C64),0),
  _xlpm.c, MATCH(CH$8,'3. Enter Indicator Scores'!$D$8:$CZ$8,0),
  _xlpm.v, IFERROR(INDEX('3. Enter Indicator Scores'!$D$10:$CZ$161,_xlpm.r,_xlpm.c),""),
  IF(OR(_xlpm.w="",_xlpm.v=""),"",_xlpm.v*_xlpm.w)
)</f>
        <v/>
      </c>
      <c r="CI64" s="93" t="str" cm="1">
        <f t="array" ref="CI64">_xlfn.LET(
  _xlpm.w, CI$11,
  _xlpm.r, MATCH(1,('3. Enter Indicator Scores'!$B$10:$B$161=$B64)*('3. Enter Indicator Scores'!$C$10:$C$161=$C64),0),
  _xlpm.c, MATCH(CI$8,'3. Enter Indicator Scores'!$D$8:$CZ$8,0),
  _xlpm.v, IFERROR(INDEX('3. Enter Indicator Scores'!$D$10:$CZ$161,_xlpm.r,_xlpm.c),""),
  IF(OR(_xlpm.w="",_xlpm.v=""),"",_xlpm.v*_xlpm.w)
)</f>
        <v/>
      </c>
      <c r="CJ64" s="93" t="str" cm="1">
        <f t="array" ref="CJ64">_xlfn.LET(
  _xlpm.w, CJ$11,
  _xlpm.r, MATCH(1,('3. Enter Indicator Scores'!$B$10:$B$161=$B64)*('3. Enter Indicator Scores'!$C$10:$C$161=$C64),0),
  _xlpm.c, MATCH(CJ$8,'3. Enter Indicator Scores'!$D$8:$CZ$8,0),
  _xlpm.v, IFERROR(INDEX('3. Enter Indicator Scores'!$D$10:$CZ$161,_xlpm.r,_xlpm.c),""),
  IF(OR(_xlpm.w="",_xlpm.v=""),"",_xlpm.v*_xlpm.w)
)</f>
        <v/>
      </c>
      <c r="CK64" s="93" t="str" cm="1">
        <f t="array" ref="CK64">_xlfn.LET(
  _xlpm.w, CK$11,
  _xlpm.r, MATCH(1,('3. Enter Indicator Scores'!$B$10:$B$161=$B64)*('3. Enter Indicator Scores'!$C$10:$C$161=$C64),0),
  _xlpm.c, MATCH(CK$8,'3. Enter Indicator Scores'!$D$8:$CZ$8,0),
  _xlpm.v, IFERROR(INDEX('3. Enter Indicator Scores'!$D$10:$CZ$161,_xlpm.r,_xlpm.c),""),
  IF(OR(_xlpm.w="",_xlpm.v=""),"",_xlpm.v*_xlpm.w)
)</f>
        <v/>
      </c>
      <c r="CL64" s="93" t="str" cm="1">
        <f t="array" ref="CL64">_xlfn.LET(
  _xlpm.w, CL$11,
  _xlpm.r, MATCH(1,('3. Enter Indicator Scores'!$B$10:$B$161=$B64)*('3. Enter Indicator Scores'!$C$10:$C$161=$C64),0),
  _xlpm.c, MATCH(CL$8,'3. Enter Indicator Scores'!$D$8:$CZ$8,0),
  _xlpm.v, IFERROR(INDEX('3. Enter Indicator Scores'!$D$10:$CZ$161,_xlpm.r,_xlpm.c),""),
  IF(OR(_xlpm.w="",_xlpm.v=""),"",_xlpm.v*_xlpm.w)
)</f>
        <v/>
      </c>
      <c r="CM64" s="93" t="str" cm="1">
        <f t="array" ref="CM64">_xlfn.LET(
  _xlpm.w, CM$11,
  _xlpm.r, MATCH(1,('3. Enter Indicator Scores'!$B$10:$B$161=$B64)*('3. Enter Indicator Scores'!$C$10:$C$161=$C64),0),
  _xlpm.c, MATCH(CM$8,'3. Enter Indicator Scores'!$D$8:$CZ$8,0),
  _xlpm.v, IFERROR(INDEX('3. Enter Indicator Scores'!$D$10:$CZ$161,_xlpm.r,_xlpm.c),""),
  IF(OR(_xlpm.w="",_xlpm.v=""),"",_xlpm.v*_xlpm.w)
)</f>
        <v/>
      </c>
      <c r="CN64" s="93" t="str" cm="1">
        <f t="array" ref="CN64">_xlfn.LET(
  _xlpm.w, CN$11,
  _xlpm.r, MATCH(1,('3. Enter Indicator Scores'!$B$10:$B$161=$B64)*('3. Enter Indicator Scores'!$C$10:$C$161=$C64),0),
  _xlpm.c, MATCH(CN$8,'3. Enter Indicator Scores'!$D$8:$CZ$8,0),
  _xlpm.v, IFERROR(INDEX('3. Enter Indicator Scores'!$D$10:$CZ$161,_xlpm.r,_xlpm.c),""),
  IF(OR(_xlpm.w="",_xlpm.v=""),"",_xlpm.v*_xlpm.w)
)</f>
        <v/>
      </c>
      <c r="CO64" s="93" t="str" cm="1">
        <f t="array" ref="CO64">_xlfn.LET(
  _xlpm.w, CO$11,
  _xlpm.r, MATCH(1,('3. Enter Indicator Scores'!$B$10:$B$161=$B64)*('3. Enter Indicator Scores'!$C$10:$C$161=$C64),0),
  _xlpm.c, MATCH(CO$8,'3. Enter Indicator Scores'!$D$8:$CZ$8,0),
  _xlpm.v, IFERROR(INDEX('3. Enter Indicator Scores'!$D$10:$CZ$161,_xlpm.r,_xlpm.c),""),
  IF(OR(_xlpm.w="",_xlpm.v=""),"",_xlpm.v*_xlpm.w)
)</f>
        <v/>
      </c>
      <c r="CP64" s="93" t="str" cm="1">
        <f t="array" ref="CP64">_xlfn.LET(
  _xlpm.w, CP$11,
  _xlpm.r, MATCH(1,('3. Enter Indicator Scores'!$B$10:$B$161=$B64)*('3. Enter Indicator Scores'!$C$10:$C$161=$C64),0),
  _xlpm.c, MATCH(CP$8,'3. Enter Indicator Scores'!$D$8:$CZ$8,0),
  _xlpm.v, IFERROR(INDEX('3. Enter Indicator Scores'!$D$10:$CZ$161,_xlpm.r,_xlpm.c),""),
  IF(OR(_xlpm.w="",_xlpm.v=""),"",_xlpm.v*_xlpm.w)
)</f>
        <v/>
      </c>
      <c r="CQ64" s="93" t="str" cm="1">
        <f t="array" ref="CQ64">_xlfn.LET(
  _xlpm.w, CQ$11,
  _xlpm.r, MATCH(1,('3. Enter Indicator Scores'!$B$10:$B$161=$B64)*('3. Enter Indicator Scores'!$C$10:$C$161=$C64),0),
  _xlpm.c, MATCH(CQ$8,'3. Enter Indicator Scores'!$D$8:$CZ$8,0),
  _xlpm.v, IFERROR(INDEX('3. Enter Indicator Scores'!$D$10:$CZ$161,_xlpm.r,_xlpm.c),""),
  IF(OR(_xlpm.w="",_xlpm.v=""),"",_xlpm.v*_xlpm.w)
)</f>
        <v/>
      </c>
      <c r="CR64" s="93" t="str" cm="1">
        <f t="array" ref="CR64">_xlfn.LET(
  _xlpm.w, CR$11,
  _xlpm.r, MATCH(1,('3. Enter Indicator Scores'!$B$10:$B$161=$B64)*('3. Enter Indicator Scores'!$C$10:$C$161=$C64),0),
  _xlpm.c, MATCH(CR$8,'3. Enter Indicator Scores'!$D$8:$CZ$8,0),
  _xlpm.v, IFERROR(INDEX('3. Enter Indicator Scores'!$D$10:$CZ$161,_xlpm.r,_xlpm.c),""),
  IF(OR(_xlpm.w="",_xlpm.v=""),"",_xlpm.v*_xlpm.w)
)</f>
        <v/>
      </c>
      <c r="CS64" s="93" t="str" cm="1">
        <f t="array" ref="CS64">_xlfn.LET(
  _xlpm.w, CS$11,
  _xlpm.r, MATCH(1,('3. Enter Indicator Scores'!$B$10:$B$161=$B64)*('3. Enter Indicator Scores'!$C$10:$C$161=$C64),0),
  _xlpm.c, MATCH(CS$8,'3. Enter Indicator Scores'!$D$8:$CZ$8,0),
  _xlpm.v, IFERROR(INDEX('3. Enter Indicator Scores'!$D$10:$CZ$161,_xlpm.r,_xlpm.c),""),
  IF(OR(_xlpm.w="",_xlpm.v=""),"",_xlpm.v*_xlpm.w)
)</f>
        <v/>
      </c>
      <c r="CT64" s="93" t="str" cm="1">
        <f t="array" ref="CT64">_xlfn.LET(
  _xlpm.w, CT$11,
  _xlpm.r, MATCH(1,('3. Enter Indicator Scores'!$B$10:$B$161=$B64)*('3. Enter Indicator Scores'!$C$10:$C$161=$C64),0),
  _xlpm.c, MATCH(CT$8,'3. Enter Indicator Scores'!$D$8:$CZ$8,0),
  _xlpm.v, IFERROR(INDEX('3. Enter Indicator Scores'!$D$10:$CZ$161,_xlpm.r,_xlpm.c),""),
  IF(OR(_xlpm.w="",_xlpm.v=""),"",_xlpm.v*_xlpm.w)
)</f>
        <v/>
      </c>
      <c r="CU64" s="93" t="str" cm="1">
        <f t="array" ref="CU64">_xlfn.LET(
  _xlpm.w, CU$11,
  _xlpm.r, MATCH(1,('3. Enter Indicator Scores'!$B$10:$B$161=$B64)*('3. Enter Indicator Scores'!$C$10:$C$161=$C64),0),
  _xlpm.c, MATCH(CU$8,'3. Enter Indicator Scores'!$D$8:$CZ$8,0),
  _xlpm.v, IFERROR(INDEX('3. Enter Indicator Scores'!$D$10:$CZ$161,_xlpm.r,_xlpm.c),""),
  IF(OR(_xlpm.w="",_xlpm.v=""),"",_xlpm.v*_xlpm.w)
)</f>
        <v/>
      </c>
      <c r="CV64" s="93" t="str" cm="1">
        <f t="array" ref="CV64">_xlfn.LET(
  _xlpm.w, CV$11,
  _xlpm.r, MATCH(1,('3. Enter Indicator Scores'!$B$10:$B$161=$B64)*('3. Enter Indicator Scores'!$C$10:$C$161=$C64),0),
  _xlpm.c, MATCH(CV$8,'3. Enter Indicator Scores'!$D$8:$CZ$8,0),
  _xlpm.v, IFERROR(INDEX('3. Enter Indicator Scores'!$D$10:$CZ$161,_xlpm.r,_xlpm.c),""),
  IF(OR(_xlpm.w="",_xlpm.v=""),"",_xlpm.v*_xlpm.w)
)</f>
        <v/>
      </c>
      <c r="CW64" s="93" t="str" cm="1">
        <f t="array" ref="CW64">_xlfn.LET(
  _xlpm.w, CW$11,
  _xlpm.r, MATCH(1,('3. Enter Indicator Scores'!$B$10:$B$161=$B64)*('3. Enter Indicator Scores'!$C$10:$C$161=$C64),0),
  _xlpm.c, MATCH(CW$8,'3. Enter Indicator Scores'!$D$8:$CZ$8,0),
  _xlpm.v, IFERROR(INDEX('3. Enter Indicator Scores'!$D$10:$CZ$161,_xlpm.r,_xlpm.c),""),
  IF(OR(_xlpm.w="",_xlpm.v=""),"",_xlpm.v*_xlpm.w)
)</f>
        <v/>
      </c>
      <c r="CX64" s="93" t="str" cm="1">
        <f t="array" ref="CX64">_xlfn.LET(
  _xlpm.w, CX$11,
  _xlpm.r, MATCH(1,('3. Enter Indicator Scores'!$B$10:$B$161=$B64)*('3. Enter Indicator Scores'!$C$10:$C$161=$C64),0),
  _xlpm.c, MATCH(CX$8,'3. Enter Indicator Scores'!$D$8:$CZ$8,0),
  _xlpm.v, IFERROR(INDEX('3. Enter Indicator Scores'!$D$10:$CZ$161,_xlpm.r,_xlpm.c),""),
  IF(OR(_xlpm.w="",_xlpm.v=""),"",_xlpm.v*_xlpm.w)
)</f>
        <v/>
      </c>
      <c r="CY64" s="93" t="str" cm="1">
        <f t="array" ref="CY64">_xlfn.LET(
  _xlpm.w, CY$11,
  _xlpm.r, MATCH(1,('3. Enter Indicator Scores'!$B$10:$B$161=$B64)*('3. Enter Indicator Scores'!$C$10:$C$161=$C64),0),
  _xlpm.c, MATCH(CY$8,'3. Enter Indicator Scores'!$D$8:$CZ$8,0),
  _xlpm.v, IFERROR(INDEX('3. Enter Indicator Scores'!$D$10:$CZ$161,_xlpm.r,_xlpm.c),""),
  IF(OR(_xlpm.w="",_xlpm.v=""),"",_xlpm.v*_xlpm.w)
)</f>
        <v/>
      </c>
      <c r="CZ64" s="93" t="str" cm="1">
        <f t="array" ref="CZ64">_xlfn.LET(
  _xlpm.w, CZ$11,
  _xlpm.r, MATCH(1,('3. Enter Indicator Scores'!$B$10:$B$161=$B64)*('3. Enter Indicator Scores'!$C$10:$C$161=$C64),0),
  _xlpm.c, MATCH(CZ$8,'3. Enter Indicator Scores'!$D$8:$CZ$8,0),
  _xlpm.v, IFERROR(INDEX('3. Enter Indicator Scores'!$D$10:$CZ$161,_xlpm.r,_xlpm.c),""),
  IF(OR(_xlpm.w="",_xlpm.v=""),"",_xlpm.v*_xlpm.w)
)</f>
        <v/>
      </c>
    </row>
    <row r="65" spans="4:104" x14ac:dyDescent="0.2">
      <c r="D65" s="93" t="str" cm="1">
        <f t="array" ref="D65">_xlfn.LET(
  _xlpm.w, D$11,
  _xlpm.r, MATCH(1,('3. Enter Indicator Scores'!$B$10:$B$161=$B65)*('3. Enter Indicator Scores'!$C$10:$C$161=$C65),0),
  _xlpm.c, MATCH(D$8,'3. Enter Indicator Scores'!$D$8:$CZ$8,0),
  _xlpm.v, IFERROR(INDEX('3. Enter Indicator Scores'!$D$10:$CZ$161,_xlpm.r,_xlpm.c),""),
  IF(OR(_xlpm.w="",_xlpm.v=""),"",_xlpm.v*_xlpm.w)
)</f>
        <v/>
      </c>
      <c r="E65" s="93" t="str" cm="1">
        <f t="array" ref="E65">_xlfn.LET(
  _xlpm.w, E$11,
  _xlpm.r, MATCH(1,('3. Enter Indicator Scores'!$B$10:$B$161=$B65)*('3. Enter Indicator Scores'!$C$10:$C$161=$C65),0),
  _xlpm.c, MATCH(E$8,'3. Enter Indicator Scores'!$D$8:$CZ$8,0),
  _xlpm.v, IFERROR(INDEX('3. Enter Indicator Scores'!$D$10:$CZ$161,_xlpm.r,_xlpm.c),""),
  IF(OR(_xlpm.w="",_xlpm.v=""),"",_xlpm.v*_xlpm.w)
)</f>
        <v/>
      </c>
      <c r="F65" s="93" t="str" cm="1">
        <f t="array" ref="F65">_xlfn.LET(
  _xlpm.w, F$11,
  _xlpm.r, MATCH(1,('3. Enter Indicator Scores'!$B$10:$B$161=$B65)*('3. Enter Indicator Scores'!$C$10:$C$161=$C65),0),
  _xlpm.c, MATCH(F$8,'3. Enter Indicator Scores'!$D$8:$CZ$8,0),
  _xlpm.v, IFERROR(INDEX('3. Enter Indicator Scores'!$D$10:$CZ$161,_xlpm.r,_xlpm.c),""),
  IF(OR(_xlpm.w="",_xlpm.v=""),"",_xlpm.v*_xlpm.w)
)</f>
        <v/>
      </c>
      <c r="G65" s="93" t="str" cm="1">
        <f t="array" ref="G65">_xlfn.LET(
  _xlpm.w, G$11,
  _xlpm.r, MATCH(1,('3. Enter Indicator Scores'!$B$10:$B$161=$B65)*('3. Enter Indicator Scores'!$C$10:$C$161=$C65),0),
  _xlpm.c, MATCH(G$8,'3. Enter Indicator Scores'!$D$8:$CZ$8,0),
  _xlpm.v, IFERROR(INDEX('3. Enter Indicator Scores'!$D$10:$CZ$161,_xlpm.r,_xlpm.c),""),
  IF(OR(_xlpm.w="",_xlpm.v=""),"",_xlpm.v*_xlpm.w)
)</f>
        <v/>
      </c>
      <c r="H65" s="93" t="str" cm="1">
        <f t="array" ref="H65">_xlfn.LET(
  _xlpm.w, H$11,
  _xlpm.r, MATCH(1,('3. Enter Indicator Scores'!$B$10:$B$161=$B65)*('3. Enter Indicator Scores'!$C$10:$C$161=$C65),0),
  _xlpm.c, MATCH(H$8,'3. Enter Indicator Scores'!$D$8:$CZ$8,0),
  _xlpm.v, IFERROR(INDEX('3. Enter Indicator Scores'!$D$10:$CZ$161,_xlpm.r,_xlpm.c),""),
  IF(OR(_xlpm.w="",_xlpm.v=""),"",_xlpm.v*_xlpm.w)
)</f>
        <v/>
      </c>
      <c r="I65" s="93" t="str" cm="1">
        <f t="array" ref="I65">_xlfn.LET(
  _xlpm.w, I$11,
  _xlpm.r, MATCH(1,('3. Enter Indicator Scores'!$B$10:$B$161=$B65)*('3. Enter Indicator Scores'!$C$10:$C$161=$C65),0),
  _xlpm.c, MATCH(I$8,'3. Enter Indicator Scores'!$D$8:$CZ$8,0),
  _xlpm.v, IFERROR(INDEX('3. Enter Indicator Scores'!$D$10:$CZ$161,_xlpm.r,_xlpm.c),""),
  IF(OR(_xlpm.w="",_xlpm.v=""),"",_xlpm.v*_xlpm.w)
)</f>
        <v/>
      </c>
      <c r="J65" s="93" t="str" cm="1">
        <f t="array" ref="J65">_xlfn.LET(
  _xlpm.w, J$11,
  _xlpm.r, MATCH(1,('3. Enter Indicator Scores'!$B$10:$B$161=$B65)*('3. Enter Indicator Scores'!$C$10:$C$161=$C65),0),
  _xlpm.c, MATCH(J$8,'3. Enter Indicator Scores'!$D$8:$CZ$8,0),
  _xlpm.v, IFERROR(INDEX('3. Enter Indicator Scores'!$D$10:$CZ$161,_xlpm.r,_xlpm.c),""),
  IF(OR(_xlpm.w="",_xlpm.v=""),"",_xlpm.v*_xlpm.w)
)</f>
        <v/>
      </c>
      <c r="K65" s="93" t="str" cm="1">
        <f t="array" ref="K65">_xlfn.LET(
  _xlpm.w, K$11,
  _xlpm.r, MATCH(1,('3. Enter Indicator Scores'!$B$10:$B$161=$B65)*('3. Enter Indicator Scores'!$C$10:$C$161=$C65),0),
  _xlpm.c, MATCH(K$8,'3. Enter Indicator Scores'!$D$8:$CZ$8,0),
  _xlpm.v, IFERROR(INDEX('3. Enter Indicator Scores'!$D$10:$CZ$161,_xlpm.r,_xlpm.c),""),
  IF(OR(_xlpm.w="",_xlpm.v=""),"",_xlpm.v*_xlpm.w)
)</f>
        <v/>
      </c>
      <c r="L65" s="93" t="str" cm="1">
        <f t="array" ref="L65">_xlfn.LET(
  _xlpm.w, L$11,
  _xlpm.r, MATCH(1,('3. Enter Indicator Scores'!$B$10:$B$161=$B65)*('3. Enter Indicator Scores'!$C$10:$C$161=$C65),0),
  _xlpm.c, MATCH(L$8,'3. Enter Indicator Scores'!$D$8:$CZ$8,0),
  _xlpm.v, IFERROR(INDEX('3. Enter Indicator Scores'!$D$10:$CZ$161,_xlpm.r,_xlpm.c),""),
  IF(OR(_xlpm.w="",_xlpm.v=""),"",_xlpm.v*_xlpm.w)
)</f>
        <v/>
      </c>
      <c r="M65" s="93" t="str" cm="1">
        <f t="array" ref="M65">_xlfn.LET(
  _xlpm.w, M$11,
  _xlpm.r, MATCH(1,('3. Enter Indicator Scores'!$B$10:$B$161=$B65)*('3. Enter Indicator Scores'!$C$10:$C$161=$C65),0),
  _xlpm.c, MATCH(M$8,'3. Enter Indicator Scores'!$D$8:$CZ$8,0),
  _xlpm.v, IFERROR(INDEX('3. Enter Indicator Scores'!$D$10:$CZ$161,_xlpm.r,_xlpm.c),""),
  IF(OR(_xlpm.w="",_xlpm.v=""),"",_xlpm.v*_xlpm.w)
)</f>
        <v/>
      </c>
      <c r="N65" s="93" t="str" cm="1">
        <f t="array" ref="N65">_xlfn.LET(
  _xlpm.w, N$11,
  _xlpm.r, MATCH(1,('3. Enter Indicator Scores'!$B$10:$B$161=$B65)*('3. Enter Indicator Scores'!$C$10:$C$161=$C65),0),
  _xlpm.c, MATCH(N$8,'3. Enter Indicator Scores'!$D$8:$CZ$8,0),
  _xlpm.v, IFERROR(INDEX('3. Enter Indicator Scores'!$D$10:$CZ$161,_xlpm.r,_xlpm.c),""),
  IF(OR(_xlpm.w="",_xlpm.v=""),"",_xlpm.v*_xlpm.w)
)</f>
        <v/>
      </c>
      <c r="O65" s="93" t="str" cm="1">
        <f t="array" ref="O65">_xlfn.LET(
  _xlpm.w, O$11,
  _xlpm.r, MATCH(1,('3. Enter Indicator Scores'!$B$10:$B$161=$B65)*('3. Enter Indicator Scores'!$C$10:$C$161=$C65),0),
  _xlpm.c, MATCH(O$8,'3. Enter Indicator Scores'!$D$8:$CZ$8,0),
  _xlpm.v, IFERROR(INDEX('3. Enter Indicator Scores'!$D$10:$CZ$161,_xlpm.r,_xlpm.c),""),
  IF(OR(_xlpm.w="",_xlpm.v=""),"",_xlpm.v*_xlpm.w)
)</f>
        <v/>
      </c>
      <c r="P65" s="93" t="str" cm="1">
        <f t="array" ref="P65">_xlfn.LET(
  _xlpm.w, P$11,
  _xlpm.r, MATCH(1,('3. Enter Indicator Scores'!$B$10:$B$161=$B65)*('3. Enter Indicator Scores'!$C$10:$C$161=$C65),0),
  _xlpm.c, MATCH(P$8,'3. Enter Indicator Scores'!$D$8:$CZ$8,0),
  _xlpm.v, IFERROR(INDEX('3. Enter Indicator Scores'!$D$10:$CZ$161,_xlpm.r,_xlpm.c),""),
  IF(OR(_xlpm.w="",_xlpm.v=""),"",_xlpm.v*_xlpm.w)
)</f>
        <v/>
      </c>
      <c r="Q65" s="93" t="str" cm="1">
        <f t="array" ref="Q65">_xlfn.LET(
  _xlpm.w, Q$11,
  _xlpm.r, MATCH(1,('3. Enter Indicator Scores'!$B$10:$B$161=$B65)*('3. Enter Indicator Scores'!$C$10:$C$161=$C65),0),
  _xlpm.c, MATCH(Q$8,'3. Enter Indicator Scores'!$D$8:$CZ$8,0),
  _xlpm.v, IFERROR(INDEX('3. Enter Indicator Scores'!$D$10:$CZ$161,_xlpm.r,_xlpm.c),""),
  IF(OR(_xlpm.w="",_xlpm.v=""),"",_xlpm.v*_xlpm.w)
)</f>
        <v/>
      </c>
      <c r="R65" s="93" t="str" cm="1">
        <f t="array" ref="R65">_xlfn.LET(
  _xlpm.w, R$11,
  _xlpm.r, MATCH(1,('3. Enter Indicator Scores'!$B$10:$B$161=$B65)*('3. Enter Indicator Scores'!$C$10:$C$161=$C65),0),
  _xlpm.c, MATCH(R$8,'3. Enter Indicator Scores'!$D$8:$CZ$8,0),
  _xlpm.v, IFERROR(INDEX('3. Enter Indicator Scores'!$D$10:$CZ$161,_xlpm.r,_xlpm.c),""),
  IF(OR(_xlpm.w="",_xlpm.v=""),"",_xlpm.v*_xlpm.w)
)</f>
        <v/>
      </c>
      <c r="S65" s="93" t="str" cm="1">
        <f t="array" ref="S65">_xlfn.LET(
  _xlpm.w, S$11,
  _xlpm.r, MATCH(1,('3. Enter Indicator Scores'!$B$10:$B$161=$B65)*('3. Enter Indicator Scores'!$C$10:$C$161=$C65),0),
  _xlpm.c, MATCH(S$8,'3. Enter Indicator Scores'!$D$8:$CZ$8,0),
  _xlpm.v, IFERROR(INDEX('3. Enter Indicator Scores'!$D$10:$CZ$161,_xlpm.r,_xlpm.c),""),
  IF(OR(_xlpm.w="",_xlpm.v=""),"",_xlpm.v*_xlpm.w)
)</f>
        <v/>
      </c>
      <c r="T65" s="93" t="str" cm="1">
        <f t="array" ref="T65">_xlfn.LET(
  _xlpm.w, T$11,
  _xlpm.r, MATCH(1,('3. Enter Indicator Scores'!$B$10:$B$161=$B65)*('3. Enter Indicator Scores'!$C$10:$C$161=$C65),0),
  _xlpm.c, MATCH(T$8,'3. Enter Indicator Scores'!$D$8:$CZ$8,0),
  _xlpm.v, IFERROR(INDEX('3. Enter Indicator Scores'!$D$10:$CZ$161,_xlpm.r,_xlpm.c),""),
  IF(OR(_xlpm.w="",_xlpm.v=""),"",_xlpm.v*_xlpm.w)
)</f>
        <v/>
      </c>
      <c r="U65" s="93" t="str" cm="1">
        <f t="array" ref="U65">_xlfn.LET(
  _xlpm.w, U$11,
  _xlpm.r, MATCH(1,('3. Enter Indicator Scores'!$B$10:$B$161=$B65)*('3. Enter Indicator Scores'!$C$10:$C$161=$C65),0),
  _xlpm.c, MATCH(U$8,'3. Enter Indicator Scores'!$D$8:$CZ$8,0),
  _xlpm.v, IFERROR(INDEX('3. Enter Indicator Scores'!$D$10:$CZ$161,_xlpm.r,_xlpm.c),""),
  IF(OR(_xlpm.w="",_xlpm.v=""),"",_xlpm.v*_xlpm.w)
)</f>
        <v/>
      </c>
      <c r="V65" s="93" t="str" cm="1">
        <f t="array" ref="V65">_xlfn.LET(
  _xlpm.w, V$11,
  _xlpm.r, MATCH(1,('3. Enter Indicator Scores'!$B$10:$B$161=$B65)*('3. Enter Indicator Scores'!$C$10:$C$161=$C65),0),
  _xlpm.c, MATCH(V$8,'3. Enter Indicator Scores'!$D$8:$CZ$8,0),
  _xlpm.v, IFERROR(INDEX('3. Enter Indicator Scores'!$D$10:$CZ$161,_xlpm.r,_xlpm.c),""),
  IF(OR(_xlpm.w="",_xlpm.v=""),"",_xlpm.v*_xlpm.w)
)</f>
        <v/>
      </c>
      <c r="W65" s="93" t="str" cm="1">
        <f t="array" ref="W65">_xlfn.LET(
  _xlpm.w, W$11,
  _xlpm.r, MATCH(1,('3. Enter Indicator Scores'!$B$10:$B$161=$B65)*('3. Enter Indicator Scores'!$C$10:$C$161=$C65),0),
  _xlpm.c, MATCH(W$8,'3. Enter Indicator Scores'!$D$8:$CZ$8,0),
  _xlpm.v, IFERROR(INDEX('3. Enter Indicator Scores'!$D$10:$CZ$161,_xlpm.r,_xlpm.c),""),
  IF(OR(_xlpm.w="",_xlpm.v=""),"",_xlpm.v*_xlpm.w)
)</f>
        <v/>
      </c>
      <c r="X65" s="93" t="str" cm="1">
        <f t="array" ref="X65">_xlfn.LET(
  _xlpm.w, X$11,
  _xlpm.r, MATCH(1,('3. Enter Indicator Scores'!$B$10:$B$161=$B65)*('3. Enter Indicator Scores'!$C$10:$C$161=$C65),0),
  _xlpm.c, MATCH(X$8,'3. Enter Indicator Scores'!$D$8:$CZ$8,0),
  _xlpm.v, IFERROR(INDEX('3. Enter Indicator Scores'!$D$10:$CZ$161,_xlpm.r,_xlpm.c),""),
  IF(OR(_xlpm.w="",_xlpm.v=""),"",_xlpm.v*_xlpm.w)
)</f>
        <v/>
      </c>
      <c r="Y65" s="93" t="str" cm="1">
        <f t="array" ref="Y65">_xlfn.LET(
  _xlpm.w, Y$11,
  _xlpm.r, MATCH(1,('3. Enter Indicator Scores'!$B$10:$B$161=$B65)*('3. Enter Indicator Scores'!$C$10:$C$161=$C65),0),
  _xlpm.c, MATCH(Y$8,'3. Enter Indicator Scores'!$D$8:$CZ$8,0),
  _xlpm.v, IFERROR(INDEX('3. Enter Indicator Scores'!$D$10:$CZ$161,_xlpm.r,_xlpm.c),""),
  IF(OR(_xlpm.w="",_xlpm.v=""),"",_xlpm.v*_xlpm.w)
)</f>
        <v/>
      </c>
      <c r="Z65" s="93" t="str" cm="1">
        <f t="array" ref="Z65">_xlfn.LET(
  _xlpm.w, Z$11,
  _xlpm.r, MATCH(1,('3. Enter Indicator Scores'!$B$10:$B$161=$B65)*('3. Enter Indicator Scores'!$C$10:$C$161=$C65),0),
  _xlpm.c, MATCH(Z$8,'3. Enter Indicator Scores'!$D$8:$CZ$8,0),
  _xlpm.v, IFERROR(INDEX('3. Enter Indicator Scores'!$D$10:$CZ$161,_xlpm.r,_xlpm.c),""),
  IF(OR(_xlpm.w="",_xlpm.v=""),"",_xlpm.v*_xlpm.w)
)</f>
        <v/>
      </c>
      <c r="AA65" s="93" t="str" cm="1">
        <f t="array" ref="AA65">_xlfn.LET(
  _xlpm.w, AA$11,
  _xlpm.r, MATCH(1,('3. Enter Indicator Scores'!$B$10:$B$161=$B65)*('3. Enter Indicator Scores'!$C$10:$C$161=$C65),0),
  _xlpm.c, MATCH(AA$8,'3. Enter Indicator Scores'!$D$8:$CZ$8,0),
  _xlpm.v, IFERROR(INDEX('3. Enter Indicator Scores'!$D$10:$CZ$161,_xlpm.r,_xlpm.c),""),
  IF(OR(_xlpm.w="",_xlpm.v=""),"",_xlpm.v*_xlpm.w)
)</f>
        <v/>
      </c>
      <c r="AB65" s="93" t="str" cm="1">
        <f t="array" ref="AB65">_xlfn.LET(
  _xlpm.w, AB$11,
  _xlpm.r, MATCH(1,('3. Enter Indicator Scores'!$B$10:$B$161=$B65)*('3. Enter Indicator Scores'!$C$10:$C$161=$C65),0),
  _xlpm.c, MATCH(AB$8,'3. Enter Indicator Scores'!$D$8:$CZ$8,0),
  _xlpm.v, IFERROR(INDEX('3. Enter Indicator Scores'!$D$10:$CZ$161,_xlpm.r,_xlpm.c),""),
  IF(OR(_xlpm.w="",_xlpm.v=""),"",_xlpm.v*_xlpm.w)
)</f>
        <v/>
      </c>
      <c r="AC65" s="93" t="str" cm="1">
        <f t="array" ref="AC65">_xlfn.LET(
  _xlpm.w, AC$11,
  _xlpm.r, MATCH(1,('3. Enter Indicator Scores'!$B$10:$B$161=$B65)*('3. Enter Indicator Scores'!$C$10:$C$161=$C65),0),
  _xlpm.c, MATCH(AC$8,'3. Enter Indicator Scores'!$D$8:$CZ$8,0),
  _xlpm.v, IFERROR(INDEX('3. Enter Indicator Scores'!$D$10:$CZ$161,_xlpm.r,_xlpm.c),""),
  IF(OR(_xlpm.w="",_xlpm.v=""),"",_xlpm.v*_xlpm.w)
)</f>
        <v/>
      </c>
      <c r="AD65" s="93" t="str" cm="1">
        <f t="array" ref="AD65">_xlfn.LET(
  _xlpm.w, AD$11,
  _xlpm.r, MATCH(1,('3. Enter Indicator Scores'!$B$10:$B$161=$B65)*('3. Enter Indicator Scores'!$C$10:$C$161=$C65),0),
  _xlpm.c, MATCH(AD$8,'3. Enter Indicator Scores'!$D$8:$CZ$8,0),
  _xlpm.v, IFERROR(INDEX('3. Enter Indicator Scores'!$D$10:$CZ$161,_xlpm.r,_xlpm.c),""),
  IF(OR(_xlpm.w="",_xlpm.v=""),"",_xlpm.v*_xlpm.w)
)</f>
        <v/>
      </c>
      <c r="AE65" s="93" t="str" cm="1">
        <f t="array" ref="AE65">_xlfn.LET(
  _xlpm.w, AE$11,
  _xlpm.r, MATCH(1,('3. Enter Indicator Scores'!$B$10:$B$161=$B65)*('3. Enter Indicator Scores'!$C$10:$C$161=$C65),0),
  _xlpm.c, MATCH(AE$8,'3. Enter Indicator Scores'!$D$8:$CZ$8,0),
  _xlpm.v, IFERROR(INDEX('3. Enter Indicator Scores'!$D$10:$CZ$161,_xlpm.r,_xlpm.c),""),
  IF(OR(_xlpm.w="",_xlpm.v=""),"",_xlpm.v*_xlpm.w)
)</f>
        <v/>
      </c>
      <c r="AF65" s="93" t="str" cm="1">
        <f t="array" ref="AF65">_xlfn.LET(
  _xlpm.w, AF$11,
  _xlpm.r, MATCH(1,('3. Enter Indicator Scores'!$B$10:$B$161=$B65)*('3. Enter Indicator Scores'!$C$10:$C$161=$C65),0),
  _xlpm.c, MATCH(AF$8,'3. Enter Indicator Scores'!$D$8:$CZ$8,0),
  _xlpm.v, IFERROR(INDEX('3. Enter Indicator Scores'!$D$10:$CZ$161,_xlpm.r,_xlpm.c),""),
  IF(OR(_xlpm.w="",_xlpm.v=""),"",_xlpm.v*_xlpm.w)
)</f>
        <v/>
      </c>
      <c r="AG65" s="93" t="str" cm="1">
        <f t="array" ref="AG65">_xlfn.LET(
  _xlpm.w, AG$11,
  _xlpm.r, MATCH(1,('3. Enter Indicator Scores'!$B$10:$B$161=$B65)*('3. Enter Indicator Scores'!$C$10:$C$161=$C65),0),
  _xlpm.c, MATCH(AG$8,'3. Enter Indicator Scores'!$D$8:$CZ$8,0),
  _xlpm.v, IFERROR(INDEX('3. Enter Indicator Scores'!$D$10:$CZ$161,_xlpm.r,_xlpm.c),""),
  IF(OR(_xlpm.w="",_xlpm.v=""),"",_xlpm.v*_xlpm.w)
)</f>
        <v/>
      </c>
      <c r="AH65" s="93" t="str" cm="1">
        <f t="array" ref="AH65">_xlfn.LET(
  _xlpm.w, AH$11,
  _xlpm.r, MATCH(1,('3. Enter Indicator Scores'!$B$10:$B$161=$B65)*('3. Enter Indicator Scores'!$C$10:$C$161=$C65),0),
  _xlpm.c, MATCH(AH$8,'3. Enter Indicator Scores'!$D$8:$CZ$8,0),
  _xlpm.v, IFERROR(INDEX('3. Enter Indicator Scores'!$D$10:$CZ$161,_xlpm.r,_xlpm.c),""),
  IF(OR(_xlpm.w="",_xlpm.v=""),"",_xlpm.v*_xlpm.w)
)</f>
        <v/>
      </c>
      <c r="AI65" s="93" t="str" cm="1">
        <f t="array" ref="AI65">_xlfn.LET(
  _xlpm.w, AI$11,
  _xlpm.r, MATCH(1,('3. Enter Indicator Scores'!$B$10:$B$161=$B65)*('3. Enter Indicator Scores'!$C$10:$C$161=$C65),0),
  _xlpm.c, MATCH(AI$8,'3. Enter Indicator Scores'!$D$8:$CZ$8,0),
  _xlpm.v, IFERROR(INDEX('3. Enter Indicator Scores'!$D$10:$CZ$161,_xlpm.r,_xlpm.c),""),
  IF(OR(_xlpm.w="",_xlpm.v=""),"",_xlpm.v*_xlpm.w)
)</f>
        <v/>
      </c>
      <c r="AJ65" s="93" t="str" cm="1">
        <f t="array" ref="AJ65">_xlfn.LET(
  _xlpm.w, AJ$11,
  _xlpm.r, MATCH(1,('3. Enter Indicator Scores'!$B$10:$B$161=$B65)*('3. Enter Indicator Scores'!$C$10:$C$161=$C65),0),
  _xlpm.c, MATCH(AJ$8,'3. Enter Indicator Scores'!$D$8:$CZ$8,0),
  _xlpm.v, IFERROR(INDEX('3. Enter Indicator Scores'!$D$10:$CZ$161,_xlpm.r,_xlpm.c),""),
  IF(OR(_xlpm.w="",_xlpm.v=""),"",_xlpm.v*_xlpm.w)
)</f>
        <v/>
      </c>
      <c r="AK65" s="93" t="str" cm="1">
        <f t="array" ref="AK65">_xlfn.LET(
  _xlpm.w, AK$11,
  _xlpm.r, MATCH(1,('3. Enter Indicator Scores'!$B$10:$B$161=$B65)*('3. Enter Indicator Scores'!$C$10:$C$161=$C65),0),
  _xlpm.c, MATCH(AK$8,'3. Enter Indicator Scores'!$D$8:$CZ$8,0),
  _xlpm.v, IFERROR(INDEX('3. Enter Indicator Scores'!$D$10:$CZ$161,_xlpm.r,_xlpm.c),""),
  IF(OR(_xlpm.w="",_xlpm.v=""),"",_xlpm.v*_xlpm.w)
)</f>
        <v/>
      </c>
      <c r="AL65" s="93" t="str" cm="1">
        <f t="array" ref="AL65">_xlfn.LET(
  _xlpm.w, AL$11,
  _xlpm.r, MATCH(1,('3. Enter Indicator Scores'!$B$10:$B$161=$B65)*('3. Enter Indicator Scores'!$C$10:$C$161=$C65),0),
  _xlpm.c, MATCH(AL$8,'3. Enter Indicator Scores'!$D$8:$CZ$8,0),
  _xlpm.v, IFERROR(INDEX('3. Enter Indicator Scores'!$D$10:$CZ$161,_xlpm.r,_xlpm.c),""),
  IF(OR(_xlpm.w="",_xlpm.v=""),"",_xlpm.v*_xlpm.w)
)</f>
        <v/>
      </c>
      <c r="AM65" s="93" t="str" cm="1">
        <f t="array" ref="AM65">_xlfn.LET(
  _xlpm.w, AM$11,
  _xlpm.r, MATCH(1,('3. Enter Indicator Scores'!$B$10:$B$161=$B65)*('3. Enter Indicator Scores'!$C$10:$C$161=$C65),0),
  _xlpm.c, MATCH(AM$8,'3. Enter Indicator Scores'!$D$8:$CZ$8,0),
  _xlpm.v, IFERROR(INDEX('3. Enter Indicator Scores'!$D$10:$CZ$161,_xlpm.r,_xlpm.c),""),
  IF(OR(_xlpm.w="",_xlpm.v=""),"",_xlpm.v*_xlpm.w)
)</f>
        <v/>
      </c>
      <c r="AN65" s="93" t="str" cm="1">
        <f t="array" ref="AN65">_xlfn.LET(
  _xlpm.w, AN$11,
  _xlpm.r, MATCH(1,('3. Enter Indicator Scores'!$B$10:$B$161=$B65)*('3. Enter Indicator Scores'!$C$10:$C$161=$C65),0),
  _xlpm.c, MATCH(AN$8,'3. Enter Indicator Scores'!$D$8:$CZ$8,0),
  _xlpm.v, IFERROR(INDEX('3. Enter Indicator Scores'!$D$10:$CZ$161,_xlpm.r,_xlpm.c),""),
  IF(OR(_xlpm.w="",_xlpm.v=""),"",_xlpm.v*_xlpm.w)
)</f>
        <v/>
      </c>
      <c r="AO65" s="93" t="str" cm="1">
        <f t="array" ref="AO65">_xlfn.LET(
  _xlpm.w, AO$11,
  _xlpm.r, MATCH(1,('3. Enter Indicator Scores'!$B$10:$B$161=$B65)*('3. Enter Indicator Scores'!$C$10:$C$161=$C65),0),
  _xlpm.c, MATCH(AO$8,'3. Enter Indicator Scores'!$D$8:$CZ$8,0),
  _xlpm.v, IFERROR(INDEX('3. Enter Indicator Scores'!$D$10:$CZ$161,_xlpm.r,_xlpm.c),""),
  IF(OR(_xlpm.w="",_xlpm.v=""),"",_xlpm.v*_xlpm.w)
)</f>
        <v/>
      </c>
      <c r="AP65" s="93" t="str" cm="1">
        <f t="array" ref="AP65">_xlfn.LET(
  _xlpm.w, AP$11,
  _xlpm.r, MATCH(1,('3. Enter Indicator Scores'!$B$10:$B$161=$B65)*('3. Enter Indicator Scores'!$C$10:$C$161=$C65),0),
  _xlpm.c, MATCH(AP$8,'3. Enter Indicator Scores'!$D$8:$CZ$8,0),
  _xlpm.v, IFERROR(INDEX('3. Enter Indicator Scores'!$D$10:$CZ$161,_xlpm.r,_xlpm.c),""),
  IF(OR(_xlpm.w="",_xlpm.v=""),"",_xlpm.v*_xlpm.w)
)</f>
        <v/>
      </c>
      <c r="AQ65" s="93" t="str" cm="1">
        <f t="array" ref="AQ65">_xlfn.LET(
  _xlpm.w, AQ$11,
  _xlpm.r, MATCH(1,('3. Enter Indicator Scores'!$B$10:$B$161=$B65)*('3. Enter Indicator Scores'!$C$10:$C$161=$C65),0),
  _xlpm.c, MATCH(AQ$8,'3. Enter Indicator Scores'!$D$8:$CZ$8,0),
  _xlpm.v, IFERROR(INDEX('3. Enter Indicator Scores'!$D$10:$CZ$161,_xlpm.r,_xlpm.c),""),
  IF(OR(_xlpm.w="",_xlpm.v=""),"",_xlpm.v*_xlpm.w)
)</f>
        <v/>
      </c>
      <c r="AR65" s="93" t="str" cm="1">
        <f t="array" ref="AR65">_xlfn.LET(
  _xlpm.w, AR$11,
  _xlpm.r, MATCH(1,('3. Enter Indicator Scores'!$B$10:$B$161=$B65)*('3. Enter Indicator Scores'!$C$10:$C$161=$C65),0),
  _xlpm.c, MATCH(AR$8,'3. Enter Indicator Scores'!$D$8:$CZ$8,0),
  _xlpm.v, IFERROR(INDEX('3. Enter Indicator Scores'!$D$10:$CZ$161,_xlpm.r,_xlpm.c),""),
  IF(OR(_xlpm.w="",_xlpm.v=""),"",_xlpm.v*_xlpm.w)
)</f>
        <v/>
      </c>
      <c r="AS65" s="93" t="str" cm="1">
        <f t="array" ref="AS65">_xlfn.LET(
  _xlpm.w, AS$11,
  _xlpm.r, MATCH(1,('3. Enter Indicator Scores'!$B$10:$B$161=$B65)*('3. Enter Indicator Scores'!$C$10:$C$161=$C65),0),
  _xlpm.c, MATCH(AS$8,'3. Enter Indicator Scores'!$D$8:$CZ$8,0),
  _xlpm.v, IFERROR(INDEX('3. Enter Indicator Scores'!$D$10:$CZ$161,_xlpm.r,_xlpm.c),""),
  IF(OR(_xlpm.w="",_xlpm.v=""),"",_xlpm.v*_xlpm.w)
)</f>
        <v/>
      </c>
      <c r="AT65" s="93" t="str" cm="1">
        <f t="array" ref="AT65">_xlfn.LET(
  _xlpm.w, AT$11,
  _xlpm.r, MATCH(1,('3. Enter Indicator Scores'!$B$10:$B$161=$B65)*('3. Enter Indicator Scores'!$C$10:$C$161=$C65),0),
  _xlpm.c, MATCH(AT$8,'3. Enter Indicator Scores'!$D$8:$CZ$8,0),
  _xlpm.v, IFERROR(INDEX('3. Enter Indicator Scores'!$D$10:$CZ$161,_xlpm.r,_xlpm.c),""),
  IF(OR(_xlpm.w="",_xlpm.v=""),"",_xlpm.v*_xlpm.w)
)</f>
        <v/>
      </c>
      <c r="AU65" s="93" t="str" cm="1">
        <f t="array" ref="AU65">_xlfn.LET(
  _xlpm.w, AU$11,
  _xlpm.r, MATCH(1,('3. Enter Indicator Scores'!$B$10:$B$161=$B65)*('3. Enter Indicator Scores'!$C$10:$C$161=$C65),0),
  _xlpm.c, MATCH(AU$8,'3. Enter Indicator Scores'!$D$8:$CZ$8,0),
  _xlpm.v, IFERROR(INDEX('3. Enter Indicator Scores'!$D$10:$CZ$161,_xlpm.r,_xlpm.c),""),
  IF(OR(_xlpm.w="",_xlpm.v=""),"",_xlpm.v*_xlpm.w)
)</f>
        <v/>
      </c>
      <c r="AV65" s="93" t="str" cm="1">
        <f t="array" ref="AV65">_xlfn.LET(
  _xlpm.w, AV$11,
  _xlpm.r, MATCH(1,('3. Enter Indicator Scores'!$B$10:$B$161=$B65)*('3. Enter Indicator Scores'!$C$10:$C$161=$C65),0),
  _xlpm.c, MATCH(AV$8,'3. Enter Indicator Scores'!$D$8:$CZ$8,0),
  _xlpm.v, IFERROR(INDEX('3. Enter Indicator Scores'!$D$10:$CZ$161,_xlpm.r,_xlpm.c),""),
  IF(OR(_xlpm.w="",_xlpm.v=""),"",_xlpm.v*_xlpm.w)
)</f>
        <v/>
      </c>
      <c r="AW65" s="93" t="str" cm="1">
        <f t="array" ref="AW65">_xlfn.LET(
  _xlpm.w, AW$11,
  _xlpm.r, MATCH(1,('3. Enter Indicator Scores'!$B$10:$B$161=$B65)*('3. Enter Indicator Scores'!$C$10:$C$161=$C65),0),
  _xlpm.c, MATCH(AW$8,'3. Enter Indicator Scores'!$D$8:$CZ$8,0),
  _xlpm.v, IFERROR(INDEX('3. Enter Indicator Scores'!$D$10:$CZ$161,_xlpm.r,_xlpm.c),""),
  IF(OR(_xlpm.w="",_xlpm.v=""),"",_xlpm.v*_xlpm.w)
)</f>
        <v/>
      </c>
      <c r="AX65" s="93" t="str" cm="1">
        <f t="array" ref="AX65">_xlfn.LET(
  _xlpm.w, AX$11,
  _xlpm.r, MATCH(1,('3. Enter Indicator Scores'!$B$10:$B$161=$B65)*('3. Enter Indicator Scores'!$C$10:$C$161=$C65),0),
  _xlpm.c, MATCH(AX$8,'3. Enter Indicator Scores'!$D$8:$CZ$8,0),
  _xlpm.v, IFERROR(INDEX('3. Enter Indicator Scores'!$D$10:$CZ$161,_xlpm.r,_xlpm.c),""),
  IF(OR(_xlpm.w="",_xlpm.v=""),"",_xlpm.v*_xlpm.w)
)</f>
        <v/>
      </c>
      <c r="AY65" s="93" t="str" cm="1">
        <f t="array" ref="AY65">_xlfn.LET(
  _xlpm.w, AY$11,
  _xlpm.r, MATCH(1,('3. Enter Indicator Scores'!$B$10:$B$161=$B65)*('3. Enter Indicator Scores'!$C$10:$C$161=$C65),0),
  _xlpm.c, MATCH(AY$8,'3. Enter Indicator Scores'!$D$8:$CZ$8,0),
  _xlpm.v, IFERROR(INDEX('3. Enter Indicator Scores'!$D$10:$CZ$161,_xlpm.r,_xlpm.c),""),
  IF(OR(_xlpm.w="",_xlpm.v=""),"",_xlpm.v*_xlpm.w)
)</f>
        <v/>
      </c>
      <c r="AZ65" s="93" t="str" cm="1">
        <f t="array" ref="AZ65">_xlfn.LET(
  _xlpm.w, AZ$11,
  _xlpm.r, MATCH(1,('3. Enter Indicator Scores'!$B$10:$B$161=$B65)*('3. Enter Indicator Scores'!$C$10:$C$161=$C65),0),
  _xlpm.c, MATCH(AZ$8,'3. Enter Indicator Scores'!$D$8:$CZ$8,0),
  _xlpm.v, IFERROR(INDEX('3. Enter Indicator Scores'!$D$10:$CZ$161,_xlpm.r,_xlpm.c),""),
  IF(OR(_xlpm.w="",_xlpm.v=""),"",_xlpm.v*_xlpm.w)
)</f>
        <v/>
      </c>
      <c r="BA65" s="93" t="str" cm="1">
        <f t="array" ref="BA65">_xlfn.LET(
  _xlpm.w, BA$11,
  _xlpm.r, MATCH(1,('3. Enter Indicator Scores'!$B$10:$B$161=$B65)*('3. Enter Indicator Scores'!$C$10:$C$161=$C65),0),
  _xlpm.c, MATCH(BA$8,'3. Enter Indicator Scores'!$D$8:$CZ$8,0),
  _xlpm.v, IFERROR(INDEX('3. Enter Indicator Scores'!$D$10:$CZ$161,_xlpm.r,_xlpm.c),""),
  IF(OR(_xlpm.w="",_xlpm.v=""),"",_xlpm.v*_xlpm.w)
)</f>
        <v/>
      </c>
      <c r="BB65" s="93" t="str" cm="1">
        <f t="array" ref="BB65">_xlfn.LET(
  _xlpm.w, BB$11,
  _xlpm.r, MATCH(1,('3. Enter Indicator Scores'!$B$10:$B$161=$B65)*('3. Enter Indicator Scores'!$C$10:$C$161=$C65),0),
  _xlpm.c, MATCH(BB$8,'3. Enter Indicator Scores'!$D$8:$CZ$8,0),
  _xlpm.v, IFERROR(INDEX('3. Enter Indicator Scores'!$D$10:$CZ$161,_xlpm.r,_xlpm.c),""),
  IF(OR(_xlpm.w="",_xlpm.v=""),"",_xlpm.v*_xlpm.w)
)</f>
        <v/>
      </c>
      <c r="BC65" s="93" t="str" cm="1">
        <f t="array" ref="BC65">_xlfn.LET(
  _xlpm.w, BC$11,
  _xlpm.r, MATCH(1,('3. Enter Indicator Scores'!$B$10:$B$161=$B65)*('3. Enter Indicator Scores'!$C$10:$C$161=$C65),0),
  _xlpm.c, MATCH(BC$8,'3. Enter Indicator Scores'!$D$8:$CZ$8,0),
  _xlpm.v, IFERROR(INDEX('3. Enter Indicator Scores'!$D$10:$CZ$161,_xlpm.r,_xlpm.c),""),
  IF(OR(_xlpm.w="",_xlpm.v=""),"",_xlpm.v*_xlpm.w)
)</f>
        <v/>
      </c>
      <c r="BD65" s="93" t="str" cm="1">
        <f t="array" ref="BD65">_xlfn.LET(
  _xlpm.w, BD$11,
  _xlpm.r, MATCH(1,('3. Enter Indicator Scores'!$B$10:$B$161=$B65)*('3. Enter Indicator Scores'!$C$10:$C$161=$C65),0),
  _xlpm.c, MATCH(BD$8,'3. Enter Indicator Scores'!$D$8:$CZ$8,0),
  _xlpm.v, IFERROR(INDEX('3. Enter Indicator Scores'!$D$10:$CZ$161,_xlpm.r,_xlpm.c),""),
  IF(OR(_xlpm.w="",_xlpm.v=""),"",_xlpm.v*_xlpm.w)
)</f>
        <v/>
      </c>
      <c r="BE65" s="93" t="str" cm="1">
        <f t="array" ref="BE65">_xlfn.LET(
  _xlpm.w, BE$11,
  _xlpm.r, MATCH(1,('3. Enter Indicator Scores'!$B$10:$B$161=$B65)*('3. Enter Indicator Scores'!$C$10:$C$161=$C65),0),
  _xlpm.c, MATCH(BE$8,'3. Enter Indicator Scores'!$D$8:$CZ$8,0),
  _xlpm.v, IFERROR(INDEX('3. Enter Indicator Scores'!$D$10:$CZ$161,_xlpm.r,_xlpm.c),""),
  IF(OR(_xlpm.w="",_xlpm.v=""),"",_xlpm.v*_xlpm.w)
)</f>
        <v/>
      </c>
      <c r="BF65" s="93" t="str" cm="1">
        <f t="array" ref="BF65">_xlfn.LET(
  _xlpm.w, BF$11,
  _xlpm.r, MATCH(1,('3. Enter Indicator Scores'!$B$10:$B$161=$B65)*('3. Enter Indicator Scores'!$C$10:$C$161=$C65),0),
  _xlpm.c, MATCH(BF$8,'3. Enter Indicator Scores'!$D$8:$CZ$8,0),
  _xlpm.v, IFERROR(INDEX('3. Enter Indicator Scores'!$D$10:$CZ$161,_xlpm.r,_xlpm.c),""),
  IF(OR(_xlpm.w="",_xlpm.v=""),"",_xlpm.v*_xlpm.w)
)</f>
        <v/>
      </c>
      <c r="BG65" s="93" t="str" cm="1">
        <f t="array" ref="BG65">_xlfn.LET(
  _xlpm.w, BG$11,
  _xlpm.r, MATCH(1,('3. Enter Indicator Scores'!$B$10:$B$161=$B65)*('3. Enter Indicator Scores'!$C$10:$C$161=$C65),0),
  _xlpm.c, MATCH(BG$8,'3. Enter Indicator Scores'!$D$8:$CZ$8,0),
  _xlpm.v, IFERROR(INDEX('3. Enter Indicator Scores'!$D$10:$CZ$161,_xlpm.r,_xlpm.c),""),
  IF(OR(_xlpm.w="",_xlpm.v=""),"",_xlpm.v*_xlpm.w)
)</f>
        <v/>
      </c>
      <c r="BH65" s="93" t="str" cm="1">
        <f t="array" ref="BH65">_xlfn.LET(
  _xlpm.w, BH$11,
  _xlpm.r, MATCH(1,('3. Enter Indicator Scores'!$B$10:$B$161=$B65)*('3. Enter Indicator Scores'!$C$10:$C$161=$C65),0),
  _xlpm.c, MATCH(BH$8,'3. Enter Indicator Scores'!$D$8:$CZ$8,0),
  _xlpm.v, IFERROR(INDEX('3. Enter Indicator Scores'!$D$10:$CZ$161,_xlpm.r,_xlpm.c),""),
  IF(OR(_xlpm.w="",_xlpm.v=""),"",_xlpm.v*_xlpm.w)
)</f>
        <v/>
      </c>
      <c r="BI65" s="93" t="str" cm="1">
        <f t="array" ref="BI65">_xlfn.LET(
  _xlpm.w, BI$11,
  _xlpm.r, MATCH(1,('3. Enter Indicator Scores'!$B$10:$B$161=$B65)*('3. Enter Indicator Scores'!$C$10:$C$161=$C65),0),
  _xlpm.c, MATCH(BI$8,'3. Enter Indicator Scores'!$D$8:$CZ$8,0),
  _xlpm.v, IFERROR(INDEX('3. Enter Indicator Scores'!$D$10:$CZ$161,_xlpm.r,_xlpm.c),""),
  IF(OR(_xlpm.w="",_xlpm.v=""),"",_xlpm.v*_xlpm.w)
)</f>
        <v/>
      </c>
      <c r="BJ65" s="93" t="str" cm="1">
        <f t="array" ref="BJ65">_xlfn.LET(
  _xlpm.w, BJ$11,
  _xlpm.r, MATCH(1,('3. Enter Indicator Scores'!$B$10:$B$161=$B65)*('3. Enter Indicator Scores'!$C$10:$C$161=$C65),0),
  _xlpm.c, MATCH(BJ$8,'3. Enter Indicator Scores'!$D$8:$CZ$8,0),
  _xlpm.v, IFERROR(INDEX('3. Enter Indicator Scores'!$D$10:$CZ$161,_xlpm.r,_xlpm.c),""),
  IF(OR(_xlpm.w="",_xlpm.v=""),"",_xlpm.v*_xlpm.w)
)</f>
        <v/>
      </c>
      <c r="BK65" s="93" t="str" cm="1">
        <f t="array" ref="BK65">_xlfn.LET(
  _xlpm.w, BK$11,
  _xlpm.r, MATCH(1,('3. Enter Indicator Scores'!$B$10:$B$161=$B65)*('3. Enter Indicator Scores'!$C$10:$C$161=$C65),0),
  _xlpm.c, MATCH(BK$8,'3. Enter Indicator Scores'!$D$8:$CZ$8,0),
  _xlpm.v, IFERROR(INDEX('3. Enter Indicator Scores'!$D$10:$CZ$161,_xlpm.r,_xlpm.c),""),
  IF(OR(_xlpm.w="",_xlpm.v=""),"",_xlpm.v*_xlpm.w)
)</f>
        <v/>
      </c>
      <c r="BL65" s="93" t="str" cm="1">
        <f t="array" ref="BL65">_xlfn.LET(
  _xlpm.w, BL$11,
  _xlpm.r, MATCH(1,('3. Enter Indicator Scores'!$B$10:$B$161=$B65)*('3. Enter Indicator Scores'!$C$10:$C$161=$C65),0),
  _xlpm.c, MATCH(BL$8,'3. Enter Indicator Scores'!$D$8:$CZ$8,0),
  _xlpm.v, IFERROR(INDEX('3. Enter Indicator Scores'!$D$10:$CZ$161,_xlpm.r,_xlpm.c),""),
  IF(OR(_xlpm.w="",_xlpm.v=""),"",_xlpm.v*_xlpm.w)
)</f>
        <v/>
      </c>
      <c r="BM65" s="93" t="str" cm="1">
        <f t="array" ref="BM65">_xlfn.LET(
  _xlpm.w, BM$11,
  _xlpm.r, MATCH(1,('3. Enter Indicator Scores'!$B$10:$B$161=$B65)*('3. Enter Indicator Scores'!$C$10:$C$161=$C65),0),
  _xlpm.c, MATCH(BM$8,'3. Enter Indicator Scores'!$D$8:$CZ$8,0),
  _xlpm.v, IFERROR(INDEX('3. Enter Indicator Scores'!$D$10:$CZ$161,_xlpm.r,_xlpm.c),""),
  IF(OR(_xlpm.w="",_xlpm.v=""),"",_xlpm.v*_xlpm.w)
)</f>
        <v/>
      </c>
      <c r="BN65" s="93" t="str" cm="1">
        <f t="array" ref="BN65">_xlfn.LET(
  _xlpm.w, BN$11,
  _xlpm.r, MATCH(1,('3. Enter Indicator Scores'!$B$10:$B$161=$B65)*('3. Enter Indicator Scores'!$C$10:$C$161=$C65),0),
  _xlpm.c, MATCH(BN$8,'3. Enter Indicator Scores'!$D$8:$CZ$8,0),
  _xlpm.v, IFERROR(INDEX('3. Enter Indicator Scores'!$D$10:$CZ$161,_xlpm.r,_xlpm.c),""),
  IF(OR(_xlpm.w="",_xlpm.v=""),"",_xlpm.v*_xlpm.w)
)</f>
        <v/>
      </c>
      <c r="BO65" s="93" t="str" cm="1">
        <f t="array" ref="BO65">_xlfn.LET(
  _xlpm.w, BO$11,
  _xlpm.r, MATCH(1,('3. Enter Indicator Scores'!$B$10:$B$161=$B65)*('3. Enter Indicator Scores'!$C$10:$C$161=$C65),0),
  _xlpm.c, MATCH(BO$8,'3. Enter Indicator Scores'!$D$8:$CZ$8,0),
  _xlpm.v, IFERROR(INDEX('3. Enter Indicator Scores'!$D$10:$CZ$161,_xlpm.r,_xlpm.c),""),
  IF(OR(_xlpm.w="",_xlpm.v=""),"",_xlpm.v*_xlpm.w)
)</f>
        <v/>
      </c>
      <c r="BP65" s="93" t="str" cm="1">
        <f t="array" ref="BP65">_xlfn.LET(
  _xlpm.w, BP$11,
  _xlpm.r, MATCH(1,('3. Enter Indicator Scores'!$B$10:$B$161=$B65)*('3. Enter Indicator Scores'!$C$10:$C$161=$C65),0),
  _xlpm.c, MATCH(BP$8,'3. Enter Indicator Scores'!$D$8:$CZ$8,0),
  _xlpm.v, IFERROR(INDEX('3. Enter Indicator Scores'!$D$10:$CZ$161,_xlpm.r,_xlpm.c),""),
  IF(OR(_xlpm.w="",_xlpm.v=""),"",_xlpm.v*_xlpm.w)
)</f>
        <v/>
      </c>
      <c r="BQ65" s="93" t="str" cm="1">
        <f t="array" ref="BQ65">_xlfn.LET(
  _xlpm.w, BQ$11,
  _xlpm.r, MATCH(1,('3. Enter Indicator Scores'!$B$10:$B$161=$B65)*('3. Enter Indicator Scores'!$C$10:$C$161=$C65),0),
  _xlpm.c, MATCH(BQ$8,'3. Enter Indicator Scores'!$D$8:$CZ$8,0),
  _xlpm.v, IFERROR(INDEX('3. Enter Indicator Scores'!$D$10:$CZ$161,_xlpm.r,_xlpm.c),""),
  IF(OR(_xlpm.w="",_xlpm.v=""),"",_xlpm.v*_xlpm.w)
)</f>
        <v/>
      </c>
      <c r="BR65" s="93" t="str" cm="1">
        <f t="array" ref="BR65">_xlfn.LET(
  _xlpm.w, BR$11,
  _xlpm.r, MATCH(1,('3. Enter Indicator Scores'!$B$10:$B$161=$B65)*('3. Enter Indicator Scores'!$C$10:$C$161=$C65),0),
  _xlpm.c, MATCH(BR$8,'3. Enter Indicator Scores'!$D$8:$CZ$8,0),
  _xlpm.v, IFERROR(INDEX('3. Enter Indicator Scores'!$D$10:$CZ$161,_xlpm.r,_xlpm.c),""),
  IF(OR(_xlpm.w="",_xlpm.v=""),"",_xlpm.v*_xlpm.w)
)</f>
        <v/>
      </c>
      <c r="BS65" s="93" t="str" cm="1">
        <f t="array" ref="BS65">_xlfn.LET(
  _xlpm.w, BS$11,
  _xlpm.r, MATCH(1,('3. Enter Indicator Scores'!$B$10:$B$161=$B65)*('3. Enter Indicator Scores'!$C$10:$C$161=$C65),0),
  _xlpm.c, MATCH(BS$8,'3. Enter Indicator Scores'!$D$8:$CZ$8,0),
  _xlpm.v, IFERROR(INDEX('3. Enter Indicator Scores'!$D$10:$CZ$161,_xlpm.r,_xlpm.c),""),
  IF(OR(_xlpm.w="",_xlpm.v=""),"",_xlpm.v*_xlpm.w)
)</f>
        <v/>
      </c>
      <c r="BT65" s="93" t="str" cm="1">
        <f t="array" ref="BT65">_xlfn.LET(
  _xlpm.w, BT$11,
  _xlpm.r, MATCH(1,('3. Enter Indicator Scores'!$B$10:$B$161=$B65)*('3. Enter Indicator Scores'!$C$10:$C$161=$C65),0),
  _xlpm.c, MATCH(BT$8,'3. Enter Indicator Scores'!$D$8:$CZ$8,0),
  _xlpm.v, IFERROR(INDEX('3. Enter Indicator Scores'!$D$10:$CZ$161,_xlpm.r,_xlpm.c),""),
  IF(OR(_xlpm.w="",_xlpm.v=""),"",_xlpm.v*_xlpm.w)
)</f>
        <v/>
      </c>
      <c r="BU65" s="93" t="str" cm="1">
        <f t="array" ref="BU65">_xlfn.LET(
  _xlpm.w, BU$11,
  _xlpm.r, MATCH(1,('3. Enter Indicator Scores'!$B$10:$B$161=$B65)*('3. Enter Indicator Scores'!$C$10:$C$161=$C65),0),
  _xlpm.c, MATCH(BU$8,'3. Enter Indicator Scores'!$D$8:$CZ$8,0),
  _xlpm.v, IFERROR(INDEX('3. Enter Indicator Scores'!$D$10:$CZ$161,_xlpm.r,_xlpm.c),""),
  IF(OR(_xlpm.w="",_xlpm.v=""),"",_xlpm.v*_xlpm.w)
)</f>
        <v/>
      </c>
      <c r="BV65" s="93" t="str" cm="1">
        <f t="array" ref="BV65">_xlfn.LET(
  _xlpm.w, BV$11,
  _xlpm.r, MATCH(1,('3. Enter Indicator Scores'!$B$10:$B$161=$B65)*('3. Enter Indicator Scores'!$C$10:$C$161=$C65),0),
  _xlpm.c, MATCH(BV$8,'3. Enter Indicator Scores'!$D$8:$CZ$8,0),
  _xlpm.v, IFERROR(INDEX('3. Enter Indicator Scores'!$D$10:$CZ$161,_xlpm.r,_xlpm.c),""),
  IF(OR(_xlpm.w="",_xlpm.v=""),"",_xlpm.v*_xlpm.w)
)</f>
        <v/>
      </c>
      <c r="BW65" s="93" t="str" cm="1">
        <f t="array" ref="BW65">_xlfn.LET(
  _xlpm.w, BW$11,
  _xlpm.r, MATCH(1,('3. Enter Indicator Scores'!$B$10:$B$161=$B65)*('3. Enter Indicator Scores'!$C$10:$C$161=$C65),0),
  _xlpm.c, MATCH(BW$8,'3. Enter Indicator Scores'!$D$8:$CZ$8,0),
  _xlpm.v, IFERROR(INDEX('3. Enter Indicator Scores'!$D$10:$CZ$161,_xlpm.r,_xlpm.c),""),
  IF(OR(_xlpm.w="",_xlpm.v=""),"",_xlpm.v*_xlpm.w)
)</f>
        <v/>
      </c>
      <c r="BX65" s="93" t="str" cm="1">
        <f t="array" ref="BX65">_xlfn.LET(
  _xlpm.w, BX$11,
  _xlpm.r, MATCH(1,('3. Enter Indicator Scores'!$B$10:$B$161=$B65)*('3. Enter Indicator Scores'!$C$10:$C$161=$C65),0),
  _xlpm.c, MATCH(BX$8,'3. Enter Indicator Scores'!$D$8:$CZ$8,0),
  _xlpm.v, IFERROR(INDEX('3. Enter Indicator Scores'!$D$10:$CZ$161,_xlpm.r,_xlpm.c),""),
  IF(OR(_xlpm.w="",_xlpm.v=""),"",_xlpm.v*_xlpm.w)
)</f>
        <v/>
      </c>
      <c r="BY65" s="93" t="str" cm="1">
        <f t="array" ref="BY65">_xlfn.LET(
  _xlpm.w, BY$11,
  _xlpm.r, MATCH(1,('3. Enter Indicator Scores'!$B$10:$B$161=$B65)*('3. Enter Indicator Scores'!$C$10:$C$161=$C65),0),
  _xlpm.c, MATCH(BY$8,'3. Enter Indicator Scores'!$D$8:$CZ$8,0),
  _xlpm.v, IFERROR(INDEX('3. Enter Indicator Scores'!$D$10:$CZ$161,_xlpm.r,_xlpm.c),""),
  IF(OR(_xlpm.w="",_xlpm.v=""),"",_xlpm.v*_xlpm.w)
)</f>
        <v/>
      </c>
      <c r="BZ65" s="93" t="str" cm="1">
        <f t="array" ref="BZ65">_xlfn.LET(
  _xlpm.w, BZ$11,
  _xlpm.r, MATCH(1,('3. Enter Indicator Scores'!$B$10:$B$161=$B65)*('3. Enter Indicator Scores'!$C$10:$C$161=$C65),0),
  _xlpm.c, MATCH(BZ$8,'3. Enter Indicator Scores'!$D$8:$CZ$8,0),
  _xlpm.v, IFERROR(INDEX('3. Enter Indicator Scores'!$D$10:$CZ$161,_xlpm.r,_xlpm.c),""),
  IF(OR(_xlpm.w="",_xlpm.v=""),"",_xlpm.v*_xlpm.w)
)</f>
        <v/>
      </c>
      <c r="CA65" s="93" t="str" cm="1">
        <f t="array" ref="CA65">_xlfn.LET(
  _xlpm.w, CA$11,
  _xlpm.r, MATCH(1,('3. Enter Indicator Scores'!$B$10:$B$161=$B65)*('3. Enter Indicator Scores'!$C$10:$C$161=$C65),0),
  _xlpm.c, MATCH(CA$8,'3. Enter Indicator Scores'!$D$8:$CZ$8,0),
  _xlpm.v, IFERROR(INDEX('3. Enter Indicator Scores'!$D$10:$CZ$161,_xlpm.r,_xlpm.c),""),
  IF(OR(_xlpm.w="",_xlpm.v=""),"",_xlpm.v*_xlpm.w)
)</f>
        <v/>
      </c>
      <c r="CB65" s="93" t="str" cm="1">
        <f t="array" ref="CB65">_xlfn.LET(
  _xlpm.w, CB$11,
  _xlpm.r, MATCH(1,('3. Enter Indicator Scores'!$B$10:$B$161=$B65)*('3. Enter Indicator Scores'!$C$10:$C$161=$C65),0),
  _xlpm.c, MATCH(CB$8,'3. Enter Indicator Scores'!$D$8:$CZ$8,0),
  _xlpm.v, IFERROR(INDEX('3. Enter Indicator Scores'!$D$10:$CZ$161,_xlpm.r,_xlpm.c),""),
  IF(OR(_xlpm.w="",_xlpm.v=""),"",_xlpm.v*_xlpm.w)
)</f>
        <v/>
      </c>
      <c r="CC65" s="93" t="str" cm="1">
        <f t="array" ref="CC65">_xlfn.LET(
  _xlpm.w, CC$11,
  _xlpm.r, MATCH(1,('3. Enter Indicator Scores'!$B$10:$B$161=$B65)*('3. Enter Indicator Scores'!$C$10:$C$161=$C65),0),
  _xlpm.c, MATCH(CC$8,'3. Enter Indicator Scores'!$D$8:$CZ$8,0),
  _xlpm.v, IFERROR(INDEX('3. Enter Indicator Scores'!$D$10:$CZ$161,_xlpm.r,_xlpm.c),""),
  IF(OR(_xlpm.w="",_xlpm.v=""),"",_xlpm.v*_xlpm.w)
)</f>
        <v/>
      </c>
      <c r="CD65" s="93" t="str" cm="1">
        <f t="array" ref="CD65">_xlfn.LET(
  _xlpm.w, CD$11,
  _xlpm.r, MATCH(1,('3. Enter Indicator Scores'!$B$10:$B$161=$B65)*('3. Enter Indicator Scores'!$C$10:$C$161=$C65),0),
  _xlpm.c, MATCH(CD$8,'3. Enter Indicator Scores'!$D$8:$CZ$8,0),
  _xlpm.v, IFERROR(INDEX('3. Enter Indicator Scores'!$D$10:$CZ$161,_xlpm.r,_xlpm.c),""),
  IF(OR(_xlpm.w="",_xlpm.v=""),"",_xlpm.v*_xlpm.w)
)</f>
        <v/>
      </c>
      <c r="CE65" s="93" t="str" cm="1">
        <f t="array" ref="CE65">_xlfn.LET(
  _xlpm.w, CE$11,
  _xlpm.r, MATCH(1,('3. Enter Indicator Scores'!$B$10:$B$161=$B65)*('3. Enter Indicator Scores'!$C$10:$C$161=$C65),0),
  _xlpm.c, MATCH(CE$8,'3. Enter Indicator Scores'!$D$8:$CZ$8,0),
  _xlpm.v, IFERROR(INDEX('3. Enter Indicator Scores'!$D$10:$CZ$161,_xlpm.r,_xlpm.c),""),
  IF(OR(_xlpm.w="",_xlpm.v=""),"",_xlpm.v*_xlpm.w)
)</f>
        <v/>
      </c>
      <c r="CF65" s="93" t="str" cm="1">
        <f t="array" ref="CF65">_xlfn.LET(
  _xlpm.w, CF$11,
  _xlpm.r, MATCH(1,('3. Enter Indicator Scores'!$B$10:$B$161=$B65)*('3. Enter Indicator Scores'!$C$10:$C$161=$C65),0),
  _xlpm.c, MATCH(CF$8,'3. Enter Indicator Scores'!$D$8:$CZ$8,0),
  _xlpm.v, IFERROR(INDEX('3. Enter Indicator Scores'!$D$10:$CZ$161,_xlpm.r,_xlpm.c),""),
  IF(OR(_xlpm.w="",_xlpm.v=""),"",_xlpm.v*_xlpm.w)
)</f>
        <v/>
      </c>
      <c r="CG65" s="93" t="str" cm="1">
        <f t="array" ref="CG65">_xlfn.LET(
  _xlpm.w, CG$11,
  _xlpm.r, MATCH(1,('3. Enter Indicator Scores'!$B$10:$B$161=$B65)*('3. Enter Indicator Scores'!$C$10:$C$161=$C65),0),
  _xlpm.c, MATCH(CG$8,'3. Enter Indicator Scores'!$D$8:$CZ$8,0),
  _xlpm.v, IFERROR(INDEX('3. Enter Indicator Scores'!$D$10:$CZ$161,_xlpm.r,_xlpm.c),""),
  IF(OR(_xlpm.w="",_xlpm.v=""),"",_xlpm.v*_xlpm.w)
)</f>
        <v/>
      </c>
      <c r="CH65" s="93" t="str" cm="1">
        <f t="array" ref="CH65">_xlfn.LET(
  _xlpm.w, CH$11,
  _xlpm.r, MATCH(1,('3. Enter Indicator Scores'!$B$10:$B$161=$B65)*('3. Enter Indicator Scores'!$C$10:$C$161=$C65),0),
  _xlpm.c, MATCH(CH$8,'3. Enter Indicator Scores'!$D$8:$CZ$8,0),
  _xlpm.v, IFERROR(INDEX('3. Enter Indicator Scores'!$D$10:$CZ$161,_xlpm.r,_xlpm.c),""),
  IF(OR(_xlpm.w="",_xlpm.v=""),"",_xlpm.v*_xlpm.w)
)</f>
        <v/>
      </c>
      <c r="CI65" s="93" t="str" cm="1">
        <f t="array" ref="CI65">_xlfn.LET(
  _xlpm.w, CI$11,
  _xlpm.r, MATCH(1,('3. Enter Indicator Scores'!$B$10:$B$161=$B65)*('3. Enter Indicator Scores'!$C$10:$C$161=$C65),0),
  _xlpm.c, MATCH(CI$8,'3. Enter Indicator Scores'!$D$8:$CZ$8,0),
  _xlpm.v, IFERROR(INDEX('3. Enter Indicator Scores'!$D$10:$CZ$161,_xlpm.r,_xlpm.c),""),
  IF(OR(_xlpm.w="",_xlpm.v=""),"",_xlpm.v*_xlpm.w)
)</f>
        <v/>
      </c>
      <c r="CJ65" s="93" t="str" cm="1">
        <f t="array" ref="CJ65">_xlfn.LET(
  _xlpm.w, CJ$11,
  _xlpm.r, MATCH(1,('3. Enter Indicator Scores'!$B$10:$B$161=$B65)*('3. Enter Indicator Scores'!$C$10:$C$161=$C65),0),
  _xlpm.c, MATCH(CJ$8,'3. Enter Indicator Scores'!$D$8:$CZ$8,0),
  _xlpm.v, IFERROR(INDEX('3. Enter Indicator Scores'!$D$10:$CZ$161,_xlpm.r,_xlpm.c),""),
  IF(OR(_xlpm.w="",_xlpm.v=""),"",_xlpm.v*_xlpm.w)
)</f>
        <v/>
      </c>
      <c r="CK65" s="93" t="str" cm="1">
        <f t="array" ref="CK65">_xlfn.LET(
  _xlpm.w, CK$11,
  _xlpm.r, MATCH(1,('3. Enter Indicator Scores'!$B$10:$B$161=$B65)*('3. Enter Indicator Scores'!$C$10:$C$161=$C65),0),
  _xlpm.c, MATCH(CK$8,'3. Enter Indicator Scores'!$D$8:$CZ$8,0),
  _xlpm.v, IFERROR(INDEX('3. Enter Indicator Scores'!$D$10:$CZ$161,_xlpm.r,_xlpm.c),""),
  IF(OR(_xlpm.w="",_xlpm.v=""),"",_xlpm.v*_xlpm.w)
)</f>
        <v/>
      </c>
      <c r="CL65" s="93" t="str" cm="1">
        <f t="array" ref="CL65">_xlfn.LET(
  _xlpm.w, CL$11,
  _xlpm.r, MATCH(1,('3. Enter Indicator Scores'!$B$10:$B$161=$B65)*('3. Enter Indicator Scores'!$C$10:$C$161=$C65),0),
  _xlpm.c, MATCH(CL$8,'3. Enter Indicator Scores'!$D$8:$CZ$8,0),
  _xlpm.v, IFERROR(INDEX('3. Enter Indicator Scores'!$D$10:$CZ$161,_xlpm.r,_xlpm.c),""),
  IF(OR(_xlpm.w="",_xlpm.v=""),"",_xlpm.v*_xlpm.w)
)</f>
        <v/>
      </c>
      <c r="CM65" s="93" t="str" cm="1">
        <f t="array" ref="CM65">_xlfn.LET(
  _xlpm.w, CM$11,
  _xlpm.r, MATCH(1,('3. Enter Indicator Scores'!$B$10:$B$161=$B65)*('3. Enter Indicator Scores'!$C$10:$C$161=$C65),0),
  _xlpm.c, MATCH(CM$8,'3. Enter Indicator Scores'!$D$8:$CZ$8,0),
  _xlpm.v, IFERROR(INDEX('3. Enter Indicator Scores'!$D$10:$CZ$161,_xlpm.r,_xlpm.c),""),
  IF(OR(_xlpm.w="",_xlpm.v=""),"",_xlpm.v*_xlpm.w)
)</f>
        <v/>
      </c>
      <c r="CN65" s="93" t="str" cm="1">
        <f t="array" ref="CN65">_xlfn.LET(
  _xlpm.w, CN$11,
  _xlpm.r, MATCH(1,('3. Enter Indicator Scores'!$B$10:$B$161=$B65)*('3. Enter Indicator Scores'!$C$10:$C$161=$C65),0),
  _xlpm.c, MATCH(CN$8,'3. Enter Indicator Scores'!$D$8:$CZ$8,0),
  _xlpm.v, IFERROR(INDEX('3. Enter Indicator Scores'!$D$10:$CZ$161,_xlpm.r,_xlpm.c),""),
  IF(OR(_xlpm.w="",_xlpm.v=""),"",_xlpm.v*_xlpm.w)
)</f>
        <v/>
      </c>
      <c r="CO65" s="93" t="str" cm="1">
        <f t="array" ref="CO65">_xlfn.LET(
  _xlpm.w, CO$11,
  _xlpm.r, MATCH(1,('3. Enter Indicator Scores'!$B$10:$B$161=$B65)*('3. Enter Indicator Scores'!$C$10:$C$161=$C65),0),
  _xlpm.c, MATCH(CO$8,'3. Enter Indicator Scores'!$D$8:$CZ$8,0),
  _xlpm.v, IFERROR(INDEX('3. Enter Indicator Scores'!$D$10:$CZ$161,_xlpm.r,_xlpm.c),""),
  IF(OR(_xlpm.w="",_xlpm.v=""),"",_xlpm.v*_xlpm.w)
)</f>
        <v/>
      </c>
      <c r="CP65" s="93" t="str" cm="1">
        <f t="array" ref="CP65">_xlfn.LET(
  _xlpm.w, CP$11,
  _xlpm.r, MATCH(1,('3. Enter Indicator Scores'!$B$10:$B$161=$B65)*('3. Enter Indicator Scores'!$C$10:$C$161=$C65),0),
  _xlpm.c, MATCH(CP$8,'3. Enter Indicator Scores'!$D$8:$CZ$8,0),
  _xlpm.v, IFERROR(INDEX('3. Enter Indicator Scores'!$D$10:$CZ$161,_xlpm.r,_xlpm.c),""),
  IF(OR(_xlpm.w="",_xlpm.v=""),"",_xlpm.v*_xlpm.w)
)</f>
        <v/>
      </c>
      <c r="CQ65" s="93" t="str" cm="1">
        <f t="array" ref="CQ65">_xlfn.LET(
  _xlpm.w, CQ$11,
  _xlpm.r, MATCH(1,('3. Enter Indicator Scores'!$B$10:$B$161=$B65)*('3. Enter Indicator Scores'!$C$10:$C$161=$C65),0),
  _xlpm.c, MATCH(CQ$8,'3. Enter Indicator Scores'!$D$8:$CZ$8,0),
  _xlpm.v, IFERROR(INDEX('3. Enter Indicator Scores'!$D$10:$CZ$161,_xlpm.r,_xlpm.c),""),
  IF(OR(_xlpm.w="",_xlpm.v=""),"",_xlpm.v*_xlpm.w)
)</f>
        <v/>
      </c>
      <c r="CR65" s="93" t="str" cm="1">
        <f t="array" ref="CR65">_xlfn.LET(
  _xlpm.w, CR$11,
  _xlpm.r, MATCH(1,('3. Enter Indicator Scores'!$B$10:$B$161=$B65)*('3. Enter Indicator Scores'!$C$10:$C$161=$C65),0),
  _xlpm.c, MATCH(CR$8,'3. Enter Indicator Scores'!$D$8:$CZ$8,0),
  _xlpm.v, IFERROR(INDEX('3. Enter Indicator Scores'!$D$10:$CZ$161,_xlpm.r,_xlpm.c),""),
  IF(OR(_xlpm.w="",_xlpm.v=""),"",_xlpm.v*_xlpm.w)
)</f>
        <v/>
      </c>
      <c r="CS65" s="93" t="str" cm="1">
        <f t="array" ref="CS65">_xlfn.LET(
  _xlpm.w, CS$11,
  _xlpm.r, MATCH(1,('3. Enter Indicator Scores'!$B$10:$B$161=$B65)*('3. Enter Indicator Scores'!$C$10:$C$161=$C65),0),
  _xlpm.c, MATCH(CS$8,'3. Enter Indicator Scores'!$D$8:$CZ$8,0),
  _xlpm.v, IFERROR(INDEX('3. Enter Indicator Scores'!$D$10:$CZ$161,_xlpm.r,_xlpm.c),""),
  IF(OR(_xlpm.w="",_xlpm.v=""),"",_xlpm.v*_xlpm.w)
)</f>
        <v/>
      </c>
      <c r="CT65" s="93" t="str" cm="1">
        <f t="array" ref="CT65">_xlfn.LET(
  _xlpm.w, CT$11,
  _xlpm.r, MATCH(1,('3. Enter Indicator Scores'!$B$10:$B$161=$B65)*('3. Enter Indicator Scores'!$C$10:$C$161=$C65),0),
  _xlpm.c, MATCH(CT$8,'3. Enter Indicator Scores'!$D$8:$CZ$8,0),
  _xlpm.v, IFERROR(INDEX('3. Enter Indicator Scores'!$D$10:$CZ$161,_xlpm.r,_xlpm.c),""),
  IF(OR(_xlpm.w="",_xlpm.v=""),"",_xlpm.v*_xlpm.w)
)</f>
        <v/>
      </c>
      <c r="CU65" s="93" t="str" cm="1">
        <f t="array" ref="CU65">_xlfn.LET(
  _xlpm.w, CU$11,
  _xlpm.r, MATCH(1,('3. Enter Indicator Scores'!$B$10:$B$161=$B65)*('3. Enter Indicator Scores'!$C$10:$C$161=$C65),0),
  _xlpm.c, MATCH(CU$8,'3. Enter Indicator Scores'!$D$8:$CZ$8,0),
  _xlpm.v, IFERROR(INDEX('3. Enter Indicator Scores'!$D$10:$CZ$161,_xlpm.r,_xlpm.c),""),
  IF(OR(_xlpm.w="",_xlpm.v=""),"",_xlpm.v*_xlpm.w)
)</f>
        <v/>
      </c>
      <c r="CV65" s="93" t="str" cm="1">
        <f t="array" ref="CV65">_xlfn.LET(
  _xlpm.w, CV$11,
  _xlpm.r, MATCH(1,('3. Enter Indicator Scores'!$B$10:$B$161=$B65)*('3. Enter Indicator Scores'!$C$10:$C$161=$C65),0),
  _xlpm.c, MATCH(CV$8,'3. Enter Indicator Scores'!$D$8:$CZ$8,0),
  _xlpm.v, IFERROR(INDEX('3. Enter Indicator Scores'!$D$10:$CZ$161,_xlpm.r,_xlpm.c),""),
  IF(OR(_xlpm.w="",_xlpm.v=""),"",_xlpm.v*_xlpm.w)
)</f>
        <v/>
      </c>
      <c r="CW65" s="93" t="str" cm="1">
        <f t="array" ref="CW65">_xlfn.LET(
  _xlpm.w, CW$11,
  _xlpm.r, MATCH(1,('3. Enter Indicator Scores'!$B$10:$B$161=$B65)*('3. Enter Indicator Scores'!$C$10:$C$161=$C65),0),
  _xlpm.c, MATCH(CW$8,'3. Enter Indicator Scores'!$D$8:$CZ$8,0),
  _xlpm.v, IFERROR(INDEX('3. Enter Indicator Scores'!$D$10:$CZ$161,_xlpm.r,_xlpm.c),""),
  IF(OR(_xlpm.w="",_xlpm.v=""),"",_xlpm.v*_xlpm.w)
)</f>
        <v/>
      </c>
      <c r="CX65" s="93" t="str" cm="1">
        <f t="array" ref="CX65">_xlfn.LET(
  _xlpm.w, CX$11,
  _xlpm.r, MATCH(1,('3. Enter Indicator Scores'!$B$10:$B$161=$B65)*('3. Enter Indicator Scores'!$C$10:$C$161=$C65),0),
  _xlpm.c, MATCH(CX$8,'3. Enter Indicator Scores'!$D$8:$CZ$8,0),
  _xlpm.v, IFERROR(INDEX('3. Enter Indicator Scores'!$D$10:$CZ$161,_xlpm.r,_xlpm.c),""),
  IF(OR(_xlpm.w="",_xlpm.v=""),"",_xlpm.v*_xlpm.w)
)</f>
        <v/>
      </c>
      <c r="CY65" s="93" t="str" cm="1">
        <f t="array" ref="CY65">_xlfn.LET(
  _xlpm.w, CY$11,
  _xlpm.r, MATCH(1,('3. Enter Indicator Scores'!$B$10:$B$161=$B65)*('3. Enter Indicator Scores'!$C$10:$C$161=$C65),0),
  _xlpm.c, MATCH(CY$8,'3. Enter Indicator Scores'!$D$8:$CZ$8,0),
  _xlpm.v, IFERROR(INDEX('3. Enter Indicator Scores'!$D$10:$CZ$161,_xlpm.r,_xlpm.c),""),
  IF(OR(_xlpm.w="",_xlpm.v=""),"",_xlpm.v*_xlpm.w)
)</f>
        <v/>
      </c>
      <c r="CZ65" s="93" t="str" cm="1">
        <f t="array" ref="CZ65">_xlfn.LET(
  _xlpm.w, CZ$11,
  _xlpm.r, MATCH(1,('3. Enter Indicator Scores'!$B$10:$B$161=$B65)*('3. Enter Indicator Scores'!$C$10:$C$161=$C65),0),
  _xlpm.c, MATCH(CZ$8,'3. Enter Indicator Scores'!$D$8:$CZ$8,0),
  _xlpm.v, IFERROR(INDEX('3. Enter Indicator Scores'!$D$10:$CZ$161,_xlpm.r,_xlpm.c),""),
  IF(OR(_xlpm.w="",_xlpm.v=""),"",_xlpm.v*_xlpm.w)
)</f>
        <v/>
      </c>
    </row>
    <row r="66" spans="4:104" x14ac:dyDescent="0.2">
      <c r="D66" s="93" t="str" cm="1">
        <f t="array" ref="D66">_xlfn.LET(
  _xlpm.w, D$11,
  _xlpm.r, MATCH(1,('3. Enter Indicator Scores'!$B$10:$B$161=$B66)*('3. Enter Indicator Scores'!$C$10:$C$161=$C66),0),
  _xlpm.c, MATCH(D$8,'3. Enter Indicator Scores'!$D$8:$CZ$8,0),
  _xlpm.v, IFERROR(INDEX('3. Enter Indicator Scores'!$D$10:$CZ$161,_xlpm.r,_xlpm.c),""),
  IF(OR(_xlpm.w="",_xlpm.v=""),"",_xlpm.v*_xlpm.w)
)</f>
        <v/>
      </c>
      <c r="E66" s="93" t="str" cm="1">
        <f t="array" ref="E66">_xlfn.LET(
  _xlpm.w, E$11,
  _xlpm.r, MATCH(1,('3. Enter Indicator Scores'!$B$10:$B$161=$B66)*('3. Enter Indicator Scores'!$C$10:$C$161=$C66),0),
  _xlpm.c, MATCH(E$8,'3. Enter Indicator Scores'!$D$8:$CZ$8,0),
  _xlpm.v, IFERROR(INDEX('3. Enter Indicator Scores'!$D$10:$CZ$161,_xlpm.r,_xlpm.c),""),
  IF(OR(_xlpm.w="",_xlpm.v=""),"",_xlpm.v*_xlpm.w)
)</f>
        <v/>
      </c>
      <c r="F66" s="93" t="str" cm="1">
        <f t="array" ref="F66">_xlfn.LET(
  _xlpm.w, F$11,
  _xlpm.r, MATCH(1,('3. Enter Indicator Scores'!$B$10:$B$161=$B66)*('3. Enter Indicator Scores'!$C$10:$C$161=$C66),0),
  _xlpm.c, MATCH(F$8,'3. Enter Indicator Scores'!$D$8:$CZ$8,0),
  _xlpm.v, IFERROR(INDEX('3. Enter Indicator Scores'!$D$10:$CZ$161,_xlpm.r,_xlpm.c),""),
  IF(OR(_xlpm.w="",_xlpm.v=""),"",_xlpm.v*_xlpm.w)
)</f>
        <v/>
      </c>
      <c r="G66" s="93" t="str" cm="1">
        <f t="array" ref="G66">_xlfn.LET(
  _xlpm.w, G$11,
  _xlpm.r, MATCH(1,('3. Enter Indicator Scores'!$B$10:$B$161=$B66)*('3. Enter Indicator Scores'!$C$10:$C$161=$C66),0),
  _xlpm.c, MATCH(G$8,'3. Enter Indicator Scores'!$D$8:$CZ$8,0),
  _xlpm.v, IFERROR(INDEX('3. Enter Indicator Scores'!$D$10:$CZ$161,_xlpm.r,_xlpm.c),""),
  IF(OR(_xlpm.w="",_xlpm.v=""),"",_xlpm.v*_xlpm.w)
)</f>
        <v/>
      </c>
      <c r="H66" s="93" t="str" cm="1">
        <f t="array" ref="H66">_xlfn.LET(
  _xlpm.w, H$11,
  _xlpm.r, MATCH(1,('3. Enter Indicator Scores'!$B$10:$B$161=$B66)*('3. Enter Indicator Scores'!$C$10:$C$161=$C66),0),
  _xlpm.c, MATCH(H$8,'3. Enter Indicator Scores'!$D$8:$CZ$8,0),
  _xlpm.v, IFERROR(INDEX('3. Enter Indicator Scores'!$D$10:$CZ$161,_xlpm.r,_xlpm.c),""),
  IF(OR(_xlpm.w="",_xlpm.v=""),"",_xlpm.v*_xlpm.w)
)</f>
        <v/>
      </c>
      <c r="I66" s="93" t="str" cm="1">
        <f t="array" ref="I66">_xlfn.LET(
  _xlpm.w, I$11,
  _xlpm.r, MATCH(1,('3. Enter Indicator Scores'!$B$10:$B$161=$B66)*('3. Enter Indicator Scores'!$C$10:$C$161=$C66),0),
  _xlpm.c, MATCH(I$8,'3. Enter Indicator Scores'!$D$8:$CZ$8,0),
  _xlpm.v, IFERROR(INDEX('3. Enter Indicator Scores'!$D$10:$CZ$161,_xlpm.r,_xlpm.c),""),
  IF(OR(_xlpm.w="",_xlpm.v=""),"",_xlpm.v*_xlpm.w)
)</f>
        <v/>
      </c>
      <c r="J66" s="93" t="str" cm="1">
        <f t="array" ref="J66">_xlfn.LET(
  _xlpm.w, J$11,
  _xlpm.r, MATCH(1,('3. Enter Indicator Scores'!$B$10:$B$161=$B66)*('3. Enter Indicator Scores'!$C$10:$C$161=$C66),0),
  _xlpm.c, MATCH(J$8,'3. Enter Indicator Scores'!$D$8:$CZ$8,0),
  _xlpm.v, IFERROR(INDEX('3. Enter Indicator Scores'!$D$10:$CZ$161,_xlpm.r,_xlpm.c),""),
  IF(OR(_xlpm.w="",_xlpm.v=""),"",_xlpm.v*_xlpm.w)
)</f>
        <v/>
      </c>
      <c r="K66" s="93" t="str" cm="1">
        <f t="array" ref="K66">_xlfn.LET(
  _xlpm.w, K$11,
  _xlpm.r, MATCH(1,('3. Enter Indicator Scores'!$B$10:$B$161=$B66)*('3. Enter Indicator Scores'!$C$10:$C$161=$C66),0),
  _xlpm.c, MATCH(K$8,'3. Enter Indicator Scores'!$D$8:$CZ$8,0),
  _xlpm.v, IFERROR(INDEX('3. Enter Indicator Scores'!$D$10:$CZ$161,_xlpm.r,_xlpm.c),""),
  IF(OR(_xlpm.w="",_xlpm.v=""),"",_xlpm.v*_xlpm.w)
)</f>
        <v/>
      </c>
      <c r="L66" s="93" t="str" cm="1">
        <f t="array" ref="L66">_xlfn.LET(
  _xlpm.w, L$11,
  _xlpm.r, MATCH(1,('3. Enter Indicator Scores'!$B$10:$B$161=$B66)*('3. Enter Indicator Scores'!$C$10:$C$161=$C66),0),
  _xlpm.c, MATCH(L$8,'3. Enter Indicator Scores'!$D$8:$CZ$8,0),
  _xlpm.v, IFERROR(INDEX('3. Enter Indicator Scores'!$D$10:$CZ$161,_xlpm.r,_xlpm.c),""),
  IF(OR(_xlpm.w="",_xlpm.v=""),"",_xlpm.v*_xlpm.w)
)</f>
        <v/>
      </c>
      <c r="M66" s="93" t="str" cm="1">
        <f t="array" ref="M66">_xlfn.LET(
  _xlpm.w, M$11,
  _xlpm.r, MATCH(1,('3. Enter Indicator Scores'!$B$10:$B$161=$B66)*('3. Enter Indicator Scores'!$C$10:$C$161=$C66),0),
  _xlpm.c, MATCH(M$8,'3. Enter Indicator Scores'!$D$8:$CZ$8,0),
  _xlpm.v, IFERROR(INDEX('3. Enter Indicator Scores'!$D$10:$CZ$161,_xlpm.r,_xlpm.c),""),
  IF(OR(_xlpm.w="",_xlpm.v=""),"",_xlpm.v*_xlpm.w)
)</f>
        <v/>
      </c>
      <c r="N66" s="93" t="str" cm="1">
        <f t="array" ref="N66">_xlfn.LET(
  _xlpm.w, N$11,
  _xlpm.r, MATCH(1,('3. Enter Indicator Scores'!$B$10:$B$161=$B66)*('3. Enter Indicator Scores'!$C$10:$C$161=$C66),0),
  _xlpm.c, MATCH(N$8,'3. Enter Indicator Scores'!$D$8:$CZ$8,0),
  _xlpm.v, IFERROR(INDEX('3. Enter Indicator Scores'!$D$10:$CZ$161,_xlpm.r,_xlpm.c),""),
  IF(OR(_xlpm.w="",_xlpm.v=""),"",_xlpm.v*_xlpm.w)
)</f>
        <v/>
      </c>
      <c r="O66" s="93" t="str" cm="1">
        <f t="array" ref="O66">_xlfn.LET(
  _xlpm.w, O$11,
  _xlpm.r, MATCH(1,('3. Enter Indicator Scores'!$B$10:$B$161=$B66)*('3. Enter Indicator Scores'!$C$10:$C$161=$C66),0),
  _xlpm.c, MATCH(O$8,'3. Enter Indicator Scores'!$D$8:$CZ$8,0),
  _xlpm.v, IFERROR(INDEX('3. Enter Indicator Scores'!$D$10:$CZ$161,_xlpm.r,_xlpm.c),""),
  IF(OR(_xlpm.w="",_xlpm.v=""),"",_xlpm.v*_xlpm.w)
)</f>
        <v/>
      </c>
      <c r="P66" s="93" t="str" cm="1">
        <f t="array" ref="P66">_xlfn.LET(
  _xlpm.w, P$11,
  _xlpm.r, MATCH(1,('3. Enter Indicator Scores'!$B$10:$B$161=$B66)*('3. Enter Indicator Scores'!$C$10:$C$161=$C66),0),
  _xlpm.c, MATCH(P$8,'3. Enter Indicator Scores'!$D$8:$CZ$8,0),
  _xlpm.v, IFERROR(INDEX('3. Enter Indicator Scores'!$D$10:$CZ$161,_xlpm.r,_xlpm.c),""),
  IF(OR(_xlpm.w="",_xlpm.v=""),"",_xlpm.v*_xlpm.w)
)</f>
        <v/>
      </c>
      <c r="Q66" s="93" t="str" cm="1">
        <f t="array" ref="Q66">_xlfn.LET(
  _xlpm.w, Q$11,
  _xlpm.r, MATCH(1,('3. Enter Indicator Scores'!$B$10:$B$161=$B66)*('3. Enter Indicator Scores'!$C$10:$C$161=$C66),0),
  _xlpm.c, MATCH(Q$8,'3. Enter Indicator Scores'!$D$8:$CZ$8,0),
  _xlpm.v, IFERROR(INDEX('3. Enter Indicator Scores'!$D$10:$CZ$161,_xlpm.r,_xlpm.c),""),
  IF(OR(_xlpm.w="",_xlpm.v=""),"",_xlpm.v*_xlpm.w)
)</f>
        <v/>
      </c>
      <c r="R66" s="93" t="str" cm="1">
        <f t="array" ref="R66">_xlfn.LET(
  _xlpm.w, R$11,
  _xlpm.r, MATCH(1,('3. Enter Indicator Scores'!$B$10:$B$161=$B66)*('3. Enter Indicator Scores'!$C$10:$C$161=$C66),0),
  _xlpm.c, MATCH(R$8,'3. Enter Indicator Scores'!$D$8:$CZ$8,0),
  _xlpm.v, IFERROR(INDEX('3. Enter Indicator Scores'!$D$10:$CZ$161,_xlpm.r,_xlpm.c),""),
  IF(OR(_xlpm.w="",_xlpm.v=""),"",_xlpm.v*_xlpm.w)
)</f>
        <v/>
      </c>
      <c r="S66" s="93" t="str" cm="1">
        <f t="array" ref="S66">_xlfn.LET(
  _xlpm.w, S$11,
  _xlpm.r, MATCH(1,('3. Enter Indicator Scores'!$B$10:$B$161=$B66)*('3. Enter Indicator Scores'!$C$10:$C$161=$C66),0),
  _xlpm.c, MATCH(S$8,'3. Enter Indicator Scores'!$D$8:$CZ$8,0),
  _xlpm.v, IFERROR(INDEX('3. Enter Indicator Scores'!$D$10:$CZ$161,_xlpm.r,_xlpm.c),""),
  IF(OR(_xlpm.w="",_xlpm.v=""),"",_xlpm.v*_xlpm.w)
)</f>
        <v/>
      </c>
      <c r="T66" s="93" t="str" cm="1">
        <f t="array" ref="T66">_xlfn.LET(
  _xlpm.w, T$11,
  _xlpm.r, MATCH(1,('3. Enter Indicator Scores'!$B$10:$B$161=$B66)*('3. Enter Indicator Scores'!$C$10:$C$161=$C66),0),
  _xlpm.c, MATCH(T$8,'3. Enter Indicator Scores'!$D$8:$CZ$8,0),
  _xlpm.v, IFERROR(INDEX('3. Enter Indicator Scores'!$D$10:$CZ$161,_xlpm.r,_xlpm.c),""),
  IF(OR(_xlpm.w="",_xlpm.v=""),"",_xlpm.v*_xlpm.w)
)</f>
        <v/>
      </c>
      <c r="U66" s="93" t="str" cm="1">
        <f t="array" ref="U66">_xlfn.LET(
  _xlpm.w, U$11,
  _xlpm.r, MATCH(1,('3. Enter Indicator Scores'!$B$10:$B$161=$B66)*('3. Enter Indicator Scores'!$C$10:$C$161=$C66),0),
  _xlpm.c, MATCH(U$8,'3. Enter Indicator Scores'!$D$8:$CZ$8,0),
  _xlpm.v, IFERROR(INDEX('3. Enter Indicator Scores'!$D$10:$CZ$161,_xlpm.r,_xlpm.c),""),
  IF(OR(_xlpm.w="",_xlpm.v=""),"",_xlpm.v*_xlpm.w)
)</f>
        <v/>
      </c>
      <c r="V66" s="93" t="str" cm="1">
        <f t="array" ref="V66">_xlfn.LET(
  _xlpm.w, V$11,
  _xlpm.r, MATCH(1,('3. Enter Indicator Scores'!$B$10:$B$161=$B66)*('3. Enter Indicator Scores'!$C$10:$C$161=$C66),0),
  _xlpm.c, MATCH(V$8,'3. Enter Indicator Scores'!$D$8:$CZ$8,0),
  _xlpm.v, IFERROR(INDEX('3. Enter Indicator Scores'!$D$10:$CZ$161,_xlpm.r,_xlpm.c),""),
  IF(OR(_xlpm.w="",_xlpm.v=""),"",_xlpm.v*_xlpm.w)
)</f>
        <v/>
      </c>
      <c r="W66" s="93" t="str" cm="1">
        <f t="array" ref="W66">_xlfn.LET(
  _xlpm.w, W$11,
  _xlpm.r, MATCH(1,('3. Enter Indicator Scores'!$B$10:$B$161=$B66)*('3. Enter Indicator Scores'!$C$10:$C$161=$C66),0),
  _xlpm.c, MATCH(W$8,'3. Enter Indicator Scores'!$D$8:$CZ$8,0),
  _xlpm.v, IFERROR(INDEX('3. Enter Indicator Scores'!$D$10:$CZ$161,_xlpm.r,_xlpm.c),""),
  IF(OR(_xlpm.w="",_xlpm.v=""),"",_xlpm.v*_xlpm.w)
)</f>
        <v/>
      </c>
      <c r="X66" s="93" t="str" cm="1">
        <f t="array" ref="X66">_xlfn.LET(
  _xlpm.w, X$11,
  _xlpm.r, MATCH(1,('3. Enter Indicator Scores'!$B$10:$B$161=$B66)*('3. Enter Indicator Scores'!$C$10:$C$161=$C66),0),
  _xlpm.c, MATCH(X$8,'3. Enter Indicator Scores'!$D$8:$CZ$8,0),
  _xlpm.v, IFERROR(INDEX('3. Enter Indicator Scores'!$D$10:$CZ$161,_xlpm.r,_xlpm.c),""),
  IF(OR(_xlpm.w="",_xlpm.v=""),"",_xlpm.v*_xlpm.w)
)</f>
        <v/>
      </c>
      <c r="Y66" s="93" t="str" cm="1">
        <f t="array" ref="Y66">_xlfn.LET(
  _xlpm.w, Y$11,
  _xlpm.r, MATCH(1,('3. Enter Indicator Scores'!$B$10:$B$161=$B66)*('3. Enter Indicator Scores'!$C$10:$C$161=$C66),0),
  _xlpm.c, MATCH(Y$8,'3. Enter Indicator Scores'!$D$8:$CZ$8,0),
  _xlpm.v, IFERROR(INDEX('3. Enter Indicator Scores'!$D$10:$CZ$161,_xlpm.r,_xlpm.c),""),
  IF(OR(_xlpm.w="",_xlpm.v=""),"",_xlpm.v*_xlpm.w)
)</f>
        <v/>
      </c>
      <c r="Z66" s="93" t="str" cm="1">
        <f t="array" ref="Z66">_xlfn.LET(
  _xlpm.w, Z$11,
  _xlpm.r, MATCH(1,('3. Enter Indicator Scores'!$B$10:$B$161=$B66)*('3. Enter Indicator Scores'!$C$10:$C$161=$C66),0),
  _xlpm.c, MATCH(Z$8,'3. Enter Indicator Scores'!$D$8:$CZ$8,0),
  _xlpm.v, IFERROR(INDEX('3. Enter Indicator Scores'!$D$10:$CZ$161,_xlpm.r,_xlpm.c),""),
  IF(OR(_xlpm.w="",_xlpm.v=""),"",_xlpm.v*_xlpm.w)
)</f>
        <v/>
      </c>
      <c r="AA66" s="93" t="str" cm="1">
        <f t="array" ref="AA66">_xlfn.LET(
  _xlpm.w, AA$11,
  _xlpm.r, MATCH(1,('3. Enter Indicator Scores'!$B$10:$B$161=$B66)*('3. Enter Indicator Scores'!$C$10:$C$161=$C66),0),
  _xlpm.c, MATCH(AA$8,'3. Enter Indicator Scores'!$D$8:$CZ$8,0),
  _xlpm.v, IFERROR(INDEX('3. Enter Indicator Scores'!$D$10:$CZ$161,_xlpm.r,_xlpm.c),""),
  IF(OR(_xlpm.w="",_xlpm.v=""),"",_xlpm.v*_xlpm.w)
)</f>
        <v/>
      </c>
      <c r="AB66" s="93" t="str" cm="1">
        <f t="array" ref="AB66">_xlfn.LET(
  _xlpm.w, AB$11,
  _xlpm.r, MATCH(1,('3. Enter Indicator Scores'!$B$10:$B$161=$B66)*('3. Enter Indicator Scores'!$C$10:$C$161=$C66),0),
  _xlpm.c, MATCH(AB$8,'3. Enter Indicator Scores'!$D$8:$CZ$8,0),
  _xlpm.v, IFERROR(INDEX('3. Enter Indicator Scores'!$D$10:$CZ$161,_xlpm.r,_xlpm.c),""),
  IF(OR(_xlpm.w="",_xlpm.v=""),"",_xlpm.v*_xlpm.w)
)</f>
        <v/>
      </c>
      <c r="AC66" s="93" t="str" cm="1">
        <f t="array" ref="AC66">_xlfn.LET(
  _xlpm.w, AC$11,
  _xlpm.r, MATCH(1,('3. Enter Indicator Scores'!$B$10:$B$161=$B66)*('3. Enter Indicator Scores'!$C$10:$C$161=$C66),0),
  _xlpm.c, MATCH(AC$8,'3. Enter Indicator Scores'!$D$8:$CZ$8,0),
  _xlpm.v, IFERROR(INDEX('3. Enter Indicator Scores'!$D$10:$CZ$161,_xlpm.r,_xlpm.c),""),
  IF(OR(_xlpm.w="",_xlpm.v=""),"",_xlpm.v*_xlpm.w)
)</f>
        <v/>
      </c>
      <c r="AD66" s="93" t="str" cm="1">
        <f t="array" ref="AD66">_xlfn.LET(
  _xlpm.w, AD$11,
  _xlpm.r, MATCH(1,('3. Enter Indicator Scores'!$B$10:$B$161=$B66)*('3. Enter Indicator Scores'!$C$10:$C$161=$C66),0),
  _xlpm.c, MATCH(AD$8,'3. Enter Indicator Scores'!$D$8:$CZ$8,0),
  _xlpm.v, IFERROR(INDEX('3. Enter Indicator Scores'!$D$10:$CZ$161,_xlpm.r,_xlpm.c),""),
  IF(OR(_xlpm.w="",_xlpm.v=""),"",_xlpm.v*_xlpm.w)
)</f>
        <v/>
      </c>
      <c r="AE66" s="93" t="str" cm="1">
        <f t="array" ref="AE66">_xlfn.LET(
  _xlpm.w, AE$11,
  _xlpm.r, MATCH(1,('3. Enter Indicator Scores'!$B$10:$B$161=$B66)*('3. Enter Indicator Scores'!$C$10:$C$161=$C66),0),
  _xlpm.c, MATCH(AE$8,'3. Enter Indicator Scores'!$D$8:$CZ$8,0),
  _xlpm.v, IFERROR(INDEX('3. Enter Indicator Scores'!$D$10:$CZ$161,_xlpm.r,_xlpm.c),""),
  IF(OR(_xlpm.w="",_xlpm.v=""),"",_xlpm.v*_xlpm.w)
)</f>
        <v/>
      </c>
      <c r="AF66" s="93" t="str" cm="1">
        <f t="array" ref="AF66">_xlfn.LET(
  _xlpm.w, AF$11,
  _xlpm.r, MATCH(1,('3. Enter Indicator Scores'!$B$10:$B$161=$B66)*('3. Enter Indicator Scores'!$C$10:$C$161=$C66),0),
  _xlpm.c, MATCH(AF$8,'3. Enter Indicator Scores'!$D$8:$CZ$8,0),
  _xlpm.v, IFERROR(INDEX('3. Enter Indicator Scores'!$D$10:$CZ$161,_xlpm.r,_xlpm.c),""),
  IF(OR(_xlpm.w="",_xlpm.v=""),"",_xlpm.v*_xlpm.w)
)</f>
        <v/>
      </c>
      <c r="AG66" s="93" t="str" cm="1">
        <f t="array" ref="AG66">_xlfn.LET(
  _xlpm.w, AG$11,
  _xlpm.r, MATCH(1,('3. Enter Indicator Scores'!$B$10:$B$161=$B66)*('3. Enter Indicator Scores'!$C$10:$C$161=$C66),0),
  _xlpm.c, MATCH(AG$8,'3. Enter Indicator Scores'!$D$8:$CZ$8,0),
  _xlpm.v, IFERROR(INDEX('3. Enter Indicator Scores'!$D$10:$CZ$161,_xlpm.r,_xlpm.c),""),
  IF(OR(_xlpm.w="",_xlpm.v=""),"",_xlpm.v*_xlpm.w)
)</f>
        <v/>
      </c>
      <c r="AH66" s="93" t="str" cm="1">
        <f t="array" ref="AH66">_xlfn.LET(
  _xlpm.w, AH$11,
  _xlpm.r, MATCH(1,('3. Enter Indicator Scores'!$B$10:$B$161=$B66)*('3. Enter Indicator Scores'!$C$10:$C$161=$C66),0),
  _xlpm.c, MATCH(AH$8,'3. Enter Indicator Scores'!$D$8:$CZ$8,0),
  _xlpm.v, IFERROR(INDEX('3. Enter Indicator Scores'!$D$10:$CZ$161,_xlpm.r,_xlpm.c),""),
  IF(OR(_xlpm.w="",_xlpm.v=""),"",_xlpm.v*_xlpm.w)
)</f>
        <v/>
      </c>
      <c r="AI66" s="93" t="str" cm="1">
        <f t="array" ref="AI66">_xlfn.LET(
  _xlpm.w, AI$11,
  _xlpm.r, MATCH(1,('3. Enter Indicator Scores'!$B$10:$B$161=$B66)*('3. Enter Indicator Scores'!$C$10:$C$161=$C66),0),
  _xlpm.c, MATCH(AI$8,'3. Enter Indicator Scores'!$D$8:$CZ$8,0),
  _xlpm.v, IFERROR(INDEX('3. Enter Indicator Scores'!$D$10:$CZ$161,_xlpm.r,_xlpm.c),""),
  IF(OR(_xlpm.w="",_xlpm.v=""),"",_xlpm.v*_xlpm.w)
)</f>
        <v/>
      </c>
      <c r="AJ66" s="93" t="str" cm="1">
        <f t="array" ref="AJ66">_xlfn.LET(
  _xlpm.w, AJ$11,
  _xlpm.r, MATCH(1,('3. Enter Indicator Scores'!$B$10:$B$161=$B66)*('3. Enter Indicator Scores'!$C$10:$C$161=$C66),0),
  _xlpm.c, MATCH(AJ$8,'3. Enter Indicator Scores'!$D$8:$CZ$8,0),
  _xlpm.v, IFERROR(INDEX('3. Enter Indicator Scores'!$D$10:$CZ$161,_xlpm.r,_xlpm.c),""),
  IF(OR(_xlpm.w="",_xlpm.v=""),"",_xlpm.v*_xlpm.w)
)</f>
        <v/>
      </c>
      <c r="AK66" s="93" t="str" cm="1">
        <f t="array" ref="AK66">_xlfn.LET(
  _xlpm.w, AK$11,
  _xlpm.r, MATCH(1,('3. Enter Indicator Scores'!$B$10:$B$161=$B66)*('3. Enter Indicator Scores'!$C$10:$C$161=$C66),0),
  _xlpm.c, MATCH(AK$8,'3. Enter Indicator Scores'!$D$8:$CZ$8,0),
  _xlpm.v, IFERROR(INDEX('3. Enter Indicator Scores'!$D$10:$CZ$161,_xlpm.r,_xlpm.c),""),
  IF(OR(_xlpm.w="",_xlpm.v=""),"",_xlpm.v*_xlpm.w)
)</f>
        <v/>
      </c>
      <c r="AL66" s="93" t="str" cm="1">
        <f t="array" ref="AL66">_xlfn.LET(
  _xlpm.w, AL$11,
  _xlpm.r, MATCH(1,('3. Enter Indicator Scores'!$B$10:$B$161=$B66)*('3. Enter Indicator Scores'!$C$10:$C$161=$C66),0),
  _xlpm.c, MATCH(AL$8,'3. Enter Indicator Scores'!$D$8:$CZ$8,0),
  _xlpm.v, IFERROR(INDEX('3. Enter Indicator Scores'!$D$10:$CZ$161,_xlpm.r,_xlpm.c),""),
  IF(OR(_xlpm.w="",_xlpm.v=""),"",_xlpm.v*_xlpm.w)
)</f>
        <v/>
      </c>
      <c r="AM66" s="93" t="str" cm="1">
        <f t="array" ref="AM66">_xlfn.LET(
  _xlpm.w, AM$11,
  _xlpm.r, MATCH(1,('3. Enter Indicator Scores'!$B$10:$B$161=$B66)*('3. Enter Indicator Scores'!$C$10:$C$161=$C66),0),
  _xlpm.c, MATCH(AM$8,'3. Enter Indicator Scores'!$D$8:$CZ$8,0),
  _xlpm.v, IFERROR(INDEX('3. Enter Indicator Scores'!$D$10:$CZ$161,_xlpm.r,_xlpm.c),""),
  IF(OR(_xlpm.w="",_xlpm.v=""),"",_xlpm.v*_xlpm.w)
)</f>
        <v/>
      </c>
      <c r="AN66" s="93" t="str" cm="1">
        <f t="array" ref="AN66">_xlfn.LET(
  _xlpm.w, AN$11,
  _xlpm.r, MATCH(1,('3. Enter Indicator Scores'!$B$10:$B$161=$B66)*('3. Enter Indicator Scores'!$C$10:$C$161=$C66),0),
  _xlpm.c, MATCH(AN$8,'3. Enter Indicator Scores'!$D$8:$CZ$8,0),
  _xlpm.v, IFERROR(INDEX('3. Enter Indicator Scores'!$D$10:$CZ$161,_xlpm.r,_xlpm.c),""),
  IF(OR(_xlpm.w="",_xlpm.v=""),"",_xlpm.v*_xlpm.w)
)</f>
        <v/>
      </c>
      <c r="AO66" s="93" t="str" cm="1">
        <f t="array" ref="AO66">_xlfn.LET(
  _xlpm.w, AO$11,
  _xlpm.r, MATCH(1,('3. Enter Indicator Scores'!$B$10:$B$161=$B66)*('3. Enter Indicator Scores'!$C$10:$C$161=$C66),0),
  _xlpm.c, MATCH(AO$8,'3. Enter Indicator Scores'!$D$8:$CZ$8,0),
  _xlpm.v, IFERROR(INDEX('3. Enter Indicator Scores'!$D$10:$CZ$161,_xlpm.r,_xlpm.c),""),
  IF(OR(_xlpm.w="",_xlpm.v=""),"",_xlpm.v*_xlpm.w)
)</f>
        <v/>
      </c>
      <c r="AP66" s="93" t="str" cm="1">
        <f t="array" ref="AP66">_xlfn.LET(
  _xlpm.w, AP$11,
  _xlpm.r, MATCH(1,('3. Enter Indicator Scores'!$B$10:$B$161=$B66)*('3. Enter Indicator Scores'!$C$10:$C$161=$C66),0),
  _xlpm.c, MATCH(AP$8,'3. Enter Indicator Scores'!$D$8:$CZ$8,0),
  _xlpm.v, IFERROR(INDEX('3. Enter Indicator Scores'!$D$10:$CZ$161,_xlpm.r,_xlpm.c),""),
  IF(OR(_xlpm.w="",_xlpm.v=""),"",_xlpm.v*_xlpm.w)
)</f>
        <v/>
      </c>
      <c r="AQ66" s="93" t="str" cm="1">
        <f t="array" ref="AQ66">_xlfn.LET(
  _xlpm.w, AQ$11,
  _xlpm.r, MATCH(1,('3. Enter Indicator Scores'!$B$10:$B$161=$B66)*('3. Enter Indicator Scores'!$C$10:$C$161=$C66),0),
  _xlpm.c, MATCH(AQ$8,'3. Enter Indicator Scores'!$D$8:$CZ$8,0),
  _xlpm.v, IFERROR(INDEX('3. Enter Indicator Scores'!$D$10:$CZ$161,_xlpm.r,_xlpm.c),""),
  IF(OR(_xlpm.w="",_xlpm.v=""),"",_xlpm.v*_xlpm.w)
)</f>
        <v/>
      </c>
      <c r="AR66" s="93" t="str" cm="1">
        <f t="array" ref="AR66">_xlfn.LET(
  _xlpm.w, AR$11,
  _xlpm.r, MATCH(1,('3. Enter Indicator Scores'!$B$10:$B$161=$B66)*('3. Enter Indicator Scores'!$C$10:$C$161=$C66),0),
  _xlpm.c, MATCH(AR$8,'3. Enter Indicator Scores'!$D$8:$CZ$8,0),
  _xlpm.v, IFERROR(INDEX('3. Enter Indicator Scores'!$D$10:$CZ$161,_xlpm.r,_xlpm.c),""),
  IF(OR(_xlpm.w="",_xlpm.v=""),"",_xlpm.v*_xlpm.w)
)</f>
        <v/>
      </c>
      <c r="AS66" s="93" t="str" cm="1">
        <f t="array" ref="AS66">_xlfn.LET(
  _xlpm.w, AS$11,
  _xlpm.r, MATCH(1,('3. Enter Indicator Scores'!$B$10:$B$161=$B66)*('3. Enter Indicator Scores'!$C$10:$C$161=$C66),0),
  _xlpm.c, MATCH(AS$8,'3. Enter Indicator Scores'!$D$8:$CZ$8,0),
  _xlpm.v, IFERROR(INDEX('3. Enter Indicator Scores'!$D$10:$CZ$161,_xlpm.r,_xlpm.c),""),
  IF(OR(_xlpm.w="",_xlpm.v=""),"",_xlpm.v*_xlpm.w)
)</f>
        <v/>
      </c>
      <c r="AT66" s="93" t="str" cm="1">
        <f t="array" ref="AT66">_xlfn.LET(
  _xlpm.w, AT$11,
  _xlpm.r, MATCH(1,('3. Enter Indicator Scores'!$B$10:$B$161=$B66)*('3. Enter Indicator Scores'!$C$10:$C$161=$C66),0),
  _xlpm.c, MATCH(AT$8,'3. Enter Indicator Scores'!$D$8:$CZ$8,0),
  _xlpm.v, IFERROR(INDEX('3. Enter Indicator Scores'!$D$10:$CZ$161,_xlpm.r,_xlpm.c),""),
  IF(OR(_xlpm.w="",_xlpm.v=""),"",_xlpm.v*_xlpm.w)
)</f>
        <v/>
      </c>
      <c r="AU66" s="93" t="str" cm="1">
        <f t="array" ref="AU66">_xlfn.LET(
  _xlpm.w, AU$11,
  _xlpm.r, MATCH(1,('3. Enter Indicator Scores'!$B$10:$B$161=$B66)*('3. Enter Indicator Scores'!$C$10:$C$161=$C66),0),
  _xlpm.c, MATCH(AU$8,'3. Enter Indicator Scores'!$D$8:$CZ$8,0),
  _xlpm.v, IFERROR(INDEX('3. Enter Indicator Scores'!$D$10:$CZ$161,_xlpm.r,_xlpm.c),""),
  IF(OR(_xlpm.w="",_xlpm.v=""),"",_xlpm.v*_xlpm.w)
)</f>
        <v/>
      </c>
      <c r="AV66" s="93" t="str" cm="1">
        <f t="array" ref="AV66">_xlfn.LET(
  _xlpm.w, AV$11,
  _xlpm.r, MATCH(1,('3. Enter Indicator Scores'!$B$10:$B$161=$B66)*('3. Enter Indicator Scores'!$C$10:$C$161=$C66),0),
  _xlpm.c, MATCH(AV$8,'3. Enter Indicator Scores'!$D$8:$CZ$8,0),
  _xlpm.v, IFERROR(INDEX('3. Enter Indicator Scores'!$D$10:$CZ$161,_xlpm.r,_xlpm.c),""),
  IF(OR(_xlpm.w="",_xlpm.v=""),"",_xlpm.v*_xlpm.w)
)</f>
        <v/>
      </c>
      <c r="AW66" s="93" t="str" cm="1">
        <f t="array" ref="AW66">_xlfn.LET(
  _xlpm.w, AW$11,
  _xlpm.r, MATCH(1,('3. Enter Indicator Scores'!$B$10:$B$161=$B66)*('3. Enter Indicator Scores'!$C$10:$C$161=$C66),0),
  _xlpm.c, MATCH(AW$8,'3. Enter Indicator Scores'!$D$8:$CZ$8,0),
  _xlpm.v, IFERROR(INDEX('3. Enter Indicator Scores'!$D$10:$CZ$161,_xlpm.r,_xlpm.c),""),
  IF(OR(_xlpm.w="",_xlpm.v=""),"",_xlpm.v*_xlpm.w)
)</f>
        <v/>
      </c>
      <c r="AX66" s="93" t="str" cm="1">
        <f t="array" ref="AX66">_xlfn.LET(
  _xlpm.w, AX$11,
  _xlpm.r, MATCH(1,('3. Enter Indicator Scores'!$B$10:$B$161=$B66)*('3. Enter Indicator Scores'!$C$10:$C$161=$C66),0),
  _xlpm.c, MATCH(AX$8,'3. Enter Indicator Scores'!$D$8:$CZ$8,0),
  _xlpm.v, IFERROR(INDEX('3. Enter Indicator Scores'!$D$10:$CZ$161,_xlpm.r,_xlpm.c),""),
  IF(OR(_xlpm.w="",_xlpm.v=""),"",_xlpm.v*_xlpm.w)
)</f>
        <v/>
      </c>
      <c r="AY66" s="93" t="str" cm="1">
        <f t="array" ref="AY66">_xlfn.LET(
  _xlpm.w, AY$11,
  _xlpm.r, MATCH(1,('3. Enter Indicator Scores'!$B$10:$B$161=$B66)*('3. Enter Indicator Scores'!$C$10:$C$161=$C66),0),
  _xlpm.c, MATCH(AY$8,'3. Enter Indicator Scores'!$D$8:$CZ$8,0),
  _xlpm.v, IFERROR(INDEX('3. Enter Indicator Scores'!$D$10:$CZ$161,_xlpm.r,_xlpm.c),""),
  IF(OR(_xlpm.w="",_xlpm.v=""),"",_xlpm.v*_xlpm.w)
)</f>
        <v/>
      </c>
      <c r="AZ66" s="93" t="str" cm="1">
        <f t="array" ref="AZ66">_xlfn.LET(
  _xlpm.w, AZ$11,
  _xlpm.r, MATCH(1,('3. Enter Indicator Scores'!$B$10:$B$161=$B66)*('3. Enter Indicator Scores'!$C$10:$C$161=$C66),0),
  _xlpm.c, MATCH(AZ$8,'3. Enter Indicator Scores'!$D$8:$CZ$8,0),
  _xlpm.v, IFERROR(INDEX('3. Enter Indicator Scores'!$D$10:$CZ$161,_xlpm.r,_xlpm.c),""),
  IF(OR(_xlpm.w="",_xlpm.v=""),"",_xlpm.v*_xlpm.w)
)</f>
        <v/>
      </c>
      <c r="BA66" s="93" t="str" cm="1">
        <f t="array" ref="BA66">_xlfn.LET(
  _xlpm.w, BA$11,
  _xlpm.r, MATCH(1,('3. Enter Indicator Scores'!$B$10:$B$161=$B66)*('3. Enter Indicator Scores'!$C$10:$C$161=$C66),0),
  _xlpm.c, MATCH(BA$8,'3. Enter Indicator Scores'!$D$8:$CZ$8,0),
  _xlpm.v, IFERROR(INDEX('3. Enter Indicator Scores'!$D$10:$CZ$161,_xlpm.r,_xlpm.c),""),
  IF(OR(_xlpm.w="",_xlpm.v=""),"",_xlpm.v*_xlpm.w)
)</f>
        <v/>
      </c>
      <c r="BB66" s="93" t="str" cm="1">
        <f t="array" ref="BB66">_xlfn.LET(
  _xlpm.w, BB$11,
  _xlpm.r, MATCH(1,('3. Enter Indicator Scores'!$B$10:$B$161=$B66)*('3. Enter Indicator Scores'!$C$10:$C$161=$C66),0),
  _xlpm.c, MATCH(BB$8,'3. Enter Indicator Scores'!$D$8:$CZ$8,0),
  _xlpm.v, IFERROR(INDEX('3. Enter Indicator Scores'!$D$10:$CZ$161,_xlpm.r,_xlpm.c),""),
  IF(OR(_xlpm.w="",_xlpm.v=""),"",_xlpm.v*_xlpm.w)
)</f>
        <v/>
      </c>
      <c r="BC66" s="93" t="str" cm="1">
        <f t="array" ref="BC66">_xlfn.LET(
  _xlpm.w, BC$11,
  _xlpm.r, MATCH(1,('3. Enter Indicator Scores'!$B$10:$B$161=$B66)*('3. Enter Indicator Scores'!$C$10:$C$161=$C66),0),
  _xlpm.c, MATCH(BC$8,'3. Enter Indicator Scores'!$D$8:$CZ$8,0),
  _xlpm.v, IFERROR(INDEX('3. Enter Indicator Scores'!$D$10:$CZ$161,_xlpm.r,_xlpm.c),""),
  IF(OR(_xlpm.w="",_xlpm.v=""),"",_xlpm.v*_xlpm.w)
)</f>
        <v/>
      </c>
      <c r="BD66" s="93" t="str" cm="1">
        <f t="array" ref="BD66">_xlfn.LET(
  _xlpm.w, BD$11,
  _xlpm.r, MATCH(1,('3. Enter Indicator Scores'!$B$10:$B$161=$B66)*('3. Enter Indicator Scores'!$C$10:$C$161=$C66),0),
  _xlpm.c, MATCH(BD$8,'3. Enter Indicator Scores'!$D$8:$CZ$8,0),
  _xlpm.v, IFERROR(INDEX('3. Enter Indicator Scores'!$D$10:$CZ$161,_xlpm.r,_xlpm.c),""),
  IF(OR(_xlpm.w="",_xlpm.v=""),"",_xlpm.v*_xlpm.w)
)</f>
        <v/>
      </c>
      <c r="BE66" s="93" t="str" cm="1">
        <f t="array" ref="BE66">_xlfn.LET(
  _xlpm.w, BE$11,
  _xlpm.r, MATCH(1,('3. Enter Indicator Scores'!$B$10:$B$161=$B66)*('3. Enter Indicator Scores'!$C$10:$C$161=$C66),0),
  _xlpm.c, MATCH(BE$8,'3. Enter Indicator Scores'!$D$8:$CZ$8,0),
  _xlpm.v, IFERROR(INDEX('3. Enter Indicator Scores'!$D$10:$CZ$161,_xlpm.r,_xlpm.c),""),
  IF(OR(_xlpm.w="",_xlpm.v=""),"",_xlpm.v*_xlpm.w)
)</f>
        <v/>
      </c>
      <c r="BF66" s="93" t="str" cm="1">
        <f t="array" ref="BF66">_xlfn.LET(
  _xlpm.w, BF$11,
  _xlpm.r, MATCH(1,('3. Enter Indicator Scores'!$B$10:$B$161=$B66)*('3. Enter Indicator Scores'!$C$10:$C$161=$C66),0),
  _xlpm.c, MATCH(BF$8,'3. Enter Indicator Scores'!$D$8:$CZ$8,0),
  _xlpm.v, IFERROR(INDEX('3. Enter Indicator Scores'!$D$10:$CZ$161,_xlpm.r,_xlpm.c),""),
  IF(OR(_xlpm.w="",_xlpm.v=""),"",_xlpm.v*_xlpm.w)
)</f>
        <v/>
      </c>
      <c r="BG66" s="93" t="str" cm="1">
        <f t="array" ref="BG66">_xlfn.LET(
  _xlpm.w, BG$11,
  _xlpm.r, MATCH(1,('3. Enter Indicator Scores'!$B$10:$B$161=$B66)*('3. Enter Indicator Scores'!$C$10:$C$161=$C66),0),
  _xlpm.c, MATCH(BG$8,'3. Enter Indicator Scores'!$D$8:$CZ$8,0),
  _xlpm.v, IFERROR(INDEX('3. Enter Indicator Scores'!$D$10:$CZ$161,_xlpm.r,_xlpm.c),""),
  IF(OR(_xlpm.w="",_xlpm.v=""),"",_xlpm.v*_xlpm.w)
)</f>
        <v/>
      </c>
      <c r="BH66" s="93" t="str" cm="1">
        <f t="array" ref="BH66">_xlfn.LET(
  _xlpm.w, BH$11,
  _xlpm.r, MATCH(1,('3. Enter Indicator Scores'!$B$10:$B$161=$B66)*('3. Enter Indicator Scores'!$C$10:$C$161=$C66),0),
  _xlpm.c, MATCH(BH$8,'3. Enter Indicator Scores'!$D$8:$CZ$8,0),
  _xlpm.v, IFERROR(INDEX('3. Enter Indicator Scores'!$D$10:$CZ$161,_xlpm.r,_xlpm.c),""),
  IF(OR(_xlpm.w="",_xlpm.v=""),"",_xlpm.v*_xlpm.w)
)</f>
        <v/>
      </c>
      <c r="BI66" s="93" t="str" cm="1">
        <f t="array" ref="BI66">_xlfn.LET(
  _xlpm.w, BI$11,
  _xlpm.r, MATCH(1,('3. Enter Indicator Scores'!$B$10:$B$161=$B66)*('3. Enter Indicator Scores'!$C$10:$C$161=$C66),0),
  _xlpm.c, MATCH(BI$8,'3. Enter Indicator Scores'!$D$8:$CZ$8,0),
  _xlpm.v, IFERROR(INDEX('3. Enter Indicator Scores'!$D$10:$CZ$161,_xlpm.r,_xlpm.c),""),
  IF(OR(_xlpm.w="",_xlpm.v=""),"",_xlpm.v*_xlpm.w)
)</f>
        <v/>
      </c>
      <c r="BJ66" s="93" t="str" cm="1">
        <f t="array" ref="BJ66">_xlfn.LET(
  _xlpm.w, BJ$11,
  _xlpm.r, MATCH(1,('3. Enter Indicator Scores'!$B$10:$B$161=$B66)*('3. Enter Indicator Scores'!$C$10:$C$161=$C66),0),
  _xlpm.c, MATCH(BJ$8,'3. Enter Indicator Scores'!$D$8:$CZ$8,0),
  _xlpm.v, IFERROR(INDEX('3. Enter Indicator Scores'!$D$10:$CZ$161,_xlpm.r,_xlpm.c),""),
  IF(OR(_xlpm.w="",_xlpm.v=""),"",_xlpm.v*_xlpm.w)
)</f>
        <v/>
      </c>
      <c r="BK66" s="93" t="str" cm="1">
        <f t="array" ref="BK66">_xlfn.LET(
  _xlpm.w, BK$11,
  _xlpm.r, MATCH(1,('3. Enter Indicator Scores'!$B$10:$B$161=$B66)*('3. Enter Indicator Scores'!$C$10:$C$161=$C66),0),
  _xlpm.c, MATCH(BK$8,'3. Enter Indicator Scores'!$D$8:$CZ$8,0),
  _xlpm.v, IFERROR(INDEX('3. Enter Indicator Scores'!$D$10:$CZ$161,_xlpm.r,_xlpm.c),""),
  IF(OR(_xlpm.w="",_xlpm.v=""),"",_xlpm.v*_xlpm.w)
)</f>
        <v/>
      </c>
      <c r="BL66" s="93" t="str" cm="1">
        <f t="array" ref="BL66">_xlfn.LET(
  _xlpm.w, BL$11,
  _xlpm.r, MATCH(1,('3. Enter Indicator Scores'!$B$10:$B$161=$B66)*('3. Enter Indicator Scores'!$C$10:$C$161=$C66),0),
  _xlpm.c, MATCH(BL$8,'3. Enter Indicator Scores'!$D$8:$CZ$8,0),
  _xlpm.v, IFERROR(INDEX('3. Enter Indicator Scores'!$D$10:$CZ$161,_xlpm.r,_xlpm.c),""),
  IF(OR(_xlpm.w="",_xlpm.v=""),"",_xlpm.v*_xlpm.w)
)</f>
        <v/>
      </c>
      <c r="BM66" s="93" t="str" cm="1">
        <f t="array" ref="BM66">_xlfn.LET(
  _xlpm.w, BM$11,
  _xlpm.r, MATCH(1,('3. Enter Indicator Scores'!$B$10:$B$161=$B66)*('3. Enter Indicator Scores'!$C$10:$C$161=$C66),0),
  _xlpm.c, MATCH(BM$8,'3. Enter Indicator Scores'!$D$8:$CZ$8,0),
  _xlpm.v, IFERROR(INDEX('3. Enter Indicator Scores'!$D$10:$CZ$161,_xlpm.r,_xlpm.c),""),
  IF(OR(_xlpm.w="",_xlpm.v=""),"",_xlpm.v*_xlpm.w)
)</f>
        <v/>
      </c>
      <c r="BN66" s="93" t="str" cm="1">
        <f t="array" ref="BN66">_xlfn.LET(
  _xlpm.w, BN$11,
  _xlpm.r, MATCH(1,('3. Enter Indicator Scores'!$B$10:$B$161=$B66)*('3. Enter Indicator Scores'!$C$10:$C$161=$C66),0),
  _xlpm.c, MATCH(BN$8,'3. Enter Indicator Scores'!$D$8:$CZ$8,0),
  _xlpm.v, IFERROR(INDEX('3. Enter Indicator Scores'!$D$10:$CZ$161,_xlpm.r,_xlpm.c),""),
  IF(OR(_xlpm.w="",_xlpm.v=""),"",_xlpm.v*_xlpm.w)
)</f>
        <v/>
      </c>
      <c r="BO66" s="93" t="str" cm="1">
        <f t="array" ref="BO66">_xlfn.LET(
  _xlpm.w, BO$11,
  _xlpm.r, MATCH(1,('3. Enter Indicator Scores'!$B$10:$B$161=$B66)*('3. Enter Indicator Scores'!$C$10:$C$161=$C66),0),
  _xlpm.c, MATCH(BO$8,'3. Enter Indicator Scores'!$D$8:$CZ$8,0),
  _xlpm.v, IFERROR(INDEX('3. Enter Indicator Scores'!$D$10:$CZ$161,_xlpm.r,_xlpm.c),""),
  IF(OR(_xlpm.w="",_xlpm.v=""),"",_xlpm.v*_xlpm.w)
)</f>
        <v/>
      </c>
      <c r="BP66" s="93" t="str" cm="1">
        <f t="array" ref="BP66">_xlfn.LET(
  _xlpm.w, BP$11,
  _xlpm.r, MATCH(1,('3. Enter Indicator Scores'!$B$10:$B$161=$B66)*('3. Enter Indicator Scores'!$C$10:$C$161=$C66),0),
  _xlpm.c, MATCH(BP$8,'3. Enter Indicator Scores'!$D$8:$CZ$8,0),
  _xlpm.v, IFERROR(INDEX('3. Enter Indicator Scores'!$D$10:$CZ$161,_xlpm.r,_xlpm.c),""),
  IF(OR(_xlpm.w="",_xlpm.v=""),"",_xlpm.v*_xlpm.w)
)</f>
        <v/>
      </c>
      <c r="BQ66" s="93" t="str" cm="1">
        <f t="array" ref="BQ66">_xlfn.LET(
  _xlpm.w, BQ$11,
  _xlpm.r, MATCH(1,('3. Enter Indicator Scores'!$B$10:$B$161=$B66)*('3. Enter Indicator Scores'!$C$10:$C$161=$C66),0),
  _xlpm.c, MATCH(BQ$8,'3. Enter Indicator Scores'!$D$8:$CZ$8,0),
  _xlpm.v, IFERROR(INDEX('3. Enter Indicator Scores'!$D$10:$CZ$161,_xlpm.r,_xlpm.c),""),
  IF(OR(_xlpm.w="",_xlpm.v=""),"",_xlpm.v*_xlpm.w)
)</f>
        <v/>
      </c>
      <c r="BR66" s="93" t="str" cm="1">
        <f t="array" ref="BR66">_xlfn.LET(
  _xlpm.w, BR$11,
  _xlpm.r, MATCH(1,('3. Enter Indicator Scores'!$B$10:$B$161=$B66)*('3. Enter Indicator Scores'!$C$10:$C$161=$C66),0),
  _xlpm.c, MATCH(BR$8,'3. Enter Indicator Scores'!$D$8:$CZ$8,0),
  _xlpm.v, IFERROR(INDEX('3. Enter Indicator Scores'!$D$10:$CZ$161,_xlpm.r,_xlpm.c),""),
  IF(OR(_xlpm.w="",_xlpm.v=""),"",_xlpm.v*_xlpm.w)
)</f>
        <v/>
      </c>
      <c r="BS66" s="93" t="str" cm="1">
        <f t="array" ref="BS66">_xlfn.LET(
  _xlpm.w, BS$11,
  _xlpm.r, MATCH(1,('3. Enter Indicator Scores'!$B$10:$B$161=$B66)*('3. Enter Indicator Scores'!$C$10:$C$161=$C66),0),
  _xlpm.c, MATCH(BS$8,'3. Enter Indicator Scores'!$D$8:$CZ$8,0),
  _xlpm.v, IFERROR(INDEX('3. Enter Indicator Scores'!$D$10:$CZ$161,_xlpm.r,_xlpm.c),""),
  IF(OR(_xlpm.w="",_xlpm.v=""),"",_xlpm.v*_xlpm.w)
)</f>
        <v/>
      </c>
      <c r="BT66" s="93" t="str" cm="1">
        <f t="array" ref="BT66">_xlfn.LET(
  _xlpm.w, BT$11,
  _xlpm.r, MATCH(1,('3. Enter Indicator Scores'!$B$10:$B$161=$B66)*('3. Enter Indicator Scores'!$C$10:$C$161=$C66),0),
  _xlpm.c, MATCH(BT$8,'3. Enter Indicator Scores'!$D$8:$CZ$8,0),
  _xlpm.v, IFERROR(INDEX('3. Enter Indicator Scores'!$D$10:$CZ$161,_xlpm.r,_xlpm.c),""),
  IF(OR(_xlpm.w="",_xlpm.v=""),"",_xlpm.v*_xlpm.w)
)</f>
        <v/>
      </c>
      <c r="BU66" s="93" t="str" cm="1">
        <f t="array" ref="BU66">_xlfn.LET(
  _xlpm.w, BU$11,
  _xlpm.r, MATCH(1,('3. Enter Indicator Scores'!$B$10:$B$161=$B66)*('3. Enter Indicator Scores'!$C$10:$C$161=$C66),0),
  _xlpm.c, MATCH(BU$8,'3. Enter Indicator Scores'!$D$8:$CZ$8,0),
  _xlpm.v, IFERROR(INDEX('3. Enter Indicator Scores'!$D$10:$CZ$161,_xlpm.r,_xlpm.c),""),
  IF(OR(_xlpm.w="",_xlpm.v=""),"",_xlpm.v*_xlpm.w)
)</f>
        <v/>
      </c>
      <c r="BV66" s="93" t="str" cm="1">
        <f t="array" ref="BV66">_xlfn.LET(
  _xlpm.w, BV$11,
  _xlpm.r, MATCH(1,('3. Enter Indicator Scores'!$B$10:$B$161=$B66)*('3. Enter Indicator Scores'!$C$10:$C$161=$C66),0),
  _xlpm.c, MATCH(BV$8,'3. Enter Indicator Scores'!$D$8:$CZ$8,0),
  _xlpm.v, IFERROR(INDEX('3. Enter Indicator Scores'!$D$10:$CZ$161,_xlpm.r,_xlpm.c),""),
  IF(OR(_xlpm.w="",_xlpm.v=""),"",_xlpm.v*_xlpm.w)
)</f>
        <v/>
      </c>
      <c r="BW66" s="93" t="str" cm="1">
        <f t="array" ref="BW66">_xlfn.LET(
  _xlpm.w, BW$11,
  _xlpm.r, MATCH(1,('3. Enter Indicator Scores'!$B$10:$B$161=$B66)*('3. Enter Indicator Scores'!$C$10:$C$161=$C66),0),
  _xlpm.c, MATCH(BW$8,'3. Enter Indicator Scores'!$D$8:$CZ$8,0),
  _xlpm.v, IFERROR(INDEX('3. Enter Indicator Scores'!$D$10:$CZ$161,_xlpm.r,_xlpm.c),""),
  IF(OR(_xlpm.w="",_xlpm.v=""),"",_xlpm.v*_xlpm.w)
)</f>
        <v/>
      </c>
      <c r="BX66" s="93" t="str" cm="1">
        <f t="array" ref="BX66">_xlfn.LET(
  _xlpm.w, BX$11,
  _xlpm.r, MATCH(1,('3. Enter Indicator Scores'!$B$10:$B$161=$B66)*('3. Enter Indicator Scores'!$C$10:$C$161=$C66),0),
  _xlpm.c, MATCH(BX$8,'3. Enter Indicator Scores'!$D$8:$CZ$8,0),
  _xlpm.v, IFERROR(INDEX('3. Enter Indicator Scores'!$D$10:$CZ$161,_xlpm.r,_xlpm.c),""),
  IF(OR(_xlpm.w="",_xlpm.v=""),"",_xlpm.v*_xlpm.w)
)</f>
        <v/>
      </c>
      <c r="BY66" s="93" t="str" cm="1">
        <f t="array" ref="BY66">_xlfn.LET(
  _xlpm.w, BY$11,
  _xlpm.r, MATCH(1,('3. Enter Indicator Scores'!$B$10:$B$161=$B66)*('3. Enter Indicator Scores'!$C$10:$C$161=$C66),0),
  _xlpm.c, MATCH(BY$8,'3. Enter Indicator Scores'!$D$8:$CZ$8,0),
  _xlpm.v, IFERROR(INDEX('3. Enter Indicator Scores'!$D$10:$CZ$161,_xlpm.r,_xlpm.c),""),
  IF(OR(_xlpm.w="",_xlpm.v=""),"",_xlpm.v*_xlpm.w)
)</f>
        <v/>
      </c>
      <c r="BZ66" s="93" t="str" cm="1">
        <f t="array" ref="BZ66">_xlfn.LET(
  _xlpm.w, BZ$11,
  _xlpm.r, MATCH(1,('3. Enter Indicator Scores'!$B$10:$B$161=$B66)*('3. Enter Indicator Scores'!$C$10:$C$161=$C66),0),
  _xlpm.c, MATCH(BZ$8,'3. Enter Indicator Scores'!$D$8:$CZ$8,0),
  _xlpm.v, IFERROR(INDEX('3. Enter Indicator Scores'!$D$10:$CZ$161,_xlpm.r,_xlpm.c),""),
  IF(OR(_xlpm.w="",_xlpm.v=""),"",_xlpm.v*_xlpm.w)
)</f>
        <v/>
      </c>
      <c r="CA66" s="93" t="str" cm="1">
        <f t="array" ref="CA66">_xlfn.LET(
  _xlpm.w, CA$11,
  _xlpm.r, MATCH(1,('3. Enter Indicator Scores'!$B$10:$B$161=$B66)*('3. Enter Indicator Scores'!$C$10:$C$161=$C66),0),
  _xlpm.c, MATCH(CA$8,'3. Enter Indicator Scores'!$D$8:$CZ$8,0),
  _xlpm.v, IFERROR(INDEX('3. Enter Indicator Scores'!$D$10:$CZ$161,_xlpm.r,_xlpm.c),""),
  IF(OR(_xlpm.w="",_xlpm.v=""),"",_xlpm.v*_xlpm.w)
)</f>
        <v/>
      </c>
      <c r="CB66" s="93" t="str" cm="1">
        <f t="array" ref="CB66">_xlfn.LET(
  _xlpm.w, CB$11,
  _xlpm.r, MATCH(1,('3. Enter Indicator Scores'!$B$10:$B$161=$B66)*('3. Enter Indicator Scores'!$C$10:$C$161=$C66),0),
  _xlpm.c, MATCH(CB$8,'3. Enter Indicator Scores'!$D$8:$CZ$8,0),
  _xlpm.v, IFERROR(INDEX('3. Enter Indicator Scores'!$D$10:$CZ$161,_xlpm.r,_xlpm.c),""),
  IF(OR(_xlpm.w="",_xlpm.v=""),"",_xlpm.v*_xlpm.w)
)</f>
        <v/>
      </c>
      <c r="CC66" s="93" t="str" cm="1">
        <f t="array" ref="CC66">_xlfn.LET(
  _xlpm.w, CC$11,
  _xlpm.r, MATCH(1,('3. Enter Indicator Scores'!$B$10:$B$161=$B66)*('3. Enter Indicator Scores'!$C$10:$C$161=$C66),0),
  _xlpm.c, MATCH(CC$8,'3. Enter Indicator Scores'!$D$8:$CZ$8,0),
  _xlpm.v, IFERROR(INDEX('3. Enter Indicator Scores'!$D$10:$CZ$161,_xlpm.r,_xlpm.c),""),
  IF(OR(_xlpm.w="",_xlpm.v=""),"",_xlpm.v*_xlpm.w)
)</f>
        <v/>
      </c>
      <c r="CD66" s="93" t="str" cm="1">
        <f t="array" ref="CD66">_xlfn.LET(
  _xlpm.w, CD$11,
  _xlpm.r, MATCH(1,('3. Enter Indicator Scores'!$B$10:$B$161=$B66)*('3. Enter Indicator Scores'!$C$10:$C$161=$C66),0),
  _xlpm.c, MATCH(CD$8,'3. Enter Indicator Scores'!$D$8:$CZ$8,0),
  _xlpm.v, IFERROR(INDEX('3. Enter Indicator Scores'!$D$10:$CZ$161,_xlpm.r,_xlpm.c),""),
  IF(OR(_xlpm.w="",_xlpm.v=""),"",_xlpm.v*_xlpm.w)
)</f>
        <v/>
      </c>
      <c r="CE66" s="93" t="str" cm="1">
        <f t="array" ref="CE66">_xlfn.LET(
  _xlpm.w, CE$11,
  _xlpm.r, MATCH(1,('3. Enter Indicator Scores'!$B$10:$B$161=$B66)*('3. Enter Indicator Scores'!$C$10:$C$161=$C66),0),
  _xlpm.c, MATCH(CE$8,'3. Enter Indicator Scores'!$D$8:$CZ$8,0),
  _xlpm.v, IFERROR(INDEX('3. Enter Indicator Scores'!$D$10:$CZ$161,_xlpm.r,_xlpm.c),""),
  IF(OR(_xlpm.w="",_xlpm.v=""),"",_xlpm.v*_xlpm.w)
)</f>
        <v/>
      </c>
      <c r="CF66" s="93" t="str" cm="1">
        <f t="array" ref="CF66">_xlfn.LET(
  _xlpm.w, CF$11,
  _xlpm.r, MATCH(1,('3. Enter Indicator Scores'!$B$10:$B$161=$B66)*('3. Enter Indicator Scores'!$C$10:$C$161=$C66),0),
  _xlpm.c, MATCH(CF$8,'3. Enter Indicator Scores'!$D$8:$CZ$8,0),
  _xlpm.v, IFERROR(INDEX('3. Enter Indicator Scores'!$D$10:$CZ$161,_xlpm.r,_xlpm.c),""),
  IF(OR(_xlpm.w="",_xlpm.v=""),"",_xlpm.v*_xlpm.w)
)</f>
        <v/>
      </c>
      <c r="CG66" s="93" t="str" cm="1">
        <f t="array" ref="CG66">_xlfn.LET(
  _xlpm.w, CG$11,
  _xlpm.r, MATCH(1,('3. Enter Indicator Scores'!$B$10:$B$161=$B66)*('3. Enter Indicator Scores'!$C$10:$C$161=$C66),0),
  _xlpm.c, MATCH(CG$8,'3. Enter Indicator Scores'!$D$8:$CZ$8,0),
  _xlpm.v, IFERROR(INDEX('3. Enter Indicator Scores'!$D$10:$CZ$161,_xlpm.r,_xlpm.c),""),
  IF(OR(_xlpm.w="",_xlpm.v=""),"",_xlpm.v*_xlpm.w)
)</f>
        <v/>
      </c>
      <c r="CH66" s="93" t="str" cm="1">
        <f t="array" ref="CH66">_xlfn.LET(
  _xlpm.w, CH$11,
  _xlpm.r, MATCH(1,('3. Enter Indicator Scores'!$B$10:$B$161=$B66)*('3. Enter Indicator Scores'!$C$10:$C$161=$C66),0),
  _xlpm.c, MATCH(CH$8,'3. Enter Indicator Scores'!$D$8:$CZ$8,0),
  _xlpm.v, IFERROR(INDEX('3. Enter Indicator Scores'!$D$10:$CZ$161,_xlpm.r,_xlpm.c),""),
  IF(OR(_xlpm.w="",_xlpm.v=""),"",_xlpm.v*_xlpm.w)
)</f>
        <v/>
      </c>
      <c r="CI66" s="93" t="str" cm="1">
        <f t="array" ref="CI66">_xlfn.LET(
  _xlpm.w, CI$11,
  _xlpm.r, MATCH(1,('3. Enter Indicator Scores'!$B$10:$B$161=$B66)*('3. Enter Indicator Scores'!$C$10:$C$161=$C66),0),
  _xlpm.c, MATCH(CI$8,'3. Enter Indicator Scores'!$D$8:$CZ$8,0),
  _xlpm.v, IFERROR(INDEX('3. Enter Indicator Scores'!$D$10:$CZ$161,_xlpm.r,_xlpm.c),""),
  IF(OR(_xlpm.w="",_xlpm.v=""),"",_xlpm.v*_xlpm.w)
)</f>
        <v/>
      </c>
      <c r="CJ66" s="93" t="str" cm="1">
        <f t="array" ref="CJ66">_xlfn.LET(
  _xlpm.w, CJ$11,
  _xlpm.r, MATCH(1,('3. Enter Indicator Scores'!$B$10:$B$161=$B66)*('3. Enter Indicator Scores'!$C$10:$C$161=$C66),0),
  _xlpm.c, MATCH(CJ$8,'3. Enter Indicator Scores'!$D$8:$CZ$8,0),
  _xlpm.v, IFERROR(INDEX('3. Enter Indicator Scores'!$D$10:$CZ$161,_xlpm.r,_xlpm.c),""),
  IF(OR(_xlpm.w="",_xlpm.v=""),"",_xlpm.v*_xlpm.w)
)</f>
        <v/>
      </c>
      <c r="CK66" s="93" t="str" cm="1">
        <f t="array" ref="CK66">_xlfn.LET(
  _xlpm.w, CK$11,
  _xlpm.r, MATCH(1,('3. Enter Indicator Scores'!$B$10:$B$161=$B66)*('3. Enter Indicator Scores'!$C$10:$C$161=$C66),0),
  _xlpm.c, MATCH(CK$8,'3. Enter Indicator Scores'!$D$8:$CZ$8,0),
  _xlpm.v, IFERROR(INDEX('3. Enter Indicator Scores'!$D$10:$CZ$161,_xlpm.r,_xlpm.c),""),
  IF(OR(_xlpm.w="",_xlpm.v=""),"",_xlpm.v*_xlpm.w)
)</f>
        <v/>
      </c>
      <c r="CL66" s="93" t="str" cm="1">
        <f t="array" ref="CL66">_xlfn.LET(
  _xlpm.w, CL$11,
  _xlpm.r, MATCH(1,('3. Enter Indicator Scores'!$B$10:$B$161=$B66)*('3. Enter Indicator Scores'!$C$10:$C$161=$C66),0),
  _xlpm.c, MATCH(CL$8,'3. Enter Indicator Scores'!$D$8:$CZ$8,0),
  _xlpm.v, IFERROR(INDEX('3. Enter Indicator Scores'!$D$10:$CZ$161,_xlpm.r,_xlpm.c),""),
  IF(OR(_xlpm.w="",_xlpm.v=""),"",_xlpm.v*_xlpm.w)
)</f>
        <v/>
      </c>
      <c r="CM66" s="93" t="str" cm="1">
        <f t="array" ref="CM66">_xlfn.LET(
  _xlpm.w, CM$11,
  _xlpm.r, MATCH(1,('3. Enter Indicator Scores'!$B$10:$B$161=$B66)*('3. Enter Indicator Scores'!$C$10:$C$161=$C66),0),
  _xlpm.c, MATCH(CM$8,'3. Enter Indicator Scores'!$D$8:$CZ$8,0),
  _xlpm.v, IFERROR(INDEX('3. Enter Indicator Scores'!$D$10:$CZ$161,_xlpm.r,_xlpm.c),""),
  IF(OR(_xlpm.w="",_xlpm.v=""),"",_xlpm.v*_xlpm.w)
)</f>
        <v/>
      </c>
      <c r="CN66" s="93" t="str" cm="1">
        <f t="array" ref="CN66">_xlfn.LET(
  _xlpm.w, CN$11,
  _xlpm.r, MATCH(1,('3. Enter Indicator Scores'!$B$10:$B$161=$B66)*('3. Enter Indicator Scores'!$C$10:$C$161=$C66),0),
  _xlpm.c, MATCH(CN$8,'3. Enter Indicator Scores'!$D$8:$CZ$8,0),
  _xlpm.v, IFERROR(INDEX('3. Enter Indicator Scores'!$D$10:$CZ$161,_xlpm.r,_xlpm.c),""),
  IF(OR(_xlpm.w="",_xlpm.v=""),"",_xlpm.v*_xlpm.w)
)</f>
        <v/>
      </c>
      <c r="CO66" s="93" t="str" cm="1">
        <f t="array" ref="CO66">_xlfn.LET(
  _xlpm.w, CO$11,
  _xlpm.r, MATCH(1,('3. Enter Indicator Scores'!$B$10:$B$161=$B66)*('3. Enter Indicator Scores'!$C$10:$C$161=$C66),0),
  _xlpm.c, MATCH(CO$8,'3. Enter Indicator Scores'!$D$8:$CZ$8,0),
  _xlpm.v, IFERROR(INDEX('3. Enter Indicator Scores'!$D$10:$CZ$161,_xlpm.r,_xlpm.c),""),
  IF(OR(_xlpm.w="",_xlpm.v=""),"",_xlpm.v*_xlpm.w)
)</f>
        <v/>
      </c>
      <c r="CP66" s="93" t="str" cm="1">
        <f t="array" ref="CP66">_xlfn.LET(
  _xlpm.w, CP$11,
  _xlpm.r, MATCH(1,('3. Enter Indicator Scores'!$B$10:$B$161=$B66)*('3. Enter Indicator Scores'!$C$10:$C$161=$C66),0),
  _xlpm.c, MATCH(CP$8,'3. Enter Indicator Scores'!$D$8:$CZ$8,0),
  _xlpm.v, IFERROR(INDEX('3. Enter Indicator Scores'!$D$10:$CZ$161,_xlpm.r,_xlpm.c),""),
  IF(OR(_xlpm.w="",_xlpm.v=""),"",_xlpm.v*_xlpm.w)
)</f>
        <v/>
      </c>
      <c r="CQ66" s="93" t="str" cm="1">
        <f t="array" ref="CQ66">_xlfn.LET(
  _xlpm.w, CQ$11,
  _xlpm.r, MATCH(1,('3. Enter Indicator Scores'!$B$10:$B$161=$B66)*('3. Enter Indicator Scores'!$C$10:$C$161=$C66),0),
  _xlpm.c, MATCH(CQ$8,'3. Enter Indicator Scores'!$D$8:$CZ$8,0),
  _xlpm.v, IFERROR(INDEX('3. Enter Indicator Scores'!$D$10:$CZ$161,_xlpm.r,_xlpm.c),""),
  IF(OR(_xlpm.w="",_xlpm.v=""),"",_xlpm.v*_xlpm.w)
)</f>
        <v/>
      </c>
      <c r="CR66" s="93" t="str" cm="1">
        <f t="array" ref="CR66">_xlfn.LET(
  _xlpm.w, CR$11,
  _xlpm.r, MATCH(1,('3. Enter Indicator Scores'!$B$10:$B$161=$B66)*('3. Enter Indicator Scores'!$C$10:$C$161=$C66),0),
  _xlpm.c, MATCH(CR$8,'3. Enter Indicator Scores'!$D$8:$CZ$8,0),
  _xlpm.v, IFERROR(INDEX('3. Enter Indicator Scores'!$D$10:$CZ$161,_xlpm.r,_xlpm.c),""),
  IF(OR(_xlpm.w="",_xlpm.v=""),"",_xlpm.v*_xlpm.w)
)</f>
        <v/>
      </c>
      <c r="CS66" s="93" t="str" cm="1">
        <f t="array" ref="CS66">_xlfn.LET(
  _xlpm.w, CS$11,
  _xlpm.r, MATCH(1,('3. Enter Indicator Scores'!$B$10:$B$161=$B66)*('3. Enter Indicator Scores'!$C$10:$C$161=$C66),0),
  _xlpm.c, MATCH(CS$8,'3. Enter Indicator Scores'!$D$8:$CZ$8,0),
  _xlpm.v, IFERROR(INDEX('3. Enter Indicator Scores'!$D$10:$CZ$161,_xlpm.r,_xlpm.c),""),
  IF(OR(_xlpm.w="",_xlpm.v=""),"",_xlpm.v*_xlpm.w)
)</f>
        <v/>
      </c>
      <c r="CT66" s="93" t="str" cm="1">
        <f t="array" ref="CT66">_xlfn.LET(
  _xlpm.w, CT$11,
  _xlpm.r, MATCH(1,('3. Enter Indicator Scores'!$B$10:$B$161=$B66)*('3. Enter Indicator Scores'!$C$10:$C$161=$C66),0),
  _xlpm.c, MATCH(CT$8,'3. Enter Indicator Scores'!$D$8:$CZ$8,0),
  _xlpm.v, IFERROR(INDEX('3. Enter Indicator Scores'!$D$10:$CZ$161,_xlpm.r,_xlpm.c),""),
  IF(OR(_xlpm.w="",_xlpm.v=""),"",_xlpm.v*_xlpm.w)
)</f>
        <v/>
      </c>
      <c r="CU66" s="93" t="str" cm="1">
        <f t="array" ref="CU66">_xlfn.LET(
  _xlpm.w, CU$11,
  _xlpm.r, MATCH(1,('3. Enter Indicator Scores'!$B$10:$B$161=$B66)*('3. Enter Indicator Scores'!$C$10:$C$161=$C66),0),
  _xlpm.c, MATCH(CU$8,'3. Enter Indicator Scores'!$D$8:$CZ$8,0),
  _xlpm.v, IFERROR(INDEX('3. Enter Indicator Scores'!$D$10:$CZ$161,_xlpm.r,_xlpm.c),""),
  IF(OR(_xlpm.w="",_xlpm.v=""),"",_xlpm.v*_xlpm.w)
)</f>
        <v/>
      </c>
      <c r="CV66" s="93" t="str" cm="1">
        <f t="array" ref="CV66">_xlfn.LET(
  _xlpm.w, CV$11,
  _xlpm.r, MATCH(1,('3. Enter Indicator Scores'!$B$10:$B$161=$B66)*('3. Enter Indicator Scores'!$C$10:$C$161=$C66),0),
  _xlpm.c, MATCH(CV$8,'3. Enter Indicator Scores'!$D$8:$CZ$8,0),
  _xlpm.v, IFERROR(INDEX('3. Enter Indicator Scores'!$D$10:$CZ$161,_xlpm.r,_xlpm.c),""),
  IF(OR(_xlpm.w="",_xlpm.v=""),"",_xlpm.v*_xlpm.w)
)</f>
        <v/>
      </c>
      <c r="CW66" s="93" t="str" cm="1">
        <f t="array" ref="CW66">_xlfn.LET(
  _xlpm.w, CW$11,
  _xlpm.r, MATCH(1,('3. Enter Indicator Scores'!$B$10:$B$161=$B66)*('3. Enter Indicator Scores'!$C$10:$C$161=$C66),0),
  _xlpm.c, MATCH(CW$8,'3. Enter Indicator Scores'!$D$8:$CZ$8,0),
  _xlpm.v, IFERROR(INDEX('3. Enter Indicator Scores'!$D$10:$CZ$161,_xlpm.r,_xlpm.c),""),
  IF(OR(_xlpm.w="",_xlpm.v=""),"",_xlpm.v*_xlpm.w)
)</f>
        <v/>
      </c>
      <c r="CX66" s="93" t="str" cm="1">
        <f t="array" ref="CX66">_xlfn.LET(
  _xlpm.w, CX$11,
  _xlpm.r, MATCH(1,('3. Enter Indicator Scores'!$B$10:$B$161=$B66)*('3. Enter Indicator Scores'!$C$10:$C$161=$C66),0),
  _xlpm.c, MATCH(CX$8,'3. Enter Indicator Scores'!$D$8:$CZ$8,0),
  _xlpm.v, IFERROR(INDEX('3. Enter Indicator Scores'!$D$10:$CZ$161,_xlpm.r,_xlpm.c),""),
  IF(OR(_xlpm.w="",_xlpm.v=""),"",_xlpm.v*_xlpm.w)
)</f>
        <v/>
      </c>
      <c r="CY66" s="93" t="str" cm="1">
        <f t="array" ref="CY66">_xlfn.LET(
  _xlpm.w, CY$11,
  _xlpm.r, MATCH(1,('3. Enter Indicator Scores'!$B$10:$B$161=$B66)*('3. Enter Indicator Scores'!$C$10:$C$161=$C66),0),
  _xlpm.c, MATCH(CY$8,'3. Enter Indicator Scores'!$D$8:$CZ$8,0),
  _xlpm.v, IFERROR(INDEX('3. Enter Indicator Scores'!$D$10:$CZ$161,_xlpm.r,_xlpm.c),""),
  IF(OR(_xlpm.w="",_xlpm.v=""),"",_xlpm.v*_xlpm.w)
)</f>
        <v/>
      </c>
      <c r="CZ66" s="93" t="str" cm="1">
        <f t="array" ref="CZ66">_xlfn.LET(
  _xlpm.w, CZ$11,
  _xlpm.r, MATCH(1,('3. Enter Indicator Scores'!$B$10:$B$161=$B66)*('3. Enter Indicator Scores'!$C$10:$C$161=$C66),0),
  _xlpm.c, MATCH(CZ$8,'3. Enter Indicator Scores'!$D$8:$CZ$8,0),
  _xlpm.v, IFERROR(INDEX('3. Enter Indicator Scores'!$D$10:$CZ$161,_xlpm.r,_xlpm.c),""),
  IF(OR(_xlpm.w="",_xlpm.v=""),"",_xlpm.v*_xlpm.w)
)</f>
        <v/>
      </c>
    </row>
    <row r="67" spans="4:104" x14ac:dyDescent="0.2">
      <c r="D67" s="93" t="str" cm="1">
        <f t="array" ref="D67">_xlfn.LET(
  _xlpm.w, D$11,
  _xlpm.r, MATCH(1,('3. Enter Indicator Scores'!$B$10:$B$161=$B67)*('3. Enter Indicator Scores'!$C$10:$C$161=$C67),0),
  _xlpm.c, MATCH(D$8,'3. Enter Indicator Scores'!$D$8:$CZ$8,0),
  _xlpm.v, IFERROR(INDEX('3. Enter Indicator Scores'!$D$10:$CZ$161,_xlpm.r,_xlpm.c),""),
  IF(OR(_xlpm.w="",_xlpm.v=""),"",_xlpm.v*_xlpm.w)
)</f>
        <v/>
      </c>
      <c r="E67" s="93" t="str" cm="1">
        <f t="array" ref="E67">_xlfn.LET(
  _xlpm.w, E$11,
  _xlpm.r, MATCH(1,('3. Enter Indicator Scores'!$B$10:$B$161=$B67)*('3. Enter Indicator Scores'!$C$10:$C$161=$C67),0),
  _xlpm.c, MATCH(E$8,'3. Enter Indicator Scores'!$D$8:$CZ$8,0),
  _xlpm.v, IFERROR(INDEX('3. Enter Indicator Scores'!$D$10:$CZ$161,_xlpm.r,_xlpm.c),""),
  IF(OR(_xlpm.w="",_xlpm.v=""),"",_xlpm.v*_xlpm.w)
)</f>
        <v/>
      </c>
      <c r="F67" s="93" t="str" cm="1">
        <f t="array" ref="F67">_xlfn.LET(
  _xlpm.w, F$11,
  _xlpm.r, MATCH(1,('3. Enter Indicator Scores'!$B$10:$B$161=$B67)*('3. Enter Indicator Scores'!$C$10:$C$161=$C67),0),
  _xlpm.c, MATCH(F$8,'3. Enter Indicator Scores'!$D$8:$CZ$8,0),
  _xlpm.v, IFERROR(INDEX('3. Enter Indicator Scores'!$D$10:$CZ$161,_xlpm.r,_xlpm.c),""),
  IF(OR(_xlpm.w="",_xlpm.v=""),"",_xlpm.v*_xlpm.w)
)</f>
        <v/>
      </c>
      <c r="G67" s="93" t="str" cm="1">
        <f t="array" ref="G67">_xlfn.LET(
  _xlpm.w, G$11,
  _xlpm.r, MATCH(1,('3. Enter Indicator Scores'!$B$10:$B$161=$B67)*('3. Enter Indicator Scores'!$C$10:$C$161=$C67),0),
  _xlpm.c, MATCH(G$8,'3. Enter Indicator Scores'!$D$8:$CZ$8,0),
  _xlpm.v, IFERROR(INDEX('3. Enter Indicator Scores'!$D$10:$CZ$161,_xlpm.r,_xlpm.c),""),
  IF(OR(_xlpm.w="",_xlpm.v=""),"",_xlpm.v*_xlpm.w)
)</f>
        <v/>
      </c>
      <c r="H67" s="93" t="str" cm="1">
        <f t="array" ref="H67">_xlfn.LET(
  _xlpm.w, H$11,
  _xlpm.r, MATCH(1,('3. Enter Indicator Scores'!$B$10:$B$161=$B67)*('3. Enter Indicator Scores'!$C$10:$C$161=$C67),0),
  _xlpm.c, MATCH(H$8,'3. Enter Indicator Scores'!$D$8:$CZ$8,0),
  _xlpm.v, IFERROR(INDEX('3. Enter Indicator Scores'!$D$10:$CZ$161,_xlpm.r,_xlpm.c),""),
  IF(OR(_xlpm.w="",_xlpm.v=""),"",_xlpm.v*_xlpm.w)
)</f>
        <v/>
      </c>
      <c r="I67" s="93" t="str" cm="1">
        <f t="array" ref="I67">_xlfn.LET(
  _xlpm.w, I$11,
  _xlpm.r, MATCH(1,('3. Enter Indicator Scores'!$B$10:$B$161=$B67)*('3. Enter Indicator Scores'!$C$10:$C$161=$C67),0),
  _xlpm.c, MATCH(I$8,'3. Enter Indicator Scores'!$D$8:$CZ$8,0),
  _xlpm.v, IFERROR(INDEX('3. Enter Indicator Scores'!$D$10:$CZ$161,_xlpm.r,_xlpm.c),""),
  IF(OR(_xlpm.w="",_xlpm.v=""),"",_xlpm.v*_xlpm.w)
)</f>
        <v/>
      </c>
      <c r="J67" s="93" t="str" cm="1">
        <f t="array" ref="J67">_xlfn.LET(
  _xlpm.w, J$11,
  _xlpm.r, MATCH(1,('3. Enter Indicator Scores'!$B$10:$B$161=$B67)*('3. Enter Indicator Scores'!$C$10:$C$161=$C67),0),
  _xlpm.c, MATCH(J$8,'3. Enter Indicator Scores'!$D$8:$CZ$8,0),
  _xlpm.v, IFERROR(INDEX('3. Enter Indicator Scores'!$D$10:$CZ$161,_xlpm.r,_xlpm.c),""),
  IF(OR(_xlpm.w="",_xlpm.v=""),"",_xlpm.v*_xlpm.w)
)</f>
        <v/>
      </c>
      <c r="K67" s="93" t="str" cm="1">
        <f t="array" ref="K67">_xlfn.LET(
  _xlpm.w, K$11,
  _xlpm.r, MATCH(1,('3. Enter Indicator Scores'!$B$10:$B$161=$B67)*('3. Enter Indicator Scores'!$C$10:$C$161=$C67),0),
  _xlpm.c, MATCH(K$8,'3. Enter Indicator Scores'!$D$8:$CZ$8,0),
  _xlpm.v, IFERROR(INDEX('3. Enter Indicator Scores'!$D$10:$CZ$161,_xlpm.r,_xlpm.c),""),
  IF(OR(_xlpm.w="",_xlpm.v=""),"",_xlpm.v*_xlpm.w)
)</f>
        <v/>
      </c>
      <c r="L67" s="93" t="str" cm="1">
        <f t="array" ref="L67">_xlfn.LET(
  _xlpm.w, L$11,
  _xlpm.r, MATCH(1,('3. Enter Indicator Scores'!$B$10:$B$161=$B67)*('3. Enter Indicator Scores'!$C$10:$C$161=$C67),0),
  _xlpm.c, MATCH(L$8,'3. Enter Indicator Scores'!$D$8:$CZ$8,0),
  _xlpm.v, IFERROR(INDEX('3. Enter Indicator Scores'!$D$10:$CZ$161,_xlpm.r,_xlpm.c),""),
  IF(OR(_xlpm.w="",_xlpm.v=""),"",_xlpm.v*_xlpm.w)
)</f>
        <v/>
      </c>
      <c r="M67" s="93" t="str" cm="1">
        <f t="array" ref="M67">_xlfn.LET(
  _xlpm.w, M$11,
  _xlpm.r, MATCH(1,('3. Enter Indicator Scores'!$B$10:$B$161=$B67)*('3. Enter Indicator Scores'!$C$10:$C$161=$C67),0),
  _xlpm.c, MATCH(M$8,'3. Enter Indicator Scores'!$D$8:$CZ$8,0),
  _xlpm.v, IFERROR(INDEX('3. Enter Indicator Scores'!$D$10:$CZ$161,_xlpm.r,_xlpm.c),""),
  IF(OR(_xlpm.w="",_xlpm.v=""),"",_xlpm.v*_xlpm.w)
)</f>
        <v/>
      </c>
      <c r="N67" s="93" t="str" cm="1">
        <f t="array" ref="N67">_xlfn.LET(
  _xlpm.w, N$11,
  _xlpm.r, MATCH(1,('3. Enter Indicator Scores'!$B$10:$B$161=$B67)*('3. Enter Indicator Scores'!$C$10:$C$161=$C67),0),
  _xlpm.c, MATCH(N$8,'3. Enter Indicator Scores'!$D$8:$CZ$8,0),
  _xlpm.v, IFERROR(INDEX('3. Enter Indicator Scores'!$D$10:$CZ$161,_xlpm.r,_xlpm.c),""),
  IF(OR(_xlpm.w="",_xlpm.v=""),"",_xlpm.v*_xlpm.w)
)</f>
        <v/>
      </c>
      <c r="O67" s="93" t="str" cm="1">
        <f t="array" ref="O67">_xlfn.LET(
  _xlpm.w, O$11,
  _xlpm.r, MATCH(1,('3. Enter Indicator Scores'!$B$10:$B$161=$B67)*('3. Enter Indicator Scores'!$C$10:$C$161=$C67),0),
  _xlpm.c, MATCH(O$8,'3. Enter Indicator Scores'!$D$8:$CZ$8,0),
  _xlpm.v, IFERROR(INDEX('3. Enter Indicator Scores'!$D$10:$CZ$161,_xlpm.r,_xlpm.c),""),
  IF(OR(_xlpm.w="",_xlpm.v=""),"",_xlpm.v*_xlpm.w)
)</f>
        <v/>
      </c>
      <c r="P67" s="93" t="str" cm="1">
        <f t="array" ref="P67">_xlfn.LET(
  _xlpm.w, P$11,
  _xlpm.r, MATCH(1,('3. Enter Indicator Scores'!$B$10:$B$161=$B67)*('3. Enter Indicator Scores'!$C$10:$C$161=$C67),0),
  _xlpm.c, MATCH(P$8,'3. Enter Indicator Scores'!$D$8:$CZ$8,0),
  _xlpm.v, IFERROR(INDEX('3. Enter Indicator Scores'!$D$10:$CZ$161,_xlpm.r,_xlpm.c),""),
  IF(OR(_xlpm.w="",_xlpm.v=""),"",_xlpm.v*_xlpm.w)
)</f>
        <v/>
      </c>
      <c r="Q67" s="93" t="str" cm="1">
        <f t="array" ref="Q67">_xlfn.LET(
  _xlpm.w, Q$11,
  _xlpm.r, MATCH(1,('3. Enter Indicator Scores'!$B$10:$B$161=$B67)*('3. Enter Indicator Scores'!$C$10:$C$161=$C67),0),
  _xlpm.c, MATCH(Q$8,'3. Enter Indicator Scores'!$D$8:$CZ$8,0),
  _xlpm.v, IFERROR(INDEX('3. Enter Indicator Scores'!$D$10:$CZ$161,_xlpm.r,_xlpm.c),""),
  IF(OR(_xlpm.w="",_xlpm.v=""),"",_xlpm.v*_xlpm.w)
)</f>
        <v/>
      </c>
      <c r="R67" s="93" t="str" cm="1">
        <f t="array" ref="R67">_xlfn.LET(
  _xlpm.w, R$11,
  _xlpm.r, MATCH(1,('3. Enter Indicator Scores'!$B$10:$B$161=$B67)*('3. Enter Indicator Scores'!$C$10:$C$161=$C67),0),
  _xlpm.c, MATCH(R$8,'3. Enter Indicator Scores'!$D$8:$CZ$8,0),
  _xlpm.v, IFERROR(INDEX('3. Enter Indicator Scores'!$D$10:$CZ$161,_xlpm.r,_xlpm.c),""),
  IF(OR(_xlpm.w="",_xlpm.v=""),"",_xlpm.v*_xlpm.w)
)</f>
        <v/>
      </c>
      <c r="S67" s="93" t="str" cm="1">
        <f t="array" ref="S67">_xlfn.LET(
  _xlpm.w, S$11,
  _xlpm.r, MATCH(1,('3. Enter Indicator Scores'!$B$10:$B$161=$B67)*('3. Enter Indicator Scores'!$C$10:$C$161=$C67),0),
  _xlpm.c, MATCH(S$8,'3. Enter Indicator Scores'!$D$8:$CZ$8,0),
  _xlpm.v, IFERROR(INDEX('3. Enter Indicator Scores'!$D$10:$CZ$161,_xlpm.r,_xlpm.c),""),
  IF(OR(_xlpm.w="",_xlpm.v=""),"",_xlpm.v*_xlpm.w)
)</f>
        <v/>
      </c>
      <c r="T67" s="93" t="str" cm="1">
        <f t="array" ref="T67">_xlfn.LET(
  _xlpm.w, T$11,
  _xlpm.r, MATCH(1,('3. Enter Indicator Scores'!$B$10:$B$161=$B67)*('3. Enter Indicator Scores'!$C$10:$C$161=$C67),0),
  _xlpm.c, MATCH(T$8,'3. Enter Indicator Scores'!$D$8:$CZ$8,0),
  _xlpm.v, IFERROR(INDEX('3. Enter Indicator Scores'!$D$10:$CZ$161,_xlpm.r,_xlpm.c),""),
  IF(OR(_xlpm.w="",_xlpm.v=""),"",_xlpm.v*_xlpm.w)
)</f>
        <v/>
      </c>
      <c r="U67" s="93" t="str" cm="1">
        <f t="array" ref="U67">_xlfn.LET(
  _xlpm.w, U$11,
  _xlpm.r, MATCH(1,('3. Enter Indicator Scores'!$B$10:$B$161=$B67)*('3. Enter Indicator Scores'!$C$10:$C$161=$C67),0),
  _xlpm.c, MATCH(U$8,'3. Enter Indicator Scores'!$D$8:$CZ$8,0),
  _xlpm.v, IFERROR(INDEX('3. Enter Indicator Scores'!$D$10:$CZ$161,_xlpm.r,_xlpm.c),""),
  IF(OR(_xlpm.w="",_xlpm.v=""),"",_xlpm.v*_xlpm.w)
)</f>
        <v/>
      </c>
      <c r="V67" s="93" t="str" cm="1">
        <f t="array" ref="V67">_xlfn.LET(
  _xlpm.w, V$11,
  _xlpm.r, MATCH(1,('3. Enter Indicator Scores'!$B$10:$B$161=$B67)*('3. Enter Indicator Scores'!$C$10:$C$161=$C67),0),
  _xlpm.c, MATCH(V$8,'3. Enter Indicator Scores'!$D$8:$CZ$8,0),
  _xlpm.v, IFERROR(INDEX('3. Enter Indicator Scores'!$D$10:$CZ$161,_xlpm.r,_xlpm.c),""),
  IF(OR(_xlpm.w="",_xlpm.v=""),"",_xlpm.v*_xlpm.w)
)</f>
        <v/>
      </c>
      <c r="W67" s="93" t="str" cm="1">
        <f t="array" ref="W67">_xlfn.LET(
  _xlpm.w, W$11,
  _xlpm.r, MATCH(1,('3. Enter Indicator Scores'!$B$10:$B$161=$B67)*('3. Enter Indicator Scores'!$C$10:$C$161=$C67),0),
  _xlpm.c, MATCH(W$8,'3. Enter Indicator Scores'!$D$8:$CZ$8,0),
  _xlpm.v, IFERROR(INDEX('3. Enter Indicator Scores'!$D$10:$CZ$161,_xlpm.r,_xlpm.c),""),
  IF(OR(_xlpm.w="",_xlpm.v=""),"",_xlpm.v*_xlpm.w)
)</f>
        <v/>
      </c>
      <c r="X67" s="93" t="str" cm="1">
        <f t="array" ref="X67">_xlfn.LET(
  _xlpm.w, X$11,
  _xlpm.r, MATCH(1,('3. Enter Indicator Scores'!$B$10:$B$161=$B67)*('3. Enter Indicator Scores'!$C$10:$C$161=$C67),0),
  _xlpm.c, MATCH(X$8,'3. Enter Indicator Scores'!$D$8:$CZ$8,0),
  _xlpm.v, IFERROR(INDEX('3. Enter Indicator Scores'!$D$10:$CZ$161,_xlpm.r,_xlpm.c),""),
  IF(OR(_xlpm.w="",_xlpm.v=""),"",_xlpm.v*_xlpm.w)
)</f>
        <v/>
      </c>
      <c r="Y67" s="93" t="str" cm="1">
        <f t="array" ref="Y67">_xlfn.LET(
  _xlpm.w, Y$11,
  _xlpm.r, MATCH(1,('3. Enter Indicator Scores'!$B$10:$B$161=$B67)*('3. Enter Indicator Scores'!$C$10:$C$161=$C67),0),
  _xlpm.c, MATCH(Y$8,'3. Enter Indicator Scores'!$D$8:$CZ$8,0),
  _xlpm.v, IFERROR(INDEX('3. Enter Indicator Scores'!$D$10:$CZ$161,_xlpm.r,_xlpm.c),""),
  IF(OR(_xlpm.w="",_xlpm.v=""),"",_xlpm.v*_xlpm.w)
)</f>
        <v/>
      </c>
      <c r="Z67" s="93" t="str" cm="1">
        <f t="array" ref="Z67">_xlfn.LET(
  _xlpm.w, Z$11,
  _xlpm.r, MATCH(1,('3. Enter Indicator Scores'!$B$10:$B$161=$B67)*('3. Enter Indicator Scores'!$C$10:$C$161=$C67),0),
  _xlpm.c, MATCH(Z$8,'3. Enter Indicator Scores'!$D$8:$CZ$8,0),
  _xlpm.v, IFERROR(INDEX('3. Enter Indicator Scores'!$D$10:$CZ$161,_xlpm.r,_xlpm.c),""),
  IF(OR(_xlpm.w="",_xlpm.v=""),"",_xlpm.v*_xlpm.w)
)</f>
        <v/>
      </c>
      <c r="AA67" s="93" t="str" cm="1">
        <f t="array" ref="AA67">_xlfn.LET(
  _xlpm.w, AA$11,
  _xlpm.r, MATCH(1,('3. Enter Indicator Scores'!$B$10:$B$161=$B67)*('3. Enter Indicator Scores'!$C$10:$C$161=$C67),0),
  _xlpm.c, MATCH(AA$8,'3. Enter Indicator Scores'!$D$8:$CZ$8,0),
  _xlpm.v, IFERROR(INDEX('3. Enter Indicator Scores'!$D$10:$CZ$161,_xlpm.r,_xlpm.c),""),
  IF(OR(_xlpm.w="",_xlpm.v=""),"",_xlpm.v*_xlpm.w)
)</f>
        <v/>
      </c>
      <c r="AB67" s="93" t="str" cm="1">
        <f t="array" ref="AB67">_xlfn.LET(
  _xlpm.w, AB$11,
  _xlpm.r, MATCH(1,('3. Enter Indicator Scores'!$B$10:$B$161=$B67)*('3. Enter Indicator Scores'!$C$10:$C$161=$C67),0),
  _xlpm.c, MATCH(AB$8,'3. Enter Indicator Scores'!$D$8:$CZ$8,0),
  _xlpm.v, IFERROR(INDEX('3. Enter Indicator Scores'!$D$10:$CZ$161,_xlpm.r,_xlpm.c),""),
  IF(OR(_xlpm.w="",_xlpm.v=""),"",_xlpm.v*_xlpm.w)
)</f>
        <v/>
      </c>
      <c r="AC67" s="93" t="str" cm="1">
        <f t="array" ref="AC67">_xlfn.LET(
  _xlpm.w, AC$11,
  _xlpm.r, MATCH(1,('3. Enter Indicator Scores'!$B$10:$B$161=$B67)*('3. Enter Indicator Scores'!$C$10:$C$161=$C67),0),
  _xlpm.c, MATCH(AC$8,'3. Enter Indicator Scores'!$D$8:$CZ$8,0),
  _xlpm.v, IFERROR(INDEX('3. Enter Indicator Scores'!$D$10:$CZ$161,_xlpm.r,_xlpm.c),""),
  IF(OR(_xlpm.w="",_xlpm.v=""),"",_xlpm.v*_xlpm.w)
)</f>
        <v/>
      </c>
      <c r="AD67" s="93" t="str" cm="1">
        <f t="array" ref="AD67">_xlfn.LET(
  _xlpm.w, AD$11,
  _xlpm.r, MATCH(1,('3. Enter Indicator Scores'!$B$10:$B$161=$B67)*('3. Enter Indicator Scores'!$C$10:$C$161=$C67),0),
  _xlpm.c, MATCH(AD$8,'3. Enter Indicator Scores'!$D$8:$CZ$8,0),
  _xlpm.v, IFERROR(INDEX('3. Enter Indicator Scores'!$D$10:$CZ$161,_xlpm.r,_xlpm.c),""),
  IF(OR(_xlpm.w="",_xlpm.v=""),"",_xlpm.v*_xlpm.w)
)</f>
        <v/>
      </c>
      <c r="AE67" s="93" t="str" cm="1">
        <f t="array" ref="AE67">_xlfn.LET(
  _xlpm.w, AE$11,
  _xlpm.r, MATCH(1,('3. Enter Indicator Scores'!$B$10:$B$161=$B67)*('3. Enter Indicator Scores'!$C$10:$C$161=$C67),0),
  _xlpm.c, MATCH(AE$8,'3. Enter Indicator Scores'!$D$8:$CZ$8,0),
  _xlpm.v, IFERROR(INDEX('3. Enter Indicator Scores'!$D$10:$CZ$161,_xlpm.r,_xlpm.c),""),
  IF(OR(_xlpm.w="",_xlpm.v=""),"",_xlpm.v*_xlpm.w)
)</f>
        <v/>
      </c>
      <c r="AF67" s="93" t="str" cm="1">
        <f t="array" ref="AF67">_xlfn.LET(
  _xlpm.w, AF$11,
  _xlpm.r, MATCH(1,('3. Enter Indicator Scores'!$B$10:$B$161=$B67)*('3. Enter Indicator Scores'!$C$10:$C$161=$C67),0),
  _xlpm.c, MATCH(AF$8,'3. Enter Indicator Scores'!$D$8:$CZ$8,0),
  _xlpm.v, IFERROR(INDEX('3. Enter Indicator Scores'!$D$10:$CZ$161,_xlpm.r,_xlpm.c),""),
  IF(OR(_xlpm.w="",_xlpm.v=""),"",_xlpm.v*_xlpm.w)
)</f>
        <v/>
      </c>
      <c r="AG67" s="93" t="str" cm="1">
        <f t="array" ref="AG67">_xlfn.LET(
  _xlpm.w, AG$11,
  _xlpm.r, MATCH(1,('3. Enter Indicator Scores'!$B$10:$B$161=$B67)*('3. Enter Indicator Scores'!$C$10:$C$161=$C67),0),
  _xlpm.c, MATCH(AG$8,'3. Enter Indicator Scores'!$D$8:$CZ$8,0),
  _xlpm.v, IFERROR(INDEX('3. Enter Indicator Scores'!$D$10:$CZ$161,_xlpm.r,_xlpm.c),""),
  IF(OR(_xlpm.w="",_xlpm.v=""),"",_xlpm.v*_xlpm.w)
)</f>
        <v/>
      </c>
      <c r="AH67" s="93" t="str" cm="1">
        <f t="array" ref="AH67">_xlfn.LET(
  _xlpm.w, AH$11,
  _xlpm.r, MATCH(1,('3. Enter Indicator Scores'!$B$10:$B$161=$B67)*('3. Enter Indicator Scores'!$C$10:$C$161=$C67),0),
  _xlpm.c, MATCH(AH$8,'3. Enter Indicator Scores'!$D$8:$CZ$8,0),
  _xlpm.v, IFERROR(INDEX('3. Enter Indicator Scores'!$D$10:$CZ$161,_xlpm.r,_xlpm.c),""),
  IF(OR(_xlpm.w="",_xlpm.v=""),"",_xlpm.v*_xlpm.w)
)</f>
        <v/>
      </c>
      <c r="AI67" s="93" t="str" cm="1">
        <f t="array" ref="AI67">_xlfn.LET(
  _xlpm.w, AI$11,
  _xlpm.r, MATCH(1,('3. Enter Indicator Scores'!$B$10:$B$161=$B67)*('3. Enter Indicator Scores'!$C$10:$C$161=$C67),0),
  _xlpm.c, MATCH(AI$8,'3. Enter Indicator Scores'!$D$8:$CZ$8,0),
  _xlpm.v, IFERROR(INDEX('3. Enter Indicator Scores'!$D$10:$CZ$161,_xlpm.r,_xlpm.c),""),
  IF(OR(_xlpm.w="",_xlpm.v=""),"",_xlpm.v*_xlpm.w)
)</f>
        <v/>
      </c>
      <c r="AJ67" s="93" t="str" cm="1">
        <f t="array" ref="AJ67">_xlfn.LET(
  _xlpm.w, AJ$11,
  _xlpm.r, MATCH(1,('3. Enter Indicator Scores'!$B$10:$B$161=$B67)*('3. Enter Indicator Scores'!$C$10:$C$161=$C67),0),
  _xlpm.c, MATCH(AJ$8,'3. Enter Indicator Scores'!$D$8:$CZ$8,0),
  _xlpm.v, IFERROR(INDEX('3. Enter Indicator Scores'!$D$10:$CZ$161,_xlpm.r,_xlpm.c),""),
  IF(OR(_xlpm.w="",_xlpm.v=""),"",_xlpm.v*_xlpm.w)
)</f>
        <v/>
      </c>
      <c r="AK67" s="93" t="str" cm="1">
        <f t="array" ref="AK67">_xlfn.LET(
  _xlpm.w, AK$11,
  _xlpm.r, MATCH(1,('3. Enter Indicator Scores'!$B$10:$B$161=$B67)*('3. Enter Indicator Scores'!$C$10:$C$161=$C67),0),
  _xlpm.c, MATCH(AK$8,'3. Enter Indicator Scores'!$D$8:$CZ$8,0),
  _xlpm.v, IFERROR(INDEX('3. Enter Indicator Scores'!$D$10:$CZ$161,_xlpm.r,_xlpm.c),""),
  IF(OR(_xlpm.w="",_xlpm.v=""),"",_xlpm.v*_xlpm.w)
)</f>
        <v/>
      </c>
      <c r="AL67" s="93" t="str" cm="1">
        <f t="array" ref="AL67">_xlfn.LET(
  _xlpm.w, AL$11,
  _xlpm.r, MATCH(1,('3. Enter Indicator Scores'!$B$10:$B$161=$B67)*('3. Enter Indicator Scores'!$C$10:$C$161=$C67),0),
  _xlpm.c, MATCH(AL$8,'3. Enter Indicator Scores'!$D$8:$CZ$8,0),
  _xlpm.v, IFERROR(INDEX('3. Enter Indicator Scores'!$D$10:$CZ$161,_xlpm.r,_xlpm.c),""),
  IF(OR(_xlpm.w="",_xlpm.v=""),"",_xlpm.v*_xlpm.w)
)</f>
        <v/>
      </c>
      <c r="AM67" s="93" t="str" cm="1">
        <f t="array" ref="AM67">_xlfn.LET(
  _xlpm.w, AM$11,
  _xlpm.r, MATCH(1,('3. Enter Indicator Scores'!$B$10:$B$161=$B67)*('3. Enter Indicator Scores'!$C$10:$C$161=$C67),0),
  _xlpm.c, MATCH(AM$8,'3. Enter Indicator Scores'!$D$8:$CZ$8,0),
  _xlpm.v, IFERROR(INDEX('3. Enter Indicator Scores'!$D$10:$CZ$161,_xlpm.r,_xlpm.c),""),
  IF(OR(_xlpm.w="",_xlpm.v=""),"",_xlpm.v*_xlpm.w)
)</f>
        <v/>
      </c>
      <c r="AN67" s="93" t="str" cm="1">
        <f t="array" ref="AN67">_xlfn.LET(
  _xlpm.w, AN$11,
  _xlpm.r, MATCH(1,('3. Enter Indicator Scores'!$B$10:$B$161=$B67)*('3. Enter Indicator Scores'!$C$10:$C$161=$C67),0),
  _xlpm.c, MATCH(AN$8,'3. Enter Indicator Scores'!$D$8:$CZ$8,0),
  _xlpm.v, IFERROR(INDEX('3. Enter Indicator Scores'!$D$10:$CZ$161,_xlpm.r,_xlpm.c),""),
  IF(OR(_xlpm.w="",_xlpm.v=""),"",_xlpm.v*_xlpm.w)
)</f>
        <v/>
      </c>
      <c r="AO67" s="93" t="str" cm="1">
        <f t="array" ref="AO67">_xlfn.LET(
  _xlpm.w, AO$11,
  _xlpm.r, MATCH(1,('3. Enter Indicator Scores'!$B$10:$B$161=$B67)*('3. Enter Indicator Scores'!$C$10:$C$161=$C67),0),
  _xlpm.c, MATCH(AO$8,'3. Enter Indicator Scores'!$D$8:$CZ$8,0),
  _xlpm.v, IFERROR(INDEX('3. Enter Indicator Scores'!$D$10:$CZ$161,_xlpm.r,_xlpm.c),""),
  IF(OR(_xlpm.w="",_xlpm.v=""),"",_xlpm.v*_xlpm.w)
)</f>
        <v/>
      </c>
      <c r="AP67" s="93" t="str" cm="1">
        <f t="array" ref="AP67">_xlfn.LET(
  _xlpm.w, AP$11,
  _xlpm.r, MATCH(1,('3. Enter Indicator Scores'!$B$10:$B$161=$B67)*('3. Enter Indicator Scores'!$C$10:$C$161=$C67),0),
  _xlpm.c, MATCH(AP$8,'3. Enter Indicator Scores'!$D$8:$CZ$8,0),
  _xlpm.v, IFERROR(INDEX('3. Enter Indicator Scores'!$D$10:$CZ$161,_xlpm.r,_xlpm.c),""),
  IF(OR(_xlpm.w="",_xlpm.v=""),"",_xlpm.v*_xlpm.w)
)</f>
        <v/>
      </c>
      <c r="AQ67" s="93" t="str" cm="1">
        <f t="array" ref="AQ67">_xlfn.LET(
  _xlpm.w, AQ$11,
  _xlpm.r, MATCH(1,('3. Enter Indicator Scores'!$B$10:$B$161=$B67)*('3. Enter Indicator Scores'!$C$10:$C$161=$C67),0),
  _xlpm.c, MATCH(AQ$8,'3. Enter Indicator Scores'!$D$8:$CZ$8,0),
  _xlpm.v, IFERROR(INDEX('3. Enter Indicator Scores'!$D$10:$CZ$161,_xlpm.r,_xlpm.c),""),
  IF(OR(_xlpm.w="",_xlpm.v=""),"",_xlpm.v*_xlpm.w)
)</f>
        <v/>
      </c>
      <c r="AR67" s="93" t="str" cm="1">
        <f t="array" ref="AR67">_xlfn.LET(
  _xlpm.w, AR$11,
  _xlpm.r, MATCH(1,('3. Enter Indicator Scores'!$B$10:$B$161=$B67)*('3. Enter Indicator Scores'!$C$10:$C$161=$C67),0),
  _xlpm.c, MATCH(AR$8,'3. Enter Indicator Scores'!$D$8:$CZ$8,0),
  _xlpm.v, IFERROR(INDEX('3. Enter Indicator Scores'!$D$10:$CZ$161,_xlpm.r,_xlpm.c),""),
  IF(OR(_xlpm.w="",_xlpm.v=""),"",_xlpm.v*_xlpm.w)
)</f>
        <v/>
      </c>
      <c r="AS67" s="93" t="str" cm="1">
        <f t="array" ref="AS67">_xlfn.LET(
  _xlpm.w, AS$11,
  _xlpm.r, MATCH(1,('3. Enter Indicator Scores'!$B$10:$B$161=$B67)*('3. Enter Indicator Scores'!$C$10:$C$161=$C67),0),
  _xlpm.c, MATCH(AS$8,'3. Enter Indicator Scores'!$D$8:$CZ$8,0),
  _xlpm.v, IFERROR(INDEX('3. Enter Indicator Scores'!$D$10:$CZ$161,_xlpm.r,_xlpm.c),""),
  IF(OR(_xlpm.w="",_xlpm.v=""),"",_xlpm.v*_xlpm.w)
)</f>
        <v/>
      </c>
      <c r="AT67" s="93" t="str" cm="1">
        <f t="array" ref="AT67">_xlfn.LET(
  _xlpm.w, AT$11,
  _xlpm.r, MATCH(1,('3. Enter Indicator Scores'!$B$10:$B$161=$B67)*('3. Enter Indicator Scores'!$C$10:$C$161=$C67),0),
  _xlpm.c, MATCH(AT$8,'3. Enter Indicator Scores'!$D$8:$CZ$8,0),
  _xlpm.v, IFERROR(INDEX('3. Enter Indicator Scores'!$D$10:$CZ$161,_xlpm.r,_xlpm.c),""),
  IF(OR(_xlpm.w="",_xlpm.v=""),"",_xlpm.v*_xlpm.w)
)</f>
        <v/>
      </c>
      <c r="AU67" s="93" t="str" cm="1">
        <f t="array" ref="AU67">_xlfn.LET(
  _xlpm.w, AU$11,
  _xlpm.r, MATCH(1,('3. Enter Indicator Scores'!$B$10:$B$161=$B67)*('3. Enter Indicator Scores'!$C$10:$C$161=$C67),0),
  _xlpm.c, MATCH(AU$8,'3. Enter Indicator Scores'!$D$8:$CZ$8,0),
  _xlpm.v, IFERROR(INDEX('3. Enter Indicator Scores'!$D$10:$CZ$161,_xlpm.r,_xlpm.c),""),
  IF(OR(_xlpm.w="",_xlpm.v=""),"",_xlpm.v*_xlpm.w)
)</f>
        <v/>
      </c>
      <c r="AV67" s="93" t="str" cm="1">
        <f t="array" ref="AV67">_xlfn.LET(
  _xlpm.w, AV$11,
  _xlpm.r, MATCH(1,('3. Enter Indicator Scores'!$B$10:$B$161=$B67)*('3. Enter Indicator Scores'!$C$10:$C$161=$C67),0),
  _xlpm.c, MATCH(AV$8,'3. Enter Indicator Scores'!$D$8:$CZ$8,0),
  _xlpm.v, IFERROR(INDEX('3. Enter Indicator Scores'!$D$10:$CZ$161,_xlpm.r,_xlpm.c),""),
  IF(OR(_xlpm.w="",_xlpm.v=""),"",_xlpm.v*_xlpm.w)
)</f>
        <v/>
      </c>
      <c r="AW67" s="93" t="str" cm="1">
        <f t="array" ref="AW67">_xlfn.LET(
  _xlpm.w, AW$11,
  _xlpm.r, MATCH(1,('3. Enter Indicator Scores'!$B$10:$B$161=$B67)*('3. Enter Indicator Scores'!$C$10:$C$161=$C67),0),
  _xlpm.c, MATCH(AW$8,'3. Enter Indicator Scores'!$D$8:$CZ$8,0),
  _xlpm.v, IFERROR(INDEX('3. Enter Indicator Scores'!$D$10:$CZ$161,_xlpm.r,_xlpm.c),""),
  IF(OR(_xlpm.w="",_xlpm.v=""),"",_xlpm.v*_xlpm.w)
)</f>
        <v/>
      </c>
      <c r="AX67" s="93" t="str" cm="1">
        <f t="array" ref="AX67">_xlfn.LET(
  _xlpm.w, AX$11,
  _xlpm.r, MATCH(1,('3. Enter Indicator Scores'!$B$10:$B$161=$B67)*('3. Enter Indicator Scores'!$C$10:$C$161=$C67),0),
  _xlpm.c, MATCH(AX$8,'3. Enter Indicator Scores'!$D$8:$CZ$8,0),
  _xlpm.v, IFERROR(INDEX('3. Enter Indicator Scores'!$D$10:$CZ$161,_xlpm.r,_xlpm.c),""),
  IF(OR(_xlpm.w="",_xlpm.v=""),"",_xlpm.v*_xlpm.w)
)</f>
        <v/>
      </c>
      <c r="AY67" s="93" t="str" cm="1">
        <f t="array" ref="AY67">_xlfn.LET(
  _xlpm.w, AY$11,
  _xlpm.r, MATCH(1,('3. Enter Indicator Scores'!$B$10:$B$161=$B67)*('3. Enter Indicator Scores'!$C$10:$C$161=$C67),0),
  _xlpm.c, MATCH(AY$8,'3. Enter Indicator Scores'!$D$8:$CZ$8,0),
  _xlpm.v, IFERROR(INDEX('3. Enter Indicator Scores'!$D$10:$CZ$161,_xlpm.r,_xlpm.c),""),
  IF(OR(_xlpm.w="",_xlpm.v=""),"",_xlpm.v*_xlpm.w)
)</f>
        <v/>
      </c>
      <c r="AZ67" s="93" t="str" cm="1">
        <f t="array" ref="AZ67">_xlfn.LET(
  _xlpm.w, AZ$11,
  _xlpm.r, MATCH(1,('3. Enter Indicator Scores'!$B$10:$B$161=$B67)*('3. Enter Indicator Scores'!$C$10:$C$161=$C67),0),
  _xlpm.c, MATCH(AZ$8,'3. Enter Indicator Scores'!$D$8:$CZ$8,0),
  _xlpm.v, IFERROR(INDEX('3. Enter Indicator Scores'!$D$10:$CZ$161,_xlpm.r,_xlpm.c),""),
  IF(OR(_xlpm.w="",_xlpm.v=""),"",_xlpm.v*_xlpm.w)
)</f>
        <v/>
      </c>
      <c r="BA67" s="93" t="str" cm="1">
        <f t="array" ref="BA67">_xlfn.LET(
  _xlpm.w, BA$11,
  _xlpm.r, MATCH(1,('3. Enter Indicator Scores'!$B$10:$B$161=$B67)*('3. Enter Indicator Scores'!$C$10:$C$161=$C67),0),
  _xlpm.c, MATCH(BA$8,'3. Enter Indicator Scores'!$D$8:$CZ$8,0),
  _xlpm.v, IFERROR(INDEX('3. Enter Indicator Scores'!$D$10:$CZ$161,_xlpm.r,_xlpm.c),""),
  IF(OR(_xlpm.w="",_xlpm.v=""),"",_xlpm.v*_xlpm.w)
)</f>
        <v/>
      </c>
      <c r="BB67" s="93" t="str" cm="1">
        <f t="array" ref="BB67">_xlfn.LET(
  _xlpm.w, BB$11,
  _xlpm.r, MATCH(1,('3. Enter Indicator Scores'!$B$10:$B$161=$B67)*('3. Enter Indicator Scores'!$C$10:$C$161=$C67),0),
  _xlpm.c, MATCH(BB$8,'3. Enter Indicator Scores'!$D$8:$CZ$8,0),
  _xlpm.v, IFERROR(INDEX('3. Enter Indicator Scores'!$D$10:$CZ$161,_xlpm.r,_xlpm.c),""),
  IF(OR(_xlpm.w="",_xlpm.v=""),"",_xlpm.v*_xlpm.w)
)</f>
        <v/>
      </c>
      <c r="BC67" s="93" t="str" cm="1">
        <f t="array" ref="BC67">_xlfn.LET(
  _xlpm.w, BC$11,
  _xlpm.r, MATCH(1,('3. Enter Indicator Scores'!$B$10:$B$161=$B67)*('3. Enter Indicator Scores'!$C$10:$C$161=$C67),0),
  _xlpm.c, MATCH(BC$8,'3. Enter Indicator Scores'!$D$8:$CZ$8,0),
  _xlpm.v, IFERROR(INDEX('3. Enter Indicator Scores'!$D$10:$CZ$161,_xlpm.r,_xlpm.c),""),
  IF(OR(_xlpm.w="",_xlpm.v=""),"",_xlpm.v*_xlpm.w)
)</f>
        <v/>
      </c>
      <c r="BD67" s="93" t="str" cm="1">
        <f t="array" ref="BD67">_xlfn.LET(
  _xlpm.w, BD$11,
  _xlpm.r, MATCH(1,('3. Enter Indicator Scores'!$B$10:$B$161=$B67)*('3. Enter Indicator Scores'!$C$10:$C$161=$C67),0),
  _xlpm.c, MATCH(BD$8,'3. Enter Indicator Scores'!$D$8:$CZ$8,0),
  _xlpm.v, IFERROR(INDEX('3. Enter Indicator Scores'!$D$10:$CZ$161,_xlpm.r,_xlpm.c),""),
  IF(OR(_xlpm.w="",_xlpm.v=""),"",_xlpm.v*_xlpm.w)
)</f>
        <v/>
      </c>
      <c r="BE67" s="93" t="str" cm="1">
        <f t="array" ref="BE67">_xlfn.LET(
  _xlpm.w, BE$11,
  _xlpm.r, MATCH(1,('3. Enter Indicator Scores'!$B$10:$B$161=$B67)*('3. Enter Indicator Scores'!$C$10:$C$161=$C67),0),
  _xlpm.c, MATCH(BE$8,'3. Enter Indicator Scores'!$D$8:$CZ$8,0),
  _xlpm.v, IFERROR(INDEX('3. Enter Indicator Scores'!$D$10:$CZ$161,_xlpm.r,_xlpm.c),""),
  IF(OR(_xlpm.w="",_xlpm.v=""),"",_xlpm.v*_xlpm.w)
)</f>
        <v/>
      </c>
      <c r="BF67" s="93" t="str" cm="1">
        <f t="array" ref="BF67">_xlfn.LET(
  _xlpm.w, BF$11,
  _xlpm.r, MATCH(1,('3. Enter Indicator Scores'!$B$10:$B$161=$B67)*('3. Enter Indicator Scores'!$C$10:$C$161=$C67),0),
  _xlpm.c, MATCH(BF$8,'3. Enter Indicator Scores'!$D$8:$CZ$8,0),
  _xlpm.v, IFERROR(INDEX('3. Enter Indicator Scores'!$D$10:$CZ$161,_xlpm.r,_xlpm.c),""),
  IF(OR(_xlpm.w="",_xlpm.v=""),"",_xlpm.v*_xlpm.w)
)</f>
        <v/>
      </c>
      <c r="BG67" s="93" t="str" cm="1">
        <f t="array" ref="BG67">_xlfn.LET(
  _xlpm.w, BG$11,
  _xlpm.r, MATCH(1,('3. Enter Indicator Scores'!$B$10:$B$161=$B67)*('3. Enter Indicator Scores'!$C$10:$C$161=$C67),0),
  _xlpm.c, MATCH(BG$8,'3. Enter Indicator Scores'!$D$8:$CZ$8,0),
  _xlpm.v, IFERROR(INDEX('3. Enter Indicator Scores'!$D$10:$CZ$161,_xlpm.r,_xlpm.c),""),
  IF(OR(_xlpm.w="",_xlpm.v=""),"",_xlpm.v*_xlpm.w)
)</f>
        <v/>
      </c>
      <c r="BH67" s="93" t="str" cm="1">
        <f t="array" ref="BH67">_xlfn.LET(
  _xlpm.w, BH$11,
  _xlpm.r, MATCH(1,('3. Enter Indicator Scores'!$B$10:$B$161=$B67)*('3. Enter Indicator Scores'!$C$10:$C$161=$C67),0),
  _xlpm.c, MATCH(BH$8,'3. Enter Indicator Scores'!$D$8:$CZ$8,0),
  _xlpm.v, IFERROR(INDEX('3. Enter Indicator Scores'!$D$10:$CZ$161,_xlpm.r,_xlpm.c),""),
  IF(OR(_xlpm.w="",_xlpm.v=""),"",_xlpm.v*_xlpm.w)
)</f>
        <v/>
      </c>
      <c r="BI67" s="93" t="str" cm="1">
        <f t="array" ref="BI67">_xlfn.LET(
  _xlpm.w, BI$11,
  _xlpm.r, MATCH(1,('3. Enter Indicator Scores'!$B$10:$B$161=$B67)*('3. Enter Indicator Scores'!$C$10:$C$161=$C67),0),
  _xlpm.c, MATCH(BI$8,'3. Enter Indicator Scores'!$D$8:$CZ$8,0),
  _xlpm.v, IFERROR(INDEX('3. Enter Indicator Scores'!$D$10:$CZ$161,_xlpm.r,_xlpm.c),""),
  IF(OR(_xlpm.w="",_xlpm.v=""),"",_xlpm.v*_xlpm.w)
)</f>
        <v/>
      </c>
      <c r="BJ67" s="93" t="str" cm="1">
        <f t="array" ref="BJ67">_xlfn.LET(
  _xlpm.w, BJ$11,
  _xlpm.r, MATCH(1,('3. Enter Indicator Scores'!$B$10:$B$161=$B67)*('3. Enter Indicator Scores'!$C$10:$C$161=$C67),0),
  _xlpm.c, MATCH(BJ$8,'3. Enter Indicator Scores'!$D$8:$CZ$8,0),
  _xlpm.v, IFERROR(INDEX('3. Enter Indicator Scores'!$D$10:$CZ$161,_xlpm.r,_xlpm.c),""),
  IF(OR(_xlpm.w="",_xlpm.v=""),"",_xlpm.v*_xlpm.w)
)</f>
        <v/>
      </c>
      <c r="BK67" s="93" t="str" cm="1">
        <f t="array" ref="BK67">_xlfn.LET(
  _xlpm.w, BK$11,
  _xlpm.r, MATCH(1,('3. Enter Indicator Scores'!$B$10:$B$161=$B67)*('3. Enter Indicator Scores'!$C$10:$C$161=$C67),0),
  _xlpm.c, MATCH(BK$8,'3. Enter Indicator Scores'!$D$8:$CZ$8,0),
  _xlpm.v, IFERROR(INDEX('3. Enter Indicator Scores'!$D$10:$CZ$161,_xlpm.r,_xlpm.c),""),
  IF(OR(_xlpm.w="",_xlpm.v=""),"",_xlpm.v*_xlpm.w)
)</f>
        <v/>
      </c>
      <c r="BL67" s="93" t="str" cm="1">
        <f t="array" ref="BL67">_xlfn.LET(
  _xlpm.w, BL$11,
  _xlpm.r, MATCH(1,('3. Enter Indicator Scores'!$B$10:$B$161=$B67)*('3. Enter Indicator Scores'!$C$10:$C$161=$C67),0),
  _xlpm.c, MATCH(BL$8,'3. Enter Indicator Scores'!$D$8:$CZ$8,0),
  _xlpm.v, IFERROR(INDEX('3. Enter Indicator Scores'!$D$10:$CZ$161,_xlpm.r,_xlpm.c),""),
  IF(OR(_xlpm.w="",_xlpm.v=""),"",_xlpm.v*_xlpm.w)
)</f>
        <v/>
      </c>
      <c r="BM67" s="93" t="str" cm="1">
        <f t="array" ref="BM67">_xlfn.LET(
  _xlpm.w, BM$11,
  _xlpm.r, MATCH(1,('3. Enter Indicator Scores'!$B$10:$B$161=$B67)*('3. Enter Indicator Scores'!$C$10:$C$161=$C67),0),
  _xlpm.c, MATCH(BM$8,'3. Enter Indicator Scores'!$D$8:$CZ$8,0),
  _xlpm.v, IFERROR(INDEX('3. Enter Indicator Scores'!$D$10:$CZ$161,_xlpm.r,_xlpm.c),""),
  IF(OR(_xlpm.w="",_xlpm.v=""),"",_xlpm.v*_xlpm.w)
)</f>
        <v/>
      </c>
      <c r="BN67" s="93" t="str" cm="1">
        <f t="array" ref="BN67">_xlfn.LET(
  _xlpm.w, BN$11,
  _xlpm.r, MATCH(1,('3. Enter Indicator Scores'!$B$10:$B$161=$B67)*('3. Enter Indicator Scores'!$C$10:$C$161=$C67),0),
  _xlpm.c, MATCH(BN$8,'3. Enter Indicator Scores'!$D$8:$CZ$8,0),
  _xlpm.v, IFERROR(INDEX('3. Enter Indicator Scores'!$D$10:$CZ$161,_xlpm.r,_xlpm.c),""),
  IF(OR(_xlpm.w="",_xlpm.v=""),"",_xlpm.v*_xlpm.w)
)</f>
        <v/>
      </c>
      <c r="BO67" s="93" t="str" cm="1">
        <f t="array" ref="BO67">_xlfn.LET(
  _xlpm.w, BO$11,
  _xlpm.r, MATCH(1,('3. Enter Indicator Scores'!$B$10:$B$161=$B67)*('3. Enter Indicator Scores'!$C$10:$C$161=$C67),0),
  _xlpm.c, MATCH(BO$8,'3. Enter Indicator Scores'!$D$8:$CZ$8,0),
  _xlpm.v, IFERROR(INDEX('3. Enter Indicator Scores'!$D$10:$CZ$161,_xlpm.r,_xlpm.c),""),
  IF(OR(_xlpm.w="",_xlpm.v=""),"",_xlpm.v*_xlpm.w)
)</f>
        <v/>
      </c>
      <c r="BP67" s="93" t="str" cm="1">
        <f t="array" ref="BP67">_xlfn.LET(
  _xlpm.w, BP$11,
  _xlpm.r, MATCH(1,('3. Enter Indicator Scores'!$B$10:$B$161=$B67)*('3. Enter Indicator Scores'!$C$10:$C$161=$C67),0),
  _xlpm.c, MATCH(BP$8,'3. Enter Indicator Scores'!$D$8:$CZ$8,0),
  _xlpm.v, IFERROR(INDEX('3. Enter Indicator Scores'!$D$10:$CZ$161,_xlpm.r,_xlpm.c),""),
  IF(OR(_xlpm.w="",_xlpm.v=""),"",_xlpm.v*_xlpm.w)
)</f>
        <v/>
      </c>
      <c r="BQ67" s="93" t="str" cm="1">
        <f t="array" ref="BQ67">_xlfn.LET(
  _xlpm.w, BQ$11,
  _xlpm.r, MATCH(1,('3. Enter Indicator Scores'!$B$10:$B$161=$B67)*('3. Enter Indicator Scores'!$C$10:$C$161=$C67),0),
  _xlpm.c, MATCH(BQ$8,'3. Enter Indicator Scores'!$D$8:$CZ$8,0),
  _xlpm.v, IFERROR(INDEX('3. Enter Indicator Scores'!$D$10:$CZ$161,_xlpm.r,_xlpm.c),""),
  IF(OR(_xlpm.w="",_xlpm.v=""),"",_xlpm.v*_xlpm.w)
)</f>
        <v/>
      </c>
      <c r="BR67" s="93" t="str" cm="1">
        <f t="array" ref="BR67">_xlfn.LET(
  _xlpm.w, BR$11,
  _xlpm.r, MATCH(1,('3. Enter Indicator Scores'!$B$10:$B$161=$B67)*('3. Enter Indicator Scores'!$C$10:$C$161=$C67),0),
  _xlpm.c, MATCH(BR$8,'3. Enter Indicator Scores'!$D$8:$CZ$8,0),
  _xlpm.v, IFERROR(INDEX('3. Enter Indicator Scores'!$D$10:$CZ$161,_xlpm.r,_xlpm.c),""),
  IF(OR(_xlpm.w="",_xlpm.v=""),"",_xlpm.v*_xlpm.w)
)</f>
        <v/>
      </c>
      <c r="BS67" s="93" t="str" cm="1">
        <f t="array" ref="BS67">_xlfn.LET(
  _xlpm.w, BS$11,
  _xlpm.r, MATCH(1,('3. Enter Indicator Scores'!$B$10:$B$161=$B67)*('3. Enter Indicator Scores'!$C$10:$C$161=$C67),0),
  _xlpm.c, MATCH(BS$8,'3. Enter Indicator Scores'!$D$8:$CZ$8,0),
  _xlpm.v, IFERROR(INDEX('3. Enter Indicator Scores'!$D$10:$CZ$161,_xlpm.r,_xlpm.c),""),
  IF(OR(_xlpm.w="",_xlpm.v=""),"",_xlpm.v*_xlpm.w)
)</f>
        <v/>
      </c>
      <c r="BT67" s="93" t="str" cm="1">
        <f t="array" ref="BT67">_xlfn.LET(
  _xlpm.w, BT$11,
  _xlpm.r, MATCH(1,('3. Enter Indicator Scores'!$B$10:$B$161=$B67)*('3. Enter Indicator Scores'!$C$10:$C$161=$C67),0),
  _xlpm.c, MATCH(BT$8,'3. Enter Indicator Scores'!$D$8:$CZ$8,0),
  _xlpm.v, IFERROR(INDEX('3. Enter Indicator Scores'!$D$10:$CZ$161,_xlpm.r,_xlpm.c),""),
  IF(OR(_xlpm.w="",_xlpm.v=""),"",_xlpm.v*_xlpm.w)
)</f>
        <v/>
      </c>
      <c r="BU67" s="93" t="str" cm="1">
        <f t="array" ref="BU67">_xlfn.LET(
  _xlpm.w, BU$11,
  _xlpm.r, MATCH(1,('3. Enter Indicator Scores'!$B$10:$B$161=$B67)*('3. Enter Indicator Scores'!$C$10:$C$161=$C67),0),
  _xlpm.c, MATCH(BU$8,'3. Enter Indicator Scores'!$D$8:$CZ$8,0),
  _xlpm.v, IFERROR(INDEX('3. Enter Indicator Scores'!$D$10:$CZ$161,_xlpm.r,_xlpm.c),""),
  IF(OR(_xlpm.w="",_xlpm.v=""),"",_xlpm.v*_xlpm.w)
)</f>
        <v/>
      </c>
      <c r="BV67" s="93" t="str" cm="1">
        <f t="array" ref="BV67">_xlfn.LET(
  _xlpm.w, BV$11,
  _xlpm.r, MATCH(1,('3. Enter Indicator Scores'!$B$10:$B$161=$B67)*('3. Enter Indicator Scores'!$C$10:$C$161=$C67),0),
  _xlpm.c, MATCH(BV$8,'3. Enter Indicator Scores'!$D$8:$CZ$8,0),
  _xlpm.v, IFERROR(INDEX('3. Enter Indicator Scores'!$D$10:$CZ$161,_xlpm.r,_xlpm.c),""),
  IF(OR(_xlpm.w="",_xlpm.v=""),"",_xlpm.v*_xlpm.w)
)</f>
        <v/>
      </c>
      <c r="BW67" s="93" t="str" cm="1">
        <f t="array" ref="BW67">_xlfn.LET(
  _xlpm.w, BW$11,
  _xlpm.r, MATCH(1,('3. Enter Indicator Scores'!$B$10:$B$161=$B67)*('3. Enter Indicator Scores'!$C$10:$C$161=$C67),0),
  _xlpm.c, MATCH(BW$8,'3. Enter Indicator Scores'!$D$8:$CZ$8,0),
  _xlpm.v, IFERROR(INDEX('3. Enter Indicator Scores'!$D$10:$CZ$161,_xlpm.r,_xlpm.c),""),
  IF(OR(_xlpm.w="",_xlpm.v=""),"",_xlpm.v*_xlpm.w)
)</f>
        <v/>
      </c>
      <c r="BX67" s="93" t="str" cm="1">
        <f t="array" ref="BX67">_xlfn.LET(
  _xlpm.w, BX$11,
  _xlpm.r, MATCH(1,('3. Enter Indicator Scores'!$B$10:$B$161=$B67)*('3. Enter Indicator Scores'!$C$10:$C$161=$C67),0),
  _xlpm.c, MATCH(BX$8,'3. Enter Indicator Scores'!$D$8:$CZ$8,0),
  _xlpm.v, IFERROR(INDEX('3. Enter Indicator Scores'!$D$10:$CZ$161,_xlpm.r,_xlpm.c),""),
  IF(OR(_xlpm.w="",_xlpm.v=""),"",_xlpm.v*_xlpm.w)
)</f>
        <v/>
      </c>
      <c r="BY67" s="93" t="str" cm="1">
        <f t="array" ref="BY67">_xlfn.LET(
  _xlpm.w, BY$11,
  _xlpm.r, MATCH(1,('3. Enter Indicator Scores'!$B$10:$B$161=$B67)*('3. Enter Indicator Scores'!$C$10:$C$161=$C67),0),
  _xlpm.c, MATCH(BY$8,'3. Enter Indicator Scores'!$D$8:$CZ$8,0),
  _xlpm.v, IFERROR(INDEX('3. Enter Indicator Scores'!$D$10:$CZ$161,_xlpm.r,_xlpm.c),""),
  IF(OR(_xlpm.w="",_xlpm.v=""),"",_xlpm.v*_xlpm.w)
)</f>
        <v/>
      </c>
      <c r="BZ67" s="93" t="str" cm="1">
        <f t="array" ref="BZ67">_xlfn.LET(
  _xlpm.w, BZ$11,
  _xlpm.r, MATCH(1,('3. Enter Indicator Scores'!$B$10:$B$161=$B67)*('3. Enter Indicator Scores'!$C$10:$C$161=$C67),0),
  _xlpm.c, MATCH(BZ$8,'3. Enter Indicator Scores'!$D$8:$CZ$8,0),
  _xlpm.v, IFERROR(INDEX('3. Enter Indicator Scores'!$D$10:$CZ$161,_xlpm.r,_xlpm.c),""),
  IF(OR(_xlpm.w="",_xlpm.v=""),"",_xlpm.v*_xlpm.w)
)</f>
        <v/>
      </c>
      <c r="CA67" s="93" t="str" cm="1">
        <f t="array" ref="CA67">_xlfn.LET(
  _xlpm.w, CA$11,
  _xlpm.r, MATCH(1,('3. Enter Indicator Scores'!$B$10:$B$161=$B67)*('3. Enter Indicator Scores'!$C$10:$C$161=$C67),0),
  _xlpm.c, MATCH(CA$8,'3. Enter Indicator Scores'!$D$8:$CZ$8,0),
  _xlpm.v, IFERROR(INDEX('3. Enter Indicator Scores'!$D$10:$CZ$161,_xlpm.r,_xlpm.c),""),
  IF(OR(_xlpm.w="",_xlpm.v=""),"",_xlpm.v*_xlpm.w)
)</f>
        <v/>
      </c>
      <c r="CB67" s="93" t="str" cm="1">
        <f t="array" ref="CB67">_xlfn.LET(
  _xlpm.w, CB$11,
  _xlpm.r, MATCH(1,('3. Enter Indicator Scores'!$B$10:$B$161=$B67)*('3. Enter Indicator Scores'!$C$10:$C$161=$C67),0),
  _xlpm.c, MATCH(CB$8,'3. Enter Indicator Scores'!$D$8:$CZ$8,0),
  _xlpm.v, IFERROR(INDEX('3. Enter Indicator Scores'!$D$10:$CZ$161,_xlpm.r,_xlpm.c),""),
  IF(OR(_xlpm.w="",_xlpm.v=""),"",_xlpm.v*_xlpm.w)
)</f>
        <v/>
      </c>
      <c r="CC67" s="93" t="str" cm="1">
        <f t="array" ref="CC67">_xlfn.LET(
  _xlpm.w, CC$11,
  _xlpm.r, MATCH(1,('3. Enter Indicator Scores'!$B$10:$B$161=$B67)*('3. Enter Indicator Scores'!$C$10:$C$161=$C67),0),
  _xlpm.c, MATCH(CC$8,'3. Enter Indicator Scores'!$D$8:$CZ$8,0),
  _xlpm.v, IFERROR(INDEX('3. Enter Indicator Scores'!$D$10:$CZ$161,_xlpm.r,_xlpm.c),""),
  IF(OR(_xlpm.w="",_xlpm.v=""),"",_xlpm.v*_xlpm.w)
)</f>
        <v/>
      </c>
      <c r="CD67" s="93" t="str" cm="1">
        <f t="array" ref="CD67">_xlfn.LET(
  _xlpm.w, CD$11,
  _xlpm.r, MATCH(1,('3. Enter Indicator Scores'!$B$10:$B$161=$B67)*('3. Enter Indicator Scores'!$C$10:$C$161=$C67),0),
  _xlpm.c, MATCH(CD$8,'3. Enter Indicator Scores'!$D$8:$CZ$8,0),
  _xlpm.v, IFERROR(INDEX('3. Enter Indicator Scores'!$D$10:$CZ$161,_xlpm.r,_xlpm.c),""),
  IF(OR(_xlpm.w="",_xlpm.v=""),"",_xlpm.v*_xlpm.w)
)</f>
        <v/>
      </c>
      <c r="CE67" s="93" t="str" cm="1">
        <f t="array" ref="CE67">_xlfn.LET(
  _xlpm.w, CE$11,
  _xlpm.r, MATCH(1,('3. Enter Indicator Scores'!$B$10:$B$161=$B67)*('3. Enter Indicator Scores'!$C$10:$C$161=$C67),0),
  _xlpm.c, MATCH(CE$8,'3. Enter Indicator Scores'!$D$8:$CZ$8,0),
  _xlpm.v, IFERROR(INDEX('3. Enter Indicator Scores'!$D$10:$CZ$161,_xlpm.r,_xlpm.c),""),
  IF(OR(_xlpm.w="",_xlpm.v=""),"",_xlpm.v*_xlpm.w)
)</f>
        <v/>
      </c>
      <c r="CF67" s="93" t="str" cm="1">
        <f t="array" ref="CF67">_xlfn.LET(
  _xlpm.w, CF$11,
  _xlpm.r, MATCH(1,('3. Enter Indicator Scores'!$B$10:$B$161=$B67)*('3. Enter Indicator Scores'!$C$10:$C$161=$C67),0),
  _xlpm.c, MATCH(CF$8,'3. Enter Indicator Scores'!$D$8:$CZ$8,0),
  _xlpm.v, IFERROR(INDEX('3. Enter Indicator Scores'!$D$10:$CZ$161,_xlpm.r,_xlpm.c),""),
  IF(OR(_xlpm.w="",_xlpm.v=""),"",_xlpm.v*_xlpm.w)
)</f>
        <v/>
      </c>
      <c r="CG67" s="93" t="str" cm="1">
        <f t="array" ref="CG67">_xlfn.LET(
  _xlpm.w, CG$11,
  _xlpm.r, MATCH(1,('3. Enter Indicator Scores'!$B$10:$B$161=$B67)*('3. Enter Indicator Scores'!$C$10:$C$161=$C67),0),
  _xlpm.c, MATCH(CG$8,'3. Enter Indicator Scores'!$D$8:$CZ$8,0),
  _xlpm.v, IFERROR(INDEX('3. Enter Indicator Scores'!$D$10:$CZ$161,_xlpm.r,_xlpm.c),""),
  IF(OR(_xlpm.w="",_xlpm.v=""),"",_xlpm.v*_xlpm.w)
)</f>
        <v/>
      </c>
      <c r="CH67" s="93" t="str" cm="1">
        <f t="array" ref="CH67">_xlfn.LET(
  _xlpm.w, CH$11,
  _xlpm.r, MATCH(1,('3. Enter Indicator Scores'!$B$10:$B$161=$B67)*('3. Enter Indicator Scores'!$C$10:$C$161=$C67),0),
  _xlpm.c, MATCH(CH$8,'3. Enter Indicator Scores'!$D$8:$CZ$8,0),
  _xlpm.v, IFERROR(INDEX('3. Enter Indicator Scores'!$D$10:$CZ$161,_xlpm.r,_xlpm.c),""),
  IF(OR(_xlpm.w="",_xlpm.v=""),"",_xlpm.v*_xlpm.w)
)</f>
        <v/>
      </c>
      <c r="CI67" s="93" t="str" cm="1">
        <f t="array" ref="CI67">_xlfn.LET(
  _xlpm.w, CI$11,
  _xlpm.r, MATCH(1,('3. Enter Indicator Scores'!$B$10:$B$161=$B67)*('3. Enter Indicator Scores'!$C$10:$C$161=$C67),0),
  _xlpm.c, MATCH(CI$8,'3. Enter Indicator Scores'!$D$8:$CZ$8,0),
  _xlpm.v, IFERROR(INDEX('3. Enter Indicator Scores'!$D$10:$CZ$161,_xlpm.r,_xlpm.c),""),
  IF(OR(_xlpm.w="",_xlpm.v=""),"",_xlpm.v*_xlpm.w)
)</f>
        <v/>
      </c>
      <c r="CJ67" s="93" t="str" cm="1">
        <f t="array" ref="CJ67">_xlfn.LET(
  _xlpm.w, CJ$11,
  _xlpm.r, MATCH(1,('3. Enter Indicator Scores'!$B$10:$B$161=$B67)*('3. Enter Indicator Scores'!$C$10:$C$161=$C67),0),
  _xlpm.c, MATCH(CJ$8,'3. Enter Indicator Scores'!$D$8:$CZ$8,0),
  _xlpm.v, IFERROR(INDEX('3. Enter Indicator Scores'!$D$10:$CZ$161,_xlpm.r,_xlpm.c),""),
  IF(OR(_xlpm.w="",_xlpm.v=""),"",_xlpm.v*_xlpm.w)
)</f>
        <v/>
      </c>
      <c r="CK67" s="93" t="str" cm="1">
        <f t="array" ref="CK67">_xlfn.LET(
  _xlpm.w, CK$11,
  _xlpm.r, MATCH(1,('3. Enter Indicator Scores'!$B$10:$B$161=$B67)*('3. Enter Indicator Scores'!$C$10:$C$161=$C67),0),
  _xlpm.c, MATCH(CK$8,'3. Enter Indicator Scores'!$D$8:$CZ$8,0),
  _xlpm.v, IFERROR(INDEX('3. Enter Indicator Scores'!$D$10:$CZ$161,_xlpm.r,_xlpm.c),""),
  IF(OR(_xlpm.w="",_xlpm.v=""),"",_xlpm.v*_xlpm.w)
)</f>
        <v/>
      </c>
      <c r="CL67" s="93" t="str" cm="1">
        <f t="array" ref="CL67">_xlfn.LET(
  _xlpm.w, CL$11,
  _xlpm.r, MATCH(1,('3. Enter Indicator Scores'!$B$10:$B$161=$B67)*('3. Enter Indicator Scores'!$C$10:$C$161=$C67),0),
  _xlpm.c, MATCH(CL$8,'3. Enter Indicator Scores'!$D$8:$CZ$8,0),
  _xlpm.v, IFERROR(INDEX('3. Enter Indicator Scores'!$D$10:$CZ$161,_xlpm.r,_xlpm.c),""),
  IF(OR(_xlpm.w="",_xlpm.v=""),"",_xlpm.v*_xlpm.w)
)</f>
        <v/>
      </c>
      <c r="CM67" s="93" t="str" cm="1">
        <f t="array" ref="CM67">_xlfn.LET(
  _xlpm.w, CM$11,
  _xlpm.r, MATCH(1,('3. Enter Indicator Scores'!$B$10:$B$161=$B67)*('3. Enter Indicator Scores'!$C$10:$C$161=$C67),0),
  _xlpm.c, MATCH(CM$8,'3. Enter Indicator Scores'!$D$8:$CZ$8,0),
  _xlpm.v, IFERROR(INDEX('3. Enter Indicator Scores'!$D$10:$CZ$161,_xlpm.r,_xlpm.c),""),
  IF(OR(_xlpm.w="",_xlpm.v=""),"",_xlpm.v*_xlpm.w)
)</f>
        <v/>
      </c>
      <c r="CN67" s="93" t="str" cm="1">
        <f t="array" ref="CN67">_xlfn.LET(
  _xlpm.w, CN$11,
  _xlpm.r, MATCH(1,('3. Enter Indicator Scores'!$B$10:$B$161=$B67)*('3. Enter Indicator Scores'!$C$10:$C$161=$C67),0),
  _xlpm.c, MATCH(CN$8,'3. Enter Indicator Scores'!$D$8:$CZ$8,0),
  _xlpm.v, IFERROR(INDEX('3. Enter Indicator Scores'!$D$10:$CZ$161,_xlpm.r,_xlpm.c),""),
  IF(OR(_xlpm.w="",_xlpm.v=""),"",_xlpm.v*_xlpm.w)
)</f>
        <v/>
      </c>
      <c r="CO67" s="93" t="str" cm="1">
        <f t="array" ref="CO67">_xlfn.LET(
  _xlpm.w, CO$11,
  _xlpm.r, MATCH(1,('3. Enter Indicator Scores'!$B$10:$B$161=$B67)*('3. Enter Indicator Scores'!$C$10:$C$161=$C67),0),
  _xlpm.c, MATCH(CO$8,'3. Enter Indicator Scores'!$D$8:$CZ$8,0),
  _xlpm.v, IFERROR(INDEX('3. Enter Indicator Scores'!$D$10:$CZ$161,_xlpm.r,_xlpm.c),""),
  IF(OR(_xlpm.w="",_xlpm.v=""),"",_xlpm.v*_xlpm.w)
)</f>
        <v/>
      </c>
      <c r="CP67" s="93" t="str" cm="1">
        <f t="array" ref="CP67">_xlfn.LET(
  _xlpm.w, CP$11,
  _xlpm.r, MATCH(1,('3. Enter Indicator Scores'!$B$10:$B$161=$B67)*('3. Enter Indicator Scores'!$C$10:$C$161=$C67),0),
  _xlpm.c, MATCH(CP$8,'3. Enter Indicator Scores'!$D$8:$CZ$8,0),
  _xlpm.v, IFERROR(INDEX('3. Enter Indicator Scores'!$D$10:$CZ$161,_xlpm.r,_xlpm.c),""),
  IF(OR(_xlpm.w="",_xlpm.v=""),"",_xlpm.v*_xlpm.w)
)</f>
        <v/>
      </c>
      <c r="CQ67" s="93" t="str" cm="1">
        <f t="array" ref="CQ67">_xlfn.LET(
  _xlpm.w, CQ$11,
  _xlpm.r, MATCH(1,('3. Enter Indicator Scores'!$B$10:$B$161=$B67)*('3. Enter Indicator Scores'!$C$10:$C$161=$C67),0),
  _xlpm.c, MATCH(CQ$8,'3. Enter Indicator Scores'!$D$8:$CZ$8,0),
  _xlpm.v, IFERROR(INDEX('3. Enter Indicator Scores'!$D$10:$CZ$161,_xlpm.r,_xlpm.c),""),
  IF(OR(_xlpm.w="",_xlpm.v=""),"",_xlpm.v*_xlpm.w)
)</f>
        <v/>
      </c>
      <c r="CR67" s="93" t="str" cm="1">
        <f t="array" ref="CR67">_xlfn.LET(
  _xlpm.w, CR$11,
  _xlpm.r, MATCH(1,('3. Enter Indicator Scores'!$B$10:$B$161=$B67)*('3. Enter Indicator Scores'!$C$10:$C$161=$C67),0),
  _xlpm.c, MATCH(CR$8,'3. Enter Indicator Scores'!$D$8:$CZ$8,0),
  _xlpm.v, IFERROR(INDEX('3. Enter Indicator Scores'!$D$10:$CZ$161,_xlpm.r,_xlpm.c),""),
  IF(OR(_xlpm.w="",_xlpm.v=""),"",_xlpm.v*_xlpm.w)
)</f>
        <v/>
      </c>
      <c r="CS67" s="93" t="str" cm="1">
        <f t="array" ref="CS67">_xlfn.LET(
  _xlpm.w, CS$11,
  _xlpm.r, MATCH(1,('3. Enter Indicator Scores'!$B$10:$B$161=$B67)*('3. Enter Indicator Scores'!$C$10:$C$161=$C67),0),
  _xlpm.c, MATCH(CS$8,'3. Enter Indicator Scores'!$D$8:$CZ$8,0),
  _xlpm.v, IFERROR(INDEX('3. Enter Indicator Scores'!$D$10:$CZ$161,_xlpm.r,_xlpm.c),""),
  IF(OR(_xlpm.w="",_xlpm.v=""),"",_xlpm.v*_xlpm.w)
)</f>
        <v/>
      </c>
      <c r="CT67" s="93" t="str" cm="1">
        <f t="array" ref="CT67">_xlfn.LET(
  _xlpm.w, CT$11,
  _xlpm.r, MATCH(1,('3. Enter Indicator Scores'!$B$10:$B$161=$B67)*('3. Enter Indicator Scores'!$C$10:$C$161=$C67),0),
  _xlpm.c, MATCH(CT$8,'3. Enter Indicator Scores'!$D$8:$CZ$8,0),
  _xlpm.v, IFERROR(INDEX('3. Enter Indicator Scores'!$D$10:$CZ$161,_xlpm.r,_xlpm.c),""),
  IF(OR(_xlpm.w="",_xlpm.v=""),"",_xlpm.v*_xlpm.w)
)</f>
        <v/>
      </c>
      <c r="CU67" s="93" t="str" cm="1">
        <f t="array" ref="CU67">_xlfn.LET(
  _xlpm.w, CU$11,
  _xlpm.r, MATCH(1,('3. Enter Indicator Scores'!$B$10:$B$161=$B67)*('3. Enter Indicator Scores'!$C$10:$C$161=$C67),0),
  _xlpm.c, MATCH(CU$8,'3. Enter Indicator Scores'!$D$8:$CZ$8,0),
  _xlpm.v, IFERROR(INDEX('3. Enter Indicator Scores'!$D$10:$CZ$161,_xlpm.r,_xlpm.c),""),
  IF(OR(_xlpm.w="",_xlpm.v=""),"",_xlpm.v*_xlpm.w)
)</f>
        <v/>
      </c>
      <c r="CV67" s="93" t="str" cm="1">
        <f t="array" ref="CV67">_xlfn.LET(
  _xlpm.w, CV$11,
  _xlpm.r, MATCH(1,('3. Enter Indicator Scores'!$B$10:$B$161=$B67)*('3. Enter Indicator Scores'!$C$10:$C$161=$C67),0),
  _xlpm.c, MATCH(CV$8,'3. Enter Indicator Scores'!$D$8:$CZ$8,0),
  _xlpm.v, IFERROR(INDEX('3. Enter Indicator Scores'!$D$10:$CZ$161,_xlpm.r,_xlpm.c),""),
  IF(OR(_xlpm.w="",_xlpm.v=""),"",_xlpm.v*_xlpm.w)
)</f>
        <v/>
      </c>
      <c r="CW67" s="93" t="str" cm="1">
        <f t="array" ref="CW67">_xlfn.LET(
  _xlpm.w, CW$11,
  _xlpm.r, MATCH(1,('3. Enter Indicator Scores'!$B$10:$B$161=$B67)*('3. Enter Indicator Scores'!$C$10:$C$161=$C67),0),
  _xlpm.c, MATCH(CW$8,'3. Enter Indicator Scores'!$D$8:$CZ$8,0),
  _xlpm.v, IFERROR(INDEX('3. Enter Indicator Scores'!$D$10:$CZ$161,_xlpm.r,_xlpm.c),""),
  IF(OR(_xlpm.w="",_xlpm.v=""),"",_xlpm.v*_xlpm.w)
)</f>
        <v/>
      </c>
      <c r="CX67" s="93" t="str" cm="1">
        <f t="array" ref="CX67">_xlfn.LET(
  _xlpm.w, CX$11,
  _xlpm.r, MATCH(1,('3. Enter Indicator Scores'!$B$10:$B$161=$B67)*('3. Enter Indicator Scores'!$C$10:$C$161=$C67),0),
  _xlpm.c, MATCH(CX$8,'3. Enter Indicator Scores'!$D$8:$CZ$8,0),
  _xlpm.v, IFERROR(INDEX('3. Enter Indicator Scores'!$D$10:$CZ$161,_xlpm.r,_xlpm.c),""),
  IF(OR(_xlpm.w="",_xlpm.v=""),"",_xlpm.v*_xlpm.w)
)</f>
        <v/>
      </c>
      <c r="CY67" s="93" t="str" cm="1">
        <f t="array" ref="CY67">_xlfn.LET(
  _xlpm.w, CY$11,
  _xlpm.r, MATCH(1,('3. Enter Indicator Scores'!$B$10:$B$161=$B67)*('3. Enter Indicator Scores'!$C$10:$C$161=$C67),0),
  _xlpm.c, MATCH(CY$8,'3. Enter Indicator Scores'!$D$8:$CZ$8,0),
  _xlpm.v, IFERROR(INDEX('3. Enter Indicator Scores'!$D$10:$CZ$161,_xlpm.r,_xlpm.c),""),
  IF(OR(_xlpm.w="",_xlpm.v=""),"",_xlpm.v*_xlpm.w)
)</f>
        <v/>
      </c>
      <c r="CZ67" s="93" t="str" cm="1">
        <f t="array" ref="CZ67">_xlfn.LET(
  _xlpm.w, CZ$11,
  _xlpm.r, MATCH(1,('3. Enter Indicator Scores'!$B$10:$B$161=$B67)*('3. Enter Indicator Scores'!$C$10:$C$161=$C67),0),
  _xlpm.c, MATCH(CZ$8,'3. Enter Indicator Scores'!$D$8:$CZ$8,0),
  _xlpm.v, IFERROR(INDEX('3. Enter Indicator Scores'!$D$10:$CZ$161,_xlpm.r,_xlpm.c),""),
  IF(OR(_xlpm.w="",_xlpm.v=""),"",_xlpm.v*_xlpm.w)
)</f>
        <v/>
      </c>
    </row>
    <row r="68" spans="4:104" x14ac:dyDescent="0.2">
      <c r="D68" s="93" t="str" cm="1">
        <f t="array" ref="D68">_xlfn.LET(
  _xlpm.w, D$11,
  _xlpm.r, MATCH(1,('3. Enter Indicator Scores'!$B$10:$B$161=$B68)*('3. Enter Indicator Scores'!$C$10:$C$161=$C68),0),
  _xlpm.c, MATCH(D$8,'3. Enter Indicator Scores'!$D$8:$CZ$8,0),
  _xlpm.v, IFERROR(INDEX('3. Enter Indicator Scores'!$D$10:$CZ$161,_xlpm.r,_xlpm.c),""),
  IF(OR(_xlpm.w="",_xlpm.v=""),"",_xlpm.v*_xlpm.w)
)</f>
        <v/>
      </c>
      <c r="E68" s="93" t="str" cm="1">
        <f t="array" ref="E68">_xlfn.LET(
  _xlpm.w, E$11,
  _xlpm.r, MATCH(1,('3. Enter Indicator Scores'!$B$10:$B$161=$B68)*('3. Enter Indicator Scores'!$C$10:$C$161=$C68),0),
  _xlpm.c, MATCH(E$8,'3. Enter Indicator Scores'!$D$8:$CZ$8,0),
  _xlpm.v, IFERROR(INDEX('3. Enter Indicator Scores'!$D$10:$CZ$161,_xlpm.r,_xlpm.c),""),
  IF(OR(_xlpm.w="",_xlpm.v=""),"",_xlpm.v*_xlpm.w)
)</f>
        <v/>
      </c>
      <c r="F68" s="93" t="str" cm="1">
        <f t="array" ref="F68">_xlfn.LET(
  _xlpm.w, F$11,
  _xlpm.r, MATCH(1,('3. Enter Indicator Scores'!$B$10:$B$161=$B68)*('3. Enter Indicator Scores'!$C$10:$C$161=$C68),0),
  _xlpm.c, MATCH(F$8,'3. Enter Indicator Scores'!$D$8:$CZ$8,0),
  _xlpm.v, IFERROR(INDEX('3. Enter Indicator Scores'!$D$10:$CZ$161,_xlpm.r,_xlpm.c),""),
  IF(OR(_xlpm.w="",_xlpm.v=""),"",_xlpm.v*_xlpm.w)
)</f>
        <v/>
      </c>
      <c r="G68" s="93" t="str" cm="1">
        <f t="array" ref="G68">_xlfn.LET(
  _xlpm.w, G$11,
  _xlpm.r, MATCH(1,('3. Enter Indicator Scores'!$B$10:$B$161=$B68)*('3. Enter Indicator Scores'!$C$10:$C$161=$C68),0),
  _xlpm.c, MATCH(G$8,'3. Enter Indicator Scores'!$D$8:$CZ$8,0),
  _xlpm.v, IFERROR(INDEX('3. Enter Indicator Scores'!$D$10:$CZ$161,_xlpm.r,_xlpm.c),""),
  IF(OR(_xlpm.w="",_xlpm.v=""),"",_xlpm.v*_xlpm.w)
)</f>
        <v/>
      </c>
      <c r="H68" s="93" t="str" cm="1">
        <f t="array" ref="H68">_xlfn.LET(
  _xlpm.w, H$11,
  _xlpm.r, MATCH(1,('3. Enter Indicator Scores'!$B$10:$B$161=$B68)*('3. Enter Indicator Scores'!$C$10:$C$161=$C68),0),
  _xlpm.c, MATCH(H$8,'3. Enter Indicator Scores'!$D$8:$CZ$8,0),
  _xlpm.v, IFERROR(INDEX('3. Enter Indicator Scores'!$D$10:$CZ$161,_xlpm.r,_xlpm.c),""),
  IF(OR(_xlpm.w="",_xlpm.v=""),"",_xlpm.v*_xlpm.w)
)</f>
        <v/>
      </c>
      <c r="I68" s="93" t="str" cm="1">
        <f t="array" ref="I68">_xlfn.LET(
  _xlpm.w, I$11,
  _xlpm.r, MATCH(1,('3. Enter Indicator Scores'!$B$10:$B$161=$B68)*('3. Enter Indicator Scores'!$C$10:$C$161=$C68),0),
  _xlpm.c, MATCH(I$8,'3. Enter Indicator Scores'!$D$8:$CZ$8,0),
  _xlpm.v, IFERROR(INDEX('3. Enter Indicator Scores'!$D$10:$CZ$161,_xlpm.r,_xlpm.c),""),
  IF(OR(_xlpm.w="",_xlpm.v=""),"",_xlpm.v*_xlpm.w)
)</f>
        <v/>
      </c>
      <c r="J68" s="93" t="str" cm="1">
        <f t="array" ref="J68">_xlfn.LET(
  _xlpm.w, J$11,
  _xlpm.r, MATCH(1,('3. Enter Indicator Scores'!$B$10:$B$161=$B68)*('3. Enter Indicator Scores'!$C$10:$C$161=$C68),0),
  _xlpm.c, MATCH(J$8,'3. Enter Indicator Scores'!$D$8:$CZ$8,0),
  _xlpm.v, IFERROR(INDEX('3. Enter Indicator Scores'!$D$10:$CZ$161,_xlpm.r,_xlpm.c),""),
  IF(OR(_xlpm.w="",_xlpm.v=""),"",_xlpm.v*_xlpm.w)
)</f>
        <v/>
      </c>
      <c r="K68" s="93" t="str" cm="1">
        <f t="array" ref="K68">_xlfn.LET(
  _xlpm.w, K$11,
  _xlpm.r, MATCH(1,('3. Enter Indicator Scores'!$B$10:$B$161=$B68)*('3. Enter Indicator Scores'!$C$10:$C$161=$C68),0),
  _xlpm.c, MATCH(K$8,'3. Enter Indicator Scores'!$D$8:$CZ$8,0),
  _xlpm.v, IFERROR(INDEX('3. Enter Indicator Scores'!$D$10:$CZ$161,_xlpm.r,_xlpm.c),""),
  IF(OR(_xlpm.w="",_xlpm.v=""),"",_xlpm.v*_xlpm.w)
)</f>
        <v/>
      </c>
      <c r="L68" s="93" t="str" cm="1">
        <f t="array" ref="L68">_xlfn.LET(
  _xlpm.w, L$11,
  _xlpm.r, MATCH(1,('3. Enter Indicator Scores'!$B$10:$B$161=$B68)*('3. Enter Indicator Scores'!$C$10:$C$161=$C68),0),
  _xlpm.c, MATCH(L$8,'3. Enter Indicator Scores'!$D$8:$CZ$8,0),
  _xlpm.v, IFERROR(INDEX('3. Enter Indicator Scores'!$D$10:$CZ$161,_xlpm.r,_xlpm.c),""),
  IF(OR(_xlpm.w="",_xlpm.v=""),"",_xlpm.v*_xlpm.w)
)</f>
        <v/>
      </c>
      <c r="M68" s="93" t="str" cm="1">
        <f t="array" ref="M68">_xlfn.LET(
  _xlpm.w, M$11,
  _xlpm.r, MATCH(1,('3. Enter Indicator Scores'!$B$10:$B$161=$B68)*('3. Enter Indicator Scores'!$C$10:$C$161=$C68),0),
  _xlpm.c, MATCH(M$8,'3. Enter Indicator Scores'!$D$8:$CZ$8,0),
  _xlpm.v, IFERROR(INDEX('3. Enter Indicator Scores'!$D$10:$CZ$161,_xlpm.r,_xlpm.c),""),
  IF(OR(_xlpm.w="",_xlpm.v=""),"",_xlpm.v*_xlpm.w)
)</f>
        <v/>
      </c>
      <c r="N68" s="93" t="str" cm="1">
        <f t="array" ref="N68">_xlfn.LET(
  _xlpm.w, N$11,
  _xlpm.r, MATCH(1,('3. Enter Indicator Scores'!$B$10:$B$161=$B68)*('3. Enter Indicator Scores'!$C$10:$C$161=$C68),0),
  _xlpm.c, MATCH(N$8,'3. Enter Indicator Scores'!$D$8:$CZ$8,0),
  _xlpm.v, IFERROR(INDEX('3. Enter Indicator Scores'!$D$10:$CZ$161,_xlpm.r,_xlpm.c),""),
  IF(OR(_xlpm.w="",_xlpm.v=""),"",_xlpm.v*_xlpm.w)
)</f>
        <v/>
      </c>
      <c r="O68" s="93" t="str" cm="1">
        <f t="array" ref="O68">_xlfn.LET(
  _xlpm.w, O$11,
  _xlpm.r, MATCH(1,('3. Enter Indicator Scores'!$B$10:$B$161=$B68)*('3. Enter Indicator Scores'!$C$10:$C$161=$C68),0),
  _xlpm.c, MATCH(O$8,'3. Enter Indicator Scores'!$D$8:$CZ$8,0),
  _xlpm.v, IFERROR(INDEX('3. Enter Indicator Scores'!$D$10:$CZ$161,_xlpm.r,_xlpm.c),""),
  IF(OR(_xlpm.w="",_xlpm.v=""),"",_xlpm.v*_xlpm.w)
)</f>
        <v/>
      </c>
      <c r="P68" s="93" t="str" cm="1">
        <f t="array" ref="P68">_xlfn.LET(
  _xlpm.w, P$11,
  _xlpm.r, MATCH(1,('3. Enter Indicator Scores'!$B$10:$B$161=$B68)*('3. Enter Indicator Scores'!$C$10:$C$161=$C68),0),
  _xlpm.c, MATCH(P$8,'3. Enter Indicator Scores'!$D$8:$CZ$8,0),
  _xlpm.v, IFERROR(INDEX('3. Enter Indicator Scores'!$D$10:$CZ$161,_xlpm.r,_xlpm.c),""),
  IF(OR(_xlpm.w="",_xlpm.v=""),"",_xlpm.v*_xlpm.w)
)</f>
        <v/>
      </c>
      <c r="Q68" s="93" t="str" cm="1">
        <f t="array" ref="Q68">_xlfn.LET(
  _xlpm.w, Q$11,
  _xlpm.r, MATCH(1,('3. Enter Indicator Scores'!$B$10:$B$161=$B68)*('3. Enter Indicator Scores'!$C$10:$C$161=$C68),0),
  _xlpm.c, MATCH(Q$8,'3. Enter Indicator Scores'!$D$8:$CZ$8,0),
  _xlpm.v, IFERROR(INDEX('3. Enter Indicator Scores'!$D$10:$CZ$161,_xlpm.r,_xlpm.c),""),
  IF(OR(_xlpm.w="",_xlpm.v=""),"",_xlpm.v*_xlpm.w)
)</f>
        <v/>
      </c>
      <c r="R68" s="93" t="str" cm="1">
        <f t="array" ref="R68">_xlfn.LET(
  _xlpm.w, R$11,
  _xlpm.r, MATCH(1,('3. Enter Indicator Scores'!$B$10:$B$161=$B68)*('3. Enter Indicator Scores'!$C$10:$C$161=$C68),0),
  _xlpm.c, MATCH(R$8,'3. Enter Indicator Scores'!$D$8:$CZ$8,0),
  _xlpm.v, IFERROR(INDEX('3. Enter Indicator Scores'!$D$10:$CZ$161,_xlpm.r,_xlpm.c),""),
  IF(OR(_xlpm.w="",_xlpm.v=""),"",_xlpm.v*_xlpm.w)
)</f>
        <v/>
      </c>
      <c r="S68" s="93" t="str" cm="1">
        <f t="array" ref="S68">_xlfn.LET(
  _xlpm.w, S$11,
  _xlpm.r, MATCH(1,('3. Enter Indicator Scores'!$B$10:$B$161=$B68)*('3. Enter Indicator Scores'!$C$10:$C$161=$C68),0),
  _xlpm.c, MATCH(S$8,'3. Enter Indicator Scores'!$D$8:$CZ$8,0),
  _xlpm.v, IFERROR(INDEX('3. Enter Indicator Scores'!$D$10:$CZ$161,_xlpm.r,_xlpm.c),""),
  IF(OR(_xlpm.w="",_xlpm.v=""),"",_xlpm.v*_xlpm.w)
)</f>
        <v/>
      </c>
      <c r="T68" s="93" t="str" cm="1">
        <f t="array" ref="T68">_xlfn.LET(
  _xlpm.w, T$11,
  _xlpm.r, MATCH(1,('3. Enter Indicator Scores'!$B$10:$B$161=$B68)*('3. Enter Indicator Scores'!$C$10:$C$161=$C68),0),
  _xlpm.c, MATCH(T$8,'3. Enter Indicator Scores'!$D$8:$CZ$8,0),
  _xlpm.v, IFERROR(INDEX('3. Enter Indicator Scores'!$D$10:$CZ$161,_xlpm.r,_xlpm.c),""),
  IF(OR(_xlpm.w="",_xlpm.v=""),"",_xlpm.v*_xlpm.w)
)</f>
        <v/>
      </c>
      <c r="U68" s="93" t="str" cm="1">
        <f t="array" ref="U68">_xlfn.LET(
  _xlpm.w, U$11,
  _xlpm.r, MATCH(1,('3. Enter Indicator Scores'!$B$10:$B$161=$B68)*('3. Enter Indicator Scores'!$C$10:$C$161=$C68),0),
  _xlpm.c, MATCH(U$8,'3. Enter Indicator Scores'!$D$8:$CZ$8,0),
  _xlpm.v, IFERROR(INDEX('3. Enter Indicator Scores'!$D$10:$CZ$161,_xlpm.r,_xlpm.c),""),
  IF(OR(_xlpm.w="",_xlpm.v=""),"",_xlpm.v*_xlpm.w)
)</f>
        <v/>
      </c>
      <c r="V68" s="93" t="str" cm="1">
        <f t="array" ref="V68">_xlfn.LET(
  _xlpm.w, V$11,
  _xlpm.r, MATCH(1,('3. Enter Indicator Scores'!$B$10:$B$161=$B68)*('3. Enter Indicator Scores'!$C$10:$C$161=$C68),0),
  _xlpm.c, MATCH(V$8,'3. Enter Indicator Scores'!$D$8:$CZ$8,0),
  _xlpm.v, IFERROR(INDEX('3. Enter Indicator Scores'!$D$10:$CZ$161,_xlpm.r,_xlpm.c),""),
  IF(OR(_xlpm.w="",_xlpm.v=""),"",_xlpm.v*_xlpm.w)
)</f>
        <v/>
      </c>
      <c r="W68" s="93" t="str" cm="1">
        <f t="array" ref="W68">_xlfn.LET(
  _xlpm.w, W$11,
  _xlpm.r, MATCH(1,('3. Enter Indicator Scores'!$B$10:$B$161=$B68)*('3. Enter Indicator Scores'!$C$10:$C$161=$C68),0),
  _xlpm.c, MATCH(W$8,'3. Enter Indicator Scores'!$D$8:$CZ$8,0),
  _xlpm.v, IFERROR(INDEX('3. Enter Indicator Scores'!$D$10:$CZ$161,_xlpm.r,_xlpm.c),""),
  IF(OR(_xlpm.w="",_xlpm.v=""),"",_xlpm.v*_xlpm.w)
)</f>
        <v/>
      </c>
      <c r="X68" s="93" t="str" cm="1">
        <f t="array" ref="X68">_xlfn.LET(
  _xlpm.w, X$11,
  _xlpm.r, MATCH(1,('3. Enter Indicator Scores'!$B$10:$B$161=$B68)*('3. Enter Indicator Scores'!$C$10:$C$161=$C68),0),
  _xlpm.c, MATCH(X$8,'3. Enter Indicator Scores'!$D$8:$CZ$8,0),
  _xlpm.v, IFERROR(INDEX('3. Enter Indicator Scores'!$D$10:$CZ$161,_xlpm.r,_xlpm.c),""),
  IF(OR(_xlpm.w="",_xlpm.v=""),"",_xlpm.v*_xlpm.w)
)</f>
        <v/>
      </c>
      <c r="Y68" s="93" t="str" cm="1">
        <f t="array" ref="Y68">_xlfn.LET(
  _xlpm.w, Y$11,
  _xlpm.r, MATCH(1,('3. Enter Indicator Scores'!$B$10:$B$161=$B68)*('3. Enter Indicator Scores'!$C$10:$C$161=$C68),0),
  _xlpm.c, MATCH(Y$8,'3. Enter Indicator Scores'!$D$8:$CZ$8,0),
  _xlpm.v, IFERROR(INDEX('3. Enter Indicator Scores'!$D$10:$CZ$161,_xlpm.r,_xlpm.c),""),
  IF(OR(_xlpm.w="",_xlpm.v=""),"",_xlpm.v*_xlpm.w)
)</f>
        <v/>
      </c>
      <c r="Z68" s="93" t="str" cm="1">
        <f t="array" ref="Z68">_xlfn.LET(
  _xlpm.w, Z$11,
  _xlpm.r, MATCH(1,('3. Enter Indicator Scores'!$B$10:$B$161=$B68)*('3. Enter Indicator Scores'!$C$10:$C$161=$C68),0),
  _xlpm.c, MATCH(Z$8,'3. Enter Indicator Scores'!$D$8:$CZ$8,0),
  _xlpm.v, IFERROR(INDEX('3. Enter Indicator Scores'!$D$10:$CZ$161,_xlpm.r,_xlpm.c),""),
  IF(OR(_xlpm.w="",_xlpm.v=""),"",_xlpm.v*_xlpm.w)
)</f>
        <v/>
      </c>
      <c r="AA68" s="93" t="str" cm="1">
        <f t="array" ref="AA68">_xlfn.LET(
  _xlpm.w, AA$11,
  _xlpm.r, MATCH(1,('3. Enter Indicator Scores'!$B$10:$B$161=$B68)*('3. Enter Indicator Scores'!$C$10:$C$161=$C68),0),
  _xlpm.c, MATCH(AA$8,'3. Enter Indicator Scores'!$D$8:$CZ$8,0),
  _xlpm.v, IFERROR(INDEX('3. Enter Indicator Scores'!$D$10:$CZ$161,_xlpm.r,_xlpm.c),""),
  IF(OR(_xlpm.w="",_xlpm.v=""),"",_xlpm.v*_xlpm.w)
)</f>
        <v/>
      </c>
      <c r="AB68" s="93" t="str" cm="1">
        <f t="array" ref="AB68">_xlfn.LET(
  _xlpm.w, AB$11,
  _xlpm.r, MATCH(1,('3. Enter Indicator Scores'!$B$10:$B$161=$B68)*('3. Enter Indicator Scores'!$C$10:$C$161=$C68),0),
  _xlpm.c, MATCH(AB$8,'3. Enter Indicator Scores'!$D$8:$CZ$8,0),
  _xlpm.v, IFERROR(INDEX('3. Enter Indicator Scores'!$D$10:$CZ$161,_xlpm.r,_xlpm.c),""),
  IF(OR(_xlpm.w="",_xlpm.v=""),"",_xlpm.v*_xlpm.w)
)</f>
        <v/>
      </c>
      <c r="AC68" s="93" t="str" cm="1">
        <f t="array" ref="AC68">_xlfn.LET(
  _xlpm.w, AC$11,
  _xlpm.r, MATCH(1,('3. Enter Indicator Scores'!$B$10:$B$161=$B68)*('3. Enter Indicator Scores'!$C$10:$C$161=$C68),0),
  _xlpm.c, MATCH(AC$8,'3. Enter Indicator Scores'!$D$8:$CZ$8,0),
  _xlpm.v, IFERROR(INDEX('3. Enter Indicator Scores'!$D$10:$CZ$161,_xlpm.r,_xlpm.c),""),
  IF(OR(_xlpm.w="",_xlpm.v=""),"",_xlpm.v*_xlpm.w)
)</f>
        <v/>
      </c>
      <c r="AD68" s="93" t="str" cm="1">
        <f t="array" ref="AD68">_xlfn.LET(
  _xlpm.w, AD$11,
  _xlpm.r, MATCH(1,('3. Enter Indicator Scores'!$B$10:$B$161=$B68)*('3. Enter Indicator Scores'!$C$10:$C$161=$C68),0),
  _xlpm.c, MATCH(AD$8,'3. Enter Indicator Scores'!$D$8:$CZ$8,0),
  _xlpm.v, IFERROR(INDEX('3. Enter Indicator Scores'!$D$10:$CZ$161,_xlpm.r,_xlpm.c),""),
  IF(OR(_xlpm.w="",_xlpm.v=""),"",_xlpm.v*_xlpm.w)
)</f>
        <v/>
      </c>
      <c r="AE68" s="93" t="str" cm="1">
        <f t="array" ref="AE68">_xlfn.LET(
  _xlpm.w, AE$11,
  _xlpm.r, MATCH(1,('3. Enter Indicator Scores'!$B$10:$B$161=$B68)*('3. Enter Indicator Scores'!$C$10:$C$161=$C68),0),
  _xlpm.c, MATCH(AE$8,'3. Enter Indicator Scores'!$D$8:$CZ$8,0),
  _xlpm.v, IFERROR(INDEX('3. Enter Indicator Scores'!$D$10:$CZ$161,_xlpm.r,_xlpm.c),""),
  IF(OR(_xlpm.w="",_xlpm.v=""),"",_xlpm.v*_xlpm.w)
)</f>
        <v/>
      </c>
      <c r="AF68" s="93" t="str" cm="1">
        <f t="array" ref="AF68">_xlfn.LET(
  _xlpm.w, AF$11,
  _xlpm.r, MATCH(1,('3. Enter Indicator Scores'!$B$10:$B$161=$B68)*('3. Enter Indicator Scores'!$C$10:$C$161=$C68),0),
  _xlpm.c, MATCH(AF$8,'3. Enter Indicator Scores'!$D$8:$CZ$8,0),
  _xlpm.v, IFERROR(INDEX('3. Enter Indicator Scores'!$D$10:$CZ$161,_xlpm.r,_xlpm.c),""),
  IF(OR(_xlpm.w="",_xlpm.v=""),"",_xlpm.v*_xlpm.w)
)</f>
        <v/>
      </c>
      <c r="AG68" s="93" t="str" cm="1">
        <f t="array" ref="AG68">_xlfn.LET(
  _xlpm.w, AG$11,
  _xlpm.r, MATCH(1,('3. Enter Indicator Scores'!$B$10:$B$161=$B68)*('3. Enter Indicator Scores'!$C$10:$C$161=$C68),0),
  _xlpm.c, MATCH(AG$8,'3. Enter Indicator Scores'!$D$8:$CZ$8,0),
  _xlpm.v, IFERROR(INDEX('3. Enter Indicator Scores'!$D$10:$CZ$161,_xlpm.r,_xlpm.c),""),
  IF(OR(_xlpm.w="",_xlpm.v=""),"",_xlpm.v*_xlpm.w)
)</f>
        <v/>
      </c>
      <c r="AH68" s="93" t="str" cm="1">
        <f t="array" ref="AH68">_xlfn.LET(
  _xlpm.w, AH$11,
  _xlpm.r, MATCH(1,('3. Enter Indicator Scores'!$B$10:$B$161=$B68)*('3. Enter Indicator Scores'!$C$10:$C$161=$C68),0),
  _xlpm.c, MATCH(AH$8,'3. Enter Indicator Scores'!$D$8:$CZ$8,0),
  _xlpm.v, IFERROR(INDEX('3. Enter Indicator Scores'!$D$10:$CZ$161,_xlpm.r,_xlpm.c),""),
  IF(OR(_xlpm.w="",_xlpm.v=""),"",_xlpm.v*_xlpm.w)
)</f>
        <v/>
      </c>
      <c r="AI68" s="93" t="str" cm="1">
        <f t="array" ref="AI68">_xlfn.LET(
  _xlpm.w, AI$11,
  _xlpm.r, MATCH(1,('3. Enter Indicator Scores'!$B$10:$B$161=$B68)*('3. Enter Indicator Scores'!$C$10:$C$161=$C68),0),
  _xlpm.c, MATCH(AI$8,'3. Enter Indicator Scores'!$D$8:$CZ$8,0),
  _xlpm.v, IFERROR(INDEX('3. Enter Indicator Scores'!$D$10:$CZ$161,_xlpm.r,_xlpm.c),""),
  IF(OR(_xlpm.w="",_xlpm.v=""),"",_xlpm.v*_xlpm.w)
)</f>
        <v/>
      </c>
      <c r="AJ68" s="93" t="str" cm="1">
        <f t="array" ref="AJ68">_xlfn.LET(
  _xlpm.w, AJ$11,
  _xlpm.r, MATCH(1,('3. Enter Indicator Scores'!$B$10:$B$161=$B68)*('3. Enter Indicator Scores'!$C$10:$C$161=$C68),0),
  _xlpm.c, MATCH(AJ$8,'3. Enter Indicator Scores'!$D$8:$CZ$8,0),
  _xlpm.v, IFERROR(INDEX('3. Enter Indicator Scores'!$D$10:$CZ$161,_xlpm.r,_xlpm.c),""),
  IF(OR(_xlpm.w="",_xlpm.v=""),"",_xlpm.v*_xlpm.w)
)</f>
        <v/>
      </c>
      <c r="AK68" s="93" t="str" cm="1">
        <f t="array" ref="AK68">_xlfn.LET(
  _xlpm.w, AK$11,
  _xlpm.r, MATCH(1,('3. Enter Indicator Scores'!$B$10:$B$161=$B68)*('3. Enter Indicator Scores'!$C$10:$C$161=$C68),0),
  _xlpm.c, MATCH(AK$8,'3. Enter Indicator Scores'!$D$8:$CZ$8,0),
  _xlpm.v, IFERROR(INDEX('3. Enter Indicator Scores'!$D$10:$CZ$161,_xlpm.r,_xlpm.c),""),
  IF(OR(_xlpm.w="",_xlpm.v=""),"",_xlpm.v*_xlpm.w)
)</f>
        <v/>
      </c>
      <c r="AL68" s="93" t="str" cm="1">
        <f t="array" ref="AL68">_xlfn.LET(
  _xlpm.w, AL$11,
  _xlpm.r, MATCH(1,('3. Enter Indicator Scores'!$B$10:$B$161=$B68)*('3. Enter Indicator Scores'!$C$10:$C$161=$C68),0),
  _xlpm.c, MATCH(AL$8,'3. Enter Indicator Scores'!$D$8:$CZ$8,0),
  _xlpm.v, IFERROR(INDEX('3. Enter Indicator Scores'!$D$10:$CZ$161,_xlpm.r,_xlpm.c),""),
  IF(OR(_xlpm.w="",_xlpm.v=""),"",_xlpm.v*_xlpm.w)
)</f>
        <v/>
      </c>
      <c r="AM68" s="93" t="str" cm="1">
        <f t="array" ref="AM68">_xlfn.LET(
  _xlpm.w, AM$11,
  _xlpm.r, MATCH(1,('3. Enter Indicator Scores'!$B$10:$B$161=$B68)*('3. Enter Indicator Scores'!$C$10:$C$161=$C68),0),
  _xlpm.c, MATCH(AM$8,'3. Enter Indicator Scores'!$D$8:$CZ$8,0),
  _xlpm.v, IFERROR(INDEX('3. Enter Indicator Scores'!$D$10:$CZ$161,_xlpm.r,_xlpm.c),""),
  IF(OR(_xlpm.w="",_xlpm.v=""),"",_xlpm.v*_xlpm.w)
)</f>
        <v/>
      </c>
      <c r="AN68" s="93" t="str" cm="1">
        <f t="array" ref="AN68">_xlfn.LET(
  _xlpm.w, AN$11,
  _xlpm.r, MATCH(1,('3. Enter Indicator Scores'!$B$10:$B$161=$B68)*('3. Enter Indicator Scores'!$C$10:$C$161=$C68),0),
  _xlpm.c, MATCH(AN$8,'3. Enter Indicator Scores'!$D$8:$CZ$8,0),
  _xlpm.v, IFERROR(INDEX('3. Enter Indicator Scores'!$D$10:$CZ$161,_xlpm.r,_xlpm.c),""),
  IF(OR(_xlpm.w="",_xlpm.v=""),"",_xlpm.v*_xlpm.w)
)</f>
        <v/>
      </c>
      <c r="AO68" s="93" t="str" cm="1">
        <f t="array" ref="AO68">_xlfn.LET(
  _xlpm.w, AO$11,
  _xlpm.r, MATCH(1,('3. Enter Indicator Scores'!$B$10:$B$161=$B68)*('3. Enter Indicator Scores'!$C$10:$C$161=$C68),0),
  _xlpm.c, MATCH(AO$8,'3. Enter Indicator Scores'!$D$8:$CZ$8,0),
  _xlpm.v, IFERROR(INDEX('3. Enter Indicator Scores'!$D$10:$CZ$161,_xlpm.r,_xlpm.c),""),
  IF(OR(_xlpm.w="",_xlpm.v=""),"",_xlpm.v*_xlpm.w)
)</f>
        <v/>
      </c>
      <c r="AP68" s="93" t="str" cm="1">
        <f t="array" ref="AP68">_xlfn.LET(
  _xlpm.w, AP$11,
  _xlpm.r, MATCH(1,('3. Enter Indicator Scores'!$B$10:$B$161=$B68)*('3. Enter Indicator Scores'!$C$10:$C$161=$C68),0),
  _xlpm.c, MATCH(AP$8,'3. Enter Indicator Scores'!$D$8:$CZ$8,0),
  _xlpm.v, IFERROR(INDEX('3. Enter Indicator Scores'!$D$10:$CZ$161,_xlpm.r,_xlpm.c),""),
  IF(OR(_xlpm.w="",_xlpm.v=""),"",_xlpm.v*_xlpm.w)
)</f>
        <v/>
      </c>
      <c r="AQ68" s="93" t="str" cm="1">
        <f t="array" ref="AQ68">_xlfn.LET(
  _xlpm.w, AQ$11,
  _xlpm.r, MATCH(1,('3. Enter Indicator Scores'!$B$10:$B$161=$B68)*('3. Enter Indicator Scores'!$C$10:$C$161=$C68),0),
  _xlpm.c, MATCH(AQ$8,'3. Enter Indicator Scores'!$D$8:$CZ$8,0),
  _xlpm.v, IFERROR(INDEX('3. Enter Indicator Scores'!$D$10:$CZ$161,_xlpm.r,_xlpm.c),""),
  IF(OR(_xlpm.w="",_xlpm.v=""),"",_xlpm.v*_xlpm.w)
)</f>
        <v/>
      </c>
      <c r="AR68" s="93" t="str" cm="1">
        <f t="array" ref="AR68">_xlfn.LET(
  _xlpm.w, AR$11,
  _xlpm.r, MATCH(1,('3. Enter Indicator Scores'!$B$10:$B$161=$B68)*('3. Enter Indicator Scores'!$C$10:$C$161=$C68),0),
  _xlpm.c, MATCH(AR$8,'3. Enter Indicator Scores'!$D$8:$CZ$8,0),
  _xlpm.v, IFERROR(INDEX('3. Enter Indicator Scores'!$D$10:$CZ$161,_xlpm.r,_xlpm.c),""),
  IF(OR(_xlpm.w="",_xlpm.v=""),"",_xlpm.v*_xlpm.w)
)</f>
        <v/>
      </c>
      <c r="AS68" s="93" t="str" cm="1">
        <f t="array" ref="AS68">_xlfn.LET(
  _xlpm.w, AS$11,
  _xlpm.r, MATCH(1,('3. Enter Indicator Scores'!$B$10:$B$161=$B68)*('3. Enter Indicator Scores'!$C$10:$C$161=$C68),0),
  _xlpm.c, MATCH(AS$8,'3. Enter Indicator Scores'!$D$8:$CZ$8,0),
  _xlpm.v, IFERROR(INDEX('3. Enter Indicator Scores'!$D$10:$CZ$161,_xlpm.r,_xlpm.c),""),
  IF(OR(_xlpm.w="",_xlpm.v=""),"",_xlpm.v*_xlpm.w)
)</f>
        <v/>
      </c>
      <c r="AT68" s="93" t="str" cm="1">
        <f t="array" ref="AT68">_xlfn.LET(
  _xlpm.w, AT$11,
  _xlpm.r, MATCH(1,('3. Enter Indicator Scores'!$B$10:$B$161=$B68)*('3. Enter Indicator Scores'!$C$10:$C$161=$C68),0),
  _xlpm.c, MATCH(AT$8,'3. Enter Indicator Scores'!$D$8:$CZ$8,0),
  _xlpm.v, IFERROR(INDEX('3. Enter Indicator Scores'!$D$10:$CZ$161,_xlpm.r,_xlpm.c),""),
  IF(OR(_xlpm.w="",_xlpm.v=""),"",_xlpm.v*_xlpm.w)
)</f>
        <v/>
      </c>
      <c r="AU68" s="93" t="str" cm="1">
        <f t="array" ref="AU68">_xlfn.LET(
  _xlpm.w, AU$11,
  _xlpm.r, MATCH(1,('3. Enter Indicator Scores'!$B$10:$B$161=$B68)*('3. Enter Indicator Scores'!$C$10:$C$161=$C68),0),
  _xlpm.c, MATCH(AU$8,'3. Enter Indicator Scores'!$D$8:$CZ$8,0),
  _xlpm.v, IFERROR(INDEX('3. Enter Indicator Scores'!$D$10:$CZ$161,_xlpm.r,_xlpm.c),""),
  IF(OR(_xlpm.w="",_xlpm.v=""),"",_xlpm.v*_xlpm.w)
)</f>
        <v/>
      </c>
      <c r="AV68" s="93" t="str" cm="1">
        <f t="array" ref="AV68">_xlfn.LET(
  _xlpm.w, AV$11,
  _xlpm.r, MATCH(1,('3. Enter Indicator Scores'!$B$10:$B$161=$B68)*('3. Enter Indicator Scores'!$C$10:$C$161=$C68),0),
  _xlpm.c, MATCH(AV$8,'3. Enter Indicator Scores'!$D$8:$CZ$8,0),
  _xlpm.v, IFERROR(INDEX('3. Enter Indicator Scores'!$D$10:$CZ$161,_xlpm.r,_xlpm.c),""),
  IF(OR(_xlpm.w="",_xlpm.v=""),"",_xlpm.v*_xlpm.w)
)</f>
        <v/>
      </c>
      <c r="AW68" s="93" t="str" cm="1">
        <f t="array" ref="AW68">_xlfn.LET(
  _xlpm.w, AW$11,
  _xlpm.r, MATCH(1,('3. Enter Indicator Scores'!$B$10:$B$161=$B68)*('3. Enter Indicator Scores'!$C$10:$C$161=$C68),0),
  _xlpm.c, MATCH(AW$8,'3. Enter Indicator Scores'!$D$8:$CZ$8,0),
  _xlpm.v, IFERROR(INDEX('3. Enter Indicator Scores'!$D$10:$CZ$161,_xlpm.r,_xlpm.c),""),
  IF(OR(_xlpm.w="",_xlpm.v=""),"",_xlpm.v*_xlpm.w)
)</f>
        <v/>
      </c>
      <c r="AX68" s="93" t="str" cm="1">
        <f t="array" ref="AX68">_xlfn.LET(
  _xlpm.w, AX$11,
  _xlpm.r, MATCH(1,('3. Enter Indicator Scores'!$B$10:$B$161=$B68)*('3. Enter Indicator Scores'!$C$10:$C$161=$C68),0),
  _xlpm.c, MATCH(AX$8,'3. Enter Indicator Scores'!$D$8:$CZ$8,0),
  _xlpm.v, IFERROR(INDEX('3. Enter Indicator Scores'!$D$10:$CZ$161,_xlpm.r,_xlpm.c),""),
  IF(OR(_xlpm.w="",_xlpm.v=""),"",_xlpm.v*_xlpm.w)
)</f>
        <v/>
      </c>
      <c r="AY68" s="93" t="str" cm="1">
        <f t="array" ref="AY68">_xlfn.LET(
  _xlpm.w, AY$11,
  _xlpm.r, MATCH(1,('3. Enter Indicator Scores'!$B$10:$B$161=$B68)*('3. Enter Indicator Scores'!$C$10:$C$161=$C68),0),
  _xlpm.c, MATCH(AY$8,'3. Enter Indicator Scores'!$D$8:$CZ$8,0),
  _xlpm.v, IFERROR(INDEX('3. Enter Indicator Scores'!$D$10:$CZ$161,_xlpm.r,_xlpm.c),""),
  IF(OR(_xlpm.w="",_xlpm.v=""),"",_xlpm.v*_xlpm.w)
)</f>
        <v/>
      </c>
      <c r="AZ68" s="93" t="str" cm="1">
        <f t="array" ref="AZ68">_xlfn.LET(
  _xlpm.w, AZ$11,
  _xlpm.r, MATCH(1,('3. Enter Indicator Scores'!$B$10:$B$161=$B68)*('3. Enter Indicator Scores'!$C$10:$C$161=$C68),0),
  _xlpm.c, MATCH(AZ$8,'3. Enter Indicator Scores'!$D$8:$CZ$8,0),
  _xlpm.v, IFERROR(INDEX('3. Enter Indicator Scores'!$D$10:$CZ$161,_xlpm.r,_xlpm.c),""),
  IF(OR(_xlpm.w="",_xlpm.v=""),"",_xlpm.v*_xlpm.w)
)</f>
        <v/>
      </c>
      <c r="BA68" s="93" t="str" cm="1">
        <f t="array" ref="BA68">_xlfn.LET(
  _xlpm.w, BA$11,
  _xlpm.r, MATCH(1,('3. Enter Indicator Scores'!$B$10:$B$161=$B68)*('3. Enter Indicator Scores'!$C$10:$C$161=$C68),0),
  _xlpm.c, MATCH(BA$8,'3. Enter Indicator Scores'!$D$8:$CZ$8,0),
  _xlpm.v, IFERROR(INDEX('3. Enter Indicator Scores'!$D$10:$CZ$161,_xlpm.r,_xlpm.c),""),
  IF(OR(_xlpm.w="",_xlpm.v=""),"",_xlpm.v*_xlpm.w)
)</f>
        <v/>
      </c>
      <c r="BB68" s="93" t="str" cm="1">
        <f t="array" ref="BB68">_xlfn.LET(
  _xlpm.w, BB$11,
  _xlpm.r, MATCH(1,('3. Enter Indicator Scores'!$B$10:$B$161=$B68)*('3. Enter Indicator Scores'!$C$10:$C$161=$C68),0),
  _xlpm.c, MATCH(BB$8,'3. Enter Indicator Scores'!$D$8:$CZ$8,0),
  _xlpm.v, IFERROR(INDEX('3. Enter Indicator Scores'!$D$10:$CZ$161,_xlpm.r,_xlpm.c),""),
  IF(OR(_xlpm.w="",_xlpm.v=""),"",_xlpm.v*_xlpm.w)
)</f>
        <v/>
      </c>
      <c r="BC68" s="93" t="str" cm="1">
        <f t="array" ref="BC68">_xlfn.LET(
  _xlpm.w, BC$11,
  _xlpm.r, MATCH(1,('3. Enter Indicator Scores'!$B$10:$B$161=$B68)*('3. Enter Indicator Scores'!$C$10:$C$161=$C68),0),
  _xlpm.c, MATCH(BC$8,'3. Enter Indicator Scores'!$D$8:$CZ$8,0),
  _xlpm.v, IFERROR(INDEX('3. Enter Indicator Scores'!$D$10:$CZ$161,_xlpm.r,_xlpm.c),""),
  IF(OR(_xlpm.w="",_xlpm.v=""),"",_xlpm.v*_xlpm.w)
)</f>
        <v/>
      </c>
      <c r="BD68" s="93" t="str" cm="1">
        <f t="array" ref="BD68">_xlfn.LET(
  _xlpm.w, BD$11,
  _xlpm.r, MATCH(1,('3. Enter Indicator Scores'!$B$10:$B$161=$B68)*('3. Enter Indicator Scores'!$C$10:$C$161=$C68),0),
  _xlpm.c, MATCH(BD$8,'3. Enter Indicator Scores'!$D$8:$CZ$8,0),
  _xlpm.v, IFERROR(INDEX('3. Enter Indicator Scores'!$D$10:$CZ$161,_xlpm.r,_xlpm.c),""),
  IF(OR(_xlpm.w="",_xlpm.v=""),"",_xlpm.v*_xlpm.w)
)</f>
        <v/>
      </c>
      <c r="BE68" s="93" t="str" cm="1">
        <f t="array" ref="BE68">_xlfn.LET(
  _xlpm.w, BE$11,
  _xlpm.r, MATCH(1,('3. Enter Indicator Scores'!$B$10:$B$161=$B68)*('3. Enter Indicator Scores'!$C$10:$C$161=$C68),0),
  _xlpm.c, MATCH(BE$8,'3. Enter Indicator Scores'!$D$8:$CZ$8,0),
  _xlpm.v, IFERROR(INDEX('3. Enter Indicator Scores'!$D$10:$CZ$161,_xlpm.r,_xlpm.c),""),
  IF(OR(_xlpm.w="",_xlpm.v=""),"",_xlpm.v*_xlpm.w)
)</f>
        <v/>
      </c>
      <c r="BF68" s="93" t="str" cm="1">
        <f t="array" ref="BF68">_xlfn.LET(
  _xlpm.w, BF$11,
  _xlpm.r, MATCH(1,('3. Enter Indicator Scores'!$B$10:$B$161=$B68)*('3. Enter Indicator Scores'!$C$10:$C$161=$C68),0),
  _xlpm.c, MATCH(BF$8,'3. Enter Indicator Scores'!$D$8:$CZ$8,0),
  _xlpm.v, IFERROR(INDEX('3. Enter Indicator Scores'!$D$10:$CZ$161,_xlpm.r,_xlpm.c),""),
  IF(OR(_xlpm.w="",_xlpm.v=""),"",_xlpm.v*_xlpm.w)
)</f>
        <v/>
      </c>
      <c r="BG68" s="93" t="str" cm="1">
        <f t="array" ref="BG68">_xlfn.LET(
  _xlpm.w, BG$11,
  _xlpm.r, MATCH(1,('3. Enter Indicator Scores'!$B$10:$B$161=$B68)*('3. Enter Indicator Scores'!$C$10:$C$161=$C68),0),
  _xlpm.c, MATCH(BG$8,'3. Enter Indicator Scores'!$D$8:$CZ$8,0),
  _xlpm.v, IFERROR(INDEX('3. Enter Indicator Scores'!$D$10:$CZ$161,_xlpm.r,_xlpm.c),""),
  IF(OR(_xlpm.w="",_xlpm.v=""),"",_xlpm.v*_xlpm.w)
)</f>
        <v/>
      </c>
      <c r="BH68" s="93" t="str" cm="1">
        <f t="array" ref="BH68">_xlfn.LET(
  _xlpm.w, BH$11,
  _xlpm.r, MATCH(1,('3. Enter Indicator Scores'!$B$10:$B$161=$B68)*('3. Enter Indicator Scores'!$C$10:$C$161=$C68),0),
  _xlpm.c, MATCH(BH$8,'3. Enter Indicator Scores'!$D$8:$CZ$8,0),
  _xlpm.v, IFERROR(INDEX('3. Enter Indicator Scores'!$D$10:$CZ$161,_xlpm.r,_xlpm.c),""),
  IF(OR(_xlpm.w="",_xlpm.v=""),"",_xlpm.v*_xlpm.w)
)</f>
        <v/>
      </c>
      <c r="BI68" s="93" t="str" cm="1">
        <f t="array" ref="BI68">_xlfn.LET(
  _xlpm.w, BI$11,
  _xlpm.r, MATCH(1,('3. Enter Indicator Scores'!$B$10:$B$161=$B68)*('3. Enter Indicator Scores'!$C$10:$C$161=$C68),0),
  _xlpm.c, MATCH(BI$8,'3. Enter Indicator Scores'!$D$8:$CZ$8,0),
  _xlpm.v, IFERROR(INDEX('3. Enter Indicator Scores'!$D$10:$CZ$161,_xlpm.r,_xlpm.c),""),
  IF(OR(_xlpm.w="",_xlpm.v=""),"",_xlpm.v*_xlpm.w)
)</f>
        <v/>
      </c>
      <c r="BJ68" s="93" t="str" cm="1">
        <f t="array" ref="BJ68">_xlfn.LET(
  _xlpm.w, BJ$11,
  _xlpm.r, MATCH(1,('3. Enter Indicator Scores'!$B$10:$B$161=$B68)*('3. Enter Indicator Scores'!$C$10:$C$161=$C68),0),
  _xlpm.c, MATCH(BJ$8,'3. Enter Indicator Scores'!$D$8:$CZ$8,0),
  _xlpm.v, IFERROR(INDEX('3. Enter Indicator Scores'!$D$10:$CZ$161,_xlpm.r,_xlpm.c),""),
  IF(OR(_xlpm.w="",_xlpm.v=""),"",_xlpm.v*_xlpm.w)
)</f>
        <v/>
      </c>
      <c r="BK68" s="93" t="str" cm="1">
        <f t="array" ref="BK68">_xlfn.LET(
  _xlpm.w, BK$11,
  _xlpm.r, MATCH(1,('3. Enter Indicator Scores'!$B$10:$B$161=$B68)*('3. Enter Indicator Scores'!$C$10:$C$161=$C68),0),
  _xlpm.c, MATCH(BK$8,'3. Enter Indicator Scores'!$D$8:$CZ$8,0),
  _xlpm.v, IFERROR(INDEX('3. Enter Indicator Scores'!$D$10:$CZ$161,_xlpm.r,_xlpm.c),""),
  IF(OR(_xlpm.w="",_xlpm.v=""),"",_xlpm.v*_xlpm.w)
)</f>
        <v/>
      </c>
      <c r="BL68" s="93" t="str" cm="1">
        <f t="array" ref="BL68">_xlfn.LET(
  _xlpm.w, BL$11,
  _xlpm.r, MATCH(1,('3. Enter Indicator Scores'!$B$10:$B$161=$B68)*('3. Enter Indicator Scores'!$C$10:$C$161=$C68),0),
  _xlpm.c, MATCH(BL$8,'3. Enter Indicator Scores'!$D$8:$CZ$8,0),
  _xlpm.v, IFERROR(INDEX('3. Enter Indicator Scores'!$D$10:$CZ$161,_xlpm.r,_xlpm.c),""),
  IF(OR(_xlpm.w="",_xlpm.v=""),"",_xlpm.v*_xlpm.w)
)</f>
        <v/>
      </c>
      <c r="BM68" s="93" t="str" cm="1">
        <f t="array" ref="BM68">_xlfn.LET(
  _xlpm.w, BM$11,
  _xlpm.r, MATCH(1,('3. Enter Indicator Scores'!$B$10:$B$161=$B68)*('3. Enter Indicator Scores'!$C$10:$C$161=$C68),0),
  _xlpm.c, MATCH(BM$8,'3. Enter Indicator Scores'!$D$8:$CZ$8,0),
  _xlpm.v, IFERROR(INDEX('3. Enter Indicator Scores'!$D$10:$CZ$161,_xlpm.r,_xlpm.c),""),
  IF(OR(_xlpm.w="",_xlpm.v=""),"",_xlpm.v*_xlpm.w)
)</f>
        <v/>
      </c>
      <c r="BN68" s="93" t="str" cm="1">
        <f t="array" ref="BN68">_xlfn.LET(
  _xlpm.w, BN$11,
  _xlpm.r, MATCH(1,('3. Enter Indicator Scores'!$B$10:$B$161=$B68)*('3. Enter Indicator Scores'!$C$10:$C$161=$C68),0),
  _xlpm.c, MATCH(BN$8,'3. Enter Indicator Scores'!$D$8:$CZ$8,0),
  _xlpm.v, IFERROR(INDEX('3. Enter Indicator Scores'!$D$10:$CZ$161,_xlpm.r,_xlpm.c),""),
  IF(OR(_xlpm.w="",_xlpm.v=""),"",_xlpm.v*_xlpm.w)
)</f>
        <v/>
      </c>
      <c r="BO68" s="93" t="str" cm="1">
        <f t="array" ref="BO68">_xlfn.LET(
  _xlpm.w, BO$11,
  _xlpm.r, MATCH(1,('3. Enter Indicator Scores'!$B$10:$B$161=$B68)*('3. Enter Indicator Scores'!$C$10:$C$161=$C68),0),
  _xlpm.c, MATCH(BO$8,'3. Enter Indicator Scores'!$D$8:$CZ$8,0),
  _xlpm.v, IFERROR(INDEX('3. Enter Indicator Scores'!$D$10:$CZ$161,_xlpm.r,_xlpm.c),""),
  IF(OR(_xlpm.w="",_xlpm.v=""),"",_xlpm.v*_xlpm.w)
)</f>
        <v/>
      </c>
      <c r="BP68" s="93" t="str" cm="1">
        <f t="array" ref="BP68">_xlfn.LET(
  _xlpm.w, BP$11,
  _xlpm.r, MATCH(1,('3. Enter Indicator Scores'!$B$10:$B$161=$B68)*('3. Enter Indicator Scores'!$C$10:$C$161=$C68),0),
  _xlpm.c, MATCH(BP$8,'3. Enter Indicator Scores'!$D$8:$CZ$8,0),
  _xlpm.v, IFERROR(INDEX('3. Enter Indicator Scores'!$D$10:$CZ$161,_xlpm.r,_xlpm.c),""),
  IF(OR(_xlpm.w="",_xlpm.v=""),"",_xlpm.v*_xlpm.w)
)</f>
        <v/>
      </c>
      <c r="BQ68" s="93" t="str" cm="1">
        <f t="array" ref="BQ68">_xlfn.LET(
  _xlpm.w, BQ$11,
  _xlpm.r, MATCH(1,('3. Enter Indicator Scores'!$B$10:$B$161=$B68)*('3. Enter Indicator Scores'!$C$10:$C$161=$C68),0),
  _xlpm.c, MATCH(BQ$8,'3. Enter Indicator Scores'!$D$8:$CZ$8,0),
  _xlpm.v, IFERROR(INDEX('3. Enter Indicator Scores'!$D$10:$CZ$161,_xlpm.r,_xlpm.c),""),
  IF(OR(_xlpm.w="",_xlpm.v=""),"",_xlpm.v*_xlpm.w)
)</f>
        <v/>
      </c>
      <c r="BR68" s="93" t="str" cm="1">
        <f t="array" ref="BR68">_xlfn.LET(
  _xlpm.w, BR$11,
  _xlpm.r, MATCH(1,('3. Enter Indicator Scores'!$B$10:$B$161=$B68)*('3. Enter Indicator Scores'!$C$10:$C$161=$C68),0),
  _xlpm.c, MATCH(BR$8,'3. Enter Indicator Scores'!$D$8:$CZ$8,0),
  _xlpm.v, IFERROR(INDEX('3. Enter Indicator Scores'!$D$10:$CZ$161,_xlpm.r,_xlpm.c),""),
  IF(OR(_xlpm.w="",_xlpm.v=""),"",_xlpm.v*_xlpm.w)
)</f>
        <v/>
      </c>
      <c r="BS68" s="93" t="str" cm="1">
        <f t="array" ref="BS68">_xlfn.LET(
  _xlpm.w, BS$11,
  _xlpm.r, MATCH(1,('3. Enter Indicator Scores'!$B$10:$B$161=$B68)*('3. Enter Indicator Scores'!$C$10:$C$161=$C68),0),
  _xlpm.c, MATCH(BS$8,'3. Enter Indicator Scores'!$D$8:$CZ$8,0),
  _xlpm.v, IFERROR(INDEX('3. Enter Indicator Scores'!$D$10:$CZ$161,_xlpm.r,_xlpm.c),""),
  IF(OR(_xlpm.w="",_xlpm.v=""),"",_xlpm.v*_xlpm.w)
)</f>
        <v/>
      </c>
      <c r="BT68" s="93" t="str" cm="1">
        <f t="array" ref="BT68">_xlfn.LET(
  _xlpm.w, BT$11,
  _xlpm.r, MATCH(1,('3. Enter Indicator Scores'!$B$10:$B$161=$B68)*('3. Enter Indicator Scores'!$C$10:$C$161=$C68),0),
  _xlpm.c, MATCH(BT$8,'3. Enter Indicator Scores'!$D$8:$CZ$8,0),
  _xlpm.v, IFERROR(INDEX('3. Enter Indicator Scores'!$D$10:$CZ$161,_xlpm.r,_xlpm.c),""),
  IF(OR(_xlpm.w="",_xlpm.v=""),"",_xlpm.v*_xlpm.w)
)</f>
        <v/>
      </c>
      <c r="BU68" s="93" t="str" cm="1">
        <f t="array" ref="BU68">_xlfn.LET(
  _xlpm.w, BU$11,
  _xlpm.r, MATCH(1,('3. Enter Indicator Scores'!$B$10:$B$161=$B68)*('3. Enter Indicator Scores'!$C$10:$C$161=$C68),0),
  _xlpm.c, MATCH(BU$8,'3. Enter Indicator Scores'!$D$8:$CZ$8,0),
  _xlpm.v, IFERROR(INDEX('3. Enter Indicator Scores'!$D$10:$CZ$161,_xlpm.r,_xlpm.c),""),
  IF(OR(_xlpm.w="",_xlpm.v=""),"",_xlpm.v*_xlpm.w)
)</f>
        <v/>
      </c>
      <c r="BV68" s="93" t="str" cm="1">
        <f t="array" ref="BV68">_xlfn.LET(
  _xlpm.w, BV$11,
  _xlpm.r, MATCH(1,('3. Enter Indicator Scores'!$B$10:$B$161=$B68)*('3. Enter Indicator Scores'!$C$10:$C$161=$C68),0),
  _xlpm.c, MATCH(BV$8,'3. Enter Indicator Scores'!$D$8:$CZ$8,0),
  _xlpm.v, IFERROR(INDEX('3. Enter Indicator Scores'!$D$10:$CZ$161,_xlpm.r,_xlpm.c),""),
  IF(OR(_xlpm.w="",_xlpm.v=""),"",_xlpm.v*_xlpm.w)
)</f>
        <v/>
      </c>
      <c r="BW68" s="93" t="str" cm="1">
        <f t="array" ref="BW68">_xlfn.LET(
  _xlpm.w, BW$11,
  _xlpm.r, MATCH(1,('3. Enter Indicator Scores'!$B$10:$B$161=$B68)*('3. Enter Indicator Scores'!$C$10:$C$161=$C68),0),
  _xlpm.c, MATCH(BW$8,'3. Enter Indicator Scores'!$D$8:$CZ$8,0),
  _xlpm.v, IFERROR(INDEX('3. Enter Indicator Scores'!$D$10:$CZ$161,_xlpm.r,_xlpm.c),""),
  IF(OR(_xlpm.w="",_xlpm.v=""),"",_xlpm.v*_xlpm.w)
)</f>
        <v/>
      </c>
      <c r="BX68" s="93" t="str" cm="1">
        <f t="array" ref="BX68">_xlfn.LET(
  _xlpm.w, BX$11,
  _xlpm.r, MATCH(1,('3. Enter Indicator Scores'!$B$10:$B$161=$B68)*('3. Enter Indicator Scores'!$C$10:$C$161=$C68),0),
  _xlpm.c, MATCH(BX$8,'3. Enter Indicator Scores'!$D$8:$CZ$8,0),
  _xlpm.v, IFERROR(INDEX('3. Enter Indicator Scores'!$D$10:$CZ$161,_xlpm.r,_xlpm.c),""),
  IF(OR(_xlpm.w="",_xlpm.v=""),"",_xlpm.v*_xlpm.w)
)</f>
        <v/>
      </c>
      <c r="BY68" s="93" t="str" cm="1">
        <f t="array" ref="BY68">_xlfn.LET(
  _xlpm.w, BY$11,
  _xlpm.r, MATCH(1,('3. Enter Indicator Scores'!$B$10:$B$161=$B68)*('3. Enter Indicator Scores'!$C$10:$C$161=$C68),0),
  _xlpm.c, MATCH(BY$8,'3. Enter Indicator Scores'!$D$8:$CZ$8,0),
  _xlpm.v, IFERROR(INDEX('3. Enter Indicator Scores'!$D$10:$CZ$161,_xlpm.r,_xlpm.c),""),
  IF(OR(_xlpm.w="",_xlpm.v=""),"",_xlpm.v*_xlpm.w)
)</f>
        <v/>
      </c>
      <c r="BZ68" s="93" t="str" cm="1">
        <f t="array" ref="BZ68">_xlfn.LET(
  _xlpm.w, BZ$11,
  _xlpm.r, MATCH(1,('3. Enter Indicator Scores'!$B$10:$B$161=$B68)*('3. Enter Indicator Scores'!$C$10:$C$161=$C68),0),
  _xlpm.c, MATCH(BZ$8,'3. Enter Indicator Scores'!$D$8:$CZ$8,0),
  _xlpm.v, IFERROR(INDEX('3. Enter Indicator Scores'!$D$10:$CZ$161,_xlpm.r,_xlpm.c),""),
  IF(OR(_xlpm.w="",_xlpm.v=""),"",_xlpm.v*_xlpm.w)
)</f>
        <v/>
      </c>
      <c r="CA68" s="93" t="str" cm="1">
        <f t="array" ref="CA68">_xlfn.LET(
  _xlpm.w, CA$11,
  _xlpm.r, MATCH(1,('3. Enter Indicator Scores'!$B$10:$B$161=$B68)*('3. Enter Indicator Scores'!$C$10:$C$161=$C68),0),
  _xlpm.c, MATCH(CA$8,'3. Enter Indicator Scores'!$D$8:$CZ$8,0),
  _xlpm.v, IFERROR(INDEX('3. Enter Indicator Scores'!$D$10:$CZ$161,_xlpm.r,_xlpm.c),""),
  IF(OR(_xlpm.w="",_xlpm.v=""),"",_xlpm.v*_xlpm.w)
)</f>
        <v/>
      </c>
      <c r="CB68" s="93" t="str" cm="1">
        <f t="array" ref="CB68">_xlfn.LET(
  _xlpm.w, CB$11,
  _xlpm.r, MATCH(1,('3. Enter Indicator Scores'!$B$10:$B$161=$B68)*('3. Enter Indicator Scores'!$C$10:$C$161=$C68),0),
  _xlpm.c, MATCH(CB$8,'3. Enter Indicator Scores'!$D$8:$CZ$8,0),
  _xlpm.v, IFERROR(INDEX('3. Enter Indicator Scores'!$D$10:$CZ$161,_xlpm.r,_xlpm.c),""),
  IF(OR(_xlpm.w="",_xlpm.v=""),"",_xlpm.v*_xlpm.w)
)</f>
        <v/>
      </c>
      <c r="CC68" s="93" t="str" cm="1">
        <f t="array" ref="CC68">_xlfn.LET(
  _xlpm.w, CC$11,
  _xlpm.r, MATCH(1,('3. Enter Indicator Scores'!$B$10:$B$161=$B68)*('3. Enter Indicator Scores'!$C$10:$C$161=$C68),0),
  _xlpm.c, MATCH(CC$8,'3. Enter Indicator Scores'!$D$8:$CZ$8,0),
  _xlpm.v, IFERROR(INDEX('3. Enter Indicator Scores'!$D$10:$CZ$161,_xlpm.r,_xlpm.c),""),
  IF(OR(_xlpm.w="",_xlpm.v=""),"",_xlpm.v*_xlpm.w)
)</f>
        <v/>
      </c>
      <c r="CD68" s="93" t="str" cm="1">
        <f t="array" ref="CD68">_xlfn.LET(
  _xlpm.w, CD$11,
  _xlpm.r, MATCH(1,('3. Enter Indicator Scores'!$B$10:$B$161=$B68)*('3. Enter Indicator Scores'!$C$10:$C$161=$C68),0),
  _xlpm.c, MATCH(CD$8,'3. Enter Indicator Scores'!$D$8:$CZ$8,0),
  _xlpm.v, IFERROR(INDEX('3. Enter Indicator Scores'!$D$10:$CZ$161,_xlpm.r,_xlpm.c),""),
  IF(OR(_xlpm.w="",_xlpm.v=""),"",_xlpm.v*_xlpm.w)
)</f>
        <v/>
      </c>
      <c r="CE68" s="93" t="str" cm="1">
        <f t="array" ref="CE68">_xlfn.LET(
  _xlpm.w, CE$11,
  _xlpm.r, MATCH(1,('3. Enter Indicator Scores'!$B$10:$B$161=$B68)*('3. Enter Indicator Scores'!$C$10:$C$161=$C68),0),
  _xlpm.c, MATCH(CE$8,'3. Enter Indicator Scores'!$D$8:$CZ$8,0),
  _xlpm.v, IFERROR(INDEX('3. Enter Indicator Scores'!$D$10:$CZ$161,_xlpm.r,_xlpm.c),""),
  IF(OR(_xlpm.w="",_xlpm.v=""),"",_xlpm.v*_xlpm.w)
)</f>
        <v/>
      </c>
      <c r="CF68" s="93" t="str" cm="1">
        <f t="array" ref="CF68">_xlfn.LET(
  _xlpm.w, CF$11,
  _xlpm.r, MATCH(1,('3. Enter Indicator Scores'!$B$10:$B$161=$B68)*('3. Enter Indicator Scores'!$C$10:$C$161=$C68),0),
  _xlpm.c, MATCH(CF$8,'3. Enter Indicator Scores'!$D$8:$CZ$8,0),
  _xlpm.v, IFERROR(INDEX('3. Enter Indicator Scores'!$D$10:$CZ$161,_xlpm.r,_xlpm.c),""),
  IF(OR(_xlpm.w="",_xlpm.v=""),"",_xlpm.v*_xlpm.w)
)</f>
        <v/>
      </c>
      <c r="CG68" s="93" t="str" cm="1">
        <f t="array" ref="CG68">_xlfn.LET(
  _xlpm.w, CG$11,
  _xlpm.r, MATCH(1,('3. Enter Indicator Scores'!$B$10:$B$161=$B68)*('3. Enter Indicator Scores'!$C$10:$C$161=$C68),0),
  _xlpm.c, MATCH(CG$8,'3. Enter Indicator Scores'!$D$8:$CZ$8,0),
  _xlpm.v, IFERROR(INDEX('3. Enter Indicator Scores'!$D$10:$CZ$161,_xlpm.r,_xlpm.c),""),
  IF(OR(_xlpm.w="",_xlpm.v=""),"",_xlpm.v*_xlpm.w)
)</f>
        <v/>
      </c>
      <c r="CH68" s="93" t="str" cm="1">
        <f t="array" ref="CH68">_xlfn.LET(
  _xlpm.w, CH$11,
  _xlpm.r, MATCH(1,('3. Enter Indicator Scores'!$B$10:$B$161=$B68)*('3. Enter Indicator Scores'!$C$10:$C$161=$C68),0),
  _xlpm.c, MATCH(CH$8,'3. Enter Indicator Scores'!$D$8:$CZ$8,0),
  _xlpm.v, IFERROR(INDEX('3. Enter Indicator Scores'!$D$10:$CZ$161,_xlpm.r,_xlpm.c),""),
  IF(OR(_xlpm.w="",_xlpm.v=""),"",_xlpm.v*_xlpm.w)
)</f>
        <v/>
      </c>
      <c r="CI68" s="93" t="str" cm="1">
        <f t="array" ref="CI68">_xlfn.LET(
  _xlpm.w, CI$11,
  _xlpm.r, MATCH(1,('3. Enter Indicator Scores'!$B$10:$B$161=$B68)*('3. Enter Indicator Scores'!$C$10:$C$161=$C68),0),
  _xlpm.c, MATCH(CI$8,'3. Enter Indicator Scores'!$D$8:$CZ$8,0),
  _xlpm.v, IFERROR(INDEX('3. Enter Indicator Scores'!$D$10:$CZ$161,_xlpm.r,_xlpm.c),""),
  IF(OR(_xlpm.w="",_xlpm.v=""),"",_xlpm.v*_xlpm.w)
)</f>
        <v/>
      </c>
      <c r="CJ68" s="93" t="str" cm="1">
        <f t="array" ref="CJ68">_xlfn.LET(
  _xlpm.w, CJ$11,
  _xlpm.r, MATCH(1,('3. Enter Indicator Scores'!$B$10:$B$161=$B68)*('3. Enter Indicator Scores'!$C$10:$C$161=$C68),0),
  _xlpm.c, MATCH(CJ$8,'3. Enter Indicator Scores'!$D$8:$CZ$8,0),
  _xlpm.v, IFERROR(INDEX('3. Enter Indicator Scores'!$D$10:$CZ$161,_xlpm.r,_xlpm.c),""),
  IF(OR(_xlpm.w="",_xlpm.v=""),"",_xlpm.v*_xlpm.w)
)</f>
        <v/>
      </c>
      <c r="CK68" s="93" t="str" cm="1">
        <f t="array" ref="CK68">_xlfn.LET(
  _xlpm.w, CK$11,
  _xlpm.r, MATCH(1,('3. Enter Indicator Scores'!$B$10:$B$161=$B68)*('3. Enter Indicator Scores'!$C$10:$C$161=$C68),0),
  _xlpm.c, MATCH(CK$8,'3. Enter Indicator Scores'!$D$8:$CZ$8,0),
  _xlpm.v, IFERROR(INDEX('3. Enter Indicator Scores'!$D$10:$CZ$161,_xlpm.r,_xlpm.c),""),
  IF(OR(_xlpm.w="",_xlpm.v=""),"",_xlpm.v*_xlpm.w)
)</f>
        <v/>
      </c>
      <c r="CL68" s="93" t="str" cm="1">
        <f t="array" ref="CL68">_xlfn.LET(
  _xlpm.w, CL$11,
  _xlpm.r, MATCH(1,('3. Enter Indicator Scores'!$B$10:$B$161=$B68)*('3. Enter Indicator Scores'!$C$10:$C$161=$C68),0),
  _xlpm.c, MATCH(CL$8,'3. Enter Indicator Scores'!$D$8:$CZ$8,0),
  _xlpm.v, IFERROR(INDEX('3. Enter Indicator Scores'!$D$10:$CZ$161,_xlpm.r,_xlpm.c),""),
  IF(OR(_xlpm.w="",_xlpm.v=""),"",_xlpm.v*_xlpm.w)
)</f>
        <v/>
      </c>
      <c r="CM68" s="93" t="str" cm="1">
        <f t="array" ref="CM68">_xlfn.LET(
  _xlpm.w, CM$11,
  _xlpm.r, MATCH(1,('3. Enter Indicator Scores'!$B$10:$B$161=$B68)*('3. Enter Indicator Scores'!$C$10:$C$161=$C68),0),
  _xlpm.c, MATCH(CM$8,'3. Enter Indicator Scores'!$D$8:$CZ$8,0),
  _xlpm.v, IFERROR(INDEX('3. Enter Indicator Scores'!$D$10:$CZ$161,_xlpm.r,_xlpm.c),""),
  IF(OR(_xlpm.w="",_xlpm.v=""),"",_xlpm.v*_xlpm.w)
)</f>
        <v/>
      </c>
      <c r="CN68" s="93" t="str" cm="1">
        <f t="array" ref="CN68">_xlfn.LET(
  _xlpm.w, CN$11,
  _xlpm.r, MATCH(1,('3. Enter Indicator Scores'!$B$10:$B$161=$B68)*('3. Enter Indicator Scores'!$C$10:$C$161=$C68),0),
  _xlpm.c, MATCH(CN$8,'3. Enter Indicator Scores'!$D$8:$CZ$8,0),
  _xlpm.v, IFERROR(INDEX('3. Enter Indicator Scores'!$D$10:$CZ$161,_xlpm.r,_xlpm.c),""),
  IF(OR(_xlpm.w="",_xlpm.v=""),"",_xlpm.v*_xlpm.w)
)</f>
        <v/>
      </c>
      <c r="CO68" s="93" t="str" cm="1">
        <f t="array" ref="CO68">_xlfn.LET(
  _xlpm.w, CO$11,
  _xlpm.r, MATCH(1,('3. Enter Indicator Scores'!$B$10:$B$161=$B68)*('3. Enter Indicator Scores'!$C$10:$C$161=$C68),0),
  _xlpm.c, MATCH(CO$8,'3. Enter Indicator Scores'!$D$8:$CZ$8,0),
  _xlpm.v, IFERROR(INDEX('3. Enter Indicator Scores'!$D$10:$CZ$161,_xlpm.r,_xlpm.c),""),
  IF(OR(_xlpm.w="",_xlpm.v=""),"",_xlpm.v*_xlpm.w)
)</f>
        <v/>
      </c>
      <c r="CP68" s="93" t="str" cm="1">
        <f t="array" ref="CP68">_xlfn.LET(
  _xlpm.w, CP$11,
  _xlpm.r, MATCH(1,('3. Enter Indicator Scores'!$B$10:$B$161=$B68)*('3. Enter Indicator Scores'!$C$10:$C$161=$C68),0),
  _xlpm.c, MATCH(CP$8,'3. Enter Indicator Scores'!$D$8:$CZ$8,0),
  _xlpm.v, IFERROR(INDEX('3. Enter Indicator Scores'!$D$10:$CZ$161,_xlpm.r,_xlpm.c),""),
  IF(OR(_xlpm.w="",_xlpm.v=""),"",_xlpm.v*_xlpm.w)
)</f>
        <v/>
      </c>
      <c r="CQ68" s="93" t="str" cm="1">
        <f t="array" ref="CQ68">_xlfn.LET(
  _xlpm.w, CQ$11,
  _xlpm.r, MATCH(1,('3. Enter Indicator Scores'!$B$10:$B$161=$B68)*('3. Enter Indicator Scores'!$C$10:$C$161=$C68),0),
  _xlpm.c, MATCH(CQ$8,'3. Enter Indicator Scores'!$D$8:$CZ$8,0),
  _xlpm.v, IFERROR(INDEX('3. Enter Indicator Scores'!$D$10:$CZ$161,_xlpm.r,_xlpm.c),""),
  IF(OR(_xlpm.w="",_xlpm.v=""),"",_xlpm.v*_xlpm.w)
)</f>
        <v/>
      </c>
      <c r="CR68" s="93" t="str" cm="1">
        <f t="array" ref="CR68">_xlfn.LET(
  _xlpm.w, CR$11,
  _xlpm.r, MATCH(1,('3. Enter Indicator Scores'!$B$10:$B$161=$B68)*('3. Enter Indicator Scores'!$C$10:$C$161=$C68),0),
  _xlpm.c, MATCH(CR$8,'3. Enter Indicator Scores'!$D$8:$CZ$8,0),
  _xlpm.v, IFERROR(INDEX('3. Enter Indicator Scores'!$D$10:$CZ$161,_xlpm.r,_xlpm.c),""),
  IF(OR(_xlpm.w="",_xlpm.v=""),"",_xlpm.v*_xlpm.w)
)</f>
        <v/>
      </c>
      <c r="CS68" s="93" t="str" cm="1">
        <f t="array" ref="CS68">_xlfn.LET(
  _xlpm.w, CS$11,
  _xlpm.r, MATCH(1,('3. Enter Indicator Scores'!$B$10:$B$161=$B68)*('3. Enter Indicator Scores'!$C$10:$C$161=$C68),0),
  _xlpm.c, MATCH(CS$8,'3. Enter Indicator Scores'!$D$8:$CZ$8,0),
  _xlpm.v, IFERROR(INDEX('3. Enter Indicator Scores'!$D$10:$CZ$161,_xlpm.r,_xlpm.c),""),
  IF(OR(_xlpm.w="",_xlpm.v=""),"",_xlpm.v*_xlpm.w)
)</f>
        <v/>
      </c>
      <c r="CT68" s="93" t="str" cm="1">
        <f t="array" ref="CT68">_xlfn.LET(
  _xlpm.w, CT$11,
  _xlpm.r, MATCH(1,('3. Enter Indicator Scores'!$B$10:$B$161=$B68)*('3. Enter Indicator Scores'!$C$10:$C$161=$C68),0),
  _xlpm.c, MATCH(CT$8,'3. Enter Indicator Scores'!$D$8:$CZ$8,0),
  _xlpm.v, IFERROR(INDEX('3. Enter Indicator Scores'!$D$10:$CZ$161,_xlpm.r,_xlpm.c),""),
  IF(OR(_xlpm.w="",_xlpm.v=""),"",_xlpm.v*_xlpm.w)
)</f>
        <v/>
      </c>
      <c r="CU68" s="93" t="str" cm="1">
        <f t="array" ref="CU68">_xlfn.LET(
  _xlpm.w, CU$11,
  _xlpm.r, MATCH(1,('3. Enter Indicator Scores'!$B$10:$B$161=$B68)*('3. Enter Indicator Scores'!$C$10:$C$161=$C68),0),
  _xlpm.c, MATCH(CU$8,'3. Enter Indicator Scores'!$D$8:$CZ$8,0),
  _xlpm.v, IFERROR(INDEX('3. Enter Indicator Scores'!$D$10:$CZ$161,_xlpm.r,_xlpm.c),""),
  IF(OR(_xlpm.w="",_xlpm.v=""),"",_xlpm.v*_xlpm.w)
)</f>
        <v/>
      </c>
      <c r="CV68" s="93" t="str" cm="1">
        <f t="array" ref="CV68">_xlfn.LET(
  _xlpm.w, CV$11,
  _xlpm.r, MATCH(1,('3. Enter Indicator Scores'!$B$10:$B$161=$B68)*('3. Enter Indicator Scores'!$C$10:$C$161=$C68),0),
  _xlpm.c, MATCH(CV$8,'3. Enter Indicator Scores'!$D$8:$CZ$8,0),
  _xlpm.v, IFERROR(INDEX('3. Enter Indicator Scores'!$D$10:$CZ$161,_xlpm.r,_xlpm.c),""),
  IF(OR(_xlpm.w="",_xlpm.v=""),"",_xlpm.v*_xlpm.w)
)</f>
        <v/>
      </c>
      <c r="CW68" s="93" t="str" cm="1">
        <f t="array" ref="CW68">_xlfn.LET(
  _xlpm.w, CW$11,
  _xlpm.r, MATCH(1,('3. Enter Indicator Scores'!$B$10:$B$161=$B68)*('3. Enter Indicator Scores'!$C$10:$C$161=$C68),0),
  _xlpm.c, MATCH(CW$8,'3. Enter Indicator Scores'!$D$8:$CZ$8,0),
  _xlpm.v, IFERROR(INDEX('3. Enter Indicator Scores'!$D$10:$CZ$161,_xlpm.r,_xlpm.c),""),
  IF(OR(_xlpm.w="",_xlpm.v=""),"",_xlpm.v*_xlpm.w)
)</f>
        <v/>
      </c>
      <c r="CX68" s="93" t="str" cm="1">
        <f t="array" ref="CX68">_xlfn.LET(
  _xlpm.w, CX$11,
  _xlpm.r, MATCH(1,('3. Enter Indicator Scores'!$B$10:$B$161=$B68)*('3. Enter Indicator Scores'!$C$10:$C$161=$C68),0),
  _xlpm.c, MATCH(CX$8,'3. Enter Indicator Scores'!$D$8:$CZ$8,0),
  _xlpm.v, IFERROR(INDEX('3. Enter Indicator Scores'!$D$10:$CZ$161,_xlpm.r,_xlpm.c),""),
  IF(OR(_xlpm.w="",_xlpm.v=""),"",_xlpm.v*_xlpm.w)
)</f>
        <v/>
      </c>
      <c r="CY68" s="93" t="str" cm="1">
        <f t="array" ref="CY68">_xlfn.LET(
  _xlpm.w, CY$11,
  _xlpm.r, MATCH(1,('3. Enter Indicator Scores'!$B$10:$B$161=$B68)*('3. Enter Indicator Scores'!$C$10:$C$161=$C68),0),
  _xlpm.c, MATCH(CY$8,'3. Enter Indicator Scores'!$D$8:$CZ$8,0),
  _xlpm.v, IFERROR(INDEX('3. Enter Indicator Scores'!$D$10:$CZ$161,_xlpm.r,_xlpm.c),""),
  IF(OR(_xlpm.w="",_xlpm.v=""),"",_xlpm.v*_xlpm.w)
)</f>
        <v/>
      </c>
      <c r="CZ68" s="93" t="str" cm="1">
        <f t="array" ref="CZ68">_xlfn.LET(
  _xlpm.w, CZ$11,
  _xlpm.r, MATCH(1,('3. Enter Indicator Scores'!$B$10:$B$161=$B68)*('3. Enter Indicator Scores'!$C$10:$C$161=$C68),0),
  _xlpm.c, MATCH(CZ$8,'3. Enter Indicator Scores'!$D$8:$CZ$8,0),
  _xlpm.v, IFERROR(INDEX('3. Enter Indicator Scores'!$D$10:$CZ$161,_xlpm.r,_xlpm.c),""),
  IF(OR(_xlpm.w="",_xlpm.v=""),"",_xlpm.v*_xlpm.w)
)</f>
        <v/>
      </c>
    </row>
    <row r="69" spans="4:104" x14ac:dyDescent="0.2">
      <c r="D69" s="93" t="str" cm="1">
        <f t="array" ref="D69">_xlfn.LET(
  _xlpm.w, D$11,
  _xlpm.r, MATCH(1,('3. Enter Indicator Scores'!$B$10:$B$161=$B69)*('3. Enter Indicator Scores'!$C$10:$C$161=$C69),0),
  _xlpm.c, MATCH(D$8,'3. Enter Indicator Scores'!$D$8:$CZ$8,0),
  _xlpm.v, IFERROR(INDEX('3. Enter Indicator Scores'!$D$10:$CZ$161,_xlpm.r,_xlpm.c),""),
  IF(OR(_xlpm.w="",_xlpm.v=""),"",_xlpm.v*_xlpm.w)
)</f>
        <v/>
      </c>
      <c r="E69" s="93" t="str" cm="1">
        <f t="array" ref="E69">_xlfn.LET(
  _xlpm.w, E$11,
  _xlpm.r, MATCH(1,('3. Enter Indicator Scores'!$B$10:$B$161=$B69)*('3. Enter Indicator Scores'!$C$10:$C$161=$C69),0),
  _xlpm.c, MATCH(E$8,'3. Enter Indicator Scores'!$D$8:$CZ$8,0),
  _xlpm.v, IFERROR(INDEX('3. Enter Indicator Scores'!$D$10:$CZ$161,_xlpm.r,_xlpm.c),""),
  IF(OR(_xlpm.w="",_xlpm.v=""),"",_xlpm.v*_xlpm.w)
)</f>
        <v/>
      </c>
      <c r="F69" s="93" t="str" cm="1">
        <f t="array" ref="F69">_xlfn.LET(
  _xlpm.w, F$11,
  _xlpm.r, MATCH(1,('3. Enter Indicator Scores'!$B$10:$B$161=$B69)*('3. Enter Indicator Scores'!$C$10:$C$161=$C69),0),
  _xlpm.c, MATCH(F$8,'3. Enter Indicator Scores'!$D$8:$CZ$8,0),
  _xlpm.v, IFERROR(INDEX('3. Enter Indicator Scores'!$D$10:$CZ$161,_xlpm.r,_xlpm.c),""),
  IF(OR(_xlpm.w="",_xlpm.v=""),"",_xlpm.v*_xlpm.w)
)</f>
        <v/>
      </c>
      <c r="G69" s="93" t="str" cm="1">
        <f t="array" ref="G69">_xlfn.LET(
  _xlpm.w, G$11,
  _xlpm.r, MATCH(1,('3. Enter Indicator Scores'!$B$10:$B$161=$B69)*('3. Enter Indicator Scores'!$C$10:$C$161=$C69),0),
  _xlpm.c, MATCH(G$8,'3. Enter Indicator Scores'!$D$8:$CZ$8,0),
  _xlpm.v, IFERROR(INDEX('3. Enter Indicator Scores'!$D$10:$CZ$161,_xlpm.r,_xlpm.c),""),
  IF(OR(_xlpm.w="",_xlpm.v=""),"",_xlpm.v*_xlpm.w)
)</f>
        <v/>
      </c>
      <c r="H69" s="93" t="str" cm="1">
        <f t="array" ref="H69">_xlfn.LET(
  _xlpm.w, H$11,
  _xlpm.r, MATCH(1,('3. Enter Indicator Scores'!$B$10:$B$161=$B69)*('3. Enter Indicator Scores'!$C$10:$C$161=$C69),0),
  _xlpm.c, MATCH(H$8,'3. Enter Indicator Scores'!$D$8:$CZ$8,0),
  _xlpm.v, IFERROR(INDEX('3. Enter Indicator Scores'!$D$10:$CZ$161,_xlpm.r,_xlpm.c),""),
  IF(OR(_xlpm.w="",_xlpm.v=""),"",_xlpm.v*_xlpm.w)
)</f>
        <v/>
      </c>
      <c r="I69" s="93" t="str" cm="1">
        <f t="array" ref="I69">_xlfn.LET(
  _xlpm.w, I$11,
  _xlpm.r, MATCH(1,('3. Enter Indicator Scores'!$B$10:$B$161=$B69)*('3. Enter Indicator Scores'!$C$10:$C$161=$C69),0),
  _xlpm.c, MATCH(I$8,'3. Enter Indicator Scores'!$D$8:$CZ$8,0),
  _xlpm.v, IFERROR(INDEX('3. Enter Indicator Scores'!$D$10:$CZ$161,_xlpm.r,_xlpm.c),""),
  IF(OR(_xlpm.w="",_xlpm.v=""),"",_xlpm.v*_xlpm.w)
)</f>
        <v/>
      </c>
      <c r="J69" s="93" t="str" cm="1">
        <f t="array" ref="J69">_xlfn.LET(
  _xlpm.w, J$11,
  _xlpm.r, MATCH(1,('3. Enter Indicator Scores'!$B$10:$B$161=$B69)*('3. Enter Indicator Scores'!$C$10:$C$161=$C69),0),
  _xlpm.c, MATCH(J$8,'3. Enter Indicator Scores'!$D$8:$CZ$8,0),
  _xlpm.v, IFERROR(INDEX('3. Enter Indicator Scores'!$D$10:$CZ$161,_xlpm.r,_xlpm.c),""),
  IF(OR(_xlpm.w="",_xlpm.v=""),"",_xlpm.v*_xlpm.w)
)</f>
        <v/>
      </c>
      <c r="K69" s="93" t="str" cm="1">
        <f t="array" ref="K69">_xlfn.LET(
  _xlpm.w, K$11,
  _xlpm.r, MATCH(1,('3. Enter Indicator Scores'!$B$10:$B$161=$B69)*('3. Enter Indicator Scores'!$C$10:$C$161=$C69),0),
  _xlpm.c, MATCH(K$8,'3. Enter Indicator Scores'!$D$8:$CZ$8,0),
  _xlpm.v, IFERROR(INDEX('3. Enter Indicator Scores'!$D$10:$CZ$161,_xlpm.r,_xlpm.c),""),
  IF(OR(_xlpm.w="",_xlpm.v=""),"",_xlpm.v*_xlpm.w)
)</f>
        <v/>
      </c>
      <c r="L69" s="93" t="str" cm="1">
        <f t="array" ref="L69">_xlfn.LET(
  _xlpm.w, L$11,
  _xlpm.r, MATCH(1,('3. Enter Indicator Scores'!$B$10:$B$161=$B69)*('3. Enter Indicator Scores'!$C$10:$C$161=$C69),0),
  _xlpm.c, MATCH(L$8,'3. Enter Indicator Scores'!$D$8:$CZ$8,0),
  _xlpm.v, IFERROR(INDEX('3. Enter Indicator Scores'!$D$10:$CZ$161,_xlpm.r,_xlpm.c),""),
  IF(OR(_xlpm.w="",_xlpm.v=""),"",_xlpm.v*_xlpm.w)
)</f>
        <v/>
      </c>
      <c r="M69" s="93" t="str" cm="1">
        <f t="array" ref="M69">_xlfn.LET(
  _xlpm.w, M$11,
  _xlpm.r, MATCH(1,('3. Enter Indicator Scores'!$B$10:$B$161=$B69)*('3. Enter Indicator Scores'!$C$10:$C$161=$C69),0),
  _xlpm.c, MATCH(M$8,'3. Enter Indicator Scores'!$D$8:$CZ$8,0),
  _xlpm.v, IFERROR(INDEX('3. Enter Indicator Scores'!$D$10:$CZ$161,_xlpm.r,_xlpm.c),""),
  IF(OR(_xlpm.w="",_xlpm.v=""),"",_xlpm.v*_xlpm.w)
)</f>
        <v/>
      </c>
      <c r="N69" s="93" t="str" cm="1">
        <f t="array" ref="N69">_xlfn.LET(
  _xlpm.w, N$11,
  _xlpm.r, MATCH(1,('3. Enter Indicator Scores'!$B$10:$B$161=$B69)*('3. Enter Indicator Scores'!$C$10:$C$161=$C69),0),
  _xlpm.c, MATCH(N$8,'3. Enter Indicator Scores'!$D$8:$CZ$8,0),
  _xlpm.v, IFERROR(INDEX('3. Enter Indicator Scores'!$D$10:$CZ$161,_xlpm.r,_xlpm.c),""),
  IF(OR(_xlpm.w="",_xlpm.v=""),"",_xlpm.v*_xlpm.w)
)</f>
        <v/>
      </c>
      <c r="O69" s="93" t="str" cm="1">
        <f t="array" ref="O69">_xlfn.LET(
  _xlpm.w, O$11,
  _xlpm.r, MATCH(1,('3. Enter Indicator Scores'!$B$10:$B$161=$B69)*('3. Enter Indicator Scores'!$C$10:$C$161=$C69),0),
  _xlpm.c, MATCH(O$8,'3. Enter Indicator Scores'!$D$8:$CZ$8,0),
  _xlpm.v, IFERROR(INDEX('3. Enter Indicator Scores'!$D$10:$CZ$161,_xlpm.r,_xlpm.c),""),
  IF(OR(_xlpm.w="",_xlpm.v=""),"",_xlpm.v*_xlpm.w)
)</f>
        <v/>
      </c>
      <c r="P69" s="93" t="str" cm="1">
        <f t="array" ref="P69">_xlfn.LET(
  _xlpm.w, P$11,
  _xlpm.r, MATCH(1,('3. Enter Indicator Scores'!$B$10:$B$161=$B69)*('3. Enter Indicator Scores'!$C$10:$C$161=$C69),0),
  _xlpm.c, MATCH(P$8,'3. Enter Indicator Scores'!$D$8:$CZ$8,0),
  _xlpm.v, IFERROR(INDEX('3. Enter Indicator Scores'!$D$10:$CZ$161,_xlpm.r,_xlpm.c),""),
  IF(OR(_xlpm.w="",_xlpm.v=""),"",_xlpm.v*_xlpm.w)
)</f>
        <v/>
      </c>
      <c r="Q69" s="93" t="str" cm="1">
        <f t="array" ref="Q69">_xlfn.LET(
  _xlpm.w, Q$11,
  _xlpm.r, MATCH(1,('3. Enter Indicator Scores'!$B$10:$B$161=$B69)*('3. Enter Indicator Scores'!$C$10:$C$161=$C69),0),
  _xlpm.c, MATCH(Q$8,'3. Enter Indicator Scores'!$D$8:$CZ$8,0),
  _xlpm.v, IFERROR(INDEX('3. Enter Indicator Scores'!$D$10:$CZ$161,_xlpm.r,_xlpm.c),""),
  IF(OR(_xlpm.w="",_xlpm.v=""),"",_xlpm.v*_xlpm.w)
)</f>
        <v/>
      </c>
      <c r="R69" s="93" t="str" cm="1">
        <f t="array" ref="R69">_xlfn.LET(
  _xlpm.w, R$11,
  _xlpm.r, MATCH(1,('3. Enter Indicator Scores'!$B$10:$B$161=$B69)*('3. Enter Indicator Scores'!$C$10:$C$161=$C69),0),
  _xlpm.c, MATCH(R$8,'3. Enter Indicator Scores'!$D$8:$CZ$8,0),
  _xlpm.v, IFERROR(INDEX('3. Enter Indicator Scores'!$D$10:$CZ$161,_xlpm.r,_xlpm.c),""),
  IF(OR(_xlpm.w="",_xlpm.v=""),"",_xlpm.v*_xlpm.w)
)</f>
        <v/>
      </c>
      <c r="S69" s="93" t="str" cm="1">
        <f t="array" ref="S69">_xlfn.LET(
  _xlpm.w, S$11,
  _xlpm.r, MATCH(1,('3. Enter Indicator Scores'!$B$10:$B$161=$B69)*('3. Enter Indicator Scores'!$C$10:$C$161=$C69),0),
  _xlpm.c, MATCH(S$8,'3. Enter Indicator Scores'!$D$8:$CZ$8,0),
  _xlpm.v, IFERROR(INDEX('3. Enter Indicator Scores'!$D$10:$CZ$161,_xlpm.r,_xlpm.c),""),
  IF(OR(_xlpm.w="",_xlpm.v=""),"",_xlpm.v*_xlpm.w)
)</f>
        <v/>
      </c>
      <c r="T69" s="93" t="str" cm="1">
        <f t="array" ref="T69">_xlfn.LET(
  _xlpm.w, T$11,
  _xlpm.r, MATCH(1,('3. Enter Indicator Scores'!$B$10:$B$161=$B69)*('3. Enter Indicator Scores'!$C$10:$C$161=$C69),0),
  _xlpm.c, MATCH(T$8,'3. Enter Indicator Scores'!$D$8:$CZ$8,0),
  _xlpm.v, IFERROR(INDEX('3. Enter Indicator Scores'!$D$10:$CZ$161,_xlpm.r,_xlpm.c),""),
  IF(OR(_xlpm.w="",_xlpm.v=""),"",_xlpm.v*_xlpm.w)
)</f>
        <v/>
      </c>
      <c r="U69" s="93" t="str" cm="1">
        <f t="array" ref="U69">_xlfn.LET(
  _xlpm.w, U$11,
  _xlpm.r, MATCH(1,('3. Enter Indicator Scores'!$B$10:$B$161=$B69)*('3. Enter Indicator Scores'!$C$10:$C$161=$C69),0),
  _xlpm.c, MATCH(U$8,'3. Enter Indicator Scores'!$D$8:$CZ$8,0),
  _xlpm.v, IFERROR(INDEX('3. Enter Indicator Scores'!$D$10:$CZ$161,_xlpm.r,_xlpm.c),""),
  IF(OR(_xlpm.w="",_xlpm.v=""),"",_xlpm.v*_xlpm.w)
)</f>
        <v/>
      </c>
      <c r="V69" s="93" t="str" cm="1">
        <f t="array" ref="V69">_xlfn.LET(
  _xlpm.w, V$11,
  _xlpm.r, MATCH(1,('3. Enter Indicator Scores'!$B$10:$B$161=$B69)*('3. Enter Indicator Scores'!$C$10:$C$161=$C69),0),
  _xlpm.c, MATCH(V$8,'3. Enter Indicator Scores'!$D$8:$CZ$8,0),
  _xlpm.v, IFERROR(INDEX('3. Enter Indicator Scores'!$D$10:$CZ$161,_xlpm.r,_xlpm.c),""),
  IF(OR(_xlpm.w="",_xlpm.v=""),"",_xlpm.v*_xlpm.w)
)</f>
        <v/>
      </c>
      <c r="W69" s="93" t="str" cm="1">
        <f t="array" ref="W69">_xlfn.LET(
  _xlpm.w, W$11,
  _xlpm.r, MATCH(1,('3. Enter Indicator Scores'!$B$10:$B$161=$B69)*('3. Enter Indicator Scores'!$C$10:$C$161=$C69),0),
  _xlpm.c, MATCH(W$8,'3. Enter Indicator Scores'!$D$8:$CZ$8,0),
  _xlpm.v, IFERROR(INDEX('3. Enter Indicator Scores'!$D$10:$CZ$161,_xlpm.r,_xlpm.c),""),
  IF(OR(_xlpm.w="",_xlpm.v=""),"",_xlpm.v*_xlpm.w)
)</f>
        <v/>
      </c>
      <c r="X69" s="93" t="str" cm="1">
        <f t="array" ref="X69">_xlfn.LET(
  _xlpm.w, X$11,
  _xlpm.r, MATCH(1,('3. Enter Indicator Scores'!$B$10:$B$161=$B69)*('3. Enter Indicator Scores'!$C$10:$C$161=$C69),0),
  _xlpm.c, MATCH(X$8,'3. Enter Indicator Scores'!$D$8:$CZ$8,0),
  _xlpm.v, IFERROR(INDEX('3. Enter Indicator Scores'!$D$10:$CZ$161,_xlpm.r,_xlpm.c),""),
  IF(OR(_xlpm.w="",_xlpm.v=""),"",_xlpm.v*_xlpm.w)
)</f>
        <v/>
      </c>
      <c r="Y69" s="93" t="str" cm="1">
        <f t="array" ref="Y69">_xlfn.LET(
  _xlpm.w, Y$11,
  _xlpm.r, MATCH(1,('3. Enter Indicator Scores'!$B$10:$B$161=$B69)*('3. Enter Indicator Scores'!$C$10:$C$161=$C69),0),
  _xlpm.c, MATCH(Y$8,'3. Enter Indicator Scores'!$D$8:$CZ$8,0),
  _xlpm.v, IFERROR(INDEX('3. Enter Indicator Scores'!$D$10:$CZ$161,_xlpm.r,_xlpm.c),""),
  IF(OR(_xlpm.w="",_xlpm.v=""),"",_xlpm.v*_xlpm.w)
)</f>
        <v/>
      </c>
      <c r="Z69" s="93" t="str" cm="1">
        <f t="array" ref="Z69">_xlfn.LET(
  _xlpm.w, Z$11,
  _xlpm.r, MATCH(1,('3. Enter Indicator Scores'!$B$10:$B$161=$B69)*('3. Enter Indicator Scores'!$C$10:$C$161=$C69),0),
  _xlpm.c, MATCH(Z$8,'3. Enter Indicator Scores'!$D$8:$CZ$8,0),
  _xlpm.v, IFERROR(INDEX('3. Enter Indicator Scores'!$D$10:$CZ$161,_xlpm.r,_xlpm.c),""),
  IF(OR(_xlpm.w="",_xlpm.v=""),"",_xlpm.v*_xlpm.w)
)</f>
        <v/>
      </c>
      <c r="AA69" s="93" t="str" cm="1">
        <f t="array" ref="AA69">_xlfn.LET(
  _xlpm.w, AA$11,
  _xlpm.r, MATCH(1,('3. Enter Indicator Scores'!$B$10:$B$161=$B69)*('3. Enter Indicator Scores'!$C$10:$C$161=$C69),0),
  _xlpm.c, MATCH(AA$8,'3. Enter Indicator Scores'!$D$8:$CZ$8,0),
  _xlpm.v, IFERROR(INDEX('3. Enter Indicator Scores'!$D$10:$CZ$161,_xlpm.r,_xlpm.c),""),
  IF(OR(_xlpm.w="",_xlpm.v=""),"",_xlpm.v*_xlpm.w)
)</f>
        <v/>
      </c>
      <c r="AB69" s="93" t="str" cm="1">
        <f t="array" ref="AB69">_xlfn.LET(
  _xlpm.w, AB$11,
  _xlpm.r, MATCH(1,('3. Enter Indicator Scores'!$B$10:$B$161=$B69)*('3. Enter Indicator Scores'!$C$10:$C$161=$C69),0),
  _xlpm.c, MATCH(AB$8,'3. Enter Indicator Scores'!$D$8:$CZ$8,0),
  _xlpm.v, IFERROR(INDEX('3. Enter Indicator Scores'!$D$10:$CZ$161,_xlpm.r,_xlpm.c),""),
  IF(OR(_xlpm.w="",_xlpm.v=""),"",_xlpm.v*_xlpm.w)
)</f>
        <v/>
      </c>
      <c r="AC69" s="93" t="str" cm="1">
        <f t="array" ref="AC69">_xlfn.LET(
  _xlpm.w, AC$11,
  _xlpm.r, MATCH(1,('3. Enter Indicator Scores'!$B$10:$B$161=$B69)*('3. Enter Indicator Scores'!$C$10:$C$161=$C69),0),
  _xlpm.c, MATCH(AC$8,'3. Enter Indicator Scores'!$D$8:$CZ$8,0),
  _xlpm.v, IFERROR(INDEX('3. Enter Indicator Scores'!$D$10:$CZ$161,_xlpm.r,_xlpm.c),""),
  IF(OR(_xlpm.w="",_xlpm.v=""),"",_xlpm.v*_xlpm.w)
)</f>
        <v/>
      </c>
      <c r="AD69" s="93" t="str" cm="1">
        <f t="array" ref="AD69">_xlfn.LET(
  _xlpm.w, AD$11,
  _xlpm.r, MATCH(1,('3. Enter Indicator Scores'!$B$10:$B$161=$B69)*('3. Enter Indicator Scores'!$C$10:$C$161=$C69),0),
  _xlpm.c, MATCH(AD$8,'3. Enter Indicator Scores'!$D$8:$CZ$8,0),
  _xlpm.v, IFERROR(INDEX('3. Enter Indicator Scores'!$D$10:$CZ$161,_xlpm.r,_xlpm.c),""),
  IF(OR(_xlpm.w="",_xlpm.v=""),"",_xlpm.v*_xlpm.w)
)</f>
        <v/>
      </c>
      <c r="AE69" s="93" t="str" cm="1">
        <f t="array" ref="AE69">_xlfn.LET(
  _xlpm.w, AE$11,
  _xlpm.r, MATCH(1,('3. Enter Indicator Scores'!$B$10:$B$161=$B69)*('3. Enter Indicator Scores'!$C$10:$C$161=$C69),0),
  _xlpm.c, MATCH(AE$8,'3. Enter Indicator Scores'!$D$8:$CZ$8,0),
  _xlpm.v, IFERROR(INDEX('3. Enter Indicator Scores'!$D$10:$CZ$161,_xlpm.r,_xlpm.c),""),
  IF(OR(_xlpm.w="",_xlpm.v=""),"",_xlpm.v*_xlpm.w)
)</f>
        <v/>
      </c>
      <c r="AF69" s="93" t="str" cm="1">
        <f t="array" ref="AF69">_xlfn.LET(
  _xlpm.w, AF$11,
  _xlpm.r, MATCH(1,('3. Enter Indicator Scores'!$B$10:$B$161=$B69)*('3. Enter Indicator Scores'!$C$10:$C$161=$C69),0),
  _xlpm.c, MATCH(AF$8,'3. Enter Indicator Scores'!$D$8:$CZ$8,0),
  _xlpm.v, IFERROR(INDEX('3. Enter Indicator Scores'!$D$10:$CZ$161,_xlpm.r,_xlpm.c),""),
  IF(OR(_xlpm.w="",_xlpm.v=""),"",_xlpm.v*_xlpm.w)
)</f>
        <v/>
      </c>
      <c r="AG69" s="93" t="str" cm="1">
        <f t="array" ref="AG69">_xlfn.LET(
  _xlpm.w, AG$11,
  _xlpm.r, MATCH(1,('3. Enter Indicator Scores'!$B$10:$B$161=$B69)*('3. Enter Indicator Scores'!$C$10:$C$161=$C69),0),
  _xlpm.c, MATCH(AG$8,'3. Enter Indicator Scores'!$D$8:$CZ$8,0),
  _xlpm.v, IFERROR(INDEX('3. Enter Indicator Scores'!$D$10:$CZ$161,_xlpm.r,_xlpm.c),""),
  IF(OR(_xlpm.w="",_xlpm.v=""),"",_xlpm.v*_xlpm.w)
)</f>
        <v/>
      </c>
      <c r="AH69" s="93" t="str" cm="1">
        <f t="array" ref="AH69">_xlfn.LET(
  _xlpm.w, AH$11,
  _xlpm.r, MATCH(1,('3. Enter Indicator Scores'!$B$10:$B$161=$B69)*('3. Enter Indicator Scores'!$C$10:$C$161=$C69),0),
  _xlpm.c, MATCH(AH$8,'3. Enter Indicator Scores'!$D$8:$CZ$8,0),
  _xlpm.v, IFERROR(INDEX('3. Enter Indicator Scores'!$D$10:$CZ$161,_xlpm.r,_xlpm.c),""),
  IF(OR(_xlpm.w="",_xlpm.v=""),"",_xlpm.v*_xlpm.w)
)</f>
        <v/>
      </c>
      <c r="AI69" s="93" t="str" cm="1">
        <f t="array" ref="AI69">_xlfn.LET(
  _xlpm.w, AI$11,
  _xlpm.r, MATCH(1,('3. Enter Indicator Scores'!$B$10:$B$161=$B69)*('3. Enter Indicator Scores'!$C$10:$C$161=$C69),0),
  _xlpm.c, MATCH(AI$8,'3. Enter Indicator Scores'!$D$8:$CZ$8,0),
  _xlpm.v, IFERROR(INDEX('3. Enter Indicator Scores'!$D$10:$CZ$161,_xlpm.r,_xlpm.c),""),
  IF(OR(_xlpm.w="",_xlpm.v=""),"",_xlpm.v*_xlpm.w)
)</f>
        <v/>
      </c>
      <c r="AJ69" s="93" t="str" cm="1">
        <f t="array" ref="AJ69">_xlfn.LET(
  _xlpm.w, AJ$11,
  _xlpm.r, MATCH(1,('3. Enter Indicator Scores'!$B$10:$B$161=$B69)*('3. Enter Indicator Scores'!$C$10:$C$161=$C69),0),
  _xlpm.c, MATCH(AJ$8,'3. Enter Indicator Scores'!$D$8:$CZ$8,0),
  _xlpm.v, IFERROR(INDEX('3. Enter Indicator Scores'!$D$10:$CZ$161,_xlpm.r,_xlpm.c),""),
  IF(OR(_xlpm.w="",_xlpm.v=""),"",_xlpm.v*_xlpm.w)
)</f>
        <v/>
      </c>
      <c r="AK69" s="93" t="str" cm="1">
        <f t="array" ref="AK69">_xlfn.LET(
  _xlpm.w, AK$11,
  _xlpm.r, MATCH(1,('3. Enter Indicator Scores'!$B$10:$B$161=$B69)*('3. Enter Indicator Scores'!$C$10:$C$161=$C69),0),
  _xlpm.c, MATCH(AK$8,'3. Enter Indicator Scores'!$D$8:$CZ$8,0),
  _xlpm.v, IFERROR(INDEX('3. Enter Indicator Scores'!$D$10:$CZ$161,_xlpm.r,_xlpm.c),""),
  IF(OR(_xlpm.w="",_xlpm.v=""),"",_xlpm.v*_xlpm.w)
)</f>
        <v/>
      </c>
      <c r="AL69" s="93" t="str" cm="1">
        <f t="array" ref="AL69">_xlfn.LET(
  _xlpm.w, AL$11,
  _xlpm.r, MATCH(1,('3. Enter Indicator Scores'!$B$10:$B$161=$B69)*('3. Enter Indicator Scores'!$C$10:$C$161=$C69),0),
  _xlpm.c, MATCH(AL$8,'3. Enter Indicator Scores'!$D$8:$CZ$8,0),
  _xlpm.v, IFERROR(INDEX('3. Enter Indicator Scores'!$D$10:$CZ$161,_xlpm.r,_xlpm.c),""),
  IF(OR(_xlpm.w="",_xlpm.v=""),"",_xlpm.v*_xlpm.w)
)</f>
        <v/>
      </c>
      <c r="AM69" s="93" t="str" cm="1">
        <f t="array" ref="AM69">_xlfn.LET(
  _xlpm.w, AM$11,
  _xlpm.r, MATCH(1,('3. Enter Indicator Scores'!$B$10:$B$161=$B69)*('3. Enter Indicator Scores'!$C$10:$C$161=$C69),0),
  _xlpm.c, MATCH(AM$8,'3. Enter Indicator Scores'!$D$8:$CZ$8,0),
  _xlpm.v, IFERROR(INDEX('3. Enter Indicator Scores'!$D$10:$CZ$161,_xlpm.r,_xlpm.c),""),
  IF(OR(_xlpm.w="",_xlpm.v=""),"",_xlpm.v*_xlpm.w)
)</f>
        <v/>
      </c>
      <c r="AN69" s="93" t="str" cm="1">
        <f t="array" ref="AN69">_xlfn.LET(
  _xlpm.w, AN$11,
  _xlpm.r, MATCH(1,('3. Enter Indicator Scores'!$B$10:$B$161=$B69)*('3. Enter Indicator Scores'!$C$10:$C$161=$C69),0),
  _xlpm.c, MATCH(AN$8,'3. Enter Indicator Scores'!$D$8:$CZ$8,0),
  _xlpm.v, IFERROR(INDEX('3. Enter Indicator Scores'!$D$10:$CZ$161,_xlpm.r,_xlpm.c),""),
  IF(OR(_xlpm.w="",_xlpm.v=""),"",_xlpm.v*_xlpm.w)
)</f>
        <v/>
      </c>
      <c r="AO69" s="93" t="str" cm="1">
        <f t="array" ref="AO69">_xlfn.LET(
  _xlpm.w, AO$11,
  _xlpm.r, MATCH(1,('3. Enter Indicator Scores'!$B$10:$B$161=$B69)*('3. Enter Indicator Scores'!$C$10:$C$161=$C69),0),
  _xlpm.c, MATCH(AO$8,'3. Enter Indicator Scores'!$D$8:$CZ$8,0),
  _xlpm.v, IFERROR(INDEX('3. Enter Indicator Scores'!$D$10:$CZ$161,_xlpm.r,_xlpm.c),""),
  IF(OR(_xlpm.w="",_xlpm.v=""),"",_xlpm.v*_xlpm.w)
)</f>
        <v/>
      </c>
      <c r="AP69" s="93" t="str" cm="1">
        <f t="array" ref="AP69">_xlfn.LET(
  _xlpm.w, AP$11,
  _xlpm.r, MATCH(1,('3. Enter Indicator Scores'!$B$10:$B$161=$B69)*('3. Enter Indicator Scores'!$C$10:$C$161=$C69),0),
  _xlpm.c, MATCH(AP$8,'3. Enter Indicator Scores'!$D$8:$CZ$8,0),
  _xlpm.v, IFERROR(INDEX('3. Enter Indicator Scores'!$D$10:$CZ$161,_xlpm.r,_xlpm.c),""),
  IF(OR(_xlpm.w="",_xlpm.v=""),"",_xlpm.v*_xlpm.w)
)</f>
        <v/>
      </c>
      <c r="AQ69" s="93" t="str" cm="1">
        <f t="array" ref="AQ69">_xlfn.LET(
  _xlpm.w, AQ$11,
  _xlpm.r, MATCH(1,('3. Enter Indicator Scores'!$B$10:$B$161=$B69)*('3. Enter Indicator Scores'!$C$10:$C$161=$C69),0),
  _xlpm.c, MATCH(AQ$8,'3. Enter Indicator Scores'!$D$8:$CZ$8,0),
  _xlpm.v, IFERROR(INDEX('3. Enter Indicator Scores'!$D$10:$CZ$161,_xlpm.r,_xlpm.c),""),
  IF(OR(_xlpm.w="",_xlpm.v=""),"",_xlpm.v*_xlpm.w)
)</f>
        <v/>
      </c>
      <c r="AR69" s="93" t="str" cm="1">
        <f t="array" ref="AR69">_xlfn.LET(
  _xlpm.w, AR$11,
  _xlpm.r, MATCH(1,('3. Enter Indicator Scores'!$B$10:$B$161=$B69)*('3. Enter Indicator Scores'!$C$10:$C$161=$C69),0),
  _xlpm.c, MATCH(AR$8,'3. Enter Indicator Scores'!$D$8:$CZ$8,0),
  _xlpm.v, IFERROR(INDEX('3. Enter Indicator Scores'!$D$10:$CZ$161,_xlpm.r,_xlpm.c),""),
  IF(OR(_xlpm.w="",_xlpm.v=""),"",_xlpm.v*_xlpm.w)
)</f>
        <v/>
      </c>
      <c r="AS69" s="93" t="str" cm="1">
        <f t="array" ref="AS69">_xlfn.LET(
  _xlpm.w, AS$11,
  _xlpm.r, MATCH(1,('3. Enter Indicator Scores'!$B$10:$B$161=$B69)*('3. Enter Indicator Scores'!$C$10:$C$161=$C69),0),
  _xlpm.c, MATCH(AS$8,'3. Enter Indicator Scores'!$D$8:$CZ$8,0),
  _xlpm.v, IFERROR(INDEX('3. Enter Indicator Scores'!$D$10:$CZ$161,_xlpm.r,_xlpm.c),""),
  IF(OR(_xlpm.w="",_xlpm.v=""),"",_xlpm.v*_xlpm.w)
)</f>
        <v/>
      </c>
      <c r="AT69" s="93" t="str" cm="1">
        <f t="array" ref="AT69">_xlfn.LET(
  _xlpm.w, AT$11,
  _xlpm.r, MATCH(1,('3. Enter Indicator Scores'!$B$10:$B$161=$B69)*('3. Enter Indicator Scores'!$C$10:$C$161=$C69),0),
  _xlpm.c, MATCH(AT$8,'3. Enter Indicator Scores'!$D$8:$CZ$8,0),
  _xlpm.v, IFERROR(INDEX('3. Enter Indicator Scores'!$D$10:$CZ$161,_xlpm.r,_xlpm.c),""),
  IF(OR(_xlpm.w="",_xlpm.v=""),"",_xlpm.v*_xlpm.w)
)</f>
        <v/>
      </c>
      <c r="AU69" s="93" t="str" cm="1">
        <f t="array" ref="AU69">_xlfn.LET(
  _xlpm.w, AU$11,
  _xlpm.r, MATCH(1,('3. Enter Indicator Scores'!$B$10:$B$161=$B69)*('3. Enter Indicator Scores'!$C$10:$C$161=$C69),0),
  _xlpm.c, MATCH(AU$8,'3. Enter Indicator Scores'!$D$8:$CZ$8,0),
  _xlpm.v, IFERROR(INDEX('3. Enter Indicator Scores'!$D$10:$CZ$161,_xlpm.r,_xlpm.c),""),
  IF(OR(_xlpm.w="",_xlpm.v=""),"",_xlpm.v*_xlpm.w)
)</f>
        <v/>
      </c>
      <c r="AV69" s="93" t="str" cm="1">
        <f t="array" ref="AV69">_xlfn.LET(
  _xlpm.w, AV$11,
  _xlpm.r, MATCH(1,('3. Enter Indicator Scores'!$B$10:$B$161=$B69)*('3. Enter Indicator Scores'!$C$10:$C$161=$C69),0),
  _xlpm.c, MATCH(AV$8,'3. Enter Indicator Scores'!$D$8:$CZ$8,0),
  _xlpm.v, IFERROR(INDEX('3. Enter Indicator Scores'!$D$10:$CZ$161,_xlpm.r,_xlpm.c),""),
  IF(OR(_xlpm.w="",_xlpm.v=""),"",_xlpm.v*_xlpm.w)
)</f>
        <v/>
      </c>
      <c r="AW69" s="93" t="str" cm="1">
        <f t="array" ref="AW69">_xlfn.LET(
  _xlpm.w, AW$11,
  _xlpm.r, MATCH(1,('3. Enter Indicator Scores'!$B$10:$B$161=$B69)*('3. Enter Indicator Scores'!$C$10:$C$161=$C69),0),
  _xlpm.c, MATCH(AW$8,'3. Enter Indicator Scores'!$D$8:$CZ$8,0),
  _xlpm.v, IFERROR(INDEX('3. Enter Indicator Scores'!$D$10:$CZ$161,_xlpm.r,_xlpm.c),""),
  IF(OR(_xlpm.w="",_xlpm.v=""),"",_xlpm.v*_xlpm.w)
)</f>
        <v/>
      </c>
      <c r="AX69" s="93" t="str" cm="1">
        <f t="array" ref="AX69">_xlfn.LET(
  _xlpm.w, AX$11,
  _xlpm.r, MATCH(1,('3. Enter Indicator Scores'!$B$10:$B$161=$B69)*('3. Enter Indicator Scores'!$C$10:$C$161=$C69),0),
  _xlpm.c, MATCH(AX$8,'3. Enter Indicator Scores'!$D$8:$CZ$8,0),
  _xlpm.v, IFERROR(INDEX('3. Enter Indicator Scores'!$D$10:$CZ$161,_xlpm.r,_xlpm.c),""),
  IF(OR(_xlpm.w="",_xlpm.v=""),"",_xlpm.v*_xlpm.w)
)</f>
        <v/>
      </c>
      <c r="AY69" s="93" t="str" cm="1">
        <f t="array" ref="AY69">_xlfn.LET(
  _xlpm.w, AY$11,
  _xlpm.r, MATCH(1,('3. Enter Indicator Scores'!$B$10:$B$161=$B69)*('3. Enter Indicator Scores'!$C$10:$C$161=$C69),0),
  _xlpm.c, MATCH(AY$8,'3. Enter Indicator Scores'!$D$8:$CZ$8,0),
  _xlpm.v, IFERROR(INDEX('3. Enter Indicator Scores'!$D$10:$CZ$161,_xlpm.r,_xlpm.c),""),
  IF(OR(_xlpm.w="",_xlpm.v=""),"",_xlpm.v*_xlpm.w)
)</f>
        <v/>
      </c>
      <c r="AZ69" s="93" t="str" cm="1">
        <f t="array" ref="AZ69">_xlfn.LET(
  _xlpm.w, AZ$11,
  _xlpm.r, MATCH(1,('3. Enter Indicator Scores'!$B$10:$B$161=$B69)*('3. Enter Indicator Scores'!$C$10:$C$161=$C69),0),
  _xlpm.c, MATCH(AZ$8,'3. Enter Indicator Scores'!$D$8:$CZ$8,0),
  _xlpm.v, IFERROR(INDEX('3. Enter Indicator Scores'!$D$10:$CZ$161,_xlpm.r,_xlpm.c),""),
  IF(OR(_xlpm.w="",_xlpm.v=""),"",_xlpm.v*_xlpm.w)
)</f>
        <v/>
      </c>
      <c r="BA69" s="93" t="str" cm="1">
        <f t="array" ref="BA69">_xlfn.LET(
  _xlpm.w, BA$11,
  _xlpm.r, MATCH(1,('3. Enter Indicator Scores'!$B$10:$B$161=$B69)*('3. Enter Indicator Scores'!$C$10:$C$161=$C69),0),
  _xlpm.c, MATCH(BA$8,'3. Enter Indicator Scores'!$D$8:$CZ$8,0),
  _xlpm.v, IFERROR(INDEX('3. Enter Indicator Scores'!$D$10:$CZ$161,_xlpm.r,_xlpm.c),""),
  IF(OR(_xlpm.w="",_xlpm.v=""),"",_xlpm.v*_xlpm.w)
)</f>
        <v/>
      </c>
      <c r="BB69" s="93" t="str" cm="1">
        <f t="array" ref="BB69">_xlfn.LET(
  _xlpm.w, BB$11,
  _xlpm.r, MATCH(1,('3. Enter Indicator Scores'!$B$10:$B$161=$B69)*('3. Enter Indicator Scores'!$C$10:$C$161=$C69),0),
  _xlpm.c, MATCH(BB$8,'3. Enter Indicator Scores'!$D$8:$CZ$8,0),
  _xlpm.v, IFERROR(INDEX('3. Enter Indicator Scores'!$D$10:$CZ$161,_xlpm.r,_xlpm.c),""),
  IF(OR(_xlpm.w="",_xlpm.v=""),"",_xlpm.v*_xlpm.w)
)</f>
        <v/>
      </c>
      <c r="BC69" s="93" t="str" cm="1">
        <f t="array" ref="BC69">_xlfn.LET(
  _xlpm.w, BC$11,
  _xlpm.r, MATCH(1,('3. Enter Indicator Scores'!$B$10:$B$161=$B69)*('3. Enter Indicator Scores'!$C$10:$C$161=$C69),0),
  _xlpm.c, MATCH(BC$8,'3. Enter Indicator Scores'!$D$8:$CZ$8,0),
  _xlpm.v, IFERROR(INDEX('3. Enter Indicator Scores'!$D$10:$CZ$161,_xlpm.r,_xlpm.c),""),
  IF(OR(_xlpm.w="",_xlpm.v=""),"",_xlpm.v*_xlpm.w)
)</f>
        <v/>
      </c>
      <c r="BD69" s="93" t="str" cm="1">
        <f t="array" ref="BD69">_xlfn.LET(
  _xlpm.w, BD$11,
  _xlpm.r, MATCH(1,('3. Enter Indicator Scores'!$B$10:$B$161=$B69)*('3. Enter Indicator Scores'!$C$10:$C$161=$C69),0),
  _xlpm.c, MATCH(BD$8,'3. Enter Indicator Scores'!$D$8:$CZ$8,0),
  _xlpm.v, IFERROR(INDEX('3. Enter Indicator Scores'!$D$10:$CZ$161,_xlpm.r,_xlpm.c),""),
  IF(OR(_xlpm.w="",_xlpm.v=""),"",_xlpm.v*_xlpm.w)
)</f>
        <v/>
      </c>
      <c r="BE69" s="93" t="str" cm="1">
        <f t="array" ref="BE69">_xlfn.LET(
  _xlpm.w, BE$11,
  _xlpm.r, MATCH(1,('3. Enter Indicator Scores'!$B$10:$B$161=$B69)*('3. Enter Indicator Scores'!$C$10:$C$161=$C69),0),
  _xlpm.c, MATCH(BE$8,'3. Enter Indicator Scores'!$D$8:$CZ$8,0),
  _xlpm.v, IFERROR(INDEX('3. Enter Indicator Scores'!$D$10:$CZ$161,_xlpm.r,_xlpm.c),""),
  IF(OR(_xlpm.w="",_xlpm.v=""),"",_xlpm.v*_xlpm.w)
)</f>
        <v/>
      </c>
      <c r="BF69" s="93" t="str" cm="1">
        <f t="array" ref="BF69">_xlfn.LET(
  _xlpm.w, BF$11,
  _xlpm.r, MATCH(1,('3. Enter Indicator Scores'!$B$10:$B$161=$B69)*('3. Enter Indicator Scores'!$C$10:$C$161=$C69),0),
  _xlpm.c, MATCH(BF$8,'3. Enter Indicator Scores'!$D$8:$CZ$8,0),
  _xlpm.v, IFERROR(INDEX('3. Enter Indicator Scores'!$D$10:$CZ$161,_xlpm.r,_xlpm.c),""),
  IF(OR(_xlpm.w="",_xlpm.v=""),"",_xlpm.v*_xlpm.w)
)</f>
        <v/>
      </c>
      <c r="BG69" s="93" t="str" cm="1">
        <f t="array" ref="BG69">_xlfn.LET(
  _xlpm.w, BG$11,
  _xlpm.r, MATCH(1,('3. Enter Indicator Scores'!$B$10:$B$161=$B69)*('3. Enter Indicator Scores'!$C$10:$C$161=$C69),0),
  _xlpm.c, MATCH(BG$8,'3. Enter Indicator Scores'!$D$8:$CZ$8,0),
  _xlpm.v, IFERROR(INDEX('3. Enter Indicator Scores'!$D$10:$CZ$161,_xlpm.r,_xlpm.c),""),
  IF(OR(_xlpm.w="",_xlpm.v=""),"",_xlpm.v*_xlpm.w)
)</f>
        <v/>
      </c>
      <c r="BH69" s="93" t="str" cm="1">
        <f t="array" ref="BH69">_xlfn.LET(
  _xlpm.w, BH$11,
  _xlpm.r, MATCH(1,('3. Enter Indicator Scores'!$B$10:$B$161=$B69)*('3. Enter Indicator Scores'!$C$10:$C$161=$C69),0),
  _xlpm.c, MATCH(BH$8,'3. Enter Indicator Scores'!$D$8:$CZ$8,0),
  _xlpm.v, IFERROR(INDEX('3. Enter Indicator Scores'!$D$10:$CZ$161,_xlpm.r,_xlpm.c),""),
  IF(OR(_xlpm.w="",_xlpm.v=""),"",_xlpm.v*_xlpm.w)
)</f>
        <v/>
      </c>
      <c r="BI69" s="93" t="str" cm="1">
        <f t="array" ref="BI69">_xlfn.LET(
  _xlpm.w, BI$11,
  _xlpm.r, MATCH(1,('3. Enter Indicator Scores'!$B$10:$B$161=$B69)*('3. Enter Indicator Scores'!$C$10:$C$161=$C69),0),
  _xlpm.c, MATCH(BI$8,'3. Enter Indicator Scores'!$D$8:$CZ$8,0),
  _xlpm.v, IFERROR(INDEX('3. Enter Indicator Scores'!$D$10:$CZ$161,_xlpm.r,_xlpm.c),""),
  IF(OR(_xlpm.w="",_xlpm.v=""),"",_xlpm.v*_xlpm.w)
)</f>
        <v/>
      </c>
      <c r="BJ69" s="93" t="str" cm="1">
        <f t="array" ref="BJ69">_xlfn.LET(
  _xlpm.w, BJ$11,
  _xlpm.r, MATCH(1,('3. Enter Indicator Scores'!$B$10:$B$161=$B69)*('3. Enter Indicator Scores'!$C$10:$C$161=$C69),0),
  _xlpm.c, MATCH(BJ$8,'3. Enter Indicator Scores'!$D$8:$CZ$8,0),
  _xlpm.v, IFERROR(INDEX('3. Enter Indicator Scores'!$D$10:$CZ$161,_xlpm.r,_xlpm.c),""),
  IF(OR(_xlpm.w="",_xlpm.v=""),"",_xlpm.v*_xlpm.w)
)</f>
        <v/>
      </c>
      <c r="BK69" s="93" t="str" cm="1">
        <f t="array" ref="BK69">_xlfn.LET(
  _xlpm.w, BK$11,
  _xlpm.r, MATCH(1,('3. Enter Indicator Scores'!$B$10:$B$161=$B69)*('3. Enter Indicator Scores'!$C$10:$C$161=$C69),0),
  _xlpm.c, MATCH(BK$8,'3. Enter Indicator Scores'!$D$8:$CZ$8,0),
  _xlpm.v, IFERROR(INDEX('3. Enter Indicator Scores'!$D$10:$CZ$161,_xlpm.r,_xlpm.c),""),
  IF(OR(_xlpm.w="",_xlpm.v=""),"",_xlpm.v*_xlpm.w)
)</f>
        <v/>
      </c>
      <c r="BL69" s="93" t="str" cm="1">
        <f t="array" ref="BL69">_xlfn.LET(
  _xlpm.w, BL$11,
  _xlpm.r, MATCH(1,('3. Enter Indicator Scores'!$B$10:$B$161=$B69)*('3. Enter Indicator Scores'!$C$10:$C$161=$C69),0),
  _xlpm.c, MATCH(BL$8,'3. Enter Indicator Scores'!$D$8:$CZ$8,0),
  _xlpm.v, IFERROR(INDEX('3. Enter Indicator Scores'!$D$10:$CZ$161,_xlpm.r,_xlpm.c),""),
  IF(OR(_xlpm.w="",_xlpm.v=""),"",_xlpm.v*_xlpm.w)
)</f>
        <v/>
      </c>
      <c r="BM69" s="93" t="str" cm="1">
        <f t="array" ref="BM69">_xlfn.LET(
  _xlpm.w, BM$11,
  _xlpm.r, MATCH(1,('3. Enter Indicator Scores'!$B$10:$B$161=$B69)*('3. Enter Indicator Scores'!$C$10:$C$161=$C69),0),
  _xlpm.c, MATCH(BM$8,'3. Enter Indicator Scores'!$D$8:$CZ$8,0),
  _xlpm.v, IFERROR(INDEX('3. Enter Indicator Scores'!$D$10:$CZ$161,_xlpm.r,_xlpm.c),""),
  IF(OR(_xlpm.w="",_xlpm.v=""),"",_xlpm.v*_xlpm.w)
)</f>
        <v/>
      </c>
      <c r="BN69" s="93" t="str" cm="1">
        <f t="array" ref="BN69">_xlfn.LET(
  _xlpm.w, BN$11,
  _xlpm.r, MATCH(1,('3. Enter Indicator Scores'!$B$10:$B$161=$B69)*('3. Enter Indicator Scores'!$C$10:$C$161=$C69),0),
  _xlpm.c, MATCH(BN$8,'3. Enter Indicator Scores'!$D$8:$CZ$8,0),
  _xlpm.v, IFERROR(INDEX('3. Enter Indicator Scores'!$D$10:$CZ$161,_xlpm.r,_xlpm.c),""),
  IF(OR(_xlpm.w="",_xlpm.v=""),"",_xlpm.v*_xlpm.w)
)</f>
        <v/>
      </c>
      <c r="BO69" s="93" t="str" cm="1">
        <f t="array" ref="BO69">_xlfn.LET(
  _xlpm.w, BO$11,
  _xlpm.r, MATCH(1,('3. Enter Indicator Scores'!$B$10:$B$161=$B69)*('3. Enter Indicator Scores'!$C$10:$C$161=$C69),0),
  _xlpm.c, MATCH(BO$8,'3. Enter Indicator Scores'!$D$8:$CZ$8,0),
  _xlpm.v, IFERROR(INDEX('3. Enter Indicator Scores'!$D$10:$CZ$161,_xlpm.r,_xlpm.c),""),
  IF(OR(_xlpm.w="",_xlpm.v=""),"",_xlpm.v*_xlpm.w)
)</f>
        <v/>
      </c>
      <c r="BP69" s="93" t="str" cm="1">
        <f t="array" ref="BP69">_xlfn.LET(
  _xlpm.w, BP$11,
  _xlpm.r, MATCH(1,('3. Enter Indicator Scores'!$B$10:$B$161=$B69)*('3. Enter Indicator Scores'!$C$10:$C$161=$C69),0),
  _xlpm.c, MATCH(BP$8,'3. Enter Indicator Scores'!$D$8:$CZ$8,0),
  _xlpm.v, IFERROR(INDEX('3. Enter Indicator Scores'!$D$10:$CZ$161,_xlpm.r,_xlpm.c),""),
  IF(OR(_xlpm.w="",_xlpm.v=""),"",_xlpm.v*_xlpm.w)
)</f>
        <v/>
      </c>
      <c r="BQ69" s="93" t="str" cm="1">
        <f t="array" ref="BQ69">_xlfn.LET(
  _xlpm.w, BQ$11,
  _xlpm.r, MATCH(1,('3. Enter Indicator Scores'!$B$10:$B$161=$B69)*('3. Enter Indicator Scores'!$C$10:$C$161=$C69),0),
  _xlpm.c, MATCH(BQ$8,'3. Enter Indicator Scores'!$D$8:$CZ$8,0),
  _xlpm.v, IFERROR(INDEX('3. Enter Indicator Scores'!$D$10:$CZ$161,_xlpm.r,_xlpm.c),""),
  IF(OR(_xlpm.w="",_xlpm.v=""),"",_xlpm.v*_xlpm.w)
)</f>
        <v/>
      </c>
      <c r="BR69" s="93" t="str" cm="1">
        <f t="array" ref="BR69">_xlfn.LET(
  _xlpm.w, BR$11,
  _xlpm.r, MATCH(1,('3. Enter Indicator Scores'!$B$10:$B$161=$B69)*('3. Enter Indicator Scores'!$C$10:$C$161=$C69),0),
  _xlpm.c, MATCH(BR$8,'3. Enter Indicator Scores'!$D$8:$CZ$8,0),
  _xlpm.v, IFERROR(INDEX('3. Enter Indicator Scores'!$D$10:$CZ$161,_xlpm.r,_xlpm.c),""),
  IF(OR(_xlpm.w="",_xlpm.v=""),"",_xlpm.v*_xlpm.w)
)</f>
        <v/>
      </c>
      <c r="BS69" s="93" t="str" cm="1">
        <f t="array" ref="BS69">_xlfn.LET(
  _xlpm.w, BS$11,
  _xlpm.r, MATCH(1,('3. Enter Indicator Scores'!$B$10:$B$161=$B69)*('3. Enter Indicator Scores'!$C$10:$C$161=$C69),0),
  _xlpm.c, MATCH(BS$8,'3. Enter Indicator Scores'!$D$8:$CZ$8,0),
  _xlpm.v, IFERROR(INDEX('3. Enter Indicator Scores'!$D$10:$CZ$161,_xlpm.r,_xlpm.c),""),
  IF(OR(_xlpm.w="",_xlpm.v=""),"",_xlpm.v*_xlpm.w)
)</f>
        <v/>
      </c>
      <c r="BT69" s="93" t="str" cm="1">
        <f t="array" ref="BT69">_xlfn.LET(
  _xlpm.w, BT$11,
  _xlpm.r, MATCH(1,('3. Enter Indicator Scores'!$B$10:$B$161=$B69)*('3. Enter Indicator Scores'!$C$10:$C$161=$C69),0),
  _xlpm.c, MATCH(BT$8,'3. Enter Indicator Scores'!$D$8:$CZ$8,0),
  _xlpm.v, IFERROR(INDEX('3. Enter Indicator Scores'!$D$10:$CZ$161,_xlpm.r,_xlpm.c),""),
  IF(OR(_xlpm.w="",_xlpm.v=""),"",_xlpm.v*_xlpm.w)
)</f>
        <v/>
      </c>
      <c r="BU69" s="93" t="str" cm="1">
        <f t="array" ref="BU69">_xlfn.LET(
  _xlpm.w, BU$11,
  _xlpm.r, MATCH(1,('3. Enter Indicator Scores'!$B$10:$B$161=$B69)*('3. Enter Indicator Scores'!$C$10:$C$161=$C69),0),
  _xlpm.c, MATCH(BU$8,'3. Enter Indicator Scores'!$D$8:$CZ$8,0),
  _xlpm.v, IFERROR(INDEX('3. Enter Indicator Scores'!$D$10:$CZ$161,_xlpm.r,_xlpm.c),""),
  IF(OR(_xlpm.w="",_xlpm.v=""),"",_xlpm.v*_xlpm.w)
)</f>
        <v/>
      </c>
      <c r="BV69" s="93" t="str" cm="1">
        <f t="array" ref="BV69">_xlfn.LET(
  _xlpm.w, BV$11,
  _xlpm.r, MATCH(1,('3. Enter Indicator Scores'!$B$10:$B$161=$B69)*('3. Enter Indicator Scores'!$C$10:$C$161=$C69),0),
  _xlpm.c, MATCH(BV$8,'3. Enter Indicator Scores'!$D$8:$CZ$8,0),
  _xlpm.v, IFERROR(INDEX('3. Enter Indicator Scores'!$D$10:$CZ$161,_xlpm.r,_xlpm.c),""),
  IF(OR(_xlpm.w="",_xlpm.v=""),"",_xlpm.v*_xlpm.w)
)</f>
        <v/>
      </c>
      <c r="BW69" s="93" t="str" cm="1">
        <f t="array" ref="BW69">_xlfn.LET(
  _xlpm.w, BW$11,
  _xlpm.r, MATCH(1,('3. Enter Indicator Scores'!$B$10:$B$161=$B69)*('3. Enter Indicator Scores'!$C$10:$C$161=$C69),0),
  _xlpm.c, MATCH(BW$8,'3. Enter Indicator Scores'!$D$8:$CZ$8,0),
  _xlpm.v, IFERROR(INDEX('3. Enter Indicator Scores'!$D$10:$CZ$161,_xlpm.r,_xlpm.c),""),
  IF(OR(_xlpm.w="",_xlpm.v=""),"",_xlpm.v*_xlpm.w)
)</f>
        <v/>
      </c>
      <c r="BX69" s="93" t="str" cm="1">
        <f t="array" ref="BX69">_xlfn.LET(
  _xlpm.w, BX$11,
  _xlpm.r, MATCH(1,('3. Enter Indicator Scores'!$B$10:$B$161=$B69)*('3. Enter Indicator Scores'!$C$10:$C$161=$C69),0),
  _xlpm.c, MATCH(BX$8,'3. Enter Indicator Scores'!$D$8:$CZ$8,0),
  _xlpm.v, IFERROR(INDEX('3. Enter Indicator Scores'!$D$10:$CZ$161,_xlpm.r,_xlpm.c),""),
  IF(OR(_xlpm.w="",_xlpm.v=""),"",_xlpm.v*_xlpm.w)
)</f>
        <v/>
      </c>
      <c r="BY69" s="93" t="str" cm="1">
        <f t="array" ref="BY69">_xlfn.LET(
  _xlpm.w, BY$11,
  _xlpm.r, MATCH(1,('3. Enter Indicator Scores'!$B$10:$B$161=$B69)*('3. Enter Indicator Scores'!$C$10:$C$161=$C69),0),
  _xlpm.c, MATCH(BY$8,'3. Enter Indicator Scores'!$D$8:$CZ$8,0),
  _xlpm.v, IFERROR(INDEX('3. Enter Indicator Scores'!$D$10:$CZ$161,_xlpm.r,_xlpm.c),""),
  IF(OR(_xlpm.w="",_xlpm.v=""),"",_xlpm.v*_xlpm.w)
)</f>
        <v/>
      </c>
      <c r="BZ69" s="93" t="str" cm="1">
        <f t="array" ref="BZ69">_xlfn.LET(
  _xlpm.w, BZ$11,
  _xlpm.r, MATCH(1,('3. Enter Indicator Scores'!$B$10:$B$161=$B69)*('3. Enter Indicator Scores'!$C$10:$C$161=$C69),0),
  _xlpm.c, MATCH(BZ$8,'3. Enter Indicator Scores'!$D$8:$CZ$8,0),
  _xlpm.v, IFERROR(INDEX('3. Enter Indicator Scores'!$D$10:$CZ$161,_xlpm.r,_xlpm.c),""),
  IF(OR(_xlpm.w="",_xlpm.v=""),"",_xlpm.v*_xlpm.w)
)</f>
        <v/>
      </c>
      <c r="CA69" s="93" t="str" cm="1">
        <f t="array" ref="CA69">_xlfn.LET(
  _xlpm.w, CA$11,
  _xlpm.r, MATCH(1,('3. Enter Indicator Scores'!$B$10:$B$161=$B69)*('3. Enter Indicator Scores'!$C$10:$C$161=$C69),0),
  _xlpm.c, MATCH(CA$8,'3. Enter Indicator Scores'!$D$8:$CZ$8,0),
  _xlpm.v, IFERROR(INDEX('3. Enter Indicator Scores'!$D$10:$CZ$161,_xlpm.r,_xlpm.c),""),
  IF(OR(_xlpm.w="",_xlpm.v=""),"",_xlpm.v*_xlpm.w)
)</f>
        <v/>
      </c>
      <c r="CB69" s="93" t="str" cm="1">
        <f t="array" ref="CB69">_xlfn.LET(
  _xlpm.w, CB$11,
  _xlpm.r, MATCH(1,('3. Enter Indicator Scores'!$B$10:$B$161=$B69)*('3. Enter Indicator Scores'!$C$10:$C$161=$C69),0),
  _xlpm.c, MATCH(CB$8,'3. Enter Indicator Scores'!$D$8:$CZ$8,0),
  _xlpm.v, IFERROR(INDEX('3. Enter Indicator Scores'!$D$10:$CZ$161,_xlpm.r,_xlpm.c),""),
  IF(OR(_xlpm.w="",_xlpm.v=""),"",_xlpm.v*_xlpm.w)
)</f>
        <v/>
      </c>
      <c r="CC69" s="93" t="str" cm="1">
        <f t="array" ref="CC69">_xlfn.LET(
  _xlpm.w, CC$11,
  _xlpm.r, MATCH(1,('3. Enter Indicator Scores'!$B$10:$B$161=$B69)*('3. Enter Indicator Scores'!$C$10:$C$161=$C69),0),
  _xlpm.c, MATCH(CC$8,'3. Enter Indicator Scores'!$D$8:$CZ$8,0),
  _xlpm.v, IFERROR(INDEX('3. Enter Indicator Scores'!$D$10:$CZ$161,_xlpm.r,_xlpm.c),""),
  IF(OR(_xlpm.w="",_xlpm.v=""),"",_xlpm.v*_xlpm.w)
)</f>
        <v/>
      </c>
      <c r="CD69" s="93" t="str" cm="1">
        <f t="array" ref="CD69">_xlfn.LET(
  _xlpm.w, CD$11,
  _xlpm.r, MATCH(1,('3. Enter Indicator Scores'!$B$10:$B$161=$B69)*('3. Enter Indicator Scores'!$C$10:$C$161=$C69),0),
  _xlpm.c, MATCH(CD$8,'3. Enter Indicator Scores'!$D$8:$CZ$8,0),
  _xlpm.v, IFERROR(INDEX('3. Enter Indicator Scores'!$D$10:$CZ$161,_xlpm.r,_xlpm.c),""),
  IF(OR(_xlpm.w="",_xlpm.v=""),"",_xlpm.v*_xlpm.w)
)</f>
        <v/>
      </c>
      <c r="CE69" s="93" t="str" cm="1">
        <f t="array" ref="CE69">_xlfn.LET(
  _xlpm.w, CE$11,
  _xlpm.r, MATCH(1,('3. Enter Indicator Scores'!$B$10:$B$161=$B69)*('3. Enter Indicator Scores'!$C$10:$C$161=$C69),0),
  _xlpm.c, MATCH(CE$8,'3. Enter Indicator Scores'!$D$8:$CZ$8,0),
  _xlpm.v, IFERROR(INDEX('3. Enter Indicator Scores'!$D$10:$CZ$161,_xlpm.r,_xlpm.c),""),
  IF(OR(_xlpm.w="",_xlpm.v=""),"",_xlpm.v*_xlpm.w)
)</f>
        <v/>
      </c>
      <c r="CF69" s="93" t="str" cm="1">
        <f t="array" ref="CF69">_xlfn.LET(
  _xlpm.w, CF$11,
  _xlpm.r, MATCH(1,('3. Enter Indicator Scores'!$B$10:$B$161=$B69)*('3. Enter Indicator Scores'!$C$10:$C$161=$C69),0),
  _xlpm.c, MATCH(CF$8,'3. Enter Indicator Scores'!$D$8:$CZ$8,0),
  _xlpm.v, IFERROR(INDEX('3. Enter Indicator Scores'!$D$10:$CZ$161,_xlpm.r,_xlpm.c),""),
  IF(OR(_xlpm.w="",_xlpm.v=""),"",_xlpm.v*_xlpm.w)
)</f>
        <v/>
      </c>
      <c r="CG69" s="93" t="str" cm="1">
        <f t="array" ref="CG69">_xlfn.LET(
  _xlpm.w, CG$11,
  _xlpm.r, MATCH(1,('3. Enter Indicator Scores'!$B$10:$B$161=$B69)*('3. Enter Indicator Scores'!$C$10:$C$161=$C69),0),
  _xlpm.c, MATCH(CG$8,'3. Enter Indicator Scores'!$D$8:$CZ$8,0),
  _xlpm.v, IFERROR(INDEX('3. Enter Indicator Scores'!$D$10:$CZ$161,_xlpm.r,_xlpm.c),""),
  IF(OR(_xlpm.w="",_xlpm.v=""),"",_xlpm.v*_xlpm.w)
)</f>
        <v/>
      </c>
      <c r="CH69" s="93" t="str" cm="1">
        <f t="array" ref="CH69">_xlfn.LET(
  _xlpm.w, CH$11,
  _xlpm.r, MATCH(1,('3. Enter Indicator Scores'!$B$10:$B$161=$B69)*('3. Enter Indicator Scores'!$C$10:$C$161=$C69),0),
  _xlpm.c, MATCH(CH$8,'3. Enter Indicator Scores'!$D$8:$CZ$8,0),
  _xlpm.v, IFERROR(INDEX('3. Enter Indicator Scores'!$D$10:$CZ$161,_xlpm.r,_xlpm.c),""),
  IF(OR(_xlpm.w="",_xlpm.v=""),"",_xlpm.v*_xlpm.w)
)</f>
        <v/>
      </c>
      <c r="CI69" s="93" t="str" cm="1">
        <f t="array" ref="CI69">_xlfn.LET(
  _xlpm.w, CI$11,
  _xlpm.r, MATCH(1,('3. Enter Indicator Scores'!$B$10:$B$161=$B69)*('3. Enter Indicator Scores'!$C$10:$C$161=$C69),0),
  _xlpm.c, MATCH(CI$8,'3. Enter Indicator Scores'!$D$8:$CZ$8,0),
  _xlpm.v, IFERROR(INDEX('3. Enter Indicator Scores'!$D$10:$CZ$161,_xlpm.r,_xlpm.c),""),
  IF(OR(_xlpm.w="",_xlpm.v=""),"",_xlpm.v*_xlpm.w)
)</f>
        <v/>
      </c>
      <c r="CJ69" s="93" t="str" cm="1">
        <f t="array" ref="CJ69">_xlfn.LET(
  _xlpm.w, CJ$11,
  _xlpm.r, MATCH(1,('3. Enter Indicator Scores'!$B$10:$B$161=$B69)*('3. Enter Indicator Scores'!$C$10:$C$161=$C69),0),
  _xlpm.c, MATCH(CJ$8,'3. Enter Indicator Scores'!$D$8:$CZ$8,0),
  _xlpm.v, IFERROR(INDEX('3. Enter Indicator Scores'!$D$10:$CZ$161,_xlpm.r,_xlpm.c),""),
  IF(OR(_xlpm.w="",_xlpm.v=""),"",_xlpm.v*_xlpm.w)
)</f>
        <v/>
      </c>
      <c r="CK69" s="93" t="str" cm="1">
        <f t="array" ref="CK69">_xlfn.LET(
  _xlpm.w, CK$11,
  _xlpm.r, MATCH(1,('3. Enter Indicator Scores'!$B$10:$B$161=$B69)*('3. Enter Indicator Scores'!$C$10:$C$161=$C69),0),
  _xlpm.c, MATCH(CK$8,'3. Enter Indicator Scores'!$D$8:$CZ$8,0),
  _xlpm.v, IFERROR(INDEX('3. Enter Indicator Scores'!$D$10:$CZ$161,_xlpm.r,_xlpm.c),""),
  IF(OR(_xlpm.w="",_xlpm.v=""),"",_xlpm.v*_xlpm.w)
)</f>
        <v/>
      </c>
      <c r="CL69" s="93" t="str" cm="1">
        <f t="array" ref="CL69">_xlfn.LET(
  _xlpm.w, CL$11,
  _xlpm.r, MATCH(1,('3. Enter Indicator Scores'!$B$10:$B$161=$B69)*('3. Enter Indicator Scores'!$C$10:$C$161=$C69),0),
  _xlpm.c, MATCH(CL$8,'3. Enter Indicator Scores'!$D$8:$CZ$8,0),
  _xlpm.v, IFERROR(INDEX('3. Enter Indicator Scores'!$D$10:$CZ$161,_xlpm.r,_xlpm.c),""),
  IF(OR(_xlpm.w="",_xlpm.v=""),"",_xlpm.v*_xlpm.w)
)</f>
        <v/>
      </c>
      <c r="CM69" s="93" t="str" cm="1">
        <f t="array" ref="CM69">_xlfn.LET(
  _xlpm.w, CM$11,
  _xlpm.r, MATCH(1,('3. Enter Indicator Scores'!$B$10:$B$161=$B69)*('3. Enter Indicator Scores'!$C$10:$C$161=$C69),0),
  _xlpm.c, MATCH(CM$8,'3. Enter Indicator Scores'!$D$8:$CZ$8,0),
  _xlpm.v, IFERROR(INDEX('3. Enter Indicator Scores'!$D$10:$CZ$161,_xlpm.r,_xlpm.c),""),
  IF(OR(_xlpm.w="",_xlpm.v=""),"",_xlpm.v*_xlpm.w)
)</f>
        <v/>
      </c>
      <c r="CN69" s="93" t="str" cm="1">
        <f t="array" ref="CN69">_xlfn.LET(
  _xlpm.w, CN$11,
  _xlpm.r, MATCH(1,('3. Enter Indicator Scores'!$B$10:$B$161=$B69)*('3. Enter Indicator Scores'!$C$10:$C$161=$C69),0),
  _xlpm.c, MATCH(CN$8,'3. Enter Indicator Scores'!$D$8:$CZ$8,0),
  _xlpm.v, IFERROR(INDEX('3. Enter Indicator Scores'!$D$10:$CZ$161,_xlpm.r,_xlpm.c),""),
  IF(OR(_xlpm.w="",_xlpm.v=""),"",_xlpm.v*_xlpm.w)
)</f>
        <v/>
      </c>
      <c r="CO69" s="93" t="str" cm="1">
        <f t="array" ref="CO69">_xlfn.LET(
  _xlpm.w, CO$11,
  _xlpm.r, MATCH(1,('3. Enter Indicator Scores'!$B$10:$B$161=$B69)*('3. Enter Indicator Scores'!$C$10:$C$161=$C69),0),
  _xlpm.c, MATCH(CO$8,'3. Enter Indicator Scores'!$D$8:$CZ$8,0),
  _xlpm.v, IFERROR(INDEX('3. Enter Indicator Scores'!$D$10:$CZ$161,_xlpm.r,_xlpm.c),""),
  IF(OR(_xlpm.w="",_xlpm.v=""),"",_xlpm.v*_xlpm.w)
)</f>
        <v/>
      </c>
      <c r="CP69" s="93" t="str" cm="1">
        <f t="array" ref="CP69">_xlfn.LET(
  _xlpm.w, CP$11,
  _xlpm.r, MATCH(1,('3. Enter Indicator Scores'!$B$10:$B$161=$B69)*('3. Enter Indicator Scores'!$C$10:$C$161=$C69),0),
  _xlpm.c, MATCH(CP$8,'3. Enter Indicator Scores'!$D$8:$CZ$8,0),
  _xlpm.v, IFERROR(INDEX('3. Enter Indicator Scores'!$D$10:$CZ$161,_xlpm.r,_xlpm.c),""),
  IF(OR(_xlpm.w="",_xlpm.v=""),"",_xlpm.v*_xlpm.w)
)</f>
        <v/>
      </c>
      <c r="CQ69" s="93" t="str" cm="1">
        <f t="array" ref="CQ69">_xlfn.LET(
  _xlpm.w, CQ$11,
  _xlpm.r, MATCH(1,('3. Enter Indicator Scores'!$B$10:$B$161=$B69)*('3. Enter Indicator Scores'!$C$10:$C$161=$C69),0),
  _xlpm.c, MATCH(CQ$8,'3. Enter Indicator Scores'!$D$8:$CZ$8,0),
  _xlpm.v, IFERROR(INDEX('3. Enter Indicator Scores'!$D$10:$CZ$161,_xlpm.r,_xlpm.c),""),
  IF(OR(_xlpm.w="",_xlpm.v=""),"",_xlpm.v*_xlpm.w)
)</f>
        <v/>
      </c>
      <c r="CR69" s="93" t="str" cm="1">
        <f t="array" ref="CR69">_xlfn.LET(
  _xlpm.w, CR$11,
  _xlpm.r, MATCH(1,('3. Enter Indicator Scores'!$B$10:$B$161=$B69)*('3. Enter Indicator Scores'!$C$10:$C$161=$C69),0),
  _xlpm.c, MATCH(CR$8,'3. Enter Indicator Scores'!$D$8:$CZ$8,0),
  _xlpm.v, IFERROR(INDEX('3. Enter Indicator Scores'!$D$10:$CZ$161,_xlpm.r,_xlpm.c),""),
  IF(OR(_xlpm.w="",_xlpm.v=""),"",_xlpm.v*_xlpm.w)
)</f>
        <v/>
      </c>
      <c r="CS69" s="93" t="str" cm="1">
        <f t="array" ref="CS69">_xlfn.LET(
  _xlpm.w, CS$11,
  _xlpm.r, MATCH(1,('3. Enter Indicator Scores'!$B$10:$B$161=$B69)*('3. Enter Indicator Scores'!$C$10:$C$161=$C69),0),
  _xlpm.c, MATCH(CS$8,'3. Enter Indicator Scores'!$D$8:$CZ$8,0),
  _xlpm.v, IFERROR(INDEX('3. Enter Indicator Scores'!$D$10:$CZ$161,_xlpm.r,_xlpm.c),""),
  IF(OR(_xlpm.w="",_xlpm.v=""),"",_xlpm.v*_xlpm.w)
)</f>
        <v/>
      </c>
      <c r="CT69" s="93" t="str" cm="1">
        <f t="array" ref="CT69">_xlfn.LET(
  _xlpm.w, CT$11,
  _xlpm.r, MATCH(1,('3. Enter Indicator Scores'!$B$10:$B$161=$B69)*('3. Enter Indicator Scores'!$C$10:$C$161=$C69),0),
  _xlpm.c, MATCH(CT$8,'3. Enter Indicator Scores'!$D$8:$CZ$8,0),
  _xlpm.v, IFERROR(INDEX('3. Enter Indicator Scores'!$D$10:$CZ$161,_xlpm.r,_xlpm.c),""),
  IF(OR(_xlpm.w="",_xlpm.v=""),"",_xlpm.v*_xlpm.w)
)</f>
        <v/>
      </c>
      <c r="CU69" s="93" t="str" cm="1">
        <f t="array" ref="CU69">_xlfn.LET(
  _xlpm.w, CU$11,
  _xlpm.r, MATCH(1,('3. Enter Indicator Scores'!$B$10:$B$161=$B69)*('3. Enter Indicator Scores'!$C$10:$C$161=$C69),0),
  _xlpm.c, MATCH(CU$8,'3. Enter Indicator Scores'!$D$8:$CZ$8,0),
  _xlpm.v, IFERROR(INDEX('3. Enter Indicator Scores'!$D$10:$CZ$161,_xlpm.r,_xlpm.c),""),
  IF(OR(_xlpm.w="",_xlpm.v=""),"",_xlpm.v*_xlpm.w)
)</f>
        <v/>
      </c>
      <c r="CV69" s="93" t="str" cm="1">
        <f t="array" ref="CV69">_xlfn.LET(
  _xlpm.w, CV$11,
  _xlpm.r, MATCH(1,('3. Enter Indicator Scores'!$B$10:$B$161=$B69)*('3. Enter Indicator Scores'!$C$10:$C$161=$C69),0),
  _xlpm.c, MATCH(CV$8,'3. Enter Indicator Scores'!$D$8:$CZ$8,0),
  _xlpm.v, IFERROR(INDEX('3. Enter Indicator Scores'!$D$10:$CZ$161,_xlpm.r,_xlpm.c),""),
  IF(OR(_xlpm.w="",_xlpm.v=""),"",_xlpm.v*_xlpm.w)
)</f>
        <v/>
      </c>
      <c r="CW69" s="93" t="str" cm="1">
        <f t="array" ref="CW69">_xlfn.LET(
  _xlpm.w, CW$11,
  _xlpm.r, MATCH(1,('3. Enter Indicator Scores'!$B$10:$B$161=$B69)*('3. Enter Indicator Scores'!$C$10:$C$161=$C69),0),
  _xlpm.c, MATCH(CW$8,'3. Enter Indicator Scores'!$D$8:$CZ$8,0),
  _xlpm.v, IFERROR(INDEX('3. Enter Indicator Scores'!$D$10:$CZ$161,_xlpm.r,_xlpm.c),""),
  IF(OR(_xlpm.w="",_xlpm.v=""),"",_xlpm.v*_xlpm.w)
)</f>
        <v/>
      </c>
      <c r="CX69" s="93" t="str" cm="1">
        <f t="array" ref="CX69">_xlfn.LET(
  _xlpm.w, CX$11,
  _xlpm.r, MATCH(1,('3. Enter Indicator Scores'!$B$10:$B$161=$B69)*('3. Enter Indicator Scores'!$C$10:$C$161=$C69),0),
  _xlpm.c, MATCH(CX$8,'3. Enter Indicator Scores'!$D$8:$CZ$8,0),
  _xlpm.v, IFERROR(INDEX('3. Enter Indicator Scores'!$D$10:$CZ$161,_xlpm.r,_xlpm.c),""),
  IF(OR(_xlpm.w="",_xlpm.v=""),"",_xlpm.v*_xlpm.w)
)</f>
        <v/>
      </c>
      <c r="CY69" s="93" t="str" cm="1">
        <f t="array" ref="CY69">_xlfn.LET(
  _xlpm.w, CY$11,
  _xlpm.r, MATCH(1,('3. Enter Indicator Scores'!$B$10:$B$161=$B69)*('3. Enter Indicator Scores'!$C$10:$C$161=$C69),0),
  _xlpm.c, MATCH(CY$8,'3. Enter Indicator Scores'!$D$8:$CZ$8,0),
  _xlpm.v, IFERROR(INDEX('3. Enter Indicator Scores'!$D$10:$CZ$161,_xlpm.r,_xlpm.c),""),
  IF(OR(_xlpm.w="",_xlpm.v=""),"",_xlpm.v*_xlpm.w)
)</f>
        <v/>
      </c>
      <c r="CZ69" s="93" t="str" cm="1">
        <f t="array" ref="CZ69">_xlfn.LET(
  _xlpm.w, CZ$11,
  _xlpm.r, MATCH(1,('3. Enter Indicator Scores'!$B$10:$B$161=$B69)*('3. Enter Indicator Scores'!$C$10:$C$161=$C69),0),
  _xlpm.c, MATCH(CZ$8,'3. Enter Indicator Scores'!$D$8:$CZ$8,0),
  _xlpm.v, IFERROR(INDEX('3. Enter Indicator Scores'!$D$10:$CZ$161,_xlpm.r,_xlpm.c),""),
  IF(OR(_xlpm.w="",_xlpm.v=""),"",_xlpm.v*_xlpm.w)
)</f>
        <v/>
      </c>
    </row>
    <row r="70" spans="4:104" x14ac:dyDescent="0.2">
      <c r="D70" s="93" t="str" cm="1">
        <f t="array" ref="D70">_xlfn.LET(
  _xlpm.w, D$11,
  _xlpm.r, MATCH(1,('3. Enter Indicator Scores'!$B$10:$B$161=$B70)*('3. Enter Indicator Scores'!$C$10:$C$161=$C70),0),
  _xlpm.c, MATCH(D$8,'3. Enter Indicator Scores'!$D$8:$CZ$8,0),
  _xlpm.v, IFERROR(INDEX('3. Enter Indicator Scores'!$D$10:$CZ$161,_xlpm.r,_xlpm.c),""),
  IF(OR(_xlpm.w="",_xlpm.v=""),"",_xlpm.v*_xlpm.w)
)</f>
        <v/>
      </c>
      <c r="E70" s="93" t="str" cm="1">
        <f t="array" ref="E70">_xlfn.LET(
  _xlpm.w, E$11,
  _xlpm.r, MATCH(1,('3. Enter Indicator Scores'!$B$10:$B$161=$B70)*('3. Enter Indicator Scores'!$C$10:$C$161=$C70),0),
  _xlpm.c, MATCH(E$8,'3. Enter Indicator Scores'!$D$8:$CZ$8,0),
  _xlpm.v, IFERROR(INDEX('3. Enter Indicator Scores'!$D$10:$CZ$161,_xlpm.r,_xlpm.c),""),
  IF(OR(_xlpm.w="",_xlpm.v=""),"",_xlpm.v*_xlpm.w)
)</f>
        <v/>
      </c>
      <c r="F70" s="93" t="str" cm="1">
        <f t="array" ref="F70">_xlfn.LET(
  _xlpm.w, F$11,
  _xlpm.r, MATCH(1,('3. Enter Indicator Scores'!$B$10:$B$161=$B70)*('3. Enter Indicator Scores'!$C$10:$C$161=$C70),0),
  _xlpm.c, MATCH(F$8,'3. Enter Indicator Scores'!$D$8:$CZ$8,0),
  _xlpm.v, IFERROR(INDEX('3. Enter Indicator Scores'!$D$10:$CZ$161,_xlpm.r,_xlpm.c),""),
  IF(OR(_xlpm.w="",_xlpm.v=""),"",_xlpm.v*_xlpm.w)
)</f>
        <v/>
      </c>
      <c r="G70" s="93" t="str" cm="1">
        <f t="array" ref="G70">_xlfn.LET(
  _xlpm.w, G$11,
  _xlpm.r, MATCH(1,('3. Enter Indicator Scores'!$B$10:$B$161=$B70)*('3. Enter Indicator Scores'!$C$10:$C$161=$C70),0),
  _xlpm.c, MATCH(G$8,'3. Enter Indicator Scores'!$D$8:$CZ$8,0),
  _xlpm.v, IFERROR(INDEX('3. Enter Indicator Scores'!$D$10:$CZ$161,_xlpm.r,_xlpm.c),""),
  IF(OR(_xlpm.w="",_xlpm.v=""),"",_xlpm.v*_xlpm.w)
)</f>
        <v/>
      </c>
      <c r="H70" s="93" t="str" cm="1">
        <f t="array" ref="H70">_xlfn.LET(
  _xlpm.w, H$11,
  _xlpm.r, MATCH(1,('3. Enter Indicator Scores'!$B$10:$B$161=$B70)*('3. Enter Indicator Scores'!$C$10:$C$161=$C70),0),
  _xlpm.c, MATCH(H$8,'3. Enter Indicator Scores'!$D$8:$CZ$8,0),
  _xlpm.v, IFERROR(INDEX('3. Enter Indicator Scores'!$D$10:$CZ$161,_xlpm.r,_xlpm.c),""),
  IF(OR(_xlpm.w="",_xlpm.v=""),"",_xlpm.v*_xlpm.w)
)</f>
        <v/>
      </c>
      <c r="I70" s="93" t="str" cm="1">
        <f t="array" ref="I70">_xlfn.LET(
  _xlpm.w, I$11,
  _xlpm.r, MATCH(1,('3. Enter Indicator Scores'!$B$10:$B$161=$B70)*('3. Enter Indicator Scores'!$C$10:$C$161=$C70),0),
  _xlpm.c, MATCH(I$8,'3. Enter Indicator Scores'!$D$8:$CZ$8,0),
  _xlpm.v, IFERROR(INDEX('3. Enter Indicator Scores'!$D$10:$CZ$161,_xlpm.r,_xlpm.c),""),
  IF(OR(_xlpm.w="",_xlpm.v=""),"",_xlpm.v*_xlpm.w)
)</f>
        <v/>
      </c>
      <c r="J70" s="93" t="str" cm="1">
        <f t="array" ref="J70">_xlfn.LET(
  _xlpm.w, J$11,
  _xlpm.r, MATCH(1,('3. Enter Indicator Scores'!$B$10:$B$161=$B70)*('3. Enter Indicator Scores'!$C$10:$C$161=$C70),0),
  _xlpm.c, MATCH(J$8,'3. Enter Indicator Scores'!$D$8:$CZ$8,0),
  _xlpm.v, IFERROR(INDEX('3. Enter Indicator Scores'!$D$10:$CZ$161,_xlpm.r,_xlpm.c),""),
  IF(OR(_xlpm.w="",_xlpm.v=""),"",_xlpm.v*_xlpm.w)
)</f>
        <v/>
      </c>
      <c r="K70" s="93" t="str" cm="1">
        <f t="array" ref="K70">_xlfn.LET(
  _xlpm.w, K$11,
  _xlpm.r, MATCH(1,('3. Enter Indicator Scores'!$B$10:$B$161=$B70)*('3. Enter Indicator Scores'!$C$10:$C$161=$C70),0),
  _xlpm.c, MATCH(K$8,'3. Enter Indicator Scores'!$D$8:$CZ$8,0),
  _xlpm.v, IFERROR(INDEX('3. Enter Indicator Scores'!$D$10:$CZ$161,_xlpm.r,_xlpm.c),""),
  IF(OR(_xlpm.w="",_xlpm.v=""),"",_xlpm.v*_xlpm.w)
)</f>
        <v/>
      </c>
      <c r="L70" s="93" t="str" cm="1">
        <f t="array" ref="L70">_xlfn.LET(
  _xlpm.w, L$11,
  _xlpm.r, MATCH(1,('3. Enter Indicator Scores'!$B$10:$B$161=$B70)*('3. Enter Indicator Scores'!$C$10:$C$161=$C70),0),
  _xlpm.c, MATCH(L$8,'3. Enter Indicator Scores'!$D$8:$CZ$8,0),
  _xlpm.v, IFERROR(INDEX('3. Enter Indicator Scores'!$D$10:$CZ$161,_xlpm.r,_xlpm.c),""),
  IF(OR(_xlpm.w="",_xlpm.v=""),"",_xlpm.v*_xlpm.w)
)</f>
        <v/>
      </c>
      <c r="M70" s="93" t="str" cm="1">
        <f t="array" ref="M70">_xlfn.LET(
  _xlpm.w, M$11,
  _xlpm.r, MATCH(1,('3. Enter Indicator Scores'!$B$10:$B$161=$B70)*('3. Enter Indicator Scores'!$C$10:$C$161=$C70),0),
  _xlpm.c, MATCH(M$8,'3. Enter Indicator Scores'!$D$8:$CZ$8,0),
  _xlpm.v, IFERROR(INDEX('3. Enter Indicator Scores'!$D$10:$CZ$161,_xlpm.r,_xlpm.c),""),
  IF(OR(_xlpm.w="",_xlpm.v=""),"",_xlpm.v*_xlpm.w)
)</f>
        <v/>
      </c>
      <c r="N70" s="93" t="str" cm="1">
        <f t="array" ref="N70">_xlfn.LET(
  _xlpm.w, N$11,
  _xlpm.r, MATCH(1,('3. Enter Indicator Scores'!$B$10:$B$161=$B70)*('3. Enter Indicator Scores'!$C$10:$C$161=$C70),0),
  _xlpm.c, MATCH(N$8,'3. Enter Indicator Scores'!$D$8:$CZ$8,0),
  _xlpm.v, IFERROR(INDEX('3. Enter Indicator Scores'!$D$10:$CZ$161,_xlpm.r,_xlpm.c),""),
  IF(OR(_xlpm.w="",_xlpm.v=""),"",_xlpm.v*_xlpm.w)
)</f>
        <v/>
      </c>
      <c r="O70" s="93" t="str" cm="1">
        <f t="array" ref="O70">_xlfn.LET(
  _xlpm.w, O$11,
  _xlpm.r, MATCH(1,('3. Enter Indicator Scores'!$B$10:$B$161=$B70)*('3. Enter Indicator Scores'!$C$10:$C$161=$C70),0),
  _xlpm.c, MATCH(O$8,'3. Enter Indicator Scores'!$D$8:$CZ$8,0),
  _xlpm.v, IFERROR(INDEX('3. Enter Indicator Scores'!$D$10:$CZ$161,_xlpm.r,_xlpm.c),""),
  IF(OR(_xlpm.w="",_xlpm.v=""),"",_xlpm.v*_xlpm.w)
)</f>
        <v/>
      </c>
      <c r="P70" s="93" t="str" cm="1">
        <f t="array" ref="P70">_xlfn.LET(
  _xlpm.w, P$11,
  _xlpm.r, MATCH(1,('3. Enter Indicator Scores'!$B$10:$B$161=$B70)*('3. Enter Indicator Scores'!$C$10:$C$161=$C70),0),
  _xlpm.c, MATCH(P$8,'3. Enter Indicator Scores'!$D$8:$CZ$8,0),
  _xlpm.v, IFERROR(INDEX('3. Enter Indicator Scores'!$D$10:$CZ$161,_xlpm.r,_xlpm.c),""),
  IF(OR(_xlpm.w="",_xlpm.v=""),"",_xlpm.v*_xlpm.w)
)</f>
        <v/>
      </c>
      <c r="Q70" s="93" t="str" cm="1">
        <f t="array" ref="Q70">_xlfn.LET(
  _xlpm.w, Q$11,
  _xlpm.r, MATCH(1,('3. Enter Indicator Scores'!$B$10:$B$161=$B70)*('3. Enter Indicator Scores'!$C$10:$C$161=$C70),0),
  _xlpm.c, MATCH(Q$8,'3. Enter Indicator Scores'!$D$8:$CZ$8,0),
  _xlpm.v, IFERROR(INDEX('3. Enter Indicator Scores'!$D$10:$CZ$161,_xlpm.r,_xlpm.c),""),
  IF(OR(_xlpm.w="",_xlpm.v=""),"",_xlpm.v*_xlpm.w)
)</f>
        <v/>
      </c>
      <c r="R70" s="93" t="str" cm="1">
        <f t="array" ref="R70">_xlfn.LET(
  _xlpm.w, R$11,
  _xlpm.r, MATCH(1,('3. Enter Indicator Scores'!$B$10:$B$161=$B70)*('3. Enter Indicator Scores'!$C$10:$C$161=$C70),0),
  _xlpm.c, MATCH(R$8,'3. Enter Indicator Scores'!$D$8:$CZ$8,0),
  _xlpm.v, IFERROR(INDEX('3. Enter Indicator Scores'!$D$10:$CZ$161,_xlpm.r,_xlpm.c),""),
  IF(OR(_xlpm.w="",_xlpm.v=""),"",_xlpm.v*_xlpm.w)
)</f>
        <v/>
      </c>
      <c r="S70" s="93" t="str" cm="1">
        <f t="array" ref="S70">_xlfn.LET(
  _xlpm.w, S$11,
  _xlpm.r, MATCH(1,('3. Enter Indicator Scores'!$B$10:$B$161=$B70)*('3. Enter Indicator Scores'!$C$10:$C$161=$C70),0),
  _xlpm.c, MATCH(S$8,'3. Enter Indicator Scores'!$D$8:$CZ$8,0),
  _xlpm.v, IFERROR(INDEX('3. Enter Indicator Scores'!$D$10:$CZ$161,_xlpm.r,_xlpm.c),""),
  IF(OR(_xlpm.w="",_xlpm.v=""),"",_xlpm.v*_xlpm.w)
)</f>
        <v/>
      </c>
      <c r="T70" s="93" t="str" cm="1">
        <f t="array" ref="T70">_xlfn.LET(
  _xlpm.w, T$11,
  _xlpm.r, MATCH(1,('3. Enter Indicator Scores'!$B$10:$B$161=$B70)*('3. Enter Indicator Scores'!$C$10:$C$161=$C70),0),
  _xlpm.c, MATCH(T$8,'3. Enter Indicator Scores'!$D$8:$CZ$8,0),
  _xlpm.v, IFERROR(INDEX('3. Enter Indicator Scores'!$D$10:$CZ$161,_xlpm.r,_xlpm.c),""),
  IF(OR(_xlpm.w="",_xlpm.v=""),"",_xlpm.v*_xlpm.w)
)</f>
        <v/>
      </c>
      <c r="U70" s="93" t="str" cm="1">
        <f t="array" ref="U70">_xlfn.LET(
  _xlpm.w, U$11,
  _xlpm.r, MATCH(1,('3. Enter Indicator Scores'!$B$10:$B$161=$B70)*('3. Enter Indicator Scores'!$C$10:$C$161=$C70),0),
  _xlpm.c, MATCH(U$8,'3. Enter Indicator Scores'!$D$8:$CZ$8,0),
  _xlpm.v, IFERROR(INDEX('3. Enter Indicator Scores'!$D$10:$CZ$161,_xlpm.r,_xlpm.c),""),
  IF(OR(_xlpm.w="",_xlpm.v=""),"",_xlpm.v*_xlpm.w)
)</f>
        <v/>
      </c>
      <c r="V70" s="93" t="str" cm="1">
        <f t="array" ref="V70">_xlfn.LET(
  _xlpm.w, V$11,
  _xlpm.r, MATCH(1,('3. Enter Indicator Scores'!$B$10:$B$161=$B70)*('3. Enter Indicator Scores'!$C$10:$C$161=$C70),0),
  _xlpm.c, MATCH(V$8,'3. Enter Indicator Scores'!$D$8:$CZ$8,0),
  _xlpm.v, IFERROR(INDEX('3. Enter Indicator Scores'!$D$10:$CZ$161,_xlpm.r,_xlpm.c),""),
  IF(OR(_xlpm.w="",_xlpm.v=""),"",_xlpm.v*_xlpm.w)
)</f>
        <v/>
      </c>
      <c r="W70" s="93" t="str" cm="1">
        <f t="array" ref="W70">_xlfn.LET(
  _xlpm.w, W$11,
  _xlpm.r, MATCH(1,('3. Enter Indicator Scores'!$B$10:$B$161=$B70)*('3. Enter Indicator Scores'!$C$10:$C$161=$C70),0),
  _xlpm.c, MATCH(W$8,'3. Enter Indicator Scores'!$D$8:$CZ$8,0),
  _xlpm.v, IFERROR(INDEX('3. Enter Indicator Scores'!$D$10:$CZ$161,_xlpm.r,_xlpm.c),""),
  IF(OR(_xlpm.w="",_xlpm.v=""),"",_xlpm.v*_xlpm.w)
)</f>
        <v/>
      </c>
      <c r="X70" s="93" t="str" cm="1">
        <f t="array" ref="X70">_xlfn.LET(
  _xlpm.w, X$11,
  _xlpm.r, MATCH(1,('3. Enter Indicator Scores'!$B$10:$B$161=$B70)*('3. Enter Indicator Scores'!$C$10:$C$161=$C70),0),
  _xlpm.c, MATCH(X$8,'3. Enter Indicator Scores'!$D$8:$CZ$8,0),
  _xlpm.v, IFERROR(INDEX('3. Enter Indicator Scores'!$D$10:$CZ$161,_xlpm.r,_xlpm.c),""),
  IF(OR(_xlpm.w="",_xlpm.v=""),"",_xlpm.v*_xlpm.w)
)</f>
        <v/>
      </c>
      <c r="Y70" s="93" t="str" cm="1">
        <f t="array" ref="Y70">_xlfn.LET(
  _xlpm.w, Y$11,
  _xlpm.r, MATCH(1,('3. Enter Indicator Scores'!$B$10:$B$161=$B70)*('3. Enter Indicator Scores'!$C$10:$C$161=$C70),0),
  _xlpm.c, MATCH(Y$8,'3. Enter Indicator Scores'!$D$8:$CZ$8,0),
  _xlpm.v, IFERROR(INDEX('3. Enter Indicator Scores'!$D$10:$CZ$161,_xlpm.r,_xlpm.c),""),
  IF(OR(_xlpm.w="",_xlpm.v=""),"",_xlpm.v*_xlpm.w)
)</f>
        <v/>
      </c>
      <c r="Z70" s="93" t="str" cm="1">
        <f t="array" ref="Z70">_xlfn.LET(
  _xlpm.w, Z$11,
  _xlpm.r, MATCH(1,('3. Enter Indicator Scores'!$B$10:$B$161=$B70)*('3. Enter Indicator Scores'!$C$10:$C$161=$C70),0),
  _xlpm.c, MATCH(Z$8,'3. Enter Indicator Scores'!$D$8:$CZ$8,0),
  _xlpm.v, IFERROR(INDEX('3. Enter Indicator Scores'!$D$10:$CZ$161,_xlpm.r,_xlpm.c),""),
  IF(OR(_xlpm.w="",_xlpm.v=""),"",_xlpm.v*_xlpm.w)
)</f>
        <v/>
      </c>
      <c r="AA70" s="93" t="str" cm="1">
        <f t="array" ref="AA70">_xlfn.LET(
  _xlpm.w, AA$11,
  _xlpm.r, MATCH(1,('3. Enter Indicator Scores'!$B$10:$B$161=$B70)*('3. Enter Indicator Scores'!$C$10:$C$161=$C70),0),
  _xlpm.c, MATCH(AA$8,'3. Enter Indicator Scores'!$D$8:$CZ$8,0),
  _xlpm.v, IFERROR(INDEX('3. Enter Indicator Scores'!$D$10:$CZ$161,_xlpm.r,_xlpm.c),""),
  IF(OR(_xlpm.w="",_xlpm.v=""),"",_xlpm.v*_xlpm.w)
)</f>
        <v/>
      </c>
      <c r="AB70" s="93" t="str" cm="1">
        <f t="array" ref="AB70">_xlfn.LET(
  _xlpm.w, AB$11,
  _xlpm.r, MATCH(1,('3. Enter Indicator Scores'!$B$10:$B$161=$B70)*('3. Enter Indicator Scores'!$C$10:$C$161=$C70),0),
  _xlpm.c, MATCH(AB$8,'3. Enter Indicator Scores'!$D$8:$CZ$8,0),
  _xlpm.v, IFERROR(INDEX('3. Enter Indicator Scores'!$D$10:$CZ$161,_xlpm.r,_xlpm.c),""),
  IF(OR(_xlpm.w="",_xlpm.v=""),"",_xlpm.v*_xlpm.w)
)</f>
        <v/>
      </c>
      <c r="AC70" s="93" t="str" cm="1">
        <f t="array" ref="AC70">_xlfn.LET(
  _xlpm.w, AC$11,
  _xlpm.r, MATCH(1,('3. Enter Indicator Scores'!$B$10:$B$161=$B70)*('3. Enter Indicator Scores'!$C$10:$C$161=$C70),0),
  _xlpm.c, MATCH(AC$8,'3. Enter Indicator Scores'!$D$8:$CZ$8,0),
  _xlpm.v, IFERROR(INDEX('3. Enter Indicator Scores'!$D$10:$CZ$161,_xlpm.r,_xlpm.c),""),
  IF(OR(_xlpm.w="",_xlpm.v=""),"",_xlpm.v*_xlpm.w)
)</f>
        <v/>
      </c>
      <c r="AD70" s="93" t="str" cm="1">
        <f t="array" ref="AD70">_xlfn.LET(
  _xlpm.w, AD$11,
  _xlpm.r, MATCH(1,('3. Enter Indicator Scores'!$B$10:$B$161=$B70)*('3. Enter Indicator Scores'!$C$10:$C$161=$C70),0),
  _xlpm.c, MATCH(AD$8,'3. Enter Indicator Scores'!$D$8:$CZ$8,0),
  _xlpm.v, IFERROR(INDEX('3. Enter Indicator Scores'!$D$10:$CZ$161,_xlpm.r,_xlpm.c),""),
  IF(OR(_xlpm.w="",_xlpm.v=""),"",_xlpm.v*_xlpm.w)
)</f>
        <v/>
      </c>
      <c r="AE70" s="93" t="str" cm="1">
        <f t="array" ref="AE70">_xlfn.LET(
  _xlpm.w, AE$11,
  _xlpm.r, MATCH(1,('3. Enter Indicator Scores'!$B$10:$B$161=$B70)*('3. Enter Indicator Scores'!$C$10:$C$161=$C70),0),
  _xlpm.c, MATCH(AE$8,'3. Enter Indicator Scores'!$D$8:$CZ$8,0),
  _xlpm.v, IFERROR(INDEX('3. Enter Indicator Scores'!$D$10:$CZ$161,_xlpm.r,_xlpm.c),""),
  IF(OR(_xlpm.w="",_xlpm.v=""),"",_xlpm.v*_xlpm.w)
)</f>
        <v/>
      </c>
      <c r="AF70" s="93" t="str" cm="1">
        <f t="array" ref="AF70">_xlfn.LET(
  _xlpm.w, AF$11,
  _xlpm.r, MATCH(1,('3. Enter Indicator Scores'!$B$10:$B$161=$B70)*('3. Enter Indicator Scores'!$C$10:$C$161=$C70),0),
  _xlpm.c, MATCH(AF$8,'3. Enter Indicator Scores'!$D$8:$CZ$8,0),
  _xlpm.v, IFERROR(INDEX('3. Enter Indicator Scores'!$D$10:$CZ$161,_xlpm.r,_xlpm.c),""),
  IF(OR(_xlpm.w="",_xlpm.v=""),"",_xlpm.v*_xlpm.w)
)</f>
        <v/>
      </c>
      <c r="AG70" s="93" t="str" cm="1">
        <f t="array" ref="AG70">_xlfn.LET(
  _xlpm.w, AG$11,
  _xlpm.r, MATCH(1,('3. Enter Indicator Scores'!$B$10:$B$161=$B70)*('3. Enter Indicator Scores'!$C$10:$C$161=$C70),0),
  _xlpm.c, MATCH(AG$8,'3. Enter Indicator Scores'!$D$8:$CZ$8,0),
  _xlpm.v, IFERROR(INDEX('3. Enter Indicator Scores'!$D$10:$CZ$161,_xlpm.r,_xlpm.c),""),
  IF(OR(_xlpm.w="",_xlpm.v=""),"",_xlpm.v*_xlpm.w)
)</f>
        <v/>
      </c>
      <c r="AH70" s="93" t="str" cm="1">
        <f t="array" ref="AH70">_xlfn.LET(
  _xlpm.w, AH$11,
  _xlpm.r, MATCH(1,('3. Enter Indicator Scores'!$B$10:$B$161=$B70)*('3. Enter Indicator Scores'!$C$10:$C$161=$C70),0),
  _xlpm.c, MATCH(AH$8,'3. Enter Indicator Scores'!$D$8:$CZ$8,0),
  _xlpm.v, IFERROR(INDEX('3. Enter Indicator Scores'!$D$10:$CZ$161,_xlpm.r,_xlpm.c),""),
  IF(OR(_xlpm.w="",_xlpm.v=""),"",_xlpm.v*_xlpm.w)
)</f>
        <v/>
      </c>
      <c r="AI70" s="93" t="str" cm="1">
        <f t="array" ref="AI70">_xlfn.LET(
  _xlpm.w, AI$11,
  _xlpm.r, MATCH(1,('3. Enter Indicator Scores'!$B$10:$B$161=$B70)*('3. Enter Indicator Scores'!$C$10:$C$161=$C70),0),
  _xlpm.c, MATCH(AI$8,'3. Enter Indicator Scores'!$D$8:$CZ$8,0),
  _xlpm.v, IFERROR(INDEX('3. Enter Indicator Scores'!$D$10:$CZ$161,_xlpm.r,_xlpm.c),""),
  IF(OR(_xlpm.w="",_xlpm.v=""),"",_xlpm.v*_xlpm.w)
)</f>
        <v/>
      </c>
      <c r="AJ70" s="93" t="str" cm="1">
        <f t="array" ref="AJ70">_xlfn.LET(
  _xlpm.w, AJ$11,
  _xlpm.r, MATCH(1,('3. Enter Indicator Scores'!$B$10:$B$161=$B70)*('3. Enter Indicator Scores'!$C$10:$C$161=$C70),0),
  _xlpm.c, MATCH(AJ$8,'3. Enter Indicator Scores'!$D$8:$CZ$8,0),
  _xlpm.v, IFERROR(INDEX('3. Enter Indicator Scores'!$D$10:$CZ$161,_xlpm.r,_xlpm.c),""),
  IF(OR(_xlpm.w="",_xlpm.v=""),"",_xlpm.v*_xlpm.w)
)</f>
        <v/>
      </c>
      <c r="AK70" s="93" t="str" cm="1">
        <f t="array" ref="AK70">_xlfn.LET(
  _xlpm.w, AK$11,
  _xlpm.r, MATCH(1,('3. Enter Indicator Scores'!$B$10:$B$161=$B70)*('3. Enter Indicator Scores'!$C$10:$C$161=$C70),0),
  _xlpm.c, MATCH(AK$8,'3. Enter Indicator Scores'!$D$8:$CZ$8,0),
  _xlpm.v, IFERROR(INDEX('3. Enter Indicator Scores'!$D$10:$CZ$161,_xlpm.r,_xlpm.c),""),
  IF(OR(_xlpm.w="",_xlpm.v=""),"",_xlpm.v*_xlpm.w)
)</f>
        <v/>
      </c>
      <c r="AL70" s="93" t="str" cm="1">
        <f t="array" ref="AL70">_xlfn.LET(
  _xlpm.w, AL$11,
  _xlpm.r, MATCH(1,('3. Enter Indicator Scores'!$B$10:$B$161=$B70)*('3. Enter Indicator Scores'!$C$10:$C$161=$C70),0),
  _xlpm.c, MATCH(AL$8,'3. Enter Indicator Scores'!$D$8:$CZ$8,0),
  _xlpm.v, IFERROR(INDEX('3. Enter Indicator Scores'!$D$10:$CZ$161,_xlpm.r,_xlpm.c),""),
  IF(OR(_xlpm.w="",_xlpm.v=""),"",_xlpm.v*_xlpm.w)
)</f>
        <v/>
      </c>
      <c r="AM70" s="93" t="str" cm="1">
        <f t="array" ref="AM70">_xlfn.LET(
  _xlpm.w, AM$11,
  _xlpm.r, MATCH(1,('3. Enter Indicator Scores'!$B$10:$B$161=$B70)*('3. Enter Indicator Scores'!$C$10:$C$161=$C70),0),
  _xlpm.c, MATCH(AM$8,'3. Enter Indicator Scores'!$D$8:$CZ$8,0),
  _xlpm.v, IFERROR(INDEX('3. Enter Indicator Scores'!$D$10:$CZ$161,_xlpm.r,_xlpm.c),""),
  IF(OR(_xlpm.w="",_xlpm.v=""),"",_xlpm.v*_xlpm.w)
)</f>
        <v/>
      </c>
      <c r="AN70" s="93" t="str" cm="1">
        <f t="array" ref="AN70">_xlfn.LET(
  _xlpm.w, AN$11,
  _xlpm.r, MATCH(1,('3. Enter Indicator Scores'!$B$10:$B$161=$B70)*('3. Enter Indicator Scores'!$C$10:$C$161=$C70),0),
  _xlpm.c, MATCH(AN$8,'3. Enter Indicator Scores'!$D$8:$CZ$8,0),
  _xlpm.v, IFERROR(INDEX('3. Enter Indicator Scores'!$D$10:$CZ$161,_xlpm.r,_xlpm.c),""),
  IF(OR(_xlpm.w="",_xlpm.v=""),"",_xlpm.v*_xlpm.w)
)</f>
        <v/>
      </c>
      <c r="AO70" s="93" t="str" cm="1">
        <f t="array" ref="AO70">_xlfn.LET(
  _xlpm.w, AO$11,
  _xlpm.r, MATCH(1,('3. Enter Indicator Scores'!$B$10:$B$161=$B70)*('3. Enter Indicator Scores'!$C$10:$C$161=$C70),0),
  _xlpm.c, MATCH(AO$8,'3. Enter Indicator Scores'!$D$8:$CZ$8,0),
  _xlpm.v, IFERROR(INDEX('3. Enter Indicator Scores'!$D$10:$CZ$161,_xlpm.r,_xlpm.c),""),
  IF(OR(_xlpm.w="",_xlpm.v=""),"",_xlpm.v*_xlpm.w)
)</f>
        <v/>
      </c>
      <c r="AP70" s="93" t="str" cm="1">
        <f t="array" ref="AP70">_xlfn.LET(
  _xlpm.w, AP$11,
  _xlpm.r, MATCH(1,('3. Enter Indicator Scores'!$B$10:$B$161=$B70)*('3. Enter Indicator Scores'!$C$10:$C$161=$C70),0),
  _xlpm.c, MATCH(AP$8,'3. Enter Indicator Scores'!$D$8:$CZ$8,0),
  _xlpm.v, IFERROR(INDEX('3. Enter Indicator Scores'!$D$10:$CZ$161,_xlpm.r,_xlpm.c),""),
  IF(OR(_xlpm.w="",_xlpm.v=""),"",_xlpm.v*_xlpm.w)
)</f>
        <v/>
      </c>
      <c r="AQ70" s="93" t="str" cm="1">
        <f t="array" ref="AQ70">_xlfn.LET(
  _xlpm.w, AQ$11,
  _xlpm.r, MATCH(1,('3. Enter Indicator Scores'!$B$10:$B$161=$B70)*('3. Enter Indicator Scores'!$C$10:$C$161=$C70),0),
  _xlpm.c, MATCH(AQ$8,'3. Enter Indicator Scores'!$D$8:$CZ$8,0),
  _xlpm.v, IFERROR(INDEX('3. Enter Indicator Scores'!$D$10:$CZ$161,_xlpm.r,_xlpm.c),""),
  IF(OR(_xlpm.w="",_xlpm.v=""),"",_xlpm.v*_xlpm.w)
)</f>
        <v/>
      </c>
      <c r="AR70" s="93" t="str" cm="1">
        <f t="array" ref="AR70">_xlfn.LET(
  _xlpm.w, AR$11,
  _xlpm.r, MATCH(1,('3. Enter Indicator Scores'!$B$10:$B$161=$B70)*('3. Enter Indicator Scores'!$C$10:$C$161=$C70),0),
  _xlpm.c, MATCH(AR$8,'3. Enter Indicator Scores'!$D$8:$CZ$8,0),
  _xlpm.v, IFERROR(INDEX('3. Enter Indicator Scores'!$D$10:$CZ$161,_xlpm.r,_xlpm.c),""),
  IF(OR(_xlpm.w="",_xlpm.v=""),"",_xlpm.v*_xlpm.w)
)</f>
        <v/>
      </c>
      <c r="AS70" s="93" t="str" cm="1">
        <f t="array" ref="AS70">_xlfn.LET(
  _xlpm.w, AS$11,
  _xlpm.r, MATCH(1,('3. Enter Indicator Scores'!$B$10:$B$161=$B70)*('3. Enter Indicator Scores'!$C$10:$C$161=$C70),0),
  _xlpm.c, MATCH(AS$8,'3. Enter Indicator Scores'!$D$8:$CZ$8,0),
  _xlpm.v, IFERROR(INDEX('3. Enter Indicator Scores'!$D$10:$CZ$161,_xlpm.r,_xlpm.c),""),
  IF(OR(_xlpm.w="",_xlpm.v=""),"",_xlpm.v*_xlpm.w)
)</f>
        <v/>
      </c>
      <c r="AT70" s="93" t="str" cm="1">
        <f t="array" ref="AT70">_xlfn.LET(
  _xlpm.w, AT$11,
  _xlpm.r, MATCH(1,('3. Enter Indicator Scores'!$B$10:$B$161=$B70)*('3. Enter Indicator Scores'!$C$10:$C$161=$C70),0),
  _xlpm.c, MATCH(AT$8,'3. Enter Indicator Scores'!$D$8:$CZ$8,0),
  _xlpm.v, IFERROR(INDEX('3. Enter Indicator Scores'!$D$10:$CZ$161,_xlpm.r,_xlpm.c),""),
  IF(OR(_xlpm.w="",_xlpm.v=""),"",_xlpm.v*_xlpm.w)
)</f>
        <v/>
      </c>
      <c r="AU70" s="93" t="str" cm="1">
        <f t="array" ref="AU70">_xlfn.LET(
  _xlpm.w, AU$11,
  _xlpm.r, MATCH(1,('3. Enter Indicator Scores'!$B$10:$B$161=$B70)*('3. Enter Indicator Scores'!$C$10:$C$161=$C70),0),
  _xlpm.c, MATCH(AU$8,'3. Enter Indicator Scores'!$D$8:$CZ$8,0),
  _xlpm.v, IFERROR(INDEX('3. Enter Indicator Scores'!$D$10:$CZ$161,_xlpm.r,_xlpm.c),""),
  IF(OR(_xlpm.w="",_xlpm.v=""),"",_xlpm.v*_xlpm.w)
)</f>
        <v/>
      </c>
      <c r="AV70" s="93" t="str" cm="1">
        <f t="array" ref="AV70">_xlfn.LET(
  _xlpm.w, AV$11,
  _xlpm.r, MATCH(1,('3. Enter Indicator Scores'!$B$10:$B$161=$B70)*('3. Enter Indicator Scores'!$C$10:$C$161=$C70),0),
  _xlpm.c, MATCH(AV$8,'3. Enter Indicator Scores'!$D$8:$CZ$8,0),
  _xlpm.v, IFERROR(INDEX('3. Enter Indicator Scores'!$D$10:$CZ$161,_xlpm.r,_xlpm.c),""),
  IF(OR(_xlpm.w="",_xlpm.v=""),"",_xlpm.v*_xlpm.w)
)</f>
        <v/>
      </c>
      <c r="AW70" s="93" t="str" cm="1">
        <f t="array" ref="AW70">_xlfn.LET(
  _xlpm.w, AW$11,
  _xlpm.r, MATCH(1,('3. Enter Indicator Scores'!$B$10:$B$161=$B70)*('3. Enter Indicator Scores'!$C$10:$C$161=$C70),0),
  _xlpm.c, MATCH(AW$8,'3. Enter Indicator Scores'!$D$8:$CZ$8,0),
  _xlpm.v, IFERROR(INDEX('3. Enter Indicator Scores'!$D$10:$CZ$161,_xlpm.r,_xlpm.c),""),
  IF(OR(_xlpm.w="",_xlpm.v=""),"",_xlpm.v*_xlpm.w)
)</f>
        <v/>
      </c>
      <c r="AX70" s="93" t="str" cm="1">
        <f t="array" ref="AX70">_xlfn.LET(
  _xlpm.w, AX$11,
  _xlpm.r, MATCH(1,('3. Enter Indicator Scores'!$B$10:$B$161=$B70)*('3. Enter Indicator Scores'!$C$10:$C$161=$C70),0),
  _xlpm.c, MATCH(AX$8,'3. Enter Indicator Scores'!$D$8:$CZ$8,0),
  _xlpm.v, IFERROR(INDEX('3. Enter Indicator Scores'!$D$10:$CZ$161,_xlpm.r,_xlpm.c),""),
  IF(OR(_xlpm.w="",_xlpm.v=""),"",_xlpm.v*_xlpm.w)
)</f>
        <v/>
      </c>
      <c r="AY70" s="93" t="str" cm="1">
        <f t="array" ref="AY70">_xlfn.LET(
  _xlpm.w, AY$11,
  _xlpm.r, MATCH(1,('3. Enter Indicator Scores'!$B$10:$B$161=$B70)*('3. Enter Indicator Scores'!$C$10:$C$161=$C70),0),
  _xlpm.c, MATCH(AY$8,'3. Enter Indicator Scores'!$D$8:$CZ$8,0),
  _xlpm.v, IFERROR(INDEX('3. Enter Indicator Scores'!$D$10:$CZ$161,_xlpm.r,_xlpm.c),""),
  IF(OR(_xlpm.w="",_xlpm.v=""),"",_xlpm.v*_xlpm.w)
)</f>
        <v/>
      </c>
      <c r="AZ70" s="93" t="str" cm="1">
        <f t="array" ref="AZ70">_xlfn.LET(
  _xlpm.w, AZ$11,
  _xlpm.r, MATCH(1,('3. Enter Indicator Scores'!$B$10:$B$161=$B70)*('3. Enter Indicator Scores'!$C$10:$C$161=$C70),0),
  _xlpm.c, MATCH(AZ$8,'3. Enter Indicator Scores'!$D$8:$CZ$8,0),
  _xlpm.v, IFERROR(INDEX('3. Enter Indicator Scores'!$D$10:$CZ$161,_xlpm.r,_xlpm.c),""),
  IF(OR(_xlpm.w="",_xlpm.v=""),"",_xlpm.v*_xlpm.w)
)</f>
        <v/>
      </c>
      <c r="BA70" s="93" t="str" cm="1">
        <f t="array" ref="BA70">_xlfn.LET(
  _xlpm.w, BA$11,
  _xlpm.r, MATCH(1,('3. Enter Indicator Scores'!$B$10:$B$161=$B70)*('3. Enter Indicator Scores'!$C$10:$C$161=$C70),0),
  _xlpm.c, MATCH(BA$8,'3. Enter Indicator Scores'!$D$8:$CZ$8,0),
  _xlpm.v, IFERROR(INDEX('3. Enter Indicator Scores'!$D$10:$CZ$161,_xlpm.r,_xlpm.c),""),
  IF(OR(_xlpm.w="",_xlpm.v=""),"",_xlpm.v*_xlpm.w)
)</f>
        <v/>
      </c>
      <c r="BB70" s="93" t="str" cm="1">
        <f t="array" ref="BB70">_xlfn.LET(
  _xlpm.w, BB$11,
  _xlpm.r, MATCH(1,('3. Enter Indicator Scores'!$B$10:$B$161=$B70)*('3. Enter Indicator Scores'!$C$10:$C$161=$C70),0),
  _xlpm.c, MATCH(BB$8,'3. Enter Indicator Scores'!$D$8:$CZ$8,0),
  _xlpm.v, IFERROR(INDEX('3. Enter Indicator Scores'!$D$10:$CZ$161,_xlpm.r,_xlpm.c),""),
  IF(OR(_xlpm.w="",_xlpm.v=""),"",_xlpm.v*_xlpm.w)
)</f>
        <v/>
      </c>
      <c r="BC70" s="93" t="str" cm="1">
        <f t="array" ref="BC70">_xlfn.LET(
  _xlpm.w, BC$11,
  _xlpm.r, MATCH(1,('3. Enter Indicator Scores'!$B$10:$B$161=$B70)*('3. Enter Indicator Scores'!$C$10:$C$161=$C70),0),
  _xlpm.c, MATCH(BC$8,'3. Enter Indicator Scores'!$D$8:$CZ$8,0),
  _xlpm.v, IFERROR(INDEX('3. Enter Indicator Scores'!$D$10:$CZ$161,_xlpm.r,_xlpm.c),""),
  IF(OR(_xlpm.w="",_xlpm.v=""),"",_xlpm.v*_xlpm.w)
)</f>
        <v/>
      </c>
      <c r="BD70" s="93" t="str" cm="1">
        <f t="array" ref="BD70">_xlfn.LET(
  _xlpm.w, BD$11,
  _xlpm.r, MATCH(1,('3. Enter Indicator Scores'!$B$10:$B$161=$B70)*('3. Enter Indicator Scores'!$C$10:$C$161=$C70),0),
  _xlpm.c, MATCH(BD$8,'3. Enter Indicator Scores'!$D$8:$CZ$8,0),
  _xlpm.v, IFERROR(INDEX('3. Enter Indicator Scores'!$D$10:$CZ$161,_xlpm.r,_xlpm.c),""),
  IF(OR(_xlpm.w="",_xlpm.v=""),"",_xlpm.v*_xlpm.w)
)</f>
        <v/>
      </c>
      <c r="BE70" s="93" t="str" cm="1">
        <f t="array" ref="BE70">_xlfn.LET(
  _xlpm.w, BE$11,
  _xlpm.r, MATCH(1,('3. Enter Indicator Scores'!$B$10:$B$161=$B70)*('3. Enter Indicator Scores'!$C$10:$C$161=$C70),0),
  _xlpm.c, MATCH(BE$8,'3. Enter Indicator Scores'!$D$8:$CZ$8,0),
  _xlpm.v, IFERROR(INDEX('3. Enter Indicator Scores'!$D$10:$CZ$161,_xlpm.r,_xlpm.c),""),
  IF(OR(_xlpm.w="",_xlpm.v=""),"",_xlpm.v*_xlpm.w)
)</f>
        <v/>
      </c>
      <c r="BF70" s="93" t="str" cm="1">
        <f t="array" ref="BF70">_xlfn.LET(
  _xlpm.w, BF$11,
  _xlpm.r, MATCH(1,('3. Enter Indicator Scores'!$B$10:$B$161=$B70)*('3. Enter Indicator Scores'!$C$10:$C$161=$C70),0),
  _xlpm.c, MATCH(BF$8,'3. Enter Indicator Scores'!$D$8:$CZ$8,0),
  _xlpm.v, IFERROR(INDEX('3. Enter Indicator Scores'!$D$10:$CZ$161,_xlpm.r,_xlpm.c),""),
  IF(OR(_xlpm.w="",_xlpm.v=""),"",_xlpm.v*_xlpm.w)
)</f>
        <v/>
      </c>
      <c r="BG70" s="93" t="str" cm="1">
        <f t="array" ref="BG70">_xlfn.LET(
  _xlpm.w, BG$11,
  _xlpm.r, MATCH(1,('3. Enter Indicator Scores'!$B$10:$B$161=$B70)*('3. Enter Indicator Scores'!$C$10:$C$161=$C70),0),
  _xlpm.c, MATCH(BG$8,'3. Enter Indicator Scores'!$D$8:$CZ$8,0),
  _xlpm.v, IFERROR(INDEX('3. Enter Indicator Scores'!$D$10:$CZ$161,_xlpm.r,_xlpm.c),""),
  IF(OR(_xlpm.w="",_xlpm.v=""),"",_xlpm.v*_xlpm.w)
)</f>
        <v/>
      </c>
      <c r="BH70" s="93" t="str" cm="1">
        <f t="array" ref="BH70">_xlfn.LET(
  _xlpm.w, BH$11,
  _xlpm.r, MATCH(1,('3. Enter Indicator Scores'!$B$10:$B$161=$B70)*('3. Enter Indicator Scores'!$C$10:$C$161=$C70),0),
  _xlpm.c, MATCH(BH$8,'3. Enter Indicator Scores'!$D$8:$CZ$8,0),
  _xlpm.v, IFERROR(INDEX('3. Enter Indicator Scores'!$D$10:$CZ$161,_xlpm.r,_xlpm.c),""),
  IF(OR(_xlpm.w="",_xlpm.v=""),"",_xlpm.v*_xlpm.w)
)</f>
        <v/>
      </c>
      <c r="BI70" s="93" t="str" cm="1">
        <f t="array" ref="BI70">_xlfn.LET(
  _xlpm.w, BI$11,
  _xlpm.r, MATCH(1,('3. Enter Indicator Scores'!$B$10:$B$161=$B70)*('3. Enter Indicator Scores'!$C$10:$C$161=$C70),0),
  _xlpm.c, MATCH(BI$8,'3. Enter Indicator Scores'!$D$8:$CZ$8,0),
  _xlpm.v, IFERROR(INDEX('3. Enter Indicator Scores'!$D$10:$CZ$161,_xlpm.r,_xlpm.c),""),
  IF(OR(_xlpm.w="",_xlpm.v=""),"",_xlpm.v*_xlpm.w)
)</f>
        <v/>
      </c>
      <c r="BJ70" s="93" t="str" cm="1">
        <f t="array" ref="BJ70">_xlfn.LET(
  _xlpm.w, BJ$11,
  _xlpm.r, MATCH(1,('3. Enter Indicator Scores'!$B$10:$B$161=$B70)*('3. Enter Indicator Scores'!$C$10:$C$161=$C70),0),
  _xlpm.c, MATCH(BJ$8,'3. Enter Indicator Scores'!$D$8:$CZ$8,0),
  _xlpm.v, IFERROR(INDEX('3. Enter Indicator Scores'!$D$10:$CZ$161,_xlpm.r,_xlpm.c),""),
  IF(OR(_xlpm.w="",_xlpm.v=""),"",_xlpm.v*_xlpm.w)
)</f>
        <v/>
      </c>
      <c r="BK70" s="93" t="str" cm="1">
        <f t="array" ref="BK70">_xlfn.LET(
  _xlpm.w, BK$11,
  _xlpm.r, MATCH(1,('3. Enter Indicator Scores'!$B$10:$B$161=$B70)*('3. Enter Indicator Scores'!$C$10:$C$161=$C70),0),
  _xlpm.c, MATCH(BK$8,'3. Enter Indicator Scores'!$D$8:$CZ$8,0),
  _xlpm.v, IFERROR(INDEX('3. Enter Indicator Scores'!$D$10:$CZ$161,_xlpm.r,_xlpm.c),""),
  IF(OR(_xlpm.w="",_xlpm.v=""),"",_xlpm.v*_xlpm.w)
)</f>
        <v/>
      </c>
      <c r="BL70" s="93" t="str" cm="1">
        <f t="array" ref="BL70">_xlfn.LET(
  _xlpm.w, BL$11,
  _xlpm.r, MATCH(1,('3. Enter Indicator Scores'!$B$10:$B$161=$B70)*('3. Enter Indicator Scores'!$C$10:$C$161=$C70),0),
  _xlpm.c, MATCH(BL$8,'3. Enter Indicator Scores'!$D$8:$CZ$8,0),
  _xlpm.v, IFERROR(INDEX('3. Enter Indicator Scores'!$D$10:$CZ$161,_xlpm.r,_xlpm.c),""),
  IF(OR(_xlpm.w="",_xlpm.v=""),"",_xlpm.v*_xlpm.w)
)</f>
        <v/>
      </c>
      <c r="BM70" s="93" t="str" cm="1">
        <f t="array" ref="BM70">_xlfn.LET(
  _xlpm.w, BM$11,
  _xlpm.r, MATCH(1,('3. Enter Indicator Scores'!$B$10:$B$161=$B70)*('3. Enter Indicator Scores'!$C$10:$C$161=$C70),0),
  _xlpm.c, MATCH(BM$8,'3. Enter Indicator Scores'!$D$8:$CZ$8,0),
  _xlpm.v, IFERROR(INDEX('3. Enter Indicator Scores'!$D$10:$CZ$161,_xlpm.r,_xlpm.c),""),
  IF(OR(_xlpm.w="",_xlpm.v=""),"",_xlpm.v*_xlpm.w)
)</f>
        <v/>
      </c>
      <c r="BN70" s="93" t="str" cm="1">
        <f t="array" ref="BN70">_xlfn.LET(
  _xlpm.w, BN$11,
  _xlpm.r, MATCH(1,('3. Enter Indicator Scores'!$B$10:$B$161=$B70)*('3. Enter Indicator Scores'!$C$10:$C$161=$C70),0),
  _xlpm.c, MATCH(BN$8,'3. Enter Indicator Scores'!$D$8:$CZ$8,0),
  _xlpm.v, IFERROR(INDEX('3. Enter Indicator Scores'!$D$10:$CZ$161,_xlpm.r,_xlpm.c),""),
  IF(OR(_xlpm.w="",_xlpm.v=""),"",_xlpm.v*_xlpm.w)
)</f>
        <v/>
      </c>
      <c r="BO70" s="93" t="str" cm="1">
        <f t="array" ref="BO70">_xlfn.LET(
  _xlpm.w, BO$11,
  _xlpm.r, MATCH(1,('3. Enter Indicator Scores'!$B$10:$B$161=$B70)*('3. Enter Indicator Scores'!$C$10:$C$161=$C70),0),
  _xlpm.c, MATCH(BO$8,'3. Enter Indicator Scores'!$D$8:$CZ$8,0),
  _xlpm.v, IFERROR(INDEX('3. Enter Indicator Scores'!$D$10:$CZ$161,_xlpm.r,_xlpm.c),""),
  IF(OR(_xlpm.w="",_xlpm.v=""),"",_xlpm.v*_xlpm.w)
)</f>
        <v/>
      </c>
      <c r="BP70" s="93" t="str" cm="1">
        <f t="array" ref="BP70">_xlfn.LET(
  _xlpm.w, BP$11,
  _xlpm.r, MATCH(1,('3. Enter Indicator Scores'!$B$10:$B$161=$B70)*('3. Enter Indicator Scores'!$C$10:$C$161=$C70),0),
  _xlpm.c, MATCH(BP$8,'3. Enter Indicator Scores'!$D$8:$CZ$8,0),
  _xlpm.v, IFERROR(INDEX('3. Enter Indicator Scores'!$D$10:$CZ$161,_xlpm.r,_xlpm.c),""),
  IF(OR(_xlpm.w="",_xlpm.v=""),"",_xlpm.v*_xlpm.w)
)</f>
        <v/>
      </c>
      <c r="BQ70" s="93" t="str" cm="1">
        <f t="array" ref="BQ70">_xlfn.LET(
  _xlpm.w, BQ$11,
  _xlpm.r, MATCH(1,('3. Enter Indicator Scores'!$B$10:$B$161=$B70)*('3. Enter Indicator Scores'!$C$10:$C$161=$C70),0),
  _xlpm.c, MATCH(BQ$8,'3. Enter Indicator Scores'!$D$8:$CZ$8,0),
  _xlpm.v, IFERROR(INDEX('3. Enter Indicator Scores'!$D$10:$CZ$161,_xlpm.r,_xlpm.c),""),
  IF(OR(_xlpm.w="",_xlpm.v=""),"",_xlpm.v*_xlpm.w)
)</f>
        <v/>
      </c>
      <c r="BR70" s="93" t="str" cm="1">
        <f t="array" ref="BR70">_xlfn.LET(
  _xlpm.w, BR$11,
  _xlpm.r, MATCH(1,('3. Enter Indicator Scores'!$B$10:$B$161=$B70)*('3. Enter Indicator Scores'!$C$10:$C$161=$C70),0),
  _xlpm.c, MATCH(BR$8,'3. Enter Indicator Scores'!$D$8:$CZ$8,0),
  _xlpm.v, IFERROR(INDEX('3. Enter Indicator Scores'!$D$10:$CZ$161,_xlpm.r,_xlpm.c),""),
  IF(OR(_xlpm.w="",_xlpm.v=""),"",_xlpm.v*_xlpm.w)
)</f>
        <v/>
      </c>
      <c r="BS70" s="93" t="str" cm="1">
        <f t="array" ref="BS70">_xlfn.LET(
  _xlpm.w, BS$11,
  _xlpm.r, MATCH(1,('3. Enter Indicator Scores'!$B$10:$B$161=$B70)*('3. Enter Indicator Scores'!$C$10:$C$161=$C70),0),
  _xlpm.c, MATCH(BS$8,'3. Enter Indicator Scores'!$D$8:$CZ$8,0),
  _xlpm.v, IFERROR(INDEX('3. Enter Indicator Scores'!$D$10:$CZ$161,_xlpm.r,_xlpm.c),""),
  IF(OR(_xlpm.w="",_xlpm.v=""),"",_xlpm.v*_xlpm.w)
)</f>
        <v/>
      </c>
      <c r="BT70" s="93" t="str" cm="1">
        <f t="array" ref="BT70">_xlfn.LET(
  _xlpm.w, BT$11,
  _xlpm.r, MATCH(1,('3. Enter Indicator Scores'!$B$10:$B$161=$B70)*('3. Enter Indicator Scores'!$C$10:$C$161=$C70),0),
  _xlpm.c, MATCH(BT$8,'3. Enter Indicator Scores'!$D$8:$CZ$8,0),
  _xlpm.v, IFERROR(INDEX('3. Enter Indicator Scores'!$D$10:$CZ$161,_xlpm.r,_xlpm.c),""),
  IF(OR(_xlpm.w="",_xlpm.v=""),"",_xlpm.v*_xlpm.w)
)</f>
        <v/>
      </c>
      <c r="BU70" s="93" t="str" cm="1">
        <f t="array" ref="BU70">_xlfn.LET(
  _xlpm.w, BU$11,
  _xlpm.r, MATCH(1,('3. Enter Indicator Scores'!$B$10:$B$161=$B70)*('3. Enter Indicator Scores'!$C$10:$C$161=$C70),0),
  _xlpm.c, MATCH(BU$8,'3. Enter Indicator Scores'!$D$8:$CZ$8,0),
  _xlpm.v, IFERROR(INDEX('3. Enter Indicator Scores'!$D$10:$CZ$161,_xlpm.r,_xlpm.c),""),
  IF(OR(_xlpm.w="",_xlpm.v=""),"",_xlpm.v*_xlpm.w)
)</f>
        <v/>
      </c>
      <c r="BV70" s="93" t="str" cm="1">
        <f t="array" ref="BV70">_xlfn.LET(
  _xlpm.w, BV$11,
  _xlpm.r, MATCH(1,('3. Enter Indicator Scores'!$B$10:$B$161=$B70)*('3. Enter Indicator Scores'!$C$10:$C$161=$C70),0),
  _xlpm.c, MATCH(BV$8,'3. Enter Indicator Scores'!$D$8:$CZ$8,0),
  _xlpm.v, IFERROR(INDEX('3. Enter Indicator Scores'!$D$10:$CZ$161,_xlpm.r,_xlpm.c),""),
  IF(OR(_xlpm.w="",_xlpm.v=""),"",_xlpm.v*_xlpm.w)
)</f>
        <v/>
      </c>
      <c r="BW70" s="93" t="str" cm="1">
        <f t="array" ref="BW70">_xlfn.LET(
  _xlpm.w, BW$11,
  _xlpm.r, MATCH(1,('3. Enter Indicator Scores'!$B$10:$B$161=$B70)*('3. Enter Indicator Scores'!$C$10:$C$161=$C70),0),
  _xlpm.c, MATCH(BW$8,'3. Enter Indicator Scores'!$D$8:$CZ$8,0),
  _xlpm.v, IFERROR(INDEX('3. Enter Indicator Scores'!$D$10:$CZ$161,_xlpm.r,_xlpm.c),""),
  IF(OR(_xlpm.w="",_xlpm.v=""),"",_xlpm.v*_xlpm.w)
)</f>
        <v/>
      </c>
      <c r="BX70" s="93" t="str" cm="1">
        <f t="array" ref="BX70">_xlfn.LET(
  _xlpm.w, BX$11,
  _xlpm.r, MATCH(1,('3. Enter Indicator Scores'!$B$10:$B$161=$B70)*('3. Enter Indicator Scores'!$C$10:$C$161=$C70),0),
  _xlpm.c, MATCH(BX$8,'3. Enter Indicator Scores'!$D$8:$CZ$8,0),
  _xlpm.v, IFERROR(INDEX('3. Enter Indicator Scores'!$D$10:$CZ$161,_xlpm.r,_xlpm.c),""),
  IF(OR(_xlpm.w="",_xlpm.v=""),"",_xlpm.v*_xlpm.w)
)</f>
        <v/>
      </c>
      <c r="BY70" s="93" t="str" cm="1">
        <f t="array" ref="BY70">_xlfn.LET(
  _xlpm.w, BY$11,
  _xlpm.r, MATCH(1,('3. Enter Indicator Scores'!$B$10:$B$161=$B70)*('3. Enter Indicator Scores'!$C$10:$C$161=$C70),0),
  _xlpm.c, MATCH(BY$8,'3. Enter Indicator Scores'!$D$8:$CZ$8,0),
  _xlpm.v, IFERROR(INDEX('3. Enter Indicator Scores'!$D$10:$CZ$161,_xlpm.r,_xlpm.c),""),
  IF(OR(_xlpm.w="",_xlpm.v=""),"",_xlpm.v*_xlpm.w)
)</f>
        <v/>
      </c>
      <c r="BZ70" s="93" t="str" cm="1">
        <f t="array" ref="BZ70">_xlfn.LET(
  _xlpm.w, BZ$11,
  _xlpm.r, MATCH(1,('3. Enter Indicator Scores'!$B$10:$B$161=$B70)*('3. Enter Indicator Scores'!$C$10:$C$161=$C70),0),
  _xlpm.c, MATCH(BZ$8,'3. Enter Indicator Scores'!$D$8:$CZ$8,0),
  _xlpm.v, IFERROR(INDEX('3. Enter Indicator Scores'!$D$10:$CZ$161,_xlpm.r,_xlpm.c),""),
  IF(OR(_xlpm.w="",_xlpm.v=""),"",_xlpm.v*_xlpm.w)
)</f>
        <v/>
      </c>
      <c r="CA70" s="93" t="str" cm="1">
        <f t="array" ref="CA70">_xlfn.LET(
  _xlpm.w, CA$11,
  _xlpm.r, MATCH(1,('3. Enter Indicator Scores'!$B$10:$B$161=$B70)*('3. Enter Indicator Scores'!$C$10:$C$161=$C70),0),
  _xlpm.c, MATCH(CA$8,'3. Enter Indicator Scores'!$D$8:$CZ$8,0),
  _xlpm.v, IFERROR(INDEX('3. Enter Indicator Scores'!$D$10:$CZ$161,_xlpm.r,_xlpm.c),""),
  IF(OR(_xlpm.w="",_xlpm.v=""),"",_xlpm.v*_xlpm.w)
)</f>
        <v/>
      </c>
      <c r="CB70" s="93" t="str" cm="1">
        <f t="array" ref="CB70">_xlfn.LET(
  _xlpm.w, CB$11,
  _xlpm.r, MATCH(1,('3. Enter Indicator Scores'!$B$10:$B$161=$B70)*('3. Enter Indicator Scores'!$C$10:$C$161=$C70),0),
  _xlpm.c, MATCH(CB$8,'3. Enter Indicator Scores'!$D$8:$CZ$8,0),
  _xlpm.v, IFERROR(INDEX('3. Enter Indicator Scores'!$D$10:$CZ$161,_xlpm.r,_xlpm.c),""),
  IF(OR(_xlpm.w="",_xlpm.v=""),"",_xlpm.v*_xlpm.w)
)</f>
        <v/>
      </c>
      <c r="CC70" s="93" t="str" cm="1">
        <f t="array" ref="CC70">_xlfn.LET(
  _xlpm.w, CC$11,
  _xlpm.r, MATCH(1,('3. Enter Indicator Scores'!$B$10:$B$161=$B70)*('3. Enter Indicator Scores'!$C$10:$C$161=$C70),0),
  _xlpm.c, MATCH(CC$8,'3. Enter Indicator Scores'!$D$8:$CZ$8,0),
  _xlpm.v, IFERROR(INDEX('3. Enter Indicator Scores'!$D$10:$CZ$161,_xlpm.r,_xlpm.c),""),
  IF(OR(_xlpm.w="",_xlpm.v=""),"",_xlpm.v*_xlpm.w)
)</f>
        <v/>
      </c>
      <c r="CD70" s="93" t="str" cm="1">
        <f t="array" ref="CD70">_xlfn.LET(
  _xlpm.w, CD$11,
  _xlpm.r, MATCH(1,('3. Enter Indicator Scores'!$B$10:$B$161=$B70)*('3. Enter Indicator Scores'!$C$10:$C$161=$C70),0),
  _xlpm.c, MATCH(CD$8,'3. Enter Indicator Scores'!$D$8:$CZ$8,0),
  _xlpm.v, IFERROR(INDEX('3. Enter Indicator Scores'!$D$10:$CZ$161,_xlpm.r,_xlpm.c),""),
  IF(OR(_xlpm.w="",_xlpm.v=""),"",_xlpm.v*_xlpm.w)
)</f>
        <v/>
      </c>
      <c r="CE70" s="93" t="str" cm="1">
        <f t="array" ref="CE70">_xlfn.LET(
  _xlpm.w, CE$11,
  _xlpm.r, MATCH(1,('3. Enter Indicator Scores'!$B$10:$B$161=$B70)*('3. Enter Indicator Scores'!$C$10:$C$161=$C70),0),
  _xlpm.c, MATCH(CE$8,'3. Enter Indicator Scores'!$D$8:$CZ$8,0),
  _xlpm.v, IFERROR(INDEX('3. Enter Indicator Scores'!$D$10:$CZ$161,_xlpm.r,_xlpm.c),""),
  IF(OR(_xlpm.w="",_xlpm.v=""),"",_xlpm.v*_xlpm.w)
)</f>
        <v/>
      </c>
      <c r="CF70" s="93" t="str" cm="1">
        <f t="array" ref="CF70">_xlfn.LET(
  _xlpm.w, CF$11,
  _xlpm.r, MATCH(1,('3. Enter Indicator Scores'!$B$10:$B$161=$B70)*('3. Enter Indicator Scores'!$C$10:$C$161=$C70),0),
  _xlpm.c, MATCH(CF$8,'3. Enter Indicator Scores'!$D$8:$CZ$8,0),
  _xlpm.v, IFERROR(INDEX('3. Enter Indicator Scores'!$D$10:$CZ$161,_xlpm.r,_xlpm.c),""),
  IF(OR(_xlpm.w="",_xlpm.v=""),"",_xlpm.v*_xlpm.w)
)</f>
        <v/>
      </c>
      <c r="CG70" s="93" t="str" cm="1">
        <f t="array" ref="CG70">_xlfn.LET(
  _xlpm.w, CG$11,
  _xlpm.r, MATCH(1,('3. Enter Indicator Scores'!$B$10:$B$161=$B70)*('3. Enter Indicator Scores'!$C$10:$C$161=$C70),0),
  _xlpm.c, MATCH(CG$8,'3. Enter Indicator Scores'!$D$8:$CZ$8,0),
  _xlpm.v, IFERROR(INDEX('3. Enter Indicator Scores'!$D$10:$CZ$161,_xlpm.r,_xlpm.c),""),
  IF(OR(_xlpm.w="",_xlpm.v=""),"",_xlpm.v*_xlpm.w)
)</f>
        <v/>
      </c>
      <c r="CH70" s="93" t="str" cm="1">
        <f t="array" ref="CH70">_xlfn.LET(
  _xlpm.w, CH$11,
  _xlpm.r, MATCH(1,('3. Enter Indicator Scores'!$B$10:$B$161=$B70)*('3. Enter Indicator Scores'!$C$10:$C$161=$C70),0),
  _xlpm.c, MATCH(CH$8,'3. Enter Indicator Scores'!$D$8:$CZ$8,0),
  _xlpm.v, IFERROR(INDEX('3. Enter Indicator Scores'!$D$10:$CZ$161,_xlpm.r,_xlpm.c),""),
  IF(OR(_xlpm.w="",_xlpm.v=""),"",_xlpm.v*_xlpm.w)
)</f>
        <v/>
      </c>
      <c r="CI70" s="93" t="str" cm="1">
        <f t="array" ref="CI70">_xlfn.LET(
  _xlpm.w, CI$11,
  _xlpm.r, MATCH(1,('3. Enter Indicator Scores'!$B$10:$B$161=$B70)*('3. Enter Indicator Scores'!$C$10:$C$161=$C70),0),
  _xlpm.c, MATCH(CI$8,'3. Enter Indicator Scores'!$D$8:$CZ$8,0),
  _xlpm.v, IFERROR(INDEX('3. Enter Indicator Scores'!$D$10:$CZ$161,_xlpm.r,_xlpm.c),""),
  IF(OR(_xlpm.w="",_xlpm.v=""),"",_xlpm.v*_xlpm.w)
)</f>
        <v/>
      </c>
      <c r="CJ70" s="93" t="str" cm="1">
        <f t="array" ref="CJ70">_xlfn.LET(
  _xlpm.w, CJ$11,
  _xlpm.r, MATCH(1,('3. Enter Indicator Scores'!$B$10:$B$161=$B70)*('3. Enter Indicator Scores'!$C$10:$C$161=$C70),0),
  _xlpm.c, MATCH(CJ$8,'3. Enter Indicator Scores'!$D$8:$CZ$8,0),
  _xlpm.v, IFERROR(INDEX('3. Enter Indicator Scores'!$D$10:$CZ$161,_xlpm.r,_xlpm.c),""),
  IF(OR(_xlpm.w="",_xlpm.v=""),"",_xlpm.v*_xlpm.w)
)</f>
        <v/>
      </c>
      <c r="CK70" s="93" t="str" cm="1">
        <f t="array" ref="CK70">_xlfn.LET(
  _xlpm.w, CK$11,
  _xlpm.r, MATCH(1,('3. Enter Indicator Scores'!$B$10:$B$161=$B70)*('3. Enter Indicator Scores'!$C$10:$C$161=$C70),0),
  _xlpm.c, MATCH(CK$8,'3. Enter Indicator Scores'!$D$8:$CZ$8,0),
  _xlpm.v, IFERROR(INDEX('3. Enter Indicator Scores'!$D$10:$CZ$161,_xlpm.r,_xlpm.c),""),
  IF(OR(_xlpm.w="",_xlpm.v=""),"",_xlpm.v*_xlpm.w)
)</f>
        <v/>
      </c>
      <c r="CL70" s="93" t="str" cm="1">
        <f t="array" ref="CL70">_xlfn.LET(
  _xlpm.w, CL$11,
  _xlpm.r, MATCH(1,('3. Enter Indicator Scores'!$B$10:$B$161=$B70)*('3. Enter Indicator Scores'!$C$10:$C$161=$C70),0),
  _xlpm.c, MATCH(CL$8,'3. Enter Indicator Scores'!$D$8:$CZ$8,0),
  _xlpm.v, IFERROR(INDEX('3. Enter Indicator Scores'!$D$10:$CZ$161,_xlpm.r,_xlpm.c),""),
  IF(OR(_xlpm.w="",_xlpm.v=""),"",_xlpm.v*_xlpm.w)
)</f>
        <v/>
      </c>
      <c r="CM70" s="93" t="str" cm="1">
        <f t="array" ref="CM70">_xlfn.LET(
  _xlpm.w, CM$11,
  _xlpm.r, MATCH(1,('3. Enter Indicator Scores'!$B$10:$B$161=$B70)*('3. Enter Indicator Scores'!$C$10:$C$161=$C70),0),
  _xlpm.c, MATCH(CM$8,'3. Enter Indicator Scores'!$D$8:$CZ$8,0),
  _xlpm.v, IFERROR(INDEX('3. Enter Indicator Scores'!$D$10:$CZ$161,_xlpm.r,_xlpm.c),""),
  IF(OR(_xlpm.w="",_xlpm.v=""),"",_xlpm.v*_xlpm.w)
)</f>
        <v/>
      </c>
      <c r="CN70" s="93" t="str" cm="1">
        <f t="array" ref="CN70">_xlfn.LET(
  _xlpm.w, CN$11,
  _xlpm.r, MATCH(1,('3. Enter Indicator Scores'!$B$10:$B$161=$B70)*('3. Enter Indicator Scores'!$C$10:$C$161=$C70),0),
  _xlpm.c, MATCH(CN$8,'3. Enter Indicator Scores'!$D$8:$CZ$8,0),
  _xlpm.v, IFERROR(INDEX('3. Enter Indicator Scores'!$D$10:$CZ$161,_xlpm.r,_xlpm.c),""),
  IF(OR(_xlpm.w="",_xlpm.v=""),"",_xlpm.v*_xlpm.w)
)</f>
        <v/>
      </c>
      <c r="CO70" s="93" t="str" cm="1">
        <f t="array" ref="CO70">_xlfn.LET(
  _xlpm.w, CO$11,
  _xlpm.r, MATCH(1,('3. Enter Indicator Scores'!$B$10:$B$161=$B70)*('3. Enter Indicator Scores'!$C$10:$C$161=$C70),0),
  _xlpm.c, MATCH(CO$8,'3. Enter Indicator Scores'!$D$8:$CZ$8,0),
  _xlpm.v, IFERROR(INDEX('3. Enter Indicator Scores'!$D$10:$CZ$161,_xlpm.r,_xlpm.c),""),
  IF(OR(_xlpm.w="",_xlpm.v=""),"",_xlpm.v*_xlpm.w)
)</f>
        <v/>
      </c>
      <c r="CP70" s="93" t="str" cm="1">
        <f t="array" ref="CP70">_xlfn.LET(
  _xlpm.w, CP$11,
  _xlpm.r, MATCH(1,('3. Enter Indicator Scores'!$B$10:$B$161=$B70)*('3. Enter Indicator Scores'!$C$10:$C$161=$C70),0),
  _xlpm.c, MATCH(CP$8,'3. Enter Indicator Scores'!$D$8:$CZ$8,0),
  _xlpm.v, IFERROR(INDEX('3. Enter Indicator Scores'!$D$10:$CZ$161,_xlpm.r,_xlpm.c),""),
  IF(OR(_xlpm.w="",_xlpm.v=""),"",_xlpm.v*_xlpm.w)
)</f>
        <v/>
      </c>
      <c r="CQ70" s="93" t="str" cm="1">
        <f t="array" ref="CQ70">_xlfn.LET(
  _xlpm.w, CQ$11,
  _xlpm.r, MATCH(1,('3. Enter Indicator Scores'!$B$10:$B$161=$B70)*('3. Enter Indicator Scores'!$C$10:$C$161=$C70),0),
  _xlpm.c, MATCH(CQ$8,'3. Enter Indicator Scores'!$D$8:$CZ$8,0),
  _xlpm.v, IFERROR(INDEX('3. Enter Indicator Scores'!$D$10:$CZ$161,_xlpm.r,_xlpm.c),""),
  IF(OR(_xlpm.w="",_xlpm.v=""),"",_xlpm.v*_xlpm.w)
)</f>
        <v/>
      </c>
      <c r="CR70" s="93" t="str" cm="1">
        <f t="array" ref="CR70">_xlfn.LET(
  _xlpm.w, CR$11,
  _xlpm.r, MATCH(1,('3. Enter Indicator Scores'!$B$10:$B$161=$B70)*('3. Enter Indicator Scores'!$C$10:$C$161=$C70),0),
  _xlpm.c, MATCH(CR$8,'3. Enter Indicator Scores'!$D$8:$CZ$8,0),
  _xlpm.v, IFERROR(INDEX('3. Enter Indicator Scores'!$D$10:$CZ$161,_xlpm.r,_xlpm.c),""),
  IF(OR(_xlpm.w="",_xlpm.v=""),"",_xlpm.v*_xlpm.w)
)</f>
        <v/>
      </c>
      <c r="CS70" s="93" t="str" cm="1">
        <f t="array" ref="CS70">_xlfn.LET(
  _xlpm.w, CS$11,
  _xlpm.r, MATCH(1,('3. Enter Indicator Scores'!$B$10:$B$161=$B70)*('3. Enter Indicator Scores'!$C$10:$C$161=$C70),0),
  _xlpm.c, MATCH(CS$8,'3. Enter Indicator Scores'!$D$8:$CZ$8,0),
  _xlpm.v, IFERROR(INDEX('3. Enter Indicator Scores'!$D$10:$CZ$161,_xlpm.r,_xlpm.c),""),
  IF(OR(_xlpm.w="",_xlpm.v=""),"",_xlpm.v*_xlpm.w)
)</f>
        <v/>
      </c>
      <c r="CT70" s="93" t="str" cm="1">
        <f t="array" ref="CT70">_xlfn.LET(
  _xlpm.w, CT$11,
  _xlpm.r, MATCH(1,('3. Enter Indicator Scores'!$B$10:$B$161=$B70)*('3. Enter Indicator Scores'!$C$10:$C$161=$C70),0),
  _xlpm.c, MATCH(CT$8,'3. Enter Indicator Scores'!$D$8:$CZ$8,0),
  _xlpm.v, IFERROR(INDEX('3. Enter Indicator Scores'!$D$10:$CZ$161,_xlpm.r,_xlpm.c),""),
  IF(OR(_xlpm.w="",_xlpm.v=""),"",_xlpm.v*_xlpm.w)
)</f>
        <v/>
      </c>
      <c r="CU70" s="93" t="str" cm="1">
        <f t="array" ref="CU70">_xlfn.LET(
  _xlpm.w, CU$11,
  _xlpm.r, MATCH(1,('3. Enter Indicator Scores'!$B$10:$B$161=$B70)*('3. Enter Indicator Scores'!$C$10:$C$161=$C70),0),
  _xlpm.c, MATCH(CU$8,'3. Enter Indicator Scores'!$D$8:$CZ$8,0),
  _xlpm.v, IFERROR(INDEX('3. Enter Indicator Scores'!$D$10:$CZ$161,_xlpm.r,_xlpm.c),""),
  IF(OR(_xlpm.w="",_xlpm.v=""),"",_xlpm.v*_xlpm.w)
)</f>
        <v/>
      </c>
      <c r="CV70" s="93" t="str" cm="1">
        <f t="array" ref="CV70">_xlfn.LET(
  _xlpm.w, CV$11,
  _xlpm.r, MATCH(1,('3. Enter Indicator Scores'!$B$10:$B$161=$B70)*('3. Enter Indicator Scores'!$C$10:$C$161=$C70),0),
  _xlpm.c, MATCH(CV$8,'3. Enter Indicator Scores'!$D$8:$CZ$8,0),
  _xlpm.v, IFERROR(INDEX('3. Enter Indicator Scores'!$D$10:$CZ$161,_xlpm.r,_xlpm.c),""),
  IF(OR(_xlpm.w="",_xlpm.v=""),"",_xlpm.v*_xlpm.w)
)</f>
        <v/>
      </c>
      <c r="CW70" s="93" t="str" cm="1">
        <f t="array" ref="CW70">_xlfn.LET(
  _xlpm.w, CW$11,
  _xlpm.r, MATCH(1,('3. Enter Indicator Scores'!$B$10:$B$161=$B70)*('3. Enter Indicator Scores'!$C$10:$C$161=$C70),0),
  _xlpm.c, MATCH(CW$8,'3. Enter Indicator Scores'!$D$8:$CZ$8,0),
  _xlpm.v, IFERROR(INDEX('3. Enter Indicator Scores'!$D$10:$CZ$161,_xlpm.r,_xlpm.c),""),
  IF(OR(_xlpm.w="",_xlpm.v=""),"",_xlpm.v*_xlpm.w)
)</f>
        <v/>
      </c>
      <c r="CX70" s="93" t="str" cm="1">
        <f t="array" ref="CX70">_xlfn.LET(
  _xlpm.w, CX$11,
  _xlpm.r, MATCH(1,('3. Enter Indicator Scores'!$B$10:$B$161=$B70)*('3. Enter Indicator Scores'!$C$10:$C$161=$C70),0),
  _xlpm.c, MATCH(CX$8,'3. Enter Indicator Scores'!$D$8:$CZ$8,0),
  _xlpm.v, IFERROR(INDEX('3. Enter Indicator Scores'!$D$10:$CZ$161,_xlpm.r,_xlpm.c),""),
  IF(OR(_xlpm.w="",_xlpm.v=""),"",_xlpm.v*_xlpm.w)
)</f>
        <v/>
      </c>
      <c r="CY70" s="93" t="str" cm="1">
        <f t="array" ref="CY70">_xlfn.LET(
  _xlpm.w, CY$11,
  _xlpm.r, MATCH(1,('3. Enter Indicator Scores'!$B$10:$B$161=$B70)*('3. Enter Indicator Scores'!$C$10:$C$161=$C70),0),
  _xlpm.c, MATCH(CY$8,'3. Enter Indicator Scores'!$D$8:$CZ$8,0),
  _xlpm.v, IFERROR(INDEX('3. Enter Indicator Scores'!$D$10:$CZ$161,_xlpm.r,_xlpm.c),""),
  IF(OR(_xlpm.w="",_xlpm.v=""),"",_xlpm.v*_xlpm.w)
)</f>
        <v/>
      </c>
      <c r="CZ70" s="93" t="str" cm="1">
        <f t="array" ref="CZ70">_xlfn.LET(
  _xlpm.w, CZ$11,
  _xlpm.r, MATCH(1,('3. Enter Indicator Scores'!$B$10:$B$161=$B70)*('3. Enter Indicator Scores'!$C$10:$C$161=$C70),0),
  _xlpm.c, MATCH(CZ$8,'3. Enter Indicator Scores'!$D$8:$CZ$8,0),
  _xlpm.v, IFERROR(INDEX('3. Enter Indicator Scores'!$D$10:$CZ$161,_xlpm.r,_xlpm.c),""),
  IF(OR(_xlpm.w="",_xlpm.v=""),"",_xlpm.v*_xlpm.w)
)</f>
        <v/>
      </c>
    </row>
    <row r="71" spans="4:104" x14ac:dyDescent="0.2">
      <c r="D71" s="93" t="str" cm="1">
        <f t="array" ref="D71">_xlfn.LET(
  _xlpm.w, D$11,
  _xlpm.r, MATCH(1,('3. Enter Indicator Scores'!$B$10:$B$161=$B71)*('3. Enter Indicator Scores'!$C$10:$C$161=$C71),0),
  _xlpm.c, MATCH(D$8,'3. Enter Indicator Scores'!$D$8:$CZ$8,0),
  _xlpm.v, IFERROR(INDEX('3. Enter Indicator Scores'!$D$10:$CZ$161,_xlpm.r,_xlpm.c),""),
  IF(OR(_xlpm.w="",_xlpm.v=""),"",_xlpm.v*_xlpm.w)
)</f>
        <v/>
      </c>
      <c r="E71" s="93" t="str" cm="1">
        <f t="array" ref="E71">_xlfn.LET(
  _xlpm.w, E$11,
  _xlpm.r, MATCH(1,('3. Enter Indicator Scores'!$B$10:$B$161=$B71)*('3. Enter Indicator Scores'!$C$10:$C$161=$C71),0),
  _xlpm.c, MATCH(E$8,'3. Enter Indicator Scores'!$D$8:$CZ$8,0),
  _xlpm.v, IFERROR(INDEX('3. Enter Indicator Scores'!$D$10:$CZ$161,_xlpm.r,_xlpm.c),""),
  IF(OR(_xlpm.w="",_xlpm.v=""),"",_xlpm.v*_xlpm.w)
)</f>
        <v/>
      </c>
      <c r="F71" s="93" t="str" cm="1">
        <f t="array" ref="F71">_xlfn.LET(
  _xlpm.w, F$11,
  _xlpm.r, MATCH(1,('3. Enter Indicator Scores'!$B$10:$B$161=$B71)*('3. Enter Indicator Scores'!$C$10:$C$161=$C71),0),
  _xlpm.c, MATCH(F$8,'3. Enter Indicator Scores'!$D$8:$CZ$8,0),
  _xlpm.v, IFERROR(INDEX('3. Enter Indicator Scores'!$D$10:$CZ$161,_xlpm.r,_xlpm.c),""),
  IF(OR(_xlpm.w="",_xlpm.v=""),"",_xlpm.v*_xlpm.w)
)</f>
        <v/>
      </c>
      <c r="G71" s="93" t="str" cm="1">
        <f t="array" ref="G71">_xlfn.LET(
  _xlpm.w, G$11,
  _xlpm.r, MATCH(1,('3. Enter Indicator Scores'!$B$10:$B$161=$B71)*('3. Enter Indicator Scores'!$C$10:$C$161=$C71),0),
  _xlpm.c, MATCH(G$8,'3. Enter Indicator Scores'!$D$8:$CZ$8,0),
  _xlpm.v, IFERROR(INDEX('3. Enter Indicator Scores'!$D$10:$CZ$161,_xlpm.r,_xlpm.c),""),
  IF(OR(_xlpm.w="",_xlpm.v=""),"",_xlpm.v*_xlpm.w)
)</f>
        <v/>
      </c>
      <c r="H71" s="93" t="str" cm="1">
        <f t="array" ref="H71">_xlfn.LET(
  _xlpm.w, H$11,
  _xlpm.r, MATCH(1,('3. Enter Indicator Scores'!$B$10:$B$161=$B71)*('3. Enter Indicator Scores'!$C$10:$C$161=$C71),0),
  _xlpm.c, MATCH(H$8,'3. Enter Indicator Scores'!$D$8:$CZ$8,0),
  _xlpm.v, IFERROR(INDEX('3. Enter Indicator Scores'!$D$10:$CZ$161,_xlpm.r,_xlpm.c),""),
  IF(OR(_xlpm.w="",_xlpm.v=""),"",_xlpm.v*_xlpm.w)
)</f>
        <v/>
      </c>
      <c r="I71" s="93" t="str" cm="1">
        <f t="array" ref="I71">_xlfn.LET(
  _xlpm.w, I$11,
  _xlpm.r, MATCH(1,('3. Enter Indicator Scores'!$B$10:$B$161=$B71)*('3. Enter Indicator Scores'!$C$10:$C$161=$C71),0),
  _xlpm.c, MATCH(I$8,'3. Enter Indicator Scores'!$D$8:$CZ$8,0),
  _xlpm.v, IFERROR(INDEX('3. Enter Indicator Scores'!$D$10:$CZ$161,_xlpm.r,_xlpm.c),""),
  IF(OR(_xlpm.w="",_xlpm.v=""),"",_xlpm.v*_xlpm.w)
)</f>
        <v/>
      </c>
      <c r="J71" s="93" t="str" cm="1">
        <f t="array" ref="J71">_xlfn.LET(
  _xlpm.w, J$11,
  _xlpm.r, MATCH(1,('3. Enter Indicator Scores'!$B$10:$B$161=$B71)*('3. Enter Indicator Scores'!$C$10:$C$161=$C71),0),
  _xlpm.c, MATCH(J$8,'3. Enter Indicator Scores'!$D$8:$CZ$8,0),
  _xlpm.v, IFERROR(INDEX('3. Enter Indicator Scores'!$D$10:$CZ$161,_xlpm.r,_xlpm.c),""),
  IF(OR(_xlpm.w="",_xlpm.v=""),"",_xlpm.v*_xlpm.w)
)</f>
        <v/>
      </c>
      <c r="K71" s="93" t="str" cm="1">
        <f t="array" ref="K71">_xlfn.LET(
  _xlpm.w, K$11,
  _xlpm.r, MATCH(1,('3. Enter Indicator Scores'!$B$10:$B$161=$B71)*('3. Enter Indicator Scores'!$C$10:$C$161=$C71),0),
  _xlpm.c, MATCH(K$8,'3. Enter Indicator Scores'!$D$8:$CZ$8,0),
  _xlpm.v, IFERROR(INDEX('3. Enter Indicator Scores'!$D$10:$CZ$161,_xlpm.r,_xlpm.c),""),
  IF(OR(_xlpm.w="",_xlpm.v=""),"",_xlpm.v*_xlpm.w)
)</f>
        <v/>
      </c>
      <c r="L71" s="93" t="str" cm="1">
        <f t="array" ref="L71">_xlfn.LET(
  _xlpm.w, L$11,
  _xlpm.r, MATCH(1,('3. Enter Indicator Scores'!$B$10:$B$161=$B71)*('3. Enter Indicator Scores'!$C$10:$C$161=$C71),0),
  _xlpm.c, MATCH(L$8,'3. Enter Indicator Scores'!$D$8:$CZ$8,0),
  _xlpm.v, IFERROR(INDEX('3. Enter Indicator Scores'!$D$10:$CZ$161,_xlpm.r,_xlpm.c),""),
  IF(OR(_xlpm.w="",_xlpm.v=""),"",_xlpm.v*_xlpm.w)
)</f>
        <v/>
      </c>
      <c r="M71" s="93" t="str" cm="1">
        <f t="array" ref="M71">_xlfn.LET(
  _xlpm.w, M$11,
  _xlpm.r, MATCH(1,('3. Enter Indicator Scores'!$B$10:$B$161=$B71)*('3. Enter Indicator Scores'!$C$10:$C$161=$C71),0),
  _xlpm.c, MATCH(M$8,'3. Enter Indicator Scores'!$D$8:$CZ$8,0),
  _xlpm.v, IFERROR(INDEX('3. Enter Indicator Scores'!$D$10:$CZ$161,_xlpm.r,_xlpm.c),""),
  IF(OR(_xlpm.w="",_xlpm.v=""),"",_xlpm.v*_xlpm.w)
)</f>
        <v/>
      </c>
      <c r="N71" s="93" t="str" cm="1">
        <f t="array" ref="N71">_xlfn.LET(
  _xlpm.w, N$11,
  _xlpm.r, MATCH(1,('3. Enter Indicator Scores'!$B$10:$B$161=$B71)*('3. Enter Indicator Scores'!$C$10:$C$161=$C71),0),
  _xlpm.c, MATCH(N$8,'3. Enter Indicator Scores'!$D$8:$CZ$8,0),
  _xlpm.v, IFERROR(INDEX('3. Enter Indicator Scores'!$D$10:$CZ$161,_xlpm.r,_xlpm.c),""),
  IF(OR(_xlpm.w="",_xlpm.v=""),"",_xlpm.v*_xlpm.w)
)</f>
        <v/>
      </c>
      <c r="O71" s="93" t="str" cm="1">
        <f t="array" ref="O71">_xlfn.LET(
  _xlpm.w, O$11,
  _xlpm.r, MATCH(1,('3. Enter Indicator Scores'!$B$10:$B$161=$B71)*('3. Enter Indicator Scores'!$C$10:$C$161=$C71),0),
  _xlpm.c, MATCH(O$8,'3. Enter Indicator Scores'!$D$8:$CZ$8,0),
  _xlpm.v, IFERROR(INDEX('3. Enter Indicator Scores'!$D$10:$CZ$161,_xlpm.r,_xlpm.c),""),
  IF(OR(_xlpm.w="",_xlpm.v=""),"",_xlpm.v*_xlpm.w)
)</f>
        <v/>
      </c>
      <c r="P71" s="93" t="str" cm="1">
        <f t="array" ref="P71">_xlfn.LET(
  _xlpm.w, P$11,
  _xlpm.r, MATCH(1,('3. Enter Indicator Scores'!$B$10:$B$161=$B71)*('3. Enter Indicator Scores'!$C$10:$C$161=$C71),0),
  _xlpm.c, MATCH(P$8,'3. Enter Indicator Scores'!$D$8:$CZ$8,0),
  _xlpm.v, IFERROR(INDEX('3. Enter Indicator Scores'!$D$10:$CZ$161,_xlpm.r,_xlpm.c),""),
  IF(OR(_xlpm.w="",_xlpm.v=""),"",_xlpm.v*_xlpm.w)
)</f>
        <v/>
      </c>
      <c r="Q71" s="93" t="str" cm="1">
        <f t="array" ref="Q71">_xlfn.LET(
  _xlpm.w, Q$11,
  _xlpm.r, MATCH(1,('3. Enter Indicator Scores'!$B$10:$B$161=$B71)*('3. Enter Indicator Scores'!$C$10:$C$161=$C71),0),
  _xlpm.c, MATCH(Q$8,'3. Enter Indicator Scores'!$D$8:$CZ$8,0),
  _xlpm.v, IFERROR(INDEX('3. Enter Indicator Scores'!$D$10:$CZ$161,_xlpm.r,_xlpm.c),""),
  IF(OR(_xlpm.w="",_xlpm.v=""),"",_xlpm.v*_xlpm.w)
)</f>
        <v/>
      </c>
      <c r="R71" s="93" t="str" cm="1">
        <f t="array" ref="R71">_xlfn.LET(
  _xlpm.w, R$11,
  _xlpm.r, MATCH(1,('3. Enter Indicator Scores'!$B$10:$B$161=$B71)*('3. Enter Indicator Scores'!$C$10:$C$161=$C71),0),
  _xlpm.c, MATCH(R$8,'3. Enter Indicator Scores'!$D$8:$CZ$8,0),
  _xlpm.v, IFERROR(INDEX('3. Enter Indicator Scores'!$D$10:$CZ$161,_xlpm.r,_xlpm.c),""),
  IF(OR(_xlpm.w="",_xlpm.v=""),"",_xlpm.v*_xlpm.w)
)</f>
        <v/>
      </c>
      <c r="S71" s="93" t="str" cm="1">
        <f t="array" ref="S71">_xlfn.LET(
  _xlpm.w, S$11,
  _xlpm.r, MATCH(1,('3. Enter Indicator Scores'!$B$10:$B$161=$B71)*('3. Enter Indicator Scores'!$C$10:$C$161=$C71),0),
  _xlpm.c, MATCH(S$8,'3. Enter Indicator Scores'!$D$8:$CZ$8,0),
  _xlpm.v, IFERROR(INDEX('3. Enter Indicator Scores'!$D$10:$CZ$161,_xlpm.r,_xlpm.c),""),
  IF(OR(_xlpm.w="",_xlpm.v=""),"",_xlpm.v*_xlpm.w)
)</f>
        <v/>
      </c>
      <c r="T71" s="93" t="str" cm="1">
        <f t="array" ref="T71">_xlfn.LET(
  _xlpm.w, T$11,
  _xlpm.r, MATCH(1,('3. Enter Indicator Scores'!$B$10:$B$161=$B71)*('3. Enter Indicator Scores'!$C$10:$C$161=$C71),0),
  _xlpm.c, MATCH(T$8,'3. Enter Indicator Scores'!$D$8:$CZ$8,0),
  _xlpm.v, IFERROR(INDEX('3. Enter Indicator Scores'!$D$10:$CZ$161,_xlpm.r,_xlpm.c),""),
  IF(OR(_xlpm.w="",_xlpm.v=""),"",_xlpm.v*_xlpm.w)
)</f>
        <v/>
      </c>
      <c r="U71" s="93" t="str" cm="1">
        <f t="array" ref="U71">_xlfn.LET(
  _xlpm.w, U$11,
  _xlpm.r, MATCH(1,('3. Enter Indicator Scores'!$B$10:$B$161=$B71)*('3. Enter Indicator Scores'!$C$10:$C$161=$C71),0),
  _xlpm.c, MATCH(U$8,'3. Enter Indicator Scores'!$D$8:$CZ$8,0),
  _xlpm.v, IFERROR(INDEX('3. Enter Indicator Scores'!$D$10:$CZ$161,_xlpm.r,_xlpm.c),""),
  IF(OR(_xlpm.w="",_xlpm.v=""),"",_xlpm.v*_xlpm.w)
)</f>
        <v/>
      </c>
      <c r="V71" s="93" t="str" cm="1">
        <f t="array" ref="V71">_xlfn.LET(
  _xlpm.w, V$11,
  _xlpm.r, MATCH(1,('3. Enter Indicator Scores'!$B$10:$B$161=$B71)*('3. Enter Indicator Scores'!$C$10:$C$161=$C71),0),
  _xlpm.c, MATCH(V$8,'3. Enter Indicator Scores'!$D$8:$CZ$8,0),
  _xlpm.v, IFERROR(INDEX('3. Enter Indicator Scores'!$D$10:$CZ$161,_xlpm.r,_xlpm.c),""),
  IF(OR(_xlpm.w="",_xlpm.v=""),"",_xlpm.v*_xlpm.w)
)</f>
        <v/>
      </c>
      <c r="W71" s="93" t="str" cm="1">
        <f t="array" ref="W71">_xlfn.LET(
  _xlpm.w, W$11,
  _xlpm.r, MATCH(1,('3. Enter Indicator Scores'!$B$10:$B$161=$B71)*('3. Enter Indicator Scores'!$C$10:$C$161=$C71),0),
  _xlpm.c, MATCH(W$8,'3. Enter Indicator Scores'!$D$8:$CZ$8,0),
  _xlpm.v, IFERROR(INDEX('3. Enter Indicator Scores'!$D$10:$CZ$161,_xlpm.r,_xlpm.c),""),
  IF(OR(_xlpm.w="",_xlpm.v=""),"",_xlpm.v*_xlpm.w)
)</f>
        <v/>
      </c>
      <c r="X71" s="93" t="str" cm="1">
        <f t="array" ref="X71">_xlfn.LET(
  _xlpm.w, X$11,
  _xlpm.r, MATCH(1,('3. Enter Indicator Scores'!$B$10:$B$161=$B71)*('3. Enter Indicator Scores'!$C$10:$C$161=$C71),0),
  _xlpm.c, MATCH(X$8,'3. Enter Indicator Scores'!$D$8:$CZ$8,0),
  _xlpm.v, IFERROR(INDEX('3. Enter Indicator Scores'!$D$10:$CZ$161,_xlpm.r,_xlpm.c),""),
  IF(OR(_xlpm.w="",_xlpm.v=""),"",_xlpm.v*_xlpm.w)
)</f>
        <v/>
      </c>
      <c r="Y71" s="93" t="str" cm="1">
        <f t="array" ref="Y71">_xlfn.LET(
  _xlpm.w, Y$11,
  _xlpm.r, MATCH(1,('3. Enter Indicator Scores'!$B$10:$B$161=$B71)*('3. Enter Indicator Scores'!$C$10:$C$161=$C71),0),
  _xlpm.c, MATCH(Y$8,'3. Enter Indicator Scores'!$D$8:$CZ$8,0),
  _xlpm.v, IFERROR(INDEX('3. Enter Indicator Scores'!$D$10:$CZ$161,_xlpm.r,_xlpm.c),""),
  IF(OR(_xlpm.w="",_xlpm.v=""),"",_xlpm.v*_xlpm.w)
)</f>
        <v/>
      </c>
      <c r="Z71" s="93" t="str" cm="1">
        <f t="array" ref="Z71">_xlfn.LET(
  _xlpm.w, Z$11,
  _xlpm.r, MATCH(1,('3. Enter Indicator Scores'!$B$10:$B$161=$B71)*('3. Enter Indicator Scores'!$C$10:$C$161=$C71),0),
  _xlpm.c, MATCH(Z$8,'3. Enter Indicator Scores'!$D$8:$CZ$8,0),
  _xlpm.v, IFERROR(INDEX('3. Enter Indicator Scores'!$D$10:$CZ$161,_xlpm.r,_xlpm.c),""),
  IF(OR(_xlpm.w="",_xlpm.v=""),"",_xlpm.v*_xlpm.w)
)</f>
        <v/>
      </c>
      <c r="AA71" s="93" t="str" cm="1">
        <f t="array" ref="AA71">_xlfn.LET(
  _xlpm.w, AA$11,
  _xlpm.r, MATCH(1,('3. Enter Indicator Scores'!$B$10:$B$161=$B71)*('3. Enter Indicator Scores'!$C$10:$C$161=$C71),0),
  _xlpm.c, MATCH(AA$8,'3. Enter Indicator Scores'!$D$8:$CZ$8,0),
  _xlpm.v, IFERROR(INDEX('3. Enter Indicator Scores'!$D$10:$CZ$161,_xlpm.r,_xlpm.c),""),
  IF(OR(_xlpm.w="",_xlpm.v=""),"",_xlpm.v*_xlpm.w)
)</f>
        <v/>
      </c>
      <c r="AB71" s="93" t="str" cm="1">
        <f t="array" ref="AB71">_xlfn.LET(
  _xlpm.w, AB$11,
  _xlpm.r, MATCH(1,('3. Enter Indicator Scores'!$B$10:$B$161=$B71)*('3. Enter Indicator Scores'!$C$10:$C$161=$C71),0),
  _xlpm.c, MATCH(AB$8,'3. Enter Indicator Scores'!$D$8:$CZ$8,0),
  _xlpm.v, IFERROR(INDEX('3. Enter Indicator Scores'!$D$10:$CZ$161,_xlpm.r,_xlpm.c),""),
  IF(OR(_xlpm.w="",_xlpm.v=""),"",_xlpm.v*_xlpm.w)
)</f>
        <v/>
      </c>
      <c r="AC71" s="93" t="str" cm="1">
        <f t="array" ref="AC71">_xlfn.LET(
  _xlpm.w, AC$11,
  _xlpm.r, MATCH(1,('3. Enter Indicator Scores'!$B$10:$B$161=$B71)*('3. Enter Indicator Scores'!$C$10:$C$161=$C71),0),
  _xlpm.c, MATCH(AC$8,'3. Enter Indicator Scores'!$D$8:$CZ$8,0),
  _xlpm.v, IFERROR(INDEX('3. Enter Indicator Scores'!$D$10:$CZ$161,_xlpm.r,_xlpm.c),""),
  IF(OR(_xlpm.w="",_xlpm.v=""),"",_xlpm.v*_xlpm.w)
)</f>
        <v/>
      </c>
      <c r="AD71" s="93" t="str" cm="1">
        <f t="array" ref="AD71">_xlfn.LET(
  _xlpm.w, AD$11,
  _xlpm.r, MATCH(1,('3. Enter Indicator Scores'!$B$10:$B$161=$B71)*('3. Enter Indicator Scores'!$C$10:$C$161=$C71),0),
  _xlpm.c, MATCH(AD$8,'3. Enter Indicator Scores'!$D$8:$CZ$8,0),
  _xlpm.v, IFERROR(INDEX('3. Enter Indicator Scores'!$D$10:$CZ$161,_xlpm.r,_xlpm.c),""),
  IF(OR(_xlpm.w="",_xlpm.v=""),"",_xlpm.v*_xlpm.w)
)</f>
        <v/>
      </c>
      <c r="AE71" s="93" t="str" cm="1">
        <f t="array" ref="AE71">_xlfn.LET(
  _xlpm.w, AE$11,
  _xlpm.r, MATCH(1,('3. Enter Indicator Scores'!$B$10:$B$161=$B71)*('3. Enter Indicator Scores'!$C$10:$C$161=$C71),0),
  _xlpm.c, MATCH(AE$8,'3. Enter Indicator Scores'!$D$8:$CZ$8,0),
  _xlpm.v, IFERROR(INDEX('3. Enter Indicator Scores'!$D$10:$CZ$161,_xlpm.r,_xlpm.c),""),
  IF(OR(_xlpm.w="",_xlpm.v=""),"",_xlpm.v*_xlpm.w)
)</f>
        <v/>
      </c>
      <c r="AF71" s="93" t="str" cm="1">
        <f t="array" ref="AF71">_xlfn.LET(
  _xlpm.w, AF$11,
  _xlpm.r, MATCH(1,('3. Enter Indicator Scores'!$B$10:$B$161=$B71)*('3. Enter Indicator Scores'!$C$10:$C$161=$C71),0),
  _xlpm.c, MATCH(AF$8,'3. Enter Indicator Scores'!$D$8:$CZ$8,0),
  _xlpm.v, IFERROR(INDEX('3. Enter Indicator Scores'!$D$10:$CZ$161,_xlpm.r,_xlpm.c),""),
  IF(OR(_xlpm.w="",_xlpm.v=""),"",_xlpm.v*_xlpm.w)
)</f>
        <v/>
      </c>
      <c r="AG71" s="93" t="str" cm="1">
        <f t="array" ref="AG71">_xlfn.LET(
  _xlpm.w, AG$11,
  _xlpm.r, MATCH(1,('3. Enter Indicator Scores'!$B$10:$B$161=$B71)*('3. Enter Indicator Scores'!$C$10:$C$161=$C71),0),
  _xlpm.c, MATCH(AG$8,'3. Enter Indicator Scores'!$D$8:$CZ$8,0),
  _xlpm.v, IFERROR(INDEX('3. Enter Indicator Scores'!$D$10:$CZ$161,_xlpm.r,_xlpm.c),""),
  IF(OR(_xlpm.w="",_xlpm.v=""),"",_xlpm.v*_xlpm.w)
)</f>
        <v/>
      </c>
      <c r="AH71" s="93" t="str" cm="1">
        <f t="array" ref="AH71">_xlfn.LET(
  _xlpm.w, AH$11,
  _xlpm.r, MATCH(1,('3. Enter Indicator Scores'!$B$10:$B$161=$B71)*('3. Enter Indicator Scores'!$C$10:$C$161=$C71),0),
  _xlpm.c, MATCH(AH$8,'3. Enter Indicator Scores'!$D$8:$CZ$8,0),
  _xlpm.v, IFERROR(INDEX('3. Enter Indicator Scores'!$D$10:$CZ$161,_xlpm.r,_xlpm.c),""),
  IF(OR(_xlpm.w="",_xlpm.v=""),"",_xlpm.v*_xlpm.w)
)</f>
        <v/>
      </c>
      <c r="AI71" s="93" t="str" cm="1">
        <f t="array" ref="AI71">_xlfn.LET(
  _xlpm.w, AI$11,
  _xlpm.r, MATCH(1,('3. Enter Indicator Scores'!$B$10:$B$161=$B71)*('3. Enter Indicator Scores'!$C$10:$C$161=$C71),0),
  _xlpm.c, MATCH(AI$8,'3. Enter Indicator Scores'!$D$8:$CZ$8,0),
  _xlpm.v, IFERROR(INDEX('3. Enter Indicator Scores'!$D$10:$CZ$161,_xlpm.r,_xlpm.c),""),
  IF(OR(_xlpm.w="",_xlpm.v=""),"",_xlpm.v*_xlpm.w)
)</f>
        <v/>
      </c>
      <c r="AJ71" s="93" t="str" cm="1">
        <f t="array" ref="AJ71">_xlfn.LET(
  _xlpm.w, AJ$11,
  _xlpm.r, MATCH(1,('3. Enter Indicator Scores'!$B$10:$B$161=$B71)*('3. Enter Indicator Scores'!$C$10:$C$161=$C71),0),
  _xlpm.c, MATCH(AJ$8,'3. Enter Indicator Scores'!$D$8:$CZ$8,0),
  _xlpm.v, IFERROR(INDEX('3. Enter Indicator Scores'!$D$10:$CZ$161,_xlpm.r,_xlpm.c),""),
  IF(OR(_xlpm.w="",_xlpm.v=""),"",_xlpm.v*_xlpm.w)
)</f>
        <v/>
      </c>
      <c r="AK71" s="93" t="str" cm="1">
        <f t="array" ref="AK71">_xlfn.LET(
  _xlpm.w, AK$11,
  _xlpm.r, MATCH(1,('3. Enter Indicator Scores'!$B$10:$B$161=$B71)*('3. Enter Indicator Scores'!$C$10:$C$161=$C71),0),
  _xlpm.c, MATCH(AK$8,'3. Enter Indicator Scores'!$D$8:$CZ$8,0),
  _xlpm.v, IFERROR(INDEX('3. Enter Indicator Scores'!$D$10:$CZ$161,_xlpm.r,_xlpm.c),""),
  IF(OR(_xlpm.w="",_xlpm.v=""),"",_xlpm.v*_xlpm.w)
)</f>
        <v/>
      </c>
      <c r="AL71" s="93" t="str" cm="1">
        <f t="array" ref="AL71">_xlfn.LET(
  _xlpm.w, AL$11,
  _xlpm.r, MATCH(1,('3. Enter Indicator Scores'!$B$10:$B$161=$B71)*('3. Enter Indicator Scores'!$C$10:$C$161=$C71),0),
  _xlpm.c, MATCH(AL$8,'3. Enter Indicator Scores'!$D$8:$CZ$8,0),
  _xlpm.v, IFERROR(INDEX('3. Enter Indicator Scores'!$D$10:$CZ$161,_xlpm.r,_xlpm.c),""),
  IF(OR(_xlpm.w="",_xlpm.v=""),"",_xlpm.v*_xlpm.w)
)</f>
        <v/>
      </c>
      <c r="AM71" s="93" t="str" cm="1">
        <f t="array" ref="AM71">_xlfn.LET(
  _xlpm.w, AM$11,
  _xlpm.r, MATCH(1,('3. Enter Indicator Scores'!$B$10:$B$161=$B71)*('3. Enter Indicator Scores'!$C$10:$C$161=$C71),0),
  _xlpm.c, MATCH(AM$8,'3. Enter Indicator Scores'!$D$8:$CZ$8,0),
  _xlpm.v, IFERROR(INDEX('3. Enter Indicator Scores'!$D$10:$CZ$161,_xlpm.r,_xlpm.c),""),
  IF(OR(_xlpm.w="",_xlpm.v=""),"",_xlpm.v*_xlpm.w)
)</f>
        <v/>
      </c>
      <c r="AN71" s="93" t="str" cm="1">
        <f t="array" ref="AN71">_xlfn.LET(
  _xlpm.w, AN$11,
  _xlpm.r, MATCH(1,('3. Enter Indicator Scores'!$B$10:$B$161=$B71)*('3. Enter Indicator Scores'!$C$10:$C$161=$C71),0),
  _xlpm.c, MATCH(AN$8,'3. Enter Indicator Scores'!$D$8:$CZ$8,0),
  _xlpm.v, IFERROR(INDEX('3. Enter Indicator Scores'!$D$10:$CZ$161,_xlpm.r,_xlpm.c),""),
  IF(OR(_xlpm.w="",_xlpm.v=""),"",_xlpm.v*_xlpm.w)
)</f>
        <v/>
      </c>
      <c r="AO71" s="93" t="str" cm="1">
        <f t="array" ref="AO71">_xlfn.LET(
  _xlpm.w, AO$11,
  _xlpm.r, MATCH(1,('3. Enter Indicator Scores'!$B$10:$B$161=$B71)*('3. Enter Indicator Scores'!$C$10:$C$161=$C71),0),
  _xlpm.c, MATCH(AO$8,'3. Enter Indicator Scores'!$D$8:$CZ$8,0),
  _xlpm.v, IFERROR(INDEX('3. Enter Indicator Scores'!$D$10:$CZ$161,_xlpm.r,_xlpm.c),""),
  IF(OR(_xlpm.w="",_xlpm.v=""),"",_xlpm.v*_xlpm.w)
)</f>
        <v/>
      </c>
      <c r="AP71" s="93" t="str" cm="1">
        <f t="array" ref="AP71">_xlfn.LET(
  _xlpm.w, AP$11,
  _xlpm.r, MATCH(1,('3. Enter Indicator Scores'!$B$10:$B$161=$B71)*('3. Enter Indicator Scores'!$C$10:$C$161=$C71),0),
  _xlpm.c, MATCH(AP$8,'3. Enter Indicator Scores'!$D$8:$CZ$8,0),
  _xlpm.v, IFERROR(INDEX('3. Enter Indicator Scores'!$D$10:$CZ$161,_xlpm.r,_xlpm.c),""),
  IF(OR(_xlpm.w="",_xlpm.v=""),"",_xlpm.v*_xlpm.w)
)</f>
        <v/>
      </c>
      <c r="AQ71" s="93" t="str" cm="1">
        <f t="array" ref="AQ71">_xlfn.LET(
  _xlpm.w, AQ$11,
  _xlpm.r, MATCH(1,('3. Enter Indicator Scores'!$B$10:$B$161=$B71)*('3. Enter Indicator Scores'!$C$10:$C$161=$C71),0),
  _xlpm.c, MATCH(AQ$8,'3. Enter Indicator Scores'!$D$8:$CZ$8,0),
  _xlpm.v, IFERROR(INDEX('3. Enter Indicator Scores'!$D$10:$CZ$161,_xlpm.r,_xlpm.c),""),
  IF(OR(_xlpm.w="",_xlpm.v=""),"",_xlpm.v*_xlpm.w)
)</f>
        <v/>
      </c>
      <c r="AR71" s="93" t="str" cm="1">
        <f t="array" ref="AR71">_xlfn.LET(
  _xlpm.w, AR$11,
  _xlpm.r, MATCH(1,('3. Enter Indicator Scores'!$B$10:$B$161=$B71)*('3. Enter Indicator Scores'!$C$10:$C$161=$C71),0),
  _xlpm.c, MATCH(AR$8,'3. Enter Indicator Scores'!$D$8:$CZ$8,0),
  _xlpm.v, IFERROR(INDEX('3. Enter Indicator Scores'!$D$10:$CZ$161,_xlpm.r,_xlpm.c),""),
  IF(OR(_xlpm.w="",_xlpm.v=""),"",_xlpm.v*_xlpm.w)
)</f>
        <v/>
      </c>
      <c r="AS71" s="93" t="str" cm="1">
        <f t="array" ref="AS71">_xlfn.LET(
  _xlpm.w, AS$11,
  _xlpm.r, MATCH(1,('3. Enter Indicator Scores'!$B$10:$B$161=$B71)*('3. Enter Indicator Scores'!$C$10:$C$161=$C71),0),
  _xlpm.c, MATCH(AS$8,'3. Enter Indicator Scores'!$D$8:$CZ$8,0),
  _xlpm.v, IFERROR(INDEX('3. Enter Indicator Scores'!$D$10:$CZ$161,_xlpm.r,_xlpm.c),""),
  IF(OR(_xlpm.w="",_xlpm.v=""),"",_xlpm.v*_xlpm.w)
)</f>
        <v/>
      </c>
      <c r="AT71" s="93" t="str" cm="1">
        <f t="array" ref="AT71">_xlfn.LET(
  _xlpm.w, AT$11,
  _xlpm.r, MATCH(1,('3. Enter Indicator Scores'!$B$10:$B$161=$B71)*('3. Enter Indicator Scores'!$C$10:$C$161=$C71),0),
  _xlpm.c, MATCH(AT$8,'3. Enter Indicator Scores'!$D$8:$CZ$8,0),
  _xlpm.v, IFERROR(INDEX('3. Enter Indicator Scores'!$D$10:$CZ$161,_xlpm.r,_xlpm.c),""),
  IF(OR(_xlpm.w="",_xlpm.v=""),"",_xlpm.v*_xlpm.w)
)</f>
        <v/>
      </c>
      <c r="AU71" s="93" t="str" cm="1">
        <f t="array" ref="AU71">_xlfn.LET(
  _xlpm.w, AU$11,
  _xlpm.r, MATCH(1,('3. Enter Indicator Scores'!$B$10:$B$161=$B71)*('3. Enter Indicator Scores'!$C$10:$C$161=$C71),0),
  _xlpm.c, MATCH(AU$8,'3. Enter Indicator Scores'!$D$8:$CZ$8,0),
  _xlpm.v, IFERROR(INDEX('3. Enter Indicator Scores'!$D$10:$CZ$161,_xlpm.r,_xlpm.c),""),
  IF(OR(_xlpm.w="",_xlpm.v=""),"",_xlpm.v*_xlpm.w)
)</f>
        <v/>
      </c>
      <c r="AV71" s="93" t="str" cm="1">
        <f t="array" ref="AV71">_xlfn.LET(
  _xlpm.w, AV$11,
  _xlpm.r, MATCH(1,('3. Enter Indicator Scores'!$B$10:$B$161=$B71)*('3. Enter Indicator Scores'!$C$10:$C$161=$C71),0),
  _xlpm.c, MATCH(AV$8,'3. Enter Indicator Scores'!$D$8:$CZ$8,0),
  _xlpm.v, IFERROR(INDEX('3. Enter Indicator Scores'!$D$10:$CZ$161,_xlpm.r,_xlpm.c),""),
  IF(OR(_xlpm.w="",_xlpm.v=""),"",_xlpm.v*_xlpm.w)
)</f>
        <v/>
      </c>
      <c r="AW71" s="93" t="str" cm="1">
        <f t="array" ref="AW71">_xlfn.LET(
  _xlpm.w, AW$11,
  _xlpm.r, MATCH(1,('3. Enter Indicator Scores'!$B$10:$B$161=$B71)*('3. Enter Indicator Scores'!$C$10:$C$161=$C71),0),
  _xlpm.c, MATCH(AW$8,'3. Enter Indicator Scores'!$D$8:$CZ$8,0),
  _xlpm.v, IFERROR(INDEX('3. Enter Indicator Scores'!$D$10:$CZ$161,_xlpm.r,_xlpm.c),""),
  IF(OR(_xlpm.w="",_xlpm.v=""),"",_xlpm.v*_xlpm.w)
)</f>
        <v/>
      </c>
      <c r="AX71" s="93" t="str" cm="1">
        <f t="array" ref="AX71">_xlfn.LET(
  _xlpm.w, AX$11,
  _xlpm.r, MATCH(1,('3. Enter Indicator Scores'!$B$10:$B$161=$B71)*('3. Enter Indicator Scores'!$C$10:$C$161=$C71),0),
  _xlpm.c, MATCH(AX$8,'3. Enter Indicator Scores'!$D$8:$CZ$8,0),
  _xlpm.v, IFERROR(INDEX('3. Enter Indicator Scores'!$D$10:$CZ$161,_xlpm.r,_xlpm.c),""),
  IF(OR(_xlpm.w="",_xlpm.v=""),"",_xlpm.v*_xlpm.w)
)</f>
        <v/>
      </c>
      <c r="AY71" s="93" t="str" cm="1">
        <f t="array" ref="AY71">_xlfn.LET(
  _xlpm.w, AY$11,
  _xlpm.r, MATCH(1,('3. Enter Indicator Scores'!$B$10:$B$161=$B71)*('3. Enter Indicator Scores'!$C$10:$C$161=$C71),0),
  _xlpm.c, MATCH(AY$8,'3. Enter Indicator Scores'!$D$8:$CZ$8,0),
  _xlpm.v, IFERROR(INDEX('3. Enter Indicator Scores'!$D$10:$CZ$161,_xlpm.r,_xlpm.c),""),
  IF(OR(_xlpm.w="",_xlpm.v=""),"",_xlpm.v*_xlpm.w)
)</f>
        <v/>
      </c>
      <c r="AZ71" s="93" t="str" cm="1">
        <f t="array" ref="AZ71">_xlfn.LET(
  _xlpm.w, AZ$11,
  _xlpm.r, MATCH(1,('3. Enter Indicator Scores'!$B$10:$B$161=$B71)*('3. Enter Indicator Scores'!$C$10:$C$161=$C71),0),
  _xlpm.c, MATCH(AZ$8,'3. Enter Indicator Scores'!$D$8:$CZ$8,0),
  _xlpm.v, IFERROR(INDEX('3. Enter Indicator Scores'!$D$10:$CZ$161,_xlpm.r,_xlpm.c),""),
  IF(OR(_xlpm.w="",_xlpm.v=""),"",_xlpm.v*_xlpm.w)
)</f>
        <v/>
      </c>
      <c r="BA71" s="93" t="str" cm="1">
        <f t="array" ref="BA71">_xlfn.LET(
  _xlpm.w, BA$11,
  _xlpm.r, MATCH(1,('3. Enter Indicator Scores'!$B$10:$B$161=$B71)*('3. Enter Indicator Scores'!$C$10:$C$161=$C71),0),
  _xlpm.c, MATCH(BA$8,'3. Enter Indicator Scores'!$D$8:$CZ$8,0),
  _xlpm.v, IFERROR(INDEX('3. Enter Indicator Scores'!$D$10:$CZ$161,_xlpm.r,_xlpm.c),""),
  IF(OR(_xlpm.w="",_xlpm.v=""),"",_xlpm.v*_xlpm.w)
)</f>
        <v/>
      </c>
      <c r="BB71" s="93" t="str" cm="1">
        <f t="array" ref="BB71">_xlfn.LET(
  _xlpm.w, BB$11,
  _xlpm.r, MATCH(1,('3. Enter Indicator Scores'!$B$10:$B$161=$B71)*('3. Enter Indicator Scores'!$C$10:$C$161=$C71),0),
  _xlpm.c, MATCH(BB$8,'3. Enter Indicator Scores'!$D$8:$CZ$8,0),
  _xlpm.v, IFERROR(INDEX('3. Enter Indicator Scores'!$D$10:$CZ$161,_xlpm.r,_xlpm.c),""),
  IF(OR(_xlpm.w="",_xlpm.v=""),"",_xlpm.v*_xlpm.w)
)</f>
        <v/>
      </c>
      <c r="BC71" s="93" t="str" cm="1">
        <f t="array" ref="BC71">_xlfn.LET(
  _xlpm.w, BC$11,
  _xlpm.r, MATCH(1,('3. Enter Indicator Scores'!$B$10:$B$161=$B71)*('3. Enter Indicator Scores'!$C$10:$C$161=$C71),0),
  _xlpm.c, MATCH(BC$8,'3. Enter Indicator Scores'!$D$8:$CZ$8,0),
  _xlpm.v, IFERROR(INDEX('3. Enter Indicator Scores'!$D$10:$CZ$161,_xlpm.r,_xlpm.c),""),
  IF(OR(_xlpm.w="",_xlpm.v=""),"",_xlpm.v*_xlpm.w)
)</f>
        <v/>
      </c>
      <c r="BD71" s="93" t="str" cm="1">
        <f t="array" ref="BD71">_xlfn.LET(
  _xlpm.w, BD$11,
  _xlpm.r, MATCH(1,('3. Enter Indicator Scores'!$B$10:$B$161=$B71)*('3. Enter Indicator Scores'!$C$10:$C$161=$C71),0),
  _xlpm.c, MATCH(BD$8,'3. Enter Indicator Scores'!$D$8:$CZ$8,0),
  _xlpm.v, IFERROR(INDEX('3. Enter Indicator Scores'!$D$10:$CZ$161,_xlpm.r,_xlpm.c),""),
  IF(OR(_xlpm.w="",_xlpm.v=""),"",_xlpm.v*_xlpm.w)
)</f>
        <v/>
      </c>
      <c r="BE71" s="93" t="str" cm="1">
        <f t="array" ref="BE71">_xlfn.LET(
  _xlpm.w, BE$11,
  _xlpm.r, MATCH(1,('3. Enter Indicator Scores'!$B$10:$B$161=$B71)*('3. Enter Indicator Scores'!$C$10:$C$161=$C71),0),
  _xlpm.c, MATCH(BE$8,'3. Enter Indicator Scores'!$D$8:$CZ$8,0),
  _xlpm.v, IFERROR(INDEX('3. Enter Indicator Scores'!$D$10:$CZ$161,_xlpm.r,_xlpm.c),""),
  IF(OR(_xlpm.w="",_xlpm.v=""),"",_xlpm.v*_xlpm.w)
)</f>
        <v/>
      </c>
      <c r="BF71" s="93" t="str" cm="1">
        <f t="array" ref="BF71">_xlfn.LET(
  _xlpm.w, BF$11,
  _xlpm.r, MATCH(1,('3. Enter Indicator Scores'!$B$10:$B$161=$B71)*('3. Enter Indicator Scores'!$C$10:$C$161=$C71),0),
  _xlpm.c, MATCH(BF$8,'3. Enter Indicator Scores'!$D$8:$CZ$8,0),
  _xlpm.v, IFERROR(INDEX('3. Enter Indicator Scores'!$D$10:$CZ$161,_xlpm.r,_xlpm.c),""),
  IF(OR(_xlpm.w="",_xlpm.v=""),"",_xlpm.v*_xlpm.w)
)</f>
        <v/>
      </c>
      <c r="BG71" s="93" t="str" cm="1">
        <f t="array" ref="BG71">_xlfn.LET(
  _xlpm.w, BG$11,
  _xlpm.r, MATCH(1,('3. Enter Indicator Scores'!$B$10:$B$161=$B71)*('3. Enter Indicator Scores'!$C$10:$C$161=$C71),0),
  _xlpm.c, MATCH(BG$8,'3. Enter Indicator Scores'!$D$8:$CZ$8,0),
  _xlpm.v, IFERROR(INDEX('3. Enter Indicator Scores'!$D$10:$CZ$161,_xlpm.r,_xlpm.c),""),
  IF(OR(_xlpm.w="",_xlpm.v=""),"",_xlpm.v*_xlpm.w)
)</f>
        <v/>
      </c>
      <c r="BH71" s="93" t="str" cm="1">
        <f t="array" ref="BH71">_xlfn.LET(
  _xlpm.w, BH$11,
  _xlpm.r, MATCH(1,('3. Enter Indicator Scores'!$B$10:$B$161=$B71)*('3. Enter Indicator Scores'!$C$10:$C$161=$C71),0),
  _xlpm.c, MATCH(BH$8,'3. Enter Indicator Scores'!$D$8:$CZ$8,0),
  _xlpm.v, IFERROR(INDEX('3. Enter Indicator Scores'!$D$10:$CZ$161,_xlpm.r,_xlpm.c),""),
  IF(OR(_xlpm.w="",_xlpm.v=""),"",_xlpm.v*_xlpm.w)
)</f>
        <v/>
      </c>
      <c r="BI71" s="93" t="str" cm="1">
        <f t="array" ref="BI71">_xlfn.LET(
  _xlpm.w, BI$11,
  _xlpm.r, MATCH(1,('3. Enter Indicator Scores'!$B$10:$B$161=$B71)*('3. Enter Indicator Scores'!$C$10:$C$161=$C71),0),
  _xlpm.c, MATCH(BI$8,'3. Enter Indicator Scores'!$D$8:$CZ$8,0),
  _xlpm.v, IFERROR(INDEX('3. Enter Indicator Scores'!$D$10:$CZ$161,_xlpm.r,_xlpm.c),""),
  IF(OR(_xlpm.w="",_xlpm.v=""),"",_xlpm.v*_xlpm.w)
)</f>
        <v/>
      </c>
      <c r="BJ71" s="93" t="str" cm="1">
        <f t="array" ref="BJ71">_xlfn.LET(
  _xlpm.w, BJ$11,
  _xlpm.r, MATCH(1,('3. Enter Indicator Scores'!$B$10:$B$161=$B71)*('3. Enter Indicator Scores'!$C$10:$C$161=$C71),0),
  _xlpm.c, MATCH(BJ$8,'3. Enter Indicator Scores'!$D$8:$CZ$8,0),
  _xlpm.v, IFERROR(INDEX('3. Enter Indicator Scores'!$D$10:$CZ$161,_xlpm.r,_xlpm.c),""),
  IF(OR(_xlpm.w="",_xlpm.v=""),"",_xlpm.v*_xlpm.w)
)</f>
        <v/>
      </c>
      <c r="BK71" s="93" t="str" cm="1">
        <f t="array" ref="BK71">_xlfn.LET(
  _xlpm.w, BK$11,
  _xlpm.r, MATCH(1,('3. Enter Indicator Scores'!$B$10:$B$161=$B71)*('3. Enter Indicator Scores'!$C$10:$C$161=$C71),0),
  _xlpm.c, MATCH(BK$8,'3. Enter Indicator Scores'!$D$8:$CZ$8,0),
  _xlpm.v, IFERROR(INDEX('3. Enter Indicator Scores'!$D$10:$CZ$161,_xlpm.r,_xlpm.c),""),
  IF(OR(_xlpm.w="",_xlpm.v=""),"",_xlpm.v*_xlpm.w)
)</f>
        <v/>
      </c>
      <c r="BL71" s="93" t="str" cm="1">
        <f t="array" ref="BL71">_xlfn.LET(
  _xlpm.w, BL$11,
  _xlpm.r, MATCH(1,('3. Enter Indicator Scores'!$B$10:$B$161=$B71)*('3. Enter Indicator Scores'!$C$10:$C$161=$C71),0),
  _xlpm.c, MATCH(BL$8,'3. Enter Indicator Scores'!$D$8:$CZ$8,0),
  _xlpm.v, IFERROR(INDEX('3. Enter Indicator Scores'!$D$10:$CZ$161,_xlpm.r,_xlpm.c),""),
  IF(OR(_xlpm.w="",_xlpm.v=""),"",_xlpm.v*_xlpm.w)
)</f>
        <v/>
      </c>
      <c r="BM71" s="93" t="str" cm="1">
        <f t="array" ref="BM71">_xlfn.LET(
  _xlpm.w, BM$11,
  _xlpm.r, MATCH(1,('3. Enter Indicator Scores'!$B$10:$B$161=$B71)*('3. Enter Indicator Scores'!$C$10:$C$161=$C71),0),
  _xlpm.c, MATCH(BM$8,'3. Enter Indicator Scores'!$D$8:$CZ$8,0),
  _xlpm.v, IFERROR(INDEX('3. Enter Indicator Scores'!$D$10:$CZ$161,_xlpm.r,_xlpm.c),""),
  IF(OR(_xlpm.w="",_xlpm.v=""),"",_xlpm.v*_xlpm.w)
)</f>
        <v/>
      </c>
      <c r="BN71" s="93" t="str" cm="1">
        <f t="array" ref="BN71">_xlfn.LET(
  _xlpm.w, BN$11,
  _xlpm.r, MATCH(1,('3. Enter Indicator Scores'!$B$10:$B$161=$B71)*('3. Enter Indicator Scores'!$C$10:$C$161=$C71),0),
  _xlpm.c, MATCH(BN$8,'3. Enter Indicator Scores'!$D$8:$CZ$8,0),
  _xlpm.v, IFERROR(INDEX('3. Enter Indicator Scores'!$D$10:$CZ$161,_xlpm.r,_xlpm.c),""),
  IF(OR(_xlpm.w="",_xlpm.v=""),"",_xlpm.v*_xlpm.w)
)</f>
        <v/>
      </c>
      <c r="BO71" s="93" t="str" cm="1">
        <f t="array" ref="BO71">_xlfn.LET(
  _xlpm.w, BO$11,
  _xlpm.r, MATCH(1,('3. Enter Indicator Scores'!$B$10:$B$161=$B71)*('3. Enter Indicator Scores'!$C$10:$C$161=$C71),0),
  _xlpm.c, MATCH(BO$8,'3. Enter Indicator Scores'!$D$8:$CZ$8,0),
  _xlpm.v, IFERROR(INDEX('3. Enter Indicator Scores'!$D$10:$CZ$161,_xlpm.r,_xlpm.c),""),
  IF(OR(_xlpm.w="",_xlpm.v=""),"",_xlpm.v*_xlpm.w)
)</f>
        <v/>
      </c>
      <c r="BP71" s="93" t="str" cm="1">
        <f t="array" ref="BP71">_xlfn.LET(
  _xlpm.w, BP$11,
  _xlpm.r, MATCH(1,('3. Enter Indicator Scores'!$B$10:$B$161=$B71)*('3. Enter Indicator Scores'!$C$10:$C$161=$C71),0),
  _xlpm.c, MATCH(BP$8,'3. Enter Indicator Scores'!$D$8:$CZ$8,0),
  _xlpm.v, IFERROR(INDEX('3. Enter Indicator Scores'!$D$10:$CZ$161,_xlpm.r,_xlpm.c),""),
  IF(OR(_xlpm.w="",_xlpm.v=""),"",_xlpm.v*_xlpm.w)
)</f>
        <v/>
      </c>
      <c r="BQ71" s="93" t="str" cm="1">
        <f t="array" ref="BQ71">_xlfn.LET(
  _xlpm.w, BQ$11,
  _xlpm.r, MATCH(1,('3. Enter Indicator Scores'!$B$10:$B$161=$B71)*('3. Enter Indicator Scores'!$C$10:$C$161=$C71),0),
  _xlpm.c, MATCH(BQ$8,'3. Enter Indicator Scores'!$D$8:$CZ$8,0),
  _xlpm.v, IFERROR(INDEX('3. Enter Indicator Scores'!$D$10:$CZ$161,_xlpm.r,_xlpm.c),""),
  IF(OR(_xlpm.w="",_xlpm.v=""),"",_xlpm.v*_xlpm.w)
)</f>
        <v/>
      </c>
      <c r="BR71" s="93" t="str" cm="1">
        <f t="array" ref="BR71">_xlfn.LET(
  _xlpm.w, BR$11,
  _xlpm.r, MATCH(1,('3. Enter Indicator Scores'!$B$10:$B$161=$B71)*('3. Enter Indicator Scores'!$C$10:$C$161=$C71),0),
  _xlpm.c, MATCH(BR$8,'3. Enter Indicator Scores'!$D$8:$CZ$8,0),
  _xlpm.v, IFERROR(INDEX('3. Enter Indicator Scores'!$D$10:$CZ$161,_xlpm.r,_xlpm.c),""),
  IF(OR(_xlpm.w="",_xlpm.v=""),"",_xlpm.v*_xlpm.w)
)</f>
        <v/>
      </c>
      <c r="BS71" s="93" t="str" cm="1">
        <f t="array" ref="BS71">_xlfn.LET(
  _xlpm.w, BS$11,
  _xlpm.r, MATCH(1,('3. Enter Indicator Scores'!$B$10:$B$161=$B71)*('3. Enter Indicator Scores'!$C$10:$C$161=$C71),0),
  _xlpm.c, MATCH(BS$8,'3. Enter Indicator Scores'!$D$8:$CZ$8,0),
  _xlpm.v, IFERROR(INDEX('3. Enter Indicator Scores'!$D$10:$CZ$161,_xlpm.r,_xlpm.c),""),
  IF(OR(_xlpm.w="",_xlpm.v=""),"",_xlpm.v*_xlpm.w)
)</f>
        <v/>
      </c>
      <c r="BT71" s="93" t="str" cm="1">
        <f t="array" ref="BT71">_xlfn.LET(
  _xlpm.w, BT$11,
  _xlpm.r, MATCH(1,('3. Enter Indicator Scores'!$B$10:$B$161=$B71)*('3. Enter Indicator Scores'!$C$10:$C$161=$C71),0),
  _xlpm.c, MATCH(BT$8,'3. Enter Indicator Scores'!$D$8:$CZ$8,0),
  _xlpm.v, IFERROR(INDEX('3. Enter Indicator Scores'!$D$10:$CZ$161,_xlpm.r,_xlpm.c),""),
  IF(OR(_xlpm.w="",_xlpm.v=""),"",_xlpm.v*_xlpm.w)
)</f>
        <v/>
      </c>
      <c r="BU71" s="93" t="str" cm="1">
        <f t="array" ref="BU71">_xlfn.LET(
  _xlpm.w, BU$11,
  _xlpm.r, MATCH(1,('3. Enter Indicator Scores'!$B$10:$B$161=$B71)*('3. Enter Indicator Scores'!$C$10:$C$161=$C71),0),
  _xlpm.c, MATCH(BU$8,'3. Enter Indicator Scores'!$D$8:$CZ$8,0),
  _xlpm.v, IFERROR(INDEX('3. Enter Indicator Scores'!$D$10:$CZ$161,_xlpm.r,_xlpm.c),""),
  IF(OR(_xlpm.w="",_xlpm.v=""),"",_xlpm.v*_xlpm.w)
)</f>
        <v/>
      </c>
      <c r="BV71" s="93" t="str" cm="1">
        <f t="array" ref="BV71">_xlfn.LET(
  _xlpm.w, BV$11,
  _xlpm.r, MATCH(1,('3. Enter Indicator Scores'!$B$10:$B$161=$B71)*('3. Enter Indicator Scores'!$C$10:$C$161=$C71),0),
  _xlpm.c, MATCH(BV$8,'3. Enter Indicator Scores'!$D$8:$CZ$8,0),
  _xlpm.v, IFERROR(INDEX('3. Enter Indicator Scores'!$D$10:$CZ$161,_xlpm.r,_xlpm.c),""),
  IF(OR(_xlpm.w="",_xlpm.v=""),"",_xlpm.v*_xlpm.w)
)</f>
        <v/>
      </c>
      <c r="BW71" s="93" t="str" cm="1">
        <f t="array" ref="BW71">_xlfn.LET(
  _xlpm.w, BW$11,
  _xlpm.r, MATCH(1,('3. Enter Indicator Scores'!$B$10:$B$161=$B71)*('3. Enter Indicator Scores'!$C$10:$C$161=$C71),0),
  _xlpm.c, MATCH(BW$8,'3. Enter Indicator Scores'!$D$8:$CZ$8,0),
  _xlpm.v, IFERROR(INDEX('3. Enter Indicator Scores'!$D$10:$CZ$161,_xlpm.r,_xlpm.c),""),
  IF(OR(_xlpm.w="",_xlpm.v=""),"",_xlpm.v*_xlpm.w)
)</f>
        <v/>
      </c>
      <c r="BX71" s="93" t="str" cm="1">
        <f t="array" ref="BX71">_xlfn.LET(
  _xlpm.w, BX$11,
  _xlpm.r, MATCH(1,('3. Enter Indicator Scores'!$B$10:$B$161=$B71)*('3. Enter Indicator Scores'!$C$10:$C$161=$C71),0),
  _xlpm.c, MATCH(BX$8,'3. Enter Indicator Scores'!$D$8:$CZ$8,0),
  _xlpm.v, IFERROR(INDEX('3. Enter Indicator Scores'!$D$10:$CZ$161,_xlpm.r,_xlpm.c),""),
  IF(OR(_xlpm.w="",_xlpm.v=""),"",_xlpm.v*_xlpm.w)
)</f>
        <v/>
      </c>
      <c r="BY71" s="93" t="str" cm="1">
        <f t="array" ref="BY71">_xlfn.LET(
  _xlpm.w, BY$11,
  _xlpm.r, MATCH(1,('3. Enter Indicator Scores'!$B$10:$B$161=$B71)*('3. Enter Indicator Scores'!$C$10:$C$161=$C71),0),
  _xlpm.c, MATCH(BY$8,'3. Enter Indicator Scores'!$D$8:$CZ$8,0),
  _xlpm.v, IFERROR(INDEX('3. Enter Indicator Scores'!$D$10:$CZ$161,_xlpm.r,_xlpm.c),""),
  IF(OR(_xlpm.w="",_xlpm.v=""),"",_xlpm.v*_xlpm.w)
)</f>
        <v/>
      </c>
      <c r="BZ71" s="93" t="str" cm="1">
        <f t="array" ref="BZ71">_xlfn.LET(
  _xlpm.w, BZ$11,
  _xlpm.r, MATCH(1,('3. Enter Indicator Scores'!$B$10:$B$161=$B71)*('3. Enter Indicator Scores'!$C$10:$C$161=$C71),0),
  _xlpm.c, MATCH(BZ$8,'3. Enter Indicator Scores'!$D$8:$CZ$8,0),
  _xlpm.v, IFERROR(INDEX('3. Enter Indicator Scores'!$D$10:$CZ$161,_xlpm.r,_xlpm.c),""),
  IF(OR(_xlpm.w="",_xlpm.v=""),"",_xlpm.v*_xlpm.w)
)</f>
        <v/>
      </c>
      <c r="CA71" s="93" t="str" cm="1">
        <f t="array" ref="CA71">_xlfn.LET(
  _xlpm.w, CA$11,
  _xlpm.r, MATCH(1,('3. Enter Indicator Scores'!$B$10:$B$161=$B71)*('3. Enter Indicator Scores'!$C$10:$C$161=$C71),0),
  _xlpm.c, MATCH(CA$8,'3. Enter Indicator Scores'!$D$8:$CZ$8,0),
  _xlpm.v, IFERROR(INDEX('3. Enter Indicator Scores'!$D$10:$CZ$161,_xlpm.r,_xlpm.c),""),
  IF(OR(_xlpm.w="",_xlpm.v=""),"",_xlpm.v*_xlpm.w)
)</f>
        <v/>
      </c>
      <c r="CB71" s="93" t="str" cm="1">
        <f t="array" ref="CB71">_xlfn.LET(
  _xlpm.w, CB$11,
  _xlpm.r, MATCH(1,('3. Enter Indicator Scores'!$B$10:$B$161=$B71)*('3. Enter Indicator Scores'!$C$10:$C$161=$C71),0),
  _xlpm.c, MATCH(CB$8,'3. Enter Indicator Scores'!$D$8:$CZ$8,0),
  _xlpm.v, IFERROR(INDEX('3. Enter Indicator Scores'!$D$10:$CZ$161,_xlpm.r,_xlpm.c),""),
  IF(OR(_xlpm.w="",_xlpm.v=""),"",_xlpm.v*_xlpm.w)
)</f>
        <v/>
      </c>
      <c r="CC71" s="93" t="str" cm="1">
        <f t="array" ref="CC71">_xlfn.LET(
  _xlpm.w, CC$11,
  _xlpm.r, MATCH(1,('3. Enter Indicator Scores'!$B$10:$B$161=$B71)*('3. Enter Indicator Scores'!$C$10:$C$161=$C71),0),
  _xlpm.c, MATCH(CC$8,'3. Enter Indicator Scores'!$D$8:$CZ$8,0),
  _xlpm.v, IFERROR(INDEX('3. Enter Indicator Scores'!$D$10:$CZ$161,_xlpm.r,_xlpm.c),""),
  IF(OR(_xlpm.w="",_xlpm.v=""),"",_xlpm.v*_xlpm.w)
)</f>
        <v/>
      </c>
      <c r="CD71" s="93" t="str" cm="1">
        <f t="array" ref="CD71">_xlfn.LET(
  _xlpm.w, CD$11,
  _xlpm.r, MATCH(1,('3. Enter Indicator Scores'!$B$10:$B$161=$B71)*('3. Enter Indicator Scores'!$C$10:$C$161=$C71),0),
  _xlpm.c, MATCH(CD$8,'3. Enter Indicator Scores'!$D$8:$CZ$8,0),
  _xlpm.v, IFERROR(INDEX('3. Enter Indicator Scores'!$D$10:$CZ$161,_xlpm.r,_xlpm.c),""),
  IF(OR(_xlpm.w="",_xlpm.v=""),"",_xlpm.v*_xlpm.w)
)</f>
        <v/>
      </c>
      <c r="CE71" s="93" t="str" cm="1">
        <f t="array" ref="CE71">_xlfn.LET(
  _xlpm.w, CE$11,
  _xlpm.r, MATCH(1,('3. Enter Indicator Scores'!$B$10:$B$161=$B71)*('3. Enter Indicator Scores'!$C$10:$C$161=$C71),0),
  _xlpm.c, MATCH(CE$8,'3. Enter Indicator Scores'!$D$8:$CZ$8,0),
  _xlpm.v, IFERROR(INDEX('3. Enter Indicator Scores'!$D$10:$CZ$161,_xlpm.r,_xlpm.c),""),
  IF(OR(_xlpm.w="",_xlpm.v=""),"",_xlpm.v*_xlpm.w)
)</f>
        <v/>
      </c>
      <c r="CF71" s="93" t="str" cm="1">
        <f t="array" ref="CF71">_xlfn.LET(
  _xlpm.w, CF$11,
  _xlpm.r, MATCH(1,('3. Enter Indicator Scores'!$B$10:$B$161=$B71)*('3. Enter Indicator Scores'!$C$10:$C$161=$C71),0),
  _xlpm.c, MATCH(CF$8,'3. Enter Indicator Scores'!$D$8:$CZ$8,0),
  _xlpm.v, IFERROR(INDEX('3. Enter Indicator Scores'!$D$10:$CZ$161,_xlpm.r,_xlpm.c),""),
  IF(OR(_xlpm.w="",_xlpm.v=""),"",_xlpm.v*_xlpm.w)
)</f>
        <v/>
      </c>
      <c r="CG71" s="93" t="str" cm="1">
        <f t="array" ref="CG71">_xlfn.LET(
  _xlpm.w, CG$11,
  _xlpm.r, MATCH(1,('3. Enter Indicator Scores'!$B$10:$B$161=$B71)*('3. Enter Indicator Scores'!$C$10:$C$161=$C71),0),
  _xlpm.c, MATCH(CG$8,'3. Enter Indicator Scores'!$D$8:$CZ$8,0),
  _xlpm.v, IFERROR(INDEX('3. Enter Indicator Scores'!$D$10:$CZ$161,_xlpm.r,_xlpm.c),""),
  IF(OR(_xlpm.w="",_xlpm.v=""),"",_xlpm.v*_xlpm.w)
)</f>
        <v/>
      </c>
      <c r="CH71" s="93" t="str" cm="1">
        <f t="array" ref="CH71">_xlfn.LET(
  _xlpm.w, CH$11,
  _xlpm.r, MATCH(1,('3. Enter Indicator Scores'!$B$10:$B$161=$B71)*('3. Enter Indicator Scores'!$C$10:$C$161=$C71),0),
  _xlpm.c, MATCH(CH$8,'3. Enter Indicator Scores'!$D$8:$CZ$8,0),
  _xlpm.v, IFERROR(INDEX('3. Enter Indicator Scores'!$D$10:$CZ$161,_xlpm.r,_xlpm.c),""),
  IF(OR(_xlpm.w="",_xlpm.v=""),"",_xlpm.v*_xlpm.w)
)</f>
        <v/>
      </c>
      <c r="CI71" s="93" t="str" cm="1">
        <f t="array" ref="CI71">_xlfn.LET(
  _xlpm.w, CI$11,
  _xlpm.r, MATCH(1,('3. Enter Indicator Scores'!$B$10:$B$161=$B71)*('3. Enter Indicator Scores'!$C$10:$C$161=$C71),0),
  _xlpm.c, MATCH(CI$8,'3. Enter Indicator Scores'!$D$8:$CZ$8,0),
  _xlpm.v, IFERROR(INDEX('3. Enter Indicator Scores'!$D$10:$CZ$161,_xlpm.r,_xlpm.c),""),
  IF(OR(_xlpm.w="",_xlpm.v=""),"",_xlpm.v*_xlpm.w)
)</f>
        <v/>
      </c>
      <c r="CJ71" s="93" t="str" cm="1">
        <f t="array" ref="CJ71">_xlfn.LET(
  _xlpm.w, CJ$11,
  _xlpm.r, MATCH(1,('3. Enter Indicator Scores'!$B$10:$B$161=$B71)*('3. Enter Indicator Scores'!$C$10:$C$161=$C71),0),
  _xlpm.c, MATCH(CJ$8,'3. Enter Indicator Scores'!$D$8:$CZ$8,0),
  _xlpm.v, IFERROR(INDEX('3. Enter Indicator Scores'!$D$10:$CZ$161,_xlpm.r,_xlpm.c),""),
  IF(OR(_xlpm.w="",_xlpm.v=""),"",_xlpm.v*_xlpm.w)
)</f>
        <v/>
      </c>
      <c r="CK71" s="93" t="str" cm="1">
        <f t="array" ref="CK71">_xlfn.LET(
  _xlpm.w, CK$11,
  _xlpm.r, MATCH(1,('3. Enter Indicator Scores'!$B$10:$B$161=$B71)*('3. Enter Indicator Scores'!$C$10:$C$161=$C71),0),
  _xlpm.c, MATCH(CK$8,'3. Enter Indicator Scores'!$D$8:$CZ$8,0),
  _xlpm.v, IFERROR(INDEX('3. Enter Indicator Scores'!$D$10:$CZ$161,_xlpm.r,_xlpm.c),""),
  IF(OR(_xlpm.w="",_xlpm.v=""),"",_xlpm.v*_xlpm.w)
)</f>
        <v/>
      </c>
      <c r="CL71" s="93" t="str" cm="1">
        <f t="array" ref="CL71">_xlfn.LET(
  _xlpm.w, CL$11,
  _xlpm.r, MATCH(1,('3. Enter Indicator Scores'!$B$10:$B$161=$B71)*('3. Enter Indicator Scores'!$C$10:$C$161=$C71),0),
  _xlpm.c, MATCH(CL$8,'3. Enter Indicator Scores'!$D$8:$CZ$8,0),
  _xlpm.v, IFERROR(INDEX('3. Enter Indicator Scores'!$D$10:$CZ$161,_xlpm.r,_xlpm.c),""),
  IF(OR(_xlpm.w="",_xlpm.v=""),"",_xlpm.v*_xlpm.w)
)</f>
        <v/>
      </c>
      <c r="CM71" s="93" t="str" cm="1">
        <f t="array" ref="CM71">_xlfn.LET(
  _xlpm.w, CM$11,
  _xlpm.r, MATCH(1,('3. Enter Indicator Scores'!$B$10:$B$161=$B71)*('3. Enter Indicator Scores'!$C$10:$C$161=$C71),0),
  _xlpm.c, MATCH(CM$8,'3. Enter Indicator Scores'!$D$8:$CZ$8,0),
  _xlpm.v, IFERROR(INDEX('3. Enter Indicator Scores'!$D$10:$CZ$161,_xlpm.r,_xlpm.c),""),
  IF(OR(_xlpm.w="",_xlpm.v=""),"",_xlpm.v*_xlpm.w)
)</f>
        <v/>
      </c>
      <c r="CN71" s="93" t="str" cm="1">
        <f t="array" ref="CN71">_xlfn.LET(
  _xlpm.w, CN$11,
  _xlpm.r, MATCH(1,('3. Enter Indicator Scores'!$B$10:$B$161=$B71)*('3. Enter Indicator Scores'!$C$10:$C$161=$C71),0),
  _xlpm.c, MATCH(CN$8,'3. Enter Indicator Scores'!$D$8:$CZ$8,0),
  _xlpm.v, IFERROR(INDEX('3. Enter Indicator Scores'!$D$10:$CZ$161,_xlpm.r,_xlpm.c),""),
  IF(OR(_xlpm.w="",_xlpm.v=""),"",_xlpm.v*_xlpm.w)
)</f>
        <v/>
      </c>
      <c r="CO71" s="93" t="str" cm="1">
        <f t="array" ref="CO71">_xlfn.LET(
  _xlpm.w, CO$11,
  _xlpm.r, MATCH(1,('3. Enter Indicator Scores'!$B$10:$B$161=$B71)*('3. Enter Indicator Scores'!$C$10:$C$161=$C71),0),
  _xlpm.c, MATCH(CO$8,'3. Enter Indicator Scores'!$D$8:$CZ$8,0),
  _xlpm.v, IFERROR(INDEX('3. Enter Indicator Scores'!$D$10:$CZ$161,_xlpm.r,_xlpm.c),""),
  IF(OR(_xlpm.w="",_xlpm.v=""),"",_xlpm.v*_xlpm.w)
)</f>
        <v/>
      </c>
      <c r="CP71" s="93" t="str" cm="1">
        <f t="array" ref="CP71">_xlfn.LET(
  _xlpm.w, CP$11,
  _xlpm.r, MATCH(1,('3. Enter Indicator Scores'!$B$10:$B$161=$B71)*('3. Enter Indicator Scores'!$C$10:$C$161=$C71),0),
  _xlpm.c, MATCH(CP$8,'3. Enter Indicator Scores'!$D$8:$CZ$8,0),
  _xlpm.v, IFERROR(INDEX('3. Enter Indicator Scores'!$D$10:$CZ$161,_xlpm.r,_xlpm.c),""),
  IF(OR(_xlpm.w="",_xlpm.v=""),"",_xlpm.v*_xlpm.w)
)</f>
        <v/>
      </c>
      <c r="CQ71" s="93" t="str" cm="1">
        <f t="array" ref="CQ71">_xlfn.LET(
  _xlpm.w, CQ$11,
  _xlpm.r, MATCH(1,('3. Enter Indicator Scores'!$B$10:$B$161=$B71)*('3. Enter Indicator Scores'!$C$10:$C$161=$C71),0),
  _xlpm.c, MATCH(CQ$8,'3. Enter Indicator Scores'!$D$8:$CZ$8,0),
  _xlpm.v, IFERROR(INDEX('3. Enter Indicator Scores'!$D$10:$CZ$161,_xlpm.r,_xlpm.c),""),
  IF(OR(_xlpm.w="",_xlpm.v=""),"",_xlpm.v*_xlpm.w)
)</f>
        <v/>
      </c>
      <c r="CR71" s="93" t="str" cm="1">
        <f t="array" ref="CR71">_xlfn.LET(
  _xlpm.w, CR$11,
  _xlpm.r, MATCH(1,('3. Enter Indicator Scores'!$B$10:$B$161=$B71)*('3. Enter Indicator Scores'!$C$10:$C$161=$C71),0),
  _xlpm.c, MATCH(CR$8,'3. Enter Indicator Scores'!$D$8:$CZ$8,0),
  _xlpm.v, IFERROR(INDEX('3. Enter Indicator Scores'!$D$10:$CZ$161,_xlpm.r,_xlpm.c),""),
  IF(OR(_xlpm.w="",_xlpm.v=""),"",_xlpm.v*_xlpm.w)
)</f>
        <v/>
      </c>
      <c r="CS71" s="93" t="str" cm="1">
        <f t="array" ref="CS71">_xlfn.LET(
  _xlpm.w, CS$11,
  _xlpm.r, MATCH(1,('3. Enter Indicator Scores'!$B$10:$B$161=$B71)*('3. Enter Indicator Scores'!$C$10:$C$161=$C71),0),
  _xlpm.c, MATCH(CS$8,'3. Enter Indicator Scores'!$D$8:$CZ$8,0),
  _xlpm.v, IFERROR(INDEX('3. Enter Indicator Scores'!$D$10:$CZ$161,_xlpm.r,_xlpm.c),""),
  IF(OR(_xlpm.w="",_xlpm.v=""),"",_xlpm.v*_xlpm.w)
)</f>
        <v/>
      </c>
      <c r="CT71" s="93" t="str" cm="1">
        <f t="array" ref="CT71">_xlfn.LET(
  _xlpm.w, CT$11,
  _xlpm.r, MATCH(1,('3. Enter Indicator Scores'!$B$10:$B$161=$B71)*('3. Enter Indicator Scores'!$C$10:$C$161=$C71),0),
  _xlpm.c, MATCH(CT$8,'3. Enter Indicator Scores'!$D$8:$CZ$8,0),
  _xlpm.v, IFERROR(INDEX('3. Enter Indicator Scores'!$D$10:$CZ$161,_xlpm.r,_xlpm.c),""),
  IF(OR(_xlpm.w="",_xlpm.v=""),"",_xlpm.v*_xlpm.w)
)</f>
        <v/>
      </c>
      <c r="CU71" s="93" t="str" cm="1">
        <f t="array" ref="CU71">_xlfn.LET(
  _xlpm.w, CU$11,
  _xlpm.r, MATCH(1,('3. Enter Indicator Scores'!$B$10:$B$161=$B71)*('3. Enter Indicator Scores'!$C$10:$C$161=$C71),0),
  _xlpm.c, MATCH(CU$8,'3. Enter Indicator Scores'!$D$8:$CZ$8,0),
  _xlpm.v, IFERROR(INDEX('3. Enter Indicator Scores'!$D$10:$CZ$161,_xlpm.r,_xlpm.c),""),
  IF(OR(_xlpm.w="",_xlpm.v=""),"",_xlpm.v*_xlpm.w)
)</f>
        <v/>
      </c>
      <c r="CV71" s="93" t="str" cm="1">
        <f t="array" ref="CV71">_xlfn.LET(
  _xlpm.w, CV$11,
  _xlpm.r, MATCH(1,('3. Enter Indicator Scores'!$B$10:$B$161=$B71)*('3. Enter Indicator Scores'!$C$10:$C$161=$C71),0),
  _xlpm.c, MATCH(CV$8,'3. Enter Indicator Scores'!$D$8:$CZ$8,0),
  _xlpm.v, IFERROR(INDEX('3. Enter Indicator Scores'!$D$10:$CZ$161,_xlpm.r,_xlpm.c),""),
  IF(OR(_xlpm.w="",_xlpm.v=""),"",_xlpm.v*_xlpm.w)
)</f>
        <v/>
      </c>
      <c r="CW71" s="93" t="str" cm="1">
        <f t="array" ref="CW71">_xlfn.LET(
  _xlpm.w, CW$11,
  _xlpm.r, MATCH(1,('3. Enter Indicator Scores'!$B$10:$B$161=$B71)*('3. Enter Indicator Scores'!$C$10:$C$161=$C71),0),
  _xlpm.c, MATCH(CW$8,'3. Enter Indicator Scores'!$D$8:$CZ$8,0),
  _xlpm.v, IFERROR(INDEX('3. Enter Indicator Scores'!$D$10:$CZ$161,_xlpm.r,_xlpm.c),""),
  IF(OR(_xlpm.w="",_xlpm.v=""),"",_xlpm.v*_xlpm.w)
)</f>
        <v/>
      </c>
      <c r="CX71" s="93" t="str" cm="1">
        <f t="array" ref="CX71">_xlfn.LET(
  _xlpm.w, CX$11,
  _xlpm.r, MATCH(1,('3. Enter Indicator Scores'!$B$10:$B$161=$B71)*('3. Enter Indicator Scores'!$C$10:$C$161=$C71),0),
  _xlpm.c, MATCH(CX$8,'3. Enter Indicator Scores'!$D$8:$CZ$8,0),
  _xlpm.v, IFERROR(INDEX('3. Enter Indicator Scores'!$D$10:$CZ$161,_xlpm.r,_xlpm.c),""),
  IF(OR(_xlpm.w="",_xlpm.v=""),"",_xlpm.v*_xlpm.w)
)</f>
        <v/>
      </c>
      <c r="CY71" s="93" t="str" cm="1">
        <f t="array" ref="CY71">_xlfn.LET(
  _xlpm.w, CY$11,
  _xlpm.r, MATCH(1,('3. Enter Indicator Scores'!$B$10:$B$161=$B71)*('3. Enter Indicator Scores'!$C$10:$C$161=$C71),0),
  _xlpm.c, MATCH(CY$8,'3. Enter Indicator Scores'!$D$8:$CZ$8,0),
  _xlpm.v, IFERROR(INDEX('3. Enter Indicator Scores'!$D$10:$CZ$161,_xlpm.r,_xlpm.c),""),
  IF(OR(_xlpm.w="",_xlpm.v=""),"",_xlpm.v*_xlpm.w)
)</f>
        <v/>
      </c>
      <c r="CZ71" s="93" t="str" cm="1">
        <f t="array" ref="CZ71">_xlfn.LET(
  _xlpm.w, CZ$11,
  _xlpm.r, MATCH(1,('3. Enter Indicator Scores'!$B$10:$B$161=$B71)*('3. Enter Indicator Scores'!$C$10:$C$161=$C71),0),
  _xlpm.c, MATCH(CZ$8,'3. Enter Indicator Scores'!$D$8:$CZ$8,0),
  _xlpm.v, IFERROR(INDEX('3. Enter Indicator Scores'!$D$10:$CZ$161,_xlpm.r,_xlpm.c),""),
  IF(OR(_xlpm.w="",_xlpm.v=""),"",_xlpm.v*_xlpm.w)
)</f>
        <v/>
      </c>
    </row>
    <row r="72" spans="4:104" x14ac:dyDescent="0.2">
      <c r="D72" s="93" t="str" cm="1">
        <f t="array" ref="D72">_xlfn.LET(
  _xlpm.w, D$11,
  _xlpm.r, MATCH(1,('3. Enter Indicator Scores'!$B$10:$B$161=$B72)*('3. Enter Indicator Scores'!$C$10:$C$161=$C72),0),
  _xlpm.c, MATCH(D$8,'3. Enter Indicator Scores'!$D$8:$CZ$8,0),
  _xlpm.v, IFERROR(INDEX('3. Enter Indicator Scores'!$D$10:$CZ$161,_xlpm.r,_xlpm.c),""),
  IF(OR(_xlpm.w="",_xlpm.v=""),"",_xlpm.v*_xlpm.w)
)</f>
        <v/>
      </c>
      <c r="E72" s="93" t="str" cm="1">
        <f t="array" ref="E72">_xlfn.LET(
  _xlpm.w, E$11,
  _xlpm.r, MATCH(1,('3. Enter Indicator Scores'!$B$10:$B$161=$B72)*('3. Enter Indicator Scores'!$C$10:$C$161=$C72),0),
  _xlpm.c, MATCH(E$8,'3. Enter Indicator Scores'!$D$8:$CZ$8,0),
  _xlpm.v, IFERROR(INDEX('3. Enter Indicator Scores'!$D$10:$CZ$161,_xlpm.r,_xlpm.c),""),
  IF(OR(_xlpm.w="",_xlpm.v=""),"",_xlpm.v*_xlpm.w)
)</f>
        <v/>
      </c>
      <c r="F72" s="93" t="str" cm="1">
        <f t="array" ref="F72">_xlfn.LET(
  _xlpm.w, F$11,
  _xlpm.r, MATCH(1,('3. Enter Indicator Scores'!$B$10:$B$161=$B72)*('3. Enter Indicator Scores'!$C$10:$C$161=$C72),0),
  _xlpm.c, MATCH(F$8,'3. Enter Indicator Scores'!$D$8:$CZ$8,0),
  _xlpm.v, IFERROR(INDEX('3. Enter Indicator Scores'!$D$10:$CZ$161,_xlpm.r,_xlpm.c),""),
  IF(OR(_xlpm.w="",_xlpm.v=""),"",_xlpm.v*_xlpm.w)
)</f>
        <v/>
      </c>
      <c r="G72" s="93" t="str" cm="1">
        <f t="array" ref="G72">_xlfn.LET(
  _xlpm.w, G$11,
  _xlpm.r, MATCH(1,('3. Enter Indicator Scores'!$B$10:$B$161=$B72)*('3. Enter Indicator Scores'!$C$10:$C$161=$C72),0),
  _xlpm.c, MATCH(G$8,'3. Enter Indicator Scores'!$D$8:$CZ$8,0),
  _xlpm.v, IFERROR(INDEX('3. Enter Indicator Scores'!$D$10:$CZ$161,_xlpm.r,_xlpm.c),""),
  IF(OR(_xlpm.w="",_xlpm.v=""),"",_xlpm.v*_xlpm.w)
)</f>
        <v/>
      </c>
      <c r="H72" s="93" t="str" cm="1">
        <f t="array" ref="H72">_xlfn.LET(
  _xlpm.w, H$11,
  _xlpm.r, MATCH(1,('3. Enter Indicator Scores'!$B$10:$B$161=$B72)*('3. Enter Indicator Scores'!$C$10:$C$161=$C72),0),
  _xlpm.c, MATCH(H$8,'3. Enter Indicator Scores'!$D$8:$CZ$8,0),
  _xlpm.v, IFERROR(INDEX('3. Enter Indicator Scores'!$D$10:$CZ$161,_xlpm.r,_xlpm.c),""),
  IF(OR(_xlpm.w="",_xlpm.v=""),"",_xlpm.v*_xlpm.w)
)</f>
        <v/>
      </c>
      <c r="I72" s="93" t="str" cm="1">
        <f t="array" ref="I72">_xlfn.LET(
  _xlpm.w, I$11,
  _xlpm.r, MATCH(1,('3. Enter Indicator Scores'!$B$10:$B$161=$B72)*('3. Enter Indicator Scores'!$C$10:$C$161=$C72),0),
  _xlpm.c, MATCH(I$8,'3. Enter Indicator Scores'!$D$8:$CZ$8,0),
  _xlpm.v, IFERROR(INDEX('3. Enter Indicator Scores'!$D$10:$CZ$161,_xlpm.r,_xlpm.c),""),
  IF(OR(_xlpm.w="",_xlpm.v=""),"",_xlpm.v*_xlpm.w)
)</f>
        <v/>
      </c>
      <c r="J72" s="93" t="str" cm="1">
        <f t="array" ref="J72">_xlfn.LET(
  _xlpm.w, J$11,
  _xlpm.r, MATCH(1,('3. Enter Indicator Scores'!$B$10:$B$161=$B72)*('3. Enter Indicator Scores'!$C$10:$C$161=$C72),0),
  _xlpm.c, MATCH(J$8,'3. Enter Indicator Scores'!$D$8:$CZ$8,0),
  _xlpm.v, IFERROR(INDEX('3. Enter Indicator Scores'!$D$10:$CZ$161,_xlpm.r,_xlpm.c),""),
  IF(OR(_xlpm.w="",_xlpm.v=""),"",_xlpm.v*_xlpm.w)
)</f>
        <v/>
      </c>
      <c r="K72" s="93" t="str" cm="1">
        <f t="array" ref="K72">_xlfn.LET(
  _xlpm.w, K$11,
  _xlpm.r, MATCH(1,('3. Enter Indicator Scores'!$B$10:$B$161=$B72)*('3. Enter Indicator Scores'!$C$10:$C$161=$C72),0),
  _xlpm.c, MATCH(K$8,'3. Enter Indicator Scores'!$D$8:$CZ$8,0),
  _xlpm.v, IFERROR(INDEX('3. Enter Indicator Scores'!$D$10:$CZ$161,_xlpm.r,_xlpm.c),""),
  IF(OR(_xlpm.w="",_xlpm.v=""),"",_xlpm.v*_xlpm.w)
)</f>
        <v/>
      </c>
      <c r="L72" s="93" t="str" cm="1">
        <f t="array" ref="L72">_xlfn.LET(
  _xlpm.w, L$11,
  _xlpm.r, MATCH(1,('3. Enter Indicator Scores'!$B$10:$B$161=$B72)*('3. Enter Indicator Scores'!$C$10:$C$161=$C72),0),
  _xlpm.c, MATCH(L$8,'3. Enter Indicator Scores'!$D$8:$CZ$8,0),
  _xlpm.v, IFERROR(INDEX('3. Enter Indicator Scores'!$D$10:$CZ$161,_xlpm.r,_xlpm.c),""),
  IF(OR(_xlpm.w="",_xlpm.v=""),"",_xlpm.v*_xlpm.w)
)</f>
        <v/>
      </c>
      <c r="M72" s="93" t="str" cm="1">
        <f t="array" ref="M72">_xlfn.LET(
  _xlpm.w, M$11,
  _xlpm.r, MATCH(1,('3. Enter Indicator Scores'!$B$10:$B$161=$B72)*('3. Enter Indicator Scores'!$C$10:$C$161=$C72),0),
  _xlpm.c, MATCH(M$8,'3. Enter Indicator Scores'!$D$8:$CZ$8,0),
  _xlpm.v, IFERROR(INDEX('3. Enter Indicator Scores'!$D$10:$CZ$161,_xlpm.r,_xlpm.c),""),
  IF(OR(_xlpm.w="",_xlpm.v=""),"",_xlpm.v*_xlpm.w)
)</f>
        <v/>
      </c>
      <c r="N72" s="93" t="str" cm="1">
        <f t="array" ref="N72">_xlfn.LET(
  _xlpm.w, N$11,
  _xlpm.r, MATCH(1,('3. Enter Indicator Scores'!$B$10:$B$161=$B72)*('3. Enter Indicator Scores'!$C$10:$C$161=$C72),0),
  _xlpm.c, MATCH(N$8,'3. Enter Indicator Scores'!$D$8:$CZ$8,0),
  _xlpm.v, IFERROR(INDEX('3. Enter Indicator Scores'!$D$10:$CZ$161,_xlpm.r,_xlpm.c),""),
  IF(OR(_xlpm.w="",_xlpm.v=""),"",_xlpm.v*_xlpm.w)
)</f>
        <v/>
      </c>
      <c r="O72" s="93" t="str" cm="1">
        <f t="array" ref="O72">_xlfn.LET(
  _xlpm.w, O$11,
  _xlpm.r, MATCH(1,('3. Enter Indicator Scores'!$B$10:$B$161=$B72)*('3. Enter Indicator Scores'!$C$10:$C$161=$C72),0),
  _xlpm.c, MATCH(O$8,'3. Enter Indicator Scores'!$D$8:$CZ$8,0),
  _xlpm.v, IFERROR(INDEX('3. Enter Indicator Scores'!$D$10:$CZ$161,_xlpm.r,_xlpm.c),""),
  IF(OR(_xlpm.w="",_xlpm.v=""),"",_xlpm.v*_xlpm.w)
)</f>
        <v/>
      </c>
      <c r="P72" s="93" t="str" cm="1">
        <f t="array" ref="P72">_xlfn.LET(
  _xlpm.w, P$11,
  _xlpm.r, MATCH(1,('3. Enter Indicator Scores'!$B$10:$B$161=$B72)*('3. Enter Indicator Scores'!$C$10:$C$161=$C72),0),
  _xlpm.c, MATCH(P$8,'3. Enter Indicator Scores'!$D$8:$CZ$8,0),
  _xlpm.v, IFERROR(INDEX('3. Enter Indicator Scores'!$D$10:$CZ$161,_xlpm.r,_xlpm.c),""),
  IF(OR(_xlpm.w="",_xlpm.v=""),"",_xlpm.v*_xlpm.w)
)</f>
        <v/>
      </c>
      <c r="Q72" s="93" t="str" cm="1">
        <f t="array" ref="Q72">_xlfn.LET(
  _xlpm.w, Q$11,
  _xlpm.r, MATCH(1,('3. Enter Indicator Scores'!$B$10:$B$161=$B72)*('3. Enter Indicator Scores'!$C$10:$C$161=$C72),0),
  _xlpm.c, MATCH(Q$8,'3. Enter Indicator Scores'!$D$8:$CZ$8,0),
  _xlpm.v, IFERROR(INDEX('3. Enter Indicator Scores'!$D$10:$CZ$161,_xlpm.r,_xlpm.c),""),
  IF(OR(_xlpm.w="",_xlpm.v=""),"",_xlpm.v*_xlpm.w)
)</f>
        <v/>
      </c>
      <c r="R72" s="93" t="str" cm="1">
        <f t="array" ref="R72">_xlfn.LET(
  _xlpm.w, R$11,
  _xlpm.r, MATCH(1,('3. Enter Indicator Scores'!$B$10:$B$161=$B72)*('3. Enter Indicator Scores'!$C$10:$C$161=$C72),0),
  _xlpm.c, MATCH(R$8,'3. Enter Indicator Scores'!$D$8:$CZ$8,0),
  _xlpm.v, IFERROR(INDEX('3. Enter Indicator Scores'!$D$10:$CZ$161,_xlpm.r,_xlpm.c),""),
  IF(OR(_xlpm.w="",_xlpm.v=""),"",_xlpm.v*_xlpm.w)
)</f>
        <v/>
      </c>
      <c r="S72" s="93" t="str" cm="1">
        <f t="array" ref="S72">_xlfn.LET(
  _xlpm.w, S$11,
  _xlpm.r, MATCH(1,('3. Enter Indicator Scores'!$B$10:$B$161=$B72)*('3. Enter Indicator Scores'!$C$10:$C$161=$C72),0),
  _xlpm.c, MATCH(S$8,'3. Enter Indicator Scores'!$D$8:$CZ$8,0),
  _xlpm.v, IFERROR(INDEX('3. Enter Indicator Scores'!$D$10:$CZ$161,_xlpm.r,_xlpm.c),""),
  IF(OR(_xlpm.w="",_xlpm.v=""),"",_xlpm.v*_xlpm.w)
)</f>
        <v/>
      </c>
      <c r="T72" s="93" t="str" cm="1">
        <f t="array" ref="T72">_xlfn.LET(
  _xlpm.w, T$11,
  _xlpm.r, MATCH(1,('3. Enter Indicator Scores'!$B$10:$B$161=$B72)*('3. Enter Indicator Scores'!$C$10:$C$161=$C72),0),
  _xlpm.c, MATCH(T$8,'3. Enter Indicator Scores'!$D$8:$CZ$8,0),
  _xlpm.v, IFERROR(INDEX('3. Enter Indicator Scores'!$D$10:$CZ$161,_xlpm.r,_xlpm.c),""),
  IF(OR(_xlpm.w="",_xlpm.v=""),"",_xlpm.v*_xlpm.w)
)</f>
        <v/>
      </c>
      <c r="U72" s="93" t="str" cm="1">
        <f t="array" ref="U72">_xlfn.LET(
  _xlpm.w, U$11,
  _xlpm.r, MATCH(1,('3. Enter Indicator Scores'!$B$10:$B$161=$B72)*('3. Enter Indicator Scores'!$C$10:$C$161=$C72),0),
  _xlpm.c, MATCH(U$8,'3. Enter Indicator Scores'!$D$8:$CZ$8,0),
  _xlpm.v, IFERROR(INDEX('3. Enter Indicator Scores'!$D$10:$CZ$161,_xlpm.r,_xlpm.c),""),
  IF(OR(_xlpm.w="",_xlpm.v=""),"",_xlpm.v*_xlpm.w)
)</f>
        <v/>
      </c>
      <c r="V72" s="93" t="str" cm="1">
        <f t="array" ref="V72">_xlfn.LET(
  _xlpm.w, V$11,
  _xlpm.r, MATCH(1,('3. Enter Indicator Scores'!$B$10:$B$161=$B72)*('3. Enter Indicator Scores'!$C$10:$C$161=$C72),0),
  _xlpm.c, MATCH(V$8,'3. Enter Indicator Scores'!$D$8:$CZ$8,0),
  _xlpm.v, IFERROR(INDEX('3. Enter Indicator Scores'!$D$10:$CZ$161,_xlpm.r,_xlpm.c),""),
  IF(OR(_xlpm.w="",_xlpm.v=""),"",_xlpm.v*_xlpm.w)
)</f>
        <v/>
      </c>
      <c r="W72" s="93" t="str" cm="1">
        <f t="array" ref="W72">_xlfn.LET(
  _xlpm.w, W$11,
  _xlpm.r, MATCH(1,('3. Enter Indicator Scores'!$B$10:$B$161=$B72)*('3. Enter Indicator Scores'!$C$10:$C$161=$C72),0),
  _xlpm.c, MATCH(W$8,'3. Enter Indicator Scores'!$D$8:$CZ$8,0),
  _xlpm.v, IFERROR(INDEX('3. Enter Indicator Scores'!$D$10:$CZ$161,_xlpm.r,_xlpm.c),""),
  IF(OR(_xlpm.w="",_xlpm.v=""),"",_xlpm.v*_xlpm.w)
)</f>
        <v/>
      </c>
      <c r="X72" s="93" t="str" cm="1">
        <f t="array" ref="X72">_xlfn.LET(
  _xlpm.w, X$11,
  _xlpm.r, MATCH(1,('3. Enter Indicator Scores'!$B$10:$B$161=$B72)*('3. Enter Indicator Scores'!$C$10:$C$161=$C72),0),
  _xlpm.c, MATCH(X$8,'3. Enter Indicator Scores'!$D$8:$CZ$8,0),
  _xlpm.v, IFERROR(INDEX('3. Enter Indicator Scores'!$D$10:$CZ$161,_xlpm.r,_xlpm.c),""),
  IF(OR(_xlpm.w="",_xlpm.v=""),"",_xlpm.v*_xlpm.w)
)</f>
        <v/>
      </c>
      <c r="Y72" s="93" t="str" cm="1">
        <f t="array" ref="Y72">_xlfn.LET(
  _xlpm.w, Y$11,
  _xlpm.r, MATCH(1,('3. Enter Indicator Scores'!$B$10:$B$161=$B72)*('3. Enter Indicator Scores'!$C$10:$C$161=$C72),0),
  _xlpm.c, MATCH(Y$8,'3. Enter Indicator Scores'!$D$8:$CZ$8,0),
  _xlpm.v, IFERROR(INDEX('3. Enter Indicator Scores'!$D$10:$CZ$161,_xlpm.r,_xlpm.c),""),
  IF(OR(_xlpm.w="",_xlpm.v=""),"",_xlpm.v*_xlpm.w)
)</f>
        <v/>
      </c>
      <c r="Z72" s="93" t="str" cm="1">
        <f t="array" ref="Z72">_xlfn.LET(
  _xlpm.w, Z$11,
  _xlpm.r, MATCH(1,('3. Enter Indicator Scores'!$B$10:$B$161=$B72)*('3. Enter Indicator Scores'!$C$10:$C$161=$C72),0),
  _xlpm.c, MATCH(Z$8,'3. Enter Indicator Scores'!$D$8:$CZ$8,0),
  _xlpm.v, IFERROR(INDEX('3. Enter Indicator Scores'!$D$10:$CZ$161,_xlpm.r,_xlpm.c),""),
  IF(OR(_xlpm.w="",_xlpm.v=""),"",_xlpm.v*_xlpm.w)
)</f>
        <v/>
      </c>
      <c r="AA72" s="93" t="str" cm="1">
        <f t="array" ref="AA72">_xlfn.LET(
  _xlpm.w, AA$11,
  _xlpm.r, MATCH(1,('3. Enter Indicator Scores'!$B$10:$B$161=$B72)*('3. Enter Indicator Scores'!$C$10:$C$161=$C72),0),
  _xlpm.c, MATCH(AA$8,'3. Enter Indicator Scores'!$D$8:$CZ$8,0),
  _xlpm.v, IFERROR(INDEX('3. Enter Indicator Scores'!$D$10:$CZ$161,_xlpm.r,_xlpm.c),""),
  IF(OR(_xlpm.w="",_xlpm.v=""),"",_xlpm.v*_xlpm.w)
)</f>
        <v/>
      </c>
      <c r="AB72" s="93" t="str" cm="1">
        <f t="array" ref="AB72">_xlfn.LET(
  _xlpm.w, AB$11,
  _xlpm.r, MATCH(1,('3. Enter Indicator Scores'!$B$10:$B$161=$B72)*('3. Enter Indicator Scores'!$C$10:$C$161=$C72),0),
  _xlpm.c, MATCH(AB$8,'3. Enter Indicator Scores'!$D$8:$CZ$8,0),
  _xlpm.v, IFERROR(INDEX('3. Enter Indicator Scores'!$D$10:$CZ$161,_xlpm.r,_xlpm.c),""),
  IF(OR(_xlpm.w="",_xlpm.v=""),"",_xlpm.v*_xlpm.w)
)</f>
        <v/>
      </c>
      <c r="AC72" s="93" t="str" cm="1">
        <f t="array" ref="AC72">_xlfn.LET(
  _xlpm.w, AC$11,
  _xlpm.r, MATCH(1,('3. Enter Indicator Scores'!$B$10:$B$161=$B72)*('3. Enter Indicator Scores'!$C$10:$C$161=$C72),0),
  _xlpm.c, MATCH(AC$8,'3. Enter Indicator Scores'!$D$8:$CZ$8,0),
  _xlpm.v, IFERROR(INDEX('3. Enter Indicator Scores'!$D$10:$CZ$161,_xlpm.r,_xlpm.c),""),
  IF(OR(_xlpm.w="",_xlpm.v=""),"",_xlpm.v*_xlpm.w)
)</f>
        <v/>
      </c>
      <c r="AD72" s="93" t="str" cm="1">
        <f t="array" ref="AD72">_xlfn.LET(
  _xlpm.w, AD$11,
  _xlpm.r, MATCH(1,('3. Enter Indicator Scores'!$B$10:$B$161=$B72)*('3. Enter Indicator Scores'!$C$10:$C$161=$C72),0),
  _xlpm.c, MATCH(AD$8,'3. Enter Indicator Scores'!$D$8:$CZ$8,0),
  _xlpm.v, IFERROR(INDEX('3. Enter Indicator Scores'!$D$10:$CZ$161,_xlpm.r,_xlpm.c),""),
  IF(OR(_xlpm.w="",_xlpm.v=""),"",_xlpm.v*_xlpm.w)
)</f>
        <v/>
      </c>
      <c r="AE72" s="93" t="str" cm="1">
        <f t="array" ref="AE72">_xlfn.LET(
  _xlpm.w, AE$11,
  _xlpm.r, MATCH(1,('3. Enter Indicator Scores'!$B$10:$B$161=$B72)*('3. Enter Indicator Scores'!$C$10:$C$161=$C72),0),
  _xlpm.c, MATCH(AE$8,'3. Enter Indicator Scores'!$D$8:$CZ$8,0),
  _xlpm.v, IFERROR(INDEX('3. Enter Indicator Scores'!$D$10:$CZ$161,_xlpm.r,_xlpm.c),""),
  IF(OR(_xlpm.w="",_xlpm.v=""),"",_xlpm.v*_xlpm.w)
)</f>
        <v/>
      </c>
      <c r="AF72" s="93" t="str" cm="1">
        <f t="array" ref="AF72">_xlfn.LET(
  _xlpm.w, AF$11,
  _xlpm.r, MATCH(1,('3. Enter Indicator Scores'!$B$10:$B$161=$B72)*('3. Enter Indicator Scores'!$C$10:$C$161=$C72),0),
  _xlpm.c, MATCH(AF$8,'3. Enter Indicator Scores'!$D$8:$CZ$8,0),
  _xlpm.v, IFERROR(INDEX('3. Enter Indicator Scores'!$D$10:$CZ$161,_xlpm.r,_xlpm.c),""),
  IF(OR(_xlpm.w="",_xlpm.v=""),"",_xlpm.v*_xlpm.w)
)</f>
        <v/>
      </c>
      <c r="AG72" s="93" t="str" cm="1">
        <f t="array" ref="AG72">_xlfn.LET(
  _xlpm.w, AG$11,
  _xlpm.r, MATCH(1,('3. Enter Indicator Scores'!$B$10:$B$161=$B72)*('3. Enter Indicator Scores'!$C$10:$C$161=$C72),0),
  _xlpm.c, MATCH(AG$8,'3. Enter Indicator Scores'!$D$8:$CZ$8,0),
  _xlpm.v, IFERROR(INDEX('3. Enter Indicator Scores'!$D$10:$CZ$161,_xlpm.r,_xlpm.c),""),
  IF(OR(_xlpm.w="",_xlpm.v=""),"",_xlpm.v*_xlpm.w)
)</f>
        <v/>
      </c>
      <c r="AH72" s="93" t="str" cm="1">
        <f t="array" ref="AH72">_xlfn.LET(
  _xlpm.w, AH$11,
  _xlpm.r, MATCH(1,('3. Enter Indicator Scores'!$B$10:$B$161=$B72)*('3. Enter Indicator Scores'!$C$10:$C$161=$C72),0),
  _xlpm.c, MATCH(AH$8,'3. Enter Indicator Scores'!$D$8:$CZ$8,0),
  _xlpm.v, IFERROR(INDEX('3. Enter Indicator Scores'!$D$10:$CZ$161,_xlpm.r,_xlpm.c),""),
  IF(OR(_xlpm.w="",_xlpm.v=""),"",_xlpm.v*_xlpm.w)
)</f>
        <v/>
      </c>
      <c r="AI72" s="93" t="str" cm="1">
        <f t="array" ref="AI72">_xlfn.LET(
  _xlpm.w, AI$11,
  _xlpm.r, MATCH(1,('3. Enter Indicator Scores'!$B$10:$B$161=$B72)*('3. Enter Indicator Scores'!$C$10:$C$161=$C72),0),
  _xlpm.c, MATCH(AI$8,'3. Enter Indicator Scores'!$D$8:$CZ$8,0),
  _xlpm.v, IFERROR(INDEX('3. Enter Indicator Scores'!$D$10:$CZ$161,_xlpm.r,_xlpm.c),""),
  IF(OR(_xlpm.w="",_xlpm.v=""),"",_xlpm.v*_xlpm.w)
)</f>
        <v/>
      </c>
      <c r="AJ72" s="93" t="str" cm="1">
        <f t="array" ref="AJ72">_xlfn.LET(
  _xlpm.w, AJ$11,
  _xlpm.r, MATCH(1,('3. Enter Indicator Scores'!$B$10:$B$161=$B72)*('3. Enter Indicator Scores'!$C$10:$C$161=$C72),0),
  _xlpm.c, MATCH(AJ$8,'3. Enter Indicator Scores'!$D$8:$CZ$8,0),
  _xlpm.v, IFERROR(INDEX('3. Enter Indicator Scores'!$D$10:$CZ$161,_xlpm.r,_xlpm.c),""),
  IF(OR(_xlpm.w="",_xlpm.v=""),"",_xlpm.v*_xlpm.w)
)</f>
        <v/>
      </c>
      <c r="AK72" s="93" t="str" cm="1">
        <f t="array" ref="AK72">_xlfn.LET(
  _xlpm.w, AK$11,
  _xlpm.r, MATCH(1,('3. Enter Indicator Scores'!$B$10:$B$161=$B72)*('3. Enter Indicator Scores'!$C$10:$C$161=$C72),0),
  _xlpm.c, MATCH(AK$8,'3. Enter Indicator Scores'!$D$8:$CZ$8,0),
  _xlpm.v, IFERROR(INDEX('3. Enter Indicator Scores'!$D$10:$CZ$161,_xlpm.r,_xlpm.c),""),
  IF(OR(_xlpm.w="",_xlpm.v=""),"",_xlpm.v*_xlpm.w)
)</f>
        <v/>
      </c>
      <c r="AL72" s="93" t="str" cm="1">
        <f t="array" ref="AL72">_xlfn.LET(
  _xlpm.w, AL$11,
  _xlpm.r, MATCH(1,('3. Enter Indicator Scores'!$B$10:$B$161=$B72)*('3. Enter Indicator Scores'!$C$10:$C$161=$C72),0),
  _xlpm.c, MATCH(AL$8,'3. Enter Indicator Scores'!$D$8:$CZ$8,0),
  _xlpm.v, IFERROR(INDEX('3. Enter Indicator Scores'!$D$10:$CZ$161,_xlpm.r,_xlpm.c),""),
  IF(OR(_xlpm.w="",_xlpm.v=""),"",_xlpm.v*_xlpm.w)
)</f>
        <v/>
      </c>
      <c r="AM72" s="93" t="str" cm="1">
        <f t="array" ref="AM72">_xlfn.LET(
  _xlpm.w, AM$11,
  _xlpm.r, MATCH(1,('3. Enter Indicator Scores'!$B$10:$B$161=$B72)*('3. Enter Indicator Scores'!$C$10:$C$161=$C72),0),
  _xlpm.c, MATCH(AM$8,'3. Enter Indicator Scores'!$D$8:$CZ$8,0),
  _xlpm.v, IFERROR(INDEX('3. Enter Indicator Scores'!$D$10:$CZ$161,_xlpm.r,_xlpm.c),""),
  IF(OR(_xlpm.w="",_xlpm.v=""),"",_xlpm.v*_xlpm.w)
)</f>
        <v/>
      </c>
      <c r="AN72" s="93" t="str" cm="1">
        <f t="array" ref="AN72">_xlfn.LET(
  _xlpm.w, AN$11,
  _xlpm.r, MATCH(1,('3. Enter Indicator Scores'!$B$10:$B$161=$B72)*('3. Enter Indicator Scores'!$C$10:$C$161=$C72),0),
  _xlpm.c, MATCH(AN$8,'3. Enter Indicator Scores'!$D$8:$CZ$8,0),
  _xlpm.v, IFERROR(INDEX('3. Enter Indicator Scores'!$D$10:$CZ$161,_xlpm.r,_xlpm.c),""),
  IF(OR(_xlpm.w="",_xlpm.v=""),"",_xlpm.v*_xlpm.w)
)</f>
        <v/>
      </c>
      <c r="AO72" s="93" t="str" cm="1">
        <f t="array" ref="AO72">_xlfn.LET(
  _xlpm.w, AO$11,
  _xlpm.r, MATCH(1,('3. Enter Indicator Scores'!$B$10:$B$161=$B72)*('3. Enter Indicator Scores'!$C$10:$C$161=$C72),0),
  _xlpm.c, MATCH(AO$8,'3. Enter Indicator Scores'!$D$8:$CZ$8,0),
  _xlpm.v, IFERROR(INDEX('3. Enter Indicator Scores'!$D$10:$CZ$161,_xlpm.r,_xlpm.c),""),
  IF(OR(_xlpm.w="",_xlpm.v=""),"",_xlpm.v*_xlpm.w)
)</f>
        <v/>
      </c>
      <c r="AP72" s="93" t="str" cm="1">
        <f t="array" ref="AP72">_xlfn.LET(
  _xlpm.w, AP$11,
  _xlpm.r, MATCH(1,('3. Enter Indicator Scores'!$B$10:$B$161=$B72)*('3. Enter Indicator Scores'!$C$10:$C$161=$C72),0),
  _xlpm.c, MATCH(AP$8,'3. Enter Indicator Scores'!$D$8:$CZ$8,0),
  _xlpm.v, IFERROR(INDEX('3. Enter Indicator Scores'!$D$10:$CZ$161,_xlpm.r,_xlpm.c),""),
  IF(OR(_xlpm.w="",_xlpm.v=""),"",_xlpm.v*_xlpm.w)
)</f>
        <v/>
      </c>
      <c r="AQ72" s="93" t="str" cm="1">
        <f t="array" ref="AQ72">_xlfn.LET(
  _xlpm.w, AQ$11,
  _xlpm.r, MATCH(1,('3. Enter Indicator Scores'!$B$10:$B$161=$B72)*('3. Enter Indicator Scores'!$C$10:$C$161=$C72),0),
  _xlpm.c, MATCH(AQ$8,'3. Enter Indicator Scores'!$D$8:$CZ$8,0),
  _xlpm.v, IFERROR(INDEX('3. Enter Indicator Scores'!$D$10:$CZ$161,_xlpm.r,_xlpm.c),""),
  IF(OR(_xlpm.w="",_xlpm.v=""),"",_xlpm.v*_xlpm.w)
)</f>
        <v/>
      </c>
      <c r="AR72" s="93" t="str" cm="1">
        <f t="array" ref="AR72">_xlfn.LET(
  _xlpm.w, AR$11,
  _xlpm.r, MATCH(1,('3. Enter Indicator Scores'!$B$10:$B$161=$B72)*('3. Enter Indicator Scores'!$C$10:$C$161=$C72),0),
  _xlpm.c, MATCH(AR$8,'3. Enter Indicator Scores'!$D$8:$CZ$8,0),
  _xlpm.v, IFERROR(INDEX('3. Enter Indicator Scores'!$D$10:$CZ$161,_xlpm.r,_xlpm.c),""),
  IF(OR(_xlpm.w="",_xlpm.v=""),"",_xlpm.v*_xlpm.w)
)</f>
        <v/>
      </c>
      <c r="AS72" s="93" t="str" cm="1">
        <f t="array" ref="AS72">_xlfn.LET(
  _xlpm.w, AS$11,
  _xlpm.r, MATCH(1,('3. Enter Indicator Scores'!$B$10:$B$161=$B72)*('3. Enter Indicator Scores'!$C$10:$C$161=$C72),0),
  _xlpm.c, MATCH(AS$8,'3. Enter Indicator Scores'!$D$8:$CZ$8,0),
  _xlpm.v, IFERROR(INDEX('3. Enter Indicator Scores'!$D$10:$CZ$161,_xlpm.r,_xlpm.c),""),
  IF(OR(_xlpm.w="",_xlpm.v=""),"",_xlpm.v*_xlpm.w)
)</f>
        <v/>
      </c>
      <c r="AT72" s="93" t="str" cm="1">
        <f t="array" ref="AT72">_xlfn.LET(
  _xlpm.w, AT$11,
  _xlpm.r, MATCH(1,('3. Enter Indicator Scores'!$B$10:$B$161=$B72)*('3. Enter Indicator Scores'!$C$10:$C$161=$C72),0),
  _xlpm.c, MATCH(AT$8,'3. Enter Indicator Scores'!$D$8:$CZ$8,0),
  _xlpm.v, IFERROR(INDEX('3. Enter Indicator Scores'!$D$10:$CZ$161,_xlpm.r,_xlpm.c),""),
  IF(OR(_xlpm.w="",_xlpm.v=""),"",_xlpm.v*_xlpm.w)
)</f>
        <v/>
      </c>
      <c r="AU72" s="93" t="str" cm="1">
        <f t="array" ref="AU72">_xlfn.LET(
  _xlpm.w, AU$11,
  _xlpm.r, MATCH(1,('3. Enter Indicator Scores'!$B$10:$B$161=$B72)*('3. Enter Indicator Scores'!$C$10:$C$161=$C72),0),
  _xlpm.c, MATCH(AU$8,'3. Enter Indicator Scores'!$D$8:$CZ$8,0),
  _xlpm.v, IFERROR(INDEX('3. Enter Indicator Scores'!$D$10:$CZ$161,_xlpm.r,_xlpm.c),""),
  IF(OR(_xlpm.w="",_xlpm.v=""),"",_xlpm.v*_xlpm.w)
)</f>
        <v/>
      </c>
      <c r="AV72" s="93" t="str" cm="1">
        <f t="array" ref="AV72">_xlfn.LET(
  _xlpm.w, AV$11,
  _xlpm.r, MATCH(1,('3. Enter Indicator Scores'!$B$10:$B$161=$B72)*('3. Enter Indicator Scores'!$C$10:$C$161=$C72),0),
  _xlpm.c, MATCH(AV$8,'3. Enter Indicator Scores'!$D$8:$CZ$8,0),
  _xlpm.v, IFERROR(INDEX('3. Enter Indicator Scores'!$D$10:$CZ$161,_xlpm.r,_xlpm.c),""),
  IF(OR(_xlpm.w="",_xlpm.v=""),"",_xlpm.v*_xlpm.w)
)</f>
        <v/>
      </c>
      <c r="AW72" s="93" t="str" cm="1">
        <f t="array" ref="AW72">_xlfn.LET(
  _xlpm.w, AW$11,
  _xlpm.r, MATCH(1,('3. Enter Indicator Scores'!$B$10:$B$161=$B72)*('3. Enter Indicator Scores'!$C$10:$C$161=$C72),0),
  _xlpm.c, MATCH(AW$8,'3. Enter Indicator Scores'!$D$8:$CZ$8,0),
  _xlpm.v, IFERROR(INDEX('3. Enter Indicator Scores'!$D$10:$CZ$161,_xlpm.r,_xlpm.c),""),
  IF(OR(_xlpm.w="",_xlpm.v=""),"",_xlpm.v*_xlpm.w)
)</f>
        <v/>
      </c>
      <c r="AX72" s="93" t="str" cm="1">
        <f t="array" ref="AX72">_xlfn.LET(
  _xlpm.w, AX$11,
  _xlpm.r, MATCH(1,('3. Enter Indicator Scores'!$B$10:$B$161=$B72)*('3. Enter Indicator Scores'!$C$10:$C$161=$C72),0),
  _xlpm.c, MATCH(AX$8,'3. Enter Indicator Scores'!$D$8:$CZ$8,0),
  _xlpm.v, IFERROR(INDEX('3. Enter Indicator Scores'!$D$10:$CZ$161,_xlpm.r,_xlpm.c),""),
  IF(OR(_xlpm.w="",_xlpm.v=""),"",_xlpm.v*_xlpm.w)
)</f>
        <v/>
      </c>
      <c r="AY72" s="93" t="str" cm="1">
        <f t="array" ref="AY72">_xlfn.LET(
  _xlpm.w, AY$11,
  _xlpm.r, MATCH(1,('3. Enter Indicator Scores'!$B$10:$B$161=$B72)*('3. Enter Indicator Scores'!$C$10:$C$161=$C72),0),
  _xlpm.c, MATCH(AY$8,'3. Enter Indicator Scores'!$D$8:$CZ$8,0),
  _xlpm.v, IFERROR(INDEX('3. Enter Indicator Scores'!$D$10:$CZ$161,_xlpm.r,_xlpm.c),""),
  IF(OR(_xlpm.w="",_xlpm.v=""),"",_xlpm.v*_xlpm.w)
)</f>
        <v/>
      </c>
      <c r="AZ72" s="93" t="str" cm="1">
        <f t="array" ref="AZ72">_xlfn.LET(
  _xlpm.w, AZ$11,
  _xlpm.r, MATCH(1,('3. Enter Indicator Scores'!$B$10:$B$161=$B72)*('3. Enter Indicator Scores'!$C$10:$C$161=$C72),0),
  _xlpm.c, MATCH(AZ$8,'3. Enter Indicator Scores'!$D$8:$CZ$8,0),
  _xlpm.v, IFERROR(INDEX('3. Enter Indicator Scores'!$D$10:$CZ$161,_xlpm.r,_xlpm.c),""),
  IF(OR(_xlpm.w="",_xlpm.v=""),"",_xlpm.v*_xlpm.w)
)</f>
        <v/>
      </c>
      <c r="BA72" s="93" t="str" cm="1">
        <f t="array" ref="BA72">_xlfn.LET(
  _xlpm.w, BA$11,
  _xlpm.r, MATCH(1,('3. Enter Indicator Scores'!$B$10:$B$161=$B72)*('3. Enter Indicator Scores'!$C$10:$C$161=$C72),0),
  _xlpm.c, MATCH(BA$8,'3. Enter Indicator Scores'!$D$8:$CZ$8,0),
  _xlpm.v, IFERROR(INDEX('3. Enter Indicator Scores'!$D$10:$CZ$161,_xlpm.r,_xlpm.c),""),
  IF(OR(_xlpm.w="",_xlpm.v=""),"",_xlpm.v*_xlpm.w)
)</f>
        <v/>
      </c>
      <c r="BB72" s="93" t="str" cm="1">
        <f t="array" ref="BB72">_xlfn.LET(
  _xlpm.w, BB$11,
  _xlpm.r, MATCH(1,('3. Enter Indicator Scores'!$B$10:$B$161=$B72)*('3. Enter Indicator Scores'!$C$10:$C$161=$C72),0),
  _xlpm.c, MATCH(BB$8,'3. Enter Indicator Scores'!$D$8:$CZ$8,0),
  _xlpm.v, IFERROR(INDEX('3. Enter Indicator Scores'!$D$10:$CZ$161,_xlpm.r,_xlpm.c),""),
  IF(OR(_xlpm.w="",_xlpm.v=""),"",_xlpm.v*_xlpm.w)
)</f>
        <v/>
      </c>
      <c r="BC72" s="93" t="str" cm="1">
        <f t="array" ref="BC72">_xlfn.LET(
  _xlpm.w, BC$11,
  _xlpm.r, MATCH(1,('3. Enter Indicator Scores'!$B$10:$B$161=$B72)*('3. Enter Indicator Scores'!$C$10:$C$161=$C72),0),
  _xlpm.c, MATCH(BC$8,'3. Enter Indicator Scores'!$D$8:$CZ$8,0),
  _xlpm.v, IFERROR(INDEX('3. Enter Indicator Scores'!$D$10:$CZ$161,_xlpm.r,_xlpm.c),""),
  IF(OR(_xlpm.w="",_xlpm.v=""),"",_xlpm.v*_xlpm.w)
)</f>
        <v/>
      </c>
      <c r="BD72" s="93" t="str" cm="1">
        <f t="array" ref="BD72">_xlfn.LET(
  _xlpm.w, BD$11,
  _xlpm.r, MATCH(1,('3. Enter Indicator Scores'!$B$10:$B$161=$B72)*('3. Enter Indicator Scores'!$C$10:$C$161=$C72),0),
  _xlpm.c, MATCH(BD$8,'3. Enter Indicator Scores'!$D$8:$CZ$8,0),
  _xlpm.v, IFERROR(INDEX('3. Enter Indicator Scores'!$D$10:$CZ$161,_xlpm.r,_xlpm.c),""),
  IF(OR(_xlpm.w="",_xlpm.v=""),"",_xlpm.v*_xlpm.w)
)</f>
        <v/>
      </c>
      <c r="BE72" s="93" t="str" cm="1">
        <f t="array" ref="BE72">_xlfn.LET(
  _xlpm.w, BE$11,
  _xlpm.r, MATCH(1,('3. Enter Indicator Scores'!$B$10:$B$161=$B72)*('3. Enter Indicator Scores'!$C$10:$C$161=$C72),0),
  _xlpm.c, MATCH(BE$8,'3. Enter Indicator Scores'!$D$8:$CZ$8,0),
  _xlpm.v, IFERROR(INDEX('3. Enter Indicator Scores'!$D$10:$CZ$161,_xlpm.r,_xlpm.c),""),
  IF(OR(_xlpm.w="",_xlpm.v=""),"",_xlpm.v*_xlpm.w)
)</f>
        <v/>
      </c>
      <c r="BF72" s="93" t="str" cm="1">
        <f t="array" ref="BF72">_xlfn.LET(
  _xlpm.w, BF$11,
  _xlpm.r, MATCH(1,('3. Enter Indicator Scores'!$B$10:$B$161=$B72)*('3. Enter Indicator Scores'!$C$10:$C$161=$C72),0),
  _xlpm.c, MATCH(BF$8,'3. Enter Indicator Scores'!$D$8:$CZ$8,0),
  _xlpm.v, IFERROR(INDEX('3. Enter Indicator Scores'!$D$10:$CZ$161,_xlpm.r,_xlpm.c),""),
  IF(OR(_xlpm.w="",_xlpm.v=""),"",_xlpm.v*_xlpm.w)
)</f>
        <v/>
      </c>
      <c r="BG72" s="93" t="str" cm="1">
        <f t="array" ref="BG72">_xlfn.LET(
  _xlpm.w, BG$11,
  _xlpm.r, MATCH(1,('3. Enter Indicator Scores'!$B$10:$B$161=$B72)*('3. Enter Indicator Scores'!$C$10:$C$161=$C72),0),
  _xlpm.c, MATCH(BG$8,'3. Enter Indicator Scores'!$D$8:$CZ$8,0),
  _xlpm.v, IFERROR(INDEX('3. Enter Indicator Scores'!$D$10:$CZ$161,_xlpm.r,_xlpm.c),""),
  IF(OR(_xlpm.w="",_xlpm.v=""),"",_xlpm.v*_xlpm.w)
)</f>
        <v/>
      </c>
      <c r="BH72" s="93" t="str" cm="1">
        <f t="array" ref="BH72">_xlfn.LET(
  _xlpm.w, BH$11,
  _xlpm.r, MATCH(1,('3. Enter Indicator Scores'!$B$10:$B$161=$B72)*('3. Enter Indicator Scores'!$C$10:$C$161=$C72),0),
  _xlpm.c, MATCH(BH$8,'3. Enter Indicator Scores'!$D$8:$CZ$8,0),
  _xlpm.v, IFERROR(INDEX('3. Enter Indicator Scores'!$D$10:$CZ$161,_xlpm.r,_xlpm.c),""),
  IF(OR(_xlpm.w="",_xlpm.v=""),"",_xlpm.v*_xlpm.w)
)</f>
        <v/>
      </c>
      <c r="BI72" s="93" t="str" cm="1">
        <f t="array" ref="BI72">_xlfn.LET(
  _xlpm.w, BI$11,
  _xlpm.r, MATCH(1,('3. Enter Indicator Scores'!$B$10:$B$161=$B72)*('3. Enter Indicator Scores'!$C$10:$C$161=$C72),0),
  _xlpm.c, MATCH(BI$8,'3. Enter Indicator Scores'!$D$8:$CZ$8,0),
  _xlpm.v, IFERROR(INDEX('3. Enter Indicator Scores'!$D$10:$CZ$161,_xlpm.r,_xlpm.c),""),
  IF(OR(_xlpm.w="",_xlpm.v=""),"",_xlpm.v*_xlpm.w)
)</f>
        <v/>
      </c>
      <c r="BJ72" s="93" t="str" cm="1">
        <f t="array" ref="BJ72">_xlfn.LET(
  _xlpm.w, BJ$11,
  _xlpm.r, MATCH(1,('3. Enter Indicator Scores'!$B$10:$B$161=$B72)*('3. Enter Indicator Scores'!$C$10:$C$161=$C72),0),
  _xlpm.c, MATCH(BJ$8,'3. Enter Indicator Scores'!$D$8:$CZ$8,0),
  _xlpm.v, IFERROR(INDEX('3. Enter Indicator Scores'!$D$10:$CZ$161,_xlpm.r,_xlpm.c),""),
  IF(OR(_xlpm.w="",_xlpm.v=""),"",_xlpm.v*_xlpm.w)
)</f>
        <v/>
      </c>
      <c r="BK72" s="93" t="str" cm="1">
        <f t="array" ref="BK72">_xlfn.LET(
  _xlpm.w, BK$11,
  _xlpm.r, MATCH(1,('3. Enter Indicator Scores'!$B$10:$B$161=$B72)*('3. Enter Indicator Scores'!$C$10:$C$161=$C72),0),
  _xlpm.c, MATCH(BK$8,'3. Enter Indicator Scores'!$D$8:$CZ$8,0),
  _xlpm.v, IFERROR(INDEX('3. Enter Indicator Scores'!$D$10:$CZ$161,_xlpm.r,_xlpm.c),""),
  IF(OR(_xlpm.w="",_xlpm.v=""),"",_xlpm.v*_xlpm.w)
)</f>
        <v/>
      </c>
      <c r="BL72" s="93" t="str" cm="1">
        <f t="array" ref="BL72">_xlfn.LET(
  _xlpm.w, BL$11,
  _xlpm.r, MATCH(1,('3. Enter Indicator Scores'!$B$10:$B$161=$B72)*('3. Enter Indicator Scores'!$C$10:$C$161=$C72),0),
  _xlpm.c, MATCH(BL$8,'3. Enter Indicator Scores'!$D$8:$CZ$8,0),
  _xlpm.v, IFERROR(INDEX('3. Enter Indicator Scores'!$D$10:$CZ$161,_xlpm.r,_xlpm.c),""),
  IF(OR(_xlpm.w="",_xlpm.v=""),"",_xlpm.v*_xlpm.w)
)</f>
        <v/>
      </c>
      <c r="BM72" s="93" t="str" cm="1">
        <f t="array" ref="BM72">_xlfn.LET(
  _xlpm.w, BM$11,
  _xlpm.r, MATCH(1,('3. Enter Indicator Scores'!$B$10:$B$161=$B72)*('3. Enter Indicator Scores'!$C$10:$C$161=$C72),0),
  _xlpm.c, MATCH(BM$8,'3. Enter Indicator Scores'!$D$8:$CZ$8,0),
  _xlpm.v, IFERROR(INDEX('3. Enter Indicator Scores'!$D$10:$CZ$161,_xlpm.r,_xlpm.c),""),
  IF(OR(_xlpm.w="",_xlpm.v=""),"",_xlpm.v*_xlpm.w)
)</f>
        <v/>
      </c>
      <c r="BN72" s="93" t="str" cm="1">
        <f t="array" ref="BN72">_xlfn.LET(
  _xlpm.w, BN$11,
  _xlpm.r, MATCH(1,('3. Enter Indicator Scores'!$B$10:$B$161=$B72)*('3. Enter Indicator Scores'!$C$10:$C$161=$C72),0),
  _xlpm.c, MATCH(BN$8,'3. Enter Indicator Scores'!$D$8:$CZ$8,0),
  _xlpm.v, IFERROR(INDEX('3. Enter Indicator Scores'!$D$10:$CZ$161,_xlpm.r,_xlpm.c),""),
  IF(OR(_xlpm.w="",_xlpm.v=""),"",_xlpm.v*_xlpm.w)
)</f>
        <v/>
      </c>
      <c r="BO72" s="93" t="str" cm="1">
        <f t="array" ref="BO72">_xlfn.LET(
  _xlpm.w, BO$11,
  _xlpm.r, MATCH(1,('3. Enter Indicator Scores'!$B$10:$B$161=$B72)*('3. Enter Indicator Scores'!$C$10:$C$161=$C72),0),
  _xlpm.c, MATCH(BO$8,'3. Enter Indicator Scores'!$D$8:$CZ$8,0),
  _xlpm.v, IFERROR(INDEX('3. Enter Indicator Scores'!$D$10:$CZ$161,_xlpm.r,_xlpm.c),""),
  IF(OR(_xlpm.w="",_xlpm.v=""),"",_xlpm.v*_xlpm.w)
)</f>
        <v/>
      </c>
      <c r="BP72" s="93" t="str" cm="1">
        <f t="array" ref="BP72">_xlfn.LET(
  _xlpm.w, BP$11,
  _xlpm.r, MATCH(1,('3. Enter Indicator Scores'!$B$10:$B$161=$B72)*('3. Enter Indicator Scores'!$C$10:$C$161=$C72),0),
  _xlpm.c, MATCH(BP$8,'3. Enter Indicator Scores'!$D$8:$CZ$8,0),
  _xlpm.v, IFERROR(INDEX('3. Enter Indicator Scores'!$D$10:$CZ$161,_xlpm.r,_xlpm.c),""),
  IF(OR(_xlpm.w="",_xlpm.v=""),"",_xlpm.v*_xlpm.w)
)</f>
        <v/>
      </c>
      <c r="BQ72" s="93" t="str" cm="1">
        <f t="array" ref="BQ72">_xlfn.LET(
  _xlpm.w, BQ$11,
  _xlpm.r, MATCH(1,('3. Enter Indicator Scores'!$B$10:$B$161=$B72)*('3. Enter Indicator Scores'!$C$10:$C$161=$C72),0),
  _xlpm.c, MATCH(BQ$8,'3. Enter Indicator Scores'!$D$8:$CZ$8,0),
  _xlpm.v, IFERROR(INDEX('3. Enter Indicator Scores'!$D$10:$CZ$161,_xlpm.r,_xlpm.c),""),
  IF(OR(_xlpm.w="",_xlpm.v=""),"",_xlpm.v*_xlpm.w)
)</f>
        <v/>
      </c>
      <c r="BR72" s="93" t="str" cm="1">
        <f t="array" ref="BR72">_xlfn.LET(
  _xlpm.w, BR$11,
  _xlpm.r, MATCH(1,('3. Enter Indicator Scores'!$B$10:$B$161=$B72)*('3. Enter Indicator Scores'!$C$10:$C$161=$C72),0),
  _xlpm.c, MATCH(BR$8,'3. Enter Indicator Scores'!$D$8:$CZ$8,0),
  _xlpm.v, IFERROR(INDEX('3. Enter Indicator Scores'!$D$10:$CZ$161,_xlpm.r,_xlpm.c),""),
  IF(OR(_xlpm.w="",_xlpm.v=""),"",_xlpm.v*_xlpm.w)
)</f>
        <v/>
      </c>
      <c r="BS72" s="93" t="str" cm="1">
        <f t="array" ref="BS72">_xlfn.LET(
  _xlpm.w, BS$11,
  _xlpm.r, MATCH(1,('3. Enter Indicator Scores'!$B$10:$B$161=$B72)*('3. Enter Indicator Scores'!$C$10:$C$161=$C72),0),
  _xlpm.c, MATCH(BS$8,'3. Enter Indicator Scores'!$D$8:$CZ$8,0),
  _xlpm.v, IFERROR(INDEX('3. Enter Indicator Scores'!$D$10:$CZ$161,_xlpm.r,_xlpm.c),""),
  IF(OR(_xlpm.w="",_xlpm.v=""),"",_xlpm.v*_xlpm.w)
)</f>
        <v/>
      </c>
      <c r="BT72" s="93" t="str" cm="1">
        <f t="array" ref="BT72">_xlfn.LET(
  _xlpm.w, BT$11,
  _xlpm.r, MATCH(1,('3. Enter Indicator Scores'!$B$10:$B$161=$B72)*('3. Enter Indicator Scores'!$C$10:$C$161=$C72),0),
  _xlpm.c, MATCH(BT$8,'3. Enter Indicator Scores'!$D$8:$CZ$8,0),
  _xlpm.v, IFERROR(INDEX('3. Enter Indicator Scores'!$D$10:$CZ$161,_xlpm.r,_xlpm.c),""),
  IF(OR(_xlpm.w="",_xlpm.v=""),"",_xlpm.v*_xlpm.w)
)</f>
        <v/>
      </c>
      <c r="BU72" s="93" t="str" cm="1">
        <f t="array" ref="BU72">_xlfn.LET(
  _xlpm.w, BU$11,
  _xlpm.r, MATCH(1,('3. Enter Indicator Scores'!$B$10:$B$161=$B72)*('3. Enter Indicator Scores'!$C$10:$C$161=$C72),0),
  _xlpm.c, MATCH(BU$8,'3. Enter Indicator Scores'!$D$8:$CZ$8,0),
  _xlpm.v, IFERROR(INDEX('3. Enter Indicator Scores'!$D$10:$CZ$161,_xlpm.r,_xlpm.c),""),
  IF(OR(_xlpm.w="",_xlpm.v=""),"",_xlpm.v*_xlpm.w)
)</f>
        <v/>
      </c>
      <c r="BV72" s="93" t="str" cm="1">
        <f t="array" ref="BV72">_xlfn.LET(
  _xlpm.w, BV$11,
  _xlpm.r, MATCH(1,('3. Enter Indicator Scores'!$B$10:$B$161=$B72)*('3. Enter Indicator Scores'!$C$10:$C$161=$C72),0),
  _xlpm.c, MATCH(BV$8,'3. Enter Indicator Scores'!$D$8:$CZ$8,0),
  _xlpm.v, IFERROR(INDEX('3. Enter Indicator Scores'!$D$10:$CZ$161,_xlpm.r,_xlpm.c),""),
  IF(OR(_xlpm.w="",_xlpm.v=""),"",_xlpm.v*_xlpm.w)
)</f>
        <v/>
      </c>
      <c r="BW72" s="93" t="str" cm="1">
        <f t="array" ref="BW72">_xlfn.LET(
  _xlpm.w, BW$11,
  _xlpm.r, MATCH(1,('3. Enter Indicator Scores'!$B$10:$B$161=$B72)*('3. Enter Indicator Scores'!$C$10:$C$161=$C72),0),
  _xlpm.c, MATCH(BW$8,'3. Enter Indicator Scores'!$D$8:$CZ$8,0),
  _xlpm.v, IFERROR(INDEX('3. Enter Indicator Scores'!$D$10:$CZ$161,_xlpm.r,_xlpm.c),""),
  IF(OR(_xlpm.w="",_xlpm.v=""),"",_xlpm.v*_xlpm.w)
)</f>
        <v/>
      </c>
      <c r="BX72" s="93" t="str" cm="1">
        <f t="array" ref="BX72">_xlfn.LET(
  _xlpm.w, BX$11,
  _xlpm.r, MATCH(1,('3. Enter Indicator Scores'!$B$10:$B$161=$B72)*('3. Enter Indicator Scores'!$C$10:$C$161=$C72),0),
  _xlpm.c, MATCH(BX$8,'3. Enter Indicator Scores'!$D$8:$CZ$8,0),
  _xlpm.v, IFERROR(INDEX('3. Enter Indicator Scores'!$D$10:$CZ$161,_xlpm.r,_xlpm.c),""),
  IF(OR(_xlpm.w="",_xlpm.v=""),"",_xlpm.v*_xlpm.w)
)</f>
        <v/>
      </c>
      <c r="BY72" s="93" t="str" cm="1">
        <f t="array" ref="BY72">_xlfn.LET(
  _xlpm.w, BY$11,
  _xlpm.r, MATCH(1,('3. Enter Indicator Scores'!$B$10:$B$161=$B72)*('3. Enter Indicator Scores'!$C$10:$C$161=$C72),0),
  _xlpm.c, MATCH(BY$8,'3. Enter Indicator Scores'!$D$8:$CZ$8,0),
  _xlpm.v, IFERROR(INDEX('3. Enter Indicator Scores'!$D$10:$CZ$161,_xlpm.r,_xlpm.c),""),
  IF(OR(_xlpm.w="",_xlpm.v=""),"",_xlpm.v*_xlpm.w)
)</f>
        <v/>
      </c>
      <c r="BZ72" s="93" t="str" cm="1">
        <f t="array" ref="BZ72">_xlfn.LET(
  _xlpm.w, BZ$11,
  _xlpm.r, MATCH(1,('3. Enter Indicator Scores'!$B$10:$B$161=$B72)*('3. Enter Indicator Scores'!$C$10:$C$161=$C72),0),
  _xlpm.c, MATCH(BZ$8,'3. Enter Indicator Scores'!$D$8:$CZ$8,0),
  _xlpm.v, IFERROR(INDEX('3. Enter Indicator Scores'!$D$10:$CZ$161,_xlpm.r,_xlpm.c),""),
  IF(OR(_xlpm.w="",_xlpm.v=""),"",_xlpm.v*_xlpm.w)
)</f>
        <v/>
      </c>
      <c r="CA72" s="93" t="str" cm="1">
        <f t="array" ref="CA72">_xlfn.LET(
  _xlpm.w, CA$11,
  _xlpm.r, MATCH(1,('3. Enter Indicator Scores'!$B$10:$B$161=$B72)*('3. Enter Indicator Scores'!$C$10:$C$161=$C72),0),
  _xlpm.c, MATCH(CA$8,'3. Enter Indicator Scores'!$D$8:$CZ$8,0),
  _xlpm.v, IFERROR(INDEX('3. Enter Indicator Scores'!$D$10:$CZ$161,_xlpm.r,_xlpm.c),""),
  IF(OR(_xlpm.w="",_xlpm.v=""),"",_xlpm.v*_xlpm.w)
)</f>
        <v/>
      </c>
      <c r="CB72" s="93" t="str" cm="1">
        <f t="array" ref="CB72">_xlfn.LET(
  _xlpm.w, CB$11,
  _xlpm.r, MATCH(1,('3. Enter Indicator Scores'!$B$10:$B$161=$B72)*('3. Enter Indicator Scores'!$C$10:$C$161=$C72),0),
  _xlpm.c, MATCH(CB$8,'3. Enter Indicator Scores'!$D$8:$CZ$8,0),
  _xlpm.v, IFERROR(INDEX('3. Enter Indicator Scores'!$D$10:$CZ$161,_xlpm.r,_xlpm.c),""),
  IF(OR(_xlpm.w="",_xlpm.v=""),"",_xlpm.v*_xlpm.w)
)</f>
        <v/>
      </c>
      <c r="CC72" s="93" t="str" cm="1">
        <f t="array" ref="CC72">_xlfn.LET(
  _xlpm.w, CC$11,
  _xlpm.r, MATCH(1,('3. Enter Indicator Scores'!$B$10:$B$161=$B72)*('3. Enter Indicator Scores'!$C$10:$C$161=$C72),0),
  _xlpm.c, MATCH(CC$8,'3. Enter Indicator Scores'!$D$8:$CZ$8,0),
  _xlpm.v, IFERROR(INDEX('3. Enter Indicator Scores'!$D$10:$CZ$161,_xlpm.r,_xlpm.c),""),
  IF(OR(_xlpm.w="",_xlpm.v=""),"",_xlpm.v*_xlpm.w)
)</f>
        <v/>
      </c>
      <c r="CD72" s="93" t="str" cm="1">
        <f t="array" ref="CD72">_xlfn.LET(
  _xlpm.w, CD$11,
  _xlpm.r, MATCH(1,('3. Enter Indicator Scores'!$B$10:$B$161=$B72)*('3. Enter Indicator Scores'!$C$10:$C$161=$C72),0),
  _xlpm.c, MATCH(CD$8,'3. Enter Indicator Scores'!$D$8:$CZ$8,0),
  _xlpm.v, IFERROR(INDEX('3. Enter Indicator Scores'!$D$10:$CZ$161,_xlpm.r,_xlpm.c),""),
  IF(OR(_xlpm.w="",_xlpm.v=""),"",_xlpm.v*_xlpm.w)
)</f>
        <v/>
      </c>
      <c r="CE72" s="93" t="str" cm="1">
        <f t="array" ref="CE72">_xlfn.LET(
  _xlpm.w, CE$11,
  _xlpm.r, MATCH(1,('3. Enter Indicator Scores'!$B$10:$B$161=$B72)*('3. Enter Indicator Scores'!$C$10:$C$161=$C72),0),
  _xlpm.c, MATCH(CE$8,'3. Enter Indicator Scores'!$D$8:$CZ$8,0),
  _xlpm.v, IFERROR(INDEX('3. Enter Indicator Scores'!$D$10:$CZ$161,_xlpm.r,_xlpm.c),""),
  IF(OR(_xlpm.w="",_xlpm.v=""),"",_xlpm.v*_xlpm.w)
)</f>
        <v/>
      </c>
      <c r="CF72" s="93" t="str" cm="1">
        <f t="array" ref="CF72">_xlfn.LET(
  _xlpm.w, CF$11,
  _xlpm.r, MATCH(1,('3. Enter Indicator Scores'!$B$10:$B$161=$B72)*('3. Enter Indicator Scores'!$C$10:$C$161=$C72),0),
  _xlpm.c, MATCH(CF$8,'3. Enter Indicator Scores'!$D$8:$CZ$8,0),
  _xlpm.v, IFERROR(INDEX('3. Enter Indicator Scores'!$D$10:$CZ$161,_xlpm.r,_xlpm.c),""),
  IF(OR(_xlpm.w="",_xlpm.v=""),"",_xlpm.v*_xlpm.w)
)</f>
        <v/>
      </c>
      <c r="CG72" s="93" t="str" cm="1">
        <f t="array" ref="CG72">_xlfn.LET(
  _xlpm.w, CG$11,
  _xlpm.r, MATCH(1,('3. Enter Indicator Scores'!$B$10:$B$161=$B72)*('3. Enter Indicator Scores'!$C$10:$C$161=$C72),0),
  _xlpm.c, MATCH(CG$8,'3. Enter Indicator Scores'!$D$8:$CZ$8,0),
  _xlpm.v, IFERROR(INDEX('3. Enter Indicator Scores'!$D$10:$CZ$161,_xlpm.r,_xlpm.c),""),
  IF(OR(_xlpm.w="",_xlpm.v=""),"",_xlpm.v*_xlpm.w)
)</f>
        <v/>
      </c>
      <c r="CH72" s="93" t="str" cm="1">
        <f t="array" ref="CH72">_xlfn.LET(
  _xlpm.w, CH$11,
  _xlpm.r, MATCH(1,('3. Enter Indicator Scores'!$B$10:$B$161=$B72)*('3. Enter Indicator Scores'!$C$10:$C$161=$C72),0),
  _xlpm.c, MATCH(CH$8,'3. Enter Indicator Scores'!$D$8:$CZ$8,0),
  _xlpm.v, IFERROR(INDEX('3. Enter Indicator Scores'!$D$10:$CZ$161,_xlpm.r,_xlpm.c),""),
  IF(OR(_xlpm.w="",_xlpm.v=""),"",_xlpm.v*_xlpm.w)
)</f>
        <v/>
      </c>
      <c r="CI72" s="93" t="str" cm="1">
        <f t="array" ref="CI72">_xlfn.LET(
  _xlpm.w, CI$11,
  _xlpm.r, MATCH(1,('3. Enter Indicator Scores'!$B$10:$B$161=$B72)*('3. Enter Indicator Scores'!$C$10:$C$161=$C72),0),
  _xlpm.c, MATCH(CI$8,'3. Enter Indicator Scores'!$D$8:$CZ$8,0),
  _xlpm.v, IFERROR(INDEX('3. Enter Indicator Scores'!$D$10:$CZ$161,_xlpm.r,_xlpm.c),""),
  IF(OR(_xlpm.w="",_xlpm.v=""),"",_xlpm.v*_xlpm.w)
)</f>
        <v/>
      </c>
      <c r="CJ72" s="93" t="str" cm="1">
        <f t="array" ref="CJ72">_xlfn.LET(
  _xlpm.w, CJ$11,
  _xlpm.r, MATCH(1,('3. Enter Indicator Scores'!$B$10:$B$161=$B72)*('3. Enter Indicator Scores'!$C$10:$C$161=$C72),0),
  _xlpm.c, MATCH(CJ$8,'3. Enter Indicator Scores'!$D$8:$CZ$8,0),
  _xlpm.v, IFERROR(INDEX('3. Enter Indicator Scores'!$D$10:$CZ$161,_xlpm.r,_xlpm.c),""),
  IF(OR(_xlpm.w="",_xlpm.v=""),"",_xlpm.v*_xlpm.w)
)</f>
        <v/>
      </c>
      <c r="CK72" s="93" t="str" cm="1">
        <f t="array" ref="CK72">_xlfn.LET(
  _xlpm.w, CK$11,
  _xlpm.r, MATCH(1,('3. Enter Indicator Scores'!$B$10:$B$161=$B72)*('3. Enter Indicator Scores'!$C$10:$C$161=$C72),0),
  _xlpm.c, MATCH(CK$8,'3. Enter Indicator Scores'!$D$8:$CZ$8,0),
  _xlpm.v, IFERROR(INDEX('3. Enter Indicator Scores'!$D$10:$CZ$161,_xlpm.r,_xlpm.c),""),
  IF(OR(_xlpm.w="",_xlpm.v=""),"",_xlpm.v*_xlpm.w)
)</f>
        <v/>
      </c>
      <c r="CL72" s="93" t="str" cm="1">
        <f t="array" ref="CL72">_xlfn.LET(
  _xlpm.w, CL$11,
  _xlpm.r, MATCH(1,('3. Enter Indicator Scores'!$B$10:$B$161=$B72)*('3. Enter Indicator Scores'!$C$10:$C$161=$C72),0),
  _xlpm.c, MATCH(CL$8,'3. Enter Indicator Scores'!$D$8:$CZ$8,0),
  _xlpm.v, IFERROR(INDEX('3. Enter Indicator Scores'!$D$10:$CZ$161,_xlpm.r,_xlpm.c),""),
  IF(OR(_xlpm.w="",_xlpm.v=""),"",_xlpm.v*_xlpm.w)
)</f>
        <v/>
      </c>
      <c r="CM72" s="93" t="str" cm="1">
        <f t="array" ref="CM72">_xlfn.LET(
  _xlpm.w, CM$11,
  _xlpm.r, MATCH(1,('3. Enter Indicator Scores'!$B$10:$B$161=$B72)*('3. Enter Indicator Scores'!$C$10:$C$161=$C72),0),
  _xlpm.c, MATCH(CM$8,'3. Enter Indicator Scores'!$D$8:$CZ$8,0),
  _xlpm.v, IFERROR(INDEX('3. Enter Indicator Scores'!$D$10:$CZ$161,_xlpm.r,_xlpm.c),""),
  IF(OR(_xlpm.w="",_xlpm.v=""),"",_xlpm.v*_xlpm.w)
)</f>
        <v/>
      </c>
      <c r="CN72" s="93" t="str" cm="1">
        <f t="array" ref="CN72">_xlfn.LET(
  _xlpm.w, CN$11,
  _xlpm.r, MATCH(1,('3. Enter Indicator Scores'!$B$10:$B$161=$B72)*('3. Enter Indicator Scores'!$C$10:$C$161=$C72),0),
  _xlpm.c, MATCH(CN$8,'3. Enter Indicator Scores'!$D$8:$CZ$8,0),
  _xlpm.v, IFERROR(INDEX('3. Enter Indicator Scores'!$D$10:$CZ$161,_xlpm.r,_xlpm.c),""),
  IF(OR(_xlpm.w="",_xlpm.v=""),"",_xlpm.v*_xlpm.w)
)</f>
        <v/>
      </c>
      <c r="CO72" s="93" t="str" cm="1">
        <f t="array" ref="CO72">_xlfn.LET(
  _xlpm.w, CO$11,
  _xlpm.r, MATCH(1,('3. Enter Indicator Scores'!$B$10:$B$161=$B72)*('3. Enter Indicator Scores'!$C$10:$C$161=$C72),0),
  _xlpm.c, MATCH(CO$8,'3. Enter Indicator Scores'!$D$8:$CZ$8,0),
  _xlpm.v, IFERROR(INDEX('3. Enter Indicator Scores'!$D$10:$CZ$161,_xlpm.r,_xlpm.c),""),
  IF(OR(_xlpm.w="",_xlpm.v=""),"",_xlpm.v*_xlpm.w)
)</f>
        <v/>
      </c>
      <c r="CP72" s="93" t="str" cm="1">
        <f t="array" ref="CP72">_xlfn.LET(
  _xlpm.w, CP$11,
  _xlpm.r, MATCH(1,('3. Enter Indicator Scores'!$B$10:$B$161=$B72)*('3. Enter Indicator Scores'!$C$10:$C$161=$C72),0),
  _xlpm.c, MATCH(CP$8,'3. Enter Indicator Scores'!$D$8:$CZ$8,0),
  _xlpm.v, IFERROR(INDEX('3. Enter Indicator Scores'!$D$10:$CZ$161,_xlpm.r,_xlpm.c),""),
  IF(OR(_xlpm.w="",_xlpm.v=""),"",_xlpm.v*_xlpm.w)
)</f>
        <v/>
      </c>
      <c r="CQ72" s="93" t="str" cm="1">
        <f t="array" ref="CQ72">_xlfn.LET(
  _xlpm.w, CQ$11,
  _xlpm.r, MATCH(1,('3. Enter Indicator Scores'!$B$10:$B$161=$B72)*('3. Enter Indicator Scores'!$C$10:$C$161=$C72),0),
  _xlpm.c, MATCH(CQ$8,'3. Enter Indicator Scores'!$D$8:$CZ$8,0),
  _xlpm.v, IFERROR(INDEX('3. Enter Indicator Scores'!$D$10:$CZ$161,_xlpm.r,_xlpm.c),""),
  IF(OR(_xlpm.w="",_xlpm.v=""),"",_xlpm.v*_xlpm.w)
)</f>
        <v/>
      </c>
      <c r="CR72" s="93" t="str" cm="1">
        <f t="array" ref="CR72">_xlfn.LET(
  _xlpm.w, CR$11,
  _xlpm.r, MATCH(1,('3. Enter Indicator Scores'!$B$10:$B$161=$B72)*('3. Enter Indicator Scores'!$C$10:$C$161=$C72),0),
  _xlpm.c, MATCH(CR$8,'3. Enter Indicator Scores'!$D$8:$CZ$8,0),
  _xlpm.v, IFERROR(INDEX('3. Enter Indicator Scores'!$D$10:$CZ$161,_xlpm.r,_xlpm.c),""),
  IF(OR(_xlpm.w="",_xlpm.v=""),"",_xlpm.v*_xlpm.w)
)</f>
        <v/>
      </c>
      <c r="CS72" s="93" t="str" cm="1">
        <f t="array" ref="CS72">_xlfn.LET(
  _xlpm.w, CS$11,
  _xlpm.r, MATCH(1,('3. Enter Indicator Scores'!$B$10:$B$161=$B72)*('3. Enter Indicator Scores'!$C$10:$C$161=$C72),0),
  _xlpm.c, MATCH(CS$8,'3. Enter Indicator Scores'!$D$8:$CZ$8,0),
  _xlpm.v, IFERROR(INDEX('3. Enter Indicator Scores'!$D$10:$CZ$161,_xlpm.r,_xlpm.c),""),
  IF(OR(_xlpm.w="",_xlpm.v=""),"",_xlpm.v*_xlpm.w)
)</f>
        <v/>
      </c>
      <c r="CT72" s="93" t="str" cm="1">
        <f t="array" ref="CT72">_xlfn.LET(
  _xlpm.w, CT$11,
  _xlpm.r, MATCH(1,('3. Enter Indicator Scores'!$B$10:$B$161=$B72)*('3. Enter Indicator Scores'!$C$10:$C$161=$C72),0),
  _xlpm.c, MATCH(CT$8,'3. Enter Indicator Scores'!$D$8:$CZ$8,0),
  _xlpm.v, IFERROR(INDEX('3. Enter Indicator Scores'!$D$10:$CZ$161,_xlpm.r,_xlpm.c),""),
  IF(OR(_xlpm.w="",_xlpm.v=""),"",_xlpm.v*_xlpm.w)
)</f>
        <v/>
      </c>
      <c r="CU72" s="93" t="str" cm="1">
        <f t="array" ref="CU72">_xlfn.LET(
  _xlpm.w, CU$11,
  _xlpm.r, MATCH(1,('3. Enter Indicator Scores'!$B$10:$B$161=$B72)*('3. Enter Indicator Scores'!$C$10:$C$161=$C72),0),
  _xlpm.c, MATCH(CU$8,'3. Enter Indicator Scores'!$D$8:$CZ$8,0),
  _xlpm.v, IFERROR(INDEX('3. Enter Indicator Scores'!$D$10:$CZ$161,_xlpm.r,_xlpm.c),""),
  IF(OR(_xlpm.w="",_xlpm.v=""),"",_xlpm.v*_xlpm.w)
)</f>
        <v/>
      </c>
      <c r="CV72" s="93" t="str" cm="1">
        <f t="array" ref="CV72">_xlfn.LET(
  _xlpm.w, CV$11,
  _xlpm.r, MATCH(1,('3. Enter Indicator Scores'!$B$10:$B$161=$B72)*('3. Enter Indicator Scores'!$C$10:$C$161=$C72),0),
  _xlpm.c, MATCH(CV$8,'3. Enter Indicator Scores'!$D$8:$CZ$8,0),
  _xlpm.v, IFERROR(INDEX('3. Enter Indicator Scores'!$D$10:$CZ$161,_xlpm.r,_xlpm.c),""),
  IF(OR(_xlpm.w="",_xlpm.v=""),"",_xlpm.v*_xlpm.w)
)</f>
        <v/>
      </c>
      <c r="CW72" s="93" t="str" cm="1">
        <f t="array" ref="CW72">_xlfn.LET(
  _xlpm.w, CW$11,
  _xlpm.r, MATCH(1,('3. Enter Indicator Scores'!$B$10:$B$161=$B72)*('3. Enter Indicator Scores'!$C$10:$C$161=$C72),0),
  _xlpm.c, MATCH(CW$8,'3. Enter Indicator Scores'!$D$8:$CZ$8,0),
  _xlpm.v, IFERROR(INDEX('3. Enter Indicator Scores'!$D$10:$CZ$161,_xlpm.r,_xlpm.c),""),
  IF(OR(_xlpm.w="",_xlpm.v=""),"",_xlpm.v*_xlpm.w)
)</f>
        <v/>
      </c>
      <c r="CX72" s="93" t="str" cm="1">
        <f t="array" ref="CX72">_xlfn.LET(
  _xlpm.w, CX$11,
  _xlpm.r, MATCH(1,('3. Enter Indicator Scores'!$B$10:$B$161=$B72)*('3. Enter Indicator Scores'!$C$10:$C$161=$C72),0),
  _xlpm.c, MATCH(CX$8,'3. Enter Indicator Scores'!$D$8:$CZ$8,0),
  _xlpm.v, IFERROR(INDEX('3. Enter Indicator Scores'!$D$10:$CZ$161,_xlpm.r,_xlpm.c),""),
  IF(OR(_xlpm.w="",_xlpm.v=""),"",_xlpm.v*_xlpm.w)
)</f>
        <v/>
      </c>
      <c r="CY72" s="93" t="str" cm="1">
        <f t="array" ref="CY72">_xlfn.LET(
  _xlpm.w, CY$11,
  _xlpm.r, MATCH(1,('3. Enter Indicator Scores'!$B$10:$B$161=$B72)*('3. Enter Indicator Scores'!$C$10:$C$161=$C72),0),
  _xlpm.c, MATCH(CY$8,'3. Enter Indicator Scores'!$D$8:$CZ$8,0),
  _xlpm.v, IFERROR(INDEX('3. Enter Indicator Scores'!$D$10:$CZ$161,_xlpm.r,_xlpm.c),""),
  IF(OR(_xlpm.w="",_xlpm.v=""),"",_xlpm.v*_xlpm.w)
)</f>
        <v/>
      </c>
      <c r="CZ72" s="93" t="str" cm="1">
        <f t="array" ref="CZ72">_xlfn.LET(
  _xlpm.w, CZ$11,
  _xlpm.r, MATCH(1,('3. Enter Indicator Scores'!$B$10:$B$161=$B72)*('3. Enter Indicator Scores'!$C$10:$C$161=$C72),0),
  _xlpm.c, MATCH(CZ$8,'3. Enter Indicator Scores'!$D$8:$CZ$8,0),
  _xlpm.v, IFERROR(INDEX('3. Enter Indicator Scores'!$D$10:$CZ$161,_xlpm.r,_xlpm.c),""),
  IF(OR(_xlpm.w="",_xlpm.v=""),"",_xlpm.v*_xlpm.w)
)</f>
        <v/>
      </c>
    </row>
    <row r="73" spans="4:104" x14ac:dyDescent="0.2">
      <c r="D73" s="93" t="str" cm="1">
        <f t="array" ref="D73">_xlfn.LET(
  _xlpm.w, D$11,
  _xlpm.r, MATCH(1,('3. Enter Indicator Scores'!$B$10:$B$161=$B73)*('3. Enter Indicator Scores'!$C$10:$C$161=$C73),0),
  _xlpm.c, MATCH(D$8,'3. Enter Indicator Scores'!$D$8:$CZ$8,0),
  _xlpm.v, IFERROR(INDEX('3. Enter Indicator Scores'!$D$10:$CZ$161,_xlpm.r,_xlpm.c),""),
  IF(OR(_xlpm.w="",_xlpm.v=""),"",_xlpm.v*_xlpm.w)
)</f>
        <v/>
      </c>
      <c r="E73" s="93" t="str" cm="1">
        <f t="array" ref="E73">_xlfn.LET(
  _xlpm.w, E$11,
  _xlpm.r, MATCH(1,('3. Enter Indicator Scores'!$B$10:$B$161=$B73)*('3. Enter Indicator Scores'!$C$10:$C$161=$C73),0),
  _xlpm.c, MATCH(E$8,'3. Enter Indicator Scores'!$D$8:$CZ$8,0),
  _xlpm.v, IFERROR(INDEX('3. Enter Indicator Scores'!$D$10:$CZ$161,_xlpm.r,_xlpm.c),""),
  IF(OR(_xlpm.w="",_xlpm.v=""),"",_xlpm.v*_xlpm.w)
)</f>
        <v/>
      </c>
      <c r="F73" s="93" t="str" cm="1">
        <f t="array" ref="F73">_xlfn.LET(
  _xlpm.w, F$11,
  _xlpm.r, MATCH(1,('3. Enter Indicator Scores'!$B$10:$B$161=$B73)*('3. Enter Indicator Scores'!$C$10:$C$161=$C73),0),
  _xlpm.c, MATCH(F$8,'3. Enter Indicator Scores'!$D$8:$CZ$8,0),
  _xlpm.v, IFERROR(INDEX('3. Enter Indicator Scores'!$D$10:$CZ$161,_xlpm.r,_xlpm.c),""),
  IF(OR(_xlpm.w="",_xlpm.v=""),"",_xlpm.v*_xlpm.w)
)</f>
        <v/>
      </c>
      <c r="G73" s="93" t="str" cm="1">
        <f t="array" ref="G73">_xlfn.LET(
  _xlpm.w, G$11,
  _xlpm.r, MATCH(1,('3. Enter Indicator Scores'!$B$10:$B$161=$B73)*('3. Enter Indicator Scores'!$C$10:$C$161=$C73),0),
  _xlpm.c, MATCH(G$8,'3. Enter Indicator Scores'!$D$8:$CZ$8,0),
  _xlpm.v, IFERROR(INDEX('3. Enter Indicator Scores'!$D$10:$CZ$161,_xlpm.r,_xlpm.c),""),
  IF(OR(_xlpm.w="",_xlpm.v=""),"",_xlpm.v*_xlpm.w)
)</f>
        <v/>
      </c>
      <c r="H73" s="93" t="str" cm="1">
        <f t="array" ref="H73">_xlfn.LET(
  _xlpm.w, H$11,
  _xlpm.r, MATCH(1,('3. Enter Indicator Scores'!$B$10:$B$161=$B73)*('3. Enter Indicator Scores'!$C$10:$C$161=$C73),0),
  _xlpm.c, MATCH(H$8,'3. Enter Indicator Scores'!$D$8:$CZ$8,0),
  _xlpm.v, IFERROR(INDEX('3. Enter Indicator Scores'!$D$10:$CZ$161,_xlpm.r,_xlpm.c),""),
  IF(OR(_xlpm.w="",_xlpm.v=""),"",_xlpm.v*_xlpm.w)
)</f>
        <v/>
      </c>
      <c r="I73" s="93" t="str" cm="1">
        <f t="array" ref="I73">_xlfn.LET(
  _xlpm.w, I$11,
  _xlpm.r, MATCH(1,('3. Enter Indicator Scores'!$B$10:$B$161=$B73)*('3. Enter Indicator Scores'!$C$10:$C$161=$C73),0),
  _xlpm.c, MATCH(I$8,'3. Enter Indicator Scores'!$D$8:$CZ$8,0),
  _xlpm.v, IFERROR(INDEX('3. Enter Indicator Scores'!$D$10:$CZ$161,_xlpm.r,_xlpm.c),""),
  IF(OR(_xlpm.w="",_xlpm.v=""),"",_xlpm.v*_xlpm.w)
)</f>
        <v/>
      </c>
      <c r="J73" s="93" t="str" cm="1">
        <f t="array" ref="J73">_xlfn.LET(
  _xlpm.w, J$11,
  _xlpm.r, MATCH(1,('3. Enter Indicator Scores'!$B$10:$B$161=$B73)*('3. Enter Indicator Scores'!$C$10:$C$161=$C73),0),
  _xlpm.c, MATCH(J$8,'3. Enter Indicator Scores'!$D$8:$CZ$8,0),
  _xlpm.v, IFERROR(INDEX('3. Enter Indicator Scores'!$D$10:$CZ$161,_xlpm.r,_xlpm.c),""),
  IF(OR(_xlpm.w="",_xlpm.v=""),"",_xlpm.v*_xlpm.w)
)</f>
        <v/>
      </c>
      <c r="K73" s="93" t="str" cm="1">
        <f t="array" ref="K73">_xlfn.LET(
  _xlpm.w, K$11,
  _xlpm.r, MATCH(1,('3. Enter Indicator Scores'!$B$10:$B$161=$B73)*('3. Enter Indicator Scores'!$C$10:$C$161=$C73),0),
  _xlpm.c, MATCH(K$8,'3. Enter Indicator Scores'!$D$8:$CZ$8,0),
  _xlpm.v, IFERROR(INDEX('3. Enter Indicator Scores'!$D$10:$CZ$161,_xlpm.r,_xlpm.c),""),
  IF(OR(_xlpm.w="",_xlpm.v=""),"",_xlpm.v*_xlpm.w)
)</f>
        <v/>
      </c>
      <c r="L73" s="93" t="str" cm="1">
        <f t="array" ref="L73">_xlfn.LET(
  _xlpm.w, L$11,
  _xlpm.r, MATCH(1,('3. Enter Indicator Scores'!$B$10:$B$161=$B73)*('3. Enter Indicator Scores'!$C$10:$C$161=$C73),0),
  _xlpm.c, MATCH(L$8,'3. Enter Indicator Scores'!$D$8:$CZ$8,0),
  _xlpm.v, IFERROR(INDEX('3. Enter Indicator Scores'!$D$10:$CZ$161,_xlpm.r,_xlpm.c),""),
  IF(OR(_xlpm.w="",_xlpm.v=""),"",_xlpm.v*_xlpm.w)
)</f>
        <v/>
      </c>
      <c r="M73" s="93" t="str" cm="1">
        <f t="array" ref="M73">_xlfn.LET(
  _xlpm.w, M$11,
  _xlpm.r, MATCH(1,('3. Enter Indicator Scores'!$B$10:$B$161=$B73)*('3. Enter Indicator Scores'!$C$10:$C$161=$C73),0),
  _xlpm.c, MATCH(M$8,'3. Enter Indicator Scores'!$D$8:$CZ$8,0),
  _xlpm.v, IFERROR(INDEX('3. Enter Indicator Scores'!$D$10:$CZ$161,_xlpm.r,_xlpm.c),""),
  IF(OR(_xlpm.w="",_xlpm.v=""),"",_xlpm.v*_xlpm.w)
)</f>
        <v/>
      </c>
      <c r="N73" s="93" t="str" cm="1">
        <f t="array" ref="N73">_xlfn.LET(
  _xlpm.w, N$11,
  _xlpm.r, MATCH(1,('3. Enter Indicator Scores'!$B$10:$B$161=$B73)*('3. Enter Indicator Scores'!$C$10:$C$161=$C73),0),
  _xlpm.c, MATCH(N$8,'3. Enter Indicator Scores'!$D$8:$CZ$8,0),
  _xlpm.v, IFERROR(INDEX('3. Enter Indicator Scores'!$D$10:$CZ$161,_xlpm.r,_xlpm.c),""),
  IF(OR(_xlpm.w="",_xlpm.v=""),"",_xlpm.v*_xlpm.w)
)</f>
        <v/>
      </c>
      <c r="O73" s="93" t="str" cm="1">
        <f t="array" ref="O73">_xlfn.LET(
  _xlpm.w, O$11,
  _xlpm.r, MATCH(1,('3. Enter Indicator Scores'!$B$10:$B$161=$B73)*('3. Enter Indicator Scores'!$C$10:$C$161=$C73),0),
  _xlpm.c, MATCH(O$8,'3. Enter Indicator Scores'!$D$8:$CZ$8,0),
  _xlpm.v, IFERROR(INDEX('3. Enter Indicator Scores'!$D$10:$CZ$161,_xlpm.r,_xlpm.c),""),
  IF(OR(_xlpm.w="",_xlpm.v=""),"",_xlpm.v*_xlpm.w)
)</f>
        <v/>
      </c>
      <c r="P73" s="93" t="str" cm="1">
        <f t="array" ref="P73">_xlfn.LET(
  _xlpm.w, P$11,
  _xlpm.r, MATCH(1,('3. Enter Indicator Scores'!$B$10:$B$161=$B73)*('3. Enter Indicator Scores'!$C$10:$C$161=$C73),0),
  _xlpm.c, MATCH(P$8,'3. Enter Indicator Scores'!$D$8:$CZ$8,0),
  _xlpm.v, IFERROR(INDEX('3. Enter Indicator Scores'!$D$10:$CZ$161,_xlpm.r,_xlpm.c),""),
  IF(OR(_xlpm.w="",_xlpm.v=""),"",_xlpm.v*_xlpm.w)
)</f>
        <v/>
      </c>
      <c r="Q73" s="93" t="str" cm="1">
        <f t="array" ref="Q73">_xlfn.LET(
  _xlpm.w, Q$11,
  _xlpm.r, MATCH(1,('3. Enter Indicator Scores'!$B$10:$B$161=$B73)*('3. Enter Indicator Scores'!$C$10:$C$161=$C73),0),
  _xlpm.c, MATCH(Q$8,'3. Enter Indicator Scores'!$D$8:$CZ$8,0),
  _xlpm.v, IFERROR(INDEX('3. Enter Indicator Scores'!$D$10:$CZ$161,_xlpm.r,_xlpm.c),""),
  IF(OR(_xlpm.w="",_xlpm.v=""),"",_xlpm.v*_xlpm.w)
)</f>
        <v/>
      </c>
      <c r="R73" s="93" t="str" cm="1">
        <f t="array" ref="R73">_xlfn.LET(
  _xlpm.w, R$11,
  _xlpm.r, MATCH(1,('3. Enter Indicator Scores'!$B$10:$B$161=$B73)*('3. Enter Indicator Scores'!$C$10:$C$161=$C73),0),
  _xlpm.c, MATCH(R$8,'3. Enter Indicator Scores'!$D$8:$CZ$8,0),
  _xlpm.v, IFERROR(INDEX('3. Enter Indicator Scores'!$D$10:$CZ$161,_xlpm.r,_xlpm.c),""),
  IF(OR(_xlpm.w="",_xlpm.v=""),"",_xlpm.v*_xlpm.w)
)</f>
        <v/>
      </c>
      <c r="S73" s="93" t="str" cm="1">
        <f t="array" ref="S73">_xlfn.LET(
  _xlpm.w, S$11,
  _xlpm.r, MATCH(1,('3. Enter Indicator Scores'!$B$10:$B$161=$B73)*('3. Enter Indicator Scores'!$C$10:$C$161=$C73),0),
  _xlpm.c, MATCH(S$8,'3. Enter Indicator Scores'!$D$8:$CZ$8,0),
  _xlpm.v, IFERROR(INDEX('3. Enter Indicator Scores'!$D$10:$CZ$161,_xlpm.r,_xlpm.c),""),
  IF(OR(_xlpm.w="",_xlpm.v=""),"",_xlpm.v*_xlpm.w)
)</f>
        <v/>
      </c>
      <c r="T73" s="93" t="str" cm="1">
        <f t="array" ref="T73">_xlfn.LET(
  _xlpm.w, T$11,
  _xlpm.r, MATCH(1,('3. Enter Indicator Scores'!$B$10:$B$161=$B73)*('3. Enter Indicator Scores'!$C$10:$C$161=$C73),0),
  _xlpm.c, MATCH(T$8,'3. Enter Indicator Scores'!$D$8:$CZ$8,0),
  _xlpm.v, IFERROR(INDEX('3. Enter Indicator Scores'!$D$10:$CZ$161,_xlpm.r,_xlpm.c),""),
  IF(OR(_xlpm.w="",_xlpm.v=""),"",_xlpm.v*_xlpm.w)
)</f>
        <v/>
      </c>
      <c r="U73" s="93" t="str" cm="1">
        <f t="array" ref="U73">_xlfn.LET(
  _xlpm.w, U$11,
  _xlpm.r, MATCH(1,('3. Enter Indicator Scores'!$B$10:$B$161=$B73)*('3. Enter Indicator Scores'!$C$10:$C$161=$C73),0),
  _xlpm.c, MATCH(U$8,'3. Enter Indicator Scores'!$D$8:$CZ$8,0),
  _xlpm.v, IFERROR(INDEX('3. Enter Indicator Scores'!$D$10:$CZ$161,_xlpm.r,_xlpm.c),""),
  IF(OR(_xlpm.w="",_xlpm.v=""),"",_xlpm.v*_xlpm.w)
)</f>
        <v/>
      </c>
      <c r="V73" s="93" t="str" cm="1">
        <f t="array" ref="V73">_xlfn.LET(
  _xlpm.w, V$11,
  _xlpm.r, MATCH(1,('3. Enter Indicator Scores'!$B$10:$B$161=$B73)*('3. Enter Indicator Scores'!$C$10:$C$161=$C73),0),
  _xlpm.c, MATCH(V$8,'3. Enter Indicator Scores'!$D$8:$CZ$8,0),
  _xlpm.v, IFERROR(INDEX('3. Enter Indicator Scores'!$D$10:$CZ$161,_xlpm.r,_xlpm.c),""),
  IF(OR(_xlpm.w="",_xlpm.v=""),"",_xlpm.v*_xlpm.w)
)</f>
        <v/>
      </c>
      <c r="W73" s="93" t="str" cm="1">
        <f t="array" ref="W73">_xlfn.LET(
  _xlpm.w, W$11,
  _xlpm.r, MATCH(1,('3. Enter Indicator Scores'!$B$10:$B$161=$B73)*('3. Enter Indicator Scores'!$C$10:$C$161=$C73),0),
  _xlpm.c, MATCH(W$8,'3. Enter Indicator Scores'!$D$8:$CZ$8,0),
  _xlpm.v, IFERROR(INDEX('3. Enter Indicator Scores'!$D$10:$CZ$161,_xlpm.r,_xlpm.c),""),
  IF(OR(_xlpm.w="",_xlpm.v=""),"",_xlpm.v*_xlpm.w)
)</f>
        <v/>
      </c>
      <c r="X73" s="93" t="str" cm="1">
        <f t="array" ref="X73">_xlfn.LET(
  _xlpm.w, X$11,
  _xlpm.r, MATCH(1,('3. Enter Indicator Scores'!$B$10:$B$161=$B73)*('3. Enter Indicator Scores'!$C$10:$C$161=$C73),0),
  _xlpm.c, MATCH(X$8,'3. Enter Indicator Scores'!$D$8:$CZ$8,0),
  _xlpm.v, IFERROR(INDEX('3. Enter Indicator Scores'!$D$10:$CZ$161,_xlpm.r,_xlpm.c),""),
  IF(OR(_xlpm.w="",_xlpm.v=""),"",_xlpm.v*_xlpm.w)
)</f>
        <v/>
      </c>
      <c r="Y73" s="93" t="str" cm="1">
        <f t="array" ref="Y73">_xlfn.LET(
  _xlpm.w, Y$11,
  _xlpm.r, MATCH(1,('3. Enter Indicator Scores'!$B$10:$B$161=$B73)*('3. Enter Indicator Scores'!$C$10:$C$161=$C73),0),
  _xlpm.c, MATCH(Y$8,'3. Enter Indicator Scores'!$D$8:$CZ$8,0),
  _xlpm.v, IFERROR(INDEX('3. Enter Indicator Scores'!$D$10:$CZ$161,_xlpm.r,_xlpm.c),""),
  IF(OR(_xlpm.w="",_xlpm.v=""),"",_xlpm.v*_xlpm.w)
)</f>
        <v/>
      </c>
      <c r="Z73" s="93" t="str" cm="1">
        <f t="array" ref="Z73">_xlfn.LET(
  _xlpm.w, Z$11,
  _xlpm.r, MATCH(1,('3. Enter Indicator Scores'!$B$10:$B$161=$B73)*('3. Enter Indicator Scores'!$C$10:$C$161=$C73),0),
  _xlpm.c, MATCH(Z$8,'3. Enter Indicator Scores'!$D$8:$CZ$8,0),
  _xlpm.v, IFERROR(INDEX('3. Enter Indicator Scores'!$D$10:$CZ$161,_xlpm.r,_xlpm.c),""),
  IF(OR(_xlpm.w="",_xlpm.v=""),"",_xlpm.v*_xlpm.w)
)</f>
        <v/>
      </c>
      <c r="AA73" s="93" t="str" cm="1">
        <f t="array" ref="AA73">_xlfn.LET(
  _xlpm.w, AA$11,
  _xlpm.r, MATCH(1,('3. Enter Indicator Scores'!$B$10:$B$161=$B73)*('3. Enter Indicator Scores'!$C$10:$C$161=$C73),0),
  _xlpm.c, MATCH(AA$8,'3. Enter Indicator Scores'!$D$8:$CZ$8,0),
  _xlpm.v, IFERROR(INDEX('3. Enter Indicator Scores'!$D$10:$CZ$161,_xlpm.r,_xlpm.c),""),
  IF(OR(_xlpm.w="",_xlpm.v=""),"",_xlpm.v*_xlpm.w)
)</f>
        <v/>
      </c>
      <c r="AB73" s="93" t="str" cm="1">
        <f t="array" ref="AB73">_xlfn.LET(
  _xlpm.w, AB$11,
  _xlpm.r, MATCH(1,('3. Enter Indicator Scores'!$B$10:$B$161=$B73)*('3. Enter Indicator Scores'!$C$10:$C$161=$C73),0),
  _xlpm.c, MATCH(AB$8,'3. Enter Indicator Scores'!$D$8:$CZ$8,0),
  _xlpm.v, IFERROR(INDEX('3. Enter Indicator Scores'!$D$10:$CZ$161,_xlpm.r,_xlpm.c),""),
  IF(OR(_xlpm.w="",_xlpm.v=""),"",_xlpm.v*_xlpm.w)
)</f>
        <v/>
      </c>
      <c r="AC73" s="93" t="str" cm="1">
        <f t="array" ref="AC73">_xlfn.LET(
  _xlpm.w, AC$11,
  _xlpm.r, MATCH(1,('3. Enter Indicator Scores'!$B$10:$B$161=$B73)*('3. Enter Indicator Scores'!$C$10:$C$161=$C73),0),
  _xlpm.c, MATCH(AC$8,'3. Enter Indicator Scores'!$D$8:$CZ$8,0),
  _xlpm.v, IFERROR(INDEX('3. Enter Indicator Scores'!$D$10:$CZ$161,_xlpm.r,_xlpm.c),""),
  IF(OR(_xlpm.w="",_xlpm.v=""),"",_xlpm.v*_xlpm.w)
)</f>
        <v/>
      </c>
      <c r="AD73" s="93" t="str" cm="1">
        <f t="array" ref="AD73">_xlfn.LET(
  _xlpm.w, AD$11,
  _xlpm.r, MATCH(1,('3. Enter Indicator Scores'!$B$10:$B$161=$B73)*('3. Enter Indicator Scores'!$C$10:$C$161=$C73),0),
  _xlpm.c, MATCH(AD$8,'3. Enter Indicator Scores'!$D$8:$CZ$8,0),
  _xlpm.v, IFERROR(INDEX('3. Enter Indicator Scores'!$D$10:$CZ$161,_xlpm.r,_xlpm.c),""),
  IF(OR(_xlpm.w="",_xlpm.v=""),"",_xlpm.v*_xlpm.w)
)</f>
        <v/>
      </c>
      <c r="AE73" s="93" t="str" cm="1">
        <f t="array" ref="AE73">_xlfn.LET(
  _xlpm.w, AE$11,
  _xlpm.r, MATCH(1,('3. Enter Indicator Scores'!$B$10:$B$161=$B73)*('3. Enter Indicator Scores'!$C$10:$C$161=$C73),0),
  _xlpm.c, MATCH(AE$8,'3. Enter Indicator Scores'!$D$8:$CZ$8,0),
  _xlpm.v, IFERROR(INDEX('3. Enter Indicator Scores'!$D$10:$CZ$161,_xlpm.r,_xlpm.c),""),
  IF(OR(_xlpm.w="",_xlpm.v=""),"",_xlpm.v*_xlpm.w)
)</f>
        <v/>
      </c>
      <c r="AF73" s="93" t="str" cm="1">
        <f t="array" ref="AF73">_xlfn.LET(
  _xlpm.w, AF$11,
  _xlpm.r, MATCH(1,('3. Enter Indicator Scores'!$B$10:$B$161=$B73)*('3. Enter Indicator Scores'!$C$10:$C$161=$C73),0),
  _xlpm.c, MATCH(AF$8,'3. Enter Indicator Scores'!$D$8:$CZ$8,0),
  _xlpm.v, IFERROR(INDEX('3. Enter Indicator Scores'!$D$10:$CZ$161,_xlpm.r,_xlpm.c),""),
  IF(OR(_xlpm.w="",_xlpm.v=""),"",_xlpm.v*_xlpm.w)
)</f>
        <v/>
      </c>
      <c r="AG73" s="93" t="str" cm="1">
        <f t="array" ref="AG73">_xlfn.LET(
  _xlpm.w, AG$11,
  _xlpm.r, MATCH(1,('3. Enter Indicator Scores'!$B$10:$B$161=$B73)*('3. Enter Indicator Scores'!$C$10:$C$161=$C73),0),
  _xlpm.c, MATCH(AG$8,'3. Enter Indicator Scores'!$D$8:$CZ$8,0),
  _xlpm.v, IFERROR(INDEX('3. Enter Indicator Scores'!$D$10:$CZ$161,_xlpm.r,_xlpm.c),""),
  IF(OR(_xlpm.w="",_xlpm.v=""),"",_xlpm.v*_xlpm.w)
)</f>
        <v/>
      </c>
      <c r="AH73" s="93" t="str" cm="1">
        <f t="array" ref="AH73">_xlfn.LET(
  _xlpm.w, AH$11,
  _xlpm.r, MATCH(1,('3. Enter Indicator Scores'!$B$10:$B$161=$B73)*('3. Enter Indicator Scores'!$C$10:$C$161=$C73),0),
  _xlpm.c, MATCH(AH$8,'3. Enter Indicator Scores'!$D$8:$CZ$8,0),
  _xlpm.v, IFERROR(INDEX('3. Enter Indicator Scores'!$D$10:$CZ$161,_xlpm.r,_xlpm.c),""),
  IF(OR(_xlpm.w="",_xlpm.v=""),"",_xlpm.v*_xlpm.w)
)</f>
        <v/>
      </c>
      <c r="AI73" s="93" t="str" cm="1">
        <f t="array" ref="AI73">_xlfn.LET(
  _xlpm.w, AI$11,
  _xlpm.r, MATCH(1,('3. Enter Indicator Scores'!$B$10:$B$161=$B73)*('3. Enter Indicator Scores'!$C$10:$C$161=$C73),0),
  _xlpm.c, MATCH(AI$8,'3. Enter Indicator Scores'!$D$8:$CZ$8,0),
  _xlpm.v, IFERROR(INDEX('3. Enter Indicator Scores'!$D$10:$CZ$161,_xlpm.r,_xlpm.c),""),
  IF(OR(_xlpm.w="",_xlpm.v=""),"",_xlpm.v*_xlpm.w)
)</f>
        <v/>
      </c>
      <c r="AJ73" s="93" t="str" cm="1">
        <f t="array" ref="AJ73">_xlfn.LET(
  _xlpm.w, AJ$11,
  _xlpm.r, MATCH(1,('3. Enter Indicator Scores'!$B$10:$B$161=$B73)*('3. Enter Indicator Scores'!$C$10:$C$161=$C73),0),
  _xlpm.c, MATCH(AJ$8,'3. Enter Indicator Scores'!$D$8:$CZ$8,0),
  _xlpm.v, IFERROR(INDEX('3. Enter Indicator Scores'!$D$10:$CZ$161,_xlpm.r,_xlpm.c),""),
  IF(OR(_xlpm.w="",_xlpm.v=""),"",_xlpm.v*_xlpm.w)
)</f>
        <v/>
      </c>
      <c r="AK73" s="93" t="str" cm="1">
        <f t="array" ref="AK73">_xlfn.LET(
  _xlpm.w, AK$11,
  _xlpm.r, MATCH(1,('3. Enter Indicator Scores'!$B$10:$B$161=$B73)*('3. Enter Indicator Scores'!$C$10:$C$161=$C73),0),
  _xlpm.c, MATCH(AK$8,'3. Enter Indicator Scores'!$D$8:$CZ$8,0),
  _xlpm.v, IFERROR(INDEX('3. Enter Indicator Scores'!$D$10:$CZ$161,_xlpm.r,_xlpm.c),""),
  IF(OR(_xlpm.w="",_xlpm.v=""),"",_xlpm.v*_xlpm.w)
)</f>
        <v/>
      </c>
      <c r="AL73" s="93" t="str" cm="1">
        <f t="array" ref="AL73">_xlfn.LET(
  _xlpm.w, AL$11,
  _xlpm.r, MATCH(1,('3. Enter Indicator Scores'!$B$10:$B$161=$B73)*('3. Enter Indicator Scores'!$C$10:$C$161=$C73),0),
  _xlpm.c, MATCH(AL$8,'3. Enter Indicator Scores'!$D$8:$CZ$8,0),
  _xlpm.v, IFERROR(INDEX('3. Enter Indicator Scores'!$D$10:$CZ$161,_xlpm.r,_xlpm.c),""),
  IF(OR(_xlpm.w="",_xlpm.v=""),"",_xlpm.v*_xlpm.w)
)</f>
        <v/>
      </c>
      <c r="AM73" s="93" t="str" cm="1">
        <f t="array" ref="AM73">_xlfn.LET(
  _xlpm.w, AM$11,
  _xlpm.r, MATCH(1,('3. Enter Indicator Scores'!$B$10:$B$161=$B73)*('3. Enter Indicator Scores'!$C$10:$C$161=$C73),0),
  _xlpm.c, MATCH(AM$8,'3. Enter Indicator Scores'!$D$8:$CZ$8,0),
  _xlpm.v, IFERROR(INDEX('3. Enter Indicator Scores'!$D$10:$CZ$161,_xlpm.r,_xlpm.c),""),
  IF(OR(_xlpm.w="",_xlpm.v=""),"",_xlpm.v*_xlpm.w)
)</f>
        <v/>
      </c>
      <c r="AN73" s="93" t="str" cm="1">
        <f t="array" ref="AN73">_xlfn.LET(
  _xlpm.w, AN$11,
  _xlpm.r, MATCH(1,('3. Enter Indicator Scores'!$B$10:$B$161=$B73)*('3. Enter Indicator Scores'!$C$10:$C$161=$C73),0),
  _xlpm.c, MATCH(AN$8,'3. Enter Indicator Scores'!$D$8:$CZ$8,0),
  _xlpm.v, IFERROR(INDEX('3. Enter Indicator Scores'!$D$10:$CZ$161,_xlpm.r,_xlpm.c),""),
  IF(OR(_xlpm.w="",_xlpm.v=""),"",_xlpm.v*_xlpm.w)
)</f>
        <v/>
      </c>
      <c r="AO73" s="93" t="str" cm="1">
        <f t="array" ref="AO73">_xlfn.LET(
  _xlpm.w, AO$11,
  _xlpm.r, MATCH(1,('3. Enter Indicator Scores'!$B$10:$B$161=$B73)*('3. Enter Indicator Scores'!$C$10:$C$161=$C73),0),
  _xlpm.c, MATCH(AO$8,'3. Enter Indicator Scores'!$D$8:$CZ$8,0),
  _xlpm.v, IFERROR(INDEX('3. Enter Indicator Scores'!$D$10:$CZ$161,_xlpm.r,_xlpm.c),""),
  IF(OR(_xlpm.w="",_xlpm.v=""),"",_xlpm.v*_xlpm.w)
)</f>
        <v/>
      </c>
      <c r="AP73" s="93" t="str" cm="1">
        <f t="array" ref="AP73">_xlfn.LET(
  _xlpm.w, AP$11,
  _xlpm.r, MATCH(1,('3. Enter Indicator Scores'!$B$10:$B$161=$B73)*('3. Enter Indicator Scores'!$C$10:$C$161=$C73),0),
  _xlpm.c, MATCH(AP$8,'3. Enter Indicator Scores'!$D$8:$CZ$8,0),
  _xlpm.v, IFERROR(INDEX('3. Enter Indicator Scores'!$D$10:$CZ$161,_xlpm.r,_xlpm.c),""),
  IF(OR(_xlpm.w="",_xlpm.v=""),"",_xlpm.v*_xlpm.w)
)</f>
        <v/>
      </c>
      <c r="AQ73" s="93" t="str" cm="1">
        <f t="array" ref="AQ73">_xlfn.LET(
  _xlpm.w, AQ$11,
  _xlpm.r, MATCH(1,('3. Enter Indicator Scores'!$B$10:$B$161=$B73)*('3. Enter Indicator Scores'!$C$10:$C$161=$C73),0),
  _xlpm.c, MATCH(AQ$8,'3. Enter Indicator Scores'!$D$8:$CZ$8,0),
  _xlpm.v, IFERROR(INDEX('3. Enter Indicator Scores'!$D$10:$CZ$161,_xlpm.r,_xlpm.c),""),
  IF(OR(_xlpm.w="",_xlpm.v=""),"",_xlpm.v*_xlpm.w)
)</f>
        <v/>
      </c>
      <c r="AR73" s="93" t="str" cm="1">
        <f t="array" ref="AR73">_xlfn.LET(
  _xlpm.w, AR$11,
  _xlpm.r, MATCH(1,('3. Enter Indicator Scores'!$B$10:$B$161=$B73)*('3. Enter Indicator Scores'!$C$10:$C$161=$C73),0),
  _xlpm.c, MATCH(AR$8,'3. Enter Indicator Scores'!$D$8:$CZ$8,0),
  _xlpm.v, IFERROR(INDEX('3. Enter Indicator Scores'!$D$10:$CZ$161,_xlpm.r,_xlpm.c),""),
  IF(OR(_xlpm.w="",_xlpm.v=""),"",_xlpm.v*_xlpm.w)
)</f>
        <v/>
      </c>
      <c r="AS73" s="93" t="str" cm="1">
        <f t="array" ref="AS73">_xlfn.LET(
  _xlpm.w, AS$11,
  _xlpm.r, MATCH(1,('3. Enter Indicator Scores'!$B$10:$B$161=$B73)*('3. Enter Indicator Scores'!$C$10:$C$161=$C73),0),
  _xlpm.c, MATCH(AS$8,'3. Enter Indicator Scores'!$D$8:$CZ$8,0),
  _xlpm.v, IFERROR(INDEX('3. Enter Indicator Scores'!$D$10:$CZ$161,_xlpm.r,_xlpm.c),""),
  IF(OR(_xlpm.w="",_xlpm.v=""),"",_xlpm.v*_xlpm.w)
)</f>
        <v/>
      </c>
      <c r="AT73" s="93" t="str" cm="1">
        <f t="array" ref="AT73">_xlfn.LET(
  _xlpm.w, AT$11,
  _xlpm.r, MATCH(1,('3. Enter Indicator Scores'!$B$10:$B$161=$B73)*('3. Enter Indicator Scores'!$C$10:$C$161=$C73),0),
  _xlpm.c, MATCH(AT$8,'3. Enter Indicator Scores'!$D$8:$CZ$8,0),
  _xlpm.v, IFERROR(INDEX('3. Enter Indicator Scores'!$D$10:$CZ$161,_xlpm.r,_xlpm.c),""),
  IF(OR(_xlpm.w="",_xlpm.v=""),"",_xlpm.v*_xlpm.w)
)</f>
        <v/>
      </c>
      <c r="AU73" s="93" t="str" cm="1">
        <f t="array" ref="AU73">_xlfn.LET(
  _xlpm.w, AU$11,
  _xlpm.r, MATCH(1,('3. Enter Indicator Scores'!$B$10:$B$161=$B73)*('3. Enter Indicator Scores'!$C$10:$C$161=$C73),0),
  _xlpm.c, MATCH(AU$8,'3. Enter Indicator Scores'!$D$8:$CZ$8,0),
  _xlpm.v, IFERROR(INDEX('3. Enter Indicator Scores'!$D$10:$CZ$161,_xlpm.r,_xlpm.c),""),
  IF(OR(_xlpm.w="",_xlpm.v=""),"",_xlpm.v*_xlpm.w)
)</f>
        <v/>
      </c>
      <c r="AV73" s="93" t="str" cm="1">
        <f t="array" ref="AV73">_xlfn.LET(
  _xlpm.w, AV$11,
  _xlpm.r, MATCH(1,('3. Enter Indicator Scores'!$B$10:$B$161=$B73)*('3. Enter Indicator Scores'!$C$10:$C$161=$C73),0),
  _xlpm.c, MATCH(AV$8,'3. Enter Indicator Scores'!$D$8:$CZ$8,0),
  _xlpm.v, IFERROR(INDEX('3. Enter Indicator Scores'!$D$10:$CZ$161,_xlpm.r,_xlpm.c),""),
  IF(OR(_xlpm.w="",_xlpm.v=""),"",_xlpm.v*_xlpm.w)
)</f>
        <v/>
      </c>
      <c r="AW73" s="93" t="str" cm="1">
        <f t="array" ref="AW73">_xlfn.LET(
  _xlpm.w, AW$11,
  _xlpm.r, MATCH(1,('3. Enter Indicator Scores'!$B$10:$B$161=$B73)*('3. Enter Indicator Scores'!$C$10:$C$161=$C73),0),
  _xlpm.c, MATCH(AW$8,'3. Enter Indicator Scores'!$D$8:$CZ$8,0),
  _xlpm.v, IFERROR(INDEX('3. Enter Indicator Scores'!$D$10:$CZ$161,_xlpm.r,_xlpm.c),""),
  IF(OR(_xlpm.w="",_xlpm.v=""),"",_xlpm.v*_xlpm.w)
)</f>
        <v/>
      </c>
      <c r="AX73" s="93" t="str" cm="1">
        <f t="array" ref="AX73">_xlfn.LET(
  _xlpm.w, AX$11,
  _xlpm.r, MATCH(1,('3. Enter Indicator Scores'!$B$10:$B$161=$B73)*('3. Enter Indicator Scores'!$C$10:$C$161=$C73),0),
  _xlpm.c, MATCH(AX$8,'3. Enter Indicator Scores'!$D$8:$CZ$8,0),
  _xlpm.v, IFERROR(INDEX('3. Enter Indicator Scores'!$D$10:$CZ$161,_xlpm.r,_xlpm.c),""),
  IF(OR(_xlpm.w="",_xlpm.v=""),"",_xlpm.v*_xlpm.w)
)</f>
        <v/>
      </c>
      <c r="AY73" s="93" t="str" cm="1">
        <f t="array" ref="AY73">_xlfn.LET(
  _xlpm.w, AY$11,
  _xlpm.r, MATCH(1,('3. Enter Indicator Scores'!$B$10:$B$161=$B73)*('3. Enter Indicator Scores'!$C$10:$C$161=$C73),0),
  _xlpm.c, MATCH(AY$8,'3. Enter Indicator Scores'!$D$8:$CZ$8,0),
  _xlpm.v, IFERROR(INDEX('3. Enter Indicator Scores'!$D$10:$CZ$161,_xlpm.r,_xlpm.c),""),
  IF(OR(_xlpm.w="",_xlpm.v=""),"",_xlpm.v*_xlpm.w)
)</f>
        <v/>
      </c>
      <c r="AZ73" s="93" t="str" cm="1">
        <f t="array" ref="AZ73">_xlfn.LET(
  _xlpm.w, AZ$11,
  _xlpm.r, MATCH(1,('3. Enter Indicator Scores'!$B$10:$B$161=$B73)*('3. Enter Indicator Scores'!$C$10:$C$161=$C73),0),
  _xlpm.c, MATCH(AZ$8,'3. Enter Indicator Scores'!$D$8:$CZ$8,0),
  _xlpm.v, IFERROR(INDEX('3. Enter Indicator Scores'!$D$10:$CZ$161,_xlpm.r,_xlpm.c),""),
  IF(OR(_xlpm.w="",_xlpm.v=""),"",_xlpm.v*_xlpm.w)
)</f>
        <v/>
      </c>
      <c r="BA73" s="93" t="str" cm="1">
        <f t="array" ref="BA73">_xlfn.LET(
  _xlpm.w, BA$11,
  _xlpm.r, MATCH(1,('3. Enter Indicator Scores'!$B$10:$B$161=$B73)*('3. Enter Indicator Scores'!$C$10:$C$161=$C73),0),
  _xlpm.c, MATCH(BA$8,'3. Enter Indicator Scores'!$D$8:$CZ$8,0),
  _xlpm.v, IFERROR(INDEX('3. Enter Indicator Scores'!$D$10:$CZ$161,_xlpm.r,_xlpm.c),""),
  IF(OR(_xlpm.w="",_xlpm.v=""),"",_xlpm.v*_xlpm.w)
)</f>
        <v/>
      </c>
      <c r="BB73" s="93" t="str" cm="1">
        <f t="array" ref="BB73">_xlfn.LET(
  _xlpm.w, BB$11,
  _xlpm.r, MATCH(1,('3. Enter Indicator Scores'!$B$10:$B$161=$B73)*('3. Enter Indicator Scores'!$C$10:$C$161=$C73),0),
  _xlpm.c, MATCH(BB$8,'3. Enter Indicator Scores'!$D$8:$CZ$8,0),
  _xlpm.v, IFERROR(INDEX('3. Enter Indicator Scores'!$D$10:$CZ$161,_xlpm.r,_xlpm.c),""),
  IF(OR(_xlpm.w="",_xlpm.v=""),"",_xlpm.v*_xlpm.w)
)</f>
        <v/>
      </c>
      <c r="BC73" s="93" t="str" cm="1">
        <f t="array" ref="BC73">_xlfn.LET(
  _xlpm.w, BC$11,
  _xlpm.r, MATCH(1,('3. Enter Indicator Scores'!$B$10:$B$161=$B73)*('3. Enter Indicator Scores'!$C$10:$C$161=$C73),0),
  _xlpm.c, MATCH(BC$8,'3. Enter Indicator Scores'!$D$8:$CZ$8,0),
  _xlpm.v, IFERROR(INDEX('3. Enter Indicator Scores'!$D$10:$CZ$161,_xlpm.r,_xlpm.c),""),
  IF(OR(_xlpm.w="",_xlpm.v=""),"",_xlpm.v*_xlpm.w)
)</f>
        <v/>
      </c>
      <c r="BD73" s="93" t="str" cm="1">
        <f t="array" ref="BD73">_xlfn.LET(
  _xlpm.w, BD$11,
  _xlpm.r, MATCH(1,('3. Enter Indicator Scores'!$B$10:$B$161=$B73)*('3. Enter Indicator Scores'!$C$10:$C$161=$C73),0),
  _xlpm.c, MATCH(BD$8,'3. Enter Indicator Scores'!$D$8:$CZ$8,0),
  _xlpm.v, IFERROR(INDEX('3. Enter Indicator Scores'!$D$10:$CZ$161,_xlpm.r,_xlpm.c),""),
  IF(OR(_xlpm.w="",_xlpm.v=""),"",_xlpm.v*_xlpm.w)
)</f>
        <v/>
      </c>
      <c r="BE73" s="93" t="str" cm="1">
        <f t="array" ref="BE73">_xlfn.LET(
  _xlpm.w, BE$11,
  _xlpm.r, MATCH(1,('3. Enter Indicator Scores'!$B$10:$B$161=$B73)*('3. Enter Indicator Scores'!$C$10:$C$161=$C73),0),
  _xlpm.c, MATCH(BE$8,'3. Enter Indicator Scores'!$D$8:$CZ$8,0),
  _xlpm.v, IFERROR(INDEX('3. Enter Indicator Scores'!$D$10:$CZ$161,_xlpm.r,_xlpm.c),""),
  IF(OR(_xlpm.w="",_xlpm.v=""),"",_xlpm.v*_xlpm.w)
)</f>
        <v/>
      </c>
      <c r="BF73" s="93" t="str" cm="1">
        <f t="array" ref="BF73">_xlfn.LET(
  _xlpm.w, BF$11,
  _xlpm.r, MATCH(1,('3. Enter Indicator Scores'!$B$10:$B$161=$B73)*('3. Enter Indicator Scores'!$C$10:$C$161=$C73),0),
  _xlpm.c, MATCH(BF$8,'3. Enter Indicator Scores'!$D$8:$CZ$8,0),
  _xlpm.v, IFERROR(INDEX('3. Enter Indicator Scores'!$D$10:$CZ$161,_xlpm.r,_xlpm.c),""),
  IF(OR(_xlpm.w="",_xlpm.v=""),"",_xlpm.v*_xlpm.w)
)</f>
        <v/>
      </c>
      <c r="BG73" s="93" t="str" cm="1">
        <f t="array" ref="BG73">_xlfn.LET(
  _xlpm.w, BG$11,
  _xlpm.r, MATCH(1,('3. Enter Indicator Scores'!$B$10:$B$161=$B73)*('3. Enter Indicator Scores'!$C$10:$C$161=$C73),0),
  _xlpm.c, MATCH(BG$8,'3. Enter Indicator Scores'!$D$8:$CZ$8,0),
  _xlpm.v, IFERROR(INDEX('3. Enter Indicator Scores'!$D$10:$CZ$161,_xlpm.r,_xlpm.c),""),
  IF(OR(_xlpm.w="",_xlpm.v=""),"",_xlpm.v*_xlpm.w)
)</f>
        <v/>
      </c>
      <c r="BH73" s="93" t="str" cm="1">
        <f t="array" ref="BH73">_xlfn.LET(
  _xlpm.w, BH$11,
  _xlpm.r, MATCH(1,('3. Enter Indicator Scores'!$B$10:$B$161=$B73)*('3. Enter Indicator Scores'!$C$10:$C$161=$C73),0),
  _xlpm.c, MATCH(BH$8,'3. Enter Indicator Scores'!$D$8:$CZ$8,0),
  _xlpm.v, IFERROR(INDEX('3. Enter Indicator Scores'!$D$10:$CZ$161,_xlpm.r,_xlpm.c),""),
  IF(OR(_xlpm.w="",_xlpm.v=""),"",_xlpm.v*_xlpm.w)
)</f>
        <v/>
      </c>
      <c r="BI73" s="93" t="str" cm="1">
        <f t="array" ref="BI73">_xlfn.LET(
  _xlpm.w, BI$11,
  _xlpm.r, MATCH(1,('3. Enter Indicator Scores'!$B$10:$B$161=$B73)*('3. Enter Indicator Scores'!$C$10:$C$161=$C73),0),
  _xlpm.c, MATCH(BI$8,'3. Enter Indicator Scores'!$D$8:$CZ$8,0),
  _xlpm.v, IFERROR(INDEX('3. Enter Indicator Scores'!$D$10:$CZ$161,_xlpm.r,_xlpm.c),""),
  IF(OR(_xlpm.w="",_xlpm.v=""),"",_xlpm.v*_xlpm.w)
)</f>
        <v/>
      </c>
      <c r="BJ73" s="93" t="str" cm="1">
        <f t="array" ref="BJ73">_xlfn.LET(
  _xlpm.w, BJ$11,
  _xlpm.r, MATCH(1,('3. Enter Indicator Scores'!$B$10:$B$161=$B73)*('3. Enter Indicator Scores'!$C$10:$C$161=$C73),0),
  _xlpm.c, MATCH(BJ$8,'3. Enter Indicator Scores'!$D$8:$CZ$8,0),
  _xlpm.v, IFERROR(INDEX('3. Enter Indicator Scores'!$D$10:$CZ$161,_xlpm.r,_xlpm.c),""),
  IF(OR(_xlpm.w="",_xlpm.v=""),"",_xlpm.v*_xlpm.w)
)</f>
        <v/>
      </c>
      <c r="BK73" s="93" t="str" cm="1">
        <f t="array" ref="BK73">_xlfn.LET(
  _xlpm.w, BK$11,
  _xlpm.r, MATCH(1,('3. Enter Indicator Scores'!$B$10:$B$161=$B73)*('3. Enter Indicator Scores'!$C$10:$C$161=$C73),0),
  _xlpm.c, MATCH(BK$8,'3. Enter Indicator Scores'!$D$8:$CZ$8,0),
  _xlpm.v, IFERROR(INDEX('3. Enter Indicator Scores'!$D$10:$CZ$161,_xlpm.r,_xlpm.c),""),
  IF(OR(_xlpm.w="",_xlpm.v=""),"",_xlpm.v*_xlpm.w)
)</f>
        <v/>
      </c>
      <c r="BL73" s="93" t="str" cm="1">
        <f t="array" ref="BL73">_xlfn.LET(
  _xlpm.w, BL$11,
  _xlpm.r, MATCH(1,('3. Enter Indicator Scores'!$B$10:$B$161=$B73)*('3. Enter Indicator Scores'!$C$10:$C$161=$C73),0),
  _xlpm.c, MATCH(BL$8,'3. Enter Indicator Scores'!$D$8:$CZ$8,0),
  _xlpm.v, IFERROR(INDEX('3. Enter Indicator Scores'!$D$10:$CZ$161,_xlpm.r,_xlpm.c),""),
  IF(OR(_xlpm.w="",_xlpm.v=""),"",_xlpm.v*_xlpm.w)
)</f>
        <v/>
      </c>
      <c r="BM73" s="93" t="str" cm="1">
        <f t="array" ref="BM73">_xlfn.LET(
  _xlpm.w, BM$11,
  _xlpm.r, MATCH(1,('3. Enter Indicator Scores'!$B$10:$B$161=$B73)*('3. Enter Indicator Scores'!$C$10:$C$161=$C73),0),
  _xlpm.c, MATCH(BM$8,'3. Enter Indicator Scores'!$D$8:$CZ$8,0),
  _xlpm.v, IFERROR(INDEX('3. Enter Indicator Scores'!$D$10:$CZ$161,_xlpm.r,_xlpm.c),""),
  IF(OR(_xlpm.w="",_xlpm.v=""),"",_xlpm.v*_xlpm.w)
)</f>
        <v/>
      </c>
      <c r="BN73" s="93" t="str" cm="1">
        <f t="array" ref="BN73">_xlfn.LET(
  _xlpm.w, BN$11,
  _xlpm.r, MATCH(1,('3. Enter Indicator Scores'!$B$10:$B$161=$B73)*('3. Enter Indicator Scores'!$C$10:$C$161=$C73),0),
  _xlpm.c, MATCH(BN$8,'3. Enter Indicator Scores'!$D$8:$CZ$8,0),
  _xlpm.v, IFERROR(INDEX('3. Enter Indicator Scores'!$D$10:$CZ$161,_xlpm.r,_xlpm.c),""),
  IF(OR(_xlpm.w="",_xlpm.v=""),"",_xlpm.v*_xlpm.w)
)</f>
        <v/>
      </c>
      <c r="BO73" s="93" t="str" cm="1">
        <f t="array" ref="BO73">_xlfn.LET(
  _xlpm.w, BO$11,
  _xlpm.r, MATCH(1,('3. Enter Indicator Scores'!$B$10:$B$161=$B73)*('3. Enter Indicator Scores'!$C$10:$C$161=$C73),0),
  _xlpm.c, MATCH(BO$8,'3. Enter Indicator Scores'!$D$8:$CZ$8,0),
  _xlpm.v, IFERROR(INDEX('3. Enter Indicator Scores'!$D$10:$CZ$161,_xlpm.r,_xlpm.c),""),
  IF(OR(_xlpm.w="",_xlpm.v=""),"",_xlpm.v*_xlpm.w)
)</f>
        <v/>
      </c>
      <c r="BP73" s="93" t="str" cm="1">
        <f t="array" ref="BP73">_xlfn.LET(
  _xlpm.w, BP$11,
  _xlpm.r, MATCH(1,('3. Enter Indicator Scores'!$B$10:$B$161=$B73)*('3. Enter Indicator Scores'!$C$10:$C$161=$C73),0),
  _xlpm.c, MATCH(BP$8,'3. Enter Indicator Scores'!$D$8:$CZ$8,0),
  _xlpm.v, IFERROR(INDEX('3. Enter Indicator Scores'!$D$10:$CZ$161,_xlpm.r,_xlpm.c),""),
  IF(OR(_xlpm.w="",_xlpm.v=""),"",_xlpm.v*_xlpm.w)
)</f>
        <v/>
      </c>
      <c r="BQ73" s="93" t="str" cm="1">
        <f t="array" ref="BQ73">_xlfn.LET(
  _xlpm.w, BQ$11,
  _xlpm.r, MATCH(1,('3. Enter Indicator Scores'!$B$10:$B$161=$B73)*('3. Enter Indicator Scores'!$C$10:$C$161=$C73),0),
  _xlpm.c, MATCH(BQ$8,'3. Enter Indicator Scores'!$D$8:$CZ$8,0),
  _xlpm.v, IFERROR(INDEX('3. Enter Indicator Scores'!$D$10:$CZ$161,_xlpm.r,_xlpm.c),""),
  IF(OR(_xlpm.w="",_xlpm.v=""),"",_xlpm.v*_xlpm.w)
)</f>
        <v/>
      </c>
      <c r="BR73" s="93" t="str" cm="1">
        <f t="array" ref="BR73">_xlfn.LET(
  _xlpm.w, BR$11,
  _xlpm.r, MATCH(1,('3. Enter Indicator Scores'!$B$10:$B$161=$B73)*('3. Enter Indicator Scores'!$C$10:$C$161=$C73),0),
  _xlpm.c, MATCH(BR$8,'3. Enter Indicator Scores'!$D$8:$CZ$8,0),
  _xlpm.v, IFERROR(INDEX('3. Enter Indicator Scores'!$D$10:$CZ$161,_xlpm.r,_xlpm.c),""),
  IF(OR(_xlpm.w="",_xlpm.v=""),"",_xlpm.v*_xlpm.w)
)</f>
        <v/>
      </c>
      <c r="BS73" s="93" t="str" cm="1">
        <f t="array" ref="BS73">_xlfn.LET(
  _xlpm.w, BS$11,
  _xlpm.r, MATCH(1,('3. Enter Indicator Scores'!$B$10:$B$161=$B73)*('3. Enter Indicator Scores'!$C$10:$C$161=$C73),0),
  _xlpm.c, MATCH(BS$8,'3. Enter Indicator Scores'!$D$8:$CZ$8,0),
  _xlpm.v, IFERROR(INDEX('3. Enter Indicator Scores'!$D$10:$CZ$161,_xlpm.r,_xlpm.c),""),
  IF(OR(_xlpm.w="",_xlpm.v=""),"",_xlpm.v*_xlpm.w)
)</f>
        <v/>
      </c>
      <c r="BT73" s="93" t="str" cm="1">
        <f t="array" ref="BT73">_xlfn.LET(
  _xlpm.w, BT$11,
  _xlpm.r, MATCH(1,('3. Enter Indicator Scores'!$B$10:$B$161=$B73)*('3. Enter Indicator Scores'!$C$10:$C$161=$C73),0),
  _xlpm.c, MATCH(BT$8,'3. Enter Indicator Scores'!$D$8:$CZ$8,0),
  _xlpm.v, IFERROR(INDEX('3. Enter Indicator Scores'!$D$10:$CZ$161,_xlpm.r,_xlpm.c),""),
  IF(OR(_xlpm.w="",_xlpm.v=""),"",_xlpm.v*_xlpm.w)
)</f>
        <v/>
      </c>
      <c r="BU73" s="93" t="str" cm="1">
        <f t="array" ref="BU73">_xlfn.LET(
  _xlpm.w, BU$11,
  _xlpm.r, MATCH(1,('3. Enter Indicator Scores'!$B$10:$B$161=$B73)*('3. Enter Indicator Scores'!$C$10:$C$161=$C73),0),
  _xlpm.c, MATCH(BU$8,'3. Enter Indicator Scores'!$D$8:$CZ$8,0),
  _xlpm.v, IFERROR(INDEX('3. Enter Indicator Scores'!$D$10:$CZ$161,_xlpm.r,_xlpm.c),""),
  IF(OR(_xlpm.w="",_xlpm.v=""),"",_xlpm.v*_xlpm.w)
)</f>
        <v/>
      </c>
      <c r="BV73" s="93" t="str" cm="1">
        <f t="array" ref="BV73">_xlfn.LET(
  _xlpm.w, BV$11,
  _xlpm.r, MATCH(1,('3. Enter Indicator Scores'!$B$10:$B$161=$B73)*('3. Enter Indicator Scores'!$C$10:$C$161=$C73),0),
  _xlpm.c, MATCH(BV$8,'3. Enter Indicator Scores'!$D$8:$CZ$8,0),
  _xlpm.v, IFERROR(INDEX('3. Enter Indicator Scores'!$D$10:$CZ$161,_xlpm.r,_xlpm.c),""),
  IF(OR(_xlpm.w="",_xlpm.v=""),"",_xlpm.v*_xlpm.w)
)</f>
        <v/>
      </c>
      <c r="BW73" s="93" t="str" cm="1">
        <f t="array" ref="BW73">_xlfn.LET(
  _xlpm.w, BW$11,
  _xlpm.r, MATCH(1,('3. Enter Indicator Scores'!$B$10:$B$161=$B73)*('3. Enter Indicator Scores'!$C$10:$C$161=$C73),0),
  _xlpm.c, MATCH(BW$8,'3. Enter Indicator Scores'!$D$8:$CZ$8,0),
  _xlpm.v, IFERROR(INDEX('3. Enter Indicator Scores'!$D$10:$CZ$161,_xlpm.r,_xlpm.c),""),
  IF(OR(_xlpm.w="",_xlpm.v=""),"",_xlpm.v*_xlpm.w)
)</f>
        <v/>
      </c>
      <c r="BX73" s="93" t="str" cm="1">
        <f t="array" ref="BX73">_xlfn.LET(
  _xlpm.w, BX$11,
  _xlpm.r, MATCH(1,('3. Enter Indicator Scores'!$B$10:$B$161=$B73)*('3. Enter Indicator Scores'!$C$10:$C$161=$C73),0),
  _xlpm.c, MATCH(BX$8,'3. Enter Indicator Scores'!$D$8:$CZ$8,0),
  _xlpm.v, IFERROR(INDEX('3. Enter Indicator Scores'!$D$10:$CZ$161,_xlpm.r,_xlpm.c),""),
  IF(OR(_xlpm.w="",_xlpm.v=""),"",_xlpm.v*_xlpm.w)
)</f>
        <v/>
      </c>
      <c r="BY73" s="93" t="str" cm="1">
        <f t="array" ref="BY73">_xlfn.LET(
  _xlpm.w, BY$11,
  _xlpm.r, MATCH(1,('3. Enter Indicator Scores'!$B$10:$B$161=$B73)*('3. Enter Indicator Scores'!$C$10:$C$161=$C73),0),
  _xlpm.c, MATCH(BY$8,'3. Enter Indicator Scores'!$D$8:$CZ$8,0),
  _xlpm.v, IFERROR(INDEX('3. Enter Indicator Scores'!$D$10:$CZ$161,_xlpm.r,_xlpm.c),""),
  IF(OR(_xlpm.w="",_xlpm.v=""),"",_xlpm.v*_xlpm.w)
)</f>
        <v/>
      </c>
      <c r="BZ73" s="93" t="str" cm="1">
        <f t="array" ref="BZ73">_xlfn.LET(
  _xlpm.w, BZ$11,
  _xlpm.r, MATCH(1,('3. Enter Indicator Scores'!$B$10:$B$161=$B73)*('3. Enter Indicator Scores'!$C$10:$C$161=$C73),0),
  _xlpm.c, MATCH(BZ$8,'3. Enter Indicator Scores'!$D$8:$CZ$8,0),
  _xlpm.v, IFERROR(INDEX('3. Enter Indicator Scores'!$D$10:$CZ$161,_xlpm.r,_xlpm.c),""),
  IF(OR(_xlpm.w="",_xlpm.v=""),"",_xlpm.v*_xlpm.w)
)</f>
        <v/>
      </c>
      <c r="CA73" s="93" t="str" cm="1">
        <f t="array" ref="CA73">_xlfn.LET(
  _xlpm.w, CA$11,
  _xlpm.r, MATCH(1,('3. Enter Indicator Scores'!$B$10:$B$161=$B73)*('3. Enter Indicator Scores'!$C$10:$C$161=$C73),0),
  _xlpm.c, MATCH(CA$8,'3. Enter Indicator Scores'!$D$8:$CZ$8,0),
  _xlpm.v, IFERROR(INDEX('3. Enter Indicator Scores'!$D$10:$CZ$161,_xlpm.r,_xlpm.c),""),
  IF(OR(_xlpm.w="",_xlpm.v=""),"",_xlpm.v*_xlpm.w)
)</f>
        <v/>
      </c>
      <c r="CB73" s="93" t="str" cm="1">
        <f t="array" ref="CB73">_xlfn.LET(
  _xlpm.w, CB$11,
  _xlpm.r, MATCH(1,('3. Enter Indicator Scores'!$B$10:$B$161=$B73)*('3. Enter Indicator Scores'!$C$10:$C$161=$C73),0),
  _xlpm.c, MATCH(CB$8,'3. Enter Indicator Scores'!$D$8:$CZ$8,0),
  _xlpm.v, IFERROR(INDEX('3. Enter Indicator Scores'!$D$10:$CZ$161,_xlpm.r,_xlpm.c),""),
  IF(OR(_xlpm.w="",_xlpm.v=""),"",_xlpm.v*_xlpm.w)
)</f>
        <v/>
      </c>
      <c r="CC73" s="93" t="str" cm="1">
        <f t="array" ref="CC73">_xlfn.LET(
  _xlpm.w, CC$11,
  _xlpm.r, MATCH(1,('3. Enter Indicator Scores'!$B$10:$B$161=$B73)*('3. Enter Indicator Scores'!$C$10:$C$161=$C73),0),
  _xlpm.c, MATCH(CC$8,'3. Enter Indicator Scores'!$D$8:$CZ$8,0),
  _xlpm.v, IFERROR(INDEX('3. Enter Indicator Scores'!$D$10:$CZ$161,_xlpm.r,_xlpm.c),""),
  IF(OR(_xlpm.w="",_xlpm.v=""),"",_xlpm.v*_xlpm.w)
)</f>
        <v/>
      </c>
      <c r="CD73" s="93" t="str" cm="1">
        <f t="array" ref="CD73">_xlfn.LET(
  _xlpm.w, CD$11,
  _xlpm.r, MATCH(1,('3. Enter Indicator Scores'!$B$10:$B$161=$B73)*('3. Enter Indicator Scores'!$C$10:$C$161=$C73),0),
  _xlpm.c, MATCH(CD$8,'3. Enter Indicator Scores'!$D$8:$CZ$8,0),
  _xlpm.v, IFERROR(INDEX('3. Enter Indicator Scores'!$D$10:$CZ$161,_xlpm.r,_xlpm.c),""),
  IF(OR(_xlpm.w="",_xlpm.v=""),"",_xlpm.v*_xlpm.w)
)</f>
        <v/>
      </c>
      <c r="CE73" s="93" t="str" cm="1">
        <f t="array" ref="CE73">_xlfn.LET(
  _xlpm.w, CE$11,
  _xlpm.r, MATCH(1,('3. Enter Indicator Scores'!$B$10:$B$161=$B73)*('3. Enter Indicator Scores'!$C$10:$C$161=$C73),0),
  _xlpm.c, MATCH(CE$8,'3. Enter Indicator Scores'!$D$8:$CZ$8,0),
  _xlpm.v, IFERROR(INDEX('3. Enter Indicator Scores'!$D$10:$CZ$161,_xlpm.r,_xlpm.c),""),
  IF(OR(_xlpm.w="",_xlpm.v=""),"",_xlpm.v*_xlpm.w)
)</f>
        <v/>
      </c>
      <c r="CF73" s="93" t="str" cm="1">
        <f t="array" ref="CF73">_xlfn.LET(
  _xlpm.w, CF$11,
  _xlpm.r, MATCH(1,('3. Enter Indicator Scores'!$B$10:$B$161=$B73)*('3. Enter Indicator Scores'!$C$10:$C$161=$C73),0),
  _xlpm.c, MATCH(CF$8,'3. Enter Indicator Scores'!$D$8:$CZ$8,0),
  _xlpm.v, IFERROR(INDEX('3. Enter Indicator Scores'!$D$10:$CZ$161,_xlpm.r,_xlpm.c),""),
  IF(OR(_xlpm.w="",_xlpm.v=""),"",_xlpm.v*_xlpm.w)
)</f>
        <v/>
      </c>
      <c r="CG73" s="93" t="str" cm="1">
        <f t="array" ref="CG73">_xlfn.LET(
  _xlpm.w, CG$11,
  _xlpm.r, MATCH(1,('3. Enter Indicator Scores'!$B$10:$B$161=$B73)*('3. Enter Indicator Scores'!$C$10:$C$161=$C73),0),
  _xlpm.c, MATCH(CG$8,'3. Enter Indicator Scores'!$D$8:$CZ$8,0),
  _xlpm.v, IFERROR(INDEX('3. Enter Indicator Scores'!$D$10:$CZ$161,_xlpm.r,_xlpm.c),""),
  IF(OR(_xlpm.w="",_xlpm.v=""),"",_xlpm.v*_xlpm.w)
)</f>
        <v/>
      </c>
      <c r="CH73" s="93" t="str" cm="1">
        <f t="array" ref="CH73">_xlfn.LET(
  _xlpm.w, CH$11,
  _xlpm.r, MATCH(1,('3. Enter Indicator Scores'!$B$10:$B$161=$B73)*('3. Enter Indicator Scores'!$C$10:$C$161=$C73),0),
  _xlpm.c, MATCH(CH$8,'3. Enter Indicator Scores'!$D$8:$CZ$8,0),
  _xlpm.v, IFERROR(INDEX('3. Enter Indicator Scores'!$D$10:$CZ$161,_xlpm.r,_xlpm.c),""),
  IF(OR(_xlpm.w="",_xlpm.v=""),"",_xlpm.v*_xlpm.w)
)</f>
        <v/>
      </c>
      <c r="CI73" s="93" t="str" cm="1">
        <f t="array" ref="CI73">_xlfn.LET(
  _xlpm.w, CI$11,
  _xlpm.r, MATCH(1,('3. Enter Indicator Scores'!$B$10:$B$161=$B73)*('3. Enter Indicator Scores'!$C$10:$C$161=$C73),0),
  _xlpm.c, MATCH(CI$8,'3. Enter Indicator Scores'!$D$8:$CZ$8,0),
  _xlpm.v, IFERROR(INDEX('3. Enter Indicator Scores'!$D$10:$CZ$161,_xlpm.r,_xlpm.c),""),
  IF(OR(_xlpm.w="",_xlpm.v=""),"",_xlpm.v*_xlpm.w)
)</f>
        <v/>
      </c>
      <c r="CJ73" s="93" t="str" cm="1">
        <f t="array" ref="CJ73">_xlfn.LET(
  _xlpm.w, CJ$11,
  _xlpm.r, MATCH(1,('3. Enter Indicator Scores'!$B$10:$B$161=$B73)*('3. Enter Indicator Scores'!$C$10:$C$161=$C73),0),
  _xlpm.c, MATCH(CJ$8,'3. Enter Indicator Scores'!$D$8:$CZ$8,0),
  _xlpm.v, IFERROR(INDEX('3. Enter Indicator Scores'!$D$10:$CZ$161,_xlpm.r,_xlpm.c),""),
  IF(OR(_xlpm.w="",_xlpm.v=""),"",_xlpm.v*_xlpm.w)
)</f>
        <v/>
      </c>
      <c r="CK73" s="93" t="str" cm="1">
        <f t="array" ref="CK73">_xlfn.LET(
  _xlpm.w, CK$11,
  _xlpm.r, MATCH(1,('3. Enter Indicator Scores'!$B$10:$B$161=$B73)*('3. Enter Indicator Scores'!$C$10:$C$161=$C73),0),
  _xlpm.c, MATCH(CK$8,'3. Enter Indicator Scores'!$D$8:$CZ$8,0),
  _xlpm.v, IFERROR(INDEX('3. Enter Indicator Scores'!$D$10:$CZ$161,_xlpm.r,_xlpm.c),""),
  IF(OR(_xlpm.w="",_xlpm.v=""),"",_xlpm.v*_xlpm.w)
)</f>
        <v/>
      </c>
      <c r="CL73" s="93" t="str" cm="1">
        <f t="array" ref="CL73">_xlfn.LET(
  _xlpm.w, CL$11,
  _xlpm.r, MATCH(1,('3. Enter Indicator Scores'!$B$10:$B$161=$B73)*('3. Enter Indicator Scores'!$C$10:$C$161=$C73),0),
  _xlpm.c, MATCH(CL$8,'3. Enter Indicator Scores'!$D$8:$CZ$8,0),
  _xlpm.v, IFERROR(INDEX('3. Enter Indicator Scores'!$D$10:$CZ$161,_xlpm.r,_xlpm.c),""),
  IF(OR(_xlpm.w="",_xlpm.v=""),"",_xlpm.v*_xlpm.w)
)</f>
        <v/>
      </c>
      <c r="CM73" s="93" t="str" cm="1">
        <f t="array" ref="CM73">_xlfn.LET(
  _xlpm.w, CM$11,
  _xlpm.r, MATCH(1,('3. Enter Indicator Scores'!$B$10:$B$161=$B73)*('3. Enter Indicator Scores'!$C$10:$C$161=$C73),0),
  _xlpm.c, MATCH(CM$8,'3. Enter Indicator Scores'!$D$8:$CZ$8,0),
  _xlpm.v, IFERROR(INDEX('3. Enter Indicator Scores'!$D$10:$CZ$161,_xlpm.r,_xlpm.c),""),
  IF(OR(_xlpm.w="",_xlpm.v=""),"",_xlpm.v*_xlpm.w)
)</f>
        <v/>
      </c>
      <c r="CN73" s="93" t="str" cm="1">
        <f t="array" ref="CN73">_xlfn.LET(
  _xlpm.w, CN$11,
  _xlpm.r, MATCH(1,('3. Enter Indicator Scores'!$B$10:$B$161=$B73)*('3. Enter Indicator Scores'!$C$10:$C$161=$C73),0),
  _xlpm.c, MATCH(CN$8,'3. Enter Indicator Scores'!$D$8:$CZ$8,0),
  _xlpm.v, IFERROR(INDEX('3. Enter Indicator Scores'!$D$10:$CZ$161,_xlpm.r,_xlpm.c),""),
  IF(OR(_xlpm.w="",_xlpm.v=""),"",_xlpm.v*_xlpm.w)
)</f>
        <v/>
      </c>
      <c r="CO73" s="93" t="str" cm="1">
        <f t="array" ref="CO73">_xlfn.LET(
  _xlpm.w, CO$11,
  _xlpm.r, MATCH(1,('3. Enter Indicator Scores'!$B$10:$B$161=$B73)*('3. Enter Indicator Scores'!$C$10:$C$161=$C73),0),
  _xlpm.c, MATCH(CO$8,'3. Enter Indicator Scores'!$D$8:$CZ$8,0),
  _xlpm.v, IFERROR(INDEX('3. Enter Indicator Scores'!$D$10:$CZ$161,_xlpm.r,_xlpm.c),""),
  IF(OR(_xlpm.w="",_xlpm.v=""),"",_xlpm.v*_xlpm.w)
)</f>
        <v/>
      </c>
      <c r="CP73" s="93" t="str" cm="1">
        <f t="array" ref="CP73">_xlfn.LET(
  _xlpm.w, CP$11,
  _xlpm.r, MATCH(1,('3. Enter Indicator Scores'!$B$10:$B$161=$B73)*('3. Enter Indicator Scores'!$C$10:$C$161=$C73),0),
  _xlpm.c, MATCH(CP$8,'3. Enter Indicator Scores'!$D$8:$CZ$8,0),
  _xlpm.v, IFERROR(INDEX('3. Enter Indicator Scores'!$D$10:$CZ$161,_xlpm.r,_xlpm.c),""),
  IF(OR(_xlpm.w="",_xlpm.v=""),"",_xlpm.v*_xlpm.w)
)</f>
        <v/>
      </c>
      <c r="CQ73" s="93" t="str" cm="1">
        <f t="array" ref="CQ73">_xlfn.LET(
  _xlpm.w, CQ$11,
  _xlpm.r, MATCH(1,('3. Enter Indicator Scores'!$B$10:$B$161=$B73)*('3. Enter Indicator Scores'!$C$10:$C$161=$C73),0),
  _xlpm.c, MATCH(CQ$8,'3. Enter Indicator Scores'!$D$8:$CZ$8,0),
  _xlpm.v, IFERROR(INDEX('3. Enter Indicator Scores'!$D$10:$CZ$161,_xlpm.r,_xlpm.c),""),
  IF(OR(_xlpm.w="",_xlpm.v=""),"",_xlpm.v*_xlpm.w)
)</f>
        <v/>
      </c>
      <c r="CR73" s="93" t="str" cm="1">
        <f t="array" ref="CR73">_xlfn.LET(
  _xlpm.w, CR$11,
  _xlpm.r, MATCH(1,('3. Enter Indicator Scores'!$B$10:$B$161=$B73)*('3. Enter Indicator Scores'!$C$10:$C$161=$C73),0),
  _xlpm.c, MATCH(CR$8,'3. Enter Indicator Scores'!$D$8:$CZ$8,0),
  _xlpm.v, IFERROR(INDEX('3. Enter Indicator Scores'!$D$10:$CZ$161,_xlpm.r,_xlpm.c),""),
  IF(OR(_xlpm.w="",_xlpm.v=""),"",_xlpm.v*_xlpm.w)
)</f>
        <v/>
      </c>
      <c r="CS73" s="93" t="str" cm="1">
        <f t="array" ref="CS73">_xlfn.LET(
  _xlpm.w, CS$11,
  _xlpm.r, MATCH(1,('3. Enter Indicator Scores'!$B$10:$B$161=$B73)*('3. Enter Indicator Scores'!$C$10:$C$161=$C73),0),
  _xlpm.c, MATCH(CS$8,'3. Enter Indicator Scores'!$D$8:$CZ$8,0),
  _xlpm.v, IFERROR(INDEX('3. Enter Indicator Scores'!$D$10:$CZ$161,_xlpm.r,_xlpm.c),""),
  IF(OR(_xlpm.w="",_xlpm.v=""),"",_xlpm.v*_xlpm.w)
)</f>
        <v/>
      </c>
      <c r="CT73" s="93" t="str" cm="1">
        <f t="array" ref="CT73">_xlfn.LET(
  _xlpm.w, CT$11,
  _xlpm.r, MATCH(1,('3. Enter Indicator Scores'!$B$10:$B$161=$B73)*('3. Enter Indicator Scores'!$C$10:$C$161=$C73),0),
  _xlpm.c, MATCH(CT$8,'3. Enter Indicator Scores'!$D$8:$CZ$8,0),
  _xlpm.v, IFERROR(INDEX('3. Enter Indicator Scores'!$D$10:$CZ$161,_xlpm.r,_xlpm.c),""),
  IF(OR(_xlpm.w="",_xlpm.v=""),"",_xlpm.v*_xlpm.w)
)</f>
        <v/>
      </c>
      <c r="CU73" s="93" t="str" cm="1">
        <f t="array" ref="CU73">_xlfn.LET(
  _xlpm.w, CU$11,
  _xlpm.r, MATCH(1,('3. Enter Indicator Scores'!$B$10:$B$161=$B73)*('3. Enter Indicator Scores'!$C$10:$C$161=$C73),0),
  _xlpm.c, MATCH(CU$8,'3. Enter Indicator Scores'!$D$8:$CZ$8,0),
  _xlpm.v, IFERROR(INDEX('3. Enter Indicator Scores'!$D$10:$CZ$161,_xlpm.r,_xlpm.c),""),
  IF(OR(_xlpm.w="",_xlpm.v=""),"",_xlpm.v*_xlpm.w)
)</f>
        <v/>
      </c>
      <c r="CV73" s="93" t="str" cm="1">
        <f t="array" ref="CV73">_xlfn.LET(
  _xlpm.w, CV$11,
  _xlpm.r, MATCH(1,('3. Enter Indicator Scores'!$B$10:$B$161=$B73)*('3. Enter Indicator Scores'!$C$10:$C$161=$C73),0),
  _xlpm.c, MATCH(CV$8,'3. Enter Indicator Scores'!$D$8:$CZ$8,0),
  _xlpm.v, IFERROR(INDEX('3. Enter Indicator Scores'!$D$10:$CZ$161,_xlpm.r,_xlpm.c),""),
  IF(OR(_xlpm.w="",_xlpm.v=""),"",_xlpm.v*_xlpm.w)
)</f>
        <v/>
      </c>
      <c r="CW73" s="93" t="str" cm="1">
        <f t="array" ref="CW73">_xlfn.LET(
  _xlpm.w, CW$11,
  _xlpm.r, MATCH(1,('3. Enter Indicator Scores'!$B$10:$B$161=$B73)*('3. Enter Indicator Scores'!$C$10:$C$161=$C73),0),
  _xlpm.c, MATCH(CW$8,'3. Enter Indicator Scores'!$D$8:$CZ$8,0),
  _xlpm.v, IFERROR(INDEX('3. Enter Indicator Scores'!$D$10:$CZ$161,_xlpm.r,_xlpm.c),""),
  IF(OR(_xlpm.w="",_xlpm.v=""),"",_xlpm.v*_xlpm.w)
)</f>
        <v/>
      </c>
      <c r="CX73" s="93" t="str" cm="1">
        <f t="array" ref="CX73">_xlfn.LET(
  _xlpm.w, CX$11,
  _xlpm.r, MATCH(1,('3. Enter Indicator Scores'!$B$10:$B$161=$B73)*('3. Enter Indicator Scores'!$C$10:$C$161=$C73),0),
  _xlpm.c, MATCH(CX$8,'3. Enter Indicator Scores'!$D$8:$CZ$8,0),
  _xlpm.v, IFERROR(INDEX('3. Enter Indicator Scores'!$D$10:$CZ$161,_xlpm.r,_xlpm.c),""),
  IF(OR(_xlpm.w="",_xlpm.v=""),"",_xlpm.v*_xlpm.w)
)</f>
        <v/>
      </c>
      <c r="CY73" s="93" t="str" cm="1">
        <f t="array" ref="CY73">_xlfn.LET(
  _xlpm.w, CY$11,
  _xlpm.r, MATCH(1,('3. Enter Indicator Scores'!$B$10:$B$161=$B73)*('3. Enter Indicator Scores'!$C$10:$C$161=$C73),0),
  _xlpm.c, MATCH(CY$8,'3. Enter Indicator Scores'!$D$8:$CZ$8,0),
  _xlpm.v, IFERROR(INDEX('3. Enter Indicator Scores'!$D$10:$CZ$161,_xlpm.r,_xlpm.c),""),
  IF(OR(_xlpm.w="",_xlpm.v=""),"",_xlpm.v*_xlpm.w)
)</f>
        <v/>
      </c>
      <c r="CZ73" s="93" t="str" cm="1">
        <f t="array" ref="CZ73">_xlfn.LET(
  _xlpm.w, CZ$11,
  _xlpm.r, MATCH(1,('3. Enter Indicator Scores'!$B$10:$B$161=$B73)*('3. Enter Indicator Scores'!$C$10:$C$161=$C73),0),
  _xlpm.c, MATCH(CZ$8,'3. Enter Indicator Scores'!$D$8:$CZ$8,0),
  _xlpm.v, IFERROR(INDEX('3. Enter Indicator Scores'!$D$10:$CZ$161,_xlpm.r,_xlpm.c),""),
  IF(OR(_xlpm.w="",_xlpm.v=""),"",_xlpm.v*_xlpm.w)
)</f>
        <v/>
      </c>
    </row>
    <row r="74" spans="4:104" x14ac:dyDescent="0.2">
      <c r="D74" s="93" t="str" cm="1">
        <f t="array" ref="D74">_xlfn.LET(
  _xlpm.w, D$11,
  _xlpm.r, MATCH(1,('3. Enter Indicator Scores'!$B$10:$B$161=$B74)*('3. Enter Indicator Scores'!$C$10:$C$161=$C74),0),
  _xlpm.c, MATCH(D$8,'3. Enter Indicator Scores'!$D$8:$CZ$8,0),
  _xlpm.v, IFERROR(INDEX('3. Enter Indicator Scores'!$D$10:$CZ$161,_xlpm.r,_xlpm.c),""),
  IF(OR(_xlpm.w="",_xlpm.v=""),"",_xlpm.v*_xlpm.w)
)</f>
        <v/>
      </c>
      <c r="E74" s="93" t="str" cm="1">
        <f t="array" ref="E74">_xlfn.LET(
  _xlpm.w, E$11,
  _xlpm.r, MATCH(1,('3. Enter Indicator Scores'!$B$10:$B$161=$B74)*('3. Enter Indicator Scores'!$C$10:$C$161=$C74),0),
  _xlpm.c, MATCH(E$8,'3. Enter Indicator Scores'!$D$8:$CZ$8,0),
  _xlpm.v, IFERROR(INDEX('3. Enter Indicator Scores'!$D$10:$CZ$161,_xlpm.r,_xlpm.c),""),
  IF(OR(_xlpm.w="",_xlpm.v=""),"",_xlpm.v*_xlpm.w)
)</f>
        <v/>
      </c>
      <c r="F74" s="93" t="str" cm="1">
        <f t="array" ref="F74">_xlfn.LET(
  _xlpm.w, F$11,
  _xlpm.r, MATCH(1,('3. Enter Indicator Scores'!$B$10:$B$161=$B74)*('3. Enter Indicator Scores'!$C$10:$C$161=$C74),0),
  _xlpm.c, MATCH(F$8,'3. Enter Indicator Scores'!$D$8:$CZ$8,0),
  _xlpm.v, IFERROR(INDEX('3. Enter Indicator Scores'!$D$10:$CZ$161,_xlpm.r,_xlpm.c),""),
  IF(OR(_xlpm.w="",_xlpm.v=""),"",_xlpm.v*_xlpm.w)
)</f>
        <v/>
      </c>
      <c r="G74" s="93" t="str" cm="1">
        <f t="array" ref="G74">_xlfn.LET(
  _xlpm.w, G$11,
  _xlpm.r, MATCH(1,('3. Enter Indicator Scores'!$B$10:$B$161=$B74)*('3. Enter Indicator Scores'!$C$10:$C$161=$C74),0),
  _xlpm.c, MATCH(G$8,'3. Enter Indicator Scores'!$D$8:$CZ$8,0),
  _xlpm.v, IFERROR(INDEX('3. Enter Indicator Scores'!$D$10:$CZ$161,_xlpm.r,_xlpm.c),""),
  IF(OR(_xlpm.w="",_xlpm.v=""),"",_xlpm.v*_xlpm.w)
)</f>
        <v/>
      </c>
      <c r="H74" s="93" t="str" cm="1">
        <f t="array" ref="H74">_xlfn.LET(
  _xlpm.w, H$11,
  _xlpm.r, MATCH(1,('3. Enter Indicator Scores'!$B$10:$B$161=$B74)*('3. Enter Indicator Scores'!$C$10:$C$161=$C74),0),
  _xlpm.c, MATCH(H$8,'3. Enter Indicator Scores'!$D$8:$CZ$8,0),
  _xlpm.v, IFERROR(INDEX('3. Enter Indicator Scores'!$D$10:$CZ$161,_xlpm.r,_xlpm.c),""),
  IF(OR(_xlpm.w="",_xlpm.v=""),"",_xlpm.v*_xlpm.w)
)</f>
        <v/>
      </c>
      <c r="I74" s="93" t="str" cm="1">
        <f t="array" ref="I74">_xlfn.LET(
  _xlpm.w, I$11,
  _xlpm.r, MATCH(1,('3. Enter Indicator Scores'!$B$10:$B$161=$B74)*('3. Enter Indicator Scores'!$C$10:$C$161=$C74),0),
  _xlpm.c, MATCH(I$8,'3. Enter Indicator Scores'!$D$8:$CZ$8,0),
  _xlpm.v, IFERROR(INDEX('3. Enter Indicator Scores'!$D$10:$CZ$161,_xlpm.r,_xlpm.c),""),
  IF(OR(_xlpm.w="",_xlpm.v=""),"",_xlpm.v*_xlpm.w)
)</f>
        <v/>
      </c>
      <c r="J74" s="93" t="str" cm="1">
        <f t="array" ref="J74">_xlfn.LET(
  _xlpm.w, J$11,
  _xlpm.r, MATCH(1,('3. Enter Indicator Scores'!$B$10:$B$161=$B74)*('3. Enter Indicator Scores'!$C$10:$C$161=$C74),0),
  _xlpm.c, MATCH(J$8,'3. Enter Indicator Scores'!$D$8:$CZ$8,0),
  _xlpm.v, IFERROR(INDEX('3. Enter Indicator Scores'!$D$10:$CZ$161,_xlpm.r,_xlpm.c),""),
  IF(OR(_xlpm.w="",_xlpm.v=""),"",_xlpm.v*_xlpm.w)
)</f>
        <v/>
      </c>
      <c r="K74" s="93" t="str" cm="1">
        <f t="array" ref="K74">_xlfn.LET(
  _xlpm.w, K$11,
  _xlpm.r, MATCH(1,('3. Enter Indicator Scores'!$B$10:$B$161=$B74)*('3. Enter Indicator Scores'!$C$10:$C$161=$C74),0),
  _xlpm.c, MATCH(K$8,'3. Enter Indicator Scores'!$D$8:$CZ$8,0),
  _xlpm.v, IFERROR(INDEX('3. Enter Indicator Scores'!$D$10:$CZ$161,_xlpm.r,_xlpm.c),""),
  IF(OR(_xlpm.w="",_xlpm.v=""),"",_xlpm.v*_xlpm.w)
)</f>
        <v/>
      </c>
      <c r="L74" s="93" t="str" cm="1">
        <f t="array" ref="L74">_xlfn.LET(
  _xlpm.w, L$11,
  _xlpm.r, MATCH(1,('3. Enter Indicator Scores'!$B$10:$B$161=$B74)*('3. Enter Indicator Scores'!$C$10:$C$161=$C74),0),
  _xlpm.c, MATCH(L$8,'3. Enter Indicator Scores'!$D$8:$CZ$8,0),
  _xlpm.v, IFERROR(INDEX('3. Enter Indicator Scores'!$D$10:$CZ$161,_xlpm.r,_xlpm.c),""),
  IF(OR(_xlpm.w="",_xlpm.v=""),"",_xlpm.v*_xlpm.w)
)</f>
        <v/>
      </c>
      <c r="M74" s="93" t="str" cm="1">
        <f t="array" ref="M74">_xlfn.LET(
  _xlpm.w, M$11,
  _xlpm.r, MATCH(1,('3. Enter Indicator Scores'!$B$10:$B$161=$B74)*('3. Enter Indicator Scores'!$C$10:$C$161=$C74),0),
  _xlpm.c, MATCH(M$8,'3. Enter Indicator Scores'!$D$8:$CZ$8,0),
  _xlpm.v, IFERROR(INDEX('3. Enter Indicator Scores'!$D$10:$CZ$161,_xlpm.r,_xlpm.c),""),
  IF(OR(_xlpm.w="",_xlpm.v=""),"",_xlpm.v*_xlpm.w)
)</f>
        <v/>
      </c>
      <c r="N74" s="93" t="str" cm="1">
        <f t="array" ref="N74">_xlfn.LET(
  _xlpm.w, N$11,
  _xlpm.r, MATCH(1,('3. Enter Indicator Scores'!$B$10:$B$161=$B74)*('3. Enter Indicator Scores'!$C$10:$C$161=$C74),0),
  _xlpm.c, MATCH(N$8,'3. Enter Indicator Scores'!$D$8:$CZ$8,0),
  _xlpm.v, IFERROR(INDEX('3. Enter Indicator Scores'!$D$10:$CZ$161,_xlpm.r,_xlpm.c),""),
  IF(OR(_xlpm.w="",_xlpm.v=""),"",_xlpm.v*_xlpm.w)
)</f>
        <v/>
      </c>
      <c r="O74" s="93" t="str" cm="1">
        <f t="array" ref="O74">_xlfn.LET(
  _xlpm.w, O$11,
  _xlpm.r, MATCH(1,('3. Enter Indicator Scores'!$B$10:$B$161=$B74)*('3. Enter Indicator Scores'!$C$10:$C$161=$C74),0),
  _xlpm.c, MATCH(O$8,'3. Enter Indicator Scores'!$D$8:$CZ$8,0),
  _xlpm.v, IFERROR(INDEX('3. Enter Indicator Scores'!$D$10:$CZ$161,_xlpm.r,_xlpm.c),""),
  IF(OR(_xlpm.w="",_xlpm.v=""),"",_xlpm.v*_xlpm.w)
)</f>
        <v/>
      </c>
      <c r="P74" s="93" t="str" cm="1">
        <f t="array" ref="P74">_xlfn.LET(
  _xlpm.w, P$11,
  _xlpm.r, MATCH(1,('3. Enter Indicator Scores'!$B$10:$B$161=$B74)*('3. Enter Indicator Scores'!$C$10:$C$161=$C74),0),
  _xlpm.c, MATCH(P$8,'3. Enter Indicator Scores'!$D$8:$CZ$8,0),
  _xlpm.v, IFERROR(INDEX('3. Enter Indicator Scores'!$D$10:$CZ$161,_xlpm.r,_xlpm.c),""),
  IF(OR(_xlpm.w="",_xlpm.v=""),"",_xlpm.v*_xlpm.w)
)</f>
        <v/>
      </c>
      <c r="Q74" s="93" t="str" cm="1">
        <f t="array" ref="Q74">_xlfn.LET(
  _xlpm.w, Q$11,
  _xlpm.r, MATCH(1,('3. Enter Indicator Scores'!$B$10:$B$161=$B74)*('3. Enter Indicator Scores'!$C$10:$C$161=$C74),0),
  _xlpm.c, MATCH(Q$8,'3. Enter Indicator Scores'!$D$8:$CZ$8,0),
  _xlpm.v, IFERROR(INDEX('3. Enter Indicator Scores'!$D$10:$CZ$161,_xlpm.r,_xlpm.c),""),
  IF(OR(_xlpm.w="",_xlpm.v=""),"",_xlpm.v*_xlpm.w)
)</f>
        <v/>
      </c>
      <c r="R74" s="93" t="str" cm="1">
        <f t="array" ref="R74">_xlfn.LET(
  _xlpm.w, R$11,
  _xlpm.r, MATCH(1,('3. Enter Indicator Scores'!$B$10:$B$161=$B74)*('3. Enter Indicator Scores'!$C$10:$C$161=$C74),0),
  _xlpm.c, MATCH(R$8,'3. Enter Indicator Scores'!$D$8:$CZ$8,0),
  _xlpm.v, IFERROR(INDEX('3. Enter Indicator Scores'!$D$10:$CZ$161,_xlpm.r,_xlpm.c),""),
  IF(OR(_xlpm.w="",_xlpm.v=""),"",_xlpm.v*_xlpm.w)
)</f>
        <v/>
      </c>
      <c r="S74" s="93" t="str" cm="1">
        <f t="array" ref="S74">_xlfn.LET(
  _xlpm.w, S$11,
  _xlpm.r, MATCH(1,('3. Enter Indicator Scores'!$B$10:$B$161=$B74)*('3. Enter Indicator Scores'!$C$10:$C$161=$C74),0),
  _xlpm.c, MATCH(S$8,'3. Enter Indicator Scores'!$D$8:$CZ$8,0),
  _xlpm.v, IFERROR(INDEX('3. Enter Indicator Scores'!$D$10:$CZ$161,_xlpm.r,_xlpm.c),""),
  IF(OR(_xlpm.w="",_xlpm.v=""),"",_xlpm.v*_xlpm.w)
)</f>
        <v/>
      </c>
      <c r="T74" s="93" t="str" cm="1">
        <f t="array" ref="T74">_xlfn.LET(
  _xlpm.w, T$11,
  _xlpm.r, MATCH(1,('3. Enter Indicator Scores'!$B$10:$B$161=$B74)*('3. Enter Indicator Scores'!$C$10:$C$161=$C74),0),
  _xlpm.c, MATCH(T$8,'3. Enter Indicator Scores'!$D$8:$CZ$8,0),
  _xlpm.v, IFERROR(INDEX('3. Enter Indicator Scores'!$D$10:$CZ$161,_xlpm.r,_xlpm.c),""),
  IF(OR(_xlpm.w="",_xlpm.v=""),"",_xlpm.v*_xlpm.w)
)</f>
        <v/>
      </c>
      <c r="U74" s="93" t="str" cm="1">
        <f t="array" ref="U74">_xlfn.LET(
  _xlpm.w, U$11,
  _xlpm.r, MATCH(1,('3. Enter Indicator Scores'!$B$10:$B$161=$B74)*('3. Enter Indicator Scores'!$C$10:$C$161=$C74),0),
  _xlpm.c, MATCH(U$8,'3. Enter Indicator Scores'!$D$8:$CZ$8,0),
  _xlpm.v, IFERROR(INDEX('3. Enter Indicator Scores'!$D$10:$CZ$161,_xlpm.r,_xlpm.c),""),
  IF(OR(_xlpm.w="",_xlpm.v=""),"",_xlpm.v*_xlpm.w)
)</f>
        <v/>
      </c>
      <c r="V74" s="93" t="str" cm="1">
        <f t="array" ref="V74">_xlfn.LET(
  _xlpm.w, V$11,
  _xlpm.r, MATCH(1,('3. Enter Indicator Scores'!$B$10:$B$161=$B74)*('3. Enter Indicator Scores'!$C$10:$C$161=$C74),0),
  _xlpm.c, MATCH(V$8,'3. Enter Indicator Scores'!$D$8:$CZ$8,0),
  _xlpm.v, IFERROR(INDEX('3. Enter Indicator Scores'!$D$10:$CZ$161,_xlpm.r,_xlpm.c),""),
  IF(OR(_xlpm.w="",_xlpm.v=""),"",_xlpm.v*_xlpm.w)
)</f>
        <v/>
      </c>
      <c r="W74" s="93" t="str" cm="1">
        <f t="array" ref="W74">_xlfn.LET(
  _xlpm.w, W$11,
  _xlpm.r, MATCH(1,('3. Enter Indicator Scores'!$B$10:$B$161=$B74)*('3. Enter Indicator Scores'!$C$10:$C$161=$C74),0),
  _xlpm.c, MATCH(W$8,'3. Enter Indicator Scores'!$D$8:$CZ$8,0),
  _xlpm.v, IFERROR(INDEX('3. Enter Indicator Scores'!$D$10:$CZ$161,_xlpm.r,_xlpm.c),""),
  IF(OR(_xlpm.w="",_xlpm.v=""),"",_xlpm.v*_xlpm.w)
)</f>
        <v/>
      </c>
      <c r="X74" s="93" t="str" cm="1">
        <f t="array" ref="X74">_xlfn.LET(
  _xlpm.w, X$11,
  _xlpm.r, MATCH(1,('3. Enter Indicator Scores'!$B$10:$B$161=$B74)*('3. Enter Indicator Scores'!$C$10:$C$161=$C74),0),
  _xlpm.c, MATCH(X$8,'3. Enter Indicator Scores'!$D$8:$CZ$8,0),
  _xlpm.v, IFERROR(INDEX('3. Enter Indicator Scores'!$D$10:$CZ$161,_xlpm.r,_xlpm.c),""),
  IF(OR(_xlpm.w="",_xlpm.v=""),"",_xlpm.v*_xlpm.w)
)</f>
        <v/>
      </c>
      <c r="Y74" s="93" t="str" cm="1">
        <f t="array" ref="Y74">_xlfn.LET(
  _xlpm.w, Y$11,
  _xlpm.r, MATCH(1,('3. Enter Indicator Scores'!$B$10:$B$161=$B74)*('3. Enter Indicator Scores'!$C$10:$C$161=$C74),0),
  _xlpm.c, MATCH(Y$8,'3. Enter Indicator Scores'!$D$8:$CZ$8,0),
  _xlpm.v, IFERROR(INDEX('3. Enter Indicator Scores'!$D$10:$CZ$161,_xlpm.r,_xlpm.c),""),
  IF(OR(_xlpm.w="",_xlpm.v=""),"",_xlpm.v*_xlpm.w)
)</f>
        <v/>
      </c>
      <c r="Z74" s="93" t="str" cm="1">
        <f t="array" ref="Z74">_xlfn.LET(
  _xlpm.w, Z$11,
  _xlpm.r, MATCH(1,('3. Enter Indicator Scores'!$B$10:$B$161=$B74)*('3. Enter Indicator Scores'!$C$10:$C$161=$C74),0),
  _xlpm.c, MATCH(Z$8,'3. Enter Indicator Scores'!$D$8:$CZ$8,0),
  _xlpm.v, IFERROR(INDEX('3. Enter Indicator Scores'!$D$10:$CZ$161,_xlpm.r,_xlpm.c),""),
  IF(OR(_xlpm.w="",_xlpm.v=""),"",_xlpm.v*_xlpm.w)
)</f>
        <v/>
      </c>
      <c r="AA74" s="93" t="str" cm="1">
        <f t="array" ref="AA74">_xlfn.LET(
  _xlpm.w, AA$11,
  _xlpm.r, MATCH(1,('3. Enter Indicator Scores'!$B$10:$B$161=$B74)*('3. Enter Indicator Scores'!$C$10:$C$161=$C74),0),
  _xlpm.c, MATCH(AA$8,'3. Enter Indicator Scores'!$D$8:$CZ$8,0),
  _xlpm.v, IFERROR(INDEX('3. Enter Indicator Scores'!$D$10:$CZ$161,_xlpm.r,_xlpm.c),""),
  IF(OR(_xlpm.w="",_xlpm.v=""),"",_xlpm.v*_xlpm.w)
)</f>
        <v/>
      </c>
      <c r="AB74" s="93" t="str" cm="1">
        <f t="array" ref="AB74">_xlfn.LET(
  _xlpm.w, AB$11,
  _xlpm.r, MATCH(1,('3. Enter Indicator Scores'!$B$10:$B$161=$B74)*('3. Enter Indicator Scores'!$C$10:$C$161=$C74),0),
  _xlpm.c, MATCH(AB$8,'3. Enter Indicator Scores'!$D$8:$CZ$8,0),
  _xlpm.v, IFERROR(INDEX('3. Enter Indicator Scores'!$D$10:$CZ$161,_xlpm.r,_xlpm.c),""),
  IF(OR(_xlpm.w="",_xlpm.v=""),"",_xlpm.v*_xlpm.w)
)</f>
        <v/>
      </c>
      <c r="AC74" s="93" t="str" cm="1">
        <f t="array" ref="AC74">_xlfn.LET(
  _xlpm.w, AC$11,
  _xlpm.r, MATCH(1,('3. Enter Indicator Scores'!$B$10:$B$161=$B74)*('3. Enter Indicator Scores'!$C$10:$C$161=$C74),0),
  _xlpm.c, MATCH(AC$8,'3. Enter Indicator Scores'!$D$8:$CZ$8,0),
  _xlpm.v, IFERROR(INDEX('3. Enter Indicator Scores'!$D$10:$CZ$161,_xlpm.r,_xlpm.c),""),
  IF(OR(_xlpm.w="",_xlpm.v=""),"",_xlpm.v*_xlpm.w)
)</f>
        <v/>
      </c>
      <c r="AD74" s="93" t="str" cm="1">
        <f t="array" ref="AD74">_xlfn.LET(
  _xlpm.w, AD$11,
  _xlpm.r, MATCH(1,('3. Enter Indicator Scores'!$B$10:$B$161=$B74)*('3. Enter Indicator Scores'!$C$10:$C$161=$C74),0),
  _xlpm.c, MATCH(AD$8,'3. Enter Indicator Scores'!$D$8:$CZ$8,0),
  _xlpm.v, IFERROR(INDEX('3. Enter Indicator Scores'!$D$10:$CZ$161,_xlpm.r,_xlpm.c),""),
  IF(OR(_xlpm.w="",_xlpm.v=""),"",_xlpm.v*_xlpm.w)
)</f>
        <v/>
      </c>
      <c r="AE74" s="93" t="str" cm="1">
        <f t="array" ref="AE74">_xlfn.LET(
  _xlpm.w, AE$11,
  _xlpm.r, MATCH(1,('3. Enter Indicator Scores'!$B$10:$B$161=$B74)*('3. Enter Indicator Scores'!$C$10:$C$161=$C74),0),
  _xlpm.c, MATCH(AE$8,'3. Enter Indicator Scores'!$D$8:$CZ$8,0),
  _xlpm.v, IFERROR(INDEX('3. Enter Indicator Scores'!$D$10:$CZ$161,_xlpm.r,_xlpm.c),""),
  IF(OR(_xlpm.w="",_xlpm.v=""),"",_xlpm.v*_xlpm.w)
)</f>
        <v/>
      </c>
      <c r="AF74" s="93" t="str" cm="1">
        <f t="array" ref="AF74">_xlfn.LET(
  _xlpm.w, AF$11,
  _xlpm.r, MATCH(1,('3. Enter Indicator Scores'!$B$10:$B$161=$B74)*('3. Enter Indicator Scores'!$C$10:$C$161=$C74),0),
  _xlpm.c, MATCH(AF$8,'3. Enter Indicator Scores'!$D$8:$CZ$8,0),
  _xlpm.v, IFERROR(INDEX('3. Enter Indicator Scores'!$D$10:$CZ$161,_xlpm.r,_xlpm.c),""),
  IF(OR(_xlpm.w="",_xlpm.v=""),"",_xlpm.v*_xlpm.w)
)</f>
        <v/>
      </c>
      <c r="AG74" s="93" t="str" cm="1">
        <f t="array" ref="AG74">_xlfn.LET(
  _xlpm.w, AG$11,
  _xlpm.r, MATCH(1,('3. Enter Indicator Scores'!$B$10:$B$161=$B74)*('3. Enter Indicator Scores'!$C$10:$C$161=$C74),0),
  _xlpm.c, MATCH(AG$8,'3. Enter Indicator Scores'!$D$8:$CZ$8,0),
  _xlpm.v, IFERROR(INDEX('3. Enter Indicator Scores'!$D$10:$CZ$161,_xlpm.r,_xlpm.c),""),
  IF(OR(_xlpm.w="",_xlpm.v=""),"",_xlpm.v*_xlpm.w)
)</f>
        <v/>
      </c>
      <c r="AH74" s="93" t="str" cm="1">
        <f t="array" ref="AH74">_xlfn.LET(
  _xlpm.w, AH$11,
  _xlpm.r, MATCH(1,('3. Enter Indicator Scores'!$B$10:$B$161=$B74)*('3. Enter Indicator Scores'!$C$10:$C$161=$C74),0),
  _xlpm.c, MATCH(AH$8,'3. Enter Indicator Scores'!$D$8:$CZ$8,0),
  _xlpm.v, IFERROR(INDEX('3. Enter Indicator Scores'!$D$10:$CZ$161,_xlpm.r,_xlpm.c),""),
  IF(OR(_xlpm.w="",_xlpm.v=""),"",_xlpm.v*_xlpm.w)
)</f>
        <v/>
      </c>
      <c r="AI74" s="93" t="str" cm="1">
        <f t="array" ref="AI74">_xlfn.LET(
  _xlpm.w, AI$11,
  _xlpm.r, MATCH(1,('3. Enter Indicator Scores'!$B$10:$B$161=$B74)*('3. Enter Indicator Scores'!$C$10:$C$161=$C74),0),
  _xlpm.c, MATCH(AI$8,'3. Enter Indicator Scores'!$D$8:$CZ$8,0),
  _xlpm.v, IFERROR(INDEX('3. Enter Indicator Scores'!$D$10:$CZ$161,_xlpm.r,_xlpm.c),""),
  IF(OR(_xlpm.w="",_xlpm.v=""),"",_xlpm.v*_xlpm.w)
)</f>
        <v/>
      </c>
      <c r="AJ74" s="93" t="str" cm="1">
        <f t="array" ref="AJ74">_xlfn.LET(
  _xlpm.w, AJ$11,
  _xlpm.r, MATCH(1,('3. Enter Indicator Scores'!$B$10:$B$161=$B74)*('3. Enter Indicator Scores'!$C$10:$C$161=$C74),0),
  _xlpm.c, MATCH(AJ$8,'3. Enter Indicator Scores'!$D$8:$CZ$8,0),
  _xlpm.v, IFERROR(INDEX('3. Enter Indicator Scores'!$D$10:$CZ$161,_xlpm.r,_xlpm.c),""),
  IF(OR(_xlpm.w="",_xlpm.v=""),"",_xlpm.v*_xlpm.w)
)</f>
        <v/>
      </c>
      <c r="AK74" s="93" t="str" cm="1">
        <f t="array" ref="AK74">_xlfn.LET(
  _xlpm.w, AK$11,
  _xlpm.r, MATCH(1,('3. Enter Indicator Scores'!$B$10:$B$161=$B74)*('3. Enter Indicator Scores'!$C$10:$C$161=$C74),0),
  _xlpm.c, MATCH(AK$8,'3. Enter Indicator Scores'!$D$8:$CZ$8,0),
  _xlpm.v, IFERROR(INDEX('3. Enter Indicator Scores'!$D$10:$CZ$161,_xlpm.r,_xlpm.c),""),
  IF(OR(_xlpm.w="",_xlpm.v=""),"",_xlpm.v*_xlpm.w)
)</f>
        <v/>
      </c>
      <c r="AL74" s="93" t="str" cm="1">
        <f t="array" ref="AL74">_xlfn.LET(
  _xlpm.w, AL$11,
  _xlpm.r, MATCH(1,('3. Enter Indicator Scores'!$B$10:$B$161=$B74)*('3. Enter Indicator Scores'!$C$10:$C$161=$C74),0),
  _xlpm.c, MATCH(AL$8,'3. Enter Indicator Scores'!$D$8:$CZ$8,0),
  _xlpm.v, IFERROR(INDEX('3. Enter Indicator Scores'!$D$10:$CZ$161,_xlpm.r,_xlpm.c),""),
  IF(OR(_xlpm.w="",_xlpm.v=""),"",_xlpm.v*_xlpm.w)
)</f>
        <v/>
      </c>
      <c r="AM74" s="93" t="str" cm="1">
        <f t="array" ref="AM74">_xlfn.LET(
  _xlpm.w, AM$11,
  _xlpm.r, MATCH(1,('3. Enter Indicator Scores'!$B$10:$B$161=$B74)*('3. Enter Indicator Scores'!$C$10:$C$161=$C74),0),
  _xlpm.c, MATCH(AM$8,'3. Enter Indicator Scores'!$D$8:$CZ$8,0),
  _xlpm.v, IFERROR(INDEX('3. Enter Indicator Scores'!$D$10:$CZ$161,_xlpm.r,_xlpm.c),""),
  IF(OR(_xlpm.w="",_xlpm.v=""),"",_xlpm.v*_xlpm.w)
)</f>
        <v/>
      </c>
      <c r="AN74" s="93" t="str" cm="1">
        <f t="array" ref="AN74">_xlfn.LET(
  _xlpm.w, AN$11,
  _xlpm.r, MATCH(1,('3. Enter Indicator Scores'!$B$10:$B$161=$B74)*('3. Enter Indicator Scores'!$C$10:$C$161=$C74),0),
  _xlpm.c, MATCH(AN$8,'3. Enter Indicator Scores'!$D$8:$CZ$8,0),
  _xlpm.v, IFERROR(INDEX('3. Enter Indicator Scores'!$D$10:$CZ$161,_xlpm.r,_xlpm.c),""),
  IF(OR(_xlpm.w="",_xlpm.v=""),"",_xlpm.v*_xlpm.w)
)</f>
        <v/>
      </c>
      <c r="AO74" s="93" t="str" cm="1">
        <f t="array" ref="AO74">_xlfn.LET(
  _xlpm.w, AO$11,
  _xlpm.r, MATCH(1,('3. Enter Indicator Scores'!$B$10:$B$161=$B74)*('3. Enter Indicator Scores'!$C$10:$C$161=$C74),0),
  _xlpm.c, MATCH(AO$8,'3. Enter Indicator Scores'!$D$8:$CZ$8,0),
  _xlpm.v, IFERROR(INDEX('3. Enter Indicator Scores'!$D$10:$CZ$161,_xlpm.r,_xlpm.c),""),
  IF(OR(_xlpm.w="",_xlpm.v=""),"",_xlpm.v*_xlpm.w)
)</f>
        <v/>
      </c>
      <c r="AP74" s="93" t="str" cm="1">
        <f t="array" ref="AP74">_xlfn.LET(
  _xlpm.w, AP$11,
  _xlpm.r, MATCH(1,('3. Enter Indicator Scores'!$B$10:$B$161=$B74)*('3. Enter Indicator Scores'!$C$10:$C$161=$C74),0),
  _xlpm.c, MATCH(AP$8,'3. Enter Indicator Scores'!$D$8:$CZ$8,0),
  _xlpm.v, IFERROR(INDEX('3. Enter Indicator Scores'!$D$10:$CZ$161,_xlpm.r,_xlpm.c),""),
  IF(OR(_xlpm.w="",_xlpm.v=""),"",_xlpm.v*_xlpm.w)
)</f>
        <v/>
      </c>
      <c r="AQ74" s="93" t="str" cm="1">
        <f t="array" ref="AQ74">_xlfn.LET(
  _xlpm.w, AQ$11,
  _xlpm.r, MATCH(1,('3. Enter Indicator Scores'!$B$10:$B$161=$B74)*('3. Enter Indicator Scores'!$C$10:$C$161=$C74),0),
  _xlpm.c, MATCH(AQ$8,'3. Enter Indicator Scores'!$D$8:$CZ$8,0),
  _xlpm.v, IFERROR(INDEX('3. Enter Indicator Scores'!$D$10:$CZ$161,_xlpm.r,_xlpm.c),""),
  IF(OR(_xlpm.w="",_xlpm.v=""),"",_xlpm.v*_xlpm.w)
)</f>
        <v/>
      </c>
      <c r="AR74" s="93" t="str" cm="1">
        <f t="array" ref="AR74">_xlfn.LET(
  _xlpm.w, AR$11,
  _xlpm.r, MATCH(1,('3. Enter Indicator Scores'!$B$10:$B$161=$B74)*('3. Enter Indicator Scores'!$C$10:$C$161=$C74),0),
  _xlpm.c, MATCH(AR$8,'3. Enter Indicator Scores'!$D$8:$CZ$8,0),
  _xlpm.v, IFERROR(INDEX('3. Enter Indicator Scores'!$D$10:$CZ$161,_xlpm.r,_xlpm.c),""),
  IF(OR(_xlpm.w="",_xlpm.v=""),"",_xlpm.v*_xlpm.w)
)</f>
        <v/>
      </c>
      <c r="AS74" s="93" t="str" cm="1">
        <f t="array" ref="AS74">_xlfn.LET(
  _xlpm.w, AS$11,
  _xlpm.r, MATCH(1,('3. Enter Indicator Scores'!$B$10:$B$161=$B74)*('3. Enter Indicator Scores'!$C$10:$C$161=$C74),0),
  _xlpm.c, MATCH(AS$8,'3. Enter Indicator Scores'!$D$8:$CZ$8,0),
  _xlpm.v, IFERROR(INDEX('3. Enter Indicator Scores'!$D$10:$CZ$161,_xlpm.r,_xlpm.c),""),
  IF(OR(_xlpm.w="",_xlpm.v=""),"",_xlpm.v*_xlpm.w)
)</f>
        <v/>
      </c>
      <c r="AT74" s="93" t="str" cm="1">
        <f t="array" ref="AT74">_xlfn.LET(
  _xlpm.w, AT$11,
  _xlpm.r, MATCH(1,('3. Enter Indicator Scores'!$B$10:$B$161=$B74)*('3. Enter Indicator Scores'!$C$10:$C$161=$C74),0),
  _xlpm.c, MATCH(AT$8,'3. Enter Indicator Scores'!$D$8:$CZ$8,0),
  _xlpm.v, IFERROR(INDEX('3. Enter Indicator Scores'!$D$10:$CZ$161,_xlpm.r,_xlpm.c),""),
  IF(OR(_xlpm.w="",_xlpm.v=""),"",_xlpm.v*_xlpm.w)
)</f>
        <v/>
      </c>
      <c r="AU74" s="93" t="str" cm="1">
        <f t="array" ref="AU74">_xlfn.LET(
  _xlpm.w, AU$11,
  _xlpm.r, MATCH(1,('3. Enter Indicator Scores'!$B$10:$B$161=$B74)*('3. Enter Indicator Scores'!$C$10:$C$161=$C74),0),
  _xlpm.c, MATCH(AU$8,'3. Enter Indicator Scores'!$D$8:$CZ$8,0),
  _xlpm.v, IFERROR(INDEX('3. Enter Indicator Scores'!$D$10:$CZ$161,_xlpm.r,_xlpm.c),""),
  IF(OR(_xlpm.w="",_xlpm.v=""),"",_xlpm.v*_xlpm.w)
)</f>
        <v/>
      </c>
      <c r="AV74" s="93" t="str" cm="1">
        <f t="array" ref="AV74">_xlfn.LET(
  _xlpm.w, AV$11,
  _xlpm.r, MATCH(1,('3. Enter Indicator Scores'!$B$10:$B$161=$B74)*('3. Enter Indicator Scores'!$C$10:$C$161=$C74),0),
  _xlpm.c, MATCH(AV$8,'3. Enter Indicator Scores'!$D$8:$CZ$8,0),
  _xlpm.v, IFERROR(INDEX('3. Enter Indicator Scores'!$D$10:$CZ$161,_xlpm.r,_xlpm.c),""),
  IF(OR(_xlpm.w="",_xlpm.v=""),"",_xlpm.v*_xlpm.w)
)</f>
        <v/>
      </c>
      <c r="AW74" s="93" t="str" cm="1">
        <f t="array" ref="AW74">_xlfn.LET(
  _xlpm.w, AW$11,
  _xlpm.r, MATCH(1,('3. Enter Indicator Scores'!$B$10:$B$161=$B74)*('3. Enter Indicator Scores'!$C$10:$C$161=$C74),0),
  _xlpm.c, MATCH(AW$8,'3. Enter Indicator Scores'!$D$8:$CZ$8,0),
  _xlpm.v, IFERROR(INDEX('3. Enter Indicator Scores'!$D$10:$CZ$161,_xlpm.r,_xlpm.c),""),
  IF(OR(_xlpm.w="",_xlpm.v=""),"",_xlpm.v*_xlpm.w)
)</f>
        <v/>
      </c>
      <c r="AX74" s="93" t="str" cm="1">
        <f t="array" ref="AX74">_xlfn.LET(
  _xlpm.w, AX$11,
  _xlpm.r, MATCH(1,('3. Enter Indicator Scores'!$B$10:$B$161=$B74)*('3. Enter Indicator Scores'!$C$10:$C$161=$C74),0),
  _xlpm.c, MATCH(AX$8,'3. Enter Indicator Scores'!$D$8:$CZ$8,0),
  _xlpm.v, IFERROR(INDEX('3. Enter Indicator Scores'!$D$10:$CZ$161,_xlpm.r,_xlpm.c),""),
  IF(OR(_xlpm.w="",_xlpm.v=""),"",_xlpm.v*_xlpm.w)
)</f>
        <v/>
      </c>
      <c r="AY74" s="93" t="str" cm="1">
        <f t="array" ref="AY74">_xlfn.LET(
  _xlpm.w, AY$11,
  _xlpm.r, MATCH(1,('3. Enter Indicator Scores'!$B$10:$B$161=$B74)*('3. Enter Indicator Scores'!$C$10:$C$161=$C74),0),
  _xlpm.c, MATCH(AY$8,'3. Enter Indicator Scores'!$D$8:$CZ$8,0),
  _xlpm.v, IFERROR(INDEX('3. Enter Indicator Scores'!$D$10:$CZ$161,_xlpm.r,_xlpm.c),""),
  IF(OR(_xlpm.w="",_xlpm.v=""),"",_xlpm.v*_xlpm.w)
)</f>
        <v/>
      </c>
      <c r="AZ74" s="93" t="str" cm="1">
        <f t="array" ref="AZ74">_xlfn.LET(
  _xlpm.w, AZ$11,
  _xlpm.r, MATCH(1,('3. Enter Indicator Scores'!$B$10:$B$161=$B74)*('3. Enter Indicator Scores'!$C$10:$C$161=$C74),0),
  _xlpm.c, MATCH(AZ$8,'3. Enter Indicator Scores'!$D$8:$CZ$8,0),
  _xlpm.v, IFERROR(INDEX('3. Enter Indicator Scores'!$D$10:$CZ$161,_xlpm.r,_xlpm.c),""),
  IF(OR(_xlpm.w="",_xlpm.v=""),"",_xlpm.v*_xlpm.w)
)</f>
        <v/>
      </c>
      <c r="BA74" s="93" t="str" cm="1">
        <f t="array" ref="BA74">_xlfn.LET(
  _xlpm.w, BA$11,
  _xlpm.r, MATCH(1,('3. Enter Indicator Scores'!$B$10:$B$161=$B74)*('3. Enter Indicator Scores'!$C$10:$C$161=$C74),0),
  _xlpm.c, MATCH(BA$8,'3. Enter Indicator Scores'!$D$8:$CZ$8,0),
  _xlpm.v, IFERROR(INDEX('3. Enter Indicator Scores'!$D$10:$CZ$161,_xlpm.r,_xlpm.c),""),
  IF(OR(_xlpm.w="",_xlpm.v=""),"",_xlpm.v*_xlpm.w)
)</f>
        <v/>
      </c>
      <c r="BB74" s="93" t="str" cm="1">
        <f t="array" ref="BB74">_xlfn.LET(
  _xlpm.w, BB$11,
  _xlpm.r, MATCH(1,('3. Enter Indicator Scores'!$B$10:$B$161=$B74)*('3. Enter Indicator Scores'!$C$10:$C$161=$C74),0),
  _xlpm.c, MATCH(BB$8,'3. Enter Indicator Scores'!$D$8:$CZ$8,0),
  _xlpm.v, IFERROR(INDEX('3. Enter Indicator Scores'!$D$10:$CZ$161,_xlpm.r,_xlpm.c),""),
  IF(OR(_xlpm.w="",_xlpm.v=""),"",_xlpm.v*_xlpm.w)
)</f>
        <v/>
      </c>
      <c r="BC74" s="93" t="str" cm="1">
        <f t="array" ref="BC74">_xlfn.LET(
  _xlpm.w, BC$11,
  _xlpm.r, MATCH(1,('3. Enter Indicator Scores'!$B$10:$B$161=$B74)*('3. Enter Indicator Scores'!$C$10:$C$161=$C74),0),
  _xlpm.c, MATCH(BC$8,'3. Enter Indicator Scores'!$D$8:$CZ$8,0),
  _xlpm.v, IFERROR(INDEX('3. Enter Indicator Scores'!$D$10:$CZ$161,_xlpm.r,_xlpm.c),""),
  IF(OR(_xlpm.w="",_xlpm.v=""),"",_xlpm.v*_xlpm.w)
)</f>
        <v/>
      </c>
      <c r="BD74" s="93" t="str" cm="1">
        <f t="array" ref="BD74">_xlfn.LET(
  _xlpm.w, BD$11,
  _xlpm.r, MATCH(1,('3. Enter Indicator Scores'!$B$10:$B$161=$B74)*('3. Enter Indicator Scores'!$C$10:$C$161=$C74),0),
  _xlpm.c, MATCH(BD$8,'3. Enter Indicator Scores'!$D$8:$CZ$8,0),
  _xlpm.v, IFERROR(INDEX('3. Enter Indicator Scores'!$D$10:$CZ$161,_xlpm.r,_xlpm.c),""),
  IF(OR(_xlpm.w="",_xlpm.v=""),"",_xlpm.v*_xlpm.w)
)</f>
        <v/>
      </c>
      <c r="BE74" s="93" t="str" cm="1">
        <f t="array" ref="BE74">_xlfn.LET(
  _xlpm.w, BE$11,
  _xlpm.r, MATCH(1,('3. Enter Indicator Scores'!$B$10:$B$161=$B74)*('3. Enter Indicator Scores'!$C$10:$C$161=$C74),0),
  _xlpm.c, MATCH(BE$8,'3. Enter Indicator Scores'!$D$8:$CZ$8,0),
  _xlpm.v, IFERROR(INDEX('3. Enter Indicator Scores'!$D$10:$CZ$161,_xlpm.r,_xlpm.c),""),
  IF(OR(_xlpm.w="",_xlpm.v=""),"",_xlpm.v*_xlpm.w)
)</f>
        <v/>
      </c>
      <c r="BF74" s="93" t="str" cm="1">
        <f t="array" ref="BF74">_xlfn.LET(
  _xlpm.w, BF$11,
  _xlpm.r, MATCH(1,('3. Enter Indicator Scores'!$B$10:$B$161=$B74)*('3. Enter Indicator Scores'!$C$10:$C$161=$C74),0),
  _xlpm.c, MATCH(BF$8,'3. Enter Indicator Scores'!$D$8:$CZ$8,0),
  _xlpm.v, IFERROR(INDEX('3. Enter Indicator Scores'!$D$10:$CZ$161,_xlpm.r,_xlpm.c),""),
  IF(OR(_xlpm.w="",_xlpm.v=""),"",_xlpm.v*_xlpm.w)
)</f>
        <v/>
      </c>
      <c r="BG74" s="93" t="str" cm="1">
        <f t="array" ref="BG74">_xlfn.LET(
  _xlpm.w, BG$11,
  _xlpm.r, MATCH(1,('3. Enter Indicator Scores'!$B$10:$B$161=$B74)*('3. Enter Indicator Scores'!$C$10:$C$161=$C74),0),
  _xlpm.c, MATCH(BG$8,'3. Enter Indicator Scores'!$D$8:$CZ$8,0),
  _xlpm.v, IFERROR(INDEX('3. Enter Indicator Scores'!$D$10:$CZ$161,_xlpm.r,_xlpm.c),""),
  IF(OR(_xlpm.w="",_xlpm.v=""),"",_xlpm.v*_xlpm.w)
)</f>
        <v/>
      </c>
      <c r="BH74" s="93" t="str" cm="1">
        <f t="array" ref="BH74">_xlfn.LET(
  _xlpm.w, BH$11,
  _xlpm.r, MATCH(1,('3. Enter Indicator Scores'!$B$10:$B$161=$B74)*('3. Enter Indicator Scores'!$C$10:$C$161=$C74),0),
  _xlpm.c, MATCH(BH$8,'3. Enter Indicator Scores'!$D$8:$CZ$8,0),
  _xlpm.v, IFERROR(INDEX('3. Enter Indicator Scores'!$D$10:$CZ$161,_xlpm.r,_xlpm.c),""),
  IF(OR(_xlpm.w="",_xlpm.v=""),"",_xlpm.v*_xlpm.w)
)</f>
        <v/>
      </c>
      <c r="BI74" s="93" t="str" cm="1">
        <f t="array" ref="BI74">_xlfn.LET(
  _xlpm.w, BI$11,
  _xlpm.r, MATCH(1,('3. Enter Indicator Scores'!$B$10:$B$161=$B74)*('3. Enter Indicator Scores'!$C$10:$C$161=$C74),0),
  _xlpm.c, MATCH(BI$8,'3. Enter Indicator Scores'!$D$8:$CZ$8,0),
  _xlpm.v, IFERROR(INDEX('3. Enter Indicator Scores'!$D$10:$CZ$161,_xlpm.r,_xlpm.c),""),
  IF(OR(_xlpm.w="",_xlpm.v=""),"",_xlpm.v*_xlpm.w)
)</f>
        <v/>
      </c>
      <c r="BJ74" s="93" t="str" cm="1">
        <f t="array" ref="BJ74">_xlfn.LET(
  _xlpm.w, BJ$11,
  _xlpm.r, MATCH(1,('3. Enter Indicator Scores'!$B$10:$B$161=$B74)*('3. Enter Indicator Scores'!$C$10:$C$161=$C74),0),
  _xlpm.c, MATCH(BJ$8,'3. Enter Indicator Scores'!$D$8:$CZ$8,0),
  _xlpm.v, IFERROR(INDEX('3. Enter Indicator Scores'!$D$10:$CZ$161,_xlpm.r,_xlpm.c),""),
  IF(OR(_xlpm.w="",_xlpm.v=""),"",_xlpm.v*_xlpm.w)
)</f>
        <v/>
      </c>
      <c r="BK74" s="93" t="str" cm="1">
        <f t="array" ref="BK74">_xlfn.LET(
  _xlpm.w, BK$11,
  _xlpm.r, MATCH(1,('3. Enter Indicator Scores'!$B$10:$B$161=$B74)*('3. Enter Indicator Scores'!$C$10:$C$161=$C74),0),
  _xlpm.c, MATCH(BK$8,'3. Enter Indicator Scores'!$D$8:$CZ$8,0),
  _xlpm.v, IFERROR(INDEX('3. Enter Indicator Scores'!$D$10:$CZ$161,_xlpm.r,_xlpm.c),""),
  IF(OR(_xlpm.w="",_xlpm.v=""),"",_xlpm.v*_xlpm.w)
)</f>
        <v/>
      </c>
      <c r="BL74" s="93" t="str" cm="1">
        <f t="array" ref="BL74">_xlfn.LET(
  _xlpm.w, BL$11,
  _xlpm.r, MATCH(1,('3. Enter Indicator Scores'!$B$10:$B$161=$B74)*('3. Enter Indicator Scores'!$C$10:$C$161=$C74),0),
  _xlpm.c, MATCH(BL$8,'3. Enter Indicator Scores'!$D$8:$CZ$8,0),
  _xlpm.v, IFERROR(INDEX('3. Enter Indicator Scores'!$D$10:$CZ$161,_xlpm.r,_xlpm.c),""),
  IF(OR(_xlpm.w="",_xlpm.v=""),"",_xlpm.v*_xlpm.w)
)</f>
        <v/>
      </c>
      <c r="BM74" s="93" t="str" cm="1">
        <f t="array" ref="BM74">_xlfn.LET(
  _xlpm.w, BM$11,
  _xlpm.r, MATCH(1,('3. Enter Indicator Scores'!$B$10:$B$161=$B74)*('3. Enter Indicator Scores'!$C$10:$C$161=$C74),0),
  _xlpm.c, MATCH(BM$8,'3. Enter Indicator Scores'!$D$8:$CZ$8,0),
  _xlpm.v, IFERROR(INDEX('3. Enter Indicator Scores'!$D$10:$CZ$161,_xlpm.r,_xlpm.c),""),
  IF(OR(_xlpm.w="",_xlpm.v=""),"",_xlpm.v*_xlpm.w)
)</f>
        <v/>
      </c>
      <c r="BN74" s="93" t="str" cm="1">
        <f t="array" ref="BN74">_xlfn.LET(
  _xlpm.w, BN$11,
  _xlpm.r, MATCH(1,('3. Enter Indicator Scores'!$B$10:$B$161=$B74)*('3. Enter Indicator Scores'!$C$10:$C$161=$C74),0),
  _xlpm.c, MATCH(BN$8,'3. Enter Indicator Scores'!$D$8:$CZ$8,0),
  _xlpm.v, IFERROR(INDEX('3. Enter Indicator Scores'!$D$10:$CZ$161,_xlpm.r,_xlpm.c),""),
  IF(OR(_xlpm.w="",_xlpm.v=""),"",_xlpm.v*_xlpm.w)
)</f>
        <v/>
      </c>
      <c r="BO74" s="93" t="str" cm="1">
        <f t="array" ref="BO74">_xlfn.LET(
  _xlpm.w, BO$11,
  _xlpm.r, MATCH(1,('3. Enter Indicator Scores'!$B$10:$B$161=$B74)*('3. Enter Indicator Scores'!$C$10:$C$161=$C74),0),
  _xlpm.c, MATCH(BO$8,'3. Enter Indicator Scores'!$D$8:$CZ$8,0),
  _xlpm.v, IFERROR(INDEX('3. Enter Indicator Scores'!$D$10:$CZ$161,_xlpm.r,_xlpm.c),""),
  IF(OR(_xlpm.w="",_xlpm.v=""),"",_xlpm.v*_xlpm.w)
)</f>
        <v/>
      </c>
      <c r="BP74" s="93" t="str" cm="1">
        <f t="array" ref="BP74">_xlfn.LET(
  _xlpm.w, BP$11,
  _xlpm.r, MATCH(1,('3. Enter Indicator Scores'!$B$10:$B$161=$B74)*('3. Enter Indicator Scores'!$C$10:$C$161=$C74),0),
  _xlpm.c, MATCH(BP$8,'3. Enter Indicator Scores'!$D$8:$CZ$8,0),
  _xlpm.v, IFERROR(INDEX('3. Enter Indicator Scores'!$D$10:$CZ$161,_xlpm.r,_xlpm.c),""),
  IF(OR(_xlpm.w="",_xlpm.v=""),"",_xlpm.v*_xlpm.w)
)</f>
        <v/>
      </c>
      <c r="BQ74" s="93" t="str" cm="1">
        <f t="array" ref="BQ74">_xlfn.LET(
  _xlpm.w, BQ$11,
  _xlpm.r, MATCH(1,('3. Enter Indicator Scores'!$B$10:$B$161=$B74)*('3. Enter Indicator Scores'!$C$10:$C$161=$C74),0),
  _xlpm.c, MATCH(BQ$8,'3. Enter Indicator Scores'!$D$8:$CZ$8,0),
  _xlpm.v, IFERROR(INDEX('3. Enter Indicator Scores'!$D$10:$CZ$161,_xlpm.r,_xlpm.c),""),
  IF(OR(_xlpm.w="",_xlpm.v=""),"",_xlpm.v*_xlpm.w)
)</f>
        <v/>
      </c>
      <c r="BR74" s="93" t="str" cm="1">
        <f t="array" ref="BR74">_xlfn.LET(
  _xlpm.w, BR$11,
  _xlpm.r, MATCH(1,('3. Enter Indicator Scores'!$B$10:$B$161=$B74)*('3. Enter Indicator Scores'!$C$10:$C$161=$C74),0),
  _xlpm.c, MATCH(BR$8,'3. Enter Indicator Scores'!$D$8:$CZ$8,0),
  _xlpm.v, IFERROR(INDEX('3. Enter Indicator Scores'!$D$10:$CZ$161,_xlpm.r,_xlpm.c),""),
  IF(OR(_xlpm.w="",_xlpm.v=""),"",_xlpm.v*_xlpm.w)
)</f>
        <v/>
      </c>
      <c r="BS74" s="93" t="str" cm="1">
        <f t="array" ref="BS74">_xlfn.LET(
  _xlpm.w, BS$11,
  _xlpm.r, MATCH(1,('3. Enter Indicator Scores'!$B$10:$B$161=$B74)*('3. Enter Indicator Scores'!$C$10:$C$161=$C74),0),
  _xlpm.c, MATCH(BS$8,'3. Enter Indicator Scores'!$D$8:$CZ$8,0),
  _xlpm.v, IFERROR(INDEX('3. Enter Indicator Scores'!$D$10:$CZ$161,_xlpm.r,_xlpm.c),""),
  IF(OR(_xlpm.w="",_xlpm.v=""),"",_xlpm.v*_xlpm.w)
)</f>
        <v/>
      </c>
      <c r="BT74" s="93" t="str" cm="1">
        <f t="array" ref="BT74">_xlfn.LET(
  _xlpm.w, BT$11,
  _xlpm.r, MATCH(1,('3. Enter Indicator Scores'!$B$10:$B$161=$B74)*('3. Enter Indicator Scores'!$C$10:$C$161=$C74),0),
  _xlpm.c, MATCH(BT$8,'3. Enter Indicator Scores'!$D$8:$CZ$8,0),
  _xlpm.v, IFERROR(INDEX('3. Enter Indicator Scores'!$D$10:$CZ$161,_xlpm.r,_xlpm.c),""),
  IF(OR(_xlpm.w="",_xlpm.v=""),"",_xlpm.v*_xlpm.w)
)</f>
        <v/>
      </c>
      <c r="BU74" s="93" t="str" cm="1">
        <f t="array" ref="BU74">_xlfn.LET(
  _xlpm.w, BU$11,
  _xlpm.r, MATCH(1,('3. Enter Indicator Scores'!$B$10:$B$161=$B74)*('3. Enter Indicator Scores'!$C$10:$C$161=$C74),0),
  _xlpm.c, MATCH(BU$8,'3. Enter Indicator Scores'!$D$8:$CZ$8,0),
  _xlpm.v, IFERROR(INDEX('3. Enter Indicator Scores'!$D$10:$CZ$161,_xlpm.r,_xlpm.c),""),
  IF(OR(_xlpm.w="",_xlpm.v=""),"",_xlpm.v*_xlpm.w)
)</f>
        <v/>
      </c>
      <c r="BV74" s="93" t="str" cm="1">
        <f t="array" ref="BV74">_xlfn.LET(
  _xlpm.w, BV$11,
  _xlpm.r, MATCH(1,('3. Enter Indicator Scores'!$B$10:$B$161=$B74)*('3. Enter Indicator Scores'!$C$10:$C$161=$C74),0),
  _xlpm.c, MATCH(BV$8,'3. Enter Indicator Scores'!$D$8:$CZ$8,0),
  _xlpm.v, IFERROR(INDEX('3. Enter Indicator Scores'!$D$10:$CZ$161,_xlpm.r,_xlpm.c),""),
  IF(OR(_xlpm.w="",_xlpm.v=""),"",_xlpm.v*_xlpm.w)
)</f>
        <v/>
      </c>
      <c r="BW74" s="93" t="str" cm="1">
        <f t="array" ref="BW74">_xlfn.LET(
  _xlpm.w, BW$11,
  _xlpm.r, MATCH(1,('3. Enter Indicator Scores'!$B$10:$B$161=$B74)*('3. Enter Indicator Scores'!$C$10:$C$161=$C74),0),
  _xlpm.c, MATCH(BW$8,'3. Enter Indicator Scores'!$D$8:$CZ$8,0),
  _xlpm.v, IFERROR(INDEX('3. Enter Indicator Scores'!$D$10:$CZ$161,_xlpm.r,_xlpm.c),""),
  IF(OR(_xlpm.w="",_xlpm.v=""),"",_xlpm.v*_xlpm.w)
)</f>
        <v/>
      </c>
      <c r="BX74" s="93" t="str" cm="1">
        <f t="array" ref="BX74">_xlfn.LET(
  _xlpm.w, BX$11,
  _xlpm.r, MATCH(1,('3. Enter Indicator Scores'!$B$10:$B$161=$B74)*('3. Enter Indicator Scores'!$C$10:$C$161=$C74),0),
  _xlpm.c, MATCH(BX$8,'3. Enter Indicator Scores'!$D$8:$CZ$8,0),
  _xlpm.v, IFERROR(INDEX('3. Enter Indicator Scores'!$D$10:$CZ$161,_xlpm.r,_xlpm.c),""),
  IF(OR(_xlpm.w="",_xlpm.v=""),"",_xlpm.v*_xlpm.w)
)</f>
        <v/>
      </c>
      <c r="BY74" s="93" t="str" cm="1">
        <f t="array" ref="BY74">_xlfn.LET(
  _xlpm.w, BY$11,
  _xlpm.r, MATCH(1,('3. Enter Indicator Scores'!$B$10:$B$161=$B74)*('3. Enter Indicator Scores'!$C$10:$C$161=$C74),0),
  _xlpm.c, MATCH(BY$8,'3. Enter Indicator Scores'!$D$8:$CZ$8,0),
  _xlpm.v, IFERROR(INDEX('3. Enter Indicator Scores'!$D$10:$CZ$161,_xlpm.r,_xlpm.c),""),
  IF(OR(_xlpm.w="",_xlpm.v=""),"",_xlpm.v*_xlpm.w)
)</f>
        <v/>
      </c>
      <c r="BZ74" s="93" t="str" cm="1">
        <f t="array" ref="BZ74">_xlfn.LET(
  _xlpm.w, BZ$11,
  _xlpm.r, MATCH(1,('3. Enter Indicator Scores'!$B$10:$B$161=$B74)*('3. Enter Indicator Scores'!$C$10:$C$161=$C74),0),
  _xlpm.c, MATCH(BZ$8,'3. Enter Indicator Scores'!$D$8:$CZ$8,0),
  _xlpm.v, IFERROR(INDEX('3. Enter Indicator Scores'!$D$10:$CZ$161,_xlpm.r,_xlpm.c),""),
  IF(OR(_xlpm.w="",_xlpm.v=""),"",_xlpm.v*_xlpm.w)
)</f>
        <v/>
      </c>
      <c r="CA74" s="93" t="str" cm="1">
        <f t="array" ref="CA74">_xlfn.LET(
  _xlpm.w, CA$11,
  _xlpm.r, MATCH(1,('3. Enter Indicator Scores'!$B$10:$B$161=$B74)*('3. Enter Indicator Scores'!$C$10:$C$161=$C74),0),
  _xlpm.c, MATCH(CA$8,'3. Enter Indicator Scores'!$D$8:$CZ$8,0),
  _xlpm.v, IFERROR(INDEX('3. Enter Indicator Scores'!$D$10:$CZ$161,_xlpm.r,_xlpm.c),""),
  IF(OR(_xlpm.w="",_xlpm.v=""),"",_xlpm.v*_xlpm.w)
)</f>
        <v/>
      </c>
      <c r="CB74" s="93" t="str" cm="1">
        <f t="array" ref="CB74">_xlfn.LET(
  _xlpm.w, CB$11,
  _xlpm.r, MATCH(1,('3. Enter Indicator Scores'!$B$10:$B$161=$B74)*('3. Enter Indicator Scores'!$C$10:$C$161=$C74),0),
  _xlpm.c, MATCH(CB$8,'3. Enter Indicator Scores'!$D$8:$CZ$8,0),
  _xlpm.v, IFERROR(INDEX('3. Enter Indicator Scores'!$D$10:$CZ$161,_xlpm.r,_xlpm.c),""),
  IF(OR(_xlpm.w="",_xlpm.v=""),"",_xlpm.v*_xlpm.w)
)</f>
        <v/>
      </c>
      <c r="CC74" s="93" t="str" cm="1">
        <f t="array" ref="CC74">_xlfn.LET(
  _xlpm.w, CC$11,
  _xlpm.r, MATCH(1,('3. Enter Indicator Scores'!$B$10:$B$161=$B74)*('3. Enter Indicator Scores'!$C$10:$C$161=$C74),0),
  _xlpm.c, MATCH(CC$8,'3. Enter Indicator Scores'!$D$8:$CZ$8,0),
  _xlpm.v, IFERROR(INDEX('3. Enter Indicator Scores'!$D$10:$CZ$161,_xlpm.r,_xlpm.c),""),
  IF(OR(_xlpm.w="",_xlpm.v=""),"",_xlpm.v*_xlpm.w)
)</f>
        <v/>
      </c>
      <c r="CD74" s="93" t="str" cm="1">
        <f t="array" ref="CD74">_xlfn.LET(
  _xlpm.w, CD$11,
  _xlpm.r, MATCH(1,('3. Enter Indicator Scores'!$B$10:$B$161=$B74)*('3. Enter Indicator Scores'!$C$10:$C$161=$C74),0),
  _xlpm.c, MATCH(CD$8,'3. Enter Indicator Scores'!$D$8:$CZ$8,0),
  _xlpm.v, IFERROR(INDEX('3. Enter Indicator Scores'!$D$10:$CZ$161,_xlpm.r,_xlpm.c),""),
  IF(OR(_xlpm.w="",_xlpm.v=""),"",_xlpm.v*_xlpm.w)
)</f>
        <v/>
      </c>
      <c r="CE74" s="93" t="str" cm="1">
        <f t="array" ref="CE74">_xlfn.LET(
  _xlpm.w, CE$11,
  _xlpm.r, MATCH(1,('3. Enter Indicator Scores'!$B$10:$B$161=$B74)*('3. Enter Indicator Scores'!$C$10:$C$161=$C74),0),
  _xlpm.c, MATCH(CE$8,'3. Enter Indicator Scores'!$D$8:$CZ$8,0),
  _xlpm.v, IFERROR(INDEX('3. Enter Indicator Scores'!$D$10:$CZ$161,_xlpm.r,_xlpm.c),""),
  IF(OR(_xlpm.w="",_xlpm.v=""),"",_xlpm.v*_xlpm.w)
)</f>
        <v/>
      </c>
      <c r="CF74" s="93" t="str" cm="1">
        <f t="array" ref="CF74">_xlfn.LET(
  _xlpm.w, CF$11,
  _xlpm.r, MATCH(1,('3. Enter Indicator Scores'!$B$10:$B$161=$B74)*('3. Enter Indicator Scores'!$C$10:$C$161=$C74),0),
  _xlpm.c, MATCH(CF$8,'3. Enter Indicator Scores'!$D$8:$CZ$8,0),
  _xlpm.v, IFERROR(INDEX('3. Enter Indicator Scores'!$D$10:$CZ$161,_xlpm.r,_xlpm.c),""),
  IF(OR(_xlpm.w="",_xlpm.v=""),"",_xlpm.v*_xlpm.w)
)</f>
        <v/>
      </c>
      <c r="CG74" s="93" t="str" cm="1">
        <f t="array" ref="CG74">_xlfn.LET(
  _xlpm.w, CG$11,
  _xlpm.r, MATCH(1,('3. Enter Indicator Scores'!$B$10:$B$161=$B74)*('3. Enter Indicator Scores'!$C$10:$C$161=$C74),0),
  _xlpm.c, MATCH(CG$8,'3. Enter Indicator Scores'!$D$8:$CZ$8,0),
  _xlpm.v, IFERROR(INDEX('3. Enter Indicator Scores'!$D$10:$CZ$161,_xlpm.r,_xlpm.c),""),
  IF(OR(_xlpm.w="",_xlpm.v=""),"",_xlpm.v*_xlpm.w)
)</f>
        <v/>
      </c>
      <c r="CH74" s="93" t="str" cm="1">
        <f t="array" ref="CH74">_xlfn.LET(
  _xlpm.w, CH$11,
  _xlpm.r, MATCH(1,('3. Enter Indicator Scores'!$B$10:$B$161=$B74)*('3. Enter Indicator Scores'!$C$10:$C$161=$C74),0),
  _xlpm.c, MATCH(CH$8,'3. Enter Indicator Scores'!$D$8:$CZ$8,0),
  _xlpm.v, IFERROR(INDEX('3. Enter Indicator Scores'!$D$10:$CZ$161,_xlpm.r,_xlpm.c),""),
  IF(OR(_xlpm.w="",_xlpm.v=""),"",_xlpm.v*_xlpm.w)
)</f>
        <v/>
      </c>
      <c r="CI74" s="93" t="str" cm="1">
        <f t="array" ref="CI74">_xlfn.LET(
  _xlpm.w, CI$11,
  _xlpm.r, MATCH(1,('3. Enter Indicator Scores'!$B$10:$B$161=$B74)*('3. Enter Indicator Scores'!$C$10:$C$161=$C74),0),
  _xlpm.c, MATCH(CI$8,'3. Enter Indicator Scores'!$D$8:$CZ$8,0),
  _xlpm.v, IFERROR(INDEX('3. Enter Indicator Scores'!$D$10:$CZ$161,_xlpm.r,_xlpm.c),""),
  IF(OR(_xlpm.w="",_xlpm.v=""),"",_xlpm.v*_xlpm.w)
)</f>
        <v/>
      </c>
      <c r="CJ74" s="93" t="str" cm="1">
        <f t="array" ref="CJ74">_xlfn.LET(
  _xlpm.w, CJ$11,
  _xlpm.r, MATCH(1,('3. Enter Indicator Scores'!$B$10:$B$161=$B74)*('3. Enter Indicator Scores'!$C$10:$C$161=$C74),0),
  _xlpm.c, MATCH(CJ$8,'3. Enter Indicator Scores'!$D$8:$CZ$8,0),
  _xlpm.v, IFERROR(INDEX('3. Enter Indicator Scores'!$D$10:$CZ$161,_xlpm.r,_xlpm.c),""),
  IF(OR(_xlpm.w="",_xlpm.v=""),"",_xlpm.v*_xlpm.w)
)</f>
        <v/>
      </c>
      <c r="CK74" s="93" t="str" cm="1">
        <f t="array" ref="CK74">_xlfn.LET(
  _xlpm.w, CK$11,
  _xlpm.r, MATCH(1,('3. Enter Indicator Scores'!$B$10:$B$161=$B74)*('3. Enter Indicator Scores'!$C$10:$C$161=$C74),0),
  _xlpm.c, MATCH(CK$8,'3. Enter Indicator Scores'!$D$8:$CZ$8,0),
  _xlpm.v, IFERROR(INDEX('3. Enter Indicator Scores'!$D$10:$CZ$161,_xlpm.r,_xlpm.c),""),
  IF(OR(_xlpm.w="",_xlpm.v=""),"",_xlpm.v*_xlpm.w)
)</f>
        <v/>
      </c>
      <c r="CL74" s="93" t="str" cm="1">
        <f t="array" ref="CL74">_xlfn.LET(
  _xlpm.w, CL$11,
  _xlpm.r, MATCH(1,('3. Enter Indicator Scores'!$B$10:$B$161=$B74)*('3. Enter Indicator Scores'!$C$10:$C$161=$C74),0),
  _xlpm.c, MATCH(CL$8,'3. Enter Indicator Scores'!$D$8:$CZ$8,0),
  _xlpm.v, IFERROR(INDEX('3. Enter Indicator Scores'!$D$10:$CZ$161,_xlpm.r,_xlpm.c),""),
  IF(OR(_xlpm.w="",_xlpm.v=""),"",_xlpm.v*_xlpm.w)
)</f>
        <v/>
      </c>
      <c r="CM74" s="93" t="str" cm="1">
        <f t="array" ref="CM74">_xlfn.LET(
  _xlpm.w, CM$11,
  _xlpm.r, MATCH(1,('3. Enter Indicator Scores'!$B$10:$B$161=$B74)*('3. Enter Indicator Scores'!$C$10:$C$161=$C74),0),
  _xlpm.c, MATCH(CM$8,'3. Enter Indicator Scores'!$D$8:$CZ$8,0),
  _xlpm.v, IFERROR(INDEX('3. Enter Indicator Scores'!$D$10:$CZ$161,_xlpm.r,_xlpm.c),""),
  IF(OR(_xlpm.w="",_xlpm.v=""),"",_xlpm.v*_xlpm.w)
)</f>
        <v/>
      </c>
      <c r="CN74" s="93" t="str" cm="1">
        <f t="array" ref="CN74">_xlfn.LET(
  _xlpm.w, CN$11,
  _xlpm.r, MATCH(1,('3. Enter Indicator Scores'!$B$10:$B$161=$B74)*('3. Enter Indicator Scores'!$C$10:$C$161=$C74),0),
  _xlpm.c, MATCH(CN$8,'3. Enter Indicator Scores'!$D$8:$CZ$8,0),
  _xlpm.v, IFERROR(INDEX('3. Enter Indicator Scores'!$D$10:$CZ$161,_xlpm.r,_xlpm.c),""),
  IF(OR(_xlpm.w="",_xlpm.v=""),"",_xlpm.v*_xlpm.w)
)</f>
        <v/>
      </c>
      <c r="CO74" s="93" t="str" cm="1">
        <f t="array" ref="CO74">_xlfn.LET(
  _xlpm.w, CO$11,
  _xlpm.r, MATCH(1,('3. Enter Indicator Scores'!$B$10:$B$161=$B74)*('3. Enter Indicator Scores'!$C$10:$C$161=$C74),0),
  _xlpm.c, MATCH(CO$8,'3. Enter Indicator Scores'!$D$8:$CZ$8,0),
  _xlpm.v, IFERROR(INDEX('3. Enter Indicator Scores'!$D$10:$CZ$161,_xlpm.r,_xlpm.c),""),
  IF(OR(_xlpm.w="",_xlpm.v=""),"",_xlpm.v*_xlpm.w)
)</f>
        <v/>
      </c>
      <c r="CP74" s="93" t="str" cm="1">
        <f t="array" ref="CP74">_xlfn.LET(
  _xlpm.w, CP$11,
  _xlpm.r, MATCH(1,('3. Enter Indicator Scores'!$B$10:$B$161=$B74)*('3. Enter Indicator Scores'!$C$10:$C$161=$C74),0),
  _xlpm.c, MATCH(CP$8,'3. Enter Indicator Scores'!$D$8:$CZ$8,0),
  _xlpm.v, IFERROR(INDEX('3. Enter Indicator Scores'!$D$10:$CZ$161,_xlpm.r,_xlpm.c),""),
  IF(OR(_xlpm.w="",_xlpm.v=""),"",_xlpm.v*_xlpm.w)
)</f>
        <v/>
      </c>
      <c r="CQ74" s="93" t="str" cm="1">
        <f t="array" ref="CQ74">_xlfn.LET(
  _xlpm.w, CQ$11,
  _xlpm.r, MATCH(1,('3. Enter Indicator Scores'!$B$10:$B$161=$B74)*('3. Enter Indicator Scores'!$C$10:$C$161=$C74),0),
  _xlpm.c, MATCH(CQ$8,'3. Enter Indicator Scores'!$D$8:$CZ$8,0),
  _xlpm.v, IFERROR(INDEX('3. Enter Indicator Scores'!$D$10:$CZ$161,_xlpm.r,_xlpm.c),""),
  IF(OR(_xlpm.w="",_xlpm.v=""),"",_xlpm.v*_xlpm.w)
)</f>
        <v/>
      </c>
      <c r="CR74" s="93" t="str" cm="1">
        <f t="array" ref="CR74">_xlfn.LET(
  _xlpm.w, CR$11,
  _xlpm.r, MATCH(1,('3. Enter Indicator Scores'!$B$10:$B$161=$B74)*('3. Enter Indicator Scores'!$C$10:$C$161=$C74),0),
  _xlpm.c, MATCH(CR$8,'3. Enter Indicator Scores'!$D$8:$CZ$8,0),
  _xlpm.v, IFERROR(INDEX('3. Enter Indicator Scores'!$D$10:$CZ$161,_xlpm.r,_xlpm.c),""),
  IF(OR(_xlpm.w="",_xlpm.v=""),"",_xlpm.v*_xlpm.w)
)</f>
        <v/>
      </c>
      <c r="CS74" s="93" t="str" cm="1">
        <f t="array" ref="CS74">_xlfn.LET(
  _xlpm.w, CS$11,
  _xlpm.r, MATCH(1,('3. Enter Indicator Scores'!$B$10:$B$161=$B74)*('3. Enter Indicator Scores'!$C$10:$C$161=$C74),0),
  _xlpm.c, MATCH(CS$8,'3. Enter Indicator Scores'!$D$8:$CZ$8,0),
  _xlpm.v, IFERROR(INDEX('3. Enter Indicator Scores'!$D$10:$CZ$161,_xlpm.r,_xlpm.c),""),
  IF(OR(_xlpm.w="",_xlpm.v=""),"",_xlpm.v*_xlpm.w)
)</f>
        <v/>
      </c>
      <c r="CT74" s="93" t="str" cm="1">
        <f t="array" ref="CT74">_xlfn.LET(
  _xlpm.w, CT$11,
  _xlpm.r, MATCH(1,('3. Enter Indicator Scores'!$B$10:$B$161=$B74)*('3. Enter Indicator Scores'!$C$10:$C$161=$C74),0),
  _xlpm.c, MATCH(CT$8,'3. Enter Indicator Scores'!$D$8:$CZ$8,0),
  _xlpm.v, IFERROR(INDEX('3. Enter Indicator Scores'!$D$10:$CZ$161,_xlpm.r,_xlpm.c),""),
  IF(OR(_xlpm.w="",_xlpm.v=""),"",_xlpm.v*_xlpm.w)
)</f>
        <v/>
      </c>
      <c r="CU74" s="93" t="str" cm="1">
        <f t="array" ref="CU74">_xlfn.LET(
  _xlpm.w, CU$11,
  _xlpm.r, MATCH(1,('3. Enter Indicator Scores'!$B$10:$B$161=$B74)*('3. Enter Indicator Scores'!$C$10:$C$161=$C74),0),
  _xlpm.c, MATCH(CU$8,'3. Enter Indicator Scores'!$D$8:$CZ$8,0),
  _xlpm.v, IFERROR(INDEX('3. Enter Indicator Scores'!$D$10:$CZ$161,_xlpm.r,_xlpm.c),""),
  IF(OR(_xlpm.w="",_xlpm.v=""),"",_xlpm.v*_xlpm.w)
)</f>
        <v/>
      </c>
      <c r="CV74" s="93" t="str" cm="1">
        <f t="array" ref="CV74">_xlfn.LET(
  _xlpm.w, CV$11,
  _xlpm.r, MATCH(1,('3. Enter Indicator Scores'!$B$10:$B$161=$B74)*('3. Enter Indicator Scores'!$C$10:$C$161=$C74),0),
  _xlpm.c, MATCH(CV$8,'3. Enter Indicator Scores'!$D$8:$CZ$8,0),
  _xlpm.v, IFERROR(INDEX('3. Enter Indicator Scores'!$D$10:$CZ$161,_xlpm.r,_xlpm.c),""),
  IF(OR(_xlpm.w="",_xlpm.v=""),"",_xlpm.v*_xlpm.w)
)</f>
        <v/>
      </c>
      <c r="CW74" s="93" t="str" cm="1">
        <f t="array" ref="CW74">_xlfn.LET(
  _xlpm.w, CW$11,
  _xlpm.r, MATCH(1,('3. Enter Indicator Scores'!$B$10:$B$161=$B74)*('3. Enter Indicator Scores'!$C$10:$C$161=$C74),0),
  _xlpm.c, MATCH(CW$8,'3. Enter Indicator Scores'!$D$8:$CZ$8,0),
  _xlpm.v, IFERROR(INDEX('3. Enter Indicator Scores'!$D$10:$CZ$161,_xlpm.r,_xlpm.c),""),
  IF(OR(_xlpm.w="",_xlpm.v=""),"",_xlpm.v*_xlpm.w)
)</f>
        <v/>
      </c>
      <c r="CX74" s="93" t="str" cm="1">
        <f t="array" ref="CX74">_xlfn.LET(
  _xlpm.w, CX$11,
  _xlpm.r, MATCH(1,('3. Enter Indicator Scores'!$B$10:$B$161=$B74)*('3. Enter Indicator Scores'!$C$10:$C$161=$C74),0),
  _xlpm.c, MATCH(CX$8,'3. Enter Indicator Scores'!$D$8:$CZ$8,0),
  _xlpm.v, IFERROR(INDEX('3. Enter Indicator Scores'!$D$10:$CZ$161,_xlpm.r,_xlpm.c),""),
  IF(OR(_xlpm.w="",_xlpm.v=""),"",_xlpm.v*_xlpm.w)
)</f>
        <v/>
      </c>
      <c r="CY74" s="93" t="str" cm="1">
        <f t="array" ref="CY74">_xlfn.LET(
  _xlpm.w, CY$11,
  _xlpm.r, MATCH(1,('3. Enter Indicator Scores'!$B$10:$B$161=$B74)*('3. Enter Indicator Scores'!$C$10:$C$161=$C74),0),
  _xlpm.c, MATCH(CY$8,'3. Enter Indicator Scores'!$D$8:$CZ$8,0),
  _xlpm.v, IFERROR(INDEX('3. Enter Indicator Scores'!$D$10:$CZ$161,_xlpm.r,_xlpm.c),""),
  IF(OR(_xlpm.w="",_xlpm.v=""),"",_xlpm.v*_xlpm.w)
)</f>
        <v/>
      </c>
      <c r="CZ74" s="93" t="str" cm="1">
        <f t="array" ref="CZ74">_xlfn.LET(
  _xlpm.w, CZ$11,
  _xlpm.r, MATCH(1,('3. Enter Indicator Scores'!$B$10:$B$161=$B74)*('3. Enter Indicator Scores'!$C$10:$C$161=$C74),0),
  _xlpm.c, MATCH(CZ$8,'3. Enter Indicator Scores'!$D$8:$CZ$8,0),
  _xlpm.v, IFERROR(INDEX('3. Enter Indicator Scores'!$D$10:$CZ$161,_xlpm.r,_xlpm.c),""),
  IF(OR(_xlpm.w="",_xlpm.v=""),"",_xlpm.v*_xlpm.w)
)</f>
        <v/>
      </c>
    </row>
    <row r="75" spans="4:104" x14ac:dyDescent="0.2">
      <c r="D75" s="93" t="str" cm="1">
        <f t="array" ref="D75">_xlfn.LET(
  _xlpm.w, D$11,
  _xlpm.r, MATCH(1,('3. Enter Indicator Scores'!$B$10:$B$161=$B75)*('3. Enter Indicator Scores'!$C$10:$C$161=$C75),0),
  _xlpm.c, MATCH(D$8,'3. Enter Indicator Scores'!$D$8:$CZ$8,0),
  _xlpm.v, IFERROR(INDEX('3. Enter Indicator Scores'!$D$10:$CZ$161,_xlpm.r,_xlpm.c),""),
  IF(OR(_xlpm.w="",_xlpm.v=""),"",_xlpm.v*_xlpm.w)
)</f>
        <v/>
      </c>
      <c r="E75" s="93" t="str" cm="1">
        <f t="array" ref="E75">_xlfn.LET(
  _xlpm.w, E$11,
  _xlpm.r, MATCH(1,('3. Enter Indicator Scores'!$B$10:$B$161=$B75)*('3. Enter Indicator Scores'!$C$10:$C$161=$C75),0),
  _xlpm.c, MATCH(E$8,'3. Enter Indicator Scores'!$D$8:$CZ$8,0),
  _xlpm.v, IFERROR(INDEX('3. Enter Indicator Scores'!$D$10:$CZ$161,_xlpm.r,_xlpm.c),""),
  IF(OR(_xlpm.w="",_xlpm.v=""),"",_xlpm.v*_xlpm.w)
)</f>
        <v/>
      </c>
      <c r="F75" s="93" t="str" cm="1">
        <f t="array" ref="F75">_xlfn.LET(
  _xlpm.w, F$11,
  _xlpm.r, MATCH(1,('3. Enter Indicator Scores'!$B$10:$B$161=$B75)*('3. Enter Indicator Scores'!$C$10:$C$161=$C75),0),
  _xlpm.c, MATCH(F$8,'3. Enter Indicator Scores'!$D$8:$CZ$8,0),
  _xlpm.v, IFERROR(INDEX('3. Enter Indicator Scores'!$D$10:$CZ$161,_xlpm.r,_xlpm.c),""),
  IF(OR(_xlpm.w="",_xlpm.v=""),"",_xlpm.v*_xlpm.w)
)</f>
        <v/>
      </c>
      <c r="G75" s="93" t="str" cm="1">
        <f t="array" ref="G75">_xlfn.LET(
  _xlpm.w, G$11,
  _xlpm.r, MATCH(1,('3. Enter Indicator Scores'!$B$10:$B$161=$B75)*('3. Enter Indicator Scores'!$C$10:$C$161=$C75),0),
  _xlpm.c, MATCH(G$8,'3. Enter Indicator Scores'!$D$8:$CZ$8,0),
  _xlpm.v, IFERROR(INDEX('3. Enter Indicator Scores'!$D$10:$CZ$161,_xlpm.r,_xlpm.c),""),
  IF(OR(_xlpm.w="",_xlpm.v=""),"",_xlpm.v*_xlpm.w)
)</f>
        <v/>
      </c>
      <c r="H75" s="93" t="str" cm="1">
        <f t="array" ref="H75">_xlfn.LET(
  _xlpm.w, H$11,
  _xlpm.r, MATCH(1,('3. Enter Indicator Scores'!$B$10:$B$161=$B75)*('3. Enter Indicator Scores'!$C$10:$C$161=$C75),0),
  _xlpm.c, MATCH(H$8,'3. Enter Indicator Scores'!$D$8:$CZ$8,0),
  _xlpm.v, IFERROR(INDEX('3. Enter Indicator Scores'!$D$10:$CZ$161,_xlpm.r,_xlpm.c),""),
  IF(OR(_xlpm.w="",_xlpm.v=""),"",_xlpm.v*_xlpm.w)
)</f>
        <v/>
      </c>
      <c r="I75" s="93" t="str" cm="1">
        <f t="array" ref="I75">_xlfn.LET(
  _xlpm.w, I$11,
  _xlpm.r, MATCH(1,('3. Enter Indicator Scores'!$B$10:$B$161=$B75)*('3. Enter Indicator Scores'!$C$10:$C$161=$C75),0),
  _xlpm.c, MATCH(I$8,'3. Enter Indicator Scores'!$D$8:$CZ$8,0),
  _xlpm.v, IFERROR(INDEX('3. Enter Indicator Scores'!$D$10:$CZ$161,_xlpm.r,_xlpm.c),""),
  IF(OR(_xlpm.w="",_xlpm.v=""),"",_xlpm.v*_xlpm.w)
)</f>
        <v/>
      </c>
      <c r="J75" s="93" t="str" cm="1">
        <f t="array" ref="J75">_xlfn.LET(
  _xlpm.w, J$11,
  _xlpm.r, MATCH(1,('3. Enter Indicator Scores'!$B$10:$B$161=$B75)*('3. Enter Indicator Scores'!$C$10:$C$161=$C75),0),
  _xlpm.c, MATCH(J$8,'3. Enter Indicator Scores'!$D$8:$CZ$8,0),
  _xlpm.v, IFERROR(INDEX('3. Enter Indicator Scores'!$D$10:$CZ$161,_xlpm.r,_xlpm.c),""),
  IF(OR(_xlpm.w="",_xlpm.v=""),"",_xlpm.v*_xlpm.w)
)</f>
        <v/>
      </c>
      <c r="K75" s="93" t="str" cm="1">
        <f t="array" ref="K75">_xlfn.LET(
  _xlpm.w, K$11,
  _xlpm.r, MATCH(1,('3. Enter Indicator Scores'!$B$10:$B$161=$B75)*('3. Enter Indicator Scores'!$C$10:$C$161=$C75),0),
  _xlpm.c, MATCH(K$8,'3. Enter Indicator Scores'!$D$8:$CZ$8,0),
  _xlpm.v, IFERROR(INDEX('3. Enter Indicator Scores'!$D$10:$CZ$161,_xlpm.r,_xlpm.c),""),
  IF(OR(_xlpm.w="",_xlpm.v=""),"",_xlpm.v*_xlpm.w)
)</f>
        <v/>
      </c>
      <c r="L75" s="93" t="str" cm="1">
        <f t="array" ref="L75">_xlfn.LET(
  _xlpm.w, L$11,
  _xlpm.r, MATCH(1,('3. Enter Indicator Scores'!$B$10:$B$161=$B75)*('3. Enter Indicator Scores'!$C$10:$C$161=$C75),0),
  _xlpm.c, MATCH(L$8,'3. Enter Indicator Scores'!$D$8:$CZ$8,0),
  _xlpm.v, IFERROR(INDEX('3. Enter Indicator Scores'!$D$10:$CZ$161,_xlpm.r,_xlpm.c),""),
  IF(OR(_xlpm.w="",_xlpm.v=""),"",_xlpm.v*_xlpm.w)
)</f>
        <v/>
      </c>
      <c r="M75" s="93" t="str" cm="1">
        <f t="array" ref="M75">_xlfn.LET(
  _xlpm.w, M$11,
  _xlpm.r, MATCH(1,('3. Enter Indicator Scores'!$B$10:$B$161=$B75)*('3. Enter Indicator Scores'!$C$10:$C$161=$C75),0),
  _xlpm.c, MATCH(M$8,'3. Enter Indicator Scores'!$D$8:$CZ$8,0),
  _xlpm.v, IFERROR(INDEX('3. Enter Indicator Scores'!$D$10:$CZ$161,_xlpm.r,_xlpm.c),""),
  IF(OR(_xlpm.w="",_xlpm.v=""),"",_xlpm.v*_xlpm.w)
)</f>
        <v/>
      </c>
      <c r="N75" s="93" t="str" cm="1">
        <f t="array" ref="N75">_xlfn.LET(
  _xlpm.w, N$11,
  _xlpm.r, MATCH(1,('3. Enter Indicator Scores'!$B$10:$B$161=$B75)*('3. Enter Indicator Scores'!$C$10:$C$161=$C75),0),
  _xlpm.c, MATCH(N$8,'3. Enter Indicator Scores'!$D$8:$CZ$8,0),
  _xlpm.v, IFERROR(INDEX('3. Enter Indicator Scores'!$D$10:$CZ$161,_xlpm.r,_xlpm.c),""),
  IF(OR(_xlpm.w="",_xlpm.v=""),"",_xlpm.v*_xlpm.w)
)</f>
        <v/>
      </c>
      <c r="O75" s="93" t="str" cm="1">
        <f t="array" ref="O75">_xlfn.LET(
  _xlpm.w, O$11,
  _xlpm.r, MATCH(1,('3. Enter Indicator Scores'!$B$10:$B$161=$B75)*('3. Enter Indicator Scores'!$C$10:$C$161=$C75),0),
  _xlpm.c, MATCH(O$8,'3. Enter Indicator Scores'!$D$8:$CZ$8,0),
  _xlpm.v, IFERROR(INDEX('3. Enter Indicator Scores'!$D$10:$CZ$161,_xlpm.r,_xlpm.c),""),
  IF(OR(_xlpm.w="",_xlpm.v=""),"",_xlpm.v*_xlpm.w)
)</f>
        <v/>
      </c>
      <c r="P75" s="93" t="str" cm="1">
        <f t="array" ref="P75">_xlfn.LET(
  _xlpm.w, P$11,
  _xlpm.r, MATCH(1,('3. Enter Indicator Scores'!$B$10:$B$161=$B75)*('3. Enter Indicator Scores'!$C$10:$C$161=$C75),0),
  _xlpm.c, MATCH(P$8,'3. Enter Indicator Scores'!$D$8:$CZ$8,0),
  _xlpm.v, IFERROR(INDEX('3. Enter Indicator Scores'!$D$10:$CZ$161,_xlpm.r,_xlpm.c),""),
  IF(OR(_xlpm.w="",_xlpm.v=""),"",_xlpm.v*_xlpm.w)
)</f>
        <v/>
      </c>
      <c r="Q75" s="93" t="str" cm="1">
        <f t="array" ref="Q75">_xlfn.LET(
  _xlpm.w, Q$11,
  _xlpm.r, MATCH(1,('3. Enter Indicator Scores'!$B$10:$B$161=$B75)*('3. Enter Indicator Scores'!$C$10:$C$161=$C75),0),
  _xlpm.c, MATCH(Q$8,'3. Enter Indicator Scores'!$D$8:$CZ$8,0),
  _xlpm.v, IFERROR(INDEX('3. Enter Indicator Scores'!$D$10:$CZ$161,_xlpm.r,_xlpm.c),""),
  IF(OR(_xlpm.w="",_xlpm.v=""),"",_xlpm.v*_xlpm.w)
)</f>
        <v/>
      </c>
      <c r="R75" s="93" t="str" cm="1">
        <f t="array" ref="R75">_xlfn.LET(
  _xlpm.w, R$11,
  _xlpm.r, MATCH(1,('3. Enter Indicator Scores'!$B$10:$B$161=$B75)*('3. Enter Indicator Scores'!$C$10:$C$161=$C75),0),
  _xlpm.c, MATCH(R$8,'3. Enter Indicator Scores'!$D$8:$CZ$8,0),
  _xlpm.v, IFERROR(INDEX('3. Enter Indicator Scores'!$D$10:$CZ$161,_xlpm.r,_xlpm.c),""),
  IF(OR(_xlpm.w="",_xlpm.v=""),"",_xlpm.v*_xlpm.w)
)</f>
        <v/>
      </c>
      <c r="S75" s="93" t="str" cm="1">
        <f t="array" ref="S75">_xlfn.LET(
  _xlpm.w, S$11,
  _xlpm.r, MATCH(1,('3. Enter Indicator Scores'!$B$10:$B$161=$B75)*('3. Enter Indicator Scores'!$C$10:$C$161=$C75),0),
  _xlpm.c, MATCH(S$8,'3. Enter Indicator Scores'!$D$8:$CZ$8,0),
  _xlpm.v, IFERROR(INDEX('3. Enter Indicator Scores'!$D$10:$CZ$161,_xlpm.r,_xlpm.c),""),
  IF(OR(_xlpm.w="",_xlpm.v=""),"",_xlpm.v*_xlpm.w)
)</f>
        <v/>
      </c>
      <c r="T75" s="93" t="str" cm="1">
        <f t="array" ref="T75">_xlfn.LET(
  _xlpm.w, T$11,
  _xlpm.r, MATCH(1,('3. Enter Indicator Scores'!$B$10:$B$161=$B75)*('3. Enter Indicator Scores'!$C$10:$C$161=$C75),0),
  _xlpm.c, MATCH(T$8,'3. Enter Indicator Scores'!$D$8:$CZ$8,0),
  _xlpm.v, IFERROR(INDEX('3. Enter Indicator Scores'!$D$10:$CZ$161,_xlpm.r,_xlpm.c),""),
  IF(OR(_xlpm.w="",_xlpm.v=""),"",_xlpm.v*_xlpm.w)
)</f>
        <v/>
      </c>
      <c r="U75" s="93" t="str" cm="1">
        <f t="array" ref="U75">_xlfn.LET(
  _xlpm.w, U$11,
  _xlpm.r, MATCH(1,('3. Enter Indicator Scores'!$B$10:$B$161=$B75)*('3. Enter Indicator Scores'!$C$10:$C$161=$C75),0),
  _xlpm.c, MATCH(U$8,'3. Enter Indicator Scores'!$D$8:$CZ$8,0),
  _xlpm.v, IFERROR(INDEX('3. Enter Indicator Scores'!$D$10:$CZ$161,_xlpm.r,_xlpm.c),""),
  IF(OR(_xlpm.w="",_xlpm.v=""),"",_xlpm.v*_xlpm.w)
)</f>
        <v/>
      </c>
      <c r="V75" s="93" t="str" cm="1">
        <f t="array" ref="V75">_xlfn.LET(
  _xlpm.w, V$11,
  _xlpm.r, MATCH(1,('3. Enter Indicator Scores'!$B$10:$B$161=$B75)*('3. Enter Indicator Scores'!$C$10:$C$161=$C75),0),
  _xlpm.c, MATCH(V$8,'3. Enter Indicator Scores'!$D$8:$CZ$8,0),
  _xlpm.v, IFERROR(INDEX('3. Enter Indicator Scores'!$D$10:$CZ$161,_xlpm.r,_xlpm.c),""),
  IF(OR(_xlpm.w="",_xlpm.v=""),"",_xlpm.v*_xlpm.w)
)</f>
        <v/>
      </c>
      <c r="W75" s="93" t="str" cm="1">
        <f t="array" ref="W75">_xlfn.LET(
  _xlpm.w, W$11,
  _xlpm.r, MATCH(1,('3. Enter Indicator Scores'!$B$10:$B$161=$B75)*('3. Enter Indicator Scores'!$C$10:$C$161=$C75),0),
  _xlpm.c, MATCH(W$8,'3. Enter Indicator Scores'!$D$8:$CZ$8,0),
  _xlpm.v, IFERROR(INDEX('3. Enter Indicator Scores'!$D$10:$CZ$161,_xlpm.r,_xlpm.c),""),
  IF(OR(_xlpm.w="",_xlpm.v=""),"",_xlpm.v*_xlpm.w)
)</f>
        <v/>
      </c>
      <c r="X75" s="93" t="str" cm="1">
        <f t="array" ref="X75">_xlfn.LET(
  _xlpm.w, X$11,
  _xlpm.r, MATCH(1,('3. Enter Indicator Scores'!$B$10:$B$161=$B75)*('3. Enter Indicator Scores'!$C$10:$C$161=$C75),0),
  _xlpm.c, MATCH(X$8,'3. Enter Indicator Scores'!$D$8:$CZ$8,0),
  _xlpm.v, IFERROR(INDEX('3. Enter Indicator Scores'!$D$10:$CZ$161,_xlpm.r,_xlpm.c),""),
  IF(OR(_xlpm.w="",_xlpm.v=""),"",_xlpm.v*_xlpm.w)
)</f>
        <v/>
      </c>
      <c r="Y75" s="93" t="str" cm="1">
        <f t="array" ref="Y75">_xlfn.LET(
  _xlpm.w, Y$11,
  _xlpm.r, MATCH(1,('3. Enter Indicator Scores'!$B$10:$B$161=$B75)*('3. Enter Indicator Scores'!$C$10:$C$161=$C75),0),
  _xlpm.c, MATCH(Y$8,'3. Enter Indicator Scores'!$D$8:$CZ$8,0),
  _xlpm.v, IFERROR(INDEX('3. Enter Indicator Scores'!$D$10:$CZ$161,_xlpm.r,_xlpm.c),""),
  IF(OR(_xlpm.w="",_xlpm.v=""),"",_xlpm.v*_xlpm.w)
)</f>
        <v/>
      </c>
      <c r="Z75" s="93" t="str" cm="1">
        <f t="array" ref="Z75">_xlfn.LET(
  _xlpm.w, Z$11,
  _xlpm.r, MATCH(1,('3. Enter Indicator Scores'!$B$10:$B$161=$B75)*('3. Enter Indicator Scores'!$C$10:$C$161=$C75),0),
  _xlpm.c, MATCH(Z$8,'3. Enter Indicator Scores'!$D$8:$CZ$8,0),
  _xlpm.v, IFERROR(INDEX('3. Enter Indicator Scores'!$D$10:$CZ$161,_xlpm.r,_xlpm.c),""),
  IF(OR(_xlpm.w="",_xlpm.v=""),"",_xlpm.v*_xlpm.w)
)</f>
        <v/>
      </c>
      <c r="AA75" s="93" t="str" cm="1">
        <f t="array" ref="AA75">_xlfn.LET(
  _xlpm.w, AA$11,
  _xlpm.r, MATCH(1,('3. Enter Indicator Scores'!$B$10:$B$161=$B75)*('3. Enter Indicator Scores'!$C$10:$C$161=$C75),0),
  _xlpm.c, MATCH(AA$8,'3. Enter Indicator Scores'!$D$8:$CZ$8,0),
  _xlpm.v, IFERROR(INDEX('3. Enter Indicator Scores'!$D$10:$CZ$161,_xlpm.r,_xlpm.c),""),
  IF(OR(_xlpm.w="",_xlpm.v=""),"",_xlpm.v*_xlpm.w)
)</f>
        <v/>
      </c>
      <c r="AB75" s="93" t="str" cm="1">
        <f t="array" ref="AB75">_xlfn.LET(
  _xlpm.w, AB$11,
  _xlpm.r, MATCH(1,('3. Enter Indicator Scores'!$B$10:$B$161=$B75)*('3. Enter Indicator Scores'!$C$10:$C$161=$C75),0),
  _xlpm.c, MATCH(AB$8,'3. Enter Indicator Scores'!$D$8:$CZ$8,0),
  _xlpm.v, IFERROR(INDEX('3. Enter Indicator Scores'!$D$10:$CZ$161,_xlpm.r,_xlpm.c),""),
  IF(OR(_xlpm.w="",_xlpm.v=""),"",_xlpm.v*_xlpm.w)
)</f>
        <v/>
      </c>
      <c r="AC75" s="93" t="str" cm="1">
        <f t="array" ref="AC75">_xlfn.LET(
  _xlpm.w, AC$11,
  _xlpm.r, MATCH(1,('3. Enter Indicator Scores'!$B$10:$B$161=$B75)*('3. Enter Indicator Scores'!$C$10:$C$161=$C75),0),
  _xlpm.c, MATCH(AC$8,'3. Enter Indicator Scores'!$D$8:$CZ$8,0),
  _xlpm.v, IFERROR(INDEX('3. Enter Indicator Scores'!$D$10:$CZ$161,_xlpm.r,_xlpm.c),""),
  IF(OR(_xlpm.w="",_xlpm.v=""),"",_xlpm.v*_xlpm.w)
)</f>
        <v/>
      </c>
      <c r="AD75" s="93" t="str" cm="1">
        <f t="array" ref="AD75">_xlfn.LET(
  _xlpm.w, AD$11,
  _xlpm.r, MATCH(1,('3. Enter Indicator Scores'!$B$10:$B$161=$B75)*('3. Enter Indicator Scores'!$C$10:$C$161=$C75),0),
  _xlpm.c, MATCH(AD$8,'3. Enter Indicator Scores'!$D$8:$CZ$8,0),
  _xlpm.v, IFERROR(INDEX('3. Enter Indicator Scores'!$D$10:$CZ$161,_xlpm.r,_xlpm.c),""),
  IF(OR(_xlpm.w="",_xlpm.v=""),"",_xlpm.v*_xlpm.w)
)</f>
        <v/>
      </c>
      <c r="AE75" s="93" t="str" cm="1">
        <f t="array" ref="AE75">_xlfn.LET(
  _xlpm.w, AE$11,
  _xlpm.r, MATCH(1,('3. Enter Indicator Scores'!$B$10:$B$161=$B75)*('3. Enter Indicator Scores'!$C$10:$C$161=$C75),0),
  _xlpm.c, MATCH(AE$8,'3. Enter Indicator Scores'!$D$8:$CZ$8,0),
  _xlpm.v, IFERROR(INDEX('3. Enter Indicator Scores'!$D$10:$CZ$161,_xlpm.r,_xlpm.c),""),
  IF(OR(_xlpm.w="",_xlpm.v=""),"",_xlpm.v*_xlpm.w)
)</f>
        <v/>
      </c>
      <c r="AF75" s="93" t="str" cm="1">
        <f t="array" ref="AF75">_xlfn.LET(
  _xlpm.w, AF$11,
  _xlpm.r, MATCH(1,('3. Enter Indicator Scores'!$B$10:$B$161=$B75)*('3. Enter Indicator Scores'!$C$10:$C$161=$C75),0),
  _xlpm.c, MATCH(AF$8,'3. Enter Indicator Scores'!$D$8:$CZ$8,0),
  _xlpm.v, IFERROR(INDEX('3. Enter Indicator Scores'!$D$10:$CZ$161,_xlpm.r,_xlpm.c),""),
  IF(OR(_xlpm.w="",_xlpm.v=""),"",_xlpm.v*_xlpm.w)
)</f>
        <v/>
      </c>
      <c r="AG75" s="93" t="str" cm="1">
        <f t="array" ref="AG75">_xlfn.LET(
  _xlpm.w, AG$11,
  _xlpm.r, MATCH(1,('3. Enter Indicator Scores'!$B$10:$B$161=$B75)*('3. Enter Indicator Scores'!$C$10:$C$161=$C75),0),
  _xlpm.c, MATCH(AG$8,'3. Enter Indicator Scores'!$D$8:$CZ$8,0),
  _xlpm.v, IFERROR(INDEX('3. Enter Indicator Scores'!$D$10:$CZ$161,_xlpm.r,_xlpm.c),""),
  IF(OR(_xlpm.w="",_xlpm.v=""),"",_xlpm.v*_xlpm.w)
)</f>
        <v/>
      </c>
      <c r="AH75" s="93" t="str" cm="1">
        <f t="array" ref="AH75">_xlfn.LET(
  _xlpm.w, AH$11,
  _xlpm.r, MATCH(1,('3. Enter Indicator Scores'!$B$10:$B$161=$B75)*('3. Enter Indicator Scores'!$C$10:$C$161=$C75),0),
  _xlpm.c, MATCH(AH$8,'3. Enter Indicator Scores'!$D$8:$CZ$8,0),
  _xlpm.v, IFERROR(INDEX('3. Enter Indicator Scores'!$D$10:$CZ$161,_xlpm.r,_xlpm.c),""),
  IF(OR(_xlpm.w="",_xlpm.v=""),"",_xlpm.v*_xlpm.w)
)</f>
        <v/>
      </c>
      <c r="AI75" s="93" t="str" cm="1">
        <f t="array" ref="AI75">_xlfn.LET(
  _xlpm.w, AI$11,
  _xlpm.r, MATCH(1,('3. Enter Indicator Scores'!$B$10:$B$161=$B75)*('3. Enter Indicator Scores'!$C$10:$C$161=$C75),0),
  _xlpm.c, MATCH(AI$8,'3. Enter Indicator Scores'!$D$8:$CZ$8,0),
  _xlpm.v, IFERROR(INDEX('3. Enter Indicator Scores'!$D$10:$CZ$161,_xlpm.r,_xlpm.c),""),
  IF(OR(_xlpm.w="",_xlpm.v=""),"",_xlpm.v*_xlpm.w)
)</f>
        <v/>
      </c>
      <c r="AJ75" s="93" t="str" cm="1">
        <f t="array" ref="AJ75">_xlfn.LET(
  _xlpm.w, AJ$11,
  _xlpm.r, MATCH(1,('3. Enter Indicator Scores'!$B$10:$B$161=$B75)*('3. Enter Indicator Scores'!$C$10:$C$161=$C75),0),
  _xlpm.c, MATCH(AJ$8,'3. Enter Indicator Scores'!$D$8:$CZ$8,0),
  _xlpm.v, IFERROR(INDEX('3. Enter Indicator Scores'!$D$10:$CZ$161,_xlpm.r,_xlpm.c),""),
  IF(OR(_xlpm.w="",_xlpm.v=""),"",_xlpm.v*_xlpm.w)
)</f>
        <v/>
      </c>
      <c r="AK75" s="93" t="str" cm="1">
        <f t="array" ref="AK75">_xlfn.LET(
  _xlpm.w, AK$11,
  _xlpm.r, MATCH(1,('3. Enter Indicator Scores'!$B$10:$B$161=$B75)*('3. Enter Indicator Scores'!$C$10:$C$161=$C75),0),
  _xlpm.c, MATCH(AK$8,'3. Enter Indicator Scores'!$D$8:$CZ$8,0),
  _xlpm.v, IFERROR(INDEX('3. Enter Indicator Scores'!$D$10:$CZ$161,_xlpm.r,_xlpm.c),""),
  IF(OR(_xlpm.w="",_xlpm.v=""),"",_xlpm.v*_xlpm.w)
)</f>
        <v/>
      </c>
      <c r="AL75" s="93" t="str" cm="1">
        <f t="array" ref="AL75">_xlfn.LET(
  _xlpm.w, AL$11,
  _xlpm.r, MATCH(1,('3. Enter Indicator Scores'!$B$10:$B$161=$B75)*('3. Enter Indicator Scores'!$C$10:$C$161=$C75),0),
  _xlpm.c, MATCH(AL$8,'3. Enter Indicator Scores'!$D$8:$CZ$8,0),
  _xlpm.v, IFERROR(INDEX('3. Enter Indicator Scores'!$D$10:$CZ$161,_xlpm.r,_xlpm.c),""),
  IF(OR(_xlpm.w="",_xlpm.v=""),"",_xlpm.v*_xlpm.w)
)</f>
        <v/>
      </c>
      <c r="AM75" s="93" t="str" cm="1">
        <f t="array" ref="AM75">_xlfn.LET(
  _xlpm.w, AM$11,
  _xlpm.r, MATCH(1,('3. Enter Indicator Scores'!$B$10:$B$161=$B75)*('3. Enter Indicator Scores'!$C$10:$C$161=$C75),0),
  _xlpm.c, MATCH(AM$8,'3. Enter Indicator Scores'!$D$8:$CZ$8,0),
  _xlpm.v, IFERROR(INDEX('3. Enter Indicator Scores'!$D$10:$CZ$161,_xlpm.r,_xlpm.c),""),
  IF(OR(_xlpm.w="",_xlpm.v=""),"",_xlpm.v*_xlpm.w)
)</f>
        <v/>
      </c>
      <c r="AN75" s="93" t="str" cm="1">
        <f t="array" ref="AN75">_xlfn.LET(
  _xlpm.w, AN$11,
  _xlpm.r, MATCH(1,('3. Enter Indicator Scores'!$B$10:$B$161=$B75)*('3. Enter Indicator Scores'!$C$10:$C$161=$C75),0),
  _xlpm.c, MATCH(AN$8,'3. Enter Indicator Scores'!$D$8:$CZ$8,0),
  _xlpm.v, IFERROR(INDEX('3. Enter Indicator Scores'!$D$10:$CZ$161,_xlpm.r,_xlpm.c),""),
  IF(OR(_xlpm.w="",_xlpm.v=""),"",_xlpm.v*_xlpm.w)
)</f>
        <v/>
      </c>
      <c r="AO75" s="93" t="str" cm="1">
        <f t="array" ref="AO75">_xlfn.LET(
  _xlpm.w, AO$11,
  _xlpm.r, MATCH(1,('3. Enter Indicator Scores'!$B$10:$B$161=$B75)*('3. Enter Indicator Scores'!$C$10:$C$161=$C75),0),
  _xlpm.c, MATCH(AO$8,'3. Enter Indicator Scores'!$D$8:$CZ$8,0),
  _xlpm.v, IFERROR(INDEX('3. Enter Indicator Scores'!$D$10:$CZ$161,_xlpm.r,_xlpm.c),""),
  IF(OR(_xlpm.w="",_xlpm.v=""),"",_xlpm.v*_xlpm.w)
)</f>
        <v/>
      </c>
      <c r="AP75" s="93" t="str" cm="1">
        <f t="array" ref="AP75">_xlfn.LET(
  _xlpm.w, AP$11,
  _xlpm.r, MATCH(1,('3. Enter Indicator Scores'!$B$10:$B$161=$B75)*('3. Enter Indicator Scores'!$C$10:$C$161=$C75),0),
  _xlpm.c, MATCH(AP$8,'3. Enter Indicator Scores'!$D$8:$CZ$8,0),
  _xlpm.v, IFERROR(INDEX('3. Enter Indicator Scores'!$D$10:$CZ$161,_xlpm.r,_xlpm.c),""),
  IF(OR(_xlpm.w="",_xlpm.v=""),"",_xlpm.v*_xlpm.w)
)</f>
        <v/>
      </c>
      <c r="AQ75" s="93" t="str" cm="1">
        <f t="array" ref="AQ75">_xlfn.LET(
  _xlpm.w, AQ$11,
  _xlpm.r, MATCH(1,('3. Enter Indicator Scores'!$B$10:$B$161=$B75)*('3. Enter Indicator Scores'!$C$10:$C$161=$C75),0),
  _xlpm.c, MATCH(AQ$8,'3. Enter Indicator Scores'!$D$8:$CZ$8,0),
  _xlpm.v, IFERROR(INDEX('3. Enter Indicator Scores'!$D$10:$CZ$161,_xlpm.r,_xlpm.c),""),
  IF(OR(_xlpm.w="",_xlpm.v=""),"",_xlpm.v*_xlpm.w)
)</f>
        <v/>
      </c>
      <c r="AR75" s="93" t="str" cm="1">
        <f t="array" ref="AR75">_xlfn.LET(
  _xlpm.w, AR$11,
  _xlpm.r, MATCH(1,('3. Enter Indicator Scores'!$B$10:$B$161=$B75)*('3. Enter Indicator Scores'!$C$10:$C$161=$C75),0),
  _xlpm.c, MATCH(AR$8,'3. Enter Indicator Scores'!$D$8:$CZ$8,0),
  _xlpm.v, IFERROR(INDEX('3. Enter Indicator Scores'!$D$10:$CZ$161,_xlpm.r,_xlpm.c),""),
  IF(OR(_xlpm.w="",_xlpm.v=""),"",_xlpm.v*_xlpm.w)
)</f>
        <v/>
      </c>
      <c r="AS75" s="93" t="str" cm="1">
        <f t="array" ref="AS75">_xlfn.LET(
  _xlpm.w, AS$11,
  _xlpm.r, MATCH(1,('3. Enter Indicator Scores'!$B$10:$B$161=$B75)*('3. Enter Indicator Scores'!$C$10:$C$161=$C75),0),
  _xlpm.c, MATCH(AS$8,'3. Enter Indicator Scores'!$D$8:$CZ$8,0),
  _xlpm.v, IFERROR(INDEX('3. Enter Indicator Scores'!$D$10:$CZ$161,_xlpm.r,_xlpm.c),""),
  IF(OR(_xlpm.w="",_xlpm.v=""),"",_xlpm.v*_xlpm.w)
)</f>
        <v/>
      </c>
      <c r="AT75" s="93" t="str" cm="1">
        <f t="array" ref="AT75">_xlfn.LET(
  _xlpm.w, AT$11,
  _xlpm.r, MATCH(1,('3. Enter Indicator Scores'!$B$10:$B$161=$B75)*('3. Enter Indicator Scores'!$C$10:$C$161=$C75),0),
  _xlpm.c, MATCH(AT$8,'3. Enter Indicator Scores'!$D$8:$CZ$8,0),
  _xlpm.v, IFERROR(INDEX('3. Enter Indicator Scores'!$D$10:$CZ$161,_xlpm.r,_xlpm.c),""),
  IF(OR(_xlpm.w="",_xlpm.v=""),"",_xlpm.v*_xlpm.w)
)</f>
        <v/>
      </c>
      <c r="AU75" s="93" t="str" cm="1">
        <f t="array" ref="AU75">_xlfn.LET(
  _xlpm.w, AU$11,
  _xlpm.r, MATCH(1,('3. Enter Indicator Scores'!$B$10:$B$161=$B75)*('3. Enter Indicator Scores'!$C$10:$C$161=$C75),0),
  _xlpm.c, MATCH(AU$8,'3. Enter Indicator Scores'!$D$8:$CZ$8,0),
  _xlpm.v, IFERROR(INDEX('3. Enter Indicator Scores'!$D$10:$CZ$161,_xlpm.r,_xlpm.c),""),
  IF(OR(_xlpm.w="",_xlpm.v=""),"",_xlpm.v*_xlpm.w)
)</f>
        <v/>
      </c>
      <c r="AV75" s="93" t="str" cm="1">
        <f t="array" ref="AV75">_xlfn.LET(
  _xlpm.w, AV$11,
  _xlpm.r, MATCH(1,('3. Enter Indicator Scores'!$B$10:$B$161=$B75)*('3. Enter Indicator Scores'!$C$10:$C$161=$C75),0),
  _xlpm.c, MATCH(AV$8,'3. Enter Indicator Scores'!$D$8:$CZ$8,0),
  _xlpm.v, IFERROR(INDEX('3. Enter Indicator Scores'!$D$10:$CZ$161,_xlpm.r,_xlpm.c),""),
  IF(OR(_xlpm.w="",_xlpm.v=""),"",_xlpm.v*_xlpm.w)
)</f>
        <v/>
      </c>
      <c r="AW75" s="93" t="str" cm="1">
        <f t="array" ref="AW75">_xlfn.LET(
  _xlpm.w, AW$11,
  _xlpm.r, MATCH(1,('3. Enter Indicator Scores'!$B$10:$B$161=$B75)*('3. Enter Indicator Scores'!$C$10:$C$161=$C75),0),
  _xlpm.c, MATCH(AW$8,'3. Enter Indicator Scores'!$D$8:$CZ$8,0),
  _xlpm.v, IFERROR(INDEX('3. Enter Indicator Scores'!$D$10:$CZ$161,_xlpm.r,_xlpm.c),""),
  IF(OR(_xlpm.w="",_xlpm.v=""),"",_xlpm.v*_xlpm.w)
)</f>
        <v/>
      </c>
      <c r="AX75" s="93" t="str" cm="1">
        <f t="array" ref="AX75">_xlfn.LET(
  _xlpm.w, AX$11,
  _xlpm.r, MATCH(1,('3. Enter Indicator Scores'!$B$10:$B$161=$B75)*('3. Enter Indicator Scores'!$C$10:$C$161=$C75),0),
  _xlpm.c, MATCH(AX$8,'3. Enter Indicator Scores'!$D$8:$CZ$8,0),
  _xlpm.v, IFERROR(INDEX('3. Enter Indicator Scores'!$D$10:$CZ$161,_xlpm.r,_xlpm.c),""),
  IF(OR(_xlpm.w="",_xlpm.v=""),"",_xlpm.v*_xlpm.w)
)</f>
        <v/>
      </c>
      <c r="AY75" s="93" t="str" cm="1">
        <f t="array" ref="AY75">_xlfn.LET(
  _xlpm.w, AY$11,
  _xlpm.r, MATCH(1,('3. Enter Indicator Scores'!$B$10:$B$161=$B75)*('3. Enter Indicator Scores'!$C$10:$C$161=$C75),0),
  _xlpm.c, MATCH(AY$8,'3. Enter Indicator Scores'!$D$8:$CZ$8,0),
  _xlpm.v, IFERROR(INDEX('3. Enter Indicator Scores'!$D$10:$CZ$161,_xlpm.r,_xlpm.c),""),
  IF(OR(_xlpm.w="",_xlpm.v=""),"",_xlpm.v*_xlpm.w)
)</f>
        <v/>
      </c>
      <c r="AZ75" s="93" t="str" cm="1">
        <f t="array" ref="AZ75">_xlfn.LET(
  _xlpm.w, AZ$11,
  _xlpm.r, MATCH(1,('3. Enter Indicator Scores'!$B$10:$B$161=$B75)*('3. Enter Indicator Scores'!$C$10:$C$161=$C75),0),
  _xlpm.c, MATCH(AZ$8,'3. Enter Indicator Scores'!$D$8:$CZ$8,0),
  _xlpm.v, IFERROR(INDEX('3. Enter Indicator Scores'!$D$10:$CZ$161,_xlpm.r,_xlpm.c),""),
  IF(OR(_xlpm.w="",_xlpm.v=""),"",_xlpm.v*_xlpm.w)
)</f>
        <v/>
      </c>
      <c r="BA75" s="93" t="str" cm="1">
        <f t="array" ref="BA75">_xlfn.LET(
  _xlpm.w, BA$11,
  _xlpm.r, MATCH(1,('3. Enter Indicator Scores'!$B$10:$B$161=$B75)*('3. Enter Indicator Scores'!$C$10:$C$161=$C75),0),
  _xlpm.c, MATCH(BA$8,'3. Enter Indicator Scores'!$D$8:$CZ$8,0),
  _xlpm.v, IFERROR(INDEX('3. Enter Indicator Scores'!$D$10:$CZ$161,_xlpm.r,_xlpm.c),""),
  IF(OR(_xlpm.w="",_xlpm.v=""),"",_xlpm.v*_xlpm.w)
)</f>
        <v/>
      </c>
      <c r="BB75" s="93" t="str" cm="1">
        <f t="array" ref="BB75">_xlfn.LET(
  _xlpm.w, BB$11,
  _xlpm.r, MATCH(1,('3. Enter Indicator Scores'!$B$10:$B$161=$B75)*('3. Enter Indicator Scores'!$C$10:$C$161=$C75),0),
  _xlpm.c, MATCH(BB$8,'3. Enter Indicator Scores'!$D$8:$CZ$8,0),
  _xlpm.v, IFERROR(INDEX('3. Enter Indicator Scores'!$D$10:$CZ$161,_xlpm.r,_xlpm.c),""),
  IF(OR(_xlpm.w="",_xlpm.v=""),"",_xlpm.v*_xlpm.w)
)</f>
        <v/>
      </c>
      <c r="BC75" s="93" t="str" cm="1">
        <f t="array" ref="BC75">_xlfn.LET(
  _xlpm.w, BC$11,
  _xlpm.r, MATCH(1,('3. Enter Indicator Scores'!$B$10:$B$161=$B75)*('3. Enter Indicator Scores'!$C$10:$C$161=$C75),0),
  _xlpm.c, MATCH(BC$8,'3. Enter Indicator Scores'!$D$8:$CZ$8,0),
  _xlpm.v, IFERROR(INDEX('3. Enter Indicator Scores'!$D$10:$CZ$161,_xlpm.r,_xlpm.c),""),
  IF(OR(_xlpm.w="",_xlpm.v=""),"",_xlpm.v*_xlpm.w)
)</f>
        <v/>
      </c>
      <c r="BD75" s="93" t="str" cm="1">
        <f t="array" ref="BD75">_xlfn.LET(
  _xlpm.w, BD$11,
  _xlpm.r, MATCH(1,('3. Enter Indicator Scores'!$B$10:$B$161=$B75)*('3. Enter Indicator Scores'!$C$10:$C$161=$C75),0),
  _xlpm.c, MATCH(BD$8,'3. Enter Indicator Scores'!$D$8:$CZ$8,0),
  _xlpm.v, IFERROR(INDEX('3. Enter Indicator Scores'!$D$10:$CZ$161,_xlpm.r,_xlpm.c),""),
  IF(OR(_xlpm.w="",_xlpm.v=""),"",_xlpm.v*_xlpm.w)
)</f>
        <v/>
      </c>
      <c r="BE75" s="93" t="str" cm="1">
        <f t="array" ref="BE75">_xlfn.LET(
  _xlpm.w, BE$11,
  _xlpm.r, MATCH(1,('3. Enter Indicator Scores'!$B$10:$B$161=$B75)*('3. Enter Indicator Scores'!$C$10:$C$161=$C75),0),
  _xlpm.c, MATCH(BE$8,'3. Enter Indicator Scores'!$D$8:$CZ$8,0),
  _xlpm.v, IFERROR(INDEX('3. Enter Indicator Scores'!$D$10:$CZ$161,_xlpm.r,_xlpm.c),""),
  IF(OR(_xlpm.w="",_xlpm.v=""),"",_xlpm.v*_xlpm.w)
)</f>
        <v/>
      </c>
      <c r="BF75" s="93" t="str" cm="1">
        <f t="array" ref="BF75">_xlfn.LET(
  _xlpm.w, BF$11,
  _xlpm.r, MATCH(1,('3. Enter Indicator Scores'!$B$10:$B$161=$B75)*('3. Enter Indicator Scores'!$C$10:$C$161=$C75),0),
  _xlpm.c, MATCH(BF$8,'3. Enter Indicator Scores'!$D$8:$CZ$8,0),
  _xlpm.v, IFERROR(INDEX('3. Enter Indicator Scores'!$D$10:$CZ$161,_xlpm.r,_xlpm.c),""),
  IF(OR(_xlpm.w="",_xlpm.v=""),"",_xlpm.v*_xlpm.w)
)</f>
        <v/>
      </c>
      <c r="BG75" s="93" t="str" cm="1">
        <f t="array" ref="BG75">_xlfn.LET(
  _xlpm.w, BG$11,
  _xlpm.r, MATCH(1,('3. Enter Indicator Scores'!$B$10:$B$161=$B75)*('3. Enter Indicator Scores'!$C$10:$C$161=$C75),0),
  _xlpm.c, MATCH(BG$8,'3. Enter Indicator Scores'!$D$8:$CZ$8,0),
  _xlpm.v, IFERROR(INDEX('3. Enter Indicator Scores'!$D$10:$CZ$161,_xlpm.r,_xlpm.c),""),
  IF(OR(_xlpm.w="",_xlpm.v=""),"",_xlpm.v*_xlpm.w)
)</f>
        <v/>
      </c>
      <c r="BH75" s="93" t="str" cm="1">
        <f t="array" ref="BH75">_xlfn.LET(
  _xlpm.w, BH$11,
  _xlpm.r, MATCH(1,('3. Enter Indicator Scores'!$B$10:$B$161=$B75)*('3. Enter Indicator Scores'!$C$10:$C$161=$C75),0),
  _xlpm.c, MATCH(BH$8,'3. Enter Indicator Scores'!$D$8:$CZ$8,0),
  _xlpm.v, IFERROR(INDEX('3. Enter Indicator Scores'!$D$10:$CZ$161,_xlpm.r,_xlpm.c),""),
  IF(OR(_xlpm.w="",_xlpm.v=""),"",_xlpm.v*_xlpm.w)
)</f>
        <v/>
      </c>
      <c r="BI75" s="93" t="str" cm="1">
        <f t="array" ref="BI75">_xlfn.LET(
  _xlpm.w, BI$11,
  _xlpm.r, MATCH(1,('3. Enter Indicator Scores'!$B$10:$B$161=$B75)*('3. Enter Indicator Scores'!$C$10:$C$161=$C75),0),
  _xlpm.c, MATCH(BI$8,'3. Enter Indicator Scores'!$D$8:$CZ$8,0),
  _xlpm.v, IFERROR(INDEX('3. Enter Indicator Scores'!$D$10:$CZ$161,_xlpm.r,_xlpm.c),""),
  IF(OR(_xlpm.w="",_xlpm.v=""),"",_xlpm.v*_xlpm.w)
)</f>
        <v/>
      </c>
      <c r="BJ75" s="93" t="str" cm="1">
        <f t="array" ref="BJ75">_xlfn.LET(
  _xlpm.w, BJ$11,
  _xlpm.r, MATCH(1,('3. Enter Indicator Scores'!$B$10:$B$161=$B75)*('3. Enter Indicator Scores'!$C$10:$C$161=$C75),0),
  _xlpm.c, MATCH(BJ$8,'3. Enter Indicator Scores'!$D$8:$CZ$8,0),
  _xlpm.v, IFERROR(INDEX('3. Enter Indicator Scores'!$D$10:$CZ$161,_xlpm.r,_xlpm.c),""),
  IF(OR(_xlpm.w="",_xlpm.v=""),"",_xlpm.v*_xlpm.w)
)</f>
        <v/>
      </c>
      <c r="BK75" s="93" t="str" cm="1">
        <f t="array" ref="BK75">_xlfn.LET(
  _xlpm.w, BK$11,
  _xlpm.r, MATCH(1,('3. Enter Indicator Scores'!$B$10:$B$161=$B75)*('3. Enter Indicator Scores'!$C$10:$C$161=$C75),0),
  _xlpm.c, MATCH(BK$8,'3. Enter Indicator Scores'!$D$8:$CZ$8,0),
  _xlpm.v, IFERROR(INDEX('3. Enter Indicator Scores'!$D$10:$CZ$161,_xlpm.r,_xlpm.c),""),
  IF(OR(_xlpm.w="",_xlpm.v=""),"",_xlpm.v*_xlpm.w)
)</f>
        <v/>
      </c>
      <c r="BL75" s="93" t="str" cm="1">
        <f t="array" ref="BL75">_xlfn.LET(
  _xlpm.w, BL$11,
  _xlpm.r, MATCH(1,('3. Enter Indicator Scores'!$B$10:$B$161=$B75)*('3. Enter Indicator Scores'!$C$10:$C$161=$C75),0),
  _xlpm.c, MATCH(BL$8,'3. Enter Indicator Scores'!$D$8:$CZ$8,0),
  _xlpm.v, IFERROR(INDEX('3. Enter Indicator Scores'!$D$10:$CZ$161,_xlpm.r,_xlpm.c),""),
  IF(OR(_xlpm.w="",_xlpm.v=""),"",_xlpm.v*_xlpm.w)
)</f>
        <v/>
      </c>
      <c r="BM75" s="93" t="str" cm="1">
        <f t="array" ref="BM75">_xlfn.LET(
  _xlpm.w, BM$11,
  _xlpm.r, MATCH(1,('3. Enter Indicator Scores'!$B$10:$B$161=$B75)*('3. Enter Indicator Scores'!$C$10:$C$161=$C75),0),
  _xlpm.c, MATCH(BM$8,'3. Enter Indicator Scores'!$D$8:$CZ$8,0),
  _xlpm.v, IFERROR(INDEX('3. Enter Indicator Scores'!$D$10:$CZ$161,_xlpm.r,_xlpm.c),""),
  IF(OR(_xlpm.w="",_xlpm.v=""),"",_xlpm.v*_xlpm.w)
)</f>
        <v/>
      </c>
      <c r="BN75" s="93" t="str" cm="1">
        <f t="array" ref="BN75">_xlfn.LET(
  _xlpm.w, BN$11,
  _xlpm.r, MATCH(1,('3. Enter Indicator Scores'!$B$10:$B$161=$B75)*('3. Enter Indicator Scores'!$C$10:$C$161=$C75),0),
  _xlpm.c, MATCH(BN$8,'3. Enter Indicator Scores'!$D$8:$CZ$8,0),
  _xlpm.v, IFERROR(INDEX('3. Enter Indicator Scores'!$D$10:$CZ$161,_xlpm.r,_xlpm.c),""),
  IF(OR(_xlpm.w="",_xlpm.v=""),"",_xlpm.v*_xlpm.w)
)</f>
        <v/>
      </c>
      <c r="BO75" s="93" t="str" cm="1">
        <f t="array" ref="BO75">_xlfn.LET(
  _xlpm.w, BO$11,
  _xlpm.r, MATCH(1,('3. Enter Indicator Scores'!$B$10:$B$161=$B75)*('3. Enter Indicator Scores'!$C$10:$C$161=$C75),0),
  _xlpm.c, MATCH(BO$8,'3. Enter Indicator Scores'!$D$8:$CZ$8,0),
  _xlpm.v, IFERROR(INDEX('3. Enter Indicator Scores'!$D$10:$CZ$161,_xlpm.r,_xlpm.c),""),
  IF(OR(_xlpm.w="",_xlpm.v=""),"",_xlpm.v*_xlpm.w)
)</f>
        <v/>
      </c>
      <c r="BP75" s="93" t="str" cm="1">
        <f t="array" ref="BP75">_xlfn.LET(
  _xlpm.w, BP$11,
  _xlpm.r, MATCH(1,('3. Enter Indicator Scores'!$B$10:$B$161=$B75)*('3. Enter Indicator Scores'!$C$10:$C$161=$C75),0),
  _xlpm.c, MATCH(BP$8,'3. Enter Indicator Scores'!$D$8:$CZ$8,0),
  _xlpm.v, IFERROR(INDEX('3. Enter Indicator Scores'!$D$10:$CZ$161,_xlpm.r,_xlpm.c),""),
  IF(OR(_xlpm.w="",_xlpm.v=""),"",_xlpm.v*_xlpm.w)
)</f>
        <v/>
      </c>
      <c r="BQ75" s="93" t="str" cm="1">
        <f t="array" ref="BQ75">_xlfn.LET(
  _xlpm.w, BQ$11,
  _xlpm.r, MATCH(1,('3. Enter Indicator Scores'!$B$10:$B$161=$B75)*('3. Enter Indicator Scores'!$C$10:$C$161=$C75),0),
  _xlpm.c, MATCH(BQ$8,'3. Enter Indicator Scores'!$D$8:$CZ$8,0),
  _xlpm.v, IFERROR(INDEX('3. Enter Indicator Scores'!$D$10:$CZ$161,_xlpm.r,_xlpm.c),""),
  IF(OR(_xlpm.w="",_xlpm.v=""),"",_xlpm.v*_xlpm.w)
)</f>
        <v/>
      </c>
      <c r="BR75" s="93" t="str" cm="1">
        <f t="array" ref="BR75">_xlfn.LET(
  _xlpm.w, BR$11,
  _xlpm.r, MATCH(1,('3. Enter Indicator Scores'!$B$10:$B$161=$B75)*('3. Enter Indicator Scores'!$C$10:$C$161=$C75),0),
  _xlpm.c, MATCH(BR$8,'3. Enter Indicator Scores'!$D$8:$CZ$8,0),
  _xlpm.v, IFERROR(INDEX('3. Enter Indicator Scores'!$D$10:$CZ$161,_xlpm.r,_xlpm.c),""),
  IF(OR(_xlpm.w="",_xlpm.v=""),"",_xlpm.v*_xlpm.w)
)</f>
        <v/>
      </c>
      <c r="BS75" s="93" t="str" cm="1">
        <f t="array" ref="BS75">_xlfn.LET(
  _xlpm.w, BS$11,
  _xlpm.r, MATCH(1,('3. Enter Indicator Scores'!$B$10:$B$161=$B75)*('3. Enter Indicator Scores'!$C$10:$C$161=$C75),0),
  _xlpm.c, MATCH(BS$8,'3. Enter Indicator Scores'!$D$8:$CZ$8,0),
  _xlpm.v, IFERROR(INDEX('3. Enter Indicator Scores'!$D$10:$CZ$161,_xlpm.r,_xlpm.c),""),
  IF(OR(_xlpm.w="",_xlpm.v=""),"",_xlpm.v*_xlpm.w)
)</f>
        <v/>
      </c>
      <c r="BT75" s="93" t="str" cm="1">
        <f t="array" ref="BT75">_xlfn.LET(
  _xlpm.w, BT$11,
  _xlpm.r, MATCH(1,('3. Enter Indicator Scores'!$B$10:$B$161=$B75)*('3. Enter Indicator Scores'!$C$10:$C$161=$C75),0),
  _xlpm.c, MATCH(BT$8,'3. Enter Indicator Scores'!$D$8:$CZ$8,0),
  _xlpm.v, IFERROR(INDEX('3. Enter Indicator Scores'!$D$10:$CZ$161,_xlpm.r,_xlpm.c),""),
  IF(OR(_xlpm.w="",_xlpm.v=""),"",_xlpm.v*_xlpm.w)
)</f>
        <v/>
      </c>
      <c r="BU75" s="93" t="str" cm="1">
        <f t="array" ref="BU75">_xlfn.LET(
  _xlpm.w, BU$11,
  _xlpm.r, MATCH(1,('3. Enter Indicator Scores'!$B$10:$B$161=$B75)*('3. Enter Indicator Scores'!$C$10:$C$161=$C75),0),
  _xlpm.c, MATCH(BU$8,'3. Enter Indicator Scores'!$D$8:$CZ$8,0),
  _xlpm.v, IFERROR(INDEX('3. Enter Indicator Scores'!$D$10:$CZ$161,_xlpm.r,_xlpm.c),""),
  IF(OR(_xlpm.w="",_xlpm.v=""),"",_xlpm.v*_xlpm.w)
)</f>
        <v/>
      </c>
      <c r="BV75" s="93" t="str" cm="1">
        <f t="array" ref="BV75">_xlfn.LET(
  _xlpm.w, BV$11,
  _xlpm.r, MATCH(1,('3. Enter Indicator Scores'!$B$10:$B$161=$B75)*('3. Enter Indicator Scores'!$C$10:$C$161=$C75),0),
  _xlpm.c, MATCH(BV$8,'3. Enter Indicator Scores'!$D$8:$CZ$8,0),
  _xlpm.v, IFERROR(INDEX('3. Enter Indicator Scores'!$D$10:$CZ$161,_xlpm.r,_xlpm.c),""),
  IF(OR(_xlpm.w="",_xlpm.v=""),"",_xlpm.v*_xlpm.w)
)</f>
        <v/>
      </c>
      <c r="BW75" s="93" t="str" cm="1">
        <f t="array" ref="BW75">_xlfn.LET(
  _xlpm.w, BW$11,
  _xlpm.r, MATCH(1,('3. Enter Indicator Scores'!$B$10:$B$161=$B75)*('3. Enter Indicator Scores'!$C$10:$C$161=$C75),0),
  _xlpm.c, MATCH(BW$8,'3. Enter Indicator Scores'!$D$8:$CZ$8,0),
  _xlpm.v, IFERROR(INDEX('3. Enter Indicator Scores'!$D$10:$CZ$161,_xlpm.r,_xlpm.c),""),
  IF(OR(_xlpm.w="",_xlpm.v=""),"",_xlpm.v*_xlpm.w)
)</f>
        <v/>
      </c>
      <c r="BX75" s="93" t="str" cm="1">
        <f t="array" ref="BX75">_xlfn.LET(
  _xlpm.w, BX$11,
  _xlpm.r, MATCH(1,('3. Enter Indicator Scores'!$B$10:$B$161=$B75)*('3. Enter Indicator Scores'!$C$10:$C$161=$C75),0),
  _xlpm.c, MATCH(BX$8,'3. Enter Indicator Scores'!$D$8:$CZ$8,0),
  _xlpm.v, IFERROR(INDEX('3. Enter Indicator Scores'!$D$10:$CZ$161,_xlpm.r,_xlpm.c),""),
  IF(OR(_xlpm.w="",_xlpm.v=""),"",_xlpm.v*_xlpm.w)
)</f>
        <v/>
      </c>
      <c r="BY75" s="93" t="str" cm="1">
        <f t="array" ref="BY75">_xlfn.LET(
  _xlpm.w, BY$11,
  _xlpm.r, MATCH(1,('3. Enter Indicator Scores'!$B$10:$B$161=$B75)*('3. Enter Indicator Scores'!$C$10:$C$161=$C75),0),
  _xlpm.c, MATCH(BY$8,'3. Enter Indicator Scores'!$D$8:$CZ$8,0),
  _xlpm.v, IFERROR(INDEX('3. Enter Indicator Scores'!$D$10:$CZ$161,_xlpm.r,_xlpm.c),""),
  IF(OR(_xlpm.w="",_xlpm.v=""),"",_xlpm.v*_xlpm.w)
)</f>
        <v/>
      </c>
      <c r="BZ75" s="93" t="str" cm="1">
        <f t="array" ref="BZ75">_xlfn.LET(
  _xlpm.w, BZ$11,
  _xlpm.r, MATCH(1,('3. Enter Indicator Scores'!$B$10:$B$161=$B75)*('3. Enter Indicator Scores'!$C$10:$C$161=$C75),0),
  _xlpm.c, MATCH(BZ$8,'3. Enter Indicator Scores'!$D$8:$CZ$8,0),
  _xlpm.v, IFERROR(INDEX('3. Enter Indicator Scores'!$D$10:$CZ$161,_xlpm.r,_xlpm.c),""),
  IF(OR(_xlpm.w="",_xlpm.v=""),"",_xlpm.v*_xlpm.w)
)</f>
        <v/>
      </c>
      <c r="CA75" s="93" t="str" cm="1">
        <f t="array" ref="CA75">_xlfn.LET(
  _xlpm.w, CA$11,
  _xlpm.r, MATCH(1,('3. Enter Indicator Scores'!$B$10:$B$161=$B75)*('3. Enter Indicator Scores'!$C$10:$C$161=$C75),0),
  _xlpm.c, MATCH(CA$8,'3. Enter Indicator Scores'!$D$8:$CZ$8,0),
  _xlpm.v, IFERROR(INDEX('3. Enter Indicator Scores'!$D$10:$CZ$161,_xlpm.r,_xlpm.c),""),
  IF(OR(_xlpm.w="",_xlpm.v=""),"",_xlpm.v*_xlpm.w)
)</f>
        <v/>
      </c>
      <c r="CB75" s="93" t="str" cm="1">
        <f t="array" ref="CB75">_xlfn.LET(
  _xlpm.w, CB$11,
  _xlpm.r, MATCH(1,('3. Enter Indicator Scores'!$B$10:$B$161=$B75)*('3. Enter Indicator Scores'!$C$10:$C$161=$C75),0),
  _xlpm.c, MATCH(CB$8,'3. Enter Indicator Scores'!$D$8:$CZ$8,0),
  _xlpm.v, IFERROR(INDEX('3. Enter Indicator Scores'!$D$10:$CZ$161,_xlpm.r,_xlpm.c),""),
  IF(OR(_xlpm.w="",_xlpm.v=""),"",_xlpm.v*_xlpm.w)
)</f>
        <v/>
      </c>
      <c r="CC75" s="93" t="str" cm="1">
        <f t="array" ref="CC75">_xlfn.LET(
  _xlpm.w, CC$11,
  _xlpm.r, MATCH(1,('3. Enter Indicator Scores'!$B$10:$B$161=$B75)*('3. Enter Indicator Scores'!$C$10:$C$161=$C75),0),
  _xlpm.c, MATCH(CC$8,'3. Enter Indicator Scores'!$D$8:$CZ$8,0),
  _xlpm.v, IFERROR(INDEX('3. Enter Indicator Scores'!$D$10:$CZ$161,_xlpm.r,_xlpm.c),""),
  IF(OR(_xlpm.w="",_xlpm.v=""),"",_xlpm.v*_xlpm.w)
)</f>
        <v/>
      </c>
      <c r="CD75" s="93" t="str" cm="1">
        <f t="array" ref="CD75">_xlfn.LET(
  _xlpm.w, CD$11,
  _xlpm.r, MATCH(1,('3. Enter Indicator Scores'!$B$10:$B$161=$B75)*('3. Enter Indicator Scores'!$C$10:$C$161=$C75),0),
  _xlpm.c, MATCH(CD$8,'3. Enter Indicator Scores'!$D$8:$CZ$8,0),
  _xlpm.v, IFERROR(INDEX('3. Enter Indicator Scores'!$D$10:$CZ$161,_xlpm.r,_xlpm.c),""),
  IF(OR(_xlpm.w="",_xlpm.v=""),"",_xlpm.v*_xlpm.w)
)</f>
        <v/>
      </c>
      <c r="CE75" s="93" t="str" cm="1">
        <f t="array" ref="CE75">_xlfn.LET(
  _xlpm.w, CE$11,
  _xlpm.r, MATCH(1,('3. Enter Indicator Scores'!$B$10:$B$161=$B75)*('3. Enter Indicator Scores'!$C$10:$C$161=$C75),0),
  _xlpm.c, MATCH(CE$8,'3. Enter Indicator Scores'!$D$8:$CZ$8,0),
  _xlpm.v, IFERROR(INDEX('3. Enter Indicator Scores'!$D$10:$CZ$161,_xlpm.r,_xlpm.c),""),
  IF(OR(_xlpm.w="",_xlpm.v=""),"",_xlpm.v*_xlpm.w)
)</f>
        <v/>
      </c>
      <c r="CF75" s="93" t="str" cm="1">
        <f t="array" ref="CF75">_xlfn.LET(
  _xlpm.w, CF$11,
  _xlpm.r, MATCH(1,('3. Enter Indicator Scores'!$B$10:$B$161=$B75)*('3. Enter Indicator Scores'!$C$10:$C$161=$C75),0),
  _xlpm.c, MATCH(CF$8,'3. Enter Indicator Scores'!$D$8:$CZ$8,0),
  _xlpm.v, IFERROR(INDEX('3. Enter Indicator Scores'!$D$10:$CZ$161,_xlpm.r,_xlpm.c),""),
  IF(OR(_xlpm.w="",_xlpm.v=""),"",_xlpm.v*_xlpm.w)
)</f>
        <v/>
      </c>
      <c r="CG75" s="93" t="str" cm="1">
        <f t="array" ref="CG75">_xlfn.LET(
  _xlpm.w, CG$11,
  _xlpm.r, MATCH(1,('3. Enter Indicator Scores'!$B$10:$B$161=$B75)*('3. Enter Indicator Scores'!$C$10:$C$161=$C75),0),
  _xlpm.c, MATCH(CG$8,'3. Enter Indicator Scores'!$D$8:$CZ$8,0),
  _xlpm.v, IFERROR(INDEX('3. Enter Indicator Scores'!$D$10:$CZ$161,_xlpm.r,_xlpm.c),""),
  IF(OR(_xlpm.w="",_xlpm.v=""),"",_xlpm.v*_xlpm.w)
)</f>
        <v/>
      </c>
      <c r="CH75" s="93" t="str" cm="1">
        <f t="array" ref="CH75">_xlfn.LET(
  _xlpm.w, CH$11,
  _xlpm.r, MATCH(1,('3. Enter Indicator Scores'!$B$10:$B$161=$B75)*('3. Enter Indicator Scores'!$C$10:$C$161=$C75),0),
  _xlpm.c, MATCH(CH$8,'3. Enter Indicator Scores'!$D$8:$CZ$8,0),
  _xlpm.v, IFERROR(INDEX('3. Enter Indicator Scores'!$D$10:$CZ$161,_xlpm.r,_xlpm.c),""),
  IF(OR(_xlpm.w="",_xlpm.v=""),"",_xlpm.v*_xlpm.w)
)</f>
        <v/>
      </c>
      <c r="CI75" s="93" t="str" cm="1">
        <f t="array" ref="CI75">_xlfn.LET(
  _xlpm.w, CI$11,
  _xlpm.r, MATCH(1,('3. Enter Indicator Scores'!$B$10:$B$161=$B75)*('3. Enter Indicator Scores'!$C$10:$C$161=$C75),0),
  _xlpm.c, MATCH(CI$8,'3. Enter Indicator Scores'!$D$8:$CZ$8,0),
  _xlpm.v, IFERROR(INDEX('3. Enter Indicator Scores'!$D$10:$CZ$161,_xlpm.r,_xlpm.c),""),
  IF(OR(_xlpm.w="",_xlpm.v=""),"",_xlpm.v*_xlpm.w)
)</f>
        <v/>
      </c>
      <c r="CJ75" s="93" t="str" cm="1">
        <f t="array" ref="CJ75">_xlfn.LET(
  _xlpm.w, CJ$11,
  _xlpm.r, MATCH(1,('3. Enter Indicator Scores'!$B$10:$B$161=$B75)*('3. Enter Indicator Scores'!$C$10:$C$161=$C75),0),
  _xlpm.c, MATCH(CJ$8,'3. Enter Indicator Scores'!$D$8:$CZ$8,0),
  _xlpm.v, IFERROR(INDEX('3. Enter Indicator Scores'!$D$10:$CZ$161,_xlpm.r,_xlpm.c),""),
  IF(OR(_xlpm.w="",_xlpm.v=""),"",_xlpm.v*_xlpm.w)
)</f>
        <v/>
      </c>
      <c r="CK75" s="93" t="str" cm="1">
        <f t="array" ref="CK75">_xlfn.LET(
  _xlpm.w, CK$11,
  _xlpm.r, MATCH(1,('3. Enter Indicator Scores'!$B$10:$B$161=$B75)*('3. Enter Indicator Scores'!$C$10:$C$161=$C75),0),
  _xlpm.c, MATCH(CK$8,'3. Enter Indicator Scores'!$D$8:$CZ$8,0),
  _xlpm.v, IFERROR(INDEX('3. Enter Indicator Scores'!$D$10:$CZ$161,_xlpm.r,_xlpm.c),""),
  IF(OR(_xlpm.w="",_xlpm.v=""),"",_xlpm.v*_xlpm.w)
)</f>
        <v/>
      </c>
      <c r="CL75" s="93" t="str" cm="1">
        <f t="array" ref="CL75">_xlfn.LET(
  _xlpm.w, CL$11,
  _xlpm.r, MATCH(1,('3. Enter Indicator Scores'!$B$10:$B$161=$B75)*('3. Enter Indicator Scores'!$C$10:$C$161=$C75),0),
  _xlpm.c, MATCH(CL$8,'3. Enter Indicator Scores'!$D$8:$CZ$8,0),
  _xlpm.v, IFERROR(INDEX('3. Enter Indicator Scores'!$D$10:$CZ$161,_xlpm.r,_xlpm.c),""),
  IF(OR(_xlpm.w="",_xlpm.v=""),"",_xlpm.v*_xlpm.w)
)</f>
        <v/>
      </c>
      <c r="CM75" s="93" t="str" cm="1">
        <f t="array" ref="CM75">_xlfn.LET(
  _xlpm.w, CM$11,
  _xlpm.r, MATCH(1,('3. Enter Indicator Scores'!$B$10:$B$161=$B75)*('3. Enter Indicator Scores'!$C$10:$C$161=$C75),0),
  _xlpm.c, MATCH(CM$8,'3. Enter Indicator Scores'!$D$8:$CZ$8,0),
  _xlpm.v, IFERROR(INDEX('3. Enter Indicator Scores'!$D$10:$CZ$161,_xlpm.r,_xlpm.c),""),
  IF(OR(_xlpm.w="",_xlpm.v=""),"",_xlpm.v*_xlpm.w)
)</f>
        <v/>
      </c>
      <c r="CN75" s="93" t="str" cm="1">
        <f t="array" ref="CN75">_xlfn.LET(
  _xlpm.w, CN$11,
  _xlpm.r, MATCH(1,('3. Enter Indicator Scores'!$B$10:$B$161=$B75)*('3. Enter Indicator Scores'!$C$10:$C$161=$C75),0),
  _xlpm.c, MATCH(CN$8,'3. Enter Indicator Scores'!$D$8:$CZ$8,0),
  _xlpm.v, IFERROR(INDEX('3. Enter Indicator Scores'!$D$10:$CZ$161,_xlpm.r,_xlpm.c),""),
  IF(OR(_xlpm.w="",_xlpm.v=""),"",_xlpm.v*_xlpm.w)
)</f>
        <v/>
      </c>
      <c r="CO75" s="93" t="str" cm="1">
        <f t="array" ref="CO75">_xlfn.LET(
  _xlpm.w, CO$11,
  _xlpm.r, MATCH(1,('3. Enter Indicator Scores'!$B$10:$B$161=$B75)*('3. Enter Indicator Scores'!$C$10:$C$161=$C75),0),
  _xlpm.c, MATCH(CO$8,'3. Enter Indicator Scores'!$D$8:$CZ$8,0),
  _xlpm.v, IFERROR(INDEX('3. Enter Indicator Scores'!$D$10:$CZ$161,_xlpm.r,_xlpm.c),""),
  IF(OR(_xlpm.w="",_xlpm.v=""),"",_xlpm.v*_xlpm.w)
)</f>
        <v/>
      </c>
      <c r="CP75" s="93" t="str" cm="1">
        <f t="array" ref="CP75">_xlfn.LET(
  _xlpm.w, CP$11,
  _xlpm.r, MATCH(1,('3. Enter Indicator Scores'!$B$10:$B$161=$B75)*('3. Enter Indicator Scores'!$C$10:$C$161=$C75),0),
  _xlpm.c, MATCH(CP$8,'3. Enter Indicator Scores'!$D$8:$CZ$8,0),
  _xlpm.v, IFERROR(INDEX('3. Enter Indicator Scores'!$D$10:$CZ$161,_xlpm.r,_xlpm.c),""),
  IF(OR(_xlpm.w="",_xlpm.v=""),"",_xlpm.v*_xlpm.w)
)</f>
        <v/>
      </c>
      <c r="CQ75" s="93" t="str" cm="1">
        <f t="array" ref="CQ75">_xlfn.LET(
  _xlpm.w, CQ$11,
  _xlpm.r, MATCH(1,('3. Enter Indicator Scores'!$B$10:$B$161=$B75)*('3. Enter Indicator Scores'!$C$10:$C$161=$C75),0),
  _xlpm.c, MATCH(CQ$8,'3. Enter Indicator Scores'!$D$8:$CZ$8,0),
  _xlpm.v, IFERROR(INDEX('3. Enter Indicator Scores'!$D$10:$CZ$161,_xlpm.r,_xlpm.c),""),
  IF(OR(_xlpm.w="",_xlpm.v=""),"",_xlpm.v*_xlpm.w)
)</f>
        <v/>
      </c>
      <c r="CR75" s="93" t="str" cm="1">
        <f t="array" ref="CR75">_xlfn.LET(
  _xlpm.w, CR$11,
  _xlpm.r, MATCH(1,('3. Enter Indicator Scores'!$B$10:$B$161=$B75)*('3. Enter Indicator Scores'!$C$10:$C$161=$C75),0),
  _xlpm.c, MATCH(CR$8,'3. Enter Indicator Scores'!$D$8:$CZ$8,0),
  _xlpm.v, IFERROR(INDEX('3. Enter Indicator Scores'!$D$10:$CZ$161,_xlpm.r,_xlpm.c),""),
  IF(OR(_xlpm.w="",_xlpm.v=""),"",_xlpm.v*_xlpm.w)
)</f>
        <v/>
      </c>
      <c r="CS75" s="93" t="str" cm="1">
        <f t="array" ref="CS75">_xlfn.LET(
  _xlpm.w, CS$11,
  _xlpm.r, MATCH(1,('3. Enter Indicator Scores'!$B$10:$B$161=$B75)*('3. Enter Indicator Scores'!$C$10:$C$161=$C75),0),
  _xlpm.c, MATCH(CS$8,'3. Enter Indicator Scores'!$D$8:$CZ$8,0),
  _xlpm.v, IFERROR(INDEX('3. Enter Indicator Scores'!$D$10:$CZ$161,_xlpm.r,_xlpm.c),""),
  IF(OR(_xlpm.w="",_xlpm.v=""),"",_xlpm.v*_xlpm.w)
)</f>
        <v/>
      </c>
      <c r="CT75" s="93" t="str" cm="1">
        <f t="array" ref="CT75">_xlfn.LET(
  _xlpm.w, CT$11,
  _xlpm.r, MATCH(1,('3. Enter Indicator Scores'!$B$10:$B$161=$B75)*('3. Enter Indicator Scores'!$C$10:$C$161=$C75),0),
  _xlpm.c, MATCH(CT$8,'3. Enter Indicator Scores'!$D$8:$CZ$8,0),
  _xlpm.v, IFERROR(INDEX('3. Enter Indicator Scores'!$D$10:$CZ$161,_xlpm.r,_xlpm.c),""),
  IF(OR(_xlpm.w="",_xlpm.v=""),"",_xlpm.v*_xlpm.w)
)</f>
        <v/>
      </c>
      <c r="CU75" s="93" t="str" cm="1">
        <f t="array" ref="CU75">_xlfn.LET(
  _xlpm.w, CU$11,
  _xlpm.r, MATCH(1,('3. Enter Indicator Scores'!$B$10:$B$161=$B75)*('3. Enter Indicator Scores'!$C$10:$C$161=$C75),0),
  _xlpm.c, MATCH(CU$8,'3. Enter Indicator Scores'!$D$8:$CZ$8,0),
  _xlpm.v, IFERROR(INDEX('3. Enter Indicator Scores'!$D$10:$CZ$161,_xlpm.r,_xlpm.c),""),
  IF(OR(_xlpm.w="",_xlpm.v=""),"",_xlpm.v*_xlpm.w)
)</f>
        <v/>
      </c>
      <c r="CV75" s="93" t="str" cm="1">
        <f t="array" ref="CV75">_xlfn.LET(
  _xlpm.w, CV$11,
  _xlpm.r, MATCH(1,('3. Enter Indicator Scores'!$B$10:$B$161=$B75)*('3. Enter Indicator Scores'!$C$10:$C$161=$C75),0),
  _xlpm.c, MATCH(CV$8,'3. Enter Indicator Scores'!$D$8:$CZ$8,0),
  _xlpm.v, IFERROR(INDEX('3. Enter Indicator Scores'!$D$10:$CZ$161,_xlpm.r,_xlpm.c),""),
  IF(OR(_xlpm.w="",_xlpm.v=""),"",_xlpm.v*_xlpm.w)
)</f>
        <v/>
      </c>
      <c r="CW75" s="93" t="str" cm="1">
        <f t="array" ref="CW75">_xlfn.LET(
  _xlpm.w, CW$11,
  _xlpm.r, MATCH(1,('3. Enter Indicator Scores'!$B$10:$B$161=$B75)*('3. Enter Indicator Scores'!$C$10:$C$161=$C75),0),
  _xlpm.c, MATCH(CW$8,'3. Enter Indicator Scores'!$D$8:$CZ$8,0),
  _xlpm.v, IFERROR(INDEX('3. Enter Indicator Scores'!$D$10:$CZ$161,_xlpm.r,_xlpm.c),""),
  IF(OR(_xlpm.w="",_xlpm.v=""),"",_xlpm.v*_xlpm.w)
)</f>
        <v/>
      </c>
      <c r="CX75" s="93" t="str" cm="1">
        <f t="array" ref="CX75">_xlfn.LET(
  _xlpm.w, CX$11,
  _xlpm.r, MATCH(1,('3. Enter Indicator Scores'!$B$10:$B$161=$B75)*('3. Enter Indicator Scores'!$C$10:$C$161=$C75),0),
  _xlpm.c, MATCH(CX$8,'3. Enter Indicator Scores'!$D$8:$CZ$8,0),
  _xlpm.v, IFERROR(INDEX('3. Enter Indicator Scores'!$D$10:$CZ$161,_xlpm.r,_xlpm.c),""),
  IF(OR(_xlpm.w="",_xlpm.v=""),"",_xlpm.v*_xlpm.w)
)</f>
        <v/>
      </c>
      <c r="CY75" s="93" t="str" cm="1">
        <f t="array" ref="CY75">_xlfn.LET(
  _xlpm.w, CY$11,
  _xlpm.r, MATCH(1,('3. Enter Indicator Scores'!$B$10:$B$161=$B75)*('3. Enter Indicator Scores'!$C$10:$C$161=$C75),0),
  _xlpm.c, MATCH(CY$8,'3. Enter Indicator Scores'!$D$8:$CZ$8,0),
  _xlpm.v, IFERROR(INDEX('3. Enter Indicator Scores'!$D$10:$CZ$161,_xlpm.r,_xlpm.c),""),
  IF(OR(_xlpm.w="",_xlpm.v=""),"",_xlpm.v*_xlpm.w)
)</f>
        <v/>
      </c>
      <c r="CZ75" s="93" t="str" cm="1">
        <f t="array" ref="CZ75">_xlfn.LET(
  _xlpm.w, CZ$11,
  _xlpm.r, MATCH(1,('3. Enter Indicator Scores'!$B$10:$B$161=$B75)*('3. Enter Indicator Scores'!$C$10:$C$161=$C75),0),
  _xlpm.c, MATCH(CZ$8,'3. Enter Indicator Scores'!$D$8:$CZ$8,0),
  _xlpm.v, IFERROR(INDEX('3. Enter Indicator Scores'!$D$10:$CZ$161,_xlpm.r,_xlpm.c),""),
  IF(OR(_xlpm.w="",_xlpm.v=""),"",_xlpm.v*_xlpm.w)
)</f>
        <v/>
      </c>
    </row>
    <row r="76" spans="4:104" x14ac:dyDescent="0.2">
      <c r="D76" s="93" t="str" cm="1">
        <f t="array" ref="D76">_xlfn.LET(
  _xlpm.w, D$11,
  _xlpm.r, MATCH(1,('3. Enter Indicator Scores'!$B$10:$B$161=$B76)*('3. Enter Indicator Scores'!$C$10:$C$161=$C76),0),
  _xlpm.c, MATCH(D$8,'3. Enter Indicator Scores'!$D$8:$CZ$8,0),
  _xlpm.v, IFERROR(INDEX('3. Enter Indicator Scores'!$D$10:$CZ$161,_xlpm.r,_xlpm.c),""),
  IF(OR(_xlpm.w="",_xlpm.v=""),"",_xlpm.v*_xlpm.w)
)</f>
        <v/>
      </c>
      <c r="E76" s="93" t="str" cm="1">
        <f t="array" ref="E76">_xlfn.LET(
  _xlpm.w, E$11,
  _xlpm.r, MATCH(1,('3. Enter Indicator Scores'!$B$10:$B$161=$B76)*('3. Enter Indicator Scores'!$C$10:$C$161=$C76),0),
  _xlpm.c, MATCH(E$8,'3. Enter Indicator Scores'!$D$8:$CZ$8,0),
  _xlpm.v, IFERROR(INDEX('3. Enter Indicator Scores'!$D$10:$CZ$161,_xlpm.r,_xlpm.c),""),
  IF(OR(_xlpm.w="",_xlpm.v=""),"",_xlpm.v*_xlpm.w)
)</f>
        <v/>
      </c>
      <c r="F76" s="93" t="str" cm="1">
        <f t="array" ref="F76">_xlfn.LET(
  _xlpm.w, F$11,
  _xlpm.r, MATCH(1,('3. Enter Indicator Scores'!$B$10:$B$161=$B76)*('3. Enter Indicator Scores'!$C$10:$C$161=$C76),0),
  _xlpm.c, MATCH(F$8,'3. Enter Indicator Scores'!$D$8:$CZ$8,0),
  _xlpm.v, IFERROR(INDEX('3. Enter Indicator Scores'!$D$10:$CZ$161,_xlpm.r,_xlpm.c),""),
  IF(OR(_xlpm.w="",_xlpm.v=""),"",_xlpm.v*_xlpm.w)
)</f>
        <v/>
      </c>
      <c r="G76" s="93" t="str" cm="1">
        <f t="array" ref="G76">_xlfn.LET(
  _xlpm.w, G$11,
  _xlpm.r, MATCH(1,('3. Enter Indicator Scores'!$B$10:$B$161=$B76)*('3. Enter Indicator Scores'!$C$10:$C$161=$C76),0),
  _xlpm.c, MATCH(G$8,'3. Enter Indicator Scores'!$D$8:$CZ$8,0),
  _xlpm.v, IFERROR(INDEX('3. Enter Indicator Scores'!$D$10:$CZ$161,_xlpm.r,_xlpm.c),""),
  IF(OR(_xlpm.w="",_xlpm.v=""),"",_xlpm.v*_xlpm.w)
)</f>
        <v/>
      </c>
      <c r="H76" s="93" t="str" cm="1">
        <f t="array" ref="H76">_xlfn.LET(
  _xlpm.w, H$11,
  _xlpm.r, MATCH(1,('3. Enter Indicator Scores'!$B$10:$B$161=$B76)*('3. Enter Indicator Scores'!$C$10:$C$161=$C76),0),
  _xlpm.c, MATCH(H$8,'3. Enter Indicator Scores'!$D$8:$CZ$8,0),
  _xlpm.v, IFERROR(INDEX('3. Enter Indicator Scores'!$D$10:$CZ$161,_xlpm.r,_xlpm.c),""),
  IF(OR(_xlpm.w="",_xlpm.v=""),"",_xlpm.v*_xlpm.w)
)</f>
        <v/>
      </c>
      <c r="I76" s="93" t="str" cm="1">
        <f t="array" ref="I76">_xlfn.LET(
  _xlpm.w, I$11,
  _xlpm.r, MATCH(1,('3. Enter Indicator Scores'!$B$10:$B$161=$B76)*('3. Enter Indicator Scores'!$C$10:$C$161=$C76),0),
  _xlpm.c, MATCH(I$8,'3. Enter Indicator Scores'!$D$8:$CZ$8,0),
  _xlpm.v, IFERROR(INDEX('3. Enter Indicator Scores'!$D$10:$CZ$161,_xlpm.r,_xlpm.c),""),
  IF(OR(_xlpm.w="",_xlpm.v=""),"",_xlpm.v*_xlpm.w)
)</f>
        <v/>
      </c>
      <c r="J76" s="93" t="str" cm="1">
        <f t="array" ref="J76">_xlfn.LET(
  _xlpm.w, J$11,
  _xlpm.r, MATCH(1,('3. Enter Indicator Scores'!$B$10:$B$161=$B76)*('3. Enter Indicator Scores'!$C$10:$C$161=$C76),0),
  _xlpm.c, MATCH(J$8,'3. Enter Indicator Scores'!$D$8:$CZ$8,0),
  _xlpm.v, IFERROR(INDEX('3. Enter Indicator Scores'!$D$10:$CZ$161,_xlpm.r,_xlpm.c),""),
  IF(OR(_xlpm.w="",_xlpm.v=""),"",_xlpm.v*_xlpm.w)
)</f>
        <v/>
      </c>
      <c r="K76" s="93" t="str" cm="1">
        <f t="array" ref="K76">_xlfn.LET(
  _xlpm.w, K$11,
  _xlpm.r, MATCH(1,('3. Enter Indicator Scores'!$B$10:$B$161=$B76)*('3. Enter Indicator Scores'!$C$10:$C$161=$C76),0),
  _xlpm.c, MATCH(K$8,'3. Enter Indicator Scores'!$D$8:$CZ$8,0),
  _xlpm.v, IFERROR(INDEX('3. Enter Indicator Scores'!$D$10:$CZ$161,_xlpm.r,_xlpm.c),""),
  IF(OR(_xlpm.w="",_xlpm.v=""),"",_xlpm.v*_xlpm.w)
)</f>
        <v/>
      </c>
      <c r="L76" s="93" t="str" cm="1">
        <f t="array" ref="L76">_xlfn.LET(
  _xlpm.w, L$11,
  _xlpm.r, MATCH(1,('3. Enter Indicator Scores'!$B$10:$B$161=$B76)*('3. Enter Indicator Scores'!$C$10:$C$161=$C76),0),
  _xlpm.c, MATCH(L$8,'3. Enter Indicator Scores'!$D$8:$CZ$8,0),
  _xlpm.v, IFERROR(INDEX('3. Enter Indicator Scores'!$D$10:$CZ$161,_xlpm.r,_xlpm.c),""),
  IF(OR(_xlpm.w="",_xlpm.v=""),"",_xlpm.v*_xlpm.w)
)</f>
        <v/>
      </c>
      <c r="M76" s="93" t="str" cm="1">
        <f t="array" ref="M76">_xlfn.LET(
  _xlpm.w, M$11,
  _xlpm.r, MATCH(1,('3. Enter Indicator Scores'!$B$10:$B$161=$B76)*('3. Enter Indicator Scores'!$C$10:$C$161=$C76),0),
  _xlpm.c, MATCH(M$8,'3. Enter Indicator Scores'!$D$8:$CZ$8,0),
  _xlpm.v, IFERROR(INDEX('3. Enter Indicator Scores'!$D$10:$CZ$161,_xlpm.r,_xlpm.c),""),
  IF(OR(_xlpm.w="",_xlpm.v=""),"",_xlpm.v*_xlpm.w)
)</f>
        <v/>
      </c>
      <c r="N76" s="93" t="str" cm="1">
        <f t="array" ref="N76">_xlfn.LET(
  _xlpm.w, N$11,
  _xlpm.r, MATCH(1,('3. Enter Indicator Scores'!$B$10:$B$161=$B76)*('3. Enter Indicator Scores'!$C$10:$C$161=$C76),0),
  _xlpm.c, MATCH(N$8,'3. Enter Indicator Scores'!$D$8:$CZ$8,0),
  _xlpm.v, IFERROR(INDEX('3. Enter Indicator Scores'!$D$10:$CZ$161,_xlpm.r,_xlpm.c),""),
  IF(OR(_xlpm.w="",_xlpm.v=""),"",_xlpm.v*_xlpm.w)
)</f>
        <v/>
      </c>
      <c r="O76" s="93" t="str" cm="1">
        <f t="array" ref="O76">_xlfn.LET(
  _xlpm.w, O$11,
  _xlpm.r, MATCH(1,('3. Enter Indicator Scores'!$B$10:$B$161=$B76)*('3. Enter Indicator Scores'!$C$10:$C$161=$C76),0),
  _xlpm.c, MATCH(O$8,'3. Enter Indicator Scores'!$D$8:$CZ$8,0),
  _xlpm.v, IFERROR(INDEX('3. Enter Indicator Scores'!$D$10:$CZ$161,_xlpm.r,_xlpm.c),""),
  IF(OR(_xlpm.w="",_xlpm.v=""),"",_xlpm.v*_xlpm.w)
)</f>
        <v/>
      </c>
      <c r="P76" s="93" t="str" cm="1">
        <f t="array" ref="P76">_xlfn.LET(
  _xlpm.w, P$11,
  _xlpm.r, MATCH(1,('3. Enter Indicator Scores'!$B$10:$B$161=$B76)*('3. Enter Indicator Scores'!$C$10:$C$161=$C76),0),
  _xlpm.c, MATCH(P$8,'3. Enter Indicator Scores'!$D$8:$CZ$8,0),
  _xlpm.v, IFERROR(INDEX('3. Enter Indicator Scores'!$D$10:$CZ$161,_xlpm.r,_xlpm.c),""),
  IF(OR(_xlpm.w="",_xlpm.v=""),"",_xlpm.v*_xlpm.w)
)</f>
        <v/>
      </c>
      <c r="Q76" s="93" t="str" cm="1">
        <f t="array" ref="Q76">_xlfn.LET(
  _xlpm.w, Q$11,
  _xlpm.r, MATCH(1,('3. Enter Indicator Scores'!$B$10:$B$161=$B76)*('3. Enter Indicator Scores'!$C$10:$C$161=$C76),0),
  _xlpm.c, MATCH(Q$8,'3. Enter Indicator Scores'!$D$8:$CZ$8,0),
  _xlpm.v, IFERROR(INDEX('3. Enter Indicator Scores'!$D$10:$CZ$161,_xlpm.r,_xlpm.c),""),
  IF(OR(_xlpm.w="",_xlpm.v=""),"",_xlpm.v*_xlpm.w)
)</f>
        <v/>
      </c>
      <c r="R76" s="93" t="str" cm="1">
        <f t="array" ref="R76">_xlfn.LET(
  _xlpm.w, R$11,
  _xlpm.r, MATCH(1,('3. Enter Indicator Scores'!$B$10:$B$161=$B76)*('3. Enter Indicator Scores'!$C$10:$C$161=$C76),0),
  _xlpm.c, MATCH(R$8,'3. Enter Indicator Scores'!$D$8:$CZ$8,0),
  _xlpm.v, IFERROR(INDEX('3. Enter Indicator Scores'!$D$10:$CZ$161,_xlpm.r,_xlpm.c),""),
  IF(OR(_xlpm.w="",_xlpm.v=""),"",_xlpm.v*_xlpm.w)
)</f>
        <v/>
      </c>
      <c r="S76" s="93" t="str" cm="1">
        <f t="array" ref="S76">_xlfn.LET(
  _xlpm.w, S$11,
  _xlpm.r, MATCH(1,('3. Enter Indicator Scores'!$B$10:$B$161=$B76)*('3. Enter Indicator Scores'!$C$10:$C$161=$C76),0),
  _xlpm.c, MATCH(S$8,'3. Enter Indicator Scores'!$D$8:$CZ$8,0),
  _xlpm.v, IFERROR(INDEX('3. Enter Indicator Scores'!$D$10:$CZ$161,_xlpm.r,_xlpm.c),""),
  IF(OR(_xlpm.w="",_xlpm.v=""),"",_xlpm.v*_xlpm.w)
)</f>
        <v/>
      </c>
      <c r="T76" s="93" t="str" cm="1">
        <f t="array" ref="T76">_xlfn.LET(
  _xlpm.w, T$11,
  _xlpm.r, MATCH(1,('3. Enter Indicator Scores'!$B$10:$B$161=$B76)*('3. Enter Indicator Scores'!$C$10:$C$161=$C76),0),
  _xlpm.c, MATCH(T$8,'3. Enter Indicator Scores'!$D$8:$CZ$8,0),
  _xlpm.v, IFERROR(INDEX('3. Enter Indicator Scores'!$D$10:$CZ$161,_xlpm.r,_xlpm.c),""),
  IF(OR(_xlpm.w="",_xlpm.v=""),"",_xlpm.v*_xlpm.w)
)</f>
        <v/>
      </c>
      <c r="U76" s="93" t="str" cm="1">
        <f t="array" ref="U76">_xlfn.LET(
  _xlpm.w, U$11,
  _xlpm.r, MATCH(1,('3. Enter Indicator Scores'!$B$10:$B$161=$B76)*('3. Enter Indicator Scores'!$C$10:$C$161=$C76),0),
  _xlpm.c, MATCH(U$8,'3. Enter Indicator Scores'!$D$8:$CZ$8,0),
  _xlpm.v, IFERROR(INDEX('3. Enter Indicator Scores'!$D$10:$CZ$161,_xlpm.r,_xlpm.c),""),
  IF(OR(_xlpm.w="",_xlpm.v=""),"",_xlpm.v*_xlpm.w)
)</f>
        <v/>
      </c>
      <c r="V76" s="93" t="str" cm="1">
        <f t="array" ref="V76">_xlfn.LET(
  _xlpm.w, V$11,
  _xlpm.r, MATCH(1,('3. Enter Indicator Scores'!$B$10:$B$161=$B76)*('3. Enter Indicator Scores'!$C$10:$C$161=$C76),0),
  _xlpm.c, MATCH(V$8,'3. Enter Indicator Scores'!$D$8:$CZ$8,0),
  _xlpm.v, IFERROR(INDEX('3. Enter Indicator Scores'!$D$10:$CZ$161,_xlpm.r,_xlpm.c),""),
  IF(OR(_xlpm.w="",_xlpm.v=""),"",_xlpm.v*_xlpm.w)
)</f>
        <v/>
      </c>
      <c r="W76" s="93" t="str" cm="1">
        <f t="array" ref="W76">_xlfn.LET(
  _xlpm.w, W$11,
  _xlpm.r, MATCH(1,('3. Enter Indicator Scores'!$B$10:$B$161=$B76)*('3. Enter Indicator Scores'!$C$10:$C$161=$C76),0),
  _xlpm.c, MATCH(W$8,'3. Enter Indicator Scores'!$D$8:$CZ$8,0),
  _xlpm.v, IFERROR(INDEX('3. Enter Indicator Scores'!$D$10:$CZ$161,_xlpm.r,_xlpm.c),""),
  IF(OR(_xlpm.w="",_xlpm.v=""),"",_xlpm.v*_xlpm.w)
)</f>
        <v/>
      </c>
      <c r="X76" s="93" t="str" cm="1">
        <f t="array" ref="X76">_xlfn.LET(
  _xlpm.w, X$11,
  _xlpm.r, MATCH(1,('3. Enter Indicator Scores'!$B$10:$B$161=$B76)*('3. Enter Indicator Scores'!$C$10:$C$161=$C76),0),
  _xlpm.c, MATCH(X$8,'3. Enter Indicator Scores'!$D$8:$CZ$8,0),
  _xlpm.v, IFERROR(INDEX('3. Enter Indicator Scores'!$D$10:$CZ$161,_xlpm.r,_xlpm.c),""),
  IF(OR(_xlpm.w="",_xlpm.v=""),"",_xlpm.v*_xlpm.w)
)</f>
        <v/>
      </c>
      <c r="Y76" s="93" t="str" cm="1">
        <f t="array" ref="Y76">_xlfn.LET(
  _xlpm.w, Y$11,
  _xlpm.r, MATCH(1,('3. Enter Indicator Scores'!$B$10:$B$161=$B76)*('3. Enter Indicator Scores'!$C$10:$C$161=$C76),0),
  _xlpm.c, MATCH(Y$8,'3. Enter Indicator Scores'!$D$8:$CZ$8,0),
  _xlpm.v, IFERROR(INDEX('3. Enter Indicator Scores'!$D$10:$CZ$161,_xlpm.r,_xlpm.c),""),
  IF(OR(_xlpm.w="",_xlpm.v=""),"",_xlpm.v*_xlpm.w)
)</f>
        <v/>
      </c>
      <c r="Z76" s="93" t="str" cm="1">
        <f t="array" ref="Z76">_xlfn.LET(
  _xlpm.w, Z$11,
  _xlpm.r, MATCH(1,('3. Enter Indicator Scores'!$B$10:$B$161=$B76)*('3. Enter Indicator Scores'!$C$10:$C$161=$C76),0),
  _xlpm.c, MATCH(Z$8,'3. Enter Indicator Scores'!$D$8:$CZ$8,0),
  _xlpm.v, IFERROR(INDEX('3. Enter Indicator Scores'!$D$10:$CZ$161,_xlpm.r,_xlpm.c),""),
  IF(OR(_xlpm.w="",_xlpm.v=""),"",_xlpm.v*_xlpm.w)
)</f>
        <v/>
      </c>
      <c r="AA76" s="93" t="str" cm="1">
        <f t="array" ref="AA76">_xlfn.LET(
  _xlpm.w, AA$11,
  _xlpm.r, MATCH(1,('3. Enter Indicator Scores'!$B$10:$B$161=$B76)*('3. Enter Indicator Scores'!$C$10:$C$161=$C76),0),
  _xlpm.c, MATCH(AA$8,'3. Enter Indicator Scores'!$D$8:$CZ$8,0),
  _xlpm.v, IFERROR(INDEX('3. Enter Indicator Scores'!$D$10:$CZ$161,_xlpm.r,_xlpm.c),""),
  IF(OR(_xlpm.w="",_xlpm.v=""),"",_xlpm.v*_xlpm.w)
)</f>
        <v/>
      </c>
      <c r="AB76" s="93" t="str" cm="1">
        <f t="array" ref="AB76">_xlfn.LET(
  _xlpm.w, AB$11,
  _xlpm.r, MATCH(1,('3. Enter Indicator Scores'!$B$10:$B$161=$B76)*('3. Enter Indicator Scores'!$C$10:$C$161=$C76),0),
  _xlpm.c, MATCH(AB$8,'3. Enter Indicator Scores'!$D$8:$CZ$8,0),
  _xlpm.v, IFERROR(INDEX('3. Enter Indicator Scores'!$D$10:$CZ$161,_xlpm.r,_xlpm.c),""),
  IF(OR(_xlpm.w="",_xlpm.v=""),"",_xlpm.v*_xlpm.w)
)</f>
        <v/>
      </c>
      <c r="AC76" s="93" t="str" cm="1">
        <f t="array" ref="AC76">_xlfn.LET(
  _xlpm.w, AC$11,
  _xlpm.r, MATCH(1,('3. Enter Indicator Scores'!$B$10:$B$161=$B76)*('3. Enter Indicator Scores'!$C$10:$C$161=$C76),0),
  _xlpm.c, MATCH(AC$8,'3. Enter Indicator Scores'!$D$8:$CZ$8,0),
  _xlpm.v, IFERROR(INDEX('3. Enter Indicator Scores'!$D$10:$CZ$161,_xlpm.r,_xlpm.c),""),
  IF(OR(_xlpm.w="",_xlpm.v=""),"",_xlpm.v*_xlpm.w)
)</f>
        <v/>
      </c>
      <c r="AD76" s="93" t="str" cm="1">
        <f t="array" ref="AD76">_xlfn.LET(
  _xlpm.w, AD$11,
  _xlpm.r, MATCH(1,('3. Enter Indicator Scores'!$B$10:$B$161=$B76)*('3. Enter Indicator Scores'!$C$10:$C$161=$C76),0),
  _xlpm.c, MATCH(AD$8,'3. Enter Indicator Scores'!$D$8:$CZ$8,0),
  _xlpm.v, IFERROR(INDEX('3. Enter Indicator Scores'!$D$10:$CZ$161,_xlpm.r,_xlpm.c),""),
  IF(OR(_xlpm.w="",_xlpm.v=""),"",_xlpm.v*_xlpm.w)
)</f>
        <v/>
      </c>
      <c r="AE76" s="93" t="str" cm="1">
        <f t="array" ref="AE76">_xlfn.LET(
  _xlpm.w, AE$11,
  _xlpm.r, MATCH(1,('3. Enter Indicator Scores'!$B$10:$B$161=$B76)*('3. Enter Indicator Scores'!$C$10:$C$161=$C76),0),
  _xlpm.c, MATCH(AE$8,'3. Enter Indicator Scores'!$D$8:$CZ$8,0),
  _xlpm.v, IFERROR(INDEX('3. Enter Indicator Scores'!$D$10:$CZ$161,_xlpm.r,_xlpm.c),""),
  IF(OR(_xlpm.w="",_xlpm.v=""),"",_xlpm.v*_xlpm.w)
)</f>
        <v/>
      </c>
      <c r="AF76" s="93" t="str" cm="1">
        <f t="array" ref="AF76">_xlfn.LET(
  _xlpm.w, AF$11,
  _xlpm.r, MATCH(1,('3. Enter Indicator Scores'!$B$10:$B$161=$B76)*('3. Enter Indicator Scores'!$C$10:$C$161=$C76),0),
  _xlpm.c, MATCH(AF$8,'3. Enter Indicator Scores'!$D$8:$CZ$8,0),
  _xlpm.v, IFERROR(INDEX('3. Enter Indicator Scores'!$D$10:$CZ$161,_xlpm.r,_xlpm.c),""),
  IF(OR(_xlpm.w="",_xlpm.v=""),"",_xlpm.v*_xlpm.w)
)</f>
        <v/>
      </c>
      <c r="AG76" s="93" t="str" cm="1">
        <f t="array" ref="AG76">_xlfn.LET(
  _xlpm.w, AG$11,
  _xlpm.r, MATCH(1,('3. Enter Indicator Scores'!$B$10:$B$161=$B76)*('3. Enter Indicator Scores'!$C$10:$C$161=$C76),0),
  _xlpm.c, MATCH(AG$8,'3. Enter Indicator Scores'!$D$8:$CZ$8,0),
  _xlpm.v, IFERROR(INDEX('3. Enter Indicator Scores'!$D$10:$CZ$161,_xlpm.r,_xlpm.c),""),
  IF(OR(_xlpm.w="",_xlpm.v=""),"",_xlpm.v*_xlpm.w)
)</f>
        <v/>
      </c>
      <c r="AH76" s="93" t="str" cm="1">
        <f t="array" ref="AH76">_xlfn.LET(
  _xlpm.w, AH$11,
  _xlpm.r, MATCH(1,('3. Enter Indicator Scores'!$B$10:$B$161=$B76)*('3. Enter Indicator Scores'!$C$10:$C$161=$C76),0),
  _xlpm.c, MATCH(AH$8,'3. Enter Indicator Scores'!$D$8:$CZ$8,0),
  _xlpm.v, IFERROR(INDEX('3. Enter Indicator Scores'!$D$10:$CZ$161,_xlpm.r,_xlpm.c),""),
  IF(OR(_xlpm.w="",_xlpm.v=""),"",_xlpm.v*_xlpm.w)
)</f>
        <v/>
      </c>
      <c r="AI76" s="93" t="str" cm="1">
        <f t="array" ref="AI76">_xlfn.LET(
  _xlpm.w, AI$11,
  _xlpm.r, MATCH(1,('3. Enter Indicator Scores'!$B$10:$B$161=$B76)*('3. Enter Indicator Scores'!$C$10:$C$161=$C76),0),
  _xlpm.c, MATCH(AI$8,'3. Enter Indicator Scores'!$D$8:$CZ$8,0),
  _xlpm.v, IFERROR(INDEX('3. Enter Indicator Scores'!$D$10:$CZ$161,_xlpm.r,_xlpm.c),""),
  IF(OR(_xlpm.w="",_xlpm.v=""),"",_xlpm.v*_xlpm.w)
)</f>
        <v/>
      </c>
      <c r="AJ76" s="93" t="str" cm="1">
        <f t="array" ref="AJ76">_xlfn.LET(
  _xlpm.w, AJ$11,
  _xlpm.r, MATCH(1,('3. Enter Indicator Scores'!$B$10:$B$161=$B76)*('3. Enter Indicator Scores'!$C$10:$C$161=$C76),0),
  _xlpm.c, MATCH(AJ$8,'3. Enter Indicator Scores'!$D$8:$CZ$8,0),
  _xlpm.v, IFERROR(INDEX('3. Enter Indicator Scores'!$D$10:$CZ$161,_xlpm.r,_xlpm.c),""),
  IF(OR(_xlpm.w="",_xlpm.v=""),"",_xlpm.v*_xlpm.w)
)</f>
        <v/>
      </c>
      <c r="AK76" s="93" t="str" cm="1">
        <f t="array" ref="AK76">_xlfn.LET(
  _xlpm.w, AK$11,
  _xlpm.r, MATCH(1,('3. Enter Indicator Scores'!$B$10:$B$161=$B76)*('3. Enter Indicator Scores'!$C$10:$C$161=$C76),0),
  _xlpm.c, MATCH(AK$8,'3. Enter Indicator Scores'!$D$8:$CZ$8,0),
  _xlpm.v, IFERROR(INDEX('3. Enter Indicator Scores'!$D$10:$CZ$161,_xlpm.r,_xlpm.c),""),
  IF(OR(_xlpm.w="",_xlpm.v=""),"",_xlpm.v*_xlpm.w)
)</f>
        <v/>
      </c>
      <c r="AL76" s="93" t="str" cm="1">
        <f t="array" ref="AL76">_xlfn.LET(
  _xlpm.w, AL$11,
  _xlpm.r, MATCH(1,('3. Enter Indicator Scores'!$B$10:$B$161=$B76)*('3. Enter Indicator Scores'!$C$10:$C$161=$C76),0),
  _xlpm.c, MATCH(AL$8,'3. Enter Indicator Scores'!$D$8:$CZ$8,0),
  _xlpm.v, IFERROR(INDEX('3. Enter Indicator Scores'!$D$10:$CZ$161,_xlpm.r,_xlpm.c),""),
  IF(OR(_xlpm.w="",_xlpm.v=""),"",_xlpm.v*_xlpm.w)
)</f>
        <v/>
      </c>
      <c r="AM76" s="93" t="str" cm="1">
        <f t="array" ref="AM76">_xlfn.LET(
  _xlpm.w, AM$11,
  _xlpm.r, MATCH(1,('3. Enter Indicator Scores'!$B$10:$B$161=$B76)*('3. Enter Indicator Scores'!$C$10:$C$161=$C76),0),
  _xlpm.c, MATCH(AM$8,'3. Enter Indicator Scores'!$D$8:$CZ$8,0),
  _xlpm.v, IFERROR(INDEX('3. Enter Indicator Scores'!$D$10:$CZ$161,_xlpm.r,_xlpm.c),""),
  IF(OR(_xlpm.w="",_xlpm.v=""),"",_xlpm.v*_xlpm.w)
)</f>
        <v/>
      </c>
      <c r="AN76" s="93" t="str" cm="1">
        <f t="array" ref="AN76">_xlfn.LET(
  _xlpm.w, AN$11,
  _xlpm.r, MATCH(1,('3. Enter Indicator Scores'!$B$10:$B$161=$B76)*('3. Enter Indicator Scores'!$C$10:$C$161=$C76),0),
  _xlpm.c, MATCH(AN$8,'3. Enter Indicator Scores'!$D$8:$CZ$8,0),
  _xlpm.v, IFERROR(INDEX('3. Enter Indicator Scores'!$D$10:$CZ$161,_xlpm.r,_xlpm.c),""),
  IF(OR(_xlpm.w="",_xlpm.v=""),"",_xlpm.v*_xlpm.w)
)</f>
        <v/>
      </c>
      <c r="AO76" s="93" t="str" cm="1">
        <f t="array" ref="AO76">_xlfn.LET(
  _xlpm.w, AO$11,
  _xlpm.r, MATCH(1,('3. Enter Indicator Scores'!$B$10:$B$161=$B76)*('3. Enter Indicator Scores'!$C$10:$C$161=$C76),0),
  _xlpm.c, MATCH(AO$8,'3. Enter Indicator Scores'!$D$8:$CZ$8,0),
  _xlpm.v, IFERROR(INDEX('3. Enter Indicator Scores'!$D$10:$CZ$161,_xlpm.r,_xlpm.c),""),
  IF(OR(_xlpm.w="",_xlpm.v=""),"",_xlpm.v*_xlpm.w)
)</f>
        <v/>
      </c>
      <c r="AP76" s="93" t="str" cm="1">
        <f t="array" ref="AP76">_xlfn.LET(
  _xlpm.w, AP$11,
  _xlpm.r, MATCH(1,('3. Enter Indicator Scores'!$B$10:$B$161=$B76)*('3. Enter Indicator Scores'!$C$10:$C$161=$C76),0),
  _xlpm.c, MATCH(AP$8,'3. Enter Indicator Scores'!$D$8:$CZ$8,0),
  _xlpm.v, IFERROR(INDEX('3. Enter Indicator Scores'!$D$10:$CZ$161,_xlpm.r,_xlpm.c),""),
  IF(OR(_xlpm.w="",_xlpm.v=""),"",_xlpm.v*_xlpm.w)
)</f>
        <v/>
      </c>
      <c r="AQ76" s="93" t="str" cm="1">
        <f t="array" ref="AQ76">_xlfn.LET(
  _xlpm.w, AQ$11,
  _xlpm.r, MATCH(1,('3. Enter Indicator Scores'!$B$10:$B$161=$B76)*('3. Enter Indicator Scores'!$C$10:$C$161=$C76),0),
  _xlpm.c, MATCH(AQ$8,'3. Enter Indicator Scores'!$D$8:$CZ$8,0),
  _xlpm.v, IFERROR(INDEX('3. Enter Indicator Scores'!$D$10:$CZ$161,_xlpm.r,_xlpm.c),""),
  IF(OR(_xlpm.w="",_xlpm.v=""),"",_xlpm.v*_xlpm.w)
)</f>
        <v/>
      </c>
      <c r="AR76" s="93" t="str" cm="1">
        <f t="array" ref="AR76">_xlfn.LET(
  _xlpm.w, AR$11,
  _xlpm.r, MATCH(1,('3. Enter Indicator Scores'!$B$10:$B$161=$B76)*('3. Enter Indicator Scores'!$C$10:$C$161=$C76),0),
  _xlpm.c, MATCH(AR$8,'3. Enter Indicator Scores'!$D$8:$CZ$8,0),
  _xlpm.v, IFERROR(INDEX('3. Enter Indicator Scores'!$D$10:$CZ$161,_xlpm.r,_xlpm.c),""),
  IF(OR(_xlpm.w="",_xlpm.v=""),"",_xlpm.v*_xlpm.w)
)</f>
        <v/>
      </c>
      <c r="AS76" s="93" t="str" cm="1">
        <f t="array" ref="AS76">_xlfn.LET(
  _xlpm.w, AS$11,
  _xlpm.r, MATCH(1,('3. Enter Indicator Scores'!$B$10:$B$161=$B76)*('3. Enter Indicator Scores'!$C$10:$C$161=$C76),0),
  _xlpm.c, MATCH(AS$8,'3. Enter Indicator Scores'!$D$8:$CZ$8,0),
  _xlpm.v, IFERROR(INDEX('3. Enter Indicator Scores'!$D$10:$CZ$161,_xlpm.r,_xlpm.c),""),
  IF(OR(_xlpm.w="",_xlpm.v=""),"",_xlpm.v*_xlpm.w)
)</f>
        <v/>
      </c>
      <c r="AT76" s="93" t="str" cm="1">
        <f t="array" ref="AT76">_xlfn.LET(
  _xlpm.w, AT$11,
  _xlpm.r, MATCH(1,('3. Enter Indicator Scores'!$B$10:$B$161=$B76)*('3. Enter Indicator Scores'!$C$10:$C$161=$C76),0),
  _xlpm.c, MATCH(AT$8,'3. Enter Indicator Scores'!$D$8:$CZ$8,0),
  _xlpm.v, IFERROR(INDEX('3. Enter Indicator Scores'!$D$10:$CZ$161,_xlpm.r,_xlpm.c),""),
  IF(OR(_xlpm.w="",_xlpm.v=""),"",_xlpm.v*_xlpm.w)
)</f>
        <v/>
      </c>
      <c r="AU76" s="93" t="str" cm="1">
        <f t="array" ref="AU76">_xlfn.LET(
  _xlpm.w, AU$11,
  _xlpm.r, MATCH(1,('3. Enter Indicator Scores'!$B$10:$B$161=$B76)*('3. Enter Indicator Scores'!$C$10:$C$161=$C76),0),
  _xlpm.c, MATCH(AU$8,'3. Enter Indicator Scores'!$D$8:$CZ$8,0),
  _xlpm.v, IFERROR(INDEX('3. Enter Indicator Scores'!$D$10:$CZ$161,_xlpm.r,_xlpm.c),""),
  IF(OR(_xlpm.w="",_xlpm.v=""),"",_xlpm.v*_xlpm.w)
)</f>
        <v/>
      </c>
      <c r="AV76" s="93" t="str" cm="1">
        <f t="array" ref="AV76">_xlfn.LET(
  _xlpm.w, AV$11,
  _xlpm.r, MATCH(1,('3. Enter Indicator Scores'!$B$10:$B$161=$B76)*('3. Enter Indicator Scores'!$C$10:$C$161=$C76),0),
  _xlpm.c, MATCH(AV$8,'3. Enter Indicator Scores'!$D$8:$CZ$8,0),
  _xlpm.v, IFERROR(INDEX('3. Enter Indicator Scores'!$D$10:$CZ$161,_xlpm.r,_xlpm.c),""),
  IF(OR(_xlpm.w="",_xlpm.v=""),"",_xlpm.v*_xlpm.w)
)</f>
        <v/>
      </c>
      <c r="AW76" s="93" t="str" cm="1">
        <f t="array" ref="AW76">_xlfn.LET(
  _xlpm.w, AW$11,
  _xlpm.r, MATCH(1,('3. Enter Indicator Scores'!$B$10:$B$161=$B76)*('3. Enter Indicator Scores'!$C$10:$C$161=$C76),0),
  _xlpm.c, MATCH(AW$8,'3. Enter Indicator Scores'!$D$8:$CZ$8,0),
  _xlpm.v, IFERROR(INDEX('3. Enter Indicator Scores'!$D$10:$CZ$161,_xlpm.r,_xlpm.c),""),
  IF(OR(_xlpm.w="",_xlpm.v=""),"",_xlpm.v*_xlpm.w)
)</f>
        <v/>
      </c>
      <c r="AX76" s="93" t="str" cm="1">
        <f t="array" ref="AX76">_xlfn.LET(
  _xlpm.w, AX$11,
  _xlpm.r, MATCH(1,('3. Enter Indicator Scores'!$B$10:$B$161=$B76)*('3. Enter Indicator Scores'!$C$10:$C$161=$C76),0),
  _xlpm.c, MATCH(AX$8,'3. Enter Indicator Scores'!$D$8:$CZ$8,0),
  _xlpm.v, IFERROR(INDEX('3. Enter Indicator Scores'!$D$10:$CZ$161,_xlpm.r,_xlpm.c),""),
  IF(OR(_xlpm.w="",_xlpm.v=""),"",_xlpm.v*_xlpm.w)
)</f>
        <v/>
      </c>
      <c r="AY76" s="93" t="str" cm="1">
        <f t="array" ref="AY76">_xlfn.LET(
  _xlpm.w, AY$11,
  _xlpm.r, MATCH(1,('3. Enter Indicator Scores'!$B$10:$B$161=$B76)*('3. Enter Indicator Scores'!$C$10:$C$161=$C76),0),
  _xlpm.c, MATCH(AY$8,'3. Enter Indicator Scores'!$D$8:$CZ$8,0),
  _xlpm.v, IFERROR(INDEX('3. Enter Indicator Scores'!$D$10:$CZ$161,_xlpm.r,_xlpm.c),""),
  IF(OR(_xlpm.w="",_xlpm.v=""),"",_xlpm.v*_xlpm.w)
)</f>
        <v/>
      </c>
      <c r="AZ76" s="93" t="str" cm="1">
        <f t="array" ref="AZ76">_xlfn.LET(
  _xlpm.w, AZ$11,
  _xlpm.r, MATCH(1,('3. Enter Indicator Scores'!$B$10:$B$161=$B76)*('3. Enter Indicator Scores'!$C$10:$C$161=$C76),0),
  _xlpm.c, MATCH(AZ$8,'3. Enter Indicator Scores'!$D$8:$CZ$8,0),
  _xlpm.v, IFERROR(INDEX('3. Enter Indicator Scores'!$D$10:$CZ$161,_xlpm.r,_xlpm.c),""),
  IF(OR(_xlpm.w="",_xlpm.v=""),"",_xlpm.v*_xlpm.w)
)</f>
        <v/>
      </c>
      <c r="BA76" s="93" t="str" cm="1">
        <f t="array" ref="BA76">_xlfn.LET(
  _xlpm.w, BA$11,
  _xlpm.r, MATCH(1,('3. Enter Indicator Scores'!$B$10:$B$161=$B76)*('3. Enter Indicator Scores'!$C$10:$C$161=$C76),0),
  _xlpm.c, MATCH(BA$8,'3. Enter Indicator Scores'!$D$8:$CZ$8,0),
  _xlpm.v, IFERROR(INDEX('3. Enter Indicator Scores'!$D$10:$CZ$161,_xlpm.r,_xlpm.c),""),
  IF(OR(_xlpm.w="",_xlpm.v=""),"",_xlpm.v*_xlpm.w)
)</f>
        <v/>
      </c>
      <c r="BB76" s="93" t="str" cm="1">
        <f t="array" ref="BB76">_xlfn.LET(
  _xlpm.w, BB$11,
  _xlpm.r, MATCH(1,('3. Enter Indicator Scores'!$B$10:$B$161=$B76)*('3. Enter Indicator Scores'!$C$10:$C$161=$C76),0),
  _xlpm.c, MATCH(BB$8,'3. Enter Indicator Scores'!$D$8:$CZ$8,0),
  _xlpm.v, IFERROR(INDEX('3. Enter Indicator Scores'!$D$10:$CZ$161,_xlpm.r,_xlpm.c),""),
  IF(OR(_xlpm.w="",_xlpm.v=""),"",_xlpm.v*_xlpm.w)
)</f>
        <v/>
      </c>
      <c r="BC76" s="93" t="str" cm="1">
        <f t="array" ref="BC76">_xlfn.LET(
  _xlpm.w, BC$11,
  _xlpm.r, MATCH(1,('3. Enter Indicator Scores'!$B$10:$B$161=$B76)*('3. Enter Indicator Scores'!$C$10:$C$161=$C76),0),
  _xlpm.c, MATCH(BC$8,'3. Enter Indicator Scores'!$D$8:$CZ$8,0),
  _xlpm.v, IFERROR(INDEX('3. Enter Indicator Scores'!$D$10:$CZ$161,_xlpm.r,_xlpm.c),""),
  IF(OR(_xlpm.w="",_xlpm.v=""),"",_xlpm.v*_xlpm.w)
)</f>
        <v/>
      </c>
      <c r="BD76" s="93" t="str" cm="1">
        <f t="array" ref="BD76">_xlfn.LET(
  _xlpm.w, BD$11,
  _xlpm.r, MATCH(1,('3. Enter Indicator Scores'!$B$10:$B$161=$B76)*('3. Enter Indicator Scores'!$C$10:$C$161=$C76),0),
  _xlpm.c, MATCH(BD$8,'3. Enter Indicator Scores'!$D$8:$CZ$8,0),
  _xlpm.v, IFERROR(INDEX('3. Enter Indicator Scores'!$D$10:$CZ$161,_xlpm.r,_xlpm.c),""),
  IF(OR(_xlpm.w="",_xlpm.v=""),"",_xlpm.v*_xlpm.w)
)</f>
        <v/>
      </c>
      <c r="BE76" s="93" t="str" cm="1">
        <f t="array" ref="BE76">_xlfn.LET(
  _xlpm.w, BE$11,
  _xlpm.r, MATCH(1,('3. Enter Indicator Scores'!$B$10:$B$161=$B76)*('3. Enter Indicator Scores'!$C$10:$C$161=$C76),0),
  _xlpm.c, MATCH(BE$8,'3. Enter Indicator Scores'!$D$8:$CZ$8,0),
  _xlpm.v, IFERROR(INDEX('3. Enter Indicator Scores'!$D$10:$CZ$161,_xlpm.r,_xlpm.c),""),
  IF(OR(_xlpm.w="",_xlpm.v=""),"",_xlpm.v*_xlpm.w)
)</f>
        <v/>
      </c>
      <c r="BF76" s="93" t="str" cm="1">
        <f t="array" ref="BF76">_xlfn.LET(
  _xlpm.w, BF$11,
  _xlpm.r, MATCH(1,('3. Enter Indicator Scores'!$B$10:$B$161=$B76)*('3. Enter Indicator Scores'!$C$10:$C$161=$C76),0),
  _xlpm.c, MATCH(BF$8,'3. Enter Indicator Scores'!$D$8:$CZ$8,0),
  _xlpm.v, IFERROR(INDEX('3. Enter Indicator Scores'!$D$10:$CZ$161,_xlpm.r,_xlpm.c),""),
  IF(OR(_xlpm.w="",_xlpm.v=""),"",_xlpm.v*_xlpm.w)
)</f>
        <v/>
      </c>
      <c r="BG76" s="93" t="str" cm="1">
        <f t="array" ref="BG76">_xlfn.LET(
  _xlpm.w, BG$11,
  _xlpm.r, MATCH(1,('3. Enter Indicator Scores'!$B$10:$B$161=$B76)*('3. Enter Indicator Scores'!$C$10:$C$161=$C76),0),
  _xlpm.c, MATCH(BG$8,'3. Enter Indicator Scores'!$D$8:$CZ$8,0),
  _xlpm.v, IFERROR(INDEX('3. Enter Indicator Scores'!$D$10:$CZ$161,_xlpm.r,_xlpm.c),""),
  IF(OR(_xlpm.w="",_xlpm.v=""),"",_xlpm.v*_xlpm.w)
)</f>
        <v/>
      </c>
      <c r="BH76" s="93" t="str" cm="1">
        <f t="array" ref="BH76">_xlfn.LET(
  _xlpm.w, BH$11,
  _xlpm.r, MATCH(1,('3. Enter Indicator Scores'!$B$10:$B$161=$B76)*('3. Enter Indicator Scores'!$C$10:$C$161=$C76),0),
  _xlpm.c, MATCH(BH$8,'3. Enter Indicator Scores'!$D$8:$CZ$8,0),
  _xlpm.v, IFERROR(INDEX('3. Enter Indicator Scores'!$D$10:$CZ$161,_xlpm.r,_xlpm.c),""),
  IF(OR(_xlpm.w="",_xlpm.v=""),"",_xlpm.v*_xlpm.w)
)</f>
        <v/>
      </c>
      <c r="BI76" s="93" t="str" cm="1">
        <f t="array" ref="BI76">_xlfn.LET(
  _xlpm.w, BI$11,
  _xlpm.r, MATCH(1,('3. Enter Indicator Scores'!$B$10:$B$161=$B76)*('3. Enter Indicator Scores'!$C$10:$C$161=$C76),0),
  _xlpm.c, MATCH(BI$8,'3. Enter Indicator Scores'!$D$8:$CZ$8,0),
  _xlpm.v, IFERROR(INDEX('3. Enter Indicator Scores'!$D$10:$CZ$161,_xlpm.r,_xlpm.c),""),
  IF(OR(_xlpm.w="",_xlpm.v=""),"",_xlpm.v*_xlpm.w)
)</f>
        <v/>
      </c>
      <c r="BJ76" s="93" t="str" cm="1">
        <f t="array" ref="BJ76">_xlfn.LET(
  _xlpm.w, BJ$11,
  _xlpm.r, MATCH(1,('3. Enter Indicator Scores'!$B$10:$B$161=$B76)*('3. Enter Indicator Scores'!$C$10:$C$161=$C76),0),
  _xlpm.c, MATCH(BJ$8,'3. Enter Indicator Scores'!$D$8:$CZ$8,0),
  _xlpm.v, IFERROR(INDEX('3. Enter Indicator Scores'!$D$10:$CZ$161,_xlpm.r,_xlpm.c),""),
  IF(OR(_xlpm.w="",_xlpm.v=""),"",_xlpm.v*_xlpm.w)
)</f>
        <v/>
      </c>
      <c r="BK76" s="93" t="str" cm="1">
        <f t="array" ref="BK76">_xlfn.LET(
  _xlpm.w, BK$11,
  _xlpm.r, MATCH(1,('3. Enter Indicator Scores'!$B$10:$B$161=$B76)*('3. Enter Indicator Scores'!$C$10:$C$161=$C76),0),
  _xlpm.c, MATCH(BK$8,'3. Enter Indicator Scores'!$D$8:$CZ$8,0),
  _xlpm.v, IFERROR(INDEX('3. Enter Indicator Scores'!$D$10:$CZ$161,_xlpm.r,_xlpm.c),""),
  IF(OR(_xlpm.w="",_xlpm.v=""),"",_xlpm.v*_xlpm.w)
)</f>
        <v/>
      </c>
      <c r="BL76" s="93" t="str" cm="1">
        <f t="array" ref="BL76">_xlfn.LET(
  _xlpm.w, BL$11,
  _xlpm.r, MATCH(1,('3. Enter Indicator Scores'!$B$10:$B$161=$B76)*('3. Enter Indicator Scores'!$C$10:$C$161=$C76),0),
  _xlpm.c, MATCH(BL$8,'3. Enter Indicator Scores'!$D$8:$CZ$8,0),
  _xlpm.v, IFERROR(INDEX('3. Enter Indicator Scores'!$D$10:$CZ$161,_xlpm.r,_xlpm.c),""),
  IF(OR(_xlpm.w="",_xlpm.v=""),"",_xlpm.v*_xlpm.w)
)</f>
        <v/>
      </c>
      <c r="BM76" s="93" t="str" cm="1">
        <f t="array" ref="BM76">_xlfn.LET(
  _xlpm.w, BM$11,
  _xlpm.r, MATCH(1,('3. Enter Indicator Scores'!$B$10:$B$161=$B76)*('3. Enter Indicator Scores'!$C$10:$C$161=$C76),0),
  _xlpm.c, MATCH(BM$8,'3. Enter Indicator Scores'!$D$8:$CZ$8,0),
  _xlpm.v, IFERROR(INDEX('3. Enter Indicator Scores'!$D$10:$CZ$161,_xlpm.r,_xlpm.c),""),
  IF(OR(_xlpm.w="",_xlpm.v=""),"",_xlpm.v*_xlpm.w)
)</f>
        <v/>
      </c>
      <c r="BN76" s="93" t="str" cm="1">
        <f t="array" ref="BN76">_xlfn.LET(
  _xlpm.w, BN$11,
  _xlpm.r, MATCH(1,('3. Enter Indicator Scores'!$B$10:$B$161=$B76)*('3. Enter Indicator Scores'!$C$10:$C$161=$C76),0),
  _xlpm.c, MATCH(BN$8,'3. Enter Indicator Scores'!$D$8:$CZ$8,0),
  _xlpm.v, IFERROR(INDEX('3. Enter Indicator Scores'!$D$10:$CZ$161,_xlpm.r,_xlpm.c),""),
  IF(OR(_xlpm.w="",_xlpm.v=""),"",_xlpm.v*_xlpm.w)
)</f>
        <v/>
      </c>
      <c r="BO76" s="93" t="str" cm="1">
        <f t="array" ref="BO76">_xlfn.LET(
  _xlpm.w, BO$11,
  _xlpm.r, MATCH(1,('3. Enter Indicator Scores'!$B$10:$B$161=$B76)*('3. Enter Indicator Scores'!$C$10:$C$161=$C76),0),
  _xlpm.c, MATCH(BO$8,'3. Enter Indicator Scores'!$D$8:$CZ$8,0),
  _xlpm.v, IFERROR(INDEX('3. Enter Indicator Scores'!$D$10:$CZ$161,_xlpm.r,_xlpm.c),""),
  IF(OR(_xlpm.w="",_xlpm.v=""),"",_xlpm.v*_xlpm.w)
)</f>
        <v/>
      </c>
      <c r="BP76" s="93" t="str" cm="1">
        <f t="array" ref="BP76">_xlfn.LET(
  _xlpm.w, BP$11,
  _xlpm.r, MATCH(1,('3. Enter Indicator Scores'!$B$10:$B$161=$B76)*('3. Enter Indicator Scores'!$C$10:$C$161=$C76),0),
  _xlpm.c, MATCH(BP$8,'3. Enter Indicator Scores'!$D$8:$CZ$8,0),
  _xlpm.v, IFERROR(INDEX('3. Enter Indicator Scores'!$D$10:$CZ$161,_xlpm.r,_xlpm.c),""),
  IF(OR(_xlpm.w="",_xlpm.v=""),"",_xlpm.v*_xlpm.w)
)</f>
        <v/>
      </c>
      <c r="BQ76" s="93" t="str" cm="1">
        <f t="array" ref="BQ76">_xlfn.LET(
  _xlpm.w, BQ$11,
  _xlpm.r, MATCH(1,('3. Enter Indicator Scores'!$B$10:$B$161=$B76)*('3. Enter Indicator Scores'!$C$10:$C$161=$C76),0),
  _xlpm.c, MATCH(BQ$8,'3. Enter Indicator Scores'!$D$8:$CZ$8,0),
  _xlpm.v, IFERROR(INDEX('3. Enter Indicator Scores'!$D$10:$CZ$161,_xlpm.r,_xlpm.c),""),
  IF(OR(_xlpm.w="",_xlpm.v=""),"",_xlpm.v*_xlpm.w)
)</f>
        <v/>
      </c>
      <c r="BR76" s="93" t="str" cm="1">
        <f t="array" ref="BR76">_xlfn.LET(
  _xlpm.w, BR$11,
  _xlpm.r, MATCH(1,('3. Enter Indicator Scores'!$B$10:$B$161=$B76)*('3. Enter Indicator Scores'!$C$10:$C$161=$C76),0),
  _xlpm.c, MATCH(BR$8,'3. Enter Indicator Scores'!$D$8:$CZ$8,0),
  _xlpm.v, IFERROR(INDEX('3. Enter Indicator Scores'!$D$10:$CZ$161,_xlpm.r,_xlpm.c),""),
  IF(OR(_xlpm.w="",_xlpm.v=""),"",_xlpm.v*_xlpm.w)
)</f>
        <v/>
      </c>
      <c r="BS76" s="93" t="str" cm="1">
        <f t="array" ref="BS76">_xlfn.LET(
  _xlpm.w, BS$11,
  _xlpm.r, MATCH(1,('3. Enter Indicator Scores'!$B$10:$B$161=$B76)*('3. Enter Indicator Scores'!$C$10:$C$161=$C76),0),
  _xlpm.c, MATCH(BS$8,'3. Enter Indicator Scores'!$D$8:$CZ$8,0),
  _xlpm.v, IFERROR(INDEX('3. Enter Indicator Scores'!$D$10:$CZ$161,_xlpm.r,_xlpm.c),""),
  IF(OR(_xlpm.w="",_xlpm.v=""),"",_xlpm.v*_xlpm.w)
)</f>
        <v/>
      </c>
      <c r="BT76" s="93" t="str" cm="1">
        <f t="array" ref="BT76">_xlfn.LET(
  _xlpm.w, BT$11,
  _xlpm.r, MATCH(1,('3. Enter Indicator Scores'!$B$10:$B$161=$B76)*('3. Enter Indicator Scores'!$C$10:$C$161=$C76),0),
  _xlpm.c, MATCH(BT$8,'3. Enter Indicator Scores'!$D$8:$CZ$8,0),
  _xlpm.v, IFERROR(INDEX('3. Enter Indicator Scores'!$D$10:$CZ$161,_xlpm.r,_xlpm.c),""),
  IF(OR(_xlpm.w="",_xlpm.v=""),"",_xlpm.v*_xlpm.w)
)</f>
        <v/>
      </c>
      <c r="BU76" s="93" t="str" cm="1">
        <f t="array" ref="BU76">_xlfn.LET(
  _xlpm.w, BU$11,
  _xlpm.r, MATCH(1,('3. Enter Indicator Scores'!$B$10:$B$161=$B76)*('3. Enter Indicator Scores'!$C$10:$C$161=$C76),0),
  _xlpm.c, MATCH(BU$8,'3. Enter Indicator Scores'!$D$8:$CZ$8,0),
  _xlpm.v, IFERROR(INDEX('3. Enter Indicator Scores'!$D$10:$CZ$161,_xlpm.r,_xlpm.c),""),
  IF(OR(_xlpm.w="",_xlpm.v=""),"",_xlpm.v*_xlpm.w)
)</f>
        <v/>
      </c>
      <c r="BV76" s="93" t="str" cm="1">
        <f t="array" ref="BV76">_xlfn.LET(
  _xlpm.w, BV$11,
  _xlpm.r, MATCH(1,('3. Enter Indicator Scores'!$B$10:$B$161=$B76)*('3. Enter Indicator Scores'!$C$10:$C$161=$C76),0),
  _xlpm.c, MATCH(BV$8,'3. Enter Indicator Scores'!$D$8:$CZ$8,0),
  _xlpm.v, IFERROR(INDEX('3. Enter Indicator Scores'!$D$10:$CZ$161,_xlpm.r,_xlpm.c),""),
  IF(OR(_xlpm.w="",_xlpm.v=""),"",_xlpm.v*_xlpm.w)
)</f>
        <v/>
      </c>
      <c r="BW76" s="93" t="str" cm="1">
        <f t="array" ref="BW76">_xlfn.LET(
  _xlpm.w, BW$11,
  _xlpm.r, MATCH(1,('3. Enter Indicator Scores'!$B$10:$B$161=$B76)*('3. Enter Indicator Scores'!$C$10:$C$161=$C76),0),
  _xlpm.c, MATCH(BW$8,'3. Enter Indicator Scores'!$D$8:$CZ$8,0),
  _xlpm.v, IFERROR(INDEX('3. Enter Indicator Scores'!$D$10:$CZ$161,_xlpm.r,_xlpm.c),""),
  IF(OR(_xlpm.w="",_xlpm.v=""),"",_xlpm.v*_xlpm.w)
)</f>
        <v/>
      </c>
      <c r="BX76" s="93" t="str" cm="1">
        <f t="array" ref="BX76">_xlfn.LET(
  _xlpm.w, BX$11,
  _xlpm.r, MATCH(1,('3. Enter Indicator Scores'!$B$10:$B$161=$B76)*('3. Enter Indicator Scores'!$C$10:$C$161=$C76),0),
  _xlpm.c, MATCH(BX$8,'3. Enter Indicator Scores'!$D$8:$CZ$8,0),
  _xlpm.v, IFERROR(INDEX('3. Enter Indicator Scores'!$D$10:$CZ$161,_xlpm.r,_xlpm.c),""),
  IF(OR(_xlpm.w="",_xlpm.v=""),"",_xlpm.v*_xlpm.w)
)</f>
        <v/>
      </c>
      <c r="BY76" s="93" t="str" cm="1">
        <f t="array" ref="BY76">_xlfn.LET(
  _xlpm.w, BY$11,
  _xlpm.r, MATCH(1,('3. Enter Indicator Scores'!$B$10:$B$161=$B76)*('3. Enter Indicator Scores'!$C$10:$C$161=$C76),0),
  _xlpm.c, MATCH(BY$8,'3. Enter Indicator Scores'!$D$8:$CZ$8,0),
  _xlpm.v, IFERROR(INDEX('3. Enter Indicator Scores'!$D$10:$CZ$161,_xlpm.r,_xlpm.c),""),
  IF(OR(_xlpm.w="",_xlpm.v=""),"",_xlpm.v*_xlpm.w)
)</f>
        <v/>
      </c>
      <c r="BZ76" s="93" t="str" cm="1">
        <f t="array" ref="BZ76">_xlfn.LET(
  _xlpm.w, BZ$11,
  _xlpm.r, MATCH(1,('3. Enter Indicator Scores'!$B$10:$B$161=$B76)*('3. Enter Indicator Scores'!$C$10:$C$161=$C76),0),
  _xlpm.c, MATCH(BZ$8,'3. Enter Indicator Scores'!$D$8:$CZ$8,0),
  _xlpm.v, IFERROR(INDEX('3. Enter Indicator Scores'!$D$10:$CZ$161,_xlpm.r,_xlpm.c),""),
  IF(OR(_xlpm.w="",_xlpm.v=""),"",_xlpm.v*_xlpm.w)
)</f>
        <v/>
      </c>
      <c r="CA76" s="93" t="str" cm="1">
        <f t="array" ref="CA76">_xlfn.LET(
  _xlpm.w, CA$11,
  _xlpm.r, MATCH(1,('3. Enter Indicator Scores'!$B$10:$B$161=$B76)*('3. Enter Indicator Scores'!$C$10:$C$161=$C76),0),
  _xlpm.c, MATCH(CA$8,'3. Enter Indicator Scores'!$D$8:$CZ$8,0),
  _xlpm.v, IFERROR(INDEX('3. Enter Indicator Scores'!$D$10:$CZ$161,_xlpm.r,_xlpm.c),""),
  IF(OR(_xlpm.w="",_xlpm.v=""),"",_xlpm.v*_xlpm.w)
)</f>
        <v/>
      </c>
      <c r="CB76" s="93" t="str" cm="1">
        <f t="array" ref="CB76">_xlfn.LET(
  _xlpm.w, CB$11,
  _xlpm.r, MATCH(1,('3. Enter Indicator Scores'!$B$10:$B$161=$B76)*('3. Enter Indicator Scores'!$C$10:$C$161=$C76),0),
  _xlpm.c, MATCH(CB$8,'3. Enter Indicator Scores'!$D$8:$CZ$8,0),
  _xlpm.v, IFERROR(INDEX('3. Enter Indicator Scores'!$D$10:$CZ$161,_xlpm.r,_xlpm.c),""),
  IF(OR(_xlpm.w="",_xlpm.v=""),"",_xlpm.v*_xlpm.w)
)</f>
        <v/>
      </c>
      <c r="CC76" s="93" t="str" cm="1">
        <f t="array" ref="CC76">_xlfn.LET(
  _xlpm.w, CC$11,
  _xlpm.r, MATCH(1,('3. Enter Indicator Scores'!$B$10:$B$161=$B76)*('3. Enter Indicator Scores'!$C$10:$C$161=$C76),0),
  _xlpm.c, MATCH(CC$8,'3. Enter Indicator Scores'!$D$8:$CZ$8,0),
  _xlpm.v, IFERROR(INDEX('3. Enter Indicator Scores'!$D$10:$CZ$161,_xlpm.r,_xlpm.c),""),
  IF(OR(_xlpm.w="",_xlpm.v=""),"",_xlpm.v*_xlpm.w)
)</f>
        <v/>
      </c>
      <c r="CD76" s="93" t="str" cm="1">
        <f t="array" ref="CD76">_xlfn.LET(
  _xlpm.w, CD$11,
  _xlpm.r, MATCH(1,('3. Enter Indicator Scores'!$B$10:$B$161=$B76)*('3. Enter Indicator Scores'!$C$10:$C$161=$C76),0),
  _xlpm.c, MATCH(CD$8,'3. Enter Indicator Scores'!$D$8:$CZ$8,0),
  _xlpm.v, IFERROR(INDEX('3. Enter Indicator Scores'!$D$10:$CZ$161,_xlpm.r,_xlpm.c),""),
  IF(OR(_xlpm.w="",_xlpm.v=""),"",_xlpm.v*_xlpm.w)
)</f>
        <v/>
      </c>
      <c r="CE76" s="93" t="str" cm="1">
        <f t="array" ref="CE76">_xlfn.LET(
  _xlpm.w, CE$11,
  _xlpm.r, MATCH(1,('3. Enter Indicator Scores'!$B$10:$B$161=$B76)*('3. Enter Indicator Scores'!$C$10:$C$161=$C76),0),
  _xlpm.c, MATCH(CE$8,'3. Enter Indicator Scores'!$D$8:$CZ$8,0),
  _xlpm.v, IFERROR(INDEX('3. Enter Indicator Scores'!$D$10:$CZ$161,_xlpm.r,_xlpm.c),""),
  IF(OR(_xlpm.w="",_xlpm.v=""),"",_xlpm.v*_xlpm.w)
)</f>
        <v/>
      </c>
      <c r="CF76" s="93" t="str" cm="1">
        <f t="array" ref="CF76">_xlfn.LET(
  _xlpm.w, CF$11,
  _xlpm.r, MATCH(1,('3. Enter Indicator Scores'!$B$10:$B$161=$B76)*('3. Enter Indicator Scores'!$C$10:$C$161=$C76),0),
  _xlpm.c, MATCH(CF$8,'3. Enter Indicator Scores'!$D$8:$CZ$8,0),
  _xlpm.v, IFERROR(INDEX('3. Enter Indicator Scores'!$D$10:$CZ$161,_xlpm.r,_xlpm.c),""),
  IF(OR(_xlpm.w="",_xlpm.v=""),"",_xlpm.v*_xlpm.w)
)</f>
        <v/>
      </c>
      <c r="CG76" s="93" t="str" cm="1">
        <f t="array" ref="CG76">_xlfn.LET(
  _xlpm.w, CG$11,
  _xlpm.r, MATCH(1,('3. Enter Indicator Scores'!$B$10:$B$161=$B76)*('3. Enter Indicator Scores'!$C$10:$C$161=$C76),0),
  _xlpm.c, MATCH(CG$8,'3. Enter Indicator Scores'!$D$8:$CZ$8,0),
  _xlpm.v, IFERROR(INDEX('3. Enter Indicator Scores'!$D$10:$CZ$161,_xlpm.r,_xlpm.c),""),
  IF(OR(_xlpm.w="",_xlpm.v=""),"",_xlpm.v*_xlpm.w)
)</f>
        <v/>
      </c>
      <c r="CH76" s="93" t="str" cm="1">
        <f t="array" ref="CH76">_xlfn.LET(
  _xlpm.w, CH$11,
  _xlpm.r, MATCH(1,('3. Enter Indicator Scores'!$B$10:$B$161=$B76)*('3. Enter Indicator Scores'!$C$10:$C$161=$C76),0),
  _xlpm.c, MATCH(CH$8,'3. Enter Indicator Scores'!$D$8:$CZ$8,0),
  _xlpm.v, IFERROR(INDEX('3. Enter Indicator Scores'!$D$10:$CZ$161,_xlpm.r,_xlpm.c),""),
  IF(OR(_xlpm.w="",_xlpm.v=""),"",_xlpm.v*_xlpm.w)
)</f>
        <v/>
      </c>
      <c r="CI76" s="93" t="str" cm="1">
        <f t="array" ref="CI76">_xlfn.LET(
  _xlpm.w, CI$11,
  _xlpm.r, MATCH(1,('3. Enter Indicator Scores'!$B$10:$B$161=$B76)*('3. Enter Indicator Scores'!$C$10:$C$161=$C76),0),
  _xlpm.c, MATCH(CI$8,'3. Enter Indicator Scores'!$D$8:$CZ$8,0),
  _xlpm.v, IFERROR(INDEX('3. Enter Indicator Scores'!$D$10:$CZ$161,_xlpm.r,_xlpm.c),""),
  IF(OR(_xlpm.w="",_xlpm.v=""),"",_xlpm.v*_xlpm.w)
)</f>
        <v/>
      </c>
      <c r="CJ76" s="93" t="str" cm="1">
        <f t="array" ref="CJ76">_xlfn.LET(
  _xlpm.w, CJ$11,
  _xlpm.r, MATCH(1,('3. Enter Indicator Scores'!$B$10:$B$161=$B76)*('3. Enter Indicator Scores'!$C$10:$C$161=$C76),0),
  _xlpm.c, MATCH(CJ$8,'3. Enter Indicator Scores'!$D$8:$CZ$8,0),
  _xlpm.v, IFERROR(INDEX('3. Enter Indicator Scores'!$D$10:$CZ$161,_xlpm.r,_xlpm.c),""),
  IF(OR(_xlpm.w="",_xlpm.v=""),"",_xlpm.v*_xlpm.w)
)</f>
        <v/>
      </c>
      <c r="CK76" s="93" t="str" cm="1">
        <f t="array" ref="CK76">_xlfn.LET(
  _xlpm.w, CK$11,
  _xlpm.r, MATCH(1,('3. Enter Indicator Scores'!$B$10:$B$161=$B76)*('3. Enter Indicator Scores'!$C$10:$C$161=$C76),0),
  _xlpm.c, MATCH(CK$8,'3. Enter Indicator Scores'!$D$8:$CZ$8,0),
  _xlpm.v, IFERROR(INDEX('3. Enter Indicator Scores'!$D$10:$CZ$161,_xlpm.r,_xlpm.c),""),
  IF(OR(_xlpm.w="",_xlpm.v=""),"",_xlpm.v*_xlpm.w)
)</f>
        <v/>
      </c>
      <c r="CL76" s="93" t="str" cm="1">
        <f t="array" ref="CL76">_xlfn.LET(
  _xlpm.w, CL$11,
  _xlpm.r, MATCH(1,('3. Enter Indicator Scores'!$B$10:$B$161=$B76)*('3. Enter Indicator Scores'!$C$10:$C$161=$C76),0),
  _xlpm.c, MATCH(CL$8,'3. Enter Indicator Scores'!$D$8:$CZ$8,0),
  _xlpm.v, IFERROR(INDEX('3. Enter Indicator Scores'!$D$10:$CZ$161,_xlpm.r,_xlpm.c),""),
  IF(OR(_xlpm.w="",_xlpm.v=""),"",_xlpm.v*_xlpm.w)
)</f>
        <v/>
      </c>
      <c r="CM76" s="93" t="str" cm="1">
        <f t="array" ref="CM76">_xlfn.LET(
  _xlpm.w, CM$11,
  _xlpm.r, MATCH(1,('3. Enter Indicator Scores'!$B$10:$B$161=$B76)*('3. Enter Indicator Scores'!$C$10:$C$161=$C76),0),
  _xlpm.c, MATCH(CM$8,'3. Enter Indicator Scores'!$D$8:$CZ$8,0),
  _xlpm.v, IFERROR(INDEX('3. Enter Indicator Scores'!$D$10:$CZ$161,_xlpm.r,_xlpm.c),""),
  IF(OR(_xlpm.w="",_xlpm.v=""),"",_xlpm.v*_xlpm.w)
)</f>
        <v/>
      </c>
      <c r="CN76" s="93" t="str" cm="1">
        <f t="array" ref="CN76">_xlfn.LET(
  _xlpm.w, CN$11,
  _xlpm.r, MATCH(1,('3. Enter Indicator Scores'!$B$10:$B$161=$B76)*('3. Enter Indicator Scores'!$C$10:$C$161=$C76),0),
  _xlpm.c, MATCH(CN$8,'3. Enter Indicator Scores'!$D$8:$CZ$8,0),
  _xlpm.v, IFERROR(INDEX('3. Enter Indicator Scores'!$D$10:$CZ$161,_xlpm.r,_xlpm.c),""),
  IF(OR(_xlpm.w="",_xlpm.v=""),"",_xlpm.v*_xlpm.w)
)</f>
        <v/>
      </c>
      <c r="CO76" s="93" t="str" cm="1">
        <f t="array" ref="CO76">_xlfn.LET(
  _xlpm.w, CO$11,
  _xlpm.r, MATCH(1,('3. Enter Indicator Scores'!$B$10:$B$161=$B76)*('3. Enter Indicator Scores'!$C$10:$C$161=$C76),0),
  _xlpm.c, MATCH(CO$8,'3. Enter Indicator Scores'!$D$8:$CZ$8,0),
  _xlpm.v, IFERROR(INDEX('3. Enter Indicator Scores'!$D$10:$CZ$161,_xlpm.r,_xlpm.c),""),
  IF(OR(_xlpm.w="",_xlpm.v=""),"",_xlpm.v*_xlpm.w)
)</f>
        <v/>
      </c>
      <c r="CP76" s="93" t="str" cm="1">
        <f t="array" ref="CP76">_xlfn.LET(
  _xlpm.w, CP$11,
  _xlpm.r, MATCH(1,('3. Enter Indicator Scores'!$B$10:$B$161=$B76)*('3. Enter Indicator Scores'!$C$10:$C$161=$C76),0),
  _xlpm.c, MATCH(CP$8,'3. Enter Indicator Scores'!$D$8:$CZ$8,0),
  _xlpm.v, IFERROR(INDEX('3. Enter Indicator Scores'!$D$10:$CZ$161,_xlpm.r,_xlpm.c),""),
  IF(OR(_xlpm.w="",_xlpm.v=""),"",_xlpm.v*_xlpm.w)
)</f>
        <v/>
      </c>
      <c r="CQ76" s="93" t="str" cm="1">
        <f t="array" ref="CQ76">_xlfn.LET(
  _xlpm.w, CQ$11,
  _xlpm.r, MATCH(1,('3. Enter Indicator Scores'!$B$10:$B$161=$B76)*('3. Enter Indicator Scores'!$C$10:$C$161=$C76),0),
  _xlpm.c, MATCH(CQ$8,'3. Enter Indicator Scores'!$D$8:$CZ$8,0),
  _xlpm.v, IFERROR(INDEX('3. Enter Indicator Scores'!$D$10:$CZ$161,_xlpm.r,_xlpm.c),""),
  IF(OR(_xlpm.w="",_xlpm.v=""),"",_xlpm.v*_xlpm.w)
)</f>
        <v/>
      </c>
      <c r="CR76" s="93" t="str" cm="1">
        <f t="array" ref="CR76">_xlfn.LET(
  _xlpm.w, CR$11,
  _xlpm.r, MATCH(1,('3. Enter Indicator Scores'!$B$10:$B$161=$B76)*('3. Enter Indicator Scores'!$C$10:$C$161=$C76),0),
  _xlpm.c, MATCH(CR$8,'3. Enter Indicator Scores'!$D$8:$CZ$8,0),
  _xlpm.v, IFERROR(INDEX('3. Enter Indicator Scores'!$D$10:$CZ$161,_xlpm.r,_xlpm.c),""),
  IF(OR(_xlpm.w="",_xlpm.v=""),"",_xlpm.v*_xlpm.w)
)</f>
        <v/>
      </c>
      <c r="CS76" s="93" t="str" cm="1">
        <f t="array" ref="CS76">_xlfn.LET(
  _xlpm.w, CS$11,
  _xlpm.r, MATCH(1,('3. Enter Indicator Scores'!$B$10:$B$161=$B76)*('3. Enter Indicator Scores'!$C$10:$C$161=$C76),0),
  _xlpm.c, MATCH(CS$8,'3. Enter Indicator Scores'!$D$8:$CZ$8,0),
  _xlpm.v, IFERROR(INDEX('3. Enter Indicator Scores'!$D$10:$CZ$161,_xlpm.r,_xlpm.c),""),
  IF(OR(_xlpm.w="",_xlpm.v=""),"",_xlpm.v*_xlpm.w)
)</f>
        <v/>
      </c>
      <c r="CT76" s="93" t="str" cm="1">
        <f t="array" ref="CT76">_xlfn.LET(
  _xlpm.w, CT$11,
  _xlpm.r, MATCH(1,('3. Enter Indicator Scores'!$B$10:$B$161=$B76)*('3. Enter Indicator Scores'!$C$10:$C$161=$C76),0),
  _xlpm.c, MATCH(CT$8,'3. Enter Indicator Scores'!$D$8:$CZ$8,0),
  _xlpm.v, IFERROR(INDEX('3. Enter Indicator Scores'!$D$10:$CZ$161,_xlpm.r,_xlpm.c),""),
  IF(OR(_xlpm.w="",_xlpm.v=""),"",_xlpm.v*_xlpm.w)
)</f>
        <v/>
      </c>
      <c r="CU76" s="93" t="str" cm="1">
        <f t="array" ref="CU76">_xlfn.LET(
  _xlpm.w, CU$11,
  _xlpm.r, MATCH(1,('3. Enter Indicator Scores'!$B$10:$B$161=$B76)*('3. Enter Indicator Scores'!$C$10:$C$161=$C76),0),
  _xlpm.c, MATCH(CU$8,'3. Enter Indicator Scores'!$D$8:$CZ$8,0),
  _xlpm.v, IFERROR(INDEX('3. Enter Indicator Scores'!$D$10:$CZ$161,_xlpm.r,_xlpm.c),""),
  IF(OR(_xlpm.w="",_xlpm.v=""),"",_xlpm.v*_xlpm.w)
)</f>
        <v/>
      </c>
      <c r="CV76" s="93" t="str" cm="1">
        <f t="array" ref="CV76">_xlfn.LET(
  _xlpm.w, CV$11,
  _xlpm.r, MATCH(1,('3. Enter Indicator Scores'!$B$10:$B$161=$B76)*('3. Enter Indicator Scores'!$C$10:$C$161=$C76),0),
  _xlpm.c, MATCH(CV$8,'3. Enter Indicator Scores'!$D$8:$CZ$8,0),
  _xlpm.v, IFERROR(INDEX('3. Enter Indicator Scores'!$D$10:$CZ$161,_xlpm.r,_xlpm.c),""),
  IF(OR(_xlpm.w="",_xlpm.v=""),"",_xlpm.v*_xlpm.w)
)</f>
        <v/>
      </c>
      <c r="CW76" s="93" t="str" cm="1">
        <f t="array" ref="CW76">_xlfn.LET(
  _xlpm.w, CW$11,
  _xlpm.r, MATCH(1,('3. Enter Indicator Scores'!$B$10:$B$161=$B76)*('3. Enter Indicator Scores'!$C$10:$C$161=$C76),0),
  _xlpm.c, MATCH(CW$8,'3. Enter Indicator Scores'!$D$8:$CZ$8,0),
  _xlpm.v, IFERROR(INDEX('3. Enter Indicator Scores'!$D$10:$CZ$161,_xlpm.r,_xlpm.c),""),
  IF(OR(_xlpm.w="",_xlpm.v=""),"",_xlpm.v*_xlpm.w)
)</f>
        <v/>
      </c>
      <c r="CX76" s="93" t="str" cm="1">
        <f t="array" ref="CX76">_xlfn.LET(
  _xlpm.w, CX$11,
  _xlpm.r, MATCH(1,('3. Enter Indicator Scores'!$B$10:$B$161=$B76)*('3. Enter Indicator Scores'!$C$10:$C$161=$C76),0),
  _xlpm.c, MATCH(CX$8,'3. Enter Indicator Scores'!$D$8:$CZ$8,0),
  _xlpm.v, IFERROR(INDEX('3. Enter Indicator Scores'!$D$10:$CZ$161,_xlpm.r,_xlpm.c),""),
  IF(OR(_xlpm.w="",_xlpm.v=""),"",_xlpm.v*_xlpm.w)
)</f>
        <v/>
      </c>
      <c r="CY76" s="93" t="str" cm="1">
        <f t="array" ref="CY76">_xlfn.LET(
  _xlpm.w, CY$11,
  _xlpm.r, MATCH(1,('3. Enter Indicator Scores'!$B$10:$B$161=$B76)*('3. Enter Indicator Scores'!$C$10:$C$161=$C76),0),
  _xlpm.c, MATCH(CY$8,'3. Enter Indicator Scores'!$D$8:$CZ$8,0),
  _xlpm.v, IFERROR(INDEX('3. Enter Indicator Scores'!$D$10:$CZ$161,_xlpm.r,_xlpm.c),""),
  IF(OR(_xlpm.w="",_xlpm.v=""),"",_xlpm.v*_xlpm.w)
)</f>
        <v/>
      </c>
      <c r="CZ76" s="93" t="str" cm="1">
        <f t="array" ref="CZ76">_xlfn.LET(
  _xlpm.w, CZ$11,
  _xlpm.r, MATCH(1,('3. Enter Indicator Scores'!$B$10:$B$161=$B76)*('3. Enter Indicator Scores'!$C$10:$C$161=$C76),0),
  _xlpm.c, MATCH(CZ$8,'3. Enter Indicator Scores'!$D$8:$CZ$8,0),
  _xlpm.v, IFERROR(INDEX('3. Enter Indicator Scores'!$D$10:$CZ$161,_xlpm.r,_xlpm.c),""),
  IF(OR(_xlpm.w="",_xlpm.v=""),"",_xlpm.v*_xlpm.w)
)</f>
        <v/>
      </c>
    </row>
    <row r="77" spans="4:104" x14ac:dyDescent="0.2">
      <c r="D77" s="93" t="str" cm="1">
        <f t="array" ref="D77">_xlfn.LET(
  _xlpm.w, D$11,
  _xlpm.r, MATCH(1,('3. Enter Indicator Scores'!$B$10:$B$161=$B77)*('3. Enter Indicator Scores'!$C$10:$C$161=$C77),0),
  _xlpm.c, MATCH(D$8,'3. Enter Indicator Scores'!$D$8:$CZ$8,0),
  _xlpm.v, IFERROR(INDEX('3. Enter Indicator Scores'!$D$10:$CZ$161,_xlpm.r,_xlpm.c),""),
  IF(OR(_xlpm.w="",_xlpm.v=""),"",_xlpm.v*_xlpm.w)
)</f>
        <v/>
      </c>
      <c r="E77" s="93" t="str" cm="1">
        <f t="array" ref="E77">_xlfn.LET(
  _xlpm.w, E$11,
  _xlpm.r, MATCH(1,('3. Enter Indicator Scores'!$B$10:$B$161=$B77)*('3. Enter Indicator Scores'!$C$10:$C$161=$C77),0),
  _xlpm.c, MATCH(E$8,'3. Enter Indicator Scores'!$D$8:$CZ$8,0),
  _xlpm.v, IFERROR(INDEX('3. Enter Indicator Scores'!$D$10:$CZ$161,_xlpm.r,_xlpm.c),""),
  IF(OR(_xlpm.w="",_xlpm.v=""),"",_xlpm.v*_xlpm.w)
)</f>
        <v/>
      </c>
      <c r="F77" s="93" t="str" cm="1">
        <f t="array" ref="F77">_xlfn.LET(
  _xlpm.w, F$11,
  _xlpm.r, MATCH(1,('3. Enter Indicator Scores'!$B$10:$B$161=$B77)*('3. Enter Indicator Scores'!$C$10:$C$161=$C77),0),
  _xlpm.c, MATCH(F$8,'3. Enter Indicator Scores'!$D$8:$CZ$8,0),
  _xlpm.v, IFERROR(INDEX('3. Enter Indicator Scores'!$D$10:$CZ$161,_xlpm.r,_xlpm.c),""),
  IF(OR(_xlpm.w="",_xlpm.v=""),"",_xlpm.v*_xlpm.w)
)</f>
        <v/>
      </c>
      <c r="G77" s="93" t="str" cm="1">
        <f t="array" ref="G77">_xlfn.LET(
  _xlpm.w, G$11,
  _xlpm.r, MATCH(1,('3. Enter Indicator Scores'!$B$10:$B$161=$B77)*('3. Enter Indicator Scores'!$C$10:$C$161=$C77),0),
  _xlpm.c, MATCH(G$8,'3. Enter Indicator Scores'!$D$8:$CZ$8,0),
  _xlpm.v, IFERROR(INDEX('3. Enter Indicator Scores'!$D$10:$CZ$161,_xlpm.r,_xlpm.c),""),
  IF(OR(_xlpm.w="",_xlpm.v=""),"",_xlpm.v*_xlpm.w)
)</f>
        <v/>
      </c>
      <c r="H77" s="93" t="str" cm="1">
        <f t="array" ref="H77">_xlfn.LET(
  _xlpm.w, H$11,
  _xlpm.r, MATCH(1,('3. Enter Indicator Scores'!$B$10:$B$161=$B77)*('3. Enter Indicator Scores'!$C$10:$C$161=$C77),0),
  _xlpm.c, MATCH(H$8,'3. Enter Indicator Scores'!$D$8:$CZ$8,0),
  _xlpm.v, IFERROR(INDEX('3. Enter Indicator Scores'!$D$10:$CZ$161,_xlpm.r,_xlpm.c),""),
  IF(OR(_xlpm.w="",_xlpm.v=""),"",_xlpm.v*_xlpm.w)
)</f>
        <v/>
      </c>
      <c r="I77" s="93" t="str" cm="1">
        <f t="array" ref="I77">_xlfn.LET(
  _xlpm.w, I$11,
  _xlpm.r, MATCH(1,('3. Enter Indicator Scores'!$B$10:$B$161=$B77)*('3. Enter Indicator Scores'!$C$10:$C$161=$C77),0),
  _xlpm.c, MATCH(I$8,'3. Enter Indicator Scores'!$D$8:$CZ$8,0),
  _xlpm.v, IFERROR(INDEX('3. Enter Indicator Scores'!$D$10:$CZ$161,_xlpm.r,_xlpm.c),""),
  IF(OR(_xlpm.w="",_xlpm.v=""),"",_xlpm.v*_xlpm.w)
)</f>
        <v/>
      </c>
      <c r="J77" s="93" t="str" cm="1">
        <f t="array" ref="J77">_xlfn.LET(
  _xlpm.w, J$11,
  _xlpm.r, MATCH(1,('3. Enter Indicator Scores'!$B$10:$B$161=$B77)*('3. Enter Indicator Scores'!$C$10:$C$161=$C77),0),
  _xlpm.c, MATCH(J$8,'3. Enter Indicator Scores'!$D$8:$CZ$8,0),
  _xlpm.v, IFERROR(INDEX('3. Enter Indicator Scores'!$D$10:$CZ$161,_xlpm.r,_xlpm.c),""),
  IF(OR(_xlpm.w="",_xlpm.v=""),"",_xlpm.v*_xlpm.w)
)</f>
        <v/>
      </c>
      <c r="K77" s="93" t="str" cm="1">
        <f t="array" ref="K77">_xlfn.LET(
  _xlpm.w, K$11,
  _xlpm.r, MATCH(1,('3. Enter Indicator Scores'!$B$10:$B$161=$B77)*('3. Enter Indicator Scores'!$C$10:$C$161=$C77),0),
  _xlpm.c, MATCH(K$8,'3. Enter Indicator Scores'!$D$8:$CZ$8,0),
  _xlpm.v, IFERROR(INDEX('3. Enter Indicator Scores'!$D$10:$CZ$161,_xlpm.r,_xlpm.c),""),
  IF(OR(_xlpm.w="",_xlpm.v=""),"",_xlpm.v*_xlpm.w)
)</f>
        <v/>
      </c>
      <c r="L77" s="93" t="str" cm="1">
        <f t="array" ref="L77">_xlfn.LET(
  _xlpm.w, L$11,
  _xlpm.r, MATCH(1,('3. Enter Indicator Scores'!$B$10:$B$161=$B77)*('3. Enter Indicator Scores'!$C$10:$C$161=$C77),0),
  _xlpm.c, MATCH(L$8,'3. Enter Indicator Scores'!$D$8:$CZ$8,0),
  _xlpm.v, IFERROR(INDEX('3. Enter Indicator Scores'!$D$10:$CZ$161,_xlpm.r,_xlpm.c),""),
  IF(OR(_xlpm.w="",_xlpm.v=""),"",_xlpm.v*_xlpm.w)
)</f>
        <v/>
      </c>
      <c r="M77" s="93" t="str" cm="1">
        <f t="array" ref="M77">_xlfn.LET(
  _xlpm.w, M$11,
  _xlpm.r, MATCH(1,('3. Enter Indicator Scores'!$B$10:$B$161=$B77)*('3. Enter Indicator Scores'!$C$10:$C$161=$C77),0),
  _xlpm.c, MATCH(M$8,'3. Enter Indicator Scores'!$D$8:$CZ$8,0),
  _xlpm.v, IFERROR(INDEX('3. Enter Indicator Scores'!$D$10:$CZ$161,_xlpm.r,_xlpm.c),""),
  IF(OR(_xlpm.w="",_xlpm.v=""),"",_xlpm.v*_xlpm.w)
)</f>
        <v/>
      </c>
      <c r="N77" s="93" t="str" cm="1">
        <f t="array" ref="N77">_xlfn.LET(
  _xlpm.w, N$11,
  _xlpm.r, MATCH(1,('3. Enter Indicator Scores'!$B$10:$B$161=$B77)*('3. Enter Indicator Scores'!$C$10:$C$161=$C77),0),
  _xlpm.c, MATCH(N$8,'3. Enter Indicator Scores'!$D$8:$CZ$8,0),
  _xlpm.v, IFERROR(INDEX('3. Enter Indicator Scores'!$D$10:$CZ$161,_xlpm.r,_xlpm.c),""),
  IF(OR(_xlpm.w="",_xlpm.v=""),"",_xlpm.v*_xlpm.w)
)</f>
        <v/>
      </c>
      <c r="O77" s="93" t="str" cm="1">
        <f t="array" ref="O77">_xlfn.LET(
  _xlpm.w, O$11,
  _xlpm.r, MATCH(1,('3. Enter Indicator Scores'!$B$10:$B$161=$B77)*('3. Enter Indicator Scores'!$C$10:$C$161=$C77),0),
  _xlpm.c, MATCH(O$8,'3. Enter Indicator Scores'!$D$8:$CZ$8,0),
  _xlpm.v, IFERROR(INDEX('3. Enter Indicator Scores'!$D$10:$CZ$161,_xlpm.r,_xlpm.c),""),
  IF(OR(_xlpm.w="",_xlpm.v=""),"",_xlpm.v*_xlpm.w)
)</f>
        <v/>
      </c>
      <c r="P77" s="93" t="str" cm="1">
        <f t="array" ref="P77">_xlfn.LET(
  _xlpm.w, P$11,
  _xlpm.r, MATCH(1,('3. Enter Indicator Scores'!$B$10:$B$161=$B77)*('3. Enter Indicator Scores'!$C$10:$C$161=$C77),0),
  _xlpm.c, MATCH(P$8,'3. Enter Indicator Scores'!$D$8:$CZ$8,0),
  _xlpm.v, IFERROR(INDEX('3. Enter Indicator Scores'!$D$10:$CZ$161,_xlpm.r,_xlpm.c),""),
  IF(OR(_xlpm.w="",_xlpm.v=""),"",_xlpm.v*_xlpm.w)
)</f>
        <v/>
      </c>
      <c r="Q77" s="93" t="str" cm="1">
        <f t="array" ref="Q77">_xlfn.LET(
  _xlpm.w, Q$11,
  _xlpm.r, MATCH(1,('3. Enter Indicator Scores'!$B$10:$B$161=$B77)*('3. Enter Indicator Scores'!$C$10:$C$161=$C77),0),
  _xlpm.c, MATCH(Q$8,'3. Enter Indicator Scores'!$D$8:$CZ$8,0),
  _xlpm.v, IFERROR(INDEX('3. Enter Indicator Scores'!$D$10:$CZ$161,_xlpm.r,_xlpm.c),""),
  IF(OR(_xlpm.w="",_xlpm.v=""),"",_xlpm.v*_xlpm.w)
)</f>
        <v/>
      </c>
      <c r="R77" s="93" t="str" cm="1">
        <f t="array" ref="R77">_xlfn.LET(
  _xlpm.w, R$11,
  _xlpm.r, MATCH(1,('3. Enter Indicator Scores'!$B$10:$B$161=$B77)*('3. Enter Indicator Scores'!$C$10:$C$161=$C77),0),
  _xlpm.c, MATCH(R$8,'3. Enter Indicator Scores'!$D$8:$CZ$8,0),
  _xlpm.v, IFERROR(INDEX('3. Enter Indicator Scores'!$D$10:$CZ$161,_xlpm.r,_xlpm.c),""),
  IF(OR(_xlpm.w="",_xlpm.v=""),"",_xlpm.v*_xlpm.w)
)</f>
        <v/>
      </c>
      <c r="S77" s="93" t="str" cm="1">
        <f t="array" ref="S77">_xlfn.LET(
  _xlpm.w, S$11,
  _xlpm.r, MATCH(1,('3. Enter Indicator Scores'!$B$10:$B$161=$B77)*('3. Enter Indicator Scores'!$C$10:$C$161=$C77),0),
  _xlpm.c, MATCH(S$8,'3. Enter Indicator Scores'!$D$8:$CZ$8,0),
  _xlpm.v, IFERROR(INDEX('3. Enter Indicator Scores'!$D$10:$CZ$161,_xlpm.r,_xlpm.c),""),
  IF(OR(_xlpm.w="",_xlpm.v=""),"",_xlpm.v*_xlpm.w)
)</f>
        <v/>
      </c>
      <c r="T77" s="93" t="str" cm="1">
        <f t="array" ref="T77">_xlfn.LET(
  _xlpm.w, T$11,
  _xlpm.r, MATCH(1,('3. Enter Indicator Scores'!$B$10:$B$161=$B77)*('3. Enter Indicator Scores'!$C$10:$C$161=$C77),0),
  _xlpm.c, MATCH(T$8,'3. Enter Indicator Scores'!$D$8:$CZ$8,0),
  _xlpm.v, IFERROR(INDEX('3. Enter Indicator Scores'!$D$10:$CZ$161,_xlpm.r,_xlpm.c),""),
  IF(OR(_xlpm.w="",_xlpm.v=""),"",_xlpm.v*_xlpm.w)
)</f>
        <v/>
      </c>
      <c r="U77" s="93" t="str" cm="1">
        <f t="array" ref="U77">_xlfn.LET(
  _xlpm.w, U$11,
  _xlpm.r, MATCH(1,('3. Enter Indicator Scores'!$B$10:$B$161=$B77)*('3. Enter Indicator Scores'!$C$10:$C$161=$C77),0),
  _xlpm.c, MATCH(U$8,'3. Enter Indicator Scores'!$D$8:$CZ$8,0),
  _xlpm.v, IFERROR(INDEX('3. Enter Indicator Scores'!$D$10:$CZ$161,_xlpm.r,_xlpm.c),""),
  IF(OR(_xlpm.w="",_xlpm.v=""),"",_xlpm.v*_xlpm.w)
)</f>
        <v/>
      </c>
      <c r="V77" s="93" t="str" cm="1">
        <f t="array" ref="V77">_xlfn.LET(
  _xlpm.w, V$11,
  _xlpm.r, MATCH(1,('3. Enter Indicator Scores'!$B$10:$B$161=$B77)*('3. Enter Indicator Scores'!$C$10:$C$161=$C77),0),
  _xlpm.c, MATCH(V$8,'3. Enter Indicator Scores'!$D$8:$CZ$8,0),
  _xlpm.v, IFERROR(INDEX('3. Enter Indicator Scores'!$D$10:$CZ$161,_xlpm.r,_xlpm.c),""),
  IF(OR(_xlpm.w="",_xlpm.v=""),"",_xlpm.v*_xlpm.w)
)</f>
        <v/>
      </c>
      <c r="W77" s="93" t="str" cm="1">
        <f t="array" ref="W77">_xlfn.LET(
  _xlpm.w, W$11,
  _xlpm.r, MATCH(1,('3. Enter Indicator Scores'!$B$10:$B$161=$B77)*('3. Enter Indicator Scores'!$C$10:$C$161=$C77),0),
  _xlpm.c, MATCH(W$8,'3. Enter Indicator Scores'!$D$8:$CZ$8,0),
  _xlpm.v, IFERROR(INDEX('3. Enter Indicator Scores'!$D$10:$CZ$161,_xlpm.r,_xlpm.c),""),
  IF(OR(_xlpm.w="",_xlpm.v=""),"",_xlpm.v*_xlpm.w)
)</f>
        <v/>
      </c>
      <c r="X77" s="93" t="str" cm="1">
        <f t="array" ref="X77">_xlfn.LET(
  _xlpm.w, X$11,
  _xlpm.r, MATCH(1,('3. Enter Indicator Scores'!$B$10:$B$161=$B77)*('3. Enter Indicator Scores'!$C$10:$C$161=$C77),0),
  _xlpm.c, MATCH(X$8,'3. Enter Indicator Scores'!$D$8:$CZ$8,0),
  _xlpm.v, IFERROR(INDEX('3. Enter Indicator Scores'!$D$10:$CZ$161,_xlpm.r,_xlpm.c),""),
  IF(OR(_xlpm.w="",_xlpm.v=""),"",_xlpm.v*_xlpm.w)
)</f>
        <v/>
      </c>
      <c r="Y77" s="93" t="str" cm="1">
        <f t="array" ref="Y77">_xlfn.LET(
  _xlpm.w, Y$11,
  _xlpm.r, MATCH(1,('3. Enter Indicator Scores'!$B$10:$B$161=$B77)*('3. Enter Indicator Scores'!$C$10:$C$161=$C77),0),
  _xlpm.c, MATCH(Y$8,'3. Enter Indicator Scores'!$D$8:$CZ$8,0),
  _xlpm.v, IFERROR(INDEX('3. Enter Indicator Scores'!$D$10:$CZ$161,_xlpm.r,_xlpm.c),""),
  IF(OR(_xlpm.w="",_xlpm.v=""),"",_xlpm.v*_xlpm.w)
)</f>
        <v/>
      </c>
      <c r="Z77" s="93" t="str" cm="1">
        <f t="array" ref="Z77">_xlfn.LET(
  _xlpm.w, Z$11,
  _xlpm.r, MATCH(1,('3. Enter Indicator Scores'!$B$10:$B$161=$B77)*('3. Enter Indicator Scores'!$C$10:$C$161=$C77),0),
  _xlpm.c, MATCH(Z$8,'3. Enter Indicator Scores'!$D$8:$CZ$8,0),
  _xlpm.v, IFERROR(INDEX('3. Enter Indicator Scores'!$D$10:$CZ$161,_xlpm.r,_xlpm.c),""),
  IF(OR(_xlpm.w="",_xlpm.v=""),"",_xlpm.v*_xlpm.w)
)</f>
        <v/>
      </c>
      <c r="AA77" s="93" t="str" cm="1">
        <f t="array" ref="AA77">_xlfn.LET(
  _xlpm.w, AA$11,
  _xlpm.r, MATCH(1,('3. Enter Indicator Scores'!$B$10:$B$161=$B77)*('3. Enter Indicator Scores'!$C$10:$C$161=$C77),0),
  _xlpm.c, MATCH(AA$8,'3. Enter Indicator Scores'!$D$8:$CZ$8,0),
  _xlpm.v, IFERROR(INDEX('3. Enter Indicator Scores'!$D$10:$CZ$161,_xlpm.r,_xlpm.c),""),
  IF(OR(_xlpm.w="",_xlpm.v=""),"",_xlpm.v*_xlpm.w)
)</f>
        <v/>
      </c>
      <c r="AB77" s="93" t="str" cm="1">
        <f t="array" ref="AB77">_xlfn.LET(
  _xlpm.w, AB$11,
  _xlpm.r, MATCH(1,('3. Enter Indicator Scores'!$B$10:$B$161=$B77)*('3. Enter Indicator Scores'!$C$10:$C$161=$C77),0),
  _xlpm.c, MATCH(AB$8,'3. Enter Indicator Scores'!$D$8:$CZ$8,0),
  _xlpm.v, IFERROR(INDEX('3. Enter Indicator Scores'!$D$10:$CZ$161,_xlpm.r,_xlpm.c),""),
  IF(OR(_xlpm.w="",_xlpm.v=""),"",_xlpm.v*_xlpm.w)
)</f>
        <v/>
      </c>
      <c r="AC77" s="93" t="str" cm="1">
        <f t="array" ref="AC77">_xlfn.LET(
  _xlpm.w, AC$11,
  _xlpm.r, MATCH(1,('3. Enter Indicator Scores'!$B$10:$B$161=$B77)*('3. Enter Indicator Scores'!$C$10:$C$161=$C77),0),
  _xlpm.c, MATCH(AC$8,'3. Enter Indicator Scores'!$D$8:$CZ$8,0),
  _xlpm.v, IFERROR(INDEX('3. Enter Indicator Scores'!$D$10:$CZ$161,_xlpm.r,_xlpm.c),""),
  IF(OR(_xlpm.w="",_xlpm.v=""),"",_xlpm.v*_xlpm.w)
)</f>
        <v/>
      </c>
      <c r="AD77" s="93" t="str" cm="1">
        <f t="array" ref="AD77">_xlfn.LET(
  _xlpm.w, AD$11,
  _xlpm.r, MATCH(1,('3. Enter Indicator Scores'!$B$10:$B$161=$B77)*('3. Enter Indicator Scores'!$C$10:$C$161=$C77),0),
  _xlpm.c, MATCH(AD$8,'3. Enter Indicator Scores'!$D$8:$CZ$8,0),
  _xlpm.v, IFERROR(INDEX('3. Enter Indicator Scores'!$D$10:$CZ$161,_xlpm.r,_xlpm.c),""),
  IF(OR(_xlpm.w="",_xlpm.v=""),"",_xlpm.v*_xlpm.w)
)</f>
        <v/>
      </c>
      <c r="AE77" s="93" t="str" cm="1">
        <f t="array" ref="AE77">_xlfn.LET(
  _xlpm.w, AE$11,
  _xlpm.r, MATCH(1,('3. Enter Indicator Scores'!$B$10:$B$161=$B77)*('3. Enter Indicator Scores'!$C$10:$C$161=$C77),0),
  _xlpm.c, MATCH(AE$8,'3. Enter Indicator Scores'!$D$8:$CZ$8,0),
  _xlpm.v, IFERROR(INDEX('3. Enter Indicator Scores'!$D$10:$CZ$161,_xlpm.r,_xlpm.c),""),
  IF(OR(_xlpm.w="",_xlpm.v=""),"",_xlpm.v*_xlpm.w)
)</f>
        <v/>
      </c>
      <c r="AF77" s="93" t="str" cm="1">
        <f t="array" ref="AF77">_xlfn.LET(
  _xlpm.w, AF$11,
  _xlpm.r, MATCH(1,('3. Enter Indicator Scores'!$B$10:$B$161=$B77)*('3. Enter Indicator Scores'!$C$10:$C$161=$C77),0),
  _xlpm.c, MATCH(AF$8,'3. Enter Indicator Scores'!$D$8:$CZ$8,0),
  _xlpm.v, IFERROR(INDEX('3. Enter Indicator Scores'!$D$10:$CZ$161,_xlpm.r,_xlpm.c),""),
  IF(OR(_xlpm.w="",_xlpm.v=""),"",_xlpm.v*_xlpm.w)
)</f>
        <v/>
      </c>
      <c r="AG77" s="93" t="str" cm="1">
        <f t="array" ref="AG77">_xlfn.LET(
  _xlpm.w, AG$11,
  _xlpm.r, MATCH(1,('3. Enter Indicator Scores'!$B$10:$B$161=$B77)*('3. Enter Indicator Scores'!$C$10:$C$161=$C77),0),
  _xlpm.c, MATCH(AG$8,'3. Enter Indicator Scores'!$D$8:$CZ$8,0),
  _xlpm.v, IFERROR(INDEX('3. Enter Indicator Scores'!$D$10:$CZ$161,_xlpm.r,_xlpm.c),""),
  IF(OR(_xlpm.w="",_xlpm.v=""),"",_xlpm.v*_xlpm.w)
)</f>
        <v/>
      </c>
      <c r="AH77" s="93" t="str" cm="1">
        <f t="array" ref="AH77">_xlfn.LET(
  _xlpm.w, AH$11,
  _xlpm.r, MATCH(1,('3. Enter Indicator Scores'!$B$10:$B$161=$B77)*('3. Enter Indicator Scores'!$C$10:$C$161=$C77),0),
  _xlpm.c, MATCH(AH$8,'3. Enter Indicator Scores'!$D$8:$CZ$8,0),
  _xlpm.v, IFERROR(INDEX('3. Enter Indicator Scores'!$D$10:$CZ$161,_xlpm.r,_xlpm.c),""),
  IF(OR(_xlpm.w="",_xlpm.v=""),"",_xlpm.v*_xlpm.w)
)</f>
        <v/>
      </c>
      <c r="AI77" s="93" t="str" cm="1">
        <f t="array" ref="AI77">_xlfn.LET(
  _xlpm.w, AI$11,
  _xlpm.r, MATCH(1,('3. Enter Indicator Scores'!$B$10:$B$161=$B77)*('3. Enter Indicator Scores'!$C$10:$C$161=$C77),0),
  _xlpm.c, MATCH(AI$8,'3. Enter Indicator Scores'!$D$8:$CZ$8,0),
  _xlpm.v, IFERROR(INDEX('3. Enter Indicator Scores'!$D$10:$CZ$161,_xlpm.r,_xlpm.c),""),
  IF(OR(_xlpm.w="",_xlpm.v=""),"",_xlpm.v*_xlpm.w)
)</f>
        <v/>
      </c>
      <c r="AJ77" s="93" t="str" cm="1">
        <f t="array" ref="AJ77">_xlfn.LET(
  _xlpm.w, AJ$11,
  _xlpm.r, MATCH(1,('3. Enter Indicator Scores'!$B$10:$B$161=$B77)*('3. Enter Indicator Scores'!$C$10:$C$161=$C77),0),
  _xlpm.c, MATCH(AJ$8,'3. Enter Indicator Scores'!$D$8:$CZ$8,0),
  _xlpm.v, IFERROR(INDEX('3. Enter Indicator Scores'!$D$10:$CZ$161,_xlpm.r,_xlpm.c),""),
  IF(OR(_xlpm.w="",_xlpm.v=""),"",_xlpm.v*_xlpm.w)
)</f>
        <v/>
      </c>
      <c r="AK77" s="93" t="str" cm="1">
        <f t="array" ref="AK77">_xlfn.LET(
  _xlpm.w, AK$11,
  _xlpm.r, MATCH(1,('3. Enter Indicator Scores'!$B$10:$B$161=$B77)*('3. Enter Indicator Scores'!$C$10:$C$161=$C77),0),
  _xlpm.c, MATCH(AK$8,'3. Enter Indicator Scores'!$D$8:$CZ$8,0),
  _xlpm.v, IFERROR(INDEX('3. Enter Indicator Scores'!$D$10:$CZ$161,_xlpm.r,_xlpm.c),""),
  IF(OR(_xlpm.w="",_xlpm.v=""),"",_xlpm.v*_xlpm.w)
)</f>
        <v/>
      </c>
      <c r="AL77" s="93" t="str" cm="1">
        <f t="array" ref="AL77">_xlfn.LET(
  _xlpm.w, AL$11,
  _xlpm.r, MATCH(1,('3. Enter Indicator Scores'!$B$10:$B$161=$B77)*('3. Enter Indicator Scores'!$C$10:$C$161=$C77),0),
  _xlpm.c, MATCH(AL$8,'3. Enter Indicator Scores'!$D$8:$CZ$8,0),
  _xlpm.v, IFERROR(INDEX('3. Enter Indicator Scores'!$D$10:$CZ$161,_xlpm.r,_xlpm.c),""),
  IF(OR(_xlpm.w="",_xlpm.v=""),"",_xlpm.v*_xlpm.w)
)</f>
        <v/>
      </c>
      <c r="AM77" s="93" t="str" cm="1">
        <f t="array" ref="AM77">_xlfn.LET(
  _xlpm.w, AM$11,
  _xlpm.r, MATCH(1,('3. Enter Indicator Scores'!$B$10:$B$161=$B77)*('3. Enter Indicator Scores'!$C$10:$C$161=$C77),0),
  _xlpm.c, MATCH(AM$8,'3. Enter Indicator Scores'!$D$8:$CZ$8,0),
  _xlpm.v, IFERROR(INDEX('3. Enter Indicator Scores'!$D$10:$CZ$161,_xlpm.r,_xlpm.c),""),
  IF(OR(_xlpm.w="",_xlpm.v=""),"",_xlpm.v*_xlpm.w)
)</f>
        <v/>
      </c>
      <c r="AN77" s="93" t="str" cm="1">
        <f t="array" ref="AN77">_xlfn.LET(
  _xlpm.w, AN$11,
  _xlpm.r, MATCH(1,('3. Enter Indicator Scores'!$B$10:$B$161=$B77)*('3. Enter Indicator Scores'!$C$10:$C$161=$C77),0),
  _xlpm.c, MATCH(AN$8,'3. Enter Indicator Scores'!$D$8:$CZ$8,0),
  _xlpm.v, IFERROR(INDEX('3. Enter Indicator Scores'!$D$10:$CZ$161,_xlpm.r,_xlpm.c),""),
  IF(OR(_xlpm.w="",_xlpm.v=""),"",_xlpm.v*_xlpm.w)
)</f>
        <v/>
      </c>
      <c r="AO77" s="93" t="str" cm="1">
        <f t="array" ref="AO77">_xlfn.LET(
  _xlpm.w, AO$11,
  _xlpm.r, MATCH(1,('3. Enter Indicator Scores'!$B$10:$B$161=$B77)*('3. Enter Indicator Scores'!$C$10:$C$161=$C77),0),
  _xlpm.c, MATCH(AO$8,'3. Enter Indicator Scores'!$D$8:$CZ$8,0),
  _xlpm.v, IFERROR(INDEX('3. Enter Indicator Scores'!$D$10:$CZ$161,_xlpm.r,_xlpm.c),""),
  IF(OR(_xlpm.w="",_xlpm.v=""),"",_xlpm.v*_xlpm.w)
)</f>
        <v/>
      </c>
      <c r="AP77" s="93" t="str" cm="1">
        <f t="array" ref="AP77">_xlfn.LET(
  _xlpm.w, AP$11,
  _xlpm.r, MATCH(1,('3. Enter Indicator Scores'!$B$10:$B$161=$B77)*('3. Enter Indicator Scores'!$C$10:$C$161=$C77),0),
  _xlpm.c, MATCH(AP$8,'3. Enter Indicator Scores'!$D$8:$CZ$8,0),
  _xlpm.v, IFERROR(INDEX('3. Enter Indicator Scores'!$D$10:$CZ$161,_xlpm.r,_xlpm.c),""),
  IF(OR(_xlpm.w="",_xlpm.v=""),"",_xlpm.v*_xlpm.w)
)</f>
        <v/>
      </c>
      <c r="AQ77" s="93" t="str" cm="1">
        <f t="array" ref="AQ77">_xlfn.LET(
  _xlpm.w, AQ$11,
  _xlpm.r, MATCH(1,('3. Enter Indicator Scores'!$B$10:$B$161=$B77)*('3. Enter Indicator Scores'!$C$10:$C$161=$C77),0),
  _xlpm.c, MATCH(AQ$8,'3. Enter Indicator Scores'!$D$8:$CZ$8,0),
  _xlpm.v, IFERROR(INDEX('3. Enter Indicator Scores'!$D$10:$CZ$161,_xlpm.r,_xlpm.c),""),
  IF(OR(_xlpm.w="",_xlpm.v=""),"",_xlpm.v*_xlpm.w)
)</f>
        <v/>
      </c>
      <c r="AR77" s="93" t="str" cm="1">
        <f t="array" ref="AR77">_xlfn.LET(
  _xlpm.w, AR$11,
  _xlpm.r, MATCH(1,('3. Enter Indicator Scores'!$B$10:$B$161=$B77)*('3. Enter Indicator Scores'!$C$10:$C$161=$C77),0),
  _xlpm.c, MATCH(AR$8,'3. Enter Indicator Scores'!$D$8:$CZ$8,0),
  _xlpm.v, IFERROR(INDEX('3. Enter Indicator Scores'!$D$10:$CZ$161,_xlpm.r,_xlpm.c),""),
  IF(OR(_xlpm.w="",_xlpm.v=""),"",_xlpm.v*_xlpm.w)
)</f>
        <v/>
      </c>
      <c r="AS77" s="93" t="str" cm="1">
        <f t="array" ref="AS77">_xlfn.LET(
  _xlpm.w, AS$11,
  _xlpm.r, MATCH(1,('3. Enter Indicator Scores'!$B$10:$B$161=$B77)*('3. Enter Indicator Scores'!$C$10:$C$161=$C77),0),
  _xlpm.c, MATCH(AS$8,'3. Enter Indicator Scores'!$D$8:$CZ$8,0),
  _xlpm.v, IFERROR(INDEX('3. Enter Indicator Scores'!$D$10:$CZ$161,_xlpm.r,_xlpm.c),""),
  IF(OR(_xlpm.w="",_xlpm.v=""),"",_xlpm.v*_xlpm.w)
)</f>
        <v/>
      </c>
      <c r="AT77" s="93" t="str" cm="1">
        <f t="array" ref="AT77">_xlfn.LET(
  _xlpm.w, AT$11,
  _xlpm.r, MATCH(1,('3. Enter Indicator Scores'!$B$10:$B$161=$B77)*('3. Enter Indicator Scores'!$C$10:$C$161=$C77),0),
  _xlpm.c, MATCH(AT$8,'3. Enter Indicator Scores'!$D$8:$CZ$8,0),
  _xlpm.v, IFERROR(INDEX('3. Enter Indicator Scores'!$D$10:$CZ$161,_xlpm.r,_xlpm.c),""),
  IF(OR(_xlpm.w="",_xlpm.v=""),"",_xlpm.v*_xlpm.w)
)</f>
        <v/>
      </c>
      <c r="AU77" s="93" t="str" cm="1">
        <f t="array" ref="AU77">_xlfn.LET(
  _xlpm.w, AU$11,
  _xlpm.r, MATCH(1,('3. Enter Indicator Scores'!$B$10:$B$161=$B77)*('3. Enter Indicator Scores'!$C$10:$C$161=$C77),0),
  _xlpm.c, MATCH(AU$8,'3. Enter Indicator Scores'!$D$8:$CZ$8,0),
  _xlpm.v, IFERROR(INDEX('3. Enter Indicator Scores'!$D$10:$CZ$161,_xlpm.r,_xlpm.c),""),
  IF(OR(_xlpm.w="",_xlpm.v=""),"",_xlpm.v*_xlpm.w)
)</f>
        <v/>
      </c>
      <c r="AV77" s="93" t="str" cm="1">
        <f t="array" ref="AV77">_xlfn.LET(
  _xlpm.w, AV$11,
  _xlpm.r, MATCH(1,('3. Enter Indicator Scores'!$B$10:$B$161=$B77)*('3. Enter Indicator Scores'!$C$10:$C$161=$C77),0),
  _xlpm.c, MATCH(AV$8,'3. Enter Indicator Scores'!$D$8:$CZ$8,0),
  _xlpm.v, IFERROR(INDEX('3. Enter Indicator Scores'!$D$10:$CZ$161,_xlpm.r,_xlpm.c),""),
  IF(OR(_xlpm.w="",_xlpm.v=""),"",_xlpm.v*_xlpm.w)
)</f>
        <v/>
      </c>
      <c r="AW77" s="93" t="str" cm="1">
        <f t="array" ref="AW77">_xlfn.LET(
  _xlpm.w, AW$11,
  _xlpm.r, MATCH(1,('3. Enter Indicator Scores'!$B$10:$B$161=$B77)*('3. Enter Indicator Scores'!$C$10:$C$161=$C77),0),
  _xlpm.c, MATCH(AW$8,'3. Enter Indicator Scores'!$D$8:$CZ$8,0),
  _xlpm.v, IFERROR(INDEX('3. Enter Indicator Scores'!$D$10:$CZ$161,_xlpm.r,_xlpm.c),""),
  IF(OR(_xlpm.w="",_xlpm.v=""),"",_xlpm.v*_xlpm.w)
)</f>
        <v/>
      </c>
      <c r="AX77" s="93" t="str" cm="1">
        <f t="array" ref="AX77">_xlfn.LET(
  _xlpm.w, AX$11,
  _xlpm.r, MATCH(1,('3. Enter Indicator Scores'!$B$10:$B$161=$B77)*('3. Enter Indicator Scores'!$C$10:$C$161=$C77),0),
  _xlpm.c, MATCH(AX$8,'3. Enter Indicator Scores'!$D$8:$CZ$8,0),
  _xlpm.v, IFERROR(INDEX('3. Enter Indicator Scores'!$D$10:$CZ$161,_xlpm.r,_xlpm.c),""),
  IF(OR(_xlpm.w="",_xlpm.v=""),"",_xlpm.v*_xlpm.w)
)</f>
        <v/>
      </c>
      <c r="AY77" s="93" t="str" cm="1">
        <f t="array" ref="AY77">_xlfn.LET(
  _xlpm.w, AY$11,
  _xlpm.r, MATCH(1,('3. Enter Indicator Scores'!$B$10:$B$161=$B77)*('3. Enter Indicator Scores'!$C$10:$C$161=$C77),0),
  _xlpm.c, MATCH(AY$8,'3. Enter Indicator Scores'!$D$8:$CZ$8,0),
  _xlpm.v, IFERROR(INDEX('3. Enter Indicator Scores'!$D$10:$CZ$161,_xlpm.r,_xlpm.c),""),
  IF(OR(_xlpm.w="",_xlpm.v=""),"",_xlpm.v*_xlpm.w)
)</f>
        <v/>
      </c>
      <c r="AZ77" s="93" t="str" cm="1">
        <f t="array" ref="AZ77">_xlfn.LET(
  _xlpm.w, AZ$11,
  _xlpm.r, MATCH(1,('3. Enter Indicator Scores'!$B$10:$B$161=$B77)*('3. Enter Indicator Scores'!$C$10:$C$161=$C77),0),
  _xlpm.c, MATCH(AZ$8,'3. Enter Indicator Scores'!$D$8:$CZ$8,0),
  _xlpm.v, IFERROR(INDEX('3. Enter Indicator Scores'!$D$10:$CZ$161,_xlpm.r,_xlpm.c),""),
  IF(OR(_xlpm.w="",_xlpm.v=""),"",_xlpm.v*_xlpm.w)
)</f>
        <v/>
      </c>
      <c r="BA77" s="93" t="str" cm="1">
        <f t="array" ref="BA77">_xlfn.LET(
  _xlpm.w, BA$11,
  _xlpm.r, MATCH(1,('3. Enter Indicator Scores'!$B$10:$B$161=$B77)*('3. Enter Indicator Scores'!$C$10:$C$161=$C77),0),
  _xlpm.c, MATCH(BA$8,'3. Enter Indicator Scores'!$D$8:$CZ$8,0),
  _xlpm.v, IFERROR(INDEX('3. Enter Indicator Scores'!$D$10:$CZ$161,_xlpm.r,_xlpm.c),""),
  IF(OR(_xlpm.w="",_xlpm.v=""),"",_xlpm.v*_xlpm.w)
)</f>
        <v/>
      </c>
      <c r="BB77" s="93" t="str" cm="1">
        <f t="array" ref="BB77">_xlfn.LET(
  _xlpm.w, BB$11,
  _xlpm.r, MATCH(1,('3. Enter Indicator Scores'!$B$10:$B$161=$B77)*('3. Enter Indicator Scores'!$C$10:$C$161=$C77),0),
  _xlpm.c, MATCH(BB$8,'3. Enter Indicator Scores'!$D$8:$CZ$8,0),
  _xlpm.v, IFERROR(INDEX('3. Enter Indicator Scores'!$D$10:$CZ$161,_xlpm.r,_xlpm.c),""),
  IF(OR(_xlpm.w="",_xlpm.v=""),"",_xlpm.v*_xlpm.w)
)</f>
        <v/>
      </c>
      <c r="BC77" s="93" t="str" cm="1">
        <f t="array" ref="BC77">_xlfn.LET(
  _xlpm.w, BC$11,
  _xlpm.r, MATCH(1,('3. Enter Indicator Scores'!$B$10:$B$161=$B77)*('3. Enter Indicator Scores'!$C$10:$C$161=$C77),0),
  _xlpm.c, MATCH(BC$8,'3. Enter Indicator Scores'!$D$8:$CZ$8,0),
  _xlpm.v, IFERROR(INDEX('3. Enter Indicator Scores'!$D$10:$CZ$161,_xlpm.r,_xlpm.c),""),
  IF(OR(_xlpm.w="",_xlpm.v=""),"",_xlpm.v*_xlpm.w)
)</f>
        <v/>
      </c>
      <c r="BD77" s="93" t="str" cm="1">
        <f t="array" ref="BD77">_xlfn.LET(
  _xlpm.w, BD$11,
  _xlpm.r, MATCH(1,('3. Enter Indicator Scores'!$B$10:$B$161=$B77)*('3. Enter Indicator Scores'!$C$10:$C$161=$C77),0),
  _xlpm.c, MATCH(BD$8,'3. Enter Indicator Scores'!$D$8:$CZ$8,0),
  _xlpm.v, IFERROR(INDEX('3. Enter Indicator Scores'!$D$10:$CZ$161,_xlpm.r,_xlpm.c),""),
  IF(OR(_xlpm.w="",_xlpm.v=""),"",_xlpm.v*_xlpm.w)
)</f>
        <v/>
      </c>
      <c r="BE77" s="93" t="str" cm="1">
        <f t="array" ref="BE77">_xlfn.LET(
  _xlpm.w, BE$11,
  _xlpm.r, MATCH(1,('3. Enter Indicator Scores'!$B$10:$B$161=$B77)*('3. Enter Indicator Scores'!$C$10:$C$161=$C77),0),
  _xlpm.c, MATCH(BE$8,'3. Enter Indicator Scores'!$D$8:$CZ$8,0),
  _xlpm.v, IFERROR(INDEX('3. Enter Indicator Scores'!$D$10:$CZ$161,_xlpm.r,_xlpm.c),""),
  IF(OR(_xlpm.w="",_xlpm.v=""),"",_xlpm.v*_xlpm.w)
)</f>
        <v/>
      </c>
      <c r="BF77" s="93" t="str" cm="1">
        <f t="array" ref="BF77">_xlfn.LET(
  _xlpm.w, BF$11,
  _xlpm.r, MATCH(1,('3. Enter Indicator Scores'!$B$10:$B$161=$B77)*('3. Enter Indicator Scores'!$C$10:$C$161=$C77),0),
  _xlpm.c, MATCH(BF$8,'3. Enter Indicator Scores'!$D$8:$CZ$8,0),
  _xlpm.v, IFERROR(INDEX('3. Enter Indicator Scores'!$D$10:$CZ$161,_xlpm.r,_xlpm.c),""),
  IF(OR(_xlpm.w="",_xlpm.v=""),"",_xlpm.v*_xlpm.w)
)</f>
        <v/>
      </c>
      <c r="BG77" s="93" t="str" cm="1">
        <f t="array" ref="BG77">_xlfn.LET(
  _xlpm.w, BG$11,
  _xlpm.r, MATCH(1,('3. Enter Indicator Scores'!$B$10:$B$161=$B77)*('3. Enter Indicator Scores'!$C$10:$C$161=$C77),0),
  _xlpm.c, MATCH(BG$8,'3. Enter Indicator Scores'!$D$8:$CZ$8,0),
  _xlpm.v, IFERROR(INDEX('3. Enter Indicator Scores'!$D$10:$CZ$161,_xlpm.r,_xlpm.c),""),
  IF(OR(_xlpm.w="",_xlpm.v=""),"",_xlpm.v*_xlpm.w)
)</f>
        <v/>
      </c>
      <c r="BH77" s="93" t="str" cm="1">
        <f t="array" ref="BH77">_xlfn.LET(
  _xlpm.w, BH$11,
  _xlpm.r, MATCH(1,('3. Enter Indicator Scores'!$B$10:$B$161=$B77)*('3. Enter Indicator Scores'!$C$10:$C$161=$C77),0),
  _xlpm.c, MATCH(BH$8,'3. Enter Indicator Scores'!$D$8:$CZ$8,0),
  _xlpm.v, IFERROR(INDEX('3. Enter Indicator Scores'!$D$10:$CZ$161,_xlpm.r,_xlpm.c),""),
  IF(OR(_xlpm.w="",_xlpm.v=""),"",_xlpm.v*_xlpm.w)
)</f>
        <v/>
      </c>
      <c r="BI77" s="93" t="str" cm="1">
        <f t="array" ref="BI77">_xlfn.LET(
  _xlpm.w, BI$11,
  _xlpm.r, MATCH(1,('3. Enter Indicator Scores'!$B$10:$B$161=$B77)*('3. Enter Indicator Scores'!$C$10:$C$161=$C77),0),
  _xlpm.c, MATCH(BI$8,'3. Enter Indicator Scores'!$D$8:$CZ$8,0),
  _xlpm.v, IFERROR(INDEX('3. Enter Indicator Scores'!$D$10:$CZ$161,_xlpm.r,_xlpm.c),""),
  IF(OR(_xlpm.w="",_xlpm.v=""),"",_xlpm.v*_xlpm.w)
)</f>
        <v/>
      </c>
      <c r="BJ77" s="93" t="str" cm="1">
        <f t="array" ref="BJ77">_xlfn.LET(
  _xlpm.w, BJ$11,
  _xlpm.r, MATCH(1,('3. Enter Indicator Scores'!$B$10:$B$161=$B77)*('3. Enter Indicator Scores'!$C$10:$C$161=$C77),0),
  _xlpm.c, MATCH(BJ$8,'3. Enter Indicator Scores'!$D$8:$CZ$8,0),
  _xlpm.v, IFERROR(INDEX('3. Enter Indicator Scores'!$D$10:$CZ$161,_xlpm.r,_xlpm.c),""),
  IF(OR(_xlpm.w="",_xlpm.v=""),"",_xlpm.v*_xlpm.w)
)</f>
        <v/>
      </c>
      <c r="BK77" s="93" t="str" cm="1">
        <f t="array" ref="BK77">_xlfn.LET(
  _xlpm.w, BK$11,
  _xlpm.r, MATCH(1,('3. Enter Indicator Scores'!$B$10:$B$161=$B77)*('3. Enter Indicator Scores'!$C$10:$C$161=$C77),0),
  _xlpm.c, MATCH(BK$8,'3. Enter Indicator Scores'!$D$8:$CZ$8,0),
  _xlpm.v, IFERROR(INDEX('3. Enter Indicator Scores'!$D$10:$CZ$161,_xlpm.r,_xlpm.c),""),
  IF(OR(_xlpm.w="",_xlpm.v=""),"",_xlpm.v*_xlpm.w)
)</f>
        <v/>
      </c>
      <c r="BL77" s="93" t="str" cm="1">
        <f t="array" ref="BL77">_xlfn.LET(
  _xlpm.w, BL$11,
  _xlpm.r, MATCH(1,('3. Enter Indicator Scores'!$B$10:$B$161=$B77)*('3. Enter Indicator Scores'!$C$10:$C$161=$C77),0),
  _xlpm.c, MATCH(BL$8,'3. Enter Indicator Scores'!$D$8:$CZ$8,0),
  _xlpm.v, IFERROR(INDEX('3. Enter Indicator Scores'!$D$10:$CZ$161,_xlpm.r,_xlpm.c),""),
  IF(OR(_xlpm.w="",_xlpm.v=""),"",_xlpm.v*_xlpm.w)
)</f>
        <v/>
      </c>
      <c r="BM77" s="93" t="str" cm="1">
        <f t="array" ref="BM77">_xlfn.LET(
  _xlpm.w, BM$11,
  _xlpm.r, MATCH(1,('3. Enter Indicator Scores'!$B$10:$B$161=$B77)*('3. Enter Indicator Scores'!$C$10:$C$161=$C77),0),
  _xlpm.c, MATCH(BM$8,'3. Enter Indicator Scores'!$D$8:$CZ$8,0),
  _xlpm.v, IFERROR(INDEX('3. Enter Indicator Scores'!$D$10:$CZ$161,_xlpm.r,_xlpm.c),""),
  IF(OR(_xlpm.w="",_xlpm.v=""),"",_xlpm.v*_xlpm.w)
)</f>
        <v/>
      </c>
      <c r="BN77" s="93" t="str" cm="1">
        <f t="array" ref="BN77">_xlfn.LET(
  _xlpm.w, BN$11,
  _xlpm.r, MATCH(1,('3. Enter Indicator Scores'!$B$10:$B$161=$B77)*('3. Enter Indicator Scores'!$C$10:$C$161=$C77),0),
  _xlpm.c, MATCH(BN$8,'3. Enter Indicator Scores'!$D$8:$CZ$8,0),
  _xlpm.v, IFERROR(INDEX('3. Enter Indicator Scores'!$D$10:$CZ$161,_xlpm.r,_xlpm.c),""),
  IF(OR(_xlpm.w="",_xlpm.v=""),"",_xlpm.v*_xlpm.w)
)</f>
        <v/>
      </c>
      <c r="BO77" s="93" t="str" cm="1">
        <f t="array" ref="BO77">_xlfn.LET(
  _xlpm.w, BO$11,
  _xlpm.r, MATCH(1,('3. Enter Indicator Scores'!$B$10:$B$161=$B77)*('3. Enter Indicator Scores'!$C$10:$C$161=$C77),0),
  _xlpm.c, MATCH(BO$8,'3. Enter Indicator Scores'!$D$8:$CZ$8,0),
  _xlpm.v, IFERROR(INDEX('3. Enter Indicator Scores'!$D$10:$CZ$161,_xlpm.r,_xlpm.c),""),
  IF(OR(_xlpm.w="",_xlpm.v=""),"",_xlpm.v*_xlpm.w)
)</f>
        <v/>
      </c>
      <c r="BP77" s="93" t="str" cm="1">
        <f t="array" ref="BP77">_xlfn.LET(
  _xlpm.w, BP$11,
  _xlpm.r, MATCH(1,('3. Enter Indicator Scores'!$B$10:$B$161=$B77)*('3. Enter Indicator Scores'!$C$10:$C$161=$C77),0),
  _xlpm.c, MATCH(BP$8,'3. Enter Indicator Scores'!$D$8:$CZ$8,0),
  _xlpm.v, IFERROR(INDEX('3. Enter Indicator Scores'!$D$10:$CZ$161,_xlpm.r,_xlpm.c),""),
  IF(OR(_xlpm.w="",_xlpm.v=""),"",_xlpm.v*_xlpm.w)
)</f>
        <v/>
      </c>
      <c r="BQ77" s="93" t="str" cm="1">
        <f t="array" ref="BQ77">_xlfn.LET(
  _xlpm.w, BQ$11,
  _xlpm.r, MATCH(1,('3. Enter Indicator Scores'!$B$10:$B$161=$B77)*('3. Enter Indicator Scores'!$C$10:$C$161=$C77),0),
  _xlpm.c, MATCH(BQ$8,'3. Enter Indicator Scores'!$D$8:$CZ$8,0),
  _xlpm.v, IFERROR(INDEX('3. Enter Indicator Scores'!$D$10:$CZ$161,_xlpm.r,_xlpm.c),""),
  IF(OR(_xlpm.w="",_xlpm.v=""),"",_xlpm.v*_xlpm.w)
)</f>
        <v/>
      </c>
      <c r="BR77" s="93" t="str" cm="1">
        <f t="array" ref="BR77">_xlfn.LET(
  _xlpm.w, BR$11,
  _xlpm.r, MATCH(1,('3. Enter Indicator Scores'!$B$10:$B$161=$B77)*('3. Enter Indicator Scores'!$C$10:$C$161=$C77),0),
  _xlpm.c, MATCH(BR$8,'3. Enter Indicator Scores'!$D$8:$CZ$8,0),
  _xlpm.v, IFERROR(INDEX('3. Enter Indicator Scores'!$D$10:$CZ$161,_xlpm.r,_xlpm.c),""),
  IF(OR(_xlpm.w="",_xlpm.v=""),"",_xlpm.v*_xlpm.w)
)</f>
        <v/>
      </c>
      <c r="BS77" s="93" t="str" cm="1">
        <f t="array" ref="BS77">_xlfn.LET(
  _xlpm.w, BS$11,
  _xlpm.r, MATCH(1,('3. Enter Indicator Scores'!$B$10:$B$161=$B77)*('3. Enter Indicator Scores'!$C$10:$C$161=$C77),0),
  _xlpm.c, MATCH(BS$8,'3. Enter Indicator Scores'!$D$8:$CZ$8,0),
  _xlpm.v, IFERROR(INDEX('3. Enter Indicator Scores'!$D$10:$CZ$161,_xlpm.r,_xlpm.c),""),
  IF(OR(_xlpm.w="",_xlpm.v=""),"",_xlpm.v*_xlpm.w)
)</f>
        <v/>
      </c>
      <c r="BT77" s="93" t="str" cm="1">
        <f t="array" ref="BT77">_xlfn.LET(
  _xlpm.w, BT$11,
  _xlpm.r, MATCH(1,('3. Enter Indicator Scores'!$B$10:$B$161=$B77)*('3. Enter Indicator Scores'!$C$10:$C$161=$C77),0),
  _xlpm.c, MATCH(BT$8,'3. Enter Indicator Scores'!$D$8:$CZ$8,0),
  _xlpm.v, IFERROR(INDEX('3. Enter Indicator Scores'!$D$10:$CZ$161,_xlpm.r,_xlpm.c),""),
  IF(OR(_xlpm.w="",_xlpm.v=""),"",_xlpm.v*_xlpm.w)
)</f>
        <v/>
      </c>
      <c r="BU77" s="93" t="str" cm="1">
        <f t="array" ref="BU77">_xlfn.LET(
  _xlpm.w, BU$11,
  _xlpm.r, MATCH(1,('3. Enter Indicator Scores'!$B$10:$B$161=$B77)*('3. Enter Indicator Scores'!$C$10:$C$161=$C77),0),
  _xlpm.c, MATCH(BU$8,'3. Enter Indicator Scores'!$D$8:$CZ$8,0),
  _xlpm.v, IFERROR(INDEX('3. Enter Indicator Scores'!$D$10:$CZ$161,_xlpm.r,_xlpm.c),""),
  IF(OR(_xlpm.w="",_xlpm.v=""),"",_xlpm.v*_xlpm.w)
)</f>
        <v/>
      </c>
      <c r="BV77" s="93" t="str" cm="1">
        <f t="array" ref="BV77">_xlfn.LET(
  _xlpm.w, BV$11,
  _xlpm.r, MATCH(1,('3. Enter Indicator Scores'!$B$10:$B$161=$B77)*('3. Enter Indicator Scores'!$C$10:$C$161=$C77),0),
  _xlpm.c, MATCH(BV$8,'3. Enter Indicator Scores'!$D$8:$CZ$8,0),
  _xlpm.v, IFERROR(INDEX('3. Enter Indicator Scores'!$D$10:$CZ$161,_xlpm.r,_xlpm.c),""),
  IF(OR(_xlpm.w="",_xlpm.v=""),"",_xlpm.v*_xlpm.w)
)</f>
        <v/>
      </c>
      <c r="BW77" s="93" t="str" cm="1">
        <f t="array" ref="BW77">_xlfn.LET(
  _xlpm.w, BW$11,
  _xlpm.r, MATCH(1,('3. Enter Indicator Scores'!$B$10:$B$161=$B77)*('3. Enter Indicator Scores'!$C$10:$C$161=$C77),0),
  _xlpm.c, MATCH(BW$8,'3. Enter Indicator Scores'!$D$8:$CZ$8,0),
  _xlpm.v, IFERROR(INDEX('3. Enter Indicator Scores'!$D$10:$CZ$161,_xlpm.r,_xlpm.c),""),
  IF(OR(_xlpm.w="",_xlpm.v=""),"",_xlpm.v*_xlpm.w)
)</f>
        <v/>
      </c>
      <c r="BX77" s="93" t="str" cm="1">
        <f t="array" ref="BX77">_xlfn.LET(
  _xlpm.w, BX$11,
  _xlpm.r, MATCH(1,('3. Enter Indicator Scores'!$B$10:$B$161=$B77)*('3. Enter Indicator Scores'!$C$10:$C$161=$C77),0),
  _xlpm.c, MATCH(BX$8,'3. Enter Indicator Scores'!$D$8:$CZ$8,0),
  _xlpm.v, IFERROR(INDEX('3. Enter Indicator Scores'!$D$10:$CZ$161,_xlpm.r,_xlpm.c),""),
  IF(OR(_xlpm.w="",_xlpm.v=""),"",_xlpm.v*_xlpm.w)
)</f>
        <v/>
      </c>
      <c r="BY77" s="93" t="str" cm="1">
        <f t="array" ref="BY77">_xlfn.LET(
  _xlpm.w, BY$11,
  _xlpm.r, MATCH(1,('3. Enter Indicator Scores'!$B$10:$B$161=$B77)*('3. Enter Indicator Scores'!$C$10:$C$161=$C77),0),
  _xlpm.c, MATCH(BY$8,'3. Enter Indicator Scores'!$D$8:$CZ$8,0),
  _xlpm.v, IFERROR(INDEX('3. Enter Indicator Scores'!$D$10:$CZ$161,_xlpm.r,_xlpm.c),""),
  IF(OR(_xlpm.w="",_xlpm.v=""),"",_xlpm.v*_xlpm.w)
)</f>
        <v/>
      </c>
      <c r="BZ77" s="93" t="str" cm="1">
        <f t="array" ref="BZ77">_xlfn.LET(
  _xlpm.w, BZ$11,
  _xlpm.r, MATCH(1,('3. Enter Indicator Scores'!$B$10:$B$161=$B77)*('3. Enter Indicator Scores'!$C$10:$C$161=$C77),0),
  _xlpm.c, MATCH(BZ$8,'3. Enter Indicator Scores'!$D$8:$CZ$8,0),
  _xlpm.v, IFERROR(INDEX('3. Enter Indicator Scores'!$D$10:$CZ$161,_xlpm.r,_xlpm.c),""),
  IF(OR(_xlpm.w="",_xlpm.v=""),"",_xlpm.v*_xlpm.w)
)</f>
        <v/>
      </c>
      <c r="CA77" s="93" t="str" cm="1">
        <f t="array" ref="CA77">_xlfn.LET(
  _xlpm.w, CA$11,
  _xlpm.r, MATCH(1,('3. Enter Indicator Scores'!$B$10:$B$161=$B77)*('3. Enter Indicator Scores'!$C$10:$C$161=$C77),0),
  _xlpm.c, MATCH(CA$8,'3. Enter Indicator Scores'!$D$8:$CZ$8,0),
  _xlpm.v, IFERROR(INDEX('3. Enter Indicator Scores'!$D$10:$CZ$161,_xlpm.r,_xlpm.c),""),
  IF(OR(_xlpm.w="",_xlpm.v=""),"",_xlpm.v*_xlpm.w)
)</f>
        <v/>
      </c>
      <c r="CB77" s="93" t="str" cm="1">
        <f t="array" ref="CB77">_xlfn.LET(
  _xlpm.w, CB$11,
  _xlpm.r, MATCH(1,('3. Enter Indicator Scores'!$B$10:$B$161=$B77)*('3. Enter Indicator Scores'!$C$10:$C$161=$C77),0),
  _xlpm.c, MATCH(CB$8,'3. Enter Indicator Scores'!$D$8:$CZ$8,0),
  _xlpm.v, IFERROR(INDEX('3. Enter Indicator Scores'!$D$10:$CZ$161,_xlpm.r,_xlpm.c),""),
  IF(OR(_xlpm.w="",_xlpm.v=""),"",_xlpm.v*_xlpm.w)
)</f>
        <v/>
      </c>
      <c r="CC77" s="93" t="str" cm="1">
        <f t="array" ref="CC77">_xlfn.LET(
  _xlpm.w, CC$11,
  _xlpm.r, MATCH(1,('3. Enter Indicator Scores'!$B$10:$B$161=$B77)*('3. Enter Indicator Scores'!$C$10:$C$161=$C77),0),
  _xlpm.c, MATCH(CC$8,'3. Enter Indicator Scores'!$D$8:$CZ$8,0),
  _xlpm.v, IFERROR(INDEX('3. Enter Indicator Scores'!$D$10:$CZ$161,_xlpm.r,_xlpm.c),""),
  IF(OR(_xlpm.w="",_xlpm.v=""),"",_xlpm.v*_xlpm.w)
)</f>
        <v/>
      </c>
      <c r="CD77" s="93" t="str" cm="1">
        <f t="array" ref="CD77">_xlfn.LET(
  _xlpm.w, CD$11,
  _xlpm.r, MATCH(1,('3. Enter Indicator Scores'!$B$10:$B$161=$B77)*('3. Enter Indicator Scores'!$C$10:$C$161=$C77),0),
  _xlpm.c, MATCH(CD$8,'3. Enter Indicator Scores'!$D$8:$CZ$8,0),
  _xlpm.v, IFERROR(INDEX('3. Enter Indicator Scores'!$D$10:$CZ$161,_xlpm.r,_xlpm.c),""),
  IF(OR(_xlpm.w="",_xlpm.v=""),"",_xlpm.v*_xlpm.w)
)</f>
        <v/>
      </c>
      <c r="CE77" s="93" t="str" cm="1">
        <f t="array" ref="CE77">_xlfn.LET(
  _xlpm.w, CE$11,
  _xlpm.r, MATCH(1,('3. Enter Indicator Scores'!$B$10:$B$161=$B77)*('3. Enter Indicator Scores'!$C$10:$C$161=$C77),0),
  _xlpm.c, MATCH(CE$8,'3. Enter Indicator Scores'!$D$8:$CZ$8,0),
  _xlpm.v, IFERROR(INDEX('3. Enter Indicator Scores'!$D$10:$CZ$161,_xlpm.r,_xlpm.c),""),
  IF(OR(_xlpm.w="",_xlpm.v=""),"",_xlpm.v*_xlpm.w)
)</f>
        <v/>
      </c>
      <c r="CF77" s="93" t="str" cm="1">
        <f t="array" ref="CF77">_xlfn.LET(
  _xlpm.w, CF$11,
  _xlpm.r, MATCH(1,('3. Enter Indicator Scores'!$B$10:$B$161=$B77)*('3. Enter Indicator Scores'!$C$10:$C$161=$C77),0),
  _xlpm.c, MATCH(CF$8,'3. Enter Indicator Scores'!$D$8:$CZ$8,0),
  _xlpm.v, IFERROR(INDEX('3. Enter Indicator Scores'!$D$10:$CZ$161,_xlpm.r,_xlpm.c),""),
  IF(OR(_xlpm.w="",_xlpm.v=""),"",_xlpm.v*_xlpm.w)
)</f>
        <v/>
      </c>
      <c r="CG77" s="93" t="str" cm="1">
        <f t="array" ref="CG77">_xlfn.LET(
  _xlpm.w, CG$11,
  _xlpm.r, MATCH(1,('3. Enter Indicator Scores'!$B$10:$B$161=$B77)*('3. Enter Indicator Scores'!$C$10:$C$161=$C77),0),
  _xlpm.c, MATCH(CG$8,'3. Enter Indicator Scores'!$D$8:$CZ$8,0),
  _xlpm.v, IFERROR(INDEX('3. Enter Indicator Scores'!$D$10:$CZ$161,_xlpm.r,_xlpm.c),""),
  IF(OR(_xlpm.w="",_xlpm.v=""),"",_xlpm.v*_xlpm.w)
)</f>
        <v/>
      </c>
      <c r="CH77" s="93" t="str" cm="1">
        <f t="array" ref="CH77">_xlfn.LET(
  _xlpm.w, CH$11,
  _xlpm.r, MATCH(1,('3. Enter Indicator Scores'!$B$10:$B$161=$B77)*('3. Enter Indicator Scores'!$C$10:$C$161=$C77),0),
  _xlpm.c, MATCH(CH$8,'3. Enter Indicator Scores'!$D$8:$CZ$8,0),
  _xlpm.v, IFERROR(INDEX('3. Enter Indicator Scores'!$D$10:$CZ$161,_xlpm.r,_xlpm.c),""),
  IF(OR(_xlpm.w="",_xlpm.v=""),"",_xlpm.v*_xlpm.w)
)</f>
        <v/>
      </c>
      <c r="CI77" s="93" t="str" cm="1">
        <f t="array" ref="CI77">_xlfn.LET(
  _xlpm.w, CI$11,
  _xlpm.r, MATCH(1,('3. Enter Indicator Scores'!$B$10:$B$161=$B77)*('3. Enter Indicator Scores'!$C$10:$C$161=$C77),0),
  _xlpm.c, MATCH(CI$8,'3. Enter Indicator Scores'!$D$8:$CZ$8,0),
  _xlpm.v, IFERROR(INDEX('3. Enter Indicator Scores'!$D$10:$CZ$161,_xlpm.r,_xlpm.c),""),
  IF(OR(_xlpm.w="",_xlpm.v=""),"",_xlpm.v*_xlpm.w)
)</f>
        <v/>
      </c>
      <c r="CJ77" s="93" t="str" cm="1">
        <f t="array" ref="CJ77">_xlfn.LET(
  _xlpm.w, CJ$11,
  _xlpm.r, MATCH(1,('3. Enter Indicator Scores'!$B$10:$B$161=$B77)*('3. Enter Indicator Scores'!$C$10:$C$161=$C77),0),
  _xlpm.c, MATCH(CJ$8,'3. Enter Indicator Scores'!$D$8:$CZ$8,0),
  _xlpm.v, IFERROR(INDEX('3. Enter Indicator Scores'!$D$10:$CZ$161,_xlpm.r,_xlpm.c),""),
  IF(OR(_xlpm.w="",_xlpm.v=""),"",_xlpm.v*_xlpm.w)
)</f>
        <v/>
      </c>
      <c r="CK77" s="93" t="str" cm="1">
        <f t="array" ref="CK77">_xlfn.LET(
  _xlpm.w, CK$11,
  _xlpm.r, MATCH(1,('3. Enter Indicator Scores'!$B$10:$B$161=$B77)*('3. Enter Indicator Scores'!$C$10:$C$161=$C77),0),
  _xlpm.c, MATCH(CK$8,'3. Enter Indicator Scores'!$D$8:$CZ$8,0),
  _xlpm.v, IFERROR(INDEX('3. Enter Indicator Scores'!$D$10:$CZ$161,_xlpm.r,_xlpm.c),""),
  IF(OR(_xlpm.w="",_xlpm.v=""),"",_xlpm.v*_xlpm.w)
)</f>
        <v/>
      </c>
      <c r="CL77" s="93" t="str" cm="1">
        <f t="array" ref="CL77">_xlfn.LET(
  _xlpm.w, CL$11,
  _xlpm.r, MATCH(1,('3. Enter Indicator Scores'!$B$10:$B$161=$B77)*('3. Enter Indicator Scores'!$C$10:$C$161=$C77),0),
  _xlpm.c, MATCH(CL$8,'3. Enter Indicator Scores'!$D$8:$CZ$8,0),
  _xlpm.v, IFERROR(INDEX('3. Enter Indicator Scores'!$D$10:$CZ$161,_xlpm.r,_xlpm.c),""),
  IF(OR(_xlpm.w="",_xlpm.v=""),"",_xlpm.v*_xlpm.w)
)</f>
        <v/>
      </c>
      <c r="CM77" s="93" t="str" cm="1">
        <f t="array" ref="CM77">_xlfn.LET(
  _xlpm.w, CM$11,
  _xlpm.r, MATCH(1,('3. Enter Indicator Scores'!$B$10:$B$161=$B77)*('3. Enter Indicator Scores'!$C$10:$C$161=$C77),0),
  _xlpm.c, MATCH(CM$8,'3. Enter Indicator Scores'!$D$8:$CZ$8,0),
  _xlpm.v, IFERROR(INDEX('3. Enter Indicator Scores'!$D$10:$CZ$161,_xlpm.r,_xlpm.c),""),
  IF(OR(_xlpm.w="",_xlpm.v=""),"",_xlpm.v*_xlpm.w)
)</f>
        <v/>
      </c>
      <c r="CN77" s="93" t="str" cm="1">
        <f t="array" ref="CN77">_xlfn.LET(
  _xlpm.w, CN$11,
  _xlpm.r, MATCH(1,('3. Enter Indicator Scores'!$B$10:$B$161=$B77)*('3. Enter Indicator Scores'!$C$10:$C$161=$C77),0),
  _xlpm.c, MATCH(CN$8,'3. Enter Indicator Scores'!$D$8:$CZ$8,0),
  _xlpm.v, IFERROR(INDEX('3. Enter Indicator Scores'!$D$10:$CZ$161,_xlpm.r,_xlpm.c),""),
  IF(OR(_xlpm.w="",_xlpm.v=""),"",_xlpm.v*_xlpm.w)
)</f>
        <v/>
      </c>
      <c r="CO77" s="93" t="str" cm="1">
        <f t="array" ref="CO77">_xlfn.LET(
  _xlpm.w, CO$11,
  _xlpm.r, MATCH(1,('3. Enter Indicator Scores'!$B$10:$B$161=$B77)*('3. Enter Indicator Scores'!$C$10:$C$161=$C77),0),
  _xlpm.c, MATCH(CO$8,'3. Enter Indicator Scores'!$D$8:$CZ$8,0),
  _xlpm.v, IFERROR(INDEX('3. Enter Indicator Scores'!$D$10:$CZ$161,_xlpm.r,_xlpm.c),""),
  IF(OR(_xlpm.w="",_xlpm.v=""),"",_xlpm.v*_xlpm.w)
)</f>
        <v/>
      </c>
      <c r="CP77" s="93" t="str" cm="1">
        <f t="array" ref="CP77">_xlfn.LET(
  _xlpm.w, CP$11,
  _xlpm.r, MATCH(1,('3. Enter Indicator Scores'!$B$10:$B$161=$B77)*('3. Enter Indicator Scores'!$C$10:$C$161=$C77),0),
  _xlpm.c, MATCH(CP$8,'3. Enter Indicator Scores'!$D$8:$CZ$8,0),
  _xlpm.v, IFERROR(INDEX('3. Enter Indicator Scores'!$D$10:$CZ$161,_xlpm.r,_xlpm.c),""),
  IF(OR(_xlpm.w="",_xlpm.v=""),"",_xlpm.v*_xlpm.w)
)</f>
        <v/>
      </c>
      <c r="CQ77" s="93" t="str" cm="1">
        <f t="array" ref="CQ77">_xlfn.LET(
  _xlpm.w, CQ$11,
  _xlpm.r, MATCH(1,('3. Enter Indicator Scores'!$B$10:$B$161=$B77)*('3. Enter Indicator Scores'!$C$10:$C$161=$C77),0),
  _xlpm.c, MATCH(CQ$8,'3. Enter Indicator Scores'!$D$8:$CZ$8,0),
  _xlpm.v, IFERROR(INDEX('3. Enter Indicator Scores'!$D$10:$CZ$161,_xlpm.r,_xlpm.c),""),
  IF(OR(_xlpm.w="",_xlpm.v=""),"",_xlpm.v*_xlpm.w)
)</f>
        <v/>
      </c>
      <c r="CR77" s="93" t="str" cm="1">
        <f t="array" ref="CR77">_xlfn.LET(
  _xlpm.w, CR$11,
  _xlpm.r, MATCH(1,('3. Enter Indicator Scores'!$B$10:$B$161=$B77)*('3. Enter Indicator Scores'!$C$10:$C$161=$C77),0),
  _xlpm.c, MATCH(CR$8,'3. Enter Indicator Scores'!$D$8:$CZ$8,0),
  _xlpm.v, IFERROR(INDEX('3. Enter Indicator Scores'!$D$10:$CZ$161,_xlpm.r,_xlpm.c),""),
  IF(OR(_xlpm.w="",_xlpm.v=""),"",_xlpm.v*_xlpm.w)
)</f>
        <v/>
      </c>
      <c r="CS77" s="93" t="str" cm="1">
        <f t="array" ref="CS77">_xlfn.LET(
  _xlpm.w, CS$11,
  _xlpm.r, MATCH(1,('3. Enter Indicator Scores'!$B$10:$B$161=$B77)*('3. Enter Indicator Scores'!$C$10:$C$161=$C77),0),
  _xlpm.c, MATCH(CS$8,'3. Enter Indicator Scores'!$D$8:$CZ$8,0),
  _xlpm.v, IFERROR(INDEX('3. Enter Indicator Scores'!$D$10:$CZ$161,_xlpm.r,_xlpm.c),""),
  IF(OR(_xlpm.w="",_xlpm.v=""),"",_xlpm.v*_xlpm.w)
)</f>
        <v/>
      </c>
      <c r="CT77" s="93" t="str" cm="1">
        <f t="array" ref="CT77">_xlfn.LET(
  _xlpm.w, CT$11,
  _xlpm.r, MATCH(1,('3. Enter Indicator Scores'!$B$10:$B$161=$B77)*('3. Enter Indicator Scores'!$C$10:$C$161=$C77),0),
  _xlpm.c, MATCH(CT$8,'3. Enter Indicator Scores'!$D$8:$CZ$8,0),
  _xlpm.v, IFERROR(INDEX('3. Enter Indicator Scores'!$D$10:$CZ$161,_xlpm.r,_xlpm.c),""),
  IF(OR(_xlpm.w="",_xlpm.v=""),"",_xlpm.v*_xlpm.w)
)</f>
        <v/>
      </c>
      <c r="CU77" s="93" t="str" cm="1">
        <f t="array" ref="CU77">_xlfn.LET(
  _xlpm.w, CU$11,
  _xlpm.r, MATCH(1,('3. Enter Indicator Scores'!$B$10:$B$161=$B77)*('3. Enter Indicator Scores'!$C$10:$C$161=$C77),0),
  _xlpm.c, MATCH(CU$8,'3. Enter Indicator Scores'!$D$8:$CZ$8,0),
  _xlpm.v, IFERROR(INDEX('3. Enter Indicator Scores'!$D$10:$CZ$161,_xlpm.r,_xlpm.c),""),
  IF(OR(_xlpm.w="",_xlpm.v=""),"",_xlpm.v*_xlpm.w)
)</f>
        <v/>
      </c>
      <c r="CV77" s="93" t="str" cm="1">
        <f t="array" ref="CV77">_xlfn.LET(
  _xlpm.w, CV$11,
  _xlpm.r, MATCH(1,('3. Enter Indicator Scores'!$B$10:$B$161=$B77)*('3. Enter Indicator Scores'!$C$10:$C$161=$C77),0),
  _xlpm.c, MATCH(CV$8,'3. Enter Indicator Scores'!$D$8:$CZ$8,0),
  _xlpm.v, IFERROR(INDEX('3. Enter Indicator Scores'!$D$10:$CZ$161,_xlpm.r,_xlpm.c),""),
  IF(OR(_xlpm.w="",_xlpm.v=""),"",_xlpm.v*_xlpm.w)
)</f>
        <v/>
      </c>
      <c r="CW77" s="93" t="str" cm="1">
        <f t="array" ref="CW77">_xlfn.LET(
  _xlpm.w, CW$11,
  _xlpm.r, MATCH(1,('3. Enter Indicator Scores'!$B$10:$B$161=$B77)*('3. Enter Indicator Scores'!$C$10:$C$161=$C77),0),
  _xlpm.c, MATCH(CW$8,'3. Enter Indicator Scores'!$D$8:$CZ$8,0),
  _xlpm.v, IFERROR(INDEX('3. Enter Indicator Scores'!$D$10:$CZ$161,_xlpm.r,_xlpm.c),""),
  IF(OR(_xlpm.w="",_xlpm.v=""),"",_xlpm.v*_xlpm.w)
)</f>
        <v/>
      </c>
      <c r="CX77" s="93" t="str" cm="1">
        <f t="array" ref="CX77">_xlfn.LET(
  _xlpm.w, CX$11,
  _xlpm.r, MATCH(1,('3. Enter Indicator Scores'!$B$10:$B$161=$B77)*('3. Enter Indicator Scores'!$C$10:$C$161=$C77),0),
  _xlpm.c, MATCH(CX$8,'3. Enter Indicator Scores'!$D$8:$CZ$8,0),
  _xlpm.v, IFERROR(INDEX('3. Enter Indicator Scores'!$D$10:$CZ$161,_xlpm.r,_xlpm.c),""),
  IF(OR(_xlpm.w="",_xlpm.v=""),"",_xlpm.v*_xlpm.w)
)</f>
        <v/>
      </c>
      <c r="CY77" s="93" t="str" cm="1">
        <f t="array" ref="CY77">_xlfn.LET(
  _xlpm.w, CY$11,
  _xlpm.r, MATCH(1,('3. Enter Indicator Scores'!$B$10:$B$161=$B77)*('3. Enter Indicator Scores'!$C$10:$C$161=$C77),0),
  _xlpm.c, MATCH(CY$8,'3. Enter Indicator Scores'!$D$8:$CZ$8,0),
  _xlpm.v, IFERROR(INDEX('3. Enter Indicator Scores'!$D$10:$CZ$161,_xlpm.r,_xlpm.c),""),
  IF(OR(_xlpm.w="",_xlpm.v=""),"",_xlpm.v*_xlpm.w)
)</f>
        <v/>
      </c>
      <c r="CZ77" s="93" t="str" cm="1">
        <f t="array" ref="CZ77">_xlfn.LET(
  _xlpm.w, CZ$11,
  _xlpm.r, MATCH(1,('3. Enter Indicator Scores'!$B$10:$B$161=$B77)*('3. Enter Indicator Scores'!$C$10:$C$161=$C77),0),
  _xlpm.c, MATCH(CZ$8,'3. Enter Indicator Scores'!$D$8:$CZ$8,0),
  _xlpm.v, IFERROR(INDEX('3. Enter Indicator Scores'!$D$10:$CZ$161,_xlpm.r,_xlpm.c),""),
  IF(OR(_xlpm.w="",_xlpm.v=""),"",_xlpm.v*_xlpm.w)
)</f>
        <v/>
      </c>
    </row>
    <row r="78" spans="4:104" x14ac:dyDescent="0.2">
      <c r="D78" s="93" t="str" cm="1">
        <f t="array" ref="D78">_xlfn.LET(
  _xlpm.w, D$11,
  _xlpm.r, MATCH(1,('3. Enter Indicator Scores'!$B$10:$B$161=$B78)*('3. Enter Indicator Scores'!$C$10:$C$161=$C78),0),
  _xlpm.c, MATCH(D$8,'3. Enter Indicator Scores'!$D$8:$CZ$8,0),
  _xlpm.v, IFERROR(INDEX('3. Enter Indicator Scores'!$D$10:$CZ$161,_xlpm.r,_xlpm.c),""),
  IF(OR(_xlpm.w="",_xlpm.v=""),"",_xlpm.v*_xlpm.w)
)</f>
        <v/>
      </c>
      <c r="E78" s="93" t="str" cm="1">
        <f t="array" ref="E78">_xlfn.LET(
  _xlpm.w, E$11,
  _xlpm.r, MATCH(1,('3. Enter Indicator Scores'!$B$10:$B$161=$B78)*('3. Enter Indicator Scores'!$C$10:$C$161=$C78),0),
  _xlpm.c, MATCH(E$8,'3. Enter Indicator Scores'!$D$8:$CZ$8,0),
  _xlpm.v, IFERROR(INDEX('3. Enter Indicator Scores'!$D$10:$CZ$161,_xlpm.r,_xlpm.c),""),
  IF(OR(_xlpm.w="",_xlpm.v=""),"",_xlpm.v*_xlpm.w)
)</f>
        <v/>
      </c>
      <c r="F78" s="93" t="str" cm="1">
        <f t="array" ref="F78">_xlfn.LET(
  _xlpm.w, F$11,
  _xlpm.r, MATCH(1,('3. Enter Indicator Scores'!$B$10:$B$161=$B78)*('3. Enter Indicator Scores'!$C$10:$C$161=$C78),0),
  _xlpm.c, MATCH(F$8,'3. Enter Indicator Scores'!$D$8:$CZ$8,0),
  _xlpm.v, IFERROR(INDEX('3. Enter Indicator Scores'!$D$10:$CZ$161,_xlpm.r,_xlpm.c),""),
  IF(OR(_xlpm.w="",_xlpm.v=""),"",_xlpm.v*_xlpm.w)
)</f>
        <v/>
      </c>
      <c r="G78" s="93" t="str" cm="1">
        <f t="array" ref="G78">_xlfn.LET(
  _xlpm.w, G$11,
  _xlpm.r, MATCH(1,('3. Enter Indicator Scores'!$B$10:$B$161=$B78)*('3. Enter Indicator Scores'!$C$10:$C$161=$C78),0),
  _xlpm.c, MATCH(G$8,'3. Enter Indicator Scores'!$D$8:$CZ$8,0),
  _xlpm.v, IFERROR(INDEX('3. Enter Indicator Scores'!$D$10:$CZ$161,_xlpm.r,_xlpm.c),""),
  IF(OR(_xlpm.w="",_xlpm.v=""),"",_xlpm.v*_xlpm.w)
)</f>
        <v/>
      </c>
      <c r="H78" s="93" t="str" cm="1">
        <f t="array" ref="H78">_xlfn.LET(
  _xlpm.w, H$11,
  _xlpm.r, MATCH(1,('3. Enter Indicator Scores'!$B$10:$B$161=$B78)*('3. Enter Indicator Scores'!$C$10:$C$161=$C78),0),
  _xlpm.c, MATCH(H$8,'3. Enter Indicator Scores'!$D$8:$CZ$8,0),
  _xlpm.v, IFERROR(INDEX('3. Enter Indicator Scores'!$D$10:$CZ$161,_xlpm.r,_xlpm.c),""),
  IF(OR(_xlpm.w="",_xlpm.v=""),"",_xlpm.v*_xlpm.w)
)</f>
        <v/>
      </c>
      <c r="I78" s="93" t="str" cm="1">
        <f t="array" ref="I78">_xlfn.LET(
  _xlpm.w, I$11,
  _xlpm.r, MATCH(1,('3. Enter Indicator Scores'!$B$10:$B$161=$B78)*('3. Enter Indicator Scores'!$C$10:$C$161=$C78),0),
  _xlpm.c, MATCH(I$8,'3. Enter Indicator Scores'!$D$8:$CZ$8,0),
  _xlpm.v, IFERROR(INDEX('3. Enter Indicator Scores'!$D$10:$CZ$161,_xlpm.r,_xlpm.c),""),
  IF(OR(_xlpm.w="",_xlpm.v=""),"",_xlpm.v*_xlpm.w)
)</f>
        <v/>
      </c>
      <c r="J78" s="93" t="str" cm="1">
        <f t="array" ref="J78">_xlfn.LET(
  _xlpm.w, J$11,
  _xlpm.r, MATCH(1,('3. Enter Indicator Scores'!$B$10:$B$161=$B78)*('3. Enter Indicator Scores'!$C$10:$C$161=$C78),0),
  _xlpm.c, MATCH(J$8,'3. Enter Indicator Scores'!$D$8:$CZ$8,0),
  _xlpm.v, IFERROR(INDEX('3. Enter Indicator Scores'!$D$10:$CZ$161,_xlpm.r,_xlpm.c),""),
  IF(OR(_xlpm.w="",_xlpm.v=""),"",_xlpm.v*_xlpm.w)
)</f>
        <v/>
      </c>
      <c r="K78" s="93" t="str" cm="1">
        <f t="array" ref="K78">_xlfn.LET(
  _xlpm.w, K$11,
  _xlpm.r, MATCH(1,('3. Enter Indicator Scores'!$B$10:$B$161=$B78)*('3. Enter Indicator Scores'!$C$10:$C$161=$C78),0),
  _xlpm.c, MATCH(K$8,'3. Enter Indicator Scores'!$D$8:$CZ$8,0),
  _xlpm.v, IFERROR(INDEX('3. Enter Indicator Scores'!$D$10:$CZ$161,_xlpm.r,_xlpm.c),""),
  IF(OR(_xlpm.w="",_xlpm.v=""),"",_xlpm.v*_xlpm.w)
)</f>
        <v/>
      </c>
      <c r="L78" s="93" t="str" cm="1">
        <f t="array" ref="L78">_xlfn.LET(
  _xlpm.w, L$11,
  _xlpm.r, MATCH(1,('3. Enter Indicator Scores'!$B$10:$B$161=$B78)*('3. Enter Indicator Scores'!$C$10:$C$161=$C78),0),
  _xlpm.c, MATCH(L$8,'3. Enter Indicator Scores'!$D$8:$CZ$8,0),
  _xlpm.v, IFERROR(INDEX('3. Enter Indicator Scores'!$D$10:$CZ$161,_xlpm.r,_xlpm.c),""),
  IF(OR(_xlpm.w="",_xlpm.v=""),"",_xlpm.v*_xlpm.w)
)</f>
        <v/>
      </c>
      <c r="M78" s="93" t="str" cm="1">
        <f t="array" ref="M78">_xlfn.LET(
  _xlpm.w, M$11,
  _xlpm.r, MATCH(1,('3. Enter Indicator Scores'!$B$10:$B$161=$B78)*('3. Enter Indicator Scores'!$C$10:$C$161=$C78),0),
  _xlpm.c, MATCH(M$8,'3. Enter Indicator Scores'!$D$8:$CZ$8,0),
  _xlpm.v, IFERROR(INDEX('3. Enter Indicator Scores'!$D$10:$CZ$161,_xlpm.r,_xlpm.c),""),
  IF(OR(_xlpm.w="",_xlpm.v=""),"",_xlpm.v*_xlpm.w)
)</f>
        <v/>
      </c>
      <c r="N78" s="93" t="str" cm="1">
        <f t="array" ref="N78">_xlfn.LET(
  _xlpm.w, N$11,
  _xlpm.r, MATCH(1,('3. Enter Indicator Scores'!$B$10:$B$161=$B78)*('3. Enter Indicator Scores'!$C$10:$C$161=$C78),0),
  _xlpm.c, MATCH(N$8,'3. Enter Indicator Scores'!$D$8:$CZ$8,0),
  _xlpm.v, IFERROR(INDEX('3. Enter Indicator Scores'!$D$10:$CZ$161,_xlpm.r,_xlpm.c),""),
  IF(OR(_xlpm.w="",_xlpm.v=""),"",_xlpm.v*_xlpm.w)
)</f>
        <v/>
      </c>
      <c r="O78" s="93" t="str" cm="1">
        <f t="array" ref="O78">_xlfn.LET(
  _xlpm.w, O$11,
  _xlpm.r, MATCH(1,('3. Enter Indicator Scores'!$B$10:$B$161=$B78)*('3. Enter Indicator Scores'!$C$10:$C$161=$C78),0),
  _xlpm.c, MATCH(O$8,'3. Enter Indicator Scores'!$D$8:$CZ$8,0),
  _xlpm.v, IFERROR(INDEX('3. Enter Indicator Scores'!$D$10:$CZ$161,_xlpm.r,_xlpm.c),""),
  IF(OR(_xlpm.w="",_xlpm.v=""),"",_xlpm.v*_xlpm.w)
)</f>
        <v/>
      </c>
      <c r="P78" s="93" t="str" cm="1">
        <f t="array" ref="P78">_xlfn.LET(
  _xlpm.w, P$11,
  _xlpm.r, MATCH(1,('3. Enter Indicator Scores'!$B$10:$B$161=$B78)*('3. Enter Indicator Scores'!$C$10:$C$161=$C78),0),
  _xlpm.c, MATCH(P$8,'3. Enter Indicator Scores'!$D$8:$CZ$8,0),
  _xlpm.v, IFERROR(INDEX('3. Enter Indicator Scores'!$D$10:$CZ$161,_xlpm.r,_xlpm.c),""),
  IF(OR(_xlpm.w="",_xlpm.v=""),"",_xlpm.v*_xlpm.w)
)</f>
        <v/>
      </c>
      <c r="Q78" s="93" t="str" cm="1">
        <f t="array" ref="Q78">_xlfn.LET(
  _xlpm.w, Q$11,
  _xlpm.r, MATCH(1,('3. Enter Indicator Scores'!$B$10:$B$161=$B78)*('3. Enter Indicator Scores'!$C$10:$C$161=$C78),0),
  _xlpm.c, MATCH(Q$8,'3. Enter Indicator Scores'!$D$8:$CZ$8,0),
  _xlpm.v, IFERROR(INDEX('3. Enter Indicator Scores'!$D$10:$CZ$161,_xlpm.r,_xlpm.c),""),
  IF(OR(_xlpm.w="",_xlpm.v=""),"",_xlpm.v*_xlpm.w)
)</f>
        <v/>
      </c>
      <c r="R78" s="93" t="str" cm="1">
        <f t="array" ref="R78">_xlfn.LET(
  _xlpm.w, R$11,
  _xlpm.r, MATCH(1,('3. Enter Indicator Scores'!$B$10:$B$161=$B78)*('3. Enter Indicator Scores'!$C$10:$C$161=$C78),0),
  _xlpm.c, MATCH(R$8,'3. Enter Indicator Scores'!$D$8:$CZ$8,0),
  _xlpm.v, IFERROR(INDEX('3. Enter Indicator Scores'!$D$10:$CZ$161,_xlpm.r,_xlpm.c),""),
  IF(OR(_xlpm.w="",_xlpm.v=""),"",_xlpm.v*_xlpm.w)
)</f>
        <v/>
      </c>
      <c r="S78" s="93" t="str" cm="1">
        <f t="array" ref="S78">_xlfn.LET(
  _xlpm.w, S$11,
  _xlpm.r, MATCH(1,('3. Enter Indicator Scores'!$B$10:$B$161=$B78)*('3. Enter Indicator Scores'!$C$10:$C$161=$C78),0),
  _xlpm.c, MATCH(S$8,'3. Enter Indicator Scores'!$D$8:$CZ$8,0),
  _xlpm.v, IFERROR(INDEX('3. Enter Indicator Scores'!$D$10:$CZ$161,_xlpm.r,_xlpm.c),""),
  IF(OR(_xlpm.w="",_xlpm.v=""),"",_xlpm.v*_xlpm.w)
)</f>
        <v/>
      </c>
      <c r="T78" s="93" t="str" cm="1">
        <f t="array" ref="T78">_xlfn.LET(
  _xlpm.w, T$11,
  _xlpm.r, MATCH(1,('3. Enter Indicator Scores'!$B$10:$B$161=$B78)*('3. Enter Indicator Scores'!$C$10:$C$161=$C78),0),
  _xlpm.c, MATCH(T$8,'3. Enter Indicator Scores'!$D$8:$CZ$8,0),
  _xlpm.v, IFERROR(INDEX('3. Enter Indicator Scores'!$D$10:$CZ$161,_xlpm.r,_xlpm.c),""),
  IF(OR(_xlpm.w="",_xlpm.v=""),"",_xlpm.v*_xlpm.w)
)</f>
        <v/>
      </c>
      <c r="U78" s="93" t="str" cm="1">
        <f t="array" ref="U78">_xlfn.LET(
  _xlpm.w, U$11,
  _xlpm.r, MATCH(1,('3. Enter Indicator Scores'!$B$10:$B$161=$B78)*('3. Enter Indicator Scores'!$C$10:$C$161=$C78),0),
  _xlpm.c, MATCH(U$8,'3. Enter Indicator Scores'!$D$8:$CZ$8,0),
  _xlpm.v, IFERROR(INDEX('3. Enter Indicator Scores'!$D$10:$CZ$161,_xlpm.r,_xlpm.c),""),
  IF(OR(_xlpm.w="",_xlpm.v=""),"",_xlpm.v*_xlpm.w)
)</f>
        <v/>
      </c>
      <c r="V78" s="93" t="str" cm="1">
        <f t="array" ref="V78">_xlfn.LET(
  _xlpm.w, V$11,
  _xlpm.r, MATCH(1,('3. Enter Indicator Scores'!$B$10:$B$161=$B78)*('3. Enter Indicator Scores'!$C$10:$C$161=$C78),0),
  _xlpm.c, MATCH(V$8,'3. Enter Indicator Scores'!$D$8:$CZ$8,0),
  _xlpm.v, IFERROR(INDEX('3. Enter Indicator Scores'!$D$10:$CZ$161,_xlpm.r,_xlpm.c),""),
  IF(OR(_xlpm.w="",_xlpm.v=""),"",_xlpm.v*_xlpm.w)
)</f>
        <v/>
      </c>
      <c r="W78" s="93" t="str" cm="1">
        <f t="array" ref="W78">_xlfn.LET(
  _xlpm.w, W$11,
  _xlpm.r, MATCH(1,('3. Enter Indicator Scores'!$B$10:$B$161=$B78)*('3. Enter Indicator Scores'!$C$10:$C$161=$C78),0),
  _xlpm.c, MATCH(W$8,'3. Enter Indicator Scores'!$D$8:$CZ$8,0),
  _xlpm.v, IFERROR(INDEX('3. Enter Indicator Scores'!$D$10:$CZ$161,_xlpm.r,_xlpm.c),""),
  IF(OR(_xlpm.w="",_xlpm.v=""),"",_xlpm.v*_xlpm.w)
)</f>
        <v/>
      </c>
      <c r="X78" s="93" t="str" cm="1">
        <f t="array" ref="X78">_xlfn.LET(
  _xlpm.w, X$11,
  _xlpm.r, MATCH(1,('3. Enter Indicator Scores'!$B$10:$B$161=$B78)*('3. Enter Indicator Scores'!$C$10:$C$161=$C78),0),
  _xlpm.c, MATCH(X$8,'3. Enter Indicator Scores'!$D$8:$CZ$8,0),
  _xlpm.v, IFERROR(INDEX('3. Enter Indicator Scores'!$D$10:$CZ$161,_xlpm.r,_xlpm.c),""),
  IF(OR(_xlpm.w="",_xlpm.v=""),"",_xlpm.v*_xlpm.w)
)</f>
        <v/>
      </c>
      <c r="Y78" s="93" t="str" cm="1">
        <f t="array" ref="Y78">_xlfn.LET(
  _xlpm.w, Y$11,
  _xlpm.r, MATCH(1,('3. Enter Indicator Scores'!$B$10:$B$161=$B78)*('3. Enter Indicator Scores'!$C$10:$C$161=$C78),0),
  _xlpm.c, MATCH(Y$8,'3. Enter Indicator Scores'!$D$8:$CZ$8,0),
  _xlpm.v, IFERROR(INDEX('3. Enter Indicator Scores'!$D$10:$CZ$161,_xlpm.r,_xlpm.c),""),
  IF(OR(_xlpm.w="",_xlpm.v=""),"",_xlpm.v*_xlpm.w)
)</f>
        <v/>
      </c>
      <c r="Z78" s="93" t="str" cm="1">
        <f t="array" ref="Z78">_xlfn.LET(
  _xlpm.w, Z$11,
  _xlpm.r, MATCH(1,('3. Enter Indicator Scores'!$B$10:$B$161=$B78)*('3. Enter Indicator Scores'!$C$10:$C$161=$C78),0),
  _xlpm.c, MATCH(Z$8,'3. Enter Indicator Scores'!$D$8:$CZ$8,0),
  _xlpm.v, IFERROR(INDEX('3. Enter Indicator Scores'!$D$10:$CZ$161,_xlpm.r,_xlpm.c),""),
  IF(OR(_xlpm.w="",_xlpm.v=""),"",_xlpm.v*_xlpm.w)
)</f>
        <v/>
      </c>
      <c r="AA78" s="93" t="str" cm="1">
        <f t="array" ref="AA78">_xlfn.LET(
  _xlpm.w, AA$11,
  _xlpm.r, MATCH(1,('3. Enter Indicator Scores'!$B$10:$B$161=$B78)*('3. Enter Indicator Scores'!$C$10:$C$161=$C78),0),
  _xlpm.c, MATCH(AA$8,'3. Enter Indicator Scores'!$D$8:$CZ$8,0),
  _xlpm.v, IFERROR(INDEX('3. Enter Indicator Scores'!$D$10:$CZ$161,_xlpm.r,_xlpm.c),""),
  IF(OR(_xlpm.w="",_xlpm.v=""),"",_xlpm.v*_xlpm.w)
)</f>
        <v/>
      </c>
      <c r="AB78" s="93" t="str" cm="1">
        <f t="array" ref="AB78">_xlfn.LET(
  _xlpm.w, AB$11,
  _xlpm.r, MATCH(1,('3. Enter Indicator Scores'!$B$10:$B$161=$B78)*('3. Enter Indicator Scores'!$C$10:$C$161=$C78),0),
  _xlpm.c, MATCH(AB$8,'3. Enter Indicator Scores'!$D$8:$CZ$8,0),
  _xlpm.v, IFERROR(INDEX('3. Enter Indicator Scores'!$D$10:$CZ$161,_xlpm.r,_xlpm.c),""),
  IF(OR(_xlpm.w="",_xlpm.v=""),"",_xlpm.v*_xlpm.w)
)</f>
        <v/>
      </c>
      <c r="AC78" s="93" t="str" cm="1">
        <f t="array" ref="AC78">_xlfn.LET(
  _xlpm.w, AC$11,
  _xlpm.r, MATCH(1,('3. Enter Indicator Scores'!$B$10:$B$161=$B78)*('3. Enter Indicator Scores'!$C$10:$C$161=$C78),0),
  _xlpm.c, MATCH(AC$8,'3. Enter Indicator Scores'!$D$8:$CZ$8,0),
  _xlpm.v, IFERROR(INDEX('3. Enter Indicator Scores'!$D$10:$CZ$161,_xlpm.r,_xlpm.c),""),
  IF(OR(_xlpm.w="",_xlpm.v=""),"",_xlpm.v*_xlpm.w)
)</f>
        <v/>
      </c>
      <c r="AD78" s="93" t="str" cm="1">
        <f t="array" ref="AD78">_xlfn.LET(
  _xlpm.w, AD$11,
  _xlpm.r, MATCH(1,('3. Enter Indicator Scores'!$B$10:$B$161=$B78)*('3. Enter Indicator Scores'!$C$10:$C$161=$C78),0),
  _xlpm.c, MATCH(AD$8,'3. Enter Indicator Scores'!$D$8:$CZ$8,0),
  _xlpm.v, IFERROR(INDEX('3. Enter Indicator Scores'!$D$10:$CZ$161,_xlpm.r,_xlpm.c),""),
  IF(OR(_xlpm.w="",_xlpm.v=""),"",_xlpm.v*_xlpm.w)
)</f>
        <v/>
      </c>
      <c r="AE78" s="93" t="str" cm="1">
        <f t="array" ref="AE78">_xlfn.LET(
  _xlpm.w, AE$11,
  _xlpm.r, MATCH(1,('3. Enter Indicator Scores'!$B$10:$B$161=$B78)*('3. Enter Indicator Scores'!$C$10:$C$161=$C78),0),
  _xlpm.c, MATCH(AE$8,'3. Enter Indicator Scores'!$D$8:$CZ$8,0),
  _xlpm.v, IFERROR(INDEX('3. Enter Indicator Scores'!$D$10:$CZ$161,_xlpm.r,_xlpm.c),""),
  IF(OR(_xlpm.w="",_xlpm.v=""),"",_xlpm.v*_xlpm.w)
)</f>
        <v/>
      </c>
      <c r="AF78" s="93" t="str" cm="1">
        <f t="array" ref="AF78">_xlfn.LET(
  _xlpm.w, AF$11,
  _xlpm.r, MATCH(1,('3. Enter Indicator Scores'!$B$10:$B$161=$B78)*('3. Enter Indicator Scores'!$C$10:$C$161=$C78),0),
  _xlpm.c, MATCH(AF$8,'3. Enter Indicator Scores'!$D$8:$CZ$8,0),
  _xlpm.v, IFERROR(INDEX('3. Enter Indicator Scores'!$D$10:$CZ$161,_xlpm.r,_xlpm.c),""),
  IF(OR(_xlpm.w="",_xlpm.v=""),"",_xlpm.v*_xlpm.w)
)</f>
        <v/>
      </c>
      <c r="AG78" s="93" t="str" cm="1">
        <f t="array" ref="AG78">_xlfn.LET(
  _xlpm.w, AG$11,
  _xlpm.r, MATCH(1,('3. Enter Indicator Scores'!$B$10:$B$161=$B78)*('3. Enter Indicator Scores'!$C$10:$C$161=$C78),0),
  _xlpm.c, MATCH(AG$8,'3. Enter Indicator Scores'!$D$8:$CZ$8,0),
  _xlpm.v, IFERROR(INDEX('3. Enter Indicator Scores'!$D$10:$CZ$161,_xlpm.r,_xlpm.c),""),
  IF(OR(_xlpm.w="",_xlpm.v=""),"",_xlpm.v*_xlpm.w)
)</f>
        <v/>
      </c>
      <c r="AH78" s="93" t="str" cm="1">
        <f t="array" ref="AH78">_xlfn.LET(
  _xlpm.w, AH$11,
  _xlpm.r, MATCH(1,('3. Enter Indicator Scores'!$B$10:$B$161=$B78)*('3. Enter Indicator Scores'!$C$10:$C$161=$C78),0),
  _xlpm.c, MATCH(AH$8,'3. Enter Indicator Scores'!$D$8:$CZ$8,0),
  _xlpm.v, IFERROR(INDEX('3. Enter Indicator Scores'!$D$10:$CZ$161,_xlpm.r,_xlpm.c),""),
  IF(OR(_xlpm.w="",_xlpm.v=""),"",_xlpm.v*_xlpm.w)
)</f>
        <v/>
      </c>
      <c r="AI78" s="93" t="str" cm="1">
        <f t="array" ref="AI78">_xlfn.LET(
  _xlpm.w, AI$11,
  _xlpm.r, MATCH(1,('3. Enter Indicator Scores'!$B$10:$B$161=$B78)*('3. Enter Indicator Scores'!$C$10:$C$161=$C78),0),
  _xlpm.c, MATCH(AI$8,'3. Enter Indicator Scores'!$D$8:$CZ$8,0),
  _xlpm.v, IFERROR(INDEX('3. Enter Indicator Scores'!$D$10:$CZ$161,_xlpm.r,_xlpm.c),""),
  IF(OR(_xlpm.w="",_xlpm.v=""),"",_xlpm.v*_xlpm.w)
)</f>
        <v/>
      </c>
      <c r="AJ78" s="93" t="str" cm="1">
        <f t="array" ref="AJ78">_xlfn.LET(
  _xlpm.w, AJ$11,
  _xlpm.r, MATCH(1,('3. Enter Indicator Scores'!$B$10:$B$161=$B78)*('3. Enter Indicator Scores'!$C$10:$C$161=$C78),0),
  _xlpm.c, MATCH(AJ$8,'3. Enter Indicator Scores'!$D$8:$CZ$8,0),
  _xlpm.v, IFERROR(INDEX('3. Enter Indicator Scores'!$D$10:$CZ$161,_xlpm.r,_xlpm.c),""),
  IF(OR(_xlpm.w="",_xlpm.v=""),"",_xlpm.v*_xlpm.w)
)</f>
        <v/>
      </c>
      <c r="AK78" s="93" t="str" cm="1">
        <f t="array" ref="AK78">_xlfn.LET(
  _xlpm.w, AK$11,
  _xlpm.r, MATCH(1,('3. Enter Indicator Scores'!$B$10:$B$161=$B78)*('3. Enter Indicator Scores'!$C$10:$C$161=$C78),0),
  _xlpm.c, MATCH(AK$8,'3. Enter Indicator Scores'!$D$8:$CZ$8,0),
  _xlpm.v, IFERROR(INDEX('3. Enter Indicator Scores'!$D$10:$CZ$161,_xlpm.r,_xlpm.c),""),
  IF(OR(_xlpm.w="",_xlpm.v=""),"",_xlpm.v*_xlpm.w)
)</f>
        <v/>
      </c>
      <c r="AL78" s="93" t="str" cm="1">
        <f t="array" ref="AL78">_xlfn.LET(
  _xlpm.w, AL$11,
  _xlpm.r, MATCH(1,('3. Enter Indicator Scores'!$B$10:$B$161=$B78)*('3. Enter Indicator Scores'!$C$10:$C$161=$C78),0),
  _xlpm.c, MATCH(AL$8,'3. Enter Indicator Scores'!$D$8:$CZ$8,0),
  _xlpm.v, IFERROR(INDEX('3. Enter Indicator Scores'!$D$10:$CZ$161,_xlpm.r,_xlpm.c),""),
  IF(OR(_xlpm.w="",_xlpm.v=""),"",_xlpm.v*_xlpm.w)
)</f>
        <v/>
      </c>
      <c r="AM78" s="93" t="str" cm="1">
        <f t="array" ref="AM78">_xlfn.LET(
  _xlpm.w, AM$11,
  _xlpm.r, MATCH(1,('3. Enter Indicator Scores'!$B$10:$B$161=$B78)*('3. Enter Indicator Scores'!$C$10:$C$161=$C78),0),
  _xlpm.c, MATCH(AM$8,'3. Enter Indicator Scores'!$D$8:$CZ$8,0),
  _xlpm.v, IFERROR(INDEX('3. Enter Indicator Scores'!$D$10:$CZ$161,_xlpm.r,_xlpm.c),""),
  IF(OR(_xlpm.w="",_xlpm.v=""),"",_xlpm.v*_xlpm.w)
)</f>
        <v/>
      </c>
      <c r="AN78" s="93" t="str" cm="1">
        <f t="array" ref="AN78">_xlfn.LET(
  _xlpm.w, AN$11,
  _xlpm.r, MATCH(1,('3. Enter Indicator Scores'!$B$10:$B$161=$B78)*('3. Enter Indicator Scores'!$C$10:$C$161=$C78),0),
  _xlpm.c, MATCH(AN$8,'3. Enter Indicator Scores'!$D$8:$CZ$8,0),
  _xlpm.v, IFERROR(INDEX('3. Enter Indicator Scores'!$D$10:$CZ$161,_xlpm.r,_xlpm.c),""),
  IF(OR(_xlpm.w="",_xlpm.v=""),"",_xlpm.v*_xlpm.w)
)</f>
        <v/>
      </c>
      <c r="AO78" s="93" t="str" cm="1">
        <f t="array" ref="AO78">_xlfn.LET(
  _xlpm.w, AO$11,
  _xlpm.r, MATCH(1,('3. Enter Indicator Scores'!$B$10:$B$161=$B78)*('3. Enter Indicator Scores'!$C$10:$C$161=$C78),0),
  _xlpm.c, MATCH(AO$8,'3. Enter Indicator Scores'!$D$8:$CZ$8,0),
  _xlpm.v, IFERROR(INDEX('3. Enter Indicator Scores'!$D$10:$CZ$161,_xlpm.r,_xlpm.c),""),
  IF(OR(_xlpm.w="",_xlpm.v=""),"",_xlpm.v*_xlpm.w)
)</f>
        <v/>
      </c>
      <c r="AP78" s="93" t="str" cm="1">
        <f t="array" ref="AP78">_xlfn.LET(
  _xlpm.w, AP$11,
  _xlpm.r, MATCH(1,('3. Enter Indicator Scores'!$B$10:$B$161=$B78)*('3. Enter Indicator Scores'!$C$10:$C$161=$C78),0),
  _xlpm.c, MATCH(AP$8,'3. Enter Indicator Scores'!$D$8:$CZ$8,0),
  _xlpm.v, IFERROR(INDEX('3. Enter Indicator Scores'!$D$10:$CZ$161,_xlpm.r,_xlpm.c),""),
  IF(OR(_xlpm.w="",_xlpm.v=""),"",_xlpm.v*_xlpm.w)
)</f>
        <v/>
      </c>
      <c r="AQ78" s="93" t="str" cm="1">
        <f t="array" ref="AQ78">_xlfn.LET(
  _xlpm.w, AQ$11,
  _xlpm.r, MATCH(1,('3. Enter Indicator Scores'!$B$10:$B$161=$B78)*('3. Enter Indicator Scores'!$C$10:$C$161=$C78),0),
  _xlpm.c, MATCH(AQ$8,'3. Enter Indicator Scores'!$D$8:$CZ$8,0),
  _xlpm.v, IFERROR(INDEX('3. Enter Indicator Scores'!$D$10:$CZ$161,_xlpm.r,_xlpm.c),""),
  IF(OR(_xlpm.w="",_xlpm.v=""),"",_xlpm.v*_xlpm.w)
)</f>
        <v/>
      </c>
      <c r="AR78" s="93" t="str" cm="1">
        <f t="array" ref="AR78">_xlfn.LET(
  _xlpm.w, AR$11,
  _xlpm.r, MATCH(1,('3. Enter Indicator Scores'!$B$10:$B$161=$B78)*('3. Enter Indicator Scores'!$C$10:$C$161=$C78),0),
  _xlpm.c, MATCH(AR$8,'3. Enter Indicator Scores'!$D$8:$CZ$8,0),
  _xlpm.v, IFERROR(INDEX('3. Enter Indicator Scores'!$D$10:$CZ$161,_xlpm.r,_xlpm.c),""),
  IF(OR(_xlpm.w="",_xlpm.v=""),"",_xlpm.v*_xlpm.w)
)</f>
        <v/>
      </c>
      <c r="AS78" s="93" t="str" cm="1">
        <f t="array" ref="AS78">_xlfn.LET(
  _xlpm.w, AS$11,
  _xlpm.r, MATCH(1,('3. Enter Indicator Scores'!$B$10:$B$161=$B78)*('3. Enter Indicator Scores'!$C$10:$C$161=$C78),0),
  _xlpm.c, MATCH(AS$8,'3. Enter Indicator Scores'!$D$8:$CZ$8,0),
  _xlpm.v, IFERROR(INDEX('3. Enter Indicator Scores'!$D$10:$CZ$161,_xlpm.r,_xlpm.c),""),
  IF(OR(_xlpm.w="",_xlpm.v=""),"",_xlpm.v*_xlpm.w)
)</f>
        <v/>
      </c>
      <c r="AT78" s="93" t="str" cm="1">
        <f t="array" ref="AT78">_xlfn.LET(
  _xlpm.w, AT$11,
  _xlpm.r, MATCH(1,('3. Enter Indicator Scores'!$B$10:$B$161=$B78)*('3. Enter Indicator Scores'!$C$10:$C$161=$C78),0),
  _xlpm.c, MATCH(AT$8,'3. Enter Indicator Scores'!$D$8:$CZ$8,0),
  _xlpm.v, IFERROR(INDEX('3. Enter Indicator Scores'!$D$10:$CZ$161,_xlpm.r,_xlpm.c),""),
  IF(OR(_xlpm.w="",_xlpm.v=""),"",_xlpm.v*_xlpm.w)
)</f>
        <v/>
      </c>
      <c r="AU78" s="93" t="str" cm="1">
        <f t="array" ref="AU78">_xlfn.LET(
  _xlpm.w, AU$11,
  _xlpm.r, MATCH(1,('3. Enter Indicator Scores'!$B$10:$B$161=$B78)*('3. Enter Indicator Scores'!$C$10:$C$161=$C78),0),
  _xlpm.c, MATCH(AU$8,'3. Enter Indicator Scores'!$D$8:$CZ$8,0),
  _xlpm.v, IFERROR(INDEX('3. Enter Indicator Scores'!$D$10:$CZ$161,_xlpm.r,_xlpm.c),""),
  IF(OR(_xlpm.w="",_xlpm.v=""),"",_xlpm.v*_xlpm.w)
)</f>
        <v/>
      </c>
      <c r="AV78" s="93" t="str" cm="1">
        <f t="array" ref="AV78">_xlfn.LET(
  _xlpm.w, AV$11,
  _xlpm.r, MATCH(1,('3. Enter Indicator Scores'!$B$10:$B$161=$B78)*('3. Enter Indicator Scores'!$C$10:$C$161=$C78),0),
  _xlpm.c, MATCH(AV$8,'3. Enter Indicator Scores'!$D$8:$CZ$8,0),
  _xlpm.v, IFERROR(INDEX('3. Enter Indicator Scores'!$D$10:$CZ$161,_xlpm.r,_xlpm.c),""),
  IF(OR(_xlpm.w="",_xlpm.v=""),"",_xlpm.v*_xlpm.w)
)</f>
        <v/>
      </c>
      <c r="AW78" s="93" t="str" cm="1">
        <f t="array" ref="AW78">_xlfn.LET(
  _xlpm.w, AW$11,
  _xlpm.r, MATCH(1,('3. Enter Indicator Scores'!$B$10:$B$161=$B78)*('3. Enter Indicator Scores'!$C$10:$C$161=$C78),0),
  _xlpm.c, MATCH(AW$8,'3. Enter Indicator Scores'!$D$8:$CZ$8,0),
  _xlpm.v, IFERROR(INDEX('3. Enter Indicator Scores'!$D$10:$CZ$161,_xlpm.r,_xlpm.c),""),
  IF(OR(_xlpm.w="",_xlpm.v=""),"",_xlpm.v*_xlpm.w)
)</f>
        <v/>
      </c>
      <c r="AX78" s="93" t="str" cm="1">
        <f t="array" ref="AX78">_xlfn.LET(
  _xlpm.w, AX$11,
  _xlpm.r, MATCH(1,('3. Enter Indicator Scores'!$B$10:$B$161=$B78)*('3. Enter Indicator Scores'!$C$10:$C$161=$C78),0),
  _xlpm.c, MATCH(AX$8,'3. Enter Indicator Scores'!$D$8:$CZ$8,0),
  _xlpm.v, IFERROR(INDEX('3. Enter Indicator Scores'!$D$10:$CZ$161,_xlpm.r,_xlpm.c),""),
  IF(OR(_xlpm.w="",_xlpm.v=""),"",_xlpm.v*_xlpm.w)
)</f>
        <v/>
      </c>
      <c r="AY78" s="93" t="str" cm="1">
        <f t="array" ref="AY78">_xlfn.LET(
  _xlpm.w, AY$11,
  _xlpm.r, MATCH(1,('3. Enter Indicator Scores'!$B$10:$B$161=$B78)*('3. Enter Indicator Scores'!$C$10:$C$161=$C78),0),
  _xlpm.c, MATCH(AY$8,'3. Enter Indicator Scores'!$D$8:$CZ$8,0),
  _xlpm.v, IFERROR(INDEX('3. Enter Indicator Scores'!$D$10:$CZ$161,_xlpm.r,_xlpm.c),""),
  IF(OR(_xlpm.w="",_xlpm.v=""),"",_xlpm.v*_xlpm.w)
)</f>
        <v/>
      </c>
      <c r="AZ78" s="93" t="str" cm="1">
        <f t="array" ref="AZ78">_xlfn.LET(
  _xlpm.w, AZ$11,
  _xlpm.r, MATCH(1,('3. Enter Indicator Scores'!$B$10:$B$161=$B78)*('3. Enter Indicator Scores'!$C$10:$C$161=$C78),0),
  _xlpm.c, MATCH(AZ$8,'3. Enter Indicator Scores'!$D$8:$CZ$8,0),
  _xlpm.v, IFERROR(INDEX('3. Enter Indicator Scores'!$D$10:$CZ$161,_xlpm.r,_xlpm.c),""),
  IF(OR(_xlpm.w="",_xlpm.v=""),"",_xlpm.v*_xlpm.w)
)</f>
        <v/>
      </c>
      <c r="BA78" s="93" t="str" cm="1">
        <f t="array" ref="BA78">_xlfn.LET(
  _xlpm.w, BA$11,
  _xlpm.r, MATCH(1,('3. Enter Indicator Scores'!$B$10:$B$161=$B78)*('3. Enter Indicator Scores'!$C$10:$C$161=$C78),0),
  _xlpm.c, MATCH(BA$8,'3. Enter Indicator Scores'!$D$8:$CZ$8,0),
  _xlpm.v, IFERROR(INDEX('3. Enter Indicator Scores'!$D$10:$CZ$161,_xlpm.r,_xlpm.c),""),
  IF(OR(_xlpm.w="",_xlpm.v=""),"",_xlpm.v*_xlpm.w)
)</f>
        <v/>
      </c>
      <c r="BB78" s="93" t="str" cm="1">
        <f t="array" ref="BB78">_xlfn.LET(
  _xlpm.w, BB$11,
  _xlpm.r, MATCH(1,('3. Enter Indicator Scores'!$B$10:$B$161=$B78)*('3. Enter Indicator Scores'!$C$10:$C$161=$C78),0),
  _xlpm.c, MATCH(BB$8,'3. Enter Indicator Scores'!$D$8:$CZ$8,0),
  _xlpm.v, IFERROR(INDEX('3. Enter Indicator Scores'!$D$10:$CZ$161,_xlpm.r,_xlpm.c),""),
  IF(OR(_xlpm.w="",_xlpm.v=""),"",_xlpm.v*_xlpm.w)
)</f>
        <v/>
      </c>
      <c r="BC78" s="93" t="str" cm="1">
        <f t="array" ref="BC78">_xlfn.LET(
  _xlpm.w, BC$11,
  _xlpm.r, MATCH(1,('3. Enter Indicator Scores'!$B$10:$B$161=$B78)*('3. Enter Indicator Scores'!$C$10:$C$161=$C78),0),
  _xlpm.c, MATCH(BC$8,'3. Enter Indicator Scores'!$D$8:$CZ$8,0),
  _xlpm.v, IFERROR(INDEX('3. Enter Indicator Scores'!$D$10:$CZ$161,_xlpm.r,_xlpm.c),""),
  IF(OR(_xlpm.w="",_xlpm.v=""),"",_xlpm.v*_xlpm.w)
)</f>
        <v/>
      </c>
      <c r="BD78" s="93" t="str" cm="1">
        <f t="array" ref="BD78">_xlfn.LET(
  _xlpm.w, BD$11,
  _xlpm.r, MATCH(1,('3. Enter Indicator Scores'!$B$10:$B$161=$B78)*('3. Enter Indicator Scores'!$C$10:$C$161=$C78),0),
  _xlpm.c, MATCH(BD$8,'3. Enter Indicator Scores'!$D$8:$CZ$8,0),
  _xlpm.v, IFERROR(INDEX('3. Enter Indicator Scores'!$D$10:$CZ$161,_xlpm.r,_xlpm.c),""),
  IF(OR(_xlpm.w="",_xlpm.v=""),"",_xlpm.v*_xlpm.w)
)</f>
        <v/>
      </c>
      <c r="BE78" s="93" t="str" cm="1">
        <f t="array" ref="BE78">_xlfn.LET(
  _xlpm.w, BE$11,
  _xlpm.r, MATCH(1,('3. Enter Indicator Scores'!$B$10:$B$161=$B78)*('3. Enter Indicator Scores'!$C$10:$C$161=$C78),0),
  _xlpm.c, MATCH(BE$8,'3. Enter Indicator Scores'!$D$8:$CZ$8,0),
  _xlpm.v, IFERROR(INDEX('3. Enter Indicator Scores'!$D$10:$CZ$161,_xlpm.r,_xlpm.c),""),
  IF(OR(_xlpm.w="",_xlpm.v=""),"",_xlpm.v*_xlpm.w)
)</f>
        <v/>
      </c>
      <c r="BF78" s="93" t="str" cm="1">
        <f t="array" ref="BF78">_xlfn.LET(
  _xlpm.w, BF$11,
  _xlpm.r, MATCH(1,('3. Enter Indicator Scores'!$B$10:$B$161=$B78)*('3. Enter Indicator Scores'!$C$10:$C$161=$C78),0),
  _xlpm.c, MATCH(BF$8,'3. Enter Indicator Scores'!$D$8:$CZ$8,0),
  _xlpm.v, IFERROR(INDEX('3. Enter Indicator Scores'!$D$10:$CZ$161,_xlpm.r,_xlpm.c),""),
  IF(OR(_xlpm.w="",_xlpm.v=""),"",_xlpm.v*_xlpm.w)
)</f>
        <v/>
      </c>
      <c r="BG78" s="93" t="str" cm="1">
        <f t="array" ref="BG78">_xlfn.LET(
  _xlpm.w, BG$11,
  _xlpm.r, MATCH(1,('3. Enter Indicator Scores'!$B$10:$B$161=$B78)*('3. Enter Indicator Scores'!$C$10:$C$161=$C78),0),
  _xlpm.c, MATCH(BG$8,'3. Enter Indicator Scores'!$D$8:$CZ$8,0),
  _xlpm.v, IFERROR(INDEX('3. Enter Indicator Scores'!$D$10:$CZ$161,_xlpm.r,_xlpm.c),""),
  IF(OR(_xlpm.w="",_xlpm.v=""),"",_xlpm.v*_xlpm.w)
)</f>
        <v/>
      </c>
      <c r="BH78" s="93" t="str" cm="1">
        <f t="array" ref="BH78">_xlfn.LET(
  _xlpm.w, BH$11,
  _xlpm.r, MATCH(1,('3. Enter Indicator Scores'!$B$10:$B$161=$B78)*('3. Enter Indicator Scores'!$C$10:$C$161=$C78),0),
  _xlpm.c, MATCH(BH$8,'3. Enter Indicator Scores'!$D$8:$CZ$8,0),
  _xlpm.v, IFERROR(INDEX('3. Enter Indicator Scores'!$D$10:$CZ$161,_xlpm.r,_xlpm.c),""),
  IF(OR(_xlpm.w="",_xlpm.v=""),"",_xlpm.v*_xlpm.w)
)</f>
        <v/>
      </c>
      <c r="BI78" s="93" t="str" cm="1">
        <f t="array" ref="BI78">_xlfn.LET(
  _xlpm.w, BI$11,
  _xlpm.r, MATCH(1,('3. Enter Indicator Scores'!$B$10:$B$161=$B78)*('3. Enter Indicator Scores'!$C$10:$C$161=$C78),0),
  _xlpm.c, MATCH(BI$8,'3. Enter Indicator Scores'!$D$8:$CZ$8,0),
  _xlpm.v, IFERROR(INDEX('3. Enter Indicator Scores'!$D$10:$CZ$161,_xlpm.r,_xlpm.c),""),
  IF(OR(_xlpm.w="",_xlpm.v=""),"",_xlpm.v*_xlpm.w)
)</f>
        <v/>
      </c>
      <c r="BJ78" s="93" t="str" cm="1">
        <f t="array" ref="BJ78">_xlfn.LET(
  _xlpm.w, BJ$11,
  _xlpm.r, MATCH(1,('3. Enter Indicator Scores'!$B$10:$B$161=$B78)*('3. Enter Indicator Scores'!$C$10:$C$161=$C78),0),
  _xlpm.c, MATCH(BJ$8,'3. Enter Indicator Scores'!$D$8:$CZ$8,0),
  _xlpm.v, IFERROR(INDEX('3. Enter Indicator Scores'!$D$10:$CZ$161,_xlpm.r,_xlpm.c),""),
  IF(OR(_xlpm.w="",_xlpm.v=""),"",_xlpm.v*_xlpm.w)
)</f>
        <v/>
      </c>
      <c r="BK78" s="93" t="str" cm="1">
        <f t="array" ref="BK78">_xlfn.LET(
  _xlpm.w, BK$11,
  _xlpm.r, MATCH(1,('3. Enter Indicator Scores'!$B$10:$B$161=$B78)*('3. Enter Indicator Scores'!$C$10:$C$161=$C78),0),
  _xlpm.c, MATCH(BK$8,'3. Enter Indicator Scores'!$D$8:$CZ$8,0),
  _xlpm.v, IFERROR(INDEX('3. Enter Indicator Scores'!$D$10:$CZ$161,_xlpm.r,_xlpm.c),""),
  IF(OR(_xlpm.w="",_xlpm.v=""),"",_xlpm.v*_xlpm.w)
)</f>
        <v/>
      </c>
      <c r="BL78" s="93" t="str" cm="1">
        <f t="array" ref="BL78">_xlfn.LET(
  _xlpm.w, BL$11,
  _xlpm.r, MATCH(1,('3. Enter Indicator Scores'!$B$10:$B$161=$B78)*('3. Enter Indicator Scores'!$C$10:$C$161=$C78),0),
  _xlpm.c, MATCH(BL$8,'3. Enter Indicator Scores'!$D$8:$CZ$8,0),
  _xlpm.v, IFERROR(INDEX('3. Enter Indicator Scores'!$D$10:$CZ$161,_xlpm.r,_xlpm.c),""),
  IF(OR(_xlpm.w="",_xlpm.v=""),"",_xlpm.v*_xlpm.w)
)</f>
        <v/>
      </c>
      <c r="BM78" s="93" t="str" cm="1">
        <f t="array" ref="BM78">_xlfn.LET(
  _xlpm.w, BM$11,
  _xlpm.r, MATCH(1,('3. Enter Indicator Scores'!$B$10:$B$161=$B78)*('3. Enter Indicator Scores'!$C$10:$C$161=$C78),0),
  _xlpm.c, MATCH(BM$8,'3. Enter Indicator Scores'!$D$8:$CZ$8,0),
  _xlpm.v, IFERROR(INDEX('3. Enter Indicator Scores'!$D$10:$CZ$161,_xlpm.r,_xlpm.c),""),
  IF(OR(_xlpm.w="",_xlpm.v=""),"",_xlpm.v*_xlpm.w)
)</f>
        <v/>
      </c>
      <c r="BN78" s="93" t="str" cm="1">
        <f t="array" ref="BN78">_xlfn.LET(
  _xlpm.w, BN$11,
  _xlpm.r, MATCH(1,('3. Enter Indicator Scores'!$B$10:$B$161=$B78)*('3. Enter Indicator Scores'!$C$10:$C$161=$C78),0),
  _xlpm.c, MATCH(BN$8,'3. Enter Indicator Scores'!$D$8:$CZ$8,0),
  _xlpm.v, IFERROR(INDEX('3. Enter Indicator Scores'!$D$10:$CZ$161,_xlpm.r,_xlpm.c),""),
  IF(OR(_xlpm.w="",_xlpm.v=""),"",_xlpm.v*_xlpm.w)
)</f>
        <v/>
      </c>
      <c r="BO78" s="93" t="str" cm="1">
        <f t="array" ref="BO78">_xlfn.LET(
  _xlpm.w, BO$11,
  _xlpm.r, MATCH(1,('3. Enter Indicator Scores'!$B$10:$B$161=$B78)*('3. Enter Indicator Scores'!$C$10:$C$161=$C78),0),
  _xlpm.c, MATCH(BO$8,'3. Enter Indicator Scores'!$D$8:$CZ$8,0),
  _xlpm.v, IFERROR(INDEX('3. Enter Indicator Scores'!$D$10:$CZ$161,_xlpm.r,_xlpm.c),""),
  IF(OR(_xlpm.w="",_xlpm.v=""),"",_xlpm.v*_xlpm.w)
)</f>
        <v/>
      </c>
      <c r="BP78" s="93" t="str" cm="1">
        <f t="array" ref="BP78">_xlfn.LET(
  _xlpm.w, BP$11,
  _xlpm.r, MATCH(1,('3. Enter Indicator Scores'!$B$10:$B$161=$B78)*('3. Enter Indicator Scores'!$C$10:$C$161=$C78),0),
  _xlpm.c, MATCH(BP$8,'3. Enter Indicator Scores'!$D$8:$CZ$8,0),
  _xlpm.v, IFERROR(INDEX('3. Enter Indicator Scores'!$D$10:$CZ$161,_xlpm.r,_xlpm.c),""),
  IF(OR(_xlpm.w="",_xlpm.v=""),"",_xlpm.v*_xlpm.w)
)</f>
        <v/>
      </c>
      <c r="BQ78" s="93" t="str" cm="1">
        <f t="array" ref="BQ78">_xlfn.LET(
  _xlpm.w, BQ$11,
  _xlpm.r, MATCH(1,('3. Enter Indicator Scores'!$B$10:$B$161=$B78)*('3. Enter Indicator Scores'!$C$10:$C$161=$C78),0),
  _xlpm.c, MATCH(BQ$8,'3. Enter Indicator Scores'!$D$8:$CZ$8,0),
  _xlpm.v, IFERROR(INDEX('3. Enter Indicator Scores'!$D$10:$CZ$161,_xlpm.r,_xlpm.c),""),
  IF(OR(_xlpm.w="",_xlpm.v=""),"",_xlpm.v*_xlpm.w)
)</f>
        <v/>
      </c>
      <c r="BR78" s="93" t="str" cm="1">
        <f t="array" ref="BR78">_xlfn.LET(
  _xlpm.w, BR$11,
  _xlpm.r, MATCH(1,('3. Enter Indicator Scores'!$B$10:$B$161=$B78)*('3. Enter Indicator Scores'!$C$10:$C$161=$C78),0),
  _xlpm.c, MATCH(BR$8,'3. Enter Indicator Scores'!$D$8:$CZ$8,0),
  _xlpm.v, IFERROR(INDEX('3. Enter Indicator Scores'!$D$10:$CZ$161,_xlpm.r,_xlpm.c),""),
  IF(OR(_xlpm.w="",_xlpm.v=""),"",_xlpm.v*_xlpm.w)
)</f>
        <v/>
      </c>
      <c r="BS78" s="93" t="str" cm="1">
        <f t="array" ref="BS78">_xlfn.LET(
  _xlpm.w, BS$11,
  _xlpm.r, MATCH(1,('3. Enter Indicator Scores'!$B$10:$B$161=$B78)*('3. Enter Indicator Scores'!$C$10:$C$161=$C78),0),
  _xlpm.c, MATCH(BS$8,'3. Enter Indicator Scores'!$D$8:$CZ$8,0),
  _xlpm.v, IFERROR(INDEX('3. Enter Indicator Scores'!$D$10:$CZ$161,_xlpm.r,_xlpm.c),""),
  IF(OR(_xlpm.w="",_xlpm.v=""),"",_xlpm.v*_xlpm.w)
)</f>
        <v/>
      </c>
      <c r="BT78" s="93" t="str" cm="1">
        <f t="array" ref="BT78">_xlfn.LET(
  _xlpm.w, BT$11,
  _xlpm.r, MATCH(1,('3. Enter Indicator Scores'!$B$10:$B$161=$B78)*('3. Enter Indicator Scores'!$C$10:$C$161=$C78),0),
  _xlpm.c, MATCH(BT$8,'3. Enter Indicator Scores'!$D$8:$CZ$8,0),
  _xlpm.v, IFERROR(INDEX('3. Enter Indicator Scores'!$D$10:$CZ$161,_xlpm.r,_xlpm.c),""),
  IF(OR(_xlpm.w="",_xlpm.v=""),"",_xlpm.v*_xlpm.w)
)</f>
        <v/>
      </c>
      <c r="BU78" s="93" t="str" cm="1">
        <f t="array" ref="BU78">_xlfn.LET(
  _xlpm.w, BU$11,
  _xlpm.r, MATCH(1,('3. Enter Indicator Scores'!$B$10:$B$161=$B78)*('3. Enter Indicator Scores'!$C$10:$C$161=$C78),0),
  _xlpm.c, MATCH(BU$8,'3. Enter Indicator Scores'!$D$8:$CZ$8,0),
  _xlpm.v, IFERROR(INDEX('3. Enter Indicator Scores'!$D$10:$CZ$161,_xlpm.r,_xlpm.c),""),
  IF(OR(_xlpm.w="",_xlpm.v=""),"",_xlpm.v*_xlpm.w)
)</f>
        <v/>
      </c>
      <c r="BV78" s="93" t="str" cm="1">
        <f t="array" ref="BV78">_xlfn.LET(
  _xlpm.w, BV$11,
  _xlpm.r, MATCH(1,('3. Enter Indicator Scores'!$B$10:$B$161=$B78)*('3. Enter Indicator Scores'!$C$10:$C$161=$C78),0),
  _xlpm.c, MATCH(BV$8,'3. Enter Indicator Scores'!$D$8:$CZ$8,0),
  _xlpm.v, IFERROR(INDEX('3. Enter Indicator Scores'!$D$10:$CZ$161,_xlpm.r,_xlpm.c),""),
  IF(OR(_xlpm.w="",_xlpm.v=""),"",_xlpm.v*_xlpm.w)
)</f>
        <v/>
      </c>
      <c r="BW78" s="93" t="str" cm="1">
        <f t="array" ref="BW78">_xlfn.LET(
  _xlpm.w, BW$11,
  _xlpm.r, MATCH(1,('3. Enter Indicator Scores'!$B$10:$B$161=$B78)*('3. Enter Indicator Scores'!$C$10:$C$161=$C78),0),
  _xlpm.c, MATCH(BW$8,'3. Enter Indicator Scores'!$D$8:$CZ$8,0),
  _xlpm.v, IFERROR(INDEX('3. Enter Indicator Scores'!$D$10:$CZ$161,_xlpm.r,_xlpm.c),""),
  IF(OR(_xlpm.w="",_xlpm.v=""),"",_xlpm.v*_xlpm.w)
)</f>
        <v/>
      </c>
      <c r="BX78" s="93" t="str" cm="1">
        <f t="array" ref="BX78">_xlfn.LET(
  _xlpm.w, BX$11,
  _xlpm.r, MATCH(1,('3. Enter Indicator Scores'!$B$10:$B$161=$B78)*('3. Enter Indicator Scores'!$C$10:$C$161=$C78),0),
  _xlpm.c, MATCH(BX$8,'3. Enter Indicator Scores'!$D$8:$CZ$8,0),
  _xlpm.v, IFERROR(INDEX('3. Enter Indicator Scores'!$D$10:$CZ$161,_xlpm.r,_xlpm.c),""),
  IF(OR(_xlpm.w="",_xlpm.v=""),"",_xlpm.v*_xlpm.w)
)</f>
        <v/>
      </c>
      <c r="BY78" s="93" t="str" cm="1">
        <f t="array" ref="BY78">_xlfn.LET(
  _xlpm.w, BY$11,
  _xlpm.r, MATCH(1,('3. Enter Indicator Scores'!$B$10:$B$161=$B78)*('3. Enter Indicator Scores'!$C$10:$C$161=$C78),0),
  _xlpm.c, MATCH(BY$8,'3. Enter Indicator Scores'!$D$8:$CZ$8,0),
  _xlpm.v, IFERROR(INDEX('3. Enter Indicator Scores'!$D$10:$CZ$161,_xlpm.r,_xlpm.c),""),
  IF(OR(_xlpm.w="",_xlpm.v=""),"",_xlpm.v*_xlpm.w)
)</f>
        <v/>
      </c>
      <c r="BZ78" s="93" t="str" cm="1">
        <f t="array" ref="BZ78">_xlfn.LET(
  _xlpm.w, BZ$11,
  _xlpm.r, MATCH(1,('3. Enter Indicator Scores'!$B$10:$B$161=$B78)*('3. Enter Indicator Scores'!$C$10:$C$161=$C78),0),
  _xlpm.c, MATCH(BZ$8,'3. Enter Indicator Scores'!$D$8:$CZ$8,0),
  _xlpm.v, IFERROR(INDEX('3. Enter Indicator Scores'!$D$10:$CZ$161,_xlpm.r,_xlpm.c),""),
  IF(OR(_xlpm.w="",_xlpm.v=""),"",_xlpm.v*_xlpm.w)
)</f>
        <v/>
      </c>
      <c r="CA78" s="93" t="str" cm="1">
        <f t="array" ref="CA78">_xlfn.LET(
  _xlpm.w, CA$11,
  _xlpm.r, MATCH(1,('3. Enter Indicator Scores'!$B$10:$B$161=$B78)*('3. Enter Indicator Scores'!$C$10:$C$161=$C78),0),
  _xlpm.c, MATCH(CA$8,'3. Enter Indicator Scores'!$D$8:$CZ$8,0),
  _xlpm.v, IFERROR(INDEX('3. Enter Indicator Scores'!$D$10:$CZ$161,_xlpm.r,_xlpm.c),""),
  IF(OR(_xlpm.w="",_xlpm.v=""),"",_xlpm.v*_xlpm.w)
)</f>
        <v/>
      </c>
      <c r="CB78" s="93" t="str" cm="1">
        <f t="array" ref="CB78">_xlfn.LET(
  _xlpm.w, CB$11,
  _xlpm.r, MATCH(1,('3. Enter Indicator Scores'!$B$10:$B$161=$B78)*('3. Enter Indicator Scores'!$C$10:$C$161=$C78),0),
  _xlpm.c, MATCH(CB$8,'3. Enter Indicator Scores'!$D$8:$CZ$8,0),
  _xlpm.v, IFERROR(INDEX('3. Enter Indicator Scores'!$D$10:$CZ$161,_xlpm.r,_xlpm.c),""),
  IF(OR(_xlpm.w="",_xlpm.v=""),"",_xlpm.v*_xlpm.w)
)</f>
        <v/>
      </c>
      <c r="CC78" s="93" t="str" cm="1">
        <f t="array" ref="CC78">_xlfn.LET(
  _xlpm.w, CC$11,
  _xlpm.r, MATCH(1,('3. Enter Indicator Scores'!$B$10:$B$161=$B78)*('3. Enter Indicator Scores'!$C$10:$C$161=$C78),0),
  _xlpm.c, MATCH(CC$8,'3. Enter Indicator Scores'!$D$8:$CZ$8,0),
  _xlpm.v, IFERROR(INDEX('3. Enter Indicator Scores'!$D$10:$CZ$161,_xlpm.r,_xlpm.c),""),
  IF(OR(_xlpm.w="",_xlpm.v=""),"",_xlpm.v*_xlpm.w)
)</f>
        <v/>
      </c>
      <c r="CD78" s="93" t="str" cm="1">
        <f t="array" ref="CD78">_xlfn.LET(
  _xlpm.w, CD$11,
  _xlpm.r, MATCH(1,('3. Enter Indicator Scores'!$B$10:$B$161=$B78)*('3. Enter Indicator Scores'!$C$10:$C$161=$C78),0),
  _xlpm.c, MATCH(CD$8,'3. Enter Indicator Scores'!$D$8:$CZ$8,0),
  _xlpm.v, IFERROR(INDEX('3. Enter Indicator Scores'!$D$10:$CZ$161,_xlpm.r,_xlpm.c),""),
  IF(OR(_xlpm.w="",_xlpm.v=""),"",_xlpm.v*_xlpm.w)
)</f>
        <v/>
      </c>
      <c r="CE78" s="93" t="str" cm="1">
        <f t="array" ref="CE78">_xlfn.LET(
  _xlpm.w, CE$11,
  _xlpm.r, MATCH(1,('3. Enter Indicator Scores'!$B$10:$B$161=$B78)*('3. Enter Indicator Scores'!$C$10:$C$161=$C78),0),
  _xlpm.c, MATCH(CE$8,'3. Enter Indicator Scores'!$D$8:$CZ$8,0),
  _xlpm.v, IFERROR(INDEX('3. Enter Indicator Scores'!$D$10:$CZ$161,_xlpm.r,_xlpm.c),""),
  IF(OR(_xlpm.w="",_xlpm.v=""),"",_xlpm.v*_xlpm.w)
)</f>
        <v/>
      </c>
      <c r="CF78" s="93" t="str" cm="1">
        <f t="array" ref="CF78">_xlfn.LET(
  _xlpm.w, CF$11,
  _xlpm.r, MATCH(1,('3. Enter Indicator Scores'!$B$10:$B$161=$B78)*('3. Enter Indicator Scores'!$C$10:$C$161=$C78),0),
  _xlpm.c, MATCH(CF$8,'3. Enter Indicator Scores'!$D$8:$CZ$8,0),
  _xlpm.v, IFERROR(INDEX('3. Enter Indicator Scores'!$D$10:$CZ$161,_xlpm.r,_xlpm.c),""),
  IF(OR(_xlpm.w="",_xlpm.v=""),"",_xlpm.v*_xlpm.w)
)</f>
        <v/>
      </c>
      <c r="CG78" s="93" t="str" cm="1">
        <f t="array" ref="CG78">_xlfn.LET(
  _xlpm.w, CG$11,
  _xlpm.r, MATCH(1,('3. Enter Indicator Scores'!$B$10:$B$161=$B78)*('3. Enter Indicator Scores'!$C$10:$C$161=$C78),0),
  _xlpm.c, MATCH(CG$8,'3. Enter Indicator Scores'!$D$8:$CZ$8,0),
  _xlpm.v, IFERROR(INDEX('3. Enter Indicator Scores'!$D$10:$CZ$161,_xlpm.r,_xlpm.c),""),
  IF(OR(_xlpm.w="",_xlpm.v=""),"",_xlpm.v*_xlpm.w)
)</f>
        <v/>
      </c>
      <c r="CH78" s="93" t="str" cm="1">
        <f t="array" ref="CH78">_xlfn.LET(
  _xlpm.w, CH$11,
  _xlpm.r, MATCH(1,('3. Enter Indicator Scores'!$B$10:$B$161=$B78)*('3. Enter Indicator Scores'!$C$10:$C$161=$C78),0),
  _xlpm.c, MATCH(CH$8,'3. Enter Indicator Scores'!$D$8:$CZ$8,0),
  _xlpm.v, IFERROR(INDEX('3. Enter Indicator Scores'!$D$10:$CZ$161,_xlpm.r,_xlpm.c),""),
  IF(OR(_xlpm.w="",_xlpm.v=""),"",_xlpm.v*_xlpm.w)
)</f>
        <v/>
      </c>
      <c r="CI78" s="93" t="str" cm="1">
        <f t="array" ref="CI78">_xlfn.LET(
  _xlpm.w, CI$11,
  _xlpm.r, MATCH(1,('3. Enter Indicator Scores'!$B$10:$B$161=$B78)*('3. Enter Indicator Scores'!$C$10:$C$161=$C78),0),
  _xlpm.c, MATCH(CI$8,'3. Enter Indicator Scores'!$D$8:$CZ$8,0),
  _xlpm.v, IFERROR(INDEX('3. Enter Indicator Scores'!$D$10:$CZ$161,_xlpm.r,_xlpm.c),""),
  IF(OR(_xlpm.w="",_xlpm.v=""),"",_xlpm.v*_xlpm.w)
)</f>
        <v/>
      </c>
      <c r="CJ78" s="93" t="str" cm="1">
        <f t="array" ref="CJ78">_xlfn.LET(
  _xlpm.w, CJ$11,
  _xlpm.r, MATCH(1,('3. Enter Indicator Scores'!$B$10:$B$161=$B78)*('3. Enter Indicator Scores'!$C$10:$C$161=$C78),0),
  _xlpm.c, MATCH(CJ$8,'3. Enter Indicator Scores'!$D$8:$CZ$8,0),
  _xlpm.v, IFERROR(INDEX('3. Enter Indicator Scores'!$D$10:$CZ$161,_xlpm.r,_xlpm.c),""),
  IF(OR(_xlpm.w="",_xlpm.v=""),"",_xlpm.v*_xlpm.w)
)</f>
        <v/>
      </c>
      <c r="CK78" s="93" t="str" cm="1">
        <f t="array" ref="CK78">_xlfn.LET(
  _xlpm.w, CK$11,
  _xlpm.r, MATCH(1,('3. Enter Indicator Scores'!$B$10:$B$161=$B78)*('3. Enter Indicator Scores'!$C$10:$C$161=$C78),0),
  _xlpm.c, MATCH(CK$8,'3. Enter Indicator Scores'!$D$8:$CZ$8,0),
  _xlpm.v, IFERROR(INDEX('3. Enter Indicator Scores'!$D$10:$CZ$161,_xlpm.r,_xlpm.c),""),
  IF(OR(_xlpm.w="",_xlpm.v=""),"",_xlpm.v*_xlpm.w)
)</f>
        <v/>
      </c>
      <c r="CL78" s="93" t="str" cm="1">
        <f t="array" ref="CL78">_xlfn.LET(
  _xlpm.w, CL$11,
  _xlpm.r, MATCH(1,('3. Enter Indicator Scores'!$B$10:$B$161=$B78)*('3. Enter Indicator Scores'!$C$10:$C$161=$C78),0),
  _xlpm.c, MATCH(CL$8,'3. Enter Indicator Scores'!$D$8:$CZ$8,0),
  _xlpm.v, IFERROR(INDEX('3. Enter Indicator Scores'!$D$10:$CZ$161,_xlpm.r,_xlpm.c),""),
  IF(OR(_xlpm.w="",_xlpm.v=""),"",_xlpm.v*_xlpm.w)
)</f>
        <v/>
      </c>
      <c r="CM78" s="93" t="str" cm="1">
        <f t="array" ref="CM78">_xlfn.LET(
  _xlpm.w, CM$11,
  _xlpm.r, MATCH(1,('3. Enter Indicator Scores'!$B$10:$B$161=$B78)*('3. Enter Indicator Scores'!$C$10:$C$161=$C78),0),
  _xlpm.c, MATCH(CM$8,'3. Enter Indicator Scores'!$D$8:$CZ$8,0),
  _xlpm.v, IFERROR(INDEX('3. Enter Indicator Scores'!$D$10:$CZ$161,_xlpm.r,_xlpm.c),""),
  IF(OR(_xlpm.w="",_xlpm.v=""),"",_xlpm.v*_xlpm.w)
)</f>
        <v/>
      </c>
      <c r="CN78" s="93" t="str" cm="1">
        <f t="array" ref="CN78">_xlfn.LET(
  _xlpm.w, CN$11,
  _xlpm.r, MATCH(1,('3. Enter Indicator Scores'!$B$10:$B$161=$B78)*('3. Enter Indicator Scores'!$C$10:$C$161=$C78),0),
  _xlpm.c, MATCH(CN$8,'3. Enter Indicator Scores'!$D$8:$CZ$8,0),
  _xlpm.v, IFERROR(INDEX('3. Enter Indicator Scores'!$D$10:$CZ$161,_xlpm.r,_xlpm.c),""),
  IF(OR(_xlpm.w="",_xlpm.v=""),"",_xlpm.v*_xlpm.w)
)</f>
        <v/>
      </c>
      <c r="CO78" s="93" t="str" cm="1">
        <f t="array" ref="CO78">_xlfn.LET(
  _xlpm.w, CO$11,
  _xlpm.r, MATCH(1,('3. Enter Indicator Scores'!$B$10:$B$161=$B78)*('3. Enter Indicator Scores'!$C$10:$C$161=$C78),0),
  _xlpm.c, MATCH(CO$8,'3. Enter Indicator Scores'!$D$8:$CZ$8,0),
  _xlpm.v, IFERROR(INDEX('3. Enter Indicator Scores'!$D$10:$CZ$161,_xlpm.r,_xlpm.c),""),
  IF(OR(_xlpm.w="",_xlpm.v=""),"",_xlpm.v*_xlpm.w)
)</f>
        <v/>
      </c>
      <c r="CP78" s="93" t="str" cm="1">
        <f t="array" ref="CP78">_xlfn.LET(
  _xlpm.w, CP$11,
  _xlpm.r, MATCH(1,('3. Enter Indicator Scores'!$B$10:$B$161=$B78)*('3. Enter Indicator Scores'!$C$10:$C$161=$C78),0),
  _xlpm.c, MATCH(CP$8,'3. Enter Indicator Scores'!$D$8:$CZ$8,0),
  _xlpm.v, IFERROR(INDEX('3. Enter Indicator Scores'!$D$10:$CZ$161,_xlpm.r,_xlpm.c),""),
  IF(OR(_xlpm.w="",_xlpm.v=""),"",_xlpm.v*_xlpm.w)
)</f>
        <v/>
      </c>
      <c r="CQ78" s="93" t="str" cm="1">
        <f t="array" ref="CQ78">_xlfn.LET(
  _xlpm.w, CQ$11,
  _xlpm.r, MATCH(1,('3. Enter Indicator Scores'!$B$10:$B$161=$B78)*('3. Enter Indicator Scores'!$C$10:$C$161=$C78),0),
  _xlpm.c, MATCH(CQ$8,'3. Enter Indicator Scores'!$D$8:$CZ$8,0),
  _xlpm.v, IFERROR(INDEX('3. Enter Indicator Scores'!$D$10:$CZ$161,_xlpm.r,_xlpm.c),""),
  IF(OR(_xlpm.w="",_xlpm.v=""),"",_xlpm.v*_xlpm.w)
)</f>
        <v/>
      </c>
      <c r="CR78" s="93" t="str" cm="1">
        <f t="array" ref="CR78">_xlfn.LET(
  _xlpm.w, CR$11,
  _xlpm.r, MATCH(1,('3. Enter Indicator Scores'!$B$10:$B$161=$B78)*('3. Enter Indicator Scores'!$C$10:$C$161=$C78),0),
  _xlpm.c, MATCH(CR$8,'3. Enter Indicator Scores'!$D$8:$CZ$8,0),
  _xlpm.v, IFERROR(INDEX('3. Enter Indicator Scores'!$D$10:$CZ$161,_xlpm.r,_xlpm.c),""),
  IF(OR(_xlpm.w="",_xlpm.v=""),"",_xlpm.v*_xlpm.w)
)</f>
        <v/>
      </c>
      <c r="CS78" s="93" t="str" cm="1">
        <f t="array" ref="CS78">_xlfn.LET(
  _xlpm.w, CS$11,
  _xlpm.r, MATCH(1,('3. Enter Indicator Scores'!$B$10:$B$161=$B78)*('3. Enter Indicator Scores'!$C$10:$C$161=$C78),0),
  _xlpm.c, MATCH(CS$8,'3. Enter Indicator Scores'!$D$8:$CZ$8,0),
  _xlpm.v, IFERROR(INDEX('3. Enter Indicator Scores'!$D$10:$CZ$161,_xlpm.r,_xlpm.c),""),
  IF(OR(_xlpm.w="",_xlpm.v=""),"",_xlpm.v*_xlpm.w)
)</f>
        <v/>
      </c>
      <c r="CT78" s="93" t="str" cm="1">
        <f t="array" ref="CT78">_xlfn.LET(
  _xlpm.w, CT$11,
  _xlpm.r, MATCH(1,('3. Enter Indicator Scores'!$B$10:$B$161=$B78)*('3. Enter Indicator Scores'!$C$10:$C$161=$C78),0),
  _xlpm.c, MATCH(CT$8,'3. Enter Indicator Scores'!$D$8:$CZ$8,0),
  _xlpm.v, IFERROR(INDEX('3. Enter Indicator Scores'!$D$10:$CZ$161,_xlpm.r,_xlpm.c),""),
  IF(OR(_xlpm.w="",_xlpm.v=""),"",_xlpm.v*_xlpm.w)
)</f>
        <v/>
      </c>
      <c r="CU78" s="93" t="str" cm="1">
        <f t="array" ref="CU78">_xlfn.LET(
  _xlpm.w, CU$11,
  _xlpm.r, MATCH(1,('3. Enter Indicator Scores'!$B$10:$B$161=$B78)*('3. Enter Indicator Scores'!$C$10:$C$161=$C78),0),
  _xlpm.c, MATCH(CU$8,'3. Enter Indicator Scores'!$D$8:$CZ$8,0),
  _xlpm.v, IFERROR(INDEX('3. Enter Indicator Scores'!$D$10:$CZ$161,_xlpm.r,_xlpm.c),""),
  IF(OR(_xlpm.w="",_xlpm.v=""),"",_xlpm.v*_xlpm.w)
)</f>
        <v/>
      </c>
      <c r="CV78" s="93" t="str" cm="1">
        <f t="array" ref="CV78">_xlfn.LET(
  _xlpm.w, CV$11,
  _xlpm.r, MATCH(1,('3. Enter Indicator Scores'!$B$10:$B$161=$B78)*('3. Enter Indicator Scores'!$C$10:$C$161=$C78),0),
  _xlpm.c, MATCH(CV$8,'3. Enter Indicator Scores'!$D$8:$CZ$8,0),
  _xlpm.v, IFERROR(INDEX('3. Enter Indicator Scores'!$D$10:$CZ$161,_xlpm.r,_xlpm.c),""),
  IF(OR(_xlpm.w="",_xlpm.v=""),"",_xlpm.v*_xlpm.w)
)</f>
        <v/>
      </c>
      <c r="CW78" s="93" t="str" cm="1">
        <f t="array" ref="CW78">_xlfn.LET(
  _xlpm.w, CW$11,
  _xlpm.r, MATCH(1,('3. Enter Indicator Scores'!$B$10:$B$161=$B78)*('3. Enter Indicator Scores'!$C$10:$C$161=$C78),0),
  _xlpm.c, MATCH(CW$8,'3. Enter Indicator Scores'!$D$8:$CZ$8,0),
  _xlpm.v, IFERROR(INDEX('3. Enter Indicator Scores'!$D$10:$CZ$161,_xlpm.r,_xlpm.c),""),
  IF(OR(_xlpm.w="",_xlpm.v=""),"",_xlpm.v*_xlpm.w)
)</f>
        <v/>
      </c>
      <c r="CX78" s="93" t="str" cm="1">
        <f t="array" ref="CX78">_xlfn.LET(
  _xlpm.w, CX$11,
  _xlpm.r, MATCH(1,('3. Enter Indicator Scores'!$B$10:$B$161=$B78)*('3. Enter Indicator Scores'!$C$10:$C$161=$C78),0),
  _xlpm.c, MATCH(CX$8,'3. Enter Indicator Scores'!$D$8:$CZ$8,0),
  _xlpm.v, IFERROR(INDEX('3. Enter Indicator Scores'!$D$10:$CZ$161,_xlpm.r,_xlpm.c),""),
  IF(OR(_xlpm.w="",_xlpm.v=""),"",_xlpm.v*_xlpm.w)
)</f>
        <v/>
      </c>
      <c r="CY78" s="93" t="str" cm="1">
        <f t="array" ref="CY78">_xlfn.LET(
  _xlpm.w, CY$11,
  _xlpm.r, MATCH(1,('3. Enter Indicator Scores'!$B$10:$B$161=$B78)*('3. Enter Indicator Scores'!$C$10:$C$161=$C78),0),
  _xlpm.c, MATCH(CY$8,'3. Enter Indicator Scores'!$D$8:$CZ$8,0),
  _xlpm.v, IFERROR(INDEX('3. Enter Indicator Scores'!$D$10:$CZ$161,_xlpm.r,_xlpm.c),""),
  IF(OR(_xlpm.w="",_xlpm.v=""),"",_xlpm.v*_xlpm.w)
)</f>
        <v/>
      </c>
      <c r="CZ78" s="93" t="str" cm="1">
        <f t="array" ref="CZ78">_xlfn.LET(
  _xlpm.w, CZ$11,
  _xlpm.r, MATCH(1,('3. Enter Indicator Scores'!$B$10:$B$161=$B78)*('3. Enter Indicator Scores'!$C$10:$C$161=$C78),0),
  _xlpm.c, MATCH(CZ$8,'3. Enter Indicator Scores'!$D$8:$CZ$8,0),
  _xlpm.v, IFERROR(INDEX('3. Enter Indicator Scores'!$D$10:$CZ$161,_xlpm.r,_xlpm.c),""),
  IF(OR(_xlpm.w="",_xlpm.v=""),"",_xlpm.v*_xlpm.w)
)</f>
        <v/>
      </c>
    </row>
    <row r="79" spans="4:104" x14ac:dyDescent="0.2">
      <c r="D79" s="93" t="str" cm="1">
        <f t="array" ref="D79">_xlfn.LET(
  _xlpm.w, D$11,
  _xlpm.r, MATCH(1,('3. Enter Indicator Scores'!$B$10:$B$161=$B79)*('3. Enter Indicator Scores'!$C$10:$C$161=$C79),0),
  _xlpm.c, MATCH(D$8,'3. Enter Indicator Scores'!$D$8:$CZ$8,0),
  _xlpm.v, IFERROR(INDEX('3. Enter Indicator Scores'!$D$10:$CZ$161,_xlpm.r,_xlpm.c),""),
  IF(OR(_xlpm.w="",_xlpm.v=""),"",_xlpm.v*_xlpm.w)
)</f>
        <v/>
      </c>
      <c r="E79" s="93" t="str" cm="1">
        <f t="array" ref="E79">_xlfn.LET(
  _xlpm.w, E$11,
  _xlpm.r, MATCH(1,('3. Enter Indicator Scores'!$B$10:$B$161=$B79)*('3. Enter Indicator Scores'!$C$10:$C$161=$C79),0),
  _xlpm.c, MATCH(E$8,'3. Enter Indicator Scores'!$D$8:$CZ$8,0),
  _xlpm.v, IFERROR(INDEX('3. Enter Indicator Scores'!$D$10:$CZ$161,_xlpm.r,_xlpm.c),""),
  IF(OR(_xlpm.w="",_xlpm.v=""),"",_xlpm.v*_xlpm.w)
)</f>
        <v/>
      </c>
      <c r="F79" s="93" t="str" cm="1">
        <f t="array" ref="F79">_xlfn.LET(
  _xlpm.w, F$11,
  _xlpm.r, MATCH(1,('3. Enter Indicator Scores'!$B$10:$B$161=$B79)*('3. Enter Indicator Scores'!$C$10:$C$161=$C79),0),
  _xlpm.c, MATCH(F$8,'3. Enter Indicator Scores'!$D$8:$CZ$8,0),
  _xlpm.v, IFERROR(INDEX('3. Enter Indicator Scores'!$D$10:$CZ$161,_xlpm.r,_xlpm.c),""),
  IF(OR(_xlpm.w="",_xlpm.v=""),"",_xlpm.v*_xlpm.w)
)</f>
        <v/>
      </c>
      <c r="G79" s="93" t="str" cm="1">
        <f t="array" ref="G79">_xlfn.LET(
  _xlpm.w, G$11,
  _xlpm.r, MATCH(1,('3. Enter Indicator Scores'!$B$10:$B$161=$B79)*('3. Enter Indicator Scores'!$C$10:$C$161=$C79),0),
  _xlpm.c, MATCH(G$8,'3. Enter Indicator Scores'!$D$8:$CZ$8,0),
  _xlpm.v, IFERROR(INDEX('3. Enter Indicator Scores'!$D$10:$CZ$161,_xlpm.r,_xlpm.c),""),
  IF(OR(_xlpm.w="",_xlpm.v=""),"",_xlpm.v*_xlpm.w)
)</f>
        <v/>
      </c>
      <c r="H79" s="93" t="str" cm="1">
        <f t="array" ref="H79">_xlfn.LET(
  _xlpm.w, H$11,
  _xlpm.r, MATCH(1,('3. Enter Indicator Scores'!$B$10:$B$161=$B79)*('3. Enter Indicator Scores'!$C$10:$C$161=$C79),0),
  _xlpm.c, MATCH(H$8,'3. Enter Indicator Scores'!$D$8:$CZ$8,0),
  _xlpm.v, IFERROR(INDEX('3. Enter Indicator Scores'!$D$10:$CZ$161,_xlpm.r,_xlpm.c),""),
  IF(OR(_xlpm.w="",_xlpm.v=""),"",_xlpm.v*_xlpm.w)
)</f>
        <v/>
      </c>
      <c r="I79" s="93" t="str" cm="1">
        <f t="array" ref="I79">_xlfn.LET(
  _xlpm.w, I$11,
  _xlpm.r, MATCH(1,('3. Enter Indicator Scores'!$B$10:$B$161=$B79)*('3. Enter Indicator Scores'!$C$10:$C$161=$C79),0),
  _xlpm.c, MATCH(I$8,'3. Enter Indicator Scores'!$D$8:$CZ$8,0),
  _xlpm.v, IFERROR(INDEX('3. Enter Indicator Scores'!$D$10:$CZ$161,_xlpm.r,_xlpm.c),""),
  IF(OR(_xlpm.w="",_xlpm.v=""),"",_xlpm.v*_xlpm.w)
)</f>
        <v/>
      </c>
      <c r="J79" s="93" t="str" cm="1">
        <f t="array" ref="J79">_xlfn.LET(
  _xlpm.w, J$11,
  _xlpm.r, MATCH(1,('3. Enter Indicator Scores'!$B$10:$B$161=$B79)*('3. Enter Indicator Scores'!$C$10:$C$161=$C79),0),
  _xlpm.c, MATCH(J$8,'3. Enter Indicator Scores'!$D$8:$CZ$8,0),
  _xlpm.v, IFERROR(INDEX('3. Enter Indicator Scores'!$D$10:$CZ$161,_xlpm.r,_xlpm.c),""),
  IF(OR(_xlpm.w="",_xlpm.v=""),"",_xlpm.v*_xlpm.w)
)</f>
        <v/>
      </c>
      <c r="K79" s="93" t="str" cm="1">
        <f t="array" ref="K79">_xlfn.LET(
  _xlpm.w, K$11,
  _xlpm.r, MATCH(1,('3. Enter Indicator Scores'!$B$10:$B$161=$B79)*('3. Enter Indicator Scores'!$C$10:$C$161=$C79),0),
  _xlpm.c, MATCH(K$8,'3. Enter Indicator Scores'!$D$8:$CZ$8,0),
  _xlpm.v, IFERROR(INDEX('3. Enter Indicator Scores'!$D$10:$CZ$161,_xlpm.r,_xlpm.c),""),
  IF(OR(_xlpm.w="",_xlpm.v=""),"",_xlpm.v*_xlpm.w)
)</f>
        <v/>
      </c>
      <c r="L79" s="93" t="str" cm="1">
        <f t="array" ref="L79">_xlfn.LET(
  _xlpm.w, L$11,
  _xlpm.r, MATCH(1,('3. Enter Indicator Scores'!$B$10:$B$161=$B79)*('3. Enter Indicator Scores'!$C$10:$C$161=$C79),0),
  _xlpm.c, MATCH(L$8,'3. Enter Indicator Scores'!$D$8:$CZ$8,0),
  _xlpm.v, IFERROR(INDEX('3. Enter Indicator Scores'!$D$10:$CZ$161,_xlpm.r,_xlpm.c),""),
  IF(OR(_xlpm.w="",_xlpm.v=""),"",_xlpm.v*_xlpm.w)
)</f>
        <v/>
      </c>
      <c r="M79" s="93" t="str" cm="1">
        <f t="array" ref="M79">_xlfn.LET(
  _xlpm.w, M$11,
  _xlpm.r, MATCH(1,('3. Enter Indicator Scores'!$B$10:$B$161=$B79)*('3. Enter Indicator Scores'!$C$10:$C$161=$C79),0),
  _xlpm.c, MATCH(M$8,'3. Enter Indicator Scores'!$D$8:$CZ$8,0),
  _xlpm.v, IFERROR(INDEX('3. Enter Indicator Scores'!$D$10:$CZ$161,_xlpm.r,_xlpm.c),""),
  IF(OR(_xlpm.w="",_xlpm.v=""),"",_xlpm.v*_xlpm.w)
)</f>
        <v/>
      </c>
      <c r="N79" s="93" t="str" cm="1">
        <f t="array" ref="N79">_xlfn.LET(
  _xlpm.w, N$11,
  _xlpm.r, MATCH(1,('3. Enter Indicator Scores'!$B$10:$B$161=$B79)*('3. Enter Indicator Scores'!$C$10:$C$161=$C79),0),
  _xlpm.c, MATCH(N$8,'3. Enter Indicator Scores'!$D$8:$CZ$8,0),
  _xlpm.v, IFERROR(INDEX('3. Enter Indicator Scores'!$D$10:$CZ$161,_xlpm.r,_xlpm.c),""),
  IF(OR(_xlpm.w="",_xlpm.v=""),"",_xlpm.v*_xlpm.w)
)</f>
        <v/>
      </c>
      <c r="O79" s="93" t="str" cm="1">
        <f t="array" ref="O79">_xlfn.LET(
  _xlpm.w, O$11,
  _xlpm.r, MATCH(1,('3. Enter Indicator Scores'!$B$10:$B$161=$B79)*('3. Enter Indicator Scores'!$C$10:$C$161=$C79),0),
  _xlpm.c, MATCH(O$8,'3. Enter Indicator Scores'!$D$8:$CZ$8,0),
  _xlpm.v, IFERROR(INDEX('3. Enter Indicator Scores'!$D$10:$CZ$161,_xlpm.r,_xlpm.c),""),
  IF(OR(_xlpm.w="",_xlpm.v=""),"",_xlpm.v*_xlpm.w)
)</f>
        <v/>
      </c>
      <c r="P79" s="93" t="str" cm="1">
        <f t="array" ref="P79">_xlfn.LET(
  _xlpm.w, P$11,
  _xlpm.r, MATCH(1,('3. Enter Indicator Scores'!$B$10:$B$161=$B79)*('3. Enter Indicator Scores'!$C$10:$C$161=$C79),0),
  _xlpm.c, MATCH(P$8,'3. Enter Indicator Scores'!$D$8:$CZ$8,0),
  _xlpm.v, IFERROR(INDEX('3. Enter Indicator Scores'!$D$10:$CZ$161,_xlpm.r,_xlpm.c),""),
  IF(OR(_xlpm.w="",_xlpm.v=""),"",_xlpm.v*_xlpm.w)
)</f>
        <v/>
      </c>
      <c r="Q79" s="93" t="str" cm="1">
        <f t="array" ref="Q79">_xlfn.LET(
  _xlpm.w, Q$11,
  _xlpm.r, MATCH(1,('3. Enter Indicator Scores'!$B$10:$B$161=$B79)*('3. Enter Indicator Scores'!$C$10:$C$161=$C79),0),
  _xlpm.c, MATCH(Q$8,'3. Enter Indicator Scores'!$D$8:$CZ$8,0),
  _xlpm.v, IFERROR(INDEX('3. Enter Indicator Scores'!$D$10:$CZ$161,_xlpm.r,_xlpm.c),""),
  IF(OR(_xlpm.w="",_xlpm.v=""),"",_xlpm.v*_xlpm.w)
)</f>
        <v/>
      </c>
      <c r="R79" s="93" t="str" cm="1">
        <f t="array" ref="R79">_xlfn.LET(
  _xlpm.w, R$11,
  _xlpm.r, MATCH(1,('3. Enter Indicator Scores'!$B$10:$B$161=$B79)*('3. Enter Indicator Scores'!$C$10:$C$161=$C79),0),
  _xlpm.c, MATCH(R$8,'3. Enter Indicator Scores'!$D$8:$CZ$8,0),
  _xlpm.v, IFERROR(INDEX('3. Enter Indicator Scores'!$D$10:$CZ$161,_xlpm.r,_xlpm.c),""),
  IF(OR(_xlpm.w="",_xlpm.v=""),"",_xlpm.v*_xlpm.w)
)</f>
        <v/>
      </c>
      <c r="S79" s="93" t="str" cm="1">
        <f t="array" ref="S79">_xlfn.LET(
  _xlpm.w, S$11,
  _xlpm.r, MATCH(1,('3. Enter Indicator Scores'!$B$10:$B$161=$B79)*('3. Enter Indicator Scores'!$C$10:$C$161=$C79),0),
  _xlpm.c, MATCH(S$8,'3. Enter Indicator Scores'!$D$8:$CZ$8,0),
  _xlpm.v, IFERROR(INDEX('3. Enter Indicator Scores'!$D$10:$CZ$161,_xlpm.r,_xlpm.c),""),
  IF(OR(_xlpm.w="",_xlpm.v=""),"",_xlpm.v*_xlpm.w)
)</f>
        <v/>
      </c>
      <c r="T79" s="93" t="str" cm="1">
        <f t="array" ref="T79">_xlfn.LET(
  _xlpm.w, T$11,
  _xlpm.r, MATCH(1,('3. Enter Indicator Scores'!$B$10:$B$161=$B79)*('3. Enter Indicator Scores'!$C$10:$C$161=$C79),0),
  _xlpm.c, MATCH(T$8,'3. Enter Indicator Scores'!$D$8:$CZ$8,0),
  _xlpm.v, IFERROR(INDEX('3. Enter Indicator Scores'!$D$10:$CZ$161,_xlpm.r,_xlpm.c),""),
  IF(OR(_xlpm.w="",_xlpm.v=""),"",_xlpm.v*_xlpm.w)
)</f>
        <v/>
      </c>
      <c r="U79" s="93" t="str" cm="1">
        <f t="array" ref="U79">_xlfn.LET(
  _xlpm.w, U$11,
  _xlpm.r, MATCH(1,('3. Enter Indicator Scores'!$B$10:$B$161=$B79)*('3. Enter Indicator Scores'!$C$10:$C$161=$C79),0),
  _xlpm.c, MATCH(U$8,'3. Enter Indicator Scores'!$D$8:$CZ$8,0),
  _xlpm.v, IFERROR(INDEX('3. Enter Indicator Scores'!$D$10:$CZ$161,_xlpm.r,_xlpm.c),""),
  IF(OR(_xlpm.w="",_xlpm.v=""),"",_xlpm.v*_xlpm.w)
)</f>
        <v/>
      </c>
      <c r="V79" s="93" t="str" cm="1">
        <f t="array" ref="V79">_xlfn.LET(
  _xlpm.w, V$11,
  _xlpm.r, MATCH(1,('3. Enter Indicator Scores'!$B$10:$B$161=$B79)*('3. Enter Indicator Scores'!$C$10:$C$161=$C79),0),
  _xlpm.c, MATCH(V$8,'3. Enter Indicator Scores'!$D$8:$CZ$8,0),
  _xlpm.v, IFERROR(INDEX('3. Enter Indicator Scores'!$D$10:$CZ$161,_xlpm.r,_xlpm.c),""),
  IF(OR(_xlpm.w="",_xlpm.v=""),"",_xlpm.v*_xlpm.w)
)</f>
        <v/>
      </c>
      <c r="W79" s="93" t="str" cm="1">
        <f t="array" ref="W79">_xlfn.LET(
  _xlpm.w, W$11,
  _xlpm.r, MATCH(1,('3. Enter Indicator Scores'!$B$10:$B$161=$B79)*('3. Enter Indicator Scores'!$C$10:$C$161=$C79),0),
  _xlpm.c, MATCH(W$8,'3. Enter Indicator Scores'!$D$8:$CZ$8,0),
  _xlpm.v, IFERROR(INDEX('3. Enter Indicator Scores'!$D$10:$CZ$161,_xlpm.r,_xlpm.c),""),
  IF(OR(_xlpm.w="",_xlpm.v=""),"",_xlpm.v*_xlpm.w)
)</f>
        <v/>
      </c>
      <c r="X79" s="93" t="str" cm="1">
        <f t="array" ref="X79">_xlfn.LET(
  _xlpm.w, X$11,
  _xlpm.r, MATCH(1,('3. Enter Indicator Scores'!$B$10:$B$161=$B79)*('3. Enter Indicator Scores'!$C$10:$C$161=$C79),0),
  _xlpm.c, MATCH(X$8,'3. Enter Indicator Scores'!$D$8:$CZ$8,0),
  _xlpm.v, IFERROR(INDEX('3. Enter Indicator Scores'!$D$10:$CZ$161,_xlpm.r,_xlpm.c),""),
  IF(OR(_xlpm.w="",_xlpm.v=""),"",_xlpm.v*_xlpm.w)
)</f>
        <v/>
      </c>
      <c r="Y79" s="93" t="str" cm="1">
        <f t="array" ref="Y79">_xlfn.LET(
  _xlpm.w, Y$11,
  _xlpm.r, MATCH(1,('3. Enter Indicator Scores'!$B$10:$B$161=$B79)*('3. Enter Indicator Scores'!$C$10:$C$161=$C79),0),
  _xlpm.c, MATCH(Y$8,'3. Enter Indicator Scores'!$D$8:$CZ$8,0),
  _xlpm.v, IFERROR(INDEX('3. Enter Indicator Scores'!$D$10:$CZ$161,_xlpm.r,_xlpm.c),""),
  IF(OR(_xlpm.w="",_xlpm.v=""),"",_xlpm.v*_xlpm.w)
)</f>
        <v/>
      </c>
      <c r="Z79" s="93" t="str" cm="1">
        <f t="array" ref="Z79">_xlfn.LET(
  _xlpm.w, Z$11,
  _xlpm.r, MATCH(1,('3. Enter Indicator Scores'!$B$10:$B$161=$B79)*('3. Enter Indicator Scores'!$C$10:$C$161=$C79),0),
  _xlpm.c, MATCH(Z$8,'3. Enter Indicator Scores'!$D$8:$CZ$8,0),
  _xlpm.v, IFERROR(INDEX('3. Enter Indicator Scores'!$D$10:$CZ$161,_xlpm.r,_xlpm.c),""),
  IF(OR(_xlpm.w="",_xlpm.v=""),"",_xlpm.v*_xlpm.w)
)</f>
        <v/>
      </c>
      <c r="AA79" s="93" t="str" cm="1">
        <f t="array" ref="AA79">_xlfn.LET(
  _xlpm.w, AA$11,
  _xlpm.r, MATCH(1,('3. Enter Indicator Scores'!$B$10:$B$161=$B79)*('3. Enter Indicator Scores'!$C$10:$C$161=$C79),0),
  _xlpm.c, MATCH(AA$8,'3. Enter Indicator Scores'!$D$8:$CZ$8,0),
  _xlpm.v, IFERROR(INDEX('3. Enter Indicator Scores'!$D$10:$CZ$161,_xlpm.r,_xlpm.c),""),
  IF(OR(_xlpm.w="",_xlpm.v=""),"",_xlpm.v*_xlpm.w)
)</f>
        <v/>
      </c>
      <c r="AB79" s="93" t="str" cm="1">
        <f t="array" ref="AB79">_xlfn.LET(
  _xlpm.w, AB$11,
  _xlpm.r, MATCH(1,('3. Enter Indicator Scores'!$B$10:$B$161=$B79)*('3. Enter Indicator Scores'!$C$10:$C$161=$C79),0),
  _xlpm.c, MATCH(AB$8,'3. Enter Indicator Scores'!$D$8:$CZ$8,0),
  _xlpm.v, IFERROR(INDEX('3. Enter Indicator Scores'!$D$10:$CZ$161,_xlpm.r,_xlpm.c),""),
  IF(OR(_xlpm.w="",_xlpm.v=""),"",_xlpm.v*_xlpm.w)
)</f>
        <v/>
      </c>
      <c r="AC79" s="93" t="str" cm="1">
        <f t="array" ref="AC79">_xlfn.LET(
  _xlpm.w, AC$11,
  _xlpm.r, MATCH(1,('3. Enter Indicator Scores'!$B$10:$B$161=$B79)*('3. Enter Indicator Scores'!$C$10:$C$161=$C79),0),
  _xlpm.c, MATCH(AC$8,'3. Enter Indicator Scores'!$D$8:$CZ$8,0),
  _xlpm.v, IFERROR(INDEX('3. Enter Indicator Scores'!$D$10:$CZ$161,_xlpm.r,_xlpm.c),""),
  IF(OR(_xlpm.w="",_xlpm.v=""),"",_xlpm.v*_xlpm.w)
)</f>
        <v/>
      </c>
      <c r="AD79" s="93" t="str" cm="1">
        <f t="array" ref="AD79">_xlfn.LET(
  _xlpm.w, AD$11,
  _xlpm.r, MATCH(1,('3. Enter Indicator Scores'!$B$10:$B$161=$B79)*('3. Enter Indicator Scores'!$C$10:$C$161=$C79),0),
  _xlpm.c, MATCH(AD$8,'3. Enter Indicator Scores'!$D$8:$CZ$8,0),
  _xlpm.v, IFERROR(INDEX('3. Enter Indicator Scores'!$D$10:$CZ$161,_xlpm.r,_xlpm.c),""),
  IF(OR(_xlpm.w="",_xlpm.v=""),"",_xlpm.v*_xlpm.w)
)</f>
        <v/>
      </c>
      <c r="AE79" s="93" t="str" cm="1">
        <f t="array" ref="AE79">_xlfn.LET(
  _xlpm.w, AE$11,
  _xlpm.r, MATCH(1,('3. Enter Indicator Scores'!$B$10:$B$161=$B79)*('3. Enter Indicator Scores'!$C$10:$C$161=$C79),0),
  _xlpm.c, MATCH(AE$8,'3. Enter Indicator Scores'!$D$8:$CZ$8,0),
  _xlpm.v, IFERROR(INDEX('3. Enter Indicator Scores'!$D$10:$CZ$161,_xlpm.r,_xlpm.c),""),
  IF(OR(_xlpm.w="",_xlpm.v=""),"",_xlpm.v*_xlpm.w)
)</f>
        <v/>
      </c>
      <c r="AF79" s="93" t="str" cm="1">
        <f t="array" ref="AF79">_xlfn.LET(
  _xlpm.w, AF$11,
  _xlpm.r, MATCH(1,('3. Enter Indicator Scores'!$B$10:$B$161=$B79)*('3. Enter Indicator Scores'!$C$10:$C$161=$C79),0),
  _xlpm.c, MATCH(AF$8,'3. Enter Indicator Scores'!$D$8:$CZ$8,0),
  _xlpm.v, IFERROR(INDEX('3. Enter Indicator Scores'!$D$10:$CZ$161,_xlpm.r,_xlpm.c),""),
  IF(OR(_xlpm.w="",_xlpm.v=""),"",_xlpm.v*_xlpm.w)
)</f>
        <v/>
      </c>
      <c r="AG79" s="93" t="str" cm="1">
        <f t="array" ref="AG79">_xlfn.LET(
  _xlpm.w, AG$11,
  _xlpm.r, MATCH(1,('3. Enter Indicator Scores'!$B$10:$B$161=$B79)*('3. Enter Indicator Scores'!$C$10:$C$161=$C79),0),
  _xlpm.c, MATCH(AG$8,'3. Enter Indicator Scores'!$D$8:$CZ$8,0),
  _xlpm.v, IFERROR(INDEX('3. Enter Indicator Scores'!$D$10:$CZ$161,_xlpm.r,_xlpm.c),""),
  IF(OR(_xlpm.w="",_xlpm.v=""),"",_xlpm.v*_xlpm.w)
)</f>
        <v/>
      </c>
      <c r="AH79" s="93" t="str" cm="1">
        <f t="array" ref="AH79">_xlfn.LET(
  _xlpm.w, AH$11,
  _xlpm.r, MATCH(1,('3. Enter Indicator Scores'!$B$10:$B$161=$B79)*('3. Enter Indicator Scores'!$C$10:$C$161=$C79),0),
  _xlpm.c, MATCH(AH$8,'3. Enter Indicator Scores'!$D$8:$CZ$8,0),
  _xlpm.v, IFERROR(INDEX('3. Enter Indicator Scores'!$D$10:$CZ$161,_xlpm.r,_xlpm.c),""),
  IF(OR(_xlpm.w="",_xlpm.v=""),"",_xlpm.v*_xlpm.w)
)</f>
        <v/>
      </c>
      <c r="AI79" s="93" t="str" cm="1">
        <f t="array" ref="AI79">_xlfn.LET(
  _xlpm.w, AI$11,
  _xlpm.r, MATCH(1,('3. Enter Indicator Scores'!$B$10:$B$161=$B79)*('3. Enter Indicator Scores'!$C$10:$C$161=$C79),0),
  _xlpm.c, MATCH(AI$8,'3. Enter Indicator Scores'!$D$8:$CZ$8,0),
  _xlpm.v, IFERROR(INDEX('3. Enter Indicator Scores'!$D$10:$CZ$161,_xlpm.r,_xlpm.c),""),
  IF(OR(_xlpm.w="",_xlpm.v=""),"",_xlpm.v*_xlpm.w)
)</f>
        <v/>
      </c>
      <c r="AJ79" s="93" t="str" cm="1">
        <f t="array" ref="AJ79">_xlfn.LET(
  _xlpm.w, AJ$11,
  _xlpm.r, MATCH(1,('3. Enter Indicator Scores'!$B$10:$B$161=$B79)*('3. Enter Indicator Scores'!$C$10:$C$161=$C79),0),
  _xlpm.c, MATCH(AJ$8,'3. Enter Indicator Scores'!$D$8:$CZ$8,0),
  _xlpm.v, IFERROR(INDEX('3. Enter Indicator Scores'!$D$10:$CZ$161,_xlpm.r,_xlpm.c),""),
  IF(OR(_xlpm.w="",_xlpm.v=""),"",_xlpm.v*_xlpm.w)
)</f>
        <v/>
      </c>
      <c r="AK79" s="93" t="str" cm="1">
        <f t="array" ref="AK79">_xlfn.LET(
  _xlpm.w, AK$11,
  _xlpm.r, MATCH(1,('3. Enter Indicator Scores'!$B$10:$B$161=$B79)*('3. Enter Indicator Scores'!$C$10:$C$161=$C79),0),
  _xlpm.c, MATCH(AK$8,'3. Enter Indicator Scores'!$D$8:$CZ$8,0),
  _xlpm.v, IFERROR(INDEX('3. Enter Indicator Scores'!$D$10:$CZ$161,_xlpm.r,_xlpm.c),""),
  IF(OR(_xlpm.w="",_xlpm.v=""),"",_xlpm.v*_xlpm.w)
)</f>
        <v/>
      </c>
      <c r="AL79" s="93" t="str" cm="1">
        <f t="array" ref="AL79">_xlfn.LET(
  _xlpm.w, AL$11,
  _xlpm.r, MATCH(1,('3. Enter Indicator Scores'!$B$10:$B$161=$B79)*('3. Enter Indicator Scores'!$C$10:$C$161=$C79),0),
  _xlpm.c, MATCH(AL$8,'3. Enter Indicator Scores'!$D$8:$CZ$8,0),
  _xlpm.v, IFERROR(INDEX('3. Enter Indicator Scores'!$D$10:$CZ$161,_xlpm.r,_xlpm.c),""),
  IF(OR(_xlpm.w="",_xlpm.v=""),"",_xlpm.v*_xlpm.w)
)</f>
        <v/>
      </c>
      <c r="AM79" s="93" t="str" cm="1">
        <f t="array" ref="AM79">_xlfn.LET(
  _xlpm.w, AM$11,
  _xlpm.r, MATCH(1,('3. Enter Indicator Scores'!$B$10:$B$161=$B79)*('3. Enter Indicator Scores'!$C$10:$C$161=$C79),0),
  _xlpm.c, MATCH(AM$8,'3. Enter Indicator Scores'!$D$8:$CZ$8,0),
  _xlpm.v, IFERROR(INDEX('3. Enter Indicator Scores'!$D$10:$CZ$161,_xlpm.r,_xlpm.c),""),
  IF(OR(_xlpm.w="",_xlpm.v=""),"",_xlpm.v*_xlpm.w)
)</f>
        <v/>
      </c>
      <c r="AN79" s="93" t="str" cm="1">
        <f t="array" ref="AN79">_xlfn.LET(
  _xlpm.w, AN$11,
  _xlpm.r, MATCH(1,('3. Enter Indicator Scores'!$B$10:$B$161=$B79)*('3. Enter Indicator Scores'!$C$10:$C$161=$C79),0),
  _xlpm.c, MATCH(AN$8,'3. Enter Indicator Scores'!$D$8:$CZ$8,0),
  _xlpm.v, IFERROR(INDEX('3. Enter Indicator Scores'!$D$10:$CZ$161,_xlpm.r,_xlpm.c),""),
  IF(OR(_xlpm.w="",_xlpm.v=""),"",_xlpm.v*_xlpm.w)
)</f>
        <v/>
      </c>
      <c r="AO79" s="93" t="str" cm="1">
        <f t="array" ref="AO79">_xlfn.LET(
  _xlpm.w, AO$11,
  _xlpm.r, MATCH(1,('3. Enter Indicator Scores'!$B$10:$B$161=$B79)*('3. Enter Indicator Scores'!$C$10:$C$161=$C79),0),
  _xlpm.c, MATCH(AO$8,'3. Enter Indicator Scores'!$D$8:$CZ$8,0),
  _xlpm.v, IFERROR(INDEX('3. Enter Indicator Scores'!$D$10:$CZ$161,_xlpm.r,_xlpm.c),""),
  IF(OR(_xlpm.w="",_xlpm.v=""),"",_xlpm.v*_xlpm.w)
)</f>
        <v/>
      </c>
      <c r="AP79" s="93" t="str" cm="1">
        <f t="array" ref="AP79">_xlfn.LET(
  _xlpm.w, AP$11,
  _xlpm.r, MATCH(1,('3. Enter Indicator Scores'!$B$10:$B$161=$B79)*('3. Enter Indicator Scores'!$C$10:$C$161=$C79),0),
  _xlpm.c, MATCH(AP$8,'3. Enter Indicator Scores'!$D$8:$CZ$8,0),
  _xlpm.v, IFERROR(INDEX('3. Enter Indicator Scores'!$D$10:$CZ$161,_xlpm.r,_xlpm.c),""),
  IF(OR(_xlpm.w="",_xlpm.v=""),"",_xlpm.v*_xlpm.w)
)</f>
        <v/>
      </c>
      <c r="AQ79" s="93" t="str" cm="1">
        <f t="array" ref="AQ79">_xlfn.LET(
  _xlpm.w, AQ$11,
  _xlpm.r, MATCH(1,('3. Enter Indicator Scores'!$B$10:$B$161=$B79)*('3. Enter Indicator Scores'!$C$10:$C$161=$C79),0),
  _xlpm.c, MATCH(AQ$8,'3. Enter Indicator Scores'!$D$8:$CZ$8,0),
  _xlpm.v, IFERROR(INDEX('3. Enter Indicator Scores'!$D$10:$CZ$161,_xlpm.r,_xlpm.c),""),
  IF(OR(_xlpm.w="",_xlpm.v=""),"",_xlpm.v*_xlpm.w)
)</f>
        <v/>
      </c>
      <c r="AR79" s="93" t="str" cm="1">
        <f t="array" ref="AR79">_xlfn.LET(
  _xlpm.w, AR$11,
  _xlpm.r, MATCH(1,('3. Enter Indicator Scores'!$B$10:$B$161=$B79)*('3. Enter Indicator Scores'!$C$10:$C$161=$C79),0),
  _xlpm.c, MATCH(AR$8,'3. Enter Indicator Scores'!$D$8:$CZ$8,0),
  _xlpm.v, IFERROR(INDEX('3. Enter Indicator Scores'!$D$10:$CZ$161,_xlpm.r,_xlpm.c),""),
  IF(OR(_xlpm.w="",_xlpm.v=""),"",_xlpm.v*_xlpm.w)
)</f>
        <v/>
      </c>
      <c r="AS79" s="93" t="str" cm="1">
        <f t="array" ref="AS79">_xlfn.LET(
  _xlpm.w, AS$11,
  _xlpm.r, MATCH(1,('3. Enter Indicator Scores'!$B$10:$B$161=$B79)*('3. Enter Indicator Scores'!$C$10:$C$161=$C79),0),
  _xlpm.c, MATCH(AS$8,'3. Enter Indicator Scores'!$D$8:$CZ$8,0),
  _xlpm.v, IFERROR(INDEX('3. Enter Indicator Scores'!$D$10:$CZ$161,_xlpm.r,_xlpm.c),""),
  IF(OR(_xlpm.w="",_xlpm.v=""),"",_xlpm.v*_xlpm.w)
)</f>
        <v/>
      </c>
      <c r="AT79" s="93" t="str" cm="1">
        <f t="array" ref="AT79">_xlfn.LET(
  _xlpm.w, AT$11,
  _xlpm.r, MATCH(1,('3. Enter Indicator Scores'!$B$10:$B$161=$B79)*('3. Enter Indicator Scores'!$C$10:$C$161=$C79),0),
  _xlpm.c, MATCH(AT$8,'3. Enter Indicator Scores'!$D$8:$CZ$8,0),
  _xlpm.v, IFERROR(INDEX('3. Enter Indicator Scores'!$D$10:$CZ$161,_xlpm.r,_xlpm.c),""),
  IF(OR(_xlpm.w="",_xlpm.v=""),"",_xlpm.v*_xlpm.w)
)</f>
        <v/>
      </c>
      <c r="AU79" s="93" t="str" cm="1">
        <f t="array" ref="AU79">_xlfn.LET(
  _xlpm.w, AU$11,
  _xlpm.r, MATCH(1,('3. Enter Indicator Scores'!$B$10:$B$161=$B79)*('3. Enter Indicator Scores'!$C$10:$C$161=$C79),0),
  _xlpm.c, MATCH(AU$8,'3. Enter Indicator Scores'!$D$8:$CZ$8,0),
  _xlpm.v, IFERROR(INDEX('3. Enter Indicator Scores'!$D$10:$CZ$161,_xlpm.r,_xlpm.c),""),
  IF(OR(_xlpm.w="",_xlpm.v=""),"",_xlpm.v*_xlpm.w)
)</f>
        <v/>
      </c>
      <c r="AV79" s="93" t="str" cm="1">
        <f t="array" ref="AV79">_xlfn.LET(
  _xlpm.w, AV$11,
  _xlpm.r, MATCH(1,('3. Enter Indicator Scores'!$B$10:$B$161=$B79)*('3. Enter Indicator Scores'!$C$10:$C$161=$C79),0),
  _xlpm.c, MATCH(AV$8,'3. Enter Indicator Scores'!$D$8:$CZ$8,0),
  _xlpm.v, IFERROR(INDEX('3. Enter Indicator Scores'!$D$10:$CZ$161,_xlpm.r,_xlpm.c),""),
  IF(OR(_xlpm.w="",_xlpm.v=""),"",_xlpm.v*_xlpm.w)
)</f>
        <v/>
      </c>
      <c r="AW79" s="93" t="str" cm="1">
        <f t="array" ref="AW79">_xlfn.LET(
  _xlpm.w, AW$11,
  _xlpm.r, MATCH(1,('3. Enter Indicator Scores'!$B$10:$B$161=$B79)*('3. Enter Indicator Scores'!$C$10:$C$161=$C79),0),
  _xlpm.c, MATCH(AW$8,'3. Enter Indicator Scores'!$D$8:$CZ$8,0),
  _xlpm.v, IFERROR(INDEX('3. Enter Indicator Scores'!$D$10:$CZ$161,_xlpm.r,_xlpm.c),""),
  IF(OR(_xlpm.w="",_xlpm.v=""),"",_xlpm.v*_xlpm.w)
)</f>
        <v/>
      </c>
      <c r="AX79" s="93" t="str" cm="1">
        <f t="array" ref="AX79">_xlfn.LET(
  _xlpm.w, AX$11,
  _xlpm.r, MATCH(1,('3. Enter Indicator Scores'!$B$10:$B$161=$B79)*('3. Enter Indicator Scores'!$C$10:$C$161=$C79),0),
  _xlpm.c, MATCH(AX$8,'3. Enter Indicator Scores'!$D$8:$CZ$8,0),
  _xlpm.v, IFERROR(INDEX('3. Enter Indicator Scores'!$D$10:$CZ$161,_xlpm.r,_xlpm.c),""),
  IF(OR(_xlpm.w="",_xlpm.v=""),"",_xlpm.v*_xlpm.w)
)</f>
        <v/>
      </c>
      <c r="AY79" s="93" t="str" cm="1">
        <f t="array" ref="AY79">_xlfn.LET(
  _xlpm.w, AY$11,
  _xlpm.r, MATCH(1,('3. Enter Indicator Scores'!$B$10:$B$161=$B79)*('3. Enter Indicator Scores'!$C$10:$C$161=$C79),0),
  _xlpm.c, MATCH(AY$8,'3. Enter Indicator Scores'!$D$8:$CZ$8,0),
  _xlpm.v, IFERROR(INDEX('3. Enter Indicator Scores'!$D$10:$CZ$161,_xlpm.r,_xlpm.c),""),
  IF(OR(_xlpm.w="",_xlpm.v=""),"",_xlpm.v*_xlpm.w)
)</f>
        <v/>
      </c>
      <c r="AZ79" s="93" t="str" cm="1">
        <f t="array" ref="AZ79">_xlfn.LET(
  _xlpm.w, AZ$11,
  _xlpm.r, MATCH(1,('3. Enter Indicator Scores'!$B$10:$B$161=$B79)*('3. Enter Indicator Scores'!$C$10:$C$161=$C79),0),
  _xlpm.c, MATCH(AZ$8,'3. Enter Indicator Scores'!$D$8:$CZ$8,0),
  _xlpm.v, IFERROR(INDEX('3. Enter Indicator Scores'!$D$10:$CZ$161,_xlpm.r,_xlpm.c),""),
  IF(OR(_xlpm.w="",_xlpm.v=""),"",_xlpm.v*_xlpm.w)
)</f>
        <v/>
      </c>
      <c r="BA79" s="93" t="str" cm="1">
        <f t="array" ref="BA79">_xlfn.LET(
  _xlpm.w, BA$11,
  _xlpm.r, MATCH(1,('3. Enter Indicator Scores'!$B$10:$B$161=$B79)*('3. Enter Indicator Scores'!$C$10:$C$161=$C79),0),
  _xlpm.c, MATCH(BA$8,'3. Enter Indicator Scores'!$D$8:$CZ$8,0),
  _xlpm.v, IFERROR(INDEX('3. Enter Indicator Scores'!$D$10:$CZ$161,_xlpm.r,_xlpm.c),""),
  IF(OR(_xlpm.w="",_xlpm.v=""),"",_xlpm.v*_xlpm.w)
)</f>
        <v/>
      </c>
      <c r="BB79" s="93" t="str" cm="1">
        <f t="array" ref="BB79">_xlfn.LET(
  _xlpm.w, BB$11,
  _xlpm.r, MATCH(1,('3. Enter Indicator Scores'!$B$10:$B$161=$B79)*('3. Enter Indicator Scores'!$C$10:$C$161=$C79),0),
  _xlpm.c, MATCH(BB$8,'3. Enter Indicator Scores'!$D$8:$CZ$8,0),
  _xlpm.v, IFERROR(INDEX('3. Enter Indicator Scores'!$D$10:$CZ$161,_xlpm.r,_xlpm.c),""),
  IF(OR(_xlpm.w="",_xlpm.v=""),"",_xlpm.v*_xlpm.w)
)</f>
        <v/>
      </c>
      <c r="BC79" s="93" t="str" cm="1">
        <f t="array" ref="BC79">_xlfn.LET(
  _xlpm.w, BC$11,
  _xlpm.r, MATCH(1,('3. Enter Indicator Scores'!$B$10:$B$161=$B79)*('3. Enter Indicator Scores'!$C$10:$C$161=$C79),0),
  _xlpm.c, MATCH(BC$8,'3. Enter Indicator Scores'!$D$8:$CZ$8,0),
  _xlpm.v, IFERROR(INDEX('3. Enter Indicator Scores'!$D$10:$CZ$161,_xlpm.r,_xlpm.c),""),
  IF(OR(_xlpm.w="",_xlpm.v=""),"",_xlpm.v*_xlpm.w)
)</f>
        <v/>
      </c>
      <c r="BD79" s="93" t="str" cm="1">
        <f t="array" ref="BD79">_xlfn.LET(
  _xlpm.w, BD$11,
  _xlpm.r, MATCH(1,('3. Enter Indicator Scores'!$B$10:$B$161=$B79)*('3. Enter Indicator Scores'!$C$10:$C$161=$C79),0),
  _xlpm.c, MATCH(BD$8,'3. Enter Indicator Scores'!$D$8:$CZ$8,0),
  _xlpm.v, IFERROR(INDEX('3. Enter Indicator Scores'!$D$10:$CZ$161,_xlpm.r,_xlpm.c),""),
  IF(OR(_xlpm.w="",_xlpm.v=""),"",_xlpm.v*_xlpm.w)
)</f>
        <v/>
      </c>
      <c r="BE79" s="93" t="str" cm="1">
        <f t="array" ref="BE79">_xlfn.LET(
  _xlpm.w, BE$11,
  _xlpm.r, MATCH(1,('3. Enter Indicator Scores'!$B$10:$B$161=$B79)*('3. Enter Indicator Scores'!$C$10:$C$161=$C79),0),
  _xlpm.c, MATCH(BE$8,'3. Enter Indicator Scores'!$D$8:$CZ$8,0),
  _xlpm.v, IFERROR(INDEX('3. Enter Indicator Scores'!$D$10:$CZ$161,_xlpm.r,_xlpm.c),""),
  IF(OR(_xlpm.w="",_xlpm.v=""),"",_xlpm.v*_xlpm.w)
)</f>
        <v/>
      </c>
      <c r="BF79" s="93" t="str" cm="1">
        <f t="array" ref="BF79">_xlfn.LET(
  _xlpm.w, BF$11,
  _xlpm.r, MATCH(1,('3. Enter Indicator Scores'!$B$10:$B$161=$B79)*('3. Enter Indicator Scores'!$C$10:$C$161=$C79),0),
  _xlpm.c, MATCH(BF$8,'3. Enter Indicator Scores'!$D$8:$CZ$8,0),
  _xlpm.v, IFERROR(INDEX('3. Enter Indicator Scores'!$D$10:$CZ$161,_xlpm.r,_xlpm.c),""),
  IF(OR(_xlpm.w="",_xlpm.v=""),"",_xlpm.v*_xlpm.w)
)</f>
        <v/>
      </c>
      <c r="BG79" s="93" t="str" cm="1">
        <f t="array" ref="BG79">_xlfn.LET(
  _xlpm.w, BG$11,
  _xlpm.r, MATCH(1,('3. Enter Indicator Scores'!$B$10:$B$161=$B79)*('3. Enter Indicator Scores'!$C$10:$C$161=$C79),0),
  _xlpm.c, MATCH(BG$8,'3. Enter Indicator Scores'!$D$8:$CZ$8,0),
  _xlpm.v, IFERROR(INDEX('3. Enter Indicator Scores'!$D$10:$CZ$161,_xlpm.r,_xlpm.c),""),
  IF(OR(_xlpm.w="",_xlpm.v=""),"",_xlpm.v*_xlpm.w)
)</f>
        <v/>
      </c>
      <c r="BH79" s="93" t="str" cm="1">
        <f t="array" ref="BH79">_xlfn.LET(
  _xlpm.w, BH$11,
  _xlpm.r, MATCH(1,('3. Enter Indicator Scores'!$B$10:$B$161=$B79)*('3. Enter Indicator Scores'!$C$10:$C$161=$C79),0),
  _xlpm.c, MATCH(BH$8,'3. Enter Indicator Scores'!$D$8:$CZ$8,0),
  _xlpm.v, IFERROR(INDEX('3. Enter Indicator Scores'!$D$10:$CZ$161,_xlpm.r,_xlpm.c),""),
  IF(OR(_xlpm.w="",_xlpm.v=""),"",_xlpm.v*_xlpm.w)
)</f>
        <v/>
      </c>
      <c r="BI79" s="93" t="str" cm="1">
        <f t="array" ref="BI79">_xlfn.LET(
  _xlpm.w, BI$11,
  _xlpm.r, MATCH(1,('3. Enter Indicator Scores'!$B$10:$B$161=$B79)*('3. Enter Indicator Scores'!$C$10:$C$161=$C79),0),
  _xlpm.c, MATCH(BI$8,'3. Enter Indicator Scores'!$D$8:$CZ$8,0),
  _xlpm.v, IFERROR(INDEX('3. Enter Indicator Scores'!$D$10:$CZ$161,_xlpm.r,_xlpm.c),""),
  IF(OR(_xlpm.w="",_xlpm.v=""),"",_xlpm.v*_xlpm.w)
)</f>
        <v/>
      </c>
      <c r="BJ79" s="93" t="str" cm="1">
        <f t="array" ref="BJ79">_xlfn.LET(
  _xlpm.w, BJ$11,
  _xlpm.r, MATCH(1,('3. Enter Indicator Scores'!$B$10:$B$161=$B79)*('3. Enter Indicator Scores'!$C$10:$C$161=$C79),0),
  _xlpm.c, MATCH(BJ$8,'3. Enter Indicator Scores'!$D$8:$CZ$8,0),
  _xlpm.v, IFERROR(INDEX('3. Enter Indicator Scores'!$D$10:$CZ$161,_xlpm.r,_xlpm.c),""),
  IF(OR(_xlpm.w="",_xlpm.v=""),"",_xlpm.v*_xlpm.w)
)</f>
        <v/>
      </c>
      <c r="BK79" s="93" t="str" cm="1">
        <f t="array" ref="BK79">_xlfn.LET(
  _xlpm.w, BK$11,
  _xlpm.r, MATCH(1,('3. Enter Indicator Scores'!$B$10:$B$161=$B79)*('3. Enter Indicator Scores'!$C$10:$C$161=$C79),0),
  _xlpm.c, MATCH(BK$8,'3. Enter Indicator Scores'!$D$8:$CZ$8,0),
  _xlpm.v, IFERROR(INDEX('3. Enter Indicator Scores'!$D$10:$CZ$161,_xlpm.r,_xlpm.c),""),
  IF(OR(_xlpm.w="",_xlpm.v=""),"",_xlpm.v*_xlpm.w)
)</f>
        <v/>
      </c>
      <c r="BL79" s="93" t="str" cm="1">
        <f t="array" ref="BL79">_xlfn.LET(
  _xlpm.w, BL$11,
  _xlpm.r, MATCH(1,('3. Enter Indicator Scores'!$B$10:$B$161=$B79)*('3. Enter Indicator Scores'!$C$10:$C$161=$C79),0),
  _xlpm.c, MATCH(BL$8,'3. Enter Indicator Scores'!$D$8:$CZ$8,0),
  _xlpm.v, IFERROR(INDEX('3. Enter Indicator Scores'!$D$10:$CZ$161,_xlpm.r,_xlpm.c),""),
  IF(OR(_xlpm.w="",_xlpm.v=""),"",_xlpm.v*_xlpm.w)
)</f>
        <v/>
      </c>
      <c r="BM79" s="93" t="str" cm="1">
        <f t="array" ref="BM79">_xlfn.LET(
  _xlpm.w, BM$11,
  _xlpm.r, MATCH(1,('3. Enter Indicator Scores'!$B$10:$B$161=$B79)*('3. Enter Indicator Scores'!$C$10:$C$161=$C79),0),
  _xlpm.c, MATCH(BM$8,'3. Enter Indicator Scores'!$D$8:$CZ$8,0),
  _xlpm.v, IFERROR(INDEX('3. Enter Indicator Scores'!$D$10:$CZ$161,_xlpm.r,_xlpm.c),""),
  IF(OR(_xlpm.w="",_xlpm.v=""),"",_xlpm.v*_xlpm.w)
)</f>
        <v/>
      </c>
      <c r="BN79" s="93" t="str" cm="1">
        <f t="array" ref="BN79">_xlfn.LET(
  _xlpm.w, BN$11,
  _xlpm.r, MATCH(1,('3. Enter Indicator Scores'!$B$10:$B$161=$B79)*('3. Enter Indicator Scores'!$C$10:$C$161=$C79),0),
  _xlpm.c, MATCH(BN$8,'3. Enter Indicator Scores'!$D$8:$CZ$8,0),
  _xlpm.v, IFERROR(INDEX('3. Enter Indicator Scores'!$D$10:$CZ$161,_xlpm.r,_xlpm.c),""),
  IF(OR(_xlpm.w="",_xlpm.v=""),"",_xlpm.v*_xlpm.w)
)</f>
        <v/>
      </c>
      <c r="BO79" s="93" t="str" cm="1">
        <f t="array" ref="BO79">_xlfn.LET(
  _xlpm.w, BO$11,
  _xlpm.r, MATCH(1,('3. Enter Indicator Scores'!$B$10:$B$161=$B79)*('3. Enter Indicator Scores'!$C$10:$C$161=$C79),0),
  _xlpm.c, MATCH(BO$8,'3. Enter Indicator Scores'!$D$8:$CZ$8,0),
  _xlpm.v, IFERROR(INDEX('3. Enter Indicator Scores'!$D$10:$CZ$161,_xlpm.r,_xlpm.c),""),
  IF(OR(_xlpm.w="",_xlpm.v=""),"",_xlpm.v*_xlpm.w)
)</f>
        <v/>
      </c>
      <c r="BP79" s="93" t="str" cm="1">
        <f t="array" ref="BP79">_xlfn.LET(
  _xlpm.w, BP$11,
  _xlpm.r, MATCH(1,('3. Enter Indicator Scores'!$B$10:$B$161=$B79)*('3. Enter Indicator Scores'!$C$10:$C$161=$C79),0),
  _xlpm.c, MATCH(BP$8,'3. Enter Indicator Scores'!$D$8:$CZ$8,0),
  _xlpm.v, IFERROR(INDEX('3. Enter Indicator Scores'!$D$10:$CZ$161,_xlpm.r,_xlpm.c),""),
  IF(OR(_xlpm.w="",_xlpm.v=""),"",_xlpm.v*_xlpm.w)
)</f>
        <v/>
      </c>
      <c r="BQ79" s="93" t="str" cm="1">
        <f t="array" ref="BQ79">_xlfn.LET(
  _xlpm.w, BQ$11,
  _xlpm.r, MATCH(1,('3. Enter Indicator Scores'!$B$10:$B$161=$B79)*('3. Enter Indicator Scores'!$C$10:$C$161=$C79),0),
  _xlpm.c, MATCH(BQ$8,'3. Enter Indicator Scores'!$D$8:$CZ$8,0),
  _xlpm.v, IFERROR(INDEX('3. Enter Indicator Scores'!$D$10:$CZ$161,_xlpm.r,_xlpm.c),""),
  IF(OR(_xlpm.w="",_xlpm.v=""),"",_xlpm.v*_xlpm.w)
)</f>
        <v/>
      </c>
      <c r="BR79" s="93" t="str" cm="1">
        <f t="array" ref="BR79">_xlfn.LET(
  _xlpm.w, BR$11,
  _xlpm.r, MATCH(1,('3. Enter Indicator Scores'!$B$10:$B$161=$B79)*('3. Enter Indicator Scores'!$C$10:$C$161=$C79),0),
  _xlpm.c, MATCH(BR$8,'3. Enter Indicator Scores'!$D$8:$CZ$8,0),
  _xlpm.v, IFERROR(INDEX('3. Enter Indicator Scores'!$D$10:$CZ$161,_xlpm.r,_xlpm.c),""),
  IF(OR(_xlpm.w="",_xlpm.v=""),"",_xlpm.v*_xlpm.w)
)</f>
        <v/>
      </c>
      <c r="BS79" s="93" t="str" cm="1">
        <f t="array" ref="BS79">_xlfn.LET(
  _xlpm.w, BS$11,
  _xlpm.r, MATCH(1,('3. Enter Indicator Scores'!$B$10:$B$161=$B79)*('3. Enter Indicator Scores'!$C$10:$C$161=$C79),0),
  _xlpm.c, MATCH(BS$8,'3. Enter Indicator Scores'!$D$8:$CZ$8,0),
  _xlpm.v, IFERROR(INDEX('3. Enter Indicator Scores'!$D$10:$CZ$161,_xlpm.r,_xlpm.c),""),
  IF(OR(_xlpm.w="",_xlpm.v=""),"",_xlpm.v*_xlpm.w)
)</f>
        <v/>
      </c>
      <c r="BT79" s="93" t="str" cm="1">
        <f t="array" ref="BT79">_xlfn.LET(
  _xlpm.w, BT$11,
  _xlpm.r, MATCH(1,('3. Enter Indicator Scores'!$B$10:$B$161=$B79)*('3. Enter Indicator Scores'!$C$10:$C$161=$C79),0),
  _xlpm.c, MATCH(BT$8,'3. Enter Indicator Scores'!$D$8:$CZ$8,0),
  _xlpm.v, IFERROR(INDEX('3. Enter Indicator Scores'!$D$10:$CZ$161,_xlpm.r,_xlpm.c),""),
  IF(OR(_xlpm.w="",_xlpm.v=""),"",_xlpm.v*_xlpm.w)
)</f>
        <v/>
      </c>
      <c r="BU79" s="93" t="str" cm="1">
        <f t="array" ref="BU79">_xlfn.LET(
  _xlpm.w, BU$11,
  _xlpm.r, MATCH(1,('3. Enter Indicator Scores'!$B$10:$B$161=$B79)*('3. Enter Indicator Scores'!$C$10:$C$161=$C79),0),
  _xlpm.c, MATCH(BU$8,'3. Enter Indicator Scores'!$D$8:$CZ$8,0),
  _xlpm.v, IFERROR(INDEX('3. Enter Indicator Scores'!$D$10:$CZ$161,_xlpm.r,_xlpm.c),""),
  IF(OR(_xlpm.w="",_xlpm.v=""),"",_xlpm.v*_xlpm.w)
)</f>
        <v/>
      </c>
      <c r="BV79" s="93" t="str" cm="1">
        <f t="array" ref="BV79">_xlfn.LET(
  _xlpm.w, BV$11,
  _xlpm.r, MATCH(1,('3. Enter Indicator Scores'!$B$10:$B$161=$B79)*('3. Enter Indicator Scores'!$C$10:$C$161=$C79),0),
  _xlpm.c, MATCH(BV$8,'3. Enter Indicator Scores'!$D$8:$CZ$8,0),
  _xlpm.v, IFERROR(INDEX('3. Enter Indicator Scores'!$D$10:$CZ$161,_xlpm.r,_xlpm.c),""),
  IF(OR(_xlpm.w="",_xlpm.v=""),"",_xlpm.v*_xlpm.w)
)</f>
        <v/>
      </c>
      <c r="BW79" s="93" t="str" cm="1">
        <f t="array" ref="BW79">_xlfn.LET(
  _xlpm.w, BW$11,
  _xlpm.r, MATCH(1,('3. Enter Indicator Scores'!$B$10:$B$161=$B79)*('3. Enter Indicator Scores'!$C$10:$C$161=$C79),0),
  _xlpm.c, MATCH(BW$8,'3. Enter Indicator Scores'!$D$8:$CZ$8,0),
  _xlpm.v, IFERROR(INDEX('3. Enter Indicator Scores'!$D$10:$CZ$161,_xlpm.r,_xlpm.c),""),
  IF(OR(_xlpm.w="",_xlpm.v=""),"",_xlpm.v*_xlpm.w)
)</f>
        <v/>
      </c>
      <c r="BX79" s="93" t="str" cm="1">
        <f t="array" ref="BX79">_xlfn.LET(
  _xlpm.w, BX$11,
  _xlpm.r, MATCH(1,('3. Enter Indicator Scores'!$B$10:$B$161=$B79)*('3. Enter Indicator Scores'!$C$10:$C$161=$C79),0),
  _xlpm.c, MATCH(BX$8,'3. Enter Indicator Scores'!$D$8:$CZ$8,0),
  _xlpm.v, IFERROR(INDEX('3. Enter Indicator Scores'!$D$10:$CZ$161,_xlpm.r,_xlpm.c),""),
  IF(OR(_xlpm.w="",_xlpm.v=""),"",_xlpm.v*_xlpm.w)
)</f>
        <v/>
      </c>
      <c r="BY79" s="93" t="str" cm="1">
        <f t="array" ref="BY79">_xlfn.LET(
  _xlpm.w, BY$11,
  _xlpm.r, MATCH(1,('3. Enter Indicator Scores'!$B$10:$B$161=$B79)*('3. Enter Indicator Scores'!$C$10:$C$161=$C79),0),
  _xlpm.c, MATCH(BY$8,'3. Enter Indicator Scores'!$D$8:$CZ$8,0),
  _xlpm.v, IFERROR(INDEX('3. Enter Indicator Scores'!$D$10:$CZ$161,_xlpm.r,_xlpm.c),""),
  IF(OR(_xlpm.w="",_xlpm.v=""),"",_xlpm.v*_xlpm.w)
)</f>
        <v/>
      </c>
      <c r="BZ79" s="93" t="str" cm="1">
        <f t="array" ref="BZ79">_xlfn.LET(
  _xlpm.w, BZ$11,
  _xlpm.r, MATCH(1,('3. Enter Indicator Scores'!$B$10:$B$161=$B79)*('3. Enter Indicator Scores'!$C$10:$C$161=$C79),0),
  _xlpm.c, MATCH(BZ$8,'3. Enter Indicator Scores'!$D$8:$CZ$8,0),
  _xlpm.v, IFERROR(INDEX('3. Enter Indicator Scores'!$D$10:$CZ$161,_xlpm.r,_xlpm.c),""),
  IF(OR(_xlpm.w="",_xlpm.v=""),"",_xlpm.v*_xlpm.w)
)</f>
        <v/>
      </c>
      <c r="CA79" s="93" t="str" cm="1">
        <f t="array" ref="CA79">_xlfn.LET(
  _xlpm.w, CA$11,
  _xlpm.r, MATCH(1,('3. Enter Indicator Scores'!$B$10:$B$161=$B79)*('3. Enter Indicator Scores'!$C$10:$C$161=$C79),0),
  _xlpm.c, MATCH(CA$8,'3. Enter Indicator Scores'!$D$8:$CZ$8,0),
  _xlpm.v, IFERROR(INDEX('3. Enter Indicator Scores'!$D$10:$CZ$161,_xlpm.r,_xlpm.c),""),
  IF(OR(_xlpm.w="",_xlpm.v=""),"",_xlpm.v*_xlpm.w)
)</f>
        <v/>
      </c>
      <c r="CB79" s="93" t="str" cm="1">
        <f t="array" ref="CB79">_xlfn.LET(
  _xlpm.w, CB$11,
  _xlpm.r, MATCH(1,('3. Enter Indicator Scores'!$B$10:$B$161=$B79)*('3. Enter Indicator Scores'!$C$10:$C$161=$C79),0),
  _xlpm.c, MATCH(CB$8,'3. Enter Indicator Scores'!$D$8:$CZ$8,0),
  _xlpm.v, IFERROR(INDEX('3. Enter Indicator Scores'!$D$10:$CZ$161,_xlpm.r,_xlpm.c),""),
  IF(OR(_xlpm.w="",_xlpm.v=""),"",_xlpm.v*_xlpm.w)
)</f>
        <v/>
      </c>
      <c r="CC79" s="93" t="str" cm="1">
        <f t="array" ref="CC79">_xlfn.LET(
  _xlpm.w, CC$11,
  _xlpm.r, MATCH(1,('3. Enter Indicator Scores'!$B$10:$B$161=$B79)*('3. Enter Indicator Scores'!$C$10:$C$161=$C79),0),
  _xlpm.c, MATCH(CC$8,'3. Enter Indicator Scores'!$D$8:$CZ$8,0),
  _xlpm.v, IFERROR(INDEX('3. Enter Indicator Scores'!$D$10:$CZ$161,_xlpm.r,_xlpm.c),""),
  IF(OR(_xlpm.w="",_xlpm.v=""),"",_xlpm.v*_xlpm.w)
)</f>
        <v/>
      </c>
      <c r="CD79" s="93" t="str" cm="1">
        <f t="array" ref="CD79">_xlfn.LET(
  _xlpm.w, CD$11,
  _xlpm.r, MATCH(1,('3. Enter Indicator Scores'!$B$10:$B$161=$B79)*('3. Enter Indicator Scores'!$C$10:$C$161=$C79),0),
  _xlpm.c, MATCH(CD$8,'3. Enter Indicator Scores'!$D$8:$CZ$8,0),
  _xlpm.v, IFERROR(INDEX('3. Enter Indicator Scores'!$D$10:$CZ$161,_xlpm.r,_xlpm.c),""),
  IF(OR(_xlpm.w="",_xlpm.v=""),"",_xlpm.v*_xlpm.w)
)</f>
        <v/>
      </c>
      <c r="CE79" s="93" t="str" cm="1">
        <f t="array" ref="CE79">_xlfn.LET(
  _xlpm.w, CE$11,
  _xlpm.r, MATCH(1,('3. Enter Indicator Scores'!$B$10:$B$161=$B79)*('3. Enter Indicator Scores'!$C$10:$C$161=$C79),0),
  _xlpm.c, MATCH(CE$8,'3. Enter Indicator Scores'!$D$8:$CZ$8,0),
  _xlpm.v, IFERROR(INDEX('3. Enter Indicator Scores'!$D$10:$CZ$161,_xlpm.r,_xlpm.c),""),
  IF(OR(_xlpm.w="",_xlpm.v=""),"",_xlpm.v*_xlpm.w)
)</f>
        <v/>
      </c>
      <c r="CF79" s="93" t="str" cm="1">
        <f t="array" ref="CF79">_xlfn.LET(
  _xlpm.w, CF$11,
  _xlpm.r, MATCH(1,('3. Enter Indicator Scores'!$B$10:$B$161=$B79)*('3. Enter Indicator Scores'!$C$10:$C$161=$C79),0),
  _xlpm.c, MATCH(CF$8,'3. Enter Indicator Scores'!$D$8:$CZ$8,0),
  _xlpm.v, IFERROR(INDEX('3. Enter Indicator Scores'!$D$10:$CZ$161,_xlpm.r,_xlpm.c),""),
  IF(OR(_xlpm.w="",_xlpm.v=""),"",_xlpm.v*_xlpm.w)
)</f>
        <v/>
      </c>
      <c r="CG79" s="93" t="str" cm="1">
        <f t="array" ref="CG79">_xlfn.LET(
  _xlpm.w, CG$11,
  _xlpm.r, MATCH(1,('3. Enter Indicator Scores'!$B$10:$B$161=$B79)*('3. Enter Indicator Scores'!$C$10:$C$161=$C79),0),
  _xlpm.c, MATCH(CG$8,'3. Enter Indicator Scores'!$D$8:$CZ$8,0),
  _xlpm.v, IFERROR(INDEX('3. Enter Indicator Scores'!$D$10:$CZ$161,_xlpm.r,_xlpm.c),""),
  IF(OR(_xlpm.w="",_xlpm.v=""),"",_xlpm.v*_xlpm.w)
)</f>
        <v/>
      </c>
      <c r="CH79" s="93" t="str" cm="1">
        <f t="array" ref="CH79">_xlfn.LET(
  _xlpm.w, CH$11,
  _xlpm.r, MATCH(1,('3. Enter Indicator Scores'!$B$10:$B$161=$B79)*('3. Enter Indicator Scores'!$C$10:$C$161=$C79),0),
  _xlpm.c, MATCH(CH$8,'3. Enter Indicator Scores'!$D$8:$CZ$8,0),
  _xlpm.v, IFERROR(INDEX('3. Enter Indicator Scores'!$D$10:$CZ$161,_xlpm.r,_xlpm.c),""),
  IF(OR(_xlpm.w="",_xlpm.v=""),"",_xlpm.v*_xlpm.w)
)</f>
        <v/>
      </c>
      <c r="CI79" s="93" t="str" cm="1">
        <f t="array" ref="CI79">_xlfn.LET(
  _xlpm.w, CI$11,
  _xlpm.r, MATCH(1,('3. Enter Indicator Scores'!$B$10:$B$161=$B79)*('3. Enter Indicator Scores'!$C$10:$C$161=$C79),0),
  _xlpm.c, MATCH(CI$8,'3. Enter Indicator Scores'!$D$8:$CZ$8,0),
  _xlpm.v, IFERROR(INDEX('3. Enter Indicator Scores'!$D$10:$CZ$161,_xlpm.r,_xlpm.c),""),
  IF(OR(_xlpm.w="",_xlpm.v=""),"",_xlpm.v*_xlpm.w)
)</f>
        <v/>
      </c>
      <c r="CJ79" s="93" t="str" cm="1">
        <f t="array" ref="CJ79">_xlfn.LET(
  _xlpm.w, CJ$11,
  _xlpm.r, MATCH(1,('3. Enter Indicator Scores'!$B$10:$B$161=$B79)*('3. Enter Indicator Scores'!$C$10:$C$161=$C79),0),
  _xlpm.c, MATCH(CJ$8,'3. Enter Indicator Scores'!$D$8:$CZ$8,0),
  _xlpm.v, IFERROR(INDEX('3. Enter Indicator Scores'!$D$10:$CZ$161,_xlpm.r,_xlpm.c),""),
  IF(OR(_xlpm.w="",_xlpm.v=""),"",_xlpm.v*_xlpm.w)
)</f>
        <v/>
      </c>
      <c r="CK79" s="93" t="str" cm="1">
        <f t="array" ref="CK79">_xlfn.LET(
  _xlpm.w, CK$11,
  _xlpm.r, MATCH(1,('3. Enter Indicator Scores'!$B$10:$B$161=$B79)*('3. Enter Indicator Scores'!$C$10:$C$161=$C79),0),
  _xlpm.c, MATCH(CK$8,'3. Enter Indicator Scores'!$D$8:$CZ$8,0),
  _xlpm.v, IFERROR(INDEX('3. Enter Indicator Scores'!$D$10:$CZ$161,_xlpm.r,_xlpm.c),""),
  IF(OR(_xlpm.w="",_xlpm.v=""),"",_xlpm.v*_xlpm.w)
)</f>
        <v/>
      </c>
      <c r="CL79" s="93" t="str" cm="1">
        <f t="array" ref="CL79">_xlfn.LET(
  _xlpm.w, CL$11,
  _xlpm.r, MATCH(1,('3. Enter Indicator Scores'!$B$10:$B$161=$B79)*('3. Enter Indicator Scores'!$C$10:$C$161=$C79),0),
  _xlpm.c, MATCH(CL$8,'3. Enter Indicator Scores'!$D$8:$CZ$8,0),
  _xlpm.v, IFERROR(INDEX('3. Enter Indicator Scores'!$D$10:$CZ$161,_xlpm.r,_xlpm.c),""),
  IF(OR(_xlpm.w="",_xlpm.v=""),"",_xlpm.v*_xlpm.w)
)</f>
        <v/>
      </c>
      <c r="CM79" s="93" t="str" cm="1">
        <f t="array" ref="CM79">_xlfn.LET(
  _xlpm.w, CM$11,
  _xlpm.r, MATCH(1,('3. Enter Indicator Scores'!$B$10:$B$161=$B79)*('3. Enter Indicator Scores'!$C$10:$C$161=$C79),0),
  _xlpm.c, MATCH(CM$8,'3. Enter Indicator Scores'!$D$8:$CZ$8,0),
  _xlpm.v, IFERROR(INDEX('3. Enter Indicator Scores'!$D$10:$CZ$161,_xlpm.r,_xlpm.c),""),
  IF(OR(_xlpm.w="",_xlpm.v=""),"",_xlpm.v*_xlpm.w)
)</f>
        <v/>
      </c>
      <c r="CN79" s="93" t="str" cm="1">
        <f t="array" ref="CN79">_xlfn.LET(
  _xlpm.w, CN$11,
  _xlpm.r, MATCH(1,('3. Enter Indicator Scores'!$B$10:$B$161=$B79)*('3. Enter Indicator Scores'!$C$10:$C$161=$C79),0),
  _xlpm.c, MATCH(CN$8,'3. Enter Indicator Scores'!$D$8:$CZ$8,0),
  _xlpm.v, IFERROR(INDEX('3. Enter Indicator Scores'!$D$10:$CZ$161,_xlpm.r,_xlpm.c),""),
  IF(OR(_xlpm.w="",_xlpm.v=""),"",_xlpm.v*_xlpm.w)
)</f>
        <v/>
      </c>
      <c r="CO79" s="93" t="str" cm="1">
        <f t="array" ref="CO79">_xlfn.LET(
  _xlpm.w, CO$11,
  _xlpm.r, MATCH(1,('3. Enter Indicator Scores'!$B$10:$B$161=$B79)*('3. Enter Indicator Scores'!$C$10:$C$161=$C79),0),
  _xlpm.c, MATCH(CO$8,'3. Enter Indicator Scores'!$D$8:$CZ$8,0),
  _xlpm.v, IFERROR(INDEX('3. Enter Indicator Scores'!$D$10:$CZ$161,_xlpm.r,_xlpm.c),""),
  IF(OR(_xlpm.w="",_xlpm.v=""),"",_xlpm.v*_xlpm.w)
)</f>
        <v/>
      </c>
      <c r="CP79" s="93" t="str" cm="1">
        <f t="array" ref="CP79">_xlfn.LET(
  _xlpm.w, CP$11,
  _xlpm.r, MATCH(1,('3. Enter Indicator Scores'!$B$10:$B$161=$B79)*('3. Enter Indicator Scores'!$C$10:$C$161=$C79),0),
  _xlpm.c, MATCH(CP$8,'3. Enter Indicator Scores'!$D$8:$CZ$8,0),
  _xlpm.v, IFERROR(INDEX('3. Enter Indicator Scores'!$D$10:$CZ$161,_xlpm.r,_xlpm.c),""),
  IF(OR(_xlpm.w="",_xlpm.v=""),"",_xlpm.v*_xlpm.w)
)</f>
        <v/>
      </c>
      <c r="CQ79" s="93" t="str" cm="1">
        <f t="array" ref="CQ79">_xlfn.LET(
  _xlpm.w, CQ$11,
  _xlpm.r, MATCH(1,('3. Enter Indicator Scores'!$B$10:$B$161=$B79)*('3. Enter Indicator Scores'!$C$10:$C$161=$C79),0),
  _xlpm.c, MATCH(CQ$8,'3. Enter Indicator Scores'!$D$8:$CZ$8,0),
  _xlpm.v, IFERROR(INDEX('3. Enter Indicator Scores'!$D$10:$CZ$161,_xlpm.r,_xlpm.c),""),
  IF(OR(_xlpm.w="",_xlpm.v=""),"",_xlpm.v*_xlpm.w)
)</f>
        <v/>
      </c>
      <c r="CR79" s="93" t="str" cm="1">
        <f t="array" ref="CR79">_xlfn.LET(
  _xlpm.w, CR$11,
  _xlpm.r, MATCH(1,('3. Enter Indicator Scores'!$B$10:$B$161=$B79)*('3. Enter Indicator Scores'!$C$10:$C$161=$C79),0),
  _xlpm.c, MATCH(CR$8,'3. Enter Indicator Scores'!$D$8:$CZ$8,0),
  _xlpm.v, IFERROR(INDEX('3. Enter Indicator Scores'!$D$10:$CZ$161,_xlpm.r,_xlpm.c),""),
  IF(OR(_xlpm.w="",_xlpm.v=""),"",_xlpm.v*_xlpm.w)
)</f>
        <v/>
      </c>
      <c r="CS79" s="93" t="str" cm="1">
        <f t="array" ref="CS79">_xlfn.LET(
  _xlpm.w, CS$11,
  _xlpm.r, MATCH(1,('3. Enter Indicator Scores'!$B$10:$B$161=$B79)*('3. Enter Indicator Scores'!$C$10:$C$161=$C79),0),
  _xlpm.c, MATCH(CS$8,'3. Enter Indicator Scores'!$D$8:$CZ$8,0),
  _xlpm.v, IFERROR(INDEX('3. Enter Indicator Scores'!$D$10:$CZ$161,_xlpm.r,_xlpm.c),""),
  IF(OR(_xlpm.w="",_xlpm.v=""),"",_xlpm.v*_xlpm.w)
)</f>
        <v/>
      </c>
      <c r="CT79" s="93" t="str" cm="1">
        <f t="array" ref="CT79">_xlfn.LET(
  _xlpm.w, CT$11,
  _xlpm.r, MATCH(1,('3. Enter Indicator Scores'!$B$10:$B$161=$B79)*('3. Enter Indicator Scores'!$C$10:$C$161=$C79),0),
  _xlpm.c, MATCH(CT$8,'3. Enter Indicator Scores'!$D$8:$CZ$8,0),
  _xlpm.v, IFERROR(INDEX('3. Enter Indicator Scores'!$D$10:$CZ$161,_xlpm.r,_xlpm.c),""),
  IF(OR(_xlpm.w="",_xlpm.v=""),"",_xlpm.v*_xlpm.w)
)</f>
        <v/>
      </c>
      <c r="CU79" s="93" t="str" cm="1">
        <f t="array" ref="CU79">_xlfn.LET(
  _xlpm.w, CU$11,
  _xlpm.r, MATCH(1,('3. Enter Indicator Scores'!$B$10:$B$161=$B79)*('3. Enter Indicator Scores'!$C$10:$C$161=$C79),0),
  _xlpm.c, MATCH(CU$8,'3. Enter Indicator Scores'!$D$8:$CZ$8,0),
  _xlpm.v, IFERROR(INDEX('3. Enter Indicator Scores'!$D$10:$CZ$161,_xlpm.r,_xlpm.c),""),
  IF(OR(_xlpm.w="",_xlpm.v=""),"",_xlpm.v*_xlpm.w)
)</f>
        <v/>
      </c>
      <c r="CV79" s="93" t="str" cm="1">
        <f t="array" ref="CV79">_xlfn.LET(
  _xlpm.w, CV$11,
  _xlpm.r, MATCH(1,('3. Enter Indicator Scores'!$B$10:$B$161=$B79)*('3. Enter Indicator Scores'!$C$10:$C$161=$C79),0),
  _xlpm.c, MATCH(CV$8,'3. Enter Indicator Scores'!$D$8:$CZ$8,0),
  _xlpm.v, IFERROR(INDEX('3. Enter Indicator Scores'!$D$10:$CZ$161,_xlpm.r,_xlpm.c),""),
  IF(OR(_xlpm.w="",_xlpm.v=""),"",_xlpm.v*_xlpm.w)
)</f>
        <v/>
      </c>
      <c r="CW79" s="93" t="str" cm="1">
        <f t="array" ref="CW79">_xlfn.LET(
  _xlpm.w, CW$11,
  _xlpm.r, MATCH(1,('3. Enter Indicator Scores'!$B$10:$B$161=$B79)*('3. Enter Indicator Scores'!$C$10:$C$161=$C79),0),
  _xlpm.c, MATCH(CW$8,'3. Enter Indicator Scores'!$D$8:$CZ$8,0),
  _xlpm.v, IFERROR(INDEX('3. Enter Indicator Scores'!$D$10:$CZ$161,_xlpm.r,_xlpm.c),""),
  IF(OR(_xlpm.w="",_xlpm.v=""),"",_xlpm.v*_xlpm.w)
)</f>
        <v/>
      </c>
      <c r="CX79" s="93" t="str" cm="1">
        <f t="array" ref="CX79">_xlfn.LET(
  _xlpm.w, CX$11,
  _xlpm.r, MATCH(1,('3. Enter Indicator Scores'!$B$10:$B$161=$B79)*('3. Enter Indicator Scores'!$C$10:$C$161=$C79),0),
  _xlpm.c, MATCH(CX$8,'3. Enter Indicator Scores'!$D$8:$CZ$8,0),
  _xlpm.v, IFERROR(INDEX('3. Enter Indicator Scores'!$D$10:$CZ$161,_xlpm.r,_xlpm.c),""),
  IF(OR(_xlpm.w="",_xlpm.v=""),"",_xlpm.v*_xlpm.w)
)</f>
        <v/>
      </c>
      <c r="CY79" s="93" t="str" cm="1">
        <f t="array" ref="CY79">_xlfn.LET(
  _xlpm.w, CY$11,
  _xlpm.r, MATCH(1,('3. Enter Indicator Scores'!$B$10:$B$161=$B79)*('3. Enter Indicator Scores'!$C$10:$C$161=$C79),0),
  _xlpm.c, MATCH(CY$8,'3. Enter Indicator Scores'!$D$8:$CZ$8,0),
  _xlpm.v, IFERROR(INDEX('3. Enter Indicator Scores'!$D$10:$CZ$161,_xlpm.r,_xlpm.c),""),
  IF(OR(_xlpm.w="",_xlpm.v=""),"",_xlpm.v*_xlpm.w)
)</f>
        <v/>
      </c>
      <c r="CZ79" s="93" t="str" cm="1">
        <f t="array" ref="CZ79">_xlfn.LET(
  _xlpm.w, CZ$11,
  _xlpm.r, MATCH(1,('3. Enter Indicator Scores'!$B$10:$B$161=$B79)*('3. Enter Indicator Scores'!$C$10:$C$161=$C79),0),
  _xlpm.c, MATCH(CZ$8,'3. Enter Indicator Scores'!$D$8:$CZ$8,0),
  _xlpm.v, IFERROR(INDEX('3. Enter Indicator Scores'!$D$10:$CZ$161,_xlpm.r,_xlpm.c),""),
  IF(OR(_xlpm.w="",_xlpm.v=""),"",_xlpm.v*_xlpm.w)
)</f>
        <v/>
      </c>
    </row>
    <row r="80" spans="4:104" x14ac:dyDescent="0.2">
      <c r="D80" s="93" t="str" cm="1">
        <f t="array" ref="D80">_xlfn.LET(
  _xlpm.w, D$11,
  _xlpm.r, MATCH(1,('3. Enter Indicator Scores'!$B$10:$B$161=$B80)*('3. Enter Indicator Scores'!$C$10:$C$161=$C80),0),
  _xlpm.c, MATCH(D$8,'3. Enter Indicator Scores'!$D$8:$CZ$8,0),
  _xlpm.v, IFERROR(INDEX('3. Enter Indicator Scores'!$D$10:$CZ$161,_xlpm.r,_xlpm.c),""),
  IF(OR(_xlpm.w="",_xlpm.v=""),"",_xlpm.v*_xlpm.w)
)</f>
        <v/>
      </c>
      <c r="E80" s="93" t="str" cm="1">
        <f t="array" ref="E80">_xlfn.LET(
  _xlpm.w, E$11,
  _xlpm.r, MATCH(1,('3. Enter Indicator Scores'!$B$10:$B$161=$B80)*('3. Enter Indicator Scores'!$C$10:$C$161=$C80),0),
  _xlpm.c, MATCH(E$8,'3. Enter Indicator Scores'!$D$8:$CZ$8,0),
  _xlpm.v, IFERROR(INDEX('3. Enter Indicator Scores'!$D$10:$CZ$161,_xlpm.r,_xlpm.c),""),
  IF(OR(_xlpm.w="",_xlpm.v=""),"",_xlpm.v*_xlpm.w)
)</f>
        <v/>
      </c>
      <c r="F80" s="93" t="str" cm="1">
        <f t="array" ref="F80">_xlfn.LET(
  _xlpm.w, F$11,
  _xlpm.r, MATCH(1,('3. Enter Indicator Scores'!$B$10:$B$161=$B80)*('3. Enter Indicator Scores'!$C$10:$C$161=$C80),0),
  _xlpm.c, MATCH(F$8,'3. Enter Indicator Scores'!$D$8:$CZ$8,0),
  _xlpm.v, IFERROR(INDEX('3. Enter Indicator Scores'!$D$10:$CZ$161,_xlpm.r,_xlpm.c),""),
  IF(OR(_xlpm.w="",_xlpm.v=""),"",_xlpm.v*_xlpm.w)
)</f>
        <v/>
      </c>
      <c r="G80" s="93" t="str" cm="1">
        <f t="array" ref="G80">_xlfn.LET(
  _xlpm.w, G$11,
  _xlpm.r, MATCH(1,('3. Enter Indicator Scores'!$B$10:$B$161=$B80)*('3. Enter Indicator Scores'!$C$10:$C$161=$C80),0),
  _xlpm.c, MATCH(G$8,'3. Enter Indicator Scores'!$D$8:$CZ$8,0),
  _xlpm.v, IFERROR(INDEX('3. Enter Indicator Scores'!$D$10:$CZ$161,_xlpm.r,_xlpm.c),""),
  IF(OR(_xlpm.w="",_xlpm.v=""),"",_xlpm.v*_xlpm.w)
)</f>
        <v/>
      </c>
      <c r="H80" s="93" t="str" cm="1">
        <f t="array" ref="H80">_xlfn.LET(
  _xlpm.w, H$11,
  _xlpm.r, MATCH(1,('3. Enter Indicator Scores'!$B$10:$B$161=$B80)*('3. Enter Indicator Scores'!$C$10:$C$161=$C80),0),
  _xlpm.c, MATCH(H$8,'3. Enter Indicator Scores'!$D$8:$CZ$8,0),
  _xlpm.v, IFERROR(INDEX('3. Enter Indicator Scores'!$D$10:$CZ$161,_xlpm.r,_xlpm.c),""),
  IF(OR(_xlpm.w="",_xlpm.v=""),"",_xlpm.v*_xlpm.w)
)</f>
        <v/>
      </c>
      <c r="I80" s="93" t="str" cm="1">
        <f t="array" ref="I80">_xlfn.LET(
  _xlpm.w, I$11,
  _xlpm.r, MATCH(1,('3. Enter Indicator Scores'!$B$10:$B$161=$B80)*('3. Enter Indicator Scores'!$C$10:$C$161=$C80),0),
  _xlpm.c, MATCH(I$8,'3. Enter Indicator Scores'!$D$8:$CZ$8,0),
  _xlpm.v, IFERROR(INDEX('3. Enter Indicator Scores'!$D$10:$CZ$161,_xlpm.r,_xlpm.c),""),
  IF(OR(_xlpm.w="",_xlpm.v=""),"",_xlpm.v*_xlpm.w)
)</f>
        <v/>
      </c>
      <c r="J80" s="93" t="str" cm="1">
        <f t="array" ref="J80">_xlfn.LET(
  _xlpm.w, J$11,
  _xlpm.r, MATCH(1,('3. Enter Indicator Scores'!$B$10:$B$161=$B80)*('3. Enter Indicator Scores'!$C$10:$C$161=$C80),0),
  _xlpm.c, MATCH(J$8,'3. Enter Indicator Scores'!$D$8:$CZ$8,0),
  _xlpm.v, IFERROR(INDEX('3. Enter Indicator Scores'!$D$10:$CZ$161,_xlpm.r,_xlpm.c),""),
  IF(OR(_xlpm.w="",_xlpm.v=""),"",_xlpm.v*_xlpm.w)
)</f>
        <v/>
      </c>
      <c r="K80" s="93" t="str" cm="1">
        <f t="array" ref="K80">_xlfn.LET(
  _xlpm.w, K$11,
  _xlpm.r, MATCH(1,('3. Enter Indicator Scores'!$B$10:$B$161=$B80)*('3. Enter Indicator Scores'!$C$10:$C$161=$C80),0),
  _xlpm.c, MATCH(K$8,'3. Enter Indicator Scores'!$D$8:$CZ$8,0),
  _xlpm.v, IFERROR(INDEX('3. Enter Indicator Scores'!$D$10:$CZ$161,_xlpm.r,_xlpm.c),""),
  IF(OR(_xlpm.w="",_xlpm.v=""),"",_xlpm.v*_xlpm.w)
)</f>
        <v/>
      </c>
      <c r="L80" s="93" t="str" cm="1">
        <f t="array" ref="L80">_xlfn.LET(
  _xlpm.w, L$11,
  _xlpm.r, MATCH(1,('3. Enter Indicator Scores'!$B$10:$B$161=$B80)*('3. Enter Indicator Scores'!$C$10:$C$161=$C80),0),
  _xlpm.c, MATCH(L$8,'3. Enter Indicator Scores'!$D$8:$CZ$8,0),
  _xlpm.v, IFERROR(INDEX('3. Enter Indicator Scores'!$D$10:$CZ$161,_xlpm.r,_xlpm.c),""),
  IF(OR(_xlpm.w="",_xlpm.v=""),"",_xlpm.v*_xlpm.w)
)</f>
        <v/>
      </c>
      <c r="M80" s="93" t="str" cm="1">
        <f t="array" ref="M80">_xlfn.LET(
  _xlpm.w, M$11,
  _xlpm.r, MATCH(1,('3. Enter Indicator Scores'!$B$10:$B$161=$B80)*('3. Enter Indicator Scores'!$C$10:$C$161=$C80),0),
  _xlpm.c, MATCH(M$8,'3. Enter Indicator Scores'!$D$8:$CZ$8,0),
  _xlpm.v, IFERROR(INDEX('3. Enter Indicator Scores'!$D$10:$CZ$161,_xlpm.r,_xlpm.c),""),
  IF(OR(_xlpm.w="",_xlpm.v=""),"",_xlpm.v*_xlpm.w)
)</f>
        <v/>
      </c>
      <c r="N80" s="93" t="str" cm="1">
        <f t="array" ref="N80">_xlfn.LET(
  _xlpm.w, N$11,
  _xlpm.r, MATCH(1,('3. Enter Indicator Scores'!$B$10:$B$161=$B80)*('3. Enter Indicator Scores'!$C$10:$C$161=$C80),0),
  _xlpm.c, MATCH(N$8,'3. Enter Indicator Scores'!$D$8:$CZ$8,0),
  _xlpm.v, IFERROR(INDEX('3. Enter Indicator Scores'!$D$10:$CZ$161,_xlpm.r,_xlpm.c),""),
  IF(OR(_xlpm.w="",_xlpm.v=""),"",_xlpm.v*_xlpm.w)
)</f>
        <v/>
      </c>
      <c r="O80" s="93" t="str" cm="1">
        <f t="array" ref="O80">_xlfn.LET(
  _xlpm.w, O$11,
  _xlpm.r, MATCH(1,('3. Enter Indicator Scores'!$B$10:$B$161=$B80)*('3. Enter Indicator Scores'!$C$10:$C$161=$C80),0),
  _xlpm.c, MATCH(O$8,'3. Enter Indicator Scores'!$D$8:$CZ$8,0),
  _xlpm.v, IFERROR(INDEX('3. Enter Indicator Scores'!$D$10:$CZ$161,_xlpm.r,_xlpm.c),""),
  IF(OR(_xlpm.w="",_xlpm.v=""),"",_xlpm.v*_xlpm.w)
)</f>
        <v/>
      </c>
      <c r="P80" s="93" t="str" cm="1">
        <f t="array" ref="P80">_xlfn.LET(
  _xlpm.w, P$11,
  _xlpm.r, MATCH(1,('3. Enter Indicator Scores'!$B$10:$B$161=$B80)*('3. Enter Indicator Scores'!$C$10:$C$161=$C80),0),
  _xlpm.c, MATCH(P$8,'3. Enter Indicator Scores'!$D$8:$CZ$8,0),
  _xlpm.v, IFERROR(INDEX('3. Enter Indicator Scores'!$D$10:$CZ$161,_xlpm.r,_xlpm.c),""),
  IF(OR(_xlpm.w="",_xlpm.v=""),"",_xlpm.v*_xlpm.w)
)</f>
        <v/>
      </c>
      <c r="Q80" s="93" t="str" cm="1">
        <f t="array" ref="Q80">_xlfn.LET(
  _xlpm.w, Q$11,
  _xlpm.r, MATCH(1,('3. Enter Indicator Scores'!$B$10:$B$161=$B80)*('3. Enter Indicator Scores'!$C$10:$C$161=$C80),0),
  _xlpm.c, MATCH(Q$8,'3. Enter Indicator Scores'!$D$8:$CZ$8,0),
  _xlpm.v, IFERROR(INDEX('3. Enter Indicator Scores'!$D$10:$CZ$161,_xlpm.r,_xlpm.c),""),
  IF(OR(_xlpm.w="",_xlpm.v=""),"",_xlpm.v*_xlpm.w)
)</f>
        <v/>
      </c>
      <c r="R80" s="93" t="str" cm="1">
        <f t="array" ref="R80">_xlfn.LET(
  _xlpm.w, R$11,
  _xlpm.r, MATCH(1,('3. Enter Indicator Scores'!$B$10:$B$161=$B80)*('3. Enter Indicator Scores'!$C$10:$C$161=$C80),0),
  _xlpm.c, MATCH(R$8,'3. Enter Indicator Scores'!$D$8:$CZ$8,0),
  _xlpm.v, IFERROR(INDEX('3. Enter Indicator Scores'!$D$10:$CZ$161,_xlpm.r,_xlpm.c),""),
  IF(OR(_xlpm.w="",_xlpm.v=""),"",_xlpm.v*_xlpm.w)
)</f>
        <v/>
      </c>
      <c r="S80" s="93" t="str" cm="1">
        <f t="array" ref="S80">_xlfn.LET(
  _xlpm.w, S$11,
  _xlpm.r, MATCH(1,('3. Enter Indicator Scores'!$B$10:$B$161=$B80)*('3. Enter Indicator Scores'!$C$10:$C$161=$C80),0),
  _xlpm.c, MATCH(S$8,'3. Enter Indicator Scores'!$D$8:$CZ$8,0),
  _xlpm.v, IFERROR(INDEX('3. Enter Indicator Scores'!$D$10:$CZ$161,_xlpm.r,_xlpm.c),""),
  IF(OR(_xlpm.w="",_xlpm.v=""),"",_xlpm.v*_xlpm.w)
)</f>
        <v/>
      </c>
      <c r="T80" s="93" t="str" cm="1">
        <f t="array" ref="T80">_xlfn.LET(
  _xlpm.w, T$11,
  _xlpm.r, MATCH(1,('3. Enter Indicator Scores'!$B$10:$B$161=$B80)*('3. Enter Indicator Scores'!$C$10:$C$161=$C80),0),
  _xlpm.c, MATCH(T$8,'3. Enter Indicator Scores'!$D$8:$CZ$8,0),
  _xlpm.v, IFERROR(INDEX('3. Enter Indicator Scores'!$D$10:$CZ$161,_xlpm.r,_xlpm.c),""),
  IF(OR(_xlpm.w="",_xlpm.v=""),"",_xlpm.v*_xlpm.w)
)</f>
        <v/>
      </c>
      <c r="U80" s="93" t="str" cm="1">
        <f t="array" ref="U80">_xlfn.LET(
  _xlpm.w, U$11,
  _xlpm.r, MATCH(1,('3. Enter Indicator Scores'!$B$10:$B$161=$B80)*('3. Enter Indicator Scores'!$C$10:$C$161=$C80),0),
  _xlpm.c, MATCH(U$8,'3. Enter Indicator Scores'!$D$8:$CZ$8,0),
  _xlpm.v, IFERROR(INDEX('3. Enter Indicator Scores'!$D$10:$CZ$161,_xlpm.r,_xlpm.c),""),
  IF(OR(_xlpm.w="",_xlpm.v=""),"",_xlpm.v*_xlpm.w)
)</f>
        <v/>
      </c>
      <c r="V80" s="93" t="str" cm="1">
        <f t="array" ref="V80">_xlfn.LET(
  _xlpm.w, V$11,
  _xlpm.r, MATCH(1,('3. Enter Indicator Scores'!$B$10:$B$161=$B80)*('3. Enter Indicator Scores'!$C$10:$C$161=$C80),0),
  _xlpm.c, MATCH(V$8,'3. Enter Indicator Scores'!$D$8:$CZ$8,0),
  _xlpm.v, IFERROR(INDEX('3. Enter Indicator Scores'!$D$10:$CZ$161,_xlpm.r,_xlpm.c),""),
  IF(OR(_xlpm.w="",_xlpm.v=""),"",_xlpm.v*_xlpm.w)
)</f>
        <v/>
      </c>
      <c r="W80" s="93" t="str" cm="1">
        <f t="array" ref="W80">_xlfn.LET(
  _xlpm.w, W$11,
  _xlpm.r, MATCH(1,('3. Enter Indicator Scores'!$B$10:$B$161=$B80)*('3. Enter Indicator Scores'!$C$10:$C$161=$C80),0),
  _xlpm.c, MATCH(W$8,'3. Enter Indicator Scores'!$D$8:$CZ$8,0),
  _xlpm.v, IFERROR(INDEX('3. Enter Indicator Scores'!$D$10:$CZ$161,_xlpm.r,_xlpm.c),""),
  IF(OR(_xlpm.w="",_xlpm.v=""),"",_xlpm.v*_xlpm.w)
)</f>
        <v/>
      </c>
      <c r="X80" s="93" t="str" cm="1">
        <f t="array" ref="X80">_xlfn.LET(
  _xlpm.w, X$11,
  _xlpm.r, MATCH(1,('3. Enter Indicator Scores'!$B$10:$B$161=$B80)*('3. Enter Indicator Scores'!$C$10:$C$161=$C80),0),
  _xlpm.c, MATCH(X$8,'3. Enter Indicator Scores'!$D$8:$CZ$8,0),
  _xlpm.v, IFERROR(INDEX('3. Enter Indicator Scores'!$D$10:$CZ$161,_xlpm.r,_xlpm.c),""),
  IF(OR(_xlpm.w="",_xlpm.v=""),"",_xlpm.v*_xlpm.w)
)</f>
        <v/>
      </c>
      <c r="Y80" s="93" t="str" cm="1">
        <f t="array" ref="Y80">_xlfn.LET(
  _xlpm.w, Y$11,
  _xlpm.r, MATCH(1,('3. Enter Indicator Scores'!$B$10:$B$161=$B80)*('3. Enter Indicator Scores'!$C$10:$C$161=$C80),0),
  _xlpm.c, MATCH(Y$8,'3. Enter Indicator Scores'!$D$8:$CZ$8,0),
  _xlpm.v, IFERROR(INDEX('3. Enter Indicator Scores'!$D$10:$CZ$161,_xlpm.r,_xlpm.c),""),
  IF(OR(_xlpm.w="",_xlpm.v=""),"",_xlpm.v*_xlpm.w)
)</f>
        <v/>
      </c>
      <c r="Z80" s="93" t="str" cm="1">
        <f t="array" ref="Z80">_xlfn.LET(
  _xlpm.w, Z$11,
  _xlpm.r, MATCH(1,('3. Enter Indicator Scores'!$B$10:$B$161=$B80)*('3. Enter Indicator Scores'!$C$10:$C$161=$C80),0),
  _xlpm.c, MATCH(Z$8,'3. Enter Indicator Scores'!$D$8:$CZ$8,0),
  _xlpm.v, IFERROR(INDEX('3. Enter Indicator Scores'!$D$10:$CZ$161,_xlpm.r,_xlpm.c),""),
  IF(OR(_xlpm.w="",_xlpm.v=""),"",_xlpm.v*_xlpm.w)
)</f>
        <v/>
      </c>
      <c r="AA80" s="93" t="str" cm="1">
        <f t="array" ref="AA80">_xlfn.LET(
  _xlpm.w, AA$11,
  _xlpm.r, MATCH(1,('3. Enter Indicator Scores'!$B$10:$B$161=$B80)*('3. Enter Indicator Scores'!$C$10:$C$161=$C80),0),
  _xlpm.c, MATCH(AA$8,'3. Enter Indicator Scores'!$D$8:$CZ$8,0),
  _xlpm.v, IFERROR(INDEX('3. Enter Indicator Scores'!$D$10:$CZ$161,_xlpm.r,_xlpm.c),""),
  IF(OR(_xlpm.w="",_xlpm.v=""),"",_xlpm.v*_xlpm.w)
)</f>
        <v/>
      </c>
      <c r="AB80" s="93" t="str" cm="1">
        <f t="array" ref="AB80">_xlfn.LET(
  _xlpm.w, AB$11,
  _xlpm.r, MATCH(1,('3. Enter Indicator Scores'!$B$10:$B$161=$B80)*('3. Enter Indicator Scores'!$C$10:$C$161=$C80),0),
  _xlpm.c, MATCH(AB$8,'3. Enter Indicator Scores'!$D$8:$CZ$8,0),
  _xlpm.v, IFERROR(INDEX('3. Enter Indicator Scores'!$D$10:$CZ$161,_xlpm.r,_xlpm.c),""),
  IF(OR(_xlpm.w="",_xlpm.v=""),"",_xlpm.v*_xlpm.w)
)</f>
        <v/>
      </c>
      <c r="AC80" s="93" t="str" cm="1">
        <f t="array" ref="AC80">_xlfn.LET(
  _xlpm.w, AC$11,
  _xlpm.r, MATCH(1,('3. Enter Indicator Scores'!$B$10:$B$161=$B80)*('3. Enter Indicator Scores'!$C$10:$C$161=$C80),0),
  _xlpm.c, MATCH(AC$8,'3. Enter Indicator Scores'!$D$8:$CZ$8,0),
  _xlpm.v, IFERROR(INDEX('3. Enter Indicator Scores'!$D$10:$CZ$161,_xlpm.r,_xlpm.c),""),
  IF(OR(_xlpm.w="",_xlpm.v=""),"",_xlpm.v*_xlpm.w)
)</f>
        <v/>
      </c>
      <c r="AD80" s="93" t="str" cm="1">
        <f t="array" ref="AD80">_xlfn.LET(
  _xlpm.w, AD$11,
  _xlpm.r, MATCH(1,('3. Enter Indicator Scores'!$B$10:$B$161=$B80)*('3. Enter Indicator Scores'!$C$10:$C$161=$C80),0),
  _xlpm.c, MATCH(AD$8,'3. Enter Indicator Scores'!$D$8:$CZ$8,0),
  _xlpm.v, IFERROR(INDEX('3. Enter Indicator Scores'!$D$10:$CZ$161,_xlpm.r,_xlpm.c),""),
  IF(OR(_xlpm.w="",_xlpm.v=""),"",_xlpm.v*_xlpm.w)
)</f>
        <v/>
      </c>
      <c r="AE80" s="93" t="str" cm="1">
        <f t="array" ref="AE80">_xlfn.LET(
  _xlpm.w, AE$11,
  _xlpm.r, MATCH(1,('3. Enter Indicator Scores'!$B$10:$B$161=$B80)*('3. Enter Indicator Scores'!$C$10:$C$161=$C80),0),
  _xlpm.c, MATCH(AE$8,'3. Enter Indicator Scores'!$D$8:$CZ$8,0),
  _xlpm.v, IFERROR(INDEX('3. Enter Indicator Scores'!$D$10:$CZ$161,_xlpm.r,_xlpm.c),""),
  IF(OR(_xlpm.w="",_xlpm.v=""),"",_xlpm.v*_xlpm.w)
)</f>
        <v/>
      </c>
      <c r="AF80" s="93" t="str" cm="1">
        <f t="array" ref="AF80">_xlfn.LET(
  _xlpm.w, AF$11,
  _xlpm.r, MATCH(1,('3. Enter Indicator Scores'!$B$10:$B$161=$B80)*('3. Enter Indicator Scores'!$C$10:$C$161=$C80),0),
  _xlpm.c, MATCH(AF$8,'3. Enter Indicator Scores'!$D$8:$CZ$8,0),
  _xlpm.v, IFERROR(INDEX('3. Enter Indicator Scores'!$D$10:$CZ$161,_xlpm.r,_xlpm.c),""),
  IF(OR(_xlpm.w="",_xlpm.v=""),"",_xlpm.v*_xlpm.w)
)</f>
        <v/>
      </c>
      <c r="AG80" s="93" t="str" cm="1">
        <f t="array" ref="AG80">_xlfn.LET(
  _xlpm.w, AG$11,
  _xlpm.r, MATCH(1,('3. Enter Indicator Scores'!$B$10:$B$161=$B80)*('3. Enter Indicator Scores'!$C$10:$C$161=$C80),0),
  _xlpm.c, MATCH(AG$8,'3. Enter Indicator Scores'!$D$8:$CZ$8,0),
  _xlpm.v, IFERROR(INDEX('3. Enter Indicator Scores'!$D$10:$CZ$161,_xlpm.r,_xlpm.c),""),
  IF(OR(_xlpm.w="",_xlpm.v=""),"",_xlpm.v*_xlpm.w)
)</f>
        <v/>
      </c>
      <c r="AH80" s="93" t="str" cm="1">
        <f t="array" ref="AH80">_xlfn.LET(
  _xlpm.w, AH$11,
  _xlpm.r, MATCH(1,('3. Enter Indicator Scores'!$B$10:$B$161=$B80)*('3. Enter Indicator Scores'!$C$10:$C$161=$C80),0),
  _xlpm.c, MATCH(AH$8,'3. Enter Indicator Scores'!$D$8:$CZ$8,0),
  _xlpm.v, IFERROR(INDEX('3. Enter Indicator Scores'!$D$10:$CZ$161,_xlpm.r,_xlpm.c),""),
  IF(OR(_xlpm.w="",_xlpm.v=""),"",_xlpm.v*_xlpm.w)
)</f>
        <v/>
      </c>
      <c r="AI80" s="93" t="str" cm="1">
        <f t="array" ref="AI80">_xlfn.LET(
  _xlpm.w, AI$11,
  _xlpm.r, MATCH(1,('3. Enter Indicator Scores'!$B$10:$B$161=$B80)*('3. Enter Indicator Scores'!$C$10:$C$161=$C80),0),
  _xlpm.c, MATCH(AI$8,'3. Enter Indicator Scores'!$D$8:$CZ$8,0),
  _xlpm.v, IFERROR(INDEX('3. Enter Indicator Scores'!$D$10:$CZ$161,_xlpm.r,_xlpm.c),""),
  IF(OR(_xlpm.w="",_xlpm.v=""),"",_xlpm.v*_xlpm.w)
)</f>
        <v/>
      </c>
      <c r="AJ80" s="93" t="str" cm="1">
        <f t="array" ref="AJ80">_xlfn.LET(
  _xlpm.w, AJ$11,
  _xlpm.r, MATCH(1,('3. Enter Indicator Scores'!$B$10:$B$161=$B80)*('3. Enter Indicator Scores'!$C$10:$C$161=$C80),0),
  _xlpm.c, MATCH(AJ$8,'3. Enter Indicator Scores'!$D$8:$CZ$8,0),
  _xlpm.v, IFERROR(INDEX('3. Enter Indicator Scores'!$D$10:$CZ$161,_xlpm.r,_xlpm.c),""),
  IF(OR(_xlpm.w="",_xlpm.v=""),"",_xlpm.v*_xlpm.w)
)</f>
        <v/>
      </c>
      <c r="AK80" s="93" t="str" cm="1">
        <f t="array" ref="AK80">_xlfn.LET(
  _xlpm.w, AK$11,
  _xlpm.r, MATCH(1,('3. Enter Indicator Scores'!$B$10:$B$161=$B80)*('3. Enter Indicator Scores'!$C$10:$C$161=$C80),0),
  _xlpm.c, MATCH(AK$8,'3. Enter Indicator Scores'!$D$8:$CZ$8,0),
  _xlpm.v, IFERROR(INDEX('3. Enter Indicator Scores'!$D$10:$CZ$161,_xlpm.r,_xlpm.c),""),
  IF(OR(_xlpm.w="",_xlpm.v=""),"",_xlpm.v*_xlpm.w)
)</f>
        <v/>
      </c>
      <c r="AL80" s="93" t="str" cm="1">
        <f t="array" ref="AL80">_xlfn.LET(
  _xlpm.w, AL$11,
  _xlpm.r, MATCH(1,('3. Enter Indicator Scores'!$B$10:$B$161=$B80)*('3. Enter Indicator Scores'!$C$10:$C$161=$C80),0),
  _xlpm.c, MATCH(AL$8,'3. Enter Indicator Scores'!$D$8:$CZ$8,0),
  _xlpm.v, IFERROR(INDEX('3. Enter Indicator Scores'!$D$10:$CZ$161,_xlpm.r,_xlpm.c),""),
  IF(OR(_xlpm.w="",_xlpm.v=""),"",_xlpm.v*_xlpm.w)
)</f>
        <v/>
      </c>
      <c r="AM80" s="93" t="str" cm="1">
        <f t="array" ref="AM80">_xlfn.LET(
  _xlpm.w, AM$11,
  _xlpm.r, MATCH(1,('3. Enter Indicator Scores'!$B$10:$B$161=$B80)*('3. Enter Indicator Scores'!$C$10:$C$161=$C80),0),
  _xlpm.c, MATCH(AM$8,'3. Enter Indicator Scores'!$D$8:$CZ$8,0),
  _xlpm.v, IFERROR(INDEX('3. Enter Indicator Scores'!$D$10:$CZ$161,_xlpm.r,_xlpm.c),""),
  IF(OR(_xlpm.w="",_xlpm.v=""),"",_xlpm.v*_xlpm.w)
)</f>
        <v/>
      </c>
      <c r="AN80" s="93" t="str" cm="1">
        <f t="array" ref="AN80">_xlfn.LET(
  _xlpm.w, AN$11,
  _xlpm.r, MATCH(1,('3. Enter Indicator Scores'!$B$10:$B$161=$B80)*('3. Enter Indicator Scores'!$C$10:$C$161=$C80),0),
  _xlpm.c, MATCH(AN$8,'3. Enter Indicator Scores'!$D$8:$CZ$8,0),
  _xlpm.v, IFERROR(INDEX('3. Enter Indicator Scores'!$D$10:$CZ$161,_xlpm.r,_xlpm.c),""),
  IF(OR(_xlpm.w="",_xlpm.v=""),"",_xlpm.v*_xlpm.w)
)</f>
        <v/>
      </c>
      <c r="AO80" s="93" t="str" cm="1">
        <f t="array" ref="AO80">_xlfn.LET(
  _xlpm.w, AO$11,
  _xlpm.r, MATCH(1,('3. Enter Indicator Scores'!$B$10:$B$161=$B80)*('3. Enter Indicator Scores'!$C$10:$C$161=$C80),0),
  _xlpm.c, MATCH(AO$8,'3. Enter Indicator Scores'!$D$8:$CZ$8,0),
  _xlpm.v, IFERROR(INDEX('3. Enter Indicator Scores'!$D$10:$CZ$161,_xlpm.r,_xlpm.c),""),
  IF(OR(_xlpm.w="",_xlpm.v=""),"",_xlpm.v*_xlpm.w)
)</f>
        <v/>
      </c>
      <c r="AP80" s="93" t="str" cm="1">
        <f t="array" ref="AP80">_xlfn.LET(
  _xlpm.w, AP$11,
  _xlpm.r, MATCH(1,('3. Enter Indicator Scores'!$B$10:$B$161=$B80)*('3. Enter Indicator Scores'!$C$10:$C$161=$C80),0),
  _xlpm.c, MATCH(AP$8,'3. Enter Indicator Scores'!$D$8:$CZ$8,0),
  _xlpm.v, IFERROR(INDEX('3. Enter Indicator Scores'!$D$10:$CZ$161,_xlpm.r,_xlpm.c),""),
  IF(OR(_xlpm.w="",_xlpm.v=""),"",_xlpm.v*_xlpm.w)
)</f>
        <v/>
      </c>
      <c r="AQ80" s="93" t="str" cm="1">
        <f t="array" ref="AQ80">_xlfn.LET(
  _xlpm.w, AQ$11,
  _xlpm.r, MATCH(1,('3. Enter Indicator Scores'!$B$10:$B$161=$B80)*('3. Enter Indicator Scores'!$C$10:$C$161=$C80),0),
  _xlpm.c, MATCH(AQ$8,'3. Enter Indicator Scores'!$D$8:$CZ$8,0),
  _xlpm.v, IFERROR(INDEX('3. Enter Indicator Scores'!$D$10:$CZ$161,_xlpm.r,_xlpm.c),""),
  IF(OR(_xlpm.w="",_xlpm.v=""),"",_xlpm.v*_xlpm.w)
)</f>
        <v/>
      </c>
      <c r="AR80" s="93" t="str" cm="1">
        <f t="array" ref="AR80">_xlfn.LET(
  _xlpm.w, AR$11,
  _xlpm.r, MATCH(1,('3. Enter Indicator Scores'!$B$10:$B$161=$B80)*('3. Enter Indicator Scores'!$C$10:$C$161=$C80),0),
  _xlpm.c, MATCH(AR$8,'3. Enter Indicator Scores'!$D$8:$CZ$8,0),
  _xlpm.v, IFERROR(INDEX('3. Enter Indicator Scores'!$D$10:$CZ$161,_xlpm.r,_xlpm.c),""),
  IF(OR(_xlpm.w="",_xlpm.v=""),"",_xlpm.v*_xlpm.w)
)</f>
        <v/>
      </c>
      <c r="AS80" s="93" t="str" cm="1">
        <f t="array" ref="AS80">_xlfn.LET(
  _xlpm.w, AS$11,
  _xlpm.r, MATCH(1,('3. Enter Indicator Scores'!$B$10:$B$161=$B80)*('3. Enter Indicator Scores'!$C$10:$C$161=$C80),0),
  _xlpm.c, MATCH(AS$8,'3. Enter Indicator Scores'!$D$8:$CZ$8,0),
  _xlpm.v, IFERROR(INDEX('3. Enter Indicator Scores'!$D$10:$CZ$161,_xlpm.r,_xlpm.c),""),
  IF(OR(_xlpm.w="",_xlpm.v=""),"",_xlpm.v*_xlpm.w)
)</f>
        <v/>
      </c>
      <c r="AT80" s="93" t="str" cm="1">
        <f t="array" ref="AT80">_xlfn.LET(
  _xlpm.w, AT$11,
  _xlpm.r, MATCH(1,('3. Enter Indicator Scores'!$B$10:$B$161=$B80)*('3. Enter Indicator Scores'!$C$10:$C$161=$C80),0),
  _xlpm.c, MATCH(AT$8,'3. Enter Indicator Scores'!$D$8:$CZ$8,0),
  _xlpm.v, IFERROR(INDEX('3. Enter Indicator Scores'!$D$10:$CZ$161,_xlpm.r,_xlpm.c),""),
  IF(OR(_xlpm.w="",_xlpm.v=""),"",_xlpm.v*_xlpm.w)
)</f>
        <v/>
      </c>
      <c r="AU80" s="93" t="str" cm="1">
        <f t="array" ref="AU80">_xlfn.LET(
  _xlpm.w, AU$11,
  _xlpm.r, MATCH(1,('3. Enter Indicator Scores'!$B$10:$B$161=$B80)*('3. Enter Indicator Scores'!$C$10:$C$161=$C80),0),
  _xlpm.c, MATCH(AU$8,'3. Enter Indicator Scores'!$D$8:$CZ$8,0),
  _xlpm.v, IFERROR(INDEX('3. Enter Indicator Scores'!$D$10:$CZ$161,_xlpm.r,_xlpm.c),""),
  IF(OR(_xlpm.w="",_xlpm.v=""),"",_xlpm.v*_xlpm.w)
)</f>
        <v/>
      </c>
      <c r="AV80" s="93" t="str" cm="1">
        <f t="array" ref="AV80">_xlfn.LET(
  _xlpm.w, AV$11,
  _xlpm.r, MATCH(1,('3. Enter Indicator Scores'!$B$10:$B$161=$B80)*('3. Enter Indicator Scores'!$C$10:$C$161=$C80),0),
  _xlpm.c, MATCH(AV$8,'3. Enter Indicator Scores'!$D$8:$CZ$8,0),
  _xlpm.v, IFERROR(INDEX('3. Enter Indicator Scores'!$D$10:$CZ$161,_xlpm.r,_xlpm.c),""),
  IF(OR(_xlpm.w="",_xlpm.v=""),"",_xlpm.v*_xlpm.w)
)</f>
        <v/>
      </c>
      <c r="AW80" s="93" t="str" cm="1">
        <f t="array" ref="AW80">_xlfn.LET(
  _xlpm.w, AW$11,
  _xlpm.r, MATCH(1,('3. Enter Indicator Scores'!$B$10:$B$161=$B80)*('3. Enter Indicator Scores'!$C$10:$C$161=$C80),0),
  _xlpm.c, MATCH(AW$8,'3. Enter Indicator Scores'!$D$8:$CZ$8,0),
  _xlpm.v, IFERROR(INDEX('3. Enter Indicator Scores'!$D$10:$CZ$161,_xlpm.r,_xlpm.c),""),
  IF(OR(_xlpm.w="",_xlpm.v=""),"",_xlpm.v*_xlpm.w)
)</f>
        <v/>
      </c>
      <c r="AX80" s="93" t="str" cm="1">
        <f t="array" ref="AX80">_xlfn.LET(
  _xlpm.w, AX$11,
  _xlpm.r, MATCH(1,('3. Enter Indicator Scores'!$B$10:$B$161=$B80)*('3. Enter Indicator Scores'!$C$10:$C$161=$C80),0),
  _xlpm.c, MATCH(AX$8,'3. Enter Indicator Scores'!$D$8:$CZ$8,0),
  _xlpm.v, IFERROR(INDEX('3. Enter Indicator Scores'!$D$10:$CZ$161,_xlpm.r,_xlpm.c),""),
  IF(OR(_xlpm.w="",_xlpm.v=""),"",_xlpm.v*_xlpm.w)
)</f>
        <v/>
      </c>
      <c r="AY80" s="93" t="str" cm="1">
        <f t="array" ref="AY80">_xlfn.LET(
  _xlpm.w, AY$11,
  _xlpm.r, MATCH(1,('3. Enter Indicator Scores'!$B$10:$B$161=$B80)*('3. Enter Indicator Scores'!$C$10:$C$161=$C80),0),
  _xlpm.c, MATCH(AY$8,'3. Enter Indicator Scores'!$D$8:$CZ$8,0),
  _xlpm.v, IFERROR(INDEX('3. Enter Indicator Scores'!$D$10:$CZ$161,_xlpm.r,_xlpm.c),""),
  IF(OR(_xlpm.w="",_xlpm.v=""),"",_xlpm.v*_xlpm.w)
)</f>
        <v/>
      </c>
      <c r="AZ80" s="93" t="str" cm="1">
        <f t="array" ref="AZ80">_xlfn.LET(
  _xlpm.w, AZ$11,
  _xlpm.r, MATCH(1,('3. Enter Indicator Scores'!$B$10:$B$161=$B80)*('3. Enter Indicator Scores'!$C$10:$C$161=$C80),0),
  _xlpm.c, MATCH(AZ$8,'3. Enter Indicator Scores'!$D$8:$CZ$8,0),
  _xlpm.v, IFERROR(INDEX('3. Enter Indicator Scores'!$D$10:$CZ$161,_xlpm.r,_xlpm.c),""),
  IF(OR(_xlpm.w="",_xlpm.v=""),"",_xlpm.v*_xlpm.w)
)</f>
        <v/>
      </c>
      <c r="BA80" s="93" t="str" cm="1">
        <f t="array" ref="BA80">_xlfn.LET(
  _xlpm.w, BA$11,
  _xlpm.r, MATCH(1,('3. Enter Indicator Scores'!$B$10:$B$161=$B80)*('3. Enter Indicator Scores'!$C$10:$C$161=$C80),0),
  _xlpm.c, MATCH(BA$8,'3. Enter Indicator Scores'!$D$8:$CZ$8,0),
  _xlpm.v, IFERROR(INDEX('3. Enter Indicator Scores'!$D$10:$CZ$161,_xlpm.r,_xlpm.c),""),
  IF(OR(_xlpm.w="",_xlpm.v=""),"",_xlpm.v*_xlpm.w)
)</f>
        <v/>
      </c>
      <c r="BB80" s="93" t="str" cm="1">
        <f t="array" ref="BB80">_xlfn.LET(
  _xlpm.w, BB$11,
  _xlpm.r, MATCH(1,('3. Enter Indicator Scores'!$B$10:$B$161=$B80)*('3. Enter Indicator Scores'!$C$10:$C$161=$C80),0),
  _xlpm.c, MATCH(BB$8,'3. Enter Indicator Scores'!$D$8:$CZ$8,0),
  _xlpm.v, IFERROR(INDEX('3. Enter Indicator Scores'!$D$10:$CZ$161,_xlpm.r,_xlpm.c),""),
  IF(OR(_xlpm.w="",_xlpm.v=""),"",_xlpm.v*_xlpm.w)
)</f>
        <v/>
      </c>
      <c r="BC80" s="93" t="str" cm="1">
        <f t="array" ref="BC80">_xlfn.LET(
  _xlpm.w, BC$11,
  _xlpm.r, MATCH(1,('3. Enter Indicator Scores'!$B$10:$B$161=$B80)*('3. Enter Indicator Scores'!$C$10:$C$161=$C80),0),
  _xlpm.c, MATCH(BC$8,'3. Enter Indicator Scores'!$D$8:$CZ$8,0),
  _xlpm.v, IFERROR(INDEX('3. Enter Indicator Scores'!$D$10:$CZ$161,_xlpm.r,_xlpm.c),""),
  IF(OR(_xlpm.w="",_xlpm.v=""),"",_xlpm.v*_xlpm.w)
)</f>
        <v/>
      </c>
      <c r="BD80" s="93" t="str" cm="1">
        <f t="array" ref="BD80">_xlfn.LET(
  _xlpm.w, BD$11,
  _xlpm.r, MATCH(1,('3. Enter Indicator Scores'!$B$10:$B$161=$B80)*('3. Enter Indicator Scores'!$C$10:$C$161=$C80),0),
  _xlpm.c, MATCH(BD$8,'3. Enter Indicator Scores'!$D$8:$CZ$8,0),
  _xlpm.v, IFERROR(INDEX('3. Enter Indicator Scores'!$D$10:$CZ$161,_xlpm.r,_xlpm.c),""),
  IF(OR(_xlpm.w="",_xlpm.v=""),"",_xlpm.v*_xlpm.w)
)</f>
        <v/>
      </c>
      <c r="BE80" s="93" t="str" cm="1">
        <f t="array" ref="BE80">_xlfn.LET(
  _xlpm.w, BE$11,
  _xlpm.r, MATCH(1,('3. Enter Indicator Scores'!$B$10:$B$161=$B80)*('3. Enter Indicator Scores'!$C$10:$C$161=$C80),0),
  _xlpm.c, MATCH(BE$8,'3. Enter Indicator Scores'!$D$8:$CZ$8,0),
  _xlpm.v, IFERROR(INDEX('3. Enter Indicator Scores'!$D$10:$CZ$161,_xlpm.r,_xlpm.c),""),
  IF(OR(_xlpm.w="",_xlpm.v=""),"",_xlpm.v*_xlpm.w)
)</f>
        <v/>
      </c>
      <c r="BF80" s="93" t="str" cm="1">
        <f t="array" ref="BF80">_xlfn.LET(
  _xlpm.w, BF$11,
  _xlpm.r, MATCH(1,('3. Enter Indicator Scores'!$B$10:$B$161=$B80)*('3. Enter Indicator Scores'!$C$10:$C$161=$C80),0),
  _xlpm.c, MATCH(BF$8,'3. Enter Indicator Scores'!$D$8:$CZ$8,0),
  _xlpm.v, IFERROR(INDEX('3. Enter Indicator Scores'!$D$10:$CZ$161,_xlpm.r,_xlpm.c),""),
  IF(OR(_xlpm.w="",_xlpm.v=""),"",_xlpm.v*_xlpm.w)
)</f>
        <v/>
      </c>
      <c r="BG80" s="93" t="str" cm="1">
        <f t="array" ref="BG80">_xlfn.LET(
  _xlpm.w, BG$11,
  _xlpm.r, MATCH(1,('3. Enter Indicator Scores'!$B$10:$B$161=$B80)*('3. Enter Indicator Scores'!$C$10:$C$161=$C80),0),
  _xlpm.c, MATCH(BG$8,'3. Enter Indicator Scores'!$D$8:$CZ$8,0),
  _xlpm.v, IFERROR(INDEX('3. Enter Indicator Scores'!$D$10:$CZ$161,_xlpm.r,_xlpm.c),""),
  IF(OR(_xlpm.w="",_xlpm.v=""),"",_xlpm.v*_xlpm.w)
)</f>
        <v/>
      </c>
      <c r="BH80" s="93" t="str" cm="1">
        <f t="array" ref="BH80">_xlfn.LET(
  _xlpm.w, BH$11,
  _xlpm.r, MATCH(1,('3. Enter Indicator Scores'!$B$10:$B$161=$B80)*('3. Enter Indicator Scores'!$C$10:$C$161=$C80),0),
  _xlpm.c, MATCH(BH$8,'3. Enter Indicator Scores'!$D$8:$CZ$8,0),
  _xlpm.v, IFERROR(INDEX('3. Enter Indicator Scores'!$D$10:$CZ$161,_xlpm.r,_xlpm.c),""),
  IF(OR(_xlpm.w="",_xlpm.v=""),"",_xlpm.v*_xlpm.w)
)</f>
        <v/>
      </c>
      <c r="BI80" s="93" t="str" cm="1">
        <f t="array" ref="BI80">_xlfn.LET(
  _xlpm.w, BI$11,
  _xlpm.r, MATCH(1,('3. Enter Indicator Scores'!$B$10:$B$161=$B80)*('3. Enter Indicator Scores'!$C$10:$C$161=$C80),0),
  _xlpm.c, MATCH(BI$8,'3. Enter Indicator Scores'!$D$8:$CZ$8,0),
  _xlpm.v, IFERROR(INDEX('3. Enter Indicator Scores'!$D$10:$CZ$161,_xlpm.r,_xlpm.c),""),
  IF(OR(_xlpm.w="",_xlpm.v=""),"",_xlpm.v*_xlpm.w)
)</f>
        <v/>
      </c>
      <c r="BJ80" s="93" t="str" cm="1">
        <f t="array" ref="BJ80">_xlfn.LET(
  _xlpm.w, BJ$11,
  _xlpm.r, MATCH(1,('3. Enter Indicator Scores'!$B$10:$B$161=$B80)*('3. Enter Indicator Scores'!$C$10:$C$161=$C80),0),
  _xlpm.c, MATCH(BJ$8,'3. Enter Indicator Scores'!$D$8:$CZ$8,0),
  _xlpm.v, IFERROR(INDEX('3. Enter Indicator Scores'!$D$10:$CZ$161,_xlpm.r,_xlpm.c),""),
  IF(OR(_xlpm.w="",_xlpm.v=""),"",_xlpm.v*_xlpm.w)
)</f>
        <v/>
      </c>
      <c r="BK80" s="93" t="str" cm="1">
        <f t="array" ref="BK80">_xlfn.LET(
  _xlpm.w, BK$11,
  _xlpm.r, MATCH(1,('3. Enter Indicator Scores'!$B$10:$B$161=$B80)*('3. Enter Indicator Scores'!$C$10:$C$161=$C80),0),
  _xlpm.c, MATCH(BK$8,'3. Enter Indicator Scores'!$D$8:$CZ$8,0),
  _xlpm.v, IFERROR(INDEX('3. Enter Indicator Scores'!$D$10:$CZ$161,_xlpm.r,_xlpm.c),""),
  IF(OR(_xlpm.w="",_xlpm.v=""),"",_xlpm.v*_xlpm.w)
)</f>
        <v/>
      </c>
      <c r="BL80" s="93" t="str" cm="1">
        <f t="array" ref="BL80">_xlfn.LET(
  _xlpm.w, BL$11,
  _xlpm.r, MATCH(1,('3. Enter Indicator Scores'!$B$10:$B$161=$B80)*('3. Enter Indicator Scores'!$C$10:$C$161=$C80),0),
  _xlpm.c, MATCH(BL$8,'3. Enter Indicator Scores'!$D$8:$CZ$8,0),
  _xlpm.v, IFERROR(INDEX('3. Enter Indicator Scores'!$D$10:$CZ$161,_xlpm.r,_xlpm.c),""),
  IF(OR(_xlpm.w="",_xlpm.v=""),"",_xlpm.v*_xlpm.w)
)</f>
        <v/>
      </c>
      <c r="BM80" s="93" t="str" cm="1">
        <f t="array" ref="BM80">_xlfn.LET(
  _xlpm.w, BM$11,
  _xlpm.r, MATCH(1,('3. Enter Indicator Scores'!$B$10:$B$161=$B80)*('3. Enter Indicator Scores'!$C$10:$C$161=$C80),0),
  _xlpm.c, MATCH(BM$8,'3. Enter Indicator Scores'!$D$8:$CZ$8,0),
  _xlpm.v, IFERROR(INDEX('3. Enter Indicator Scores'!$D$10:$CZ$161,_xlpm.r,_xlpm.c),""),
  IF(OR(_xlpm.w="",_xlpm.v=""),"",_xlpm.v*_xlpm.w)
)</f>
        <v/>
      </c>
      <c r="BN80" s="93" t="str" cm="1">
        <f t="array" ref="BN80">_xlfn.LET(
  _xlpm.w, BN$11,
  _xlpm.r, MATCH(1,('3. Enter Indicator Scores'!$B$10:$B$161=$B80)*('3. Enter Indicator Scores'!$C$10:$C$161=$C80),0),
  _xlpm.c, MATCH(BN$8,'3. Enter Indicator Scores'!$D$8:$CZ$8,0),
  _xlpm.v, IFERROR(INDEX('3. Enter Indicator Scores'!$D$10:$CZ$161,_xlpm.r,_xlpm.c),""),
  IF(OR(_xlpm.w="",_xlpm.v=""),"",_xlpm.v*_xlpm.w)
)</f>
        <v/>
      </c>
      <c r="BO80" s="93" t="str" cm="1">
        <f t="array" ref="BO80">_xlfn.LET(
  _xlpm.w, BO$11,
  _xlpm.r, MATCH(1,('3. Enter Indicator Scores'!$B$10:$B$161=$B80)*('3. Enter Indicator Scores'!$C$10:$C$161=$C80),0),
  _xlpm.c, MATCH(BO$8,'3. Enter Indicator Scores'!$D$8:$CZ$8,0),
  _xlpm.v, IFERROR(INDEX('3. Enter Indicator Scores'!$D$10:$CZ$161,_xlpm.r,_xlpm.c),""),
  IF(OR(_xlpm.w="",_xlpm.v=""),"",_xlpm.v*_xlpm.w)
)</f>
        <v/>
      </c>
      <c r="BP80" s="93" t="str" cm="1">
        <f t="array" ref="BP80">_xlfn.LET(
  _xlpm.w, BP$11,
  _xlpm.r, MATCH(1,('3. Enter Indicator Scores'!$B$10:$B$161=$B80)*('3. Enter Indicator Scores'!$C$10:$C$161=$C80),0),
  _xlpm.c, MATCH(BP$8,'3. Enter Indicator Scores'!$D$8:$CZ$8,0),
  _xlpm.v, IFERROR(INDEX('3. Enter Indicator Scores'!$D$10:$CZ$161,_xlpm.r,_xlpm.c),""),
  IF(OR(_xlpm.w="",_xlpm.v=""),"",_xlpm.v*_xlpm.w)
)</f>
        <v/>
      </c>
      <c r="BQ80" s="93" t="str" cm="1">
        <f t="array" ref="BQ80">_xlfn.LET(
  _xlpm.w, BQ$11,
  _xlpm.r, MATCH(1,('3. Enter Indicator Scores'!$B$10:$B$161=$B80)*('3. Enter Indicator Scores'!$C$10:$C$161=$C80),0),
  _xlpm.c, MATCH(BQ$8,'3. Enter Indicator Scores'!$D$8:$CZ$8,0),
  _xlpm.v, IFERROR(INDEX('3. Enter Indicator Scores'!$D$10:$CZ$161,_xlpm.r,_xlpm.c),""),
  IF(OR(_xlpm.w="",_xlpm.v=""),"",_xlpm.v*_xlpm.w)
)</f>
        <v/>
      </c>
      <c r="BR80" s="93" t="str" cm="1">
        <f t="array" ref="BR80">_xlfn.LET(
  _xlpm.w, BR$11,
  _xlpm.r, MATCH(1,('3. Enter Indicator Scores'!$B$10:$B$161=$B80)*('3. Enter Indicator Scores'!$C$10:$C$161=$C80),0),
  _xlpm.c, MATCH(BR$8,'3. Enter Indicator Scores'!$D$8:$CZ$8,0),
  _xlpm.v, IFERROR(INDEX('3. Enter Indicator Scores'!$D$10:$CZ$161,_xlpm.r,_xlpm.c),""),
  IF(OR(_xlpm.w="",_xlpm.v=""),"",_xlpm.v*_xlpm.w)
)</f>
        <v/>
      </c>
      <c r="BS80" s="93" t="str" cm="1">
        <f t="array" ref="BS80">_xlfn.LET(
  _xlpm.w, BS$11,
  _xlpm.r, MATCH(1,('3. Enter Indicator Scores'!$B$10:$B$161=$B80)*('3. Enter Indicator Scores'!$C$10:$C$161=$C80),0),
  _xlpm.c, MATCH(BS$8,'3. Enter Indicator Scores'!$D$8:$CZ$8,0),
  _xlpm.v, IFERROR(INDEX('3. Enter Indicator Scores'!$D$10:$CZ$161,_xlpm.r,_xlpm.c),""),
  IF(OR(_xlpm.w="",_xlpm.v=""),"",_xlpm.v*_xlpm.w)
)</f>
        <v/>
      </c>
      <c r="BT80" s="93" t="str" cm="1">
        <f t="array" ref="BT80">_xlfn.LET(
  _xlpm.w, BT$11,
  _xlpm.r, MATCH(1,('3. Enter Indicator Scores'!$B$10:$B$161=$B80)*('3. Enter Indicator Scores'!$C$10:$C$161=$C80),0),
  _xlpm.c, MATCH(BT$8,'3. Enter Indicator Scores'!$D$8:$CZ$8,0),
  _xlpm.v, IFERROR(INDEX('3. Enter Indicator Scores'!$D$10:$CZ$161,_xlpm.r,_xlpm.c),""),
  IF(OR(_xlpm.w="",_xlpm.v=""),"",_xlpm.v*_xlpm.w)
)</f>
        <v/>
      </c>
      <c r="BU80" s="93" t="str" cm="1">
        <f t="array" ref="BU80">_xlfn.LET(
  _xlpm.w, BU$11,
  _xlpm.r, MATCH(1,('3. Enter Indicator Scores'!$B$10:$B$161=$B80)*('3. Enter Indicator Scores'!$C$10:$C$161=$C80),0),
  _xlpm.c, MATCH(BU$8,'3. Enter Indicator Scores'!$D$8:$CZ$8,0),
  _xlpm.v, IFERROR(INDEX('3. Enter Indicator Scores'!$D$10:$CZ$161,_xlpm.r,_xlpm.c),""),
  IF(OR(_xlpm.w="",_xlpm.v=""),"",_xlpm.v*_xlpm.w)
)</f>
        <v/>
      </c>
      <c r="BV80" s="93" t="str" cm="1">
        <f t="array" ref="BV80">_xlfn.LET(
  _xlpm.w, BV$11,
  _xlpm.r, MATCH(1,('3. Enter Indicator Scores'!$B$10:$B$161=$B80)*('3. Enter Indicator Scores'!$C$10:$C$161=$C80),0),
  _xlpm.c, MATCH(BV$8,'3. Enter Indicator Scores'!$D$8:$CZ$8,0),
  _xlpm.v, IFERROR(INDEX('3. Enter Indicator Scores'!$D$10:$CZ$161,_xlpm.r,_xlpm.c),""),
  IF(OR(_xlpm.w="",_xlpm.v=""),"",_xlpm.v*_xlpm.w)
)</f>
        <v/>
      </c>
      <c r="BW80" s="93" t="str" cm="1">
        <f t="array" ref="BW80">_xlfn.LET(
  _xlpm.w, BW$11,
  _xlpm.r, MATCH(1,('3. Enter Indicator Scores'!$B$10:$B$161=$B80)*('3. Enter Indicator Scores'!$C$10:$C$161=$C80),0),
  _xlpm.c, MATCH(BW$8,'3. Enter Indicator Scores'!$D$8:$CZ$8,0),
  _xlpm.v, IFERROR(INDEX('3. Enter Indicator Scores'!$D$10:$CZ$161,_xlpm.r,_xlpm.c),""),
  IF(OR(_xlpm.w="",_xlpm.v=""),"",_xlpm.v*_xlpm.w)
)</f>
        <v/>
      </c>
      <c r="BX80" s="93" t="str" cm="1">
        <f t="array" ref="BX80">_xlfn.LET(
  _xlpm.w, BX$11,
  _xlpm.r, MATCH(1,('3. Enter Indicator Scores'!$B$10:$B$161=$B80)*('3. Enter Indicator Scores'!$C$10:$C$161=$C80),0),
  _xlpm.c, MATCH(BX$8,'3. Enter Indicator Scores'!$D$8:$CZ$8,0),
  _xlpm.v, IFERROR(INDEX('3. Enter Indicator Scores'!$D$10:$CZ$161,_xlpm.r,_xlpm.c),""),
  IF(OR(_xlpm.w="",_xlpm.v=""),"",_xlpm.v*_xlpm.w)
)</f>
        <v/>
      </c>
      <c r="BY80" s="93" t="str" cm="1">
        <f t="array" ref="BY80">_xlfn.LET(
  _xlpm.w, BY$11,
  _xlpm.r, MATCH(1,('3. Enter Indicator Scores'!$B$10:$B$161=$B80)*('3. Enter Indicator Scores'!$C$10:$C$161=$C80),0),
  _xlpm.c, MATCH(BY$8,'3. Enter Indicator Scores'!$D$8:$CZ$8,0),
  _xlpm.v, IFERROR(INDEX('3. Enter Indicator Scores'!$D$10:$CZ$161,_xlpm.r,_xlpm.c),""),
  IF(OR(_xlpm.w="",_xlpm.v=""),"",_xlpm.v*_xlpm.w)
)</f>
        <v/>
      </c>
      <c r="BZ80" s="93" t="str" cm="1">
        <f t="array" ref="BZ80">_xlfn.LET(
  _xlpm.w, BZ$11,
  _xlpm.r, MATCH(1,('3. Enter Indicator Scores'!$B$10:$B$161=$B80)*('3. Enter Indicator Scores'!$C$10:$C$161=$C80),0),
  _xlpm.c, MATCH(BZ$8,'3. Enter Indicator Scores'!$D$8:$CZ$8,0),
  _xlpm.v, IFERROR(INDEX('3. Enter Indicator Scores'!$D$10:$CZ$161,_xlpm.r,_xlpm.c),""),
  IF(OR(_xlpm.w="",_xlpm.v=""),"",_xlpm.v*_xlpm.w)
)</f>
        <v/>
      </c>
      <c r="CA80" s="93" t="str" cm="1">
        <f t="array" ref="CA80">_xlfn.LET(
  _xlpm.w, CA$11,
  _xlpm.r, MATCH(1,('3. Enter Indicator Scores'!$B$10:$B$161=$B80)*('3. Enter Indicator Scores'!$C$10:$C$161=$C80),0),
  _xlpm.c, MATCH(CA$8,'3. Enter Indicator Scores'!$D$8:$CZ$8,0),
  _xlpm.v, IFERROR(INDEX('3. Enter Indicator Scores'!$D$10:$CZ$161,_xlpm.r,_xlpm.c),""),
  IF(OR(_xlpm.w="",_xlpm.v=""),"",_xlpm.v*_xlpm.w)
)</f>
        <v/>
      </c>
      <c r="CB80" s="93" t="str" cm="1">
        <f t="array" ref="CB80">_xlfn.LET(
  _xlpm.w, CB$11,
  _xlpm.r, MATCH(1,('3. Enter Indicator Scores'!$B$10:$B$161=$B80)*('3. Enter Indicator Scores'!$C$10:$C$161=$C80),0),
  _xlpm.c, MATCH(CB$8,'3. Enter Indicator Scores'!$D$8:$CZ$8,0),
  _xlpm.v, IFERROR(INDEX('3. Enter Indicator Scores'!$D$10:$CZ$161,_xlpm.r,_xlpm.c),""),
  IF(OR(_xlpm.w="",_xlpm.v=""),"",_xlpm.v*_xlpm.w)
)</f>
        <v/>
      </c>
      <c r="CC80" s="93" t="str" cm="1">
        <f t="array" ref="CC80">_xlfn.LET(
  _xlpm.w, CC$11,
  _xlpm.r, MATCH(1,('3. Enter Indicator Scores'!$B$10:$B$161=$B80)*('3. Enter Indicator Scores'!$C$10:$C$161=$C80),0),
  _xlpm.c, MATCH(CC$8,'3. Enter Indicator Scores'!$D$8:$CZ$8,0),
  _xlpm.v, IFERROR(INDEX('3. Enter Indicator Scores'!$D$10:$CZ$161,_xlpm.r,_xlpm.c),""),
  IF(OR(_xlpm.w="",_xlpm.v=""),"",_xlpm.v*_xlpm.w)
)</f>
        <v/>
      </c>
      <c r="CD80" s="93" t="str" cm="1">
        <f t="array" ref="CD80">_xlfn.LET(
  _xlpm.w, CD$11,
  _xlpm.r, MATCH(1,('3. Enter Indicator Scores'!$B$10:$B$161=$B80)*('3. Enter Indicator Scores'!$C$10:$C$161=$C80),0),
  _xlpm.c, MATCH(CD$8,'3. Enter Indicator Scores'!$D$8:$CZ$8,0),
  _xlpm.v, IFERROR(INDEX('3. Enter Indicator Scores'!$D$10:$CZ$161,_xlpm.r,_xlpm.c),""),
  IF(OR(_xlpm.w="",_xlpm.v=""),"",_xlpm.v*_xlpm.w)
)</f>
        <v/>
      </c>
      <c r="CE80" s="93" t="str" cm="1">
        <f t="array" ref="CE80">_xlfn.LET(
  _xlpm.w, CE$11,
  _xlpm.r, MATCH(1,('3. Enter Indicator Scores'!$B$10:$B$161=$B80)*('3. Enter Indicator Scores'!$C$10:$C$161=$C80),0),
  _xlpm.c, MATCH(CE$8,'3. Enter Indicator Scores'!$D$8:$CZ$8,0),
  _xlpm.v, IFERROR(INDEX('3. Enter Indicator Scores'!$D$10:$CZ$161,_xlpm.r,_xlpm.c),""),
  IF(OR(_xlpm.w="",_xlpm.v=""),"",_xlpm.v*_xlpm.w)
)</f>
        <v/>
      </c>
      <c r="CF80" s="93" t="str" cm="1">
        <f t="array" ref="CF80">_xlfn.LET(
  _xlpm.w, CF$11,
  _xlpm.r, MATCH(1,('3. Enter Indicator Scores'!$B$10:$B$161=$B80)*('3. Enter Indicator Scores'!$C$10:$C$161=$C80),0),
  _xlpm.c, MATCH(CF$8,'3. Enter Indicator Scores'!$D$8:$CZ$8,0),
  _xlpm.v, IFERROR(INDEX('3. Enter Indicator Scores'!$D$10:$CZ$161,_xlpm.r,_xlpm.c),""),
  IF(OR(_xlpm.w="",_xlpm.v=""),"",_xlpm.v*_xlpm.w)
)</f>
        <v/>
      </c>
      <c r="CG80" s="93" t="str" cm="1">
        <f t="array" ref="CG80">_xlfn.LET(
  _xlpm.w, CG$11,
  _xlpm.r, MATCH(1,('3. Enter Indicator Scores'!$B$10:$B$161=$B80)*('3. Enter Indicator Scores'!$C$10:$C$161=$C80),0),
  _xlpm.c, MATCH(CG$8,'3. Enter Indicator Scores'!$D$8:$CZ$8,0),
  _xlpm.v, IFERROR(INDEX('3. Enter Indicator Scores'!$D$10:$CZ$161,_xlpm.r,_xlpm.c),""),
  IF(OR(_xlpm.w="",_xlpm.v=""),"",_xlpm.v*_xlpm.w)
)</f>
        <v/>
      </c>
      <c r="CH80" s="93" t="str" cm="1">
        <f t="array" ref="CH80">_xlfn.LET(
  _xlpm.w, CH$11,
  _xlpm.r, MATCH(1,('3. Enter Indicator Scores'!$B$10:$B$161=$B80)*('3. Enter Indicator Scores'!$C$10:$C$161=$C80),0),
  _xlpm.c, MATCH(CH$8,'3. Enter Indicator Scores'!$D$8:$CZ$8,0),
  _xlpm.v, IFERROR(INDEX('3. Enter Indicator Scores'!$D$10:$CZ$161,_xlpm.r,_xlpm.c),""),
  IF(OR(_xlpm.w="",_xlpm.v=""),"",_xlpm.v*_xlpm.w)
)</f>
        <v/>
      </c>
      <c r="CI80" s="93" t="str" cm="1">
        <f t="array" ref="CI80">_xlfn.LET(
  _xlpm.w, CI$11,
  _xlpm.r, MATCH(1,('3. Enter Indicator Scores'!$B$10:$B$161=$B80)*('3. Enter Indicator Scores'!$C$10:$C$161=$C80),0),
  _xlpm.c, MATCH(CI$8,'3. Enter Indicator Scores'!$D$8:$CZ$8,0),
  _xlpm.v, IFERROR(INDEX('3. Enter Indicator Scores'!$D$10:$CZ$161,_xlpm.r,_xlpm.c),""),
  IF(OR(_xlpm.w="",_xlpm.v=""),"",_xlpm.v*_xlpm.w)
)</f>
        <v/>
      </c>
      <c r="CJ80" s="93" t="str" cm="1">
        <f t="array" ref="CJ80">_xlfn.LET(
  _xlpm.w, CJ$11,
  _xlpm.r, MATCH(1,('3. Enter Indicator Scores'!$B$10:$B$161=$B80)*('3. Enter Indicator Scores'!$C$10:$C$161=$C80),0),
  _xlpm.c, MATCH(CJ$8,'3. Enter Indicator Scores'!$D$8:$CZ$8,0),
  _xlpm.v, IFERROR(INDEX('3. Enter Indicator Scores'!$D$10:$CZ$161,_xlpm.r,_xlpm.c),""),
  IF(OR(_xlpm.w="",_xlpm.v=""),"",_xlpm.v*_xlpm.w)
)</f>
        <v/>
      </c>
      <c r="CK80" s="93" t="str" cm="1">
        <f t="array" ref="CK80">_xlfn.LET(
  _xlpm.w, CK$11,
  _xlpm.r, MATCH(1,('3. Enter Indicator Scores'!$B$10:$B$161=$B80)*('3. Enter Indicator Scores'!$C$10:$C$161=$C80),0),
  _xlpm.c, MATCH(CK$8,'3. Enter Indicator Scores'!$D$8:$CZ$8,0),
  _xlpm.v, IFERROR(INDEX('3. Enter Indicator Scores'!$D$10:$CZ$161,_xlpm.r,_xlpm.c),""),
  IF(OR(_xlpm.w="",_xlpm.v=""),"",_xlpm.v*_xlpm.w)
)</f>
        <v/>
      </c>
      <c r="CL80" s="93" t="str" cm="1">
        <f t="array" ref="CL80">_xlfn.LET(
  _xlpm.w, CL$11,
  _xlpm.r, MATCH(1,('3. Enter Indicator Scores'!$B$10:$B$161=$B80)*('3. Enter Indicator Scores'!$C$10:$C$161=$C80),0),
  _xlpm.c, MATCH(CL$8,'3. Enter Indicator Scores'!$D$8:$CZ$8,0),
  _xlpm.v, IFERROR(INDEX('3. Enter Indicator Scores'!$D$10:$CZ$161,_xlpm.r,_xlpm.c),""),
  IF(OR(_xlpm.w="",_xlpm.v=""),"",_xlpm.v*_xlpm.w)
)</f>
        <v/>
      </c>
      <c r="CM80" s="93" t="str" cm="1">
        <f t="array" ref="CM80">_xlfn.LET(
  _xlpm.w, CM$11,
  _xlpm.r, MATCH(1,('3. Enter Indicator Scores'!$B$10:$B$161=$B80)*('3. Enter Indicator Scores'!$C$10:$C$161=$C80),0),
  _xlpm.c, MATCH(CM$8,'3. Enter Indicator Scores'!$D$8:$CZ$8,0),
  _xlpm.v, IFERROR(INDEX('3. Enter Indicator Scores'!$D$10:$CZ$161,_xlpm.r,_xlpm.c),""),
  IF(OR(_xlpm.w="",_xlpm.v=""),"",_xlpm.v*_xlpm.w)
)</f>
        <v/>
      </c>
      <c r="CN80" s="93" t="str" cm="1">
        <f t="array" ref="CN80">_xlfn.LET(
  _xlpm.w, CN$11,
  _xlpm.r, MATCH(1,('3. Enter Indicator Scores'!$B$10:$B$161=$B80)*('3. Enter Indicator Scores'!$C$10:$C$161=$C80),0),
  _xlpm.c, MATCH(CN$8,'3. Enter Indicator Scores'!$D$8:$CZ$8,0),
  _xlpm.v, IFERROR(INDEX('3. Enter Indicator Scores'!$D$10:$CZ$161,_xlpm.r,_xlpm.c),""),
  IF(OR(_xlpm.w="",_xlpm.v=""),"",_xlpm.v*_xlpm.w)
)</f>
        <v/>
      </c>
      <c r="CO80" s="93" t="str" cm="1">
        <f t="array" ref="CO80">_xlfn.LET(
  _xlpm.w, CO$11,
  _xlpm.r, MATCH(1,('3. Enter Indicator Scores'!$B$10:$B$161=$B80)*('3. Enter Indicator Scores'!$C$10:$C$161=$C80),0),
  _xlpm.c, MATCH(CO$8,'3. Enter Indicator Scores'!$D$8:$CZ$8,0),
  _xlpm.v, IFERROR(INDEX('3. Enter Indicator Scores'!$D$10:$CZ$161,_xlpm.r,_xlpm.c),""),
  IF(OR(_xlpm.w="",_xlpm.v=""),"",_xlpm.v*_xlpm.w)
)</f>
        <v/>
      </c>
      <c r="CP80" s="93" t="str" cm="1">
        <f t="array" ref="CP80">_xlfn.LET(
  _xlpm.w, CP$11,
  _xlpm.r, MATCH(1,('3. Enter Indicator Scores'!$B$10:$B$161=$B80)*('3. Enter Indicator Scores'!$C$10:$C$161=$C80),0),
  _xlpm.c, MATCH(CP$8,'3. Enter Indicator Scores'!$D$8:$CZ$8,0),
  _xlpm.v, IFERROR(INDEX('3. Enter Indicator Scores'!$D$10:$CZ$161,_xlpm.r,_xlpm.c),""),
  IF(OR(_xlpm.w="",_xlpm.v=""),"",_xlpm.v*_xlpm.w)
)</f>
        <v/>
      </c>
      <c r="CQ80" s="93" t="str" cm="1">
        <f t="array" ref="CQ80">_xlfn.LET(
  _xlpm.w, CQ$11,
  _xlpm.r, MATCH(1,('3. Enter Indicator Scores'!$B$10:$B$161=$B80)*('3. Enter Indicator Scores'!$C$10:$C$161=$C80),0),
  _xlpm.c, MATCH(CQ$8,'3. Enter Indicator Scores'!$D$8:$CZ$8,0),
  _xlpm.v, IFERROR(INDEX('3. Enter Indicator Scores'!$D$10:$CZ$161,_xlpm.r,_xlpm.c),""),
  IF(OR(_xlpm.w="",_xlpm.v=""),"",_xlpm.v*_xlpm.w)
)</f>
        <v/>
      </c>
      <c r="CR80" s="93" t="str" cm="1">
        <f t="array" ref="CR80">_xlfn.LET(
  _xlpm.w, CR$11,
  _xlpm.r, MATCH(1,('3. Enter Indicator Scores'!$B$10:$B$161=$B80)*('3. Enter Indicator Scores'!$C$10:$C$161=$C80),0),
  _xlpm.c, MATCH(CR$8,'3. Enter Indicator Scores'!$D$8:$CZ$8,0),
  _xlpm.v, IFERROR(INDEX('3. Enter Indicator Scores'!$D$10:$CZ$161,_xlpm.r,_xlpm.c),""),
  IF(OR(_xlpm.w="",_xlpm.v=""),"",_xlpm.v*_xlpm.w)
)</f>
        <v/>
      </c>
      <c r="CS80" s="93" t="str" cm="1">
        <f t="array" ref="CS80">_xlfn.LET(
  _xlpm.w, CS$11,
  _xlpm.r, MATCH(1,('3. Enter Indicator Scores'!$B$10:$B$161=$B80)*('3. Enter Indicator Scores'!$C$10:$C$161=$C80),0),
  _xlpm.c, MATCH(CS$8,'3. Enter Indicator Scores'!$D$8:$CZ$8,0),
  _xlpm.v, IFERROR(INDEX('3. Enter Indicator Scores'!$D$10:$CZ$161,_xlpm.r,_xlpm.c),""),
  IF(OR(_xlpm.w="",_xlpm.v=""),"",_xlpm.v*_xlpm.w)
)</f>
        <v/>
      </c>
      <c r="CT80" s="93" t="str" cm="1">
        <f t="array" ref="CT80">_xlfn.LET(
  _xlpm.w, CT$11,
  _xlpm.r, MATCH(1,('3. Enter Indicator Scores'!$B$10:$B$161=$B80)*('3. Enter Indicator Scores'!$C$10:$C$161=$C80),0),
  _xlpm.c, MATCH(CT$8,'3. Enter Indicator Scores'!$D$8:$CZ$8,0),
  _xlpm.v, IFERROR(INDEX('3. Enter Indicator Scores'!$D$10:$CZ$161,_xlpm.r,_xlpm.c),""),
  IF(OR(_xlpm.w="",_xlpm.v=""),"",_xlpm.v*_xlpm.w)
)</f>
        <v/>
      </c>
      <c r="CU80" s="93" t="str" cm="1">
        <f t="array" ref="CU80">_xlfn.LET(
  _xlpm.w, CU$11,
  _xlpm.r, MATCH(1,('3. Enter Indicator Scores'!$B$10:$B$161=$B80)*('3. Enter Indicator Scores'!$C$10:$C$161=$C80),0),
  _xlpm.c, MATCH(CU$8,'3. Enter Indicator Scores'!$D$8:$CZ$8,0),
  _xlpm.v, IFERROR(INDEX('3. Enter Indicator Scores'!$D$10:$CZ$161,_xlpm.r,_xlpm.c),""),
  IF(OR(_xlpm.w="",_xlpm.v=""),"",_xlpm.v*_xlpm.w)
)</f>
        <v/>
      </c>
      <c r="CV80" s="93" t="str" cm="1">
        <f t="array" ref="CV80">_xlfn.LET(
  _xlpm.w, CV$11,
  _xlpm.r, MATCH(1,('3. Enter Indicator Scores'!$B$10:$B$161=$B80)*('3. Enter Indicator Scores'!$C$10:$C$161=$C80),0),
  _xlpm.c, MATCH(CV$8,'3. Enter Indicator Scores'!$D$8:$CZ$8,0),
  _xlpm.v, IFERROR(INDEX('3. Enter Indicator Scores'!$D$10:$CZ$161,_xlpm.r,_xlpm.c),""),
  IF(OR(_xlpm.w="",_xlpm.v=""),"",_xlpm.v*_xlpm.w)
)</f>
        <v/>
      </c>
      <c r="CW80" s="93" t="str" cm="1">
        <f t="array" ref="CW80">_xlfn.LET(
  _xlpm.w, CW$11,
  _xlpm.r, MATCH(1,('3. Enter Indicator Scores'!$B$10:$B$161=$B80)*('3. Enter Indicator Scores'!$C$10:$C$161=$C80),0),
  _xlpm.c, MATCH(CW$8,'3. Enter Indicator Scores'!$D$8:$CZ$8,0),
  _xlpm.v, IFERROR(INDEX('3. Enter Indicator Scores'!$D$10:$CZ$161,_xlpm.r,_xlpm.c),""),
  IF(OR(_xlpm.w="",_xlpm.v=""),"",_xlpm.v*_xlpm.w)
)</f>
        <v/>
      </c>
      <c r="CX80" s="93" t="str" cm="1">
        <f t="array" ref="CX80">_xlfn.LET(
  _xlpm.w, CX$11,
  _xlpm.r, MATCH(1,('3. Enter Indicator Scores'!$B$10:$B$161=$B80)*('3. Enter Indicator Scores'!$C$10:$C$161=$C80),0),
  _xlpm.c, MATCH(CX$8,'3. Enter Indicator Scores'!$D$8:$CZ$8,0),
  _xlpm.v, IFERROR(INDEX('3. Enter Indicator Scores'!$D$10:$CZ$161,_xlpm.r,_xlpm.c),""),
  IF(OR(_xlpm.w="",_xlpm.v=""),"",_xlpm.v*_xlpm.w)
)</f>
        <v/>
      </c>
      <c r="CY80" s="93" t="str" cm="1">
        <f t="array" ref="CY80">_xlfn.LET(
  _xlpm.w, CY$11,
  _xlpm.r, MATCH(1,('3. Enter Indicator Scores'!$B$10:$B$161=$B80)*('3. Enter Indicator Scores'!$C$10:$C$161=$C80),0),
  _xlpm.c, MATCH(CY$8,'3. Enter Indicator Scores'!$D$8:$CZ$8,0),
  _xlpm.v, IFERROR(INDEX('3. Enter Indicator Scores'!$D$10:$CZ$161,_xlpm.r,_xlpm.c),""),
  IF(OR(_xlpm.w="",_xlpm.v=""),"",_xlpm.v*_xlpm.w)
)</f>
        <v/>
      </c>
      <c r="CZ80" s="93" t="str" cm="1">
        <f t="array" ref="CZ80">_xlfn.LET(
  _xlpm.w, CZ$11,
  _xlpm.r, MATCH(1,('3. Enter Indicator Scores'!$B$10:$B$161=$B80)*('3. Enter Indicator Scores'!$C$10:$C$161=$C80),0),
  _xlpm.c, MATCH(CZ$8,'3. Enter Indicator Scores'!$D$8:$CZ$8,0),
  _xlpm.v, IFERROR(INDEX('3. Enter Indicator Scores'!$D$10:$CZ$161,_xlpm.r,_xlpm.c),""),
  IF(OR(_xlpm.w="",_xlpm.v=""),"",_xlpm.v*_xlpm.w)
)</f>
        <v/>
      </c>
    </row>
    <row r="81" spans="4:104" x14ac:dyDescent="0.2">
      <c r="D81" s="93" t="str" cm="1">
        <f t="array" ref="D81">_xlfn.LET(
  _xlpm.w, D$11,
  _xlpm.r, MATCH(1,('3. Enter Indicator Scores'!$B$10:$B$161=$B81)*('3. Enter Indicator Scores'!$C$10:$C$161=$C81),0),
  _xlpm.c, MATCH(D$8,'3. Enter Indicator Scores'!$D$8:$CZ$8,0),
  _xlpm.v, IFERROR(INDEX('3. Enter Indicator Scores'!$D$10:$CZ$161,_xlpm.r,_xlpm.c),""),
  IF(OR(_xlpm.w="",_xlpm.v=""),"",_xlpm.v*_xlpm.w)
)</f>
        <v/>
      </c>
      <c r="E81" s="93" t="str" cm="1">
        <f t="array" ref="E81">_xlfn.LET(
  _xlpm.w, E$11,
  _xlpm.r, MATCH(1,('3. Enter Indicator Scores'!$B$10:$B$161=$B81)*('3. Enter Indicator Scores'!$C$10:$C$161=$C81),0),
  _xlpm.c, MATCH(E$8,'3. Enter Indicator Scores'!$D$8:$CZ$8,0),
  _xlpm.v, IFERROR(INDEX('3. Enter Indicator Scores'!$D$10:$CZ$161,_xlpm.r,_xlpm.c),""),
  IF(OR(_xlpm.w="",_xlpm.v=""),"",_xlpm.v*_xlpm.w)
)</f>
        <v/>
      </c>
      <c r="F81" s="93" t="str" cm="1">
        <f t="array" ref="F81">_xlfn.LET(
  _xlpm.w, F$11,
  _xlpm.r, MATCH(1,('3. Enter Indicator Scores'!$B$10:$B$161=$B81)*('3. Enter Indicator Scores'!$C$10:$C$161=$C81),0),
  _xlpm.c, MATCH(F$8,'3. Enter Indicator Scores'!$D$8:$CZ$8,0),
  _xlpm.v, IFERROR(INDEX('3. Enter Indicator Scores'!$D$10:$CZ$161,_xlpm.r,_xlpm.c),""),
  IF(OR(_xlpm.w="",_xlpm.v=""),"",_xlpm.v*_xlpm.w)
)</f>
        <v/>
      </c>
      <c r="G81" s="93" t="str" cm="1">
        <f t="array" ref="G81">_xlfn.LET(
  _xlpm.w, G$11,
  _xlpm.r, MATCH(1,('3. Enter Indicator Scores'!$B$10:$B$161=$B81)*('3. Enter Indicator Scores'!$C$10:$C$161=$C81),0),
  _xlpm.c, MATCH(G$8,'3. Enter Indicator Scores'!$D$8:$CZ$8,0),
  _xlpm.v, IFERROR(INDEX('3. Enter Indicator Scores'!$D$10:$CZ$161,_xlpm.r,_xlpm.c),""),
  IF(OR(_xlpm.w="",_xlpm.v=""),"",_xlpm.v*_xlpm.w)
)</f>
        <v/>
      </c>
      <c r="H81" s="93" t="str" cm="1">
        <f t="array" ref="H81">_xlfn.LET(
  _xlpm.w, H$11,
  _xlpm.r, MATCH(1,('3. Enter Indicator Scores'!$B$10:$B$161=$B81)*('3. Enter Indicator Scores'!$C$10:$C$161=$C81),0),
  _xlpm.c, MATCH(H$8,'3. Enter Indicator Scores'!$D$8:$CZ$8,0),
  _xlpm.v, IFERROR(INDEX('3. Enter Indicator Scores'!$D$10:$CZ$161,_xlpm.r,_xlpm.c),""),
  IF(OR(_xlpm.w="",_xlpm.v=""),"",_xlpm.v*_xlpm.w)
)</f>
        <v/>
      </c>
      <c r="I81" s="93" t="str" cm="1">
        <f t="array" ref="I81">_xlfn.LET(
  _xlpm.w, I$11,
  _xlpm.r, MATCH(1,('3. Enter Indicator Scores'!$B$10:$B$161=$B81)*('3. Enter Indicator Scores'!$C$10:$C$161=$C81),0),
  _xlpm.c, MATCH(I$8,'3. Enter Indicator Scores'!$D$8:$CZ$8,0),
  _xlpm.v, IFERROR(INDEX('3. Enter Indicator Scores'!$D$10:$CZ$161,_xlpm.r,_xlpm.c),""),
  IF(OR(_xlpm.w="",_xlpm.v=""),"",_xlpm.v*_xlpm.w)
)</f>
        <v/>
      </c>
      <c r="J81" s="93" t="str" cm="1">
        <f t="array" ref="J81">_xlfn.LET(
  _xlpm.w, J$11,
  _xlpm.r, MATCH(1,('3. Enter Indicator Scores'!$B$10:$B$161=$B81)*('3. Enter Indicator Scores'!$C$10:$C$161=$C81),0),
  _xlpm.c, MATCH(J$8,'3. Enter Indicator Scores'!$D$8:$CZ$8,0),
  _xlpm.v, IFERROR(INDEX('3. Enter Indicator Scores'!$D$10:$CZ$161,_xlpm.r,_xlpm.c),""),
  IF(OR(_xlpm.w="",_xlpm.v=""),"",_xlpm.v*_xlpm.w)
)</f>
        <v/>
      </c>
      <c r="K81" s="93" t="str" cm="1">
        <f t="array" ref="K81">_xlfn.LET(
  _xlpm.w, K$11,
  _xlpm.r, MATCH(1,('3. Enter Indicator Scores'!$B$10:$B$161=$B81)*('3. Enter Indicator Scores'!$C$10:$C$161=$C81),0),
  _xlpm.c, MATCH(K$8,'3. Enter Indicator Scores'!$D$8:$CZ$8,0),
  _xlpm.v, IFERROR(INDEX('3. Enter Indicator Scores'!$D$10:$CZ$161,_xlpm.r,_xlpm.c),""),
  IF(OR(_xlpm.w="",_xlpm.v=""),"",_xlpm.v*_xlpm.w)
)</f>
        <v/>
      </c>
      <c r="L81" s="93" t="str" cm="1">
        <f t="array" ref="L81">_xlfn.LET(
  _xlpm.w, L$11,
  _xlpm.r, MATCH(1,('3. Enter Indicator Scores'!$B$10:$B$161=$B81)*('3. Enter Indicator Scores'!$C$10:$C$161=$C81),0),
  _xlpm.c, MATCH(L$8,'3. Enter Indicator Scores'!$D$8:$CZ$8,0),
  _xlpm.v, IFERROR(INDEX('3. Enter Indicator Scores'!$D$10:$CZ$161,_xlpm.r,_xlpm.c),""),
  IF(OR(_xlpm.w="",_xlpm.v=""),"",_xlpm.v*_xlpm.w)
)</f>
        <v/>
      </c>
      <c r="M81" s="93" t="str" cm="1">
        <f t="array" ref="M81">_xlfn.LET(
  _xlpm.w, M$11,
  _xlpm.r, MATCH(1,('3. Enter Indicator Scores'!$B$10:$B$161=$B81)*('3. Enter Indicator Scores'!$C$10:$C$161=$C81),0),
  _xlpm.c, MATCH(M$8,'3. Enter Indicator Scores'!$D$8:$CZ$8,0),
  _xlpm.v, IFERROR(INDEX('3. Enter Indicator Scores'!$D$10:$CZ$161,_xlpm.r,_xlpm.c),""),
  IF(OR(_xlpm.w="",_xlpm.v=""),"",_xlpm.v*_xlpm.w)
)</f>
        <v/>
      </c>
      <c r="N81" s="93" t="str" cm="1">
        <f t="array" ref="N81">_xlfn.LET(
  _xlpm.w, N$11,
  _xlpm.r, MATCH(1,('3. Enter Indicator Scores'!$B$10:$B$161=$B81)*('3. Enter Indicator Scores'!$C$10:$C$161=$C81),0),
  _xlpm.c, MATCH(N$8,'3. Enter Indicator Scores'!$D$8:$CZ$8,0),
  _xlpm.v, IFERROR(INDEX('3. Enter Indicator Scores'!$D$10:$CZ$161,_xlpm.r,_xlpm.c),""),
  IF(OR(_xlpm.w="",_xlpm.v=""),"",_xlpm.v*_xlpm.w)
)</f>
        <v/>
      </c>
      <c r="O81" s="93" t="str" cm="1">
        <f t="array" ref="O81">_xlfn.LET(
  _xlpm.w, O$11,
  _xlpm.r, MATCH(1,('3. Enter Indicator Scores'!$B$10:$B$161=$B81)*('3. Enter Indicator Scores'!$C$10:$C$161=$C81),0),
  _xlpm.c, MATCH(O$8,'3. Enter Indicator Scores'!$D$8:$CZ$8,0),
  _xlpm.v, IFERROR(INDEX('3. Enter Indicator Scores'!$D$10:$CZ$161,_xlpm.r,_xlpm.c),""),
  IF(OR(_xlpm.w="",_xlpm.v=""),"",_xlpm.v*_xlpm.w)
)</f>
        <v/>
      </c>
      <c r="P81" s="93" t="str" cm="1">
        <f t="array" ref="P81">_xlfn.LET(
  _xlpm.w, P$11,
  _xlpm.r, MATCH(1,('3. Enter Indicator Scores'!$B$10:$B$161=$B81)*('3. Enter Indicator Scores'!$C$10:$C$161=$C81),0),
  _xlpm.c, MATCH(P$8,'3. Enter Indicator Scores'!$D$8:$CZ$8,0),
  _xlpm.v, IFERROR(INDEX('3. Enter Indicator Scores'!$D$10:$CZ$161,_xlpm.r,_xlpm.c),""),
  IF(OR(_xlpm.w="",_xlpm.v=""),"",_xlpm.v*_xlpm.w)
)</f>
        <v/>
      </c>
      <c r="Q81" s="93" t="str" cm="1">
        <f t="array" ref="Q81">_xlfn.LET(
  _xlpm.w, Q$11,
  _xlpm.r, MATCH(1,('3. Enter Indicator Scores'!$B$10:$B$161=$B81)*('3. Enter Indicator Scores'!$C$10:$C$161=$C81),0),
  _xlpm.c, MATCH(Q$8,'3. Enter Indicator Scores'!$D$8:$CZ$8,0),
  _xlpm.v, IFERROR(INDEX('3. Enter Indicator Scores'!$D$10:$CZ$161,_xlpm.r,_xlpm.c),""),
  IF(OR(_xlpm.w="",_xlpm.v=""),"",_xlpm.v*_xlpm.w)
)</f>
        <v/>
      </c>
      <c r="R81" s="93" t="str" cm="1">
        <f t="array" ref="R81">_xlfn.LET(
  _xlpm.w, R$11,
  _xlpm.r, MATCH(1,('3. Enter Indicator Scores'!$B$10:$B$161=$B81)*('3. Enter Indicator Scores'!$C$10:$C$161=$C81),0),
  _xlpm.c, MATCH(R$8,'3. Enter Indicator Scores'!$D$8:$CZ$8,0),
  _xlpm.v, IFERROR(INDEX('3. Enter Indicator Scores'!$D$10:$CZ$161,_xlpm.r,_xlpm.c),""),
  IF(OR(_xlpm.w="",_xlpm.v=""),"",_xlpm.v*_xlpm.w)
)</f>
        <v/>
      </c>
      <c r="S81" s="93" t="str" cm="1">
        <f t="array" ref="S81">_xlfn.LET(
  _xlpm.w, S$11,
  _xlpm.r, MATCH(1,('3. Enter Indicator Scores'!$B$10:$B$161=$B81)*('3. Enter Indicator Scores'!$C$10:$C$161=$C81),0),
  _xlpm.c, MATCH(S$8,'3. Enter Indicator Scores'!$D$8:$CZ$8,0),
  _xlpm.v, IFERROR(INDEX('3. Enter Indicator Scores'!$D$10:$CZ$161,_xlpm.r,_xlpm.c),""),
  IF(OR(_xlpm.w="",_xlpm.v=""),"",_xlpm.v*_xlpm.w)
)</f>
        <v/>
      </c>
      <c r="T81" s="93" t="str" cm="1">
        <f t="array" ref="T81">_xlfn.LET(
  _xlpm.w, T$11,
  _xlpm.r, MATCH(1,('3. Enter Indicator Scores'!$B$10:$B$161=$B81)*('3. Enter Indicator Scores'!$C$10:$C$161=$C81),0),
  _xlpm.c, MATCH(T$8,'3. Enter Indicator Scores'!$D$8:$CZ$8,0),
  _xlpm.v, IFERROR(INDEX('3. Enter Indicator Scores'!$D$10:$CZ$161,_xlpm.r,_xlpm.c),""),
  IF(OR(_xlpm.w="",_xlpm.v=""),"",_xlpm.v*_xlpm.w)
)</f>
        <v/>
      </c>
      <c r="U81" s="93" t="str" cm="1">
        <f t="array" ref="U81">_xlfn.LET(
  _xlpm.w, U$11,
  _xlpm.r, MATCH(1,('3. Enter Indicator Scores'!$B$10:$B$161=$B81)*('3. Enter Indicator Scores'!$C$10:$C$161=$C81),0),
  _xlpm.c, MATCH(U$8,'3. Enter Indicator Scores'!$D$8:$CZ$8,0),
  _xlpm.v, IFERROR(INDEX('3. Enter Indicator Scores'!$D$10:$CZ$161,_xlpm.r,_xlpm.c),""),
  IF(OR(_xlpm.w="",_xlpm.v=""),"",_xlpm.v*_xlpm.w)
)</f>
        <v/>
      </c>
      <c r="V81" s="93" t="str" cm="1">
        <f t="array" ref="V81">_xlfn.LET(
  _xlpm.w, V$11,
  _xlpm.r, MATCH(1,('3. Enter Indicator Scores'!$B$10:$B$161=$B81)*('3. Enter Indicator Scores'!$C$10:$C$161=$C81),0),
  _xlpm.c, MATCH(V$8,'3. Enter Indicator Scores'!$D$8:$CZ$8,0),
  _xlpm.v, IFERROR(INDEX('3. Enter Indicator Scores'!$D$10:$CZ$161,_xlpm.r,_xlpm.c),""),
  IF(OR(_xlpm.w="",_xlpm.v=""),"",_xlpm.v*_xlpm.w)
)</f>
        <v/>
      </c>
      <c r="W81" s="93" t="str" cm="1">
        <f t="array" ref="W81">_xlfn.LET(
  _xlpm.w, W$11,
  _xlpm.r, MATCH(1,('3. Enter Indicator Scores'!$B$10:$B$161=$B81)*('3. Enter Indicator Scores'!$C$10:$C$161=$C81),0),
  _xlpm.c, MATCH(W$8,'3. Enter Indicator Scores'!$D$8:$CZ$8,0),
  _xlpm.v, IFERROR(INDEX('3. Enter Indicator Scores'!$D$10:$CZ$161,_xlpm.r,_xlpm.c),""),
  IF(OR(_xlpm.w="",_xlpm.v=""),"",_xlpm.v*_xlpm.w)
)</f>
        <v/>
      </c>
      <c r="X81" s="93" t="str" cm="1">
        <f t="array" ref="X81">_xlfn.LET(
  _xlpm.w, X$11,
  _xlpm.r, MATCH(1,('3. Enter Indicator Scores'!$B$10:$B$161=$B81)*('3. Enter Indicator Scores'!$C$10:$C$161=$C81),0),
  _xlpm.c, MATCH(X$8,'3. Enter Indicator Scores'!$D$8:$CZ$8,0),
  _xlpm.v, IFERROR(INDEX('3. Enter Indicator Scores'!$D$10:$CZ$161,_xlpm.r,_xlpm.c),""),
  IF(OR(_xlpm.w="",_xlpm.v=""),"",_xlpm.v*_xlpm.w)
)</f>
        <v/>
      </c>
      <c r="Y81" s="93" t="str" cm="1">
        <f t="array" ref="Y81">_xlfn.LET(
  _xlpm.w, Y$11,
  _xlpm.r, MATCH(1,('3. Enter Indicator Scores'!$B$10:$B$161=$B81)*('3. Enter Indicator Scores'!$C$10:$C$161=$C81),0),
  _xlpm.c, MATCH(Y$8,'3. Enter Indicator Scores'!$D$8:$CZ$8,0),
  _xlpm.v, IFERROR(INDEX('3. Enter Indicator Scores'!$D$10:$CZ$161,_xlpm.r,_xlpm.c),""),
  IF(OR(_xlpm.w="",_xlpm.v=""),"",_xlpm.v*_xlpm.w)
)</f>
        <v/>
      </c>
      <c r="Z81" s="93" t="str" cm="1">
        <f t="array" ref="Z81">_xlfn.LET(
  _xlpm.w, Z$11,
  _xlpm.r, MATCH(1,('3. Enter Indicator Scores'!$B$10:$B$161=$B81)*('3. Enter Indicator Scores'!$C$10:$C$161=$C81),0),
  _xlpm.c, MATCH(Z$8,'3. Enter Indicator Scores'!$D$8:$CZ$8,0),
  _xlpm.v, IFERROR(INDEX('3. Enter Indicator Scores'!$D$10:$CZ$161,_xlpm.r,_xlpm.c),""),
  IF(OR(_xlpm.w="",_xlpm.v=""),"",_xlpm.v*_xlpm.w)
)</f>
        <v/>
      </c>
      <c r="AA81" s="93" t="str" cm="1">
        <f t="array" ref="AA81">_xlfn.LET(
  _xlpm.w, AA$11,
  _xlpm.r, MATCH(1,('3. Enter Indicator Scores'!$B$10:$B$161=$B81)*('3. Enter Indicator Scores'!$C$10:$C$161=$C81),0),
  _xlpm.c, MATCH(AA$8,'3. Enter Indicator Scores'!$D$8:$CZ$8,0),
  _xlpm.v, IFERROR(INDEX('3. Enter Indicator Scores'!$D$10:$CZ$161,_xlpm.r,_xlpm.c),""),
  IF(OR(_xlpm.w="",_xlpm.v=""),"",_xlpm.v*_xlpm.w)
)</f>
        <v/>
      </c>
      <c r="AB81" s="93" t="str" cm="1">
        <f t="array" ref="AB81">_xlfn.LET(
  _xlpm.w, AB$11,
  _xlpm.r, MATCH(1,('3. Enter Indicator Scores'!$B$10:$B$161=$B81)*('3. Enter Indicator Scores'!$C$10:$C$161=$C81),0),
  _xlpm.c, MATCH(AB$8,'3. Enter Indicator Scores'!$D$8:$CZ$8,0),
  _xlpm.v, IFERROR(INDEX('3. Enter Indicator Scores'!$D$10:$CZ$161,_xlpm.r,_xlpm.c),""),
  IF(OR(_xlpm.w="",_xlpm.v=""),"",_xlpm.v*_xlpm.w)
)</f>
        <v/>
      </c>
      <c r="AC81" s="93" t="str" cm="1">
        <f t="array" ref="AC81">_xlfn.LET(
  _xlpm.w, AC$11,
  _xlpm.r, MATCH(1,('3. Enter Indicator Scores'!$B$10:$B$161=$B81)*('3. Enter Indicator Scores'!$C$10:$C$161=$C81),0),
  _xlpm.c, MATCH(AC$8,'3. Enter Indicator Scores'!$D$8:$CZ$8,0),
  _xlpm.v, IFERROR(INDEX('3. Enter Indicator Scores'!$D$10:$CZ$161,_xlpm.r,_xlpm.c),""),
  IF(OR(_xlpm.w="",_xlpm.v=""),"",_xlpm.v*_xlpm.w)
)</f>
        <v/>
      </c>
      <c r="AD81" s="93" t="str" cm="1">
        <f t="array" ref="AD81">_xlfn.LET(
  _xlpm.w, AD$11,
  _xlpm.r, MATCH(1,('3. Enter Indicator Scores'!$B$10:$B$161=$B81)*('3. Enter Indicator Scores'!$C$10:$C$161=$C81),0),
  _xlpm.c, MATCH(AD$8,'3. Enter Indicator Scores'!$D$8:$CZ$8,0),
  _xlpm.v, IFERROR(INDEX('3. Enter Indicator Scores'!$D$10:$CZ$161,_xlpm.r,_xlpm.c),""),
  IF(OR(_xlpm.w="",_xlpm.v=""),"",_xlpm.v*_xlpm.w)
)</f>
        <v/>
      </c>
      <c r="AE81" s="93" t="str" cm="1">
        <f t="array" ref="AE81">_xlfn.LET(
  _xlpm.w, AE$11,
  _xlpm.r, MATCH(1,('3. Enter Indicator Scores'!$B$10:$B$161=$B81)*('3. Enter Indicator Scores'!$C$10:$C$161=$C81),0),
  _xlpm.c, MATCH(AE$8,'3. Enter Indicator Scores'!$D$8:$CZ$8,0),
  _xlpm.v, IFERROR(INDEX('3. Enter Indicator Scores'!$D$10:$CZ$161,_xlpm.r,_xlpm.c),""),
  IF(OR(_xlpm.w="",_xlpm.v=""),"",_xlpm.v*_xlpm.w)
)</f>
        <v/>
      </c>
      <c r="AF81" s="93" t="str" cm="1">
        <f t="array" ref="AF81">_xlfn.LET(
  _xlpm.w, AF$11,
  _xlpm.r, MATCH(1,('3. Enter Indicator Scores'!$B$10:$B$161=$B81)*('3. Enter Indicator Scores'!$C$10:$C$161=$C81),0),
  _xlpm.c, MATCH(AF$8,'3. Enter Indicator Scores'!$D$8:$CZ$8,0),
  _xlpm.v, IFERROR(INDEX('3. Enter Indicator Scores'!$D$10:$CZ$161,_xlpm.r,_xlpm.c),""),
  IF(OR(_xlpm.w="",_xlpm.v=""),"",_xlpm.v*_xlpm.w)
)</f>
        <v/>
      </c>
      <c r="AG81" s="93" t="str" cm="1">
        <f t="array" ref="AG81">_xlfn.LET(
  _xlpm.w, AG$11,
  _xlpm.r, MATCH(1,('3. Enter Indicator Scores'!$B$10:$B$161=$B81)*('3. Enter Indicator Scores'!$C$10:$C$161=$C81),0),
  _xlpm.c, MATCH(AG$8,'3. Enter Indicator Scores'!$D$8:$CZ$8,0),
  _xlpm.v, IFERROR(INDEX('3. Enter Indicator Scores'!$D$10:$CZ$161,_xlpm.r,_xlpm.c),""),
  IF(OR(_xlpm.w="",_xlpm.v=""),"",_xlpm.v*_xlpm.w)
)</f>
        <v/>
      </c>
      <c r="AH81" s="93" t="str" cm="1">
        <f t="array" ref="AH81">_xlfn.LET(
  _xlpm.w, AH$11,
  _xlpm.r, MATCH(1,('3. Enter Indicator Scores'!$B$10:$B$161=$B81)*('3. Enter Indicator Scores'!$C$10:$C$161=$C81),0),
  _xlpm.c, MATCH(AH$8,'3. Enter Indicator Scores'!$D$8:$CZ$8,0),
  _xlpm.v, IFERROR(INDEX('3. Enter Indicator Scores'!$D$10:$CZ$161,_xlpm.r,_xlpm.c),""),
  IF(OR(_xlpm.w="",_xlpm.v=""),"",_xlpm.v*_xlpm.w)
)</f>
        <v/>
      </c>
      <c r="AI81" s="93" t="str" cm="1">
        <f t="array" ref="AI81">_xlfn.LET(
  _xlpm.w, AI$11,
  _xlpm.r, MATCH(1,('3. Enter Indicator Scores'!$B$10:$B$161=$B81)*('3. Enter Indicator Scores'!$C$10:$C$161=$C81),0),
  _xlpm.c, MATCH(AI$8,'3. Enter Indicator Scores'!$D$8:$CZ$8,0),
  _xlpm.v, IFERROR(INDEX('3. Enter Indicator Scores'!$D$10:$CZ$161,_xlpm.r,_xlpm.c),""),
  IF(OR(_xlpm.w="",_xlpm.v=""),"",_xlpm.v*_xlpm.w)
)</f>
        <v/>
      </c>
      <c r="AJ81" s="93" t="str" cm="1">
        <f t="array" ref="AJ81">_xlfn.LET(
  _xlpm.w, AJ$11,
  _xlpm.r, MATCH(1,('3. Enter Indicator Scores'!$B$10:$B$161=$B81)*('3. Enter Indicator Scores'!$C$10:$C$161=$C81),0),
  _xlpm.c, MATCH(AJ$8,'3. Enter Indicator Scores'!$D$8:$CZ$8,0),
  _xlpm.v, IFERROR(INDEX('3. Enter Indicator Scores'!$D$10:$CZ$161,_xlpm.r,_xlpm.c),""),
  IF(OR(_xlpm.w="",_xlpm.v=""),"",_xlpm.v*_xlpm.w)
)</f>
        <v/>
      </c>
      <c r="AK81" s="93" t="str" cm="1">
        <f t="array" ref="AK81">_xlfn.LET(
  _xlpm.w, AK$11,
  _xlpm.r, MATCH(1,('3. Enter Indicator Scores'!$B$10:$B$161=$B81)*('3. Enter Indicator Scores'!$C$10:$C$161=$C81),0),
  _xlpm.c, MATCH(AK$8,'3. Enter Indicator Scores'!$D$8:$CZ$8,0),
  _xlpm.v, IFERROR(INDEX('3. Enter Indicator Scores'!$D$10:$CZ$161,_xlpm.r,_xlpm.c),""),
  IF(OR(_xlpm.w="",_xlpm.v=""),"",_xlpm.v*_xlpm.w)
)</f>
        <v/>
      </c>
      <c r="AL81" s="93" t="str" cm="1">
        <f t="array" ref="AL81">_xlfn.LET(
  _xlpm.w, AL$11,
  _xlpm.r, MATCH(1,('3. Enter Indicator Scores'!$B$10:$B$161=$B81)*('3. Enter Indicator Scores'!$C$10:$C$161=$C81),0),
  _xlpm.c, MATCH(AL$8,'3. Enter Indicator Scores'!$D$8:$CZ$8,0),
  _xlpm.v, IFERROR(INDEX('3. Enter Indicator Scores'!$D$10:$CZ$161,_xlpm.r,_xlpm.c),""),
  IF(OR(_xlpm.w="",_xlpm.v=""),"",_xlpm.v*_xlpm.w)
)</f>
        <v/>
      </c>
      <c r="AM81" s="93" t="str" cm="1">
        <f t="array" ref="AM81">_xlfn.LET(
  _xlpm.w, AM$11,
  _xlpm.r, MATCH(1,('3. Enter Indicator Scores'!$B$10:$B$161=$B81)*('3. Enter Indicator Scores'!$C$10:$C$161=$C81),0),
  _xlpm.c, MATCH(AM$8,'3. Enter Indicator Scores'!$D$8:$CZ$8,0),
  _xlpm.v, IFERROR(INDEX('3. Enter Indicator Scores'!$D$10:$CZ$161,_xlpm.r,_xlpm.c),""),
  IF(OR(_xlpm.w="",_xlpm.v=""),"",_xlpm.v*_xlpm.w)
)</f>
        <v/>
      </c>
      <c r="AN81" s="93" t="str" cm="1">
        <f t="array" ref="AN81">_xlfn.LET(
  _xlpm.w, AN$11,
  _xlpm.r, MATCH(1,('3. Enter Indicator Scores'!$B$10:$B$161=$B81)*('3. Enter Indicator Scores'!$C$10:$C$161=$C81),0),
  _xlpm.c, MATCH(AN$8,'3. Enter Indicator Scores'!$D$8:$CZ$8,0),
  _xlpm.v, IFERROR(INDEX('3. Enter Indicator Scores'!$D$10:$CZ$161,_xlpm.r,_xlpm.c),""),
  IF(OR(_xlpm.w="",_xlpm.v=""),"",_xlpm.v*_xlpm.w)
)</f>
        <v/>
      </c>
      <c r="AO81" s="93" t="str" cm="1">
        <f t="array" ref="AO81">_xlfn.LET(
  _xlpm.w, AO$11,
  _xlpm.r, MATCH(1,('3. Enter Indicator Scores'!$B$10:$B$161=$B81)*('3. Enter Indicator Scores'!$C$10:$C$161=$C81),0),
  _xlpm.c, MATCH(AO$8,'3. Enter Indicator Scores'!$D$8:$CZ$8,0),
  _xlpm.v, IFERROR(INDEX('3. Enter Indicator Scores'!$D$10:$CZ$161,_xlpm.r,_xlpm.c),""),
  IF(OR(_xlpm.w="",_xlpm.v=""),"",_xlpm.v*_xlpm.w)
)</f>
        <v/>
      </c>
      <c r="AP81" s="93" t="str" cm="1">
        <f t="array" ref="AP81">_xlfn.LET(
  _xlpm.w, AP$11,
  _xlpm.r, MATCH(1,('3. Enter Indicator Scores'!$B$10:$B$161=$B81)*('3. Enter Indicator Scores'!$C$10:$C$161=$C81),0),
  _xlpm.c, MATCH(AP$8,'3. Enter Indicator Scores'!$D$8:$CZ$8,0),
  _xlpm.v, IFERROR(INDEX('3. Enter Indicator Scores'!$D$10:$CZ$161,_xlpm.r,_xlpm.c),""),
  IF(OR(_xlpm.w="",_xlpm.v=""),"",_xlpm.v*_xlpm.w)
)</f>
        <v/>
      </c>
      <c r="AQ81" s="93" t="str" cm="1">
        <f t="array" ref="AQ81">_xlfn.LET(
  _xlpm.w, AQ$11,
  _xlpm.r, MATCH(1,('3. Enter Indicator Scores'!$B$10:$B$161=$B81)*('3. Enter Indicator Scores'!$C$10:$C$161=$C81),0),
  _xlpm.c, MATCH(AQ$8,'3. Enter Indicator Scores'!$D$8:$CZ$8,0),
  _xlpm.v, IFERROR(INDEX('3. Enter Indicator Scores'!$D$10:$CZ$161,_xlpm.r,_xlpm.c),""),
  IF(OR(_xlpm.w="",_xlpm.v=""),"",_xlpm.v*_xlpm.w)
)</f>
        <v/>
      </c>
      <c r="AR81" s="93" t="str" cm="1">
        <f t="array" ref="AR81">_xlfn.LET(
  _xlpm.w, AR$11,
  _xlpm.r, MATCH(1,('3. Enter Indicator Scores'!$B$10:$B$161=$B81)*('3. Enter Indicator Scores'!$C$10:$C$161=$C81),0),
  _xlpm.c, MATCH(AR$8,'3. Enter Indicator Scores'!$D$8:$CZ$8,0),
  _xlpm.v, IFERROR(INDEX('3. Enter Indicator Scores'!$D$10:$CZ$161,_xlpm.r,_xlpm.c),""),
  IF(OR(_xlpm.w="",_xlpm.v=""),"",_xlpm.v*_xlpm.w)
)</f>
        <v/>
      </c>
      <c r="AS81" s="93" t="str" cm="1">
        <f t="array" ref="AS81">_xlfn.LET(
  _xlpm.w, AS$11,
  _xlpm.r, MATCH(1,('3. Enter Indicator Scores'!$B$10:$B$161=$B81)*('3. Enter Indicator Scores'!$C$10:$C$161=$C81),0),
  _xlpm.c, MATCH(AS$8,'3. Enter Indicator Scores'!$D$8:$CZ$8,0),
  _xlpm.v, IFERROR(INDEX('3. Enter Indicator Scores'!$D$10:$CZ$161,_xlpm.r,_xlpm.c),""),
  IF(OR(_xlpm.w="",_xlpm.v=""),"",_xlpm.v*_xlpm.w)
)</f>
        <v/>
      </c>
      <c r="AT81" s="93" t="str" cm="1">
        <f t="array" ref="AT81">_xlfn.LET(
  _xlpm.w, AT$11,
  _xlpm.r, MATCH(1,('3. Enter Indicator Scores'!$B$10:$B$161=$B81)*('3. Enter Indicator Scores'!$C$10:$C$161=$C81),0),
  _xlpm.c, MATCH(AT$8,'3. Enter Indicator Scores'!$D$8:$CZ$8,0),
  _xlpm.v, IFERROR(INDEX('3. Enter Indicator Scores'!$D$10:$CZ$161,_xlpm.r,_xlpm.c),""),
  IF(OR(_xlpm.w="",_xlpm.v=""),"",_xlpm.v*_xlpm.w)
)</f>
        <v/>
      </c>
      <c r="AU81" s="93" t="str" cm="1">
        <f t="array" ref="AU81">_xlfn.LET(
  _xlpm.w, AU$11,
  _xlpm.r, MATCH(1,('3. Enter Indicator Scores'!$B$10:$B$161=$B81)*('3. Enter Indicator Scores'!$C$10:$C$161=$C81),0),
  _xlpm.c, MATCH(AU$8,'3. Enter Indicator Scores'!$D$8:$CZ$8,0),
  _xlpm.v, IFERROR(INDEX('3. Enter Indicator Scores'!$D$10:$CZ$161,_xlpm.r,_xlpm.c),""),
  IF(OR(_xlpm.w="",_xlpm.v=""),"",_xlpm.v*_xlpm.w)
)</f>
        <v/>
      </c>
      <c r="AV81" s="93" t="str" cm="1">
        <f t="array" ref="AV81">_xlfn.LET(
  _xlpm.w, AV$11,
  _xlpm.r, MATCH(1,('3. Enter Indicator Scores'!$B$10:$B$161=$B81)*('3. Enter Indicator Scores'!$C$10:$C$161=$C81),0),
  _xlpm.c, MATCH(AV$8,'3. Enter Indicator Scores'!$D$8:$CZ$8,0),
  _xlpm.v, IFERROR(INDEX('3. Enter Indicator Scores'!$D$10:$CZ$161,_xlpm.r,_xlpm.c),""),
  IF(OR(_xlpm.w="",_xlpm.v=""),"",_xlpm.v*_xlpm.w)
)</f>
        <v/>
      </c>
      <c r="AW81" s="93" t="str" cm="1">
        <f t="array" ref="AW81">_xlfn.LET(
  _xlpm.w, AW$11,
  _xlpm.r, MATCH(1,('3. Enter Indicator Scores'!$B$10:$B$161=$B81)*('3. Enter Indicator Scores'!$C$10:$C$161=$C81),0),
  _xlpm.c, MATCH(AW$8,'3. Enter Indicator Scores'!$D$8:$CZ$8,0),
  _xlpm.v, IFERROR(INDEX('3. Enter Indicator Scores'!$D$10:$CZ$161,_xlpm.r,_xlpm.c),""),
  IF(OR(_xlpm.w="",_xlpm.v=""),"",_xlpm.v*_xlpm.w)
)</f>
        <v/>
      </c>
      <c r="AX81" s="93" t="str" cm="1">
        <f t="array" ref="AX81">_xlfn.LET(
  _xlpm.w, AX$11,
  _xlpm.r, MATCH(1,('3. Enter Indicator Scores'!$B$10:$B$161=$B81)*('3. Enter Indicator Scores'!$C$10:$C$161=$C81),0),
  _xlpm.c, MATCH(AX$8,'3. Enter Indicator Scores'!$D$8:$CZ$8,0),
  _xlpm.v, IFERROR(INDEX('3. Enter Indicator Scores'!$D$10:$CZ$161,_xlpm.r,_xlpm.c),""),
  IF(OR(_xlpm.w="",_xlpm.v=""),"",_xlpm.v*_xlpm.w)
)</f>
        <v/>
      </c>
      <c r="AY81" s="93" t="str" cm="1">
        <f t="array" ref="AY81">_xlfn.LET(
  _xlpm.w, AY$11,
  _xlpm.r, MATCH(1,('3. Enter Indicator Scores'!$B$10:$B$161=$B81)*('3. Enter Indicator Scores'!$C$10:$C$161=$C81),0),
  _xlpm.c, MATCH(AY$8,'3. Enter Indicator Scores'!$D$8:$CZ$8,0),
  _xlpm.v, IFERROR(INDEX('3. Enter Indicator Scores'!$D$10:$CZ$161,_xlpm.r,_xlpm.c),""),
  IF(OR(_xlpm.w="",_xlpm.v=""),"",_xlpm.v*_xlpm.w)
)</f>
        <v/>
      </c>
      <c r="AZ81" s="93" t="str" cm="1">
        <f t="array" ref="AZ81">_xlfn.LET(
  _xlpm.w, AZ$11,
  _xlpm.r, MATCH(1,('3. Enter Indicator Scores'!$B$10:$B$161=$B81)*('3. Enter Indicator Scores'!$C$10:$C$161=$C81),0),
  _xlpm.c, MATCH(AZ$8,'3. Enter Indicator Scores'!$D$8:$CZ$8,0),
  _xlpm.v, IFERROR(INDEX('3. Enter Indicator Scores'!$D$10:$CZ$161,_xlpm.r,_xlpm.c),""),
  IF(OR(_xlpm.w="",_xlpm.v=""),"",_xlpm.v*_xlpm.w)
)</f>
        <v/>
      </c>
      <c r="BA81" s="93" t="str" cm="1">
        <f t="array" ref="BA81">_xlfn.LET(
  _xlpm.w, BA$11,
  _xlpm.r, MATCH(1,('3. Enter Indicator Scores'!$B$10:$B$161=$B81)*('3. Enter Indicator Scores'!$C$10:$C$161=$C81),0),
  _xlpm.c, MATCH(BA$8,'3. Enter Indicator Scores'!$D$8:$CZ$8,0),
  _xlpm.v, IFERROR(INDEX('3. Enter Indicator Scores'!$D$10:$CZ$161,_xlpm.r,_xlpm.c),""),
  IF(OR(_xlpm.w="",_xlpm.v=""),"",_xlpm.v*_xlpm.w)
)</f>
        <v/>
      </c>
      <c r="BB81" s="93" t="str" cm="1">
        <f t="array" ref="BB81">_xlfn.LET(
  _xlpm.w, BB$11,
  _xlpm.r, MATCH(1,('3. Enter Indicator Scores'!$B$10:$B$161=$B81)*('3. Enter Indicator Scores'!$C$10:$C$161=$C81),0),
  _xlpm.c, MATCH(BB$8,'3. Enter Indicator Scores'!$D$8:$CZ$8,0),
  _xlpm.v, IFERROR(INDEX('3. Enter Indicator Scores'!$D$10:$CZ$161,_xlpm.r,_xlpm.c),""),
  IF(OR(_xlpm.w="",_xlpm.v=""),"",_xlpm.v*_xlpm.w)
)</f>
        <v/>
      </c>
      <c r="BC81" s="93" t="str" cm="1">
        <f t="array" ref="BC81">_xlfn.LET(
  _xlpm.w, BC$11,
  _xlpm.r, MATCH(1,('3. Enter Indicator Scores'!$B$10:$B$161=$B81)*('3. Enter Indicator Scores'!$C$10:$C$161=$C81),0),
  _xlpm.c, MATCH(BC$8,'3. Enter Indicator Scores'!$D$8:$CZ$8,0),
  _xlpm.v, IFERROR(INDEX('3. Enter Indicator Scores'!$D$10:$CZ$161,_xlpm.r,_xlpm.c),""),
  IF(OR(_xlpm.w="",_xlpm.v=""),"",_xlpm.v*_xlpm.w)
)</f>
        <v/>
      </c>
      <c r="BD81" s="93" t="str" cm="1">
        <f t="array" ref="BD81">_xlfn.LET(
  _xlpm.w, BD$11,
  _xlpm.r, MATCH(1,('3. Enter Indicator Scores'!$B$10:$B$161=$B81)*('3. Enter Indicator Scores'!$C$10:$C$161=$C81),0),
  _xlpm.c, MATCH(BD$8,'3. Enter Indicator Scores'!$D$8:$CZ$8,0),
  _xlpm.v, IFERROR(INDEX('3. Enter Indicator Scores'!$D$10:$CZ$161,_xlpm.r,_xlpm.c),""),
  IF(OR(_xlpm.w="",_xlpm.v=""),"",_xlpm.v*_xlpm.w)
)</f>
        <v/>
      </c>
      <c r="BE81" s="93" t="str" cm="1">
        <f t="array" ref="BE81">_xlfn.LET(
  _xlpm.w, BE$11,
  _xlpm.r, MATCH(1,('3. Enter Indicator Scores'!$B$10:$B$161=$B81)*('3. Enter Indicator Scores'!$C$10:$C$161=$C81),0),
  _xlpm.c, MATCH(BE$8,'3. Enter Indicator Scores'!$D$8:$CZ$8,0),
  _xlpm.v, IFERROR(INDEX('3. Enter Indicator Scores'!$D$10:$CZ$161,_xlpm.r,_xlpm.c),""),
  IF(OR(_xlpm.w="",_xlpm.v=""),"",_xlpm.v*_xlpm.w)
)</f>
        <v/>
      </c>
      <c r="BF81" s="93" t="str" cm="1">
        <f t="array" ref="BF81">_xlfn.LET(
  _xlpm.w, BF$11,
  _xlpm.r, MATCH(1,('3. Enter Indicator Scores'!$B$10:$B$161=$B81)*('3. Enter Indicator Scores'!$C$10:$C$161=$C81),0),
  _xlpm.c, MATCH(BF$8,'3. Enter Indicator Scores'!$D$8:$CZ$8,0),
  _xlpm.v, IFERROR(INDEX('3. Enter Indicator Scores'!$D$10:$CZ$161,_xlpm.r,_xlpm.c),""),
  IF(OR(_xlpm.w="",_xlpm.v=""),"",_xlpm.v*_xlpm.w)
)</f>
        <v/>
      </c>
      <c r="BG81" s="93" t="str" cm="1">
        <f t="array" ref="BG81">_xlfn.LET(
  _xlpm.w, BG$11,
  _xlpm.r, MATCH(1,('3. Enter Indicator Scores'!$B$10:$B$161=$B81)*('3. Enter Indicator Scores'!$C$10:$C$161=$C81),0),
  _xlpm.c, MATCH(BG$8,'3. Enter Indicator Scores'!$D$8:$CZ$8,0),
  _xlpm.v, IFERROR(INDEX('3. Enter Indicator Scores'!$D$10:$CZ$161,_xlpm.r,_xlpm.c),""),
  IF(OR(_xlpm.w="",_xlpm.v=""),"",_xlpm.v*_xlpm.w)
)</f>
        <v/>
      </c>
      <c r="BH81" s="93" t="str" cm="1">
        <f t="array" ref="BH81">_xlfn.LET(
  _xlpm.w, BH$11,
  _xlpm.r, MATCH(1,('3. Enter Indicator Scores'!$B$10:$B$161=$B81)*('3. Enter Indicator Scores'!$C$10:$C$161=$C81),0),
  _xlpm.c, MATCH(BH$8,'3. Enter Indicator Scores'!$D$8:$CZ$8,0),
  _xlpm.v, IFERROR(INDEX('3. Enter Indicator Scores'!$D$10:$CZ$161,_xlpm.r,_xlpm.c),""),
  IF(OR(_xlpm.w="",_xlpm.v=""),"",_xlpm.v*_xlpm.w)
)</f>
        <v/>
      </c>
      <c r="BI81" s="93" t="str" cm="1">
        <f t="array" ref="BI81">_xlfn.LET(
  _xlpm.w, BI$11,
  _xlpm.r, MATCH(1,('3. Enter Indicator Scores'!$B$10:$B$161=$B81)*('3. Enter Indicator Scores'!$C$10:$C$161=$C81),0),
  _xlpm.c, MATCH(BI$8,'3. Enter Indicator Scores'!$D$8:$CZ$8,0),
  _xlpm.v, IFERROR(INDEX('3. Enter Indicator Scores'!$D$10:$CZ$161,_xlpm.r,_xlpm.c),""),
  IF(OR(_xlpm.w="",_xlpm.v=""),"",_xlpm.v*_xlpm.w)
)</f>
        <v/>
      </c>
      <c r="BJ81" s="93" t="str" cm="1">
        <f t="array" ref="BJ81">_xlfn.LET(
  _xlpm.w, BJ$11,
  _xlpm.r, MATCH(1,('3. Enter Indicator Scores'!$B$10:$B$161=$B81)*('3. Enter Indicator Scores'!$C$10:$C$161=$C81),0),
  _xlpm.c, MATCH(BJ$8,'3. Enter Indicator Scores'!$D$8:$CZ$8,0),
  _xlpm.v, IFERROR(INDEX('3. Enter Indicator Scores'!$D$10:$CZ$161,_xlpm.r,_xlpm.c),""),
  IF(OR(_xlpm.w="",_xlpm.v=""),"",_xlpm.v*_xlpm.w)
)</f>
        <v/>
      </c>
      <c r="BK81" s="93" t="str" cm="1">
        <f t="array" ref="BK81">_xlfn.LET(
  _xlpm.w, BK$11,
  _xlpm.r, MATCH(1,('3. Enter Indicator Scores'!$B$10:$B$161=$B81)*('3. Enter Indicator Scores'!$C$10:$C$161=$C81),0),
  _xlpm.c, MATCH(BK$8,'3. Enter Indicator Scores'!$D$8:$CZ$8,0),
  _xlpm.v, IFERROR(INDEX('3. Enter Indicator Scores'!$D$10:$CZ$161,_xlpm.r,_xlpm.c),""),
  IF(OR(_xlpm.w="",_xlpm.v=""),"",_xlpm.v*_xlpm.w)
)</f>
        <v/>
      </c>
      <c r="BL81" s="93" t="str" cm="1">
        <f t="array" ref="BL81">_xlfn.LET(
  _xlpm.w, BL$11,
  _xlpm.r, MATCH(1,('3. Enter Indicator Scores'!$B$10:$B$161=$B81)*('3. Enter Indicator Scores'!$C$10:$C$161=$C81),0),
  _xlpm.c, MATCH(BL$8,'3. Enter Indicator Scores'!$D$8:$CZ$8,0),
  _xlpm.v, IFERROR(INDEX('3. Enter Indicator Scores'!$D$10:$CZ$161,_xlpm.r,_xlpm.c),""),
  IF(OR(_xlpm.w="",_xlpm.v=""),"",_xlpm.v*_xlpm.w)
)</f>
        <v/>
      </c>
      <c r="BM81" s="93" t="str" cm="1">
        <f t="array" ref="BM81">_xlfn.LET(
  _xlpm.w, BM$11,
  _xlpm.r, MATCH(1,('3. Enter Indicator Scores'!$B$10:$B$161=$B81)*('3. Enter Indicator Scores'!$C$10:$C$161=$C81),0),
  _xlpm.c, MATCH(BM$8,'3. Enter Indicator Scores'!$D$8:$CZ$8,0),
  _xlpm.v, IFERROR(INDEX('3. Enter Indicator Scores'!$D$10:$CZ$161,_xlpm.r,_xlpm.c),""),
  IF(OR(_xlpm.w="",_xlpm.v=""),"",_xlpm.v*_xlpm.w)
)</f>
        <v/>
      </c>
      <c r="BN81" s="93" t="str" cm="1">
        <f t="array" ref="BN81">_xlfn.LET(
  _xlpm.w, BN$11,
  _xlpm.r, MATCH(1,('3. Enter Indicator Scores'!$B$10:$B$161=$B81)*('3. Enter Indicator Scores'!$C$10:$C$161=$C81),0),
  _xlpm.c, MATCH(BN$8,'3. Enter Indicator Scores'!$D$8:$CZ$8,0),
  _xlpm.v, IFERROR(INDEX('3. Enter Indicator Scores'!$D$10:$CZ$161,_xlpm.r,_xlpm.c),""),
  IF(OR(_xlpm.w="",_xlpm.v=""),"",_xlpm.v*_xlpm.w)
)</f>
        <v/>
      </c>
      <c r="BO81" s="93" t="str" cm="1">
        <f t="array" ref="BO81">_xlfn.LET(
  _xlpm.w, BO$11,
  _xlpm.r, MATCH(1,('3. Enter Indicator Scores'!$B$10:$B$161=$B81)*('3. Enter Indicator Scores'!$C$10:$C$161=$C81),0),
  _xlpm.c, MATCH(BO$8,'3. Enter Indicator Scores'!$D$8:$CZ$8,0),
  _xlpm.v, IFERROR(INDEX('3. Enter Indicator Scores'!$D$10:$CZ$161,_xlpm.r,_xlpm.c),""),
  IF(OR(_xlpm.w="",_xlpm.v=""),"",_xlpm.v*_xlpm.w)
)</f>
        <v/>
      </c>
      <c r="BP81" s="93" t="str" cm="1">
        <f t="array" ref="BP81">_xlfn.LET(
  _xlpm.w, BP$11,
  _xlpm.r, MATCH(1,('3. Enter Indicator Scores'!$B$10:$B$161=$B81)*('3. Enter Indicator Scores'!$C$10:$C$161=$C81),0),
  _xlpm.c, MATCH(BP$8,'3. Enter Indicator Scores'!$D$8:$CZ$8,0),
  _xlpm.v, IFERROR(INDEX('3. Enter Indicator Scores'!$D$10:$CZ$161,_xlpm.r,_xlpm.c),""),
  IF(OR(_xlpm.w="",_xlpm.v=""),"",_xlpm.v*_xlpm.w)
)</f>
        <v/>
      </c>
      <c r="BQ81" s="93" t="str" cm="1">
        <f t="array" ref="BQ81">_xlfn.LET(
  _xlpm.w, BQ$11,
  _xlpm.r, MATCH(1,('3. Enter Indicator Scores'!$B$10:$B$161=$B81)*('3. Enter Indicator Scores'!$C$10:$C$161=$C81),0),
  _xlpm.c, MATCH(BQ$8,'3. Enter Indicator Scores'!$D$8:$CZ$8,0),
  _xlpm.v, IFERROR(INDEX('3. Enter Indicator Scores'!$D$10:$CZ$161,_xlpm.r,_xlpm.c),""),
  IF(OR(_xlpm.w="",_xlpm.v=""),"",_xlpm.v*_xlpm.w)
)</f>
        <v/>
      </c>
      <c r="BR81" s="93" t="str" cm="1">
        <f t="array" ref="BR81">_xlfn.LET(
  _xlpm.w, BR$11,
  _xlpm.r, MATCH(1,('3. Enter Indicator Scores'!$B$10:$B$161=$B81)*('3. Enter Indicator Scores'!$C$10:$C$161=$C81),0),
  _xlpm.c, MATCH(BR$8,'3. Enter Indicator Scores'!$D$8:$CZ$8,0),
  _xlpm.v, IFERROR(INDEX('3. Enter Indicator Scores'!$D$10:$CZ$161,_xlpm.r,_xlpm.c),""),
  IF(OR(_xlpm.w="",_xlpm.v=""),"",_xlpm.v*_xlpm.w)
)</f>
        <v/>
      </c>
      <c r="BS81" s="93" t="str" cm="1">
        <f t="array" ref="BS81">_xlfn.LET(
  _xlpm.w, BS$11,
  _xlpm.r, MATCH(1,('3. Enter Indicator Scores'!$B$10:$B$161=$B81)*('3. Enter Indicator Scores'!$C$10:$C$161=$C81),0),
  _xlpm.c, MATCH(BS$8,'3. Enter Indicator Scores'!$D$8:$CZ$8,0),
  _xlpm.v, IFERROR(INDEX('3. Enter Indicator Scores'!$D$10:$CZ$161,_xlpm.r,_xlpm.c),""),
  IF(OR(_xlpm.w="",_xlpm.v=""),"",_xlpm.v*_xlpm.w)
)</f>
        <v/>
      </c>
      <c r="BT81" s="93" t="str" cm="1">
        <f t="array" ref="BT81">_xlfn.LET(
  _xlpm.w, BT$11,
  _xlpm.r, MATCH(1,('3. Enter Indicator Scores'!$B$10:$B$161=$B81)*('3. Enter Indicator Scores'!$C$10:$C$161=$C81),0),
  _xlpm.c, MATCH(BT$8,'3. Enter Indicator Scores'!$D$8:$CZ$8,0),
  _xlpm.v, IFERROR(INDEX('3. Enter Indicator Scores'!$D$10:$CZ$161,_xlpm.r,_xlpm.c),""),
  IF(OR(_xlpm.w="",_xlpm.v=""),"",_xlpm.v*_xlpm.w)
)</f>
        <v/>
      </c>
      <c r="BU81" s="93" t="str" cm="1">
        <f t="array" ref="BU81">_xlfn.LET(
  _xlpm.w, BU$11,
  _xlpm.r, MATCH(1,('3. Enter Indicator Scores'!$B$10:$B$161=$B81)*('3. Enter Indicator Scores'!$C$10:$C$161=$C81),0),
  _xlpm.c, MATCH(BU$8,'3. Enter Indicator Scores'!$D$8:$CZ$8,0),
  _xlpm.v, IFERROR(INDEX('3. Enter Indicator Scores'!$D$10:$CZ$161,_xlpm.r,_xlpm.c),""),
  IF(OR(_xlpm.w="",_xlpm.v=""),"",_xlpm.v*_xlpm.w)
)</f>
        <v/>
      </c>
      <c r="BV81" s="93" t="str" cm="1">
        <f t="array" ref="BV81">_xlfn.LET(
  _xlpm.w, BV$11,
  _xlpm.r, MATCH(1,('3. Enter Indicator Scores'!$B$10:$B$161=$B81)*('3. Enter Indicator Scores'!$C$10:$C$161=$C81),0),
  _xlpm.c, MATCH(BV$8,'3. Enter Indicator Scores'!$D$8:$CZ$8,0),
  _xlpm.v, IFERROR(INDEX('3. Enter Indicator Scores'!$D$10:$CZ$161,_xlpm.r,_xlpm.c),""),
  IF(OR(_xlpm.w="",_xlpm.v=""),"",_xlpm.v*_xlpm.w)
)</f>
        <v/>
      </c>
      <c r="BW81" s="93" t="str" cm="1">
        <f t="array" ref="BW81">_xlfn.LET(
  _xlpm.w, BW$11,
  _xlpm.r, MATCH(1,('3. Enter Indicator Scores'!$B$10:$B$161=$B81)*('3. Enter Indicator Scores'!$C$10:$C$161=$C81),0),
  _xlpm.c, MATCH(BW$8,'3. Enter Indicator Scores'!$D$8:$CZ$8,0),
  _xlpm.v, IFERROR(INDEX('3. Enter Indicator Scores'!$D$10:$CZ$161,_xlpm.r,_xlpm.c),""),
  IF(OR(_xlpm.w="",_xlpm.v=""),"",_xlpm.v*_xlpm.w)
)</f>
        <v/>
      </c>
      <c r="BX81" s="93" t="str" cm="1">
        <f t="array" ref="BX81">_xlfn.LET(
  _xlpm.w, BX$11,
  _xlpm.r, MATCH(1,('3. Enter Indicator Scores'!$B$10:$B$161=$B81)*('3. Enter Indicator Scores'!$C$10:$C$161=$C81),0),
  _xlpm.c, MATCH(BX$8,'3. Enter Indicator Scores'!$D$8:$CZ$8,0),
  _xlpm.v, IFERROR(INDEX('3. Enter Indicator Scores'!$D$10:$CZ$161,_xlpm.r,_xlpm.c),""),
  IF(OR(_xlpm.w="",_xlpm.v=""),"",_xlpm.v*_xlpm.w)
)</f>
        <v/>
      </c>
      <c r="BY81" s="93" t="str" cm="1">
        <f t="array" ref="BY81">_xlfn.LET(
  _xlpm.w, BY$11,
  _xlpm.r, MATCH(1,('3. Enter Indicator Scores'!$B$10:$B$161=$B81)*('3. Enter Indicator Scores'!$C$10:$C$161=$C81),0),
  _xlpm.c, MATCH(BY$8,'3. Enter Indicator Scores'!$D$8:$CZ$8,0),
  _xlpm.v, IFERROR(INDEX('3. Enter Indicator Scores'!$D$10:$CZ$161,_xlpm.r,_xlpm.c),""),
  IF(OR(_xlpm.w="",_xlpm.v=""),"",_xlpm.v*_xlpm.w)
)</f>
        <v/>
      </c>
      <c r="BZ81" s="93" t="str" cm="1">
        <f t="array" ref="BZ81">_xlfn.LET(
  _xlpm.w, BZ$11,
  _xlpm.r, MATCH(1,('3. Enter Indicator Scores'!$B$10:$B$161=$B81)*('3. Enter Indicator Scores'!$C$10:$C$161=$C81),0),
  _xlpm.c, MATCH(BZ$8,'3. Enter Indicator Scores'!$D$8:$CZ$8,0),
  _xlpm.v, IFERROR(INDEX('3. Enter Indicator Scores'!$D$10:$CZ$161,_xlpm.r,_xlpm.c),""),
  IF(OR(_xlpm.w="",_xlpm.v=""),"",_xlpm.v*_xlpm.w)
)</f>
        <v/>
      </c>
      <c r="CA81" s="93" t="str" cm="1">
        <f t="array" ref="CA81">_xlfn.LET(
  _xlpm.w, CA$11,
  _xlpm.r, MATCH(1,('3. Enter Indicator Scores'!$B$10:$B$161=$B81)*('3. Enter Indicator Scores'!$C$10:$C$161=$C81),0),
  _xlpm.c, MATCH(CA$8,'3. Enter Indicator Scores'!$D$8:$CZ$8,0),
  _xlpm.v, IFERROR(INDEX('3. Enter Indicator Scores'!$D$10:$CZ$161,_xlpm.r,_xlpm.c),""),
  IF(OR(_xlpm.w="",_xlpm.v=""),"",_xlpm.v*_xlpm.w)
)</f>
        <v/>
      </c>
      <c r="CB81" s="93" t="str" cm="1">
        <f t="array" ref="CB81">_xlfn.LET(
  _xlpm.w, CB$11,
  _xlpm.r, MATCH(1,('3. Enter Indicator Scores'!$B$10:$B$161=$B81)*('3. Enter Indicator Scores'!$C$10:$C$161=$C81),0),
  _xlpm.c, MATCH(CB$8,'3. Enter Indicator Scores'!$D$8:$CZ$8,0),
  _xlpm.v, IFERROR(INDEX('3. Enter Indicator Scores'!$D$10:$CZ$161,_xlpm.r,_xlpm.c),""),
  IF(OR(_xlpm.w="",_xlpm.v=""),"",_xlpm.v*_xlpm.w)
)</f>
        <v/>
      </c>
      <c r="CC81" s="93" t="str" cm="1">
        <f t="array" ref="CC81">_xlfn.LET(
  _xlpm.w, CC$11,
  _xlpm.r, MATCH(1,('3. Enter Indicator Scores'!$B$10:$B$161=$B81)*('3. Enter Indicator Scores'!$C$10:$C$161=$C81),0),
  _xlpm.c, MATCH(CC$8,'3. Enter Indicator Scores'!$D$8:$CZ$8,0),
  _xlpm.v, IFERROR(INDEX('3. Enter Indicator Scores'!$D$10:$CZ$161,_xlpm.r,_xlpm.c),""),
  IF(OR(_xlpm.w="",_xlpm.v=""),"",_xlpm.v*_xlpm.w)
)</f>
        <v/>
      </c>
      <c r="CD81" s="93" t="str" cm="1">
        <f t="array" ref="CD81">_xlfn.LET(
  _xlpm.w, CD$11,
  _xlpm.r, MATCH(1,('3. Enter Indicator Scores'!$B$10:$B$161=$B81)*('3. Enter Indicator Scores'!$C$10:$C$161=$C81),0),
  _xlpm.c, MATCH(CD$8,'3. Enter Indicator Scores'!$D$8:$CZ$8,0),
  _xlpm.v, IFERROR(INDEX('3. Enter Indicator Scores'!$D$10:$CZ$161,_xlpm.r,_xlpm.c),""),
  IF(OR(_xlpm.w="",_xlpm.v=""),"",_xlpm.v*_xlpm.w)
)</f>
        <v/>
      </c>
      <c r="CE81" s="93" t="str" cm="1">
        <f t="array" ref="CE81">_xlfn.LET(
  _xlpm.w, CE$11,
  _xlpm.r, MATCH(1,('3. Enter Indicator Scores'!$B$10:$B$161=$B81)*('3. Enter Indicator Scores'!$C$10:$C$161=$C81),0),
  _xlpm.c, MATCH(CE$8,'3. Enter Indicator Scores'!$D$8:$CZ$8,0),
  _xlpm.v, IFERROR(INDEX('3. Enter Indicator Scores'!$D$10:$CZ$161,_xlpm.r,_xlpm.c),""),
  IF(OR(_xlpm.w="",_xlpm.v=""),"",_xlpm.v*_xlpm.w)
)</f>
        <v/>
      </c>
      <c r="CF81" s="93" t="str" cm="1">
        <f t="array" ref="CF81">_xlfn.LET(
  _xlpm.w, CF$11,
  _xlpm.r, MATCH(1,('3. Enter Indicator Scores'!$B$10:$B$161=$B81)*('3. Enter Indicator Scores'!$C$10:$C$161=$C81),0),
  _xlpm.c, MATCH(CF$8,'3. Enter Indicator Scores'!$D$8:$CZ$8,0),
  _xlpm.v, IFERROR(INDEX('3. Enter Indicator Scores'!$D$10:$CZ$161,_xlpm.r,_xlpm.c),""),
  IF(OR(_xlpm.w="",_xlpm.v=""),"",_xlpm.v*_xlpm.w)
)</f>
        <v/>
      </c>
      <c r="CG81" s="93" t="str" cm="1">
        <f t="array" ref="CG81">_xlfn.LET(
  _xlpm.w, CG$11,
  _xlpm.r, MATCH(1,('3. Enter Indicator Scores'!$B$10:$B$161=$B81)*('3. Enter Indicator Scores'!$C$10:$C$161=$C81),0),
  _xlpm.c, MATCH(CG$8,'3. Enter Indicator Scores'!$D$8:$CZ$8,0),
  _xlpm.v, IFERROR(INDEX('3. Enter Indicator Scores'!$D$10:$CZ$161,_xlpm.r,_xlpm.c),""),
  IF(OR(_xlpm.w="",_xlpm.v=""),"",_xlpm.v*_xlpm.w)
)</f>
        <v/>
      </c>
      <c r="CH81" s="93" t="str" cm="1">
        <f t="array" ref="CH81">_xlfn.LET(
  _xlpm.w, CH$11,
  _xlpm.r, MATCH(1,('3. Enter Indicator Scores'!$B$10:$B$161=$B81)*('3. Enter Indicator Scores'!$C$10:$C$161=$C81),0),
  _xlpm.c, MATCH(CH$8,'3. Enter Indicator Scores'!$D$8:$CZ$8,0),
  _xlpm.v, IFERROR(INDEX('3. Enter Indicator Scores'!$D$10:$CZ$161,_xlpm.r,_xlpm.c),""),
  IF(OR(_xlpm.w="",_xlpm.v=""),"",_xlpm.v*_xlpm.w)
)</f>
        <v/>
      </c>
      <c r="CI81" s="93" t="str" cm="1">
        <f t="array" ref="CI81">_xlfn.LET(
  _xlpm.w, CI$11,
  _xlpm.r, MATCH(1,('3. Enter Indicator Scores'!$B$10:$B$161=$B81)*('3. Enter Indicator Scores'!$C$10:$C$161=$C81),0),
  _xlpm.c, MATCH(CI$8,'3. Enter Indicator Scores'!$D$8:$CZ$8,0),
  _xlpm.v, IFERROR(INDEX('3. Enter Indicator Scores'!$D$10:$CZ$161,_xlpm.r,_xlpm.c),""),
  IF(OR(_xlpm.w="",_xlpm.v=""),"",_xlpm.v*_xlpm.w)
)</f>
        <v/>
      </c>
      <c r="CJ81" s="93" t="str" cm="1">
        <f t="array" ref="CJ81">_xlfn.LET(
  _xlpm.w, CJ$11,
  _xlpm.r, MATCH(1,('3. Enter Indicator Scores'!$B$10:$B$161=$B81)*('3. Enter Indicator Scores'!$C$10:$C$161=$C81),0),
  _xlpm.c, MATCH(CJ$8,'3. Enter Indicator Scores'!$D$8:$CZ$8,0),
  _xlpm.v, IFERROR(INDEX('3. Enter Indicator Scores'!$D$10:$CZ$161,_xlpm.r,_xlpm.c),""),
  IF(OR(_xlpm.w="",_xlpm.v=""),"",_xlpm.v*_xlpm.w)
)</f>
        <v/>
      </c>
      <c r="CK81" s="93" t="str" cm="1">
        <f t="array" ref="CK81">_xlfn.LET(
  _xlpm.w, CK$11,
  _xlpm.r, MATCH(1,('3. Enter Indicator Scores'!$B$10:$B$161=$B81)*('3. Enter Indicator Scores'!$C$10:$C$161=$C81),0),
  _xlpm.c, MATCH(CK$8,'3. Enter Indicator Scores'!$D$8:$CZ$8,0),
  _xlpm.v, IFERROR(INDEX('3. Enter Indicator Scores'!$D$10:$CZ$161,_xlpm.r,_xlpm.c),""),
  IF(OR(_xlpm.w="",_xlpm.v=""),"",_xlpm.v*_xlpm.w)
)</f>
        <v/>
      </c>
      <c r="CL81" s="93" t="str" cm="1">
        <f t="array" ref="CL81">_xlfn.LET(
  _xlpm.w, CL$11,
  _xlpm.r, MATCH(1,('3. Enter Indicator Scores'!$B$10:$B$161=$B81)*('3. Enter Indicator Scores'!$C$10:$C$161=$C81),0),
  _xlpm.c, MATCH(CL$8,'3. Enter Indicator Scores'!$D$8:$CZ$8,0),
  _xlpm.v, IFERROR(INDEX('3. Enter Indicator Scores'!$D$10:$CZ$161,_xlpm.r,_xlpm.c),""),
  IF(OR(_xlpm.w="",_xlpm.v=""),"",_xlpm.v*_xlpm.w)
)</f>
        <v/>
      </c>
      <c r="CM81" s="93" t="str" cm="1">
        <f t="array" ref="CM81">_xlfn.LET(
  _xlpm.w, CM$11,
  _xlpm.r, MATCH(1,('3. Enter Indicator Scores'!$B$10:$B$161=$B81)*('3. Enter Indicator Scores'!$C$10:$C$161=$C81),0),
  _xlpm.c, MATCH(CM$8,'3. Enter Indicator Scores'!$D$8:$CZ$8,0),
  _xlpm.v, IFERROR(INDEX('3. Enter Indicator Scores'!$D$10:$CZ$161,_xlpm.r,_xlpm.c),""),
  IF(OR(_xlpm.w="",_xlpm.v=""),"",_xlpm.v*_xlpm.w)
)</f>
        <v/>
      </c>
      <c r="CN81" s="93" t="str" cm="1">
        <f t="array" ref="CN81">_xlfn.LET(
  _xlpm.w, CN$11,
  _xlpm.r, MATCH(1,('3. Enter Indicator Scores'!$B$10:$B$161=$B81)*('3. Enter Indicator Scores'!$C$10:$C$161=$C81),0),
  _xlpm.c, MATCH(CN$8,'3. Enter Indicator Scores'!$D$8:$CZ$8,0),
  _xlpm.v, IFERROR(INDEX('3. Enter Indicator Scores'!$D$10:$CZ$161,_xlpm.r,_xlpm.c),""),
  IF(OR(_xlpm.w="",_xlpm.v=""),"",_xlpm.v*_xlpm.w)
)</f>
        <v/>
      </c>
      <c r="CO81" s="93" t="str" cm="1">
        <f t="array" ref="CO81">_xlfn.LET(
  _xlpm.w, CO$11,
  _xlpm.r, MATCH(1,('3. Enter Indicator Scores'!$B$10:$B$161=$B81)*('3. Enter Indicator Scores'!$C$10:$C$161=$C81),0),
  _xlpm.c, MATCH(CO$8,'3. Enter Indicator Scores'!$D$8:$CZ$8,0),
  _xlpm.v, IFERROR(INDEX('3. Enter Indicator Scores'!$D$10:$CZ$161,_xlpm.r,_xlpm.c),""),
  IF(OR(_xlpm.w="",_xlpm.v=""),"",_xlpm.v*_xlpm.w)
)</f>
        <v/>
      </c>
      <c r="CP81" s="93" t="str" cm="1">
        <f t="array" ref="CP81">_xlfn.LET(
  _xlpm.w, CP$11,
  _xlpm.r, MATCH(1,('3. Enter Indicator Scores'!$B$10:$B$161=$B81)*('3. Enter Indicator Scores'!$C$10:$C$161=$C81),0),
  _xlpm.c, MATCH(CP$8,'3. Enter Indicator Scores'!$D$8:$CZ$8,0),
  _xlpm.v, IFERROR(INDEX('3. Enter Indicator Scores'!$D$10:$CZ$161,_xlpm.r,_xlpm.c),""),
  IF(OR(_xlpm.w="",_xlpm.v=""),"",_xlpm.v*_xlpm.w)
)</f>
        <v/>
      </c>
      <c r="CQ81" s="93" t="str" cm="1">
        <f t="array" ref="CQ81">_xlfn.LET(
  _xlpm.w, CQ$11,
  _xlpm.r, MATCH(1,('3. Enter Indicator Scores'!$B$10:$B$161=$B81)*('3. Enter Indicator Scores'!$C$10:$C$161=$C81),0),
  _xlpm.c, MATCH(CQ$8,'3. Enter Indicator Scores'!$D$8:$CZ$8,0),
  _xlpm.v, IFERROR(INDEX('3. Enter Indicator Scores'!$D$10:$CZ$161,_xlpm.r,_xlpm.c),""),
  IF(OR(_xlpm.w="",_xlpm.v=""),"",_xlpm.v*_xlpm.w)
)</f>
        <v/>
      </c>
      <c r="CR81" s="93" t="str" cm="1">
        <f t="array" ref="CR81">_xlfn.LET(
  _xlpm.w, CR$11,
  _xlpm.r, MATCH(1,('3. Enter Indicator Scores'!$B$10:$B$161=$B81)*('3. Enter Indicator Scores'!$C$10:$C$161=$C81),0),
  _xlpm.c, MATCH(CR$8,'3. Enter Indicator Scores'!$D$8:$CZ$8,0),
  _xlpm.v, IFERROR(INDEX('3. Enter Indicator Scores'!$D$10:$CZ$161,_xlpm.r,_xlpm.c),""),
  IF(OR(_xlpm.w="",_xlpm.v=""),"",_xlpm.v*_xlpm.w)
)</f>
        <v/>
      </c>
      <c r="CS81" s="93" t="str" cm="1">
        <f t="array" ref="CS81">_xlfn.LET(
  _xlpm.w, CS$11,
  _xlpm.r, MATCH(1,('3. Enter Indicator Scores'!$B$10:$B$161=$B81)*('3. Enter Indicator Scores'!$C$10:$C$161=$C81),0),
  _xlpm.c, MATCH(CS$8,'3. Enter Indicator Scores'!$D$8:$CZ$8,0),
  _xlpm.v, IFERROR(INDEX('3. Enter Indicator Scores'!$D$10:$CZ$161,_xlpm.r,_xlpm.c),""),
  IF(OR(_xlpm.w="",_xlpm.v=""),"",_xlpm.v*_xlpm.w)
)</f>
        <v/>
      </c>
      <c r="CT81" s="93" t="str" cm="1">
        <f t="array" ref="CT81">_xlfn.LET(
  _xlpm.w, CT$11,
  _xlpm.r, MATCH(1,('3. Enter Indicator Scores'!$B$10:$B$161=$B81)*('3. Enter Indicator Scores'!$C$10:$C$161=$C81),0),
  _xlpm.c, MATCH(CT$8,'3. Enter Indicator Scores'!$D$8:$CZ$8,0),
  _xlpm.v, IFERROR(INDEX('3. Enter Indicator Scores'!$D$10:$CZ$161,_xlpm.r,_xlpm.c),""),
  IF(OR(_xlpm.w="",_xlpm.v=""),"",_xlpm.v*_xlpm.w)
)</f>
        <v/>
      </c>
      <c r="CU81" s="93" t="str" cm="1">
        <f t="array" ref="CU81">_xlfn.LET(
  _xlpm.w, CU$11,
  _xlpm.r, MATCH(1,('3. Enter Indicator Scores'!$B$10:$B$161=$B81)*('3. Enter Indicator Scores'!$C$10:$C$161=$C81),0),
  _xlpm.c, MATCH(CU$8,'3. Enter Indicator Scores'!$D$8:$CZ$8,0),
  _xlpm.v, IFERROR(INDEX('3. Enter Indicator Scores'!$D$10:$CZ$161,_xlpm.r,_xlpm.c),""),
  IF(OR(_xlpm.w="",_xlpm.v=""),"",_xlpm.v*_xlpm.w)
)</f>
        <v/>
      </c>
      <c r="CV81" s="93" t="str" cm="1">
        <f t="array" ref="CV81">_xlfn.LET(
  _xlpm.w, CV$11,
  _xlpm.r, MATCH(1,('3. Enter Indicator Scores'!$B$10:$B$161=$B81)*('3. Enter Indicator Scores'!$C$10:$C$161=$C81),0),
  _xlpm.c, MATCH(CV$8,'3. Enter Indicator Scores'!$D$8:$CZ$8,0),
  _xlpm.v, IFERROR(INDEX('3. Enter Indicator Scores'!$D$10:$CZ$161,_xlpm.r,_xlpm.c),""),
  IF(OR(_xlpm.w="",_xlpm.v=""),"",_xlpm.v*_xlpm.w)
)</f>
        <v/>
      </c>
      <c r="CW81" s="93" t="str" cm="1">
        <f t="array" ref="CW81">_xlfn.LET(
  _xlpm.w, CW$11,
  _xlpm.r, MATCH(1,('3. Enter Indicator Scores'!$B$10:$B$161=$B81)*('3. Enter Indicator Scores'!$C$10:$C$161=$C81),0),
  _xlpm.c, MATCH(CW$8,'3. Enter Indicator Scores'!$D$8:$CZ$8,0),
  _xlpm.v, IFERROR(INDEX('3. Enter Indicator Scores'!$D$10:$CZ$161,_xlpm.r,_xlpm.c),""),
  IF(OR(_xlpm.w="",_xlpm.v=""),"",_xlpm.v*_xlpm.w)
)</f>
        <v/>
      </c>
      <c r="CX81" s="93" t="str" cm="1">
        <f t="array" ref="CX81">_xlfn.LET(
  _xlpm.w, CX$11,
  _xlpm.r, MATCH(1,('3. Enter Indicator Scores'!$B$10:$B$161=$B81)*('3. Enter Indicator Scores'!$C$10:$C$161=$C81),0),
  _xlpm.c, MATCH(CX$8,'3. Enter Indicator Scores'!$D$8:$CZ$8,0),
  _xlpm.v, IFERROR(INDEX('3. Enter Indicator Scores'!$D$10:$CZ$161,_xlpm.r,_xlpm.c),""),
  IF(OR(_xlpm.w="",_xlpm.v=""),"",_xlpm.v*_xlpm.w)
)</f>
        <v/>
      </c>
      <c r="CY81" s="93" t="str" cm="1">
        <f t="array" ref="CY81">_xlfn.LET(
  _xlpm.w, CY$11,
  _xlpm.r, MATCH(1,('3. Enter Indicator Scores'!$B$10:$B$161=$B81)*('3. Enter Indicator Scores'!$C$10:$C$161=$C81),0),
  _xlpm.c, MATCH(CY$8,'3. Enter Indicator Scores'!$D$8:$CZ$8,0),
  _xlpm.v, IFERROR(INDEX('3. Enter Indicator Scores'!$D$10:$CZ$161,_xlpm.r,_xlpm.c),""),
  IF(OR(_xlpm.w="",_xlpm.v=""),"",_xlpm.v*_xlpm.w)
)</f>
        <v/>
      </c>
      <c r="CZ81" s="93" t="str" cm="1">
        <f t="array" ref="CZ81">_xlfn.LET(
  _xlpm.w, CZ$11,
  _xlpm.r, MATCH(1,('3. Enter Indicator Scores'!$B$10:$B$161=$B81)*('3. Enter Indicator Scores'!$C$10:$C$161=$C81),0),
  _xlpm.c, MATCH(CZ$8,'3. Enter Indicator Scores'!$D$8:$CZ$8,0),
  _xlpm.v, IFERROR(INDEX('3. Enter Indicator Scores'!$D$10:$CZ$161,_xlpm.r,_xlpm.c),""),
  IF(OR(_xlpm.w="",_xlpm.v=""),"",_xlpm.v*_xlpm.w)
)</f>
        <v/>
      </c>
    </row>
    <row r="82" spans="4:104" x14ac:dyDescent="0.2">
      <c r="D82" s="93" t="str" cm="1">
        <f t="array" ref="D82">_xlfn.LET(
  _xlpm.w, D$11,
  _xlpm.r, MATCH(1,('3. Enter Indicator Scores'!$B$10:$B$161=$B82)*('3. Enter Indicator Scores'!$C$10:$C$161=$C82),0),
  _xlpm.c, MATCH(D$8,'3. Enter Indicator Scores'!$D$8:$CZ$8,0),
  _xlpm.v, IFERROR(INDEX('3. Enter Indicator Scores'!$D$10:$CZ$161,_xlpm.r,_xlpm.c),""),
  IF(OR(_xlpm.w="",_xlpm.v=""),"",_xlpm.v*_xlpm.w)
)</f>
        <v/>
      </c>
      <c r="E82" s="93" t="str" cm="1">
        <f t="array" ref="E82">_xlfn.LET(
  _xlpm.w, E$11,
  _xlpm.r, MATCH(1,('3. Enter Indicator Scores'!$B$10:$B$161=$B82)*('3. Enter Indicator Scores'!$C$10:$C$161=$C82),0),
  _xlpm.c, MATCH(E$8,'3. Enter Indicator Scores'!$D$8:$CZ$8,0),
  _xlpm.v, IFERROR(INDEX('3. Enter Indicator Scores'!$D$10:$CZ$161,_xlpm.r,_xlpm.c),""),
  IF(OR(_xlpm.w="",_xlpm.v=""),"",_xlpm.v*_xlpm.w)
)</f>
        <v/>
      </c>
      <c r="F82" s="93" t="str" cm="1">
        <f t="array" ref="F82">_xlfn.LET(
  _xlpm.w, F$11,
  _xlpm.r, MATCH(1,('3. Enter Indicator Scores'!$B$10:$B$161=$B82)*('3. Enter Indicator Scores'!$C$10:$C$161=$C82),0),
  _xlpm.c, MATCH(F$8,'3. Enter Indicator Scores'!$D$8:$CZ$8,0),
  _xlpm.v, IFERROR(INDEX('3. Enter Indicator Scores'!$D$10:$CZ$161,_xlpm.r,_xlpm.c),""),
  IF(OR(_xlpm.w="",_xlpm.v=""),"",_xlpm.v*_xlpm.w)
)</f>
        <v/>
      </c>
      <c r="G82" s="93" t="str" cm="1">
        <f t="array" ref="G82">_xlfn.LET(
  _xlpm.w, G$11,
  _xlpm.r, MATCH(1,('3. Enter Indicator Scores'!$B$10:$B$161=$B82)*('3. Enter Indicator Scores'!$C$10:$C$161=$C82),0),
  _xlpm.c, MATCH(G$8,'3. Enter Indicator Scores'!$D$8:$CZ$8,0),
  _xlpm.v, IFERROR(INDEX('3. Enter Indicator Scores'!$D$10:$CZ$161,_xlpm.r,_xlpm.c),""),
  IF(OR(_xlpm.w="",_xlpm.v=""),"",_xlpm.v*_xlpm.w)
)</f>
        <v/>
      </c>
      <c r="H82" s="93" t="str" cm="1">
        <f t="array" ref="H82">_xlfn.LET(
  _xlpm.w, H$11,
  _xlpm.r, MATCH(1,('3. Enter Indicator Scores'!$B$10:$B$161=$B82)*('3. Enter Indicator Scores'!$C$10:$C$161=$C82),0),
  _xlpm.c, MATCH(H$8,'3. Enter Indicator Scores'!$D$8:$CZ$8,0),
  _xlpm.v, IFERROR(INDEX('3. Enter Indicator Scores'!$D$10:$CZ$161,_xlpm.r,_xlpm.c),""),
  IF(OR(_xlpm.w="",_xlpm.v=""),"",_xlpm.v*_xlpm.w)
)</f>
        <v/>
      </c>
      <c r="I82" s="93" t="str" cm="1">
        <f t="array" ref="I82">_xlfn.LET(
  _xlpm.w, I$11,
  _xlpm.r, MATCH(1,('3. Enter Indicator Scores'!$B$10:$B$161=$B82)*('3. Enter Indicator Scores'!$C$10:$C$161=$C82),0),
  _xlpm.c, MATCH(I$8,'3. Enter Indicator Scores'!$D$8:$CZ$8,0),
  _xlpm.v, IFERROR(INDEX('3. Enter Indicator Scores'!$D$10:$CZ$161,_xlpm.r,_xlpm.c),""),
  IF(OR(_xlpm.w="",_xlpm.v=""),"",_xlpm.v*_xlpm.w)
)</f>
        <v/>
      </c>
      <c r="J82" s="93" t="str" cm="1">
        <f t="array" ref="J82">_xlfn.LET(
  _xlpm.w, J$11,
  _xlpm.r, MATCH(1,('3. Enter Indicator Scores'!$B$10:$B$161=$B82)*('3. Enter Indicator Scores'!$C$10:$C$161=$C82),0),
  _xlpm.c, MATCH(J$8,'3. Enter Indicator Scores'!$D$8:$CZ$8,0),
  _xlpm.v, IFERROR(INDEX('3. Enter Indicator Scores'!$D$10:$CZ$161,_xlpm.r,_xlpm.c),""),
  IF(OR(_xlpm.w="",_xlpm.v=""),"",_xlpm.v*_xlpm.w)
)</f>
        <v/>
      </c>
      <c r="K82" s="93" t="str" cm="1">
        <f t="array" ref="K82">_xlfn.LET(
  _xlpm.w, K$11,
  _xlpm.r, MATCH(1,('3. Enter Indicator Scores'!$B$10:$B$161=$B82)*('3. Enter Indicator Scores'!$C$10:$C$161=$C82),0),
  _xlpm.c, MATCH(K$8,'3. Enter Indicator Scores'!$D$8:$CZ$8,0),
  _xlpm.v, IFERROR(INDEX('3. Enter Indicator Scores'!$D$10:$CZ$161,_xlpm.r,_xlpm.c),""),
  IF(OR(_xlpm.w="",_xlpm.v=""),"",_xlpm.v*_xlpm.w)
)</f>
        <v/>
      </c>
      <c r="L82" s="93" t="str" cm="1">
        <f t="array" ref="L82">_xlfn.LET(
  _xlpm.w, L$11,
  _xlpm.r, MATCH(1,('3. Enter Indicator Scores'!$B$10:$B$161=$B82)*('3. Enter Indicator Scores'!$C$10:$C$161=$C82),0),
  _xlpm.c, MATCH(L$8,'3. Enter Indicator Scores'!$D$8:$CZ$8,0),
  _xlpm.v, IFERROR(INDEX('3. Enter Indicator Scores'!$D$10:$CZ$161,_xlpm.r,_xlpm.c),""),
  IF(OR(_xlpm.w="",_xlpm.v=""),"",_xlpm.v*_xlpm.w)
)</f>
        <v/>
      </c>
      <c r="M82" s="93" t="str" cm="1">
        <f t="array" ref="M82">_xlfn.LET(
  _xlpm.w, M$11,
  _xlpm.r, MATCH(1,('3. Enter Indicator Scores'!$B$10:$B$161=$B82)*('3. Enter Indicator Scores'!$C$10:$C$161=$C82),0),
  _xlpm.c, MATCH(M$8,'3. Enter Indicator Scores'!$D$8:$CZ$8,0),
  _xlpm.v, IFERROR(INDEX('3. Enter Indicator Scores'!$D$10:$CZ$161,_xlpm.r,_xlpm.c),""),
  IF(OR(_xlpm.w="",_xlpm.v=""),"",_xlpm.v*_xlpm.w)
)</f>
        <v/>
      </c>
      <c r="N82" s="93" t="str" cm="1">
        <f t="array" ref="N82">_xlfn.LET(
  _xlpm.w, N$11,
  _xlpm.r, MATCH(1,('3. Enter Indicator Scores'!$B$10:$B$161=$B82)*('3. Enter Indicator Scores'!$C$10:$C$161=$C82),0),
  _xlpm.c, MATCH(N$8,'3. Enter Indicator Scores'!$D$8:$CZ$8,0),
  _xlpm.v, IFERROR(INDEX('3. Enter Indicator Scores'!$D$10:$CZ$161,_xlpm.r,_xlpm.c),""),
  IF(OR(_xlpm.w="",_xlpm.v=""),"",_xlpm.v*_xlpm.w)
)</f>
        <v/>
      </c>
      <c r="O82" s="93" t="str" cm="1">
        <f t="array" ref="O82">_xlfn.LET(
  _xlpm.w, O$11,
  _xlpm.r, MATCH(1,('3. Enter Indicator Scores'!$B$10:$B$161=$B82)*('3. Enter Indicator Scores'!$C$10:$C$161=$C82),0),
  _xlpm.c, MATCH(O$8,'3. Enter Indicator Scores'!$D$8:$CZ$8,0),
  _xlpm.v, IFERROR(INDEX('3. Enter Indicator Scores'!$D$10:$CZ$161,_xlpm.r,_xlpm.c),""),
  IF(OR(_xlpm.w="",_xlpm.v=""),"",_xlpm.v*_xlpm.w)
)</f>
        <v/>
      </c>
      <c r="P82" s="93" t="str" cm="1">
        <f t="array" ref="P82">_xlfn.LET(
  _xlpm.w, P$11,
  _xlpm.r, MATCH(1,('3. Enter Indicator Scores'!$B$10:$B$161=$B82)*('3. Enter Indicator Scores'!$C$10:$C$161=$C82),0),
  _xlpm.c, MATCH(P$8,'3. Enter Indicator Scores'!$D$8:$CZ$8,0),
  _xlpm.v, IFERROR(INDEX('3. Enter Indicator Scores'!$D$10:$CZ$161,_xlpm.r,_xlpm.c),""),
  IF(OR(_xlpm.w="",_xlpm.v=""),"",_xlpm.v*_xlpm.w)
)</f>
        <v/>
      </c>
      <c r="Q82" s="93" t="str" cm="1">
        <f t="array" ref="Q82">_xlfn.LET(
  _xlpm.w, Q$11,
  _xlpm.r, MATCH(1,('3. Enter Indicator Scores'!$B$10:$B$161=$B82)*('3. Enter Indicator Scores'!$C$10:$C$161=$C82),0),
  _xlpm.c, MATCH(Q$8,'3. Enter Indicator Scores'!$D$8:$CZ$8,0),
  _xlpm.v, IFERROR(INDEX('3. Enter Indicator Scores'!$D$10:$CZ$161,_xlpm.r,_xlpm.c),""),
  IF(OR(_xlpm.w="",_xlpm.v=""),"",_xlpm.v*_xlpm.w)
)</f>
        <v/>
      </c>
      <c r="R82" s="93" t="str" cm="1">
        <f t="array" ref="R82">_xlfn.LET(
  _xlpm.w, R$11,
  _xlpm.r, MATCH(1,('3. Enter Indicator Scores'!$B$10:$B$161=$B82)*('3. Enter Indicator Scores'!$C$10:$C$161=$C82),0),
  _xlpm.c, MATCH(R$8,'3. Enter Indicator Scores'!$D$8:$CZ$8,0),
  _xlpm.v, IFERROR(INDEX('3. Enter Indicator Scores'!$D$10:$CZ$161,_xlpm.r,_xlpm.c),""),
  IF(OR(_xlpm.w="",_xlpm.v=""),"",_xlpm.v*_xlpm.w)
)</f>
        <v/>
      </c>
      <c r="S82" s="93" t="str" cm="1">
        <f t="array" ref="S82">_xlfn.LET(
  _xlpm.w, S$11,
  _xlpm.r, MATCH(1,('3. Enter Indicator Scores'!$B$10:$B$161=$B82)*('3. Enter Indicator Scores'!$C$10:$C$161=$C82),0),
  _xlpm.c, MATCH(S$8,'3. Enter Indicator Scores'!$D$8:$CZ$8,0),
  _xlpm.v, IFERROR(INDEX('3. Enter Indicator Scores'!$D$10:$CZ$161,_xlpm.r,_xlpm.c),""),
  IF(OR(_xlpm.w="",_xlpm.v=""),"",_xlpm.v*_xlpm.w)
)</f>
        <v/>
      </c>
      <c r="T82" s="93" t="str" cm="1">
        <f t="array" ref="T82">_xlfn.LET(
  _xlpm.w, T$11,
  _xlpm.r, MATCH(1,('3. Enter Indicator Scores'!$B$10:$B$161=$B82)*('3. Enter Indicator Scores'!$C$10:$C$161=$C82),0),
  _xlpm.c, MATCH(T$8,'3. Enter Indicator Scores'!$D$8:$CZ$8,0),
  _xlpm.v, IFERROR(INDEX('3. Enter Indicator Scores'!$D$10:$CZ$161,_xlpm.r,_xlpm.c),""),
  IF(OR(_xlpm.w="",_xlpm.v=""),"",_xlpm.v*_xlpm.w)
)</f>
        <v/>
      </c>
      <c r="U82" s="93" t="str" cm="1">
        <f t="array" ref="U82">_xlfn.LET(
  _xlpm.w, U$11,
  _xlpm.r, MATCH(1,('3. Enter Indicator Scores'!$B$10:$B$161=$B82)*('3. Enter Indicator Scores'!$C$10:$C$161=$C82),0),
  _xlpm.c, MATCH(U$8,'3. Enter Indicator Scores'!$D$8:$CZ$8,0),
  _xlpm.v, IFERROR(INDEX('3. Enter Indicator Scores'!$D$10:$CZ$161,_xlpm.r,_xlpm.c),""),
  IF(OR(_xlpm.w="",_xlpm.v=""),"",_xlpm.v*_xlpm.w)
)</f>
        <v/>
      </c>
      <c r="V82" s="93" t="str" cm="1">
        <f t="array" ref="V82">_xlfn.LET(
  _xlpm.w, V$11,
  _xlpm.r, MATCH(1,('3. Enter Indicator Scores'!$B$10:$B$161=$B82)*('3. Enter Indicator Scores'!$C$10:$C$161=$C82),0),
  _xlpm.c, MATCH(V$8,'3. Enter Indicator Scores'!$D$8:$CZ$8,0),
  _xlpm.v, IFERROR(INDEX('3. Enter Indicator Scores'!$D$10:$CZ$161,_xlpm.r,_xlpm.c),""),
  IF(OR(_xlpm.w="",_xlpm.v=""),"",_xlpm.v*_xlpm.w)
)</f>
        <v/>
      </c>
      <c r="W82" s="93" t="str" cm="1">
        <f t="array" ref="W82">_xlfn.LET(
  _xlpm.w, W$11,
  _xlpm.r, MATCH(1,('3. Enter Indicator Scores'!$B$10:$B$161=$B82)*('3. Enter Indicator Scores'!$C$10:$C$161=$C82),0),
  _xlpm.c, MATCH(W$8,'3. Enter Indicator Scores'!$D$8:$CZ$8,0),
  _xlpm.v, IFERROR(INDEX('3. Enter Indicator Scores'!$D$10:$CZ$161,_xlpm.r,_xlpm.c),""),
  IF(OR(_xlpm.w="",_xlpm.v=""),"",_xlpm.v*_xlpm.w)
)</f>
        <v/>
      </c>
      <c r="X82" s="93" t="str" cm="1">
        <f t="array" ref="X82">_xlfn.LET(
  _xlpm.w, X$11,
  _xlpm.r, MATCH(1,('3. Enter Indicator Scores'!$B$10:$B$161=$B82)*('3. Enter Indicator Scores'!$C$10:$C$161=$C82),0),
  _xlpm.c, MATCH(X$8,'3. Enter Indicator Scores'!$D$8:$CZ$8,0),
  _xlpm.v, IFERROR(INDEX('3. Enter Indicator Scores'!$D$10:$CZ$161,_xlpm.r,_xlpm.c),""),
  IF(OR(_xlpm.w="",_xlpm.v=""),"",_xlpm.v*_xlpm.w)
)</f>
        <v/>
      </c>
      <c r="Y82" s="93" t="str" cm="1">
        <f t="array" ref="Y82">_xlfn.LET(
  _xlpm.w, Y$11,
  _xlpm.r, MATCH(1,('3. Enter Indicator Scores'!$B$10:$B$161=$B82)*('3. Enter Indicator Scores'!$C$10:$C$161=$C82),0),
  _xlpm.c, MATCH(Y$8,'3. Enter Indicator Scores'!$D$8:$CZ$8,0),
  _xlpm.v, IFERROR(INDEX('3. Enter Indicator Scores'!$D$10:$CZ$161,_xlpm.r,_xlpm.c),""),
  IF(OR(_xlpm.w="",_xlpm.v=""),"",_xlpm.v*_xlpm.w)
)</f>
        <v/>
      </c>
      <c r="Z82" s="93" t="str" cm="1">
        <f t="array" ref="Z82">_xlfn.LET(
  _xlpm.w, Z$11,
  _xlpm.r, MATCH(1,('3. Enter Indicator Scores'!$B$10:$B$161=$B82)*('3. Enter Indicator Scores'!$C$10:$C$161=$C82),0),
  _xlpm.c, MATCH(Z$8,'3. Enter Indicator Scores'!$D$8:$CZ$8,0),
  _xlpm.v, IFERROR(INDEX('3. Enter Indicator Scores'!$D$10:$CZ$161,_xlpm.r,_xlpm.c),""),
  IF(OR(_xlpm.w="",_xlpm.v=""),"",_xlpm.v*_xlpm.w)
)</f>
        <v/>
      </c>
      <c r="AA82" s="93" t="str" cm="1">
        <f t="array" ref="AA82">_xlfn.LET(
  _xlpm.w, AA$11,
  _xlpm.r, MATCH(1,('3. Enter Indicator Scores'!$B$10:$B$161=$B82)*('3. Enter Indicator Scores'!$C$10:$C$161=$C82),0),
  _xlpm.c, MATCH(AA$8,'3. Enter Indicator Scores'!$D$8:$CZ$8,0),
  _xlpm.v, IFERROR(INDEX('3. Enter Indicator Scores'!$D$10:$CZ$161,_xlpm.r,_xlpm.c),""),
  IF(OR(_xlpm.w="",_xlpm.v=""),"",_xlpm.v*_xlpm.w)
)</f>
        <v/>
      </c>
      <c r="AB82" s="93" t="str" cm="1">
        <f t="array" ref="AB82">_xlfn.LET(
  _xlpm.w, AB$11,
  _xlpm.r, MATCH(1,('3. Enter Indicator Scores'!$B$10:$B$161=$B82)*('3. Enter Indicator Scores'!$C$10:$C$161=$C82),0),
  _xlpm.c, MATCH(AB$8,'3. Enter Indicator Scores'!$D$8:$CZ$8,0),
  _xlpm.v, IFERROR(INDEX('3. Enter Indicator Scores'!$D$10:$CZ$161,_xlpm.r,_xlpm.c),""),
  IF(OR(_xlpm.w="",_xlpm.v=""),"",_xlpm.v*_xlpm.w)
)</f>
        <v/>
      </c>
      <c r="AC82" s="93" t="str" cm="1">
        <f t="array" ref="AC82">_xlfn.LET(
  _xlpm.w, AC$11,
  _xlpm.r, MATCH(1,('3. Enter Indicator Scores'!$B$10:$B$161=$B82)*('3. Enter Indicator Scores'!$C$10:$C$161=$C82),0),
  _xlpm.c, MATCH(AC$8,'3. Enter Indicator Scores'!$D$8:$CZ$8,0),
  _xlpm.v, IFERROR(INDEX('3. Enter Indicator Scores'!$D$10:$CZ$161,_xlpm.r,_xlpm.c),""),
  IF(OR(_xlpm.w="",_xlpm.v=""),"",_xlpm.v*_xlpm.w)
)</f>
        <v/>
      </c>
      <c r="AD82" s="93" t="str" cm="1">
        <f t="array" ref="AD82">_xlfn.LET(
  _xlpm.w, AD$11,
  _xlpm.r, MATCH(1,('3. Enter Indicator Scores'!$B$10:$B$161=$B82)*('3. Enter Indicator Scores'!$C$10:$C$161=$C82),0),
  _xlpm.c, MATCH(AD$8,'3. Enter Indicator Scores'!$D$8:$CZ$8,0),
  _xlpm.v, IFERROR(INDEX('3. Enter Indicator Scores'!$D$10:$CZ$161,_xlpm.r,_xlpm.c),""),
  IF(OR(_xlpm.w="",_xlpm.v=""),"",_xlpm.v*_xlpm.w)
)</f>
        <v/>
      </c>
      <c r="AE82" s="93" t="str" cm="1">
        <f t="array" ref="AE82">_xlfn.LET(
  _xlpm.w, AE$11,
  _xlpm.r, MATCH(1,('3. Enter Indicator Scores'!$B$10:$B$161=$B82)*('3. Enter Indicator Scores'!$C$10:$C$161=$C82),0),
  _xlpm.c, MATCH(AE$8,'3. Enter Indicator Scores'!$D$8:$CZ$8,0),
  _xlpm.v, IFERROR(INDEX('3. Enter Indicator Scores'!$D$10:$CZ$161,_xlpm.r,_xlpm.c),""),
  IF(OR(_xlpm.w="",_xlpm.v=""),"",_xlpm.v*_xlpm.w)
)</f>
        <v/>
      </c>
      <c r="AF82" s="93" t="str" cm="1">
        <f t="array" ref="AF82">_xlfn.LET(
  _xlpm.w, AF$11,
  _xlpm.r, MATCH(1,('3. Enter Indicator Scores'!$B$10:$B$161=$B82)*('3. Enter Indicator Scores'!$C$10:$C$161=$C82),0),
  _xlpm.c, MATCH(AF$8,'3. Enter Indicator Scores'!$D$8:$CZ$8,0),
  _xlpm.v, IFERROR(INDEX('3. Enter Indicator Scores'!$D$10:$CZ$161,_xlpm.r,_xlpm.c),""),
  IF(OR(_xlpm.w="",_xlpm.v=""),"",_xlpm.v*_xlpm.w)
)</f>
        <v/>
      </c>
      <c r="AG82" s="93" t="str" cm="1">
        <f t="array" ref="AG82">_xlfn.LET(
  _xlpm.w, AG$11,
  _xlpm.r, MATCH(1,('3. Enter Indicator Scores'!$B$10:$B$161=$B82)*('3. Enter Indicator Scores'!$C$10:$C$161=$C82),0),
  _xlpm.c, MATCH(AG$8,'3. Enter Indicator Scores'!$D$8:$CZ$8,0),
  _xlpm.v, IFERROR(INDEX('3. Enter Indicator Scores'!$D$10:$CZ$161,_xlpm.r,_xlpm.c),""),
  IF(OR(_xlpm.w="",_xlpm.v=""),"",_xlpm.v*_xlpm.w)
)</f>
        <v/>
      </c>
      <c r="AH82" s="93" t="str" cm="1">
        <f t="array" ref="AH82">_xlfn.LET(
  _xlpm.w, AH$11,
  _xlpm.r, MATCH(1,('3. Enter Indicator Scores'!$B$10:$B$161=$B82)*('3. Enter Indicator Scores'!$C$10:$C$161=$C82),0),
  _xlpm.c, MATCH(AH$8,'3. Enter Indicator Scores'!$D$8:$CZ$8,0),
  _xlpm.v, IFERROR(INDEX('3. Enter Indicator Scores'!$D$10:$CZ$161,_xlpm.r,_xlpm.c),""),
  IF(OR(_xlpm.w="",_xlpm.v=""),"",_xlpm.v*_xlpm.w)
)</f>
        <v/>
      </c>
      <c r="AI82" s="93" t="str" cm="1">
        <f t="array" ref="AI82">_xlfn.LET(
  _xlpm.w, AI$11,
  _xlpm.r, MATCH(1,('3. Enter Indicator Scores'!$B$10:$B$161=$B82)*('3. Enter Indicator Scores'!$C$10:$C$161=$C82),0),
  _xlpm.c, MATCH(AI$8,'3. Enter Indicator Scores'!$D$8:$CZ$8,0),
  _xlpm.v, IFERROR(INDEX('3. Enter Indicator Scores'!$D$10:$CZ$161,_xlpm.r,_xlpm.c),""),
  IF(OR(_xlpm.w="",_xlpm.v=""),"",_xlpm.v*_xlpm.w)
)</f>
        <v/>
      </c>
      <c r="AJ82" s="93" t="str" cm="1">
        <f t="array" ref="AJ82">_xlfn.LET(
  _xlpm.w, AJ$11,
  _xlpm.r, MATCH(1,('3. Enter Indicator Scores'!$B$10:$B$161=$B82)*('3. Enter Indicator Scores'!$C$10:$C$161=$C82),0),
  _xlpm.c, MATCH(AJ$8,'3. Enter Indicator Scores'!$D$8:$CZ$8,0),
  _xlpm.v, IFERROR(INDEX('3. Enter Indicator Scores'!$D$10:$CZ$161,_xlpm.r,_xlpm.c),""),
  IF(OR(_xlpm.w="",_xlpm.v=""),"",_xlpm.v*_xlpm.w)
)</f>
        <v/>
      </c>
      <c r="AK82" s="93" t="str" cm="1">
        <f t="array" ref="AK82">_xlfn.LET(
  _xlpm.w, AK$11,
  _xlpm.r, MATCH(1,('3. Enter Indicator Scores'!$B$10:$B$161=$B82)*('3. Enter Indicator Scores'!$C$10:$C$161=$C82),0),
  _xlpm.c, MATCH(AK$8,'3. Enter Indicator Scores'!$D$8:$CZ$8,0),
  _xlpm.v, IFERROR(INDEX('3. Enter Indicator Scores'!$D$10:$CZ$161,_xlpm.r,_xlpm.c),""),
  IF(OR(_xlpm.w="",_xlpm.v=""),"",_xlpm.v*_xlpm.w)
)</f>
        <v/>
      </c>
      <c r="AL82" s="93" t="str" cm="1">
        <f t="array" ref="AL82">_xlfn.LET(
  _xlpm.w, AL$11,
  _xlpm.r, MATCH(1,('3. Enter Indicator Scores'!$B$10:$B$161=$B82)*('3. Enter Indicator Scores'!$C$10:$C$161=$C82),0),
  _xlpm.c, MATCH(AL$8,'3. Enter Indicator Scores'!$D$8:$CZ$8,0),
  _xlpm.v, IFERROR(INDEX('3. Enter Indicator Scores'!$D$10:$CZ$161,_xlpm.r,_xlpm.c),""),
  IF(OR(_xlpm.w="",_xlpm.v=""),"",_xlpm.v*_xlpm.w)
)</f>
        <v/>
      </c>
      <c r="AM82" s="93" t="str" cm="1">
        <f t="array" ref="AM82">_xlfn.LET(
  _xlpm.w, AM$11,
  _xlpm.r, MATCH(1,('3. Enter Indicator Scores'!$B$10:$B$161=$B82)*('3. Enter Indicator Scores'!$C$10:$C$161=$C82),0),
  _xlpm.c, MATCH(AM$8,'3. Enter Indicator Scores'!$D$8:$CZ$8,0),
  _xlpm.v, IFERROR(INDEX('3. Enter Indicator Scores'!$D$10:$CZ$161,_xlpm.r,_xlpm.c),""),
  IF(OR(_xlpm.w="",_xlpm.v=""),"",_xlpm.v*_xlpm.w)
)</f>
        <v/>
      </c>
      <c r="AN82" s="93" t="str" cm="1">
        <f t="array" ref="AN82">_xlfn.LET(
  _xlpm.w, AN$11,
  _xlpm.r, MATCH(1,('3. Enter Indicator Scores'!$B$10:$B$161=$B82)*('3. Enter Indicator Scores'!$C$10:$C$161=$C82),0),
  _xlpm.c, MATCH(AN$8,'3. Enter Indicator Scores'!$D$8:$CZ$8,0),
  _xlpm.v, IFERROR(INDEX('3. Enter Indicator Scores'!$D$10:$CZ$161,_xlpm.r,_xlpm.c),""),
  IF(OR(_xlpm.w="",_xlpm.v=""),"",_xlpm.v*_xlpm.w)
)</f>
        <v/>
      </c>
      <c r="AO82" s="93" t="str" cm="1">
        <f t="array" ref="AO82">_xlfn.LET(
  _xlpm.w, AO$11,
  _xlpm.r, MATCH(1,('3. Enter Indicator Scores'!$B$10:$B$161=$B82)*('3. Enter Indicator Scores'!$C$10:$C$161=$C82),0),
  _xlpm.c, MATCH(AO$8,'3. Enter Indicator Scores'!$D$8:$CZ$8,0),
  _xlpm.v, IFERROR(INDEX('3. Enter Indicator Scores'!$D$10:$CZ$161,_xlpm.r,_xlpm.c),""),
  IF(OR(_xlpm.w="",_xlpm.v=""),"",_xlpm.v*_xlpm.w)
)</f>
        <v/>
      </c>
      <c r="AP82" s="93" t="str" cm="1">
        <f t="array" ref="AP82">_xlfn.LET(
  _xlpm.w, AP$11,
  _xlpm.r, MATCH(1,('3. Enter Indicator Scores'!$B$10:$B$161=$B82)*('3. Enter Indicator Scores'!$C$10:$C$161=$C82),0),
  _xlpm.c, MATCH(AP$8,'3. Enter Indicator Scores'!$D$8:$CZ$8,0),
  _xlpm.v, IFERROR(INDEX('3. Enter Indicator Scores'!$D$10:$CZ$161,_xlpm.r,_xlpm.c),""),
  IF(OR(_xlpm.w="",_xlpm.v=""),"",_xlpm.v*_xlpm.w)
)</f>
        <v/>
      </c>
      <c r="AQ82" s="93" t="str" cm="1">
        <f t="array" ref="AQ82">_xlfn.LET(
  _xlpm.w, AQ$11,
  _xlpm.r, MATCH(1,('3. Enter Indicator Scores'!$B$10:$B$161=$B82)*('3. Enter Indicator Scores'!$C$10:$C$161=$C82),0),
  _xlpm.c, MATCH(AQ$8,'3. Enter Indicator Scores'!$D$8:$CZ$8,0),
  _xlpm.v, IFERROR(INDEX('3. Enter Indicator Scores'!$D$10:$CZ$161,_xlpm.r,_xlpm.c),""),
  IF(OR(_xlpm.w="",_xlpm.v=""),"",_xlpm.v*_xlpm.w)
)</f>
        <v/>
      </c>
      <c r="AR82" s="93" t="str" cm="1">
        <f t="array" ref="AR82">_xlfn.LET(
  _xlpm.w, AR$11,
  _xlpm.r, MATCH(1,('3. Enter Indicator Scores'!$B$10:$B$161=$B82)*('3. Enter Indicator Scores'!$C$10:$C$161=$C82),0),
  _xlpm.c, MATCH(AR$8,'3. Enter Indicator Scores'!$D$8:$CZ$8,0),
  _xlpm.v, IFERROR(INDEX('3. Enter Indicator Scores'!$D$10:$CZ$161,_xlpm.r,_xlpm.c),""),
  IF(OR(_xlpm.w="",_xlpm.v=""),"",_xlpm.v*_xlpm.w)
)</f>
        <v/>
      </c>
      <c r="AS82" s="93" t="str" cm="1">
        <f t="array" ref="AS82">_xlfn.LET(
  _xlpm.w, AS$11,
  _xlpm.r, MATCH(1,('3. Enter Indicator Scores'!$B$10:$B$161=$B82)*('3. Enter Indicator Scores'!$C$10:$C$161=$C82),0),
  _xlpm.c, MATCH(AS$8,'3. Enter Indicator Scores'!$D$8:$CZ$8,0),
  _xlpm.v, IFERROR(INDEX('3. Enter Indicator Scores'!$D$10:$CZ$161,_xlpm.r,_xlpm.c),""),
  IF(OR(_xlpm.w="",_xlpm.v=""),"",_xlpm.v*_xlpm.w)
)</f>
        <v/>
      </c>
      <c r="AT82" s="93" t="str" cm="1">
        <f t="array" ref="AT82">_xlfn.LET(
  _xlpm.w, AT$11,
  _xlpm.r, MATCH(1,('3. Enter Indicator Scores'!$B$10:$B$161=$B82)*('3. Enter Indicator Scores'!$C$10:$C$161=$C82),0),
  _xlpm.c, MATCH(AT$8,'3. Enter Indicator Scores'!$D$8:$CZ$8,0),
  _xlpm.v, IFERROR(INDEX('3. Enter Indicator Scores'!$D$10:$CZ$161,_xlpm.r,_xlpm.c),""),
  IF(OR(_xlpm.w="",_xlpm.v=""),"",_xlpm.v*_xlpm.w)
)</f>
        <v/>
      </c>
      <c r="AU82" s="93" t="str" cm="1">
        <f t="array" ref="AU82">_xlfn.LET(
  _xlpm.w, AU$11,
  _xlpm.r, MATCH(1,('3. Enter Indicator Scores'!$B$10:$B$161=$B82)*('3. Enter Indicator Scores'!$C$10:$C$161=$C82),0),
  _xlpm.c, MATCH(AU$8,'3. Enter Indicator Scores'!$D$8:$CZ$8,0),
  _xlpm.v, IFERROR(INDEX('3. Enter Indicator Scores'!$D$10:$CZ$161,_xlpm.r,_xlpm.c),""),
  IF(OR(_xlpm.w="",_xlpm.v=""),"",_xlpm.v*_xlpm.w)
)</f>
        <v/>
      </c>
      <c r="AV82" s="93" t="str" cm="1">
        <f t="array" ref="AV82">_xlfn.LET(
  _xlpm.w, AV$11,
  _xlpm.r, MATCH(1,('3. Enter Indicator Scores'!$B$10:$B$161=$B82)*('3. Enter Indicator Scores'!$C$10:$C$161=$C82),0),
  _xlpm.c, MATCH(AV$8,'3. Enter Indicator Scores'!$D$8:$CZ$8,0),
  _xlpm.v, IFERROR(INDEX('3. Enter Indicator Scores'!$D$10:$CZ$161,_xlpm.r,_xlpm.c),""),
  IF(OR(_xlpm.w="",_xlpm.v=""),"",_xlpm.v*_xlpm.w)
)</f>
        <v/>
      </c>
      <c r="AW82" s="93" t="str" cm="1">
        <f t="array" ref="AW82">_xlfn.LET(
  _xlpm.w, AW$11,
  _xlpm.r, MATCH(1,('3. Enter Indicator Scores'!$B$10:$B$161=$B82)*('3. Enter Indicator Scores'!$C$10:$C$161=$C82),0),
  _xlpm.c, MATCH(AW$8,'3. Enter Indicator Scores'!$D$8:$CZ$8,0),
  _xlpm.v, IFERROR(INDEX('3. Enter Indicator Scores'!$D$10:$CZ$161,_xlpm.r,_xlpm.c),""),
  IF(OR(_xlpm.w="",_xlpm.v=""),"",_xlpm.v*_xlpm.w)
)</f>
        <v/>
      </c>
      <c r="AX82" s="93" t="str" cm="1">
        <f t="array" ref="AX82">_xlfn.LET(
  _xlpm.w, AX$11,
  _xlpm.r, MATCH(1,('3. Enter Indicator Scores'!$B$10:$B$161=$B82)*('3. Enter Indicator Scores'!$C$10:$C$161=$C82),0),
  _xlpm.c, MATCH(AX$8,'3. Enter Indicator Scores'!$D$8:$CZ$8,0),
  _xlpm.v, IFERROR(INDEX('3. Enter Indicator Scores'!$D$10:$CZ$161,_xlpm.r,_xlpm.c),""),
  IF(OR(_xlpm.w="",_xlpm.v=""),"",_xlpm.v*_xlpm.w)
)</f>
        <v/>
      </c>
      <c r="AY82" s="93" t="str" cm="1">
        <f t="array" ref="AY82">_xlfn.LET(
  _xlpm.w, AY$11,
  _xlpm.r, MATCH(1,('3. Enter Indicator Scores'!$B$10:$B$161=$B82)*('3. Enter Indicator Scores'!$C$10:$C$161=$C82),0),
  _xlpm.c, MATCH(AY$8,'3. Enter Indicator Scores'!$D$8:$CZ$8,0),
  _xlpm.v, IFERROR(INDEX('3. Enter Indicator Scores'!$D$10:$CZ$161,_xlpm.r,_xlpm.c),""),
  IF(OR(_xlpm.w="",_xlpm.v=""),"",_xlpm.v*_xlpm.w)
)</f>
        <v/>
      </c>
      <c r="AZ82" s="93" t="str" cm="1">
        <f t="array" ref="AZ82">_xlfn.LET(
  _xlpm.w, AZ$11,
  _xlpm.r, MATCH(1,('3. Enter Indicator Scores'!$B$10:$B$161=$B82)*('3. Enter Indicator Scores'!$C$10:$C$161=$C82),0),
  _xlpm.c, MATCH(AZ$8,'3. Enter Indicator Scores'!$D$8:$CZ$8,0),
  _xlpm.v, IFERROR(INDEX('3. Enter Indicator Scores'!$D$10:$CZ$161,_xlpm.r,_xlpm.c),""),
  IF(OR(_xlpm.w="",_xlpm.v=""),"",_xlpm.v*_xlpm.w)
)</f>
        <v/>
      </c>
      <c r="BA82" s="93" t="str" cm="1">
        <f t="array" ref="BA82">_xlfn.LET(
  _xlpm.w, BA$11,
  _xlpm.r, MATCH(1,('3. Enter Indicator Scores'!$B$10:$B$161=$B82)*('3. Enter Indicator Scores'!$C$10:$C$161=$C82),0),
  _xlpm.c, MATCH(BA$8,'3. Enter Indicator Scores'!$D$8:$CZ$8,0),
  _xlpm.v, IFERROR(INDEX('3. Enter Indicator Scores'!$D$10:$CZ$161,_xlpm.r,_xlpm.c),""),
  IF(OR(_xlpm.w="",_xlpm.v=""),"",_xlpm.v*_xlpm.w)
)</f>
        <v/>
      </c>
      <c r="BB82" s="93" t="str" cm="1">
        <f t="array" ref="BB82">_xlfn.LET(
  _xlpm.w, BB$11,
  _xlpm.r, MATCH(1,('3. Enter Indicator Scores'!$B$10:$B$161=$B82)*('3. Enter Indicator Scores'!$C$10:$C$161=$C82),0),
  _xlpm.c, MATCH(BB$8,'3. Enter Indicator Scores'!$D$8:$CZ$8,0),
  _xlpm.v, IFERROR(INDEX('3. Enter Indicator Scores'!$D$10:$CZ$161,_xlpm.r,_xlpm.c),""),
  IF(OR(_xlpm.w="",_xlpm.v=""),"",_xlpm.v*_xlpm.w)
)</f>
        <v/>
      </c>
      <c r="BC82" s="93" t="str" cm="1">
        <f t="array" ref="BC82">_xlfn.LET(
  _xlpm.w, BC$11,
  _xlpm.r, MATCH(1,('3. Enter Indicator Scores'!$B$10:$B$161=$B82)*('3. Enter Indicator Scores'!$C$10:$C$161=$C82),0),
  _xlpm.c, MATCH(BC$8,'3. Enter Indicator Scores'!$D$8:$CZ$8,0),
  _xlpm.v, IFERROR(INDEX('3. Enter Indicator Scores'!$D$10:$CZ$161,_xlpm.r,_xlpm.c),""),
  IF(OR(_xlpm.w="",_xlpm.v=""),"",_xlpm.v*_xlpm.w)
)</f>
        <v/>
      </c>
      <c r="BD82" s="93" t="str" cm="1">
        <f t="array" ref="BD82">_xlfn.LET(
  _xlpm.w, BD$11,
  _xlpm.r, MATCH(1,('3. Enter Indicator Scores'!$B$10:$B$161=$B82)*('3. Enter Indicator Scores'!$C$10:$C$161=$C82),0),
  _xlpm.c, MATCH(BD$8,'3. Enter Indicator Scores'!$D$8:$CZ$8,0),
  _xlpm.v, IFERROR(INDEX('3. Enter Indicator Scores'!$D$10:$CZ$161,_xlpm.r,_xlpm.c),""),
  IF(OR(_xlpm.w="",_xlpm.v=""),"",_xlpm.v*_xlpm.w)
)</f>
        <v/>
      </c>
      <c r="BE82" s="93" t="str" cm="1">
        <f t="array" ref="BE82">_xlfn.LET(
  _xlpm.w, BE$11,
  _xlpm.r, MATCH(1,('3. Enter Indicator Scores'!$B$10:$B$161=$B82)*('3. Enter Indicator Scores'!$C$10:$C$161=$C82),0),
  _xlpm.c, MATCH(BE$8,'3. Enter Indicator Scores'!$D$8:$CZ$8,0),
  _xlpm.v, IFERROR(INDEX('3. Enter Indicator Scores'!$D$10:$CZ$161,_xlpm.r,_xlpm.c),""),
  IF(OR(_xlpm.w="",_xlpm.v=""),"",_xlpm.v*_xlpm.w)
)</f>
        <v/>
      </c>
      <c r="BF82" s="93" t="str" cm="1">
        <f t="array" ref="BF82">_xlfn.LET(
  _xlpm.w, BF$11,
  _xlpm.r, MATCH(1,('3. Enter Indicator Scores'!$B$10:$B$161=$B82)*('3. Enter Indicator Scores'!$C$10:$C$161=$C82),0),
  _xlpm.c, MATCH(BF$8,'3. Enter Indicator Scores'!$D$8:$CZ$8,0),
  _xlpm.v, IFERROR(INDEX('3. Enter Indicator Scores'!$D$10:$CZ$161,_xlpm.r,_xlpm.c),""),
  IF(OR(_xlpm.w="",_xlpm.v=""),"",_xlpm.v*_xlpm.w)
)</f>
        <v/>
      </c>
      <c r="BG82" s="93" t="str" cm="1">
        <f t="array" ref="BG82">_xlfn.LET(
  _xlpm.w, BG$11,
  _xlpm.r, MATCH(1,('3. Enter Indicator Scores'!$B$10:$B$161=$B82)*('3. Enter Indicator Scores'!$C$10:$C$161=$C82),0),
  _xlpm.c, MATCH(BG$8,'3. Enter Indicator Scores'!$D$8:$CZ$8,0),
  _xlpm.v, IFERROR(INDEX('3. Enter Indicator Scores'!$D$10:$CZ$161,_xlpm.r,_xlpm.c),""),
  IF(OR(_xlpm.w="",_xlpm.v=""),"",_xlpm.v*_xlpm.w)
)</f>
        <v/>
      </c>
      <c r="BH82" s="93" t="str" cm="1">
        <f t="array" ref="BH82">_xlfn.LET(
  _xlpm.w, BH$11,
  _xlpm.r, MATCH(1,('3. Enter Indicator Scores'!$B$10:$B$161=$B82)*('3. Enter Indicator Scores'!$C$10:$C$161=$C82),0),
  _xlpm.c, MATCH(BH$8,'3. Enter Indicator Scores'!$D$8:$CZ$8,0),
  _xlpm.v, IFERROR(INDEX('3. Enter Indicator Scores'!$D$10:$CZ$161,_xlpm.r,_xlpm.c),""),
  IF(OR(_xlpm.w="",_xlpm.v=""),"",_xlpm.v*_xlpm.w)
)</f>
        <v/>
      </c>
      <c r="BI82" s="93" t="str" cm="1">
        <f t="array" ref="BI82">_xlfn.LET(
  _xlpm.w, BI$11,
  _xlpm.r, MATCH(1,('3. Enter Indicator Scores'!$B$10:$B$161=$B82)*('3. Enter Indicator Scores'!$C$10:$C$161=$C82),0),
  _xlpm.c, MATCH(BI$8,'3. Enter Indicator Scores'!$D$8:$CZ$8,0),
  _xlpm.v, IFERROR(INDEX('3. Enter Indicator Scores'!$D$10:$CZ$161,_xlpm.r,_xlpm.c),""),
  IF(OR(_xlpm.w="",_xlpm.v=""),"",_xlpm.v*_xlpm.w)
)</f>
        <v/>
      </c>
      <c r="BJ82" s="93" t="str" cm="1">
        <f t="array" ref="BJ82">_xlfn.LET(
  _xlpm.w, BJ$11,
  _xlpm.r, MATCH(1,('3. Enter Indicator Scores'!$B$10:$B$161=$B82)*('3. Enter Indicator Scores'!$C$10:$C$161=$C82),0),
  _xlpm.c, MATCH(BJ$8,'3. Enter Indicator Scores'!$D$8:$CZ$8,0),
  _xlpm.v, IFERROR(INDEX('3. Enter Indicator Scores'!$D$10:$CZ$161,_xlpm.r,_xlpm.c),""),
  IF(OR(_xlpm.w="",_xlpm.v=""),"",_xlpm.v*_xlpm.w)
)</f>
        <v/>
      </c>
      <c r="BK82" s="93" t="str" cm="1">
        <f t="array" ref="BK82">_xlfn.LET(
  _xlpm.w, BK$11,
  _xlpm.r, MATCH(1,('3. Enter Indicator Scores'!$B$10:$B$161=$B82)*('3. Enter Indicator Scores'!$C$10:$C$161=$C82),0),
  _xlpm.c, MATCH(BK$8,'3. Enter Indicator Scores'!$D$8:$CZ$8,0),
  _xlpm.v, IFERROR(INDEX('3. Enter Indicator Scores'!$D$10:$CZ$161,_xlpm.r,_xlpm.c),""),
  IF(OR(_xlpm.w="",_xlpm.v=""),"",_xlpm.v*_xlpm.w)
)</f>
        <v/>
      </c>
      <c r="BL82" s="93" t="str" cm="1">
        <f t="array" ref="BL82">_xlfn.LET(
  _xlpm.w, BL$11,
  _xlpm.r, MATCH(1,('3. Enter Indicator Scores'!$B$10:$B$161=$B82)*('3. Enter Indicator Scores'!$C$10:$C$161=$C82),0),
  _xlpm.c, MATCH(BL$8,'3. Enter Indicator Scores'!$D$8:$CZ$8,0),
  _xlpm.v, IFERROR(INDEX('3. Enter Indicator Scores'!$D$10:$CZ$161,_xlpm.r,_xlpm.c),""),
  IF(OR(_xlpm.w="",_xlpm.v=""),"",_xlpm.v*_xlpm.w)
)</f>
        <v/>
      </c>
      <c r="BM82" s="93" t="str" cm="1">
        <f t="array" ref="BM82">_xlfn.LET(
  _xlpm.w, BM$11,
  _xlpm.r, MATCH(1,('3. Enter Indicator Scores'!$B$10:$B$161=$B82)*('3. Enter Indicator Scores'!$C$10:$C$161=$C82),0),
  _xlpm.c, MATCH(BM$8,'3. Enter Indicator Scores'!$D$8:$CZ$8,0),
  _xlpm.v, IFERROR(INDEX('3. Enter Indicator Scores'!$D$10:$CZ$161,_xlpm.r,_xlpm.c),""),
  IF(OR(_xlpm.w="",_xlpm.v=""),"",_xlpm.v*_xlpm.w)
)</f>
        <v/>
      </c>
      <c r="BN82" s="93" t="str" cm="1">
        <f t="array" ref="BN82">_xlfn.LET(
  _xlpm.w, BN$11,
  _xlpm.r, MATCH(1,('3. Enter Indicator Scores'!$B$10:$B$161=$B82)*('3. Enter Indicator Scores'!$C$10:$C$161=$C82),0),
  _xlpm.c, MATCH(BN$8,'3. Enter Indicator Scores'!$D$8:$CZ$8,0),
  _xlpm.v, IFERROR(INDEX('3. Enter Indicator Scores'!$D$10:$CZ$161,_xlpm.r,_xlpm.c),""),
  IF(OR(_xlpm.w="",_xlpm.v=""),"",_xlpm.v*_xlpm.w)
)</f>
        <v/>
      </c>
      <c r="BO82" s="93" t="str" cm="1">
        <f t="array" ref="BO82">_xlfn.LET(
  _xlpm.w, BO$11,
  _xlpm.r, MATCH(1,('3. Enter Indicator Scores'!$B$10:$B$161=$B82)*('3. Enter Indicator Scores'!$C$10:$C$161=$C82),0),
  _xlpm.c, MATCH(BO$8,'3. Enter Indicator Scores'!$D$8:$CZ$8,0),
  _xlpm.v, IFERROR(INDEX('3. Enter Indicator Scores'!$D$10:$CZ$161,_xlpm.r,_xlpm.c),""),
  IF(OR(_xlpm.w="",_xlpm.v=""),"",_xlpm.v*_xlpm.w)
)</f>
        <v/>
      </c>
      <c r="BP82" s="93" t="str" cm="1">
        <f t="array" ref="BP82">_xlfn.LET(
  _xlpm.w, BP$11,
  _xlpm.r, MATCH(1,('3. Enter Indicator Scores'!$B$10:$B$161=$B82)*('3. Enter Indicator Scores'!$C$10:$C$161=$C82),0),
  _xlpm.c, MATCH(BP$8,'3. Enter Indicator Scores'!$D$8:$CZ$8,0),
  _xlpm.v, IFERROR(INDEX('3. Enter Indicator Scores'!$D$10:$CZ$161,_xlpm.r,_xlpm.c),""),
  IF(OR(_xlpm.w="",_xlpm.v=""),"",_xlpm.v*_xlpm.w)
)</f>
        <v/>
      </c>
      <c r="BQ82" s="93" t="str" cm="1">
        <f t="array" ref="BQ82">_xlfn.LET(
  _xlpm.w, BQ$11,
  _xlpm.r, MATCH(1,('3. Enter Indicator Scores'!$B$10:$B$161=$B82)*('3. Enter Indicator Scores'!$C$10:$C$161=$C82),0),
  _xlpm.c, MATCH(BQ$8,'3. Enter Indicator Scores'!$D$8:$CZ$8,0),
  _xlpm.v, IFERROR(INDEX('3. Enter Indicator Scores'!$D$10:$CZ$161,_xlpm.r,_xlpm.c),""),
  IF(OR(_xlpm.w="",_xlpm.v=""),"",_xlpm.v*_xlpm.w)
)</f>
        <v/>
      </c>
      <c r="BR82" s="93" t="str" cm="1">
        <f t="array" ref="BR82">_xlfn.LET(
  _xlpm.w, BR$11,
  _xlpm.r, MATCH(1,('3. Enter Indicator Scores'!$B$10:$B$161=$B82)*('3. Enter Indicator Scores'!$C$10:$C$161=$C82),0),
  _xlpm.c, MATCH(BR$8,'3. Enter Indicator Scores'!$D$8:$CZ$8,0),
  _xlpm.v, IFERROR(INDEX('3. Enter Indicator Scores'!$D$10:$CZ$161,_xlpm.r,_xlpm.c),""),
  IF(OR(_xlpm.w="",_xlpm.v=""),"",_xlpm.v*_xlpm.w)
)</f>
        <v/>
      </c>
      <c r="BS82" s="93" t="str" cm="1">
        <f t="array" ref="BS82">_xlfn.LET(
  _xlpm.w, BS$11,
  _xlpm.r, MATCH(1,('3. Enter Indicator Scores'!$B$10:$B$161=$B82)*('3. Enter Indicator Scores'!$C$10:$C$161=$C82),0),
  _xlpm.c, MATCH(BS$8,'3. Enter Indicator Scores'!$D$8:$CZ$8,0),
  _xlpm.v, IFERROR(INDEX('3. Enter Indicator Scores'!$D$10:$CZ$161,_xlpm.r,_xlpm.c),""),
  IF(OR(_xlpm.w="",_xlpm.v=""),"",_xlpm.v*_xlpm.w)
)</f>
        <v/>
      </c>
      <c r="BT82" s="93" t="str" cm="1">
        <f t="array" ref="BT82">_xlfn.LET(
  _xlpm.w, BT$11,
  _xlpm.r, MATCH(1,('3. Enter Indicator Scores'!$B$10:$B$161=$B82)*('3. Enter Indicator Scores'!$C$10:$C$161=$C82),0),
  _xlpm.c, MATCH(BT$8,'3. Enter Indicator Scores'!$D$8:$CZ$8,0),
  _xlpm.v, IFERROR(INDEX('3. Enter Indicator Scores'!$D$10:$CZ$161,_xlpm.r,_xlpm.c),""),
  IF(OR(_xlpm.w="",_xlpm.v=""),"",_xlpm.v*_xlpm.w)
)</f>
        <v/>
      </c>
      <c r="BU82" s="93" t="str" cm="1">
        <f t="array" ref="BU82">_xlfn.LET(
  _xlpm.w, BU$11,
  _xlpm.r, MATCH(1,('3. Enter Indicator Scores'!$B$10:$B$161=$B82)*('3. Enter Indicator Scores'!$C$10:$C$161=$C82),0),
  _xlpm.c, MATCH(BU$8,'3. Enter Indicator Scores'!$D$8:$CZ$8,0),
  _xlpm.v, IFERROR(INDEX('3. Enter Indicator Scores'!$D$10:$CZ$161,_xlpm.r,_xlpm.c),""),
  IF(OR(_xlpm.w="",_xlpm.v=""),"",_xlpm.v*_xlpm.w)
)</f>
        <v/>
      </c>
      <c r="BV82" s="93" t="str" cm="1">
        <f t="array" ref="BV82">_xlfn.LET(
  _xlpm.w, BV$11,
  _xlpm.r, MATCH(1,('3. Enter Indicator Scores'!$B$10:$B$161=$B82)*('3. Enter Indicator Scores'!$C$10:$C$161=$C82),0),
  _xlpm.c, MATCH(BV$8,'3. Enter Indicator Scores'!$D$8:$CZ$8,0),
  _xlpm.v, IFERROR(INDEX('3. Enter Indicator Scores'!$D$10:$CZ$161,_xlpm.r,_xlpm.c),""),
  IF(OR(_xlpm.w="",_xlpm.v=""),"",_xlpm.v*_xlpm.w)
)</f>
        <v/>
      </c>
      <c r="BW82" s="93" t="str" cm="1">
        <f t="array" ref="BW82">_xlfn.LET(
  _xlpm.w, BW$11,
  _xlpm.r, MATCH(1,('3. Enter Indicator Scores'!$B$10:$B$161=$B82)*('3. Enter Indicator Scores'!$C$10:$C$161=$C82),0),
  _xlpm.c, MATCH(BW$8,'3. Enter Indicator Scores'!$D$8:$CZ$8,0),
  _xlpm.v, IFERROR(INDEX('3. Enter Indicator Scores'!$D$10:$CZ$161,_xlpm.r,_xlpm.c),""),
  IF(OR(_xlpm.w="",_xlpm.v=""),"",_xlpm.v*_xlpm.w)
)</f>
        <v/>
      </c>
      <c r="BX82" s="93" t="str" cm="1">
        <f t="array" ref="BX82">_xlfn.LET(
  _xlpm.w, BX$11,
  _xlpm.r, MATCH(1,('3. Enter Indicator Scores'!$B$10:$B$161=$B82)*('3. Enter Indicator Scores'!$C$10:$C$161=$C82),0),
  _xlpm.c, MATCH(BX$8,'3. Enter Indicator Scores'!$D$8:$CZ$8,0),
  _xlpm.v, IFERROR(INDEX('3. Enter Indicator Scores'!$D$10:$CZ$161,_xlpm.r,_xlpm.c),""),
  IF(OR(_xlpm.w="",_xlpm.v=""),"",_xlpm.v*_xlpm.w)
)</f>
        <v/>
      </c>
      <c r="BY82" s="93" t="str" cm="1">
        <f t="array" ref="BY82">_xlfn.LET(
  _xlpm.w, BY$11,
  _xlpm.r, MATCH(1,('3. Enter Indicator Scores'!$B$10:$B$161=$B82)*('3. Enter Indicator Scores'!$C$10:$C$161=$C82),0),
  _xlpm.c, MATCH(BY$8,'3. Enter Indicator Scores'!$D$8:$CZ$8,0),
  _xlpm.v, IFERROR(INDEX('3. Enter Indicator Scores'!$D$10:$CZ$161,_xlpm.r,_xlpm.c),""),
  IF(OR(_xlpm.w="",_xlpm.v=""),"",_xlpm.v*_xlpm.w)
)</f>
        <v/>
      </c>
      <c r="BZ82" s="93" t="str" cm="1">
        <f t="array" ref="BZ82">_xlfn.LET(
  _xlpm.w, BZ$11,
  _xlpm.r, MATCH(1,('3. Enter Indicator Scores'!$B$10:$B$161=$B82)*('3. Enter Indicator Scores'!$C$10:$C$161=$C82),0),
  _xlpm.c, MATCH(BZ$8,'3. Enter Indicator Scores'!$D$8:$CZ$8,0),
  _xlpm.v, IFERROR(INDEX('3. Enter Indicator Scores'!$D$10:$CZ$161,_xlpm.r,_xlpm.c),""),
  IF(OR(_xlpm.w="",_xlpm.v=""),"",_xlpm.v*_xlpm.w)
)</f>
        <v/>
      </c>
      <c r="CA82" s="93" t="str" cm="1">
        <f t="array" ref="CA82">_xlfn.LET(
  _xlpm.w, CA$11,
  _xlpm.r, MATCH(1,('3. Enter Indicator Scores'!$B$10:$B$161=$B82)*('3. Enter Indicator Scores'!$C$10:$C$161=$C82),0),
  _xlpm.c, MATCH(CA$8,'3. Enter Indicator Scores'!$D$8:$CZ$8,0),
  _xlpm.v, IFERROR(INDEX('3. Enter Indicator Scores'!$D$10:$CZ$161,_xlpm.r,_xlpm.c),""),
  IF(OR(_xlpm.w="",_xlpm.v=""),"",_xlpm.v*_xlpm.w)
)</f>
        <v/>
      </c>
      <c r="CB82" s="93" t="str" cm="1">
        <f t="array" ref="CB82">_xlfn.LET(
  _xlpm.w, CB$11,
  _xlpm.r, MATCH(1,('3. Enter Indicator Scores'!$B$10:$B$161=$B82)*('3. Enter Indicator Scores'!$C$10:$C$161=$C82),0),
  _xlpm.c, MATCH(CB$8,'3. Enter Indicator Scores'!$D$8:$CZ$8,0),
  _xlpm.v, IFERROR(INDEX('3. Enter Indicator Scores'!$D$10:$CZ$161,_xlpm.r,_xlpm.c),""),
  IF(OR(_xlpm.w="",_xlpm.v=""),"",_xlpm.v*_xlpm.w)
)</f>
        <v/>
      </c>
      <c r="CC82" s="93" t="str" cm="1">
        <f t="array" ref="CC82">_xlfn.LET(
  _xlpm.w, CC$11,
  _xlpm.r, MATCH(1,('3. Enter Indicator Scores'!$B$10:$B$161=$B82)*('3. Enter Indicator Scores'!$C$10:$C$161=$C82),0),
  _xlpm.c, MATCH(CC$8,'3. Enter Indicator Scores'!$D$8:$CZ$8,0),
  _xlpm.v, IFERROR(INDEX('3. Enter Indicator Scores'!$D$10:$CZ$161,_xlpm.r,_xlpm.c),""),
  IF(OR(_xlpm.w="",_xlpm.v=""),"",_xlpm.v*_xlpm.w)
)</f>
        <v/>
      </c>
      <c r="CD82" s="93" t="str" cm="1">
        <f t="array" ref="CD82">_xlfn.LET(
  _xlpm.w, CD$11,
  _xlpm.r, MATCH(1,('3. Enter Indicator Scores'!$B$10:$B$161=$B82)*('3. Enter Indicator Scores'!$C$10:$C$161=$C82),0),
  _xlpm.c, MATCH(CD$8,'3. Enter Indicator Scores'!$D$8:$CZ$8,0),
  _xlpm.v, IFERROR(INDEX('3. Enter Indicator Scores'!$D$10:$CZ$161,_xlpm.r,_xlpm.c),""),
  IF(OR(_xlpm.w="",_xlpm.v=""),"",_xlpm.v*_xlpm.w)
)</f>
        <v/>
      </c>
      <c r="CE82" s="93" t="str" cm="1">
        <f t="array" ref="CE82">_xlfn.LET(
  _xlpm.w, CE$11,
  _xlpm.r, MATCH(1,('3. Enter Indicator Scores'!$B$10:$B$161=$B82)*('3. Enter Indicator Scores'!$C$10:$C$161=$C82),0),
  _xlpm.c, MATCH(CE$8,'3. Enter Indicator Scores'!$D$8:$CZ$8,0),
  _xlpm.v, IFERROR(INDEX('3. Enter Indicator Scores'!$D$10:$CZ$161,_xlpm.r,_xlpm.c),""),
  IF(OR(_xlpm.w="",_xlpm.v=""),"",_xlpm.v*_xlpm.w)
)</f>
        <v/>
      </c>
      <c r="CF82" s="93" t="str" cm="1">
        <f t="array" ref="CF82">_xlfn.LET(
  _xlpm.w, CF$11,
  _xlpm.r, MATCH(1,('3. Enter Indicator Scores'!$B$10:$B$161=$B82)*('3. Enter Indicator Scores'!$C$10:$C$161=$C82),0),
  _xlpm.c, MATCH(CF$8,'3. Enter Indicator Scores'!$D$8:$CZ$8,0),
  _xlpm.v, IFERROR(INDEX('3. Enter Indicator Scores'!$D$10:$CZ$161,_xlpm.r,_xlpm.c),""),
  IF(OR(_xlpm.w="",_xlpm.v=""),"",_xlpm.v*_xlpm.w)
)</f>
        <v/>
      </c>
      <c r="CG82" s="93" t="str" cm="1">
        <f t="array" ref="CG82">_xlfn.LET(
  _xlpm.w, CG$11,
  _xlpm.r, MATCH(1,('3. Enter Indicator Scores'!$B$10:$B$161=$B82)*('3. Enter Indicator Scores'!$C$10:$C$161=$C82),0),
  _xlpm.c, MATCH(CG$8,'3. Enter Indicator Scores'!$D$8:$CZ$8,0),
  _xlpm.v, IFERROR(INDEX('3. Enter Indicator Scores'!$D$10:$CZ$161,_xlpm.r,_xlpm.c),""),
  IF(OR(_xlpm.w="",_xlpm.v=""),"",_xlpm.v*_xlpm.w)
)</f>
        <v/>
      </c>
      <c r="CH82" s="93" t="str" cm="1">
        <f t="array" ref="CH82">_xlfn.LET(
  _xlpm.w, CH$11,
  _xlpm.r, MATCH(1,('3. Enter Indicator Scores'!$B$10:$B$161=$B82)*('3. Enter Indicator Scores'!$C$10:$C$161=$C82),0),
  _xlpm.c, MATCH(CH$8,'3. Enter Indicator Scores'!$D$8:$CZ$8,0),
  _xlpm.v, IFERROR(INDEX('3. Enter Indicator Scores'!$D$10:$CZ$161,_xlpm.r,_xlpm.c),""),
  IF(OR(_xlpm.w="",_xlpm.v=""),"",_xlpm.v*_xlpm.w)
)</f>
        <v/>
      </c>
      <c r="CI82" s="93" t="str" cm="1">
        <f t="array" ref="CI82">_xlfn.LET(
  _xlpm.w, CI$11,
  _xlpm.r, MATCH(1,('3. Enter Indicator Scores'!$B$10:$B$161=$B82)*('3. Enter Indicator Scores'!$C$10:$C$161=$C82),0),
  _xlpm.c, MATCH(CI$8,'3. Enter Indicator Scores'!$D$8:$CZ$8,0),
  _xlpm.v, IFERROR(INDEX('3. Enter Indicator Scores'!$D$10:$CZ$161,_xlpm.r,_xlpm.c),""),
  IF(OR(_xlpm.w="",_xlpm.v=""),"",_xlpm.v*_xlpm.w)
)</f>
        <v/>
      </c>
      <c r="CJ82" s="93" t="str" cm="1">
        <f t="array" ref="CJ82">_xlfn.LET(
  _xlpm.w, CJ$11,
  _xlpm.r, MATCH(1,('3. Enter Indicator Scores'!$B$10:$B$161=$B82)*('3. Enter Indicator Scores'!$C$10:$C$161=$C82),0),
  _xlpm.c, MATCH(CJ$8,'3. Enter Indicator Scores'!$D$8:$CZ$8,0),
  _xlpm.v, IFERROR(INDEX('3. Enter Indicator Scores'!$D$10:$CZ$161,_xlpm.r,_xlpm.c),""),
  IF(OR(_xlpm.w="",_xlpm.v=""),"",_xlpm.v*_xlpm.w)
)</f>
        <v/>
      </c>
      <c r="CK82" s="93" t="str" cm="1">
        <f t="array" ref="CK82">_xlfn.LET(
  _xlpm.w, CK$11,
  _xlpm.r, MATCH(1,('3. Enter Indicator Scores'!$B$10:$B$161=$B82)*('3. Enter Indicator Scores'!$C$10:$C$161=$C82),0),
  _xlpm.c, MATCH(CK$8,'3. Enter Indicator Scores'!$D$8:$CZ$8,0),
  _xlpm.v, IFERROR(INDEX('3. Enter Indicator Scores'!$D$10:$CZ$161,_xlpm.r,_xlpm.c),""),
  IF(OR(_xlpm.w="",_xlpm.v=""),"",_xlpm.v*_xlpm.w)
)</f>
        <v/>
      </c>
      <c r="CL82" s="93" t="str" cm="1">
        <f t="array" ref="CL82">_xlfn.LET(
  _xlpm.w, CL$11,
  _xlpm.r, MATCH(1,('3. Enter Indicator Scores'!$B$10:$B$161=$B82)*('3. Enter Indicator Scores'!$C$10:$C$161=$C82),0),
  _xlpm.c, MATCH(CL$8,'3. Enter Indicator Scores'!$D$8:$CZ$8,0),
  _xlpm.v, IFERROR(INDEX('3. Enter Indicator Scores'!$D$10:$CZ$161,_xlpm.r,_xlpm.c),""),
  IF(OR(_xlpm.w="",_xlpm.v=""),"",_xlpm.v*_xlpm.w)
)</f>
        <v/>
      </c>
      <c r="CM82" s="93" t="str" cm="1">
        <f t="array" ref="CM82">_xlfn.LET(
  _xlpm.w, CM$11,
  _xlpm.r, MATCH(1,('3. Enter Indicator Scores'!$B$10:$B$161=$B82)*('3. Enter Indicator Scores'!$C$10:$C$161=$C82),0),
  _xlpm.c, MATCH(CM$8,'3. Enter Indicator Scores'!$D$8:$CZ$8,0),
  _xlpm.v, IFERROR(INDEX('3. Enter Indicator Scores'!$D$10:$CZ$161,_xlpm.r,_xlpm.c),""),
  IF(OR(_xlpm.w="",_xlpm.v=""),"",_xlpm.v*_xlpm.w)
)</f>
        <v/>
      </c>
      <c r="CN82" s="93" t="str" cm="1">
        <f t="array" ref="CN82">_xlfn.LET(
  _xlpm.w, CN$11,
  _xlpm.r, MATCH(1,('3. Enter Indicator Scores'!$B$10:$B$161=$B82)*('3. Enter Indicator Scores'!$C$10:$C$161=$C82),0),
  _xlpm.c, MATCH(CN$8,'3. Enter Indicator Scores'!$D$8:$CZ$8,0),
  _xlpm.v, IFERROR(INDEX('3. Enter Indicator Scores'!$D$10:$CZ$161,_xlpm.r,_xlpm.c),""),
  IF(OR(_xlpm.w="",_xlpm.v=""),"",_xlpm.v*_xlpm.w)
)</f>
        <v/>
      </c>
      <c r="CO82" s="93" t="str" cm="1">
        <f t="array" ref="CO82">_xlfn.LET(
  _xlpm.w, CO$11,
  _xlpm.r, MATCH(1,('3. Enter Indicator Scores'!$B$10:$B$161=$B82)*('3. Enter Indicator Scores'!$C$10:$C$161=$C82),0),
  _xlpm.c, MATCH(CO$8,'3. Enter Indicator Scores'!$D$8:$CZ$8,0),
  _xlpm.v, IFERROR(INDEX('3. Enter Indicator Scores'!$D$10:$CZ$161,_xlpm.r,_xlpm.c),""),
  IF(OR(_xlpm.w="",_xlpm.v=""),"",_xlpm.v*_xlpm.w)
)</f>
        <v/>
      </c>
      <c r="CP82" s="93" t="str" cm="1">
        <f t="array" ref="CP82">_xlfn.LET(
  _xlpm.w, CP$11,
  _xlpm.r, MATCH(1,('3. Enter Indicator Scores'!$B$10:$B$161=$B82)*('3. Enter Indicator Scores'!$C$10:$C$161=$C82),0),
  _xlpm.c, MATCH(CP$8,'3. Enter Indicator Scores'!$D$8:$CZ$8,0),
  _xlpm.v, IFERROR(INDEX('3. Enter Indicator Scores'!$D$10:$CZ$161,_xlpm.r,_xlpm.c),""),
  IF(OR(_xlpm.w="",_xlpm.v=""),"",_xlpm.v*_xlpm.w)
)</f>
        <v/>
      </c>
      <c r="CQ82" s="93" t="str" cm="1">
        <f t="array" ref="CQ82">_xlfn.LET(
  _xlpm.w, CQ$11,
  _xlpm.r, MATCH(1,('3. Enter Indicator Scores'!$B$10:$B$161=$B82)*('3. Enter Indicator Scores'!$C$10:$C$161=$C82),0),
  _xlpm.c, MATCH(CQ$8,'3. Enter Indicator Scores'!$D$8:$CZ$8,0),
  _xlpm.v, IFERROR(INDEX('3. Enter Indicator Scores'!$D$10:$CZ$161,_xlpm.r,_xlpm.c),""),
  IF(OR(_xlpm.w="",_xlpm.v=""),"",_xlpm.v*_xlpm.w)
)</f>
        <v/>
      </c>
      <c r="CR82" s="93" t="str" cm="1">
        <f t="array" ref="CR82">_xlfn.LET(
  _xlpm.w, CR$11,
  _xlpm.r, MATCH(1,('3. Enter Indicator Scores'!$B$10:$B$161=$B82)*('3. Enter Indicator Scores'!$C$10:$C$161=$C82),0),
  _xlpm.c, MATCH(CR$8,'3. Enter Indicator Scores'!$D$8:$CZ$8,0),
  _xlpm.v, IFERROR(INDEX('3. Enter Indicator Scores'!$D$10:$CZ$161,_xlpm.r,_xlpm.c),""),
  IF(OR(_xlpm.w="",_xlpm.v=""),"",_xlpm.v*_xlpm.w)
)</f>
        <v/>
      </c>
      <c r="CS82" s="93" t="str" cm="1">
        <f t="array" ref="CS82">_xlfn.LET(
  _xlpm.w, CS$11,
  _xlpm.r, MATCH(1,('3. Enter Indicator Scores'!$B$10:$B$161=$B82)*('3. Enter Indicator Scores'!$C$10:$C$161=$C82),0),
  _xlpm.c, MATCH(CS$8,'3. Enter Indicator Scores'!$D$8:$CZ$8,0),
  _xlpm.v, IFERROR(INDEX('3. Enter Indicator Scores'!$D$10:$CZ$161,_xlpm.r,_xlpm.c),""),
  IF(OR(_xlpm.w="",_xlpm.v=""),"",_xlpm.v*_xlpm.w)
)</f>
        <v/>
      </c>
      <c r="CT82" s="93" t="str" cm="1">
        <f t="array" ref="CT82">_xlfn.LET(
  _xlpm.w, CT$11,
  _xlpm.r, MATCH(1,('3. Enter Indicator Scores'!$B$10:$B$161=$B82)*('3. Enter Indicator Scores'!$C$10:$C$161=$C82),0),
  _xlpm.c, MATCH(CT$8,'3. Enter Indicator Scores'!$D$8:$CZ$8,0),
  _xlpm.v, IFERROR(INDEX('3. Enter Indicator Scores'!$D$10:$CZ$161,_xlpm.r,_xlpm.c),""),
  IF(OR(_xlpm.w="",_xlpm.v=""),"",_xlpm.v*_xlpm.w)
)</f>
        <v/>
      </c>
      <c r="CU82" s="93" t="str" cm="1">
        <f t="array" ref="CU82">_xlfn.LET(
  _xlpm.w, CU$11,
  _xlpm.r, MATCH(1,('3. Enter Indicator Scores'!$B$10:$B$161=$B82)*('3. Enter Indicator Scores'!$C$10:$C$161=$C82),0),
  _xlpm.c, MATCH(CU$8,'3. Enter Indicator Scores'!$D$8:$CZ$8,0),
  _xlpm.v, IFERROR(INDEX('3. Enter Indicator Scores'!$D$10:$CZ$161,_xlpm.r,_xlpm.c),""),
  IF(OR(_xlpm.w="",_xlpm.v=""),"",_xlpm.v*_xlpm.w)
)</f>
        <v/>
      </c>
      <c r="CV82" s="93" t="str" cm="1">
        <f t="array" ref="CV82">_xlfn.LET(
  _xlpm.w, CV$11,
  _xlpm.r, MATCH(1,('3. Enter Indicator Scores'!$B$10:$B$161=$B82)*('3. Enter Indicator Scores'!$C$10:$C$161=$C82),0),
  _xlpm.c, MATCH(CV$8,'3. Enter Indicator Scores'!$D$8:$CZ$8,0),
  _xlpm.v, IFERROR(INDEX('3. Enter Indicator Scores'!$D$10:$CZ$161,_xlpm.r,_xlpm.c),""),
  IF(OR(_xlpm.w="",_xlpm.v=""),"",_xlpm.v*_xlpm.w)
)</f>
        <v/>
      </c>
      <c r="CW82" s="93" t="str" cm="1">
        <f t="array" ref="CW82">_xlfn.LET(
  _xlpm.w, CW$11,
  _xlpm.r, MATCH(1,('3. Enter Indicator Scores'!$B$10:$B$161=$B82)*('3. Enter Indicator Scores'!$C$10:$C$161=$C82),0),
  _xlpm.c, MATCH(CW$8,'3. Enter Indicator Scores'!$D$8:$CZ$8,0),
  _xlpm.v, IFERROR(INDEX('3. Enter Indicator Scores'!$D$10:$CZ$161,_xlpm.r,_xlpm.c),""),
  IF(OR(_xlpm.w="",_xlpm.v=""),"",_xlpm.v*_xlpm.w)
)</f>
        <v/>
      </c>
      <c r="CX82" s="93" t="str" cm="1">
        <f t="array" ref="CX82">_xlfn.LET(
  _xlpm.w, CX$11,
  _xlpm.r, MATCH(1,('3. Enter Indicator Scores'!$B$10:$B$161=$B82)*('3. Enter Indicator Scores'!$C$10:$C$161=$C82),0),
  _xlpm.c, MATCH(CX$8,'3. Enter Indicator Scores'!$D$8:$CZ$8,0),
  _xlpm.v, IFERROR(INDEX('3. Enter Indicator Scores'!$D$10:$CZ$161,_xlpm.r,_xlpm.c),""),
  IF(OR(_xlpm.w="",_xlpm.v=""),"",_xlpm.v*_xlpm.w)
)</f>
        <v/>
      </c>
      <c r="CY82" s="93" t="str" cm="1">
        <f t="array" ref="CY82">_xlfn.LET(
  _xlpm.w, CY$11,
  _xlpm.r, MATCH(1,('3. Enter Indicator Scores'!$B$10:$B$161=$B82)*('3. Enter Indicator Scores'!$C$10:$C$161=$C82),0),
  _xlpm.c, MATCH(CY$8,'3. Enter Indicator Scores'!$D$8:$CZ$8,0),
  _xlpm.v, IFERROR(INDEX('3. Enter Indicator Scores'!$D$10:$CZ$161,_xlpm.r,_xlpm.c),""),
  IF(OR(_xlpm.w="",_xlpm.v=""),"",_xlpm.v*_xlpm.w)
)</f>
        <v/>
      </c>
      <c r="CZ82" s="93" t="str" cm="1">
        <f t="array" ref="CZ82">_xlfn.LET(
  _xlpm.w, CZ$11,
  _xlpm.r, MATCH(1,('3. Enter Indicator Scores'!$B$10:$B$161=$B82)*('3. Enter Indicator Scores'!$C$10:$C$161=$C82),0),
  _xlpm.c, MATCH(CZ$8,'3. Enter Indicator Scores'!$D$8:$CZ$8,0),
  _xlpm.v, IFERROR(INDEX('3. Enter Indicator Scores'!$D$10:$CZ$161,_xlpm.r,_xlpm.c),""),
  IF(OR(_xlpm.w="",_xlpm.v=""),"",_xlpm.v*_xlpm.w)
)</f>
        <v/>
      </c>
    </row>
    <row r="83" spans="4:104" x14ac:dyDescent="0.2">
      <c r="D83" s="93" t="str" cm="1">
        <f t="array" ref="D83">_xlfn.LET(
  _xlpm.w, D$11,
  _xlpm.r, MATCH(1,('3. Enter Indicator Scores'!$B$10:$B$161=$B83)*('3. Enter Indicator Scores'!$C$10:$C$161=$C83),0),
  _xlpm.c, MATCH(D$8,'3. Enter Indicator Scores'!$D$8:$CZ$8,0),
  _xlpm.v, IFERROR(INDEX('3. Enter Indicator Scores'!$D$10:$CZ$161,_xlpm.r,_xlpm.c),""),
  IF(OR(_xlpm.w="",_xlpm.v=""),"",_xlpm.v*_xlpm.w)
)</f>
        <v/>
      </c>
      <c r="E83" s="93" t="str" cm="1">
        <f t="array" ref="E83">_xlfn.LET(
  _xlpm.w, E$11,
  _xlpm.r, MATCH(1,('3. Enter Indicator Scores'!$B$10:$B$161=$B83)*('3. Enter Indicator Scores'!$C$10:$C$161=$C83),0),
  _xlpm.c, MATCH(E$8,'3. Enter Indicator Scores'!$D$8:$CZ$8,0),
  _xlpm.v, IFERROR(INDEX('3. Enter Indicator Scores'!$D$10:$CZ$161,_xlpm.r,_xlpm.c),""),
  IF(OR(_xlpm.w="",_xlpm.v=""),"",_xlpm.v*_xlpm.w)
)</f>
        <v/>
      </c>
      <c r="F83" s="93" t="str" cm="1">
        <f t="array" ref="F83">_xlfn.LET(
  _xlpm.w, F$11,
  _xlpm.r, MATCH(1,('3. Enter Indicator Scores'!$B$10:$B$161=$B83)*('3. Enter Indicator Scores'!$C$10:$C$161=$C83),0),
  _xlpm.c, MATCH(F$8,'3. Enter Indicator Scores'!$D$8:$CZ$8,0),
  _xlpm.v, IFERROR(INDEX('3. Enter Indicator Scores'!$D$10:$CZ$161,_xlpm.r,_xlpm.c),""),
  IF(OR(_xlpm.w="",_xlpm.v=""),"",_xlpm.v*_xlpm.w)
)</f>
        <v/>
      </c>
      <c r="G83" s="93" t="str" cm="1">
        <f t="array" ref="G83">_xlfn.LET(
  _xlpm.w, G$11,
  _xlpm.r, MATCH(1,('3. Enter Indicator Scores'!$B$10:$B$161=$B83)*('3. Enter Indicator Scores'!$C$10:$C$161=$C83),0),
  _xlpm.c, MATCH(G$8,'3. Enter Indicator Scores'!$D$8:$CZ$8,0),
  _xlpm.v, IFERROR(INDEX('3. Enter Indicator Scores'!$D$10:$CZ$161,_xlpm.r,_xlpm.c),""),
  IF(OR(_xlpm.w="",_xlpm.v=""),"",_xlpm.v*_xlpm.w)
)</f>
        <v/>
      </c>
      <c r="H83" s="93" t="str" cm="1">
        <f t="array" ref="H83">_xlfn.LET(
  _xlpm.w, H$11,
  _xlpm.r, MATCH(1,('3. Enter Indicator Scores'!$B$10:$B$161=$B83)*('3. Enter Indicator Scores'!$C$10:$C$161=$C83),0),
  _xlpm.c, MATCH(H$8,'3. Enter Indicator Scores'!$D$8:$CZ$8,0),
  _xlpm.v, IFERROR(INDEX('3. Enter Indicator Scores'!$D$10:$CZ$161,_xlpm.r,_xlpm.c),""),
  IF(OR(_xlpm.w="",_xlpm.v=""),"",_xlpm.v*_xlpm.w)
)</f>
        <v/>
      </c>
      <c r="I83" s="93" t="str" cm="1">
        <f t="array" ref="I83">_xlfn.LET(
  _xlpm.w, I$11,
  _xlpm.r, MATCH(1,('3. Enter Indicator Scores'!$B$10:$B$161=$B83)*('3. Enter Indicator Scores'!$C$10:$C$161=$C83),0),
  _xlpm.c, MATCH(I$8,'3. Enter Indicator Scores'!$D$8:$CZ$8,0),
  _xlpm.v, IFERROR(INDEX('3. Enter Indicator Scores'!$D$10:$CZ$161,_xlpm.r,_xlpm.c),""),
  IF(OR(_xlpm.w="",_xlpm.v=""),"",_xlpm.v*_xlpm.w)
)</f>
        <v/>
      </c>
      <c r="J83" s="93" t="str" cm="1">
        <f t="array" ref="J83">_xlfn.LET(
  _xlpm.w, J$11,
  _xlpm.r, MATCH(1,('3. Enter Indicator Scores'!$B$10:$B$161=$B83)*('3. Enter Indicator Scores'!$C$10:$C$161=$C83),0),
  _xlpm.c, MATCH(J$8,'3. Enter Indicator Scores'!$D$8:$CZ$8,0),
  _xlpm.v, IFERROR(INDEX('3. Enter Indicator Scores'!$D$10:$CZ$161,_xlpm.r,_xlpm.c),""),
  IF(OR(_xlpm.w="",_xlpm.v=""),"",_xlpm.v*_xlpm.w)
)</f>
        <v/>
      </c>
      <c r="K83" s="93" t="str" cm="1">
        <f t="array" ref="K83">_xlfn.LET(
  _xlpm.w, K$11,
  _xlpm.r, MATCH(1,('3. Enter Indicator Scores'!$B$10:$B$161=$B83)*('3. Enter Indicator Scores'!$C$10:$C$161=$C83),0),
  _xlpm.c, MATCH(K$8,'3. Enter Indicator Scores'!$D$8:$CZ$8,0),
  _xlpm.v, IFERROR(INDEX('3. Enter Indicator Scores'!$D$10:$CZ$161,_xlpm.r,_xlpm.c),""),
  IF(OR(_xlpm.w="",_xlpm.v=""),"",_xlpm.v*_xlpm.w)
)</f>
        <v/>
      </c>
      <c r="L83" s="93" t="str" cm="1">
        <f t="array" ref="L83">_xlfn.LET(
  _xlpm.w, L$11,
  _xlpm.r, MATCH(1,('3. Enter Indicator Scores'!$B$10:$B$161=$B83)*('3. Enter Indicator Scores'!$C$10:$C$161=$C83),0),
  _xlpm.c, MATCH(L$8,'3. Enter Indicator Scores'!$D$8:$CZ$8,0),
  _xlpm.v, IFERROR(INDEX('3. Enter Indicator Scores'!$D$10:$CZ$161,_xlpm.r,_xlpm.c),""),
  IF(OR(_xlpm.w="",_xlpm.v=""),"",_xlpm.v*_xlpm.w)
)</f>
        <v/>
      </c>
      <c r="M83" s="93" t="str" cm="1">
        <f t="array" ref="M83">_xlfn.LET(
  _xlpm.w, M$11,
  _xlpm.r, MATCH(1,('3. Enter Indicator Scores'!$B$10:$B$161=$B83)*('3. Enter Indicator Scores'!$C$10:$C$161=$C83),0),
  _xlpm.c, MATCH(M$8,'3. Enter Indicator Scores'!$D$8:$CZ$8,0),
  _xlpm.v, IFERROR(INDEX('3. Enter Indicator Scores'!$D$10:$CZ$161,_xlpm.r,_xlpm.c),""),
  IF(OR(_xlpm.w="",_xlpm.v=""),"",_xlpm.v*_xlpm.w)
)</f>
        <v/>
      </c>
      <c r="N83" s="93" t="str" cm="1">
        <f t="array" ref="N83">_xlfn.LET(
  _xlpm.w, N$11,
  _xlpm.r, MATCH(1,('3. Enter Indicator Scores'!$B$10:$B$161=$B83)*('3. Enter Indicator Scores'!$C$10:$C$161=$C83),0),
  _xlpm.c, MATCH(N$8,'3. Enter Indicator Scores'!$D$8:$CZ$8,0),
  _xlpm.v, IFERROR(INDEX('3. Enter Indicator Scores'!$D$10:$CZ$161,_xlpm.r,_xlpm.c),""),
  IF(OR(_xlpm.w="",_xlpm.v=""),"",_xlpm.v*_xlpm.w)
)</f>
        <v/>
      </c>
      <c r="O83" s="93" t="str" cm="1">
        <f t="array" ref="O83">_xlfn.LET(
  _xlpm.w, O$11,
  _xlpm.r, MATCH(1,('3. Enter Indicator Scores'!$B$10:$B$161=$B83)*('3. Enter Indicator Scores'!$C$10:$C$161=$C83),0),
  _xlpm.c, MATCH(O$8,'3. Enter Indicator Scores'!$D$8:$CZ$8,0),
  _xlpm.v, IFERROR(INDEX('3. Enter Indicator Scores'!$D$10:$CZ$161,_xlpm.r,_xlpm.c),""),
  IF(OR(_xlpm.w="",_xlpm.v=""),"",_xlpm.v*_xlpm.w)
)</f>
        <v/>
      </c>
      <c r="P83" s="93" t="str" cm="1">
        <f t="array" ref="P83">_xlfn.LET(
  _xlpm.w, P$11,
  _xlpm.r, MATCH(1,('3. Enter Indicator Scores'!$B$10:$B$161=$B83)*('3. Enter Indicator Scores'!$C$10:$C$161=$C83),0),
  _xlpm.c, MATCH(P$8,'3. Enter Indicator Scores'!$D$8:$CZ$8,0),
  _xlpm.v, IFERROR(INDEX('3. Enter Indicator Scores'!$D$10:$CZ$161,_xlpm.r,_xlpm.c),""),
  IF(OR(_xlpm.w="",_xlpm.v=""),"",_xlpm.v*_xlpm.w)
)</f>
        <v/>
      </c>
      <c r="Q83" s="93" t="str" cm="1">
        <f t="array" ref="Q83">_xlfn.LET(
  _xlpm.w, Q$11,
  _xlpm.r, MATCH(1,('3. Enter Indicator Scores'!$B$10:$B$161=$B83)*('3. Enter Indicator Scores'!$C$10:$C$161=$C83),0),
  _xlpm.c, MATCH(Q$8,'3. Enter Indicator Scores'!$D$8:$CZ$8,0),
  _xlpm.v, IFERROR(INDEX('3. Enter Indicator Scores'!$D$10:$CZ$161,_xlpm.r,_xlpm.c),""),
  IF(OR(_xlpm.w="",_xlpm.v=""),"",_xlpm.v*_xlpm.w)
)</f>
        <v/>
      </c>
      <c r="R83" s="93" t="str" cm="1">
        <f t="array" ref="R83">_xlfn.LET(
  _xlpm.w, R$11,
  _xlpm.r, MATCH(1,('3. Enter Indicator Scores'!$B$10:$B$161=$B83)*('3. Enter Indicator Scores'!$C$10:$C$161=$C83),0),
  _xlpm.c, MATCH(R$8,'3. Enter Indicator Scores'!$D$8:$CZ$8,0),
  _xlpm.v, IFERROR(INDEX('3. Enter Indicator Scores'!$D$10:$CZ$161,_xlpm.r,_xlpm.c),""),
  IF(OR(_xlpm.w="",_xlpm.v=""),"",_xlpm.v*_xlpm.w)
)</f>
        <v/>
      </c>
      <c r="S83" s="93" t="str" cm="1">
        <f t="array" ref="S83">_xlfn.LET(
  _xlpm.w, S$11,
  _xlpm.r, MATCH(1,('3. Enter Indicator Scores'!$B$10:$B$161=$B83)*('3. Enter Indicator Scores'!$C$10:$C$161=$C83),0),
  _xlpm.c, MATCH(S$8,'3. Enter Indicator Scores'!$D$8:$CZ$8,0),
  _xlpm.v, IFERROR(INDEX('3. Enter Indicator Scores'!$D$10:$CZ$161,_xlpm.r,_xlpm.c),""),
  IF(OR(_xlpm.w="",_xlpm.v=""),"",_xlpm.v*_xlpm.w)
)</f>
        <v/>
      </c>
      <c r="T83" s="93" t="str" cm="1">
        <f t="array" ref="T83">_xlfn.LET(
  _xlpm.w, T$11,
  _xlpm.r, MATCH(1,('3. Enter Indicator Scores'!$B$10:$B$161=$B83)*('3. Enter Indicator Scores'!$C$10:$C$161=$C83),0),
  _xlpm.c, MATCH(T$8,'3. Enter Indicator Scores'!$D$8:$CZ$8,0),
  _xlpm.v, IFERROR(INDEX('3. Enter Indicator Scores'!$D$10:$CZ$161,_xlpm.r,_xlpm.c),""),
  IF(OR(_xlpm.w="",_xlpm.v=""),"",_xlpm.v*_xlpm.w)
)</f>
        <v/>
      </c>
      <c r="U83" s="93" t="str" cm="1">
        <f t="array" ref="U83">_xlfn.LET(
  _xlpm.w, U$11,
  _xlpm.r, MATCH(1,('3. Enter Indicator Scores'!$B$10:$B$161=$B83)*('3. Enter Indicator Scores'!$C$10:$C$161=$C83),0),
  _xlpm.c, MATCH(U$8,'3. Enter Indicator Scores'!$D$8:$CZ$8,0),
  _xlpm.v, IFERROR(INDEX('3. Enter Indicator Scores'!$D$10:$CZ$161,_xlpm.r,_xlpm.c),""),
  IF(OR(_xlpm.w="",_xlpm.v=""),"",_xlpm.v*_xlpm.w)
)</f>
        <v/>
      </c>
      <c r="V83" s="93" t="str" cm="1">
        <f t="array" ref="V83">_xlfn.LET(
  _xlpm.w, V$11,
  _xlpm.r, MATCH(1,('3. Enter Indicator Scores'!$B$10:$B$161=$B83)*('3. Enter Indicator Scores'!$C$10:$C$161=$C83),0),
  _xlpm.c, MATCH(V$8,'3. Enter Indicator Scores'!$D$8:$CZ$8,0),
  _xlpm.v, IFERROR(INDEX('3. Enter Indicator Scores'!$D$10:$CZ$161,_xlpm.r,_xlpm.c),""),
  IF(OR(_xlpm.w="",_xlpm.v=""),"",_xlpm.v*_xlpm.w)
)</f>
        <v/>
      </c>
      <c r="W83" s="93" t="str" cm="1">
        <f t="array" ref="W83">_xlfn.LET(
  _xlpm.w, W$11,
  _xlpm.r, MATCH(1,('3. Enter Indicator Scores'!$B$10:$B$161=$B83)*('3. Enter Indicator Scores'!$C$10:$C$161=$C83),0),
  _xlpm.c, MATCH(W$8,'3. Enter Indicator Scores'!$D$8:$CZ$8,0),
  _xlpm.v, IFERROR(INDEX('3. Enter Indicator Scores'!$D$10:$CZ$161,_xlpm.r,_xlpm.c),""),
  IF(OR(_xlpm.w="",_xlpm.v=""),"",_xlpm.v*_xlpm.w)
)</f>
        <v/>
      </c>
      <c r="X83" s="93" t="str" cm="1">
        <f t="array" ref="X83">_xlfn.LET(
  _xlpm.w, X$11,
  _xlpm.r, MATCH(1,('3. Enter Indicator Scores'!$B$10:$B$161=$B83)*('3. Enter Indicator Scores'!$C$10:$C$161=$C83),0),
  _xlpm.c, MATCH(X$8,'3. Enter Indicator Scores'!$D$8:$CZ$8,0),
  _xlpm.v, IFERROR(INDEX('3. Enter Indicator Scores'!$D$10:$CZ$161,_xlpm.r,_xlpm.c),""),
  IF(OR(_xlpm.w="",_xlpm.v=""),"",_xlpm.v*_xlpm.w)
)</f>
        <v/>
      </c>
      <c r="Y83" s="93" t="str" cm="1">
        <f t="array" ref="Y83">_xlfn.LET(
  _xlpm.w, Y$11,
  _xlpm.r, MATCH(1,('3. Enter Indicator Scores'!$B$10:$B$161=$B83)*('3. Enter Indicator Scores'!$C$10:$C$161=$C83),0),
  _xlpm.c, MATCH(Y$8,'3. Enter Indicator Scores'!$D$8:$CZ$8,0),
  _xlpm.v, IFERROR(INDEX('3. Enter Indicator Scores'!$D$10:$CZ$161,_xlpm.r,_xlpm.c),""),
  IF(OR(_xlpm.w="",_xlpm.v=""),"",_xlpm.v*_xlpm.w)
)</f>
        <v/>
      </c>
      <c r="Z83" s="93" t="str" cm="1">
        <f t="array" ref="Z83">_xlfn.LET(
  _xlpm.w, Z$11,
  _xlpm.r, MATCH(1,('3. Enter Indicator Scores'!$B$10:$B$161=$B83)*('3. Enter Indicator Scores'!$C$10:$C$161=$C83),0),
  _xlpm.c, MATCH(Z$8,'3. Enter Indicator Scores'!$D$8:$CZ$8,0),
  _xlpm.v, IFERROR(INDEX('3. Enter Indicator Scores'!$D$10:$CZ$161,_xlpm.r,_xlpm.c),""),
  IF(OR(_xlpm.w="",_xlpm.v=""),"",_xlpm.v*_xlpm.w)
)</f>
        <v/>
      </c>
      <c r="AA83" s="93" t="str" cm="1">
        <f t="array" ref="AA83">_xlfn.LET(
  _xlpm.w, AA$11,
  _xlpm.r, MATCH(1,('3. Enter Indicator Scores'!$B$10:$B$161=$B83)*('3. Enter Indicator Scores'!$C$10:$C$161=$C83),0),
  _xlpm.c, MATCH(AA$8,'3. Enter Indicator Scores'!$D$8:$CZ$8,0),
  _xlpm.v, IFERROR(INDEX('3. Enter Indicator Scores'!$D$10:$CZ$161,_xlpm.r,_xlpm.c),""),
  IF(OR(_xlpm.w="",_xlpm.v=""),"",_xlpm.v*_xlpm.w)
)</f>
        <v/>
      </c>
      <c r="AB83" s="93" t="str" cm="1">
        <f t="array" ref="AB83">_xlfn.LET(
  _xlpm.w, AB$11,
  _xlpm.r, MATCH(1,('3. Enter Indicator Scores'!$B$10:$B$161=$B83)*('3. Enter Indicator Scores'!$C$10:$C$161=$C83),0),
  _xlpm.c, MATCH(AB$8,'3. Enter Indicator Scores'!$D$8:$CZ$8,0),
  _xlpm.v, IFERROR(INDEX('3. Enter Indicator Scores'!$D$10:$CZ$161,_xlpm.r,_xlpm.c),""),
  IF(OR(_xlpm.w="",_xlpm.v=""),"",_xlpm.v*_xlpm.w)
)</f>
        <v/>
      </c>
      <c r="AC83" s="93" t="str" cm="1">
        <f t="array" ref="AC83">_xlfn.LET(
  _xlpm.w, AC$11,
  _xlpm.r, MATCH(1,('3. Enter Indicator Scores'!$B$10:$B$161=$B83)*('3. Enter Indicator Scores'!$C$10:$C$161=$C83),0),
  _xlpm.c, MATCH(AC$8,'3. Enter Indicator Scores'!$D$8:$CZ$8,0),
  _xlpm.v, IFERROR(INDEX('3. Enter Indicator Scores'!$D$10:$CZ$161,_xlpm.r,_xlpm.c),""),
  IF(OR(_xlpm.w="",_xlpm.v=""),"",_xlpm.v*_xlpm.w)
)</f>
        <v/>
      </c>
      <c r="AD83" s="93" t="str" cm="1">
        <f t="array" ref="AD83">_xlfn.LET(
  _xlpm.w, AD$11,
  _xlpm.r, MATCH(1,('3. Enter Indicator Scores'!$B$10:$B$161=$B83)*('3. Enter Indicator Scores'!$C$10:$C$161=$C83),0),
  _xlpm.c, MATCH(AD$8,'3. Enter Indicator Scores'!$D$8:$CZ$8,0),
  _xlpm.v, IFERROR(INDEX('3. Enter Indicator Scores'!$D$10:$CZ$161,_xlpm.r,_xlpm.c),""),
  IF(OR(_xlpm.w="",_xlpm.v=""),"",_xlpm.v*_xlpm.w)
)</f>
        <v/>
      </c>
      <c r="AE83" s="93" t="str" cm="1">
        <f t="array" ref="AE83">_xlfn.LET(
  _xlpm.w, AE$11,
  _xlpm.r, MATCH(1,('3. Enter Indicator Scores'!$B$10:$B$161=$B83)*('3. Enter Indicator Scores'!$C$10:$C$161=$C83),0),
  _xlpm.c, MATCH(AE$8,'3. Enter Indicator Scores'!$D$8:$CZ$8,0),
  _xlpm.v, IFERROR(INDEX('3. Enter Indicator Scores'!$D$10:$CZ$161,_xlpm.r,_xlpm.c),""),
  IF(OR(_xlpm.w="",_xlpm.v=""),"",_xlpm.v*_xlpm.w)
)</f>
        <v/>
      </c>
      <c r="AF83" s="93" t="str" cm="1">
        <f t="array" ref="AF83">_xlfn.LET(
  _xlpm.w, AF$11,
  _xlpm.r, MATCH(1,('3. Enter Indicator Scores'!$B$10:$B$161=$B83)*('3. Enter Indicator Scores'!$C$10:$C$161=$C83),0),
  _xlpm.c, MATCH(AF$8,'3. Enter Indicator Scores'!$D$8:$CZ$8,0),
  _xlpm.v, IFERROR(INDEX('3. Enter Indicator Scores'!$D$10:$CZ$161,_xlpm.r,_xlpm.c),""),
  IF(OR(_xlpm.w="",_xlpm.v=""),"",_xlpm.v*_xlpm.w)
)</f>
        <v/>
      </c>
      <c r="AG83" s="93" t="str" cm="1">
        <f t="array" ref="AG83">_xlfn.LET(
  _xlpm.w, AG$11,
  _xlpm.r, MATCH(1,('3. Enter Indicator Scores'!$B$10:$B$161=$B83)*('3. Enter Indicator Scores'!$C$10:$C$161=$C83),0),
  _xlpm.c, MATCH(AG$8,'3. Enter Indicator Scores'!$D$8:$CZ$8,0),
  _xlpm.v, IFERROR(INDEX('3. Enter Indicator Scores'!$D$10:$CZ$161,_xlpm.r,_xlpm.c),""),
  IF(OR(_xlpm.w="",_xlpm.v=""),"",_xlpm.v*_xlpm.w)
)</f>
        <v/>
      </c>
      <c r="AH83" s="93" t="str" cm="1">
        <f t="array" ref="AH83">_xlfn.LET(
  _xlpm.w, AH$11,
  _xlpm.r, MATCH(1,('3. Enter Indicator Scores'!$B$10:$B$161=$B83)*('3. Enter Indicator Scores'!$C$10:$C$161=$C83),0),
  _xlpm.c, MATCH(AH$8,'3. Enter Indicator Scores'!$D$8:$CZ$8,0),
  _xlpm.v, IFERROR(INDEX('3. Enter Indicator Scores'!$D$10:$CZ$161,_xlpm.r,_xlpm.c),""),
  IF(OR(_xlpm.w="",_xlpm.v=""),"",_xlpm.v*_xlpm.w)
)</f>
        <v/>
      </c>
      <c r="AI83" s="93" t="str" cm="1">
        <f t="array" ref="AI83">_xlfn.LET(
  _xlpm.w, AI$11,
  _xlpm.r, MATCH(1,('3. Enter Indicator Scores'!$B$10:$B$161=$B83)*('3. Enter Indicator Scores'!$C$10:$C$161=$C83),0),
  _xlpm.c, MATCH(AI$8,'3. Enter Indicator Scores'!$D$8:$CZ$8,0),
  _xlpm.v, IFERROR(INDEX('3. Enter Indicator Scores'!$D$10:$CZ$161,_xlpm.r,_xlpm.c),""),
  IF(OR(_xlpm.w="",_xlpm.v=""),"",_xlpm.v*_xlpm.w)
)</f>
        <v/>
      </c>
      <c r="AJ83" s="93" t="str" cm="1">
        <f t="array" ref="AJ83">_xlfn.LET(
  _xlpm.w, AJ$11,
  _xlpm.r, MATCH(1,('3. Enter Indicator Scores'!$B$10:$B$161=$B83)*('3. Enter Indicator Scores'!$C$10:$C$161=$C83),0),
  _xlpm.c, MATCH(AJ$8,'3. Enter Indicator Scores'!$D$8:$CZ$8,0),
  _xlpm.v, IFERROR(INDEX('3. Enter Indicator Scores'!$D$10:$CZ$161,_xlpm.r,_xlpm.c),""),
  IF(OR(_xlpm.w="",_xlpm.v=""),"",_xlpm.v*_xlpm.w)
)</f>
        <v/>
      </c>
      <c r="AK83" s="93" t="str" cm="1">
        <f t="array" ref="AK83">_xlfn.LET(
  _xlpm.w, AK$11,
  _xlpm.r, MATCH(1,('3. Enter Indicator Scores'!$B$10:$B$161=$B83)*('3. Enter Indicator Scores'!$C$10:$C$161=$C83),0),
  _xlpm.c, MATCH(AK$8,'3. Enter Indicator Scores'!$D$8:$CZ$8,0),
  _xlpm.v, IFERROR(INDEX('3. Enter Indicator Scores'!$D$10:$CZ$161,_xlpm.r,_xlpm.c),""),
  IF(OR(_xlpm.w="",_xlpm.v=""),"",_xlpm.v*_xlpm.w)
)</f>
        <v/>
      </c>
      <c r="AL83" s="93" t="str" cm="1">
        <f t="array" ref="AL83">_xlfn.LET(
  _xlpm.w, AL$11,
  _xlpm.r, MATCH(1,('3. Enter Indicator Scores'!$B$10:$B$161=$B83)*('3. Enter Indicator Scores'!$C$10:$C$161=$C83),0),
  _xlpm.c, MATCH(AL$8,'3. Enter Indicator Scores'!$D$8:$CZ$8,0),
  _xlpm.v, IFERROR(INDEX('3. Enter Indicator Scores'!$D$10:$CZ$161,_xlpm.r,_xlpm.c),""),
  IF(OR(_xlpm.w="",_xlpm.v=""),"",_xlpm.v*_xlpm.w)
)</f>
        <v/>
      </c>
      <c r="AM83" s="93" t="str" cm="1">
        <f t="array" ref="AM83">_xlfn.LET(
  _xlpm.w, AM$11,
  _xlpm.r, MATCH(1,('3. Enter Indicator Scores'!$B$10:$B$161=$B83)*('3. Enter Indicator Scores'!$C$10:$C$161=$C83),0),
  _xlpm.c, MATCH(AM$8,'3. Enter Indicator Scores'!$D$8:$CZ$8,0),
  _xlpm.v, IFERROR(INDEX('3. Enter Indicator Scores'!$D$10:$CZ$161,_xlpm.r,_xlpm.c),""),
  IF(OR(_xlpm.w="",_xlpm.v=""),"",_xlpm.v*_xlpm.w)
)</f>
        <v/>
      </c>
      <c r="AN83" s="93" t="str" cm="1">
        <f t="array" ref="AN83">_xlfn.LET(
  _xlpm.w, AN$11,
  _xlpm.r, MATCH(1,('3. Enter Indicator Scores'!$B$10:$B$161=$B83)*('3. Enter Indicator Scores'!$C$10:$C$161=$C83),0),
  _xlpm.c, MATCH(AN$8,'3. Enter Indicator Scores'!$D$8:$CZ$8,0),
  _xlpm.v, IFERROR(INDEX('3. Enter Indicator Scores'!$D$10:$CZ$161,_xlpm.r,_xlpm.c),""),
  IF(OR(_xlpm.w="",_xlpm.v=""),"",_xlpm.v*_xlpm.w)
)</f>
        <v/>
      </c>
      <c r="AO83" s="93" t="str" cm="1">
        <f t="array" ref="AO83">_xlfn.LET(
  _xlpm.w, AO$11,
  _xlpm.r, MATCH(1,('3. Enter Indicator Scores'!$B$10:$B$161=$B83)*('3. Enter Indicator Scores'!$C$10:$C$161=$C83),0),
  _xlpm.c, MATCH(AO$8,'3. Enter Indicator Scores'!$D$8:$CZ$8,0),
  _xlpm.v, IFERROR(INDEX('3. Enter Indicator Scores'!$D$10:$CZ$161,_xlpm.r,_xlpm.c),""),
  IF(OR(_xlpm.w="",_xlpm.v=""),"",_xlpm.v*_xlpm.w)
)</f>
        <v/>
      </c>
      <c r="AP83" s="93" t="str" cm="1">
        <f t="array" ref="AP83">_xlfn.LET(
  _xlpm.w, AP$11,
  _xlpm.r, MATCH(1,('3. Enter Indicator Scores'!$B$10:$B$161=$B83)*('3. Enter Indicator Scores'!$C$10:$C$161=$C83),0),
  _xlpm.c, MATCH(AP$8,'3. Enter Indicator Scores'!$D$8:$CZ$8,0),
  _xlpm.v, IFERROR(INDEX('3. Enter Indicator Scores'!$D$10:$CZ$161,_xlpm.r,_xlpm.c),""),
  IF(OR(_xlpm.w="",_xlpm.v=""),"",_xlpm.v*_xlpm.w)
)</f>
        <v/>
      </c>
      <c r="AQ83" s="93" t="str" cm="1">
        <f t="array" ref="AQ83">_xlfn.LET(
  _xlpm.w, AQ$11,
  _xlpm.r, MATCH(1,('3. Enter Indicator Scores'!$B$10:$B$161=$B83)*('3. Enter Indicator Scores'!$C$10:$C$161=$C83),0),
  _xlpm.c, MATCH(AQ$8,'3. Enter Indicator Scores'!$D$8:$CZ$8,0),
  _xlpm.v, IFERROR(INDEX('3. Enter Indicator Scores'!$D$10:$CZ$161,_xlpm.r,_xlpm.c),""),
  IF(OR(_xlpm.w="",_xlpm.v=""),"",_xlpm.v*_xlpm.w)
)</f>
        <v/>
      </c>
      <c r="AR83" s="93" t="str" cm="1">
        <f t="array" ref="AR83">_xlfn.LET(
  _xlpm.w, AR$11,
  _xlpm.r, MATCH(1,('3. Enter Indicator Scores'!$B$10:$B$161=$B83)*('3. Enter Indicator Scores'!$C$10:$C$161=$C83),0),
  _xlpm.c, MATCH(AR$8,'3. Enter Indicator Scores'!$D$8:$CZ$8,0),
  _xlpm.v, IFERROR(INDEX('3. Enter Indicator Scores'!$D$10:$CZ$161,_xlpm.r,_xlpm.c),""),
  IF(OR(_xlpm.w="",_xlpm.v=""),"",_xlpm.v*_xlpm.w)
)</f>
        <v/>
      </c>
      <c r="AS83" s="93" t="str" cm="1">
        <f t="array" ref="AS83">_xlfn.LET(
  _xlpm.w, AS$11,
  _xlpm.r, MATCH(1,('3. Enter Indicator Scores'!$B$10:$B$161=$B83)*('3. Enter Indicator Scores'!$C$10:$C$161=$C83),0),
  _xlpm.c, MATCH(AS$8,'3. Enter Indicator Scores'!$D$8:$CZ$8,0),
  _xlpm.v, IFERROR(INDEX('3. Enter Indicator Scores'!$D$10:$CZ$161,_xlpm.r,_xlpm.c),""),
  IF(OR(_xlpm.w="",_xlpm.v=""),"",_xlpm.v*_xlpm.w)
)</f>
        <v/>
      </c>
      <c r="AT83" s="93" t="str" cm="1">
        <f t="array" ref="AT83">_xlfn.LET(
  _xlpm.w, AT$11,
  _xlpm.r, MATCH(1,('3. Enter Indicator Scores'!$B$10:$B$161=$B83)*('3. Enter Indicator Scores'!$C$10:$C$161=$C83),0),
  _xlpm.c, MATCH(AT$8,'3. Enter Indicator Scores'!$D$8:$CZ$8,0),
  _xlpm.v, IFERROR(INDEX('3. Enter Indicator Scores'!$D$10:$CZ$161,_xlpm.r,_xlpm.c),""),
  IF(OR(_xlpm.w="",_xlpm.v=""),"",_xlpm.v*_xlpm.w)
)</f>
        <v/>
      </c>
      <c r="AU83" s="93" t="str" cm="1">
        <f t="array" ref="AU83">_xlfn.LET(
  _xlpm.w, AU$11,
  _xlpm.r, MATCH(1,('3. Enter Indicator Scores'!$B$10:$B$161=$B83)*('3. Enter Indicator Scores'!$C$10:$C$161=$C83),0),
  _xlpm.c, MATCH(AU$8,'3. Enter Indicator Scores'!$D$8:$CZ$8,0),
  _xlpm.v, IFERROR(INDEX('3. Enter Indicator Scores'!$D$10:$CZ$161,_xlpm.r,_xlpm.c),""),
  IF(OR(_xlpm.w="",_xlpm.v=""),"",_xlpm.v*_xlpm.w)
)</f>
        <v/>
      </c>
      <c r="AV83" s="93" t="str" cm="1">
        <f t="array" ref="AV83">_xlfn.LET(
  _xlpm.w, AV$11,
  _xlpm.r, MATCH(1,('3. Enter Indicator Scores'!$B$10:$B$161=$B83)*('3. Enter Indicator Scores'!$C$10:$C$161=$C83),0),
  _xlpm.c, MATCH(AV$8,'3. Enter Indicator Scores'!$D$8:$CZ$8,0),
  _xlpm.v, IFERROR(INDEX('3. Enter Indicator Scores'!$D$10:$CZ$161,_xlpm.r,_xlpm.c),""),
  IF(OR(_xlpm.w="",_xlpm.v=""),"",_xlpm.v*_xlpm.w)
)</f>
        <v/>
      </c>
      <c r="AW83" s="93" t="str" cm="1">
        <f t="array" ref="AW83">_xlfn.LET(
  _xlpm.w, AW$11,
  _xlpm.r, MATCH(1,('3. Enter Indicator Scores'!$B$10:$B$161=$B83)*('3. Enter Indicator Scores'!$C$10:$C$161=$C83),0),
  _xlpm.c, MATCH(AW$8,'3. Enter Indicator Scores'!$D$8:$CZ$8,0),
  _xlpm.v, IFERROR(INDEX('3. Enter Indicator Scores'!$D$10:$CZ$161,_xlpm.r,_xlpm.c),""),
  IF(OR(_xlpm.w="",_xlpm.v=""),"",_xlpm.v*_xlpm.w)
)</f>
        <v/>
      </c>
      <c r="AX83" s="93" t="str" cm="1">
        <f t="array" ref="AX83">_xlfn.LET(
  _xlpm.w, AX$11,
  _xlpm.r, MATCH(1,('3. Enter Indicator Scores'!$B$10:$B$161=$B83)*('3. Enter Indicator Scores'!$C$10:$C$161=$C83),0),
  _xlpm.c, MATCH(AX$8,'3. Enter Indicator Scores'!$D$8:$CZ$8,0),
  _xlpm.v, IFERROR(INDEX('3. Enter Indicator Scores'!$D$10:$CZ$161,_xlpm.r,_xlpm.c),""),
  IF(OR(_xlpm.w="",_xlpm.v=""),"",_xlpm.v*_xlpm.w)
)</f>
        <v/>
      </c>
      <c r="AY83" s="93" t="str" cm="1">
        <f t="array" ref="AY83">_xlfn.LET(
  _xlpm.w, AY$11,
  _xlpm.r, MATCH(1,('3. Enter Indicator Scores'!$B$10:$B$161=$B83)*('3. Enter Indicator Scores'!$C$10:$C$161=$C83),0),
  _xlpm.c, MATCH(AY$8,'3. Enter Indicator Scores'!$D$8:$CZ$8,0),
  _xlpm.v, IFERROR(INDEX('3. Enter Indicator Scores'!$D$10:$CZ$161,_xlpm.r,_xlpm.c),""),
  IF(OR(_xlpm.w="",_xlpm.v=""),"",_xlpm.v*_xlpm.w)
)</f>
        <v/>
      </c>
      <c r="AZ83" s="93" t="str" cm="1">
        <f t="array" ref="AZ83">_xlfn.LET(
  _xlpm.w, AZ$11,
  _xlpm.r, MATCH(1,('3. Enter Indicator Scores'!$B$10:$B$161=$B83)*('3. Enter Indicator Scores'!$C$10:$C$161=$C83),0),
  _xlpm.c, MATCH(AZ$8,'3. Enter Indicator Scores'!$D$8:$CZ$8,0),
  _xlpm.v, IFERROR(INDEX('3. Enter Indicator Scores'!$D$10:$CZ$161,_xlpm.r,_xlpm.c),""),
  IF(OR(_xlpm.w="",_xlpm.v=""),"",_xlpm.v*_xlpm.w)
)</f>
        <v/>
      </c>
      <c r="BA83" s="93" t="str" cm="1">
        <f t="array" ref="BA83">_xlfn.LET(
  _xlpm.w, BA$11,
  _xlpm.r, MATCH(1,('3. Enter Indicator Scores'!$B$10:$B$161=$B83)*('3. Enter Indicator Scores'!$C$10:$C$161=$C83),0),
  _xlpm.c, MATCH(BA$8,'3. Enter Indicator Scores'!$D$8:$CZ$8,0),
  _xlpm.v, IFERROR(INDEX('3. Enter Indicator Scores'!$D$10:$CZ$161,_xlpm.r,_xlpm.c),""),
  IF(OR(_xlpm.w="",_xlpm.v=""),"",_xlpm.v*_xlpm.w)
)</f>
        <v/>
      </c>
      <c r="BB83" s="93" t="str" cm="1">
        <f t="array" ref="BB83">_xlfn.LET(
  _xlpm.w, BB$11,
  _xlpm.r, MATCH(1,('3. Enter Indicator Scores'!$B$10:$B$161=$B83)*('3. Enter Indicator Scores'!$C$10:$C$161=$C83),0),
  _xlpm.c, MATCH(BB$8,'3. Enter Indicator Scores'!$D$8:$CZ$8,0),
  _xlpm.v, IFERROR(INDEX('3. Enter Indicator Scores'!$D$10:$CZ$161,_xlpm.r,_xlpm.c),""),
  IF(OR(_xlpm.w="",_xlpm.v=""),"",_xlpm.v*_xlpm.w)
)</f>
        <v/>
      </c>
      <c r="BC83" s="93" t="str" cm="1">
        <f t="array" ref="BC83">_xlfn.LET(
  _xlpm.w, BC$11,
  _xlpm.r, MATCH(1,('3. Enter Indicator Scores'!$B$10:$B$161=$B83)*('3. Enter Indicator Scores'!$C$10:$C$161=$C83),0),
  _xlpm.c, MATCH(BC$8,'3. Enter Indicator Scores'!$D$8:$CZ$8,0),
  _xlpm.v, IFERROR(INDEX('3. Enter Indicator Scores'!$D$10:$CZ$161,_xlpm.r,_xlpm.c),""),
  IF(OR(_xlpm.w="",_xlpm.v=""),"",_xlpm.v*_xlpm.w)
)</f>
        <v/>
      </c>
      <c r="BD83" s="93" t="str" cm="1">
        <f t="array" ref="BD83">_xlfn.LET(
  _xlpm.w, BD$11,
  _xlpm.r, MATCH(1,('3. Enter Indicator Scores'!$B$10:$B$161=$B83)*('3. Enter Indicator Scores'!$C$10:$C$161=$C83),0),
  _xlpm.c, MATCH(BD$8,'3. Enter Indicator Scores'!$D$8:$CZ$8,0),
  _xlpm.v, IFERROR(INDEX('3. Enter Indicator Scores'!$D$10:$CZ$161,_xlpm.r,_xlpm.c),""),
  IF(OR(_xlpm.w="",_xlpm.v=""),"",_xlpm.v*_xlpm.w)
)</f>
        <v/>
      </c>
      <c r="BE83" s="93" t="str" cm="1">
        <f t="array" ref="BE83">_xlfn.LET(
  _xlpm.w, BE$11,
  _xlpm.r, MATCH(1,('3. Enter Indicator Scores'!$B$10:$B$161=$B83)*('3. Enter Indicator Scores'!$C$10:$C$161=$C83),0),
  _xlpm.c, MATCH(BE$8,'3. Enter Indicator Scores'!$D$8:$CZ$8,0),
  _xlpm.v, IFERROR(INDEX('3. Enter Indicator Scores'!$D$10:$CZ$161,_xlpm.r,_xlpm.c),""),
  IF(OR(_xlpm.w="",_xlpm.v=""),"",_xlpm.v*_xlpm.w)
)</f>
        <v/>
      </c>
      <c r="BF83" s="93" t="str" cm="1">
        <f t="array" ref="BF83">_xlfn.LET(
  _xlpm.w, BF$11,
  _xlpm.r, MATCH(1,('3. Enter Indicator Scores'!$B$10:$B$161=$B83)*('3. Enter Indicator Scores'!$C$10:$C$161=$C83),0),
  _xlpm.c, MATCH(BF$8,'3. Enter Indicator Scores'!$D$8:$CZ$8,0),
  _xlpm.v, IFERROR(INDEX('3. Enter Indicator Scores'!$D$10:$CZ$161,_xlpm.r,_xlpm.c),""),
  IF(OR(_xlpm.w="",_xlpm.v=""),"",_xlpm.v*_xlpm.w)
)</f>
        <v/>
      </c>
      <c r="BG83" s="93" t="str" cm="1">
        <f t="array" ref="BG83">_xlfn.LET(
  _xlpm.w, BG$11,
  _xlpm.r, MATCH(1,('3. Enter Indicator Scores'!$B$10:$B$161=$B83)*('3. Enter Indicator Scores'!$C$10:$C$161=$C83),0),
  _xlpm.c, MATCH(BG$8,'3. Enter Indicator Scores'!$D$8:$CZ$8,0),
  _xlpm.v, IFERROR(INDEX('3. Enter Indicator Scores'!$D$10:$CZ$161,_xlpm.r,_xlpm.c),""),
  IF(OR(_xlpm.w="",_xlpm.v=""),"",_xlpm.v*_xlpm.w)
)</f>
        <v/>
      </c>
      <c r="BH83" s="93" t="str" cm="1">
        <f t="array" ref="BH83">_xlfn.LET(
  _xlpm.w, BH$11,
  _xlpm.r, MATCH(1,('3. Enter Indicator Scores'!$B$10:$B$161=$B83)*('3. Enter Indicator Scores'!$C$10:$C$161=$C83),0),
  _xlpm.c, MATCH(BH$8,'3. Enter Indicator Scores'!$D$8:$CZ$8,0),
  _xlpm.v, IFERROR(INDEX('3. Enter Indicator Scores'!$D$10:$CZ$161,_xlpm.r,_xlpm.c),""),
  IF(OR(_xlpm.w="",_xlpm.v=""),"",_xlpm.v*_xlpm.w)
)</f>
        <v/>
      </c>
      <c r="BI83" s="93" t="str" cm="1">
        <f t="array" ref="BI83">_xlfn.LET(
  _xlpm.w, BI$11,
  _xlpm.r, MATCH(1,('3. Enter Indicator Scores'!$B$10:$B$161=$B83)*('3. Enter Indicator Scores'!$C$10:$C$161=$C83),0),
  _xlpm.c, MATCH(BI$8,'3. Enter Indicator Scores'!$D$8:$CZ$8,0),
  _xlpm.v, IFERROR(INDEX('3. Enter Indicator Scores'!$D$10:$CZ$161,_xlpm.r,_xlpm.c),""),
  IF(OR(_xlpm.w="",_xlpm.v=""),"",_xlpm.v*_xlpm.w)
)</f>
        <v/>
      </c>
      <c r="BJ83" s="93" t="str" cm="1">
        <f t="array" ref="BJ83">_xlfn.LET(
  _xlpm.w, BJ$11,
  _xlpm.r, MATCH(1,('3. Enter Indicator Scores'!$B$10:$B$161=$B83)*('3. Enter Indicator Scores'!$C$10:$C$161=$C83),0),
  _xlpm.c, MATCH(BJ$8,'3. Enter Indicator Scores'!$D$8:$CZ$8,0),
  _xlpm.v, IFERROR(INDEX('3. Enter Indicator Scores'!$D$10:$CZ$161,_xlpm.r,_xlpm.c),""),
  IF(OR(_xlpm.w="",_xlpm.v=""),"",_xlpm.v*_xlpm.w)
)</f>
        <v/>
      </c>
      <c r="BK83" s="93" t="str" cm="1">
        <f t="array" ref="BK83">_xlfn.LET(
  _xlpm.w, BK$11,
  _xlpm.r, MATCH(1,('3. Enter Indicator Scores'!$B$10:$B$161=$B83)*('3. Enter Indicator Scores'!$C$10:$C$161=$C83),0),
  _xlpm.c, MATCH(BK$8,'3. Enter Indicator Scores'!$D$8:$CZ$8,0),
  _xlpm.v, IFERROR(INDEX('3. Enter Indicator Scores'!$D$10:$CZ$161,_xlpm.r,_xlpm.c),""),
  IF(OR(_xlpm.w="",_xlpm.v=""),"",_xlpm.v*_xlpm.w)
)</f>
        <v/>
      </c>
      <c r="BL83" s="93" t="str" cm="1">
        <f t="array" ref="BL83">_xlfn.LET(
  _xlpm.w, BL$11,
  _xlpm.r, MATCH(1,('3. Enter Indicator Scores'!$B$10:$B$161=$B83)*('3. Enter Indicator Scores'!$C$10:$C$161=$C83),0),
  _xlpm.c, MATCH(BL$8,'3. Enter Indicator Scores'!$D$8:$CZ$8,0),
  _xlpm.v, IFERROR(INDEX('3. Enter Indicator Scores'!$D$10:$CZ$161,_xlpm.r,_xlpm.c),""),
  IF(OR(_xlpm.w="",_xlpm.v=""),"",_xlpm.v*_xlpm.w)
)</f>
        <v/>
      </c>
      <c r="BM83" s="93" t="str" cm="1">
        <f t="array" ref="BM83">_xlfn.LET(
  _xlpm.w, BM$11,
  _xlpm.r, MATCH(1,('3. Enter Indicator Scores'!$B$10:$B$161=$B83)*('3. Enter Indicator Scores'!$C$10:$C$161=$C83),0),
  _xlpm.c, MATCH(BM$8,'3. Enter Indicator Scores'!$D$8:$CZ$8,0),
  _xlpm.v, IFERROR(INDEX('3. Enter Indicator Scores'!$D$10:$CZ$161,_xlpm.r,_xlpm.c),""),
  IF(OR(_xlpm.w="",_xlpm.v=""),"",_xlpm.v*_xlpm.w)
)</f>
        <v/>
      </c>
      <c r="BN83" s="93" t="str" cm="1">
        <f t="array" ref="BN83">_xlfn.LET(
  _xlpm.w, BN$11,
  _xlpm.r, MATCH(1,('3. Enter Indicator Scores'!$B$10:$B$161=$B83)*('3. Enter Indicator Scores'!$C$10:$C$161=$C83),0),
  _xlpm.c, MATCH(BN$8,'3. Enter Indicator Scores'!$D$8:$CZ$8,0),
  _xlpm.v, IFERROR(INDEX('3. Enter Indicator Scores'!$D$10:$CZ$161,_xlpm.r,_xlpm.c),""),
  IF(OR(_xlpm.w="",_xlpm.v=""),"",_xlpm.v*_xlpm.w)
)</f>
        <v/>
      </c>
      <c r="BO83" s="93" t="str" cm="1">
        <f t="array" ref="BO83">_xlfn.LET(
  _xlpm.w, BO$11,
  _xlpm.r, MATCH(1,('3. Enter Indicator Scores'!$B$10:$B$161=$B83)*('3. Enter Indicator Scores'!$C$10:$C$161=$C83),0),
  _xlpm.c, MATCH(BO$8,'3. Enter Indicator Scores'!$D$8:$CZ$8,0),
  _xlpm.v, IFERROR(INDEX('3. Enter Indicator Scores'!$D$10:$CZ$161,_xlpm.r,_xlpm.c),""),
  IF(OR(_xlpm.w="",_xlpm.v=""),"",_xlpm.v*_xlpm.w)
)</f>
        <v/>
      </c>
      <c r="BP83" s="93" t="str" cm="1">
        <f t="array" ref="BP83">_xlfn.LET(
  _xlpm.w, BP$11,
  _xlpm.r, MATCH(1,('3. Enter Indicator Scores'!$B$10:$B$161=$B83)*('3. Enter Indicator Scores'!$C$10:$C$161=$C83),0),
  _xlpm.c, MATCH(BP$8,'3. Enter Indicator Scores'!$D$8:$CZ$8,0),
  _xlpm.v, IFERROR(INDEX('3. Enter Indicator Scores'!$D$10:$CZ$161,_xlpm.r,_xlpm.c),""),
  IF(OR(_xlpm.w="",_xlpm.v=""),"",_xlpm.v*_xlpm.w)
)</f>
        <v/>
      </c>
      <c r="BQ83" s="93" t="str" cm="1">
        <f t="array" ref="BQ83">_xlfn.LET(
  _xlpm.w, BQ$11,
  _xlpm.r, MATCH(1,('3. Enter Indicator Scores'!$B$10:$B$161=$B83)*('3. Enter Indicator Scores'!$C$10:$C$161=$C83),0),
  _xlpm.c, MATCH(BQ$8,'3. Enter Indicator Scores'!$D$8:$CZ$8,0),
  _xlpm.v, IFERROR(INDEX('3. Enter Indicator Scores'!$D$10:$CZ$161,_xlpm.r,_xlpm.c),""),
  IF(OR(_xlpm.w="",_xlpm.v=""),"",_xlpm.v*_xlpm.w)
)</f>
        <v/>
      </c>
      <c r="BR83" s="93" t="str" cm="1">
        <f t="array" ref="BR83">_xlfn.LET(
  _xlpm.w, BR$11,
  _xlpm.r, MATCH(1,('3. Enter Indicator Scores'!$B$10:$B$161=$B83)*('3. Enter Indicator Scores'!$C$10:$C$161=$C83),0),
  _xlpm.c, MATCH(BR$8,'3. Enter Indicator Scores'!$D$8:$CZ$8,0),
  _xlpm.v, IFERROR(INDEX('3. Enter Indicator Scores'!$D$10:$CZ$161,_xlpm.r,_xlpm.c),""),
  IF(OR(_xlpm.w="",_xlpm.v=""),"",_xlpm.v*_xlpm.w)
)</f>
        <v/>
      </c>
      <c r="BS83" s="93" t="str" cm="1">
        <f t="array" ref="BS83">_xlfn.LET(
  _xlpm.w, BS$11,
  _xlpm.r, MATCH(1,('3. Enter Indicator Scores'!$B$10:$B$161=$B83)*('3. Enter Indicator Scores'!$C$10:$C$161=$C83),0),
  _xlpm.c, MATCH(BS$8,'3. Enter Indicator Scores'!$D$8:$CZ$8,0),
  _xlpm.v, IFERROR(INDEX('3. Enter Indicator Scores'!$D$10:$CZ$161,_xlpm.r,_xlpm.c),""),
  IF(OR(_xlpm.w="",_xlpm.v=""),"",_xlpm.v*_xlpm.w)
)</f>
        <v/>
      </c>
      <c r="BT83" s="93" t="str" cm="1">
        <f t="array" ref="BT83">_xlfn.LET(
  _xlpm.w, BT$11,
  _xlpm.r, MATCH(1,('3. Enter Indicator Scores'!$B$10:$B$161=$B83)*('3. Enter Indicator Scores'!$C$10:$C$161=$C83),0),
  _xlpm.c, MATCH(BT$8,'3. Enter Indicator Scores'!$D$8:$CZ$8,0),
  _xlpm.v, IFERROR(INDEX('3. Enter Indicator Scores'!$D$10:$CZ$161,_xlpm.r,_xlpm.c),""),
  IF(OR(_xlpm.w="",_xlpm.v=""),"",_xlpm.v*_xlpm.w)
)</f>
        <v/>
      </c>
      <c r="BU83" s="93" t="str" cm="1">
        <f t="array" ref="BU83">_xlfn.LET(
  _xlpm.w, BU$11,
  _xlpm.r, MATCH(1,('3. Enter Indicator Scores'!$B$10:$B$161=$B83)*('3. Enter Indicator Scores'!$C$10:$C$161=$C83),0),
  _xlpm.c, MATCH(BU$8,'3. Enter Indicator Scores'!$D$8:$CZ$8,0),
  _xlpm.v, IFERROR(INDEX('3. Enter Indicator Scores'!$D$10:$CZ$161,_xlpm.r,_xlpm.c),""),
  IF(OR(_xlpm.w="",_xlpm.v=""),"",_xlpm.v*_xlpm.w)
)</f>
        <v/>
      </c>
      <c r="BV83" s="93" t="str" cm="1">
        <f t="array" ref="BV83">_xlfn.LET(
  _xlpm.w, BV$11,
  _xlpm.r, MATCH(1,('3. Enter Indicator Scores'!$B$10:$B$161=$B83)*('3. Enter Indicator Scores'!$C$10:$C$161=$C83),0),
  _xlpm.c, MATCH(BV$8,'3. Enter Indicator Scores'!$D$8:$CZ$8,0),
  _xlpm.v, IFERROR(INDEX('3. Enter Indicator Scores'!$D$10:$CZ$161,_xlpm.r,_xlpm.c),""),
  IF(OR(_xlpm.w="",_xlpm.v=""),"",_xlpm.v*_xlpm.w)
)</f>
        <v/>
      </c>
      <c r="BW83" s="93" t="str" cm="1">
        <f t="array" ref="BW83">_xlfn.LET(
  _xlpm.w, BW$11,
  _xlpm.r, MATCH(1,('3. Enter Indicator Scores'!$B$10:$B$161=$B83)*('3. Enter Indicator Scores'!$C$10:$C$161=$C83),0),
  _xlpm.c, MATCH(BW$8,'3. Enter Indicator Scores'!$D$8:$CZ$8,0),
  _xlpm.v, IFERROR(INDEX('3. Enter Indicator Scores'!$D$10:$CZ$161,_xlpm.r,_xlpm.c),""),
  IF(OR(_xlpm.w="",_xlpm.v=""),"",_xlpm.v*_xlpm.w)
)</f>
        <v/>
      </c>
      <c r="BX83" s="93" t="str" cm="1">
        <f t="array" ref="BX83">_xlfn.LET(
  _xlpm.w, BX$11,
  _xlpm.r, MATCH(1,('3. Enter Indicator Scores'!$B$10:$B$161=$B83)*('3. Enter Indicator Scores'!$C$10:$C$161=$C83),0),
  _xlpm.c, MATCH(BX$8,'3. Enter Indicator Scores'!$D$8:$CZ$8,0),
  _xlpm.v, IFERROR(INDEX('3. Enter Indicator Scores'!$D$10:$CZ$161,_xlpm.r,_xlpm.c),""),
  IF(OR(_xlpm.w="",_xlpm.v=""),"",_xlpm.v*_xlpm.w)
)</f>
        <v/>
      </c>
      <c r="BY83" s="93" t="str" cm="1">
        <f t="array" ref="BY83">_xlfn.LET(
  _xlpm.w, BY$11,
  _xlpm.r, MATCH(1,('3. Enter Indicator Scores'!$B$10:$B$161=$B83)*('3. Enter Indicator Scores'!$C$10:$C$161=$C83),0),
  _xlpm.c, MATCH(BY$8,'3. Enter Indicator Scores'!$D$8:$CZ$8,0),
  _xlpm.v, IFERROR(INDEX('3. Enter Indicator Scores'!$D$10:$CZ$161,_xlpm.r,_xlpm.c),""),
  IF(OR(_xlpm.w="",_xlpm.v=""),"",_xlpm.v*_xlpm.w)
)</f>
        <v/>
      </c>
      <c r="BZ83" s="93" t="str" cm="1">
        <f t="array" ref="BZ83">_xlfn.LET(
  _xlpm.w, BZ$11,
  _xlpm.r, MATCH(1,('3. Enter Indicator Scores'!$B$10:$B$161=$B83)*('3. Enter Indicator Scores'!$C$10:$C$161=$C83),0),
  _xlpm.c, MATCH(BZ$8,'3. Enter Indicator Scores'!$D$8:$CZ$8,0),
  _xlpm.v, IFERROR(INDEX('3. Enter Indicator Scores'!$D$10:$CZ$161,_xlpm.r,_xlpm.c),""),
  IF(OR(_xlpm.w="",_xlpm.v=""),"",_xlpm.v*_xlpm.w)
)</f>
        <v/>
      </c>
      <c r="CA83" s="93" t="str" cm="1">
        <f t="array" ref="CA83">_xlfn.LET(
  _xlpm.w, CA$11,
  _xlpm.r, MATCH(1,('3. Enter Indicator Scores'!$B$10:$B$161=$B83)*('3. Enter Indicator Scores'!$C$10:$C$161=$C83),0),
  _xlpm.c, MATCH(CA$8,'3. Enter Indicator Scores'!$D$8:$CZ$8,0),
  _xlpm.v, IFERROR(INDEX('3. Enter Indicator Scores'!$D$10:$CZ$161,_xlpm.r,_xlpm.c),""),
  IF(OR(_xlpm.w="",_xlpm.v=""),"",_xlpm.v*_xlpm.w)
)</f>
        <v/>
      </c>
      <c r="CB83" s="93" t="str" cm="1">
        <f t="array" ref="CB83">_xlfn.LET(
  _xlpm.w, CB$11,
  _xlpm.r, MATCH(1,('3. Enter Indicator Scores'!$B$10:$B$161=$B83)*('3. Enter Indicator Scores'!$C$10:$C$161=$C83),0),
  _xlpm.c, MATCH(CB$8,'3. Enter Indicator Scores'!$D$8:$CZ$8,0),
  _xlpm.v, IFERROR(INDEX('3. Enter Indicator Scores'!$D$10:$CZ$161,_xlpm.r,_xlpm.c),""),
  IF(OR(_xlpm.w="",_xlpm.v=""),"",_xlpm.v*_xlpm.w)
)</f>
        <v/>
      </c>
      <c r="CC83" s="93" t="str" cm="1">
        <f t="array" ref="CC83">_xlfn.LET(
  _xlpm.w, CC$11,
  _xlpm.r, MATCH(1,('3. Enter Indicator Scores'!$B$10:$B$161=$B83)*('3. Enter Indicator Scores'!$C$10:$C$161=$C83),0),
  _xlpm.c, MATCH(CC$8,'3. Enter Indicator Scores'!$D$8:$CZ$8,0),
  _xlpm.v, IFERROR(INDEX('3. Enter Indicator Scores'!$D$10:$CZ$161,_xlpm.r,_xlpm.c),""),
  IF(OR(_xlpm.w="",_xlpm.v=""),"",_xlpm.v*_xlpm.w)
)</f>
        <v/>
      </c>
      <c r="CD83" s="93" t="str" cm="1">
        <f t="array" ref="CD83">_xlfn.LET(
  _xlpm.w, CD$11,
  _xlpm.r, MATCH(1,('3. Enter Indicator Scores'!$B$10:$B$161=$B83)*('3. Enter Indicator Scores'!$C$10:$C$161=$C83),0),
  _xlpm.c, MATCH(CD$8,'3. Enter Indicator Scores'!$D$8:$CZ$8,0),
  _xlpm.v, IFERROR(INDEX('3. Enter Indicator Scores'!$D$10:$CZ$161,_xlpm.r,_xlpm.c),""),
  IF(OR(_xlpm.w="",_xlpm.v=""),"",_xlpm.v*_xlpm.w)
)</f>
        <v/>
      </c>
      <c r="CE83" s="93" t="str" cm="1">
        <f t="array" ref="CE83">_xlfn.LET(
  _xlpm.w, CE$11,
  _xlpm.r, MATCH(1,('3. Enter Indicator Scores'!$B$10:$B$161=$B83)*('3. Enter Indicator Scores'!$C$10:$C$161=$C83),0),
  _xlpm.c, MATCH(CE$8,'3. Enter Indicator Scores'!$D$8:$CZ$8,0),
  _xlpm.v, IFERROR(INDEX('3. Enter Indicator Scores'!$D$10:$CZ$161,_xlpm.r,_xlpm.c),""),
  IF(OR(_xlpm.w="",_xlpm.v=""),"",_xlpm.v*_xlpm.w)
)</f>
        <v/>
      </c>
      <c r="CF83" s="93" t="str" cm="1">
        <f t="array" ref="CF83">_xlfn.LET(
  _xlpm.w, CF$11,
  _xlpm.r, MATCH(1,('3. Enter Indicator Scores'!$B$10:$B$161=$B83)*('3. Enter Indicator Scores'!$C$10:$C$161=$C83),0),
  _xlpm.c, MATCH(CF$8,'3. Enter Indicator Scores'!$D$8:$CZ$8,0),
  _xlpm.v, IFERROR(INDEX('3. Enter Indicator Scores'!$D$10:$CZ$161,_xlpm.r,_xlpm.c),""),
  IF(OR(_xlpm.w="",_xlpm.v=""),"",_xlpm.v*_xlpm.w)
)</f>
        <v/>
      </c>
      <c r="CG83" s="93" t="str" cm="1">
        <f t="array" ref="CG83">_xlfn.LET(
  _xlpm.w, CG$11,
  _xlpm.r, MATCH(1,('3. Enter Indicator Scores'!$B$10:$B$161=$B83)*('3. Enter Indicator Scores'!$C$10:$C$161=$C83),0),
  _xlpm.c, MATCH(CG$8,'3. Enter Indicator Scores'!$D$8:$CZ$8,0),
  _xlpm.v, IFERROR(INDEX('3. Enter Indicator Scores'!$D$10:$CZ$161,_xlpm.r,_xlpm.c),""),
  IF(OR(_xlpm.w="",_xlpm.v=""),"",_xlpm.v*_xlpm.w)
)</f>
        <v/>
      </c>
      <c r="CH83" s="93" t="str" cm="1">
        <f t="array" ref="CH83">_xlfn.LET(
  _xlpm.w, CH$11,
  _xlpm.r, MATCH(1,('3. Enter Indicator Scores'!$B$10:$B$161=$B83)*('3. Enter Indicator Scores'!$C$10:$C$161=$C83),0),
  _xlpm.c, MATCH(CH$8,'3. Enter Indicator Scores'!$D$8:$CZ$8,0),
  _xlpm.v, IFERROR(INDEX('3. Enter Indicator Scores'!$D$10:$CZ$161,_xlpm.r,_xlpm.c),""),
  IF(OR(_xlpm.w="",_xlpm.v=""),"",_xlpm.v*_xlpm.w)
)</f>
        <v/>
      </c>
      <c r="CI83" s="93" t="str" cm="1">
        <f t="array" ref="CI83">_xlfn.LET(
  _xlpm.w, CI$11,
  _xlpm.r, MATCH(1,('3. Enter Indicator Scores'!$B$10:$B$161=$B83)*('3. Enter Indicator Scores'!$C$10:$C$161=$C83),0),
  _xlpm.c, MATCH(CI$8,'3. Enter Indicator Scores'!$D$8:$CZ$8,0),
  _xlpm.v, IFERROR(INDEX('3. Enter Indicator Scores'!$D$10:$CZ$161,_xlpm.r,_xlpm.c),""),
  IF(OR(_xlpm.w="",_xlpm.v=""),"",_xlpm.v*_xlpm.w)
)</f>
        <v/>
      </c>
      <c r="CJ83" s="93" t="str" cm="1">
        <f t="array" ref="CJ83">_xlfn.LET(
  _xlpm.w, CJ$11,
  _xlpm.r, MATCH(1,('3. Enter Indicator Scores'!$B$10:$B$161=$B83)*('3. Enter Indicator Scores'!$C$10:$C$161=$C83),0),
  _xlpm.c, MATCH(CJ$8,'3. Enter Indicator Scores'!$D$8:$CZ$8,0),
  _xlpm.v, IFERROR(INDEX('3. Enter Indicator Scores'!$D$10:$CZ$161,_xlpm.r,_xlpm.c),""),
  IF(OR(_xlpm.w="",_xlpm.v=""),"",_xlpm.v*_xlpm.w)
)</f>
        <v/>
      </c>
      <c r="CK83" s="93" t="str" cm="1">
        <f t="array" ref="CK83">_xlfn.LET(
  _xlpm.w, CK$11,
  _xlpm.r, MATCH(1,('3. Enter Indicator Scores'!$B$10:$B$161=$B83)*('3. Enter Indicator Scores'!$C$10:$C$161=$C83),0),
  _xlpm.c, MATCH(CK$8,'3. Enter Indicator Scores'!$D$8:$CZ$8,0),
  _xlpm.v, IFERROR(INDEX('3. Enter Indicator Scores'!$D$10:$CZ$161,_xlpm.r,_xlpm.c),""),
  IF(OR(_xlpm.w="",_xlpm.v=""),"",_xlpm.v*_xlpm.w)
)</f>
        <v/>
      </c>
      <c r="CL83" s="93" t="str" cm="1">
        <f t="array" ref="CL83">_xlfn.LET(
  _xlpm.w, CL$11,
  _xlpm.r, MATCH(1,('3. Enter Indicator Scores'!$B$10:$B$161=$B83)*('3. Enter Indicator Scores'!$C$10:$C$161=$C83),0),
  _xlpm.c, MATCH(CL$8,'3. Enter Indicator Scores'!$D$8:$CZ$8,0),
  _xlpm.v, IFERROR(INDEX('3. Enter Indicator Scores'!$D$10:$CZ$161,_xlpm.r,_xlpm.c),""),
  IF(OR(_xlpm.w="",_xlpm.v=""),"",_xlpm.v*_xlpm.w)
)</f>
        <v/>
      </c>
      <c r="CM83" s="93" t="str" cm="1">
        <f t="array" ref="CM83">_xlfn.LET(
  _xlpm.w, CM$11,
  _xlpm.r, MATCH(1,('3. Enter Indicator Scores'!$B$10:$B$161=$B83)*('3. Enter Indicator Scores'!$C$10:$C$161=$C83),0),
  _xlpm.c, MATCH(CM$8,'3. Enter Indicator Scores'!$D$8:$CZ$8,0),
  _xlpm.v, IFERROR(INDEX('3. Enter Indicator Scores'!$D$10:$CZ$161,_xlpm.r,_xlpm.c),""),
  IF(OR(_xlpm.w="",_xlpm.v=""),"",_xlpm.v*_xlpm.w)
)</f>
        <v/>
      </c>
      <c r="CN83" s="93" t="str" cm="1">
        <f t="array" ref="CN83">_xlfn.LET(
  _xlpm.w, CN$11,
  _xlpm.r, MATCH(1,('3. Enter Indicator Scores'!$B$10:$B$161=$B83)*('3. Enter Indicator Scores'!$C$10:$C$161=$C83),0),
  _xlpm.c, MATCH(CN$8,'3. Enter Indicator Scores'!$D$8:$CZ$8,0),
  _xlpm.v, IFERROR(INDEX('3. Enter Indicator Scores'!$D$10:$CZ$161,_xlpm.r,_xlpm.c),""),
  IF(OR(_xlpm.w="",_xlpm.v=""),"",_xlpm.v*_xlpm.w)
)</f>
        <v/>
      </c>
      <c r="CO83" s="93" t="str" cm="1">
        <f t="array" ref="CO83">_xlfn.LET(
  _xlpm.w, CO$11,
  _xlpm.r, MATCH(1,('3. Enter Indicator Scores'!$B$10:$B$161=$B83)*('3. Enter Indicator Scores'!$C$10:$C$161=$C83),0),
  _xlpm.c, MATCH(CO$8,'3. Enter Indicator Scores'!$D$8:$CZ$8,0),
  _xlpm.v, IFERROR(INDEX('3. Enter Indicator Scores'!$D$10:$CZ$161,_xlpm.r,_xlpm.c),""),
  IF(OR(_xlpm.w="",_xlpm.v=""),"",_xlpm.v*_xlpm.w)
)</f>
        <v/>
      </c>
      <c r="CP83" s="93" t="str" cm="1">
        <f t="array" ref="CP83">_xlfn.LET(
  _xlpm.w, CP$11,
  _xlpm.r, MATCH(1,('3. Enter Indicator Scores'!$B$10:$B$161=$B83)*('3. Enter Indicator Scores'!$C$10:$C$161=$C83),0),
  _xlpm.c, MATCH(CP$8,'3. Enter Indicator Scores'!$D$8:$CZ$8,0),
  _xlpm.v, IFERROR(INDEX('3. Enter Indicator Scores'!$D$10:$CZ$161,_xlpm.r,_xlpm.c),""),
  IF(OR(_xlpm.w="",_xlpm.v=""),"",_xlpm.v*_xlpm.w)
)</f>
        <v/>
      </c>
      <c r="CQ83" s="93" t="str" cm="1">
        <f t="array" ref="CQ83">_xlfn.LET(
  _xlpm.w, CQ$11,
  _xlpm.r, MATCH(1,('3. Enter Indicator Scores'!$B$10:$B$161=$B83)*('3. Enter Indicator Scores'!$C$10:$C$161=$C83),0),
  _xlpm.c, MATCH(CQ$8,'3. Enter Indicator Scores'!$D$8:$CZ$8,0),
  _xlpm.v, IFERROR(INDEX('3. Enter Indicator Scores'!$D$10:$CZ$161,_xlpm.r,_xlpm.c),""),
  IF(OR(_xlpm.w="",_xlpm.v=""),"",_xlpm.v*_xlpm.w)
)</f>
        <v/>
      </c>
      <c r="CR83" s="93" t="str" cm="1">
        <f t="array" ref="CR83">_xlfn.LET(
  _xlpm.w, CR$11,
  _xlpm.r, MATCH(1,('3. Enter Indicator Scores'!$B$10:$B$161=$B83)*('3. Enter Indicator Scores'!$C$10:$C$161=$C83),0),
  _xlpm.c, MATCH(CR$8,'3. Enter Indicator Scores'!$D$8:$CZ$8,0),
  _xlpm.v, IFERROR(INDEX('3. Enter Indicator Scores'!$D$10:$CZ$161,_xlpm.r,_xlpm.c),""),
  IF(OR(_xlpm.w="",_xlpm.v=""),"",_xlpm.v*_xlpm.w)
)</f>
        <v/>
      </c>
      <c r="CS83" s="93" t="str" cm="1">
        <f t="array" ref="CS83">_xlfn.LET(
  _xlpm.w, CS$11,
  _xlpm.r, MATCH(1,('3. Enter Indicator Scores'!$B$10:$B$161=$B83)*('3. Enter Indicator Scores'!$C$10:$C$161=$C83),0),
  _xlpm.c, MATCH(CS$8,'3. Enter Indicator Scores'!$D$8:$CZ$8,0),
  _xlpm.v, IFERROR(INDEX('3. Enter Indicator Scores'!$D$10:$CZ$161,_xlpm.r,_xlpm.c),""),
  IF(OR(_xlpm.w="",_xlpm.v=""),"",_xlpm.v*_xlpm.w)
)</f>
        <v/>
      </c>
      <c r="CT83" s="93" t="str" cm="1">
        <f t="array" ref="CT83">_xlfn.LET(
  _xlpm.w, CT$11,
  _xlpm.r, MATCH(1,('3. Enter Indicator Scores'!$B$10:$B$161=$B83)*('3. Enter Indicator Scores'!$C$10:$C$161=$C83),0),
  _xlpm.c, MATCH(CT$8,'3. Enter Indicator Scores'!$D$8:$CZ$8,0),
  _xlpm.v, IFERROR(INDEX('3. Enter Indicator Scores'!$D$10:$CZ$161,_xlpm.r,_xlpm.c),""),
  IF(OR(_xlpm.w="",_xlpm.v=""),"",_xlpm.v*_xlpm.w)
)</f>
        <v/>
      </c>
      <c r="CU83" s="93" t="str" cm="1">
        <f t="array" ref="CU83">_xlfn.LET(
  _xlpm.w, CU$11,
  _xlpm.r, MATCH(1,('3. Enter Indicator Scores'!$B$10:$B$161=$B83)*('3. Enter Indicator Scores'!$C$10:$C$161=$C83),0),
  _xlpm.c, MATCH(CU$8,'3. Enter Indicator Scores'!$D$8:$CZ$8,0),
  _xlpm.v, IFERROR(INDEX('3. Enter Indicator Scores'!$D$10:$CZ$161,_xlpm.r,_xlpm.c),""),
  IF(OR(_xlpm.w="",_xlpm.v=""),"",_xlpm.v*_xlpm.w)
)</f>
        <v/>
      </c>
      <c r="CV83" s="93" t="str" cm="1">
        <f t="array" ref="CV83">_xlfn.LET(
  _xlpm.w, CV$11,
  _xlpm.r, MATCH(1,('3. Enter Indicator Scores'!$B$10:$B$161=$B83)*('3. Enter Indicator Scores'!$C$10:$C$161=$C83),0),
  _xlpm.c, MATCH(CV$8,'3. Enter Indicator Scores'!$D$8:$CZ$8,0),
  _xlpm.v, IFERROR(INDEX('3. Enter Indicator Scores'!$D$10:$CZ$161,_xlpm.r,_xlpm.c),""),
  IF(OR(_xlpm.w="",_xlpm.v=""),"",_xlpm.v*_xlpm.w)
)</f>
        <v/>
      </c>
      <c r="CW83" s="93" t="str" cm="1">
        <f t="array" ref="CW83">_xlfn.LET(
  _xlpm.w, CW$11,
  _xlpm.r, MATCH(1,('3. Enter Indicator Scores'!$B$10:$B$161=$B83)*('3. Enter Indicator Scores'!$C$10:$C$161=$C83),0),
  _xlpm.c, MATCH(CW$8,'3. Enter Indicator Scores'!$D$8:$CZ$8,0),
  _xlpm.v, IFERROR(INDEX('3. Enter Indicator Scores'!$D$10:$CZ$161,_xlpm.r,_xlpm.c),""),
  IF(OR(_xlpm.w="",_xlpm.v=""),"",_xlpm.v*_xlpm.w)
)</f>
        <v/>
      </c>
      <c r="CX83" s="93" t="str" cm="1">
        <f t="array" ref="CX83">_xlfn.LET(
  _xlpm.w, CX$11,
  _xlpm.r, MATCH(1,('3. Enter Indicator Scores'!$B$10:$B$161=$B83)*('3. Enter Indicator Scores'!$C$10:$C$161=$C83),0),
  _xlpm.c, MATCH(CX$8,'3. Enter Indicator Scores'!$D$8:$CZ$8,0),
  _xlpm.v, IFERROR(INDEX('3. Enter Indicator Scores'!$D$10:$CZ$161,_xlpm.r,_xlpm.c),""),
  IF(OR(_xlpm.w="",_xlpm.v=""),"",_xlpm.v*_xlpm.w)
)</f>
        <v/>
      </c>
      <c r="CY83" s="93" t="str" cm="1">
        <f t="array" ref="CY83">_xlfn.LET(
  _xlpm.w, CY$11,
  _xlpm.r, MATCH(1,('3. Enter Indicator Scores'!$B$10:$B$161=$B83)*('3. Enter Indicator Scores'!$C$10:$C$161=$C83),0),
  _xlpm.c, MATCH(CY$8,'3. Enter Indicator Scores'!$D$8:$CZ$8,0),
  _xlpm.v, IFERROR(INDEX('3. Enter Indicator Scores'!$D$10:$CZ$161,_xlpm.r,_xlpm.c),""),
  IF(OR(_xlpm.w="",_xlpm.v=""),"",_xlpm.v*_xlpm.w)
)</f>
        <v/>
      </c>
      <c r="CZ83" s="93" t="str" cm="1">
        <f t="array" ref="CZ83">_xlfn.LET(
  _xlpm.w, CZ$11,
  _xlpm.r, MATCH(1,('3. Enter Indicator Scores'!$B$10:$B$161=$B83)*('3. Enter Indicator Scores'!$C$10:$C$161=$C83),0),
  _xlpm.c, MATCH(CZ$8,'3. Enter Indicator Scores'!$D$8:$CZ$8,0),
  _xlpm.v, IFERROR(INDEX('3. Enter Indicator Scores'!$D$10:$CZ$161,_xlpm.r,_xlpm.c),""),
  IF(OR(_xlpm.w="",_xlpm.v=""),"",_xlpm.v*_xlpm.w)
)</f>
        <v/>
      </c>
    </row>
    <row r="84" spans="4:104" x14ac:dyDescent="0.2">
      <c r="D84" s="93" t="str" cm="1">
        <f t="array" ref="D84">_xlfn.LET(
  _xlpm.w, D$11,
  _xlpm.r, MATCH(1,('3. Enter Indicator Scores'!$B$10:$B$161=$B84)*('3. Enter Indicator Scores'!$C$10:$C$161=$C84),0),
  _xlpm.c, MATCH(D$8,'3. Enter Indicator Scores'!$D$8:$CZ$8,0),
  _xlpm.v, IFERROR(INDEX('3. Enter Indicator Scores'!$D$10:$CZ$161,_xlpm.r,_xlpm.c),""),
  IF(OR(_xlpm.w="",_xlpm.v=""),"",_xlpm.v*_xlpm.w)
)</f>
        <v/>
      </c>
      <c r="E84" s="93" t="str" cm="1">
        <f t="array" ref="E84">_xlfn.LET(
  _xlpm.w, E$11,
  _xlpm.r, MATCH(1,('3. Enter Indicator Scores'!$B$10:$B$161=$B84)*('3. Enter Indicator Scores'!$C$10:$C$161=$C84),0),
  _xlpm.c, MATCH(E$8,'3. Enter Indicator Scores'!$D$8:$CZ$8,0),
  _xlpm.v, IFERROR(INDEX('3. Enter Indicator Scores'!$D$10:$CZ$161,_xlpm.r,_xlpm.c),""),
  IF(OR(_xlpm.w="",_xlpm.v=""),"",_xlpm.v*_xlpm.w)
)</f>
        <v/>
      </c>
      <c r="F84" s="93" t="str" cm="1">
        <f t="array" ref="F84">_xlfn.LET(
  _xlpm.w, F$11,
  _xlpm.r, MATCH(1,('3. Enter Indicator Scores'!$B$10:$B$161=$B84)*('3. Enter Indicator Scores'!$C$10:$C$161=$C84),0),
  _xlpm.c, MATCH(F$8,'3. Enter Indicator Scores'!$D$8:$CZ$8,0),
  _xlpm.v, IFERROR(INDEX('3. Enter Indicator Scores'!$D$10:$CZ$161,_xlpm.r,_xlpm.c),""),
  IF(OR(_xlpm.w="",_xlpm.v=""),"",_xlpm.v*_xlpm.w)
)</f>
        <v/>
      </c>
      <c r="G84" s="93" t="str" cm="1">
        <f t="array" ref="G84">_xlfn.LET(
  _xlpm.w, G$11,
  _xlpm.r, MATCH(1,('3. Enter Indicator Scores'!$B$10:$B$161=$B84)*('3. Enter Indicator Scores'!$C$10:$C$161=$C84),0),
  _xlpm.c, MATCH(G$8,'3. Enter Indicator Scores'!$D$8:$CZ$8,0),
  _xlpm.v, IFERROR(INDEX('3. Enter Indicator Scores'!$D$10:$CZ$161,_xlpm.r,_xlpm.c),""),
  IF(OR(_xlpm.w="",_xlpm.v=""),"",_xlpm.v*_xlpm.w)
)</f>
        <v/>
      </c>
      <c r="H84" s="93" t="str" cm="1">
        <f t="array" ref="H84">_xlfn.LET(
  _xlpm.w, H$11,
  _xlpm.r, MATCH(1,('3. Enter Indicator Scores'!$B$10:$B$161=$B84)*('3. Enter Indicator Scores'!$C$10:$C$161=$C84),0),
  _xlpm.c, MATCH(H$8,'3. Enter Indicator Scores'!$D$8:$CZ$8,0),
  _xlpm.v, IFERROR(INDEX('3. Enter Indicator Scores'!$D$10:$CZ$161,_xlpm.r,_xlpm.c),""),
  IF(OR(_xlpm.w="",_xlpm.v=""),"",_xlpm.v*_xlpm.w)
)</f>
        <v/>
      </c>
      <c r="I84" s="93" t="str" cm="1">
        <f t="array" ref="I84">_xlfn.LET(
  _xlpm.w, I$11,
  _xlpm.r, MATCH(1,('3. Enter Indicator Scores'!$B$10:$B$161=$B84)*('3. Enter Indicator Scores'!$C$10:$C$161=$C84),0),
  _xlpm.c, MATCH(I$8,'3. Enter Indicator Scores'!$D$8:$CZ$8,0),
  _xlpm.v, IFERROR(INDEX('3. Enter Indicator Scores'!$D$10:$CZ$161,_xlpm.r,_xlpm.c),""),
  IF(OR(_xlpm.w="",_xlpm.v=""),"",_xlpm.v*_xlpm.w)
)</f>
        <v/>
      </c>
      <c r="J84" s="93" t="str" cm="1">
        <f t="array" ref="J84">_xlfn.LET(
  _xlpm.w, J$11,
  _xlpm.r, MATCH(1,('3. Enter Indicator Scores'!$B$10:$B$161=$B84)*('3. Enter Indicator Scores'!$C$10:$C$161=$C84),0),
  _xlpm.c, MATCH(J$8,'3. Enter Indicator Scores'!$D$8:$CZ$8,0),
  _xlpm.v, IFERROR(INDEX('3. Enter Indicator Scores'!$D$10:$CZ$161,_xlpm.r,_xlpm.c),""),
  IF(OR(_xlpm.w="",_xlpm.v=""),"",_xlpm.v*_xlpm.w)
)</f>
        <v/>
      </c>
      <c r="K84" s="93" t="str" cm="1">
        <f t="array" ref="K84">_xlfn.LET(
  _xlpm.w, K$11,
  _xlpm.r, MATCH(1,('3. Enter Indicator Scores'!$B$10:$B$161=$B84)*('3. Enter Indicator Scores'!$C$10:$C$161=$C84),0),
  _xlpm.c, MATCH(K$8,'3. Enter Indicator Scores'!$D$8:$CZ$8,0),
  _xlpm.v, IFERROR(INDEX('3. Enter Indicator Scores'!$D$10:$CZ$161,_xlpm.r,_xlpm.c),""),
  IF(OR(_xlpm.w="",_xlpm.v=""),"",_xlpm.v*_xlpm.w)
)</f>
        <v/>
      </c>
      <c r="L84" s="93" t="str" cm="1">
        <f t="array" ref="L84">_xlfn.LET(
  _xlpm.w, L$11,
  _xlpm.r, MATCH(1,('3. Enter Indicator Scores'!$B$10:$B$161=$B84)*('3. Enter Indicator Scores'!$C$10:$C$161=$C84),0),
  _xlpm.c, MATCH(L$8,'3. Enter Indicator Scores'!$D$8:$CZ$8,0),
  _xlpm.v, IFERROR(INDEX('3. Enter Indicator Scores'!$D$10:$CZ$161,_xlpm.r,_xlpm.c),""),
  IF(OR(_xlpm.w="",_xlpm.v=""),"",_xlpm.v*_xlpm.w)
)</f>
        <v/>
      </c>
      <c r="M84" s="93" t="str" cm="1">
        <f t="array" ref="M84">_xlfn.LET(
  _xlpm.w, M$11,
  _xlpm.r, MATCH(1,('3. Enter Indicator Scores'!$B$10:$B$161=$B84)*('3. Enter Indicator Scores'!$C$10:$C$161=$C84),0),
  _xlpm.c, MATCH(M$8,'3. Enter Indicator Scores'!$D$8:$CZ$8,0),
  _xlpm.v, IFERROR(INDEX('3. Enter Indicator Scores'!$D$10:$CZ$161,_xlpm.r,_xlpm.c),""),
  IF(OR(_xlpm.w="",_xlpm.v=""),"",_xlpm.v*_xlpm.w)
)</f>
        <v/>
      </c>
      <c r="N84" s="93" t="str" cm="1">
        <f t="array" ref="N84">_xlfn.LET(
  _xlpm.w, N$11,
  _xlpm.r, MATCH(1,('3. Enter Indicator Scores'!$B$10:$B$161=$B84)*('3. Enter Indicator Scores'!$C$10:$C$161=$C84),0),
  _xlpm.c, MATCH(N$8,'3. Enter Indicator Scores'!$D$8:$CZ$8,0),
  _xlpm.v, IFERROR(INDEX('3. Enter Indicator Scores'!$D$10:$CZ$161,_xlpm.r,_xlpm.c),""),
  IF(OR(_xlpm.w="",_xlpm.v=""),"",_xlpm.v*_xlpm.w)
)</f>
        <v/>
      </c>
      <c r="O84" s="93" t="str" cm="1">
        <f t="array" ref="O84">_xlfn.LET(
  _xlpm.w, O$11,
  _xlpm.r, MATCH(1,('3. Enter Indicator Scores'!$B$10:$B$161=$B84)*('3. Enter Indicator Scores'!$C$10:$C$161=$C84),0),
  _xlpm.c, MATCH(O$8,'3. Enter Indicator Scores'!$D$8:$CZ$8,0),
  _xlpm.v, IFERROR(INDEX('3. Enter Indicator Scores'!$D$10:$CZ$161,_xlpm.r,_xlpm.c),""),
  IF(OR(_xlpm.w="",_xlpm.v=""),"",_xlpm.v*_xlpm.w)
)</f>
        <v/>
      </c>
      <c r="P84" s="93" t="str" cm="1">
        <f t="array" ref="P84">_xlfn.LET(
  _xlpm.w, P$11,
  _xlpm.r, MATCH(1,('3. Enter Indicator Scores'!$B$10:$B$161=$B84)*('3. Enter Indicator Scores'!$C$10:$C$161=$C84),0),
  _xlpm.c, MATCH(P$8,'3. Enter Indicator Scores'!$D$8:$CZ$8,0),
  _xlpm.v, IFERROR(INDEX('3. Enter Indicator Scores'!$D$10:$CZ$161,_xlpm.r,_xlpm.c),""),
  IF(OR(_xlpm.w="",_xlpm.v=""),"",_xlpm.v*_xlpm.w)
)</f>
        <v/>
      </c>
      <c r="Q84" s="93" t="str" cm="1">
        <f t="array" ref="Q84">_xlfn.LET(
  _xlpm.w, Q$11,
  _xlpm.r, MATCH(1,('3. Enter Indicator Scores'!$B$10:$B$161=$B84)*('3. Enter Indicator Scores'!$C$10:$C$161=$C84),0),
  _xlpm.c, MATCH(Q$8,'3. Enter Indicator Scores'!$D$8:$CZ$8,0),
  _xlpm.v, IFERROR(INDEX('3. Enter Indicator Scores'!$D$10:$CZ$161,_xlpm.r,_xlpm.c),""),
  IF(OR(_xlpm.w="",_xlpm.v=""),"",_xlpm.v*_xlpm.w)
)</f>
        <v/>
      </c>
      <c r="R84" s="93" t="str" cm="1">
        <f t="array" ref="R84">_xlfn.LET(
  _xlpm.w, R$11,
  _xlpm.r, MATCH(1,('3. Enter Indicator Scores'!$B$10:$B$161=$B84)*('3. Enter Indicator Scores'!$C$10:$C$161=$C84),0),
  _xlpm.c, MATCH(R$8,'3. Enter Indicator Scores'!$D$8:$CZ$8,0),
  _xlpm.v, IFERROR(INDEX('3. Enter Indicator Scores'!$D$10:$CZ$161,_xlpm.r,_xlpm.c),""),
  IF(OR(_xlpm.w="",_xlpm.v=""),"",_xlpm.v*_xlpm.w)
)</f>
        <v/>
      </c>
      <c r="S84" s="93" t="str" cm="1">
        <f t="array" ref="S84">_xlfn.LET(
  _xlpm.w, S$11,
  _xlpm.r, MATCH(1,('3. Enter Indicator Scores'!$B$10:$B$161=$B84)*('3. Enter Indicator Scores'!$C$10:$C$161=$C84),0),
  _xlpm.c, MATCH(S$8,'3. Enter Indicator Scores'!$D$8:$CZ$8,0),
  _xlpm.v, IFERROR(INDEX('3. Enter Indicator Scores'!$D$10:$CZ$161,_xlpm.r,_xlpm.c),""),
  IF(OR(_xlpm.w="",_xlpm.v=""),"",_xlpm.v*_xlpm.w)
)</f>
        <v/>
      </c>
      <c r="T84" s="93" t="str" cm="1">
        <f t="array" ref="T84">_xlfn.LET(
  _xlpm.w, T$11,
  _xlpm.r, MATCH(1,('3. Enter Indicator Scores'!$B$10:$B$161=$B84)*('3. Enter Indicator Scores'!$C$10:$C$161=$C84),0),
  _xlpm.c, MATCH(T$8,'3. Enter Indicator Scores'!$D$8:$CZ$8,0),
  _xlpm.v, IFERROR(INDEX('3. Enter Indicator Scores'!$D$10:$CZ$161,_xlpm.r,_xlpm.c),""),
  IF(OR(_xlpm.w="",_xlpm.v=""),"",_xlpm.v*_xlpm.w)
)</f>
        <v/>
      </c>
      <c r="U84" s="93" t="str" cm="1">
        <f t="array" ref="U84">_xlfn.LET(
  _xlpm.w, U$11,
  _xlpm.r, MATCH(1,('3. Enter Indicator Scores'!$B$10:$B$161=$B84)*('3. Enter Indicator Scores'!$C$10:$C$161=$C84),0),
  _xlpm.c, MATCH(U$8,'3. Enter Indicator Scores'!$D$8:$CZ$8,0),
  _xlpm.v, IFERROR(INDEX('3. Enter Indicator Scores'!$D$10:$CZ$161,_xlpm.r,_xlpm.c),""),
  IF(OR(_xlpm.w="",_xlpm.v=""),"",_xlpm.v*_xlpm.w)
)</f>
        <v/>
      </c>
      <c r="V84" s="93" t="str" cm="1">
        <f t="array" ref="V84">_xlfn.LET(
  _xlpm.w, V$11,
  _xlpm.r, MATCH(1,('3. Enter Indicator Scores'!$B$10:$B$161=$B84)*('3. Enter Indicator Scores'!$C$10:$C$161=$C84),0),
  _xlpm.c, MATCH(V$8,'3. Enter Indicator Scores'!$D$8:$CZ$8,0),
  _xlpm.v, IFERROR(INDEX('3. Enter Indicator Scores'!$D$10:$CZ$161,_xlpm.r,_xlpm.c),""),
  IF(OR(_xlpm.w="",_xlpm.v=""),"",_xlpm.v*_xlpm.w)
)</f>
        <v/>
      </c>
      <c r="W84" s="93" t="str" cm="1">
        <f t="array" ref="W84">_xlfn.LET(
  _xlpm.w, W$11,
  _xlpm.r, MATCH(1,('3. Enter Indicator Scores'!$B$10:$B$161=$B84)*('3. Enter Indicator Scores'!$C$10:$C$161=$C84),0),
  _xlpm.c, MATCH(W$8,'3. Enter Indicator Scores'!$D$8:$CZ$8,0),
  _xlpm.v, IFERROR(INDEX('3. Enter Indicator Scores'!$D$10:$CZ$161,_xlpm.r,_xlpm.c),""),
  IF(OR(_xlpm.w="",_xlpm.v=""),"",_xlpm.v*_xlpm.w)
)</f>
        <v/>
      </c>
      <c r="X84" s="93" t="str" cm="1">
        <f t="array" ref="X84">_xlfn.LET(
  _xlpm.w, X$11,
  _xlpm.r, MATCH(1,('3. Enter Indicator Scores'!$B$10:$B$161=$B84)*('3. Enter Indicator Scores'!$C$10:$C$161=$C84),0),
  _xlpm.c, MATCH(X$8,'3. Enter Indicator Scores'!$D$8:$CZ$8,0),
  _xlpm.v, IFERROR(INDEX('3. Enter Indicator Scores'!$D$10:$CZ$161,_xlpm.r,_xlpm.c),""),
  IF(OR(_xlpm.w="",_xlpm.v=""),"",_xlpm.v*_xlpm.w)
)</f>
        <v/>
      </c>
      <c r="Y84" s="93" t="str" cm="1">
        <f t="array" ref="Y84">_xlfn.LET(
  _xlpm.w, Y$11,
  _xlpm.r, MATCH(1,('3. Enter Indicator Scores'!$B$10:$B$161=$B84)*('3. Enter Indicator Scores'!$C$10:$C$161=$C84),0),
  _xlpm.c, MATCH(Y$8,'3. Enter Indicator Scores'!$D$8:$CZ$8,0),
  _xlpm.v, IFERROR(INDEX('3. Enter Indicator Scores'!$D$10:$CZ$161,_xlpm.r,_xlpm.c),""),
  IF(OR(_xlpm.w="",_xlpm.v=""),"",_xlpm.v*_xlpm.w)
)</f>
        <v/>
      </c>
      <c r="Z84" s="93" t="str" cm="1">
        <f t="array" ref="Z84">_xlfn.LET(
  _xlpm.w, Z$11,
  _xlpm.r, MATCH(1,('3. Enter Indicator Scores'!$B$10:$B$161=$B84)*('3. Enter Indicator Scores'!$C$10:$C$161=$C84),0),
  _xlpm.c, MATCH(Z$8,'3. Enter Indicator Scores'!$D$8:$CZ$8,0),
  _xlpm.v, IFERROR(INDEX('3. Enter Indicator Scores'!$D$10:$CZ$161,_xlpm.r,_xlpm.c),""),
  IF(OR(_xlpm.w="",_xlpm.v=""),"",_xlpm.v*_xlpm.w)
)</f>
        <v/>
      </c>
      <c r="AA84" s="93" t="str" cm="1">
        <f t="array" ref="AA84">_xlfn.LET(
  _xlpm.w, AA$11,
  _xlpm.r, MATCH(1,('3. Enter Indicator Scores'!$B$10:$B$161=$B84)*('3. Enter Indicator Scores'!$C$10:$C$161=$C84),0),
  _xlpm.c, MATCH(AA$8,'3. Enter Indicator Scores'!$D$8:$CZ$8,0),
  _xlpm.v, IFERROR(INDEX('3. Enter Indicator Scores'!$D$10:$CZ$161,_xlpm.r,_xlpm.c),""),
  IF(OR(_xlpm.w="",_xlpm.v=""),"",_xlpm.v*_xlpm.w)
)</f>
        <v/>
      </c>
      <c r="AB84" s="93" t="str" cm="1">
        <f t="array" ref="AB84">_xlfn.LET(
  _xlpm.w, AB$11,
  _xlpm.r, MATCH(1,('3. Enter Indicator Scores'!$B$10:$B$161=$B84)*('3. Enter Indicator Scores'!$C$10:$C$161=$C84),0),
  _xlpm.c, MATCH(AB$8,'3. Enter Indicator Scores'!$D$8:$CZ$8,0),
  _xlpm.v, IFERROR(INDEX('3. Enter Indicator Scores'!$D$10:$CZ$161,_xlpm.r,_xlpm.c),""),
  IF(OR(_xlpm.w="",_xlpm.v=""),"",_xlpm.v*_xlpm.w)
)</f>
        <v/>
      </c>
      <c r="AC84" s="93" t="str" cm="1">
        <f t="array" ref="AC84">_xlfn.LET(
  _xlpm.w, AC$11,
  _xlpm.r, MATCH(1,('3. Enter Indicator Scores'!$B$10:$B$161=$B84)*('3. Enter Indicator Scores'!$C$10:$C$161=$C84),0),
  _xlpm.c, MATCH(AC$8,'3. Enter Indicator Scores'!$D$8:$CZ$8,0),
  _xlpm.v, IFERROR(INDEX('3. Enter Indicator Scores'!$D$10:$CZ$161,_xlpm.r,_xlpm.c),""),
  IF(OR(_xlpm.w="",_xlpm.v=""),"",_xlpm.v*_xlpm.w)
)</f>
        <v/>
      </c>
      <c r="AD84" s="93" t="str" cm="1">
        <f t="array" ref="AD84">_xlfn.LET(
  _xlpm.w, AD$11,
  _xlpm.r, MATCH(1,('3. Enter Indicator Scores'!$B$10:$B$161=$B84)*('3. Enter Indicator Scores'!$C$10:$C$161=$C84),0),
  _xlpm.c, MATCH(AD$8,'3. Enter Indicator Scores'!$D$8:$CZ$8,0),
  _xlpm.v, IFERROR(INDEX('3. Enter Indicator Scores'!$D$10:$CZ$161,_xlpm.r,_xlpm.c),""),
  IF(OR(_xlpm.w="",_xlpm.v=""),"",_xlpm.v*_xlpm.w)
)</f>
        <v/>
      </c>
      <c r="AE84" s="93" t="str" cm="1">
        <f t="array" ref="AE84">_xlfn.LET(
  _xlpm.w, AE$11,
  _xlpm.r, MATCH(1,('3. Enter Indicator Scores'!$B$10:$B$161=$B84)*('3. Enter Indicator Scores'!$C$10:$C$161=$C84),0),
  _xlpm.c, MATCH(AE$8,'3. Enter Indicator Scores'!$D$8:$CZ$8,0),
  _xlpm.v, IFERROR(INDEX('3. Enter Indicator Scores'!$D$10:$CZ$161,_xlpm.r,_xlpm.c),""),
  IF(OR(_xlpm.w="",_xlpm.v=""),"",_xlpm.v*_xlpm.w)
)</f>
        <v/>
      </c>
      <c r="AF84" s="93" t="str" cm="1">
        <f t="array" ref="AF84">_xlfn.LET(
  _xlpm.w, AF$11,
  _xlpm.r, MATCH(1,('3. Enter Indicator Scores'!$B$10:$B$161=$B84)*('3. Enter Indicator Scores'!$C$10:$C$161=$C84),0),
  _xlpm.c, MATCH(AF$8,'3. Enter Indicator Scores'!$D$8:$CZ$8,0),
  _xlpm.v, IFERROR(INDEX('3. Enter Indicator Scores'!$D$10:$CZ$161,_xlpm.r,_xlpm.c),""),
  IF(OR(_xlpm.w="",_xlpm.v=""),"",_xlpm.v*_xlpm.w)
)</f>
        <v/>
      </c>
      <c r="AG84" s="93" t="str" cm="1">
        <f t="array" ref="AG84">_xlfn.LET(
  _xlpm.w, AG$11,
  _xlpm.r, MATCH(1,('3. Enter Indicator Scores'!$B$10:$B$161=$B84)*('3. Enter Indicator Scores'!$C$10:$C$161=$C84),0),
  _xlpm.c, MATCH(AG$8,'3. Enter Indicator Scores'!$D$8:$CZ$8,0),
  _xlpm.v, IFERROR(INDEX('3. Enter Indicator Scores'!$D$10:$CZ$161,_xlpm.r,_xlpm.c),""),
  IF(OR(_xlpm.w="",_xlpm.v=""),"",_xlpm.v*_xlpm.w)
)</f>
        <v/>
      </c>
      <c r="AH84" s="93" t="str" cm="1">
        <f t="array" ref="AH84">_xlfn.LET(
  _xlpm.w, AH$11,
  _xlpm.r, MATCH(1,('3. Enter Indicator Scores'!$B$10:$B$161=$B84)*('3. Enter Indicator Scores'!$C$10:$C$161=$C84),0),
  _xlpm.c, MATCH(AH$8,'3. Enter Indicator Scores'!$D$8:$CZ$8,0),
  _xlpm.v, IFERROR(INDEX('3. Enter Indicator Scores'!$D$10:$CZ$161,_xlpm.r,_xlpm.c),""),
  IF(OR(_xlpm.w="",_xlpm.v=""),"",_xlpm.v*_xlpm.w)
)</f>
        <v/>
      </c>
      <c r="AI84" s="93" t="str" cm="1">
        <f t="array" ref="AI84">_xlfn.LET(
  _xlpm.w, AI$11,
  _xlpm.r, MATCH(1,('3. Enter Indicator Scores'!$B$10:$B$161=$B84)*('3. Enter Indicator Scores'!$C$10:$C$161=$C84),0),
  _xlpm.c, MATCH(AI$8,'3. Enter Indicator Scores'!$D$8:$CZ$8,0),
  _xlpm.v, IFERROR(INDEX('3. Enter Indicator Scores'!$D$10:$CZ$161,_xlpm.r,_xlpm.c),""),
  IF(OR(_xlpm.w="",_xlpm.v=""),"",_xlpm.v*_xlpm.w)
)</f>
        <v/>
      </c>
      <c r="AJ84" s="93" t="str" cm="1">
        <f t="array" ref="AJ84">_xlfn.LET(
  _xlpm.w, AJ$11,
  _xlpm.r, MATCH(1,('3. Enter Indicator Scores'!$B$10:$B$161=$B84)*('3. Enter Indicator Scores'!$C$10:$C$161=$C84),0),
  _xlpm.c, MATCH(AJ$8,'3. Enter Indicator Scores'!$D$8:$CZ$8,0),
  _xlpm.v, IFERROR(INDEX('3. Enter Indicator Scores'!$D$10:$CZ$161,_xlpm.r,_xlpm.c),""),
  IF(OR(_xlpm.w="",_xlpm.v=""),"",_xlpm.v*_xlpm.w)
)</f>
        <v/>
      </c>
      <c r="AK84" s="93" t="str" cm="1">
        <f t="array" ref="AK84">_xlfn.LET(
  _xlpm.w, AK$11,
  _xlpm.r, MATCH(1,('3. Enter Indicator Scores'!$B$10:$B$161=$B84)*('3. Enter Indicator Scores'!$C$10:$C$161=$C84),0),
  _xlpm.c, MATCH(AK$8,'3. Enter Indicator Scores'!$D$8:$CZ$8,0),
  _xlpm.v, IFERROR(INDEX('3. Enter Indicator Scores'!$D$10:$CZ$161,_xlpm.r,_xlpm.c),""),
  IF(OR(_xlpm.w="",_xlpm.v=""),"",_xlpm.v*_xlpm.w)
)</f>
        <v/>
      </c>
      <c r="AL84" s="93" t="str" cm="1">
        <f t="array" ref="AL84">_xlfn.LET(
  _xlpm.w, AL$11,
  _xlpm.r, MATCH(1,('3. Enter Indicator Scores'!$B$10:$B$161=$B84)*('3. Enter Indicator Scores'!$C$10:$C$161=$C84),0),
  _xlpm.c, MATCH(AL$8,'3. Enter Indicator Scores'!$D$8:$CZ$8,0),
  _xlpm.v, IFERROR(INDEX('3. Enter Indicator Scores'!$D$10:$CZ$161,_xlpm.r,_xlpm.c),""),
  IF(OR(_xlpm.w="",_xlpm.v=""),"",_xlpm.v*_xlpm.w)
)</f>
        <v/>
      </c>
      <c r="AM84" s="93" t="str" cm="1">
        <f t="array" ref="AM84">_xlfn.LET(
  _xlpm.w, AM$11,
  _xlpm.r, MATCH(1,('3. Enter Indicator Scores'!$B$10:$B$161=$B84)*('3. Enter Indicator Scores'!$C$10:$C$161=$C84),0),
  _xlpm.c, MATCH(AM$8,'3. Enter Indicator Scores'!$D$8:$CZ$8,0),
  _xlpm.v, IFERROR(INDEX('3. Enter Indicator Scores'!$D$10:$CZ$161,_xlpm.r,_xlpm.c),""),
  IF(OR(_xlpm.w="",_xlpm.v=""),"",_xlpm.v*_xlpm.w)
)</f>
        <v/>
      </c>
      <c r="AN84" s="93" t="str" cm="1">
        <f t="array" ref="AN84">_xlfn.LET(
  _xlpm.w, AN$11,
  _xlpm.r, MATCH(1,('3. Enter Indicator Scores'!$B$10:$B$161=$B84)*('3. Enter Indicator Scores'!$C$10:$C$161=$C84),0),
  _xlpm.c, MATCH(AN$8,'3. Enter Indicator Scores'!$D$8:$CZ$8,0),
  _xlpm.v, IFERROR(INDEX('3. Enter Indicator Scores'!$D$10:$CZ$161,_xlpm.r,_xlpm.c),""),
  IF(OR(_xlpm.w="",_xlpm.v=""),"",_xlpm.v*_xlpm.w)
)</f>
        <v/>
      </c>
      <c r="AO84" s="93" t="str" cm="1">
        <f t="array" ref="AO84">_xlfn.LET(
  _xlpm.w, AO$11,
  _xlpm.r, MATCH(1,('3. Enter Indicator Scores'!$B$10:$B$161=$B84)*('3. Enter Indicator Scores'!$C$10:$C$161=$C84),0),
  _xlpm.c, MATCH(AO$8,'3. Enter Indicator Scores'!$D$8:$CZ$8,0),
  _xlpm.v, IFERROR(INDEX('3. Enter Indicator Scores'!$D$10:$CZ$161,_xlpm.r,_xlpm.c),""),
  IF(OR(_xlpm.w="",_xlpm.v=""),"",_xlpm.v*_xlpm.w)
)</f>
        <v/>
      </c>
      <c r="AP84" s="93" t="str" cm="1">
        <f t="array" ref="AP84">_xlfn.LET(
  _xlpm.w, AP$11,
  _xlpm.r, MATCH(1,('3. Enter Indicator Scores'!$B$10:$B$161=$B84)*('3. Enter Indicator Scores'!$C$10:$C$161=$C84),0),
  _xlpm.c, MATCH(AP$8,'3. Enter Indicator Scores'!$D$8:$CZ$8,0),
  _xlpm.v, IFERROR(INDEX('3. Enter Indicator Scores'!$D$10:$CZ$161,_xlpm.r,_xlpm.c),""),
  IF(OR(_xlpm.w="",_xlpm.v=""),"",_xlpm.v*_xlpm.w)
)</f>
        <v/>
      </c>
      <c r="AQ84" s="93" t="str" cm="1">
        <f t="array" ref="AQ84">_xlfn.LET(
  _xlpm.w, AQ$11,
  _xlpm.r, MATCH(1,('3. Enter Indicator Scores'!$B$10:$B$161=$B84)*('3. Enter Indicator Scores'!$C$10:$C$161=$C84),0),
  _xlpm.c, MATCH(AQ$8,'3. Enter Indicator Scores'!$D$8:$CZ$8,0),
  _xlpm.v, IFERROR(INDEX('3. Enter Indicator Scores'!$D$10:$CZ$161,_xlpm.r,_xlpm.c),""),
  IF(OR(_xlpm.w="",_xlpm.v=""),"",_xlpm.v*_xlpm.w)
)</f>
        <v/>
      </c>
      <c r="AR84" s="93" t="str" cm="1">
        <f t="array" ref="AR84">_xlfn.LET(
  _xlpm.w, AR$11,
  _xlpm.r, MATCH(1,('3. Enter Indicator Scores'!$B$10:$B$161=$B84)*('3. Enter Indicator Scores'!$C$10:$C$161=$C84),0),
  _xlpm.c, MATCH(AR$8,'3. Enter Indicator Scores'!$D$8:$CZ$8,0),
  _xlpm.v, IFERROR(INDEX('3. Enter Indicator Scores'!$D$10:$CZ$161,_xlpm.r,_xlpm.c),""),
  IF(OR(_xlpm.w="",_xlpm.v=""),"",_xlpm.v*_xlpm.w)
)</f>
        <v/>
      </c>
      <c r="AS84" s="93" t="str" cm="1">
        <f t="array" ref="AS84">_xlfn.LET(
  _xlpm.w, AS$11,
  _xlpm.r, MATCH(1,('3. Enter Indicator Scores'!$B$10:$B$161=$B84)*('3. Enter Indicator Scores'!$C$10:$C$161=$C84),0),
  _xlpm.c, MATCH(AS$8,'3. Enter Indicator Scores'!$D$8:$CZ$8,0),
  _xlpm.v, IFERROR(INDEX('3. Enter Indicator Scores'!$D$10:$CZ$161,_xlpm.r,_xlpm.c),""),
  IF(OR(_xlpm.w="",_xlpm.v=""),"",_xlpm.v*_xlpm.w)
)</f>
        <v/>
      </c>
      <c r="AT84" s="93" t="str" cm="1">
        <f t="array" ref="AT84">_xlfn.LET(
  _xlpm.w, AT$11,
  _xlpm.r, MATCH(1,('3. Enter Indicator Scores'!$B$10:$B$161=$B84)*('3. Enter Indicator Scores'!$C$10:$C$161=$C84),0),
  _xlpm.c, MATCH(AT$8,'3. Enter Indicator Scores'!$D$8:$CZ$8,0),
  _xlpm.v, IFERROR(INDEX('3. Enter Indicator Scores'!$D$10:$CZ$161,_xlpm.r,_xlpm.c),""),
  IF(OR(_xlpm.w="",_xlpm.v=""),"",_xlpm.v*_xlpm.w)
)</f>
        <v/>
      </c>
      <c r="AU84" s="93" t="str" cm="1">
        <f t="array" ref="AU84">_xlfn.LET(
  _xlpm.w, AU$11,
  _xlpm.r, MATCH(1,('3. Enter Indicator Scores'!$B$10:$B$161=$B84)*('3. Enter Indicator Scores'!$C$10:$C$161=$C84),0),
  _xlpm.c, MATCH(AU$8,'3. Enter Indicator Scores'!$D$8:$CZ$8,0),
  _xlpm.v, IFERROR(INDEX('3. Enter Indicator Scores'!$D$10:$CZ$161,_xlpm.r,_xlpm.c),""),
  IF(OR(_xlpm.w="",_xlpm.v=""),"",_xlpm.v*_xlpm.w)
)</f>
        <v/>
      </c>
      <c r="AV84" s="93" t="str" cm="1">
        <f t="array" ref="AV84">_xlfn.LET(
  _xlpm.w, AV$11,
  _xlpm.r, MATCH(1,('3. Enter Indicator Scores'!$B$10:$B$161=$B84)*('3. Enter Indicator Scores'!$C$10:$C$161=$C84),0),
  _xlpm.c, MATCH(AV$8,'3. Enter Indicator Scores'!$D$8:$CZ$8,0),
  _xlpm.v, IFERROR(INDEX('3. Enter Indicator Scores'!$D$10:$CZ$161,_xlpm.r,_xlpm.c),""),
  IF(OR(_xlpm.w="",_xlpm.v=""),"",_xlpm.v*_xlpm.w)
)</f>
        <v/>
      </c>
      <c r="AW84" s="93" t="str" cm="1">
        <f t="array" ref="AW84">_xlfn.LET(
  _xlpm.w, AW$11,
  _xlpm.r, MATCH(1,('3. Enter Indicator Scores'!$B$10:$B$161=$B84)*('3. Enter Indicator Scores'!$C$10:$C$161=$C84),0),
  _xlpm.c, MATCH(AW$8,'3. Enter Indicator Scores'!$D$8:$CZ$8,0),
  _xlpm.v, IFERROR(INDEX('3. Enter Indicator Scores'!$D$10:$CZ$161,_xlpm.r,_xlpm.c),""),
  IF(OR(_xlpm.w="",_xlpm.v=""),"",_xlpm.v*_xlpm.w)
)</f>
        <v/>
      </c>
      <c r="AX84" s="93" t="str" cm="1">
        <f t="array" ref="AX84">_xlfn.LET(
  _xlpm.w, AX$11,
  _xlpm.r, MATCH(1,('3. Enter Indicator Scores'!$B$10:$B$161=$B84)*('3. Enter Indicator Scores'!$C$10:$C$161=$C84),0),
  _xlpm.c, MATCH(AX$8,'3. Enter Indicator Scores'!$D$8:$CZ$8,0),
  _xlpm.v, IFERROR(INDEX('3. Enter Indicator Scores'!$D$10:$CZ$161,_xlpm.r,_xlpm.c),""),
  IF(OR(_xlpm.w="",_xlpm.v=""),"",_xlpm.v*_xlpm.w)
)</f>
        <v/>
      </c>
      <c r="AY84" s="93" t="str" cm="1">
        <f t="array" ref="AY84">_xlfn.LET(
  _xlpm.w, AY$11,
  _xlpm.r, MATCH(1,('3. Enter Indicator Scores'!$B$10:$B$161=$B84)*('3. Enter Indicator Scores'!$C$10:$C$161=$C84),0),
  _xlpm.c, MATCH(AY$8,'3. Enter Indicator Scores'!$D$8:$CZ$8,0),
  _xlpm.v, IFERROR(INDEX('3. Enter Indicator Scores'!$D$10:$CZ$161,_xlpm.r,_xlpm.c),""),
  IF(OR(_xlpm.w="",_xlpm.v=""),"",_xlpm.v*_xlpm.w)
)</f>
        <v/>
      </c>
      <c r="AZ84" s="93" t="str" cm="1">
        <f t="array" ref="AZ84">_xlfn.LET(
  _xlpm.w, AZ$11,
  _xlpm.r, MATCH(1,('3. Enter Indicator Scores'!$B$10:$B$161=$B84)*('3. Enter Indicator Scores'!$C$10:$C$161=$C84),0),
  _xlpm.c, MATCH(AZ$8,'3. Enter Indicator Scores'!$D$8:$CZ$8,0),
  _xlpm.v, IFERROR(INDEX('3. Enter Indicator Scores'!$D$10:$CZ$161,_xlpm.r,_xlpm.c),""),
  IF(OR(_xlpm.w="",_xlpm.v=""),"",_xlpm.v*_xlpm.w)
)</f>
        <v/>
      </c>
      <c r="BA84" s="93" t="str" cm="1">
        <f t="array" ref="BA84">_xlfn.LET(
  _xlpm.w, BA$11,
  _xlpm.r, MATCH(1,('3. Enter Indicator Scores'!$B$10:$B$161=$B84)*('3. Enter Indicator Scores'!$C$10:$C$161=$C84),0),
  _xlpm.c, MATCH(BA$8,'3. Enter Indicator Scores'!$D$8:$CZ$8,0),
  _xlpm.v, IFERROR(INDEX('3. Enter Indicator Scores'!$D$10:$CZ$161,_xlpm.r,_xlpm.c),""),
  IF(OR(_xlpm.w="",_xlpm.v=""),"",_xlpm.v*_xlpm.w)
)</f>
        <v/>
      </c>
      <c r="BB84" s="93" t="str" cm="1">
        <f t="array" ref="BB84">_xlfn.LET(
  _xlpm.w, BB$11,
  _xlpm.r, MATCH(1,('3. Enter Indicator Scores'!$B$10:$B$161=$B84)*('3. Enter Indicator Scores'!$C$10:$C$161=$C84),0),
  _xlpm.c, MATCH(BB$8,'3. Enter Indicator Scores'!$D$8:$CZ$8,0),
  _xlpm.v, IFERROR(INDEX('3. Enter Indicator Scores'!$D$10:$CZ$161,_xlpm.r,_xlpm.c),""),
  IF(OR(_xlpm.w="",_xlpm.v=""),"",_xlpm.v*_xlpm.w)
)</f>
        <v/>
      </c>
      <c r="BC84" s="93" t="str" cm="1">
        <f t="array" ref="BC84">_xlfn.LET(
  _xlpm.w, BC$11,
  _xlpm.r, MATCH(1,('3. Enter Indicator Scores'!$B$10:$B$161=$B84)*('3. Enter Indicator Scores'!$C$10:$C$161=$C84),0),
  _xlpm.c, MATCH(BC$8,'3. Enter Indicator Scores'!$D$8:$CZ$8,0),
  _xlpm.v, IFERROR(INDEX('3. Enter Indicator Scores'!$D$10:$CZ$161,_xlpm.r,_xlpm.c),""),
  IF(OR(_xlpm.w="",_xlpm.v=""),"",_xlpm.v*_xlpm.w)
)</f>
        <v/>
      </c>
      <c r="BD84" s="93" t="str" cm="1">
        <f t="array" ref="BD84">_xlfn.LET(
  _xlpm.w, BD$11,
  _xlpm.r, MATCH(1,('3. Enter Indicator Scores'!$B$10:$B$161=$B84)*('3. Enter Indicator Scores'!$C$10:$C$161=$C84),0),
  _xlpm.c, MATCH(BD$8,'3. Enter Indicator Scores'!$D$8:$CZ$8,0),
  _xlpm.v, IFERROR(INDEX('3. Enter Indicator Scores'!$D$10:$CZ$161,_xlpm.r,_xlpm.c),""),
  IF(OR(_xlpm.w="",_xlpm.v=""),"",_xlpm.v*_xlpm.w)
)</f>
        <v/>
      </c>
      <c r="BE84" s="93" t="str" cm="1">
        <f t="array" ref="BE84">_xlfn.LET(
  _xlpm.w, BE$11,
  _xlpm.r, MATCH(1,('3. Enter Indicator Scores'!$B$10:$B$161=$B84)*('3. Enter Indicator Scores'!$C$10:$C$161=$C84),0),
  _xlpm.c, MATCH(BE$8,'3. Enter Indicator Scores'!$D$8:$CZ$8,0),
  _xlpm.v, IFERROR(INDEX('3. Enter Indicator Scores'!$D$10:$CZ$161,_xlpm.r,_xlpm.c),""),
  IF(OR(_xlpm.w="",_xlpm.v=""),"",_xlpm.v*_xlpm.w)
)</f>
        <v/>
      </c>
      <c r="BF84" s="93" t="str" cm="1">
        <f t="array" ref="BF84">_xlfn.LET(
  _xlpm.w, BF$11,
  _xlpm.r, MATCH(1,('3. Enter Indicator Scores'!$B$10:$B$161=$B84)*('3. Enter Indicator Scores'!$C$10:$C$161=$C84),0),
  _xlpm.c, MATCH(BF$8,'3. Enter Indicator Scores'!$D$8:$CZ$8,0),
  _xlpm.v, IFERROR(INDEX('3. Enter Indicator Scores'!$D$10:$CZ$161,_xlpm.r,_xlpm.c),""),
  IF(OR(_xlpm.w="",_xlpm.v=""),"",_xlpm.v*_xlpm.w)
)</f>
        <v/>
      </c>
      <c r="BG84" s="93" t="str" cm="1">
        <f t="array" ref="BG84">_xlfn.LET(
  _xlpm.w, BG$11,
  _xlpm.r, MATCH(1,('3. Enter Indicator Scores'!$B$10:$B$161=$B84)*('3. Enter Indicator Scores'!$C$10:$C$161=$C84),0),
  _xlpm.c, MATCH(BG$8,'3. Enter Indicator Scores'!$D$8:$CZ$8,0),
  _xlpm.v, IFERROR(INDEX('3. Enter Indicator Scores'!$D$10:$CZ$161,_xlpm.r,_xlpm.c),""),
  IF(OR(_xlpm.w="",_xlpm.v=""),"",_xlpm.v*_xlpm.w)
)</f>
        <v/>
      </c>
      <c r="BH84" s="93" t="str" cm="1">
        <f t="array" ref="BH84">_xlfn.LET(
  _xlpm.w, BH$11,
  _xlpm.r, MATCH(1,('3. Enter Indicator Scores'!$B$10:$B$161=$B84)*('3. Enter Indicator Scores'!$C$10:$C$161=$C84),0),
  _xlpm.c, MATCH(BH$8,'3. Enter Indicator Scores'!$D$8:$CZ$8,0),
  _xlpm.v, IFERROR(INDEX('3. Enter Indicator Scores'!$D$10:$CZ$161,_xlpm.r,_xlpm.c),""),
  IF(OR(_xlpm.w="",_xlpm.v=""),"",_xlpm.v*_xlpm.w)
)</f>
        <v/>
      </c>
      <c r="BI84" s="93" t="str" cm="1">
        <f t="array" ref="BI84">_xlfn.LET(
  _xlpm.w, BI$11,
  _xlpm.r, MATCH(1,('3. Enter Indicator Scores'!$B$10:$B$161=$B84)*('3. Enter Indicator Scores'!$C$10:$C$161=$C84),0),
  _xlpm.c, MATCH(BI$8,'3. Enter Indicator Scores'!$D$8:$CZ$8,0),
  _xlpm.v, IFERROR(INDEX('3. Enter Indicator Scores'!$D$10:$CZ$161,_xlpm.r,_xlpm.c),""),
  IF(OR(_xlpm.w="",_xlpm.v=""),"",_xlpm.v*_xlpm.w)
)</f>
        <v/>
      </c>
      <c r="BJ84" s="93" t="str" cm="1">
        <f t="array" ref="BJ84">_xlfn.LET(
  _xlpm.w, BJ$11,
  _xlpm.r, MATCH(1,('3. Enter Indicator Scores'!$B$10:$B$161=$B84)*('3. Enter Indicator Scores'!$C$10:$C$161=$C84),0),
  _xlpm.c, MATCH(BJ$8,'3. Enter Indicator Scores'!$D$8:$CZ$8,0),
  _xlpm.v, IFERROR(INDEX('3. Enter Indicator Scores'!$D$10:$CZ$161,_xlpm.r,_xlpm.c),""),
  IF(OR(_xlpm.w="",_xlpm.v=""),"",_xlpm.v*_xlpm.w)
)</f>
        <v/>
      </c>
      <c r="BK84" s="93" t="str" cm="1">
        <f t="array" ref="BK84">_xlfn.LET(
  _xlpm.w, BK$11,
  _xlpm.r, MATCH(1,('3. Enter Indicator Scores'!$B$10:$B$161=$B84)*('3. Enter Indicator Scores'!$C$10:$C$161=$C84),0),
  _xlpm.c, MATCH(BK$8,'3. Enter Indicator Scores'!$D$8:$CZ$8,0),
  _xlpm.v, IFERROR(INDEX('3. Enter Indicator Scores'!$D$10:$CZ$161,_xlpm.r,_xlpm.c),""),
  IF(OR(_xlpm.w="",_xlpm.v=""),"",_xlpm.v*_xlpm.w)
)</f>
        <v/>
      </c>
      <c r="BL84" s="93" t="str" cm="1">
        <f t="array" ref="BL84">_xlfn.LET(
  _xlpm.w, BL$11,
  _xlpm.r, MATCH(1,('3. Enter Indicator Scores'!$B$10:$B$161=$B84)*('3. Enter Indicator Scores'!$C$10:$C$161=$C84),0),
  _xlpm.c, MATCH(BL$8,'3. Enter Indicator Scores'!$D$8:$CZ$8,0),
  _xlpm.v, IFERROR(INDEX('3. Enter Indicator Scores'!$D$10:$CZ$161,_xlpm.r,_xlpm.c),""),
  IF(OR(_xlpm.w="",_xlpm.v=""),"",_xlpm.v*_xlpm.w)
)</f>
        <v/>
      </c>
      <c r="BM84" s="93" t="str" cm="1">
        <f t="array" ref="BM84">_xlfn.LET(
  _xlpm.w, BM$11,
  _xlpm.r, MATCH(1,('3. Enter Indicator Scores'!$B$10:$B$161=$B84)*('3. Enter Indicator Scores'!$C$10:$C$161=$C84),0),
  _xlpm.c, MATCH(BM$8,'3. Enter Indicator Scores'!$D$8:$CZ$8,0),
  _xlpm.v, IFERROR(INDEX('3. Enter Indicator Scores'!$D$10:$CZ$161,_xlpm.r,_xlpm.c),""),
  IF(OR(_xlpm.w="",_xlpm.v=""),"",_xlpm.v*_xlpm.w)
)</f>
        <v/>
      </c>
      <c r="BN84" s="93" t="str" cm="1">
        <f t="array" ref="BN84">_xlfn.LET(
  _xlpm.w, BN$11,
  _xlpm.r, MATCH(1,('3. Enter Indicator Scores'!$B$10:$B$161=$B84)*('3. Enter Indicator Scores'!$C$10:$C$161=$C84),0),
  _xlpm.c, MATCH(BN$8,'3. Enter Indicator Scores'!$D$8:$CZ$8,0),
  _xlpm.v, IFERROR(INDEX('3. Enter Indicator Scores'!$D$10:$CZ$161,_xlpm.r,_xlpm.c),""),
  IF(OR(_xlpm.w="",_xlpm.v=""),"",_xlpm.v*_xlpm.w)
)</f>
        <v/>
      </c>
      <c r="BO84" s="93" t="str" cm="1">
        <f t="array" ref="BO84">_xlfn.LET(
  _xlpm.w, BO$11,
  _xlpm.r, MATCH(1,('3. Enter Indicator Scores'!$B$10:$B$161=$B84)*('3. Enter Indicator Scores'!$C$10:$C$161=$C84),0),
  _xlpm.c, MATCH(BO$8,'3. Enter Indicator Scores'!$D$8:$CZ$8,0),
  _xlpm.v, IFERROR(INDEX('3. Enter Indicator Scores'!$D$10:$CZ$161,_xlpm.r,_xlpm.c),""),
  IF(OR(_xlpm.w="",_xlpm.v=""),"",_xlpm.v*_xlpm.w)
)</f>
        <v/>
      </c>
      <c r="BP84" s="93" t="str" cm="1">
        <f t="array" ref="BP84">_xlfn.LET(
  _xlpm.w, BP$11,
  _xlpm.r, MATCH(1,('3. Enter Indicator Scores'!$B$10:$B$161=$B84)*('3. Enter Indicator Scores'!$C$10:$C$161=$C84),0),
  _xlpm.c, MATCH(BP$8,'3. Enter Indicator Scores'!$D$8:$CZ$8,0),
  _xlpm.v, IFERROR(INDEX('3. Enter Indicator Scores'!$D$10:$CZ$161,_xlpm.r,_xlpm.c),""),
  IF(OR(_xlpm.w="",_xlpm.v=""),"",_xlpm.v*_xlpm.w)
)</f>
        <v/>
      </c>
      <c r="BQ84" s="93" t="str" cm="1">
        <f t="array" ref="BQ84">_xlfn.LET(
  _xlpm.w, BQ$11,
  _xlpm.r, MATCH(1,('3. Enter Indicator Scores'!$B$10:$B$161=$B84)*('3. Enter Indicator Scores'!$C$10:$C$161=$C84),0),
  _xlpm.c, MATCH(BQ$8,'3. Enter Indicator Scores'!$D$8:$CZ$8,0),
  _xlpm.v, IFERROR(INDEX('3. Enter Indicator Scores'!$D$10:$CZ$161,_xlpm.r,_xlpm.c),""),
  IF(OR(_xlpm.w="",_xlpm.v=""),"",_xlpm.v*_xlpm.w)
)</f>
        <v/>
      </c>
      <c r="BR84" s="93" t="str" cm="1">
        <f t="array" ref="BR84">_xlfn.LET(
  _xlpm.w, BR$11,
  _xlpm.r, MATCH(1,('3. Enter Indicator Scores'!$B$10:$B$161=$B84)*('3. Enter Indicator Scores'!$C$10:$C$161=$C84),0),
  _xlpm.c, MATCH(BR$8,'3. Enter Indicator Scores'!$D$8:$CZ$8,0),
  _xlpm.v, IFERROR(INDEX('3. Enter Indicator Scores'!$D$10:$CZ$161,_xlpm.r,_xlpm.c),""),
  IF(OR(_xlpm.w="",_xlpm.v=""),"",_xlpm.v*_xlpm.w)
)</f>
        <v/>
      </c>
      <c r="BS84" s="93" t="str" cm="1">
        <f t="array" ref="BS84">_xlfn.LET(
  _xlpm.w, BS$11,
  _xlpm.r, MATCH(1,('3. Enter Indicator Scores'!$B$10:$B$161=$B84)*('3. Enter Indicator Scores'!$C$10:$C$161=$C84),0),
  _xlpm.c, MATCH(BS$8,'3. Enter Indicator Scores'!$D$8:$CZ$8,0),
  _xlpm.v, IFERROR(INDEX('3. Enter Indicator Scores'!$D$10:$CZ$161,_xlpm.r,_xlpm.c),""),
  IF(OR(_xlpm.w="",_xlpm.v=""),"",_xlpm.v*_xlpm.w)
)</f>
        <v/>
      </c>
      <c r="BT84" s="93" t="str" cm="1">
        <f t="array" ref="BT84">_xlfn.LET(
  _xlpm.w, BT$11,
  _xlpm.r, MATCH(1,('3. Enter Indicator Scores'!$B$10:$B$161=$B84)*('3. Enter Indicator Scores'!$C$10:$C$161=$C84),0),
  _xlpm.c, MATCH(BT$8,'3. Enter Indicator Scores'!$D$8:$CZ$8,0),
  _xlpm.v, IFERROR(INDEX('3. Enter Indicator Scores'!$D$10:$CZ$161,_xlpm.r,_xlpm.c),""),
  IF(OR(_xlpm.w="",_xlpm.v=""),"",_xlpm.v*_xlpm.w)
)</f>
        <v/>
      </c>
      <c r="BU84" s="93" t="str" cm="1">
        <f t="array" ref="BU84">_xlfn.LET(
  _xlpm.w, BU$11,
  _xlpm.r, MATCH(1,('3. Enter Indicator Scores'!$B$10:$B$161=$B84)*('3. Enter Indicator Scores'!$C$10:$C$161=$C84),0),
  _xlpm.c, MATCH(BU$8,'3. Enter Indicator Scores'!$D$8:$CZ$8,0),
  _xlpm.v, IFERROR(INDEX('3. Enter Indicator Scores'!$D$10:$CZ$161,_xlpm.r,_xlpm.c),""),
  IF(OR(_xlpm.w="",_xlpm.v=""),"",_xlpm.v*_xlpm.w)
)</f>
        <v/>
      </c>
      <c r="BV84" s="93" t="str" cm="1">
        <f t="array" ref="BV84">_xlfn.LET(
  _xlpm.w, BV$11,
  _xlpm.r, MATCH(1,('3. Enter Indicator Scores'!$B$10:$B$161=$B84)*('3. Enter Indicator Scores'!$C$10:$C$161=$C84),0),
  _xlpm.c, MATCH(BV$8,'3. Enter Indicator Scores'!$D$8:$CZ$8,0),
  _xlpm.v, IFERROR(INDEX('3. Enter Indicator Scores'!$D$10:$CZ$161,_xlpm.r,_xlpm.c),""),
  IF(OR(_xlpm.w="",_xlpm.v=""),"",_xlpm.v*_xlpm.w)
)</f>
        <v/>
      </c>
      <c r="BW84" s="93" t="str" cm="1">
        <f t="array" ref="BW84">_xlfn.LET(
  _xlpm.w, BW$11,
  _xlpm.r, MATCH(1,('3. Enter Indicator Scores'!$B$10:$B$161=$B84)*('3. Enter Indicator Scores'!$C$10:$C$161=$C84),0),
  _xlpm.c, MATCH(BW$8,'3. Enter Indicator Scores'!$D$8:$CZ$8,0),
  _xlpm.v, IFERROR(INDEX('3. Enter Indicator Scores'!$D$10:$CZ$161,_xlpm.r,_xlpm.c),""),
  IF(OR(_xlpm.w="",_xlpm.v=""),"",_xlpm.v*_xlpm.w)
)</f>
        <v/>
      </c>
      <c r="BX84" s="93" t="str" cm="1">
        <f t="array" ref="BX84">_xlfn.LET(
  _xlpm.w, BX$11,
  _xlpm.r, MATCH(1,('3. Enter Indicator Scores'!$B$10:$B$161=$B84)*('3. Enter Indicator Scores'!$C$10:$C$161=$C84),0),
  _xlpm.c, MATCH(BX$8,'3. Enter Indicator Scores'!$D$8:$CZ$8,0),
  _xlpm.v, IFERROR(INDEX('3. Enter Indicator Scores'!$D$10:$CZ$161,_xlpm.r,_xlpm.c),""),
  IF(OR(_xlpm.w="",_xlpm.v=""),"",_xlpm.v*_xlpm.w)
)</f>
        <v/>
      </c>
      <c r="BY84" s="93" t="str" cm="1">
        <f t="array" ref="BY84">_xlfn.LET(
  _xlpm.w, BY$11,
  _xlpm.r, MATCH(1,('3. Enter Indicator Scores'!$B$10:$B$161=$B84)*('3. Enter Indicator Scores'!$C$10:$C$161=$C84),0),
  _xlpm.c, MATCH(BY$8,'3. Enter Indicator Scores'!$D$8:$CZ$8,0),
  _xlpm.v, IFERROR(INDEX('3. Enter Indicator Scores'!$D$10:$CZ$161,_xlpm.r,_xlpm.c),""),
  IF(OR(_xlpm.w="",_xlpm.v=""),"",_xlpm.v*_xlpm.w)
)</f>
        <v/>
      </c>
      <c r="BZ84" s="93" t="str" cm="1">
        <f t="array" ref="BZ84">_xlfn.LET(
  _xlpm.w, BZ$11,
  _xlpm.r, MATCH(1,('3. Enter Indicator Scores'!$B$10:$B$161=$B84)*('3. Enter Indicator Scores'!$C$10:$C$161=$C84),0),
  _xlpm.c, MATCH(BZ$8,'3. Enter Indicator Scores'!$D$8:$CZ$8,0),
  _xlpm.v, IFERROR(INDEX('3. Enter Indicator Scores'!$D$10:$CZ$161,_xlpm.r,_xlpm.c),""),
  IF(OR(_xlpm.w="",_xlpm.v=""),"",_xlpm.v*_xlpm.w)
)</f>
        <v/>
      </c>
      <c r="CA84" s="93" t="str" cm="1">
        <f t="array" ref="CA84">_xlfn.LET(
  _xlpm.w, CA$11,
  _xlpm.r, MATCH(1,('3. Enter Indicator Scores'!$B$10:$B$161=$B84)*('3. Enter Indicator Scores'!$C$10:$C$161=$C84),0),
  _xlpm.c, MATCH(CA$8,'3. Enter Indicator Scores'!$D$8:$CZ$8,0),
  _xlpm.v, IFERROR(INDEX('3. Enter Indicator Scores'!$D$10:$CZ$161,_xlpm.r,_xlpm.c),""),
  IF(OR(_xlpm.w="",_xlpm.v=""),"",_xlpm.v*_xlpm.w)
)</f>
        <v/>
      </c>
      <c r="CB84" s="93" t="str" cm="1">
        <f t="array" ref="CB84">_xlfn.LET(
  _xlpm.w, CB$11,
  _xlpm.r, MATCH(1,('3. Enter Indicator Scores'!$B$10:$B$161=$B84)*('3. Enter Indicator Scores'!$C$10:$C$161=$C84),0),
  _xlpm.c, MATCH(CB$8,'3. Enter Indicator Scores'!$D$8:$CZ$8,0),
  _xlpm.v, IFERROR(INDEX('3. Enter Indicator Scores'!$D$10:$CZ$161,_xlpm.r,_xlpm.c),""),
  IF(OR(_xlpm.w="",_xlpm.v=""),"",_xlpm.v*_xlpm.w)
)</f>
        <v/>
      </c>
      <c r="CC84" s="93" t="str" cm="1">
        <f t="array" ref="CC84">_xlfn.LET(
  _xlpm.w, CC$11,
  _xlpm.r, MATCH(1,('3. Enter Indicator Scores'!$B$10:$B$161=$B84)*('3. Enter Indicator Scores'!$C$10:$C$161=$C84),0),
  _xlpm.c, MATCH(CC$8,'3. Enter Indicator Scores'!$D$8:$CZ$8,0),
  _xlpm.v, IFERROR(INDEX('3. Enter Indicator Scores'!$D$10:$CZ$161,_xlpm.r,_xlpm.c),""),
  IF(OR(_xlpm.w="",_xlpm.v=""),"",_xlpm.v*_xlpm.w)
)</f>
        <v/>
      </c>
      <c r="CD84" s="93" t="str" cm="1">
        <f t="array" ref="CD84">_xlfn.LET(
  _xlpm.w, CD$11,
  _xlpm.r, MATCH(1,('3. Enter Indicator Scores'!$B$10:$B$161=$B84)*('3. Enter Indicator Scores'!$C$10:$C$161=$C84),0),
  _xlpm.c, MATCH(CD$8,'3. Enter Indicator Scores'!$D$8:$CZ$8,0),
  _xlpm.v, IFERROR(INDEX('3. Enter Indicator Scores'!$D$10:$CZ$161,_xlpm.r,_xlpm.c),""),
  IF(OR(_xlpm.w="",_xlpm.v=""),"",_xlpm.v*_xlpm.w)
)</f>
        <v/>
      </c>
      <c r="CE84" s="93" t="str" cm="1">
        <f t="array" ref="CE84">_xlfn.LET(
  _xlpm.w, CE$11,
  _xlpm.r, MATCH(1,('3. Enter Indicator Scores'!$B$10:$B$161=$B84)*('3. Enter Indicator Scores'!$C$10:$C$161=$C84),0),
  _xlpm.c, MATCH(CE$8,'3. Enter Indicator Scores'!$D$8:$CZ$8,0),
  _xlpm.v, IFERROR(INDEX('3. Enter Indicator Scores'!$D$10:$CZ$161,_xlpm.r,_xlpm.c),""),
  IF(OR(_xlpm.w="",_xlpm.v=""),"",_xlpm.v*_xlpm.w)
)</f>
        <v/>
      </c>
      <c r="CF84" s="93" t="str" cm="1">
        <f t="array" ref="CF84">_xlfn.LET(
  _xlpm.w, CF$11,
  _xlpm.r, MATCH(1,('3. Enter Indicator Scores'!$B$10:$B$161=$B84)*('3. Enter Indicator Scores'!$C$10:$C$161=$C84),0),
  _xlpm.c, MATCH(CF$8,'3. Enter Indicator Scores'!$D$8:$CZ$8,0),
  _xlpm.v, IFERROR(INDEX('3. Enter Indicator Scores'!$D$10:$CZ$161,_xlpm.r,_xlpm.c),""),
  IF(OR(_xlpm.w="",_xlpm.v=""),"",_xlpm.v*_xlpm.w)
)</f>
        <v/>
      </c>
      <c r="CG84" s="93" t="str" cm="1">
        <f t="array" ref="CG84">_xlfn.LET(
  _xlpm.w, CG$11,
  _xlpm.r, MATCH(1,('3. Enter Indicator Scores'!$B$10:$B$161=$B84)*('3. Enter Indicator Scores'!$C$10:$C$161=$C84),0),
  _xlpm.c, MATCH(CG$8,'3. Enter Indicator Scores'!$D$8:$CZ$8,0),
  _xlpm.v, IFERROR(INDEX('3. Enter Indicator Scores'!$D$10:$CZ$161,_xlpm.r,_xlpm.c),""),
  IF(OR(_xlpm.w="",_xlpm.v=""),"",_xlpm.v*_xlpm.w)
)</f>
        <v/>
      </c>
      <c r="CH84" s="93" t="str" cm="1">
        <f t="array" ref="CH84">_xlfn.LET(
  _xlpm.w, CH$11,
  _xlpm.r, MATCH(1,('3. Enter Indicator Scores'!$B$10:$B$161=$B84)*('3. Enter Indicator Scores'!$C$10:$C$161=$C84),0),
  _xlpm.c, MATCH(CH$8,'3. Enter Indicator Scores'!$D$8:$CZ$8,0),
  _xlpm.v, IFERROR(INDEX('3. Enter Indicator Scores'!$D$10:$CZ$161,_xlpm.r,_xlpm.c),""),
  IF(OR(_xlpm.w="",_xlpm.v=""),"",_xlpm.v*_xlpm.w)
)</f>
        <v/>
      </c>
      <c r="CI84" s="93" t="str" cm="1">
        <f t="array" ref="CI84">_xlfn.LET(
  _xlpm.w, CI$11,
  _xlpm.r, MATCH(1,('3. Enter Indicator Scores'!$B$10:$B$161=$B84)*('3. Enter Indicator Scores'!$C$10:$C$161=$C84),0),
  _xlpm.c, MATCH(CI$8,'3. Enter Indicator Scores'!$D$8:$CZ$8,0),
  _xlpm.v, IFERROR(INDEX('3. Enter Indicator Scores'!$D$10:$CZ$161,_xlpm.r,_xlpm.c),""),
  IF(OR(_xlpm.w="",_xlpm.v=""),"",_xlpm.v*_xlpm.w)
)</f>
        <v/>
      </c>
      <c r="CJ84" s="93" t="str" cm="1">
        <f t="array" ref="CJ84">_xlfn.LET(
  _xlpm.w, CJ$11,
  _xlpm.r, MATCH(1,('3. Enter Indicator Scores'!$B$10:$B$161=$B84)*('3. Enter Indicator Scores'!$C$10:$C$161=$C84),0),
  _xlpm.c, MATCH(CJ$8,'3. Enter Indicator Scores'!$D$8:$CZ$8,0),
  _xlpm.v, IFERROR(INDEX('3. Enter Indicator Scores'!$D$10:$CZ$161,_xlpm.r,_xlpm.c),""),
  IF(OR(_xlpm.w="",_xlpm.v=""),"",_xlpm.v*_xlpm.w)
)</f>
        <v/>
      </c>
      <c r="CK84" s="93" t="str" cm="1">
        <f t="array" ref="CK84">_xlfn.LET(
  _xlpm.w, CK$11,
  _xlpm.r, MATCH(1,('3. Enter Indicator Scores'!$B$10:$B$161=$B84)*('3. Enter Indicator Scores'!$C$10:$C$161=$C84),0),
  _xlpm.c, MATCH(CK$8,'3. Enter Indicator Scores'!$D$8:$CZ$8,0),
  _xlpm.v, IFERROR(INDEX('3. Enter Indicator Scores'!$D$10:$CZ$161,_xlpm.r,_xlpm.c),""),
  IF(OR(_xlpm.w="",_xlpm.v=""),"",_xlpm.v*_xlpm.w)
)</f>
        <v/>
      </c>
      <c r="CL84" s="93" t="str" cm="1">
        <f t="array" ref="CL84">_xlfn.LET(
  _xlpm.w, CL$11,
  _xlpm.r, MATCH(1,('3. Enter Indicator Scores'!$B$10:$B$161=$B84)*('3. Enter Indicator Scores'!$C$10:$C$161=$C84),0),
  _xlpm.c, MATCH(CL$8,'3. Enter Indicator Scores'!$D$8:$CZ$8,0),
  _xlpm.v, IFERROR(INDEX('3. Enter Indicator Scores'!$D$10:$CZ$161,_xlpm.r,_xlpm.c),""),
  IF(OR(_xlpm.w="",_xlpm.v=""),"",_xlpm.v*_xlpm.w)
)</f>
        <v/>
      </c>
      <c r="CM84" s="93" t="str" cm="1">
        <f t="array" ref="CM84">_xlfn.LET(
  _xlpm.w, CM$11,
  _xlpm.r, MATCH(1,('3. Enter Indicator Scores'!$B$10:$B$161=$B84)*('3. Enter Indicator Scores'!$C$10:$C$161=$C84),0),
  _xlpm.c, MATCH(CM$8,'3. Enter Indicator Scores'!$D$8:$CZ$8,0),
  _xlpm.v, IFERROR(INDEX('3. Enter Indicator Scores'!$D$10:$CZ$161,_xlpm.r,_xlpm.c),""),
  IF(OR(_xlpm.w="",_xlpm.v=""),"",_xlpm.v*_xlpm.w)
)</f>
        <v/>
      </c>
      <c r="CN84" s="93" t="str" cm="1">
        <f t="array" ref="CN84">_xlfn.LET(
  _xlpm.w, CN$11,
  _xlpm.r, MATCH(1,('3. Enter Indicator Scores'!$B$10:$B$161=$B84)*('3. Enter Indicator Scores'!$C$10:$C$161=$C84),0),
  _xlpm.c, MATCH(CN$8,'3. Enter Indicator Scores'!$D$8:$CZ$8,0),
  _xlpm.v, IFERROR(INDEX('3. Enter Indicator Scores'!$D$10:$CZ$161,_xlpm.r,_xlpm.c),""),
  IF(OR(_xlpm.w="",_xlpm.v=""),"",_xlpm.v*_xlpm.w)
)</f>
        <v/>
      </c>
      <c r="CO84" s="93" t="str" cm="1">
        <f t="array" ref="CO84">_xlfn.LET(
  _xlpm.w, CO$11,
  _xlpm.r, MATCH(1,('3. Enter Indicator Scores'!$B$10:$B$161=$B84)*('3. Enter Indicator Scores'!$C$10:$C$161=$C84),0),
  _xlpm.c, MATCH(CO$8,'3. Enter Indicator Scores'!$D$8:$CZ$8,0),
  _xlpm.v, IFERROR(INDEX('3. Enter Indicator Scores'!$D$10:$CZ$161,_xlpm.r,_xlpm.c),""),
  IF(OR(_xlpm.w="",_xlpm.v=""),"",_xlpm.v*_xlpm.w)
)</f>
        <v/>
      </c>
      <c r="CP84" s="93" t="str" cm="1">
        <f t="array" ref="CP84">_xlfn.LET(
  _xlpm.w, CP$11,
  _xlpm.r, MATCH(1,('3. Enter Indicator Scores'!$B$10:$B$161=$B84)*('3. Enter Indicator Scores'!$C$10:$C$161=$C84),0),
  _xlpm.c, MATCH(CP$8,'3. Enter Indicator Scores'!$D$8:$CZ$8,0),
  _xlpm.v, IFERROR(INDEX('3. Enter Indicator Scores'!$D$10:$CZ$161,_xlpm.r,_xlpm.c),""),
  IF(OR(_xlpm.w="",_xlpm.v=""),"",_xlpm.v*_xlpm.w)
)</f>
        <v/>
      </c>
      <c r="CQ84" s="93" t="str" cm="1">
        <f t="array" ref="CQ84">_xlfn.LET(
  _xlpm.w, CQ$11,
  _xlpm.r, MATCH(1,('3. Enter Indicator Scores'!$B$10:$B$161=$B84)*('3. Enter Indicator Scores'!$C$10:$C$161=$C84),0),
  _xlpm.c, MATCH(CQ$8,'3. Enter Indicator Scores'!$D$8:$CZ$8,0),
  _xlpm.v, IFERROR(INDEX('3. Enter Indicator Scores'!$D$10:$CZ$161,_xlpm.r,_xlpm.c),""),
  IF(OR(_xlpm.w="",_xlpm.v=""),"",_xlpm.v*_xlpm.w)
)</f>
        <v/>
      </c>
      <c r="CR84" s="93" t="str" cm="1">
        <f t="array" ref="CR84">_xlfn.LET(
  _xlpm.w, CR$11,
  _xlpm.r, MATCH(1,('3. Enter Indicator Scores'!$B$10:$B$161=$B84)*('3. Enter Indicator Scores'!$C$10:$C$161=$C84),0),
  _xlpm.c, MATCH(CR$8,'3. Enter Indicator Scores'!$D$8:$CZ$8,0),
  _xlpm.v, IFERROR(INDEX('3. Enter Indicator Scores'!$D$10:$CZ$161,_xlpm.r,_xlpm.c),""),
  IF(OR(_xlpm.w="",_xlpm.v=""),"",_xlpm.v*_xlpm.w)
)</f>
        <v/>
      </c>
      <c r="CS84" s="93" t="str" cm="1">
        <f t="array" ref="CS84">_xlfn.LET(
  _xlpm.w, CS$11,
  _xlpm.r, MATCH(1,('3. Enter Indicator Scores'!$B$10:$B$161=$B84)*('3. Enter Indicator Scores'!$C$10:$C$161=$C84),0),
  _xlpm.c, MATCH(CS$8,'3. Enter Indicator Scores'!$D$8:$CZ$8,0),
  _xlpm.v, IFERROR(INDEX('3. Enter Indicator Scores'!$D$10:$CZ$161,_xlpm.r,_xlpm.c),""),
  IF(OR(_xlpm.w="",_xlpm.v=""),"",_xlpm.v*_xlpm.w)
)</f>
        <v/>
      </c>
      <c r="CT84" s="93" t="str" cm="1">
        <f t="array" ref="CT84">_xlfn.LET(
  _xlpm.w, CT$11,
  _xlpm.r, MATCH(1,('3. Enter Indicator Scores'!$B$10:$B$161=$B84)*('3. Enter Indicator Scores'!$C$10:$C$161=$C84),0),
  _xlpm.c, MATCH(CT$8,'3. Enter Indicator Scores'!$D$8:$CZ$8,0),
  _xlpm.v, IFERROR(INDEX('3. Enter Indicator Scores'!$D$10:$CZ$161,_xlpm.r,_xlpm.c),""),
  IF(OR(_xlpm.w="",_xlpm.v=""),"",_xlpm.v*_xlpm.w)
)</f>
        <v/>
      </c>
      <c r="CU84" s="93" t="str" cm="1">
        <f t="array" ref="CU84">_xlfn.LET(
  _xlpm.w, CU$11,
  _xlpm.r, MATCH(1,('3. Enter Indicator Scores'!$B$10:$B$161=$B84)*('3. Enter Indicator Scores'!$C$10:$C$161=$C84),0),
  _xlpm.c, MATCH(CU$8,'3. Enter Indicator Scores'!$D$8:$CZ$8,0),
  _xlpm.v, IFERROR(INDEX('3. Enter Indicator Scores'!$D$10:$CZ$161,_xlpm.r,_xlpm.c),""),
  IF(OR(_xlpm.w="",_xlpm.v=""),"",_xlpm.v*_xlpm.w)
)</f>
        <v/>
      </c>
      <c r="CV84" s="93" t="str" cm="1">
        <f t="array" ref="CV84">_xlfn.LET(
  _xlpm.w, CV$11,
  _xlpm.r, MATCH(1,('3. Enter Indicator Scores'!$B$10:$B$161=$B84)*('3. Enter Indicator Scores'!$C$10:$C$161=$C84),0),
  _xlpm.c, MATCH(CV$8,'3. Enter Indicator Scores'!$D$8:$CZ$8,0),
  _xlpm.v, IFERROR(INDEX('3. Enter Indicator Scores'!$D$10:$CZ$161,_xlpm.r,_xlpm.c),""),
  IF(OR(_xlpm.w="",_xlpm.v=""),"",_xlpm.v*_xlpm.w)
)</f>
        <v/>
      </c>
      <c r="CW84" s="93" t="str" cm="1">
        <f t="array" ref="CW84">_xlfn.LET(
  _xlpm.w, CW$11,
  _xlpm.r, MATCH(1,('3. Enter Indicator Scores'!$B$10:$B$161=$B84)*('3. Enter Indicator Scores'!$C$10:$C$161=$C84),0),
  _xlpm.c, MATCH(CW$8,'3. Enter Indicator Scores'!$D$8:$CZ$8,0),
  _xlpm.v, IFERROR(INDEX('3. Enter Indicator Scores'!$D$10:$CZ$161,_xlpm.r,_xlpm.c),""),
  IF(OR(_xlpm.w="",_xlpm.v=""),"",_xlpm.v*_xlpm.w)
)</f>
        <v/>
      </c>
      <c r="CX84" s="93" t="str" cm="1">
        <f t="array" ref="CX84">_xlfn.LET(
  _xlpm.w, CX$11,
  _xlpm.r, MATCH(1,('3. Enter Indicator Scores'!$B$10:$B$161=$B84)*('3. Enter Indicator Scores'!$C$10:$C$161=$C84),0),
  _xlpm.c, MATCH(CX$8,'3. Enter Indicator Scores'!$D$8:$CZ$8,0),
  _xlpm.v, IFERROR(INDEX('3. Enter Indicator Scores'!$D$10:$CZ$161,_xlpm.r,_xlpm.c),""),
  IF(OR(_xlpm.w="",_xlpm.v=""),"",_xlpm.v*_xlpm.w)
)</f>
        <v/>
      </c>
      <c r="CY84" s="93" t="str" cm="1">
        <f t="array" ref="CY84">_xlfn.LET(
  _xlpm.w, CY$11,
  _xlpm.r, MATCH(1,('3. Enter Indicator Scores'!$B$10:$B$161=$B84)*('3. Enter Indicator Scores'!$C$10:$C$161=$C84),0),
  _xlpm.c, MATCH(CY$8,'3. Enter Indicator Scores'!$D$8:$CZ$8,0),
  _xlpm.v, IFERROR(INDEX('3. Enter Indicator Scores'!$D$10:$CZ$161,_xlpm.r,_xlpm.c),""),
  IF(OR(_xlpm.w="",_xlpm.v=""),"",_xlpm.v*_xlpm.w)
)</f>
        <v/>
      </c>
      <c r="CZ84" s="93" t="str" cm="1">
        <f t="array" ref="CZ84">_xlfn.LET(
  _xlpm.w, CZ$11,
  _xlpm.r, MATCH(1,('3. Enter Indicator Scores'!$B$10:$B$161=$B84)*('3. Enter Indicator Scores'!$C$10:$C$161=$C84),0),
  _xlpm.c, MATCH(CZ$8,'3. Enter Indicator Scores'!$D$8:$CZ$8,0),
  _xlpm.v, IFERROR(INDEX('3. Enter Indicator Scores'!$D$10:$CZ$161,_xlpm.r,_xlpm.c),""),
  IF(OR(_xlpm.w="",_xlpm.v=""),"",_xlpm.v*_xlpm.w)
)</f>
        <v/>
      </c>
    </row>
    <row r="85" spans="4:104" x14ac:dyDescent="0.2">
      <c r="D85" s="93" t="str" cm="1">
        <f t="array" ref="D85">_xlfn.LET(
  _xlpm.w, D$11,
  _xlpm.r, MATCH(1,('3. Enter Indicator Scores'!$B$10:$B$161=$B85)*('3. Enter Indicator Scores'!$C$10:$C$161=$C85),0),
  _xlpm.c, MATCH(D$8,'3. Enter Indicator Scores'!$D$8:$CZ$8,0),
  _xlpm.v, IFERROR(INDEX('3. Enter Indicator Scores'!$D$10:$CZ$161,_xlpm.r,_xlpm.c),""),
  IF(OR(_xlpm.w="",_xlpm.v=""),"",_xlpm.v*_xlpm.w)
)</f>
        <v/>
      </c>
      <c r="E85" s="93" t="str" cm="1">
        <f t="array" ref="E85">_xlfn.LET(
  _xlpm.w, E$11,
  _xlpm.r, MATCH(1,('3. Enter Indicator Scores'!$B$10:$B$161=$B85)*('3. Enter Indicator Scores'!$C$10:$C$161=$C85),0),
  _xlpm.c, MATCH(E$8,'3. Enter Indicator Scores'!$D$8:$CZ$8,0),
  _xlpm.v, IFERROR(INDEX('3. Enter Indicator Scores'!$D$10:$CZ$161,_xlpm.r,_xlpm.c),""),
  IF(OR(_xlpm.w="",_xlpm.v=""),"",_xlpm.v*_xlpm.w)
)</f>
        <v/>
      </c>
      <c r="F85" s="93" t="str" cm="1">
        <f t="array" ref="F85">_xlfn.LET(
  _xlpm.w, F$11,
  _xlpm.r, MATCH(1,('3. Enter Indicator Scores'!$B$10:$B$161=$B85)*('3. Enter Indicator Scores'!$C$10:$C$161=$C85),0),
  _xlpm.c, MATCH(F$8,'3. Enter Indicator Scores'!$D$8:$CZ$8,0),
  _xlpm.v, IFERROR(INDEX('3. Enter Indicator Scores'!$D$10:$CZ$161,_xlpm.r,_xlpm.c),""),
  IF(OR(_xlpm.w="",_xlpm.v=""),"",_xlpm.v*_xlpm.w)
)</f>
        <v/>
      </c>
      <c r="G85" s="93" t="str" cm="1">
        <f t="array" ref="G85">_xlfn.LET(
  _xlpm.w, G$11,
  _xlpm.r, MATCH(1,('3. Enter Indicator Scores'!$B$10:$B$161=$B85)*('3. Enter Indicator Scores'!$C$10:$C$161=$C85),0),
  _xlpm.c, MATCH(G$8,'3. Enter Indicator Scores'!$D$8:$CZ$8,0),
  _xlpm.v, IFERROR(INDEX('3. Enter Indicator Scores'!$D$10:$CZ$161,_xlpm.r,_xlpm.c),""),
  IF(OR(_xlpm.w="",_xlpm.v=""),"",_xlpm.v*_xlpm.w)
)</f>
        <v/>
      </c>
      <c r="H85" s="93" t="str" cm="1">
        <f t="array" ref="H85">_xlfn.LET(
  _xlpm.w, H$11,
  _xlpm.r, MATCH(1,('3. Enter Indicator Scores'!$B$10:$B$161=$B85)*('3. Enter Indicator Scores'!$C$10:$C$161=$C85),0),
  _xlpm.c, MATCH(H$8,'3. Enter Indicator Scores'!$D$8:$CZ$8,0),
  _xlpm.v, IFERROR(INDEX('3. Enter Indicator Scores'!$D$10:$CZ$161,_xlpm.r,_xlpm.c),""),
  IF(OR(_xlpm.w="",_xlpm.v=""),"",_xlpm.v*_xlpm.w)
)</f>
        <v/>
      </c>
      <c r="I85" s="93" t="str" cm="1">
        <f t="array" ref="I85">_xlfn.LET(
  _xlpm.w, I$11,
  _xlpm.r, MATCH(1,('3. Enter Indicator Scores'!$B$10:$B$161=$B85)*('3. Enter Indicator Scores'!$C$10:$C$161=$C85),0),
  _xlpm.c, MATCH(I$8,'3. Enter Indicator Scores'!$D$8:$CZ$8,0),
  _xlpm.v, IFERROR(INDEX('3. Enter Indicator Scores'!$D$10:$CZ$161,_xlpm.r,_xlpm.c),""),
  IF(OR(_xlpm.w="",_xlpm.v=""),"",_xlpm.v*_xlpm.w)
)</f>
        <v/>
      </c>
      <c r="J85" s="93" t="str" cm="1">
        <f t="array" ref="J85">_xlfn.LET(
  _xlpm.w, J$11,
  _xlpm.r, MATCH(1,('3. Enter Indicator Scores'!$B$10:$B$161=$B85)*('3. Enter Indicator Scores'!$C$10:$C$161=$C85),0),
  _xlpm.c, MATCH(J$8,'3. Enter Indicator Scores'!$D$8:$CZ$8,0),
  _xlpm.v, IFERROR(INDEX('3. Enter Indicator Scores'!$D$10:$CZ$161,_xlpm.r,_xlpm.c),""),
  IF(OR(_xlpm.w="",_xlpm.v=""),"",_xlpm.v*_xlpm.w)
)</f>
        <v/>
      </c>
      <c r="K85" s="93" t="str" cm="1">
        <f t="array" ref="K85">_xlfn.LET(
  _xlpm.w, K$11,
  _xlpm.r, MATCH(1,('3. Enter Indicator Scores'!$B$10:$B$161=$B85)*('3. Enter Indicator Scores'!$C$10:$C$161=$C85),0),
  _xlpm.c, MATCH(K$8,'3. Enter Indicator Scores'!$D$8:$CZ$8,0),
  _xlpm.v, IFERROR(INDEX('3. Enter Indicator Scores'!$D$10:$CZ$161,_xlpm.r,_xlpm.c),""),
  IF(OR(_xlpm.w="",_xlpm.v=""),"",_xlpm.v*_xlpm.w)
)</f>
        <v/>
      </c>
      <c r="L85" s="93" t="str" cm="1">
        <f t="array" ref="L85">_xlfn.LET(
  _xlpm.w, L$11,
  _xlpm.r, MATCH(1,('3. Enter Indicator Scores'!$B$10:$B$161=$B85)*('3. Enter Indicator Scores'!$C$10:$C$161=$C85),0),
  _xlpm.c, MATCH(L$8,'3. Enter Indicator Scores'!$D$8:$CZ$8,0),
  _xlpm.v, IFERROR(INDEX('3. Enter Indicator Scores'!$D$10:$CZ$161,_xlpm.r,_xlpm.c),""),
  IF(OR(_xlpm.w="",_xlpm.v=""),"",_xlpm.v*_xlpm.w)
)</f>
        <v/>
      </c>
      <c r="M85" s="93" t="str" cm="1">
        <f t="array" ref="M85">_xlfn.LET(
  _xlpm.w, M$11,
  _xlpm.r, MATCH(1,('3. Enter Indicator Scores'!$B$10:$B$161=$B85)*('3. Enter Indicator Scores'!$C$10:$C$161=$C85),0),
  _xlpm.c, MATCH(M$8,'3. Enter Indicator Scores'!$D$8:$CZ$8,0),
  _xlpm.v, IFERROR(INDEX('3. Enter Indicator Scores'!$D$10:$CZ$161,_xlpm.r,_xlpm.c),""),
  IF(OR(_xlpm.w="",_xlpm.v=""),"",_xlpm.v*_xlpm.w)
)</f>
        <v/>
      </c>
      <c r="N85" s="93" t="str" cm="1">
        <f t="array" ref="N85">_xlfn.LET(
  _xlpm.w, N$11,
  _xlpm.r, MATCH(1,('3. Enter Indicator Scores'!$B$10:$B$161=$B85)*('3. Enter Indicator Scores'!$C$10:$C$161=$C85),0),
  _xlpm.c, MATCH(N$8,'3. Enter Indicator Scores'!$D$8:$CZ$8,0),
  _xlpm.v, IFERROR(INDEX('3. Enter Indicator Scores'!$D$10:$CZ$161,_xlpm.r,_xlpm.c),""),
  IF(OR(_xlpm.w="",_xlpm.v=""),"",_xlpm.v*_xlpm.w)
)</f>
        <v/>
      </c>
      <c r="O85" s="93" t="str" cm="1">
        <f t="array" ref="O85">_xlfn.LET(
  _xlpm.w, O$11,
  _xlpm.r, MATCH(1,('3. Enter Indicator Scores'!$B$10:$B$161=$B85)*('3. Enter Indicator Scores'!$C$10:$C$161=$C85),0),
  _xlpm.c, MATCH(O$8,'3. Enter Indicator Scores'!$D$8:$CZ$8,0),
  _xlpm.v, IFERROR(INDEX('3. Enter Indicator Scores'!$D$10:$CZ$161,_xlpm.r,_xlpm.c),""),
  IF(OR(_xlpm.w="",_xlpm.v=""),"",_xlpm.v*_xlpm.w)
)</f>
        <v/>
      </c>
      <c r="P85" s="93" t="str" cm="1">
        <f t="array" ref="P85">_xlfn.LET(
  _xlpm.w, P$11,
  _xlpm.r, MATCH(1,('3. Enter Indicator Scores'!$B$10:$B$161=$B85)*('3. Enter Indicator Scores'!$C$10:$C$161=$C85),0),
  _xlpm.c, MATCH(P$8,'3. Enter Indicator Scores'!$D$8:$CZ$8,0),
  _xlpm.v, IFERROR(INDEX('3. Enter Indicator Scores'!$D$10:$CZ$161,_xlpm.r,_xlpm.c),""),
  IF(OR(_xlpm.w="",_xlpm.v=""),"",_xlpm.v*_xlpm.w)
)</f>
        <v/>
      </c>
      <c r="Q85" s="93" t="str" cm="1">
        <f t="array" ref="Q85">_xlfn.LET(
  _xlpm.w, Q$11,
  _xlpm.r, MATCH(1,('3. Enter Indicator Scores'!$B$10:$B$161=$B85)*('3. Enter Indicator Scores'!$C$10:$C$161=$C85),0),
  _xlpm.c, MATCH(Q$8,'3. Enter Indicator Scores'!$D$8:$CZ$8,0),
  _xlpm.v, IFERROR(INDEX('3. Enter Indicator Scores'!$D$10:$CZ$161,_xlpm.r,_xlpm.c),""),
  IF(OR(_xlpm.w="",_xlpm.v=""),"",_xlpm.v*_xlpm.w)
)</f>
        <v/>
      </c>
      <c r="R85" s="93" t="str" cm="1">
        <f t="array" ref="R85">_xlfn.LET(
  _xlpm.w, R$11,
  _xlpm.r, MATCH(1,('3. Enter Indicator Scores'!$B$10:$B$161=$B85)*('3. Enter Indicator Scores'!$C$10:$C$161=$C85),0),
  _xlpm.c, MATCH(R$8,'3. Enter Indicator Scores'!$D$8:$CZ$8,0),
  _xlpm.v, IFERROR(INDEX('3. Enter Indicator Scores'!$D$10:$CZ$161,_xlpm.r,_xlpm.c),""),
  IF(OR(_xlpm.w="",_xlpm.v=""),"",_xlpm.v*_xlpm.w)
)</f>
        <v/>
      </c>
      <c r="S85" s="93" t="str" cm="1">
        <f t="array" ref="S85">_xlfn.LET(
  _xlpm.w, S$11,
  _xlpm.r, MATCH(1,('3. Enter Indicator Scores'!$B$10:$B$161=$B85)*('3. Enter Indicator Scores'!$C$10:$C$161=$C85),0),
  _xlpm.c, MATCH(S$8,'3. Enter Indicator Scores'!$D$8:$CZ$8,0),
  _xlpm.v, IFERROR(INDEX('3. Enter Indicator Scores'!$D$10:$CZ$161,_xlpm.r,_xlpm.c),""),
  IF(OR(_xlpm.w="",_xlpm.v=""),"",_xlpm.v*_xlpm.w)
)</f>
        <v/>
      </c>
      <c r="T85" s="93" t="str" cm="1">
        <f t="array" ref="T85">_xlfn.LET(
  _xlpm.w, T$11,
  _xlpm.r, MATCH(1,('3. Enter Indicator Scores'!$B$10:$B$161=$B85)*('3. Enter Indicator Scores'!$C$10:$C$161=$C85),0),
  _xlpm.c, MATCH(T$8,'3. Enter Indicator Scores'!$D$8:$CZ$8,0),
  _xlpm.v, IFERROR(INDEX('3. Enter Indicator Scores'!$D$10:$CZ$161,_xlpm.r,_xlpm.c),""),
  IF(OR(_xlpm.w="",_xlpm.v=""),"",_xlpm.v*_xlpm.w)
)</f>
        <v/>
      </c>
      <c r="U85" s="93" t="str" cm="1">
        <f t="array" ref="U85">_xlfn.LET(
  _xlpm.w, U$11,
  _xlpm.r, MATCH(1,('3. Enter Indicator Scores'!$B$10:$B$161=$B85)*('3. Enter Indicator Scores'!$C$10:$C$161=$C85),0),
  _xlpm.c, MATCH(U$8,'3. Enter Indicator Scores'!$D$8:$CZ$8,0),
  _xlpm.v, IFERROR(INDEX('3. Enter Indicator Scores'!$D$10:$CZ$161,_xlpm.r,_xlpm.c),""),
  IF(OR(_xlpm.w="",_xlpm.v=""),"",_xlpm.v*_xlpm.w)
)</f>
        <v/>
      </c>
      <c r="V85" s="93" t="str" cm="1">
        <f t="array" ref="V85">_xlfn.LET(
  _xlpm.w, V$11,
  _xlpm.r, MATCH(1,('3. Enter Indicator Scores'!$B$10:$B$161=$B85)*('3. Enter Indicator Scores'!$C$10:$C$161=$C85),0),
  _xlpm.c, MATCH(V$8,'3. Enter Indicator Scores'!$D$8:$CZ$8,0),
  _xlpm.v, IFERROR(INDEX('3. Enter Indicator Scores'!$D$10:$CZ$161,_xlpm.r,_xlpm.c),""),
  IF(OR(_xlpm.w="",_xlpm.v=""),"",_xlpm.v*_xlpm.w)
)</f>
        <v/>
      </c>
      <c r="W85" s="93" t="str" cm="1">
        <f t="array" ref="W85">_xlfn.LET(
  _xlpm.w, W$11,
  _xlpm.r, MATCH(1,('3. Enter Indicator Scores'!$B$10:$B$161=$B85)*('3. Enter Indicator Scores'!$C$10:$C$161=$C85),0),
  _xlpm.c, MATCH(W$8,'3. Enter Indicator Scores'!$D$8:$CZ$8,0),
  _xlpm.v, IFERROR(INDEX('3. Enter Indicator Scores'!$D$10:$CZ$161,_xlpm.r,_xlpm.c),""),
  IF(OR(_xlpm.w="",_xlpm.v=""),"",_xlpm.v*_xlpm.w)
)</f>
        <v/>
      </c>
      <c r="X85" s="93" t="str" cm="1">
        <f t="array" ref="X85">_xlfn.LET(
  _xlpm.w, X$11,
  _xlpm.r, MATCH(1,('3. Enter Indicator Scores'!$B$10:$B$161=$B85)*('3. Enter Indicator Scores'!$C$10:$C$161=$C85),0),
  _xlpm.c, MATCH(X$8,'3. Enter Indicator Scores'!$D$8:$CZ$8,0),
  _xlpm.v, IFERROR(INDEX('3. Enter Indicator Scores'!$D$10:$CZ$161,_xlpm.r,_xlpm.c),""),
  IF(OR(_xlpm.w="",_xlpm.v=""),"",_xlpm.v*_xlpm.w)
)</f>
        <v/>
      </c>
      <c r="Y85" s="93" t="str" cm="1">
        <f t="array" ref="Y85">_xlfn.LET(
  _xlpm.w, Y$11,
  _xlpm.r, MATCH(1,('3. Enter Indicator Scores'!$B$10:$B$161=$B85)*('3. Enter Indicator Scores'!$C$10:$C$161=$C85),0),
  _xlpm.c, MATCH(Y$8,'3. Enter Indicator Scores'!$D$8:$CZ$8,0),
  _xlpm.v, IFERROR(INDEX('3. Enter Indicator Scores'!$D$10:$CZ$161,_xlpm.r,_xlpm.c),""),
  IF(OR(_xlpm.w="",_xlpm.v=""),"",_xlpm.v*_xlpm.w)
)</f>
        <v/>
      </c>
      <c r="Z85" s="93" t="str" cm="1">
        <f t="array" ref="Z85">_xlfn.LET(
  _xlpm.w, Z$11,
  _xlpm.r, MATCH(1,('3. Enter Indicator Scores'!$B$10:$B$161=$B85)*('3. Enter Indicator Scores'!$C$10:$C$161=$C85),0),
  _xlpm.c, MATCH(Z$8,'3. Enter Indicator Scores'!$D$8:$CZ$8,0),
  _xlpm.v, IFERROR(INDEX('3. Enter Indicator Scores'!$D$10:$CZ$161,_xlpm.r,_xlpm.c),""),
  IF(OR(_xlpm.w="",_xlpm.v=""),"",_xlpm.v*_xlpm.w)
)</f>
        <v/>
      </c>
      <c r="AA85" s="93" t="str" cm="1">
        <f t="array" ref="AA85">_xlfn.LET(
  _xlpm.w, AA$11,
  _xlpm.r, MATCH(1,('3. Enter Indicator Scores'!$B$10:$B$161=$B85)*('3. Enter Indicator Scores'!$C$10:$C$161=$C85),0),
  _xlpm.c, MATCH(AA$8,'3. Enter Indicator Scores'!$D$8:$CZ$8,0),
  _xlpm.v, IFERROR(INDEX('3. Enter Indicator Scores'!$D$10:$CZ$161,_xlpm.r,_xlpm.c),""),
  IF(OR(_xlpm.w="",_xlpm.v=""),"",_xlpm.v*_xlpm.w)
)</f>
        <v/>
      </c>
      <c r="AB85" s="93" t="str" cm="1">
        <f t="array" ref="AB85">_xlfn.LET(
  _xlpm.w, AB$11,
  _xlpm.r, MATCH(1,('3. Enter Indicator Scores'!$B$10:$B$161=$B85)*('3. Enter Indicator Scores'!$C$10:$C$161=$C85),0),
  _xlpm.c, MATCH(AB$8,'3. Enter Indicator Scores'!$D$8:$CZ$8,0),
  _xlpm.v, IFERROR(INDEX('3. Enter Indicator Scores'!$D$10:$CZ$161,_xlpm.r,_xlpm.c),""),
  IF(OR(_xlpm.w="",_xlpm.v=""),"",_xlpm.v*_xlpm.w)
)</f>
        <v/>
      </c>
      <c r="AC85" s="93" t="str" cm="1">
        <f t="array" ref="AC85">_xlfn.LET(
  _xlpm.w, AC$11,
  _xlpm.r, MATCH(1,('3. Enter Indicator Scores'!$B$10:$B$161=$B85)*('3. Enter Indicator Scores'!$C$10:$C$161=$C85),0),
  _xlpm.c, MATCH(AC$8,'3. Enter Indicator Scores'!$D$8:$CZ$8,0),
  _xlpm.v, IFERROR(INDEX('3. Enter Indicator Scores'!$D$10:$CZ$161,_xlpm.r,_xlpm.c),""),
  IF(OR(_xlpm.w="",_xlpm.v=""),"",_xlpm.v*_xlpm.w)
)</f>
        <v/>
      </c>
      <c r="AD85" s="93" t="str" cm="1">
        <f t="array" ref="AD85">_xlfn.LET(
  _xlpm.w, AD$11,
  _xlpm.r, MATCH(1,('3. Enter Indicator Scores'!$B$10:$B$161=$B85)*('3. Enter Indicator Scores'!$C$10:$C$161=$C85),0),
  _xlpm.c, MATCH(AD$8,'3. Enter Indicator Scores'!$D$8:$CZ$8,0),
  _xlpm.v, IFERROR(INDEX('3. Enter Indicator Scores'!$D$10:$CZ$161,_xlpm.r,_xlpm.c),""),
  IF(OR(_xlpm.w="",_xlpm.v=""),"",_xlpm.v*_xlpm.w)
)</f>
        <v/>
      </c>
      <c r="AE85" s="93" t="str" cm="1">
        <f t="array" ref="AE85">_xlfn.LET(
  _xlpm.w, AE$11,
  _xlpm.r, MATCH(1,('3. Enter Indicator Scores'!$B$10:$B$161=$B85)*('3. Enter Indicator Scores'!$C$10:$C$161=$C85),0),
  _xlpm.c, MATCH(AE$8,'3. Enter Indicator Scores'!$D$8:$CZ$8,0),
  _xlpm.v, IFERROR(INDEX('3. Enter Indicator Scores'!$D$10:$CZ$161,_xlpm.r,_xlpm.c),""),
  IF(OR(_xlpm.w="",_xlpm.v=""),"",_xlpm.v*_xlpm.w)
)</f>
        <v/>
      </c>
      <c r="AF85" s="93" t="str" cm="1">
        <f t="array" ref="AF85">_xlfn.LET(
  _xlpm.w, AF$11,
  _xlpm.r, MATCH(1,('3. Enter Indicator Scores'!$B$10:$B$161=$B85)*('3. Enter Indicator Scores'!$C$10:$C$161=$C85),0),
  _xlpm.c, MATCH(AF$8,'3. Enter Indicator Scores'!$D$8:$CZ$8,0),
  _xlpm.v, IFERROR(INDEX('3. Enter Indicator Scores'!$D$10:$CZ$161,_xlpm.r,_xlpm.c),""),
  IF(OR(_xlpm.w="",_xlpm.v=""),"",_xlpm.v*_xlpm.w)
)</f>
        <v/>
      </c>
      <c r="AG85" s="93" t="str" cm="1">
        <f t="array" ref="AG85">_xlfn.LET(
  _xlpm.w, AG$11,
  _xlpm.r, MATCH(1,('3. Enter Indicator Scores'!$B$10:$B$161=$B85)*('3. Enter Indicator Scores'!$C$10:$C$161=$C85),0),
  _xlpm.c, MATCH(AG$8,'3. Enter Indicator Scores'!$D$8:$CZ$8,0),
  _xlpm.v, IFERROR(INDEX('3. Enter Indicator Scores'!$D$10:$CZ$161,_xlpm.r,_xlpm.c),""),
  IF(OR(_xlpm.w="",_xlpm.v=""),"",_xlpm.v*_xlpm.w)
)</f>
        <v/>
      </c>
      <c r="AH85" s="93" t="str" cm="1">
        <f t="array" ref="AH85">_xlfn.LET(
  _xlpm.w, AH$11,
  _xlpm.r, MATCH(1,('3. Enter Indicator Scores'!$B$10:$B$161=$B85)*('3. Enter Indicator Scores'!$C$10:$C$161=$C85),0),
  _xlpm.c, MATCH(AH$8,'3. Enter Indicator Scores'!$D$8:$CZ$8,0),
  _xlpm.v, IFERROR(INDEX('3. Enter Indicator Scores'!$D$10:$CZ$161,_xlpm.r,_xlpm.c),""),
  IF(OR(_xlpm.w="",_xlpm.v=""),"",_xlpm.v*_xlpm.w)
)</f>
        <v/>
      </c>
      <c r="AI85" s="93" t="str" cm="1">
        <f t="array" ref="AI85">_xlfn.LET(
  _xlpm.w, AI$11,
  _xlpm.r, MATCH(1,('3. Enter Indicator Scores'!$B$10:$B$161=$B85)*('3. Enter Indicator Scores'!$C$10:$C$161=$C85),0),
  _xlpm.c, MATCH(AI$8,'3. Enter Indicator Scores'!$D$8:$CZ$8,0),
  _xlpm.v, IFERROR(INDEX('3. Enter Indicator Scores'!$D$10:$CZ$161,_xlpm.r,_xlpm.c),""),
  IF(OR(_xlpm.w="",_xlpm.v=""),"",_xlpm.v*_xlpm.w)
)</f>
        <v/>
      </c>
      <c r="AJ85" s="93" t="str" cm="1">
        <f t="array" ref="AJ85">_xlfn.LET(
  _xlpm.w, AJ$11,
  _xlpm.r, MATCH(1,('3. Enter Indicator Scores'!$B$10:$B$161=$B85)*('3. Enter Indicator Scores'!$C$10:$C$161=$C85),0),
  _xlpm.c, MATCH(AJ$8,'3. Enter Indicator Scores'!$D$8:$CZ$8,0),
  _xlpm.v, IFERROR(INDEX('3. Enter Indicator Scores'!$D$10:$CZ$161,_xlpm.r,_xlpm.c),""),
  IF(OR(_xlpm.w="",_xlpm.v=""),"",_xlpm.v*_xlpm.w)
)</f>
        <v/>
      </c>
      <c r="AK85" s="93" t="str" cm="1">
        <f t="array" ref="AK85">_xlfn.LET(
  _xlpm.w, AK$11,
  _xlpm.r, MATCH(1,('3. Enter Indicator Scores'!$B$10:$B$161=$B85)*('3. Enter Indicator Scores'!$C$10:$C$161=$C85),0),
  _xlpm.c, MATCH(AK$8,'3. Enter Indicator Scores'!$D$8:$CZ$8,0),
  _xlpm.v, IFERROR(INDEX('3. Enter Indicator Scores'!$D$10:$CZ$161,_xlpm.r,_xlpm.c),""),
  IF(OR(_xlpm.w="",_xlpm.v=""),"",_xlpm.v*_xlpm.w)
)</f>
        <v/>
      </c>
      <c r="AL85" s="93" t="str" cm="1">
        <f t="array" ref="AL85">_xlfn.LET(
  _xlpm.w, AL$11,
  _xlpm.r, MATCH(1,('3. Enter Indicator Scores'!$B$10:$B$161=$B85)*('3. Enter Indicator Scores'!$C$10:$C$161=$C85),0),
  _xlpm.c, MATCH(AL$8,'3. Enter Indicator Scores'!$D$8:$CZ$8,0),
  _xlpm.v, IFERROR(INDEX('3. Enter Indicator Scores'!$D$10:$CZ$161,_xlpm.r,_xlpm.c),""),
  IF(OR(_xlpm.w="",_xlpm.v=""),"",_xlpm.v*_xlpm.w)
)</f>
        <v/>
      </c>
      <c r="AM85" s="93" t="str" cm="1">
        <f t="array" ref="AM85">_xlfn.LET(
  _xlpm.w, AM$11,
  _xlpm.r, MATCH(1,('3. Enter Indicator Scores'!$B$10:$B$161=$B85)*('3. Enter Indicator Scores'!$C$10:$C$161=$C85),0),
  _xlpm.c, MATCH(AM$8,'3. Enter Indicator Scores'!$D$8:$CZ$8,0),
  _xlpm.v, IFERROR(INDEX('3. Enter Indicator Scores'!$D$10:$CZ$161,_xlpm.r,_xlpm.c),""),
  IF(OR(_xlpm.w="",_xlpm.v=""),"",_xlpm.v*_xlpm.w)
)</f>
        <v/>
      </c>
      <c r="AN85" s="93" t="str" cm="1">
        <f t="array" ref="AN85">_xlfn.LET(
  _xlpm.w, AN$11,
  _xlpm.r, MATCH(1,('3. Enter Indicator Scores'!$B$10:$B$161=$B85)*('3. Enter Indicator Scores'!$C$10:$C$161=$C85),0),
  _xlpm.c, MATCH(AN$8,'3. Enter Indicator Scores'!$D$8:$CZ$8,0),
  _xlpm.v, IFERROR(INDEX('3. Enter Indicator Scores'!$D$10:$CZ$161,_xlpm.r,_xlpm.c),""),
  IF(OR(_xlpm.w="",_xlpm.v=""),"",_xlpm.v*_xlpm.w)
)</f>
        <v/>
      </c>
      <c r="AO85" s="93" t="str" cm="1">
        <f t="array" ref="AO85">_xlfn.LET(
  _xlpm.w, AO$11,
  _xlpm.r, MATCH(1,('3. Enter Indicator Scores'!$B$10:$B$161=$B85)*('3. Enter Indicator Scores'!$C$10:$C$161=$C85),0),
  _xlpm.c, MATCH(AO$8,'3. Enter Indicator Scores'!$D$8:$CZ$8,0),
  _xlpm.v, IFERROR(INDEX('3. Enter Indicator Scores'!$D$10:$CZ$161,_xlpm.r,_xlpm.c),""),
  IF(OR(_xlpm.w="",_xlpm.v=""),"",_xlpm.v*_xlpm.w)
)</f>
        <v/>
      </c>
      <c r="AP85" s="93" t="str" cm="1">
        <f t="array" ref="AP85">_xlfn.LET(
  _xlpm.w, AP$11,
  _xlpm.r, MATCH(1,('3. Enter Indicator Scores'!$B$10:$B$161=$B85)*('3. Enter Indicator Scores'!$C$10:$C$161=$C85),0),
  _xlpm.c, MATCH(AP$8,'3. Enter Indicator Scores'!$D$8:$CZ$8,0),
  _xlpm.v, IFERROR(INDEX('3. Enter Indicator Scores'!$D$10:$CZ$161,_xlpm.r,_xlpm.c),""),
  IF(OR(_xlpm.w="",_xlpm.v=""),"",_xlpm.v*_xlpm.w)
)</f>
        <v/>
      </c>
      <c r="AQ85" s="93" t="str" cm="1">
        <f t="array" ref="AQ85">_xlfn.LET(
  _xlpm.w, AQ$11,
  _xlpm.r, MATCH(1,('3. Enter Indicator Scores'!$B$10:$B$161=$B85)*('3. Enter Indicator Scores'!$C$10:$C$161=$C85),0),
  _xlpm.c, MATCH(AQ$8,'3. Enter Indicator Scores'!$D$8:$CZ$8,0),
  _xlpm.v, IFERROR(INDEX('3. Enter Indicator Scores'!$D$10:$CZ$161,_xlpm.r,_xlpm.c),""),
  IF(OR(_xlpm.w="",_xlpm.v=""),"",_xlpm.v*_xlpm.w)
)</f>
        <v/>
      </c>
      <c r="AR85" s="93" t="str" cm="1">
        <f t="array" ref="AR85">_xlfn.LET(
  _xlpm.w, AR$11,
  _xlpm.r, MATCH(1,('3. Enter Indicator Scores'!$B$10:$B$161=$B85)*('3. Enter Indicator Scores'!$C$10:$C$161=$C85),0),
  _xlpm.c, MATCH(AR$8,'3. Enter Indicator Scores'!$D$8:$CZ$8,0),
  _xlpm.v, IFERROR(INDEX('3. Enter Indicator Scores'!$D$10:$CZ$161,_xlpm.r,_xlpm.c),""),
  IF(OR(_xlpm.w="",_xlpm.v=""),"",_xlpm.v*_xlpm.w)
)</f>
        <v/>
      </c>
      <c r="AS85" s="93" t="str" cm="1">
        <f t="array" ref="AS85">_xlfn.LET(
  _xlpm.w, AS$11,
  _xlpm.r, MATCH(1,('3. Enter Indicator Scores'!$B$10:$B$161=$B85)*('3. Enter Indicator Scores'!$C$10:$C$161=$C85),0),
  _xlpm.c, MATCH(AS$8,'3. Enter Indicator Scores'!$D$8:$CZ$8,0),
  _xlpm.v, IFERROR(INDEX('3. Enter Indicator Scores'!$D$10:$CZ$161,_xlpm.r,_xlpm.c),""),
  IF(OR(_xlpm.w="",_xlpm.v=""),"",_xlpm.v*_xlpm.w)
)</f>
        <v/>
      </c>
      <c r="AT85" s="93" t="str" cm="1">
        <f t="array" ref="AT85">_xlfn.LET(
  _xlpm.w, AT$11,
  _xlpm.r, MATCH(1,('3. Enter Indicator Scores'!$B$10:$B$161=$B85)*('3. Enter Indicator Scores'!$C$10:$C$161=$C85),0),
  _xlpm.c, MATCH(AT$8,'3. Enter Indicator Scores'!$D$8:$CZ$8,0),
  _xlpm.v, IFERROR(INDEX('3. Enter Indicator Scores'!$D$10:$CZ$161,_xlpm.r,_xlpm.c),""),
  IF(OR(_xlpm.w="",_xlpm.v=""),"",_xlpm.v*_xlpm.w)
)</f>
        <v/>
      </c>
      <c r="AU85" s="93" t="str" cm="1">
        <f t="array" ref="AU85">_xlfn.LET(
  _xlpm.w, AU$11,
  _xlpm.r, MATCH(1,('3. Enter Indicator Scores'!$B$10:$B$161=$B85)*('3. Enter Indicator Scores'!$C$10:$C$161=$C85),0),
  _xlpm.c, MATCH(AU$8,'3. Enter Indicator Scores'!$D$8:$CZ$8,0),
  _xlpm.v, IFERROR(INDEX('3. Enter Indicator Scores'!$D$10:$CZ$161,_xlpm.r,_xlpm.c),""),
  IF(OR(_xlpm.w="",_xlpm.v=""),"",_xlpm.v*_xlpm.w)
)</f>
        <v/>
      </c>
      <c r="AV85" s="93" t="str" cm="1">
        <f t="array" ref="AV85">_xlfn.LET(
  _xlpm.w, AV$11,
  _xlpm.r, MATCH(1,('3. Enter Indicator Scores'!$B$10:$B$161=$B85)*('3. Enter Indicator Scores'!$C$10:$C$161=$C85),0),
  _xlpm.c, MATCH(AV$8,'3. Enter Indicator Scores'!$D$8:$CZ$8,0),
  _xlpm.v, IFERROR(INDEX('3. Enter Indicator Scores'!$D$10:$CZ$161,_xlpm.r,_xlpm.c),""),
  IF(OR(_xlpm.w="",_xlpm.v=""),"",_xlpm.v*_xlpm.w)
)</f>
        <v/>
      </c>
      <c r="AW85" s="93" t="str" cm="1">
        <f t="array" ref="AW85">_xlfn.LET(
  _xlpm.w, AW$11,
  _xlpm.r, MATCH(1,('3. Enter Indicator Scores'!$B$10:$B$161=$B85)*('3. Enter Indicator Scores'!$C$10:$C$161=$C85),0),
  _xlpm.c, MATCH(AW$8,'3. Enter Indicator Scores'!$D$8:$CZ$8,0),
  _xlpm.v, IFERROR(INDEX('3. Enter Indicator Scores'!$D$10:$CZ$161,_xlpm.r,_xlpm.c),""),
  IF(OR(_xlpm.w="",_xlpm.v=""),"",_xlpm.v*_xlpm.w)
)</f>
        <v/>
      </c>
      <c r="AX85" s="93" t="str" cm="1">
        <f t="array" ref="AX85">_xlfn.LET(
  _xlpm.w, AX$11,
  _xlpm.r, MATCH(1,('3. Enter Indicator Scores'!$B$10:$B$161=$B85)*('3. Enter Indicator Scores'!$C$10:$C$161=$C85),0),
  _xlpm.c, MATCH(AX$8,'3. Enter Indicator Scores'!$D$8:$CZ$8,0),
  _xlpm.v, IFERROR(INDEX('3. Enter Indicator Scores'!$D$10:$CZ$161,_xlpm.r,_xlpm.c),""),
  IF(OR(_xlpm.w="",_xlpm.v=""),"",_xlpm.v*_xlpm.w)
)</f>
        <v/>
      </c>
      <c r="AY85" s="93" t="str" cm="1">
        <f t="array" ref="AY85">_xlfn.LET(
  _xlpm.w, AY$11,
  _xlpm.r, MATCH(1,('3. Enter Indicator Scores'!$B$10:$B$161=$B85)*('3. Enter Indicator Scores'!$C$10:$C$161=$C85),0),
  _xlpm.c, MATCH(AY$8,'3. Enter Indicator Scores'!$D$8:$CZ$8,0),
  _xlpm.v, IFERROR(INDEX('3. Enter Indicator Scores'!$D$10:$CZ$161,_xlpm.r,_xlpm.c),""),
  IF(OR(_xlpm.w="",_xlpm.v=""),"",_xlpm.v*_xlpm.w)
)</f>
        <v/>
      </c>
      <c r="AZ85" s="93" t="str" cm="1">
        <f t="array" ref="AZ85">_xlfn.LET(
  _xlpm.w, AZ$11,
  _xlpm.r, MATCH(1,('3. Enter Indicator Scores'!$B$10:$B$161=$B85)*('3. Enter Indicator Scores'!$C$10:$C$161=$C85),0),
  _xlpm.c, MATCH(AZ$8,'3. Enter Indicator Scores'!$D$8:$CZ$8,0),
  _xlpm.v, IFERROR(INDEX('3. Enter Indicator Scores'!$D$10:$CZ$161,_xlpm.r,_xlpm.c),""),
  IF(OR(_xlpm.w="",_xlpm.v=""),"",_xlpm.v*_xlpm.w)
)</f>
        <v/>
      </c>
      <c r="BA85" s="93" t="str" cm="1">
        <f t="array" ref="BA85">_xlfn.LET(
  _xlpm.w, BA$11,
  _xlpm.r, MATCH(1,('3. Enter Indicator Scores'!$B$10:$B$161=$B85)*('3. Enter Indicator Scores'!$C$10:$C$161=$C85),0),
  _xlpm.c, MATCH(BA$8,'3. Enter Indicator Scores'!$D$8:$CZ$8,0),
  _xlpm.v, IFERROR(INDEX('3. Enter Indicator Scores'!$D$10:$CZ$161,_xlpm.r,_xlpm.c),""),
  IF(OR(_xlpm.w="",_xlpm.v=""),"",_xlpm.v*_xlpm.w)
)</f>
        <v/>
      </c>
      <c r="BB85" s="93" t="str" cm="1">
        <f t="array" ref="BB85">_xlfn.LET(
  _xlpm.w, BB$11,
  _xlpm.r, MATCH(1,('3. Enter Indicator Scores'!$B$10:$B$161=$B85)*('3. Enter Indicator Scores'!$C$10:$C$161=$C85),0),
  _xlpm.c, MATCH(BB$8,'3. Enter Indicator Scores'!$D$8:$CZ$8,0),
  _xlpm.v, IFERROR(INDEX('3. Enter Indicator Scores'!$D$10:$CZ$161,_xlpm.r,_xlpm.c),""),
  IF(OR(_xlpm.w="",_xlpm.v=""),"",_xlpm.v*_xlpm.w)
)</f>
        <v/>
      </c>
      <c r="BC85" s="93" t="str" cm="1">
        <f t="array" ref="BC85">_xlfn.LET(
  _xlpm.w, BC$11,
  _xlpm.r, MATCH(1,('3. Enter Indicator Scores'!$B$10:$B$161=$B85)*('3. Enter Indicator Scores'!$C$10:$C$161=$C85),0),
  _xlpm.c, MATCH(BC$8,'3. Enter Indicator Scores'!$D$8:$CZ$8,0),
  _xlpm.v, IFERROR(INDEX('3. Enter Indicator Scores'!$D$10:$CZ$161,_xlpm.r,_xlpm.c),""),
  IF(OR(_xlpm.w="",_xlpm.v=""),"",_xlpm.v*_xlpm.w)
)</f>
        <v/>
      </c>
      <c r="BD85" s="93" t="str" cm="1">
        <f t="array" ref="BD85">_xlfn.LET(
  _xlpm.w, BD$11,
  _xlpm.r, MATCH(1,('3. Enter Indicator Scores'!$B$10:$B$161=$B85)*('3. Enter Indicator Scores'!$C$10:$C$161=$C85),0),
  _xlpm.c, MATCH(BD$8,'3. Enter Indicator Scores'!$D$8:$CZ$8,0),
  _xlpm.v, IFERROR(INDEX('3. Enter Indicator Scores'!$D$10:$CZ$161,_xlpm.r,_xlpm.c),""),
  IF(OR(_xlpm.w="",_xlpm.v=""),"",_xlpm.v*_xlpm.w)
)</f>
        <v/>
      </c>
      <c r="BE85" s="93" t="str" cm="1">
        <f t="array" ref="BE85">_xlfn.LET(
  _xlpm.w, BE$11,
  _xlpm.r, MATCH(1,('3. Enter Indicator Scores'!$B$10:$B$161=$B85)*('3. Enter Indicator Scores'!$C$10:$C$161=$C85),0),
  _xlpm.c, MATCH(BE$8,'3. Enter Indicator Scores'!$D$8:$CZ$8,0),
  _xlpm.v, IFERROR(INDEX('3. Enter Indicator Scores'!$D$10:$CZ$161,_xlpm.r,_xlpm.c),""),
  IF(OR(_xlpm.w="",_xlpm.v=""),"",_xlpm.v*_xlpm.w)
)</f>
        <v/>
      </c>
      <c r="BF85" s="93" t="str" cm="1">
        <f t="array" ref="BF85">_xlfn.LET(
  _xlpm.w, BF$11,
  _xlpm.r, MATCH(1,('3. Enter Indicator Scores'!$B$10:$B$161=$B85)*('3. Enter Indicator Scores'!$C$10:$C$161=$C85),0),
  _xlpm.c, MATCH(BF$8,'3. Enter Indicator Scores'!$D$8:$CZ$8,0),
  _xlpm.v, IFERROR(INDEX('3. Enter Indicator Scores'!$D$10:$CZ$161,_xlpm.r,_xlpm.c),""),
  IF(OR(_xlpm.w="",_xlpm.v=""),"",_xlpm.v*_xlpm.w)
)</f>
        <v/>
      </c>
      <c r="BG85" s="93" t="str" cm="1">
        <f t="array" ref="BG85">_xlfn.LET(
  _xlpm.w, BG$11,
  _xlpm.r, MATCH(1,('3. Enter Indicator Scores'!$B$10:$B$161=$B85)*('3. Enter Indicator Scores'!$C$10:$C$161=$C85),0),
  _xlpm.c, MATCH(BG$8,'3. Enter Indicator Scores'!$D$8:$CZ$8,0),
  _xlpm.v, IFERROR(INDEX('3. Enter Indicator Scores'!$D$10:$CZ$161,_xlpm.r,_xlpm.c),""),
  IF(OR(_xlpm.w="",_xlpm.v=""),"",_xlpm.v*_xlpm.w)
)</f>
        <v/>
      </c>
      <c r="BH85" s="93" t="str" cm="1">
        <f t="array" ref="BH85">_xlfn.LET(
  _xlpm.w, BH$11,
  _xlpm.r, MATCH(1,('3. Enter Indicator Scores'!$B$10:$B$161=$B85)*('3. Enter Indicator Scores'!$C$10:$C$161=$C85),0),
  _xlpm.c, MATCH(BH$8,'3. Enter Indicator Scores'!$D$8:$CZ$8,0),
  _xlpm.v, IFERROR(INDEX('3. Enter Indicator Scores'!$D$10:$CZ$161,_xlpm.r,_xlpm.c),""),
  IF(OR(_xlpm.w="",_xlpm.v=""),"",_xlpm.v*_xlpm.w)
)</f>
        <v/>
      </c>
      <c r="BI85" s="93" t="str" cm="1">
        <f t="array" ref="BI85">_xlfn.LET(
  _xlpm.w, BI$11,
  _xlpm.r, MATCH(1,('3. Enter Indicator Scores'!$B$10:$B$161=$B85)*('3. Enter Indicator Scores'!$C$10:$C$161=$C85),0),
  _xlpm.c, MATCH(BI$8,'3. Enter Indicator Scores'!$D$8:$CZ$8,0),
  _xlpm.v, IFERROR(INDEX('3. Enter Indicator Scores'!$D$10:$CZ$161,_xlpm.r,_xlpm.c),""),
  IF(OR(_xlpm.w="",_xlpm.v=""),"",_xlpm.v*_xlpm.w)
)</f>
        <v/>
      </c>
      <c r="BJ85" s="93" t="str" cm="1">
        <f t="array" ref="BJ85">_xlfn.LET(
  _xlpm.w, BJ$11,
  _xlpm.r, MATCH(1,('3. Enter Indicator Scores'!$B$10:$B$161=$B85)*('3. Enter Indicator Scores'!$C$10:$C$161=$C85),0),
  _xlpm.c, MATCH(BJ$8,'3. Enter Indicator Scores'!$D$8:$CZ$8,0),
  _xlpm.v, IFERROR(INDEX('3. Enter Indicator Scores'!$D$10:$CZ$161,_xlpm.r,_xlpm.c),""),
  IF(OR(_xlpm.w="",_xlpm.v=""),"",_xlpm.v*_xlpm.w)
)</f>
        <v/>
      </c>
      <c r="BK85" s="93" t="str" cm="1">
        <f t="array" ref="BK85">_xlfn.LET(
  _xlpm.w, BK$11,
  _xlpm.r, MATCH(1,('3. Enter Indicator Scores'!$B$10:$B$161=$B85)*('3. Enter Indicator Scores'!$C$10:$C$161=$C85),0),
  _xlpm.c, MATCH(BK$8,'3. Enter Indicator Scores'!$D$8:$CZ$8,0),
  _xlpm.v, IFERROR(INDEX('3. Enter Indicator Scores'!$D$10:$CZ$161,_xlpm.r,_xlpm.c),""),
  IF(OR(_xlpm.w="",_xlpm.v=""),"",_xlpm.v*_xlpm.w)
)</f>
        <v/>
      </c>
      <c r="BL85" s="93" t="str" cm="1">
        <f t="array" ref="BL85">_xlfn.LET(
  _xlpm.w, BL$11,
  _xlpm.r, MATCH(1,('3. Enter Indicator Scores'!$B$10:$B$161=$B85)*('3. Enter Indicator Scores'!$C$10:$C$161=$C85),0),
  _xlpm.c, MATCH(BL$8,'3. Enter Indicator Scores'!$D$8:$CZ$8,0),
  _xlpm.v, IFERROR(INDEX('3. Enter Indicator Scores'!$D$10:$CZ$161,_xlpm.r,_xlpm.c),""),
  IF(OR(_xlpm.w="",_xlpm.v=""),"",_xlpm.v*_xlpm.w)
)</f>
        <v/>
      </c>
      <c r="BM85" s="93" t="str" cm="1">
        <f t="array" ref="BM85">_xlfn.LET(
  _xlpm.w, BM$11,
  _xlpm.r, MATCH(1,('3. Enter Indicator Scores'!$B$10:$B$161=$B85)*('3. Enter Indicator Scores'!$C$10:$C$161=$C85),0),
  _xlpm.c, MATCH(BM$8,'3. Enter Indicator Scores'!$D$8:$CZ$8,0),
  _xlpm.v, IFERROR(INDEX('3. Enter Indicator Scores'!$D$10:$CZ$161,_xlpm.r,_xlpm.c),""),
  IF(OR(_xlpm.w="",_xlpm.v=""),"",_xlpm.v*_xlpm.w)
)</f>
        <v/>
      </c>
      <c r="BN85" s="93" t="str" cm="1">
        <f t="array" ref="BN85">_xlfn.LET(
  _xlpm.w, BN$11,
  _xlpm.r, MATCH(1,('3. Enter Indicator Scores'!$B$10:$B$161=$B85)*('3. Enter Indicator Scores'!$C$10:$C$161=$C85),0),
  _xlpm.c, MATCH(BN$8,'3. Enter Indicator Scores'!$D$8:$CZ$8,0),
  _xlpm.v, IFERROR(INDEX('3. Enter Indicator Scores'!$D$10:$CZ$161,_xlpm.r,_xlpm.c),""),
  IF(OR(_xlpm.w="",_xlpm.v=""),"",_xlpm.v*_xlpm.w)
)</f>
        <v/>
      </c>
      <c r="BO85" s="93" t="str" cm="1">
        <f t="array" ref="BO85">_xlfn.LET(
  _xlpm.w, BO$11,
  _xlpm.r, MATCH(1,('3. Enter Indicator Scores'!$B$10:$B$161=$B85)*('3. Enter Indicator Scores'!$C$10:$C$161=$C85),0),
  _xlpm.c, MATCH(BO$8,'3. Enter Indicator Scores'!$D$8:$CZ$8,0),
  _xlpm.v, IFERROR(INDEX('3. Enter Indicator Scores'!$D$10:$CZ$161,_xlpm.r,_xlpm.c),""),
  IF(OR(_xlpm.w="",_xlpm.v=""),"",_xlpm.v*_xlpm.w)
)</f>
        <v/>
      </c>
      <c r="BP85" s="93" t="str" cm="1">
        <f t="array" ref="BP85">_xlfn.LET(
  _xlpm.w, BP$11,
  _xlpm.r, MATCH(1,('3. Enter Indicator Scores'!$B$10:$B$161=$B85)*('3. Enter Indicator Scores'!$C$10:$C$161=$C85),0),
  _xlpm.c, MATCH(BP$8,'3. Enter Indicator Scores'!$D$8:$CZ$8,0),
  _xlpm.v, IFERROR(INDEX('3. Enter Indicator Scores'!$D$10:$CZ$161,_xlpm.r,_xlpm.c),""),
  IF(OR(_xlpm.w="",_xlpm.v=""),"",_xlpm.v*_xlpm.w)
)</f>
        <v/>
      </c>
      <c r="BQ85" s="93" t="str" cm="1">
        <f t="array" ref="BQ85">_xlfn.LET(
  _xlpm.w, BQ$11,
  _xlpm.r, MATCH(1,('3. Enter Indicator Scores'!$B$10:$B$161=$B85)*('3. Enter Indicator Scores'!$C$10:$C$161=$C85),0),
  _xlpm.c, MATCH(BQ$8,'3. Enter Indicator Scores'!$D$8:$CZ$8,0),
  _xlpm.v, IFERROR(INDEX('3. Enter Indicator Scores'!$D$10:$CZ$161,_xlpm.r,_xlpm.c),""),
  IF(OR(_xlpm.w="",_xlpm.v=""),"",_xlpm.v*_xlpm.w)
)</f>
        <v/>
      </c>
      <c r="BR85" s="93" t="str" cm="1">
        <f t="array" ref="BR85">_xlfn.LET(
  _xlpm.w, BR$11,
  _xlpm.r, MATCH(1,('3. Enter Indicator Scores'!$B$10:$B$161=$B85)*('3. Enter Indicator Scores'!$C$10:$C$161=$C85),0),
  _xlpm.c, MATCH(BR$8,'3. Enter Indicator Scores'!$D$8:$CZ$8,0),
  _xlpm.v, IFERROR(INDEX('3. Enter Indicator Scores'!$D$10:$CZ$161,_xlpm.r,_xlpm.c),""),
  IF(OR(_xlpm.w="",_xlpm.v=""),"",_xlpm.v*_xlpm.w)
)</f>
        <v/>
      </c>
      <c r="BS85" s="93" t="str" cm="1">
        <f t="array" ref="BS85">_xlfn.LET(
  _xlpm.w, BS$11,
  _xlpm.r, MATCH(1,('3. Enter Indicator Scores'!$B$10:$B$161=$B85)*('3. Enter Indicator Scores'!$C$10:$C$161=$C85),0),
  _xlpm.c, MATCH(BS$8,'3. Enter Indicator Scores'!$D$8:$CZ$8,0),
  _xlpm.v, IFERROR(INDEX('3. Enter Indicator Scores'!$D$10:$CZ$161,_xlpm.r,_xlpm.c),""),
  IF(OR(_xlpm.w="",_xlpm.v=""),"",_xlpm.v*_xlpm.w)
)</f>
        <v/>
      </c>
      <c r="BT85" s="93" t="str" cm="1">
        <f t="array" ref="BT85">_xlfn.LET(
  _xlpm.w, BT$11,
  _xlpm.r, MATCH(1,('3. Enter Indicator Scores'!$B$10:$B$161=$B85)*('3. Enter Indicator Scores'!$C$10:$C$161=$C85),0),
  _xlpm.c, MATCH(BT$8,'3. Enter Indicator Scores'!$D$8:$CZ$8,0),
  _xlpm.v, IFERROR(INDEX('3. Enter Indicator Scores'!$D$10:$CZ$161,_xlpm.r,_xlpm.c),""),
  IF(OR(_xlpm.w="",_xlpm.v=""),"",_xlpm.v*_xlpm.w)
)</f>
        <v/>
      </c>
      <c r="BU85" s="93" t="str" cm="1">
        <f t="array" ref="BU85">_xlfn.LET(
  _xlpm.w, BU$11,
  _xlpm.r, MATCH(1,('3. Enter Indicator Scores'!$B$10:$B$161=$B85)*('3. Enter Indicator Scores'!$C$10:$C$161=$C85),0),
  _xlpm.c, MATCH(BU$8,'3. Enter Indicator Scores'!$D$8:$CZ$8,0),
  _xlpm.v, IFERROR(INDEX('3. Enter Indicator Scores'!$D$10:$CZ$161,_xlpm.r,_xlpm.c),""),
  IF(OR(_xlpm.w="",_xlpm.v=""),"",_xlpm.v*_xlpm.w)
)</f>
        <v/>
      </c>
      <c r="BV85" s="93" t="str" cm="1">
        <f t="array" ref="BV85">_xlfn.LET(
  _xlpm.w, BV$11,
  _xlpm.r, MATCH(1,('3. Enter Indicator Scores'!$B$10:$B$161=$B85)*('3. Enter Indicator Scores'!$C$10:$C$161=$C85),0),
  _xlpm.c, MATCH(BV$8,'3. Enter Indicator Scores'!$D$8:$CZ$8,0),
  _xlpm.v, IFERROR(INDEX('3. Enter Indicator Scores'!$D$10:$CZ$161,_xlpm.r,_xlpm.c),""),
  IF(OR(_xlpm.w="",_xlpm.v=""),"",_xlpm.v*_xlpm.w)
)</f>
        <v/>
      </c>
      <c r="BW85" s="93" t="str" cm="1">
        <f t="array" ref="BW85">_xlfn.LET(
  _xlpm.w, BW$11,
  _xlpm.r, MATCH(1,('3. Enter Indicator Scores'!$B$10:$B$161=$B85)*('3. Enter Indicator Scores'!$C$10:$C$161=$C85),0),
  _xlpm.c, MATCH(BW$8,'3. Enter Indicator Scores'!$D$8:$CZ$8,0),
  _xlpm.v, IFERROR(INDEX('3. Enter Indicator Scores'!$D$10:$CZ$161,_xlpm.r,_xlpm.c),""),
  IF(OR(_xlpm.w="",_xlpm.v=""),"",_xlpm.v*_xlpm.w)
)</f>
        <v/>
      </c>
      <c r="BX85" s="93" t="str" cm="1">
        <f t="array" ref="BX85">_xlfn.LET(
  _xlpm.w, BX$11,
  _xlpm.r, MATCH(1,('3. Enter Indicator Scores'!$B$10:$B$161=$B85)*('3. Enter Indicator Scores'!$C$10:$C$161=$C85),0),
  _xlpm.c, MATCH(BX$8,'3. Enter Indicator Scores'!$D$8:$CZ$8,0),
  _xlpm.v, IFERROR(INDEX('3. Enter Indicator Scores'!$D$10:$CZ$161,_xlpm.r,_xlpm.c),""),
  IF(OR(_xlpm.w="",_xlpm.v=""),"",_xlpm.v*_xlpm.w)
)</f>
        <v/>
      </c>
      <c r="BY85" s="93" t="str" cm="1">
        <f t="array" ref="BY85">_xlfn.LET(
  _xlpm.w, BY$11,
  _xlpm.r, MATCH(1,('3. Enter Indicator Scores'!$B$10:$B$161=$B85)*('3. Enter Indicator Scores'!$C$10:$C$161=$C85),0),
  _xlpm.c, MATCH(BY$8,'3. Enter Indicator Scores'!$D$8:$CZ$8,0),
  _xlpm.v, IFERROR(INDEX('3. Enter Indicator Scores'!$D$10:$CZ$161,_xlpm.r,_xlpm.c),""),
  IF(OR(_xlpm.w="",_xlpm.v=""),"",_xlpm.v*_xlpm.w)
)</f>
        <v/>
      </c>
      <c r="BZ85" s="93" t="str" cm="1">
        <f t="array" ref="BZ85">_xlfn.LET(
  _xlpm.w, BZ$11,
  _xlpm.r, MATCH(1,('3. Enter Indicator Scores'!$B$10:$B$161=$B85)*('3. Enter Indicator Scores'!$C$10:$C$161=$C85),0),
  _xlpm.c, MATCH(BZ$8,'3. Enter Indicator Scores'!$D$8:$CZ$8,0),
  _xlpm.v, IFERROR(INDEX('3. Enter Indicator Scores'!$D$10:$CZ$161,_xlpm.r,_xlpm.c),""),
  IF(OR(_xlpm.w="",_xlpm.v=""),"",_xlpm.v*_xlpm.w)
)</f>
        <v/>
      </c>
      <c r="CA85" s="93" t="str" cm="1">
        <f t="array" ref="CA85">_xlfn.LET(
  _xlpm.w, CA$11,
  _xlpm.r, MATCH(1,('3. Enter Indicator Scores'!$B$10:$B$161=$B85)*('3. Enter Indicator Scores'!$C$10:$C$161=$C85),0),
  _xlpm.c, MATCH(CA$8,'3. Enter Indicator Scores'!$D$8:$CZ$8,0),
  _xlpm.v, IFERROR(INDEX('3. Enter Indicator Scores'!$D$10:$CZ$161,_xlpm.r,_xlpm.c),""),
  IF(OR(_xlpm.w="",_xlpm.v=""),"",_xlpm.v*_xlpm.w)
)</f>
        <v/>
      </c>
      <c r="CB85" s="93" t="str" cm="1">
        <f t="array" ref="CB85">_xlfn.LET(
  _xlpm.w, CB$11,
  _xlpm.r, MATCH(1,('3. Enter Indicator Scores'!$B$10:$B$161=$B85)*('3. Enter Indicator Scores'!$C$10:$C$161=$C85),0),
  _xlpm.c, MATCH(CB$8,'3. Enter Indicator Scores'!$D$8:$CZ$8,0),
  _xlpm.v, IFERROR(INDEX('3. Enter Indicator Scores'!$D$10:$CZ$161,_xlpm.r,_xlpm.c),""),
  IF(OR(_xlpm.w="",_xlpm.v=""),"",_xlpm.v*_xlpm.w)
)</f>
        <v/>
      </c>
      <c r="CC85" s="93" t="str" cm="1">
        <f t="array" ref="CC85">_xlfn.LET(
  _xlpm.w, CC$11,
  _xlpm.r, MATCH(1,('3. Enter Indicator Scores'!$B$10:$B$161=$B85)*('3. Enter Indicator Scores'!$C$10:$C$161=$C85),0),
  _xlpm.c, MATCH(CC$8,'3. Enter Indicator Scores'!$D$8:$CZ$8,0),
  _xlpm.v, IFERROR(INDEX('3. Enter Indicator Scores'!$D$10:$CZ$161,_xlpm.r,_xlpm.c),""),
  IF(OR(_xlpm.w="",_xlpm.v=""),"",_xlpm.v*_xlpm.w)
)</f>
        <v/>
      </c>
      <c r="CD85" s="93" t="str" cm="1">
        <f t="array" ref="CD85">_xlfn.LET(
  _xlpm.w, CD$11,
  _xlpm.r, MATCH(1,('3. Enter Indicator Scores'!$B$10:$B$161=$B85)*('3. Enter Indicator Scores'!$C$10:$C$161=$C85),0),
  _xlpm.c, MATCH(CD$8,'3. Enter Indicator Scores'!$D$8:$CZ$8,0),
  _xlpm.v, IFERROR(INDEX('3. Enter Indicator Scores'!$D$10:$CZ$161,_xlpm.r,_xlpm.c),""),
  IF(OR(_xlpm.w="",_xlpm.v=""),"",_xlpm.v*_xlpm.w)
)</f>
        <v/>
      </c>
      <c r="CE85" s="93" t="str" cm="1">
        <f t="array" ref="CE85">_xlfn.LET(
  _xlpm.w, CE$11,
  _xlpm.r, MATCH(1,('3. Enter Indicator Scores'!$B$10:$B$161=$B85)*('3. Enter Indicator Scores'!$C$10:$C$161=$C85),0),
  _xlpm.c, MATCH(CE$8,'3. Enter Indicator Scores'!$D$8:$CZ$8,0),
  _xlpm.v, IFERROR(INDEX('3. Enter Indicator Scores'!$D$10:$CZ$161,_xlpm.r,_xlpm.c),""),
  IF(OR(_xlpm.w="",_xlpm.v=""),"",_xlpm.v*_xlpm.w)
)</f>
        <v/>
      </c>
      <c r="CF85" s="93" t="str" cm="1">
        <f t="array" ref="CF85">_xlfn.LET(
  _xlpm.w, CF$11,
  _xlpm.r, MATCH(1,('3. Enter Indicator Scores'!$B$10:$B$161=$B85)*('3. Enter Indicator Scores'!$C$10:$C$161=$C85),0),
  _xlpm.c, MATCH(CF$8,'3. Enter Indicator Scores'!$D$8:$CZ$8,0),
  _xlpm.v, IFERROR(INDEX('3. Enter Indicator Scores'!$D$10:$CZ$161,_xlpm.r,_xlpm.c),""),
  IF(OR(_xlpm.w="",_xlpm.v=""),"",_xlpm.v*_xlpm.w)
)</f>
        <v/>
      </c>
      <c r="CG85" s="93" t="str" cm="1">
        <f t="array" ref="CG85">_xlfn.LET(
  _xlpm.w, CG$11,
  _xlpm.r, MATCH(1,('3. Enter Indicator Scores'!$B$10:$B$161=$B85)*('3. Enter Indicator Scores'!$C$10:$C$161=$C85),0),
  _xlpm.c, MATCH(CG$8,'3. Enter Indicator Scores'!$D$8:$CZ$8,0),
  _xlpm.v, IFERROR(INDEX('3. Enter Indicator Scores'!$D$10:$CZ$161,_xlpm.r,_xlpm.c),""),
  IF(OR(_xlpm.w="",_xlpm.v=""),"",_xlpm.v*_xlpm.w)
)</f>
        <v/>
      </c>
      <c r="CH85" s="93" t="str" cm="1">
        <f t="array" ref="CH85">_xlfn.LET(
  _xlpm.w, CH$11,
  _xlpm.r, MATCH(1,('3. Enter Indicator Scores'!$B$10:$B$161=$B85)*('3. Enter Indicator Scores'!$C$10:$C$161=$C85),0),
  _xlpm.c, MATCH(CH$8,'3. Enter Indicator Scores'!$D$8:$CZ$8,0),
  _xlpm.v, IFERROR(INDEX('3. Enter Indicator Scores'!$D$10:$CZ$161,_xlpm.r,_xlpm.c),""),
  IF(OR(_xlpm.w="",_xlpm.v=""),"",_xlpm.v*_xlpm.w)
)</f>
        <v/>
      </c>
      <c r="CI85" s="93" t="str" cm="1">
        <f t="array" ref="CI85">_xlfn.LET(
  _xlpm.w, CI$11,
  _xlpm.r, MATCH(1,('3. Enter Indicator Scores'!$B$10:$B$161=$B85)*('3. Enter Indicator Scores'!$C$10:$C$161=$C85),0),
  _xlpm.c, MATCH(CI$8,'3. Enter Indicator Scores'!$D$8:$CZ$8,0),
  _xlpm.v, IFERROR(INDEX('3. Enter Indicator Scores'!$D$10:$CZ$161,_xlpm.r,_xlpm.c),""),
  IF(OR(_xlpm.w="",_xlpm.v=""),"",_xlpm.v*_xlpm.w)
)</f>
        <v/>
      </c>
      <c r="CJ85" s="93" t="str" cm="1">
        <f t="array" ref="CJ85">_xlfn.LET(
  _xlpm.w, CJ$11,
  _xlpm.r, MATCH(1,('3. Enter Indicator Scores'!$B$10:$B$161=$B85)*('3. Enter Indicator Scores'!$C$10:$C$161=$C85),0),
  _xlpm.c, MATCH(CJ$8,'3. Enter Indicator Scores'!$D$8:$CZ$8,0),
  _xlpm.v, IFERROR(INDEX('3. Enter Indicator Scores'!$D$10:$CZ$161,_xlpm.r,_xlpm.c),""),
  IF(OR(_xlpm.w="",_xlpm.v=""),"",_xlpm.v*_xlpm.w)
)</f>
        <v/>
      </c>
      <c r="CK85" s="93" t="str" cm="1">
        <f t="array" ref="CK85">_xlfn.LET(
  _xlpm.w, CK$11,
  _xlpm.r, MATCH(1,('3. Enter Indicator Scores'!$B$10:$B$161=$B85)*('3. Enter Indicator Scores'!$C$10:$C$161=$C85),0),
  _xlpm.c, MATCH(CK$8,'3. Enter Indicator Scores'!$D$8:$CZ$8,0),
  _xlpm.v, IFERROR(INDEX('3. Enter Indicator Scores'!$D$10:$CZ$161,_xlpm.r,_xlpm.c),""),
  IF(OR(_xlpm.w="",_xlpm.v=""),"",_xlpm.v*_xlpm.w)
)</f>
        <v/>
      </c>
      <c r="CL85" s="93" t="str" cm="1">
        <f t="array" ref="CL85">_xlfn.LET(
  _xlpm.w, CL$11,
  _xlpm.r, MATCH(1,('3. Enter Indicator Scores'!$B$10:$B$161=$B85)*('3. Enter Indicator Scores'!$C$10:$C$161=$C85),0),
  _xlpm.c, MATCH(CL$8,'3. Enter Indicator Scores'!$D$8:$CZ$8,0),
  _xlpm.v, IFERROR(INDEX('3. Enter Indicator Scores'!$D$10:$CZ$161,_xlpm.r,_xlpm.c),""),
  IF(OR(_xlpm.w="",_xlpm.v=""),"",_xlpm.v*_xlpm.w)
)</f>
        <v/>
      </c>
      <c r="CM85" s="93" t="str" cm="1">
        <f t="array" ref="CM85">_xlfn.LET(
  _xlpm.w, CM$11,
  _xlpm.r, MATCH(1,('3. Enter Indicator Scores'!$B$10:$B$161=$B85)*('3. Enter Indicator Scores'!$C$10:$C$161=$C85),0),
  _xlpm.c, MATCH(CM$8,'3. Enter Indicator Scores'!$D$8:$CZ$8,0),
  _xlpm.v, IFERROR(INDEX('3. Enter Indicator Scores'!$D$10:$CZ$161,_xlpm.r,_xlpm.c),""),
  IF(OR(_xlpm.w="",_xlpm.v=""),"",_xlpm.v*_xlpm.w)
)</f>
        <v/>
      </c>
      <c r="CN85" s="93" t="str" cm="1">
        <f t="array" ref="CN85">_xlfn.LET(
  _xlpm.w, CN$11,
  _xlpm.r, MATCH(1,('3. Enter Indicator Scores'!$B$10:$B$161=$B85)*('3. Enter Indicator Scores'!$C$10:$C$161=$C85),0),
  _xlpm.c, MATCH(CN$8,'3. Enter Indicator Scores'!$D$8:$CZ$8,0),
  _xlpm.v, IFERROR(INDEX('3. Enter Indicator Scores'!$D$10:$CZ$161,_xlpm.r,_xlpm.c),""),
  IF(OR(_xlpm.w="",_xlpm.v=""),"",_xlpm.v*_xlpm.w)
)</f>
        <v/>
      </c>
      <c r="CO85" s="93" t="str" cm="1">
        <f t="array" ref="CO85">_xlfn.LET(
  _xlpm.w, CO$11,
  _xlpm.r, MATCH(1,('3. Enter Indicator Scores'!$B$10:$B$161=$B85)*('3. Enter Indicator Scores'!$C$10:$C$161=$C85),0),
  _xlpm.c, MATCH(CO$8,'3. Enter Indicator Scores'!$D$8:$CZ$8,0),
  _xlpm.v, IFERROR(INDEX('3. Enter Indicator Scores'!$D$10:$CZ$161,_xlpm.r,_xlpm.c),""),
  IF(OR(_xlpm.w="",_xlpm.v=""),"",_xlpm.v*_xlpm.w)
)</f>
        <v/>
      </c>
      <c r="CP85" s="93" t="str" cm="1">
        <f t="array" ref="CP85">_xlfn.LET(
  _xlpm.w, CP$11,
  _xlpm.r, MATCH(1,('3. Enter Indicator Scores'!$B$10:$B$161=$B85)*('3. Enter Indicator Scores'!$C$10:$C$161=$C85),0),
  _xlpm.c, MATCH(CP$8,'3. Enter Indicator Scores'!$D$8:$CZ$8,0),
  _xlpm.v, IFERROR(INDEX('3. Enter Indicator Scores'!$D$10:$CZ$161,_xlpm.r,_xlpm.c),""),
  IF(OR(_xlpm.w="",_xlpm.v=""),"",_xlpm.v*_xlpm.w)
)</f>
        <v/>
      </c>
      <c r="CQ85" s="93" t="str" cm="1">
        <f t="array" ref="CQ85">_xlfn.LET(
  _xlpm.w, CQ$11,
  _xlpm.r, MATCH(1,('3. Enter Indicator Scores'!$B$10:$B$161=$B85)*('3. Enter Indicator Scores'!$C$10:$C$161=$C85),0),
  _xlpm.c, MATCH(CQ$8,'3. Enter Indicator Scores'!$D$8:$CZ$8,0),
  _xlpm.v, IFERROR(INDEX('3. Enter Indicator Scores'!$D$10:$CZ$161,_xlpm.r,_xlpm.c),""),
  IF(OR(_xlpm.w="",_xlpm.v=""),"",_xlpm.v*_xlpm.w)
)</f>
        <v/>
      </c>
      <c r="CR85" s="93" t="str" cm="1">
        <f t="array" ref="CR85">_xlfn.LET(
  _xlpm.w, CR$11,
  _xlpm.r, MATCH(1,('3. Enter Indicator Scores'!$B$10:$B$161=$B85)*('3. Enter Indicator Scores'!$C$10:$C$161=$C85),0),
  _xlpm.c, MATCH(CR$8,'3. Enter Indicator Scores'!$D$8:$CZ$8,0),
  _xlpm.v, IFERROR(INDEX('3. Enter Indicator Scores'!$D$10:$CZ$161,_xlpm.r,_xlpm.c),""),
  IF(OR(_xlpm.w="",_xlpm.v=""),"",_xlpm.v*_xlpm.w)
)</f>
        <v/>
      </c>
      <c r="CS85" s="93" t="str" cm="1">
        <f t="array" ref="CS85">_xlfn.LET(
  _xlpm.w, CS$11,
  _xlpm.r, MATCH(1,('3. Enter Indicator Scores'!$B$10:$B$161=$B85)*('3. Enter Indicator Scores'!$C$10:$C$161=$C85),0),
  _xlpm.c, MATCH(CS$8,'3. Enter Indicator Scores'!$D$8:$CZ$8,0),
  _xlpm.v, IFERROR(INDEX('3. Enter Indicator Scores'!$D$10:$CZ$161,_xlpm.r,_xlpm.c),""),
  IF(OR(_xlpm.w="",_xlpm.v=""),"",_xlpm.v*_xlpm.w)
)</f>
        <v/>
      </c>
      <c r="CT85" s="93" t="str" cm="1">
        <f t="array" ref="CT85">_xlfn.LET(
  _xlpm.w, CT$11,
  _xlpm.r, MATCH(1,('3. Enter Indicator Scores'!$B$10:$B$161=$B85)*('3. Enter Indicator Scores'!$C$10:$C$161=$C85),0),
  _xlpm.c, MATCH(CT$8,'3. Enter Indicator Scores'!$D$8:$CZ$8,0),
  _xlpm.v, IFERROR(INDEX('3. Enter Indicator Scores'!$D$10:$CZ$161,_xlpm.r,_xlpm.c),""),
  IF(OR(_xlpm.w="",_xlpm.v=""),"",_xlpm.v*_xlpm.w)
)</f>
        <v/>
      </c>
      <c r="CU85" s="93" t="str" cm="1">
        <f t="array" ref="CU85">_xlfn.LET(
  _xlpm.w, CU$11,
  _xlpm.r, MATCH(1,('3. Enter Indicator Scores'!$B$10:$B$161=$B85)*('3. Enter Indicator Scores'!$C$10:$C$161=$C85),0),
  _xlpm.c, MATCH(CU$8,'3. Enter Indicator Scores'!$D$8:$CZ$8,0),
  _xlpm.v, IFERROR(INDEX('3. Enter Indicator Scores'!$D$10:$CZ$161,_xlpm.r,_xlpm.c),""),
  IF(OR(_xlpm.w="",_xlpm.v=""),"",_xlpm.v*_xlpm.w)
)</f>
        <v/>
      </c>
      <c r="CV85" s="93" t="str" cm="1">
        <f t="array" ref="CV85">_xlfn.LET(
  _xlpm.w, CV$11,
  _xlpm.r, MATCH(1,('3. Enter Indicator Scores'!$B$10:$B$161=$B85)*('3. Enter Indicator Scores'!$C$10:$C$161=$C85),0),
  _xlpm.c, MATCH(CV$8,'3. Enter Indicator Scores'!$D$8:$CZ$8,0),
  _xlpm.v, IFERROR(INDEX('3. Enter Indicator Scores'!$D$10:$CZ$161,_xlpm.r,_xlpm.c),""),
  IF(OR(_xlpm.w="",_xlpm.v=""),"",_xlpm.v*_xlpm.w)
)</f>
        <v/>
      </c>
      <c r="CW85" s="93" t="str" cm="1">
        <f t="array" ref="CW85">_xlfn.LET(
  _xlpm.w, CW$11,
  _xlpm.r, MATCH(1,('3. Enter Indicator Scores'!$B$10:$B$161=$B85)*('3. Enter Indicator Scores'!$C$10:$C$161=$C85),0),
  _xlpm.c, MATCH(CW$8,'3. Enter Indicator Scores'!$D$8:$CZ$8,0),
  _xlpm.v, IFERROR(INDEX('3. Enter Indicator Scores'!$D$10:$CZ$161,_xlpm.r,_xlpm.c),""),
  IF(OR(_xlpm.w="",_xlpm.v=""),"",_xlpm.v*_xlpm.w)
)</f>
        <v/>
      </c>
      <c r="CX85" s="93" t="str" cm="1">
        <f t="array" ref="CX85">_xlfn.LET(
  _xlpm.w, CX$11,
  _xlpm.r, MATCH(1,('3. Enter Indicator Scores'!$B$10:$B$161=$B85)*('3. Enter Indicator Scores'!$C$10:$C$161=$C85),0),
  _xlpm.c, MATCH(CX$8,'3. Enter Indicator Scores'!$D$8:$CZ$8,0),
  _xlpm.v, IFERROR(INDEX('3. Enter Indicator Scores'!$D$10:$CZ$161,_xlpm.r,_xlpm.c),""),
  IF(OR(_xlpm.w="",_xlpm.v=""),"",_xlpm.v*_xlpm.w)
)</f>
        <v/>
      </c>
      <c r="CY85" s="93" t="str" cm="1">
        <f t="array" ref="CY85">_xlfn.LET(
  _xlpm.w, CY$11,
  _xlpm.r, MATCH(1,('3. Enter Indicator Scores'!$B$10:$B$161=$B85)*('3. Enter Indicator Scores'!$C$10:$C$161=$C85),0),
  _xlpm.c, MATCH(CY$8,'3. Enter Indicator Scores'!$D$8:$CZ$8,0),
  _xlpm.v, IFERROR(INDEX('3. Enter Indicator Scores'!$D$10:$CZ$161,_xlpm.r,_xlpm.c),""),
  IF(OR(_xlpm.w="",_xlpm.v=""),"",_xlpm.v*_xlpm.w)
)</f>
        <v/>
      </c>
      <c r="CZ85" s="93" t="str" cm="1">
        <f t="array" ref="CZ85">_xlfn.LET(
  _xlpm.w, CZ$11,
  _xlpm.r, MATCH(1,('3. Enter Indicator Scores'!$B$10:$B$161=$B85)*('3. Enter Indicator Scores'!$C$10:$C$161=$C85),0),
  _xlpm.c, MATCH(CZ$8,'3. Enter Indicator Scores'!$D$8:$CZ$8,0),
  _xlpm.v, IFERROR(INDEX('3. Enter Indicator Scores'!$D$10:$CZ$161,_xlpm.r,_xlpm.c),""),
  IF(OR(_xlpm.w="",_xlpm.v=""),"",_xlpm.v*_xlpm.w)
)</f>
        <v/>
      </c>
    </row>
    <row r="86" spans="4:104" x14ac:dyDescent="0.2">
      <c r="D86" s="93" t="str" cm="1">
        <f t="array" ref="D86">_xlfn.LET(
  _xlpm.w, D$11,
  _xlpm.r, MATCH(1,('3. Enter Indicator Scores'!$B$10:$B$161=$B86)*('3. Enter Indicator Scores'!$C$10:$C$161=$C86),0),
  _xlpm.c, MATCH(D$8,'3. Enter Indicator Scores'!$D$8:$CZ$8,0),
  _xlpm.v, IFERROR(INDEX('3. Enter Indicator Scores'!$D$10:$CZ$161,_xlpm.r,_xlpm.c),""),
  IF(OR(_xlpm.w="",_xlpm.v=""),"",_xlpm.v*_xlpm.w)
)</f>
        <v/>
      </c>
      <c r="E86" s="93" t="str" cm="1">
        <f t="array" ref="E86">_xlfn.LET(
  _xlpm.w, E$11,
  _xlpm.r, MATCH(1,('3. Enter Indicator Scores'!$B$10:$B$161=$B86)*('3. Enter Indicator Scores'!$C$10:$C$161=$C86),0),
  _xlpm.c, MATCH(E$8,'3. Enter Indicator Scores'!$D$8:$CZ$8,0),
  _xlpm.v, IFERROR(INDEX('3. Enter Indicator Scores'!$D$10:$CZ$161,_xlpm.r,_xlpm.c),""),
  IF(OR(_xlpm.w="",_xlpm.v=""),"",_xlpm.v*_xlpm.w)
)</f>
        <v/>
      </c>
      <c r="F86" s="93" t="str" cm="1">
        <f t="array" ref="F86">_xlfn.LET(
  _xlpm.w, F$11,
  _xlpm.r, MATCH(1,('3. Enter Indicator Scores'!$B$10:$B$161=$B86)*('3. Enter Indicator Scores'!$C$10:$C$161=$C86),0),
  _xlpm.c, MATCH(F$8,'3. Enter Indicator Scores'!$D$8:$CZ$8,0),
  _xlpm.v, IFERROR(INDEX('3. Enter Indicator Scores'!$D$10:$CZ$161,_xlpm.r,_xlpm.c),""),
  IF(OR(_xlpm.w="",_xlpm.v=""),"",_xlpm.v*_xlpm.w)
)</f>
        <v/>
      </c>
      <c r="G86" s="93" t="str" cm="1">
        <f t="array" ref="G86">_xlfn.LET(
  _xlpm.w, G$11,
  _xlpm.r, MATCH(1,('3. Enter Indicator Scores'!$B$10:$B$161=$B86)*('3. Enter Indicator Scores'!$C$10:$C$161=$C86),0),
  _xlpm.c, MATCH(G$8,'3. Enter Indicator Scores'!$D$8:$CZ$8,0),
  _xlpm.v, IFERROR(INDEX('3. Enter Indicator Scores'!$D$10:$CZ$161,_xlpm.r,_xlpm.c),""),
  IF(OR(_xlpm.w="",_xlpm.v=""),"",_xlpm.v*_xlpm.w)
)</f>
        <v/>
      </c>
      <c r="H86" s="93" t="str" cm="1">
        <f t="array" ref="H86">_xlfn.LET(
  _xlpm.w, H$11,
  _xlpm.r, MATCH(1,('3. Enter Indicator Scores'!$B$10:$B$161=$B86)*('3. Enter Indicator Scores'!$C$10:$C$161=$C86),0),
  _xlpm.c, MATCH(H$8,'3. Enter Indicator Scores'!$D$8:$CZ$8,0),
  _xlpm.v, IFERROR(INDEX('3. Enter Indicator Scores'!$D$10:$CZ$161,_xlpm.r,_xlpm.c),""),
  IF(OR(_xlpm.w="",_xlpm.v=""),"",_xlpm.v*_xlpm.w)
)</f>
        <v/>
      </c>
      <c r="I86" s="93" t="str" cm="1">
        <f t="array" ref="I86">_xlfn.LET(
  _xlpm.w, I$11,
  _xlpm.r, MATCH(1,('3. Enter Indicator Scores'!$B$10:$B$161=$B86)*('3. Enter Indicator Scores'!$C$10:$C$161=$C86),0),
  _xlpm.c, MATCH(I$8,'3. Enter Indicator Scores'!$D$8:$CZ$8,0),
  _xlpm.v, IFERROR(INDEX('3. Enter Indicator Scores'!$D$10:$CZ$161,_xlpm.r,_xlpm.c),""),
  IF(OR(_xlpm.w="",_xlpm.v=""),"",_xlpm.v*_xlpm.w)
)</f>
        <v/>
      </c>
      <c r="J86" s="93" t="str" cm="1">
        <f t="array" ref="J86">_xlfn.LET(
  _xlpm.w, J$11,
  _xlpm.r, MATCH(1,('3. Enter Indicator Scores'!$B$10:$B$161=$B86)*('3. Enter Indicator Scores'!$C$10:$C$161=$C86),0),
  _xlpm.c, MATCH(J$8,'3. Enter Indicator Scores'!$D$8:$CZ$8,0),
  _xlpm.v, IFERROR(INDEX('3. Enter Indicator Scores'!$D$10:$CZ$161,_xlpm.r,_xlpm.c),""),
  IF(OR(_xlpm.w="",_xlpm.v=""),"",_xlpm.v*_xlpm.w)
)</f>
        <v/>
      </c>
      <c r="K86" s="93" t="str" cm="1">
        <f t="array" ref="K86">_xlfn.LET(
  _xlpm.w, K$11,
  _xlpm.r, MATCH(1,('3. Enter Indicator Scores'!$B$10:$B$161=$B86)*('3. Enter Indicator Scores'!$C$10:$C$161=$C86),0),
  _xlpm.c, MATCH(K$8,'3. Enter Indicator Scores'!$D$8:$CZ$8,0),
  _xlpm.v, IFERROR(INDEX('3. Enter Indicator Scores'!$D$10:$CZ$161,_xlpm.r,_xlpm.c),""),
  IF(OR(_xlpm.w="",_xlpm.v=""),"",_xlpm.v*_xlpm.w)
)</f>
        <v/>
      </c>
      <c r="L86" s="93" t="str" cm="1">
        <f t="array" ref="L86">_xlfn.LET(
  _xlpm.w, L$11,
  _xlpm.r, MATCH(1,('3. Enter Indicator Scores'!$B$10:$B$161=$B86)*('3. Enter Indicator Scores'!$C$10:$C$161=$C86),0),
  _xlpm.c, MATCH(L$8,'3. Enter Indicator Scores'!$D$8:$CZ$8,0),
  _xlpm.v, IFERROR(INDEX('3. Enter Indicator Scores'!$D$10:$CZ$161,_xlpm.r,_xlpm.c),""),
  IF(OR(_xlpm.w="",_xlpm.v=""),"",_xlpm.v*_xlpm.w)
)</f>
        <v/>
      </c>
      <c r="M86" s="93" t="str" cm="1">
        <f t="array" ref="M86">_xlfn.LET(
  _xlpm.w, M$11,
  _xlpm.r, MATCH(1,('3. Enter Indicator Scores'!$B$10:$B$161=$B86)*('3. Enter Indicator Scores'!$C$10:$C$161=$C86),0),
  _xlpm.c, MATCH(M$8,'3. Enter Indicator Scores'!$D$8:$CZ$8,0),
  _xlpm.v, IFERROR(INDEX('3. Enter Indicator Scores'!$D$10:$CZ$161,_xlpm.r,_xlpm.c),""),
  IF(OR(_xlpm.w="",_xlpm.v=""),"",_xlpm.v*_xlpm.w)
)</f>
        <v/>
      </c>
      <c r="N86" s="93" t="str" cm="1">
        <f t="array" ref="N86">_xlfn.LET(
  _xlpm.w, N$11,
  _xlpm.r, MATCH(1,('3. Enter Indicator Scores'!$B$10:$B$161=$B86)*('3. Enter Indicator Scores'!$C$10:$C$161=$C86),0),
  _xlpm.c, MATCH(N$8,'3. Enter Indicator Scores'!$D$8:$CZ$8,0),
  _xlpm.v, IFERROR(INDEX('3. Enter Indicator Scores'!$D$10:$CZ$161,_xlpm.r,_xlpm.c),""),
  IF(OR(_xlpm.w="",_xlpm.v=""),"",_xlpm.v*_xlpm.w)
)</f>
        <v/>
      </c>
      <c r="O86" s="93" t="str" cm="1">
        <f t="array" ref="O86">_xlfn.LET(
  _xlpm.w, O$11,
  _xlpm.r, MATCH(1,('3. Enter Indicator Scores'!$B$10:$B$161=$B86)*('3. Enter Indicator Scores'!$C$10:$C$161=$C86),0),
  _xlpm.c, MATCH(O$8,'3. Enter Indicator Scores'!$D$8:$CZ$8,0),
  _xlpm.v, IFERROR(INDEX('3. Enter Indicator Scores'!$D$10:$CZ$161,_xlpm.r,_xlpm.c),""),
  IF(OR(_xlpm.w="",_xlpm.v=""),"",_xlpm.v*_xlpm.w)
)</f>
        <v/>
      </c>
      <c r="P86" s="93" t="str" cm="1">
        <f t="array" ref="P86">_xlfn.LET(
  _xlpm.w, P$11,
  _xlpm.r, MATCH(1,('3. Enter Indicator Scores'!$B$10:$B$161=$B86)*('3. Enter Indicator Scores'!$C$10:$C$161=$C86),0),
  _xlpm.c, MATCH(P$8,'3. Enter Indicator Scores'!$D$8:$CZ$8,0),
  _xlpm.v, IFERROR(INDEX('3. Enter Indicator Scores'!$D$10:$CZ$161,_xlpm.r,_xlpm.c),""),
  IF(OR(_xlpm.w="",_xlpm.v=""),"",_xlpm.v*_xlpm.w)
)</f>
        <v/>
      </c>
      <c r="Q86" s="93" t="str" cm="1">
        <f t="array" ref="Q86">_xlfn.LET(
  _xlpm.w, Q$11,
  _xlpm.r, MATCH(1,('3. Enter Indicator Scores'!$B$10:$B$161=$B86)*('3. Enter Indicator Scores'!$C$10:$C$161=$C86),0),
  _xlpm.c, MATCH(Q$8,'3. Enter Indicator Scores'!$D$8:$CZ$8,0),
  _xlpm.v, IFERROR(INDEX('3. Enter Indicator Scores'!$D$10:$CZ$161,_xlpm.r,_xlpm.c),""),
  IF(OR(_xlpm.w="",_xlpm.v=""),"",_xlpm.v*_xlpm.w)
)</f>
        <v/>
      </c>
      <c r="R86" s="93" t="str" cm="1">
        <f t="array" ref="R86">_xlfn.LET(
  _xlpm.w, R$11,
  _xlpm.r, MATCH(1,('3. Enter Indicator Scores'!$B$10:$B$161=$B86)*('3. Enter Indicator Scores'!$C$10:$C$161=$C86),0),
  _xlpm.c, MATCH(R$8,'3. Enter Indicator Scores'!$D$8:$CZ$8,0),
  _xlpm.v, IFERROR(INDEX('3. Enter Indicator Scores'!$D$10:$CZ$161,_xlpm.r,_xlpm.c),""),
  IF(OR(_xlpm.w="",_xlpm.v=""),"",_xlpm.v*_xlpm.w)
)</f>
        <v/>
      </c>
      <c r="S86" s="93" t="str" cm="1">
        <f t="array" ref="S86">_xlfn.LET(
  _xlpm.w, S$11,
  _xlpm.r, MATCH(1,('3. Enter Indicator Scores'!$B$10:$B$161=$B86)*('3. Enter Indicator Scores'!$C$10:$C$161=$C86),0),
  _xlpm.c, MATCH(S$8,'3. Enter Indicator Scores'!$D$8:$CZ$8,0),
  _xlpm.v, IFERROR(INDEX('3. Enter Indicator Scores'!$D$10:$CZ$161,_xlpm.r,_xlpm.c),""),
  IF(OR(_xlpm.w="",_xlpm.v=""),"",_xlpm.v*_xlpm.w)
)</f>
        <v/>
      </c>
      <c r="T86" s="93" t="str" cm="1">
        <f t="array" ref="T86">_xlfn.LET(
  _xlpm.w, T$11,
  _xlpm.r, MATCH(1,('3. Enter Indicator Scores'!$B$10:$B$161=$B86)*('3. Enter Indicator Scores'!$C$10:$C$161=$C86),0),
  _xlpm.c, MATCH(T$8,'3. Enter Indicator Scores'!$D$8:$CZ$8,0),
  _xlpm.v, IFERROR(INDEX('3. Enter Indicator Scores'!$D$10:$CZ$161,_xlpm.r,_xlpm.c),""),
  IF(OR(_xlpm.w="",_xlpm.v=""),"",_xlpm.v*_xlpm.w)
)</f>
        <v/>
      </c>
      <c r="U86" s="93" t="str" cm="1">
        <f t="array" ref="U86">_xlfn.LET(
  _xlpm.w, U$11,
  _xlpm.r, MATCH(1,('3. Enter Indicator Scores'!$B$10:$B$161=$B86)*('3. Enter Indicator Scores'!$C$10:$C$161=$C86),0),
  _xlpm.c, MATCH(U$8,'3. Enter Indicator Scores'!$D$8:$CZ$8,0),
  _xlpm.v, IFERROR(INDEX('3. Enter Indicator Scores'!$D$10:$CZ$161,_xlpm.r,_xlpm.c),""),
  IF(OR(_xlpm.w="",_xlpm.v=""),"",_xlpm.v*_xlpm.w)
)</f>
        <v/>
      </c>
      <c r="V86" s="93" t="str" cm="1">
        <f t="array" ref="V86">_xlfn.LET(
  _xlpm.w, V$11,
  _xlpm.r, MATCH(1,('3. Enter Indicator Scores'!$B$10:$B$161=$B86)*('3. Enter Indicator Scores'!$C$10:$C$161=$C86),0),
  _xlpm.c, MATCH(V$8,'3. Enter Indicator Scores'!$D$8:$CZ$8,0),
  _xlpm.v, IFERROR(INDEX('3. Enter Indicator Scores'!$D$10:$CZ$161,_xlpm.r,_xlpm.c),""),
  IF(OR(_xlpm.w="",_xlpm.v=""),"",_xlpm.v*_xlpm.w)
)</f>
        <v/>
      </c>
      <c r="W86" s="93" t="str" cm="1">
        <f t="array" ref="W86">_xlfn.LET(
  _xlpm.w, W$11,
  _xlpm.r, MATCH(1,('3. Enter Indicator Scores'!$B$10:$B$161=$B86)*('3. Enter Indicator Scores'!$C$10:$C$161=$C86),0),
  _xlpm.c, MATCH(W$8,'3. Enter Indicator Scores'!$D$8:$CZ$8,0),
  _xlpm.v, IFERROR(INDEX('3. Enter Indicator Scores'!$D$10:$CZ$161,_xlpm.r,_xlpm.c),""),
  IF(OR(_xlpm.w="",_xlpm.v=""),"",_xlpm.v*_xlpm.w)
)</f>
        <v/>
      </c>
      <c r="X86" s="93" t="str" cm="1">
        <f t="array" ref="X86">_xlfn.LET(
  _xlpm.w, X$11,
  _xlpm.r, MATCH(1,('3. Enter Indicator Scores'!$B$10:$B$161=$B86)*('3. Enter Indicator Scores'!$C$10:$C$161=$C86),0),
  _xlpm.c, MATCH(X$8,'3. Enter Indicator Scores'!$D$8:$CZ$8,0),
  _xlpm.v, IFERROR(INDEX('3. Enter Indicator Scores'!$D$10:$CZ$161,_xlpm.r,_xlpm.c),""),
  IF(OR(_xlpm.w="",_xlpm.v=""),"",_xlpm.v*_xlpm.w)
)</f>
        <v/>
      </c>
      <c r="Y86" s="93" t="str" cm="1">
        <f t="array" ref="Y86">_xlfn.LET(
  _xlpm.w, Y$11,
  _xlpm.r, MATCH(1,('3. Enter Indicator Scores'!$B$10:$B$161=$B86)*('3. Enter Indicator Scores'!$C$10:$C$161=$C86),0),
  _xlpm.c, MATCH(Y$8,'3. Enter Indicator Scores'!$D$8:$CZ$8,0),
  _xlpm.v, IFERROR(INDEX('3. Enter Indicator Scores'!$D$10:$CZ$161,_xlpm.r,_xlpm.c),""),
  IF(OR(_xlpm.w="",_xlpm.v=""),"",_xlpm.v*_xlpm.w)
)</f>
        <v/>
      </c>
      <c r="Z86" s="93" t="str" cm="1">
        <f t="array" ref="Z86">_xlfn.LET(
  _xlpm.w, Z$11,
  _xlpm.r, MATCH(1,('3. Enter Indicator Scores'!$B$10:$B$161=$B86)*('3. Enter Indicator Scores'!$C$10:$C$161=$C86),0),
  _xlpm.c, MATCH(Z$8,'3. Enter Indicator Scores'!$D$8:$CZ$8,0),
  _xlpm.v, IFERROR(INDEX('3. Enter Indicator Scores'!$D$10:$CZ$161,_xlpm.r,_xlpm.c),""),
  IF(OR(_xlpm.w="",_xlpm.v=""),"",_xlpm.v*_xlpm.w)
)</f>
        <v/>
      </c>
      <c r="AA86" s="93" t="str" cm="1">
        <f t="array" ref="AA86">_xlfn.LET(
  _xlpm.w, AA$11,
  _xlpm.r, MATCH(1,('3. Enter Indicator Scores'!$B$10:$B$161=$B86)*('3. Enter Indicator Scores'!$C$10:$C$161=$C86),0),
  _xlpm.c, MATCH(AA$8,'3. Enter Indicator Scores'!$D$8:$CZ$8,0),
  _xlpm.v, IFERROR(INDEX('3. Enter Indicator Scores'!$D$10:$CZ$161,_xlpm.r,_xlpm.c),""),
  IF(OR(_xlpm.w="",_xlpm.v=""),"",_xlpm.v*_xlpm.w)
)</f>
        <v/>
      </c>
      <c r="AB86" s="93" t="str" cm="1">
        <f t="array" ref="AB86">_xlfn.LET(
  _xlpm.w, AB$11,
  _xlpm.r, MATCH(1,('3. Enter Indicator Scores'!$B$10:$B$161=$B86)*('3. Enter Indicator Scores'!$C$10:$C$161=$C86),0),
  _xlpm.c, MATCH(AB$8,'3. Enter Indicator Scores'!$D$8:$CZ$8,0),
  _xlpm.v, IFERROR(INDEX('3. Enter Indicator Scores'!$D$10:$CZ$161,_xlpm.r,_xlpm.c),""),
  IF(OR(_xlpm.w="",_xlpm.v=""),"",_xlpm.v*_xlpm.w)
)</f>
        <v/>
      </c>
      <c r="AC86" s="93" t="str" cm="1">
        <f t="array" ref="AC86">_xlfn.LET(
  _xlpm.w, AC$11,
  _xlpm.r, MATCH(1,('3. Enter Indicator Scores'!$B$10:$B$161=$B86)*('3. Enter Indicator Scores'!$C$10:$C$161=$C86),0),
  _xlpm.c, MATCH(AC$8,'3. Enter Indicator Scores'!$D$8:$CZ$8,0),
  _xlpm.v, IFERROR(INDEX('3. Enter Indicator Scores'!$D$10:$CZ$161,_xlpm.r,_xlpm.c),""),
  IF(OR(_xlpm.w="",_xlpm.v=""),"",_xlpm.v*_xlpm.w)
)</f>
        <v/>
      </c>
      <c r="AD86" s="93" t="str" cm="1">
        <f t="array" ref="AD86">_xlfn.LET(
  _xlpm.w, AD$11,
  _xlpm.r, MATCH(1,('3. Enter Indicator Scores'!$B$10:$B$161=$B86)*('3. Enter Indicator Scores'!$C$10:$C$161=$C86),0),
  _xlpm.c, MATCH(AD$8,'3. Enter Indicator Scores'!$D$8:$CZ$8,0),
  _xlpm.v, IFERROR(INDEX('3. Enter Indicator Scores'!$D$10:$CZ$161,_xlpm.r,_xlpm.c),""),
  IF(OR(_xlpm.w="",_xlpm.v=""),"",_xlpm.v*_xlpm.w)
)</f>
        <v/>
      </c>
      <c r="AE86" s="93" t="str" cm="1">
        <f t="array" ref="AE86">_xlfn.LET(
  _xlpm.w, AE$11,
  _xlpm.r, MATCH(1,('3. Enter Indicator Scores'!$B$10:$B$161=$B86)*('3. Enter Indicator Scores'!$C$10:$C$161=$C86),0),
  _xlpm.c, MATCH(AE$8,'3. Enter Indicator Scores'!$D$8:$CZ$8,0),
  _xlpm.v, IFERROR(INDEX('3. Enter Indicator Scores'!$D$10:$CZ$161,_xlpm.r,_xlpm.c),""),
  IF(OR(_xlpm.w="",_xlpm.v=""),"",_xlpm.v*_xlpm.w)
)</f>
        <v/>
      </c>
      <c r="AF86" s="93" t="str" cm="1">
        <f t="array" ref="AF86">_xlfn.LET(
  _xlpm.w, AF$11,
  _xlpm.r, MATCH(1,('3. Enter Indicator Scores'!$B$10:$B$161=$B86)*('3. Enter Indicator Scores'!$C$10:$C$161=$C86),0),
  _xlpm.c, MATCH(AF$8,'3. Enter Indicator Scores'!$D$8:$CZ$8,0),
  _xlpm.v, IFERROR(INDEX('3. Enter Indicator Scores'!$D$10:$CZ$161,_xlpm.r,_xlpm.c),""),
  IF(OR(_xlpm.w="",_xlpm.v=""),"",_xlpm.v*_xlpm.w)
)</f>
        <v/>
      </c>
      <c r="AG86" s="93" t="str" cm="1">
        <f t="array" ref="AG86">_xlfn.LET(
  _xlpm.w, AG$11,
  _xlpm.r, MATCH(1,('3. Enter Indicator Scores'!$B$10:$B$161=$B86)*('3. Enter Indicator Scores'!$C$10:$C$161=$C86),0),
  _xlpm.c, MATCH(AG$8,'3. Enter Indicator Scores'!$D$8:$CZ$8,0),
  _xlpm.v, IFERROR(INDEX('3. Enter Indicator Scores'!$D$10:$CZ$161,_xlpm.r,_xlpm.c),""),
  IF(OR(_xlpm.w="",_xlpm.v=""),"",_xlpm.v*_xlpm.w)
)</f>
        <v/>
      </c>
      <c r="AH86" s="93" t="str" cm="1">
        <f t="array" ref="AH86">_xlfn.LET(
  _xlpm.w, AH$11,
  _xlpm.r, MATCH(1,('3. Enter Indicator Scores'!$B$10:$B$161=$B86)*('3. Enter Indicator Scores'!$C$10:$C$161=$C86),0),
  _xlpm.c, MATCH(AH$8,'3. Enter Indicator Scores'!$D$8:$CZ$8,0),
  _xlpm.v, IFERROR(INDEX('3. Enter Indicator Scores'!$D$10:$CZ$161,_xlpm.r,_xlpm.c),""),
  IF(OR(_xlpm.w="",_xlpm.v=""),"",_xlpm.v*_xlpm.w)
)</f>
        <v/>
      </c>
      <c r="AI86" s="93" t="str" cm="1">
        <f t="array" ref="AI86">_xlfn.LET(
  _xlpm.w, AI$11,
  _xlpm.r, MATCH(1,('3. Enter Indicator Scores'!$B$10:$B$161=$B86)*('3. Enter Indicator Scores'!$C$10:$C$161=$C86),0),
  _xlpm.c, MATCH(AI$8,'3. Enter Indicator Scores'!$D$8:$CZ$8,0),
  _xlpm.v, IFERROR(INDEX('3. Enter Indicator Scores'!$D$10:$CZ$161,_xlpm.r,_xlpm.c),""),
  IF(OR(_xlpm.w="",_xlpm.v=""),"",_xlpm.v*_xlpm.w)
)</f>
        <v/>
      </c>
      <c r="AJ86" s="93" t="str" cm="1">
        <f t="array" ref="AJ86">_xlfn.LET(
  _xlpm.w, AJ$11,
  _xlpm.r, MATCH(1,('3. Enter Indicator Scores'!$B$10:$B$161=$B86)*('3. Enter Indicator Scores'!$C$10:$C$161=$C86),0),
  _xlpm.c, MATCH(AJ$8,'3. Enter Indicator Scores'!$D$8:$CZ$8,0),
  _xlpm.v, IFERROR(INDEX('3. Enter Indicator Scores'!$D$10:$CZ$161,_xlpm.r,_xlpm.c),""),
  IF(OR(_xlpm.w="",_xlpm.v=""),"",_xlpm.v*_xlpm.w)
)</f>
        <v/>
      </c>
      <c r="AK86" s="93" t="str" cm="1">
        <f t="array" ref="AK86">_xlfn.LET(
  _xlpm.w, AK$11,
  _xlpm.r, MATCH(1,('3. Enter Indicator Scores'!$B$10:$B$161=$B86)*('3. Enter Indicator Scores'!$C$10:$C$161=$C86),0),
  _xlpm.c, MATCH(AK$8,'3. Enter Indicator Scores'!$D$8:$CZ$8,0),
  _xlpm.v, IFERROR(INDEX('3. Enter Indicator Scores'!$D$10:$CZ$161,_xlpm.r,_xlpm.c),""),
  IF(OR(_xlpm.w="",_xlpm.v=""),"",_xlpm.v*_xlpm.w)
)</f>
        <v/>
      </c>
      <c r="AL86" s="93" t="str" cm="1">
        <f t="array" ref="AL86">_xlfn.LET(
  _xlpm.w, AL$11,
  _xlpm.r, MATCH(1,('3. Enter Indicator Scores'!$B$10:$B$161=$B86)*('3. Enter Indicator Scores'!$C$10:$C$161=$C86),0),
  _xlpm.c, MATCH(AL$8,'3. Enter Indicator Scores'!$D$8:$CZ$8,0),
  _xlpm.v, IFERROR(INDEX('3. Enter Indicator Scores'!$D$10:$CZ$161,_xlpm.r,_xlpm.c),""),
  IF(OR(_xlpm.w="",_xlpm.v=""),"",_xlpm.v*_xlpm.w)
)</f>
        <v/>
      </c>
      <c r="AM86" s="93" t="str" cm="1">
        <f t="array" ref="AM86">_xlfn.LET(
  _xlpm.w, AM$11,
  _xlpm.r, MATCH(1,('3. Enter Indicator Scores'!$B$10:$B$161=$B86)*('3. Enter Indicator Scores'!$C$10:$C$161=$C86),0),
  _xlpm.c, MATCH(AM$8,'3. Enter Indicator Scores'!$D$8:$CZ$8,0),
  _xlpm.v, IFERROR(INDEX('3. Enter Indicator Scores'!$D$10:$CZ$161,_xlpm.r,_xlpm.c),""),
  IF(OR(_xlpm.w="",_xlpm.v=""),"",_xlpm.v*_xlpm.w)
)</f>
        <v/>
      </c>
      <c r="AN86" s="93" t="str" cm="1">
        <f t="array" ref="AN86">_xlfn.LET(
  _xlpm.w, AN$11,
  _xlpm.r, MATCH(1,('3. Enter Indicator Scores'!$B$10:$B$161=$B86)*('3. Enter Indicator Scores'!$C$10:$C$161=$C86),0),
  _xlpm.c, MATCH(AN$8,'3. Enter Indicator Scores'!$D$8:$CZ$8,0),
  _xlpm.v, IFERROR(INDEX('3. Enter Indicator Scores'!$D$10:$CZ$161,_xlpm.r,_xlpm.c),""),
  IF(OR(_xlpm.w="",_xlpm.v=""),"",_xlpm.v*_xlpm.w)
)</f>
        <v/>
      </c>
      <c r="AO86" s="93" t="str" cm="1">
        <f t="array" ref="AO86">_xlfn.LET(
  _xlpm.w, AO$11,
  _xlpm.r, MATCH(1,('3. Enter Indicator Scores'!$B$10:$B$161=$B86)*('3. Enter Indicator Scores'!$C$10:$C$161=$C86),0),
  _xlpm.c, MATCH(AO$8,'3. Enter Indicator Scores'!$D$8:$CZ$8,0),
  _xlpm.v, IFERROR(INDEX('3. Enter Indicator Scores'!$D$10:$CZ$161,_xlpm.r,_xlpm.c),""),
  IF(OR(_xlpm.w="",_xlpm.v=""),"",_xlpm.v*_xlpm.w)
)</f>
        <v/>
      </c>
      <c r="AP86" s="93" t="str" cm="1">
        <f t="array" ref="AP86">_xlfn.LET(
  _xlpm.w, AP$11,
  _xlpm.r, MATCH(1,('3. Enter Indicator Scores'!$B$10:$B$161=$B86)*('3. Enter Indicator Scores'!$C$10:$C$161=$C86),0),
  _xlpm.c, MATCH(AP$8,'3. Enter Indicator Scores'!$D$8:$CZ$8,0),
  _xlpm.v, IFERROR(INDEX('3. Enter Indicator Scores'!$D$10:$CZ$161,_xlpm.r,_xlpm.c),""),
  IF(OR(_xlpm.w="",_xlpm.v=""),"",_xlpm.v*_xlpm.w)
)</f>
        <v/>
      </c>
      <c r="AQ86" s="93" t="str" cm="1">
        <f t="array" ref="AQ86">_xlfn.LET(
  _xlpm.w, AQ$11,
  _xlpm.r, MATCH(1,('3. Enter Indicator Scores'!$B$10:$B$161=$B86)*('3. Enter Indicator Scores'!$C$10:$C$161=$C86),0),
  _xlpm.c, MATCH(AQ$8,'3. Enter Indicator Scores'!$D$8:$CZ$8,0),
  _xlpm.v, IFERROR(INDEX('3. Enter Indicator Scores'!$D$10:$CZ$161,_xlpm.r,_xlpm.c),""),
  IF(OR(_xlpm.w="",_xlpm.v=""),"",_xlpm.v*_xlpm.w)
)</f>
        <v/>
      </c>
      <c r="AR86" s="93" t="str" cm="1">
        <f t="array" ref="AR86">_xlfn.LET(
  _xlpm.w, AR$11,
  _xlpm.r, MATCH(1,('3. Enter Indicator Scores'!$B$10:$B$161=$B86)*('3. Enter Indicator Scores'!$C$10:$C$161=$C86),0),
  _xlpm.c, MATCH(AR$8,'3. Enter Indicator Scores'!$D$8:$CZ$8,0),
  _xlpm.v, IFERROR(INDEX('3. Enter Indicator Scores'!$D$10:$CZ$161,_xlpm.r,_xlpm.c),""),
  IF(OR(_xlpm.w="",_xlpm.v=""),"",_xlpm.v*_xlpm.w)
)</f>
        <v/>
      </c>
      <c r="AS86" s="93" t="str" cm="1">
        <f t="array" ref="AS86">_xlfn.LET(
  _xlpm.w, AS$11,
  _xlpm.r, MATCH(1,('3. Enter Indicator Scores'!$B$10:$B$161=$B86)*('3. Enter Indicator Scores'!$C$10:$C$161=$C86),0),
  _xlpm.c, MATCH(AS$8,'3. Enter Indicator Scores'!$D$8:$CZ$8,0),
  _xlpm.v, IFERROR(INDEX('3. Enter Indicator Scores'!$D$10:$CZ$161,_xlpm.r,_xlpm.c),""),
  IF(OR(_xlpm.w="",_xlpm.v=""),"",_xlpm.v*_xlpm.w)
)</f>
        <v/>
      </c>
      <c r="AT86" s="93" t="str" cm="1">
        <f t="array" ref="AT86">_xlfn.LET(
  _xlpm.w, AT$11,
  _xlpm.r, MATCH(1,('3. Enter Indicator Scores'!$B$10:$B$161=$B86)*('3. Enter Indicator Scores'!$C$10:$C$161=$C86),0),
  _xlpm.c, MATCH(AT$8,'3. Enter Indicator Scores'!$D$8:$CZ$8,0),
  _xlpm.v, IFERROR(INDEX('3. Enter Indicator Scores'!$D$10:$CZ$161,_xlpm.r,_xlpm.c),""),
  IF(OR(_xlpm.w="",_xlpm.v=""),"",_xlpm.v*_xlpm.w)
)</f>
        <v/>
      </c>
      <c r="AU86" s="93" t="str" cm="1">
        <f t="array" ref="AU86">_xlfn.LET(
  _xlpm.w, AU$11,
  _xlpm.r, MATCH(1,('3. Enter Indicator Scores'!$B$10:$B$161=$B86)*('3. Enter Indicator Scores'!$C$10:$C$161=$C86),0),
  _xlpm.c, MATCH(AU$8,'3. Enter Indicator Scores'!$D$8:$CZ$8,0),
  _xlpm.v, IFERROR(INDEX('3. Enter Indicator Scores'!$D$10:$CZ$161,_xlpm.r,_xlpm.c),""),
  IF(OR(_xlpm.w="",_xlpm.v=""),"",_xlpm.v*_xlpm.w)
)</f>
        <v/>
      </c>
      <c r="AV86" s="93" t="str" cm="1">
        <f t="array" ref="AV86">_xlfn.LET(
  _xlpm.w, AV$11,
  _xlpm.r, MATCH(1,('3. Enter Indicator Scores'!$B$10:$B$161=$B86)*('3. Enter Indicator Scores'!$C$10:$C$161=$C86),0),
  _xlpm.c, MATCH(AV$8,'3. Enter Indicator Scores'!$D$8:$CZ$8,0),
  _xlpm.v, IFERROR(INDEX('3. Enter Indicator Scores'!$D$10:$CZ$161,_xlpm.r,_xlpm.c),""),
  IF(OR(_xlpm.w="",_xlpm.v=""),"",_xlpm.v*_xlpm.w)
)</f>
        <v/>
      </c>
      <c r="AW86" s="93" t="str" cm="1">
        <f t="array" ref="AW86">_xlfn.LET(
  _xlpm.w, AW$11,
  _xlpm.r, MATCH(1,('3. Enter Indicator Scores'!$B$10:$B$161=$B86)*('3. Enter Indicator Scores'!$C$10:$C$161=$C86),0),
  _xlpm.c, MATCH(AW$8,'3. Enter Indicator Scores'!$D$8:$CZ$8,0),
  _xlpm.v, IFERROR(INDEX('3. Enter Indicator Scores'!$D$10:$CZ$161,_xlpm.r,_xlpm.c),""),
  IF(OR(_xlpm.w="",_xlpm.v=""),"",_xlpm.v*_xlpm.w)
)</f>
        <v/>
      </c>
      <c r="AX86" s="93" t="str" cm="1">
        <f t="array" ref="AX86">_xlfn.LET(
  _xlpm.w, AX$11,
  _xlpm.r, MATCH(1,('3. Enter Indicator Scores'!$B$10:$B$161=$B86)*('3. Enter Indicator Scores'!$C$10:$C$161=$C86),0),
  _xlpm.c, MATCH(AX$8,'3. Enter Indicator Scores'!$D$8:$CZ$8,0),
  _xlpm.v, IFERROR(INDEX('3. Enter Indicator Scores'!$D$10:$CZ$161,_xlpm.r,_xlpm.c),""),
  IF(OR(_xlpm.w="",_xlpm.v=""),"",_xlpm.v*_xlpm.w)
)</f>
        <v/>
      </c>
      <c r="AY86" s="93" t="str" cm="1">
        <f t="array" ref="AY86">_xlfn.LET(
  _xlpm.w, AY$11,
  _xlpm.r, MATCH(1,('3. Enter Indicator Scores'!$B$10:$B$161=$B86)*('3. Enter Indicator Scores'!$C$10:$C$161=$C86),0),
  _xlpm.c, MATCH(AY$8,'3. Enter Indicator Scores'!$D$8:$CZ$8,0),
  _xlpm.v, IFERROR(INDEX('3. Enter Indicator Scores'!$D$10:$CZ$161,_xlpm.r,_xlpm.c),""),
  IF(OR(_xlpm.w="",_xlpm.v=""),"",_xlpm.v*_xlpm.w)
)</f>
        <v/>
      </c>
      <c r="AZ86" s="93" t="str" cm="1">
        <f t="array" ref="AZ86">_xlfn.LET(
  _xlpm.w, AZ$11,
  _xlpm.r, MATCH(1,('3. Enter Indicator Scores'!$B$10:$B$161=$B86)*('3. Enter Indicator Scores'!$C$10:$C$161=$C86),0),
  _xlpm.c, MATCH(AZ$8,'3. Enter Indicator Scores'!$D$8:$CZ$8,0),
  _xlpm.v, IFERROR(INDEX('3. Enter Indicator Scores'!$D$10:$CZ$161,_xlpm.r,_xlpm.c),""),
  IF(OR(_xlpm.w="",_xlpm.v=""),"",_xlpm.v*_xlpm.w)
)</f>
        <v/>
      </c>
      <c r="BA86" s="93" t="str" cm="1">
        <f t="array" ref="BA86">_xlfn.LET(
  _xlpm.w, BA$11,
  _xlpm.r, MATCH(1,('3. Enter Indicator Scores'!$B$10:$B$161=$B86)*('3. Enter Indicator Scores'!$C$10:$C$161=$C86),0),
  _xlpm.c, MATCH(BA$8,'3. Enter Indicator Scores'!$D$8:$CZ$8,0),
  _xlpm.v, IFERROR(INDEX('3. Enter Indicator Scores'!$D$10:$CZ$161,_xlpm.r,_xlpm.c),""),
  IF(OR(_xlpm.w="",_xlpm.v=""),"",_xlpm.v*_xlpm.w)
)</f>
        <v/>
      </c>
      <c r="BB86" s="93" t="str" cm="1">
        <f t="array" ref="BB86">_xlfn.LET(
  _xlpm.w, BB$11,
  _xlpm.r, MATCH(1,('3. Enter Indicator Scores'!$B$10:$B$161=$B86)*('3. Enter Indicator Scores'!$C$10:$C$161=$C86),0),
  _xlpm.c, MATCH(BB$8,'3. Enter Indicator Scores'!$D$8:$CZ$8,0),
  _xlpm.v, IFERROR(INDEX('3. Enter Indicator Scores'!$D$10:$CZ$161,_xlpm.r,_xlpm.c),""),
  IF(OR(_xlpm.w="",_xlpm.v=""),"",_xlpm.v*_xlpm.w)
)</f>
        <v/>
      </c>
      <c r="BC86" s="93" t="str" cm="1">
        <f t="array" ref="BC86">_xlfn.LET(
  _xlpm.w, BC$11,
  _xlpm.r, MATCH(1,('3. Enter Indicator Scores'!$B$10:$B$161=$B86)*('3. Enter Indicator Scores'!$C$10:$C$161=$C86),0),
  _xlpm.c, MATCH(BC$8,'3. Enter Indicator Scores'!$D$8:$CZ$8,0),
  _xlpm.v, IFERROR(INDEX('3. Enter Indicator Scores'!$D$10:$CZ$161,_xlpm.r,_xlpm.c),""),
  IF(OR(_xlpm.w="",_xlpm.v=""),"",_xlpm.v*_xlpm.w)
)</f>
        <v/>
      </c>
      <c r="BD86" s="93" t="str" cm="1">
        <f t="array" ref="BD86">_xlfn.LET(
  _xlpm.w, BD$11,
  _xlpm.r, MATCH(1,('3. Enter Indicator Scores'!$B$10:$B$161=$B86)*('3. Enter Indicator Scores'!$C$10:$C$161=$C86),0),
  _xlpm.c, MATCH(BD$8,'3. Enter Indicator Scores'!$D$8:$CZ$8,0),
  _xlpm.v, IFERROR(INDEX('3. Enter Indicator Scores'!$D$10:$CZ$161,_xlpm.r,_xlpm.c),""),
  IF(OR(_xlpm.w="",_xlpm.v=""),"",_xlpm.v*_xlpm.w)
)</f>
        <v/>
      </c>
      <c r="BE86" s="93" t="str" cm="1">
        <f t="array" ref="BE86">_xlfn.LET(
  _xlpm.w, BE$11,
  _xlpm.r, MATCH(1,('3. Enter Indicator Scores'!$B$10:$B$161=$B86)*('3. Enter Indicator Scores'!$C$10:$C$161=$C86),0),
  _xlpm.c, MATCH(BE$8,'3. Enter Indicator Scores'!$D$8:$CZ$8,0),
  _xlpm.v, IFERROR(INDEX('3. Enter Indicator Scores'!$D$10:$CZ$161,_xlpm.r,_xlpm.c),""),
  IF(OR(_xlpm.w="",_xlpm.v=""),"",_xlpm.v*_xlpm.w)
)</f>
        <v/>
      </c>
      <c r="BF86" s="93" t="str" cm="1">
        <f t="array" ref="BF86">_xlfn.LET(
  _xlpm.w, BF$11,
  _xlpm.r, MATCH(1,('3. Enter Indicator Scores'!$B$10:$B$161=$B86)*('3. Enter Indicator Scores'!$C$10:$C$161=$C86),0),
  _xlpm.c, MATCH(BF$8,'3. Enter Indicator Scores'!$D$8:$CZ$8,0),
  _xlpm.v, IFERROR(INDEX('3. Enter Indicator Scores'!$D$10:$CZ$161,_xlpm.r,_xlpm.c),""),
  IF(OR(_xlpm.w="",_xlpm.v=""),"",_xlpm.v*_xlpm.w)
)</f>
        <v/>
      </c>
      <c r="BG86" s="93" t="str" cm="1">
        <f t="array" ref="BG86">_xlfn.LET(
  _xlpm.w, BG$11,
  _xlpm.r, MATCH(1,('3. Enter Indicator Scores'!$B$10:$B$161=$B86)*('3. Enter Indicator Scores'!$C$10:$C$161=$C86),0),
  _xlpm.c, MATCH(BG$8,'3. Enter Indicator Scores'!$D$8:$CZ$8,0),
  _xlpm.v, IFERROR(INDEX('3. Enter Indicator Scores'!$D$10:$CZ$161,_xlpm.r,_xlpm.c),""),
  IF(OR(_xlpm.w="",_xlpm.v=""),"",_xlpm.v*_xlpm.w)
)</f>
        <v/>
      </c>
      <c r="BH86" s="93" t="str" cm="1">
        <f t="array" ref="BH86">_xlfn.LET(
  _xlpm.w, BH$11,
  _xlpm.r, MATCH(1,('3. Enter Indicator Scores'!$B$10:$B$161=$B86)*('3. Enter Indicator Scores'!$C$10:$C$161=$C86),0),
  _xlpm.c, MATCH(BH$8,'3. Enter Indicator Scores'!$D$8:$CZ$8,0),
  _xlpm.v, IFERROR(INDEX('3. Enter Indicator Scores'!$D$10:$CZ$161,_xlpm.r,_xlpm.c),""),
  IF(OR(_xlpm.w="",_xlpm.v=""),"",_xlpm.v*_xlpm.w)
)</f>
        <v/>
      </c>
      <c r="BI86" s="93" t="str" cm="1">
        <f t="array" ref="BI86">_xlfn.LET(
  _xlpm.w, BI$11,
  _xlpm.r, MATCH(1,('3. Enter Indicator Scores'!$B$10:$B$161=$B86)*('3. Enter Indicator Scores'!$C$10:$C$161=$C86),0),
  _xlpm.c, MATCH(BI$8,'3. Enter Indicator Scores'!$D$8:$CZ$8,0),
  _xlpm.v, IFERROR(INDEX('3. Enter Indicator Scores'!$D$10:$CZ$161,_xlpm.r,_xlpm.c),""),
  IF(OR(_xlpm.w="",_xlpm.v=""),"",_xlpm.v*_xlpm.w)
)</f>
        <v/>
      </c>
      <c r="BJ86" s="93" t="str" cm="1">
        <f t="array" ref="BJ86">_xlfn.LET(
  _xlpm.w, BJ$11,
  _xlpm.r, MATCH(1,('3. Enter Indicator Scores'!$B$10:$B$161=$B86)*('3. Enter Indicator Scores'!$C$10:$C$161=$C86),0),
  _xlpm.c, MATCH(BJ$8,'3. Enter Indicator Scores'!$D$8:$CZ$8,0),
  _xlpm.v, IFERROR(INDEX('3. Enter Indicator Scores'!$D$10:$CZ$161,_xlpm.r,_xlpm.c),""),
  IF(OR(_xlpm.w="",_xlpm.v=""),"",_xlpm.v*_xlpm.w)
)</f>
        <v/>
      </c>
      <c r="BK86" s="93" t="str" cm="1">
        <f t="array" ref="BK86">_xlfn.LET(
  _xlpm.w, BK$11,
  _xlpm.r, MATCH(1,('3. Enter Indicator Scores'!$B$10:$B$161=$B86)*('3. Enter Indicator Scores'!$C$10:$C$161=$C86),0),
  _xlpm.c, MATCH(BK$8,'3. Enter Indicator Scores'!$D$8:$CZ$8,0),
  _xlpm.v, IFERROR(INDEX('3. Enter Indicator Scores'!$D$10:$CZ$161,_xlpm.r,_xlpm.c),""),
  IF(OR(_xlpm.w="",_xlpm.v=""),"",_xlpm.v*_xlpm.w)
)</f>
        <v/>
      </c>
      <c r="BL86" s="93" t="str" cm="1">
        <f t="array" ref="BL86">_xlfn.LET(
  _xlpm.w, BL$11,
  _xlpm.r, MATCH(1,('3. Enter Indicator Scores'!$B$10:$B$161=$B86)*('3. Enter Indicator Scores'!$C$10:$C$161=$C86),0),
  _xlpm.c, MATCH(BL$8,'3. Enter Indicator Scores'!$D$8:$CZ$8,0),
  _xlpm.v, IFERROR(INDEX('3. Enter Indicator Scores'!$D$10:$CZ$161,_xlpm.r,_xlpm.c),""),
  IF(OR(_xlpm.w="",_xlpm.v=""),"",_xlpm.v*_xlpm.w)
)</f>
        <v/>
      </c>
      <c r="BM86" s="93" t="str" cm="1">
        <f t="array" ref="BM86">_xlfn.LET(
  _xlpm.w, BM$11,
  _xlpm.r, MATCH(1,('3. Enter Indicator Scores'!$B$10:$B$161=$B86)*('3. Enter Indicator Scores'!$C$10:$C$161=$C86),0),
  _xlpm.c, MATCH(BM$8,'3. Enter Indicator Scores'!$D$8:$CZ$8,0),
  _xlpm.v, IFERROR(INDEX('3. Enter Indicator Scores'!$D$10:$CZ$161,_xlpm.r,_xlpm.c),""),
  IF(OR(_xlpm.w="",_xlpm.v=""),"",_xlpm.v*_xlpm.w)
)</f>
        <v/>
      </c>
      <c r="BN86" s="93" t="str" cm="1">
        <f t="array" ref="BN86">_xlfn.LET(
  _xlpm.w, BN$11,
  _xlpm.r, MATCH(1,('3. Enter Indicator Scores'!$B$10:$B$161=$B86)*('3. Enter Indicator Scores'!$C$10:$C$161=$C86),0),
  _xlpm.c, MATCH(BN$8,'3. Enter Indicator Scores'!$D$8:$CZ$8,0),
  _xlpm.v, IFERROR(INDEX('3. Enter Indicator Scores'!$D$10:$CZ$161,_xlpm.r,_xlpm.c),""),
  IF(OR(_xlpm.w="",_xlpm.v=""),"",_xlpm.v*_xlpm.w)
)</f>
        <v/>
      </c>
      <c r="BO86" s="93" t="str" cm="1">
        <f t="array" ref="BO86">_xlfn.LET(
  _xlpm.w, BO$11,
  _xlpm.r, MATCH(1,('3. Enter Indicator Scores'!$B$10:$B$161=$B86)*('3. Enter Indicator Scores'!$C$10:$C$161=$C86),0),
  _xlpm.c, MATCH(BO$8,'3. Enter Indicator Scores'!$D$8:$CZ$8,0),
  _xlpm.v, IFERROR(INDEX('3. Enter Indicator Scores'!$D$10:$CZ$161,_xlpm.r,_xlpm.c),""),
  IF(OR(_xlpm.w="",_xlpm.v=""),"",_xlpm.v*_xlpm.w)
)</f>
        <v/>
      </c>
      <c r="BP86" s="93" t="str" cm="1">
        <f t="array" ref="BP86">_xlfn.LET(
  _xlpm.w, BP$11,
  _xlpm.r, MATCH(1,('3. Enter Indicator Scores'!$B$10:$B$161=$B86)*('3. Enter Indicator Scores'!$C$10:$C$161=$C86),0),
  _xlpm.c, MATCH(BP$8,'3. Enter Indicator Scores'!$D$8:$CZ$8,0),
  _xlpm.v, IFERROR(INDEX('3. Enter Indicator Scores'!$D$10:$CZ$161,_xlpm.r,_xlpm.c),""),
  IF(OR(_xlpm.w="",_xlpm.v=""),"",_xlpm.v*_xlpm.w)
)</f>
        <v/>
      </c>
      <c r="BQ86" s="93" t="str" cm="1">
        <f t="array" ref="BQ86">_xlfn.LET(
  _xlpm.w, BQ$11,
  _xlpm.r, MATCH(1,('3. Enter Indicator Scores'!$B$10:$B$161=$B86)*('3. Enter Indicator Scores'!$C$10:$C$161=$C86),0),
  _xlpm.c, MATCH(BQ$8,'3. Enter Indicator Scores'!$D$8:$CZ$8,0),
  _xlpm.v, IFERROR(INDEX('3. Enter Indicator Scores'!$D$10:$CZ$161,_xlpm.r,_xlpm.c),""),
  IF(OR(_xlpm.w="",_xlpm.v=""),"",_xlpm.v*_xlpm.w)
)</f>
        <v/>
      </c>
      <c r="BR86" s="93" t="str" cm="1">
        <f t="array" ref="BR86">_xlfn.LET(
  _xlpm.w, BR$11,
  _xlpm.r, MATCH(1,('3. Enter Indicator Scores'!$B$10:$B$161=$B86)*('3. Enter Indicator Scores'!$C$10:$C$161=$C86),0),
  _xlpm.c, MATCH(BR$8,'3. Enter Indicator Scores'!$D$8:$CZ$8,0),
  _xlpm.v, IFERROR(INDEX('3. Enter Indicator Scores'!$D$10:$CZ$161,_xlpm.r,_xlpm.c),""),
  IF(OR(_xlpm.w="",_xlpm.v=""),"",_xlpm.v*_xlpm.w)
)</f>
        <v/>
      </c>
      <c r="BS86" s="93" t="str" cm="1">
        <f t="array" ref="BS86">_xlfn.LET(
  _xlpm.w, BS$11,
  _xlpm.r, MATCH(1,('3. Enter Indicator Scores'!$B$10:$B$161=$B86)*('3. Enter Indicator Scores'!$C$10:$C$161=$C86),0),
  _xlpm.c, MATCH(BS$8,'3. Enter Indicator Scores'!$D$8:$CZ$8,0),
  _xlpm.v, IFERROR(INDEX('3. Enter Indicator Scores'!$D$10:$CZ$161,_xlpm.r,_xlpm.c),""),
  IF(OR(_xlpm.w="",_xlpm.v=""),"",_xlpm.v*_xlpm.w)
)</f>
        <v/>
      </c>
      <c r="BT86" s="93" t="str" cm="1">
        <f t="array" ref="BT86">_xlfn.LET(
  _xlpm.w, BT$11,
  _xlpm.r, MATCH(1,('3. Enter Indicator Scores'!$B$10:$B$161=$B86)*('3. Enter Indicator Scores'!$C$10:$C$161=$C86),0),
  _xlpm.c, MATCH(BT$8,'3. Enter Indicator Scores'!$D$8:$CZ$8,0),
  _xlpm.v, IFERROR(INDEX('3. Enter Indicator Scores'!$D$10:$CZ$161,_xlpm.r,_xlpm.c),""),
  IF(OR(_xlpm.w="",_xlpm.v=""),"",_xlpm.v*_xlpm.w)
)</f>
        <v/>
      </c>
      <c r="BU86" s="93" t="str" cm="1">
        <f t="array" ref="BU86">_xlfn.LET(
  _xlpm.w, BU$11,
  _xlpm.r, MATCH(1,('3. Enter Indicator Scores'!$B$10:$B$161=$B86)*('3. Enter Indicator Scores'!$C$10:$C$161=$C86),0),
  _xlpm.c, MATCH(BU$8,'3. Enter Indicator Scores'!$D$8:$CZ$8,0),
  _xlpm.v, IFERROR(INDEX('3. Enter Indicator Scores'!$D$10:$CZ$161,_xlpm.r,_xlpm.c),""),
  IF(OR(_xlpm.w="",_xlpm.v=""),"",_xlpm.v*_xlpm.w)
)</f>
        <v/>
      </c>
      <c r="BV86" s="93" t="str" cm="1">
        <f t="array" ref="BV86">_xlfn.LET(
  _xlpm.w, BV$11,
  _xlpm.r, MATCH(1,('3. Enter Indicator Scores'!$B$10:$B$161=$B86)*('3. Enter Indicator Scores'!$C$10:$C$161=$C86),0),
  _xlpm.c, MATCH(BV$8,'3. Enter Indicator Scores'!$D$8:$CZ$8,0),
  _xlpm.v, IFERROR(INDEX('3. Enter Indicator Scores'!$D$10:$CZ$161,_xlpm.r,_xlpm.c),""),
  IF(OR(_xlpm.w="",_xlpm.v=""),"",_xlpm.v*_xlpm.w)
)</f>
        <v/>
      </c>
      <c r="BW86" s="93" t="str" cm="1">
        <f t="array" ref="BW86">_xlfn.LET(
  _xlpm.w, BW$11,
  _xlpm.r, MATCH(1,('3. Enter Indicator Scores'!$B$10:$B$161=$B86)*('3. Enter Indicator Scores'!$C$10:$C$161=$C86),0),
  _xlpm.c, MATCH(BW$8,'3. Enter Indicator Scores'!$D$8:$CZ$8,0),
  _xlpm.v, IFERROR(INDEX('3. Enter Indicator Scores'!$D$10:$CZ$161,_xlpm.r,_xlpm.c),""),
  IF(OR(_xlpm.w="",_xlpm.v=""),"",_xlpm.v*_xlpm.w)
)</f>
        <v/>
      </c>
      <c r="BX86" s="93" t="str" cm="1">
        <f t="array" ref="BX86">_xlfn.LET(
  _xlpm.w, BX$11,
  _xlpm.r, MATCH(1,('3. Enter Indicator Scores'!$B$10:$B$161=$B86)*('3. Enter Indicator Scores'!$C$10:$C$161=$C86),0),
  _xlpm.c, MATCH(BX$8,'3. Enter Indicator Scores'!$D$8:$CZ$8,0),
  _xlpm.v, IFERROR(INDEX('3. Enter Indicator Scores'!$D$10:$CZ$161,_xlpm.r,_xlpm.c),""),
  IF(OR(_xlpm.w="",_xlpm.v=""),"",_xlpm.v*_xlpm.w)
)</f>
        <v/>
      </c>
      <c r="BY86" s="93" t="str" cm="1">
        <f t="array" ref="BY86">_xlfn.LET(
  _xlpm.w, BY$11,
  _xlpm.r, MATCH(1,('3. Enter Indicator Scores'!$B$10:$B$161=$B86)*('3. Enter Indicator Scores'!$C$10:$C$161=$C86),0),
  _xlpm.c, MATCH(BY$8,'3. Enter Indicator Scores'!$D$8:$CZ$8,0),
  _xlpm.v, IFERROR(INDEX('3. Enter Indicator Scores'!$D$10:$CZ$161,_xlpm.r,_xlpm.c),""),
  IF(OR(_xlpm.w="",_xlpm.v=""),"",_xlpm.v*_xlpm.w)
)</f>
        <v/>
      </c>
      <c r="BZ86" s="93" t="str" cm="1">
        <f t="array" ref="BZ86">_xlfn.LET(
  _xlpm.w, BZ$11,
  _xlpm.r, MATCH(1,('3. Enter Indicator Scores'!$B$10:$B$161=$B86)*('3. Enter Indicator Scores'!$C$10:$C$161=$C86),0),
  _xlpm.c, MATCH(BZ$8,'3. Enter Indicator Scores'!$D$8:$CZ$8,0),
  _xlpm.v, IFERROR(INDEX('3. Enter Indicator Scores'!$D$10:$CZ$161,_xlpm.r,_xlpm.c),""),
  IF(OR(_xlpm.w="",_xlpm.v=""),"",_xlpm.v*_xlpm.w)
)</f>
        <v/>
      </c>
      <c r="CA86" s="93" t="str" cm="1">
        <f t="array" ref="CA86">_xlfn.LET(
  _xlpm.w, CA$11,
  _xlpm.r, MATCH(1,('3. Enter Indicator Scores'!$B$10:$B$161=$B86)*('3. Enter Indicator Scores'!$C$10:$C$161=$C86),0),
  _xlpm.c, MATCH(CA$8,'3. Enter Indicator Scores'!$D$8:$CZ$8,0),
  _xlpm.v, IFERROR(INDEX('3. Enter Indicator Scores'!$D$10:$CZ$161,_xlpm.r,_xlpm.c),""),
  IF(OR(_xlpm.w="",_xlpm.v=""),"",_xlpm.v*_xlpm.w)
)</f>
        <v/>
      </c>
      <c r="CB86" s="93" t="str" cm="1">
        <f t="array" ref="CB86">_xlfn.LET(
  _xlpm.w, CB$11,
  _xlpm.r, MATCH(1,('3. Enter Indicator Scores'!$B$10:$B$161=$B86)*('3. Enter Indicator Scores'!$C$10:$C$161=$C86),0),
  _xlpm.c, MATCH(CB$8,'3. Enter Indicator Scores'!$D$8:$CZ$8,0),
  _xlpm.v, IFERROR(INDEX('3. Enter Indicator Scores'!$D$10:$CZ$161,_xlpm.r,_xlpm.c),""),
  IF(OR(_xlpm.w="",_xlpm.v=""),"",_xlpm.v*_xlpm.w)
)</f>
        <v/>
      </c>
      <c r="CC86" s="93" t="str" cm="1">
        <f t="array" ref="CC86">_xlfn.LET(
  _xlpm.w, CC$11,
  _xlpm.r, MATCH(1,('3. Enter Indicator Scores'!$B$10:$B$161=$B86)*('3. Enter Indicator Scores'!$C$10:$C$161=$C86),0),
  _xlpm.c, MATCH(CC$8,'3. Enter Indicator Scores'!$D$8:$CZ$8,0),
  _xlpm.v, IFERROR(INDEX('3. Enter Indicator Scores'!$D$10:$CZ$161,_xlpm.r,_xlpm.c),""),
  IF(OR(_xlpm.w="",_xlpm.v=""),"",_xlpm.v*_xlpm.w)
)</f>
        <v/>
      </c>
      <c r="CD86" s="93" t="str" cm="1">
        <f t="array" ref="CD86">_xlfn.LET(
  _xlpm.w, CD$11,
  _xlpm.r, MATCH(1,('3. Enter Indicator Scores'!$B$10:$B$161=$B86)*('3. Enter Indicator Scores'!$C$10:$C$161=$C86),0),
  _xlpm.c, MATCH(CD$8,'3. Enter Indicator Scores'!$D$8:$CZ$8,0),
  _xlpm.v, IFERROR(INDEX('3. Enter Indicator Scores'!$D$10:$CZ$161,_xlpm.r,_xlpm.c),""),
  IF(OR(_xlpm.w="",_xlpm.v=""),"",_xlpm.v*_xlpm.w)
)</f>
        <v/>
      </c>
      <c r="CE86" s="93" t="str" cm="1">
        <f t="array" ref="CE86">_xlfn.LET(
  _xlpm.w, CE$11,
  _xlpm.r, MATCH(1,('3. Enter Indicator Scores'!$B$10:$B$161=$B86)*('3. Enter Indicator Scores'!$C$10:$C$161=$C86),0),
  _xlpm.c, MATCH(CE$8,'3. Enter Indicator Scores'!$D$8:$CZ$8,0),
  _xlpm.v, IFERROR(INDEX('3. Enter Indicator Scores'!$D$10:$CZ$161,_xlpm.r,_xlpm.c),""),
  IF(OR(_xlpm.w="",_xlpm.v=""),"",_xlpm.v*_xlpm.w)
)</f>
        <v/>
      </c>
      <c r="CF86" s="93" t="str" cm="1">
        <f t="array" ref="CF86">_xlfn.LET(
  _xlpm.w, CF$11,
  _xlpm.r, MATCH(1,('3. Enter Indicator Scores'!$B$10:$B$161=$B86)*('3. Enter Indicator Scores'!$C$10:$C$161=$C86),0),
  _xlpm.c, MATCH(CF$8,'3. Enter Indicator Scores'!$D$8:$CZ$8,0),
  _xlpm.v, IFERROR(INDEX('3. Enter Indicator Scores'!$D$10:$CZ$161,_xlpm.r,_xlpm.c),""),
  IF(OR(_xlpm.w="",_xlpm.v=""),"",_xlpm.v*_xlpm.w)
)</f>
        <v/>
      </c>
      <c r="CG86" s="93" t="str" cm="1">
        <f t="array" ref="CG86">_xlfn.LET(
  _xlpm.w, CG$11,
  _xlpm.r, MATCH(1,('3. Enter Indicator Scores'!$B$10:$B$161=$B86)*('3. Enter Indicator Scores'!$C$10:$C$161=$C86),0),
  _xlpm.c, MATCH(CG$8,'3. Enter Indicator Scores'!$D$8:$CZ$8,0),
  _xlpm.v, IFERROR(INDEX('3. Enter Indicator Scores'!$D$10:$CZ$161,_xlpm.r,_xlpm.c),""),
  IF(OR(_xlpm.w="",_xlpm.v=""),"",_xlpm.v*_xlpm.w)
)</f>
        <v/>
      </c>
      <c r="CH86" s="93" t="str" cm="1">
        <f t="array" ref="CH86">_xlfn.LET(
  _xlpm.w, CH$11,
  _xlpm.r, MATCH(1,('3. Enter Indicator Scores'!$B$10:$B$161=$B86)*('3. Enter Indicator Scores'!$C$10:$C$161=$C86),0),
  _xlpm.c, MATCH(CH$8,'3. Enter Indicator Scores'!$D$8:$CZ$8,0),
  _xlpm.v, IFERROR(INDEX('3. Enter Indicator Scores'!$D$10:$CZ$161,_xlpm.r,_xlpm.c),""),
  IF(OR(_xlpm.w="",_xlpm.v=""),"",_xlpm.v*_xlpm.w)
)</f>
        <v/>
      </c>
      <c r="CI86" s="93" t="str" cm="1">
        <f t="array" ref="CI86">_xlfn.LET(
  _xlpm.w, CI$11,
  _xlpm.r, MATCH(1,('3. Enter Indicator Scores'!$B$10:$B$161=$B86)*('3. Enter Indicator Scores'!$C$10:$C$161=$C86),0),
  _xlpm.c, MATCH(CI$8,'3. Enter Indicator Scores'!$D$8:$CZ$8,0),
  _xlpm.v, IFERROR(INDEX('3. Enter Indicator Scores'!$D$10:$CZ$161,_xlpm.r,_xlpm.c),""),
  IF(OR(_xlpm.w="",_xlpm.v=""),"",_xlpm.v*_xlpm.w)
)</f>
        <v/>
      </c>
      <c r="CJ86" s="93" t="str" cm="1">
        <f t="array" ref="CJ86">_xlfn.LET(
  _xlpm.w, CJ$11,
  _xlpm.r, MATCH(1,('3. Enter Indicator Scores'!$B$10:$B$161=$B86)*('3. Enter Indicator Scores'!$C$10:$C$161=$C86),0),
  _xlpm.c, MATCH(CJ$8,'3. Enter Indicator Scores'!$D$8:$CZ$8,0),
  _xlpm.v, IFERROR(INDEX('3. Enter Indicator Scores'!$D$10:$CZ$161,_xlpm.r,_xlpm.c),""),
  IF(OR(_xlpm.w="",_xlpm.v=""),"",_xlpm.v*_xlpm.w)
)</f>
        <v/>
      </c>
      <c r="CK86" s="93" t="str" cm="1">
        <f t="array" ref="CK86">_xlfn.LET(
  _xlpm.w, CK$11,
  _xlpm.r, MATCH(1,('3. Enter Indicator Scores'!$B$10:$B$161=$B86)*('3. Enter Indicator Scores'!$C$10:$C$161=$C86),0),
  _xlpm.c, MATCH(CK$8,'3. Enter Indicator Scores'!$D$8:$CZ$8,0),
  _xlpm.v, IFERROR(INDEX('3. Enter Indicator Scores'!$D$10:$CZ$161,_xlpm.r,_xlpm.c),""),
  IF(OR(_xlpm.w="",_xlpm.v=""),"",_xlpm.v*_xlpm.w)
)</f>
        <v/>
      </c>
      <c r="CL86" s="93" t="str" cm="1">
        <f t="array" ref="CL86">_xlfn.LET(
  _xlpm.w, CL$11,
  _xlpm.r, MATCH(1,('3. Enter Indicator Scores'!$B$10:$B$161=$B86)*('3. Enter Indicator Scores'!$C$10:$C$161=$C86),0),
  _xlpm.c, MATCH(CL$8,'3. Enter Indicator Scores'!$D$8:$CZ$8,0),
  _xlpm.v, IFERROR(INDEX('3. Enter Indicator Scores'!$D$10:$CZ$161,_xlpm.r,_xlpm.c),""),
  IF(OR(_xlpm.w="",_xlpm.v=""),"",_xlpm.v*_xlpm.w)
)</f>
        <v/>
      </c>
      <c r="CM86" s="93" t="str" cm="1">
        <f t="array" ref="CM86">_xlfn.LET(
  _xlpm.w, CM$11,
  _xlpm.r, MATCH(1,('3. Enter Indicator Scores'!$B$10:$B$161=$B86)*('3. Enter Indicator Scores'!$C$10:$C$161=$C86),0),
  _xlpm.c, MATCH(CM$8,'3. Enter Indicator Scores'!$D$8:$CZ$8,0),
  _xlpm.v, IFERROR(INDEX('3. Enter Indicator Scores'!$D$10:$CZ$161,_xlpm.r,_xlpm.c),""),
  IF(OR(_xlpm.w="",_xlpm.v=""),"",_xlpm.v*_xlpm.w)
)</f>
        <v/>
      </c>
      <c r="CN86" s="93" t="str" cm="1">
        <f t="array" ref="CN86">_xlfn.LET(
  _xlpm.w, CN$11,
  _xlpm.r, MATCH(1,('3. Enter Indicator Scores'!$B$10:$B$161=$B86)*('3. Enter Indicator Scores'!$C$10:$C$161=$C86),0),
  _xlpm.c, MATCH(CN$8,'3. Enter Indicator Scores'!$D$8:$CZ$8,0),
  _xlpm.v, IFERROR(INDEX('3. Enter Indicator Scores'!$D$10:$CZ$161,_xlpm.r,_xlpm.c),""),
  IF(OR(_xlpm.w="",_xlpm.v=""),"",_xlpm.v*_xlpm.w)
)</f>
        <v/>
      </c>
      <c r="CO86" s="93" t="str" cm="1">
        <f t="array" ref="CO86">_xlfn.LET(
  _xlpm.w, CO$11,
  _xlpm.r, MATCH(1,('3. Enter Indicator Scores'!$B$10:$B$161=$B86)*('3. Enter Indicator Scores'!$C$10:$C$161=$C86),0),
  _xlpm.c, MATCH(CO$8,'3. Enter Indicator Scores'!$D$8:$CZ$8,0),
  _xlpm.v, IFERROR(INDEX('3. Enter Indicator Scores'!$D$10:$CZ$161,_xlpm.r,_xlpm.c),""),
  IF(OR(_xlpm.w="",_xlpm.v=""),"",_xlpm.v*_xlpm.w)
)</f>
        <v/>
      </c>
      <c r="CP86" s="93" t="str" cm="1">
        <f t="array" ref="CP86">_xlfn.LET(
  _xlpm.w, CP$11,
  _xlpm.r, MATCH(1,('3. Enter Indicator Scores'!$B$10:$B$161=$B86)*('3. Enter Indicator Scores'!$C$10:$C$161=$C86),0),
  _xlpm.c, MATCH(CP$8,'3. Enter Indicator Scores'!$D$8:$CZ$8,0),
  _xlpm.v, IFERROR(INDEX('3. Enter Indicator Scores'!$D$10:$CZ$161,_xlpm.r,_xlpm.c),""),
  IF(OR(_xlpm.w="",_xlpm.v=""),"",_xlpm.v*_xlpm.w)
)</f>
        <v/>
      </c>
      <c r="CQ86" s="93" t="str" cm="1">
        <f t="array" ref="CQ86">_xlfn.LET(
  _xlpm.w, CQ$11,
  _xlpm.r, MATCH(1,('3. Enter Indicator Scores'!$B$10:$B$161=$B86)*('3. Enter Indicator Scores'!$C$10:$C$161=$C86),0),
  _xlpm.c, MATCH(CQ$8,'3. Enter Indicator Scores'!$D$8:$CZ$8,0),
  _xlpm.v, IFERROR(INDEX('3. Enter Indicator Scores'!$D$10:$CZ$161,_xlpm.r,_xlpm.c),""),
  IF(OR(_xlpm.w="",_xlpm.v=""),"",_xlpm.v*_xlpm.w)
)</f>
        <v/>
      </c>
      <c r="CR86" s="93" t="str" cm="1">
        <f t="array" ref="CR86">_xlfn.LET(
  _xlpm.w, CR$11,
  _xlpm.r, MATCH(1,('3. Enter Indicator Scores'!$B$10:$B$161=$B86)*('3. Enter Indicator Scores'!$C$10:$C$161=$C86),0),
  _xlpm.c, MATCH(CR$8,'3. Enter Indicator Scores'!$D$8:$CZ$8,0),
  _xlpm.v, IFERROR(INDEX('3. Enter Indicator Scores'!$D$10:$CZ$161,_xlpm.r,_xlpm.c),""),
  IF(OR(_xlpm.w="",_xlpm.v=""),"",_xlpm.v*_xlpm.w)
)</f>
        <v/>
      </c>
      <c r="CS86" s="93" t="str" cm="1">
        <f t="array" ref="CS86">_xlfn.LET(
  _xlpm.w, CS$11,
  _xlpm.r, MATCH(1,('3. Enter Indicator Scores'!$B$10:$B$161=$B86)*('3. Enter Indicator Scores'!$C$10:$C$161=$C86),0),
  _xlpm.c, MATCH(CS$8,'3. Enter Indicator Scores'!$D$8:$CZ$8,0),
  _xlpm.v, IFERROR(INDEX('3. Enter Indicator Scores'!$D$10:$CZ$161,_xlpm.r,_xlpm.c),""),
  IF(OR(_xlpm.w="",_xlpm.v=""),"",_xlpm.v*_xlpm.w)
)</f>
        <v/>
      </c>
      <c r="CT86" s="93" t="str" cm="1">
        <f t="array" ref="CT86">_xlfn.LET(
  _xlpm.w, CT$11,
  _xlpm.r, MATCH(1,('3. Enter Indicator Scores'!$B$10:$B$161=$B86)*('3. Enter Indicator Scores'!$C$10:$C$161=$C86),0),
  _xlpm.c, MATCH(CT$8,'3. Enter Indicator Scores'!$D$8:$CZ$8,0),
  _xlpm.v, IFERROR(INDEX('3. Enter Indicator Scores'!$D$10:$CZ$161,_xlpm.r,_xlpm.c),""),
  IF(OR(_xlpm.w="",_xlpm.v=""),"",_xlpm.v*_xlpm.w)
)</f>
        <v/>
      </c>
      <c r="CU86" s="93" t="str" cm="1">
        <f t="array" ref="CU86">_xlfn.LET(
  _xlpm.w, CU$11,
  _xlpm.r, MATCH(1,('3. Enter Indicator Scores'!$B$10:$B$161=$B86)*('3. Enter Indicator Scores'!$C$10:$C$161=$C86),0),
  _xlpm.c, MATCH(CU$8,'3. Enter Indicator Scores'!$D$8:$CZ$8,0),
  _xlpm.v, IFERROR(INDEX('3. Enter Indicator Scores'!$D$10:$CZ$161,_xlpm.r,_xlpm.c),""),
  IF(OR(_xlpm.w="",_xlpm.v=""),"",_xlpm.v*_xlpm.w)
)</f>
        <v/>
      </c>
      <c r="CV86" s="93" t="str" cm="1">
        <f t="array" ref="CV86">_xlfn.LET(
  _xlpm.w, CV$11,
  _xlpm.r, MATCH(1,('3. Enter Indicator Scores'!$B$10:$B$161=$B86)*('3. Enter Indicator Scores'!$C$10:$C$161=$C86),0),
  _xlpm.c, MATCH(CV$8,'3. Enter Indicator Scores'!$D$8:$CZ$8,0),
  _xlpm.v, IFERROR(INDEX('3. Enter Indicator Scores'!$D$10:$CZ$161,_xlpm.r,_xlpm.c),""),
  IF(OR(_xlpm.w="",_xlpm.v=""),"",_xlpm.v*_xlpm.w)
)</f>
        <v/>
      </c>
      <c r="CW86" s="93" t="str" cm="1">
        <f t="array" ref="CW86">_xlfn.LET(
  _xlpm.w, CW$11,
  _xlpm.r, MATCH(1,('3. Enter Indicator Scores'!$B$10:$B$161=$B86)*('3. Enter Indicator Scores'!$C$10:$C$161=$C86),0),
  _xlpm.c, MATCH(CW$8,'3. Enter Indicator Scores'!$D$8:$CZ$8,0),
  _xlpm.v, IFERROR(INDEX('3. Enter Indicator Scores'!$D$10:$CZ$161,_xlpm.r,_xlpm.c),""),
  IF(OR(_xlpm.w="",_xlpm.v=""),"",_xlpm.v*_xlpm.w)
)</f>
        <v/>
      </c>
      <c r="CX86" s="93" t="str" cm="1">
        <f t="array" ref="CX86">_xlfn.LET(
  _xlpm.w, CX$11,
  _xlpm.r, MATCH(1,('3. Enter Indicator Scores'!$B$10:$B$161=$B86)*('3. Enter Indicator Scores'!$C$10:$C$161=$C86),0),
  _xlpm.c, MATCH(CX$8,'3. Enter Indicator Scores'!$D$8:$CZ$8,0),
  _xlpm.v, IFERROR(INDEX('3. Enter Indicator Scores'!$D$10:$CZ$161,_xlpm.r,_xlpm.c),""),
  IF(OR(_xlpm.w="",_xlpm.v=""),"",_xlpm.v*_xlpm.w)
)</f>
        <v/>
      </c>
      <c r="CY86" s="93" t="str" cm="1">
        <f t="array" ref="CY86">_xlfn.LET(
  _xlpm.w, CY$11,
  _xlpm.r, MATCH(1,('3. Enter Indicator Scores'!$B$10:$B$161=$B86)*('3. Enter Indicator Scores'!$C$10:$C$161=$C86),0),
  _xlpm.c, MATCH(CY$8,'3. Enter Indicator Scores'!$D$8:$CZ$8,0),
  _xlpm.v, IFERROR(INDEX('3. Enter Indicator Scores'!$D$10:$CZ$161,_xlpm.r,_xlpm.c),""),
  IF(OR(_xlpm.w="",_xlpm.v=""),"",_xlpm.v*_xlpm.w)
)</f>
        <v/>
      </c>
      <c r="CZ86" s="93" t="str" cm="1">
        <f t="array" ref="CZ86">_xlfn.LET(
  _xlpm.w, CZ$11,
  _xlpm.r, MATCH(1,('3. Enter Indicator Scores'!$B$10:$B$161=$B86)*('3. Enter Indicator Scores'!$C$10:$C$161=$C86),0),
  _xlpm.c, MATCH(CZ$8,'3. Enter Indicator Scores'!$D$8:$CZ$8,0),
  _xlpm.v, IFERROR(INDEX('3. Enter Indicator Scores'!$D$10:$CZ$161,_xlpm.r,_xlpm.c),""),
  IF(OR(_xlpm.w="",_xlpm.v=""),"",_xlpm.v*_xlpm.w)
)</f>
        <v/>
      </c>
    </row>
    <row r="87" spans="4:104" x14ac:dyDescent="0.2">
      <c r="D87" s="93" t="str" cm="1">
        <f t="array" ref="D87">_xlfn.LET(
  _xlpm.w, D$11,
  _xlpm.r, MATCH(1,('3. Enter Indicator Scores'!$B$10:$B$161=$B87)*('3. Enter Indicator Scores'!$C$10:$C$161=$C87),0),
  _xlpm.c, MATCH(D$8,'3. Enter Indicator Scores'!$D$8:$CZ$8,0),
  _xlpm.v, IFERROR(INDEX('3. Enter Indicator Scores'!$D$10:$CZ$161,_xlpm.r,_xlpm.c),""),
  IF(OR(_xlpm.w="",_xlpm.v=""),"",_xlpm.v*_xlpm.w)
)</f>
        <v/>
      </c>
      <c r="E87" s="93" t="str" cm="1">
        <f t="array" ref="E87">_xlfn.LET(
  _xlpm.w, E$11,
  _xlpm.r, MATCH(1,('3. Enter Indicator Scores'!$B$10:$B$161=$B87)*('3. Enter Indicator Scores'!$C$10:$C$161=$C87),0),
  _xlpm.c, MATCH(E$8,'3. Enter Indicator Scores'!$D$8:$CZ$8,0),
  _xlpm.v, IFERROR(INDEX('3. Enter Indicator Scores'!$D$10:$CZ$161,_xlpm.r,_xlpm.c),""),
  IF(OR(_xlpm.w="",_xlpm.v=""),"",_xlpm.v*_xlpm.w)
)</f>
        <v/>
      </c>
      <c r="F87" s="93" t="str" cm="1">
        <f t="array" ref="F87">_xlfn.LET(
  _xlpm.w, F$11,
  _xlpm.r, MATCH(1,('3. Enter Indicator Scores'!$B$10:$B$161=$B87)*('3. Enter Indicator Scores'!$C$10:$C$161=$C87),0),
  _xlpm.c, MATCH(F$8,'3. Enter Indicator Scores'!$D$8:$CZ$8,0),
  _xlpm.v, IFERROR(INDEX('3. Enter Indicator Scores'!$D$10:$CZ$161,_xlpm.r,_xlpm.c),""),
  IF(OR(_xlpm.w="",_xlpm.v=""),"",_xlpm.v*_xlpm.w)
)</f>
        <v/>
      </c>
      <c r="G87" s="93" t="str" cm="1">
        <f t="array" ref="G87">_xlfn.LET(
  _xlpm.w, G$11,
  _xlpm.r, MATCH(1,('3. Enter Indicator Scores'!$B$10:$B$161=$B87)*('3. Enter Indicator Scores'!$C$10:$C$161=$C87),0),
  _xlpm.c, MATCH(G$8,'3. Enter Indicator Scores'!$D$8:$CZ$8,0),
  _xlpm.v, IFERROR(INDEX('3. Enter Indicator Scores'!$D$10:$CZ$161,_xlpm.r,_xlpm.c),""),
  IF(OR(_xlpm.w="",_xlpm.v=""),"",_xlpm.v*_xlpm.w)
)</f>
        <v/>
      </c>
      <c r="H87" s="93" t="str" cm="1">
        <f t="array" ref="H87">_xlfn.LET(
  _xlpm.w, H$11,
  _xlpm.r, MATCH(1,('3. Enter Indicator Scores'!$B$10:$B$161=$B87)*('3. Enter Indicator Scores'!$C$10:$C$161=$C87),0),
  _xlpm.c, MATCH(H$8,'3. Enter Indicator Scores'!$D$8:$CZ$8,0),
  _xlpm.v, IFERROR(INDEX('3. Enter Indicator Scores'!$D$10:$CZ$161,_xlpm.r,_xlpm.c),""),
  IF(OR(_xlpm.w="",_xlpm.v=""),"",_xlpm.v*_xlpm.w)
)</f>
        <v/>
      </c>
      <c r="I87" s="93" t="str" cm="1">
        <f t="array" ref="I87">_xlfn.LET(
  _xlpm.w, I$11,
  _xlpm.r, MATCH(1,('3. Enter Indicator Scores'!$B$10:$B$161=$B87)*('3. Enter Indicator Scores'!$C$10:$C$161=$C87),0),
  _xlpm.c, MATCH(I$8,'3. Enter Indicator Scores'!$D$8:$CZ$8,0),
  _xlpm.v, IFERROR(INDEX('3. Enter Indicator Scores'!$D$10:$CZ$161,_xlpm.r,_xlpm.c),""),
  IF(OR(_xlpm.w="",_xlpm.v=""),"",_xlpm.v*_xlpm.w)
)</f>
        <v/>
      </c>
      <c r="J87" s="93" t="str" cm="1">
        <f t="array" ref="J87">_xlfn.LET(
  _xlpm.w, J$11,
  _xlpm.r, MATCH(1,('3. Enter Indicator Scores'!$B$10:$B$161=$B87)*('3. Enter Indicator Scores'!$C$10:$C$161=$C87),0),
  _xlpm.c, MATCH(J$8,'3. Enter Indicator Scores'!$D$8:$CZ$8,0),
  _xlpm.v, IFERROR(INDEX('3. Enter Indicator Scores'!$D$10:$CZ$161,_xlpm.r,_xlpm.c),""),
  IF(OR(_xlpm.w="",_xlpm.v=""),"",_xlpm.v*_xlpm.w)
)</f>
        <v/>
      </c>
      <c r="K87" s="93" t="str" cm="1">
        <f t="array" ref="K87">_xlfn.LET(
  _xlpm.w, K$11,
  _xlpm.r, MATCH(1,('3. Enter Indicator Scores'!$B$10:$B$161=$B87)*('3. Enter Indicator Scores'!$C$10:$C$161=$C87),0),
  _xlpm.c, MATCH(K$8,'3. Enter Indicator Scores'!$D$8:$CZ$8,0),
  _xlpm.v, IFERROR(INDEX('3. Enter Indicator Scores'!$D$10:$CZ$161,_xlpm.r,_xlpm.c),""),
  IF(OR(_xlpm.w="",_xlpm.v=""),"",_xlpm.v*_xlpm.w)
)</f>
        <v/>
      </c>
      <c r="L87" s="93" t="str" cm="1">
        <f t="array" ref="L87">_xlfn.LET(
  _xlpm.w, L$11,
  _xlpm.r, MATCH(1,('3. Enter Indicator Scores'!$B$10:$B$161=$B87)*('3. Enter Indicator Scores'!$C$10:$C$161=$C87),0),
  _xlpm.c, MATCH(L$8,'3. Enter Indicator Scores'!$D$8:$CZ$8,0),
  _xlpm.v, IFERROR(INDEX('3. Enter Indicator Scores'!$D$10:$CZ$161,_xlpm.r,_xlpm.c),""),
  IF(OR(_xlpm.w="",_xlpm.v=""),"",_xlpm.v*_xlpm.w)
)</f>
        <v/>
      </c>
      <c r="M87" s="93" t="str" cm="1">
        <f t="array" ref="M87">_xlfn.LET(
  _xlpm.w, M$11,
  _xlpm.r, MATCH(1,('3. Enter Indicator Scores'!$B$10:$B$161=$B87)*('3. Enter Indicator Scores'!$C$10:$C$161=$C87),0),
  _xlpm.c, MATCH(M$8,'3. Enter Indicator Scores'!$D$8:$CZ$8,0),
  _xlpm.v, IFERROR(INDEX('3. Enter Indicator Scores'!$D$10:$CZ$161,_xlpm.r,_xlpm.c),""),
  IF(OR(_xlpm.w="",_xlpm.v=""),"",_xlpm.v*_xlpm.w)
)</f>
        <v/>
      </c>
      <c r="N87" s="93" t="str" cm="1">
        <f t="array" ref="N87">_xlfn.LET(
  _xlpm.w, N$11,
  _xlpm.r, MATCH(1,('3. Enter Indicator Scores'!$B$10:$B$161=$B87)*('3. Enter Indicator Scores'!$C$10:$C$161=$C87),0),
  _xlpm.c, MATCH(N$8,'3. Enter Indicator Scores'!$D$8:$CZ$8,0),
  _xlpm.v, IFERROR(INDEX('3. Enter Indicator Scores'!$D$10:$CZ$161,_xlpm.r,_xlpm.c),""),
  IF(OR(_xlpm.w="",_xlpm.v=""),"",_xlpm.v*_xlpm.w)
)</f>
        <v/>
      </c>
      <c r="O87" s="93" t="str" cm="1">
        <f t="array" ref="O87">_xlfn.LET(
  _xlpm.w, O$11,
  _xlpm.r, MATCH(1,('3. Enter Indicator Scores'!$B$10:$B$161=$B87)*('3. Enter Indicator Scores'!$C$10:$C$161=$C87),0),
  _xlpm.c, MATCH(O$8,'3. Enter Indicator Scores'!$D$8:$CZ$8,0),
  _xlpm.v, IFERROR(INDEX('3. Enter Indicator Scores'!$D$10:$CZ$161,_xlpm.r,_xlpm.c),""),
  IF(OR(_xlpm.w="",_xlpm.v=""),"",_xlpm.v*_xlpm.w)
)</f>
        <v/>
      </c>
      <c r="P87" s="93" t="str" cm="1">
        <f t="array" ref="P87">_xlfn.LET(
  _xlpm.w, P$11,
  _xlpm.r, MATCH(1,('3. Enter Indicator Scores'!$B$10:$B$161=$B87)*('3. Enter Indicator Scores'!$C$10:$C$161=$C87),0),
  _xlpm.c, MATCH(P$8,'3. Enter Indicator Scores'!$D$8:$CZ$8,0),
  _xlpm.v, IFERROR(INDEX('3. Enter Indicator Scores'!$D$10:$CZ$161,_xlpm.r,_xlpm.c),""),
  IF(OR(_xlpm.w="",_xlpm.v=""),"",_xlpm.v*_xlpm.w)
)</f>
        <v/>
      </c>
      <c r="Q87" s="93" t="str" cm="1">
        <f t="array" ref="Q87">_xlfn.LET(
  _xlpm.w, Q$11,
  _xlpm.r, MATCH(1,('3. Enter Indicator Scores'!$B$10:$B$161=$B87)*('3. Enter Indicator Scores'!$C$10:$C$161=$C87),0),
  _xlpm.c, MATCH(Q$8,'3. Enter Indicator Scores'!$D$8:$CZ$8,0),
  _xlpm.v, IFERROR(INDEX('3. Enter Indicator Scores'!$D$10:$CZ$161,_xlpm.r,_xlpm.c),""),
  IF(OR(_xlpm.w="",_xlpm.v=""),"",_xlpm.v*_xlpm.w)
)</f>
        <v/>
      </c>
      <c r="R87" s="93" t="str" cm="1">
        <f t="array" ref="R87">_xlfn.LET(
  _xlpm.w, R$11,
  _xlpm.r, MATCH(1,('3. Enter Indicator Scores'!$B$10:$B$161=$B87)*('3. Enter Indicator Scores'!$C$10:$C$161=$C87),0),
  _xlpm.c, MATCH(R$8,'3. Enter Indicator Scores'!$D$8:$CZ$8,0),
  _xlpm.v, IFERROR(INDEX('3. Enter Indicator Scores'!$D$10:$CZ$161,_xlpm.r,_xlpm.c),""),
  IF(OR(_xlpm.w="",_xlpm.v=""),"",_xlpm.v*_xlpm.w)
)</f>
        <v/>
      </c>
      <c r="S87" s="93" t="str" cm="1">
        <f t="array" ref="S87">_xlfn.LET(
  _xlpm.w, S$11,
  _xlpm.r, MATCH(1,('3. Enter Indicator Scores'!$B$10:$B$161=$B87)*('3. Enter Indicator Scores'!$C$10:$C$161=$C87),0),
  _xlpm.c, MATCH(S$8,'3. Enter Indicator Scores'!$D$8:$CZ$8,0),
  _xlpm.v, IFERROR(INDEX('3. Enter Indicator Scores'!$D$10:$CZ$161,_xlpm.r,_xlpm.c),""),
  IF(OR(_xlpm.w="",_xlpm.v=""),"",_xlpm.v*_xlpm.w)
)</f>
        <v/>
      </c>
      <c r="T87" s="93" t="str" cm="1">
        <f t="array" ref="T87">_xlfn.LET(
  _xlpm.w, T$11,
  _xlpm.r, MATCH(1,('3. Enter Indicator Scores'!$B$10:$B$161=$B87)*('3. Enter Indicator Scores'!$C$10:$C$161=$C87),0),
  _xlpm.c, MATCH(T$8,'3. Enter Indicator Scores'!$D$8:$CZ$8,0),
  _xlpm.v, IFERROR(INDEX('3. Enter Indicator Scores'!$D$10:$CZ$161,_xlpm.r,_xlpm.c),""),
  IF(OR(_xlpm.w="",_xlpm.v=""),"",_xlpm.v*_xlpm.w)
)</f>
        <v/>
      </c>
      <c r="U87" s="93" t="str" cm="1">
        <f t="array" ref="U87">_xlfn.LET(
  _xlpm.w, U$11,
  _xlpm.r, MATCH(1,('3. Enter Indicator Scores'!$B$10:$B$161=$B87)*('3. Enter Indicator Scores'!$C$10:$C$161=$C87),0),
  _xlpm.c, MATCH(U$8,'3. Enter Indicator Scores'!$D$8:$CZ$8,0),
  _xlpm.v, IFERROR(INDEX('3. Enter Indicator Scores'!$D$10:$CZ$161,_xlpm.r,_xlpm.c),""),
  IF(OR(_xlpm.w="",_xlpm.v=""),"",_xlpm.v*_xlpm.w)
)</f>
        <v/>
      </c>
      <c r="V87" s="93" t="str" cm="1">
        <f t="array" ref="V87">_xlfn.LET(
  _xlpm.w, V$11,
  _xlpm.r, MATCH(1,('3. Enter Indicator Scores'!$B$10:$B$161=$B87)*('3. Enter Indicator Scores'!$C$10:$C$161=$C87),0),
  _xlpm.c, MATCH(V$8,'3. Enter Indicator Scores'!$D$8:$CZ$8,0),
  _xlpm.v, IFERROR(INDEX('3. Enter Indicator Scores'!$D$10:$CZ$161,_xlpm.r,_xlpm.c),""),
  IF(OR(_xlpm.w="",_xlpm.v=""),"",_xlpm.v*_xlpm.w)
)</f>
        <v/>
      </c>
      <c r="W87" s="93" t="str" cm="1">
        <f t="array" ref="W87">_xlfn.LET(
  _xlpm.w, W$11,
  _xlpm.r, MATCH(1,('3. Enter Indicator Scores'!$B$10:$B$161=$B87)*('3. Enter Indicator Scores'!$C$10:$C$161=$C87),0),
  _xlpm.c, MATCH(W$8,'3. Enter Indicator Scores'!$D$8:$CZ$8,0),
  _xlpm.v, IFERROR(INDEX('3. Enter Indicator Scores'!$D$10:$CZ$161,_xlpm.r,_xlpm.c),""),
  IF(OR(_xlpm.w="",_xlpm.v=""),"",_xlpm.v*_xlpm.w)
)</f>
        <v/>
      </c>
      <c r="X87" s="93" t="str" cm="1">
        <f t="array" ref="X87">_xlfn.LET(
  _xlpm.w, X$11,
  _xlpm.r, MATCH(1,('3. Enter Indicator Scores'!$B$10:$B$161=$B87)*('3. Enter Indicator Scores'!$C$10:$C$161=$C87),0),
  _xlpm.c, MATCH(X$8,'3. Enter Indicator Scores'!$D$8:$CZ$8,0),
  _xlpm.v, IFERROR(INDEX('3. Enter Indicator Scores'!$D$10:$CZ$161,_xlpm.r,_xlpm.c),""),
  IF(OR(_xlpm.w="",_xlpm.v=""),"",_xlpm.v*_xlpm.w)
)</f>
        <v/>
      </c>
      <c r="Y87" s="93" t="str" cm="1">
        <f t="array" ref="Y87">_xlfn.LET(
  _xlpm.w, Y$11,
  _xlpm.r, MATCH(1,('3. Enter Indicator Scores'!$B$10:$B$161=$B87)*('3. Enter Indicator Scores'!$C$10:$C$161=$C87),0),
  _xlpm.c, MATCH(Y$8,'3. Enter Indicator Scores'!$D$8:$CZ$8,0),
  _xlpm.v, IFERROR(INDEX('3. Enter Indicator Scores'!$D$10:$CZ$161,_xlpm.r,_xlpm.c),""),
  IF(OR(_xlpm.w="",_xlpm.v=""),"",_xlpm.v*_xlpm.w)
)</f>
        <v/>
      </c>
      <c r="Z87" s="93" t="str" cm="1">
        <f t="array" ref="Z87">_xlfn.LET(
  _xlpm.w, Z$11,
  _xlpm.r, MATCH(1,('3. Enter Indicator Scores'!$B$10:$B$161=$B87)*('3. Enter Indicator Scores'!$C$10:$C$161=$C87),0),
  _xlpm.c, MATCH(Z$8,'3. Enter Indicator Scores'!$D$8:$CZ$8,0),
  _xlpm.v, IFERROR(INDEX('3. Enter Indicator Scores'!$D$10:$CZ$161,_xlpm.r,_xlpm.c),""),
  IF(OR(_xlpm.w="",_xlpm.v=""),"",_xlpm.v*_xlpm.w)
)</f>
        <v/>
      </c>
      <c r="AA87" s="93" t="str" cm="1">
        <f t="array" ref="AA87">_xlfn.LET(
  _xlpm.w, AA$11,
  _xlpm.r, MATCH(1,('3. Enter Indicator Scores'!$B$10:$B$161=$B87)*('3. Enter Indicator Scores'!$C$10:$C$161=$C87),0),
  _xlpm.c, MATCH(AA$8,'3. Enter Indicator Scores'!$D$8:$CZ$8,0),
  _xlpm.v, IFERROR(INDEX('3. Enter Indicator Scores'!$D$10:$CZ$161,_xlpm.r,_xlpm.c),""),
  IF(OR(_xlpm.w="",_xlpm.v=""),"",_xlpm.v*_xlpm.w)
)</f>
        <v/>
      </c>
      <c r="AB87" s="93" t="str" cm="1">
        <f t="array" ref="AB87">_xlfn.LET(
  _xlpm.w, AB$11,
  _xlpm.r, MATCH(1,('3. Enter Indicator Scores'!$B$10:$B$161=$B87)*('3. Enter Indicator Scores'!$C$10:$C$161=$C87),0),
  _xlpm.c, MATCH(AB$8,'3. Enter Indicator Scores'!$D$8:$CZ$8,0),
  _xlpm.v, IFERROR(INDEX('3. Enter Indicator Scores'!$D$10:$CZ$161,_xlpm.r,_xlpm.c),""),
  IF(OR(_xlpm.w="",_xlpm.v=""),"",_xlpm.v*_xlpm.w)
)</f>
        <v/>
      </c>
      <c r="AC87" s="93" t="str" cm="1">
        <f t="array" ref="AC87">_xlfn.LET(
  _xlpm.w, AC$11,
  _xlpm.r, MATCH(1,('3. Enter Indicator Scores'!$B$10:$B$161=$B87)*('3. Enter Indicator Scores'!$C$10:$C$161=$C87),0),
  _xlpm.c, MATCH(AC$8,'3. Enter Indicator Scores'!$D$8:$CZ$8,0),
  _xlpm.v, IFERROR(INDEX('3. Enter Indicator Scores'!$D$10:$CZ$161,_xlpm.r,_xlpm.c),""),
  IF(OR(_xlpm.w="",_xlpm.v=""),"",_xlpm.v*_xlpm.w)
)</f>
        <v/>
      </c>
      <c r="AD87" s="93" t="str" cm="1">
        <f t="array" ref="AD87">_xlfn.LET(
  _xlpm.w, AD$11,
  _xlpm.r, MATCH(1,('3. Enter Indicator Scores'!$B$10:$B$161=$B87)*('3. Enter Indicator Scores'!$C$10:$C$161=$C87),0),
  _xlpm.c, MATCH(AD$8,'3. Enter Indicator Scores'!$D$8:$CZ$8,0),
  _xlpm.v, IFERROR(INDEX('3. Enter Indicator Scores'!$D$10:$CZ$161,_xlpm.r,_xlpm.c),""),
  IF(OR(_xlpm.w="",_xlpm.v=""),"",_xlpm.v*_xlpm.w)
)</f>
        <v/>
      </c>
      <c r="AE87" s="93" t="str" cm="1">
        <f t="array" ref="AE87">_xlfn.LET(
  _xlpm.w, AE$11,
  _xlpm.r, MATCH(1,('3. Enter Indicator Scores'!$B$10:$B$161=$B87)*('3. Enter Indicator Scores'!$C$10:$C$161=$C87),0),
  _xlpm.c, MATCH(AE$8,'3. Enter Indicator Scores'!$D$8:$CZ$8,0),
  _xlpm.v, IFERROR(INDEX('3. Enter Indicator Scores'!$D$10:$CZ$161,_xlpm.r,_xlpm.c),""),
  IF(OR(_xlpm.w="",_xlpm.v=""),"",_xlpm.v*_xlpm.w)
)</f>
        <v/>
      </c>
      <c r="AF87" s="93" t="str" cm="1">
        <f t="array" ref="AF87">_xlfn.LET(
  _xlpm.w, AF$11,
  _xlpm.r, MATCH(1,('3. Enter Indicator Scores'!$B$10:$B$161=$B87)*('3. Enter Indicator Scores'!$C$10:$C$161=$C87),0),
  _xlpm.c, MATCH(AF$8,'3. Enter Indicator Scores'!$D$8:$CZ$8,0),
  _xlpm.v, IFERROR(INDEX('3. Enter Indicator Scores'!$D$10:$CZ$161,_xlpm.r,_xlpm.c),""),
  IF(OR(_xlpm.w="",_xlpm.v=""),"",_xlpm.v*_xlpm.w)
)</f>
        <v/>
      </c>
      <c r="AG87" s="93" t="str" cm="1">
        <f t="array" ref="AG87">_xlfn.LET(
  _xlpm.w, AG$11,
  _xlpm.r, MATCH(1,('3. Enter Indicator Scores'!$B$10:$B$161=$B87)*('3. Enter Indicator Scores'!$C$10:$C$161=$C87),0),
  _xlpm.c, MATCH(AG$8,'3. Enter Indicator Scores'!$D$8:$CZ$8,0),
  _xlpm.v, IFERROR(INDEX('3. Enter Indicator Scores'!$D$10:$CZ$161,_xlpm.r,_xlpm.c),""),
  IF(OR(_xlpm.w="",_xlpm.v=""),"",_xlpm.v*_xlpm.w)
)</f>
        <v/>
      </c>
      <c r="AH87" s="93" t="str" cm="1">
        <f t="array" ref="AH87">_xlfn.LET(
  _xlpm.w, AH$11,
  _xlpm.r, MATCH(1,('3. Enter Indicator Scores'!$B$10:$B$161=$B87)*('3. Enter Indicator Scores'!$C$10:$C$161=$C87),0),
  _xlpm.c, MATCH(AH$8,'3. Enter Indicator Scores'!$D$8:$CZ$8,0),
  _xlpm.v, IFERROR(INDEX('3. Enter Indicator Scores'!$D$10:$CZ$161,_xlpm.r,_xlpm.c),""),
  IF(OR(_xlpm.w="",_xlpm.v=""),"",_xlpm.v*_xlpm.w)
)</f>
        <v/>
      </c>
      <c r="AI87" s="93" t="str" cm="1">
        <f t="array" ref="AI87">_xlfn.LET(
  _xlpm.w, AI$11,
  _xlpm.r, MATCH(1,('3. Enter Indicator Scores'!$B$10:$B$161=$B87)*('3. Enter Indicator Scores'!$C$10:$C$161=$C87),0),
  _xlpm.c, MATCH(AI$8,'3. Enter Indicator Scores'!$D$8:$CZ$8,0),
  _xlpm.v, IFERROR(INDEX('3. Enter Indicator Scores'!$D$10:$CZ$161,_xlpm.r,_xlpm.c),""),
  IF(OR(_xlpm.w="",_xlpm.v=""),"",_xlpm.v*_xlpm.w)
)</f>
        <v/>
      </c>
      <c r="AJ87" s="93" t="str" cm="1">
        <f t="array" ref="AJ87">_xlfn.LET(
  _xlpm.w, AJ$11,
  _xlpm.r, MATCH(1,('3. Enter Indicator Scores'!$B$10:$B$161=$B87)*('3. Enter Indicator Scores'!$C$10:$C$161=$C87),0),
  _xlpm.c, MATCH(AJ$8,'3. Enter Indicator Scores'!$D$8:$CZ$8,0),
  _xlpm.v, IFERROR(INDEX('3. Enter Indicator Scores'!$D$10:$CZ$161,_xlpm.r,_xlpm.c),""),
  IF(OR(_xlpm.w="",_xlpm.v=""),"",_xlpm.v*_xlpm.w)
)</f>
        <v/>
      </c>
      <c r="AK87" s="93" t="str" cm="1">
        <f t="array" ref="AK87">_xlfn.LET(
  _xlpm.w, AK$11,
  _xlpm.r, MATCH(1,('3. Enter Indicator Scores'!$B$10:$B$161=$B87)*('3. Enter Indicator Scores'!$C$10:$C$161=$C87),0),
  _xlpm.c, MATCH(AK$8,'3. Enter Indicator Scores'!$D$8:$CZ$8,0),
  _xlpm.v, IFERROR(INDEX('3. Enter Indicator Scores'!$D$10:$CZ$161,_xlpm.r,_xlpm.c),""),
  IF(OR(_xlpm.w="",_xlpm.v=""),"",_xlpm.v*_xlpm.w)
)</f>
        <v/>
      </c>
      <c r="AL87" s="93" t="str" cm="1">
        <f t="array" ref="AL87">_xlfn.LET(
  _xlpm.w, AL$11,
  _xlpm.r, MATCH(1,('3. Enter Indicator Scores'!$B$10:$B$161=$B87)*('3. Enter Indicator Scores'!$C$10:$C$161=$C87),0),
  _xlpm.c, MATCH(AL$8,'3. Enter Indicator Scores'!$D$8:$CZ$8,0),
  _xlpm.v, IFERROR(INDEX('3. Enter Indicator Scores'!$D$10:$CZ$161,_xlpm.r,_xlpm.c),""),
  IF(OR(_xlpm.w="",_xlpm.v=""),"",_xlpm.v*_xlpm.w)
)</f>
        <v/>
      </c>
      <c r="AM87" s="93" t="str" cm="1">
        <f t="array" ref="AM87">_xlfn.LET(
  _xlpm.w, AM$11,
  _xlpm.r, MATCH(1,('3. Enter Indicator Scores'!$B$10:$B$161=$B87)*('3. Enter Indicator Scores'!$C$10:$C$161=$C87),0),
  _xlpm.c, MATCH(AM$8,'3. Enter Indicator Scores'!$D$8:$CZ$8,0),
  _xlpm.v, IFERROR(INDEX('3. Enter Indicator Scores'!$D$10:$CZ$161,_xlpm.r,_xlpm.c),""),
  IF(OR(_xlpm.w="",_xlpm.v=""),"",_xlpm.v*_xlpm.w)
)</f>
        <v/>
      </c>
      <c r="AN87" s="93" t="str" cm="1">
        <f t="array" ref="AN87">_xlfn.LET(
  _xlpm.w, AN$11,
  _xlpm.r, MATCH(1,('3. Enter Indicator Scores'!$B$10:$B$161=$B87)*('3. Enter Indicator Scores'!$C$10:$C$161=$C87),0),
  _xlpm.c, MATCH(AN$8,'3. Enter Indicator Scores'!$D$8:$CZ$8,0),
  _xlpm.v, IFERROR(INDEX('3. Enter Indicator Scores'!$D$10:$CZ$161,_xlpm.r,_xlpm.c),""),
  IF(OR(_xlpm.w="",_xlpm.v=""),"",_xlpm.v*_xlpm.w)
)</f>
        <v/>
      </c>
      <c r="AO87" s="93" t="str" cm="1">
        <f t="array" ref="AO87">_xlfn.LET(
  _xlpm.w, AO$11,
  _xlpm.r, MATCH(1,('3. Enter Indicator Scores'!$B$10:$B$161=$B87)*('3. Enter Indicator Scores'!$C$10:$C$161=$C87),0),
  _xlpm.c, MATCH(AO$8,'3. Enter Indicator Scores'!$D$8:$CZ$8,0),
  _xlpm.v, IFERROR(INDEX('3. Enter Indicator Scores'!$D$10:$CZ$161,_xlpm.r,_xlpm.c),""),
  IF(OR(_xlpm.w="",_xlpm.v=""),"",_xlpm.v*_xlpm.w)
)</f>
        <v/>
      </c>
      <c r="AP87" s="93" t="str" cm="1">
        <f t="array" ref="AP87">_xlfn.LET(
  _xlpm.w, AP$11,
  _xlpm.r, MATCH(1,('3. Enter Indicator Scores'!$B$10:$B$161=$B87)*('3. Enter Indicator Scores'!$C$10:$C$161=$C87),0),
  _xlpm.c, MATCH(AP$8,'3. Enter Indicator Scores'!$D$8:$CZ$8,0),
  _xlpm.v, IFERROR(INDEX('3. Enter Indicator Scores'!$D$10:$CZ$161,_xlpm.r,_xlpm.c),""),
  IF(OR(_xlpm.w="",_xlpm.v=""),"",_xlpm.v*_xlpm.w)
)</f>
        <v/>
      </c>
      <c r="AQ87" s="93" t="str" cm="1">
        <f t="array" ref="AQ87">_xlfn.LET(
  _xlpm.w, AQ$11,
  _xlpm.r, MATCH(1,('3. Enter Indicator Scores'!$B$10:$B$161=$B87)*('3. Enter Indicator Scores'!$C$10:$C$161=$C87),0),
  _xlpm.c, MATCH(AQ$8,'3. Enter Indicator Scores'!$D$8:$CZ$8,0),
  _xlpm.v, IFERROR(INDEX('3. Enter Indicator Scores'!$D$10:$CZ$161,_xlpm.r,_xlpm.c),""),
  IF(OR(_xlpm.w="",_xlpm.v=""),"",_xlpm.v*_xlpm.w)
)</f>
        <v/>
      </c>
      <c r="AR87" s="93" t="str" cm="1">
        <f t="array" ref="AR87">_xlfn.LET(
  _xlpm.w, AR$11,
  _xlpm.r, MATCH(1,('3. Enter Indicator Scores'!$B$10:$B$161=$B87)*('3. Enter Indicator Scores'!$C$10:$C$161=$C87),0),
  _xlpm.c, MATCH(AR$8,'3. Enter Indicator Scores'!$D$8:$CZ$8,0),
  _xlpm.v, IFERROR(INDEX('3. Enter Indicator Scores'!$D$10:$CZ$161,_xlpm.r,_xlpm.c),""),
  IF(OR(_xlpm.w="",_xlpm.v=""),"",_xlpm.v*_xlpm.w)
)</f>
        <v/>
      </c>
      <c r="AS87" s="93" t="str" cm="1">
        <f t="array" ref="AS87">_xlfn.LET(
  _xlpm.w, AS$11,
  _xlpm.r, MATCH(1,('3. Enter Indicator Scores'!$B$10:$B$161=$B87)*('3. Enter Indicator Scores'!$C$10:$C$161=$C87),0),
  _xlpm.c, MATCH(AS$8,'3. Enter Indicator Scores'!$D$8:$CZ$8,0),
  _xlpm.v, IFERROR(INDEX('3. Enter Indicator Scores'!$D$10:$CZ$161,_xlpm.r,_xlpm.c),""),
  IF(OR(_xlpm.w="",_xlpm.v=""),"",_xlpm.v*_xlpm.w)
)</f>
        <v/>
      </c>
      <c r="AT87" s="93" t="str" cm="1">
        <f t="array" ref="AT87">_xlfn.LET(
  _xlpm.w, AT$11,
  _xlpm.r, MATCH(1,('3. Enter Indicator Scores'!$B$10:$B$161=$B87)*('3. Enter Indicator Scores'!$C$10:$C$161=$C87),0),
  _xlpm.c, MATCH(AT$8,'3. Enter Indicator Scores'!$D$8:$CZ$8,0),
  _xlpm.v, IFERROR(INDEX('3. Enter Indicator Scores'!$D$10:$CZ$161,_xlpm.r,_xlpm.c),""),
  IF(OR(_xlpm.w="",_xlpm.v=""),"",_xlpm.v*_xlpm.w)
)</f>
        <v/>
      </c>
      <c r="AU87" s="93" t="str" cm="1">
        <f t="array" ref="AU87">_xlfn.LET(
  _xlpm.w, AU$11,
  _xlpm.r, MATCH(1,('3. Enter Indicator Scores'!$B$10:$B$161=$B87)*('3. Enter Indicator Scores'!$C$10:$C$161=$C87),0),
  _xlpm.c, MATCH(AU$8,'3. Enter Indicator Scores'!$D$8:$CZ$8,0),
  _xlpm.v, IFERROR(INDEX('3. Enter Indicator Scores'!$D$10:$CZ$161,_xlpm.r,_xlpm.c),""),
  IF(OR(_xlpm.w="",_xlpm.v=""),"",_xlpm.v*_xlpm.w)
)</f>
        <v/>
      </c>
      <c r="AV87" s="93" t="str" cm="1">
        <f t="array" ref="AV87">_xlfn.LET(
  _xlpm.w, AV$11,
  _xlpm.r, MATCH(1,('3. Enter Indicator Scores'!$B$10:$B$161=$B87)*('3. Enter Indicator Scores'!$C$10:$C$161=$C87),0),
  _xlpm.c, MATCH(AV$8,'3. Enter Indicator Scores'!$D$8:$CZ$8,0),
  _xlpm.v, IFERROR(INDEX('3. Enter Indicator Scores'!$D$10:$CZ$161,_xlpm.r,_xlpm.c),""),
  IF(OR(_xlpm.w="",_xlpm.v=""),"",_xlpm.v*_xlpm.w)
)</f>
        <v/>
      </c>
      <c r="AW87" s="93" t="str" cm="1">
        <f t="array" ref="AW87">_xlfn.LET(
  _xlpm.w, AW$11,
  _xlpm.r, MATCH(1,('3. Enter Indicator Scores'!$B$10:$B$161=$B87)*('3. Enter Indicator Scores'!$C$10:$C$161=$C87),0),
  _xlpm.c, MATCH(AW$8,'3. Enter Indicator Scores'!$D$8:$CZ$8,0),
  _xlpm.v, IFERROR(INDEX('3. Enter Indicator Scores'!$D$10:$CZ$161,_xlpm.r,_xlpm.c),""),
  IF(OR(_xlpm.w="",_xlpm.v=""),"",_xlpm.v*_xlpm.w)
)</f>
        <v/>
      </c>
      <c r="AX87" s="93" t="str" cm="1">
        <f t="array" ref="AX87">_xlfn.LET(
  _xlpm.w, AX$11,
  _xlpm.r, MATCH(1,('3. Enter Indicator Scores'!$B$10:$B$161=$B87)*('3. Enter Indicator Scores'!$C$10:$C$161=$C87),0),
  _xlpm.c, MATCH(AX$8,'3. Enter Indicator Scores'!$D$8:$CZ$8,0),
  _xlpm.v, IFERROR(INDEX('3. Enter Indicator Scores'!$D$10:$CZ$161,_xlpm.r,_xlpm.c),""),
  IF(OR(_xlpm.w="",_xlpm.v=""),"",_xlpm.v*_xlpm.w)
)</f>
        <v/>
      </c>
      <c r="AY87" s="93" t="str" cm="1">
        <f t="array" ref="AY87">_xlfn.LET(
  _xlpm.w, AY$11,
  _xlpm.r, MATCH(1,('3. Enter Indicator Scores'!$B$10:$B$161=$B87)*('3. Enter Indicator Scores'!$C$10:$C$161=$C87),0),
  _xlpm.c, MATCH(AY$8,'3. Enter Indicator Scores'!$D$8:$CZ$8,0),
  _xlpm.v, IFERROR(INDEX('3. Enter Indicator Scores'!$D$10:$CZ$161,_xlpm.r,_xlpm.c),""),
  IF(OR(_xlpm.w="",_xlpm.v=""),"",_xlpm.v*_xlpm.w)
)</f>
        <v/>
      </c>
      <c r="AZ87" s="93" t="str" cm="1">
        <f t="array" ref="AZ87">_xlfn.LET(
  _xlpm.w, AZ$11,
  _xlpm.r, MATCH(1,('3. Enter Indicator Scores'!$B$10:$B$161=$B87)*('3. Enter Indicator Scores'!$C$10:$C$161=$C87),0),
  _xlpm.c, MATCH(AZ$8,'3. Enter Indicator Scores'!$D$8:$CZ$8,0),
  _xlpm.v, IFERROR(INDEX('3. Enter Indicator Scores'!$D$10:$CZ$161,_xlpm.r,_xlpm.c),""),
  IF(OR(_xlpm.w="",_xlpm.v=""),"",_xlpm.v*_xlpm.w)
)</f>
        <v/>
      </c>
      <c r="BA87" s="93" t="str" cm="1">
        <f t="array" ref="BA87">_xlfn.LET(
  _xlpm.w, BA$11,
  _xlpm.r, MATCH(1,('3. Enter Indicator Scores'!$B$10:$B$161=$B87)*('3. Enter Indicator Scores'!$C$10:$C$161=$C87),0),
  _xlpm.c, MATCH(BA$8,'3. Enter Indicator Scores'!$D$8:$CZ$8,0),
  _xlpm.v, IFERROR(INDEX('3. Enter Indicator Scores'!$D$10:$CZ$161,_xlpm.r,_xlpm.c),""),
  IF(OR(_xlpm.w="",_xlpm.v=""),"",_xlpm.v*_xlpm.w)
)</f>
        <v/>
      </c>
      <c r="BB87" s="93" t="str" cm="1">
        <f t="array" ref="BB87">_xlfn.LET(
  _xlpm.w, BB$11,
  _xlpm.r, MATCH(1,('3. Enter Indicator Scores'!$B$10:$B$161=$B87)*('3. Enter Indicator Scores'!$C$10:$C$161=$C87),0),
  _xlpm.c, MATCH(BB$8,'3. Enter Indicator Scores'!$D$8:$CZ$8,0),
  _xlpm.v, IFERROR(INDEX('3. Enter Indicator Scores'!$D$10:$CZ$161,_xlpm.r,_xlpm.c),""),
  IF(OR(_xlpm.w="",_xlpm.v=""),"",_xlpm.v*_xlpm.w)
)</f>
        <v/>
      </c>
      <c r="BC87" s="93" t="str" cm="1">
        <f t="array" ref="BC87">_xlfn.LET(
  _xlpm.w, BC$11,
  _xlpm.r, MATCH(1,('3. Enter Indicator Scores'!$B$10:$B$161=$B87)*('3. Enter Indicator Scores'!$C$10:$C$161=$C87),0),
  _xlpm.c, MATCH(BC$8,'3. Enter Indicator Scores'!$D$8:$CZ$8,0),
  _xlpm.v, IFERROR(INDEX('3. Enter Indicator Scores'!$D$10:$CZ$161,_xlpm.r,_xlpm.c),""),
  IF(OR(_xlpm.w="",_xlpm.v=""),"",_xlpm.v*_xlpm.w)
)</f>
        <v/>
      </c>
      <c r="BD87" s="93" t="str" cm="1">
        <f t="array" ref="BD87">_xlfn.LET(
  _xlpm.w, BD$11,
  _xlpm.r, MATCH(1,('3. Enter Indicator Scores'!$B$10:$B$161=$B87)*('3. Enter Indicator Scores'!$C$10:$C$161=$C87),0),
  _xlpm.c, MATCH(BD$8,'3. Enter Indicator Scores'!$D$8:$CZ$8,0),
  _xlpm.v, IFERROR(INDEX('3. Enter Indicator Scores'!$D$10:$CZ$161,_xlpm.r,_xlpm.c),""),
  IF(OR(_xlpm.w="",_xlpm.v=""),"",_xlpm.v*_xlpm.w)
)</f>
        <v/>
      </c>
      <c r="BE87" s="93" t="str" cm="1">
        <f t="array" ref="BE87">_xlfn.LET(
  _xlpm.w, BE$11,
  _xlpm.r, MATCH(1,('3. Enter Indicator Scores'!$B$10:$B$161=$B87)*('3. Enter Indicator Scores'!$C$10:$C$161=$C87),0),
  _xlpm.c, MATCH(BE$8,'3. Enter Indicator Scores'!$D$8:$CZ$8,0),
  _xlpm.v, IFERROR(INDEX('3. Enter Indicator Scores'!$D$10:$CZ$161,_xlpm.r,_xlpm.c),""),
  IF(OR(_xlpm.w="",_xlpm.v=""),"",_xlpm.v*_xlpm.w)
)</f>
        <v/>
      </c>
      <c r="BF87" s="93" t="str" cm="1">
        <f t="array" ref="BF87">_xlfn.LET(
  _xlpm.w, BF$11,
  _xlpm.r, MATCH(1,('3. Enter Indicator Scores'!$B$10:$B$161=$B87)*('3. Enter Indicator Scores'!$C$10:$C$161=$C87),0),
  _xlpm.c, MATCH(BF$8,'3. Enter Indicator Scores'!$D$8:$CZ$8,0),
  _xlpm.v, IFERROR(INDEX('3. Enter Indicator Scores'!$D$10:$CZ$161,_xlpm.r,_xlpm.c),""),
  IF(OR(_xlpm.w="",_xlpm.v=""),"",_xlpm.v*_xlpm.w)
)</f>
        <v/>
      </c>
      <c r="BG87" s="93" t="str" cm="1">
        <f t="array" ref="BG87">_xlfn.LET(
  _xlpm.w, BG$11,
  _xlpm.r, MATCH(1,('3. Enter Indicator Scores'!$B$10:$B$161=$B87)*('3. Enter Indicator Scores'!$C$10:$C$161=$C87),0),
  _xlpm.c, MATCH(BG$8,'3. Enter Indicator Scores'!$D$8:$CZ$8,0),
  _xlpm.v, IFERROR(INDEX('3. Enter Indicator Scores'!$D$10:$CZ$161,_xlpm.r,_xlpm.c),""),
  IF(OR(_xlpm.w="",_xlpm.v=""),"",_xlpm.v*_xlpm.w)
)</f>
        <v/>
      </c>
      <c r="BH87" s="93" t="str" cm="1">
        <f t="array" ref="BH87">_xlfn.LET(
  _xlpm.w, BH$11,
  _xlpm.r, MATCH(1,('3. Enter Indicator Scores'!$B$10:$B$161=$B87)*('3. Enter Indicator Scores'!$C$10:$C$161=$C87),0),
  _xlpm.c, MATCH(BH$8,'3. Enter Indicator Scores'!$D$8:$CZ$8,0),
  _xlpm.v, IFERROR(INDEX('3. Enter Indicator Scores'!$D$10:$CZ$161,_xlpm.r,_xlpm.c),""),
  IF(OR(_xlpm.w="",_xlpm.v=""),"",_xlpm.v*_xlpm.w)
)</f>
        <v/>
      </c>
      <c r="BI87" s="93" t="str" cm="1">
        <f t="array" ref="BI87">_xlfn.LET(
  _xlpm.w, BI$11,
  _xlpm.r, MATCH(1,('3. Enter Indicator Scores'!$B$10:$B$161=$B87)*('3. Enter Indicator Scores'!$C$10:$C$161=$C87),0),
  _xlpm.c, MATCH(BI$8,'3. Enter Indicator Scores'!$D$8:$CZ$8,0),
  _xlpm.v, IFERROR(INDEX('3. Enter Indicator Scores'!$D$10:$CZ$161,_xlpm.r,_xlpm.c),""),
  IF(OR(_xlpm.w="",_xlpm.v=""),"",_xlpm.v*_xlpm.w)
)</f>
        <v/>
      </c>
      <c r="BJ87" s="93" t="str" cm="1">
        <f t="array" ref="BJ87">_xlfn.LET(
  _xlpm.w, BJ$11,
  _xlpm.r, MATCH(1,('3. Enter Indicator Scores'!$B$10:$B$161=$B87)*('3. Enter Indicator Scores'!$C$10:$C$161=$C87),0),
  _xlpm.c, MATCH(BJ$8,'3. Enter Indicator Scores'!$D$8:$CZ$8,0),
  _xlpm.v, IFERROR(INDEX('3. Enter Indicator Scores'!$D$10:$CZ$161,_xlpm.r,_xlpm.c),""),
  IF(OR(_xlpm.w="",_xlpm.v=""),"",_xlpm.v*_xlpm.w)
)</f>
        <v/>
      </c>
      <c r="BK87" s="93" t="str" cm="1">
        <f t="array" ref="BK87">_xlfn.LET(
  _xlpm.w, BK$11,
  _xlpm.r, MATCH(1,('3. Enter Indicator Scores'!$B$10:$B$161=$B87)*('3. Enter Indicator Scores'!$C$10:$C$161=$C87),0),
  _xlpm.c, MATCH(BK$8,'3. Enter Indicator Scores'!$D$8:$CZ$8,0),
  _xlpm.v, IFERROR(INDEX('3. Enter Indicator Scores'!$D$10:$CZ$161,_xlpm.r,_xlpm.c),""),
  IF(OR(_xlpm.w="",_xlpm.v=""),"",_xlpm.v*_xlpm.w)
)</f>
        <v/>
      </c>
      <c r="BL87" s="93" t="str" cm="1">
        <f t="array" ref="BL87">_xlfn.LET(
  _xlpm.w, BL$11,
  _xlpm.r, MATCH(1,('3. Enter Indicator Scores'!$B$10:$B$161=$B87)*('3. Enter Indicator Scores'!$C$10:$C$161=$C87),0),
  _xlpm.c, MATCH(BL$8,'3. Enter Indicator Scores'!$D$8:$CZ$8,0),
  _xlpm.v, IFERROR(INDEX('3. Enter Indicator Scores'!$D$10:$CZ$161,_xlpm.r,_xlpm.c),""),
  IF(OR(_xlpm.w="",_xlpm.v=""),"",_xlpm.v*_xlpm.w)
)</f>
        <v/>
      </c>
      <c r="BM87" s="93" t="str" cm="1">
        <f t="array" ref="BM87">_xlfn.LET(
  _xlpm.w, BM$11,
  _xlpm.r, MATCH(1,('3. Enter Indicator Scores'!$B$10:$B$161=$B87)*('3. Enter Indicator Scores'!$C$10:$C$161=$C87),0),
  _xlpm.c, MATCH(BM$8,'3. Enter Indicator Scores'!$D$8:$CZ$8,0),
  _xlpm.v, IFERROR(INDEX('3. Enter Indicator Scores'!$D$10:$CZ$161,_xlpm.r,_xlpm.c),""),
  IF(OR(_xlpm.w="",_xlpm.v=""),"",_xlpm.v*_xlpm.w)
)</f>
        <v/>
      </c>
      <c r="BN87" s="93" t="str" cm="1">
        <f t="array" ref="BN87">_xlfn.LET(
  _xlpm.w, BN$11,
  _xlpm.r, MATCH(1,('3. Enter Indicator Scores'!$B$10:$B$161=$B87)*('3. Enter Indicator Scores'!$C$10:$C$161=$C87),0),
  _xlpm.c, MATCH(BN$8,'3. Enter Indicator Scores'!$D$8:$CZ$8,0),
  _xlpm.v, IFERROR(INDEX('3. Enter Indicator Scores'!$D$10:$CZ$161,_xlpm.r,_xlpm.c),""),
  IF(OR(_xlpm.w="",_xlpm.v=""),"",_xlpm.v*_xlpm.w)
)</f>
        <v/>
      </c>
      <c r="BO87" s="93" t="str" cm="1">
        <f t="array" ref="BO87">_xlfn.LET(
  _xlpm.w, BO$11,
  _xlpm.r, MATCH(1,('3. Enter Indicator Scores'!$B$10:$B$161=$B87)*('3. Enter Indicator Scores'!$C$10:$C$161=$C87),0),
  _xlpm.c, MATCH(BO$8,'3. Enter Indicator Scores'!$D$8:$CZ$8,0),
  _xlpm.v, IFERROR(INDEX('3. Enter Indicator Scores'!$D$10:$CZ$161,_xlpm.r,_xlpm.c),""),
  IF(OR(_xlpm.w="",_xlpm.v=""),"",_xlpm.v*_xlpm.w)
)</f>
        <v/>
      </c>
      <c r="BP87" s="93" t="str" cm="1">
        <f t="array" ref="BP87">_xlfn.LET(
  _xlpm.w, BP$11,
  _xlpm.r, MATCH(1,('3. Enter Indicator Scores'!$B$10:$B$161=$B87)*('3. Enter Indicator Scores'!$C$10:$C$161=$C87),0),
  _xlpm.c, MATCH(BP$8,'3. Enter Indicator Scores'!$D$8:$CZ$8,0),
  _xlpm.v, IFERROR(INDEX('3. Enter Indicator Scores'!$D$10:$CZ$161,_xlpm.r,_xlpm.c),""),
  IF(OR(_xlpm.w="",_xlpm.v=""),"",_xlpm.v*_xlpm.w)
)</f>
        <v/>
      </c>
      <c r="BQ87" s="93" t="str" cm="1">
        <f t="array" ref="BQ87">_xlfn.LET(
  _xlpm.w, BQ$11,
  _xlpm.r, MATCH(1,('3. Enter Indicator Scores'!$B$10:$B$161=$B87)*('3. Enter Indicator Scores'!$C$10:$C$161=$C87),0),
  _xlpm.c, MATCH(BQ$8,'3. Enter Indicator Scores'!$D$8:$CZ$8,0),
  _xlpm.v, IFERROR(INDEX('3. Enter Indicator Scores'!$D$10:$CZ$161,_xlpm.r,_xlpm.c),""),
  IF(OR(_xlpm.w="",_xlpm.v=""),"",_xlpm.v*_xlpm.w)
)</f>
        <v/>
      </c>
      <c r="BR87" s="93" t="str" cm="1">
        <f t="array" ref="BR87">_xlfn.LET(
  _xlpm.w, BR$11,
  _xlpm.r, MATCH(1,('3. Enter Indicator Scores'!$B$10:$B$161=$B87)*('3. Enter Indicator Scores'!$C$10:$C$161=$C87),0),
  _xlpm.c, MATCH(BR$8,'3. Enter Indicator Scores'!$D$8:$CZ$8,0),
  _xlpm.v, IFERROR(INDEX('3. Enter Indicator Scores'!$D$10:$CZ$161,_xlpm.r,_xlpm.c),""),
  IF(OR(_xlpm.w="",_xlpm.v=""),"",_xlpm.v*_xlpm.w)
)</f>
        <v/>
      </c>
      <c r="BS87" s="93" t="str" cm="1">
        <f t="array" ref="BS87">_xlfn.LET(
  _xlpm.w, BS$11,
  _xlpm.r, MATCH(1,('3. Enter Indicator Scores'!$B$10:$B$161=$B87)*('3. Enter Indicator Scores'!$C$10:$C$161=$C87),0),
  _xlpm.c, MATCH(BS$8,'3. Enter Indicator Scores'!$D$8:$CZ$8,0),
  _xlpm.v, IFERROR(INDEX('3. Enter Indicator Scores'!$D$10:$CZ$161,_xlpm.r,_xlpm.c),""),
  IF(OR(_xlpm.w="",_xlpm.v=""),"",_xlpm.v*_xlpm.w)
)</f>
        <v/>
      </c>
      <c r="BT87" s="93" t="str" cm="1">
        <f t="array" ref="BT87">_xlfn.LET(
  _xlpm.w, BT$11,
  _xlpm.r, MATCH(1,('3. Enter Indicator Scores'!$B$10:$B$161=$B87)*('3. Enter Indicator Scores'!$C$10:$C$161=$C87),0),
  _xlpm.c, MATCH(BT$8,'3. Enter Indicator Scores'!$D$8:$CZ$8,0),
  _xlpm.v, IFERROR(INDEX('3. Enter Indicator Scores'!$D$10:$CZ$161,_xlpm.r,_xlpm.c),""),
  IF(OR(_xlpm.w="",_xlpm.v=""),"",_xlpm.v*_xlpm.w)
)</f>
        <v/>
      </c>
      <c r="BU87" s="93" t="str" cm="1">
        <f t="array" ref="BU87">_xlfn.LET(
  _xlpm.w, BU$11,
  _xlpm.r, MATCH(1,('3. Enter Indicator Scores'!$B$10:$B$161=$B87)*('3. Enter Indicator Scores'!$C$10:$C$161=$C87),0),
  _xlpm.c, MATCH(BU$8,'3. Enter Indicator Scores'!$D$8:$CZ$8,0),
  _xlpm.v, IFERROR(INDEX('3. Enter Indicator Scores'!$D$10:$CZ$161,_xlpm.r,_xlpm.c),""),
  IF(OR(_xlpm.w="",_xlpm.v=""),"",_xlpm.v*_xlpm.w)
)</f>
        <v/>
      </c>
      <c r="BV87" s="93" t="str" cm="1">
        <f t="array" ref="BV87">_xlfn.LET(
  _xlpm.w, BV$11,
  _xlpm.r, MATCH(1,('3. Enter Indicator Scores'!$B$10:$B$161=$B87)*('3. Enter Indicator Scores'!$C$10:$C$161=$C87),0),
  _xlpm.c, MATCH(BV$8,'3. Enter Indicator Scores'!$D$8:$CZ$8,0),
  _xlpm.v, IFERROR(INDEX('3. Enter Indicator Scores'!$D$10:$CZ$161,_xlpm.r,_xlpm.c),""),
  IF(OR(_xlpm.w="",_xlpm.v=""),"",_xlpm.v*_xlpm.w)
)</f>
        <v/>
      </c>
      <c r="BW87" s="93" t="str" cm="1">
        <f t="array" ref="BW87">_xlfn.LET(
  _xlpm.w, BW$11,
  _xlpm.r, MATCH(1,('3. Enter Indicator Scores'!$B$10:$B$161=$B87)*('3. Enter Indicator Scores'!$C$10:$C$161=$C87),0),
  _xlpm.c, MATCH(BW$8,'3. Enter Indicator Scores'!$D$8:$CZ$8,0),
  _xlpm.v, IFERROR(INDEX('3. Enter Indicator Scores'!$D$10:$CZ$161,_xlpm.r,_xlpm.c),""),
  IF(OR(_xlpm.w="",_xlpm.v=""),"",_xlpm.v*_xlpm.w)
)</f>
        <v/>
      </c>
      <c r="BX87" s="93" t="str" cm="1">
        <f t="array" ref="BX87">_xlfn.LET(
  _xlpm.w, BX$11,
  _xlpm.r, MATCH(1,('3. Enter Indicator Scores'!$B$10:$B$161=$B87)*('3. Enter Indicator Scores'!$C$10:$C$161=$C87),0),
  _xlpm.c, MATCH(BX$8,'3. Enter Indicator Scores'!$D$8:$CZ$8,0),
  _xlpm.v, IFERROR(INDEX('3. Enter Indicator Scores'!$D$10:$CZ$161,_xlpm.r,_xlpm.c),""),
  IF(OR(_xlpm.w="",_xlpm.v=""),"",_xlpm.v*_xlpm.w)
)</f>
        <v/>
      </c>
      <c r="BY87" s="93" t="str" cm="1">
        <f t="array" ref="BY87">_xlfn.LET(
  _xlpm.w, BY$11,
  _xlpm.r, MATCH(1,('3. Enter Indicator Scores'!$B$10:$B$161=$B87)*('3. Enter Indicator Scores'!$C$10:$C$161=$C87),0),
  _xlpm.c, MATCH(BY$8,'3. Enter Indicator Scores'!$D$8:$CZ$8,0),
  _xlpm.v, IFERROR(INDEX('3. Enter Indicator Scores'!$D$10:$CZ$161,_xlpm.r,_xlpm.c),""),
  IF(OR(_xlpm.w="",_xlpm.v=""),"",_xlpm.v*_xlpm.w)
)</f>
        <v/>
      </c>
      <c r="BZ87" s="93" t="str" cm="1">
        <f t="array" ref="BZ87">_xlfn.LET(
  _xlpm.w, BZ$11,
  _xlpm.r, MATCH(1,('3. Enter Indicator Scores'!$B$10:$B$161=$B87)*('3. Enter Indicator Scores'!$C$10:$C$161=$C87),0),
  _xlpm.c, MATCH(BZ$8,'3. Enter Indicator Scores'!$D$8:$CZ$8,0),
  _xlpm.v, IFERROR(INDEX('3. Enter Indicator Scores'!$D$10:$CZ$161,_xlpm.r,_xlpm.c),""),
  IF(OR(_xlpm.w="",_xlpm.v=""),"",_xlpm.v*_xlpm.w)
)</f>
        <v/>
      </c>
      <c r="CA87" s="93" t="str" cm="1">
        <f t="array" ref="CA87">_xlfn.LET(
  _xlpm.w, CA$11,
  _xlpm.r, MATCH(1,('3. Enter Indicator Scores'!$B$10:$B$161=$B87)*('3. Enter Indicator Scores'!$C$10:$C$161=$C87),0),
  _xlpm.c, MATCH(CA$8,'3. Enter Indicator Scores'!$D$8:$CZ$8,0),
  _xlpm.v, IFERROR(INDEX('3. Enter Indicator Scores'!$D$10:$CZ$161,_xlpm.r,_xlpm.c),""),
  IF(OR(_xlpm.w="",_xlpm.v=""),"",_xlpm.v*_xlpm.w)
)</f>
        <v/>
      </c>
      <c r="CB87" s="93" t="str" cm="1">
        <f t="array" ref="CB87">_xlfn.LET(
  _xlpm.w, CB$11,
  _xlpm.r, MATCH(1,('3. Enter Indicator Scores'!$B$10:$B$161=$B87)*('3. Enter Indicator Scores'!$C$10:$C$161=$C87),0),
  _xlpm.c, MATCH(CB$8,'3. Enter Indicator Scores'!$D$8:$CZ$8,0),
  _xlpm.v, IFERROR(INDEX('3. Enter Indicator Scores'!$D$10:$CZ$161,_xlpm.r,_xlpm.c),""),
  IF(OR(_xlpm.w="",_xlpm.v=""),"",_xlpm.v*_xlpm.w)
)</f>
        <v/>
      </c>
      <c r="CC87" s="93" t="str" cm="1">
        <f t="array" ref="CC87">_xlfn.LET(
  _xlpm.w, CC$11,
  _xlpm.r, MATCH(1,('3. Enter Indicator Scores'!$B$10:$B$161=$B87)*('3. Enter Indicator Scores'!$C$10:$C$161=$C87),0),
  _xlpm.c, MATCH(CC$8,'3. Enter Indicator Scores'!$D$8:$CZ$8,0),
  _xlpm.v, IFERROR(INDEX('3. Enter Indicator Scores'!$D$10:$CZ$161,_xlpm.r,_xlpm.c),""),
  IF(OR(_xlpm.w="",_xlpm.v=""),"",_xlpm.v*_xlpm.w)
)</f>
        <v/>
      </c>
      <c r="CD87" s="93" t="str" cm="1">
        <f t="array" ref="CD87">_xlfn.LET(
  _xlpm.w, CD$11,
  _xlpm.r, MATCH(1,('3. Enter Indicator Scores'!$B$10:$B$161=$B87)*('3. Enter Indicator Scores'!$C$10:$C$161=$C87),0),
  _xlpm.c, MATCH(CD$8,'3. Enter Indicator Scores'!$D$8:$CZ$8,0),
  _xlpm.v, IFERROR(INDEX('3. Enter Indicator Scores'!$D$10:$CZ$161,_xlpm.r,_xlpm.c),""),
  IF(OR(_xlpm.w="",_xlpm.v=""),"",_xlpm.v*_xlpm.w)
)</f>
        <v/>
      </c>
      <c r="CE87" s="93" t="str" cm="1">
        <f t="array" ref="CE87">_xlfn.LET(
  _xlpm.w, CE$11,
  _xlpm.r, MATCH(1,('3. Enter Indicator Scores'!$B$10:$B$161=$B87)*('3. Enter Indicator Scores'!$C$10:$C$161=$C87),0),
  _xlpm.c, MATCH(CE$8,'3. Enter Indicator Scores'!$D$8:$CZ$8,0),
  _xlpm.v, IFERROR(INDEX('3. Enter Indicator Scores'!$D$10:$CZ$161,_xlpm.r,_xlpm.c),""),
  IF(OR(_xlpm.w="",_xlpm.v=""),"",_xlpm.v*_xlpm.w)
)</f>
        <v/>
      </c>
      <c r="CF87" s="93" t="str" cm="1">
        <f t="array" ref="CF87">_xlfn.LET(
  _xlpm.w, CF$11,
  _xlpm.r, MATCH(1,('3. Enter Indicator Scores'!$B$10:$B$161=$B87)*('3. Enter Indicator Scores'!$C$10:$C$161=$C87),0),
  _xlpm.c, MATCH(CF$8,'3. Enter Indicator Scores'!$D$8:$CZ$8,0),
  _xlpm.v, IFERROR(INDEX('3. Enter Indicator Scores'!$D$10:$CZ$161,_xlpm.r,_xlpm.c),""),
  IF(OR(_xlpm.w="",_xlpm.v=""),"",_xlpm.v*_xlpm.w)
)</f>
        <v/>
      </c>
      <c r="CG87" s="93" t="str" cm="1">
        <f t="array" ref="CG87">_xlfn.LET(
  _xlpm.w, CG$11,
  _xlpm.r, MATCH(1,('3. Enter Indicator Scores'!$B$10:$B$161=$B87)*('3. Enter Indicator Scores'!$C$10:$C$161=$C87),0),
  _xlpm.c, MATCH(CG$8,'3. Enter Indicator Scores'!$D$8:$CZ$8,0),
  _xlpm.v, IFERROR(INDEX('3. Enter Indicator Scores'!$D$10:$CZ$161,_xlpm.r,_xlpm.c),""),
  IF(OR(_xlpm.w="",_xlpm.v=""),"",_xlpm.v*_xlpm.w)
)</f>
        <v/>
      </c>
      <c r="CH87" s="93" t="str" cm="1">
        <f t="array" ref="CH87">_xlfn.LET(
  _xlpm.w, CH$11,
  _xlpm.r, MATCH(1,('3. Enter Indicator Scores'!$B$10:$B$161=$B87)*('3. Enter Indicator Scores'!$C$10:$C$161=$C87),0),
  _xlpm.c, MATCH(CH$8,'3. Enter Indicator Scores'!$D$8:$CZ$8,0),
  _xlpm.v, IFERROR(INDEX('3. Enter Indicator Scores'!$D$10:$CZ$161,_xlpm.r,_xlpm.c),""),
  IF(OR(_xlpm.w="",_xlpm.v=""),"",_xlpm.v*_xlpm.w)
)</f>
        <v/>
      </c>
      <c r="CI87" s="93" t="str" cm="1">
        <f t="array" ref="CI87">_xlfn.LET(
  _xlpm.w, CI$11,
  _xlpm.r, MATCH(1,('3. Enter Indicator Scores'!$B$10:$B$161=$B87)*('3. Enter Indicator Scores'!$C$10:$C$161=$C87),0),
  _xlpm.c, MATCH(CI$8,'3. Enter Indicator Scores'!$D$8:$CZ$8,0),
  _xlpm.v, IFERROR(INDEX('3. Enter Indicator Scores'!$D$10:$CZ$161,_xlpm.r,_xlpm.c),""),
  IF(OR(_xlpm.w="",_xlpm.v=""),"",_xlpm.v*_xlpm.w)
)</f>
        <v/>
      </c>
      <c r="CJ87" s="93" t="str" cm="1">
        <f t="array" ref="CJ87">_xlfn.LET(
  _xlpm.w, CJ$11,
  _xlpm.r, MATCH(1,('3. Enter Indicator Scores'!$B$10:$B$161=$B87)*('3. Enter Indicator Scores'!$C$10:$C$161=$C87),0),
  _xlpm.c, MATCH(CJ$8,'3. Enter Indicator Scores'!$D$8:$CZ$8,0),
  _xlpm.v, IFERROR(INDEX('3. Enter Indicator Scores'!$D$10:$CZ$161,_xlpm.r,_xlpm.c),""),
  IF(OR(_xlpm.w="",_xlpm.v=""),"",_xlpm.v*_xlpm.w)
)</f>
        <v/>
      </c>
      <c r="CK87" s="93" t="str" cm="1">
        <f t="array" ref="CK87">_xlfn.LET(
  _xlpm.w, CK$11,
  _xlpm.r, MATCH(1,('3. Enter Indicator Scores'!$B$10:$B$161=$B87)*('3. Enter Indicator Scores'!$C$10:$C$161=$C87),0),
  _xlpm.c, MATCH(CK$8,'3. Enter Indicator Scores'!$D$8:$CZ$8,0),
  _xlpm.v, IFERROR(INDEX('3. Enter Indicator Scores'!$D$10:$CZ$161,_xlpm.r,_xlpm.c),""),
  IF(OR(_xlpm.w="",_xlpm.v=""),"",_xlpm.v*_xlpm.w)
)</f>
        <v/>
      </c>
      <c r="CL87" s="93" t="str" cm="1">
        <f t="array" ref="CL87">_xlfn.LET(
  _xlpm.w, CL$11,
  _xlpm.r, MATCH(1,('3. Enter Indicator Scores'!$B$10:$B$161=$B87)*('3. Enter Indicator Scores'!$C$10:$C$161=$C87),0),
  _xlpm.c, MATCH(CL$8,'3. Enter Indicator Scores'!$D$8:$CZ$8,0),
  _xlpm.v, IFERROR(INDEX('3. Enter Indicator Scores'!$D$10:$CZ$161,_xlpm.r,_xlpm.c),""),
  IF(OR(_xlpm.w="",_xlpm.v=""),"",_xlpm.v*_xlpm.w)
)</f>
        <v/>
      </c>
      <c r="CM87" s="93" t="str" cm="1">
        <f t="array" ref="CM87">_xlfn.LET(
  _xlpm.w, CM$11,
  _xlpm.r, MATCH(1,('3. Enter Indicator Scores'!$B$10:$B$161=$B87)*('3. Enter Indicator Scores'!$C$10:$C$161=$C87),0),
  _xlpm.c, MATCH(CM$8,'3. Enter Indicator Scores'!$D$8:$CZ$8,0),
  _xlpm.v, IFERROR(INDEX('3. Enter Indicator Scores'!$D$10:$CZ$161,_xlpm.r,_xlpm.c),""),
  IF(OR(_xlpm.w="",_xlpm.v=""),"",_xlpm.v*_xlpm.w)
)</f>
        <v/>
      </c>
      <c r="CN87" s="93" t="str" cm="1">
        <f t="array" ref="CN87">_xlfn.LET(
  _xlpm.w, CN$11,
  _xlpm.r, MATCH(1,('3. Enter Indicator Scores'!$B$10:$B$161=$B87)*('3. Enter Indicator Scores'!$C$10:$C$161=$C87),0),
  _xlpm.c, MATCH(CN$8,'3. Enter Indicator Scores'!$D$8:$CZ$8,0),
  _xlpm.v, IFERROR(INDEX('3. Enter Indicator Scores'!$D$10:$CZ$161,_xlpm.r,_xlpm.c),""),
  IF(OR(_xlpm.w="",_xlpm.v=""),"",_xlpm.v*_xlpm.w)
)</f>
        <v/>
      </c>
      <c r="CO87" s="93" t="str" cm="1">
        <f t="array" ref="CO87">_xlfn.LET(
  _xlpm.w, CO$11,
  _xlpm.r, MATCH(1,('3. Enter Indicator Scores'!$B$10:$B$161=$B87)*('3. Enter Indicator Scores'!$C$10:$C$161=$C87),0),
  _xlpm.c, MATCH(CO$8,'3. Enter Indicator Scores'!$D$8:$CZ$8,0),
  _xlpm.v, IFERROR(INDEX('3. Enter Indicator Scores'!$D$10:$CZ$161,_xlpm.r,_xlpm.c),""),
  IF(OR(_xlpm.w="",_xlpm.v=""),"",_xlpm.v*_xlpm.w)
)</f>
        <v/>
      </c>
      <c r="CP87" s="93" t="str" cm="1">
        <f t="array" ref="CP87">_xlfn.LET(
  _xlpm.w, CP$11,
  _xlpm.r, MATCH(1,('3. Enter Indicator Scores'!$B$10:$B$161=$B87)*('3. Enter Indicator Scores'!$C$10:$C$161=$C87),0),
  _xlpm.c, MATCH(CP$8,'3. Enter Indicator Scores'!$D$8:$CZ$8,0),
  _xlpm.v, IFERROR(INDEX('3. Enter Indicator Scores'!$D$10:$CZ$161,_xlpm.r,_xlpm.c),""),
  IF(OR(_xlpm.w="",_xlpm.v=""),"",_xlpm.v*_xlpm.w)
)</f>
        <v/>
      </c>
      <c r="CQ87" s="93" t="str" cm="1">
        <f t="array" ref="CQ87">_xlfn.LET(
  _xlpm.w, CQ$11,
  _xlpm.r, MATCH(1,('3. Enter Indicator Scores'!$B$10:$B$161=$B87)*('3. Enter Indicator Scores'!$C$10:$C$161=$C87),0),
  _xlpm.c, MATCH(CQ$8,'3. Enter Indicator Scores'!$D$8:$CZ$8,0),
  _xlpm.v, IFERROR(INDEX('3. Enter Indicator Scores'!$D$10:$CZ$161,_xlpm.r,_xlpm.c),""),
  IF(OR(_xlpm.w="",_xlpm.v=""),"",_xlpm.v*_xlpm.w)
)</f>
        <v/>
      </c>
      <c r="CR87" s="93" t="str" cm="1">
        <f t="array" ref="CR87">_xlfn.LET(
  _xlpm.w, CR$11,
  _xlpm.r, MATCH(1,('3. Enter Indicator Scores'!$B$10:$B$161=$B87)*('3. Enter Indicator Scores'!$C$10:$C$161=$C87),0),
  _xlpm.c, MATCH(CR$8,'3. Enter Indicator Scores'!$D$8:$CZ$8,0),
  _xlpm.v, IFERROR(INDEX('3. Enter Indicator Scores'!$D$10:$CZ$161,_xlpm.r,_xlpm.c),""),
  IF(OR(_xlpm.w="",_xlpm.v=""),"",_xlpm.v*_xlpm.w)
)</f>
        <v/>
      </c>
      <c r="CS87" s="93" t="str" cm="1">
        <f t="array" ref="CS87">_xlfn.LET(
  _xlpm.w, CS$11,
  _xlpm.r, MATCH(1,('3. Enter Indicator Scores'!$B$10:$B$161=$B87)*('3. Enter Indicator Scores'!$C$10:$C$161=$C87),0),
  _xlpm.c, MATCH(CS$8,'3. Enter Indicator Scores'!$D$8:$CZ$8,0),
  _xlpm.v, IFERROR(INDEX('3. Enter Indicator Scores'!$D$10:$CZ$161,_xlpm.r,_xlpm.c),""),
  IF(OR(_xlpm.w="",_xlpm.v=""),"",_xlpm.v*_xlpm.w)
)</f>
        <v/>
      </c>
      <c r="CT87" s="93" t="str" cm="1">
        <f t="array" ref="CT87">_xlfn.LET(
  _xlpm.w, CT$11,
  _xlpm.r, MATCH(1,('3. Enter Indicator Scores'!$B$10:$B$161=$B87)*('3. Enter Indicator Scores'!$C$10:$C$161=$C87),0),
  _xlpm.c, MATCH(CT$8,'3. Enter Indicator Scores'!$D$8:$CZ$8,0),
  _xlpm.v, IFERROR(INDEX('3. Enter Indicator Scores'!$D$10:$CZ$161,_xlpm.r,_xlpm.c),""),
  IF(OR(_xlpm.w="",_xlpm.v=""),"",_xlpm.v*_xlpm.w)
)</f>
        <v/>
      </c>
      <c r="CU87" s="93" t="str" cm="1">
        <f t="array" ref="CU87">_xlfn.LET(
  _xlpm.w, CU$11,
  _xlpm.r, MATCH(1,('3. Enter Indicator Scores'!$B$10:$B$161=$B87)*('3. Enter Indicator Scores'!$C$10:$C$161=$C87),0),
  _xlpm.c, MATCH(CU$8,'3. Enter Indicator Scores'!$D$8:$CZ$8,0),
  _xlpm.v, IFERROR(INDEX('3. Enter Indicator Scores'!$D$10:$CZ$161,_xlpm.r,_xlpm.c),""),
  IF(OR(_xlpm.w="",_xlpm.v=""),"",_xlpm.v*_xlpm.w)
)</f>
        <v/>
      </c>
      <c r="CV87" s="93" t="str" cm="1">
        <f t="array" ref="CV87">_xlfn.LET(
  _xlpm.w, CV$11,
  _xlpm.r, MATCH(1,('3. Enter Indicator Scores'!$B$10:$B$161=$B87)*('3. Enter Indicator Scores'!$C$10:$C$161=$C87),0),
  _xlpm.c, MATCH(CV$8,'3. Enter Indicator Scores'!$D$8:$CZ$8,0),
  _xlpm.v, IFERROR(INDEX('3. Enter Indicator Scores'!$D$10:$CZ$161,_xlpm.r,_xlpm.c),""),
  IF(OR(_xlpm.w="",_xlpm.v=""),"",_xlpm.v*_xlpm.w)
)</f>
        <v/>
      </c>
      <c r="CW87" s="93" t="str" cm="1">
        <f t="array" ref="CW87">_xlfn.LET(
  _xlpm.w, CW$11,
  _xlpm.r, MATCH(1,('3. Enter Indicator Scores'!$B$10:$B$161=$B87)*('3. Enter Indicator Scores'!$C$10:$C$161=$C87),0),
  _xlpm.c, MATCH(CW$8,'3. Enter Indicator Scores'!$D$8:$CZ$8,0),
  _xlpm.v, IFERROR(INDEX('3. Enter Indicator Scores'!$D$10:$CZ$161,_xlpm.r,_xlpm.c),""),
  IF(OR(_xlpm.w="",_xlpm.v=""),"",_xlpm.v*_xlpm.w)
)</f>
        <v/>
      </c>
      <c r="CX87" s="93" t="str" cm="1">
        <f t="array" ref="CX87">_xlfn.LET(
  _xlpm.w, CX$11,
  _xlpm.r, MATCH(1,('3. Enter Indicator Scores'!$B$10:$B$161=$B87)*('3. Enter Indicator Scores'!$C$10:$C$161=$C87),0),
  _xlpm.c, MATCH(CX$8,'3. Enter Indicator Scores'!$D$8:$CZ$8,0),
  _xlpm.v, IFERROR(INDEX('3. Enter Indicator Scores'!$D$10:$CZ$161,_xlpm.r,_xlpm.c),""),
  IF(OR(_xlpm.w="",_xlpm.v=""),"",_xlpm.v*_xlpm.w)
)</f>
        <v/>
      </c>
      <c r="CY87" s="93" t="str" cm="1">
        <f t="array" ref="CY87">_xlfn.LET(
  _xlpm.w, CY$11,
  _xlpm.r, MATCH(1,('3. Enter Indicator Scores'!$B$10:$B$161=$B87)*('3. Enter Indicator Scores'!$C$10:$C$161=$C87),0),
  _xlpm.c, MATCH(CY$8,'3. Enter Indicator Scores'!$D$8:$CZ$8,0),
  _xlpm.v, IFERROR(INDEX('3. Enter Indicator Scores'!$D$10:$CZ$161,_xlpm.r,_xlpm.c),""),
  IF(OR(_xlpm.w="",_xlpm.v=""),"",_xlpm.v*_xlpm.w)
)</f>
        <v/>
      </c>
      <c r="CZ87" s="93" t="str" cm="1">
        <f t="array" ref="CZ87">_xlfn.LET(
  _xlpm.w, CZ$11,
  _xlpm.r, MATCH(1,('3. Enter Indicator Scores'!$B$10:$B$161=$B87)*('3. Enter Indicator Scores'!$C$10:$C$161=$C87),0),
  _xlpm.c, MATCH(CZ$8,'3. Enter Indicator Scores'!$D$8:$CZ$8,0),
  _xlpm.v, IFERROR(INDEX('3. Enter Indicator Scores'!$D$10:$CZ$161,_xlpm.r,_xlpm.c),""),
  IF(OR(_xlpm.w="",_xlpm.v=""),"",_xlpm.v*_xlpm.w)
)</f>
        <v/>
      </c>
    </row>
    <row r="88" spans="4:104" x14ac:dyDescent="0.2">
      <c r="D88" s="93" t="str" cm="1">
        <f t="array" ref="D88">_xlfn.LET(
  _xlpm.w, D$11,
  _xlpm.r, MATCH(1,('3. Enter Indicator Scores'!$B$10:$B$161=$B88)*('3. Enter Indicator Scores'!$C$10:$C$161=$C88),0),
  _xlpm.c, MATCH(D$8,'3. Enter Indicator Scores'!$D$8:$CZ$8,0),
  _xlpm.v, IFERROR(INDEX('3. Enter Indicator Scores'!$D$10:$CZ$161,_xlpm.r,_xlpm.c),""),
  IF(OR(_xlpm.w="",_xlpm.v=""),"",_xlpm.v*_xlpm.w)
)</f>
        <v/>
      </c>
      <c r="E88" s="93" t="str" cm="1">
        <f t="array" ref="E88">_xlfn.LET(
  _xlpm.w, E$11,
  _xlpm.r, MATCH(1,('3. Enter Indicator Scores'!$B$10:$B$161=$B88)*('3. Enter Indicator Scores'!$C$10:$C$161=$C88),0),
  _xlpm.c, MATCH(E$8,'3. Enter Indicator Scores'!$D$8:$CZ$8,0),
  _xlpm.v, IFERROR(INDEX('3. Enter Indicator Scores'!$D$10:$CZ$161,_xlpm.r,_xlpm.c),""),
  IF(OR(_xlpm.w="",_xlpm.v=""),"",_xlpm.v*_xlpm.w)
)</f>
        <v/>
      </c>
      <c r="F88" s="93" t="str" cm="1">
        <f t="array" ref="F88">_xlfn.LET(
  _xlpm.w, F$11,
  _xlpm.r, MATCH(1,('3. Enter Indicator Scores'!$B$10:$B$161=$B88)*('3. Enter Indicator Scores'!$C$10:$C$161=$C88),0),
  _xlpm.c, MATCH(F$8,'3. Enter Indicator Scores'!$D$8:$CZ$8,0),
  _xlpm.v, IFERROR(INDEX('3. Enter Indicator Scores'!$D$10:$CZ$161,_xlpm.r,_xlpm.c),""),
  IF(OR(_xlpm.w="",_xlpm.v=""),"",_xlpm.v*_xlpm.w)
)</f>
        <v/>
      </c>
      <c r="G88" s="93" t="str" cm="1">
        <f t="array" ref="G88">_xlfn.LET(
  _xlpm.w, G$11,
  _xlpm.r, MATCH(1,('3. Enter Indicator Scores'!$B$10:$B$161=$B88)*('3. Enter Indicator Scores'!$C$10:$C$161=$C88),0),
  _xlpm.c, MATCH(G$8,'3. Enter Indicator Scores'!$D$8:$CZ$8,0),
  _xlpm.v, IFERROR(INDEX('3. Enter Indicator Scores'!$D$10:$CZ$161,_xlpm.r,_xlpm.c),""),
  IF(OR(_xlpm.w="",_xlpm.v=""),"",_xlpm.v*_xlpm.w)
)</f>
        <v/>
      </c>
      <c r="H88" s="93" t="str" cm="1">
        <f t="array" ref="H88">_xlfn.LET(
  _xlpm.w, H$11,
  _xlpm.r, MATCH(1,('3. Enter Indicator Scores'!$B$10:$B$161=$B88)*('3. Enter Indicator Scores'!$C$10:$C$161=$C88),0),
  _xlpm.c, MATCH(H$8,'3. Enter Indicator Scores'!$D$8:$CZ$8,0),
  _xlpm.v, IFERROR(INDEX('3. Enter Indicator Scores'!$D$10:$CZ$161,_xlpm.r,_xlpm.c),""),
  IF(OR(_xlpm.w="",_xlpm.v=""),"",_xlpm.v*_xlpm.w)
)</f>
        <v/>
      </c>
      <c r="I88" s="93" t="str" cm="1">
        <f t="array" ref="I88">_xlfn.LET(
  _xlpm.w, I$11,
  _xlpm.r, MATCH(1,('3. Enter Indicator Scores'!$B$10:$B$161=$B88)*('3. Enter Indicator Scores'!$C$10:$C$161=$C88),0),
  _xlpm.c, MATCH(I$8,'3. Enter Indicator Scores'!$D$8:$CZ$8,0),
  _xlpm.v, IFERROR(INDEX('3. Enter Indicator Scores'!$D$10:$CZ$161,_xlpm.r,_xlpm.c),""),
  IF(OR(_xlpm.w="",_xlpm.v=""),"",_xlpm.v*_xlpm.w)
)</f>
        <v/>
      </c>
      <c r="J88" s="93" t="str" cm="1">
        <f t="array" ref="J88">_xlfn.LET(
  _xlpm.w, J$11,
  _xlpm.r, MATCH(1,('3. Enter Indicator Scores'!$B$10:$B$161=$B88)*('3. Enter Indicator Scores'!$C$10:$C$161=$C88),0),
  _xlpm.c, MATCH(J$8,'3. Enter Indicator Scores'!$D$8:$CZ$8,0),
  _xlpm.v, IFERROR(INDEX('3. Enter Indicator Scores'!$D$10:$CZ$161,_xlpm.r,_xlpm.c),""),
  IF(OR(_xlpm.w="",_xlpm.v=""),"",_xlpm.v*_xlpm.w)
)</f>
        <v/>
      </c>
      <c r="K88" s="93" t="str" cm="1">
        <f t="array" ref="K88">_xlfn.LET(
  _xlpm.w, K$11,
  _xlpm.r, MATCH(1,('3. Enter Indicator Scores'!$B$10:$B$161=$B88)*('3. Enter Indicator Scores'!$C$10:$C$161=$C88),0),
  _xlpm.c, MATCH(K$8,'3. Enter Indicator Scores'!$D$8:$CZ$8,0),
  _xlpm.v, IFERROR(INDEX('3. Enter Indicator Scores'!$D$10:$CZ$161,_xlpm.r,_xlpm.c),""),
  IF(OR(_xlpm.w="",_xlpm.v=""),"",_xlpm.v*_xlpm.w)
)</f>
        <v/>
      </c>
      <c r="L88" s="93" t="str" cm="1">
        <f t="array" ref="L88">_xlfn.LET(
  _xlpm.w, L$11,
  _xlpm.r, MATCH(1,('3. Enter Indicator Scores'!$B$10:$B$161=$B88)*('3. Enter Indicator Scores'!$C$10:$C$161=$C88),0),
  _xlpm.c, MATCH(L$8,'3. Enter Indicator Scores'!$D$8:$CZ$8,0),
  _xlpm.v, IFERROR(INDEX('3. Enter Indicator Scores'!$D$10:$CZ$161,_xlpm.r,_xlpm.c),""),
  IF(OR(_xlpm.w="",_xlpm.v=""),"",_xlpm.v*_xlpm.w)
)</f>
        <v/>
      </c>
      <c r="M88" s="93" t="str" cm="1">
        <f t="array" ref="M88">_xlfn.LET(
  _xlpm.w, M$11,
  _xlpm.r, MATCH(1,('3. Enter Indicator Scores'!$B$10:$B$161=$B88)*('3. Enter Indicator Scores'!$C$10:$C$161=$C88),0),
  _xlpm.c, MATCH(M$8,'3. Enter Indicator Scores'!$D$8:$CZ$8,0),
  _xlpm.v, IFERROR(INDEX('3. Enter Indicator Scores'!$D$10:$CZ$161,_xlpm.r,_xlpm.c),""),
  IF(OR(_xlpm.w="",_xlpm.v=""),"",_xlpm.v*_xlpm.w)
)</f>
        <v/>
      </c>
      <c r="N88" s="93" t="str" cm="1">
        <f t="array" ref="N88">_xlfn.LET(
  _xlpm.w, N$11,
  _xlpm.r, MATCH(1,('3. Enter Indicator Scores'!$B$10:$B$161=$B88)*('3. Enter Indicator Scores'!$C$10:$C$161=$C88),0),
  _xlpm.c, MATCH(N$8,'3. Enter Indicator Scores'!$D$8:$CZ$8,0),
  _xlpm.v, IFERROR(INDEX('3. Enter Indicator Scores'!$D$10:$CZ$161,_xlpm.r,_xlpm.c),""),
  IF(OR(_xlpm.w="",_xlpm.v=""),"",_xlpm.v*_xlpm.w)
)</f>
        <v/>
      </c>
      <c r="O88" s="93" t="str" cm="1">
        <f t="array" ref="O88">_xlfn.LET(
  _xlpm.w, O$11,
  _xlpm.r, MATCH(1,('3. Enter Indicator Scores'!$B$10:$B$161=$B88)*('3. Enter Indicator Scores'!$C$10:$C$161=$C88),0),
  _xlpm.c, MATCH(O$8,'3. Enter Indicator Scores'!$D$8:$CZ$8,0),
  _xlpm.v, IFERROR(INDEX('3. Enter Indicator Scores'!$D$10:$CZ$161,_xlpm.r,_xlpm.c),""),
  IF(OR(_xlpm.w="",_xlpm.v=""),"",_xlpm.v*_xlpm.w)
)</f>
        <v/>
      </c>
      <c r="P88" s="93" t="str" cm="1">
        <f t="array" ref="P88">_xlfn.LET(
  _xlpm.w, P$11,
  _xlpm.r, MATCH(1,('3. Enter Indicator Scores'!$B$10:$B$161=$B88)*('3. Enter Indicator Scores'!$C$10:$C$161=$C88),0),
  _xlpm.c, MATCH(P$8,'3. Enter Indicator Scores'!$D$8:$CZ$8,0),
  _xlpm.v, IFERROR(INDEX('3. Enter Indicator Scores'!$D$10:$CZ$161,_xlpm.r,_xlpm.c),""),
  IF(OR(_xlpm.w="",_xlpm.v=""),"",_xlpm.v*_xlpm.w)
)</f>
        <v/>
      </c>
      <c r="Q88" s="93" t="str" cm="1">
        <f t="array" ref="Q88">_xlfn.LET(
  _xlpm.w, Q$11,
  _xlpm.r, MATCH(1,('3. Enter Indicator Scores'!$B$10:$B$161=$B88)*('3. Enter Indicator Scores'!$C$10:$C$161=$C88),0),
  _xlpm.c, MATCH(Q$8,'3. Enter Indicator Scores'!$D$8:$CZ$8,0),
  _xlpm.v, IFERROR(INDEX('3. Enter Indicator Scores'!$D$10:$CZ$161,_xlpm.r,_xlpm.c),""),
  IF(OR(_xlpm.w="",_xlpm.v=""),"",_xlpm.v*_xlpm.w)
)</f>
        <v/>
      </c>
      <c r="R88" s="93" t="str" cm="1">
        <f t="array" ref="R88">_xlfn.LET(
  _xlpm.w, R$11,
  _xlpm.r, MATCH(1,('3. Enter Indicator Scores'!$B$10:$B$161=$B88)*('3. Enter Indicator Scores'!$C$10:$C$161=$C88),0),
  _xlpm.c, MATCH(R$8,'3. Enter Indicator Scores'!$D$8:$CZ$8,0),
  _xlpm.v, IFERROR(INDEX('3. Enter Indicator Scores'!$D$10:$CZ$161,_xlpm.r,_xlpm.c),""),
  IF(OR(_xlpm.w="",_xlpm.v=""),"",_xlpm.v*_xlpm.w)
)</f>
        <v/>
      </c>
      <c r="S88" s="93" t="str" cm="1">
        <f t="array" ref="S88">_xlfn.LET(
  _xlpm.w, S$11,
  _xlpm.r, MATCH(1,('3. Enter Indicator Scores'!$B$10:$B$161=$B88)*('3. Enter Indicator Scores'!$C$10:$C$161=$C88),0),
  _xlpm.c, MATCH(S$8,'3. Enter Indicator Scores'!$D$8:$CZ$8,0),
  _xlpm.v, IFERROR(INDEX('3. Enter Indicator Scores'!$D$10:$CZ$161,_xlpm.r,_xlpm.c),""),
  IF(OR(_xlpm.w="",_xlpm.v=""),"",_xlpm.v*_xlpm.w)
)</f>
        <v/>
      </c>
      <c r="T88" s="93" t="str" cm="1">
        <f t="array" ref="T88">_xlfn.LET(
  _xlpm.w, T$11,
  _xlpm.r, MATCH(1,('3. Enter Indicator Scores'!$B$10:$B$161=$B88)*('3. Enter Indicator Scores'!$C$10:$C$161=$C88),0),
  _xlpm.c, MATCH(T$8,'3. Enter Indicator Scores'!$D$8:$CZ$8,0),
  _xlpm.v, IFERROR(INDEX('3. Enter Indicator Scores'!$D$10:$CZ$161,_xlpm.r,_xlpm.c),""),
  IF(OR(_xlpm.w="",_xlpm.v=""),"",_xlpm.v*_xlpm.w)
)</f>
        <v/>
      </c>
      <c r="U88" s="93" t="str" cm="1">
        <f t="array" ref="U88">_xlfn.LET(
  _xlpm.w, U$11,
  _xlpm.r, MATCH(1,('3. Enter Indicator Scores'!$B$10:$B$161=$B88)*('3. Enter Indicator Scores'!$C$10:$C$161=$C88),0),
  _xlpm.c, MATCH(U$8,'3. Enter Indicator Scores'!$D$8:$CZ$8,0),
  _xlpm.v, IFERROR(INDEX('3. Enter Indicator Scores'!$D$10:$CZ$161,_xlpm.r,_xlpm.c),""),
  IF(OR(_xlpm.w="",_xlpm.v=""),"",_xlpm.v*_xlpm.w)
)</f>
        <v/>
      </c>
      <c r="V88" s="93" t="str" cm="1">
        <f t="array" ref="V88">_xlfn.LET(
  _xlpm.w, V$11,
  _xlpm.r, MATCH(1,('3. Enter Indicator Scores'!$B$10:$B$161=$B88)*('3. Enter Indicator Scores'!$C$10:$C$161=$C88),0),
  _xlpm.c, MATCH(V$8,'3. Enter Indicator Scores'!$D$8:$CZ$8,0),
  _xlpm.v, IFERROR(INDEX('3. Enter Indicator Scores'!$D$10:$CZ$161,_xlpm.r,_xlpm.c),""),
  IF(OR(_xlpm.w="",_xlpm.v=""),"",_xlpm.v*_xlpm.w)
)</f>
        <v/>
      </c>
      <c r="W88" s="93" t="str" cm="1">
        <f t="array" ref="W88">_xlfn.LET(
  _xlpm.w, W$11,
  _xlpm.r, MATCH(1,('3. Enter Indicator Scores'!$B$10:$B$161=$B88)*('3. Enter Indicator Scores'!$C$10:$C$161=$C88),0),
  _xlpm.c, MATCH(W$8,'3. Enter Indicator Scores'!$D$8:$CZ$8,0),
  _xlpm.v, IFERROR(INDEX('3. Enter Indicator Scores'!$D$10:$CZ$161,_xlpm.r,_xlpm.c),""),
  IF(OR(_xlpm.w="",_xlpm.v=""),"",_xlpm.v*_xlpm.w)
)</f>
        <v/>
      </c>
      <c r="X88" s="93" t="str" cm="1">
        <f t="array" ref="X88">_xlfn.LET(
  _xlpm.w, X$11,
  _xlpm.r, MATCH(1,('3. Enter Indicator Scores'!$B$10:$B$161=$B88)*('3. Enter Indicator Scores'!$C$10:$C$161=$C88),0),
  _xlpm.c, MATCH(X$8,'3. Enter Indicator Scores'!$D$8:$CZ$8,0),
  _xlpm.v, IFERROR(INDEX('3. Enter Indicator Scores'!$D$10:$CZ$161,_xlpm.r,_xlpm.c),""),
  IF(OR(_xlpm.w="",_xlpm.v=""),"",_xlpm.v*_xlpm.w)
)</f>
        <v/>
      </c>
      <c r="Y88" s="93" t="str" cm="1">
        <f t="array" ref="Y88">_xlfn.LET(
  _xlpm.w, Y$11,
  _xlpm.r, MATCH(1,('3. Enter Indicator Scores'!$B$10:$B$161=$B88)*('3. Enter Indicator Scores'!$C$10:$C$161=$C88),0),
  _xlpm.c, MATCH(Y$8,'3. Enter Indicator Scores'!$D$8:$CZ$8,0),
  _xlpm.v, IFERROR(INDEX('3. Enter Indicator Scores'!$D$10:$CZ$161,_xlpm.r,_xlpm.c),""),
  IF(OR(_xlpm.w="",_xlpm.v=""),"",_xlpm.v*_xlpm.w)
)</f>
        <v/>
      </c>
      <c r="Z88" s="93" t="str" cm="1">
        <f t="array" ref="Z88">_xlfn.LET(
  _xlpm.w, Z$11,
  _xlpm.r, MATCH(1,('3. Enter Indicator Scores'!$B$10:$B$161=$B88)*('3. Enter Indicator Scores'!$C$10:$C$161=$C88),0),
  _xlpm.c, MATCH(Z$8,'3. Enter Indicator Scores'!$D$8:$CZ$8,0),
  _xlpm.v, IFERROR(INDEX('3. Enter Indicator Scores'!$D$10:$CZ$161,_xlpm.r,_xlpm.c),""),
  IF(OR(_xlpm.w="",_xlpm.v=""),"",_xlpm.v*_xlpm.w)
)</f>
        <v/>
      </c>
      <c r="AA88" s="93" t="str" cm="1">
        <f t="array" ref="AA88">_xlfn.LET(
  _xlpm.w, AA$11,
  _xlpm.r, MATCH(1,('3. Enter Indicator Scores'!$B$10:$B$161=$B88)*('3. Enter Indicator Scores'!$C$10:$C$161=$C88),0),
  _xlpm.c, MATCH(AA$8,'3. Enter Indicator Scores'!$D$8:$CZ$8,0),
  _xlpm.v, IFERROR(INDEX('3. Enter Indicator Scores'!$D$10:$CZ$161,_xlpm.r,_xlpm.c),""),
  IF(OR(_xlpm.w="",_xlpm.v=""),"",_xlpm.v*_xlpm.w)
)</f>
        <v/>
      </c>
      <c r="AB88" s="93" t="str" cm="1">
        <f t="array" ref="AB88">_xlfn.LET(
  _xlpm.w, AB$11,
  _xlpm.r, MATCH(1,('3. Enter Indicator Scores'!$B$10:$B$161=$B88)*('3. Enter Indicator Scores'!$C$10:$C$161=$C88),0),
  _xlpm.c, MATCH(AB$8,'3. Enter Indicator Scores'!$D$8:$CZ$8,0),
  _xlpm.v, IFERROR(INDEX('3. Enter Indicator Scores'!$D$10:$CZ$161,_xlpm.r,_xlpm.c),""),
  IF(OR(_xlpm.w="",_xlpm.v=""),"",_xlpm.v*_xlpm.w)
)</f>
        <v/>
      </c>
      <c r="AC88" s="93" t="str" cm="1">
        <f t="array" ref="AC88">_xlfn.LET(
  _xlpm.w, AC$11,
  _xlpm.r, MATCH(1,('3. Enter Indicator Scores'!$B$10:$B$161=$B88)*('3. Enter Indicator Scores'!$C$10:$C$161=$C88),0),
  _xlpm.c, MATCH(AC$8,'3. Enter Indicator Scores'!$D$8:$CZ$8,0),
  _xlpm.v, IFERROR(INDEX('3. Enter Indicator Scores'!$D$10:$CZ$161,_xlpm.r,_xlpm.c),""),
  IF(OR(_xlpm.w="",_xlpm.v=""),"",_xlpm.v*_xlpm.w)
)</f>
        <v/>
      </c>
      <c r="AD88" s="93" t="str" cm="1">
        <f t="array" ref="AD88">_xlfn.LET(
  _xlpm.w, AD$11,
  _xlpm.r, MATCH(1,('3. Enter Indicator Scores'!$B$10:$B$161=$B88)*('3. Enter Indicator Scores'!$C$10:$C$161=$C88),0),
  _xlpm.c, MATCH(AD$8,'3. Enter Indicator Scores'!$D$8:$CZ$8,0),
  _xlpm.v, IFERROR(INDEX('3. Enter Indicator Scores'!$D$10:$CZ$161,_xlpm.r,_xlpm.c),""),
  IF(OR(_xlpm.w="",_xlpm.v=""),"",_xlpm.v*_xlpm.w)
)</f>
        <v/>
      </c>
      <c r="AE88" s="93" t="str" cm="1">
        <f t="array" ref="AE88">_xlfn.LET(
  _xlpm.w, AE$11,
  _xlpm.r, MATCH(1,('3. Enter Indicator Scores'!$B$10:$B$161=$B88)*('3. Enter Indicator Scores'!$C$10:$C$161=$C88),0),
  _xlpm.c, MATCH(AE$8,'3. Enter Indicator Scores'!$D$8:$CZ$8,0),
  _xlpm.v, IFERROR(INDEX('3. Enter Indicator Scores'!$D$10:$CZ$161,_xlpm.r,_xlpm.c),""),
  IF(OR(_xlpm.w="",_xlpm.v=""),"",_xlpm.v*_xlpm.w)
)</f>
        <v/>
      </c>
      <c r="AF88" s="93" t="str" cm="1">
        <f t="array" ref="AF88">_xlfn.LET(
  _xlpm.w, AF$11,
  _xlpm.r, MATCH(1,('3. Enter Indicator Scores'!$B$10:$B$161=$B88)*('3. Enter Indicator Scores'!$C$10:$C$161=$C88),0),
  _xlpm.c, MATCH(AF$8,'3. Enter Indicator Scores'!$D$8:$CZ$8,0),
  _xlpm.v, IFERROR(INDEX('3. Enter Indicator Scores'!$D$10:$CZ$161,_xlpm.r,_xlpm.c),""),
  IF(OR(_xlpm.w="",_xlpm.v=""),"",_xlpm.v*_xlpm.w)
)</f>
        <v/>
      </c>
      <c r="AG88" s="93" t="str" cm="1">
        <f t="array" ref="AG88">_xlfn.LET(
  _xlpm.w, AG$11,
  _xlpm.r, MATCH(1,('3. Enter Indicator Scores'!$B$10:$B$161=$B88)*('3. Enter Indicator Scores'!$C$10:$C$161=$C88),0),
  _xlpm.c, MATCH(AG$8,'3. Enter Indicator Scores'!$D$8:$CZ$8,0),
  _xlpm.v, IFERROR(INDEX('3. Enter Indicator Scores'!$D$10:$CZ$161,_xlpm.r,_xlpm.c),""),
  IF(OR(_xlpm.w="",_xlpm.v=""),"",_xlpm.v*_xlpm.w)
)</f>
        <v/>
      </c>
      <c r="AH88" s="93" t="str" cm="1">
        <f t="array" ref="AH88">_xlfn.LET(
  _xlpm.w, AH$11,
  _xlpm.r, MATCH(1,('3. Enter Indicator Scores'!$B$10:$B$161=$B88)*('3. Enter Indicator Scores'!$C$10:$C$161=$C88),0),
  _xlpm.c, MATCH(AH$8,'3. Enter Indicator Scores'!$D$8:$CZ$8,0),
  _xlpm.v, IFERROR(INDEX('3. Enter Indicator Scores'!$D$10:$CZ$161,_xlpm.r,_xlpm.c),""),
  IF(OR(_xlpm.w="",_xlpm.v=""),"",_xlpm.v*_xlpm.w)
)</f>
        <v/>
      </c>
      <c r="AI88" s="93" t="str" cm="1">
        <f t="array" ref="AI88">_xlfn.LET(
  _xlpm.w, AI$11,
  _xlpm.r, MATCH(1,('3. Enter Indicator Scores'!$B$10:$B$161=$B88)*('3. Enter Indicator Scores'!$C$10:$C$161=$C88),0),
  _xlpm.c, MATCH(AI$8,'3. Enter Indicator Scores'!$D$8:$CZ$8,0),
  _xlpm.v, IFERROR(INDEX('3. Enter Indicator Scores'!$D$10:$CZ$161,_xlpm.r,_xlpm.c),""),
  IF(OR(_xlpm.w="",_xlpm.v=""),"",_xlpm.v*_xlpm.w)
)</f>
        <v/>
      </c>
      <c r="AJ88" s="93" t="str" cm="1">
        <f t="array" ref="AJ88">_xlfn.LET(
  _xlpm.w, AJ$11,
  _xlpm.r, MATCH(1,('3. Enter Indicator Scores'!$B$10:$B$161=$B88)*('3. Enter Indicator Scores'!$C$10:$C$161=$C88),0),
  _xlpm.c, MATCH(AJ$8,'3. Enter Indicator Scores'!$D$8:$CZ$8,0),
  _xlpm.v, IFERROR(INDEX('3. Enter Indicator Scores'!$D$10:$CZ$161,_xlpm.r,_xlpm.c),""),
  IF(OR(_xlpm.w="",_xlpm.v=""),"",_xlpm.v*_xlpm.w)
)</f>
        <v/>
      </c>
      <c r="AK88" s="93" t="str" cm="1">
        <f t="array" ref="AK88">_xlfn.LET(
  _xlpm.w, AK$11,
  _xlpm.r, MATCH(1,('3. Enter Indicator Scores'!$B$10:$B$161=$B88)*('3. Enter Indicator Scores'!$C$10:$C$161=$C88),0),
  _xlpm.c, MATCH(AK$8,'3. Enter Indicator Scores'!$D$8:$CZ$8,0),
  _xlpm.v, IFERROR(INDEX('3. Enter Indicator Scores'!$D$10:$CZ$161,_xlpm.r,_xlpm.c),""),
  IF(OR(_xlpm.w="",_xlpm.v=""),"",_xlpm.v*_xlpm.w)
)</f>
        <v/>
      </c>
      <c r="AL88" s="93" t="str" cm="1">
        <f t="array" ref="AL88">_xlfn.LET(
  _xlpm.w, AL$11,
  _xlpm.r, MATCH(1,('3. Enter Indicator Scores'!$B$10:$B$161=$B88)*('3. Enter Indicator Scores'!$C$10:$C$161=$C88),0),
  _xlpm.c, MATCH(AL$8,'3. Enter Indicator Scores'!$D$8:$CZ$8,0),
  _xlpm.v, IFERROR(INDEX('3. Enter Indicator Scores'!$D$10:$CZ$161,_xlpm.r,_xlpm.c),""),
  IF(OR(_xlpm.w="",_xlpm.v=""),"",_xlpm.v*_xlpm.w)
)</f>
        <v/>
      </c>
      <c r="AM88" s="93" t="str" cm="1">
        <f t="array" ref="AM88">_xlfn.LET(
  _xlpm.w, AM$11,
  _xlpm.r, MATCH(1,('3. Enter Indicator Scores'!$B$10:$B$161=$B88)*('3. Enter Indicator Scores'!$C$10:$C$161=$C88),0),
  _xlpm.c, MATCH(AM$8,'3. Enter Indicator Scores'!$D$8:$CZ$8,0),
  _xlpm.v, IFERROR(INDEX('3. Enter Indicator Scores'!$D$10:$CZ$161,_xlpm.r,_xlpm.c),""),
  IF(OR(_xlpm.w="",_xlpm.v=""),"",_xlpm.v*_xlpm.w)
)</f>
        <v/>
      </c>
      <c r="AN88" s="93" t="str" cm="1">
        <f t="array" ref="AN88">_xlfn.LET(
  _xlpm.w, AN$11,
  _xlpm.r, MATCH(1,('3. Enter Indicator Scores'!$B$10:$B$161=$B88)*('3. Enter Indicator Scores'!$C$10:$C$161=$C88),0),
  _xlpm.c, MATCH(AN$8,'3. Enter Indicator Scores'!$D$8:$CZ$8,0),
  _xlpm.v, IFERROR(INDEX('3. Enter Indicator Scores'!$D$10:$CZ$161,_xlpm.r,_xlpm.c),""),
  IF(OR(_xlpm.w="",_xlpm.v=""),"",_xlpm.v*_xlpm.w)
)</f>
        <v/>
      </c>
      <c r="AO88" s="93" t="str" cm="1">
        <f t="array" ref="AO88">_xlfn.LET(
  _xlpm.w, AO$11,
  _xlpm.r, MATCH(1,('3. Enter Indicator Scores'!$B$10:$B$161=$B88)*('3. Enter Indicator Scores'!$C$10:$C$161=$C88),0),
  _xlpm.c, MATCH(AO$8,'3. Enter Indicator Scores'!$D$8:$CZ$8,0),
  _xlpm.v, IFERROR(INDEX('3. Enter Indicator Scores'!$D$10:$CZ$161,_xlpm.r,_xlpm.c),""),
  IF(OR(_xlpm.w="",_xlpm.v=""),"",_xlpm.v*_xlpm.w)
)</f>
        <v/>
      </c>
      <c r="AP88" s="93" t="str" cm="1">
        <f t="array" ref="AP88">_xlfn.LET(
  _xlpm.w, AP$11,
  _xlpm.r, MATCH(1,('3. Enter Indicator Scores'!$B$10:$B$161=$B88)*('3. Enter Indicator Scores'!$C$10:$C$161=$C88),0),
  _xlpm.c, MATCH(AP$8,'3. Enter Indicator Scores'!$D$8:$CZ$8,0),
  _xlpm.v, IFERROR(INDEX('3. Enter Indicator Scores'!$D$10:$CZ$161,_xlpm.r,_xlpm.c),""),
  IF(OR(_xlpm.w="",_xlpm.v=""),"",_xlpm.v*_xlpm.w)
)</f>
        <v/>
      </c>
      <c r="AQ88" s="93" t="str" cm="1">
        <f t="array" ref="AQ88">_xlfn.LET(
  _xlpm.w, AQ$11,
  _xlpm.r, MATCH(1,('3. Enter Indicator Scores'!$B$10:$B$161=$B88)*('3. Enter Indicator Scores'!$C$10:$C$161=$C88),0),
  _xlpm.c, MATCH(AQ$8,'3. Enter Indicator Scores'!$D$8:$CZ$8,0),
  _xlpm.v, IFERROR(INDEX('3. Enter Indicator Scores'!$D$10:$CZ$161,_xlpm.r,_xlpm.c),""),
  IF(OR(_xlpm.w="",_xlpm.v=""),"",_xlpm.v*_xlpm.w)
)</f>
        <v/>
      </c>
      <c r="AR88" s="93" t="str" cm="1">
        <f t="array" ref="AR88">_xlfn.LET(
  _xlpm.w, AR$11,
  _xlpm.r, MATCH(1,('3. Enter Indicator Scores'!$B$10:$B$161=$B88)*('3. Enter Indicator Scores'!$C$10:$C$161=$C88),0),
  _xlpm.c, MATCH(AR$8,'3. Enter Indicator Scores'!$D$8:$CZ$8,0),
  _xlpm.v, IFERROR(INDEX('3. Enter Indicator Scores'!$D$10:$CZ$161,_xlpm.r,_xlpm.c),""),
  IF(OR(_xlpm.w="",_xlpm.v=""),"",_xlpm.v*_xlpm.w)
)</f>
        <v/>
      </c>
      <c r="AS88" s="93" t="str" cm="1">
        <f t="array" ref="AS88">_xlfn.LET(
  _xlpm.w, AS$11,
  _xlpm.r, MATCH(1,('3. Enter Indicator Scores'!$B$10:$B$161=$B88)*('3. Enter Indicator Scores'!$C$10:$C$161=$C88),0),
  _xlpm.c, MATCH(AS$8,'3. Enter Indicator Scores'!$D$8:$CZ$8,0),
  _xlpm.v, IFERROR(INDEX('3. Enter Indicator Scores'!$D$10:$CZ$161,_xlpm.r,_xlpm.c),""),
  IF(OR(_xlpm.w="",_xlpm.v=""),"",_xlpm.v*_xlpm.w)
)</f>
        <v/>
      </c>
      <c r="AT88" s="93" t="str" cm="1">
        <f t="array" ref="AT88">_xlfn.LET(
  _xlpm.w, AT$11,
  _xlpm.r, MATCH(1,('3. Enter Indicator Scores'!$B$10:$B$161=$B88)*('3. Enter Indicator Scores'!$C$10:$C$161=$C88),0),
  _xlpm.c, MATCH(AT$8,'3. Enter Indicator Scores'!$D$8:$CZ$8,0),
  _xlpm.v, IFERROR(INDEX('3. Enter Indicator Scores'!$D$10:$CZ$161,_xlpm.r,_xlpm.c),""),
  IF(OR(_xlpm.w="",_xlpm.v=""),"",_xlpm.v*_xlpm.w)
)</f>
        <v/>
      </c>
      <c r="AU88" s="93" t="str" cm="1">
        <f t="array" ref="AU88">_xlfn.LET(
  _xlpm.w, AU$11,
  _xlpm.r, MATCH(1,('3. Enter Indicator Scores'!$B$10:$B$161=$B88)*('3. Enter Indicator Scores'!$C$10:$C$161=$C88),0),
  _xlpm.c, MATCH(AU$8,'3. Enter Indicator Scores'!$D$8:$CZ$8,0),
  _xlpm.v, IFERROR(INDEX('3. Enter Indicator Scores'!$D$10:$CZ$161,_xlpm.r,_xlpm.c),""),
  IF(OR(_xlpm.w="",_xlpm.v=""),"",_xlpm.v*_xlpm.w)
)</f>
        <v/>
      </c>
      <c r="AV88" s="93" t="str" cm="1">
        <f t="array" ref="AV88">_xlfn.LET(
  _xlpm.w, AV$11,
  _xlpm.r, MATCH(1,('3. Enter Indicator Scores'!$B$10:$B$161=$B88)*('3. Enter Indicator Scores'!$C$10:$C$161=$C88),0),
  _xlpm.c, MATCH(AV$8,'3. Enter Indicator Scores'!$D$8:$CZ$8,0),
  _xlpm.v, IFERROR(INDEX('3. Enter Indicator Scores'!$D$10:$CZ$161,_xlpm.r,_xlpm.c),""),
  IF(OR(_xlpm.w="",_xlpm.v=""),"",_xlpm.v*_xlpm.w)
)</f>
        <v/>
      </c>
      <c r="AW88" s="93" t="str" cm="1">
        <f t="array" ref="AW88">_xlfn.LET(
  _xlpm.w, AW$11,
  _xlpm.r, MATCH(1,('3. Enter Indicator Scores'!$B$10:$B$161=$B88)*('3. Enter Indicator Scores'!$C$10:$C$161=$C88),0),
  _xlpm.c, MATCH(AW$8,'3. Enter Indicator Scores'!$D$8:$CZ$8,0),
  _xlpm.v, IFERROR(INDEX('3. Enter Indicator Scores'!$D$10:$CZ$161,_xlpm.r,_xlpm.c),""),
  IF(OR(_xlpm.w="",_xlpm.v=""),"",_xlpm.v*_xlpm.w)
)</f>
        <v/>
      </c>
      <c r="AX88" s="93" t="str" cm="1">
        <f t="array" ref="AX88">_xlfn.LET(
  _xlpm.w, AX$11,
  _xlpm.r, MATCH(1,('3. Enter Indicator Scores'!$B$10:$B$161=$B88)*('3. Enter Indicator Scores'!$C$10:$C$161=$C88),0),
  _xlpm.c, MATCH(AX$8,'3. Enter Indicator Scores'!$D$8:$CZ$8,0),
  _xlpm.v, IFERROR(INDEX('3. Enter Indicator Scores'!$D$10:$CZ$161,_xlpm.r,_xlpm.c),""),
  IF(OR(_xlpm.w="",_xlpm.v=""),"",_xlpm.v*_xlpm.w)
)</f>
        <v/>
      </c>
      <c r="AY88" s="93" t="str" cm="1">
        <f t="array" ref="AY88">_xlfn.LET(
  _xlpm.w, AY$11,
  _xlpm.r, MATCH(1,('3. Enter Indicator Scores'!$B$10:$B$161=$B88)*('3. Enter Indicator Scores'!$C$10:$C$161=$C88),0),
  _xlpm.c, MATCH(AY$8,'3. Enter Indicator Scores'!$D$8:$CZ$8,0),
  _xlpm.v, IFERROR(INDEX('3. Enter Indicator Scores'!$D$10:$CZ$161,_xlpm.r,_xlpm.c),""),
  IF(OR(_xlpm.w="",_xlpm.v=""),"",_xlpm.v*_xlpm.w)
)</f>
        <v/>
      </c>
      <c r="AZ88" s="93" t="str" cm="1">
        <f t="array" ref="AZ88">_xlfn.LET(
  _xlpm.w, AZ$11,
  _xlpm.r, MATCH(1,('3. Enter Indicator Scores'!$B$10:$B$161=$B88)*('3. Enter Indicator Scores'!$C$10:$C$161=$C88),0),
  _xlpm.c, MATCH(AZ$8,'3. Enter Indicator Scores'!$D$8:$CZ$8,0),
  _xlpm.v, IFERROR(INDEX('3. Enter Indicator Scores'!$D$10:$CZ$161,_xlpm.r,_xlpm.c),""),
  IF(OR(_xlpm.w="",_xlpm.v=""),"",_xlpm.v*_xlpm.w)
)</f>
        <v/>
      </c>
      <c r="BA88" s="93" t="str" cm="1">
        <f t="array" ref="BA88">_xlfn.LET(
  _xlpm.w, BA$11,
  _xlpm.r, MATCH(1,('3. Enter Indicator Scores'!$B$10:$B$161=$B88)*('3. Enter Indicator Scores'!$C$10:$C$161=$C88),0),
  _xlpm.c, MATCH(BA$8,'3. Enter Indicator Scores'!$D$8:$CZ$8,0),
  _xlpm.v, IFERROR(INDEX('3. Enter Indicator Scores'!$D$10:$CZ$161,_xlpm.r,_xlpm.c),""),
  IF(OR(_xlpm.w="",_xlpm.v=""),"",_xlpm.v*_xlpm.w)
)</f>
        <v/>
      </c>
      <c r="BB88" s="93" t="str" cm="1">
        <f t="array" ref="BB88">_xlfn.LET(
  _xlpm.w, BB$11,
  _xlpm.r, MATCH(1,('3. Enter Indicator Scores'!$B$10:$B$161=$B88)*('3. Enter Indicator Scores'!$C$10:$C$161=$C88),0),
  _xlpm.c, MATCH(BB$8,'3. Enter Indicator Scores'!$D$8:$CZ$8,0),
  _xlpm.v, IFERROR(INDEX('3. Enter Indicator Scores'!$D$10:$CZ$161,_xlpm.r,_xlpm.c),""),
  IF(OR(_xlpm.w="",_xlpm.v=""),"",_xlpm.v*_xlpm.w)
)</f>
        <v/>
      </c>
      <c r="BC88" s="93" t="str" cm="1">
        <f t="array" ref="BC88">_xlfn.LET(
  _xlpm.w, BC$11,
  _xlpm.r, MATCH(1,('3. Enter Indicator Scores'!$B$10:$B$161=$B88)*('3. Enter Indicator Scores'!$C$10:$C$161=$C88),0),
  _xlpm.c, MATCH(BC$8,'3. Enter Indicator Scores'!$D$8:$CZ$8,0),
  _xlpm.v, IFERROR(INDEX('3. Enter Indicator Scores'!$D$10:$CZ$161,_xlpm.r,_xlpm.c),""),
  IF(OR(_xlpm.w="",_xlpm.v=""),"",_xlpm.v*_xlpm.w)
)</f>
        <v/>
      </c>
      <c r="BD88" s="93" t="str" cm="1">
        <f t="array" ref="BD88">_xlfn.LET(
  _xlpm.w, BD$11,
  _xlpm.r, MATCH(1,('3. Enter Indicator Scores'!$B$10:$B$161=$B88)*('3. Enter Indicator Scores'!$C$10:$C$161=$C88),0),
  _xlpm.c, MATCH(BD$8,'3. Enter Indicator Scores'!$D$8:$CZ$8,0),
  _xlpm.v, IFERROR(INDEX('3. Enter Indicator Scores'!$D$10:$CZ$161,_xlpm.r,_xlpm.c),""),
  IF(OR(_xlpm.w="",_xlpm.v=""),"",_xlpm.v*_xlpm.w)
)</f>
        <v/>
      </c>
      <c r="BE88" s="93" t="str" cm="1">
        <f t="array" ref="BE88">_xlfn.LET(
  _xlpm.w, BE$11,
  _xlpm.r, MATCH(1,('3. Enter Indicator Scores'!$B$10:$B$161=$B88)*('3. Enter Indicator Scores'!$C$10:$C$161=$C88),0),
  _xlpm.c, MATCH(BE$8,'3. Enter Indicator Scores'!$D$8:$CZ$8,0),
  _xlpm.v, IFERROR(INDEX('3. Enter Indicator Scores'!$D$10:$CZ$161,_xlpm.r,_xlpm.c),""),
  IF(OR(_xlpm.w="",_xlpm.v=""),"",_xlpm.v*_xlpm.w)
)</f>
        <v/>
      </c>
      <c r="BF88" s="93" t="str" cm="1">
        <f t="array" ref="BF88">_xlfn.LET(
  _xlpm.w, BF$11,
  _xlpm.r, MATCH(1,('3. Enter Indicator Scores'!$B$10:$B$161=$B88)*('3. Enter Indicator Scores'!$C$10:$C$161=$C88),0),
  _xlpm.c, MATCH(BF$8,'3. Enter Indicator Scores'!$D$8:$CZ$8,0),
  _xlpm.v, IFERROR(INDEX('3. Enter Indicator Scores'!$D$10:$CZ$161,_xlpm.r,_xlpm.c),""),
  IF(OR(_xlpm.w="",_xlpm.v=""),"",_xlpm.v*_xlpm.w)
)</f>
        <v/>
      </c>
      <c r="BG88" s="93" t="str" cm="1">
        <f t="array" ref="BG88">_xlfn.LET(
  _xlpm.w, BG$11,
  _xlpm.r, MATCH(1,('3. Enter Indicator Scores'!$B$10:$B$161=$B88)*('3. Enter Indicator Scores'!$C$10:$C$161=$C88),0),
  _xlpm.c, MATCH(BG$8,'3. Enter Indicator Scores'!$D$8:$CZ$8,0),
  _xlpm.v, IFERROR(INDEX('3. Enter Indicator Scores'!$D$10:$CZ$161,_xlpm.r,_xlpm.c),""),
  IF(OR(_xlpm.w="",_xlpm.v=""),"",_xlpm.v*_xlpm.w)
)</f>
        <v/>
      </c>
      <c r="BH88" s="93" t="str" cm="1">
        <f t="array" ref="BH88">_xlfn.LET(
  _xlpm.w, BH$11,
  _xlpm.r, MATCH(1,('3. Enter Indicator Scores'!$B$10:$B$161=$B88)*('3. Enter Indicator Scores'!$C$10:$C$161=$C88),0),
  _xlpm.c, MATCH(BH$8,'3. Enter Indicator Scores'!$D$8:$CZ$8,0),
  _xlpm.v, IFERROR(INDEX('3. Enter Indicator Scores'!$D$10:$CZ$161,_xlpm.r,_xlpm.c),""),
  IF(OR(_xlpm.w="",_xlpm.v=""),"",_xlpm.v*_xlpm.w)
)</f>
        <v/>
      </c>
      <c r="BI88" s="93" t="str" cm="1">
        <f t="array" ref="BI88">_xlfn.LET(
  _xlpm.w, BI$11,
  _xlpm.r, MATCH(1,('3. Enter Indicator Scores'!$B$10:$B$161=$B88)*('3. Enter Indicator Scores'!$C$10:$C$161=$C88),0),
  _xlpm.c, MATCH(BI$8,'3. Enter Indicator Scores'!$D$8:$CZ$8,0),
  _xlpm.v, IFERROR(INDEX('3. Enter Indicator Scores'!$D$10:$CZ$161,_xlpm.r,_xlpm.c),""),
  IF(OR(_xlpm.w="",_xlpm.v=""),"",_xlpm.v*_xlpm.w)
)</f>
        <v/>
      </c>
      <c r="BJ88" s="93" t="str" cm="1">
        <f t="array" ref="BJ88">_xlfn.LET(
  _xlpm.w, BJ$11,
  _xlpm.r, MATCH(1,('3. Enter Indicator Scores'!$B$10:$B$161=$B88)*('3. Enter Indicator Scores'!$C$10:$C$161=$C88),0),
  _xlpm.c, MATCH(BJ$8,'3. Enter Indicator Scores'!$D$8:$CZ$8,0),
  _xlpm.v, IFERROR(INDEX('3. Enter Indicator Scores'!$D$10:$CZ$161,_xlpm.r,_xlpm.c),""),
  IF(OR(_xlpm.w="",_xlpm.v=""),"",_xlpm.v*_xlpm.w)
)</f>
        <v/>
      </c>
      <c r="BK88" s="93" t="str" cm="1">
        <f t="array" ref="BK88">_xlfn.LET(
  _xlpm.w, BK$11,
  _xlpm.r, MATCH(1,('3. Enter Indicator Scores'!$B$10:$B$161=$B88)*('3. Enter Indicator Scores'!$C$10:$C$161=$C88),0),
  _xlpm.c, MATCH(BK$8,'3. Enter Indicator Scores'!$D$8:$CZ$8,0),
  _xlpm.v, IFERROR(INDEX('3. Enter Indicator Scores'!$D$10:$CZ$161,_xlpm.r,_xlpm.c),""),
  IF(OR(_xlpm.w="",_xlpm.v=""),"",_xlpm.v*_xlpm.w)
)</f>
        <v/>
      </c>
      <c r="BL88" s="93" t="str" cm="1">
        <f t="array" ref="BL88">_xlfn.LET(
  _xlpm.w, BL$11,
  _xlpm.r, MATCH(1,('3. Enter Indicator Scores'!$B$10:$B$161=$B88)*('3. Enter Indicator Scores'!$C$10:$C$161=$C88),0),
  _xlpm.c, MATCH(BL$8,'3. Enter Indicator Scores'!$D$8:$CZ$8,0),
  _xlpm.v, IFERROR(INDEX('3. Enter Indicator Scores'!$D$10:$CZ$161,_xlpm.r,_xlpm.c),""),
  IF(OR(_xlpm.w="",_xlpm.v=""),"",_xlpm.v*_xlpm.w)
)</f>
        <v/>
      </c>
      <c r="BM88" s="93" t="str" cm="1">
        <f t="array" ref="BM88">_xlfn.LET(
  _xlpm.w, BM$11,
  _xlpm.r, MATCH(1,('3. Enter Indicator Scores'!$B$10:$B$161=$B88)*('3. Enter Indicator Scores'!$C$10:$C$161=$C88),0),
  _xlpm.c, MATCH(BM$8,'3. Enter Indicator Scores'!$D$8:$CZ$8,0),
  _xlpm.v, IFERROR(INDEX('3. Enter Indicator Scores'!$D$10:$CZ$161,_xlpm.r,_xlpm.c),""),
  IF(OR(_xlpm.w="",_xlpm.v=""),"",_xlpm.v*_xlpm.w)
)</f>
        <v/>
      </c>
      <c r="BN88" s="93" t="str" cm="1">
        <f t="array" ref="BN88">_xlfn.LET(
  _xlpm.w, BN$11,
  _xlpm.r, MATCH(1,('3. Enter Indicator Scores'!$B$10:$B$161=$B88)*('3. Enter Indicator Scores'!$C$10:$C$161=$C88),0),
  _xlpm.c, MATCH(BN$8,'3. Enter Indicator Scores'!$D$8:$CZ$8,0),
  _xlpm.v, IFERROR(INDEX('3. Enter Indicator Scores'!$D$10:$CZ$161,_xlpm.r,_xlpm.c),""),
  IF(OR(_xlpm.w="",_xlpm.v=""),"",_xlpm.v*_xlpm.w)
)</f>
        <v/>
      </c>
      <c r="BO88" s="93" t="str" cm="1">
        <f t="array" ref="BO88">_xlfn.LET(
  _xlpm.w, BO$11,
  _xlpm.r, MATCH(1,('3. Enter Indicator Scores'!$B$10:$B$161=$B88)*('3. Enter Indicator Scores'!$C$10:$C$161=$C88),0),
  _xlpm.c, MATCH(BO$8,'3. Enter Indicator Scores'!$D$8:$CZ$8,0),
  _xlpm.v, IFERROR(INDEX('3. Enter Indicator Scores'!$D$10:$CZ$161,_xlpm.r,_xlpm.c),""),
  IF(OR(_xlpm.w="",_xlpm.v=""),"",_xlpm.v*_xlpm.w)
)</f>
        <v/>
      </c>
      <c r="BP88" s="93" t="str" cm="1">
        <f t="array" ref="BP88">_xlfn.LET(
  _xlpm.w, BP$11,
  _xlpm.r, MATCH(1,('3. Enter Indicator Scores'!$B$10:$B$161=$B88)*('3. Enter Indicator Scores'!$C$10:$C$161=$C88),0),
  _xlpm.c, MATCH(BP$8,'3. Enter Indicator Scores'!$D$8:$CZ$8,0),
  _xlpm.v, IFERROR(INDEX('3. Enter Indicator Scores'!$D$10:$CZ$161,_xlpm.r,_xlpm.c),""),
  IF(OR(_xlpm.w="",_xlpm.v=""),"",_xlpm.v*_xlpm.w)
)</f>
        <v/>
      </c>
      <c r="BQ88" s="93" t="str" cm="1">
        <f t="array" ref="BQ88">_xlfn.LET(
  _xlpm.w, BQ$11,
  _xlpm.r, MATCH(1,('3. Enter Indicator Scores'!$B$10:$B$161=$B88)*('3. Enter Indicator Scores'!$C$10:$C$161=$C88),0),
  _xlpm.c, MATCH(BQ$8,'3. Enter Indicator Scores'!$D$8:$CZ$8,0),
  _xlpm.v, IFERROR(INDEX('3. Enter Indicator Scores'!$D$10:$CZ$161,_xlpm.r,_xlpm.c),""),
  IF(OR(_xlpm.w="",_xlpm.v=""),"",_xlpm.v*_xlpm.w)
)</f>
        <v/>
      </c>
      <c r="BR88" s="93" t="str" cm="1">
        <f t="array" ref="BR88">_xlfn.LET(
  _xlpm.w, BR$11,
  _xlpm.r, MATCH(1,('3. Enter Indicator Scores'!$B$10:$B$161=$B88)*('3. Enter Indicator Scores'!$C$10:$C$161=$C88),0),
  _xlpm.c, MATCH(BR$8,'3. Enter Indicator Scores'!$D$8:$CZ$8,0),
  _xlpm.v, IFERROR(INDEX('3. Enter Indicator Scores'!$D$10:$CZ$161,_xlpm.r,_xlpm.c),""),
  IF(OR(_xlpm.w="",_xlpm.v=""),"",_xlpm.v*_xlpm.w)
)</f>
        <v/>
      </c>
      <c r="BS88" s="93" t="str" cm="1">
        <f t="array" ref="BS88">_xlfn.LET(
  _xlpm.w, BS$11,
  _xlpm.r, MATCH(1,('3. Enter Indicator Scores'!$B$10:$B$161=$B88)*('3. Enter Indicator Scores'!$C$10:$C$161=$C88),0),
  _xlpm.c, MATCH(BS$8,'3. Enter Indicator Scores'!$D$8:$CZ$8,0),
  _xlpm.v, IFERROR(INDEX('3. Enter Indicator Scores'!$D$10:$CZ$161,_xlpm.r,_xlpm.c),""),
  IF(OR(_xlpm.w="",_xlpm.v=""),"",_xlpm.v*_xlpm.w)
)</f>
        <v/>
      </c>
      <c r="BT88" s="93" t="str" cm="1">
        <f t="array" ref="BT88">_xlfn.LET(
  _xlpm.w, BT$11,
  _xlpm.r, MATCH(1,('3. Enter Indicator Scores'!$B$10:$B$161=$B88)*('3. Enter Indicator Scores'!$C$10:$C$161=$C88),0),
  _xlpm.c, MATCH(BT$8,'3. Enter Indicator Scores'!$D$8:$CZ$8,0),
  _xlpm.v, IFERROR(INDEX('3. Enter Indicator Scores'!$D$10:$CZ$161,_xlpm.r,_xlpm.c),""),
  IF(OR(_xlpm.w="",_xlpm.v=""),"",_xlpm.v*_xlpm.w)
)</f>
        <v/>
      </c>
      <c r="BU88" s="93" t="str" cm="1">
        <f t="array" ref="BU88">_xlfn.LET(
  _xlpm.w, BU$11,
  _xlpm.r, MATCH(1,('3. Enter Indicator Scores'!$B$10:$B$161=$B88)*('3. Enter Indicator Scores'!$C$10:$C$161=$C88),0),
  _xlpm.c, MATCH(BU$8,'3. Enter Indicator Scores'!$D$8:$CZ$8,0),
  _xlpm.v, IFERROR(INDEX('3. Enter Indicator Scores'!$D$10:$CZ$161,_xlpm.r,_xlpm.c),""),
  IF(OR(_xlpm.w="",_xlpm.v=""),"",_xlpm.v*_xlpm.w)
)</f>
        <v/>
      </c>
      <c r="BV88" s="93" t="str" cm="1">
        <f t="array" ref="BV88">_xlfn.LET(
  _xlpm.w, BV$11,
  _xlpm.r, MATCH(1,('3. Enter Indicator Scores'!$B$10:$B$161=$B88)*('3. Enter Indicator Scores'!$C$10:$C$161=$C88),0),
  _xlpm.c, MATCH(BV$8,'3. Enter Indicator Scores'!$D$8:$CZ$8,0),
  _xlpm.v, IFERROR(INDEX('3. Enter Indicator Scores'!$D$10:$CZ$161,_xlpm.r,_xlpm.c),""),
  IF(OR(_xlpm.w="",_xlpm.v=""),"",_xlpm.v*_xlpm.w)
)</f>
        <v/>
      </c>
      <c r="BW88" s="93" t="str" cm="1">
        <f t="array" ref="BW88">_xlfn.LET(
  _xlpm.w, BW$11,
  _xlpm.r, MATCH(1,('3. Enter Indicator Scores'!$B$10:$B$161=$B88)*('3. Enter Indicator Scores'!$C$10:$C$161=$C88),0),
  _xlpm.c, MATCH(BW$8,'3. Enter Indicator Scores'!$D$8:$CZ$8,0),
  _xlpm.v, IFERROR(INDEX('3. Enter Indicator Scores'!$D$10:$CZ$161,_xlpm.r,_xlpm.c),""),
  IF(OR(_xlpm.w="",_xlpm.v=""),"",_xlpm.v*_xlpm.w)
)</f>
        <v/>
      </c>
      <c r="BX88" s="93" t="str" cm="1">
        <f t="array" ref="BX88">_xlfn.LET(
  _xlpm.w, BX$11,
  _xlpm.r, MATCH(1,('3. Enter Indicator Scores'!$B$10:$B$161=$B88)*('3. Enter Indicator Scores'!$C$10:$C$161=$C88),0),
  _xlpm.c, MATCH(BX$8,'3. Enter Indicator Scores'!$D$8:$CZ$8,0),
  _xlpm.v, IFERROR(INDEX('3. Enter Indicator Scores'!$D$10:$CZ$161,_xlpm.r,_xlpm.c),""),
  IF(OR(_xlpm.w="",_xlpm.v=""),"",_xlpm.v*_xlpm.w)
)</f>
        <v/>
      </c>
      <c r="BY88" s="93" t="str" cm="1">
        <f t="array" ref="BY88">_xlfn.LET(
  _xlpm.w, BY$11,
  _xlpm.r, MATCH(1,('3. Enter Indicator Scores'!$B$10:$B$161=$B88)*('3. Enter Indicator Scores'!$C$10:$C$161=$C88),0),
  _xlpm.c, MATCH(BY$8,'3. Enter Indicator Scores'!$D$8:$CZ$8,0),
  _xlpm.v, IFERROR(INDEX('3. Enter Indicator Scores'!$D$10:$CZ$161,_xlpm.r,_xlpm.c),""),
  IF(OR(_xlpm.w="",_xlpm.v=""),"",_xlpm.v*_xlpm.w)
)</f>
        <v/>
      </c>
      <c r="BZ88" s="93" t="str" cm="1">
        <f t="array" ref="BZ88">_xlfn.LET(
  _xlpm.w, BZ$11,
  _xlpm.r, MATCH(1,('3. Enter Indicator Scores'!$B$10:$B$161=$B88)*('3. Enter Indicator Scores'!$C$10:$C$161=$C88),0),
  _xlpm.c, MATCH(BZ$8,'3. Enter Indicator Scores'!$D$8:$CZ$8,0),
  _xlpm.v, IFERROR(INDEX('3. Enter Indicator Scores'!$D$10:$CZ$161,_xlpm.r,_xlpm.c),""),
  IF(OR(_xlpm.w="",_xlpm.v=""),"",_xlpm.v*_xlpm.w)
)</f>
        <v/>
      </c>
      <c r="CA88" s="93" t="str" cm="1">
        <f t="array" ref="CA88">_xlfn.LET(
  _xlpm.w, CA$11,
  _xlpm.r, MATCH(1,('3. Enter Indicator Scores'!$B$10:$B$161=$B88)*('3. Enter Indicator Scores'!$C$10:$C$161=$C88),0),
  _xlpm.c, MATCH(CA$8,'3. Enter Indicator Scores'!$D$8:$CZ$8,0),
  _xlpm.v, IFERROR(INDEX('3. Enter Indicator Scores'!$D$10:$CZ$161,_xlpm.r,_xlpm.c),""),
  IF(OR(_xlpm.w="",_xlpm.v=""),"",_xlpm.v*_xlpm.w)
)</f>
        <v/>
      </c>
      <c r="CB88" s="93" t="str" cm="1">
        <f t="array" ref="CB88">_xlfn.LET(
  _xlpm.w, CB$11,
  _xlpm.r, MATCH(1,('3. Enter Indicator Scores'!$B$10:$B$161=$B88)*('3. Enter Indicator Scores'!$C$10:$C$161=$C88),0),
  _xlpm.c, MATCH(CB$8,'3. Enter Indicator Scores'!$D$8:$CZ$8,0),
  _xlpm.v, IFERROR(INDEX('3. Enter Indicator Scores'!$D$10:$CZ$161,_xlpm.r,_xlpm.c),""),
  IF(OR(_xlpm.w="",_xlpm.v=""),"",_xlpm.v*_xlpm.w)
)</f>
        <v/>
      </c>
      <c r="CC88" s="93" t="str" cm="1">
        <f t="array" ref="CC88">_xlfn.LET(
  _xlpm.w, CC$11,
  _xlpm.r, MATCH(1,('3. Enter Indicator Scores'!$B$10:$B$161=$B88)*('3. Enter Indicator Scores'!$C$10:$C$161=$C88),0),
  _xlpm.c, MATCH(CC$8,'3. Enter Indicator Scores'!$D$8:$CZ$8,0),
  _xlpm.v, IFERROR(INDEX('3. Enter Indicator Scores'!$D$10:$CZ$161,_xlpm.r,_xlpm.c),""),
  IF(OR(_xlpm.w="",_xlpm.v=""),"",_xlpm.v*_xlpm.w)
)</f>
        <v/>
      </c>
      <c r="CD88" s="93" t="str" cm="1">
        <f t="array" ref="CD88">_xlfn.LET(
  _xlpm.w, CD$11,
  _xlpm.r, MATCH(1,('3. Enter Indicator Scores'!$B$10:$B$161=$B88)*('3. Enter Indicator Scores'!$C$10:$C$161=$C88),0),
  _xlpm.c, MATCH(CD$8,'3. Enter Indicator Scores'!$D$8:$CZ$8,0),
  _xlpm.v, IFERROR(INDEX('3. Enter Indicator Scores'!$D$10:$CZ$161,_xlpm.r,_xlpm.c),""),
  IF(OR(_xlpm.w="",_xlpm.v=""),"",_xlpm.v*_xlpm.w)
)</f>
        <v/>
      </c>
      <c r="CE88" s="93" t="str" cm="1">
        <f t="array" ref="CE88">_xlfn.LET(
  _xlpm.w, CE$11,
  _xlpm.r, MATCH(1,('3. Enter Indicator Scores'!$B$10:$B$161=$B88)*('3. Enter Indicator Scores'!$C$10:$C$161=$C88),0),
  _xlpm.c, MATCH(CE$8,'3. Enter Indicator Scores'!$D$8:$CZ$8,0),
  _xlpm.v, IFERROR(INDEX('3. Enter Indicator Scores'!$D$10:$CZ$161,_xlpm.r,_xlpm.c),""),
  IF(OR(_xlpm.w="",_xlpm.v=""),"",_xlpm.v*_xlpm.w)
)</f>
        <v/>
      </c>
      <c r="CF88" s="93" t="str" cm="1">
        <f t="array" ref="CF88">_xlfn.LET(
  _xlpm.w, CF$11,
  _xlpm.r, MATCH(1,('3. Enter Indicator Scores'!$B$10:$B$161=$B88)*('3. Enter Indicator Scores'!$C$10:$C$161=$C88),0),
  _xlpm.c, MATCH(CF$8,'3. Enter Indicator Scores'!$D$8:$CZ$8,0),
  _xlpm.v, IFERROR(INDEX('3. Enter Indicator Scores'!$D$10:$CZ$161,_xlpm.r,_xlpm.c),""),
  IF(OR(_xlpm.w="",_xlpm.v=""),"",_xlpm.v*_xlpm.w)
)</f>
        <v/>
      </c>
      <c r="CG88" s="93" t="str" cm="1">
        <f t="array" ref="CG88">_xlfn.LET(
  _xlpm.w, CG$11,
  _xlpm.r, MATCH(1,('3. Enter Indicator Scores'!$B$10:$B$161=$B88)*('3. Enter Indicator Scores'!$C$10:$C$161=$C88),0),
  _xlpm.c, MATCH(CG$8,'3. Enter Indicator Scores'!$D$8:$CZ$8,0),
  _xlpm.v, IFERROR(INDEX('3. Enter Indicator Scores'!$D$10:$CZ$161,_xlpm.r,_xlpm.c),""),
  IF(OR(_xlpm.w="",_xlpm.v=""),"",_xlpm.v*_xlpm.w)
)</f>
        <v/>
      </c>
      <c r="CH88" s="93" t="str" cm="1">
        <f t="array" ref="CH88">_xlfn.LET(
  _xlpm.w, CH$11,
  _xlpm.r, MATCH(1,('3. Enter Indicator Scores'!$B$10:$B$161=$B88)*('3. Enter Indicator Scores'!$C$10:$C$161=$C88),0),
  _xlpm.c, MATCH(CH$8,'3. Enter Indicator Scores'!$D$8:$CZ$8,0),
  _xlpm.v, IFERROR(INDEX('3. Enter Indicator Scores'!$D$10:$CZ$161,_xlpm.r,_xlpm.c),""),
  IF(OR(_xlpm.w="",_xlpm.v=""),"",_xlpm.v*_xlpm.w)
)</f>
        <v/>
      </c>
      <c r="CI88" s="93" t="str" cm="1">
        <f t="array" ref="CI88">_xlfn.LET(
  _xlpm.w, CI$11,
  _xlpm.r, MATCH(1,('3. Enter Indicator Scores'!$B$10:$B$161=$B88)*('3. Enter Indicator Scores'!$C$10:$C$161=$C88),0),
  _xlpm.c, MATCH(CI$8,'3. Enter Indicator Scores'!$D$8:$CZ$8,0),
  _xlpm.v, IFERROR(INDEX('3. Enter Indicator Scores'!$D$10:$CZ$161,_xlpm.r,_xlpm.c),""),
  IF(OR(_xlpm.w="",_xlpm.v=""),"",_xlpm.v*_xlpm.w)
)</f>
        <v/>
      </c>
      <c r="CJ88" s="93" t="str" cm="1">
        <f t="array" ref="CJ88">_xlfn.LET(
  _xlpm.w, CJ$11,
  _xlpm.r, MATCH(1,('3. Enter Indicator Scores'!$B$10:$B$161=$B88)*('3. Enter Indicator Scores'!$C$10:$C$161=$C88),0),
  _xlpm.c, MATCH(CJ$8,'3. Enter Indicator Scores'!$D$8:$CZ$8,0),
  _xlpm.v, IFERROR(INDEX('3. Enter Indicator Scores'!$D$10:$CZ$161,_xlpm.r,_xlpm.c),""),
  IF(OR(_xlpm.w="",_xlpm.v=""),"",_xlpm.v*_xlpm.w)
)</f>
        <v/>
      </c>
      <c r="CK88" s="93" t="str" cm="1">
        <f t="array" ref="CK88">_xlfn.LET(
  _xlpm.w, CK$11,
  _xlpm.r, MATCH(1,('3. Enter Indicator Scores'!$B$10:$B$161=$B88)*('3. Enter Indicator Scores'!$C$10:$C$161=$C88),0),
  _xlpm.c, MATCH(CK$8,'3. Enter Indicator Scores'!$D$8:$CZ$8,0),
  _xlpm.v, IFERROR(INDEX('3. Enter Indicator Scores'!$D$10:$CZ$161,_xlpm.r,_xlpm.c),""),
  IF(OR(_xlpm.w="",_xlpm.v=""),"",_xlpm.v*_xlpm.w)
)</f>
        <v/>
      </c>
      <c r="CL88" s="93" t="str" cm="1">
        <f t="array" ref="CL88">_xlfn.LET(
  _xlpm.w, CL$11,
  _xlpm.r, MATCH(1,('3. Enter Indicator Scores'!$B$10:$B$161=$B88)*('3. Enter Indicator Scores'!$C$10:$C$161=$C88),0),
  _xlpm.c, MATCH(CL$8,'3. Enter Indicator Scores'!$D$8:$CZ$8,0),
  _xlpm.v, IFERROR(INDEX('3. Enter Indicator Scores'!$D$10:$CZ$161,_xlpm.r,_xlpm.c),""),
  IF(OR(_xlpm.w="",_xlpm.v=""),"",_xlpm.v*_xlpm.w)
)</f>
        <v/>
      </c>
      <c r="CM88" s="93" t="str" cm="1">
        <f t="array" ref="CM88">_xlfn.LET(
  _xlpm.w, CM$11,
  _xlpm.r, MATCH(1,('3. Enter Indicator Scores'!$B$10:$B$161=$B88)*('3. Enter Indicator Scores'!$C$10:$C$161=$C88),0),
  _xlpm.c, MATCH(CM$8,'3. Enter Indicator Scores'!$D$8:$CZ$8,0),
  _xlpm.v, IFERROR(INDEX('3. Enter Indicator Scores'!$D$10:$CZ$161,_xlpm.r,_xlpm.c),""),
  IF(OR(_xlpm.w="",_xlpm.v=""),"",_xlpm.v*_xlpm.w)
)</f>
        <v/>
      </c>
      <c r="CN88" s="93" t="str" cm="1">
        <f t="array" ref="CN88">_xlfn.LET(
  _xlpm.w, CN$11,
  _xlpm.r, MATCH(1,('3. Enter Indicator Scores'!$B$10:$B$161=$B88)*('3. Enter Indicator Scores'!$C$10:$C$161=$C88),0),
  _xlpm.c, MATCH(CN$8,'3. Enter Indicator Scores'!$D$8:$CZ$8,0),
  _xlpm.v, IFERROR(INDEX('3. Enter Indicator Scores'!$D$10:$CZ$161,_xlpm.r,_xlpm.c),""),
  IF(OR(_xlpm.w="",_xlpm.v=""),"",_xlpm.v*_xlpm.w)
)</f>
        <v/>
      </c>
      <c r="CO88" s="93" t="str" cm="1">
        <f t="array" ref="CO88">_xlfn.LET(
  _xlpm.w, CO$11,
  _xlpm.r, MATCH(1,('3. Enter Indicator Scores'!$B$10:$B$161=$B88)*('3. Enter Indicator Scores'!$C$10:$C$161=$C88),0),
  _xlpm.c, MATCH(CO$8,'3. Enter Indicator Scores'!$D$8:$CZ$8,0),
  _xlpm.v, IFERROR(INDEX('3. Enter Indicator Scores'!$D$10:$CZ$161,_xlpm.r,_xlpm.c),""),
  IF(OR(_xlpm.w="",_xlpm.v=""),"",_xlpm.v*_xlpm.w)
)</f>
        <v/>
      </c>
      <c r="CP88" s="93" t="str" cm="1">
        <f t="array" ref="CP88">_xlfn.LET(
  _xlpm.w, CP$11,
  _xlpm.r, MATCH(1,('3. Enter Indicator Scores'!$B$10:$B$161=$B88)*('3. Enter Indicator Scores'!$C$10:$C$161=$C88),0),
  _xlpm.c, MATCH(CP$8,'3. Enter Indicator Scores'!$D$8:$CZ$8,0),
  _xlpm.v, IFERROR(INDEX('3. Enter Indicator Scores'!$D$10:$CZ$161,_xlpm.r,_xlpm.c),""),
  IF(OR(_xlpm.w="",_xlpm.v=""),"",_xlpm.v*_xlpm.w)
)</f>
        <v/>
      </c>
      <c r="CQ88" s="93" t="str" cm="1">
        <f t="array" ref="CQ88">_xlfn.LET(
  _xlpm.w, CQ$11,
  _xlpm.r, MATCH(1,('3. Enter Indicator Scores'!$B$10:$B$161=$B88)*('3. Enter Indicator Scores'!$C$10:$C$161=$C88),0),
  _xlpm.c, MATCH(CQ$8,'3. Enter Indicator Scores'!$D$8:$CZ$8,0),
  _xlpm.v, IFERROR(INDEX('3. Enter Indicator Scores'!$D$10:$CZ$161,_xlpm.r,_xlpm.c),""),
  IF(OR(_xlpm.w="",_xlpm.v=""),"",_xlpm.v*_xlpm.w)
)</f>
        <v/>
      </c>
      <c r="CR88" s="93" t="str" cm="1">
        <f t="array" ref="CR88">_xlfn.LET(
  _xlpm.w, CR$11,
  _xlpm.r, MATCH(1,('3. Enter Indicator Scores'!$B$10:$B$161=$B88)*('3. Enter Indicator Scores'!$C$10:$C$161=$C88),0),
  _xlpm.c, MATCH(CR$8,'3. Enter Indicator Scores'!$D$8:$CZ$8,0),
  _xlpm.v, IFERROR(INDEX('3. Enter Indicator Scores'!$D$10:$CZ$161,_xlpm.r,_xlpm.c),""),
  IF(OR(_xlpm.w="",_xlpm.v=""),"",_xlpm.v*_xlpm.w)
)</f>
        <v/>
      </c>
      <c r="CS88" s="93" t="str" cm="1">
        <f t="array" ref="CS88">_xlfn.LET(
  _xlpm.w, CS$11,
  _xlpm.r, MATCH(1,('3. Enter Indicator Scores'!$B$10:$B$161=$B88)*('3. Enter Indicator Scores'!$C$10:$C$161=$C88),0),
  _xlpm.c, MATCH(CS$8,'3. Enter Indicator Scores'!$D$8:$CZ$8,0),
  _xlpm.v, IFERROR(INDEX('3. Enter Indicator Scores'!$D$10:$CZ$161,_xlpm.r,_xlpm.c),""),
  IF(OR(_xlpm.w="",_xlpm.v=""),"",_xlpm.v*_xlpm.w)
)</f>
        <v/>
      </c>
      <c r="CT88" s="93" t="str" cm="1">
        <f t="array" ref="CT88">_xlfn.LET(
  _xlpm.w, CT$11,
  _xlpm.r, MATCH(1,('3. Enter Indicator Scores'!$B$10:$B$161=$B88)*('3. Enter Indicator Scores'!$C$10:$C$161=$C88),0),
  _xlpm.c, MATCH(CT$8,'3. Enter Indicator Scores'!$D$8:$CZ$8,0),
  _xlpm.v, IFERROR(INDEX('3. Enter Indicator Scores'!$D$10:$CZ$161,_xlpm.r,_xlpm.c),""),
  IF(OR(_xlpm.w="",_xlpm.v=""),"",_xlpm.v*_xlpm.w)
)</f>
        <v/>
      </c>
      <c r="CU88" s="93" t="str" cm="1">
        <f t="array" ref="CU88">_xlfn.LET(
  _xlpm.w, CU$11,
  _xlpm.r, MATCH(1,('3. Enter Indicator Scores'!$B$10:$B$161=$B88)*('3. Enter Indicator Scores'!$C$10:$C$161=$C88),0),
  _xlpm.c, MATCH(CU$8,'3. Enter Indicator Scores'!$D$8:$CZ$8,0),
  _xlpm.v, IFERROR(INDEX('3. Enter Indicator Scores'!$D$10:$CZ$161,_xlpm.r,_xlpm.c),""),
  IF(OR(_xlpm.w="",_xlpm.v=""),"",_xlpm.v*_xlpm.w)
)</f>
        <v/>
      </c>
      <c r="CV88" s="93" t="str" cm="1">
        <f t="array" ref="CV88">_xlfn.LET(
  _xlpm.w, CV$11,
  _xlpm.r, MATCH(1,('3. Enter Indicator Scores'!$B$10:$B$161=$B88)*('3. Enter Indicator Scores'!$C$10:$C$161=$C88),0),
  _xlpm.c, MATCH(CV$8,'3. Enter Indicator Scores'!$D$8:$CZ$8,0),
  _xlpm.v, IFERROR(INDEX('3. Enter Indicator Scores'!$D$10:$CZ$161,_xlpm.r,_xlpm.c),""),
  IF(OR(_xlpm.w="",_xlpm.v=""),"",_xlpm.v*_xlpm.w)
)</f>
        <v/>
      </c>
      <c r="CW88" s="93" t="str" cm="1">
        <f t="array" ref="CW88">_xlfn.LET(
  _xlpm.w, CW$11,
  _xlpm.r, MATCH(1,('3. Enter Indicator Scores'!$B$10:$B$161=$B88)*('3. Enter Indicator Scores'!$C$10:$C$161=$C88),0),
  _xlpm.c, MATCH(CW$8,'3. Enter Indicator Scores'!$D$8:$CZ$8,0),
  _xlpm.v, IFERROR(INDEX('3. Enter Indicator Scores'!$D$10:$CZ$161,_xlpm.r,_xlpm.c),""),
  IF(OR(_xlpm.w="",_xlpm.v=""),"",_xlpm.v*_xlpm.w)
)</f>
        <v/>
      </c>
      <c r="CX88" s="93" t="str" cm="1">
        <f t="array" ref="CX88">_xlfn.LET(
  _xlpm.w, CX$11,
  _xlpm.r, MATCH(1,('3. Enter Indicator Scores'!$B$10:$B$161=$B88)*('3. Enter Indicator Scores'!$C$10:$C$161=$C88),0),
  _xlpm.c, MATCH(CX$8,'3. Enter Indicator Scores'!$D$8:$CZ$8,0),
  _xlpm.v, IFERROR(INDEX('3. Enter Indicator Scores'!$D$10:$CZ$161,_xlpm.r,_xlpm.c),""),
  IF(OR(_xlpm.w="",_xlpm.v=""),"",_xlpm.v*_xlpm.w)
)</f>
        <v/>
      </c>
      <c r="CY88" s="93" t="str" cm="1">
        <f t="array" ref="CY88">_xlfn.LET(
  _xlpm.w, CY$11,
  _xlpm.r, MATCH(1,('3. Enter Indicator Scores'!$B$10:$B$161=$B88)*('3. Enter Indicator Scores'!$C$10:$C$161=$C88),0),
  _xlpm.c, MATCH(CY$8,'3. Enter Indicator Scores'!$D$8:$CZ$8,0),
  _xlpm.v, IFERROR(INDEX('3. Enter Indicator Scores'!$D$10:$CZ$161,_xlpm.r,_xlpm.c),""),
  IF(OR(_xlpm.w="",_xlpm.v=""),"",_xlpm.v*_xlpm.w)
)</f>
        <v/>
      </c>
      <c r="CZ88" s="93" t="str" cm="1">
        <f t="array" ref="CZ88">_xlfn.LET(
  _xlpm.w, CZ$11,
  _xlpm.r, MATCH(1,('3. Enter Indicator Scores'!$B$10:$B$161=$B88)*('3. Enter Indicator Scores'!$C$10:$C$161=$C88),0),
  _xlpm.c, MATCH(CZ$8,'3. Enter Indicator Scores'!$D$8:$CZ$8,0),
  _xlpm.v, IFERROR(INDEX('3. Enter Indicator Scores'!$D$10:$CZ$161,_xlpm.r,_xlpm.c),""),
  IF(OR(_xlpm.w="",_xlpm.v=""),"",_xlpm.v*_xlpm.w)
)</f>
        <v/>
      </c>
    </row>
    <row r="89" spans="4:104" x14ac:dyDescent="0.2">
      <c r="D89" s="93" t="str" cm="1">
        <f t="array" ref="D89">_xlfn.LET(
  _xlpm.w, D$11,
  _xlpm.r, MATCH(1,('3. Enter Indicator Scores'!$B$10:$B$161=$B89)*('3. Enter Indicator Scores'!$C$10:$C$161=$C89),0),
  _xlpm.c, MATCH(D$8,'3. Enter Indicator Scores'!$D$8:$CZ$8,0),
  _xlpm.v, IFERROR(INDEX('3. Enter Indicator Scores'!$D$10:$CZ$161,_xlpm.r,_xlpm.c),""),
  IF(OR(_xlpm.w="",_xlpm.v=""),"",_xlpm.v*_xlpm.w)
)</f>
        <v/>
      </c>
      <c r="E89" s="93" t="str" cm="1">
        <f t="array" ref="E89">_xlfn.LET(
  _xlpm.w, E$11,
  _xlpm.r, MATCH(1,('3. Enter Indicator Scores'!$B$10:$B$161=$B89)*('3. Enter Indicator Scores'!$C$10:$C$161=$C89),0),
  _xlpm.c, MATCH(E$8,'3. Enter Indicator Scores'!$D$8:$CZ$8,0),
  _xlpm.v, IFERROR(INDEX('3. Enter Indicator Scores'!$D$10:$CZ$161,_xlpm.r,_xlpm.c),""),
  IF(OR(_xlpm.w="",_xlpm.v=""),"",_xlpm.v*_xlpm.w)
)</f>
        <v/>
      </c>
      <c r="F89" s="93" t="str" cm="1">
        <f t="array" ref="F89">_xlfn.LET(
  _xlpm.w, F$11,
  _xlpm.r, MATCH(1,('3. Enter Indicator Scores'!$B$10:$B$161=$B89)*('3. Enter Indicator Scores'!$C$10:$C$161=$C89),0),
  _xlpm.c, MATCH(F$8,'3. Enter Indicator Scores'!$D$8:$CZ$8,0),
  _xlpm.v, IFERROR(INDEX('3. Enter Indicator Scores'!$D$10:$CZ$161,_xlpm.r,_xlpm.c),""),
  IF(OR(_xlpm.w="",_xlpm.v=""),"",_xlpm.v*_xlpm.w)
)</f>
        <v/>
      </c>
      <c r="G89" s="93" t="str" cm="1">
        <f t="array" ref="G89">_xlfn.LET(
  _xlpm.w, G$11,
  _xlpm.r, MATCH(1,('3. Enter Indicator Scores'!$B$10:$B$161=$B89)*('3. Enter Indicator Scores'!$C$10:$C$161=$C89),0),
  _xlpm.c, MATCH(G$8,'3. Enter Indicator Scores'!$D$8:$CZ$8,0),
  _xlpm.v, IFERROR(INDEX('3. Enter Indicator Scores'!$D$10:$CZ$161,_xlpm.r,_xlpm.c),""),
  IF(OR(_xlpm.w="",_xlpm.v=""),"",_xlpm.v*_xlpm.w)
)</f>
        <v/>
      </c>
      <c r="H89" s="93" t="str" cm="1">
        <f t="array" ref="H89">_xlfn.LET(
  _xlpm.w, H$11,
  _xlpm.r, MATCH(1,('3. Enter Indicator Scores'!$B$10:$B$161=$B89)*('3. Enter Indicator Scores'!$C$10:$C$161=$C89),0),
  _xlpm.c, MATCH(H$8,'3. Enter Indicator Scores'!$D$8:$CZ$8,0),
  _xlpm.v, IFERROR(INDEX('3. Enter Indicator Scores'!$D$10:$CZ$161,_xlpm.r,_xlpm.c),""),
  IF(OR(_xlpm.w="",_xlpm.v=""),"",_xlpm.v*_xlpm.w)
)</f>
        <v/>
      </c>
      <c r="I89" s="93" t="str" cm="1">
        <f t="array" ref="I89">_xlfn.LET(
  _xlpm.w, I$11,
  _xlpm.r, MATCH(1,('3. Enter Indicator Scores'!$B$10:$B$161=$B89)*('3. Enter Indicator Scores'!$C$10:$C$161=$C89),0),
  _xlpm.c, MATCH(I$8,'3. Enter Indicator Scores'!$D$8:$CZ$8,0),
  _xlpm.v, IFERROR(INDEX('3. Enter Indicator Scores'!$D$10:$CZ$161,_xlpm.r,_xlpm.c),""),
  IF(OR(_xlpm.w="",_xlpm.v=""),"",_xlpm.v*_xlpm.w)
)</f>
        <v/>
      </c>
      <c r="J89" s="93" t="str" cm="1">
        <f t="array" ref="J89">_xlfn.LET(
  _xlpm.w, J$11,
  _xlpm.r, MATCH(1,('3. Enter Indicator Scores'!$B$10:$B$161=$B89)*('3. Enter Indicator Scores'!$C$10:$C$161=$C89),0),
  _xlpm.c, MATCH(J$8,'3. Enter Indicator Scores'!$D$8:$CZ$8,0),
  _xlpm.v, IFERROR(INDEX('3. Enter Indicator Scores'!$D$10:$CZ$161,_xlpm.r,_xlpm.c),""),
  IF(OR(_xlpm.w="",_xlpm.v=""),"",_xlpm.v*_xlpm.w)
)</f>
        <v/>
      </c>
      <c r="K89" s="93" t="str" cm="1">
        <f t="array" ref="K89">_xlfn.LET(
  _xlpm.w, K$11,
  _xlpm.r, MATCH(1,('3. Enter Indicator Scores'!$B$10:$B$161=$B89)*('3. Enter Indicator Scores'!$C$10:$C$161=$C89),0),
  _xlpm.c, MATCH(K$8,'3. Enter Indicator Scores'!$D$8:$CZ$8,0),
  _xlpm.v, IFERROR(INDEX('3. Enter Indicator Scores'!$D$10:$CZ$161,_xlpm.r,_xlpm.c),""),
  IF(OR(_xlpm.w="",_xlpm.v=""),"",_xlpm.v*_xlpm.w)
)</f>
        <v/>
      </c>
      <c r="L89" s="93" t="str" cm="1">
        <f t="array" ref="L89">_xlfn.LET(
  _xlpm.w, L$11,
  _xlpm.r, MATCH(1,('3. Enter Indicator Scores'!$B$10:$B$161=$B89)*('3. Enter Indicator Scores'!$C$10:$C$161=$C89),0),
  _xlpm.c, MATCH(L$8,'3. Enter Indicator Scores'!$D$8:$CZ$8,0),
  _xlpm.v, IFERROR(INDEX('3. Enter Indicator Scores'!$D$10:$CZ$161,_xlpm.r,_xlpm.c),""),
  IF(OR(_xlpm.w="",_xlpm.v=""),"",_xlpm.v*_xlpm.w)
)</f>
        <v/>
      </c>
      <c r="M89" s="93" t="str" cm="1">
        <f t="array" ref="M89">_xlfn.LET(
  _xlpm.w, M$11,
  _xlpm.r, MATCH(1,('3. Enter Indicator Scores'!$B$10:$B$161=$B89)*('3. Enter Indicator Scores'!$C$10:$C$161=$C89),0),
  _xlpm.c, MATCH(M$8,'3. Enter Indicator Scores'!$D$8:$CZ$8,0),
  _xlpm.v, IFERROR(INDEX('3. Enter Indicator Scores'!$D$10:$CZ$161,_xlpm.r,_xlpm.c),""),
  IF(OR(_xlpm.w="",_xlpm.v=""),"",_xlpm.v*_xlpm.w)
)</f>
        <v/>
      </c>
      <c r="N89" s="93" t="str" cm="1">
        <f t="array" ref="N89">_xlfn.LET(
  _xlpm.w, N$11,
  _xlpm.r, MATCH(1,('3. Enter Indicator Scores'!$B$10:$B$161=$B89)*('3. Enter Indicator Scores'!$C$10:$C$161=$C89),0),
  _xlpm.c, MATCH(N$8,'3. Enter Indicator Scores'!$D$8:$CZ$8,0),
  _xlpm.v, IFERROR(INDEX('3. Enter Indicator Scores'!$D$10:$CZ$161,_xlpm.r,_xlpm.c),""),
  IF(OR(_xlpm.w="",_xlpm.v=""),"",_xlpm.v*_xlpm.w)
)</f>
        <v/>
      </c>
      <c r="O89" s="93" t="str" cm="1">
        <f t="array" ref="O89">_xlfn.LET(
  _xlpm.w, O$11,
  _xlpm.r, MATCH(1,('3. Enter Indicator Scores'!$B$10:$B$161=$B89)*('3. Enter Indicator Scores'!$C$10:$C$161=$C89),0),
  _xlpm.c, MATCH(O$8,'3. Enter Indicator Scores'!$D$8:$CZ$8,0),
  _xlpm.v, IFERROR(INDEX('3. Enter Indicator Scores'!$D$10:$CZ$161,_xlpm.r,_xlpm.c),""),
  IF(OR(_xlpm.w="",_xlpm.v=""),"",_xlpm.v*_xlpm.w)
)</f>
        <v/>
      </c>
      <c r="P89" s="93" t="str" cm="1">
        <f t="array" ref="P89">_xlfn.LET(
  _xlpm.w, P$11,
  _xlpm.r, MATCH(1,('3. Enter Indicator Scores'!$B$10:$B$161=$B89)*('3. Enter Indicator Scores'!$C$10:$C$161=$C89),0),
  _xlpm.c, MATCH(P$8,'3. Enter Indicator Scores'!$D$8:$CZ$8,0),
  _xlpm.v, IFERROR(INDEX('3. Enter Indicator Scores'!$D$10:$CZ$161,_xlpm.r,_xlpm.c),""),
  IF(OR(_xlpm.w="",_xlpm.v=""),"",_xlpm.v*_xlpm.w)
)</f>
        <v/>
      </c>
      <c r="Q89" s="93" t="str" cm="1">
        <f t="array" ref="Q89">_xlfn.LET(
  _xlpm.w, Q$11,
  _xlpm.r, MATCH(1,('3. Enter Indicator Scores'!$B$10:$B$161=$B89)*('3. Enter Indicator Scores'!$C$10:$C$161=$C89),0),
  _xlpm.c, MATCH(Q$8,'3. Enter Indicator Scores'!$D$8:$CZ$8,0),
  _xlpm.v, IFERROR(INDEX('3. Enter Indicator Scores'!$D$10:$CZ$161,_xlpm.r,_xlpm.c),""),
  IF(OR(_xlpm.w="",_xlpm.v=""),"",_xlpm.v*_xlpm.w)
)</f>
        <v/>
      </c>
      <c r="R89" s="93" t="str" cm="1">
        <f t="array" ref="R89">_xlfn.LET(
  _xlpm.w, R$11,
  _xlpm.r, MATCH(1,('3. Enter Indicator Scores'!$B$10:$B$161=$B89)*('3. Enter Indicator Scores'!$C$10:$C$161=$C89),0),
  _xlpm.c, MATCH(R$8,'3. Enter Indicator Scores'!$D$8:$CZ$8,0),
  _xlpm.v, IFERROR(INDEX('3. Enter Indicator Scores'!$D$10:$CZ$161,_xlpm.r,_xlpm.c),""),
  IF(OR(_xlpm.w="",_xlpm.v=""),"",_xlpm.v*_xlpm.w)
)</f>
        <v/>
      </c>
      <c r="S89" s="93" t="str" cm="1">
        <f t="array" ref="S89">_xlfn.LET(
  _xlpm.w, S$11,
  _xlpm.r, MATCH(1,('3. Enter Indicator Scores'!$B$10:$B$161=$B89)*('3. Enter Indicator Scores'!$C$10:$C$161=$C89),0),
  _xlpm.c, MATCH(S$8,'3. Enter Indicator Scores'!$D$8:$CZ$8,0),
  _xlpm.v, IFERROR(INDEX('3. Enter Indicator Scores'!$D$10:$CZ$161,_xlpm.r,_xlpm.c),""),
  IF(OR(_xlpm.w="",_xlpm.v=""),"",_xlpm.v*_xlpm.w)
)</f>
        <v/>
      </c>
      <c r="T89" s="93" t="str" cm="1">
        <f t="array" ref="T89">_xlfn.LET(
  _xlpm.w, T$11,
  _xlpm.r, MATCH(1,('3. Enter Indicator Scores'!$B$10:$B$161=$B89)*('3. Enter Indicator Scores'!$C$10:$C$161=$C89),0),
  _xlpm.c, MATCH(T$8,'3. Enter Indicator Scores'!$D$8:$CZ$8,0),
  _xlpm.v, IFERROR(INDEX('3. Enter Indicator Scores'!$D$10:$CZ$161,_xlpm.r,_xlpm.c),""),
  IF(OR(_xlpm.w="",_xlpm.v=""),"",_xlpm.v*_xlpm.w)
)</f>
        <v/>
      </c>
      <c r="U89" s="93" t="str" cm="1">
        <f t="array" ref="U89">_xlfn.LET(
  _xlpm.w, U$11,
  _xlpm.r, MATCH(1,('3. Enter Indicator Scores'!$B$10:$B$161=$B89)*('3. Enter Indicator Scores'!$C$10:$C$161=$C89),0),
  _xlpm.c, MATCH(U$8,'3. Enter Indicator Scores'!$D$8:$CZ$8,0),
  _xlpm.v, IFERROR(INDEX('3. Enter Indicator Scores'!$D$10:$CZ$161,_xlpm.r,_xlpm.c),""),
  IF(OR(_xlpm.w="",_xlpm.v=""),"",_xlpm.v*_xlpm.w)
)</f>
        <v/>
      </c>
      <c r="V89" s="93" t="str" cm="1">
        <f t="array" ref="V89">_xlfn.LET(
  _xlpm.w, V$11,
  _xlpm.r, MATCH(1,('3. Enter Indicator Scores'!$B$10:$B$161=$B89)*('3. Enter Indicator Scores'!$C$10:$C$161=$C89),0),
  _xlpm.c, MATCH(V$8,'3. Enter Indicator Scores'!$D$8:$CZ$8,0),
  _xlpm.v, IFERROR(INDEX('3. Enter Indicator Scores'!$D$10:$CZ$161,_xlpm.r,_xlpm.c),""),
  IF(OR(_xlpm.w="",_xlpm.v=""),"",_xlpm.v*_xlpm.w)
)</f>
        <v/>
      </c>
      <c r="W89" s="93" t="str" cm="1">
        <f t="array" ref="W89">_xlfn.LET(
  _xlpm.w, W$11,
  _xlpm.r, MATCH(1,('3. Enter Indicator Scores'!$B$10:$B$161=$B89)*('3. Enter Indicator Scores'!$C$10:$C$161=$C89),0),
  _xlpm.c, MATCH(W$8,'3. Enter Indicator Scores'!$D$8:$CZ$8,0),
  _xlpm.v, IFERROR(INDEX('3. Enter Indicator Scores'!$D$10:$CZ$161,_xlpm.r,_xlpm.c),""),
  IF(OR(_xlpm.w="",_xlpm.v=""),"",_xlpm.v*_xlpm.w)
)</f>
        <v/>
      </c>
      <c r="X89" s="93" t="str" cm="1">
        <f t="array" ref="X89">_xlfn.LET(
  _xlpm.w, X$11,
  _xlpm.r, MATCH(1,('3. Enter Indicator Scores'!$B$10:$B$161=$B89)*('3. Enter Indicator Scores'!$C$10:$C$161=$C89),0),
  _xlpm.c, MATCH(X$8,'3. Enter Indicator Scores'!$D$8:$CZ$8,0),
  _xlpm.v, IFERROR(INDEX('3. Enter Indicator Scores'!$D$10:$CZ$161,_xlpm.r,_xlpm.c),""),
  IF(OR(_xlpm.w="",_xlpm.v=""),"",_xlpm.v*_xlpm.w)
)</f>
        <v/>
      </c>
      <c r="Y89" s="93" t="str" cm="1">
        <f t="array" ref="Y89">_xlfn.LET(
  _xlpm.w, Y$11,
  _xlpm.r, MATCH(1,('3. Enter Indicator Scores'!$B$10:$B$161=$B89)*('3. Enter Indicator Scores'!$C$10:$C$161=$C89),0),
  _xlpm.c, MATCH(Y$8,'3. Enter Indicator Scores'!$D$8:$CZ$8,0),
  _xlpm.v, IFERROR(INDEX('3. Enter Indicator Scores'!$D$10:$CZ$161,_xlpm.r,_xlpm.c),""),
  IF(OR(_xlpm.w="",_xlpm.v=""),"",_xlpm.v*_xlpm.w)
)</f>
        <v/>
      </c>
      <c r="Z89" s="93" t="str" cm="1">
        <f t="array" ref="Z89">_xlfn.LET(
  _xlpm.w, Z$11,
  _xlpm.r, MATCH(1,('3. Enter Indicator Scores'!$B$10:$B$161=$B89)*('3. Enter Indicator Scores'!$C$10:$C$161=$C89),0),
  _xlpm.c, MATCH(Z$8,'3. Enter Indicator Scores'!$D$8:$CZ$8,0),
  _xlpm.v, IFERROR(INDEX('3. Enter Indicator Scores'!$D$10:$CZ$161,_xlpm.r,_xlpm.c),""),
  IF(OR(_xlpm.w="",_xlpm.v=""),"",_xlpm.v*_xlpm.w)
)</f>
        <v/>
      </c>
      <c r="AA89" s="93" t="str" cm="1">
        <f t="array" ref="AA89">_xlfn.LET(
  _xlpm.w, AA$11,
  _xlpm.r, MATCH(1,('3. Enter Indicator Scores'!$B$10:$B$161=$B89)*('3. Enter Indicator Scores'!$C$10:$C$161=$C89),0),
  _xlpm.c, MATCH(AA$8,'3. Enter Indicator Scores'!$D$8:$CZ$8,0),
  _xlpm.v, IFERROR(INDEX('3. Enter Indicator Scores'!$D$10:$CZ$161,_xlpm.r,_xlpm.c),""),
  IF(OR(_xlpm.w="",_xlpm.v=""),"",_xlpm.v*_xlpm.w)
)</f>
        <v/>
      </c>
      <c r="AB89" s="93" t="str" cm="1">
        <f t="array" ref="AB89">_xlfn.LET(
  _xlpm.w, AB$11,
  _xlpm.r, MATCH(1,('3. Enter Indicator Scores'!$B$10:$B$161=$B89)*('3. Enter Indicator Scores'!$C$10:$C$161=$C89),0),
  _xlpm.c, MATCH(AB$8,'3. Enter Indicator Scores'!$D$8:$CZ$8,0),
  _xlpm.v, IFERROR(INDEX('3. Enter Indicator Scores'!$D$10:$CZ$161,_xlpm.r,_xlpm.c),""),
  IF(OR(_xlpm.w="",_xlpm.v=""),"",_xlpm.v*_xlpm.w)
)</f>
        <v/>
      </c>
      <c r="AC89" s="93" t="str" cm="1">
        <f t="array" ref="AC89">_xlfn.LET(
  _xlpm.w, AC$11,
  _xlpm.r, MATCH(1,('3. Enter Indicator Scores'!$B$10:$B$161=$B89)*('3. Enter Indicator Scores'!$C$10:$C$161=$C89),0),
  _xlpm.c, MATCH(AC$8,'3. Enter Indicator Scores'!$D$8:$CZ$8,0),
  _xlpm.v, IFERROR(INDEX('3. Enter Indicator Scores'!$D$10:$CZ$161,_xlpm.r,_xlpm.c),""),
  IF(OR(_xlpm.w="",_xlpm.v=""),"",_xlpm.v*_xlpm.w)
)</f>
        <v/>
      </c>
      <c r="AD89" s="93" t="str" cm="1">
        <f t="array" ref="AD89">_xlfn.LET(
  _xlpm.w, AD$11,
  _xlpm.r, MATCH(1,('3. Enter Indicator Scores'!$B$10:$B$161=$B89)*('3. Enter Indicator Scores'!$C$10:$C$161=$C89),0),
  _xlpm.c, MATCH(AD$8,'3. Enter Indicator Scores'!$D$8:$CZ$8,0),
  _xlpm.v, IFERROR(INDEX('3. Enter Indicator Scores'!$D$10:$CZ$161,_xlpm.r,_xlpm.c),""),
  IF(OR(_xlpm.w="",_xlpm.v=""),"",_xlpm.v*_xlpm.w)
)</f>
        <v/>
      </c>
      <c r="AE89" s="93" t="str" cm="1">
        <f t="array" ref="AE89">_xlfn.LET(
  _xlpm.w, AE$11,
  _xlpm.r, MATCH(1,('3. Enter Indicator Scores'!$B$10:$B$161=$B89)*('3. Enter Indicator Scores'!$C$10:$C$161=$C89),0),
  _xlpm.c, MATCH(AE$8,'3. Enter Indicator Scores'!$D$8:$CZ$8,0),
  _xlpm.v, IFERROR(INDEX('3. Enter Indicator Scores'!$D$10:$CZ$161,_xlpm.r,_xlpm.c),""),
  IF(OR(_xlpm.w="",_xlpm.v=""),"",_xlpm.v*_xlpm.w)
)</f>
        <v/>
      </c>
      <c r="AF89" s="93" t="str" cm="1">
        <f t="array" ref="AF89">_xlfn.LET(
  _xlpm.w, AF$11,
  _xlpm.r, MATCH(1,('3. Enter Indicator Scores'!$B$10:$B$161=$B89)*('3. Enter Indicator Scores'!$C$10:$C$161=$C89),0),
  _xlpm.c, MATCH(AF$8,'3. Enter Indicator Scores'!$D$8:$CZ$8,0),
  _xlpm.v, IFERROR(INDEX('3. Enter Indicator Scores'!$D$10:$CZ$161,_xlpm.r,_xlpm.c),""),
  IF(OR(_xlpm.w="",_xlpm.v=""),"",_xlpm.v*_xlpm.w)
)</f>
        <v/>
      </c>
      <c r="AG89" s="93" t="str" cm="1">
        <f t="array" ref="AG89">_xlfn.LET(
  _xlpm.w, AG$11,
  _xlpm.r, MATCH(1,('3. Enter Indicator Scores'!$B$10:$B$161=$B89)*('3. Enter Indicator Scores'!$C$10:$C$161=$C89),0),
  _xlpm.c, MATCH(AG$8,'3. Enter Indicator Scores'!$D$8:$CZ$8,0),
  _xlpm.v, IFERROR(INDEX('3. Enter Indicator Scores'!$D$10:$CZ$161,_xlpm.r,_xlpm.c),""),
  IF(OR(_xlpm.w="",_xlpm.v=""),"",_xlpm.v*_xlpm.w)
)</f>
        <v/>
      </c>
      <c r="AH89" s="93" t="str" cm="1">
        <f t="array" ref="AH89">_xlfn.LET(
  _xlpm.w, AH$11,
  _xlpm.r, MATCH(1,('3. Enter Indicator Scores'!$B$10:$B$161=$B89)*('3. Enter Indicator Scores'!$C$10:$C$161=$C89),0),
  _xlpm.c, MATCH(AH$8,'3. Enter Indicator Scores'!$D$8:$CZ$8,0),
  _xlpm.v, IFERROR(INDEX('3. Enter Indicator Scores'!$D$10:$CZ$161,_xlpm.r,_xlpm.c),""),
  IF(OR(_xlpm.w="",_xlpm.v=""),"",_xlpm.v*_xlpm.w)
)</f>
        <v/>
      </c>
      <c r="AI89" s="93" t="str" cm="1">
        <f t="array" ref="AI89">_xlfn.LET(
  _xlpm.w, AI$11,
  _xlpm.r, MATCH(1,('3. Enter Indicator Scores'!$B$10:$B$161=$B89)*('3. Enter Indicator Scores'!$C$10:$C$161=$C89),0),
  _xlpm.c, MATCH(AI$8,'3. Enter Indicator Scores'!$D$8:$CZ$8,0),
  _xlpm.v, IFERROR(INDEX('3. Enter Indicator Scores'!$D$10:$CZ$161,_xlpm.r,_xlpm.c),""),
  IF(OR(_xlpm.w="",_xlpm.v=""),"",_xlpm.v*_xlpm.w)
)</f>
        <v/>
      </c>
      <c r="AJ89" s="93" t="str" cm="1">
        <f t="array" ref="AJ89">_xlfn.LET(
  _xlpm.w, AJ$11,
  _xlpm.r, MATCH(1,('3. Enter Indicator Scores'!$B$10:$B$161=$B89)*('3. Enter Indicator Scores'!$C$10:$C$161=$C89),0),
  _xlpm.c, MATCH(AJ$8,'3. Enter Indicator Scores'!$D$8:$CZ$8,0),
  _xlpm.v, IFERROR(INDEX('3. Enter Indicator Scores'!$D$10:$CZ$161,_xlpm.r,_xlpm.c),""),
  IF(OR(_xlpm.w="",_xlpm.v=""),"",_xlpm.v*_xlpm.w)
)</f>
        <v/>
      </c>
      <c r="AK89" s="93" t="str" cm="1">
        <f t="array" ref="AK89">_xlfn.LET(
  _xlpm.w, AK$11,
  _xlpm.r, MATCH(1,('3. Enter Indicator Scores'!$B$10:$B$161=$B89)*('3. Enter Indicator Scores'!$C$10:$C$161=$C89),0),
  _xlpm.c, MATCH(AK$8,'3. Enter Indicator Scores'!$D$8:$CZ$8,0),
  _xlpm.v, IFERROR(INDEX('3. Enter Indicator Scores'!$D$10:$CZ$161,_xlpm.r,_xlpm.c),""),
  IF(OR(_xlpm.w="",_xlpm.v=""),"",_xlpm.v*_xlpm.w)
)</f>
        <v/>
      </c>
      <c r="AL89" s="93" t="str" cm="1">
        <f t="array" ref="AL89">_xlfn.LET(
  _xlpm.w, AL$11,
  _xlpm.r, MATCH(1,('3. Enter Indicator Scores'!$B$10:$B$161=$B89)*('3. Enter Indicator Scores'!$C$10:$C$161=$C89),0),
  _xlpm.c, MATCH(AL$8,'3. Enter Indicator Scores'!$D$8:$CZ$8,0),
  _xlpm.v, IFERROR(INDEX('3. Enter Indicator Scores'!$D$10:$CZ$161,_xlpm.r,_xlpm.c),""),
  IF(OR(_xlpm.w="",_xlpm.v=""),"",_xlpm.v*_xlpm.w)
)</f>
        <v/>
      </c>
      <c r="AM89" s="93" t="str" cm="1">
        <f t="array" ref="AM89">_xlfn.LET(
  _xlpm.w, AM$11,
  _xlpm.r, MATCH(1,('3. Enter Indicator Scores'!$B$10:$B$161=$B89)*('3. Enter Indicator Scores'!$C$10:$C$161=$C89),0),
  _xlpm.c, MATCH(AM$8,'3. Enter Indicator Scores'!$D$8:$CZ$8,0),
  _xlpm.v, IFERROR(INDEX('3. Enter Indicator Scores'!$D$10:$CZ$161,_xlpm.r,_xlpm.c),""),
  IF(OR(_xlpm.w="",_xlpm.v=""),"",_xlpm.v*_xlpm.w)
)</f>
        <v/>
      </c>
      <c r="AN89" s="93" t="str" cm="1">
        <f t="array" ref="AN89">_xlfn.LET(
  _xlpm.w, AN$11,
  _xlpm.r, MATCH(1,('3. Enter Indicator Scores'!$B$10:$B$161=$B89)*('3. Enter Indicator Scores'!$C$10:$C$161=$C89),0),
  _xlpm.c, MATCH(AN$8,'3. Enter Indicator Scores'!$D$8:$CZ$8,0),
  _xlpm.v, IFERROR(INDEX('3. Enter Indicator Scores'!$D$10:$CZ$161,_xlpm.r,_xlpm.c),""),
  IF(OR(_xlpm.w="",_xlpm.v=""),"",_xlpm.v*_xlpm.w)
)</f>
        <v/>
      </c>
      <c r="AO89" s="93" t="str" cm="1">
        <f t="array" ref="AO89">_xlfn.LET(
  _xlpm.w, AO$11,
  _xlpm.r, MATCH(1,('3. Enter Indicator Scores'!$B$10:$B$161=$B89)*('3. Enter Indicator Scores'!$C$10:$C$161=$C89),0),
  _xlpm.c, MATCH(AO$8,'3. Enter Indicator Scores'!$D$8:$CZ$8,0),
  _xlpm.v, IFERROR(INDEX('3. Enter Indicator Scores'!$D$10:$CZ$161,_xlpm.r,_xlpm.c),""),
  IF(OR(_xlpm.w="",_xlpm.v=""),"",_xlpm.v*_xlpm.w)
)</f>
        <v/>
      </c>
      <c r="AP89" s="93" t="str" cm="1">
        <f t="array" ref="AP89">_xlfn.LET(
  _xlpm.w, AP$11,
  _xlpm.r, MATCH(1,('3. Enter Indicator Scores'!$B$10:$B$161=$B89)*('3. Enter Indicator Scores'!$C$10:$C$161=$C89),0),
  _xlpm.c, MATCH(AP$8,'3. Enter Indicator Scores'!$D$8:$CZ$8,0),
  _xlpm.v, IFERROR(INDEX('3. Enter Indicator Scores'!$D$10:$CZ$161,_xlpm.r,_xlpm.c),""),
  IF(OR(_xlpm.w="",_xlpm.v=""),"",_xlpm.v*_xlpm.w)
)</f>
        <v/>
      </c>
      <c r="AQ89" s="93" t="str" cm="1">
        <f t="array" ref="AQ89">_xlfn.LET(
  _xlpm.w, AQ$11,
  _xlpm.r, MATCH(1,('3. Enter Indicator Scores'!$B$10:$B$161=$B89)*('3. Enter Indicator Scores'!$C$10:$C$161=$C89),0),
  _xlpm.c, MATCH(AQ$8,'3. Enter Indicator Scores'!$D$8:$CZ$8,0),
  _xlpm.v, IFERROR(INDEX('3. Enter Indicator Scores'!$D$10:$CZ$161,_xlpm.r,_xlpm.c),""),
  IF(OR(_xlpm.w="",_xlpm.v=""),"",_xlpm.v*_xlpm.w)
)</f>
        <v/>
      </c>
      <c r="AR89" s="93" t="str" cm="1">
        <f t="array" ref="AR89">_xlfn.LET(
  _xlpm.w, AR$11,
  _xlpm.r, MATCH(1,('3. Enter Indicator Scores'!$B$10:$B$161=$B89)*('3. Enter Indicator Scores'!$C$10:$C$161=$C89),0),
  _xlpm.c, MATCH(AR$8,'3. Enter Indicator Scores'!$D$8:$CZ$8,0),
  _xlpm.v, IFERROR(INDEX('3. Enter Indicator Scores'!$D$10:$CZ$161,_xlpm.r,_xlpm.c),""),
  IF(OR(_xlpm.w="",_xlpm.v=""),"",_xlpm.v*_xlpm.w)
)</f>
        <v/>
      </c>
      <c r="AS89" s="93" t="str" cm="1">
        <f t="array" ref="AS89">_xlfn.LET(
  _xlpm.w, AS$11,
  _xlpm.r, MATCH(1,('3. Enter Indicator Scores'!$B$10:$B$161=$B89)*('3. Enter Indicator Scores'!$C$10:$C$161=$C89),0),
  _xlpm.c, MATCH(AS$8,'3. Enter Indicator Scores'!$D$8:$CZ$8,0),
  _xlpm.v, IFERROR(INDEX('3. Enter Indicator Scores'!$D$10:$CZ$161,_xlpm.r,_xlpm.c),""),
  IF(OR(_xlpm.w="",_xlpm.v=""),"",_xlpm.v*_xlpm.w)
)</f>
        <v/>
      </c>
      <c r="AT89" s="93" t="str" cm="1">
        <f t="array" ref="AT89">_xlfn.LET(
  _xlpm.w, AT$11,
  _xlpm.r, MATCH(1,('3. Enter Indicator Scores'!$B$10:$B$161=$B89)*('3. Enter Indicator Scores'!$C$10:$C$161=$C89),0),
  _xlpm.c, MATCH(AT$8,'3. Enter Indicator Scores'!$D$8:$CZ$8,0),
  _xlpm.v, IFERROR(INDEX('3. Enter Indicator Scores'!$D$10:$CZ$161,_xlpm.r,_xlpm.c),""),
  IF(OR(_xlpm.w="",_xlpm.v=""),"",_xlpm.v*_xlpm.w)
)</f>
        <v/>
      </c>
      <c r="AU89" s="93" t="str" cm="1">
        <f t="array" ref="AU89">_xlfn.LET(
  _xlpm.w, AU$11,
  _xlpm.r, MATCH(1,('3. Enter Indicator Scores'!$B$10:$B$161=$B89)*('3. Enter Indicator Scores'!$C$10:$C$161=$C89),0),
  _xlpm.c, MATCH(AU$8,'3. Enter Indicator Scores'!$D$8:$CZ$8,0),
  _xlpm.v, IFERROR(INDEX('3. Enter Indicator Scores'!$D$10:$CZ$161,_xlpm.r,_xlpm.c),""),
  IF(OR(_xlpm.w="",_xlpm.v=""),"",_xlpm.v*_xlpm.w)
)</f>
        <v/>
      </c>
      <c r="AV89" s="93" t="str" cm="1">
        <f t="array" ref="AV89">_xlfn.LET(
  _xlpm.w, AV$11,
  _xlpm.r, MATCH(1,('3. Enter Indicator Scores'!$B$10:$B$161=$B89)*('3. Enter Indicator Scores'!$C$10:$C$161=$C89),0),
  _xlpm.c, MATCH(AV$8,'3. Enter Indicator Scores'!$D$8:$CZ$8,0),
  _xlpm.v, IFERROR(INDEX('3. Enter Indicator Scores'!$D$10:$CZ$161,_xlpm.r,_xlpm.c),""),
  IF(OR(_xlpm.w="",_xlpm.v=""),"",_xlpm.v*_xlpm.w)
)</f>
        <v/>
      </c>
      <c r="AW89" s="93" t="str" cm="1">
        <f t="array" ref="AW89">_xlfn.LET(
  _xlpm.w, AW$11,
  _xlpm.r, MATCH(1,('3. Enter Indicator Scores'!$B$10:$B$161=$B89)*('3. Enter Indicator Scores'!$C$10:$C$161=$C89),0),
  _xlpm.c, MATCH(AW$8,'3. Enter Indicator Scores'!$D$8:$CZ$8,0),
  _xlpm.v, IFERROR(INDEX('3. Enter Indicator Scores'!$D$10:$CZ$161,_xlpm.r,_xlpm.c),""),
  IF(OR(_xlpm.w="",_xlpm.v=""),"",_xlpm.v*_xlpm.w)
)</f>
        <v/>
      </c>
      <c r="AX89" s="93" t="str" cm="1">
        <f t="array" ref="AX89">_xlfn.LET(
  _xlpm.w, AX$11,
  _xlpm.r, MATCH(1,('3. Enter Indicator Scores'!$B$10:$B$161=$B89)*('3. Enter Indicator Scores'!$C$10:$C$161=$C89),0),
  _xlpm.c, MATCH(AX$8,'3. Enter Indicator Scores'!$D$8:$CZ$8,0),
  _xlpm.v, IFERROR(INDEX('3. Enter Indicator Scores'!$D$10:$CZ$161,_xlpm.r,_xlpm.c),""),
  IF(OR(_xlpm.w="",_xlpm.v=""),"",_xlpm.v*_xlpm.w)
)</f>
        <v/>
      </c>
      <c r="AY89" s="93" t="str" cm="1">
        <f t="array" ref="AY89">_xlfn.LET(
  _xlpm.w, AY$11,
  _xlpm.r, MATCH(1,('3. Enter Indicator Scores'!$B$10:$B$161=$B89)*('3. Enter Indicator Scores'!$C$10:$C$161=$C89),0),
  _xlpm.c, MATCH(AY$8,'3. Enter Indicator Scores'!$D$8:$CZ$8,0),
  _xlpm.v, IFERROR(INDEX('3. Enter Indicator Scores'!$D$10:$CZ$161,_xlpm.r,_xlpm.c),""),
  IF(OR(_xlpm.w="",_xlpm.v=""),"",_xlpm.v*_xlpm.w)
)</f>
        <v/>
      </c>
      <c r="AZ89" s="93" t="str" cm="1">
        <f t="array" ref="AZ89">_xlfn.LET(
  _xlpm.w, AZ$11,
  _xlpm.r, MATCH(1,('3. Enter Indicator Scores'!$B$10:$B$161=$B89)*('3. Enter Indicator Scores'!$C$10:$C$161=$C89),0),
  _xlpm.c, MATCH(AZ$8,'3. Enter Indicator Scores'!$D$8:$CZ$8,0),
  _xlpm.v, IFERROR(INDEX('3. Enter Indicator Scores'!$D$10:$CZ$161,_xlpm.r,_xlpm.c),""),
  IF(OR(_xlpm.w="",_xlpm.v=""),"",_xlpm.v*_xlpm.w)
)</f>
        <v/>
      </c>
      <c r="BA89" s="93" t="str" cm="1">
        <f t="array" ref="BA89">_xlfn.LET(
  _xlpm.w, BA$11,
  _xlpm.r, MATCH(1,('3. Enter Indicator Scores'!$B$10:$B$161=$B89)*('3. Enter Indicator Scores'!$C$10:$C$161=$C89),0),
  _xlpm.c, MATCH(BA$8,'3. Enter Indicator Scores'!$D$8:$CZ$8,0),
  _xlpm.v, IFERROR(INDEX('3. Enter Indicator Scores'!$D$10:$CZ$161,_xlpm.r,_xlpm.c),""),
  IF(OR(_xlpm.w="",_xlpm.v=""),"",_xlpm.v*_xlpm.w)
)</f>
        <v/>
      </c>
      <c r="BB89" s="93" t="str" cm="1">
        <f t="array" ref="BB89">_xlfn.LET(
  _xlpm.w, BB$11,
  _xlpm.r, MATCH(1,('3. Enter Indicator Scores'!$B$10:$B$161=$B89)*('3. Enter Indicator Scores'!$C$10:$C$161=$C89),0),
  _xlpm.c, MATCH(BB$8,'3. Enter Indicator Scores'!$D$8:$CZ$8,0),
  _xlpm.v, IFERROR(INDEX('3. Enter Indicator Scores'!$D$10:$CZ$161,_xlpm.r,_xlpm.c),""),
  IF(OR(_xlpm.w="",_xlpm.v=""),"",_xlpm.v*_xlpm.w)
)</f>
        <v/>
      </c>
      <c r="BC89" s="93" t="str" cm="1">
        <f t="array" ref="BC89">_xlfn.LET(
  _xlpm.w, BC$11,
  _xlpm.r, MATCH(1,('3. Enter Indicator Scores'!$B$10:$B$161=$B89)*('3. Enter Indicator Scores'!$C$10:$C$161=$C89),0),
  _xlpm.c, MATCH(BC$8,'3. Enter Indicator Scores'!$D$8:$CZ$8,0),
  _xlpm.v, IFERROR(INDEX('3. Enter Indicator Scores'!$D$10:$CZ$161,_xlpm.r,_xlpm.c),""),
  IF(OR(_xlpm.w="",_xlpm.v=""),"",_xlpm.v*_xlpm.w)
)</f>
        <v/>
      </c>
      <c r="BD89" s="93" t="str" cm="1">
        <f t="array" ref="BD89">_xlfn.LET(
  _xlpm.w, BD$11,
  _xlpm.r, MATCH(1,('3. Enter Indicator Scores'!$B$10:$B$161=$B89)*('3. Enter Indicator Scores'!$C$10:$C$161=$C89),0),
  _xlpm.c, MATCH(BD$8,'3. Enter Indicator Scores'!$D$8:$CZ$8,0),
  _xlpm.v, IFERROR(INDEX('3. Enter Indicator Scores'!$D$10:$CZ$161,_xlpm.r,_xlpm.c),""),
  IF(OR(_xlpm.w="",_xlpm.v=""),"",_xlpm.v*_xlpm.w)
)</f>
        <v/>
      </c>
      <c r="BE89" s="93" t="str" cm="1">
        <f t="array" ref="BE89">_xlfn.LET(
  _xlpm.w, BE$11,
  _xlpm.r, MATCH(1,('3. Enter Indicator Scores'!$B$10:$B$161=$B89)*('3. Enter Indicator Scores'!$C$10:$C$161=$C89),0),
  _xlpm.c, MATCH(BE$8,'3. Enter Indicator Scores'!$D$8:$CZ$8,0),
  _xlpm.v, IFERROR(INDEX('3. Enter Indicator Scores'!$D$10:$CZ$161,_xlpm.r,_xlpm.c),""),
  IF(OR(_xlpm.w="",_xlpm.v=""),"",_xlpm.v*_xlpm.w)
)</f>
        <v/>
      </c>
      <c r="BF89" s="93" t="str" cm="1">
        <f t="array" ref="BF89">_xlfn.LET(
  _xlpm.w, BF$11,
  _xlpm.r, MATCH(1,('3. Enter Indicator Scores'!$B$10:$B$161=$B89)*('3. Enter Indicator Scores'!$C$10:$C$161=$C89),0),
  _xlpm.c, MATCH(BF$8,'3. Enter Indicator Scores'!$D$8:$CZ$8,0),
  _xlpm.v, IFERROR(INDEX('3. Enter Indicator Scores'!$D$10:$CZ$161,_xlpm.r,_xlpm.c),""),
  IF(OR(_xlpm.w="",_xlpm.v=""),"",_xlpm.v*_xlpm.w)
)</f>
        <v/>
      </c>
      <c r="BG89" s="93" t="str" cm="1">
        <f t="array" ref="BG89">_xlfn.LET(
  _xlpm.w, BG$11,
  _xlpm.r, MATCH(1,('3. Enter Indicator Scores'!$B$10:$B$161=$B89)*('3. Enter Indicator Scores'!$C$10:$C$161=$C89),0),
  _xlpm.c, MATCH(BG$8,'3. Enter Indicator Scores'!$D$8:$CZ$8,0),
  _xlpm.v, IFERROR(INDEX('3. Enter Indicator Scores'!$D$10:$CZ$161,_xlpm.r,_xlpm.c),""),
  IF(OR(_xlpm.w="",_xlpm.v=""),"",_xlpm.v*_xlpm.w)
)</f>
        <v/>
      </c>
      <c r="BH89" s="93" t="str" cm="1">
        <f t="array" ref="BH89">_xlfn.LET(
  _xlpm.w, BH$11,
  _xlpm.r, MATCH(1,('3. Enter Indicator Scores'!$B$10:$B$161=$B89)*('3. Enter Indicator Scores'!$C$10:$C$161=$C89),0),
  _xlpm.c, MATCH(BH$8,'3. Enter Indicator Scores'!$D$8:$CZ$8,0),
  _xlpm.v, IFERROR(INDEX('3. Enter Indicator Scores'!$D$10:$CZ$161,_xlpm.r,_xlpm.c),""),
  IF(OR(_xlpm.w="",_xlpm.v=""),"",_xlpm.v*_xlpm.w)
)</f>
        <v/>
      </c>
      <c r="BI89" s="93" t="str" cm="1">
        <f t="array" ref="BI89">_xlfn.LET(
  _xlpm.w, BI$11,
  _xlpm.r, MATCH(1,('3. Enter Indicator Scores'!$B$10:$B$161=$B89)*('3. Enter Indicator Scores'!$C$10:$C$161=$C89),0),
  _xlpm.c, MATCH(BI$8,'3. Enter Indicator Scores'!$D$8:$CZ$8,0),
  _xlpm.v, IFERROR(INDEX('3. Enter Indicator Scores'!$D$10:$CZ$161,_xlpm.r,_xlpm.c),""),
  IF(OR(_xlpm.w="",_xlpm.v=""),"",_xlpm.v*_xlpm.w)
)</f>
        <v/>
      </c>
      <c r="BJ89" s="93" t="str" cm="1">
        <f t="array" ref="BJ89">_xlfn.LET(
  _xlpm.w, BJ$11,
  _xlpm.r, MATCH(1,('3. Enter Indicator Scores'!$B$10:$B$161=$B89)*('3. Enter Indicator Scores'!$C$10:$C$161=$C89),0),
  _xlpm.c, MATCH(BJ$8,'3. Enter Indicator Scores'!$D$8:$CZ$8,0),
  _xlpm.v, IFERROR(INDEX('3. Enter Indicator Scores'!$D$10:$CZ$161,_xlpm.r,_xlpm.c),""),
  IF(OR(_xlpm.w="",_xlpm.v=""),"",_xlpm.v*_xlpm.w)
)</f>
        <v/>
      </c>
      <c r="BK89" s="93" t="str" cm="1">
        <f t="array" ref="BK89">_xlfn.LET(
  _xlpm.w, BK$11,
  _xlpm.r, MATCH(1,('3. Enter Indicator Scores'!$B$10:$B$161=$B89)*('3. Enter Indicator Scores'!$C$10:$C$161=$C89),0),
  _xlpm.c, MATCH(BK$8,'3. Enter Indicator Scores'!$D$8:$CZ$8,0),
  _xlpm.v, IFERROR(INDEX('3. Enter Indicator Scores'!$D$10:$CZ$161,_xlpm.r,_xlpm.c),""),
  IF(OR(_xlpm.w="",_xlpm.v=""),"",_xlpm.v*_xlpm.w)
)</f>
        <v/>
      </c>
      <c r="BL89" s="93" t="str" cm="1">
        <f t="array" ref="BL89">_xlfn.LET(
  _xlpm.w, BL$11,
  _xlpm.r, MATCH(1,('3. Enter Indicator Scores'!$B$10:$B$161=$B89)*('3. Enter Indicator Scores'!$C$10:$C$161=$C89),0),
  _xlpm.c, MATCH(BL$8,'3. Enter Indicator Scores'!$D$8:$CZ$8,0),
  _xlpm.v, IFERROR(INDEX('3. Enter Indicator Scores'!$D$10:$CZ$161,_xlpm.r,_xlpm.c),""),
  IF(OR(_xlpm.w="",_xlpm.v=""),"",_xlpm.v*_xlpm.w)
)</f>
        <v/>
      </c>
      <c r="BM89" s="93" t="str" cm="1">
        <f t="array" ref="BM89">_xlfn.LET(
  _xlpm.w, BM$11,
  _xlpm.r, MATCH(1,('3. Enter Indicator Scores'!$B$10:$B$161=$B89)*('3. Enter Indicator Scores'!$C$10:$C$161=$C89),0),
  _xlpm.c, MATCH(BM$8,'3. Enter Indicator Scores'!$D$8:$CZ$8,0),
  _xlpm.v, IFERROR(INDEX('3. Enter Indicator Scores'!$D$10:$CZ$161,_xlpm.r,_xlpm.c),""),
  IF(OR(_xlpm.w="",_xlpm.v=""),"",_xlpm.v*_xlpm.w)
)</f>
        <v/>
      </c>
      <c r="BN89" s="93" t="str" cm="1">
        <f t="array" ref="BN89">_xlfn.LET(
  _xlpm.w, BN$11,
  _xlpm.r, MATCH(1,('3. Enter Indicator Scores'!$B$10:$B$161=$B89)*('3. Enter Indicator Scores'!$C$10:$C$161=$C89),0),
  _xlpm.c, MATCH(BN$8,'3. Enter Indicator Scores'!$D$8:$CZ$8,0),
  _xlpm.v, IFERROR(INDEX('3. Enter Indicator Scores'!$D$10:$CZ$161,_xlpm.r,_xlpm.c),""),
  IF(OR(_xlpm.w="",_xlpm.v=""),"",_xlpm.v*_xlpm.w)
)</f>
        <v/>
      </c>
      <c r="BO89" s="93" t="str" cm="1">
        <f t="array" ref="BO89">_xlfn.LET(
  _xlpm.w, BO$11,
  _xlpm.r, MATCH(1,('3. Enter Indicator Scores'!$B$10:$B$161=$B89)*('3. Enter Indicator Scores'!$C$10:$C$161=$C89),0),
  _xlpm.c, MATCH(BO$8,'3. Enter Indicator Scores'!$D$8:$CZ$8,0),
  _xlpm.v, IFERROR(INDEX('3. Enter Indicator Scores'!$D$10:$CZ$161,_xlpm.r,_xlpm.c),""),
  IF(OR(_xlpm.w="",_xlpm.v=""),"",_xlpm.v*_xlpm.w)
)</f>
        <v/>
      </c>
      <c r="BP89" s="93" t="str" cm="1">
        <f t="array" ref="BP89">_xlfn.LET(
  _xlpm.w, BP$11,
  _xlpm.r, MATCH(1,('3. Enter Indicator Scores'!$B$10:$B$161=$B89)*('3. Enter Indicator Scores'!$C$10:$C$161=$C89),0),
  _xlpm.c, MATCH(BP$8,'3. Enter Indicator Scores'!$D$8:$CZ$8,0),
  _xlpm.v, IFERROR(INDEX('3. Enter Indicator Scores'!$D$10:$CZ$161,_xlpm.r,_xlpm.c),""),
  IF(OR(_xlpm.w="",_xlpm.v=""),"",_xlpm.v*_xlpm.w)
)</f>
        <v/>
      </c>
      <c r="BQ89" s="93" t="str" cm="1">
        <f t="array" ref="BQ89">_xlfn.LET(
  _xlpm.w, BQ$11,
  _xlpm.r, MATCH(1,('3. Enter Indicator Scores'!$B$10:$B$161=$B89)*('3. Enter Indicator Scores'!$C$10:$C$161=$C89),0),
  _xlpm.c, MATCH(BQ$8,'3. Enter Indicator Scores'!$D$8:$CZ$8,0),
  _xlpm.v, IFERROR(INDEX('3. Enter Indicator Scores'!$D$10:$CZ$161,_xlpm.r,_xlpm.c),""),
  IF(OR(_xlpm.w="",_xlpm.v=""),"",_xlpm.v*_xlpm.w)
)</f>
        <v/>
      </c>
      <c r="BR89" s="93" t="str" cm="1">
        <f t="array" ref="BR89">_xlfn.LET(
  _xlpm.w, BR$11,
  _xlpm.r, MATCH(1,('3. Enter Indicator Scores'!$B$10:$B$161=$B89)*('3. Enter Indicator Scores'!$C$10:$C$161=$C89),0),
  _xlpm.c, MATCH(BR$8,'3. Enter Indicator Scores'!$D$8:$CZ$8,0),
  _xlpm.v, IFERROR(INDEX('3. Enter Indicator Scores'!$D$10:$CZ$161,_xlpm.r,_xlpm.c),""),
  IF(OR(_xlpm.w="",_xlpm.v=""),"",_xlpm.v*_xlpm.w)
)</f>
        <v/>
      </c>
      <c r="BS89" s="93" t="str" cm="1">
        <f t="array" ref="BS89">_xlfn.LET(
  _xlpm.w, BS$11,
  _xlpm.r, MATCH(1,('3. Enter Indicator Scores'!$B$10:$B$161=$B89)*('3. Enter Indicator Scores'!$C$10:$C$161=$C89),0),
  _xlpm.c, MATCH(BS$8,'3. Enter Indicator Scores'!$D$8:$CZ$8,0),
  _xlpm.v, IFERROR(INDEX('3. Enter Indicator Scores'!$D$10:$CZ$161,_xlpm.r,_xlpm.c),""),
  IF(OR(_xlpm.w="",_xlpm.v=""),"",_xlpm.v*_xlpm.w)
)</f>
        <v/>
      </c>
      <c r="BT89" s="93" t="str" cm="1">
        <f t="array" ref="BT89">_xlfn.LET(
  _xlpm.w, BT$11,
  _xlpm.r, MATCH(1,('3. Enter Indicator Scores'!$B$10:$B$161=$B89)*('3. Enter Indicator Scores'!$C$10:$C$161=$C89),0),
  _xlpm.c, MATCH(BT$8,'3. Enter Indicator Scores'!$D$8:$CZ$8,0),
  _xlpm.v, IFERROR(INDEX('3. Enter Indicator Scores'!$D$10:$CZ$161,_xlpm.r,_xlpm.c),""),
  IF(OR(_xlpm.w="",_xlpm.v=""),"",_xlpm.v*_xlpm.w)
)</f>
        <v/>
      </c>
      <c r="BU89" s="93" t="str" cm="1">
        <f t="array" ref="BU89">_xlfn.LET(
  _xlpm.w, BU$11,
  _xlpm.r, MATCH(1,('3. Enter Indicator Scores'!$B$10:$B$161=$B89)*('3. Enter Indicator Scores'!$C$10:$C$161=$C89),0),
  _xlpm.c, MATCH(BU$8,'3. Enter Indicator Scores'!$D$8:$CZ$8,0),
  _xlpm.v, IFERROR(INDEX('3. Enter Indicator Scores'!$D$10:$CZ$161,_xlpm.r,_xlpm.c),""),
  IF(OR(_xlpm.w="",_xlpm.v=""),"",_xlpm.v*_xlpm.w)
)</f>
        <v/>
      </c>
      <c r="BV89" s="93" t="str" cm="1">
        <f t="array" ref="BV89">_xlfn.LET(
  _xlpm.w, BV$11,
  _xlpm.r, MATCH(1,('3. Enter Indicator Scores'!$B$10:$B$161=$B89)*('3. Enter Indicator Scores'!$C$10:$C$161=$C89),0),
  _xlpm.c, MATCH(BV$8,'3. Enter Indicator Scores'!$D$8:$CZ$8,0),
  _xlpm.v, IFERROR(INDEX('3. Enter Indicator Scores'!$D$10:$CZ$161,_xlpm.r,_xlpm.c),""),
  IF(OR(_xlpm.w="",_xlpm.v=""),"",_xlpm.v*_xlpm.w)
)</f>
        <v/>
      </c>
      <c r="BW89" s="93" t="str" cm="1">
        <f t="array" ref="BW89">_xlfn.LET(
  _xlpm.w, BW$11,
  _xlpm.r, MATCH(1,('3. Enter Indicator Scores'!$B$10:$B$161=$B89)*('3. Enter Indicator Scores'!$C$10:$C$161=$C89),0),
  _xlpm.c, MATCH(BW$8,'3. Enter Indicator Scores'!$D$8:$CZ$8,0),
  _xlpm.v, IFERROR(INDEX('3. Enter Indicator Scores'!$D$10:$CZ$161,_xlpm.r,_xlpm.c),""),
  IF(OR(_xlpm.w="",_xlpm.v=""),"",_xlpm.v*_xlpm.w)
)</f>
        <v/>
      </c>
      <c r="BX89" s="93" t="str" cm="1">
        <f t="array" ref="BX89">_xlfn.LET(
  _xlpm.w, BX$11,
  _xlpm.r, MATCH(1,('3. Enter Indicator Scores'!$B$10:$B$161=$B89)*('3. Enter Indicator Scores'!$C$10:$C$161=$C89),0),
  _xlpm.c, MATCH(BX$8,'3. Enter Indicator Scores'!$D$8:$CZ$8,0),
  _xlpm.v, IFERROR(INDEX('3. Enter Indicator Scores'!$D$10:$CZ$161,_xlpm.r,_xlpm.c),""),
  IF(OR(_xlpm.w="",_xlpm.v=""),"",_xlpm.v*_xlpm.w)
)</f>
        <v/>
      </c>
      <c r="BY89" s="93" t="str" cm="1">
        <f t="array" ref="BY89">_xlfn.LET(
  _xlpm.w, BY$11,
  _xlpm.r, MATCH(1,('3. Enter Indicator Scores'!$B$10:$B$161=$B89)*('3. Enter Indicator Scores'!$C$10:$C$161=$C89),0),
  _xlpm.c, MATCH(BY$8,'3. Enter Indicator Scores'!$D$8:$CZ$8,0),
  _xlpm.v, IFERROR(INDEX('3. Enter Indicator Scores'!$D$10:$CZ$161,_xlpm.r,_xlpm.c),""),
  IF(OR(_xlpm.w="",_xlpm.v=""),"",_xlpm.v*_xlpm.w)
)</f>
        <v/>
      </c>
      <c r="BZ89" s="93" t="str" cm="1">
        <f t="array" ref="BZ89">_xlfn.LET(
  _xlpm.w, BZ$11,
  _xlpm.r, MATCH(1,('3. Enter Indicator Scores'!$B$10:$B$161=$B89)*('3. Enter Indicator Scores'!$C$10:$C$161=$C89),0),
  _xlpm.c, MATCH(BZ$8,'3. Enter Indicator Scores'!$D$8:$CZ$8,0),
  _xlpm.v, IFERROR(INDEX('3. Enter Indicator Scores'!$D$10:$CZ$161,_xlpm.r,_xlpm.c),""),
  IF(OR(_xlpm.w="",_xlpm.v=""),"",_xlpm.v*_xlpm.w)
)</f>
        <v/>
      </c>
      <c r="CA89" s="93" t="str" cm="1">
        <f t="array" ref="CA89">_xlfn.LET(
  _xlpm.w, CA$11,
  _xlpm.r, MATCH(1,('3. Enter Indicator Scores'!$B$10:$B$161=$B89)*('3. Enter Indicator Scores'!$C$10:$C$161=$C89),0),
  _xlpm.c, MATCH(CA$8,'3. Enter Indicator Scores'!$D$8:$CZ$8,0),
  _xlpm.v, IFERROR(INDEX('3. Enter Indicator Scores'!$D$10:$CZ$161,_xlpm.r,_xlpm.c),""),
  IF(OR(_xlpm.w="",_xlpm.v=""),"",_xlpm.v*_xlpm.w)
)</f>
        <v/>
      </c>
      <c r="CB89" s="93" t="str" cm="1">
        <f t="array" ref="CB89">_xlfn.LET(
  _xlpm.w, CB$11,
  _xlpm.r, MATCH(1,('3. Enter Indicator Scores'!$B$10:$B$161=$B89)*('3. Enter Indicator Scores'!$C$10:$C$161=$C89),0),
  _xlpm.c, MATCH(CB$8,'3. Enter Indicator Scores'!$D$8:$CZ$8,0),
  _xlpm.v, IFERROR(INDEX('3. Enter Indicator Scores'!$D$10:$CZ$161,_xlpm.r,_xlpm.c),""),
  IF(OR(_xlpm.w="",_xlpm.v=""),"",_xlpm.v*_xlpm.w)
)</f>
        <v/>
      </c>
      <c r="CC89" s="93" t="str" cm="1">
        <f t="array" ref="CC89">_xlfn.LET(
  _xlpm.w, CC$11,
  _xlpm.r, MATCH(1,('3. Enter Indicator Scores'!$B$10:$B$161=$B89)*('3. Enter Indicator Scores'!$C$10:$C$161=$C89),0),
  _xlpm.c, MATCH(CC$8,'3. Enter Indicator Scores'!$D$8:$CZ$8,0),
  _xlpm.v, IFERROR(INDEX('3. Enter Indicator Scores'!$D$10:$CZ$161,_xlpm.r,_xlpm.c),""),
  IF(OR(_xlpm.w="",_xlpm.v=""),"",_xlpm.v*_xlpm.w)
)</f>
        <v/>
      </c>
      <c r="CD89" s="93" t="str" cm="1">
        <f t="array" ref="CD89">_xlfn.LET(
  _xlpm.w, CD$11,
  _xlpm.r, MATCH(1,('3. Enter Indicator Scores'!$B$10:$B$161=$B89)*('3. Enter Indicator Scores'!$C$10:$C$161=$C89),0),
  _xlpm.c, MATCH(CD$8,'3. Enter Indicator Scores'!$D$8:$CZ$8,0),
  _xlpm.v, IFERROR(INDEX('3. Enter Indicator Scores'!$D$10:$CZ$161,_xlpm.r,_xlpm.c),""),
  IF(OR(_xlpm.w="",_xlpm.v=""),"",_xlpm.v*_xlpm.w)
)</f>
        <v/>
      </c>
      <c r="CE89" s="93" t="str" cm="1">
        <f t="array" ref="CE89">_xlfn.LET(
  _xlpm.w, CE$11,
  _xlpm.r, MATCH(1,('3. Enter Indicator Scores'!$B$10:$B$161=$B89)*('3. Enter Indicator Scores'!$C$10:$C$161=$C89),0),
  _xlpm.c, MATCH(CE$8,'3. Enter Indicator Scores'!$D$8:$CZ$8,0),
  _xlpm.v, IFERROR(INDEX('3. Enter Indicator Scores'!$D$10:$CZ$161,_xlpm.r,_xlpm.c),""),
  IF(OR(_xlpm.w="",_xlpm.v=""),"",_xlpm.v*_xlpm.w)
)</f>
        <v/>
      </c>
      <c r="CF89" s="93" t="str" cm="1">
        <f t="array" ref="CF89">_xlfn.LET(
  _xlpm.w, CF$11,
  _xlpm.r, MATCH(1,('3. Enter Indicator Scores'!$B$10:$B$161=$B89)*('3. Enter Indicator Scores'!$C$10:$C$161=$C89),0),
  _xlpm.c, MATCH(CF$8,'3. Enter Indicator Scores'!$D$8:$CZ$8,0),
  _xlpm.v, IFERROR(INDEX('3. Enter Indicator Scores'!$D$10:$CZ$161,_xlpm.r,_xlpm.c),""),
  IF(OR(_xlpm.w="",_xlpm.v=""),"",_xlpm.v*_xlpm.w)
)</f>
        <v/>
      </c>
      <c r="CG89" s="93" t="str" cm="1">
        <f t="array" ref="CG89">_xlfn.LET(
  _xlpm.w, CG$11,
  _xlpm.r, MATCH(1,('3. Enter Indicator Scores'!$B$10:$B$161=$B89)*('3. Enter Indicator Scores'!$C$10:$C$161=$C89),0),
  _xlpm.c, MATCH(CG$8,'3. Enter Indicator Scores'!$D$8:$CZ$8,0),
  _xlpm.v, IFERROR(INDEX('3. Enter Indicator Scores'!$D$10:$CZ$161,_xlpm.r,_xlpm.c),""),
  IF(OR(_xlpm.w="",_xlpm.v=""),"",_xlpm.v*_xlpm.w)
)</f>
        <v/>
      </c>
      <c r="CH89" s="93" t="str" cm="1">
        <f t="array" ref="CH89">_xlfn.LET(
  _xlpm.w, CH$11,
  _xlpm.r, MATCH(1,('3. Enter Indicator Scores'!$B$10:$B$161=$B89)*('3. Enter Indicator Scores'!$C$10:$C$161=$C89),0),
  _xlpm.c, MATCH(CH$8,'3. Enter Indicator Scores'!$D$8:$CZ$8,0),
  _xlpm.v, IFERROR(INDEX('3. Enter Indicator Scores'!$D$10:$CZ$161,_xlpm.r,_xlpm.c),""),
  IF(OR(_xlpm.w="",_xlpm.v=""),"",_xlpm.v*_xlpm.w)
)</f>
        <v/>
      </c>
      <c r="CI89" s="93" t="str" cm="1">
        <f t="array" ref="CI89">_xlfn.LET(
  _xlpm.w, CI$11,
  _xlpm.r, MATCH(1,('3. Enter Indicator Scores'!$B$10:$B$161=$B89)*('3. Enter Indicator Scores'!$C$10:$C$161=$C89),0),
  _xlpm.c, MATCH(CI$8,'3. Enter Indicator Scores'!$D$8:$CZ$8,0),
  _xlpm.v, IFERROR(INDEX('3. Enter Indicator Scores'!$D$10:$CZ$161,_xlpm.r,_xlpm.c),""),
  IF(OR(_xlpm.w="",_xlpm.v=""),"",_xlpm.v*_xlpm.w)
)</f>
        <v/>
      </c>
      <c r="CJ89" s="93" t="str" cm="1">
        <f t="array" ref="CJ89">_xlfn.LET(
  _xlpm.w, CJ$11,
  _xlpm.r, MATCH(1,('3. Enter Indicator Scores'!$B$10:$B$161=$B89)*('3. Enter Indicator Scores'!$C$10:$C$161=$C89),0),
  _xlpm.c, MATCH(CJ$8,'3. Enter Indicator Scores'!$D$8:$CZ$8,0),
  _xlpm.v, IFERROR(INDEX('3. Enter Indicator Scores'!$D$10:$CZ$161,_xlpm.r,_xlpm.c),""),
  IF(OR(_xlpm.w="",_xlpm.v=""),"",_xlpm.v*_xlpm.w)
)</f>
        <v/>
      </c>
      <c r="CK89" s="93" t="str" cm="1">
        <f t="array" ref="CK89">_xlfn.LET(
  _xlpm.w, CK$11,
  _xlpm.r, MATCH(1,('3. Enter Indicator Scores'!$B$10:$B$161=$B89)*('3. Enter Indicator Scores'!$C$10:$C$161=$C89),0),
  _xlpm.c, MATCH(CK$8,'3. Enter Indicator Scores'!$D$8:$CZ$8,0),
  _xlpm.v, IFERROR(INDEX('3. Enter Indicator Scores'!$D$10:$CZ$161,_xlpm.r,_xlpm.c),""),
  IF(OR(_xlpm.w="",_xlpm.v=""),"",_xlpm.v*_xlpm.w)
)</f>
        <v/>
      </c>
      <c r="CL89" s="93" t="str" cm="1">
        <f t="array" ref="CL89">_xlfn.LET(
  _xlpm.w, CL$11,
  _xlpm.r, MATCH(1,('3. Enter Indicator Scores'!$B$10:$B$161=$B89)*('3. Enter Indicator Scores'!$C$10:$C$161=$C89),0),
  _xlpm.c, MATCH(CL$8,'3. Enter Indicator Scores'!$D$8:$CZ$8,0),
  _xlpm.v, IFERROR(INDEX('3. Enter Indicator Scores'!$D$10:$CZ$161,_xlpm.r,_xlpm.c),""),
  IF(OR(_xlpm.w="",_xlpm.v=""),"",_xlpm.v*_xlpm.w)
)</f>
        <v/>
      </c>
      <c r="CM89" s="93" t="str" cm="1">
        <f t="array" ref="CM89">_xlfn.LET(
  _xlpm.w, CM$11,
  _xlpm.r, MATCH(1,('3. Enter Indicator Scores'!$B$10:$B$161=$B89)*('3. Enter Indicator Scores'!$C$10:$C$161=$C89),0),
  _xlpm.c, MATCH(CM$8,'3. Enter Indicator Scores'!$D$8:$CZ$8,0),
  _xlpm.v, IFERROR(INDEX('3. Enter Indicator Scores'!$D$10:$CZ$161,_xlpm.r,_xlpm.c),""),
  IF(OR(_xlpm.w="",_xlpm.v=""),"",_xlpm.v*_xlpm.w)
)</f>
        <v/>
      </c>
      <c r="CN89" s="93" t="str" cm="1">
        <f t="array" ref="CN89">_xlfn.LET(
  _xlpm.w, CN$11,
  _xlpm.r, MATCH(1,('3. Enter Indicator Scores'!$B$10:$B$161=$B89)*('3. Enter Indicator Scores'!$C$10:$C$161=$C89),0),
  _xlpm.c, MATCH(CN$8,'3. Enter Indicator Scores'!$D$8:$CZ$8,0),
  _xlpm.v, IFERROR(INDEX('3. Enter Indicator Scores'!$D$10:$CZ$161,_xlpm.r,_xlpm.c),""),
  IF(OR(_xlpm.w="",_xlpm.v=""),"",_xlpm.v*_xlpm.w)
)</f>
        <v/>
      </c>
      <c r="CO89" s="93" t="str" cm="1">
        <f t="array" ref="CO89">_xlfn.LET(
  _xlpm.w, CO$11,
  _xlpm.r, MATCH(1,('3. Enter Indicator Scores'!$B$10:$B$161=$B89)*('3. Enter Indicator Scores'!$C$10:$C$161=$C89),0),
  _xlpm.c, MATCH(CO$8,'3. Enter Indicator Scores'!$D$8:$CZ$8,0),
  _xlpm.v, IFERROR(INDEX('3. Enter Indicator Scores'!$D$10:$CZ$161,_xlpm.r,_xlpm.c),""),
  IF(OR(_xlpm.w="",_xlpm.v=""),"",_xlpm.v*_xlpm.w)
)</f>
        <v/>
      </c>
      <c r="CP89" s="93" t="str" cm="1">
        <f t="array" ref="CP89">_xlfn.LET(
  _xlpm.w, CP$11,
  _xlpm.r, MATCH(1,('3. Enter Indicator Scores'!$B$10:$B$161=$B89)*('3. Enter Indicator Scores'!$C$10:$C$161=$C89),0),
  _xlpm.c, MATCH(CP$8,'3. Enter Indicator Scores'!$D$8:$CZ$8,0),
  _xlpm.v, IFERROR(INDEX('3. Enter Indicator Scores'!$D$10:$CZ$161,_xlpm.r,_xlpm.c),""),
  IF(OR(_xlpm.w="",_xlpm.v=""),"",_xlpm.v*_xlpm.w)
)</f>
        <v/>
      </c>
      <c r="CQ89" s="93" t="str" cm="1">
        <f t="array" ref="CQ89">_xlfn.LET(
  _xlpm.w, CQ$11,
  _xlpm.r, MATCH(1,('3. Enter Indicator Scores'!$B$10:$B$161=$B89)*('3. Enter Indicator Scores'!$C$10:$C$161=$C89),0),
  _xlpm.c, MATCH(CQ$8,'3. Enter Indicator Scores'!$D$8:$CZ$8,0),
  _xlpm.v, IFERROR(INDEX('3. Enter Indicator Scores'!$D$10:$CZ$161,_xlpm.r,_xlpm.c),""),
  IF(OR(_xlpm.w="",_xlpm.v=""),"",_xlpm.v*_xlpm.w)
)</f>
        <v/>
      </c>
      <c r="CR89" s="93" t="str" cm="1">
        <f t="array" ref="CR89">_xlfn.LET(
  _xlpm.w, CR$11,
  _xlpm.r, MATCH(1,('3. Enter Indicator Scores'!$B$10:$B$161=$B89)*('3. Enter Indicator Scores'!$C$10:$C$161=$C89),0),
  _xlpm.c, MATCH(CR$8,'3. Enter Indicator Scores'!$D$8:$CZ$8,0),
  _xlpm.v, IFERROR(INDEX('3. Enter Indicator Scores'!$D$10:$CZ$161,_xlpm.r,_xlpm.c),""),
  IF(OR(_xlpm.w="",_xlpm.v=""),"",_xlpm.v*_xlpm.w)
)</f>
        <v/>
      </c>
      <c r="CS89" s="93" t="str" cm="1">
        <f t="array" ref="CS89">_xlfn.LET(
  _xlpm.w, CS$11,
  _xlpm.r, MATCH(1,('3. Enter Indicator Scores'!$B$10:$B$161=$B89)*('3. Enter Indicator Scores'!$C$10:$C$161=$C89),0),
  _xlpm.c, MATCH(CS$8,'3. Enter Indicator Scores'!$D$8:$CZ$8,0),
  _xlpm.v, IFERROR(INDEX('3. Enter Indicator Scores'!$D$10:$CZ$161,_xlpm.r,_xlpm.c),""),
  IF(OR(_xlpm.w="",_xlpm.v=""),"",_xlpm.v*_xlpm.w)
)</f>
        <v/>
      </c>
      <c r="CT89" s="93" t="str" cm="1">
        <f t="array" ref="CT89">_xlfn.LET(
  _xlpm.w, CT$11,
  _xlpm.r, MATCH(1,('3. Enter Indicator Scores'!$B$10:$B$161=$B89)*('3. Enter Indicator Scores'!$C$10:$C$161=$C89),0),
  _xlpm.c, MATCH(CT$8,'3. Enter Indicator Scores'!$D$8:$CZ$8,0),
  _xlpm.v, IFERROR(INDEX('3. Enter Indicator Scores'!$D$10:$CZ$161,_xlpm.r,_xlpm.c),""),
  IF(OR(_xlpm.w="",_xlpm.v=""),"",_xlpm.v*_xlpm.w)
)</f>
        <v/>
      </c>
      <c r="CU89" s="93" t="str" cm="1">
        <f t="array" ref="CU89">_xlfn.LET(
  _xlpm.w, CU$11,
  _xlpm.r, MATCH(1,('3. Enter Indicator Scores'!$B$10:$B$161=$B89)*('3. Enter Indicator Scores'!$C$10:$C$161=$C89),0),
  _xlpm.c, MATCH(CU$8,'3. Enter Indicator Scores'!$D$8:$CZ$8,0),
  _xlpm.v, IFERROR(INDEX('3. Enter Indicator Scores'!$D$10:$CZ$161,_xlpm.r,_xlpm.c),""),
  IF(OR(_xlpm.w="",_xlpm.v=""),"",_xlpm.v*_xlpm.w)
)</f>
        <v/>
      </c>
      <c r="CV89" s="93" t="str" cm="1">
        <f t="array" ref="CV89">_xlfn.LET(
  _xlpm.w, CV$11,
  _xlpm.r, MATCH(1,('3. Enter Indicator Scores'!$B$10:$B$161=$B89)*('3. Enter Indicator Scores'!$C$10:$C$161=$C89),0),
  _xlpm.c, MATCH(CV$8,'3. Enter Indicator Scores'!$D$8:$CZ$8,0),
  _xlpm.v, IFERROR(INDEX('3. Enter Indicator Scores'!$D$10:$CZ$161,_xlpm.r,_xlpm.c),""),
  IF(OR(_xlpm.w="",_xlpm.v=""),"",_xlpm.v*_xlpm.w)
)</f>
        <v/>
      </c>
      <c r="CW89" s="93" t="str" cm="1">
        <f t="array" ref="CW89">_xlfn.LET(
  _xlpm.w, CW$11,
  _xlpm.r, MATCH(1,('3. Enter Indicator Scores'!$B$10:$B$161=$B89)*('3. Enter Indicator Scores'!$C$10:$C$161=$C89),0),
  _xlpm.c, MATCH(CW$8,'3. Enter Indicator Scores'!$D$8:$CZ$8,0),
  _xlpm.v, IFERROR(INDEX('3. Enter Indicator Scores'!$D$10:$CZ$161,_xlpm.r,_xlpm.c),""),
  IF(OR(_xlpm.w="",_xlpm.v=""),"",_xlpm.v*_xlpm.w)
)</f>
        <v/>
      </c>
      <c r="CX89" s="93" t="str" cm="1">
        <f t="array" ref="CX89">_xlfn.LET(
  _xlpm.w, CX$11,
  _xlpm.r, MATCH(1,('3. Enter Indicator Scores'!$B$10:$B$161=$B89)*('3. Enter Indicator Scores'!$C$10:$C$161=$C89),0),
  _xlpm.c, MATCH(CX$8,'3. Enter Indicator Scores'!$D$8:$CZ$8,0),
  _xlpm.v, IFERROR(INDEX('3. Enter Indicator Scores'!$D$10:$CZ$161,_xlpm.r,_xlpm.c),""),
  IF(OR(_xlpm.w="",_xlpm.v=""),"",_xlpm.v*_xlpm.w)
)</f>
        <v/>
      </c>
      <c r="CY89" s="93" t="str" cm="1">
        <f t="array" ref="CY89">_xlfn.LET(
  _xlpm.w, CY$11,
  _xlpm.r, MATCH(1,('3. Enter Indicator Scores'!$B$10:$B$161=$B89)*('3. Enter Indicator Scores'!$C$10:$C$161=$C89),0),
  _xlpm.c, MATCH(CY$8,'3. Enter Indicator Scores'!$D$8:$CZ$8,0),
  _xlpm.v, IFERROR(INDEX('3. Enter Indicator Scores'!$D$10:$CZ$161,_xlpm.r,_xlpm.c),""),
  IF(OR(_xlpm.w="",_xlpm.v=""),"",_xlpm.v*_xlpm.w)
)</f>
        <v/>
      </c>
      <c r="CZ89" s="93" t="str" cm="1">
        <f t="array" ref="CZ89">_xlfn.LET(
  _xlpm.w, CZ$11,
  _xlpm.r, MATCH(1,('3. Enter Indicator Scores'!$B$10:$B$161=$B89)*('3. Enter Indicator Scores'!$C$10:$C$161=$C89),0),
  _xlpm.c, MATCH(CZ$8,'3. Enter Indicator Scores'!$D$8:$CZ$8,0),
  _xlpm.v, IFERROR(INDEX('3. Enter Indicator Scores'!$D$10:$CZ$161,_xlpm.r,_xlpm.c),""),
  IF(OR(_xlpm.w="",_xlpm.v=""),"",_xlpm.v*_xlpm.w)
)</f>
        <v/>
      </c>
    </row>
    <row r="90" spans="4:104" x14ac:dyDescent="0.2">
      <c r="D90" s="93" t="str" cm="1">
        <f t="array" ref="D90">_xlfn.LET(
  _xlpm.w, D$11,
  _xlpm.r, MATCH(1,('3. Enter Indicator Scores'!$B$10:$B$161=$B90)*('3. Enter Indicator Scores'!$C$10:$C$161=$C90),0),
  _xlpm.c, MATCH(D$8,'3. Enter Indicator Scores'!$D$8:$CZ$8,0),
  _xlpm.v, IFERROR(INDEX('3. Enter Indicator Scores'!$D$10:$CZ$161,_xlpm.r,_xlpm.c),""),
  IF(OR(_xlpm.w="",_xlpm.v=""),"",_xlpm.v*_xlpm.w)
)</f>
        <v/>
      </c>
      <c r="E90" s="93" t="str" cm="1">
        <f t="array" ref="E90">_xlfn.LET(
  _xlpm.w, E$11,
  _xlpm.r, MATCH(1,('3. Enter Indicator Scores'!$B$10:$B$161=$B90)*('3. Enter Indicator Scores'!$C$10:$C$161=$C90),0),
  _xlpm.c, MATCH(E$8,'3. Enter Indicator Scores'!$D$8:$CZ$8,0),
  _xlpm.v, IFERROR(INDEX('3. Enter Indicator Scores'!$D$10:$CZ$161,_xlpm.r,_xlpm.c),""),
  IF(OR(_xlpm.w="",_xlpm.v=""),"",_xlpm.v*_xlpm.w)
)</f>
        <v/>
      </c>
      <c r="F90" s="93" t="str" cm="1">
        <f t="array" ref="F90">_xlfn.LET(
  _xlpm.w, F$11,
  _xlpm.r, MATCH(1,('3. Enter Indicator Scores'!$B$10:$B$161=$B90)*('3. Enter Indicator Scores'!$C$10:$C$161=$C90),0),
  _xlpm.c, MATCH(F$8,'3. Enter Indicator Scores'!$D$8:$CZ$8,0),
  _xlpm.v, IFERROR(INDEX('3. Enter Indicator Scores'!$D$10:$CZ$161,_xlpm.r,_xlpm.c),""),
  IF(OR(_xlpm.w="",_xlpm.v=""),"",_xlpm.v*_xlpm.w)
)</f>
        <v/>
      </c>
      <c r="G90" s="93" t="str" cm="1">
        <f t="array" ref="G90">_xlfn.LET(
  _xlpm.w, G$11,
  _xlpm.r, MATCH(1,('3. Enter Indicator Scores'!$B$10:$B$161=$B90)*('3. Enter Indicator Scores'!$C$10:$C$161=$C90),0),
  _xlpm.c, MATCH(G$8,'3. Enter Indicator Scores'!$D$8:$CZ$8,0),
  _xlpm.v, IFERROR(INDEX('3. Enter Indicator Scores'!$D$10:$CZ$161,_xlpm.r,_xlpm.c),""),
  IF(OR(_xlpm.w="",_xlpm.v=""),"",_xlpm.v*_xlpm.w)
)</f>
        <v/>
      </c>
      <c r="H90" s="93" t="str" cm="1">
        <f t="array" ref="H90">_xlfn.LET(
  _xlpm.w, H$11,
  _xlpm.r, MATCH(1,('3. Enter Indicator Scores'!$B$10:$B$161=$B90)*('3. Enter Indicator Scores'!$C$10:$C$161=$C90),0),
  _xlpm.c, MATCH(H$8,'3. Enter Indicator Scores'!$D$8:$CZ$8,0),
  _xlpm.v, IFERROR(INDEX('3. Enter Indicator Scores'!$D$10:$CZ$161,_xlpm.r,_xlpm.c),""),
  IF(OR(_xlpm.w="",_xlpm.v=""),"",_xlpm.v*_xlpm.w)
)</f>
        <v/>
      </c>
      <c r="I90" s="93" t="str" cm="1">
        <f t="array" ref="I90">_xlfn.LET(
  _xlpm.w, I$11,
  _xlpm.r, MATCH(1,('3. Enter Indicator Scores'!$B$10:$B$161=$B90)*('3. Enter Indicator Scores'!$C$10:$C$161=$C90),0),
  _xlpm.c, MATCH(I$8,'3. Enter Indicator Scores'!$D$8:$CZ$8,0),
  _xlpm.v, IFERROR(INDEX('3. Enter Indicator Scores'!$D$10:$CZ$161,_xlpm.r,_xlpm.c),""),
  IF(OR(_xlpm.w="",_xlpm.v=""),"",_xlpm.v*_xlpm.w)
)</f>
        <v/>
      </c>
      <c r="J90" s="93" t="str" cm="1">
        <f t="array" ref="J90">_xlfn.LET(
  _xlpm.w, J$11,
  _xlpm.r, MATCH(1,('3. Enter Indicator Scores'!$B$10:$B$161=$B90)*('3. Enter Indicator Scores'!$C$10:$C$161=$C90),0),
  _xlpm.c, MATCH(J$8,'3. Enter Indicator Scores'!$D$8:$CZ$8,0),
  _xlpm.v, IFERROR(INDEX('3. Enter Indicator Scores'!$D$10:$CZ$161,_xlpm.r,_xlpm.c),""),
  IF(OR(_xlpm.w="",_xlpm.v=""),"",_xlpm.v*_xlpm.w)
)</f>
        <v/>
      </c>
      <c r="K90" s="93" t="str" cm="1">
        <f t="array" ref="K90">_xlfn.LET(
  _xlpm.w, K$11,
  _xlpm.r, MATCH(1,('3. Enter Indicator Scores'!$B$10:$B$161=$B90)*('3. Enter Indicator Scores'!$C$10:$C$161=$C90),0),
  _xlpm.c, MATCH(K$8,'3. Enter Indicator Scores'!$D$8:$CZ$8,0),
  _xlpm.v, IFERROR(INDEX('3. Enter Indicator Scores'!$D$10:$CZ$161,_xlpm.r,_xlpm.c),""),
  IF(OR(_xlpm.w="",_xlpm.v=""),"",_xlpm.v*_xlpm.w)
)</f>
        <v/>
      </c>
      <c r="L90" s="93" t="str" cm="1">
        <f t="array" ref="L90">_xlfn.LET(
  _xlpm.w, L$11,
  _xlpm.r, MATCH(1,('3. Enter Indicator Scores'!$B$10:$B$161=$B90)*('3. Enter Indicator Scores'!$C$10:$C$161=$C90),0),
  _xlpm.c, MATCH(L$8,'3. Enter Indicator Scores'!$D$8:$CZ$8,0),
  _xlpm.v, IFERROR(INDEX('3. Enter Indicator Scores'!$D$10:$CZ$161,_xlpm.r,_xlpm.c),""),
  IF(OR(_xlpm.w="",_xlpm.v=""),"",_xlpm.v*_xlpm.w)
)</f>
        <v/>
      </c>
      <c r="M90" s="93" t="str" cm="1">
        <f t="array" ref="M90">_xlfn.LET(
  _xlpm.w, M$11,
  _xlpm.r, MATCH(1,('3. Enter Indicator Scores'!$B$10:$B$161=$B90)*('3. Enter Indicator Scores'!$C$10:$C$161=$C90),0),
  _xlpm.c, MATCH(M$8,'3. Enter Indicator Scores'!$D$8:$CZ$8,0),
  _xlpm.v, IFERROR(INDEX('3. Enter Indicator Scores'!$D$10:$CZ$161,_xlpm.r,_xlpm.c),""),
  IF(OR(_xlpm.w="",_xlpm.v=""),"",_xlpm.v*_xlpm.w)
)</f>
        <v/>
      </c>
      <c r="N90" s="93" t="str" cm="1">
        <f t="array" ref="N90">_xlfn.LET(
  _xlpm.w, N$11,
  _xlpm.r, MATCH(1,('3. Enter Indicator Scores'!$B$10:$B$161=$B90)*('3. Enter Indicator Scores'!$C$10:$C$161=$C90),0),
  _xlpm.c, MATCH(N$8,'3. Enter Indicator Scores'!$D$8:$CZ$8,0),
  _xlpm.v, IFERROR(INDEX('3. Enter Indicator Scores'!$D$10:$CZ$161,_xlpm.r,_xlpm.c),""),
  IF(OR(_xlpm.w="",_xlpm.v=""),"",_xlpm.v*_xlpm.w)
)</f>
        <v/>
      </c>
      <c r="O90" s="93" t="str" cm="1">
        <f t="array" ref="O90">_xlfn.LET(
  _xlpm.w, O$11,
  _xlpm.r, MATCH(1,('3. Enter Indicator Scores'!$B$10:$B$161=$B90)*('3. Enter Indicator Scores'!$C$10:$C$161=$C90),0),
  _xlpm.c, MATCH(O$8,'3. Enter Indicator Scores'!$D$8:$CZ$8,0),
  _xlpm.v, IFERROR(INDEX('3. Enter Indicator Scores'!$D$10:$CZ$161,_xlpm.r,_xlpm.c),""),
  IF(OR(_xlpm.w="",_xlpm.v=""),"",_xlpm.v*_xlpm.w)
)</f>
        <v/>
      </c>
      <c r="P90" s="93" t="str" cm="1">
        <f t="array" ref="P90">_xlfn.LET(
  _xlpm.w, P$11,
  _xlpm.r, MATCH(1,('3. Enter Indicator Scores'!$B$10:$B$161=$B90)*('3. Enter Indicator Scores'!$C$10:$C$161=$C90),0),
  _xlpm.c, MATCH(P$8,'3. Enter Indicator Scores'!$D$8:$CZ$8,0),
  _xlpm.v, IFERROR(INDEX('3. Enter Indicator Scores'!$D$10:$CZ$161,_xlpm.r,_xlpm.c),""),
  IF(OR(_xlpm.w="",_xlpm.v=""),"",_xlpm.v*_xlpm.w)
)</f>
        <v/>
      </c>
      <c r="Q90" s="93" t="str" cm="1">
        <f t="array" ref="Q90">_xlfn.LET(
  _xlpm.w, Q$11,
  _xlpm.r, MATCH(1,('3. Enter Indicator Scores'!$B$10:$B$161=$B90)*('3. Enter Indicator Scores'!$C$10:$C$161=$C90),0),
  _xlpm.c, MATCH(Q$8,'3. Enter Indicator Scores'!$D$8:$CZ$8,0),
  _xlpm.v, IFERROR(INDEX('3. Enter Indicator Scores'!$D$10:$CZ$161,_xlpm.r,_xlpm.c),""),
  IF(OR(_xlpm.w="",_xlpm.v=""),"",_xlpm.v*_xlpm.w)
)</f>
        <v/>
      </c>
      <c r="R90" s="93" t="str" cm="1">
        <f t="array" ref="R90">_xlfn.LET(
  _xlpm.w, R$11,
  _xlpm.r, MATCH(1,('3. Enter Indicator Scores'!$B$10:$B$161=$B90)*('3. Enter Indicator Scores'!$C$10:$C$161=$C90),0),
  _xlpm.c, MATCH(R$8,'3. Enter Indicator Scores'!$D$8:$CZ$8,0),
  _xlpm.v, IFERROR(INDEX('3. Enter Indicator Scores'!$D$10:$CZ$161,_xlpm.r,_xlpm.c),""),
  IF(OR(_xlpm.w="",_xlpm.v=""),"",_xlpm.v*_xlpm.w)
)</f>
        <v/>
      </c>
      <c r="S90" s="93" t="str" cm="1">
        <f t="array" ref="S90">_xlfn.LET(
  _xlpm.w, S$11,
  _xlpm.r, MATCH(1,('3. Enter Indicator Scores'!$B$10:$B$161=$B90)*('3. Enter Indicator Scores'!$C$10:$C$161=$C90),0),
  _xlpm.c, MATCH(S$8,'3. Enter Indicator Scores'!$D$8:$CZ$8,0),
  _xlpm.v, IFERROR(INDEX('3. Enter Indicator Scores'!$D$10:$CZ$161,_xlpm.r,_xlpm.c),""),
  IF(OR(_xlpm.w="",_xlpm.v=""),"",_xlpm.v*_xlpm.w)
)</f>
        <v/>
      </c>
      <c r="T90" s="93" t="str" cm="1">
        <f t="array" ref="T90">_xlfn.LET(
  _xlpm.w, T$11,
  _xlpm.r, MATCH(1,('3. Enter Indicator Scores'!$B$10:$B$161=$B90)*('3. Enter Indicator Scores'!$C$10:$C$161=$C90),0),
  _xlpm.c, MATCH(T$8,'3. Enter Indicator Scores'!$D$8:$CZ$8,0),
  _xlpm.v, IFERROR(INDEX('3. Enter Indicator Scores'!$D$10:$CZ$161,_xlpm.r,_xlpm.c),""),
  IF(OR(_xlpm.w="",_xlpm.v=""),"",_xlpm.v*_xlpm.w)
)</f>
        <v/>
      </c>
      <c r="U90" s="93" t="str" cm="1">
        <f t="array" ref="U90">_xlfn.LET(
  _xlpm.w, U$11,
  _xlpm.r, MATCH(1,('3. Enter Indicator Scores'!$B$10:$B$161=$B90)*('3. Enter Indicator Scores'!$C$10:$C$161=$C90),0),
  _xlpm.c, MATCH(U$8,'3. Enter Indicator Scores'!$D$8:$CZ$8,0),
  _xlpm.v, IFERROR(INDEX('3. Enter Indicator Scores'!$D$10:$CZ$161,_xlpm.r,_xlpm.c),""),
  IF(OR(_xlpm.w="",_xlpm.v=""),"",_xlpm.v*_xlpm.w)
)</f>
        <v/>
      </c>
      <c r="V90" s="93" t="str" cm="1">
        <f t="array" ref="V90">_xlfn.LET(
  _xlpm.w, V$11,
  _xlpm.r, MATCH(1,('3. Enter Indicator Scores'!$B$10:$B$161=$B90)*('3. Enter Indicator Scores'!$C$10:$C$161=$C90),0),
  _xlpm.c, MATCH(V$8,'3. Enter Indicator Scores'!$D$8:$CZ$8,0),
  _xlpm.v, IFERROR(INDEX('3. Enter Indicator Scores'!$D$10:$CZ$161,_xlpm.r,_xlpm.c),""),
  IF(OR(_xlpm.w="",_xlpm.v=""),"",_xlpm.v*_xlpm.w)
)</f>
        <v/>
      </c>
      <c r="W90" s="93" t="str" cm="1">
        <f t="array" ref="W90">_xlfn.LET(
  _xlpm.w, W$11,
  _xlpm.r, MATCH(1,('3. Enter Indicator Scores'!$B$10:$B$161=$B90)*('3. Enter Indicator Scores'!$C$10:$C$161=$C90),0),
  _xlpm.c, MATCH(W$8,'3. Enter Indicator Scores'!$D$8:$CZ$8,0),
  _xlpm.v, IFERROR(INDEX('3. Enter Indicator Scores'!$D$10:$CZ$161,_xlpm.r,_xlpm.c),""),
  IF(OR(_xlpm.w="",_xlpm.v=""),"",_xlpm.v*_xlpm.w)
)</f>
        <v/>
      </c>
      <c r="X90" s="93" t="str" cm="1">
        <f t="array" ref="X90">_xlfn.LET(
  _xlpm.w, X$11,
  _xlpm.r, MATCH(1,('3. Enter Indicator Scores'!$B$10:$B$161=$B90)*('3. Enter Indicator Scores'!$C$10:$C$161=$C90),0),
  _xlpm.c, MATCH(X$8,'3. Enter Indicator Scores'!$D$8:$CZ$8,0),
  _xlpm.v, IFERROR(INDEX('3. Enter Indicator Scores'!$D$10:$CZ$161,_xlpm.r,_xlpm.c),""),
  IF(OR(_xlpm.w="",_xlpm.v=""),"",_xlpm.v*_xlpm.w)
)</f>
        <v/>
      </c>
      <c r="Y90" s="93" t="str" cm="1">
        <f t="array" ref="Y90">_xlfn.LET(
  _xlpm.w, Y$11,
  _xlpm.r, MATCH(1,('3. Enter Indicator Scores'!$B$10:$B$161=$B90)*('3. Enter Indicator Scores'!$C$10:$C$161=$C90),0),
  _xlpm.c, MATCH(Y$8,'3. Enter Indicator Scores'!$D$8:$CZ$8,0),
  _xlpm.v, IFERROR(INDEX('3. Enter Indicator Scores'!$D$10:$CZ$161,_xlpm.r,_xlpm.c),""),
  IF(OR(_xlpm.w="",_xlpm.v=""),"",_xlpm.v*_xlpm.w)
)</f>
        <v/>
      </c>
      <c r="Z90" s="93" t="str" cm="1">
        <f t="array" ref="Z90">_xlfn.LET(
  _xlpm.w, Z$11,
  _xlpm.r, MATCH(1,('3. Enter Indicator Scores'!$B$10:$B$161=$B90)*('3. Enter Indicator Scores'!$C$10:$C$161=$C90),0),
  _xlpm.c, MATCH(Z$8,'3. Enter Indicator Scores'!$D$8:$CZ$8,0),
  _xlpm.v, IFERROR(INDEX('3. Enter Indicator Scores'!$D$10:$CZ$161,_xlpm.r,_xlpm.c),""),
  IF(OR(_xlpm.w="",_xlpm.v=""),"",_xlpm.v*_xlpm.w)
)</f>
        <v/>
      </c>
      <c r="AA90" s="93" t="str" cm="1">
        <f t="array" ref="AA90">_xlfn.LET(
  _xlpm.w, AA$11,
  _xlpm.r, MATCH(1,('3. Enter Indicator Scores'!$B$10:$B$161=$B90)*('3. Enter Indicator Scores'!$C$10:$C$161=$C90),0),
  _xlpm.c, MATCH(AA$8,'3. Enter Indicator Scores'!$D$8:$CZ$8,0),
  _xlpm.v, IFERROR(INDEX('3. Enter Indicator Scores'!$D$10:$CZ$161,_xlpm.r,_xlpm.c),""),
  IF(OR(_xlpm.w="",_xlpm.v=""),"",_xlpm.v*_xlpm.w)
)</f>
        <v/>
      </c>
      <c r="AB90" s="93" t="str" cm="1">
        <f t="array" ref="AB90">_xlfn.LET(
  _xlpm.w, AB$11,
  _xlpm.r, MATCH(1,('3. Enter Indicator Scores'!$B$10:$B$161=$B90)*('3. Enter Indicator Scores'!$C$10:$C$161=$C90),0),
  _xlpm.c, MATCH(AB$8,'3. Enter Indicator Scores'!$D$8:$CZ$8,0),
  _xlpm.v, IFERROR(INDEX('3. Enter Indicator Scores'!$D$10:$CZ$161,_xlpm.r,_xlpm.c),""),
  IF(OR(_xlpm.w="",_xlpm.v=""),"",_xlpm.v*_xlpm.w)
)</f>
        <v/>
      </c>
      <c r="AC90" s="93" t="str" cm="1">
        <f t="array" ref="AC90">_xlfn.LET(
  _xlpm.w, AC$11,
  _xlpm.r, MATCH(1,('3. Enter Indicator Scores'!$B$10:$B$161=$B90)*('3. Enter Indicator Scores'!$C$10:$C$161=$C90),0),
  _xlpm.c, MATCH(AC$8,'3. Enter Indicator Scores'!$D$8:$CZ$8,0),
  _xlpm.v, IFERROR(INDEX('3. Enter Indicator Scores'!$D$10:$CZ$161,_xlpm.r,_xlpm.c),""),
  IF(OR(_xlpm.w="",_xlpm.v=""),"",_xlpm.v*_xlpm.w)
)</f>
        <v/>
      </c>
      <c r="AD90" s="93" t="str" cm="1">
        <f t="array" ref="AD90">_xlfn.LET(
  _xlpm.w, AD$11,
  _xlpm.r, MATCH(1,('3. Enter Indicator Scores'!$B$10:$B$161=$B90)*('3. Enter Indicator Scores'!$C$10:$C$161=$C90),0),
  _xlpm.c, MATCH(AD$8,'3. Enter Indicator Scores'!$D$8:$CZ$8,0),
  _xlpm.v, IFERROR(INDEX('3. Enter Indicator Scores'!$D$10:$CZ$161,_xlpm.r,_xlpm.c),""),
  IF(OR(_xlpm.w="",_xlpm.v=""),"",_xlpm.v*_xlpm.w)
)</f>
        <v/>
      </c>
      <c r="AE90" s="93" t="str" cm="1">
        <f t="array" ref="AE90">_xlfn.LET(
  _xlpm.w, AE$11,
  _xlpm.r, MATCH(1,('3. Enter Indicator Scores'!$B$10:$B$161=$B90)*('3. Enter Indicator Scores'!$C$10:$C$161=$C90),0),
  _xlpm.c, MATCH(AE$8,'3. Enter Indicator Scores'!$D$8:$CZ$8,0),
  _xlpm.v, IFERROR(INDEX('3. Enter Indicator Scores'!$D$10:$CZ$161,_xlpm.r,_xlpm.c),""),
  IF(OR(_xlpm.w="",_xlpm.v=""),"",_xlpm.v*_xlpm.w)
)</f>
        <v/>
      </c>
      <c r="AF90" s="93" t="str" cm="1">
        <f t="array" ref="AF90">_xlfn.LET(
  _xlpm.w, AF$11,
  _xlpm.r, MATCH(1,('3. Enter Indicator Scores'!$B$10:$B$161=$B90)*('3. Enter Indicator Scores'!$C$10:$C$161=$C90),0),
  _xlpm.c, MATCH(AF$8,'3. Enter Indicator Scores'!$D$8:$CZ$8,0),
  _xlpm.v, IFERROR(INDEX('3. Enter Indicator Scores'!$D$10:$CZ$161,_xlpm.r,_xlpm.c),""),
  IF(OR(_xlpm.w="",_xlpm.v=""),"",_xlpm.v*_xlpm.w)
)</f>
        <v/>
      </c>
      <c r="AG90" s="93" t="str" cm="1">
        <f t="array" ref="AG90">_xlfn.LET(
  _xlpm.w, AG$11,
  _xlpm.r, MATCH(1,('3. Enter Indicator Scores'!$B$10:$B$161=$B90)*('3. Enter Indicator Scores'!$C$10:$C$161=$C90),0),
  _xlpm.c, MATCH(AG$8,'3. Enter Indicator Scores'!$D$8:$CZ$8,0),
  _xlpm.v, IFERROR(INDEX('3. Enter Indicator Scores'!$D$10:$CZ$161,_xlpm.r,_xlpm.c),""),
  IF(OR(_xlpm.w="",_xlpm.v=""),"",_xlpm.v*_xlpm.w)
)</f>
        <v/>
      </c>
      <c r="AH90" s="93" t="str" cm="1">
        <f t="array" ref="AH90">_xlfn.LET(
  _xlpm.w, AH$11,
  _xlpm.r, MATCH(1,('3. Enter Indicator Scores'!$B$10:$B$161=$B90)*('3. Enter Indicator Scores'!$C$10:$C$161=$C90),0),
  _xlpm.c, MATCH(AH$8,'3. Enter Indicator Scores'!$D$8:$CZ$8,0),
  _xlpm.v, IFERROR(INDEX('3. Enter Indicator Scores'!$D$10:$CZ$161,_xlpm.r,_xlpm.c),""),
  IF(OR(_xlpm.w="",_xlpm.v=""),"",_xlpm.v*_xlpm.w)
)</f>
        <v/>
      </c>
      <c r="AI90" s="93" t="str" cm="1">
        <f t="array" ref="AI90">_xlfn.LET(
  _xlpm.w, AI$11,
  _xlpm.r, MATCH(1,('3. Enter Indicator Scores'!$B$10:$B$161=$B90)*('3. Enter Indicator Scores'!$C$10:$C$161=$C90),0),
  _xlpm.c, MATCH(AI$8,'3. Enter Indicator Scores'!$D$8:$CZ$8,0),
  _xlpm.v, IFERROR(INDEX('3. Enter Indicator Scores'!$D$10:$CZ$161,_xlpm.r,_xlpm.c),""),
  IF(OR(_xlpm.w="",_xlpm.v=""),"",_xlpm.v*_xlpm.w)
)</f>
        <v/>
      </c>
      <c r="AJ90" s="93" t="str" cm="1">
        <f t="array" ref="AJ90">_xlfn.LET(
  _xlpm.w, AJ$11,
  _xlpm.r, MATCH(1,('3. Enter Indicator Scores'!$B$10:$B$161=$B90)*('3. Enter Indicator Scores'!$C$10:$C$161=$C90),0),
  _xlpm.c, MATCH(AJ$8,'3. Enter Indicator Scores'!$D$8:$CZ$8,0),
  _xlpm.v, IFERROR(INDEX('3. Enter Indicator Scores'!$D$10:$CZ$161,_xlpm.r,_xlpm.c),""),
  IF(OR(_xlpm.w="",_xlpm.v=""),"",_xlpm.v*_xlpm.w)
)</f>
        <v/>
      </c>
      <c r="AK90" s="93" t="str" cm="1">
        <f t="array" ref="AK90">_xlfn.LET(
  _xlpm.w, AK$11,
  _xlpm.r, MATCH(1,('3. Enter Indicator Scores'!$B$10:$B$161=$B90)*('3. Enter Indicator Scores'!$C$10:$C$161=$C90),0),
  _xlpm.c, MATCH(AK$8,'3. Enter Indicator Scores'!$D$8:$CZ$8,0),
  _xlpm.v, IFERROR(INDEX('3. Enter Indicator Scores'!$D$10:$CZ$161,_xlpm.r,_xlpm.c),""),
  IF(OR(_xlpm.w="",_xlpm.v=""),"",_xlpm.v*_xlpm.w)
)</f>
        <v/>
      </c>
      <c r="AL90" s="93" t="str" cm="1">
        <f t="array" ref="AL90">_xlfn.LET(
  _xlpm.w, AL$11,
  _xlpm.r, MATCH(1,('3. Enter Indicator Scores'!$B$10:$B$161=$B90)*('3. Enter Indicator Scores'!$C$10:$C$161=$C90),0),
  _xlpm.c, MATCH(AL$8,'3. Enter Indicator Scores'!$D$8:$CZ$8,0),
  _xlpm.v, IFERROR(INDEX('3. Enter Indicator Scores'!$D$10:$CZ$161,_xlpm.r,_xlpm.c),""),
  IF(OR(_xlpm.w="",_xlpm.v=""),"",_xlpm.v*_xlpm.w)
)</f>
        <v/>
      </c>
      <c r="AM90" s="93" t="str" cm="1">
        <f t="array" ref="AM90">_xlfn.LET(
  _xlpm.w, AM$11,
  _xlpm.r, MATCH(1,('3. Enter Indicator Scores'!$B$10:$B$161=$B90)*('3. Enter Indicator Scores'!$C$10:$C$161=$C90),0),
  _xlpm.c, MATCH(AM$8,'3. Enter Indicator Scores'!$D$8:$CZ$8,0),
  _xlpm.v, IFERROR(INDEX('3. Enter Indicator Scores'!$D$10:$CZ$161,_xlpm.r,_xlpm.c),""),
  IF(OR(_xlpm.w="",_xlpm.v=""),"",_xlpm.v*_xlpm.w)
)</f>
        <v/>
      </c>
      <c r="AN90" s="93" t="str" cm="1">
        <f t="array" ref="AN90">_xlfn.LET(
  _xlpm.w, AN$11,
  _xlpm.r, MATCH(1,('3. Enter Indicator Scores'!$B$10:$B$161=$B90)*('3. Enter Indicator Scores'!$C$10:$C$161=$C90),0),
  _xlpm.c, MATCH(AN$8,'3. Enter Indicator Scores'!$D$8:$CZ$8,0),
  _xlpm.v, IFERROR(INDEX('3. Enter Indicator Scores'!$D$10:$CZ$161,_xlpm.r,_xlpm.c),""),
  IF(OR(_xlpm.w="",_xlpm.v=""),"",_xlpm.v*_xlpm.w)
)</f>
        <v/>
      </c>
      <c r="AO90" s="93" t="str" cm="1">
        <f t="array" ref="AO90">_xlfn.LET(
  _xlpm.w, AO$11,
  _xlpm.r, MATCH(1,('3. Enter Indicator Scores'!$B$10:$B$161=$B90)*('3. Enter Indicator Scores'!$C$10:$C$161=$C90),0),
  _xlpm.c, MATCH(AO$8,'3. Enter Indicator Scores'!$D$8:$CZ$8,0),
  _xlpm.v, IFERROR(INDEX('3. Enter Indicator Scores'!$D$10:$CZ$161,_xlpm.r,_xlpm.c),""),
  IF(OR(_xlpm.w="",_xlpm.v=""),"",_xlpm.v*_xlpm.w)
)</f>
        <v/>
      </c>
      <c r="AP90" s="93" t="str" cm="1">
        <f t="array" ref="AP90">_xlfn.LET(
  _xlpm.w, AP$11,
  _xlpm.r, MATCH(1,('3. Enter Indicator Scores'!$B$10:$B$161=$B90)*('3. Enter Indicator Scores'!$C$10:$C$161=$C90),0),
  _xlpm.c, MATCH(AP$8,'3. Enter Indicator Scores'!$D$8:$CZ$8,0),
  _xlpm.v, IFERROR(INDEX('3. Enter Indicator Scores'!$D$10:$CZ$161,_xlpm.r,_xlpm.c),""),
  IF(OR(_xlpm.w="",_xlpm.v=""),"",_xlpm.v*_xlpm.w)
)</f>
        <v/>
      </c>
      <c r="AQ90" s="93" t="str" cm="1">
        <f t="array" ref="AQ90">_xlfn.LET(
  _xlpm.w, AQ$11,
  _xlpm.r, MATCH(1,('3. Enter Indicator Scores'!$B$10:$B$161=$B90)*('3. Enter Indicator Scores'!$C$10:$C$161=$C90),0),
  _xlpm.c, MATCH(AQ$8,'3. Enter Indicator Scores'!$D$8:$CZ$8,0),
  _xlpm.v, IFERROR(INDEX('3. Enter Indicator Scores'!$D$10:$CZ$161,_xlpm.r,_xlpm.c),""),
  IF(OR(_xlpm.w="",_xlpm.v=""),"",_xlpm.v*_xlpm.w)
)</f>
        <v/>
      </c>
      <c r="AR90" s="93" t="str" cm="1">
        <f t="array" ref="AR90">_xlfn.LET(
  _xlpm.w, AR$11,
  _xlpm.r, MATCH(1,('3. Enter Indicator Scores'!$B$10:$B$161=$B90)*('3. Enter Indicator Scores'!$C$10:$C$161=$C90),0),
  _xlpm.c, MATCH(AR$8,'3. Enter Indicator Scores'!$D$8:$CZ$8,0),
  _xlpm.v, IFERROR(INDEX('3. Enter Indicator Scores'!$D$10:$CZ$161,_xlpm.r,_xlpm.c),""),
  IF(OR(_xlpm.w="",_xlpm.v=""),"",_xlpm.v*_xlpm.w)
)</f>
        <v/>
      </c>
      <c r="AS90" s="93" t="str" cm="1">
        <f t="array" ref="AS90">_xlfn.LET(
  _xlpm.w, AS$11,
  _xlpm.r, MATCH(1,('3. Enter Indicator Scores'!$B$10:$B$161=$B90)*('3. Enter Indicator Scores'!$C$10:$C$161=$C90),0),
  _xlpm.c, MATCH(AS$8,'3. Enter Indicator Scores'!$D$8:$CZ$8,0),
  _xlpm.v, IFERROR(INDEX('3. Enter Indicator Scores'!$D$10:$CZ$161,_xlpm.r,_xlpm.c),""),
  IF(OR(_xlpm.w="",_xlpm.v=""),"",_xlpm.v*_xlpm.w)
)</f>
        <v/>
      </c>
      <c r="AT90" s="93" t="str" cm="1">
        <f t="array" ref="AT90">_xlfn.LET(
  _xlpm.w, AT$11,
  _xlpm.r, MATCH(1,('3. Enter Indicator Scores'!$B$10:$B$161=$B90)*('3. Enter Indicator Scores'!$C$10:$C$161=$C90),0),
  _xlpm.c, MATCH(AT$8,'3. Enter Indicator Scores'!$D$8:$CZ$8,0),
  _xlpm.v, IFERROR(INDEX('3. Enter Indicator Scores'!$D$10:$CZ$161,_xlpm.r,_xlpm.c),""),
  IF(OR(_xlpm.w="",_xlpm.v=""),"",_xlpm.v*_xlpm.w)
)</f>
        <v/>
      </c>
      <c r="AU90" s="93" t="str" cm="1">
        <f t="array" ref="AU90">_xlfn.LET(
  _xlpm.w, AU$11,
  _xlpm.r, MATCH(1,('3. Enter Indicator Scores'!$B$10:$B$161=$B90)*('3. Enter Indicator Scores'!$C$10:$C$161=$C90),0),
  _xlpm.c, MATCH(AU$8,'3. Enter Indicator Scores'!$D$8:$CZ$8,0),
  _xlpm.v, IFERROR(INDEX('3. Enter Indicator Scores'!$D$10:$CZ$161,_xlpm.r,_xlpm.c),""),
  IF(OR(_xlpm.w="",_xlpm.v=""),"",_xlpm.v*_xlpm.w)
)</f>
        <v/>
      </c>
      <c r="AV90" s="93" t="str" cm="1">
        <f t="array" ref="AV90">_xlfn.LET(
  _xlpm.w, AV$11,
  _xlpm.r, MATCH(1,('3. Enter Indicator Scores'!$B$10:$B$161=$B90)*('3. Enter Indicator Scores'!$C$10:$C$161=$C90),0),
  _xlpm.c, MATCH(AV$8,'3. Enter Indicator Scores'!$D$8:$CZ$8,0),
  _xlpm.v, IFERROR(INDEX('3. Enter Indicator Scores'!$D$10:$CZ$161,_xlpm.r,_xlpm.c),""),
  IF(OR(_xlpm.w="",_xlpm.v=""),"",_xlpm.v*_xlpm.w)
)</f>
        <v/>
      </c>
      <c r="AW90" s="93" t="str" cm="1">
        <f t="array" ref="AW90">_xlfn.LET(
  _xlpm.w, AW$11,
  _xlpm.r, MATCH(1,('3. Enter Indicator Scores'!$B$10:$B$161=$B90)*('3. Enter Indicator Scores'!$C$10:$C$161=$C90),0),
  _xlpm.c, MATCH(AW$8,'3. Enter Indicator Scores'!$D$8:$CZ$8,0),
  _xlpm.v, IFERROR(INDEX('3. Enter Indicator Scores'!$D$10:$CZ$161,_xlpm.r,_xlpm.c),""),
  IF(OR(_xlpm.w="",_xlpm.v=""),"",_xlpm.v*_xlpm.w)
)</f>
        <v/>
      </c>
      <c r="AX90" s="93" t="str" cm="1">
        <f t="array" ref="AX90">_xlfn.LET(
  _xlpm.w, AX$11,
  _xlpm.r, MATCH(1,('3. Enter Indicator Scores'!$B$10:$B$161=$B90)*('3. Enter Indicator Scores'!$C$10:$C$161=$C90),0),
  _xlpm.c, MATCH(AX$8,'3. Enter Indicator Scores'!$D$8:$CZ$8,0),
  _xlpm.v, IFERROR(INDEX('3. Enter Indicator Scores'!$D$10:$CZ$161,_xlpm.r,_xlpm.c),""),
  IF(OR(_xlpm.w="",_xlpm.v=""),"",_xlpm.v*_xlpm.w)
)</f>
        <v/>
      </c>
      <c r="AY90" s="93" t="str" cm="1">
        <f t="array" ref="AY90">_xlfn.LET(
  _xlpm.w, AY$11,
  _xlpm.r, MATCH(1,('3. Enter Indicator Scores'!$B$10:$B$161=$B90)*('3. Enter Indicator Scores'!$C$10:$C$161=$C90),0),
  _xlpm.c, MATCH(AY$8,'3. Enter Indicator Scores'!$D$8:$CZ$8,0),
  _xlpm.v, IFERROR(INDEX('3. Enter Indicator Scores'!$D$10:$CZ$161,_xlpm.r,_xlpm.c),""),
  IF(OR(_xlpm.w="",_xlpm.v=""),"",_xlpm.v*_xlpm.w)
)</f>
        <v/>
      </c>
      <c r="AZ90" s="93" t="str" cm="1">
        <f t="array" ref="AZ90">_xlfn.LET(
  _xlpm.w, AZ$11,
  _xlpm.r, MATCH(1,('3. Enter Indicator Scores'!$B$10:$B$161=$B90)*('3. Enter Indicator Scores'!$C$10:$C$161=$C90),0),
  _xlpm.c, MATCH(AZ$8,'3. Enter Indicator Scores'!$D$8:$CZ$8,0),
  _xlpm.v, IFERROR(INDEX('3. Enter Indicator Scores'!$D$10:$CZ$161,_xlpm.r,_xlpm.c),""),
  IF(OR(_xlpm.w="",_xlpm.v=""),"",_xlpm.v*_xlpm.w)
)</f>
        <v/>
      </c>
      <c r="BA90" s="93" t="str" cm="1">
        <f t="array" ref="BA90">_xlfn.LET(
  _xlpm.w, BA$11,
  _xlpm.r, MATCH(1,('3. Enter Indicator Scores'!$B$10:$B$161=$B90)*('3. Enter Indicator Scores'!$C$10:$C$161=$C90),0),
  _xlpm.c, MATCH(BA$8,'3. Enter Indicator Scores'!$D$8:$CZ$8,0),
  _xlpm.v, IFERROR(INDEX('3. Enter Indicator Scores'!$D$10:$CZ$161,_xlpm.r,_xlpm.c),""),
  IF(OR(_xlpm.w="",_xlpm.v=""),"",_xlpm.v*_xlpm.w)
)</f>
        <v/>
      </c>
      <c r="BB90" s="93" t="str" cm="1">
        <f t="array" ref="BB90">_xlfn.LET(
  _xlpm.w, BB$11,
  _xlpm.r, MATCH(1,('3. Enter Indicator Scores'!$B$10:$B$161=$B90)*('3. Enter Indicator Scores'!$C$10:$C$161=$C90),0),
  _xlpm.c, MATCH(BB$8,'3. Enter Indicator Scores'!$D$8:$CZ$8,0),
  _xlpm.v, IFERROR(INDEX('3. Enter Indicator Scores'!$D$10:$CZ$161,_xlpm.r,_xlpm.c),""),
  IF(OR(_xlpm.w="",_xlpm.v=""),"",_xlpm.v*_xlpm.w)
)</f>
        <v/>
      </c>
      <c r="BC90" s="93" t="str" cm="1">
        <f t="array" ref="BC90">_xlfn.LET(
  _xlpm.w, BC$11,
  _xlpm.r, MATCH(1,('3. Enter Indicator Scores'!$B$10:$B$161=$B90)*('3. Enter Indicator Scores'!$C$10:$C$161=$C90),0),
  _xlpm.c, MATCH(BC$8,'3. Enter Indicator Scores'!$D$8:$CZ$8,0),
  _xlpm.v, IFERROR(INDEX('3. Enter Indicator Scores'!$D$10:$CZ$161,_xlpm.r,_xlpm.c),""),
  IF(OR(_xlpm.w="",_xlpm.v=""),"",_xlpm.v*_xlpm.w)
)</f>
        <v/>
      </c>
      <c r="BD90" s="93" t="str" cm="1">
        <f t="array" ref="BD90">_xlfn.LET(
  _xlpm.w, BD$11,
  _xlpm.r, MATCH(1,('3. Enter Indicator Scores'!$B$10:$B$161=$B90)*('3. Enter Indicator Scores'!$C$10:$C$161=$C90),0),
  _xlpm.c, MATCH(BD$8,'3. Enter Indicator Scores'!$D$8:$CZ$8,0),
  _xlpm.v, IFERROR(INDEX('3. Enter Indicator Scores'!$D$10:$CZ$161,_xlpm.r,_xlpm.c),""),
  IF(OR(_xlpm.w="",_xlpm.v=""),"",_xlpm.v*_xlpm.w)
)</f>
        <v/>
      </c>
      <c r="BE90" s="93" t="str" cm="1">
        <f t="array" ref="BE90">_xlfn.LET(
  _xlpm.w, BE$11,
  _xlpm.r, MATCH(1,('3. Enter Indicator Scores'!$B$10:$B$161=$B90)*('3. Enter Indicator Scores'!$C$10:$C$161=$C90),0),
  _xlpm.c, MATCH(BE$8,'3. Enter Indicator Scores'!$D$8:$CZ$8,0),
  _xlpm.v, IFERROR(INDEX('3. Enter Indicator Scores'!$D$10:$CZ$161,_xlpm.r,_xlpm.c),""),
  IF(OR(_xlpm.w="",_xlpm.v=""),"",_xlpm.v*_xlpm.w)
)</f>
        <v/>
      </c>
      <c r="BF90" s="93" t="str" cm="1">
        <f t="array" ref="BF90">_xlfn.LET(
  _xlpm.w, BF$11,
  _xlpm.r, MATCH(1,('3. Enter Indicator Scores'!$B$10:$B$161=$B90)*('3. Enter Indicator Scores'!$C$10:$C$161=$C90),0),
  _xlpm.c, MATCH(BF$8,'3. Enter Indicator Scores'!$D$8:$CZ$8,0),
  _xlpm.v, IFERROR(INDEX('3. Enter Indicator Scores'!$D$10:$CZ$161,_xlpm.r,_xlpm.c),""),
  IF(OR(_xlpm.w="",_xlpm.v=""),"",_xlpm.v*_xlpm.w)
)</f>
        <v/>
      </c>
      <c r="BG90" s="93" t="str" cm="1">
        <f t="array" ref="BG90">_xlfn.LET(
  _xlpm.w, BG$11,
  _xlpm.r, MATCH(1,('3. Enter Indicator Scores'!$B$10:$B$161=$B90)*('3. Enter Indicator Scores'!$C$10:$C$161=$C90),0),
  _xlpm.c, MATCH(BG$8,'3. Enter Indicator Scores'!$D$8:$CZ$8,0),
  _xlpm.v, IFERROR(INDEX('3. Enter Indicator Scores'!$D$10:$CZ$161,_xlpm.r,_xlpm.c),""),
  IF(OR(_xlpm.w="",_xlpm.v=""),"",_xlpm.v*_xlpm.w)
)</f>
        <v/>
      </c>
      <c r="BH90" s="93" t="str" cm="1">
        <f t="array" ref="BH90">_xlfn.LET(
  _xlpm.w, BH$11,
  _xlpm.r, MATCH(1,('3. Enter Indicator Scores'!$B$10:$B$161=$B90)*('3. Enter Indicator Scores'!$C$10:$C$161=$C90),0),
  _xlpm.c, MATCH(BH$8,'3. Enter Indicator Scores'!$D$8:$CZ$8,0),
  _xlpm.v, IFERROR(INDEX('3. Enter Indicator Scores'!$D$10:$CZ$161,_xlpm.r,_xlpm.c),""),
  IF(OR(_xlpm.w="",_xlpm.v=""),"",_xlpm.v*_xlpm.w)
)</f>
        <v/>
      </c>
      <c r="BI90" s="93" t="str" cm="1">
        <f t="array" ref="BI90">_xlfn.LET(
  _xlpm.w, BI$11,
  _xlpm.r, MATCH(1,('3. Enter Indicator Scores'!$B$10:$B$161=$B90)*('3. Enter Indicator Scores'!$C$10:$C$161=$C90),0),
  _xlpm.c, MATCH(BI$8,'3. Enter Indicator Scores'!$D$8:$CZ$8,0),
  _xlpm.v, IFERROR(INDEX('3. Enter Indicator Scores'!$D$10:$CZ$161,_xlpm.r,_xlpm.c),""),
  IF(OR(_xlpm.w="",_xlpm.v=""),"",_xlpm.v*_xlpm.w)
)</f>
        <v/>
      </c>
      <c r="BJ90" s="93" t="str" cm="1">
        <f t="array" ref="BJ90">_xlfn.LET(
  _xlpm.w, BJ$11,
  _xlpm.r, MATCH(1,('3. Enter Indicator Scores'!$B$10:$B$161=$B90)*('3. Enter Indicator Scores'!$C$10:$C$161=$C90),0),
  _xlpm.c, MATCH(BJ$8,'3. Enter Indicator Scores'!$D$8:$CZ$8,0),
  _xlpm.v, IFERROR(INDEX('3. Enter Indicator Scores'!$D$10:$CZ$161,_xlpm.r,_xlpm.c),""),
  IF(OR(_xlpm.w="",_xlpm.v=""),"",_xlpm.v*_xlpm.w)
)</f>
        <v/>
      </c>
      <c r="BK90" s="93" t="str" cm="1">
        <f t="array" ref="BK90">_xlfn.LET(
  _xlpm.w, BK$11,
  _xlpm.r, MATCH(1,('3. Enter Indicator Scores'!$B$10:$B$161=$B90)*('3. Enter Indicator Scores'!$C$10:$C$161=$C90),0),
  _xlpm.c, MATCH(BK$8,'3. Enter Indicator Scores'!$D$8:$CZ$8,0),
  _xlpm.v, IFERROR(INDEX('3. Enter Indicator Scores'!$D$10:$CZ$161,_xlpm.r,_xlpm.c),""),
  IF(OR(_xlpm.w="",_xlpm.v=""),"",_xlpm.v*_xlpm.w)
)</f>
        <v/>
      </c>
      <c r="BL90" s="93" t="str" cm="1">
        <f t="array" ref="BL90">_xlfn.LET(
  _xlpm.w, BL$11,
  _xlpm.r, MATCH(1,('3. Enter Indicator Scores'!$B$10:$B$161=$B90)*('3. Enter Indicator Scores'!$C$10:$C$161=$C90),0),
  _xlpm.c, MATCH(BL$8,'3. Enter Indicator Scores'!$D$8:$CZ$8,0),
  _xlpm.v, IFERROR(INDEX('3. Enter Indicator Scores'!$D$10:$CZ$161,_xlpm.r,_xlpm.c),""),
  IF(OR(_xlpm.w="",_xlpm.v=""),"",_xlpm.v*_xlpm.w)
)</f>
        <v/>
      </c>
      <c r="BM90" s="93" t="str" cm="1">
        <f t="array" ref="BM90">_xlfn.LET(
  _xlpm.w, BM$11,
  _xlpm.r, MATCH(1,('3. Enter Indicator Scores'!$B$10:$B$161=$B90)*('3. Enter Indicator Scores'!$C$10:$C$161=$C90),0),
  _xlpm.c, MATCH(BM$8,'3. Enter Indicator Scores'!$D$8:$CZ$8,0),
  _xlpm.v, IFERROR(INDEX('3. Enter Indicator Scores'!$D$10:$CZ$161,_xlpm.r,_xlpm.c),""),
  IF(OR(_xlpm.w="",_xlpm.v=""),"",_xlpm.v*_xlpm.w)
)</f>
        <v/>
      </c>
      <c r="BN90" s="93" t="str" cm="1">
        <f t="array" ref="BN90">_xlfn.LET(
  _xlpm.w, BN$11,
  _xlpm.r, MATCH(1,('3. Enter Indicator Scores'!$B$10:$B$161=$B90)*('3. Enter Indicator Scores'!$C$10:$C$161=$C90),0),
  _xlpm.c, MATCH(BN$8,'3. Enter Indicator Scores'!$D$8:$CZ$8,0),
  _xlpm.v, IFERROR(INDEX('3. Enter Indicator Scores'!$D$10:$CZ$161,_xlpm.r,_xlpm.c),""),
  IF(OR(_xlpm.w="",_xlpm.v=""),"",_xlpm.v*_xlpm.w)
)</f>
        <v/>
      </c>
      <c r="BO90" s="93" t="str" cm="1">
        <f t="array" ref="BO90">_xlfn.LET(
  _xlpm.w, BO$11,
  _xlpm.r, MATCH(1,('3. Enter Indicator Scores'!$B$10:$B$161=$B90)*('3. Enter Indicator Scores'!$C$10:$C$161=$C90),0),
  _xlpm.c, MATCH(BO$8,'3. Enter Indicator Scores'!$D$8:$CZ$8,0),
  _xlpm.v, IFERROR(INDEX('3. Enter Indicator Scores'!$D$10:$CZ$161,_xlpm.r,_xlpm.c),""),
  IF(OR(_xlpm.w="",_xlpm.v=""),"",_xlpm.v*_xlpm.w)
)</f>
        <v/>
      </c>
      <c r="BP90" s="93" t="str" cm="1">
        <f t="array" ref="BP90">_xlfn.LET(
  _xlpm.w, BP$11,
  _xlpm.r, MATCH(1,('3. Enter Indicator Scores'!$B$10:$B$161=$B90)*('3. Enter Indicator Scores'!$C$10:$C$161=$C90),0),
  _xlpm.c, MATCH(BP$8,'3. Enter Indicator Scores'!$D$8:$CZ$8,0),
  _xlpm.v, IFERROR(INDEX('3. Enter Indicator Scores'!$D$10:$CZ$161,_xlpm.r,_xlpm.c),""),
  IF(OR(_xlpm.w="",_xlpm.v=""),"",_xlpm.v*_xlpm.w)
)</f>
        <v/>
      </c>
      <c r="BQ90" s="93" t="str" cm="1">
        <f t="array" ref="BQ90">_xlfn.LET(
  _xlpm.w, BQ$11,
  _xlpm.r, MATCH(1,('3. Enter Indicator Scores'!$B$10:$B$161=$B90)*('3. Enter Indicator Scores'!$C$10:$C$161=$C90),0),
  _xlpm.c, MATCH(BQ$8,'3. Enter Indicator Scores'!$D$8:$CZ$8,0),
  _xlpm.v, IFERROR(INDEX('3. Enter Indicator Scores'!$D$10:$CZ$161,_xlpm.r,_xlpm.c),""),
  IF(OR(_xlpm.w="",_xlpm.v=""),"",_xlpm.v*_xlpm.w)
)</f>
        <v/>
      </c>
      <c r="BR90" s="93" t="str" cm="1">
        <f t="array" ref="BR90">_xlfn.LET(
  _xlpm.w, BR$11,
  _xlpm.r, MATCH(1,('3. Enter Indicator Scores'!$B$10:$B$161=$B90)*('3. Enter Indicator Scores'!$C$10:$C$161=$C90),0),
  _xlpm.c, MATCH(BR$8,'3. Enter Indicator Scores'!$D$8:$CZ$8,0),
  _xlpm.v, IFERROR(INDEX('3. Enter Indicator Scores'!$D$10:$CZ$161,_xlpm.r,_xlpm.c),""),
  IF(OR(_xlpm.w="",_xlpm.v=""),"",_xlpm.v*_xlpm.w)
)</f>
        <v/>
      </c>
      <c r="BS90" s="93" t="str" cm="1">
        <f t="array" ref="BS90">_xlfn.LET(
  _xlpm.w, BS$11,
  _xlpm.r, MATCH(1,('3. Enter Indicator Scores'!$B$10:$B$161=$B90)*('3. Enter Indicator Scores'!$C$10:$C$161=$C90),0),
  _xlpm.c, MATCH(BS$8,'3. Enter Indicator Scores'!$D$8:$CZ$8,0),
  _xlpm.v, IFERROR(INDEX('3. Enter Indicator Scores'!$D$10:$CZ$161,_xlpm.r,_xlpm.c),""),
  IF(OR(_xlpm.w="",_xlpm.v=""),"",_xlpm.v*_xlpm.w)
)</f>
        <v/>
      </c>
      <c r="BT90" s="93" t="str" cm="1">
        <f t="array" ref="BT90">_xlfn.LET(
  _xlpm.w, BT$11,
  _xlpm.r, MATCH(1,('3. Enter Indicator Scores'!$B$10:$B$161=$B90)*('3. Enter Indicator Scores'!$C$10:$C$161=$C90),0),
  _xlpm.c, MATCH(BT$8,'3. Enter Indicator Scores'!$D$8:$CZ$8,0),
  _xlpm.v, IFERROR(INDEX('3. Enter Indicator Scores'!$D$10:$CZ$161,_xlpm.r,_xlpm.c),""),
  IF(OR(_xlpm.w="",_xlpm.v=""),"",_xlpm.v*_xlpm.w)
)</f>
        <v/>
      </c>
      <c r="BU90" s="93" t="str" cm="1">
        <f t="array" ref="BU90">_xlfn.LET(
  _xlpm.w, BU$11,
  _xlpm.r, MATCH(1,('3. Enter Indicator Scores'!$B$10:$B$161=$B90)*('3. Enter Indicator Scores'!$C$10:$C$161=$C90),0),
  _xlpm.c, MATCH(BU$8,'3. Enter Indicator Scores'!$D$8:$CZ$8,0),
  _xlpm.v, IFERROR(INDEX('3. Enter Indicator Scores'!$D$10:$CZ$161,_xlpm.r,_xlpm.c),""),
  IF(OR(_xlpm.w="",_xlpm.v=""),"",_xlpm.v*_xlpm.w)
)</f>
        <v/>
      </c>
      <c r="BV90" s="93" t="str" cm="1">
        <f t="array" ref="BV90">_xlfn.LET(
  _xlpm.w, BV$11,
  _xlpm.r, MATCH(1,('3. Enter Indicator Scores'!$B$10:$B$161=$B90)*('3. Enter Indicator Scores'!$C$10:$C$161=$C90),0),
  _xlpm.c, MATCH(BV$8,'3. Enter Indicator Scores'!$D$8:$CZ$8,0),
  _xlpm.v, IFERROR(INDEX('3. Enter Indicator Scores'!$D$10:$CZ$161,_xlpm.r,_xlpm.c),""),
  IF(OR(_xlpm.w="",_xlpm.v=""),"",_xlpm.v*_xlpm.w)
)</f>
        <v/>
      </c>
      <c r="BW90" s="93" t="str" cm="1">
        <f t="array" ref="BW90">_xlfn.LET(
  _xlpm.w, BW$11,
  _xlpm.r, MATCH(1,('3. Enter Indicator Scores'!$B$10:$B$161=$B90)*('3. Enter Indicator Scores'!$C$10:$C$161=$C90),0),
  _xlpm.c, MATCH(BW$8,'3. Enter Indicator Scores'!$D$8:$CZ$8,0),
  _xlpm.v, IFERROR(INDEX('3. Enter Indicator Scores'!$D$10:$CZ$161,_xlpm.r,_xlpm.c),""),
  IF(OR(_xlpm.w="",_xlpm.v=""),"",_xlpm.v*_xlpm.w)
)</f>
        <v/>
      </c>
      <c r="BX90" s="93" t="str" cm="1">
        <f t="array" ref="BX90">_xlfn.LET(
  _xlpm.w, BX$11,
  _xlpm.r, MATCH(1,('3. Enter Indicator Scores'!$B$10:$B$161=$B90)*('3. Enter Indicator Scores'!$C$10:$C$161=$C90),0),
  _xlpm.c, MATCH(BX$8,'3. Enter Indicator Scores'!$D$8:$CZ$8,0),
  _xlpm.v, IFERROR(INDEX('3. Enter Indicator Scores'!$D$10:$CZ$161,_xlpm.r,_xlpm.c),""),
  IF(OR(_xlpm.w="",_xlpm.v=""),"",_xlpm.v*_xlpm.w)
)</f>
        <v/>
      </c>
      <c r="BY90" s="93" t="str" cm="1">
        <f t="array" ref="BY90">_xlfn.LET(
  _xlpm.w, BY$11,
  _xlpm.r, MATCH(1,('3. Enter Indicator Scores'!$B$10:$B$161=$B90)*('3. Enter Indicator Scores'!$C$10:$C$161=$C90),0),
  _xlpm.c, MATCH(BY$8,'3. Enter Indicator Scores'!$D$8:$CZ$8,0),
  _xlpm.v, IFERROR(INDEX('3. Enter Indicator Scores'!$D$10:$CZ$161,_xlpm.r,_xlpm.c),""),
  IF(OR(_xlpm.w="",_xlpm.v=""),"",_xlpm.v*_xlpm.w)
)</f>
        <v/>
      </c>
      <c r="BZ90" s="93" t="str" cm="1">
        <f t="array" ref="BZ90">_xlfn.LET(
  _xlpm.w, BZ$11,
  _xlpm.r, MATCH(1,('3. Enter Indicator Scores'!$B$10:$B$161=$B90)*('3. Enter Indicator Scores'!$C$10:$C$161=$C90),0),
  _xlpm.c, MATCH(BZ$8,'3. Enter Indicator Scores'!$D$8:$CZ$8,0),
  _xlpm.v, IFERROR(INDEX('3. Enter Indicator Scores'!$D$10:$CZ$161,_xlpm.r,_xlpm.c),""),
  IF(OR(_xlpm.w="",_xlpm.v=""),"",_xlpm.v*_xlpm.w)
)</f>
        <v/>
      </c>
      <c r="CA90" s="93" t="str" cm="1">
        <f t="array" ref="CA90">_xlfn.LET(
  _xlpm.w, CA$11,
  _xlpm.r, MATCH(1,('3. Enter Indicator Scores'!$B$10:$B$161=$B90)*('3. Enter Indicator Scores'!$C$10:$C$161=$C90),0),
  _xlpm.c, MATCH(CA$8,'3. Enter Indicator Scores'!$D$8:$CZ$8,0),
  _xlpm.v, IFERROR(INDEX('3. Enter Indicator Scores'!$D$10:$CZ$161,_xlpm.r,_xlpm.c),""),
  IF(OR(_xlpm.w="",_xlpm.v=""),"",_xlpm.v*_xlpm.w)
)</f>
        <v/>
      </c>
      <c r="CB90" s="93" t="str" cm="1">
        <f t="array" ref="CB90">_xlfn.LET(
  _xlpm.w, CB$11,
  _xlpm.r, MATCH(1,('3. Enter Indicator Scores'!$B$10:$B$161=$B90)*('3. Enter Indicator Scores'!$C$10:$C$161=$C90),0),
  _xlpm.c, MATCH(CB$8,'3. Enter Indicator Scores'!$D$8:$CZ$8,0),
  _xlpm.v, IFERROR(INDEX('3. Enter Indicator Scores'!$D$10:$CZ$161,_xlpm.r,_xlpm.c),""),
  IF(OR(_xlpm.w="",_xlpm.v=""),"",_xlpm.v*_xlpm.w)
)</f>
        <v/>
      </c>
      <c r="CC90" s="93" t="str" cm="1">
        <f t="array" ref="CC90">_xlfn.LET(
  _xlpm.w, CC$11,
  _xlpm.r, MATCH(1,('3. Enter Indicator Scores'!$B$10:$B$161=$B90)*('3. Enter Indicator Scores'!$C$10:$C$161=$C90),0),
  _xlpm.c, MATCH(CC$8,'3. Enter Indicator Scores'!$D$8:$CZ$8,0),
  _xlpm.v, IFERROR(INDEX('3. Enter Indicator Scores'!$D$10:$CZ$161,_xlpm.r,_xlpm.c),""),
  IF(OR(_xlpm.w="",_xlpm.v=""),"",_xlpm.v*_xlpm.w)
)</f>
        <v/>
      </c>
      <c r="CD90" s="93" t="str" cm="1">
        <f t="array" ref="CD90">_xlfn.LET(
  _xlpm.w, CD$11,
  _xlpm.r, MATCH(1,('3. Enter Indicator Scores'!$B$10:$B$161=$B90)*('3. Enter Indicator Scores'!$C$10:$C$161=$C90),0),
  _xlpm.c, MATCH(CD$8,'3. Enter Indicator Scores'!$D$8:$CZ$8,0),
  _xlpm.v, IFERROR(INDEX('3. Enter Indicator Scores'!$D$10:$CZ$161,_xlpm.r,_xlpm.c),""),
  IF(OR(_xlpm.w="",_xlpm.v=""),"",_xlpm.v*_xlpm.w)
)</f>
        <v/>
      </c>
      <c r="CE90" s="93" t="str" cm="1">
        <f t="array" ref="CE90">_xlfn.LET(
  _xlpm.w, CE$11,
  _xlpm.r, MATCH(1,('3. Enter Indicator Scores'!$B$10:$B$161=$B90)*('3. Enter Indicator Scores'!$C$10:$C$161=$C90),0),
  _xlpm.c, MATCH(CE$8,'3. Enter Indicator Scores'!$D$8:$CZ$8,0),
  _xlpm.v, IFERROR(INDEX('3. Enter Indicator Scores'!$D$10:$CZ$161,_xlpm.r,_xlpm.c),""),
  IF(OR(_xlpm.w="",_xlpm.v=""),"",_xlpm.v*_xlpm.w)
)</f>
        <v/>
      </c>
      <c r="CF90" s="93" t="str" cm="1">
        <f t="array" ref="CF90">_xlfn.LET(
  _xlpm.w, CF$11,
  _xlpm.r, MATCH(1,('3. Enter Indicator Scores'!$B$10:$B$161=$B90)*('3. Enter Indicator Scores'!$C$10:$C$161=$C90),0),
  _xlpm.c, MATCH(CF$8,'3. Enter Indicator Scores'!$D$8:$CZ$8,0),
  _xlpm.v, IFERROR(INDEX('3. Enter Indicator Scores'!$D$10:$CZ$161,_xlpm.r,_xlpm.c),""),
  IF(OR(_xlpm.w="",_xlpm.v=""),"",_xlpm.v*_xlpm.w)
)</f>
        <v/>
      </c>
      <c r="CG90" s="93" t="str" cm="1">
        <f t="array" ref="CG90">_xlfn.LET(
  _xlpm.w, CG$11,
  _xlpm.r, MATCH(1,('3. Enter Indicator Scores'!$B$10:$B$161=$B90)*('3. Enter Indicator Scores'!$C$10:$C$161=$C90),0),
  _xlpm.c, MATCH(CG$8,'3. Enter Indicator Scores'!$D$8:$CZ$8,0),
  _xlpm.v, IFERROR(INDEX('3. Enter Indicator Scores'!$D$10:$CZ$161,_xlpm.r,_xlpm.c),""),
  IF(OR(_xlpm.w="",_xlpm.v=""),"",_xlpm.v*_xlpm.w)
)</f>
        <v/>
      </c>
      <c r="CH90" s="93" t="str" cm="1">
        <f t="array" ref="CH90">_xlfn.LET(
  _xlpm.w, CH$11,
  _xlpm.r, MATCH(1,('3. Enter Indicator Scores'!$B$10:$B$161=$B90)*('3. Enter Indicator Scores'!$C$10:$C$161=$C90),0),
  _xlpm.c, MATCH(CH$8,'3. Enter Indicator Scores'!$D$8:$CZ$8,0),
  _xlpm.v, IFERROR(INDEX('3. Enter Indicator Scores'!$D$10:$CZ$161,_xlpm.r,_xlpm.c),""),
  IF(OR(_xlpm.w="",_xlpm.v=""),"",_xlpm.v*_xlpm.w)
)</f>
        <v/>
      </c>
      <c r="CI90" s="93" t="str" cm="1">
        <f t="array" ref="CI90">_xlfn.LET(
  _xlpm.w, CI$11,
  _xlpm.r, MATCH(1,('3. Enter Indicator Scores'!$B$10:$B$161=$B90)*('3. Enter Indicator Scores'!$C$10:$C$161=$C90),0),
  _xlpm.c, MATCH(CI$8,'3. Enter Indicator Scores'!$D$8:$CZ$8,0),
  _xlpm.v, IFERROR(INDEX('3. Enter Indicator Scores'!$D$10:$CZ$161,_xlpm.r,_xlpm.c),""),
  IF(OR(_xlpm.w="",_xlpm.v=""),"",_xlpm.v*_xlpm.w)
)</f>
        <v/>
      </c>
      <c r="CJ90" s="93" t="str" cm="1">
        <f t="array" ref="CJ90">_xlfn.LET(
  _xlpm.w, CJ$11,
  _xlpm.r, MATCH(1,('3. Enter Indicator Scores'!$B$10:$B$161=$B90)*('3. Enter Indicator Scores'!$C$10:$C$161=$C90),0),
  _xlpm.c, MATCH(CJ$8,'3. Enter Indicator Scores'!$D$8:$CZ$8,0),
  _xlpm.v, IFERROR(INDEX('3. Enter Indicator Scores'!$D$10:$CZ$161,_xlpm.r,_xlpm.c),""),
  IF(OR(_xlpm.w="",_xlpm.v=""),"",_xlpm.v*_xlpm.w)
)</f>
        <v/>
      </c>
      <c r="CK90" s="93" t="str" cm="1">
        <f t="array" ref="CK90">_xlfn.LET(
  _xlpm.w, CK$11,
  _xlpm.r, MATCH(1,('3. Enter Indicator Scores'!$B$10:$B$161=$B90)*('3. Enter Indicator Scores'!$C$10:$C$161=$C90),0),
  _xlpm.c, MATCH(CK$8,'3. Enter Indicator Scores'!$D$8:$CZ$8,0),
  _xlpm.v, IFERROR(INDEX('3. Enter Indicator Scores'!$D$10:$CZ$161,_xlpm.r,_xlpm.c),""),
  IF(OR(_xlpm.w="",_xlpm.v=""),"",_xlpm.v*_xlpm.w)
)</f>
        <v/>
      </c>
      <c r="CL90" s="93" t="str" cm="1">
        <f t="array" ref="CL90">_xlfn.LET(
  _xlpm.w, CL$11,
  _xlpm.r, MATCH(1,('3. Enter Indicator Scores'!$B$10:$B$161=$B90)*('3. Enter Indicator Scores'!$C$10:$C$161=$C90),0),
  _xlpm.c, MATCH(CL$8,'3. Enter Indicator Scores'!$D$8:$CZ$8,0),
  _xlpm.v, IFERROR(INDEX('3. Enter Indicator Scores'!$D$10:$CZ$161,_xlpm.r,_xlpm.c),""),
  IF(OR(_xlpm.w="",_xlpm.v=""),"",_xlpm.v*_xlpm.w)
)</f>
        <v/>
      </c>
      <c r="CM90" s="93" t="str" cm="1">
        <f t="array" ref="CM90">_xlfn.LET(
  _xlpm.w, CM$11,
  _xlpm.r, MATCH(1,('3. Enter Indicator Scores'!$B$10:$B$161=$B90)*('3. Enter Indicator Scores'!$C$10:$C$161=$C90),0),
  _xlpm.c, MATCH(CM$8,'3. Enter Indicator Scores'!$D$8:$CZ$8,0),
  _xlpm.v, IFERROR(INDEX('3. Enter Indicator Scores'!$D$10:$CZ$161,_xlpm.r,_xlpm.c),""),
  IF(OR(_xlpm.w="",_xlpm.v=""),"",_xlpm.v*_xlpm.w)
)</f>
        <v/>
      </c>
      <c r="CN90" s="93" t="str" cm="1">
        <f t="array" ref="CN90">_xlfn.LET(
  _xlpm.w, CN$11,
  _xlpm.r, MATCH(1,('3. Enter Indicator Scores'!$B$10:$B$161=$B90)*('3. Enter Indicator Scores'!$C$10:$C$161=$C90),0),
  _xlpm.c, MATCH(CN$8,'3. Enter Indicator Scores'!$D$8:$CZ$8,0),
  _xlpm.v, IFERROR(INDEX('3. Enter Indicator Scores'!$D$10:$CZ$161,_xlpm.r,_xlpm.c),""),
  IF(OR(_xlpm.w="",_xlpm.v=""),"",_xlpm.v*_xlpm.w)
)</f>
        <v/>
      </c>
      <c r="CO90" s="93" t="str" cm="1">
        <f t="array" ref="CO90">_xlfn.LET(
  _xlpm.w, CO$11,
  _xlpm.r, MATCH(1,('3. Enter Indicator Scores'!$B$10:$B$161=$B90)*('3. Enter Indicator Scores'!$C$10:$C$161=$C90),0),
  _xlpm.c, MATCH(CO$8,'3. Enter Indicator Scores'!$D$8:$CZ$8,0),
  _xlpm.v, IFERROR(INDEX('3. Enter Indicator Scores'!$D$10:$CZ$161,_xlpm.r,_xlpm.c),""),
  IF(OR(_xlpm.w="",_xlpm.v=""),"",_xlpm.v*_xlpm.w)
)</f>
        <v/>
      </c>
      <c r="CP90" s="93" t="str" cm="1">
        <f t="array" ref="CP90">_xlfn.LET(
  _xlpm.w, CP$11,
  _xlpm.r, MATCH(1,('3. Enter Indicator Scores'!$B$10:$B$161=$B90)*('3. Enter Indicator Scores'!$C$10:$C$161=$C90),0),
  _xlpm.c, MATCH(CP$8,'3. Enter Indicator Scores'!$D$8:$CZ$8,0),
  _xlpm.v, IFERROR(INDEX('3. Enter Indicator Scores'!$D$10:$CZ$161,_xlpm.r,_xlpm.c),""),
  IF(OR(_xlpm.w="",_xlpm.v=""),"",_xlpm.v*_xlpm.w)
)</f>
        <v/>
      </c>
      <c r="CQ90" s="93" t="str" cm="1">
        <f t="array" ref="CQ90">_xlfn.LET(
  _xlpm.w, CQ$11,
  _xlpm.r, MATCH(1,('3. Enter Indicator Scores'!$B$10:$B$161=$B90)*('3. Enter Indicator Scores'!$C$10:$C$161=$C90),0),
  _xlpm.c, MATCH(CQ$8,'3. Enter Indicator Scores'!$D$8:$CZ$8,0),
  _xlpm.v, IFERROR(INDEX('3. Enter Indicator Scores'!$D$10:$CZ$161,_xlpm.r,_xlpm.c),""),
  IF(OR(_xlpm.w="",_xlpm.v=""),"",_xlpm.v*_xlpm.w)
)</f>
        <v/>
      </c>
      <c r="CR90" s="93" t="str" cm="1">
        <f t="array" ref="CR90">_xlfn.LET(
  _xlpm.w, CR$11,
  _xlpm.r, MATCH(1,('3. Enter Indicator Scores'!$B$10:$B$161=$B90)*('3. Enter Indicator Scores'!$C$10:$C$161=$C90),0),
  _xlpm.c, MATCH(CR$8,'3. Enter Indicator Scores'!$D$8:$CZ$8,0),
  _xlpm.v, IFERROR(INDEX('3. Enter Indicator Scores'!$D$10:$CZ$161,_xlpm.r,_xlpm.c),""),
  IF(OR(_xlpm.w="",_xlpm.v=""),"",_xlpm.v*_xlpm.w)
)</f>
        <v/>
      </c>
      <c r="CS90" s="93" t="str" cm="1">
        <f t="array" ref="CS90">_xlfn.LET(
  _xlpm.w, CS$11,
  _xlpm.r, MATCH(1,('3. Enter Indicator Scores'!$B$10:$B$161=$B90)*('3. Enter Indicator Scores'!$C$10:$C$161=$C90),0),
  _xlpm.c, MATCH(CS$8,'3. Enter Indicator Scores'!$D$8:$CZ$8,0),
  _xlpm.v, IFERROR(INDEX('3. Enter Indicator Scores'!$D$10:$CZ$161,_xlpm.r,_xlpm.c),""),
  IF(OR(_xlpm.w="",_xlpm.v=""),"",_xlpm.v*_xlpm.w)
)</f>
        <v/>
      </c>
      <c r="CT90" s="93" t="str" cm="1">
        <f t="array" ref="CT90">_xlfn.LET(
  _xlpm.w, CT$11,
  _xlpm.r, MATCH(1,('3. Enter Indicator Scores'!$B$10:$B$161=$B90)*('3. Enter Indicator Scores'!$C$10:$C$161=$C90),0),
  _xlpm.c, MATCH(CT$8,'3. Enter Indicator Scores'!$D$8:$CZ$8,0),
  _xlpm.v, IFERROR(INDEX('3. Enter Indicator Scores'!$D$10:$CZ$161,_xlpm.r,_xlpm.c),""),
  IF(OR(_xlpm.w="",_xlpm.v=""),"",_xlpm.v*_xlpm.w)
)</f>
        <v/>
      </c>
      <c r="CU90" s="93" t="str" cm="1">
        <f t="array" ref="CU90">_xlfn.LET(
  _xlpm.w, CU$11,
  _xlpm.r, MATCH(1,('3. Enter Indicator Scores'!$B$10:$B$161=$B90)*('3. Enter Indicator Scores'!$C$10:$C$161=$C90),0),
  _xlpm.c, MATCH(CU$8,'3. Enter Indicator Scores'!$D$8:$CZ$8,0),
  _xlpm.v, IFERROR(INDEX('3. Enter Indicator Scores'!$D$10:$CZ$161,_xlpm.r,_xlpm.c),""),
  IF(OR(_xlpm.w="",_xlpm.v=""),"",_xlpm.v*_xlpm.w)
)</f>
        <v/>
      </c>
      <c r="CV90" s="93" t="str" cm="1">
        <f t="array" ref="CV90">_xlfn.LET(
  _xlpm.w, CV$11,
  _xlpm.r, MATCH(1,('3. Enter Indicator Scores'!$B$10:$B$161=$B90)*('3. Enter Indicator Scores'!$C$10:$C$161=$C90),0),
  _xlpm.c, MATCH(CV$8,'3. Enter Indicator Scores'!$D$8:$CZ$8,0),
  _xlpm.v, IFERROR(INDEX('3. Enter Indicator Scores'!$D$10:$CZ$161,_xlpm.r,_xlpm.c),""),
  IF(OR(_xlpm.w="",_xlpm.v=""),"",_xlpm.v*_xlpm.w)
)</f>
        <v/>
      </c>
      <c r="CW90" s="93" t="str" cm="1">
        <f t="array" ref="CW90">_xlfn.LET(
  _xlpm.w, CW$11,
  _xlpm.r, MATCH(1,('3. Enter Indicator Scores'!$B$10:$B$161=$B90)*('3. Enter Indicator Scores'!$C$10:$C$161=$C90),0),
  _xlpm.c, MATCH(CW$8,'3. Enter Indicator Scores'!$D$8:$CZ$8,0),
  _xlpm.v, IFERROR(INDEX('3. Enter Indicator Scores'!$D$10:$CZ$161,_xlpm.r,_xlpm.c),""),
  IF(OR(_xlpm.w="",_xlpm.v=""),"",_xlpm.v*_xlpm.w)
)</f>
        <v/>
      </c>
      <c r="CX90" s="93" t="str" cm="1">
        <f t="array" ref="CX90">_xlfn.LET(
  _xlpm.w, CX$11,
  _xlpm.r, MATCH(1,('3. Enter Indicator Scores'!$B$10:$B$161=$B90)*('3. Enter Indicator Scores'!$C$10:$C$161=$C90),0),
  _xlpm.c, MATCH(CX$8,'3. Enter Indicator Scores'!$D$8:$CZ$8,0),
  _xlpm.v, IFERROR(INDEX('3. Enter Indicator Scores'!$D$10:$CZ$161,_xlpm.r,_xlpm.c),""),
  IF(OR(_xlpm.w="",_xlpm.v=""),"",_xlpm.v*_xlpm.w)
)</f>
        <v/>
      </c>
      <c r="CY90" s="93" t="str" cm="1">
        <f t="array" ref="CY90">_xlfn.LET(
  _xlpm.w, CY$11,
  _xlpm.r, MATCH(1,('3. Enter Indicator Scores'!$B$10:$B$161=$B90)*('3. Enter Indicator Scores'!$C$10:$C$161=$C90),0),
  _xlpm.c, MATCH(CY$8,'3. Enter Indicator Scores'!$D$8:$CZ$8,0),
  _xlpm.v, IFERROR(INDEX('3. Enter Indicator Scores'!$D$10:$CZ$161,_xlpm.r,_xlpm.c),""),
  IF(OR(_xlpm.w="",_xlpm.v=""),"",_xlpm.v*_xlpm.w)
)</f>
        <v/>
      </c>
      <c r="CZ90" s="93" t="str" cm="1">
        <f t="array" ref="CZ90">_xlfn.LET(
  _xlpm.w, CZ$11,
  _xlpm.r, MATCH(1,('3. Enter Indicator Scores'!$B$10:$B$161=$B90)*('3. Enter Indicator Scores'!$C$10:$C$161=$C90),0),
  _xlpm.c, MATCH(CZ$8,'3. Enter Indicator Scores'!$D$8:$CZ$8,0),
  _xlpm.v, IFERROR(INDEX('3. Enter Indicator Scores'!$D$10:$CZ$161,_xlpm.r,_xlpm.c),""),
  IF(OR(_xlpm.w="",_xlpm.v=""),"",_xlpm.v*_xlpm.w)
)</f>
        <v/>
      </c>
    </row>
    <row r="91" spans="4:104" x14ac:dyDescent="0.2">
      <c r="D91" s="93" t="str" cm="1">
        <f t="array" ref="D91">_xlfn.LET(
  _xlpm.w, D$11,
  _xlpm.r, MATCH(1,('3. Enter Indicator Scores'!$B$10:$B$161=$B91)*('3. Enter Indicator Scores'!$C$10:$C$161=$C91),0),
  _xlpm.c, MATCH(D$8,'3. Enter Indicator Scores'!$D$8:$CZ$8,0),
  _xlpm.v, IFERROR(INDEX('3. Enter Indicator Scores'!$D$10:$CZ$161,_xlpm.r,_xlpm.c),""),
  IF(OR(_xlpm.w="",_xlpm.v=""),"",_xlpm.v*_xlpm.w)
)</f>
        <v/>
      </c>
      <c r="E91" s="93" t="str" cm="1">
        <f t="array" ref="E91">_xlfn.LET(
  _xlpm.w, E$11,
  _xlpm.r, MATCH(1,('3. Enter Indicator Scores'!$B$10:$B$161=$B91)*('3. Enter Indicator Scores'!$C$10:$C$161=$C91),0),
  _xlpm.c, MATCH(E$8,'3. Enter Indicator Scores'!$D$8:$CZ$8,0),
  _xlpm.v, IFERROR(INDEX('3. Enter Indicator Scores'!$D$10:$CZ$161,_xlpm.r,_xlpm.c),""),
  IF(OR(_xlpm.w="",_xlpm.v=""),"",_xlpm.v*_xlpm.w)
)</f>
        <v/>
      </c>
      <c r="F91" s="93" t="str" cm="1">
        <f t="array" ref="F91">_xlfn.LET(
  _xlpm.w, F$11,
  _xlpm.r, MATCH(1,('3. Enter Indicator Scores'!$B$10:$B$161=$B91)*('3. Enter Indicator Scores'!$C$10:$C$161=$C91),0),
  _xlpm.c, MATCH(F$8,'3. Enter Indicator Scores'!$D$8:$CZ$8,0),
  _xlpm.v, IFERROR(INDEX('3. Enter Indicator Scores'!$D$10:$CZ$161,_xlpm.r,_xlpm.c),""),
  IF(OR(_xlpm.w="",_xlpm.v=""),"",_xlpm.v*_xlpm.w)
)</f>
        <v/>
      </c>
      <c r="G91" s="93" t="str" cm="1">
        <f t="array" ref="G91">_xlfn.LET(
  _xlpm.w, G$11,
  _xlpm.r, MATCH(1,('3. Enter Indicator Scores'!$B$10:$B$161=$B91)*('3. Enter Indicator Scores'!$C$10:$C$161=$C91),0),
  _xlpm.c, MATCH(G$8,'3. Enter Indicator Scores'!$D$8:$CZ$8,0),
  _xlpm.v, IFERROR(INDEX('3. Enter Indicator Scores'!$D$10:$CZ$161,_xlpm.r,_xlpm.c),""),
  IF(OR(_xlpm.w="",_xlpm.v=""),"",_xlpm.v*_xlpm.w)
)</f>
        <v/>
      </c>
      <c r="H91" s="93" t="str" cm="1">
        <f t="array" ref="H91">_xlfn.LET(
  _xlpm.w, H$11,
  _xlpm.r, MATCH(1,('3. Enter Indicator Scores'!$B$10:$B$161=$B91)*('3. Enter Indicator Scores'!$C$10:$C$161=$C91),0),
  _xlpm.c, MATCH(H$8,'3. Enter Indicator Scores'!$D$8:$CZ$8,0),
  _xlpm.v, IFERROR(INDEX('3. Enter Indicator Scores'!$D$10:$CZ$161,_xlpm.r,_xlpm.c),""),
  IF(OR(_xlpm.w="",_xlpm.v=""),"",_xlpm.v*_xlpm.w)
)</f>
        <v/>
      </c>
      <c r="I91" s="93" t="str" cm="1">
        <f t="array" ref="I91">_xlfn.LET(
  _xlpm.w, I$11,
  _xlpm.r, MATCH(1,('3. Enter Indicator Scores'!$B$10:$B$161=$B91)*('3. Enter Indicator Scores'!$C$10:$C$161=$C91),0),
  _xlpm.c, MATCH(I$8,'3. Enter Indicator Scores'!$D$8:$CZ$8,0),
  _xlpm.v, IFERROR(INDEX('3. Enter Indicator Scores'!$D$10:$CZ$161,_xlpm.r,_xlpm.c),""),
  IF(OR(_xlpm.w="",_xlpm.v=""),"",_xlpm.v*_xlpm.w)
)</f>
        <v/>
      </c>
      <c r="J91" s="93" t="str" cm="1">
        <f t="array" ref="J91">_xlfn.LET(
  _xlpm.w, J$11,
  _xlpm.r, MATCH(1,('3. Enter Indicator Scores'!$B$10:$B$161=$B91)*('3. Enter Indicator Scores'!$C$10:$C$161=$C91),0),
  _xlpm.c, MATCH(J$8,'3. Enter Indicator Scores'!$D$8:$CZ$8,0),
  _xlpm.v, IFERROR(INDEX('3. Enter Indicator Scores'!$D$10:$CZ$161,_xlpm.r,_xlpm.c),""),
  IF(OR(_xlpm.w="",_xlpm.v=""),"",_xlpm.v*_xlpm.w)
)</f>
        <v/>
      </c>
      <c r="K91" s="93" t="str" cm="1">
        <f t="array" ref="K91">_xlfn.LET(
  _xlpm.w, K$11,
  _xlpm.r, MATCH(1,('3. Enter Indicator Scores'!$B$10:$B$161=$B91)*('3. Enter Indicator Scores'!$C$10:$C$161=$C91),0),
  _xlpm.c, MATCH(K$8,'3. Enter Indicator Scores'!$D$8:$CZ$8,0),
  _xlpm.v, IFERROR(INDEX('3. Enter Indicator Scores'!$D$10:$CZ$161,_xlpm.r,_xlpm.c),""),
  IF(OR(_xlpm.w="",_xlpm.v=""),"",_xlpm.v*_xlpm.w)
)</f>
        <v/>
      </c>
      <c r="L91" s="93" t="str" cm="1">
        <f t="array" ref="L91">_xlfn.LET(
  _xlpm.w, L$11,
  _xlpm.r, MATCH(1,('3. Enter Indicator Scores'!$B$10:$B$161=$B91)*('3. Enter Indicator Scores'!$C$10:$C$161=$C91),0),
  _xlpm.c, MATCH(L$8,'3. Enter Indicator Scores'!$D$8:$CZ$8,0),
  _xlpm.v, IFERROR(INDEX('3. Enter Indicator Scores'!$D$10:$CZ$161,_xlpm.r,_xlpm.c),""),
  IF(OR(_xlpm.w="",_xlpm.v=""),"",_xlpm.v*_xlpm.w)
)</f>
        <v/>
      </c>
      <c r="M91" s="93" t="str" cm="1">
        <f t="array" ref="M91">_xlfn.LET(
  _xlpm.w, M$11,
  _xlpm.r, MATCH(1,('3. Enter Indicator Scores'!$B$10:$B$161=$B91)*('3. Enter Indicator Scores'!$C$10:$C$161=$C91),0),
  _xlpm.c, MATCH(M$8,'3. Enter Indicator Scores'!$D$8:$CZ$8,0),
  _xlpm.v, IFERROR(INDEX('3. Enter Indicator Scores'!$D$10:$CZ$161,_xlpm.r,_xlpm.c),""),
  IF(OR(_xlpm.w="",_xlpm.v=""),"",_xlpm.v*_xlpm.w)
)</f>
        <v/>
      </c>
      <c r="N91" s="93" t="str" cm="1">
        <f t="array" ref="N91">_xlfn.LET(
  _xlpm.w, N$11,
  _xlpm.r, MATCH(1,('3. Enter Indicator Scores'!$B$10:$B$161=$B91)*('3. Enter Indicator Scores'!$C$10:$C$161=$C91),0),
  _xlpm.c, MATCH(N$8,'3. Enter Indicator Scores'!$D$8:$CZ$8,0),
  _xlpm.v, IFERROR(INDEX('3. Enter Indicator Scores'!$D$10:$CZ$161,_xlpm.r,_xlpm.c),""),
  IF(OR(_xlpm.w="",_xlpm.v=""),"",_xlpm.v*_xlpm.w)
)</f>
        <v/>
      </c>
      <c r="O91" s="93" t="str" cm="1">
        <f t="array" ref="O91">_xlfn.LET(
  _xlpm.w, O$11,
  _xlpm.r, MATCH(1,('3. Enter Indicator Scores'!$B$10:$B$161=$B91)*('3. Enter Indicator Scores'!$C$10:$C$161=$C91),0),
  _xlpm.c, MATCH(O$8,'3. Enter Indicator Scores'!$D$8:$CZ$8,0),
  _xlpm.v, IFERROR(INDEX('3. Enter Indicator Scores'!$D$10:$CZ$161,_xlpm.r,_xlpm.c),""),
  IF(OR(_xlpm.w="",_xlpm.v=""),"",_xlpm.v*_xlpm.w)
)</f>
        <v/>
      </c>
      <c r="P91" s="93" t="str" cm="1">
        <f t="array" ref="P91">_xlfn.LET(
  _xlpm.w, P$11,
  _xlpm.r, MATCH(1,('3. Enter Indicator Scores'!$B$10:$B$161=$B91)*('3. Enter Indicator Scores'!$C$10:$C$161=$C91),0),
  _xlpm.c, MATCH(P$8,'3. Enter Indicator Scores'!$D$8:$CZ$8,0),
  _xlpm.v, IFERROR(INDEX('3. Enter Indicator Scores'!$D$10:$CZ$161,_xlpm.r,_xlpm.c),""),
  IF(OR(_xlpm.w="",_xlpm.v=""),"",_xlpm.v*_xlpm.w)
)</f>
        <v/>
      </c>
      <c r="Q91" s="93" t="str" cm="1">
        <f t="array" ref="Q91">_xlfn.LET(
  _xlpm.w, Q$11,
  _xlpm.r, MATCH(1,('3. Enter Indicator Scores'!$B$10:$B$161=$B91)*('3. Enter Indicator Scores'!$C$10:$C$161=$C91),0),
  _xlpm.c, MATCH(Q$8,'3. Enter Indicator Scores'!$D$8:$CZ$8,0),
  _xlpm.v, IFERROR(INDEX('3. Enter Indicator Scores'!$D$10:$CZ$161,_xlpm.r,_xlpm.c),""),
  IF(OR(_xlpm.w="",_xlpm.v=""),"",_xlpm.v*_xlpm.w)
)</f>
        <v/>
      </c>
      <c r="R91" s="93" t="str" cm="1">
        <f t="array" ref="R91">_xlfn.LET(
  _xlpm.w, R$11,
  _xlpm.r, MATCH(1,('3. Enter Indicator Scores'!$B$10:$B$161=$B91)*('3. Enter Indicator Scores'!$C$10:$C$161=$C91),0),
  _xlpm.c, MATCH(R$8,'3. Enter Indicator Scores'!$D$8:$CZ$8,0),
  _xlpm.v, IFERROR(INDEX('3. Enter Indicator Scores'!$D$10:$CZ$161,_xlpm.r,_xlpm.c),""),
  IF(OR(_xlpm.w="",_xlpm.v=""),"",_xlpm.v*_xlpm.w)
)</f>
        <v/>
      </c>
      <c r="S91" s="93" t="str" cm="1">
        <f t="array" ref="S91">_xlfn.LET(
  _xlpm.w, S$11,
  _xlpm.r, MATCH(1,('3. Enter Indicator Scores'!$B$10:$B$161=$B91)*('3. Enter Indicator Scores'!$C$10:$C$161=$C91),0),
  _xlpm.c, MATCH(S$8,'3. Enter Indicator Scores'!$D$8:$CZ$8,0),
  _xlpm.v, IFERROR(INDEX('3. Enter Indicator Scores'!$D$10:$CZ$161,_xlpm.r,_xlpm.c),""),
  IF(OR(_xlpm.w="",_xlpm.v=""),"",_xlpm.v*_xlpm.w)
)</f>
        <v/>
      </c>
      <c r="T91" s="93" t="str" cm="1">
        <f t="array" ref="T91">_xlfn.LET(
  _xlpm.w, T$11,
  _xlpm.r, MATCH(1,('3. Enter Indicator Scores'!$B$10:$B$161=$B91)*('3. Enter Indicator Scores'!$C$10:$C$161=$C91),0),
  _xlpm.c, MATCH(T$8,'3. Enter Indicator Scores'!$D$8:$CZ$8,0),
  _xlpm.v, IFERROR(INDEX('3. Enter Indicator Scores'!$D$10:$CZ$161,_xlpm.r,_xlpm.c),""),
  IF(OR(_xlpm.w="",_xlpm.v=""),"",_xlpm.v*_xlpm.w)
)</f>
        <v/>
      </c>
      <c r="U91" s="93" t="str" cm="1">
        <f t="array" ref="U91">_xlfn.LET(
  _xlpm.w, U$11,
  _xlpm.r, MATCH(1,('3. Enter Indicator Scores'!$B$10:$B$161=$B91)*('3. Enter Indicator Scores'!$C$10:$C$161=$C91),0),
  _xlpm.c, MATCH(U$8,'3. Enter Indicator Scores'!$D$8:$CZ$8,0),
  _xlpm.v, IFERROR(INDEX('3. Enter Indicator Scores'!$D$10:$CZ$161,_xlpm.r,_xlpm.c),""),
  IF(OR(_xlpm.w="",_xlpm.v=""),"",_xlpm.v*_xlpm.w)
)</f>
        <v/>
      </c>
      <c r="V91" s="93" t="str" cm="1">
        <f t="array" ref="V91">_xlfn.LET(
  _xlpm.w, V$11,
  _xlpm.r, MATCH(1,('3. Enter Indicator Scores'!$B$10:$B$161=$B91)*('3. Enter Indicator Scores'!$C$10:$C$161=$C91),0),
  _xlpm.c, MATCH(V$8,'3. Enter Indicator Scores'!$D$8:$CZ$8,0),
  _xlpm.v, IFERROR(INDEX('3. Enter Indicator Scores'!$D$10:$CZ$161,_xlpm.r,_xlpm.c),""),
  IF(OR(_xlpm.w="",_xlpm.v=""),"",_xlpm.v*_xlpm.w)
)</f>
        <v/>
      </c>
      <c r="W91" s="93" t="str" cm="1">
        <f t="array" ref="W91">_xlfn.LET(
  _xlpm.w, W$11,
  _xlpm.r, MATCH(1,('3. Enter Indicator Scores'!$B$10:$B$161=$B91)*('3. Enter Indicator Scores'!$C$10:$C$161=$C91),0),
  _xlpm.c, MATCH(W$8,'3. Enter Indicator Scores'!$D$8:$CZ$8,0),
  _xlpm.v, IFERROR(INDEX('3. Enter Indicator Scores'!$D$10:$CZ$161,_xlpm.r,_xlpm.c),""),
  IF(OR(_xlpm.w="",_xlpm.v=""),"",_xlpm.v*_xlpm.w)
)</f>
        <v/>
      </c>
      <c r="X91" s="93" t="str" cm="1">
        <f t="array" ref="X91">_xlfn.LET(
  _xlpm.w, X$11,
  _xlpm.r, MATCH(1,('3. Enter Indicator Scores'!$B$10:$B$161=$B91)*('3. Enter Indicator Scores'!$C$10:$C$161=$C91),0),
  _xlpm.c, MATCH(X$8,'3. Enter Indicator Scores'!$D$8:$CZ$8,0),
  _xlpm.v, IFERROR(INDEX('3. Enter Indicator Scores'!$D$10:$CZ$161,_xlpm.r,_xlpm.c),""),
  IF(OR(_xlpm.w="",_xlpm.v=""),"",_xlpm.v*_xlpm.w)
)</f>
        <v/>
      </c>
      <c r="Y91" s="93" t="str" cm="1">
        <f t="array" ref="Y91">_xlfn.LET(
  _xlpm.w, Y$11,
  _xlpm.r, MATCH(1,('3. Enter Indicator Scores'!$B$10:$B$161=$B91)*('3. Enter Indicator Scores'!$C$10:$C$161=$C91),0),
  _xlpm.c, MATCH(Y$8,'3. Enter Indicator Scores'!$D$8:$CZ$8,0),
  _xlpm.v, IFERROR(INDEX('3. Enter Indicator Scores'!$D$10:$CZ$161,_xlpm.r,_xlpm.c),""),
  IF(OR(_xlpm.w="",_xlpm.v=""),"",_xlpm.v*_xlpm.w)
)</f>
        <v/>
      </c>
      <c r="Z91" s="93" t="str" cm="1">
        <f t="array" ref="Z91">_xlfn.LET(
  _xlpm.w, Z$11,
  _xlpm.r, MATCH(1,('3. Enter Indicator Scores'!$B$10:$B$161=$B91)*('3. Enter Indicator Scores'!$C$10:$C$161=$C91),0),
  _xlpm.c, MATCH(Z$8,'3. Enter Indicator Scores'!$D$8:$CZ$8,0),
  _xlpm.v, IFERROR(INDEX('3. Enter Indicator Scores'!$D$10:$CZ$161,_xlpm.r,_xlpm.c),""),
  IF(OR(_xlpm.w="",_xlpm.v=""),"",_xlpm.v*_xlpm.w)
)</f>
        <v/>
      </c>
      <c r="AA91" s="93" t="str" cm="1">
        <f t="array" ref="AA91">_xlfn.LET(
  _xlpm.w, AA$11,
  _xlpm.r, MATCH(1,('3. Enter Indicator Scores'!$B$10:$B$161=$B91)*('3. Enter Indicator Scores'!$C$10:$C$161=$C91),0),
  _xlpm.c, MATCH(AA$8,'3. Enter Indicator Scores'!$D$8:$CZ$8,0),
  _xlpm.v, IFERROR(INDEX('3. Enter Indicator Scores'!$D$10:$CZ$161,_xlpm.r,_xlpm.c),""),
  IF(OR(_xlpm.w="",_xlpm.v=""),"",_xlpm.v*_xlpm.w)
)</f>
        <v/>
      </c>
      <c r="AB91" s="93" t="str" cm="1">
        <f t="array" ref="AB91">_xlfn.LET(
  _xlpm.w, AB$11,
  _xlpm.r, MATCH(1,('3. Enter Indicator Scores'!$B$10:$B$161=$B91)*('3. Enter Indicator Scores'!$C$10:$C$161=$C91),0),
  _xlpm.c, MATCH(AB$8,'3. Enter Indicator Scores'!$D$8:$CZ$8,0),
  _xlpm.v, IFERROR(INDEX('3. Enter Indicator Scores'!$D$10:$CZ$161,_xlpm.r,_xlpm.c),""),
  IF(OR(_xlpm.w="",_xlpm.v=""),"",_xlpm.v*_xlpm.w)
)</f>
        <v/>
      </c>
      <c r="AC91" s="93" t="str" cm="1">
        <f t="array" ref="AC91">_xlfn.LET(
  _xlpm.w, AC$11,
  _xlpm.r, MATCH(1,('3. Enter Indicator Scores'!$B$10:$B$161=$B91)*('3. Enter Indicator Scores'!$C$10:$C$161=$C91),0),
  _xlpm.c, MATCH(AC$8,'3. Enter Indicator Scores'!$D$8:$CZ$8,0),
  _xlpm.v, IFERROR(INDEX('3. Enter Indicator Scores'!$D$10:$CZ$161,_xlpm.r,_xlpm.c),""),
  IF(OR(_xlpm.w="",_xlpm.v=""),"",_xlpm.v*_xlpm.w)
)</f>
        <v/>
      </c>
      <c r="AD91" s="93" t="str" cm="1">
        <f t="array" ref="AD91">_xlfn.LET(
  _xlpm.w, AD$11,
  _xlpm.r, MATCH(1,('3. Enter Indicator Scores'!$B$10:$B$161=$B91)*('3. Enter Indicator Scores'!$C$10:$C$161=$C91),0),
  _xlpm.c, MATCH(AD$8,'3. Enter Indicator Scores'!$D$8:$CZ$8,0),
  _xlpm.v, IFERROR(INDEX('3. Enter Indicator Scores'!$D$10:$CZ$161,_xlpm.r,_xlpm.c),""),
  IF(OR(_xlpm.w="",_xlpm.v=""),"",_xlpm.v*_xlpm.w)
)</f>
        <v/>
      </c>
      <c r="AE91" s="93" t="str" cm="1">
        <f t="array" ref="AE91">_xlfn.LET(
  _xlpm.w, AE$11,
  _xlpm.r, MATCH(1,('3. Enter Indicator Scores'!$B$10:$B$161=$B91)*('3. Enter Indicator Scores'!$C$10:$C$161=$C91),0),
  _xlpm.c, MATCH(AE$8,'3. Enter Indicator Scores'!$D$8:$CZ$8,0),
  _xlpm.v, IFERROR(INDEX('3. Enter Indicator Scores'!$D$10:$CZ$161,_xlpm.r,_xlpm.c),""),
  IF(OR(_xlpm.w="",_xlpm.v=""),"",_xlpm.v*_xlpm.w)
)</f>
        <v/>
      </c>
      <c r="AF91" s="93" t="str" cm="1">
        <f t="array" ref="AF91">_xlfn.LET(
  _xlpm.w, AF$11,
  _xlpm.r, MATCH(1,('3. Enter Indicator Scores'!$B$10:$B$161=$B91)*('3. Enter Indicator Scores'!$C$10:$C$161=$C91),0),
  _xlpm.c, MATCH(AF$8,'3. Enter Indicator Scores'!$D$8:$CZ$8,0),
  _xlpm.v, IFERROR(INDEX('3. Enter Indicator Scores'!$D$10:$CZ$161,_xlpm.r,_xlpm.c),""),
  IF(OR(_xlpm.w="",_xlpm.v=""),"",_xlpm.v*_xlpm.w)
)</f>
        <v/>
      </c>
      <c r="AG91" s="93" t="str" cm="1">
        <f t="array" ref="AG91">_xlfn.LET(
  _xlpm.w, AG$11,
  _xlpm.r, MATCH(1,('3. Enter Indicator Scores'!$B$10:$B$161=$B91)*('3. Enter Indicator Scores'!$C$10:$C$161=$C91),0),
  _xlpm.c, MATCH(AG$8,'3. Enter Indicator Scores'!$D$8:$CZ$8,0),
  _xlpm.v, IFERROR(INDEX('3. Enter Indicator Scores'!$D$10:$CZ$161,_xlpm.r,_xlpm.c),""),
  IF(OR(_xlpm.w="",_xlpm.v=""),"",_xlpm.v*_xlpm.w)
)</f>
        <v/>
      </c>
      <c r="AH91" s="93" t="str" cm="1">
        <f t="array" ref="AH91">_xlfn.LET(
  _xlpm.w, AH$11,
  _xlpm.r, MATCH(1,('3. Enter Indicator Scores'!$B$10:$B$161=$B91)*('3. Enter Indicator Scores'!$C$10:$C$161=$C91),0),
  _xlpm.c, MATCH(AH$8,'3. Enter Indicator Scores'!$D$8:$CZ$8,0),
  _xlpm.v, IFERROR(INDEX('3. Enter Indicator Scores'!$D$10:$CZ$161,_xlpm.r,_xlpm.c),""),
  IF(OR(_xlpm.w="",_xlpm.v=""),"",_xlpm.v*_xlpm.w)
)</f>
        <v/>
      </c>
      <c r="AI91" s="93" t="str" cm="1">
        <f t="array" ref="AI91">_xlfn.LET(
  _xlpm.w, AI$11,
  _xlpm.r, MATCH(1,('3. Enter Indicator Scores'!$B$10:$B$161=$B91)*('3. Enter Indicator Scores'!$C$10:$C$161=$C91),0),
  _xlpm.c, MATCH(AI$8,'3. Enter Indicator Scores'!$D$8:$CZ$8,0),
  _xlpm.v, IFERROR(INDEX('3. Enter Indicator Scores'!$D$10:$CZ$161,_xlpm.r,_xlpm.c),""),
  IF(OR(_xlpm.w="",_xlpm.v=""),"",_xlpm.v*_xlpm.w)
)</f>
        <v/>
      </c>
      <c r="AJ91" s="93" t="str" cm="1">
        <f t="array" ref="AJ91">_xlfn.LET(
  _xlpm.w, AJ$11,
  _xlpm.r, MATCH(1,('3. Enter Indicator Scores'!$B$10:$B$161=$B91)*('3. Enter Indicator Scores'!$C$10:$C$161=$C91),0),
  _xlpm.c, MATCH(AJ$8,'3. Enter Indicator Scores'!$D$8:$CZ$8,0),
  _xlpm.v, IFERROR(INDEX('3. Enter Indicator Scores'!$D$10:$CZ$161,_xlpm.r,_xlpm.c),""),
  IF(OR(_xlpm.w="",_xlpm.v=""),"",_xlpm.v*_xlpm.w)
)</f>
        <v/>
      </c>
      <c r="AK91" s="93" t="str" cm="1">
        <f t="array" ref="AK91">_xlfn.LET(
  _xlpm.w, AK$11,
  _xlpm.r, MATCH(1,('3. Enter Indicator Scores'!$B$10:$B$161=$B91)*('3. Enter Indicator Scores'!$C$10:$C$161=$C91),0),
  _xlpm.c, MATCH(AK$8,'3. Enter Indicator Scores'!$D$8:$CZ$8,0),
  _xlpm.v, IFERROR(INDEX('3. Enter Indicator Scores'!$D$10:$CZ$161,_xlpm.r,_xlpm.c),""),
  IF(OR(_xlpm.w="",_xlpm.v=""),"",_xlpm.v*_xlpm.w)
)</f>
        <v/>
      </c>
      <c r="AL91" s="93" t="str" cm="1">
        <f t="array" ref="AL91">_xlfn.LET(
  _xlpm.w, AL$11,
  _xlpm.r, MATCH(1,('3. Enter Indicator Scores'!$B$10:$B$161=$B91)*('3. Enter Indicator Scores'!$C$10:$C$161=$C91),0),
  _xlpm.c, MATCH(AL$8,'3. Enter Indicator Scores'!$D$8:$CZ$8,0),
  _xlpm.v, IFERROR(INDEX('3. Enter Indicator Scores'!$D$10:$CZ$161,_xlpm.r,_xlpm.c),""),
  IF(OR(_xlpm.w="",_xlpm.v=""),"",_xlpm.v*_xlpm.w)
)</f>
        <v/>
      </c>
      <c r="AM91" s="93" t="str" cm="1">
        <f t="array" ref="AM91">_xlfn.LET(
  _xlpm.w, AM$11,
  _xlpm.r, MATCH(1,('3. Enter Indicator Scores'!$B$10:$B$161=$B91)*('3. Enter Indicator Scores'!$C$10:$C$161=$C91),0),
  _xlpm.c, MATCH(AM$8,'3. Enter Indicator Scores'!$D$8:$CZ$8,0),
  _xlpm.v, IFERROR(INDEX('3. Enter Indicator Scores'!$D$10:$CZ$161,_xlpm.r,_xlpm.c),""),
  IF(OR(_xlpm.w="",_xlpm.v=""),"",_xlpm.v*_xlpm.w)
)</f>
        <v/>
      </c>
      <c r="AN91" s="93" t="str" cm="1">
        <f t="array" ref="AN91">_xlfn.LET(
  _xlpm.w, AN$11,
  _xlpm.r, MATCH(1,('3. Enter Indicator Scores'!$B$10:$B$161=$B91)*('3. Enter Indicator Scores'!$C$10:$C$161=$C91),0),
  _xlpm.c, MATCH(AN$8,'3. Enter Indicator Scores'!$D$8:$CZ$8,0),
  _xlpm.v, IFERROR(INDEX('3. Enter Indicator Scores'!$D$10:$CZ$161,_xlpm.r,_xlpm.c),""),
  IF(OR(_xlpm.w="",_xlpm.v=""),"",_xlpm.v*_xlpm.w)
)</f>
        <v/>
      </c>
      <c r="AO91" s="93" t="str" cm="1">
        <f t="array" ref="AO91">_xlfn.LET(
  _xlpm.w, AO$11,
  _xlpm.r, MATCH(1,('3. Enter Indicator Scores'!$B$10:$B$161=$B91)*('3. Enter Indicator Scores'!$C$10:$C$161=$C91),0),
  _xlpm.c, MATCH(AO$8,'3. Enter Indicator Scores'!$D$8:$CZ$8,0),
  _xlpm.v, IFERROR(INDEX('3. Enter Indicator Scores'!$D$10:$CZ$161,_xlpm.r,_xlpm.c),""),
  IF(OR(_xlpm.w="",_xlpm.v=""),"",_xlpm.v*_xlpm.w)
)</f>
        <v/>
      </c>
      <c r="AP91" s="93" t="str" cm="1">
        <f t="array" ref="AP91">_xlfn.LET(
  _xlpm.w, AP$11,
  _xlpm.r, MATCH(1,('3. Enter Indicator Scores'!$B$10:$B$161=$B91)*('3. Enter Indicator Scores'!$C$10:$C$161=$C91),0),
  _xlpm.c, MATCH(AP$8,'3. Enter Indicator Scores'!$D$8:$CZ$8,0),
  _xlpm.v, IFERROR(INDEX('3. Enter Indicator Scores'!$D$10:$CZ$161,_xlpm.r,_xlpm.c),""),
  IF(OR(_xlpm.w="",_xlpm.v=""),"",_xlpm.v*_xlpm.w)
)</f>
        <v/>
      </c>
      <c r="AQ91" s="93" t="str" cm="1">
        <f t="array" ref="AQ91">_xlfn.LET(
  _xlpm.w, AQ$11,
  _xlpm.r, MATCH(1,('3. Enter Indicator Scores'!$B$10:$B$161=$B91)*('3. Enter Indicator Scores'!$C$10:$C$161=$C91),0),
  _xlpm.c, MATCH(AQ$8,'3. Enter Indicator Scores'!$D$8:$CZ$8,0),
  _xlpm.v, IFERROR(INDEX('3. Enter Indicator Scores'!$D$10:$CZ$161,_xlpm.r,_xlpm.c),""),
  IF(OR(_xlpm.w="",_xlpm.v=""),"",_xlpm.v*_xlpm.w)
)</f>
        <v/>
      </c>
      <c r="AR91" s="93" t="str" cm="1">
        <f t="array" ref="AR91">_xlfn.LET(
  _xlpm.w, AR$11,
  _xlpm.r, MATCH(1,('3. Enter Indicator Scores'!$B$10:$B$161=$B91)*('3. Enter Indicator Scores'!$C$10:$C$161=$C91),0),
  _xlpm.c, MATCH(AR$8,'3. Enter Indicator Scores'!$D$8:$CZ$8,0),
  _xlpm.v, IFERROR(INDEX('3. Enter Indicator Scores'!$D$10:$CZ$161,_xlpm.r,_xlpm.c),""),
  IF(OR(_xlpm.w="",_xlpm.v=""),"",_xlpm.v*_xlpm.w)
)</f>
        <v/>
      </c>
      <c r="AS91" s="93" t="str" cm="1">
        <f t="array" ref="AS91">_xlfn.LET(
  _xlpm.w, AS$11,
  _xlpm.r, MATCH(1,('3. Enter Indicator Scores'!$B$10:$B$161=$B91)*('3. Enter Indicator Scores'!$C$10:$C$161=$C91),0),
  _xlpm.c, MATCH(AS$8,'3. Enter Indicator Scores'!$D$8:$CZ$8,0),
  _xlpm.v, IFERROR(INDEX('3. Enter Indicator Scores'!$D$10:$CZ$161,_xlpm.r,_xlpm.c),""),
  IF(OR(_xlpm.w="",_xlpm.v=""),"",_xlpm.v*_xlpm.w)
)</f>
        <v/>
      </c>
      <c r="AT91" s="93" t="str" cm="1">
        <f t="array" ref="AT91">_xlfn.LET(
  _xlpm.w, AT$11,
  _xlpm.r, MATCH(1,('3. Enter Indicator Scores'!$B$10:$B$161=$B91)*('3. Enter Indicator Scores'!$C$10:$C$161=$C91),0),
  _xlpm.c, MATCH(AT$8,'3. Enter Indicator Scores'!$D$8:$CZ$8,0),
  _xlpm.v, IFERROR(INDEX('3. Enter Indicator Scores'!$D$10:$CZ$161,_xlpm.r,_xlpm.c),""),
  IF(OR(_xlpm.w="",_xlpm.v=""),"",_xlpm.v*_xlpm.w)
)</f>
        <v/>
      </c>
      <c r="AU91" s="93" t="str" cm="1">
        <f t="array" ref="AU91">_xlfn.LET(
  _xlpm.w, AU$11,
  _xlpm.r, MATCH(1,('3. Enter Indicator Scores'!$B$10:$B$161=$B91)*('3. Enter Indicator Scores'!$C$10:$C$161=$C91),0),
  _xlpm.c, MATCH(AU$8,'3. Enter Indicator Scores'!$D$8:$CZ$8,0),
  _xlpm.v, IFERROR(INDEX('3. Enter Indicator Scores'!$D$10:$CZ$161,_xlpm.r,_xlpm.c),""),
  IF(OR(_xlpm.w="",_xlpm.v=""),"",_xlpm.v*_xlpm.w)
)</f>
        <v/>
      </c>
      <c r="AV91" s="93" t="str" cm="1">
        <f t="array" ref="AV91">_xlfn.LET(
  _xlpm.w, AV$11,
  _xlpm.r, MATCH(1,('3. Enter Indicator Scores'!$B$10:$B$161=$B91)*('3. Enter Indicator Scores'!$C$10:$C$161=$C91),0),
  _xlpm.c, MATCH(AV$8,'3. Enter Indicator Scores'!$D$8:$CZ$8,0),
  _xlpm.v, IFERROR(INDEX('3. Enter Indicator Scores'!$D$10:$CZ$161,_xlpm.r,_xlpm.c),""),
  IF(OR(_xlpm.w="",_xlpm.v=""),"",_xlpm.v*_xlpm.w)
)</f>
        <v/>
      </c>
      <c r="AW91" s="93" t="str" cm="1">
        <f t="array" ref="AW91">_xlfn.LET(
  _xlpm.w, AW$11,
  _xlpm.r, MATCH(1,('3. Enter Indicator Scores'!$B$10:$B$161=$B91)*('3. Enter Indicator Scores'!$C$10:$C$161=$C91),0),
  _xlpm.c, MATCH(AW$8,'3. Enter Indicator Scores'!$D$8:$CZ$8,0),
  _xlpm.v, IFERROR(INDEX('3. Enter Indicator Scores'!$D$10:$CZ$161,_xlpm.r,_xlpm.c),""),
  IF(OR(_xlpm.w="",_xlpm.v=""),"",_xlpm.v*_xlpm.w)
)</f>
        <v/>
      </c>
      <c r="AX91" s="93" t="str" cm="1">
        <f t="array" ref="AX91">_xlfn.LET(
  _xlpm.w, AX$11,
  _xlpm.r, MATCH(1,('3. Enter Indicator Scores'!$B$10:$B$161=$B91)*('3. Enter Indicator Scores'!$C$10:$C$161=$C91),0),
  _xlpm.c, MATCH(AX$8,'3. Enter Indicator Scores'!$D$8:$CZ$8,0),
  _xlpm.v, IFERROR(INDEX('3. Enter Indicator Scores'!$D$10:$CZ$161,_xlpm.r,_xlpm.c),""),
  IF(OR(_xlpm.w="",_xlpm.v=""),"",_xlpm.v*_xlpm.w)
)</f>
        <v/>
      </c>
      <c r="AY91" s="93" t="str" cm="1">
        <f t="array" ref="AY91">_xlfn.LET(
  _xlpm.w, AY$11,
  _xlpm.r, MATCH(1,('3. Enter Indicator Scores'!$B$10:$B$161=$B91)*('3. Enter Indicator Scores'!$C$10:$C$161=$C91),0),
  _xlpm.c, MATCH(AY$8,'3. Enter Indicator Scores'!$D$8:$CZ$8,0),
  _xlpm.v, IFERROR(INDEX('3. Enter Indicator Scores'!$D$10:$CZ$161,_xlpm.r,_xlpm.c),""),
  IF(OR(_xlpm.w="",_xlpm.v=""),"",_xlpm.v*_xlpm.w)
)</f>
        <v/>
      </c>
      <c r="AZ91" s="93" t="str" cm="1">
        <f t="array" ref="AZ91">_xlfn.LET(
  _xlpm.w, AZ$11,
  _xlpm.r, MATCH(1,('3. Enter Indicator Scores'!$B$10:$B$161=$B91)*('3. Enter Indicator Scores'!$C$10:$C$161=$C91),0),
  _xlpm.c, MATCH(AZ$8,'3. Enter Indicator Scores'!$D$8:$CZ$8,0),
  _xlpm.v, IFERROR(INDEX('3. Enter Indicator Scores'!$D$10:$CZ$161,_xlpm.r,_xlpm.c),""),
  IF(OR(_xlpm.w="",_xlpm.v=""),"",_xlpm.v*_xlpm.w)
)</f>
        <v/>
      </c>
      <c r="BA91" s="93" t="str" cm="1">
        <f t="array" ref="BA91">_xlfn.LET(
  _xlpm.w, BA$11,
  _xlpm.r, MATCH(1,('3. Enter Indicator Scores'!$B$10:$B$161=$B91)*('3. Enter Indicator Scores'!$C$10:$C$161=$C91),0),
  _xlpm.c, MATCH(BA$8,'3. Enter Indicator Scores'!$D$8:$CZ$8,0),
  _xlpm.v, IFERROR(INDEX('3. Enter Indicator Scores'!$D$10:$CZ$161,_xlpm.r,_xlpm.c),""),
  IF(OR(_xlpm.w="",_xlpm.v=""),"",_xlpm.v*_xlpm.w)
)</f>
        <v/>
      </c>
      <c r="BB91" s="93" t="str" cm="1">
        <f t="array" ref="BB91">_xlfn.LET(
  _xlpm.w, BB$11,
  _xlpm.r, MATCH(1,('3. Enter Indicator Scores'!$B$10:$B$161=$B91)*('3. Enter Indicator Scores'!$C$10:$C$161=$C91),0),
  _xlpm.c, MATCH(BB$8,'3. Enter Indicator Scores'!$D$8:$CZ$8,0),
  _xlpm.v, IFERROR(INDEX('3. Enter Indicator Scores'!$D$10:$CZ$161,_xlpm.r,_xlpm.c),""),
  IF(OR(_xlpm.w="",_xlpm.v=""),"",_xlpm.v*_xlpm.w)
)</f>
        <v/>
      </c>
      <c r="BC91" s="93" t="str" cm="1">
        <f t="array" ref="BC91">_xlfn.LET(
  _xlpm.w, BC$11,
  _xlpm.r, MATCH(1,('3. Enter Indicator Scores'!$B$10:$B$161=$B91)*('3. Enter Indicator Scores'!$C$10:$C$161=$C91),0),
  _xlpm.c, MATCH(BC$8,'3. Enter Indicator Scores'!$D$8:$CZ$8,0),
  _xlpm.v, IFERROR(INDEX('3. Enter Indicator Scores'!$D$10:$CZ$161,_xlpm.r,_xlpm.c),""),
  IF(OR(_xlpm.w="",_xlpm.v=""),"",_xlpm.v*_xlpm.w)
)</f>
        <v/>
      </c>
      <c r="BD91" s="93" t="str" cm="1">
        <f t="array" ref="BD91">_xlfn.LET(
  _xlpm.w, BD$11,
  _xlpm.r, MATCH(1,('3. Enter Indicator Scores'!$B$10:$B$161=$B91)*('3. Enter Indicator Scores'!$C$10:$C$161=$C91),0),
  _xlpm.c, MATCH(BD$8,'3. Enter Indicator Scores'!$D$8:$CZ$8,0),
  _xlpm.v, IFERROR(INDEX('3. Enter Indicator Scores'!$D$10:$CZ$161,_xlpm.r,_xlpm.c),""),
  IF(OR(_xlpm.w="",_xlpm.v=""),"",_xlpm.v*_xlpm.w)
)</f>
        <v/>
      </c>
      <c r="BE91" s="93" t="str" cm="1">
        <f t="array" ref="BE91">_xlfn.LET(
  _xlpm.w, BE$11,
  _xlpm.r, MATCH(1,('3. Enter Indicator Scores'!$B$10:$B$161=$B91)*('3. Enter Indicator Scores'!$C$10:$C$161=$C91),0),
  _xlpm.c, MATCH(BE$8,'3. Enter Indicator Scores'!$D$8:$CZ$8,0),
  _xlpm.v, IFERROR(INDEX('3. Enter Indicator Scores'!$D$10:$CZ$161,_xlpm.r,_xlpm.c),""),
  IF(OR(_xlpm.w="",_xlpm.v=""),"",_xlpm.v*_xlpm.w)
)</f>
        <v/>
      </c>
      <c r="BF91" s="93" t="str" cm="1">
        <f t="array" ref="BF91">_xlfn.LET(
  _xlpm.w, BF$11,
  _xlpm.r, MATCH(1,('3. Enter Indicator Scores'!$B$10:$B$161=$B91)*('3. Enter Indicator Scores'!$C$10:$C$161=$C91),0),
  _xlpm.c, MATCH(BF$8,'3. Enter Indicator Scores'!$D$8:$CZ$8,0),
  _xlpm.v, IFERROR(INDEX('3. Enter Indicator Scores'!$D$10:$CZ$161,_xlpm.r,_xlpm.c),""),
  IF(OR(_xlpm.w="",_xlpm.v=""),"",_xlpm.v*_xlpm.w)
)</f>
        <v/>
      </c>
      <c r="BG91" s="93" t="str" cm="1">
        <f t="array" ref="BG91">_xlfn.LET(
  _xlpm.w, BG$11,
  _xlpm.r, MATCH(1,('3. Enter Indicator Scores'!$B$10:$B$161=$B91)*('3. Enter Indicator Scores'!$C$10:$C$161=$C91),0),
  _xlpm.c, MATCH(BG$8,'3. Enter Indicator Scores'!$D$8:$CZ$8,0),
  _xlpm.v, IFERROR(INDEX('3. Enter Indicator Scores'!$D$10:$CZ$161,_xlpm.r,_xlpm.c),""),
  IF(OR(_xlpm.w="",_xlpm.v=""),"",_xlpm.v*_xlpm.w)
)</f>
        <v/>
      </c>
      <c r="BH91" s="93" t="str" cm="1">
        <f t="array" ref="BH91">_xlfn.LET(
  _xlpm.w, BH$11,
  _xlpm.r, MATCH(1,('3. Enter Indicator Scores'!$B$10:$B$161=$B91)*('3. Enter Indicator Scores'!$C$10:$C$161=$C91),0),
  _xlpm.c, MATCH(BH$8,'3. Enter Indicator Scores'!$D$8:$CZ$8,0),
  _xlpm.v, IFERROR(INDEX('3. Enter Indicator Scores'!$D$10:$CZ$161,_xlpm.r,_xlpm.c),""),
  IF(OR(_xlpm.w="",_xlpm.v=""),"",_xlpm.v*_xlpm.w)
)</f>
        <v/>
      </c>
      <c r="BI91" s="93" t="str" cm="1">
        <f t="array" ref="BI91">_xlfn.LET(
  _xlpm.w, BI$11,
  _xlpm.r, MATCH(1,('3. Enter Indicator Scores'!$B$10:$B$161=$B91)*('3. Enter Indicator Scores'!$C$10:$C$161=$C91),0),
  _xlpm.c, MATCH(BI$8,'3. Enter Indicator Scores'!$D$8:$CZ$8,0),
  _xlpm.v, IFERROR(INDEX('3. Enter Indicator Scores'!$D$10:$CZ$161,_xlpm.r,_xlpm.c),""),
  IF(OR(_xlpm.w="",_xlpm.v=""),"",_xlpm.v*_xlpm.w)
)</f>
        <v/>
      </c>
      <c r="BJ91" s="93" t="str" cm="1">
        <f t="array" ref="BJ91">_xlfn.LET(
  _xlpm.w, BJ$11,
  _xlpm.r, MATCH(1,('3. Enter Indicator Scores'!$B$10:$B$161=$B91)*('3. Enter Indicator Scores'!$C$10:$C$161=$C91),0),
  _xlpm.c, MATCH(BJ$8,'3. Enter Indicator Scores'!$D$8:$CZ$8,0),
  _xlpm.v, IFERROR(INDEX('3. Enter Indicator Scores'!$D$10:$CZ$161,_xlpm.r,_xlpm.c),""),
  IF(OR(_xlpm.w="",_xlpm.v=""),"",_xlpm.v*_xlpm.w)
)</f>
        <v/>
      </c>
      <c r="BK91" s="93" t="str" cm="1">
        <f t="array" ref="BK91">_xlfn.LET(
  _xlpm.w, BK$11,
  _xlpm.r, MATCH(1,('3. Enter Indicator Scores'!$B$10:$B$161=$B91)*('3. Enter Indicator Scores'!$C$10:$C$161=$C91),0),
  _xlpm.c, MATCH(BK$8,'3. Enter Indicator Scores'!$D$8:$CZ$8,0),
  _xlpm.v, IFERROR(INDEX('3. Enter Indicator Scores'!$D$10:$CZ$161,_xlpm.r,_xlpm.c),""),
  IF(OR(_xlpm.w="",_xlpm.v=""),"",_xlpm.v*_xlpm.w)
)</f>
        <v/>
      </c>
      <c r="BL91" s="93" t="str" cm="1">
        <f t="array" ref="BL91">_xlfn.LET(
  _xlpm.w, BL$11,
  _xlpm.r, MATCH(1,('3. Enter Indicator Scores'!$B$10:$B$161=$B91)*('3. Enter Indicator Scores'!$C$10:$C$161=$C91),0),
  _xlpm.c, MATCH(BL$8,'3. Enter Indicator Scores'!$D$8:$CZ$8,0),
  _xlpm.v, IFERROR(INDEX('3. Enter Indicator Scores'!$D$10:$CZ$161,_xlpm.r,_xlpm.c),""),
  IF(OR(_xlpm.w="",_xlpm.v=""),"",_xlpm.v*_xlpm.w)
)</f>
        <v/>
      </c>
      <c r="BM91" s="93" t="str" cm="1">
        <f t="array" ref="BM91">_xlfn.LET(
  _xlpm.w, BM$11,
  _xlpm.r, MATCH(1,('3. Enter Indicator Scores'!$B$10:$B$161=$B91)*('3. Enter Indicator Scores'!$C$10:$C$161=$C91),0),
  _xlpm.c, MATCH(BM$8,'3. Enter Indicator Scores'!$D$8:$CZ$8,0),
  _xlpm.v, IFERROR(INDEX('3. Enter Indicator Scores'!$D$10:$CZ$161,_xlpm.r,_xlpm.c),""),
  IF(OR(_xlpm.w="",_xlpm.v=""),"",_xlpm.v*_xlpm.w)
)</f>
        <v/>
      </c>
      <c r="BN91" s="93" t="str" cm="1">
        <f t="array" ref="BN91">_xlfn.LET(
  _xlpm.w, BN$11,
  _xlpm.r, MATCH(1,('3. Enter Indicator Scores'!$B$10:$B$161=$B91)*('3. Enter Indicator Scores'!$C$10:$C$161=$C91),0),
  _xlpm.c, MATCH(BN$8,'3. Enter Indicator Scores'!$D$8:$CZ$8,0),
  _xlpm.v, IFERROR(INDEX('3. Enter Indicator Scores'!$D$10:$CZ$161,_xlpm.r,_xlpm.c),""),
  IF(OR(_xlpm.w="",_xlpm.v=""),"",_xlpm.v*_xlpm.w)
)</f>
        <v/>
      </c>
      <c r="BO91" s="93" t="str" cm="1">
        <f t="array" ref="BO91">_xlfn.LET(
  _xlpm.w, BO$11,
  _xlpm.r, MATCH(1,('3. Enter Indicator Scores'!$B$10:$B$161=$B91)*('3. Enter Indicator Scores'!$C$10:$C$161=$C91),0),
  _xlpm.c, MATCH(BO$8,'3. Enter Indicator Scores'!$D$8:$CZ$8,0),
  _xlpm.v, IFERROR(INDEX('3. Enter Indicator Scores'!$D$10:$CZ$161,_xlpm.r,_xlpm.c),""),
  IF(OR(_xlpm.w="",_xlpm.v=""),"",_xlpm.v*_xlpm.w)
)</f>
        <v/>
      </c>
      <c r="BP91" s="93" t="str" cm="1">
        <f t="array" ref="BP91">_xlfn.LET(
  _xlpm.w, BP$11,
  _xlpm.r, MATCH(1,('3. Enter Indicator Scores'!$B$10:$B$161=$B91)*('3. Enter Indicator Scores'!$C$10:$C$161=$C91),0),
  _xlpm.c, MATCH(BP$8,'3. Enter Indicator Scores'!$D$8:$CZ$8,0),
  _xlpm.v, IFERROR(INDEX('3. Enter Indicator Scores'!$D$10:$CZ$161,_xlpm.r,_xlpm.c),""),
  IF(OR(_xlpm.w="",_xlpm.v=""),"",_xlpm.v*_xlpm.w)
)</f>
        <v/>
      </c>
      <c r="BQ91" s="93" t="str" cm="1">
        <f t="array" ref="BQ91">_xlfn.LET(
  _xlpm.w, BQ$11,
  _xlpm.r, MATCH(1,('3. Enter Indicator Scores'!$B$10:$B$161=$B91)*('3. Enter Indicator Scores'!$C$10:$C$161=$C91),0),
  _xlpm.c, MATCH(BQ$8,'3. Enter Indicator Scores'!$D$8:$CZ$8,0),
  _xlpm.v, IFERROR(INDEX('3. Enter Indicator Scores'!$D$10:$CZ$161,_xlpm.r,_xlpm.c),""),
  IF(OR(_xlpm.w="",_xlpm.v=""),"",_xlpm.v*_xlpm.w)
)</f>
        <v/>
      </c>
      <c r="BR91" s="93" t="str" cm="1">
        <f t="array" ref="BR91">_xlfn.LET(
  _xlpm.w, BR$11,
  _xlpm.r, MATCH(1,('3. Enter Indicator Scores'!$B$10:$B$161=$B91)*('3. Enter Indicator Scores'!$C$10:$C$161=$C91),0),
  _xlpm.c, MATCH(BR$8,'3. Enter Indicator Scores'!$D$8:$CZ$8,0),
  _xlpm.v, IFERROR(INDEX('3. Enter Indicator Scores'!$D$10:$CZ$161,_xlpm.r,_xlpm.c),""),
  IF(OR(_xlpm.w="",_xlpm.v=""),"",_xlpm.v*_xlpm.w)
)</f>
        <v/>
      </c>
      <c r="BS91" s="93" t="str" cm="1">
        <f t="array" ref="BS91">_xlfn.LET(
  _xlpm.w, BS$11,
  _xlpm.r, MATCH(1,('3. Enter Indicator Scores'!$B$10:$B$161=$B91)*('3. Enter Indicator Scores'!$C$10:$C$161=$C91),0),
  _xlpm.c, MATCH(BS$8,'3. Enter Indicator Scores'!$D$8:$CZ$8,0),
  _xlpm.v, IFERROR(INDEX('3. Enter Indicator Scores'!$D$10:$CZ$161,_xlpm.r,_xlpm.c),""),
  IF(OR(_xlpm.w="",_xlpm.v=""),"",_xlpm.v*_xlpm.w)
)</f>
        <v/>
      </c>
      <c r="BT91" s="93" t="str" cm="1">
        <f t="array" ref="BT91">_xlfn.LET(
  _xlpm.w, BT$11,
  _xlpm.r, MATCH(1,('3. Enter Indicator Scores'!$B$10:$B$161=$B91)*('3. Enter Indicator Scores'!$C$10:$C$161=$C91),0),
  _xlpm.c, MATCH(BT$8,'3. Enter Indicator Scores'!$D$8:$CZ$8,0),
  _xlpm.v, IFERROR(INDEX('3. Enter Indicator Scores'!$D$10:$CZ$161,_xlpm.r,_xlpm.c),""),
  IF(OR(_xlpm.w="",_xlpm.v=""),"",_xlpm.v*_xlpm.w)
)</f>
        <v/>
      </c>
      <c r="BU91" s="93" t="str" cm="1">
        <f t="array" ref="BU91">_xlfn.LET(
  _xlpm.w, BU$11,
  _xlpm.r, MATCH(1,('3. Enter Indicator Scores'!$B$10:$B$161=$B91)*('3. Enter Indicator Scores'!$C$10:$C$161=$C91),0),
  _xlpm.c, MATCH(BU$8,'3. Enter Indicator Scores'!$D$8:$CZ$8,0),
  _xlpm.v, IFERROR(INDEX('3. Enter Indicator Scores'!$D$10:$CZ$161,_xlpm.r,_xlpm.c),""),
  IF(OR(_xlpm.w="",_xlpm.v=""),"",_xlpm.v*_xlpm.w)
)</f>
        <v/>
      </c>
      <c r="BV91" s="93" t="str" cm="1">
        <f t="array" ref="BV91">_xlfn.LET(
  _xlpm.w, BV$11,
  _xlpm.r, MATCH(1,('3. Enter Indicator Scores'!$B$10:$B$161=$B91)*('3. Enter Indicator Scores'!$C$10:$C$161=$C91),0),
  _xlpm.c, MATCH(BV$8,'3. Enter Indicator Scores'!$D$8:$CZ$8,0),
  _xlpm.v, IFERROR(INDEX('3. Enter Indicator Scores'!$D$10:$CZ$161,_xlpm.r,_xlpm.c),""),
  IF(OR(_xlpm.w="",_xlpm.v=""),"",_xlpm.v*_xlpm.w)
)</f>
        <v/>
      </c>
      <c r="BW91" s="93" t="str" cm="1">
        <f t="array" ref="BW91">_xlfn.LET(
  _xlpm.w, BW$11,
  _xlpm.r, MATCH(1,('3. Enter Indicator Scores'!$B$10:$B$161=$B91)*('3. Enter Indicator Scores'!$C$10:$C$161=$C91),0),
  _xlpm.c, MATCH(BW$8,'3. Enter Indicator Scores'!$D$8:$CZ$8,0),
  _xlpm.v, IFERROR(INDEX('3. Enter Indicator Scores'!$D$10:$CZ$161,_xlpm.r,_xlpm.c),""),
  IF(OR(_xlpm.w="",_xlpm.v=""),"",_xlpm.v*_xlpm.w)
)</f>
        <v/>
      </c>
      <c r="BX91" s="93" t="str" cm="1">
        <f t="array" ref="BX91">_xlfn.LET(
  _xlpm.w, BX$11,
  _xlpm.r, MATCH(1,('3. Enter Indicator Scores'!$B$10:$B$161=$B91)*('3. Enter Indicator Scores'!$C$10:$C$161=$C91),0),
  _xlpm.c, MATCH(BX$8,'3. Enter Indicator Scores'!$D$8:$CZ$8,0),
  _xlpm.v, IFERROR(INDEX('3. Enter Indicator Scores'!$D$10:$CZ$161,_xlpm.r,_xlpm.c),""),
  IF(OR(_xlpm.w="",_xlpm.v=""),"",_xlpm.v*_xlpm.w)
)</f>
        <v/>
      </c>
      <c r="BY91" s="93" t="str" cm="1">
        <f t="array" ref="BY91">_xlfn.LET(
  _xlpm.w, BY$11,
  _xlpm.r, MATCH(1,('3. Enter Indicator Scores'!$B$10:$B$161=$B91)*('3. Enter Indicator Scores'!$C$10:$C$161=$C91),0),
  _xlpm.c, MATCH(BY$8,'3. Enter Indicator Scores'!$D$8:$CZ$8,0),
  _xlpm.v, IFERROR(INDEX('3. Enter Indicator Scores'!$D$10:$CZ$161,_xlpm.r,_xlpm.c),""),
  IF(OR(_xlpm.w="",_xlpm.v=""),"",_xlpm.v*_xlpm.w)
)</f>
        <v/>
      </c>
      <c r="BZ91" s="93" t="str" cm="1">
        <f t="array" ref="BZ91">_xlfn.LET(
  _xlpm.w, BZ$11,
  _xlpm.r, MATCH(1,('3. Enter Indicator Scores'!$B$10:$B$161=$B91)*('3. Enter Indicator Scores'!$C$10:$C$161=$C91),0),
  _xlpm.c, MATCH(BZ$8,'3. Enter Indicator Scores'!$D$8:$CZ$8,0),
  _xlpm.v, IFERROR(INDEX('3. Enter Indicator Scores'!$D$10:$CZ$161,_xlpm.r,_xlpm.c),""),
  IF(OR(_xlpm.w="",_xlpm.v=""),"",_xlpm.v*_xlpm.w)
)</f>
        <v/>
      </c>
      <c r="CA91" s="93" t="str" cm="1">
        <f t="array" ref="CA91">_xlfn.LET(
  _xlpm.w, CA$11,
  _xlpm.r, MATCH(1,('3. Enter Indicator Scores'!$B$10:$B$161=$B91)*('3. Enter Indicator Scores'!$C$10:$C$161=$C91),0),
  _xlpm.c, MATCH(CA$8,'3. Enter Indicator Scores'!$D$8:$CZ$8,0),
  _xlpm.v, IFERROR(INDEX('3. Enter Indicator Scores'!$D$10:$CZ$161,_xlpm.r,_xlpm.c),""),
  IF(OR(_xlpm.w="",_xlpm.v=""),"",_xlpm.v*_xlpm.w)
)</f>
        <v/>
      </c>
      <c r="CB91" s="93" t="str" cm="1">
        <f t="array" ref="CB91">_xlfn.LET(
  _xlpm.w, CB$11,
  _xlpm.r, MATCH(1,('3. Enter Indicator Scores'!$B$10:$B$161=$B91)*('3. Enter Indicator Scores'!$C$10:$C$161=$C91),0),
  _xlpm.c, MATCH(CB$8,'3. Enter Indicator Scores'!$D$8:$CZ$8,0),
  _xlpm.v, IFERROR(INDEX('3. Enter Indicator Scores'!$D$10:$CZ$161,_xlpm.r,_xlpm.c),""),
  IF(OR(_xlpm.w="",_xlpm.v=""),"",_xlpm.v*_xlpm.w)
)</f>
        <v/>
      </c>
      <c r="CC91" s="93" t="str" cm="1">
        <f t="array" ref="CC91">_xlfn.LET(
  _xlpm.w, CC$11,
  _xlpm.r, MATCH(1,('3. Enter Indicator Scores'!$B$10:$B$161=$B91)*('3. Enter Indicator Scores'!$C$10:$C$161=$C91),0),
  _xlpm.c, MATCH(CC$8,'3. Enter Indicator Scores'!$D$8:$CZ$8,0),
  _xlpm.v, IFERROR(INDEX('3. Enter Indicator Scores'!$D$10:$CZ$161,_xlpm.r,_xlpm.c),""),
  IF(OR(_xlpm.w="",_xlpm.v=""),"",_xlpm.v*_xlpm.w)
)</f>
        <v/>
      </c>
      <c r="CD91" s="93" t="str" cm="1">
        <f t="array" ref="CD91">_xlfn.LET(
  _xlpm.w, CD$11,
  _xlpm.r, MATCH(1,('3. Enter Indicator Scores'!$B$10:$B$161=$B91)*('3. Enter Indicator Scores'!$C$10:$C$161=$C91),0),
  _xlpm.c, MATCH(CD$8,'3. Enter Indicator Scores'!$D$8:$CZ$8,0),
  _xlpm.v, IFERROR(INDEX('3. Enter Indicator Scores'!$D$10:$CZ$161,_xlpm.r,_xlpm.c),""),
  IF(OR(_xlpm.w="",_xlpm.v=""),"",_xlpm.v*_xlpm.w)
)</f>
        <v/>
      </c>
      <c r="CE91" s="93" t="str" cm="1">
        <f t="array" ref="CE91">_xlfn.LET(
  _xlpm.w, CE$11,
  _xlpm.r, MATCH(1,('3. Enter Indicator Scores'!$B$10:$B$161=$B91)*('3. Enter Indicator Scores'!$C$10:$C$161=$C91),0),
  _xlpm.c, MATCH(CE$8,'3. Enter Indicator Scores'!$D$8:$CZ$8,0),
  _xlpm.v, IFERROR(INDEX('3. Enter Indicator Scores'!$D$10:$CZ$161,_xlpm.r,_xlpm.c),""),
  IF(OR(_xlpm.w="",_xlpm.v=""),"",_xlpm.v*_xlpm.w)
)</f>
        <v/>
      </c>
      <c r="CF91" s="93" t="str" cm="1">
        <f t="array" ref="CF91">_xlfn.LET(
  _xlpm.w, CF$11,
  _xlpm.r, MATCH(1,('3. Enter Indicator Scores'!$B$10:$B$161=$B91)*('3. Enter Indicator Scores'!$C$10:$C$161=$C91),0),
  _xlpm.c, MATCH(CF$8,'3. Enter Indicator Scores'!$D$8:$CZ$8,0),
  _xlpm.v, IFERROR(INDEX('3. Enter Indicator Scores'!$D$10:$CZ$161,_xlpm.r,_xlpm.c),""),
  IF(OR(_xlpm.w="",_xlpm.v=""),"",_xlpm.v*_xlpm.w)
)</f>
        <v/>
      </c>
      <c r="CG91" s="93" t="str" cm="1">
        <f t="array" ref="CG91">_xlfn.LET(
  _xlpm.w, CG$11,
  _xlpm.r, MATCH(1,('3. Enter Indicator Scores'!$B$10:$B$161=$B91)*('3. Enter Indicator Scores'!$C$10:$C$161=$C91),0),
  _xlpm.c, MATCH(CG$8,'3. Enter Indicator Scores'!$D$8:$CZ$8,0),
  _xlpm.v, IFERROR(INDEX('3. Enter Indicator Scores'!$D$10:$CZ$161,_xlpm.r,_xlpm.c),""),
  IF(OR(_xlpm.w="",_xlpm.v=""),"",_xlpm.v*_xlpm.w)
)</f>
        <v/>
      </c>
      <c r="CH91" s="93" t="str" cm="1">
        <f t="array" ref="CH91">_xlfn.LET(
  _xlpm.w, CH$11,
  _xlpm.r, MATCH(1,('3. Enter Indicator Scores'!$B$10:$B$161=$B91)*('3. Enter Indicator Scores'!$C$10:$C$161=$C91),0),
  _xlpm.c, MATCH(CH$8,'3. Enter Indicator Scores'!$D$8:$CZ$8,0),
  _xlpm.v, IFERROR(INDEX('3. Enter Indicator Scores'!$D$10:$CZ$161,_xlpm.r,_xlpm.c),""),
  IF(OR(_xlpm.w="",_xlpm.v=""),"",_xlpm.v*_xlpm.w)
)</f>
        <v/>
      </c>
      <c r="CI91" s="93" t="str" cm="1">
        <f t="array" ref="CI91">_xlfn.LET(
  _xlpm.w, CI$11,
  _xlpm.r, MATCH(1,('3. Enter Indicator Scores'!$B$10:$B$161=$B91)*('3. Enter Indicator Scores'!$C$10:$C$161=$C91),0),
  _xlpm.c, MATCH(CI$8,'3. Enter Indicator Scores'!$D$8:$CZ$8,0),
  _xlpm.v, IFERROR(INDEX('3. Enter Indicator Scores'!$D$10:$CZ$161,_xlpm.r,_xlpm.c),""),
  IF(OR(_xlpm.w="",_xlpm.v=""),"",_xlpm.v*_xlpm.w)
)</f>
        <v/>
      </c>
      <c r="CJ91" s="93" t="str" cm="1">
        <f t="array" ref="CJ91">_xlfn.LET(
  _xlpm.w, CJ$11,
  _xlpm.r, MATCH(1,('3. Enter Indicator Scores'!$B$10:$B$161=$B91)*('3. Enter Indicator Scores'!$C$10:$C$161=$C91),0),
  _xlpm.c, MATCH(CJ$8,'3. Enter Indicator Scores'!$D$8:$CZ$8,0),
  _xlpm.v, IFERROR(INDEX('3. Enter Indicator Scores'!$D$10:$CZ$161,_xlpm.r,_xlpm.c),""),
  IF(OR(_xlpm.w="",_xlpm.v=""),"",_xlpm.v*_xlpm.w)
)</f>
        <v/>
      </c>
      <c r="CK91" s="93" t="str" cm="1">
        <f t="array" ref="CK91">_xlfn.LET(
  _xlpm.w, CK$11,
  _xlpm.r, MATCH(1,('3. Enter Indicator Scores'!$B$10:$B$161=$B91)*('3. Enter Indicator Scores'!$C$10:$C$161=$C91),0),
  _xlpm.c, MATCH(CK$8,'3. Enter Indicator Scores'!$D$8:$CZ$8,0),
  _xlpm.v, IFERROR(INDEX('3. Enter Indicator Scores'!$D$10:$CZ$161,_xlpm.r,_xlpm.c),""),
  IF(OR(_xlpm.w="",_xlpm.v=""),"",_xlpm.v*_xlpm.w)
)</f>
        <v/>
      </c>
      <c r="CL91" s="93" t="str" cm="1">
        <f t="array" ref="CL91">_xlfn.LET(
  _xlpm.w, CL$11,
  _xlpm.r, MATCH(1,('3. Enter Indicator Scores'!$B$10:$B$161=$B91)*('3. Enter Indicator Scores'!$C$10:$C$161=$C91),0),
  _xlpm.c, MATCH(CL$8,'3. Enter Indicator Scores'!$D$8:$CZ$8,0),
  _xlpm.v, IFERROR(INDEX('3. Enter Indicator Scores'!$D$10:$CZ$161,_xlpm.r,_xlpm.c),""),
  IF(OR(_xlpm.w="",_xlpm.v=""),"",_xlpm.v*_xlpm.w)
)</f>
        <v/>
      </c>
      <c r="CM91" s="93" t="str" cm="1">
        <f t="array" ref="CM91">_xlfn.LET(
  _xlpm.w, CM$11,
  _xlpm.r, MATCH(1,('3. Enter Indicator Scores'!$B$10:$B$161=$B91)*('3. Enter Indicator Scores'!$C$10:$C$161=$C91),0),
  _xlpm.c, MATCH(CM$8,'3. Enter Indicator Scores'!$D$8:$CZ$8,0),
  _xlpm.v, IFERROR(INDEX('3. Enter Indicator Scores'!$D$10:$CZ$161,_xlpm.r,_xlpm.c),""),
  IF(OR(_xlpm.w="",_xlpm.v=""),"",_xlpm.v*_xlpm.w)
)</f>
        <v/>
      </c>
      <c r="CN91" s="93" t="str" cm="1">
        <f t="array" ref="CN91">_xlfn.LET(
  _xlpm.w, CN$11,
  _xlpm.r, MATCH(1,('3. Enter Indicator Scores'!$B$10:$B$161=$B91)*('3. Enter Indicator Scores'!$C$10:$C$161=$C91),0),
  _xlpm.c, MATCH(CN$8,'3. Enter Indicator Scores'!$D$8:$CZ$8,0),
  _xlpm.v, IFERROR(INDEX('3. Enter Indicator Scores'!$D$10:$CZ$161,_xlpm.r,_xlpm.c),""),
  IF(OR(_xlpm.w="",_xlpm.v=""),"",_xlpm.v*_xlpm.w)
)</f>
        <v/>
      </c>
      <c r="CO91" s="93" t="str" cm="1">
        <f t="array" ref="CO91">_xlfn.LET(
  _xlpm.w, CO$11,
  _xlpm.r, MATCH(1,('3. Enter Indicator Scores'!$B$10:$B$161=$B91)*('3. Enter Indicator Scores'!$C$10:$C$161=$C91),0),
  _xlpm.c, MATCH(CO$8,'3. Enter Indicator Scores'!$D$8:$CZ$8,0),
  _xlpm.v, IFERROR(INDEX('3. Enter Indicator Scores'!$D$10:$CZ$161,_xlpm.r,_xlpm.c),""),
  IF(OR(_xlpm.w="",_xlpm.v=""),"",_xlpm.v*_xlpm.w)
)</f>
        <v/>
      </c>
      <c r="CP91" s="93" t="str" cm="1">
        <f t="array" ref="CP91">_xlfn.LET(
  _xlpm.w, CP$11,
  _xlpm.r, MATCH(1,('3. Enter Indicator Scores'!$B$10:$B$161=$B91)*('3. Enter Indicator Scores'!$C$10:$C$161=$C91),0),
  _xlpm.c, MATCH(CP$8,'3. Enter Indicator Scores'!$D$8:$CZ$8,0),
  _xlpm.v, IFERROR(INDEX('3. Enter Indicator Scores'!$D$10:$CZ$161,_xlpm.r,_xlpm.c),""),
  IF(OR(_xlpm.w="",_xlpm.v=""),"",_xlpm.v*_xlpm.w)
)</f>
        <v/>
      </c>
      <c r="CQ91" s="93" t="str" cm="1">
        <f t="array" ref="CQ91">_xlfn.LET(
  _xlpm.w, CQ$11,
  _xlpm.r, MATCH(1,('3. Enter Indicator Scores'!$B$10:$B$161=$B91)*('3. Enter Indicator Scores'!$C$10:$C$161=$C91),0),
  _xlpm.c, MATCH(CQ$8,'3. Enter Indicator Scores'!$D$8:$CZ$8,0),
  _xlpm.v, IFERROR(INDEX('3. Enter Indicator Scores'!$D$10:$CZ$161,_xlpm.r,_xlpm.c),""),
  IF(OR(_xlpm.w="",_xlpm.v=""),"",_xlpm.v*_xlpm.w)
)</f>
        <v/>
      </c>
      <c r="CR91" s="93" t="str" cm="1">
        <f t="array" ref="CR91">_xlfn.LET(
  _xlpm.w, CR$11,
  _xlpm.r, MATCH(1,('3. Enter Indicator Scores'!$B$10:$B$161=$B91)*('3. Enter Indicator Scores'!$C$10:$C$161=$C91),0),
  _xlpm.c, MATCH(CR$8,'3. Enter Indicator Scores'!$D$8:$CZ$8,0),
  _xlpm.v, IFERROR(INDEX('3. Enter Indicator Scores'!$D$10:$CZ$161,_xlpm.r,_xlpm.c),""),
  IF(OR(_xlpm.w="",_xlpm.v=""),"",_xlpm.v*_xlpm.w)
)</f>
        <v/>
      </c>
      <c r="CS91" s="93" t="str" cm="1">
        <f t="array" ref="CS91">_xlfn.LET(
  _xlpm.w, CS$11,
  _xlpm.r, MATCH(1,('3. Enter Indicator Scores'!$B$10:$B$161=$B91)*('3. Enter Indicator Scores'!$C$10:$C$161=$C91),0),
  _xlpm.c, MATCH(CS$8,'3. Enter Indicator Scores'!$D$8:$CZ$8,0),
  _xlpm.v, IFERROR(INDEX('3. Enter Indicator Scores'!$D$10:$CZ$161,_xlpm.r,_xlpm.c),""),
  IF(OR(_xlpm.w="",_xlpm.v=""),"",_xlpm.v*_xlpm.w)
)</f>
        <v/>
      </c>
      <c r="CT91" s="93" t="str" cm="1">
        <f t="array" ref="CT91">_xlfn.LET(
  _xlpm.w, CT$11,
  _xlpm.r, MATCH(1,('3. Enter Indicator Scores'!$B$10:$B$161=$B91)*('3. Enter Indicator Scores'!$C$10:$C$161=$C91),0),
  _xlpm.c, MATCH(CT$8,'3. Enter Indicator Scores'!$D$8:$CZ$8,0),
  _xlpm.v, IFERROR(INDEX('3. Enter Indicator Scores'!$D$10:$CZ$161,_xlpm.r,_xlpm.c),""),
  IF(OR(_xlpm.w="",_xlpm.v=""),"",_xlpm.v*_xlpm.w)
)</f>
        <v/>
      </c>
      <c r="CU91" s="93" t="str" cm="1">
        <f t="array" ref="CU91">_xlfn.LET(
  _xlpm.w, CU$11,
  _xlpm.r, MATCH(1,('3. Enter Indicator Scores'!$B$10:$B$161=$B91)*('3. Enter Indicator Scores'!$C$10:$C$161=$C91),0),
  _xlpm.c, MATCH(CU$8,'3. Enter Indicator Scores'!$D$8:$CZ$8,0),
  _xlpm.v, IFERROR(INDEX('3. Enter Indicator Scores'!$D$10:$CZ$161,_xlpm.r,_xlpm.c),""),
  IF(OR(_xlpm.w="",_xlpm.v=""),"",_xlpm.v*_xlpm.w)
)</f>
        <v/>
      </c>
      <c r="CV91" s="93" t="str" cm="1">
        <f t="array" ref="CV91">_xlfn.LET(
  _xlpm.w, CV$11,
  _xlpm.r, MATCH(1,('3. Enter Indicator Scores'!$B$10:$B$161=$B91)*('3. Enter Indicator Scores'!$C$10:$C$161=$C91),0),
  _xlpm.c, MATCH(CV$8,'3. Enter Indicator Scores'!$D$8:$CZ$8,0),
  _xlpm.v, IFERROR(INDEX('3. Enter Indicator Scores'!$D$10:$CZ$161,_xlpm.r,_xlpm.c),""),
  IF(OR(_xlpm.w="",_xlpm.v=""),"",_xlpm.v*_xlpm.w)
)</f>
        <v/>
      </c>
      <c r="CW91" s="93" t="str" cm="1">
        <f t="array" ref="CW91">_xlfn.LET(
  _xlpm.w, CW$11,
  _xlpm.r, MATCH(1,('3. Enter Indicator Scores'!$B$10:$B$161=$B91)*('3. Enter Indicator Scores'!$C$10:$C$161=$C91),0),
  _xlpm.c, MATCH(CW$8,'3. Enter Indicator Scores'!$D$8:$CZ$8,0),
  _xlpm.v, IFERROR(INDEX('3. Enter Indicator Scores'!$D$10:$CZ$161,_xlpm.r,_xlpm.c),""),
  IF(OR(_xlpm.w="",_xlpm.v=""),"",_xlpm.v*_xlpm.w)
)</f>
        <v/>
      </c>
      <c r="CX91" s="93" t="str" cm="1">
        <f t="array" ref="CX91">_xlfn.LET(
  _xlpm.w, CX$11,
  _xlpm.r, MATCH(1,('3. Enter Indicator Scores'!$B$10:$B$161=$B91)*('3. Enter Indicator Scores'!$C$10:$C$161=$C91),0),
  _xlpm.c, MATCH(CX$8,'3. Enter Indicator Scores'!$D$8:$CZ$8,0),
  _xlpm.v, IFERROR(INDEX('3. Enter Indicator Scores'!$D$10:$CZ$161,_xlpm.r,_xlpm.c),""),
  IF(OR(_xlpm.w="",_xlpm.v=""),"",_xlpm.v*_xlpm.w)
)</f>
        <v/>
      </c>
      <c r="CY91" s="93" t="str" cm="1">
        <f t="array" ref="CY91">_xlfn.LET(
  _xlpm.w, CY$11,
  _xlpm.r, MATCH(1,('3. Enter Indicator Scores'!$B$10:$B$161=$B91)*('3. Enter Indicator Scores'!$C$10:$C$161=$C91),0),
  _xlpm.c, MATCH(CY$8,'3. Enter Indicator Scores'!$D$8:$CZ$8,0),
  _xlpm.v, IFERROR(INDEX('3. Enter Indicator Scores'!$D$10:$CZ$161,_xlpm.r,_xlpm.c),""),
  IF(OR(_xlpm.w="",_xlpm.v=""),"",_xlpm.v*_xlpm.w)
)</f>
        <v/>
      </c>
      <c r="CZ91" s="93" t="str" cm="1">
        <f t="array" ref="CZ91">_xlfn.LET(
  _xlpm.w, CZ$11,
  _xlpm.r, MATCH(1,('3. Enter Indicator Scores'!$B$10:$B$161=$B91)*('3. Enter Indicator Scores'!$C$10:$C$161=$C91),0),
  _xlpm.c, MATCH(CZ$8,'3. Enter Indicator Scores'!$D$8:$CZ$8,0),
  _xlpm.v, IFERROR(INDEX('3. Enter Indicator Scores'!$D$10:$CZ$161,_xlpm.r,_xlpm.c),""),
  IF(OR(_xlpm.w="",_xlpm.v=""),"",_xlpm.v*_xlpm.w)
)</f>
        <v/>
      </c>
    </row>
    <row r="92" spans="4:104" x14ac:dyDescent="0.2">
      <c r="D92" s="93" t="str" cm="1">
        <f t="array" ref="D92">_xlfn.LET(
  _xlpm.w, D$11,
  _xlpm.r, MATCH(1,('3. Enter Indicator Scores'!$B$10:$B$161=$B92)*('3. Enter Indicator Scores'!$C$10:$C$161=$C92),0),
  _xlpm.c, MATCH(D$8,'3. Enter Indicator Scores'!$D$8:$CZ$8,0),
  _xlpm.v, IFERROR(INDEX('3. Enter Indicator Scores'!$D$10:$CZ$161,_xlpm.r,_xlpm.c),""),
  IF(OR(_xlpm.w="",_xlpm.v=""),"",_xlpm.v*_xlpm.w)
)</f>
        <v/>
      </c>
      <c r="E92" s="93" t="str" cm="1">
        <f t="array" ref="E92">_xlfn.LET(
  _xlpm.w, E$11,
  _xlpm.r, MATCH(1,('3. Enter Indicator Scores'!$B$10:$B$161=$B92)*('3. Enter Indicator Scores'!$C$10:$C$161=$C92),0),
  _xlpm.c, MATCH(E$8,'3. Enter Indicator Scores'!$D$8:$CZ$8,0),
  _xlpm.v, IFERROR(INDEX('3. Enter Indicator Scores'!$D$10:$CZ$161,_xlpm.r,_xlpm.c),""),
  IF(OR(_xlpm.w="",_xlpm.v=""),"",_xlpm.v*_xlpm.w)
)</f>
        <v/>
      </c>
      <c r="F92" s="93" t="str" cm="1">
        <f t="array" ref="F92">_xlfn.LET(
  _xlpm.w, F$11,
  _xlpm.r, MATCH(1,('3. Enter Indicator Scores'!$B$10:$B$161=$B92)*('3. Enter Indicator Scores'!$C$10:$C$161=$C92),0),
  _xlpm.c, MATCH(F$8,'3. Enter Indicator Scores'!$D$8:$CZ$8,0),
  _xlpm.v, IFERROR(INDEX('3. Enter Indicator Scores'!$D$10:$CZ$161,_xlpm.r,_xlpm.c),""),
  IF(OR(_xlpm.w="",_xlpm.v=""),"",_xlpm.v*_xlpm.w)
)</f>
        <v/>
      </c>
      <c r="G92" s="93" t="str" cm="1">
        <f t="array" ref="G92">_xlfn.LET(
  _xlpm.w, G$11,
  _xlpm.r, MATCH(1,('3. Enter Indicator Scores'!$B$10:$B$161=$B92)*('3. Enter Indicator Scores'!$C$10:$C$161=$C92),0),
  _xlpm.c, MATCH(G$8,'3. Enter Indicator Scores'!$D$8:$CZ$8,0),
  _xlpm.v, IFERROR(INDEX('3. Enter Indicator Scores'!$D$10:$CZ$161,_xlpm.r,_xlpm.c),""),
  IF(OR(_xlpm.w="",_xlpm.v=""),"",_xlpm.v*_xlpm.w)
)</f>
        <v/>
      </c>
      <c r="H92" s="93" t="str" cm="1">
        <f t="array" ref="H92">_xlfn.LET(
  _xlpm.w, H$11,
  _xlpm.r, MATCH(1,('3. Enter Indicator Scores'!$B$10:$B$161=$B92)*('3. Enter Indicator Scores'!$C$10:$C$161=$C92),0),
  _xlpm.c, MATCH(H$8,'3. Enter Indicator Scores'!$D$8:$CZ$8,0),
  _xlpm.v, IFERROR(INDEX('3. Enter Indicator Scores'!$D$10:$CZ$161,_xlpm.r,_xlpm.c),""),
  IF(OR(_xlpm.w="",_xlpm.v=""),"",_xlpm.v*_xlpm.w)
)</f>
        <v/>
      </c>
      <c r="I92" s="93" t="str" cm="1">
        <f t="array" ref="I92">_xlfn.LET(
  _xlpm.w, I$11,
  _xlpm.r, MATCH(1,('3. Enter Indicator Scores'!$B$10:$B$161=$B92)*('3. Enter Indicator Scores'!$C$10:$C$161=$C92),0),
  _xlpm.c, MATCH(I$8,'3. Enter Indicator Scores'!$D$8:$CZ$8,0),
  _xlpm.v, IFERROR(INDEX('3. Enter Indicator Scores'!$D$10:$CZ$161,_xlpm.r,_xlpm.c),""),
  IF(OR(_xlpm.w="",_xlpm.v=""),"",_xlpm.v*_xlpm.w)
)</f>
        <v/>
      </c>
      <c r="J92" s="93" t="str" cm="1">
        <f t="array" ref="J92">_xlfn.LET(
  _xlpm.w, J$11,
  _xlpm.r, MATCH(1,('3. Enter Indicator Scores'!$B$10:$B$161=$B92)*('3. Enter Indicator Scores'!$C$10:$C$161=$C92),0),
  _xlpm.c, MATCH(J$8,'3. Enter Indicator Scores'!$D$8:$CZ$8,0),
  _xlpm.v, IFERROR(INDEX('3. Enter Indicator Scores'!$D$10:$CZ$161,_xlpm.r,_xlpm.c),""),
  IF(OR(_xlpm.w="",_xlpm.v=""),"",_xlpm.v*_xlpm.w)
)</f>
        <v/>
      </c>
      <c r="K92" s="93" t="str" cm="1">
        <f t="array" ref="K92">_xlfn.LET(
  _xlpm.w, K$11,
  _xlpm.r, MATCH(1,('3. Enter Indicator Scores'!$B$10:$B$161=$B92)*('3. Enter Indicator Scores'!$C$10:$C$161=$C92),0),
  _xlpm.c, MATCH(K$8,'3. Enter Indicator Scores'!$D$8:$CZ$8,0),
  _xlpm.v, IFERROR(INDEX('3. Enter Indicator Scores'!$D$10:$CZ$161,_xlpm.r,_xlpm.c),""),
  IF(OR(_xlpm.w="",_xlpm.v=""),"",_xlpm.v*_xlpm.w)
)</f>
        <v/>
      </c>
      <c r="L92" s="93" t="str" cm="1">
        <f t="array" ref="L92">_xlfn.LET(
  _xlpm.w, L$11,
  _xlpm.r, MATCH(1,('3. Enter Indicator Scores'!$B$10:$B$161=$B92)*('3. Enter Indicator Scores'!$C$10:$C$161=$C92),0),
  _xlpm.c, MATCH(L$8,'3. Enter Indicator Scores'!$D$8:$CZ$8,0),
  _xlpm.v, IFERROR(INDEX('3. Enter Indicator Scores'!$D$10:$CZ$161,_xlpm.r,_xlpm.c),""),
  IF(OR(_xlpm.w="",_xlpm.v=""),"",_xlpm.v*_xlpm.w)
)</f>
        <v/>
      </c>
      <c r="M92" s="93" t="str" cm="1">
        <f t="array" ref="M92">_xlfn.LET(
  _xlpm.w, M$11,
  _xlpm.r, MATCH(1,('3. Enter Indicator Scores'!$B$10:$B$161=$B92)*('3. Enter Indicator Scores'!$C$10:$C$161=$C92),0),
  _xlpm.c, MATCH(M$8,'3. Enter Indicator Scores'!$D$8:$CZ$8,0),
  _xlpm.v, IFERROR(INDEX('3. Enter Indicator Scores'!$D$10:$CZ$161,_xlpm.r,_xlpm.c),""),
  IF(OR(_xlpm.w="",_xlpm.v=""),"",_xlpm.v*_xlpm.w)
)</f>
        <v/>
      </c>
      <c r="N92" s="93" t="str" cm="1">
        <f t="array" ref="N92">_xlfn.LET(
  _xlpm.w, N$11,
  _xlpm.r, MATCH(1,('3. Enter Indicator Scores'!$B$10:$B$161=$B92)*('3. Enter Indicator Scores'!$C$10:$C$161=$C92),0),
  _xlpm.c, MATCH(N$8,'3. Enter Indicator Scores'!$D$8:$CZ$8,0),
  _xlpm.v, IFERROR(INDEX('3. Enter Indicator Scores'!$D$10:$CZ$161,_xlpm.r,_xlpm.c),""),
  IF(OR(_xlpm.w="",_xlpm.v=""),"",_xlpm.v*_xlpm.w)
)</f>
        <v/>
      </c>
      <c r="O92" s="93" t="str" cm="1">
        <f t="array" ref="O92">_xlfn.LET(
  _xlpm.w, O$11,
  _xlpm.r, MATCH(1,('3. Enter Indicator Scores'!$B$10:$B$161=$B92)*('3. Enter Indicator Scores'!$C$10:$C$161=$C92),0),
  _xlpm.c, MATCH(O$8,'3. Enter Indicator Scores'!$D$8:$CZ$8,0),
  _xlpm.v, IFERROR(INDEX('3. Enter Indicator Scores'!$D$10:$CZ$161,_xlpm.r,_xlpm.c),""),
  IF(OR(_xlpm.w="",_xlpm.v=""),"",_xlpm.v*_xlpm.w)
)</f>
        <v/>
      </c>
      <c r="P92" s="93" t="str" cm="1">
        <f t="array" ref="P92">_xlfn.LET(
  _xlpm.w, P$11,
  _xlpm.r, MATCH(1,('3. Enter Indicator Scores'!$B$10:$B$161=$B92)*('3. Enter Indicator Scores'!$C$10:$C$161=$C92),0),
  _xlpm.c, MATCH(P$8,'3. Enter Indicator Scores'!$D$8:$CZ$8,0),
  _xlpm.v, IFERROR(INDEX('3. Enter Indicator Scores'!$D$10:$CZ$161,_xlpm.r,_xlpm.c),""),
  IF(OR(_xlpm.w="",_xlpm.v=""),"",_xlpm.v*_xlpm.w)
)</f>
        <v/>
      </c>
      <c r="Q92" s="93" t="str" cm="1">
        <f t="array" ref="Q92">_xlfn.LET(
  _xlpm.w, Q$11,
  _xlpm.r, MATCH(1,('3. Enter Indicator Scores'!$B$10:$B$161=$B92)*('3. Enter Indicator Scores'!$C$10:$C$161=$C92),0),
  _xlpm.c, MATCH(Q$8,'3. Enter Indicator Scores'!$D$8:$CZ$8,0),
  _xlpm.v, IFERROR(INDEX('3. Enter Indicator Scores'!$D$10:$CZ$161,_xlpm.r,_xlpm.c),""),
  IF(OR(_xlpm.w="",_xlpm.v=""),"",_xlpm.v*_xlpm.w)
)</f>
        <v/>
      </c>
      <c r="R92" s="93" t="str" cm="1">
        <f t="array" ref="R92">_xlfn.LET(
  _xlpm.w, R$11,
  _xlpm.r, MATCH(1,('3. Enter Indicator Scores'!$B$10:$B$161=$B92)*('3. Enter Indicator Scores'!$C$10:$C$161=$C92),0),
  _xlpm.c, MATCH(R$8,'3. Enter Indicator Scores'!$D$8:$CZ$8,0),
  _xlpm.v, IFERROR(INDEX('3. Enter Indicator Scores'!$D$10:$CZ$161,_xlpm.r,_xlpm.c),""),
  IF(OR(_xlpm.w="",_xlpm.v=""),"",_xlpm.v*_xlpm.w)
)</f>
        <v/>
      </c>
      <c r="S92" s="93" t="str" cm="1">
        <f t="array" ref="S92">_xlfn.LET(
  _xlpm.w, S$11,
  _xlpm.r, MATCH(1,('3. Enter Indicator Scores'!$B$10:$B$161=$B92)*('3. Enter Indicator Scores'!$C$10:$C$161=$C92),0),
  _xlpm.c, MATCH(S$8,'3. Enter Indicator Scores'!$D$8:$CZ$8,0),
  _xlpm.v, IFERROR(INDEX('3. Enter Indicator Scores'!$D$10:$CZ$161,_xlpm.r,_xlpm.c),""),
  IF(OR(_xlpm.w="",_xlpm.v=""),"",_xlpm.v*_xlpm.w)
)</f>
        <v/>
      </c>
      <c r="T92" s="93" t="str" cm="1">
        <f t="array" ref="T92">_xlfn.LET(
  _xlpm.w, T$11,
  _xlpm.r, MATCH(1,('3. Enter Indicator Scores'!$B$10:$B$161=$B92)*('3. Enter Indicator Scores'!$C$10:$C$161=$C92),0),
  _xlpm.c, MATCH(T$8,'3. Enter Indicator Scores'!$D$8:$CZ$8,0),
  _xlpm.v, IFERROR(INDEX('3. Enter Indicator Scores'!$D$10:$CZ$161,_xlpm.r,_xlpm.c),""),
  IF(OR(_xlpm.w="",_xlpm.v=""),"",_xlpm.v*_xlpm.w)
)</f>
        <v/>
      </c>
      <c r="U92" s="93" t="str" cm="1">
        <f t="array" ref="U92">_xlfn.LET(
  _xlpm.w, U$11,
  _xlpm.r, MATCH(1,('3. Enter Indicator Scores'!$B$10:$B$161=$B92)*('3. Enter Indicator Scores'!$C$10:$C$161=$C92),0),
  _xlpm.c, MATCH(U$8,'3. Enter Indicator Scores'!$D$8:$CZ$8,0),
  _xlpm.v, IFERROR(INDEX('3. Enter Indicator Scores'!$D$10:$CZ$161,_xlpm.r,_xlpm.c),""),
  IF(OR(_xlpm.w="",_xlpm.v=""),"",_xlpm.v*_xlpm.w)
)</f>
        <v/>
      </c>
      <c r="V92" s="93" t="str" cm="1">
        <f t="array" ref="V92">_xlfn.LET(
  _xlpm.w, V$11,
  _xlpm.r, MATCH(1,('3. Enter Indicator Scores'!$B$10:$B$161=$B92)*('3. Enter Indicator Scores'!$C$10:$C$161=$C92),0),
  _xlpm.c, MATCH(V$8,'3. Enter Indicator Scores'!$D$8:$CZ$8,0),
  _xlpm.v, IFERROR(INDEX('3. Enter Indicator Scores'!$D$10:$CZ$161,_xlpm.r,_xlpm.c),""),
  IF(OR(_xlpm.w="",_xlpm.v=""),"",_xlpm.v*_xlpm.w)
)</f>
        <v/>
      </c>
      <c r="W92" s="93" t="str" cm="1">
        <f t="array" ref="W92">_xlfn.LET(
  _xlpm.w, W$11,
  _xlpm.r, MATCH(1,('3. Enter Indicator Scores'!$B$10:$B$161=$B92)*('3. Enter Indicator Scores'!$C$10:$C$161=$C92),0),
  _xlpm.c, MATCH(W$8,'3. Enter Indicator Scores'!$D$8:$CZ$8,0),
  _xlpm.v, IFERROR(INDEX('3. Enter Indicator Scores'!$D$10:$CZ$161,_xlpm.r,_xlpm.c),""),
  IF(OR(_xlpm.w="",_xlpm.v=""),"",_xlpm.v*_xlpm.w)
)</f>
        <v/>
      </c>
      <c r="X92" s="93" t="str" cm="1">
        <f t="array" ref="X92">_xlfn.LET(
  _xlpm.w, X$11,
  _xlpm.r, MATCH(1,('3. Enter Indicator Scores'!$B$10:$B$161=$B92)*('3. Enter Indicator Scores'!$C$10:$C$161=$C92),0),
  _xlpm.c, MATCH(X$8,'3. Enter Indicator Scores'!$D$8:$CZ$8,0),
  _xlpm.v, IFERROR(INDEX('3. Enter Indicator Scores'!$D$10:$CZ$161,_xlpm.r,_xlpm.c),""),
  IF(OR(_xlpm.w="",_xlpm.v=""),"",_xlpm.v*_xlpm.w)
)</f>
        <v/>
      </c>
      <c r="Y92" s="93" t="str" cm="1">
        <f t="array" ref="Y92">_xlfn.LET(
  _xlpm.w, Y$11,
  _xlpm.r, MATCH(1,('3. Enter Indicator Scores'!$B$10:$B$161=$B92)*('3. Enter Indicator Scores'!$C$10:$C$161=$C92),0),
  _xlpm.c, MATCH(Y$8,'3. Enter Indicator Scores'!$D$8:$CZ$8,0),
  _xlpm.v, IFERROR(INDEX('3. Enter Indicator Scores'!$D$10:$CZ$161,_xlpm.r,_xlpm.c),""),
  IF(OR(_xlpm.w="",_xlpm.v=""),"",_xlpm.v*_xlpm.w)
)</f>
        <v/>
      </c>
      <c r="Z92" s="93" t="str" cm="1">
        <f t="array" ref="Z92">_xlfn.LET(
  _xlpm.w, Z$11,
  _xlpm.r, MATCH(1,('3. Enter Indicator Scores'!$B$10:$B$161=$B92)*('3. Enter Indicator Scores'!$C$10:$C$161=$C92),0),
  _xlpm.c, MATCH(Z$8,'3. Enter Indicator Scores'!$D$8:$CZ$8,0),
  _xlpm.v, IFERROR(INDEX('3. Enter Indicator Scores'!$D$10:$CZ$161,_xlpm.r,_xlpm.c),""),
  IF(OR(_xlpm.w="",_xlpm.v=""),"",_xlpm.v*_xlpm.w)
)</f>
        <v/>
      </c>
      <c r="AA92" s="93" t="str" cm="1">
        <f t="array" ref="AA92">_xlfn.LET(
  _xlpm.w, AA$11,
  _xlpm.r, MATCH(1,('3. Enter Indicator Scores'!$B$10:$B$161=$B92)*('3. Enter Indicator Scores'!$C$10:$C$161=$C92),0),
  _xlpm.c, MATCH(AA$8,'3. Enter Indicator Scores'!$D$8:$CZ$8,0),
  _xlpm.v, IFERROR(INDEX('3. Enter Indicator Scores'!$D$10:$CZ$161,_xlpm.r,_xlpm.c),""),
  IF(OR(_xlpm.w="",_xlpm.v=""),"",_xlpm.v*_xlpm.w)
)</f>
        <v/>
      </c>
      <c r="AB92" s="93" t="str" cm="1">
        <f t="array" ref="AB92">_xlfn.LET(
  _xlpm.w, AB$11,
  _xlpm.r, MATCH(1,('3. Enter Indicator Scores'!$B$10:$B$161=$B92)*('3. Enter Indicator Scores'!$C$10:$C$161=$C92),0),
  _xlpm.c, MATCH(AB$8,'3. Enter Indicator Scores'!$D$8:$CZ$8,0),
  _xlpm.v, IFERROR(INDEX('3. Enter Indicator Scores'!$D$10:$CZ$161,_xlpm.r,_xlpm.c),""),
  IF(OR(_xlpm.w="",_xlpm.v=""),"",_xlpm.v*_xlpm.w)
)</f>
        <v/>
      </c>
      <c r="AC92" s="93" t="str" cm="1">
        <f t="array" ref="AC92">_xlfn.LET(
  _xlpm.w, AC$11,
  _xlpm.r, MATCH(1,('3. Enter Indicator Scores'!$B$10:$B$161=$B92)*('3. Enter Indicator Scores'!$C$10:$C$161=$C92),0),
  _xlpm.c, MATCH(AC$8,'3. Enter Indicator Scores'!$D$8:$CZ$8,0),
  _xlpm.v, IFERROR(INDEX('3. Enter Indicator Scores'!$D$10:$CZ$161,_xlpm.r,_xlpm.c),""),
  IF(OR(_xlpm.w="",_xlpm.v=""),"",_xlpm.v*_xlpm.w)
)</f>
        <v/>
      </c>
      <c r="AD92" s="93" t="str" cm="1">
        <f t="array" ref="AD92">_xlfn.LET(
  _xlpm.w, AD$11,
  _xlpm.r, MATCH(1,('3. Enter Indicator Scores'!$B$10:$B$161=$B92)*('3. Enter Indicator Scores'!$C$10:$C$161=$C92),0),
  _xlpm.c, MATCH(AD$8,'3. Enter Indicator Scores'!$D$8:$CZ$8,0),
  _xlpm.v, IFERROR(INDEX('3. Enter Indicator Scores'!$D$10:$CZ$161,_xlpm.r,_xlpm.c),""),
  IF(OR(_xlpm.w="",_xlpm.v=""),"",_xlpm.v*_xlpm.w)
)</f>
        <v/>
      </c>
      <c r="AE92" s="93" t="str" cm="1">
        <f t="array" ref="AE92">_xlfn.LET(
  _xlpm.w, AE$11,
  _xlpm.r, MATCH(1,('3. Enter Indicator Scores'!$B$10:$B$161=$B92)*('3. Enter Indicator Scores'!$C$10:$C$161=$C92),0),
  _xlpm.c, MATCH(AE$8,'3. Enter Indicator Scores'!$D$8:$CZ$8,0),
  _xlpm.v, IFERROR(INDEX('3. Enter Indicator Scores'!$D$10:$CZ$161,_xlpm.r,_xlpm.c),""),
  IF(OR(_xlpm.w="",_xlpm.v=""),"",_xlpm.v*_xlpm.w)
)</f>
        <v/>
      </c>
      <c r="AF92" s="93" t="str" cm="1">
        <f t="array" ref="AF92">_xlfn.LET(
  _xlpm.w, AF$11,
  _xlpm.r, MATCH(1,('3. Enter Indicator Scores'!$B$10:$B$161=$B92)*('3. Enter Indicator Scores'!$C$10:$C$161=$C92),0),
  _xlpm.c, MATCH(AF$8,'3. Enter Indicator Scores'!$D$8:$CZ$8,0),
  _xlpm.v, IFERROR(INDEX('3. Enter Indicator Scores'!$D$10:$CZ$161,_xlpm.r,_xlpm.c),""),
  IF(OR(_xlpm.w="",_xlpm.v=""),"",_xlpm.v*_xlpm.w)
)</f>
        <v/>
      </c>
      <c r="AG92" s="93" t="str" cm="1">
        <f t="array" ref="AG92">_xlfn.LET(
  _xlpm.w, AG$11,
  _xlpm.r, MATCH(1,('3. Enter Indicator Scores'!$B$10:$B$161=$B92)*('3. Enter Indicator Scores'!$C$10:$C$161=$C92),0),
  _xlpm.c, MATCH(AG$8,'3. Enter Indicator Scores'!$D$8:$CZ$8,0),
  _xlpm.v, IFERROR(INDEX('3. Enter Indicator Scores'!$D$10:$CZ$161,_xlpm.r,_xlpm.c),""),
  IF(OR(_xlpm.w="",_xlpm.v=""),"",_xlpm.v*_xlpm.w)
)</f>
        <v/>
      </c>
      <c r="AH92" s="93" t="str" cm="1">
        <f t="array" ref="AH92">_xlfn.LET(
  _xlpm.w, AH$11,
  _xlpm.r, MATCH(1,('3. Enter Indicator Scores'!$B$10:$B$161=$B92)*('3. Enter Indicator Scores'!$C$10:$C$161=$C92),0),
  _xlpm.c, MATCH(AH$8,'3. Enter Indicator Scores'!$D$8:$CZ$8,0),
  _xlpm.v, IFERROR(INDEX('3. Enter Indicator Scores'!$D$10:$CZ$161,_xlpm.r,_xlpm.c),""),
  IF(OR(_xlpm.w="",_xlpm.v=""),"",_xlpm.v*_xlpm.w)
)</f>
        <v/>
      </c>
      <c r="AI92" s="93" t="str" cm="1">
        <f t="array" ref="AI92">_xlfn.LET(
  _xlpm.w, AI$11,
  _xlpm.r, MATCH(1,('3. Enter Indicator Scores'!$B$10:$B$161=$B92)*('3. Enter Indicator Scores'!$C$10:$C$161=$C92),0),
  _xlpm.c, MATCH(AI$8,'3. Enter Indicator Scores'!$D$8:$CZ$8,0),
  _xlpm.v, IFERROR(INDEX('3. Enter Indicator Scores'!$D$10:$CZ$161,_xlpm.r,_xlpm.c),""),
  IF(OR(_xlpm.w="",_xlpm.v=""),"",_xlpm.v*_xlpm.w)
)</f>
        <v/>
      </c>
      <c r="AJ92" s="93" t="str" cm="1">
        <f t="array" ref="AJ92">_xlfn.LET(
  _xlpm.w, AJ$11,
  _xlpm.r, MATCH(1,('3. Enter Indicator Scores'!$B$10:$B$161=$B92)*('3. Enter Indicator Scores'!$C$10:$C$161=$C92),0),
  _xlpm.c, MATCH(AJ$8,'3. Enter Indicator Scores'!$D$8:$CZ$8,0),
  _xlpm.v, IFERROR(INDEX('3. Enter Indicator Scores'!$D$10:$CZ$161,_xlpm.r,_xlpm.c),""),
  IF(OR(_xlpm.w="",_xlpm.v=""),"",_xlpm.v*_xlpm.w)
)</f>
        <v/>
      </c>
      <c r="AK92" s="93" t="str" cm="1">
        <f t="array" ref="AK92">_xlfn.LET(
  _xlpm.w, AK$11,
  _xlpm.r, MATCH(1,('3. Enter Indicator Scores'!$B$10:$B$161=$B92)*('3. Enter Indicator Scores'!$C$10:$C$161=$C92),0),
  _xlpm.c, MATCH(AK$8,'3. Enter Indicator Scores'!$D$8:$CZ$8,0),
  _xlpm.v, IFERROR(INDEX('3. Enter Indicator Scores'!$D$10:$CZ$161,_xlpm.r,_xlpm.c),""),
  IF(OR(_xlpm.w="",_xlpm.v=""),"",_xlpm.v*_xlpm.w)
)</f>
        <v/>
      </c>
      <c r="AL92" s="93" t="str" cm="1">
        <f t="array" ref="AL92">_xlfn.LET(
  _xlpm.w, AL$11,
  _xlpm.r, MATCH(1,('3. Enter Indicator Scores'!$B$10:$B$161=$B92)*('3. Enter Indicator Scores'!$C$10:$C$161=$C92),0),
  _xlpm.c, MATCH(AL$8,'3. Enter Indicator Scores'!$D$8:$CZ$8,0),
  _xlpm.v, IFERROR(INDEX('3. Enter Indicator Scores'!$D$10:$CZ$161,_xlpm.r,_xlpm.c),""),
  IF(OR(_xlpm.w="",_xlpm.v=""),"",_xlpm.v*_xlpm.w)
)</f>
        <v/>
      </c>
      <c r="AM92" s="93" t="str" cm="1">
        <f t="array" ref="AM92">_xlfn.LET(
  _xlpm.w, AM$11,
  _xlpm.r, MATCH(1,('3. Enter Indicator Scores'!$B$10:$B$161=$B92)*('3. Enter Indicator Scores'!$C$10:$C$161=$C92),0),
  _xlpm.c, MATCH(AM$8,'3. Enter Indicator Scores'!$D$8:$CZ$8,0),
  _xlpm.v, IFERROR(INDEX('3. Enter Indicator Scores'!$D$10:$CZ$161,_xlpm.r,_xlpm.c),""),
  IF(OR(_xlpm.w="",_xlpm.v=""),"",_xlpm.v*_xlpm.w)
)</f>
        <v/>
      </c>
      <c r="AN92" s="93" t="str" cm="1">
        <f t="array" ref="AN92">_xlfn.LET(
  _xlpm.w, AN$11,
  _xlpm.r, MATCH(1,('3. Enter Indicator Scores'!$B$10:$B$161=$B92)*('3. Enter Indicator Scores'!$C$10:$C$161=$C92),0),
  _xlpm.c, MATCH(AN$8,'3. Enter Indicator Scores'!$D$8:$CZ$8,0),
  _xlpm.v, IFERROR(INDEX('3. Enter Indicator Scores'!$D$10:$CZ$161,_xlpm.r,_xlpm.c),""),
  IF(OR(_xlpm.w="",_xlpm.v=""),"",_xlpm.v*_xlpm.w)
)</f>
        <v/>
      </c>
      <c r="AO92" s="93" t="str" cm="1">
        <f t="array" ref="AO92">_xlfn.LET(
  _xlpm.w, AO$11,
  _xlpm.r, MATCH(1,('3. Enter Indicator Scores'!$B$10:$B$161=$B92)*('3. Enter Indicator Scores'!$C$10:$C$161=$C92),0),
  _xlpm.c, MATCH(AO$8,'3. Enter Indicator Scores'!$D$8:$CZ$8,0),
  _xlpm.v, IFERROR(INDEX('3. Enter Indicator Scores'!$D$10:$CZ$161,_xlpm.r,_xlpm.c),""),
  IF(OR(_xlpm.w="",_xlpm.v=""),"",_xlpm.v*_xlpm.w)
)</f>
        <v/>
      </c>
      <c r="AP92" s="93" t="str" cm="1">
        <f t="array" ref="AP92">_xlfn.LET(
  _xlpm.w, AP$11,
  _xlpm.r, MATCH(1,('3. Enter Indicator Scores'!$B$10:$B$161=$B92)*('3. Enter Indicator Scores'!$C$10:$C$161=$C92),0),
  _xlpm.c, MATCH(AP$8,'3. Enter Indicator Scores'!$D$8:$CZ$8,0),
  _xlpm.v, IFERROR(INDEX('3. Enter Indicator Scores'!$D$10:$CZ$161,_xlpm.r,_xlpm.c),""),
  IF(OR(_xlpm.w="",_xlpm.v=""),"",_xlpm.v*_xlpm.w)
)</f>
        <v/>
      </c>
      <c r="AQ92" s="93" t="str" cm="1">
        <f t="array" ref="AQ92">_xlfn.LET(
  _xlpm.w, AQ$11,
  _xlpm.r, MATCH(1,('3. Enter Indicator Scores'!$B$10:$B$161=$B92)*('3. Enter Indicator Scores'!$C$10:$C$161=$C92),0),
  _xlpm.c, MATCH(AQ$8,'3. Enter Indicator Scores'!$D$8:$CZ$8,0),
  _xlpm.v, IFERROR(INDEX('3. Enter Indicator Scores'!$D$10:$CZ$161,_xlpm.r,_xlpm.c),""),
  IF(OR(_xlpm.w="",_xlpm.v=""),"",_xlpm.v*_xlpm.w)
)</f>
        <v/>
      </c>
      <c r="AR92" s="93" t="str" cm="1">
        <f t="array" ref="AR92">_xlfn.LET(
  _xlpm.w, AR$11,
  _xlpm.r, MATCH(1,('3. Enter Indicator Scores'!$B$10:$B$161=$B92)*('3. Enter Indicator Scores'!$C$10:$C$161=$C92),0),
  _xlpm.c, MATCH(AR$8,'3. Enter Indicator Scores'!$D$8:$CZ$8,0),
  _xlpm.v, IFERROR(INDEX('3. Enter Indicator Scores'!$D$10:$CZ$161,_xlpm.r,_xlpm.c),""),
  IF(OR(_xlpm.w="",_xlpm.v=""),"",_xlpm.v*_xlpm.w)
)</f>
        <v/>
      </c>
      <c r="AS92" s="93" t="str" cm="1">
        <f t="array" ref="AS92">_xlfn.LET(
  _xlpm.w, AS$11,
  _xlpm.r, MATCH(1,('3. Enter Indicator Scores'!$B$10:$B$161=$B92)*('3. Enter Indicator Scores'!$C$10:$C$161=$C92),0),
  _xlpm.c, MATCH(AS$8,'3. Enter Indicator Scores'!$D$8:$CZ$8,0),
  _xlpm.v, IFERROR(INDEX('3. Enter Indicator Scores'!$D$10:$CZ$161,_xlpm.r,_xlpm.c),""),
  IF(OR(_xlpm.w="",_xlpm.v=""),"",_xlpm.v*_xlpm.w)
)</f>
        <v/>
      </c>
      <c r="AT92" s="93" t="str" cm="1">
        <f t="array" ref="AT92">_xlfn.LET(
  _xlpm.w, AT$11,
  _xlpm.r, MATCH(1,('3. Enter Indicator Scores'!$B$10:$B$161=$B92)*('3. Enter Indicator Scores'!$C$10:$C$161=$C92),0),
  _xlpm.c, MATCH(AT$8,'3. Enter Indicator Scores'!$D$8:$CZ$8,0),
  _xlpm.v, IFERROR(INDEX('3. Enter Indicator Scores'!$D$10:$CZ$161,_xlpm.r,_xlpm.c),""),
  IF(OR(_xlpm.w="",_xlpm.v=""),"",_xlpm.v*_xlpm.w)
)</f>
        <v/>
      </c>
      <c r="AU92" s="93" t="str" cm="1">
        <f t="array" ref="AU92">_xlfn.LET(
  _xlpm.w, AU$11,
  _xlpm.r, MATCH(1,('3. Enter Indicator Scores'!$B$10:$B$161=$B92)*('3. Enter Indicator Scores'!$C$10:$C$161=$C92),0),
  _xlpm.c, MATCH(AU$8,'3. Enter Indicator Scores'!$D$8:$CZ$8,0),
  _xlpm.v, IFERROR(INDEX('3. Enter Indicator Scores'!$D$10:$CZ$161,_xlpm.r,_xlpm.c),""),
  IF(OR(_xlpm.w="",_xlpm.v=""),"",_xlpm.v*_xlpm.w)
)</f>
        <v/>
      </c>
      <c r="AV92" s="93" t="str" cm="1">
        <f t="array" ref="AV92">_xlfn.LET(
  _xlpm.w, AV$11,
  _xlpm.r, MATCH(1,('3. Enter Indicator Scores'!$B$10:$B$161=$B92)*('3. Enter Indicator Scores'!$C$10:$C$161=$C92),0),
  _xlpm.c, MATCH(AV$8,'3. Enter Indicator Scores'!$D$8:$CZ$8,0),
  _xlpm.v, IFERROR(INDEX('3. Enter Indicator Scores'!$D$10:$CZ$161,_xlpm.r,_xlpm.c),""),
  IF(OR(_xlpm.w="",_xlpm.v=""),"",_xlpm.v*_xlpm.w)
)</f>
        <v/>
      </c>
      <c r="AW92" s="93" t="str" cm="1">
        <f t="array" ref="AW92">_xlfn.LET(
  _xlpm.w, AW$11,
  _xlpm.r, MATCH(1,('3. Enter Indicator Scores'!$B$10:$B$161=$B92)*('3. Enter Indicator Scores'!$C$10:$C$161=$C92),0),
  _xlpm.c, MATCH(AW$8,'3. Enter Indicator Scores'!$D$8:$CZ$8,0),
  _xlpm.v, IFERROR(INDEX('3. Enter Indicator Scores'!$D$10:$CZ$161,_xlpm.r,_xlpm.c),""),
  IF(OR(_xlpm.w="",_xlpm.v=""),"",_xlpm.v*_xlpm.w)
)</f>
        <v/>
      </c>
      <c r="AX92" s="93" t="str" cm="1">
        <f t="array" ref="AX92">_xlfn.LET(
  _xlpm.w, AX$11,
  _xlpm.r, MATCH(1,('3. Enter Indicator Scores'!$B$10:$B$161=$B92)*('3. Enter Indicator Scores'!$C$10:$C$161=$C92),0),
  _xlpm.c, MATCH(AX$8,'3. Enter Indicator Scores'!$D$8:$CZ$8,0),
  _xlpm.v, IFERROR(INDEX('3. Enter Indicator Scores'!$D$10:$CZ$161,_xlpm.r,_xlpm.c),""),
  IF(OR(_xlpm.w="",_xlpm.v=""),"",_xlpm.v*_xlpm.w)
)</f>
        <v/>
      </c>
      <c r="AY92" s="93" t="str" cm="1">
        <f t="array" ref="AY92">_xlfn.LET(
  _xlpm.w, AY$11,
  _xlpm.r, MATCH(1,('3. Enter Indicator Scores'!$B$10:$B$161=$B92)*('3. Enter Indicator Scores'!$C$10:$C$161=$C92),0),
  _xlpm.c, MATCH(AY$8,'3. Enter Indicator Scores'!$D$8:$CZ$8,0),
  _xlpm.v, IFERROR(INDEX('3. Enter Indicator Scores'!$D$10:$CZ$161,_xlpm.r,_xlpm.c),""),
  IF(OR(_xlpm.w="",_xlpm.v=""),"",_xlpm.v*_xlpm.w)
)</f>
        <v/>
      </c>
      <c r="AZ92" s="93" t="str" cm="1">
        <f t="array" ref="AZ92">_xlfn.LET(
  _xlpm.w, AZ$11,
  _xlpm.r, MATCH(1,('3. Enter Indicator Scores'!$B$10:$B$161=$B92)*('3. Enter Indicator Scores'!$C$10:$C$161=$C92),0),
  _xlpm.c, MATCH(AZ$8,'3. Enter Indicator Scores'!$D$8:$CZ$8,0),
  _xlpm.v, IFERROR(INDEX('3. Enter Indicator Scores'!$D$10:$CZ$161,_xlpm.r,_xlpm.c),""),
  IF(OR(_xlpm.w="",_xlpm.v=""),"",_xlpm.v*_xlpm.w)
)</f>
        <v/>
      </c>
      <c r="BA92" s="93" t="str" cm="1">
        <f t="array" ref="BA92">_xlfn.LET(
  _xlpm.w, BA$11,
  _xlpm.r, MATCH(1,('3. Enter Indicator Scores'!$B$10:$B$161=$B92)*('3. Enter Indicator Scores'!$C$10:$C$161=$C92),0),
  _xlpm.c, MATCH(BA$8,'3. Enter Indicator Scores'!$D$8:$CZ$8,0),
  _xlpm.v, IFERROR(INDEX('3. Enter Indicator Scores'!$D$10:$CZ$161,_xlpm.r,_xlpm.c),""),
  IF(OR(_xlpm.w="",_xlpm.v=""),"",_xlpm.v*_xlpm.w)
)</f>
        <v/>
      </c>
      <c r="BB92" s="93" t="str" cm="1">
        <f t="array" ref="BB92">_xlfn.LET(
  _xlpm.w, BB$11,
  _xlpm.r, MATCH(1,('3. Enter Indicator Scores'!$B$10:$B$161=$B92)*('3. Enter Indicator Scores'!$C$10:$C$161=$C92),0),
  _xlpm.c, MATCH(BB$8,'3. Enter Indicator Scores'!$D$8:$CZ$8,0),
  _xlpm.v, IFERROR(INDEX('3. Enter Indicator Scores'!$D$10:$CZ$161,_xlpm.r,_xlpm.c),""),
  IF(OR(_xlpm.w="",_xlpm.v=""),"",_xlpm.v*_xlpm.w)
)</f>
        <v/>
      </c>
      <c r="BC92" s="93" t="str" cm="1">
        <f t="array" ref="BC92">_xlfn.LET(
  _xlpm.w, BC$11,
  _xlpm.r, MATCH(1,('3. Enter Indicator Scores'!$B$10:$B$161=$B92)*('3. Enter Indicator Scores'!$C$10:$C$161=$C92),0),
  _xlpm.c, MATCH(BC$8,'3. Enter Indicator Scores'!$D$8:$CZ$8,0),
  _xlpm.v, IFERROR(INDEX('3. Enter Indicator Scores'!$D$10:$CZ$161,_xlpm.r,_xlpm.c),""),
  IF(OR(_xlpm.w="",_xlpm.v=""),"",_xlpm.v*_xlpm.w)
)</f>
        <v/>
      </c>
      <c r="BD92" s="93" t="str" cm="1">
        <f t="array" ref="BD92">_xlfn.LET(
  _xlpm.w, BD$11,
  _xlpm.r, MATCH(1,('3. Enter Indicator Scores'!$B$10:$B$161=$B92)*('3. Enter Indicator Scores'!$C$10:$C$161=$C92),0),
  _xlpm.c, MATCH(BD$8,'3. Enter Indicator Scores'!$D$8:$CZ$8,0),
  _xlpm.v, IFERROR(INDEX('3. Enter Indicator Scores'!$D$10:$CZ$161,_xlpm.r,_xlpm.c),""),
  IF(OR(_xlpm.w="",_xlpm.v=""),"",_xlpm.v*_xlpm.w)
)</f>
        <v/>
      </c>
      <c r="BE92" s="93" t="str" cm="1">
        <f t="array" ref="BE92">_xlfn.LET(
  _xlpm.w, BE$11,
  _xlpm.r, MATCH(1,('3. Enter Indicator Scores'!$B$10:$B$161=$B92)*('3. Enter Indicator Scores'!$C$10:$C$161=$C92),0),
  _xlpm.c, MATCH(BE$8,'3. Enter Indicator Scores'!$D$8:$CZ$8,0),
  _xlpm.v, IFERROR(INDEX('3. Enter Indicator Scores'!$D$10:$CZ$161,_xlpm.r,_xlpm.c),""),
  IF(OR(_xlpm.w="",_xlpm.v=""),"",_xlpm.v*_xlpm.w)
)</f>
        <v/>
      </c>
      <c r="BF92" s="93" t="str" cm="1">
        <f t="array" ref="BF92">_xlfn.LET(
  _xlpm.w, BF$11,
  _xlpm.r, MATCH(1,('3. Enter Indicator Scores'!$B$10:$B$161=$B92)*('3. Enter Indicator Scores'!$C$10:$C$161=$C92),0),
  _xlpm.c, MATCH(BF$8,'3. Enter Indicator Scores'!$D$8:$CZ$8,0),
  _xlpm.v, IFERROR(INDEX('3. Enter Indicator Scores'!$D$10:$CZ$161,_xlpm.r,_xlpm.c),""),
  IF(OR(_xlpm.w="",_xlpm.v=""),"",_xlpm.v*_xlpm.w)
)</f>
        <v/>
      </c>
      <c r="BG92" s="93" t="str" cm="1">
        <f t="array" ref="BG92">_xlfn.LET(
  _xlpm.w, BG$11,
  _xlpm.r, MATCH(1,('3. Enter Indicator Scores'!$B$10:$B$161=$B92)*('3. Enter Indicator Scores'!$C$10:$C$161=$C92),0),
  _xlpm.c, MATCH(BG$8,'3. Enter Indicator Scores'!$D$8:$CZ$8,0),
  _xlpm.v, IFERROR(INDEX('3. Enter Indicator Scores'!$D$10:$CZ$161,_xlpm.r,_xlpm.c),""),
  IF(OR(_xlpm.w="",_xlpm.v=""),"",_xlpm.v*_xlpm.w)
)</f>
        <v/>
      </c>
      <c r="BH92" s="93" t="str" cm="1">
        <f t="array" ref="BH92">_xlfn.LET(
  _xlpm.w, BH$11,
  _xlpm.r, MATCH(1,('3. Enter Indicator Scores'!$B$10:$B$161=$B92)*('3. Enter Indicator Scores'!$C$10:$C$161=$C92),0),
  _xlpm.c, MATCH(BH$8,'3. Enter Indicator Scores'!$D$8:$CZ$8,0),
  _xlpm.v, IFERROR(INDEX('3. Enter Indicator Scores'!$D$10:$CZ$161,_xlpm.r,_xlpm.c),""),
  IF(OR(_xlpm.w="",_xlpm.v=""),"",_xlpm.v*_xlpm.w)
)</f>
        <v/>
      </c>
      <c r="BI92" s="93" t="str" cm="1">
        <f t="array" ref="BI92">_xlfn.LET(
  _xlpm.w, BI$11,
  _xlpm.r, MATCH(1,('3. Enter Indicator Scores'!$B$10:$B$161=$B92)*('3. Enter Indicator Scores'!$C$10:$C$161=$C92),0),
  _xlpm.c, MATCH(BI$8,'3. Enter Indicator Scores'!$D$8:$CZ$8,0),
  _xlpm.v, IFERROR(INDEX('3. Enter Indicator Scores'!$D$10:$CZ$161,_xlpm.r,_xlpm.c),""),
  IF(OR(_xlpm.w="",_xlpm.v=""),"",_xlpm.v*_xlpm.w)
)</f>
        <v/>
      </c>
      <c r="BJ92" s="93" t="str" cm="1">
        <f t="array" ref="BJ92">_xlfn.LET(
  _xlpm.w, BJ$11,
  _xlpm.r, MATCH(1,('3. Enter Indicator Scores'!$B$10:$B$161=$B92)*('3. Enter Indicator Scores'!$C$10:$C$161=$C92),0),
  _xlpm.c, MATCH(BJ$8,'3. Enter Indicator Scores'!$D$8:$CZ$8,0),
  _xlpm.v, IFERROR(INDEX('3. Enter Indicator Scores'!$D$10:$CZ$161,_xlpm.r,_xlpm.c),""),
  IF(OR(_xlpm.w="",_xlpm.v=""),"",_xlpm.v*_xlpm.w)
)</f>
        <v/>
      </c>
      <c r="BK92" s="93" t="str" cm="1">
        <f t="array" ref="BK92">_xlfn.LET(
  _xlpm.w, BK$11,
  _xlpm.r, MATCH(1,('3. Enter Indicator Scores'!$B$10:$B$161=$B92)*('3. Enter Indicator Scores'!$C$10:$C$161=$C92),0),
  _xlpm.c, MATCH(BK$8,'3. Enter Indicator Scores'!$D$8:$CZ$8,0),
  _xlpm.v, IFERROR(INDEX('3. Enter Indicator Scores'!$D$10:$CZ$161,_xlpm.r,_xlpm.c),""),
  IF(OR(_xlpm.w="",_xlpm.v=""),"",_xlpm.v*_xlpm.w)
)</f>
        <v/>
      </c>
      <c r="BL92" s="93" t="str" cm="1">
        <f t="array" ref="BL92">_xlfn.LET(
  _xlpm.w, BL$11,
  _xlpm.r, MATCH(1,('3. Enter Indicator Scores'!$B$10:$B$161=$B92)*('3. Enter Indicator Scores'!$C$10:$C$161=$C92),0),
  _xlpm.c, MATCH(BL$8,'3. Enter Indicator Scores'!$D$8:$CZ$8,0),
  _xlpm.v, IFERROR(INDEX('3. Enter Indicator Scores'!$D$10:$CZ$161,_xlpm.r,_xlpm.c),""),
  IF(OR(_xlpm.w="",_xlpm.v=""),"",_xlpm.v*_xlpm.w)
)</f>
        <v/>
      </c>
      <c r="BM92" s="93" t="str" cm="1">
        <f t="array" ref="BM92">_xlfn.LET(
  _xlpm.w, BM$11,
  _xlpm.r, MATCH(1,('3. Enter Indicator Scores'!$B$10:$B$161=$B92)*('3. Enter Indicator Scores'!$C$10:$C$161=$C92),0),
  _xlpm.c, MATCH(BM$8,'3. Enter Indicator Scores'!$D$8:$CZ$8,0),
  _xlpm.v, IFERROR(INDEX('3. Enter Indicator Scores'!$D$10:$CZ$161,_xlpm.r,_xlpm.c),""),
  IF(OR(_xlpm.w="",_xlpm.v=""),"",_xlpm.v*_xlpm.w)
)</f>
        <v/>
      </c>
      <c r="BN92" s="93" t="str" cm="1">
        <f t="array" ref="BN92">_xlfn.LET(
  _xlpm.w, BN$11,
  _xlpm.r, MATCH(1,('3. Enter Indicator Scores'!$B$10:$B$161=$B92)*('3. Enter Indicator Scores'!$C$10:$C$161=$C92),0),
  _xlpm.c, MATCH(BN$8,'3. Enter Indicator Scores'!$D$8:$CZ$8,0),
  _xlpm.v, IFERROR(INDEX('3. Enter Indicator Scores'!$D$10:$CZ$161,_xlpm.r,_xlpm.c),""),
  IF(OR(_xlpm.w="",_xlpm.v=""),"",_xlpm.v*_xlpm.w)
)</f>
        <v/>
      </c>
      <c r="BO92" s="93" t="str" cm="1">
        <f t="array" ref="BO92">_xlfn.LET(
  _xlpm.w, BO$11,
  _xlpm.r, MATCH(1,('3. Enter Indicator Scores'!$B$10:$B$161=$B92)*('3. Enter Indicator Scores'!$C$10:$C$161=$C92),0),
  _xlpm.c, MATCH(BO$8,'3. Enter Indicator Scores'!$D$8:$CZ$8,0),
  _xlpm.v, IFERROR(INDEX('3. Enter Indicator Scores'!$D$10:$CZ$161,_xlpm.r,_xlpm.c),""),
  IF(OR(_xlpm.w="",_xlpm.v=""),"",_xlpm.v*_xlpm.w)
)</f>
        <v/>
      </c>
      <c r="BP92" s="93" t="str" cm="1">
        <f t="array" ref="BP92">_xlfn.LET(
  _xlpm.w, BP$11,
  _xlpm.r, MATCH(1,('3. Enter Indicator Scores'!$B$10:$B$161=$B92)*('3. Enter Indicator Scores'!$C$10:$C$161=$C92),0),
  _xlpm.c, MATCH(BP$8,'3. Enter Indicator Scores'!$D$8:$CZ$8,0),
  _xlpm.v, IFERROR(INDEX('3. Enter Indicator Scores'!$D$10:$CZ$161,_xlpm.r,_xlpm.c),""),
  IF(OR(_xlpm.w="",_xlpm.v=""),"",_xlpm.v*_xlpm.w)
)</f>
        <v/>
      </c>
      <c r="BQ92" s="93" t="str" cm="1">
        <f t="array" ref="BQ92">_xlfn.LET(
  _xlpm.w, BQ$11,
  _xlpm.r, MATCH(1,('3. Enter Indicator Scores'!$B$10:$B$161=$B92)*('3. Enter Indicator Scores'!$C$10:$C$161=$C92),0),
  _xlpm.c, MATCH(BQ$8,'3. Enter Indicator Scores'!$D$8:$CZ$8,0),
  _xlpm.v, IFERROR(INDEX('3. Enter Indicator Scores'!$D$10:$CZ$161,_xlpm.r,_xlpm.c),""),
  IF(OR(_xlpm.w="",_xlpm.v=""),"",_xlpm.v*_xlpm.w)
)</f>
        <v/>
      </c>
      <c r="BR92" s="93" t="str" cm="1">
        <f t="array" ref="BR92">_xlfn.LET(
  _xlpm.w, BR$11,
  _xlpm.r, MATCH(1,('3. Enter Indicator Scores'!$B$10:$B$161=$B92)*('3. Enter Indicator Scores'!$C$10:$C$161=$C92),0),
  _xlpm.c, MATCH(BR$8,'3. Enter Indicator Scores'!$D$8:$CZ$8,0),
  _xlpm.v, IFERROR(INDEX('3. Enter Indicator Scores'!$D$10:$CZ$161,_xlpm.r,_xlpm.c),""),
  IF(OR(_xlpm.w="",_xlpm.v=""),"",_xlpm.v*_xlpm.w)
)</f>
        <v/>
      </c>
      <c r="BS92" s="93" t="str" cm="1">
        <f t="array" ref="BS92">_xlfn.LET(
  _xlpm.w, BS$11,
  _xlpm.r, MATCH(1,('3. Enter Indicator Scores'!$B$10:$B$161=$B92)*('3. Enter Indicator Scores'!$C$10:$C$161=$C92),0),
  _xlpm.c, MATCH(BS$8,'3. Enter Indicator Scores'!$D$8:$CZ$8,0),
  _xlpm.v, IFERROR(INDEX('3. Enter Indicator Scores'!$D$10:$CZ$161,_xlpm.r,_xlpm.c),""),
  IF(OR(_xlpm.w="",_xlpm.v=""),"",_xlpm.v*_xlpm.w)
)</f>
        <v/>
      </c>
      <c r="BT92" s="93" t="str" cm="1">
        <f t="array" ref="BT92">_xlfn.LET(
  _xlpm.w, BT$11,
  _xlpm.r, MATCH(1,('3. Enter Indicator Scores'!$B$10:$B$161=$B92)*('3. Enter Indicator Scores'!$C$10:$C$161=$C92),0),
  _xlpm.c, MATCH(BT$8,'3. Enter Indicator Scores'!$D$8:$CZ$8,0),
  _xlpm.v, IFERROR(INDEX('3. Enter Indicator Scores'!$D$10:$CZ$161,_xlpm.r,_xlpm.c),""),
  IF(OR(_xlpm.w="",_xlpm.v=""),"",_xlpm.v*_xlpm.w)
)</f>
        <v/>
      </c>
      <c r="BU92" s="93" t="str" cm="1">
        <f t="array" ref="BU92">_xlfn.LET(
  _xlpm.w, BU$11,
  _xlpm.r, MATCH(1,('3. Enter Indicator Scores'!$B$10:$B$161=$B92)*('3. Enter Indicator Scores'!$C$10:$C$161=$C92),0),
  _xlpm.c, MATCH(BU$8,'3. Enter Indicator Scores'!$D$8:$CZ$8,0),
  _xlpm.v, IFERROR(INDEX('3. Enter Indicator Scores'!$D$10:$CZ$161,_xlpm.r,_xlpm.c),""),
  IF(OR(_xlpm.w="",_xlpm.v=""),"",_xlpm.v*_xlpm.w)
)</f>
        <v/>
      </c>
      <c r="BV92" s="93" t="str" cm="1">
        <f t="array" ref="BV92">_xlfn.LET(
  _xlpm.w, BV$11,
  _xlpm.r, MATCH(1,('3. Enter Indicator Scores'!$B$10:$B$161=$B92)*('3. Enter Indicator Scores'!$C$10:$C$161=$C92),0),
  _xlpm.c, MATCH(BV$8,'3. Enter Indicator Scores'!$D$8:$CZ$8,0),
  _xlpm.v, IFERROR(INDEX('3. Enter Indicator Scores'!$D$10:$CZ$161,_xlpm.r,_xlpm.c),""),
  IF(OR(_xlpm.w="",_xlpm.v=""),"",_xlpm.v*_xlpm.w)
)</f>
        <v/>
      </c>
      <c r="BW92" s="93" t="str" cm="1">
        <f t="array" ref="BW92">_xlfn.LET(
  _xlpm.w, BW$11,
  _xlpm.r, MATCH(1,('3. Enter Indicator Scores'!$B$10:$B$161=$B92)*('3. Enter Indicator Scores'!$C$10:$C$161=$C92),0),
  _xlpm.c, MATCH(BW$8,'3. Enter Indicator Scores'!$D$8:$CZ$8,0),
  _xlpm.v, IFERROR(INDEX('3. Enter Indicator Scores'!$D$10:$CZ$161,_xlpm.r,_xlpm.c),""),
  IF(OR(_xlpm.w="",_xlpm.v=""),"",_xlpm.v*_xlpm.w)
)</f>
        <v/>
      </c>
      <c r="BX92" s="93" t="str" cm="1">
        <f t="array" ref="BX92">_xlfn.LET(
  _xlpm.w, BX$11,
  _xlpm.r, MATCH(1,('3. Enter Indicator Scores'!$B$10:$B$161=$B92)*('3. Enter Indicator Scores'!$C$10:$C$161=$C92),0),
  _xlpm.c, MATCH(BX$8,'3. Enter Indicator Scores'!$D$8:$CZ$8,0),
  _xlpm.v, IFERROR(INDEX('3. Enter Indicator Scores'!$D$10:$CZ$161,_xlpm.r,_xlpm.c),""),
  IF(OR(_xlpm.w="",_xlpm.v=""),"",_xlpm.v*_xlpm.w)
)</f>
        <v/>
      </c>
      <c r="BY92" s="93" t="str" cm="1">
        <f t="array" ref="BY92">_xlfn.LET(
  _xlpm.w, BY$11,
  _xlpm.r, MATCH(1,('3. Enter Indicator Scores'!$B$10:$B$161=$B92)*('3. Enter Indicator Scores'!$C$10:$C$161=$C92),0),
  _xlpm.c, MATCH(BY$8,'3. Enter Indicator Scores'!$D$8:$CZ$8,0),
  _xlpm.v, IFERROR(INDEX('3. Enter Indicator Scores'!$D$10:$CZ$161,_xlpm.r,_xlpm.c),""),
  IF(OR(_xlpm.w="",_xlpm.v=""),"",_xlpm.v*_xlpm.w)
)</f>
        <v/>
      </c>
      <c r="BZ92" s="93" t="str" cm="1">
        <f t="array" ref="BZ92">_xlfn.LET(
  _xlpm.w, BZ$11,
  _xlpm.r, MATCH(1,('3. Enter Indicator Scores'!$B$10:$B$161=$B92)*('3. Enter Indicator Scores'!$C$10:$C$161=$C92),0),
  _xlpm.c, MATCH(BZ$8,'3. Enter Indicator Scores'!$D$8:$CZ$8,0),
  _xlpm.v, IFERROR(INDEX('3. Enter Indicator Scores'!$D$10:$CZ$161,_xlpm.r,_xlpm.c),""),
  IF(OR(_xlpm.w="",_xlpm.v=""),"",_xlpm.v*_xlpm.w)
)</f>
        <v/>
      </c>
      <c r="CA92" s="93" t="str" cm="1">
        <f t="array" ref="CA92">_xlfn.LET(
  _xlpm.w, CA$11,
  _xlpm.r, MATCH(1,('3. Enter Indicator Scores'!$B$10:$B$161=$B92)*('3. Enter Indicator Scores'!$C$10:$C$161=$C92),0),
  _xlpm.c, MATCH(CA$8,'3. Enter Indicator Scores'!$D$8:$CZ$8,0),
  _xlpm.v, IFERROR(INDEX('3. Enter Indicator Scores'!$D$10:$CZ$161,_xlpm.r,_xlpm.c),""),
  IF(OR(_xlpm.w="",_xlpm.v=""),"",_xlpm.v*_xlpm.w)
)</f>
        <v/>
      </c>
      <c r="CB92" s="93" t="str" cm="1">
        <f t="array" ref="CB92">_xlfn.LET(
  _xlpm.w, CB$11,
  _xlpm.r, MATCH(1,('3. Enter Indicator Scores'!$B$10:$B$161=$B92)*('3. Enter Indicator Scores'!$C$10:$C$161=$C92),0),
  _xlpm.c, MATCH(CB$8,'3. Enter Indicator Scores'!$D$8:$CZ$8,0),
  _xlpm.v, IFERROR(INDEX('3. Enter Indicator Scores'!$D$10:$CZ$161,_xlpm.r,_xlpm.c),""),
  IF(OR(_xlpm.w="",_xlpm.v=""),"",_xlpm.v*_xlpm.w)
)</f>
        <v/>
      </c>
      <c r="CC92" s="93" t="str" cm="1">
        <f t="array" ref="CC92">_xlfn.LET(
  _xlpm.w, CC$11,
  _xlpm.r, MATCH(1,('3. Enter Indicator Scores'!$B$10:$B$161=$B92)*('3. Enter Indicator Scores'!$C$10:$C$161=$C92),0),
  _xlpm.c, MATCH(CC$8,'3. Enter Indicator Scores'!$D$8:$CZ$8,0),
  _xlpm.v, IFERROR(INDEX('3. Enter Indicator Scores'!$D$10:$CZ$161,_xlpm.r,_xlpm.c),""),
  IF(OR(_xlpm.w="",_xlpm.v=""),"",_xlpm.v*_xlpm.w)
)</f>
        <v/>
      </c>
      <c r="CD92" s="93" t="str" cm="1">
        <f t="array" ref="CD92">_xlfn.LET(
  _xlpm.w, CD$11,
  _xlpm.r, MATCH(1,('3. Enter Indicator Scores'!$B$10:$B$161=$B92)*('3. Enter Indicator Scores'!$C$10:$C$161=$C92),0),
  _xlpm.c, MATCH(CD$8,'3. Enter Indicator Scores'!$D$8:$CZ$8,0),
  _xlpm.v, IFERROR(INDEX('3. Enter Indicator Scores'!$D$10:$CZ$161,_xlpm.r,_xlpm.c),""),
  IF(OR(_xlpm.w="",_xlpm.v=""),"",_xlpm.v*_xlpm.w)
)</f>
        <v/>
      </c>
      <c r="CE92" s="93" t="str" cm="1">
        <f t="array" ref="CE92">_xlfn.LET(
  _xlpm.w, CE$11,
  _xlpm.r, MATCH(1,('3. Enter Indicator Scores'!$B$10:$B$161=$B92)*('3. Enter Indicator Scores'!$C$10:$C$161=$C92),0),
  _xlpm.c, MATCH(CE$8,'3. Enter Indicator Scores'!$D$8:$CZ$8,0),
  _xlpm.v, IFERROR(INDEX('3. Enter Indicator Scores'!$D$10:$CZ$161,_xlpm.r,_xlpm.c),""),
  IF(OR(_xlpm.w="",_xlpm.v=""),"",_xlpm.v*_xlpm.w)
)</f>
        <v/>
      </c>
      <c r="CF92" s="93" t="str" cm="1">
        <f t="array" ref="CF92">_xlfn.LET(
  _xlpm.w, CF$11,
  _xlpm.r, MATCH(1,('3. Enter Indicator Scores'!$B$10:$B$161=$B92)*('3. Enter Indicator Scores'!$C$10:$C$161=$C92),0),
  _xlpm.c, MATCH(CF$8,'3. Enter Indicator Scores'!$D$8:$CZ$8,0),
  _xlpm.v, IFERROR(INDEX('3. Enter Indicator Scores'!$D$10:$CZ$161,_xlpm.r,_xlpm.c),""),
  IF(OR(_xlpm.w="",_xlpm.v=""),"",_xlpm.v*_xlpm.w)
)</f>
        <v/>
      </c>
      <c r="CG92" s="93" t="str" cm="1">
        <f t="array" ref="CG92">_xlfn.LET(
  _xlpm.w, CG$11,
  _xlpm.r, MATCH(1,('3. Enter Indicator Scores'!$B$10:$B$161=$B92)*('3. Enter Indicator Scores'!$C$10:$C$161=$C92),0),
  _xlpm.c, MATCH(CG$8,'3. Enter Indicator Scores'!$D$8:$CZ$8,0),
  _xlpm.v, IFERROR(INDEX('3. Enter Indicator Scores'!$D$10:$CZ$161,_xlpm.r,_xlpm.c),""),
  IF(OR(_xlpm.w="",_xlpm.v=""),"",_xlpm.v*_xlpm.w)
)</f>
        <v/>
      </c>
      <c r="CH92" s="93" t="str" cm="1">
        <f t="array" ref="CH92">_xlfn.LET(
  _xlpm.w, CH$11,
  _xlpm.r, MATCH(1,('3. Enter Indicator Scores'!$B$10:$B$161=$B92)*('3. Enter Indicator Scores'!$C$10:$C$161=$C92),0),
  _xlpm.c, MATCH(CH$8,'3. Enter Indicator Scores'!$D$8:$CZ$8,0),
  _xlpm.v, IFERROR(INDEX('3. Enter Indicator Scores'!$D$10:$CZ$161,_xlpm.r,_xlpm.c),""),
  IF(OR(_xlpm.w="",_xlpm.v=""),"",_xlpm.v*_xlpm.w)
)</f>
        <v/>
      </c>
      <c r="CI92" s="93" t="str" cm="1">
        <f t="array" ref="CI92">_xlfn.LET(
  _xlpm.w, CI$11,
  _xlpm.r, MATCH(1,('3. Enter Indicator Scores'!$B$10:$B$161=$B92)*('3. Enter Indicator Scores'!$C$10:$C$161=$C92),0),
  _xlpm.c, MATCH(CI$8,'3. Enter Indicator Scores'!$D$8:$CZ$8,0),
  _xlpm.v, IFERROR(INDEX('3. Enter Indicator Scores'!$D$10:$CZ$161,_xlpm.r,_xlpm.c),""),
  IF(OR(_xlpm.w="",_xlpm.v=""),"",_xlpm.v*_xlpm.w)
)</f>
        <v/>
      </c>
      <c r="CJ92" s="93" t="str" cm="1">
        <f t="array" ref="CJ92">_xlfn.LET(
  _xlpm.w, CJ$11,
  _xlpm.r, MATCH(1,('3. Enter Indicator Scores'!$B$10:$B$161=$B92)*('3. Enter Indicator Scores'!$C$10:$C$161=$C92),0),
  _xlpm.c, MATCH(CJ$8,'3. Enter Indicator Scores'!$D$8:$CZ$8,0),
  _xlpm.v, IFERROR(INDEX('3. Enter Indicator Scores'!$D$10:$CZ$161,_xlpm.r,_xlpm.c),""),
  IF(OR(_xlpm.w="",_xlpm.v=""),"",_xlpm.v*_xlpm.w)
)</f>
        <v/>
      </c>
      <c r="CK92" s="93" t="str" cm="1">
        <f t="array" ref="CK92">_xlfn.LET(
  _xlpm.w, CK$11,
  _xlpm.r, MATCH(1,('3. Enter Indicator Scores'!$B$10:$B$161=$B92)*('3. Enter Indicator Scores'!$C$10:$C$161=$C92),0),
  _xlpm.c, MATCH(CK$8,'3. Enter Indicator Scores'!$D$8:$CZ$8,0),
  _xlpm.v, IFERROR(INDEX('3. Enter Indicator Scores'!$D$10:$CZ$161,_xlpm.r,_xlpm.c),""),
  IF(OR(_xlpm.w="",_xlpm.v=""),"",_xlpm.v*_xlpm.w)
)</f>
        <v/>
      </c>
      <c r="CL92" s="93" t="str" cm="1">
        <f t="array" ref="CL92">_xlfn.LET(
  _xlpm.w, CL$11,
  _xlpm.r, MATCH(1,('3. Enter Indicator Scores'!$B$10:$B$161=$B92)*('3. Enter Indicator Scores'!$C$10:$C$161=$C92),0),
  _xlpm.c, MATCH(CL$8,'3. Enter Indicator Scores'!$D$8:$CZ$8,0),
  _xlpm.v, IFERROR(INDEX('3. Enter Indicator Scores'!$D$10:$CZ$161,_xlpm.r,_xlpm.c),""),
  IF(OR(_xlpm.w="",_xlpm.v=""),"",_xlpm.v*_xlpm.w)
)</f>
        <v/>
      </c>
      <c r="CM92" s="93" t="str" cm="1">
        <f t="array" ref="CM92">_xlfn.LET(
  _xlpm.w, CM$11,
  _xlpm.r, MATCH(1,('3. Enter Indicator Scores'!$B$10:$B$161=$B92)*('3. Enter Indicator Scores'!$C$10:$C$161=$C92),0),
  _xlpm.c, MATCH(CM$8,'3. Enter Indicator Scores'!$D$8:$CZ$8,0),
  _xlpm.v, IFERROR(INDEX('3. Enter Indicator Scores'!$D$10:$CZ$161,_xlpm.r,_xlpm.c),""),
  IF(OR(_xlpm.w="",_xlpm.v=""),"",_xlpm.v*_xlpm.w)
)</f>
        <v/>
      </c>
      <c r="CN92" s="93" t="str" cm="1">
        <f t="array" ref="CN92">_xlfn.LET(
  _xlpm.w, CN$11,
  _xlpm.r, MATCH(1,('3. Enter Indicator Scores'!$B$10:$B$161=$B92)*('3. Enter Indicator Scores'!$C$10:$C$161=$C92),0),
  _xlpm.c, MATCH(CN$8,'3. Enter Indicator Scores'!$D$8:$CZ$8,0),
  _xlpm.v, IFERROR(INDEX('3. Enter Indicator Scores'!$D$10:$CZ$161,_xlpm.r,_xlpm.c),""),
  IF(OR(_xlpm.w="",_xlpm.v=""),"",_xlpm.v*_xlpm.w)
)</f>
        <v/>
      </c>
      <c r="CO92" s="93" t="str" cm="1">
        <f t="array" ref="CO92">_xlfn.LET(
  _xlpm.w, CO$11,
  _xlpm.r, MATCH(1,('3. Enter Indicator Scores'!$B$10:$B$161=$B92)*('3. Enter Indicator Scores'!$C$10:$C$161=$C92),0),
  _xlpm.c, MATCH(CO$8,'3. Enter Indicator Scores'!$D$8:$CZ$8,0),
  _xlpm.v, IFERROR(INDEX('3. Enter Indicator Scores'!$D$10:$CZ$161,_xlpm.r,_xlpm.c),""),
  IF(OR(_xlpm.w="",_xlpm.v=""),"",_xlpm.v*_xlpm.w)
)</f>
        <v/>
      </c>
      <c r="CP92" s="93" t="str" cm="1">
        <f t="array" ref="CP92">_xlfn.LET(
  _xlpm.w, CP$11,
  _xlpm.r, MATCH(1,('3. Enter Indicator Scores'!$B$10:$B$161=$B92)*('3. Enter Indicator Scores'!$C$10:$C$161=$C92),0),
  _xlpm.c, MATCH(CP$8,'3. Enter Indicator Scores'!$D$8:$CZ$8,0),
  _xlpm.v, IFERROR(INDEX('3. Enter Indicator Scores'!$D$10:$CZ$161,_xlpm.r,_xlpm.c),""),
  IF(OR(_xlpm.w="",_xlpm.v=""),"",_xlpm.v*_xlpm.w)
)</f>
        <v/>
      </c>
      <c r="CQ92" s="93" t="str" cm="1">
        <f t="array" ref="CQ92">_xlfn.LET(
  _xlpm.w, CQ$11,
  _xlpm.r, MATCH(1,('3. Enter Indicator Scores'!$B$10:$B$161=$B92)*('3. Enter Indicator Scores'!$C$10:$C$161=$C92),0),
  _xlpm.c, MATCH(CQ$8,'3. Enter Indicator Scores'!$D$8:$CZ$8,0),
  _xlpm.v, IFERROR(INDEX('3. Enter Indicator Scores'!$D$10:$CZ$161,_xlpm.r,_xlpm.c),""),
  IF(OR(_xlpm.w="",_xlpm.v=""),"",_xlpm.v*_xlpm.w)
)</f>
        <v/>
      </c>
      <c r="CR92" s="93" t="str" cm="1">
        <f t="array" ref="CR92">_xlfn.LET(
  _xlpm.w, CR$11,
  _xlpm.r, MATCH(1,('3. Enter Indicator Scores'!$B$10:$B$161=$B92)*('3. Enter Indicator Scores'!$C$10:$C$161=$C92),0),
  _xlpm.c, MATCH(CR$8,'3. Enter Indicator Scores'!$D$8:$CZ$8,0),
  _xlpm.v, IFERROR(INDEX('3. Enter Indicator Scores'!$D$10:$CZ$161,_xlpm.r,_xlpm.c),""),
  IF(OR(_xlpm.w="",_xlpm.v=""),"",_xlpm.v*_xlpm.w)
)</f>
        <v/>
      </c>
      <c r="CS92" s="93" t="str" cm="1">
        <f t="array" ref="CS92">_xlfn.LET(
  _xlpm.w, CS$11,
  _xlpm.r, MATCH(1,('3. Enter Indicator Scores'!$B$10:$B$161=$B92)*('3. Enter Indicator Scores'!$C$10:$C$161=$C92),0),
  _xlpm.c, MATCH(CS$8,'3. Enter Indicator Scores'!$D$8:$CZ$8,0),
  _xlpm.v, IFERROR(INDEX('3. Enter Indicator Scores'!$D$10:$CZ$161,_xlpm.r,_xlpm.c),""),
  IF(OR(_xlpm.w="",_xlpm.v=""),"",_xlpm.v*_xlpm.w)
)</f>
        <v/>
      </c>
      <c r="CT92" s="93" t="str" cm="1">
        <f t="array" ref="CT92">_xlfn.LET(
  _xlpm.w, CT$11,
  _xlpm.r, MATCH(1,('3. Enter Indicator Scores'!$B$10:$B$161=$B92)*('3. Enter Indicator Scores'!$C$10:$C$161=$C92),0),
  _xlpm.c, MATCH(CT$8,'3. Enter Indicator Scores'!$D$8:$CZ$8,0),
  _xlpm.v, IFERROR(INDEX('3. Enter Indicator Scores'!$D$10:$CZ$161,_xlpm.r,_xlpm.c),""),
  IF(OR(_xlpm.w="",_xlpm.v=""),"",_xlpm.v*_xlpm.w)
)</f>
        <v/>
      </c>
      <c r="CU92" s="93" t="str" cm="1">
        <f t="array" ref="CU92">_xlfn.LET(
  _xlpm.w, CU$11,
  _xlpm.r, MATCH(1,('3. Enter Indicator Scores'!$B$10:$B$161=$B92)*('3. Enter Indicator Scores'!$C$10:$C$161=$C92),0),
  _xlpm.c, MATCH(CU$8,'3. Enter Indicator Scores'!$D$8:$CZ$8,0),
  _xlpm.v, IFERROR(INDEX('3. Enter Indicator Scores'!$D$10:$CZ$161,_xlpm.r,_xlpm.c),""),
  IF(OR(_xlpm.w="",_xlpm.v=""),"",_xlpm.v*_xlpm.w)
)</f>
        <v/>
      </c>
      <c r="CV92" s="93" t="str" cm="1">
        <f t="array" ref="CV92">_xlfn.LET(
  _xlpm.w, CV$11,
  _xlpm.r, MATCH(1,('3. Enter Indicator Scores'!$B$10:$B$161=$B92)*('3. Enter Indicator Scores'!$C$10:$C$161=$C92),0),
  _xlpm.c, MATCH(CV$8,'3. Enter Indicator Scores'!$D$8:$CZ$8,0),
  _xlpm.v, IFERROR(INDEX('3. Enter Indicator Scores'!$D$10:$CZ$161,_xlpm.r,_xlpm.c),""),
  IF(OR(_xlpm.w="",_xlpm.v=""),"",_xlpm.v*_xlpm.w)
)</f>
        <v/>
      </c>
      <c r="CW92" s="93" t="str" cm="1">
        <f t="array" ref="CW92">_xlfn.LET(
  _xlpm.w, CW$11,
  _xlpm.r, MATCH(1,('3. Enter Indicator Scores'!$B$10:$B$161=$B92)*('3. Enter Indicator Scores'!$C$10:$C$161=$C92),0),
  _xlpm.c, MATCH(CW$8,'3. Enter Indicator Scores'!$D$8:$CZ$8,0),
  _xlpm.v, IFERROR(INDEX('3. Enter Indicator Scores'!$D$10:$CZ$161,_xlpm.r,_xlpm.c),""),
  IF(OR(_xlpm.w="",_xlpm.v=""),"",_xlpm.v*_xlpm.w)
)</f>
        <v/>
      </c>
      <c r="CX92" s="93" t="str" cm="1">
        <f t="array" ref="CX92">_xlfn.LET(
  _xlpm.w, CX$11,
  _xlpm.r, MATCH(1,('3. Enter Indicator Scores'!$B$10:$B$161=$B92)*('3. Enter Indicator Scores'!$C$10:$C$161=$C92),0),
  _xlpm.c, MATCH(CX$8,'3. Enter Indicator Scores'!$D$8:$CZ$8,0),
  _xlpm.v, IFERROR(INDEX('3. Enter Indicator Scores'!$D$10:$CZ$161,_xlpm.r,_xlpm.c),""),
  IF(OR(_xlpm.w="",_xlpm.v=""),"",_xlpm.v*_xlpm.w)
)</f>
        <v/>
      </c>
      <c r="CY92" s="93" t="str" cm="1">
        <f t="array" ref="CY92">_xlfn.LET(
  _xlpm.w, CY$11,
  _xlpm.r, MATCH(1,('3. Enter Indicator Scores'!$B$10:$B$161=$B92)*('3. Enter Indicator Scores'!$C$10:$C$161=$C92),0),
  _xlpm.c, MATCH(CY$8,'3. Enter Indicator Scores'!$D$8:$CZ$8,0),
  _xlpm.v, IFERROR(INDEX('3. Enter Indicator Scores'!$D$10:$CZ$161,_xlpm.r,_xlpm.c),""),
  IF(OR(_xlpm.w="",_xlpm.v=""),"",_xlpm.v*_xlpm.w)
)</f>
        <v/>
      </c>
      <c r="CZ92" s="93" t="str" cm="1">
        <f t="array" ref="CZ92">_xlfn.LET(
  _xlpm.w, CZ$11,
  _xlpm.r, MATCH(1,('3. Enter Indicator Scores'!$B$10:$B$161=$B92)*('3. Enter Indicator Scores'!$C$10:$C$161=$C92),0),
  _xlpm.c, MATCH(CZ$8,'3. Enter Indicator Scores'!$D$8:$CZ$8,0),
  _xlpm.v, IFERROR(INDEX('3. Enter Indicator Scores'!$D$10:$CZ$161,_xlpm.r,_xlpm.c),""),
  IF(OR(_xlpm.w="",_xlpm.v=""),"",_xlpm.v*_xlpm.w)
)</f>
        <v/>
      </c>
    </row>
    <row r="93" spans="4:104" x14ac:dyDescent="0.2">
      <c r="D93" s="93" t="str" cm="1">
        <f t="array" ref="D93">_xlfn.LET(
  _xlpm.w, D$11,
  _xlpm.r, MATCH(1,('3. Enter Indicator Scores'!$B$10:$B$161=$B93)*('3. Enter Indicator Scores'!$C$10:$C$161=$C93),0),
  _xlpm.c, MATCH(D$8,'3. Enter Indicator Scores'!$D$8:$CZ$8,0),
  _xlpm.v, IFERROR(INDEX('3. Enter Indicator Scores'!$D$10:$CZ$161,_xlpm.r,_xlpm.c),""),
  IF(OR(_xlpm.w="",_xlpm.v=""),"",_xlpm.v*_xlpm.w)
)</f>
        <v/>
      </c>
      <c r="E93" s="93" t="str" cm="1">
        <f t="array" ref="E93">_xlfn.LET(
  _xlpm.w, E$11,
  _xlpm.r, MATCH(1,('3. Enter Indicator Scores'!$B$10:$B$161=$B93)*('3. Enter Indicator Scores'!$C$10:$C$161=$C93),0),
  _xlpm.c, MATCH(E$8,'3. Enter Indicator Scores'!$D$8:$CZ$8,0),
  _xlpm.v, IFERROR(INDEX('3. Enter Indicator Scores'!$D$10:$CZ$161,_xlpm.r,_xlpm.c),""),
  IF(OR(_xlpm.w="",_xlpm.v=""),"",_xlpm.v*_xlpm.w)
)</f>
        <v/>
      </c>
      <c r="F93" s="93" t="str" cm="1">
        <f t="array" ref="F93">_xlfn.LET(
  _xlpm.w, F$11,
  _xlpm.r, MATCH(1,('3. Enter Indicator Scores'!$B$10:$B$161=$B93)*('3. Enter Indicator Scores'!$C$10:$C$161=$C93),0),
  _xlpm.c, MATCH(F$8,'3. Enter Indicator Scores'!$D$8:$CZ$8,0),
  _xlpm.v, IFERROR(INDEX('3. Enter Indicator Scores'!$D$10:$CZ$161,_xlpm.r,_xlpm.c),""),
  IF(OR(_xlpm.w="",_xlpm.v=""),"",_xlpm.v*_xlpm.w)
)</f>
        <v/>
      </c>
      <c r="G93" s="93" t="str" cm="1">
        <f t="array" ref="G93">_xlfn.LET(
  _xlpm.w, G$11,
  _xlpm.r, MATCH(1,('3. Enter Indicator Scores'!$B$10:$B$161=$B93)*('3. Enter Indicator Scores'!$C$10:$C$161=$C93),0),
  _xlpm.c, MATCH(G$8,'3. Enter Indicator Scores'!$D$8:$CZ$8,0),
  _xlpm.v, IFERROR(INDEX('3. Enter Indicator Scores'!$D$10:$CZ$161,_xlpm.r,_xlpm.c),""),
  IF(OR(_xlpm.w="",_xlpm.v=""),"",_xlpm.v*_xlpm.w)
)</f>
        <v/>
      </c>
      <c r="H93" s="93" t="str" cm="1">
        <f t="array" ref="H93">_xlfn.LET(
  _xlpm.w, H$11,
  _xlpm.r, MATCH(1,('3. Enter Indicator Scores'!$B$10:$B$161=$B93)*('3. Enter Indicator Scores'!$C$10:$C$161=$C93),0),
  _xlpm.c, MATCH(H$8,'3. Enter Indicator Scores'!$D$8:$CZ$8,0),
  _xlpm.v, IFERROR(INDEX('3. Enter Indicator Scores'!$D$10:$CZ$161,_xlpm.r,_xlpm.c),""),
  IF(OR(_xlpm.w="",_xlpm.v=""),"",_xlpm.v*_xlpm.w)
)</f>
        <v/>
      </c>
      <c r="I93" s="93" t="str" cm="1">
        <f t="array" ref="I93">_xlfn.LET(
  _xlpm.w, I$11,
  _xlpm.r, MATCH(1,('3. Enter Indicator Scores'!$B$10:$B$161=$B93)*('3. Enter Indicator Scores'!$C$10:$C$161=$C93),0),
  _xlpm.c, MATCH(I$8,'3. Enter Indicator Scores'!$D$8:$CZ$8,0),
  _xlpm.v, IFERROR(INDEX('3. Enter Indicator Scores'!$D$10:$CZ$161,_xlpm.r,_xlpm.c),""),
  IF(OR(_xlpm.w="",_xlpm.v=""),"",_xlpm.v*_xlpm.w)
)</f>
        <v/>
      </c>
      <c r="J93" s="93" t="str" cm="1">
        <f t="array" ref="J93">_xlfn.LET(
  _xlpm.w, J$11,
  _xlpm.r, MATCH(1,('3. Enter Indicator Scores'!$B$10:$B$161=$B93)*('3. Enter Indicator Scores'!$C$10:$C$161=$C93),0),
  _xlpm.c, MATCH(J$8,'3. Enter Indicator Scores'!$D$8:$CZ$8,0),
  _xlpm.v, IFERROR(INDEX('3. Enter Indicator Scores'!$D$10:$CZ$161,_xlpm.r,_xlpm.c),""),
  IF(OR(_xlpm.w="",_xlpm.v=""),"",_xlpm.v*_xlpm.w)
)</f>
        <v/>
      </c>
      <c r="K93" s="93" t="str" cm="1">
        <f t="array" ref="K93">_xlfn.LET(
  _xlpm.w, K$11,
  _xlpm.r, MATCH(1,('3. Enter Indicator Scores'!$B$10:$B$161=$B93)*('3. Enter Indicator Scores'!$C$10:$C$161=$C93),0),
  _xlpm.c, MATCH(K$8,'3. Enter Indicator Scores'!$D$8:$CZ$8,0),
  _xlpm.v, IFERROR(INDEX('3. Enter Indicator Scores'!$D$10:$CZ$161,_xlpm.r,_xlpm.c),""),
  IF(OR(_xlpm.w="",_xlpm.v=""),"",_xlpm.v*_xlpm.w)
)</f>
        <v/>
      </c>
      <c r="L93" s="93" t="str" cm="1">
        <f t="array" ref="L93">_xlfn.LET(
  _xlpm.w, L$11,
  _xlpm.r, MATCH(1,('3. Enter Indicator Scores'!$B$10:$B$161=$B93)*('3. Enter Indicator Scores'!$C$10:$C$161=$C93),0),
  _xlpm.c, MATCH(L$8,'3. Enter Indicator Scores'!$D$8:$CZ$8,0),
  _xlpm.v, IFERROR(INDEX('3. Enter Indicator Scores'!$D$10:$CZ$161,_xlpm.r,_xlpm.c),""),
  IF(OR(_xlpm.w="",_xlpm.v=""),"",_xlpm.v*_xlpm.w)
)</f>
        <v/>
      </c>
      <c r="M93" s="93" t="str" cm="1">
        <f t="array" ref="M93">_xlfn.LET(
  _xlpm.w, M$11,
  _xlpm.r, MATCH(1,('3. Enter Indicator Scores'!$B$10:$B$161=$B93)*('3. Enter Indicator Scores'!$C$10:$C$161=$C93),0),
  _xlpm.c, MATCH(M$8,'3. Enter Indicator Scores'!$D$8:$CZ$8,0),
  _xlpm.v, IFERROR(INDEX('3. Enter Indicator Scores'!$D$10:$CZ$161,_xlpm.r,_xlpm.c),""),
  IF(OR(_xlpm.w="",_xlpm.v=""),"",_xlpm.v*_xlpm.w)
)</f>
        <v/>
      </c>
      <c r="N93" s="93" t="str" cm="1">
        <f t="array" ref="N93">_xlfn.LET(
  _xlpm.w, N$11,
  _xlpm.r, MATCH(1,('3. Enter Indicator Scores'!$B$10:$B$161=$B93)*('3. Enter Indicator Scores'!$C$10:$C$161=$C93),0),
  _xlpm.c, MATCH(N$8,'3. Enter Indicator Scores'!$D$8:$CZ$8,0),
  _xlpm.v, IFERROR(INDEX('3. Enter Indicator Scores'!$D$10:$CZ$161,_xlpm.r,_xlpm.c),""),
  IF(OR(_xlpm.w="",_xlpm.v=""),"",_xlpm.v*_xlpm.w)
)</f>
        <v/>
      </c>
      <c r="O93" s="93" t="str" cm="1">
        <f t="array" ref="O93">_xlfn.LET(
  _xlpm.w, O$11,
  _xlpm.r, MATCH(1,('3. Enter Indicator Scores'!$B$10:$B$161=$B93)*('3. Enter Indicator Scores'!$C$10:$C$161=$C93),0),
  _xlpm.c, MATCH(O$8,'3. Enter Indicator Scores'!$D$8:$CZ$8,0),
  _xlpm.v, IFERROR(INDEX('3. Enter Indicator Scores'!$D$10:$CZ$161,_xlpm.r,_xlpm.c),""),
  IF(OR(_xlpm.w="",_xlpm.v=""),"",_xlpm.v*_xlpm.w)
)</f>
        <v/>
      </c>
      <c r="P93" s="93" t="str" cm="1">
        <f t="array" ref="P93">_xlfn.LET(
  _xlpm.w, P$11,
  _xlpm.r, MATCH(1,('3. Enter Indicator Scores'!$B$10:$B$161=$B93)*('3. Enter Indicator Scores'!$C$10:$C$161=$C93),0),
  _xlpm.c, MATCH(P$8,'3. Enter Indicator Scores'!$D$8:$CZ$8,0),
  _xlpm.v, IFERROR(INDEX('3. Enter Indicator Scores'!$D$10:$CZ$161,_xlpm.r,_xlpm.c),""),
  IF(OR(_xlpm.w="",_xlpm.v=""),"",_xlpm.v*_xlpm.w)
)</f>
        <v/>
      </c>
      <c r="Q93" s="93" t="str" cm="1">
        <f t="array" ref="Q93">_xlfn.LET(
  _xlpm.w, Q$11,
  _xlpm.r, MATCH(1,('3. Enter Indicator Scores'!$B$10:$B$161=$B93)*('3. Enter Indicator Scores'!$C$10:$C$161=$C93),0),
  _xlpm.c, MATCH(Q$8,'3. Enter Indicator Scores'!$D$8:$CZ$8,0),
  _xlpm.v, IFERROR(INDEX('3. Enter Indicator Scores'!$D$10:$CZ$161,_xlpm.r,_xlpm.c),""),
  IF(OR(_xlpm.w="",_xlpm.v=""),"",_xlpm.v*_xlpm.w)
)</f>
        <v/>
      </c>
      <c r="R93" s="93" t="str" cm="1">
        <f t="array" ref="R93">_xlfn.LET(
  _xlpm.w, R$11,
  _xlpm.r, MATCH(1,('3. Enter Indicator Scores'!$B$10:$B$161=$B93)*('3. Enter Indicator Scores'!$C$10:$C$161=$C93),0),
  _xlpm.c, MATCH(R$8,'3. Enter Indicator Scores'!$D$8:$CZ$8,0),
  _xlpm.v, IFERROR(INDEX('3. Enter Indicator Scores'!$D$10:$CZ$161,_xlpm.r,_xlpm.c),""),
  IF(OR(_xlpm.w="",_xlpm.v=""),"",_xlpm.v*_xlpm.w)
)</f>
        <v/>
      </c>
      <c r="S93" s="93" t="str" cm="1">
        <f t="array" ref="S93">_xlfn.LET(
  _xlpm.w, S$11,
  _xlpm.r, MATCH(1,('3. Enter Indicator Scores'!$B$10:$B$161=$B93)*('3. Enter Indicator Scores'!$C$10:$C$161=$C93),0),
  _xlpm.c, MATCH(S$8,'3. Enter Indicator Scores'!$D$8:$CZ$8,0),
  _xlpm.v, IFERROR(INDEX('3. Enter Indicator Scores'!$D$10:$CZ$161,_xlpm.r,_xlpm.c),""),
  IF(OR(_xlpm.w="",_xlpm.v=""),"",_xlpm.v*_xlpm.w)
)</f>
        <v/>
      </c>
      <c r="T93" s="93" t="str" cm="1">
        <f t="array" ref="T93">_xlfn.LET(
  _xlpm.w, T$11,
  _xlpm.r, MATCH(1,('3. Enter Indicator Scores'!$B$10:$B$161=$B93)*('3. Enter Indicator Scores'!$C$10:$C$161=$C93),0),
  _xlpm.c, MATCH(T$8,'3. Enter Indicator Scores'!$D$8:$CZ$8,0),
  _xlpm.v, IFERROR(INDEX('3. Enter Indicator Scores'!$D$10:$CZ$161,_xlpm.r,_xlpm.c),""),
  IF(OR(_xlpm.w="",_xlpm.v=""),"",_xlpm.v*_xlpm.w)
)</f>
        <v/>
      </c>
      <c r="U93" s="93" t="str" cm="1">
        <f t="array" ref="U93">_xlfn.LET(
  _xlpm.w, U$11,
  _xlpm.r, MATCH(1,('3. Enter Indicator Scores'!$B$10:$B$161=$B93)*('3. Enter Indicator Scores'!$C$10:$C$161=$C93),0),
  _xlpm.c, MATCH(U$8,'3. Enter Indicator Scores'!$D$8:$CZ$8,0),
  _xlpm.v, IFERROR(INDEX('3. Enter Indicator Scores'!$D$10:$CZ$161,_xlpm.r,_xlpm.c),""),
  IF(OR(_xlpm.w="",_xlpm.v=""),"",_xlpm.v*_xlpm.w)
)</f>
        <v/>
      </c>
      <c r="V93" s="93" t="str" cm="1">
        <f t="array" ref="V93">_xlfn.LET(
  _xlpm.w, V$11,
  _xlpm.r, MATCH(1,('3. Enter Indicator Scores'!$B$10:$B$161=$B93)*('3. Enter Indicator Scores'!$C$10:$C$161=$C93),0),
  _xlpm.c, MATCH(V$8,'3. Enter Indicator Scores'!$D$8:$CZ$8,0),
  _xlpm.v, IFERROR(INDEX('3. Enter Indicator Scores'!$D$10:$CZ$161,_xlpm.r,_xlpm.c),""),
  IF(OR(_xlpm.w="",_xlpm.v=""),"",_xlpm.v*_xlpm.w)
)</f>
        <v/>
      </c>
      <c r="W93" s="93" t="str" cm="1">
        <f t="array" ref="W93">_xlfn.LET(
  _xlpm.w, W$11,
  _xlpm.r, MATCH(1,('3. Enter Indicator Scores'!$B$10:$B$161=$B93)*('3. Enter Indicator Scores'!$C$10:$C$161=$C93),0),
  _xlpm.c, MATCH(W$8,'3. Enter Indicator Scores'!$D$8:$CZ$8,0),
  _xlpm.v, IFERROR(INDEX('3. Enter Indicator Scores'!$D$10:$CZ$161,_xlpm.r,_xlpm.c),""),
  IF(OR(_xlpm.w="",_xlpm.v=""),"",_xlpm.v*_xlpm.w)
)</f>
        <v/>
      </c>
      <c r="X93" s="93" t="str" cm="1">
        <f t="array" ref="X93">_xlfn.LET(
  _xlpm.w, X$11,
  _xlpm.r, MATCH(1,('3. Enter Indicator Scores'!$B$10:$B$161=$B93)*('3. Enter Indicator Scores'!$C$10:$C$161=$C93),0),
  _xlpm.c, MATCH(X$8,'3. Enter Indicator Scores'!$D$8:$CZ$8,0),
  _xlpm.v, IFERROR(INDEX('3. Enter Indicator Scores'!$D$10:$CZ$161,_xlpm.r,_xlpm.c),""),
  IF(OR(_xlpm.w="",_xlpm.v=""),"",_xlpm.v*_xlpm.w)
)</f>
        <v/>
      </c>
      <c r="Y93" s="93" t="str" cm="1">
        <f t="array" ref="Y93">_xlfn.LET(
  _xlpm.w, Y$11,
  _xlpm.r, MATCH(1,('3. Enter Indicator Scores'!$B$10:$B$161=$B93)*('3. Enter Indicator Scores'!$C$10:$C$161=$C93),0),
  _xlpm.c, MATCH(Y$8,'3. Enter Indicator Scores'!$D$8:$CZ$8,0),
  _xlpm.v, IFERROR(INDEX('3. Enter Indicator Scores'!$D$10:$CZ$161,_xlpm.r,_xlpm.c),""),
  IF(OR(_xlpm.w="",_xlpm.v=""),"",_xlpm.v*_xlpm.w)
)</f>
        <v/>
      </c>
      <c r="Z93" s="93" t="str" cm="1">
        <f t="array" ref="Z93">_xlfn.LET(
  _xlpm.w, Z$11,
  _xlpm.r, MATCH(1,('3. Enter Indicator Scores'!$B$10:$B$161=$B93)*('3. Enter Indicator Scores'!$C$10:$C$161=$C93),0),
  _xlpm.c, MATCH(Z$8,'3. Enter Indicator Scores'!$D$8:$CZ$8,0),
  _xlpm.v, IFERROR(INDEX('3. Enter Indicator Scores'!$D$10:$CZ$161,_xlpm.r,_xlpm.c),""),
  IF(OR(_xlpm.w="",_xlpm.v=""),"",_xlpm.v*_xlpm.w)
)</f>
        <v/>
      </c>
      <c r="AA93" s="93" t="str" cm="1">
        <f t="array" ref="AA93">_xlfn.LET(
  _xlpm.w, AA$11,
  _xlpm.r, MATCH(1,('3. Enter Indicator Scores'!$B$10:$B$161=$B93)*('3. Enter Indicator Scores'!$C$10:$C$161=$C93),0),
  _xlpm.c, MATCH(AA$8,'3. Enter Indicator Scores'!$D$8:$CZ$8,0),
  _xlpm.v, IFERROR(INDEX('3. Enter Indicator Scores'!$D$10:$CZ$161,_xlpm.r,_xlpm.c),""),
  IF(OR(_xlpm.w="",_xlpm.v=""),"",_xlpm.v*_xlpm.w)
)</f>
        <v/>
      </c>
      <c r="AB93" s="93" t="str" cm="1">
        <f t="array" ref="AB93">_xlfn.LET(
  _xlpm.w, AB$11,
  _xlpm.r, MATCH(1,('3. Enter Indicator Scores'!$B$10:$B$161=$B93)*('3. Enter Indicator Scores'!$C$10:$C$161=$C93),0),
  _xlpm.c, MATCH(AB$8,'3. Enter Indicator Scores'!$D$8:$CZ$8,0),
  _xlpm.v, IFERROR(INDEX('3. Enter Indicator Scores'!$D$10:$CZ$161,_xlpm.r,_xlpm.c),""),
  IF(OR(_xlpm.w="",_xlpm.v=""),"",_xlpm.v*_xlpm.w)
)</f>
        <v/>
      </c>
      <c r="AC93" s="93" t="str" cm="1">
        <f t="array" ref="AC93">_xlfn.LET(
  _xlpm.w, AC$11,
  _xlpm.r, MATCH(1,('3. Enter Indicator Scores'!$B$10:$B$161=$B93)*('3. Enter Indicator Scores'!$C$10:$C$161=$C93),0),
  _xlpm.c, MATCH(AC$8,'3. Enter Indicator Scores'!$D$8:$CZ$8,0),
  _xlpm.v, IFERROR(INDEX('3. Enter Indicator Scores'!$D$10:$CZ$161,_xlpm.r,_xlpm.c),""),
  IF(OR(_xlpm.w="",_xlpm.v=""),"",_xlpm.v*_xlpm.w)
)</f>
        <v/>
      </c>
      <c r="AD93" s="93" t="str" cm="1">
        <f t="array" ref="AD93">_xlfn.LET(
  _xlpm.w, AD$11,
  _xlpm.r, MATCH(1,('3. Enter Indicator Scores'!$B$10:$B$161=$B93)*('3. Enter Indicator Scores'!$C$10:$C$161=$C93),0),
  _xlpm.c, MATCH(AD$8,'3. Enter Indicator Scores'!$D$8:$CZ$8,0),
  _xlpm.v, IFERROR(INDEX('3. Enter Indicator Scores'!$D$10:$CZ$161,_xlpm.r,_xlpm.c),""),
  IF(OR(_xlpm.w="",_xlpm.v=""),"",_xlpm.v*_xlpm.w)
)</f>
        <v/>
      </c>
      <c r="AE93" s="93" t="str" cm="1">
        <f t="array" ref="AE93">_xlfn.LET(
  _xlpm.w, AE$11,
  _xlpm.r, MATCH(1,('3. Enter Indicator Scores'!$B$10:$B$161=$B93)*('3. Enter Indicator Scores'!$C$10:$C$161=$C93),0),
  _xlpm.c, MATCH(AE$8,'3. Enter Indicator Scores'!$D$8:$CZ$8,0),
  _xlpm.v, IFERROR(INDEX('3. Enter Indicator Scores'!$D$10:$CZ$161,_xlpm.r,_xlpm.c),""),
  IF(OR(_xlpm.w="",_xlpm.v=""),"",_xlpm.v*_xlpm.w)
)</f>
        <v/>
      </c>
      <c r="AF93" s="93" t="str" cm="1">
        <f t="array" ref="AF93">_xlfn.LET(
  _xlpm.w, AF$11,
  _xlpm.r, MATCH(1,('3. Enter Indicator Scores'!$B$10:$B$161=$B93)*('3. Enter Indicator Scores'!$C$10:$C$161=$C93),0),
  _xlpm.c, MATCH(AF$8,'3. Enter Indicator Scores'!$D$8:$CZ$8,0),
  _xlpm.v, IFERROR(INDEX('3. Enter Indicator Scores'!$D$10:$CZ$161,_xlpm.r,_xlpm.c),""),
  IF(OR(_xlpm.w="",_xlpm.v=""),"",_xlpm.v*_xlpm.w)
)</f>
        <v/>
      </c>
      <c r="AG93" s="93" t="str" cm="1">
        <f t="array" ref="AG93">_xlfn.LET(
  _xlpm.w, AG$11,
  _xlpm.r, MATCH(1,('3. Enter Indicator Scores'!$B$10:$B$161=$B93)*('3. Enter Indicator Scores'!$C$10:$C$161=$C93),0),
  _xlpm.c, MATCH(AG$8,'3. Enter Indicator Scores'!$D$8:$CZ$8,0),
  _xlpm.v, IFERROR(INDEX('3. Enter Indicator Scores'!$D$10:$CZ$161,_xlpm.r,_xlpm.c),""),
  IF(OR(_xlpm.w="",_xlpm.v=""),"",_xlpm.v*_xlpm.w)
)</f>
        <v/>
      </c>
      <c r="AH93" s="93" t="str" cm="1">
        <f t="array" ref="AH93">_xlfn.LET(
  _xlpm.w, AH$11,
  _xlpm.r, MATCH(1,('3. Enter Indicator Scores'!$B$10:$B$161=$B93)*('3. Enter Indicator Scores'!$C$10:$C$161=$C93),0),
  _xlpm.c, MATCH(AH$8,'3. Enter Indicator Scores'!$D$8:$CZ$8,0),
  _xlpm.v, IFERROR(INDEX('3. Enter Indicator Scores'!$D$10:$CZ$161,_xlpm.r,_xlpm.c),""),
  IF(OR(_xlpm.w="",_xlpm.v=""),"",_xlpm.v*_xlpm.w)
)</f>
        <v/>
      </c>
      <c r="AI93" s="93" t="str" cm="1">
        <f t="array" ref="AI93">_xlfn.LET(
  _xlpm.w, AI$11,
  _xlpm.r, MATCH(1,('3. Enter Indicator Scores'!$B$10:$B$161=$B93)*('3. Enter Indicator Scores'!$C$10:$C$161=$C93),0),
  _xlpm.c, MATCH(AI$8,'3. Enter Indicator Scores'!$D$8:$CZ$8,0),
  _xlpm.v, IFERROR(INDEX('3. Enter Indicator Scores'!$D$10:$CZ$161,_xlpm.r,_xlpm.c),""),
  IF(OR(_xlpm.w="",_xlpm.v=""),"",_xlpm.v*_xlpm.w)
)</f>
        <v/>
      </c>
      <c r="AJ93" s="93" t="str" cm="1">
        <f t="array" ref="AJ93">_xlfn.LET(
  _xlpm.w, AJ$11,
  _xlpm.r, MATCH(1,('3. Enter Indicator Scores'!$B$10:$B$161=$B93)*('3. Enter Indicator Scores'!$C$10:$C$161=$C93),0),
  _xlpm.c, MATCH(AJ$8,'3. Enter Indicator Scores'!$D$8:$CZ$8,0),
  _xlpm.v, IFERROR(INDEX('3. Enter Indicator Scores'!$D$10:$CZ$161,_xlpm.r,_xlpm.c),""),
  IF(OR(_xlpm.w="",_xlpm.v=""),"",_xlpm.v*_xlpm.w)
)</f>
        <v/>
      </c>
      <c r="AK93" s="93" t="str" cm="1">
        <f t="array" ref="AK93">_xlfn.LET(
  _xlpm.w, AK$11,
  _xlpm.r, MATCH(1,('3. Enter Indicator Scores'!$B$10:$B$161=$B93)*('3. Enter Indicator Scores'!$C$10:$C$161=$C93),0),
  _xlpm.c, MATCH(AK$8,'3. Enter Indicator Scores'!$D$8:$CZ$8,0),
  _xlpm.v, IFERROR(INDEX('3. Enter Indicator Scores'!$D$10:$CZ$161,_xlpm.r,_xlpm.c),""),
  IF(OR(_xlpm.w="",_xlpm.v=""),"",_xlpm.v*_xlpm.w)
)</f>
        <v/>
      </c>
      <c r="AL93" s="93" t="str" cm="1">
        <f t="array" ref="AL93">_xlfn.LET(
  _xlpm.w, AL$11,
  _xlpm.r, MATCH(1,('3. Enter Indicator Scores'!$B$10:$B$161=$B93)*('3. Enter Indicator Scores'!$C$10:$C$161=$C93),0),
  _xlpm.c, MATCH(AL$8,'3. Enter Indicator Scores'!$D$8:$CZ$8,0),
  _xlpm.v, IFERROR(INDEX('3. Enter Indicator Scores'!$D$10:$CZ$161,_xlpm.r,_xlpm.c),""),
  IF(OR(_xlpm.w="",_xlpm.v=""),"",_xlpm.v*_xlpm.w)
)</f>
        <v/>
      </c>
      <c r="AM93" s="93" t="str" cm="1">
        <f t="array" ref="AM93">_xlfn.LET(
  _xlpm.w, AM$11,
  _xlpm.r, MATCH(1,('3. Enter Indicator Scores'!$B$10:$B$161=$B93)*('3. Enter Indicator Scores'!$C$10:$C$161=$C93),0),
  _xlpm.c, MATCH(AM$8,'3. Enter Indicator Scores'!$D$8:$CZ$8,0),
  _xlpm.v, IFERROR(INDEX('3. Enter Indicator Scores'!$D$10:$CZ$161,_xlpm.r,_xlpm.c),""),
  IF(OR(_xlpm.w="",_xlpm.v=""),"",_xlpm.v*_xlpm.w)
)</f>
        <v/>
      </c>
      <c r="AN93" s="93" t="str" cm="1">
        <f t="array" ref="AN93">_xlfn.LET(
  _xlpm.w, AN$11,
  _xlpm.r, MATCH(1,('3. Enter Indicator Scores'!$B$10:$B$161=$B93)*('3. Enter Indicator Scores'!$C$10:$C$161=$C93),0),
  _xlpm.c, MATCH(AN$8,'3. Enter Indicator Scores'!$D$8:$CZ$8,0),
  _xlpm.v, IFERROR(INDEX('3. Enter Indicator Scores'!$D$10:$CZ$161,_xlpm.r,_xlpm.c),""),
  IF(OR(_xlpm.w="",_xlpm.v=""),"",_xlpm.v*_xlpm.w)
)</f>
        <v/>
      </c>
      <c r="AO93" s="93" t="str" cm="1">
        <f t="array" ref="AO93">_xlfn.LET(
  _xlpm.w, AO$11,
  _xlpm.r, MATCH(1,('3. Enter Indicator Scores'!$B$10:$B$161=$B93)*('3. Enter Indicator Scores'!$C$10:$C$161=$C93),0),
  _xlpm.c, MATCH(AO$8,'3. Enter Indicator Scores'!$D$8:$CZ$8,0),
  _xlpm.v, IFERROR(INDEX('3. Enter Indicator Scores'!$D$10:$CZ$161,_xlpm.r,_xlpm.c),""),
  IF(OR(_xlpm.w="",_xlpm.v=""),"",_xlpm.v*_xlpm.w)
)</f>
        <v/>
      </c>
      <c r="AP93" s="93" t="str" cm="1">
        <f t="array" ref="AP93">_xlfn.LET(
  _xlpm.w, AP$11,
  _xlpm.r, MATCH(1,('3. Enter Indicator Scores'!$B$10:$B$161=$B93)*('3. Enter Indicator Scores'!$C$10:$C$161=$C93),0),
  _xlpm.c, MATCH(AP$8,'3. Enter Indicator Scores'!$D$8:$CZ$8,0),
  _xlpm.v, IFERROR(INDEX('3. Enter Indicator Scores'!$D$10:$CZ$161,_xlpm.r,_xlpm.c),""),
  IF(OR(_xlpm.w="",_xlpm.v=""),"",_xlpm.v*_xlpm.w)
)</f>
        <v/>
      </c>
      <c r="AQ93" s="93" t="str" cm="1">
        <f t="array" ref="AQ93">_xlfn.LET(
  _xlpm.w, AQ$11,
  _xlpm.r, MATCH(1,('3. Enter Indicator Scores'!$B$10:$B$161=$B93)*('3. Enter Indicator Scores'!$C$10:$C$161=$C93),0),
  _xlpm.c, MATCH(AQ$8,'3. Enter Indicator Scores'!$D$8:$CZ$8,0),
  _xlpm.v, IFERROR(INDEX('3. Enter Indicator Scores'!$D$10:$CZ$161,_xlpm.r,_xlpm.c),""),
  IF(OR(_xlpm.w="",_xlpm.v=""),"",_xlpm.v*_xlpm.w)
)</f>
        <v/>
      </c>
      <c r="AR93" s="93" t="str" cm="1">
        <f t="array" ref="AR93">_xlfn.LET(
  _xlpm.w, AR$11,
  _xlpm.r, MATCH(1,('3. Enter Indicator Scores'!$B$10:$B$161=$B93)*('3. Enter Indicator Scores'!$C$10:$C$161=$C93),0),
  _xlpm.c, MATCH(AR$8,'3. Enter Indicator Scores'!$D$8:$CZ$8,0),
  _xlpm.v, IFERROR(INDEX('3. Enter Indicator Scores'!$D$10:$CZ$161,_xlpm.r,_xlpm.c),""),
  IF(OR(_xlpm.w="",_xlpm.v=""),"",_xlpm.v*_xlpm.w)
)</f>
        <v/>
      </c>
      <c r="AS93" s="93" t="str" cm="1">
        <f t="array" ref="AS93">_xlfn.LET(
  _xlpm.w, AS$11,
  _xlpm.r, MATCH(1,('3. Enter Indicator Scores'!$B$10:$B$161=$B93)*('3. Enter Indicator Scores'!$C$10:$C$161=$C93),0),
  _xlpm.c, MATCH(AS$8,'3. Enter Indicator Scores'!$D$8:$CZ$8,0),
  _xlpm.v, IFERROR(INDEX('3. Enter Indicator Scores'!$D$10:$CZ$161,_xlpm.r,_xlpm.c),""),
  IF(OR(_xlpm.w="",_xlpm.v=""),"",_xlpm.v*_xlpm.w)
)</f>
        <v/>
      </c>
      <c r="AT93" s="93" t="str" cm="1">
        <f t="array" ref="AT93">_xlfn.LET(
  _xlpm.w, AT$11,
  _xlpm.r, MATCH(1,('3. Enter Indicator Scores'!$B$10:$B$161=$B93)*('3. Enter Indicator Scores'!$C$10:$C$161=$C93),0),
  _xlpm.c, MATCH(AT$8,'3. Enter Indicator Scores'!$D$8:$CZ$8,0),
  _xlpm.v, IFERROR(INDEX('3. Enter Indicator Scores'!$D$10:$CZ$161,_xlpm.r,_xlpm.c),""),
  IF(OR(_xlpm.w="",_xlpm.v=""),"",_xlpm.v*_xlpm.w)
)</f>
        <v/>
      </c>
      <c r="AU93" s="93" t="str" cm="1">
        <f t="array" ref="AU93">_xlfn.LET(
  _xlpm.w, AU$11,
  _xlpm.r, MATCH(1,('3. Enter Indicator Scores'!$B$10:$B$161=$B93)*('3. Enter Indicator Scores'!$C$10:$C$161=$C93),0),
  _xlpm.c, MATCH(AU$8,'3. Enter Indicator Scores'!$D$8:$CZ$8,0),
  _xlpm.v, IFERROR(INDEX('3. Enter Indicator Scores'!$D$10:$CZ$161,_xlpm.r,_xlpm.c),""),
  IF(OR(_xlpm.w="",_xlpm.v=""),"",_xlpm.v*_xlpm.w)
)</f>
        <v/>
      </c>
      <c r="AV93" s="93" t="str" cm="1">
        <f t="array" ref="AV93">_xlfn.LET(
  _xlpm.w, AV$11,
  _xlpm.r, MATCH(1,('3. Enter Indicator Scores'!$B$10:$B$161=$B93)*('3. Enter Indicator Scores'!$C$10:$C$161=$C93),0),
  _xlpm.c, MATCH(AV$8,'3. Enter Indicator Scores'!$D$8:$CZ$8,0),
  _xlpm.v, IFERROR(INDEX('3. Enter Indicator Scores'!$D$10:$CZ$161,_xlpm.r,_xlpm.c),""),
  IF(OR(_xlpm.w="",_xlpm.v=""),"",_xlpm.v*_xlpm.w)
)</f>
        <v/>
      </c>
      <c r="AW93" s="93" t="str" cm="1">
        <f t="array" ref="AW93">_xlfn.LET(
  _xlpm.w, AW$11,
  _xlpm.r, MATCH(1,('3. Enter Indicator Scores'!$B$10:$B$161=$B93)*('3. Enter Indicator Scores'!$C$10:$C$161=$C93),0),
  _xlpm.c, MATCH(AW$8,'3. Enter Indicator Scores'!$D$8:$CZ$8,0),
  _xlpm.v, IFERROR(INDEX('3. Enter Indicator Scores'!$D$10:$CZ$161,_xlpm.r,_xlpm.c),""),
  IF(OR(_xlpm.w="",_xlpm.v=""),"",_xlpm.v*_xlpm.w)
)</f>
        <v/>
      </c>
      <c r="AX93" s="93" t="str" cm="1">
        <f t="array" ref="AX93">_xlfn.LET(
  _xlpm.w, AX$11,
  _xlpm.r, MATCH(1,('3. Enter Indicator Scores'!$B$10:$B$161=$B93)*('3. Enter Indicator Scores'!$C$10:$C$161=$C93),0),
  _xlpm.c, MATCH(AX$8,'3. Enter Indicator Scores'!$D$8:$CZ$8,0),
  _xlpm.v, IFERROR(INDEX('3. Enter Indicator Scores'!$D$10:$CZ$161,_xlpm.r,_xlpm.c),""),
  IF(OR(_xlpm.w="",_xlpm.v=""),"",_xlpm.v*_xlpm.w)
)</f>
        <v/>
      </c>
      <c r="AY93" s="93" t="str" cm="1">
        <f t="array" ref="AY93">_xlfn.LET(
  _xlpm.w, AY$11,
  _xlpm.r, MATCH(1,('3. Enter Indicator Scores'!$B$10:$B$161=$B93)*('3. Enter Indicator Scores'!$C$10:$C$161=$C93),0),
  _xlpm.c, MATCH(AY$8,'3. Enter Indicator Scores'!$D$8:$CZ$8,0),
  _xlpm.v, IFERROR(INDEX('3. Enter Indicator Scores'!$D$10:$CZ$161,_xlpm.r,_xlpm.c),""),
  IF(OR(_xlpm.w="",_xlpm.v=""),"",_xlpm.v*_xlpm.w)
)</f>
        <v/>
      </c>
      <c r="AZ93" s="93" t="str" cm="1">
        <f t="array" ref="AZ93">_xlfn.LET(
  _xlpm.w, AZ$11,
  _xlpm.r, MATCH(1,('3. Enter Indicator Scores'!$B$10:$B$161=$B93)*('3. Enter Indicator Scores'!$C$10:$C$161=$C93),0),
  _xlpm.c, MATCH(AZ$8,'3. Enter Indicator Scores'!$D$8:$CZ$8,0),
  _xlpm.v, IFERROR(INDEX('3. Enter Indicator Scores'!$D$10:$CZ$161,_xlpm.r,_xlpm.c),""),
  IF(OR(_xlpm.w="",_xlpm.v=""),"",_xlpm.v*_xlpm.w)
)</f>
        <v/>
      </c>
      <c r="BA93" s="93" t="str" cm="1">
        <f t="array" ref="BA93">_xlfn.LET(
  _xlpm.w, BA$11,
  _xlpm.r, MATCH(1,('3. Enter Indicator Scores'!$B$10:$B$161=$B93)*('3. Enter Indicator Scores'!$C$10:$C$161=$C93),0),
  _xlpm.c, MATCH(BA$8,'3. Enter Indicator Scores'!$D$8:$CZ$8,0),
  _xlpm.v, IFERROR(INDEX('3. Enter Indicator Scores'!$D$10:$CZ$161,_xlpm.r,_xlpm.c),""),
  IF(OR(_xlpm.w="",_xlpm.v=""),"",_xlpm.v*_xlpm.w)
)</f>
        <v/>
      </c>
      <c r="BB93" s="93" t="str" cm="1">
        <f t="array" ref="BB93">_xlfn.LET(
  _xlpm.w, BB$11,
  _xlpm.r, MATCH(1,('3. Enter Indicator Scores'!$B$10:$B$161=$B93)*('3. Enter Indicator Scores'!$C$10:$C$161=$C93),0),
  _xlpm.c, MATCH(BB$8,'3. Enter Indicator Scores'!$D$8:$CZ$8,0),
  _xlpm.v, IFERROR(INDEX('3. Enter Indicator Scores'!$D$10:$CZ$161,_xlpm.r,_xlpm.c),""),
  IF(OR(_xlpm.w="",_xlpm.v=""),"",_xlpm.v*_xlpm.w)
)</f>
        <v/>
      </c>
      <c r="BC93" s="93" t="str" cm="1">
        <f t="array" ref="BC93">_xlfn.LET(
  _xlpm.w, BC$11,
  _xlpm.r, MATCH(1,('3. Enter Indicator Scores'!$B$10:$B$161=$B93)*('3. Enter Indicator Scores'!$C$10:$C$161=$C93),0),
  _xlpm.c, MATCH(BC$8,'3. Enter Indicator Scores'!$D$8:$CZ$8,0),
  _xlpm.v, IFERROR(INDEX('3. Enter Indicator Scores'!$D$10:$CZ$161,_xlpm.r,_xlpm.c),""),
  IF(OR(_xlpm.w="",_xlpm.v=""),"",_xlpm.v*_xlpm.w)
)</f>
        <v/>
      </c>
      <c r="BD93" s="93" t="str" cm="1">
        <f t="array" ref="BD93">_xlfn.LET(
  _xlpm.w, BD$11,
  _xlpm.r, MATCH(1,('3. Enter Indicator Scores'!$B$10:$B$161=$B93)*('3. Enter Indicator Scores'!$C$10:$C$161=$C93),0),
  _xlpm.c, MATCH(BD$8,'3. Enter Indicator Scores'!$D$8:$CZ$8,0),
  _xlpm.v, IFERROR(INDEX('3. Enter Indicator Scores'!$D$10:$CZ$161,_xlpm.r,_xlpm.c),""),
  IF(OR(_xlpm.w="",_xlpm.v=""),"",_xlpm.v*_xlpm.w)
)</f>
        <v/>
      </c>
      <c r="BE93" s="93" t="str" cm="1">
        <f t="array" ref="BE93">_xlfn.LET(
  _xlpm.w, BE$11,
  _xlpm.r, MATCH(1,('3. Enter Indicator Scores'!$B$10:$B$161=$B93)*('3. Enter Indicator Scores'!$C$10:$C$161=$C93),0),
  _xlpm.c, MATCH(BE$8,'3. Enter Indicator Scores'!$D$8:$CZ$8,0),
  _xlpm.v, IFERROR(INDEX('3. Enter Indicator Scores'!$D$10:$CZ$161,_xlpm.r,_xlpm.c),""),
  IF(OR(_xlpm.w="",_xlpm.v=""),"",_xlpm.v*_xlpm.w)
)</f>
        <v/>
      </c>
      <c r="BF93" s="93" t="str" cm="1">
        <f t="array" ref="BF93">_xlfn.LET(
  _xlpm.w, BF$11,
  _xlpm.r, MATCH(1,('3. Enter Indicator Scores'!$B$10:$B$161=$B93)*('3. Enter Indicator Scores'!$C$10:$C$161=$C93),0),
  _xlpm.c, MATCH(BF$8,'3. Enter Indicator Scores'!$D$8:$CZ$8,0),
  _xlpm.v, IFERROR(INDEX('3. Enter Indicator Scores'!$D$10:$CZ$161,_xlpm.r,_xlpm.c),""),
  IF(OR(_xlpm.w="",_xlpm.v=""),"",_xlpm.v*_xlpm.w)
)</f>
        <v/>
      </c>
      <c r="BG93" s="93" t="str" cm="1">
        <f t="array" ref="BG93">_xlfn.LET(
  _xlpm.w, BG$11,
  _xlpm.r, MATCH(1,('3. Enter Indicator Scores'!$B$10:$B$161=$B93)*('3. Enter Indicator Scores'!$C$10:$C$161=$C93),0),
  _xlpm.c, MATCH(BG$8,'3. Enter Indicator Scores'!$D$8:$CZ$8,0),
  _xlpm.v, IFERROR(INDEX('3. Enter Indicator Scores'!$D$10:$CZ$161,_xlpm.r,_xlpm.c),""),
  IF(OR(_xlpm.w="",_xlpm.v=""),"",_xlpm.v*_xlpm.w)
)</f>
        <v/>
      </c>
      <c r="BH93" s="93" t="str" cm="1">
        <f t="array" ref="BH93">_xlfn.LET(
  _xlpm.w, BH$11,
  _xlpm.r, MATCH(1,('3. Enter Indicator Scores'!$B$10:$B$161=$B93)*('3. Enter Indicator Scores'!$C$10:$C$161=$C93),0),
  _xlpm.c, MATCH(BH$8,'3. Enter Indicator Scores'!$D$8:$CZ$8,0),
  _xlpm.v, IFERROR(INDEX('3. Enter Indicator Scores'!$D$10:$CZ$161,_xlpm.r,_xlpm.c),""),
  IF(OR(_xlpm.w="",_xlpm.v=""),"",_xlpm.v*_xlpm.w)
)</f>
        <v/>
      </c>
      <c r="BI93" s="93" t="str" cm="1">
        <f t="array" ref="BI93">_xlfn.LET(
  _xlpm.w, BI$11,
  _xlpm.r, MATCH(1,('3. Enter Indicator Scores'!$B$10:$B$161=$B93)*('3. Enter Indicator Scores'!$C$10:$C$161=$C93),0),
  _xlpm.c, MATCH(BI$8,'3. Enter Indicator Scores'!$D$8:$CZ$8,0),
  _xlpm.v, IFERROR(INDEX('3. Enter Indicator Scores'!$D$10:$CZ$161,_xlpm.r,_xlpm.c),""),
  IF(OR(_xlpm.w="",_xlpm.v=""),"",_xlpm.v*_xlpm.w)
)</f>
        <v/>
      </c>
      <c r="BJ93" s="93" t="str" cm="1">
        <f t="array" ref="BJ93">_xlfn.LET(
  _xlpm.w, BJ$11,
  _xlpm.r, MATCH(1,('3. Enter Indicator Scores'!$B$10:$B$161=$B93)*('3. Enter Indicator Scores'!$C$10:$C$161=$C93),0),
  _xlpm.c, MATCH(BJ$8,'3. Enter Indicator Scores'!$D$8:$CZ$8,0),
  _xlpm.v, IFERROR(INDEX('3. Enter Indicator Scores'!$D$10:$CZ$161,_xlpm.r,_xlpm.c),""),
  IF(OR(_xlpm.w="",_xlpm.v=""),"",_xlpm.v*_xlpm.w)
)</f>
        <v/>
      </c>
      <c r="BK93" s="93" t="str" cm="1">
        <f t="array" ref="BK93">_xlfn.LET(
  _xlpm.w, BK$11,
  _xlpm.r, MATCH(1,('3. Enter Indicator Scores'!$B$10:$B$161=$B93)*('3. Enter Indicator Scores'!$C$10:$C$161=$C93),0),
  _xlpm.c, MATCH(BK$8,'3. Enter Indicator Scores'!$D$8:$CZ$8,0),
  _xlpm.v, IFERROR(INDEX('3. Enter Indicator Scores'!$D$10:$CZ$161,_xlpm.r,_xlpm.c),""),
  IF(OR(_xlpm.w="",_xlpm.v=""),"",_xlpm.v*_xlpm.w)
)</f>
        <v/>
      </c>
      <c r="BL93" s="93" t="str" cm="1">
        <f t="array" ref="BL93">_xlfn.LET(
  _xlpm.w, BL$11,
  _xlpm.r, MATCH(1,('3. Enter Indicator Scores'!$B$10:$B$161=$B93)*('3. Enter Indicator Scores'!$C$10:$C$161=$C93),0),
  _xlpm.c, MATCH(BL$8,'3. Enter Indicator Scores'!$D$8:$CZ$8,0),
  _xlpm.v, IFERROR(INDEX('3. Enter Indicator Scores'!$D$10:$CZ$161,_xlpm.r,_xlpm.c),""),
  IF(OR(_xlpm.w="",_xlpm.v=""),"",_xlpm.v*_xlpm.w)
)</f>
        <v/>
      </c>
      <c r="BM93" s="93" t="str" cm="1">
        <f t="array" ref="BM93">_xlfn.LET(
  _xlpm.w, BM$11,
  _xlpm.r, MATCH(1,('3. Enter Indicator Scores'!$B$10:$B$161=$B93)*('3. Enter Indicator Scores'!$C$10:$C$161=$C93),0),
  _xlpm.c, MATCH(BM$8,'3. Enter Indicator Scores'!$D$8:$CZ$8,0),
  _xlpm.v, IFERROR(INDEX('3. Enter Indicator Scores'!$D$10:$CZ$161,_xlpm.r,_xlpm.c),""),
  IF(OR(_xlpm.w="",_xlpm.v=""),"",_xlpm.v*_xlpm.w)
)</f>
        <v/>
      </c>
      <c r="BN93" s="93" t="str" cm="1">
        <f t="array" ref="BN93">_xlfn.LET(
  _xlpm.w, BN$11,
  _xlpm.r, MATCH(1,('3. Enter Indicator Scores'!$B$10:$B$161=$B93)*('3. Enter Indicator Scores'!$C$10:$C$161=$C93),0),
  _xlpm.c, MATCH(BN$8,'3. Enter Indicator Scores'!$D$8:$CZ$8,0),
  _xlpm.v, IFERROR(INDEX('3. Enter Indicator Scores'!$D$10:$CZ$161,_xlpm.r,_xlpm.c),""),
  IF(OR(_xlpm.w="",_xlpm.v=""),"",_xlpm.v*_xlpm.w)
)</f>
        <v/>
      </c>
      <c r="BO93" s="93" t="str" cm="1">
        <f t="array" ref="BO93">_xlfn.LET(
  _xlpm.w, BO$11,
  _xlpm.r, MATCH(1,('3. Enter Indicator Scores'!$B$10:$B$161=$B93)*('3. Enter Indicator Scores'!$C$10:$C$161=$C93),0),
  _xlpm.c, MATCH(BO$8,'3. Enter Indicator Scores'!$D$8:$CZ$8,0),
  _xlpm.v, IFERROR(INDEX('3. Enter Indicator Scores'!$D$10:$CZ$161,_xlpm.r,_xlpm.c),""),
  IF(OR(_xlpm.w="",_xlpm.v=""),"",_xlpm.v*_xlpm.w)
)</f>
        <v/>
      </c>
      <c r="BP93" s="93" t="str" cm="1">
        <f t="array" ref="BP93">_xlfn.LET(
  _xlpm.w, BP$11,
  _xlpm.r, MATCH(1,('3. Enter Indicator Scores'!$B$10:$B$161=$B93)*('3. Enter Indicator Scores'!$C$10:$C$161=$C93),0),
  _xlpm.c, MATCH(BP$8,'3. Enter Indicator Scores'!$D$8:$CZ$8,0),
  _xlpm.v, IFERROR(INDEX('3. Enter Indicator Scores'!$D$10:$CZ$161,_xlpm.r,_xlpm.c),""),
  IF(OR(_xlpm.w="",_xlpm.v=""),"",_xlpm.v*_xlpm.w)
)</f>
        <v/>
      </c>
      <c r="BQ93" s="93" t="str" cm="1">
        <f t="array" ref="BQ93">_xlfn.LET(
  _xlpm.w, BQ$11,
  _xlpm.r, MATCH(1,('3. Enter Indicator Scores'!$B$10:$B$161=$B93)*('3. Enter Indicator Scores'!$C$10:$C$161=$C93),0),
  _xlpm.c, MATCH(BQ$8,'3. Enter Indicator Scores'!$D$8:$CZ$8,0),
  _xlpm.v, IFERROR(INDEX('3. Enter Indicator Scores'!$D$10:$CZ$161,_xlpm.r,_xlpm.c),""),
  IF(OR(_xlpm.w="",_xlpm.v=""),"",_xlpm.v*_xlpm.w)
)</f>
        <v/>
      </c>
      <c r="BR93" s="93" t="str" cm="1">
        <f t="array" ref="BR93">_xlfn.LET(
  _xlpm.w, BR$11,
  _xlpm.r, MATCH(1,('3. Enter Indicator Scores'!$B$10:$B$161=$B93)*('3. Enter Indicator Scores'!$C$10:$C$161=$C93),0),
  _xlpm.c, MATCH(BR$8,'3. Enter Indicator Scores'!$D$8:$CZ$8,0),
  _xlpm.v, IFERROR(INDEX('3. Enter Indicator Scores'!$D$10:$CZ$161,_xlpm.r,_xlpm.c),""),
  IF(OR(_xlpm.w="",_xlpm.v=""),"",_xlpm.v*_xlpm.w)
)</f>
        <v/>
      </c>
      <c r="BS93" s="93" t="str" cm="1">
        <f t="array" ref="BS93">_xlfn.LET(
  _xlpm.w, BS$11,
  _xlpm.r, MATCH(1,('3. Enter Indicator Scores'!$B$10:$B$161=$B93)*('3. Enter Indicator Scores'!$C$10:$C$161=$C93),0),
  _xlpm.c, MATCH(BS$8,'3. Enter Indicator Scores'!$D$8:$CZ$8,0),
  _xlpm.v, IFERROR(INDEX('3. Enter Indicator Scores'!$D$10:$CZ$161,_xlpm.r,_xlpm.c),""),
  IF(OR(_xlpm.w="",_xlpm.v=""),"",_xlpm.v*_xlpm.w)
)</f>
        <v/>
      </c>
      <c r="BT93" s="93" t="str" cm="1">
        <f t="array" ref="BT93">_xlfn.LET(
  _xlpm.w, BT$11,
  _xlpm.r, MATCH(1,('3. Enter Indicator Scores'!$B$10:$B$161=$B93)*('3. Enter Indicator Scores'!$C$10:$C$161=$C93),0),
  _xlpm.c, MATCH(BT$8,'3. Enter Indicator Scores'!$D$8:$CZ$8,0),
  _xlpm.v, IFERROR(INDEX('3. Enter Indicator Scores'!$D$10:$CZ$161,_xlpm.r,_xlpm.c),""),
  IF(OR(_xlpm.w="",_xlpm.v=""),"",_xlpm.v*_xlpm.w)
)</f>
        <v/>
      </c>
      <c r="BU93" s="93" t="str" cm="1">
        <f t="array" ref="BU93">_xlfn.LET(
  _xlpm.w, BU$11,
  _xlpm.r, MATCH(1,('3. Enter Indicator Scores'!$B$10:$B$161=$B93)*('3. Enter Indicator Scores'!$C$10:$C$161=$C93),0),
  _xlpm.c, MATCH(BU$8,'3. Enter Indicator Scores'!$D$8:$CZ$8,0),
  _xlpm.v, IFERROR(INDEX('3. Enter Indicator Scores'!$D$10:$CZ$161,_xlpm.r,_xlpm.c),""),
  IF(OR(_xlpm.w="",_xlpm.v=""),"",_xlpm.v*_xlpm.w)
)</f>
        <v/>
      </c>
      <c r="BV93" s="93" t="str" cm="1">
        <f t="array" ref="BV93">_xlfn.LET(
  _xlpm.w, BV$11,
  _xlpm.r, MATCH(1,('3. Enter Indicator Scores'!$B$10:$B$161=$B93)*('3. Enter Indicator Scores'!$C$10:$C$161=$C93),0),
  _xlpm.c, MATCH(BV$8,'3. Enter Indicator Scores'!$D$8:$CZ$8,0),
  _xlpm.v, IFERROR(INDEX('3. Enter Indicator Scores'!$D$10:$CZ$161,_xlpm.r,_xlpm.c),""),
  IF(OR(_xlpm.w="",_xlpm.v=""),"",_xlpm.v*_xlpm.w)
)</f>
        <v/>
      </c>
      <c r="BW93" s="93" t="str" cm="1">
        <f t="array" ref="BW93">_xlfn.LET(
  _xlpm.w, BW$11,
  _xlpm.r, MATCH(1,('3. Enter Indicator Scores'!$B$10:$B$161=$B93)*('3. Enter Indicator Scores'!$C$10:$C$161=$C93),0),
  _xlpm.c, MATCH(BW$8,'3. Enter Indicator Scores'!$D$8:$CZ$8,0),
  _xlpm.v, IFERROR(INDEX('3. Enter Indicator Scores'!$D$10:$CZ$161,_xlpm.r,_xlpm.c),""),
  IF(OR(_xlpm.w="",_xlpm.v=""),"",_xlpm.v*_xlpm.w)
)</f>
        <v/>
      </c>
      <c r="BX93" s="93" t="str" cm="1">
        <f t="array" ref="BX93">_xlfn.LET(
  _xlpm.w, BX$11,
  _xlpm.r, MATCH(1,('3. Enter Indicator Scores'!$B$10:$B$161=$B93)*('3. Enter Indicator Scores'!$C$10:$C$161=$C93),0),
  _xlpm.c, MATCH(BX$8,'3. Enter Indicator Scores'!$D$8:$CZ$8,0),
  _xlpm.v, IFERROR(INDEX('3. Enter Indicator Scores'!$D$10:$CZ$161,_xlpm.r,_xlpm.c),""),
  IF(OR(_xlpm.w="",_xlpm.v=""),"",_xlpm.v*_xlpm.w)
)</f>
        <v/>
      </c>
      <c r="BY93" s="93" t="str" cm="1">
        <f t="array" ref="BY93">_xlfn.LET(
  _xlpm.w, BY$11,
  _xlpm.r, MATCH(1,('3. Enter Indicator Scores'!$B$10:$B$161=$B93)*('3. Enter Indicator Scores'!$C$10:$C$161=$C93),0),
  _xlpm.c, MATCH(BY$8,'3. Enter Indicator Scores'!$D$8:$CZ$8,0),
  _xlpm.v, IFERROR(INDEX('3. Enter Indicator Scores'!$D$10:$CZ$161,_xlpm.r,_xlpm.c),""),
  IF(OR(_xlpm.w="",_xlpm.v=""),"",_xlpm.v*_xlpm.w)
)</f>
        <v/>
      </c>
      <c r="BZ93" s="93" t="str" cm="1">
        <f t="array" ref="BZ93">_xlfn.LET(
  _xlpm.w, BZ$11,
  _xlpm.r, MATCH(1,('3. Enter Indicator Scores'!$B$10:$B$161=$B93)*('3. Enter Indicator Scores'!$C$10:$C$161=$C93),0),
  _xlpm.c, MATCH(BZ$8,'3. Enter Indicator Scores'!$D$8:$CZ$8,0),
  _xlpm.v, IFERROR(INDEX('3. Enter Indicator Scores'!$D$10:$CZ$161,_xlpm.r,_xlpm.c),""),
  IF(OR(_xlpm.w="",_xlpm.v=""),"",_xlpm.v*_xlpm.w)
)</f>
        <v/>
      </c>
      <c r="CA93" s="93" t="str" cm="1">
        <f t="array" ref="CA93">_xlfn.LET(
  _xlpm.w, CA$11,
  _xlpm.r, MATCH(1,('3. Enter Indicator Scores'!$B$10:$B$161=$B93)*('3. Enter Indicator Scores'!$C$10:$C$161=$C93),0),
  _xlpm.c, MATCH(CA$8,'3. Enter Indicator Scores'!$D$8:$CZ$8,0),
  _xlpm.v, IFERROR(INDEX('3. Enter Indicator Scores'!$D$10:$CZ$161,_xlpm.r,_xlpm.c),""),
  IF(OR(_xlpm.w="",_xlpm.v=""),"",_xlpm.v*_xlpm.w)
)</f>
        <v/>
      </c>
      <c r="CB93" s="93" t="str" cm="1">
        <f t="array" ref="CB93">_xlfn.LET(
  _xlpm.w, CB$11,
  _xlpm.r, MATCH(1,('3. Enter Indicator Scores'!$B$10:$B$161=$B93)*('3. Enter Indicator Scores'!$C$10:$C$161=$C93),0),
  _xlpm.c, MATCH(CB$8,'3. Enter Indicator Scores'!$D$8:$CZ$8,0),
  _xlpm.v, IFERROR(INDEX('3. Enter Indicator Scores'!$D$10:$CZ$161,_xlpm.r,_xlpm.c),""),
  IF(OR(_xlpm.w="",_xlpm.v=""),"",_xlpm.v*_xlpm.w)
)</f>
        <v/>
      </c>
      <c r="CC93" s="93" t="str" cm="1">
        <f t="array" ref="CC93">_xlfn.LET(
  _xlpm.w, CC$11,
  _xlpm.r, MATCH(1,('3. Enter Indicator Scores'!$B$10:$B$161=$B93)*('3. Enter Indicator Scores'!$C$10:$C$161=$C93),0),
  _xlpm.c, MATCH(CC$8,'3. Enter Indicator Scores'!$D$8:$CZ$8,0),
  _xlpm.v, IFERROR(INDEX('3. Enter Indicator Scores'!$D$10:$CZ$161,_xlpm.r,_xlpm.c),""),
  IF(OR(_xlpm.w="",_xlpm.v=""),"",_xlpm.v*_xlpm.w)
)</f>
        <v/>
      </c>
      <c r="CD93" s="93" t="str" cm="1">
        <f t="array" ref="CD93">_xlfn.LET(
  _xlpm.w, CD$11,
  _xlpm.r, MATCH(1,('3. Enter Indicator Scores'!$B$10:$B$161=$B93)*('3. Enter Indicator Scores'!$C$10:$C$161=$C93),0),
  _xlpm.c, MATCH(CD$8,'3. Enter Indicator Scores'!$D$8:$CZ$8,0),
  _xlpm.v, IFERROR(INDEX('3. Enter Indicator Scores'!$D$10:$CZ$161,_xlpm.r,_xlpm.c),""),
  IF(OR(_xlpm.w="",_xlpm.v=""),"",_xlpm.v*_xlpm.w)
)</f>
        <v/>
      </c>
      <c r="CE93" s="93" t="str" cm="1">
        <f t="array" ref="CE93">_xlfn.LET(
  _xlpm.w, CE$11,
  _xlpm.r, MATCH(1,('3. Enter Indicator Scores'!$B$10:$B$161=$B93)*('3. Enter Indicator Scores'!$C$10:$C$161=$C93),0),
  _xlpm.c, MATCH(CE$8,'3. Enter Indicator Scores'!$D$8:$CZ$8,0),
  _xlpm.v, IFERROR(INDEX('3. Enter Indicator Scores'!$D$10:$CZ$161,_xlpm.r,_xlpm.c),""),
  IF(OR(_xlpm.w="",_xlpm.v=""),"",_xlpm.v*_xlpm.w)
)</f>
        <v/>
      </c>
      <c r="CF93" s="93" t="str" cm="1">
        <f t="array" ref="CF93">_xlfn.LET(
  _xlpm.w, CF$11,
  _xlpm.r, MATCH(1,('3. Enter Indicator Scores'!$B$10:$B$161=$B93)*('3. Enter Indicator Scores'!$C$10:$C$161=$C93),0),
  _xlpm.c, MATCH(CF$8,'3. Enter Indicator Scores'!$D$8:$CZ$8,0),
  _xlpm.v, IFERROR(INDEX('3. Enter Indicator Scores'!$D$10:$CZ$161,_xlpm.r,_xlpm.c),""),
  IF(OR(_xlpm.w="",_xlpm.v=""),"",_xlpm.v*_xlpm.w)
)</f>
        <v/>
      </c>
      <c r="CG93" s="93" t="str" cm="1">
        <f t="array" ref="CG93">_xlfn.LET(
  _xlpm.w, CG$11,
  _xlpm.r, MATCH(1,('3. Enter Indicator Scores'!$B$10:$B$161=$B93)*('3. Enter Indicator Scores'!$C$10:$C$161=$C93),0),
  _xlpm.c, MATCH(CG$8,'3. Enter Indicator Scores'!$D$8:$CZ$8,0),
  _xlpm.v, IFERROR(INDEX('3. Enter Indicator Scores'!$D$10:$CZ$161,_xlpm.r,_xlpm.c),""),
  IF(OR(_xlpm.w="",_xlpm.v=""),"",_xlpm.v*_xlpm.w)
)</f>
        <v/>
      </c>
      <c r="CH93" s="93" t="str" cm="1">
        <f t="array" ref="CH93">_xlfn.LET(
  _xlpm.w, CH$11,
  _xlpm.r, MATCH(1,('3. Enter Indicator Scores'!$B$10:$B$161=$B93)*('3. Enter Indicator Scores'!$C$10:$C$161=$C93),0),
  _xlpm.c, MATCH(CH$8,'3. Enter Indicator Scores'!$D$8:$CZ$8,0),
  _xlpm.v, IFERROR(INDEX('3. Enter Indicator Scores'!$D$10:$CZ$161,_xlpm.r,_xlpm.c),""),
  IF(OR(_xlpm.w="",_xlpm.v=""),"",_xlpm.v*_xlpm.w)
)</f>
        <v/>
      </c>
      <c r="CI93" s="93" t="str" cm="1">
        <f t="array" ref="CI93">_xlfn.LET(
  _xlpm.w, CI$11,
  _xlpm.r, MATCH(1,('3. Enter Indicator Scores'!$B$10:$B$161=$B93)*('3. Enter Indicator Scores'!$C$10:$C$161=$C93),0),
  _xlpm.c, MATCH(CI$8,'3. Enter Indicator Scores'!$D$8:$CZ$8,0),
  _xlpm.v, IFERROR(INDEX('3. Enter Indicator Scores'!$D$10:$CZ$161,_xlpm.r,_xlpm.c),""),
  IF(OR(_xlpm.w="",_xlpm.v=""),"",_xlpm.v*_xlpm.w)
)</f>
        <v/>
      </c>
      <c r="CJ93" s="93" t="str" cm="1">
        <f t="array" ref="CJ93">_xlfn.LET(
  _xlpm.w, CJ$11,
  _xlpm.r, MATCH(1,('3. Enter Indicator Scores'!$B$10:$B$161=$B93)*('3. Enter Indicator Scores'!$C$10:$C$161=$C93),0),
  _xlpm.c, MATCH(CJ$8,'3. Enter Indicator Scores'!$D$8:$CZ$8,0),
  _xlpm.v, IFERROR(INDEX('3. Enter Indicator Scores'!$D$10:$CZ$161,_xlpm.r,_xlpm.c),""),
  IF(OR(_xlpm.w="",_xlpm.v=""),"",_xlpm.v*_xlpm.w)
)</f>
        <v/>
      </c>
      <c r="CK93" s="93" t="str" cm="1">
        <f t="array" ref="CK93">_xlfn.LET(
  _xlpm.w, CK$11,
  _xlpm.r, MATCH(1,('3. Enter Indicator Scores'!$B$10:$B$161=$B93)*('3. Enter Indicator Scores'!$C$10:$C$161=$C93),0),
  _xlpm.c, MATCH(CK$8,'3. Enter Indicator Scores'!$D$8:$CZ$8,0),
  _xlpm.v, IFERROR(INDEX('3. Enter Indicator Scores'!$D$10:$CZ$161,_xlpm.r,_xlpm.c),""),
  IF(OR(_xlpm.w="",_xlpm.v=""),"",_xlpm.v*_xlpm.w)
)</f>
        <v/>
      </c>
      <c r="CL93" s="93" t="str" cm="1">
        <f t="array" ref="CL93">_xlfn.LET(
  _xlpm.w, CL$11,
  _xlpm.r, MATCH(1,('3. Enter Indicator Scores'!$B$10:$B$161=$B93)*('3. Enter Indicator Scores'!$C$10:$C$161=$C93),0),
  _xlpm.c, MATCH(CL$8,'3. Enter Indicator Scores'!$D$8:$CZ$8,0),
  _xlpm.v, IFERROR(INDEX('3. Enter Indicator Scores'!$D$10:$CZ$161,_xlpm.r,_xlpm.c),""),
  IF(OR(_xlpm.w="",_xlpm.v=""),"",_xlpm.v*_xlpm.w)
)</f>
        <v/>
      </c>
      <c r="CM93" s="93" t="str" cm="1">
        <f t="array" ref="CM93">_xlfn.LET(
  _xlpm.w, CM$11,
  _xlpm.r, MATCH(1,('3. Enter Indicator Scores'!$B$10:$B$161=$B93)*('3. Enter Indicator Scores'!$C$10:$C$161=$C93),0),
  _xlpm.c, MATCH(CM$8,'3. Enter Indicator Scores'!$D$8:$CZ$8,0),
  _xlpm.v, IFERROR(INDEX('3. Enter Indicator Scores'!$D$10:$CZ$161,_xlpm.r,_xlpm.c),""),
  IF(OR(_xlpm.w="",_xlpm.v=""),"",_xlpm.v*_xlpm.w)
)</f>
        <v/>
      </c>
      <c r="CN93" s="93" t="str" cm="1">
        <f t="array" ref="CN93">_xlfn.LET(
  _xlpm.w, CN$11,
  _xlpm.r, MATCH(1,('3. Enter Indicator Scores'!$B$10:$B$161=$B93)*('3. Enter Indicator Scores'!$C$10:$C$161=$C93),0),
  _xlpm.c, MATCH(CN$8,'3. Enter Indicator Scores'!$D$8:$CZ$8,0),
  _xlpm.v, IFERROR(INDEX('3. Enter Indicator Scores'!$D$10:$CZ$161,_xlpm.r,_xlpm.c),""),
  IF(OR(_xlpm.w="",_xlpm.v=""),"",_xlpm.v*_xlpm.w)
)</f>
        <v/>
      </c>
      <c r="CO93" s="93" t="str" cm="1">
        <f t="array" ref="CO93">_xlfn.LET(
  _xlpm.w, CO$11,
  _xlpm.r, MATCH(1,('3. Enter Indicator Scores'!$B$10:$B$161=$B93)*('3. Enter Indicator Scores'!$C$10:$C$161=$C93),0),
  _xlpm.c, MATCH(CO$8,'3. Enter Indicator Scores'!$D$8:$CZ$8,0),
  _xlpm.v, IFERROR(INDEX('3. Enter Indicator Scores'!$D$10:$CZ$161,_xlpm.r,_xlpm.c),""),
  IF(OR(_xlpm.w="",_xlpm.v=""),"",_xlpm.v*_xlpm.w)
)</f>
        <v/>
      </c>
      <c r="CP93" s="93" t="str" cm="1">
        <f t="array" ref="CP93">_xlfn.LET(
  _xlpm.w, CP$11,
  _xlpm.r, MATCH(1,('3. Enter Indicator Scores'!$B$10:$B$161=$B93)*('3. Enter Indicator Scores'!$C$10:$C$161=$C93),0),
  _xlpm.c, MATCH(CP$8,'3. Enter Indicator Scores'!$D$8:$CZ$8,0),
  _xlpm.v, IFERROR(INDEX('3. Enter Indicator Scores'!$D$10:$CZ$161,_xlpm.r,_xlpm.c),""),
  IF(OR(_xlpm.w="",_xlpm.v=""),"",_xlpm.v*_xlpm.w)
)</f>
        <v/>
      </c>
      <c r="CQ93" s="93" t="str" cm="1">
        <f t="array" ref="CQ93">_xlfn.LET(
  _xlpm.w, CQ$11,
  _xlpm.r, MATCH(1,('3. Enter Indicator Scores'!$B$10:$B$161=$B93)*('3. Enter Indicator Scores'!$C$10:$C$161=$C93),0),
  _xlpm.c, MATCH(CQ$8,'3. Enter Indicator Scores'!$D$8:$CZ$8,0),
  _xlpm.v, IFERROR(INDEX('3. Enter Indicator Scores'!$D$10:$CZ$161,_xlpm.r,_xlpm.c),""),
  IF(OR(_xlpm.w="",_xlpm.v=""),"",_xlpm.v*_xlpm.w)
)</f>
        <v/>
      </c>
      <c r="CR93" s="93" t="str" cm="1">
        <f t="array" ref="CR93">_xlfn.LET(
  _xlpm.w, CR$11,
  _xlpm.r, MATCH(1,('3. Enter Indicator Scores'!$B$10:$B$161=$B93)*('3. Enter Indicator Scores'!$C$10:$C$161=$C93),0),
  _xlpm.c, MATCH(CR$8,'3. Enter Indicator Scores'!$D$8:$CZ$8,0),
  _xlpm.v, IFERROR(INDEX('3. Enter Indicator Scores'!$D$10:$CZ$161,_xlpm.r,_xlpm.c),""),
  IF(OR(_xlpm.w="",_xlpm.v=""),"",_xlpm.v*_xlpm.w)
)</f>
        <v/>
      </c>
      <c r="CS93" s="93" t="str" cm="1">
        <f t="array" ref="CS93">_xlfn.LET(
  _xlpm.w, CS$11,
  _xlpm.r, MATCH(1,('3. Enter Indicator Scores'!$B$10:$B$161=$B93)*('3. Enter Indicator Scores'!$C$10:$C$161=$C93),0),
  _xlpm.c, MATCH(CS$8,'3. Enter Indicator Scores'!$D$8:$CZ$8,0),
  _xlpm.v, IFERROR(INDEX('3. Enter Indicator Scores'!$D$10:$CZ$161,_xlpm.r,_xlpm.c),""),
  IF(OR(_xlpm.w="",_xlpm.v=""),"",_xlpm.v*_xlpm.w)
)</f>
        <v/>
      </c>
      <c r="CT93" s="93" t="str" cm="1">
        <f t="array" ref="CT93">_xlfn.LET(
  _xlpm.w, CT$11,
  _xlpm.r, MATCH(1,('3. Enter Indicator Scores'!$B$10:$B$161=$B93)*('3. Enter Indicator Scores'!$C$10:$C$161=$C93),0),
  _xlpm.c, MATCH(CT$8,'3. Enter Indicator Scores'!$D$8:$CZ$8,0),
  _xlpm.v, IFERROR(INDEX('3. Enter Indicator Scores'!$D$10:$CZ$161,_xlpm.r,_xlpm.c),""),
  IF(OR(_xlpm.w="",_xlpm.v=""),"",_xlpm.v*_xlpm.w)
)</f>
        <v/>
      </c>
      <c r="CU93" s="93" t="str" cm="1">
        <f t="array" ref="CU93">_xlfn.LET(
  _xlpm.w, CU$11,
  _xlpm.r, MATCH(1,('3. Enter Indicator Scores'!$B$10:$B$161=$B93)*('3. Enter Indicator Scores'!$C$10:$C$161=$C93),0),
  _xlpm.c, MATCH(CU$8,'3. Enter Indicator Scores'!$D$8:$CZ$8,0),
  _xlpm.v, IFERROR(INDEX('3. Enter Indicator Scores'!$D$10:$CZ$161,_xlpm.r,_xlpm.c),""),
  IF(OR(_xlpm.w="",_xlpm.v=""),"",_xlpm.v*_xlpm.w)
)</f>
        <v/>
      </c>
      <c r="CV93" s="93" t="str" cm="1">
        <f t="array" ref="CV93">_xlfn.LET(
  _xlpm.w, CV$11,
  _xlpm.r, MATCH(1,('3. Enter Indicator Scores'!$B$10:$B$161=$B93)*('3. Enter Indicator Scores'!$C$10:$C$161=$C93),0),
  _xlpm.c, MATCH(CV$8,'3. Enter Indicator Scores'!$D$8:$CZ$8,0),
  _xlpm.v, IFERROR(INDEX('3. Enter Indicator Scores'!$D$10:$CZ$161,_xlpm.r,_xlpm.c),""),
  IF(OR(_xlpm.w="",_xlpm.v=""),"",_xlpm.v*_xlpm.w)
)</f>
        <v/>
      </c>
      <c r="CW93" s="93" t="str" cm="1">
        <f t="array" ref="CW93">_xlfn.LET(
  _xlpm.w, CW$11,
  _xlpm.r, MATCH(1,('3. Enter Indicator Scores'!$B$10:$B$161=$B93)*('3. Enter Indicator Scores'!$C$10:$C$161=$C93),0),
  _xlpm.c, MATCH(CW$8,'3. Enter Indicator Scores'!$D$8:$CZ$8,0),
  _xlpm.v, IFERROR(INDEX('3. Enter Indicator Scores'!$D$10:$CZ$161,_xlpm.r,_xlpm.c),""),
  IF(OR(_xlpm.w="",_xlpm.v=""),"",_xlpm.v*_xlpm.w)
)</f>
        <v/>
      </c>
      <c r="CX93" s="93" t="str" cm="1">
        <f t="array" ref="CX93">_xlfn.LET(
  _xlpm.w, CX$11,
  _xlpm.r, MATCH(1,('3. Enter Indicator Scores'!$B$10:$B$161=$B93)*('3. Enter Indicator Scores'!$C$10:$C$161=$C93),0),
  _xlpm.c, MATCH(CX$8,'3. Enter Indicator Scores'!$D$8:$CZ$8,0),
  _xlpm.v, IFERROR(INDEX('3. Enter Indicator Scores'!$D$10:$CZ$161,_xlpm.r,_xlpm.c),""),
  IF(OR(_xlpm.w="",_xlpm.v=""),"",_xlpm.v*_xlpm.w)
)</f>
        <v/>
      </c>
      <c r="CY93" s="93" t="str" cm="1">
        <f t="array" ref="CY93">_xlfn.LET(
  _xlpm.w, CY$11,
  _xlpm.r, MATCH(1,('3. Enter Indicator Scores'!$B$10:$B$161=$B93)*('3. Enter Indicator Scores'!$C$10:$C$161=$C93),0),
  _xlpm.c, MATCH(CY$8,'3. Enter Indicator Scores'!$D$8:$CZ$8,0),
  _xlpm.v, IFERROR(INDEX('3. Enter Indicator Scores'!$D$10:$CZ$161,_xlpm.r,_xlpm.c),""),
  IF(OR(_xlpm.w="",_xlpm.v=""),"",_xlpm.v*_xlpm.w)
)</f>
        <v/>
      </c>
      <c r="CZ93" s="93" t="str" cm="1">
        <f t="array" ref="CZ93">_xlfn.LET(
  _xlpm.w, CZ$11,
  _xlpm.r, MATCH(1,('3. Enter Indicator Scores'!$B$10:$B$161=$B93)*('3. Enter Indicator Scores'!$C$10:$C$161=$C93),0),
  _xlpm.c, MATCH(CZ$8,'3. Enter Indicator Scores'!$D$8:$CZ$8,0),
  _xlpm.v, IFERROR(INDEX('3. Enter Indicator Scores'!$D$10:$CZ$161,_xlpm.r,_xlpm.c),""),
  IF(OR(_xlpm.w="",_xlpm.v=""),"",_xlpm.v*_xlpm.w)
)</f>
        <v/>
      </c>
    </row>
    <row r="94" spans="4:104" x14ac:dyDescent="0.2">
      <c r="D94" s="93" t="str" cm="1">
        <f t="array" ref="D94">_xlfn.LET(
  _xlpm.w, D$11,
  _xlpm.r, MATCH(1,('3. Enter Indicator Scores'!$B$10:$B$161=$B94)*('3. Enter Indicator Scores'!$C$10:$C$161=$C94),0),
  _xlpm.c, MATCH(D$8,'3. Enter Indicator Scores'!$D$8:$CZ$8,0),
  _xlpm.v, IFERROR(INDEX('3. Enter Indicator Scores'!$D$10:$CZ$161,_xlpm.r,_xlpm.c),""),
  IF(OR(_xlpm.w="",_xlpm.v=""),"",_xlpm.v*_xlpm.w)
)</f>
        <v/>
      </c>
      <c r="E94" s="93" t="str" cm="1">
        <f t="array" ref="E94">_xlfn.LET(
  _xlpm.w, E$11,
  _xlpm.r, MATCH(1,('3. Enter Indicator Scores'!$B$10:$B$161=$B94)*('3. Enter Indicator Scores'!$C$10:$C$161=$C94),0),
  _xlpm.c, MATCH(E$8,'3. Enter Indicator Scores'!$D$8:$CZ$8,0),
  _xlpm.v, IFERROR(INDEX('3. Enter Indicator Scores'!$D$10:$CZ$161,_xlpm.r,_xlpm.c),""),
  IF(OR(_xlpm.w="",_xlpm.v=""),"",_xlpm.v*_xlpm.w)
)</f>
        <v/>
      </c>
      <c r="F94" s="93" t="str" cm="1">
        <f t="array" ref="F94">_xlfn.LET(
  _xlpm.w, F$11,
  _xlpm.r, MATCH(1,('3. Enter Indicator Scores'!$B$10:$B$161=$B94)*('3. Enter Indicator Scores'!$C$10:$C$161=$C94),0),
  _xlpm.c, MATCH(F$8,'3. Enter Indicator Scores'!$D$8:$CZ$8,0),
  _xlpm.v, IFERROR(INDEX('3. Enter Indicator Scores'!$D$10:$CZ$161,_xlpm.r,_xlpm.c),""),
  IF(OR(_xlpm.w="",_xlpm.v=""),"",_xlpm.v*_xlpm.w)
)</f>
        <v/>
      </c>
      <c r="G94" s="93" t="str" cm="1">
        <f t="array" ref="G94">_xlfn.LET(
  _xlpm.w, G$11,
  _xlpm.r, MATCH(1,('3. Enter Indicator Scores'!$B$10:$B$161=$B94)*('3. Enter Indicator Scores'!$C$10:$C$161=$C94),0),
  _xlpm.c, MATCH(G$8,'3. Enter Indicator Scores'!$D$8:$CZ$8,0),
  _xlpm.v, IFERROR(INDEX('3. Enter Indicator Scores'!$D$10:$CZ$161,_xlpm.r,_xlpm.c),""),
  IF(OR(_xlpm.w="",_xlpm.v=""),"",_xlpm.v*_xlpm.w)
)</f>
        <v/>
      </c>
      <c r="H94" s="93" t="str" cm="1">
        <f t="array" ref="H94">_xlfn.LET(
  _xlpm.w, H$11,
  _xlpm.r, MATCH(1,('3. Enter Indicator Scores'!$B$10:$B$161=$B94)*('3. Enter Indicator Scores'!$C$10:$C$161=$C94),0),
  _xlpm.c, MATCH(H$8,'3. Enter Indicator Scores'!$D$8:$CZ$8,0),
  _xlpm.v, IFERROR(INDEX('3. Enter Indicator Scores'!$D$10:$CZ$161,_xlpm.r,_xlpm.c),""),
  IF(OR(_xlpm.w="",_xlpm.v=""),"",_xlpm.v*_xlpm.w)
)</f>
        <v/>
      </c>
      <c r="I94" s="93" t="str" cm="1">
        <f t="array" ref="I94">_xlfn.LET(
  _xlpm.w, I$11,
  _xlpm.r, MATCH(1,('3. Enter Indicator Scores'!$B$10:$B$161=$B94)*('3. Enter Indicator Scores'!$C$10:$C$161=$C94),0),
  _xlpm.c, MATCH(I$8,'3. Enter Indicator Scores'!$D$8:$CZ$8,0),
  _xlpm.v, IFERROR(INDEX('3. Enter Indicator Scores'!$D$10:$CZ$161,_xlpm.r,_xlpm.c),""),
  IF(OR(_xlpm.w="",_xlpm.v=""),"",_xlpm.v*_xlpm.w)
)</f>
        <v/>
      </c>
      <c r="J94" s="93" t="str" cm="1">
        <f t="array" ref="J94">_xlfn.LET(
  _xlpm.w, J$11,
  _xlpm.r, MATCH(1,('3. Enter Indicator Scores'!$B$10:$B$161=$B94)*('3. Enter Indicator Scores'!$C$10:$C$161=$C94),0),
  _xlpm.c, MATCH(J$8,'3. Enter Indicator Scores'!$D$8:$CZ$8,0),
  _xlpm.v, IFERROR(INDEX('3. Enter Indicator Scores'!$D$10:$CZ$161,_xlpm.r,_xlpm.c),""),
  IF(OR(_xlpm.w="",_xlpm.v=""),"",_xlpm.v*_xlpm.w)
)</f>
        <v/>
      </c>
      <c r="K94" s="93" t="str" cm="1">
        <f t="array" ref="K94">_xlfn.LET(
  _xlpm.w, K$11,
  _xlpm.r, MATCH(1,('3. Enter Indicator Scores'!$B$10:$B$161=$B94)*('3. Enter Indicator Scores'!$C$10:$C$161=$C94),0),
  _xlpm.c, MATCH(K$8,'3. Enter Indicator Scores'!$D$8:$CZ$8,0),
  _xlpm.v, IFERROR(INDEX('3. Enter Indicator Scores'!$D$10:$CZ$161,_xlpm.r,_xlpm.c),""),
  IF(OR(_xlpm.w="",_xlpm.v=""),"",_xlpm.v*_xlpm.w)
)</f>
        <v/>
      </c>
      <c r="L94" s="93" t="str" cm="1">
        <f t="array" ref="L94">_xlfn.LET(
  _xlpm.w, L$11,
  _xlpm.r, MATCH(1,('3. Enter Indicator Scores'!$B$10:$B$161=$B94)*('3. Enter Indicator Scores'!$C$10:$C$161=$C94),0),
  _xlpm.c, MATCH(L$8,'3. Enter Indicator Scores'!$D$8:$CZ$8,0),
  _xlpm.v, IFERROR(INDEX('3. Enter Indicator Scores'!$D$10:$CZ$161,_xlpm.r,_xlpm.c),""),
  IF(OR(_xlpm.w="",_xlpm.v=""),"",_xlpm.v*_xlpm.w)
)</f>
        <v/>
      </c>
      <c r="M94" s="93" t="str" cm="1">
        <f t="array" ref="M94">_xlfn.LET(
  _xlpm.w, M$11,
  _xlpm.r, MATCH(1,('3. Enter Indicator Scores'!$B$10:$B$161=$B94)*('3. Enter Indicator Scores'!$C$10:$C$161=$C94),0),
  _xlpm.c, MATCH(M$8,'3. Enter Indicator Scores'!$D$8:$CZ$8,0),
  _xlpm.v, IFERROR(INDEX('3. Enter Indicator Scores'!$D$10:$CZ$161,_xlpm.r,_xlpm.c),""),
  IF(OR(_xlpm.w="",_xlpm.v=""),"",_xlpm.v*_xlpm.w)
)</f>
        <v/>
      </c>
      <c r="N94" s="93" t="str" cm="1">
        <f t="array" ref="N94">_xlfn.LET(
  _xlpm.w, N$11,
  _xlpm.r, MATCH(1,('3. Enter Indicator Scores'!$B$10:$B$161=$B94)*('3. Enter Indicator Scores'!$C$10:$C$161=$C94),0),
  _xlpm.c, MATCH(N$8,'3. Enter Indicator Scores'!$D$8:$CZ$8,0),
  _xlpm.v, IFERROR(INDEX('3. Enter Indicator Scores'!$D$10:$CZ$161,_xlpm.r,_xlpm.c),""),
  IF(OR(_xlpm.w="",_xlpm.v=""),"",_xlpm.v*_xlpm.w)
)</f>
        <v/>
      </c>
      <c r="O94" s="93" t="str" cm="1">
        <f t="array" ref="O94">_xlfn.LET(
  _xlpm.w, O$11,
  _xlpm.r, MATCH(1,('3. Enter Indicator Scores'!$B$10:$B$161=$B94)*('3. Enter Indicator Scores'!$C$10:$C$161=$C94),0),
  _xlpm.c, MATCH(O$8,'3. Enter Indicator Scores'!$D$8:$CZ$8,0),
  _xlpm.v, IFERROR(INDEX('3. Enter Indicator Scores'!$D$10:$CZ$161,_xlpm.r,_xlpm.c),""),
  IF(OR(_xlpm.w="",_xlpm.v=""),"",_xlpm.v*_xlpm.w)
)</f>
        <v/>
      </c>
      <c r="P94" s="93" t="str" cm="1">
        <f t="array" ref="P94">_xlfn.LET(
  _xlpm.w, P$11,
  _xlpm.r, MATCH(1,('3. Enter Indicator Scores'!$B$10:$B$161=$B94)*('3. Enter Indicator Scores'!$C$10:$C$161=$C94),0),
  _xlpm.c, MATCH(P$8,'3. Enter Indicator Scores'!$D$8:$CZ$8,0),
  _xlpm.v, IFERROR(INDEX('3. Enter Indicator Scores'!$D$10:$CZ$161,_xlpm.r,_xlpm.c),""),
  IF(OR(_xlpm.w="",_xlpm.v=""),"",_xlpm.v*_xlpm.w)
)</f>
        <v/>
      </c>
      <c r="Q94" s="93" t="str" cm="1">
        <f t="array" ref="Q94">_xlfn.LET(
  _xlpm.w, Q$11,
  _xlpm.r, MATCH(1,('3. Enter Indicator Scores'!$B$10:$B$161=$B94)*('3. Enter Indicator Scores'!$C$10:$C$161=$C94),0),
  _xlpm.c, MATCH(Q$8,'3. Enter Indicator Scores'!$D$8:$CZ$8,0),
  _xlpm.v, IFERROR(INDEX('3. Enter Indicator Scores'!$D$10:$CZ$161,_xlpm.r,_xlpm.c),""),
  IF(OR(_xlpm.w="",_xlpm.v=""),"",_xlpm.v*_xlpm.w)
)</f>
        <v/>
      </c>
      <c r="R94" s="93" t="str" cm="1">
        <f t="array" ref="R94">_xlfn.LET(
  _xlpm.w, R$11,
  _xlpm.r, MATCH(1,('3. Enter Indicator Scores'!$B$10:$B$161=$B94)*('3. Enter Indicator Scores'!$C$10:$C$161=$C94),0),
  _xlpm.c, MATCH(R$8,'3. Enter Indicator Scores'!$D$8:$CZ$8,0),
  _xlpm.v, IFERROR(INDEX('3. Enter Indicator Scores'!$D$10:$CZ$161,_xlpm.r,_xlpm.c),""),
  IF(OR(_xlpm.w="",_xlpm.v=""),"",_xlpm.v*_xlpm.w)
)</f>
        <v/>
      </c>
      <c r="S94" s="93" t="str" cm="1">
        <f t="array" ref="S94">_xlfn.LET(
  _xlpm.w, S$11,
  _xlpm.r, MATCH(1,('3. Enter Indicator Scores'!$B$10:$B$161=$B94)*('3. Enter Indicator Scores'!$C$10:$C$161=$C94),0),
  _xlpm.c, MATCH(S$8,'3. Enter Indicator Scores'!$D$8:$CZ$8,0),
  _xlpm.v, IFERROR(INDEX('3. Enter Indicator Scores'!$D$10:$CZ$161,_xlpm.r,_xlpm.c),""),
  IF(OR(_xlpm.w="",_xlpm.v=""),"",_xlpm.v*_xlpm.w)
)</f>
        <v/>
      </c>
      <c r="T94" s="93" t="str" cm="1">
        <f t="array" ref="T94">_xlfn.LET(
  _xlpm.w, T$11,
  _xlpm.r, MATCH(1,('3. Enter Indicator Scores'!$B$10:$B$161=$B94)*('3. Enter Indicator Scores'!$C$10:$C$161=$C94),0),
  _xlpm.c, MATCH(T$8,'3. Enter Indicator Scores'!$D$8:$CZ$8,0),
  _xlpm.v, IFERROR(INDEX('3. Enter Indicator Scores'!$D$10:$CZ$161,_xlpm.r,_xlpm.c),""),
  IF(OR(_xlpm.w="",_xlpm.v=""),"",_xlpm.v*_xlpm.w)
)</f>
        <v/>
      </c>
      <c r="U94" s="93" t="str" cm="1">
        <f t="array" ref="U94">_xlfn.LET(
  _xlpm.w, U$11,
  _xlpm.r, MATCH(1,('3. Enter Indicator Scores'!$B$10:$B$161=$B94)*('3. Enter Indicator Scores'!$C$10:$C$161=$C94),0),
  _xlpm.c, MATCH(U$8,'3. Enter Indicator Scores'!$D$8:$CZ$8,0),
  _xlpm.v, IFERROR(INDEX('3. Enter Indicator Scores'!$D$10:$CZ$161,_xlpm.r,_xlpm.c),""),
  IF(OR(_xlpm.w="",_xlpm.v=""),"",_xlpm.v*_xlpm.w)
)</f>
        <v/>
      </c>
      <c r="V94" s="93" t="str" cm="1">
        <f t="array" ref="V94">_xlfn.LET(
  _xlpm.w, V$11,
  _xlpm.r, MATCH(1,('3. Enter Indicator Scores'!$B$10:$B$161=$B94)*('3. Enter Indicator Scores'!$C$10:$C$161=$C94),0),
  _xlpm.c, MATCH(V$8,'3. Enter Indicator Scores'!$D$8:$CZ$8,0),
  _xlpm.v, IFERROR(INDEX('3. Enter Indicator Scores'!$D$10:$CZ$161,_xlpm.r,_xlpm.c),""),
  IF(OR(_xlpm.w="",_xlpm.v=""),"",_xlpm.v*_xlpm.w)
)</f>
        <v/>
      </c>
      <c r="W94" s="93" t="str" cm="1">
        <f t="array" ref="W94">_xlfn.LET(
  _xlpm.w, W$11,
  _xlpm.r, MATCH(1,('3. Enter Indicator Scores'!$B$10:$B$161=$B94)*('3. Enter Indicator Scores'!$C$10:$C$161=$C94),0),
  _xlpm.c, MATCH(W$8,'3. Enter Indicator Scores'!$D$8:$CZ$8,0),
  _xlpm.v, IFERROR(INDEX('3. Enter Indicator Scores'!$D$10:$CZ$161,_xlpm.r,_xlpm.c),""),
  IF(OR(_xlpm.w="",_xlpm.v=""),"",_xlpm.v*_xlpm.w)
)</f>
        <v/>
      </c>
      <c r="X94" s="93" t="str" cm="1">
        <f t="array" ref="X94">_xlfn.LET(
  _xlpm.w, X$11,
  _xlpm.r, MATCH(1,('3. Enter Indicator Scores'!$B$10:$B$161=$B94)*('3. Enter Indicator Scores'!$C$10:$C$161=$C94),0),
  _xlpm.c, MATCH(X$8,'3. Enter Indicator Scores'!$D$8:$CZ$8,0),
  _xlpm.v, IFERROR(INDEX('3. Enter Indicator Scores'!$D$10:$CZ$161,_xlpm.r,_xlpm.c),""),
  IF(OR(_xlpm.w="",_xlpm.v=""),"",_xlpm.v*_xlpm.w)
)</f>
        <v/>
      </c>
      <c r="Y94" s="93" t="str" cm="1">
        <f t="array" ref="Y94">_xlfn.LET(
  _xlpm.w, Y$11,
  _xlpm.r, MATCH(1,('3. Enter Indicator Scores'!$B$10:$B$161=$B94)*('3. Enter Indicator Scores'!$C$10:$C$161=$C94),0),
  _xlpm.c, MATCH(Y$8,'3. Enter Indicator Scores'!$D$8:$CZ$8,0),
  _xlpm.v, IFERROR(INDEX('3. Enter Indicator Scores'!$D$10:$CZ$161,_xlpm.r,_xlpm.c),""),
  IF(OR(_xlpm.w="",_xlpm.v=""),"",_xlpm.v*_xlpm.w)
)</f>
        <v/>
      </c>
      <c r="Z94" s="93" t="str" cm="1">
        <f t="array" ref="Z94">_xlfn.LET(
  _xlpm.w, Z$11,
  _xlpm.r, MATCH(1,('3. Enter Indicator Scores'!$B$10:$B$161=$B94)*('3. Enter Indicator Scores'!$C$10:$C$161=$C94),0),
  _xlpm.c, MATCH(Z$8,'3. Enter Indicator Scores'!$D$8:$CZ$8,0),
  _xlpm.v, IFERROR(INDEX('3. Enter Indicator Scores'!$D$10:$CZ$161,_xlpm.r,_xlpm.c),""),
  IF(OR(_xlpm.w="",_xlpm.v=""),"",_xlpm.v*_xlpm.w)
)</f>
        <v/>
      </c>
      <c r="AA94" s="93" t="str" cm="1">
        <f t="array" ref="AA94">_xlfn.LET(
  _xlpm.w, AA$11,
  _xlpm.r, MATCH(1,('3. Enter Indicator Scores'!$B$10:$B$161=$B94)*('3. Enter Indicator Scores'!$C$10:$C$161=$C94),0),
  _xlpm.c, MATCH(AA$8,'3. Enter Indicator Scores'!$D$8:$CZ$8,0),
  _xlpm.v, IFERROR(INDEX('3. Enter Indicator Scores'!$D$10:$CZ$161,_xlpm.r,_xlpm.c),""),
  IF(OR(_xlpm.w="",_xlpm.v=""),"",_xlpm.v*_xlpm.w)
)</f>
        <v/>
      </c>
      <c r="AB94" s="93" t="str" cm="1">
        <f t="array" ref="AB94">_xlfn.LET(
  _xlpm.w, AB$11,
  _xlpm.r, MATCH(1,('3. Enter Indicator Scores'!$B$10:$B$161=$B94)*('3. Enter Indicator Scores'!$C$10:$C$161=$C94),0),
  _xlpm.c, MATCH(AB$8,'3. Enter Indicator Scores'!$D$8:$CZ$8,0),
  _xlpm.v, IFERROR(INDEX('3. Enter Indicator Scores'!$D$10:$CZ$161,_xlpm.r,_xlpm.c),""),
  IF(OR(_xlpm.w="",_xlpm.v=""),"",_xlpm.v*_xlpm.w)
)</f>
        <v/>
      </c>
      <c r="AC94" s="93" t="str" cm="1">
        <f t="array" ref="AC94">_xlfn.LET(
  _xlpm.w, AC$11,
  _xlpm.r, MATCH(1,('3. Enter Indicator Scores'!$B$10:$B$161=$B94)*('3. Enter Indicator Scores'!$C$10:$C$161=$C94),0),
  _xlpm.c, MATCH(AC$8,'3. Enter Indicator Scores'!$D$8:$CZ$8,0),
  _xlpm.v, IFERROR(INDEX('3. Enter Indicator Scores'!$D$10:$CZ$161,_xlpm.r,_xlpm.c),""),
  IF(OR(_xlpm.w="",_xlpm.v=""),"",_xlpm.v*_xlpm.w)
)</f>
        <v/>
      </c>
      <c r="AD94" s="93" t="str" cm="1">
        <f t="array" ref="AD94">_xlfn.LET(
  _xlpm.w, AD$11,
  _xlpm.r, MATCH(1,('3. Enter Indicator Scores'!$B$10:$B$161=$B94)*('3. Enter Indicator Scores'!$C$10:$C$161=$C94),0),
  _xlpm.c, MATCH(AD$8,'3. Enter Indicator Scores'!$D$8:$CZ$8,0),
  _xlpm.v, IFERROR(INDEX('3. Enter Indicator Scores'!$D$10:$CZ$161,_xlpm.r,_xlpm.c),""),
  IF(OR(_xlpm.w="",_xlpm.v=""),"",_xlpm.v*_xlpm.w)
)</f>
        <v/>
      </c>
      <c r="AE94" s="93" t="str" cm="1">
        <f t="array" ref="AE94">_xlfn.LET(
  _xlpm.w, AE$11,
  _xlpm.r, MATCH(1,('3. Enter Indicator Scores'!$B$10:$B$161=$B94)*('3. Enter Indicator Scores'!$C$10:$C$161=$C94),0),
  _xlpm.c, MATCH(AE$8,'3. Enter Indicator Scores'!$D$8:$CZ$8,0),
  _xlpm.v, IFERROR(INDEX('3. Enter Indicator Scores'!$D$10:$CZ$161,_xlpm.r,_xlpm.c),""),
  IF(OR(_xlpm.w="",_xlpm.v=""),"",_xlpm.v*_xlpm.w)
)</f>
        <v/>
      </c>
      <c r="AF94" s="93" t="str" cm="1">
        <f t="array" ref="AF94">_xlfn.LET(
  _xlpm.w, AF$11,
  _xlpm.r, MATCH(1,('3. Enter Indicator Scores'!$B$10:$B$161=$B94)*('3. Enter Indicator Scores'!$C$10:$C$161=$C94),0),
  _xlpm.c, MATCH(AF$8,'3. Enter Indicator Scores'!$D$8:$CZ$8,0),
  _xlpm.v, IFERROR(INDEX('3. Enter Indicator Scores'!$D$10:$CZ$161,_xlpm.r,_xlpm.c),""),
  IF(OR(_xlpm.w="",_xlpm.v=""),"",_xlpm.v*_xlpm.w)
)</f>
        <v/>
      </c>
      <c r="AG94" s="93" t="str" cm="1">
        <f t="array" ref="AG94">_xlfn.LET(
  _xlpm.w, AG$11,
  _xlpm.r, MATCH(1,('3. Enter Indicator Scores'!$B$10:$B$161=$B94)*('3. Enter Indicator Scores'!$C$10:$C$161=$C94),0),
  _xlpm.c, MATCH(AG$8,'3. Enter Indicator Scores'!$D$8:$CZ$8,0),
  _xlpm.v, IFERROR(INDEX('3. Enter Indicator Scores'!$D$10:$CZ$161,_xlpm.r,_xlpm.c),""),
  IF(OR(_xlpm.w="",_xlpm.v=""),"",_xlpm.v*_xlpm.w)
)</f>
        <v/>
      </c>
      <c r="AH94" s="93" t="str" cm="1">
        <f t="array" ref="AH94">_xlfn.LET(
  _xlpm.w, AH$11,
  _xlpm.r, MATCH(1,('3. Enter Indicator Scores'!$B$10:$B$161=$B94)*('3. Enter Indicator Scores'!$C$10:$C$161=$C94),0),
  _xlpm.c, MATCH(AH$8,'3. Enter Indicator Scores'!$D$8:$CZ$8,0),
  _xlpm.v, IFERROR(INDEX('3. Enter Indicator Scores'!$D$10:$CZ$161,_xlpm.r,_xlpm.c),""),
  IF(OR(_xlpm.w="",_xlpm.v=""),"",_xlpm.v*_xlpm.w)
)</f>
        <v/>
      </c>
      <c r="AI94" s="93" t="str" cm="1">
        <f t="array" ref="AI94">_xlfn.LET(
  _xlpm.w, AI$11,
  _xlpm.r, MATCH(1,('3. Enter Indicator Scores'!$B$10:$B$161=$B94)*('3. Enter Indicator Scores'!$C$10:$C$161=$C94),0),
  _xlpm.c, MATCH(AI$8,'3. Enter Indicator Scores'!$D$8:$CZ$8,0),
  _xlpm.v, IFERROR(INDEX('3. Enter Indicator Scores'!$D$10:$CZ$161,_xlpm.r,_xlpm.c),""),
  IF(OR(_xlpm.w="",_xlpm.v=""),"",_xlpm.v*_xlpm.w)
)</f>
        <v/>
      </c>
      <c r="AJ94" s="93" t="str" cm="1">
        <f t="array" ref="AJ94">_xlfn.LET(
  _xlpm.w, AJ$11,
  _xlpm.r, MATCH(1,('3. Enter Indicator Scores'!$B$10:$B$161=$B94)*('3. Enter Indicator Scores'!$C$10:$C$161=$C94),0),
  _xlpm.c, MATCH(AJ$8,'3. Enter Indicator Scores'!$D$8:$CZ$8,0),
  _xlpm.v, IFERROR(INDEX('3. Enter Indicator Scores'!$D$10:$CZ$161,_xlpm.r,_xlpm.c),""),
  IF(OR(_xlpm.w="",_xlpm.v=""),"",_xlpm.v*_xlpm.w)
)</f>
        <v/>
      </c>
      <c r="AK94" s="93" t="str" cm="1">
        <f t="array" ref="AK94">_xlfn.LET(
  _xlpm.w, AK$11,
  _xlpm.r, MATCH(1,('3. Enter Indicator Scores'!$B$10:$B$161=$B94)*('3. Enter Indicator Scores'!$C$10:$C$161=$C94),0),
  _xlpm.c, MATCH(AK$8,'3. Enter Indicator Scores'!$D$8:$CZ$8,0),
  _xlpm.v, IFERROR(INDEX('3. Enter Indicator Scores'!$D$10:$CZ$161,_xlpm.r,_xlpm.c),""),
  IF(OR(_xlpm.w="",_xlpm.v=""),"",_xlpm.v*_xlpm.w)
)</f>
        <v/>
      </c>
      <c r="AL94" s="93" t="str" cm="1">
        <f t="array" ref="AL94">_xlfn.LET(
  _xlpm.w, AL$11,
  _xlpm.r, MATCH(1,('3. Enter Indicator Scores'!$B$10:$B$161=$B94)*('3. Enter Indicator Scores'!$C$10:$C$161=$C94),0),
  _xlpm.c, MATCH(AL$8,'3. Enter Indicator Scores'!$D$8:$CZ$8,0),
  _xlpm.v, IFERROR(INDEX('3. Enter Indicator Scores'!$D$10:$CZ$161,_xlpm.r,_xlpm.c),""),
  IF(OR(_xlpm.w="",_xlpm.v=""),"",_xlpm.v*_xlpm.w)
)</f>
        <v/>
      </c>
      <c r="AM94" s="93" t="str" cm="1">
        <f t="array" ref="AM94">_xlfn.LET(
  _xlpm.w, AM$11,
  _xlpm.r, MATCH(1,('3. Enter Indicator Scores'!$B$10:$B$161=$B94)*('3. Enter Indicator Scores'!$C$10:$C$161=$C94),0),
  _xlpm.c, MATCH(AM$8,'3. Enter Indicator Scores'!$D$8:$CZ$8,0),
  _xlpm.v, IFERROR(INDEX('3. Enter Indicator Scores'!$D$10:$CZ$161,_xlpm.r,_xlpm.c),""),
  IF(OR(_xlpm.w="",_xlpm.v=""),"",_xlpm.v*_xlpm.w)
)</f>
        <v/>
      </c>
      <c r="AN94" s="93" t="str" cm="1">
        <f t="array" ref="AN94">_xlfn.LET(
  _xlpm.w, AN$11,
  _xlpm.r, MATCH(1,('3. Enter Indicator Scores'!$B$10:$B$161=$B94)*('3. Enter Indicator Scores'!$C$10:$C$161=$C94),0),
  _xlpm.c, MATCH(AN$8,'3. Enter Indicator Scores'!$D$8:$CZ$8,0),
  _xlpm.v, IFERROR(INDEX('3. Enter Indicator Scores'!$D$10:$CZ$161,_xlpm.r,_xlpm.c),""),
  IF(OR(_xlpm.w="",_xlpm.v=""),"",_xlpm.v*_xlpm.w)
)</f>
        <v/>
      </c>
      <c r="AO94" s="93" t="str" cm="1">
        <f t="array" ref="AO94">_xlfn.LET(
  _xlpm.w, AO$11,
  _xlpm.r, MATCH(1,('3. Enter Indicator Scores'!$B$10:$B$161=$B94)*('3. Enter Indicator Scores'!$C$10:$C$161=$C94),0),
  _xlpm.c, MATCH(AO$8,'3. Enter Indicator Scores'!$D$8:$CZ$8,0),
  _xlpm.v, IFERROR(INDEX('3. Enter Indicator Scores'!$D$10:$CZ$161,_xlpm.r,_xlpm.c),""),
  IF(OR(_xlpm.w="",_xlpm.v=""),"",_xlpm.v*_xlpm.w)
)</f>
        <v/>
      </c>
      <c r="AP94" s="93" t="str" cm="1">
        <f t="array" ref="AP94">_xlfn.LET(
  _xlpm.w, AP$11,
  _xlpm.r, MATCH(1,('3. Enter Indicator Scores'!$B$10:$B$161=$B94)*('3. Enter Indicator Scores'!$C$10:$C$161=$C94),0),
  _xlpm.c, MATCH(AP$8,'3. Enter Indicator Scores'!$D$8:$CZ$8,0),
  _xlpm.v, IFERROR(INDEX('3. Enter Indicator Scores'!$D$10:$CZ$161,_xlpm.r,_xlpm.c),""),
  IF(OR(_xlpm.w="",_xlpm.v=""),"",_xlpm.v*_xlpm.w)
)</f>
        <v/>
      </c>
      <c r="AQ94" s="93" t="str" cm="1">
        <f t="array" ref="AQ94">_xlfn.LET(
  _xlpm.w, AQ$11,
  _xlpm.r, MATCH(1,('3. Enter Indicator Scores'!$B$10:$B$161=$B94)*('3. Enter Indicator Scores'!$C$10:$C$161=$C94),0),
  _xlpm.c, MATCH(AQ$8,'3. Enter Indicator Scores'!$D$8:$CZ$8,0),
  _xlpm.v, IFERROR(INDEX('3. Enter Indicator Scores'!$D$10:$CZ$161,_xlpm.r,_xlpm.c),""),
  IF(OR(_xlpm.w="",_xlpm.v=""),"",_xlpm.v*_xlpm.w)
)</f>
        <v/>
      </c>
      <c r="AR94" s="93" t="str" cm="1">
        <f t="array" ref="AR94">_xlfn.LET(
  _xlpm.w, AR$11,
  _xlpm.r, MATCH(1,('3. Enter Indicator Scores'!$B$10:$B$161=$B94)*('3. Enter Indicator Scores'!$C$10:$C$161=$C94),0),
  _xlpm.c, MATCH(AR$8,'3. Enter Indicator Scores'!$D$8:$CZ$8,0),
  _xlpm.v, IFERROR(INDEX('3. Enter Indicator Scores'!$D$10:$CZ$161,_xlpm.r,_xlpm.c),""),
  IF(OR(_xlpm.w="",_xlpm.v=""),"",_xlpm.v*_xlpm.w)
)</f>
        <v/>
      </c>
      <c r="AS94" s="93" t="str" cm="1">
        <f t="array" ref="AS94">_xlfn.LET(
  _xlpm.w, AS$11,
  _xlpm.r, MATCH(1,('3. Enter Indicator Scores'!$B$10:$B$161=$B94)*('3. Enter Indicator Scores'!$C$10:$C$161=$C94),0),
  _xlpm.c, MATCH(AS$8,'3. Enter Indicator Scores'!$D$8:$CZ$8,0),
  _xlpm.v, IFERROR(INDEX('3. Enter Indicator Scores'!$D$10:$CZ$161,_xlpm.r,_xlpm.c),""),
  IF(OR(_xlpm.w="",_xlpm.v=""),"",_xlpm.v*_xlpm.w)
)</f>
        <v/>
      </c>
      <c r="AT94" s="93" t="str" cm="1">
        <f t="array" ref="AT94">_xlfn.LET(
  _xlpm.w, AT$11,
  _xlpm.r, MATCH(1,('3. Enter Indicator Scores'!$B$10:$B$161=$B94)*('3. Enter Indicator Scores'!$C$10:$C$161=$C94),0),
  _xlpm.c, MATCH(AT$8,'3. Enter Indicator Scores'!$D$8:$CZ$8,0),
  _xlpm.v, IFERROR(INDEX('3. Enter Indicator Scores'!$D$10:$CZ$161,_xlpm.r,_xlpm.c),""),
  IF(OR(_xlpm.w="",_xlpm.v=""),"",_xlpm.v*_xlpm.w)
)</f>
        <v/>
      </c>
      <c r="AU94" s="93" t="str" cm="1">
        <f t="array" ref="AU94">_xlfn.LET(
  _xlpm.w, AU$11,
  _xlpm.r, MATCH(1,('3. Enter Indicator Scores'!$B$10:$B$161=$B94)*('3. Enter Indicator Scores'!$C$10:$C$161=$C94),0),
  _xlpm.c, MATCH(AU$8,'3. Enter Indicator Scores'!$D$8:$CZ$8,0),
  _xlpm.v, IFERROR(INDEX('3. Enter Indicator Scores'!$D$10:$CZ$161,_xlpm.r,_xlpm.c),""),
  IF(OR(_xlpm.w="",_xlpm.v=""),"",_xlpm.v*_xlpm.w)
)</f>
        <v/>
      </c>
      <c r="AV94" s="93" t="str" cm="1">
        <f t="array" ref="AV94">_xlfn.LET(
  _xlpm.w, AV$11,
  _xlpm.r, MATCH(1,('3. Enter Indicator Scores'!$B$10:$B$161=$B94)*('3. Enter Indicator Scores'!$C$10:$C$161=$C94),0),
  _xlpm.c, MATCH(AV$8,'3. Enter Indicator Scores'!$D$8:$CZ$8,0),
  _xlpm.v, IFERROR(INDEX('3. Enter Indicator Scores'!$D$10:$CZ$161,_xlpm.r,_xlpm.c),""),
  IF(OR(_xlpm.w="",_xlpm.v=""),"",_xlpm.v*_xlpm.w)
)</f>
        <v/>
      </c>
      <c r="AW94" s="93" t="str" cm="1">
        <f t="array" ref="AW94">_xlfn.LET(
  _xlpm.w, AW$11,
  _xlpm.r, MATCH(1,('3. Enter Indicator Scores'!$B$10:$B$161=$B94)*('3. Enter Indicator Scores'!$C$10:$C$161=$C94),0),
  _xlpm.c, MATCH(AW$8,'3. Enter Indicator Scores'!$D$8:$CZ$8,0),
  _xlpm.v, IFERROR(INDEX('3. Enter Indicator Scores'!$D$10:$CZ$161,_xlpm.r,_xlpm.c),""),
  IF(OR(_xlpm.w="",_xlpm.v=""),"",_xlpm.v*_xlpm.w)
)</f>
        <v/>
      </c>
      <c r="AX94" s="93" t="str" cm="1">
        <f t="array" ref="AX94">_xlfn.LET(
  _xlpm.w, AX$11,
  _xlpm.r, MATCH(1,('3. Enter Indicator Scores'!$B$10:$B$161=$B94)*('3. Enter Indicator Scores'!$C$10:$C$161=$C94),0),
  _xlpm.c, MATCH(AX$8,'3. Enter Indicator Scores'!$D$8:$CZ$8,0),
  _xlpm.v, IFERROR(INDEX('3. Enter Indicator Scores'!$D$10:$CZ$161,_xlpm.r,_xlpm.c),""),
  IF(OR(_xlpm.w="",_xlpm.v=""),"",_xlpm.v*_xlpm.w)
)</f>
        <v/>
      </c>
      <c r="AY94" s="93" t="str" cm="1">
        <f t="array" ref="AY94">_xlfn.LET(
  _xlpm.w, AY$11,
  _xlpm.r, MATCH(1,('3. Enter Indicator Scores'!$B$10:$B$161=$B94)*('3. Enter Indicator Scores'!$C$10:$C$161=$C94),0),
  _xlpm.c, MATCH(AY$8,'3. Enter Indicator Scores'!$D$8:$CZ$8,0),
  _xlpm.v, IFERROR(INDEX('3. Enter Indicator Scores'!$D$10:$CZ$161,_xlpm.r,_xlpm.c),""),
  IF(OR(_xlpm.w="",_xlpm.v=""),"",_xlpm.v*_xlpm.w)
)</f>
        <v/>
      </c>
      <c r="AZ94" s="93" t="str" cm="1">
        <f t="array" ref="AZ94">_xlfn.LET(
  _xlpm.w, AZ$11,
  _xlpm.r, MATCH(1,('3. Enter Indicator Scores'!$B$10:$B$161=$B94)*('3. Enter Indicator Scores'!$C$10:$C$161=$C94),0),
  _xlpm.c, MATCH(AZ$8,'3. Enter Indicator Scores'!$D$8:$CZ$8,0),
  _xlpm.v, IFERROR(INDEX('3. Enter Indicator Scores'!$D$10:$CZ$161,_xlpm.r,_xlpm.c),""),
  IF(OR(_xlpm.w="",_xlpm.v=""),"",_xlpm.v*_xlpm.w)
)</f>
        <v/>
      </c>
      <c r="BA94" s="93" t="str" cm="1">
        <f t="array" ref="BA94">_xlfn.LET(
  _xlpm.w, BA$11,
  _xlpm.r, MATCH(1,('3. Enter Indicator Scores'!$B$10:$B$161=$B94)*('3. Enter Indicator Scores'!$C$10:$C$161=$C94),0),
  _xlpm.c, MATCH(BA$8,'3. Enter Indicator Scores'!$D$8:$CZ$8,0),
  _xlpm.v, IFERROR(INDEX('3. Enter Indicator Scores'!$D$10:$CZ$161,_xlpm.r,_xlpm.c),""),
  IF(OR(_xlpm.w="",_xlpm.v=""),"",_xlpm.v*_xlpm.w)
)</f>
        <v/>
      </c>
      <c r="BB94" s="93" t="str" cm="1">
        <f t="array" ref="BB94">_xlfn.LET(
  _xlpm.w, BB$11,
  _xlpm.r, MATCH(1,('3. Enter Indicator Scores'!$B$10:$B$161=$B94)*('3. Enter Indicator Scores'!$C$10:$C$161=$C94),0),
  _xlpm.c, MATCH(BB$8,'3. Enter Indicator Scores'!$D$8:$CZ$8,0),
  _xlpm.v, IFERROR(INDEX('3. Enter Indicator Scores'!$D$10:$CZ$161,_xlpm.r,_xlpm.c),""),
  IF(OR(_xlpm.w="",_xlpm.v=""),"",_xlpm.v*_xlpm.w)
)</f>
        <v/>
      </c>
      <c r="BC94" s="93" t="str" cm="1">
        <f t="array" ref="BC94">_xlfn.LET(
  _xlpm.w, BC$11,
  _xlpm.r, MATCH(1,('3. Enter Indicator Scores'!$B$10:$B$161=$B94)*('3. Enter Indicator Scores'!$C$10:$C$161=$C94),0),
  _xlpm.c, MATCH(BC$8,'3. Enter Indicator Scores'!$D$8:$CZ$8,0),
  _xlpm.v, IFERROR(INDEX('3. Enter Indicator Scores'!$D$10:$CZ$161,_xlpm.r,_xlpm.c),""),
  IF(OR(_xlpm.w="",_xlpm.v=""),"",_xlpm.v*_xlpm.w)
)</f>
        <v/>
      </c>
      <c r="BD94" s="93" t="str" cm="1">
        <f t="array" ref="BD94">_xlfn.LET(
  _xlpm.w, BD$11,
  _xlpm.r, MATCH(1,('3. Enter Indicator Scores'!$B$10:$B$161=$B94)*('3. Enter Indicator Scores'!$C$10:$C$161=$C94),0),
  _xlpm.c, MATCH(BD$8,'3. Enter Indicator Scores'!$D$8:$CZ$8,0),
  _xlpm.v, IFERROR(INDEX('3. Enter Indicator Scores'!$D$10:$CZ$161,_xlpm.r,_xlpm.c),""),
  IF(OR(_xlpm.w="",_xlpm.v=""),"",_xlpm.v*_xlpm.w)
)</f>
        <v/>
      </c>
      <c r="BE94" s="93" t="str" cm="1">
        <f t="array" ref="BE94">_xlfn.LET(
  _xlpm.w, BE$11,
  _xlpm.r, MATCH(1,('3. Enter Indicator Scores'!$B$10:$B$161=$B94)*('3. Enter Indicator Scores'!$C$10:$C$161=$C94),0),
  _xlpm.c, MATCH(BE$8,'3. Enter Indicator Scores'!$D$8:$CZ$8,0),
  _xlpm.v, IFERROR(INDEX('3. Enter Indicator Scores'!$D$10:$CZ$161,_xlpm.r,_xlpm.c),""),
  IF(OR(_xlpm.w="",_xlpm.v=""),"",_xlpm.v*_xlpm.w)
)</f>
        <v/>
      </c>
      <c r="BF94" s="93" t="str" cm="1">
        <f t="array" ref="BF94">_xlfn.LET(
  _xlpm.w, BF$11,
  _xlpm.r, MATCH(1,('3. Enter Indicator Scores'!$B$10:$B$161=$B94)*('3. Enter Indicator Scores'!$C$10:$C$161=$C94),0),
  _xlpm.c, MATCH(BF$8,'3. Enter Indicator Scores'!$D$8:$CZ$8,0),
  _xlpm.v, IFERROR(INDEX('3. Enter Indicator Scores'!$D$10:$CZ$161,_xlpm.r,_xlpm.c),""),
  IF(OR(_xlpm.w="",_xlpm.v=""),"",_xlpm.v*_xlpm.w)
)</f>
        <v/>
      </c>
      <c r="BG94" s="93" t="str" cm="1">
        <f t="array" ref="BG94">_xlfn.LET(
  _xlpm.w, BG$11,
  _xlpm.r, MATCH(1,('3. Enter Indicator Scores'!$B$10:$B$161=$B94)*('3. Enter Indicator Scores'!$C$10:$C$161=$C94),0),
  _xlpm.c, MATCH(BG$8,'3. Enter Indicator Scores'!$D$8:$CZ$8,0),
  _xlpm.v, IFERROR(INDEX('3. Enter Indicator Scores'!$D$10:$CZ$161,_xlpm.r,_xlpm.c),""),
  IF(OR(_xlpm.w="",_xlpm.v=""),"",_xlpm.v*_xlpm.w)
)</f>
        <v/>
      </c>
      <c r="BH94" s="93" t="str" cm="1">
        <f t="array" ref="BH94">_xlfn.LET(
  _xlpm.w, BH$11,
  _xlpm.r, MATCH(1,('3. Enter Indicator Scores'!$B$10:$B$161=$B94)*('3. Enter Indicator Scores'!$C$10:$C$161=$C94),0),
  _xlpm.c, MATCH(BH$8,'3. Enter Indicator Scores'!$D$8:$CZ$8,0),
  _xlpm.v, IFERROR(INDEX('3. Enter Indicator Scores'!$D$10:$CZ$161,_xlpm.r,_xlpm.c),""),
  IF(OR(_xlpm.w="",_xlpm.v=""),"",_xlpm.v*_xlpm.w)
)</f>
        <v/>
      </c>
      <c r="BI94" s="93" t="str" cm="1">
        <f t="array" ref="BI94">_xlfn.LET(
  _xlpm.w, BI$11,
  _xlpm.r, MATCH(1,('3. Enter Indicator Scores'!$B$10:$B$161=$B94)*('3. Enter Indicator Scores'!$C$10:$C$161=$C94),0),
  _xlpm.c, MATCH(BI$8,'3. Enter Indicator Scores'!$D$8:$CZ$8,0),
  _xlpm.v, IFERROR(INDEX('3. Enter Indicator Scores'!$D$10:$CZ$161,_xlpm.r,_xlpm.c),""),
  IF(OR(_xlpm.w="",_xlpm.v=""),"",_xlpm.v*_xlpm.w)
)</f>
        <v/>
      </c>
      <c r="BJ94" s="93" t="str" cm="1">
        <f t="array" ref="BJ94">_xlfn.LET(
  _xlpm.w, BJ$11,
  _xlpm.r, MATCH(1,('3. Enter Indicator Scores'!$B$10:$B$161=$B94)*('3. Enter Indicator Scores'!$C$10:$C$161=$C94),0),
  _xlpm.c, MATCH(BJ$8,'3. Enter Indicator Scores'!$D$8:$CZ$8,0),
  _xlpm.v, IFERROR(INDEX('3. Enter Indicator Scores'!$D$10:$CZ$161,_xlpm.r,_xlpm.c),""),
  IF(OR(_xlpm.w="",_xlpm.v=""),"",_xlpm.v*_xlpm.w)
)</f>
        <v/>
      </c>
      <c r="BK94" s="93" t="str" cm="1">
        <f t="array" ref="BK94">_xlfn.LET(
  _xlpm.w, BK$11,
  _xlpm.r, MATCH(1,('3. Enter Indicator Scores'!$B$10:$B$161=$B94)*('3. Enter Indicator Scores'!$C$10:$C$161=$C94),0),
  _xlpm.c, MATCH(BK$8,'3. Enter Indicator Scores'!$D$8:$CZ$8,0),
  _xlpm.v, IFERROR(INDEX('3. Enter Indicator Scores'!$D$10:$CZ$161,_xlpm.r,_xlpm.c),""),
  IF(OR(_xlpm.w="",_xlpm.v=""),"",_xlpm.v*_xlpm.w)
)</f>
        <v/>
      </c>
      <c r="BL94" s="93" t="str" cm="1">
        <f t="array" ref="BL94">_xlfn.LET(
  _xlpm.w, BL$11,
  _xlpm.r, MATCH(1,('3. Enter Indicator Scores'!$B$10:$B$161=$B94)*('3. Enter Indicator Scores'!$C$10:$C$161=$C94),0),
  _xlpm.c, MATCH(BL$8,'3. Enter Indicator Scores'!$D$8:$CZ$8,0),
  _xlpm.v, IFERROR(INDEX('3. Enter Indicator Scores'!$D$10:$CZ$161,_xlpm.r,_xlpm.c),""),
  IF(OR(_xlpm.w="",_xlpm.v=""),"",_xlpm.v*_xlpm.w)
)</f>
        <v/>
      </c>
      <c r="BM94" s="93" t="str" cm="1">
        <f t="array" ref="BM94">_xlfn.LET(
  _xlpm.w, BM$11,
  _xlpm.r, MATCH(1,('3. Enter Indicator Scores'!$B$10:$B$161=$B94)*('3. Enter Indicator Scores'!$C$10:$C$161=$C94),0),
  _xlpm.c, MATCH(BM$8,'3. Enter Indicator Scores'!$D$8:$CZ$8,0),
  _xlpm.v, IFERROR(INDEX('3. Enter Indicator Scores'!$D$10:$CZ$161,_xlpm.r,_xlpm.c),""),
  IF(OR(_xlpm.w="",_xlpm.v=""),"",_xlpm.v*_xlpm.w)
)</f>
        <v/>
      </c>
      <c r="BN94" s="93" t="str" cm="1">
        <f t="array" ref="BN94">_xlfn.LET(
  _xlpm.w, BN$11,
  _xlpm.r, MATCH(1,('3. Enter Indicator Scores'!$B$10:$B$161=$B94)*('3. Enter Indicator Scores'!$C$10:$C$161=$C94),0),
  _xlpm.c, MATCH(BN$8,'3. Enter Indicator Scores'!$D$8:$CZ$8,0),
  _xlpm.v, IFERROR(INDEX('3. Enter Indicator Scores'!$D$10:$CZ$161,_xlpm.r,_xlpm.c),""),
  IF(OR(_xlpm.w="",_xlpm.v=""),"",_xlpm.v*_xlpm.w)
)</f>
        <v/>
      </c>
      <c r="BO94" s="93" t="str" cm="1">
        <f t="array" ref="BO94">_xlfn.LET(
  _xlpm.w, BO$11,
  _xlpm.r, MATCH(1,('3. Enter Indicator Scores'!$B$10:$B$161=$B94)*('3. Enter Indicator Scores'!$C$10:$C$161=$C94),0),
  _xlpm.c, MATCH(BO$8,'3. Enter Indicator Scores'!$D$8:$CZ$8,0),
  _xlpm.v, IFERROR(INDEX('3. Enter Indicator Scores'!$D$10:$CZ$161,_xlpm.r,_xlpm.c),""),
  IF(OR(_xlpm.w="",_xlpm.v=""),"",_xlpm.v*_xlpm.w)
)</f>
        <v/>
      </c>
      <c r="BP94" s="93" t="str" cm="1">
        <f t="array" ref="BP94">_xlfn.LET(
  _xlpm.w, BP$11,
  _xlpm.r, MATCH(1,('3. Enter Indicator Scores'!$B$10:$B$161=$B94)*('3. Enter Indicator Scores'!$C$10:$C$161=$C94),0),
  _xlpm.c, MATCH(BP$8,'3. Enter Indicator Scores'!$D$8:$CZ$8,0),
  _xlpm.v, IFERROR(INDEX('3. Enter Indicator Scores'!$D$10:$CZ$161,_xlpm.r,_xlpm.c),""),
  IF(OR(_xlpm.w="",_xlpm.v=""),"",_xlpm.v*_xlpm.w)
)</f>
        <v/>
      </c>
      <c r="BQ94" s="93" t="str" cm="1">
        <f t="array" ref="BQ94">_xlfn.LET(
  _xlpm.w, BQ$11,
  _xlpm.r, MATCH(1,('3. Enter Indicator Scores'!$B$10:$B$161=$B94)*('3. Enter Indicator Scores'!$C$10:$C$161=$C94),0),
  _xlpm.c, MATCH(BQ$8,'3. Enter Indicator Scores'!$D$8:$CZ$8,0),
  _xlpm.v, IFERROR(INDEX('3. Enter Indicator Scores'!$D$10:$CZ$161,_xlpm.r,_xlpm.c),""),
  IF(OR(_xlpm.w="",_xlpm.v=""),"",_xlpm.v*_xlpm.w)
)</f>
        <v/>
      </c>
      <c r="BR94" s="93" t="str" cm="1">
        <f t="array" ref="BR94">_xlfn.LET(
  _xlpm.w, BR$11,
  _xlpm.r, MATCH(1,('3. Enter Indicator Scores'!$B$10:$B$161=$B94)*('3. Enter Indicator Scores'!$C$10:$C$161=$C94),0),
  _xlpm.c, MATCH(BR$8,'3. Enter Indicator Scores'!$D$8:$CZ$8,0),
  _xlpm.v, IFERROR(INDEX('3. Enter Indicator Scores'!$D$10:$CZ$161,_xlpm.r,_xlpm.c),""),
  IF(OR(_xlpm.w="",_xlpm.v=""),"",_xlpm.v*_xlpm.w)
)</f>
        <v/>
      </c>
      <c r="BS94" s="93" t="str" cm="1">
        <f t="array" ref="BS94">_xlfn.LET(
  _xlpm.w, BS$11,
  _xlpm.r, MATCH(1,('3. Enter Indicator Scores'!$B$10:$B$161=$B94)*('3. Enter Indicator Scores'!$C$10:$C$161=$C94),0),
  _xlpm.c, MATCH(BS$8,'3. Enter Indicator Scores'!$D$8:$CZ$8,0),
  _xlpm.v, IFERROR(INDEX('3. Enter Indicator Scores'!$D$10:$CZ$161,_xlpm.r,_xlpm.c),""),
  IF(OR(_xlpm.w="",_xlpm.v=""),"",_xlpm.v*_xlpm.w)
)</f>
        <v/>
      </c>
      <c r="BT94" s="93" t="str" cm="1">
        <f t="array" ref="BT94">_xlfn.LET(
  _xlpm.w, BT$11,
  _xlpm.r, MATCH(1,('3. Enter Indicator Scores'!$B$10:$B$161=$B94)*('3. Enter Indicator Scores'!$C$10:$C$161=$C94),0),
  _xlpm.c, MATCH(BT$8,'3. Enter Indicator Scores'!$D$8:$CZ$8,0),
  _xlpm.v, IFERROR(INDEX('3. Enter Indicator Scores'!$D$10:$CZ$161,_xlpm.r,_xlpm.c),""),
  IF(OR(_xlpm.w="",_xlpm.v=""),"",_xlpm.v*_xlpm.w)
)</f>
        <v/>
      </c>
      <c r="BU94" s="93" t="str" cm="1">
        <f t="array" ref="BU94">_xlfn.LET(
  _xlpm.w, BU$11,
  _xlpm.r, MATCH(1,('3. Enter Indicator Scores'!$B$10:$B$161=$B94)*('3. Enter Indicator Scores'!$C$10:$C$161=$C94),0),
  _xlpm.c, MATCH(BU$8,'3. Enter Indicator Scores'!$D$8:$CZ$8,0),
  _xlpm.v, IFERROR(INDEX('3. Enter Indicator Scores'!$D$10:$CZ$161,_xlpm.r,_xlpm.c),""),
  IF(OR(_xlpm.w="",_xlpm.v=""),"",_xlpm.v*_xlpm.w)
)</f>
        <v/>
      </c>
      <c r="BV94" s="93" t="str" cm="1">
        <f t="array" ref="BV94">_xlfn.LET(
  _xlpm.w, BV$11,
  _xlpm.r, MATCH(1,('3. Enter Indicator Scores'!$B$10:$B$161=$B94)*('3. Enter Indicator Scores'!$C$10:$C$161=$C94),0),
  _xlpm.c, MATCH(BV$8,'3. Enter Indicator Scores'!$D$8:$CZ$8,0),
  _xlpm.v, IFERROR(INDEX('3. Enter Indicator Scores'!$D$10:$CZ$161,_xlpm.r,_xlpm.c),""),
  IF(OR(_xlpm.w="",_xlpm.v=""),"",_xlpm.v*_xlpm.w)
)</f>
        <v/>
      </c>
      <c r="BW94" s="93" t="str" cm="1">
        <f t="array" ref="BW94">_xlfn.LET(
  _xlpm.w, BW$11,
  _xlpm.r, MATCH(1,('3. Enter Indicator Scores'!$B$10:$B$161=$B94)*('3. Enter Indicator Scores'!$C$10:$C$161=$C94),0),
  _xlpm.c, MATCH(BW$8,'3. Enter Indicator Scores'!$D$8:$CZ$8,0),
  _xlpm.v, IFERROR(INDEX('3. Enter Indicator Scores'!$D$10:$CZ$161,_xlpm.r,_xlpm.c),""),
  IF(OR(_xlpm.w="",_xlpm.v=""),"",_xlpm.v*_xlpm.w)
)</f>
        <v/>
      </c>
      <c r="BX94" s="93" t="str" cm="1">
        <f t="array" ref="BX94">_xlfn.LET(
  _xlpm.w, BX$11,
  _xlpm.r, MATCH(1,('3. Enter Indicator Scores'!$B$10:$B$161=$B94)*('3. Enter Indicator Scores'!$C$10:$C$161=$C94),0),
  _xlpm.c, MATCH(BX$8,'3. Enter Indicator Scores'!$D$8:$CZ$8,0),
  _xlpm.v, IFERROR(INDEX('3. Enter Indicator Scores'!$D$10:$CZ$161,_xlpm.r,_xlpm.c),""),
  IF(OR(_xlpm.w="",_xlpm.v=""),"",_xlpm.v*_xlpm.w)
)</f>
        <v/>
      </c>
      <c r="BY94" s="93" t="str" cm="1">
        <f t="array" ref="BY94">_xlfn.LET(
  _xlpm.w, BY$11,
  _xlpm.r, MATCH(1,('3. Enter Indicator Scores'!$B$10:$B$161=$B94)*('3. Enter Indicator Scores'!$C$10:$C$161=$C94),0),
  _xlpm.c, MATCH(BY$8,'3. Enter Indicator Scores'!$D$8:$CZ$8,0),
  _xlpm.v, IFERROR(INDEX('3. Enter Indicator Scores'!$D$10:$CZ$161,_xlpm.r,_xlpm.c),""),
  IF(OR(_xlpm.w="",_xlpm.v=""),"",_xlpm.v*_xlpm.w)
)</f>
        <v/>
      </c>
      <c r="BZ94" s="93" t="str" cm="1">
        <f t="array" ref="BZ94">_xlfn.LET(
  _xlpm.w, BZ$11,
  _xlpm.r, MATCH(1,('3. Enter Indicator Scores'!$B$10:$B$161=$B94)*('3. Enter Indicator Scores'!$C$10:$C$161=$C94),0),
  _xlpm.c, MATCH(BZ$8,'3. Enter Indicator Scores'!$D$8:$CZ$8,0),
  _xlpm.v, IFERROR(INDEX('3. Enter Indicator Scores'!$D$10:$CZ$161,_xlpm.r,_xlpm.c),""),
  IF(OR(_xlpm.w="",_xlpm.v=""),"",_xlpm.v*_xlpm.w)
)</f>
        <v/>
      </c>
      <c r="CA94" s="93" t="str" cm="1">
        <f t="array" ref="CA94">_xlfn.LET(
  _xlpm.w, CA$11,
  _xlpm.r, MATCH(1,('3. Enter Indicator Scores'!$B$10:$B$161=$B94)*('3. Enter Indicator Scores'!$C$10:$C$161=$C94),0),
  _xlpm.c, MATCH(CA$8,'3. Enter Indicator Scores'!$D$8:$CZ$8,0),
  _xlpm.v, IFERROR(INDEX('3. Enter Indicator Scores'!$D$10:$CZ$161,_xlpm.r,_xlpm.c),""),
  IF(OR(_xlpm.w="",_xlpm.v=""),"",_xlpm.v*_xlpm.w)
)</f>
        <v/>
      </c>
      <c r="CB94" s="93" t="str" cm="1">
        <f t="array" ref="CB94">_xlfn.LET(
  _xlpm.w, CB$11,
  _xlpm.r, MATCH(1,('3. Enter Indicator Scores'!$B$10:$B$161=$B94)*('3. Enter Indicator Scores'!$C$10:$C$161=$C94),0),
  _xlpm.c, MATCH(CB$8,'3. Enter Indicator Scores'!$D$8:$CZ$8,0),
  _xlpm.v, IFERROR(INDEX('3. Enter Indicator Scores'!$D$10:$CZ$161,_xlpm.r,_xlpm.c),""),
  IF(OR(_xlpm.w="",_xlpm.v=""),"",_xlpm.v*_xlpm.w)
)</f>
        <v/>
      </c>
      <c r="CC94" s="93" t="str" cm="1">
        <f t="array" ref="CC94">_xlfn.LET(
  _xlpm.w, CC$11,
  _xlpm.r, MATCH(1,('3. Enter Indicator Scores'!$B$10:$B$161=$B94)*('3. Enter Indicator Scores'!$C$10:$C$161=$C94),0),
  _xlpm.c, MATCH(CC$8,'3. Enter Indicator Scores'!$D$8:$CZ$8,0),
  _xlpm.v, IFERROR(INDEX('3. Enter Indicator Scores'!$D$10:$CZ$161,_xlpm.r,_xlpm.c),""),
  IF(OR(_xlpm.w="",_xlpm.v=""),"",_xlpm.v*_xlpm.w)
)</f>
        <v/>
      </c>
      <c r="CD94" s="93" t="str" cm="1">
        <f t="array" ref="CD94">_xlfn.LET(
  _xlpm.w, CD$11,
  _xlpm.r, MATCH(1,('3. Enter Indicator Scores'!$B$10:$B$161=$B94)*('3. Enter Indicator Scores'!$C$10:$C$161=$C94),0),
  _xlpm.c, MATCH(CD$8,'3. Enter Indicator Scores'!$D$8:$CZ$8,0),
  _xlpm.v, IFERROR(INDEX('3. Enter Indicator Scores'!$D$10:$CZ$161,_xlpm.r,_xlpm.c),""),
  IF(OR(_xlpm.w="",_xlpm.v=""),"",_xlpm.v*_xlpm.w)
)</f>
        <v/>
      </c>
      <c r="CE94" s="93" t="str" cm="1">
        <f t="array" ref="CE94">_xlfn.LET(
  _xlpm.w, CE$11,
  _xlpm.r, MATCH(1,('3. Enter Indicator Scores'!$B$10:$B$161=$B94)*('3. Enter Indicator Scores'!$C$10:$C$161=$C94),0),
  _xlpm.c, MATCH(CE$8,'3. Enter Indicator Scores'!$D$8:$CZ$8,0),
  _xlpm.v, IFERROR(INDEX('3. Enter Indicator Scores'!$D$10:$CZ$161,_xlpm.r,_xlpm.c),""),
  IF(OR(_xlpm.w="",_xlpm.v=""),"",_xlpm.v*_xlpm.w)
)</f>
        <v/>
      </c>
      <c r="CF94" s="93" t="str" cm="1">
        <f t="array" ref="CF94">_xlfn.LET(
  _xlpm.w, CF$11,
  _xlpm.r, MATCH(1,('3. Enter Indicator Scores'!$B$10:$B$161=$B94)*('3. Enter Indicator Scores'!$C$10:$C$161=$C94),0),
  _xlpm.c, MATCH(CF$8,'3. Enter Indicator Scores'!$D$8:$CZ$8,0),
  _xlpm.v, IFERROR(INDEX('3. Enter Indicator Scores'!$D$10:$CZ$161,_xlpm.r,_xlpm.c),""),
  IF(OR(_xlpm.w="",_xlpm.v=""),"",_xlpm.v*_xlpm.w)
)</f>
        <v/>
      </c>
      <c r="CG94" s="93" t="str" cm="1">
        <f t="array" ref="CG94">_xlfn.LET(
  _xlpm.w, CG$11,
  _xlpm.r, MATCH(1,('3. Enter Indicator Scores'!$B$10:$B$161=$B94)*('3. Enter Indicator Scores'!$C$10:$C$161=$C94),0),
  _xlpm.c, MATCH(CG$8,'3. Enter Indicator Scores'!$D$8:$CZ$8,0),
  _xlpm.v, IFERROR(INDEX('3. Enter Indicator Scores'!$D$10:$CZ$161,_xlpm.r,_xlpm.c),""),
  IF(OR(_xlpm.w="",_xlpm.v=""),"",_xlpm.v*_xlpm.w)
)</f>
        <v/>
      </c>
      <c r="CH94" s="93" t="str" cm="1">
        <f t="array" ref="CH94">_xlfn.LET(
  _xlpm.w, CH$11,
  _xlpm.r, MATCH(1,('3. Enter Indicator Scores'!$B$10:$B$161=$B94)*('3. Enter Indicator Scores'!$C$10:$C$161=$C94),0),
  _xlpm.c, MATCH(CH$8,'3. Enter Indicator Scores'!$D$8:$CZ$8,0),
  _xlpm.v, IFERROR(INDEX('3. Enter Indicator Scores'!$D$10:$CZ$161,_xlpm.r,_xlpm.c),""),
  IF(OR(_xlpm.w="",_xlpm.v=""),"",_xlpm.v*_xlpm.w)
)</f>
        <v/>
      </c>
      <c r="CI94" s="93" t="str" cm="1">
        <f t="array" ref="CI94">_xlfn.LET(
  _xlpm.w, CI$11,
  _xlpm.r, MATCH(1,('3. Enter Indicator Scores'!$B$10:$B$161=$B94)*('3. Enter Indicator Scores'!$C$10:$C$161=$C94),0),
  _xlpm.c, MATCH(CI$8,'3. Enter Indicator Scores'!$D$8:$CZ$8,0),
  _xlpm.v, IFERROR(INDEX('3. Enter Indicator Scores'!$D$10:$CZ$161,_xlpm.r,_xlpm.c),""),
  IF(OR(_xlpm.w="",_xlpm.v=""),"",_xlpm.v*_xlpm.w)
)</f>
        <v/>
      </c>
      <c r="CJ94" s="93" t="str" cm="1">
        <f t="array" ref="CJ94">_xlfn.LET(
  _xlpm.w, CJ$11,
  _xlpm.r, MATCH(1,('3. Enter Indicator Scores'!$B$10:$B$161=$B94)*('3. Enter Indicator Scores'!$C$10:$C$161=$C94),0),
  _xlpm.c, MATCH(CJ$8,'3. Enter Indicator Scores'!$D$8:$CZ$8,0),
  _xlpm.v, IFERROR(INDEX('3. Enter Indicator Scores'!$D$10:$CZ$161,_xlpm.r,_xlpm.c),""),
  IF(OR(_xlpm.w="",_xlpm.v=""),"",_xlpm.v*_xlpm.w)
)</f>
        <v/>
      </c>
      <c r="CK94" s="93" t="str" cm="1">
        <f t="array" ref="CK94">_xlfn.LET(
  _xlpm.w, CK$11,
  _xlpm.r, MATCH(1,('3. Enter Indicator Scores'!$B$10:$B$161=$B94)*('3. Enter Indicator Scores'!$C$10:$C$161=$C94),0),
  _xlpm.c, MATCH(CK$8,'3. Enter Indicator Scores'!$D$8:$CZ$8,0),
  _xlpm.v, IFERROR(INDEX('3. Enter Indicator Scores'!$D$10:$CZ$161,_xlpm.r,_xlpm.c),""),
  IF(OR(_xlpm.w="",_xlpm.v=""),"",_xlpm.v*_xlpm.w)
)</f>
        <v/>
      </c>
      <c r="CL94" s="93" t="str" cm="1">
        <f t="array" ref="CL94">_xlfn.LET(
  _xlpm.w, CL$11,
  _xlpm.r, MATCH(1,('3. Enter Indicator Scores'!$B$10:$B$161=$B94)*('3. Enter Indicator Scores'!$C$10:$C$161=$C94),0),
  _xlpm.c, MATCH(CL$8,'3. Enter Indicator Scores'!$D$8:$CZ$8,0),
  _xlpm.v, IFERROR(INDEX('3. Enter Indicator Scores'!$D$10:$CZ$161,_xlpm.r,_xlpm.c),""),
  IF(OR(_xlpm.w="",_xlpm.v=""),"",_xlpm.v*_xlpm.w)
)</f>
        <v/>
      </c>
      <c r="CM94" s="93" t="str" cm="1">
        <f t="array" ref="CM94">_xlfn.LET(
  _xlpm.w, CM$11,
  _xlpm.r, MATCH(1,('3. Enter Indicator Scores'!$B$10:$B$161=$B94)*('3. Enter Indicator Scores'!$C$10:$C$161=$C94),0),
  _xlpm.c, MATCH(CM$8,'3. Enter Indicator Scores'!$D$8:$CZ$8,0),
  _xlpm.v, IFERROR(INDEX('3. Enter Indicator Scores'!$D$10:$CZ$161,_xlpm.r,_xlpm.c),""),
  IF(OR(_xlpm.w="",_xlpm.v=""),"",_xlpm.v*_xlpm.w)
)</f>
        <v/>
      </c>
      <c r="CN94" s="93" t="str" cm="1">
        <f t="array" ref="CN94">_xlfn.LET(
  _xlpm.w, CN$11,
  _xlpm.r, MATCH(1,('3. Enter Indicator Scores'!$B$10:$B$161=$B94)*('3. Enter Indicator Scores'!$C$10:$C$161=$C94),0),
  _xlpm.c, MATCH(CN$8,'3. Enter Indicator Scores'!$D$8:$CZ$8,0),
  _xlpm.v, IFERROR(INDEX('3. Enter Indicator Scores'!$D$10:$CZ$161,_xlpm.r,_xlpm.c),""),
  IF(OR(_xlpm.w="",_xlpm.v=""),"",_xlpm.v*_xlpm.w)
)</f>
        <v/>
      </c>
      <c r="CO94" s="93" t="str" cm="1">
        <f t="array" ref="CO94">_xlfn.LET(
  _xlpm.w, CO$11,
  _xlpm.r, MATCH(1,('3. Enter Indicator Scores'!$B$10:$B$161=$B94)*('3. Enter Indicator Scores'!$C$10:$C$161=$C94),0),
  _xlpm.c, MATCH(CO$8,'3. Enter Indicator Scores'!$D$8:$CZ$8,0),
  _xlpm.v, IFERROR(INDEX('3. Enter Indicator Scores'!$D$10:$CZ$161,_xlpm.r,_xlpm.c),""),
  IF(OR(_xlpm.w="",_xlpm.v=""),"",_xlpm.v*_xlpm.w)
)</f>
        <v/>
      </c>
      <c r="CP94" s="93" t="str" cm="1">
        <f t="array" ref="CP94">_xlfn.LET(
  _xlpm.w, CP$11,
  _xlpm.r, MATCH(1,('3. Enter Indicator Scores'!$B$10:$B$161=$B94)*('3. Enter Indicator Scores'!$C$10:$C$161=$C94),0),
  _xlpm.c, MATCH(CP$8,'3. Enter Indicator Scores'!$D$8:$CZ$8,0),
  _xlpm.v, IFERROR(INDEX('3. Enter Indicator Scores'!$D$10:$CZ$161,_xlpm.r,_xlpm.c),""),
  IF(OR(_xlpm.w="",_xlpm.v=""),"",_xlpm.v*_xlpm.w)
)</f>
        <v/>
      </c>
      <c r="CQ94" s="93" t="str" cm="1">
        <f t="array" ref="CQ94">_xlfn.LET(
  _xlpm.w, CQ$11,
  _xlpm.r, MATCH(1,('3. Enter Indicator Scores'!$B$10:$B$161=$B94)*('3. Enter Indicator Scores'!$C$10:$C$161=$C94),0),
  _xlpm.c, MATCH(CQ$8,'3. Enter Indicator Scores'!$D$8:$CZ$8,0),
  _xlpm.v, IFERROR(INDEX('3. Enter Indicator Scores'!$D$10:$CZ$161,_xlpm.r,_xlpm.c),""),
  IF(OR(_xlpm.w="",_xlpm.v=""),"",_xlpm.v*_xlpm.w)
)</f>
        <v/>
      </c>
      <c r="CR94" s="93" t="str" cm="1">
        <f t="array" ref="CR94">_xlfn.LET(
  _xlpm.w, CR$11,
  _xlpm.r, MATCH(1,('3. Enter Indicator Scores'!$B$10:$B$161=$B94)*('3. Enter Indicator Scores'!$C$10:$C$161=$C94),0),
  _xlpm.c, MATCH(CR$8,'3. Enter Indicator Scores'!$D$8:$CZ$8,0),
  _xlpm.v, IFERROR(INDEX('3. Enter Indicator Scores'!$D$10:$CZ$161,_xlpm.r,_xlpm.c),""),
  IF(OR(_xlpm.w="",_xlpm.v=""),"",_xlpm.v*_xlpm.w)
)</f>
        <v/>
      </c>
      <c r="CS94" s="93" t="str" cm="1">
        <f t="array" ref="CS94">_xlfn.LET(
  _xlpm.w, CS$11,
  _xlpm.r, MATCH(1,('3. Enter Indicator Scores'!$B$10:$B$161=$B94)*('3. Enter Indicator Scores'!$C$10:$C$161=$C94),0),
  _xlpm.c, MATCH(CS$8,'3. Enter Indicator Scores'!$D$8:$CZ$8,0),
  _xlpm.v, IFERROR(INDEX('3. Enter Indicator Scores'!$D$10:$CZ$161,_xlpm.r,_xlpm.c),""),
  IF(OR(_xlpm.w="",_xlpm.v=""),"",_xlpm.v*_xlpm.w)
)</f>
        <v/>
      </c>
      <c r="CT94" s="93" t="str" cm="1">
        <f t="array" ref="CT94">_xlfn.LET(
  _xlpm.w, CT$11,
  _xlpm.r, MATCH(1,('3. Enter Indicator Scores'!$B$10:$B$161=$B94)*('3. Enter Indicator Scores'!$C$10:$C$161=$C94),0),
  _xlpm.c, MATCH(CT$8,'3. Enter Indicator Scores'!$D$8:$CZ$8,0),
  _xlpm.v, IFERROR(INDEX('3. Enter Indicator Scores'!$D$10:$CZ$161,_xlpm.r,_xlpm.c),""),
  IF(OR(_xlpm.w="",_xlpm.v=""),"",_xlpm.v*_xlpm.w)
)</f>
        <v/>
      </c>
      <c r="CU94" s="93" t="str" cm="1">
        <f t="array" ref="CU94">_xlfn.LET(
  _xlpm.w, CU$11,
  _xlpm.r, MATCH(1,('3. Enter Indicator Scores'!$B$10:$B$161=$B94)*('3. Enter Indicator Scores'!$C$10:$C$161=$C94),0),
  _xlpm.c, MATCH(CU$8,'3. Enter Indicator Scores'!$D$8:$CZ$8,0),
  _xlpm.v, IFERROR(INDEX('3. Enter Indicator Scores'!$D$10:$CZ$161,_xlpm.r,_xlpm.c),""),
  IF(OR(_xlpm.w="",_xlpm.v=""),"",_xlpm.v*_xlpm.w)
)</f>
        <v/>
      </c>
      <c r="CV94" s="93" t="str" cm="1">
        <f t="array" ref="CV94">_xlfn.LET(
  _xlpm.w, CV$11,
  _xlpm.r, MATCH(1,('3. Enter Indicator Scores'!$B$10:$B$161=$B94)*('3. Enter Indicator Scores'!$C$10:$C$161=$C94),0),
  _xlpm.c, MATCH(CV$8,'3. Enter Indicator Scores'!$D$8:$CZ$8,0),
  _xlpm.v, IFERROR(INDEX('3. Enter Indicator Scores'!$D$10:$CZ$161,_xlpm.r,_xlpm.c),""),
  IF(OR(_xlpm.w="",_xlpm.v=""),"",_xlpm.v*_xlpm.w)
)</f>
        <v/>
      </c>
      <c r="CW94" s="93" t="str" cm="1">
        <f t="array" ref="CW94">_xlfn.LET(
  _xlpm.w, CW$11,
  _xlpm.r, MATCH(1,('3. Enter Indicator Scores'!$B$10:$B$161=$B94)*('3. Enter Indicator Scores'!$C$10:$C$161=$C94),0),
  _xlpm.c, MATCH(CW$8,'3. Enter Indicator Scores'!$D$8:$CZ$8,0),
  _xlpm.v, IFERROR(INDEX('3. Enter Indicator Scores'!$D$10:$CZ$161,_xlpm.r,_xlpm.c),""),
  IF(OR(_xlpm.w="",_xlpm.v=""),"",_xlpm.v*_xlpm.w)
)</f>
        <v/>
      </c>
      <c r="CX94" s="93" t="str" cm="1">
        <f t="array" ref="CX94">_xlfn.LET(
  _xlpm.w, CX$11,
  _xlpm.r, MATCH(1,('3. Enter Indicator Scores'!$B$10:$B$161=$B94)*('3. Enter Indicator Scores'!$C$10:$C$161=$C94),0),
  _xlpm.c, MATCH(CX$8,'3. Enter Indicator Scores'!$D$8:$CZ$8,0),
  _xlpm.v, IFERROR(INDEX('3. Enter Indicator Scores'!$D$10:$CZ$161,_xlpm.r,_xlpm.c),""),
  IF(OR(_xlpm.w="",_xlpm.v=""),"",_xlpm.v*_xlpm.w)
)</f>
        <v/>
      </c>
      <c r="CY94" s="93" t="str" cm="1">
        <f t="array" ref="CY94">_xlfn.LET(
  _xlpm.w, CY$11,
  _xlpm.r, MATCH(1,('3. Enter Indicator Scores'!$B$10:$B$161=$B94)*('3. Enter Indicator Scores'!$C$10:$C$161=$C94),0),
  _xlpm.c, MATCH(CY$8,'3. Enter Indicator Scores'!$D$8:$CZ$8,0),
  _xlpm.v, IFERROR(INDEX('3. Enter Indicator Scores'!$D$10:$CZ$161,_xlpm.r,_xlpm.c),""),
  IF(OR(_xlpm.w="",_xlpm.v=""),"",_xlpm.v*_xlpm.w)
)</f>
        <v/>
      </c>
      <c r="CZ94" s="93" t="str" cm="1">
        <f t="array" ref="CZ94">_xlfn.LET(
  _xlpm.w, CZ$11,
  _xlpm.r, MATCH(1,('3. Enter Indicator Scores'!$B$10:$B$161=$B94)*('3. Enter Indicator Scores'!$C$10:$C$161=$C94),0),
  _xlpm.c, MATCH(CZ$8,'3. Enter Indicator Scores'!$D$8:$CZ$8,0),
  _xlpm.v, IFERROR(INDEX('3. Enter Indicator Scores'!$D$10:$CZ$161,_xlpm.r,_xlpm.c),""),
  IF(OR(_xlpm.w="",_xlpm.v=""),"",_xlpm.v*_xlpm.w)
)</f>
        <v/>
      </c>
    </row>
    <row r="95" spans="4:104" x14ac:dyDescent="0.2">
      <c r="D95" s="93" t="str" cm="1">
        <f t="array" ref="D95">_xlfn.LET(
  _xlpm.w, D$11,
  _xlpm.r, MATCH(1,('3. Enter Indicator Scores'!$B$10:$B$161=$B95)*('3. Enter Indicator Scores'!$C$10:$C$161=$C95),0),
  _xlpm.c, MATCH(D$8,'3. Enter Indicator Scores'!$D$8:$CZ$8,0),
  _xlpm.v, IFERROR(INDEX('3. Enter Indicator Scores'!$D$10:$CZ$161,_xlpm.r,_xlpm.c),""),
  IF(OR(_xlpm.w="",_xlpm.v=""),"",_xlpm.v*_xlpm.w)
)</f>
        <v/>
      </c>
      <c r="E95" s="93" t="str" cm="1">
        <f t="array" ref="E95">_xlfn.LET(
  _xlpm.w, E$11,
  _xlpm.r, MATCH(1,('3. Enter Indicator Scores'!$B$10:$B$161=$B95)*('3. Enter Indicator Scores'!$C$10:$C$161=$C95),0),
  _xlpm.c, MATCH(E$8,'3. Enter Indicator Scores'!$D$8:$CZ$8,0),
  _xlpm.v, IFERROR(INDEX('3. Enter Indicator Scores'!$D$10:$CZ$161,_xlpm.r,_xlpm.c),""),
  IF(OR(_xlpm.w="",_xlpm.v=""),"",_xlpm.v*_xlpm.w)
)</f>
        <v/>
      </c>
      <c r="F95" s="93" t="str" cm="1">
        <f t="array" ref="F95">_xlfn.LET(
  _xlpm.w, F$11,
  _xlpm.r, MATCH(1,('3. Enter Indicator Scores'!$B$10:$B$161=$B95)*('3. Enter Indicator Scores'!$C$10:$C$161=$C95),0),
  _xlpm.c, MATCH(F$8,'3. Enter Indicator Scores'!$D$8:$CZ$8,0),
  _xlpm.v, IFERROR(INDEX('3. Enter Indicator Scores'!$D$10:$CZ$161,_xlpm.r,_xlpm.c),""),
  IF(OR(_xlpm.w="",_xlpm.v=""),"",_xlpm.v*_xlpm.w)
)</f>
        <v/>
      </c>
      <c r="G95" s="93" t="str" cm="1">
        <f t="array" ref="G95">_xlfn.LET(
  _xlpm.w, G$11,
  _xlpm.r, MATCH(1,('3. Enter Indicator Scores'!$B$10:$B$161=$B95)*('3. Enter Indicator Scores'!$C$10:$C$161=$C95),0),
  _xlpm.c, MATCH(G$8,'3. Enter Indicator Scores'!$D$8:$CZ$8,0),
  _xlpm.v, IFERROR(INDEX('3. Enter Indicator Scores'!$D$10:$CZ$161,_xlpm.r,_xlpm.c),""),
  IF(OR(_xlpm.w="",_xlpm.v=""),"",_xlpm.v*_xlpm.w)
)</f>
        <v/>
      </c>
      <c r="H95" s="93" t="str" cm="1">
        <f t="array" ref="H95">_xlfn.LET(
  _xlpm.w, H$11,
  _xlpm.r, MATCH(1,('3. Enter Indicator Scores'!$B$10:$B$161=$B95)*('3. Enter Indicator Scores'!$C$10:$C$161=$C95),0),
  _xlpm.c, MATCH(H$8,'3. Enter Indicator Scores'!$D$8:$CZ$8,0),
  _xlpm.v, IFERROR(INDEX('3. Enter Indicator Scores'!$D$10:$CZ$161,_xlpm.r,_xlpm.c),""),
  IF(OR(_xlpm.w="",_xlpm.v=""),"",_xlpm.v*_xlpm.w)
)</f>
        <v/>
      </c>
      <c r="I95" s="93" t="str" cm="1">
        <f t="array" ref="I95">_xlfn.LET(
  _xlpm.w, I$11,
  _xlpm.r, MATCH(1,('3. Enter Indicator Scores'!$B$10:$B$161=$B95)*('3. Enter Indicator Scores'!$C$10:$C$161=$C95),0),
  _xlpm.c, MATCH(I$8,'3. Enter Indicator Scores'!$D$8:$CZ$8,0),
  _xlpm.v, IFERROR(INDEX('3. Enter Indicator Scores'!$D$10:$CZ$161,_xlpm.r,_xlpm.c),""),
  IF(OR(_xlpm.w="",_xlpm.v=""),"",_xlpm.v*_xlpm.w)
)</f>
        <v/>
      </c>
      <c r="J95" s="93" t="str" cm="1">
        <f t="array" ref="J95">_xlfn.LET(
  _xlpm.w, J$11,
  _xlpm.r, MATCH(1,('3. Enter Indicator Scores'!$B$10:$B$161=$B95)*('3. Enter Indicator Scores'!$C$10:$C$161=$C95),0),
  _xlpm.c, MATCH(J$8,'3. Enter Indicator Scores'!$D$8:$CZ$8,0),
  _xlpm.v, IFERROR(INDEX('3. Enter Indicator Scores'!$D$10:$CZ$161,_xlpm.r,_xlpm.c),""),
  IF(OR(_xlpm.w="",_xlpm.v=""),"",_xlpm.v*_xlpm.w)
)</f>
        <v/>
      </c>
      <c r="K95" s="93" t="str" cm="1">
        <f t="array" ref="K95">_xlfn.LET(
  _xlpm.w, K$11,
  _xlpm.r, MATCH(1,('3. Enter Indicator Scores'!$B$10:$B$161=$B95)*('3. Enter Indicator Scores'!$C$10:$C$161=$C95),0),
  _xlpm.c, MATCH(K$8,'3. Enter Indicator Scores'!$D$8:$CZ$8,0),
  _xlpm.v, IFERROR(INDEX('3. Enter Indicator Scores'!$D$10:$CZ$161,_xlpm.r,_xlpm.c),""),
  IF(OR(_xlpm.w="",_xlpm.v=""),"",_xlpm.v*_xlpm.w)
)</f>
        <v/>
      </c>
      <c r="L95" s="93" t="str" cm="1">
        <f t="array" ref="L95">_xlfn.LET(
  _xlpm.w, L$11,
  _xlpm.r, MATCH(1,('3. Enter Indicator Scores'!$B$10:$B$161=$B95)*('3. Enter Indicator Scores'!$C$10:$C$161=$C95),0),
  _xlpm.c, MATCH(L$8,'3. Enter Indicator Scores'!$D$8:$CZ$8,0),
  _xlpm.v, IFERROR(INDEX('3. Enter Indicator Scores'!$D$10:$CZ$161,_xlpm.r,_xlpm.c),""),
  IF(OR(_xlpm.w="",_xlpm.v=""),"",_xlpm.v*_xlpm.w)
)</f>
        <v/>
      </c>
      <c r="M95" s="93" t="str" cm="1">
        <f t="array" ref="M95">_xlfn.LET(
  _xlpm.w, M$11,
  _xlpm.r, MATCH(1,('3. Enter Indicator Scores'!$B$10:$B$161=$B95)*('3. Enter Indicator Scores'!$C$10:$C$161=$C95),0),
  _xlpm.c, MATCH(M$8,'3. Enter Indicator Scores'!$D$8:$CZ$8,0),
  _xlpm.v, IFERROR(INDEX('3. Enter Indicator Scores'!$D$10:$CZ$161,_xlpm.r,_xlpm.c),""),
  IF(OR(_xlpm.w="",_xlpm.v=""),"",_xlpm.v*_xlpm.w)
)</f>
        <v/>
      </c>
      <c r="N95" s="93" t="str" cm="1">
        <f t="array" ref="N95">_xlfn.LET(
  _xlpm.w, N$11,
  _xlpm.r, MATCH(1,('3. Enter Indicator Scores'!$B$10:$B$161=$B95)*('3. Enter Indicator Scores'!$C$10:$C$161=$C95),0),
  _xlpm.c, MATCH(N$8,'3. Enter Indicator Scores'!$D$8:$CZ$8,0),
  _xlpm.v, IFERROR(INDEX('3. Enter Indicator Scores'!$D$10:$CZ$161,_xlpm.r,_xlpm.c),""),
  IF(OR(_xlpm.w="",_xlpm.v=""),"",_xlpm.v*_xlpm.w)
)</f>
        <v/>
      </c>
      <c r="O95" s="93" t="str" cm="1">
        <f t="array" ref="O95">_xlfn.LET(
  _xlpm.w, O$11,
  _xlpm.r, MATCH(1,('3. Enter Indicator Scores'!$B$10:$B$161=$B95)*('3. Enter Indicator Scores'!$C$10:$C$161=$C95),0),
  _xlpm.c, MATCH(O$8,'3. Enter Indicator Scores'!$D$8:$CZ$8,0),
  _xlpm.v, IFERROR(INDEX('3. Enter Indicator Scores'!$D$10:$CZ$161,_xlpm.r,_xlpm.c),""),
  IF(OR(_xlpm.w="",_xlpm.v=""),"",_xlpm.v*_xlpm.w)
)</f>
        <v/>
      </c>
      <c r="P95" s="93" t="str" cm="1">
        <f t="array" ref="P95">_xlfn.LET(
  _xlpm.w, P$11,
  _xlpm.r, MATCH(1,('3. Enter Indicator Scores'!$B$10:$B$161=$B95)*('3. Enter Indicator Scores'!$C$10:$C$161=$C95),0),
  _xlpm.c, MATCH(P$8,'3. Enter Indicator Scores'!$D$8:$CZ$8,0),
  _xlpm.v, IFERROR(INDEX('3. Enter Indicator Scores'!$D$10:$CZ$161,_xlpm.r,_xlpm.c),""),
  IF(OR(_xlpm.w="",_xlpm.v=""),"",_xlpm.v*_xlpm.w)
)</f>
        <v/>
      </c>
      <c r="Q95" s="93" t="str" cm="1">
        <f t="array" ref="Q95">_xlfn.LET(
  _xlpm.w, Q$11,
  _xlpm.r, MATCH(1,('3. Enter Indicator Scores'!$B$10:$B$161=$B95)*('3. Enter Indicator Scores'!$C$10:$C$161=$C95),0),
  _xlpm.c, MATCH(Q$8,'3. Enter Indicator Scores'!$D$8:$CZ$8,0),
  _xlpm.v, IFERROR(INDEX('3. Enter Indicator Scores'!$D$10:$CZ$161,_xlpm.r,_xlpm.c),""),
  IF(OR(_xlpm.w="",_xlpm.v=""),"",_xlpm.v*_xlpm.w)
)</f>
        <v/>
      </c>
      <c r="R95" s="93" t="str" cm="1">
        <f t="array" ref="R95">_xlfn.LET(
  _xlpm.w, R$11,
  _xlpm.r, MATCH(1,('3. Enter Indicator Scores'!$B$10:$B$161=$B95)*('3. Enter Indicator Scores'!$C$10:$C$161=$C95),0),
  _xlpm.c, MATCH(R$8,'3. Enter Indicator Scores'!$D$8:$CZ$8,0),
  _xlpm.v, IFERROR(INDEX('3. Enter Indicator Scores'!$D$10:$CZ$161,_xlpm.r,_xlpm.c),""),
  IF(OR(_xlpm.w="",_xlpm.v=""),"",_xlpm.v*_xlpm.w)
)</f>
        <v/>
      </c>
      <c r="S95" s="93" t="str" cm="1">
        <f t="array" ref="S95">_xlfn.LET(
  _xlpm.w, S$11,
  _xlpm.r, MATCH(1,('3. Enter Indicator Scores'!$B$10:$B$161=$B95)*('3. Enter Indicator Scores'!$C$10:$C$161=$C95),0),
  _xlpm.c, MATCH(S$8,'3. Enter Indicator Scores'!$D$8:$CZ$8,0),
  _xlpm.v, IFERROR(INDEX('3. Enter Indicator Scores'!$D$10:$CZ$161,_xlpm.r,_xlpm.c),""),
  IF(OR(_xlpm.w="",_xlpm.v=""),"",_xlpm.v*_xlpm.w)
)</f>
        <v/>
      </c>
      <c r="T95" s="93" t="str" cm="1">
        <f t="array" ref="T95">_xlfn.LET(
  _xlpm.w, T$11,
  _xlpm.r, MATCH(1,('3. Enter Indicator Scores'!$B$10:$B$161=$B95)*('3. Enter Indicator Scores'!$C$10:$C$161=$C95),0),
  _xlpm.c, MATCH(T$8,'3. Enter Indicator Scores'!$D$8:$CZ$8,0),
  _xlpm.v, IFERROR(INDEX('3. Enter Indicator Scores'!$D$10:$CZ$161,_xlpm.r,_xlpm.c),""),
  IF(OR(_xlpm.w="",_xlpm.v=""),"",_xlpm.v*_xlpm.w)
)</f>
        <v/>
      </c>
      <c r="U95" s="93" t="str" cm="1">
        <f t="array" ref="U95">_xlfn.LET(
  _xlpm.w, U$11,
  _xlpm.r, MATCH(1,('3. Enter Indicator Scores'!$B$10:$B$161=$B95)*('3. Enter Indicator Scores'!$C$10:$C$161=$C95),0),
  _xlpm.c, MATCH(U$8,'3. Enter Indicator Scores'!$D$8:$CZ$8,0),
  _xlpm.v, IFERROR(INDEX('3. Enter Indicator Scores'!$D$10:$CZ$161,_xlpm.r,_xlpm.c),""),
  IF(OR(_xlpm.w="",_xlpm.v=""),"",_xlpm.v*_xlpm.w)
)</f>
        <v/>
      </c>
      <c r="V95" s="93" t="str" cm="1">
        <f t="array" ref="V95">_xlfn.LET(
  _xlpm.w, V$11,
  _xlpm.r, MATCH(1,('3. Enter Indicator Scores'!$B$10:$B$161=$B95)*('3. Enter Indicator Scores'!$C$10:$C$161=$C95),0),
  _xlpm.c, MATCH(V$8,'3. Enter Indicator Scores'!$D$8:$CZ$8,0),
  _xlpm.v, IFERROR(INDEX('3. Enter Indicator Scores'!$D$10:$CZ$161,_xlpm.r,_xlpm.c),""),
  IF(OR(_xlpm.w="",_xlpm.v=""),"",_xlpm.v*_xlpm.w)
)</f>
        <v/>
      </c>
      <c r="W95" s="93" t="str" cm="1">
        <f t="array" ref="W95">_xlfn.LET(
  _xlpm.w, W$11,
  _xlpm.r, MATCH(1,('3. Enter Indicator Scores'!$B$10:$B$161=$B95)*('3. Enter Indicator Scores'!$C$10:$C$161=$C95),0),
  _xlpm.c, MATCH(W$8,'3. Enter Indicator Scores'!$D$8:$CZ$8,0),
  _xlpm.v, IFERROR(INDEX('3. Enter Indicator Scores'!$D$10:$CZ$161,_xlpm.r,_xlpm.c),""),
  IF(OR(_xlpm.w="",_xlpm.v=""),"",_xlpm.v*_xlpm.w)
)</f>
        <v/>
      </c>
      <c r="X95" s="93" t="str" cm="1">
        <f t="array" ref="X95">_xlfn.LET(
  _xlpm.w, X$11,
  _xlpm.r, MATCH(1,('3. Enter Indicator Scores'!$B$10:$B$161=$B95)*('3. Enter Indicator Scores'!$C$10:$C$161=$C95),0),
  _xlpm.c, MATCH(X$8,'3. Enter Indicator Scores'!$D$8:$CZ$8,0),
  _xlpm.v, IFERROR(INDEX('3. Enter Indicator Scores'!$D$10:$CZ$161,_xlpm.r,_xlpm.c),""),
  IF(OR(_xlpm.w="",_xlpm.v=""),"",_xlpm.v*_xlpm.w)
)</f>
        <v/>
      </c>
      <c r="Y95" s="93" t="str" cm="1">
        <f t="array" ref="Y95">_xlfn.LET(
  _xlpm.w, Y$11,
  _xlpm.r, MATCH(1,('3. Enter Indicator Scores'!$B$10:$B$161=$B95)*('3. Enter Indicator Scores'!$C$10:$C$161=$C95),0),
  _xlpm.c, MATCH(Y$8,'3. Enter Indicator Scores'!$D$8:$CZ$8,0),
  _xlpm.v, IFERROR(INDEX('3. Enter Indicator Scores'!$D$10:$CZ$161,_xlpm.r,_xlpm.c),""),
  IF(OR(_xlpm.w="",_xlpm.v=""),"",_xlpm.v*_xlpm.w)
)</f>
        <v/>
      </c>
      <c r="Z95" s="93" t="str" cm="1">
        <f t="array" ref="Z95">_xlfn.LET(
  _xlpm.w, Z$11,
  _xlpm.r, MATCH(1,('3. Enter Indicator Scores'!$B$10:$B$161=$B95)*('3. Enter Indicator Scores'!$C$10:$C$161=$C95),0),
  _xlpm.c, MATCH(Z$8,'3. Enter Indicator Scores'!$D$8:$CZ$8,0),
  _xlpm.v, IFERROR(INDEX('3. Enter Indicator Scores'!$D$10:$CZ$161,_xlpm.r,_xlpm.c),""),
  IF(OR(_xlpm.w="",_xlpm.v=""),"",_xlpm.v*_xlpm.w)
)</f>
        <v/>
      </c>
      <c r="AA95" s="93" t="str" cm="1">
        <f t="array" ref="AA95">_xlfn.LET(
  _xlpm.w, AA$11,
  _xlpm.r, MATCH(1,('3. Enter Indicator Scores'!$B$10:$B$161=$B95)*('3. Enter Indicator Scores'!$C$10:$C$161=$C95),0),
  _xlpm.c, MATCH(AA$8,'3. Enter Indicator Scores'!$D$8:$CZ$8,0),
  _xlpm.v, IFERROR(INDEX('3. Enter Indicator Scores'!$D$10:$CZ$161,_xlpm.r,_xlpm.c),""),
  IF(OR(_xlpm.w="",_xlpm.v=""),"",_xlpm.v*_xlpm.w)
)</f>
        <v/>
      </c>
      <c r="AB95" s="93" t="str" cm="1">
        <f t="array" ref="AB95">_xlfn.LET(
  _xlpm.w, AB$11,
  _xlpm.r, MATCH(1,('3. Enter Indicator Scores'!$B$10:$B$161=$B95)*('3. Enter Indicator Scores'!$C$10:$C$161=$C95),0),
  _xlpm.c, MATCH(AB$8,'3. Enter Indicator Scores'!$D$8:$CZ$8,0),
  _xlpm.v, IFERROR(INDEX('3. Enter Indicator Scores'!$D$10:$CZ$161,_xlpm.r,_xlpm.c),""),
  IF(OR(_xlpm.w="",_xlpm.v=""),"",_xlpm.v*_xlpm.w)
)</f>
        <v/>
      </c>
      <c r="AC95" s="93" t="str" cm="1">
        <f t="array" ref="AC95">_xlfn.LET(
  _xlpm.w, AC$11,
  _xlpm.r, MATCH(1,('3. Enter Indicator Scores'!$B$10:$B$161=$B95)*('3. Enter Indicator Scores'!$C$10:$C$161=$C95),0),
  _xlpm.c, MATCH(AC$8,'3. Enter Indicator Scores'!$D$8:$CZ$8,0),
  _xlpm.v, IFERROR(INDEX('3. Enter Indicator Scores'!$D$10:$CZ$161,_xlpm.r,_xlpm.c),""),
  IF(OR(_xlpm.w="",_xlpm.v=""),"",_xlpm.v*_xlpm.w)
)</f>
        <v/>
      </c>
      <c r="AD95" s="93" t="str" cm="1">
        <f t="array" ref="AD95">_xlfn.LET(
  _xlpm.w, AD$11,
  _xlpm.r, MATCH(1,('3. Enter Indicator Scores'!$B$10:$B$161=$B95)*('3. Enter Indicator Scores'!$C$10:$C$161=$C95),0),
  _xlpm.c, MATCH(AD$8,'3. Enter Indicator Scores'!$D$8:$CZ$8,0),
  _xlpm.v, IFERROR(INDEX('3. Enter Indicator Scores'!$D$10:$CZ$161,_xlpm.r,_xlpm.c),""),
  IF(OR(_xlpm.w="",_xlpm.v=""),"",_xlpm.v*_xlpm.w)
)</f>
        <v/>
      </c>
      <c r="AE95" s="93" t="str" cm="1">
        <f t="array" ref="AE95">_xlfn.LET(
  _xlpm.w, AE$11,
  _xlpm.r, MATCH(1,('3. Enter Indicator Scores'!$B$10:$B$161=$B95)*('3. Enter Indicator Scores'!$C$10:$C$161=$C95),0),
  _xlpm.c, MATCH(AE$8,'3. Enter Indicator Scores'!$D$8:$CZ$8,0),
  _xlpm.v, IFERROR(INDEX('3. Enter Indicator Scores'!$D$10:$CZ$161,_xlpm.r,_xlpm.c),""),
  IF(OR(_xlpm.w="",_xlpm.v=""),"",_xlpm.v*_xlpm.w)
)</f>
        <v/>
      </c>
      <c r="AF95" s="93" t="str" cm="1">
        <f t="array" ref="AF95">_xlfn.LET(
  _xlpm.w, AF$11,
  _xlpm.r, MATCH(1,('3. Enter Indicator Scores'!$B$10:$B$161=$B95)*('3. Enter Indicator Scores'!$C$10:$C$161=$C95),0),
  _xlpm.c, MATCH(AF$8,'3. Enter Indicator Scores'!$D$8:$CZ$8,0),
  _xlpm.v, IFERROR(INDEX('3. Enter Indicator Scores'!$D$10:$CZ$161,_xlpm.r,_xlpm.c),""),
  IF(OR(_xlpm.w="",_xlpm.v=""),"",_xlpm.v*_xlpm.w)
)</f>
        <v/>
      </c>
      <c r="AG95" s="93" t="str" cm="1">
        <f t="array" ref="AG95">_xlfn.LET(
  _xlpm.w, AG$11,
  _xlpm.r, MATCH(1,('3. Enter Indicator Scores'!$B$10:$B$161=$B95)*('3. Enter Indicator Scores'!$C$10:$C$161=$C95),0),
  _xlpm.c, MATCH(AG$8,'3. Enter Indicator Scores'!$D$8:$CZ$8,0),
  _xlpm.v, IFERROR(INDEX('3. Enter Indicator Scores'!$D$10:$CZ$161,_xlpm.r,_xlpm.c),""),
  IF(OR(_xlpm.w="",_xlpm.v=""),"",_xlpm.v*_xlpm.w)
)</f>
        <v/>
      </c>
      <c r="AH95" s="93" t="str" cm="1">
        <f t="array" ref="AH95">_xlfn.LET(
  _xlpm.w, AH$11,
  _xlpm.r, MATCH(1,('3. Enter Indicator Scores'!$B$10:$B$161=$B95)*('3. Enter Indicator Scores'!$C$10:$C$161=$C95),0),
  _xlpm.c, MATCH(AH$8,'3. Enter Indicator Scores'!$D$8:$CZ$8,0),
  _xlpm.v, IFERROR(INDEX('3. Enter Indicator Scores'!$D$10:$CZ$161,_xlpm.r,_xlpm.c),""),
  IF(OR(_xlpm.w="",_xlpm.v=""),"",_xlpm.v*_xlpm.w)
)</f>
        <v/>
      </c>
      <c r="AI95" s="93" t="str" cm="1">
        <f t="array" ref="AI95">_xlfn.LET(
  _xlpm.w, AI$11,
  _xlpm.r, MATCH(1,('3. Enter Indicator Scores'!$B$10:$B$161=$B95)*('3. Enter Indicator Scores'!$C$10:$C$161=$C95),0),
  _xlpm.c, MATCH(AI$8,'3. Enter Indicator Scores'!$D$8:$CZ$8,0),
  _xlpm.v, IFERROR(INDEX('3. Enter Indicator Scores'!$D$10:$CZ$161,_xlpm.r,_xlpm.c),""),
  IF(OR(_xlpm.w="",_xlpm.v=""),"",_xlpm.v*_xlpm.w)
)</f>
        <v/>
      </c>
      <c r="AJ95" s="93" t="str" cm="1">
        <f t="array" ref="AJ95">_xlfn.LET(
  _xlpm.w, AJ$11,
  _xlpm.r, MATCH(1,('3. Enter Indicator Scores'!$B$10:$B$161=$B95)*('3. Enter Indicator Scores'!$C$10:$C$161=$C95),0),
  _xlpm.c, MATCH(AJ$8,'3. Enter Indicator Scores'!$D$8:$CZ$8,0),
  _xlpm.v, IFERROR(INDEX('3. Enter Indicator Scores'!$D$10:$CZ$161,_xlpm.r,_xlpm.c),""),
  IF(OR(_xlpm.w="",_xlpm.v=""),"",_xlpm.v*_xlpm.w)
)</f>
        <v/>
      </c>
      <c r="AK95" s="93" t="str" cm="1">
        <f t="array" ref="AK95">_xlfn.LET(
  _xlpm.w, AK$11,
  _xlpm.r, MATCH(1,('3. Enter Indicator Scores'!$B$10:$B$161=$B95)*('3. Enter Indicator Scores'!$C$10:$C$161=$C95),0),
  _xlpm.c, MATCH(AK$8,'3. Enter Indicator Scores'!$D$8:$CZ$8,0),
  _xlpm.v, IFERROR(INDEX('3. Enter Indicator Scores'!$D$10:$CZ$161,_xlpm.r,_xlpm.c),""),
  IF(OR(_xlpm.w="",_xlpm.v=""),"",_xlpm.v*_xlpm.w)
)</f>
        <v/>
      </c>
      <c r="AL95" s="93" t="str" cm="1">
        <f t="array" ref="AL95">_xlfn.LET(
  _xlpm.w, AL$11,
  _xlpm.r, MATCH(1,('3. Enter Indicator Scores'!$B$10:$B$161=$B95)*('3. Enter Indicator Scores'!$C$10:$C$161=$C95),0),
  _xlpm.c, MATCH(AL$8,'3. Enter Indicator Scores'!$D$8:$CZ$8,0),
  _xlpm.v, IFERROR(INDEX('3. Enter Indicator Scores'!$D$10:$CZ$161,_xlpm.r,_xlpm.c),""),
  IF(OR(_xlpm.w="",_xlpm.v=""),"",_xlpm.v*_xlpm.w)
)</f>
        <v/>
      </c>
      <c r="AM95" s="93" t="str" cm="1">
        <f t="array" ref="AM95">_xlfn.LET(
  _xlpm.w, AM$11,
  _xlpm.r, MATCH(1,('3. Enter Indicator Scores'!$B$10:$B$161=$B95)*('3. Enter Indicator Scores'!$C$10:$C$161=$C95),0),
  _xlpm.c, MATCH(AM$8,'3. Enter Indicator Scores'!$D$8:$CZ$8,0),
  _xlpm.v, IFERROR(INDEX('3. Enter Indicator Scores'!$D$10:$CZ$161,_xlpm.r,_xlpm.c),""),
  IF(OR(_xlpm.w="",_xlpm.v=""),"",_xlpm.v*_xlpm.w)
)</f>
        <v/>
      </c>
      <c r="AN95" s="93" t="str" cm="1">
        <f t="array" ref="AN95">_xlfn.LET(
  _xlpm.w, AN$11,
  _xlpm.r, MATCH(1,('3. Enter Indicator Scores'!$B$10:$B$161=$B95)*('3. Enter Indicator Scores'!$C$10:$C$161=$C95),0),
  _xlpm.c, MATCH(AN$8,'3. Enter Indicator Scores'!$D$8:$CZ$8,0),
  _xlpm.v, IFERROR(INDEX('3. Enter Indicator Scores'!$D$10:$CZ$161,_xlpm.r,_xlpm.c),""),
  IF(OR(_xlpm.w="",_xlpm.v=""),"",_xlpm.v*_xlpm.w)
)</f>
        <v/>
      </c>
      <c r="AO95" s="93" t="str" cm="1">
        <f t="array" ref="AO95">_xlfn.LET(
  _xlpm.w, AO$11,
  _xlpm.r, MATCH(1,('3. Enter Indicator Scores'!$B$10:$B$161=$B95)*('3. Enter Indicator Scores'!$C$10:$C$161=$C95),0),
  _xlpm.c, MATCH(AO$8,'3. Enter Indicator Scores'!$D$8:$CZ$8,0),
  _xlpm.v, IFERROR(INDEX('3. Enter Indicator Scores'!$D$10:$CZ$161,_xlpm.r,_xlpm.c),""),
  IF(OR(_xlpm.w="",_xlpm.v=""),"",_xlpm.v*_xlpm.w)
)</f>
        <v/>
      </c>
      <c r="AP95" s="93" t="str" cm="1">
        <f t="array" ref="AP95">_xlfn.LET(
  _xlpm.w, AP$11,
  _xlpm.r, MATCH(1,('3. Enter Indicator Scores'!$B$10:$B$161=$B95)*('3. Enter Indicator Scores'!$C$10:$C$161=$C95),0),
  _xlpm.c, MATCH(AP$8,'3. Enter Indicator Scores'!$D$8:$CZ$8,0),
  _xlpm.v, IFERROR(INDEX('3. Enter Indicator Scores'!$D$10:$CZ$161,_xlpm.r,_xlpm.c),""),
  IF(OR(_xlpm.w="",_xlpm.v=""),"",_xlpm.v*_xlpm.w)
)</f>
        <v/>
      </c>
      <c r="AQ95" s="93" t="str" cm="1">
        <f t="array" ref="AQ95">_xlfn.LET(
  _xlpm.w, AQ$11,
  _xlpm.r, MATCH(1,('3. Enter Indicator Scores'!$B$10:$B$161=$B95)*('3. Enter Indicator Scores'!$C$10:$C$161=$C95),0),
  _xlpm.c, MATCH(AQ$8,'3. Enter Indicator Scores'!$D$8:$CZ$8,0),
  _xlpm.v, IFERROR(INDEX('3. Enter Indicator Scores'!$D$10:$CZ$161,_xlpm.r,_xlpm.c),""),
  IF(OR(_xlpm.w="",_xlpm.v=""),"",_xlpm.v*_xlpm.w)
)</f>
        <v/>
      </c>
      <c r="AR95" s="93" t="str" cm="1">
        <f t="array" ref="AR95">_xlfn.LET(
  _xlpm.w, AR$11,
  _xlpm.r, MATCH(1,('3. Enter Indicator Scores'!$B$10:$B$161=$B95)*('3. Enter Indicator Scores'!$C$10:$C$161=$C95),0),
  _xlpm.c, MATCH(AR$8,'3. Enter Indicator Scores'!$D$8:$CZ$8,0),
  _xlpm.v, IFERROR(INDEX('3. Enter Indicator Scores'!$D$10:$CZ$161,_xlpm.r,_xlpm.c),""),
  IF(OR(_xlpm.w="",_xlpm.v=""),"",_xlpm.v*_xlpm.w)
)</f>
        <v/>
      </c>
      <c r="AS95" s="93" t="str" cm="1">
        <f t="array" ref="AS95">_xlfn.LET(
  _xlpm.w, AS$11,
  _xlpm.r, MATCH(1,('3. Enter Indicator Scores'!$B$10:$B$161=$B95)*('3. Enter Indicator Scores'!$C$10:$C$161=$C95),0),
  _xlpm.c, MATCH(AS$8,'3. Enter Indicator Scores'!$D$8:$CZ$8,0),
  _xlpm.v, IFERROR(INDEX('3. Enter Indicator Scores'!$D$10:$CZ$161,_xlpm.r,_xlpm.c),""),
  IF(OR(_xlpm.w="",_xlpm.v=""),"",_xlpm.v*_xlpm.w)
)</f>
        <v/>
      </c>
      <c r="AT95" s="93" t="str" cm="1">
        <f t="array" ref="AT95">_xlfn.LET(
  _xlpm.w, AT$11,
  _xlpm.r, MATCH(1,('3. Enter Indicator Scores'!$B$10:$B$161=$B95)*('3. Enter Indicator Scores'!$C$10:$C$161=$C95),0),
  _xlpm.c, MATCH(AT$8,'3. Enter Indicator Scores'!$D$8:$CZ$8,0),
  _xlpm.v, IFERROR(INDEX('3. Enter Indicator Scores'!$D$10:$CZ$161,_xlpm.r,_xlpm.c),""),
  IF(OR(_xlpm.w="",_xlpm.v=""),"",_xlpm.v*_xlpm.w)
)</f>
        <v/>
      </c>
      <c r="AU95" s="93" t="str" cm="1">
        <f t="array" ref="AU95">_xlfn.LET(
  _xlpm.w, AU$11,
  _xlpm.r, MATCH(1,('3. Enter Indicator Scores'!$B$10:$B$161=$B95)*('3. Enter Indicator Scores'!$C$10:$C$161=$C95),0),
  _xlpm.c, MATCH(AU$8,'3. Enter Indicator Scores'!$D$8:$CZ$8,0),
  _xlpm.v, IFERROR(INDEX('3. Enter Indicator Scores'!$D$10:$CZ$161,_xlpm.r,_xlpm.c),""),
  IF(OR(_xlpm.w="",_xlpm.v=""),"",_xlpm.v*_xlpm.w)
)</f>
        <v/>
      </c>
      <c r="AV95" s="93" t="str" cm="1">
        <f t="array" ref="AV95">_xlfn.LET(
  _xlpm.w, AV$11,
  _xlpm.r, MATCH(1,('3. Enter Indicator Scores'!$B$10:$B$161=$B95)*('3. Enter Indicator Scores'!$C$10:$C$161=$C95),0),
  _xlpm.c, MATCH(AV$8,'3. Enter Indicator Scores'!$D$8:$CZ$8,0),
  _xlpm.v, IFERROR(INDEX('3. Enter Indicator Scores'!$D$10:$CZ$161,_xlpm.r,_xlpm.c),""),
  IF(OR(_xlpm.w="",_xlpm.v=""),"",_xlpm.v*_xlpm.w)
)</f>
        <v/>
      </c>
      <c r="AW95" s="93" t="str" cm="1">
        <f t="array" ref="AW95">_xlfn.LET(
  _xlpm.w, AW$11,
  _xlpm.r, MATCH(1,('3. Enter Indicator Scores'!$B$10:$B$161=$B95)*('3. Enter Indicator Scores'!$C$10:$C$161=$C95),0),
  _xlpm.c, MATCH(AW$8,'3. Enter Indicator Scores'!$D$8:$CZ$8,0),
  _xlpm.v, IFERROR(INDEX('3. Enter Indicator Scores'!$D$10:$CZ$161,_xlpm.r,_xlpm.c),""),
  IF(OR(_xlpm.w="",_xlpm.v=""),"",_xlpm.v*_xlpm.w)
)</f>
        <v/>
      </c>
      <c r="AX95" s="93" t="str" cm="1">
        <f t="array" ref="AX95">_xlfn.LET(
  _xlpm.w, AX$11,
  _xlpm.r, MATCH(1,('3. Enter Indicator Scores'!$B$10:$B$161=$B95)*('3. Enter Indicator Scores'!$C$10:$C$161=$C95),0),
  _xlpm.c, MATCH(AX$8,'3. Enter Indicator Scores'!$D$8:$CZ$8,0),
  _xlpm.v, IFERROR(INDEX('3. Enter Indicator Scores'!$D$10:$CZ$161,_xlpm.r,_xlpm.c),""),
  IF(OR(_xlpm.w="",_xlpm.v=""),"",_xlpm.v*_xlpm.w)
)</f>
        <v/>
      </c>
      <c r="AY95" s="93" t="str" cm="1">
        <f t="array" ref="AY95">_xlfn.LET(
  _xlpm.w, AY$11,
  _xlpm.r, MATCH(1,('3. Enter Indicator Scores'!$B$10:$B$161=$B95)*('3. Enter Indicator Scores'!$C$10:$C$161=$C95),0),
  _xlpm.c, MATCH(AY$8,'3. Enter Indicator Scores'!$D$8:$CZ$8,0),
  _xlpm.v, IFERROR(INDEX('3. Enter Indicator Scores'!$D$10:$CZ$161,_xlpm.r,_xlpm.c),""),
  IF(OR(_xlpm.w="",_xlpm.v=""),"",_xlpm.v*_xlpm.w)
)</f>
        <v/>
      </c>
      <c r="AZ95" s="93" t="str" cm="1">
        <f t="array" ref="AZ95">_xlfn.LET(
  _xlpm.w, AZ$11,
  _xlpm.r, MATCH(1,('3. Enter Indicator Scores'!$B$10:$B$161=$B95)*('3. Enter Indicator Scores'!$C$10:$C$161=$C95),0),
  _xlpm.c, MATCH(AZ$8,'3. Enter Indicator Scores'!$D$8:$CZ$8,0),
  _xlpm.v, IFERROR(INDEX('3. Enter Indicator Scores'!$D$10:$CZ$161,_xlpm.r,_xlpm.c),""),
  IF(OR(_xlpm.w="",_xlpm.v=""),"",_xlpm.v*_xlpm.w)
)</f>
        <v/>
      </c>
      <c r="BA95" s="93" t="str" cm="1">
        <f t="array" ref="BA95">_xlfn.LET(
  _xlpm.w, BA$11,
  _xlpm.r, MATCH(1,('3. Enter Indicator Scores'!$B$10:$B$161=$B95)*('3. Enter Indicator Scores'!$C$10:$C$161=$C95),0),
  _xlpm.c, MATCH(BA$8,'3. Enter Indicator Scores'!$D$8:$CZ$8,0),
  _xlpm.v, IFERROR(INDEX('3. Enter Indicator Scores'!$D$10:$CZ$161,_xlpm.r,_xlpm.c),""),
  IF(OR(_xlpm.w="",_xlpm.v=""),"",_xlpm.v*_xlpm.w)
)</f>
        <v/>
      </c>
      <c r="BB95" s="93" t="str" cm="1">
        <f t="array" ref="BB95">_xlfn.LET(
  _xlpm.w, BB$11,
  _xlpm.r, MATCH(1,('3. Enter Indicator Scores'!$B$10:$B$161=$B95)*('3. Enter Indicator Scores'!$C$10:$C$161=$C95),0),
  _xlpm.c, MATCH(BB$8,'3. Enter Indicator Scores'!$D$8:$CZ$8,0),
  _xlpm.v, IFERROR(INDEX('3. Enter Indicator Scores'!$D$10:$CZ$161,_xlpm.r,_xlpm.c),""),
  IF(OR(_xlpm.w="",_xlpm.v=""),"",_xlpm.v*_xlpm.w)
)</f>
        <v/>
      </c>
      <c r="BC95" s="93" t="str" cm="1">
        <f t="array" ref="BC95">_xlfn.LET(
  _xlpm.w, BC$11,
  _xlpm.r, MATCH(1,('3. Enter Indicator Scores'!$B$10:$B$161=$B95)*('3. Enter Indicator Scores'!$C$10:$C$161=$C95),0),
  _xlpm.c, MATCH(BC$8,'3. Enter Indicator Scores'!$D$8:$CZ$8,0),
  _xlpm.v, IFERROR(INDEX('3. Enter Indicator Scores'!$D$10:$CZ$161,_xlpm.r,_xlpm.c),""),
  IF(OR(_xlpm.w="",_xlpm.v=""),"",_xlpm.v*_xlpm.w)
)</f>
        <v/>
      </c>
      <c r="BD95" s="93" t="str" cm="1">
        <f t="array" ref="BD95">_xlfn.LET(
  _xlpm.w, BD$11,
  _xlpm.r, MATCH(1,('3. Enter Indicator Scores'!$B$10:$B$161=$B95)*('3. Enter Indicator Scores'!$C$10:$C$161=$C95),0),
  _xlpm.c, MATCH(BD$8,'3. Enter Indicator Scores'!$D$8:$CZ$8,0),
  _xlpm.v, IFERROR(INDEX('3. Enter Indicator Scores'!$D$10:$CZ$161,_xlpm.r,_xlpm.c),""),
  IF(OR(_xlpm.w="",_xlpm.v=""),"",_xlpm.v*_xlpm.w)
)</f>
        <v/>
      </c>
      <c r="BE95" s="93" t="str" cm="1">
        <f t="array" ref="BE95">_xlfn.LET(
  _xlpm.w, BE$11,
  _xlpm.r, MATCH(1,('3. Enter Indicator Scores'!$B$10:$B$161=$B95)*('3. Enter Indicator Scores'!$C$10:$C$161=$C95),0),
  _xlpm.c, MATCH(BE$8,'3. Enter Indicator Scores'!$D$8:$CZ$8,0),
  _xlpm.v, IFERROR(INDEX('3. Enter Indicator Scores'!$D$10:$CZ$161,_xlpm.r,_xlpm.c),""),
  IF(OR(_xlpm.w="",_xlpm.v=""),"",_xlpm.v*_xlpm.w)
)</f>
        <v/>
      </c>
      <c r="BF95" s="93" t="str" cm="1">
        <f t="array" ref="BF95">_xlfn.LET(
  _xlpm.w, BF$11,
  _xlpm.r, MATCH(1,('3. Enter Indicator Scores'!$B$10:$B$161=$B95)*('3. Enter Indicator Scores'!$C$10:$C$161=$C95),0),
  _xlpm.c, MATCH(BF$8,'3. Enter Indicator Scores'!$D$8:$CZ$8,0),
  _xlpm.v, IFERROR(INDEX('3. Enter Indicator Scores'!$D$10:$CZ$161,_xlpm.r,_xlpm.c),""),
  IF(OR(_xlpm.w="",_xlpm.v=""),"",_xlpm.v*_xlpm.w)
)</f>
        <v/>
      </c>
      <c r="BG95" s="93" t="str" cm="1">
        <f t="array" ref="BG95">_xlfn.LET(
  _xlpm.w, BG$11,
  _xlpm.r, MATCH(1,('3. Enter Indicator Scores'!$B$10:$B$161=$B95)*('3. Enter Indicator Scores'!$C$10:$C$161=$C95),0),
  _xlpm.c, MATCH(BG$8,'3. Enter Indicator Scores'!$D$8:$CZ$8,0),
  _xlpm.v, IFERROR(INDEX('3. Enter Indicator Scores'!$D$10:$CZ$161,_xlpm.r,_xlpm.c),""),
  IF(OR(_xlpm.w="",_xlpm.v=""),"",_xlpm.v*_xlpm.w)
)</f>
        <v/>
      </c>
      <c r="BH95" s="93" t="str" cm="1">
        <f t="array" ref="BH95">_xlfn.LET(
  _xlpm.w, BH$11,
  _xlpm.r, MATCH(1,('3. Enter Indicator Scores'!$B$10:$B$161=$B95)*('3. Enter Indicator Scores'!$C$10:$C$161=$C95),0),
  _xlpm.c, MATCH(BH$8,'3. Enter Indicator Scores'!$D$8:$CZ$8,0),
  _xlpm.v, IFERROR(INDEX('3. Enter Indicator Scores'!$D$10:$CZ$161,_xlpm.r,_xlpm.c),""),
  IF(OR(_xlpm.w="",_xlpm.v=""),"",_xlpm.v*_xlpm.w)
)</f>
        <v/>
      </c>
      <c r="BI95" s="93" t="str" cm="1">
        <f t="array" ref="BI95">_xlfn.LET(
  _xlpm.w, BI$11,
  _xlpm.r, MATCH(1,('3. Enter Indicator Scores'!$B$10:$B$161=$B95)*('3. Enter Indicator Scores'!$C$10:$C$161=$C95),0),
  _xlpm.c, MATCH(BI$8,'3. Enter Indicator Scores'!$D$8:$CZ$8,0),
  _xlpm.v, IFERROR(INDEX('3. Enter Indicator Scores'!$D$10:$CZ$161,_xlpm.r,_xlpm.c),""),
  IF(OR(_xlpm.w="",_xlpm.v=""),"",_xlpm.v*_xlpm.w)
)</f>
        <v/>
      </c>
      <c r="BJ95" s="93" t="str" cm="1">
        <f t="array" ref="BJ95">_xlfn.LET(
  _xlpm.w, BJ$11,
  _xlpm.r, MATCH(1,('3. Enter Indicator Scores'!$B$10:$B$161=$B95)*('3. Enter Indicator Scores'!$C$10:$C$161=$C95),0),
  _xlpm.c, MATCH(BJ$8,'3. Enter Indicator Scores'!$D$8:$CZ$8,0),
  _xlpm.v, IFERROR(INDEX('3. Enter Indicator Scores'!$D$10:$CZ$161,_xlpm.r,_xlpm.c),""),
  IF(OR(_xlpm.w="",_xlpm.v=""),"",_xlpm.v*_xlpm.w)
)</f>
        <v/>
      </c>
      <c r="BK95" s="93" t="str" cm="1">
        <f t="array" ref="BK95">_xlfn.LET(
  _xlpm.w, BK$11,
  _xlpm.r, MATCH(1,('3. Enter Indicator Scores'!$B$10:$B$161=$B95)*('3. Enter Indicator Scores'!$C$10:$C$161=$C95),0),
  _xlpm.c, MATCH(BK$8,'3. Enter Indicator Scores'!$D$8:$CZ$8,0),
  _xlpm.v, IFERROR(INDEX('3. Enter Indicator Scores'!$D$10:$CZ$161,_xlpm.r,_xlpm.c),""),
  IF(OR(_xlpm.w="",_xlpm.v=""),"",_xlpm.v*_xlpm.w)
)</f>
        <v/>
      </c>
      <c r="BL95" s="93" t="str" cm="1">
        <f t="array" ref="BL95">_xlfn.LET(
  _xlpm.w, BL$11,
  _xlpm.r, MATCH(1,('3. Enter Indicator Scores'!$B$10:$B$161=$B95)*('3. Enter Indicator Scores'!$C$10:$C$161=$C95),0),
  _xlpm.c, MATCH(BL$8,'3. Enter Indicator Scores'!$D$8:$CZ$8,0),
  _xlpm.v, IFERROR(INDEX('3. Enter Indicator Scores'!$D$10:$CZ$161,_xlpm.r,_xlpm.c),""),
  IF(OR(_xlpm.w="",_xlpm.v=""),"",_xlpm.v*_xlpm.w)
)</f>
        <v/>
      </c>
      <c r="BM95" s="93" t="str" cm="1">
        <f t="array" ref="BM95">_xlfn.LET(
  _xlpm.w, BM$11,
  _xlpm.r, MATCH(1,('3. Enter Indicator Scores'!$B$10:$B$161=$B95)*('3. Enter Indicator Scores'!$C$10:$C$161=$C95),0),
  _xlpm.c, MATCH(BM$8,'3. Enter Indicator Scores'!$D$8:$CZ$8,0),
  _xlpm.v, IFERROR(INDEX('3. Enter Indicator Scores'!$D$10:$CZ$161,_xlpm.r,_xlpm.c),""),
  IF(OR(_xlpm.w="",_xlpm.v=""),"",_xlpm.v*_xlpm.w)
)</f>
        <v/>
      </c>
      <c r="BN95" s="93" t="str" cm="1">
        <f t="array" ref="BN95">_xlfn.LET(
  _xlpm.w, BN$11,
  _xlpm.r, MATCH(1,('3. Enter Indicator Scores'!$B$10:$B$161=$B95)*('3. Enter Indicator Scores'!$C$10:$C$161=$C95),0),
  _xlpm.c, MATCH(BN$8,'3. Enter Indicator Scores'!$D$8:$CZ$8,0),
  _xlpm.v, IFERROR(INDEX('3. Enter Indicator Scores'!$D$10:$CZ$161,_xlpm.r,_xlpm.c),""),
  IF(OR(_xlpm.w="",_xlpm.v=""),"",_xlpm.v*_xlpm.w)
)</f>
        <v/>
      </c>
      <c r="BO95" s="93" t="str" cm="1">
        <f t="array" ref="BO95">_xlfn.LET(
  _xlpm.w, BO$11,
  _xlpm.r, MATCH(1,('3. Enter Indicator Scores'!$B$10:$B$161=$B95)*('3. Enter Indicator Scores'!$C$10:$C$161=$C95),0),
  _xlpm.c, MATCH(BO$8,'3. Enter Indicator Scores'!$D$8:$CZ$8,0),
  _xlpm.v, IFERROR(INDEX('3. Enter Indicator Scores'!$D$10:$CZ$161,_xlpm.r,_xlpm.c),""),
  IF(OR(_xlpm.w="",_xlpm.v=""),"",_xlpm.v*_xlpm.w)
)</f>
        <v/>
      </c>
      <c r="BP95" s="93" t="str" cm="1">
        <f t="array" ref="BP95">_xlfn.LET(
  _xlpm.w, BP$11,
  _xlpm.r, MATCH(1,('3. Enter Indicator Scores'!$B$10:$B$161=$B95)*('3. Enter Indicator Scores'!$C$10:$C$161=$C95),0),
  _xlpm.c, MATCH(BP$8,'3. Enter Indicator Scores'!$D$8:$CZ$8,0),
  _xlpm.v, IFERROR(INDEX('3. Enter Indicator Scores'!$D$10:$CZ$161,_xlpm.r,_xlpm.c),""),
  IF(OR(_xlpm.w="",_xlpm.v=""),"",_xlpm.v*_xlpm.w)
)</f>
        <v/>
      </c>
      <c r="BQ95" s="93" t="str" cm="1">
        <f t="array" ref="BQ95">_xlfn.LET(
  _xlpm.w, BQ$11,
  _xlpm.r, MATCH(1,('3. Enter Indicator Scores'!$B$10:$B$161=$B95)*('3. Enter Indicator Scores'!$C$10:$C$161=$C95),0),
  _xlpm.c, MATCH(BQ$8,'3. Enter Indicator Scores'!$D$8:$CZ$8,0),
  _xlpm.v, IFERROR(INDEX('3. Enter Indicator Scores'!$D$10:$CZ$161,_xlpm.r,_xlpm.c),""),
  IF(OR(_xlpm.w="",_xlpm.v=""),"",_xlpm.v*_xlpm.w)
)</f>
        <v/>
      </c>
      <c r="BR95" s="93" t="str" cm="1">
        <f t="array" ref="BR95">_xlfn.LET(
  _xlpm.w, BR$11,
  _xlpm.r, MATCH(1,('3. Enter Indicator Scores'!$B$10:$B$161=$B95)*('3. Enter Indicator Scores'!$C$10:$C$161=$C95),0),
  _xlpm.c, MATCH(BR$8,'3. Enter Indicator Scores'!$D$8:$CZ$8,0),
  _xlpm.v, IFERROR(INDEX('3. Enter Indicator Scores'!$D$10:$CZ$161,_xlpm.r,_xlpm.c),""),
  IF(OR(_xlpm.w="",_xlpm.v=""),"",_xlpm.v*_xlpm.w)
)</f>
        <v/>
      </c>
      <c r="BS95" s="93" t="str" cm="1">
        <f t="array" ref="BS95">_xlfn.LET(
  _xlpm.w, BS$11,
  _xlpm.r, MATCH(1,('3. Enter Indicator Scores'!$B$10:$B$161=$B95)*('3. Enter Indicator Scores'!$C$10:$C$161=$C95),0),
  _xlpm.c, MATCH(BS$8,'3. Enter Indicator Scores'!$D$8:$CZ$8,0),
  _xlpm.v, IFERROR(INDEX('3. Enter Indicator Scores'!$D$10:$CZ$161,_xlpm.r,_xlpm.c),""),
  IF(OR(_xlpm.w="",_xlpm.v=""),"",_xlpm.v*_xlpm.w)
)</f>
        <v/>
      </c>
      <c r="BT95" s="93" t="str" cm="1">
        <f t="array" ref="BT95">_xlfn.LET(
  _xlpm.w, BT$11,
  _xlpm.r, MATCH(1,('3. Enter Indicator Scores'!$B$10:$B$161=$B95)*('3. Enter Indicator Scores'!$C$10:$C$161=$C95),0),
  _xlpm.c, MATCH(BT$8,'3. Enter Indicator Scores'!$D$8:$CZ$8,0),
  _xlpm.v, IFERROR(INDEX('3. Enter Indicator Scores'!$D$10:$CZ$161,_xlpm.r,_xlpm.c),""),
  IF(OR(_xlpm.w="",_xlpm.v=""),"",_xlpm.v*_xlpm.w)
)</f>
        <v/>
      </c>
      <c r="BU95" s="93" t="str" cm="1">
        <f t="array" ref="BU95">_xlfn.LET(
  _xlpm.w, BU$11,
  _xlpm.r, MATCH(1,('3. Enter Indicator Scores'!$B$10:$B$161=$B95)*('3. Enter Indicator Scores'!$C$10:$C$161=$C95),0),
  _xlpm.c, MATCH(BU$8,'3. Enter Indicator Scores'!$D$8:$CZ$8,0),
  _xlpm.v, IFERROR(INDEX('3. Enter Indicator Scores'!$D$10:$CZ$161,_xlpm.r,_xlpm.c),""),
  IF(OR(_xlpm.w="",_xlpm.v=""),"",_xlpm.v*_xlpm.w)
)</f>
        <v/>
      </c>
      <c r="BV95" s="93" t="str" cm="1">
        <f t="array" ref="BV95">_xlfn.LET(
  _xlpm.w, BV$11,
  _xlpm.r, MATCH(1,('3. Enter Indicator Scores'!$B$10:$B$161=$B95)*('3. Enter Indicator Scores'!$C$10:$C$161=$C95),0),
  _xlpm.c, MATCH(BV$8,'3. Enter Indicator Scores'!$D$8:$CZ$8,0),
  _xlpm.v, IFERROR(INDEX('3. Enter Indicator Scores'!$D$10:$CZ$161,_xlpm.r,_xlpm.c),""),
  IF(OR(_xlpm.w="",_xlpm.v=""),"",_xlpm.v*_xlpm.w)
)</f>
        <v/>
      </c>
      <c r="BW95" s="93" t="str" cm="1">
        <f t="array" ref="BW95">_xlfn.LET(
  _xlpm.w, BW$11,
  _xlpm.r, MATCH(1,('3. Enter Indicator Scores'!$B$10:$B$161=$B95)*('3. Enter Indicator Scores'!$C$10:$C$161=$C95),0),
  _xlpm.c, MATCH(BW$8,'3. Enter Indicator Scores'!$D$8:$CZ$8,0),
  _xlpm.v, IFERROR(INDEX('3. Enter Indicator Scores'!$D$10:$CZ$161,_xlpm.r,_xlpm.c),""),
  IF(OR(_xlpm.w="",_xlpm.v=""),"",_xlpm.v*_xlpm.w)
)</f>
        <v/>
      </c>
      <c r="BX95" s="93" t="str" cm="1">
        <f t="array" ref="BX95">_xlfn.LET(
  _xlpm.w, BX$11,
  _xlpm.r, MATCH(1,('3. Enter Indicator Scores'!$B$10:$B$161=$B95)*('3. Enter Indicator Scores'!$C$10:$C$161=$C95),0),
  _xlpm.c, MATCH(BX$8,'3. Enter Indicator Scores'!$D$8:$CZ$8,0),
  _xlpm.v, IFERROR(INDEX('3. Enter Indicator Scores'!$D$10:$CZ$161,_xlpm.r,_xlpm.c),""),
  IF(OR(_xlpm.w="",_xlpm.v=""),"",_xlpm.v*_xlpm.w)
)</f>
        <v/>
      </c>
      <c r="BY95" s="93" t="str" cm="1">
        <f t="array" ref="BY95">_xlfn.LET(
  _xlpm.w, BY$11,
  _xlpm.r, MATCH(1,('3. Enter Indicator Scores'!$B$10:$B$161=$B95)*('3. Enter Indicator Scores'!$C$10:$C$161=$C95),0),
  _xlpm.c, MATCH(BY$8,'3. Enter Indicator Scores'!$D$8:$CZ$8,0),
  _xlpm.v, IFERROR(INDEX('3. Enter Indicator Scores'!$D$10:$CZ$161,_xlpm.r,_xlpm.c),""),
  IF(OR(_xlpm.w="",_xlpm.v=""),"",_xlpm.v*_xlpm.w)
)</f>
        <v/>
      </c>
      <c r="BZ95" s="93" t="str" cm="1">
        <f t="array" ref="BZ95">_xlfn.LET(
  _xlpm.w, BZ$11,
  _xlpm.r, MATCH(1,('3. Enter Indicator Scores'!$B$10:$B$161=$B95)*('3. Enter Indicator Scores'!$C$10:$C$161=$C95),0),
  _xlpm.c, MATCH(BZ$8,'3. Enter Indicator Scores'!$D$8:$CZ$8,0),
  _xlpm.v, IFERROR(INDEX('3. Enter Indicator Scores'!$D$10:$CZ$161,_xlpm.r,_xlpm.c),""),
  IF(OR(_xlpm.w="",_xlpm.v=""),"",_xlpm.v*_xlpm.w)
)</f>
        <v/>
      </c>
      <c r="CA95" s="93" t="str" cm="1">
        <f t="array" ref="CA95">_xlfn.LET(
  _xlpm.w, CA$11,
  _xlpm.r, MATCH(1,('3. Enter Indicator Scores'!$B$10:$B$161=$B95)*('3. Enter Indicator Scores'!$C$10:$C$161=$C95),0),
  _xlpm.c, MATCH(CA$8,'3. Enter Indicator Scores'!$D$8:$CZ$8,0),
  _xlpm.v, IFERROR(INDEX('3. Enter Indicator Scores'!$D$10:$CZ$161,_xlpm.r,_xlpm.c),""),
  IF(OR(_xlpm.w="",_xlpm.v=""),"",_xlpm.v*_xlpm.w)
)</f>
        <v/>
      </c>
      <c r="CB95" s="93" t="str" cm="1">
        <f t="array" ref="CB95">_xlfn.LET(
  _xlpm.w, CB$11,
  _xlpm.r, MATCH(1,('3. Enter Indicator Scores'!$B$10:$B$161=$B95)*('3. Enter Indicator Scores'!$C$10:$C$161=$C95),0),
  _xlpm.c, MATCH(CB$8,'3. Enter Indicator Scores'!$D$8:$CZ$8,0),
  _xlpm.v, IFERROR(INDEX('3. Enter Indicator Scores'!$D$10:$CZ$161,_xlpm.r,_xlpm.c),""),
  IF(OR(_xlpm.w="",_xlpm.v=""),"",_xlpm.v*_xlpm.w)
)</f>
        <v/>
      </c>
      <c r="CC95" s="93" t="str" cm="1">
        <f t="array" ref="CC95">_xlfn.LET(
  _xlpm.w, CC$11,
  _xlpm.r, MATCH(1,('3. Enter Indicator Scores'!$B$10:$B$161=$B95)*('3. Enter Indicator Scores'!$C$10:$C$161=$C95),0),
  _xlpm.c, MATCH(CC$8,'3. Enter Indicator Scores'!$D$8:$CZ$8,0),
  _xlpm.v, IFERROR(INDEX('3. Enter Indicator Scores'!$D$10:$CZ$161,_xlpm.r,_xlpm.c),""),
  IF(OR(_xlpm.w="",_xlpm.v=""),"",_xlpm.v*_xlpm.w)
)</f>
        <v/>
      </c>
      <c r="CD95" s="93" t="str" cm="1">
        <f t="array" ref="CD95">_xlfn.LET(
  _xlpm.w, CD$11,
  _xlpm.r, MATCH(1,('3. Enter Indicator Scores'!$B$10:$B$161=$B95)*('3. Enter Indicator Scores'!$C$10:$C$161=$C95),0),
  _xlpm.c, MATCH(CD$8,'3. Enter Indicator Scores'!$D$8:$CZ$8,0),
  _xlpm.v, IFERROR(INDEX('3. Enter Indicator Scores'!$D$10:$CZ$161,_xlpm.r,_xlpm.c),""),
  IF(OR(_xlpm.w="",_xlpm.v=""),"",_xlpm.v*_xlpm.w)
)</f>
        <v/>
      </c>
      <c r="CE95" s="93" t="str" cm="1">
        <f t="array" ref="CE95">_xlfn.LET(
  _xlpm.w, CE$11,
  _xlpm.r, MATCH(1,('3. Enter Indicator Scores'!$B$10:$B$161=$B95)*('3. Enter Indicator Scores'!$C$10:$C$161=$C95),0),
  _xlpm.c, MATCH(CE$8,'3. Enter Indicator Scores'!$D$8:$CZ$8,0),
  _xlpm.v, IFERROR(INDEX('3. Enter Indicator Scores'!$D$10:$CZ$161,_xlpm.r,_xlpm.c),""),
  IF(OR(_xlpm.w="",_xlpm.v=""),"",_xlpm.v*_xlpm.w)
)</f>
        <v/>
      </c>
      <c r="CF95" s="93" t="str" cm="1">
        <f t="array" ref="CF95">_xlfn.LET(
  _xlpm.w, CF$11,
  _xlpm.r, MATCH(1,('3. Enter Indicator Scores'!$B$10:$B$161=$B95)*('3. Enter Indicator Scores'!$C$10:$C$161=$C95),0),
  _xlpm.c, MATCH(CF$8,'3. Enter Indicator Scores'!$D$8:$CZ$8,0),
  _xlpm.v, IFERROR(INDEX('3. Enter Indicator Scores'!$D$10:$CZ$161,_xlpm.r,_xlpm.c),""),
  IF(OR(_xlpm.w="",_xlpm.v=""),"",_xlpm.v*_xlpm.w)
)</f>
        <v/>
      </c>
      <c r="CG95" s="93" t="str" cm="1">
        <f t="array" ref="CG95">_xlfn.LET(
  _xlpm.w, CG$11,
  _xlpm.r, MATCH(1,('3. Enter Indicator Scores'!$B$10:$B$161=$B95)*('3. Enter Indicator Scores'!$C$10:$C$161=$C95),0),
  _xlpm.c, MATCH(CG$8,'3. Enter Indicator Scores'!$D$8:$CZ$8,0),
  _xlpm.v, IFERROR(INDEX('3. Enter Indicator Scores'!$D$10:$CZ$161,_xlpm.r,_xlpm.c),""),
  IF(OR(_xlpm.w="",_xlpm.v=""),"",_xlpm.v*_xlpm.w)
)</f>
        <v/>
      </c>
      <c r="CH95" s="93" t="str" cm="1">
        <f t="array" ref="CH95">_xlfn.LET(
  _xlpm.w, CH$11,
  _xlpm.r, MATCH(1,('3. Enter Indicator Scores'!$B$10:$B$161=$B95)*('3. Enter Indicator Scores'!$C$10:$C$161=$C95),0),
  _xlpm.c, MATCH(CH$8,'3. Enter Indicator Scores'!$D$8:$CZ$8,0),
  _xlpm.v, IFERROR(INDEX('3. Enter Indicator Scores'!$D$10:$CZ$161,_xlpm.r,_xlpm.c),""),
  IF(OR(_xlpm.w="",_xlpm.v=""),"",_xlpm.v*_xlpm.w)
)</f>
        <v/>
      </c>
      <c r="CI95" s="93" t="str" cm="1">
        <f t="array" ref="CI95">_xlfn.LET(
  _xlpm.w, CI$11,
  _xlpm.r, MATCH(1,('3. Enter Indicator Scores'!$B$10:$B$161=$B95)*('3. Enter Indicator Scores'!$C$10:$C$161=$C95),0),
  _xlpm.c, MATCH(CI$8,'3. Enter Indicator Scores'!$D$8:$CZ$8,0),
  _xlpm.v, IFERROR(INDEX('3. Enter Indicator Scores'!$D$10:$CZ$161,_xlpm.r,_xlpm.c),""),
  IF(OR(_xlpm.w="",_xlpm.v=""),"",_xlpm.v*_xlpm.w)
)</f>
        <v/>
      </c>
      <c r="CJ95" s="93" t="str" cm="1">
        <f t="array" ref="CJ95">_xlfn.LET(
  _xlpm.w, CJ$11,
  _xlpm.r, MATCH(1,('3. Enter Indicator Scores'!$B$10:$B$161=$B95)*('3. Enter Indicator Scores'!$C$10:$C$161=$C95),0),
  _xlpm.c, MATCH(CJ$8,'3. Enter Indicator Scores'!$D$8:$CZ$8,0),
  _xlpm.v, IFERROR(INDEX('3. Enter Indicator Scores'!$D$10:$CZ$161,_xlpm.r,_xlpm.c),""),
  IF(OR(_xlpm.w="",_xlpm.v=""),"",_xlpm.v*_xlpm.w)
)</f>
        <v/>
      </c>
      <c r="CK95" s="93" t="str" cm="1">
        <f t="array" ref="CK95">_xlfn.LET(
  _xlpm.w, CK$11,
  _xlpm.r, MATCH(1,('3. Enter Indicator Scores'!$B$10:$B$161=$B95)*('3. Enter Indicator Scores'!$C$10:$C$161=$C95),0),
  _xlpm.c, MATCH(CK$8,'3. Enter Indicator Scores'!$D$8:$CZ$8,0),
  _xlpm.v, IFERROR(INDEX('3. Enter Indicator Scores'!$D$10:$CZ$161,_xlpm.r,_xlpm.c),""),
  IF(OR(_xlpm.w="",_xlpm.v=""),"",_xlpm.v*_xlpm.w)
)</f>
        <v/>
      </c>
      <c r="CL95" s="93" t="str" cm="1">
        <f t="array" ref="CL95">_xlfn.LET(
  _xlpm.w, CL$11,
  _xlpm.r, MATCH(1,('3. Enter Indicator Scores'!$B$10:$B$161=$B95)*('3. Enter Indicator Scores'!$C$10:$C$161=$C95),0),
  _xlpm.c, MATCH(CL$8,'3. Enter Indicator Scores'!$D$8:$CZ$8,0),
  _xlpm.v, IFERROR(INDEX('3. Enter Indicator Scores'!$D$10:$CZ$161,_xlpm.r,_xlpm.c),""),
  IF(OR(_xlpm.w="",_xlpm.v=""),"",_xlpm.v*_xlpm.w)
)</f>
        <v/>
      </c>
      <c r="CM95" s="93" t="str" cm="1">
        <f t="array" ref="CM95">_xlfn.LET(
  _xlpm.w, CM$11,
  _xlpm.r, MATCH(1,('3. Enter Indicator Scores'!$B$10:$B$161=$B95)*('3. Enter Indicator Scores'!$C$10:$C$161=$C95),0),
  _xlpm.c, MATCH(CM$8,'3. Enter Indicator Scores'!$D$8:$CZ$8,0),
  _xlpm.v, IFERROR(INDEX('3. Enter Indicator Scores'!$D$10:$CZ$161,_xlpm.r,_xlpm.c),""),
  IF(OR(_xlpm.w="",_xlpm.v=""),"",_xlpm.v*_xlpm.w)
)</f>
        <v/>
      </c>
      <c r="CN95" s="93" t="str" cm="1">
        <f t="array" ref="CN95">_xlfn.LET(
  _xlpm.w, CN$11,
  _xlpm.r, MATCH(1,('3. Enter Indicator Scores'!$B$10:$B$161=$B95)*('3. Enter Indicator Scores'!$C$10:$C$161=$C95),0),
  _xlpm.c, MATCH(CN$8,'3. Enter Indicator Scores'!$D$8:$CZ$8,0),
  _xlpm.v, IFERROR(INDEX('3. Enter Indicator Scores'!$D$10:$CZ$161,_xlpm.r,_xlpm.c),""),
  IF(OR(_xlpm.w="",_xlpm.v=""),"",_xlpm.v*_xlpm.w)
)</f>
        <v/>
      </c>
      <c r="CO95" s="93" t="str" cm="1">
        <f t="array" ref="CO95">_xlfn.LET(
  _xlpm.w, CO$11,
  _xlpm.r, MATCH(1,('3. Enter Indicator Scores'!$B$10:$B$161=$B95)*('3. Enter Indicator Scores'!$C$10:$C$161=$C95),0),
  _xlpm.c, MATCH(CO$8,'3. Enter Indicator Scores'!$D$8:$CZ$8,0),
  _xlpm.v, IFERROR(INDEX('3. Enter Indicator Scores'!$D$10:$CZ$161,_xlpm.r,_xlpm.c),""),
  IF(OR(_xlpm.w="",_xlpm.v=""),"",_xlpm.v*_xlpm.w)
)</f>
        <v/>
      </c>
      <c r="CP95" s="93" t="str" cm="1">
        <f t="array" ref="CP95">_xlfn.LET(
  _xlpm.w, CP$11,
  _xlpm.r, MATCH(1,('3. Enter Indicator Scores'!$B$10:$B$161=$B95)*('3. Enter Indicator Scores'!$C$10:$C$161=$C95),0),
  _xlpm.c, MATCH(CP$8,'3. Enter Indicator Scores'!$D$8:$CZ$8,0),
  _xlpm.v, IFERROR(INDEX('3. Enter Indicator Scores'!$D$10:$CZ$161,_xlpm.r,_xlpm.c),""),
  IF(OR(_xlpm.w="",_xlpm.v=""),"",_xlpm.v*_xlpm.w)
)</f>
        <v/>
      </c>
      <c r="CQ95" s="93" t="str" cm="1">
        <f t="array" ref="CQ95">_xlfn.LET(
  _xlpm.w, CQ$11,
  _xlpm.r, MATCH(1,('3. Enter Indicator Scores'!$B$10:$B$161=$B95)*('3. Enter Indicator Scores'!$C$10:$C$161=$C95),0),
  _xlpm.c, MATCH(CQ$8,'3. Enter Indicator Scores'!$D$8:$CZ$8,0),
  _xlpm.v, IFERROR(INDEX('3. Enter Indicator Scores'!$D$10:$CZ$161,_xlpm.r,_xlpm.c),""),
  IF(OR(_xlpm.w="",_xlpm.v=""),"",_xlpm.v*_xlpm.w)
)</f>
        <v/>
      </c>
      <c r="CR95" s="93" t="str" cm="1">
        <f t="array" ref="CR95">_xlfn.LET(
  _xlpm.w, CR$11,
  _xlpm.r, MATCH(1,('3. Enter Indicator Scores'!$B$10:$B$161=$B95)*('3. Enter Indicator Scores'!$C$10:$C$161=$C95),0),
  _xlpm.c, MATCH(CR$8,'3. Enter Indicator Scores'!$D$8:$CZ$8,0),
  _xlpm.v, IFERROR(INDEX('3. Enter Indicator Scores'!$D$10:$CZ$161,_xlpm.r,_xlpm.c),""),
  IF(OR(_xlpm.w="",_xlpm.v=""),"",_xlpm.v*_xlpm.w)
)</f>
        <v/>
      </c>
      <c r="CS95" s="93" t="str" cm="1">
        <f t="array" ref="CS95">_xlfn.LET(
  _xlpm.w, CS$11,
  _xlpm.r, MATCH(1,('3. Enter Indicator Scores'!$B$10:$B$161=$B95)*('3. Enter Indicator Scores'!$C$10:$C$161=$C95),0),
  _xlpm.c, MATCH(CS$8,'3. Enter Indicator Scores'!$D$8:$CZ$8,0),
  _xlpm.v, IFERROR(INDEX('3. Enter Indicator Scores'!$D$10:$CZ$161,_xlpm.r,_xlpm.c),""),
  IF(OR(_xlpm.w="",_xlpm.v=""),"",_xlpm.v*_xlpm.w)
)</f>
        <v/>
      </c>
      <c r="CT95" s="93" t="str" cm="1">
        <f t="array" ref="CT95">_xlfn.LET(
  _xlpm.w, CT$11,
  _xlpm.r, MATCH(1,('3. Enter Indicator Scores'!$B$10:$B$161=$B95)*('3. Enter Indicator Scores'!$C$10:$C$161=$C95),0),
  _xlpm.c, MATCH(CT$8,'3. Enter Indicator Scores'!$D$8:$CZ$8,0),
  _xlpm.v, IFERROR(INDEX('3. Enter Indicator Scores'!$D$10:$CZ$161,_xlpm.r,_xlpm.c),""),
  IF(OR(_xlpm.w="",_xlpm.v=""),"",_xlpm.v*_xlpm.w)
)</f>
        <v/>
      </c>
      <c r="CU95" s="93" t="str" cm="1">
        <f t="array" ref="CU95">_xlfn.LET(
  _xlpm.w, CU$11,
  _xlpm.r, MATCH(1,('3. Enter Indicator Scores'!$B$10:$B$161=$B95)*('3. Enter Indicator Scores'!$C$10:$C$161=$C95),0),
  _xlpm.c, MATCH(CU$8,'3. Enter Indicator Scores'!$D$8:$CZ$8,0),
  _xlpm.v, IFERROR(INDEX('3. Enter Indicator Scores'!$D$10:$CZ$161,_xlpm.r,_xlpm.c),""),
  IF(OR(_xlpm.w="",_xlpm.v=""),"",_xlpm.v*_xlpm.w)
)</f>
        <v/>
      </c>
      <c r="CV95" s="93" t="str" cm="1">
        <f t="array" ref="CV95">_xlfn.LET(
  _xlpm.w, CV$11,
  _xlpm.r, MATCH(1,('3. Enter Indicator Scores'!$B$10:$B$161=$B95)*('3. Enter Indicator Scores'!$C$10:$C$161=$C95),0),
  _xlpm.c, MATCH(CV$8,'3. Enter Indicator Scores'!$D$8:$CZ$8,0),
  _xlpm.v, IFERROR(INDEX('3. Enter Indicator Scores'!$D$10:$CZ$161,_xlpm.r,_xlpm.c),""),
  IF(OR(_xlpm.w="",_xlpm.v=""),"",_xlpm.v*_xlpm.w)
)</f>
        <v/>
      </c>
      <c r="CW95" s="93" t="str" cm="1">
        <f t="array" ref="CW95">_xlfn.LET(
  _xlpm.w, CW$11,
  _xlpm.r, MATCH(1,('3. Enter Indicator Scores'!$B$10:$B$161=$B95)*('3. Enter Indicator Scores'!$C$10:$C$161=$C95),0),
  _xlpm.c, MATCH(CW$8,'3. Enter Indicator Scores'!$D$8:$CZ$8,0),
  _xlpm.v, IFERROR(INDEX('3. Enter Indicator Scores'!$D$10:$CZ$161,_xlpm.r,_xlpm.c),""),
  IF(OR(_xlpm.w="",_xlpm.v=""),"",_xlpm.v*_xlpm.w)
)</f>
        <v/>
      </c>
      <c r="CX95" s="93" t="str" cm="1">
        <f t="array" ref="CX95">_xlfn.LET(
  _xlpm.w, CX$11,
  _xlpm.r, MATCH(1,('3. Enter Indicator Scores'!$B$10:$B$161=$B95)*('3. Enter Indicator Scores'!$C$10:$C$161=$C95),0),
  _xlpm.c, MATCH(CX$8,'3. Enter Indicator Scores'!$D$8:$CZ$8,0),
  _xlpm.v, IFERROR(INDEX('3. Enter Indicator Scores'!$D$10:$CZ$161,_xlpm.r,_xlpm.c),""),
  IF(OR(_xlpm.w="",_xlpm.v=""),"",_xlpm.v*_xlpm.w)
)</f>
        <v/>
      </c>
      <c r="CY95" s="93" t="str" cm="1">
        <f t="array" ref="CY95">_xlfn.LET(
  _xlpm.w, CY$11,
  _xlpm.r, MATCH(1,('3. Enter Indicator Scores'!$B$10:$B$161=$B95)*('3. Enter Indicator Scores'!$C$10:$C$161=$C95),0),
  _xlpm.c, MATCH(CY$8,'3. Enter Indicator Scores'!$D$8:$CZ$8,0),
  _xlpm.v, IFERROR(INDEX('3. Enter Indicator Scores'!$D$10:$CZ$161,_xlpm.r,_xlpm.c),""),
  IF(OR(_xlpm.w="",_xlpm.v=""),"",_xlpm.v*_xlpm.w)
)</f>
        <v/>
      </c>
      <c r="CZ95" s="93" t="str" cm="1">
        <f t="array" ref="CZ95">_xlfn.LET(
  _xlpm.w, CZ$11,
  _xlpm.r, MATCH(1,('3. Enter Indicator Scores'!$B$10:$B$161=$B95)*('3. Enter Indicator Scores'!$C$10:$C$161=$C95),0),
  _xlpm.c, MATCH(CZ$8,'3. Enter Indicator Scores'!$D$8:$CZ$8,0),
  _xlpm.v, IFERROR(INDEX('3. Enter Indicator Scores'!$D$10:$CZ$161,_xlpm.r,_xlpm.c),""),
  IF(OR(_xlpm.w="",_xlpm.v=""),"",_xlpm.v*_xlpm.w)
)</f>
        <v/>
      </c>
    </row>
    <row r="96" spans="4:104" x14ac:dyDescent="0.2">
      <c r="D96" s="93" t="str" cm="1">
        <f t="array" ref="D96">_xlfn.LET(
  _xlpm.w, D$11,
  _xlpm.r, MATCH(1,('3. Enter Indicator Scores'!$B$10:$B$161=$B96)*('3. Enter Indicator Scores'!$C$10:$C$161=$C96),0),
  _xlpm.c, MATCH(D$8,'3. Enter Indicator Scores'!$D$8:$CZ$8,0),
  _xlpm.v, IFERROR(INDEX('3. Enter Indicator Scores'!$D$10:$CZ$161,_xlpm.r,_xlpm.c),""),
  IF(OR(_xlpm.w="",_xlpm.v=""),"",_xlpm.v*_xlpm.w)
)</f>
        <v/>
      </c>
      <c r="E96" s="93" t="str" cm="1">
        <f t="array" ref="E96">_xlfn.LET(
  _xlpm.w, E$11,
  _xlpm.r, MATCH(1,('3. Enter Indicator Scores'!$B$10:$B$161=$B96)*('3. Enter Indicator Scores'!$C$10:$C$161=$C96),0),
  _xlpm.c, MATCH(E$8,'3. Enter Indicator Scores'!$D$8:$CZ$8,0),
  _xlpm.v, IFERROR(INDEX('3. Enter Indicator Scores'!$D$10:$CZ$161,_xlpm.r,_xlpm.c),""),
  IF(OR(_xlpm.w="",_xlpm.v=""),"",_xlpm.v*_xlpm.w)
)</f>
        <v/>
      </c>
      <c r="F96" s="93" t="str" cm="1">
        <f t="array" ref="F96">_xlfn.LET(
  _xlpm.w, F$11,
  _xlpm.r, MATCH(1,('3. Enter Indicator Scores'!$B$10:$B$161=$B96)*('3. Enter Indicator Scores'!$C$10:$C$161=$C96),0),
  _xlpm.c, MATCH(F$8,'3. Enter Indicator Scores'!$D$8:$CZ$8,0),
  _xlpm.v, IFERROR(INDEX('3. Enter Indicator Scores'!$D$10:$CZ$161,_xlpm.r,_xlpm.c),""),
  IF(OR(_xlpm.w="",_xlpm.v=""),"",_xlpm.v*_xlpm.w)
)</f>
        <v/>
      </c>
      <c r="G96" s="93" t="str" cm="1">
        <f t="array" ref="G96">_xlfn.LET(
  _xlpm.w, G$11,
  _xlpm.r, MATCH(1,('3. Enter Indicator Scores'!$B$10:$B$161=$B96)*('3. Enter Indicator Scores'!$C$10:$C$161=$C96),0),
  _xlpm.c, MATCH(G$8,'3. Enter Indicator Scores'!$D$8:$CZ$8,0),
  _xlpm.v, IFERROR(INDEX('3. Enter Indicator Scores'!$D$10:$CZ$161,_xlpm.r,_xlpm.c),""),
  IF(OR(_xlpm.w="",_xlpm.v=""),"",_xlpm.v*_xlpm.w)
)</f>
        <v/>
      </c>
      <c r="H96" s="93" t="str" cm="1">
        <f t="array" ref="H96">_xlfn.LET(
  _xlpm.w, H$11,
  _xlpm.r, MATCH(1,('3. Enter Indicator Scores'!$B$10:$B$161=$B96)*('3. Enter Indicator Scores'!$C$10:$C$161=$C96),0),
  _xlpm.c, MATCH(H$8,'3. Enter Indicator Scores'!$D$8:$CZ$8,0),
  _xlpm.v, IFERROR(INDEX('3. Enter Indicator Scores'!$D$10:$CZ$161,_xlpm.r,_xlpm.c),""),
  IF(OR(_xlpm.w="",_xlpm.v=""),"",_xlpm.v*_xlpm.w)
)</f>
        <v/>
      </c>
      <c r="I96" s="93" t="str" cm="1">
        <f t="array" ref="I96">_xlfn.LET(
  _xlpm.w, I$11,
  _xlpm.r, MATCH(1,('3. Enter Indicator Scores'!$B$10:$B$161=$B96)*('3. Enter Indicator Scores'!$C$10:$C$161=$C96),0),
  _xlpm.c, MATCH(I$8,'3. Enter Indicator Scores'!$D$8:$CZ$8,0),
  _xlpm.v, IFERROR(INDEX('3. Enter Indicator Scores'!$D$10:$CZ$161,_xlpm.r,_xlpm.c),""),
  IF(OR(_xlpm.w="",_xlpm.v=""),"",_xlpm.v*_xlpm.w)
)</f>
        <v/>
      </c>
      <c r="J96" s="93" t="str" cm="1">
        <f t="array" ref="J96">_xlfn.LET(
  _xlpm.w, J$11,
  _xlpm.r, MATCH(1,('3. Enter Indicator Scores'!$B$10:$B$161=$B96)*('3. Enter Indicator Scores'!$C$10:$C$161=$C96),0),
  _xlpm.c, MATCH(J$8,'3. Enter Indicator Scores'!$D$8:$CZ$8,0),
  _xlpm.v, IFERROR(INDEX('3. Enter Indicator Scores'!$D$10:$CZ$161,_xlpm.r,_xlpm.c),""),
  IF(OR(_xlpm.w="",_xlpm.v=""),"",_xlpm.v*_xlpm.w)
)</f>
        <v/>
      </c>
      <c r="K96" s="93" t="str" cm="1">
        <f t="array" ref="K96">_xlfn.LET(
  _xlpm.w, K$11,
  _xlpm.r, MATCH(1,('3. Enter Indicator Scores'!$B$10:$B$161=$B96)*('3. Enter Indicator Scores'!$C$10:$C$161=$C96),0),
  _xlpm.c, MATCH(K$8,'3. Enter Indicator Scores'!$D$8:$CZ$8,0),
  _xlpm.v, IFERROR(INDEX('3. Enter Indicator Scores'!$D$10:$CZ$161,_xlpm.r,_xlpm.c),""),
  IF(OR(_xlpm.w="",_xlpm.v=""),"",_xlpm.v*_xlpm.w)
)</f>
        <v/>
      </c>
      <c r="L96" s="93" t="str" cm="1">
        <f t="array" ref="L96">_xlfn.LET(
  _xlpm.w, L$11,
  _xlpm.r, MATCH(1,('3. Enter Indicator Scores'!$B$10:$B$161=$B96)*('3. Enter Indicator Scores'!$C$10:$C$161=$C96),0),
  _xlpm.c, MATCH(L$8,'3. Enter Indicator Scores'!$D$8:$CZ$8,0),
  _xlpm.v, IFERROR(INDEX('3. Enter Indicator Scores'!$D$10:$CZ$161,_xlpm.r,_xlpm.c),""),
  IF(OR(_xlpm.w="",_xlpm.v=""),"",_xlpm.v*_xlpm.w)
)</f>
        <v/>
      </c>
      <c r="M96" s="93" t="str" cm="1">
        <f t="array" ref="M96">_xlfn.LET(
  _xlpm.w, M$11,
  _xlpm.r, MATCH(1,('3. Enter Indicator Scores'!$B$10:$B$161=$B96)*('3. Enter Indicator Scores'!$C$10:$C$161=$C96),0),
  _xlpm.c, MATCH(M$8,'3. Enter Indicator Scores'!$D$8:$CZ$8,0),
  _xlpm.v, IFERROR(INDEX('3. Enter Indicator Scores'!$D$10:$CZ$161,_xlpm.r,_xlpm.c),""),
  IF(OR(_xlpm.w="",_xlpm.v=""),"",_xlpm.v*_xlpm.w)
)</f>
        <v/>
      </c>
      <c r="N96" s="93" t="str" cm="1">
        <f t="array" ref="N96">_xlfn.LET(
  _xlpm.w, N$11,
  _xlpm.r, MATCH(1,('3. Enter Indicator Scores'!$B$10:$B$161=$B96)*('3. Enter Indicator Scores'!$C$10:$C$161=$C96),0),
  _xlpm.c, MATCH(N$8,'3. Enter Indicator Scores'!$D$8:$CZ$8,0),
  _xlpm.v, IFERROR(INDEX('3. Enter Indicator Scores'!$D$10:$CZ$161,_xlpm.r,_xlpm.c),""),
  IF(OR(_xlpm.w="",_xlpm.v=""),"",_xlpm.v*_xlpm.w)
)</f>
        <v/>
      </c>
      <c r="O96" s="93" t="str" cm="1">
        <f t="array" ref="O96">_xlfn.LET(
  _xlpm.w, O$11,
  _xlpm.r, MATCH(1,('3. Enter Indicator Scores'!$B$10:$B$161=$B96)*('3. Enter Indicator Scores'!$C$10:$C$161=$C96),0),
  _xlpm.c, MATCH(O$8,'3. Enter Indicator Scores'!$D$8:$CZ$8,0),
  _xlpm.v, IFERROR(INDEX('3. Enter Indicator Scores'!$D$10:$CZ$161,_xlpm.r,_xlpm.c),""),
  IF(OR(_xlpm.w="",_xlpm.v=""),"",_xlpm.v*_xlpm.w)
)</f>
        <v/>
      </c>
      <c r="P96" s="93" t="str" cm="1">
        <f t="array" ref="P96">_xlfn.LET(
  _xlpm.w, P$11,
  _xlpm.r, MATCH(1,('3. Enter Indicator Scores'!$B$10:$B$161=$B96)*('3. Enter Indicator Scores'!$C$10:$C$161=$C96),0),
  _xlpm.c, MATCH(P$8,'3. Enter Indicator Scores'!$D$8:$CZ$8,0),
  _xlpm.v, IFERROR(INDEX('3. Enter Indicator Scores'!$D$10:$CZ$161,_xlpm.r,_xlpm.c),""),
  IF(OR(_xlpm.w="",_xlpm.v=""),"",_xlpm.v*_xlpm.w)
)</f>
        <v/>
      </c>
      <c r="Q96" s="93" t="str" cm="1">
        <f t="array" ref="Q96">_xlfn.LET(
  _xlpm.w, Q$11,
  _xlpm.r, MATCH(1,('3. Enter Indicator Scores'!$B$10:$B$161=$B96)*('3. Enter Indicator Scores'!$C$10:$C$161=$C96),0),
  _xlpm.c, MATCH(Q$8,'3. Enter Indicator Scores'!$D$8:$CZ$8,0),
  _xlpm.v, IFERROR(INDEX('3. Enter Indicator Scores'!$D$10:$CZ$161,_xlpm.r,_xlpm.c),""),
  IF(OR(_xlpm.w="",_xlpm.v=""),"",_xlpm.v*_xlpm.w)
)</f>
        <v/>
      </c>
      <c r="R96" s="93" t="str" cm="1">
        <f t="array" ref="R96">_xlfn.LET(
  _xlpm.w, R$11,
  _xlpm.r, MATCH(1,('3. Enter Indicator Scores'!$B$10:$B$161=$B96)*('3. Enter Indicator Scores'!$C$10:$C$161=$C96),0),
  _xlpm.c, MATCH(R$8,'3. Enter Indicator Scores'!$D$8:$CZ$8,0),
  _xlpm.v, IFERROR(INDEX('3. Enter Indicator Scores'!$D$10:$CZ$161,_xlpm.r,_xlpm.c),""),
  IF(OR(_xlpm.w="",_xlpm.v=""),"",_xlpm.v*_xlpm.w)
)</f>
        <v/>
      </c>
      <c r="S96" s="93" t="str" cm="1">
        <f t="array" ref="S96">_xlfn.LET(
  _xlpm.w, S$11,
  _xlpm.r, MATCH(1,('3. Enter Indicator Scores'!$B$10:$B$161=$B96)*('3. Enter Indicator Scores'!$C$10:$C$161=$C96),0),
  _xlpm.c, MATCH(S$8,'3. Enter Indicator Scores'!$D$8:$CZ$8,0),
  _xlpm.v, IFERROR(INDEX('3. Enter Indicator Scores'!$D$10:$CZ$161,_xlpm.r,_xlpm.c),""),
  IF(OR(_xlpm.w="",_xlpm.v=""),"",_xlpm.v*_xlpm.w)
)</f>
        <v/>
      </c>
      <c r="T96" s="93" t="str" cm="1">
        <f t="array" ref="T96">_xlfn.LET(
  _xlpm.w, T$11,
  _xlpm.r, MATCH(1,('3. Enter Indicator Scores'!$B$10:$B$161=$B96)*('3. Enter Indicator Scores'!$C$10:$C$161=$C96),0),
  _xlpm.c, MATCH(T$8,'3. Enter Indicator Scores'!$D$8:$CZ$8,0),
  _xlpm.v, IFERROR(INDEX('3. Enter Indicator Scores'!$D$10:$CZ$161,_xlpm.r,_xlpm.c),""),
  IF(OR(_xlpm.w="",_xlpm.v=""),"",_xlpm.v*_xlpm.w)
)</f>
        <v/>
      </c>
      <c r="U96" s="93" t="str" cm="1">
        <f t="array" ref="U96">_xlfn.LET(
  _xlpm.w, U$11,
  _xlpm.r, MATCH(1,('3. Enter Indicator Scores'!$B$10:$B$161=$B96)*('3. Enter Indicator Scores'!$C$10:$C$161=$C96),0),
  _xlpm.c, MATCH(U$8,'3. Enter Indicator Scores'!$D$8:$CZ$8,0),
  _xlpm.v, IFERROR(INDEX('3. Enter Indicator Scores'!$D$10:$CZ$161,_xlpm.r,_xlpm.c),""),
  IF(OR(_xlpm.w="",_xlpm.v=""),"",_xlpm.v*_xlpm.w)
)</f>
        <v/>
      </c>
      <c r="V96" s="93" t="str" cm="1">
        <f t="array" ref="V96">_xlfn.LET(
  _xlpm.w, V$11,
  _xlpm.r, MATCH(1,('3. Enter Indicator Scores'!$B$10:$B$161=$B96)*('3. Enter Indicator Scores'!$C$10:$C$161=$C96),0),
  _xlpm.c, MATCH(V$8,'3. Enter Indicator Scores'!$D$8:$CZ$8,0),
  _xlpm.v, IFERROR(INDEX('3. Enter Indicator Scores'!$D$10:$CZ$161,_xlpm.r,_xlpm.c),""),
  IF(OR(_xlpm.w="",_xlpm.v=""),"",_xlpm.v*_xlpm.w)
)</f>
        <v/>
      </c>
      <c r="W96" s="93" t="str" cm="1">
        <f t="array" ref="W96">_xlfn.LET(
  _xlpm.w, W$11,
  _xlpm.r, MATCH(1,('3. Enter Indicator Scores'!$B$10:$B$161=$B96)*('3. Enter Indicator Scores'!$C$10:$C$161=$C96),0),
  _xlpm.c, MATCH(W$8,'3. Enter Indicator Scores'!$D$8:$CZ$8,0),
  _xlpm.v, IFERROR(INDEX('3. Enter Indicator Scores'!$D$10:$CZ$161,_xlpm.r,_xlpm.c),""),
  IF(OR(_xlpm.w="",_xlpm.v=""),"",_xlpm.v*_xlpm.w)
)</f>
        <v/>
      </c>
      <c r="X96" s="93" t="str" cm="1">
        <f t="array" ref="X96">_xlfn.LET(
  _xlpm.w, X$11,
  _xlpm.r, MATCH(1,('3. Enter Indicator Scores'!$B$10:$B$161=$B96)*('3. Enter Indicator Scores'!$C$10:$C$161=$C96),0),
  _xlpm.c, MATCH(X$8,'3. Enter Indicator Scores'!$D$8:$CZ$8,0),
  _xlpm.v, IFERROR(INDEX('3. Enter Indicator Scores'!$D$10:$CZ$161,_xlpm.r,_xlpm.c),""),
  IF(OR(_xlpm.w="",_xlpm.v=""),"",_xlpm.v*_xlpm.w)
)</f>
        <v/>
      </c>
      <c r="Y96" s="93" t="str" cm="1">
        <f t="array" ref="Y96">_xlfn.LET(
  _xlpm.w, Y$11,
  _xlpm.r, MATCH(1,('3. Enter Indicator Scores'!$B$10:$B$161=$B96)*('3. Enter Indicator Scores'!$C$10:$C$161=$C96),0),
  _xlpm.c, MATCH(Y$8,'3. Enter Indicator Scores'!$D$8:$CZ$8,0),
  _xlpm.v, IFERROR(INDEX('3. Enter Indicator Scores'!$D$10:$CZ$161,_xlpm.r,_xlpm.c),""),
  IF(OR(_xlpm.w="",_xlpm.v=""),"",_xlpm.v*_xlpm.w)
)</f>
        <v/>
      </c>
      <c r="Z96" s="93" t="str" cm="1">
        <f t="array" ref="Z96">_xlfn.LET(
  _xlpm.w, Z$11,
  _xlpm.r, MATCH(1,('3. Enter Indicator Scores'!$B$10:$B$161=$B96)*('3. Enter Indicator Scores'!$C$10:$C$161=$C96),0),
  _xlpm.c, MATCH(Z$8,'3. Enter Indicator Scores'!$D$8:$CZ$8,0),
  _xlpm.v, IFERROR(INDEX('3. Enter Indicator Scores'!$D$10:$CZ$161,_xlpm.r,_xlpm.c),""),
  IF(OR(_xlpm.w="",_xlpm.v=""),"",_xlpm.v*_xlpm.w)
)</f>
        <v/>
      </c>
      <c r="AA96" s="93" t="str" cm="1">
        <f t="array" ref="AA96">_xlfn.LET(
  _xlpm.w, AA$11,
  _xlpm.r, MATCH(1,('3. Enter Indicator Scores'!$B$10:$B$161=$B96)*('3. Enter Indicator Scores'!$C$10:$C$161=$C96),0),
  _xlpm.c, MATCH(AA$8,'3. Enter Indicator Scores'!$D$8:$CZ$8,0),
  _xlpm.v, IFERROR(INDEX('3. Enter Indicator Scores'!$D$10:$CZ$161,_xlpm.r,_xlpm.c),""),
  IF(OR(_xlpm.w="",_xlpm.v=""),"",_xlpm.v*_xlpm.w)
)</f>
        <v/>
      </c>
      <c r="AB96" s="93" t="str" cm="1">
        <f t="array" ref="AB96">_xlfn.LET(
  _xlpm.w, AB$11,
  _xlpm.r, MATCH(1,('3. Enter Indicator Scores'!$B$10:$B$161=$B96)*('3. Enter Indicator Scores'!$C$10:$C$161=$C96),0),
  _xlpm.c, MATCH(AB$8,'3. Enter Indicator Scores'!$D$8:$CZ$8,0),
  _xlpm.v, IFERROR(INDEX('3. Enter Indicator Scores'!$D$10:$CZ$161,_xlpm.r,_xlpm.c),""),
  IF(OR(_xlpm.w="",_xlpm.v=""),"",_xlpm.v*_xlpm.w)
)</f>
        <v/>
      </c>
      <c r="AC96" s="93" t="str" cm="1">
        <f t="array" ref="AC96">_xlfn.LET(
  _xlpm.w, AC$11,
  _xlpm.r, MATCH(1,('3. Enter Indicator Scores'!$B$10:$B$161=$B96)*('3. Enter Indicator Scores'!$C$10:$C$161=$C96),0),
  _xlpm.c, MATCH(AC$8,'3. Enter Indicator Scores'!$D$8:$CZ$8,0),
  _xlpm.v, IFERROR(INDEX('3. Enter Indicator Scores'!$D$10:$CZ$161,_xlpm.r,_xlpm.c),""),
  IF(OR(_xlpm.w="",_xlpm.v=""),"",_xlpm.v*_xlpm.w)
)</f>
        <v/>
      </c>
      <c r="AD96" s="93" t="str" cm="1">
        <f t="array" ref="AD96">_xlfn.LET(
  _xlpm.w, AD$11,
  _xlpm.r, MATCH(1,('3. Enter Indicator Scores'!$B$10:$B$161=$B96)*('3. Enter Indicator Scores'!$C$10:$C$161=$C96),0),
  _xlpm.c, MATCH(AD$8,'3. Enter Indicator Scores'!$D$8:$CZ$8,0),
  _xlpm.v, IFERROR(INDEX('3. Enter Indicator Scores'!$D$10:$CZ$161,_xlpm.r,_xlpm.c),""),
  IF(OR(_xlpm.w="",_xlpm.v=""),"",_xlpm.v*_xlpm.w)
)</f>
        <v/>
      </c>
      <c r="AE96" s="93" t="str" cm="1">
        <f t="array" ref="AE96">_xlfn.LET(
  _xlpm.w, AE$11,
  _xlpm.r, MATCH(1,('3. Enter Indicator Scores'!$B$10:$B$161=$B96)*('3. Enter Indicator Scores'!$C$10:$C$161=$C96),0),
  _xlpm.c, MATCH(AE$8,'3. Enter Indicator Scores'!$D$8:$CZ$8,0),
  _xlpm.v, IFERROR(INDEX('3. Enter Indicator Scores'!$D$10:$CZ$161,_xlpm.r,_xlpm.c),""),
  IF(OR(_xlpm.w="",_xlpm.v=""),"",_xlpm.v*_xlpm.w)
)</f>
        <v/>
      </c>
      <c r="AF96" s="93" t="str" cm="1">
        <f t="array" ref="AF96">_xlfn.LET(
  _xlpm.w, AF$11,
  _xlpm.r, MATCH(1,('3. Enter Indicator Scores'!$B$10:$B$161=$B96)*('3. Enter Indicator Scores'!$C$10:$C$161=$C96),0),
  _xlpm.c, MATCH(AF$8,'3. Enter Indicator Scores'!$D$8:$CZ$8,0),
  _xlpm.v, IFERROR(INDEX('3. Enter Indicator Scores'!$D$10:$CZ$161,_xlpm.r,_xlpm.c),""),
  IF(OR(_xlpm.w="",_xlpm.v=""),"",_xlpm.v*_xlpm.w)
)</f>
        <v/>
      </c>
      <c r="AG96" s="93" t="str" cm="1">
        <f t="array" ref="AG96">_xlfn.LET(
  _xlpm.w, AG$11,
  _xlpm.r, MATCH(1,('3. Enter Indicator Scores'!$B$10:$B$161=$B96)*('3. Enter Indicator Scores'!$C$10:$C$161=$C96),0),
  _xlpm.c, MATCH(AG$8,'3. Enter Indicator Scores'!$D$8:$CZ$8,0),
  _xlpm.v, IFERROR(INDEX('3. Enter Indicator Scores'!$D$10:$CZ$161,_xlpm.r,_xlpm.c),""),
  IF(OR(_xlpm.w="",_xlpm.v=""),"",_xlpm.v*_xlpm.w)
)</f>
        <v/>
      </c>
      <c r="AH96" s="93" t="str" cm="1">
        <f t="array" ref="AH96">_xlfn.LET(
  _xlpm.w, AH$11,
  _xlpm.r, MATCH(1,('3. Enter Indicator Scores'!$B$10:$B$161=$B96)*('3. Enter Indicator Scores'!$C$10:$C$161=$C96),0),
  _xlpm.c, MATCH(AH$8,'3. Enter Indicator Scores'!$D$8:$CZ$8,0),
  _xlpm.v, IFERROR(INDEX('3. Enter Indicator Scores'!$D$10:$CZ$161,_xlpm.r,_xlpm.c),""),
  IF(OR(_xlpm.w="",_xlpm.v=""),"",_xlpm.v*_xlpm.w)
)</f>
        <v/>
      </c>
      <c r="AI96" s="93" t="str" cm="1">
        <f t="array" ref="AI96">_xlfn.LET(
  _xlpm.w, AI$11,
  _xlpm.r, MATCH(1,('3. Enter Indicator Scores'!$B$10:$B$161=$B96)*('3. Enter Indicator Scores'!$C$10:$C$161=$C96),0),
  _xlpm.c, MATCH(AI$8,'3. Enter Indicator Scores'!$D$8:$CZ$8,0),
  _xlpm.v, IFERROR(INDEX('3. Enter Indicator Scores'!$D$10:$CZ$161,_xlpm.r,_xlpm.c),""),
  IF(OR(_xlpm.w="",_xlpm.v=""),"",_xlpm.v*_xlpm.w)
)</f>
        <v/>
      </c>
      <c r="AJ96" s="93" t="str" cm="1">
        <f t="array" ref="AJ96">_xlfn.LET(
  _xlpm.w, AJ$11,
  _xlpm.r, MATCH(1,('3. Enter Indicator Scores'!$B$10:$B$161=$B96)*('3. Enter Indicator Scores'!$C$10:$C$161=$C96),0),
  _xlpm.c, MATCH(AJ$8,'3. Enter Indicator Scores'!$D$8:$CZ$8,0),
  _xlpm.v, IFERROR(INDEX('3. Enter Indicator Scores'!$D$10:$CZ$161,_xlpm.r,_xlpm.c),""),
  IF(OR(_xlpm.w="",_xlpm.v=""),"",_xlpm.v*_xlpm.w)
)</f>
        <v/>
      </c>
      <c r="AK96" s="93" t="str" cm="1">
        <f t="array" ref="AK96">_xlfn.LET(
  _xlpm.w, AK$11,
  _xlpm.r, MATCH(1,('3. Enter Indicator Scores'!$B$10:$B$161=$B96)*('3. Enter Indicator Scores'!$C$10:$C$161=$C96),0),
  _xlpm.c, MATCH(AK$8,'3. Enter Indicator Scores'!$D$8:$CZ$8,0),
  _xlpm.v, IFERROR(INDEX('3. Enter Indicator Scores'!$D$10:$CZ$161,_xlpm.r,_xlpm.c),""),
  IF(OR(_xlpm.w="",_xlpm.v=""),"",_xlpm.v*_xlpm.w)
)</f>
        <v/>
      </c>
      <c r="AL96" s="93" t="str" cm="1">
        <f t="array" ref="AL96">_xlfn.LET(
  _xlpm.w, AL$11,
  _xlpm.r, MATCH(1,('3. Enter Indicator Scores'!$B$10:$B$161=$B96)*('3. Enter Indicator Scores'!$C$10:$C$161=$C96),0),
  _xlpm.c, MATCH(AL$8,'3. Enter Indicator Scores'!$D$8:$CZ$8,0),
  _xlpm.v, IFERROR(INDEX('3. Enter Indicator Scores'!$D$10:$CZ$161,_xlpm.r,_xlpm.c),""),
  IF(OR(_xlpm.w="",_xlpm.v=""),"",_xlpm.v*_xlpm.w)
)</f>
        <v/>
      </c>
      <c r="AM96" s="93" t="str" cm="1">
        <f t="array" ref="AM96">_xlfn.LET(
  _xlpm.w, AM$11,
  _xlpm.r, MATCH(1,('3. Enter Indicator Scores'!$B$10:$B$161=$B96)*('3. Enter Indicator Scores'!$C$10:$C$161=$C96),0),
  _xlpm.c, MATCH(AM$8,'3. Enter Indicator Scores'!$D$8:$CZ$8,0),
  _xlpm.v, IFERROR(INDEX('3. Enter Indicator Scores'!$D$10:$CZ$161,_xlpm.r,_xlpm.c),""),
  IF(OR(_xlpm.w="",_xlpm.v=""),"",_xlpm.v*_xlpm.w)
)</f>
        <v/>
      </c>
      <c r="AN96" s="93" t="str" cm="1">
        <f t="array" ref="AN96">_xlfn.LET(
  _xlpm.w, AN$11,
  _xlpm.r, MATCH(1,('3. Enter Indicator Scores'!$B$10:$B$161=$B96)*('3. Enter Indicator Scores'!$C$10:$C$161=$C96),0),
  _xlpm.c, MATCH(AN$8,'3. Enter Indicator Scores'!$D$8:$CZ$8,0),
  _xlpm.v, IFERROR(INDEX('3. Enter Indicator Scores'!$D$10:$CZ$161,_xlpm.r,_xlpm.c),""),
  IF(OR(_xlpm.w="",_xlpm.v=""),"",_xlpm.v*_xlpm.w)
)</f>
        <v/>
      </c>
      <c r="AO96" s="93" t="str" cm="1">
        <f t="array" ref="AO96">_xlfn.LET(
  _xlpm.w, AO$11,
  _xlpm.r, MATCH(1,('3. Enter Indicator Scores'!$B$10:$B$161=$B96)*('3. Enter Indicator Scores'!$C$10:$C$161=$C96),0),
  _xlpm.c, MATCH(AO$8,'3. Enter Indicator Scores'!$D$8:$CZ$8,0),
  _xlpm.v, IFERROR(INDEX('3. Enter Indicator Scores'!$D$10:$CZ$161,_xlpm.r,_xlpm.c),""),
  IF(OR(_xlpm.w="",_xlpm.v=""),"",_xlpm.v*_xlpm.w)
)</f>
        <v/>
      </c>
      <c r="AP96" s="93" t="str" cm="1">
        <f t="array" ref="AP96">_xlfn.LET(
  _xlpm.w, AP$11,
  _xlpm.r, MATCH(1,('3. Enter Indicator Scores'!$B$10:$B$161=$B96)*('3. Enter Indicator Scores'!$C$10:$C$161=$C96),0),
  _xlpm.c, MATCH(AP$8,'3. Enter Indicator Scores'!$D$8:$CZ$8,0),
  _xlpm.v, IFERROR(INDEX('3. Enter Indicator Scores'!$D$10:$CZ$161,_xlpm.r,_xlpm.c),""),
  IF(OR(_xlpm.w="",_xlpm.v=""),"",_xlpm.v*_xlpm.w)
)</f>
        <v/>
      </c>
      <c r="AQ96" s="93" t="str" cm="1">
        <f t="array" ref="AQ96">_xlfn.LET(
  _xlpm.w, AQ$11,
  _xlpm.r, MATCH(1,('3. Enter Indicator Scores'!$B$10:$B$161=$B96)*('3. Enter Indicator Scores'!$C$10:$C$161=$C96),0),
  _xlpm.c, MATCH(AQ$8,'3. Enter Indicator Scores'!$D$8:$CZ$8,0),
  _xlpm.v, IFERROR(INDEX('3. Enter Indicator Scores'!$D$10:$CZ$161,_xlpm.r,_xlpm.c),""),
  IF(OR(_xlpm.w="",_xlpm.v=""),"",_xlpm.v*_xlpm.w)
)</f>
        <v/>
      </c>
      <c r="AR96" s="93" t="str" cm="1">
        <f t="array" ref="AR96">_xlfn.LET(
  _xlpm.w, AR$11,
  _xlpm.r, MATCH(1,('3. Enter Indicator Scores'!$B$10:$B$161=$B96)*('3. Enter Indicator Scores'!$C$10:$C$161=$C96),0),
  _xlpm.c, MATCH(AR$8,'3. Enter Indicator Scores'!$D$8:$CZ$8,0),
  _xlpm.v, IFERROR(INDEX('3. Enter Indicator Scores'!$D$10:$CZ$161,_xlpm.r,_xlpm.c),""),
  IF(OR(_xlpm.w="",_xlpm.v=""),"",_xlpm.v*_xlpm.w)
)</f>
        <v/>
      </c>
      <c r="AS96" s="93" t="str" cm="1">
        <f t="array" ref="AS96">_xlfn.LET(
  _xlpm.w, AS$11,
  _xlpm.r, MATCH(1,('3. Enter Indicator Scores'!$B$10:$B$161=$B96)*('3. Enter Indicator Scores'!$C$10:$C$161=$C96),0),
  _xlpm.c, MATCH(AS$8,'3. Enter Indicator Scores'!$D$8:$CZ$8,0),
  _xlpm.v, IFERROR(INDEX('3. Enter Indicator Scores'!$D$10:$CZ$161,_xlpm.r,_xlpm.c),""),
  IF(OR(_xlpm.w="",_xlpm.v=""),"",_xlpm.v*_xlpm.w)
)</f>
        <v/>
      </c>
      <c r="AT96" s="93" t="str" cm="1">
        <f t="array" ref="AT96">_xlfn.LET(
  _xlpm.w, AT$11,
  _xlpm.r, MATCH(1,('3. Enter Indicator Scores'!$B$10:$B$161=$B96)*('3. Enter Indicator Scores'!$C$10:$C$161=$C96),0),
  _xlpm.c, MATCH(AT$8,'3. Enter Indicator Scores'!$D$8:$CZ$8,0),
  _xlpm.v, IFERROR(INDEX('3. Enter Indicator Scores'!$D$10:$CZ$161,_xlpm.r,_xlpm.c),""),
  IF(OR(_xlpm.w="",_xlpm.v=""),"",_xlpm.v*_xlpm.w)
)</f>
        <v/>
      </c>
      <c r="AU96" s="93" t="str" cm="1">
        <f t="array" ref="AU96">_xlfn.LET(
  _xlpm.w, AU$11,
  _xlpm.r, MATCH(1,('3. Enter Indicator Scores'!$B$10:$B$161=$B96)*('3. Enter Indicator Scores'!$C$10:$C$161=$C96),0),
  _xlpm.c, MATCH(AU$8,'3. Enter Indicator Scores'!$D$8:$CZ$8,0),
  _xlpm.v, IFERROR(INDEX('3. Enter Indicator Scores'!$D$10:$CZ$161,_xlpm.r,_xlpm.c),""),
  IF(OR(_xlpm.w="",_xlpm.v=""),"",_xlpm.v*_xlpm.w)
)</f>
        <v/>
      </c>
      <c r="AV96" s="93" t="str" cm="1">
        <f t="array" ref="AV96">_xlfn.LET(
  _xlpm.w, AV$11,
  _xlpm.r, MATCH(1,('3. Enter Indicator Scores'!$B$10:$B$161=$B96)*('3. Enter Indicator Scores'!$C$10:$C$161=$C96),0),
  _xlpm.c, MATCH(AV$8,'3. Enter Indicator Scores'!$D$8:$CZ$8,0),
  _xlpm.v, IFERROR(INDEX('3. Enter Indicator Scores'!$D$10:$CZ$161,_xlpm.r,_xlpm.c),""),
  IF(OR(_xlpm.w="",_xlpm.v=""),"",_xlpm.v*_xlpm.w)
)</f>
        <v/>
      </c>
      <c r="AW96" s="93" t="str" cm="1">
        <f t="array" ref="AW96">_xlfn.LET(
  _xlpm.w, AW$11,
  _xlpm.r, MATCH(1,('3. Enter Indicator Scores'!$B$10:$B$161=$B96)*('3. Enter Indicator Scores'!$C$10:$C$161=$C96),0),
  _xlpm.c, MATCH(AW$8,'3. Enter Indicator Scores'!$D$8:$CZ$8,0),
  _xlpm.v, IFERROR(INDEX('3. Enter Indicator Scores'!$D$10:$CZ$161,_xlpm.r,_xlpm.c),""),
  IF(OR(_xlpm.w="",_xlpm.v=""),"",_xlpm.v*_xlpm.w)
)</f>
        <v/>
      </c>
      <c r="AX96" s="93" t="str" cm="1">
        <f t="array" ref="AX96">_xlfn.LET(
  _xlpm.w, AX$11,
  _xlpm.r, MATCH(1,('3. Enter Indicator Scores'!$B$10:$B$161=$B96)*('3. Enter Indicator Scores'!$C$10:$C$161=$C96),0),
  _xlpm.c, MATCH(AX$8,'3. Enter Indicator Scores'!$D$8:$CZ$8,0),
  _xlpm.v, IFERROR(INDEX('3. Enter Indicator Scores'!$D$10:$CZ$161,_xlpm.r,_xlpm.c),""),
  IF(OR(_xlpm.w="",_xlpm.v=""),"",_xlpm.v*_xlpm.w)
)</f>
        <v/>
      </c>
      <c r="AY96" s="93" t="str" cm="1">
        <f t="array" ref="AY96">_xlfn.LET(
  _xlpm.w, AY$11,
  _xlpm.r, MATCH(1,('3. Enter Indicator Scores'!$B$10:$B$161=$B96)*('3. Enter Indicator Scores'!$C$10:$C$161=$C96),0),
  _xlpm.c, MATCH(AY$8,'3. Enter Indicator Scores'!$D$8:$CZ$8,0),
  _xlpm.v, IFERROR(INDEX('3. Enter Indicator Scores'!$D$10:$CZ$161,_xlpm.r,_xlpm.c),""),
  IF(OR(_xlpm.w="",_xlpm.v=""),"",_xlpm.v*_xlpm.w)
)</f>
        <v/>
      </c>
      <c r="AZ96" s="93" t="str" cm="1">
        <f t="array" ref="AZ96">_xlfn.LET(
  _xlpm.w, AZ$11,
  _xlpm.r, MATCH(1,('3. Enter Indicator Scores'!$B$10:$B$161=$B96)*('3. Enter Indicator Scores'!$C$10:$C$161=$C96),0),
  _xlpm.c, MATCH(AZ$8,'3. Enter Indicator Scores'!$D$8:$CZ$8,0),
  _xlpm.v, IFERROR(INDEX('3. Enter Indicator Scores'!$D$10:$CZ$161,_xlpm.r,_xlpm.c),""),
  IF(OR(_xlpm.w="",_xlpm.v=""),"",_xlpm.v*_xlpm.w)
)</f>
        <v/>
      </c>
      <c r="BA96" s="93" t="str" cm="1">
        <f t="array" ref="BA96">_xlfn.LET(
  _xlpm.w, BA$11,
  _xlpm.r, MATCH(1,('3. Enter Indicator Scores'!$B$10:$B$161=$B96)*('3. Enter Indicator Scores'!$C$10:$C$161=$C96),0),
  _xlpm.c, MATCH(BA$8,'3. Enter Indicator Scores'!$D$8:$CZ$8,0),
  _xlpm.v, IFERROR(INDEX('3. Enter Indicator Scores'!$D$10:$CZ$161,_xlpm.r,_xlpm.c),""),
  IF(OR(_xlpm.w="",_xlpm.v=""),"",_xlpm.v*_xlpm.w)
)</f>
        <v/>
      </c>
      <c r="BB96" s="93" t="str" cm="1">
        <f t="array" ref="BB96">_xlfn.LET(
  _xlpm.w, BB$11,
  _xlpm.r, MATCH(1,('3. Enter Indicator Scores'!$B$10:$B$161=$B96)*('3. Enter Indicator Scores'!$C$10:$C$161=$C96),0),
  _xlpm.c, MATCH(BB$8,'3. Enter Indicator Scores'!$D$8:$CZ$8,0),
  _xlpm.v, IFERROR(INDEX('3. Enter Indicator Scores'!$D$10:$CZ$161,_xlpm.r,_xlpm.c),""),
  IF(OR(_xlpm.w="",_xlpm.v=""),"",_xlpm.v*_xlpm.w)
)</f>
        <v/>
      </c>
      <c r="BC96" s="93" t="str" cm="1">
        <f t="array" ref="BC96">_xlfn.LET(
  _xlpm.w, BC$11,
  _xlpm.r, MATCH(1,('3. Enter Indicator Scores'!$B$10:$B$161=$B96)*('3. Enter Indicator Scores'!$C$10:$C$161=$C96),0),
  _xlpm.c, MATCH(BC$8,'3. Enter Indicator Scores'!$D$8:$CZ$8,0),
  _xlpm.v, IFERROR(INDEX('3. Enter Indicator Scores'!$D$10:$CZ$161,_xlpm.r,_xlpm.c),""),
  IF(OR(_xlpm.w="",_xlpm.v=""),"",_xlpm.v*_xlpm.w)
)</f>
        <v/>
      </c>
      <c r="BD96" s="93" t="str" cm="1">
        <f t="array" ref="BD96">_xlfn.LET(
  _xlpm.w, BD$11,
  _xlpm.r, MATCH(1,('3. Enter Indicator Scores'!$B$10:$B$161=$B96)*('3. Enter Indicator Scores'!$C$10:$C$161=$C96),0),
  _xlpm.c, MATCH(BD$8,'3. Enter Indicator Scores'!$D$8:$CZ$8,0),
  _xlpm.v, IFERROR(INDEX('3. Enter Indicator Scores'!$D$10:$CZ$161,_xlpm.r,_xlpm.c),""),
  IF(OR(_xlpm.w="",_xlpm.v=""),"",_xlpm.v*_xlpm.w)
)</f>
        <v/>
      </c>
      <c r="BE96" s="93" t="str" cm="1">
        <f t="array" ref="BE96">_xlfn.LET(
  _xlpm.w, BE$11,
  _xlpm.r, MATCH(1,('3. Enter Indicator Scores'!$B$10:$B$161=$B96)*('3. Enter Indicator Scores'!$C$10:$C$161=$C96),0),
  _xlpm.c, MATCH(BE$8,'3. Enter Indicator Scores'!$D$8:$CZ$8,0),
  _xlpm.v, IFERROR(INDEX('3. Enter Indicator Scores'!$D$10:$CZ$161,_xlpm.r,_xlpm.c),""),
  IF(OR(_xlpm.w="",_xlpm.v=""),"",_xlpm.v*_xlpm.w)
)</f>
        <v/>
      </c>
      <c r="BF96" s="93" t="str" cm="1">
        <f t="array" ref="BF96">_xlfn.LET(
  _xlpm.w, BF$11,
  _xlpm.r, MATCH(1,('3. Enter Indicator Scores'!$B$10:$B$161=$B96)*('3. Enter Indicator Scores'!$C$10:$C$161=$C96),0),
  _xlpm.c, MATCH(BF$8,'3. Enter Indicator Scores'!$D$8:$CZ$8,0),
  _xlpm.v, IFERROR(INDEX('3. Enter Indicator Scores'!$D$10:$CZ$161,_xlpm.r,_xlpm.c),""),
  IF(OR(_xlpm.w="",_xlpm.v=""),"",_xlpm.v*_xlpm.w)
)</f>
        <v/>
      </c>
      <c r="BG96" s="93" t="str" cm="1">
        <f t="array" ref="BG96">_xlfn.LET(
  _xlpm.w, BG$11,
  _xlpm.r, MATCH(1,('3. Enter Indicator Scores'!$B$10:$B$161=$B96)*('3. Enter Indicator Scores'!$C$10:$C$161=$C96),0),
  _xlpm.c, MATCH(BG$8,'3. Enter Indicator Scores'!$D$8:$CZ$8,0),
  _xlpm.v, IFERROR(INDEX('3. Enter Indicator Scores'!$D$10:$CZ$161,_xlpm.r,_xlpm.c),""),
  IF(OR(_xlpm.w="",_xlpm.v=""),"",_xlpm.v*_xlpm.w)
)</f>
        <v/>
      </c>
      <c r="BH96" s="93" t="str" cm="1">
        <f t="array" ref="BH96">_xlfn.LET(
  _xlpm.w, BH$11,
  _xlpm.r, MATCH(1,('3. Enter Indicator Scores'!$B$10:$B$161=$B96)*('3. Enter Indicator Scores'!$C$10:$C$161=$C96),0),
  _xlpm.c, MATCH(BH$8,'3. Enter Indicator Scores'!$D$8:$CZ$8,0),
  _xlpm.v, IFERROR(INDEX('3. Enter Indicator Scores'!$D$10:$CZ$161,_xlpm.r,_xlpm.c),""),
  IF(OR(_xlpm.w="",_xlpm.v=""),"",_xlpm.v*_xlpm.w)
)</f>
        <v/>
      </c>
      <c r="BI96" s="93" t="str" cm="1">
        <f t="array" ref="BI96">_xlfn.LET(
  _xlpm.w, BI$11,
  _xlpm.r, MATCH(1,('3. Enter Indicator Scores'!$B$10:$B$161=$B96)*('3. Enter Indicator Scores'!$C$10:$C$161=$C96),0),
  _xlpm.c, MATCH(BI$8,'3. Enter Indicator Scores'!$D$8:$CZ$8,0),
  _xlpm.v, IFERROR(INDEX('3. Enter Indicator Scores'!$D$10:$CZ$161,_xlpm.r,_xlpm.c),""),
  IF(OR(_xlpm.w="",_xlpm.v=""),"",_xlpm.v*_xlpm.w)
)</f>
        <v/>
      </c>
      <c r="BJ96" s="93" t="str" cm="1">
        <f t="array" ref="BJ96">_xlfn.LET(
  _xlpm.w, BJ$11,
  _xlpm.r, MATCH(1,('3. Enter Indicator Scores'!$B$10:$B$161=$B96)*('3. Enter Indicator Scores'!$C$10:$C$161=$C96),0),
  _xlpm.c, MATCH(BJ$8,'3. Enter Indicator Scores'!$D$8:$CZ$8,0),
  _xlpm.v, IFERROR(INDEX('3. Enter Indicator Scores'!$D$10:$CZ$161,_xlpm.r,_xlpm.c),""),
  IF(OR(_xlpm.w="",_xlpm.v=""),"",_xlpm.v*_xlpm.w)
)</f>
        <v/>
      </c>
      <c r="BK96" s="93" t="str" cm="1">
        <f t="array" ref="BK96">_xlfn.LET(
  _xlpm.w, BK$11,
  _xlpm.r, MATCH(1,('3. Enter Indicator Scores'!$B$10:$B$161=$B96)*('3. Enter Indicator Scores'!$C$10:$C$161=$C96),0),
  _xlpm.c, MATCH(BK$8,'3. Enter Indicator Scores'!$D$8:$CZ$8,0),
  _xlpm.v, IFERROR(INDEX('3. Enter Indicator Scores'!$D$10:$CZ$161,_xlpm.r,_xlpm.c),""),
  IF(OR(_xlpm.w="",_xlpm.v=""),"",_xlpm.v*_xlpm.w)
)</f>
        <v/>
      </c>
      <c r="BL96" s="93" t="str" cm="1">
        <f t="array" ref="BL96">_xlfn.LET(
  _xlpm.w, BL$11,
  _xlpm.r, MATCH(1,('3. Enter Indicator Scores'!$B$10:$B$161=$B96)*('3. Enter Indicator Scores'!$C$10:$C$161=$C96),0),
  _xlpm.c, MATCH(BL$8,'3. Enter Indicator Scores'!$D$8:$CZ$8,0),
  _xlpm.v, IFERROR(INDEX('3. Enter Indicator Scores'!$D$10:$CZ$161,_xlpm.r,_xlpm.c),""),
  IF(OR(_xlpm.w="",_xlpm.v=""),"",_xlpm.v*_xlpm.w)
)</f>
        <v/>
      </c>
      <c r="BM96" s="93" t="str" cm="1">
        <f t="array" ref="BM96">_xlfn.LET(
  _xlpm.w, BM$11,
  _xlpm.r, MATCH(1,('3. Enter Indicator Scores'!$B$10:$B$161=$B96)*('3. Enter Indicator Scores'!$C$10:$C$161=$C96),0),
  _xlpm.c, MATCH(BM$8,'3. Enter Indicator Scores'!$D$8:$CZ$8,0),
  _xlpm.v, IFERROR(INDEX('3. Enter Indicator Scores'!$D$10:$CZ$161,_xlpm.r,_xlpm.c),""),
  IF(OR(_xlpm.w="",_xlpm.v=""),"",_xlpm.v*_xlpm.w)
)</f>
        <v/>
      </c>
      <c r="BN96" s="93" t="str" cm="1">
        <f t="array" ref="BN96">_xlfn.LET(
  _xlpm.w, BN$11,
  _xlpm.r, MATCH(1,('3. Enter Indicator Scores'!$B$10:$B$161=$B96)*('3. Enter Indicator Scores'!$C$10:$C$161=$C96),0),
  _xlpm.c, MATCH(BN$8,'3. Enter Indicator Scores'!$D$8:$CZ$8,0),
  _xlpm.v, IFERROR(INDEX('3. Enter Indicator Scores'!$D$10:$CZ$161,_xlpm.r,_xlpm.c),""),
  IF(OR(_xlpm.w="",_xlpm.v=""),"",_xlpm.v*_xlpm.w)
)</f>
        <v/>
      </c>
      <c r="BO96" s="93" t="str" cm="1">
        <f t="array" ref="BO96">_xlfn.LET(
  _xlpm.w, BO$11,
  _xlpm.r, MATCH(1,('3. Enter Indicator Scores'!$B$10:$B$161=$B96)*('3. Enter Indicator Scores'!$C$10:$C$161=$C96),0),
  _xlpm.c, MATCH(BO$8,'3. Enter Indicator Scores'!$D$8:$CZ$8,0),
  _xlpm.v, IFERROR(INDEX('3. Enter Indicator Scores'!$D$10:$CZ$161,_xlpm.r,_xlpm.c),""),
  IF(OR(_xlpm.w="",_xlpm.v=""),"",_xlpm.v*_xlpm.w)
)</f>
        <v/>
      </c>
      <c r="BP96" s="93" t="str" cm="1">
        <f t="array" ref="BP96">_xlfn.LET(
  _xlpm.w, BP$11,
  _xlpm.r, MATCH(1,('3. Enter Indicator Scores'!$B$10:$B$161=$B96)*('3. Enter Indicator Scores'!$C$10:$C$161=$C96),0),
  _xlpm.c, MATCH(BP$8,'3. Enter Indicator Scores'!$D$8:$CZ$8,0),
  _xlpm.v, IFERROR(INDEX('3. Enter Indicator Scores'!$D$10:$CZ$161,_xlpm.r,_xlpm.c),""),
  IF(OR(_xlpm.w="",_xlpm.v=""),"",_xlpm.v*_xlpm.w)
)</f>
        <v/>
      </c>
      <c r="BQ96" s="93" t="str" cm="1">
        <f t="array" ref="BQ96">_xlfn.LET(
  _xlpm.w, BQ$11,
  _xlpm.r, MATCH(1,('3. Enter Indicator Scores'!$B$10:$B$161=$B96)*('3. Enter Indicator Scores'!$C$10:$C$161=$C96),0),
  _xlpm.c, MATCH(BQ$8,'3. Enter Indicator Scores'!$D$8:$CZ$8,0),
  _xlpm.v, IFERROR(INDEX('3. Enter Indicator Scores'!$D$10:$CZ$161,_xlpm.r,_xlpm.c),""),
  IF(OR(_xlpm.w="",_xlpm.v=""),"",_xlpm.v*_xlpm.w)
)</f>
        <v/>
      </c>
      <c r="BR96" s="93" t="str" cm="1">
        <f t="array" ref="BR96">_xlfn.LET(
  _xlpm.w, BR$11,
  _xlpm.r, MATCH(1,('3. Enter Indicator Scores'!$B$10:$B$161=$B96)*('3. Enter Indicator Scores'!$C$10:$C$161=$C96),0),
  _xlpm.c, MATCH(BR$8,'3. Enter Indicator Scores'!$D$8:$CZ$8,0),
  _xlpm.v, IFERROR(INDEX('3. Enter Indicator Scores'!$D$10:$CZ$161,_xlpm.r,_xlpm.c),""),
  IF(OR(_xlpm.w="",_xlpm.v=""),"",_xlpm.v*_xlpm.w)
)</f>
        <v/>
      </c>
      <c r="BS96" s="93" t="str" cm="1">
        <f t="array" ref="BS96">_xlfn.LET(
  _xlpm.w, BS$11,
  _xlpm.r, MATCH(1,('3. Enter Indicator Scores'!$B$10:$B$161=$B96)*('3. Enter Indicator Scores'!$C$10:$C$161=$C96),0),
  _xlpm.c, MATCH(BS$8,'3. Enter Indicator Scores'!$D$8:$CZ$8,0),
  _xlpm.v, IFERROR(INDEX('3. Enter Indicator Scores'!$D$10:$CZ$161,_xlpm.r,_xlpm.c),""),
  IF(OR(_xlpm.w="",_xlpm.v=""),"",_xlpm.v*_xlpm.w)
)</f>
        <v/>
      </c>
      <c r="BT96" s="93" t="str" cm="1">
        <f t="array" ref="BT96">_xlfn.LET(
  _xlpm.w, BT$11,
  _xlpm.r, MATCH(1,('3. Enter Indicator Scores'!$B$10:$B$161=$B96)*('3. Enter Indicator Scores'!$C$10:$C$161=$C96),0),
  _xlpm.c, MATCH(BT$8,'3. Enter Indicator Scores'!$D$8:$CZ$8,0),
  _xlpm.v, IFERROR(INDEX('3. Enter Indicator Scores'!$D$10:$CZ$161,_xlpm.r,_xlpm.c),""),
  IF(OR(_xlpm.w="",_xlpm.v=""),"",_xlpm.v*_xlpm.w)
)</f>
        <v/>
      </c>
      <c r="BU96" s="93" t="str" cm="1">
        <f t="array" ref="BU96">_xlfn.LET(
  _xlpm.w, BU$11,
  _xlpm.r, MATCH(1,('3. Enter Indicator Scores'!$B$10:$B$161=$B96)*('3. Enter Indicator Scores'!$C$10:$C$161=$C96),0),
  _xlpm.c, MATCH(BU$8,'3. Enter Indicator Scores'!$D$8:$CZ$8,0),
  _xlpm.v, IFERROR(INDEX('3. Enter Indicator Scores'!$D$10:$CZ$161,_xlpm.r,_xlpm.c),""),
  IF(OR(_xlpm.w="",_xlpm.v=""),"",_xlpm.v*_xlpm.w)
)</f>
        <v/>
      </c>
      <c r="BV96" s="93" t="str" cm="1">
        <f t="array" ref="BV96">_xlfn.LET(
  _xlpm.w, BV$11,
  _xlpm.r, MATCH(1,('3. Enter Indicator Scores'!$B$10:$B$161=$B96)*('3. Enter Indicator Scores'!$C$10:$C$161=$C96),0),
  _xlpm.c, MATCH(BV$8,'3. Enter Indicator Scores'!$D$8:$CZ$8,0),
  _xlpm.v, IFERROR(INDEX('3. Enter Indicator Scores'!$D$10:$CZ$161,_xlpm.r,_xlpm.c),""),
  IF(OR(_xlpm.w="",_xlpm.v=""),"",_xlpm.v*_xlpm.w)
)</f>
        <v/>
      </c>
      <c r="BW96" s="93" t="str" cm="1">
        <f t="array" ref="BW96">_xlfn.LET(
  _xlpm.w, BW$11,
  _xlpm.r, MATCH(1,('3. Enter Indicator Scores'!$B$10:$B$161=$B96)*('3. Enter Indicator Scores'!$C$10:$C$161=$C96),0),
  _xlpm.c, MATCH(BW$8,'3. Enter Indicator Scores'!$D$8:$CZ$8,0),
  _xlpm.v, IFERROR(INDEX('3. Enter Indicator Scores'!$D$10:$CZ$161,_xlpm.r,_xlpm.c),""),
  IF(OR(_xlpm.w="",_xlpm.v=""),"",_xlpm.v*_xlpm.w)
)</f>
        <v/>
      </c>
      <c r="BX96" s="93" t="str" cm="1">
        <f t="array" ref="BX96">_xlfn.LET(
  _xlpm.w, BX$11,
  _xlpm.r, MATCH(1,('3. Enter Indicator Scores'!$B$10:$B$161=$B96)*('3. Enter Indicator Scores'!$C$10:$C$161=$C96),0),
  _xlpm.c, MATCH(BX$8,'3. Enter Indicator Scores'!$D$8:$CZ$8,0),
  _xlpm.v, IFERROR(INDEX('3. Enter Indicator Scores'!$D$10:$CZ$161,_xlpm.r,_xlpm.c),""),
  IF(OR(_xlpm.w="",_xlpm.v=""),"",_xlpm.v*_xlpm.w)
)</f>
        <v/>
      </c>
      <c r="BY96" s="93" t="str" cm="1">
        <f t="array" ref="BY96">_xlfn.LET(
  _xlpm.w, BY$11,
  _xlpm.r, MATCH(1,('3. Enter Indicator Scores'!$B$10:$B$161=$B96)*('3. Enter Indicator Scores'!$C$10:$C$161=$C96),0),
  _xlpm.c, MATCH(BY$8,'3. Enter Indicator Scores'!$D$8:$CZ$8,0),
  _xlpm.v, IFERROR(INDEX('3. Enter Indicator Scores'!$D$10:$CZ$161,_xlpm.r,_xlpm.c),""),
  IF(OR(_xlpm.w="",_xlpm.v=""),"",_xlpm.v*_xlpm.w)
)</f>
        <v/>
      </c>
      <c r="BZ96" s="93" t="str" cm="1">
        <f t="array" ref="BZ96">_xlfn.LET(
  _xlpm.w, BZ$11,
  _xlpm.r, MATCH(1,('3. Enter Indicator Scores'!$B$10:$B$161=$B96)*('3. Enter Indicator Scores'!$C$10:$C$161=$C96),0),
  _xlpm.c, MATCH(BZ$8,'3. Enter Indicator Scores'!$D$8:$CZ$8,0),
  _xlpm.v, IFERROR(INDEX('3. Enter Indicator Scores'!$D$10:$CZ$161,_xlpm.r,_xlpm.c),""),
  IF(OR(_xlpm.w="",_xlpm.v=""),"",_xlpm.v*_xlpm.w)
)</f>
        <v/>
      </c>
      <c r="CA96" s="93" t="str" cm="1">
        <f t="array" ref="CA96">_xlfn.LET(
  _xlpm.w, CA$11,
  _xlpm.r, MATCH(1,('3. Enter Indicator Scores'!$B$10:$B$161=$B96)*('3. Enter Indicator Scores'!$C$10:$C$161=$C96),0),
  _xlpm.c, MATCH(CA$8,'3. Enter Indicator Scores'!$D$8:$CZ$8,0),
  _xlpm.v, IFERROR(INDEX('3. Enter Indicator Scores'!$D$10:$CZ$161,_xlpm.r,_xlpm.c),""),
  IF(OR(_xlpm.w="",_xlpm.v=""),"",_xlpm.v*_xlpm.w)
)</f>
        <v/>
      </c>
      <c r="CB96" s="93" t="str" cm="1">
        <f t="array" ref="CB96">_xlfn.LET(
  _xlpm.w, CB$11,
  _xlpm.r, MATCH(1,('3. Enter Indicator Scores'!$B$10:$B$161=$B96)*('3. Enter Indicator Scores'!$C$10:$C$161=$C96),0),
  _xlpm.c, MATCH(CB$8,'3. Enter Indicator Scores'!$D$8:$CZ$8,0),
  _xlpm.v, IFERROR(INDEX('3. Enter Indicator Scores'!$D$10:$CZ$161,_xlpm.r,_xlpm.c),""),
  IF(OR(_xlpm.w="",_xlpm.v=""),"",_xlpm.v*_xlpm.w)
)</f>
        <v/>
      </c>
      <c r="CC96" s="93" t="str" cm="1">
        <f t="array" ref="CC96">_xlfn.LET(
  _xlpm.w, CC$11,
  _xlpm.r, MATCH(1,('3. Enter Indicator Scores'!$B$10:$B$161=$B96)*('3. Enter Indicator Scores'!$C$10:$C$161=$C96),0),
  _xlpm.c, MATCH(CC$8,'3. Enter Indicator Scores'!$D$8:$CZ$8,0),
  _xlpm.v, IFERROR(INDEX('3. Enter Indicator Scores'!$D$10:$CZ$161,_xlpm.r,_xlpm.c),""),
  IF(OR(_xlpm.w="",_xlpm.v=""),"",_xlpm.v*_xlpm.w)
)</f>
        <v/>
      </c>
      <c r="CD96" s="93" t="str" cm="1">
        <f t="array" ref="CD96">_xlfn.LET(
  _xlpm.w, CD$11,
  _xlpm.r, MATCH(1,('3. Enter Indicator Scores'!$B$10:$B$161=$B96)*('3. Enter Indicator Scores'!$C$10:$C$161=$C96),0),
  _xlpm.c, MATCH(CD$8,'3. Enter Indicator Scores'!$D$8:$CZ$8,0),
  _xlpm.v, IFERROR(INDEX('3. Enter Indicator Scores'!$D$10:$CZ$161,_xlpm.r,_xlpm.c),""),
  IF(OR(_xlpm.w="",_xlpm.v=""),"",_xlpm.v*_xlpm.w)
)</f>
        <v/>
      </c>
      <c r="CE96" s="93" t="str" cm="1">
        <f t="array" ref="CE96">_xlfn.LET(
  _xlpm.w, CE$11,
  _xlpm.r, MATCH(1,('3. Enter Indicator Scores'!$B$10:$B$161=$B96)*('3. Enter Indicator Scores'!$C$10:$C$161=$C96),0),
  _xlpm.c, MATCH(CE$8,'3. Enter Indicator Scores'!$D$8:$CZ$8,0),
  _xlpm.v, IFERROR(INDEX('3. Enter Indicator Scores'!$D$10:$CZ$161,_xlpm.r,_xlpm.c),""),
  IF(OR(_xlpm.w="",_xlpm.v=""),"",_xlpm.v*_xlpm.w)
)</f>
        <v/>
      </c>
      <c r="CF96" s="93" t="str" cm="1">
        <f t="array" ref="CF96">_xlfn.LET(
  _xlpm.w, CF$11,
  _xlpm.r, MATCH(1,('3. Enter Indicator Scores'!$B$10:$B$161=$B96)*('3. Enter Indicator Scores'!$C$10:$C$161=$C96),0),
  _xlpm.c, MATCH(CF$8,'3. Enter Indicator Scores'!$D$8:$CZ$8,0),
  _xlpm.v, IFERROR(INDEX('3. Enter Indicator Scores'!$D$10:$CZ$161,_xlpm.r,_xlpm.c),""),
  IF(OR(_xlpm.w="",_xlpm.v=""),"",_xlpm.v*_xlpm.w)
)</f>
        <v/>
      </c>
      <c r="CG96" s="93" t="str" cm="1">
        <f t="array" ref="CG96">_xlfn.LET(
  _xlpm.w, CG$11,
  _xlpm.r, MATCH(1,('3. Enter Indicator Scores'!$B$10:$B$161=$B96)*('3. Enter Indicator Scores'!$C$10:$C$161=$C96),0),
  _xlpm.c, MATCH(CG$8,'3. Enter Indicator Scores'!$D$8:$CZ$8,0),
  _xlpm.v, IFERROR(INDEX('3. Enter Indicator Scores'!$D$10:$CZ$161,_xlpm.r,_xlpm.c),""),
  IF(OR(_xlpm.w="",_xlpm.v=""),"",_xlpm.v*_xlpm.w)
)</f>
        <v/>
      </c>
      <c r="CH96" s="93" t="str" cm="1">
        <f t="array" ref="CH96">_xlfn.LET(
  _xlpm.w, CH$11,
  _xlpm.r, MATCH(1,('3. Enter Indicator Scores'!$B$10:$B$161=$B96)*('3. Enter Indicator Scores'!$C$10:$C$161=$C96),0),
  _xlpm.c, MATCH(CH$8,'3. Enter Indicator Scores'!$D$8:$CZ$8,0),
  _xlpm.v, IFERROR(INDEX('3. Enter Indicator Scores'!$D$10:$CZ$161,_xlpm.r,_xlpm.c),""),
  IF(OR(_xlpm.w="",_xlpm.v=""),"",_xlpm.v*_xlpm.w)
)</f>
        <v/>
      </c>
      <c r="CI96" s="93" t="str" cm="1">
        <f t="array" ref="CI96">_xlfn.LET(
  _xlpm.w, CI$11,
  _xlpm.r, MATCH(1,('3. Enter Indicator Scores'!$B$10:$B$161=$B96)*('3. Enter Indicator Scores'!$C$10:$C$161=$C96),0),
  _xlpm.c, MATCH(CI$8,'3. Enter Indicator Scores'!$D$8:$CZ$8,0),
  _xlpm.v, IFERROR(INDEX('3. Enter Indicator Scores'!$D$10:$CZ$161,_xlpm.r,_xlpm.c),""),
  IF(OR(_xlpm.w="",_xlpm.v=""),"",_xlpm.v*_xlpm.w)
)</f>
        <v/>
      </c>
      <c r="CJ96" s="93" t="str" cm="1">
        <f t="array" ref="CJ96">_xlfn.LET(
  _xlpm.w, CJ$11,
  _xlpm.r, MATCH(1,('3. Enter Indicator Scores'!$B$10:$B$161=$B96)*('3. Enter Indicator Scores'!$C$10:$C$161=$C96),0),
  _xlpm.c, MATCH(CJ$8,'3. Enter Indicator Scores'!$D$8:$CZ$8,0),
  _xlpm.v, IFERROR(INDEX('3. Enter Indicator Scores'!$D$10:$CZ$161,_xlpm.r,_xlpm.c),""),
  IF(OR(_xlpm.w="",_xlpm.v=""),"",_xlpm.v*_xlpm.w)
)</f>
        <v/>
      </c>
      <c r="CK96" s="93" t="str" cm="1">
        <f t="array" ref="CK96">_xlfn.LET(
  _xlpm.w, CK$11,
  _xlpm.r, MATCH(1,('3. Enter Indicator Scores'!$B$10:$B$161=$B96)*('3. Enter Indicator Scores'!$C$10:$C$161=$C96),0),
  _xlpm.c, MATCH(CK$8,'3. Enter Indicator Scores'!$D$8:$CZ$8,0),
  _xlpm.v, IFERROR(INDEX('3. Enter Indicator Scores'!$D$10:$CZ$161,_xlpm.r,_xlpm.c),""),
  IF(OR(_xlpm.w="",_xlpm.v=""),"",_xlpm.v*_xlpm.w)
)</f>
        <v/>
      </c>
      <c r="CL96" s="93" t="str" cm="1">
        <f t="array" ref="CL96">_xlfn.LET(
  _xlpm.w, CL$11,
  _xlpm.r, MATCH(1,('3. Enter Indicator Scores'!$B$10:$B$161=$B96)*('3. Enter Indicator Scores'!$C$10:$C$161=$C96),0),
  _xlpm.c, MATCH(CL$8,'3. Enter Indicator Scores'!$D$8:$CZ$8,0),
  _xlpm.v, IFERROR(INDEX('3. Enter Indicator Scores'!$D$10:$CZ$161,_xlpm.r,_xlpm.c),""),
  IF(OR(_xlpm.w="",_xlpm.v=""),"",_xlpm.v*_xlpm.w)
)</f>
        <v/>
      </c>
      <c r="CM96" s="93" t="str" cm="1">
        <f t="array" ref="CM96">_xlfn.LET(
  _xlpm.w, CM$11,
  _xlpm.r, MATCH(1,('3. Enter Indicator Scores'!$B$10:$B$161=$B96)*('3. Enter Indicator Scores'!$C$10:$C$161=$C96),0),
  _xlpm.c, MATCH(CM$8,'3. Enter Indicator Scores'!$D$8:$CZ$8,0),
  _xlpm.v, IFERROR(INDEX('3. Enter Indicator Scores'!$D$10:$CZ$161,_xlpm.r,_xlpm.c),""),
  IF(OR(_xlpm.w="",_xlpm.v=""),"",_xlpm.v*_xlpm.w)
)</f>
        <v/>
      </c>
      <c r="CN96" s="93" t="str" cm="1">
        <f t="array" ref="CN96">_xlfn.LET(
  _xlpm.w, CN$11,
  _xlpm.r, MATCH(1,('3. Enter Indicator Scores'!$B$10:$B$161=$B96)*('3. Enter Indicator Scores'!$C$10:$C$161=$C96),0),
  _xlpm.c, MATCH(CN$8,'3. Enter Indicator Scores'!$D$8:$CZ$8,0),
  _xlpm.v, IFERROR(INDEX('3. Enter Indicator Scores'!$D$10:$CZ$161,_xlpm.r,_xlpm.c),""),
  IF(OR(_xlpm.w="",_xlpm.v=""),"",_xlpm.v*_xlpm.w)
)</f>
        <v/>
      </c>
      <c r="CO96" s="93" t="str" cm="1">
        <f t="array" ref="CO96">_xlfn.LET(
  _xlpm.w, CO$11,
  _xlpm.r, MATCH(1,('3. Enter Indicator Scores'!$B$10:$B$161=$B96)*('3. Enter Indicator Scores'!$C$10:$C$161=$C96),0),
  _xlpm.c, MATCH(CO$8,'3. Enter Indicator Scores'!$D$8:$CZ$8,0),
  _xlpm.v, IFERROR(INDEX('3. Enter Indicator Scores'!$D$10:$CZ$161,_xlpm.r,_xlpm.c),""),
  IF(OR(_xlpm.w="",_xlpm.v=""),"",_xlpm.v*_xlpm.w)
)</f>
        <v/>
      </c>
      <c r="CP96" s="93" t="str" cm="1">
        <f t="array" ref="CP96">_xlfn.LET(
  _xlpm.w, CP$11,
  _xlpm.r, MATCH(1,('3. Enter Indicator Scores'!$B$10:$B$161=$B96)*('3. Enter Indicator Scores'!$C$10:$C$161=$C96),0),
  _xlpm.c, MATCH(CP$8,'3. Enter Indicator Scores'!$D$8:$CZ$8,0),
  _xlpm.v, IFERROR(INDEX('3. Enter Indicator Scores'!$D$10:$CZ$161,_xlpm.r,_xlpm.c),""),
  IF(OR(_xlpm.w="",_xlpm.v=""),"",_xlpm.v*_xlpm.w)
)</f>
        <v/>
      </c>
      <c r="CQ96" s="93" t="str" cm="1">
        <f t="array" ref="CQ96">_xlfn.LET(
  _xlpm.w, CQ$11,
  _xlpm.r, MATCH(1,('3. Enter Indicator Scores'!$B$10:$B$161=$B96)*('3. Enter Indicator Scores'!$C$10:$C$161=$C96),0),
  _xlpm.c, MATCH(CQ$8,'3. Enter Indicator Scores'!$D$8:$CZ$8,0),
  _xlpm.v, IFERROR(INDEX('3. Enter Indicator Scores'!$D$10:$CZ$161,_xlpm.r,_xlpm.c),""),
  IF(OR(_xlpm.w="",_xlpm.v=""),"",_xlpm.v*_xlpm.w)
)</f>
        <v/>
      </c>
      <c r="CR96" s="93" t="str" cm="1">
        <f t="array" ref="CR96">_xlfn.LET(
  _xlpm.w, CR$11,
  _xlpm.r, MATCH(1,('3. Enter Indicator Scores'!$B$10:$B$161=$B96)*('3. Enter Indicator Scores'!$C$10:$C$161=$C96),0),
  _xlpm.c, MATCH(CR$8,'3. Enter Indicator Scores'!$D$8:$CZ$8,0),
  _xlpm.v, IFERROR(INDEX('3. Enter Indicator Scores'!$D$10:$CZ$161,_xlpm.r,_xlpm.c),""),
  IF(OR(_xlpm.w="",_xlpm.v=""),"",_xlpm.v*_xlpm.w)
)</f>
        <v/>
      </c>
      <c r="CS96" s="93" t="str" cm="1">
        <f t="array" ref="CS96">_xlfn.LET(
  _xlpm.w, CS$11,
  _xlpm.r, MATCH(1,('3. Enter Indicator Scores'!$B$10:$B$161=$B96)*('3. Enter Indicator Scores'!$C$10:$C$161=$C96),0),
  _xlpm.c, MATCH(CS$8,'3. Enter Indicator Scores'!$D$8:$CZ$8,0),
  _xlpm.v, IFERROR(INDEX('3. Enter Indicator Scores'!$D$10:$CZ$161,_xlpm.r,_xlpm.c),""),
  IF(OR(_xlpm.w="",_xlpm.v=""),"",_xlpm.v*_xlpm.w)
)</f>
        <v/>
      </c>
      <c r="CT96" s="93" t="str" cm="1">
        <f t="array" ref="CT96">_xlfn.LET(
  _xlpm.w, CT$11,
  _xlpm.r, MATCH(1,('3. Enter Indicator Scores'!$B$10:$B$161=$B96)*('3. Enter Indicator Scores'!$C$10:$C$161=$C96),0),
  _xlpm.c, MATCH(CT$8,'3. Enter Indicator Scores'!$D$8:$CZ$8,0),
  _xlpm.v, IFERROR(INDEX('3. Enter Indicator Scores'!$D$10:$CZ$161,_xlpm.r,_xlpm.c),""),
  IF(OR(_xlpm.w="",_xlpm.v=""),"",_xlpm.v*_xlpm.w)
)</f>
        <v/>
      </c>
      <c r="CU96" s="93" t="str" cm="1">
        <f t="array" ref="CU96">_xlfn.LET(
  _xlpm.w, CU$11,
  _xlpm.r, MATCH(1,('3. Enter Indicator Scores'!$B$10:$B$161=$B96)*('3. Enter Indicator Scores'!$C$10:$C$161=$C96),0),
  _xlpm.c, MATCH(CU$8,'3. Enter Indicator Scores'!$D$8:$CZ$8,0),
  _xlpm.v, IFERROR(INDEX('3. Enter Indicator Scores'!$D$10:$CZ$161,_xlpm.r,_xlpm.c),""),
  IF(OR(_xlpm.w="",_xlpm.v=""),"",_xlpm.v*_xlpm.w)
)</f>
        <v/>
      </c>
      <c r="CV96" s="93" t="str" cm="1">
        <f t="array" ref="CV96">_xlfn.LET(
  _xlpm.w, CV$11,
  _xlpm.r, MATCH(1,('3. Enter Indicator Scores'!$B$10:$B$161=$B96)*('3. Enter Indicator Scores'!$C$10:$C$161=$C96),0),
  _xlpm.c, MATCH(CV$8,'3. Enter Indicator Scores'!$D$8:$CZ$8,0),
  _xlpm.v, IFERROR(INDEX('3. Enter Indicator Scores'!$D$10:$CZ$161,_xlpm.r,_xlpm.c),""),
  IF(OR(_xlpm.w="",_xlpm.v=""),"",_xlpm.v*_xlpm.w)
)</f>
        <v/>
      </c>
      <c r="CW96" s="93" t="str" cm="1">
        <f t="array" ref="CW96">_xlfn.LET(
  _xlpm.w, CW$11,
  _xlpm.r, MATCH(1,('3. Enter Indicator Scores'!$B$10:$B$161=$B96)*('3. Enter Indicator Scores'!$C$10:$C$161=$C96),0),
  _xlpm.c, MATCH(CW$8,'3. Enter Indicator Scores'!$D$8:$CZ$8,0),
  _xlpm.v, IFERROR(INDEX('3. Enter Indicator Scores'!$D$10:$CZ$161,_xlpm.r,_xlpm.c),""),
  IF(OR(_xlpm.w="",_xlpm.v=""),"",_xlpm.v*_xlpm.w)
)</f>
        <v/>
      </c>
      <c r="CX96" s="93" t="str" cm="1">
        <f t="array" ref="CX96">_xlfn.LET(
  _xlpm.w, CX$11,
  _xlpm.r, MATCH(1,('3. Enter Indicator Scores'!$B$10:$B$161=$B96)*('3. Enter Indicator Scores'!$C$10:$C$161=$C96),0),
  _xlpm.c, MATCH(CX$8,'3. Enter Indicator Scores'!$D$8:$CZ$8,0),
  _xlpm.v, IFERROR(INDEX('3. Enter Indicator Scores'!$D$10:$CZ$161,_xlpm.r,_xlpm.c),""),
  IF(OR(_xlpm.w="",_xlpm.v=""),"",_xlpm.v*_xlpm.w)
)</f>
        <v/>
      </c>
      <c r="CY96" s="93" t="str" cm="1">
        <f t="array" ref="CY96">_xlfn.LET(
  _xlpm.w, CY$11,
  _xlpm.r, MATCH(1,('3. Enter Indicator Scores'!$B$10:$B$161=$B96)*('3. Enter Indicator Scores'!$C$10:$C$161=$C96),0),
  _xlpm.c, MATCH(CY$8,'3. Enter Indicator Scores'!$D$8:$CZ$8,0),
  _xlpm.v, IFERROR(INDEX('3. Enter Indicator Scores'!$D$10:$CZ$161,_xlpm.r,_xlpm.c),""),
  IF(OR(_xlpm.w="",_xlpm.v=""),"",_xlpm.v*_xlpm.w)
)</f>
        <v/>
      </c>
      <c r="CZ96" s="93" t="str" cm="1">
        <f t="array" ref="CZ96">_xlfn.LET(
  _xlpm.w, CZ$11,
  _xlpm.r, MATCH(1,('3. Enter Indicator Scores'!$B$10:$B$161=$B96)*('3. Enter Indicator Scores'!$C$10:$C$161=$C96),0),
  _xlpm.c, MATCH(CZ$8,'3. Enter Indicator Scores'!$D$8:$CZ$8,0),
  _xlpm.v, IFERROR(INDEX('3. Enter Indicator Scores'!$D$10:$CZ$161,_xlpm.r,_xlpm.c),""),
  IF(OR(_xlpm.w="",_xlpm.v=""),"",_xlpm.v*_xlpm.w)
)</f>
        <v/>
      </c>
    </row>
    <row r="97" spans="4:104" x14ac:dyDescent="0.2">
      <c r="D97" s="93" t="str" cm="1">
        <f t="array" ref="D97">_xlfn.LET(
  _xlpm.w, D$11,
  _xlpm.r, MATCH(1,('3. Enter Indicator Scores'!$B$10:$B$161=$B97)*('3. Enter Indicator Scores'!$C$10:$C$161=$C97),0),
  _xlpm.c, MATCH(D$8,'3. Enter Indicator Scores'!$D$8:$CZ$8,0),
  _xlpm.v, IFERROR(INDEX('3. Enter Indicator Scores'!$D$10:$CZ$161,_xlpm.r,_xlpm.c),""),
  IF(OR(_xlpm.w="",_xlpm.v=""),"",_xlpm.v*_xlpm.w)
)</f>
        <v/>
      </c>
      <c r="E97" s="93" t="str" cm="1">
        <f t="array" ref="E97">_xlfn.LET(
  _xlpm.w, E$11,
  _xlpm.r, MATCH(1,('3. Enter Indicator Scores'!$B$10:$B$161=$B97)*('3. Enter Indicator Scores'!$C$10:$C$161=$C97),0),
  _xlpm.c, MATCH(E$8,'3. Enter Indicator Scores'!$D$8:$CZ$8,0),
  _xlpm.v, IFERROR(INDEX('3. Enter Indicator Scores'!$D$10:$CZ$161,_xlpm.r,_xlpm.c),""),
  IF(OR(_xlpm.w="",_xlpm.v=""),"",_xlpm.v*_xlpm.w)
)</f>
        <v/>
      </c>
      <c r="F97" s="93" t="str" cm="1">
        <f t="array" ref="F97">_xlfn.LET(
  _xlpm.w, F$11,
  _xlpm.r, MATCH(1,('3. Enter Indicator Scores'!$B$10:$B$161=$B97)*('3. Enter Indicator Scores'!$C$10:$C$161=$C97),0),
  _xlpm.c, MATCH(F$8,'3. Enter Indicator Scores'!$D$8:$CZ$8,0),
  _xlpm.v, IFERROR(INDEX('3. Enter Indicator Scores'!$D$10:$CZ$161,_xlpm.r,_xlpm.c),""),
  IF(OR(_xlpm.w="",_xlpm.v=""),"",_xlpm.v*_xlpm.w)
)</f>
        <v/>
      </c>
      <c r="G97" s="93" t="str" cm="1">
        <f t="array" ref="G97">_xlfn.LET(
  _xlpm.w, G$11,
  _xlpm.r, MATCH(1,('3. Enter Indicator Scores'!$B$10:$B$161=$B97)*('3. Enter Indicator Scores'!$C$10:$C$161=$C97),0),
  _xlpm.c, MATCH(G$8,'3. Enter Indicator Scores'!$D$8:$CZ$8,0),
  _xlpm.v, IFERROR(INDEX('3. Enter Indicator Scores'!$D$10:$CZ$161,_xlpm.r,_xlpm.c),""),
  IF(OR(_xlpm.w="",_xlpm.v=""),"",_xlpm.v*_xlpm.w)
)</f>
        <v/>
      </c>
      <c r="H97" s="93" t="str" cm="1">
        <f t="array" ref="H97">_xlfn.LET(
  _xlpm.w, H$11,
  _xlpm.r, MATCH(1,('3. Enter Indicator Scores'!$B$10:$B$161=$B97)*('3. Enter Indicator Scores'!$C$10:$C$161=$C97),0),
  _xlpm.c, MATCH(H$8,'3. Enter Indicator Scores'!$D$8:$CZ$8,0),
  _xlpm.v, IFERROR(INDEX('3. Enter Indicator Scores'!$D$10:$CZ$161,_xlpm.r,_xlpm.c),""),
  IF(OR(_xlpm.w="",_xlpm.v=""),"",_xlpm.v*_xlpm.w)
)</f>
        <v/>
      </c>
      <c r="I97" s="93" t="str" cm="1">
        <f t="array" ref="I97">_xlfn.LET(
  _xlpm.w, I$11,
  _xlpm.r, MATCH(1,('3. Enter Indicator Scores'!$B$10:$B$161=$B97)*('3. Enter Indicator Scores'!$C$10:$C$161=$C97),0),
  _xlpm.c, MATCH(I$8,'3. Enter Indicator Scores'!$D$8:$CZ$8,0),
  _xlpm.v, IFERROR(INDEX('3. Enter Indicator Scores'!$D$10:$CZ$161,_xlpm.r,_xlpm.c),""),
  IF(OR(_xlpm.w="",_xlpm.v=""),"",_xlpm.v*_xlpm.w)
)</f>
        <v/>
      </c>
      <c r="J97" s="93" t="str" cm="1">
        <f t="array" ref="J97">_xlfn.LET(
  _xlpm.w, J$11,
  _xlpm.r, MATCH(1,('3. Enter Indicator Scores'!$B$10:$B$161=$B97)*('3. Enter Indicator Scores'!$C$10:$C$161=$C97),0),
  _xlpm.c, MATCH(J$8,'3. Enter Indicator Scores'!$D$8:$CZ$8,0),
  _xlpm.v, IFERROR(INDEX('3. Enter Indicator Scores'!$D$10:$CZ$161,_xlpm.r,_xlpm.c),""),
  IF(OR(_xlpm.w="",_xlpm.v=""),"",_xlpm.v*_xlpm.w)
)</f>
        <v/>
      </c>
      <c r="K97" s="93" t="str" cm="1">
        <f t="array" ref="K97">_xlfn.LET(
  _xlpm.w, K$11,
  _xlpm.r, MATCH(1,('3. Enter Indicator Scores'!$B$10:$B$161=$B97)*('3. Enter Indicator Scores'!$C$10:$C$161=$C97),0),
  _xlpm.c, MATCH(K$8,'3. Enter Indicator Scores'!$D$8:$CZ$8,0),
  _xlpm.v, IFERROR(INDEX('3. Enter Indicator Scores'!$D$10:$CZ$161,_xlpm.r,_xlpm.c),""),
  IF(OR(_xlpm.w="",_xlpm.v=""),"",_xlpm.v*_xlpm.w)
)</f>
        <v/>
      </c>
      <c r="L97" s="93" t="str" cm="1">
        <f t="array" ref="L97">_xlfn.LET(
  _xlpm.w, L$11,
  _xlpm.r, MATCH(1,('3. Enter Indicator Scores'!$B$10:$B$161=$B97)*('3. Enter Indicator Scores'!$C$10:$C$161=$C97),0),
  _xlpm.c, MATCH(L$8,'3. Enter Indicator Scores'!$D$8:$CZ$8,0),
  _xlpm.v, IFERROR(INDEX('3. Enter Indicator Scores'!$D$10:$CZ$161,_xlpm.r,_xlpm.c),""),
  IF(OR(_xlpm.w="",_xlpm.v=""),"",_xlpm.v*_xlpm.w)
)</f>
        <v/>
      </c>
      <c r="M97" s="93" t="str" cm="1">
        <f t="array" ref="M97">_xlfn.LET(
  _xlpm.w, M$11,
  _xlpm.r, MATCH(1,('3. Enter Indicator Scores'!$B$10:$B$161=$B97)*('3. Enter Indicator Scores'!$C$10:$C$161=$C97),0),
  _xlpm.c, MATCH(M$8,'3. Enter Indicator Scores'!$D$8:$CZ$8,0),
  _xlpm.v, IFERROR(INDEX('3. Enter Indicator Scores'!$D$10:$CZ$161,_xlpm.r,_xlpm.c),""),
  IF(OR(_xlpm.w="",_xlpm.v=""),"",_xlpm.v*_xlpm.w)
)</f>
        <v/>
      </c>
      <c r="N97" s="93" t="str" cm="1">
        <f t="array" ref="N97">_xlfn.LET(
  _xlpm.w, N$11,
  _xlpm.r, MATCH(1,('3. Enter Indicator Scores'!$B$10:$B$161=$B97)*('3. Enter Indicator Scores'!$C$10:$C$161=$C97),0),
  _xlpm.c, MATCH(N$8,'3. Enter Indicator Scores'!$D$8:$CZ$8,0),
  _xlpm.v, IFERROR(INDEX('3. Enter Indicator Scores'!$D$10:$CZ$161,_xlpm.r,_xlpm.c),""),
  IF(OR(_xlpm.w="",_xlpm.v=""),"",_xlpm.v*_xlpm.w)
)</f>
        <v/>
      </c>
      <c r="O97" s="93" t="str" cm="1">
        <f t="array" ref="O97">_xlfn.LET(
  _xlpm.w, O$11,
  _xlpm.r, MATCH(1,('3. Enter Indicator Scores'!$B$10:$B$161=$B97)*('3. Enter Indicator Scores'!$C$10:$C$161=$C97),0),
  _xlpm.c, MATCH(O$8,'3. Enter Indicator Scores'!$D$8:$CZ$8,0),
  _xlpm.v, IFERROR(INDEX('3. Enter Indicator Scores'!$D$10:$CZ$161,_xlpm.r,_xlpm.c),""),
  IF(OR(_xlpm.w="",_xlpm.v=""),"",_xlpm.v*_xlpm.w)
)</f>
        <v/>
      </c>
      <c r="P97" s="93" t="str" cm="1">
        <f t="array" ref="P97">_xlfn.LET(
  _xlpm.w, P$11,
  _xlpm.r, MATCH(1,('3. Enter Indicator Scores'!$B$10:$B$161=$B97)*('3. Enter Indicator Scores'!$C$10:$C$161=$C97),0),
  _xlpm.c, MATCH(P$8,'3. Enter Indicator Scores'!$D$8:$CZ$8,0),
  _xlpm.v, IFERROR(INDEX('3. Enter Indicator Scores'!$D$10:$CZ$161,_xlpm.r,_xlpm.c),""),
  IF(OR(_xlpm.w="",_xlpm.v=""),"",_xlpm.v*_xlpm.w)
)</f>
        <v/>
      </c>
      <c r="Q97" s="93" t="str" cm="1">
        <f t="array" ref="Q97">_xlfn.LET(
  _xlpm.w, Q$11,
  _xlpm.r, MATCH(1,('3. Enter Indicator Scores'!$B$10:$B$161=$B97)*('3. Enter Indicator Scores'!$C$10:$C$161=$C97),0),
  _xlpm.c, MATCH(Q$8,'3. Enter Indicator Scores'!$D$8:$CZ$8,0),
  _xlpm.v, IFERROR(INDEX('3. Enter Indicator Scores'!$D$10:$CZ$161,_xlpm.r,_xlpm.c),""),
  IF(OR(_xlpm.w="",_xlpm.v=""),"",_xlpm.v*_xlpm.w)
)</f>
        <v/>
      </c>
      <c r="R97" s="93" t="str" cm="1">
        <f t="array" ref="R97">_xlfn.LET(
  _xlpm.w, R$11,
  _xlpm.r, MATCH(1,('3. Enter Indicator Scores'!$B$10:$B$161=$B97)*('3. Enter Indicator Scores'!$C$10:$C$161=$C97),0),
  _xlpm.c, MATCH(R$8,'3. Enter Indicator Scores'!$D$8:$CZ$8,0),
  _xlpm.v, IFERROR(INDEX('3. Enter Indicator Scores'!$D$10:$CZ$161,_xlpm.r,_xlpm.c),""),
  IF(OR(_xlpm.w="",_xlpm.v=""),"",_xlpm.v*_xlpm.w)
)</f>
        <v/>
      </c>
      <c r="S97" s="93" t="str" cm="1">
        <f t="array" ref="S97">_xlfn.LET(
  _xlpm.w, S$11,
  _xlpm.r, MATCH(1,('3. Enter Indicator Scores'!$B$10:$B$161=$B97)*('3. Enter Indicator Scores'!$C$10:$C$161=$C97),0),
  _xlpm.c, MATCH(S$8,'3. Enter Indicator Scores'!$D$8:$CZ$8,0),
  _xlpm.v, IFERROR(INDEX('3. Enter Indicator Scores'!$D$10:$CZ$161,_xlpm.r,_xlpm.c),""),
  IF(OR(_xlpm.w="",_xlpm.v=""),"",_xlpm.v*_xlpm.w)
)</f>
        <v/>
      </c>
      <c r="T97" s="93" t="str" cm="1">
        <f t="array" ref="T97">_xlfn.LET(
  _xlpm.w, T$11,
  _xlpm.r, MATCH(1,('3. Enter Indicator Scores'!$B$10:$B$161=$B97)*('3. Enter Indicator Scores'!$C$10:$C$161=$C97),0),
  _xlpm.c, MATCH(T$8,'3. Enter Indicator Scores'!$D$8:$CZ$8,0),
  _xlpm.v, IFERROR(INDEX('3. Enter Indicator Scores'!$D$10:$CZ$161,_xlpm.r,_xlpm.c),""),
  IF(OR(_xlpm.w="",_xlpm.v=""),"",_xlpm.v*_xlpm.w)
)</f>
        <v/>
      </c>
      <c r="U97" s="93" t="str" cm="1">
        <f t="array" ref="U97">_xlfn.LET(
  _xlpm.w, U$11,
  _xlpm.r, MATCH(1,('3. Enter Indicator Scores'!$B$10:$B$161=$B97)*('3. Enter Indicator Scores'!$C$10:$C$161=$C97),0),
  _xlpm.c, MATCH(U$8,'3. Enter Indicator Scores'!$D$8:$CZ$8,0),
  _xlpm.v, IFERROR(INDEX('3. Enter Indicator Scores'!$D$10:$CZ$161,_xlpm.r,_xlpm.c),""),
  IF(OR(_xlpm.w="",_xlpm.v=""),"",_xlpm.v*_xlpm.w)
)</f>
        <v/>
      </c>
      <c r="V97" s="93" t="str" cm="1">
        <f t="array" ref="V97">_xlfn.LET(
  _xlpm.w, V$11,
  _xlpm.r, MATCH(1,('3. Enter Indicator Scores'!$B$10:$B$161=$B97)*('3. Enter Indicator Scores'!$C$10:$C$161=$C97),0),
  _xlpm.c, MATCH(V$8,'3. Enter Indicator Scores'!$D$8:$CZ$8,0),
  _xlpm.v, IFERROR(INDEX('3. Enter Indicator Scores'!$D$10:$CZ$161,_xlpm.r,_xlpm.c),""),
  IF(OR(_xlpm.w="",_xlpm.v=""),"",_xlpm.v*_xlpm.w)
)</f>
        <v/>
      </c>
      <c r="W97" s="93" t="str" cm="1">
        <f t="array" ref="W97">_xlfn.LET(
  _xlpm.w, W$11,
  _xlpm.r, MATCH(1,('3. Enter Indicator Scores'!$B$10:$B$161=$B97)*('3. Enter Indicator Scores'!$C$10:$C$161=$C97),0),
  _xlpm.c, MATCH(W$8,'3. Enter Indicator Scores'!$D$8:$CZ$8,0),
  _xlpm.v, IFERROR(INDEX('3. Enter Indicator Scores'!$D$10:$CZ$161,_xlpm.r,_xlpm.c),""),
  IF(OR(_xlpm.w="",_xlpm.v=""),"",_xlpm.v*_xlpm.w)
)</f>
        <v/>
      </c>
      <c r="X97" s="93" t="str" cm="1">
        <f t="array" ref="X97">_xlfn.LET(
  _xlpm.w, X$11,
  _xlpm.r, MATCH(1,('3. Enter Indicator Scores'!$B$10:$B$161=$B97)*('3. Enter Indicator Scores'!$C$10:$C$161=$C97),0),
  _xlpm.c, MATCH(X$8,'3. Enter Indicator Scores'!$D$8:$CZ$8,0),
  _xlpm.v, IFERROR(INDEX('3. Enter Indicator Scores'!$D$10:$CZ$161,_xlpm.r,_xlpm.c),""),
  IF(OR(_xlpm.w="",_xlpm.v=""),"",_xlpm.v*_xlpm.w)
)</f>
        <v/>
      </c>
      <c r="Y97" s="93" t="str" cm="1">
        <f t="array" ref="Y97">_xlfn.LET(
  _xlpm.w, Y$11,
  _xlpm.r, MATCH(1,('3. Enter Indicator Scores'!$B$10:$B$161=$B97)*('3. Enter Indicator Scores'!$C$10:$C$161=$C97),0),
  _xlpm.c, MATCH(Y$8,'3. Enter Indicator Scores'!$D$8:$CZ$8,0),
  _xlpm.v, IFERROR(INDEX('3. Enter Indicator Scores'!$D$10:$CZ$161,_xlpm.r,_xlpm.c),""),
  IF(OR(_xlpm.w="",_xlpm.v=""),"",_xlpm.v*_xlpm.w)
)</f>
        <v/>
      </c>
      <c r="Z97" s="93" t="str" cm="1">
        <f t="array" ref="Z97">_xlfn.LET(
  _xlpm.w, Z$11,
  _xlpm.r, MATCH(1,('3. Enter Indicator Scores'!$B$10:$B$161=$B97)*('3. Enter Indicator Scores'!$C$10:$C$161=$C97),0),
  _xlpm.c, MATCH(Z$8,'3. Enter Indicator Scores'!$D$8:$CZ$8,0),
  _xlpm.v, IFERROR(INDEX('3. Enter Indicator Scores'!$D$10:$CZ$161,_xlpm.r,_xlpm.c),""),
  IF(OR(_xlpm.w="",_xlpm.v=""),"",_xlpm.v*_xlpm.w)
)</f>
        <v/>
      </c>
      <c r="AA97" s="93" t="str" cm="1">
        <f t="array" ref="AA97">_xlfn.LET(
  _xlpm.w, AA$11,
  _xlpm.r, MATCH(1,('3. Enter Indicator Scores'!$B$10:$B$161=$B97)*('3. Enter Indicator Scores'!$C$10:$C$161=$C97),0),
  _xlpm.c, MATCH(AA$8,'3. Enter Indicator Scores'!$D$8:$CZ$8,0),
  _xlpm.v, IFERROR(INDEX('3. Enter Indicator Scores'!$D$10:$CZ$161,_xlpm.r,_xlpm.c),""),
  IF(OR(_xlpm.w="",_xlpm.v=""),"",_xlpm.v*_xlpm.w)
)</f>
        <v/>
      </c>
      <c r="AB97" s="93" t="str" cm="1">
        <f t="array" ref="AB97">_xlfn.LET(
  _xlpm.w, AB$11,
  _xlpm.r, MATCH(1,('3. Enter Indicator Scores'!$B$10:$B$161=$B97)*('3. Enter Indicator Scores'!$C$10:$C$161=$C97),0),
  _xlpm.c, MATCH(AB$8,'3. Enter Indicator Scores'!$D$8:$CZ$8,0),
  _xlpm.v, IFERROR(INDEX('3. Enter Indicator Scores'!$D$10:$CZ$161,_xlpm.r,_xlpm.c),""),
  IF(OR(_xlpm.w="",_xlpm.v=""),"",_xlpm.v*_xlpm.w)
)</f>
        <v/>
      </c>
      <c r="AC97" s="93" t="str" cm="1">
        <f t="array" ref="AC97">_xlfn.LET(
  _xlpm.w, AC$11,
  _xlpm.r, MATCH(1,('3. Enter Indicator Scores'!$B$10:$B$161=$B97)*('3. Enter Indicator Scores'!$C$10:$C$161=$C97),0),
  _xlpm.c, MATCH(AC$8,'3. Enter Indicator Scores'!$D$8:$CZ$8,0),
  _xlpm.v, IFERROR(INDEX('3. Enter Indicator Scores'!$D$10:$CZ$161,_xlpm.r,_xlpm.c),""),
  IF(OR(_xlpm.w="",_xlpm.v=""),"",_xlpm.v*_xlpm.w)
)</f>
        <v/>
      </c>
      <c r="AD97" s="93" t="str" cm="1">
        <f t="array" ref="AD97">_xlfn.LET(
  _xlpm.w, AD$11,
  _xlpm.r, MATCH(1,('3. Enter Indicator Scores'!$B$10:$B$161=$B97)*('3. Enter Indicator Scores'!$C$10:$C$161=$C97),0),
  _xlpm.c, MATCH(AD$8,'3. Enter Indicator Scores'!$D$8:$CZ$8,0),
  _xlpm.v, IFERROR(INDEX('3. Enter Indicator Scores'!$D$10:$CZ$161,_xlpm.r,_xlpm.c),""),
  IF(OR(_xlpm.w="",_xlpm.v=""),"",_xlpm.v*_xlpm.w)
)</f>
        <v/>
      </c>
      <c r="AE97" s="93" t="str" cm="1">
        <f t="array" ref="AE97">_xlfn.LET(
  _xlpm.w, AE$11,
  _xlpm.r, MATCH(1,('3. Enter Indicator Scores'!$B$10:$B$161=$B97)*('3. Enter Indicator Scores'!$C$10:$C$161=$C97),0),
  _xlpm.c, MATCH(AE$8,'3. Enter Indicator Scores'!$D$8:$CZ$8,0),
  _xlpm.v, IFERROR(INDEX('3. Enter Indicator Scores'!$D$10:$CZ$161,_xlpm.r,_xlpm.c),""),
  IF(OR(_xlpm.w="",_xlpm.v=""),"",_xlpm.v*_xlpm.w)
)</f>
        <v/>
      </c>
      <c r="AF97" s="93" t="str" cm="1">
        <f t="array" ref="AF97">_xlfn.LET(
  _xlpm.w, AF$11,
  _xlpm.r, MATCH(1,('3. Enter Indicator Scores'!$B$10:$B$161=$B97)*('3. Enter Indicator Scores'!$C$10:$C$161=$C97),0),
  _xlpm.c, MATCH(AF$8,'3. Enter Indicator Scores'!$D$8:$CZ$8,0),
  _xlpm.v, IFERROR(INDEX('3. Enter Indicator Scores'!$D$10:$CZ$161,_xlpm.r,_xlpm.c),""),
  IF(OR(_xlpm.w="",_xlpm.v=""),"",_xlpm.v*_xlpm.w)
)</f>
        <v/>
      </c>
      <c r="AG97" s="93" t="str" cm="1">
        <f t="array" ref="AG97">_xlfn.LET(
  _xlpm.w, AG$11,
  _xlpm.r, MATCH(1,('3. Enter Indicator Scores'!$B$10:$B$161=$B97)*('3. Enter Indicator Scores'!$C$10:$C$161=$C97),0),
  _xlpm.c, MATCH(AG$8,'3. Enter Indicator Scores'!$D$8:$CZ$8,0),
  _xlpm.v, IFERROR(INDEX('3. Enter Indicator Scores'!$D$10:$CZ$161,_xlpm.r,_xlpm.c),""),
  IF(OR(_xlpm.w="",_xlpm.v=""),"",_xlpm.v*_xlpm.w)
)</f>
        <v/>
      </c>
      <c r="AH97" s="93" t="str" cm="1">
        <f t="array" ref="AH97">_xlfn.LET(
  _xlpm.w, AH$11,
  _xlpm.r, MATCH(1,('3. Enter Indicator Scores'!$B$10:$B$161=$B97)*('3. Enter Indicator Scores'!$C$10:$C$161=$C97),0),
  _xlpm.c, MATCH(AH$8,'3. Enter Indicator Scores'!$D$8:$CZ$8,0),
  _xlpm.v, IFERROR(INDEX('3. Enter Indicator Scores'!$D$10:$CZ$161,_xlpm.r,_xlpm.c),""),
  IF(OR(_xlpm.w="",_xlpm.v=""),"",_xlpm.v*_xlpm.w)
)</f>
        <v/>
      </c>
      <c r="AI97" s="93" t="str" cm="1">
        <f t="array" ref="AI97">_xlfn.LET(
  _xlpm.w, AI$11,
  _xlpm.r, MATCH(1,('3. Enter Indicator Scores'!$B$10:$B$161=$B97)*('3. Enter Indicator Scores'!$C$10:$C$161=$C97),0),
  _xlpm.c, MATCH(AI$8,'3. Enter Indicator Scores'!$D$8:$CZ$8,0),
  _xlpm.v, IFERROR(INDEX('3. Enter Indicator Scores'!$D$10:$CZ$161,_xlpm.r,_xlpm.c),""),
  IF(OR(_xlpm.w="",_xlpm.v=""),"",_xlpm.v*_xlpm.w)
)</f>
        <v/>
      </c>
      <c r="AJ97" s="93" t="str" cm="1">
        <f t="array" ref="AJ97">_xlfn.LET(
  _xlpm.w, AJ$11,
  _xlpm.r, MATCH(1,('3. Enter Indicator Scores'!$B$10:$B$161=$B97)*('3. Enter Indicator Scores'!$C$10:$C$161=$C97),0),
  _xlpm.c, MATCH(AJ$8,'3. Enter Indicator Scores'!$D$8:$CZ$8,0),
  _xlpm.v, IFERROR(INDEX('3. Enter Indicator Scores'!$D$10:$CZ$161,_xlpm.r,_xlpm.c),""),
  IF(OR(_xlpm.w="",_xlpm.v=""),"",_xlpm.v*_xlpm.w)
)</f>
        <v/>
      </c>
      <c r="AK97" s="93" t="str" cm="1">
        <f t="array" ref="AK97">_xlfn.LET(
  _xlpm.w, AK$11,
  _xlpm.r, MATCH(1,('3. Enter Indicator Scores'!$B$10:$B$161=$B97)*('3. Enter Indicator Scores'!$C$10:$C$161=$C97),0),
  _xlpm.c, MATCH(AK$8,'3. Enter Indicator Scores'!$D$8:$CZ$8,0),
  _xlpm.v, IFERROR(INDEX('3. Enter Indicator Scores'!$D$10:$CZ$161,_xlpm.r,_xlpm.c),""),
  IF(OR(_xlpm.w="",_xlpm.v=""),"",_xlpm.v*_xlpm.w)
)</f>
        <v/>
      </c>
      <c r="AL97" s="93" t="str" cm="1">
        <f t="array" ref="AL97">_xlfn.LET(
  _xlpm.w, AL$11,
  _xlpm.r, MATCH(1,('3. Enter Indicator Scores'!$B$10:$B$161=$B97)*('3. Enter Indicator Scores'!$C$10:$C$161=$C97),0),
  _xlpm.c, MATCH(AL$8,'3. Enter Indicator Scores'!$D$8:$CZ$8,0),
  _xlpm.v, IFERROR(INDEX('3. Enter Indicator Scores'!$D$10:$CZ$161,_xlpm.r,_xlpm.c),""),
  IF(OR(_xlpm.w="",_xlpm.v=""),"",_xlpm.v*_xlpm.w)
)</f>
        <v/>
      </c>
      <c r="AM97" s="93" t="str" cm="1">
        <f t="array" ref="AM97">_xlfn.LET(
  _xlpm.w, AM$11,
  _xlpm.r, MATCH(1,('3. Enter Indicator Scores'!$B$10:$B$161=$B97)*('3. Enter Indicator Scores'!$C$10:$C$161=$C97),0),
  _xlpm.c, MATCH(AM$8,'3. Enter Indicator Scores'!$D$8:$CZ$8,0),
  _xlpm.v, IFERROR(INDEX('3. Enter Indicator Scores'!$D$10:$CZ$161,_xlpm.r,_xlpm.c),""),
  IF(OR(_xlpm.w="",_xlpm.v=""),"",_xlpm.v*_xlpm.w)
)</f>
        <v/>
      </c>
      <c r="AN97" s="93" t="str" cm="1">
        <f t="array" ref="AN97">_xlfn.LET(
  _xlpm.w, AN$11,
  _xlpm.r, MATCH(1,('3. Enter Indicator Scores'!$B$10:$B$161=$B97)*('3. Enter Indicator Scores'!$C$10:$C$161=$C97),0),
  _xlpm.c, MATCH(AN$8,'3. Enter Indicator Scores'!$D$8:$CZ$8,0),
  _xlpm.v, IFERROR(INDEX('3. Enter Indicator Scores'!$D$10:$CZ$161,_xlpm.r,_xlpm.c),""),
  IF(OR(_xlpm.w="",_xlpm.v=""),"",_xlpm.v*_xlpm.w)
)</f>
        <v/>
      </c>
      <c r="AO97" s="93" t="str" cm="1">
        <f t="array" ref="AO97">_xlfn.LET(
  _xlpm.w, AO$11,
  _xlpm.r, MATCH(1,('3. Enter Indicator Scores'!$B$10:$B$161=$B97)*('3. Enter Indicator Scores'!$C$10:$C$161=$C97),0),
  _xlpm.c, MATCH(AO$8,'3. Enter Indicator Scores'!$D$8:$CZ$8,0),
  _xlpm.v, IFERROR(INDEX('3. Enter Indicator Scores'!$D$10:$CZ$161,_xlpm.r,_xlpm.c),""),
  IF(OR(_xlpm.w="",_xlpm.v=""),"",_xlpm.v*_xlpm.w)
)</f>
        <v/>
      </c>
      <c r="AP97" s="93" t="str" cm="1">
        <f t="array" ref="AP97">_xlfn.LET(
  _xlpm.w, AP$11,
  _xlpm.r, MATCH(1,('3. Enter Indicator Scores'!$B$10:$B$161=$B97)*('3. Enter Indicator Scores'!$C$10:$C$161=$C97),0),
  _xlpm.c, MATCH(AP$8,'3. Enter Indicator Scores'!$D$8:$CZ$8,0),
  _xlpm.v, IFERROR(INDEX('3. Enter Indicator Scores'!$D$10:$CZ$161,_xlpm.r,_xlpm.c),""),
  IF(OR(_xlpm.w="",_xlpm.v=""),"",_xlpm.v*_xlpm.w)
)</f>
        <v/>
      </c>
      <c r="AQ97" s="93" t="str" cm="1">
        <f t="array" ref="AQ97">_xlfn.LET(
  _xlpm.w, AQ$11,
  _xlpm.r, MATCH(1,('3. Enter Indicator Scores'!$B$10:$B$161=$B97)*('3. Enter Indicator Scores'!$C$10:$C$161=$C97),0),
  _xlpm.c, MATCH(AQ$8,'3. Enter Indicator Scores'!$D$8:$CZ$8,0),
  _xlpm.v, IFERROR(INDEX('3. Enter Indicator Scores'!$D$10:$CZ$161,_xlpm.r,_xlpm.c),""),
  IF(OR(_xlpm.w="",_xlpm.v=""),"",_xlpm.v*_xlpm.w)
)</f>
        <v/>
      </c>
      <c r="AR97" s="93" t="str" cm="1">
        <f t="array" ref="AR97">_xlfn.LET(
  _xlpm.w, AR$11,
  _xlpm.r, MATCH(1,('3. Enter Indicator Scores'!$B$10:$B$161=$B97)*('3. Enter Indicator Scores'!$C$10:$C$161=$C97),0),
  _xlpm.c, MATCH(AR$8,'3. Enter Indicator Scores'!$D$8:$CZ$8,0),
  _xlpm.v, IFERROR(INDEX('3. Enter Indicator Scores'!$D$10:$CZ$161,_xlpm.r,_xlpm.c),""),
  IF(OR(_xlpm.w="",_xlpm.v=""),"",_xlpm.v*_xlpm.w)
)</f>
        <v/>
      </c>
      <c r="AS97" s="93" t="str" cm="1">
        <f t="array" ref="AS97">_xlfn.LET(
  _xlpm.w, AS$11,
  _xlpm.r, MATCH(1,('3. Enter Indicator Scores'!$B$10:$B$161=$B97)*('3. Enter Indicator Scores'!$C$10:$C$161=$C97),0),
  _xlpm.c, MATCH(AS$8,'3. Enter Indicator Scores'!$D$8:$CZ$8,0),
  _xlpm.v, IFERROR(INDEX('3. Enter Indicator Scores'!$D$10:$CZ$161,_xlpm.r,_xlpm.c),""),
  IF(OR(_xlpm.w="",_xlpm.v=""),"",_xlpm.v*_xlpm.w)
)</f>
        <v/>
      </c>
      <c r="AT97" s="93" t="str" cm="1">
        <f t="array" ref="AT97">_xlfn.LET(
  _xlpm.w, AT$11,
  _xlpm.r, MATCH(1,('3. Enter Indicator Scores'!$B$10:$B$161=$B97)*('3. Enter Indicator Scores'!$C$10:$C$161=$C97),0),
  _xlpm.c, MATCH(AT$8,'3. Enter Indicator Scores'!$D$8:$CZ$8,0),
  _xlpm.v, IFERROR(INDEX('3. Enter Indicator Scores'!$D$10:$CZ$161,_xlpm.r,_xlpm.c),""),
  IF(OR(_xlpm.w="",_xlpm.v=""),"",_xlpm.v*_xlpm.w)
)</f>
        <v/>
      </c>
      <c r="AU97" s="93" t="str" cm="1">
        <f t="array" ref="AU97">_xlfn.LET(
  _xlpm.w, AU$11,
  _xlpm.r, MATCH(1,('3. Enter Indicator Scores'!$B$10:$B$161=$B97)*('3. Enter Indicator Scores'!$C$10:$C$161=$C97),0),
  _xlpm.c, MATCH(AU$8,'3. Enter Indicator Scores'!$D$8:$CZ$8,0),
  _xlpm.v, IFERROR(INDEX('3. Enter Indicator Scores'!$D$10:$CZ$161,_xlpm.r,_xlpm.c),""),
  IF(OR(_xlpm.w="",_xlpm.v=""),"",_xlpm.v*_xlpm.w)
)</f>
        <v/>
      </c>
      <c r="AV97" s="93" t="str" cm="1">
        <f t="array" ref="AV97">_xlfn.LET(
  _xlpm.w, AV$11,
  _xlpm.r, MATCH(1,('3. Enter Indicator Scores'!$B$10:$B$161=$B97)*('3. Enter Indicator Scores'!$C$10:$C$161=$C97),0),
  _xlpm.c, MATCH(AV$8,'3. Enter Indicator Scores'!$D$8:$CZ$8,0),
  _xlpm.v, IFERROR(INDEX('3. Enter Indicator Scores'!$D$10:$CZ$161,_xlpm.r,_xlpm.c),""),
  IF(OR(_xlpm.w="",_xlpm.v=""),"",_xlpm.v*_xlpm.w)
)</f>
        <v/>
      </c>
      <c r="AW97" s="93" t="str" cm="1">
        <f t="array" ref="AW97">_xlfn.LET(
  _xlpm.w, AW$11,
  _xlpm.r, MATCH(1,('3. Enter Indicator Scores'!$B$10:$B$161=$B97)*('3. Enter Indicator Scores'!$C$10:$C$161=$C97),0),
  _xlpm.c, MATCH(AW$8,'3. Enter Indicator Scores'!$D$8:$CZ$8,0),
  _xlpm.v, IFERROR(INDEX('3. Enter Indicator Scores'!$D$10:$CZ$161,_xlpm.r,_xlpm.c),""),
  IF(OR(_xlpm.w="",_xlpm.v=""),"",_xlpm.v*_xlpm.w)
)</f>
        <v/>
      </c>
      <c r="AX97" s="93" t="str" cm="1">
        <f t="array" ref="AX97">_xlfn.LET(
  _xlpm.w, AX$11,
  _xlpm.r, MATCH(1,('3. Enter Indicator Scores'!$B$10:$B$161=$B97)*('3. Enter Indicator Scores'!$C$10:$C$161=$C97),0),
  _xlpm.c, MATCH(AX$8,'3. Enter Indicator Scores'!$D$8:$CZ$8,0),
  _xlpm.v, IFERROR(INDEX('3. Enter Indicator Scores'!$D$10:$CZ$161,_xlpm.r,_xlpm.c),""),
  IF(OR(_xlpm.w="",_xlpm.v=""),"",_xlpm.v*_xlpm.w)
)</f>
        <v/>
      </c>
      <c r="AY97" s="93" t="str" cm="1">
        <f t="array" ref="AY97">_xlfn.LET(
  _xlpm.w, AY$11,
  _xlpm.r, MATCH(1,('3. Enter Indicator Scores'!$B$10:$B$161=$B97)*('3. Enter Indicator Scores'!$C$10:$C$161=$C97),0),
  _xlpm.c, MATCH(AY$8,'3. Enter Indicator Scores'!$D$8:$CZ$8,0),
  _xlpm.v, IFERROR(INDEX('3. Enter Indicator Scores'!$D$10:$CZ$161,_xlpm.r,_xlpm.c),""),
  IF(OR(_xlpm.w="",_xlpm.v=""),"",_xlpm.v*_xlpm.w)
)</f>
        <v/>
      </c>
      <c r="AZ97" s="93" t="str" cm="1">
        <f t="array" ref="AZ97">_xlfn.LET(
  _xlpm.w, AZ$11,
  _xlpm.r, MATCH(1,('3. Enter Indicator Scores'!$B$10:$B$161=$B97)*('3. Enter Indicator Scores'!$C$10:$C$161=$C97),0),
  _xlpm.c, MATCH(AZ$8,'3. Enter Indicator Scores'!$D$8:$CZ$8,0),
  _xlpm.v, IFERROR(INDEX('3. Enter Indicator Scores'!$D$10:$CZ$161,_xlpm.r,_xlpm.c),""),
  IF(OR(_xlpm.w="",_xlpm.v=""),"",_xlpm.v*_xlpm.w)
)</f>
        <v/>
      </c>
      <c r="BA97" s="93" t="str" cm="1">
        <f t="array" ref="BA97">_xlfn.LET(
  _xlpm.w, BA$11,
  _xlpm.r, MATCH(1,('3. Enter Indicator Scores'!$B$10:$B$161=$B97)*('3. Enter Indicator Scores'!$C$10:$C$161=$C97),0),
  _xlpm.c, MATCH(BA$8,'3. Enter Indicator Scores'!$D$8:$CZ$8,0),
  _xlpm.v, IFERROR(INDEX('3. Enter Indicator Scores'!$D$10:$CZ$161,_xlpm.r,_xlpm.c),""),
  IF(OR(_xlpm.w="",_xlpm.v=""),"",_xlpm.v*_xlpm.w)
)</f>
        <v/>
      </c>
      <c r="BB97" s="93" t="str" cm="1">
        <f t="array" ref="BB97">_xlfn.LET(
  _xlpm.w, BB$11,
  _xlpm.r, MATCH(1,('3. Enter Indicator Scores'!$B$10:$B$161=$B97)*('3. Enter Indicator Scores'!$C$10:$C$161=$C97),0),
  _xlpm.c, MATCH(BB$8,'3. Enter Indicator Scores'!$D$8:$CZ$8,0),
  _xlpm.v, IFERROR(INDEX('3. Enter Indicator Scores'!$D$10:$CZ$161,_xlpm.r,_xlpm.c),""),
  IF(OR(_xlpm.w="",_xlpm.v=""),"",_xlpm.v*_xlpm.w)
)</f>
        <v/>
      </c>
      <c r="BC97" s="93" t="str" cm="1">
        <f t="array" ref="BC97">_xlfn.LET(
  _xlpm.w, BC$11,
  _xlpm.r, MATCH(1,('3. Enter Indicator Scores'!$B$10:$B$161=$B97)*('3. Enter Indicator Scores'!$C$10:$C$161=$C97),0),
  _xlpm.c, MATCH(BC$8,'3. Enter Indicator Scores'!$D$8:$CZ$8,0),
  _xlpm.v, IFERROR(INDEX('3. Enter Indicator Scores'!$D$10:$CZ$161,_xlpm.r,_xlpm.c),""),
  IF(OR(_xlpm.w="",_xlpm.v=""),"",_xlpm.v*_xlpm.w)
)</f>
        <v/>
      </c>
      <c r="BD97" s="93" t="str" cm="1">
        <f t="array" ref="BD97">_xlfn.LET(
  _xlpm.w, BD$11,
  _xlpm.r, MATCH(1,('3. Enter Indicator Scores'!$B$10:$B$161=$B97)*('3. Enter Indicator Scores'!$C$10:$C$161=$C97),0),
  _xlpm.c, MATCH(BD$8,'3. Enter Indicator Scores'!$D$8:$CZ$8,0),
  _xlpm.v, IFERROR(INDEX('3. Enter Indicator Scores'!$D$10:$CZ$161,_xlpm.r,_xlpm.c),""),
  IF(OR(_xlpm.w="",_xlpm.v=""),"",_xlpm.v*_xlpm.w)
)</f>
        <v/>
      </c>
      <c r="BE97" s="93" t="str" cm="1">
        <f t="array" ref="BE97">_xlfn.LET(
  _xlpm.w, BE$11,
  _xlpm.r, MATCH(1,('3. Enter Indicator Scores'!$B$10:$B$161=$B97)*('3. Enter Indicator Scores'!$C$10:$C$161=$C97),0),
  _xlpm.c, MATCH(BE$8,'3. Enter Indicator Scores'!$D$8:$CZ$8,0),
  _xlpm.v, IFERROR(INDEX('3. Enter Indicator Scores'!$D$10:$CZ$161,_xlpm.r,_xlpm.c),""),
  IF(OR(_xlpm.w="",_xlpm.v=""),"",_xlpm.v*_xlpm.w)
)</f>
        <v/>
      </c>
      <c r="BF97" s="93" t="str" cm="1">
        <f t="array" ref="BF97">_xlfn.LET(
  _xlpm.w, BF$11,
  _xlpm.r, MATCH(1,('3. Enter Indicator Scores'!$B$10:$B$161=$B97)*('3. Enter Indicator Scores'!$C$10:$C$161=$C97),0),
  _xlpm.c, MATCH(BF$8,'3. Enter Indicator Scores'!$D$8:$CZ$8,0),
  _xlpm.v, IFERROR(INDEX('3. Enter Indicator Scores'!$D$10:$CZ$161,_xlpm.r,_xlpm.c),""),
  IF(OR(_xlpm.w="",_xlpm.v=""),"",_xlpm.v*_xlpm.w)
)</f>
        <v/>
      </c>
      <c r="BG97" s="93" t="str" cm="1">
        <f t="array" ref="BG97">_xlfn.LET(
  _xlpm.w, BG$11,
  _xlpm.r, MATCH(1,('3. Enter Indicator Scores'!$B$10:$B$161=$B97)*('3. Enter Indicator Scores'!$C$10:$C$161=$C97),0),
  _xlpm.c, MATCH(BG$8,'3. Enter Indicator Scores'!$D$8:$CZ$8,0),
  _xlpm.v, IFERROR(INDEX('3. Enter Indicator Scores'!$D$10:$CZ$161,_xlpm.r,_xlpm.c),""),
  IF(OR(_xlpm.w="",_xlpm.v=""),"",_xlpm.v*_xlpm.w)
)</f>
        <v/>
      </c>
      <c r="BH97" s="93" t="str" cm="1">
        <f t="array" ref="BH97">_xlfn.LET(
  _xlpm.w, BH$11,
  _xlpm.r, MATCH(1,('3. Enter Indicator Scores'!$B$10:$B$161=$B97)*('3. Enter Indicator Scores'!$C$10:$C$161=$C97),0),
  _xlpm.c, MATCH(BH$8,'3. Enter Indicator Scores'!$D$8:$CZ$8,0),
  _xlpm.v, IFERROR(INDEX('3. Enter Indicator Scores'!$D$10:$CZ$161,_xlpm.r,_xlpm.c),""),
  IF(OR(_xlpm.w="",_xlpm.v=""),"",_xlpm.v*_xlpm.w)
)</f>
        <v/>
      </c>
      <c r="BI97" s="93" t="str" cm="1">
        <f t="array" ref="BI97">_xlfn.LET(
  _xlpm.w, BI$11,
  _xlpm.r, MATCH(1,('3. Enter Indicator Scores'!$B$10:$B$161=$B97)*('3. Enter Indicator Scores'!$C$10:$C$161=$C97),0),
  _xlpm.c, MATCH(BI$8,'3. Enter Indicator Scores'!$D$8:$CZ$8,0),
  _xlpm.v, IFERROR(INDEX('3. Enter Indicator Scores'!$D$10:$CZ$161,_xlpm.r,_xlpm.c),""),
  IF(OR(_xlpm.w="",_xlpm.v=""),"",_xlpm.v*_xlpm.w)
)</f>
        <v/>
      </c>
      <c r="BJ97" s="93" t="str" cm="1">
        <f t="array" ref="BJ97">_xlfn.LET(
  _xlpm.w, BJ$11,
  _xlpm.r, MATCH(1,('3. Enter Indicator Scores'!$B$10:$B$161=$B97)*('3. Enter Indicator Scores'!$C$10:$C$161=$C97),0),
  _xlpm.c, MATCH(BJ$8,'3. Enter Indicator Scores'!$D$8:$CZ$8,0),
  _xlpm.v, IFERROR(INDEX('3. Enter Indicator Scores'!$D$10:$CZ$161,_xlpm.r,_xlpm.c),""),
  IF(OR(_xlpm.w="",_xlpm.v=""),"",_xlpm.v*_xlpm.w)
)</f>
        <v/>
      </c>
      <c r="BK97" s="93" t="str" cm="1">
        <f t="array" ref="BK97">_xlfn.LET(
  _xlpm.w, BK$11,
  _xlpm.r, MATCH(1,('3. Enter Indicator Scores'!$B$10:$B$161=$B97)*('3. Enter Indicator Scores'!$C$10:$C$161=$C97),0),
  _xlpm.c, MATCH(BK$8,'3. Enter Indicator Scores'!$D$8:$CZ$8,0),
  _xlpm.v, IFERROR(INDEX('3. Enter Indicator Scores'!$D$10:$CZ$161,_xlpm.r,_xlpm.c),""),
  IF(OR(_xlpm.w="",_xlpm.v=""),"",_xlpm.v*_xlpm.w)
)</f>
        <v/>
      </c>
      <c r="BL97" s="93" t="str" cm="1">
        <f t="array" ref="BL97">_xlfn.LET(
  _xlpm.w, BL$11,
  _xlpm.r, MATCH(1,('3. Enter Indicator Scores'!$B$10:$B$161=$B97)*('3. Enter Indicator Scores'!$C$10:$C$161=$C97),0),
  _xlpm.c, MATCH(BL$8,'3. Enter Indicator Scores'!$D$8:$CZ$8,0),
  _xlpm.v, IFERROR(INDEX('3. Enter Indicator Scores'!$D$10:$CZ$161,_xlpm.r,_xlpm.c),""),
  IF(OR(_xlpm.w="",_xlpm.v=""),"",_xlpm.v*_xlpm.w)
)</f>
        <v/>
      </c>
      <c r="BM97" s="93" t="str" cm="1">
        <f t="array" ref="BM97">_xlfn.LET(
  _xlpm.w, BM$11,
  _xlpm.r, MATCH(1,('3. Enter Indicator Scores'!$B$10:$B$161=$B97)*('3. Enter Indicator Scores'!$C$10:$C$161=$C97),0),
  _xlpm.c, MATCH(BM$8,'3. Enter Indicator Scores'!$D$8:$CZ$8,0),
  _xlpm.v, IFERROR(INDEX('3. Enter Indicator Scores'!$D$10:$CZ$161,_xlpm.r,_xlpm.c),""),
  IF(OR(_xlpm.w="",_xlpm.v=""),"",_xlpm.v*_xlpm.w)
)</f>
        <v/>
      </c>
      <c r="BN97" s="93" t="str" cm="1">
        <f t="array" ref="BN97">_xlfn.LET(
  _xlpm.w, BN$11,
  _xlpm.r, MATCH(1,('3. Enter Indicator Scores'!$B$10:$B$161=$B97)*('3. Enter Indicator Scores'!$C$10:$C$161=$C97),0),
  _xlpm.c, MATCH(BN$8,'3. Enter Indicator Scores'!$D$8:$CZ$8,0),
  _xlpm.v, IFERROR(INDEX('3. Enter Indicator Scores'!$D$10:$CZ$161,_xlpm.r,_xlpm.c),""),
  IF(OR(_xlpm.w="",_xlpm.v=""),"",_xlpm.v*_xlpm.w)
)</f>
        <v/>
      </c>
      <c r="BO97" s="93" t="str" cm="1">
        <f t="array" ref="BO97">_xlfn.LET(
  _xlpm.w, BO$11,
  _xlpm.r, MATCH(1,('3. Enter Indicator Scores'!$B$10:$B$161=$B97)*('3. Enter Indicator Scores'!$C$10:$C$161=$C97),0),
  _xlpm.c, MATCH(BO$8,'3. Enter Indicator Scores'!$D$8:$CZ$8,0),
  _xlpm.v, IFERROR(INDEX('3. Enter Indicator Scores'!$D$10:$CZ$161,_xlpm.r,_xlpm.c),""),
  IF(OR(_xlpm.w="",_xlpm.v=""),"",_xlpm.v*_xlpm.w)
)</f>
        <v/>
      </c>
      <c r="BP97" s="93" t="str" cm="1">
        <f t="array" ref="BP97">_xlfn.LET(
  _xlpm.w, BP$11,
  _xlpm.r, MATCH(1,('3. Enter Indicator Scores'!$B$10:$B$161=$B97)*('3. Enter Indicator Scores'!$C$10:$C$161=$C97),0),
  _xlpm.c, MATCH(BP$8,'3. Enter Indicator Scores'!$D$8:$CZ$8,0),
  _xlpm.v, IFERROR(INDEX('3. Enter Indicator Scores'!$D$10:$CZ$161,_xlpm.r,_xlpm.c),""),
  IF(OR(_xlpm.w="",_xlpm.v=""),"",_xlpm.v*_xlpm.w)
)</f>
        <v/>
      </c>
      <c r="BQ97" s="93" t="str" cm="1">
        <f t="array" ref="BQ97">_xlfn.LET(
  _xlpm.w, BQ$11,
  _xlpm.r, MATCH(1,('3. Enter Indicator Scores'!$B$10:$B$161=$B97)*('3. Enter Indicator Scores'!$C$10:$C$161=$C97),0),
  _xlpm.c, MATCH(BQ$8,'3. Enter Indicator Scores'!$D$8:$CZ$8,0),
  _xlpm.v, IFERROR(INDEX('3. Enter Indicator Scores'!$D$10:$CZ$161,_xlpm.r,_xlpm.c),""),
  IF(OR(_xlpm.w="",_xlpm.v=""),"",_xlpm.v*_xlpm.w)
)</f>
        <v/>
      </c>
      <c r="BR97" s="93" t="str" cm="1">
        <f t="array" ref="BR97">_xlfn.LET(
  _xlpm.w, BR$11,
  _xlpm.r, MATCH(1,('3. Enter Indicator Scores'!$B$10:$B$161=$B97)*('3. Enter Indicator Scores'!$C$10:$C$161=$C97),0),
  _xlpm.c, MATCH(BR$8,'3. Enter Indicator Scores'!$D$8:$CZ$8,0),
  _xlpm.v, IFERROR(INDEX('3. Enter Indicator Scores'!$D$10:$CZ$161,_xlpm.r,_xlpm.c),""),
  IF(OR(_xlpm.w="",_xlpm.v=""),"",_xlpm.v*_xlpm.w)
)</f>
        <v/>
      </c>
      <c r="BS97" s="93" t="str" cm="1">
        <f t="array" ref="BS97">_xlfn.LET(
  _xlpm.w, BS$11,
  _xlpm.r, MATCH(1,('3. Enter Indicator Scores'!$B$10:$B$161=$B97)*('3. Enter Indicator Scores'!$C$10:$C$161=$C97),0),
  _xlpm.c, MATCH(BS$8,'3. Enter Indicator Scores'!$D$8:$CZ$8,0),
  _xlpm.v, IFERROR(INDEX('3. Enter Indicator Scores'!$D$10:$CZ$161,_xlpm.r,_xlpm.c),""),
  IF(OR(_xlpm.w="",_xlpm.v=""),"",_xlpm.v*_xlpm.w)
)</f>
        <v/>
      </c>
      <c r="BT97" s="93" t="str" cm="1">
        <f t="array" ref="BT97">_xlfn.LET(
  _xlpm.w, BT$11,
  _xlpm.r, MATCH(1,('3. Enter Indicator Scores'!$B$10:$B$161=$B97)*('3. Enter Indicator Scores'!$C$10:$C$161=$C97),0),
  _xlpm.c, MATCH(BT$8,'3. Enter Indicator Scores'!$D$8:$CZ$8,0),
  _xlpm.v, IFERROR(INDEX('3. Enter Indicator Scores'!$D$10:$CZ$161,_xlpm.r,_xlpm.c),""),
  IF(OR(_xlpm.w="",_xlpm.v=""),"",_xlpm.v*_xlpm.w)
)</f>
        <v/>
      </c>
      <c r="BU97" s="93" t="str" cm="1">
        <f t="array" ref="BU97">_xlfn.LET(
  _xlpm.w, BU$11,
  _xlpm.r, MATCH(1,('3. Enter Indicator Scores'!$B$10:$B$161=$B97)*('3. Enter Indicator Scores'!$C$10:$C$161=$C97),0),
  _xlpm.c, MATCH(BU$8,'3. Enter Indicator Scores'!$D$8:$CZ$8,0),
  _xlpm.v, IFERROR(INDEX('3. Enter Indicator Scores'!$D$10:$CZ$161,_xlpm.r,_xlpm.c),""),
  IF(OR(_xlpm.w="",_xlpm.v=""),"",_xlpm.v*_xlpm.w)
)</f>
        <v/>
      </c>
      <c r="BV97" s="93" t="str" cm="1">
        <f t="array" ref="BV97">_xlfn.LET(
  _xlpm.w, BV$11,
  _xlpm.r, MATCH(1,('3. Enter Indicator Scores'!$B$10:$B$161=$B97)*('3. Enter Indicator Scores'!$C$10:$C$161=$C97),0),
  _xlpm.c, MATCH(BV$8,'3. Enter Indicator Scores'!$D$8:$CZ$8,0),
  _xlpm.v, IFERROR(INDEX('3. Enter Indicator Scores'!$D$10:$CZ$161,_xlpm.r,_xlpm.c),""),
  IF(OR(_xlpm.w="",_xlpm.v=""),"",_xlpm.v*_xlpm.w)
)</f>
        <v/>
      </c>
      <c r="BW97" s="93" t="str" cm="1">
        <f t="array" ref="BW97">_xlfn.LET(
  _xlpm.w, BW$11,
  _xlpm.r, MATCH(1,('3. Enter Indicator Scores'!$B$10:$B$161=$B97)*('3. Enter Indicator Scores'!$C$10:$C$161=$C97),0),
  _xlpm.c, MATCH(BW$8,'3. Enter Indicator Scores'!$D$8:$CZ$8,0),
  _xlpm.v, IFERROR(INDEX('3. Enter Indicator Scores'!$D$10:$CZ$161,_xlpm.r,_xlpm.c),""),
  IF(OR(_xlpm.w="",_xlpm.v=""),"",_xlpm.v*_xlpm.w)
)</f>
        <v/>
      </c>
      <c r="BX97" s="93" t="str" cm="1">
        <f t="array" ref="BX97">_xlfn.LET(
  _xlpm.w, BX$11,
  _xlpm.r, MATCH(1,('3. Enter Indicator Scores'!$B$10:$B$161=$B97)*('3. Enter Indicator Scores'!$C$10:$C$161=$C97),0),
  _xlpm.c, MATCH(BX$8,'3. Enter Indicator Scores'!$D$8:$CZ$8,0),
  _xlpm.v, IFERROR(INDEX('3. Enter Indicator Scores'!$D$10:$CZ$161,_xlpm.r,_xlpm.c),""),
  IF(OR(_xlpm.w="",_xlpm.v=""),"",_xlpm.v*_xlpm.w)
)</f>
        <v/>
      </c>
      <c r="BY97" s="93" t="str" cm="1">
        <f t="array" ref="BY97">_xlfn.LET(
  _xlpm.w, BY$11,
  _xlpm.r, MATCH(1,('3. Enter Indicator Scores'!$B$10:$B$161=$B97)*('3. Enter Indicator Scores'!$C$10:$C$161=$C97),0),
  _xlpm.c, MATCH(BY$8,'3. Enter Indicator Scores'!$D$8:$CZ$8,0),
  _xlpm.v, IFERROR(INDEX('3. Enter Indicator Scores'!$D$10:$CZ$161,_xlpm.r,_xlpm.c),""),
  IF(OR(_xlpm.w="",_xlpm.v=""),"",_xlpm.v*_xlpm.w)
)</f>
        <v/>
      </c>
      <c r="BZ97" s="93" t="str" cm="1">
        <f t="array" ref="BZ97">_xlfn.LET(
  _xlpm.w, BZ$11,
  _xlpm.r, MATCH(1,('3. Enter Indicator Scores'!$B$10:$B$161=$B97)*('3. Enter Indicator Scores'!$C$10:$C$161=$C97),0),
  _xlpm.c, MATCH(BZ$8,'3. Enter Indicator Scores'!$D$8:$CZ$8,0),
  _xlpm.v, IFERROR(INDEX('3. Enter Indicator Scores'!$D$10:$CZ$161,_xlpm.r,_xlpm.c),""),
  IF(OR(_xlpm.w="",_xlpm.v=""),"",_xlpm.v*_xlpm.w)
)</f>
        <v/>
      </c>
      <c r="CA97" s="93" t="str" cm="1">
        <f t="array" ref="CA97">_xlfn.LET(
  _xlpm.w, CA$11,
  _xlpm.r, MATCH(1,('3. Enter Indicator Scores'!$B$10:$B$161=$B97)*('3. Enter Indicator Scores'!$C$10:$C$161=$C97),0),
  _xlpm.c, MATCH(CA$8,'3. Enter Indicator Scores'!$D$8:$CZ$8,0),
  _xlpm.v, IFERROR(INDEX('3. Enter Indicator Scores'!$D$10:$CZ$161,_xlpm.r,_xlpm.c),""),
  IF(OR(_xlpm.w="",_xlpm.v=""),"",_xlpm.v*_xlpm.w)
)</f>
        <v/>
      </c>
      <c r="CB97" s="93" t="str" cm="1">
        <f t="array" ref="CB97">_xlfn.LET(
  _xlpm.w, CB$11,
  _xlpm.r, MATCH(1,('3. Enter Indicator Scores'!$B$10:$B$161=$B97)*('3. Enter Indicator Scores'!$C$10:$C$161=$C97),0),
  _xlpm.c, MATCH(CB$8,'3. Enter Indicator Scores'!$D$8:$CZ$8,0),
  _xlpm.v, IFERROR(INDEX('3. Enter Indicator Scores'!$D$10:$CZ$161,_xlpm.r,_xlpm.c),""),
  IF(OR(_xlpm.w="",_xlpm.v=""),"",_xlpm.v*_xlpm.w)
)</f>
        <v/>
      </c>
      <c r="CC97" s="93" t="str" cm="1">
        <f t="array" ref="CC97">_xlfn.LET(
  _xlpm.w, CC$11,
  _xlpm.r, MATCH(1,('3. Enter Indicator Scores'!$B$10:$B$161=$B97)*('3. Enter Indicator Scores'!$C$10:$C$161=$C97),0),
  _xlpm.c, MATCH(CC$8,'3. Enter Indicator Scores'!$D$8:$CZ$8,0),
  _xlpm.v, IFERROR(INDEX('3. Enter Indicator Scores'!$D$10:$CZ$161,_xlpm.r,_xlpm.c),""),
  IF(OR(_xlpm.w="",_xlpm.v=""),"",_xlpm.v*_xlpm.w)
)</f>
        <v/>
      </c>
      <c r="CD97" s="93" t="str" cm="1">
        <f t="array" ref="CD97">_xlfn.LET(
  _xlpm.w, CD$11,
  _xlpm.r, MATCH(1,('3. Enter Indicator Scores'!$B$10:$B$161=$B97)*('3. Enter Indicator Scores'!$C$10:$C$161=$C97),0),
  _xlpm.c, MATCH(CD$8,'3. Enter Indicator Scores'!$D$8:$CZ$8,0),
  _xlpm.v, IFERROR(INDEX('3. Enter Indicator Scores'!$D$10:$CZ$161,_xlpm.r,_xlpm.c),""),
  IF(OR(_xlpm.w="",_xlpm.v=""),"",_xlpm.v*_xlpm.w)
)</f>
        <v/>
      </c>
      <c r="CE97" s="93" t="str" cm="1">
        <f t="array" ref="CE97">_xlfn.LET(
  _xlpm.w, CE$11,
  _xlpm.r, MATCH(1,('3. Enter Indicator Scores'!$B$10:$B$161=$B97)*('3. Enter Indicator Scores'!$C$10:$C$161=$C97),0),
  _xlpm.c, MATCH(CE$8,'3. Enter Indicator Scores'!$D$8:$CZ$8,0),
  _xlpm.v, IFERROR(INDEX('3. Enter Indicator Scores'!$D$10:$CZ$161,_xlpm.r,_xlpm.c),""),
  IF(OR(_xlpm.w="",_xlpm.v=""),"",_xlpm.v*_xlpm.w)
)</f>
        <v/>
      </c>
      <c r="CF97" s="93" t="str" cm="1">
        <f t="array" ref="CF97">_xlfn.LET(
  _xlpm.w, CF$11,
  _xlpm.r, MATCH(1,('3. Enter Indicator Scores'!$B$10:$B$161=$B97)*('3. Enter Indicator Scores'!$C$10:$C$161=$C97),0),
  _xlpm.c, MATCH(CF$8,'3. Enter Indicator Scores'!$D$8:$CZ$8,0),
  _xlpm.v, IFERROR(INDEX('3. Enter Indicator Scores'!$D$10:$CZ$161,_xlpm.r,_xlpm.c),""),
  IF(OR(_xlpm.w="",_xlpm.v=""),"",_xlpm.v*_xlpm.w)
)</f>
        <v/>
      </c>
      <c r="CG97" s="93" t="str" cm="1">
        <f t="array" ref="CG97">_xlfn.LET(
  _xlpm.w, CG$11,
  _xlpm.r, MATCH(1,('3. Enter Indicator Scores'!$B$10:$B$161=$B97)*('3. Enter Indicator Scores'!$C$10:$C$161=$C97),0),
  _xlpm.c, MATCH(CG$8,'3. Enter Indicator Scores'!$D$8:$CZ$8,0),
  _xlpm.v, IFERROR(INDEX('3. Enter Indicator Scores'!$D$10:$CZ$161,_xlpm.r,_xlpm.c),""),
  IF(OR(_xlpm.w="",_xlpm.v=""),"",_xlpm.v*_xlpm.w)
)</f>
        <v/>
      </c>
      <c r="CH97" s="93" t="str" cm="1">
        <f t="array" ref="CH97">_xlfn.LET(
  _xlpm.w, CH$11,
  _xlpm.r, MATCH(1,('3. Enter Indicator Scores'!$B$10:$B$161=$B97)*('3. Enter Indicator Scores'!$C$10:$C$161=$C97),0),
  _xlpm.c, MATCH(CH$8,'3. Enter Indicator Scores'!$D$8:$CZ$8,0),
  _xlpm.v, IFERROR(INDEX('3. Enter Indicator Scores'!$D$10:$CZ$161,_xlpm.r,_xlpm.c),""),
  IF(OR(_xlpm.w="",_xlpm.v=""),"",_xlpm.v*_xlpm.w)
)</f>
        <v/>
      </c>
      <c r="CI97" s="93" t="str" cm="1">
        <f t="array" ref="CI97">_xlfn.LET(
  _xlpm.w, CI$11,
  _xlpm.r, MATCH(1,('3. Enter Indicator Scores'!$B$10:$B$161=$B97)*('3. Enter Indicator Scores'!$C$10:$C$161=$C97),0),
  _xlpm.c, MATCH(CI$8,'3. Enter Indicator Scores'!$D$8:$CZ$8,0),
  _xlpm.v, IFERROR(INDEX('3. Enter Indicator Scores'!$D$10:$CZ$161,_xlpm.r,_xlpm.c),""),
  IF(OR(_xlpm.w="",_xlpm.v=""),"",_xlpm.v*_xlpm.w)
)</f>
        <v/>
      </c>
      <c r="CJ97" s="93" t="str" cm="1">
        <f t="array" ref="CJ97">_xlfn.LET(
  _xlpm.w, CJ$11,
  _xlpm.r, MATCH(1,('3. Enter Indicator Scores'!$B$10:$B$161=$B97)*('3. Enter Indicator Scores'!$C$10:$C$161=$C97),0),
  _xlpm.c, MATCH(CJ$8,'3. Enter Indicator Scores'!$D$8:$CZ$8,0),
  _xlpm.v, IFERROR(INDEX('3. Enter Indicator Scores'!$D$10:$CZ$161,_xlpm.r,_xlpm.c),""),
  IF(OR(_xlpm.w="",_xlpm.v=""),"",_xlpm.v*_xlpm.w)
)</f>
        <v/>
      </c>
      <c r="CK97" s="93" t="str" cm="1">
        <f t="array" ref="CK97">_xlfn.LET(
  _xlpm.w, CK$11,
  _xlpm.r, MATCH(1,('3. Enter Indicator Scores'!$B$10:$B$161=$B97)*('3. Enter Indicator Scores'!$C$10:$C$161=$C97),0),
  _xlpm.c, MATCH(CK$8,'3. Enter Indicator Scores'!$D$8:$CZ$8,0),
  _xlpm.v, IFERROR(INDEX('3. Enter Indicator Scores'!$D$10:$CZ$161,_xlpm.r,_xlpm.c),""),
  IF(OR(_xlpm.w="",_xlpm.v=""),"",_xlpm.v*_xlpm.w)
)</f>
        <v/>
      </c>
      <c r="CL97" s="93" t="str" cm="1">
        <f t="array" ref="CL97">_xlfn.LET(
  _xlpm.w, CL$11,
  _xlpm.r, MATCH(1,('3. Enter Indicator Scores'!$B$10:$B$161=$B97)*('3. Enter Indicator Scores'!$C$10:$C$161=$C97),0),
  _xlpm.c, MATCH(CL$8,'3. Enter Indicator Scores'!$D$8:$CZ$8,0),
  _xlpm.v, IFERROR(INDEX('3. Enter Indicator Scores'!$D$10:$CZ$161,_xlpm.r,_xlpm.c),""),
  IF(OR(_xlpm.w="",_xlpm.v=""),"",_xlpm.v*_xlpm.w)
)</f>
        <v/>
      </c>
      <c r="CM97" s="93" t="str" cm="1">
        <f t="array" ref="CM97">_xlfn.LET(
  _xlpm.w, CM$11,
  _xlpm.r, MATCH(1,('3. Enter Indicator Scores'!$B$10:$B$161=$B97)*('3. Enter Indicator Scores'!$C$10:$C$161=$C97),0),
  _xlpm.c, MATCH(CM$8,'3. Enter Indicator Scores'!$D$8:$CZ$8,0),
  _xlpm.v, IFERROR(INDEX('3. Enter Indicator Scores'!$D$10:$CZ$161,_xlpm.r,_xlpm.c),""),
  IF(OR(_xlpm.w="",_xlpm.v=""),"",_xlpm.v*_xlpm.w)
)</f>
        <v/>
      </c>
      <c r="CN97" s="93" t="str" cm="1">
        <f t="array" ref="CN97">_xlfn.LET(
  _xlpm.w, CN$11,
  _xlpm.r, MATCH(1,('3. Enter Indicator Scores'!$B$10:$B$161=$B97)*('3. Enter Indicator Scores'!$C$10:$C$161=$C97),0),
  _xlpm.c, MATCH(CN$8,'3. Enter Indicator Scores'!$D$8:$CZ$8,0),
  _xlpm.v, IFERROR(INDEX('3. Enter Indicator Scores'!$D$10:$CZ$161,_xlpm.r,_xlpm.c),""),
  IF(OR(_xlpm.w="",_xlpm.v=""),"",_xlpm.v*_xlpm.w)
)</f>
        <v/>
      </c>
      <c r="CO97" s="93" t="str" cm="1">
        <f t="array" ref="CO97">_xlfn.LET(
  _xlpm.w, CO$11,
  _xlpm.r, MATCH(1,('3. Enter Indicator Scores'!$B$10:$B$161=$B97)*('3. Enter Indicator Scores'!$C$10:$C$161=$C97),0),
  _xlpm.c, MATCH(CO$8,'3. Enter Indicator Scores'!$D$8:$CZ$8,0),
  _xlpm.v, IFERROR(INDEX('3. Enter Indicator Scores'!$D$10:$CZ$161,_xlpm.r,_xlpm.c),""),
  IF(OR(_xlpm.w="",_xlpm.v=""),"",_xlpm.v*_xlpm.w)
)</f>
        <v/>
      </c>
      <c r="CP97" s="93" t="str" cm="1">
        <f t="array" ref="CP97">_xlfn.LET(
  _xlpm.w, CP$11,
  _xlpm.r, MATCH(1,('3. Enter Indicator Scores'!$B$10:$B$161=$B97)*('3. Enter Indicator Scores'!$C$10:$C$161=$C97),0),
  _xlpm.c, MATCH(CP$8,'3. Enter Indicator Scores'!$D$8:$CZ$8,0),
  _xlpm.v, IFERROR(INDEX('3. Enter Indicator Scores'!$D$10:$CZ$161,_xlpm.r,_xlpm.c),""),
  IF(OR(_xlpm.w="",_xlpm.v=""),"",_xlpm.v*_xlpm.w)
)</f>
        <v/>
      </c>
      <c r="CQ97" s="93" t="str" cm="1">
        <f t="array" ref="CQ97">_xlfn.LET(
  _xlpm.w, CQ$11,
  _xlpm.r, MATCH(1,('3. Enter Indicator Scores'!$B$10:$B$161=$B97)*('3. Enter Indicator Scores'!$C$10:$C$161=$C97),0),
  _xlpm.c, MATCH(CQ$8,'3. Enter Indicator Scores'!$D$8:$CZ$8,0),
  _xlpm.v, IFERROR(INDEX('3. Enter Indicator Scores'!$D$10:$CZ$161,_xlpm.r,_xlpm.c),""),
  IF(OR(_xlpm.w="",_xlpm.v=""),"",_xlpm.v*_xlpm.w)
)</f>
        <v/>
      </c>
      <c r="CR97" s="93" t="str" cm="1">
        <f t="array" ref="CR97">_xlfn.LET(
  _xlpm.w, CR$11,
  _xlpm.r, MATCH(1,('3. Enter Indicator Scores'!$B$10:$B$161=$B97)*('3. Enter Indicator Scores'!$C$10:$C$161=$C97),0),
  _xlpm.c, MATCH(CR$8,'3. Enter Indicator Scores'!$D$8:$CZ$8,0),
  _xlpm.v, IFERROR(INDEX('3. Enter Indicator Scores'!$D$10:$CZ$161,_xlpm.r,_xlpm.c),""),
  IF(OR(_xlpm.w="",_xlpm.v=""),"",_xlpm.v*_xlpm.w)
)</f>
        <v/>
      </c>
      <c r="CS97" s="93" t="str" cm="1">
        <f t="array" ref="CS97">_xlfn.LET(
  _xlpm.w, CS$11,
  _xlpm.r, MATCH(1,('3. Enter Indicator Scores'!$B$10:$B$161=$B97)*('3. Enter Indicator Scores'!$C$10:$C$161=$C97),0),
  _xlpm.c, MATCH(CS$8,'3. Enter Indicator Scores'!$D$8:$CZ$8,0),
  _xlpm.v, IFERROR(INDEX('3. Enter Indicator Scores'!$D$10:$CZ$161,_xlpm.r,_xlpm.c),""),
  IF(OR(_xlpm.w="",_xlpm.v=""),"",_xlpm.v*_xlpm.w)
)</f>
        <v/>
      </c>
      <c r="CT97" s="93" t="str" cm="1">
        <f t="array" ref="CT97">_xlfn.LET(
  _xlpm.w, CT$11,
  _xlpm.r, MATCH(1,('3. Enter Indicator Scores'!$B$10:$B$161=$B97)*('3. Enter Indicator Scores'!$C$10:$C$161=$C97),0),
  _xlpm.c, MATCH(CT$8,'3. Enter Indicator Scores'!$D$8:$CZ$8,0),
  _xlpm.v, IFERROR(INDEX('3. Enter Indicator Scores'!$D$10:$CZ$161,_xlpm.r,_xlpm.c),""),
  IF(OR(_xlpm.w="",_xlpm.v=""),"",_xlpm.v*_xlpm.w)
)</f>
        <v/>
      </c>
      <c r="CU97" s="93" t="str" cm="1">
        <f t="array" ref="CU97">_xlfn.LET(
  _xlpm.w, CU$11,
  _xlpm.r, MATCH(1,('3. Enter Indicator Scores'!$B$10:$B$161=$B97)*('3. Enter Indicator Scores'!$C$10:$C$161=$C97),0),
  _xlpm.c, MATCH(CU$8,'3. Enter Indicator Scores'!$D$8:$CZ$8,0),
  _xlpm.v, IFERROR(INDEX('3. Enter Indicator Scores'!$D$10:$CZ$161,_xlpm.r,_xlpm.c),""),
  IF(OR(_xlpm.w="",_xlpm.v=""),"",_xlpm.v*_xlpm.w)
)</f>
        <v/>
      </c>
      <c r="CV97" s="93" t="str" cm="1">
        <f t="array" ref="CV97">_xlfn.LET(
  _xlpm.w, CV$11,
  _xlpm.r, MATCH(1,('3. Enter Indicator Scores'!$B$10:$B$161=$B97)*('3. Enter Indicator Scores'!$C$10:$C$161=$C97),0),
  _xlpm.c, MATCH(CV$8,'3. Enter Indicator Scores'!$D$8:$CZ$8,0),
  _xlpm.v, IFERROR(INDEX('3. Enter Indicator Scores'!$D$10:$CZ$161,_xlpm.r,_xlpm.c),""),
  IF(OR(_xlpm.w="",_xlpm.v=""),"",_xlpm.v*_xlpm.w)
)</f>
        <v/>
      </c>
      <c r="CW97" s="93" t="str" cm="1">
        <f t="array" ref="CW97">_xlfn.LET(
  _xlpm.w, CW$11,
  _xlpm.r, MATCH(1,('3. Enter Indicator Scores'!$B$10:$B$161=$B97)*('3. Enter Indicator Scores'!$C$10:$C$161=$C97),0),
  _xlpm.c, MATCH(CW$8,'3. Enter Indicator Scores'!$D$8:$CZ$8,0),
  _xlpm.v, IFERROR(INDEX('3. Enter Indicator Scores'!$D$10:$CZ$161,_xlpm.r,_xlpm.c),""),
  IF(OR(_xlpm.w="",_xlpm.v=""),"",_xlpm.v*_xlpm.w)
)</f>
        <v/>
      </c>
      <c r="CX97" s="93" t="str" cm="1">
        <f t="array" ref="CX97">_xlfn.LET(
  _xlpm.w, CX$11,
  _xlpm.r, MATCH(1,('3. Enter Indicator Scores'!$B$10:$B$161=$B97)*('3. Enter Indicator Scores'!$C$10:$C$161=$C97),0),
  _xlpm.c, MATCH(CX$8,'3. Enter Indicator Scores'!$D$8:$CZ$8,0),
  _xlpm.v, IFERROR(INDEX('3. Enter Indicator Scores'!$D$10:$CZ$161,_xlpm.r,_xlpm.c),""),
  IF(OR(_xlpm.w="",_xlpm.v=""),"",_xlpm.v*_xlpm.w)
)</f>
        <v/>
      </c>
      <c r="CY97" s="93" t="str" cm="1">
        <f t="array" ref="CY97">_xlfn.LET(
  _xlpm.w, CY$11,
  _xlpm.r, MATCH(1,('3. Enter Indicator Scores'!$B$10:$B$161=$B97)*('3. Enter Indicator Scores'!$C$10:$C$161=$C97),0),
  _xlpm.c, MATCH(CY$8,'3. Enter Indicator Scores'!$D$8:$CZ$8,0),
  _xlpm.v, IFERROR(INDEX('3. Enter Indicator Scores'!$D$10:$CZ$161,_xlpm.r,_xlpm.c),""),
  IF(OR(_xlpm.w="",_xlpm.v=""),"",_xlpm.v*_xlpm.w)
)</f>
        <v/>
      </c>
      <c r="CZ97" s="93" t="str" cm="1">
        <f t="array" ref="CZ97">_xlfn.LET(
  _xlpm.w, CZ$11,
  _xlpm.r, MATCH(1,('3. Enter Indicator Scores'!$B$10:$B$161=$B97)*('3. Enter Indicator Scores'!$C$10:$C$161=$C97),0),
  _xlpm.c, MATCH(CZ$8,'3. Enter Indicator Scores'!$D$8:$CZ$8,0),
  _xlpm.v, IFERROR(INDEX('3. Enter Indicator Scores'!$D$10:$CZ$161,_xlpm.r,_xlpm.c),""),
  IF(OR(_xlpm.w="",_xlpm.v=""),"",_xlpm.v*_xlpm.w)
)</f>
        <v/>
      </c>
    </row>
    <row r="98" spans="4:104" x14ac:dyDescent="0.2">
      <c r="D98" s="93" t="str" cm="1">
        <f t="array" ref="D98">_xlfn.LET(
  _xlpm.w, D$11,
  _xlpm.r, MATCH(1,('3. Enter Indicator Scores'!$B$10:$B$161=$B98)*('3. Enter Indicator Scores'!$C$10:$C$161=$C98),0),
  _xlpm.c, MATCH(D$8,'3. Enter Indicator Scores'!$D$8:$CZ$8,0),
  _xlpm.v, IFERROR(INDEX('3. Enter Indicator Scores'!$D$10:$CZ$161,_xlpm.r,_xlpm.c),""),
  IF(OR(_xlpm.w="",_xlpm.v=""),"",_xlpm.v*_xlpm.w)
)</f>
        <v/>
      </c>
      <c r="E98" s="93" t="str" cm="1">
        <f t="array" ref="E98">_xlfn.LET(
  _xlpm.w, E$11,
  _xlpm.r, MATCH(1,('3. Enter Indicator Scores'!$B$10:$B$161=$B98)*('3. Enter Indicator Scores'!$C$10:$C$161=$C98),0),
  _xlpm.c, MATCH(E$8,'3. Enter Indicator Scores'!$D$8:$CZ$8,0),
  _xlpm.v, IFERROR(INDEX('3. Enter Indicator Scores'!$D$10:$CZ$161,_xlpm.r,_xlpm.c),""),
  IF(OR(_xlpm.w="",_xlpm.v=""),"",_xlpm.v*_xlpm.w)
)</f>
        <v/>
      </c>
      <c r="F98" s="93" t="str" cm="1">
        <f t="array" ref="F98">_xlfn.LET(
  _xlpm.w, F$11,
  _xlpm.r, MATCH(1,('3. Enter Indicator Scores'!$B$10:$B$161=$B98)*('3. Enter Indicator Scores'!$C$10:$C$161=$C98),0),
  _xlpm.c, MATCH(F$8,'3. Enter Indicator Scores'!$D$8:$CZ$8,0),
  _xlpm.v, IFERROR(INDEX('3. Enter Indicator Scores'!$D$10:$CZ$161,_xlpm.r,_xlpm.c),""),
  IF(OR(_xlpm.w="",_xlpm.v=""),"",_xlpm.v*_xlpm.w)
)</f>
        <v/>
      </c>
      <c r="G98" s="93" t="str" cm="1">
        <f t="array" ref="G98">_xlfn.LET(
  _xlpm.w, G$11,
  _xlpm.r, MATCH(1,('3. Enter Indicator Scores'!$B$10:$B$161=$B98)*('3. Enter Indicator Scores'!$C$10:$C$161=$C98),0),
  _xlpm.c, MATCH(G$8,'3. Enter Indicator Scores'!$D$8:$CZ$8,0),
  _xlpm.v, IFERROR(INDEX('3. Enter Indicator Scores'!$D$10:$CZ$161,_xlpm.r,_xlpm.c),""),
  IF(OR(_xlpm.w="",_xlpm.v=""),"",_xlpm.v*_xlpm.w)
)</f>
        <v/>
      </c>
      <c r="H98" s="93" t="str" cm="1">
        <f t="array" ref="H98">_xlfn.LET(
  _xlpm.w, H$11,
  _xlpm.r, MATCH(1,('3. Enter Indicator Scores'!$B$10:$B$161=$B98)*('3. Enter Indicator Scores'!$C$10:$C$161=$C98),0),
  _xlpm.c, MATCH(H$8,'3. Enter Indicator Scores'!$D$8:$CZ$8,0),
  _xlpm.v, IFERROR(INDEX('3. Enter Indicator Scores'!$D$10:$CZ$161,_xlpm.r,_xlpm.c),""),
  IF(OR(_xlpm.w="",_xlpm.v=""),"",_xlpm.v*_xlpm.w)
)</f>
        <v/>
      </c>
      <c r="I98" s="93" t="str" cm="1">
        <f t="array" ref="I98">_xlfn.LET(
  _xlpm.w, I$11,
  _xlpm.r, MATCH(1,('3. Enter Indicator Scores'!$B$10:$B$161=$B98)*('3. Enter Indicator Scores'!$C$10:$C$161=$C98),0),
  _xlpm.c, MATCH(I$8,'3. Enter Indicator Scores'!$D$8:$CZ$8,0),
  _xlpm.v, IFERROR(INDEX('3. Enter Indicator Scores'!$D$10:$CZ$161,_xlpm.r,_xlpm.c),""),
  IF(OR(_xlpm.w="",_xlpm.v=""),"",_xlpm.v*_xlpm.w)
)</f>
        <v/>
      </c>
      <c r="J98" s="93" t="str" cm="1">
        <f t="array" ref="J98">_xlfn.LET(
  _xlpm.w, J$11,
  _xlpm.r, MATCH(1,('3. Enter Indicator Scores'!$B$10:$B$161=$B98)*('3. Enter Indicator Scores'!$C$10:$C$161=$C98),0),
  _xlpm.c, MATCH(J$8,'3. Enter Indicator Scores'!$D$8:$CZ$8,0),
  _xlpm.v, IFERROR(INDEX('3. Enter Indicator Scores'!$D$10:$CZ$161,_xlpm.r,_xlpm.c),""),
  IF(OR(_xlpm.w="",_xlpm.v=""),"",_xlpm.v*_xlpm.w)
)</f>
        <v/>
      </c>
      <c r="K98" s="93" t="str" cm="1">
        <f t="array" ref="K98">_xlfn.LET(
  _xlpm.w, K$11,
  _xlpm.r, MATCH(1,('3. Enter Indicator Scores'!$B$10:$B$161=$B98)*('3. Enter Indicator Scores'!$C$10:$C$161=$C98),0),
  _xlpm.c, MATCH(K$8,'3. Enter Indicator Scores'!$D$8:$CZ$8,0),
  _xlpm.v, IFERROR(INDEX('3. Enter Indicator Scores'!$D$10:$CZ$161,_xlpm.r,_xlpm.c),""),
  IF(OR(_xlpm.w="",_xlpm.v=""),"",_xlpm.v*_xlpm.w)
)</f>
        <v/>
      </c>
      <c r="L98" s="93" t="str" cm="1">
        <f t="array" ref="L98">_xlfn.LET(
  _xlpm.w, L$11,
  _xlpm.r, MATCH(1,('3. Enter Indicator Scores'!$B$10:$B$161=$B98)*('3. Enter Indicator Scores'!$C$10:$C$161=$C98),0),
  _xlpm.c, MATCH(L$8,'3. Enter Indicator Scores'!$D$8:$CZ$8,0),
  _xlpm.v, IFERROR(INDEX('3. Enter Indicator Scores'!$D$10:$CZ$161,_xlpm.r,_xlpm.c),""),
  IF(OR(_xlpm.w="",_xlpm.v=""),"",_xlpm.v*_xlpm.w)
)</f>
        <v/>
      </c>
      <c r="M98" s="93" t="str" cm="1">
        <f t="array" ref="M98">_xlfn.LET(
  _xlpm.w, M$11,
  _xlpm.r, MATCH(1,('3. Enter Indicator Scores'!$B$10:$B$161=$B98)*('3. Enter Indicator Scores'!$C$10:$C$161=$C98),0),
  _xlpm.c, MATCH(M$8,'3. Enter Indicator Scores'!$D$8:$CZ$8,0),
  _xlpm.v, IFERROR(INDEX('3. Enter Indicator Scores'!$D$10:$CZ$161,_xlpm.r,_xlpm.c),""),
  IF(OR(_xlpm.w="",_xlpm.v=""),"",_xlpm.v*_xlpm.w)
)</f>
        <v/>
      </c>
      <c r="N98" s="93" t="str" cm="1">
        <f t="array" ref="N98">_xlfn.LET(
  _xlpm.w, N$11,
  _xlpm.r, MATCH(1,('3. Enter Indicator Scores'!$B$10:$B$161=$B98)*('3. Enter Indicator Scores'!$C$10:$C$161=$C98),0),
  _xlpm.c, MATCH(N$8,'3. Enter Indicator Scores'!$D$8:$CZ$8,0),
  _xlpm.v, IFERROR(INDEX('3. Enter Indicator Scores'!$D$10:$CZ$161,_xlpm.r,_xlpm.c),""),
  IF(OR(_xlpm.w="",_xlpm.v=""),"",_xlpm.v*_xlpm.w)
)</f>
        <v/>
      </c>
      <c r="O98" s="93" t="str" cm="1">
        <f t="array" ref="O98">_xlfn.LET(
  _xlpm.w, O$11,
  _xlpm.r, MATCH(1,('3. Enter Indicator Scores'!$B$10:$B$161=$B98)*('3. Enter Indicator Scores'!$C$10:$C$161=$C98),0),
  _xlpm.c, MATCH(O$8,'3. Enter Indicator Scores'!$D$8:$CZ$8,0),
  _xlpm.v, IFERROR(INDEX('3. Enter Indicator Scores'!$D$10:$CZ$161,_xlpm.r,_xlpm.c),""),
  IF(OR(_xlpm.w="",_xlpm.v=""),"",_xlpm.v*_xlpm.w)
)</f>
        <v/>
      </c>
      <c r="P98" s="93" t="str" cm="1">
        <f t="array" ref="P98">_xlfn.LET(
  _xlpm.w, P$11,
  _xlpm.r, MATCH(1,('3. Enter Indicator Scores'!$B$10:$B$161=$B98)*('3. Enter Indicator Scores'!$C$10:$C$161=$C98),0),
  _xlpm.c, MATCH(P$8,'3. Enter Indicator Scores'!$D$8:$CZ$8,0),
  _xlpm.v, IFERROR(INDEX('3. Enter Indicator Scores'!$D$10:$CZ$161,_xlpm.r,_xlpm.c),""),
  IF(OR(_xlpm.w="",_xlpm.v=""),"",_xlpm.v*_xlpm.w)
)</f>
        <v/>
      </c>
      <c r="Q98" s="93" t="str" cm="1">
        <f t="array" ref="Q98">_xlfn.LET(
  _xlpm.w, Q$11,
  _xlpm.r, MATCH(1,('3. Enter Indicator Scores'!$B$10:$B$161=$B98)*('3. Enter Indicator Scores'!$C$10:$C$161=$C98),0),
  _xlpm.c, MATCH(Q$8,'3. Enter Indicator Scores'!$D$8:$CZ$8,0),
  _xlpm.v, IFERROR(INDEX('3. Enter Indicator Scores'!$D$10:$CZ$161,_xlpm.r,_xlpm.c),""),
  IF(OR(_xlpm.w="",_xlpm.v=""),"",_xlpm.v*_xlpm.w)
)</f>
        <v/>
      </c>
      <c r="R98" s="93" t="str" cm="1">
        <f t="array" ref="R98">_xlfn.LET(
  _xlpm.w, R$11,
  _xlpm.r, MATCH(1,('3. Enter Indicator Scores'!$B$10:$B$161=$B98)*('3. Enter Indicator Scores'!$C$10:$C$161=$C98),0),
  _xlpm.c, MATCH(R$8,'3. Enter Indicator Scores'!$D$8:$CZ$8,0),
  _xlpm.v, IFERROR(INDEX('3. Enter Indicator Scores'!$D$10:$CZ$161,_xlpm.r,_xlpm.c),""),
  IF(OR(_xlpm.w="",_xlpm.v=""),"",_xlpm.v*_xlpm.w)
)</f>
        <v/>
      </c>
      <c r="S98" s="93" t="str" cm="1">
        <f t="array" ref="S98">_xlfn.LET(
  _xlpm.w, S$11,
  _xlpm.r, MATCH(1,('3. Enter Indicator Scores'!$B$10:$B$161=$B98)*('3. Enter Indicator Scores'!$C$10:$C$161=$C98),0),
  _xlpm.c, MATCH(S$8,'3. Enter Indicator Scores'!$D$8:$CZ$8,0),
  _xlpm.v, IFERROR(INDEX('3. Enter Indicator Scores'!$D$10:$CZ$161,_xlpm.r,_xlpm.c),""),
  IF(OR(_xlpm.w="",_xlpm.v=""),"",_xlpm.v*_xlpm.w)
)</f>
        <v/>
      </c>
      <c r="T98" s="93" t="str" cm="1">
        <f t="array" ref="T98">_xlfn.LET(
  _xlpm.w, T$11,
  _xlpm.r, MATCH(1,('3. Enter Indicator Scores'!$B$10:$B$161=$B98)*('3. Enter Indicator Scores'!$C$10:$C$161=$C98),0),
  _xlpm.c, MATCH(T$8,'3. Enter Indicator Scores'!$D$8:$CZ$8,0),
  _xlpm.v, IFERROR(INDEX('3. Enter Indicator Scores'!$D$10:$CZ$161,_xlpm.r,_xlpm.c),""),
  IF(OR(_xlpm.w="",_xlpm.v=""),"",_xlpm.v*_xlpm.w)
)</f>
        <v/>
      </c>
      <c r="U98" s="93" t="str" cm="1">
        <f t="array" ref="U98">_xlfn.LET(
  _xlpm.w, U$11,
  _xlpm.r, MATCH(1,('3. Enter Indicator Scores'!$B$10:$B$161=$B98)*('3. Enter Indicator Scores'!$C$10:$C$161=$C98),0),
  _xlpm.c, MATCH(U$8,'3. Enter Indicator Scores'!$D$8:$CZ$8,0),
  _xlpm.v, IFERROR(INDEX('3. Enter Indicator Scores'!$D$10:$CZ$161,_xlpm.r,_xlpm.c),""),
  IF(OR(_xlpm.w="",_xlpm.v=""),"",_xlpm.v*_xlpm.w)
)</f>
        <v/>
      </c>
      <c r="V98" s="93" t="str" cm="1">
        <f t="array" ref="V98">_xlfn.LET(
  _xlpm.w, V$11,
  _xlpm.r, MATCH(1,('3. Enter Indicator Scores'!$B$10:$B$161=$B98)*('3. Enter Indicator Scores'!$C$10:$C$161=$C98),0),
  _xlpm.c, MATCH(V$8,'3. Enter Indicator Scores'!$D$8:$CZ$8,0),
  _xlpm.v, IFERROR(INDEX('3. Enter Indicator Scores'!$D$10:$CZ$161,_xlpm.r,_xlpm.c),""),
  IF(OR(_xlpm.w="",_xlpm.v=""),"",_xlpm.v*_xlpm.w)
)</f>
        <v/>
      </c>
      <c r="W98" s="93" t="str" cm="1">
        <f t="array" ref="W98">_xlfn.LET(
  _xlpm.w, W$11,
  _xlpm.r, MATCH(1,('3. Enter Indicator Scores'!$B$10:$B$161=$B98)*('3. Enter Indicator Scores'!$C$10:$C$161=$C98),0),
  _xlpm.c, MATCH(W$8,'3. Enter Indicator Scores'!$D$8:$CZ$8,0),
  _xlpm.v, IFERROR(INDEX('3. Enter Indicator Scores'!$D$10:$CZ$161,_xlpm.r,_xlpm.c),""),
  IF(OR(_xlpm.w="",_xlpm.v=""),"",_xlpm.v*_xlpm.w)
)</f>
        <v/>
      </c>
      <c r="X98" s="93" t="str" cm="1">
        <f t="array" ref="X98">_xlfn.LET(
  _xlpm.w, X$11,
  _xlpm.r, MATCH(1,('3. Enter Indicator Scores'!$B$10:$B$161=$B98)*('3. Enter Indicator Scores'!$C$10:$C$161=$C98),0),
  _xlpm.c, MATCH(X$8,'3. Enter Indicator Scores'!$D$8:$CZ$8,0),
  _xlpm.v, IFERROR(INDEX('3. Enter Indicator Scores'!$D$10:$CZ$161,_xlpm.r,_xlpm.c),""),
  IF(OR(_xlpm.w="",_xlpm.v=""),"",_xlpm.v*_xlpm.w)
)</f>
        <v/>
      </c>
      <c r="Y98" s="93" t="str" cm="1">
        <f t="array" ref="Y98">_xlfn.LET(
  _xlpm.w, Y$11,
  _xlpm.r, MATCH(1,('3. Enter Indicator Scores'!$B$10:$B$161=$B98)*('3. Enter Indicator Scores'!$C$10:$C$161=$C98),0),
  _xlpm.c, MATCH(Y$8,'3. Enter Indicator Scores'!$D$8:$CZ$8,0),
  _xlpm.v, IFERROR(INDEX('3. Enter Indicator Scores'!$D$10:$CZ$161,_xlpm.r,_xlpm.c),""),
  IF(OR(_xlpm.w="",_xlpm.v=""),"",_xlpm.v*_xlpm.w)
)</f>
        <v/>
      </c>
      <c r="Z98" s="93" t="str" cm="1">
        <f t="array" ref="Z98">_xlfn.LET(
  _xlpm.w, Z$11,
  _xlpm.r, MATCH(1,('3. Enter Indicator Scores'!$B$10:$B$161=$B98)*('3. Enter Indicator Scores'!$C$10:$C$161=$C98),0),
  _xlpm.c, MATCH(Z$8,'3. Enter Indicator Scores'!$D$8:$CZ$8,0),
  _xlpm.v, IFERROR(INDEX('3. Enter Indicator Scores'!$D$10:$CZ$161,_xlpm.r,_xlpm.c),""),
  IF(OR(_xlpm.w="",_xlpm.v=""),"",_xlpm.v*_xlpm.w)
)</f>
        <v/>
      </c>
      <c r="AA98" s="93" t="str" cm="1">
        <f t="array" ref="AA98">_xlfn.LET(
  _xlpm.w, AA$11,
  _xlpm.r, MATCH(1,('3. Enter Indicator Scores'!$B$10:$B$161=$B98)*('3. Enter Indicator Scores'!$C$10:$C$161=$C98),0),
  _xlpm.c, MATCH(AA$8,'3. Enter Indicator Scores'!$D$8:$CZ$8,0),
  _xlpm.v, IFERROR(INDEX('3. Enter Indicator Scores'!$D$10:$CZ$161,_xlpm.r,_xlpm.c),""),
  IF(OR(_xlpm.w="",_xlpm.v=""),"",_xlpm.v*_xlpm.w)
)</f>
        <v/>
      </c>
      <c r="AB98" s="93" t="str" cm="1">
        <f t="array" ref="AB98">_xlfn.LET(
  _xlpm.w, AB$11,
  _xlpm.r, MATCH(1,('3. Enter Indicator Scores'!$B$10:$B$161=$B98)*('3. Enter Indicator Scores'!$C$10:$C$161=$C98),0),
  _xlpm.c, MATCH(AB$8,'3. Enter Indicator Scores'!$D$8:$CZ$8,0),
  _xlpm.v, IFERROR(INDEX('3. Enter Indicator Scores'!$D$10:$CZ$161,_xlpm.r,_xlpm.c),""),
  IF(OR(_xlpm.w="",_xlpm.v=""),"",_xlpm.v*_xlpm.w)
)</f>
        <v/>
      </c>
      <c r="AC98" s="93" t="str" cm="1">
        <f t="array" ref="AC98">_xlfn.LET(
  _xlpm.w, AC$11,
  _xlpm.r, MATCH(1,('3. Enter Indicator Scores'!$B$10:$B$161=$B98)*('3. Enter Indicator Scores'!$C$10:$C$161=$C98),0),
  _xlpm.c, MATCH(AC$8,'3. Enter Indicator Scores'!$D$8:$CZ$8,0),
  _xlpm.v, IFERROR(INDEX('3. Enter Indicator Scores'!$D$10:$CZ$161,_xlpm.r,_xlpm.c),""),
  IF(OR(_xlpm.w="",_xlpm.v=""),"",_xlpm.v*_xlpm.w)
)</f>
        <v/>
      </c>
      <c r="AD98" s="93" t="str" cm="1">
        <f t="array" ref="AD98">_xlfn.LET(
  _xlpm.w, AD$11,
  _xlpm.r, MATCH(1,('3. Enter Indicator Scores'!$B$10:$B$161=$B98)*('3. Enter Indicator Scores'!$C$10:$C$161=$C98),0),
  _xlpm.c, MATCH(AD$8,'3. Enter Indicator Scores'!$D$8:$CZ$8,0),
  _xlpm.v, IFERROR(INDEX('3. Enter Indicator Scores'!$D$10:$CZ$161,_xlpm.r,_xlpm.c),""),
  IF(OR(_xlpm.w="",_xlpm.v=""),"",_xlpm.v*_xlpm.w)
)</f>
        <v/>
      </c>
      <c r="AE98" s="93" t="str" cm="1">
        <f t="array" ref="AE98">_xlfn.LET(
  _xlpm.w, AE$11,
  _xlpm.r, MATCH(1,('3. Enter Indicator Scores'!$B$10:$B$161=$B98)*('3. Enter Indicator Scores'!$C$10:$C$161=$C98),0),
  _xlpm.c, MATCH(AE$8,'3. Enter Indicator Scores'!$D$8:$CZ$8,0),
  _xlpm.v, IFERROR(INDEX('3. Enter Indicator Scores'!$D$10:$CZ$161,_xlpm.r,_xlpm.c),""),
  IF(OR(_xlpm.w="",_xlpm.v=""),"",_xlpm.v*_xlpm.w)
)</f>
        <v/>
      </c>
      <c r="AF98" s="93" t="str" cm="1">
        <f t="array" ref="AF98">_xlfn.LET(
  _xlpm.w, AF$11,
  _xlpm.r, MATCH(1,('3. Enter Indicator Scores'!$B$10:$B$161=$B98)*('3. Enter Indicator Scores'!$C$10:$C$161=$C98),0),
  _xlpm.c, MATCH(AF$8,'3. Enter Indicator Scores'!$D$8:$CZ$8,0),
  _xlpm.v, IFERROR(INDEX('3. Enter Indicator Scores'!$D$10:$CZ$161,_xlpm.r,_xlpm.c),""),
  IF(OR(_xlpm.w="",_xlpm.v=""),"",_xlpm.v*_xlpm.w)
)</f>
        <v/>
      </c>
      <c r="AG98" s="93" t="str" cm="1">
        <f t="array" ref="AG98">_xlfn.LET(
  _xlpm.w, AG$11,
  _xlpm.r, MATCH(1,('3. Enter Indicator Scores'!$B$10:$B$161=$B98)*('3. Enter Indicator Scores'!$C$10:$C$161=$C98),0),
  _xlpm.c, MATCH(AG$8,'3. Enter Indicator Scores'!$D$8:$CZ$8,0),
  _xlpm.v, IFERROR(INDEX('3. Enter Indicator Scores'!$D$10:$CZ$161,_xlpm.r,_xlpm.c),""),
  IF(OR(_xlpm.w="",_xlpm.v=""),"",_xlpm.v*_xlpm.w)
)</f>
        <v/>
      </c>
      <c r="AH98" s="93" t="str" cm="1">
        <f t="array" ref="AH98">_xlfn.LET(
  _xlpm.w, AH$11,
  _xlpm.r, MATCH(1,('3. Enter Indicator Scores'!$B$10:$B$161=$B98)*('3. Enter Indicator Scores'!$C$10:$C$161=$C98),0),
  _xlpm.c, MATCH(AH$8,'3. Enter Indicator Scores'!$D$8:$CZ$8,0),
  _xlpm.v, IFERROR(INDEX('3. Enter Indicator Scores'!$D$10:$CZ$161,_xlpm.r,_xlpm.c),""),
  IF(OR(_xlpm.w="",_xlpm.v=""),"",_xlpm.v*_xlpm.w)
)</f>
        <v/>
      </c>
      <c r="AI98" s="93" t="str" cm="1">
        <f t="array" ref="AI98">_xlfn.LET(
  _xlpm.w, AI$11,
  _xlpm.r, MATCH(1,('3. Enter Indicator Scores'!$B$10:$B$161=$B98)*('3. Enter Indicator Scores'!$C$10:$C$161=$C98),0),
  _xlpm.c, MATCH(AI$8,'3. Enter Indicator Scores'!$D$8:$CZ$8,0),
  _xlpm.v, IFERROR(INDEX('3. Enter Indicator Scores'!$D$10:$CZ$161,_xlpm.r,_xlpm.c),""),
  IF(OR(_xlpm.w="",_xlpm.v=""),"",_xlpm.v*_xlpm.w)
)</f>
        <v/>
      </c>
      <c r="AJ98" s="93" t="str" cm="1">
        <f t="array" ref="AJ98">_xlfn.LET(
  _xlpm.w, AJ$11,
  _xlpm.r, MATCH(1,('3. Enter Indicator Scores'!$B$10:$B$161=$B98)*('3. Enter Indicator Scores'!$C$10:$C$161=$C98),0),
  _xlpm.c, MATCH(AJ$8,'3. Enter Indicator Scores'!$D$8:$CZ$8,0),
  _xlpm.v, IFERROR(INDEX('3. Enter Indicator Scores'!$D$10:$CZ$161,_xlpm.r,_xlpm.c),""),
  IF(OR(_xlpm.w="",_xlpm.v=""),"",_xlpm.v*_xlpm.w)
)</f>
        <v/>
      </c>
      <c r="AK98" s="93" t="str" cm="1">
        <f t="array" ref="AK98">_xlfn.LET(
  _xlpm.w, AK$11,
  _xlpm.r, MATCH(1,('3. Enter Indicator Scores'!$B$10:$B$161=$B98)*('3. Enter Indicator Scores'!$C$10:$C$161=$C98),0),
  _xlpm.c, MATCH(AK$8,'3. Enter Indicator Scores'!$D$8:$CZ$8,0),
  _xlpm.v, IFERROR(INDEX('3. Enter Indicator Scores'!$D$10:$CZ$161,_xlpm.r,_xlpm.c),""),
  IF(OR(_xlpm.w="",_xlpm.v=""),"",_xlpm.v*_xlpm.w)
)</f>
        <v/>
      </c>
      <c r="AL98" s="93" t="str" cm="1">
        <f t="array" ref="AL98">_xlfn.LET(
  _xlpm.w, AL$11,
  _xlpm.r, MATCH(1,('3. Enter Indicator Scores'!$B$10:$B$161=$B98)*('3. Enter Indicator Scores'!$C$10:$C$161=$C98),0),
  _xlpm.c, MATCH(AL$8,'3. Enter Indicator Scores'!$D$8:$CZ$8,0),
  _xlpm.v, IFERROR(INDEX('3. Enter Indicator Scores'!$D$10:$CZ$161,_xlpm.r,_xlpm.c),""),
  IF(OR(_xlpm.w="",_xlpm.v=""),"",_xlpm.v*_xlpm.w)
)</f>
        <v/>
      </c>
      <c r="AM98" s="93" t="str" cm="1">
        <f t="array" ref="AM98">_xlfn.LET(
  _xlpm.w, AM$11,
  _xlpm.r, MATCH(1,('3. Enter Indicator Scores'!$B$10:$B$161=$B98)*('3. Enter Indicator Scores'!$C$10:$C$161=$C98),0),
  _xlpm.c, MATCH(AM$8,'3. Enter Indicator Scores'!$D$8:$CZ$8,0),
  _xlpm.v, IFERROR(INDEX('3. Enter Indicator Scores'!$D$10:$CZ$161,_xlpm.r,_xlpm.c),""),
  IF(OR(_xlpm.w="",_xlpm.v=""),"",_xlpm.v*_xlpm.w)
)</f>
        <v/>
      </c>
      <c r="AN98" s="93" t="str" cm="1">
        <f t="array" ref="AN98">_xlfn.LET(
  _xlpm.w, AN$11,
  _xlpm.r, MATCH(1,('3. Enter Indicator Scores'!$B$10:$B$161=$B98)*('3. Enter Indicator Scores'!$C$10:$C$161=$C98),0),
  _xlpm.c, MATCH(AN$8,'3. Enter Indicator Scores'!$D$8:$CZ$8,0),
  _xlpm.v, IFERROR(INDEX('3. Enter Indicator Scores'!$D$10:$CZ$161,_xlpm.r,_xlpm.c),""),
  IF(OR(_xlpm.w="",_xlpm.v=""),"",_xlpm.v*_xlpm.w)
)</f>
        <v/>
      </c>
      <c r="AO98" s="93" t="str" cm="1">
        <f t="array" ref="AO98">_xlfn.LET(
  _xlpm.w, AO$11,
  _xlpm.r, MATCH(1,('3. Enter Indicator Scores'!$B$10:$B$161=$B98)*('3. Enter Indicator Scores'!$C$10:$C$161=$C98),0),
  _xlpm.c, MATCH(AO$8,'3. Enter Indicator Scores'!$D$8:$CZ$8,0),
  _xlpm.v, IFERROR(INDEX('3. Enter Indicator Scores'!$D$10:$CZ$161,_xlpm.r,_xlpm.c),""),
  IF(OR(_xlpm.w="",_xlpm.v=""),"",_xlpm.v*_xlpm.w)
)</f>
        <v/>
      </c>
      <c r="AP98" s="93" t="str" cm="1">
        <f t="array" ref="AP98">_xlfn.LET(
  _xlpm.w, AP$11,
  _xlpm.r, MATCH(1,('3. Enter Indicator Scores'!$B$10:$B$161=$B98)*('3. Enter Indicator Scores'!$C$10:$C$161=$C98),0),
  _xlpm.c, MATCH(AP$8,'3. Enter Indicator Scores'!$D$8:$CZ$8,0),
  _xlpm.v, IFERROR(INDEX('3. Enter Indicator Scores'!$D$10:$CZ$161,_xlpm.r,_xlpm.c),""),
  IF(OR(_xlpm.w="",_xlpm.v=""),"",_xlpm.v*_xlpm.w)
)</f>
        <v/>
      </c>
      <c r="AQ98" s="93" t="str" cm="1">
        <f t="array" ref="AQ98">_xlfn.LET(
  _xlpm.w, AQ$11,
  _xlpm.r, MATCH(1,('3. Enter Indicator Scores'!$B$10:$B$161=$B98)*('3. Enter Indicator Scores'!$C$10:$C$161=$C98),0),
  _xlpm.c, MATCH(AQ$8,'3. Enter Indicator Scores'!$D$8:$CZ$8,0),
  _xlpm.v, IFERROR(INDEX('3. Enter Indicator Scores'!$D$10:$CZ$161,_xlpm.r,_xlpm.c),""),
  IF(OR(_xlpm.w="",_xlpm.v=""),"",_xlpm.v*_xlpm.w)
)</f>
        <v/>
      </c>
      <c r="AR98" s="93" t="str" cm="1">
        <f t="array" ref="AR98">_xlfn.LET(
  _xlpm.w, AR$11,
  _xlpm.r, MATCH(1,('3. Enter Indicator Scores'!$B$10:$B$161=$B98)*('3. Enter Indicator Scores'!$C$10:$C$161=$C98),0),
  _xlpm.c, MATCH(AR$8,'3. Enter Indicator Scores'!$D$8:$CZ$8,0),
  _xlpm.v, IFERROR(INDEX('3. Enter Indicator Scores'!$D$10:$CZ$161,_xlpm.r,_xlpm.c),""),
  IF(OR(_xlpm.w="",_xlpm.v=""),"",_xlpm.v*_xlpm.w)
)</f>
        <v/>
      </c>
      <c r="AS98" s="93" t="str" cm="1">
        <f t="array" ref="AS98">_xlfn.LET(
  _xlpm.w, AS$11,
  _xlpm.r, MATCH(1,('3. Enter Indicator Scores'!$B$10:$B$161=$B98)*('3. Enter Indicator Scores'!$C$10:$C$161=$C98),0),
  _xlpm.c, MATCH(AS$8,'3. Enter Indicator Scores'!$D$8:$CZ$8,0),
  _xlpm.v, IFERROR(INDEX('3. Enter Indicator Scores'!$D$10:$CZ$161,_xlpm.r,_xlpm.c),""),
  IF(OR(_xlpm.w="",_xlpm.v=""),"",_xlpm.v*_xlpm.w)
)</f>
        <v/>
      </c>
      <c r="AT98" s="93" t="str" cm="1">
        <f t="array" ref="AT98">_xlfn.LET(
  _xlpm.w, AT$11,
  _xlpm.r, MATCH(1,('3. Enter Indicator Scores'!$B$10:$B$161=$B98)*('3. Enter Indicator Scores'!$C$10:$C$161=$C98),0),
  _xlpm.c, MATCH(AT$8,'3. Enter Indicator Scores'!$D$8:$CZ$8,0),
  _xlpm.v, IFERROR(INDEX('3. Enter Indicator Scores'!$D$10:$CZ$161,_xlpm.r,_xlpm.c),""),
  IF(OR(_xlpm.w="",_xlpm.v=""),"",_xlpm.v*_xlpm.w)
)</f>
        <v/>
      </c>
      <c r="AU98" s="93" t="str" cm="1">
        <f t="array" ref="AU98">_xlfn.LET(
  _xlpm.w, AU$11,
  _xlpm.r, MATCH(1,('3. Enter Indicator Scores'!$B$10:$B$161=$B98)*('3. Enter Indicator Scores'!$C$10:$C$161=$C98),0),
  _xlpm.c, MATCH(AU$8,'3. Enter Indicator Scores'!$D$8:$CZ$8,0),
  _xlpm.v, IFERROR(INDEX('3. Enter Indicator Scores'!$D$10:$CZ$161,_xlpm.r,_xlpm.c),""),
  IF(OR(_xlpm.w="",_xlpm.v=""),"",_xlpm.v*_xlpm.w)
)</f>
        <v/>
      </c>
      <c r="AV98" s="93" t="str" cm="1">
        <f t="array" ref="AV98">_xlfn.LET(
  _xlpm.w, AV$11,
  _xlpm.r, MATCH(1,('3. Enter Indicator Scores'!$B$10:$B$161=$B98)*('3. Enter Indicator Scores'!$C$10:$C$161=$C98),0),
  _xlpm.c, MATCH(AV$8,'3. Enter Indicator Scores'!$D$8:$CZ$8,0),
  _xlpm.v, IFERROR(INDEX('3. Enter Indicator Scores'!$D$10:$CZ$161,_xlpm.r,_xlpm.c),""),
  IF(OR(_xlpm.w="",_xlpm.v=""),"",_xlpm.v*_xlpm.w)
)</f>
        <v/>
      </c>
      <c r="AW98" s="93" t="str" cm="1">
        <f t="array" ref="AW98">_xlfn.LET(
  _xlpm.w, AW$11,
  _xlpm.r, MATCH(1,('3. Enter Indicator Scores'!$B$10:$B$161=$B98)*('3. Enter Indicator Scores'!$C$10:$C$161=$C98),0),
  _xlpm.c, MATCH(AW$8,'3. Enter Indicator Scores'!$D$8:$CZ$8,0),
  _xlpm.v, IFERROR(INDEX('3. Enter Indicator Scores'!$D$10:$CZ$161,_xlpm.r,_xlpm.c),""),
  IF(OR(_xlpm.w="",_xlpm.v=""),"",_xlpm.v*_xlpm.w)
)</f>
        <v/>
      </c>
      <c r="AX98" s="93" t="str" cm="1">
        <f t="array" ref="AX98">_xlfn.LET(
  _xlpm.w, AX$11,
  _xlpm.r, MATCH(1,('3. Enter Indicator Scores'!$B$10:$B$161=$B98)*('3. Enter Indicator Scores'!$C$10:$C$161=$C98),0),
  _xlpm.c, MATCH(AX$8,'3. Enter Indicator Scores'!$D$8:$CZ$8,0),
  _xlpm.v, IFERROR(INDEX('3. Enter Indicator Scores'!$D$10:$CZ$161,_xlpm.r,_xlpm.c),""),
  IF(OR(_xlpm.w="",_xlpm.v=""),"",_xlpm.v*_xlpm.w)
)</f>
        <v/>
      </c>
      <c r="AY98" s="93" t="str" cm="1">
        <f t="array" ref="AY98">_xlfn.LET(
  _xlpm.w, AY$11,
  _xlpm.r, MATCH(1,('3. Enter Indicator Scores'!$B$10:$B$161=$B98)*('3. Enter Indicator Scores'!$C$10:$C$161=$C98),0),
  _xlpm.c, MATCH(AY$8,'3. Enter Indicator Scores'!$D$8:$CZ$8,0),
  _xlpm.v, IFERROR(INDEX('3. Enter Indicator Scores'!$D$10:$CZ$161,_xlpm.r,_xlpm.c),""),
  IF(OR(_xlpm.w="",_xlpm.v=""),"",_xlpm.v*_xlpm.w)
)</f>
        <v/>
      </c>
      <c r="AZ98" s="93" t="str" cm="1">
        <f t="array" ref="AZ98">_xlfn.LET(
  _xlpm.w, AZ$11,
  _xlpm.r, MATCH(1,('3. Enter Indicator Scores'!$B$10:$B$161=$B98)*('3. Enter Indicator Scores'!$C$10:$C$161=$C98),0),
  _xlpm.c, MATCH(AZ$8,'3. Enter Indicator Scores'!$D$8:$CZ$8,0),
  _xlpm.v, IFERROR(INDEX('3. Enter Indicator Scores'!$D$10:$CZ$161,_xlpm.r,_xlpm.c),""),
  IF(OR(_xlpm.w="",_xlpm.v=""),"",_xlpm.v*_xlpm.w)
)</f>
        <v/>
      </c>
      <c r="BA98" s="93" t="str" cm="1">
        <f t="array" ref="BA98">_xlfn.LET(
  _xlpm.w, BA$11,
  _xlpm.r, MATCH(1,('3. Enter Indicator Scores'!$B$10:$B$161=$B98)*('3. Enter Indicator Scores'!$C$10:$C$161=$C98),0),
  _xlpm.c, MATCH(BA$8,'3. Enter Indicator Scores'!$D$8:$CZ$8,0),
  _xlpm.v, IFERROR(INDEX('3. Enter Indicator Scores'!$D$10:$CZ$161,_xlpm.r,_xlpm.c),""),
  IF(OR(_xlpm.w="",_xlpm.v=""),"",_xlpm.v*_xlpm.w)
)</f>
        <v/>
      </c>
      <c r="BB98" s="93" t="str" cm="1">
        <f t="array" ref="BB98">_xlfn.LET(
  _xlpm.w, BB$11,
  _xlpm.r, MATCH(1,('3. Enter Indicator Scores'!$B$10:$B$161=$B98)*('3. Enter Indicator Scores'!$C$10:$C$161=$C98),0),
  _xlpm.c, MATCH(BB$8,'3. Enter Indicator Scores'!$D$8:$CZ$8,0),
  _xlpm.v, IFERROR(INDEX('3. Enter Indicator Scores'!$D$10:$CZ$161,_xlpm.r,_xlpm.c),""),
  IF(OR(_xlpm.w="",_xlpm.v=""),"",_xlpm.v*_xlpm.w)
)</f>
        <v/>
      </c>
      <c r="BC98" s="93" t="str" cm="1">
        <f t="array" ref="BC98">_xlfn.LET(
  _xlpm.w, BC$11,
  _xlpm.r, MATCH(1,('3. Enter Indicator Scores'!$B$10:$B$161=$B98)*('3. Enter Indicator Scores'!$C$10:$C$161=$C98),0),
  _xlpm.c, MATCH(BC$8,'3. Enter Indicator Scores'!$D$8:$CZ$8,0),
  _xlpm.v, IFERROR(INDEX('3. Enter Indicator Scores'!$D$10:$CZ$161,_xlpm.r,_xlpm.c),""),
  IF(OR(_xlpm.w="",_xlpm.v=""),"",_xlpm.v*_xlpm.w)
)</f>
        <v/>
      </c>
      <c r="BD98" s="93" t="str" cm="1">
        <f t="array" ref="BD98">_xlfn.LET(
  _xlpm.w, BD$11,
  _xlpm.r, MATCH(1,('3. Enter Indicator Scores'!$B$10:$B$161=$B98)*('3. Enter Indicator Scores'!$C$10:$C$161=$C98),0),
  _xlpm.c, MATCH(BD$8,'3. Enter Indicator Scores'!$D$8:$CZ$8,0),
  _xlpm.v, IFERROR(INDEX('3. Enter Indicator Scores'!$D$10:$CZ$161,_xlpm.r,_xlpm.c),""),
  IF(OR(_xlpm.w="",_xlpm.v=""),"",_xlpm.v*_xlpm.w)
)</f>
        <v/>
      </c>
      <c r="BE98" s="93" t="str" cm="1">
        <f t="array" ref="BE98">_xlfn.LET(
  _xlpm.w, BE$11,
  _xlpm.r, MATCH(1,('3. Enter Indicator Scores'!$B$10:$B$161=$B98)*('3. Enter Indicator Scores'!$C$10:$C$161=$C98),0),
  _xlpm.c, MATCH(BE$8,'3. Enter Indicator Scores'!$D$8:$CZ$8,0),
  _xlpm.v, IFERROR(INDEX('3. Enter Indicator Scores'!$D$10:$CZ$161,_xlpm.r,_xlpm.c),""),
  IF(OR(_xlpm.w="",_xlpm.v=""),"",_xlpm.v*_xlpm.w)
)</f>
        <v/>
      </c>
      <c r="BF98" s="93" t="str" cm="1">
        <f t="array" ref="BF98">_xlfn.LET(
  _xlpm.w, BF$11,
  _xlpm.r, MATCH(1,('3. Enter Indicator Scores'!$B$10:$B$161=$B98)*('3. Enter Indicator Scores'!$C$10:$C$161=$C98),0),
  _xlpm.c, MATCH(BF$8,'3. Enter Indicator Scores'!$D$8:$CZ$8,0),
  _xlpm.v, IFERROR(INDEX('3. Enter Indicator Scores'!$D$10:$CZ$161,_xlpm.r,_xlpm.c),""),
  IF(OR(_xlpm.w="",_xlpm.v=""),"",_xlpm.v*_xlpm.w)
)</f>
        <v/>
      </c>
      <c r="BG98" s="93" t="str" cm="1">
        <f t="array" ref="BG98">_xlfn.LET(
  _xlpm.w, BG$11,
  _xlpm.r, MATCH(1,('3. Enter Indicator Scores'!$B$10:$B$161=$B98)*('3. Enter Indicator Scores'!$C$10:$C$161=$C98),0),
  _xlpm.c, MATCH(BG$8,'3. Enter Indicator Scores'!$D$8:$CZ$8,0),
  _xlpm.v, IFERROR(INDEX('3. Enter Indicator Scores'!$D$10:$CZ$161,_xlpm.r,_xlpm.c),""),
  IF(OR(_xlpm.w="",_xlpm.v=""),"",_xlpm.v*_xlpm.w)
)</f>
        <v/>
      </c>
      <c r="BH98" s="93" t="str" cm="1">
        <f t="array" ref="BH98">_xlfn.LET(
  _xlpm.w, BH$11,
  _xlpm.r, MATCH(1,('3. Enter Indicator Scores'!$B$10:$B$161=$B98)*('3. Enter Indicator Scores'!$C$10:$C$161=$C98),0),
  _xlpm.c, MATCH(BH$8,'3. Enter Indicator Scores'!$D$8:$CZ$8,0),
  _xlpm.v, IFERROR(INDEX('3. Enter Indicator Scores'!$D$10:$CZ$161,_xlpm.r,_xlpm.c),""),
  IF(OR(_xlpm.w="",_xlpm.v=""),"",_xlpm.v*_xlpm.w)
)</f>
        <v/>
      </c>
      <c r="BI98" s="93" t="str" cm="1">
        <f t="array" ref="BI98">_xlfn.LET(
  _xlpm.w, BI$11,
  _xlpm.r, MATCH(1,('3. Enter Indicator Scores'!$B$10:$B$161=$B98)*('3. Enter Indicator Scores'!$C$10:$C$161=$C98),0),
  _xlpm.c, MATCH(BI$8,'3. Enter Indicator Scores'!$D$8:$CZ$8,0),
  _xlpm.v, IFERROR(INDEX('3. Enter Indicator Scores'!$D$10:$CZ$161,_xlpm.r,_xlpm.c),""),
  IF(OR(_xlpm.w="",_xlpm.v=""),"",_xlpm.v*_xlpm.w)
)</f>
        <v/>
      </c>
      <c r="BJ98" s="93" t="str" cm="1">
        <f t="array" ref="BJ98">_xlfn.LET(
  _xlpm.w, BJ$11,
  _xlpm.r, MATCH(1,('3. Enter Indicator Scores'!$B$10:$B$161=$B98)*('3. Enter Indicator Scores'!$C$10:$C$161=$C98),0),
  _xlpm.c, MATCH(BJ$8,'3. Enter Indicator Scores'!$D$8:$CZ$8,0),
  _xlpm.v, IFERROR(INDEX('3. Enter Indicator Scores'!$D$10:$CZ$161,_xlpm.r,_xlpm.c),""),
  IF(OR(_xlpm.w="",_xlpm.v=""),"",_xlpm.v*_xlpm.w)
)</f>
        <v/>
      </c>
      <c r="BK98" s="93" t="str" cm="1">
        <f t="array" ref="BK98">_xlfn.LET(
  _xlpm.w, BK$11,
  _xlpm.r, MATCH(1,('3. Enter Indicator Scores'!$B$10:$B$161=$B98)*('3. Enter Indicator Scores'!$C$10:$C$161=$C98),0),
  _xlpm.c, MATCH(BK$8,'3. Enter Indicator Scores'!$D$8:$CZ$8,0),
  _xlpm.v, IFERROR(INDEX('3. Enter Indicator Scores'!$D$10:$CZ$161,_xlpm.r,_xlpm.c),""),
  IF(OR(_xlpm.w="",_xlpm.v=""),"",_xlpm.v*_xlpm.w)
)</f>
        <v/>
      </c>
      <c r="BL98" s="93" t="str" cm="1">
        <f t="array" ref="BL98">_xlfn.LET(
  _xlpm.w, BL$11,
  _xlpm.r, MATCH(1,('3. Enter Indicator Scores'!$B$10:$B$161=$B98)*('3. Enter Indicator Scores'!$C$10:$C$161=$C98),0),
  _xlpm.c, MATCH(BL$8,'3. Enter Indicator Scores'!$D$8:$CZ$8,0),
  _xlpm.v, IFERROR(INDEX('3. Enter Indicator Scores'!$D$10:$CZ$161,_xlpm.r,_xlpm.c),""),
  IF(OR(_xlpm.w="",_xlpm.v=""),"",_xlpm.v*_xlpm.w)
)</f>
        <v/>
      </c>
      <c r="BM98" s="93" t="str" cm="1">
        <f t="array" ref="BM98">_xlfn.LET(
  _xlpm.w, BM$11,
  _xlpm.r, MATCH(1,('3. Enter Indicator Scores'!$B$10:$B$161=$B98)*('3. Enter Indicator Scores'!$C$10:$C$161=$C98),0),
  _xlpm.c, MATCH(BM$8,'3. Enter Indicator Scores'!$D$8:$CZ$8,0),
  _xlpm.v, IFERROR(INDEX('3. Enter Indicator Scores'!$D$10:$CZ$161,_xlpm.r,_xlpm.c),""),
  IF(OR(_xlpm.w="",_xlpm.v=""),"",_xlpm.v*_xlpm.w)
)</f>
        <v/>
      </c>
      <c r="BN98" s="93" t="str" cm="1">
        <f t="array" ref="BN98">_xlfn.LET(
  _xlpm.w, BN$11,
  _xlpm.r, MATCH(1,('3. Enter Indicator Scores'!$B$10:$B$161=$B98)*('3. Enter Indicator Scores'!$C$10:$C$161=$C98),0),
  _xlpm.c, MATCH(BN$8,'3. Enter Indicator Scores'!$D$8:$CZ$8,0),
  _xlpm.v, IFERROR(INDEX('3. Enter Indicator Scores'!$D$10:$CZ$161,_xlpm.r,_xlpm.c),""),
  IF(OR(_xlpm.w="",_xlpm.v=""),"",_xlpm.v*_xlpm.w)
)</f>
        <v/>
      </c>
      <c r="BO98" s="93" t="str" cm="1">
        <f t="array" ref="BO98">_xlfn.LET(
  _xlpm.w, BO$11,
  _xlpm.r, MATCH(1,('3. Enter Indicator Scores'!$B$10:$B$161=$B98)*('3. Enter Indicator Scores'!$C$10:$C$161=$C98),0),
  _xlpm.c, MATCH(BO$8,'3. Enter Indicator Scores'!$D$8:$CZ$8,0),
  _xlpm.v, IFERROR(INDEX('3. Enter Indicator Scores'!$D$10:$CZ$161,_xlpm.r,_xlpm.c),""),
  IF(OR(_xlpm.w="",_xlpm.v=""),"",_xlpm.v*_xlpm.w)
)</f>
        <v/>
      </c>
      <c r="BP98" s="93" t="str" cm="1">
        <f t="array" ref="BP98">_xlfn.LET(
  _xlpm.w, BP$11,
  _xlpm.r, MATCH(1,('3. Enter Indicator Scores'!$B$10:$B$161=$B98)*('3. Enter Indicator Scores'!$C$10:$C$161=$C98),0),
  _xlpm.c, MATCH(BP$8,'3. Enter Indicator Scores'!$D$8:$CZ$8,0),
  _xlpm.v, IFERROR(INDEX('3. Enter Indicator Scores'!$D$10:$CZ$161,_xlpm.r,_xlpm.c),""),
  IF(OR(_xlpm.w="",_xlpm.v=""),"",_xlpm.v*_xlpm.w)
)</f>
        <v/>
      </c>
      <c r="BQ98" s="93" t="str" cm="1">
        <f t="array" ref="BQ98">_xlfn.LET(
  _xlpm.w, BQ$11,
  _xlpm.r, MATCH(1,('3. Enter Indicator Scores'!$B$10:$B$161=$B98)*('3. Enter Indicator Scores'!$C$10:$C$161=$C98),0),
  _xlpm.c, MATCH(BQ$8,'3. Enter Indicator Scores'!$D$8:$CZ$8,0),
  _xlpm.v, IFERROR(INDEX('3. Enter Indicator Scores'!$D$10:$CZ$161,_xlpm.r,_xlpm.c),""),
  IF(OR(_xlpm.w="",_xlpm.v=""),"",_xlpm.v*_xlpm.w)
)</f>
        <v/>
      </c>
      <c r="BR98" s="93" t="str" cm="1">
        <f t="array" ref="BR98">_xlfn.LET(
  _xlpm.w, BR$11,
  _xlpm.r, MATCH(1,('3. Enter Indicator Scores'!$B$10:$B$161=$B98)*('3. Enter Indicator Scores'!$C$10:$C$161=$C98),0),
  _xlpm.c, MATCH(BR$8,'3. Enter Indicator Scores'!$D$8:$CZ$8,0),
  _xlpm.v, IFERROR(INDEX('3. Enter Indicator Scores'!$D$10:$CZ$161,_xlpm.r,_xlpm.c),""),
  IF(OR(_xlpm.w="",_xlpm.v=""),"",_xlpm.v*_xlpm.w)
)</f>
        <v/>
      </c>
      <c r="BS98" s="93" t="str" cm="1">
        <f t="array" ref="BS98">_xlfn.LET(
  _xlpm.w, BS$11,
  _xlpm.r, MATCH(1,('3. Enter Indicator Scores'!$B$10:$B$161=$B98)*('3. Enter Indicator Scores'!$C$10:$C$161=$C98),0),
  _xlpm.c, MATCH(BS$8,'3. Enter Indicator Scores'!$D$8:$CZ$8,0),
  _xlpm.v, IFERROR(INDEX('3. Enter Indicator Scores'!$D$10:$CZ$161,_xlpm.r,_xlpm.c),""),
  IF(OR(_xlpm.w="",_xlpm.v=""),"",_xlpm.v*_xlpm.w)
)</f>
        <v/>
      </c>
      <c r="BT98" s="93" t="str" cm="1">
        <f t="array" ref="BT98">_xlfn.LET(
  _xlpm.w, BT$11,
  _xlpm.r, MATCH(1,('3. Enter Indicator Scores'!$B$10:$B$161=$B98)*('3. Enter Indicator Scores'!$C$10:$C$161=$C98),0),
  _xlpm.c, MATCH(BT$8,'3. Enter Indicator Scores'!$D$8:$CZ$8,0),
  _xlpm.v, IFERROR(INDEX('3. Enter Indicator Scores'!$D$10:$CZ$161,_xlpm.r,_xlpm.c),""),
  IF(OR(_xlpm.w="",_xlpm.v=""),"",_xlpm.v*_xlpm.w)
)</f>
        <v/>
      </c>
      <c r="BU98" s="93" t="str" cm="1">
        <f t="array" ref="BU98">_xlfn.LET(
  _xlpm.w, BU$11,
  _xlpm.r, MATCH(1,('3. Enter Indicator Scores'!$B$10:$B$161=$B98)*('3. Enter Indicator Scores'!$C$10:$C$161=$C98),0),
  _xlpm.c, MATCH(BU$8,'3. Enter Indicator Scores'!$D$8:$CZ$8,0),
  _xlpm.v, IFERROR(INDEX('3. Enter Indicator Scores'!$D$10:$CZ$161,_xlpm.r,_xlpm.c),""),
  IF(OR(_xlpm.w="",_xlpm.v=""),"",_xlpm.v*_xlpm.w)
)</f>
        <v/>
      </c>
      <c r="BV98" s="93" t="str" cm="1">
        <f t="array" ref="BV98">_xlfn.LET(
  _xlpm.w, BV$11,
  _xlpm.r, MATCH(1,('3. Enter Indicator Scores'!$B$10:$B$161=$B98)*('3. Enter Indicator Scores'!$C$10:$C$161=$C98),0),
  _xlpm.c, MATCH(BV$8,'3. Enter Indicator Scores'!$D$8:$CZ$8,0),
  _xlpm.v, IFERROR(INDEX('3. Enter Indicator Scores'!$D$10:$CZ$161,_xlpm.r,_xlpm.c),""),
  IF(OR(_xlpm.w="",_xlpm.v=""),"",_xlpm.v*_xlpm.w)
)</f>
        <v/>
      </c>
      <c r="BW98" s="93" t="str" cm="1">
        <f t="array" ref="BW98">_xlfn.LET(
  _xlpm.w, BW$11,
  _xlpm.r, MATCH(1,('3. Enter Indicator Scores'!$B$10:$B$161=$B98)*('3. Enter Indicator Scores'!$C$10:$C$161=$C98),0),
  _xlpm.c, MATCH(BW$8,'3. Enter Indicator Scores'!$D$8:$CZ$8,0),
  _xlpm.v, IFERROR(INDEX('3. Enter Indicator Scores'!$D$10:$CZ$161,_xlpm.r,_xlpm.c),""),
  IF(OR(_xlpm.w="",_xlpm.v=""),"",_xlpm.v*_xlpm.w)
)</f>
        <v/>
      </c>
      <c r="BX98" s="93" t="str" cm="1">
        <f t="array" ref="BX98">_xlfn.LET(
  _xlpm.w, BX$11,
  _xlpm.r, MATCH(1,('3. Enter Indicator Scores'!$B$10:$B$161=$B98)*('3. Enter Indicator Scores'!$C$10:$C$161=$C98),0),
  _xlpm.c, MATCH(BX$8,'3. Enter Indicator Scores'!$D$8:$CZ$8,0),
  _xlpm.v, IFERROR(INDEX('3. Enter Indicator Scores'!$D$10:$CZ$161,_xlpm.r,_xlpm.c),""),
  IF(OR(_xlpm.w="",_xlpm.v=""),"",_xlpm.v*_xlpm.w)
)</f>
        <v/>
      </c>
      <c r="BY98" s="93" t="str" cm="1">
        <f t="array" ref="BY98">_xlfn.LET(
  _xlpm.w, BY$11,
  _xlpm.r, MATCH(1,('3. Enter Indicator Scores'!$B$10:$B$161=$B98)*('3. Enter Indicator Scores'!$C$10:$C$161=$C98),0),
  _xlpm.c, MATCH(BY$8,'3. Enter Indicator Scores'!$D$8:$CZ$8,0),
  _xlpm.v, IFERROR(INDEX('3. Enter Indicator Scores'!$D$10:$CZ$161,_xlpm.r,_xlpm.c),""),
  IF(OR(_xlpm.w="",_xlpm.v=""),"",_xlpm.v*_xlpm.w)
)</f>
        <v/>
      </c>
      <c r="BZ98" s="93" t="str" cm="1">
        <f t="array" ref="BZ98">_xlfn.LET(
  _xlpm.w, BZ$11,
  _xlpm.r, MATCH(1,('3. Enter Indicator Scores'!$B$10:$B$161=$B98)*('3. Enter Indicator Scores'!$C$10:$C$161=$C98),0),
  _xlpm.c, MATCH(BZ$8,'3. Enter Indicator Scores'!$D$8:$CZ$8,0),
  _xlpm.v, IFERROR(INDEX('3. Enter Indicator Scores'!$D$10:$CZ$161,_xlpm.r,_xlpm.c),""),
  IF(OR(_xlpm.w="",_xlpm.v=""),"",_xlpm.v*_xlpm.w)
)</f>
        <v/>
      </c>
      <c r="CA98" s="93" t="str" cm="1">
        <f t="array" ref="CA98">_xlfn.LET(
  _xlpm.w, CA$11,
  _xlpm.r, MATCH(1,('3. Enter Indicator Scores'!$B$10:$B$161=$B98)*('3. Enter Indicator Scores'!$C$10:$C$161=$C98),0),
  _xlpm.c, MATCH(CA$8,'3. Enter Indicator Scores'!$D$8:$CZ$8,0),
  _xlpm.v, IFERROR(INDEX('3. Enter Indicator Scores'!$D$10:$CZ$161,_xlpm.r,_xlpm.c),""),
  IF(OR(_xlpm.w="",_xlpm.v=""),"",_xlpm.v*_xlpm.w)
)</f>
        <v/>
      </c>
      <c r="CB98" s="93" t="str" cm="1">
        <f t="array" ref="CB98">_xlfn.LET(
  _xlpm.w, CB$11,
  _xlpm.r, MATCH(1,('3. Enter Indicator Scores'!$B$10:$B$161=$B98)*('3. Enter Indicator Scores'!$C$10:$C$161=$C98),0),
  _xlpm.c, MATCH(CB$8,'3. Enter Indicator Scores'!$D$8:$CZ$8,0),
  _xlpm.v, IFERROR(INDEX('3. Enter Indicator Scores'!$D$10:$CZ$161,_xlpm.r,_xlpm.c),""),
  IF(OR(_xlpm.w="",_xlpm.v=""),"",_xlpm.v*_xlpm.w)
)</f>
        <v/>
      </c>
      <c r="CC98" s="93" t="str" cm="1">
        <f t="array" ref="CC98">_xlfn.LET(
  _xlpm.w, CC$11,
  _xlpm.r, MATCH(1,('3. Enter Indicator Scores'!$B$10:$B$161=$B98)*('3. Enter Indicator Scores'!$C$10:$C$161=$C98),0),
  _xlpm.c, MATCH(CC$8,'3. Enter Indicator Scores'!$D$8:$CZ$8,0),
  _xlpm.v, IFERROR(INDEX('3. Enter Indicator Scores'!$D$10:$CZ$161,_xlpm.r,_xlpm.c),""),
  IF(OR(_xlpm.w="",_xlpm.v=""),"",_xlpm.v*_xlpm.w)
)</f>
        <v/>
      </c>
      <c r="CD98" s="93" t="str" cm="1">
        <f t="array" ref="CD98">_xlfn.LET(
  _xlpm.w, CD$11,
  _xlpm.r, MATCH(1,('3. Enter Indicator Scores'!$B$10:$B$161=$B98)*('3. Enter Indicator Scores'!$C$10:$C$161=$C98),0),
  _xlpm.c, MATCH(CD$8,'3. Enter Indicator Scores'!$D$8:$CZ$8,0),
  _xlpm.v, IFERROR(INDEX('3. Enter Indicator Scores'!$D$10:$CZ$161,_xlpm.r,_xlpm.c),""),
  IF(OR(_xlpm.w="",_xlpm.v=""),"",_xlpm.v*_xlpm.w)
)</f>
        <v/>
      </c>
      <c r="CE98" s="93" t="str" cm="1">
        <f t="array" ref="CE98">_xlfn.LET(
  _xlpm.w, CE$11,
  _xlpm.r, MATCH(1,('3. Enter Indicator Scores'!$B$10:$B$161=$B98)*('3. Enter Indicator Scores'!$C$10:$C$161=$C98),0),
  _xlpm.c, MATCH(CE$8,'3. Enter Indicator Scores'!$D$8:$CZ$8,0),
  _xlpm.v, IFERROR(INDEX('3. Enter Indicator Scores'!$D$10:$CZ$161,_xlpm.r,_xlpm.c),""),
  IF(OR(_xlpm.w="",_xlpm.v=""),"",_xlpm.v*_xlpm.w)
)</f>
        <v/>
      </c>
      <c r="CF98" s="93" t="str" cm="1">
        <f t="array" ref="CF98">_xlfn.LET(
  _xlpm.w, CF$11,
  _xlpm.r, MATCH(1,('3. Enter Indicator Scores'!$B$10:$B$161=$B98)*('3. Enter Indicator Scores'!$C$10:$C$161=$C98),0),
  _xlpm.c, MATCH(CF$8,'3. Enter Indicator Scores'!$D$8:$CZ$8,0),
  _xlpm.v, IFERROR(INDEX('3. Enter Indicator Scores'!$D$10:$CZ$161,_xlpm.r,_xlpm.c),""),
  IF(OR(_xlpm.w="",_xlpm.v=""),"",_xlpm.v*_xlpm.w)
)</f>
        <v/>
      </c>
      <c r="CG98" s="93" t="str" cm="1">
        <f t="array" ref="CG98">_xlfn.LET(
  _xlpm.w, CG$11,
  _xlpm.r, MATCH(1,('3. Enter Indicator Scores'!$B$10:$B$161=$B98)*('3. Enter Indicator Scores'!$C$10:$C$161=$C98),0),
  _xlpm.c, MATCH(CG$8,'3. Enter Indicator Scores'!$D$8:$CZ$8,0),
  _xlpm.v, IFERROR(INDEX('3. Enter Indicator Scores'!$D$10:$CZ$161,_xlpm.r,_xlpm.c),""),
  IF(OR(_xlpm.w="",_xlpm.v=""),"",_xlpm.v*_xlpm.w)
)</f>
        <v/>
      </c>
      <c r="CH98" s="93" t="str" cm="1">
        <f t="array" ref="CH98">_xlfn.LET(
  _xlpm.w, CH$11,
  _xlpm.r, MATCH(1,('3. Enter Indicator Scores'!$B$10:$B$161=$B98)*('3. Enter Indicator Scores'!$C$10:$C$161=$C98),0),
  _xlpm.c, MATCH(CH$8,'3. Enter Indicator Scores'!$D$8:$CZ$8,0),
  _xlpm.v, IFERROR(INDEX('3. Enter Indicator Scores'!$D$10:$CZ$161,_xlpm.r,_xlpm.c),""),
  IF(OR(_xlpm.w="",_xlpm.v=""),"",_xlpm.v*_xlpm.w)
)</f>
        <v/>
      </c>
      <c r="CI98" s="93" t="str" cm="1">
        <f t="array" ref="CI98">_xlfn.LET(
  _xlpm.w, CI$11,
  _xlpm.r, MATCH(1,('3. Enter Indicator Scores'!$B$10:$B$161=$B98)*('3. Enter Indicator Scores'!$C$10:$C$161=$C98),0),
  _xlpm.c, MATCH(CI$8,'3. Enter Indicator Scores'!$D$8:$CZ$8,0),
  _xlpm.v, IFERROR(INDEX('3. Enter Indicator Scores'!$D$10:$CZ$161,_xlpm.r,_xlpm.c),""),
  IF(OR(_xlpm.w="",_xlpm.v=""),"",_xlpm.v*_xlpm.w)
)</f>
        <v/>
      </c>
      <c r="CJ98" s="93" t="str" cm="1">
        <f t="array" ref="CJ98">_xlfn.LET(
  _xlpm.w, CJ$11,
  _xlpm.r, MATCH(1,('3. Enter Indicator Scores'!$B$10:$B$161=$B98)*('3. Enter Indicator Scores'!$C$10:$C$161=$C98),0),
  _xlpm.c, MATCH(CJ$8,'3. Enter Indicator Scores'!$D$8:$CZ$8,0),
  _xlpm.v, IFERROR(INDEX('3. Enter Indicator Scores'!$D$10:$CZ$161,_xlpm.r,_xlpm.c),""),
  IF(OR(_xlpm.w="",_xlpm.v=""),"",_xlpm.v*_xlpm.w)
)</f>
        <v/>
      </c>
      <c r="CK98" s="93" t="str" cm="1">
        <f t="array" ref="CK98">_xlfn.LET(
  _xlpm.w, CK$11,
  _xlpm.r, MATCH(1,('3. Enter Indicator Scores'!$B$10:$B$161=$B98)*('3. Enter Indicator Scores'!$C$10:$C$161=$C98),0),
  _xlpm.c, MATCH(CK$8,'3. Enter Indicator Scores'!$D$8:$CZ$8,0),
  _xlpm.v, IFERROR(INDEX('3. Enter Indicator Scores'!$D$10:$CZ$161,_xlpm.r,_xlpm.c),""),
  IF(OR(_xlpm.w="",_xlpm.v=""),"",_xlpm.v*_xlpm.w)
)</f>
        <v/>
      </c>
      <c r="CL98" s="93" t="str" cm="1">
        <f t="array" ref="CL98">_xlfn.LET(
  _xlpm.w, CL$11,
  _xlpm.r, MATCH(1,('3. Enter Indicator Scores'!$B$10:$B$161=$B98)*('3. Enter Indicator Scores'!$C$10:$C$161=$C98),0),
  _xlpm.c, MATCH(CL$8,'3. Enter Indicator Scores'!$D$8:$CZ$8,0),
  _xlpm.v, IFERROR(INDEX('3. Enter Indicator Scores'!$D$10:$CZ$161,_xlpm.r,_xlpm.c),""),
  IF(OR(_xlpm.w="",_xlpm.v=""),"",_xlpm.v*_xlpm.w)
)</f>
        <v/>
      </c>
      <c r="CM98" s="93" t="str" cm="1">
        <f t="array" ref="CM98">_xlfn.LET(
  _xlpm.w, CM$11,
  _xlpm.r, MATCH(1,('3. Enter Indicator Scores'!$B$10:$B$161=$B98)*('3. Enter Indicator Scores'!$C$10:$C$161=$C98),0),
  _xlpm.c, MATCH(CM$8,'3. Enter Indicator Scores'!$D$8:$CZ$8,0),
  _xlpm.v, IFERROR(INDEX('3. Enter Indicator Scores'!$D$10:$CZ$161,_xlpm.r,_xlpm.c),""),
  IF(OR(_xlpm.w="",_xlpm.v=""),"",_xlpm.v*_xlpm.w)
)</f>
        <v/>
      </c>
      <c r="CN98" s="93" t="str" cm="1">
        <f t="array" ref="CN98">_xlfn.LET(
  _xlpm.w, CN$11,
  _xlpm.r, MATCH(1,('3. Enter Indicator Scores'!$B$10:$B$161=$B98)*('3. Enter Indicator Scores'!$C$10:$C$161=$C98),0),
  _xlpm.c, MATCH(CN$8,'3. Enter Indicator Scores'!$D$8:$CZ$8,0),
  _xlpm.v, IFERROR(INDEX('3. Enter Indicator Scores'!$D$10:$CZ$161,_xlpm.r,_xlpm.c),""),
  IF(OR(_xlpm.w="",_xlpm.v=""),"",_xlpm.v*_xlpm.w)
)</f>
        <v/>
      </c>
      <c r="CO98" s="93" t="str" cm="1">
        <f t="array" ref="CO98">_xlfn.LET(
  _xlpm.w, CO$11,
  _xlpm.r, MATCH(1,('3. Enter Indicator Scores'!$B$10:$B$161=$B98)*('3. Enter Indicator Scores'!$C$10:$C$161=$C98),0),
  _xlpm.c, MATCH(CO$8,'3. Enter Indicator Scores'!$D$8:$CZ$8,0),
  _xlpm.v, IFERROR(INDEX('3. Enter Indicator Scores'!$D$10:$CZ$161,_xlpm.r,_xlpm.c),""),
  IF(OR(_xlpm.w="",_xlpm.v=""),"",_xlpm.v*_xlpm.w)
)</f>
        <v/>
      </c>
      <c r="CP98" s="93" t="str" cm="1">
        <f t="array" ref="CP98">_xlfn.LET(
  _xlpm.w, CP$11,
  _xlpm.r, MATCH(1,('3. Enter Indicator Scores'!$B$10:$B$161=$B98)*('3. Enter Indicator Scores'!$C$10:$C$161=$C98),0),
  _xlpm.c, MATCH(CP$8,'3. Enter Indicator Scores'!$D$8:$CZ$8,0),
  _xlpm.v, IFERROR(INDEX('3. Enter Indicator Scores'!$D$10:$CZ$161,_xlpm.r,_xlpm.c),""),
  IF(OR(_xlpm.w="",_xlpm.v=""),"",_xlpm.v*_xlpm.w)
)</f>
        <v/>
      </c>
      <c r="CQ98" s="93" t="str" cm="1">
        <f t="array" ref="CQ98">_xlfn.LET(
  _xlpm.w, CQ$11,
  _xlpm.r, MATCH(1,('3. Enter Indicator Scores'!$B$10:$B$161=$B98)*('3. Enter Indicator Scores'!$C$10:$C$161=$C98),0),
  _xlpm.c, MATCH(CQ$8,'3. Enter Indicator Scores'!$D$8:$CZ$8,0),
  _xlpm.v, IFERROR(INDEX('3. Enter Indicator Scores'!$D$10:$CZ$161,_xlpm.r,_xlpm.c),""),
  IF(OR(_xlpm.w="",_xlpm.v=""),"",_xlpm.v*_xlpm.w)
)</f>
        <v/>
      </c>
      <c r="CR98" s="93" t="str" cm="1">
        <f t="array" ref="CR98">_xlfn.LET(
  _xlpm.w, CR$11,
  _xlpm.r, MATCH(1,('3. Enter Indicator Scores'!$B$10:$B$161=$B98)*('3. Enter Indicator Scores'!$C$10:$C$161=$C98),0),
  _xlpm.c, MATCH(CR$8,'3. Enter Indicator Scores'!$D$8:$CZ$8,0),
  _xlpm.v, IFERROR(INDEX('3. Enter Indicator Scores'!$D$10:$CZ$161,_xlpm.r,_xlpm.c),""),
  IF(OR(_xlpm.w="",_xlpm.v=""),"",_xlpm.v*_xlpm.w)
)</f>
        <v/>
      </c>
      <c r="CS98" s="93" t="str" cm="1">
        <f t="array" ref="CS98">_xlfn.LET(
  _xlpm.w, CS$11,
  _xlpm.r, MATCH(1,('3. Enter Indicator Scores'!$B$10:$B$161=$B98)*('3. Enter Indicator Scores'!$C$10:$C$161=$C98),0),
  _xlpm.c, MATCH(CS$8,'3. Enter Indicator Scores'!$D$8:$CZ$8,0),
  _xlpm.v, IFERROR(INDEX('3. Enter Indicator Scores'!$D$10:$CZ$161,_xlpm.r,_xlpm.c),""),
  IF(OR(_xlpm.w="",_xlpm.v=""),"",_xlpm.v*_xlpm.w)
)</f>
        <v/>
      </c>
      <c r="CT98" s="93" t="str" cm="1">
        <f t="array" ref="CT98">_xlfn.LET(
  _xlpm.w, CT$11,
  _xlpm.r, MATCH(1,('3. Enter Indicator Scores'!$B$10:$B$161=$B98)*('3. Enter Indicator Scores'!$C$10:$C$161=$C98),0),
  _xlpm.c, MATCH(CT$8,'3. Enter Indicator Scores'!$D$8:$CZ$8,0),
  _xlpm.v, IFERROR(INDEX('3. Enter Indicator Scores'!$D$10:$CZ$161,_xlpm.r,_xlpm.c),""),
  IF(OR(_xlpm.w="",_xlpm.v=""),"",_xlpm.v*_xlpm.w)
)</f>
        <v/>
      </c>
      <c r="CU98" s="93" t="str" cm="1">
        <f t="array" ref="CU98">_xlfn.LET(
  _xlpm.w, CU$11,
  _xlpm.r, MATCH(1,('3. Enter Indicator Scores'!$B$10:$B$161=$B98)*('3. Enter Indicator Scores'!$C$10:$C$161=$C98),0),
  _xlpm.c, MATCH(CU$8,'3. Enter Indicator Scores'!$D$8:$CZ$8,0),
  _xlpm.v, IFERROR(INDEX('3. Enter Indicator Scores'!$D$10:$CZ$161,_xlpm.r,_xlpm.c),""),
  IF(OR(_xlpm.w="",_xlpm.v=""),"",_xlpm.v*_xlpm.w)
)</f>
        <v/>
      </c>
      <c r="CV98" s="93" t="str" cm="1">
        <f t="array" ref="CV98">_xlfn.LET(
  _xlpm.w, CV$11,
  _xlpm.r, MATCH(1,('3. Enter Indicator Scores'!$B$10:$B$161=$B98)*('3. Enter Indicator Scores'!$C$10:$C$161=$C98),0),
  _xlpm.c, MATCH(CV$8,'3. Enter Indicator Scores'!$D$8:$CZ$8,0),
  _xlpm.v, IFERROR(INDEX('3. Enter Indicator Scores'!$D$10:$CZ$161,_xlpm.r,_xlpm.c),""),
  IF(OR(_xlpm.w="",_xlpm.v=""),"",_xlpm.v*_xlpm.w)
)</f>
        <v/>
      </c>
      <c r="CW98" s="93" t="str" cm="1">
        <f t="array" ref="CW98">_xlfn.LET(
  _xlpm.w, CW$11,
  _xlpm.r, MATCH(1,('3. Enter Indicator Scores'!$B$10:$B$161=$B98)*('3. Enter Indicator Scores'!$C$10:$C$161=$C98),0),
  _xlpm.c, MATCH(CW$8,'3. Enter Indicator Scores'!$D$8:$CZ$8,0),
  _xlpm.v, IFERROR(INDEX('3. Enter Indicator Scores'!$D$10:$CZ$161,_xlpm.r,_xlpm.c),""),
  IF(OR(_xlpm.w="",_xlpm.v=""),"",_xlpm.v*_xlpm.w)
)</f>
        <v/>
      </c>
      <c r="CX98" s="93" t="str" cm="1">
        <f t="array" ref="CX98">_xlfn.LET(
  _xlpm.w, CX$11,
  _xlpm.r, MATCH(1,('3. Enter Indicator Scores'!$B$10:$B$161=$B98)*('3. Enter Indicator Scores'!$C$10:$C$161=$C98),0),
  _xlpm.c, MATCH(CX$8,'3. Enter Indicator Scores'!$D$8:$CZ$8,0),
  _xlpm.v, IFERROR(INDEX('3. Enter Indicator Scores'!$D$10:$CZ$161,_xlpm.r,_xlpm.c),""),
  IF(OR(_xlpm.w="",_xlpm.v=""),"",_xlpm.v*_xlpm.w)
)</f>
        <v/>
      </c>
      <c r="CY98" s="93" t="str" cm="1">
        <f t="array" ref="CY98">_xlfn.LET(
  _xlpm.w, CY$11,
  _xlpm.r, MATCH(1,('3. Enter Indicator Scores'!$B$10:$B$161=$B98)*('3. Enter Indicator Scores'!$C$10:$C$161=$C98),0),
  _xlpm.c, MATCH(CY$8,'3. Enter Indicator Scores'!$D$8:$CZ$8,0),
  _xlpm.v, IFERROR(INDEX('3. Enter Indicator Scores'!$D$10:$CZ$161,_xlpm.r,_xlpm.c),""),
  IF(OR(_xlpm.w="",_xlpm.v=""),"",_xlpm.v*_xlpm.w)
)</f>
        <v/>
      </c>
      <c r="CZ98" s="93" t="str" cm="1">
        <f t="array" ref="CZ98">_xlfn.LET(
  _xlpm.w, CZ$11,
  _xlpm.r, MATCH(1,('3. Enter Indicator Scores'!$B$10:$B$161=$B98)*('3. Enter Indicator Scores'!$C$10:$C$161=$C98),0),
  _xlpm.c, MATCH(CZ$8,'3. Enter Indicator Scores'!$D$8:$CZ$8,0),
  _xlpm.v, IFERROR(INDEX('3. Enter Indicator Scores'!$D$10:$CZ$161,_xlpm.r,_xlpm.c),""),
  IF(OR(_xlpm.w="",_xlpm.v=""),"",_xlpm.v*_xlpm.w)
)</f>
        <v/>
      </c>
    </row>
    <row r="99" spans="4:104" x14ac:dyDescent="0.2">
      <c r="D99" s="93" t="str" cm="1">
        <f t="array" ref="D99">_xlfn.LET(
  _xlpm.w, D$11,
  _xlpm.r, MATCH(1,('3. Enter Indicator Scores'!$B$10:$B$161=$B99)*('3. Enter Indicator Scores'!$C$10:$C$161=$C99),0),
  _xlpm.c, MATCH(D$8,'3. Enter Indicator Scores'!$D$8:$CZ$8,0),
  _xlpm.v, IFERROR(INDEX('3. Enter Indicator Scores'!$D$10:$CZ$161,_xlpm.r,_xlpm.c),""),
  IF(OR(_xlpm.w="",_xlpm.v=""),"",_xlpm.v*_xlpm.w)
)</f>
        <v/>
      </c>
      <c r="E99" s="93" t="str" cm="1">
        <f t="array" ref="E99">_xlfn.LET(
  _xlpm.w, E$11,
  _xlpm.r, MATCH(1,('3. Enter Indicator Scores'!$B$10:$B$161=$B99)*('3. Enter Indicator Scores'!$C$10:$C$161=$C99),0),
  _xlpm.c, MATCH(E$8,'3. Enter Indicator Scores'!$D$8:$CZ$8,0),
  _xlpm.v, IFERROR(INDEX('3. Enter Indicator Scores'!$D$10:$CZ$161,_xlpm.r,_xlpm.c),""),
  IF(OR(_xlpm.w="",_xlpm.v=""),"",_xlpm.v*_xlpm.w)
)</f>
        <v/>
      </c>
      <c r="F99" s="93" t="str" cm="1">
        <f t="array" ref="F99">_xlfn.LET(
  _xlpm.w, F$11,
  _xlpm.r, MATCH(1,('3. Enter Indicator Scores'!$B$10:$B$161=$B99)*('3. Enter Indicator Scores'!$C$10:$C$161=$C99),0),
  _xlpm.c, MATCH(F$8,'3. Enter Indicator Scores'!$D$8:$CZ$8,0),
  _xlpm.v, IFERROR(INDEX('3. Enter Indicator Scores'!$D$10:$CZ$161,_xlpm.r,_xlpm.c),""),
  IF(OR(_xlpm.w="",_xlpm.v=""),"",_xlpm.v*_xlpm.w)
)</f>
        <v/>
      </c>
      <c r="G99" s="93" t="str" cm="1">
        <f t="array" ref="G99">_xlfn.LET(
  _xlpm.w, G$11,
  _xlpm.r, MATCH(1,('3. Enter Indicator Scores'!$B$10:$B$161=$B99)*('3. Enter Indicator Scores'!$C$10:$C$161=$C99),0),
  _xlpm.c, MATCH(G$8,'3. Enter Indicator Scores'!$D$8:$CZ$8,0),
  _xlpm.v, IFERROR(INDEX('3. Enter Indicator Scores'!$D$10:$CZ$161,_xlpm.r,_xlpm.c),""),
  IF(OR(_xlpm.w="",_xlpm.v=""),"",_xlpm.v*_xlpm.w)
)</f>
        <v/>
      </c>
      <c r="H99" s="93" t="str" cm="1">
        <f t="array" ref="H99">_xlfn.LET(
  _xlpm.w, H$11,
  _xlpm.r, MATCH(1,('3. Enter Indicator Scores'!$B$10:$B$161=$B99)*('3. Enter Indicator Scores'!$C$10:$C$161=$C99),0),
  _xlpm.c, MATCH(H$8,'3. Enter Indicator Scores'!$D$8:$CZ$8,0),
  _xlpm.v, IFERROR(INDEX('3. Enter Indicator Scores'!$D$10:$CZ$161,_xlpm.r,_xlpm.c),""),
  IF(OR(_xlpm.w="",_xlpm.v=""),"",_xlpm.v*_xlpm.w)
)</f>
        <v/>
      </c>
      <c r="I99" s="93" t="str" cm="1">
        <f t="array" ref="I99">_xlfn.LET(
  _xlpm.w, I$11,
  _xlpm.r, MATCH(1,('3. Enter Indicator Scores'!$B$10:$B$161=$B99)*('3. Enter Indicator Scores'!$C$10:$C$161=$C99),0),
  _xlpm.c, MATCH(I$8,'3. Enter Indicator Scores'!$D$8:$CZ$8,0),
  _xlpm.v, IFERROR(INDEX('3. Enter Indicator Scores'!$D$10:$CZ$161,_xlpm.r,_xlpm.c),""),
  IF(OR(_xlpm.w="",_xlpm.v=""),"",_xlpm.v*_xlpm.w)
)</f>
        <v/>
      </c>
      <c r="J99" s="93" t="str" cm="1">
        <f t="array" ref="J99">_xlfn.LET(
  _xlpm.w, J$11,
  _xlpm.r, MATCH(1,('3. Enter Indicator Scores'!$B$10:$B$161=$B99)*('3. Enter Indicator Scores'!$C$10:$C$161=$C99),0),
  _xlpm.c, MATCH(J$8,'3. Enter Indicator Scores'!$D$8:$CZ$8,0),
  _xlpm.v, IFERROR(INDEX('3. Enter Indicator Scores'!$D$10:$CZ$161,_xlpm.r,_xlpm.c),""),
  IF(OR(_xlpm.w="",_xlpm.v=""),"",_xlpm.v*_xlpm.w)
)</f>
        <v/>
      </c>
      <c r="K99" s="93" t="str" cm="1">
        <f t="array" ref="K99">_xlfn.LET(
  _xlpm.w, K$11,
  _xlpm.r, MATCH(1,('3. Enter Indicator Scores'!$B$10:$B$161=$B99)*('3. Enter Indicator Scores'!$C$10:$C$161=$C99),0),
  _xlpm.c, MATCH(K$8,'3. Enter Indicator Scores'!$D$8:$CZ$8,0),
  _xlpm.v, IFERROR(INDEX('3. Enter Indicator Scores'!$D$10:$CZ$161,_xlpm.r,_xlpm.c),""),
  IF(OR(_xlpm.w="",_xlpm.v=""),"",_xlpm.v*_xlpm.w)
)</f>
        <v/>
      </c>
      <c r="L99" s="93" t="str" cm="1">
        <f t="array" ref="L99">_xlfn.LET(
  _xlpm.w, L$11,
  _xlpm.r, MATCH(1,('3. Enter Indicator Scores'!$B$10:$B$161=$B99)*('3. Enter Indicator Scores'!$C$10:$C$161=$C99),0),
  _xlpm.c, MATCH(L$8,'3. Enter Indicator Scores'!$D$8:$CZ$8,0),
  _xlpm.v, IFERROR(INDEX('3. Enter Indicator Scores'!$D$10:$CZ$161,_xlpm.r,_xlpm.c),""),
  IF(OR(_xlpm.w="",_xlpm.v=""),"",_xlpm.v*_xlpm.w)
)</f>
        <v/>
      </c>
      <c r="M99" s="93" t="str" cm="1">
        <f t="array" ref="M99">_xlfn.LET(
  _xlpm.w, M$11,
  _xlpm.r, MATCH(1,('3. Enter Indicator Scores'!$B$10:$B$161=$B99)*('3. Enter Indicator Scores'!$C$10:$C$161=$C99),0),
  _xlpm.c, MATCH(M$8,'3. Enter Indicator Scores'!$D$8:$CZ$8,0),
  _xlpm.v, IFERROR(INDEX('3. Enter Indicator Scores'!$D$10:$CZ$161,_xlpm.r,_xlpm.c),""),
  IF(OR(_xlpm.w="",_xlpm.v=""),"",_xlpm.v*_xlpm.w)
)</f>
        <v/>
      </c>
      <c r="N99" s="93" t="str" cm="1">
        <f t="array" ref="N99">_xlfn.LET(
  _xlpm.w, N$11,
  _xlpm.r, MATCH(1,('3. Enter Indicator Scores'!$B$10:$B$161=$B99)*('3. Enter Indicator Scores'!$C$10:$C$161=$C99),0),
  _xlpm.c, MATCH(N$8,'3. Enter Indicator Scores'!$D$8:$CZ$8,0),
  _xlpm.v, IFERROR(INDEX('3. Enter Indicator Scores'!$D$10:$CZ$161,_xlpm.r,_xlpm.c),""),
  IF(OR(_xlpm.w="",_xlpm.v=""),"",_xlpm.v*_xlpm.w)
)</f>
        <v/>
      </c>
      <c r="O99" s="93" t="str" cm="1">
        <f t="array" ref="O99">_xlfn.LET(
  _xlpm.w, O$11,
  _xlpm.r, MATCH(1,('3. Enter Indicator Scores'!$B$10:$B$161=$B99)*('3. Enter Indicator Scores'!$C$10:$C$161=$C99),0),
  _xlpm.c, MATCH(O$8,'3. Enter Indicator Scores'!$D$8:$CZ$8,0),
  _xlpm.v, IFERROR(INDEX('3. Enter Indicator Scores'!$D$10:$CZ$161,_xlpm.r,_xlpm.c),""),
  IF(OR(_xlpm.w="",_xlpm.v=""),"",_xlpm.v*_xlpm.w)
)</f>
        <v/>
      </c>
      <c r="P99" s="93" t="str" cm="1">
        <f t="array" ref="P99">_xlfn.LET(
  _xlpm.w, P$11,
  _xlpm.r, MATCH(1,('3. Enter Indicator Scores'!$B$10:$B$161=$B99)*('3. Enter Indicator Scores'!$C$10:$C$161=$C99),0),
  _xlpm.c, MATCH(P$8,'3. Enter Indicator Scores'!$D$8:$CZ$8,0),
  _xlpm.v, IFERROR(INDEX('3. Enter Indicator Scores'!$D$10:$CZ$161,_xlpm.r,_xlpm.c),""),
  IF(OR(_xlpm.w="",_xlpm.v=""),"",_xlpm.v*_xlpm.w)
)</f>
        <v/>
      </c>
      <c r="Q99" s="93" t="str" cm="1">
        <f t="array" ref="Q99">_xlfn.LET(
  _xlpm.w, Q$11,
  _xlpm.r, MATCH(1,('3. Enter Indicator Scores'!$B$10:$B$161=$B99)*('3. Enter Indicator Scores'!$C$10:$C$161=$C99),0),
  _xlpm.c, MATCH(Q$8,'3. Enter Indicator Scores'!$D$8:$CZ$8,0),
  _xlpm.v, IFERROR(INDEX('3. Enter Indicator Scores'!$D$10:$CZ$161,_xlpm.r,_xlpm.c),""),
  IF(OR(_xlpm.w="",_xlpm.v=""),"",_xlpm.v*_xlpm.w)
)</f>
        <v/>
      </c>
      <c r="R99" s="93" t="str" cm="1">
        <f t="array" ref="R99">_xlfn.LET(
  _xlpm.w, R$11,
  _xlpm.r, MATCH(1,('3. Enter Indicator Scores'!$B$10:$B$161=$B99)*('3. Enter Indicator Scores'!$C$10:$C$161=$C99),0),
  _xlpm.c, MATCH(R$8,'3. Enter Indicator Scores'!$D$8:$CZ$8,0),
  _xlpm.v, IFERROR(INDEX('3. Enter Indicator Scores'!$D$10:$CZ$161,_xlpm.r,_xlpm.c),""),
  IF(OR(_xlpm.w="",_xlpm.v=""),"",_xlpm.v*_xlpm.w)
)</f>
        <v/>
      </c>
      <c r="S99" s="93" t="str" cm="1">
        <f t="array" ref="S99">_xlfn.LET(
  _xlpm.w, S$11,
  _xlpm.r, MATCH(1,('3. Enter Indicator Scores'!$B$10:$B$161=$B99)*('3. Enter Indicator Scores'!$C$10:$C$161=$C99),0),
  _xlpm.c, MATCH(S$8,'3. Enter Indicator Scores'!$D$8:$CZ$8,0),
  _xlpm.v, IFERROR(INDEX('3. Enter Indicator Scores'!$D$10:$CZ$161,_xlpm.r,_xlpm.c),""),
  IF(OR(_xlpm.w="",_xlpm.v=""),"",_xlpm.v*_xlpm.w)
)</f>
        <v/>
      </c>
      <c r="T99" s="93" t="str" cm="1">
        <f t="array" ref="T99">_xlfn.LET(
  _xlpm.w, T$11,
  _xlpm.r, MATCH(1,('3. Enter Indicator Scores'!$B$10:$B$161=$B99)*('3. Enter Indicator Scores'!$C$10:$C$161=$C99),0),
  _xlpm.c, MATCH(T$8,'3. Enter Indicator Scores'!$D$8:$CZ$8,0),
  _xlpm.v, IFERROR(INDEX('3. Enter Indicator Scores'!$D$10:$CZ$161,_xlpm.r,_xlpm.c),""),
  IF(OR(_xlpm.w="",_xlpm.v=""),"",_xlpm.v*_xlpm.w)
)</f>
        <v/>
      </c>
      <c r="U99" s="93" t="str" cm="1">
        <f t="array" ref="U99">_xlfn.LET(
  _xlpm.w, U$11,
  _xlpm.r, MATCH(1,('3. Enter Indicator Scores'!$B$10:$B$161=$B99)*('3. Enter Indicator Scores'!$C$10:$C$161=$C99),0),
  _xlpm.c, MATCH(U$8,'3. Enter Indicator Scores'!$D$8:$CZ$8,0),
  _xlpm.v, IFERROR(INDEX('3. Enter Indicator Scores'!$D$10:$CZ$161,_xlpm.r,_xlpm.c),""),
  IF(OR(_xlpm.w="",_xlpm.v=""),"",_xlpm.v*_xlpm.w)
)</f>
        <v/>
      </c>
      <c r="V99" s="93" t="str" cm="1">
        <f t="array" ref="V99">_xlfn.LET(
  _xlpm.w, V$11,
  _xlpm.r, MATCH(1,('3. Enter Indicator Scores'!$B$10:$B$161=$B99)*('3. Enter Indicator Scores'!$C$10:$C$161=$C99),0),
  _xlpm.c, MATCH(V$8,'3. Enter Indicator Scores'!$D$8:$CZ$8,0),
  _xlpm.v, IFERROR(INDEX('3. Enter Indicator Scores'!$D$10:$CZ$161,_xlpm.r,_xlpm.c),""),
  IF(OR(_xlpm.w="",_xlpm.v=""),"",_xlpm.v*_xlpm.w)
)</f>
        <v/>
      </c>
      <c r="W99" s="93" t="str" cm="1">
        <f t="array" ref="W99">_xlfn.LET(
  _xlpm.w, W$11,
  _xlpm.r, MATCH(1,('3. Enter Indicator Scores'!$B$10:$B$161=$B99)*('3. Enter Indicator Scores'!$C$10:$C$161=$C99),0),
  _xlpm.c, MATCH(W$8,'3. Enter Indicator Scores'!$D$8:$CZ$8,0),
  _xlpm.v, IFERROR(INDEX('3. Enter Indicator Scores'!$D$10:$CZ$161,_xlpm.r,_xlpm.c),""),
  IF(OR(_xlpm.w="",_xlpm.v=""),"",_xlpm.v*_xlpm.w)
)</f>
        <v/>
      </c>
      <c r="X99" s="93" t="str" cm="1">
        <f t="array" ref="X99">_xlfn.LET(
  _xlpm.w, X$11,
  _xlpm.r, MATCH(1,('3. Enter Indicator Scores'!$B$10:$B$161=$B99)*('3. Enter Indicator Scores'!$C$10:$C$161=$C99),0),
  _xlpm.c, MATCH(X$8,'3. Enter Indicator Scores'!$D$8:$CZ$8,0),
  _xlpm.v, IFERROR(INDEX('3. Enter Indicator Scores'!$D$10:$CZ$161,_xlpm.r,_xlpm.c),""),
  IF(OR(_xlpm.w="",_xlpm.v=""),"",_xlpm.v*_xlpm.w)
)</f>
        <v/>
      </c>
      <c r="Y99" s="93" t="str" cm="1">
        <f t="array" ref="Y99">_xlfn.LET(
  _xlpm.w, Y$11,
  _xlpm.r, MATCH(1,('3. Enter Indicator Scores'!$B$10:$B$161=$B99)*('3. Enter Indicator Scores'!$C$10:$C$161=$C99),0),
  _xlpm.c, MATCH(Y$8,'3. Enter Indicator Scores'!$D$8:$CZ$8,0),
  _xlpm.v, IFERROR(INDEX('3. Enter Indicator Scores'!$D$10:$CZ$161,_xlpm.r,_xlpm.c),""),
  IF(OR(_xlpm.w="",_xlpm.v=""),"",_xlpm.v*_xlpm.w)
)</f>
        <v/>
      </c>
      <c r="Z99" s="93" t="str" cm="1">
        <f t="array" ref="Z99">_xlfn.LET(
  _xlpm.w, Z$11,
  _xlpm.r, MATCH(1,('3. Enter Indicator Scores'!$B$10:$B$161=$B99)*('3. Enter Indicator Scores'!$C$10:$C$161=$C99),0),
  _xlpm.c, MATCH(Z$8,'3. Enter Indicator Scores'!$D$8:$CZ$8,0),
  _xlpm.v, IFERROR(INDEX('3. Enter Indicator Scores'!$D$10:$CZ$161,_xlpm.r,_xlpm.c),""),
  IF(OR(_xlpm.w="",_xlpm.v=""),"",_xlpm.v*_xlpm.w)
)</f>
        <v/>
      </c>
      <c r="AA99" s="93" t="str" cm="1">
        <f t="array" ref="AA99">_xlfn.LET(
  _xlpm.w, AA$11,
  _xlpm.r, MATCH(1,('3. Enter Indicator Scores'!$B$10:$B$161=$B99)*('3. Enter Indicator Scores'!$C$10:$C$161=$C99),0),
  _xlpm.c, MATCH(AA$8,'3. Enter Indicator Scores'!$D$8:$CZ$8,0),
  _xlpm.v, IFERROR(INDEX('3. Enter Indicator Scores'!$D$10:$CZ$161,_xlpm.r,_xlpm.c),""),
  IF(OR(_xlpm.w="",_xlpm.v=""),"",_xlpm.v*_xlpm.w)
)</f>
        <v/>
      </c>
      <c r="AB99" s="93" t="str" cm="1">
        <f t="array" ref="AB99">_xlfn.LET(
  _xlpm.w, AB$11,
  _xlpm.r, MATCH(1,('3. Enter Indicator Scores'!$B$10:$B$161=$B99)*('3. Enter Indicator Scores'!$C$10:$C$161=$C99),0),
  _xlpm.c, MATCH(AB$8,'3. Enter Indicator Scores'!$D$8:$CZ$8,0),
  _xlpm.v, IFERROR(INDEX('3. Enter Indicator Scores'!$D$10:$CZ$161,_xlpm.r,_xlpm.c),""),
  IF(OR(_xlpm.w="",_xlpm.v=""),"",_xlpm.v*_xlpm.w)
)</f>
        <v/>
      </c>
      <c r="AC99" s="93" t="str" cm="1">
        <f t="array" ref="AC99">_xlfn.LET(
  _xlpm.w, AC$11,
  _xlpm.r, MATCH(1,('3. Enter Indicator Scores'!$B$10:$B$161=$B99)*('3. Enter Indicator Scores'!$C$10:$C$161=$C99),0),
  _xlpm.c, MATCH(AC$8,'3. Enter Indicator Scores'!$D$8:$CZ$8,0),
  _xlpm.v, IFERROR(INDEX('3. Enter Indicator Scores'!$D$10:$CZ$161,_xlpm.r,_xlpm.c),""),
  IF(OR(_xlpm.w="",_xlpm.v=""),"",_xlpm.v*_xlpm.w)
)</f>
        <v/>
      </c>
      <c r="AD99" s="93" t="str" cm="1">
        <f t="array" ref="AD99">_xlfn.LET(
  _xlpm.w, AD$11,
  _xlpm.r, MATCH(1,('3. Enter Indicator Scores'!$B$10:$B$161=$B99)*('3. Enter Indicator Scores'!$C$10:$C$161=$C99),0),
  _xlpm.c, MATCH(AD$8,'3. Enter Indicator Scores'!$D$8:$CZ$8,0),
  _xlpm.v, IFERROR(INDEX('3. Enter Indicator Scores'!$D$10:$CZ$161,_xlpm.r,_xlpm.c),""),
  IF(OR(_xlpm.w="",_xlpm.v=""),"",_xlpm.v*_xlpm.w)
)</f>
        <v/>
      </c>
      <c r="AE99" s="93" t="str" cm="1">
        <f t="array" ref="AE99">_xlfn.LET(
  _xlpm.w, AE$11,
  _xlpm.r, MATCH(1,('3. Enter Indicator Scores'!$B$10:$B$161=$B99)*('3. Enter Indicator Scores'!$C$10:$C$161=$C99),0),
  _xlpm.c, MATCH(AE$8,'3. Enter Indicator Scores'!$D$8:$CZ$8,0),
  _xlpm.v, IFERROR(INDEX('3. Enter Indicator Scores'!$D$10:$CZ$161,_xlpm.r,_xlpm.c),""),
  IF(OR(_xlpm.w="",_xlpm.v=""),"",_xlpm.v*_xlpm.w)
)</f>
        <v/>
      </c>
      <c r="AF99" s="93" t="str" cm="1">
        <f t="array" ref="AF99">_xlfn.LET(
  _xlpm.w, AF$11,
  _xlpm.r, MATCH(1,('3. Enter Indicator Scores'!$B$10:$B$161=$B99)*('3. Enter Indicator Scores'!$C$10:$C$161=$C99),0),
  _xlpm.c, MATCH(AF$8,'3. Enter Indicator Scores'!$D$8:$CZ$8,0),
  _xlpm.v, IFERROR(INDEX('3. Enter Indicator Scores'!$D$10:$CZ$161,_xlpm.r,_xlpm.c),""),
  IF(OR(_xlpm.w="",_xlpm.v=""),"",_xlpm.v*_xlpm.w)
)</f>
        <v/>
      </c>
      <c r="AG99" s="93" t="str" cm="1">
        <f t="array" ref="AG99">_xlfn.LET(
  _xlpm.w, AG$11,
  _xlpm.r, MATCH(1,('3. Enter Indicator Scores'!$B$10:$B$161=$B99)*('3. Enter Indicator Scores'!$C$10:$C$161=$C99),0),
  _xlpm.c, MATCH(AG$8,'3. Enter Indicator Scores'!$D$8:$CZ$8,0),
  _xlpm.v, IFERROR(INDEX('3. Enter Indicator Scores'!$D$10:$CZ$161,_xlpm.r,_xlpm.c),""),
  IF(OR(_xlpm.w="",_xlpm.v=""),"",_xlpm.v*_xlpm.w)
)</f>
        <v/>
      </c>
      <c r="AH99" s="93" t="str" cm="1">
        <f t="array" ref="AH99">_xlfn.LET(
  _xlpm.w, AH$11,
  _xlpm.r, MATCH(1,('3. Enter Indicator Scores'!$B$10:$B$161=$B99)*('3. Enter Indicator Scores'!$C$10:$C$161=$C99),0),
  _xlpm.c, MATCH(AH$8,'3. Enter Indicator Scores'!$D$8:$CZ$8,0),
  _xlpm.v, IFERROR(INDEX('3. Enter Indicator Scores'!$D$10:$CZ$161,_xlpm.r,_xlpm.c),""),
  IF(OR(_xlpm.w="",_xlpm.v=""),"",_xlpm.v*_xlpm.w)
)</f>
        <v/>
      </c>
      <c r="AI99" s="93" t="str" cm="1">
        <f t="array" ref="AI99">_xlfn.LET(
  _xlpm.w, AI$11,
  _xlpm.r, MATCH(1,('3. Enter Indicator Scores'!$B$10:$B$161=$B99)*('3. Enter Indicator Scores'!$C$10:$C$161=$C99),0),
  _xlpm.c, MATCH(AI$8,'3. Enter Indicator Scores'!$D$8:$CZ$8,0),
  _xlpm.v, IFERROR(INDEX('3. Enter Indicator Scores'!$D$10:$CZ$161,_xlpm.r,_xlpm.c),""),
  IF(OR(_xlpm.w="",_xlpm.v=""),"",_xlpm.v*_xlpm.w)
)</f>
        <v/>
      </c>
      <c r="AJ99" s="93" t="str" cm="1">
        <f t="array" ref="AJ99">_xlfn.LET(
  _xlpm.w, AJ$11,
  _xlpm.r, MATCH(1,('3. Enter Indicator Scores'!$B$10:$B$161=$B99)*('3. Enter Indicator Scores'!$C$10:$C$161=$C99),0),
  _xlpm.c, MATCH(AJ$8,'3. Enter Indicator Scores'!$D$8:$CZ$8,0),
  _xlpm.v, IFERROR(INDEX('3. Enter Indicator Scores'!$D$10:$CZ$161,_xlpm.r,_xlpm.c),""),
  IF(OR(_xlpm.w="",_xlpm.v=""),"",_xlpm.v*_xlpm.w)
)</f>
        <v/>
      </c>
      <c r="AK99" s="93" t="str" cm="1">
        <f t="array" ref="AK99">_xlfn.LET(
  _xlpm.w, AK$11,
  _xlpm.r, MATCH(1,('3. Enter Indicator Scores'!$B$10:$B$161=$B99)*('3. Enter Indicator Scores'!$C$10:$C$161=$C99),0),
  _xlpm.c, MATCH(AK$8,'3. Enter Indicator Scores'!$D$8:$CZ$8,0),
  _xlpm.v, IFERROR(INDEX('3. Enter Indicator Scores'!$D$10:$CZ$161,_xlpm.r,_xlpm.c),""),
  IF(OR(_xlpm.w="",_xlpm.v=""),"",_xlpm.v*_xlpm.w)
)</f>
        <v/>
      </c>
      <c r="AL99" s="93" t="str" cm="1">
        <f t="array" ref="AL99">_xlfn.LET(
  _xlpm.w, AL$11,
  _xlpm.r, MATCH(1,('3. Enter Indicator Scores'!$B$10:$B$161=$B99)*('3. Enter Indicator Scores'!$C$10:$C$161=$C99),0),
  _xlpm.c, MATCH(AL$8,'3. Enter Indicator Scores'!$D$8:$CZ$8,0),
  _xlpm.v, IFERROR(INDEX('3. Enter Indicator Scores'!$D$10:$CZ$161,_xlpm.r,_xlpm.c),""),
  IF(OR(_xlpm.w="",_xlpm.v=""),"",_xlpm.v*_xlpm.w)
)</f>
        <v/>
      </c>
      <c r="AM99" s="93" t="str" cm="1">
        <f t="array" ref="AM99">_xlfn.LET(
  _xlpm.w, AM$11,
  _xlpm.r, MATCH(1,('3. Enter Indicator Scores'!$B$10:$B$161=$B99)*('3. Enter Indicator Scores'!$C$10:$C$161=$C99),0),
  _xlpm.c, MATCH(AM$8,'3. Enter Indicator Scores'!$D$8:$CZ$8,0),
  _xlpm.v, IFERROR(INDEX('3. Enter Indicator Scores'!$D$10:$CZ$161,_xlpm.r,_xlpm.c),""),
  IF(OR(_xlpm.w="",_xlpm.v=""),"",_xlpm.v*_xlpm.w)
)</f>
        <v/>
      </c>
      <c r="AN99" s="93" t="str" cm="1">
        <f t="array" ref="AN99">_xlfn.LET(
  _xlpm.w, AN$11,
  _xlpm.r, MATCH(1,('3. Enter Indicator Scores'!$B$10:$B$161=$B99)*('3. Enter Indicator Scores'!$C$10:$C$161=$C99),0),
  _xlpm.c, MATCH(AN$8,'3. Enter Indicator Scores'!$D$8:$CZ$8,0),
  _xlpm.v, IFERROR(INDEX('3. Enter Indicator Scores'!$D$10:$CZ$161,_xlpm.r,_xlpm.c),""),
  IF(OR(_xlpm.w="",_xlpm.v=""),"",_xlpm.v*_xlpm.w)
)</f>
        <v/>
      </c>
      <c r="AO99" s="93" t="str" cm="1">
        <f t="array" ref="AO99">_xlfn.LET(
  _xlpm.w, AO$11,
  _xlpm.r, MATCH(1,('3. Enter Indicator Scores'!$B$10:$B$161=$B99)*('3. Enter Indicator Scores'!$C$10:$C$161=$C99),0),
  _xlpm.c, MATCH(AO$8,'3. Enter Indicator Scores'!$D$8:$CZ$8,0),
  _xlpm.v, IFERROR(INDEX('3. Enter Indicator Scores'!$D$10:$CZ$161,_xlpm.r,_xlpm.c),""),
  IF(OR(_xlpm.w="",_xlpm.v=""),"",_xlpm.v*_xlpm.w)
)</f>
        <v/>
      </c>
      <c r="AP99" s="93" t="str" cm="1">
        <f t="array" ref="AP99">_xlfn.LET(
  _xlpm.w, AP$11,
  _xlpm.r, MATCH(1,('3. Enter Indicator Scores'!$B$10:$B$161=$B99)*('3. Enter Indicator Scores'!$C$10:$C$161=$C99),0),
  _xlpm.c, MATCH(AP$8,'3. Enter Indicator Scores'!$D$8:$CZ$8,0),
  _xlpm.v, IFERROR(INDEX('3. Enter Indicator Scores'!$D$10:$CZ$161,_xlpm.r,_xlpm.c),""),
  IF(OR(_xlpm.w="",_xlpm.v=""),"",_xlpm.v*_xlpm.w)
)</f>
        <v/>
      </c>
      <c r="AQ99" s="93" t="str" cm="1">
        <f t="array" ref="AQ99">_xlfn.LET(
  _xlpm.w, AQ$11,
  _xlpm.r, MATCH(1,('3. Enter Indicator Scores'!$B$10:$B$161=$B99)*('3. Enter Indicator Scores'!$C$10:$C$161=$C99),0),
  _xlpm.c, MATCH(AQ$8,'3. Enter Indicator Scores'!$D$8:$CZ$8,0),
  _xlpm.v, IFERROR(INDEX('3. Enter Indicator Scores'!$D$10:$CZ$161,_xlpm.r,_xlpm.c),""),
  IF(OR(_xlpm.w="",_xlpm.v=""),"",_xlpm.v*_xlpm.w)
)</f>
        <v/>
      </c>
      <c r="AR99" s="93" t="str" cm="1">
        <f t="array" ref="AR99">_xlfn.LET(
  _xlpm.w, AR$11,
  _xlpm.r, MATCH(1,('3. Enter Indicator Scores'!$B$10:$B$161=$B99)*('3. Enter Indicator Scores'!$C$10:$C$161=$C99),0),
  _xlpm.c, MATCH(AR$8,'3. Enter Indicator Scores'!$D$8:$CZ$8,0),
  _xlpm.v, IFERROR(INDEX('3. Enter Indicator Scores'!$D$10:$CZ$161,_xlpm.r,_xlpm.c),""),
  IF(OR(_xlpm.w="",_xlpm.v=""),"",_xlpm.v*_xlpm.w)
)</f>
        <v/>
      </c>
      <c r="AS99" s="93" t="str" cm="1">
        <f t="array" ref="AS99">_xlfn.LET(
  _xlpm.w, AS$11,
  _xlpm.r, MATCH(1,('3. Enter Indicator Scores'!$B$10:$B$161=$B99)*('3. Enter Indicator Scores'!$C$10:$C$161=$C99),0),
  _xlpm.c, MATCH(AS$8,'3. Enter Indicator Scores'!$D$8:$CZ$8,0),
  _xlpm.v, IFERROR(INDEX('3. Enter Indicator Scores'!$D$10:$CZ$161,_xlpm.r,_xlpm.c),""),
  IF(OR(_xlpm.w="",_xlpm.v=""),"",_xlpm.v*_xlpm.w)
)</f>
        <v/>
      </c>
      <c r="AT99" s="93" t="str" cm="1">
        <f t="array" ref="AT99">_xlfn.LET(
  _xlpm.w, AT$11,
  _xlpm.r, MATCH(1,('3. Enter Indicator Scores'!$B$10:$B$161=$B99)*('3. Enter Indicator Scores'!$C$10:$C$161=$C99),0),
  _xlpm.c, MATCH(AT$8,'3. Enter Indicator Scores'!$D$8:$CZ$8,0),
  _xlpm.v, IFERROR(INDEX('3. Enter Indicator Scores'!$D$10:$CZ$161,_xlpm.r,_xlpm.c),""),
  IF(OR(_xlpm.w="",_xlpm.v=""),"",_xlpm.v*_xlpm.w)
)</f>
        <v/>
      </c>
      <c r="AU99" s="93" t="str" cm="1">
        <f t="array" ref="AU99">_xlfn.LET(
  _xlpm.w, AU$11,
  _xlpm.r, MATCH(1,('3. Enter Indicator Scores'!$B$10:$B$161=$B99)*('3. Enter Indicator Scores'!$C$10:$C$161=$C99),0),
  _xlpm.c, MATCH(AU$8,'3. Enter Indicator Scores'!$D$8:$CZ$8,0),
  _xlpm.v, IFERROR(INDEX('3. Enter Indicator Scores'!$D$10:$CZ$161,_xlpm.r,_xlpm.c),""),
  IF(OR(_xlpm.w="",_xlpm.v=""),"",_xlpm.v*_xlpm.w)
)</f>
        <v/>
      </c>
      <c r="AV99" s="93" t="str" cm="1">
        <f t="array" ref="AV99">_xlfn.LET(
  _xlpm.w, AV$11,
  _xlpm.r, MATCH(1,('3. Enter Indicator Scores'!$B$10:$B$161=$B99)*('3. Enter Indicator Scores'!$C$10:$C$161=$C99),0),
  _xlpm.c, MATCH(AV$8,'3. Enter Indicator Scores'!$D$8:$CZ$8,0),
  _xlpm.v, IFERROR(INDEX('3. Enter Indicator Scores'!$D$10:$CZ$161,_xlpm.r,_xlpm.c),""),
  IF(OR(_xlpm.w="",_xlpm.v=""),"",_xlpm.v*_xlpm.w)
)</f>
        <v/>
      </c>
      <c r="AW99" s="93" t="str" cm="1">
        <f t="array" ref="AW99">_xlfn.LET(
  _xlpm.w, AW$11,
  _xlpm.r, MATCH(1,('3. Enter Indicator Scores'!$B$10:$B$161=$B99)*('3. Enter Indicator Scores'!$C$10:$C$161=$C99),0),
  _xlpm.c, MATCH(AW$8,'3. Enter Indicator Scores'!$D$8:$CZ$8,0),
  _xlpm.v, IFERROR(INDEX('3. Enter Indicator Scores'!$D$10:$CZ$161,_xlpm.r,_xlpm.c),""),
  IF(OR(_xlpm.w="",_xlpm.v=""),"",_xlpm.v*_xlpm.w)
)</f>
        <v/>
      </c>
      <c r="AX99" s="93" t="str" cm="1">
        <f t="array" ref="AX99">_xlfn.LET(
  _xlpm.w, AX$11,
  _xlpm.r, MATCH(1,('3. Enter Indicator Scores'!$B$10:$B$161=$B99)*('3. Enter Indicator Scores'!$C$10:$C$161=$C99),0),
  _xlpm.c, MATCH(AX$8,'3. Enter Indicator Scores'!$D$8:$CZ$8,0),
  _xlpm.v, IFERROR(INDEX('3. Enter Indicator Scores'!$D$10:$CZ$161,_xlpm.r,_xlpm.c),""),
  IF(OR(_xlpm.w="",_xlpm.v=""),"",_xlpm.v*_xlpm.w)
)</f>
        <v/>
      </c>
      <c r="AY99" s="93" t="str" cm="1">
        <f t="array" ref="AY99">_xlfn.LET(
  _xlpm.w, AY$11,
  _xlpm.r, MATCH(1,('3. Enter Indicator Scores'!$B$10:$B$161=$B99)*('3. Enter Indicator Scores'!$C$10:$C$161=$C99),0),
  _xlpm.c, MATCH(AY$8,'3. Enter Indicator Scores'!$D$8:$CZ$8,0),
  _xlpm.v, IFERROR(INDEX('3. Enter Indicator Scores'!$D$10:$CZ$161,_xlpm.r,_xlpm.c),""),
  IF(OR(_xlpm.w="",_xlpm.v=""),"",_xlpm.v*_xlpm.w)
)</f>
        <v/>
      </c>
      <c r="AZ99" s="93" t="str" cm="1">
        <f t="array" ref="AZ99">_xlfn.LET(
  _xlpm.w, AZ$11,
  _xlpm.r, MATCH(1,('3. Enter Indicator Scores'!$B$10:$B$161=$B99)*('3. Enter Indicator Scores'!$C$10:$C$161=$C99),0),
  _xlpm.c, MATCH(AZ$8,'3. Enter Indicator Scores'!$D$8:$CZ$8,0),
  _xlpm.v, IFERROR(INDEX('3. Enter Indicator Scores'!$D$10:$CZ$161,_xlpm.r,_xlpm.c),""),
  IF(OR(_xlpm.w="",_xlpm.v=""),"",_xlpm.v*_xlpm.w)
)</f>
        <v/>
      </c>
      <c r="BA99" s="93" t="str" cm="1">
        <f t="array" ref="BA99">_xlfn.LET(
  _xlpm.w, BA$11,
  _xlpm.r, MATCH(1,('3. Enter Indicator Scores'!$B$10:$B$161=$B99)*('3. Enter Indicator Scores'!$C$10:$C$161=$C99),0),
  _xlpm.c, MATCH(BA$8,'3. Enter Indicator Scores'!$D$8:$CZ$8,0),
  _xlpm.v, IFERROR(INDEX('3. Enter Indicator Scores'!$D$10:$CZ$161,_xlpm.r,_xlpm.c),""),
  IF(OR(_xlpm.w="",_xlpm.v=""),"",_xlpm.v*_xlpm.w)
)</f>
        <v/>
      </c>
      <c r="BB99" s="93" t="str" cm="1">
        <f t="array" ref="BB99">_xlfn.LET(
  _xlpm.w, BB$11,
  _xlpm.r, MATCH(1,('3. Enter Indicator Scores'!$B$10:$B$161=$B99)*('3. Enter Indicator Scores'!$C$10:$C$161=$C99),0),
  _xlpm.c, MATCH(BB$8,'3. Enter Indicator Scores'!$D$8:$CZ$8,0),
  _xlpm.v, IFERROR(INDEX('3. Enter Indicator Scores'!$D$10:$CZ$161,_xlpm.r,_xlpm.c),""),
  IF(OR(_xlpm.w="",_xlpm.v=""),"",_xlpm.v*_xlpm.w)
)</f>
        <v/>
      </c>
      <c r="BC99" s="93" t="str" cm="1">
        <f t="array" ref="BC99">_xlfn.LET(
  _xlpm.w, BC$11,
  _xlpm.r, MATCH(1,('3. Enter Indicator Scores'!$B$10:$B$161=$B99)*('3. Enter Indicator Scores'!$C$10:$C$161=$C99),0),
  _xlpm.c, MATCH(BC$8,'3. Enter Indicator Scores'!$D$8:$CZ$8,0),
  _xlpm.v, IFERROR(INDEX('3. Enter Indicator Scores'!$D$10:$CZ$161,_xlpm.r,_xlpm.c),""),
  IF(OR(_xlpm.w="",_xlpm.v=""),"",_xlpm.v*_xlpm.w)
)</f>
        <v/>
      </c>
      <c r="BD99" s="93" t="str" cm="1">
        <f t="array" ref="BD99">_xlfn.LET(
  _xlpm.w, BD$11,
  _xlpm.r, MATCH(1,('3. Enter Indicator Scores'!$B$10:$B$161=$B99)*('3. Enter Indicator Scores'!$C$10:$C$161=$C99),0),
  _xlpm.c, MATCH(BD$8,'3. Enter Indicator Scores'!$D$8:$CZ$8,0),
  _xlpm.v, IFERROR(INDEX('3. Enter Indicator Scores'!$D$10:$CZ$161,_xlpm.r,_xlpm.c),""),
  IF(OR(_xlpm.w="",_xlpm.v=""),"",_xlpm.v*_xlpm.w)
)</f>
        <v/>
      </c>
      <c r="BE99" s="93" t="str" cm="1">
        <f t="array" ref="BE99">_xlfn.LET(
  _xlpm.w, BE$11,
  _xlpm.r, MATCH(1,('3. Enter Indicator Scores'!$B$10:$B$161=$B99)*('3. Enter Indicator Scores'!$C$10:$C$161=$C99),0),
  _xlpm.c, MATCH(BE$8,'3. Enter Indicator Scores'!$D$8:$CZ$8,0),
  _xlpm.v, IFERROR(INDEX('3. Enter Indicator Scores'!$D$10:$CZ$161,_xlpm.r,_xlpm.c),""),
  IF(OR(_xlpm.w="",_xlpm.v=""),"",_xlpm.v*_xlpm.w)
)</f>
        <v/>
      </c>
      <c r="BF99" s="93" t="str" cm="1">
        <f t="array" ref="BF99">_xlfn.LET(
  _xlpm.w, BF$11,
  _xlpm.r, MATCH(1,('3. Enter Indicator Scores'!$B$10:$B$161=$B99)*('3. Enter Indicator Scores'!$C$10:$C$161=$C99),0),
  _xlpm.c, MATCH(BF$8,'3. Enter Indicator Scores'!$D$8:$CZ$8,0),
  _xlpm.v, IFERROR(INDEX('3. Enter Indicator Scores'!$D$10:$CZ$161,_xlpm.r,_xlpm.c),""),
  IF(OR(_xlpm.w="",_xlpm.v=""),"",_xlpm.v*_xlpm.w)
)</f>
        <v/>
      </c>
      <c r="BG99" s="93" t="str" cm="1">
        <f t="array" ref="BG99">_xlfn.LET(
  _xlpm.w, BG$11,
  _xlpm.r, MATCH(1,('3. Enter Indicator Scores'!$B$10:$B$161=$B99)*('3. Enter Indicator Scores'!$C$10:$C$161=$C99),0),
  _xlpm.c, MATCH(BG$8,'3. Enter Indicator Scores'!$D$8:$CZ$8,0),
  _xlpm.v, IFERROR(INDEX('3. Enter Indicator Scores'!$D$10:$CZ$161,_xlpm.r,_xlpm.c),""),
  IF(OR(_xlpm.w="",_xlpm.v=""),"",_xlpm.v*_xlpm.w)
)</f>
        <v/>
      </c>
      <c r="BH99" s="93" t="str" cm="1">
        <f t="array" ref="BH99">_xlfn.LET(
  _xlpm.w, BH$11,
  _xlpm.r, MATCH(1,('3. Enter Indicator Scores'!$B$10:$B$161=$B99)*('3. Enter Indicator Scores'!$C$10:$C$161=$C99),0),
  _xlpm.c, MATCH(BH$8,'3. Enter Indicator Scores'!$D$8:$CZ$8,0),
  _xlpm.v, IFERROR(INDEX('3. Enter Indicator Scores'!$D$10:$CZ$161,_xlpm.r,_xlpm.c),""),
  IF(OR(_xlpm.w="",_xlpm.v=""),"",_xlpm.v*_xlpm.w)
)</f>
        <v/>
      </c>
      <c r="BI99" s="93" t="str" cm="1">
        <f t="array" ref="BI99">_xlfn.LET(
  _xlpm.w, BI$11,
  _xlpm.r, MATCH(1,('3. Enter Indicator Scores'!$B$10:$B$161=$B99)*('3. Enter Indicator Scores'!$C$10:$C$161=$C99),0),
  _xlpm.c, MATCH(BI$8,'3. Enter Indicator Scores'!$D$8:$CZ$8,0),
  _xlpm.v, IFERROR(INDEX('3. Enter Indicator Scores'!$D$10:$CZ$161,_xlpm.r,_xlpm.c),""),
  IF(OR(_xlpm.w="",_xlpm.v=""),"",_xlpm.v*_xlpm.w)
)</f>
        <v/>
      </c>
      <c r="BJ99" s="93" t="str" cm="1">
        <f t="array" ref="BJ99">_xlfn.LET(
  _xlpm.w, BJ$11,
  _xlpm.r, MATCH(1,('3. Enter Indicator Scores'!$B$10:$B$161=$B99)*('3. Enter Indicator Scores'!$C$10:$C$161=$C99),0),
  _xlpm.c, MATCH(BJ$8,'3. Enter Indicator Scores'!$D$8:$CZ$8,0),
  _xlpm.v, IFERROR(INDEX('3. Enter Indicator Scores'!$D$10:$CZ$161,_xlpm.r,_xlpm.c),""),
  IF(OR(_xlpm.w="",_xlpm.v=""),"",_xlpm.v*_xlpm.w)
)</f>
        <v/>
      </c>
      <c r="BK99" s="93" t="str" cm="1">
        <f t="array" ref="BK99">_xlfn.LET(
  _xlpm.w, BK$11,
  _xlpm.r, MATCH(1,('3. Enter Indicator Scores'!$B$10:$B$161=$B99)*('3. Enter Indicator Scores'!$C$10:$C$161=$C99),0),
  _xlpm.c, MATCH(BK$8,'3. Enter Indicator Scores'!$D$8:$CZ$8,0),
  _xlpm.v, IFERROR(INDEX('3. Enter Indicator Scores'!$D$10:$CZ$161,_xlpm.r,_xlpm.c),""),
  IF(OR(_xlpm.w="",_xlpm.v=""),"",_xlpm.v*_xlpm.w)
)</f>
        <v/>
      </c>
      <c r="BL99" s="93" t="str" cm="1">
        <f t="array" ref="BL99">_xlfn.LET(
  _xlpm.w, BL$11,
  _xlpm.r, MATCH(1,('3. Enter Indicator Scores'!$B$10:$B$161=$B99)*('3. Enter Indicator Scores'!$C$10:$C$161=$C99),0),
  _xlpm.c, MATCH(BL$8,'3. Enter Indicator Scores'!$D$8:$CZ$8,0),
  _xlpm.v, IFERROR(INDEX('3. Enter Indicator Scores'!$D$10:$CZ$161,_xlpm.r,_xlpm.c),""),
  IF(OR(_xlpm.w="",_xlpm.v=""),"",_xlpm.v*_xlpm.w)
)</f>
        <v/>
      </c>
      <c r="BM99" s="93" t="str" cm="1">
        <f t="array" ref="BM99">_xlfn.LET(
  _xlpm.w, BM$11,
  _xlpm.r, MATCH(1,('3. Enter Indicator Scores'!$B$10:$B$161=$B99)*('3. Enter Indicator Scores'!$C$10:$C$161=$C99),0),
  _xlpm.c, MATCH(BM$8,'3. Enter Indicator Scores'!$D$8:$CZ$8,0),
  _xlpm.v, IFERROR(INDEX('3. Enter Indicator Scores'!$D$10:$CZ$161,_xlpm.r,_xlpm.c),""),
  IF(OR(_xlpm.w="",_xlpm.v=""),"",_xlpm.v*_xlpm.w)
)</f>
        <v/>
      </c>
      <c r="BN99" s="93" t="str" cm="1">
        <f t="array" ref="BN99">_xlfn.LET(
  _xlpm.w, BN$11,
  _xlpm.r, MATCH(1,('3. Enter Indicator Scores'!$B$10:$B$161=$B99)*('3. Enter Indicator Scores'!$C$10:$C$161=$C99),0),
  _xlpm.c, MATCH(BN$8,'3. Enter Indicator Scores'!$D$8:$CZ$8,0),
  _xlpm.v, IFERROR(INDEX('3. Enter Indicator Scores'!$D$10:$CZ$161,_xlpm.r,_xlpm.c),""),
  IF(OR(_xlpm.w="",_xlpm.v=""),"",_xlpm.v*_xlpm.w)
)</f>
        <v/>
      </c>
      <c r="BO99" s="93" t="str" cm="1">
        <f t="array" ref="BO99">_xlfn.LET(
  _xlpm.w, BO$11,
  _xlpm.r, MATCH(1,('3. Enter Indicator Scores'!$B$10:$B$161=$B99)*('3. Enter Indicator Scores'!$C$10:$C$161=$C99),0),
  _xlpm.c, MATCH(BO$8,'3. Enter Indicator Scores'!$D$8:$CZ$8,0),
  _xlpm.v, IFERROR(INDEX('3. Enter Indicator Scores'!$D$10:$CZ$161,_xlpm.r,_xlpm.c),""),
  IF(OR(_xlpm.w="",_xlpm.v=""),"",_xlpm.v*_xlpm.w)
)</f>
        <v/>
      </c>
      <c r="BP99" s="93" t="str" cm="1">
        <f t="array" ref="BP99">_xlfn.LET(
  _xlpm.w, BP$11,
  _xlpm.r, MATCH(1,('3. Enter Indicator Scores'!$B$10:$B$161=$B99)*('3. Enter Indicator Scores'!$C$10:$C$161=$C99),0),
  _xlpm.c, MATCH(BP$8,'3. Enter Indicator Scores'!$D$8:$CZ$8,0),
  _xlpm.v, IFERROR(INDEX('3. Enter Indicator Scores'!$D$10:$CZ$161,_xlpm.r,_xlpm.c),""),
  IF(OR(_xlpm.w="",_xlpm.v=""),"",_xlpm.v*_xlpm.w)
)</f>
        <v/>
      </c>
      <c r="BQ99" s="93" t="str" cm="1">
        <f t="array" ref="BQ99">_xlfn.LET(
  _xlpm.w, BQ$11,
  _xlpm.r, MATCH(1,('3. Enter Indicator Scores'!$B$10:$B$161=$B99)*('3. Enter Indicator Scores'!$C$10:$C$161=$C99),0),
  _xlpm.c, MATCH(BQ$8,'3. Enter Indicator Scores'!$D$8:$CZ$8,0),
  _xlpm.v, IFERROR(INDEX('3. Enter Indicator Scores'!$D$10:$CZ$161,_xlpm.r,_xlpm.c),""),
  IF(OR(_xlpm.w="",_xlpm.v=""),"",_xlpm.v*_xlpm.w)
)</f>
        <v/>
      </c>
      <c r="BR99" s="93" t="str" cm="1">
        <f t="array" ref="BR99">_xlfn.LET(
  _xlpm.w, BR$11,
  _xlpm.r, MATCH(1,('3. Enter Indicator Scores'!$B$10:$B$161=$B99)*('3. Enter Indicator Scores'!$C$10:$C$161=$C99),0),
  _xlpm.c, MATCH(BR$8,'3. Enter Indicator Scores'!$D$8:$CZ$8,0),
  _xlpm.v, IFERROR(INDEX('3. Enter Indicator Scores'!$D$10:$CZ$161,_xlpm.r,_xlpm.c),""),
  IF(OR(_xlpm.w="",_xlpm.v=""),"",_xlpm.v*_xlpm.w)
)</f>
        <v/>
      </c>
      <c r="BS99" s="93" t="str" cm="1">
        <f t="array" ref="BS99">_xlfn.LET(
  _xlpm.w, BS$11,
  _xlpm.r, MATCH(1,('3. Enter Indicator Scores'!$B$10:$B$161=$B99)*('3. Enter Indicator Scores'!$C$10:$C$161=$C99),0),
  _xlpm.c, MATCH(BS$8,'3. Enter Indicator Scores'!$D$8:$CZ$8,0),
  _xlpm.v, IFERROR(INDEX('3. Enter Indicator Scores'!$D$10:$CZ$161,_xlpm.r,_xlpm.c),""),
  IF(OR(_xlpm.w="",_xlpm.v=""),"",_xlpm.v*_xlpm.w)
)</f>
        <v/>
      </c>
      <c r="BT99" s="93" t="str" cm="1">
        <f t="array" ref="BT99">_xlfn.LET(
  _xlpm.w, BT$11,
  _xlpm.r, MATCH(1,('3. Enter Indicator Scores'!$B$10:$B$161=$B99)*('3. Enter Indicator Scores'!$C$10:$C$161=$C99),0),
  _xlpm.c, MATCH(BT$8,'3. Enter Indicator Scores'!$D$8:$CZ$8,0),
  _xlpm.v, IFERROR(INDEX('3. Enter Indicator Scores'!$D$10:$CZ$161,_xlpm.r,_xlpm.c),""),
  IF(OR(_xlpm.w="",_xlpm.v=""),"",_xlpm.v*_xlpm.w)
)</f>
        <v/>
      </c>
      <c r="BU99" s="93" t="str" cm="1">
        <f t="array" ref="BU99">_xlfn.LET(
  _xlpm.w, BU$11,
  _xlpm.r, MATCH(1,('3. Enter Indicator Scores'!$B$10:$B$161=$B99)*('3. Enter Indicator Scores'!$C$10:$C$161=$C99),0),
  _xlpm.c, MATCH(BU$8,'3. Enter Indicator Scores'!$D$8:$CZ$8,0),
  _xlpm.v, IFERROR(INDEX('3. Enter Indicator Scores'!$D$10:$CZ$161,_xlpm.r,_xlpm.c),""),
  IF(OR(_xlpm.w="",_xlpm.v=""),"",_xlpm.v*_xlpm.w)
)</f>
        <v/>
      </c>
      <c r="BV99" s="93" t="str" cm="1">
        <f t="array" ref="BV99">_xlfn.LET(
  _xlpm.w, BV$11,
  _xlpm.r, MATCH(1,('3. Enter Indicator Scores'!$B$10:$B$161=$B99)*('3. Enter Indicator Scores'!$C$10:$C$161=$C99),0),
  _xlpm.c, MATCH(BV$8,'3. Enter Indicator Scores'!$D$8:$CZ$8,0),
  _xlpm.v, IFERROR(INDEX('3. Enter Indicator Scores'!$D$10:$CZ$161,_xlpm.r,_xlpm.c),""),
  IF(OR(_xlpm.w="",_xlpm.v=""),"",_xlpm.v*_xlpm.w)
)</f>
        <v/>
      </c>
      <c r="BW99" s="93" t="str" cm="1">
        <f t="array" ref="BW99">_xlfn.LET(
  _xlpm.w, BW$11,
  _xlpm.r, MATCH(1,('3. Enter Indicator Scores'!$B$10:$B$161=$B99)*('3. Enter Indicator Scores'!$C$10:$C$161=$C99),0),
  _xlpm.c, MATCH(BW$8,'3. Enter Indicator Scores'!$D$8:$CZ$8,0),
  _xlpm.v, IFERROR(INDEX('3. Enter Indicator Scores'!$D$10:$CZ$161,_xlpm.r,_xlpm.c),""),
  IF(OR(_xlpm.w="",_xlpm.v=""),"",_xlpm.v*_xlpm.w)
)</f>
        <v/>
      </c>
      <c r="BX99" s="93" t="str" cm="1">
        <f t="array" ref="BX99">_xlfn.LET(
  _xlpm.w, BX$11,
  _xlpm.r, MATCH(1,('3. Enter Indicator Scores'!$B$10:$B$161=$B99)*('3. Enter Indicator Scores'!$C$10:$C$161=$C99),0),
  _xlpm.c, MATCH(BX$8,'3. Enter Indicator Scores'!$D$8:$CZ$8,0),
  _xlpm.v, IFERROR(INDEX('3. Enter Indicator Scores'!$D$10:$CZ$161,_xlpm.r,_xlpm.c),""),
  IF(OR(_xlpm.w="",_xlpm.v=""),"",_xlpm.v*_xlpm.w)
)</f>
        <v/>
      </c>
      <c r="BY99" s="93" t="str" cm="1">
        <f t="array" ref="BY99">_xlfn.LET(
  _xlpm.w, BY$11,
  _xlpm.r, MATCH(1,('3. Enter Indicator Scores'!$B$10:$B$161=$B99)*('3. Enter Indicator Scores'!$C$10:$C$161=$C99),0),
  _xlpm.c, MATCH(BY$8,'3. Enter Indicator Scores'!$D$8:$CZ$8,0),
  _xlpm.v, IFERROR(INDEX('3. Enter Indicator Scores'!$D$10:$CZ$161,_xlpm.r,_xlpm.c),""),
  IF(OR(_xlpm.w="",_xlpm.v=""),"",_xlpm.v*_xlpm.w)
)</f>
        <v/>
      </c>
      <c r="BZ99" s="93" t="str" cm="1">
        <f t="array" ref="BZ99">_xlfn.LET(
  _xlpm.w, BZ$11,
  _xlpm.r, MATCH(1,('3. Enter Indicator Scores'!$B$10:$B$161=$B99)*('3. Enter Indicator Scores'!$C$10:$C$161=$C99),0),
  _xlpm.c, MATCH(BZ$8,'3. Enter Indicator Scores'!$D$8:$CZ$8,0),
  _xlpm.v, IFERROR(INDEX('3. Enter Indicator Scores'!$D$10:$CZ$161,_xlpm.r,_xlpm.c),""),
  IF(OR(_xlpm.w="",_xlpm.v=""),"",_xlpm.v*_xlpm.w)
)</f>
        <v/>
      </c>
      <c r="CA99" s="93" t="str" cm="1">
        <f t="array" ref="CA99">_xlfn.LET(
  _xlpm.w, CA$11,
  _xlpm.r, MATCH(1,('3. Enter Indicator Scores'!$B$10:$B$161=$B99)*('3. Enter Indicator Scores'!$C$10:$C$161=$C99),0),
  _xlpm.c, MATCH(CA$8,'3. Enter Indicator Scores'!$D$8:$CZ$8,0),
  _xlpm.v, IFERROR(INDEX('3. Enter Indicator Scores'!$D$10:$CZ$161,_xlpm.r,_xlpm.c),""),
  IF(OR(_xlpm.w="",_xlpm.v=""),"",_xlpm.v*_xlpm.w)
)</f>
        <v/>
      </c>
      <c r="CB99" s="93" t="str" cm="1">
        <f t="array" ref="CB99">_xlfn.LET(
  _xlpm.w, CB$11,
  _xlpm.r, MATCH(1,('3. Enter Indicator Scores'!$B$10:$B$161=$B99)*('3. Enter Indicator Scores'!$C$10:$C$161=$C99),0),
  _xlpm.c, MATCH(CB$8,'3. Enter Indicator Scores'!$D$8:$CZ$8,0),
  _xlpm.v, IFERROR(INDEX('3. Enter Indicator Scores'!$D$10:$CZ$161,_xlpm.r,_xlpm.c),""),
  IF(OR(_xlpm.w="",_xlpm.v=""),"",_xlpm.v*_xlpm.w)
)</f>
        <v/>
      </c>
      <c r="CC99" s="93" t="str" cm="1">
        <f t="array" ref="CC99">_xlfn.LET(
  _xlpm.w, CC$11,
  _xlpm.r, MATCH(1,('3. Enter Indicator Scores'!$B$10:$B$161=$B99)*('3. Enter Indicator Scores'!$C$10:$C$161=$C99),0),
  _xlpm.c, MATCH(CC$8,'3. Enter Indicator Scores'!$D$8:$CZ$8,0),
  _xlpm.v, IFERROR(INDEX('3. Enter Indicator Scores'!$D$10:$CZ$161,_xlpm.r,_xlpm.c),""),
  IF(OR(_xlpm.w="",_xlpm.v=""),"",_xlpm.v*_xlpm.w)
)</f>
        <v/>
      </c>
      <c r="CD99" s="93" t="str" cm="1">
        <f t="array" ref="CD99">_xlfn.LET(
  _xlpm.w, CD$11,
  _xlpm.r, MATCH(1,('3. Enter Indicator Scores'!$B$10:$B$161=$B99)*('3. Enter Indicator Scores'!$C$10:$C$161=$C99),0),
  _xlpm.c, MATCH(CD$8,'3. Enter Indicator Scores'!$D$8:$CZ$8,0),
  _xlpm.v, IFERROR(INDEX('3. Enter Indicator Scores'!$D$10:$CZ$161,_xlpm.r,_xlpm.c),""),
  IF(OR(_xlpm.w="",_xlpm.v=""),"",_xlpm.v*_xlpm.w)
)</f>
        <v/>
      </c>
      <c r="CE99" s="93" t="str" cm="1">
        <f t="array" ref="CE99">_xlfn.LET(
  _xlpm.w, CE$11,
  _xlpm.r, MATCH(1,('3. Enter Indicator Scores'!$B$10:$B$161=$B99)*('3. Enter Indicator Scores'!$C$10:$C$161=$C99),0),
  _xlpm.c, MATCH(CE$8,'3. Enter Indicator Scores'!$D$8:$CZ$8,0),
  _xlpm.v, IFERROR(INDEX('3. Enter Indicator Scores'!$D$10:$CZ$161,_xlpm.r,_xlpm.c),""),
  IF(OR(_xlpm.w="",_xlpm.v=""),"",_xlpm.v*_xlpm.w)
)</f>
        <v/>
      </c>
      <c r="CF99" s="93" t="str" cm="1">
        <f t="array" ref="CF99">_xlfn.LET(
  _xlpm.w, CF$11,
  _xlpm.r, MATCH(1,('3. Enter Indicator Scores'!$B$10:$B$161=$B99)*('3. Enter Indicator Scores'!$C$10:$C$161=$C99),0),
  _xlpm.c, MATCH(CF$8,'3. Enter Indicator Scores'!$D$8:$CZ$8,0),
  _xlpm.v, IFERROR(INDEX('3. Enter Indicator Scores'!$D$10:$CZ$161,_xlpm.r,_xlpm.c),""),
  IF(OR(_xlpm.w="",_xlpm.v=""),"",_xlpm.v*_xlpm.w)
)</f>
        <v/>
      </c>
      <c r="CG99" s="93" t="str" cm="1">
        <f t="array" ref="CG99">_xlfn.LET(
  _xlpm.w, CG$11,
  _xlpm.r, MATCH(1,('3. Enter Indicator Scores'!$B$10:$B$161=$B99)*('3. Enter Indicator Scores'!$C$10:$C$161=$C99),0),
  _xlpm.c, MATCH(CG$8,'3. Enter Indicator Scores'!$D$8:$CZ$8,0),
  _xlpm.v, IFERROR(INDEX('3. Enter Indicator Scores'!$D$10:$CZ$161,_xlpm.r,_xlpm.c),""),
  IF(OR(_xlpm.w="",_xlpm.v=""),"",_xlpm.v*_xlpm.w)
)</f>
        <v/>
      </c>
      <c r="CH99" s="93" t="str" cm="1">
        <f t="array" ref="CH99">_xlfn.LET(
  _xlpm.w, CH$11,
  _xlpm.r, MATCH(1,('3. Enter Indicator Scores'!$B$10:$B$161=$B99)*('3. Enter Indicator Scores'!$C$10:$C$161=$C99),0),
  _xlpm.c, MATCH(CH$8,'3. Enter Indicator Scores'!$D$8:$CZ$8,0),
  _xlpm.v, IFERROR(INDEX('3. Enter Indicator Scores'!$D$10:$CZ$161,_xlpm.r,_xlpm.c),""),
  IF(OR(_xlpm.w="",_xlpm.v=""),"",_xlpm.v*_xlpm.w)
)</f>
        <v/>
      </c>
      <c r="CI99" s="93" t="str" cm="1">
        <f t="array" ref="CI99">_xlfn.LET(
  _xlpm.w, CI$11,
  _xlpm.r, MATCH(1,('3. Enter Indicator Scores'!$B$10:$B$161=$B99)*('3. Enter Indicator Scores'!$C$10:$C$161=$C99),0),
  _xlpm.c, MATCH(CI$8,'3. Enter Indicator Scores'!$D$8:$CZ$8,0),
  _xlpm.v, IFERROR(INDEX('3. Enter Indicator Scores'!$D$10:$CZ$161,_xlpm.r,_xlpm.c),""),
  IF(OR(_xlpm.w="",_xlpm.v=""),"",_xlpm.v*_xlpm.w)
)</f>
        <v/>
      </c>
      <c r="CJ99" s="93" t="str" cm="1">
        <f t="array" ref="CJ99">_xlfn.LET(
  _xlpm.w, CJ$11,
  _xlpm.r, MATCH(1,('3. Enter Indicator Scores'!$B$10:$B$161=$B99)*('3. Enter Indicator Scores'!$C$10:$C$161=$C99),0),
  _xlpm.c, MATCH(CJ$8,'3. Enter Indicator Scores'!$D$8:$CZ$8,0),
  _xlpm.v, IFERROR(INDEX('3. Enter Indicator Scores'!$D$10:$CZ$161,_xlpm.r,_xlpm.c),""),
  IF(OR(_xlpm.w="",_xlpm.v=""),"",_xlpm.v*_xlpm.w)
)</f>
        <v/>
      </c>
      <c r="CK99" s="93" t="str" cm="1">
        <f t="array" ref="CK99">_xlfn.LET(
  _xlpm.w, CK$11,
  _xlpm.r, MATCH(1,('3. Enter Indicator Scores'!$B$10:$B$161=$B99)*('3. Enter Indicator Scores'!$C$10:$C$161=$C99),0),
  _xlpm.c, MATCH(CK$8,'3. Enter Indicator Scores'!$D$8:$CZ$8,0),
  _xlpm.v, IFERROR(INDEX('3. Enter Indicator Scores'!$D$10:$CZ$161,_xlpm.r,_xlpm.c),""),
  IF(OR(_xlpm.w="",_xlpm.v=""),"",_xlpm.v*_xlpm.w)
)</f>
        <v/>
      </c>
      <c r="CL99" s="93" t="str" cm="1">
        <f t="array" ref="CL99">_xlfn.LET(
  _xlpm.w, CL$11,
  _xlpm.r, MATCH(1,('3. Enter Indicator Scores'!$B$10:$B$161=$B99)*('3. Enter Indicator Scores'!$C$10:$C$161=$C99),0),
  _xlpm.c, MATCH(CL$8,'3. Enter Indicator Scores'!$D$8:$CZ$8,0),
  _xlpm.v, IFERROR(INDEX('3. Enter Indicator Scores'!$D$10:$CZ$161,_xlpm.r,_xlpm.c),""),
  IF(OR(_xlpm.w="",_xlpm.v=""),"",_xlpm.v*_xlpm.w)
)</f>
        <v/>
      </c>
      <c r="CM99" s="93" t="str" cm="1">
        <f t="array" ref="CM99">_xlfn.LET(
  _xlpm.w, CM$11,
  _xlpm.r, MATCH(1,('3. Enter Indicator Scores'!$B$10:$B$161=$B99)*('3. Enter Indicator Scores'!$C$10:$C$161=$C99),0),
  _xlpm.c, MATCH(CM$8,'3. Enter Indicator Scores'!$D$8:$CZ$8,0),
  _xlpm.v, IFERROR(INDEX('3. Enter Indicator Scores'!$D$10:$CZ$161,_xlpm.r,_xlpm.c),""),
  IF(OR(_xlpm.w="",_xlpm.v=""),"",_xlpm.v*_xlpm.w)
)</f>
        <v/>
      </c>
      <c r="CN99" s="93" t="str" cm="1">
        <f t="array" ref="CN99">_xlfn.LET(
  _xlpm.w, CN$11,
  _xlpm.r, MATCH(1,('3. Enter Indicator Scores'!$B$10:$B$161=$B99)*('3. Enter Indicator Scores'!$C$10:$C$161=$C99),0),
  _xlpm.c, MATCH(CN$8,'3. Enter Indicator Scores'!$D$8:$CZ$8,0),
  _xlpm.v, IFERROR(INDEX('3. Enter Indicator Scores'!$D$10:$CZ$161,_xlpm.r,_xlpm.c),""),
  IF(OR(_xlpm.w="",_xlpm.v=""),"",_xlpm.v*_xlpm.w)
)</f>
        <v/>
      </c>
      <c r="CO99" s="93" t="str" cm="1">
        <f t="array" ref="CO99">_xlfn.LET(
  _xlpm.w, CO$11,
  _xlpm.r, MATCH(1,('3. Enter Indicator Scores'!$B$10:$B$161=$B99)*('3. Enter Indicator Scores'!$C$10:$C$161=$C99),0),
  _xlpm.c, MATCH(CO$8,'3. Enter Indicator Scores'!$D$8:$CZ$8,0),
  _xlpm.v, IFERROR(INDEX('3. Enter Indicator Scores'!$D$10:$CZ$161,_xlpm.r,_xlpm.c),""),
  IF(OR(_xlpm.w="",_xlpm.v=""),"",_xlpm.v*_xlpm.w)
)</f>
        <v/>
      </c>
      <c r="CP99" s="93" t="str" cm="1">
        <f t="array" ref="CP99">_xlfn.LET(
  _xlpm.w, CP$11,
  _xlpm.r, MATCH(1,('3. Enter Indicator Scores'!$B$10:$B$161=$B99)*('3. Enter Indicator Scores'!$C$10:$C$161=$C99),0),
  _xlpm.c, MATCH(CP$8,'3. Enter Indicator Scores'!$D$8:$CZ$8,0),
  _xlpm.v, IFERROR(INDEX('3. Enter Indicator Scores'!$D$10:$CZ$161,_xlpm.r,_xlpm.c),""),
  IF(OR(_xlpm.w="",_xlpm.v=""),"",_xlpm.v*_xlpm.w)
)</f>
        <v/>
      </c>
      <c r="CQ99" s="93" t="str" cm="1">
        <f t="array" ref="CQ99">_xlfn.LET(
  _xlpm.w, CQ$11,
  _xlpm.r, MATCH(1,('3. Enter Indicator Scores'!$B$10:$B$161=$B99)*('3. Enter Indicator Scores'!$C$10:$C$161=$C99),0),
  _xlpm.c, MATCH(CQ$8,'3. Enter Indicator Scores'!$D$8:$CZ$8,0),
  _xlpm.v, IFERROR(INDEX('3. Enter Indicator Scores'!$D$10:$CZ$161,_xlpm.r,_xlpm.c),""),
  IF(OR(_xlpm.w="",_xlpm.v=""),"",_xlpm.v*_xlpm.w)
)</f>
        <v/>
      </c>
      <c r="CR99" s="93" t="str" cm="1">
        <f t="array" ref="CR99">_xlfn.LET(
  _xlpm.w, CR$11,
  _xlpm.r, MATCH(1,('3. Enter Indicator Scores'!$B$10:$B$161=$B99)*('3. Enter Indicator Scores'!$C$10:$C$161=$C99),0),
  _xlpm.c, MATCH(CR$8,'3. Enter Indicator Scores'!$D$8:$CZ$8,0),
  _xlpm.v, IFERROR(INDEX('3. Enter Indicator Scores'!$D$10:$CZ$161,_xlpm.r,_xlpm.c),""),
  IF(OR(_xlpm.w="",_xlpm.v=""),"",_xlpm.v*_xlpm.w)
)</f>
        <v/>
      </c>
      <c r="CS99" s="93" t="str" cm="1">
        <f t="array" ref="CS99">_xlfn.LET(
  _xlpm.w, CS$11,
  _xlpm.r, MATCH(1,('3. Enter Indicator Scores'!$B$10:$B$161=$B99)*('3. Enter Indicator Scores'!$C$10:$C$161=$C99),0),
  _xlpm.c, MATCH(CS$8,'3. Enter Indicator Scores'!$D$8:$CZ$8,0),
  _xlpm.v, IFERROR(INDEX('3. Enter Indicator Scores'!$D$10:$CZ$161,_xlpm.r,_xlpm.c),""),
  IF(OR(_xlpm.w="",_xlpm.v=""),"",_xlpm.v*_xlpm.w)
)</f>
        <v/>
      </c>
      <c r="CT99" s="93" t="str" cm="1">
        <f t="array" ref="CT99">_xlfn.LET(
  _xlpm.w, CT$11,
  _xlpm.r, MATCH(1,('3. Enter Indicator Scores'!$B$10:$B$161=$B99)*('3. Enter Indicator Scores'!$C$10:$C$161=$C99),0),
  _xlpm.c, MATCH(CT$8,'3. Enter Indicator Scores'!$D$8:$CZ$8,0),
  _xlpm.v, IFERROR(INDEX('3. Enter Indicator Scores'!$D$10:$CZ$161,_xlpm.r,_xlpm.c),""),
  IF(OR(_xlpm.w="",_xlpm.v=""),"",_xlpm.v*_xlpm.w)
)</f>
        <v/>
      </c>
      <c r="CU99" s="93" t="str" cm="1">
        <f t="array" ref="CU99">_xlfn.LET(
  _xlpm.w, CU$11,
  _xlpm.r, MATCH(1,('3. Enter Indicator Scores'!$B$10:$B$161=$B99)*('3. Enter Indicator Scores'!$C$10:$C$161=$C99),0),
  _xlpm.c, MATCH(CU$8,'3. Enter Indicator Scores'!$D$8:$CZ$8,0),
  _xlpm.v, IFERROR(INDEX('3. Enter Indicator Scores'!$D$10:$CZ$161,_xlpm.r,_xlpm.c),""),
  IF(OR(_xlpm.w="",_xlpm.v=""),"",_xlpm.v*_xlpm.w)
)</f>
        <v/>
      </c>
      <c r="CV99" s="93" t="str" cm="1">
        <f t="array" ref="CV99">_xlfn.LET(
  _xlpm.w, CV$11,
  _xlpm.r, MATCH(1,('3. Enter Indicator Scores'!$B$10:$B$161=$B99)*('3. Enter Indicator Scores'!$C$10:$C$161=$C99),0),
  _xlpm.c, MATCH(CV$8,'3. Enter Indicator Scores'!$D$8:$CZ$8,0),
  _xlpm.v, IFERROR(INDEX('3. Enter Indicator Scores'!$D$10:$CZ$161,_xlpm.r,_xlpm.c),""),
  IF(OR(_xlpm.w="",_xlpm.v=""),"",_xlpm.v*_xlpm.w)
)</f>
        <v/>
      </c>
      <c r="CW99" s="93" t="str" cm="1">
        <f t="array" ref="CW99">_xlfn.LET(
  _xlpm.w, CW$11,
  _xlpm.r, MATCH(1,('3. Enter Indicator Scores'!$B$10:$B$161=$B99)*('3. Enter Indicator Scores'!$C$10:$C$161=$C99),0),
  _xlpm.c, MATCH(CW$8,'3. Enter Indicator Scores'!$D$8:$CZ$8,0),
  _xlpm.v, IFERROR(INDEX('3. Enter Indicator Scores'!$D$10:$CZ$161,_xlpm.r,_xlpm.c),""),
  IF(OR(_xlpm.w="",_xlpm.v=""),"",_xlpm.v*_xlpm.w)
)</f>
        <v/>
      </c>
      <c r="CX99" s="93" t="str" cm="1">
        <f t="array" ref="CX99">_xlfn.LET(
  _xlpm.w, CX$11,
  _xlpm.r, MATCH(1,('3. Enter Indicator Scores'!$B$10:$B$161=$B99)*('3. Enter Indicator Scores'!$C$10:$C$161=$C99),0),
  _xlpm.c, MATCH(CX$8,'3. Enter Indicator Scores'!$D$8:$CZ$8,0),
  _xlpm.v, IFERROR(INDEX('3. Enter Indicator Scores'!$D$10:$CZ$161,_xlpm.r,_xlpm.c),""),
  IF(OR(_xlpm.w="",_xlpm.v=""),"",_xlpm.v*_xlpm.w)
)</f>
        <v/>
      </c>
      <c r="CY99" s="93" t="str" cm="1">
        <f t="array" ref="CY99">_xlfn.LET(
  _xlpm.w, CY$11,
  _xlpm.r, MATCH(1,('3. Enter Indicator Scores'!$B$10:$B$161=$B99)*('3. Enter Indicator Scores'!$C$10:$C$161=$C99),0),
  _xlpm.c, MATCH(CY$8,'3. Enter Indicator Scores'!$D$8:$CZ$8,0),
  _xlpm.v, IFERROR(INDEX('3. Enter Indicator Scores'!$D$10:$CZ$161,_xlpm.r,_xlpm.c),""),
  IF(OR(_xlpm.w="",_xlpm.v=""),"",_xlpm.v*_xlpm.w)
)</f>
        <v/>
      </c>
      <c r="CZ99" s="93" t="str" cm="1">
        <f t="array" ref="CZ99">_xlfn.LET(
  _xlpm.w, CZ$11,
  _xlpm.r, MATCH(1,('3. Enter Indicator Scores'!$B$10:$B$161=$B99)*('3. Enter Indicator Scores'!$C$10:$C$161=$C99),0),
  _xlpm.c, MATCH(CZ$8,'3. Enter Indicator Scores'!$D$8:$CZ$8,0),
  _xlpm.v, IFERROR(INDEX('3. Enter Indicator Scores'!$D$10:$CZ$161,_xlpm.r,_xlpm.c),""),
  IF(OR(_xlpm.w="",_xlpm.v=""),"",_xlpm.v*_xlpm.w)
)</f>
        <v/>
      </c>
    </row>
    <row r="100" spans="4:104" x14ac:dyDescent="0.2">
      <c r="D100" s="93" t="str" cm="1">
        <f t="array" ref="D100">_xlfn.LET(
  _xlpm.w, D$11,
  _xlpm.r, MATCH(1,('3. Enter Indicator Scores'!$B$10:$B$161=$B100)*('3. Enter Indicator Scores'!$C$10:$C$161=$C100),0),
  _xlpm.c, MATCH(D$8,'3. Enter Indicator Scores'!$D$8:$CZ$8,0),
  _xlpm.v, IFERROR(INDEX('3. Enter Indicator Scores'!$D$10:$CZ$161,_xlpm.r,_xlpm.c),""),
  IF(OR(_xlpm.w="",_xlpm.v=""),"",_xlpm.v*_xlpm.w)
)</f>
        <v/>
      </c>
      <c r="E100" s="93" t="str" cm="1">
        <f t="array" ref="E100">_xlfn.LET(
  _xlpm.w, E$11,
  _xlpm.r, MATCH(1,('3. Enter Indicator Scores'!$B$10:$B$161=$B100)*('3. Enter Indicator Scores'!$C$10:$C$161=$C100),0),
  _xlpm.c, MATCH(E$8,'3. Enter Indicator Scores'!$D$8:$CZ$8,0),
  _xlpm.v, IFERROR(INDEX('3. Enter Indicator Scores'!$D$10:$CZ$161,_xlpm.r,_xlpm.c),""),
  IF(OR(_xlpm.w="",_xlpm.v=""),"",_xlpm.v*_xlpm.w)
)</f>
        <v/>
      </c>
      <c r="F100" s="93" t="str" cm="1">
        <f t="array" ref="F100">_xlfn.LET(
  _xlpm.w, F$11,
  _xlpm.r, MATCH(1,('3. Enter Indicator Scores'!$B$10:$B$161=$B100)*('3. Enter Indicator Scores'!$C$10:$C$161=$C100),0),
  _xlpm.c, MATCH(F$8,'3. Enter Indicator Scores'!$D$8:$CZ$8,0),
  _xlpm.v, IFERROR(INDEX('3. Enter Indicator Scores'!$D$10:$CZ$161,_xlpm.r,_xlpm.c),""),
  IF(OR(_xlpm.w="",_xlpm.v=""),"",_xlpm.v*_xlpm.w)
)</f>
        <v/>
      </c>
      <c r="G100" s="93" t="str" cm="1">
        <f t="array" ref="G100">_xlfn.LET(
  _xlpm.w, G$11,
  _xlpm.r, MATCH(1,('3. Enter Indicator Scores'!$B$10:$B$161=$B100)*('3. Enter Indicator Scores'!$C$10:$C$161=$C100),0),
  _xlpm.c, MATCH(G$8,'3. Enter Indicator Scores'!$D$8:$CZ$8,0),
  _xlpm.v, IFERROR(INDEX('3. Enter Indicator Scores'!$D$10:$CZ$161,_xlpm.r,_xlpm.c),""),
  IF(OR(_xlpm.w="",_xlpm.v=""),"",_xlpm.v*_xlpm.w)
)</f>
        <v/>
      </c>
      <c r="H100" s="93" t="str" cm="1">
        <f t="array" ref="H100">_xlfn.LET(
  _xlpm.w, H$11,
  _xlpm.r, MATCH(1,('3. Enter Indicator Scores'!$B$10:$B$161=$B100)*('3. Enter Indicator Scores'!$C$10:$C$161=$C100),0),
  _xlpm.c, MATCH(H$8,'3. Enter Indicator Scores'!$D$8:$CZ$8,0),
  _xlpm.v, IFERROR(INDEX('3. Enter Indicator Scores'!$D$10:$CZ$161,_xlpm.r,_xlpm.c),""),
  IF(OR(_xlpm.w="",_xlpm.v=""),"",_xlpm.v*_xlpm.w)
)</f>
        <v/>
      </c>
      <c r="I100" s="93" t="str" cm="1">
        <f t="array" ref="I100">_xlfn.LET(
  _xlpm.w, I$11,
  _xlpm.r, MATCH(1,('3. Enter Indicator Scores'!$B$10:$B$161=$B100)*('3. Enter Indicator Scores'!$C$10:$C$161=$C100),0),
  _xlpm.c, MATCH(I$8,'3. Enter Indicator Scores'!$D$8:$CZ$8,0),
  _xlpm.v, IFERROR(INDEX('3. Enter Indicator Scores'!$D$10:$CZ$161,_xlpm.r,_xlpm.c),""),
  IF(OR(_xlpm.w="",_xlpm.v=""),"",_xlpm.v*_xlpm.w)
)</f>
        <v/>
      </c>
      <c r="J100" s="93" t="str" cm="1">
        <f t="array" ref="J100">_xlfn.LET(
  _xlpm.w, J$11,
  _xlpm.r, MATCH(1,('3. Enter Indicator Scores'!$B$10:$B$161=$B100)*('3. Enter Indicator Scores'!$C$10:$C$161=$C100),0),
  _xlpm.c, MATCH(J$8,'3. Enter Indicator Scores'!$D$8:$CZ$8,0),
  _xlpm.v, IFERROR(INDEX('3. Enter Indicator Scores'!$D$10:$CZ$161,_xlpm.r,_xlpm.c),""),
  IF(OR(_xlpm.w="",_xlpm.v=""),"",_xlpm.v*_xlpm.w)
)</f>
        <v/>
      </c>
      <c r="K100" s="93" t="str" cm="1">
        <f t="array" ref="K100">_xlfn.LET(
  _xlpm.w, K$11,
  _xlpm.r, MATCH(1,('3. Enter Indicator Scores'!$B$10:$B$161=$B100)*('3. Enter Indicator Scores'!$C$10:$C$161=$C100),0),
  _xlpm.c, MATCH(K$8,'3. Enter Indicator Scores'!$D$8:$CZ$8,0),
  _xlpm.v, IFERROR(INDEX('3. Enter Indicator Scores'!$D$10:$CZ$161,_xlpm.r,_xlpm.c),""),
  IF(OR(_xlpm.w="",_xlpm.v=""),"",_xlpm.v*_xlpm.w)
)</f>
        <v/>
      </c>
      <c r="L100" s="93" t="str" cm="1">
        <f t="array" ref="L100">_xlfn.LET(
  _xlpm.w, L$11,
  _xlpm.r, MATCH(1,('3. Enter Indicator Scores'!$B$10:$B$161=$B100)*('3. Enter Indicator Scores'!$C$10:$C$161=$C100),0),
  _xlpm.c, MATCH(L$8,'3. Enter Indicator Scores'!$D$8:$CZ$8,0),
  _xlpm.v, IFERROR(INDEX('3. Enter Indicator Scores'!$D$10:$CZ$161,_xlpm.r,_xlpm.c),""),
  IF(OR(_xlpm.w="",_xlpm.v=""),"",_xlpm.v*_xlpm.w)
)</f>
        <v/>
      </c>
      <c r="M100" s="93" t="str" cm="1">
        <f t="array" ref="M100">_xlfn.LET(
  _xlpm.w, M$11,
  _xlpm.r, MATCH(1,('3. Enter Indicator Scores'!$B$10:$B$161=$B100)*('3. Enter Indicator Scores'!$C$10:$C$161=$C100),0),
  _xlpm.c, MATCH(M$8,'3. Enter Indicator Scores'!$D$8:$CZ$8,0),
  _xlpm.v, IFERROR(INDEX('3. Enter Indicator Scores'!$D$10:$CZ$161,_xlpm.r,_xlpm.c),""),
  IF(OR(_xlpm.w="",_xlpm.v=""),"",_xlpm.v*_xlpm.w)
)</f>
        <v/>
      </c>
      <c r="N100" s="93" t="str" cm="1">
        <f t="array" ref="N100">_xlfn.LET(
  _xlpm.w, N$11,
  _xlpm.r, MATCH(1,('3. Enter Indicator Scores'!$B$10:$B$161=$B100)*('3. Enter Indicator Scores'!$C$10:$C$161=$C100),0),
  _xlpm.c, MATCH(N$8,'3. Enter Indicator Scores'!$D$8:$CZ$8,0),
  _xlpm.v, IFERROR(INDEX('3. Enter Indicator Scores'!$D$10:$CZ$161,_xlpm.r,_xlpm.c),""),
  IF(OR(_xlpm.w="",_xlpm.v=""),"",_xlpm.v*_xlpm.w)
)</f>
        <v/>
      </c>
      <c r="O100" s="93" t="str" cm="1">
        <f t="array" ref="O100">_xlfn.LET(
  _xlpm.w, O$11,
  _xlpm.r, MATCH(1,('3. Enter Indicator Scores'!$B$10:$B$161=$B100)*('3. Enter Indicator Scores'!$C$10:$C$161=$C100),0),
  _xlpm.c, MATCH(O$8,'3. Enter Indicator Scores'!$D$8:$CZ$8,0),
  _xlpm.v, IFERROR(INDEX('3. Enter Indicator Scores'!$D$10:$CZ$161,_xlpm.r,_xlpm.c),""),
  IF(OR(_xlpm.w="",_xlpm.v=""),"",_xlpm.v*_xlpm.w)
)</f>
        <v/>
      </c>
      <c r="P100" s="93" t="str" cm="1">
        <f t="array" ref="P100">_xlfn.LET(
  _xlpm.w, P$11,
  _xlpm.r, MATCH(1,('3. Enter Indicator Scores'!$B$10:$B$161=$B100)*('3. Enter Indicator Scores'!$C$10:$C$161=$C100),0),
  _xlpm.c, MATCH(P$8,'3. Enter Indicator Scores'!$D$8:$CZ$8,0),
  _xlpm.v, IFERROR(INDEX('3. Enter Indicator Scores'!$D$10:$CZ$161,_xlpm.r,_xlpm.c),""),
  IF(OR(_xlpm.w="",_xlpm.v=""),"",_xlpm.v*_xlpm.w)
)</f>
        <v/>
      </c>
      <c r="Q100" s="93" t="str" cm="1">
        <f t="array" ref="Q100">_xlfn.LET(
  _xlpm.w, Q$11,
  _xlpm.r, MATCH(1,('3. Enter Indicator Scores'!$B$10:$B$161=$B100)*('3. Enter Indicator Scores'!$C$10:$C$161=$C100),0),
  _xlpm.c, MATCH(Q$8,'3. Enter Indicator Scores'!$D$8:$CZ$8,0),
  _xlpm.v, IFERROR(INDEX('3. Enter Indicator Scores'!$D$10:$CZ$161,_xlpm.r,_xlpm.c),""),
  IF(OR(_xlpm.w="",_xlpm.v=""),"",_xlpm.v*_xlpm.w)
)</f>
        <v/>
      </c>
      <c r="R100" s="93" t="str" cm="1">
        <f t="array" ref="R100">_xlfn.LET(
  _xlpm.w, R$11,
  _xlpm.r, MATCH(1,('3. Enter Indicator Scores'!$B$10:$B$161=$B100)*('3. Enter Indicator Scores'!$C$10:$C$161=$C100),0),
  _xlpm.c, MATCH(R$8,'3. Enter Indicator Scores'!$D$8:$CZ$8,0),
  _xlpm.v, IFERROR(INDEX('3. Enter Indicator Scores'!$D$10:$CZ$161,_xlpm.r,_xlpm.c),""),
  IF(OR(_xlpm.w="",_xlpm.v=""),"",_xlpm.v*_xlpm.w)
)</f>
        <v/>
      </c>
      <c r="S100" s="93" t="str" cm="1">
        <f t="array" ref="S100">_xlfn.LET(
  _xlpm.w, S$11,
  _xlpm.r, MATCH(1,('3. Enter Indicator Scores'!$B$10:$B$161=$B100)*('3. Enter Indicator Scores'!$C$10:$C$161=$C100),0),
  _xlpm.c, MATCH(S$8,'3. Enter Indicator Scores'!$D$8:$CZ$8,0),
  _xlpm.v, IFERROR(INDEX('3. Enter Indicator Scores'!$D$10:$CZ$161,_xlpm.r,_xlpm.c),""),
  IF(OR(_xlpm.w="",_xlpm.v=""),"",_xlpm.v*_xlpm.w)
)</f>
        <v/>
      </c>
      <c r="T100" s="93" t="str" cm="1">
        <f t="array" ref="T100">_xlfn.LET(
  _xlpm.w, T$11,
  _xlpm.r, MATCH(1,('3. Enter Indicator Scores'!$B$10:$B$161=$B100)*('3. Enter Indicator Scores'!$C$10:$C$161=$C100),0),
  _xlpm.c, MATCH(T$8,'3. Enter Indicator Scores'!$D$8:$CZ$8,0),
  _xlpm.v, IFERROR(INDEX('3. Enter Indicator Scores'!$D$10:$CZ$161,_xlpm.r,_xlpm.c),""),
  IF(OR(_xlpm.w="",_xlpm.v=""),"",_xlpm.v*_xlpm.w)
)</f>
        <v/>
      </c>
      <c r="U100" s="93" t="str" cm="1">
        <f t="array" ref="U100">_xlfn.LET(
  _xlpm.w, U$11,
  _xlpm.r, MATCH(1,('3. Enter Indicator Scores'!$B$10:$B$161=$B100)*('3. Enter Indicator Scores'!$C$10:$C$161=$C100),0),
  _xlpm.c, MATCH(U$8,'3. Enter Indicator Scores'!$D$8:$CZ$8,0),
  _xlpm.v, IFERROR(INDEX('3. Enter Indicator Scores'!$D$10:$CZ$161,_xlpm.r,_xlpm.c),""),
  IF(OR(_xlpm.w="",_xlpm.v=""),"",_xlpm.v*_xlpm.w)
)</f>
        <v/>
      </c>
      <c r="V100" s="93" t="str" cm="1">
        <f t="array" ref="V100">_xlfn.LET(
  _xlpm.w, V$11,
  _xlpm.r, MATCH(1,('3. Enter Indicator Scores'!$B$10:$B$161=$B100)*('3. Enter Indicator Scores'!$C$10:$C$161=$C100),0),
  _xlpm.c, MATCH(V$8,'3. Enter Indicator Scores'!$D$8:$CZ$8,0),
  _xlpm.v, IFERROR(INDEX('3. Enter Indicator Scores'!$D$10:$CZ$161,_xlpm.r,_xlpm.c),""),
  IF(OR(_xlpm.w="",_xlpm.v=""),"",_xlpm.v*_xlpm.w)
)</f>
        <v/>
      </c>
      <c r="W100" s="93" t="str" cm="1">
        <f t="array" ref="W100">_xlfn.LET(
  _xlpm.w, W$11,
  _xlpm.r, MATCH(1,('3. Enter Indicator Scores'!$B$10:$B$161=$B100)*('3. Enter Indicator Scores'!$C$10:$C$161=$C100),0),
  _xlpm.c, MATCH(W$8,'3. Enter Indicator Scores'!$D$8:$CZ$8,0),
  _xlpm.v, IFERROR(INDEX('3. Enter Indicator Scores'!$D$10:$CZ$161,_xlpm.r,_xlpm.c),""),
  IF(OR(_xlpm.w="",_xlpm.v=""),"",_xlpm.v*_xlpm.w)
)</f>
        <v/>
      </c>
      <c r="X100" s="93" t="str" cm="1">
        <f t="array" ref="X100">_xlfn.LET(
  _xlpm.w, X$11,
  _xlpm.r, MATCH(1,('3. Enter Indicator Scores'!$B$10:$B$161=$B100)*('3. Enter Indicator Scores'!$C$10:$C$161=$C100),0),
  _xlpm.c, MATCH(X$8,'3. Enter Indicator Scores'!$D$8:$CZ$8,0),
  _xlpm.v, IFERROR(INDEX('3. Enter Indicator Scores'!$D$10:$CZ$161,_xlpm.r,_xlpm.c),""),
  IF(OR(_xlpm.w="",_xlpm.v=""),"",_xlpm.v*_xlpm.w)
)</f>
        <v/>
      </c>
      <c r="Y100" s="93" t="str" cm="1">
        <f t="array" ref="Y100">_xlfn.LET(
  _xlpm.w, Y$11,
  _xlpm.r, MATCH(1,('3. Enter Indicator Scores'!$B$10:$B$161=$B100)*('3. Enter Indicator Scores'!$C$10:$C$161=$C100),0),
  _xlpm.c, MATCH(Y$8,'3. Enter Indicator Scores'!$D$8:$CZ$8,0),
  _xlpm.v, IFERROR(INDEX('3. Enter Indicator Scores'!$D$10:$CZ$161,_xlpm.r,_xlpm.c),""),
  IF(OR(_xlpm.w="",_xlpm.v=""),"",_xlpm.v*_xlpm.w)
)</f>
        <v/>
      </c>
      <c r="Z100" s="93" t="str" cm="1">
        <f t="array" ref="Z100">_xlfn.LET(
  _xlpm.w, Z$11,
  _xlpm.r, MATCH(1,('3. Enter Indicator Scores'!$B$10:$B$161=$B100)*('3. Enter Indicator Scores'!$C$10:$C$161=$C100),0),
  _xlpm.c, MATCH(Z$8,'3. Enter Indicator Scores'!$D$8:$CZ$8,0),
  _xlpm.v, IFERROR(INDEX('3. Enter Indicator Scores'!$D$10:$CZ$161,_xlpm.r,_xlpm.c),""),
  IF(OR(_xlpm.w="",_xlpm.v=""),"",_xlpm.v*_xlpm.w)
)</f>
        <v/>
      </c>
      <c r="AA100" s="93" t="str" cm="1">
        <f t="array" ref="AA100">_xlfn.LET(
  _xlpm.w, AA$11,
  _xlpm.r, MATCH(1,('3. Enter Indicator Scores'!$B$10:$B$161=$B100)*('3. Enter Indicator Scores'!$C$10:$C$161=$C100),0),
  _xlpm.c, MATCH(AA$8,'3. Enter Indicator Scores'!$D$8:$CZ$8,0),
  _xlpm.v, IFERROR(INDEX('3. Enter Indicator Scores'!$D$10:$CZ$161,_xlpm.r,_xlpm.c),""),
  IF(OR(_xlpm.w="",_xlpm.v=""),"",_xlpm.v*_xlpm.w)
)</f>
        <v/>
      </c>
      <c r="AB100" s="93" t="str" cm="1">
        <f t="array" ref="AB100">_xlfn.LET(
  _xlpm.w, AB$11,
  _xlpm.r, MATCH(1,('3. Enter Indicator Scores'!$B$10:$B$161=$B100)*('3. Enter Indicator Scores'!$C$10:$C$161=$C100),0),
  _xlpm.c, MATCH(AB$8,'3. Enter Indicator Scores'!$D$8:$CZ$8,0),
  _xlpm.v, IFERROR(INDEX('3. Enter Indicator Scores'!$D$10:$CZ$161,_xlpm.r,_xlpm.c),""),
  IF(OR(_xlpm.w="",_xlpm.v=""),"",_xlpm.v*_xlpm.w)
)</f>
        <v/>
      </c>
      <c r="AC100" s="93" t="str" cm="1">
        <f t="array" ref="AC100">_xlfn.LET(
  _xlpm.w, AC$11,
  _xlpm.r, MATCH(1,('3. Enter Indicator Scores'!$B$10:$B$161=$B100)*('3. Enter Indicator Scores'!$C$10:$C$161=$C100),0),
  _xlpm.c, MATCH(AC$8,'3. Enter Indicator Scores'!$D$8:$CZ$8,0),
  _xlpm.v, IFERROR(INDEX('3. Enter Indicator Scores'!$D$10:$CZ$161,_xlpm.r,_xlpm.c),""),
  IF(OR(_xlpm.w="",_xlpm.v=""),"",_xlpm.v*_xlpm.w)
)</f>
        <v/>
      </c>
      <c r="AD100" s="93" t="str" cm="1">
        <f t="array" ref="AD100">_xlfn.LET(
  _xlpm.w, AD$11,
  _xlpm.r, MATCH(1,('3. Enter Indicator Scores'!$B$10:$B$161=$B100)*('3. Enter Indicator Scores'!$C$10:$C$161=$C100),0),
  _xlpm.c, MATCH(AD$8,'3. Enter Indicator Scores'!$D$8:$CZ$8,0),
  _xlpm.v, IFERROR(INDEX('3. Enter Indicator Scores'!$D$10:$CZ$161,_xlpm.r,_xlpm.c),""),
  IF(OR(_xlpm.w="",_xlpm.v=""),"",_xlpm.v*_xlpm.w)
)</f>
        <v/>
      </c>
      <c r="AE100" s="93" t="str" cm="1">
        <f t="array" ref="AE100">_xlfn.LET(
  _xlpm.w, AE$11,
  _xlpm.r, MATCH(1,('3. Enter Indicator Scores'!$B$10:$B$161=$B100)*('3. Enter Indicator Scores'!$C$10:$C$161=$C100),0),
  _xlpm.c, MATCH(AE$8,'3. Enter Indicator Scores'!$D$8:$CZ$8,0),
  _xlpm.v, IFERROR(INDEX('3. Enter Indicator Scores'!$D$10:$CZ$161,_xlpm.r,_xlpm.c),""),
  IF(OR(_xlpm.w="",_xlpm.v=""),"",_xlpm.v*_xlpm.w)
)</f>
        <v/>
      </c>
      <c r="AF100" s="93" t="str" cm="1">
        <f t="array" ref="AF100">_xlfn.LET(
  _xlpm.w, AF$11,
  _xlpm.r, MATCH(1,('3. Enter Indicator Scores'!$B$10:$B$161=$B100)*('3. Enter Indicator Scores'!$C$10:$C$161=$C100),0),
  _xlpm.c, MATCH(AF$8,'3. Enter Indicator Scores'!$D$8:$CZ$8,0),
  _xlpm.v, IFERROR(INDEX('3. Enter Indicator Scores'!$D$10:$CZ$161,_xlpm.r,_xlpm.c),""),
  IF(OR(_xlpm.w="",_xlpm.v=""),"",_xlpm.v*_xlpm.w)
)</f>
        <v/>
      </c>
      <c r="AG100" s="93" t="str" cm="1">
        <f t="array" ref="AG100">_xlfn.LET(
  _xlpm.w, AG$11,
  _xlpm.r, MATCH(1,('3. Enter Indicator Scores'!$B$10:$B$161=$B100)*('3. Enter Indicator Scores'!$C$10:$C$161=$C100),0),
  _xlpm.c, MATCH(AG$8,'3. Enter Indicator Scores'!$D$8:$CZ$8,0),
  _xlpm.v, IFERROR(INDEX('3. Enter Indicator Scores'!$D$10:$CZ$161,_xlpm.r,_xlpm.c),""),
  IF(OR(_xlpm.w="",_xlpm.v=""),"",_xlpm.v*_xlpm.w)
)</f>
        <v/>
      </c>
      <c r="AH100" s="93" t="str" cm="1">
        <f t="array" ref="AH100">_xlfn.LET(
  _xlpm.w, AH$11,
  _xlpm.r, MATCH(1,('3. Enter Indicator Scores'!$B$10:$B$161=$B100)*('3. Enter Indicator Scores'!$C$10:$C$161=$C100),0),
  _xlpm.c, MATCH(AH$8,'3. Enter Indicator Scores'!$D$8:$CZ$8,0),
  _xlpm.v, IFERROR(INDEX('3. Enter Indicator Scores'!$D$10:$CZ$161,_xlpm.r,_xlpm.c),""),
  IF(OR(_xlpm.w="",_xlpm.v=""),"",_xlpm.v*_xlpm.w)
)</f>
        <v/>
      </c>
      <c r="AI100" s="93" t="str" cm="1">
        <f t="array" ref="AI100">_xlfn.LET(
  _xlpm.w, AI$11,
  _xlpm.r, MATCH(1,('3. Enter Indicator Scores'!$B$10:$B$161=$B100)*('3. Enter Indicator Scores'!$C$10:$C$161=$C100),0),
  _xlpm.c, MATCH(AI$8,'3. Enter Indicator Scores'!$D$8:$CZ$8,0),
  _xlpm.v, IFERROR(INDEX('3. Enter Indicator Scores'!$D$10:$CZ$161,_xlpm.r,_xlpm.c),""),
  IF(OR(_xlpm.w="",_xlpm.v=""),"",_xlpm.v*_xlpm.w)
)</f>
        <v/>
      </c>
      <c r="AJ100" s="93" t="str" cm="1">
        <f t="array" ref="AJ100">_xlfn.LET(
  _xlpm.w, AJ$11,
  _xlpm.r, MATCH(1,('3. Enter Indicator Scores'!$B$10:$B$161=$B100)*('3. Enter Indicator Scores'!$C$10:$C$161=$C100),0),
  _xlpm.c, MATCH(AJ$8,'3. Enter Indicator Scores'!$D$8:$CZ$8,0),
  _xlpm.v, IFERROR(INDEX('3. Enter Indicator Scores'!$D$10:$CZ$161,_xlpm.r,_xlpm.c),""),
  IF(OR(_xlpm.w="",_xlpm.v=""),"",_xlpm.v*_xlpm.w)
)</f>
        <v/>
      </c>
      <c r="AK100" s="93" t="str" cm="1">
        <f t="array" ref="AK100">_xlfn.LET(
  _xlpm.w, AK$11,
  _xlpm.r, MATCH(1,('3. Enter Indicator Scores'!$B$10:$B$161=$B100)*('3. Enter Indicator Scores'!$C$10:$C$161=$C100),0),
  _xlpm.c, MATCH(AK$8,'3. Enter Indicator Scores'!$D$8:$CZ$8,0),
  _xlpm.v, IFERROR(INDEX('3. Enter Indicator Scores'!$D$10:$CZ$161,_xlpm.r,_xlpm.c),""),
  IF(OR(_xlpm.w="",_xlpm.v=""),"",_xlpm.v*_xlpm.w)
)</f>
        <v/>
      </c>
      <c r="AL100" s="93" t="str" cm="1">
        <f t="array" ref="AL100">_xlfn.LET(
  _xlpm.w, AL$11,
  _xlpm.r, MATCH(1,('3. Enter Indicator Scores'!$B$10:$B$161=$B100)*('3. Enter Indicator Scores'!$C$10:$C$161=$C100),0),
  _xlpm.c, MATCH(AL$8,'3. Enter Indicator Scores'!$D$8:$CZ$8,0),
  _xlpm.v, IFERROR(INDEX('3. Enter Indicator Scores'!$D$10:$CZ$161,_xlpm.r,_xlpm.c),""),
  IF(OR(_xlpm.w="",_xlpm.v=""),"",_xlpm.v*_xlpm.w)
)</f>
        <v/>
      </c>
      <c r="AM100" s="93" t="str" cm="1">
        <f t="array" ref="AM100">_xlfn.LET(
  _xlpm.w, AM$11,
  _xlpm.r, MATCH(1,('3. Enter Indicator Scores'!$B$10:$B$161=$B100)*('3. Enter Indicator Scores'!$C$10:$C$161=$C100),0),
  _xlpm.c, MATCH(AM$8,'3. Enter Indicator Scores'!$D$8:$CZ$8,0),
  _xlpm.v, IFERROR(INDEX('3. Enter Indicator Scores'!$D$10:$CZ$161,_xlpm.r,_xlpm.c),""),
  IF(OR(_xlpm.w="",_xlpm.v=""),"",_xlpm.v*_xlpm.w)
)</f>
        <v/>
      </c>
      <c r="AN100" s="93" t="str" cm="1">
        <f t="array" ref="AN100">_xlfn.LET(
  _xlpm.w, AN$11,
  _xlpm.r, MATCH(1,('3. Enter Indicator Scores'!$B$10:$B$161=$B100)*('3. Enter Indicator Scores'!$C$10:$C$161=$C100),0),
  _xlpm.c, MATCH(AN$8,'3. Enter Indicator Scores'!$D$8:$CZ$8,0),
  _xlpm.v, IFERROR(INDEX('3. Enter Indicator Scores'!$D$10:$CZ$161,_xlpm.r,_xlpm.c),""),
  IF(OR(_xlpm.w="",_xlpm.v=""),"",_xlpm.v*_xlpm.w)
)</f>
        <v/>
      </c>
      <c r="AO100" s="93" t="str" cm="1">
        <f t="array" ref="AO100">_xlfn.LET(
  _xlpm.w, AO$11,
  _xlpm.r, MATCH(1,('3. Enter Indicator Scores'!$B$10:$B$161=$B100)*('3. Enter Indicator Scores'!$C$10:$C$161=$C100),0),
  _xlpm.c, MATCH(AO$8,'3. Enter Indicator Scores'!$D$8:$CZ$8,0),
  _xlpm.v, IFERROR(INDEX('3. Enter Indicator Scores'!$D$10:$CZ$161,_xlpm.r,_xlpm.c),""),
  IF(OR(_xlpm.w="",_xlpm.v=""),"",_xlpm.v*_xlpm.w)
)</f>
        <v/>
      </c>
      <c r="AP100" s="93" t="str" cm="1">
        <f t="array" ref="AP100">_xlfn.LET(
  _xlpm.w, AP$11,
  _xlpm.r, MATCH(1,('3. Enter Indicator Scores'!$B$10:$B$161=$B100)*('3. Enter Indicator Scores'!$C$10:$C$161=$C100),0),
  _xlpm.c, MATCH(AP$8,'3. Enter Indicator Scores'!$D$8:$CZ$8,0),
  _xlpm.v, IFERROR(INDEX('3. Enter Indicator Scores'!$D$10:$CZ$161,_xlpm.r,_xlpm.c),""),
  IF(OR(_xlpm.w="",_xlpm.v=""),"",_xlpm.v*_xlpm.w)
)</f>
        <v/>
      </c>
      <c r="AQ100" s="93" t="str" cm="1">
        <f t="array" ref="AQ100">_xlfn.LET(
  _xlpm.w, AQ$11,
  _xlpm.r, MATCH(1,('3. Enter Indicator Scores'!$B$10:$B$161=$B100)*('3. Enter Indicator Scores'!$C$10:$C$161=$C100),0),
  _xlpm.c, MATCH(AQ$8,'3. Enter Indicator Scores'!$D$8:$CZ$8,0),
  _xlpm.v, IFERROR(INDEX('3. Enter Indicator Scores'!$D$10:$CZ$161,_xlpm.r,_xlpm.c),""),
  IF(OR(_xlpm.w="",_xlpm.v=""),"",_xlpm.v*_xlpm.w)
)</f>
        <v/>
      </c>
      <c r="AR100" s="93" t="str" cm="1">
        <f t="array" ref="AR100">_xlfn.LET(
  _xlpm.w, AR$11,
  _xlpm.r, MATCH(1,('3. Enter Indicator Scores'!$B$10:$B$161=$B100)*('3. Enter Indicator Scores'!$C$10:$C$161=$C100),0),
  _xlpm.c, MATCH(AR$8,'3. Enter Indicator Scores'!$D$8:$CZ$8,0),
  _xlpm.v, IFERROR(INDEX('3. Enter Indicator Scores'!$D$10:$CZ$161,_xlpm.r,_xlpm.c),""),
  IF(OR(_xlpm.w="",_xlpm.v=""),"",_xlpm.v*_xlpm.w)
)</f>
        <v/>
      </c>
      <c r="AS100" s="93" t="str" cm="1">
        <f t="array" ref="AS100">_xlfn.LET(
  _xlpm.w, AS$11,
  _xlpm.r, MATCH(1,('3. Enter Indicator Scores'!$B$10:$B$161=$B100)*('3. Enter Indicator Scores'!$C$10:$C$161=$C100),0),
  _xlpm.c, MATCH(AS$8,'3. Enter Indicator Scores'!$D$8:$CZ$8,0),
  _xlpm.v, IFERROR(INDEX('3. Enter Indicator Scores'!$D$10:$CZ$161,_xlpm.r,_xlpm.c),""),
  IF(OR(_xlpm.w="",_xlpm.v=""),"",_xlpm.v*_xlpm.w)
)</f>
        <v/>
      </c>
      <c r="AT100" s="93" t="str" cm="1">
        <f t="array" ref="AT100">_xlfn.LET(
  _xlpm.w, AT$11,
  _xlpm.r, MATCH(1,('3. Enter Indicator Scores'!$B$10:$B$161=$B100)*('3. Enter Indicator Scores'!$C$10:$C$161=$C100),0),
  _xlpm.c, MATCH(AT$8,'3. Enter Indicator Scores'!$D$8:$CZ$8,0),
  _xlpm.v, IFERROR(INDEX('3. Enter Indicator Scores'!$D$10:$CZ$161,_xlpm.r,_xlpm.c),""),
  IF(OR(_xlpm.w="",_xlpm.v=""),"",_xlpm.v*_xlpm.w)
)</f>
        <v/>
      </c>
      <c r="AU100" s="93" t="str" cm="1">
        <f t="array" ref="AU100">_xlfn.LET(
  _xlpm.w, AU$11,
  _xlpm.r, MATCH(1,('3. Enter Indicator Scores'!$B$10:$B$161=$B100)*('3. Enter Indicator Scores'!$C$10:$C$161=$C100),0),
  _xlpm.c, MATCH(AU$8,'3. Enter Indicator Scores'!$D$8:$CZ$8,0),
  _xlpm.v, IFERROR(INDEX('3. Enter Indicator Scores'!$D$10:$CZ$161,_xlpm.r,_xlpm.c),""),
  IF(OR(_xlpm.w="",_xlpm.v=""),"",_xlpm.v*_xlpm.w)
)</f>
        <v/>
      </c>
      <c r="AV100" s="93" t="str" cm="1">
        <f t="array" ref="AV100">_xlfn.LET(
  _xlpm.w, AV$11,
  _xlpm.r, MATCH(1,('3. Enter Indicator Scores'!$B$10:$B$161=$B100)*('3. Enter Indicator Scores'!$C$10:$C$161=$C100),0),
  _xlpm.c, MATCH(AV$8,'3. Enter Indicator Scores'!$D$8:$CZ$8,0),
  _xlpm.v, IFERROR(INDEX('3. Enter Indicator Scores'!$D$10:$CZ$161,_xlpm.r,_xlpm.c),""),
  IF(OR(_xlpm.w="",_xlpm.v=""),"",_xlpm.v*_xlpm.w)
)</f>
        <v/>
      </c>
      <c r="AW100" s="93" t="str" cm="1">
        <f t="array" ref="AW100">_xlfn.LET(
  _xlpm.w, AW$11,
  _xlpm.r, MATCH(1,('3. Enter Indicator Scores'!$B$10:$B$161=$B100)*('3. Enter Indicator Scores'!$C$10:$C$161=$C100),0),
  _xlpm.c, MATCH(AW$8,'3. Enter Indicator Scores'!$D$8:$CZ$8,0),
  _xlpm.v, IFERROR(INDEX('3. Enter Indicator Scores'!$D$10:$CZ$161,_xlpm.r,_xlpm.c),""),
  IF(OR(_xlpm.w="",_xlpm.v=""),"",_xlpm.v*_xlpm.w)
)</f>
        <v/>
      </c>
      <c r="AX100" s="93" t="str" cm="1">
        <f t="array" ref="AX100">_xlfn.LET(
  _xlpm.w, AX$11,
  _xlpm.r, MATCH(1,('3. Enter Indicator Scores'!$B$10:$B$161=$B100)*('3. Enter Indicator Scores'!$C$10:$C$161=$C100),0),
  _xlpm.c, MATCH(AX$8,'3. Enter Indicator Scores'!$D$8:$CZ$8,0),
  _xlpm.v, IFERROR(INDEX('3. Enter Indicator Scores'!$D$10:$CZ$161,_xlpm.r,_xlpm.c),""),
  IF(OR(_xlpm.w="",_xlpm.v=""),"",_xlpm.v*_xlpm.w)
)</f>
        <v/>
      </c>
      <c r="AY100" s="93" t="str" cm="1">
        <f t="array" ref="AY100">_xlfn.LET(
  _xlpm.w, AY$11,
  _xlpm.r, MATCH(1,('3. Enter Indicator Scores'!$B$10:$B$161=$B100)*('3. Enter Indicator Scores'!$C$10:$C$161=$C100),0),
  _xlpm.c, MATCH(AY$8,'3. Enter Indicator Scores'!$D$8:$CZ$8,0),
  _xlpm.v, IFERROR(INDEX('3. Enter Indicator Scores'!$D$10:$CZ$161,_xlpm.r,_xlpm.c),""),
  IF(OR(_xlpm.w="",_xlpm.v=""),"",_xlpm.v*_xlpm.w)
)</f>
        <v/>
      </c>
      <c r="AZ100" s="93" t="str" cm="1">
        <f t="array" ref="AZ100">_xlfn.LET(
  _xlpm.w, AZ$11,
  _xlpm.r, MATCH(1,('3. Enter Indicator Scores'!$B$10:$B$161=$B100)*('3. Enter Indicator Scores'!$C$10:$C$161=$C100),0),
  _xlpm.c, MATCH(AZ$8,'3. Enter Indicator Scores'!$D$8:$CZ$8,0),
  _xlpm.v, IFERROR(INDEX('3. Enter Indicator Scores'!$D$10:$CZ$161,_xlpm.r,_xlpm.c),""),
  IF(OR(_xlpm.w="",_xlpm.v=""),"",_xlpm.v*_xlpm.w)
)</f>
        <v/>
      </c>
      <c r="BA100" s="93" t="str" cm="1">
        <f t="array" ref="BA100">_xlfn.LET(
  _xlpm.w, BA$11,
  _xlpm.r, MATCH(1,('3. Enter Indicator Scores'!$B$10:$B$161=$B100)*('3. Enter Indicator Scores'!$C$10:$C$161=$C100),0),
  _xlpm.c, MATCH(BA$8,'3. Enter Indicator Scores'!$D$8:$CZ$8,0),
  _xlpm.v, IFERROR(INDEX('3. Enter Indicator Scores'!$D$10:$CZ$161,_xlpm.r,_xlpm.c),""),
  IF(OR(_xlpm.w="",_xlpm.v=""),"",_xlpm.v*_xlpm.w)
)</f>
        <v/>
      </c>
      <c r="BB100" s="93" t="str" cm="1">
        <f t="array" ref="BB100">_xlfn.LET(
  _xlpm.w, BB$11,
  _xlpm.r, MATCH(1,('3. Enter Indicator Scores'!$B$10:$B$161=$B100)*('3. Enter Indicator Scores'!$C$10:$C$161=$C100),0),
  _xlpm.c, MATCH(BB$8,'3. Enter Indicator Scores'!$D$8:$CZ$8,0),
  _xlpm.v, IFERROR(INDEX('3. Enter Indicator Scores'!$D$10:$CZ$161,_xlpm.r,_xlpm.c),""),
  IF(OR(_xlpm.w="",_xlpm.v=""),"",_xlpm.v*_xlpm.w)
)</f>
        <v/>
      </c>
      <c r="BC100" s="93" t="str" cm="1">
        <f t="array" ref="BC100">_xlfn.LET(
  _xlpm.w, BC$11,
  _xlpm.r, MATCH(1,('3. Enter Indicator Scores'!$B$10:$B$161=$B100)*('3. Enter Indicator Scores'!$C$10:$C$161=$C100),0),
  _xlpm.c, MATCH(BC$8,'3. Enter Indicator Scores'!$D$8:$CZ$8,0),
  _xlpm.v, IFERROR(INDEX('3. Enter Indicator Scores'!$D$10:$CZ$161,_xlpm.r,_xlpm.c),""),
  IF(OR(_xlpm.w="",_xlpm.v=""),"",_xlpm.v*_xlpm.w)
)</f>
        <v/>
      </c>
      <c r="BD100" s="93" t="str" cm="1">
        <f t="array" ref="BD100">_xlfn.LET(
  _xlpm.w, BD$11,
  _xlpm.r, MATCH(1,('3. Enter Indicator Scores'!$B$10:$B$161=$B100)*('3. Enter Indicator Scores'!$C$10:$C$161=$C100),0),
  _xlpm.c, MATCH(BD$8,'3. Enter Indicator Scores'!$D$8:$CZ$8,0),
  _xlpm.v, IFERROR(INDEX('3. Enter Indicator Scores'!$D$10:$CZ$161,_xlpm.r,_xlpm.c),""),
  IF(OR(_xlpm.w="",_xlpm.v=""),"",_xlpm.v*_xlpm.w)
)</f>
        <v/>
      </c>
      <c r="BE100" s="93" t="str" cm="1">
        <f t="array" ref="BE100">_xlfn.LET(
  _xlpm.w, BE$11,
  _xlpm.r, MATCH(1,('3. Enter Indicator Scores'!$B$10:$B$161=$B100)*('3. Enter Indicator Scores'!$C$10:$C$161=$C100),0),
  _xlpm.c, MATCH(BE$8,'3. Enter Indicator Scores'!$D$8:$CZ$8,0),
  _xlpm.v, IFERROR(INDEX('3. Enter Indicator Scores'!$D$10:$CZ$161,_xlpm.r,_xlpm.c),""),
  IF(OR(_xlpm.w="",_xlpm.v=""),"",_xlpm.v*_xlpm.w)
)</f>
        <v/>
      </c>
      <c r="BF100" s="93" t="str" cm="1">
        <f t="array" ref="BF100">_xlfn.LET(
  _xlpm.w, BF$11,
  _xlpm.r, MATCH(1,('3. Enter Indicator Scores'!$B$10:$B$161=$B100)*('3. Enter Indicator Scores'!$C$10:$C$161=$C100),0),
  _xlpm.c, MATCH(BF$8,'3. Enter Indicator Scores'!$D$8:$CZ$8,0),
  _xlpm.v, IFERROR(INDEX('3. Enter Indicator Scores'!$D$10:$CZ$161,_xlpm.r,_xlpm.c),""),
  IF(OR(_xlpm.w="",_xlpm.v=""),"",_xlpm.v*_xlpm.w)
)</f>
        <v/>
      </c>
      <c r="BG100" s="93" t="str" cm="1">
        <f t="array" ref="BG100">_xlfn.LET(
  _xlpm.w, BG$11,
  _xlpm.r, MATCH(1,('3. Enter Indicator Scores'!$B$10:$B$161=$B100)*('3. Enter Indicator Scores'!$C$10:$C$161=$C100),0),
  _xlpm.c, MATCH(BG$8,'3. Enter Indicator Scores'!$D$8:$CZ$8,0),
  _xlpm.v, IFERROR(INDEX('3. Enter Indicator Scores'!$D$10:$CZ$161,_xlpm.r,_xlpm.c),""),
  IF(OR(_xlpm.w="",_xlpm.v=""),"",_xlpm.v*_xlpm.w)
)</f>
        <v/>
      </c>
      <c r="BH100" s="93" t="str" cm="1">
        <f t="array" ref="BH100">_xlfn.LET(
  _xlpm.w, BH$11,
  _xlpm.r, MATCH(1,('3. Enter Indicator Scores'!$B$10:$B$161=$B100)*('3. Enter Indicator Scores'!$C$10:$C$161=$C100),0),
  _xlpm.c, MATCH(BH$8,'3. Enter Indicator Scores'!$D$8:$CZ$8,0),
  _xlpm.v, IFERROR(INDEX('3. Enter Indicator Scores'!$D$10:$CZ$161,_xlpm.r,_xlpm.c),""),
  IF(OR(_xlpm.w="",_xlpm.v=""),"",_xlpm.v*_xlpm.w)
)</f>
        <v/>
      </c>
      <c r="BI100" s="93" t="str" cm="1">
        <f t="array" ref="BI100">_xlfn.LET(
  _xlpm.w, BI$11,
  _xlpm.r, MATCH(1,('3. Enter Indicator Scores'!$B$10:$B$161=$B100)*('3. Enter Indicator Scores'!$C$10:$C$161=$C100),0),
  _xlpm.c, MATCH(BI$8,'3. Enter Indicator Scores'!$D$8:$CZ$8,0),
  _xlpm.v, IFERROR(INDEX('3. Enter Indicator Scores'!$D$10:$CZ$161,_xlpm.r,_xlpm.c),""),
  IF(OR(_xlpm.w="",_xlpm.v=""),"",_xlpm.v*_xlpm.w)
)</f>
        <v/>
      </c>
      <c r="BJ100" s="93" t="str" cm="1">
        <f t="array" ref="BJ100">_xlfn.LET(
  _xlpm.w, BJ$11,
  _xlpm.r, MATCH(1,('3. Enter Indicator Scores'!$B$10:$B$161=$B100)*('3. Enter Indicator Scores'!$C$10:$C$161=$C100),0),
  _xlpm.c, MATCH(BJ$8,'3. Enter Indicator Scores'!$D$8:$CZ$8,0),
  _xlpm.v, IFERROR(INDEX('3. Enter Indicator Scores'!$D$10:$CZ$161,_xlpm.r,_xlpm.c),""),
  IF(OR(_xlpm.w="",_xlpm.v=""),"",_xlpm.v*_xlpm.w)
)</f>
        <v/>
      </c>
      <c r="BK100" s="93" t="str" cm="1">
        <f t="array" ref="BK100">_xlfn.LET(
  _xlpm.w, BK$11,
  _xlpm.r, MATCH(1,('3. Enter Indicator Scores'!$B$10:$B$161=$B100)*('3. Enter Indicator Scores'!$C$10:$C$161=$C100),0),
  _xlpm.c, MATCH(BK$8,'3. Enter Indicator Scores'!$D$8:$CZ$8,0),
  _xlpm.v, IFERROR(INDEX('3. Enter Indicator Scores'!$D$10:$CZ$161,_xlpm.r,_xlpm.c),""),
  IF(OR(_xlpm.w="",_xlpm.v=""),"",_xlpm.v*_xlpm.w)
)</f>
        <v/>
      </c>
      <c r="BL100" s="93" t="str" cm="1">
        <f t="array" ref="BL100">_xlfn.LET(
  _xlpm.w, BL$11,
  _xlpm.r, MATCH(1,('3. Enter Indicator Scores'!$B$10:$B$161=$B100)*('3. Enter Indicator Scores'!$C$10:$C$161=$C100),0),
  _xlpm.c, MATCH(BL$8,'3. Enter Indicator Scores'!$D$8:$CZ$8,0),
  _xlpm.v, IFERROR(INDEX('3. Enter Indicator Scores'!$D$10:$CZ$161,_xlpm.r,_xlpm.c),""),
  IF(OR(_xlpm.w="",_xlpm.v=""),"",_xlpm.v*_xlpm.w)
)</f>
        <v/>
      </c>
      <c r="BM100" s="93" t="str" cm="1">
        <f t="array" ref="BM100">_xlfn.LET(
  _xlpm.w, BM$11,
  _xlpm.r, MATCH(1,('3. Enter Indicator Scores'!$B$10:$B$161=$B100)*('3. Enter Indicator Scores'!$C$10:$C$161=$C100),0),
  _xlpm.c, MATCH(BM$8,'3. Enter Indicator Scores'!$D$8:$CZ$8,0),
  _xlpm.v, IFERROR(INDEX('3. Enter Indicator Scores'!$D$10:$CZ$161,_xlpm.r,_xlpm.c),""),
  IF(OR(_xlpm.w="",_xlpm.v=""),"",_xlpm.v*_xlpm.w)
)</f>
        <v/>
      </c>
      <c r="BN100" s="93" t="str" cm="1">
        <f t="array" ref="BN100">_xlfn.LET(
  _xlpm.w, BN$11,
  _xlpm.r, MATCH(1,('3. Enter Indicator Scores'!$B$10:$B$161=$B100)*('3. Enter Indicator Scores'!$C$10:$C$161=$C100),0),
  _xlpm.c, MATCH(BN$8,'3. Enter Indicator Scores'!$D$8:$CZ$8,0),
  _xlpm.v, IFERROR(INDEX('3. Enter Indicator Scores'!$D$10:$CZ$161,_xlpm.r,_xlpm.c),""),
  IF(OR(_xlpm.w="",_xlpm.v=""),"",_xlpm.v*_xlpm.w)
)</f>
        <v/>
      </c>
      <c r="BO100" s="93" t="str" cm="1">
        <f t="array" ref="BO100">_xlfn.LET(
  _xlpm.w, BO$11,
  _xlpm.r, MATCH(1,('3. Enter Indicator Scores'!$B$10:$B$161=$B100)*('3. Enter Indicator Scores'!$C$10:$C$161=$C100),0),
  _xlpm.c, MATCH(BO$8,'3. Enter Indicator Scores'!$D$8:$CZ$8,0),
  _xlpm.v, IFERROR(INDEX('3. Enter Indicator Scores'!$D$10:$CZ$161,_xlpm.r,_xlpm.c),""),
  IF(OR(_xlpm.w="",_xlpm.v=""),"",_xlpm.v*_xlpm.w)
)</f>
        <v/>
      </c>
      <c r="BP100" s="93" t="str" cm="1">
        <f t="array" ref="BP100">_xlfn.LET(
  _xlpm.w, BP$11,
  _xlpm.r, MATCH(1,('3. Enter Indicator Scores'!$B$10:$B$161=$B100)*('3. Enter Indicator Scores'!$C$10:$C$161=$C100),0),
  _xlpm.c, MATCH(BP$8,'3. Enter Indicator Scores'!$D$8:$CZ$8,0),
  _xlpm.v, IFERROR(INDEX('3. Enter Indicator Scores'!$D$10:$CZ$161,_xlpm.r,_xlpm.c),""),
  IF(OR(_xlpm.w="",_xlpm.v=""),"",_xlpm.v*_xlpm.w)
)</f>
        <v/>
      </c>
      <c r="BQ100" s="93" t="str" cm="1">
        <f t="array" ref="BQ100">_xlfn.LET(
  _xlpm.w, BQ$11,
  _xlpm.r, MATCH(1,('3. Enter Indicator Scores'!$B$10:$B$161=$B100)*('3. Enter Indicator Scores'!$C$10:$C$161=$C100),0),
  _xlpm.c, MATCH(BQ$8,'3. Enter Indicator Scores'!$D$8:$CZ$8,0),
  _xlpm.v, IFERROR(INDEX('3. Enter Indicator Scores'!$D$10:$CZ$161,_xlpm.r,_xlpm.c),""),
  IF(OR(_xlpm.w="",_xlpm.v=""),"",_xlpm.v*_xlpm.w)
)</f>
        <v/>
      </c>
      <c r="BR100" s="93" t="str" cm="1">
        <f t="array" ref="BR100">_xlfn.LET(
  _xlpm.w, BR$11,
  _xlpm.r, MATCH(1,('3. Enter Indicator Scores'!$B$10:$B$161=$B100)*('3. Enter Indicator Scores'!$C$10:$C$161=$C100),0),
  _xlpm.c, MATCH(BR$8,'3. Enter Indicator Scores'!$D$8:$CZ$8,0),
  _xlpm.v, IFERROR(INDEX('3. Enter Indicator Scores'!$D$10:$CZ$161,_xlpm.r,_xlpm.c),""),
  IF(OR(_xlpm.w="",_xlpm.v=""),"",_xlpm.v*_xlpm.w)
)</f>
        <v/>
      </c>
      <c r="BS100" s="93" t="str" cm="1">
        <f t="array" ref="BS100">_xlfn.LET(
  _xlpm.w, BS$11,
  _xlpm.r, MATCH(1,('3. Enter Indicator Scores'!$B$10:$B$161=$B100)*('3. Enter Indicator Scores'!$C$10:$C$161=$C100),0),
  _xlpm.c, MATCH(BS$8,'3. Enter Indicator Scores'!$D$8:$CZ$8,0),
  _xlpm.v, IFERROR(INDEX('3. Enter Indicator Scores'!$D$10:$CZ$161,_xlpm.r,_xlpm.c),""),
  IF(OR(_xlpm.w="",_xlpm.v=""),"",_xlpm.v*_xlpm.w)
)</f>
        <v/>
      </c>
      <c r="BT100" s="93" t="str" cm="1">
        <f t="array" ref="BT100">_xlfn.LET(
  _xlpm.w, BT$11,
  _xlpm.r, MATCH(1,('3. Enter Indicator Scores'!$B$10:$B$161=$B100)*('3. Enter Indicator Scores'!$C$10:$C$161=$C100),0),
  _xlpm.c, MATCH(BT$8,'3. Enter Indicator Scores'!$D$8:$CZ$8,0),
  _xlpm.v, IFERROR(INDEX('3. Enter Indicator Scores'!$D$10:$CZ$161,_xlpm.r,_xlpm.c),""),
  IF(OR(_xlpm.w="",_xlpm.v=""),"",_xlpm.v*_xlpm.w)
)</f>
        <v/>
      </c>
      <c r="BU100" s="93" t="str" cm="1">
        <f t="array" ref="BU100">_xlfn.LET(
  _xlpm.w, BU$11,
  _xlpm.r, MATCH(1,('3. Enter Indicator Scores'!$B$10:$B$161=$B100)*('3. Enter Indicator Scores'!$C$10:$C$161=$C100),0),
  _xlpm.c, MATCH(BU$8,'3. Enter Indicator Scores'!$D$8:$CZ$8,0),
  _xlpm.v, IFERROR(INDEX('3. Enter Indicator Scores'!$D$10:$CZ$161,_xlpm.r,_xlpm.c),""),
  IF(OR(_xlpm.w="",_xlpm.v=""),"",_xlpm.v*_xlpm.w)
)</f>
        <v/>
      </c>
      <c r="BV100" s="93" t="str" cm="1">
        <f t="array" ref="BV100">_xlfn.LET(
  _xlpm.w, BV$11,
  _xlpm.r, MATCH(1,('3. Enter Indicator Scores'!$B$10:$B$161=$B100)*('3. Enter Indicator Scores'!$C$10:$C$161=$C100),0),
  _xlpm.c, MATCH(BV$8,'3. Enter Indicator Scores'!$D$8:$CZ$8,0),
  _xlpm.v, IFERROR(INDEX('3. Enter Indicator Scores'!$D$10:$CZ$161,_xlpm.r,_xlpm.c),""),
  IF(OR(_xlpm.w="",_xlpm.v=""),"",_xlpm.v*_xlpm.w)
)</f>
        <v/>
      </c>
      <c r="BW100" s="93" t="str" cm="1">
        <f t="array" ref="BW100">_xlfn.LET(
  _xlpm.w, BW$11,
  _xlpm.r, MATCH(1,('3. Enter Indicator Scores'!$B$10:$B$161=$B100)*('3. Enter Indicator Scores'!$C$10:$C$161=$C100),0),
  _xlpm.c, MATCH(BW$8,'3. Enter Indicator Scores'!$D$8:$CZ$8,0),
  _xlpm.v, IFERROR(INDEX('3. Enter Indicator Scores'!$D$10:$CZ$161,_xlpm.r,_xlpm.c),""),
  IF(OR(_xlpm.w="",_xlpm.v=""),"",_xlpm.v*_xlpm.w)
)</f>
        <v/>
      </c>
      <c r="BX100" s="93" t="str" cm="1">
        <f t="array" ref="BX100">_xlfn.LET(
  _xlpm.w, BX$11,
  _xlpm.r, MATCH(1,('3. Enter Indicator Scores'!$B$10:$B$161=$B100)*('3. Enter Indicator Scores'!$C$10:$C$161=$C100),0),
  _xlpm.c, MATCH(BX$8,'3. Enter Indicator Scores'!$D$8:$CZ$8,0),
  _xlpm.v, IFERROR(INDEX('3. Enter Indicator Scores'!$D$10:$CZ$161,_xlpm.r,_xlpm.c),""),
  IF(OR(_xlpm.w="",_xlpm.v=""),"",_xlpm.v*_xlpm.w)
)</f>
        <v/>
      </c>
      <c r="BY100" s="93" t="str" cm="1">
        <f t="array" ref="BY100">_xlfn.LET(
  _xlpm.w, BY$11,
  _xlpm.r, MATCH(1,('3. Enter Indicator Scores'!$B$10:$B$161=$B100)*('3. Enter Indicator Scores'!$C$10:$C$161=$C100),0),
  _xlpm.c, MATCH(BY$8,'3. Enter Indicator Scores'!$D$8:$CZ$8,0),
  _xlpm.v, IFERROR(INDEX('3. Enter Indicator Scores'!$D$10:$CZ$161,_xlpm.r,_xlpm.c),""),
  IF(OR(_xlpm.w="",_xlpm.v=""),"",_xlpm.v*_xlpm.w)
)</f>
        <v/>
      </c>
      <c r="BZ100" s="93" t="str" cm="1">
        <f t="array" ref="BZ100">_xlfn.LET(
  _xlpm.w, BZ$11,
  _xlpm.r, MATCH(1,('3. Enter Indicator Scores'!$B$10:$B$161=$B100)*('3. Enter Indicator Scores'!$C$10:$C$161=$C100),0),
  _xlpm.c, MATCH(BZ$8,'3. Enter Indicator Scores'!$D$8:$CZ$8,0),
  _xlpm.v, IFERROR(INDEX('3. Enter Indicator Scores'!$D$10:$CZ$161,_xlpm.r,_xlpm.c),""),
  IF(OR(_xlpm.w="",_xlpm.v=""),"",_xlpm.v*_xlpm.w)
)</f>
        <v/>
      </c>
      <c r="CA100" s="93" t="str" cm="1">
        <f t="array" ref="CA100">_xlfn.LET(
  _xlpm.w, CA$11,
  _xlpm.r, MATCH(1,('3. Enter Indicator Scores'!$B$10:$B$161=$B100)*('3. Enter Indicator Scores'!$C$10:$C$161=$C100),0),
  _xlpm.c, MATCH(CA$8,'3. Enter Indicator Scores'!$D$8:$CZ$8,0),
  _xlpm.v, IFERROR(INDEX('3. Enter Indicator Scores'!$D$10:$CZ$161,_xlpm.r,_xlpm.c),""),
  IF(OR(_xlpm.w="",_xlpm.v=""),"",_xlpm.v*_xlpm.w)
)</f>
        <v/>
      </c>
      <c r="CB100" s="93" t="str" cm="1">
        <f t="array" ref="CB100">_xlfn.LET(
  _xlpm.w, CB$11,
  _xlpm.r, MATCH(1,('3. Enter Indicator Scores'!$B$10:$B$161=$B100)*('3. Enter Indicator Scores'!$C$10:$C$161=$C100),0),
  _xlpm.c, MATCH(CB$8,'3. Enter Indicator Scores'!$D$8:$CZ$8,0),
  _xlpm.v, IFERROR(INDEX('3. Enter Indicator Scores'!$D$10:$CZ$161,_xlpm.r,_xlpm.c),""),
  IF(OR(_xlpm.w="",_xlpm.v=""),"",_xlpm.v*_xlpm.w)
)</f>
        <v/>
      </c>
      <c r="CC100" s="93" t="str" cm="1">
        <f t="array" ref="CC100">_xlfn.LET(
  _xlpm.w, CC$11,
  _xlpm.r, MATCH(1,('3. Enter Indicator Scores'!$B$10:$B$161=$B100)*('3. Enter Indicator Scores'!$C$10:$C$161=$C100),0),
  _xlpm.c, MATCH(CC$8,'3. Enter Indicator Scores'!$D$8:$CZ$8,0),
  _xlpm.v, IFERROR(INDEX('3. Enter Indicator Scores'!$D$10:$CZ$161,_xlpm.r,_xlpm.c),""),
  IF(OR(_xlpm.w="",_xlpm.v=""),"",_xlpm.v*_xlpm.w)
)</f>
        <v/>
      </c>
      <c r="CD100" s="93" t="str" cm="1">
        <f t="array" ref="CD100">_xlfn.LET(
  _xlpm.w, CD$11,
  _xlpm.r, MATCH(1,('3. Enter Indicator Scores'!$B$10:$B$161=$B100)*('3. Enter Indicator Scores'!$C$10:$C$161=$C100),0),
  _xlpm.c, MATCH(CD$8,'3. Enter Indicator Scores'!$D$8:$CZ$8,0),
  _xlpm.v, IFERROR(INDEX('3. Enter Indicator Scores'!$D$10:$CZ$161,_xlpm.r,_xlpm.c),""),
  IF(OR(_xlpm.w="",_xlpm.v=""),"",_xlpm.v*_xlpm.w)
)</f>
        <v/>
      </c>
      <c r="CE100" s="93" t="str" cm="1">
        <f t="array" ref="CE100">_xlfn.LET(
  _xlpm.w, CE$11,
  _xlpm.r, MATCH(1,('3. Enter Indicator Scores'!$B$10:$B$161=$B100)*('3. Enter Indicator Scores'!$C$10:$C$161=$C100),0),
  _xlpm.c, MATCH(CE$8,'3. Enter Indicator Scores'!$D$8:$CZ$8,0),
  _xlpm.v, IFERROR(INDEX('3. Enter Indicator Scores'!$D$10:$CZ$161,_xlpm.r,_xlpm.c),""),
  IF(OR(_xlpm.w="",_xlpm.v=""),"",_xlpm.v*_xlpm.w)
)</f>
        <v/>
      </c>
      <c r="CF100" s="93" t="str" cm="1">
        <f t="array" ref="CF100">_xlfn.LET(
  _xlpm.w, CF$11,
  _xlpm.r, MATCH(1,('3. Enter Indicator Scores'!$B$10:$B$161=$B100)*('3. Enter Indicator Scores'!$C$10:$C$161=$C100),0),
  _xlpm.c, MATCH(CF$8,'3. Enter Indicator Scores'!$D$8:$CZ$8,0),
  _xlpm.v, IFERROR(INDEX('3. Enter Indicator Scores'!$D$10:$CZ$161,_xlpm.r,_xlpm.c),""),
  IF(OR(_xlpm.w="",_xlpm.v=""),"",_xlpm.v*_xlpm.w)
)</f>
        <v/>
      </c>
      <c r="CG100" s="93" t="str" cm="1">
        <f t="array" ref="CG100">_xlfn.LET(
  _xlpm.w, CG$11,
  _xlpm.r, MATCH(1,('3. Enter Indicator Scores'!$B$10:$B$161=$B100)*('3. Enter Indicator Scores'!$C$10:$C$161=$C100),0),
  _xlpm.c, MATCH(CG$8,'3. Enter Indicator Scores'!$D$8:$CZ$8,0),
  _xlpm.v, IFERROR(INDEX('3. Enter Indicator Scores'!$D$10:$CZ$161,_xlpm.r,_xlpm.c),""),
  IF(OR(_xlpm.w="",_xlpm.v=""),"",_xlpm.v*_xlpm.w)
)</f>
        <v/>
      </c>
      <c r="CH100" s="93" t="str" cm="1">
        <f t="array" ref="CH100">_xlfn.LET(
  _xlpm.w, CH$11,
  _xlpm.r, MATCH(1,('3. Enter Indicator Scores'!$B$10:$B$161=$B100)*('3. Enter Indicator Scores'!$C$10:$C$161=$C100),0),
  _xlpm.c, MATCH(CH$8,'3. Enter Indicator Scores'!$D$8:$CZ$8,0),
  _xlpm.v, IFERROR(INDEX('3. Enter Indicator Scores'!$D$10:$CZ$161,_xlpm.r,_xlpm.c),""),
  IF(OR(_xlpm.w="",_xlpm.v=""),"",_xlpm.v*_xlpm.w)
)</f>
        <v/>
      </c>
      <c r="CI100" s="93" t="str" cm="1">
        <f t="array" ref="CI100">_xlfn.LET(
  _xlpm.w, CI$11,
  _xlpm.r, MATCH(1,('3. Enter Indicator Scores'!$B$10:$B$161=$B100)*('3. Enter Indicator Scores'!$C$10:$C$161=$C100),0),
  _xlpm.c, MATCH(CI$8,'3. Enter Indicator Scores'!$D$8:$CZ$8,0),
  _xlpm.v, IFERROR(INDEX('3. Enter Indicator Scores'!$D$10:$CZ$161,_xlpm.r,_xlpm.c),""),
  IF(OR(_xlpm.w="",_xlpm.v=""),"",_xlpm.v*_xlpm.w)
)</f>
        <v/>
      </c>
      <c r="CJ100" s="93" t="str" cm="1">
        <f t="array" ref="CJ100">_xlfn.LET(
  _xlpm.w, CJ$11,
  _xlpm.r, MATCH(1,('3. Enter Indicator Scores'!$B$10:$B$161=$B100)*('3. Enter Indicator Scores'!$C$10:$C$161=$C100),0),
  _xlpm.c, MATCH(CJ$8,'3. Enter Indicator Scores'!$D$8:$CZ$8,0),
  _xlpm.v, IFERROR(INDEX('3. Enter Indicator Scores'!$D$10:$CZ$161,_xlpm.r,_xlpm.c),""),
  IF(OR(_xlpm.w="",_xlpm.v=""),"",_xlpm.v*_xlpm.w)
)</f>
        <v/>
      </c>
      <c r="CK100" s="93" t="str" cm="1">
        <f t="array" ref="CK100">_xlfn.LET(
  _xlpm.w, CK$11,
  _xlpm.r, MATCH(1,('3. Enter Indicator Scores'!$B$10:$B$161=$B100)*('3. Enter Indicator Scores'!$C$10:$C$161=$C100),0),
  _xlpm.c, MATCH(CK$8,'3. Enter Indicator Scores'!$D$8:$CZ$8,0),
  _xlpm.v, IFERROR(INDEX('3. Enter Indicator Scores'!$D$10:$CZ$161,_xlpm.r,_xlpm.c),""),
  IF(OR(_xlpm.w="",_xlpm.v=""),"",_xlpm.v*_xlpm.w)
)</f>
        <v/>
      </c>
      <c r="CL100" s="93" t="str" cm="1">
        <f t="array" ref="CL100">_xlfn.LET(
  _xlpm.w, CL$11,
  _xlpm.r, MATCH(1,('3. Enter Indicator Scores'!$B$10:$B$161=$B100)*('3. Enter Indicator Scores'!$C$10:$C$161=$C100),0),
  _xlpm.c, MATCH(CL$8,'3. Enter Indicator Scores'!$D$8:$CZ$8,0),
  _xlpm.v, IFERROR(INDEX('3. Enter Indicator Scores'!$D$10:$CZ$161,_xlpm.r,_xlpm.c),""),
  IF(OR(_xlpm.w="",_xlpm.v=""),"",_xlpm.v*_xlpm.w)
)</f>
        <v/>
      </c>
      <c r="CM100" s="93" t="str" cm="1">
        <f t="array" ref="CM100">_xlfn.LET(
  _xlpm.w, CM$11,
  _xlpm.r, MATCH(1,('3. Enter Indicator Scores'!$B$10:$B$161=$B100)*('3. Enter Indicator Scores'!$C$10:$C$161=$C100),0),
  _xlpm.c, MATCH(CM$8,'3. Enter Indicator Scores'!$D$8:$CZ$8,0),
  _xlpm.v, IFERROR(INDEX('3. Enter Indicator Scores'!$D$10:$CZ$161,_xlpm.r,_xlpm.c),""),
  IF(OR(_xlpm.w="",_xlpm.v=""),"",_xlpm.v*_xlpm.w)
)</f>
        <v/>
      </c>
      <c r="CN100" s="93" t="str" cm="1">
        <f t="array" ref="CN100">_xlfn.LET(
  _xlpm.w, CN$11,
  _xlpm.r, MATCH(1,('3. Enter Indicator Scores'!$B$10:$B$161=$B100)*('3. Enter Indicator Scores'!$C$10:$C$161=$C100),0),
  _xlpm.c, MATCH(CN$8,'3. Enter Indicator Scores'!$D$8:$CZ$8,0),
  _xlpm.v, IFERROR(INDEX('3. Enter Indicator Scores'!$D$10:$CZ$161,_xlpm.r,_xlpm.c),""),
  IF(OR(_xlpm.w="",_xlpm.v=""),"",_xlpm.v*_xlpm.w)
)</f>
        <v/>
      </c>
      <c r="CO100" s="93" t="str" cm="1">
        <f t="array" ref="CO100">_xlfn.LET(
  _xlpm.w, CO$11,
  _xlpm.r, MATCH(1,('3. Enter Indicator Scores'!$B$10:$B$161=$B100)*('3. Enter Indicator Scores'!$C$10:$C$161=$C100),0),
  _xlpm.c, MATCH(CO$8,'3. Enter Indicator Scores'!$D$8:$CZ$8,0),
  _xlpm.v, IFERROR(INDEX('3. Enter Indicator Scores'!$D$10:$CZ$161,_xlpm.r,_xlpm.c),""),
  IF(OR(_xlpm.w="",_xlpm.v=""),"",_xlpm.v*_xlpm.w)
)</f>
        <v/>
      </c>
      <c r="CP100" s="93" t="str" cm="1">
        <f t="array" ref="CP100">_xlfn.LET(
  _xlpm.w, CP$11,
  _xlpm.r, MATCH(1,('3. Enter Indicator Scores'!$B$10:$B$161=$B100)*('3. Enter Indicator Scores'!$C$10:$C$161=$C100),0),
  _xlpm.c, MATCH(CP$8,'3. Enter Indicator Scores'!$D$8:$CZ$8,0),
  _xlpm.v, IFERROR(INDEX('3. Enter Indicator Scores'!$D$10:$CZ$161,_xlpm.r,_xlpm.c),""),
  IF(OR(_xlpm.w="",_xlpm.v=""),"",_xlpm.v*_xlpm.w)
)</f>
        <v/>
      </c>
      <c r="CQ100" s="93" t="str" cm="1">
        <f t="array" ref="CQ100">_xlfn.LET(
  _xlpm.w, CQ$11,
  _xlpm.r, MATCH(1,('3. Enter Indicator Scores'!$B$10:$B$161=$B100)*('3. Enter Indicator Scores'!$C$10:$C$161=$C100),0),
  _xlpm.c, MATCH(CQ$8,'3. Enter Indicator Scores'!$D$8:$CZ$8,0),
  _xlpm.v, IFERROR(INDEX('3. Enter Indicator Scores'!$D$10:$CZ$161,_xlpm.r,_xlpm.c),""),
  IF(OR(_xlpm.w="",_xlpm.v=""),"",_xlpm.v*_xlpm.w)
)</f>
        <v/>
      </c>
      <c r="CR100" s="93" t="str" cm="1">
        <f t="array" ref="CR100">_xlfn.LET(
  _xlpm.w, CR$11,
  _xlpm.r, MATCH(1,('3. Enter Indicator Scores'!$B$10:$B$161=$B100)*('3. Enter Indicator Scores'!$C$10:$C$161=$C100),0),
  _xlpm.c, MATCH(CR$8,'3. Enter Indicator Scores'!$D$8:$CZ$8,0),
  _xlpm.v, IFERROR(INDEX('3. Enter Indicator Scores'!$D$10:$CZ$161,_xlpm.r,_xlpm.c),""),
  IF(OR(_xlpm.w="",_xlpm.v=""),"",_xlpm.v*_xlpm.w)
)</f>
        <v/>
      </c>
      <c r="CS100" s="93" t="str" cm="1">
        <f t="array" ref="CS100">_xlfn.LET(
  _xlpm.w, CS$11,
  _xlpm.r, MATCH(1,('3. Enter Indicator Scores'!$B$10:$B$161=$B100)*('3. Enter Indicator Scores'!$C$10:$C$161=$C100),0),
  _xlpm.c, MATCH(CS$8,'3. Enter Indicator Scores'!$D$8:$CZ$8,0),
  _xlpm.v, IFERROR(INDEX('3. Enter Indicator Scores'!$D$10:$CZ$161,_xlpm.r,_xlpm.c),""),
  IF(OR(_xlpm.w="",_xlpm.v=""),"",_xlpm.v*_xlpm.w)
)</f>
        <v/>
      </c>
      <c r="CT100" s="93" t="str" cm="1">
        <f t="array" ref="CT100">_xlfn.LET(
  _xlpm.w, CT$11,
  _xlpm.r, MATCH(1,('3. Enter Indicator Scores'!$B$10:$B$161=$B100)*('3. Enter Indicator Scores'!$C$10:$C$161=$C100),0),
  _xlpm.c, MATCH(CT$8,'3. Enter Indicator Scores'!$D$8:$CZ$8,0),
  _xlpm.v, IFERROR(INDEX('3. Enter Indicator Scores'!$D$10:$CZ$161,_xlpm.r,_xlpm.c),""),
  IF(OR(_xlpm.w="",_xlpm.v=""),"",_xlpm.v*_xlpm.w)
)</f>
        <v/>
      </c>
      <c r="CU100" s="93" t="str" cm="1">
        <f t="array" ref="CU100">_xlfn.LET(
  _xlpm.w, CU$11,
  _xlpm.r, MATCH(1,('3. Enter Indicator Scores'!$B$10:$B$161=$B100)*('3. Enter Indicator Scores'!$C$10:$C$161=$C100),0),
  _xlpm.c, MATCH(CU$8,'3. Enter Indicator Scores'!$D$8:$CZ$8,0),
  _xlpm.v, IFERROR(INDEX('3. Enter Indicator Scores'!$D$10:$CZ$161,_xlpm.r,_xlpm.c),""),
  IF(OR(_xlpm.w="",_xlpm.v=""),"",_xlpm.v*_xlpm.w)
)</f>
        <v/>
      </c>
      <c r="CV100" s="93" t="str" cm="1">
        <f t="array" ref="CV100">_xlfn.LET(
  _xlpm.w, CV$11,
  _xlpm.r, MATCH(1,('3. Enter Indicator Scores'!$B$10:$B$161=$B100)*('3. Enter Indicator Scores'!$C$10:$C$161=$C100),0),
  _xlpm.c, MATCH(CV$8,'3. Enter Indicator Scores'!$D$8:$CZ$8,0),
  _xlpm.v, IFERROR(INDEX('3. Enter Indicator Scores'!$D$10:$CZ$161,_xlpm.r,_xlpm.c),""),
  IF(OR(_xlpm.w="",_xlpm.v=""),"",_xlpm.v*_xlpm.w)
)</f>
        <v/>
      </c>
      <c r="CW100" s="93" t="str" cm="1">
        <f t="array" ref="CW100">_xlfn.LET(
  _xlpm.w, CW$11,
  _xlpm.r, MATCH(1,('3. Enter Indicator Scores'!$B$10:$B$161=$B100)*('3. Enter Indicator Scores'!$C$10:$C$161=$C100),0),
  _xlpm.c, MATCH(CW$8,'3. Enter Indicator Scores'!$D$8:$CZ$8,0),
  _xlpm.v, IFERROR(INDEX('3. Enter Indicator Scores'!$D$10:$CZ$161,_xlpm.r,_xlpm.c),""),
  IF(OR(_xlpm.w="",_xlpm.v=""),"",_xlpm.v*_xlpm.w)
)</f>
        <v/>
      </c>
      <c r="CX100" s="93" t="str" cm="1">
        <f t="array" ref="CX100">_xlfn.LET(
  _xlpm.w, CX$11,
  _xlpm.r, MATCH(1,('3. Enter Indicator Scores'!$B$10:$B$161=$B100)*('3. Enter Indicator Scores'!$C$10:$C$161=$C100),0),
  _xlpm.c, MATCH(CX$8,'3. Enter Indicator Scores'!$D$8:$CZ$8,0),
  _xlpm.v, IFERROR(INDEX('3. Enter Indicator Scores'!$D$10:$CZ$161,_xlpm.r,_xlpm.c),""),
  IF(OR(_xlpm.w="",_xlpm.v=""),"",_xlpm.v*_xlpm.w)
)</f>
        <v/>
      </c>
      <c r="CY100" s="93" t="str" cm="1">
        <f t="array" ref="CY100">_xlfn.LET(
  _xlpm.w, CY$11,
  _xlpm.r, MATCH(1,('3. Enter Indicator Scores'!$B$10:$B$161=$B100)*('3. Enter Indicator Scores'!$C$10:$C$161=$C100),0),
  _xlpm.c, MATCH(CY$8,'3. Enter Indicator Scores'!$D$8:$CZ$8,0),
  _xlpm.v, IFERROR(INDEX('3. Enter Indicator Scores'!$D$10:$CZ$161,_xlpm.r,_xlpm.c),""),
  IF(OR(_xlpm.w="",_xlpm.v=""),"",_xlpm.v*_xlpm.w)
)</f>
        <v/>
      </c>
      <c r="CZ100" s="93" t="str" cm="1">
        <f t="array" ref="CZ100">_xlfn.LET(
  _xlpm.w, CZ$11,
  _xlpm.r, MATCH(1,('3. Enter Indicator Scores'!$B$10:$B$161=$B100)*('3. Enter Indicator Scores'!$C$10:$C$161=$C100),0),
  _xlpm.c, MATCH(CZ$8,'3. Enter Indicator Scores'!$D$8:$CZ$8,0),
  _xlpm.v, IFERROR(INDEX('3. Enter Indicator Scores'!$D$10:$CZ$161,_xlpm.r,_xlpm.c),""),
  IF(OR(_xlpm.w="",_xlpm.v=""),"",_xlpm.v*_xlpm.w)
)</f>
        <v/>
      </c>
    </row>
    <row r="101" spans="4:104" x14ac:dyDescent="0.2">
      <c r="D101" s="93" t="str" cm="1">
        <f t="array" ref="D101">_xlfn.LET(
  _xlpm.w, D$11,
  _xlpm.r, MATCH(1,('3. Enter Indicator Scores'!$B$10:$B$161=$B101)*('3. Enter Indicator Scores'!$C$10:$C$161=$C101),0),
  _xlpm.c, MATCH(D$8,'3. Enter Indicator Scores'!$D$8:$CZ$8,0),
  _xlpm.v, IFERROR(INDEX('3. Enter Indicator Scores'!$D$10:$CZ$161,_xlpm.r,_xlpm.c),""),
  IF(OR(_xlpm.w="",_xlpm.v=""),"",_xlpm.v*_xlpm.w)
)</f>
        <v/>
      </c>
      <c r="E101" s="93" t="str" cm="1">
        <f t="array" ref="E101">_xlfn.LET(
  _xlpm.w, E$11,
  _xlpm.r, MATCH(1,('3. Enter Indicator Scores'!$B$10:$B$161=$B101)*('3. Enter Indicator Scores'!$C$10:$C$161=$C101),0),
  _xlpm.c, MATCH(E$8,'3. Enter Indicator Scores'!$D$8:$CZ$8,0),
  _xlpm.v, IFERROR(INDEX('3. Enter Indicator Scores'!$D$10:$CZ$161,_xlpm.r,_xlpm.c),""),
  IF(OR(_xlpm.w="",_xlpm.v=""),"",_xlpm.v*_xlpm.w)
)</f>
        <v/>
      </c>
      <c r="F101" s="93" t="str" cm="1">
        <f t="array" ref="F101">_xlfn.LET(
  _xlpm.w, F$11,
  _xlpm.r, MATCH(1,('3. Enter Indicator Scores'!$B$10:$B$161=$B101)*('3. Enter Indicator Scores'!$C$10:$C$161=$C101),0),
  _xlpm.c, MATCH(F$8,'3. Enter Indicator Scores'!$D$8:$CZ$8,0),
  _xlpm.v, IFERROR(INDEX('3. Enter Indicator Scores'!$D$10:$CZ$161,_xlpm.r,_xlpm.c),""),
  IF(OR(_xlpm.w="",_xlpm.v=""),"",_xlpm.v*_xlpm.w)
)</f>
        <v/>
      </c>
      <c r="G101" s="93" t="str" cm="1">
        <f t="array" ref="G101">_xlfn.LET(
  _xlpm.w, G$11,
  _xlpm.r, MATCH(1,('3. Enter Indicator Scores'!$B$10:$B$161=$B101)*('3. Enter Indicator Scores'!$C$10:$C$161=$C101),0),
  _xlpm.c, MATCH(G$8,'3. Enter Indicator Scores'!$D$8:$CZ$8,0),
  _xlpm.v, IFERROR(INDEX('3. Enter Indicator Scores'!$D$10:$CZ$161,_xlpm.r,_xlpm.c),""),
  IF(OR(_xlpm.w="",_xlpm.v=""),"",_xlpm.v*_xlpm.w)
)</f>
        <v/>
      </c>
      <c r="H101" s="93" t="str" cm="1">
        <f t="array" ref="H101">_xlfn.LET(
  _xlpm.w, H$11,
  _xlpm.r, MATCH(1,('3. Enter Indicator Scores'!$B$10:$B$161=$B101)*('3. Enter Indicator Scores'!$C$10:$C$161=$C101),0),
  _xlpm.c, MATCH(H$8,'3. Enter Indicator Scores'!$D$8:$CZ$8,0),
  _xlpm.v, IFERROR(INDEX('3. Enter Indicator Scores'!$D$10:$CZ$161,_xlpm.r,_xlpm.c),""),
  IF(OR(_xlpm.w="",_xlpm.v=""),"",_xlpm.v*_xlpm.w)
)</f>
        <v/>
      </c>
      <c r="I101" s="93" t="str" cm="1">
        <f t="array" ref="I101">_xlfn.LET(
  _xlpm.w, I$11,
  _xlpm.r, MATCH(1,('3. Enter Indicator Scores'!$B$10:$B$161=$B101)*('3. Enter Indicator Scores'!$C$10:$C$161=$C101),0),
  _xlpm.c, MATCH(I$8,'3. Enter Indicator Scores'!$D$8:$CZ$8,0),
  _xlpm.v, IFERROR(INDEX('3. Enter Indicator Scores'!$D$10:$CZ$161,_xlpm.r,_xlpm.c),""),
  IF(OR(_xlpm.w="",_xlpm.v=""),"",_xlpm.v*_xlpm.w)
)</f>
        <v/>
      </c>
      <c r="J101" s="93" t="str" cm="1">
        <f t="array" ref="J101">_xlfn.LET(
  _xlpm.w, J$11,
  _xlpm.r, MATCH(1,('3. Enter Indicator Scores'!$B$10:$B$161=$B101)*('3. Enter Indicator Scores'!$C$10:$C$161=$C101),0),
  _xlpm.c, MATCH(J$8,'3. Enter Indicator Scores'!$D$8:$CZ$8,0),
  _xlpm.v, IFERROR(INDEX('3. Enter Indicator Scores'!$D$10:$CZ$161,_xlpm.r,_xlpm.c),""),
  IF(OR(_xlpm.w="",_xlpm.v=""),"",_xlpm.v*_xlpm.w)
)</f>
        <v/>
      </c>
      <c r="K101" s="93" t="str" cm="1">
        <f t="array" ref="K101">_xlfn.LET(
  _xlpm.w, K$11,
  _xlpm.r, MATCH(1,('3. Enter Indicator Scores'!$B$10:$B$161=$B101)*('3. Enter Indicator Scores'!$C$10:$C$161=$C101),0),
  _xlpm.c, MATCH(K$8,'3. Enter Indicator Scores'!$D$8:$CZ$8,0),
  _xlpm.v, IFERROR(INDEX('3. Enter Indicator Scores'!$D$10:$CZ$161,_xlpm.r,_xlpm.c),""),
  IF(OR(_xlpm.w="",_xlpm.v=""),"",_xlpm.v*_xlpm.w)
)</f>
        <v/>
      </c>
      <c r="L101" s="93" t="str" cm="1">
        <f t="array" ref="L101">_xlfn.LET(
  _xlpm.w, L$11,
  _xlpm.r, MATCH(1,('3. Enter Indicator Scores'!$B$10:$B$161=$B101)*('3. Enter Indicator Scores'!$C$10:$C$161=$C101),0),
  _xlpm.c, MATCH(L$8,'3. Enter Indicator Scores'!$D$8:$CZ$8,0),
  _xlpm.v, IFERROR(INDEX('3. Enter Indicator Scores'!$D$10:$CZ$161,_xlpm.r,_xlpm.c),""),
  IF(OR(_xlpm.w="",_xlpm.v=""),"",_xlpm.v*_xlpm.w)
)</f>
        <v/>
      </c>
      <c r="M101" s="93" t="str" cm="1">
        <f t="array" ref="M101">_xlfn.LET(
  _xlpm.w, M$11,
  _xlpm.r, MATCH(1,('3. Enter Indicator Scores'!$B$10:$B$161=$B101)*('3. Enter Indicator Scores'!$C$10:$C$161=$C101),0),
  _xlpm.c, MATCH(M$8,'3. Enter Indicator Scores'!$D$8:$CZ$8,0),
  _xlpm.v, IFERROR(INDEX('3. Enter Indicator Scores'!$D$10:$CZ$161,_xlpm.r,_xlpm.c),""),
  IF(OR(_xlpm.w="",_xlpm.v=""),"",_xlpm.v*_xlpm.w)
)</f>
        <v/>
      </c>
      <c r="N101" s="93" t="str" cm="1">
        <f t="array" ref="N101">_xlfn.LET(
  _xlpm.w, N$11,
  _xlpm.r, MATCH(1,('3. Enter Indicator Scores'!$B$10:$B$161=$B101)*('3. Enter Indicator Scores'!$C$10:$C$161=$C101),0),
  _xlpm.c, MATCH(N$8,'3. Enter Indicator Scores'!$D$8:$CZ$8,0),
  _xlpm.v, IFERROR(INDEX('3. Enter Indicator Scores'!$D$10:$CZ$161,_xlpm.r,_xlpm.c),""),
  IF(OR(_xlpm.w="",_xlpm.v=""),"",_xlpm.v*_xlpm.w)
)</f>
        <v/>
      </c>
      <c r="O101" s="93" t="str" cm="1">
        <f t="array" ref="O101">_xlfn.LET(
  _xlpm.w, O$11,
  _xlpm.r, MATCH(1,('3. Enter Indicator Scores'!$B$10:$B$161=$B101)*('3. Enter Indicator Scores'!$C$10:$C$161=$C101),0),
  _xlpm.c, MATCH(O$8,'3. Enter Indicator Scores'!$D$8:$CZ$8,0),
  _xlpm.v, IFERROR(INDEX('3. Enter Indicator Scores'!$D$10:$CZ$161,_xlpm.r,_xlpm.c),""),
  IF(OR(_xlpm.w="",_xlpm.v=""),"",_xlpm.v*_xlpm.w)
)</f>
        <v/>
      </c>
      <c r="P101" s="93" t="str" cm="1">
        <f t="array" ref="P101">_xlfn.LET(
  _xlpm.w, P$11,
  _xlpm.r, MATCH(1,('3. Enter Indicator Scores'!$B$10:$B$161=$B101)*('3. Enter Indicator Scores'!$C$10:$C$161=$C101),0),
  _xlpm.c, MATCH(P$8,'3. Enter Indicator Scores'!$D$8:$CZ$8,0),
  _xlpm.v, IFERROR(INDEX('3. Enter Indicator Scores'!$D$10:$CZ$161,_xlpm.r,_xlpm.c),""),
  IF(OR(_xlpm.w="",_xlpm.v=""),"",_xlpm.v*_xlpm.w)
)</f>
        <v/>
      </c>
      <c r="Q101" s="93" t="str" cm="1">
        <f t="array" ref="Q101">_xlfn.LET(
  _xlpm.w, Q$11,
  _xlpm.r, MATCH(1,('3. Enter Indicator Scores'!$B$10:$B$161=$B101)*('3. Enter Indicator Scores'!$C$10:$C$161=$C101),0),
  _xlpm.c, MATCH(Q$8,'3. Enter Indicator Scores'!$D$8:$CZ$8,0),
  _xlpm.v, IFERROR(INDEX('3. Enter Indicator Scores'!$D$10:$CZ$161,_xlpm.r,_xlpm.c),""),
  IF(OR(_xlpm.w="",_xlpm.v=""),"",_xlpm.v*_xlpm.w)
)</f>
        <v/>
      </c>
      <c r="R101" s="93" t="str" cm="1">
        <f t="array" ref="R101">_xlfn.LET(
  _xlpm.w, R$11,
  _xlpm.r, MATCH(1,('3. Enter Indicator Scores'!$B$10:$B$161=$B101)*('3. Enter Indicator Scores'!$C$10:$C$161=$C101),0),
  _xlpm.c, MATCH(R$8,'3. Enter Indicator Scores'!$D$8:$CZ$8,0),
  _xlpm.v, IFERROR(INDEX('3. Enter Indicator Scores'!$D$10:$CZ$161,_xlpm.r,_xlpm.c),""),
  IF(OR(_xlpm.w="",_xlpm.v=""),"",_xlpm.v*_xlpm.w)
)</f>
        <v/>
      </c>
      <c r="S101" s="93" t="str" cm="1">
        <f t="array" ref="S101">_xlfn.LET(
  _xlpm.w, S$11,
  _xlpm.r, MATCH(1,('3. Enter Indicator Scores'!$B$10:$B$161=$B101)*('3. Enter Indicator Scores'!$C$10:$C$161=$C101),0),
  _xlpm.c, MATCH(S$8,'3. Enter Indicator Scores'!$D$8:$CZ$8,0),
  _xlpm.v, IFERROR(INDEX('3. Enter Indicator Scores'!$D$10:$CZ$161,_xlpm.r,_xlpm.c),""),
  IF(OR(_xlpm.w="",_xlpm.v=""),"",_xlpm.v*_xlpm.w)
)</f>
        <v/>
      </c>
      <c r="T101" s="93" t="str" cm="1">
        <f t="array" ref="T101">_xlfn.LET(
  _xlpm.w, T$11,
  _xlpm.r, MATCH(1,('3. Enter Indicator Scores'!$B$10:$B$161=$B101)*('3. Enter Indicator Scores'!$C$10:$C$161=$C101),0),
  _xlpm.c, MATCH(T$8,'3. Enter Indicator Scores'!$D$8:$CZ$8,0),
  _xlpm.v, IFERROR(INDEX('3. Enter Indicator Scores'!$D$10:$CZ$161,_xlpm.r,_xlpm.c),""),
  IF(OR(_xlpm.w="",_xlpm.v=""),"",_xlpm.v*_xlpm.w)
)</f>
        <v/>
      </c>
      <c r="U101" s="93" t="str" cm="1">
        <f t="array" ref="U101">_xlfn.LET(
  _xlpm.w, U$11,
  _xlpm.r, MATCH(1,('3. Enter Indicator Scores'!$B$10:$B$161=$B101)*('3. Enter Indicator Scores'!$C$10:$C$161=$C101),0),
  _xlpm.c, MATCH(U$8,'3. Enter Indicator Scores'!$D$8:$CZ$8,0),
  _xlpm.v, IFERROR(INDEX('3. Enter Indicator Scores'!$D$10:$CZ$161,_xlpm.r,_xlpm.c),""),
  IF(OR(_xlpm.w="",_xlpm.v=""),"",_xlpm.v*_xlpm.w)
)</f>
        <v/>
      </c>
      <c r="V101" s="93" t="str" cm="1">
        <f t="array" ref="V101">_xlfn.LET(
  _xlpm.w, V$11,
  _xlpm.r, MATCH(1,('3. Enter Indicator Scores'!$B$10:$B$161=$B101)*('3. Enter Indicator Scores'!$C$10:$C$161=$C101),0),
  _xlpm.c, MATCH(V$8,'3. Enter Indicator Scores'!$D$8:$CZ$8,0),
  _xlpm.v, IFERROR(INDEX('3. Enter Indicator Scores'!$D$10:$CZ$161,_xlpm.r,_xlpm.c),""),
  IF(OR(_xlpm.w="",_xlpm.v=""),"",_xlpm.v*_xlpm.w)
)</f>
        <v/>
      </c>
      <c r="W101" s="93" t="str" cm="1">
        <f t="array" ref="W101">_xlfn.LET(
  _xlpm.w, W$11,
  _xlpm.r, MATCH(1,('3. Enter Indicator Scores'!$B$10:$B$161=$B101)*('3. Enter Indicator Scores'!$C$10:$C$161=$C101),0),
  _xlpm.c, MATCH(W$8,'3. Enter Indicator Scores'!$D$8:$CZ$8,0),
  _xlpm.v, IFERROR(INDEX('3. Enter Indicator Scores'!$D$10:$CZ$161,_xlpm.r,_xlpm.c),""),
  IF(OR(_xlpm.w="",_xlpm.v=""),"",_xlpm.v*_xlpm.w)
)</f>
        <v/>
      </c>
      <c r="X101" s="93" t="str" cm="1">
        <f t="array" ref="X101">_xlfn.LET(
  _xlpm.w, X$11,
  _xlpm.r, MATCH(1,('3. Enter Indicator Scores'!$B$10:$B$161=$B101)*('3. Enter Indicator Scores'!$C$10:$C$161=$C101),0),
  _xlpm.c, MATCH(X$8,'3. Enter Indicator Scores'!$D$8:$CZ$8,0),
  _xlpm.v, IFERROR(INDEX('3. Enter Indicator Scores'!$D$10:$CZ$161,_xlpm.r,_xlpm.c),""),
  IF(OR(_xlpm.w="",_xlpm.v=""),"",_xlpm.v*_xlpm.w)
)</f>
        <v/>
      </c>
      <c r="Y101" s="93" t="str" cm="1">
        <f t="array" ref="Y101">_xlfn.LET(
  _xlpm.w, Y$11,
  _xlpm.r, MATCH(1,('3. Enter Indicator Scores'!$B$10:$B$161=$B101)*('3. Enter Indicator Scores'!$C$10:$C$161=$C101),0),
  _xlpm.c, MATCH(Y$8,'3. Enter Indicator Scores'!$D$8:$CZ$8,0),
  _xlpm.v, IFERROR(INDEX('3. Enter Indicator Scores'!$D$10:$CZ$161,_xlpm.r,_xlpm.c),""),
  IF(OR(_xlpm.w="",_xlpm.v=""),"",_xlpm.v*_xlpm.w)
)</f>
        <v/>
      </c>
      <c r="Z101" s="93" t="str" cm="1">
        <f t="array" ref="Z101">_xlfn.LET(
  _xlpm.w, Z$11,
  _xlpm.r, MATCH(1,('3. Enter Indicator Scores'!$B$10:$B$161=$B101)*('3. Enter Indicator Scores'!$C$10:$C$161=$C101),0),
  _xlpm.c, MATCH(Z$8,'3. Enter Indicator Scores'!$D$8:$CZ$8,0),
  _xlpm.v, IFERROR(INDEX('3. Enter Indicator Scores'!$D$10:$CZ$161,_xlpm.r,_xlpm.c),""),
  IF(OR(_xlpm.w="",_xlpm.v=""),"",_xlpm.v*_xlpm.w)
)</f>
        <v/>
      </c>
      <c r="AA101" s="93" t="str" cm="1">
        <f t="array" ref="AA101">_xlfn.LET(
  _xlpm.w, AA$11,
  _xlpm.r, MATCH(1,('3. Enter Indicator Scores'!$B$10:$B$161=$B101)*('3. Enter Indicator Scores'!$C$10:$C$161=$C101),0),
  _xlpm.c, MATCH(AA$8,'3. Enter Indicator Scores'!$D$8:$CZ$8,0),
  _xlpm.v, IFERROR(INDEX('3. Enter Indicator Scores'!$D$10:$CZ$161,_xlpm.r,_xlpm.c),""),
  IF(OR(_xlpm.w="",_xlpm.v=""),"",_xlpm.v*_xlpm.w)
)</f>
        <v/>
      </c>
      <c r="AB101" s="93" t="str" cm="1">
        <f t="array" ref="AB101">_xlfn.LET(
  _xlpm.w, AB$11,
  _xlpm.r, MATCH(1,('3. Enter Indicator Scores'!$B$10:$B$161=$B101)*('3. Enter Indicator Scores'!$C$10:$C$161=$C101),0),
  _xlpm.c, MATCH(AB$8,'3. Enter Indicator Scores'!$D$8:$CZ$8,0),
  _xlpm.v, IFERROR(INDEX('3. Enter Indicator Scores'!$D$10:$CZ$161,_xlpm.r,_xlpm.c),""),
  IF(OR(_xlpm.w="",_xlpm.v=""),"",_xlpm.v*_xlpm.w)
)</f>
        <v/>
      </c>
      <c r="AC101" s="93" t="str" cm="1">
        <f t="array" ref="AC101">_xlfn.LET(
  _xlpm.w, AC$11,
  _xlpm.r, MATCH(1,('3. Enter Indicator Scores'!$B$10:$B$161=$B101)*('3. Enter Indicator Scores'!$C$10:$C$161=$C101),0),
  _xlpm.c, MATCH(AC$8,'3. Enter Indicator Scores'!$D$8:$CZ$8,0),
  _xlpm.v, IFERROR(INDEX('3. Enter Indicator Scores'!$D$10:$CZ$161,_xlpm.r,_xlpm.c),""),
  IF(OR(_xlpm.w="",_xlpm.v=""),"",_xlpm.v*_xlpm.w)
)</f>
        <v/>
      </c>
      <c r="AD101" s="93" t="str" cm="1">
        <f t="array" ref="AD101">_xlfn.LET(
  _xlpm.w, AD$11,
  _xlpm.r, MATCH(1,('3. Enter Indicator Scores'!$B$10:$B$161=$B101)*('3. Enter Indicator Scores'!$C$10:$C$161=$C101),0),
  _xlpm.c, MATCH(AD$8,'3. Enter Indicator Scores'!$D$8:$CZ$8,0),
  _xlpm.v, IFERROR(INDEX('3. Enter Indicator Scores'!$D$10:$CZ$161,_xlpm.r,_xlpm.c),""),
  IF(OR(_xlpm.w="",_xlpm.v=""),"",_xlpm.v*_xlpm.w)
)</f>
        <v/>
      </c>
      <c r="AE101" s="93" t="str" cm="1">
        <f t="array" ref="AE101">_xlfn.LET(
  _xlpm.w, AE$11,
  _xlpm.r, MATCH(1,('3. Enter Indicator Scores'!$B$10:$B$161=$B101)*('3. Enter Indicator Scores'!$C$10:$C$161=$C101),0),
  _xlpm.c, MATCH(AE$8,'3. Enter Indicator Scores'!$D$8:$CZ$8,0),
  _xlpm.v, IFERROR(INDEX('3. Enter Indicator Scores'!$D$10:$CZ$161,_xlpm.r,_xlpm.c),""),
  IF(OR(_xlpm.w="",_xlpm.v=""),"",_xlpm.v*_xlpm.w)
)</f>
        <v/>
      </c>
      <c r="AF101" s="93" t="str" cm="1">
        <f t="array" ref="AF101">_xlfn.LET(
  _xlpm.w, AF$11,
  _xlpm.r, MATCH(1,('3. Enter Indicator Scores'!$B$10:$B$161=$B101)*('3. Enter Indicator Scores'!$C$10:$C$161=$C101),0),
  _xlpm.c, MATCH(AF$8,'3. Enter Indicator Scores'!$D$8:$CZ$8,0),
  _xlpm.v, IFERROR(INDEX('3. Enter Indicator Scores'!$D$10:$CZ$161,_xlpm.r,_xlpm.c),""),
  IF(OR(_xlpm.w="",_xlpm.v=""),"",_xlpm.v*_xlpm.w)
)</f>
        <v/>
      </c>
      <c r="AG101" s="93" t="str" cm="1">
        <f t="array" ref="AG101">_xlfn.LET(
  _xlpm.w, AG$11,
  _xlpm.r, MATCH(1,('3. Enter Indicator Scores'!$B$10:$B$161=$B101)*('3. Enter Indicator Scores'!$C$10:$C$161=$C101),0),
  _xlpm.c, MATCH(AG$8,'3. Enter Indicator Scores'!$D$8:$CZ$8,0),
  _xlpm.v, IFERROR(INDEX('3. Enter Indicator Scores'!$D$10:$CZ$161,_xlpm.r,_xlpm.c),""),
  IF(OR(_xlpm.w="",_xlpm.v=""),"",_xlpm.v*_xlpm.w)
)</f>
        <v/>
      </c>
      <c r="AH101" s="93" t="str" cm="1">
        <f t="array" ref="AH101">_xlfn.LET(
  _xlpm.w, AH$11,
  _xlpm.r, MATCH(1,('3. Enter Indicator Scores'!$B$10:$B$161=$B101)*('3. Enter Indicator Scores'!$C$10:$C$161=$C101),0),
  _xlpm.c, MATCH(AH$8,'3. Enter Indicator Scores'!$D$8:$CZ$8,0),
  _xlpm.v, IFERROR(INDEX('3. Enter Indicator Scores'!$D$10:$CZ$161,_xlpm.r,_xlpm.c),""),
  IF(OR(_xlpm.w="",_xlpm.v=""),"",_xlpm.v*_xlpm.w)
)</f>
        <v/>
      </c>
      <c r="AI101" s="93" t="str" cm="1">
        <f t="array" ref="AI101">_xlfn.LET(
  _xlpm.w, AI$11,
  _xlpm.r, MATCH(1,('3. Enter Indicator Scores'!$B$10:$B$161=$B101)*('3. Enter Indicator Scores'!$C$10:$C$161=$C101),0),
  _xlpm.c, MATCH(AI$8,'3. Enter Indicator Scores'!$D$8:$CZ$8,0),
  _xlpm.v, IFERROR(INDEX('3. Enter Indicator Scores'!$D$10:$CZ$161,_xlpm.r,_xlpm.c),""),
  IF(OR(_xlpm.w="",_xlpm.v=""),"",_xlpm.v*_xlpm.w)
)</f>
        <v/>
      </c>
      <c r="AJ101" s="93" t="str" cm="1">
        <f t="array" ref="AJ101">_xlfn.LET(
  _xlpm.w, AJ$11,
  _xlpm.r, MATCH(1,('3. Enter Indicator Scores'!$B$10:$B$161=$B101)*('3. Enter Indicator Scores'!$C$10:$C$161=$C101),0),
  _xlpm.c, MATCH(AJ$8,'3. Enter Indicator Scores'!$D$8:$CZ$8,0),
  _xlpm.v, IFERROR(INDEX('3. Enter Indicator Scores'!$D$10:$CZ$161,_xlpm.r,_xlpm.c),""),
  IF(OR(_xlpm.w="",_xlpm.v=""),"",_xlpm.v*_xlpm.w)
)</f>
        <v/>
      </c>
      <c r="AK101" s="93" t="str" cm="1">
        <f t="array" ref="AK101">_xlfn.LET(
  _xlpm.w, AK$11,
  _xlpm.r, MATCH(1,('3. Enter Indicator Scores'!$B$10:$B$161=$B101)*('3. Enter Indicator Scores'!$C$10:$C$161=$C101),0),
  _xlpm.c, MATCH(AK$8,'3. Enter Indicator Scores'!$D$8:$CZ$8,0),
  _xlpm.v, IFERROR(INDEX('3. Enter Indicator Scores'!$D$10:$CZ$161,_xlpm.r,_xlpm.c),""),
  IF(OR(_xlpm.w="",_xlpm.v=""),"",_xlpm.v*_xlpm.w)
)</f>
        <v/>
      </c>
      <c r="AL101" s="93" t="str" cm="1">
        <f t="array" ref="AL101">_xlfn.LET(
  _xlpm.w, AL$11,
  _xlpm.r, MATCH(1,('3. Enter Indicator Scores'!$B$10:$B$161=$B101)*('3. Enter Indicator Scores'!$C$10:$C$161=$C101),0),
  _xlpm.c, MATCH(AL$8,'3. Enter Indicator Scores'!$D$8:$CZ$8,0),
  _xlpm.v, IFERROR(INDEX('3. Enter Indicator Scores'!$D$10:$CZ$161,_xlpm.r,_xlpm.c),""),
  IF(OR(_xlpm.w="",_xlpm.v=""),"",_xlpm.v*_xlpm.w)
)</f>
        <v/>
      </c>
      <c r="AM101" s="93" t="str" cm="1">
        <f t="array" ref="AM101">_xlfn.LET(
  _xlpm.w, AM$11,
  _xlpm.r, MATCH(1,('3. Enter Indicator Scores'!$B$10:$B$161=$B101)*('3. Enter Indicator Scores'!$C$10:$C$161=$C101),0),
  _xlpm.c, MATCH(AM$8,'3. Enter Indicator Scores'!$D$8:$CZ$8,0),
  _xlpm.v, IFERROR(INDEX('3. Enter Indicator Scores'!$D$10:$CZ$161,_xlpm.r,_xlpm.c),""),
  IF(OR(_xlpm.w="",_xlpm.v=""),"",_xlpm.v*_xlpm.w)
)</f>
        <v/>
      </c>
      <c r="AN101" s="93" t="str" cm="1">
        <f t="array" ref="AN101">_xlfn.LET(
  _xlpm.w, AN$11,
  _xlpm.r, MATCH(1,('3. Enter Indicator Scores'!$B$10:$B$161=$B101)*('3. Enter Indicator Scores'!$C$10:$C$161=$C101),0),
  _xlpm.c, MATCH(AN$8,'3. Enter Indicator Scores'!$D$8:$CZ$8,0),
  _xlpm.v, IFERROR(INDEX('3. Enter Indicator Scores'!$D$10:$CZ$161,_xlpm.r,_xlpm.c),""),
  IF(OR(_xlpm.w="",_xlpm.v=""),"",_xlpm.v*_xlpm.w)
)</f>
        <v/>
      </c>
      <c r="AO101" s="93" t="str" cm="1">
        <f t="array" ref="AO101">_xlfn.LET(
  _xlpm.w, AO$11,
  _xlpm.r, MATCH(1,('3. Enter Indicator Scores'!$B$10:$B$161=$B101)*('3. Enter Indicator Scores'!$C$10:$C$161=$C101),0),
  _xlpm.c, MATCH(AO$8,'3. Enter Indicator Scores'!$D$8:$CZ$8,0),
  _xlpm.v, IFERROR(INDEX('3. Enter Indicator Scores'!$D$10:$CZ$161,_xlpm.r,_xlpm.c),""),
  IF(OR(_xlpm.w="",_xlpm.v=""),"",_xlpm.v*_xlpm.w)
)</f>
        <v/>
      </c>
      <c r="AP101" s="93" t="str" cm="1">
        <f t="array" ref="AP101">_xlfn.LET(
  _xlpm.w, AP$11,
  _xlpm.r, MATCH(1,('3. Enter Indicator Scores'!$B$10:$B$161=$B101)*('3. Enter Indicator Scores'!$C$10:$C$161=$C101),0),
  _xlpm.c, MATCH(AP$8,'3. Enter Indicator Scores'!$D$8:$CZ$8,0),
  _xlpm.v, IFERROR(INDEX('3. Enter Indicator Scores'!$D$10:$CZ$161,_xlpm.r,_xlpm.c),""),
  IF(OR(_xlpm.w="",_xlpm.v=""),"",_xlpm.v*_xlpm.w)
)</f>
        <v/>
      </c>
      <c r="AQ101" s="93" t="str" cm="1">
        <f t="array" ref="AQ101">_xlfn.LET(
  _xlpm.w, AQ$11,
  _xlpm.r, MATCH(1,('3. Enter Indicator Scores'!$B$10:$B$161=$B101)*('3. Enter Indicator Scores'!$C$10:$C$161=$C101),0),
  _xlpm.c, MATCH(AQ$8,'3. Enter Indicator Scores'!$D$8:$CZ$8,0),
  _xlpm.v, IFERROR(INDEX('3. Enter Indicator Scores'!$D$10:$CZ$161,_xlpm.r,_xlpm.c),""),
  IF(OR(_xlpm.w="",_xlpm.v=""),"",_xlpm.v*_xlpm.w)
)</f>
        <v/>
      </c>
      <c r="AR101" s="93" t="str" cm="1">
        <f t="array" ref="AR101">_xlfn.LET(
  _xlpm.w, AR$11,
  _xlpm.r, MATCH(1,('3. Enter Indicator Scores'!$B$10:$B$161=$B101)*('3. Enter Indicator Scores'!$C$10:$C$161=$C101),0),
  _xlpm.c, MATCH(AR$8,'3. Enter Indicator Scores'!$D$8:$CZ$8,0),
  _xlpm.v, IFERROR(INDEX('3. Enter Indicator Scores'!$D$10:$CZ$161,_xlpm.r,_xlpm.c),""),
  IF(OR(_xlpm.w="",_xlpm.v=""),"",_xlpm.v*_xlpm.w)
)</f>
        <v/>
      </c>
      <c r="AS101" s="93" t="str" cm="1">
        <f t="array" ref="AS101">_xlfn.LET(
  _xlpm.w, AS$11,
  _xlpm.r, MATCH(1,('3. Enter Indicator Scores'!$B$10:$B$161=$B101)*('3. Enter Indicator Scores'!$C$10:$C$161=$C101),0),
  _xlpm.c, MATCH(AS$8,'3. Enter Indicator Scores'!$D$8:$CZ$8,0),
  _xlpm.v, IFERROR(INDEX('3. Enter Indicator Scores'!$D$10:$CZ$161,_xlpm.r,_xlpm.c),""),
  IF(OR(_xlpm.w="",_xlpm.v=""),"",_xlpm.v*_xlpm.w)
)</f>
        <v/>
      </c>
      <c r="AT101" s="93" t="str" cm="1">
        <f t="array" ref="AT101">_xlfn.LET(
  _xlpm.w, AT$11,
  _xlpm.r, MATCH(1,('3. Enter Indicator Scores'!$B$10:$B$161=$B101)*('3. Enter Indicator Scores'!$C$10:$C$161=$C101),0),
  _xlpm.c, MATCH(AT$8,'3. Enter Indicator Scores'!$D$8:$CZ$8,0),
  _xlpm.v, IFERROR(INDEX('3. Enter Indicator Scores'!$D$10:$CZ$161,_xlpm.r,_xlpm.c),""),
  IF(OR(_xlpm.w="",_xlpm.v=""),"",_xlpm.v*_xlpm.w)
)</f>
        <v/>
      </c>
      <c r="AU101" s="93" t="str" cm="1">
        <f t="array" ref="AU101">_xlfn.LET(
  _xlpm.w, AU$11,
  _xlpm.r, MATCH(1,('3. Enter Indicator Scores'!$B$10:$B$161=$B101)*('3. Enter Indicator Scores'!$C$10:$C$161=$C101),0),
  _xlpm.c, MATCH(AU$8,'3. Enter Indicator Scores'!$D$8:$CZ$8,0),
  _xlpm.v, IFERROR(INDEX('3. Enter Indicator Scores'!$D$10:$CZ$161,_xlpm.r,_xlpm.c),""),
  IF(OR(_xlpm.w="",_xlpm.v=""),"",_xlpm.v*_xlpm.w)
)</f>
        <v/>
      </c>
      <c r="AV101" s="93" t="str" cm="1">
        <f t="array" ref="AV101">_xlfn.LET(
  _xlpm.w, AV$11,
  _xlpm.r, MATCH(1,('3. Enter Indicator Scores'!$B$10:$B$161=$B101)*('3. Enter Indicator Scores'!$C$10:$C$161=$C101),0),
  _xlpm.c, MATCH(AV$8,'3. Enter Indicator Scores'!$D$8:$CZ$8,0),
  _xlpm.v, IFERROR(INDEX('3. Enter Indicator Scores'!$D$10:$CZ$161,_xlpm.r,_xlpm.c),""),
  IF(OR(_xlpm.w="",_xlpm.v=""),"",_xlpm.v*_xlpm.w)
)</f>
        <v/>
      </c>
      <c r="AW101" s="93" t="str" cm="1">
        <f t="array" ref="AW101">_xlfn.LET(
  _xlpm.w, AW$11,
  _xlpm.r, MATCH(1,('3. Enter Indicator Scores'!$B$10:$B$161=$B101)*('3. Enter Indicator Scores'!$C$10:$C$161=$C101),0),
  _xlpm.c, MATCH(AW$8,'3. Enter Indicator Scores'!$D$8:$CZ$8,0),
  _xlpm.v, IFERROR(INDEX('3. Enter Indicator Scores'!$D$10:$CZ$161,_xlpm.r,_xlpm.c),""),
  IF(OR(_xlpm.w="",_xlpm.v=""),"",_xlpm.v*_xlpm.w)
)</f>
        <v/>
      </c>
      <c r="AX101" s="93" t="str" cm="1">
        <f t="array" ref="AX101">_xlfn.LET(
  _xlpm.w, AX$11,
  _xlpm.r, MATCH(1,('3. Enter Indicator Scores'!$B$10:$B$161=$B101)*('3. Enter Indicator Scores'!$C$10:$C$161=$C101),0),
  _xlpm.c, MATCH(AX$8,'3. Enter Indicator Scores'!$D$8:$CZ$8,0),
  _xlpm.v, IFERROR(INDEX('3. Enter Indicator Scores'!$D$10:$CZ$161,_xlpm.r,_xlpm.c),""),
  IF(OR(_xlpm.w="",_xlpm.v=""),"",_xlpm.v*_xlpm.w)
)</f>
        <v/>
      </c>
      <c r="AY101" s="93" t="str" cm="1">
        <f t="array" ref="AY101">_xlfn.LET(
  _xlpm.w, AY$11,
  _xlpm.r, MATCH(1,('3. Enter Indicator Scores'!$B$10:$B$161=$B101)*('3. Enter Indicator Scores'!$C$10:$C$161=$C101),0),
  _xlpm.c, MATCH(AY$8,'3. Enter Indicator Scores'!$D$8:$CZ$8,0),
  _xlpm.v, IFERROR(INDEX('3. Enter Indicator Scores'!$D$10:$CZ$161,_xlpm.r,_xlpm.c),""),
  IF(OR(_xlpm.w="",_xlpm.v=""),"",_xlpm.v*_xlpm.w)
)</f>
        <v/>
      </c>
      <c r="AZ101" s="93" t="str" cm="1">
        <f t="array" ref="AZ101">_xlfn.LET(
  _xlpm.w, AZ$11,
  _xlpm.r, MATCH(1,('3. Enter Indicator Scores'!$B$10:$B$161=$B101)*('3. Enter Indicator Scores'!$C$10:$C$161=$C101),0),
  _xlpm.c, MATCH(AZ$8,'3. Enter Indicator Scores'!$D$8:$CZ$8,0),
  _xlpm.v, IFERROR(INDEX('3. Enter Indicator Scores'!$D$10:$CZ$161,_xlpm.r,_xlpm.c),""),
  IF(OR(_xlpm.w="",_xlpm.v=""),"",_xlpm.v*_xlpm.w)
)</f>
        <v/>
      </c>
      <c r="BA101" s="93" t="str" cm="1">
        <f t="array" ref="BA101">_xlfn.LET(
  _xlpm.w, BA$11,
  _xlpm.r, MATCH(1,('3. Enter Indicator Scores'!$B$10:$B$161=$B101)*('3. Enter Indicator Scores'!$C$10:$C$161=$C101),0),
  _xlpm.c, MATCH(BA$8,'3. Enter Indicator Scores'!$D$8:$CZ$8,0),
  _xlpm.v, IFERROR(INDEX('3. Enter Indicator Scores'!$D$10:$CZ$161,_xlpm.r,_xlpm.c),""),
  IF(OR(_xlpm.w="",_xlpm.v=""),"",_xlpm.v*_xlpm.w)
)</f>
        <v/>
      </c>
      <c r="BB101" s="93" t="str" cm="1">
        <f t="array" ref="BB101">_xlfn.LET(
  _xlpm.w, BB$11,
  _xlpm.r, MATCH(1,('3. Enter Indicator Scores'!$B$10:$B$161=$B101)*('3. Enter Indicator Scores'!$C$10:$C$161=$C101),0),
  _xlpm.c, MATCH(BB$8,'3. Enter Indicator Scores'!$D$8:$CZ$8,0),
  _xlpm.v, IFERROR(INDEX('3. Enter Indicator Scores'!$D$10:$CZ$161,_xlpm.r,_xlpm.c),""),
  IF(OR(_xlpm.w="",_xlpm.v=""),"",_xlpm.v*_xlpm.w)
)</f>
        <v/>
      </c>
      <c r="BC101" s="93" t="str" cm="1">
        <f t="array" ref="BC101">_xlfn.LET(
  _xlpm.w, BC$11,
  _xlpm.r, MATCH(1,('3. Enter Indicator Scores'!$B$10:$B$161=$B101)*('3. Enter Indicator Scores'!$C$10:$C$161=$C101),0),
  _xlpm.c, MATCH(BC$8,'3. Enter Indicator Scores'!$D$8:$CZ$8,0),
  _xlpm.v, IFERROR(INDEX('3. Enter Indicator Scores'!$D$10:$CZ$161,_xlpm.r,_xlpm.c),""),
  IF(OR(_xlpm.w="",_xlpm.v=""),"",_xlpm.v*_xlpm.w)
)</f>
        <v/>
      </c>
      <c r="BD101" s="93" t="str" cm="1">
        <f t="array" ref="BD101">_xlfn.LET(
  _xlpm.w, BD$11,
  _xlpm.r, MATCH(1,('3. Enter Indicator Scores'!$B$10:$B$161=$B101)*('3. Enter Indicator Scores'!$C$10:$C$161=$C101),0),
  _xlpm.c, MATCH(BD$8,'3. Enter Indicator Scores'!$D$8:$CZ$8,0),
  _xlpm.v, IFERROR(INDEX('3. Enter Indicator Scores'!$D$10:$CZ$161,_xlpm.r,_xlpm.c),""),
  IF(OR(_xlpm.w="",_xlpm.v=""),"",_xlpm.v*_xlpm.w)
)</f>
        <v/>
      </c>
      <c r="BE101" s="93" t="str" cm="1">
        <f t="array" ref="BE101">_xlfn.LET(
  _xlpm.w, BE$11,
  _xlpm.r, MATCH(1,('3. Enter Indicator Scores'!$B$10:$B$161=$B101)*('3. Enter Indicator Scores'!$C$10:$C$161=$C101),0),
  _xlpm.c, MATCH(BE$8,'3. Enter Indicator Scores'!$D$8:$CZ$8,0),
  _xlpm.v, IFERROR(INDEX('3. Enter Indicator Scores'!$D$10:$CZ$161,_xlpm.r,_xlpm.c),""),
  IF(OR(_xlpm.w="",_xlpm.v=""),"",_xlpm.v*_xlpm.w)
)</f>
        <v/>
      </c>
      <c r="BF101" s="93" t="str" cm="1">
        <f t="array" ref="BF101">_xlfn.LET(
  _xlpm.w, BF$11,
  _xlpm.r, MATCH(1,('3. Enter Indicator Scores'!$B$10:$B$161=$B101)*('3. Enter Indicator Scores'!$C$10:$C$161=$C101),0),
  _xlpm.c, MATCH(BF$8,'3. Enter Indicator Scores'!$D$8:$CZ$8,0),
  _xlpm.v, IFERROR(INDEX('3. Enter Indicator Scores'!$D$10:$CZ$161,_xlpm.r,_xlpm.c),""),
  IF(OR(_xlpm.w="",_xlpm.v=""),"",_xlpm.v*_xlpm.w)
)</f>
        <v/>
      </c>
      <c r="BG101" s="93" t="str" cm="1">
        <f t="array" ref="BG101">_xlfn.LET(
  _xlpm.w, BG$11,
  _xlpm.r, MATCH(1,('3. Enter Indicator Scores'!$B$10:$B$161=$B101)*('3. Enter Indicator Scores'!$C$10:$C$161=$C101),0),
  _xlpm.c, MATCH(BG$8,'3. Enter Indicator Scores'!$D$8:$CZ$8,0),
  _xlpm.v, IFERROR(INDEX('3. Enter Indicator Scores'!$D$10:$CZ$161,_xlpm.r,_xlpm.c),""),
  IF(OR(_xlpm.w="",_xlpm.v=""),"",_xlpm.v*_xlpm.w)
)</f>
        <v/>
      </c>
      <c r="BH101" s="93" t="str" cm="1">
        <f t="array" ref="BH101">_xlfn.LET(
  _xlpm.w, BH$11,
  _xlpm.r, MATCH(1,('3. Enter Indicator Scores'!$B$10:$B$161=$B101)*('3. Enter Indicator Scores'!$C$10:$C$161=$C101),0),
  _xlpm.c, MATCH(BH$8,'3. Enter Indicator Scores'!$D$8:$CZ$8,0),
  _xlpm.v, IFERROR(INDEX('3. Enter Indicator Scores'!$D$10:$CZ$161,_xlpm.r,_xlpm.c),""),
  IF(OR(_xlpm.w="",_xlpm.v=""),"",_xlpm.v*_xlpm.w)
)</f>
        <v/>
      </c>
      <c r="BI101" s="93" t="str" cm="1">
        <f t="array" ref="BI101">_xlfn.LET(
  _xlpm.w, BI$11,
  _xlpm.r, MATCH(1,('3. Enter Indicator Scores'!$B$10:$B$161=$B101)*('3. Enter Indicator Scores'!$C$10:$C$161=$C101),0),
  _xlpm.c, MATCH(BI$8,'3. Enter Indicator Scores'!$D$8:$CZ$8,0),
  _xlpm.v, IFERROR(INDEX('3. Enter Indicator Scores'!$D$10:$CZ$161,_xlpm.r,_xlpm.c),""),
  IF(OR(_xlpm.w="",_xlpm.v=""),"",_xlpm.v*_xlpm.w)
)</f>
        <v/>
      </c>
      <c r="BJ101" s="93" t="str" cm="1">
        <f t="array" ref="BJ101">_xlfn.LET(
  _xlpm.w, BJ$11,
  _xlpm.r, MATCH(1,('3. Enter Indicator Scores'!$B$10:$B$161=$B101)*('3. Enter Indicator Scores'!$C$10:$C$161=$C101),0),
  _xlpm.c, MATCH(BJ$8,'3. Enter Indicator Scores'!$D$8:$CZ$8,0),
  _xlpm.v, IFERROR(INDEX('3. Enter Indicator Scores'!$D$10:$CZ$161,_xlpm.r,_xlpm.c),""),
  IF(OR(_xlpm.w="",_xlpm.v=""),"",_xlpm.v*_xlpm.w)
)</f>
        <v/>
      </c>
      <c r="BK101" s="93" t="str" cm="1">
        <f t="array" ref="BK101">_xlfn.LET(
  _xlpm.w, BK$11,
  _xlpm.r, MATCH(1,('3. Enter Indicator Scores'!$B$10:$B$161=$B101)*('3. Enter Indicator Scores'!$C$10:$C$161=$C101),0),
  _xlpm.c, MATCH(BK$8,'3. Enter Indicator Scores'!$D$8:$CZ$8,0),
  _xlpm.v, IFERROR(INDEX('3. Enter Indicator Scores'!$D$10:$CZ$161,_xlpm.r,_xlpm.c),""),
  IF(OR(_xlpm.w="",_xlpm.v=""),"",_xlpm.v*_xlpm.w)
)</f>
        <v/>
      </c>
      <c r="BL101" s="93" t="str" cm="1">
        <f t="array" ref="BL101">_xlfn.LET(
  _xlpm.w, BL$11,
  _xlpm.r, MATCH(1,('3. Enter Indicator Scores'!$B$10:$B$161=$B101)*('3. Enter Indicator Scores'!$C$10:$C$161=$C101),0),
  _xlpm.c, MATCH(BL$8,'3. Enter Indicator Scores'!$D$8:$CZ$8,0),
  _xlpm.v, IFERROR(INDEX('3. Enter Indicator Scores'!$D$10:$CZ$161,_xlpm.r,_xlpm.c),""),
  IF(OR(_xlpm.w="",_xlpm.v=""),"",_xlpm.v*_xlpm.w)
)</f>
        <v/>
      </c>
      <c r="BM101" s="93" t="str" cm="1">
        <f t="array" ref="BM101">_xlfn.LET(
  _xlpm.w, BM$11,
  _xlpm.r, MATCH(1,('3. Enter Indicator Scores'!$B$10:$B$161=$B101)*('3. Enter Indicator Scores'!$C$10:$C$161=$C101),0),
  _xlpm.c, MATCH(BM$8,'3. Enter Indicator Scores'!$D$8:$CZ$8,0),
  _xlpm.v, IFERROR(INDEX('3. Enter Indicator Scores'!$D$10:$CZ$161,_xlpm.r,_xlpm.c),""),
  IF(OR(_xlpm.w="",_xlpm.v=""),"",_xlpm.v*_xlpm.w)
)</f>
        <v/>
      </c>
      <c r="BN101" s="93" t="str" cm="1">
        <f t="array" ref="BN101">_xlfn.LET(
  _xlpm.w, BN$11,
  _xlpm.r, MATCH(1,('3. Enter Indicator Scores'!$B$10:$B$161=$B101)*('3. Enter Indicator Scores'!$C$10:$C$161=$C101),0),
  _xlpm.c, MATCH(BN$8,'3. Enter Indicator Scores'!$D$8:$CZ$8,0),
  _xlpm.v, IFERROR(INDEX('3. Enter Indicator Scores'!$D$10:$CZ$161,_xlpm.r,_xlpm.c),""),
  IF(OR(_xlpm.w="",_xlpm.v=""),"",_xlpm.v*_xlpm.w)
)</f>
        <v/>
      </c>
      <c r="BO101" s="93" t="str" cm="1">
        <f t="array" ref="BO101">_xlfn.LET(
  _xlpm.w, BO$11,
  _xlpm.r, MATCH(1,('3. Enter Indicator Scores'!$B$10:$B$161=$B101)*('3. Enter Indicator Scores'!$C$10:$C$161=$C101),0),
  _xlpm.c, MATCH(BO$8,'3. Enter Indicator Scores'!$D$8:$CZ$8,0),
  _xlpm.v, IFERROR(INDEX('3. Enter Indicator Scores'!$D$10:$CZ$161,_xlpm.r,_xlpm.c),""),
  IF(OR(_xlpm.w="",_xlpm.v=""),"",_xlpm.v*_xlpm.w)
)</f>
        <v/>
      </c>
      <c r="BP101" s="93" t="str" cm="1">
        <f t="array" ref="BP101">_xlfn.LET(
  _xlpm.w, BP$11,
  _xlpm.r, MATCH(1,('3. Enter Indicator Scores'!$B$10:$B$161=$B101)*('3. Enter Indicator Scores'!$C$10:$C$161=$C101),0),
  _xlpm.c, MATCH(BP$8,'3. Enter Indicator Scores'!$D$8:$CZ$8,0),
  _xlpm.v, IFERROR(INDEX('3. Enter Indicator Scores'!$D$10:$CZ$161,_xlpm.r,_xlpm.c),""),
  IF(OR(_xlpm.w="",_xlpm.v=""),"",_xlpm.v*_xlpm.w)
)</f>
        <v/>
      </c>
      <c r="BQ101" s="93" t="str" cm="1">
        <f t="array" ref="BQ101">_xlfn.LET(
  _xlpm.w, BQ$11,
  _xlpm.r, MATCH(1,('3. Enter Indicator Scores'!$B$10:$B$161=$B101)*('3. Enter Indicator Scores'!$C$10:$C$161=$C101),0),
  _xlpm.c, MATCH(BQ$8,'3. Enter Indicator Scores'!$D$8:$CZ$8,0),
  _xlpm.v, IFERROR(INDEX('3. Enter Indicator Scores'!$D$10:$CZ$161,_xlpm.r,_xlpm.c),""),
  IF(OR(_xlpm.w="",_xlpm.v=""),"",_xlpm.v*_xlpm.w)
)</f>
        <v/>
      </c>
      <c r="BR101" s="93" t="str" cm="1">
        <f t="array" ref="BR101">_xlfn.LET(
  _xlpm.w, BR$11,
  _xlpm.r, MATCH(1,('3. Enter Indicator Scores'!$B$10:$B$161=$B101)*('3. Enter Indicator Scores'!$C$10:$C$161=$C101),0),
  _xlpm.c, MATCH(BR$8,'3. Enter Indicator Scores'!$D$8:$CZ$8,0),
  _xlpm.v, IFERROR(INDEX('3. Enter Indicator Scores'!$D$10:$CZ$161,_xlpm.r,_xlpm.c),""),
  IF(OR(_xlpm.w="",_xlpm.v=""),"",_xlpm.v*_xlpm.w)
)</f>
        <v/>
      </c>
      <c r="BS101" s="93" t="str" cm="1">
        <f t="array" ref="BS101">_xlfn.LET(
  _xlpm.w, BS$11,
  _xlpm.r, MATCH(1,('3. Enter Indicator Scores'!$B$10:$B$161=$B101)*('3. Enter Indicator Scores'!$C$10:$C$161=$C101),0),
  _xlpm.c, MATCH(BS$8,'3. Enter Indicator Scores'!$D$8:$CZ$8,0),
  _xlpm.v, IFERROR(INDEX('3. Enter Indicator Scores'!$D$10:$CZ$161,_xlpm.r,_xlpm.c),""),
  IF(OR(_xlpm.w="",_xlpm.v=""),"",_xlpm.v*_xlpm.w)
)</f>
        <v/>
      </c>
      <c r="BT101" s="93" t="str" cm="1">
        <f t="array" ref="BT101">_xlfn.LET(
  _xlpm.w, BT$11,
  _xlpm.r, MATCH(1,('3. Enter Indicator Scores'!$B$10:$B$161=$B101)*('3. Enter Indicator Scores'!$C$10:$C$161=$C101),0),
  _xlpm.c, MATCH(BT$8,'3. Enter Indicator Scores'!$D$8:$CZ$8,0),
  _xlpm.v, IFERROR(INDEX('3. Enter Indicator Scores'!$D$10:$CZ$161,_xlpm.r,_xlpm.c),""),
  IF(OR(_xlpm.w="",_xlpm.v=""),"",_xlpm.v*_xlpm.w)
)</f>
        <v/>
      </c>
      <c r="BU101" s="93" t="str" cm="1">
        <f t="array" ref="BU101">_xlfn.LET(
  _xlpm.w, BU$11,
  _xlpm.r, MATCH(1,('3. Enter Indicator Scores'!$B$10:$B$161=$B101)*('3. Enter Indicator Scores'!$C$10:$C$161=$C101),0),
  _xlpm.c, MATCH(BU$8,'3. Enter Indicator Scores'!$D$8:$CZ$8,0),
  _xlpm.v, IFERROR(INDEX('3. Enter Indicator Scores'!$D$10:$CZ$161,_xlpm.r,_xlpm.c),""),
  IF(OR(_xlpm.w="",_xlpm.v=""),"",_xlpm.v*_xlpm.w)
)</f>
        <v/>
      </c>
      <c r="BV101" s="93" t="str" cm="1">
        <f t="array" ref="BV101">_xlfn.LET(
  _xlpm.w, BV$11,
  _xlpm.r, MATCH(1,('3. Enter Indicator Scores'!$B$10:$B$161=$B101)*('3. Enter Indicator Scores'!$C$10:$C$161=$C101),0),
  _xlpm.c, MATCH(BV$8,'3. Enter Indicator Scores'!$D$8:$CZ$8,0),
  _xlpm.v, IFERROR(INDEX('3. Enter Indicator Scores'!$D$10:$CZ$161,_xlpm.r,_xlpm.c),""),
  IF(OR(_xlpm.w="",_xlpm.v=""),"",_xlpm.v*_xlpm.w)
)</f>
        <v/>
      </c>
      <c r="BW101" s="93" t="str" cm="1">
        <f t="array" ref="BW101">_xlfn.LET(
  _xlpm.w, BW$11,
  _xlpm.r, MATCH(1,('3. Enter Indicator Scores'!$B$10:$B$161=$B101)*('3. Enter Indicator Scores'!$C$10:$C$161=$C101),0),
  _xlpm.c, MATCH(BW$8,'3. Enter Indicator Scores'!$D$8:$CZ$8,0),
  _xlpm.v, IFERROR(INDEX('3. Enter Indicator Scores'!$D$10:$CZ$161,_xlpm.r,_xlpm.c),""),
  IF(OR(_xlpm.w="",_xlpm.v=""),"",_xlpm.v*_xlpm.w)
)</f>
        <v/>
      </c>
      <c r="BX101" s="93" t="str" cm="1">
        <f t="array" ref="BX101">_xlfn.LET(
  _xlpm.w, BX$11,
  _xlpm.r, MATCH(1,('3. Enter Indicator Scores'!$B$10:$B$161=$B101)*('3. Enter Indicator Scores'!$C$10:$C$161=$C101),0),
  _xlpm.c, MATCH(BX$8,'3. Enter Indicator Scores'!$D$8:$CZ$8,0),
  _xlpm.v, IFERROR(INDEX('3. Enter Indicator Scores'!$D$10:$CZ$161,_xlpm.r,_xlpm.c),""),
  IF(OR(_xlpm.w="",_xlpm.v=""),"",_xlpm.v*_xlpm.w)
)</f>
        <v/>
      </c>
      <c r="BY101" s="93" t="str" cm="1">
        <f t="array" ref="BY101">_xlfn.LET(
  _xlpm.w, BY$11,
  _xlpm.r, MATCH(1,('3. Enter Indicator Scores'!$B$10:$B$161=$B101)*('3. Enter Indicator Scores'!$C$10:$C$161=$C101),0),
  _xlpm.c, MATCH(BY$8,'3. Enter Indicator Scores'!$D$8:$CZ$8,0),
  _xlpm.v, IFERROR(INDEX('3. Enter Indicator Scores'!$D$10:$CZ$161,_xlpm.r,_xlpm.c),""),
  IF(OR(_xlpm.w="",_xlpm.v=""),"",_xlpm.v*_xlpm.w)
)</f>
        <v/>
      </c>
      <c r="BZ101" s="93" t="str" cm="1">
        <f t="array" ref="BZ101">_xlfn.LET(
  _xlpm.w, BZ$11,
  _xlpm.r, MATCH(1,('3. Enter Indicator Scores'!$B$10:$B$161=$B101)*('3. Enter Indicator Scores'!$C$10:$C$161=$C101),0),
  _xlpm.c, MATCH(BZ$8,'3. Enter Indicator Scores'!$D$8:$CZ$8,0),
  _xlpm.v, IFERROR(INDEX('3. Enter Indicator Scores'!$D$10:$CZ$161,_xlpm.r,_xlpm.c),""),
  IF(OR(_xlpm.w="",_xlpm.v=""),"",_xlpm.v*_xlpm.w)
)</f>
        <v/>
      </c>
      <c r="CA101" s="93" t="str" cm="1">
        <f t="array" ref="CA101">_xlfn.LET(
  _xlpm.w, CA$11,
  _xlpm.r, MATCH(1,('3. Enter Indicator Scores'!$B$10:$B$161=$B101)*('3. Enter Indicator Scores'!$C$10:$C$161=$C101),0),
  _xlpm.c, MATCH(CA$8,'3. Enter Indicator Scores'!$D$8:$CZ$8,0),
  _xlpm.v, IFERROR(INDEX('3. Enter Indicator Scores'!$D$10:$CZ$161,_xlpm.r,_xlpm.c),""),
  IF(OR(_xlpm.w="",_xlpm.v=""),"",_xlpm.v*_xlpm.w)
)</f>
        <v/>
      </c>
      <c r="CB101" s="93" t="str" cm="1">
        <f t="array" ref="CB101">_xlfn.LET(
  _xlpm.w, CB$11,
  _xlpm.r, MATCH(1,('3. Enter Indicator Scores'!$B$10:$B$161=$B101)*('3. Enter Indicator Scores'!$C$10:$C$161=$C101),0),
  _xlpm.c, MATCH(CB$8,'3. Enter Indicator Scores'!$D$8:$CZ$8,0),
  _xlpm.v, IFERROR(INDEX('3. Enter Indicator Scores'!$D$10:$CZ$161,_xlpm.r,_xlpm.c),""),
  IF(OR(_xlpm.w="",_xlpm.v=""),"",_xlpm.v*_xlpm.w)
)</f>
        <v/>
      </c>
      <c r="CC101" s="93" t="str" cm="1">
        <f t="array" ref="CC101">_xlfn.LET(
  _xlpm.w, CC$11,
  _xlpm.r, MATCH(1,('3. Enter Indicator Scores'!$B$10:$B$161=$B101)*('3. Enter Indicator Scores'!$C$10:$C$161=$C101),0),
  _xlpm.c, MATCH(CC$8,'3. Enter Indicator Scores'!$D$8:$CZ$8,0),
  _xlpm.v, IFERROR(INDEX('3. Enter Indicator Scores'!$D$10:$CZ$161,_xlpm.r,_xlpm.c),""),
  IF(OR(_xlpm.w="",_xlpm.v=""),"",_xlpm.v*_xlpm.w)
)</f>
        <v/>
      </c>
      <c r="CD101" s="93" t="str" cm="1">
        <f t="array" ref="CD101">_xlfn.LET(
  _xlpm.w, CD$11,
  _xlpm.r, MATCH(1,('3. Enter Indicator Scores'!$B$10:$B$161=$B101)*('3. Enter Indicator Scores'!$C$10:$C$161=$C101),0),
  _xlpm.c, MATCH(CD$8,'3. Enter Indicator Scores'!$D$8:$CZ$8,0),
  _xlpm.v, IFERROR(INDEX('3. Enter Indicator Scores'!$D$10:$CZ$161,_xlpm.r,_xlpm.c),""),
  IF(OR(_xlpm.w="",_xlpm.v=""),"",_xlpm.v*_xlpm.w)
)</f>
        <v/>
      </c>
      <c r="CE101" s="93" t="str" cm="1">
        <f t="array" ref="CE101">_xlfn.LET(
  _xlpm.w, CE$11,
  _xlpm.r, MATCH(1,('3. Enter Indicator Scores'!$B$10:$B$161=$B101)*('3. Enter Indicator Scores'!$C$10:$C$161=$C101),0),
  _xlpm.c, MATCH(CE$8,'3. Enter Indicator Scores'!$D$8:$CZ$8,0),
  _xlpm.v, IFERROR(INDEX('3. Enter Indicator Scores'!$D$10:$CZ$161,_xlpm.r,_xlpm.c),""),
  IF(OR(_xlpm.w="",_xlpm.v=""),"",_xlpm.v*_xlpm.w)
)</f>
        <v/>
      </c>
      <c r="CF101" s="93" t="str" cm="1">
        <f t="array" ref="CF101">_xlfn.LET(
  _xlpm.w, CF$11,
  _xlpm.r, MATCH(1,('3. Enter Indicator Scores'!$B$10:$B$161=$B101)*('3. Enter Indicator Scores'!$C$10:$C$161=$C101),0),
  _xlpm.c, MATCH(CF$8,'3. Enter Indicator Scores'!$D$8:$CZ$8,0),
  _xlpm.v, IFERROR(INDEX('3. Enter Indicator Scores'!$D$10:$CZ$161,_xlpm.r,_xlpm.c),""),
  IF(OR(_xlpm.w="",_xlpm.v=""),"",_xlpm.v*_xlpm.w)
)</f>
        <v/>
      </c>
      <c r="CG101" s="93" t="str" cm="1">
        <f t="array" ref="CG101">_xlfn.LET(
  _xlpm.w, CG$11,
  _xlpm.r, MATCH(1,('3. Enter Indicator Scores'!$B$10:$B$161=$B101)*('3. Enter Indicator Scores'!$C$10:$C$161=$C101),0),
  _xlpm.c, MATCH(CG$8,'3. Enter Indicator Scores'!$D$8:$CZ$8,0),
  _xlpm.v, IFERROR(INDEX('3. Enter Indicator Scores'!$D$10:$CZ$161,_xlpm.r,_xlpm.c),""),
  IF(OR(_xlpm.w="",_xlpm.v=""),"",_xlpm.v*_xlpm.w)
)</f>
        <v/>
      </c>
      <c r="CH101" s="93" t="str" cm="1">
        <f t="array" ref="CH101">_xlfn.LET(
  _xlpm.w, CH$11,
  _xlpm.r, MATCH(1,('3. Enter Indicator Scores'!$B$10:$B$161=$B101)*('3. Enter Indicator Scores'!$C$10:$C$161=$C101),0),
  _xlpm.c, MATCH(CH$8,'3. Enter Indicator Scores'!$D$8:$CZ$8,0),
  _xlpm.v, IFERROR(INDEX('3. Enter Indicator Scores'!$D$10:$CZ$161,_xlpm.r,_xlpm.c),""),
  IF(OR(_xlpm.w="",_xlpm.v=""),"",_xlpm.v*_xlpm.w)
)</f>
        <v/>
      </c>
      <c r="CI101" s="93" t="str" cm="1">
        <f t="array" ref="CI101">_xlfn.LET(
  _xlpm.w, CI$11,
  _xlpm.r, MATCH(1,('3. Enter Indicator Scores'!$B$10:$B$161=$B101)*('3. Enter Indicator Scores'!$C$10:$C$161=$C101),0),
  _xlpm.c, MATCH(CI$8,'3. Enter Indicator Scores'!$D$8:$CZ$8,0),
  _xlpm.v, IFERROR(INDEX('3. Enter Indicator Scores'!$D$10:$CZ$161,_xlpm.r,_xlpm.c),""),
  IF(OR(_xlpm.w="",_xlpm.v=""),"",_xlpm.v*_xlpm.w)
)</f>
        <v/>
      </c>
      <c r="CJ101" s="93" t="str" cm="1">
        <f t="array" ref="CJ101">_xlfn.LET(
  _xlpm.w, CJ$11,
  _xlpm.r, MATCH(1,('3. Enter Indicator Scores'!$B$10:$B$161=$B101)*('3. Enter Indicator Scores'!$C$10:$C$161=$C101),0),
  _xlpm.c, MATCH(CJ$8,'3. Enter Indicator Scores'!$D$8:$CZ$8,0),
  _xlpm.v, IFERROR(INDEX('3. Enter Indicator Scores'!$D$10:$CZ$161,_xlpm.r,_xlpm.c),""),
  IF(OR(_xlpm.w="",_xlpm.v=""),"",_xlpm.v*_xlpm.w)
)</f>
        <v/>
      </c>
      <c r="CK101" s="93" t="str" cm="1">
        <f t="array" ref="CK101">_xlfn.LET(
  _xlpm.w, CK$11,
  _xlpm.r, MATCH(1,('3. Enter Indicator Scores'!$B$10:$B$161=$B101)*('3. Enter Indicator Scores'!$C$10:$C$161=$C101),0),
  _xlpm.c, MATCH(CK$8,'3. Enter Indicator Scores'!$D$8:$CZ$8,0),
  _xlpm.v, IFERROR(INDEX('3. Enter Indicator Scores'!$D$10:$CZ$161,_xlpm.r,_xlpm.c),""),
  IF(OR(_xlpm.w="",_xlpm.v=""),"",_xlpm.v*_xlpm.w)
)</f>
        <v/>
      </c>
      <c r="CL101" s="93" t="str" cm="1">
        <f t="array" ref="CL101">_xlfn.LET(
  _xlpm.w, CL$11,
  _xlpm.r, MATCH(1,('3. Enter Indicator Scores'!$B$10:$B$161=$B101)*('3. Enter Indicator Scores'!$C$10:$C$161=$C101),0),
  _xlpm.c, MATCH(CL$8,'3. Enter Indicator Scores'!$D$8:$CZ$8,0),
  _xlpm.v, IFERROR(INDEX('3. Enter Indicator Scores'!$D$10:$CZ$161,_xlpm.r,_xlpm.c),""),
  IF(OR(_xlpm.w="",_xlpm.v=""),"",_xlpm.v*_xlpm.w)
)</f>
        <v/>
      </c>
      <c r="CM101" s="93" t="str" cm="1">
        <f t="array" ref="CM101">_xlfn.LET(
  _xlpm.w, CM$11,
  _xlpm.r, MATCH(1,('3. Enter Indicator Scores'!$B$10:$B$161=$B101)*('3. Enter Indicator Scores'!$C$10:$C$161=$C101),0),
  _xlpm.c, MATCH(CM$8,'3. Enter Indicator Scores'!$D$8:$CZ$8,0),
  _xlpm.v, IFERROR(INDEX('3. Enter Indicator Scores'!$D$10:$CZ$161,_xlpm.r,_xlpm.c),""),
  IF(OR(_xlpm.w="",_xlpm.v=""),"",_xlpm.v*_xlpm.w)
)</f>
        <v/>
      </c>
      <c r="CN101" s="93" t="str" cm="1">
        <f t="array" ref="CN101">_xlfn.LET(
  _xlpm.w, CN$11,
  _xlpm.r, MATCH(1,('3. Enter Indicator Scores'!$B$10:$B$161=$B101)*('3. Enter Indicator Scores'!$C$10:$C$161=$C101),0),
  _xlpm.c, MATCH(CN$8,'3. Enter Indicator Scores'!$D$8:$CZ$8,0),
  _xlpm.v, IFERROR(INDEX('3. Enter Indicator Scores'!$D$10:$CZ$161,_xlpm.r,_xlpm.c),""),
  IF(OR(_xlpm.w="",_xlpm.v=""),"",_xlpm.v*_xlpm.w)
)</f>
        <v/>
      </c>
      <c r="CO101" s="93" t="str" cm="1">
        <f t="array" ref="CO101">_xlfn.LET(
  _xlpm.w, CO$11,
  _xlpm.r, MATCH(1,('3. Enter Indicator Scores'!$B$10:$B$161=$B101)*('3. Enter Indicator Scores'!$C$10:$C$161=$C101),0),
  _xlpm.c, MATCH(CO$8,'3. Enter Indicator Scores'!$D$8:$CZ$8,0),
  _xlpm.v, IFERROR(INDEX('3. Enter Indicator Scores'!$D$10:$CZ$161,_xlpm.r,_xlpm.c),""),
  IF(OR(_xlpm.w="",_xlpm.v=""),"",_xlpm.v*_xlpm.w)
)</f>
        <v/>
      </c>
      <c r="CP101" s="93" t="str" cm="1">
        <f t="array" ref="CP101">_xlfn.LET(
  _xlpm.w, CP$11,
  _xlpm.r, MATCH(1,('3. Enter Indicator Scores'!$B$10:$B$161=$B101)*('3. Enter Indicator Scores'!$C$10:$C$161=$C101),0),
  _xlpm.c, MATCH(CP$8,'3. Enter Indicator Scores'!$D$8:$CZ$8,0),
  _xlpm.v, IFERROR(INDEX('3. Enter Indicator Scores'!$D$10:$CZ$161,_xlpm.r,_xlpm.c),""),
  IF(OR(_xlpm.w="",_xlpm.v=""),"",_xlpm.v*_xlpm.w)
)</f>
        <v/>
      </c>
      <c r="CQ101" s="93" t="str" cm="1">
        <f t="array" ref="CQ101">_xlfn.LET(
  _xlpm.w, CQ$11,
  _xlpm.r, MATCH(1,('3. Enter Indicator Scores'!$B$10:$B$161=$B101)*('3. Enter Indicator Scores'!$C$10:$C$161=$C101),0),
  _xlpm.c, MATCH(CQ$8,'3. Enter Indicator Scores'!$D$8:$CZ$8,0),
  _xlpm.v, IFERROR(INDEX('3. Enter Indicator Scores'!$D$10:$CZ$161,_xlpm.r,_xlpm.c),""),
  IF(OR(_xlpm.w="",_xlpm.v=""),"",_xlpm.v*_xlpm.w)
)</f>
        <v/>
      </c>
      <c r="CR101" s="93" t="str" cm="1">
        <f t="array" ref="CR101">_xlfn.LET(
  _xlpm.w, CR$11,
  _xlpm.r, MATCH(1,('3. Enter Indicator Scores'!$B$10:$B$161=$B101)*('3. Enter Indicator Scores'!$C$10:$C$161=$C101),0),
  _xlpm.c, MATCH(CR$8,'3. Enter Indicator Scores'!$D$8:$CZ$8,0),
  _xlpm.v, IFERROR(INDEX('3. Enter Indicator Scores'!$D$10:$CZ$161,_xlpm.r,_xlpm.c),""),
  IF(OR(_xlpm.w="",_xlpm.v=""),"",_xlpm.v*_xlpm.w)
)</f>
        <v/>
      </c>
      <c r="CS101" s="93" t="str" cm="1">
        <f t="array" ref="CS101">_xlfn.LET(
  _xlpm.w, CS$11,
  _xlpm.r, MATCH(1,('3. Enter Indicator Scores'!$B$10:$B$161=$B101)*('3. Enter Indicator Scores'!$C$10:$C$161=$C101),0),
  _xlpm.c, MATCH(CS$8,'3. Enter Indicator Scores'!$D$8:$CZ$8,0),
  _xlpm.v, IFERROR(INDEX('3. Enter Indicator Scores'!$D$10:$CZ$161,_xlpm.r,_xlpm.c),""),
  IF(OR(_xlpm.w="",_xlpm.v=""),"",_xlpm.v*_xlpm.w)
)</f>
        <v/>
      </c>
      <c r="CT101" s="93" t="str" cm="1">
        <f t="array" ref="CT101">_xlfn.LET(
  _xlpm.w, CT$11,
  _xlpm.r, MATCH(1,('3. Enter Indicator Scores'!$B$10:$B$161=$B101)*('3. Enter Indicator Scores'!$C$10:$C$161=$C101),0),
  _xlpm.c, MATCH(CT$8,'3. Enter Indicator Scores'!$D$8:$CZ$8,0),
  _xlpm.v, IFERROR(INDEX('3. Enter Indicator Scores'!$D$10:$CZ$161,_xlpm.r,_xlpm.c),""),
  IF(OR(_xlpm.w="",_xlpm.v=""),"",_xlpm.v*_xlpm.w)
)</f>
        <v/>
      </c>
      <c r="CU101" s="93" t="str" cm="1">
        <f t="array" ref="CU101">_xlfn.LET(
  _xlpm.w, CU$11,
  _xlpm.r, MATCH(1,('3. Enter Indicator Scores'!$B$10:$B$161=$B101)*('3. Enter Indicator Scores'!$C$10:$C$161=$C101),0),
  _xlpm.c, MATCH(CU$8,'3. Enter Indicator Scores'!$D$8:$CZ$8,0),
  _xlpm.v, IFERROR(INDEX('3. Enter Indicator Scores'!$D$10:$CZ$161,_xlpm.r,_xlpm.c),""),
  IF(OR(_xlpm.w="",_xlpm.v=""),"",_xlpm.v*_xlpm.w)
)</f>
        <v/>
      </c>
      <c r="CV101" s="93" t="str" cm="1">
        <f t="array" ref="CV101">_xlfn.LET(
  _xlpm.w, CV$11,
  _xlpm.r, MATCH(1,('3. Enter Indicator Scores'!$B$10:$B$161=$B101)*('3. Enter Indicator Scores'!$C$10:$C$161=$C101),0),
  _xlpm.c, MATCH(CV$8,'3. Enter Indicator Scores'!$D$8:$CZ$8,0),
  _xlpm.v, IFERROR(INDEX('3. Enter Indicator Scores'!$D$10:$CZ$161,_xlpm.r,_xlpm.c),""),
  IF(OR(_xlpm.w="",_xlpm.v=""),"",_xlpm.v*_xlpm.w)
)</f>
        <v/>
      </c>
      <c r="CW101" s="93" t="str" cm="1">
        <f t="array" ref="CW101">_xlfn.LET(
  _xlpm.w, CW$11,
  _xlpm.r, MATCH(1,('3. Enter Indicator Scores'!$B$10:$B$161=$B101)*('3. Enter Indicator Scores'!$C$10:$C$161=$C101),0),
  _xlpm.c, MATCH(CW$8,'3. Enter Indicator Scores'!$D$8:$CZ$8,0),
  _xlpm.v, IFERROR(INDEX('3. Enter Indicator Scores'!$D$10:$CZ$161,_xlpm.r,_xlpm.c),""),
  IF(OR(_xlpm.w="",_xlpm.v=""),"",_xlpm.v*_xlpm.w)
)</f>
        <v/>
      </c>
      <c r="CX101" s="93" t="str" cm="1">
        <f t="array" ref="CX101">_xlfn.LET(
  _xlpm.w, CX$11,
  _xlpm.r, MATCH(1,('3. Enter Indicator Scores'!$B$10:$B$161=$B101)*('3. Enter Indicator Scores'!$C$10:$C$161=$C101),0),
  _xlpm.c, MATCH(CX$8,'3. Enter Indicator Scores'!$D$8:$CZ$8,0),
  _xlpm.v, IFERROR(INDEX('3. Enter Indicator Scores'!$D$10:$CZ$161,_xlpm.r,_xlpm.c),""),
  IF(OR(_xlpm.w="",_xlpm.v=""),"",_xlpm.v*_xlpm.w)
)</f>
        <v/>
      </c>
      <c r="CY101" s="93" t="str" cm="1">
        <f t="array" ref="CY101">_xlfn.LET(
  _xlpm.w, CY$11,
  _xlpm.r, MATCH(1,('3. Enter Indicator Scores'!$B$10:$B$161=$B101)*('3. Enter Indicator Scores'!$C$10:$C$161=$C101),0),
  _xlpm.c, MATCH(CY$8,'3. Enter Indicator Scores'!$D$8:$CZ$8,0),
  _xlpm.v, IFERROR(INDEX('3. Enter Indicator Scores'!$D$10:$CZ$161,_xlpm.r,_xlpm.c),""),
  IF(OR(_xlpm.w="",_xlpm.v=""),"",_xlpm.v*_xlpm.w)
)</f>
        <v/>
      </c>
      <c r="CZ101" s="93" t="str" cm="1">
        <f t="array" ref="CZ101">_xlfn.LET(
  _xlpm.w, CZ$11,
  _xlpm.r, MATCH(1,('3. Enter Indicator Scores'!$B$10:$B$161=$B101)*('3. Enter Indicator Scores'!$C$10:$C$161=$C101),0),
  _xlpm.c, MATCH(CZ$8,'3. Enter Indicator Scores'!$D$8:$CZ$8,0),
  _xlpm.v, IFERROR(INDEX('3. Enter Indicator Scores'!$D$10:$CZ$161,_xlpm.r,_xlpm.c),""),
  IF(OR(_xlpm.w="",_xlpm.v=""),"",_xlpm.v*_xlpm.w)
)</f>
        <v/>
      </c>
    </row>
    <row r="102" spans="4:104" x14ac:dyDescent="0.2">
      <c r="D102" s="93" t="str" cm="1">
        <f t="array" ref="D102">_xlfn.LET(
  _xlpm.w, D$11,
  _xlpm.r, MATCH(1,('3. Enter Indicator Scores'!$B$10:$B$161=$B102)*('3. Enter Indicator Scores'!$C$10:$C$161=$C102),0),
  _xlpm.c, MATCH(D$8,'3. Enter Indicator Scores'!$D$8:$CZ$8,0),
  _xlpm.v, IFERROR(INDEX('3. Enter Indicator Scores'!$D$10:$CZ$161,_xlpm.r,_xlpm.c),""),
  IF(OR(_xlpm.w="",_xlpm.v=""),"",_xlpm.v*_xlpm.w)
)</f>
        <v/>
      </c>
      <c r="E102" s="93" t="str" cm="1">
        <f t="array" ref="E102">_xlfn.LET(
  _xlpm.w, E$11,
  _xlpm.r, MATCH(1,('3. Enter Indicator Scores'!$B$10:$B$161=$B102)*('3. Enter Indicator Scores'!$C$10:$C$161=$C102),0),
  _xlpm.c, MATCH(E$8,'3. Enter Indicator Scores'!$D$8:$CZ$8,0),
  _xlpm.v, IFERROR(INDEX('3. Enter Indicator Scores'!$D$10:$CZ$161,_xlpm.r,_xlpm.c),""),
  IF(OR(_xlpm.w="",_xlpm.v=""),"",_xlpm.v*_xlpm.w)
)</f>
        <v/>
      </c>
      <c r="F102" s="93" t="str" cm="1">
        <f t="array" ref="F102">_xlfn.LET(
  _xlpm.w, F$11,
  _xlpm.r, MATCH(1,('3. Enter Indicator Scores'!$B$10:$B$161=$B102)*('3. Enter Indicator Scores'!$C$10:$C$161=$C102),0),
  _xlpm.c, MATCH(F$8,'3. Enter Indicator Scores'!$D$8:$CZ$8,0),
  _xlpm.v, IFERROR(INDEX('3. Enter Indicator Scores'!$D$10:$CZ$161,_xlpm.r,_xlpm.c),""),
  IF(OR(_xlpm.w="",_xlpm.v=""),"",_xlpm.v*_xlpm.w)
)</f>
        <v/>
      </c>
      <c r="G102" s="93" t="str" cm="1">
        <f t="array" ref="G102">_xlfn.LET(
  _xlpm.w, G$11,
  _xlpm.r, MATCH(1,('3. Enter Indicator Scores'!$B$10:$B$161=$B102)*('3. Enter Indicator Scores'!$C$10:$C$161=$C102),0),
  _xlpm.c, MATCH(G$8,'3. Enter Indicator Scores'!$D$8:$CZ$8,0),
  _xlpm.v, IFERROR(INDEX('3. Enter Indicator Scores'!$D$10:$CZ$161,_xlpm.r,_xlpm.c),""),
  IF(OR(_xlpm.w="",_xlpm.v=""),"",_xlpm.v*_xlpm.w)
)</f>
        <v/>
      </c>
      <c r="H102" s="93" t="str" cm="1">
        <f t="array" ref="H102">_xlfn.LET(
  _xlpm.w, H$11,
  _xlpm.r, MATCH(1,('3. Enter Indicator Scores'!$B$10:$B$161=$B102)*('3. Enter Indicator Scores'!$C$10:$C$161=$C102),0),
  _xlpm.c, MATCH(H$8,'3. Enter Indicator Scores'!$D$8:$CZ$8,0),
  _xlpm.v, IFERROR(INDEX('3. Enter Indicator Scores'!$D$10:$CZ$161,_xlpm.r,_xlpm.c),""),
  IF(OR(_xlpm.w="",_xlpm.v=""),"",_xlpm.v*_xlpm.w)
)</f>
        <v/>
      </c>
      <c r="I102" s="93" t="str" cm="1">
        <f t="array" ref="I102">_xlfn.LET(
  _xlpm.w, I$11,
  _xlpm.r, MATCH(1,('3. Enter Indicator Scores'!$B$10:$B$161=$B102)*('3. Enter Indicator Scores'!$C$10:$C$161=$C102),0),
  _xlpm.c, MATCH(I$8,'3. Enter Indicator Scores'!$D$8:$CZ$8,0),
  _xlpm.v, IFERROR(INDEX('3. Enter Indicator Scores'!$D$10:$CZ$161,_xlpm.r,_xlpm.c),""),
  IF(OR(_xlpm.w="",_xlpm.v=""),"",_xlpm.v*_xlpm.w)
)</f>
        <v/>
      </c>
      <c r="J102" s="93" t="str" cm="1">
        <f t="array" ref="J102">_xlfn.LET(
  _xlpm.w, J$11,
  _xlpm.r, MATCH(1,('3. Enter Indicator Scores'!$B$10:$B$161=$B102)*('3. Enter Indicator Scores'!$C$10:$C$161=$C102),0),
  _xlpm.c, MATCH(J$8,'3. Enter Indicator Scores'!$D$8:$CZ$8,0),
  _xlpm.v, IFERROR(INDEX('3. Enter Indicator Scores'!$D$10:$CZ$161,_xlpm.r,_xlpm.c),""),
  IF(OR(_xlpm.w="",_xlpm.v=""),"",_xlpm.v*_xlpm.w)
)</f>
        <v/>
      </c>
      <c r="K102" s="93" t="str" cm="1">
        <f t="array" ref="K102">_xlfn.LET(
  _xlpm.w, K$11,
  _xlpm.r, MATCH(1,('3. Enter Indicator Scores'!$B$10:$B$161=$B102)*('3. Enter Indicator Scores'!$C$10:$C$161=$C102),0),
  _xlpm.c, MATCH(K$8,'3. Enter Indicator Scores'!$D$8:$CZ$8,0),
  _xlpm.v, IFERROR(INDEX('3. Enter Indicator Scores'!$D$10:$CZ$161,_xlpm.r,_xlpm.c),""),
  IF(OR(_xlpm.w="",_xlpm.v=""),"",_xlpm.v*_xlpm.w)
)</f>
        <v/>
      </c>
      <c r="L102" s="93" t="str" cm="1">
        <f t="array" ref="L102">_xlfn.LET(
  _xlpm.w, L$11,
  _xlpm.r, MATCH(1,('3. Enter Indicator Scores'!$B$10:$B$161=$B102)*('3. Enter Indicator Scores'!$C$10:$C$161=$C102),0),
  _xlpm.c, MATCH(L$8,'3. Enter Indicator Scores'!$D$8:$CZ$8,0),
  _xlpm.v, IFERROR(INDEX('3. Enter Indicator Scores'!$D$10:$CZ$161,_xlpm.r,_xlpm.c),""),
  IF(OR(_xlpm.w="",_xlpm.v=""),"",_xlpm.v*_xlpm.w)
)</f>
        <v/>
      </c>
      <c r="M102" s="93" t="str" cm="1">
        <f t="array" ref="M102">_xlfn.LET(
  _xlpm.w, M$11,
  _xlpm.r, MATCH(1,('3. Enter Indicator Scores'!$B$10:$B$161=$B102)*('3. Enter Indicator Scores'!$C$10:$C$161=$C102),0),
  _xlpm.c, MATCH(M$8,'3. Enter Indicator Scores'!$D$8:$CZ$8,0),
  _xlpm.v, IFERROR(INDEX('3. Enter Indicator Scores'!$D$10:$CZ$161,_xlpm.r,_xlpm.c),""),
  IF(OR(_xlpm.w="",_xlpm.v=""),"",_xlpm.v*_xlpm.w)
)</f>
        <v/>
      </c>
      <c r="N102" s="93" t="str" cm="1">
        <f t="array" ref="N102">_xlfn.LET(
  _xlpm.w, N$11,
  _xlpm.r, MATCH(1,('3. Enter Indicator Scores'!$B$10:$B$161=$B102)*('3. Enter Indicator Scores'!$C$10:$C$161=$C102),0),
  _xlpm.c, MATCH(N$8,'3. Enter Indicator Scores'!$D$8:$CZ$8,0),
  _xlpm.v, IFERROR(INDEX('3. Enter Indicator Scores'!$D$10:$CZ$161,_xlpm.r,_xlpm.c),""),
  IF(OR(_xlpm.w="",_xlpm.v=""),"",_xlpm.v*_xlpm.w)
)</f>
        <v/>
      </c>
      <c r="O102" s="93" t="str" cm="1">
        <f t="array" ref="O102">_xlfn.LET(
  _xlpm.w, O$11,
  _xlpm.r, MATCH(1,('3. Enter Indicator Scores'!$B$10:$B$161=$B102)*('3. Enter Indicator Scores'!$C$10:$C$161=$C102),0),
  _xlpm.c, MATCH(O$8,'3. Enter Indicator Scores'!$D$8:$CZ$8,0),
  _xlpm.v, IFERROR(INDEX('3. Enter Indicator Scores'!$D$10:$CZ$161,_xlpm.r,_xlpm.c),""),
  IF(OR(_xlpm.w="",_xlpm.v=""),"",_xlpm.v*_xlpm.w)
)</f>
        <v/>
      </c>
      <c r="P102" s="93" t="str" cm="1">
        <f t="array" ref="P102">_xlfn.LET(
  _xlpm.w, P$11,
  _xlpm.r, MATCH(1,('3. Enter Indicator Scores'!$B$10:$B$161=$B102)*('3. Enter Indicator Scores'!$C$10:$C$161=$C102),0),
  _xlpm.c, MATCH(P$8,'3. Enter Indicator Scores'!$D$8:$CZ$8,0),
  _xlpm.v, IFERROR(INDEX('3. Enter Indicator Scores'!$D$10:$CZ$161,_xlpm.r,_xlpm.c),""),
  IF(OR(_xlpm.w="",_xlpm.v=""),"",_xlpm.v*_xlpm.w)
)</f>
        <v/>
      </c>
      <c r="Q102" s="93" t="str" cm="1">
        <f t="array" ref="Q102">_xlfn.LET(
  _xlpm.w, Q$11,
  _xlpm.r, MATCH(1,('3. Enter Indicator Scores'!$B$10:$B$161=$B102)*('3. Enter Indicator Scores'!$C$10:$C$161=$C102),0),
  _xlpm.c, MATCH(Q$8,'3. Enter Indicator Scores'!$D$8:$CZ$8,0),
  _xlpm.v, IFERROR(INDEX('3. Enter Indicator Scores'!$D$10:$CZ$161,_xlpm.r,_xlpm.c),""),
  IF(OR(_xlpm.w="",_xlpm.v=""),"",_xlpm.v*_xlpm.w)
)</f>
        <v/>
      </c>
      <c r="R102" s="93" t="str" cm="1">
        <f t="array" ref="R102">_xlfn.LET(
  _xlpm.w, R$11,
  _xlpm.r, MATCH(1,('3. Enter Indicator Scores'!$B$10:$B$161=$B102)*('3. Enter Indicator Scores'!$C$10:$C$161=$C102),0),
  _xlpm.c, MATCH(R$8,'3. Enter Indicator Scores'!$D$8:$CZ$8,0),
  _xlpm.v, IFERROR(INDEX('3. Enter Indicator Scores'!$D$10:$CZ$161,_xlpm.r,_xlpm.c),""),
  IF(OR(_xlpm.w="",_xlpm.v=""),"",_xlpm.v*_xlpm.w)
)</f>
        <v/>
      </c>
      <c r="S102" s="93" t="str" cm="1">
        <f t="array" ref="S102">_xlfn.LET(
  _xlpm.w, S$11,
  _xlpm.r, MATCH(1,('3. Enter Indicator Scores'!$B$10:$B$161=$B102)*('3. Enter Indicator Scores'!$C$10:$C$161=$C102),0),
  _xlpm.c, MATCH(S$8,'3. Enter Indicator Scores'!$D$8:$CZ$8,0),
  _xlpm.v, IFERROR(INDEX('3. Enter Indicator Scores'!$D$10:$CZ$161,_xlpm.r,_xlpm.c),""),
  IF(OR(_xlpm.w="",_xlpm.v=""),"",_xlpm.v*_xlpm.w)
)</f>
        <v/>
      </c>
      <c r="T102" s="93" t="str" cm="1">
        <f t="array" ref="T102">_xlfn.LET(
  _xlpm.w, T$11,
  _xlpm.r, MATCH(1,('3. Enter Indicator Scores'!$B$10:$B$161=$B102)*('3. Enter Indicator Scores'!$C$10:$C$161=$C102),0),
  _xlpm.c, MATCH(T$8,'3. Enter Indicator Scores'!$D$8:$CZ$8,0),
  _xlpm.v, IFERROR(INDEX('3. Enter Indicator Scores'!$D$10:$CZ$161,_xlpm.r,_xlpm.c),""),
  IF(OR(_xlpm.w="",_xlpm.v=""),"",_xlpm.v*_xlpm.w)
)</f>
        <v/>
      </c>
      <c r="U102" s="93" t="str" cm="1">
        <f t="array" ref="U102">_xlfn.LET(
  _xlpm.w, U$11,
  _xlpm.r, MATCH(1,('3. Enter Indicator Scores'!$B$10:$B$161=$B102)*('3. Enter Indicator Scores'!$C$10:$C$161=$C102),0),
  _xlpm.c, MATCH(U$8,'3. Enter Indicator Scores'!$D$8:$CZ$8,0),
  _xlpm.v, IFERROR(INDEX('3. Enter Indicator Scores'!$D$10:$CZ$161,_xlpm.r,_xlpm.c),""),
  IF(OR(_xlpm.w="",_xlpm.v=""),"",_xlpm.v*_xlpm.w)
)</f>
        <v/>
      </c>
      <c r="V102" s="93" t="str" cm="1">
        <f t="array" ref="V102">_xlfn.LET(
  _xlpm.w, V$11,
  _xlpm.r, MATCH(1,('3. Enter Indicator Scores'!$B$10:$B$161=$B102)*('3. Enter Indicator Scores'!$C$10:$C$161=$C102),0),
  _xlpm.c, MATCH(V$8,'3. Enter Indicator Scores'!$D$8:$CZ$8,0),
  _xlpm.v, IFERROR(INDEX('3. Enter Indicator Scores'!$D$10:$CZ$161,_xlpm.r,_xlpm.c),""),
  IF(OR(_xlpm.w="",_xlpm.v=""),"",_xlpm.v*_xlpm.w)
)</f>
        <v/>
      </c>
      <c r="W102" s="93" t="str" cm="1">
        <f t="array" ref="W102">_xlfn.LET(
  _xlpm.w, W$11,
  _xlpm.r, MATCH(1,('3. Enter Indicator Scores'!$B$10:$B$161=$B102)*('3. Enter Indicator Scores'!$C$10:$C$161=$C102),0),
  _xlpm.c, MATCH(W$8,'3. Enter Indicator Scores'!$D$8:$CZ$8,0),
  _xlpm.v, IFERROR(INDEX('3. Enter Indicator Scores'!$D$10:$CZ$161,_xlpm.r,_xlpm.c),""),
  IF(OR(_xlpm.w="",_xlpm.v=""),"",_xlpm.v*_xlpm.w)
)</f>
        <v/>
      </c>
      <c r="X102" s="93" t="str" cm="1">
        <f t="array" ref="X102">_xlfn.LET(
  _xlpm.w, X$11,
  _xlpm.r, MATCH(1,('3. Enter Indicator Scores'!$B$10:$B$161=$B102)*('3. Enter Indicator Scores'!$C$10:$C$161=$C102),0),
  _xlpm.c, MATCH(X$8,'3. Enter Indicator Scores'!$D$8:$CZ$8,0),
  _xlpm.v, IFERROR(INDEX('3. Enter Indicator Scores'!$D$10:$CZ$161,_xlpm.r,_xlpm.c),""),
  IF(OR(_xlpm.w="",_xlpm.v=""),"",_xlpm.v*_xlpm.w)
)</f>
        <v/>
      </c>
      <c r="Y102" s="93" t="str" cm="1">
        <f t="array" ref="Y102">_xlfn.LET(
  _xlpm.w, Y$11,
  _xlpm.r, MATCH(1,('3. Enter Indicator Scores'!$B$10:$B$161=$B102)*('3. Enter Indicator Scores'!$C$10:$C$161=$C102),0),
  _xlpm.c, MATCH(Y$8,'3. Enter Indicator Scores'!$D$8:$CZ$8,0),
  _xlpm.v, IFERROR(INDEX('3. Enter Indicator Scores'!$D$10:$CZ$161,_xlpm.r,_xlpm.c),""),
  IF(OR(_xlpm.w="",_xlpm.v=""),"",_xlpm.v*_xlpm.w)
)</f>
        <v/>
      </c>
      <c r="Z102" s="93" t="str" cm="1">
        <f t="array" ref="Z102">_xlfn.LET(
  _xlpm.w, Z$11,
  _xlpm.r, MATCH(1,('3. Enter Indicator Scores'!$B$10:$B$161=$B102)*('3. Enter Indicator Scores'!$C$10:$C$161=$C102),0),
  _xlpm.c, MATCH(Z$8,'3. Enter Indicator Scores'!$D$8:$CZ$8,0),
  _xlpm.v, IFERROR(INDEX('3. Enter Indicator Scores'!$D$10:$CZ$161,_xlpm.r,_xlpm.c),""),
  IF(OR(_xlpm.w="",_xlpm.v=""),"",_xlpm.v*_xlpm.w)
)</f>
        <v/>
      </c>
      <c r="AA102" s="93" t="str" cm="1">
        <f t="array" ref="AA102">_xlfn.LET(
  _xlpm.w, AA$11,
  _xlpm.r, MATCH(1,('3. Enter Indicator Scores'!$B$10:$B$161=$B102)*('3. Enter Indicator Scores'!$C$10:$C$161=$C102),0),
  _xlpm.c, MATCH(AA$8,'3. Enter Indicator Scores'!$D$8:$CZ$8,0),
  _xlpm.v, IFERROR(INDEX('3. Enter Indicator Scores'!$D$10:$CZ$161,_xlpm.r,_xlpm.c),""),
  IF(OR(_xlpm.w="",_xlpm.v=""),"",_xlpm.v*_xlpm.w)
)</f>
        <v/>
      </c>
      <c r="AB102" s="93" t="str" cm="1">
        <f t="array" ref="AB102">_xlfn.LET(
  _xlpm.w, AB$11,
  _xlpm.r, MATCH(1,('3. Enter Indicator Scores'!$B$10:$B$161=$B102)*('3. Enter Indicator Scores'!$C$10:$C$161=$C102),0),
  _xlpm.c, MATCH(AB$8,'3. Enter Indicator Scores'!$D$8:$CZ$8,0),
  _xlpm.v, IFERROR(INDEX('3. Enter Indicator Scores'!$D$10:$CZ$161,_xlpm.r,_xlpm.c),""),
  IF(OR(_xlpm.w="",_xlpm.v=""),"",_xlpm.v*_xlpm.w)
)</f>
        <v/>
      </c>
      <c r="AC102" s="93" t="str" cm="1">
        <f t="array" ref="AC102">_xlfn.LET(
  _xlpm.w, AC$11,
  _xlpm.r, MATCH(1,('3. Enter Indicator Scores'!$B$10:$B$161=$B102)*('3. Enter Indicator Scores'!$C$10:$C$161=$C102),0),
  _xlpm.c, MATCH(AC$8,'3. Enter Indicator Scores'!$D$8:$CZ$8,0),
  _xlpm.v, IFERROR(INDEX('3. Enter Indicator Scores'!$D$10:$CZ$161,_xlpm.r,_xlpm.c),""),
  IF(OR(_xlpm.w="",_xlpm.v=""),"",_xlpm.v*_xlpm.w)
)</f>
        <v/>
      </c>
      <c r="AD102" s="93" t="str" cm="1">
        <f t="array" ref="AD102">_xlfn.LET(
  _xlpm.w, AD$11,
  _xlpm.r, MATCH(1,('3. Enter Indicator Scores'!$B$10:$B$161=$B102)*('3. Enter Indicator Scores'!$C$10:$C$161=$C102),0),
  _xlpm.c, MATCH(AD$8,'3. Enter Indicator Scores'!$D$8:$CZ$8,0),
  _xlpm.v, IFERROR(INDEX('3. Enter Indicator Scores'!$D$10:$CZ$161,_xlpm.r,_xlpm.c),""),
  IF(OR(_xlpm.w="",_xlpm.v=""),"",_xlpm.v*_xlpm.w)
)</f>
        <v/>
      </c>
      <c r="AE102" s="93" t="str" cm="1">
        <f t="array" ref="AE102">_xlfn.LET(
  _xlpm.w, AE$11,
  _xlpm.r, MATCH(1,('3. Enter Indicator Scores'!$B$10:$B$161=$B102)*('3. Enter Indicator Scores'!$C$10:$C$161=$C102),0),
  _xlpm.c, MATCH(AE$8,'3. Enter Indicator Scores'!$D$8:$CZ$8,0),
  _xlpm.v, IFERROR(INDEX('3. Enter Indicator Scores'!$D$10:$CZ$161,_xlpm.r,_xlpm.c),""),
  IF(OR(_xlpm.w="",_xlpm.v=""),"",_xlpm.v*_xlpm.w)
)</f>
        <v/>
      </c>
      <c r="AF102" s="93" t="str" cm="1">
        <f t="array" ref="AF102">_xlfn.LET(
  _xlpm.w, AF$11,
  _xlpm.r, MATCH(1,('3. Enter Indicator Scores'!$B$10:$B$161=$B102)*('3. Enter Indicator Scores'!$C$10:$C$161=$C102),0),
  _xlpm.c, MATCH(AF$8,'3. Enter Indicator Scores'!$D$8:$CZ$8,0),
  _xlpm.v, IFERROR(INDEX('3. Enter Indicator Scores'!$D$10:$CZ$161,_xlpm.r,_xlpm.c),""),
  IF(OR(_xlpm.w="",_xlpm.v=""),"",_xlpm.v*_xlpm.w)
)</f>
        <v/>
      </c>
      <c r="AG102" s="93" t="str" cm="1">
        <f t="array" ref="AG102">_xlfn.LET(
  _xlpm.w, AG$11,
  _xlpm.r, MATCH(1,('3. Enter Indicator Scores'!$B$10:$B$161=$B102)*('3. Enter Indicator Scores'!$C$10:$C$161=$C102),0),
  _xlpm.c, MATCH(AG$8,'3. Enter Indicator Scores'!$D$8:$CZ$8,0),
  _xlpm.v, IFERROR(INDEX('3. Enter Indicator Scores'!$D$10:$CZ$161,_xlpm.r,_xlpm.c),""),
  IF(OR(_xlpm.w="",_xlpm.v=""),"",_xlpm.v*_xlpm.w)
)</f>
        <v/>
      </c>
      <c r="AH102" s="93" t="str" cm="1">
        <f t="array" ref="AH102">_xlfn.LET(
  _xlpm.w, AH$11,
  _xlpm.r, MATCH(1,('3. Enter Indicator Scores'!$B$10:$B$161=$B102)*('3. Enter Indicator Scores'!$C$10:$C$161=$C102),0),
  _xlpm.c, MATCH(AH$8,'3. Enter Indicator Scores'!$D$8:$CZ$8,0),
  _xlpm.v, IFERROR(INDEX('3. Enter Indicator Scores'!$D$10:$CZ$161,_xlpm.r,_xlpm.c),""),
  IF(OR(_xlpm.w="",_xlpm.v=""),"",_xlpm.v*_xlpm.w)
)</f>
        <v/>
      </c>
      <c r="AI102" s="93" t="str" cm="1">
        <f t="array" ref="AI102">_xlfn.LET(
  _xlpm.w, AI$11,
  _xlpm.r, MATCH(1,('3. Enter Indicator Scores'!$B$10:$B$161=$B102)*('3. Enter Indicator Scores'!$C$10:$C$161=$C102),0),
  _xlpm.c, MATCH(AI$8,'3. Enter Indicator Scores'!$D$8:$CZ$8,0),
  _xlpm.v, IFERROR(INDEX('3. Enter Indicator Scores'!$D$10:$CZ$161,_xlpm.r,_xlpm.c),""),
  IF(OR(_xlpm.w="",_xlpm.v=""),"",_xlpm.v*_xlpm.w)
)</f>
        <v/>
      </c>
      <c r="AJ102" s="93" t="str" cm="1">
        <f t="array" ref="AJ102">_xlfn.LET(
  _xlpm.w, AJ$11,
  _xlpm.r, MATCH(1,('3. Enter Indicator Scores'!$B$10:$B$161=$B102)*('3. Enter Indicator Scores'!$C$10:$C$161=$C102),0),
  _xlpm.c, MATCH(AJ$8,'3. Enter Indicator Scores'!$D$8:$CZ$8,0),
  _xlpm.v, IFERROR(INDEX('3. Enter Indicator Scores'!$D$10:$CZ$161,_xlpm.r,_xlpm.c),""),
  IF(OR(_xlpm.w="",_xlpm.v=""),"",_xlpm.v*_xlpm.w)
)</f>
        <v/>
      </c>
      <c r="AK102" s="93" t="str" cm="1">
        <f t="array" ref="AK102">_xlfn.LET(
  _xlpm.w, AK$11,
  _xlpm.r, MATCH(1,('3. Enter Indicator Scores'!$B$10:$B$161=$B102)*('3. Enter Indicator Scores'!$C$10:$C$161=$C102),0),
  _xlpm.c, MATCH(AK$8,'3. Enter Indicator Scores'!$D$8:$CZ$8,0),
  _xlpm.v, IFERROR(INDEX('3. Enter Indicator Scores'!$D$10:$CZ$161,_xlpm.r,_xlpm.c),""),
  IF(OR(_xlpm.w="",_xlpm.v=""),"",_xlpm.v*_xlpm.w)
)</f>
        <v/>
      </c>
      <c r="AL102" s="93" t="str" cm="1">
        <f t="array" ref="AL102">_xlfn.LET(
  _xlpm.w, AL$11,
  _xlpm.r, MATCH(1,('3. Enter Indicator Scores'!$B$10:$B$161=$B102)*('3. Enter Indicator Scores'!$C$10:$C$161=$C102),0),
  _xlpm.c, MATCH(AL$8,'3. Enter Indicator Scores'!$D$8:$CZ$8,0),
  _xlpm.v, IFERROR(INDEX('3. Enter Indicator Scores'!$D$10:$CZ$161,_xlpm.r,_xlpm.c),""),
  IF(OR(_xlpm.w="",_xlpm.v=""),"",_xlpm.v*_xlpm.w)
)</f>
        <v/>
      </c>
      <c r="AM102" s="93" t="str" cm="1">
        <f t="array" ref="AM102">_xlfn.LET(
  _xlpm.w, AM$11,
  _xlpm.r, MATCH(1,('3. Enter Indicator Scores'!$B$10:$B$161=$B102)*('3. Enter Indicator Scores'!$C$10:$C$161=$C102),0),
  _xlpm.c, MATCH(AM$8,'3. Enter Indicator Scores'!$D$8:$CZ$8,0),
  _xlpm.v, IFERROR(INDEX('3. Enter Indicator Scores'!$D$10:$CZ$161,_xlpm.r,_xlpm.c),""),
  IF(OR(_xlpm.w="",_xlpm.v=""),"",_xlpm.v*_xlpm.w)
)</f>
        <v/>
      </c>
      <c r="AN102" s="93" t="str" cm="1">
        <f t="array" ref="AN102">_xlfn.LET(
  _xlpm.w, AN$11,
  _xlpm.r, MATCH(1,('3. Enter Indicator Scores'!$B$10:$B$161=$B102)*('3. Enter Indicator Scores'!$C$10:$C$161=$C102),0),
  _xlpm.c, MATCH(AN$8,'3. Enter Indicator Scores'!$D$8:$CZ$8,0),
  _xlpm.v, IFERROR(INDEX('3. Enter Indicator Scores'!$D$10:$CZ$161,_xlpm.r,_xlpm.c),""),
  IF(OR(_xlpm.w="",_xlpm.v=""),"",_xlpm.v*_xlpm.w)
)</f>
        <v/>
      </c>
      <c r="AO102" s="93" t="str" cm="1">
        <f t="array" ref="AO102">_xlfn.LET(
  _xlpm.w, AO$11,
  _xlpm.r, MATCH(1,('3. Enter Indicator Scores'!$B$10:$B$161=$B102)*('3. Enter Indicator Scores'!$C$10:$C$161=$C102),0),
  _xlpm.c, MATCH(AO$8,'3. Enter Indicator Scores'!$D$8:$CZ$8,0),
  _xlpm.v, IFERROR(INDEX('3. Enter Indicator Scores'!$D$10:$CZ$161,_xlpm.r,_xlpm.c),""),
  IF(OR(_xlpm.w="",_xlpm.v=""),"",_xlpm.v*_xlpm.w)
)</f>
        <v/>
      </c>
      <c r="AP102" s="93" t="str" cm="1">
        <f t="array" ref="AP102">_xlfn.LET(
  _xlpm.w, AP$11,
  _xlpm.r, MATCH(1,('3. Enter Indicator Scores'!$B$10:$B$161=$B102)*('3. Enter Indicator Scores'!$C$10:$C$161=$C102),0),
  _xlpm.c, MATCH(AP$8,'3. Enter Indicator Scores'!$D$8:$CZ$8,0),
  _xlpm.v, IFERROR(INDEX('3. Enter Indicator Scores'!$D$10:$CZ$161,_xlpm.r,_xlpm.c),""),
  IF(OR(_xlpm.w="",_xlpm.v=""),"",_xlpm.v*_xlpm.w)
)</f>
        <v/>
      </c>
      <c r="AQ102" s="93" t="str" cm="1">
        <f t="array" ref="AQ102">_xlfn.LET(
  _xlpm.w, AQ$11,
  _xlpm.r, MATCH(1,('3. Enter Indicator Scores'!$B$10:$B$161=$B102)*('3. Enter Indicator Scores'!$C$10:$C$161=$C102),0),
  _xlpm.c, MATCH(AQ$8,'3. Enter Indicator Scores'!$D$8:$CZ$8,0),
  _xlpm.v, IFERROR(INDEX('3. Enter Indicator Scores'!$D$10:$CZ$161,_xlpm.r,_xlpm.c),""),
  IF(OR(_xlpm.w="",_xlpm.v=""),"",_xlpm.v*_xlpm.w)
)</f>
        <v/>
      </c>
      <c r="AR102" s="93" t="str" cm="1">
        <f t="array" ref="AR102">_xlfn.LET(
  _xlpm.w, AR$11,
  _xlpm.r, MATCH(1,('3. Enter Indicator Scores'!$B$10:$B$161=$B102)*('3. Enter Indicator Scores'!$C$10:$C$161=$C102),0),
  _xlpm.c, MATCH(AR$8,'3. Enter Indicator Scores'!$D$8:$CZ$8,0),
  _xlpm.v, IFERROR(INDEX('3. Enter Indicator Scores'!$D$10:$CZ$161,_xlpm.r,_xlpm.c),""),
  IF(OR(_xlpm.w="",_xlpm.v=""),"",_xlpm.v*_xlpm.w)
)</f>
        <v/>
      </c>
      <c r="AS102" s="93" t="str" cm="1">
        <f t="array" ref="AS102">_xlfn.LET(
  _xlpm.w, AS$11,
  _xlpm.r, MATCH(1,('3. Enter Indicator Scores'!$B$10:$B$161=$B102)*('3. Enter Indicator Scores'!$C$10:$C$161=$C102),0),
  _xlpm.c, MATCH(AS$8,'3. Enter Indicator Scores'!$D$8:$CZ$8,0),
  _xlpm.v, IFERROR(INDEX('3. Enter Indicator Scores'!$D$10:$CZ$161,_xlpm.r,_xlpm.c),""),
  IF(OR(_xlpm.w="",_xlpm.v=""),"",_xlpm.v*_xlpm.w)
)</f>
        <v/>
      </c>
      <c r="AT102" s="93" t="str" cm="1">
        <f t="array" ref="AT102">_xlfn.LET(
  _xlpm.w, AT$11,
  _xlpm.r, MATCH(1,('3. Enter Indicator Scores'!$B$10:$B$161=$B102)*('3. Enter Indicator Scores'!$C$10:$C$161=$C102),0),
  _xlpm.c, MATCH(AT$8,'3. Enter Indicator Scores'!$D$8:$CZ$8,0),
  _xlpm.v, IFERROR(INDEX('3. Enter Indicator Scores'!$D$10:$CZ$161,_xlpm.r,_xlpm.c),""),
  IF(OR(_xlpm.w="",_xlpm.v=""),"",_xlpm.v*_xlpm.w)
)</f>
        <v/>
      </c>
      <c r="AU102" s="93" t="str" cm="1">
        <f t="array" ref="AU102">_xlfn.LET(
  _xlpm.w, AU$11,
  _xlpm.r, MATCH(1,('3. Enter Indicator Scores'!$B$10:$B$161=$B102)*('3. Enter Indicator Scores'!$C$10:$C$161=$C102),0),
  _xlpm.c, MATCH(AU$8,'3. Enter Indicator Scores'!$D$8:$CZ$8,0),
  _xlpm.v, IFERROR(INDEX('3. Enter Indicator Scores'!$D$10:$CZ$161,_xlpm.r,_xlpm.c),""),
  IF(OR(_xlpm.w="",_xlpm.v=""),"",_xlpm.v*_xlpm.w)
)</f>
        <v/>
      </c>
      <c r="AV102" s="93" t="str" cm="1">
        <f t="array" ref="AV102">_xlfn.LET(
  _xlpm.w, AV$11,
  _xlpm.r, MATCH(1,('3. Enter Indicator Scores'!$B$10:$B$161=$B102)*('3. Enter Indicator Scores'!$C$10:$C$161=$C102),0),
  _xlpm.c, MATCH(AV$8,'3. Enter Indicator Scores'!$D$8:$CZ$8,0),
  _xlpm.v, IFERROR(INDEX('3. Enter Indicator Scores'!$D$10:$CZ$161,_xlpm.r,_xlpm.c),""),
  IF(OR(_xlpm.w="",_xlpm.v=""),"",_xlpm.v*_xlpm.w)
)</f>
        <v/>
      </c>
      <c r="AW102" s="93" t="str" cm="1">
        <f t="array" ref="AW102">_xlfn.LET(
  _xlpm.w, AW$11,
  _xlpm.r, MATCH(1,('3. Enter Indicator Scores'!$B$10:$B$161=$B102)*('3. Enter Indicator Scores'!$C$10:$C$161=$C102),0),
  _xlpm.c, MATCH(AW$8,'3. Enter Indicator Scores'!$D$8:$CZ$8,0),
  _xlpm.v, IFERROR(INDEX('3. Enter Indicator Scores'!$D$10:$CZ$161,_xlpm.r,_xlpm.c),""),
  IF(OR(_xlpm.w="",_xlpm.v=""),"",_xlpm.v*_xlpm.w)
)</f>
        <v/>
      </c>
      <c r="AX102" s="93" t="str" cm="1">
        <f t="array" ref="AX102">_xlfn.LET(
  _xlpm.w, AX$11,
  _xlpm.r, MATCH(1,('3. Enter Indicator Scores'!$B$10:$B$161=$B102)*('3. Enter Indicator Scores'!$C$10:$C$161=$C102),0),
  _xlpm.c, MATCH(AX$8,'3. Enter Indicator Scores'!$D$8:$CZ$8,0),
  _xlpm.v, IFERROR(INDEX('3. Enter Indicator Scores'!$D$10:$CZ$161,_xlpm.r,_xlpm.c),""),
  IF(OR(_xlpm.w="",_xlpm.v=""),"",_xlpm.v*_xlpm.w)
)</f>
        <v/>
      </c>
      <c r="AY102" s="93" t="str" cm="1">
        <f t="array" ref="AY102">_xlfn.LET(
  _xlpm.w, AY$11,
  _xlpm.r, MATCH(1,('3. Enter Indicator Scores'!$B$10:$B$161=$B102)*('3. Enter Indicator Scores'!$C$10:$C$161=$C102),0),
  _xlpm.c, MATCH(AY$8,'3. Enter Indicator Scores'!$D$8:$CZ$8,0),
  _xlpm.v, IFERROR(INDEX('3. Enter Indicator Scores'!$D$10:$CZ$161,_xlpm.r,_xlpm.c),""),
  IF(OR(_xlpm.w="",_xlpm.v=""),"",_xlpm.v*_xlpm.w)
)</f>
        <v/>
      </c>
      <c r="AZ102" s="93" t="str" cm="1">
        <f t="array" ref="AZ102">_xlfn.LET(
  _xlpm.w, AZ$11,
  _xlpm.r, MATCH(1,('3. Enter Indicator Scores'!$B$10:$B$161=$B102)*('3. Enter Indicator Scores'!$C$10:$C$161=$C102),0),
  _xlpm.c, MATCH(AZ$8,'3. Enter Indicator Scores'!$D$8:$CZ$8,0),
  _xlpm.v, IFERROR(INDEX('3. Enter Indicator Scores'!$D$10:$CZ$161,_xlpm.r,_xlpm.c),""),
  IF(OR(_xlpm.w="",_xlpm.v=""),"",_xlpm.v*_xlpm.w)
)</f>
        <v/>
      </c>
      <c r="BA102" s="93" t="str" cm="1">
        <f t="array" ref="BA102">_xlfn.LET(
  _xlpm.w, BA$11,
  _xlpm.r, MATCH(1,('3. Enter Indicator Scores'!$B$10:$B$161=$B102)*('3. Enter Indicator Scores'!$C$10:$C$161=$C102),0),
  _xlpm.c, MATCH(BA$8,'3. Enter Indicator Scores'!$D$8:$CZ$8,0),
  _xlpm.v, IFERROR(INDEX('3. Enter Indicator Scores'!$D$10:$CZ$161,_xlpm.r,_xlpm.c),""),
  IF(OR(_xlpm.w="",_xlpm.v=""),"",_xlpm.v*_xlpm.w)
)</f>
        <v/>
      </c>
      <c r="BB102" s="93" t="str" cm="1">
        <f t="array" ref="BB102">_xlfn.LET(
  _xlpm.w, BB$11,
  _xlpm.r, MATCH(1,('3. Enter Indicator Scores'!$B$10:$B$161=$B102)*('3. Enter Indicator Scores'!$C$10:$C$161=$C102),0),
  _xlpm.c, MATCH(BB$8,'3. Enter Indicator Scores'!$D$8:$CZ$8,0),
  _xlpm.v, IFERROR(INDEX('3. Enter Indicator Scores'!$D$10:$CZ$161,_xlpm.r,_xlpm.c),""),
  IF(OR(_xlpm.w="",_xlpm.v=""),"",_xlpm.v*_xlpm.w)
)</f>
        <v/>
      </c>
      <c r="BC102" s="93" t="str" cm="1">
        <f t="array" ref="BC102">_xlfn.LET(
  _xlpm.w, BC$11,
  _xlpm.r, MATCH(1,('3. Enter Indicator Scores'!$B$10:$B$161=$B102)*('3. Enter Indicator Scores'!$C$10:$C$161=$C102),0),
  _xlpm.c, MATCH(BC$8,'3. Enter Indicator Scores'!$D$8:$CZ$8,0),
  _xlpm.v, IFERROR(INDEX('3. Enter Indicator Scores'!$D$10:$CZ$161,_xlpm.r,_xlpm.c),""),
  IF(OR(_xlpm.w="",_xlpm.v=""),"",_xlpm.v*_xlpm.w)
)</f>
        <v/>
      </c>
      <c r="BD102" s="93" t="str" cm="1">
        <f t="array" ref="BD102">_xlfn.LET(
  _xlpm.w, BD$11,
  _xlpm.r, MATCH(1,('3. Enter Indicator Scores'!$B$10:$B$161=$B102)*('3. Enter Indicator Scores'!$C$10:$C$161=$C102),0),
  _xlpm.c, MATCH(BD$8,'3. Enter Indicator Scores'!$D$8:$CZ$8,0),
  _xlpm.v, IFERROR(INDEX('3. Enter Indicator Scores'!$D$10:$CZ$161,_xlpm.r,_xlpm.c),""),
  IF(OR(_xlpm.w="",_xlpm.v=""),"",_xlpm.v*_xlpm.w)
)</f>
        <v/>
      </c>
      <c r="BE102" s="93" t="str" cm="1">
        <f t="array" ref="BE102">_xlfn.LET(
  _xlpm.w, BE$11,
  _xlpm.r, MATCH(1,('3. Enter Indicator Scores'!$B$10:$B$161=$B102)*('3. Enter Indicator Scores'!$C$10:$C$161=$C102),0),
  _xlpm.c, MATCH(BE$8,'3. Enter Indicator Scores'!$D$8:$CZ$8,0),
  _xlpm.v, IFERROR(INDEX('3. Enter Indicator Scores'!$D$10:$CZ$161,_xlpm.r,_xlpm.c),""),
  IF(OR(_xlpm.w="",_xlpm.v=""),"",_xlpm.v*_xlpm.w)
)</f>
        <v/>
      </c>
      <c r="BF102" s="93" t="str" cm="1">
        <f t="array" ref="BF102">_xlfn.LET(
  _xlpm.w, BF$11,
  _xlpm.r, MATCH(1,('3. Enter Indicator Scores'!$B$10:$B$161=$B102)*('3. Enter Indicator Scores'!$C$10:$C$161=$C102),0),
  _xlpm.c, MATCH(BF$8,'3. Enter Indicator Scores'!$D$8:$CZ$8,0),
  _xlpm.v, IFERROR(INDEX('3. Enter Indicator Scores'!$D$10:$CZ$161,_xlpm.r,_xlpm.c),""),
  IF(OR(_xlpm.w="",_xlpm.v=""),"",_xlpm.v*_xlpm.w)
)</f>
        <v/>
      </c>
      <c r="BG102" s="93" t="str" cm="1">
        <f t="array" ref="BG102">_xlfn.LET(
  _xlpm.w, BG$11,
  _xlpm.r, MATCH(1,('3. Enter Indicator Scores'!$B$10:$B$161=$B102)*('3. Enter Indicator Scores'!$C$10:$C$161=$C102),0),
  _xlpm.c, MATCH(BG$8,'3. Enter Indicator Scores'!$D$8:$CZ$8,0),
  _xlpm.v, IFERROR(INDEX('3. Enter Indicator Scores'!$D$10:$CZ$161,_xlpm.r,_xlpm.c),""),
  IF(OR(_xlpm.w="",_xlpm.v=""),"",_xlpm.v*_xlpm.w)
)</f>
        <v/>
      </c>
      <c r="BH102" s="93" t="str" cm="1">
        <f t="array" ref="BH102">_xlfn.LET(
  _xlpm.w, BH$11,
  _xlpm.r, MATCH(1,('3. Enter Indicator Scores'!$B$10:$B$161=$B102)*('3. Enter Indicator Scores'!$C$10:$C$161=$C102),0),
  _xlpm.c, MATCH(BH$8,'3. Enter Indicator Scores'!$D$8:$CZ$8,0),
  _xlpm.v, IFERROR(INDEX('3. Enter Indicator Scores'!$D$10:$CZ$161,_xlpm.r,_xlpm.c),""),
  IF(OR(_xlpm.w="",_xlpm.v=""),"",_xlpm.v*_xlpm.w)
)</f>
        <v/>
      </c>
      <c r="BI102" s="93" t="str" cm="1">
        <f t="array" ref="BI102">_xlfn.LET(
  _xlpm.w, BI$11,
  _xlpm.r, MATCH(1,('3. Enter Indicator Scores'!$B$10:$B$161=$B102)*('3. Enter Indicator Scores'!$C$10:$C$161=$C102),0),
  _xlpm.c, MATCH(BI$8,'3. Enter Indicator Scores'!$D$8:$CZ$8,0),
  _xlpm.v, IFERROR(INDEX('3. Enter Indicator Scores'!$D$10:$CZ$161,_xlpm.r,_xlpm.c),""),
  IF(OR(_xlpm.w="",_xlpm.v=""),"",_xlpm.v*_xlpm.w)
)</f>
        <v/>
      </c>
      <c r="BJ102" s="93" t="str" cm="1">
        <f t="array" ref="BJ102">_xlfn.LET(
  _xlpm.w, BJ$11,
  _xlpm.r, MATCH(1,('3. Enter Indicator Scores'!$B$10:$B$161=$B102)*('3. Enter Indicator Scores'!$C$10:$C$161=$C102),0),
  _xlpm.c, MATCH(BJ$8,'3. Enter Indicator Scores'!$D$8:$CZ$8,0),
  _xlpm.v, IFERROR(INDEX('3. Enter Indicator Scores'!$D$10:$CZ$161,_xlpm.r,_xlpm.c),""),
  IF(OR(_xlpm.w="",_xlpm.v=""),"",_xlpm.v*_xlpm.w)
)</f>
        <v/>
      </c>
      <c r="BK102" s="93" t="str" cm="1">
        <f t="array" ref="BK102">_xlfn.LET(
  _xlpm.w, BK$11,
  _xlpm.r, MATCH(1,('3. Enter Indicator Scores'!$B$10:$B$161=$B102)*('3. Enter Indicator Scores'!$C$10:$C$161=$C102),0),
  _xlpm.c, MATCH(BK$8,'3. Enter Indicator Scores'!$D$8:$CZ$8,0),
  _xlpm.v, IFERROR(INDEX('3. Enter Indicator Scores'!$D$10:$CZ$161,_xlpm.r,_xlpm.c),""),
  IF(OR(_xlpm.w="",_xlpm.v=""),"",_xlpm.v*_xlpm.w)
)</f>
        <v/>
      </c>
      <c r="BL102" s="93" t="str" cm="1">
        <f t="array" ref="BL102">_xlfn.LET(
  _xlpm.w, BL$11,
  _xlpm.r, MATCH(1,('3. Enter Indicator Scores'!$B$10:$B$161=$B102)*('3. Enter Indicator Scores'!$C$10:$C$161=$C102),0),
  _xlpm.c, MATCH(BL$8,'3. Enter Indicator Scores'!$D$8:$CZ$8,0),
  _xlpm.v, IFERROR(INDEX('3. Enter Indicator Scores'!$D$10:$CZ$161,_xlpm.r,_xlpm.c),""),
  IF(OR(_xlpm.w="",_xlpm.v=""),"",_xlpm.v*_xlpm.w)
)</f>
        <v/>
      </c>
      <c r="BM102" s="93" t="str" cm="1">
        <f t="array" ref="BM102">_xlfn.LET(
  _xlpm.w, BM$11,
  _xlpm.r, MATCH(1,('3. Enter Indicator Scores'!$B$10:$B$161=$B102)*('3. Enter Indicator Scores'!$C$10:$C$161=$C102),0),
  _xlpm.c, MATCH(BM$8,'3. Enter Indicator Scores'!$D$8:$CZ$8,0),
  _xlpm.v, IFERROR(INDEX('3. Enter Indicator Scores'!$D$10:$CZ$161,_xlpm.r,_xlpm.c),""),
  IF(OR(_xlpm.w="",_xlpm.v=""),"",_xlpm.v*_xlpm.w)
)</f>
        <v/>
      </c>
      <c r="BN102" s="93" t="str" cm="1">
        <f t="array" ref="BN102">_xlfn.LET(
  _xlpm.w, BN$11,
  _xlpm.r, MATCH(1,('3. Enter Indicator Scores'!$B$10:$B$161=$B102)*('3. Enter Indicator Scores'!$C$10:$C$161=$C102),0),
  _xlpm.c, MATCH(BN$8,'3. Enter Indicator Scores'!$D$8:$CZ$8,0),
  _xlpm.v, IFERROR(INDEX('3. Enter Indicator Scores'!$D$10:$CZ$161,_xlpm.r,_xlpm.c),""),
  IF(OR(_xlpm.w="",_xlpm.v=""),"",_xlpm.v*_xlpm.w)
)</f>
        <v/>
      </c>
      <c r="BO102" s="93" t="str" cm="1">
        <f t="array" ref="BO102">_xlfn.LET(
  _xlpm.w, BO$11,
  _xlpm.r, MATCH(1,('3. Enter Indicator Scores'!$B$10:$B$161=$B102)*('3. Enter Indicator Scores'!$C$10:$C$161=$C102),0),
  _xlpm.c, MATCH(BO$8,'3. Enter Indicator Scores'!$D$8:$CZ$8,0),
  _xlpm.v, IFERROR(INDEX('3. Enter Indicator Scores'!$D$10:$CZ$161,_xlpm.r,_xlpm.c),""),
  IF(OR(_xlpm.w="",_xlpm.v=""),"",_xlpm.v*_xlpm.w)
)</f>
        <v/>
      </c>
      <c r="BP102" s="93" t="str" cm="1">
        <f t="array" ref="BP102">_xlfn.LET(
  _xlpm.w, BP$11,
  _xlpm.r, MATCH(1,('3. Enter Indicator Scores'!$B$10:$B$161=$B102)*('3. Enter Indicator Scores'!$C$10:$C$161=$C102),0),
  _xlpm.c, MATCH(BP$8,'3. Enter Indicator Scores'!$D$8:$CZ$8,0),
  _xlpm.v, IFERROR(INDEX('3. Enter Indicator Scores'!$D$10:$CZ$161,_xlpm.r,_xlpm.c),""),
  IF(OR(_xlpm.w="",_xlpm.v=""),"",_xlpm.v*_xlpm.w)
)</f>
        <v/>
      </c>
      <c r="BQ102" s="93" t="str" cm="1">
        <f t="array" ref="BQ102">_xlfn.LET(
  _xlpm.w, BQ$11,
  _xlpm.r, MATCH(1,('3. Enter Indicator Scores'!$B$10:$B$161=$B102)*('3. Enter Indicator Scores'!$C$10:$C$161=$C102),0),
  _xlpm.c, MATCH(BQ$8,'3. Enter Indicator Scores'!$D$8:$CZ$8,0),
  _xlpm.v, IFERROR(INDEX('3. Enter Indicator Scores'!$D$10:$CZ$161,_xlpm.r,_xlpm.c),""),
  IF(OR(_xlpm.w="",_xlpm.v=""),"",_xlpm.v*_xlpm.w)
)</f>
        <v/>
      </c>
      <c r="BR102" s="93" t="str" cm="1">
        <f t="array" ref="BR102">_xlfn.LET(
  _xlpm.w, BR$11,
  _xlpm.r, MATCH(1,('3. Enter Indicator Scores'!$B$10:$B$161=$B102)*('3. Enter Indicator Scores'!$C$10:$C$161=$C102),0),
  _xlpm.c, MATCH(BR$8,'3. Enter Indicator Scores'!$D$8:$CZ$8,0),
  _xlpm.v, IFERROR(INDEX('3. Enter Indicator Scores'!$D$10:$CZ$161,_xlpm.r,_xlpm.c),""),
  IF(OR(_xlpm.w="",_xlpm.v=""),"",_xlpm.v*_xlpm.w)
)</f>
        <v/>
      </c>
      <c r="BS102" s="93" t="str" cm="1">
        <f t="array" ref="BS102">_xlfn.LET(
  _xlpm.w, BS$11,
  _xlpm.r, MATCH(1,('3. Enter Indicator Scores'!$B$10:$B$161=$B102)*('3. Enter Indicator Scores'!$C$10:$C$161=$C102),0),
  _xlpm.c, MATCH(BS$8,'3. Enter Indicator Scores'!$D$8:$CZ$8,0),
  _xlpm.v, IFERROR(INDEX('3. Enter Indicator Scores'!$D$10:$CZ$161,_xlpm.r,_xlpm.c),""),
  IF(OR(_xlpm.w="",_xlpm.v=""),"",_xlpm.v*_xlpm.w)
)</f>
        <v/>
      </c>
      <c r="BT102" s="93" t="str" cm="1">
        <f t="array" ref="BT102">_xlfn.LET(
  _xlpm.w, BT$11,
  _xlpm.r, MATCH(1,('3. Enter Indicator Scores'!$B$10:$B$161=$B102)*('3. Enter Indicator Scores'!$C$10:$C$161=$C102),0),
  _xlpm.c, MATCH(BT$8,'3. Enter Indicator Scores'!$D$8:$CZ$8,0),
  _xlpm.v, IFERROR(INDEX('3. Enter Indicator Scores'!$D$10:$CZ$161,_xlpm.r,_xlpm.c),""),
  IF(OR(_xlpm.w="",_xlpm.v=""),"",_xlpm.v*_xlpm.w)
)</f>
        <v/>
      </c>
      <c r="BU102" s="93" t="str" cm="1">
        <f t="array" ref="BU102">_xlfn.LET(
  _xlpm.w, BU$11,
  _xlpm.r, MATCH(1,('3. Enter Indicator Scores'!$B$10:$B$161=$B102)*('3. Enter Indicator Scores'!$C$10:$C$161=$C102),0),
  _xlpm.c, MATCH(BU$8,'3. Enter Indicator Scores'!$D$8:$CZ$8,0),
  _xlpm.v, IFERROR(INDEX('3. Enter Indicator Scores'!$D$10:$CZ$161,_xlpm.r,_xlpm.c),""),
  IF(OR(_xlpm.w="",_xlpm.v=""),"",_xlpm.v*_xlpm.w)
)</f>
        <v/>
      </c>
      <c r="BV102" s="93" t="str" cm="1">
        <f t="array" ref="BV102">_xlfn.LET(
  _xlpm.w, BV$11,
  _xlpm.r, MATCH(1,('3. Enter Indicator Scores'!$B$10:$B$161=$B102)*('3. Enter Indicator Scores'!$C$10:$C$161=$C102),0),
  _xlpm.c, MATCH(BV$8,'3. Enter Indicator Scores'!$D$8:$CZ$8,0),
  _xlpm.v, IFERROR(INDEX('3. Enter Indicator Scores'!$D$10:$CZ$161,_xlpm.r,_xlpm.c),""),
  IF(OR(_xlpm.w="",_xlpm.v=""),"",_xlpm.v*_xlpm.w)
)</f>
        <v/>
      </c>
      <c r="BW102" s="93" t="str" cm="1">
        <f t="array" ref="BW102">_xlfn.LET(
  _xlpm.w, BW$11,
  _xlpm.r, MATCH(1,('3. Enter Indicator Scores'!$B$10:$B$161=$B102)*('3. Enter Indicator Scores'!$C$10:$C$161=$C102),0),
  _xlpm.c, MATCH(BW$8,'3. Enter Indicator Scores'!$D$8:$CZ$8,0),
  _xlpm.v, IFERROR(INDEX('3. Enter Indicator Scores'!$D$10:$CZ$161,_xlpm.r,_xlpm.c),""),
  IF(OR(_xlpm.w="",_xlpm.v=""),"",_xlpm.v*_xlpm.w)
)</f>
        <v/>
      </c>
      <c r="BX102" s="93" t="str" cm="1">
        <f t="array" ref="BX102">_xlfn.LET(
  _xlpm.w, BX$11,
  _xlpm.r, MATCH(1,('3. Enter Indicator Scores'!$B$10:$B$161=$B102)*('3. Enter Indicator Scores'!$C$10:$C$161=$C102),0),
  _xlpm.c, MATCH(BX$8,'3. Enter Indicator Scores'!$D$8:$CZ$8,0),
  _xlpm.v, IFERROR(INDEX('3. Enter Indicator Scores'!$D$10:$CZ$161,_xlpm.r,_xlpm.c),""),
  IF(OR(_xlpm.w="",_xlpm.v=""),"",_xlpm.v*_xlpm.w)
)</f>
        <v/>
      </c>
      <c r="BY102" s="93" t="str" cm="1">
        <f t="array" ref="BY102">_xlfn.LET(
  _xlpm.w, BY$11,
  _xlpm.r, MATCH(1,('3. Enter Indicator Scores'!$B$10:$B$161=$B102)*('3. Enter Indicator Scores'!$C$10:$C$161=$C102),0),
  _xlpm.c, MATCH(BY$8,'3. Enter Indicator Scores'!$D$8:$CZ$8,0),
  _xlpm.v, IFERROR(INDEX('3. Enter Indicator Scores'!$D$10:$CZ$161,_xlpm.r,_xlpm.c),""),
  IF(OR(_xlpm.w="",_xlpm.v=""),"",_xlpm.v*_xlpm.w)
)</f>
        <v/>
      </c>
      <c r="BZ102" s="93" t="str" cm="1">
        <f t="array" ref="BZ102">_xlfn.LET(
  _xlpm.w, BZ$11,
  _xlpm.r, MATCH(1,('3. Enter Indicator Scores'!$B$10:$B$161=$B102)*('3. Enter Indicator Scores'!$C$10:$C$161=$C102),0),
  _xlpm.c, MATCH(BZ$8,'3. Enter Indicator Scores'!$D$8:$CZ$8,0),
  _xlpm.v, IFERROR(INDEX('3. Enter Indicator Scores'!$D$10:$CZ$161,_xlpm.r,_xlpm.c),""),
  IF(OR(_xlpm.w="",_xlpm.v=""),"",_xlpm.v*_xlpm.w)
)</f>
        <v/>
      </c>
      <c r="CA102" s="93" t="str" cm="1">
        <f t="array" ref="CA102">_xlfn.LET(
  _xlpm.w, CA$11,
  _xlpm.r, MATCH(1,('3. Enter Indicator Scores'!$B$10:$B$161=$B102)*('3. Enter Indicator Scores'!$C$10:$C$161=$C102),0),
  _xlpm.c, MATCH(CA$8,'3. Enter Indicator Scores'!$D$8:$CZ$8,0),
  _xlpm.v, IFERROR(INDEX('3. Enter Indicator Scores'!$D$10:$CZ$161,_xlpm.r,_xlpm.c),""),
  IF(OR(_xlpm.w="",_xlpm.v=""),"",_xlpm.v*_xlpm.w)
)</f>
        <v/>
      </c>
      <c r="CB102" s="93" t="str" cm="1">
        <f t="array" ref="CB102">_xlfn.LET(
  _xlpm.w, CB$11,
  _xlpm.r, MATCH(1,('3. Enter Indicator Scores'!$B$10:$B$161=$B102)*('3. Enter Indicator Scores'!$C$10:$C$161=$C102),0),
  _xlpm.c, MATCH(CB$8,'3. Enter Indicator Scores'!$D$8:$CZ$8,0),
  _xlpm.v, IFERROR(INDEX('3. Enter Indicator Scores'!$D$10:$CZ$161,_xlpm.r,_xlpm.c),""),
  IF(OR(_xlpm.w="",_xlpm.v=""),"",_xlpm.v*_xlpm.w)
)</f>
        <v/>
      </c>
      <c r="CC102" s="93" t="str" cm="1">
        <f t="array" ref="CC102">_xlfn.LET(
  _xlpm.w, CC$11,
  _xlpm.r, MATCH(1,('3. Enter Indicator Scores'!$B$10:$B$161=$B102)*('3. Enter Indicator Scores'!$C$10:$C$161=$C102),0),
  _xlpm.c, MATCH(CC$8,'3. Enter Indicator Scores'!$D$8:$CZ$8,0),
  _xlpm.v, IFERROR(INDEX('3. Enter Indicator Scores'!$D$10:$CZ$161,_xlpm.r,_xlpm.c),""),
  IF(OR(_xlpm.w="",_xlpm.v=""),"",_xlpm.v*_xlpm.w)
)</f>
        <v/>
      </c>
      <c r="CD102" s="93" t="str" cm="1">
        <f t="array" ref="CD102">_xlfn.LET(
  _xlpm.w, CD$11,
  _xlpm.r, MATCH(1,('3. Enter Indicator Scores'!$B$10:$B$161=$B102)*('3. Enter Indicator Scores'!$C$10:$C$161=$C102),0),
  _xlpm.c, MATCH(CD$8,'3. Enter Indicator Scores'!$D$8:$CZ$8,0),
  _xlpm.v, IFERROR(INDEX('3. Enter Indicator Scores'!$D$10:$CZ$161,_xlpm.r,_xlpm.c),""),
  IF(OR(_xlpm.w="",_xlpm.v=""),"",_xlpm.v*_xlpm.w)
)</f>
        <v/>
      </c>
      <c r="CE102" s="93" t="str" cm="1">
        <f t="array" ref="CE102">_xlfn.LET(
  _xlpm.w, CE$11,
  _xlpm.r, MATCH(1,('3. Enter Indicator Scores'!$B$10:$B$161=$B102)*('3. Enter Indicator Scores'!$C$10:$C$161=$C102),0),
  _xlpm.c, MATCH(CE$8,'3. Enter Indicator Scores'!$D$8:$CZ$8,0),
  _xlpm.v, IFERROR(INDEX('3. Enter Indicator Scores'!$D$10:$CZ$161,_xlpm.r,_xlpm.c),""),
  IF(OR(_xlpm.w="",_xlpm.v=""),"",_xlpm.v*_xlpm.w)
)</f>
        <v/>
      </c>
      <c r="CF102" s="93" t="str" cm="1">
        <f t="array" ref="CF102">_xlfn.LET(
  _xlpm.w, CF$11,
  _xlpm.r, MATCH(1,('3. Enter Indicator Scores'!$B$10:$B$161=$B102)*('3. Enter Indicator Scores'!$C$10:$C$161=$C102),0),
  _xlpm.c, MATCH(CF$8,'3. Enter Indicator Scores'!$D$8:$CZ$8,0),
  _xlpm.v, IFERROR(INDEX('3. Enter Indicator Scores'!$D$10:$CZ$161,_xlpm.r,_xlpm.c),""),
  IF(OR(_xlpm.w="",_xlpm.v=""),"",_xlpm.v*_xlpm.w)
)</f>
        <v/>
      </c>
      <c r="CG102" s="93" t="str" cm="1">
        <f t="array" ref="CG102">_xlfn.LET(
  _xlpm.w, CG$11,
  _xlpm.r, MATCH(1,('3. Enter Indicator Scores'!$B$10:$B$161=$B102)*('3. Enter Indicator Scores'!$C$10:$C$161=$C102),0),
  _xlpm.c, MATCH(CG$8,'3. Enter Indicator Scores'!$D$8:$CZ$8,0),
  _xlpm.v, IFERROR(INDEX('3. Enter Indicator Scores'!$D$10:$CZ$161,_xlpm.r,_xlpm.c),""),
  IF(OR(_xlpm.w="",_xlpm.v=""),"",_xlpm.v*_xlpm.w)
)</f>
        <v/>
      </c>
      <c r="CH102" s="93" t="str" cm="1">
        <f t="array" ref="CH102">_xlfn.LET(
  _xlpm.w, CH$11,
  _xlpm.r, MATCH(1,('3. Enter Indicator Scores'!$B$10:$B$161=$B102)*('3. Enter Indicator Scores'!$C$10:$C$161=$C102),0),
  _xlpm.c, MATCH(CH$8,'3. Enter Indicator Scores'!$D$8:$CZ$8,0),
  _xlpm.v, IFERROR(INDEX('3. Enter Indicator Scores'!$D$10:$CZ$161,_xlpm.r,_xlpm.c),""),
  IF(OR(_xlpm.w="",_xlpm.v=""),"",_xlpm.v*_xlpm.w)
)</f>
        <v/>
      </c>
      <c r="CI102" s="93" t="str" cm="1">
        <f t="array" ref="CI102">_xlfn.LET(
  _xlpm.w, CI$11,
  _xlpm.r, MATCH(1,('3. Enter Indicator Scores'!$B$10:$B$161=$B102)*('3. Enter Indicator Scores'!$C$10:$C$161=$C102),0),
  _xlpm.c, MATCH(CI$8,'3. Enter Indicator Scores'!$D$8:$CZ$8,0),
  _xlpm.v, IFERROR(INDEX('3. Enter Indicator Scores'!$D$10:$CZ$161,_xlpm.r,_xlpm.c),""),
  IF(OR(_xlpm.w="",_xlpm.v=""),"",_xlpm.v*_xlpm.w)
)</f>
        <v/>
      </c>
      <c r="CJ102" s="93" t="str" cm="1">
        <f t="array" ref="CJ102">_xlfn.LET(
  _xlpm.w, CJ$11,
  _xlpm.r, MATCH(1,('3. Enter Indicator Scores'!$B$10:$B$161=$B102)*('3. Enter Indicator Scores'!$C$10:$C$161=$C102),0),
  _xlpm.c, MATCH(CJ$8,'3. Enter Indicator Scores'!$D$8:$CZ$8,0),
  _xlpm.v, IFERROR(INDEX('3. Enter Indicator Scores'!$D$10:$CZ$161,_xlpm.r,_xlpm.c),""),
  IF(OR(_xlpm.w="",_xlpm.v=""),"",_xlpm.v*_xlpm.w)
)</f>
        <v/>
      </c>
      <c r="CK102" s="93" t="str" cm="1">
        <f t="array" ref="CK102">_xlfn.LET(
  _xlpm.w, CK$11,
  _xlpm.r, MATCH(1,('3. Enter Indicator Scores'!$B$10:$B$161=$B102)*('3. Enter Indicator Scores'!$C$10:$C$161=$C102),0),
  _xlpm.c, MATCH(CK$8,'3. Enter Indicator Scores'!$D$8:$CZ$8,0),
  _xlpm.v, IFERROR(INDEX('3. Enter Indicator Scores'!$D$10:$CZ$161,_xlpm.r,_xlpm.c),""),
  IF(OR(_xlpm.w="",_xlpm.v=""),"",_xlpm.v*_xlpm.w)
)</f>
        <v/>
      </c>
      <c r="CL102" s="93" t="str" cm="1">
        <f t="array" ref="CL102">_xlfn.LET(
  _xlpm.w, CL$11,
  _xlpm.r, MATCH(1,('3. Enter Indicator Scores'!$B$10:$B$161=$B102)*('3. Enter Indicator Scores'!$C$10:$C$161=$C102),0),
  _xlpm.c, MATCH(CL$8,'3. Enter Indicator Scores'!$D$8:$CZ$8,0),
  _xlpm.v, IFERROR(INDEX('3. Enter Indicator Scores'!$D$10:$CZ$161,_xlpm.r,_xlpm.c),""),
  IF(OR(_xlpm.w="",_xlpm.v=""),"",_xlpm.v*_xlpm.w)
)</f>
        <v/>
      </c>
      <c r="CM102" s="93" t="str" cm="1">
        <f t="array" ref="CM102">_xlfn.LET(
  _xlpm.w, CM$11,
  _xlpm.r, MATCH(1,('3. Enter Indicator Scores'!$B$10:$B$161=$B102)*('3. Enter Indicator Scores'!$C$10:$C$161=$C102),0),
  _xlpm.c, MATCH(CM$8,'3. Enter Indicator Scores'!$D$8:$CZ$8,0),
  _xlpm.v, IFERROR(INDEX('3. Enter Indicator Scores'!$D$10:$CZ$161,_xlpm.r,_xlpm.c),""),
  IF(OR(_xlpm.w="",_xlpm.v=""),"",_xlpm.v*_xlpm.w)
)</f>
        <v/>
      </c>
      <c r="CN102" s="93" t="str" cm="1">
        <f t="array" ref="CN102">_xlfn.LET(
  _xlpm.w, CN$11,
  _xlpm.r, MATCH(1,('3. Enter Indicator Scores'!$B$10:$B$161=$B102)*('3. Enter Indicator Scores'!$C$10:$C$161=$C102),0),
  _xlpm.c, MATCH(CN$8,'3. Enter Indicator Scores'!$D$8:$CZ$8,0),
  _xlpm.v, IFERROR(INDEX('3. Enter Indicator Scores'!$D$10:$CZ$161,_xlpm.r,_xlpm.c),""),
  IF(OR(_xlpm.w="",_xlpm.v=""),"",_xlpm.v*_xlpm.w)
)</f>
        <v/>
      </c>
      <c r="CO102" s="93" t="str" cm="1">
        <f t="array" ref="CO102">_xlfn.LET(
  _xlpm.w, CO$11,
  _xlpm.r, MATCH(1,('3. Enter Indicator Scores'!$B$10:$B$161=$B102)*('3. Enter Indicator Scores'!$C$10:$C$161=$C102),0),
  _xlpm.c, MATCH(CO$8,'3. Enter Indicator Scores'!$D$8:$CZ$8,0),
  _xlpm.v, IFERROR(INDEX('3. Enter Indicator Scores'!$D$10:$CZ$161,_xlpm.r,_xlpm.c),""),
  IF(OR(_xlpm.w="",_xlpm.v=""),"",_xlpm.v*_xlpm.w)
)</f>
        <v/>
      </c>
      <c r="CP102" s="93" t="str" cm="1">
        <f t="array" ref="CP102">_xlfn.LET(
  _xlpm.w, CP$11,
  _xlpm.r, MATCH(1,('3. Enter Indicator Scores'!$B$10:$B$161=$B102)*('3. Enter Indicator Scores'!$C$10:$C$161=$C102),0),
  _xlpm.c, MATCH(CP$8,'3. Enter Indicator Scores'!$D$8:$CZ$8,0),
  _xlpm.v, IFERROR(INDEX('3. Enter Indicator Scores'!$D$10:$CZ$161,_xlpm.r,_xlpm.c),""),
  IF(OR(_xlpm.w="",_xlpm.v=""),"",_xlpm.v*_xlpm.w)
)</f>
        <v/>
      </c>
      <c r="CQ102" s="93" t="str" cm="1">
        <f t="array" ref="CQ102">_xlfn.LET(
  _xlpm.w, CQ$11,
  _xlpm.r, MATCH(1,('3. Enter Indicator Scores'!$B$10:$B$161=$B102)*('3. Enter Indicator Scores'!$C$10:$C$161=$C102),0),
  _xlpm.c, MATCH(CQ$8,'3. Enter Indicator Scores'!$D$8:$CZ$8,0),
  _xlpm.v, IFERROR(INDEX('3. Enter Indicator Scores'!$D$10:$CZ$161,_xlpm.r,_xlpm.c),""),
  IF(OR(_xlpm.w="",_xlpm.v=""),"",_xlpm.v*_xlpm.w)
)</f>
        <v/>
      </c>
      <c r="CR102" s="93" t="str" cm="1">
        <f t="array" ref="CR102">_xlfn.LET(
  _xlpm.w, CR$11,
  _xlpm.r, MATCH(1,('3. Enter Indicator Scores'!$B$10:$B$161=$B102)*('3. Enter Indicator Scores'!$C$10:$C$161=$C102),0),
  _xlpm.c, MATCH(CR$8,'3. Enter Indicator Scores'!$D$8:$CZ$8,0),
  _xlpm.v, IFERROR(INDEX('3. Enter Indicator Scores'!$D$10:$CZ$161,_xlpm.r,_xlpm.c),""),
  IF(OR(_xlpm.w="",_xlpm.v=""),"",_xlpm.v*_xlpm.w)
)</f>
        <v/>
      </c>
      <c r="CS102" s="93" t="str" cm="1">
        <f t="array" ref="CS102">_xlfn.LET(
  _xlpm.w, CS$11,
  _xlpm.r, MATCH(1,('3. Enter Indicator Scores'!$B$10:$B$161=$B102)*('3. Enter Indicator Scores'!$C$10:$C$161=$C102),0),
  _xlpm.c, MATCH(CS$8,'3. Enter Indicator Scores'!$D$8:$CZ$8,0),
  _xlpm.v, IFERROR(INDEX('3. Enter Indicator Scores'!$D$10:$CZ$161,_xlpm.r,_xlpm.c),""),
  IF(OR(_xlpm.w="",_xlpm.v=""),"",_xlpm.v*_xlpm.w)
)</f>
        <v/>
      </c>
      <c r="CT102" s="93" t="str" cm="1">
        <f t="array" ref="CT102">_xlfn.LET(
  _xlpm.w, CT$11,
  _xlpm.r, MATCH(1,('3. Enter Indicator Scores'!$B$10:$B$161=$B102)*('3. Enter Indicator Scores'!$C$10:$C$161=$C102),0),
  _xlpm.c, MATCH(CT$8,'3. Enter Indicator Scores'!$D$8:$CZ$8,0),
  _xlpm.v, IFERROR(INDEX('3. Enter Indicator Scores'!$D$10:$CZ$161,_xlpm.r,_xlpm.c),""),
  IF(OR(_xlpm.w="",_xlpm.v=""),"",_xlpm.v*_xlpm.w)
)</f>
        <v/>
      </c>
      <c r="CU102" s="93" t="str" cm="1">
        <f t="array" ref="CU102">_xlfn.LET(
  _xlpm.w, CU$11,
  _xlpm.r, MATCH(1,('3. Enter Indicator Scores'!$B$10:$B$161=$B102)*('3. Enter Indicator Scores'!$C$10:$C$161=$C102),0),
  _xlpm.c, MATCH(CU$8,'3. Enter Indicator Scores'!$D$8:$CZ$8,0),
  _xlpm.v, IFERROR(INDEX('3. Enter Indicator Scores'!$D$10:$CZ$161,_xlpm.r,_xlpm.c),""),
  IF(OR(_xlpm.w="",_xlpm.v=""),"",_xlpm.v*_xlpm.w)
)</f>
        <v/>
      </c>
      <c r="CV102" s="93" t="str" cm="1">
        <f t="array" ref="CV102">_xlfn.LET(
  _xlpm.w, CV$11,
  _xlpm.r, MATCH(1,('3. Enter Indicator Scores'!$B$10:$B$161=$B102)*('3. Enter Indicator Scores'!$C$10:$C$161=$C102),0),
  _xlpm.c, MATCH(CV$8,'3. Enter Indicator Scores'!$D$8:$CZ$8,0),
  _xlpm.v, IFERROR(INDEX('3. Enter Indicator Scores'!$D$10:$CZ$161,_xlpm.r,_xlpm.c),""),
  IF(OR(_xlpm.w="",_xlpm.v=""),"",_xlpm.v*_xlpm.w)
)</f>
        <v/>
      </c>
      <c r="CW102" s="93" t="str" cm="1">
        <f t="array" ref="CW102">_xlfn.LET(
  _xlpm.w, CW$11,
  _xlpm.r, MATCH(1,('3. Enter Indicator Scores'!$B$10:$B$161=$B102)*('3. Enter Indicator Scores'!$C$10:$C$161=$C102),0),
  _xlpm.c, MATCH(CW$8,'3. Enter Indicator Scores'!$D$8:$CZ$8,0),
  _xlpm.v, IFERROR(INDEX('3. Enter Indicator Scores'!$D$10:$CZ$161,_xlpm.r,_xlpm.c),""),
  IF(OR(_xlpm.w="",_xlpm.v=""),"",_xlpm.v*_xlpm.w)
)</f>
        <v/>
      </c>
      <c r="CX102" s="93" t="str" cm="1">
        <f t="array" ref="CX102">_xlfn.LET(
  _xlpm.w, CX$11,
  _xlpm.r, MATCH(1,('3. Enter Indicator Scores'!$B$10:$B$161=$B102)*('3. Enter Indicator Scores'!$C$10:$C$161=$C102),0),
  _xlpm.c, MATCH(CX$8,'3. Enter Indicator Scores'!$D$8:$CZ$8,0),
  _xlpm.v, IFERROR(INDEX('3. Enter Indicator Scores'!$D$10:$CZ$161,_xlpm.r,_xlpm.c),""),
  IF(OR(_xlpm.w="",_xlpm.v=""),"",_xlpm.v*_xlpm.w)
)</f>
        <v/>
      </c>
      <c r="CY102" s="93" t="str" cm="1">
        <f t="array" ref="CY102">_xlfn.LET(
  _xlpm.w, CY$11,
  _xlpm.r, MATCH(1,('3. Enter Indicator Scores'!$B$10:$B$161=$B102)*('3. Enter Indicator Scores'!$C$10:$C$161=$C102),0),
  _xlpm.c, MATCH(CY$8,'3. Enter Indicator Scores'!$D$8:$CZ$8,0),
  _xlpm.v, IFERROR(INDEX('3. Enter Indicator Scores'!$D$10:$CZ$161,_xlpm.r,_xlpm.c),""),
  IF(OR(_xlpm.w="",_xlpm.v=""),"",_xlpm.v*_xlpm.w)
)</f>
        <v/>
      </c>
      <c r="CZ102" s="93" t="str" cm="1">
        <f t="array" ref="CZ102">_xlfn.LET(
  _xlpm.w, CZ$11,
  _xlpm.r, MATCH(1,('3. Enter Indicator Scores'!$B$10:$B$161=$B102)*('3. Enter Indicator Scores'!$C$10:$C$161=$C102),0),
  _xlpm.c, MATCH(CZ$8,'3. Enter Indicator Scores'!$D$8:$CZ$8,0),
  _xlpm.v, IFERROR(INDEX('3. Enter Indicator Scores'!$D$10:$CZ$161,_xlpm.r,_xlpm.c),""),
  IF(OR(_xlpm.w="",_xlpm.v=""),"",_xlpm.v*_xlpm.w)
)</f>
        <v/>
      </c>
    </row>
    <row r="103" spans="4:104" x14ac:dyDescent="0.2">
      <c r="D103" s="93" t="str" cm="1">
        <f t="array" ref="D103">_xlfn.LET(
  _xlpm.w, D$11,
  _xlpm.r, MATCH(1,('3. Enter Indicator Scores'!$B$10:$B$161=$B103)*('3. Enter Indicator Scores'!$C$10:$C$161=$C103),0),
  _xlpm.c, MATCH(D$8,'3. Enter Indicator Scores'!$D$8:$CZ$8,0),
  _xlpm.v, IFERROR(INDEX('3. Enter Indicator Scores'!$D$10:$CZ$161,_xlpm.r,_xlpm.c),""),
  IF(OR(_xlpm.w="",_xlpm.v=""),"",_xlpm.v*_xlpm.w)
)</f>
        <v/>
      </c>
      <c r="E103" s="93" t="str" cm="1">
        <f t="array" ref="E103">_xlfn.LET(
  _xlpm.w, E$11,
  _xlpm.r, MATCH(1,('3. Enter Indicator Scores'!$B$10:$B$161=$B103)*('3. Enter Indicator Scores'!$C$10:$C$161=$C103),0),
  _xlpm.c, MATCH(E$8,'3. Enter Indicator Scores'!$D$8:$CZ$8,0),
  _xlpm.v, IFERROR(INDEX('3. Enter Indicator Scores'!$D$10:$CZ$161,_xlpm.r,_xlpm.c),""),
  IF(OR(_xlpm.w="",_xlpm.v=""),"",_xlpm.v*_xlpm.w)
)</f>
        <v/>
      </c>
      <c r="F103" s="93" t="str" cm="1">
        <f t="array" ref="F103">_xlfn.LET(
  _xlpm.w, F$11,
  _xlpm.r, MATCH(1,('3. Enter Indicator Scores'!$B$10:$B$161=$B103)*('3. Enter Indicator Scores'!$C$10:$C$161=$C103),0),
  _xlpm.c, MATCH(F$8,'3. Enter Indicator Scores'!$D$8:$CZ$8,0),
  _xlpm.v, IFERROR(INDEX('3. Enter Indicator Scores'!$D$10:$CZ$161,_xlpm.r,_xlpm.c),""),
  IF(OR(_xlpm.w="",_xlpm.v=""),"",_xlpm.v*_xlpm.w)
)</f>
        <v/>
      </c>
      <c r="G103" s="93" t="str" cm="1">
        <f t="array" ref="G103">_xlfn.LET(
  _xlpm.w, G$11,
  _xlpm.r, MATCH(1,('3. Enter Indicator Scores'!$B$10:$B$161=$B103)*('3. Enter Indicator Scores'!$C$10:$C$161=$C103),0),
  _xlpm.c, MATCH(G$8,'3. Enter Indicator Scores'!$D$8:$CZ$8,0),
  _xlpm.v, IFERROR(INDEX('3. Enter Indicator Scores'!$D$10:$CZ$161,_xlpm.r,_xlpm.c),""),
  IF(OR(_xlpm.w="",_xlpm.v=""),"",_xlpm.v*_xlpm.w)
)</f>
        <v/>
      </c>
      <c r="H103" s="93" t="str" cm="1">
        <f t="array" ref="H103">_xlfn.LET(
  _xlpm.w, H$11,
  _xlpm.r, MATCH(1,('3. Enter Indicator Scores'!$B$10:$B$161=$B103)*('3. Enter Indicator Scores'!$C$10:$C$161=$C103),0),
  _xlpm.c, MATCH(H$8,'3. Enter Indicator Scores'!$D$8:$CZ$8,0),
  _xlpm.v, IFERROR(INDEX('3. Enter Indicator Scores'!$D$10:$CZ$161,_xlpm.r,_xlpm.c),""),
  IF(OR(_xlpm.w="",_xlpm.v=""),"",_xlpm.v*_xlpm.w)
)</f>
        <v/>
      </c>
      <c r="I103" s="93" t="str" cm="1">
        <f t="array" ref="I103">_xlfn.LET(
  _xlpm.w, I$11,
  _xlpm.r, MATCH(1,('3. Enter Indicator Scores'!$B$10:$B$161=$B103)*('3. Enter Indicator Scores'!$C$10:$C$161=$C103),0),
  _xlpm.c, MATCH(I$8,'3. Enter Indicator Scores'!$D$8:$CZ$8,0),
  _xlpm.v, IFERROR(INDEX('3. Enter Indicator Scores'!$D$10:$CZ$161,_xlpm.r,_xlpm.c),""),
  IF(OR(_xlpm.w="",_xlpm.v=""),"",_xlpm.v*_xlpm.w)
)</f>
        <v/>
      </c>
      <c r="J103" s="93" t="str" cm="1">
        <f t="array" ref="J103">_xlfn.LET(
  _xlpm.w, J$11,
  _xlpm.r, MATCH(1,('3. Enter Indicator Scores'!$B$10:$B$161=$B103)*('3. Enter Indicator Scores'!$C$10:$C$161=$C103),0),
  _xlpm.c, MATCH(J$8,'3. Enter Indicator Scores'!$D$8:$CZ$8,0),
  _xlpm.v, IFERROR(INDEX('3. Enter Indicator Scores'!$D$10:$CZ$161,_xlpm.r,_xlpm.c),""),
  IF(OR(_xlpm.w="",_xlpm.v=""),"",_xlpm.v*_xlpm.w)
)</f>
        <v/>
      </c>
      <c r="K103" s="93" t="str" cm="1">
        <f t="array" ref="K103">_xlfn.LET(
  _xlpm.w, K$11,
  _xlpm.r, MATCH(1,('3. Enter Indicator Scores'!$B$10:$B$161=$B103)*('3. Enter Indicator Scores'!$C$10:$C$161=$C103),0),
  _xlpm.c, MATCH(K$8,'3. Enter Indicator Scores'!$D$8:$CZ$8,0),
  _xlpm.v, IFERROR(INDEX('3. Enter Indicator Scores'!$D$10:$CZ$161,_xlpm.r,_xlpm.c),""),
  IF(OR(_xlpm.w="",_xlpm.v=""),"",_xlpm.v*_xlpm.w)
)</f>
        <v/>
      </c>
      <c r="L103" s="93" t="str" cm="1">
        <f t="array" ref="L103">_xlfn.LET(
  _xlpm.w, L$11,
  _xlpm.r, MATCH(1,('3. Enter Indicator Scores'!$B$10:$B$161=$B103)*('3. Enter Indicator Scores'!$C$10:$C$161=$C103),0),
  _xlpm.c, MATCH(L$8,'3. Enter Indicator Scores'!$D$8:$CZ$8,0),
  _xlpm.v, IFERROR(INDEX('3. Enter Indicator Scores'!$D$10:$CZ$161,_xlpm.r,_xlpm.c),""),
  IF(OR(_xlpm.w="",_xlpm.v=""),"",_xlpm.v*_xlpm.w)
)</f>
        <v/>
      </c>
      <c r="M103" s="93" t="str" cm="1">
        <f t="array" ref="M103">_xlfn.LET(
  _xlpm.w, M$11,
  _xlpm.r, MATCH(1,('3. Enter Indicator Scores'!$B$10:$B$161=$B103)*('3. Enter Indicator Scores'!$C$10:$C$161=$C103),0),
  _xlpm.c, MATCH(M$8,'3. Enter Indicator Scores'!$D$8:$CZ$8,0),
  _xlpm.v, IFERROR(INDEX('3. Enter Indicator Scores'!$D$10:$CZ$161,_xlpm.r,_xlpm.c),""),
  IF(OR(_xlpm.w="",_xlpm.v=""),"",_xlpm.v*_xlpm.w)
)</f>
        <v/>
      </c>
      <c r="N103" s="93" t="str" cm="1">
        <f t="array" ref="N103">_xlfn.LET(
  _xlpm.w, N$11,
  _xlpm.r, MATCH(1,('3. Enter Indicator Scores'!$B$10:$B$161=$B103)*('3. Enter Indicator Scores'!$C$10:$C$161=$C103),0),
  _xlpm.c, MATCH(N$8,'3. Enter Indicator Scores'!$D$8:$CZ$8,0),
  _xlpm.v, IFERROR(INDEX('3. Enter Indicator Scores'!$D$10:$CZ$161,_xlpm.r,_xlpm.c),""),
  IF(OR(_xlpm.w="",_xlpm.v=""),"",_xlpm.v*_xlpm.w)
)</f>
        <v/>
      </c>
      <c r="O103" s="93" t="str" cm="1">
        <f t="array" ref="O103">_xlfn.LET(
  _xlpm.w, O$11,
  _xlpm.r, MATCH(1,('3. Enter Indicator Scores'!$B$10:$B$161=$B103)*('3. Enter Indicator Scores'!$C$10:$C$161=$C103),0),
  _xlpm.c, MATCH(O$8,'3. Enter Indicator Scores'!$D$8:$CZ$8,0),
  _xlpm.v, IFERROR(INDEX('3. Enter Indicator Scores'!$D$10:$CZ$161,_xlpm.r,_xlpm.c),""),
  IF(OR(_xlpm.w="",_xlpm.v=""),"",_xlpm.v*_xlpm.w)
)</f>
        <v/>
      </c>
      <c r="P103" s="93" t="str" cm="1">
        <f t="array" ref="P103">_xlfn.LET(
  _xlpm.w, P$11,
  _xlpm.r, MATCH(1,('3. Enter Indicator Scores'!$B$10:$B$161=$B103)*('3. Enter Indicator Scores'!$C$10:$C$161=$C103),0),
  _xlpm.c, MATCH(P$8,'3. Enter Indicator Scores'!$D$8:$CZ$8,0),
  _xlpm.v, IFERROR(INDEX('3. Enter Indicator Scores'!$D$10:$CZ$161,_xlpm.r,_xlpm.c),""),
  IF(OR(_xlpm.w="",_xlpm.v=""),"",_xlpm.v*_xlpm.w)
)</f>
        <v/>
      </c>
      <c r="Q103" s="93" t="str" cm="1">
        <f t="array" ref="Q103">_xlfn.LET(
  _xlpm.w, Q$11,
  _xlpm.r, MATCH(1,('3. Enter Indicator Scores'!$B$10:$B$161=$B103)*('3. Enter Indicator Scores'!$C$10:$C$161=$C103),0),
  _xlpm.c, MATCH(Q$8,'3. Enter Indicator Scores'!$D$8:$CZ$8,0),
  _xlpm.v, IFERROR(INDEX('3. Enter Indicator Scores'!$D$10:$CZ$161,_xlpm.r,_xlpm.c),""),
  IF(OR(_xlpm.w="",_xlpm.v=""),"",_xlpm.v*_xlpm.w)
)</f>
        <v/>
      </c>
      <c r="R103" s="93" t="str" cm="1">
        <f t="array" ref="R103">_xlfn.LET(
  _xlpm.w, R$11,
  _xlpm.r, MATCH(1,('3. Enter Indicator Scores'!$B$10:$B$161=$B103)*('3. Enter Indicator Scores'!$C$10:$C$161=$C103),0),
  _xlpm.c, MATCH(R$8,'3. Enter Indicator Scores'!$D$8:$CZ$8,0),
  _xlpm.v, IFERROR(INDEX('3. Enter Indicator Scores'!$D$10:$CZ$161,_xlpm.r,_xlpm.c),""),
  IF(OR(_xlpm.w="",_xlpm.v=""),"",_xlpm.v*_xlpm.w)
)</f>
        <v/>
      </c>
      <c r="S103" s="93" t="str" cm="1">
        <f t="array" ref="S103">_xlfn.LET(
  _xlpm.w, S$11,
  _xlpm.r, MATCH(1,('3. Enter Indicator Scores'!$B$10:$B$161=$B103)*('3. Enter Indicator Scores'!$C$10:$C$161=$C103),0),
  _xlpm.c, MATCH(S$8,'3. Enter Indicator Scores'!$D$8:$CZ$8,0),
  _xlpm.v, IFERROR(INDEX('3. Enter Indicator Scores'!$D$10:$CZ$161,_xlpm.r,_xlpm.c),""),
  IF(OR(_xlpm.w="",_xlpm.v=""),"",_xlpm.v*_xlpm.w)
)</f>
        <v/>
      </c>
      <c r="T103" s="93" t="str" cm="1">
        <f t="array" ref="T103">_xlfn.LET(
  _xlpm.w, T$11,
  _xlpm.r, MATCH(1,('3. Enter Indicator Scores'!$B$10:$B$161=$B103)*('3. Enter Indicator Scores'!$C$10:$C$161=$C103),0),
  _xlpm.c, MATCH(T$8,'3. Enter Indicator Scores'!$D$8:$CZ$8,0),
  _xlpm.v, IFERROR(INDEX('3. Enter Indicator Scores'!$D$10:$CZ$161,_xlpm.r,_xlpm.c),""),
  IF(OR(_xlpm.w="",_xlpm.v=""),"",_xlpm.v*_xlpm.w)
)</f>
        <v/>
      </c>
      <c r="U103" s="93" t="str" cm="1">
        <f t="array" ref="U103">_xlfn.LET(
  _xlpm.w, U$11,
  _xlpm.r, MATCH(1,('3. Enter Indicator Scores'!$B$10:$B$161=$B103)*('3. Enter Indicator Scores'!$C$10:$C$161=$C103),0),
  _xlpm.c, MATCH(U$8,'3. Enter Indicator Scores'!$D$8:$CZ$8,0),
  _xlpm.v, IFERROR(INDEX('3. Enter Indicator Scores'!$D$10:$CZ$161,_xlpm.r,_xlpm.c),""),
  IF(OR(_xlpm.w="",_xlpm.v=""),"",_xlpm.v*_xlpm.w)
)</f>
        <v/>
      </c>
      <c r="V103" s="93" t="str" cm="1">
        <f t="array" ref="V103">_xlfn.LET(
  _xlpm.w, V$11,
  _xlpm.r, MATCH(1,('3. Enter Indicator Scores'!$B$10:$B$161=$B103)*('3. Enter Indicator Scores'!$C$10:$C$161=$C103),0),
  _xlpm.c, MATCH(V$8,'3. Enter Indicator Scores'!$D$8:$CZ$8,0),
  _xlpm.v, IFERROR(INDEX('3. Enter Indicator Scores'!$D$10:$CZ$161,_xlpm.r,_xlpm.c),""),
  IF(OR(_xlpm.w="",_xlpm.v=""),"",_xlpm.v*_xlpm.w)
)</f>
        <v/>
      </c>
      <c r="W103" s="93" t="str" cm="1">
        <f t="array" ref="W103">_xlfn.LET(
  _xlpm.w, W$11,
  _xlpm.r, MATCH(1,('3. Enter Indicator Scores'!$B$10:$B$161=$B103)*('3. Enter Indicator Scores'!$C$10:$C$161=$C103),0),
  _xlpm.c, MATCH(W$8,'3. Enter Indicator Scores'!$D$8:$CZ$8,0),
  _xlpm.v, IFERROR(INDEX('3. Enter Indicator Scores'!$D$10:$CZ$161,_xlpm.r,_xlpm.c),""),
  IF(OR(_xlpm.w="",_xlpm.v=""),"",_xlpm.v*_xlpm.w)
)</f>
        <v/>
      </c>
      <c r="X103" s="93" t="str" cm="1">
        <f t="array" ref="X103">_xlfn.LET(
  _xlpm.w, X$11,
  _xlpm.r, MATCH(1,('3. Enter Indicator Scores'!$B$10:$B$161=$B103)*('3. Enter Indicator Scores'!$C$10:$C$161=$C103),0),
  _xlpm.c, MATCH(X$8,'3. Enter Indicator Scores'!$D$8:$CZ$8,0),
  _xlpm.v, IFERROR(INDEX('3. Enter Indicator Scores'!$D$10:$CZ$161,_xlpm.r,_xlpm.c),""),
  IF(OR(_xlpm.w="",_xlpm.v=""),"",_xlpm.v*_xlpm.w)
)</f>
        <v/>
      </c>
      <c r="Y103" s="93" t="str" cm="1">
        <f t="array" ref="Y103">_xlfn.LET(
  _xlpm.w, Y$11,
  _xlpm.r, MATCH(1,('3. Enter Indicator Scores'!$B$10:$B$161=$B103)*('3. Enter Indicator Scores'!$C$10:$C$161=$C103),0),
  _xlpm.c, MATCH(Y$8,'3. Enter Indicator Scores'!$D$8:$CZ$8,0),
  _xlpm.v, IFERROR(INDEX('3. Enter Indicator Scores'!$D$10:$CZ$161,_xlpm.r,_xlpm.c),""),
  IF(OR(_xlpm.w="",_xlpm.v=""),"",_xlpm.v*_xlpm.w)
)</f>
        <v/>
      </c>
      <c r="Z103" s="93" t="str" cm="1">
        <f t="array" ref="Z103">_xlfn.LET(
  _xlpm.w, Z$11,
  _xlpm.r, MATCH(1,('3. Enter Indicator Scores'!$B$10:$B$161=$B103)*('3. Enter Indicator Scores'!$C$10:$C$161=$C103),0),
  _xlpm.c, MATCH(Z$8,'3. Enter Indicator Scores'!$D$8:$CZ$8,0),
  _xlpm.v, IFERROR(INDEX('3. Enter Indicator Scores'!$D$10:$CZ$161,_xlpm.r,_xlpm.c),""),
  IF(OR(_xlpm.w="",_xlpm.v=""),"",_xlpm.v*_xlpm.w)
)</f>
        <v/>
      </c>
      <c r="AA103" s="93" t="str" cm="1">
        <f t="array" ref="AA103">_xlfn.LET(
  _xlpm.w, AA$11,
  _xlpm.r, MATCH(1,('3. Enter Indicator Scores'!$B$10:$B$161=$B103)*('3. Enter Indicator Scores'!$C$10:$C$161=$C103),0),
  _xlpm.c, MATCH(AA$8,'3. Enter Indicator Scores'!$D$8:$CZ$8,0),
  _xlpm.v, IFERROR(INDEX('3. Enter Indicator Scores'!$D$10:$CZ$161,_xlpm.r,_xlpm.c),""),
  IF(OR(_xlpm.w="",_xlpm.v=""),"",_xlpm.v*_xlpm.w)
)</f>
        <v/>
      </c>
      <c r="AB103" s="93" t="str" cm="1">
        <f t="array" ref="AB103">_xlfn.LET(
  _xlpm.w, AB$11,
  _xlpm.r, MATCH(1,('3. Enter Indicator Scores'!$B$10:$B$161=$B103)*('3. Enter Indicator Scores'!$C$10:$C$161=$C103),0),
  _xlpm.c, MATCH(AB$8,'3. Enter Indicator Scores'!$D$8:$CZ$8,0),
  _xlpm.v, IFERROR(INDEX('3. Enter Indicator Scores'!$D$10:$CZ$161,_xlpm.r,_xlpm.c),""),
  IF(OR(_xlpm.w="",_xlpm.v=""),"",_xlpm.v*_xlpm.w)
)</f>
        <v/>
      </c>
      <c r="AC103" s="93" t="str" cm="1">
        <f t="array" ref="AC103">_xlfn.LET(
  _xlpm.w, AC$11,
  _xlpm.r, MATCH(1,('3. Enter Indicator Scores'!$B$10:$B$161=$B103)*('3. Enter Indicator Scores'!$C$10:$C$161=$C103),0),
  _xlpm.c, MATCH(AC$8,'3. Enter Indicator Scores'!$D$8:$CZ$8,0),
  _xlpm.v, IFERROR(INDEX('3. Enter Indicator Scores'!$D$10:$CZ$161,_xlpm.r,_xlpm.c),""),
  IF(OR(_xlpm.w="",_xlpm.v=""),"",_xlpm.v*_xlpm.w)
)</f>
        <v/>
      </c>
      <c r="AD103" s="93" t="str" cm="1">
        <f t="array" ref="AD103">_xlfn.LET(
  _xlpm.w, AD$11,
  _xlpm.r, MATCH(1,('3. Enter Indicator Scores'!$B$10:$B$161=$B103)*('3. Enter Indicator Scores'!$C$10:$C$161=$C103),0),
  _xlpm.c, MATCH(AD$8,'3. Enter Indicator Scores'!$D$8:$CZ$8,0),
  _xlpm.v, IFERROR(INDEX('3. Enter Indicator Scores'!$D$10:$CZ$161,_xlpm.r,_xlpm.c),""),
  IF(OR(_xlpm.w="",_xlpm.v=""),"",_xlpm.v*_xlpm.w)
)</f>
        <v/>
      </c>
      <c r="AE103" s="93" t="str" cm="1">
        <f t="array" ref="AE103">_xlfn.LET(
  _xlpm.w, AE$11,
  _xlpm.r, MATCH(1,('3. Enter Indicator Scores'!$B$10:$B$161=$B103)*('3. Enter Indicator Scores'!$C$10:$C$161=$C103),0),
  _xlpm.c, MATCH(AE$8,'3. Enter Indicator Scores'!$D$8:$CZ$8,0),
  _xlpm.v, IFERROR(INDEX('3. Enter Indicator Scores'!$D$10:$CZ$161,_xlpm.r,_xlpm.c),""),
  IF(OR(_xlpm.w="",_xlpm.v=""),"",_xlpm.v*_xlpm.w)
)</f>
        <v/>
      </c>
      <c r="AF103" s="93" t="str" cm="1">
        <f t="array" ref="AF103">_xlfn.LET(
  _xlpm.w, AF$11,
  _xlpm.r, MATCH(1,('3. Enter Indicator Scores'!$B$10:$B$161=$B103)*('3. Enter Indicator Scores'!$C$10:$C$161=$C103),0),
  _xlpm.c, MATCH(AF$8,'3. Enter Indicator Scores'!$D$8:$CZ$8,0),
  _xlpm.v, IFERROR(INDEX('3. Enter Indicator Scores'!$D$10:$CZ$161,_xlpm.r,_xlpm.c),""),
  IF(OR(_xlpm.w="",_xlpm.v=""),"",_xlpm.v*_xlpm.w)
)</f>
        <v/>
      </c>
      <c r="AG103" s="93" t="str" cm="1">
        <f t="array" ref="AG103">_xlfn.LET(
  _xlpm.w, AG$11,
  _xlpm.r, MATCH(1,('3. Enter Indicator Scores'!$B$10:$B$161=$B103)*('3. Enter Indicator Scores'!$C$10:$C$161=$C103),0),
  _xlpm.c, MATCH(AG$8,'3. Enter Indicator Scores'!$D$8:$CZ$8,0),
  _xlpm.v, IFERROR(INDEX('3. Enter Indicator Scores'!$D$10:$CZ$161,_xlpm.r,_xlpm.c),""),
  IF(OR(_xlpm.w="",_xlpm.v=""),"",_xlpm.v*_xlpm.w)
)</f>
        <v/>
      </c>
      <c r="AH103" s="93" t="str" cm="1">
        <f t="array" ref="AH103">_xlfn.LET(
  _xlpm.w, AH$11,
  _xlpm.r, MATCH(1,('3. Enter Indicator Scores'!$B$10:$B$161=$B103)*('3. Enter Indicator Scores'!$C$10:$C$161=$C103),0),
  _xlpm.c, MATCH(AH$8,'3. Enter Indicator Scores'!$D$8:$CZ$8,0),
  _xlpm.v, IFERROR(INDEX('3. Enter Indicator Scores'!$D$10:$CZ$161,_xlpm.r,_xlpm.c),""),
  IF(OR(_xlpm.w="",_xlpm.v=""),"",_xlpm.v*_xlpm.w)
)</f>
        <v/>
      </c>
      <c r="AI103" s="93" t="str" cm="1">
        <f t="array" ref="AI103">_xlfn.LET(
  _xlpm.w, AI$11,
  _xlpm.r, MATCH(1,('3. Enter Indicator Scores'!$B$10:$B$161=$B103)*('3. Enter Indicator Scores'!$C$10:$C$161=$C103),0),
  _xlpm.c, MATCH(AI$8,'3. Enter Indicator Scores'!$D$8:$CZ$8,0),
  _xlpm.v, IFERROR(INDEX('3. Enter Indicator Scores'!$D$10:$CZ$161,_xlpm.r,_xlpm.c),""),
  IF(OR(_xlpm.w="",_xlpm.v=""),"",_xlpm.v*_xlpm.w)
)</f>
        <v/>
      </c>
      <c r="AJ103" s="93" t="str" cm="1">
        <f t="array" ref="AJ103">_xlfn.LET(
  _xlpm.w, AJ$11,
  _xlpm.r, MATCH(1,('3. Enter Indicator Scores'!$B$10:$B$161=$B103)*('3. Enter Indicator Scores'!$C$10:$C$161=$C103),0),
  _xlpm.c, MATCH(AJ$8,'3. Enter Indicator Scores'!$D$8:$CZ$8,0),
  _xlpm.v, IFERROR(INDEX('3. Enter Indicator Scores'!$D$10:$CZ$161,_xlpm.r,_xlpm.c),""),
  IF(OR(_xlpm.w="",_xlpm.v=""),"",_xlpm.v*_xlpm.w)
)</f>
        <v/>
      </c>
      <c r="AK103" s="93" t="str" cm="1">
        <f t="array" ref="AK103">_xlfn.LET(
  _xlpm.w, AK$11,
  _xlpm.r, MATCH(1,('3. Enter Indicator Scores'!$B$10:$B$161=$B103)*('3. Enter Indicator Scores'!$C$10:$C$161=$C103),0),
  _xlpm.c, MATCH(AK$8,'3. Enter Indicator Scores'!$D$8:$CZ$8,0),
  _xlpm.v, IFERROR(INDEX('3. Enter Indicator Scores'!$D$10:$CZ$161,_xlpm.r,_xlpm.c),""),
  IF(OR(_xlpm.w="",_xlpm.v=""),"",_xlpm.v*_xlpm.w)
)</f>
        <v/>
      </c>
      <c r="AL103" s="93" t="str" cm="1">
        <f t="array" ref="AL103">_xlfn.LET(
  _xlpm.w, AL$11,
  _xlpm.r, MATCH(1,('3. Enter Indicator Scores'!$B$10:$B$161=$B103)*('3. Enter Indicator Scores'!$C$10:$C$161=$C103),0),
  _xlpm.c, MATCH(AL$8,'3. Enter Indicator Scores'!$D$8:$CZ$8,0),
  _xlpm.v, IFERROR(INDEX('3. Enter Indicator Scores'!$D$10:$CZ$161,_xlpm.r,_xlpm.c),""),
  IF(OR(_xlpm.w="",_xlpm.v=""),"",_xlpm.v*_xlpm.w)
)</f>
        <v/>
      </c>
      <c r="AM103" s="93" t="str" cm="1">
        <f t="array" ref="AM103">_xlfn.LET(
  _xlpm.w, AM$11,
  _xlpm.r, MATCH(1,('3. Enter Indicator Scores'!$B$10:$B$161=$B103)*('3. Enter Indicator Scores'!$C$10:$C$161=$C103),0),
  _xlpm.c, MATCH(AM$8,'3. Enter Indicator Scores'!$D$8:$CZ$8,0),
  _xlpm.v, IFERROR(INDEX('3. Enter Indicator Scores'!$D$10:$CZ$161,_xlpm.r,_xlpm.c),""),
  IF(OR(_xlpm.w="",_xlpm.v=""),"",_xlpm.v*_xlpm.w)
)</f>
        <v/>
      </c>
      <c r="AN103" s="93" t="str" cm="1">
        <f t="array" ref="AN103">_xlfn.LET(
  _xlpm.w, AN$11,
  _xlpm.r, MATCH(1,('3. Enter Indicator Scores'!$B$10:$B$161=$B103)*('3. Enter Indicator Scores'!$C$10:$C$161=$C103),0),
  _xlpm.c, MATCH(AN$8,'3. Enter Indicator Scores'!$D$8:$CZ$8,0),
  _xlpm.v, IFERROR(INDEX('3. Enter Indicator Scores'!$D$10:$CZ$161,_xlpm.r,_xlpm.c),""),
  IF(OR(_xlpm.w="",_xlpm.v=""),"",_xlpm.v*_xlpm.w)
)</f>
        <v/>
      </c>
      <c r="AO103" s="93" t="str" cm="1">
        <f t="array" ref="AO103">_xlfn.LET(
  _xlpm.w, AO$11,
  _xlpm.r, MATCH(1,('3. Enter Indicator Scores'!$B$10:$B$161=$B103)*('3. Enter Indicator Scores'!$C$10:$C$161=$C103),0),
  _xlpm.c, MATCH(AO$8,'3. Enter Indicator Scores'!$D$8:$CZ$8,0),
  _xlpm.v, IFERROR(INDEX('3. Enter Indicator Scores'!$D$10:$CZ$161,_xlpm.r,_xlpm.c),""),
  IF(OR(_xlpm.w="",_xlpm.v=""),"",_xlpm.v*_xlpm.w)
)</f>
        <v/>
      </c>
      <c r="AP103" s="93" t="str" cm="1">
        <f t="array" ref="AP103">_xlfn.LET(
  _xlpm.w, AP$11,
  _xlpm.r, MATCH(1,('3. Enter Indicator Scores'!$B$10:$B$161=$B103)*('3. Enter Indicator Scores'!$C$10:$C$161=$C103),0),
  _xlpm.c, MATCH(AP$8,'3. Enter Indicator Scores'!$D$8:$CZ$8,0),
  _xlpm.v, IFERROR(INDEX('3. Enter Indicator Scores'!$D$10:$CZ$161,_xlpm.r,_xlpm.c),""),
  IF(OR(_xlpm.w="",_xlpm.v=""),"",_xlpm.v*_xlpm.w)
)</f>
        <v/>
      </c>
      <c r="AQ103" s="93" t="str" cm="1">
        <f t="array" ref="AQ103">_xlfn.LET(
  _xlpm.w, AQ$11,
  _xlpm.r, MATCH(1,('3. Enter Indicator Scores'!$B$10:$B$161=$B103)*('3. Enter Indicator Scores'!$C$10:$C$161=$C103),0),
  _xlpm.c, MATCH(AQ$8,'3. Enter Indicator Scores'!$D$8:$CZ$8,0),
  _xlpm.v, IFERROR(INDEX('3. Enter Indicator Scores'!$D$10:$CZ$161,_xlpm.r,_xlpm.c),""),
  IF(OR(_xlpm.w="",_xlpm.v=""),"",_xlpm.v*_xlpm.w)
)</f>
        <v/>
      </c>
      <c r="AR103" s="93" t="str" cm="1">
        <f t="array" ref="AR103">_xlfn.LET(
  _xlpm.w, AR$11,
  _xlpm.r, MATCH(1,('3. Enter Indicator Scores'!$B$10:$B$161=$B103)*('3. Enter Indicator Scores'!$C$10:$C$161=$C103),0),
  _xlpm.c, MATCH(AR$8,'3. Enter Indicator Scores'!$D$8:$CZ$8,0),
  _xlpm.v, IFERROR(INDEX('3. Enter Indicator Scores'!$D$10:$CZ$161,_xlpm.r,_xlpm.c),""),
  IF(OR(_xlpm.w="",_xlpm.v=""),"",_xlpm.v*_xlpm.w)
)</f>
        <v/>
      </c>
      <c r="AS103" s="93" t="str" cm="1">
        <f t="array" ref="AS103">_xlfn.LET(
  _xlpm.w, AS$11,
  _xlpm.r, MATCH(1,('3. Enter Indicator Scores'!$B$10:$B$161=$B103)*('3. Enter Indicator Scores'!$C$10:$C$161=$C103),0),
  _xlpm.c, MATCH(AS$8,'3. Enter Indicator Scores'!$D$8:$CZ$8,0),
  _xlpm.v, IFERROR(INDEX('3. Enter Indicator Scores'!$D$10:$CZ$161,_xlpm.r,_xlpm.c),""),
  IF(OR(_xlpm.w="",_xlpm.v=""),"",_xlpm.v*_xlpm.w)
)</f>
        <v/>
      </c>
      <c r="AT103" s="93" t="str" cm="1">
        <f t="array" ref="AT103">_xlfn.LET(
  _xlpm.w, AT$11,
  _xlpm.r, MATCH(1,('3. Enter Indicator Scores'!$B$10:$B$161=$B103)*('3. Enter Indicator Scores'!$C$10:$C$161=$C103),0),
  _xlpm.c, MATCH(AT$8,'3. Enter Indicator Scores'!$D$8:$CZ$8,0),
  _xlpm.v, IFERROR(INDEX('3. Enter Indicator Scores'!$D$10:$CZ$161,_xlpm.r,_xlpm.c),""),
  IF(OR(_xlpm.w="",_xlpm.v=""),"",_xlpm.v*_xlpm.w)
)</f>
        <v/>
      </c>
      <c r="AU103" s="93" t="str" cm="1">
        <f t="array" ref="AU103">_xlfn.LET(
  _xlpm.w, AU$11,
  _xlpm.r, MATCH(1,('3. Enter Indicator Scores'!$B$10:$B$161=$B103)*('3. Enter Indicator Scores'!$C$10:$C$161=$C103),0),
  _xlpm.c, MATCH(AU$8,'3. Enter Indicator Scores'!$D$8:$CZ$8,0),
  _xlpm.v, IFERROR(INDEX('3. Enter Indicator Scores'!$D$10:$CZ$161,_xlpm.r,_xlpm.c),""),
  IF(OR(_xlpm.w="",_xlpm.v=""),"",_xlpm.v*_xlpm.w)
)</f>
        <v/>
      </c>
      <c r="AV103" s="93" t="str" cm="1">
        <f t="array" ref="AV103">_xlfn.LET(
  _xlpm.w, AV$11,
  _xlpm.r, MATCH(1,('3. Enter Indicator Scores'!$B$10:$B$161=$B103)*('3. Enter Indicator Scores'!$C$10:$C$161=$C103),0),
  _xlpm.c, MATCH(AV$8,'3. Enter Indicator Scores'!$D$8:$CZ$8,0),
  _xlpm.v, IFERROR(INDEX('3. Enter Indicator Scores'!$D$10:$CZ$161,_xlpm.r,_xlpm.c),""),
  IF(OR(_xlpm.w="",_xlpm.v=""),"",_xlpm.v*_xlpm.w)
)</f>
        <v/>
      </c>
      <c r="AW103" s="93" t="str" cm="1">
        <f t="array" ref="AW103">_xlfn.LET(
  _xlpm.w, AW$11,
  _xlpm.r, MATCH(1,('3. Enter Indicator Scores'!$B$10:$B$161=$B103)*('3. Enter Indicator Scores'!$C$10:$C$161=$C103),0),
  _xlpm.c, MATCH(AW$8,'3. Enter Indicator Scores'!$D$8:$CZ$8,0),
  _xlpm.v, IFERROR(INDEX('3. Enter Indicator Scores'!$D$10:$CZ$161,_xlpm.r,_xlpm.c),""),
  IF(OR(_xlpm.w="",_xlpm.v=""),"",_xlpm.v*_xlpm.w)
)</f>
        <v/>
      </c>
      <c r="AX103" s="93" t="str" cm="1">
        <f t="array" ref="AX103">_xlfn.LET(
  _xlpm.w, AX$11,
  _xlpm.r, MATCH(1,('3. Enter Indicator Scores'!$B$10:$B$161=$B103)*('3. Enter Indicator Scores'!$C$10:$C$161=$C103),0),
  _xlpm.c, MATCH(AX$8,'3. Enter Indicator Scores'!$D$8:$CZ$8,0),
  _xlpm.v, IFERROR(INDEX('3. Enter Indicator Scores'!$D$10:$CZ$161,_xlpm.r,_xlpm.c),""),
  IF(OR(_xlpm.w="",_xlpm.v=""),"",_xlpm.v*_xlpm.w)
)</f>
        <v/>
      </c>
      <c r="AY103" s="93" t="str" cm="1">
        <f t="array" ref="AY103">_xlfn.LET(
  _xlpm.w, AY$11,
  _xlpm.r, MATCH(1,('3. Enter Indicator Scores'!$B$10:$B$161=$B103)*('3. Enter Indicator Scores'!$C$10:$C$161=$C103),0),
  _xlpm.c, MATCH(AY$8,'3. Enter Indicator Scores'!$D$8:$CZ$8,0),
  _xlpm.v, IFERROR(INDEX('3. Enter Indicator Scores'!$D$10:$CZ$161,_xlpm.r,_xlpm.c),""),
  IF(OR(_xlpm.w="",_xlpm.v=""),"",_xlpm.v*_xlpm.w)
)</f>
        <v/>
      </c>
      <c r="AZ103" s="93" t="str" cm="1">
        <f t="array" ref="AZ103">_xlfn.LET(
  _xlpm.w, AZ$11,
  _xlpm.r, MATCH(1,('3. Enter Indicator Scores'!$B$10:$B$161=$B103)*('3. Enter Indicator Scores'!$C$10:$C$161=$C103),0),
  _xlpm.c, MATCH(AZ$8,'3. Enter Indicator Scores'!$D$8:$CZ$8,0),
  _xlpm.v, IFERROR(INDEX('3. Enter Indicator Scores'!$D$10:$CZ$161,_xlpm.r,_xlpm.c),""),
  IF(OR(_xlpm.w="",_xlpm.v=""),"",_xlpm.v*_xlpm.w)
)</f>
        <v/>
      </c>
      <c r="BA103" s="93" t="str" cm="1">
        <f t="array" ref="BA103">_xlfn.LET(
  _xlpm.w, BA$11,
  _xlpm.r, MATCH(1,('3. Enter Indicator Scores'!$B$10:$B$161=$B103)*('3. Enter Indicator Scores'!$C$10:$C$161=$C103),0),
  _xlpm.c, MATCH(BA$8,'3. Enter Indicator Scores'!$D$8:$CZ$8,0),
  _xlpm.v, IFERROR(INDEX('3. Enter Indicator Scores'!$D$10:$CZ$161,_xlpm.r,_xlpm.c),""),
  IF(OR(_xlpm.w="",_xlpm.v=""),"",_xlpm.v*_xlpm.w)
)</f>
        <v/>
      </c>
      <c r="BB103" s="93" t="str" cm="1">
        <f t="array" ref="BB103">_xlfn.LET(
  _xlpm.w, BB$11,
  _xlpm.r, MATCH(1,('3. Enter Indicator Scores'!$B$10:$B$161=$B103)*('3. Enter Indicator Scores'!$C$10:$C$161=$C103),0),
  _xlpm.c, MATCH(BB$8,'3. Enter Indicator Scores'!$D$8:$CZ$8,0),
  _xlpm.v, IFERROR(INDEX('3. Enter Indicator Scores'!$D$10:$CZ$161,_xlpm.r,_xlpm.c),""),
  IF(OR(_xlpm.w="",_xlpm.v=""),"",_xlpm.v*_xlpm.w)
)</f>
        <v/>
      </c>
      <c r="BC103" s="93" t="str" cm="1">
        <f t="array" ref="BC103">_xlfn.LET(
  _xlpm.w, BC$11,
  _xlpm.r, MATCH(1,('3. Enter Indicator Scores'!$B$10:$B$161=$B103)*('3. Enter Indicator Scores'!$C$10:$C$161=$C103),0),
  _xlpm.c, MATCH(BC$8,'3. Enter Indicator Scores'!$D$8:$CZ$8,0),
  _xlpm.v, IFERROR(INDEX('3. Enter Indicator Scores'!$D$10:$CZ$161,_xlpm.r,_xlpm.c),""),
  IF(OR(_xlpm.w="",_xlpm.v=""),"",_xlpm.v*_xlpm.w)
)</f>
        <v/>
      </c>
      <c r="BD103" s="93" t="str" cm="1">
        <f t="array" ref="BD103">_xlfn.LET(
  _xlpm.w, BD$11,
  _xlpm.r, MATCH(1,('3. Enter Indicator Scores'!$B$10:$B$161=$B103)*('3. Enter Indicator Scores'!$C$10:$C$161=$C103),0),
  _xlpm.c, MATCH(BD$8,'3. Enter Indicator Scores'!$D$8:$CZ$8,0),
  _xlpm.v, IFERROR(INDEX('3. Enter Indicator Scores'!$D$10:$CZ$161,_xlpm.r,_xlpm.c),""),
  IF(OR(_xlpm.w="",_xlpm.v=""),"",_xlpm.v*_xlpm.w)
)</f>
        <v/>
      </c>
      <c r="BE103" s="93" t="str" cm="1">
        <f t="array" ref="BE103">_xlfn.LET(
  _xlpm.w, BE$11,
  _xlpm.r, MATCH(1,('3. Enter Indicator Scores'!$B$10:$B$161=$B103)*('3. Enter Indicator Scores'!$C$10:$C$161=$C103),0),
  _xlpm.c, MATCH(BE$8,'3. Enter Indicator Scores'!$D$8:$CZ$8,0),
  _xlpm.v, IFERROR(INDEX('3. Enter Indicator Scores'!$D$10:$CZ$161,_xlpm.r,_xlpm.c),""),
  IF(OR(_xlpm.w="",_xlpm.v=""),"",_xlpm.v*_xlpm.w)
)</f>
        <v/>
      </c>
      <c r="BF103" s="93" t="str" cm="1">
        <f t="array" ref="BF103">_xlfn.LET(
  _xlpm.w, BF$11,
  _xlpm.r, MATCH(1,('3. Enter Indicator Scores'!$B$10:$B$161=$B103)*('3. Enter Indicator Scores'!$C$10:$C$161=$C103),0),
  _xlpm.c, MATCH(BF$8,'3. Enter Indicator Scores'!$D$8:$CZ$8,0),
  _xlpm.v, IFERROR(INDEX('3. Enter Indicator Scores'!$D$10:$CZ$161,_xlpm.r,_xlpm.c),""),
  IF(OR(_xlpm.w="",_xlpm.v=""),"",_xlpm.v*_xlpm.w)
)</f>
        <v/>
      </c>
      <c r="BG103" s="93" t="str" cm="1">
        <f t="array" ref="BG103">_xlfn.LET(
  _xlpm.w, BG$11,
  _xlpm.r, MATCH(1,('3. Enter Indicator Scores'!$B$10:$B$161=$B103)*('3. Enter Indicator Scores'!$C$10:$C$161=$C103),0),
  _xlpm.c, MATCH(BG$8,'3. Enter Indicator Scores'!$D$8:$CZ$8,0),
  _xlpm.v, IFERROR(INDEX('3. Enter Indicator Scores'!$D$10:$CZ$161,_xlpm.r,_xlpm.c),""),
  IF(OR(_xlpm.w="",_xlpm.v=""),"",_xlpm.v*_xlpm.w)
)</f>
        <v/>
      </c>
      <c r="BH103" s="93" t="str" cm="1">
        <f t="array" ref="BH103">_xlfn.LET(
  _xlpm.w, BH$11,
  _xlpm.r, MATCH(1,('3. Enter Indicator Scores'!$B$10:$B$161=$B103)*('3. Enter Indicator Scores'!$C$10:$C$161=$C103),0),
  _xlpm.c, MATCH(BH$8,'3. Enter Indicator Scores'!$D$8:$CZ$8,0),
  _xlpm.v, IFERROR(INDEX('3. Enter Indicator Scores'!$D$10:$CZ$161,_xlpm.r,_xlpm.c),""),
  IF(OR(_xlpm.w="",_xlpm.v=""),"",_xlpm.v*_xlpm.w)
)</f>
        <v/>
      </c>
      <c r="BI103" s="93" t="str" cm="1">
        <f t="array" ref="BI103">_xlfn.LET(
  _xlpm.w, BI$11,
  _xlpm.r, MATCH(1,('3. Enter Indicator Scores'!$B$10:$B$161=$B103)*('3. Enter Indicator Scores'!$C$10:$C$161=$C103),0),
  _xlpm.c, MATCH(BI$8,'3. Enter Indicator Scores'!$D$8:$CZ$8,0),
  _xlpm.v, IFERROR(INDEX('3. Enter Indicator Scores'!$D$10:$CZ$161,_xlpm.r,_xlpm.c),""),
  IF(OR(_xlpm.w="",_xlpm.v=""),"",_xlpm.v*_xlpm.w)
)</f>
        <v/>
      </c>
      <c r="BJ103" s="93" t="str" cm="1">
        <f t="array" ref="BJ103">_xlfn.LET(
  _xlpm.w, BJ$11,
  _xlpm.r, MATCH(1,('3. Enter Indicator Scores'!$B$10:$B$161=$B103)*('3. Enter Indicator Scores'!$C$10:$C$161=$C103),0),
  _xlpm.c, MATCH(BJ$8,'3. Enter Indicator Scores'!$D$8:$CZ$8,0),
  _xlpm.v, IFERROR(INDEX('3. Enter Indicator Scores'!$D$10:$CZ$161,_xlpm.r,_xlpm.c),""),
  IF(OR(_xlpm.w="",_xlpm.v=""),"",_xlpm.v*_xlpm.w)
)</f>
        <v/>
      </c>
      <c r="BK103" s="93" t="str" cm="1">
        <f t="array" ref="BK103">_xlfn.LET(
  _xlpm.w, BK$11,
  _xlpm.r, MATCH(1,('3. Enter Indicator Scores'!$B$10:$B$161=$B103)*('3. Enter Indicator Scores'!$C$10:$C$161=$C103),0),
  _xlpm.c, MATCH(BK$8,'3. Enter Indicator Scores'!$D$8:$CZ$8,0),
  _xlpm.v, IFERROR(INDEX('3. Enter Indicator Scores'!$D$10:$CZ$161,_xlpm.r,_xlpm.c),""),
  IF(OR(_xlpm.w="",_xlpm.v=""),"",_xlpm.v*_xlpm.w)
)</f>
        <v/>
      </c>
      <c r="BL103" s="93" t="str" cm="1">
        <f t="array" ref="BL103">_xlfn.LET(
  _xlpm.w, BL$11,
  _xlpm.r, MATCH(1,('3. Enter Indicator Scores'!$B$10:$B$161=$B103)*('3. Enter Indicator Scores'!$C$10:$C$161=$C103),0),
  _xlpm.c, MATCH(BL$8,'3. Enter Indicator Scores'!$D$8:$CZ$8,0),
  _xlpm.v, IFERROR(INDEX('3. Enter Indicator Scores'!$D$10:$CZ$161,_xlpm.r,_xlpm.c),""),
  IF(OR(_xlpm.w="",_xlpm.v=""),"",_xlpm.v*_xlpm.w)
)</f>
        <v/>
      </c>
      <c r="BM103" s="93" t="str" cm="1">
        <f t="array" ref="BM103">_xlfn.LET(
  _xlpm.w, BM$11,
  _xlpm.r, MATCH(1,('3. Enter Indicator Scores'!$B$10:$B$161=$B103)*('3. Enter Indicator Scores'!$C$10:$C$161=$C103),0),
  _xlpm.c, MATCH(BM$8,'3. Enter Indicator Scores'!$D$8:$CZ$8,0),
  _xlpm.v, IFERROR(INDEX('3. Enter Indicator Scores'!$D$10:$CZ$161,_xlpm.r,_xlpm.c),""),
  IF(OR(_xlpm.w="",_xlpm.v=""),"",_xlpm.v*_xlpm.w)
)</f>
        <v/>
      </c>
      <c r="BN103" s="93" t="str" cm="1">
        <f t="array" ref="BN103">_xlfn.LET(
  _xlpm.w, BN$11,
  _xlpm.r, MATCH(1,('3. Enter Indicator Scores'!$B$10:$B$161=$B103)*('3. Enter Indicator Scores'!$C$10:$C$161=$C103),0),
  _xlpm.c, MATCH(BN$8,'3. Enter Indicator Scores'!$D$8:$CZ$8,0),
  _xlpm.v, IFERROR(INDEX('3. Enter Indicator Scores'!$D$10:$CZ$161,_xlpm.r,_xlpm.c),""),
  IF(OR(_xlpm.w="",_xlpm.v=""),"",_xlpm.v*_xlpm.w)
)</f>
        <v/>
      </c>
      <c r="BO103" s="93" t="str" cm="1">
        <f t="array" ref="BO103">_xlfn.LET(
  _xlpm.w, BO$11,
  _xlpm.r, MATCH(1,('3. Enter Indicator Scores'!$B$10:$B$161=$B103)*('3. Enter Indicator Scores'!$C$10:$C$161=$C103),0),
  _xlpm.c, MATCH(BO$8,'3. Enter Indicator Scores'!$D$8:$CZ$8,0),
  _xlpm.v, IFERROR(INDEX('3. Enter Indicator Scores'!$D$10:$CZ$161,_xlpm.r,_xlpm.c),""),
  IF(OR(_xlpm.w="",_xlpm.v=""),"",_xlpm.v*_xlpm.w)
)</f>
        <v/>
      </c>
      <c r="BP103" s="93" t="str" cm="1">
        <f t="array" ref="BP103">_xlfn.LET(
  _xlpm.w, BP$11,
  _xlpm.r, MATCH(1,('3. Enter Indicator Scores'!$B$10:$B$161=$B103)*('3. Enter Indicator Scores'!$C$10:$C$161=$C103),0),
  _xlpm.c, MATCH(BP$8,'3. Enter Indicator Scores'!$D$8:$CZ$8,0),
  _xlpm.v, IFERROR(INDEX('3. Enter Indicator Scores'!$D$10:$CZ$161,_xlpm.r,_xlpm.c),""),
  IF(OR(_xlpm.w="",_xlpm.v=""),"",_xlpm.v*_xlpm.w)
)</f>
        <v/>
      </c>
      <c r="BQ103" s="93" t="str" cm="1">
        <f t="array" ref="BQ103">_xlfn.LET(
  _xlpm.w, BQ$11,
  _xlpm.r, MATCH(1,('3. Enter Indicator Scores'!$B$10:$B$161=$B103)*('3. Enter Indicator Scores'!$C$10:$C$161=$C103),0),
  _xlpm.c, MATCH(BQ$8,'3. Enter Indicator Scores'!$D$8:$CZ$8,0),
  _xlpm.v, IFERROR(INDEX('3. Enter Indicator Scores'!$D$10:$CZ$161,_xlpm.r,_xlpm.c),""),
  IF(OR(_xlpm.w="",_xlpm.v=""),"",_xlpm.v*_xlpm.w)
)</f>
        <v/>
      </c>
      <c r="BR103" s="93" t="str" cm="1">
        <f t="array" ref="BR103">_xlfn.LET(
  _xlpm.w, BR$11,
  _xlpm.r, MATCH(1,('3. Enter Indicator Scores'!$B$10:$B$161=$B103)*('3. Enter Indicator Scores'!$C$10:$C$161=$C103),0),
  _xlpm.c, MATCH(BR$8,'3. Enter Indicator Scores'!$D$8:$CZ$8,0),
  _xlpm.v, IFERROR(INDEX('3. Enter Indicator Scores'!$D$10:$CZ$161,_xlpm.r,_xlpm.c),""),
  IF(OR(_xlpm.w="",_xlpm.v=""),"",_xlpm.v*_xlpm.w)
)</f>
        <v/>
      </c>
      <c r="BS103" s="93" t="str" cm="1">
        <f t="array" ref="BS103">_xlfn.LET(
  _xlpm.w, BS$11,
  _xlpm.r, MATCH(1,('3. Enter Indicator Scores'!$B$10:$B$161=$B103)*('3. Enter Indicator Scores'!$C$10:$C$161=$C103),0),
  _xlpm.c, MATCH(BS$8,'3. Enter Indicator Scores'!$D$8:$CZ$8,0),
  _xlpm.v, IFERROR(INDEX('3. Enter Indicator Scores'!$D$10:$CZ$161,_xlpm.r,_xlpm.c),""),
  IF(OR(_xlpm.w="",_xlpm.v=""),"",_xlpm.v*_xlpm.w)
)</f>
        <v/>
      </c>
      <c r="BT103" s="93" t="str" cm="1">
        <f t="array" ref="BT103">_xlfn.LET(
  _xlpm.w, BT$11,
  _xlpm.r, MATCH(1,('3. Enter Indicator Scores'!$B$10:$B$161=$B103)*('3. Enter Indicator Scores'!$C$10:$C$161=$C103),0),
  _xlpm.c, MATCH(BT$8,'3. Enter Indicator Scores'!$D$8:$CZ$8,0),
  _xlpm.v, IFERROR(INDEX('3. Enter Indicator Scores'!$D$10:$CZ$161,_xlpm.r,_xlpm.c),""),
  IF(OR(_xlpm.w="",_xlpm.v=""),"",_xlpm.v*_xlpm.w)
)</f>
        <v/>
      </c>
      <c r="BU103" s="93" t="str" cm="1">
        <f t="array" ref="BU103">_xlfn.LET(
  _xlpm.w, BU$11,
  _xlpm.r, MATCH(1,('3. Enter Indicator Scores'!$B$10:$B$161=$B103)*('3. Enter Indicator Scores'!$C$10:$C$161=$C103),0),
  _xlpm.c, MATCH(BU$8,'3. Enter Indicator Scores'!$D$8:$CZ$8,0),
  _xlpm.v, IFERROR(INDEX('3. Enter Indicator Scores'!$D$10:$CZ$161,_xlpm.r,_xlpm.c),""),
  IF(OR(_xlpm.w="",_xlpm.v=""),"",_xlpm.v*_xlpm.w)
)</f>
        <v/>
      </c>
      <c r="BV103" s="93" t="str" cm="1">
        <f t="array" ref="BV103">_xlfn.LET(
  _xlpm.w, BV$11,
  _xlpm.r, MATCH(1,('3. Enter Indicator Scores'!$B$10:$B$161=$B103)*('3. Enter Indicator Scores'!$C$10:$C$161=$C103),0),
  _xlpm.c, MATCH(BV$8,'3. Enter Indicator Scores'!$D$8:$CZ$8,0),
  _xlpm.v, IFERROR(INDEX('3. Enter Indicator Scores'!$D$10:$CZ$161,_xlpm.r,_xlpm.c),""),
  IF(OR(_xlpm.w="",_xlpm.v=""),"",_xlpm.v*_xlpm.w)
)</f>
        <v/>
      </c>
      <c r="BW103" s="93" t="str" cm="1">
        <f t="array" ref="BW103">_xlfn.LET(
  _xlpm.w, BW$11,
  _xlpm.r, MATCH(1,('3. Enter Indicator Scores'!$B$10:$B$161=$B103)*('3. Enter Indicator Scores'!$C$10:$C$161=$C103),0),
  _xlpm.c, MATCH(BW$8,'3. Enter Indicator Scores'!$D$8:$CZ$8,0),
  _xlpm.v, IFERROR(INDEX('3. Enter Indicator Scores'!$D$10:$CZ$161,_xlpm.r,_xlpm.c),""),
  IF(OR(_xlpm.w="",_xlpm.v=""),"",_xlpm.v*_xlpm.w)
)</f>
        <v/>
      </c>
      <c r="BX103" s="93" t="str" cm="1">
        <f t="array" ref="BX103">_xlfn.LET(
  _xlpm.w, BX$11,
  _xlpm.r, MATCH(1,('3. Enter Indicator Scores'!$B$10:$B$161=$B103)*('3. Enter Indicator Scores'!$C$10:$C$161=$C103),0),
  _xlpm.c, MATCH(BX$8,'3. Enter Indicator Scores'!$D$8:$CZ$8,0),
  _xlpm.v, IFERROR(INDEX('3. Enter Indicator Scores'!$D$10:$CZ$161,_xlpm.r,_xlpm.c),""),
  IF(OR(_xlpm.w="",_xlpm.v=""),"",_xlpm.v*_xlpm.w)
)</f>
        <v/>
      </c>
      <c r="BY103" s="93" t="str" cm="1">
        <f t="array" ref="BY103">_xlfn.LET(
  _xlpm.w, BY$11,
  _xlpm.r, MATCH(1,('3. Enter Indicator Scores'!$B$10:$B$161=$B103)*('3. Enter Indicator Scores'!$C$10:$C$161=$C103),0),
  _xlpm.c, MATCH(BY$8,'3. Enter Indicator Scores'!$D$8:$CZ$8,0),
  _xlpm.v, IFERROR(INDEX('3. Enter Indicator Scores'!$D$10:$CZ$161,_xlpm.r,_xlpm.c),""),
  IF(OR(_xlpm.w="",_xlpm.v=""),"",_xlpm.v*_xlpm.w)
)</f>
        <v/>
      </c>
      <c r="BZ103" s="93" t="str" cm="1">
        <f t="array" ref="BZ103">_xlfn.LET(
  _xlpm.w, BZ$11,
  _xlpm.r, MATCH(1,('3. Enter Indicator Scores'!$B$10:$B$161=$B103)*('3. Enter Indicator Scores'!$C$10:$C$161=$C103),0),
  _xlpm.c, MATCH(BZ$8,'3. Enter Indicator Scores'!$D$8:$CZ$8,0),
  _xlpm.v, IFERROR(INDEX('3. Enter Indicator Scores'!$D$10:$CZ$161,_xlpm.r,_xlpm.c),""),
  IF(OR(_xlpm.w="",_xlpm.v=""),"",_xlpm.v*_xlpm.w)
)</f>
        <v/>
      </c>
      <c r="CA103" s="93" t="str" cm="1">
        <f t="array" ref="CA103">_xlfn.LET(
  _xlpm.w, CA$11,
  _xlpm.r, MATCH(1,('3. Enter Indicator Scores'!$B$10:$B$161=$B103)*('3. Enter Indicator Scores'!$C$10:$C$161=$C103),0),
  _xlpm.c, MATCH(CA$8,'3. Enter Indicator Scores'!$D$8:$CZ$8,0),
  _xlpm.v, IFERROR(INDEX('3. Enter Indicator Scores'!$D$10:$CZ$161,_xlpm.r,_xlpm.c),""),
  IF(OR(_xlpm.w="",_xlpm.v=""),"",_xlpm.v*_xlpm.w)
)</f>
        <v/>
      </c>
      <c r="CB103" s="93" t="str" cm="1">
        <f t="array" ref="CB103">_xlfn.LET(
  _xlpm.w, CB$11,
  _xlpm.r, MATCH(1,('3. Enter Indicator Scores'!$B$10:$B$161=$B103)*('3. Enter Indicator Scores'!$C$10:$C$161=$C103),0),
  _xlpm.c, MATCH(CB$8,'3. Enter Indicator Scores'!$D$8:$CZ$8,0),
  _xlpm.v, IFERROR(INDEX('3. Enter Indicator Scores'!$D$10:$CZ$161,_xlpm.r,_xlpm.c),""),
  IF(OR(_xlpm.w="",_xlpm.v=""),"",_xlpm.v*_xlpm.w)
)</f>
        <v/>
      </c>
      <c r="CC103" s="93" t="str" cm="1">
        <f t="array" ref="CC103">_xlfn.LET(
  _xlpm.w, CC$11,
  _xlpm.r, MATCH(1,('3. Enter Indicator Scores'!$B$10:$B$161=$B103)*('3. Enter Indicator Scores'!$C$10:$C$161=$C103),0),
  _xlpm.c, MATCH(CC$8,'3. Enter Indicator Scores'!$D$8:$CZ$8,0),
  _xlpm.v, IFERROR(INDEX('3. Enter Indicator Scores'!$D$10:$CZ$161,_xlpm.r,_xlpm.c),""),
  IF(OR(_xlpm.w="",_xlpm.v=""),"",_xlpm.v*_xlpm.w)
)</f>
        <v/>
      </c>
      <c r="CD103" s="93" t="str" cm="1">
        <f t="array" ref="CD103">_xlfn.LET(
  _xlpm.w, CD$11,
  _xlpm.r, MATCH(1,('3. Enter Indicator Scores'!$B$10:$B$161=$B103)*('3. Enter Indicator Scores'!$C$10:$C$161=$C103),0),
  _xlpm.c, MATCH(CD$8,'3. Enter Indicator Scores'!$D$8:$CZ$8,0),
  _xlpm.v, IFERROR(INDEX('3. Enter Indicator Scores'!$D$10:$CZ$161,_xlpm.r,_xlpm.c),""),
  IF(OR(_xlpm.w="",_xlpm.v=""),"",_xlpm.v*_xlpm.w)
)</f>
        <v/>
      </c>
      <c r="CE103" s="93" t="str" cm="1">
        <f t="array" ref="CE103">_xlfn.LET(
  _xlpm.w, CE$11,
  _xlpm.r, MATCH(1,('3. Enter Indicator Scores'!$B$10:$B$161=$B103)*('3. Enter Indicator Scores'!$C$10:$C$161=$C103),0),
  _xlpm.c, MATCH(CE$8,'3. Enter Indicator Scores'!$D$8:$CZ$8,0),
  _xlpm.v, IFERROR(INDEX('3. Enter Indicator Scores'!$D$10:$CZ$161,_xlpm.r,_xlpm.c),""),
  IF(OR(_xlpm.w="",_xlpm.v=""),"",_xlpm.v*_xlpm.w)
)</f>
        <v/>
      </c>
      <c r="CF103" s="93" t="str" cm="1">
        <f t="array" ref="CF103">_xlfn.LET(
  _xlpm.w, CF$11,
  _xlpm.r, MATCH(1,('3. Enter Indicator Scores'!$B$10:$B$161=$B103)*('3. Enter Indicator Scores'!$C$10:$C$161=$C103),0),
  _xlpm.c, MATCH(CF$8,'3. Enter Indicator Scores'!$D$8:$CZ$8,0),
  _xlpm.v, IFERROR(INDEX('3. Enter Indicator Scores'!$D$10:$CZ$161,_xlpm.r,_xlpm.c),""),
  IF(OR(_xlpm.w="",_xlpm.v=""),"",_xlpm.v*_xlpm.w)
)</f>
        <v/>
      </c>
      <c r="CG103" s="93" t="str" cm="1">
        <f t="array" ref="CG103">_xlfn.LET(
  _xlpm.w, CG$11,
  _xlpm.r, MATCH(1,('3. Enter Indicator Scores'!$B$10:$B$161=$B103)*('3. Enter Indicator Scores'!$C$10:$C$161=$C103),0),
  _xlpm.c, MATCH(CG$8,'3. Enter Indicator Scores'!$D$8:$CZ$8,0),
  _xlpm.v, IFERROR(INDEX('3. Enter Indicator Scores'!$D$10:$CZ$161,_xlpm.r,_xlpm.c),""),
  IF(OR(_xlpm.w="",_xlpm.v=""),"",_xlpm.v*_xlpm.w)
)</f>
        <v/>
      </c>
      <c r="CH103" s="93" t="str" cm="1">
        <f t="array" ref="CH103">_xlfn.LET(
  _xlpm.w, CH$11,
  _xlpm.r, MATCH(1,('3. Enter Indicator Scores'!$B$10:$B$161=$B103)*('3. Enter Indicator Scores'!$C$10:$C$161=$C103),0),
  _xlpm.c, MATCH(CH$8,'3. Enter Indicator Scores'!$D$8:$CZ$8,0),
  _xlpm.v, IFERROR(INDEX('3. Enter Indicator Scores'!$D$10:$CZ$161,_xlpm.r,_xlpm.c),""),
  IF(OR(_xlpm.w="",_xlpm.v=""),"",_xlpm.v*_xlpm.w)
)</f>
        <v/>
      </c>
      <c r="CI103" s="93" t="str" cm="1">
        <f t="array" ref="CI103">_xlfn.LET(
  _xlpm.w, CI$11,
  _xlpm.r, MATCH(1,('3. Enter Indicator Scores'!$B$10:$B$161=$B103)*('3. Enter Indicator Scores'!$C$10:$C$161=$C103),0),
  _xlpm.c, MATCH(CI$8,'3. Enter Indicator Scores'!$D$8:$CZ$8,0),
  _xlpm.v, IFERROR(INDEX('3. Enter Indicator Scores'!$D$10:$CZ$161,_xlpm.r,_xlpm.c),""),
  IF(OR(_xlpm.w="",_xlpm.v=""),"",_xlpm.v*_xlpm.w)
)</f>
        <v/>
      </c>
      <c r="CJ103" s="93" t="str" cm="1">
        <f t="array" ref="CJ103">_xlfn.LET(
  _xlpm.w, CJ$11,
  _xlpm.r, MATCH(1,('3. Enter Indicator Scores'!$B$10:$B$161=$B103)*('3. Enter Indicator Scores'!$C$10:$C$161=$C103),0),
  _xlpm.c, MATCH(CJ$8,'3. Enter Indicator Scores'!$D$8:$CZ$8,0),
  _xlpm.v, IFERROR(INDEX('3. Enter Indicator Scores'!$D$10:$CZ$161,_xlpm.r,_xlpm.c),""),
  IF(OR(_xlpm.w="",_xlpm.v=""),"",_xlpm.v*_xlpm.w)
)</f>
        <v/>
      </c>
      <c r="CK103" s="93" t="str" cm="1">
        <f t="array" ref="CK103">_xlfn.LET(
  _xlpm.w, CK$11,
  _xlpm.r, MATCH(1,('3. Enter Indicator Scores'!$B$10:$B$161=$B103)*('3. Enter Indicator Scores'!$C$10:$C$161=$C103),0),
  _xlpm.c, MATCH(CK$8,'3. Enter Indicator Scores'!$D$8:$CZ$8,0),
  _xlpm.v, IFERROR(INDEX('3. Enter Indicator Scores'!$D$10:$CZ$161,_xlpm.r,_xlpm.c),""),
  IF(OR(_xlpm.w="",_xlpm.v=""),"",_xlpm.v*_xlpm.w)
)</f>
        <v/>
      </c>
      <c r="CL103" s="93" t="str" cm="1">
        <f t="array" ref="CL103">_xlfn.LET(
  _xlpm.w, CL$11,
  _xlpm.r, MATCH(1,('3. Enter Indicator Scores'!$B$10:$B$161=$B103)*('3. Enter Indicator Scores'!$C$10:$C$161=$C103),0),
  _xlpm.c, MATCH(CL$8,'3. Enter Indicator Scores'!$D$8:$CZ$8,0),
  _xlpm.v, IFERROR(INDEX('3. Enter Indicator Scores'!$D$10:$CZ$161,_xlpm.r,_xlpm.c),""),
  IF(OR(_xlpm.w="",_xlpm.v=""),"",_xlpm.v*_xlpm.w)
)</f>
        <v/>
      </c>
      <c r="CM103" s="93" t="str" cm="1">
        <f t="array" ref="CM103">_xlfn.LET(
  _xlpm.w, CM$11,
  _xlpm.r, MATCH(1,('3. Enter Indicator Scores'!$B$10:$B$161=$B103)*('3. Enter Indicator Scores'!$C$10:$C$161=$C103),0),
  _xlpm.c, MATCH(CM$8,'3. Enter Indicator Scores'!$D$8:$CZ$8,0),
  _xlpm.v, IFERROR(INDEX('3. Enter Indicator Scores'!$D$10:$CZ$161,_xlpm.r,_xlpm.c),""),
  IF(OR(_xlpm.w="",_xlpm.v=""),"",_xlpm.v*_xlpm.w)
)</f>
        <v/>
      </c>
      <c r="CN103" s="93" t="str" cm="1">
        <f t="array" ref="CN103">_xlfn.LET(
  _xlpm.w, CN$11,
  _xlpm.r, MATCH(1,('3. Enter Indicator Scores'!$B$10:$B$161=$B103)*('3. Enter Indicator Scores'!$C$10:$C$161=$C103),0),
  _xlpm.c, MATCH(CN$8,'3. Enter Indicator Scores'!$D$8:$CZ$8,0),
  _xlpm.v, IFERROR(INDEX('3. Enter Indicator Scores'!$D$10:$CZ$161,_xlpm.r,_xlpm.c),""),
  IF(OR(_xlpm.w="",_xlpm.v=""),"",_xlpm.v*_xlpm.w)
)</f>
        <v/>
      </c>
      <c r="CO103" s="93" t="str" cm="1">
        <f t="array" ref="CO103">_xlfn.LET(
  _xlpm.w, CO$11,
  _xlpm.r, MATCH(1,('3. Enter Indicator Scores'!$B$10:$B$161=$B103)*('3. Enter Indicator Scores'!$C$10:$C$161=$C103),0),
  _xlpm.c, MATCH(CO$8,'3. Enter Indicator Scores'!$D$8:$CZ$8,0),
  _xlpm.v, IFERROR(INDEX('3. Enter Indicator Scores'!$D$10:$CZ$161,_xlpm.r,_xlpm.c),""),
  IF(OR(_xlpm.w="",_xlpm.v=""),"",_xlpm.v*_xlpm.w)
)</f>
        <v/>
      </c>
      <c r="CP103" s="93" t="str" cm="1">
        <f t="array" ref="CP103">_xlfn.LET(
  _xlpm.w, CP$11,
  _xlpm.r, MATCH(1,('3. Enter Indicator Scores'!$B$10:$B$161=$B103)*('3. Enter Indicator Scores'!$C$10:$C$161=$C103),0),
  _xlpm.c, MATCH(CP$8,'3. Enter Indicator Scores'!$D$8:$CZ$8,0),
  _xlpm.v, IFERROR(INDEX('3. Enter Indicator Scores'!$D$10:$CZ$161,_xlpm.r,_xlpm.c),""),
  IF(OR(_xlpm.w="",_xlpm.v=""),"",_xlpm.v*_xlpm.w)
)</f>
        <v/>
      </c>
      <c r="CQ103" s="93" t="str" cm="1">
        <f t="array" ref="CQ103">_xlfn.LET(
  _xlpm.w, CQ$11,
  _xlpm.r, MATCH(1,('3. Enter Indicator Scores'!$B$10:$B$161=$B103)*('3. Enter Indicator Scores'!$C$10:$C$161=$C103),0),
  _xlpm.c, MATCH(CQ$8,'3. Enter Indicator Scores'!$D$8:$CZ$8,0),
  _xlpm.v, IFERROR(INDEX('3. Enter Indicator Scores'!$D$10:$CZ$161,_xlpm.r,_xlpm.c),""),
  IF(OR(_xlpm.w="",_xlpm.v=""),"",_xlpm.v*_xlpm.w)
)</f>
        <v/>
      </c>
      <c r="CR103" s="93" t="str" cm="1">
        <f t="array" ref="CR103">_xlfn.LET(
  _xlpm.w, CR$11,
  _xlpm.r, MATCH(1,('3. Enter Indicator Scores'!$B$10:$B$161=$B103)*('3. Enter Indicator Scores'!$C$10:$C$161=$C103),0),
  _xlpm.c, MATCH(CR$8,'3. Enter Indicator Scores'!$D$8:$CZ$8,0),
  _xlpm.v, IFERROR(INDEX('3. Enter Indicator Scores'!$D$10:$CZ$161,_xlpm.r,_xlpm.c),""),
  IF(OR(_xlpm.w="",_xlpm.v=""),"",_xlpm.v*_xlpm.w)
)</f>
        <v/>
      </c>
      <c r="CS103" s="93" t="str" cm="1">
        <f t="array" ref="CS103">_xlfn.LET(
  _xlpm.w, CS$11,
  _xlpm.r, MATCH(1,('3. Enter Indicator Scores'!$B$10:$B$161=$B103)*('3. Enter Indicator Scores'!$C$10:$C$161=$C103),0),
  _xlpm.c, MATCH(CS$8,'3. Enter Indicator Scores'!$D$8:$CZ$8,0),
  _xlpm.v, IFERROR(INDEX('3. Enter Indicator Scores'!$D$10:$CZ$161,_xlpm.r,_xlpm.c),""),
  IF(OR(_xlpm.w="",_xlpm.v=""),"",_xlpm.v*_xlpm.w)
)</f>
        <v/>
      </c>
      <c r="CT103" s="93" t="str" cm="1">
        <f t="array" ref="CT103">_xlfn.LET(
  _xlpm.w, CT$11,
  _xlpm.r, MATCH(1,('3. Enter Indicator Scores'!$B$10:$B$161=$B103)*('3. Enter Indicator Scores'!$C$10:$C$161=$C103),0),
  _xlpm.c, MATCH(CT$8,'3. Enter Indicator Scores'!$D$8:$CZ$8,0),
  _xlpm.v, IFERROR(INDEX('3. Enter Indicator Scores'!$D$10:$CZ$161,_xlpm.r,_xlpm.c),""),
  IF(OR(_xlpm.w="",_xlpm.v=""),"",_xlpm.v*_xlpm.w)
)</f>
        <v/>
      </c>
      <c r="CU103" s="93" t="str" cm="1">
        <f t="array" ref="CU103">_xlfn.LET(
  _xlpm.w, CU$11,
  _xlpm.r, MATCH(1,('3. Enter Indicator Scores'!$B$10:$B$161=$B103)*('3. Enter Indicator Scores'!$C$10:$C$161=$C103),0),
  _xlpm.c, MATCH(CU$8,'3. Enter Indicator Scores'!$D$8:$CZ$8,0),
  _xlpm.v, IFERROR(INDEX('3. Enter Indicator Scores'!$D$10:$CZ$161,_xlpm.r,_xlpm.c),""),
  IF(OR(_xlpm.w="",_xlpm.v=""),"",_xlpm.v*_xlpm.w)
)</f>
        <v/>
      </c>
      <c r="CV103" s="93" t="str" cm="1">
        <f t="array" ref="CV103">_xlfn.LET(
  _xlpm.w, CV$11,
  _xlpm.r, MATCH(1,('3. Enter Indicator Scores'!$B$10:$B$161=$B103)*('3. Enter Indicator Scores'!$C$10:$C$161=$C103),0),
  _xlpm.c, MATCH(CV$8,'3. Enter Indicator Scores'!$D$8:$CZ$8,0),
  _xlpm.v, IFERROR(INDEX('3. Enter Indicator Scores'!$D$10:$CZ$161,_xlpm.r,_xlpm.c),""),
  IF(OR(_xlpm.w="",_xlpm.v=""),"",_xlpm.v*_xlpm.w)
)</f>
        <v/>
      </c>
      <c r="CW103" s="93" t="str" cm="1">
        <f t="array" ref="CW103">_xlfn.LET(
  _xlpm.w, CW$11,
  _xlpm.r, MATCH(1,('3. Enter Indicator Scores'!$B$10:$B$161=$B103)*('3. Enter Indicator Scores'!$C$10:$C$161=$C103),0),
  _xlpm.c, MATCH(CW$8,'3. Enter Indicator Scores'!$D$8:$CZ$8,0),
  _xlpm.v, IFERROR(INDEX('3. Enter Indicator Scores'!$D$10:$CZ$161,_xlpm.r,_xlpm.c),""),
  IF(OR(_xlpm.w="",_xlpm.v=""),"",_xlpm.v*_xlpm.w)
)</f>
        <v/>
      </c>
      <c r="CX103" s="93" t="str" cm="1">
        <f t="array" ref="CX103">_xlfn.LET(
  _xlpm.w, CX$11,
  _xlpm.r, MATCH(1,('3. Enter Indicator Scores'!$B$10:$B$161=$B103)*('3. Enter Indicator Scores'!$C$10:$C$161=$C103),0),
  _xlpm.c, MATCH(CX$8,'3. Enter Indicator Scores'!$D$8:$CZ$8,0),
  _xlpm.v, IFERROR(INDEX('3. Enter Indicator Scores'!$D$10:$CZ$161,_xlpm.r,_xlpm.c),""),
  IF(OR(_xlpm.w="",_xlpm.v=""),"",_xlpm.v*_xlpm.w)
)</f>
        <v/>
      </c>
      <c r="CY103" s="93" t="str" cm="1">
        <f t="array" ref="CY103">_xlfn.LET(
  _xlpm.w, CY$11,
  _xlpm.r, MATCH(1,('3. Enter Indicator Scores'!$B$10:$B$161=$B103)*('3. Enter Indicator Scores'!$C$10:$C$161=$C103),0),
  _xlpm.c, MATCH(CY$8,'3. Enter Indicator Scores'!$D$8:$CZ$8,0),
  _xlpm.v, IFERROR(INDEX('3. Enter Indicator Scores'!$D$10:$CZ$161,_xlpm.r,_xlpm.c),""),
  IF(OR(_xlpm.w="",_xlpm.v=""),"",_xlpm.v*_xlpm.w)
)</f>
        <v/>
      </c>
      <c r="CZ103" s="93" t="str" cm="1">
        <f t="array" ref="CZ103">_xlfn.LET(
  _xlpm.w, CZ$11,
  _xlpm.r, MATCH(1,('3. Enter Indicator Scores'!$B$10:$B$161=$B103)*('3. Enter Indicator Scores'!$C$10:$C$161=$C103),0),
  _xlpm.c, MATCH(CZ$8,'3. Enter Indicator Scores'!$D$8:$CZ$8,0),
  _xlpm.v, IFERROR(INDEX('3. Enter Indicator Scores'!$D$10:$CZ$161,_xlpm.r,_xlpm.c),""),
  IF(OR(_xlpm.w="",_xlpm.v=""),"",_xlpm.v*_xlpm.w)
)</f>
        <v/>
      </c>
    </row>
    <row r="104" spans="4:104" x14ac:dyDescent="0.2">
      <c r="D104" s="93" t="str" cm="1">
        <f t="array" ref="D104">_xlfn.LET(
  _xlpm.w, D$11,
  _xlpm.r, MATCH(1,('3. Enter Indicator Scores'!$B$10:$B$161=$B104)*('3. Enter Indicator Scores'!$C$10:$C$161=$C104),0),
  _xlpm.c, MATCH(D$8,'3. Enter Indicator Scores'!$D$8:$CZ$8,0),
  _xlpm.v, IFERROR(INDEX('3. Enter Indicator Scores'!$D$10:$CZ$161,_xlpm.r,_xlpm.c),""),
  IF(OR(_xlpm.w="",_xlpm.v=""),"",_xlpm.v*_xlpm.w)
)</f>
        <v/>
      </c>
      <c r="E104" s="93" t="str" cm="1">
        <f t="array" ref="E104">_xlfn.LET(
  _xlpm.w, E$11,
  _xlpm.r, MATCH(1,('3. Enter Indicator Scores'!$B$10:$B$161=$B104)*('3. Enter Indicator Scores'!$C$10:$C$161=$C104),0),
  _xlpm.c, MATCH(E$8,'3. Enter Indicator Scores'!$D$8:$CZ$8,0),
  _xlpm.v, IFERROR(INDEX('3. Enter Indicator Scores'!$D$10:$CZ$161,_xlpm.r,_xlpm.c),""),
  IF(OR(_xlpm.w="",_xlpm.v=""),"",_xlpm.v*_xlpm.w)
)</f>
        <v/>
      </c>
      <c r="F104" s="93" t="str" cm="1">
        <f t="array" ref="F104">_xlfn.LET(
  _xlpm.w, F$11,
  _xlpm.r, MATCH(1,('3. Enter Indicator Scores'!$B$10:$B$161=$B104)*('3. Enter Indicator Scores'!$C$10:$C$161=$C104),0),
  _xlpm.c, MATCH(F$8,'3. Enter Indicator Scores'!$D$8:$CZ$8,0),
  _xlpm.v, IFERROR(INDEX('3. Enter Indicator Scores'!$D$10:$CZ$161,_xlpm.r,_xlpm.c),""),
  IF(OR(_xlpm.w="",_xlpm.v=""),"",_xlpm.v*_xlpm.w)
)</f>
        <v/>
      </c>
      <c r="G104" s="93" t="str" cm="1">
        <f t="array" ref="G104">_xlfn.LET(
  _xlpm.w, G$11,
  _xlpm.r, MATCH(1,('3. Enter Indicator Scores'!$B$10:$B$161=$B104)*('3. Enter Indicator Scores'!$C$10:$C$161=$C104),0),
  _xlpm.c, MATCH(G$8,'3. Enter Indicator Scores'!$D$8:$CZ$8,0),
  _xlpm.v, IFERROR(INDEX('3. Enter Indicator Scores'!$D$10:$CZ$161,_xlpm.r,_xlpm.c),""),
  IF(OR(_xlpm.w="",_xlpm.v=""),"",_xlpm.v*_xlpm.w)
)</f>
        <v/>
      </c>
      <c r="H104" s="93" t="str" cm="1">
        <f t="array" ref="H104">_xlfn.LET(
  _xlpm.w, H$11,
  _xlpm.r, MATCH(1,('3. Enter Indicator Scores'!$B$10:$B$161=$B104)*('3. Enter Indicator Scores'!$C$10:$C$161=$C104),0),
  _xlpm.c, MATCH(H$8,'3. Enter Indicator Scores'!$D$8:$CZ$8,0),
  _xlpm.v, IFERROR(INDEX('3. Enter Indicator Scores'!$D$10:$CZ$161,_xlpm.r,_xlpm.c),""),
  IF(OR(_xlpm.w="",_xlpm.v=""),"",_xlpm.v*_xlpm.w)
)</f>
        <v/>
      </c>
      <c r="I104" s="93" t="str" cm="1">
        <f t="array" ref="I104">_xlfn.LET(
  _xlpm.w, I$11,
  _xlpm.r, MATCH(1,('3. Enter Indicator Scores'!$B$10:$B$161=$B104)*('3. Enter Indicator Scores'!$C$10:$C$161=$C104),0),
  _xlpm.c, MATCH(I$8,'3. Enter Indicator Scores'!$D$8:$CZ$8,0),
  _xlpm.v, IFERROR(INDEX('3. Enter Indicator Scores'!$D$10:$CZ$161,_xlpm.r,_xlpm.c),""),
  IF(OR(_xlpm.w="",_xlpm.v=""),"",_xlpm.v*_xlpm.w)
)</f>
        <v/>
      </c>
      <c r="J104" s="93" t="str" cm="1">
        <f t="array" ref="J104">_xlfn.LET(
  _xlpm.w, J$11,
  _xlpm.r, MATCH(1,('3. Enter Indicator Scores'!$B$10:$B$161=$B104)*('3. Enter Indicator Scores'!$C$10:$C$161=$C104),0),
  _xlpm.c, MATCH(J$8,'3. Enter Indicator Scores'!$D$8:$CZ$8,0),
  _xlpm.v, IFERROR(INDEX('3. Enter Indicator Scores'!$D$10:$CZ$161,_xlpm.r,_xlpm.c),""),
  IF(OR(_xlpm.w="",_xlpm.v=""),"",_xlpm.v*_xlpm.w)
)</f>
        <v/>
      </c>
      <c r="K104" s="93" t="str" cm="1">
        <f t="array" ref="K104">_xlfn.LET(
  _xlpm.w, K$11,
  _xlpm.r, MATCH(1,('3. Enter Indicator Scores'!$B$10:$B$161=$B104)*('3. Enter Indicator Scores'!$C$10:$C$161=$C104),0),
  _xlpm.c, MATCH(K$8,'3. Enter Indicator Scores'!$D$8:$CZ$8,0),
  _xlpm.v, IFERROR(INDEX('3. Enter Indicator Scores'!$D$10:$CZ$161,_xlpm.r,_xlpm.c),""),
  IF(OR(_xlpm.w="",_xlpm.v=""),"",_xlpm.v*_xlpm.w)
)</f>
        <v/>
      </c>
      <c r="L104" s="93" t="str" cm="1">
        <f t="array" ref="L104">_xlfn.LET(
  _xlpm.w, L$11,
  _xlpm.r, MATCH(1,('3. Enter Indicator Scores'!$B$10:$B$161=$B104)*('3. Enter Indicator Scores'!$C$10:$C$161=$C104),0),
  _xlpm.c, MATCH(L$8,'3. Enter Indicator Scores'!$D$8:$CZ$8,0),
  _xlpm.v, IFERROR(INDEX('3. Enter Indicator Scores'!$D$10:$CZ$161,_xlpm.r,_xlpm.c),""),
  IF(OR(_xlpm.w="",_xlpm.v=""),"",_xlpm.v*_xlpm.w)
)</f>
        <v/>
      </c>
      <c r="M104" s="93" t="str" cm="1">
        <f t="array" ref="M104">_xlfn.LET(
  _xlpm.w, M$11,
  _xlpm.r, MATCH(1,('3. Enter Indicator Scores'!$B$10:$B$161=$B104)*('3. Enter Indicator Scores'!$C$10:$C$161=$C104),0),
  _xlpm.c, MATCH(M$8,'3. Enter Indicator Scores'!$D$8:$CZ$8,0),
  _xlpm.v, IFERROR(INDEX('3. Enter Indicator Scores'!$D$10:$CZ$161,_xlpm.r,_xlpm.c),""),
  IF(OR(_xlpm.w="",_xlpm.v=""),"",_xlpm.v*_xlpm.w)
)</f>
        <v/>
      </c>
      <c r="N104" s="93" t="str" cm="1">
        <f t="array" ref="N104">_xlfn.LET(
  _xlpm.w, N$11,
  _xlpm.r, MATCH(1,('3. Enter Indicator Scores'!$B$10:$B$161=$B104)*('3. Enter Indicator Scores'!$C$10:$C$161=$C104),0),
  _xlpm.c, MATCH(N$8,'3. Enter Indicator Scores'!$D$8:$CZ$8,0),
  _xlpm.v, IFERROR(INDEX('3. Enter Indicator Scores'!$D$10:$CZ$161,_xlpm.r,_xlpm.c),""),
  IF(OR(_xlpm.w="",_xlpm.v=""),"",_xlpm.v*_xlpm.w)
)</f>
        <v/>
      </c>
      <c r="O104" s="93" t="str" cm="1">
        <f t="array" ref="O104">_xlfn.LET(
  _xlpm.w, O$11,
  _xlpm.r, MATCH(1,('3. Enter Indicator Scores'!$B$10:$B$161=$B104)*('3. Enter Indicator Scores'!$C$10:$C$161=$C104),0),
  _xlpm.c, MATCH(O$8,'3. Enter Indicator Scores'!$D$8:$CZ$8,0),
  _xlpm.v, IFERROR(INDEX('3. Enter Indicator Scores'!$D$10:$CZ$161,_xlpm.r,_xlpm.c),""),
  IF(OR(_xlpm.w="",_xlpm.v=""),"",_xlpm.v*_xlpm.w)
)</f>
        <v/>
      </c>
      <c r="P104" s="93" t="str" cm="1">
        <f t="array" ref="P104">_xlfn.LET(
  _xlpm.w, P$11,
  _xlpm.r, MATCH(1,('3. Enter Indicator Scores'!$B$10:$B$161=$B104)*('3. Enter Indicator Scores'!$C$10:$C$161=$C104),0),
  _xlpm.c, MATCH(P$8,'3. Enter Indicator Scores'!$D$8:$CZ$8,0),
  _xlpm.v, IFERROR(INDEX('3. Enter Indicator Scores'!$D$10:$CZ$161,_xlpm.r,_xlpm.c),""),
  IF(OR(_xlpm.w="",_xlpm.v=""),"",_xlpm.v*_xlpm.w)
)</f>
        <v/>
      </c>
      <c r="Q104" s="93" t="str" cm="1">
        <f t="array" ref="Q104">_xlfn.LET(
  _xlpm.w, Q$11,
  _xlpm.r, MATCH(1,('3. Enter Indicator Scores'!$B$10:$B$161=$B104)*('3. Enter Indicator Scores'!$C$10:$C$161=$C104),0),
  _xlpm.c, MATCH(Q$8,'3. Enter Indicator Scores'!$D$8:$CZ$8,0),
  _xlpm.v, IFERROR(INDEX('3. Enter Indicator Scores'!$D$10:$CZ$161,_xlpm.r,_xlpm.c),""),
  IF(OR(_xlpm.w="",_xlpm.v=""),"",_xlpm.v*_xlpm.w)
)</f>
        <v/>
      </c>
      <c r="R104" s="93" t="str" cm="1">
        <f t="array" ref="R104">_xlfn.LET(
  _xlpm.w, R$11,
  _xlpm.r, MATCH(1,('3. Enter Indicator Scores'!$B$10:$B$161=$B104)*('3. Enter Indicator Scores'!$C$10:$C$161=$C104),0),
  _xlpm.c, MATCH(R$8,'3. Enter Indicator Scores'!$D$8:$CZ$8,0),
  _xlpm.v, IFERROR(INDEX('3. Enter Indicator Scores'!$D$10:$CZ$161,_xlpm.r,_xlpm.c),""),
  IF(OR(_xlpm.w="",_xlpm.v=""),"",_xlpm.v*_xlpm.w)
)</f>
        <v/>
      </c>
      <c r="S104" s="93" t="str" cm="1">
        <f t="array" ref="S104">_xlfn.LET(
  _xlpm.w, S$11,
  _xlpm.r, MATCH(1,('3. Enter Indicator Scores'!$B$10:$B$161=$B104)*('3. Enter Indicator Scores'!$C$10:$C$161=$C104),0),
  _xlpm.c, MATCH(S$8,'3. Enter Indicator Scores'!$D$8:$CZ$8,0),
  _xlpm.v, IFERROR(INDEX('3. Enter Indicator Scores'!$D$10:$CZ$161,_xlpm.r,_xlpm.c),""),
  IF(OR(_xlpm.w="",_xlpm.v=""),"",_xlpm.v*_xlpm.w)
)</f>
        <v/>
      </c>
      <c r="T104" s="93" t="str" cm="1">
        <f t="array" ref="T104">_xlfn.LET(
  _xlpm.w, T$11,
  _xlpm.r, MATCH(1,('3. Enter Indicator Scores'!$B$10:$B$161=$B104)*('3. Enter Indicator Scores'!$C$10:$C$161=$C104),0),
  _xlpm.c, MATCH(T$8,'3. Enter Indicator Scores'!$D$8:$CZ$8,0),
  _xlpm.v, IFERROR(INDEX('3. Enter Indicator Scores'!$D$10:$CZ$161,_xlpm.r,_xlpm.c),""),
  IF(OR(_xlpm.w="",_xlpm.v=""),"",_xlpm.v*_xlpm.w)
)</f>
        <v/>
      </c>
      <c r="U104" s="93" t="str" cm="1">
        <f t="array" ref="U104">_xlfn.LET(
  _xlpm.w, U$11,
  _xlpm.r, MATCH(1,('3. Enter Indicator Scores'!$B$10:$B$161=$B104)*('3. Enter Indicator Scores'!$C$10:$C$161=$C104),0),
  _xlpm.c, MATCH(U$8,'3. Enter Indicator Scores'!$D$8:$CZ$8,0),
  _xlpm.v, IFERROR(INDEX('3. Enter Indicator Scores'!$D$10:$CZ$161,_xlpm.r,_xlpm.c),""),
  IF(OR(_xlpm.w="",_xlpm.v=""),"",_xlpm.v*_xlpm.w)
)</f>
        <v/>
      </c>
      <c r="V104" s="93" t="str" cm="1">
        <f t="array" ref="V104">_xlfn.LET(
  _xlpm.w, V$11,
  _xlpm.r, MATCH(1,('3. Enter Indicator Scores'!$B$10:$B$161=$B104)*('3. Enter Indicator Scores'!$C$10:$C$161=$C104),0),
  _xlpm.c, MATCH(V$8,'3. Enter Indicator Scores'!$D$8:$CZ$8,0),
  _xlpm.v, IFERROR(INDEX('3. Enter Indicator Scores'!$D$10:$CZ$161,_xlpm.r,_xlpm.c),""),
  IF(OR(_xlpm.w="",_xlpm.v=""),"",_xlpm.v*_xlpm.w)
)</f>
        <v/>
      </c>
      <c r="W104" s="93" t="str" cm="1">
        <f t="array" ref="W104">_xlfn.LET(
  _xlpm.w, W$11,
  _xlpm.r, MATCH(1,('3. Enter Indicator Scores'!$B$10:$B$161=$B104)*('3. Enter Indicator Scores'!$C$10:$C$161=$C104),0),
  _xlpm.c, MATCH(W$8,'3. Enter Indicator Scores'!$D$8:$CZ$8,0),
  _xlpm.v, IFERROR(INDEX('3. Enter Indicator Scores'!$D$10:$CZ$161,_xlpm.r,_xlpm.c),""),
  IF(OR(_xlpm.w="",_xlpm.v=""),"",_xlpm.v*_xlpm.w)
)</f>
        <v/>
      </c>
      <c r="X104" s="93" t="str" cm="1">
        <f t="array" ref="X104">_xlfn.LET(
  _xlpm.w, X$11,
  _xlpm.r, MATCH(1,('3. Enter Indicator Scores'!$B$10:$B$161=$B104)*('3. Enter Indicator Scores'!$C$10:$C$161=$C104),0),
  _xlpm.c, MATCH(X$8,'3. Enter Indicator Scores'!$D$8:$CZ$8,0),
  _xlpm.v, IFERROR(INDEX('3. Enter Indicator Scores'!$D$10:$CZ$161,_xlpm.r,_xlpm.c),""),
  IF(OR(_xlpm.w="",_xlpm.v=""),"",_xlpm.v*_xlpm.w)
)</f>
        <v/>
      </c>
      <c r="Y104" s="93" t="str" cm="1">
        <f t="array" ref="Y104">_xlfn.LET(
  _xlpm.w, Y$11,
  _xlpm.r, MATCH(1,('3. Enter Indicator Scores'!$B$10:$B$161=$B104)*('3. Enter Indicator Scores'!$C$10:$C$161=$C104),0),
  _xlpm.c, MATCH(Y$8,'3. Enter Indicator Scores'!$D$8:$CZ$8,0),
  _xlpm.v, IFERROR(INDEX('3. Enter Indicator Scores'!$D$10:$CZ$161,_xlpm.r,_xlpm.c),""),
  IF(OR(_xlpm.w="",_xlpm.v=""),"",_xlpm.v*_xlpm.w)
)</f>
        <v/>
      </c>
      <c r="Z104" s="93" t="str" cm="1">
        <f t="array" ref="Z104">_xlfn.LET(
  _xlpm.w, Z$11,
  _xlpm.r, MATCH(1,('3. Enter Indicator Scores'!$B$10:$B$161=$B104)*('3. Enter Indicator Scores'!$C$10:$C$161=$C104),0),
  _xlpm.c, MATCH(Z$8,'3. Enter Indicator Scores'!$D$8:$CZ$8,0),
  _xlpm.v, IFERROR(INDEX('3. Enter Indicator Scores'!$D$10:$CZ$161,_xlpm.r,_xlpm.c),""),
  IF(OR(_xlpm.w="",_xlpm.v=""),"",_xlpm.v*_xlpm.w)
)</f>
        <v/>
      </c>
      <c r="AA104" s="93" t="str" cm="1">
        <f t="array" ref="AA104">_xlfn.LET(
  _xlpm.w, AA$11,
  _xlpm.r, MATCH(1,('3. Enter Indicator Scores'!$B$10:$B$161=$B104)*('3. Enter Indicator Scores'!$C$10:$C$161=$C104),0),
  _xlpm.c, MATCH(AA$8,'3. Enter Indicator Scores'!$D$8:$CZ$8,0),
  _xlpm.v, IFERROR(INDEX('3. Enter Indicator Scores'!$D$10:$CZ$161,_xlpm.r,_xlpm.c),""),
  IF(OR(_xlpm.w="",_xlpm.v=""),"",_xlpm.v*_xlpm.w)
)</f>
        <v/>
      </c>
      <c r="AB104" s="93" t="str" cm="1">
        <f t="array" ref="AB104">_xlfn.LET(
  _xlpm.w, AB$11,
  _xlpm.r, MATCH(1,('3. Enter Indicator Scores'!$B$10:$B$161=$B104)*('3. Enter Indicator Scores'!$C$10:$C$161=$C104),0),
  _xlpm.c, MATCH(AB$8,'3. Enter Indicator Scores'!$D$8:$CZ$8,0),
  _xlpm.v, IFERROR(INDEX('3. Enter Indicator Scores'!$D$10:$CZ$161,_xlpm.r,_xlpm.c),""),
  IF(OR(_xlpm.w="",_xlpm.v=""),"",_xlpm.v*_xlpm.w)
)</f>
        <v/>
      </c>
      <c r="AC104" s="93" t="str" cm="1">
        <f t="array" ref="AC104">_xlfn.LET(
  _xlpm.w, AC$11,
  _xlpm.r, MATCH(1,('3. Enter Indicator Scores'!$B$10:$B$161=$B104)*('3. Enter Indicator Scores'!$C$10:$C$161=$C104),0),
  _xlpm.c, MATCH(AC$8,'3. Enter Indicator Scores'!$D$8:$CZ$8,0),
  _xlpm.v, IFERROR(INDEX('3. Enter Indicator Scores'!$D$10:$CZ$161,_xlpm.r,_xlpm.c),""),
  IF(OR(_xlpm.w="",_xlpm.v=""),"",_xlpm.v*_xlpm.w)
)</f>
        <v/>
      </c>
      <c r="AD104" s="93" t="str" cm="1">
        <f t="array" ref="AD104">_xlfn.LET(
  _xlpm.w, AD$11,
  _xlpm.r, MATCH(1,('3. Enter Indicator Scores'!$B$10:$B$161=$B104)*('3. Enter Indicator Scores'!$C$10:$C$161=$C104),0),
  _xlpm.c, MATCH(AD$8,'3. Enter Indicator Scores'!$D$8:$CZ$8,0),
  _xlpm.v, IFERROR(INDEX('3. Enter Indicator Scores'!$D$10:$CZ$161,_xlpm.r,_xlpm.c),""),
  IF(OR(_xlpm.w="",_xlpm.v=""),"",_xlpm.v*_xlpm.w)
)</f>
        <v/>
      </c>
      <c r="AE104" s="93" t="str" cm="1">
        <f t="array" ref="AE104">_xlfn.LET(
  _xlpm.w, AE$11,
  _xlpm.r, MATCH(1,('3. Enter Indicator Scores'!$B$10:$B$161=$B104)*('3. Enter Indicator Scores'!$C$10:$C$161=$C104),0),
  _xlpm.c, MATCH(AE$8,'3. Enter Indicator Scores'!$D$8:$CZ$8,0),
  _xlpm.v, IFERROR(INDEX('3. Enter Indicator Scores'!$D$10:$CZ$161,_xlpm.r,_xlpm.c),""),
  IF(OR(_xlpm.w="",_xlpm.v=""),"",_xlpm.v*_xlpm.w)
)</f>
        <v/>
      </c>
      <c r="AF104" s="93" t="str" cm="1">
        <f t="array" ref="AF104">_xlfn.LET(
  _xlpm.w, AF$11,
  _xlpm.r, MATCH(1,('3. Enter Indicator Scores'!$B$10:$B$161=$B104)*('3. Enter Indicator Scores'!$C$10:$C$161=$C104),0),
  _xlpm.c, MATCH(AF$8,'3. Enter Indicator Scores'!$D$8:$CZ$8,0),
  _xlpm.v, IFERROR(INDEX('3. Enter Indicator Scores'!$D$10:$CZ$161,_xlpm.r,_xlpm.c),""),
  IF(OR(_xlpm.w="",_xlpm.v=""),"",_xlpm.v*_xlpm.w)
)</f>
        <v/>
      </c>
      <c r="AG104" s="93" t="str" cm="1">
        <f t="array" ref="AG104">_xlfn.LET(
  _xlpm.w, AG$11,
  _xlpm.r, MATCH(1,('3. Enter Indicator Scores'!$B$10:$B$161=$B104)*('3. Enter Indicator Scores'!$C$10:$C$161=$C104),0),
  _xlpm.c, MATCH(AG$8,'3. Enter Indicator Scores'!$D$8:$CZ$8,0),
  _xlpm.v, IFERROR(INDEX('3. Enter Indicator Scores'!$D$10:$CZ$161,_xlpm.r,_xlpm.c),""),
  IF(OR(_xlpm.w="",_xlpm.v=""),"",_xlpm.v*_xlpm.w)
)</f>
        <v/>
      </c>
      <c r="AH104" s="93" t="str" cm="1">
        <f t="array" ref="AH104">_xlfn.LET(
  _xlpm.w, AH$11,
  _xlpm.r, MATCH(1,('3. Enter Indicator Scores'!$B$10:$B$161=$B104)*('3. Enter Indicator Scores'!$C$10:$C$161=$C104),0),
  _xlpm.c, MATCH(AH$8,'3. Enter Indicator Scores'!$D$8:$CZ$8,0),
  _xlpm.v, IFERROR(INDEX('3. Enter Indicator Scores'!$D$10:$CZ$161,_xlpm.r,_xlpm.c),""),
  IF(OR(_xlpm.w="",_xlpm.v=""),"",_xlpm.v*_xlpm.w)
)</f>
        <v/>
      </c>
      <c r="AI104" s="93" t="str" cm="1">
        <f t="array" ref="AI104">_xlfn.LET(
  _xlpm.w, AI$11,
  _xlpm.r, MATCH(1,('3. Enter Indicator Scores'!$B$10:$B$161=$B104)*('3. Enter Indicator Scores'!$C$10:$C$161=$C104),0),
  _xlpm.c, MATCH(AI$8,'3. Enter Indicator Scores'!$D$8:$CZ$8,0),
  _xlpm.v, IFERROR(INDEX('3. Enter Indicator Scores'!$D$10:$CZ$161,_xlpm.r,_xlpm.c),""),
  IF(OR(_xlpm.w="",_xlpm.v=""),"",_xlpm.v*_xlpm.w)
)</f>
        <v/>
      </c>
      <c r="AJ104" s="93" t="str" cm="1">
        <f t="array" ref="AJ104">_xlfn.LET(
  _xlpm.w, AJ$11,
  _xlpm.r, MATCH(1,('3. Enter Indicator Scores'!$B$10:$B$161=$B104)*('3. Enter Indicator Scores'!$C$10:$C$161=$C104),0),
  _xlpm.c, MATCH(AJ$8,'3. Enter Indicator Scores'!$D$8:$CZ$8,0),
  _xlpm.v, IFERROR(INDEX('3. Enter Indicator Scores'!$D$10:$CZ$161,_xlpm.r,_xlpm.c),""),
  IF(OR(_xlpm.w="",_xlpm.v=""),"",_xlpm.v*_xlpm.w)
)</f>
        <v/>
      </c>
      <c r="AK104" s="93" t="str" cm="1">
        <f t="array" ref="AK104">_xlfn.LET(
  _xlpm.w, AK$11,
  _xlpm.r, MATCH(1,('3. Enter Indicator Scores'!$B$10:$B$161=$B104)*('3. Enter Indicator Scores'!$C$10:$C$161=$C104),0),
  _xlpm.c, MATCH(AK$8,'3. Enter Indicator Scores'!$D$8:$CZ$8,0),
  _xlpm.v, IFERROR(INDEX('3. Enter Indicator Scores'!$D$10:$CZ$161,_xlpm.r,_xlpm.c),""),
  IF(OR(_xlpm.w="",_xlpm.v=""),"",_xlpm.v*_xlpm.w)
)</f>
        <v/>
      </c>
      <c r="AL104" s="93" t="str" cm="1">
        <f t="array" ref="AL104">_xlfn.LET(
  _xlpm.w, AL$11,
  _xlpm.r, MATCH(1,('3. Enter Indicator Scores'!$B$10:$B$161=$B104)*('3. Enter Indicator Scores'!$C$10:$C$161=$C104),0),
  _xlpm.c, MATCH(AL$8,'3. Enter Indicator Scores'!$D$8:$CZ$8,0),
  _xlpm.v, IFERROR(INDEX('3. Enter Indicator Scores'!$D$10:$CZ$161,_xlpm.r,_xlpm.c),""),
  IF(OR(_xlpm.w="",_xlpm.v=""),"",_xlpm.v*_xlpm.w)
)</f>
        <v/>
      </c>
      <c r="AM104" s="93" t="str" cm="1">
        <f t="array" ref="AM104">_xlfn.LET(
  _xlpm.w, AM$11,
  _xlpm.r, MATCH(1,('3. Enter Indicator Scores'!$B$10:$B$161=$B104)*('3. Enter Indicator Scores'!$C$10:$C$161=$C104),0),
  _xlpm.c, MATCH(AM$8,'3. Enter Indicator Scores'!$D$8:$CZ$8,0),
  _xlpm.v, IFERROR(INDEX('3. Enter Indicator Scores'!$D$10:$CZ$161,_xlpm.r,_xlpm.c),""),
  IF(OR(_xlpm.w="",_xlpm.v=""),"",_xlpm.v*_xlpm.w)
)</f>
        <v/>
      </c>
      <c r="AN104" s="93" t="str" cm="1">
        <f t="array" ref="AN104">_xlfn.LET(
  _xlpm.w, AN$11,
  _xlpm.r, MATCH(1,('3. Enter Indicator Scores'!$B$10:$B$161=$B104)*('3. Enter Indicator Scores'!$C$10:$C$161=$C104),0),
  _xlpm.c, MATCH(AN$8,'3. Enter Indicator Scores'!$D$8:$CZ$8,0),
  _xlpm.v, IFERROR(INDEX('3. Enter Indicator Scores'!$D$10:$CZ$161,_xlpm.r,_xlpm.c),""),
  IF(OR(_xlpm.w="",_xlpm.v=""),"",_xlpm.v*_xlpm.w)
)</f>
        <v/>
      </c>
      <c r="AO104" s="93" t="str" cm="1">
        <f t="array" ref="AO104">_xlfn.LET(
  _xlpm.w, AO$11,
  _xlpm.r, MATCH(1,('3. Enter Indicator Scores'!$B$10:$B$161=$B104)*('3. Enter Indicator Scores'!$C$10:$C$161=$C104),0),
  _xlpm.c, MATCH(AO$8,'3. Enter Indicator Scores'!$D$8:$CZ$8,0),
  _xlpm.v, IFERROR(INDEX('3. Enter Indicator Scores'!$D$10:$CZ$161,_xlpm.r,_xlpm.c),""),
  IF(OR(_xlpm.w="",_xlpm.v=""),"",_xlpm.v*_xlpm.w)
)</f>
        <v/>
      </c>
      <c r="AP104" s="93" t="str" cm="1">
        <f t="array" ref="AP104">_xlfn.LET(
  _xlpm.w, AP$11,
  _xlpm.r, MATCH(1,('3. Enter Indicator Scores'!$B$10:$B$161=$B104)*('3. Enter Indicator Scores'!$C$10:$C$161=$C104),0),
  _xlpm.c, MATCH(AP$8,'3. Enter Indicator Scores'!$D$8:$CZ$8,0),
  _xlpm.v, IFERROR(INDEX('3. Enter Indicator Scores'!$D$10:$CZ$161,_xlpm.r,_xlpm.c),""),
  IF(OR(_xlpm.w="",_xlpm.v=""),"",_xlpm.v*_xlpm.w)
)</f>
        <v/>
      </c>
      <c r="AQ104" s="93" t="str" cm="1">
        <f t="array" ref="AQ104">_xlfn.LET(
  _xlpm.w, AQ$11,
  _xlpm.r, MATCH(1,('3. Enter Indicator Scores'!$B$10:$B$161=$B104)*('3. Enter Indicator Scores'!$C$10:$C$161=$C104),0),
  _xlpm.c, MATCH(AQ$8,'3. Enter Indicator Scores'!$D$8:$CZ$8,0),
  _xlpm.v, IFERROR(INDEX('3. Enter Indicator Scores'!$D$10:$CZ$161,_xlpm.r,_xlpm.c),""),
  IF(OR(_xlpm.w="",_xlpm.v=""),"",_xlpm.v*_xlpm.w)
)</f>
        <v/>
      </c>
      <c r="AR104" s="93" t="str" cm="1">
        <f t="array" ref="AR104">_xlfn.LET(
  _xlpm.w, AR$11,
  _xlpm.r, MATCH(1,('3. Enter Indicator Scores'!$B$10:$B$161=$B104)*('3. Enter Indicator Scores'!$C$10:$C$161=$C104),0),
  _xlpm.c, MATCH(AR$8,'3. Enter Indicator Scores'!$D$8:$CZ$8,0),
  _xlpm.v, IFERROR(INDEX('3. Enter Indicator Scores'!$D$10:$CZ$161,_xlpm.r,_xlpm.c),""),
  IF(OR(_xlpm.w="",_xlpm.v=""),"",_xlpm.v*_xlpm.w)
)</f>
        <v/>
      </c>
      <c r="AS104" s="93" t="str" cm="1">
        <f t="array" ref="AS104">_xlfn.LET(
  _xlpm.w, AS$11,
  _xlpm.r, MATCH(1,('3. Enter Indicator Scores'!$B$10:$B$161=$B104)*('3. Enter Indicator Scores'!$C$10:$C$161=$C104),0),
  _xlpm.c, MATCH(AS$8,'3. Enter Indicator Scores'!$D$8:$CZ$8,0),
  _xlpm.v, IFERROR(INDEX('3. Enter Indicator Scores'!$D$10:$CZ$161,_xlpm.r,_xlpm.c),""),
  IF(OR(_xlpm.w="",_xlpm.v=""),"",_xlpm.v*_xlpm.w)
)</f>
        <v/>
      </c>
      <c r="AT104" s="93" t="str" cm="1">
        <f t="array" ref="AT104">_xlfn.LET(
  _xlpm.w, AT$11,
  _xlpm.r, MATCH(1,('3. Enter Indicator Scores'!$B$10:$B$161=$B104)*('3. Enter Indicator Scores'!$C$10:$C$161=$C104),0),
  _xlpm.c, MATCH(AT$8,'3. Enter Indicator Scores'!$D$8:$CZ$8,0),
  _xlpm.v, IFERROR(INDEX('3. Enter Indicator Scores'!$D$10:$CZ$161,_xlpm.r,_xlpm.c),""),
  IF(OR(_xlpm.w="",_xlpm.v=""),"",_xlpm.v*_xlpm.w)
)</f>
        <v/>
      </c>
      <c r="AU104" s="93" t="str" cm="1">
        <f t="array" ref="AU104">_xlfn.LET(
  _xlpm.w, AU$11,
  _xlpm.r, MATCH(1,('3. Enter Indicator Scores'!$B$10:$B$161=$B104)*('3. Enter Indicator Scores'!$C$10:$C$161=$C104),0),
  _xlpm.c, MATCH(AU$8,'3. Enter Indicator Scores'!$D$8:$CZ$8,0),
  _xlpm.v, IFERROR(INDEX('3. Enter Indicator Scores'!$D$10:$CZ$161,_xlpm.r,_xlpm.c),""),
  IF(OR(_xlpm.w="",_xlpm.v=""),"",_xlpm.v*_xlpm.w)
)</f>
        <v/>
      </c>
      <c r="AV104" s="93" t="str" cm="1">
        <f t="array" ref="AV104">_xlfn.LET(
  _xlpm.w, AV$11,
  _xlpm.r, MATCH(1,('3. Enter Indicator Scores'!$B$10:$B$161=$B104)*('3. Enter Indicator Scores'!$C$10:$C$161=$C104),0),
  _xlpm.c, MATCH(AV$8,'3. Enter Indicator Scores'!$D$8:$CZ$8,0),
  _xlpm.v, IFERROR(INDEX('3. Enter Indicator Scores'!$D$10:$CZ$161,_xlpm.r,_xlpm.c),""),
  IF(OR(_xlpm.w="",_xlpm.v=""),"",_xlpm.v*_xlpm.w)
)</f>
        <v/>
      </c>
      <c r="AW104" s="93" t="str" cm="1">
        <f t="array" ref="AW104">_xlfn.LET(
  _xlpm.w, AW$11,
  _xlpm.r, MATCH(1,('3. Enter Indicator Scores'!$B$10:$B$161=$B104)*('3. Enter Indicator Scores'!$C$10:$C$161=$C104),0),
  _xlpm.c, MATCH(AW$8,'3. Enter Indicator Scores'!$D$8:$CZ$8,0),
  _xlpm.v, IFERROR(INDEX('3. Enter Indicator Scores'!$D$10:$CZ$161,_xlpm.r,_xlpm.c),""),
  IF(OR(_xlpm.w="",_xlpm.v=""),"",_xlpm.v*_xlpm.w)
)</f>
        <v/>
      </c>
      <c r="AX104" s="93" t="str" cm="1">
        <f t="array" ref="AX104">_xlfn.LET(
  _xlpm.w, AX$11,
  _xlpm.r, MATCH(1,('3. Enter Indicator Scores'!$B$10:$B$161=$B104)*('3. Enter Indicator Scores'!$C$10:$C$161=$C104),0),
  _xlpm.c, MATCH(AX$8,'3. Enter Indicator Scores'!$D$8:$CZ$8,0),
  _xlpm.v, IFERROR(INDEX('3. Enter Indicator Scores'!$D$10:$CZ$161,_xlpm.r,_xlpm.c),""),
  IF(OR(_xlpm.w="",_xlpm.v=""),"",_xlpm.v*_xlpm.w)
)</f>
        <v/>
      </c>
      <c r="AY104" s="93" t="str" cm="1">
        <f t="array" ref="AY104">_xlfn.LET(
  _xlpm.w, AY$11,
  _xlpm.r, MATCH(1,('3. Enter Indicator Scores'!$B$10:$B$161=$B104)*('3. Enter Indicator Scores'!$C$10:$C$161=$C104),0),
  _xlpm.c, MATCH(AY$8,'3. Enter Indicator Scores'!$D$8:$CZ$8,0),
  _xlpm.v, IFERROR(INDEX('3. Enter Indicator Scores'!$D$10:$CZ$161,_xlpm.r,_xlpm.c),""),
  IF(OR(_xlpm.w="",_xlpm.v=""),"",_xlpm.v*_xlpm.w)
)</f>
        <v/>
      </c>
      <c r="AZ104" s="93" t="str" cm="1">
        <f t="array" ref="AZ104">_xlfn.LET(
  _xlpm.w, AZ$11,
  _xlpm.r, MATCH(1,('3. Enter Indicator Scores'!$B$10:$B$161=$B104)*('3. Enter Indicator Scores'!$C$10:$C$161=$C104),0),
  _xlpm.c, MATCH(AZ$8,'3. Enter Indicator Scores'!$D$8:$CZ$8,0),
  _xlpm.v, IFERROR(INDEX('3. Enter Indicator Scores'!$D$10:$CZ$161,_xlpm.r,_xlpm.c),""),
  IF(OR(_xlpm.w="",_xlpm.v=""),"",_xlpm.v*_xlpm.w)
)</f>
        <v/>
      </c>
      <c r="BA104" s="93" t="str" cm="1">
        <f t="array" ref="BA104">_xlfn.LET(
  _xlpm.w, BA$11,
  _xlpm.r, MATCH(1,('3. Enter Indicator Scores'!$B$10:$B$161=$B104)*('3. Enter Indicator Scores'!$C$10:$C$161=$C104),0),
  _xlpm.c, MATCH(BA$8,'3. Enter Indicator Scores'!$D$8:$CZ$8,0),
  _xlpm.v, IFERROR(INDEX('3. Enter Indicator Scores'!$D$10:$CZ$161,_xlpm.r,_xlpm.c),""),
  IF(OR(_xlpm.w="",_xlpm.v=""),"",_xlpm.v*_xlpm.w)
)</f>
        <v/>
      </c>
      <c r="BB104" s="93" t="str" cm="1">
        <f t="array" ref="BB104">_xlfn.LET(
  _xlpm.w, BB$11,
  _xlpm.r, MATCH(1,('3. Enter Indicator Scores'!$B$10:$B$161=$B104)*('3. Enter Indicator Scores'!$C$10:$C$161=$C104),0),
  _xlpm.c, MATCH(BB$8,'3. Enter Indicator Scores'!$D$8:$CZ$8,0),
  _xlpm.v, IFERROR(INDEX('3. Enter Indicator Scores'!$D$10:$CZ$161,_xlpm.r,_xlpm.c),""),
  IF(OR(_xlpm.w="",_xlpm.v=""),"",_xlpm.v*_xlpm.w)
)</f>
        <v/>
      </c>
      <c r="BC104" s="93" t="str" cm="1">
        <f t="array" ref="BC104">_xlfn.LET(
  _xlpm.w, BC$11,
  _xlpm.r, MATCH(1,('3. Enter Indicator Scores'!$B$10:$B$161=$B104)*('3. Enter Indicator Scores'!$C$10:$C$161=$C104),0),
  _xlpm.c, MATCH(BC$8,'3. Enter Indicator Scores'!$D$8:$CZ$8,0),
  _xlpm.v, IFERROR(INDEX('3. Enter Indicator Scores'!$D$10:$CZ$161,_xlpm.r,_xlpm.c),""),
  IF(OR(_xlpm.w="",_xlpm.v=""),"",_xlpm.v*_xlpm.w)
)</f>
        <v/>
      </c>
      <c r="BD104" s="93" t="str" cm="1">
        <f t="array" ref="BD104">_xlfn.LET(
  _xlpm.w, BD$11,
  _xlpm.r, MATCH(1,('3. Enter Indicator Scores'!$B$10:$B$161=$B104)*('3. Enter Indicator Scores'!$C$10:$C$161=$C104),0),
  _xlpm.c, MATCH(BD$8,'3. Enter Indicator Scores'!$D$8:$CZ$8,0),
  _xlpm.v, IFERROR(INDEX('3. Enter Indicator Scores'!$D$10:$CZ$161,_xlpm.r,_xlpm.c),""),
  IF(OR(_xlpm.w="",_xlpm.v=""),"",_xlpm.v*_xlpm.w)
)</f>
        <v/>
      </c>
      <c r="BE104" s="93" t="str" cm="1">
        <f t="array" ref="BE104">_xlfn.LET(
  _xlpm.w, BE$11,
  _xlpm.r, MATCH(1,('3. Enter Indicator Scores'!$B$10:$B$161=$B104)*('3. Enter Indicator Scores'!$C$10:$C$161=$C104),0),
  _xlpm.c, MATCH(BE$8,'3. Enter Indicator Scores'!$D$8:$CZ$8,0),
  _xlpm.v, IFERROR(INDEX('3. Enter Indicator Scores'!$D$10:$CZ$161,_xlpm.r,_xlpm.c),""),
  IF(OR(_xlpm.w="",_xlpm.v=""),"",_xlpm.v*_xlpm.w)
)</f>
        <v/>
      </c>
      <c r="BF104" s="93" t="str" cm="1">
        <f t="array" ref="BF104">_xlfn.LET(
  _xlpm.w, BF$11,
  _xlpm.r, MATCH(1,('3. Enter Indicator Scores'!$B$10:$B$161=$B104)*('3. Enter Indicator Scores'!$C$10:$C$161=$C104),0),
  _xlpm.c, MATCH(BF$8,'3. Enter Indicator Scores'!$D$8:$CZ$8,0),
  _xlpm.v, IFERROR(INDEX('3. Enter Indicator Scores'!$D$10:$CZ$161,_xlpm.r,_xlpm.c),""),
  IF(OR(_xlpm.w="",_xlpm.v=""),"",_xlpm.v*_xlpm.w)
)</f>
        <v/>
      </c>
      <c r="BG104" s="93" t="str" cm="1">
        <f t="array" ref="BG104">_xlfn.LET(
  _xlpm.w, BG$11,
  _xlpm.r, MATCH(1,('3. Enter Indicator Scores'!$B$10:$B$161=$B104)*('3. Enter Indicator Scores'!$C$10:$C$161=$C104),0),
  _xlpm.c, MATCH(BG$8,'3. Enter Indicator Scores'!$D$8:$CZ$8,0),
  _xlpm.v, IFERROR(INDEX('3. Enter Indicator Scores'!$D$10:$CZ$161,_xlpm.r,_xlpm.c),""),
  IF(OR(_xlpm.w="",_xlpm.v=""),"",_xlpm.v*_xlpm.w)
)</f>
        <v/>
      </c>
      <c r="BH104" s="93" t="str" cm="1">
        <f t="array" ref="BH104">_xlfn.LET(
  _xlpm.w, BH$11,
  _xlpm.r, MATCH(1,('3. Enter Indicator Scores'!$B$10:$B$161=$B104)*('3. Enter Indicator Scores'!$C$10:$C$161=$C104),0),
  _xlpm.c, MATCH(BH$8,'3. Enter Indicator Scores'!$D$8:$CZ$8,0),
  _xlpm.v, IFERROR(INDEX('3. Enter Indicator Scores'!$D$10:$CZ$161,_xlpm.r,_xlpm.c),""),
  IF(OR(_xlpm.w="",_xlpm.v=""),"",_xlpm.v*_xlpm.w)
)</f>
        <v/>
      </c>
      <c r="BI104" s="93" t="str" cm="1">
        <f t="array" ref="BI104">_xlfn.LET(
  _xlpm.w, BI$11,
  _xlpm.r, MATCH(1,('3. Enter Indicator Scores'!$B$10:$B$161=$B104)*('3. Enter Indicator Scores'!$C$10:$C$161=$C104),0),
  _xlpm.c, MATCH(BI$8,'3. Enter Indicator Scores'!$D$8:$CZ$8,0),
  _xlpm.v, IFERROR(INDEX('3. Enter Indicator Scores'!$D$10:$CZ$161,_xlpm.r,_xlpm.c),""),
  IF(OR(_xlpm.w="",_xlpm.v=""),"",_xlpm.v*_xlpm.w)
)</f>
        <v/>
      </c>
      <c r="BJ104" s="93" t="str" cm="1">
        <f t="array" ref="BJ104">_xlfn.LET(
  _xlpm.w, BJ$11,
  _xlpm.r, MATCH(1,('3. Enter Indicator Scores'!$B$10:$B$161=$B104)*('3. Enter Indicator Scores'!$C$10:$C$161=$C104),0),
  _xlpm.c, MATCH(BJ$8,'3. Enter Indicator Scores'!$D$8:$CZ$8,0),
  _xlpm.v, IFERROR(INDEX('3. Enter Indicator Scores'!$D$10:$CZ$161,_xlpm.r,_xlpm.c),""),
  IF(OR(_xlpm.w="",_xlpm.v=""),"",_xlpm.v*_xlpm.w)
)</f>
        <v/>
      </c>
      <c r="BK104" s="93" t="str" cm="1">
        <f t="array" ref="BK104">_xlfn.LET(
  _xlpm.w, BK$11,
  _xlpm.r, MATCH(1,('3. Enter Indicator Scores'!$B$10:$B$161=$B104)*('3. Enter Indicator Scores'!$C$10:$C$161=$C104),0),
  _xlpm.c, MATCH(BK$8,'3. Enter Indicator Scores'!$D$8:$CZ$8,0),
  _xlpm.v, IFERROR(INDEX('3. Enter Indicator Scores'!$D$10:$CZ$161,_xlpm.r,_xlpm.c),""),
  IF(OR(_xlpm.w="",_xlpm.v=""),"",_xlpm.v*_xlpm.w)
)</f>
        <v/>
      </c>
      <c r="BL104" s="93" t="str" cm="1">
        <f t="array" ref="BL104">_xlfn.LET(
  _xlpm.w, BL$11,
  _xlpm.r, MATCH(1,('3. Enter Indicator Scores'!$B$10:$B$161=$B104)*('3. Enter Indicator Scores'!$C$10:$C$161=$C104),0),
  _xlpm.c, MATCH(BL$8,'3. Enter Indicator Scores'!$D$8:$CZ$8,0),
  _xlpm.v, IFERROR(INDEX('3. Enter Indicator Scores'!$D$10:$CZ$161,_xlpm.r,_xlpm.c),""),
  IF(OR(_xlpm.w="",_xlpm.v=""),"",_xlpm.v*_xlpm.w)
)</f>
        <v/>
      </c>
      <c r="BM104" s="93" t="str" cm="1">
        <f t="array" ref="BM104">_xlfn.LET(
  _xlpm.w, BM$11,
  _xlpm.r, MATCH(1,('3. Enter Indicator Scores'!$B$10:$B$161=$B104)*('3. Enter Indicator Scores'!$C$10:$C$161=$C104),0),
  _xlpm.c, MATCH(BM$8,'3. Enter Indicator Scores'!$D$8:$CZ$8,0),
  _xlpm.v, IFERROR(INDEX('3. Enter Indicator Scores'!$D$10:$CZ$161,_xlpm.r,_xlpm.c),""),
  IF(OR(_xlpm.w="",_xlpm.v=""),"",_xlpm.v*_xlpm.w)
)</f>
        <v/>
      </c>
      <c r="BN104" s="93" t="str" cm="1">
        <f t="array" ref="BN104">_xlfn.LET(
  _xlpm.w, BN$11,
  _xlpm.r, MATCH(1,('3. Enter Indicator Scores'!$B$10:$B$161=$B104)*('3. Enter Indicator Scores'!$C$10:$C$161=$C104),0),
  _xlpm.c, MATCH(BN$8,'3. Enter Indicator Scores'!$D$8:$CZ$8,0),
  _xlpm.v, IFERROR(INDEX('3. Enter Indicator Scores'!$D$10:$CZ$161,_xlpm.r,_xlpm.c),""),
  IF(OR(_xlpm.w="",_xlpm.v=""),"",_xlpm.v*_xlpm.w)
)</f>
        <v/>
      </c>
      <c r="BO104" s="93" t="str" cm="1">
        <f t="array" ref="BO104">_xlfn.LET(
  _xlpm.w, BO$11,
  _xlpm.r, MATCH(1,('3. Enter Indicator Scores'!$B$10:$B$161=$B104)*('3. Enter Indicator Scores'!$C$10:$C$161=$C104),0),
  _xlpm.c, MATCH(BO$8,'3. Enter Indicator Scores'!$D$8:$CZ$8,0),
  _xlpm.v, IFERROR(INDEX('3. Enter Indicator Scores'!$D$10:$CZ$161,_xlpm.r,_xlpm.c),""),
  IF(OR(_xlpm.w="",_xlpm.v=""),"",_xlpm.v*_xlpm.w)
)</f>
        <v/>
      </c>
      <c r="BP104" s="93" t="str" cm="1">
        <f t="array" ref="BP104">_xlfn.LET(
  _xlpm.w, BP$11,
  _xlpm.r, MATCH(1,('3. Enter Indicator Scores'!$B$10:$B$161=$B104)*('3. Enter Indicator Scores'!$C$10:$C$161=$C104),0),
  _xlpm.c, MATCH(BP$8,'3. Enter Indicator Scores'!$D$8:$CZ$8,0),
  _xlpm.v, IFERROR(INDEX('3. Enter Indicator Scores'!$D$10:$CZ$161,_xlpm.r,_xlpm.c),""),
  IF(OR(_xlpm.w="",_xlpm.v=""),"",_xlpm.v*_xlpm.w)
)</f>
        <v/>
      </c>
      <c r="BQ104" s="93" t="str" cm="1">
        <f t="array" ref="BQ104">_xlfn.LET(
  _xlpm.w, BQ$11,
  _xlpm.r, MATCH(1,('3. Enter Indicator Scores'!$B$10:$B$161=$B104)*('3. Enter Indicator Scores'!$C$10:$C$161=$C104),0),
  _xlpm.c, MATCH(BQ$8,'3. Enter Indicator Scores'!$D$8:$CZ$8,0),
  _xlpm.v, IFERROR(INDEX('3. Enter Indicator Scores'!$D$10:$CZ$161,_xlpm.r,_xlpm.c),""),
  IF(OR(_xlpm.w="",_xlpm.v=""),"",_xlpm.v*_xlpm.w)
)</f>
        <v/>
      </c>
      <c r="BR104" s="93" t="str" cm="1">
        <f t="array" ref="BR104">_xlfn.LET(
  _xlpm.w, BR$11,
  _xlpm.r, MATCH(1,('3. Enter Indicator Scores'!$B$10:$B$161=$B104)*('3. Enter Indicator Scores'!$C$10:$C$161=$C104),0),
  _xlpm.c, MATCH(BR$8,'3. Enter Indicator Scores'!$D$8:$CZ$8,0),
  _xlpm.v, IFERROR(INDEX('3. Enter Indicator Scores'!$D$10:$CZ$161,_xlpm.r,_xlpm.c),""),
  IF(OR(_xlpm.w="",_xlpm.v=""),"",_xlpm.v*_xlpm.w)
)</f>
        <v/>
      </c>
      <c r="BS104" s="93" t="str" cm="1">
        <f t="array" ref="BS104">_xlfn.LET(
  _xlpm.w, BS$11,
  _xlpm.r, MATCH(1,('3. Enter Indicator Scores'!$B$10:$B$161=$B104)*('3. Enter Indicator Scores'!$C$10:$C$161=$C104),0),
  _xlpm.c, MATCH(BS$8,'3. Enter Indicator Scores'!$D$8:$CZ$8,0),
  _xlpm.v, IFERROR(INDEX('3. Enter Indicator Scores'!$D$10:$CZ$161,_xlpm.r,_xlpm.c),""),
  IF(OR(_xlpm.w="",_xlpm.v=""),"",_xlpm.v*_xlpm.w)
)</f>
        <v/>
      </c>
      <c r="BT104" s="93" t="str" cm="1">
        <f t="array" ref="BT104">_xlfn.LET(
  _xlpm.w, BT$11,
  _xlpm.r, MATCH(1,('3. Enter Indicator Scores'!$B$10:$B$161=$B104)*('3. Enter Indicator Scores'!$C$10:$C$161=$C104),0),
  _xlpm.c, MATCH(BT$8,'3. Enter Indicator Scores'!$D$8:$CZ$8,0),
  _xlpm.v, IFERROR(INDEX('3. Enter Indicator Scores'!$D$10:$CZ$161,_xlpm.r,_xlpm.c),""),
  IF(OR(_xlpm.w="",_xlpm.v=""),"",_xlpm.v*_xlpm.w)
)</f>
        <v/>
      </c>
      <c r="BU104" s="93" t="str" cm="1">
        <f t="array" ref="BU104">_xlfn.LET(
  _xlpm.w, BU$11,
  _xlpm.r, MATCH(1,('3. Enter Indicator Scores'!$B$10:$B$161=$B104)*('3. Enter Indicator Scores'!$C$10:$C$161=$C104),0),
  _xlpm.c, MATCH(BU$8,'3. Enter Indicator Scores'!$D$8:$CZ$8,0),
  _xlpm.v, IFERROR(INDEX('3. Enter Indicator Scores'!$D$10:$CZ$161,_xlpm.r,_xlpm.c),""),
  IF(OR(_xlpm.w="",_xlpm.v=""),"",_xlpm.v*_xlpm.w)
)</f>
        <v/>
      </c>
      <c r="BV104" s="93" t="str" cm="1">
        <f t="array" ref="BV104">_xlfn.LET(
  _xlpm.w, BV$11,
  _xlpm.r, MATCH(1,('3. Enter Indicator Scores'!$B$10:$B$161=$B104)*('3. Enter Indicator Scores'!$C$10:$C$161=$C104),0),
  _xlpm.c, MATCH(BV$8,'3. Enter Indicator Scores'!$D$8:$CZ$8,0),
  _xlpm.v, IFERROR(INDEX('3. Enter Indicator Scores'!$D$10:$CZ$161,_xlpm.r,_xlpm.c),""),
  IF(OR(_xlpm.w="",_xlpm.v=""),"",_xlpm.v*_xlpm.w)
)</f>
        <v/>
      </c>
      <c r="BW104" s="93" t="str" cm="1">
        <f t="array" ref="BW104">_xlfn.LET(
  _xlpm.w, BW$11,
  _xlpm.r, MATCH(1,('3. Enter Indicator Scores'!$B$10:$B$161=$B104)*('3. Enter Indicator Scores'!$C$10:$C$161=$C104),0),
  _xlpm.c, MATCH(BW$8,'3. Enter Indicator Scores'!$D$8:$CZ$8,0),
  _xlpm.v, IFERROR(INDEX('3. Enter Indicator Scores'!$D$10:$CZ$161,_xlpm.r,_xlpm.c),""),
  IF(OR(_xlpm.w="",_xlpm.v=""),"",_xlpm.v*_xlpm.w)
)</f>
        <v/>
      </c>
      <c r="BX104" s="93" t="str" cm="1">
        <f t="array" ref="BX104">_xlfn.LET(
  _xlpm.w, BX$11,
  _xlpm.r, MATCH(1,('3. Enter Indicator Scores'!$B$10:$B$161=$B104)*('3. Enter Indicator Scores'!$C$10:$C$161=$C104),0),
  _xlpm.c, MATCH(BX$8,'3. Enter Indicator Scores'!$D$8:$CZ$8,0),
  _xlpm.v, IFERROR(INDEX('3. Enter Indicator Scores'!$D$10:$CZ$161,_xlpm.r,_xlpm.c),""),
  IF(OR(_xlpm.w="",_xlpm.v=""),"",_xlpm.v*_xlpm.w)
)</f>
        <v/>
      </c>
      <c r="BY104" s="93" t="str" cm="1">
        <f t="array" ref="BY104">_xlfn.LET(
  _xlpm.w, BY$11,
  _xlpm.r, MATCH(1,('3. Enter Indicator Scores'!$B$10:$B$161=$B104)*('3. Enter Indicator Scores'!$C$10:$C$161=$C104),0),
  _xlpm.c, MATCH(BY$8,'3. Enter Indicator Scores'!$D$8:$CZ$8,0),
  _xlpm.v, IFERROR(INDEX('3. Enter Indicator Scores'!$D$10:$CZ$161,_xlpm.r,_xlpm.c),""),
  IF(OR(_xlpm.w="",_xlpm.v=""),"",_xlpm.v*_xlpm.w)
)</f>
        <v/>
      </c>
      <c r="BZ104" s="93" t="str" cm="1">
        <f t="array" ref="BZ104">_xlfn.LET(
  _xlpm.w, BZ$11,
  _xlpm.r, MATCH(1,('3. Enter Indicator Scores'!$B$10:$B$161=$B104)*('3. Enter Indicator Scores'!$C$10:$C$161=$C104),0),
  _xlpm.c, MATCH(BZ$8,'3. Enter Indicator Scores'!$D$8:$CZ$8,0),
  _xlpm.v, IFERROR(INDEX('3. Enter Indicator Scores'!$D$10:$CZ$161,_xlpm.r,_xlpm.c),""),
  IF(OR(_xlpm.w="",_xlpm.v=""),"",_xlpm.v*_xlpm.w)
)</f>
        <v/>
      </c>
      <c r="CA104" s="93" t="str" cm="1">
        <f t="array" ref="CA104">_xlfn.LET(
  _xlpm.w, CA$11,
  _xlpm.r, MATCH(1,('3. Enter Indicator Scores'!$B$10:$B$161=$B104)*('3. Enter Indicator Scores'!$C$10:$C$161=$C104),0),
  _xlpm.c, MATCH(CA$8,'3. Enter Indicator Scores'!$D$8:$CZ$8,0),
  _xlpm.v, IFERROR(INDEX('3. Enter Indicator Scores'!$D$10:$CZ$161,_xlpm.r,_xlpm.c),""),
  IF(OR(_xlpm.w="",_xlpm.v=""),"",_xlpm.v*_xlpm.w)
)</f>
        <v/>
      </c>
      <c r="CB104" s="93" t="str" cm="1">
        <f t="array" ref="CB104">_xlfn.LET(
  _xlpm.w, CB$11,
  _xlpm.r, MATCH(1,('3. Enter Indicator Scores'!$B$10:$B$161=$B104)*('3. Enter Indicator Scores'!$C$10:$C$161=$C104),0),
  _xlpm.c, MATCH(CB$8,'3. Enter Indicator Scores'!$D$8:$CZ$8,0),
  _xlpm.v, IFERROR(INDEX('3. Enter Indicator Scores'!$D$10:$CZ$161,_xlpm.r,_xlpm.c),""),
  IF(OR(_xlpm.w="",_xlpm.v=""),"",_xlpm.v*_xlpm.w)
)</f>
        <v/>
      </c>
      <c r="CC104" s="93" t="str" cm="1">
        <f t="array" ref="CC104">_xlfn.LET(
  _xlpm.w, CC$11,
  _xlpm.r, MATCH(1,('3. Enter Indicator Scores'!$B$10:$B$161=$B104)*('3. Enter Indicator Scores'!$C$10:$C$161=$C104),0),
  _xlpm.c, MATCH(CC$8,'3. Enter Indicator Scores'!$D$8:$CZ$8,0),
  _xlpm.v, IFERROR(INDEX('3. Enter Indicator Scores'!$D$10:$CZ$161,_xlpm.r,_xlpm.c),""),
  IF(OR(_xlpm.w="",_xlpm.v=""),"",_xlpm.v*_xlpm.w)
)</f>
        <v/>
      </c>
      <c r="CD104" s="93" t="str" cm="1">
        <f t="array" ref="CD104">_xlfn.LET(
  _xlpm.w, CD$11,
  _xlpm.r, MATCH(1,('3. Enter Indicator Scores'!$B$10:$B$161=$B104)*('3. Enter Indicator Scores'!$C$10:$C$161=$C104),0),
  _xlpm.c, MATCH(CD$8,'3. Enter Indicator Scores'!$D$8:$CZ$8,0),
  _xlpm.v, IFERROR(INDEX('3. Enter Indicator Scores'!$D$10:$CZ$161,_xlpm.r,_xlpm.c),""),
  IF(OR(_xlpm.w="",_xlpm.v=""),"",_xlpm.v*_xlpm.w)
)</f>
        <v/>
      </c>
      <c r="CE104" s="93" t="str" cm="1">
        <f t="array" ref="CE104">_xlfn.LET(
  _xlpm.w, CE$11,
  _xlpm.r, MATCH(1,('3. Enter Indicator Scores'!$B$10:$B$161=$B104)*('3. Enter Indicator Scores'!$C$10:$C$161=$C104),0),
  _xlpm.c, MATCH(CE$8,'3. Enter Indicator Scores'!$D$8:$CZ$8,0),
  _xlpm.v, IFERROR(INDEX('3. Enter Indicator Scores'!$D$10:$CZ$161,_xlpm.r,_xlpm.c),""),
  IF(OR(_xlpm.w="",_xlpm.v=""),"",_xlpm.v*_xlpm.w)
)</f>
        <v/>
      </c>
      <c r="CF104" s="93" t="str" cm="1">
        <f t="array" ref="CF104">_xlfn.LET(
  _xlpm.w, CF$11,
  _xlpm.r, MATCH(1,('3. Enter Indicator Scores'!$B$10:$B$161=$B104)*('3. Enter Indicator Scores'!$C$10:$C$161=$C104),0),
  _xlpm.c, MATCH(CF$8,'3. Enter Indicator Scores'!$D$8:$CZ$8,0),
  _xlpm.v, IFERROR(INDEX('3. Enter Indicator Scores'!$D$10:$CZ$161,_xlpm.r,_xlpm.c),""),
  IF(OR(_xlpm.w="",_xlpm.v=""),"",_xlpm.v*_xlpm.w)
)</f>
        <v/>
      </c>
      <c r="CG104" s="93" t="str" cm="1">
        <f t="array" ref="CG104">_xlfn.LET(
  _xlpm.w, CG$11,
  _xlpm.r, MATCH(1,('3. Enter Indicator Scores'!$B$10:$B$161=$B104)*('3. Enter Indicator Scores'!$C$10:$C$161=$C104),0),
  _xlpm.c, MATCH(CG$8,'3. Enter Indicator Scores'!$D$8:$CZ$8,0),
  _xlpm.v, IFERROR(INDEX('3. Enter Indicator Scores'!$D$10:$CZ$161,_xlpm.r,_xlpm.c),""),
  IF(OR(_xlpm.w="",_xlpm.v=""),"",_xlpm.v*_xlpm.w)
)</f>
        <v/>
      </c>
      <c r="CH104" s="93" t="str" cm="1">
        <f t="array" ref="CH104">_xlfn.LET(
  _xlpm.w, CH$11,
  _xlpm.r, MATCH(1,('3. Enter Indicator Scores'!$B$10:$B$161=$B104)*('3. Enter Indicator Scores'!$C$10:$C$161=$C104),0),
  _xlpm.c, MATCH(CH$8,'3. Enter Indicator Scores'!$D$8:$CZ$8,0),
  _xlpm.v, IFERROR(INDEX('3. Enter Indicator Scores'!$D$10:$CZ$161,_xlpm.r,_xlpm.c),""),
  IF(OR(_xlpm.w="",_xlpm.v=""),"",_xlpm.v*_xlpm.w)
)</f>
        <v/>
      </c>
      <c r="CI104" s="93" t="str" cm="1">
        <f t="array" ref="CI104">_xlfn.LET(
  _xlpm.w, CI$11,
  _xlpm.r, MATCH(1,('3. Enter Indicator Scores'!$B$10:$B$161=$B104)*('3. Enter Indicator Scores'!$C$10:$C$161=$C104),0),
  _xlpm.c, MATCH(CI$8,'3. Enter Indicator Scores'!$D$8:$CZ$8,0),
  _xlpm.v, IFERROR(INDEX('3. Enter Indicator Scores'!$D$10:$CZ$161,_xlpm.r,_xlpm.c),""),
  IF(OR(_xlpm.w="",_xlpm.v=""),"",_xlpm.v*_xlpm.w)
)</f>
        <v/>
      </c>
      <c r="CJ104" s="93" t="str" cm="1">
        <f t="array" ref="CJ104">_xlfn.LET(
  _xlpm.w, CJ$11,
  _xlpm.r, MATCH(1,('3. Enter Indicator Scores'!$B$10:$B$161=$B104)*('3. Enter Indicator Scores'!$C$10:$C$161=$C104),0),
  _xlpm.c, MATCH(CJ$8,'3. Enter Indicator Scores'!$D$8:$CZ$8,0),
  _xlpm.v, IFERROR(INDEX('3. Enter Indicator Scores'!$D$10:$CZ$161,_xlpm.r,_xlpm.c),""),
  IF(OR(_xlpm.w="",_xlpm.v=""),"",_xlpm.v*_xlpm.w)
)</f>
        <v/>
      </c>
      <c r="CK104" s="93" t="str" cm="1">
        <f t="array" ref="CK104">_xlfn.LET(
  _xlpm.w, CK$11,
  _xlpm.r, MATCH(1,('3. Enter Indicator Scores'!$B$10:$B$161=$B104)*('3. Enter Indicator Scores'!$C$10:$C$161=$C104),0),
  _xlpm.c, MATCH(CK$8,'3. Enter Indicator Scores'!$D$8:$CZ$8,0),
  _xlpm.v, IFERROR(INDEX('3. Enter Indicator Scores'!$D$10:$CZ$161,_xlpm.r,_xlpm.c),""),
  IF(OR(_xlpm.w="",_xlpm.v=""),"",_xlpm.v*_xlpm.w)
)</f>
        <v/>
      </c>
      <c r="CL104" s="93" t="str" cm="1">
        <f t="array" ref="CL104">_xlfn.LET(
  _xlpm.w, CL$11,
  _xlpm.r, MATCH(1,('3. Enter Indicator Scores'!$B$10:$B$161=$B104)*('3. Enter Indicator Scores'!$C$10:$C$161=$C104),0),
  _xlpm.c, MATCH(CL$8,'3. Enter Indicator Scores'!$D$8:$CZ$8,0),
  _xlpm.v, IFERROR(INDEX('3. Enter Indicator Scores'!$D$10:$CZ$161,_xlpm.r,_xlpm.c),""),
  IF(OR(_xlpm.w="",_xlpm.v=""),"",_xlpm.v*_xlpm.w)
)</f>
        <v/>
      </c>
      <c r="CM104" s="93" t="str" cm="1">
        <f t="array" ref="CM104">_xlfn.LET(
  _xlpm.w, CM$11,
  _xlpm.r, MATCH(1,('3. Enter Indicator Scores'!$B$10:$B$161=$B104)*('3. Enter Indicator Scores'!$C$10:$C$161=$C104),0),
  _xlpm.c, MATCH(CM$8,'3. Enter Indicator Scores'!$D$8:$CZ$8,0),
  _xlpm.v, IFERROR(INDEX('3. Enter Indicator Scores'!$D$10:$CZ$161,_xlpm.r,_xlpm.c),""),
  IF(OR(_xlpm.w="",_xlpm.v=""),"",_xlpm.v*_xlpm.w)
)</f>
        <v/>
      </c>
      <c r="CN104" s="93" t="str" cm="1">
        <f t="array" ref="CN104">_xlfn.LET(
  _xlpm.w, CN$11,
  _xlpm.r, MATCH(1,('3. Enter Indicator Scores'!$B$10:$B$161=$B104)*('3. Enter Indicator Scores'!$C$10:$C$161=$C104),0),
  _xlpm.c, MATCH(CN$8,'3. Enter Indicator Scores'!$D$8:$CZ$8,0),
  _xlpm.v, IFERROR(INDEX('3. Enter Indicator Scores'!$D$10:$CZ$161,_xlpm.r,_xlpm.c),""),
  IF(OR(_xlpm.w="",_xlpm.v=""),"",_xlpm.v*_xlpm.w)
)</f>
        <v/>
      </c>
      <c r="CO104" s="93" t="str" cm="1">
        <f t="array" ref="CO104">_xlfn.LET(
  _xlpm.w, CO$11,
  _xlpm.r, MATCH(1,('3. Enter Indicator Scores'!$B$10:$B$161=$B104)*('3. Enter Indicator Scores'!$C$10:$C$161=$C104),0),
  _xlpm.c, MATCH(CO$8,'3. Enter Indicator Scores'!$D$8:$CZ$8,0),
  _xlpm.v, IFERROR(INDEX('3. Enter Indicator Scores'!$D$10:$CZ$161,_xlpm.r,_xlpm.c),""),
  IF(OR(_xlpm.w="",_xlpm.v=""),"",_xlpm.v*_xlpm.w)
)</f>
        <v/>
      </c>
      <c r="CP104" s="93" t="str" cm="1">
        <f t="array" ref="CP104">_xlfn.LET(
  _xlpm.w, CP$11,
  _xlpm.r, MATCH(1,('3. Enter Indicator Scores'!$B$10:$B$161=$B104)*('3. Enter Indicator Scores'!$C$10:$C$161=$C104),0),
  _xlpm.c, MATCH(CP$8,'3. Enter Indicator Scores'!$D$8:$CZ$8,0),
  _xlpm.v, IFERROR(INDEX('3. Enter Indicator Scores'!$D$10:$CZ$161,_xlpm.r,_xlpm.c),""),
  IF(OR(_xlpm.w="",_xlpm.v=""),"",_xlpm.v*_xlpm.w)
)</f>
        <v/>
      </c>
      <c r="CQ104" s="93" t="str" cm="1">
        <f t="array" ref="CQ104">_xlfn.LET(
  _xlpm.w, CQ$11,
  _xlpm.r, MATCH(1,('3. Enter Indicator Scores'!$B$10:$B$161=$B104)*('3. Enter Indicator Scores'!$C$10:$C$161=$C104),0),
  _xlpm.c, MATCH(CQ$8,'3. Enter Indicator Scores'!$D$8:$CZ$8,0),
  _xlpm.v, IFERROR(INDEX('3. Enter Indicator Scores'!$D$10:$CZ$161,_xlpm.r,_xlpm.c),""),
  IF(OR(_xlpm.w="",_xlpm.v=""),"",_xlpm.v*_xlpm.w)
)</f>
        <v/>
      </c>
      <c r="CR104" s="93" t="str" cm="1">
        <f t="array" ref="CR104">_xlfn.LET(
  _xlpm.w, CR$11,
  _xlpm.r, MATCH(1,('3. Enter Indicator Scores'!$B$10:$B$161=$B104)*('3. Enter Indicator Scores'!$C$10:$C$161=$C104),0),
  _xlpm.c, MATCH(CR$8,'3. Enter Indicator Scores'!$D$8:$CZ$8,0),
  _xlpm.v, IFERROR(INDEX('3. Enter Indicator Scores'!$D$10:$CZ$161,_xlpm.r,_xlpm.c),""),
  IF(OR(_xlpm.w="",_xlpm.v=""),"",_xlpm.v*_xlpm.w)
)</f>
        <v/>
      </c>
      <c r="CS104" s="93" t="str" cm="1">
        <f t="array" ref="CS104">_xlfn.LET(
  _xlpm.w, CS$11,
  _xlpm.r, MATCH(1,('3. Enter Indicator Scores'!$B$10:$B$161=$B104)*('3. Enter Indicator Scores'!$C$10:$C$161=$C104),0),
  _xlpm.c, MATCH(CS$8,'3. Enter Indicator Scores'!$D$8:$CZ$8,0),
  _xlpm.v, IFERROR(INDEX('3. Enter Indicator Scores'!$D$10:$CZ$161,_xlpm.r,_xlpm.c),""),
  IF(OR(_xlpm.w="",_xlpm.v=""),"",_xlpm.v*_xlpm.w)
)</f>
        <v/>
      </c>
      <c r="CT104" s="93" t="str" cm="1">
        <f t="array" ref="CT104">_xlfn.LET(
  _xlpm.w, CT$11,
  _xlpm.r, MATCH(1,('3. Enter Indicator Scores'!$B$10:$B$161=$B104)*('3. Enter Indicator Scores'!$C$10:$C$161=$C104),0),
  _xlpm.c, MATCH(CT$8,'3. Enter Indicator Scores'!$D$8:$CZ$8,0),
  _xlpm.v, IFERROR(INDEX('3. Enter Indicator Scores'!$D$10:$CZ$161,_xlpm.r,_xlpm.c),""),
  IF(OR(_xlpm.w="",_xlpm.v=""),"",_xlpm.v*_xlpm.w)
)</f>
        <v/>
      </c>
      <c r="CU104" s="93" t="str" cm="1">
        <f t="array" ref="CU104">_xlfn.LET(
  _xlpm.w, CU$11,
  _xlpm.r, MATCH(1,('3. Enter Indicator Scores'!$B$10:$B$161=$B104)*('3. Enter Indicator Scores'!$C$10:$C$161=$C104),0),
  _xlpm.c, MATCH(CU$8,'3. Enter Indicator Scores'!$D$8:$CZ$8,0),
  _xlpm.v, IFERROR(INDEX('3. Enter Indicator Scores'!$D$10:$CZ$161,_xlpm.r,_xlpm.c),""),
  IF(OR(_xlpm.w="",_xlpm.v=""),"",_xlpm.v*_xlpm.w)
)</f>
        <v/>
      </c>
      <c r="CV104" s="93" t="str" cm="1">
        <f t="array" ref="CV104">_xlfn.LET(
  _xlpm.w, CV$11,
  _xlpm.r, MATCH(1,('3. Enter Indicator Scores'!$B$10:$B$161=$B104)*('3. Enter Indicator Scores'!$C$10:$C$161=$C104),0),
  _xlpm.c, MATCH(CV$8,'3. Enter Indicator Scores'!$D$8:$CZ$8,0),
  _xlpm.v, IFERROR(INDEX('3. Enter Indicator Scores'!$D$10:$CZ$161,_xlpm.r,_xlpm.c),""),
  IF(OR(_xlpm.w="",_xlpm.v=""),"",_xlpm.v*_xlpm.w)
)</f>
        <v/>
      </c>
      <c r="CW104" s="93" t="str" cm="1">
        <f t="array" ref="CW104">_xlfn.LET(
  _xlpm.w, CW$11,
  _xlpm.r, MATCH(1,('3. Enter Indicator Scores'!$B$10:$B$161=$B104)*('3. Enter Indicator Scores'!$C$10:$C$161=$C104),0),
  _xlpm.c, MATCH(CW$8,'3. Enter Indicator Scores'!$D$8:$CZ$8,0),
  _xlpm.v, IFERROR(INDEX('3. Enter Indicator Scores'!$D$10:$CZ$161,_xlpm.r,_xlpm.c),""),
  IF(OR(_xlpm.w="",_xlpm.v=""),"",_xlpm.v*_xlpm.w)
)</f>
        <v/>
      </c>
      <c r="CX104" s="93" t="str" cm="1">
        <f t="array" ref="CX104">_xlfn.LET(
  _xlpm.w, CX$11,
  _xlpm.r, MATCH(1,('3. Enter Indicator Scores'!$B$10:$B$161=$B104)*('3. Enter Indicator Scores'!$C$10:$C$161=$C104),0),
  _xlpm.c, MATCH(CX$8,'3. Enter Indicator Scores'!$D$8:$CZ$8,0),
  _xlpm.v, IFERROR(INDEX('3. Enter Indicator Scores'!$D$10:$CZ$161,_xlpm.r,_xlpm.c),""),
  IF(OR(_xlpm.w="",_xlpm.v=""),"",_xlpm.v*_xlpm.w)
)</f>
        <v/>
      </c>
      <c r="CY104" s="93" t="str" cm="1">
        <f t="array" ref="CY104">_xlfn.LET(
  _xlpm.w, CY$11,
  _xlpm.r, MATCH(1,('3. Enter Indicator Scores'!$B$10:$B$161=$B104)*('3. Enter Indicator Scores'!$C$10:$C$161=$C104),0),
  _xlpm.c, MATCH(CY$8,'3. Enter Indicator Scores'!$D$8:$CZ$8,0),
  _xlpm.v, IFERROR(INDEX('3. Enter Indicator Scores'!$D$10:$CZ$161,_xlpm.r,_xlpm.c),""),
  IF(OR(_xlpm.w="",_xlpm.v=""),"",_xlpm.v*_xlpm.w)
)</f>
        <v/>
      </c>
      <c r="CZ104" s="93" t="str" cm="1">
        <f t="array" ref="CZ104">_xlfn.LET(
  _xlpm.w, CZ$11,
  _xlpm.r, MATCH(1,('3. Enter Indicator Scores'!$B$10:$B$161=$B104)*('3. Enter Indicator Scores'!$C$10:$C$161=$C104),0),
  _xlpm.c, MATCH(CZ$8,'3. Enter Indicator Scores'!$D$8:$CZ$8,0),
  _xlpm.v, IFERROR(INDEX('3. Enter Indicator Scores'!$D$10:$CZ$161,_xlpm.r,_xlpm.c),""),
  IF(OR(_xlpm.w="",_xlpm.v=""),"",_xlpm.v*_xlpm.w)
)</f>
        <v/>
      </c>
    </row>
    <row r="105" spans="4:104" x14ac:dyDescent="0.2">
      <c r="D105" s="93" t="str" cm="1">
        <f t="array" ref="D105">_xlfn.LET(
  _xlpm.w, D$11,
  _xlpm.r, MATCH(1,('3. Enter Indicator Scores'!$B$10:$B$161=$B105)*('3. Enter Indicator Scores'!$C$10:$C$161=$C105),0),
  _xlpm.c, MATCH(D$8,'3. Enter Indicator Scores'!$D$8:$CZ$8,0),
  _xlpm.v, IFERROR(INDEX('3. Enter Indicator Scores'!$D$10:$CZ$161,_xlpm.r,_xlpm.c),""),
  IF(OR(_xlpm.w="",_xlpm.v=""),"",_xlpm.v*_xlpm.w)
)</f>
        <v/>
      </c>
      <c r="E105" s="93" t="str" cm="1">
        <f t="array" ref="E105">_xlfn.LET(
  _xlpm.w, E$11,
  _xlpm.r, MATCH(1,('3. Enter Indicator Scores'!$B$10:$B$161=$B105)*('3. Enter Indicator Scores'!$C$10:$C$161=$C105),0),
  _xlpm.c, MATCH(E$8,'3. Enter Indicator Scores'!$D$8:$CZ$8,0),
  _xlpm.v, IFERROR(INDEX('3. Enter Indicator Scores'!$D$10:$CZ$161,_xlpm.r,_xlpm.c),""),
  IF(OR(_xlpm.w="",_xlpm.v=""),"",_xlpm.v*_xlpm.w)
)</f>
        <v/>
      </c>
      <c r="F105" s="93" t="str" cm="1">
        <f t="array" ref="F105">_xlfn.LET(
  _xlpm.w, F$11,
  _xlpm.r, MATCH(1,('3. Enter Indicator Scores'!$B$10:$B$161=$B105)*('3. Enter Indicator Scores'!$C$10:$C$161=$C105),0),
  _xlpm.c, MATCH(F$8,'3. Enter Indicator Scores'!$D$8:$CZ$8,0),
  _xlpm.v, IFERROR(INDEX('3. Enter Indicator Scores'!$D$10:$CZ$161,_xlpm.r,_xlpm.c),""),
  IF(OR(_xlpm.w="",_xlpm.v=""),"",_xlpm.v*_xlpm.w)
)</f>
        <v/>
      </c>
      <c r="G105" s="93" t="str" cm="1">
        <f t="array" ref="G105">_xlfn.LET(
  _xlpm.w, G$11,
  _xlpm.r, MATCH(1,('3. Enter Indicator Scores'!$B$10:$B$161=$B105)*('3. Enter Indicator Scores'!$C$10:$C$161=$C105),0),
  _xlpm.c, MATCH(G$8,'3. Enter Indicator Scores'!$D$8:$CZ$8,0),
  _xlpm.v, IFERROR(INDEX('3. Enter Indicator Scores'!$D$10:$CZ$161,_xlpm.r,_xlpm.c),""),
  IF(OR(_xlpm.w="",_xlpm.v=""),"",_xlpm.v*_xlpm.w)
)</f>
        <v/>
      </c>
      <c r="H105" s="93" t="str" cm="1">
        <f t="array" ref="H105">_xlfn.LET(
  _xlpm.w, H$11,
  _xlpm.r, MATCH(1,('3. Enter Indicator Scores'!$B$10:$B$161=$B105)*('3. Enter Indicator Scores'!$C$10:$C$161=$C105),0),
  _xlpm.c, MATCH(H$8,'3. Enter Indicator Scores'!$D$8:$CZ$8,0),
  _xlpm.v, IFERROR(INDEX('3. Enter Indicator Scores'!$D$10:$CZ$161,_xlpm.r,_xlpm.c),""),
  IF(OR(_xlpm.w="",_xlpm.v=""),"",_xlpm.v*_xlpm.w)
)</f>
        <v/>
      </c>
      <c r="I105" s="93" t="str" cm="1">
        <f t="array" ref="I105">_xlfn.LET(
  _xlpm.w, I$11,
  _xlpm.r, MATCH(1,('3. Enter Indicator Scores'!$B$10:$B$161=$B105)*('3. Enter Indicator Scores'!$C$10:$C$161=$C105),0),
  _xlpm.c, MATCH(I$8,'3. Enter Indicator Scores'!$D$8:$CZ$8,0),
  _xlpm.v, IFERROR(INDEX('3. Enter Indicator Scores'!$D$10:$CZ$161,_xlpm.r,_xlpm.c),""),
  IF(OR(_xlpm.w="",_xlpm.v=""),"",_xlpm.v*_xlpm.w)
)</f>
        <v/>
      </c>
      <c r="J105" s="93" t="str" cm="1">
        <f t="array" ref="J105">_xlfn.LET(
  _xlpm.w, J$11,
  _xlpm.r, MATCH(1,('3. Enter Indicator Scores'!$B$10:$B$161=$B105)*('3. Enter Indicator Scores'!$C$10:$C$161=$C105),0),
  _xlpm.c, MATCH(J$8,'3. Enter Indicator Scores'!$D$8:$CZ$8,0),
  _xlpm.v, IFERROR(INDEX('3. Enter Indicator Scores'!$D$10:$CZ$161,_xlpm.r,_xlpm.c),""),
  IF(OR(_xlpm.w="",_xlpm.v=""),"",_xlpm.v*_xlpm.w)
)</f>
        <v/>
      </c>
      <c r="K105" s="93" t="str" cm="1">
        <f t="array" ref="K105">_xlfn.LET(
  _xlpm.w, K$11,
  _xlpm.r, MATCH(1,('3. Enter Indicator Scores'!$B$10:$B$161=$B105)*('3. Enter Indicator Scores'!$C$10:$C$161=$C105),0),
  _xlpm.c, MATCH(K$8,'3. Enter Indicator Scores'!$D$8:$CZ$8,0),
  _xlpm.v, IFERROR(INDEX('3. Enter Indicator Scores'!$D$10:$CZ$161,_xlpm.r,_xlpm.c),""),
  IF(OR(_xlpm.w="",_xlpm.v=""),"",_xlpm.v*_xlpm.w)
)</f>
        <v/>
      </c>
      <c r="L105" s="93" t="str" cm="1">
        <f t="array" ref="L105">_xlfn.LET(
  _xlpm.w, L$11,
  _xlpm.r, MATCH(1,('3. Enter Indicator Scores'!$B$10:$B$161=$B105)*('3. Enter Indicator Scores'!$C$10:$C$161=$C105),0),
  _xlpm.c, MATCH(L$8,'3. Enter Indicator Scores'!$D$8:$CZ$8,0),
  _xlpm.v, IFERROR(INDEX('3. Enter Indicator Scores'!$D$10:$CZ$161,_xlpm.r,_xlpm.c),""),
  IF(OR(_xlpm.w="",_xlpm.v=""),"",_xlpm.v*_xlpm.w)
)</f>
        <v/>
      </c>
      <c r="M105" s="93" t="str" cm="1">
        <f t="array" ref="M105">_xlfn.LET(
  _xlpm.w, M$11,
  _xlpm.r, MATCH(1,('3. Enter Indicator Scores'!$B$10:$B$161=$B105)*('3. Enter Indicator Scores'!$C$10:$C$161=$C105),0),
  _xlpm.c, MATCH(M$8,'3. Enter Indicator Scores'!$D$8:$CZ$8,0),
  _xlpm.v, IFERROR(INDEX('3. Enter Indicator Scores'!$D$10:$CZ$161,_xlpm.r,_xlpm.c),""),
  IF(OR(_xlpm.w="",_xlpm.v=""),"",_xlpm.v*_xlpm.w)
)</f>
        <v/>
      </c>
      <c r="N105" s="93" t="str" cm="1">
        <f t="array" ref="N105">_xlfn.LET(
  _xlpm.w, N$11,
  _xlpm.r, MATCH(1,('3. Enter Indicator Scores'!$B$10:$B$161=$B105)*('3. Enter Indicator Scores'!$C$10:$C$161=$C105),0),
  _xlpm.c, MATCH(N$8,'3. Enter Indicator Scores'!$D$8:$CZ$8,0),
  _xlpm.v, IFERROR(INDEX('3. Enter Indicator Scores'!$D$10:$CZ$161,_xlpm.r,_xlpm.c),""),
  IF(OR(_xlpm.w="",_xlpm.v=""),"",_xlpm.v*_xlpm.w)
)</f>
        <v/>
      </c>
      <c r="O105" s="93" t="str" cm="1">
        <f t="array" ref="O105">_xlfn.LET(
  _xlpm.w, O$11,
  _xlpm.r, MATCH(1,('3. Enter Indicator Scores'!$B$10:$B$161=$B105)*('3. Enter Indicator Scores'!$C$10:$C$161=$C105),0),
  _xlpm.c, MATCH(O$8,'3. Enter Indicator Scores'!$D$8:$CZ$8,0),
  _xlpm.v, IFERROR(INDEX('3. Enter Indicator Scores'!$D$10:$CZ$161,_xlpm.r,_xlpm.c),""),
  IF(OR(_xlpm.w="",_xlpm.v=""),"",_xlpm.v*_xlpm.w)
)</f>
        <v/>
      </c>
      <c r="P105" s="93" t="str" cm="1">
        <f t="array" ref="P105">_xlfn.LET(
  _xlpm.w, P$11,
  _xlpm.r, MATCH(1,('3. Enter Indicator Scores'!$B$10:$B$161=$B105)*('3. Enter Indicator Scores'!$C$10:$C$161=$C105),0),
  _xlpm.c, MATCH(P$8,'3. Enter Indicator Scores'!$D$8:$CZ$8,0),
  _xlpm.v, IFERROR(INDEX('3. Enter Indicator Scores'!$D$10:$CZ$161,_xlpm.r,_xlpm.c),""),
  IF(OR(_xlpm.w="",_xlpm.v=""),"",_xlpm.v*_xlpm.w)
)</f>
        <v/>
      </c>
      <c r="Q105" s="93" t="str" cm="1">
        <f t="array" ref="Q105">_xlfn.LET(
  _xlpm.w, Q$11,
  _xlpm.r, MATCH(1,('3. Enter Indicator Scores'!$B$10:$B$161=$B105)*('3. Enter Indicator Scores'!$C$10:$C$161=$C105),0),
  _xlpm.c, MATCH(Q$8,'3. Enter Indicator Scores'!$D$8:$CZ$8,0),
  _xlpm.v, IFERROR(INDEX('3. Enter Indicator Scores'!$D$10:$CZ$161,_xlpm.r,_xlpm.c),""),
  IF(OR(_xlpm.w="",_xlpm.v=""),"",_xlpm.v*_xlpm.w)
)</f>
        <v/>
      </c>
      <c r="R105" s="93" t="str" cm="1">
        <f t="array" ref="R105">_xlfn.LET(
  _xlpm.w, R$11,
  _xlpm.r, MATCH(1,('3. Enter Indicator Scores'!$B$10:$B$161=$B105)*('3. Enter Indicator Scores'!$C$10:$C$161=$C105),0),
  _xlpm.c, MATCH(R$8,'3. Enter Indicator Scores'!$D$8:$CZ$8,0),
  _xlpm.v, IFERROR(INDEX('3. Enter Indicator Scores'!$D$10:$CZ$161,_xlpm.r,_xlpm.c),""),
  IF(OR(_xlpm.w="",_xlpm.v=""),"",_xlpm.v*_xlpm.w)
)</f>
        <v/>
      </c>
      <c r="S105" s="93" t="str" cm="1">
        <f t="array" ref="S105">_xlfn.LET(
  _xlpm.w, S$11,
  _xlpm.r, MATCH(1,('3. Enter Indicator Scores'!$B$10:$B$161=$B105)*('3. Enter Indicator Scores'!$C$10:$C$161=$C105),0),
  _xlpm.c, MATCH(S$8,'3. Enter Indicator Scores'!$D$8:$CZ$8,0),
  _xlpm.v, IFERROR(INDEX('3. Enter Indicator Scores'!$D$10:$CZ$161,_xlpm.r,_xlpm.c),""),
  IF(OR(_xlpm.w="",_xlpm.v=""),"",_xlpm.v*_xlpm.w)
)</f>
        <v/>
      </c>
      <c r="T105" s="93" t="str" cm="1">
        <f t="array" ref="T105">_xlfn.LET(
  _xlpm.w, T$11,
  _xlpm.r, MATCH(1,('3. Enter Indicator Scores'!$B$10:$B$161=$B105)*('3. Enter Indicator Scores'!$C$10:$C$161=$C105),0),
  _xlpm.c, MATCH(T$8,'3. Enter Indicator Scores'!$D$8:$CZ$8,0),
  _xlpm.v, IFERROR(INDEX('3. Enter Indicator Scores'!$D$10:$CZ$161,_xlpm.r,_xlpm.c),""),
  IF(OR(_xlpm.w="",_xlpm.v=""),"",_xlpm.v*_xlpm.w)
)</f>
        <v/>
      </c>
      <c r="U105" s="93" t="str" cm="1">
        <f t="array" ref="U105">_xlfn.LET(
  _xlpm.w, U$11,
  _xlpm.r, MATCH(1,('3. Enter Indicator Scores'!$B$10:$B$161=$B105)*('3. Enter Indicator Scores'!$C$10:$C$161=$C105),0),
  _xlpm.c, MATCH(U$8,'3. Enter Indicator Scores'!$D$8:$CZ$8,0),
  _xlpm.v, IFERROR(INDEX('3. Enter Indicator Scores'!$D$10:$CZ$161,_xlpm.r,_xlpm.c),""),
  IF(OR(_xlpm.w="",_xlpm.v=""),"",_xlpm.v*_xlpm.w)
)</f>
        <v/>
      </c>
      <c r="V105" s="93" t="str" cm="1">
        <f t="array" ref="V105">_xlfn.LET(
  _xlpm.w, V$11,
  _xlpm.r, MATCH(1,('3. Enter Indicator Scores'!$B$10:$B$161=$B105)*('3. Enter Indicator Scores'!$C$10:$C$161=$C105),0),
  _xlpm.c, MATCH(V$8,'3. Enter Indicator Scores'!$D$8:$CZ$8,0),
  _xlpm.v, IFERROR(INDEX('3. Enter Indicator Scores'!$D$10:$CZ$161,_xlpm.r,_xlpm.c),""),
  IF(OR(_xlpm.w="",_xlpm.v=""),"",_xlpm.v*_xlpm.w)
)</f>
        <v/>
      </c>
      <c r="W105" s="93" t="str" cm="1">
        <f t="array" ref="W105">_xlfn.LET(
  _xlpm.w, W$11,
  _xlpm.r, MATCH(1,('3. Enter Indicator Scores'!$B$10:$B$161=$B105)*('3. Enter Indicator Scores'!$C$10:$C$161=$C105),0),
  _xlpm.c, MATCH(W$8,'3. Enter Indicator Scores'!$D$8:$CZ$8,0),
  _xlpm.v, IFERROR(INDEX('3. Enter Indicator Scores'!$D$10:$CZ$161,_xlpm.r,_xlpm.c),""),
  IF(OR(_xlpm.w="",_xlpm.v=""),"",_xlpm.v*_xlpm.w)
)</f>
        <v/>
      </c>
      <c r="X105" s="93" t="str" cm="1">
        <f t="array" ref="X105">_xlfn.LET(
  _xlpm.w, X$11,
  _xlpm.r, MATCH(1,('3. Enter Indicator Scores'!$B$10:$B$161=$B105)*('3. Enter Indicator Scores'!$C$10:$C$161=$C105),0),
  _xlpm.c, MATCH(X$8,'3. Enter Indicator Scores'!$D$8:$CZ$8,0),
  _xlpm.v, IFERROR(INDEX('3. Enter Indicator Scores'!$D$10:$CZ$161,_xlpm.r,_xlpm.c),""),
  IF(OR(_xlpm.w="",_xlpm.v=""),"",_xlpm.v*_xlpm.w)
)</f>
        <v/>
      </c>
      <c r="Y105" s="93" t="str" cm="1">
        <f t="array" ref="Y105">_xlfn.LET(
  _xlpm.w, Y$11,
  _xlpm.r, MATCH(1,('3. Enter Indicator Scores'!$B$10:$B$161=$B105)*('3. Enter Indicator Scores'!$C$10:$C$161=$C105),0),
  _xlpm.c, MATCH(Y$8,'3. Enter Indicator Scores'!$D$8:$CZ$8,0),
  _xlpm.v, IFERROR(INDEX('3. Enter Indicator Scores'!$D$10:$CZ$161,_xlpm.r,_xlpm.c),""),
  IF(OR(_xlpm.w="",_xlpm.v=""),"",_xlpm.v*_xlpm.w)
)</f>
        <v/>
      </c>
      <c r="Z105" s="93" t="str" cm="1">
        <f t="array" ref="Z105">_xlfn.LET(
  _xlpm.w, Z$11,
  _xlpm.r, MATCH(1,('3. Enter Indicator Scores'!$B$10:$B$161=$B105)*('3. Enter Indicator Scores'!$C$10:$C$161=$C105),0),
  _xlpm.c, MATCH(Z$8,'3. Enter Indicator Scores'!$D$8:$CZ$8,0),
  _xlpm.v, IFERROR(INDEX('3. Enter Indicator Scores'!$D$10:$CZ$161,_xlpm.r,_xlpm.c),""),
  IF(OR(_xlpm.w="",_xlpm.v=""),"",_xlpm.v*_xlpm.w)
)</f>
        <v/>
      </c>
      <c r="AA105" s="93" t="str" cm="1">
        <f t="array" ref="AA105">_xlfn.LET(
  _xlpm.w, AA$11,
  _xlpm.r, MATCH(1,('3. Enter Indicator Scores'!$B$10:$B$161=$B105)*('3. Enter Indicator Scores'!$C$10:$C$161=$C105),0),
  _xlpm.c, MATCH(AA$8,'3. Enter Indicator Scores'!$D$8:$CZ$8,0),
  _xlpm.v, IFERROR(INDEX('3. Enter Indicator Scores'!$D$10:$CZ$161,_xlpm.r,_xlpm.c),""),
  IF(OR(_xlpm.w="",_xlpm.v=""),"",_xlpm.v*_xlpm.w)
)</f>
        <v/>
      </c>
      <c r="AB105" s="93" t="str" cm="1">
        <f t="array" ref="AB105">_xlfn.LET(
  _xlpm.w, AB$11,
  _xlpm.r, MATCH(1,('3. Enter Indicator Scores'!$B$10:$B$161=$B105)*('3. Enter Indicator Scores'!$C$10:$C$161=$C105),0),
  _xlpm.c, MATCH(AB$8,'3. Enter Indicator Scores'!$D$8:$CZ$8,0),
  _xlpm.v, IFERROR(INDEX('3. Enter Indicator Scores'!$D$10:$CZ$161,_xlpm.r,_xlpm.c),""),
  IF(OR(_xlpm.w="",_xlpm.v=""),"",_xlpm.v*_xlpm.w)
)</f>
        <v/>
      </c>
      <c r="AC105" s="93" t="str" cm="1">
        <f t="array" ref="AC105">_xlfn.LET(
  _xlpm.w, AC$11,
  _xlpm.r, MATCH(1,('3. Enter Indicator Scores'!$B$10:$B$161=$B105)*('3. Enter Indicator Scores'!$C$10:$C$161=$C105),0),
  _xlpm.c, MATCH(AC$8,'3. Enter Indicator Scores'!$D$8:$CZ$8,0),
  _xlpm.v, IFERROR(INDEX('3. Enter Indicator Scores'!$D$10:$CZ$161,_xlpm.r,_xlpm.c),""),
  IF(OR(_xlpm.w="",_xlpm.v=""),"",_xlpm.v*_xlpm.w)
)</f>
        <v/>
      </c>
      <c r="AD105" s="93" t="str" cm="1">
        <f t="array" ref="AD105">_xlfn.LET(
  _xlpm.w, AD$11,
  _xlpm.r, MATCH(1,('3. Enter Indicator Scores'!$B$10:$B$161=$B105)*('3. Enter Indicator Scores'!$C$10:$C$161=$C105),0),
  _xlpm.c, MATCH(AD$8,'3. Enter Indicator Scores'!$D$8:$CZ$8,0),
  _xlpm.v, IFERROR(INDEX('3. Enter Indicator Scores'!$D$10:$CZ$161,_xlpm.r,_xlpm.c),""),
  IF(OR(_xlpm.w="",_xlpm.v=""),"",_xlpm.v*_xlpm.w)
)</f>
        <v/>
      </c>
      <c r="AE105" s="93" t="str" cm="1">
        <f t="array" ref="AE105">_xlfn.LET(
  _xlpm.w, AE$11,
  _xlpm.r, MATCH(1,('3. Enter Indicator Scores'!$B$10:$B$161=$B105)*('3. Enter Indicator Scores'!$C$10:$C$161=$C105),0),
  _xlpm.c, MATCH(AE$8,'3. Enter Indicator Scores'!$D$8:$CZ$8,0),
  _xlpm.v, IFERROR(INDEX('3. Enter Indicator Scores'!$D$10:$CZ$161,_xlpm.r,_xlpm.c),""),
  IF(OR(_xlpm.w="",_xlpm.v=""),"",_xlpm.v*_xlpm.w)
)</f>
        <v/>
      </c>
      <c r="AF105" s="93" t="str" cm="1">
        <f t="array" ref="AF105">_xlfn.LET(
  _xlpm.w, AF$11,
  _xlpm.r, MATCH(1,('3. Enter Indicator Scores'!$B$10:$B$161=$B105)*('3. Enter Indicator Scores'!$C$10:$C$161=$C105),0),
  _xlpm.c, MATCH(AF$8,'3. Enter Indicator Scores'!$D$8:$CZ$8,0),
  _xlpm.v, IFERROR(INDEX('3. Enter Indicator Scores'!$D$10:$CZ$161,_xlpm.r,_xlpm.c),""),
  IF(OR(_xlpm.w="",_xlpm.v=""),"",_xlpm.v*_xlpm.w)
)</f>
        <v/>
      </c>
      <c r="AG105" s="93" t="str" cm="1">
        <f t="array" ref="AG105">_xlfn.LET(
  _xlpm.w, AG$11,
  _xlpm.r, MATCH(1,('3. Enter Indicator Scores'!$B$10:$B$161=$B105)*('3. Enter Indicator Scores'!$C$10:$C$161=$C105),0),
  _xlpm.c, MATCH(AG$8,'3. Enter Indicator Scores'!$D$8:$CZ$8,0),
  _xlpm.v, IFERROR(INDEX('3. Enter Indicator Scores'!$D$10:$CZ$161,_xlpm.r,_xlpm.c),""),
  IF(OR(_xlpm.w="",_xlpm.v=""),"",_xlpm.v*_xlpm.w)
)</f>
        <v/>
      </c>
      <c r="AH105" s="93" t="str" cm="1">
        <f t="array" ref="AH105">_xlfn.LET(
  _xlpm.w, AH$11,
  _xlpm.r, MATCH(1,('3. Enter Indicator Scores'!$B$10:$B$161=$B105)*('3. Enter Indicator Scores'!$C$10:$C$161=$C105),0),
  _xlpm.c, MATCH(AH$8,'3. Enter Indicator Scores'!$D$8:$CZ$8,0),
  _xlpm.v, IFERROR(INDEX('3. Enter Indicator Scores'!$D$10:$CZ$161,_xlpm.r,_xlpm.c),""),
  IF(OR(_xlpm.w="",_xlpm.v=""),"",_xlpm.v*_xlpm.w)
)</f>
        <v/>
      </c>
      <c r="AI105" s="93" t="str" cm="1">
        <f t="array" ref="AI105">_xlfn.LET(
  _xlpm.w, AI$11,
  _xlpm.r, MATCH(1,('3. Enter Indicator Scores'!$B$10:$B$161=$B105)*('3. Enter Indicator Scores'!$C$10:$C$161=$C105),0),
  _xlpm.c, MATCH(AI$8,'3. Enter Indicator Scores'!$D$8:$CZ$8,0),
  _xlpm.v, IFERROR(INDEX('3. Enter Indicator Scores'!$D$10:$CZ$161,_xlpm.r,_xlpm.c),""),
  IF(OR(_xlpm.w="",_xlpm.v=""),"",_xlpm.v*_xlpm.w)
)</f>
        <v/>
      </c>
      <c r="AJ105" s="93" t="str" cm="1">
        <f t="array" ref="AJ105">_xlfn.LET(
  _xlpm.w, AJ$11,
  _xlpm.r, MATCH(1,('3. Enter Indicator Scores'!$B$10:$B$161=$B105)*('3. Enter Indicator Scores'!$C$10:$C$161=$C105),0),
  _xlpm.c, MATCH(AJ$8,'3. Enter Indicator Scores'!$D$8:$CZ$8,0),
  _xlpm.v, IFERROR(INDEX('3. Enter Indicator Scores'!$D$10:$CZ$161,_xlpm.r,_xlpm.c),""),
  IF(OR(_xlpm.w="",_xlpm.v=""),"",_xlpm.v*_xlpm.w)
)</f>
        <v/>
      </c>
      <c r="AK105" s="93" t="str" cm="1">
        <f t="array" ref="AK105">_xlfn.LET(
  _xlpm.w, AK$11,
  _xlpm.r, MATCH(1,('3. Enter Indicator Scores'!$B$10:$B$161=$B105)*('3. Enter Indicator Scores'!$C$10:$C$161=$C105),0),
  _xlpm.c, MATCH(AK$8,'3. Enter Indicator Scores'!$D$8:$CZ$8,0),
  _xlpm.v, IFERROR(INDEX('3. Enter Indicator Scores'!$D$10:$CZ$161,_xlpm.r,_xlpm.c),""),
  IF(OR(_xlpm.w="",_xlpm.v=""),"",_xlpm.v*_xlpm.w)
)</f>
        <v/>
      </c>
      <c r="AL105" s="93" t="str" cm="1">
        <f t="array" ref="AL105">_xlfn.LET(
  _xlpm.w, AL$11,
  _xlpm.r, MATCH(1,('3. Enter Indicator Scores'!$B$10:$B$161=$B105)*('3. Enter Indicator Scores'!$C$10:$C$161=$C105),0),
  _xlpm.c, MATCH(AL$8,'3. Enter Indicator Scores'!$D$8:$CZ$8,0),
  _xlpm.v, IFERROR(INDEX('3. Enter Indicator Scores'!$D$10:$CZ$161,_xlpm.r,_xlpm.c),""),
  IF(OR(_xlpm.w="",_xlpm.v=""),"",_xlpm.v*_xlpm.w)
)</f>
        <v/>
      </c>
      <c r="AM105" s="93" t="str" cm="1">
        <f t="array" ref="AM105">_xlfn.LET(
  _xlpm.w, AM$11,
  _xlpm.r, MATCH(1,('3. Enter Indicator Scores'!$B$10:$B$161=$B105)*('3. Enter Indicator Scores'!$C$10:$C$161=$C105),0),
  _xlpm.c, MATCH(AM$8,'3. Enter Indicator Scores'!$D$8:$CZ$8,0),
  _xlpm.v, IFERROR(INDEX('3. Enter Indicator Scores'!$D$10:$CZ$161,_xlpm.r,_xlpm.c),""),
  IF(OR(_xlpm.w="",_xlpm.v=""),"",_xlpm.v*_xlpm.w)
)</f>
        <v/>
      </c>
      <c r="AN105" s="93" t="str" cm="1">
        <f t="array" ref="AN105">_xlfn.LET(
  _xlpm.w, AN$11,
  _xlpm.r, MATCH(1,('3. Enter Indicator Scores'!$B$10:$B$161=$B105)*('3. Enter Indicator Scores'!$C$10:$C$161=$C105),0),
  _xlpm.c, MATCH(AN$8,'3. Enter Indicator Scores'!$D$8:$CZ$8,0),
  _xlpm.v, IFERROR(INDEX('3. Enter Indicator Scores'!$D$10:$CZ$161,_xlpm.r,_xlpm.c),""),
  IF(OR(_xlpm.w="",_xlpm.v=""),"",_xlpm.v*_xlpm.w)
)</f>
        <v/>
      </c>
      <c r="AO105" s="93" t="str" cm="1">
        <f t="array" ref="AO105">_xlfn.LET(
  _xlpm.w, AO$11,
  _xlpm.r, MATCH(1,('3. Enter Indicator Scores'!$B$10:$B$161=$B105)*('3. Enter Indicator Scores'!$C$10:$C$161=$C105),0),
  _xlpm.c, MATCH(AO$8,'3. Enter Indicator Scores'!$D$8:$CZ$8,0),
  _xlpm.v, IFERROR(INDEX('3. Enter Indicator Scores'!$D$10:$CZ$161,_xlpm.r,_xlpm.c),""),
  IF(OR(_xlpm.w="",_xlpm.v=""),"",_xlpm.v*_xlpm.w)
)</f>
        <v/>
      </c>
      <c r="AP105" s="93" t="str" cm="1">
        <f t="array" ref="AP105">_xlfn.LET(
  _xlpm.w, AP$11,
  _xlpm.r, MATCH(1,('3. Enter Indicator Scores'!$B$10:$B$161=$B105)*('3. Enter Indicator Scores'!$C$10:$C$161=$C105),0),
  _xlpm.c, MATCH(AP$8,'3. Enter Indicator Scores'!$D$8:$CZ$8,0),
  _xlpm.v, IFERROR(INDEX('3. Enter Indicator Scores'!$D$10:$CZ$161,_xlpm.r,_xlpm.c),""),
  IF(OR(_xlpm.w="",_xlpm.v=""),"",_xlpm.v*_xlpm.w)
)</f>
        <v/>
      </c>
      <c r="AQ105" s="93" t="str" cm="1">
        <f t="array" ref="AQ105">_xlfn.LET(
  _xlpm.w, AQ$11,
  _xlpm.r, MATCH(1,('3. Enter Indicator Scores'!$B$10:$B$161=$B105)*('3. Enter Indicator Scores'!$C$10:$C$161=$C105),0),
  _xlpm.c, MATCH(AQ$8,'3. Enter Indicator Scores'!$D$8:$CZ$8,0),
  _xlpm.v, IFERROR(INDEX('3. Enter Indicator Scores'!$D$10:$CZ$161,_xlpm.r,_xlpm.c),""),
  IF(OR(_xlpm.w="",_xlpm.v=""),"",_xlpm.v*_xlpm.w)
)</f>
        <v/>
      </c>
      <c r="AR105" s="93" t="str" cm="1">
        <f t="array" ref="AR105">_xlfn.LET(
  _xlpm.w, AR$11,
  _xlpm.r, MATCH(1,('3. Enter Indicator Scores'!$B$10:$B$161=$B105)*('3. Enter Indicator Scores'!$C$10:$C$161=$C105),0),
  _xlpm.c, MATCH(AR$8,'3. Enter Indicator Scores'!$D$8:$CZ$8,0),
  _xlpm.v, IFERROR(INDEX('3. Enter Indicator Scores'!$D$10:$CZ$161,_xlpm.r,_xlpm.c),""),
  IF(OR(_xlpm.w="",_xlpm.v=""),"",_xlpm.v*_xlpm.w)
)</f>
        <v/>
      </c>
      <c r="AS105" s="93" t="str" cm="1">
        <f t="array" ref="AS105">_xlfn.LET(
  _xlpm.w, AS$11,
  _xlpm.r, MATCH(1,('3. Enter Indicator Scores'!$B$10:$B$161=$B105)*('3. Enter Indicator Scores'!$C$10:$C$161=$C105),0),
  _xlpm.c, MATCH(AS$8,'3. Enter Indicator Scores'!$D$8:$CZ$8,0),
  _xlpm.v, IFERROR(INDEX('3. Enter Indicator Scores'!$D$10:$CZ$161,_xlpm.r,_xlpm.c),""),
  IF(OR(_xlpm.w="",_xlpm.v=""),"",_xlpm.v*_xlpm.w)
)</f>
        <v/>
      </c>
      <c r="AT105" s="93" t="str" cm="1">
        <f t="array" ref="AT105">_xlfn.LET(
  _xlpm.w, AT$11,
  _xlpm.r, MATCH(1,('3. Enter Indicator Scores'!$B$10:$B$161=$B105)*('3. Enter Indicator Scores'!$C$10:$C$161=$C105),0),
  _xlpm.c, MATCH(AT$8,'3. Enter Indicator Scores'!$D$8:$CZ$8,0),
  _xlpm.v, IFERROR(INDEX('3. Enter Indicator Scores'!$D$10:$CZ$161,_xlpm.r,_xlpm.c),""),
  IF(OR(_xlpm.w="",_xlpm.v=""),"",_xlpm.v*_xlpm.w)
)</f>
        <v/>
      </c>
      <c r="AU105" s="93" t="str" cm="1">
        <f t="array" ref="AU105">_xlfn.LET(
  _xlpm.w, AU$11,
  _xlpm.r, MATCH(1,('3. Enter Indicator Scores'!$B$10:$B$161=$B105)*('3. Enter Indicator Scores'!$C$10:$C$161=$C105),0),
  _xlpm.c, MATCH(AU$8,'3. Enter Indicator Scores'!$D$8:$CZ$8,0),
  _xlpm.v, IFERROR(INDEX('3. Enter Indicator Scores'!$D$10:$CZ$161,_xlpm.r,_xlpm.c),""),
  IF(OR(_xlpm.w="",_xlpm.v=""),"",_xlpm.v*_xlpm.w)
)</f>
        <v/>
      </c>
      <c r="AV105" s="93" t="str" cm="1">
        <f t="array" ref="AV105">_xlfn.LET(
  _xlpm.w, AV$11,
  _xlpm.r, MATCH(1,('3. Enter Indicator Scores'!$B$10:$B$161=$B105)*('3. Enter Indicator Scores'!$C$10:$C$161=$C105),0),
  _xlpm.c, MATCH(AV$8,'3. Enter Indicator Scores'!$D$8:$CZ$8,0),
  _xlpm.v, IFERROR(INDEX('3. Enter Indicator Scores'!$D$10:$CZ$161,_xlpm.r,_xlpm.c),""),
  IF(OR(_xlpm.w="",_xlpm.v=""),"",_xlpm.v*_xlpm.w)
)</f>
        <v/>
      </c>
      <c r="AW105" s="93" t="str" cm="1">
        <f t="array" ref="AW105">_xlfn.LET(
  _xlpm.w, AW$11,
  _xlpm.r, MATCH(1,('3. Enter Indicator Scores'!$B$10:$B$161=$B105)*('3. Enter Indicator Scores'!$C$10:$C$161=$C105),0),
  _xlpm.c, MATCH(AW$8,'3. Enter Indicator Scores'!$D$8:$CZ$8,0),
  _xlpm.v, IFERROR(INDEX('3. Enter Indicator Scores'!$D$10:$CZ$161,_xlpm.r,_xlpm.c),""),
  IF(OR(_xlpm.w="",_xlpm.v=""),"",_xlpm.v*_xlpm.w)
)</f>
        <v/>
      </c>
      <c r="AX105" s="93" t="str" cm="1">
        <f t="array" ref="AX105">_xlfn.LET(
  _xlpm.w, AX$11,
  _xlpm.r, MATCH(1,('3. Enter Indicator Scores'!$B$10:$B$161=$B105)*('3. Enter Indicator Scores'!$C$10:$C$161=$C105),0),
  _xlpm.c, MATCH(AX$8,'3. Enter Indicator Scores'!$D$8:$CZ$8,0),
  _xlpm.v, IFERROR(INDEX('3. Enter Indicator Scores'!$D$10:$CZ$161,_xlpm.r,_xlpm.c),""),
  IF(OR(_xlpm.w="",_xlpm.v=""),"",_xlpm.v*_xlpm.w)
)</f>
        <v/>
      </c>
      <c r="AY105" s="93" t="str" cm="1">
        <f t="array" ref="AY105">_xlfn.LET(
  _xlpm.w, AY$11,
  _xlpm.r, MATCH(1,('3. Enter Indicator Scores'!$B$10:$B$161=$B105)*('3. Enter Indicator Scores'!$C$10:$C$161=$C105),0),
  _xlpm.c, MATCH(AY$8,'3. Enter Indicator Scores'!$D$8:$CZ$8,0),
  _xlpm.v, IFERROR(INDEX('3. Enter Indicator Scores'!$D$10:$CZ$161,_xlpm.r,_xlpm.c),""),
  IF(OR(_xlpm.w="",_xlpm.v=""),"",_xlpm.v*_xlpm.w)
)</f>
        <v/>
      </c>
      <c r="AZ105" s="93" t="str" cm="1">
        <f t="array" ref="AZ105">_xlfn.LET(
  _xlpm.w, AZ$11,
  _xlpm.r, MATCH(1,('3. Enter Indicator Scores'!$B$10:$B$161=$B105)*('3. Enter Indicator Scores'!$C$10:$C$161=$C105),0),
  _xlpm.c, MATCH(AZ$8,'3. Enter Indicator Scores'!$D$8:$CZ$8,0),
  _xlpm.v, IFERROR(INDEX('3. Enter Indicator Scores'!$D$10:$CZ$161,_xlpm.r,_xlpm.c),""),
  IF(OR(_xlpm.w="",_xlpm.v=""),"",_xlpm.v*_xlpm.w)
)</f>
        <v/>
      </c>
      <c r="BA105" s="93" t="str" cm="1">
        <f t="array" ref="BA105">_xlfn.LET(
  _xlpm.w, BA$11,
  _xlpm.r, MATCH(1,('3. Enter Indicator Scores'!$B$10:$B$161=$B105)*('3. Enter Indicator Scores'!$C$10:$C$161=$C105),0),
  _xlpm.c, MATCH(BA$8,'3. Enter Indicator Scores'!$D$8:$CZ$8,0),
  _xlpm.v, IFERROR(INDEX('3. Enter Indicator Scores'!$D$10:$CZ$161,_xlpm.r,_xlpm.c),""),
  IF(OR(_xlpm.w="",_xlpm.v=""),"",_xlpm.v*_xlpm.w)
)</f>
        <v/>
      </c>
      <c r="BB105" s="93" t="str" cm="1">
        <f t="array" ref="BB105">_xlfn.LET(
  _xlpm.w, BB$11,
  _xlpm.r, MATCH(1,('3. Enter Indicator Scores'!$B$10:$B$161=$B105)*('3. Enter Indicator Scores'!$C$10:$C$161=$C105),0),
  _xlpm.c, MATCH(BB$8,'3. Enter Indicator Scores'!$D$8:$CZ$8,0),
  _xlpm.v, IFERROR(INDEX('3. Enter Indicator Scores'!$D$10:$CZ$161,_xlpm.r,_xlpm.c),""),
  IF(OR(_xlpm.w="",_xlpm.v=""),"",_xlpm.v*_xlpm.w)
)</f>
        <v/>
      </c>
      <c r="BC105" s="93" t="str" cm="1">
        <f t="array" ref="BC105">_xlfn.LET(
  _xlpm.w, BC$11,
  _xlpm.r, MATCH(1,('3. Enter Indicator Scores'!$B$10:$B$161=$B105)*('3. Enter Indicator Scores'!$C$10:$C$161=$C105),0),
  _xlpm.c, MATCH(BC$8,'3. Enter Indicator Scores'!$D$8:$CZ$8,0),
  _xlpm.v, IFERROR(INDEX('3. Enter Indicator Scores'!$D$10:$CZ$161,_xlpm.r,_xlpm.c),""),
  IF(OR(_xlpm.w="",_xlpm.v=""),"",_xlpm.v*_xlpm.w)
)</f>
        <v/>
      </c>
      <c r="BD105" s="93" t="str" cm="1">
        <f t="array" ref="BD105">_xlfn.LET(
  _xlpm.w, BD$11,
  _xlpm.r, MATCH(1,('3. Enter Indicator Scores'!$B$10:$B$161=$B105)*('3. Enter Indicator Scores'!$C$10:$C$161=$C105),0),
  _xlpm.c, MATCH(BD$8,'3. Enter Indicator Scores'!$D$8:$CZ$8,0),
  _xlpm.v, IFERROR(INDEX('3. Enter Indicator Scores'!$D$10:$CZ$161,_xlpm.r,_xlpm.c),""),
  IF(OR(_xlpm.w="",_xlpm.v=""),"",_xlpm.v*_xlpm.w)
)</f>
        <v/>
      </c>
      <c r="BE105" s="93" t="str" cm="1">
        <f t="array" ref="BE105">_xlfn.LET(
  _xlpm.w, BE$11,
  _xlpm.r, MATCH(1,('3. Enter Indicator Scores'!$B$10:$B$161=$B105)*('3. Enter Indicator Scores'!$C$10:$C$161=$C105),0),
  _xlpm.c, MATCH(BE$8,'3. Enter Indicator Scores'!$D$8:$CZ$8,0),
  _xlpm.v, IFERROR(INDEX('3. Enter Indicator Scores'!$D$10:$CZ$161,_xlpm.r,_xlpm.c),""),
  IF(OR(_xlpm.w="",_xlpm.v=""),"",_xlpm.v*_xlpm.w)
)</f>
        <v/>
      </c>
      <c r="BF105" s="93" t="str" cm="1">
        <f t="array" ref="BF105">_xlfn.LET(
  _xlpm.w, BF$11,
  _xlpm.r, MATCH(1,('3. Enter Indicator Scores'!$B$10:$B$161=$B105)*('3. Enter Indicator Scores'!$C$10:$C$161=$C105),0),
  _xlpm.c, MATCH(BF$8,'3. Enter Indicator Scores'!$D$8:$CZ$8,0),
  _xlpm.v, IFERROR(INDEX('3. Enter Indicator Scores'!$D$10:$CZ$161,_xlpm.r,_xlpm.c),""),
  IF(OR(_xlpm.w="",_xlpm.v=""),"",_xlpm.v*_xlpm.w)
)</f>
        <v/>
      </c>
      <c r="BG105" s="93" t="str" cm="1">
        <f t="array" ref="BG105">_xlfn.LET(
  _xlpm.w, BG$11,
  _xlpm.r, MATCH(1,('3. Enter Indicator Scores'!$B$10:$B$161=$B105)*('3. Enter Indicator Scores'!$C$10:$C$161=$C105),0),
  _xlpm.c, MATCH(BG$8,'3. Enter Indicator Scores'!$D$8:$CZ$8,0),
  _xlpm.v, IFERROR(INDEX('3. Enter Indicator Scores'!$D$10:$CZ$161,_xlpm.r,_xlpm.c),""),
  IF(OR(_xlpm.w="",_xlpm.v=""),"",_xlpm.v*_xlpm.w)
)</f>
        <v/>
      </c>
      <c r="BH105" s="93" t="str" cm="1">
        <f t="array" ref="BH105">_xlfn.LET(
  _xlpm.w, BH$11,
  _xlpm.r, MATCH(1,('3. Enter Indicator Scores'!$B$10:$B$161=$B105)*('3. Enter Indicator Scores'!$C$10:$C$161=$C105),0),
  _xlpm.c, MATCH(BH$8,'3. Enter Indicator Scores'!$D$8:$CZ$8,0),
  _xlpm.v, IFERROR(INDEX('3. Enter Indicator Scores'!$D$10:$CZ$161,_xlpm.r,_xlpm.c),""),
  IF(OR(_xlpm.w="",_xlpm.v=""),"",_xlpm.v*_xlpm.w)
)</f>
        <v/>
      </c>
      <c r="BI105" s="93" t="str" cm="1">
        <f t="array" ref="BI105">_xlfn.LET(
  _xlpm.w, BI$11,
  _xlpm.r, MATCH(1,('3. Enter Indicator Scores'!$B$10:$B$161=$B105)*('3. Enter Indicator Scores'!$C$10:$C$161=$C105),0),
  _xlpm.c, MATCH(BI$8,'3. Enter Indicator Scores'!$D$8:$CZ$8,0),
  _xlpm.v, IFERROR(INDEX('3. Enter Indicator Scores'!$D$10:$CZ$161,_xlpm.r,_xlpm.c),""),
  IF(OR(_xlpm.w="",_xlpm.v=""),"",_xlpm.v*_xlpm.w)
)</f>
        <v/>
      </c>
      <c r="BJ105" s="93" t="str" cm="1">
        <f t="array" ref="BJ105">_xlfn.LET(
  _xlpm.w, BJ$11,
  _xlpm.r, MATCH(1,('3. Enter Indicator Scores'!$B$10:$B$161=$B105)*('3. Enter Indicator Scores'!$C$10:$C$161=$C105),0),
  _xlpm.c, MATCH(BJ$8,'3. Enter Indicator Scores'!$D$8:$CZ$8,0),
  _xlpm.v, IFERROR(INDEX('3. Enter Indicator Scores'!$D$10:$CZ$161,_xlpm.r,_xlpm.c),""),
  IF(OR(_xlpm.w="",_xlpm.v=""),"",_xlpm.v*_xlpm.w)
)</f>
        <v/>
      </c>
      <c r="BK105" s="93" t="str" cm="1">
        <f t="array" ref="BK105">_xlfn.LET(
  _xlpm.w, BK$11,
  _xlpm.r, MATCH(1,('3. Enter Indicator Scores'!$B$10:$B$161=$B105)*('3. Enter Indicator Scores'!$C$10:$C$161=$C105),0),
  _xlpm.c, MATCH(BK$8,'3. Enter Indicator Scores'!$D$8:$CZ$8,0),
  _xlpm.v, IFERROR(INDEX('3. Enter Indicator Scores'!$D$10:$CZ$161,_xlpm.r,_xlpm.c),""),
  IF(OR(_xlpm.w="",_xlpm.v=""),"",_xlpm.v*_xlpm.w)
)</f>
        <v/>
      </c>
      <c r="BL105" s="93" t="str" cm="1">
        <f t="array" ref="BL105">_xlfn.LET(
  _xlpm.w, BL$11,
  _xlpm.r, MATCH(1,('3. Enter Indicator Scores'!$B$10:$B$161=$B105)*('3. Enter Indicator Scores'!$C$10:$C$161=$C105),0),
  _xlpm.c, MATCH(BL$8,'3. Enter Indicator Scores'!$D$8:$CZ$8,0),
  _xlpm.v, IFERROR(INDEX('3. Enter Indicator Scores'!$D$10:$CZ$161,_xlpm.r,_xlpm.c),""),
  IF(OR(_xlpm.w="",_xlpm.v=""),"",_xlpm.v*_xlpm.w)
)</f>
        <v/>
      </c>
      <c r="BM105" s="93" t="str" cm="1">
        <f t="array" ref="BM105">_xlfn.LET(
  _xlpm.w, BM$11,
  _xlpm.r, MATCH(1,('3. Enter Indicator Scores'!$B$10:$B$161=$B105)*('3. Enter Indicator Scores'!$C$10:$C$161=$C105),0),
  _xlpm.c, MATCH(BM$8,'3. Enter Indicator Scores'!$D$8:$CZ$8,0),
  _xlpm.v, IFERROR(INDEX('3. Enter Indicator Scores'!$D$10:$CZ$161,_xlpm.r,_xlpm.c),""),
  IF(OR(_xlpm.w="",_xlpm.v=""),"",_xlpm.v*_xlpm.w)
)</f>
        <v/>
      </c>
      <c r="BN105" s="93" t="str" cm="1">
        <f t="array" ref="BN105">_xlfn.LET(
  _xlpm.w, BN$11,
  _xlpm.r, MATCH(1,('3. Enter Indicator Scores'!$B$10:$B$161=$B105)*('3. Enter Indicator Scores'!$C$10:$C$161=$C105),0),
  _xlpm.c, MATCH(BN$8,'3. Enter Indicator Scores'!$D$8:$CZ$8,0),
  _xlpm.v, IFERROR(INDEX('3. Enter Indicator Scores'!$D$10:$CZ$161,_xlpm.r,_xlpm.c),""),
  IF(OR(_xlpm.w="",_xlpm.v=""),"",_xlpm.v*_xlpm.w)
)</f>
        <v/>
      </c>
      <c r="BO105" s="93" t="str" cm="1">
        <f t="array" ref="BO105">_xlfn.LET(
  _xlpm.w, BO$11,
  _xlpm.r, MATCH(1,('3. Enter Indicator Scores'!$B$10:$B$161=$B105)*('3. Enter Indicator Scores'!$C$10:$C$161=$C105),0),
  _xlpm.c, MATCH(BO$8,'3. Enter Indicator Scores'!$D$8:$CZ$8,0),
  _xlpm.v, IFERROR(INDEX('3. Enter Indicator Scores'!$D$10:$CZ$161,_xlpm.r,_xlpm.c),""),
  IF(OR(_xlpm.w="",_xlpm.v=""),"",_xlpm.v*_xlpm.w)
)</f>
        <v/>
      </c>
      <c r="BP105" s="93" t="str" cm="1">
        <f t="array" ref="BP105">_xlfn.LET(
  _xlpm.w, BP$11,
  _xlpm.r, MATCH(1,('3. Enter Indicator Scores'!$B$10:$B$161=$B105)*('3. Enter Indicator Scores'!$C$10:$C$161=$C105),0),
  _xlpm.c, MATCH(BP$8,'3. Enter Indicator Scores'!$D$8:$CZ$8,0),
  _xlpm.v, IFERROR(INDEX('3. Enter Indicator Scores'!$D$10:$CZ$161,_xlpm.r,_xlpm.c),""),
  IF(OR(_xlpm.w="",_xlpm.v=""),"",_xlpm.v*_xlpm.w)
)</f>
        <v/>
      </c>
      <c r="BQ105" s="93" t="str" cm="1">
        <f t="array" ref="BQ105">_xlfn.LET(
  _xlpm.w, BQ$11,
  _xlpm.r, MATCH(1,('3. Enter Indicator Scores'!$B$10:$B$161=$B105)*('3. Enter Indicator Scores'!$C$10:$C$161=$C105),0),
  _xlpm.c, MATCH(BQ$8,'3. Enter Indicator Scores'!$D$8:$CZ$8,0),
  _xlpm.v, IFERROR(INDEX('3. Enter Indicator Scores'!$D$10:$CZ$161,_xlpm.r,_xlpm.c),""),
  IF(OR(_xlpm.w="",_xlpm.v=""),"",_xlpm.v*_xlpm.w)
)</f>
        <v/>
      </c>
      <c r="BR105" s="93" t="str" cm="1">
        <f t="array" ref="BR105">_xlfn.LET(
  _xlpm.w, BR$11,
  _xlpm.r, MATCH(1,('3. Enter Indicator Scores'!$B$10:$B$161=$B105)*('3. Enter Indicator Scores'!$C$10:$C$161=$C105),0),
  _xlpm.c, MATCH(BR$8,'3. Enter Indicator Scores'!$D$8:$CZ$8,0),
  _xlpm.v, IFERROR(INDEX('3. Enter Indicator Scores'!$D$10:$CZ$161,_xlpm.r,_xlpm.c),""),
  IF(OR(_xlpm.w="",_xlpm.v=""),"",_xlpm.v*_xlpm.w)
)</f>
        <v/>
      </c>
      <c r="BS105" s="93" t="str" cm="1">
        <f t="array" ref="BS105">_xlfn.LET(
  _xlpm.w, BS$11,
  _xlpm.r, MATCH(1,('3. Enter Indicator Scores'!$B$10:$B$161=$B105)*('3. Enter Indicator Scores'!$C$10:$C$161=$C105),0),
  _xlpm.c, MATCH(BS$8,'3. Enter Indicator Scores'!$D$8:$CZ$8,0),
  _xlpm.v, IFERROR(INDEX('3. Enter Indicator Scores'!$D$10:$CZ$161,_xlpm.r,_xlpm.c),""),
  IF(OR(_xlpm.w="",_xlpm.v=""),"",_xlpm.v*_xlpm.w)
)</f>
        <v/>
      </c>
      <c r="BT105" s="93" t="str" cm="1">
        <f t="array" ref="BT105">_xlfn.LET(
  _xlpm.w, BT$11,
  _xlpm.r, MATCH(1,('3. Enter Indicator Scores'!$B$10:$B$161=$B105)*('3. Enter Indicator Scores'!$C$10:$C$161=$C105),0),
  _xlpm.c, MATCH(BT$8,'3. Enter Indicator Scores'!$D$8:$CZ$8,0),
  _xlpm.v, IFERROR(INDEX('3. Enter Indicator Scores'!$D$10:$CZ$161,_xlpm.r,_xlpm.c),""),
  IF(OR(_xlpm.w="",_xlpm.v=""),"",_xlpm.v*_xlpm.w)
)</f>
        <v/>
      </c>
      <c r="BU105" s="93" t="str" cm="1">
        <f t="array" ref="BU105">_xlfn.LET(
  _xlpm.w, BU$11,
  _xlpm.r, MATCH(1,('3. Enter Indicator Scores'!$B$10:$B$161=$B105)*('3. Enter Indicator Scores'!$C$10:$C$161=$C105),0),
  _xlpm.c, MATCH(BU$8,'3. Enter Indicator Scores'!$D$8:$CZ$8,0),
  _xlpm.v, IFERROR(INDEX('3. Enter Indicator Scores'!$D$10:$CZ$161,_xlpm.r,_xlpm.c),""),
  IF(OR(_xlpm.w="",_xlpm.v=""),"",_xlpm.v*_xlpm.w)
)</f>
        <v/>
      </c>
      <c r="BV105" s="93" t="str" cm="1">
        <f t="array" ref="BV105">_xlfn.LET(
  _xlpm.w, BV$11,
  _xlpm.r, MATCH(1,('3. Enter Indicator Scores'!$B$10:$B$161=$B105)*('3. Enter Indicator Scores'!$C$10:$C$161=$C105),0),
  _xlpm.c, MATCH(BV$8,'3. Enter Indicator Scores'!$D$8:$CZ$8,0),
  _xlpm.v, IFERROR(INDEX('3. Enter Indicator Scores'!$D$10:$CZ$161,_xlpm.r,_xlpm.c),""),
  IF(OR(_xlpm.w="",_xlpm.v=""),"",_xlpm.v*_xlpm.w)
)</f>
        <v/>
      </c>
      <c r="BW105" s="93" t="str" cm="1">
        <f t="array" ref="BW105">_xlfn.LET(
  _xlpm.w, BW$11,
  _xlpm.r, MATCH(1,('3. Enter Indicator Scores'!$B$10:$B$161=$B105)*('3. Enter Indicator Scores'!$C$10:$C$161=$C105),0),
  _xlpm.c, MATCH(BW$8,'3. Enter Indicator Scores'!$D$8:$CZ$8,0),
  _xlpm.v, IFERROR(INDEX('3. Enter Indicator Scores'!$D$10:$CZ$161,_xlpm.r,_xlpm.c),""),
  IF(OR(_xlpm.w="",_xlpm.v=""),"",_xlpm.v*_xlpm.w)
)</f>
        <v/>
      </c>
      <c r="BX105" s="93" t="str" cm="1">
        <f t="array" ref="BX105">_xlfn.LET(
  _xlpm.w, BX$11,
  _xlpm.r, MATCH(1,('3. Enter Indicator Scores'!$B$10:$B$161=$B105)*('3. Enter Indicator Scores'!$C$10:$C$161=$C105),0),
  _xlpm.c, MATCH(BX$8,'3. Enter Indicator Scores'!$D$8:$CZ$8,0),
  _xlpm.v, IFERROR(INDEX('3. Enter Indicator Scores'!$D$10:$CZ$161,_xlpm.r,_xlpm.c),""),
  IF(OR(_xlpm.w="",_xlpm.v=""),"",_xlpm.v*_xlpm.w)
)</f>
        <v/>
      </c>
      <c r="BY105" s="93" t="str" cm="1">
        <f t="array" ref="BY105">_xlfn.LET(
  _xlpm.w, BY$11,
  _xlpm.r, MATCH(1,('3. Enter Indicator Scores'!$B$10:$B$161=$B105)*('3. Enter Indicator Scores'!$C$10:$C$161=$C105),0),
  _xlpm.c, MATCH(BY$8,'3. Enter Indicator Scores'!$D$8:$CZ$8,0),
  _xlpm.v, IFERROR(INDEX('3. Enter Indicator Scores'!$D$10:$CZ$161,_xlpm.r,_xlpm.c),""),
  IF(OR(_xlpm.w="",_xlpm.v=""),"",_xlpm.v*_xlpm.w)
)</f>
        <v/>
      </c>
      <c r="BZ105" s="93" t="str" cm="1">
        <f t="array" ref="BZ105">_xlfn.LET(
  _xlpm.w, BZ$11,
  _xlpm.r, MATCH(1,('3. Enter Indicator Scores'!$B$10:$B$161=$B105)*('3. Enter Indicator Scores'!$C$10:$C$161=$C105),0),
  _xlpm.c, MATCH(BZ$8,'3. Enter Indicator Scores'!$D$8:$CZ$8,0),
  _xlpm.v, IFERROR(INDEX('3. Enter Indicator Scores'!$D$10:$CZ$161,_xlpm.r,_xlpm.c),""),
  IF(OR(_xlpm.w="",_xlpm.v=""),"",_xlpm.v*_xlpm.w)
)</f>
        <v/>
      </c>
      <c r="CA105" s="93" t="str" cm="1">
        <f t="array" ref="CA105">_xlfn.LET(
  _xlpm.w, CA$11,
  _xlpm.r, MATCH(1,('3. Enter Indicator Scores'!$B$10:$B$161=$B105)*('3. Enter Indicator Scores'!$C$10:$C$161=$C105),0),
  _xlpm.c, MATCH(CA$8,'3. Enter Indicator Scores'!$D$8:$CZ$8,0),
  _xlpm.v, IFERROR(INDEX('3. Enter Indicator Scores'!$D$10:$CZ$161,_xlpm.r,_xlpm.c),""),
  IF(OR(_xlpm.w="",_xlpm.v=""),"",_xlpm.v*_xlpm.w)
)</f>
        <v/>
      </c>
      <c r="CB105" s="93" t="str" cm="1">
        <f t="array" ref="CB105">_xlfn.LET(
  _xlpm.w, CB$11,
  _xlpm.r, MATCH(1,('3. Enter Indicator Scores'!$B$10:$B$161=$B105)*('3. Enter Indicator Scores'!$C$10:$C$161=$C105),0),
  _xlpm.c, MATCH(CB$8,'3. Enter Indicator Scores'!$D$8:$CZ$8,0),
  _xlpm.v, IFERROR(INDEX('3. Enter Indicator Scores'!$D$10:$CZ$161,_xlpm.r,_xlpm.c),""),
  IF(OR(_xlpm.w="",_xlpm.v=""),"",_xlpm.v*_xlpm.w)
)</f>
        <v/>
      </c>
      <c r="CC105" s="93" t="str" cm="1">
        <f t="array" ref="CC105">_xlfn.LET(
  _xlpm.w, CC$11,
  _xlpm.r, MATCH(1,('3. Enter Indicator Scores'!$B$10:$B$161=$B105)*('3. Enter Indicator Scores'!$C$10:$C$161=$C105),0),
  _xlpm.c, MATCH(CC$8,'3. Enter Indicator Scores'!$D$8:$CZ$8,0),
  _xlpm.v, IFERROR(INDEX('3. Enter Indicator Scores'!$D$10:$CZ$161,_xlpm.r,_xlpm.c),""),
  IF(OR(_xlpm.w="",_xlpm.v=""),"",_xlpm.v*_xlpm.w)
)</f>
        <v/>
      </c>
      <c r="CD105" s="93" t="str" cm="1">
        <f t="array" ref="CD105">_xlfn.LET(
  _xlpm.w, CD$11,
  _xlpm.r, MATCH(1,('3. Enter Indicator Scores'!$B$10:$B$161=$B105)*('3. Enter Indicator Scores'!$C$10:$C$161=$C105),0),
  _xlpm.c, MATCH(CD$8,'3. Enter Indicator Scores'!$D$8:$CZ$8,0),
  _xlpm.v, IFERROR(INDEX('3. Enter Indicator Scores'!$D$10:$CZ$161,_xlpm.r,_xlpm.c),""),
  IF(OR(_xlpm.w="",_xlpm.v=""),"",_xlpm.v*_xlpm.w)
)</f>
        <v/>
      </c>
      <c r="CE105" s="93" t="str" cm="1">
        <f t="array" ref="CE105">_xlfn.LET(
  _xlpm.w, CE$11,
  _xlpm.r, MATCH(1,('3. Enter Indicator Scores'!$B$10:$B$161=$B105)*('3. Enter Indicator Scores'!$C$10:$C$161=$C105),0),
  _xlpm.c, MATCH(CE$8,'3. Enter Indicator Scores'!$D$8:$CZ$8,0),
  _xlpm.v, IFERROR(INDEX('3. Enter Indicator Scores'!$D$10:$CZ$161,_xlpm.r,_xlpm.c),""),
  IF(OR(_xlpm.w="",_xlpm.v=""),"",_xlpm.v*_xlpm.w)
)</f>
        <v/>
      </c>
      <c r="CF105" s="93" t="str" cm="1">
        <f t="array" ref="CF105">_xlfn.LET(
  _xlpm.w, CF$11,
  _xlpm.r, MATCH(1,('3. Enter Indicator Scores'!$B$10:$B$161=$B105)*('3. Enter Indicator Scores'!$C$10:$C$161=$C105),0),
  _xlpm.c, MATCH(CF$8,'3. Enter Indicator Scores'!$D$8:$CZ$8,0),
  _xlpm.v, IFERROR(INDEX('3. Enter Indicator Scores'!$D$10:$CZ$161,_xlpm.r,_xlpm.c),""),
  IF(OR(_xlpm.w="",_xlpm.v=""),"",_xlpm.v*_xlpm.w)
)</f>
        <v/>
      </c>
      <c r="CG105" s="93" t="str" cm="1">
        <f t="array" ref="CG105">_xlfn.LET(
  _xlpm.w, CG$11,
  _xlpm.r, MATCH(1,('3. Enter Indicator Scores'!$B$10:$B$161=$B105)*('3. Enter Indicator Scores'!$C$10:$C$161=$C105),0),
  _xlpm.c, MATCH(CG$8,'3. Enter Indicator Scores'!$D$8:$CZ$8,0),
  _xlpm.v, IFERROR(INDEX('3. Enter Indicator Scores'!$D$10:$CZ$161,_xlpm.r,_xlpm.c),""),
  IF(OR(_xlpm.w="",_xlpm.v=""),"",_xlpm.v*_xlpm.w)
)</f>
        <v/>
      </c>
      <c r="CH105" s="93" t="str" cm="1">
        <f t="array" ref="CH105">_xlfn.LET(
  _xlpm.w, CH$11,
  _xlpm.r, MATCH(1,('3. Enter Indicator Scores'!$B$10:$B$161=$B105)*('3. Enter Indicator Scores'!$C$10:$C$161=$C105),0),
  _xlpm.c, MATCH(CH$8,'3. Enter Indicator Scores'!$D$8:$CZ$8,0),
  _xlpm.v, IFERROR(INDEX('3. Enter Indicator Scores'!$D$10:$CZ$161,_xlpm.r,_xlpm.c),""),
  IF(OR(_xlpm.w="",_xlpm.v=""),"",_xlpm.v*_xlpm.w)
)</f>
        <v/>
      </c>
      <c r="CI105" s="93" t="str" cm="1">
        <f t="array" ref="CI105">_xlfn.LET(
  _xlpm.w, CI$11,
  _xlpm.r, MATCH(1,('3. Enter Indicator Scores'!$B$10:$B$161=$B105)*('3. Enter Indicator Scores'!$C$10:$C$161=$C105),0),
  _xlpm.c, MATCH(CI$8,'3. Enter Indicator Scores'!$D$8:$CZ$8,0),
  _xlpm.v, IFERROR(INDEX('3. Enter Indicator Scores'!$D$10:$CZ$161,_xlpm.r,_xlpm.c),""),
  IF(OR(_xlpm.w="",_xlpm.v=""),"",_xlpm.v*_xlpm.w)
)</f>
        <v/>
      </c>
      <c r="CJ105" s="93" t="str" cm="1">
        <f t="array" ref="CJ105">_xlfn.LET(
  _xlpm.w, CJ$11,
  _xlpm.r, MATCH(1,('3. Enter Indicator Scores'!$B$10:$B$161=$B105)*('3. Enter Indicator Scores'!$C$10:$C$161=$C105),0),
  _xlpm.c, MATCH(CJ$8,'3. Enter Indicator Scores'!$D$8:$CZ$8,0),
  _xlpm.v, IFERROR(INDEX('3. Enter Indicator Scores'!$D$10:$CZ$161,_xlpm.r,_xlpm.c),""),
  IF(OR(_xlpm.w="",_xlpm.v=""),"",_xlpm.v*_xlpm.w)
)</f>
        <v/>
      </c>
      <c r="CK105" s="93" t="str" cm="1">
        <f t="array" ref="CK105">_xlfn.LET(
  _xlpm.w, CK$11,
  _xlpm.r, MATCH(1,('3. Enter Indicator Scores'!$B$10:$B$161=$B105)*('3. Enter Indicator Scores'!$C$10:$C$161=$C105),0),
  _xlpm.c, MATCH(CK$8,'3. Enter Indicator Scores'!$D$8:$CZ$8,0),
  _xlpm.v, IFERROR(INDEX('3. Enter Indicator Scores'!$D$10:$CZ$161,_xlpm.r,_xlpm.c),""),
  IF(OR(_xlpm.w="",_xlpm.v=""),"",_xlpm.v*_xlpm.w)
)</f>
        <v/>
      </c>
      <c r="CL105" s="93" t="str" cm="1">
        <f t="array" ref="CL105">_xlfn.LET(
  _xlpm.w, CL$11,
  _xlpm.r, MATCH(1,('3. Enter Indicator Scores'!$B$10:$B$161=$B105)*('3. Enter Indicator Scores'!$C$10:$C$161=$C105),0),
  _xlpm.c, MATCH(CL$8,'3. Enter Indicator Scores'!$D$8:$CZ$8,0),
  _xlpm.v, IFERROR(INDEX('3. Enter Indicator Scores'!$D$10:$CZ$161,_xlpm.r,_xlpm.c),""),
  IF(OR(_xlpm.w="",_xlpm.v=""),"",_xlpm.v*_xlpm.w)
)</f>
        <v/>
      </c>
      <c r="CM105" s="93" t="str" cm="1">
        <f t="array" ref="CM105">_xlfn.LET(
  _xlpm.w, CM$11,
  _xlpm.r, MATCH(1,('3. Enter Indicator Scores'!$B$10:$B$161=$B105)*('3. Enter Indicator Scores'!$C$10:$C$161=$C105),0),
  _xlpm.c, MATCH(CM$8,'3. Enter Indicator Scores'!$D$8:$CZ$8,0),
  _xlpm.v, IFERROR(INDEX('3. Enter Indicator Scores'!$D$10:$CZ$161,_xlpm.r,_xlpm.c),""),
  IF(OR(_xlpm.w="",_xlpm.v=""),"",_xlpm.v*_xlpm.w)
)</f>
        <v/>
      </c>
      <c r="CN105" s="93" t="str" cm="1">
        <f t="array" ref="CN105">_xlfn.LET(
  _xlpm.w, CN$11,
  _xlpm.r, MATCH(1,('3. Enter Indicator Scores'!$B$10:$B$161=$B105)*('3. Enter Indicator Scores'!$C$10:$C$161=$C105),0),
  _xlpm.c, MATCH(CN$8,'3. Enter Indicator Scores'!$D$8:$CZ$8,0),
  _xlpm.v, IFERROR(INDEX('3. Enter Indicator Scores'!$D$10:$CZ$161,_xlpm.r,_xlpm.c),""),
  IF(OR(_xlpm.w="",_xlpm.v=""),"",_xlpm.v*_xlpm.w)
)</f>
        <v/>
      </c>
      <c r="CO105" s="93" t="str" cm="1">
        <f t="array" ref="CO105">_xlfn.LET(
  _xlpm.w, CO$11,
  _xlpm.r, MATCH(1,('3. Enter Indicator Scores'!$B$10:$B$161=$B105)*('3. Enter Indicator Scores'!$C$10:$C$161=$C105),0),
  _xlpm.c, MATCH(CO$8,'3. Enter Indicator Scores'!$D$8:$CZ$8,0),
  _xlpm.v, IFERROR(INDEX('3. Enter Indicator Scores'!$D$10:$CZ$161,_xlpm.r,_xlpm.c),""),
  IF(OR(_xlpm.w="",_xlpm.v=""),"",_xlpm.v*_xlpm.w)
)</f>
        <v/>
      </c>
      <c r="CP105" s="93" t="str" cm="1">
        <f t="array" ref="CP105">_xlfn.LET(
  _xlpm.w, CP$11,
  _xlpm.r, MATCH(1,('3. Enter Indicator Scores'!$B$10:$B$161=$B105)*('3. Enter Indicator Scores'!$C$10:$C$161=$C105),0),
  _xlpm.c, MATCH(CP$8,'3. Enter Indicator Scores'!$D$8:$CZ$8,0),
  _xlpm.v, IFERROR(INDEX('3. Enter Indicator Scores'!$D$10:$CZ$161,_xlpm.r,_xlpm.c),""),
  IF(OR(_xlpm.w="",_xlpm.v=""),"",_xlpm.v*_xlpm.w)
)</f>
        <v/>
      </c>
      <c r="CQ105" s="93" t="str" cm="1">
        <f t="array" ref="CQ105">_xlfn.LET(
  _xlpm.w, CQ$11,
  _xlpm.r, MATCH(1,('3. Enter Indicator Scores'!$B$10:$B$161=$B105)*('3. Enter Indicator Scores'!$C$10:$C$161=$C105),0),
  _xlpm.c, MATCH(CQ$8,'3. Enter Indicator Scores'!$D$8:$CZ$8,0),
  _xlpm.v, IFERROR(INDEX('3. Enter Indicator Scores'!$D$10:$CZ$161,_xlpm.r,_xlpm.c),""),
  IF(OR(_xlpm.w="",_xlpm.v=""),"",_xlpm.v*_xlpm.w)
)</f>
        <v/>
      </c>
      <c r="CR105" s="93" t="str" cm="1">
        <f t="array" ref="CR105">_xlfn.LET(
  _xlpm.w, CR$11,
  _xlpm.r, MATCH(1,('3. Enter Indicator Scores'!$B$10:$B$161=$B105)*('3. Enter Indicator Scores'!$C$10:$C$161=$C105),0),
  _xlpm.c, MATCH(CR$8,'3. Enter Indicator Scores'!$D$8:$CZ$8,0),
  _xlpm.v, IFERROR(INDEX('3. Enter Indicator Scores'!$D$10:$CZ$161,_xlpm.r,_xlpm.c),""),
  IF(OR(_xlpm.w="",_xlpm.v=""),"",_xlpm.v*_xlpm.w)
)</f>
        <v/>
      </c>
      <c r="CS105" s="93" t="str" cm="1">
        <f t="array" ref="CS105">_xlfn.LET(
  _xlpm.w, CS$11,
  _xlpm.r, MATCH(1,('3. Enter Indicator Scores'!$B$10:$B$161=$B105)*('3. Enter Indicator Scores'!$C$10:$C$161=$C105),0),
  _xlpm.c, MATCH(CS$8,'3. Enter Indicator Scores'!$D$8:$CZ$8,0),
  _xlpm.v, IFERROR(INDEX('3. Enter Indicator Scores'!$D$10:$CZ$161,_xlpm.r,_xlpm.c),""),
  IF(OR(_xlpm.w="",_xlpm.v=""),"",_xlpm.v*_xlpm.w)
)</f>
        <v/>
      </c>
      <c r="CT105" s="93" t="str" cm="1">
        <f t="array" ref="CT105">_xlfn.LET(
  _xlpm.w, CT$11,
  _xlpm.r, MATCH(1,('3. Enter Indicator Scores'!$B$10:$B$161=$B105)*('3. Enter Indicator Scores'!$C$10:$C$161=$C105),0),
  _xlpm.c, MATCH(CT$8,'3. Enter Indicator Scores'!$D$8:$CZ$8,0),
  _xlpm.v, IFERROR(INDEX('3. Enter Indicator Scores'!$D$10:$CZ$161,_xlpm.r,_xlpm.c),""),
  IF(OR(_xlpm.w="",_xlpm.v=""),"",_xlpm.v*_xlpm.w)
)</f>
        <v/>
      </c>
      <c r="CU105" s="93" t="str" cm="1">
        <f t="array" ref="CU105">_xlfn.LET(
  _xlpm.w, CU$11,
  _xlpm.r, MATCH(1,('3. Enter Indicator Scores'!$B$10:$B$161=$B105)*('3. Enter Indicator Scores'!$C$10:$C$161=$C105),0),
  _xlpm.c, MATCH(CU$8,'3. Enter Indicator Scores'!$D$8:$CZ$8,0),
  _xlpm.v, IFERROR(INDEX('3. Enter Indicator Scores'!$D$10:$CZ$161,_xlpm.r,_xlpm.c),""),
  IF(OR(_xlpm.w="",_xlpm.v=""),"",_xlpm.v*_xlpm.w)
)</f>
        <v/>
      </c>
      <c r="CV105" s="93" t="str" cm="1">
        <f t="array" ref="CV105">_xlfn.LET(
  _xlpm.w, CV$11,
  _xlpm.r, MATCH(1,('3. Enter Indicator Scores'!$B$10:$B$161=$B105)*('3. Enter Indicator Scores'!$C$10:$C$161=$C105),0),
  _xlpm.c, MATCH(CV$8,'3. Enter Indicator Scores'!$D$8:$CZ$8,0),
  _xlpm.v, IFERROR(INDEX('3. Enter Indicator Scores'!$D$10:$CZ$161,_xlpm.r,_xlpm.c),""),
  IF(OR(_xlpm.w="",_xlpm.v=""),"",_xlpm.v*_xlpm.w)
)</f>
        <v/>
      </c>
      <c r="CW105" s="93" t="str" cm="1">
        <f t="array" ref="CW105">_xlfn.LET(
  _xlpm.w, CW$11,
  _xlpm.r, MATCH(1,('3. Enter Indicator Scores'!$B$10:$B$161=$B105)*('3. Enter Indicator Scores'!$C$10:$C$161=$C105),0),
  _xlpm.c, MATCH(CW$8,'3. Enter Indicator Scores'!$D$8:$CZ$8,0),
  _xlpm.v, IFERROR(INDEX('3. Enter Indicator Scores'!$D$10:$CZ$161,_xlpm.r,_xlpm.c),""),
  IF(OR(_xlpm.w="",_xlpm.v=""),"",_xlpm.v*_xlpm.w)
)</f>
        <v/>
      </c>
      <c r="CX105" s="93" t="str" cm="1">
        <f t="array" ref="CX105">_xlfn.LET(
  _xlpm.w, CX$11,
  _xlpm.r, MATCH(1,('3. Enter Indicator Scores'!$B$10:$B$161=$B105)*('3. Enter Indicator Scores'!$C$10:$C$161=$C105),0),
  _xlpm.c, MATCH(CX$8,'3. Enter Indicator Scores'!$D$8:$CZ$8,0),
  _xlpm.v, IFERROR(INDEX('3. Enter Indicator Scores'!$D$10:$CZ$161,_xlpm.r,_xlpm.c),""),
  IF(OR(_xlpm.w="",_xlpm.v=""),"",_xlpm.v*_xlpm.w)
)</f>
        <v/>
      </c>
      <c r="CY105" s="93" t="str" cm="1">
        <f t="array" ref="CY105">_xlfn.LET(
  _xlpm.w, CY$11,
  _xlpm.r, MATCH(1,('3. Enter Indicator Scores'!$B$10:$B$161=$B105)*('3. Enter Indicator Scores'!$C$10:$C$161=$C105),0),
  _xlpm.c, MATCH(CY$8,'3. Enter Indicator Scores'!$D$8:$CZ$8,0),
  _xlpm.v, IFERROR(INDEX('3. Enter Indicator Scores'!$D$10:$CZ$161,_xlpm.r,_xlpm.c),""),
  IF(OR(_xlpm.w="",_xlpm.v=""),"",_xlpm.v*_xlpm.w)
)</f>
        <v/>
      </c>
      <c r="CZ105" s="93" t="str" cm="1">
        <f t="array" ref="CZ105">_xlfn.LET(
  _xlpm.w, CZ$11,
  _xlpm.r, MATCH(1,('3. Enter Indicator Scores'!$B$10:$B$161=$B105)*('3. Enter Indicator Scores'!$C$10:$C$161=$C105),0),
  _xlpm.c, MATCH(CZ$8,'3. Enter Indicator Scores'!$D$8:$CZ$8,0),
  _xlpm.v, IFERROR(INDEX('3. Enter Indicator Scores'!$D$10:$CZ$161,_xlpm.r,_xlpm.c),""),
  IF(OR(_xlpm.w="",_xlpm.v=""),"",_xlpm.v*_xlpm.w)
)</f>
        <v/>
      </c>
    </row>
    <row r="106" spans="4:104" x14ac:dyDescent="0.2">
      <c r="D106" s="93" t="str" cm="1">
        <f t="array" ref="D106">_xlfn.LET(
  _xlpm.w, D$11,
  _xlpm.r, MATCH(1,('3. Enter Indicator Scores'!$B$10:$B$161=$B106)*('3. Enter Indicator Scores'!$C$10:$C$161=$C106),0),
  _xlpm.c, MATCH(D$8,'3. Enter Indicator Scores'!$D$8:$CZ$8,0),
  _xlpm.v, IFERROR(INDEX('3. Enter Indicator Scores'!$D$10:$CZ$161,_xlpm.r,_xlpm.c),""),
  IF(OR(_xlpm.w="",_xlpm.v=""),"",_xlpm.v*_xlpm.w)
)</f>
        <v/>
      </c>
      <c r="E106" s="93" t="str" cm="1">
        <f t="array" ref="E106">_xlfn.LET(
  _xlpm.w, E$11,
  _xlpm.r, MATCH(1,('3. Enter Indicator Scores'!$B$10:$B$161=$B106)*('3. Enter Indicator Scores'!$C$10:$C$161=$C106),0),
  _xlpm.c, MATCH(E$8,'3. Enter Indicator Scores'!$D$8:$CZ$8,0),
  _xlpm.v, IFERROR(INDEX('3. Enter Indicator Scores'!$D$10:$CZ$161,_xlpm.r,_xlpm.c),""),
  IF(OR(_xlpm.w="",_xlpm.v=""),"",_xlpm.v*_xlpm.w)
)</f>
        <v/>
      </c>
      <c r="F106" s="93" t="str" cm="1">
        <f t="array" ref="F106">_xlfn.LET(
  _xlpm.w, F$11,
  _xlpm.r, MATCH(1,('3. Enter Indicator Scores'!$B$10:$B$161=$B106)*('3. Enter Indicator Scores'!$C$10:$C$161=$C106),0),
  _xlpm.c, MATCH(F$8,'3. Enter Indicator Scores'!$D$8:$CZ$8,0),
  _xlpm.v, IFERROR(INDEX('3. Enter Indicator Scores'!$D$10:$CZ$161,_xlpm.r,_xlpm.c),""),
  IF(OR(_xlpm.w="",_xlpm.v=""),"",_xlpm.v*_xlpm.w)
)</f>
        <v/>
      </c>
      <c r="G106" s="93" t="str" cm="1">
        <f t="array" ref="G106">_xlfn.LET(
  _xlpm.w, G$11,
  _xlpm.r, MATCH(1,('3. Enter Indicator Scores'!$B$10:$B$161=$B106)*('3. Enter Indicator Scores'!$C$10:$C$161=$C106),0),
  _xlpm.c, MATCH(G$8,'3. Enter Indicator Scores'!$D$8:$CZ$8,0),
  _xlpm.v, IFERROR(INDEX('3. Enter Indicator Scores'!$D$10:$CZ$161,_xlpm.r,_xlpm.c),""),
  IF(OR(_xlpm.w="",_xlpm.v=""),"",_xlpm.v*_xlpm.w)
)</f>
        <v/>
      </c>
      <c r="H106" s="93" t="str" cm="1">
        <f t="array" ref="H106">_xlfn.LET(
  _xlpm.w, H$11,
  _xlpm.r, MATCH(1,('3. Enter Indicator Scores'!$B$10:$B$161=$B106)*('3. Enter Indicator Scores'!$C$10:$C$161=$C106),0),
  _xlpm.c, MATCH(H$8,'3. Enter Indicator Scores'!$D$8:$CZ$8,0),
  _xlpm.v, IFERROR(INDEX('3. Enter Indicator Scores'!$D$10:$CZ$161,_xlpm.r,_xlpm.c),""),
  IF(OR(_xlpm.w="",_xlpm.v=""),"",_xlpm.v*_xlpm.w)
)</f>
        <v/>
      </c>
      <c r="I106" s="93" t="str" cm="1">
        <f t="array" ref="I106">_xlfn.LET(
  _xlpm.w, I$11,
  _xlpm.r, MATCH(1,('3. Enter Indicator Scores'!$B$10:$B$161=$B106)*('3. Enter Indicator Scores'!$C$10:$C$161=$C106),0),
  _xlpm.c, MATCH(I$8,'3. Enter Indicator Scores'!$D$8:$CZ$8,0),
  _xlpm.v, IFERROR(INDEX('3. Enter Indicator Scores'!$D$10:$CZ$161,_xlpm.r,_xlpm.c),""),
  IF(OR(_xlpm.w="",_xlpm.v=""),"",_xlpm.v*_xlpm.w)
)</f>
        <v/>
      </c>
      <c r="J106" s="93" t="str" cm="1">
        <f t="array" ref="J106">_xlfn.LET(
  _xlpm.w, J$11,
  _xlpm.r, MATCH(1,('3. Enter Indicator Scores'!$B$10:$B$161=$B106)*('3. Enter Indicator Scores'!$C$10:$C$161=$C106),0),
  _xlpm.c, MATCH(J$8,'3. Enter Indicator Scores'!$D$8:$CZ$8,0),
  _xlpm.v, IFERROR(INDEX('3. Enter Indicator Scores'!$D$10:$CZ$161,_xlpm.r,_xlpm.c),""),
  IF(OR(_xlpm.w="",_xlpm.v=""),"",_xlpm.v*_xlpm.w)
)</f>
        <v/>
      </c>
      <c r="K106" s="93" t="str" cm="1">
        <f t="array" ref="K106">_xlfn.LET(
  _xlpm.w, K$11,
  _xlpm.r, MATCH(1,('3. Enter Indicator Scores'!$B$10:$B$161=$B106)*('3. Enter Indicator Scores'!$C$10:$C$161=$C106),0),
  _xlpm.c, MATCH(K$8,'3. Enter Indicator Scores'!$D$8:$CZ$8,0),
  _xlpm.v, IFERROR(INDEX('3. Enter Indicator Scores'!$D$10:$CZ$161,_xlpm.r,_xlpm.c),""),
  IF(OR(_xlpm.w="",_xlpm.v=""),"",_xlpm.v*_xlpm.w)
)</f>
        <v/>
      </c>
      <c r="L106" s="93" t="str" cm="1">
        <f t="array" ref="L106">_xlfn.LET(
  _xlpm.w, L$11,
  _xlpm.r, MATCH(1,('3. Enter Indicator Scores'!$B$10:$B$161=$B106)*('3. Enter Indicator Scores'!$C$10:$C$161=$C106),0),
  _xlpm.c, MATCH(L$8,'3. Enter Indicator Scores'!$D$8:$CZ$8,0),
  _xlpm.v, IFERROR(INDEX('3. Enter Indicator Scores'!$D$10:$CZ$161,_xlpm.r,_xlpm.c),""),
  IF(OR(_xlpm.w="",_xlpm.v=""),"",_xlpm.v*_xlpm.w)
)</f>
        <v/>
      </c>
      <c r="M106" s="93" t="str" cm="1">
        <f t="array" ref="M106">_xlfn.LET(
  _xlpm.w, M$11,
  _xlpm.r, MATCH(1,('3. Enter Indicator Scores'!$B$10:$B$161=$B106)*('3. Enter Indicator Scores'!$C$10:$C$161=$C106),0),
  _xlpm.c, MATCH(M$8,'3. Enter Indicator Scores'!$D$8:$CZ$8,0),
  _xlpm.v, IFERROR(INDEX('3. Enter Indicator Scores'!$D$10:$CZ$161,_xlpm.r,_xlpm.c),""),
  IF(OR(_xlpm.w="",_xlpm.v=""),"",_xlpm.v*_xlpm.w)
)</f>
        <v/>
      </c>
      <c r="N106" s="93" t="str" cm="1">
        <f t="array" ref="N106">_xlfn.LET(
  _xlpm.w, N$11,
  _xlpm.r, MATCH(1,('3. Enter Indicator Scores'!$B$10:$B$161=$B106)*('3. Enter Indicator Scores'!$C$10:$C$161=$C106),0),
  _xlpm.c, MATCH(N$8,'3. Enter Indicator Scores'!$D$8:$CZ$8,0),
  _xlpm.v, IFERROR(INDEX('3. Enter Indicator Scores'!$D$10:$CZ$161,_xlpm.r,_xlpm.c),""),
  IF(OR(_xlpm.w="",_xlpm.v=""),"",_xlpm.v*_xlpm.w)
)</f>
        <v/>
      </c>
      <c r="O106" s="93" t="str" cm="1">
        <f t="array" ref="O106">_xlfn.LET(
  _xlpm.w, O$11,
  _xlpm.r, MATCH(1,('3. Enter Indicator Scores'!$B$10:$B$161=$B106)*('3. Enter Indicator Scores'!$C$10:$C$161=$C106),0),
  _xlpm.c, MATCH(O$8,'3. Enter Indicator Scores'!$D$8:$CZ$8,0),
  _xlpm.v, IFERROR(INDEX('3. Enter Indicator Scores'!$D$10:$CZ$161,_xlpm.r,_xlpm.c),""),
  IF(OR(_xlpm.w="",_xlpm.v=""),"",_xlpm.v*_xlpm.w)
)</f>
        <v/>
      </c>
      <c r="P106" s="93" t="str" cm="1">
        <f t="array" ref="P106">_xlfn.LET(
  _xlpm.w, P$11,
  _xlpm.r, MATCH(1,('3. Enter Indicator Scores'!$B$10:$B$161=$B106)*('3. Enter Indicator Scores'!$C$10:$C$161=$C106),0),
  _xlpm.c, MATCH(P$8,'3. Enter Indicator Scores'!$D$8:$CZ$8,0),
  _xlpm.v, IFERROR(INDEX('3. Enter Indicator Scores'!$D$10:$CZ$161,_xlpm.r,_xlpm.c),""),
  IF(OR(_xlpm.w="",_xlpm.v=""),"",_xlpm.v*_xlpm.w)
)</f>
        <v/>
      </c>
      <c r="Q106" s="93" t="str" cm="1">
        <f t="array" ref="Q106">_xlfn.LET(
  _xlpm.w, Q$11,
  _xlpm.r, MATCH(1,('3. Enter Indicator Scores'!$B$10:$B$161=$B106)*('3. Enter Indicator Scores'!$C$10:$C$161=$C106),0),
  _xlpm.c, MATCH(Q$8,'3. Enter Indicator Scores'!$D$8:$CZ$8,0),
  _xlpm.v, IFERROR(INDEX('3. Enter Indicator Scores'!$D$10:$CZ$161,_xlpm.r,_xlpm.c),""),
  IF(OR(_xlpm.w="",_xlpm.v=""),"",_xlpm.v*_xlpm.w)
)</f>
        <v/>
      </c>
      <c r="R106" s="93" t="str" cm="1">
        <f t="array" ref="R106">_xlfn.LET(
  _xlpm.w, R$11,
  _xlpm.r, MATCH(1,('3. Enter Indicator Scores'!$B$10:$B$161=$B106)*('3. Enter Indicator Scores'!$C$10:$C$161=$C106),0),
  _xlpm.c, MATCH(R$8,'3. Enter Indicator Scores'!$D$8:$CZ$8,0),
  _xlpm.v, IFERROR(INDEX('3. Enter Indicator Scores'!$D$10:$CZ$161,_xlpm.r,_xlpm.c),""),
  IF(OR(_xlpm.w="",_xlpm.v=""),"",_xlpm.v*_xlpm.w)
)</f>
        <v/>
      </c>
      <c r="S106" s="93" t="str" cm="1">
        <f t="array" ref="S106">_xlfn.LET(
  _xlpm.w, S$11,
  _xlpm.r, MATCH(1,('3. Enter Indicator Scores'!$B$10:$B$161=$B106)*('3. Enter Indicator Scores'!$C$10:$C$161=$C106),0),
  _xlpm.c, MATCH(S$8,'3. Enter Indicator Scores'!$D$8:$CZ$8,0),
  _xlpm.v, IFERROR(INDEX('3. Enter Indicator Scores'!$D$10:$CZ$161,_xlpm.r,_xlpm.c),""),
  IF(OR(_xlpm.w="",_xlpm.v=""),"",_xlpm.v*_xlpm.w)
)</f>
        <v/>
      </c>
      <c r="T106" s="93" t="str" cm="1">
        <f t="array" ref="T106">_xlfn.LET(
  _xlpm.w, T$11,
  _xlpm.r, MATCH(1,('3. Enter Indicator Scores'!$B$10:$B$161=$B106)*('3. Enter Indicator Scores'!$C$10:$C$161=$C106),0),
  _xlpm.c, MATCH(T$8,'3. Enter Indicator Scores'!$D$8:$CZ$8,0),
  _xlpm.v, IFERROR(INDEX('3. Enter Indicator Scores'!$D$10:$CZ$161,_xlpm.r,_xlpm.c),""),
  IF(OR(_xlpm.w="",_xlpm.v=""),"",_xlpm.v*_xlpm.w)
)</f>
        <v/>
      </c>
      <c r="U106" s="93" t="str" cm="1">
        <f t="array" ref="U106">_xlfn.LET(
  _xlpm.w, U$11,
  _xlpm.r, MATCH(1,('3. Enter Indicator Scores'!$B$10:$B$161=$B106)*('3. Enter Indicator Scores'!$C$10:$C$161=$C106),0),
  _xlpm.c, MATCH(U$8,'3. Enter Indicator Scores'!$D$8:$CZ$8,0),
  _xlpm.v, IFERROR(INDEX('3. Enter Indicator Scores'!$D$10:$CZ$161,_xlpm.r,_xlpm.c),""),
  IF(OR(_xlpm.w="",_xlpm.v=""),"",_xlpm.v*_xlpm.w)
)</f>
        <v/>
      </c>
      <c r="V106" s="93" t="str" cm="1">
        <f t="array" ref="V106">_xlfn.LET(
  _xlpm.w, V$11,
  _xlpm.r, MATCH(1,('3. Enter Indicator Scores'!$B$10:$B$161=$B106)*('3. Enter Indicator Scores'!$C$10:$C$161=$C106),0),
  _xlpm.c, MATCH(V$8,'3. Enter Indicator Scores'!$D$8:$CZ$8,0),
  _xlpm.v, IFERROR(INDEX('3. Enter Indicator Scores'!$D$10:$CZ$161,_xlpm.r,_xlpm.c),""),
  IF(OR(_xlpm.w="",_xlpm.v=""),"",_xlpm.v*_xlpm.w)
)</f>
        <v/>
      </c>
      <c r="W106" s="93" t="str" cm="1">
        <f t="array" ref="W106">_xlfn.LET(
  _xlpm.w, W$11,
  _xlpm.r, MATCH(1,('3. Enter Indicator Scores'!$B$10:$B$161=$B106)*('3. Enter Indicator Scores'!$C$10:$C$161=$C106),0),
  _xlpm.c, MATCH(W$8,'3. Enter Indicator Scores'!$D$8:$CZ$8,0),
  _xlpm.v, IFERROR(INDEX('3. Enter Indicator Scores'!$D$10:$CZ$161,_xlpm.r,_xlpm.c),""),
  IF(OR(_xlpm.w="",_xlpm.v=""),"",_xlpm.v*_xlpm.w)
)</f>
        <v/>
      </c>
      <c r="X106" s="93" t="str" cm="1">
        <f t="array" ref="X106">_xlfn.LET(
  _xlpm.w, X$11,
  _xlpm.r, MATCH(1,('3. Enter Indicator Scores'!$B$10:$B$161=$B106)*('3. Enter Indicator Scores'!$C$10:$C$161=$C106),0),
  _xlpm.c, MATCH(X$8,'3. Enter Indicator Scores'!$D$8:$CZ$8,0),
  _xlpm.v, IFERROR(INDEX('3. Enter Indicator Scores'!$D$10:$CZ$161,_xlpm.r,_xlpm.c),""),
  IF(OR(_xlpm.w="",_xlpm.v=""),"",_xlpm.v*_xlpm.w)
)</f>
        <v/>
      </c>
      <c r="Y106" s="93" t="str" cm="1">
        <f t="array" ref="Y106">_xlfn.LET(
  _xlpm.w, Y$11,
  _xlpm.r, MATCH(1,('3. Enter Indicator Scores'!$B$10:$B$161=$B106)*('3. Enter Indicator Scores'!$C$10:$C$161=$C106),0),
  _xlpm.c, MATCH(Y$8,'3. Enter Indicator Scores'!$D$8:$CZ$8,0),
  _xlpm.v, IFERROR(INDEX('3. Enter Indicator Scores'!$D$10:$CZ$161,_xlpm.r,_xlpm.c),""),
  IF(OR(_xlpm.w="",_xlpm.v=""),"",_xlpm.v*_xlpm.w)
)</f>
        <v/>
      </c>
      <c r="Z106" s="93" t="str" cm="1">
        <f t="array" ref="Z106">_xlfn.LET(
  _xlpm.w, Z$11,
  _xlpm.r, MATCH(1,('3. Enter Indicator Scores'!$B$10:$B$161=$B106)*('3. Enter Indicator Scores'!$C$10:$C$161=$C106),0),
  _xlpm.c, MATCH(Z$8,'3. Enter Indicator Scores'!$D$8:$CZ$8,0),
  _xlpm.v, IFERROR(INDEX('3. Enter Indicator Scores'!$D$10:$CZ$161,_xlpm.r,_xlpm.c),""),
  IF(OR(_xlpm.w="",_xlpm.v=""),"",_xlpm.v*_xlpm.w)
)</f>
        <v/>
      </c>
      <c r="AA106" s="93" t="str" cm="1">
        <f t="array" ref="AA106">_xlfn.LET(
  _xlpm.w, AA$11,
  _xlpm.r, MATCH(1,('3. Enter Indicator Scores'!$B$10:$B$161=$B106)*('3. Enter Indicator Scores'!$C$10:$C$161=$C106),0),
  _xlpm.c, MATCH(AA$8,'3. Enter Indicator Scores'!$D$8:$CZ$8,0),
  _xlpm.v, IFERROR(INDEX('3. Enter Indicator Scores'!$D$10:$CZ$161,_xlpm.r,_xlpm.c),""),
  IF(OR(_xlpm.w="",_xlpm.v=""),"",_xlpm.v*_xlpm.w)
)</f>
        <v/>
      </c>
      <c r="AB106" s="93" t="str" cm="1">
        <f t="array" ref="AB106">_xlfn.LET(
  _xlpm.w, AB$11,
  _xlpm.r, MATCH(1,('3. Enter Indicator Scores'!$B$10:$B$161=$B106)*('3. Enter Indicator Scores'!$C$10:$C$161=$C106),0),
  _xlpm.c, MATCH(AB$8,'3. Enter Indicator Scores'!$D$8:$CZ$8,0),
  _xlpm.v, IFERROR(INDEX('3. Enter Indicator Scores'!$D$10:$CZ$161,_xlpm.r,_xlpm.c),""),
  IF(OR(_xlpm.w="",_xlpm.v=""),"",_xlpm.v*_xlpm.w)
)</f>
        <v/>
      </c>
      <c r="AC106" s="93" t="str" cm="1">
        <f t="array" ref="AC106">_xlfn.LET(
  _xlpm.w, AC$11,
  _xlpm.r, MATCH(1,('3. Enter Indicator Scores'!$B$10:$B$161=$B106)*('3. Enter Indicator Scores'!$C$10:$C$161=$C106),0),
  _xlpm.c, MATCH(AC$8,'3. Enter Indicator Scores'!$D$8:$CZ$8,0),
  _xlpm.v, IFERROR(INDEX('3. Enter Indicator Scores'!$D$10:$CZ$161,_xlpm.r,_xlpm.c),""),
  IF(OR(_xlpm.w="",_xlpm.v=""),"",_xlpm.v*_xlpm.w)
)</f>
        <v/>
      </c>
      <c r="AD106" s="93" t="str" cm="1">
        <f t="array" ref="AD106">_xlfn.LET(
  _xlpm.w, AD$11,
  _xlpm.r, MATCH(1,('3. Enter Indicator Scores'!$B$10:$B$161=$B106)*('3. Enter Indicator Scores'!$C$10:$C$161=$C106),0),
  _xlpm.c, MATCH(AD$8,'3. Enter Indicator Scores'!$D$8:$CZ$8,0),
  _xlpm.v, IFERROR(INDEX('3. Enter Indicator Scores'!$D$10:$CZ$161,_xlpm.r,_xlpm.c),""),
  IF(OR(_xlpm.w="",_xlpm.v=""),"",_xlpm.v*_xlpm.w)
)</f>
        <v/>
      </c>
      <c r="AE106" s="93" t="str" cm="1">
        <f t="array" ref="AE106">_xlfn.LET(
  _xlpm.w, AE$11,
  _xlpm.r, MATCH(1,('3. Enter Indicator Scores'!$B$10:$B$161=$B106)*('3. Enter Indicator Scores'!$C$10:$C$161=$C106),0),
  _xlpm.c, MATCH(AE$8,'3. Enter Indicator Scores'!$D$8:$CZ$8,0),
  _xlpm.v, IFERROR(INDEX('3. Enter Indicator Scores'!$D$10:$CZ$161,_xlpm.r,_xlpm.c),""),
  IF(OR(_xlpm.w="",_xlpm.v=""),"",_xlpm.v*_xlpm.w)
)</f>
        <v/>
      </c>
      <c r="AF106" s="93" t="str" cm="1">
        <f t="array" ref="AF106">_xlfn.LET(
  _xlpm.w, AF$11,
  _xlpm.r, MATCH(1,('3. Enter Indicator Scores'!$B$10:$B$161=$B106)*('3. Enter Indicator Scores'!$C$10:$C$161=$C106),0),
  _xlpm.c, MATCH(AF$8,'3. Enter Indicator Scores'!$D$8:$CZ$8,0),
  _xlpm.v, IFERROR(INDEX('3. Enter Indicator Scores'!$D$10:$CZ$161,_xlpm.r,_xlpm.c),""),
  IF(OR(_xlpm.w="",_xlpm.v=""),"",_xlpm.v*_xlpm.w)
)</f>
        <v/>
      </c>
      <c r="AG106" s="93" t="str" cm="1">
        <f t="array" ref="AG106">_xlfn.LET(
  _xlpm.w, AG$11,
  _xlpm.r, MATCH(1,('3. Enter Indicator Scores'!$B$10:$B$161=$B106)*('3. Enter Indicator Scores'!$C$10:$C$161=$C106),0),
  _xlpm.c, MATCH(AG$8,'3. Enter Indicator Scores'!$D$8:$CZ$8,0),
  _xlpm.v, IFERROR(INDEX('3. Enter Indicator Scores'!$D$10:$CZ$161,_xlpm.r,_xlpm.c),""),
  IF(OR(_xlpm.w="",_xlpm.v=""),"",_xlpm.v*_xlpm.w)
)</f>
        <v/>
      </c>
      <c r="AH106" s="93" t="str" cm="1">
        <f t="array" ref="AH106">_xlfn.LET(
  _xlpm.w, AH$11,
  _xlpm.r, MATCH(1,('3. Enter Indicator Scores'!$B$10:$B$161=$B106)*('3. Enter Indicator Scores'!$C$10:$C$161=$C106),0),
  _xlpm.c, MATCH(AH$8,'3. Enter Indicator Scores'!$D$8:$CZ$8,0),
  _xlpm.v, IFERROR(INDEX('3. Enter Indicator Scores'!$D$10:$CZ$161,_xlpm.r,_xlpm.c),""),
  IF(OR(_xlpm.w="",_xlpm.v=""),"",_xlpm.v*_xlpm.w)
)</f>
        <v/>
      </c>
      <c r="AI106" s="93" t="str" cm="1">
        <f t="array" ref="AI106">_xlfn.LET(
  _xlpm.w, AI$11,
  _xlpm.r, MATCH(1,('3. Enter Indicator Scores'!$B$10:$B$161=$B106)*('3. Enter Indicator Scores'!$C$10:$C$161=$C106),0),
  _xlpm.c, MATCH(AI$8,'3. Enter Indicator Scores'!$D$8:$CZ$8,0),
  _xlpm.v, IFERROR(INDEX('3. Enter Indicator Scores'!$D$10:$CZ$161,_xlpm.r,_xlpm.c),""),
  IF(OR(_xlpm.w="",_xlpm.v=""),"",_xlpm.v*_xlpm.w)
)</f>
        <v/>
      </c>
      <c r="AJ106" s="93" t="str" cm="1">
        <f t="array" ref="AJ106">_xlfn.LET(
  _xlpm.w, AJ$11,
  _xlpm.r, MATCH(1,('3. Enter Indicator Scores'!$B$10:$B$161=$B106)*('3. Enter Indicator Scores'!$C$10:$C$161=$C106),0),
  _xlpm.c, MATCH(AJ$8,'3. Enter Indicator Scores'!$D$8:$CZ$8,0),
  _xlpm.v, IFERROR(INDEX('3. Enter Indicator Scores'!$D$10:$CZ$161,_xlpm.r,_xlpm.c),""),
  IF(OR(_xlpm.w="",_xlpm.v=""),"",_xlpm.v*_xlpm.w)
)</f>
        <v/>
      </c>
      <c r="AK106" s="93" t="str" cm="1">
        <f t="array" ref="AK106">_xlfn.LET(
  _xlpm.w, AK$11,
  _xlpm.r, MATCH(1,('3. Enter Indicator Scores'!$B$10:$B$161=$B106)*('3. Enter Indicator Scores'!$C$10:$C$161=$C106),0),
  _xlpm.c, MATCH(AK$8,'3. Enter Indicator Scores'!$D$8:$CZ$8,0),
  _xlpm.v, IFERROR(INDEX('3. Enter Indicator Scores'!$D$10:$CZ$161,_xlpm.r,_xlpm.c),""),
  IF(OR(_xlpm.w="",_xlpm.v=""),"",_xlpm.v*_xlpm.w)
)</f>
        <v/>
      </c>
      <c r="AL106" s="93" t="str" cm="1">
        <f t="array" ref="AL106">_xlfn.LET(
  _xlpm.w, AL$11,
  _xlpm.r, MATCH(1,('3. Enter Indicator Scores'!$B$10:$B$161=$B106)*('3. Enter Indicator Scores'!$C$10:$C$161=$C106),0),
  _xlpm.c, MATCH(AL$8,'3. Enter Indicator Scores'!$D$8:$CZ$8,0),
  _xlpm.v, IFERROR(INDEX('3. Enter Indicator Scores'!$D$10:$CZ$161,_xlpm.r,_xlpm.c),""),
  IF(OR(_xlpm.w="",_xlpm.v=""),"",_xlpm.v*_xlpm.w)
)</f>
        <v/>
      </c>
      <c r="AM106" s="93" t="str" cm="1">
        <f t="array" ref="AM106">_xlfn.LET(
  _xlpm.w, AM$11,
  _xlpm.r, MATCH(1,('3. Enter Indicator Scores'!$B$10:$B$161=$B106)*('3. Enter Indicator Scores'!$C$10:$C$161=$C106),0),
  _xlpm.c, MATCH(AM$8,'3. Enter Indicator Scores'!$D$8:$CZ$8,0),
  _xlpm.v, IFERROR(INDEX('3. Enter Indicator Scores'!$D$10:$CZ$161,_xlpm.r,_xlpm.c),""),
  IF(OR(_xlpm.w="",_xlpm.v=""),"",_xlpm.v*_xlpm.w)
)</f>
        <v/>
      </c>
      <c r="AN106" s="93" t="str" cm="1">
        <f t="array" ref="AN106">_xlfn.LET(
  _xlpm.w, AN$11,
  _xlpm.r, MATCH(1,('3. Enter Indicator Scores'!$B$10:$B$161=$B106)*('3. Enter Indicator Scores'!$C$10:$C$161=$C106),0),
  _xlpm.c, MATCH(AN$8,'3. Enter Indicator Scores'!$D$8:$CZ$8,0),
  _xlpm.v, IFERROR(INDEX('3. Enter Indicator Scores'!$D$10:$CZ$161,_xlpm.r,_xlpm.c),""),
  IF(OR(_xlpm.w="",_xlpm.v=""),"",_xlpm.v*_xlpm.w)
)</f>
        <v/>
      </c>
      <c r="AO106" s="93" t="str" cm="1">
        <f t="array" ref="AO106">_xlfn.LET(
  _xlpm.w, AO$11,
  _xlpm.r, MATCH(1,('3. Enter Indicator Scores'!$B$10:$B$161=$B106)*('3. Enter Indicator Scores'!$C$10:$C$161=$C106),0),
  _xlpm.c, MATCH(AO$8,'3. Enter Indicator Scores'!$D$8:$CZ$8,0),
  _xlpm.v, IFERROR(INDEX('3. Enter Indicator Scores'!$D$10:$CZ$161,_xlpm.r,_xlpm.c),""),
  IF(OR(_xlpm.w="",_xlpm.v=""),"",_xlpm.v*_xlpm.w)
)</f>
        <v/>
      </c>
      <c r="AP106" s="93" t="str" cm="1">
        <f t="array" ref="AP106">_xlfn.LET(
  _xlpm.w, AP$11,
  _xlpm.r, MATCH(1,('3. Enter Indicator Scores'!$B$10:$B$161=$B106)*('3. Enter Indicator Scores'!$C$10:$C$161=$C106),0),
  _xlpm.c, MATCH(AP$8,'3. Enter Indicator Scores'!$D$8:$CZ$8,0),
  _xlpm.v, IFERROR(INDEX('3. Enter Indicator Scores'!$D$10:$CZ$161,_xlpm.r,_xlpm.c),""),
  IF(OR(_xlpm.w="",_xlpm.v=""),"",_xlpm.v*_xlpm.w)
)</f>
        <v/>
      </c>
      <c r="AQ106" s="93" t="str" cm="1">
        <f t="array" ref="AQ106">_xlfn.LET(
  _xlpm.w, AQ$11,
  _xlpm.r, MATCH(1,('3. Enter Indicator Scores'!$B$10:$B$161=$B106)*('3. Enter Indicator Scores'!$C$10:$C$161=$C106),0),
  _xlpm.c, MATCH(AQ$8,'3. Enter Indicator Scores'!$D$8:$CZ$8,0),
  _xlpm.v, IFERROR(INDEX('3. Enter Indicator Scores'!$D$10:$CZ$161,_xlpm.r,_xlpm.c),""),
  IF(OR(_xlpm.w="",_xlpm.v=""),"",_xlpm.v*_xlpm.w)
)</f>
        <v/>
      </c>
      <c r="AR106" s="93" t="str" cm="1">
        <f t="array" ref="AR106">_xlfn.LET(
  _xlpm.w, AR$11,
  _xlpm.r, MATCH(1,('3. Enter Indicator Scores'!$B$10:$B$161=$B106)*('3. Enter Indicator Scores'!$C$10:$C$161=$C106),0),
  _xlpm.c, MATCH(AR$8,'3. Enter Indicator Scores'!$D$8:$CZ$8,0),
  _xlpm.v, IFERROR(INDEX('3. Enter Indicator Scores'!$D$10:$CZ$161,_xlpm.r,_xlpm.c),""),
  IF(OR(_xlpm.w="",_xlpm.v=""),"",_xlpm.v*_xlpm.w)
)</f>
        <v/>
      </c>
      <c r="AS106" s="93" t="str" cm="1">
        <f t="array" ref="AS106">_xlfn.LET(
  _xlpm.w, AS$11,
  _xlpm.r, MATCH(1,('3. Enter Indicator Scores'!$B$10:$B$161=$B106)*('3. Enter Indicator Scores'!$C$10:$C$161=$C106),0),
  _xlpm.c, MATCH(AS$8,'3. Enter Indicator Scores'!$D$8:$CZ$8,0),
  _xlpm.v, IFERROR(INDEX('3. Enter Indicator Scores'!$D$10:$CZ$161,_xlpm.r,_xlpm.c),""),
  IF(OR(_xlpm.w="",_xlpm.v=""),"",_xlpm.v*_xlpm.w)
)</f>
        <v/>
      </c>
      <c r="AT106" s="93" t="str" cm="1">
        <f t="array" ref="AT106">_xlfn.LET(
  _xlpm.w, AT$11,
  _xlpm.r, MATCH(1,('3. Enter Indicator Scores'!$B$10:$B$161=$B106)*('3. Enter Indicator Scores'!$C$10:$C$161=$C106),0),
  _xlpm.c, MATCH(AT$8,'3. Enter Indicator Scores'!$D$8:$CZ$8,0),
  _xlpm.v, IFERROR(INDEX('3. Enter Indicator Scores'!$D$10:$CZ$161,_xlpm.r,_xlpm.c),""),
  IF(OR(_xlpm.w="",_xlpm.v=""),"",_xlpm.v*_xlpm.w)
)</f>
        <v/>
      </c>
      <c r="AU106" s="93" t="str" cm="1">
        <f t="array" ref="AU106">_xlfn.LET(
  _xlpm.w, AU$11,
  _xlpm.r, MATCH(1,('3. Enter Indicator Scores'!$B$10:$B$161=$B106)*('3. Enter Indicator Scores'!$C$10:$C$161=$C106),0),
  _xlpm.c, MATCH(AU$8,'3. Enter Indicator Scores'!$D$8:$CZ$8,0),
  _xlpm.v, IFERROR(INDEX('3. Enter Indicator Scores'!$D$10:$CZ$161,_xlpm.r,_xlpm.c),""),
  IF(OR(_xlpm.w="",_xlpm.v=""),"",_xlpm.v*_xlpm.w)
)</f>
        <v/>
      </c>
      <c r="AV106" s="93" t="str" cm="1">
        <f t="array" ref="AV106">_xlfn.LET(
  _xlpm.w, AV$11,
  _xlpm.r, MATCH(1,('3. Enter Indicator Scores'!$B$10:$B$161=$B106)*('3. Enter Indicator Scores'!$C$10:$C$161=$C106),0),
  _xlpm.c, MATCH(AV$8,'3. Enter Indicator Scores'!$D$8:$CZ$8,0),
  _xlpm.v, IFERROR(INDEX('3. Enter Indicator Scores'!$D$10:$CZ$161,_xlpm.r,_xlpm.c),""),
  IF(OR(_xlpm.w="",_xlpm.v=""),"",_xlpm.v*_xlpm.w)
)</f>
        <v/>
      </c>
      <c r="AW106" s="93" t="str" cm="1">
        <f t="array" ref="AW106">_xlfn.LET(
  _xlpm.w, AW$11,
  _xlpm.r, MATCH(1,('3. Enter Indicator Scores'!$B$10:$B$161=$B106)*('3. Enter Indicator Scores'!$C$10:$C$161=$C106),0),
  _xlpm.c, MATCH(AW$8,'3. Enter Indicator Scores'!$D$8:$CZ$8,0),
  _xlpm.v, IFERROR(INDEX('3. Enter Indicator Scores'!$D$10:$CZ$161,_xlpm.r,_xlpm.c),""),
  IF(OR(_xlpm.w="",_xlpm.v=""),"",_xlpm.v*_xlpm.w)
)</f>
        <v/>
      </c>
      <c r="AX106" s="93" t="str" cm="1">
        <f t="array" ref="AX106">_xlfn.LET(
  _xlpm.w, AX$11,
  _xlpm.r, MATCH(1,('3. Enter Indicator Scores'!$B$10:$B$161=$B106)*('3. Enter Indicator Scores'!$C$10:$C$161=$C106),0),
  _xlpm.c, MATCH(AX$8,'3. Enter Indicator Scores'!$D$8:$CZ$8,0),
  _xlpm.v, IFERROR(INDEX('3. Enter Indicator Scores'!$D$10:$CZ$161,_xlpm.r,_xlpm.c),""),
  IF(OR(_xlpm.w="",_xlpm.v=""),"",_xlpm.v*_xlpm.w)
)</f>
        <v/>
      </c>
      <c r="AY106" s="93" t="str" cm="1">
        <f t="array" ref="AY106">_xlfn.LET(
  _xlpm.w, AY$11,
  _xlpm.r, MATCH(1,('3. Enter Indicator Scores'!$B$10:$B$161=$B106)*('3. Enter Indicator Scores'!$C$10:$C$161=$C106),0),
  _xlpm.c, MATCH(AY$8,'3. Enter Indicator Scores'!$D$8:$CZ$8,0),
  _xlpm.v, IFERROR(INDEX('3. Enter Indicator Scores'!$D$10:$CZ$161,_xlpm.r,_xlpm.c),""),
  IF(OR(_xlpm.w="",_xlpm.v=""),"",_xlpm.v*_xlpm.w)
)</f>
        <v/>
      </c>
      <c r="AZ106" s="93" t="str" cm="1">
        <f t="array" ref="AZ106">_xlfn.LET(
  _xlpm.w, AZ$11,
  _xlpm.r, MATCH(1,('3. Enter Indicator Scores'!$B$10:$B$161=$B106)*('3. Enter Indicator Scores'!$C$10:$C$161=$C106),0),
  _xlpm.c, MATCH(AZ$8,'3. Enter Indicator Scores'!$D$8:$CZ$8,0),
  _xlpm.v, IFERROR(INDEX('3. Enter Indicator Scores'!$D$10:$CZ$161,_xlpm.r,_xlpm.c),""),
  IF(OR(_xlpm.w="",_xlpm.v=""),"",_xlpm.v*_xlpm.w)
)</f>
        <v/>
      </c>
      <c r="BA106" s="93" t="str" cm="1">
        <f t="array" ref="BA106">_xlfn.LET(
  _xlpm.w, BA$11,
  _xlpm.r, MATCH(1,('3. Enter Indicator Scores'!$B$10:$B$161=$B106)*('3. Enter Indicator Scores'!$C$10:$C$161=$C106),0),
  _xlpm.c, MATCH(BA$8,'3. Enter Indicator Scores'!$D$8:$CZ$8,0),
  _xlpm.v, IFERROR(INDEX('3. Enter Indicator Scores'!$D$10:$CZ$161,_xlpm.r,_xlpm.c),""),
  IF(OR(_xlpm.w="",_xlpm.v=""),"",_xlpm.v*_xlpm.w)
)</f>
        <v/>
      </c>
      <c r="BB106" s="93" t="str" cm="1">
        <f t="array" ref="BB106">_xlfn.LET(
  _xlpm.w, BB$11,
  _xlpm.r, MATCH(1,('3. Enter Indicator Scores'!$B$10:$B$161=$B106)*('3. Enter Indicator Scores'!$C$10:$C$161=$C106),0),
  _xlpm.c, MATCH(BB$8,'3. Enter Indicator Scores'!$D$8:$CZ$8,0),
  _xlpm.v, IFERROR(INDEX('3. Enter Indicator Scores'!$D$10:$CZ$161,_xlpm.r,_xlpm.c),""),
  IF(OR(_xlpm.w="",_xlpm.v=""),"",_xlpm.v*_xlpm.w)
)</f>
        <v/>
      </c>
      <c r="BC106" s="93" t="str" cm="1">
        <f t="array" ref="BC106">_xlfn.LET(
  _xlpm.w, BC$11,
  _xlpm.r, MATCH(1,('3. Enter Indicator Scores'!$B$10:$B$161=$B106)*('3. Enter Indicator Scores'!$C$10:$C$161=$C106),0),
  _xlpm.c, MATCH(BC$8,'3. Enter Indicator Scores'!$D$8:$CZ$8,0),
  _xlpm.v, IFERROR(INDEX('3. Enter Indicator Scores'!$D$10:$CZ$161,_xlpm.r,_xlpm.c),""),
  IF(OR(_xlpm.w="",_xlpm.v=""),"",_xlpm.v*_xlpm.w)
)</f>
        <v/>
      </c>
      <c r="BD106" s="93" t="str" cm="1">
        <f t="array" ref="BD106">_xlfn.LET(
  _xlpm.w, BD$11,
  _xlpm.r, MATCH(1,('3. Enter Indicator Scores'!$B$10:$B$161=$B106)*('3. Enter Indicator Scores'!$C$10:$C$161=$C106),0),
  _xlpm.c, MATCH(BD$8,'3. Enter Indicator Scores'!$D$8:$CZ$8,0),
  _xlpm.v, IFERROR(INDEX('3. Enter Indicator Scores'!$D$10:$CZ$161,_xlpm.r,_xlpm.c),""),
  IF(OR(_xlpm.w="",_xlpm.v=""),"",_xlpm.v*_xlpm.w)
)</f>
        <v/>
      </c>
      <c r="BE106" s="93" t="str" cm="1">
        <f t="array" ref="BE106">_xlfn.LET(
  _xlpm.w, BE$11,
  _xlpm.r, MATCH(1,('3. Enter Indicator Scores'!$B$10:$B$161=$B106)*('3. Enter Indicator Scores'!$C$10:$C$161=$C106),0),
  _xlpm.c, MATCH(BE$8,'3. Enter Indicator Scores'!$D$8:$CZ$8,0),
  _xlpm.v, IFERROR(INDEX('3. Enter Indicator Scores'!$D$10:$CZ$161,_xlpm.r,_xlpm.c),""),
  IF(OR(_xlpm.w="",_xlpm.v=""),"",_xlpm.v*_xlpm.w)
)</f>
        <v/>
      </c>
      <c r="BF106" s="93" t="str" cm="1">
        <f t="array" ref="BF106">_xlfn.LET(
  _xlpm.w, BF$11,
  _xlpm.r, MATCH(1,('3. Enter Indicator Scores'!$B$10:$B$161=$B106)*('3. Enter Indicator Scores'!$C$10:$C$161=$C106),0),
  _xlpm.c, MATCH(BF$8,'3. Enter Indicator Scores'!$D$8:$CZ$8,0),
  _xlpm.v, IFERROR(INDEX('3. Enter Indicator Scores'!$D$10:$CZ$161,_xlpm.r,_xlpm.c),""),
  IF(OR(_xlpm.w="",_xlpm.v=""),"",_xlpm.v*_xlpm.w)
)</f>
        <v/>
      </c>
      <c r="BG106" s="93" t="str" cm="1">
        <f t="array" ref="BG106">_xlfn.LET(
  _xlpm.w, BG$11,
  _xlpm.r, MATCH(1,('3. Enter Indicator Scores'!$B$10:$B$161=$B106)*('3. Enter Indicator Scores'!$C$10:$C$161=$C106),0),
  _xlpm.c, MATCH(BG$8,'3. Enter Indicator Scores'!$D$8:$CZ$8,0),
  _xlpm.v, IFERROR(INDEX('3. Enter Indicator Scores'!$D$10:$CZ$161,_xlpm.r,_xlpm.c),""),
  IF(OR(_xlpm.w="",_xlpm.v=""),"",_xlpm.v*_xlpm.w)
)</f>
        <v/>
      </c>
      <c r="BH106" s="93" t="str" cm="1">
        <f t="array" ref="BH106">_xlfn.LET(
  _xlpm.w, BH$11,
  _xlpm.r, MATCH(1,('3. Enter Indicator Scores'!$B$10:$B$161=$B106)*('3. Enter Indicator Scores'!$C$10:$C$161=$C106),0),
  _xlpm.c, MATCH(BH$8,'3. Enter Indicator Scores'!$D$8:$CZ$8,0),
  _xlpm.v, IFERROR(INDEX('3. Enter Indicator Scores'!$D$10:$CZ$161,_xlpm.r,_xlpm.c),""),
  IF(OR(_xlpm.w="",_xlpm.v=""),"",_xlpm.v*_xlpm.w)
)</f>
        <v/>
      </c>
      <c r="BI106" s="93" t="str" cm="1">
        <f t="array" ref="BI106">_xlfn.LET(
  _xlpm.w, BI$11,
  _xlpm.r, MATCH(1,('3. Enter Indicator Scores'!$B$10:$B$161=$B106)*('3. Enter Indicator Scores'!$C$10:$C$161=$C106),0),
  _xlpm.c, MATCH(BI$8,'3. Enter Indicator Scores'!$D$8:$CZ$8,0),
  _xlpm.v, IFERROR(INDEX('3. Enter Indicator Scores'!$D$10:$CZ$161,_xlpm.r,_xlpm.c),""),
  IF(OR(_xlpm.w="",_xlpm.v=""),"",_xlpm.v*_xlpm.w)
)</f>
        <v/>
      </c>
      <c r="BJ106" s="93" t="str" cm="1">
        <f t="array" ref="BJ106">_xlfn.LET(
  _xlpm.w, BJ$11,
  _xlpm.r, MATCH(1,('3. Enter Indicator Scores'!$B$10:$B$161=$B106)*('3. Enter Indicator Scores'!$C$10:$C$161=$C106),0),
  _xlpm.c, MATCH(BJ$8,'3. Enter Indicator Scores'!$D$8:$CZ$8,0),
  _xlpm.v, IFERROR(INDEX('3. Enter Indicator Scores'!$D$10:$CZ$161,_xlpm.r,_xlpm.c),""),
  IF(OR(_xlpm.w="",_xlpm.v=""),"",_xlpm.v*_xlpm.w)
)</f>
        <v/>
      </c>
      <c r="BK106" s="93" t="str" cm="1">
        <f t="array" ref="BK106">_xlfn.LET(
  _xlpm.w, BK$11,
  _xlpm.r, MATCH(1,('3. Enter Indicator Scores'!$B$10:$B$161=$B106)*('3. Enter Indicator Scores'!$C$10:$C$161=$C106),0),
  _xlpm.c, MATCH(BK$8,'3. Enter Indicator Scores'!$D$8:$CZ$8,0),
  _xlpm.v, IFERROR(INDEX('3. Enter Indicator Scores'!$D$10:$CZ$161,_xlpm.r,_xlpm.c),""),
  IF(OR(_xlpm.w="",_xlpm.v=""),"",_xlpm.v*_xlpm.w)
)</f>
        <v/>
      </c>
      <c r="BL106" s="93" t="str" cm="1">
        <f t="array" ref="BL106">_xlfn.LET(
  _xlpm.w, BL$11,
  _xlpm.r, MATCH(1,('3. Enter Indicator Scores'!$B$10:$B$161=$B106)*('3. Enter Indicator Scores'!$C$10:$C$161=$C106),0),
  _xlpm.c, MATCH(BL$8,'3. Enter Indicator Scores'!$D$8:$CZ$8,0),
  _xlpm.v, IFERROR(INDEX('3. Enter Indicator Scores'!$D$10:$CZ$161,_xlpm.r,_xlpm.c),""),
  IF(OR(_xlpm.w="",_xlpm.v=""),"",_xlpm.v*_xlpm.w)
)</f>
        <v/>
      </c>
      <c r="BM106" s="93" t="str" cm="1">
        <f t="array" ref="BM106">_xlfn.LET(
  _xlpm.w, BM$11,
  _xlpm.r, MATCH(1,('3. Enter Indicator Scores'!$B$10:$B$161=$B106)*('3. Enter Indicator Scores'!$C$10:$C$161=$C106),0),
  _xlpm.c, MATCH(BM$8,'3. Enter Indicator Scores'!$D$8:$CZ$8,0),
  _xlpm.v, IFERROR(INDEX('3. Enter Indicator Scores'!$D$10:$CZ$161,_xlpm.r,_xlpm.c),""),
  IF(OR(_xlpm.w="",_xlpm.v=""),"",_xlpm.v*_xlpm.w)
)</f>
        <v/>
      </c>
      <c r="BN106" s="93" t="str" cm="1">
        <f t="array" ref="BN106">_xlfn.LET(
  _xlpm.w, BN$11,
  _xlpm.r, MATCH(1,('3. Enter Indicator Scores'!$B$10:$B$161=$B106)*('3. Enter Indicator Scores'!$C$10:$C$161=$C106),0),
  _xlpm.c, MATCH(BN$8,'3. Enter Indicator Scores'!$D$8:$CZ$8,0),
  _xlpm.v, IFERROR(INDEX('3. Enter Indicator Scores'!$D$10:$CZ$161,_xlpm.r,_xlpm.c),""),
  IF(OR(_xlpm.w="",_xlpm.v=""),"",_xlpm.v*_xlpm.w)
)</f>
        <v/>
      </c>
      <c r="BO106" s="93" t="str" cm="1">
        <f t="array" ref="BO106">_xlfn.LET(
  _xlpm.w, BO$11,
  _xlpm.r, MATCH(1,('3. Enter Indicator Scores'!$B$10:$B$161=$B106)*('3. Enter Indicator Scores'!$C$10:$C$161=$C106),0),
  _xlpm.c, MATCH(BO$8,'3. Enter Indicator Scores'!$D$8:$CZ$8,0),
  _xlpm.v, IFERROR(INDEX('3. Enter Indicator Scores'!$D$10:$CZ$161,_xlpm.r,_xlpm.c),""),
  IF(OR(_xlpm.w="",_xlpm.v=""),"",_xlpm.v*_xlpm.w)
)</f>
        <v/>
      </c>
      <c r="BP106" s="93" t="str" cm="1">
        <f t="array" ref="BP106">_xlfn.LET(
  _xlpm.w, BP$11,
  _xlpm.r, MATCH(1,('3. Enter Indicator Scores'!$B$10:$B$161=$B106)*('3. Enter Indicator Scores'!$C$10:$C$161=$C106),0),
  _xlpm.c, MATCH(BP$8,'3. Enter Indicator Scores'!$D$8:$CZ$8,0),
  _xlpm.v, IFERROR(INDEX('3. Enter Indicator Scores'!$D$10:$CZ$161,_xlpm.r,_xlpm.c),""),
  IF(OR(_xlpm.w="",_xlpm.v=""),"",_xlpm.v*_xlpm.w)
)</f>
        <v/>
      </c>
      <c r="BQ106" s="93" t="str" cm="1">
        <f t="array" ref="BQ106">_xlfn.LET(
  _xlpm.w, BQ$11,
  _xlpm.r, MATCH(1,('3. Enter Indicator Scores'!$B$10:$B$161=$B106)*('3. Enter Indicator Scores'!$C$10:$C$161=$C106),0),
  _xlpm.c, MATCH(BQ$8,'3. Enter Indicator Scores'!$D$8:$CZ$8,0),
  _xlpm.v, IFERROR(INDEX('3. Enter Indicator Scores'!$D$10:$CZ$161,_xlpm.r,_xlpm.c),""),
  IF(OR(_xlpm.w="",_xlpm.v=""),"",_xlpm.v*_xlpm.w)
)</f>
        <v/>
      </c>
      <c r="BR106" s="93" t="str" cm="1">
        <f t="array" ref="BR106">_xlfn.LET(
  _xlpm.w, BR$11,
  _xlpm.r, MATCH(1,('3. Enter Indicator Scores'!$B$10:$B$161=$B106)*('3. Enter Indicator Scores'!$C$10:$C$161=$C106),0),
  _xlpm.c, MATCH(BR$8,'3. Enter Indicator Scores'!$D$8:$CZ$8,0),
  _xlpm.v, IFERROR(INDEX('3. Enter Indicator Scores'!$D$10:$CZ$161,_xlpm.r,_xlpm.c),""),
  IF(OR(_xlpm.w="",_xlpm.v=""),"",_xlpm.v*_xlpm.w)
)</f>
        <v/>
      </c>
      <c r="BS106" s="93" t="str" cm="1">
        <f t="array" ref="BS106">_xlfn.LET(
  _xlpm.w, BS$11,
  _xlpm.r, MATCH(1,('3. Enter Indicator Scores'!$B$10:$B$161=$B106)*('3. Enter Indicator Scores'!$C$10:$C$161=$C106),0),
  _xlpm.c, MATCH(BS$8,'3. Enter Indicator Scores'!$D$8:$CZ$8,0),
  _xlpm.v, IFERROR(INDEX('3. Enter Indicator Scores'!$D$10:$CZ$161,_xlpm.r,_xlpm.c),""),
  IF(OR(_xlpm.w="",_xlpm.v=""),"",_xlpm.v*_xlpm.w)
)</f>
        <v/>
      </c>
      <c r="BT106" s="93" t="str" cm="1">
        <f t="array" ref="BT106">_xlfn.LET(
  _xlpm.w, BT$11,
  _xlpm.r, MATCH(1,('3. Enter Indicator Scores'!$B$10:$B$161=$B106)*('3. Enter Indicator Scores'!$C$10:$C$161=$C106),0),
  _xlpm.c, MATCH(BT$8,'3. Enter Indicator Scores'!$D$8:$CZ$8,0),
  _xlpm.v, IFERROR(INDEX('3. Enter Indicator Scores'!$D$10:$CZ$161,_xlpm.r,_xlpm.c),""),
  IF(OR(_xlpm.w="",_xlpm.v=""),"",_xlpm.v*_xlpm.w)
)</f>
        <v/>
      </c>
      <c r="BU106" s="93" t="str" cm="1">
        <f t="array" ref="BU106">_xlfn.LET(
  _xlpm.w, BU$11,
  _xlpm.r, MATCH(1,('3. Enter Indicator Scores'!$B$10:$B$161=$B106)*('3. Enter Indicator Scores'!$C$10:$C$161=$C106),0),
  _xlpm.c, MATCH(BU$8,'3. Enter Indicator Scores'!$D$8:$CZ$8,0),
  _xlpm.v, IFERROR(INDEX('3. Enter Indicator Scores'!$D$10:$CZ$161,_xlpm.r,_xlpm.c),""),
  IF(OR(_xlpm.w="",_xlpm.v=""),"",_xlpm.v*_xlpm.w)
)</f>
        <v/>
      </c>
      <c r="BV106" s="93" t="str" cm="1">
        <f t="array" ref="BV106">_xlfn.LET(
  _xlpm.w, BV$11,
  _xlpm.r, MATCH(1,('3. Enter Indicator Scores'!$B$10:$B$161=$B106)*('3. Enter Indicator Scores'!$C$10:$C$161=$C106),0),
  _xlpm.c, MATCH(BV$8,'3. Enter Indicator Scores'!$D$8:$CZ$8,0),
  _xlpm.v, IFERROR(INDEX('3. Enter Indicator Scores'!$D$10:$CZ$161,_xlpm.r,_xlpm.c),""),
  IF(OR(_xlpm.w="",_xlpm.v=""),"",_xlpm.v*_xlpm.w)
)</f>
        <v/>
      </c>
      <c r="BW106" s="93" t="str" cm="1">
        <f t="array" ref="BW106">_xlfn.LET(
  _xlpm.w, BW$11,
  _xlpm.r, MATCH(1,('3. Enter Indicator Scores'!$B$10:$B$161=$B106)*('3. Enter Indicator Scores'!$C$10:$C$161=$C106),0),
  _xlpm.c, MATCH(BW$8,'3. Enter Indicator Scores'!$D$8:$CZ$8,0),
  _xlpm.v, IFERROR(INDEX('3. Enter Indicator Scores'!$D$10:$CZ$161,_xlpm.r,_xlpm.c),""),
  IF(OR(_xlpm.w="",_xlpm.v=""),"",_xlpm.v*_xlpm.w)
)</f>
        <v/>
      </c>
      <c r="BX106" s="93" t="str" cm="1">
        <f t="array" ref="BX106">_xlfn.LET(
  _xlpm.w, BX$11,
  _xlpm.r, MATCH(1,('3. Enter Indicator Scores'!$B$10:$B$161=$B106)*('3. Enter Indicator Scores'!$C$10:$C$161=$C106),0),
  _xlpm.c, MATCH(BX$8,'3. Enter Indicator Scores'!$D$8:$CZ$8,0),
  _xlpm.v, IFERROR(INDEX('3. Enter Indicator Scores'!$D$10:$CZ$161,_xlpm.r,_xlpm.c),""),
  IF(OR(_xlpm.w="",_xlpm.v=""),"",_xlpm.v*_xlpm.w)
)</f>
        <v/>
      </c>
      <c r="BY106" s="93" t="str" cm="1">
        <f t="array" ref="BY106">_xlfn.LET(
  _xlpm.w, BY$11,
  _xlpm.r, MATCH(1,('3. Enter Indicator Scores'!$B$10:$B$161=$B106)*('3. Enter Indicator Scores'!$C$10:$C$161=$C106),0),
  _xlpm.c, MATCH(BY$8,'3. Enter Indicator Scores'!$D$8:$CZ$8,0),
  _xlpm.v, IFERROR(INDEX('3. Enter Indicator Scores'!$D$10:$CZ$161,_xlpm.r,_xlpm.c),""),
  IF(OR(_xlpm.w="",_xlpm.v=""),"",_xlpm.v*_xlpm.w)
)</f>
        <v/>
      </c>
      <c r="BZ106" s="93" t="str" cm="1">
        <f t="array" ref="BZ106">_xlfn.LET(
  _xlpm.w, BZ$11,
  _xlpm.r, MATCH(1,('3. Enter Indicator Scores'!$B$10:$B$161=$B106)*('3. Enter Indicator Scores'!$C$10:$C$161=$C106),0),
  _xlpm.c, MATCH(BZ$8,'3. Enter Indicator Scores'!$D$8:$CZ$8,0),
  _xlpm.v, IFERROR(INDEX('3. Enter Indicator Scores'!$D$10:$CZ$161,_xlpm.r,_xlpm.c),""),
  IF(OR(_xlpm.w="",_xlpm.v=""),"",_xlpm.v*_xlpm.w)
)</f>
        <v/>
      </c>
      <c r="CA106" s="93" t="str" cm="1">
        <f t="array" ref="CA106">_xlfn.LET(
  _xlpm.w, CA$11,
  _xlpm.r, MATCH(1,('3. Enter Indicator Scores'!$B$10:$B$161=$B106)*('3. Enter Indicator Scores'!$C$10:$C$161=$C106),0),
  _xlpm.c, MATCH(CA$8,'3. Enter Indicator Scores'!$D$8:$CZ$8,0),
  _xlpm.v, IFERROR(INDEX('3. Enter Indicator Scores'!$D$10:$CZ$161,_xlpm.r,_xlpm.c),""),
  IF(OR(_xlpm.w="",_xlpm.v=""),"",_xlpm.v*_xlpm.w)
)</f>
        <v/>
      </c>
      <c r="CB106" s="93" t="str" cm="1">
        <f t="array" ref="CB106">_xlfn.LET(
  _xlpm.w, CB$11,
  _xlpm.r, MATCH(1,('3. Enter Indicator Scores'!$B$10:$B$161=$B106)*('3. Enter Indicator Scores'!$C$10:$C$161=$C106),0),
  _xlpm.c, MATCH(CB$8,'3. Enter Indicator Scores'!$D$8:$CZ$8,0),
  _xlpm.v, IFERROR(INDEX('3. Enter Indicator Scores'!$D$10:$CZ$161,_xlpm.r,_xlpm.c),""),
  IF(OR(_xlpm.w="",_xlpm.v=""),"",_xlpm.v*_xlpm.w)
)</f>
        <v/>
      </c>
      <c r="CC106" s="93" t="str" cm="1">
        <f t="array" ref="CC106">_xlfn.LET(
  _xlpm.w, CC$11,
  _xlpm.r, MATCH(1,('3. Enter Indicator Scores'!$B$10:$B$161=$B106)*('3. Enter Indicator Scores'!$C$10:$C$161=$C106),0),
  _xlpm.c, MATCH(CC$8,'3. Enter Indicator Scores'!$D$8:$CZ$8,0),
  _xlpm.v, IFERROR(INDEX('3. Enter Indicator Scores'!$D$10:$CZ$161,_xlpm.r,_xlpm.c),""),
  IF(OR(_xlpm.w="",_xlpm.v=""),"",_xlpm.v*_xlpm.w)
)</f>
        <v/>
      </c>
      <c r="CD106" s="93" t="str" cm="1">
        <f t="array" ref="CD106">_xlfn.LET(
  _xlpm.w, CD$11,
  _xlpm.r, MATCH(1,('3. Enter Indicator Scores'!$B$10:$B$161=$B106)*('3. Enter Indicator Scores'!$C$10:$C$161=$C106),0),
  _xlpm.c, MATCH(CD$8,'3. Enter Indicator Scores'!$D$8:$CZ$8,0),
  _xlpm.v, IFERROR(INDEX('3. Enter Indicator Scores'!$D$10:$CZ$161,_xlpm.r,_xlpm.c),""),
  IF(OR(_xlpm.w="",_xlpm.v=""),"",_xlpm.v*_xlpm.w)
)</f>
        <v/>
      </c>
      <c r="CE106" s="93" t="str" cm="1">
        <f t="array" ref="CE106">_xlfn.LET(
  _xlpm.w, CE$11,
  _xlpm.r, MATCH(1,('3. Enter Indicator Scores'!$B$10:$B$161=$B106)*('3. Enter Indicator Scores'!$C$10:$C$161=$C106),0),
  _xlpm.c, MATCH(CE$8,'3. Enter Indicator Scores'!$D$8:$CZ$8,0),
  _xlpm.v, IFERROR(INDEX('3. Enter Indicator Scores'!$D$10:$CZ$161,_xlpm.r,_xlpm.c),""),
  IF(OR(_xlpm.w="",_xlpm.v=""),"",_xlpm.v*_xlpm.w)
)</f>
        <v/>
      </c>
      <c r="CF106" s="93" t="str" cm="1">
        <f t="array" ref="CF106">_xlfn.LET(
  _xlpm.w, CF$11,
  _xlpm.r, MATCH(1,('3. Enter Indicator Scores'!$B$10:$B$161=$B106)*('3. Enter Indicator Scores'!$C$10:$C$161=$C106),0),
  _xlpm.c, MATCH(CF$8,'3. Enter Indicator Scores'!$D$8:$CZ$8,0),
  _xlpm.v, IFERROR(INDEX('3. Enter Indicator Scores'!$D$10:$CZ$161,_xlpm.r,_xlpm.c),""),
  IF(OR(_xlpm.w="",_xlpm.v=""),"",_xlpm.v*_xlpm.w)
)</f>
        <v/>
      </c>
      <c r="CG106" s="93" t="str" cm="1">
        <f t="array" ref="CG106">_xlfn.LET(
  _xlpm.w, CG$11,
  _xlpm.r, MATCH(1,('3. Enter Indicator Scores'!$B$10:$B$161=$B106)*('3. Enter Indicator Scores'!$C$10:$C$161=$C106),0),
  _xlpm.c, MATCH(CG$8,'3. Enter Indicator Scores'!$D$8:$CZ$8,0),
  _xlpm.v, IFERROR(INDEX('3. Enter Indicator Scores'!$D$10:$CZ$161,_xlpm.r,_xlpm.c),""),
  IF(OR(_xlpm.w="",_xlpm.v=""),"",_xlpm.v*_xlpm.w)
)</f>
        <v/>
      </c>
      <c r="CH106" s="93" t="str" cm="1">
        <f t="array" ref="CH106">_xlfn.LET(
  _xlpm.w, CH$11,
  _xlpm.r, MATCH(1,('3. Enter Indicator Scores'!$B$10:$B$161=$B106)*('3. Enter Indicator Scores'!$C$10:$C$161=$C106),0),
  _xlpm.c, MATCH(CH$8,'3. Enter Indicator Scores'!$D$8:$CZ$8,0),
  _xlpm.v, IFERROR(INDEX('3. Enter Indicator Scores'!$D$10:$CZ$161,_xlpm.r,_xlpm.c),""),
  IF(OR(_xlpm.w="",_xlpm.v=""),"",_xlpm.v*_xlpm.w)
)</f>
        <v/>
      </c>
      <c r="CI106" s="93" t="str" cm="1">
        <f t="array" ref="CI106">_xlfn.LET(
  _xlpm.w, CI$11,
  _xlpm.r, MATCH(1,('3. Enter Indicator Scores'!$B$10:$B$161=$B106)*('3. Enter Indicator Scores'!$C$10:$C$161=$C106),0),
  _xlpm.c, MATCH(CI$8,'3. Enter Indicator Scores'!$D$8:$CZ$8,0),
  _xlpm.v, IFERROR(INDEX('3. Enter Indicator Scores'!$D$10:$CZ$161,_xlpm.r,_xlpm.c),""),
  IF(OR(_xlpm.w="",_xlpm.v=""),"",_xlpm.v*_xlpm.w)
)</f>
        <v/>
      </c>
      <c r="CJ106" s="93" t="str" cm="1">
        <f t="array" ref="CJ106">_xlfn.LET(
  _xlpm.w, CJ$11,
  _xlpm.r, MATCH(1,('3. Enter Indicator Scores'!$B$10:$B$161=$B106)*('3. Enter Indicator Scores'!$C$10:$C$161=$C106),0),
  _xlpm.c, MATCH(CJ$8,'3. Enter Indicator Scores'!$D$8:$CZ$8,0),
  _xlpm.v, IFERROR(INDEX('3. Enter Indicator Scores'!$D$10:$CZ$161,_xlpm.r,_xlpm.c),""),
  IF(OR(_xlpm.w="",_xlpm.v=""),"",_xlpm.v*_xlpm.w)
)</f>
        <v/>
      </c>
      <c r="CK106" s="93" t="str" cm="1">
        <f t="array" ref="CK106">_xlfn.LET(
  _xlpm.w, CK$11,
  _xlpm.r, MATCH(1,('3. Enter Indicator Scores'!$B$10:$B$161=$B106)*('3. Enter Indicator Scores'!$C$10:$C$161=$C106),0),
  _xlpm.c, MATCH(CK$8,'3. Enter Indicator Scores'!$D$8:$CZ$8,0),
  _xlpm.v, IFERROR(INDEX('3. Enter Indicator Scores'!$D$10:$CZ$161,_xlpm.r,_xlpm.c),""),
  IF(OR(_xlpm.w="",_xlpm.v=""),"",_xlpm.v*_xlpm.w)
)</f>
        <v/>
      </c>
      <c r="CL106" s="93" t="str" cm="1">
        <f t="array" ref="CL106">_xlfn.LET(
  _xlpm.w, CL$11,
  _xlpm.r, MATCH(1,('3. Enter Indicator Scores'!$B$10:$B$161=$B106)*('3. Enter Indicator Scores'!$C$10:$C$161=$C106),0),
  _xlpm.c, MATCH(CL$8,'3. Enter Indicator Scores'!$D$8:$CZ$8,0),
  _xlpm.v, IFERROR(INDEX('3. Enter Indicator Scores'!$D$10:$CZ$161,_xlpm.r,_xlpm.c),""),
  IF(OR(_xlpm.w="",_xlpm.v=""),"",_xlpm.v*_xlpm.w)
)</f>
        <v/>
      </c>
      <c r="CM106" s="93" t="str" cm="1">
        <f t="array" ref="CM106">_xlfn.LET(
  _xlpm.w, CM$11,
  _xlpm.r, MATCH(1,('3. Enter Indicator Scores'!$B$10:$B$161=$B106)*('3. Enter Indicator Scores'!$C$10:$C$161=$C106),0),
  _xlpm.c, MATCH(CM$8,'3. Enter Indicator Scores'!$D$8:$CZ$8,0),
  _xlpm.v, IFERROR(INDEX('3. Enter Indicator Scores'!$D$10:$CZ$161,_xlpm.r,_xlpm.c),""),
  IF(OR(_xlpm.w="",_xlpm.v=""),"",_xlpm.v*_xlpm.w)
)</f>
        <v/>
      </c>
      <c r="CN106" s="93" t="str" cm="1">
        <f t="array" ref="CN106">_xlfn.LET(
  _xlpm.w, CN$11,
  _xlpm.r, MATCH(1,('3. Enter Indicator Scores'!$B$10:$B$161=$B106)*('3. Enter Indicator Scores'!$C$10:$C$161=$C106),0),
  _xlpm.c, MATCH(CN$8,'3. Enter Indicator Scores'!$D$8:$CZ$8,0),
  _xlpm.v, IFERROR(INDEX('3. Enter Indicator Scores'!$D$10:$CZ$161,_xlpm.r,_xlpm.c),""),
  IF(OR(_xlpm.w="",_xlpm.v=""),"",_xlpm.v*_xlpm.w)
)</f>
        <v/>
      </c>
      <c r="CO106" s="93" t="str" cm="1">
        <f t="array" ref="CO106">_xlfn.LET(
  _xlpm.w, CO$11,
  _xlpm.r, MATCH(1,('3. Enter Indicator Scores'!$B$10:$B$161=$B106)*('3. Enter Indicator Scores'!$C$10:$C$161=$C106),0),
  _xlpm.c, MATCH(CO$8,'3. Enter Indicator Scores'!$D$8:$CZ$8,0),
  _xlpm.v, IFERROR(INDEX('3. Enter Indicator Scores'!$D$10:$CZ$161,_xlpm.r,_xlpm.c),""),
  IF(OR(_xlpm.w="",_xlpm.v=""),"",_xlpm.v*_xlpm.w)
)</f>
        <v/>
      </c>
      <c r="CP106" s="93" t="str" cm="1">
        <f t="array" ref="CP106">_xlfn.LET(
  _xlpm.w, CP$11,
  _xlpm.r, MATCH(1,('3. Enter Indicator Scores'!$B$10:$B$161=$B106)*('3. Enter Indicator Scores'!$C$10:$C$161=$C106),0),
  _xlpm.c, MATCH(CP$8,'3. Enter Indicator Scores'!$D$8:$CZ$8,0),
  _xlpm.v, IFERROR(INDEX('3. Enter Indicator Scores'!$D$10:$CZ$161,_xlpm.r,_xlpm.c),""),
  IF(OR(_xlpm.w="",_xlpm.v=""),"",_xlpm.v*_xlpm.w)
)</f>
        <v/>
      </c>
      <c r="CQ106" s="93" t="str" cm="1">
        <f t="array" ref="CQ106">_xlfn.LET(
  _xlpm.w, CQ$11,
  _xlpm.r, MATCH(1,('3. Enter Indicator Scores'!$B$10:$B$161=$B106)*('3. Enter Indicator Scores'!$C$10:$C$161=$C106),0),
  _xlpm.c, MATCH(CQ$8,'3. Enter Indicator Scores'!$D$8:$CZ$8,0),
  _xlpm.v, IFERROR(INDEX('3. Enter Indicator Scores'!$D$10:$CZ$161,_xlpm.r,_xlpm.c),""),
  IF(OR(_xlpm.w="",_xlpm.v=""),"",_xlpm.v*_xlpm.w)
)</f>
        <v/>
      </c>
      <c r="CR106" s="93" t="str" cm="1">
        <f t="array" ref="CR106">_xlfn.LET(
  _xlpm.w, CR$11,
  _xlpm.r, MATCH(1,('3. Enter Indicator Scores'!$B$10:$B$161=$B106)*('3. Enter Indicator Scores'!$C$10:$C$161=$C106),0),
  _xlpm.c, MATCH(CR$8,'3. Enter Indicator Scores'!$D$8:$CZ$8,0),
  _xlpm.v, IFERROR(INDEX('3. Enter Indicator Scores'!$D$10:$CZ$161,_xlpm.r,_xlpm.c),""),
  IF(OR(_xlpm.w="",_xlpm.v=""),"",_xlpm.v*_xlpm.w)
)</f>
        <v/>
      </c>
      <c r="CS106" s="93" t="str" cm="1">
        <f t="array" ref="CS106">_xlfn.LET(
  _xlpm.w, CS$11,
  _xlpm.r, MATCH(1,('3. Enter Indicator Scores'!$B$10:$B$161=$B106)*('3. Enter Indicator Scores'!$C$10:$C$161=$C106),0),
  _xlpm.c, MATCH(CS$8,'3. Enter Indicator Scores'!$D$8:$CZ$8,0),
  _xlpm.v, IFERROR(INDEX('3. Enter Indicator Scores'!$D$10:$CZ$161,_xlpm.r,_xlpm.c),""),
  IF(OR(_xlpm.w="",_xlpm.v=""),"",_xlpm.v*_xlpm.w)
)</f>
        <v/>
      </c>
      <c r="CT106" s="93" t="str" cm="1">
        <f t="array" ref="CT106">_xlfn.LET(
  _xlpm.w, CT$11,
  _xlpm.r, MATCH(1,('3. Enter Indicator Scores'!$B$10:$B$161=$B106)*('3. Enter Indicator Scores'!$C$10:$C$161=$C106),0),
  _xlpm.c, MATCH(CT$8,'3. Enter Indicator Scores'!$D$8:$CZ$8,0),
  _xlpm.v, IFERROR(INDEX('3. Enter Indicator Scores'!$D$10:$CZ$161,_xlpm.r,_xlpm.c),""),
  IF(OR(_xlpm.w="",_xlpm.v=""),"",_xlpm.v*_xlpm.w)
)</f>
        <v/>
      </c>
      <c r="CU106" s="93" t="str" cm="1">
        <f t="array" ref="CU106">_xlfn.LET(
  _xlpm.w, CU$11,
  _xlpm.r, MATCH(1,('3. Enter Indicator Scores'!$B$10:$B$161=$B106)*('3. Enter Indicator Scores'!$C$10:$C$161=$C106),0),
  _xlpm.c, MATCH(CU$8,'3. Enter Indicator Scores'!$D$8:$CZ$8,0),
  _xlpm.v, IFERROR(INDEX('3. Enter Indicator Scores'!$D$10:$CZ$161,_xlpm.r,_xlpm.c),""),
  IF(OR(_xlpm.w="",_xlpm.v=""),"",_xlpm.v*_xlpm.w)
)</f>
        <v/>
      </c>
      <c r="CV106" s="93" t="str" cm="1">
        <f t="array" ref="CV106">_xlfn.LET(
  _xlpm.w, CV$11,
  _xlpm.r, MATCH(1,('3. Enter Indicator Scores'!$B$10:$B$161=$B106)*('3. Enter Indicator Scores'!$C$10:$C$161=$C106),0),
  _xlpm.c, MATCH(CV$8,'3. Enter Indicator Scores'!$D$8:$CZ$8,0),
  _xlpm.v, IFERROR(INDEX('3. Enter Indicator Scores'!$D$10:$CZ$161,_xlpm.r,_xlpm.c),""),
  IF(OR(_xlpm.w="",_xlpm.v=""),"",_xlpm.v*_xlpm.w)
)</f>
        <v/>
      </c>
      <c r="CW106" s="93" t="str" cm="1">
        <f t="array" ref="CW106">_xlfn.LET(
  _xlpm.w, CW$11,
  _xlpm.r, MATCH(1,('3. Enter Indicator Scores'!$B$10:$B$161=$B106)*('3. Enter Indicator Scores'!$C$10:$C$161=$C106),0),
  _xlpm.c, MATCH(CW$8,'3. Enter Indicator Scores'!$D$8:$CZ$8,0),
  _xlpm.v, IFERROR(INDEX('3. Enter Indicator Scores'!$D$10:$CZ$161,_xlpm.r,_xlpm.c),""),
  IF(OR(_xlpm.w="",_xlpm.v=""),"",_xlpm.v*_xlpm.w)
)</f>
        <v/>
      </c>
      <c r="CX106" s="93" t="str" cm="1">
        <f t="array" ref="CX106">_xlfn.LET(
  _xlpm.w, CX$11,
  _xlpm.r, MATCH(1,('3. Enter Indicator Scores'!$B$10:$B$161=$B106)*('3. Enter Indicator Scores'!$C$10:$C$161=$C106),0),
  _xlpm.c, MATCH(CX$8,'3. Enter Indicator Scores'!$D$8:$CZ$8,0),
  _xlpm.v, IFERROR(INDEX('3. Enter Indicator Scores'!$D$10:$CZ$161,_xlpm.r,_xlpm.c),""),
  IF(OR(_xlpm.w="",_xlpm.v=""),"",_xlpm.v*_xlpm.w)
)</f>
        <v/>
      </c>
      <c r="CY106" s="93" t="str" cm="1">
        <f t="array" ref="CY106">_xlfn.LET(
  _xlpm.w, CY$11,
  _xlpm.r, MATCH(1,('3. Enter Indicator Scores'!$B$10:$B$161=$B106)*('3. Enter Indicator Scores'!$C$10:$C$161=$C106),0),
  _xlpm.c, MATCH(CY$8,'3. Enter Indicator Scores'!$D$8:$CZ$8,0),
  _xlpm.v, IFERROR(INDEX('3. Enter Indicator Scores'!$D$10:$CZ$161,_xlpm.r,_xlpm.c),""),
  IF(OR(_xlpm.w="",_xlpm.v=""),"",_xlpm.v*_xlpm.w)
)</f>
        <v/>
      </c>
      <c r="CZ106" s="93" t="str" cm="1">
        <f t="array" ref="CZ106">_xlfn.LET(
  _xlpm.w, CZ$11,
  _xlpm.r, MATCH(1,('3. Enter Indicator Scores'!$B$10:$B$161=$B106)*('3. Enter Indicator Scores'!$C$10:$C$161=$C106),0),
  _xlpm.c, MATCH(CZ$8,'3. Enter Indicator Scores'!$D$8:$CZ$8,0),
  _xlpm.v, IFERROR(INDEX('3. Enter Indicator Scores'!$D$10:$CZ$161,_xlpm.r,_xlpm.c),""),
  IF(OR(_xlpm.w="",_xlpm.v=""),"",_xlpm.v*_xlpm.w)
)</f>
        <v/>
      </c>
    </row>
    <row r="107" spans="4:104" x14ac:dyDescent="0.2">
      <c r="D107" s="93" t="str" cm="1">
        <f t="array" ref="D107">_xlfn.LET(
  _xlpm.w, D$11,
  _xlpm.r, MATCH(1,('3. Enter Indicator Scores'!$B$10:$B$161=$B107)*('3. Enter Indicator Scores'!$C$10:$C$161=$C107),0),
  _xlpm.c, MATCH(D$8,'3. Enter Indicator Scores'!$D$8:$CZ$8,0),
  _xlpm.v, IFERROR(INDEX('3. Enter Indicator Scores'!$D$10:$CZ$161,_xlpm.r,_xlpm.c),""),
  IF(OR(_xlpm.w="",_xlpm.v=""),"",_xlpm.v*_xlpm.w)
)</f>
        <v/>
      </c>
      <c r="E107" s="93" t="str" cm="1">
        <f t="array" ref="E107">_xlfn.LET(
  _xlpm.w, E$11,
  _xlpm.r, MATCH(1,('3. Enter Indicator Scores'!$B$10:$B$161=$B107)*('3. Enter Indicator Scores'!$C$10:$C$161=$C107),0),
  _xlpm.c, MATCH(E$8,'3. Enter Indicator Scores'!$D$8:$CZ$8,0),
  _xlpm.v, IFERROR(INDEX('3. Enter Indicator Scores'!$D$10:$CZ$161,_xlpm.r,_xlpm.c),""),
  IF(OR(_xlpm.w="",_xlpm.v=""),"",_xlpm.v*_xlpm.w)
)</f>
        <v/>
      </c>
      <c r="F107" s="93" t="str" cm="1">
        <f t="array" ref="F107">_xlfn.LET(
  _xlpm.w, F$11,
  _xlpm.r, MATCH(1,('3. Enter Indicator Scores'!$B$10:$B$161=$B107)*('3. Enter Indicator Scores'!$C$10:$C$161=$C107),0),
  _xlpm.c, MATCH(F$8,'3. Enter Indicator Scores'!$D$8:$CZ$8,0),
  _xlpm.v, IFERROR(INDEX('3. Enter Indicator Scores'!$D$10:$CZ$161,_xlpm.r,_xlpm.c),""),
  IF(OR(_xlpm.w="",_xlpm.v=""),"",_xlpm.v*_xlpm.w)
)</f>
        <v/>
      </c>
      <c r="G107" s="93" t="str" cm="1">
        <f t="array" ref="G107">_xlfn.LET(
  _xlpm.w, G$11,
  _xlpm.r, MATCH(1,('3. Enter Indicator Scores'!$B$10:$B$161=$B107)*('3. Enter Indicator Scores'!$C$10:$C$161=$C107),0),
  _xlpm.c, MATCH(G$8,'3. Enter Indicator Scores'!$D$8:$CZ$8,0),
  _xlpm.v, IFERROR(INDEX('3. Enter Indicator Scores'!$D$10:$CZ$161,_xlpm.r,_xlpm.c),""),
  IF(OR(_xlpm.w="",_xlpm.v=""),"",_xlpm.v*_xlpm.w)
)</f>
        <v/>
      </c>
      <c r="H107" s="93" t="str" cm="1">
        <f t="array" ref="H107">_xlfn.LET(
  _xlpm.w, H$11,
  _xlpm.r, MATCH(1,('3. Enter Indicator Scores'!$B$10:$B$161=$B107)*('3. Enter Indicator Scores'!$C$10:$C$161=$C107),0),
  _xlpm.c, MATCH(H$8,'3. Enter Indicator Scores'!$D$8:$CZ$8,0),
  _xlpm.v, IFERROR(INDEX('3. Enter Indicator Scores'!$D$10:$CZ$161,_xlpm.r,_xlpm.c),""),
  IF(OR(_xlpm.w="",_xlpm.v=""),"",_xlpm.v*_xlpm.w)
)</f>
        <v/>
      </c>
      <c r="I107" s="93" t="str" cm="1">
        <f t="array" ref="I107">_xlfn.LET(
  _xlpm.w, I$11,
  _xlpm.r, MATCH(1,('3. Enter Indicator Scores'!$B$10:$B$161=$B107)*('3. Enter Indicator Scores'!$C$10:$C$161=$C107),0),
  _xlpm.c, MATCH(I$8,'3. Enter Indicator Scores'!$D$8:$CZ$8,0),
  _xlpm.v, IFERROR(INDEX('3. Enter Indicator Scores'!$D$10:$CZ$161,_xlpm.r,_xlpm.c),""),
  IF(OR(_xlpm.w="",_xlpm.v=""),"",_xlpm.v*_xlpm.w)
)</f>
        <v/>
      </c>
      <c r="J107" s="93" t="str" cm="1">
        <f t="array" ref="J107">_xlfn.LET(
  _xlpm.w, J$11,
  _xlpm.r, MATCH(1,('3. Enter Indicator Scores'!$B$10:$B$161=$B107)*('3. Enter Indicator Scores'!$C$10:$C$161=$C107),0),
  _xlpm.c, MATCH(J$8,'3. Enter Indicator Scores'!$D$8:$CZ$8,0),
  _xlpm.v, IFERROR(INDEX('3. Enter Indicator Scores'!$D$10:$CZ$161,_xlpm.r,_xlpm.c),""),
  IF(OR(_xlpm.w="",_xlpm.v=""),"",_xlpm.v*_xlpm.w)
)</f>
        <v/>
      </c>
      <c r="K107" s="93" t="str" cm="1">
        <f t="array" ref="K107">_xlfn.LET(
  _xlpm.w, K$11,
  _xlpm.r, MATCH(1,('3. Enter Indicator Scores'!$B$10:$B$161=$B107)*('3. Enter Indicator Scores'!$C$10:$C$161=$C107),0),
  _xlpm.c, MATCH(K$8,'3. Enter Indicator Scores'!$D$8:$CZ$8,0),
  _xlpm.v, IFERROR(INDEX('3. Enter Indicator Scores'!$D$10:$CZ$161,_xlpm.r,_xlpm.c),""),
  IF(OR(_xlpm.w="",_xlpm.v=""),"",_xlpm.v*_xlpm.w)
)</f>
        <v/>
      </c>
      <c r="L107" s="93" t="str" cm="1">
        <f t="array" ref="L107">_xlfn.LET(
  _xlpm.w, L$11,
  _xlpm.r, MATCH(1,('3. Enter Indicator Scores'!$B$10:$B$161=$B107)*('3. Enter Indicator Scores'!$C$10:$C$161=$C107),0),
  _xlpm.c, MATCH(L$8,'3. Enter Indicator Scores'!$D$8:$CZ$8,0),
  _xlpm.v, IFERROR(INDEX('3. Enter Indicator Scores'!$D$10:$CZ$161,_xlpm.r,_xlpm.c),""),
  IF(OR(_xlpm.w="",_xlpm.v=""),"",_xlpm.v*_xlpm.w)
)</f>
        <v/>
      </c>
      <c r="M107" s="93" t="str" cm="1">
        <f t="array" ref="M107">_xlfn.LET(
  _xlpm.w, M$11,
  _xlpm.r, MATCH(1,('3. Enter Indicator Scores'!$B$10:$B$161=$B107)*('3. Enter Indicator Scores'!$C$10:$C$161=$C107),0),
  _xlpm.c, MATCH(M$8,'3. Enter Indicator Scores'!$D$8:$CZ$8,0),
  _xlpm.v, IFERROR(INDEX('3. Enter Indicator Scores'!$D$10:$CZ$161,_xlpm.r,_xlpm.c),""),
  IF(OR(_xlpm.w="",_xlpm.v=""),"",_xlpm.v*_xlpm.w)
)</f>
        <v/>
      </c>
      <c r="N107" s="93" t="str" cm="1">
        <f t="array" ref="N107">_xlfn.LET(
  _xlpm.w, N$11,
  _xlpm.r, MATCH(1,('3. Enter Indicator Scores'!$B$10:$B$161=$B107)*('3. Enter Indicator Scores'!$C$10:$C$161=$C107),0),
  _xlpm.c, MATCH(N$8,'3. Enter Indicator Scores'!$D$8:$CZ$8,0),
  _xlpm.v, IFERROR(INDEX('3. Enter Indicator Scores'!$D$10:$CZ$161,_xlpm.r,_xlpm.c),""),
  IF(OR(_xlpm.w="",_xlpm.v=""),"",_xlpm.v*_xlpm.w)
)</f>
        <v/>
      </c>
      <c r="O107" s="93" t="str" cm="1">
        <f t="array" ref="O107">_xlfn.LET(
  _xlpm.w, O$11,
  _xlpm.r, MATCH(1,('3. Enter Indicator Scores'!$B$10:$B$161=$B107)*('3. Enter Indicator Scores'!$C$10:$C$161=$C107),0),
  _xlpm.c, MATCH(O$8,'3. Enter Indicator Scores'!$D$8:$CZ$8,0),
  _xlpm.v, IFERROR(INDEX('3. Enter Indicator Scores'!$D$10:$CZ$161,_xlpm.r,_xlpm.c),""),
  IF(OR(_xlpm.w="",_xlpm.v=""),"",_xlpm.v*_xlpm.w)
)</f>
        <v/>
      </c>
      <c r="P107" s="93" t="str" cm="1">
        <f t="array" ref="P107">_xlfn.LET(
  _xlpm.w, P$11,
  _xlpm.r, MATCH(1,('3. Enter Indicator Scores'!$B$10:$B$161=$B107)*('3. Enter Indicator Scores'!$C$10:$C$161=$C107),0),
  _xlpm.c, MATCH(P$8,'3. Enter Indicator Scores'!$D$8:$CZ$8,0),
  _xlpm.v, IFERROR(INDEX('3. Enter Indicator Scores'!$D$10:$CZ$161,_xlpm.r,_xlpm.c),""),
  IF(OR(_xlpm.w="",_xlpm.v=""),"",_xlpm.v*_xlpm.w)
)</f>
        <v/>
      </c>
      <c r="Q107" s="93" t="str" cm="1">
        <f t="array" ref="Q107">_xlfn.LET(
  _xlpm.w, Q$11,
  _xlpm.r, MATCH(1,('3. Enter Indicator Scores'!$B$10:$B$161=$B107)*('3. Enter Indicator Scores'!$C$10:$C$161=$C107),0),
  _xlpm.c, MATCH(Q$8,'3. Enter Indicator Scores'!$D$8:$CZ$8,0),
  _xlpm.v, IFERROR(INDEX('3. Enter Indicator Scores'!$D$10:$CZ$161,_xlpm.r,_xlpm.c),""),
  IF(OR(_xlpm.w="",_xlpm.v=""),"",_xlpm.v*_xlpm.w)
)</f>
        <v/>
      </c>
      <c r="R107" s="93" t="str" cm="1">
        <f t="array" ref="R107">_xlfn.LET(
  _xlpm.w, R$11,
  _xlpm.r, MATCH(1,('3. Enter Indicator Scores'!$B$10:$B$161=$B107)*('3. Enter Indicator Scores'!$C$10:$C$161=$C107),0),
  _xlpm.c, MATCH(R$8,'3. Enter Indicator Scores'!$D$8:$CZ$8,0),
  _xlpm.v, IFERROR(INDEX('3. Enter Indicator Scores'!$D$10:$CZ$161,_xlpm.r,_xlpm.c),""),
  IF(OR(_xlpm.w="",_xlpm.v=""),"",_xlpm.v*_xlpm.w)
)</f>
        <v/>
      </c>
      <c r="S107" s="93" t="str" cm="1">
        <f t="array" ref="S107">_xlfn.LET(
  _xlpm.w, S$11,
  _xlpm.r, MATCH(1,('3. Enter Indicator Scores'!$B$10:$B$161=$B107)*('3. Enter Indicator Scores'!$C$10:$C$161=$C107),0),
  _xlpm.c, MATCH(S$8,'3. Enter Indicator Scores'!$D$8:$CZ$8,0),
  _xlpm.v, IFERROR(INDEX('3. Enter Indicator Scores'!$D$10:$CZ$161,_xlpm.r,_xlpm.c),""),
  IF(OR(_xlpm.w="",_xlpm.v=""),"",_xlpm.v*_xlpm.w)
)</f>
        <v/>
      </c>
      <c r="T107" s="93" t="str" cm="1">
        <f t="array" ref="T107">_xlfn.LET(
  _xlpm.w, T$11,
  _xlpm.r, MATCH(1,('3. Enter Indicator Scores'!$B$10:$B$161=$B107)*('3. Enter Indicator Scores'!$C$10:$C$161=$C107),0),
  _xlpm.c, MATCH(T$8,'3. Enter Indicator Scores'!$D$8:$CZ$8,0),
  _xlpm.v, IFERROR(INDEX('3. Enter Indicator Scores'!$D$10:$CZ$161,_xlpm.r,_xlpm.c),""),
  IF(OR(_xlpm.w="",_xlpm.v=""),"",_xlpm.v*_xlpm.w)
)</f>
        <v/>
      </c>
      <c r="U107" s="93" t="str" cm="1">
        <f t="array" ref="U107">_xlfn.LET(
  _xlpm.w, U$11,
  _xlpm.r, MATCH(1,('3. Enter Indicator Scores'!$B$10:$B$161=$B107)*('3. Enter Indicator Scores'!$C$10:$C$161=$C107),0),
  _xlpm.c, MATCH(U$8,'3. Enter Indicator Scores'!$D$8:$CZ$8,0),
  _xlpm.v, IFERROR(INDEX('3. Enter Indicator Scores'!$D$10:$CZ$161,_xlpm.r,_xlpm.c),""),
  IF(OR(_xlpm.w="",_xlpm.v=""),"",_xlpm.v*_xlpm.w)
)</f>
        <v/>
      </c>
      <c r="V107" s="93" t="str" cm="1">
        <f t="array" ref="V107">_xlfn.LET(
  _xlpm.w, V$11,
  _xlpm.r, MATCH(1,('3. Enter Indicator Scores'!$B$10:$B$161=$B107)*('3. Enter Indicator Scores'!$C$10:$C$161=$C107),0),
  _xlpm.c, MATCH(V$8,'3. Enter Indicator Scores'!$D$8:$CZ$8,0),
  _xlpm.v, IFERROR(INDEX('3. Enter Indicator Scores'!$D$10:$CZ$161,_xlpm.r,_xlpm.c),""),
  IF(OR(_xlpm.w="",_xlpm.v=""),"",_xlpm.v*_xlpm.w)
)</f>
        <v/>
      </c>
      <c r="W107" s="93" t="str" cm="1">
        <f t="array" ref="W107">_xlfn.LET(
  _xlpm.w, W$11,
  _xlpm.r, MATCH(1,('3. Enter Indicator Scores'!$B$10:$B$161=$B107)*('3. Enter Indicator Scores'!$C$10:$C$161=$C107),0),
  _xlpm.c, MATCH(W$8,'3. Enter Indicator Scores'!$D$8:$CZ$8,0),
  _xlpm.v, IFERROR(INDEX('3. Enter Indicator Scores'!$D$10:$CZ$161,_xlpm.r,_xlpm.c),""),
  IF(OR(_xlpm.w="",_xlpm.v=""),"",_xlpm.v*_xlpm.w)
)</f>
        <v/>
      </c>
      <c r="X107" s="93" t="str" cm="1">
        <f t="array" ref="X107">_xlfn.LET(
  _xlpm.w, X$11,
  _xlpm.r, MATCH(1,('3. Enter Indicator Scores'!$B$10:$B$161=$B107)*('3. Enter Indicator Scores'!$C$10:$C$161=$C107),0),
  _xlpm.c, MATCH(X$8,'3. Enter Indicator Scores'!$D$8:$CZ$8,0),
  _xlpm.v, IFERROR(INDEX('3. Enter Indicator Scores'!$D$10:$CZ$161,_xlpm.r,_xlpm.c),""),
  IF(OR(_xlpm.w="",_xlpm.v=""),"",_xlpm.v*_xlpm.w)
)</f>
        <v/>
      </c>
      <c r="Y107" s="93" t="str" cm="1">
        <f t="array" ref="Y107">_xlfn.LET(
  _xlpm.w, Y$11,
  _xlpm.r, MATCH(1,('3. Enter Indicator Scores'!$B$10:$B$161=$B107)*('3. Enter Indicator Scores'!$C$10:$C$161=$C107),0),
  _xlpm.c, MATCH(Y$8,'3. Enter Indicator Scores'!$D$8:$CZ$8,0),
  _xlpm.v, IFERROR(INDEX('3. Enter Indicator Scores'!$D$10:$CZ$161,_xlpm.r,_xlpm.c),""),
  IF(OR(_xlpm.w="",_xlpm.v=""),"",_xlpm.v*_xlpm.w)
)</f>
        <v/>
      </c>
      <c r="Z107" s="93" t="str" cm="1">
        <f t="array" ref="Z107">_xlfn.LET(
  _xlpm.w, Z$11,
  _xlpm.r, MATCH(1,('3. Enter Indicator Scores'!$B$10:$B$161=$B107)*('3. Enter Indicator Scores'!$C$10:$C$161=$C107),0),
  _xlpm.c, MATCH(Z$8,'3. Enter Indicator Scores'!$D$8:$CZ$8,0),
  _xlpm.v, IFERROR(INDEX('3. Enter Indicator Scores'!$D$10:$CZ$161,_xlpm.r,_xlpm.c),""),
  IF(OR(_xlpm.w="",_xlpm.v=""),"",_xlpm.v*_xlpm.w)
)</f>
        <v/>
      </c>
      <c r="AA107" s="93" t="str" cm="1">
        <f t="array" ref="AA107">_xlfn.LET(
  _xlpm.w, AA$11,
  _xlpm.r, MATCH(1,('3. Enter Indicator Scores'!$B$10:$B$161=$B107)*('3. Enter Indicator Scores'!$C$10:$C$161=$C107),0),
  _xlpm.c, MATCH(AA$8,'3. Enter Indicator Scores'!$D$8:$CZ$8,0),
  _xlpm.v, IFERROR(INDEX('3. Enter Indicator Scores'!$D$10:$CZ$161,_xlpm.r,_xlpm.c),""),
  IF(OR(_xlpm.w="",_xlpm.v=""),"",_xlpm.v*_xlpm.w)
)</f>
        <v/>
      </c>
      <c r="AB107" s="93" t="str" cm="1">
        <f t="array" ref="AB107">_xlfn.LET(
  _xlpm.w, AB$11,
  _xlpm.r, MATCH(1,('3. Enter Indicator Scores'!$B$10:$B$161=$B107)*('3. Enter Indicator Scores'!$C$10:$C$161=$C107),0),
  _xlpm.c, MATCH(AB$8,'3. Enter Indicator Scores'!$D$8:$CZ$8,0),
  _xlpm.v, IFERROR(INDEX('3. Enter Indicator Scores'!$D$10:$CZ$161,_xlpm.r,_xlpm.c),""),
  IF(OR(_xlpm.w="",_xlpm.v=""),"",_xlpm.v*_xlpm.w)
)</f>
        <v/>
      </c>
      <c r="AC107" s="93" t="str" cm="1">
        <f t="array" ref="AC107">_xlfn.LET(
  _xlpm.w, AC$11,
  _xlpm.r, MATCH(1,('3. Enter Indicator Scores'!$B$10:$B$161=$B107)*('3. Enter Indicator Scores'!$C$10:$C$161=$C107),0),
  _xlpm.c, MATCH(AC$8,'3. Enter Indicator Scores'!$D$8:$CZ$8,0),
  _xlpm.v, IFERROR(INDEX('3. Enter Indicator Scores'!$D$10:$CZ$161,_xlpm.r,_xlpm.c),""),
  IF(OR(_xlpm.w="",_xlpm.v=""),"",_xlpm.v*_xlpm.w)
)</f>
        <v/>
      </c>
      <c r="AD107" s="93" t="str" cm="1">
        <f t="array" ref="AD107">_xlfn.LET(
  _xlpm.w, AD$11,
  _xlpm.r, MATCH(1,('3. Enter Indicator Scores'!$B$10:$B$161=$B107)*('3. Enter Indicator Scores'!$C$10:$C$161=$C107),0),
  _xlpm.c, MATCH(AD$8,'3. Enter Indicator Scores'!$D$8:$CZ$8,0),
  _xlpm.v, IFERROR(INDEX('3. Enter Indicator Scores'!$D$10:$CZ$161,_xlpm.r,_xlpm.c),""),
  IF(OR(_xlpm.w="",_xlpm.v=""),"",_xlpm.v*_xlpm.w)
)</f>
        <v/>
      </c>
      <c r="AE107" s="93" t="str" cm="1">
        <f t="array" ref="AE107">_xlfn.LET(
  _xlpm.w, AE$11,
  _xlpm.r, MATCH(1,('3. Enter Indicator Scores'!$B$10:$B$161=$B107)*('3. Enter Indicator Scores'!$C$10:$C$161=$C107),0),
  _xlpm.c, MATCH(AE$8,'3. Enter Indicator Scores'!$D$8:$CZ$8,0),
  _xlpm.v, IFERROR(INDEX('3. Enter Indicator Scores'!$D$10:$CZ$161,_xlpm.r,_xlpm.c),""),
  IF(OR(_xlpm.w="",_xlpm.v=""),"",_xlpm.v*_xlpm.w)
)</f>
        <v/>
      </c>
      <c r="AF107" s="93" t="str" cm="1">
        <f t="array" ref="AF107">_xlfn.LET(
  _xlpm.w, AF$11,
  _xlpm.r, MATCH(1,('3. Enter Indicator Scores'!$B$10:$B$161=$B107)*('3. Enter Indicator Scores'!$C$10:$C$161=$C107),0),
  _xlpm.c, MATCH(AF$8,'3. Enter Indicator Scores'!$D$8:$CZ$8,0),
  _xlpm.v, IFERROR(INDEX('3. Enter Indicator Scores'!$D$10:$CZ$161,_xlpm.r,_xlpm.c),""),
  IF(OR(_xlpm.w="",_xlpm.v=""),"",_xlpm.v*_xlpm.w)
)</f>
        <v/>
      </c>
      <c r="AG107" s="93" t="str" cm="1">
        <f t="array" ref="AG107">_xlfn.LET(
  _xlpm.w, AG$11,
  _xlpm.r, MATCH(1,('3. Enter Indicator Scores'!$B$10:$B$161=$B107)*('3. Enter Indicator Scores'!$C$10:$C$161=$C107),0),
  _xlpm.c, MATCH(AG$8,'3. Enter Indicator Scores'!$D$8:$CZ$8,0),
  _xlpm.v, IFERROR(INDEX('3. Enter Indicator Scores'!$D$10:$CZ$161,_xlpm.r,_xlpm.c),""),
  IF(OR(_xlpm.w="",_xlpm.v=""),"",_xlpm.v*_xlpm.w)
)</f>
        <v/>
      </c>
      <c r="AH107" s="93" t="str" cm="1">
        <f t="array" ref="AH107">_xlfn.LET(
  _xlpm.w, AH$11,
  _xlpm.r, MATCH(1,('3. Enter Indicator Scores'!$B$10:$B$161=$B107)*('3. Enter Indicator Scores'!$C$10:$C$161=$C107),0),
  _xlpm.c, MATCH(AH$8,'3. Enter Indicator Scores'!$D$8:$CZ$8,0),
  _xlpm.v, IFERROR(INDEX('3. Enter Indicator Scores'!$D$10:$CZ$161,_xlpm.r,_xlpm.c),""),
  IF(OR(_xlpm.w="",_xlpm.v=""),"",_xlpm.v*_xlpm.w)
)</f>
        <v/>
      </c>
      <c r="AI107" s="93" t="str" cm="1">
        <f t="array" ref="AI107">_xlfn.LET(
  _xlpm.w, AI$11,
  _xlpm.r, MATCH(1,('3. Enter Indicator Scores'!$B$10:$B$161=$B107)*('3. Enter Indicator Scores'!$C$10:$C$161=$C107),0),
  _xlpm.c, MATCH(AI$8,'3. Enter Indicator Scores'!$D$8:$CZ$8,0),
  _xlpm.v, IFERROR(INDEX('3. Enter Indicator Scores'!$D$10:$CZ$161,_xlpm.r,_xlpm.c),""),
  IF(OR(_xlpm.w="",_xlpm.v=""),"",_xlpm.v*_xlpm.w)
)</f>
        <v/>
      </c>
      <c r="AJ107" s="93" t="str" cm="1">
        <f t="array" ref="AJ107">_xlfn.LET(
  _xlpm.w, AJ$11,
  _xlpm.r, MATCH(1,('3. Enter Indicator Scores'!$B$10:$B$161=$B107)*('3. Enter Indicator Scores'!$C$10:$C$161=$C107),0),
  _xlpm.c, MATCH(AJ$8,'3. Enter Indicator Scores'!$D$8:$CZ$8,0),
  _xlpm.v, IFERROR(INDEX('3. Enter Indicator Scores'!$D$10:$CZ$161,_xlpm.r,_xlpm.c),""),
  IF(OR(_xlpm.w="",_xlpm.v=""),"",_xlpm.v*_xlpm.w)
)</f>
        <v/>
      </c>
      <c r="AK107" s="93" t="str" cm="1">
        <f t="array" ref="AK107">_xlfn.LET(
  _xlpm.w, AK$11,
  _xlpm.r, MATCH(1,('3. Enter Indicator Scores'!$B$10:$B$161=$B107)*('3. Enter Indicator Scores'!$C$10:$C$161=$C107),0),
  _xlpm.c, MATCH(AK$8,'3. Enter Indicator Scores'!$D$8:$CZ$8,0),
  _xlpm.v, IFERROR(INDEX('3. Enter Indicator Scores'!$D$10:$CZ$161,_xlpm.r,_xlpm.c),""),
  IF(OR(_xlpm.w="",_xlpm.v=""),"",_xlpm.v*_xlpm.w)
)</f>
        <v/>
      </c>
      <c r="AL107" s="93" t="str" cm="1">
        <f t="array" ref="AL107">_xlfn.LET(
  _xlpm.w, AL$11,
  _xlpm.r, MATCH(1,('3. Enter Indicator Scores'!$B$10:$B$161=$B107)*('3. Enter Indicator Scores'!$C$10:$C$161=$C107),0),
  _xlpm.c, MATCH(AL$8,'3. Enter Indicator Scores'!$D$8:$CZ$8,0),
  _xlpm.v, IFERROR(INDEX('3. Enter Indicator Scores'!$D$10:$CZ$161,_xlpm.r,_xlpm.c),""),
  IF(OR(_xlpm.w="",_xlpm.v=""),"",_xlpm.v*_xlpm.w)
)</f>
        <v/>
      </c>
      <c r="AM107" s="93" t="str" cm="1">
        <f t="array" ref="AM107">_xlfn.LET(
  _xlpm.w, AM$11,
  _xlpm.r, MATCH(1,('3. Enter Indicator Scores'!$B$10:$B$161=$B107)*('3. Enter Indicator Scores'!$C$10:$C$161=$C107),0),
  _xlpm.c, MATCH(AM$8,'3. Enter Indicator Scores'!$D$8:$CZ$8,0),
  _xlpm.v, IFERROR(INDEX('3. Enter Indicator Scores'!$D$10:$CZ$161,_xlpm.r,_xlpm.c),""),
  IF(OR(_xlpm.w="",_xlpm.v=""),"",_xlpm.v*_xlpm.w)
)</f>
        <v/>
      </c>
      <c r="AN107" s="93" t="str" cm="1">
        <f t="array" ref="AN107">_xlfn.LET(
  _xlpm.w, AN$11,
  _xlpm.r, MATCH(1,('3. Enter Indicator Scores'!$B$10:$B$161=$B107)*('3. Enter Indicator Scores'!$C$10:$C$161=$C107),0),
  _xlpm.c, MATCH(AN$8,'3. Enter Indicator Scores'!$D$8:$CZ$8,0),
  _xlpm.v, IFERROR(INDEX('3. Enter Indicator Scores'!$D$10:$CZ$161,_xlpm.r,_xlpm.c),""),
  IF(OR(_xlpm.w="",_xlpm.v=""),"",_xlpm.v*_xlpm.w)
)</f>
        <v/>
      </c>
      <c r="AO107" s="93" t="str" cm="1">
        <f t="array" ref="AO107">_xlfn.LET(
  _xlpm.w, AO$11,
  _xlpm.r, MATCH(1,('3. Enter Indicator Scores'!$B$10:$B$161=$B107)*('3. Enter Indicator Scores'!$C$10:$C$161=$C107),0),
  _xlpm.c, MATCH(AO$8,'3. Enter Indicator Scores'!$D$8:$CZ$8,0),
  _xlpm.v, IFERROR(INDEX('3. Enter Indicator Scores'!$D$10:$CZ$161,_xlpm.r,_xlpm.c),""),
  IF(OR(_xlpm.w="",_xlpm.v=""),"",_xlpm.v*_xlpm.w)
)</f>
        <v/>
      </c>
      <c r="AP107" s="93" t="str" cm="1">
        <f t="array" ref="AP107">_xlfn.LET(
  _xlpm.w, AP$11,
  _xlpm.r, MATCH(1,('3. Enter Indicator Scores'!$B$10:$B$161=$B107)*('3. Enter Indicator Scores'!$C$10:$C$161=$C107),0),
  _xlpm.c, MATCH(AP$8,'3. Enter Indicator Scores'!$D$8:$CZ$8,0),
  _xlpm.v, IFERROR(INDEX('3. Enter Indicator Scores'!$D$10:$CZ$161,_xlpm.r,_xlpm.c),""),
  IF(OR(_xlpm.w="",_xlpm.v=""),"",_xlpm.v*_xlpm.w)
)</f>
        <v/>
      </c>
      <c r="AQ107" s="93" t="str" cm="1">
        <f t="array" ref="AQ107">_xlfn.LET(
  _xlpm.w, AQ$11,
  _xlpm.r, MATCH(1,('3. Enter Indicator Scores'!$B$10:$B$161=$B107)*('3. Enter Indicator Scores'!$C$10:$C$161=$C107),0),
  _xlpm.c, MATCH(AQ$8,'3. Enter Indicator Scores'!$D$8:$CZ$8,0),
  _xlpm.v, IFERROR(INDEX('3. Enter Indicator Scores'!$D$10:$CZ$161,_xlpm.r,_xlpm.c),""),
  IF(OR(_xlpm.w="",_xlpm.v=""),"",_xlpm.v*_xlpm.w)
)</f>
        <v/>
      </c>
      <c r="AR107" s="93" t="str" cm="1">
        <f t="array" ref="AR107">_xlfn.LET(
  _xlpm.w, AR$11,
  _xlpm.r, MATCH(1,('3. Enter Indicator Scores'!$B$10:$B$161=$B107)*('3. Enter Indicator Scores'!$C$10:$C$161=$C107),0),
  _xlpm.c, MATCH(AR$8,'3. Enter Indicator Scores'!$D$8:$CZ$8,0),
  _xlpm.v, IFERROR(INDEX('3. Enter Indicator Scores'!$D$10:$CZ$161,_xlpm.r,_xlpm.c),""),
  IF(OR(_xlpm.w="",_xlpm.v=""),"",_xlpm.v*_xlpm.w)
)</f>
        <v/>
      </c>
      <c r="AS107" s="93" t="str" cm="1">
        <f t="array" ref="AS107">_xlfn.LET(
  _xlpm.w, AS$11,
  _xlpm.r, MATCH(1,('3. Enter Indicator Scores'!$B$10:$B$161=$B107)*('3. Enter Indicator Scores'!$C$10:$C$161=$C107),0),
  _xlpm.c, MATCH(AS$8,'3. Enter Indicator Scores'!$D$8:$CZ$8,0),
  _xlpm.v, IFERROR(INDEX('3. Enter Indicator Scores'!$D$10:$CZ$161,_xlpm.r,_xlpm.c),""),
  IF(OR(_xlpm.w="",_xlpm.v=""),"",_xlpm.v*_xlpm.w)
)</f>
        <v/>
      </c>
      <c r="AT107" s="93" t="str" cm="1">
        <f t="array" ref="AT107">_xlfn.LET(
  _xlpm.w, AT$11,
  _xlpm.r, MATCH(1,('3. Enter Indicator Scores'!$B$10:$B$161=$B107)*('3. Enter Indicator Scores'!$C$10:$C$161=$C107),0),
  _xlpm.c, MATCH(AT$8,'3. Enter Indicator Scores'!$D$8:$CZ$8,0),
  _xlpm.v, IFERROR(INDEX('3. Enter Indicator Scores'!$D$10:$CZ$161,_xlpm.r,_xlpm.c),""),
  IF(OR(_xlpm.w="",_xlpm.v=""),"",_xlpm.v*_xlpm.w)
)</f>
        <v/>
      </c>
      <c r="AU107" s="93" t="str" cm="1">
        <f t="array" ref="AU107">_xlfn.LET(
  _xlpm.w, AU$11,
  _xlpm.r, MATCH(1,('3. Enter Indicator Scores'!$B$10:$B$161=$B107)*('3. Enter Indicator Scores'!$C$10:$C$161=$C107),0),
  _xlpm.c, MATCH(AU$8,'3. Enter Indicator Scores'!$D$8:$CZ$8,0),
  _xlpm.v, IFERROR(INDEX('3. Enter Indicator Scores'!$D$10:$CZ$161,_xlpm.r,_xlpm.c),""),
  IF(OR(_xlpm.w="",_xlpm.v=""),"",_xlpm.v*_xlpm.w)
)</f>
        <v/>
      </c>
      <c r="AV107" s="93" t="str" cm="1">
        <f t="array" ref="AV107">_xlfn.LET(
  _xlpm.w, AV$11,
  _xlpm.r, MATCH(1,('3. Enter Indicator Scores'!$B$10:$B$161=$B107)*('3. Enter Indicator Scores'!$C$10:$C$161=$C107),0),
  _xlpm.c, MATCH(AV$8,'3. Enter Indicator Scores'!$D$8:$CZ$8,0),
  _xlpm.v, IFERROR(INDEX('3. Enter Indicator Scores'!$D$10:$CZ$161,_xlpm.r,_xlpm.c),""),
  IF(OR(_xlpm.w="",_xlpm.v=""),"",_xlpm.v*_xlpm.w)
)</f>
        <v/>
      </c>
      <c r="AW107" s="93" t="str" cm="1">
        <f t="array" ref="AW107">_xlfn.LET(
  _xlpm.w, AW$11,
  _xlpm.r, MATCH(1,('3. Enter Indicator Scores'!$B$10:$B$161=$B107)*('3. Enter Indicator Scores'!$C$10:$C$161=$C107),0),
  _xlpm.c, MATCH(AW$8,'3. Enter Indicator Scores'!$D$8:$CZ$8,0),
  _xlpm.v, IFERROR(INDEX('3. Enter Indicator Scores'!$D$10:$CZ$161,_xlpm.r,_xlpm.c),""),
  IF(OR(_xlpm.w="",_xlpm.v=""),"",_xlpm.v*_xlpm.w)
)</f>
        <v/>
      </c>
      <c r="AX107" s="93" t="str" cm="1">
        <f t="array" ref="AX107">_xlfn.LET(
  _xlpm.w, AX$11,
  _xlpm.r, MATCH(1,('3. Enter Indicator Scores'!$B$10:$B$161=$B107)*('3. Enter Indicator Scores'!$C$10:$C$161=$C107),0),
  _xlpm.c, MATCH(AX$8,'3. Enter Indicator Scores'!$D$8:$CZ$8,0),
  _xlpm.v, IFERROR(INDEX('3. Enter Indicator Scores'!$D$10:$CZ$161,_xlpm.r,_xlpm.c),""),
  IF(OR(_xlpm.w="",_xlpm.v=""),"",_xlpm.v*_xlpm.w)
)</f>
        <v/>
      </c>
      <c r="AY107" s="93" t="str" cm="1">
        <f t="array" ref="AY107">_xlfn.LET(
  _xlpm.w, AY$11,
  _xlpm.r, MATCH(1,('3. Enter Indicator Scores'!$B$10:$B$161=$B107)*('3. Enter Indicator Scores'!$C$10:$C$161=$C107),0),
  _xlpm.c, MATCH(AY$8,'3. Enter Indicator Scores'!$D$8:$CZ$8,0),
  _xlpm.v, IFERROR(INDEX('3. Enter Indicator Scores'!$D$10:$CZ$161,_xlpm.r,_xlpm.c),""),
  IF(OR(_xlpm.w="",_xlpm.v=""),"",_xlpm.v*_xlpm.w)
)</f>
        <v/>
      </c>
      <c r="AZ107" s="93" t="str" cm="1">
        <f t="array" ref="AZ107">_xlfn.LET(
  _xlpm.w, AZ$11,
  _xlpm.r, MATCH(1,('3. Enter Indicator Scores'!$B$10:$B$161=$B107)*('3. Enter Indicator Scores'!$C$10:$C$161=$C107),0),
  _xlpm.c, MATCH(AZ$8,'3. Enter Indicator Scores'!$D$8:$CZ$8,0),
  _xlpm.v, IFERROR(INDEX('3. Enter Indicator Scores'!$D$10:$CZ$161,_xlpm.r,_xlpm.c),""),
  IF(OR(_xlpm.w="",_xlpm.v=""),"",_xlpm.v*_xlpm.w)
)</f>
        <v/>
      </c>
      <c r="BA107" s="93" t="str" cm="1">
        <f t="array" ref="BA107">_xlfn.LET(
  _xlpm.w, BA$11,
  _xlpm.r, MATCH(1,('3. Enter Indicator Scores'!$B$10:$B$161=$B107)*('3. Enter Indicator Scores'!$C$10:$C$161=$C107),0),
  _xlpm.c, MATCH(BA$8,'3. Enter Indicator Scores'!$D$8:$CZ$8,0),
  _xlpm.v, IFERROR(INDEX('3. Enter Indicator Scores'!$D$10:$CZ$161,_xlpm.r,_xlpm.c),""),
  IF(OR(_xlpm.w="",_xlpm.v=""),"",_xlpm.v*_xlpm.w)
)</f>
        <v/>
      </c>
      <c r="BB107" s="93" t="str" cm="1">
        <f t="array" ref="BB107">_xlfn.LET(
  _xlpm.w, BB$11,
  _xlpm.r, MATCH(1,('3. Enter Indicator Scores'!$B$10:$B$161=$B107)*('3. Enter Indicator Scores'!$C$10:$C$161=$C107),0),
  _xlpm.c, MATCH(BB$8,'3. Enter Indicator Scores'!$D$8:$CZ$8,0),
  _xlpm.v, IFERROR(INDEX('3. Enter Indicator Scores'!$D$10:$CZ$161,_xlpm.r,_xlpm.c),""),
  IF(OR(_xlpm.w="",_xlpm.v=""),"",_xlpm.v*_xlpm.w)
)</f>
        <v/>
      </c>
      <c r="BC107" s="93" t="str" cm="1">
        <f t="array" ref="BC107">_xlfn.LET(
  _xlpm.w, BC$11,
  _xlpm.r, MATCH(1,('3. Enter Indicator Scores'!$B$10:$B$161=$B107)*('3. Enter Indicator Scores'!$C$10:$C$161=$C107),0),
  _xlpm.c, MATCH(BC$8,'3. Enter Indicator Scores'!$D$8:$CZ$8,0),
  _xlpm.v, IFERROR(INDEX('3. Enter Indicator Scores'!$D$10:$CZ$161,_xlpm.r,_xlpm.c),""),
  IF(OR(_xlpm.w="",_xlpm.v=""),"",_xlpm.v*_xlpm.w)
)</f>
        <v/>
      </c>
      <c r="BD107" s="93" t="str" cm="1">
        <f t="array" ref="BD107">_xlfn.LET(
  _xlpm.w, BD$11,
  _xlpm.r, MATCH(1,('3. Enter Indicator Scores'!$B$10:$B$161=$B107)*('3. Enter Indicator Scores'!$C$10:$C$161=$C107),0),
  _xlpm.c, MATCH(BD$8,'3. Enter Indicator Scores'!$D$8:$CZ$8,0),
  _xlpm.v, IFERROR(INDEX('3. Enter Indicator Scores'!$D$10:$CZ$161,_xlpm.r,_xlpm.c),""),
  IF(OR(_xlpm.w="",_xlpm.v=""),"",_xlpm.v*_xlpm.w)
)</f>
        <v/>
      </c>
      <c r="BE107" s="93" t="str" cm="1">
        <f t="array" ref="BE107">_xlfn.LET(
  _xlpm.w, BE$11,
  _xlpm.r, MATCH(1,('3. Enter Indicator Scores'!$B$10:$B$161=$B107)*('3. Enter Indicator Scores'!$C$10:$C$161=$C107),0),
  _xlpm.c, MATCH(BE$8,'3. Enter Indicator Scores'!$D$8:$CZ$8,0),
  _xlpm.v, IFERROR(INDEX('3. Enter Indicator Scores'!$D$10:$CZ$161,_xlpm.r,_xlpm.c),""),
  IF(OR(_xlpm.w="",_xlpm.v=""),"",_xlpm.v*_xlpm.w)
)</f>
        <v/>
      </c>
      <c r="BF107" s="93" t="str" cm="1">
        <f t="array" ref="BF107">_xlfn.LET(
  _xlpm.w, BF$11,
  _xlpm.r, MATCH(1,('3. Enter Indicator Scores'!$B$10:$B$161=$B107)*('3. Enter Indicator Scores'!$C$10:$C$161=$C107),0),
  _xlpm.c, MATCH(BF$8,'3. Enter Indicator Scores'!$D$8:$CZ$8,0),
  _xlpm.v, IFERROR(INDEX('3. Enter Indicator Scores'!$D$10:$CZ$161,_xlpm.r,_xlpm.c),""),
  IF(OR(_xlpm.w="",_xlpm.v=""),"",_xlpm.v*_xlpm.w)
)</f>
        <v/>
      </c>
      <c r="BG107" s="93" t="str" cm="1">
        <f t="array" ref="BG107">_xlfn.LET(
  _xlpm.w, BG$11,
  _xlpm.r, MATCH(1,('3. Enter Indicator Scores'!$B$10:$B$161=$B107)*('3. Enter Indicator Scores'!$C$10:$C$161=$C107),0),
  _xlpm.c, MATCH(BG$8,'3. Enter Indicator Scores'!$D$8:$CZ$8,0),
  _xlpm.v, IFERROR(INDEX('3. Enter Indicator Scores'!$D$10:$CZ$161,_xlpm.r,_xlpm.c),""),
  IF(OR(_xlpm.w="",_xlpm.v=""),"",_xlpm.v*_xlpm.w)
)</f>
        <v/>
      </c>
      <c r="BH107" s="93" t="str" cm="1">
        <f t="array" ref="BH107">_xlfn.LET(
  _xlpm.w, BH$11,
  _xlpm.r, MATCH(1,('3. Enter Indicator Scores'!$B$10:$B$161=$B107)*('3. Enter Indicator Scores'!$C$10:$C$161=$C107),0),
  _xlpm.c, MATCH(BH$8,'3. Enter Indicator Scores'!$D$8:$CZ$8,0),
  _xlpm.v, IFERROR(INDEX('3. Enter Indicator Scores'!$D$10:$CZ$161,_xlpm.r,_xlpm.c),""),
  IF(OR(_xlpm.w="",_xlpm.v=""),"",_xlpm.v*_xlpm.w)
)</f>
        <v/>
      </c>
      <c r="BI107" s="93" t="str" cm="1">
        <f t="array" ref="BI107">_xlfn.LET(
  _xlpm.w, BI$11,
  _xlpm.r, MATCH(1,('3. Enter Indicator Scores'!$B$10:$B$161=$B107)*('3. Enter Indicator Scores'!$C$10:$C$161=$C107),0),
  _xlpm.c, MATCH(BI$8,'3. Enter Indicator Scores'!$D$8:$CZ$8,0),
  _xlpm.v, IFERROR(INDEX('3. Enter Indicator Scores'!$D$10:$CZ$161,_xlpm.r,_xlpm.c),""),
  IF(OR(_xlpm.w="",_xlpm.v=""),"",_xlpm.v*_xlpm.w)
)</f>
        <v/>
      </c>
      <c r="BJ107" s="93" t="str" cm="1">
        <f t="array" ref="BJ107">_xlfn.LET(
  _xlpm.w, BJ$11,
  _xlpm.r, MATCH(1,('3. Enter Indicator Scores'!$B$10:$B$161=$B107)*('3. Enter Indicator Scores'!$C$10:$C$161=$C107),0),
  _xlpm.c, MATCH(BJ$8,'3. Enter Indicator Scores'!$D$8:$CZ$8,0),
  _xlpm.v, IFERROR(INDEX('3. Enter Indicator Scores'!$D$10:$CZ$161,_xlpm.r,_xlpm.c),""),
  IF(OR(_xlpm.w="",_xlpm.v=""),"",_xlpm.v*_xlpm.w)
)</f>
        <v/>
      </c>
      <c r="BK107" s="93" t="str" cm="1">
        <f t="array" ref="BK107">_xlfn.LET(
  _xlpm.w, BK$11,
  _xlpm.r, MATCH(1,('3. Enter Indicator Scores'!$B$10:$B$161=$B107)*('3. Enter Indicator Scores'!$C$10:$C$161=$C107),0),
  _xlpm.c, MATCH(BK$8,'3. Enter Indicator Scores'!$D$8:$CZ$8,0),
  _xlpm.v, IFERROR(INDEX('3. Enter Indicator Scores'!$D$10:$CZ$161,_xlpm.r,_xlpm.c),""),
  IF(OR(_xlpm.w="",_xlpm.v=""),"",_xlpm.v*_xlpm.w)
)</f>
        <v/>
      </c>
      <c r="BL107" s="93" t="str" cm="1">
        <f t="array" ref="BL107">_xlfn.LET(
  _xlpm.w, BL$11,
  _xlpm.r, MATCH(1,('3. Enter Indicator Scores'!$B$10:$B$161=$B107)*('3. Enter Indicator Scores'!$C$10:$C$161=$C107),0),
  _xlpm.c, MATCH(BL$8,'3. Enter Indicator Scores'!$D$8:$CZ$8,0),
  _xlpm.v, IFERROR(INDEX('3. Enter Indicator Scores'!$D$10:$CZ$161,_xlpm.r,_xlpm.c),""),
  IF(OR(_xlpm.w="",_xlpm.v=""),"",_xlpm.v*_xlpm.w)
)</f>
        <v/>
      </c>
      <c r="BM107" s="93" t="str" cm="1">
        <f t="array" ref="BM107">_xlfn.LET(
  _xlpm.w, BM$11,
  _xlpm.r, MATCH(1,('3. Enter Indicator Scores'!$B$10:$B$161=$B107)*('3. Enter Indicator Scores'!$C$10:$C$161=$C107),0),
  _xlpm.c, MATCH(BM$8,'3. Enter Indicator Scores'!$D$8:$CZ$8,0),
  _xlpm.v, IFERROR(INDEX('3. Enter Indicator Scores'!$D$10:$CZ$161,_xlpm.r,_xlpm.c),""),
  IF(OR(_xlpm.w="",_xlpm.v=""),"",_xlpm.v*_xlpm.w)
)</f>
        <v/>
      </c>
      <c r="BN107" s="93" t="str" cm="1">
        <f t="array" ref="BN107">_xlfn.LET(
  _xlpm.w, BN$11,
  _xlpm.r, MATCH(1,('3. Enter Indicator Scores'!$B$10:$B$161=$B107)*('3. Enter Indicator Scores'!$C$10:$C$161=$C107),0),
  _xlpm.c, MATCH(BN$8,'3. Enter Indicator Scores'!$D$8:$CZ$8,0),
  _xlpm.v, IFERROR(INDEX('3. Enter Indicator Scores'!$D$10:$CZ$161,_xlpm.r,_xlpm.c),""),
  IF(OR(_xlpm.w="",_xlpm.v=""),"",_xlpm.v*_xlpm.w)
)</f>
        <v/>
      </c>
      <c r="BO107" s="93" t="str" cm="1">
        <f t="array" ref="BO107">_xlfn.LET(
  _xlpm.w, BO$11,
  _xlpm.r, MATCH(1,('3. Enter Indicator Scores'!$B$10:$B$161=$B107)*('3. Enter Indicator Scores'!$C$10:$C$161=$C107),0),
  _xlpm.c, MATCH(BO$8,'3. Enter Indicator Scores'!$D$8:$CZ$8,0),
  _xlpm.v, IFERROR(INDEX('3. Enter Indicator Scores'!$D$10:$CZ$161,_xlpm.r,_xlpm.c),""),
  IF(OR(_xlpm.w="",_xlpm.v=""),"",_xlpm.v*_xlpm.w)
)</f>
        <v/>
      </c>
      <c r="BP107" s="93" t="str" cm="1">
        <f t="array" ref="BP107">_xlfn.LET(
  _xlpm.w, BP$11,
  _xlpm.r, MATCH(1,('3. Enter Indicator Scores'!$B$10:$B$161=$B107)*('3. Enter Indicator Scores'!$C$10:$C$161=$C107),0),
  _xlpm.c, MATCH(BP$8,'3. Enter Indicator Scores'!$D$8:$CZ$8,0),
  _xlpm.v, IFERROR(INDEX('3. Enter Indicator Scores'!$D$10:$CZ$161,_xlpm.r,_xlpm.c),""),
  IF(OR(_xlpm.w="",_xlpm.v=""),"",_xlpm.v*_xlpm.w)
)</f>
        <v/>
      </c>
      <c r="BQ107" s="93" t="str" cm="1">
        <f t="array" ref="BQ107">_xlfn.LET(
  _xlpm.w, BQ$11,
  _xlpm.r, MATCH(1,('3. Enter Indicator Scores'!$B$10:$B$161=$B107)*('3. Enter Indicator Scores'!$C$10:$C$161=$C107),0),
  _xlpm.c, MATCH(BQ$8,'3. Enter Indicator Scores'!$D$8:$CZ$8,0),
  _xlpm.v, IFERROR(INDEX('3. Enter Indicator Scores'!$D$10:$CZ$161,_xlpm.r,_xlpm.c),""),
  IF(OR(_xlpm.w="",_xlpm.v=""),"",_xlpm.v*_xlpm.w)
)</f>
        <v/>
      </c>
      <c r="BR107" s="93" t="str" cm="1">
        <f t="array" ref="BR107">_xlfn.LET(
  _xlpm.w, BR$11,
  _xlpm.r, MATCH(1,('3. Enter Indicator Scores'!$B$10:$B$161=$B107)*('3. Enter Indicator Scores'!$C$10:$C$161=$C107),0),
  _xlpm.c, MATCH(BR$8,'3. Enter Indicator Scores'!$D$8:$CZ$8,0),
  _xlpm.v, IFERROR(INDEX('3. Enter Indicator Scores'!$D$10:$CZ$161,_xlpm.r,_xlpm.c),""),
  IF(OR(_xlpm.w="",_xlpm.v=""),"",_xlpm.v*_xlpm.w)
)</f>
        <v/>
      </c>
      <c r="BS107" s="93" t="str" cm="1">
        <f t="array" ref="BS107">_xlfn.LET(
  _xlpm.w, BS$11,
  _xlpm.r, MATCH(1,('3. Enter Indicator Scores'!$B$10:$B$161=$B107)*('3. Enter Indicator Scores'!$C$10:$C$161=$C107),0),
  _xlpm.c, MATCH(BS$8,'3. Enter Indicator Scores'!$D$8:$CZ$8,0),
  _xlpm.v, IFERROR(INDEX('3. Enter Indicator Scores'!$D$10:$CZ$161,_xlpm.r,_xlpm.c),""),
  IF(OR(_xlpm.w="",_xlpm.v=""),"",_xlpm.v*_xlpm.w)
)</f>
        <v/>
      </c>
      <c r="BT107" s="93" t="str" cm="1">
        <f t="array" ref="BT107">_xlfn.LET(
  _xlpm.w, BT$11,
  _xlpm.r, MATCH(1,('3. Enter Indicator Scores'!$B$10:$B$161=$B107)*('3. Enter Indicator Scores'!$C$10:$C$161=$C107),0),
  _xlpm.c, MATCH(BT$8,'3. Enter Indicator Scores'!$D$8:$CZ$8,0),
  _xlpm.v, IFERROR(INDEX('3. Enter Indicator Scores'!$D$10:$CZ$161,_xlpm.r,_xlpm.c),""),
  IF(OR(_xlpm.w="",_xlpm.v=""),"",_xlpm.v*_xlpm.w)
)</f>
        <v/>
      </c>
      <c r="BU107" s="93" t="str" cm="1">
        <f t="array" ref="BU107">_xlfn.LET(
  _xlpm.w, BU$11,
  _xlpm.r, MATCH(1,('3. Enter Indicator Scores'!$B$10:$B$161=$B107)*('3. Enter Indicator Scores'!$C$10:$C$161=$C107),0),
  _xlpm.c, MATCH(BU$8,'3. Enter Indicator Scores'!$D$8:$CZ$8,0),
  _xlpm.v, IFERROR(INDEX('3. Enter Indicator Scores'!$D$10:$CZ$161,_xlpm.r,_xlpm.c),""),
  IF(OR(_xlpm.w="",_xlpm.v=""),"",_xlpm.v*_xlpm.w)
)</f>
        <v/>
      </c>
      <c r="BV107" s="93" t="str" cm="1">
        <f t="array" ref="BV107">_xlfn.LET(
  _xlpm.w, BV$11,
  _xlpm.r, MATCH(1,('3. Enter Indicator Scores'!$B$10:$B$161=$B107)*('3. Enter Indicator Scores'!$C$10:$C$161=$C107),0),
  _xlpm.c, MATCH(BV$8,'3. Enter Indicator Scores'!$D$8:$CZ$8,0),
  _xlpm.v, IFERROR(INDEX('3. Enter Indicator Scores'!$D$10:$CZ$161,_xlpm.r,_xlpm.c),""),
  IF(OR(_xlpm.w="",_xlpm.v=""),"",_xlpm.v*_xlpm.w)
)</f>
        <v/>
      </c>
      <c r="BW107" s="93" t="str" cm="1">
        <f t="array" ref="BW107">_xlfn.LET(
  _xlpm.w, BW$11,
  _xlpm.r, MATCH(1,('3. Enter Indicator Scores'!$B$10:$B$161=$B107)*('3. Enter Indicator Scores'!$C$10:$C$161=$C107),0),
  _xlpm.c, MATCH(BW$8,'3. Enter Indicator Scores'!$D$8:$CZ$8,0),
  _xlpm.v, IFERROR(INDEX('3. Enter Indicator Scores'!$D$10:$CZ$161,_xlpm.r,_xlpm.c),""),
  IF(OR(_xlpm.w="",_xlpm.v=""),"",_xlpm.v*_xlpm.w)
)</f>
        <v/>
      </c>
      <c r="BX107" s="93" t="str" cm="1">
        <f t="array" ref="BX107">_xlfn.LET(
  _xlpm.w, BX$11,
  _xlpm.r, MATCH(1,('3. Enter Indicator Scores'!$B$10:$B$161=$B107)*('3. Enter Indicator Scores'!$C$10:$C$161=$C107),0),
  _xlpm.c, MATCH(BX$8,'3. Enter Indicator Scores'!$D$8:$CZ$8,0),
  _xlpm.v, IFERROR(INDEX('3. Enter Indicator Scores'!$D$10:$CZ$161,_xlpm.r,_xlpm.c),""),
  IF(OR(_xlpm.w="",_xlpm.v=""),"",_xlpm.v*_xlpm.w)
)</f>
        <v/>
      </c>
      <c r="BY107" s="93" t="str" cm="1">
        <f t="array" ref="BY107">_xlfn.LET(
  _xlpm.w, BY$11,
  _xlpm.r, MATCH(1,('3. Enter Indicator Scores'!$B$10:$B$161=$B107)*('3. Enter Indicator Scores'!$C$10:$C$161=$C107),0),
  _xlpm.c, MATCH(BY$8,'3. Enter Indicator Scores'!$D$8:$CZ$8,0),
  _xlpm.v, IFERROR(INDEX('3. Enter Indicator Scores'!$D$10:$CZ$161,_xlpm.r,_xlpm.c),""),
  IF(OR(_xlpm.w="",_xlpm.v=""),"",_xlpm.v*_xlpm.w)
)</f>
        <v/>
      </c>
      <c r="BZ107" s="93" t="str" cm="1">
        <f t="array" ref="BZ107">_xlfn.LET(
  _xlpm.w, BZ$11,
  _xlpm.r, MATCH(1,('3. Enter Indicator Scores'!$B$10:$B$161=$B107)*('3. Enter Indicator Scores'!$C$10:$C$161=$C107),0),
  _xlpm.c, MATCH(BZ$8,'3. Enter Indicator Scores'!$D$8:$CZ$8,0),
  _xlpm.v, IFERROR(INDEX('3. Enter Indicator Scores'!$D$10:$CZ$161,_xlpm.r,_xlpm.c),""),
  IF(OR(_xlpm.w="",_xlpm.v=""),"",_xlpm.v*_xlpm.w)
)</f>
        <v/>
      </c>
      <c r="CA107" s="93" t="str" cm="1">
        <f t="array" ref="CA107">_xlfn.LET(
  _xlpm.w, CA$11,
  _xlpm.r, MATCH(1,('3. Enter Indicator Scores'!$B$10:$B$161=$B107)*('3. Enter Indicator Scores'!$C$10:$C$161=$C107),0),
  _xlpm.c, MATCH(CA$8,'3. Enter Indicator Scores'!$D$8:$CZ$8,0),
  _xlpm.v, IFERROR(INDEX('3. Enter Indicator Scores'!$D$10:$CZ$161,_xlpm.r,_xlpm.c),""),
  IF(OR(_xlpm.w="",_xlpm.v=""),"",_xlpm.v*_xlpm.w)
)</f>
        <v/>
      </c>
      <c r="CB107" s="93" t="str" cm="1">
        <f t="array" ref="CB107">_xlfn.LET(
  _xlpm.w, CB$11,
  _xlpm.r, MATCH(1,('3. Enter Indicator Scores'!$B$10:$B$161=$B107)*('3. Enter Indicator Scores'!$C$10:$C$161=$C107),0),
  _xlpm.c, MATCH(CB$8,'3. Enter Indicator Scores'!$D$8:$CZ$8,0),
  _xlpm.v, IFERROR(INDEX('3. Enter Indicator Scores'!$D$10:$CZ$161,_xlpm.r,_xlpm.c),""),
  IF(OR(_xlpm.w="",_xlpm.v=""),"",_xlpm.v*_xlpm.w)
)</f>
        <v/>
      </c>
      <c r="CC107" s="93" t="str" cm="1">
        <f t="array" ref="CC107">_xlfn.LET(
  _xlpm.w, CC$11,
  _xlpm.r, MATCH(1,('3. Enter Indicator Scores'!$B$10:$B$161=$B107)*('3. Enter Indicator Scores'!$C$10:$C$161=$C107),0),
  _xlpm.c, MATCH(CC$8,'3. Enter Indicator Scores'!$D$8:$CZ$8,0),
  _xlpm.v, IFERROR(INDEX('3. Enter Indicator Scores'!$D$10:$CZ$161,_xlpm.r,_xlpm.c),""),
  IF(OR(_xlpm.w="",_xlpm.v=""),"",_xlpm.v*_xlpm.w)
)</f>
        <v/>
      </c>
      <c r="CD107" s="93" t="str" cm="1">
        <f t="array" ref="CD107">_xlfn.LET(
  _xlpm.w, CD$11,
  _xlpm.r, MATCH(1,('3. Enter Indicator Scores'!$B$10:$B$161=$B107)*('3. Enter Indicator Scores'!$C$10:$C$161=$C107),0),
  _xlpm.c, MATCH(CD$8,'3. Enter Indicator Scores'!$D$8:$CZ$8,0),
  _xlpm.v, IFERROR(INDEX('3. Enter Indicator Scores'!$D$10:$CZ$161,_xlpm.r,_xlpm.c),""),
  IF(OR(_xlpm.w="",_xlpm.v=""),"",_xlpm.v*_xlpm.w)
)</f>
        <v/>
      </c>
      <c r="CE107" s="93" t="str" cm="1">
        <f t="array" ref="CE107">_xlfn.LET(
  _xlpm.w, CE$11,
  _xlpm.r, MATCH(1,('3. Enter Indicator Scores'!$B$10:$B$161=$B107)*('3. Enter Indicator Scores'!$C$10:$C$161=$C107),0),
  _xlpm.c, MATCH(CE$8,'3. Enter Indicator Scores'!$D$8:$CZ$8,0),
  _xlpm.v, IFERROR(INDEX('3. Enter Indicator Scores'!$D$10:$CZ$161,_xlpm.r,_xlpm.c),""),
  IF(OR(_xlpm.w="",_xlpm.v=""),"",_xlpm.v*_xlpm.w)
)</f>
        <v/>
      </c>
      <c r="CF107" s="93" t="str" cm="1">
        <f t="array" ref="CF107">_xlfn.LET(
  _xlpm.w, CF$11,
  _xlpm.r, MATCH(1,('3. Enter Indicator Scores'!$B$10:$B$161=$B107)*('3. Enter Indicator Scores'!$C$10:$C$161=$C107),0),
  _xlpm.c, MATCH(CF$8,'3. Enter Indicator Scores'!$D$8:$CZ$8,0),
  _xlpm.v, IFERROR(INDEX('3. Enter Indicator Scores'!$D$10:$CZ$161,_xlpm.r,_xlpm.c),""),
  IF(OR(_xlpm.w="",_xlpm.v=""),"",_xlpm.v*_xlpm.w)
)</f>
        <v/>
      </c>
      <c r="CG107" s="93" t="str" cm="1">
        <f t="array" ref="CG107">_xlfn.LET(
  _xlpm.w, CG$11,
  _xlpm.r, MATCH(1,('3. Enter Indicator Scores'!$B$10:$B$161=$B107)*('3. Enter Indicator Scores'!$C$10:$C$161=$C107),0),
  _xlpm.c, MATCH(CG$8,'3. Enter Indicator Scores'!$D$8:$CZ$8,0),
  _xlpm.v, IFERROR(INDEX('3. Enter Indicator Scores'!$D$10:$CZ$161,_xlpm.r,_xlpm.c),""),
  IF(OR(_xlpm.w="",_xlpm.v=""),"",_xlpm.v*_xlpm.w)
)</f>
        <v/>
      </c>
      <c r="CH107" s="93" t="str" cm="1">
        <f t="array" ref="CH107">_xlfn.LET(
  _xlpm.w, CH$11,
  _xlpm.r, MATCH(1,('3. Enter Indicator Scores'!$B$10:$B$161=$B107)*('3. Enter Indicator Scores'!$C$10:$C$161=$C107),0),
  _xlpm.c, MATCH(CH$8,'3. Enter Indicator Scores'!$D$8:$CZ$8,0),
  _xlpm.v, IFERROR(INDEX('3. Enter Indicator Scores'!$D$10:$CZ$161,_xlpm.r,_xlpm.c),""),
  IF(OR(_xlpm.w="",_xlpm.v=""),"",_xlpm.v*_xlpm.w)
)</f>
        <v/>
      </c>
      <c r="CI107" s="93" t="str" cm="1">
        <f t="array" ref="CI107">_xlfn.LET(
  _xlpm.w, CI$11,
  _xlpm.r, MATCH(1,('3. Enter Indicator Scores'!$B$10:$B$161=$B107)*('3. Enter Indicator Scores'!$C$10:$C$161=$C107),0),
  _xlpm.c, MATCH(CI$8,'3. Enter Indicator Scores'!$D$8:$CZ$8,0),
  _xlpm.v, IFERROR(INDEX('3. Enter Indicator Scores'!$D$10:$CZ$161,_xlpm.r,_xlpm.c),""),
  IF(OR(_xlpm.w="",_xlpm.v=""),"",_xlpm.v*_xlpm.w)
)</f>
        <v/>
      </c>
      <c r="CJ107" s="93" t="str" cm="1">
        <f t="array" ref="CJ107">_xlfn.LET(
  _xlpm.w, CJ$11,
  _xlpm.r, MATCH(1,('3. Enter Indicator Scores'!$B$10:$B$161=$B107)*('3. Enter Indicator Scores'!$C$10:$C$161=$C107),0),
  _xlpm.c, MATCH(CJ$8,'3. Enter Indicator Scores'!$D$8:$CZ$8,0),
  _xlpm.v, IFERROR(INDEX('3. Enter Indicator Scores'!$D$10:$CZ$161,_xlpm.r,_xlpm.c),""),
  IF(OR(_xlpm.w="",_xlpm.v=""),"",_xlpm.v*_xlpm.w)
)</f>
        <v/>
      </c>
      <c r="CK107" s="93" t="str" cm="1">
        <f t="array" ref="CK107">_xlfn.LET(
  _xlpm.w, CK$11,
  _xlpm.r, MATCH(1,('3. Enter Indicator Scores'!$B$10:$B$161=$B107)*('3. Enter Indicator Scores'!$C$10:$C$161=$C107),0),
  _xlpm.c, MATCH(CK$8,'3. Enter Indicator Scores'!$D$8:$CZ$8,0),
  _xlpm.v, IFERROR(INDEX('3. Enter Indicator Scores'!$D$10:$CZ$161,_xlpm.r,_xlpm.c),""),
  IF(OR(_xlpm.w="",_xlpm.v=""),"",_xlpm.v*_xlpm.w)
)</f>
        <v/>
      </c>
      <c r="CL107" s="93" t="str" cm="1">
        <f t="array" ref="CL107">_xlfn.LET(
  _xlpm.w, CL$11,
  _xlpm.r, MATCH(1,('3. Enter Indicator Scores'!$B$10:$B$161=$B107)*('3. Enter Indicator Scores'!$C$10:$C$161=$C107),0),
  _xlpm.c, MATCH(CL$8,'3. Enter Indicator Scores'!$D$8:$CZ$8,0),
  _xlpm.v, IFERROR(INDEX('3. Enter Indicator Scores'!$D$10:$CZ$161,_xlpm.r,_xlpm.c),""),
  IF(OR(_xlpm.w="",_xlpm.v=""),"",_xlpm.v*_xlpm.w)
)</f>
        <v/>
      </c>
      <c r="CM107" s="93" t="str" cm="1">
        <f t="array" ref="CM107">_xlfn.LET(
  _xlpm.w, CM$11,
  _xlpm.r, MATCH(1,('3. Enter Indicator Scores'!$B$10:$B$161=$B107)*('3. Enter Indicator Scores'!$C$10:$C$161=$C107),0),
  _xlpm.c, MATCH(CM$8,'3. Enter Indicator Scores'!$D$8:$CZ$8,0),
  _xlpm.v, IFERROR(INDEX('3. Enter Indicator Scores'!$D$10:$CZ$161,_xlpm.r,_xlpm.c),""),
  IF(OR(_xlpm.w="",_xlpm.v=""),"",_xlpm.v*_xlpm.w)
)</f>
        <v/>
      </c>
      <c r="CN107" s="93" t="str" cm="1">
        <f t="array" ref="CN107">_xlfn.LET(
  _xlpm.w, CN$11,
  _xlpm.r, MATCH(1,('3. Enter Indicator Scores'!$B$10:$B$161=$B107)*('3. Enter Indicator Scores'!$C$10:$C$161=$C107),0),
  _xlpm.c, MATCH(CN$8,'3. Enter Indicator Scores'!$D$8:$CZ$8,0),
  _xlpm.v, IFERROR(INDEX('3. Enter Indicator Scores'!$D$10:$CZ$161,_xlpm.r,_xlpm.c),""),
  IF(OR(_xlpm.w="",_xlpm.v=""),"",_xlpm.v*_xlpm.w)
)</f>
        <v/>
      </c>
      <c r="CO107" s="93" t="str" cm="1">
        <f t="array" ref="CO107">_xlfn.LET(
  _xlpm.w, CO$11,
  _xlpm.r, MATCH(1,('3. Enter Indicator Scores'!$B$10:$B$161=$B107)*('3. Enter Indicator Scores'!$C$10:$C$161=$C107),0),
  _xlpm.c, MATCH(CO$8,'3. Enter Indicator Scores'!$D$8:$CZ$8,0),
  _xlpm.v, IFERROR(INDEX('3. Enter Indicator Scores'!$D$10:$CZ$161,_xlpm.r,_xlpm.c),""),
  IF(OR(_xlpm.w="",_xlpm.v=""),"",_xlpm.v*_xlpm.w)
)</f>
        <v/>
      </c>
      <c r="CP107" s="93" t="str" cm="1">
        <f t="array" ref="CP107">_xlfn.LET(
  _xlpm.w, CP$11,
  _xlpm.r, MATCH(1,('3. Enter Indicator Scores'!$B$10:$B$161=$B107)*('3. Enter Indicator Scores'!$C$10:$C$161=$C107),0),
  _xlpm.c, MATCH(CP$8,'3. Enter Indicator Scores'!$D$8:$CZ$8,0),
  _xlpm.v, IFERROR(INDEX('3. Enter Indicator Scores'!$D$10:$CZ$161,_xlpm.r,_xlpm.c),""),
  IF(OR(_xlpm.w="",_xlpm.v=""),"",_xlpm.v*_xlpm.w)
)</f>
        <v/>
      </c>
      <c r="CQ107" s="93" t="str" cm="1">
        <f t="array" ref="CQ107">_xlfn.LET(
  _xlpm.w, CQ$11,
  _xlpm.r, MATCH(1,('3. Enter Indicator Scores'!$B$10:$B$161=$B107)*('3. Enter Indicator Scores'!$C$10:$C$161=$C107),0),
  _xlpm.c, MATCH(CQ$8,'3. Enter Indicator Scores'!$D$8:$CZ$8,0),
  _xlpm.v, IFERROR(INDEX('3. Enter Indicator Scores'!$D$10:$CZ$161,_xlpm.r,_xlpm.c),""),
  IF(OR(_xlpm.w="",_xlpm.v=""),"",_xlpm.v*_xlpm.w)
)</f>
        <v/>
      </c>
      <c r="CR107" s="93" t="str" cm="1">
        <f t="array" ref="CR107">_xlfn.LET(
  _xlpm.w, CR$11,
  _xlpm.r, MATCH(1,('3. Enter Indicator Scores'!$B$10:$B$161=$B107)*('3. Enter Indicator Scores'!$C$10:$C$161=$C107),0),
  _xlpm.c, MATCH(CR$8,'3. Enter Indicator Scores'!$D$8:$CZ$8,0),
  _xlpm.v, IFERROR(INDEX('3. Enter Indicator Scores'!$D$10:$CZ$161,_xlpm.r,_xlpm.c),""),
  IF(OR(_xlpm.w="",_xlpm.v=""),"",_xlpm.v*_xlpm.w)
)</f>
        <v/>
      </c>
      <c r="CS107" s="93" t="str" cm="1">
        <f t="array" ref="CS107">_xlfn.LET(
  _xlpm.w, CS$11,
  _xlpm.r, MATCH(1,('3. Enter Indicator Scores'!$B$10:$B$161=$B107)*('3. Enter Indicator Scores'!$C$10:$C$161=$C107),0),
  _xlpm.c, MATCH(CS$8,'3. Enter Indicator Scores'!$D$8:$CZ$8,0),
  _xlpm.v, IFERROR(INDEX('3. Enter Indicator Scores'!$D$10:$CZ$161,_xlpm.r,_xlpm.c),""),
  IF(OR(_xlpm.w="",_xlpm.v=""),"",_xlpm.v*_xlpm.w)
)</f>
        <v/>
      </c>
      <c r="CT107" s="93" t="str" cm="1">
        <f t="array" ref="CT107">_xlfn.LET(
  _xlpm.w, CT$11,
  _xlpm.r, MATCH(1,('3. Enter Indicator Scores'!$B$10:$B$161=$B107)*('3. Enter Indicator Scores'!$C$10:$C$161=$C107),0),
  _xlpm.c, MATCH(CT$8,'3. Enter Indicator Scores'!$D$8:$CZ$8,0),
  _xlpm.v, IFERROR(INDEX('3. Enter Indicator Scores'!$D$10:$CZ$161,_xlpm.r,_xlpm.c),""),
  IF(OR(_xlpm.w="",_xlpm.v=""),"",_xlpm.v*_xlpm.w)
)</f>
        <v/>
      </c>
      <c r="CU107" s="93" t="str" cm="1">
        <f t="array" ref="CU107">_xlfn.LET(
  _xlpm.w, CU$11,
  _xlpm.r, MATCH(1,('3. Enter Indicator Scores'!$B$10:$B$161=$B107)*('3. Enter Indicator Scores'!$C$10:$C$161=$C107),0),
  _xlpm.c, MATCH(CU$8,'3. Enter Indicator Scores'!$D$8:$CZ$8,0),
  _xlpm.v, IFERROR(INDEX('3. Enter Indicator Scores'!$D$10:$CZ$161,_xlpm.r,_xlpm.c),""),
  IF(OR(_xlpm.w="",_xlpm.v=""),"",_xlpm.v*_xlpm.w)
)</f>
        <v/>
      </c>
      <c r="CV107" s="93" t="str" cm="1">
        <f t="array" ref="CV107">_xlfn.LET(
  _xlpm.w, CV$11,
  _xlpm.r, MATCH(1,('3. Enter Indicator Scores'!$B$10:$B$161=$B107)*('3. Enter Indicator Scores'!$C$10:$C$161=$C107),0),
  _xlpm.c, MATCH(CV$8,'3. Enter Indicator Scores'!$D$8:$CZ$8,0),
  _xlpm.v, IFERROR(INDEX('3. Enter Indicator Scores'!$D$10:$CZ$161,_xlpm.r,_xlpm.c),""),
  IF(OR(_xlpm.w="",_xlpm.v=""),"",_xlpm.v*_xlpm.w)
)</f>
        <v/>
      </c>
      <c r="CW107" s="93" t="str" cm="1">
        <f t="array" ref="CW107">_xlfn.LET(
  _xlpm.w, CW$11,
  _xlpm.r, MATCH(1,('3. Enter Indicator Scores'!$B$10:$B$161=$B107)*('3. Enter Indicator Scores'!$C$10:$C$161=$C107),0),
  _xlpm.c, MATCH(CW$8,'3. Enter Indicator Scores'!$D$8:$CZ$8,0),
  _xlpm.v, IFERROR(INDEX('3. Enter Indicator Scores'!$D$10:$CZ$161,_xlpm.r,_xlpm.c),""),
  IF(OR(_xlpm.w="",_xlpm.v=""),"",_xlpm.v*_xlpm.w)
)</f>
        <v/>
      </c>
      <c r="CX107" s="93" t="str" cm="1">
        <f t="array" ref="CX107">_xlfn.LET(
  _xlpm.w, CX$11,
  _xlpm.r, MATCH(1,('3. Enter Indicator Scores'!$B$10:$B$161=$B107)*('3. Enter Indicator Scores'!$C$10:$C$161=$C107),0),
  _xlpm.c, MATCH(CX$8,'3. Enter Indicator Scores'!$D$8:$CZ$8,0),
  _xlpm.v, IFERROR(INDEX('3. Enter Indicator Scores'!$D$10:$CZ$161,_xlpm.r,_xlpm.c),""),
  IF(OR(_xlpm.w="",_xlpm.v=""),"",_xlpm.v*_xlpm.w)
)</f>
        <v/>
      </c>
      <c r="CY107" s="93" t="str" cm="1">
        <f t="array" ref="CY107">_xlfn.LET(
  _xlpm.w, CY$11,
  _xlpm.r, MATCH(1,('3. Enter Indicator Scores'!$B$10:$B$161=$B107)*('3. Enter Indicator Scores'!$C$10:$C$161=$C107),0),
  _xlpm.c, MATCH(CY$8,'3. Enter Indicator Scores'!$D$8:$CZ$8,0),
  _xlpm.v, IFERROR(INDEX('3. Enter Indicator Scores'!$D$10:$CZ$161,_xlpm.r,_xlpm.c),""),
  IF(OR(_xlpm.w="",_xlpm.v=""),"",_xlpm.v*_xlpm.w)
)</f>
        <v/>
      </c>
      <c r="CZ107" s="93" t="str" cm="1">
        <f t="array" ref="CZ107">_xlfn.LET(
  _xlpm.w, CZ$11,
  _xlpm.r, MATCH(1,('3. Enter Indicator Scores'!$B$10:$B$161=$B107)*('3. Enter Indicator Scores'!$C$10:$C$161=$C107),0),
  _xlpm.c, MATCH(CZ$8,'3. Enter Indicator Scores'!$D$8:$CZ$8,0),
  _xlpm.v, IFERROR(INDEX('3. Enter Indicator Scores'!$D$10:$CZ$161,_xlpm.r,_xlpm.c),""),
  IF(OR(_xlpm.w="",_xlpm.v=""),"",_xlpm.v*_xlpm.w)
)</f>
        <v/>
      </c>
    </row>
    <row r="108" spans="4:104" x14ac:dyDescent="0.2">
      <c r="D108" s="93" t="str" cm="1">
        <f t="array" ref="D108">_xlfn.LET(
  _xlpm.w, D$11,
  _xlpm.r, MATCH(1,('3. Enter Indicator Scores'!$B$10:$B$161=$B108)*('3. Enter Indicator Scores'!$C$10:$C$161=$C108),0),
  _xlpm.c, MATCH(D$8,'3. Enter Indicator Scores'!$D$8:$CZ$8,0),
  _xlpm.v, IFERROR(INDEX('3. Enter Indicator Scores'!$D$10:$CZ$161,_xlpm.r,_xlpm.c),""),
  IF(OR(_xlpm.w="",_xlpm.v=""),"",_xlpm.v*_xlpm.w)
)</f>
        <v/>
      </c>
      <c r="E108" s="93" t="str" cm="1">
        <f t="array" ref="E108">_xlfn.LET(
  _xlpm.w, E$11,
  _xlpm.r, MATCH(1,('3. Enter Indicator Scores'!$B$10:$B$161=$B108)*('3. Enter Indicator Scores'!$C$10:$C$161=$C108),0),
  _xlpm.c, MATCH(E$8,'3. Enter Indicator Scores'!$D$8:$CZ$8,0),
  _xlpm.v, IFERROR(INDEX('3. Enter Indicator Scores'!$D$10:$CZ$161,_xlpm.r,_xlpm.c),""),
  IF(OR(_xlpm.w="",_xlpm.v=""),"",_xlpm.v*_xlpm.w)
)</f>
        <v/>
      </c>
      <c r="F108" s="93" t="str" cm="1">
        <f t="array" ref="F108">_xlfn.LET(
  _xlpm.w, F$11,
  _xlpm.r, MATCH(1,('3. Enter Indicator Scores'!$B$10:$B$161=$B108)*('3. Enter Indicator Scores'!$C$10:$C$161=$C108),0),
  _xlpm.c, MATCH(F$8,'3. Enter Indicator Scores'!$D$8:$CZ$8,0),
  _xlpm.v, IFERROR(INDEX('3. Enter Indicator Scores'!$D$10:$CZ$161,_xlpm.r,_xlpm.c),""),
  IF(OR(_xlpm.w="",_xlpm.v=""),"",_xlpm.v*_xlpm.w)
)</f>
        <v/>
      </c>
      <c r="G108" s="93" t="str" cm="1">
        <f t="array" ref="G108">_xlfn.LET(
  _xlpm.w, G$11,
  _xlpm.r, MATCH(1,('3. Enter Indicator Scores'!$B$10:$B$161=$B108)*('3. Enter Indicator Scores'!$C$10:$C$161=$C108),0),
  _xlpm.c, MATCH(G$8,'3. Enter Indicator Scores'!$D$8:$CZ$8,0),
  _xlpm.v, IFERROR(INDEX('3. Enter Indicator Scores'!$D$10:$CZ$161,_xlpm.r,_xlpm.c),""),
  IF(OR(_xlpm.w="",_xlpm.v=""),"",_xlpm.v*_xlpm.w)
)</f>
        <v/>
      </c>
      <c r="H108" s="93" t="str" cm="1">
        <f t="array" ref="H108">_xlfn.LET(
  _xlpm.w, H$11,
  _xlpm.r, MATCH(1,('3. Enter Indicator Scores'!$B$10:$B$161=$B108)*('3. Enter Indicator Scores'!$C$10:$C$161=$C108),0),
  _xlpm.c, MATCH(H$8,'3. Enter Indicator Scores'!$D$8:$CZ$8,0),
  _xlpm.v, IFERROR(INDEX('3. Enter Indicator Scores'!$D$10:$CZ$161,_xlpm.r,_xlpm.c),""),
  IF(OR(_xlpm.w="",_xlpm.v=""),"",_xlpm.v*_xlpm.w)
)</f>
        <v/>
      </c>
      <c r="I108" s="93" t="str" cm="1">
        <f t="array" ref="I108">_xlfn.LET(
  _xlpm.w, I$11,
  _xlpm.r, MATCH(1,('3. Enter Indicator Scores'!$B$10:$B$161=$B108)*('3. Enter Indicator Scores'!$C$10:$C$161=$C108),0),
  _xlpm.c, MATCH(I$8,'3. Enter Indicator Scores'!$D$8:$CZ$8,0),
  _xlpm.v, IFERROR(INDEX('3. Enter Indicator Scores'!$D$10:$CZ$161,_xlpm.r,_xlpm.c),""),
  IF(OR(_xlpm.w="",_xlpm.v=""),"",_xlpm.v*_xlpm.w)
)</f>
        <v/>
      </c>
      <c r="J108" s="93" t="str" cm="1">
        <f t="array" ref="J108">_xlfn.LET(
  _xlpm.w, J$11,
  _xlpm.r, MATCH(1,('3. Enter Indicator Scores'!$B$10:$B$161=$B108)*('3. Enter Indicator Scores'!$C$10:$C$161=$C108),0),
  _xlpm.c, MATCH(J$8,'3. Enter Indicator Scores'!$D$8:$CZ$8,0),
  _xlpm.v, IFERROR(INDEX('3. Enter Indicator Scores'!$D$10:$CZ$161,_xlpm.r,_xlpm.c),""),
  IF(OR(_xlpm.w="",_xlpm.v=""),"",_xlpm.v*_xlpm.w)
)</f>
        <v/>
      </c>
      <c r="K108" s="93" t="str" cm="1">
        <f t="array" ref="K108">_xlfn.LET(
  _xlpm.w, K$11,
  _xlpm.r, MATCH(1,('3. Enter Indicator Scores'!$B$10:$B$161=$B108)*('3. Enter Indicator Scores'!$C$10:$C$161=$C108),0),
  _xlpm.c, MATCH(K$8,'3. Enter Indicator Scores'!$D$8:$CZ$8,0),
  _xlpm.v, IFERROR(INDEX('3. Enter Indicator Scores'!$D$10:$CZ$161,_xlpm.r,_xlpm.c),""),
  IF(OR(_xlpm.w="",_xlpm.v=""),"",_xlpm.v*_xlpm.w)
)</f>
        <v/>
      </c>
      <c r="L108" s="93" t="str" cm="1">
        <f t="array" ref="L108">_xlfn.LET(
  _xlpm.w, L$11,
  _xlpm.r, MATCH(1,('3. Enter Indicator Scores'!$B$10:$B$161=$B108)*('3. Enter Indicator Scores'!$C$10:$C$161=$C108),0),
  _xlpm.c, MATCH(L$8,'3. Enter Indicator Scores'!$D$8:$CZ$8,0),
  _xlpm.v, IFERROR(INDEX('3. Enter Indicator Scores'!$D$10:$CZ$161,_xlpm.r,_xlpm.c),""),
  IF(OR(_xlpm.w="",_xlpm.v=""),"",_xlpm.v*_xlpm.w)
)</f>
        <v/>
      </c>
      <c r="M108" s="93" t="str" cm="1">
        <f t="array" ref="M108">_xlfn.LET(
  _xlpm.w, M$11,
  _xlpm.r, MATCH(1,('3. Enter Indicator Scores'!$B$10:$B$161=$B108)*('3. Enter Indicator Scores'!$C$10:$C$161=$C108),0),
  _xlpm.c, MATCH(M$8,'3. Enter Indicator Scores'!$D$8:$CZ$8,0),
  _xlpm.v, IFERROR(INDEX('3. Enter Indicator Scores'!$D$10:$CZ$161,_xlpm.r,_xlpm.c),""),
  IF(OR(_xlpm.w="",_xlpm.v=""),"",_xlpm.v*_xlpm.w)
)</f>
        <v/>
      </c>
      <c r="N108" s="93" t="str" cm="1">
        <f t="array" ref="N108">_xlfn.LET(
  _xlpm.w, N$11,
  _xlpm.r, MATCH(1,('3. Enter Indicator Scores'!$B$10:$B$161=$B108)*('3. Enter Indicator Scores'!$C$10:$C$161=$C108),0),
  _xlpm.c, MATCH(N$8,'3. Enter Indicator Scores'!$D$8:$CZ$8,0),
  _xlpm.v, IFERROR(INDEX('3. Enter Indicator Scores'!$D$10:$CZ$161,_xlpm.r,_xlpm.c),""),
  IF(OR(_xlpm.w="",_xlpm.v=""),"",_xlpm.v*_xlpm.w)
)</f>
        <v/>
      </c>
      <c r="O108" s="93" t="str" cm="1">
        <f t="array" ref="O108">_xlfn.LET(
  _xlpm.w, O$11,
  _xlpm.r, MATCH(1,('3. Enter Indicator Scores'!$B$10:$B$161=$B108)*('3. Enter Indicator Scores'!$C$10:$C$161=$C108),0),
  _xlpm.c, MATCH(O$8,'3. Enter Indicator Scores'!$D$8:$CZ$8,0),
  _xlpm.v, IFERROR(INDEX('3. Enter Indicator Scores'!$D$10:$CZ$161,_xlpm.r,_xlpm.c),""),
  IF(OR(_xlpm.w="",_xlpm.v=""),"",_xlpm.v*_xlpm.w)
)</f>
        <v/>
      </c>
      <c r="P108" s="93" t="str" cm="1">
        <f t="array" ref="P108">_xlfn.LET(
  _xlpm.w, P$11,
  _xlpm.r, MATCH(1,('3. Enter Indicator Scores'!$B$10:$B$161=$B108)*('3. Enter Indicator Scores'!$C$10:$C$161=$C108),0),
  _xlpm.c, MATCH(P$8,'3. Enter Indicator Scores'!$D$8:$CZ$8,0),
  _xlpm.v, IFERROR(INDEX('3. Enter Indicator Scores'!$D$10:$CZ$161,_xlpm.r,_xlpm.c),""),
  IF(OR(_xlpm.w="",_xlpm.v=""),"",_xlpm.v*_xlpm.w)
)</f>
        <v/>
      </c>
      <c r="Q108" s="93" t="str" cm="1">
        <f t="array" ref="Q108">_xlfn.LET(
  _xlpm.w, Q$11,
  _xlpm.r, MATCH(1,('3. Enter Indicator Scores'!$B$10:$B$161=$B108)*('3. Enter Indicator Scores'!$C$10:$C$161=$C108),0),
  _xlpm.c, MATCH(Q$8,'3. Enter Indicator Scores'!$D$8:$CZ$8,0),
  _xlpm.v, IFERROR(INDEX('3. Enter Indicator Scores'!$D$10:$CZ$161,_xlpm.r,_xlpm.c),""),
  IF(OR(_xlpm.w="",_xlpm.v=""),"",_xlpm.v*_xlpm.w)
)</f>
        <v/>
      </c>
      <c r="R108" s="93" t="str" cm="1">
        <f t="array" ref="R108">_xlfn.LET(
  _xlpm.w, R$11,
  _xlpm.r, MATCH(1,('3. Enter Indicator Scores'!$B$10:$B$161=$B108)*('3. Enter Indicator Scores'!$C$10:$C$161=$C108),0),
  _xlpm.c, MATCH(R$8,'3. Enter Indicator Scores'!$D$8:$CZ$8,0),
  _xlpm.v, IFERROR(INDEX('3. Enter Indicator Scores'!$D$10:$CZ$161,_xlpm.r,_xlpm.c),""),
  IF(OR(_xlpm.w="",_xlpm.v=""),"",_xlpm.v*_xlpm.w)
)</f>
        <v/>
      </c>
      <c r="S108" s="93" t="str" cm="1">
        <f t="array" ref="S108">_xlfn.LET(
  _xlpm.w, S$11,
  _xlpm.r, MATCH(1,('3. Enter Indicator Scores'!$B$10:$B$161=$B108)*('3. Enter Indicator Scores'!$C$10:$C$161=$C108),0),
  _xlpm.c, MATCH(S$8,'3. Enter Indicator Scores'!$D$8:$CZ$8,0),
  _xlpm.v, IFERROR(INDEX('3. Enter Indicator Scores'!$D$10:$CZ$161,_xlpm.r,_xlpm.c),""),
  IF(OR(_xlpm.w="",_xlpm.v=""),"",_xlpm.v*_xlpm.w)
)</f>
        <v/>
      </c>
      <c r="T108" s="93" t="str" cm="1">
        <f t="array" ref="T108">_xlfn.LET(
  _xlpm.w, T$11,
  _xlpm.r, MATCH(1,('3. Enter Indicator Scores'!$B$10:$B$161=$B108)*('3. Enter Indicator Scores'!$C$10:$C$161=$C108),0),
  _xlpm.c, MATCH(T$8,'3. Enter Indicator Scores'!$D$8:$CZ$8,0),
  _xlpm.v, IFERROR(INDEX('3. Enter Indicator Scores'!$D$10:$CZ$161,_xlpm.r,_xlpm.c),""),
  IF(OR(_xlpm.w="",_xlpm.v=""),"",_xlpm.v*_xlpm.w)
)</f>
        <v/>
      </c>
      <c r="U108" s="93" t="str" cm="1">
        <f t="array" ref="U108">_xlfn.LET(
  _xlpm.w, U$11,
  _xlpm.r, MATCH(1,('3. Enter Indicator Scores'!$B$10:$B$161=$B108)*('3. Enter Indicator Scores'!$C$10:$C$161=$C108),0),
  _xlpm.c, MATCH(U$8,'3. Enter Indicator Scores'!$D$8:$CZ$8,0),
  _xlpm.v, IFERROR(INDEX('3. Enter Indicator Scores'!$D$10:$CZ$161,_xlpm.r,_xlpm.c),""),
  IF(OR(_xlpm.w="",_xlpm.v=""),"",_xlpm.v*_xlpm.w)
)</f>
        <v/>
      </c>
      <c r="V108" s="93" t="str" cm="1">
        <f t="array" ref="V108">_xlfn.LET(
  _xlpm.w, V$11,
  _xlpm.r, MATCH(1,('3. Enter Indicator Scores'!$B$10:$B$161=$B108)*('3. Enter Indicator Scores'!$C$10:$C$161=$C108),0),
  _xlpm.c, MATCH(V$8,'3. Enter Indicator Scores'!$D$8:$CZ$8,0),
  _xlpm.v, IFERROR(INDEX('3. Enter Indicator Scores'!$D$10:$CZ$161,_xlpm.r,_xlpm.c),""),
  IF(OR(_xlpm.w="",_xlpm.v=""),"",_xlpm.v*_xlpm.w)
)</f>
        <v/>
      </c>
      <c r="W108" s="93" t="str" cm="1">
        <f t="array" ref="W108">_xlfn.LET(
  _xlpm.w, W$11,
  _xlpm.r, MATCH(1,('3. Enter Indicator Scores'!$B$10:$B$161=$B108)*('3. Enter Indicator Scores'!$C$10:$C$161=$C108),0),
  _xlpm.c, MATCH(W$8,'3. Enter Indicator Scores'!$D$8:$CZ$8,0),
  _xlpm.v, IFERROR(INDEX('3. Enter Indicator Scores'!$D$10:$CZ$161,_xlpm.r,_xlpm.c),""),
  IF(OR(_xlpm.w="",_xlpm.v=""),"",_xlpm.v*_xlpm.w)
)</f>
        <v/>
      </c>
      <c r="X108" s="93" t="str" cm="1">
        <f t="array" ref="X108">_xlfn.LET(
  _xlpm.w, X$11,
  _xlpm.r, MATCH(1,('3. Enter Indicator Scores'!$B$10:$B$161=$B108)*('3. Enter Indicator Scores'!$C$10:$C$161=$C108),0),
  _xlpm.c, MATCH(X$8,'3. Enter Indicator Scores'!$D$8:$CZ$8,0),
  _xlpm.v, IFERROR(INDEX('3. Enter Indicator Scores'!$D$10:$CZ$161,_xlpm.r,_xlpm.c),""),
  IF(OR(_xlpm.w="",_xlpm.v=""),"",_xlpm.v*_xlpm.w)
)</f>
        <v/>
      </c>
      <c r="Y108" s="93" t="str" cm="1">
        <f t="array" ref="Y108">_xlfn.LET(
  _xlpm.w, Y$11,
  _xlpm.r, MATCH(1,('3. Enter Indicator Scores'!$B$10:$B$161=$B108)*('3. Enter Indicator Scores'!$C$10:$C$161=$C108),0),
  _xlpm.c, MATCH(Y$8,'3. Enter Indicator Scores'!$D$8:$CZ$8,0),
  _xlpm.v, IFERROR(INDEX('3. Enter Indicator Scores'!$D$10:$CZ$161,_xlpm.r,_xlpm.c),""),
  IF(OR(_xlpm.w="",_xlpm.v=""),"",_xlpm.v*_xlpm.w)
)</f>
        <v/>
      </c>
      <c r="Z108" s="93" t="str" cm="1">
        <f t="array" ref="Z108">_xlfn.LET(
  _xlpm.w, Z$11,
  _xlpm.r, MATCH(1,('3. Enter Indicator Scores'!$B$10:$B$161=$B108)*('3. Enter Indicator Scores'!$C$10:$C$161=$C108),0),
  _xlpm.c, MATCH(Z$8,'3. Enter Indicator Scores'!$D$8:$CZ$8,0),
  _xlpm.v, IFERROR(INDEX('3. Enter Indicator Scores'!$D$10:$CZ$161,_xlpm.r,_xlpm.c),""),
  IF(OR(_xlpm.w="",_xlpm.v=""),"",_xlpm.v*_xlpm.w)
)</f>
        <v/>
      </c>
      <c r="AA108" s="93" t="str" cm="1">
        <f t="array" ref="AA108">_xlfn.LET(
  _xlpm.w, AA$11,
  _xlpm.r, MATCH(1,('3. Enter Indicator Scores'!$B$10:$B$161=$B108)*('3. Enter Indicator Scores'!$C$10:$C$161=$C108),0),
  _xlpm.c, MATCH(AA$8,'3. Enter Indicator Scores'!$D$8:$CZ$8,0),
  _xlpm.v, IFERROR(INDEX('3. Enter Indicator Scores'!$D$10:$CZ$161,_xlpm.r,_xlpm.c),""),
  IF(OR(_xlpm.w="",_xlpm.v=""),"",_xlpm.v*_xlpm.w)
)</f>
        <v/>
      </c>
      <c r="AB108" s="93" t="str" cm="1">
        <f t="array" ref="AB108">_xlfn.LET(
  _xlpm.w, AB$11,
  _xlpm.r, MATCH(1,('3. Enter Indicator Scores'!$B$10:$B$161=$B108)*('3. Enter Indicator Scores'!$C$10:$C$161=$C108),0),
  _xlpm.c, MATCH(AB$8,'3. Enter Indicator Scores'!$D$8:$CZ$8,0),
  _xlpm.v, IFERROR(INDEX('3. Enter Indicator Scores'!$D$10:$CZ$161,_xlpm.r,_xlpm.c),""),
  IF(OR(_xlpm.w="",_xlpm.v=""),"",_xlpm.v*_xlpm.w)
)</f>
        <v/>
      </c>
      <c r="AC108" s="93" t="str" cm="1">
        <f t="array" ref="AC108">_xlfn.LET(
  _xlpm.w, AC$11,
  _xlpm.r, MATCH(1,('3. Enter Indicator Scores'!$B$10:$B$161=$B108)*('3. Enter Indicator Scores'!$C$10:$C$161=$C108),0),
  _xlpm.c, MATCH(AC$8,'3. Enter Indicator Scores'!$D$8:$CZ$8,0),
  _xlpm.v, IFERROR(INDEX('3. Enter Indicator Scores'!$D$10:$CZ$161,_xlpm.r,_xlpm.c),""),
  IF(OR(_xlpm.w="",_xlpm.v=""),"",_xlpm.v*_xlpm.w)
)</f>
        <v/>
      </c>
      <c r="AD108" s="93" t="str" cm="1">
        <f t="array" ref="AD108">_xlfn.LET(
  _xlpm.w, AD$11,
  _xlpm.r, MATCH(1,('3. Enter Indicator Scores'!$B$10:$B$161=$B108)*('3. Enter Indicator Scores'!$C$10:$C$161=$C108),0),
  _xlpm.c, MATCH(AD$8,'3. Enter Indicator Scores'!$D$8:$CZ$8,0),
  _xlpm.v, IFERROR(INDEX('3. Enter Indicator Scores'!$D$10:$CZ$161,_xlpm.r,_xlpm.c),""),
  IF(OR(_xlpm.w="",_xlpm.v=""),"",_xlpm.v*_xlpm.w)
)</f>
        <v/>
      </c>
      <c r="AE108" s="93" t="str" cm="1">
        <f t="array" ref="AE108">_xlfn.LET(
  _xlpm.w, AE$11,
  _xlpm.r, MATCH(1,('3. Enter Indicator Scores'!$B$10:$B$161=$B108)*('3. Enter Indicator Scores'!$C$10:$C$161=$C108),0),
  _xlpm.c, MATCH(AE$8,'3. Enter Indicator Scores'!$D$8:$CZ$8,0),
  _xlpm.v, IFERROR(INDEX('3. Enter Indicator Scores'!$D$10:$CZ$161,_xlpm.r,_xlpm.c),""),
  IF(OR(_xlpm.w="",_xlpm.v=""),"",_xlpm.v*_xlpm.w)
)</f>
        <v/>
      </c>
      <c r="AF108" s="93" t="str" cm="1">
        <f t="array" ref="AF108">_xlfn.LET(
  _xlpm.w, AF$11,
  _xlpm.r, MATCH(1,('3. Enter Indicator Scores'!$B$10:$B$161=$B108)*('3. Enter Indicator Scores'!$C$10:$C$161=$C108),0),
  _xlpm.c, MATCH(AF$8,'3. Enter Indicator Scores'!$D$8:$CZ$8,0),
  _xlpm.v, IFERROR(INDEX('3. Enter Indicator Scores'!$D$10:$CZ$161,_xlpm.r,_xlpm.c),""),
  IF(OR(_xlpm.w="",_xlpm.v=""),"",_xlpm.v*_xlpm.w)
)</f>
        <v/>
      </c>
      <c r="AG108" s="93" t="str" cm="1">
        <f t="array" ref="AG108">_xlfn.LET(
  _xlpm.w, AG$11,
  _xlpm.r, MATCH(1,('3. Enter Indicator Scores'!$B$10:$B$161=$B108)*('3. Enter Indicator Scores'!$C$10:$C$161=$C108),0),
  _xlpm.c, MATCH(AG$8,'3. Enter Indicator Scores'!$D$8:$CZ$8,0),
  _xlpm.v, IFERROR(INDEX('3. Enter Indicator Scores'!$D$10:$CZ$161,_xlpm.r,_xlpm.c),""),
  IF(OR(_xlpm.w="",_xlpm.v=""),"",_xlpm.v*_xlpm.w)
)</f>
        <v/>
      </c>
      <c r="AH108" s="93" t="str" cm="1">
        <f t="array" ref="AH108">_xlfn.LET(
  _xlpm.w, AH$11,
  _xlpm.r, MATCH(1,('3. Enter Indicator Scores'!$B$10:$B$161=$B108)*('3. Enter Indicator Scores'!$C$10:$C$161=$C108),0),
  _xlpm.c, MATCH(AH$8,'3. Enter Indicator Scores'!$D$8:$CZ$8,0),
  _xlpm.v, IFERROR(INDEX('3. Enter Indicator Scores'!$D$10:$CZ$161,_xlpm.r,_xlpm.c),""),
  IF(OR(_xlpm.w="",_xlpm.v=""),"",_xlpm.v*_xlpm.w)
)</f>
        <v/>
      </c>
      <c r="AI108" s="93" t="str" cm="1">
        <f t="array" ref="AI108">_xlfn.LET(
  _xlpm.w, AI$11,
  _xlpm.r, MATCH(1,('3. Enter Indicator Scores'!$B$10:$B$161=$B108)*('3. Enter Indicator Scores'!$C$10:$C$161=$C108),0),
  _xlpm.c, MATCH(AI$8,'3. Enter Indicator Scores'!$D$8:$CZ$8,0),
  _xlpm.v, IFERROR(INDEX('3. Enter Indicator Scores'!$D$10:$CZ$161,_xlpm.r,_xlpm.c),""),
  IF(OR(_xlpm.w="",_xlpm.v=""),"",_xlpm.v*_xlpm.w)
)</f>
        <v/>
      </c>
      <c r="AJ108" s="93" t="str" cm="1">
        <f t="array" ref="AJ108">_xlfn.LET(
  _xlpm.w, AJ$11,
  _xlpm.r, MATCH(1,('3. Enter Indicator Scores'!$B$10:$B$161=$B108)*('3. Enter Indicator Scores'!$C$10:$C$161=$C108),0),
  _xlpm.c, MATCH(AJ$8,'3. Enter Indicator Scores'!$D$8:$CZ$8,0),
  _xlpm.v, IFERROR(INDEX('3. Enter Indicator Scores'!$D$10:$CZ$161,_xlpm.r,_xlpm.c),""),
  IF(OR(_xlpm.w="",_xlpm.v=""),"",_xlpm.v*_xlpm.w)
)</f>
        <v/>
      </c>
      <c r="AK108" s="93" t="str" cm="1">
        <f t="array" ref="AK108">_xlfn.LET(
  _xlpm.w, AK$11,
  _xlpm.r, MATCH(1,('3. Enter Indicator Scores'!$B$10:$B$161=$B108)*('3. Enter Indicator Scores'!$C$10:$C$161=$C108),0),
  _xlpm.c, MATCH(AK$8,'3. Enter Indicator Scores'!$D$8:$CZ$8,0),
  _xlpm.v, IFERROR(INDEX('3. Enter Indicator Scores'!$D$10:$CZ$161,_xlpm.r,_xlpm.c),""),
  IF(OR(_xlpm.w="",_xlpm.v=""),"",_xlpm.v*_xlpm.w)
)</f>
        <v/>
      </c>
      <c r="AL108" s="93" t="str" cm="1">
        <f t="array" ref="AL108">_xlfn.LET(
  _xlpm.w, AL$11,
  _xlpm.r, MATCH(1,('3. Enter Indicator Scores'!$B$10:$B$161=$B108)*('3. Enter Indicator Scores'!$C$10:$C$161=$C108),0),
  _xlpm.c, MATCH(AL$8,'3. Enter Indicator Scores'!$D$8:$CZ$8,0),
  _xlpm.v, IFERROR(INDEX('3. Enter Indicator Scores'!$D$10:$CZ$161,_xlpm.r,_xlpm.c),""),
  IF(OR(_xlpm.w="",_xlpm.v=""),"",_xlpm.v*_xlpm.w)
)</f>
        <v/>
      </c>
      <c r="AM108" s="93" t="str" cm="1">
        <f t="array" ref="AM108">_xlfn.LET(
  _xlpm.w, AM$11,
  _xlpm.r, MATCH(1,('3. Enter Indicator Scores'!$B$10:$B$161=$B108)*('3. Enter Indicator Scores'!$C$10:$C$161=$C108),0),
  _xlpm.c, MATCH(AM$8,'3. Enter Indicator Scores'!$D$8:$CZ$8,0),
  _xlpm.v, IFERROR(INDEX('3. Enter Indicator Scores'!$D$10:$CZ$161,_xlpm.r,_xlpm.c),""),
  IF(OR(_xlpm.w="",_xlpm.v=""),"",_xlpm.v*_xlpm.w)
)</f>
        <v/>
      </c>
      <c r="AN108" s="93" t="str" cm="1">
        <f t="array" ref="AN108">_xlfn.LET(
  _xlpm.w, AN$11,
  _xlpm.r, MATCH(1,('3. Enter Indicator Scores'!$B$10:$B$161=$B108)*('3. Enter Indicator Scores'!$C$10:$C$161=$C108),0),
  _xlpm.c, MATCH(AN$8,'3. Enter Indicator Scores'!$D$8:$CZ$8,0),
  _xlpm.v, IFERROR(INDEX('3. Enter Indicator Scores'!$D$10:$CZ$161,_xlpm.r,_xlpm.c),""),
  IF(OR(_xlpm.w="",_xlpm.v=""),"",_xlpm.v*_xlpm.w)
)</f>
        <v/>
      </c>
      <c r="AO108" s="93" t="str" cm="1">
        <f t="array" ref="AO108">_xlfn.LET(
  _xlpm.w, AO$11,
  _xlpm.r, MATCH(1,('3. Enter Indicator Scores'!$B$10:$B$161=$B108)*('3. Enter Indicator Scores'!$C$10:$C$161=$C108),0),
  _xlpm.c, MATCH(AO$8,'3. Enter Indicator Scores'!$D$8:$CZ$8,0),
  _xlpm.v, IFERROR(INDEX('3. Enter Indicator Scores'!$D$10:$CZ$161,_xlpm.r,_xlpm.c),""),
  IF(OR(_xlpm.w="",_xlpm.v=""),"",_xlpm.v*_xlpm.w)
)</f>
        <v/>
      </c>
      <c r="AP108" s="93" t="str" cm="1">
        <f t="array" ref="AP108">_xlfn.LET(
  _xlpm.w, AP$11,
  _xlpm.r, MATCH(1,('3. Enter Indicator Scores'!$B$10:$B$161=$B108)*('3. Enter Indicator Scores'!$C$10:$C$161=$C108),0),
  _xlpm.c, MATCH(AP$8,'3. Enter Indicator Scores'!$D$8:$CZ$8,0),
  _xlpm.v, IFERROR(INDEX('3. Enter Indicator Scores'!$D$10:$CZ$161,_xlpm.r,_xlpm.c),""),
  IF(OR(_xlpm.w="",_xlpm.v=""),"",_xlpm.v*_xlpm.w)
)</f>
        <v/>
      </c>
      <c r="AQ108" s="93" t="str" cm="1">
        <f t="array" ref="AQ108">_xlfn.LET(
  _xlpm.w, AQ$11,
  _xlpm.r, MATCH(1,('3. Enter Indicator Scores'!$B$10:$B$161=$B108)*('3. Enter Indicator Scores'!$C$10:$C$161=$C108),0),
  _xlpm.c, MATCH(AQ$8,'3. Enter Indicator Scores'!$D$8:$CZ$8,0),
  _xlpm.v, IFERROR(INDEX('3. Enter Indicator Scores'!$D$10:$CZ$161,_xlpm.r,_xlpm.c),""),
  IF(OR(_xlpm.w="",_xlpm.v=""),"",_xlpm.v*_xlpm.w)
)</f>
        <v/>
      </c>
      <c r="AR108" s="93" t="str" cm="1">
        <f t="array" ref="AR108">_xlfn.LET(
  _xlpm.w, AR$11,
  _xlpm.r, MATCH(1,('3. Enter Indicator Scores'!$B$10:$B$161=$B108)*('3. Enter Indicator Scores'!$C$10:$C$161=$C108),0),
  _xlpm.c, MATCH(AR$8,'3. Enter Indicator Scores'!$D$8:$CZ$8,0),
  _xlpm.v, IFERROR(INDEX('3. Enter Indicator Scores'!$D$10:$CZ$161,_xlpm.r,_xlpm.c),""),
  IF(OR(_xlpm.w="",_xlpm.v=""),"",_xlpm.v*_xlpm.w)
)</f>
        <v/>
      </c>
      <c r="AS108" s="93" t="str" cm="1">
        <f t="array" ref="AS108">_xlfn.LET(
  _xlpm.w, AS$11,
  _xlpm.r, MATCH(1,('3. Enter Indicator Scores'!$B$10:$B$161=$B108)*('3. Enter Indicator Scores'!$C$10:$C$161=$C108),0),
  _xlpm.c, MATCH(AS$8,'3. Enter Indicator Scores'!$D$8:$CZ$8,0),
  _xlpm.v, IFERROR(INDEX('3. Enter Indicator Scores'!$D$10:$CZ$161,_xlpm.r,_xlpm.c),""),
  IF(OR(_xlpm.w="",_xlpm.v=""),"",_xlpm.v*_xlpm.w)
)</f>
        <v/>
      </c>
      <c r="AT108" s="93" t="str" cm="1">
        <f t="array" ref="AT108">_xlfn.LET(
  _xlpm.w, AT$11,
  _xlpm.r, MATCH(1,('3. Enter Indicator Scores'!$B$10:$B$161=$B108)*('3. Enter Indicator Scores'!$C$10:$C$161=$C108),0),
  _xlpm.c, MATCH(AT$8,'3. Enter Indicator Scores'!$D$8:$CZ$8,0),
  _xlpm.v, IFERROR(INDEX('3. Enter Indicator Scores'!$D$10:$CZ$161,_xlpm.r,_xlpm.c),""),
  IF(OR(_xlpm.w="",_xlpm.v=""),"",_xlpm.v*_xlpm.w)
)</f>
        <v/>
      </c>
      <c r="AU108" s="93" t="str" cm="1">
        <f t="array" ref="AU108">_xlfn.LET(
  _xlpm.w, AU$11,
  _xlpm.r, MATCH(1,('3. Enter Indicator Scores'!$B$10:$B$161=$B108)*('3. Enter Indicator Scores'!$C$10:$C$161=$C108),0),
  _xlpm.c, MATCH(AU$8,'3. Enter Indicator Scores'!$D$8:$CZ$8,0),
  _xlpm.v, IFERROR(INDEX('3. Enter Indicator Scores'!$D$10:$CZ$161,_xlpm.r,_xlpm.c),""),
  IF(OR(_xlpm.w="",_xlpm.v=""),"",_xlpm.v*_xlpm.w)
)</f>
        <v/>
      </c>
      <c r="AV108" s="93" t="str" cm="1">
        <f t="array" ref="AV108">_xlfn.LET(
  _xlpm.w, AV$11,
  _xlpm.r, MATCH(1,('3. Enter Indicator Scores'!$B$10:$B$161=$B108)*('3. Enter Indicator Scores'!$C$10:$C$161=$C108),0),
  _xlpm.c, MATCH(AV$8,'3. Enter Indicator Scores'!$D$8:$CZ$8,0),
  _xlpm.v, IFERROR(INDEX('3. Enter Indicator Scores'!$D$10:$CZ$161,_xlpm.r,_xlpm.c),""),
  IF(OR(_xlpm.w="",_xlpm.v=""),"",_xlpm.v*_xlpm.w)
)</f>
        <v/>
      </c>
      <c r="AW108" s="93" t="str" cm="1">
        <f t="array" ref="AW108">_xlfn.LET(
  _xlpm.w, AW$11,
  _xlpm.r, MATCH(1,('3. Enter Indicator Scores'!$B$10:$B$161=$B108)*('3. Enter Indicator Scores'!$C$10:$C$161=$C108),0),
  _xlpm.c, MATCH(AW$8,'3. Enter Indicator Scores'!$D$8:$CZ$8,0),
  _xlpm.v, IFERROR(INDEX('3. Enter Indicator Scores'!$D$10:$CZ$161,_xlpm.r,_xlpm.c),""),
  IF(OR(_xlpm.w="",_xlpm.v=""),"",_xlpm.v*_xlpm.w)
)</f>
        <v/>
      </c>
      <c r="AX108" s="93" t="str" cm="1">
        <f t="array" ref="AX108">_xlfn.LET(
  _xlpm.w, AX$11,
  _xlpm.r, MATCH(1,('3. Enter Indicator Scores'!$B$10:$B$161=$B108)*('3. Enter Indicator Scores'!$C$10:$C$161=$C108),0),
  _xlpm.c, MATCH(AX$8,'3. Enter Indicator Scores'!$D$8:$CZ$8,0),
  _xlpm.v, IFERROR(INDEX('3. Enter Indicator Scores'!$D$10:$CZ$161,_xlpm.r,_xlpm.c),""),
  IF(OR(_xlpm.w="",_xlpm.v=""),"",_xlpm.v*_xlpm.w)
)</f>
        <v/>
      </c>
      <c r="AY108" s="93" t="str" cm="1">
        <f t="array" ref="AY108">_xlfn.LET(
  _xlpm.w, AY$11,
  _xlpm.r, MATCH(1,('3. Enter Indicator Scores'!$B$10:$B$161=$B108)*('3. Enter Indicator Scores'!$C$10:$C$161=$C108),0),
  _xlpm.c, MATCH(AY$8,'3. Enter Indicator Scores'!$D$8:$CZ$8,0),
  _xlpm.v, IFERROR(INDEX('3. Enter Indicator Scores'!$D$10:$CZ$161,_xlpm.r,_xlpm.c),""),
  IF(OR(_xlpm.w="",_xlpm.v=""),"",_xlpm.v*_xlpm.w)
)</f>
        <v/>
      </c>
      <c r="AZ108" s="93" t="str" cm="1">
        <f t="array" ref="AZ108">_xlfn.LET(
  _xlpm.w, AZ$11,
  _xlpm.r, MATCH(1,('3. Enter Indicator Scores'!$B$10:$B$161=$B108)*('3. Enter Indicator Scores'!$C$10:$C$161=$C108),0),
  _xlpm.c, MATCH(AZ$8,'3. Enter Indicator Scores'!$D$8:$CZ$8,0),
  _xlpm.v, IFERROR(INDEX('3. Enter Indicator Scores'!$D$10:$CZ$161,_xlpm.r,_xlpm.c),""),
  IF(OR(_xlpm.w="",_xlpm.v=""),"",_xlpm.v*_xlpm.w)
)</f>
        <v/>
      </c>
      <c r="BA108" s="93" t="str" cm="1">
        <f t="array" ref="BA108">_xlfn.LET(
  _xlpm.w, BA$11,
  _xlpm.r, MATCH(1,('3. Enter Indicator Scores'!$B$10:$B$161=$B108)*('3. Enter Indicator Scores'!$C$10:$C$161=$C108),0),
  _xlpm.c, MATCH(BA$8,'3. Enter Indicator Scores'!$D$8:$CZ$8,0),
  _xlpm.v, IFERROR(INDEX('3. Enter Indicator Scores'!$D$10:$CZ$161,_xlpm.r,_xlpm.c),""),
  IF(OR(_xlpm.w="",_xlpm.v=""),"",_xlpm.v*_xlpm.w)
)</f>
        <v/>
      </c>
      <c r="BB108" s="93" t="str" cm="1">
        <f t="array" ref="BB108">_xlfn.LET(
  _xlpm.w, BB$11,
  _xlpm.r, MATCH(1,('3. Enter Indicator Scores'!$B$10:$B$161=$B108)*('3. Enter Indicator Scores'!$C$10:$C$161=$C108),0),
  _xlpm.c, MATCH(BB$8,'3. Enter Indicator Scores'!$D$8:$CZ$8,0),
  _xlpm.v, IFERROR(INDEX('3. Enter Indicator Scores'!$D$10:$CZ$161,_xlpm.r,_xlpm.c),""),
  IF(OR(_xlpm.w="",_xlpm.v=""),"",_xlpm.v*_xlpm.w)
)</f>
        <v/>
      </c>
      <c r="BC108" s="93" t="str" cm="1">
        <f t="array" ref="BC108">_xlfn.LET(
  _xlpm.w, BC$11,
  _xlpm.r, MATCH(1,('3. Enter Indicator Scores'!$B$10:$B$161=$B108)*('3. Enter Indicator Scores'!$C$10:$C$161=$C108),0),
  _xlpm.c, MATCH(BC$8,'3. Enter Indicator Scores'!$D$8:$CZ$8,0),
  _xlpm.v, IFERROR(INDEX('3. Enter Indicator Scores'!$D$10:$CZ$161,_xlpm.r,_xlpm.c),""),
  IF(OR(_xlpm.w="",_xlpm.v=""),"",_xlpm.v*_xlpm.w)
)</f>
        <v/>
      </c>
      <c r="BD108" s="93" t="str" cm="1">
        <f t="array" ref="BD108">_xlfn.LET(
  _xlpm.w, BD$11,
  _xlpm.r, MATCH(1,('3. Enter Indicator Scores'!$B$10:$B$161=$B108)*('3. Enter Indicator Scores'!$C$10:$C$161=$C108),0),
  _xlpm.c, MATCH(BD$8,'3. Enter Indicator Scores'!$D$8:$CZ$8,0),
  _xlpm.v, IFERROR(INDEX('3. Enter Indicator Scores'!$D$10:$CZ$161,_xlpm.r,_xlpm.c),""),
  IF(OR(_xlpm.w="",_xlpm.v=""),"",_xlpm.v*_xlpm.w)
)</f>
        <v/>
      </c>
      <c r="BE108" s="93" t="str" cm="1">
        <f t="array" ref="BE108">_xlfn.LET(
  _xlpm.w, BE$11,
  _xlpm.r, MATCH(1,('3. Enter Indicator Scores'!$B$10:$B$161=$B108)*('3. Enter Indicator Scores'!$C$10:$C$161=$C108),0),
  _xlpm.c, MATCH(BE$8,'3. Enter Indicator Scores'!$D$8:$CZ$8,0),
  _xlpm.v, IFERROR(INDEX('3. Enter Indicator Scores'!$D$10:$CZ$161,_xlpm.r,_xlpm.c),""),
  IF(OR(_xlpm.w="",_xlpm.v=""),"",_xlpm.v*_xlpm.w)
)</f>
        <v/>
      </c>
      <c r="BF108" s="93" t="str" cm="1">
        <f t="array" ref="BF108">_xlfn.LET(
  _xlpm.w, BF$11,
  _xlpm.r, MATCH(1,('3. Enter Indicator Scores'!$B$10:$B$161=$B108)*('3. Enter Indicator Scores'!$C$10:$C$161=$C108),0),
  _xlpm.c, MATCH(BF$8,'3. Enter Indicator Scores'!$D$8:$CZ$8,0),
  _xlpm.v, IFERROR(INDEX('3. Enter Indicator Scores'!$D$10:$CZ$161,_xlpm.r,_xlpm.c),""),
  IF(OR(_xlpm.w="",_xlpm.v=""),"",_xlpm.v*_xlpm.w)
)</f>
        <v/>
      </c>
      <c r="BG108" s="93" t="str" cm="1">
        <f t="array" ref="BG108">_xlfn.LET(
  _xlpm.w, BG$11,
  _xlpm.r, MATCH(1,('3. Enter Indicator Scores'!$B$10:$B$161=$B108)*('3. Enter Indicator Scores'!$C$10:$C$161=$C108),0),
  _xlpm.c, MATCH(BG$8,'3. Enter Indicator Scores'!$D$8:$CZ$8,0),
  _xlpm.v, IFERROR(INDEX('3. Enter Indicator Scores'!$D$10:$CZ$161,_xlpm.r,_xlpm.c),""),
  IF(OR(_xlpm.w="",_xlpm.v=""),"",_xlpm.v*_xlpm.w)
)</f>
        <v/>
      </c>
      <c r="BH108" s="93" t="str" cm="1">
        <f t="array" ref="BH108">_xlfn.LET(
  _xlpm.w, BH$11,
  _xlpm.r, MATCH(1,('3. Enter Indicator Scores'!$B$10:$B$161=$B108)*('3. Enter Indicator Scores'!$C$10:$C$161=$C108),0),
  _xlpm.c, MATCH(BH$8,'3. Enter Indicator Scores'!$D$8:$CZ$8,0),
  _xlpm.v, IFERROR(INDEX('3. Enter Indicator Scores'!$D$10:$CZ$161,_xlpm.r,_xlpm.c),""),
  IF(OR(_xlpm.w="",_xlpm.v=""),"",_xlpm.v*_xlpm.w)
)</f>
        <v/>
      </c>
      <c r="BI108" s="93" t="str" cm="1">
        <f t="array" ref="BI108">_xlfn.LET(
  _xlpm.w, BI$11,
  _xlpm.r, MATCH(1,('3. Enter Indicator Scores'!$B$10:$B$161=$B108)*('3. Enter Indicator Scores'!$C$10:$C$161=$C108),0),
  _xlpm.c, MATCH(BI$8,'3. Enter Indicator Scores'!$D$8:$CZ$8,0),
  _xlpm.v, IFERROR(INDEX('3. Enter Indicator Scores'!$D$10:$CZ$161,_xlpm.r,_xlpm.c),""),
  IF(OR(_xlpm.w="",_xlpm.v=""),"",_xlpm.v*_xlpm.w)
)</f>
        <v/>
      </c>
      <c r="BJ108" s="93" t="str" cm="1">
        <f t="array" ref="BJ108">_xlfn.LET(
  _xlpm.w, BJ$11,
  _xlpm.r, MATCH(1,('3. Enter Indicator Scores'!$B$10:$B$161=$B108)*('3. Enter Indicator Scores'!$C$10:$C$161=$C108),0),
  _xlpm.c, MATCH(BJ$8,'3. Enter Indicator Scores'!$D$8:$CZ$8,0),
  _xlpm.v, IFERROR(INDEX('3. Enter Indicator Scores'!$D$10:$CZ$161,_xlpm.r,_xlpm.c),""),
  IF(OR(_xlpm.w="",_xlpm.v=""),"",_xlpm.v*_xlpm.w)
)</f>
        <v/>
      </c>
      <c r="BK108" s="93" t="str" cm="1">
        <f t="array" ref="BK108">_xlfn.LET(
  _xlpm.w, BK$11,
  _xlpm.r, MATCH(1,('3. Enter Indicator Scores'!$B$10:$B$161=$B108)*('3. Enter Indicator Scores'!$C$10:$C$161=$C108),0),
  _xlpm.c, MATCH(BK$8,'3. Enter Indicator Scores'!$D$8:$CZ$8,0),
  _xlpm.v, IFERROR(INDEX('3. Enter Indicator Scores'!$D$10:$CZ$161,_xlpm.r,_xlpm.c),""),
  IF(OR(_xlpm.w="",_xlpm.v=""),"",_xlpm.v*_xlpm.w)
)</f>
        <v/>
      </c>
      <c r="BL108" s="93" t="str" cm="1">
        <f t="array" ref="BL108">_xlfn.LET(
  _xlpm.w, BL$11,
  _xlpm.r, MATCH(1,('3. Enter Indicator Scores'!$B$10:$B$161=$B108)*('3. Enter Indicator Scores'!$C$10:$C$161=$C108),0),
  _xlpm.c, MATCH(BL$8,'3. Enter Indicator Scores'!$D$8:$CZ$8,0),
  _xlpm.v, IFERROR(INDEX('3. Enter Indicator Scores'!$D$10:$CZ$161,_xlpm.r,_xlpm.c),""),
  IF(OR(_xlpm.w="",_xlpm.v=""),"",_xlpm.v*_xlpm.w)
)</f>
        <v/>
      </c>
      <c r="BM108" s="93" t="str" cm="1">
        <f t="array" ref="BM108">_xlfn.LET(
  _xlpm.w, BM$11,
  _xlpm.r, MATCH(1,('3. Enter Indicator Scores'!$B$10:$B$161=$B108)*('3. Enter Indicator Scores'!$C$10:$C$161=$C108),0),
  _xlpm.c, MATCH(BM$8,'3. Enter Indicator Scores'!$D$8:$CZ$8,0),
  _xlpm.v, IFERROR(INDEX('3. Enter Indicator Scores'!$D$10:$CZ$161,_xlpm.r,_xlpm.c),""),
  IF(OR(_xlpm.w="",_xlpm.v=""),"",_xlpm.v*_xlpm.w)
)</f>
        <v/>
      </c>
      <c r="BN108" s="93" t="str" cm="1">
        <f t="array" ref="BN108">_xlfn.LET(
  _xlpm.w, BN$11,
  _xlpm.r, MATCH(1,('3. Enter Indicator Scores'!$B$10:$B$161=$B108)*('3. Enter Indicator Scores'!$C$10:$C$161=$C108),0),
  _xlpm.c, MATCH(BN$8,'3. Enter Indicator Scores'!$D$8:$CZ$8,0),
  _xlpm.v, IFERROR(INDEX('3. Enter Indicator Scores'!$D$10:$CZ$161,_xlpm.r,_xlpm.c),""),
  IF(OR(_xlpm.w="",_xlpm.v=""),"",_xlpm.v*_xlpm.w)
)</f>
        <v/>
      </c>
      <c r="BO108" s="93" t="str" cm="1">
        <f t="array" ref="BO108">_xlfn.LET(
  _xlpm.w, BO$11,
  _xlpm.r, MATCH(1,('3. Enter Indicator Scores'!$B$10:$B$161=$B108)*('3. Enter Indicator Scores'!$C$10:$C$161=$C108),0),
  _xlpm.c, MATCH(BO$8,'3. Enter Indicator Scores'!$D$8:$CZ$8,0),
  _xlpm.v, IFERROR(INDEX('3. Enter Indicator Scores'!$D$10:$CZ$161,_xlpm.r,_xlpm.c),""),
  IF(OR(_xlpm.w="",_xlpm.v=""),"",_xlpm.v*_xlpm.w)
)</f>
        <v/>
      </c>
      <c r="BP108" s="93" t="str" cm="1">
        <f t="array" ref="BP108">_xlfn.LET(
  _xlpm.w, BP$11,
  _xlpm.r, MATCH(1,('3. Enter Indicator Scores'!$B$10:$B$161=$B108)*('3. Enter Indicator Scores'!$C$10:$C$161=$C108),0),
  _xlpm.c, MATCH(BP$8,'3. Enter Indicator Scores'!$D$8:$CZ$8,0),
  _xlpm.v, IFERROR(INDEX('3. Enter Indicator Scores'!$D$10:$CZ$161,_xlpm.r,_xlpm.c),""),
  IF(OR(_xlpm.w="",_xlpm.v=""),"",_xlpm.v*_xlpm.w)
)</f>
        <v/>
      </c>
      <c r="BQ108" s="93" t="str" cm="1">
        <f t="array" ref="BQ108">_xlfn.LET(
  _xlpm.w, BQ$11,
  _xlpm.r, MATCH(1,('3. Enter Indicator Scores'!$B$10:$B$161=$B108)*('3. Enter Indicator Scores'!$C$10:$C$161=$C108),0),
  _xlpm.c, MATCH(BQ$8,'3. Enter Indicator Scores'!$D$8:$CZ$8,0),
  _xlpm.v, IFERROR(INDEX('3. Enter Indicator Scores'!$D$10:$CZ$161,_xlpm.r,_xlpm.c),""),
  IF(OR(_xlpm.w="",_xlpm.v=""),"",_xlpm.v*_xlpm.w)
)</f>
        <v/>
      </c>
      <c r="BR108" s="93" t="str" cm="1">
        <f t="array" ref="BR108">_xlfn.LET(
  _xlpm.w, BR$11,
  _xlpm.r, MATCH(1,('3. Enter Indicator Scores'!$B$10:$B$161=$B108)*('3. Enter Indicator Scores'!$C$10:$C$161=$C108),0),
  _xlpm.c, MATCH(BR$8,'3. Enter Indicator Scores'!$D$8:$CZ$8,0),
  _xlpm.v, IFERROR(INDEX('3. Enter Indicator Scores'!$D$10:$CZ$161,_xlpm.r,_xlpm.c),""),
  IF(OR(_xlpm.w="",_xlpm.v=""),"",_xlpm.v*_xlpm.w)
)</f>
        <v/>
      </c>
      <c r="BS108" s="93" t="str" cm="1">
        <f t="array" ref="BS108">_xlfn.LET(
  _xlpm.w, BS$11,
  _xlpm.r, MATCH(1,('3. Enter Indicator Scores'!$B$10:$B$161=$B108)*('3. Enter Indicator Scores'!$C$10:$C$161=$C108),0),
  _xlpm.c, MATCH(BS$8,'3. Enter Indicator Scores'!$D$8:$CZ$8,0),
  _xlpm.v, IFERROR(INDEX('3. Enter Indicator Scores'!$D$10:$CZ$161,_xlpm.r,_xlpm.c),""),
  IF(OR(_xlpm.w="",_xlpm.v=""),"",_xlpm.v*_xlpm.w)
)</f>
        <v/>
      </c>
      <c r="BT108" s="93" t="str" cm="1">
        <f t="array" ref="BT108">_xlfn.LET(
  _xlpm.w, BT$11,
  _xlpm.r, MATCH(1,('3. Enter Indicator Scores'!$B$10:$B$161=$B108)*('3. Enter Indicator Scores'!$C$10:$C$161=$C108),0),
  _xlpm.c, MATCH(BT$8,'3. Enter Indicator Scores'!$D$8:$CZ$8,0),
  _xlpm.v, IFERROR(INDEX('3. Enter Indicator Scores'!$D$10:$CZ$161,_xlpm.r,_xlpm.c),""),
  IF(OR(_xlpm.w="",_xlpm.v=""),"",_xlpm.v*_xlpm.w)
)</f>
        <v/>
      </c>
      <c r="BU108" s="93" t="str" cm="1">
        <f t="array" ref="BU108">_xlfn.LET(
  _xlpm.w, BU$11,
  _xlpm.r, MATCH(1,('3. Enter Indicator Scores'!$B$10:$B$161=$B108)*('3. Enter Indicator Scores'!$C$10:$C$161=$C108),0),
  _xlpm.c, MATCH(BU$8,'3. Enter Indicator Scores'!$D$8:$CZ$8,0),
  _xlpm.v, IFERROR(INDEX('3. Enter Indicator Scores'!$D$10:$CZ$161,_xlpm.r,_xlpm.c),""),
  IF(OR(_xlpm.w="",_xlpm.v=""),"",_xlpm.v*_xlpm.w)
)</f>
        <v/>
      </c>
      <c r="BV108" s="93" t="str" cm="1">
        <f t="array" ref="BV108">_xlfn.LET(
  _xlpm.w, BV$11,
  _xlpm.r, MATCH(1,('3. Enter Indicator Scores'!$B$10:$B$161=$B108)*('3. Enter Indicator Scores'!$C$10:$C$161=$C108),0),
  _xlpm.c, MATCH(BV$8,'3. Enter Indicator Scores'!$D$8:$CZ$8,0),
  _xlpm.v, IFERROR(INDEX('3. Enter Indicator Scores'!$D$10:$CZ$161,_xlpm.r,_xlpm.c),""),
  IF(OR(_xlpm.w="",_xlpm.v=""),"",_xlpm.v*_xlpm.w)
)</f>
        <v/>
      </c>
      <c r="BW108" s="93" t="str" cm="1">
        <f t="array" ref="BW108">_xlfn.LET(
  _xlpm.w, BW$11,
  _xlpm.r, MATCH(1,('3. Enter Indicator Scores'!$B$10:$B$161=$B108)*('3. Enter Indicator Scores'!$C$10:$C$161=$C108),0),
  _xlpm.c, MATCH(BW$8,'3. Enter Indicator Scores'!$D$8:$CZ$8,0),
  _xlpm.v, IFERROR(INDEX('3. Enter Indicator Scores'!$D$10:$CZ$161,_xlpm.r,_xlpm.c),""),
  IF(OR(_xlpm.w="",_xlpm.v=""),"",_xlpm.v*_xlpm.w)
)</f>
        <v/>
      </c>
      <c r="BX108" s="93" t="str" cm="1">
        <f t="array" ref="BX108">_xlfn.LET(
  _xlpm.w, BX$11,
  _xlpm.r, MATCH(1,('3. Enter Indicator Scores'!$B$10:$B$161=$B108)*('3. Enter Indicator Scores'!$C$10:$C$161=$C108),0),
  _xlpm.c, MATCH(BX$8,'3. Enter Indicator Scores'!$D$8:$CZ$8,0),
  _xlpm.v, IFERROR(INDEX('3. Enter Indicator Scores'!$D$10:$CZ$161,_xlpm.r,_xlpm.c),""),
  IF(OR(_xlpm.w="",_xlpm.v=""),"",_xlpm.v*_xlpm.w)
)</f>
        <v/>
      </c>
      <c r="BY108" s="93" t="str" cm="1">
        <f t="array" ref="BY108">_xlfn.LET(
  _xlpm.w, BY$11,
  _xlpm.r, MATCH(1,('3. Enter Indicator Scores'!$B$10:$B$161=$B108)*('3. Enter Indicator Scores'!$C$10:$C$161=$C108),0),
  _xlpm.c, MATCH(BY$8,'3. Enter Indicator Scores'!$D$8:$CZ$8,0),
  _xlpm.v, IFERROR(INDEX('3. Enter Indicator Scores'!$D$10:$CZ$161,_xlpm.r,_xlpm.c),""),
  IF(OR(_xlpm.w="",_xlpm.v=""),"",_xlpm.v*_xlpm.w)
)</f>
        <v/>
      </c>
      <c r="BZ108" s="93" t="str" cm="1">
        <f t="array" ref="BZ108">_xlfn.LET(
  _xlpm.w, BZ$11,
  _xlpm.r, MATCH(1,('3. Enter Indicator Scores'!$B$10:$B$161=$B108)*('3. Enter Indicator Scores'!$C$10:$C$161=$C108),0),
  _xlpm.c, MATCH(BZ$8,'3. Enter Indicator Scores'!$D$8:$CZ$8,0),
  _xlpm.v, IFERROR(INDEX('3. Enter Indicator Scores'!$D$10:$CZ$161,_xlpm.r,_xlpm.c),""),
  IF(OR(_xlpm.w="",_xlpm.v=""),"",_xlpm.v*_xlpm.w)
)</f>
        <v/>
      </c>
      <c r="CA108" s="93" t="str" cm="1">
        <f t="array" ref="CA108">_xlfn.LET(
  _xlpm.w, CA$11,
  _xlpm.r, MATCH(1,('3. Enter Indicator Scores'!$B$10:$B$161=$B108)*('3. Enter Indicator Scores'!$C$10:$C$161=$C108),0),
  _xlpm.c, MATCH(CA$8,'3. Enter Indicator Scores'!$D$8:$CZ$8,0),
  _xlpm.v, IFERROR(INDEX('3. Enter Indicator Scores'!$D$10:$CZ$161,_xlpm.r,_xlpm.c),""),
  IF(OR(_xlpm.w="",_xlpm.v=""),"",_xlpm.v*_xlpm.w)
)</f>
        <v/>
      </c>
      <c r="CB108" s="93" t="str" cm="1">
        <f t="array" ref="CB108">_xlfn.LET(
  _xlpm.w, CB$11,
  _xlpm.r, MATCH(1,('3. Enter Indicator Scores'!$B$10:$B$161=$B108)*('3. Enter Indicator Scores'!$C$10:$C$161=$C108),0),
  _xlpm.c, MATCH(CB$8,'3. Enter Indicator Scores'!$D$8:$CZ$8,0),
  _xlpm.v, IFERROR(INDEX('3. Enter Indicator Scores'!$D$10:$CZ$161,_xlpm.r,_xlpm.c),""),
  IF(OR(_xlpm.w="",_xlpm.v=""),"",_xlpm.v*_xlpm.w)
)</f>
        <v/>
      </c>
      <c r="CC108" s="93" t="str" cm="1">
        <f t="array" ref="CC108">_xlfn.LET(
  _xlpm.w, CC$11,
  _xlpm.r, MATCH(1,('3. Enter Indicator Scores'!$B$10:$B$161=$B108)*('3. Enter Indicator Scores'!$C$10:$C$161=$C108),0),
  _xlpm.c, MATCH(CC$8,'3. Enter Indicator Scores'!$D$8:$CZ$8,0),
  _xlpm.v, IFERROR(INDEX('3. Enter Indicator Scores'!$D$10:$CZ$161,_xlpm.r,_xlpm.c),""),
  IF(OR(_xlpm.w="",_xlpm.v=""),"",_xlpm.v*_xlpm.w)
)</f>
        <v/>
      </c>
      <c r="CD108" s="93" t="str" cm="1">
        <f t="array" ref="CD108">_xlfn.LET(
  _xlpm.w, CD$11,
  _xlpm.r, MATCH(1,('3. Enter Indicator Scores'!$B$10:$B$161=$B108)*('3. Enter Indicator Scores'!$C$10:$C$161=$C108),0),
  _xlpm.c, MATCH(CD$8,'3. Enter Indicator Scores'!$D$8:$CZ$8,0),
  _xlpm.v, IFERROR(INDEX('3. Enter Indicator Scores'!$D$10:$CZ$161,_xlpm.r,_xlpm.c),""),
  IF(OR(_xlpm.w="",_xlpm.v=""),"",_xlpm.v*_xlpm.w)
)</f>
        <v/>
      </c>
      <c r="CE108" s="93" t="str" cm="1">
        <f t="array" ref="CE108">_xlfn.LET(
  _xlpm.w, CE$11,
  _xlpm.r, MATCH(1,('3. Enter Indicator Scores'!$B$10:$B$161=$B108)*('3. Enter Indicator Scores'!$C$10:$C$161=$C108),0),
  _xlpm.c, MATCH(CE$8,'3. Enter Indicator Scores'!$D$8:$CZ$8,0),
  _xlpm.v, IFERROR(INDEX('3. Enter Indicator Scores'!$D$10:$CZ$161,_xlpm.r,_xlpm.c),""),
  IF(OR(_xlpm.w="",_xlpm.v=""),"",_xlpm.v*_xlpm.w)
)</f>
        <v/>
      </c>
      <c r="CF108" s="93" t="str" cm="1">
        <f t="array" ref="CF108">_xlfn.LET(
  _xlpm.w, CF$11,
  _xlpm.r, MATCH(1,('3. Enter Indicator Scores'!$B$10:$B$161=$B108)*('3. Enter Indicator Scores'!$C$10:$C$161=$C108),0),
  _xlpm.c, MATCH(CF$8,'3. Enter Indicator Scores'!$D$8:$CZ$8,0),
  _xlpm.v, IFERROR(INDEX('3. Enter Indicator Scores'!$D$10:$CZ$161,_xlpm.r,_xlpm.c),""),
  IF(OR(_xlpm.w="",_xlpm.v=""),"",_xlpm.v*_xlpm.w)
)</f>
        <v/>
      </c>
      <c r="CG108" s="93" t="str" cm="1">
        <f t="array" ref="CG108">_xlfn.LET(
  _xlpm.w, CG$11,
  _xlpm.r, MATCH(1,('3. Enter Indicator Scores'!$B$10:$B$161=$B108)*('3. Enter Indicator Scores'!$C$10:$C$161=$C108),0),
  _xlpm.c, MATCH(CG$8,'3. Enter Indicator Scores'!$D$8:$CZ$8,0),
  _xlpm.v, IFERROR(INDEX('3. Enter Indicator Scores'!$D$10:$CZ$161,_xlpm.r,_xlpm.c),""),
  IF(OR(_xlpm.w="",_xlpm.v=""),"",_xlpm.v*_xlpm.w)
)</f>
        <v/>
      </c>
      <c r="CH108" s="93" t="str" cm="1">
        <f t="array" ref="CH108">_xlfn.LET(
  _xlpm.w, CH$11,
  _xlpm.r, MATCH(1,('3. Enter Indicator Scores'!$B$10:$B$161=$B108)*('3. Enter Indicator Scores'!$C$10:$C$161=$C108),0),
  _xlpm.c, MATCH(CH$8,'3. Enter Indicator Scores'!$D$8:$CZ$8,0),
  _xlpm.v, IFERROR(INDEX('3. Enter Indicator Scores'!$D$10:$CZ$161,_xlpm.r,_xlpm.c),""),
  IF(OR(_xlpm.w="",_xlpm.v=""),"",_xlpm.v*_xlpm.w)
)</f>
        <v/>
      </c>
      <c r="CI108" s="93" t="str" cm="1">
        <f t="array" ref="CI108">_xlfn.LET(
  _xlpm.w, CI$11,
  _xlpm.r, MATCH(1,('3. Enter Indicator Scores'!$B$10:$B$161=$B108)*('3. Enter Indicator Scores'!$C$10:$C$161=$C108),0),
  _xlpm.c, MATCH(CI$8,'3. Enter Indicator Scores'!$D$8:$CZ$8,0),
  _xlpm.v, IFERROR(INDEX('3. Enter Indicator Scores'!$D$10:$CZ$161,_xlpm.r,_xlpm.c),""),
  IF(OR(_xlpm.w="",_xlpm.v=""),"",_xlpm.v*_xlpm.w)
)</f>
        <v/>
      </c>
      <c r="CJ108" s="93" t="str" cm="1">
        <f t="array" ref="CJ108">_xlfn.LET(
  _xlpm.w, CJ$11,
  _xlpm.r, MATCH(1,('3. Enter Indicator Scores'!$B$10:$B$161=$B108)*('3. Enter Indicator Scores'!$C$10:$C$161=$C108),0),
  _xlpm.c, MATCH(CJ$8,'3. Enter Indicator Scores'!$D$8:$CZ$8,0),
  _xlpm.v, IFERROR(INDEX('3. Enter Indicator Scores'!$D$10:$CZ$161,_xlpm.r,_xlpm.c),""),
  IF(OR(_xlpm.w="",_xlpm.v=""),"",_xlpm.v*_xlpm.w)
)</f>
        <v/>
      </c>
      <c r="CK108" s="93" t="str" cm="1">
        <f t="array" ref="CK108">_xlfn.LET(
  _xlpm.w, CK$11,
  _xlpm.r, MATCH(1,('3. Enter Indicator Scores'!$B$10:$B$161=$B108)*('3. Enter Indicator Scores'!$C$10:$C$161=$C108),0),
  _xlpm.c, MATCH(CK$8,'3. Enter Indicator Scores'!$D$8:$CZ$8,0),
  _xlpm.v, IFERROR(INDEX('3. Enter Indicator Scores'!$D$10:$CZ$161,_xlpm.r,_xlpm.c),""),
  IF(OR(_xlpm.w="",_xlpm.v=""),"",_xlpm.v*_xlpm.w)
)</f>
        <v/>
      </c>
      <c r="CL108" s="93" t="str" cm="1">
        <f t="array" ref="CL108">_xlfn.LET(
  _xlpm.w, CL$11,
  _xlpm.r, MATCH(1,('3. Enter Indicator Scores'!$B$10:$B$161=$B108)*('3. Enter Indicator Scores'!$C$10:$C$161=$C108),0),
  _xlpm.c, MATCH(CL$8,'3. Enter Indicator Scores'!$D$8:$CZ$8,0),
  _xlpm.v, IFERROR(INDEX('3. Enter Indicator Scores'!$D$10:$CZ$161,_xlpm.r,_xlpm.c),""),
  IF(OR(_xlpm.w="",_xlpm.v=""),"",_xlpm.v*_xlpm.w)
)</f>
        <v/>
      </c>
      <c r="CM108" s="93" t="str" cm="1">
        <f t="array" ref="CM108">_xlfn.LET(
  _xlpm.w, CM$11,
  _xlpm.r, MATCH(1,('3. Enter Indicator Scores'!$B$10:$B$161=$B108)*('3. Enter Indicator Scores'!$C$10:$C$161=$C108),0),
  _xlpm.c, MATCH(CM$8,'3. Enter Indicator Scores'!$D$8:$CZ$8,0),
  _xlpm.v, IFERROR(INDEX('3. Enter Indicator Scores'!$D$10:$CZ$161,_xlpm.r,_xlpm.c),""),
  IF(OR(_xlpm.w="",_xlpm.v=""),"",_xlpm.v*_xlpm.w)
)</f>
        <v/>
      </c>
      <c r="CN108" s="93" t="str" cm="1">
        <f t="array" ref="CN108">_xlfn.LET(
  _xlpm.w, CN$11,
  _xlpm.r, MATCH(1,('3. Enter Indicator Scores'!$B$10:$B$161=$B108)*('3. Enter Indicator Scores'!$C$10:$C$161=$C108),0),
  _xlpm.c, MATCH(CN$8,'3. Enter Indicator Scores'!$D$8:$CZ$8,0),
  _xlpm.v, IFERROR(INDEX('3. Enter Indicator Scores'!$D$10:$CZ$161,_xlpm.r,_xlpm.c),""),
  IF(OR(_xlpm.w="",_xlpm.v=""),"",_xlpm.v*_xlpm.w)
)</f>
        <v/>
      </c>
      <c r="CO108" s="93" t="str" cm="1">
        <f t="array" ref="CO108">_xlfn.LET(
  _xlpm.w, CO$11,
  _xlpm.r, MATCH(1,('3. Enter Indicator Scores'!$B$10:$B$161=$B108)*('3. Enter Indicator Scores'!$C$10:$C$161=$C108),0),
  _xlpm.c, MATCH(CO$8,'3. Enter Indicator Scores'!$D$8:$CZ$8,0),
  _xlpm.v, IFERROR(INDEX('3. Enter Indicator Scores'!$D$10:$CZ$161,_xlpm.r,_xlpm.c),""),
  IF(OR(_xlpm.w="",_xlpm.v=""),"",_xlpm.v*_xlpm.w)
)</f>
        <v/>
      </c>
      <c r="CP108" s="93" t="str" cm="1">
        <f t="array" ref="CP108">_xlfn.LET(
  _xlpm.w, CP$11,
  _xlpm.r, MATCH(1,('3. Enter Indicator Scores'!$B$10:$B$161=$B108)*('3. Enter Indicator Scores'!$C$10:$C$161=$C108),0),
  _xlpm.c, MATCH(CP$8,'3. Enter Indicator Scores'!$D$8:$CZ$8,0),
  _xlpm.v, IFERROR(INDEX('3. Enter Indicator Scores'!$D$10:$CZ$161,_xlpm.r,_xlpm.c),""),
  IF(OR(_xlpm.w="",_xlpm.v=""),"",_xlpm.v*_xlpm.w)
)</f>
        <v/>
      </c>
      <c r="CQ108" s="93" t="str" cm="1">
        <f t="array" ref="CQ108">_xlfn.LET(
  _xlpm.w, CQ$11,
  _xlpm.r, MATCH(1,('3. Enter Indicator Scores'!$B$10:$B$161=$B108)*('3. Enter Indicator Scores'!$C$10:$C$161=$C108),0),
  _xlpm.c, MATCH(CQ$8,'3. Enter Indicator Scores'!$D$8:$CZ$8,0),
  _xlpm.v, IFERROR(INDEX('3. Enter Indicator Scores'!$D$10:$CZ$161,_xlpm.r,_xlpm.c),""),
  IF(OR(_xlpm.w="",_xlpm.v=""),"",_xlpm.v*_xlpm.w)
)</f>
        <v/>
      </c>
      <c r="CR108" s="93" t="str" cm="1">
        <f t="array" ref="CR108">_xlfn.LET(
  _xlpm.w, CR$11,
  _xlpm.r, MATCH(1,('3. Enter Indicator Scores'!$B$10:$B$161=$B108)*('3. Enter Indicator Scores'!$C$10:$C$161=$C108),0),
  _xlpm.c, MATCH(CR$8,'3. Enter Indicator Scores'!$D$8:$CZ$8,0),
  _xlpm.v, IFERROR(INDEX('3. Enter Indicator Scores'!$D$10:$CZ$161,_xlpm.r,_xlpm.c),""),
  IF(OR(_xlpm.w="",_xlpm.v=""),"",_xlpm.v*_xlpm.w)
)</f>
        <v/>
      </c>
      <c r="CS108" s="93" t="str" cm="1">
        <f t="array" ref="CS108">_xlfn.LET(
  _xlpm.w, CS$11,
  _xlpm.r, MATCH(1,('3. Enter Indicator Scores'!$B$10:$B$161=$B108)*('3. Enter Indicator Scores'!$C$10:$C$161=$C108),0),
  _xlpm.c, MATCH(CS$8,'3. Enter Indicator Scores'!$D$8:$CZ$8,0),
  _xlpm.v, IFERROR(INDEX('3. Enter Indicator Scores'!$D$10:$CZ$161,_xlpm.r,_xlpm.c),""),
  IF(OR(_xlpm.w="",_xlpm.v=""),"",_xlpm.v*_xlpm.w)
)</f>
        <v/>
      </c>
      <c r="CT108" s="93" t="str" cm="1">
        <f t="array" ref="CT108">_xlfn.LET(
  _xlpm.w, CT$11,
  _xlpm.r, MATCH(1,('3. Enter Indicator Scores'!$B$10:$B$161=$B108)*('3. Enter Indicator Scores'!$C$10:$C$161=$C108),0),
  _xlpm.c, MATCH(CT$8,'3. Enter Indicator Scores'!$D$8:$CZ$8,0),
  _xlpm.v, IFERROR(INDEX('3. Enter Indicator Scores'!$D$10:$CZ$161,_xlpm.r,_xlpm.c),""),
  IF(OR(_xlpm.w="",_xlpm.v=""),"",_xlpm.v*_xlpm.w)
)</f>
        <v/>
      </c>
      <c r="CU108" s="93" t="str" cm="1">
        <f t="array" ref="CU108">_xlfn.LET(
  _xlpm.w, CU$11,
  _xlpm.r, MATCH(1,('3. Enter Indicator Scores'!$B$10:$B$161=$B108)*('3. Enter Indicator Scores'!$C$10:$C$161=$C108),0),
  _xlpm.c, MATCH(CU$8,'3. Enter Indicator Scores'!$D$8:$CZ$8,0),
  _xlpm.v, IFERROR(INDEX('3. Enter Indicator Scores'!$D$10:$CZ$161,_xlpm.r,_xlpm.c),""),
  IF(OR(_xlpm.w="",_xlpm.v=""),"",_xlpm.v*_xlpm.w)
)</f>
        <v/>
      </c>
      <c r="CV108" s="93" t="str" cm="1">
        <f t="array" ref="CV108">_xlfn.LET(
  _xlpm.w, CV$11,
  _xlpm.r, MATCH(1,('3. Enter Indicator Scores'!$B$10:$B$161=$B108)*('3. Enter Indicator Scores'!$C$10:$C$161=$C108),0),
  _xlpm.c, MATCH(CV$8,'3. Enter Indicator Scores'!$D$8:$CZ$8,0),
  _xlpm.v, IFERROR(INDEX('3. Enter Indicator Scores'!$D$10:$CZ$161,_xlpm.r,_xlpm.c),""),
  IF(OR(_xlpm.w="",_xlpm.v=""),"",_xlpm.v*_xlpm.w)
)</f>
        <v/>
      </c>
      <c r="CW108" s="93" t="str" cm="1">
        <f t="array" ref="CW108">_xlfn.LET(
  _xlpm.w, CW$11,
  _xlpm.r, MATCH(1,('3. Enter Indicator Scores'!$B$10:$B$161=$B108)*('3. Enter Indicator Scores'!$C$10:$C$161=$C108),0),
  _xlpm.c, MATCH(CW$8,'3. Enter Indicator Scores'!$D$8:$CZ$8,0),
  _xlpm.v, IFERROR(INDEX('3. Enter Indicator Scores'!$D$10:$CZ$161,_xlpm.r,_xlpm.c),""),
  IF(OR(_xlpm.w="",_xlpm.v=""),"",_xlpm.v*_xlpm.w)
)</f>
        <v/>
      </c>
      <c r="CX108" s="93" t="str" cm="1">
        <f t="array" ref="CX108">_xlfn.LET(
  _xlpm.w, CX$11,
  _xlpm.r, MATCH(1,('3. Enter Indicator Scores'!$B$10:$B$161=$B108)*('3. Enter Indicator Scores'!$C$10:$C$161=$C108),0),
  _xlpm.c, MATCH(CX$8,'3. Enter Indicator Scores'!$D$8:$CZ$8,0),
  _xlpm.v, IFERROR(INDEX('3. Enter Indicator Scores'!$D$10:$CZ$161,_xlpm.r,_xlpm.c),""),
  IF(OR(_xlpm.w="",_xlpm.v=""),"",_xlpm.v*_xlpm.w)
)</f>
        <v/>
      </c>
      <c r="CY108" s="93" t="str" cm="1">
        <f t="array" ref="CY108">_xlfn.LET(
  _xlpm.w, CY$11,
  _xlpm.r, MATCH(1,('3. Enter Indicator Scores'!$B$10:$B$161=$B108)*('3. Enter Indicator Scores'!$C$10:$C$161=$C108),0),
  _xlpm.c, MATCH(CY$8,'3. Enter Indicator Scores'!$D$8:$CZ$8,0),
  _xlpm.v, IFERROR(INDEX('3. Enter Indicator Scores'!$D$10:$CZ$161,_xlpm.r,_xlpm.c),""),
  IF(OR(_xlpm.w="",_xlpm.v=""),"",_xlpm.v*_xlpm.w)
)</f>
        <v/>
      </c>
      <c r="CZ108" s="93" t="str" cm="1">
        <f t="array" ref="CZ108">_xlfn.LET(
  _xlpm.w, CZ$11,
  _xlpm.r, MATCH(1,('3. Enter Indicator Scores'!$B$10:$B$161=$B108)*('3. Enter Indicator Scores'!$C$10:$C$161=$C108),0),
  _xlpm.c, MATCH(CZ$8,'3. Enter Indicator Scores'!$D$8:$CZ$8,0),
  _xlpm.v, IFERROR(INDEX('3. Enter Indicator Scores'!$D$10:$CZ$161,_xlpm.r,_xlpm.c),""),
  IF(OR(_xlpm.w="",_xlpm.v=""),"",_xlpm.v*_xlpm.w)
)</f>
        <v/>
      </c>
    </row>
    <row r="109" spans="4:104" x14ac:dyDescent="0.2">
      <c r="D109" s="93" t="str" cm="1">
        <f t="array" ref="D109">_xlfn.LET(
  _xlpm.w, D$11,
  _xlpm.r, MATCH(1,('3. Enter Indicator Scores'!$B$10:$B$161=$B109)*('3. Enter Indicator Scores'!$C$10:$C$161=$C109),0),
  _xlpm.c, MATCH(D$8,'3. Enter Indicator Scores'!$D$8:$CZ$8,0),
  _xlpm.v, IFERROR(INDEX('3. Enter Indicator Scores'!$D$10:$CZ$161,_xlpm.r,_xlpm.c),""),
  IF(OR(_xlpm.w="",_xlpm.v=""),"",_xlpm.v*_xlpm.w)
)</f>
        <v/>
      </c>
      <c r="E109" s="93" t="str" cm="1">
        <f t="array" ref="E109">_xlfn.LET(
  _xlpm.w, E$11,
  _xlpm.r, MATCH(1,('3. Enter Indicator Scores'!$B$10:$B$161=$B109)*('3. Enter Indicator Scores'!$C$10:$C$161=$C109),0),
  _xlpm.c, MATCH(E$8,'3. Enter Indicator Scores'!$D$8:$CZ$8,0),
  _xlpm.v, IFERROR(INDEX('3. Enter Indicator Scores'!$D$10:$CZ$161,_xlpm.r,_xlpm.c),""),
  IF(OR(_xlpm.w="",_xlpm.v=""),"",_xlpm.v*_xlpm.w)
)</f>
        <v/>
      </c>
      <c r="F109" s="93" t="str" cm="1">
        <f t="array" ref="F109">_xlfn.LET(
  _xlpm.w, F$11,
  _xlpm.r, MATCH(1,('3. Enter Indicator Scores'!$B$10:$B$161=$B109)*('3. Enter Indicator Scores'!$C$10:$C$161=$C109),0),
  _xlpm.c, MATCH(F$8,'3. Enter Indicator Scores'!$D$8:$CZ$8,0),
  _xlpm.v, IFERROR(INDEX('3. Enter Indicator Scores'!$D$10:$CZ$161,_xlpm.r,_xlpm.c),""),
  IF(OR(_xlpm.w="",_xlpm.v=""),"",_xlpm.v*_xlpm.w)
)</f>
        <v/>
      </c>
      <c r="G109" s="93" t="str" cm="1">
        <f t="array" ref="G109">_xlfn.LET(
  _xlpm.w, G$11,
  _xlpm.r, MATCH(1,('3. Enter Indicator Scores'!$B$10:$B$161=$B109)*('3. Enter Indicator Scores'!$C$10:$C$161=$C109),0),
  _xlpm.c, MATCH(G$8,'3. Enter Indicator Scores'!$D$8:$CZ$8,0),
  _xlpm.v, IFERROR(INDEX('3. Enter Indicator Scores'!$D$10:$CZ$161,_xlpm.r,_xlpm.c),""),
  IF(OR(_xlpm.w="",_xlpm.v=""),"",_xlpm.v*_xlpm.w)
)</f>
        <v/>
      </c>
      <c r="H109" s="93" t="str" cm="1">
        <f t="array" ref="H109">_xlfn.LET(
  _xlpm.w, H$11,
  _xlpm.r, MATCH(1,('3. Enter Indicator Scores'!$B$10:$B$161=$B109)*('3. Enter Indicator Scores'!$C$10:$C$161=$C109),0),
  _xlpm.c, MATCH(H$8,'3. Enter Indicator Scores'!$D$8:$CZ$8,0),
  _xlpm.v, IFERROR(INDEX('3. Enter Indicator Scores'!$D$10:$CZ$161,_xlpm.r,_xlpm.c),""),
  IF(OR(_xlpm.w="",_xlpm.v=""),"",_xlpm.v*_xlpm.w)
)</f>
        <v/>
      </c>
      <c r="I109" s="93" t="str" cm="1">
        <f t="array" ref="I109">_xlfn.LET(
  _xlpm.w, I$11,
  _xlpm.r, MATCH(1,('3. Enter Indicator Scores'!$B$10:$B$161=$B109)*('3. Enter Indicator Scores'!$C$10:$C$161=$C109),0),
  _xlpm.c, MATCH(I$8,'3. Enter Indicator Scores'!$D$8:$CZ$8,0),
  _xlpm.v, IFERROR(INDEX('3. Enter Indicator Scores'!$D$10:$CZ$161,_xlpm.r,_xlpm.c),""),
  IF(OR(_xlpm.w="",_xlpm.v=""),"",_xlpm.v*_xlpm.w)
)</f>
        <v/>
      </c>
      <c r="J109" s="93" t="str" cm="1">
        <f t="array" ref="J109">_xlfn.LET(
  _xlpm.w, J$11,
  _xlpm.r, MATCH(1,('3. Enter Indicator Scores'!$B$10:$B$161=$B109)*('3. Enter Indicator Scores'!$C$10:$C$161=$C109),0),
  _xlpm.c, MATCH(J$8,'3. Enter Indicator Scores'!$D$8:$CZ$8,0),
  _xlpm.v, IFERROR(INDEX('3. Enter Indicator Scores'!$D$10:$CZ$161,_xlpm.r,_xlpm.c),""),
  IF(OR(_xlpm.w="",_xlpm.v=""),"",_xlpm.v*_xlpm.w)
)</f>
        <v/>
      </c>
      <c r="K109" s="93" t="str" cm="1">
        <f t="array" ref="K109">_xlfn.LET(
  _xlpm.w, K$11,
  _xlpm.r, MATCH(1,('3. Enter Indicator Scores'!$B$10:$B$161=$B109)*('3. Enter Indicator Scores'!$C$10:$C$161=$C109),0),
  _xlpm.c, MATCH(K$8,'3. Enter Indicator Scores'!$D$8:$CZ$8,0),
  _xlpm.v, IFERROR(INDEX('3. Enter Indicator Scores'!$D$10:$CZ$161,_xlpm.r,_xlpm.c),""),
  IF(OR(_xlpm.w="",_xlpm.v=""),"",_xlpm.v*_xlpm.w)
)</f>
        <v/>
      </c>
      <c r="L109" s="93" t="str" cm="1">
        <f t="array" ref="L109">_xlfn.LET(
  _xlpm.w, L$11,
  _xlpm.r, MATCH(1,('3. Enter Indicator Scores'!$B$10:$B$161=$B109)*('3. Enter Indicator Scores'!$C$10:$C$161=$C109),0),
  _xlpm.c, MATCH(L$8,'3. Enter Indicator Scores'!$D$8:$CZ$8,0),
  _xlpm.v, IFERROR(INDEX('3. Enter Indicator Scores'!$D$10:$CZ$161,_xlpm.r,_xlpm.c),""),
  IF(OR(_xlpm.w="",_xlpm.v=""),"",_xlpm.v*_xlpm.w)
)</f>
        <v/>
      </c>
      <c r="M109" s="93" t="str" cm="1">
        <f t="array" ref="M109">_xlfn.LET(
  _xlpm.w, M$11,
  _xlpm.r, MATCH(1,('3. Enter Indicator Scores'!$B$10:$B$161=$B109)*('3. Enter Indicator Scores'!$C$10:$C$161=$C109),0),
  _xlpm.c, MATCH(M$8,'3. Enter Indicator Scores'!$D$8:$CZ$8,0),
  _xlpm.v, IFERROR(INDEX('3. Enter Indicator Scores'!$D$10:$CZ$161,_xlpm.r,_xlpm.c),""),
  IF(OR(_xlpm.w="",_xlpm.v=""),"",_xlpm.v*_xlpm.w)
)</f>
        <v/>
      </c>
      <c r="N109" s="93" t="str" cm="1">
        <f t="array" ref="N109">_xlfn.LET(
  _xlpm.w, N$11,
  _xlpm.r, MATCH(1,('3. Enter Indicator Scores'!$B$10:$B$161=$B109)*('3. Enter Indicator Scores'!$C$10:$C$161=$C109),0),
  _xlpm.c, MATCH(N$8,'3. Enter Indicator Scores'!$D$8:$CZ$8,0),
  _xlpm.v, IFERROR(INDEX('3. Enter Indicator Scores'!$D$10:$CZ$161,_xlpm.r,_xlpm.c),""),
  IF(OR(_xlpm.w="",_xlpm.v=""),"",_xlpm.v*_xlpm.w)
)</f>
        <v/>
      </c>
      <c r="O109" s="93" t="str" cm="1">
        <f t="array" ref="O109">_xlfn.LET(
  _xlpm.w, O$11,
  _xlpm.r, MATCH(1,('3. Enter Indicator Scores'!$B$10:$B$161=$B109)*('3. Enter Indicator Scores'!$C$10:$C$161=$C109),0),
  _xlpm.c, MATCH(O$8,'3. Enter Indicator Scores'!$D$8:$CZ$8,0),
  _xlpm.v, IFERROR(INDEX('3. Enter Indicator Scores'!$D$10:$CZ$161,_xlpm.r,_xlpm.c),""),
  IF(OR(_xlpm.w="",_xlpm.v=""),"",_xlpm.v*_xlpm.w)
)</f>
        <v/>
      </c>
      <c r="P109" s="93" t="str" cm="1">
        <f t="array" ref="P109">_xlfn.LET(
  _xlpm.w, P$11,
  _xlpm.r, MATCH(1,('3. Enter Indicator Scores'!$B$10:$B$161=$B109)*('3. Enter Indicator Scores'!$C$10:$C$161=$C109),0),
  _xlpm.c, MATCH(P$8,'3. Enter Indicator Scores'!$D$8:$CZ$8,0),
  _xlpm.v, IFERROR(INDEX('3. Enter Indicator Scores'!$D$10:$CZ$161,_xlpm.r,_xlpm.c),""),
  IF(OR(_xlpm.w="",_xlpm.v=""),"",_xlpm.v*_xlpm.w)
)</f>
        <v/>
      </c>
      <c r="Q109" s="93" t="str" cm="1">
        <f t="array" ref="Q109">_xlfn.LET(
  _xlpm.w, Q$11,
  _xlpm.r, MATCH(1,('3. Enter Indicator Scores'!$B$10:$B$161=$B109)*('3. Enter Indicator Scores'!$C$10:$C$161=$C109),0),
  _xlpm.c, MATCH(Q$8,'3. Enter Indicator Scores'!$D$8:$CZ$8,0),
  _xlpm.v, IFERROR(INDEX('3. Enter Indicator Scores'!$D$10:$CZ$161,_xlpm.r,_xlpm.c),""),
  IF(OR(_xlpm.w="",_xlpm.v=""),"",_xlpm.v*_xlpm.w)
)</f>
        <v/>
      </c>
      <c r="R109" s="93" t="str" cm="1">
        <f t="array" ref="R109">_xlfn.LET(
  _xlpm.w, R$11,
  _xlpm.r, MATCH(1,('3. Enter Indicator Scores'!$B$10:$B$161=$B109)*('3. Enter Indicator Scores'!$C$10:$C$161=$C109),0),
  _xlpm.c, MATCH(R$8,'3. Enter Indicator Scores'!$D$8:$CZ$8,0),
  _xlpm.v, IFERROR(INDEX('3. Enter Indicator Scores'!$D$10:$CZ$161,_xlpm.r,_xlpm.c),""),
  IF(OR(_xlpm.w="",_xlpm.v=""),"",_xlpm.v*_xlpm.w)
)</f>
        <v/>
      </c>
      <c r="S109" s="93" t="str" cm="1">
        <f t="array" ref="S109">_xlfn.LET(
  _xlpm.w, S$11,
  _xlpm.r, MATCH(1,('3. Enter Indicator Scores'!$B$10:$B$161=$B109)*('3. Enter Indicator Scores'!$C$10:$C$161=$C109),0),
  _xlpm.c, MATCH(S$8,'3. Enter Indicator Scores'!$D$8:$CZ$8,0),
  _xlpm.v, IFERROR(INDEX('3. Enter Indicator Scores'!$D$10:$CZ$161,_xlpm.r,_xlpm.c),""),
  IF(OR(_xlpm.w="",_xlpm.v=""),"",_xlpm.v*_xlpm.w)
)</f>
        <v/>
      </c>
      <c r="T109" s="93" t="str" cm="1">
        <f t="array" ref="T109">_xlfn.LET(
  _xlpm.w, T$11,
  _xlpm.r, MATCH(1,('3. Enter Indicator Scores'!$B$10:$B$161=$B109)*('3. Enter Indicator Scores'!$C$10:$C$161=$C109),0),
  _xlpm.c, MATCH(T$8,'3. Enter Indicator Scores'!$D$8:$CZ$8,0),
  _xlpm.v, IFERROR(INDEX('3. Enter Indicator Scores'!$D$10:$CZ$161,_xlpm.r,_xlpm.c),""),
  IF(OR(_xlpm.w="",_xlpm.v=""),"",_xlpm.v*_xlpm.w)
)</f>
        <v/>
      </c>
      <c r="U109" s="93" t="str" cm="1">
        <f t="array" ref="U109">_xlfn.LET(
  _xlpm.w, U$11,
  _xlpm.r, MATCH(1,('3. Enter Indicator Scores'!$B$10:$B$161=$B109)*('3. Enter Indicator Scores'!$C$10:$C$161=$C109),0),
  _xlpm.c, MATCH(U$8,'3. Enter Indicator Scores'!$D$8:$CZ$8,0),
  _xlpm.v, IFERROR(INDEX('3. Enter Indicator Scores'!$D$10:$CZ$161,_xlpm.r,_xlpm.c),""),
  IF(OR(_xlpm.w="",_xlpm.v=""),"",_xlpm.v*_xlpm.w)
)</f>
        <v/>
      </c>
      <c r="V109" s="93" t="str" cm="1">
        <f t="array" ref="V109">_xlfn.LET(
  _xlpm.w, V$11,
  _xlpm.r, MATCH(1,('3. Enter Indicator Scores'!$B$10:$B$161=$B109)*('3. Enter Indicator Scores'!$C$10:$C$161=$C109),0),
  _xlpm.c, MATCH(V$8,'3. Enter Indicator Scores'!$D$8:$CZ$8,0),
  _xlpm.v, IFERROR(INDEX('3. Enter Indicator Scores'!$D$10:$CZ$161,_xlpm.r,_xlpm.c),""),
  IF(OR(_xlpm.w="",_xlpm.v=""),"",_xlpm.v*_xlpm.w)
)</f>
        <v/>
      </c>
      <c r="W109" s="93" t="str" cm="1">
        <f t="array" ref="W109">_xlfn.LET(
  _xlpm.w, W$11,
  _xlpm.r, MATCH(1,('3. Enter Indicator Scores'!$B$10:$B$161=$B109)*('3. Enter Indicator Scores'!$C$10:$C$161=$C109),0),
  _xlpm.c, MATCH(W$8,'3. Enter Indicator Scores'!$D$8:$CZ$8,0),
  _xlpm.v, IFERROR(INDEX('3. Enter Indicator Scores'!$D$10:$CZ$161,_xlpm.r,_xlpm.c),""),
  IF(OR(_xlpm.w="",_xlpm.v=""),"",_xlpm.v*_xlpm.w)
)</f>
        <v/>
      </c>
      <c r="X109" s="93" t="str" cm="1">
        <f t="array" ref="X109">_xlfn.LET(
  _xlpm.w, X$11,
  _xlpm.r, MATCH(1,('3. Enter Indicator Scores'!$B$10:$B$161=$B109)*('3. Enter Indicator Scores'!$C$10:$C$161=$C109),0),
  _xlpm.c, MATCH(X$8,'3. Enter Indicator Scores'!$D$8:$CZ$8,0),
  _xlpm.v, IFERROR(INDEX('3. Enter Indicator Scores'!$D$10:$CZ$161,_xlpm.r,_xlpm.c),""),
  IF(OR(_xlpm.w="",_xlpm.v=""),"",_xlpm.v*_xlpm.w)
)</f>
        <v/>
      </c>
      <c r="Y109" s="93" t="str" cm="1">
        <f t="array" ref="Y109">_xlfn.LET(
  _xlpm.w, Y$11,
  _xlpm.r, MATCH(1,('3. Enter Indicator Scores'!$B$10:$B$161=$B109)*('3. Enter Indicator Scores'!$C$10:$C$161=$C109),0),
  _xlpm.c, MATCH(Y$8,'3. Enter Indicator Scores'!$D$8:$CZ$8,0),
  _xlpm.v, IFERROR(INDEX('3. Enter Indicator Scores'!$D$10:$CZ$161,_xlpm.r,_xlpm.c),""),
  IF(OR(_xlpm.w="",_xlpm.v=""),"",_xlpm.v*_xlpm.w)
)</f>
        <v/>
      </c>
      <c r="Z109" s="93" t="str" cm="1">
        <f t="array" ref="Z109">_xlfn.LET(
  _xlpm.w, Z$11,
  _xlpm.r, MATCH(1,('3. Enter Indicator Scores'!$B$10:$B$161=$B109)*('3. Enter Indicator Scores'!$C$10:$C$161=$C109),0),
  _xlpm.c, MATCH(Z$8,'3. Enter Indicator Scores'!$D$8:$CZ$8,0),
  _xlpm.v, IFERROR(INDEX('3. Enter Indicator Scores'!$D$10:$CZ$161,_xlpm.r,_xlpm.c),""),
  IF(OR(_xlpm.w="",_xlpm.v=""),"",_xlpm.v*_xlpm.w)
)</f>
        <v/>
      </c>
      <c r="AA109" s="93" t="str" cm="1">
        <f t="array" ref="AA109">_xlfn.LET(
  _xlpm.w, AA$11,
  _xlpm.r, MATCH(1,('3. Enter Indicator Scores'!$B$10:$B$161=$B109)*('3. Enter Indicator Scores'!$C$10:$C$161=$C109),0),
  _xlpm.c, MATCH(AA$8,'3. Enter Indicator Scores'!$D$8:$CZ$8,0),
  _xlpm.v, IFERROR(INDEX('3. Enter Indicator Scores'!$D$10:$CZ$161,_xlpm.r,_xlpm.c),""),
  IF(OR(_xlpm.w="",_xlpm.v=""),"",_xlpm.v*_xlpm.w)
)</f>
        <v/>
      </c>
      <c r="AB109" s="93" t="str" cm="1">
        <f t="array" ref="AB109">_xlfn.LET(
  _xlpm.w, AB$11,
  _xlpm.r, MATCH(1,('3. Enter Indicator Scores'!$B$10:$B$161=$B109)*('3. Enter Indicator Scores'!$C$10:$C$161=$C109),0),
  _xlpm.c, MATCH(AB$8,'3. Enter Indicator Scores'!$D$8:$CZ$8,0),
  _xlpm.v, IFERROR(INDEX('3. Enter Indicator Scores'!$D$10:$CZ$161,_xlpm.r,_xlpm.c),""),
  IF(OR(_xlpm.w="",_xlpm.v=""),"",_xlpm.v*_xlpm.w)
)</f>
        <v/>
      </c>
      <c r="AC109" s="93" t="str" cm="1">
        <f t="array" ref="AC109">_xlfn.LET(
  _xlpm.w, AC$11,
  _xlpm.r, MATCH(1,('3. Enter Indicator Scores'!$B$10:$B$161=$B109)*('3. Enter Indicator Scores'!$C$10:$C$161=$C109),0),
  _xlpm.c, MATCH(AC$8,'3. Enter Indicator Scores'!$D$8:$CZ$8,0),
  _xlpm.v, IFERROR(INDEX('3. Enter Indicator Scores'!$D$10:$CZ$161,_xlpm.r,_xlpm.c),""),
  IF(OR(_xlpm.w="",_xlpm.v=""),"",_xlpm.v*_xlpm.w)
)</f>
        <v/>
      </c>
      <c r="AD109" s="93" t="str" cm="1">
        <f t="array" ref="AD109">_xlfn.LET(
  _xlpm.w, AD$11,
  _xlpm.r, MATCH(1,('3. Enter Indicator Scores'!$B$10:$B$161=$B109)*('3. Enter Indicator Scores'!$C$10:$C$161=$C109),0),
  _xlpm.c, MATCH(AD$8,'3. Enter Indicator Scores'!$D$8:$CZ$8,0),
  _xlpm.v, IFERROR(INDEX('3. Enter Indicator Scores'!$D$10:$CZ$161,_xlpm.r,_xlpm.c),""),
  IF(OR(_xlpm.w="",_xlpm.v=""),"",_xlpm.v*_xlpm.w)
)</f>
        <v/>
      </c>
      <c r="AE109" s="93" t="str" cm="1">
        <f t="array" ref="AE109">_xlfn.LET(
  _xlpm.w, AE$11,
  _xlpm.r, MATCH(1,('3. Enter Indicator Scores'!$B$10:$B$161=$B109)*('3. Enter Indicator Scores'!$C$10:$C$161=$C109),0),
  _xlpm.c, MATCH(AE$8,'3. Enter Indicator Scores'!$D$8:$CZ$8,0),
  _xlpm.v, IFERROR(INDEX('3. Enter Indicator Scores'!$D$10:$CZ$161,_xlpm.r,_xlpm.c),""),
  IF(OR(_xlpm.w="",_xlpm.v=""),"",_xlpm.v*_xlpm.w)
)</f>
        <v/>
      </c>
      <c r="AF109" s="93" t="str" cm="1">
        <f t="array" ref="AF109">_xlfn.LET(
  _xlpm.w, AF$11,
  _xlpm.r, MATCH(1,('3. Enter Indicator Scores'!$B$10:$B$161=$B109)*('3. Enter Indicator Scores'!$C$10:$C$161=$C109),0),
  _xlpm.c, MATCH(AF$8,'3. Enter Indicator Scores'!$D$8:$CZ$8,0),
  _xlpm.v, IFERROR(INDEX('3. Enter Indicator Scores'!$D$10:$CZ$161,_xlpm.r,_xlpm.c),""),
  IF(OR(_xlpm.w="",_xlpm.v=""),"",_xlpm.v*_xlpm.w)
)</f>
        <v/>
      </c>
      <c r="AG109" s="93" t="str" cm="1">
        <f t="array" ref="AG109">_xlfn.LET(
  _xlpm.w, AG$11,
  _xlpm.r, MATCH(1,('3. Enter Indicator Scores'!$B$10:$B$161=$B109)*('3. Enter Indicator Scores'!$C$10:$C$161=$C109),0),
  _xlpm.c, MATCH(AG$8,'3. Enter Indicator Scores'!$D$8:$CZ$8,0),
  _xlpm.v, IFERROR(INDEX('3. Enter Indicator Scores'!$D$10:$CZ$161,_xlpm.r,_xlpm.c),""),
  IF(OR(_xlpm.w="",_xlpm.v=""),"",_xlpm.v*_xlpm.w)
)</f>
        <v/>
      </c>
      <c r="AH109" s="93" t="str" cm="1">
        <f t="array" ref="AH109">_xlfn.LET(
  _xlpm.w, AH$11,
  _xlpm.r, MATCH(1,('3. Enter Indicator Scores'!$B$10:$B$161=$B109)*('3. Enter Indicator Scores'!$C$10:$C$161=$C109),0),
  _xlpm.c, MATCH(AH$8,'3. Enter Indicator Scores'!$D$8:$CZ$8,0),
  _xlpm.v, IFERROR(INDEX('3. Enter Indicator Scores'!$D$10:$CZ$161,_xlpm.r,_xlpm.c),""),
  IF(OR(_xlpm.w="",_xlpm.v=""),"",_xlpm.v*_xlpm.w)
)</f>
        <v/>
      </c>
      <c r="AI109" s="93" t="str" cm="1">
        <f t="array" ref="AI109">_xlfn.LET(
  _xlpm.w, AI$11,
  _xlpm.r, MATCH(1,('3. Enter Indicator Scores'!$B$10:$B$161=$B109)*('3. Enter Indicator Scores'!$C$10:$C$161=$C109),0),
  _xlpm.c, MATCH(AI$8,'3. Enter Indicator Scores'!$D$8:$CZ$8,0),
  _xlpm.v, IFERROR(INDEX('3. Enter Indicator Scores'!$D$10:$CZ$161,_xlpm.r,_xlpm.c),""),
  IF(OR(_xlpm.w="",_xlpm.v=""),"",_xlpm.v*_xlpm.w)
)</f>
        <v/>
      </c>
      <c r="AJ109" s="93" t="str" cm="1">
        <f t="array" ref="AJ109">_xlfn.LET(
  _xlpm.w, AJ$11,
  _xlpm.r, MATCH(1,('3. Enter Indicator Scores'!$B$10:$B$161=$B109)*('3. Enter Indicator Scores'!$C$10:$C$161=$C109),0),
  _xlpm.c, MATCH(AJ$8,'3. Enter Indicator Scores'!$D$8:$CZ$8,0),
  _xlpm.v, IFERROR(INDEX('3. Enter Indicator Scores'!$D$10:$CZ$161,_xlpm.r,_xlpm.c),""),
  IF(OR(_xlpm.w="",_xlpm.v=""),"",_xlpm.v*_xlpm.w)
)</f>
        <v/>
      </c>
      <c r="AK109" s="93" t="str" cm="1">
        <f t="array" ref="AK109">_xlfn.LET(
  _xlpm.w, AK$11,
  _xlpm.r, MATCH(1,('3. Enter Indicator Scores'!$B$10:$B$161=$B109)*('3. Enter Indicator Scores'!$C$10:$C$161=$C109),0),
  _xlpm.c, MATCH(AK$8,'3. Enter Indicator Scores'!$D$8:$CZ$8,0),
  _xlpm.v, IFERROR(INDEX('3. Enter Indicator Scores'!$D$10:$CZ$161,_xlpm.r,_xlpm.c),""),
  IF(OR(_xlpm.w="",_xlpm.v=""),"",_xlpm.v*_xlpm.w)
)</f>
        <v/>
      </c>
      <c r="AL109" s="93" t="str" cm="1">
        <f t="array" ref="AL109">_xlfn.LET(
  _xlpm.w, AL$11,
  _xlpm.r, MATCH(1,('3. Enter Indicator Scores'!$B$10:$B$161=$B109)*('3. Enter Indicator Scores'!$C$10:$C$161=$C109),0),
  _xlpm.c, MATCH(AL$8,'3. Enter Indicator Scores'!$D$8:$CZ$8,0),
  _xlpm.v, IFERROR(INDEX('3. Enter Indicator Scores'!$D$10:$CZ$161,_xlpm.r,_xlpm.c),""),
  IF(OR(_xlpm.w="",_xlpm.v=""),"",_xlpm.v*_xlpm.w)
)</f>
        <v/>
      </c>
      <c r="AM109" s="93" t="str" cm="1">
        <f t="array" ref="AM109">_xlfn.LET(
  _xlpm.w, AM$11,
  _xlpm.r, MATCH(1,('3. Enter Indicator Scores'!$B$10:$B$161=$B109)*('3. Enter Indicator Scores'!$C$10:$C$161=$C109),0),
  _xlpm.c, MATCH(AM$8,'3. Enter Indicator Scores'!$D$8:$CZ$8,0),
  _xlpm.v, IFERROR(INDEX('3. Enter Indicator Scores'!$D$10:$CZ$161,_xlpm.r,_xlpm.c),""),
  IF(OR(_xlpm.w="",_xlpm.v=""),"",_xlpm.v*_xlpm.w)
)</f>
        <v/>
      </c>
      <c r="AN109" s="93" t="str" cm="1">
        <f t="array" ref="AN109">_xlfn.LET(
  _xlpm.w, AN$11,
  _xlpm.r, MATCH(1,('3. Enter Indicator Scores'!$B$10:$B$161=$B109)*('3. Enter Indicator Scores'!$C$10:$C$161=$C109),0),
  _xlpm.c, MATCH(AN$8,'3. Enter Indicator Scores'!$D$8:$CZ$8,0),
  _xlpm.v, IFERROR(INDEX('3. Enter Indicator Scores'!$D$10:$CZ$161,_xlpm.r,_xlpm.c),""),
  IF(OR(_xlpm.w="",_xlpm.v=""),"",_xlpm.v*_xlpm.w)
)</f>
        <v/>
      </c>
      <c r="AO109" s="93" t="str" cm="1">
        <f t="array" ref="AO109">_xlfn.LET(
  _xlpm.w, AO$11,
  _xlpm.r, MATCH(1,('3. Enter Indicator Scores'!$B$10:$B$161=$B109)*('3. Enter Indicator Scores'!$C$10:$C$161=$C109),0),
  _xlpm.c, MATCH(AO$8,'3. Enter Indicator Scores'!$D$8:$CZ$8,0),
  _xlpm.v, IFERROR(INDEX('3. Enter Indicator Scores'!$D$10:$CZ$161,_xlpm.r,_xlpm.c),""),
  IF(OR(_xlpm.w="",_xlpm.v=""),"",_xlpm.v*_xlpm.w)
)</f>
        <v/>
      </c>
      <c r="AP109" s="93" t="str" cm="1">
        <f t="array" ref="AP109">_xlfn.LET(
  _xlpm.w, AP$11,
  _xlpm.r, MATCH(1,('3. Enter Indicator Scores'!$B$10:$B$161=$B109)*('3. Enter Indicator Scores'!$C$10:$C$161=$C109),0),
  _xlpm.c, MATCH(AP$8,'3. Enter Indicator Scores'!$D$8:$CZ$8,0),
  _xlpm.v, IFERROR(INDEX('3. Enter Indicator Scores'!$D$10:$CZ$161,_xlpm.r,_xlpm.c),""),
  IF(OR(_xlpm.w="",_xlpm.v=""),"",_xlpm.v*_xlpm.w)
)</f>
        <v/>
      </c>
      <c r="AQ109" s="93" t="str" cm="1">
        <f t="array" ref="AQ109">_xlfn.LET(
  _xlpm.w, AQ$11,
  _xlpm.r, MATCH(1,('3. Enter Indicator Scores'!$B$10:$B$161=$B109)*('3. Enter Indicator Scores'!$C$10:$C$161=$C109),0),
  _xlpm.c, MATCH(AQ$8,'3. Enter Indicator Scores'!$D$8:$CZ$8,0),
  _xlpm.v, IFERROR(INDEX('3. Enter Indicator Scores'!$D$10:$CZ$161,_xlpm.r,_xlpm.c),""),
  IF(OR(_xlpm.w="",_xlpm.v=""),"",_xlpm.v*_xlpm.w)
)</f>
        <v/>
      </c>
      <c r="AR109" s="93" t="str" cm="1">
        <f t="array" ref="AR109">_xlfn.LET(
  _xlpm.w, AR$11,
  _xlpm.r, MATCH(1,('3. Enter Indicator Scores'!$B$10:$B$161=$B109)*('3. Enter Indicator Scores'!$C$10:$C$161=$C109),0),
  _xlpm.c, MATCH(AR$8,'3. Enter Indicator Scores'!$D$8:$CZ$8,0),
  _xlpm.v, IFERROR(INDEX('3. Enter Indicator Scores'!$D$10:$CZ$161,_xlpm.r,_xlpm.c),""),
  IF(OR(_xlpm.w="",_xlpm.v=""),"",_xlpm.v*_xlpm.w)
)</f>
        <v/>
      </c>
      <c r="AS109" s="93" t="str" cm="1">
        <f t="array" ref="AS109">_xlfn.LET(
  _xlpm.w, AS$11,
  _xlpm.r, MATCH(1,('3. Enter Indicator Scores'!$B$10:$B$161=$B109)*('3. Enter Indicator Scores'!$C$10:$C$161=$C109),0),
  _xlpm.c, MATCH(AS$8,'3. Enter Indicator Scores'!$D$8:$CZ$8,0),
  _xlpm.v, IFERROR(INDEX('3. Enter Indicator Scores'!$D$10:$CZ$161,_xlpm.r,_xlpm.c),""),
  IF(OR(_xlpm.w="",_xlpm.v=""),"",_xlpm.v*_xlpm.w)
)</f>
        <v/>
      </c>
      <c r="AT109" s="93" t="str" cm="1">
        <f t="array" ref="AT109">_xlfn.LET(
  _xlpm.w, AT$11,
  _xlpm.r, MATCH(1,('3. Enter Indicator Scores'!$B$10:$B$161=$B109)*('3. Enter Indicator Scores'!$C$10:$C$161=$C109),0),
  _xlpm.c, MATCH(AT$8,'3. Enter Indicator Scores'!$D$8:$CZ$8,0),
  _xlpm.v, IFERROR(INDEX('3. Enter Indicator Scores'!$D$10:$CZ$161,_xlpm.r,_xlpm.c),""),
  IF(OR(_xlpm.w="",_xlpm.v=""),"",_xlpm.v*_xlpm.w)
)</f>
        <v/>
      </c>
      <c r="AU109" s="93" t="str" cm="1">
        <f t="array" ref="AU109">_xlfn.LET(
  _xlpm.w, AU$11,
  _xlpm.r, MATCH(1,('3. Enter Indicator Scores'!$B$10:$B$161=$B109)*('3. Enter Indicator Scores'!$C$10:$C$161=$C109),0),
  _xlpm.c, MATCH(AU$8,'3. Enter Indicator Scores'!$D$8:$CZ$8,0),
  _xlpm.v, IFERROR(INDEX('3. Enter Indicator Scores'!$D$10:$CZ$161,_xlpm.r,_xlpm.c),""),
  IF(OR(_xlpm.w="",_xlpm.v=""),"",_xlpm.v*_xlpm.w)
)</f>
        <v/>
      </c>
      <c r="AV109" s="93" t="str" cm="1">
        <f t="array" ref="AV109">_xlfn.LET(
  _xlpm.w, AV$11,
  _xlpm.r, MATCH(1,('3. Enter Indicator Scores'!$B$10:$B$161=$B109)*('3. Enter Indicator Scores'!$C$10:$C$161=$C109),0),
  _xlpm.c, MATCH(AV$8,'3. Enter Indicator Scores'!$D$8:$CZ$8,0),
  _xlpm.v, IFERROR(INDEX('3. Enter Indicator Scores'!$D$10:$CZ$161,_xlpm.r,_xlpm.c),""),
  IF(OR(_xlpm.w="",_xlpm.v=""),"",_xlpm.v*_xlpm.w)
)</f>
        <v/>
      </c>
      <c r="AW109" s="93" t="str" cm="1">
        <f t="array" ref="AW109">_xlfn.LET(
  _xlpm.w, AW$11,
  _xlpm.r, MATCH(1,('3. Enter Indicator Scores'!$B$10:$B$161=$B109)*('3. Enter Indicator Scores'!$C$10:$C$161=$C109),0),
  _xlpm.c, MATCH(AW$8,'3. Enter Indicator Scores'!$D$8:$CZ$8,0),
  _xlpm.v, IFERROR(INDEX('3. Enter Indicator Scores'!$D$10:$CZ$161,_xlpm.r,_xlpm.c),""),
  IF(OR(_xlpm.w="",_xlpm.v=""),"",_xlpm.v*_xlpm.w)
)</f>
        <v/>
      </c>
      <c r="AX109" s="93" t="str" cm="1">
        <f t="array" ref="AX109">_xlfn.LET(
  _xlpm.w, AX$11,
  _xlpm.r, MATCH(1,('3. Enter Indicator Scores'!$B$10:$B$161=$B109)*('3. Enter Indicator Scores'!$C$10:$C$161=$C109),0),
  _xlpm.c, MATCH(AX$8,'3. Enter Indicator Scores'!$D$8:$CZ$8,0),
  _xlpm.v, IFERROR(INDEX('3. Enter Indicator Scores'!$D$10:$CZ$161,_xlpm.r,_xlpm.c),""),
  IF(OR(_xlpm.w="",_xlpm.v=""),"",_xlpm.v*_xlpm.w)
)</f>
        <v/>
      </c>
      <c r="AY109" s="93" t="str" cm="1">
        <f t="array" ref="AY109">_xlfn.LET(
  _xlpm.w, AY$11,
  _xlpm.r, MATCH(1,('3. Enter Indicator Scores'!$B$10:$B$161=$B109)*('3. Enter Indicator Scores'!$C$10:$C$161=$C109),0),
  _xlpm.c, MATCH(AY$8,'3. Enter Indicator Scores'!$D$8:$CZ$8,0),
  _xlpm.v, IFERROR(INDEX('3. Enter Indicator Scores'!$D$10:$CZ$161,_xlpm.r,_xlpm.c),""),
  IF(OR(_xlpm.w="",_xlpm.v=""),"",_xlpm.v*_xlpm.w)
)</f>
        <v/>
      </c>
      <c r="AZ109" s="93" t="str" cm="1">
        <f t="array" ref="AZ109">_xlfn.LET(
  _xlpm.w, AZ$11,
  _xlpm.r, MATCH(1,('3. Enter Indicator Scores'!$B$10:$B$161=$B109)*('3. Enter Indicator Scores'!$C$10:$C$161=$C109),0),
  _xlpm.c, MATCH(AZ$8,'3. Enter Indicator Scores'!$D$8:$CZ$8,0),
  _xlpm.v, IFERROR(INDEX('3. Enter Indicator Scores'!$D$10:$CZ$161,_xlpm.r,_xlpm.c),""),
  IF(OR(_xlpm.w="",_xlpm.v=""),"",_xlpm.v*_xlpm.w)
)</f>
        <v/>
      </c>
      <c r="BA109" s="93" t="str" cm="1">
        <f t="array" ref="BA109">_xlfn.LET(
  _xlpm.w, BA$11,
  _xlpm.r, MATCH(1,('3. Enter Indicator Scores'!$B$10:$B$161=$B109)*('3. Enter Indicator Scores'!$C$10:$C$161=$C109),0),
  _xlpm.c, MATCH(BA$8,'3. Enter Indicator Scores'!$D$8:$CZ$8,0),
  _xlpm.v, IFERROR(INDEX('3. Enter Indicator Scores'!$D$10:$CZ$161,_xlpm.r,_xlpm.c),""),
  IF(OR(_xlpm.w="",_xlpm.v=""),"",_xlpm.v*_xlpm.w)
)</f>
        <v/>
      </c>
      <c r="BB109" s="93" t="str" cm="1">
        <f t="array" ref="BB109">_xlfn.LET(
  _xlpm.w, BB$11,
  _xlpm.r, MATCH(1,('3. Enter Indicator Scores'!$B$10:$B$161=$B109)*('3. Enter Indicator Scores'!$C$10:$C$161=$C109),0),
  _xlpm.c, MATCH(BB$8,'3. Enter Indicator Scores'!$D$8:$CZ$8,0),
  _xlpm.v, IFERROR(INDEX('3. Enter Indicator Scores'!$D$10:$CZ$161,_xlpm.r,_xlpm.c),""),
  IF(OR(_xlpm.w="",_xlpm.v=""),"",_xlpm.v*_xlpm.w)
)</f>
        <v/>
      </c>
      <c r="BC109" s="93" t="str" cm="1">
        <f t="array" ref="BC109">_xlfn.LET(
  _xlpm.w, BC$11,
  _xlpm.r, MATCH(1,('3. Enter Indicator Scores'!$B$10:$B$161=$B109)*('3. Enter Indicator Scores'!$C$10:$C$161=$C109),0),
  _xlpm.c, MATCH(BC$8,'3. Enter Indicator Scores'!$D$8:$CZ$8,0),
  _xlpm.v, IFERROR(INDEX('3. Enter Indicator Scores'!$D$10:$CZ$161,_xlpm.r,_xlpm.c),""),
  IF(OR(_xlpm.w="",_xlpm.v=""),"",_xlpm.v*_xlpm.w)
)</f>
        <v/>
      </c>
      <c r="BD109" s="93" t="str" cm="1">
        <f t="array" ref="BD109">_xlfn.LET(
  _xlpm.w, BD$11,
  _xlpm.r, MATCH(1,('3. Enter Indicator Scores'!$B$10:$B$161=$B109)*('3. Enter Indicator Scores'!$C$10:$C$161=$C109),0),
  _xlpm.c, MATCH(BD$8,'3. Enter Indicator Scores'!$D$8:$CZ$8,0),
  _xlpm.v, IFERROR(INDEX('3. Enter Indicator Scores'!$D$10:$CZ$161,_xlpm.r,_xlpm.c),""),
  IF(OR(_xlpm.w="",_xlpm.v=""),"",_xlpm.v*_xlpm.w)
)</f>
        <v/>
      </c>
      <c r="BE109" s="93" t="str" cm="1">
        <f t="array" ref="BE109">_xlfn.LET(
  _xlpm.w, BE$11,
  _xlpm.r, MATCH(1,('3. Enter Indicator Scores'!$B$10:$B$161=$B109)*('3. Enter Indicator Scores'!$C$10:$C$161=$C109),0),
  _xlpm.c, MATCH(BE$8,'3. Enter Indicator Scores'!$D$8:$CZ$8,0),
  _xlpm.v, IFERROR(INDEX('3. Enter Indicator Scores'!$D$10:$CZ$161,_xlpm.r,_xlpm.c),""),
  IF(OR(_xlpm.w="",_xlpm.v=""),"",_xlpm.v*_xlpm.w)
)</f>
        <v/>
      </c>
      <c r="BF109" s="93" t="str" cm="1">
        <f t="array" ref="BF109">_xlfn.LET(
  _xlpm.w, BF$11,
  _xlpm.r, MATCH(1,('3. Enter Indicator Scores'!$B$10:$B$161=$B109)*('3. Enter Indicator Scores'!$C$10:$C$161=$C109),0),
  _xlpm.c, MATCH(BF$8,'3. Enter Indicator Scores'!$D$8:$CZ$8,0),
  _xlpm.v, IFERROR(INDEX('3. Enter Indicator Scores'!$D$10:$CZ$161,_xlpm.r,_xlpm.c),""),
  IF(OR(_xlpm.w="",_xlpm.v=""),"",_xlpm.v*_xlpm.w)
)</f>
        <v/>
      </c>
      <c r="BG109" s="93" t="str" cm="1">
        <f t="array" ref="BG109">_xlfn.LET(
  _xlpm.w, BG$11,
  _xlpm.r, MATCH(1,('3. Enter Indicator Scores'!$B$10:$B$161=$B109)*('3. Enter Indicator Scores'!$C$10:$C$161=$C109),0),
  _xlpm.c, MATCH(BG$8,'3. Enter Indicator Scores'!$D$8:$CZ$8,0),
  _xlpm.v, IFERROR(INDEX('3. Enter Indicator Scores'!$D$10:$CZ$161,_xlpm.r,_xlpm.c),""),
  IF(OR(_xlpm.w="",_xlpm.v=""),"",_xlpm.v*_xlpm.w)
)</f>
        <v/>
      </c>
      <c r="BH109" s="93" t="str" cm="1">
        <f t="array" ref="BH109">_xlfn.LET(
  _xlpm.w, BH$11,
  _xlpm.r, MATCH(1,('3. Enter Indicator Scores'!$B$10:$B$161=$B109)*('3. Enter Indicator Scores'!$C$10:$C$161=$C109),0),
  _xlpm.c, MATCH(BH$8,'3. Enter Indicator Scores'!$D$8:$CZ$8,0),
  _xlpm.v, IFERROR(INDEX('3. Enter Indicator Scores'!$D$10:$CZ$161,_xlpm.r,_xlpm.c),""),
  IF(OR(_xlpm.w="",_xlpm.v=""),"",_xlpm.v*_xlpm.w)
)</f>
        <v/>
      </c>
      <c r="BI109" s="93" t="str" cm="1">
        <f t="array" ref="BI109">_xlfn.LET(
  _xlpm.w, BI$11,
  _xlpm.r, MATCH(1,('3. Enter Indicator Scores'!$B$10:$B$161=$B109)*('3. Enter Indicator Scores'!$C$10:$C$161=$C109),0),
  _xlpm.c, MATCH(BI$8,'3. Enter Indicator Scores'!$D$8:$CZ$8,0),
  _xlpm.v, IFERROR(INDEX('3. Enter Indicator Scores'!$D$10:$CZ$161,_xlpm.r,_xlpm.c),""),
  IF(OR(_xlpm.w="",_xlpm.v=""),"",_xlpm.v*_xlpm.w)
)</f>
        <v/>
      </c>
      <c r="BJ109" s="93" t="str" cm="1">
        <f t="array" ref="BJ109">_xlfn.LET(
  _xlpm.w, BJ$11,
  _xlpm.r, MATCH(1,('3. Enter Indicator Scores'!$B$10:$B$161=$B109)*('3. Enter Indicator Scores'!$C$10:$C$161=$C109),0),
  _xlpm.c, MATCH(BJ$8,'3. Enter Indicator Scores'!$D$8:$CZ$8,0),
  _xlpm.v, IFERROR(INDEX('3. Enter Indicator Scores'!$D$10:$CZ$161,_xlpm.r,_xlpm.c),""),
  IF(OR(_xlpm.w="",_xlpm.v=""),"",_xlpm.v*_xlpm.w)
)</f>
        <v/>
      </c>
      <c r="BK109" s="93" t="str" cm="1">
        <f t="array" ref="BK109">_xlfn.LET(
  _xlpm.w, BK$11,
  _xlpm.r, MATCH(1,('3. Enter Indicator Scores'!$B$10:$B$161=$B109)*('3. Enter Indicator Scores'!$C$10:$C$161=$C109),0),
  _xlpm.c, MATCH(BK$8,'3. Enter Indicator Scores'!$D$8:$CZ$8,0),
  _xlpm.v, IFERROR(INDEX('3. Enter Indicator Scores'!$D$10:$CZ$161,_xlpm.r,_xlpm.c),""),
  IF(OR(_xlpm.w="",_xlpm.v=""),"",_xlpm.v*_xlpm.w)
)</f>
        <v/>
      </c>
      <c r="BL109" s="93" t="str" cm="1">
        <f t="array" ref="BL109">_xlfn.LET(
  _xlpm.w, BL$11,
  _xlpm.r, MATCH(1,('3. Enter Indicator Scores'!$B$10:$B$161=$B109)*('3. Enter Indicator Scores'!$C$10:$C$161=$C109),0),
  _xlpm.c, MATCH(BL$8,'3. Enter Indicator Scores'!$D$8:$CZ$8,0),
  _xlpm.v, IFERROR(INDEX('3. Enter Indicator Scores'!$D$10:$CZ$161,_xlpm.r,_xlpm.c),""),
  IF(OR(_xlpm.w="",_xlpm.v=""),"",_xlpm.v*_xlpm.w)
)</f>
        <v/>
      </c>
      <c r="BM109" s="93" t="str" cm="1">
        <f t="array" ref="BM109">_xlfn.LET(
  _xlpm.w, BM$11,
  _xlpm.r, MATCH(1,('3. Enter Indicator Scores'!$B$10:$B$161=$B109)*('3. Enter Indicator Scores'!$C$10:$C$161=$C109),0),
  _xlpm.c, MATCH(BM$8,'3. Enter Indicator Scores'!$D$8:$CZ$8,0),
  _xlpm.v, IFERROR(INDEX('3. Enter Indicator Scores'!$D$10:$CZ$161,_xlpm.r,_xlpm.c),""),
  IF(OR(_xlpm.w="",_xlpm.v=""),"",_xlpm.v*_xlpm.w)
)</f>
        <v/>
      </c>
      <c r="BN109" s="93" t="str" cm="1">
        <f t="array" ref="BN109">_xlfn.LET(
  _xlpm.w, BN$11,
  _xlpm.r, MATCH(1,('3. Enter Indicator Scores'!$B$10:$B$161=$B109)*('3. Enter Indicator Scores'!$C$10:$C$161=$C109),0),
  _xlpm.c, MATCH(BN$8,'3. Enter Indicator Scores'!$D$8:$CZ$8,0),
  _xlpm.v, IFERROR(INDEX('3. Enter Indicator Scores'!$D$10:$CZ$161,_xlpm.r,_xlpm.c),""),
  IF(OR(_xlpm.w="",_xlpm.v=""),"",_xlpm.v*_xlpm.w)
)</f>
        <v/>
      </c>
      <c r="BO109" s="93" t="str" cm="1">
        <f t="array" ref="BO109">_xlfn.LET(
  _xlpm.w, BO$11,
  _xlpm.r, MATCH(1,('3. Enter Indicator Scores'!$B$10:$B$161=$B109)*('3. Enter Indicator Scores'!$C$10:$C$161=$C109),0),
  _xlpm.c, MATCH(BO$8,'3. Enter Indicator Scores'!$D$8:$CZ$8,0),
  _xlpm.v, IFERROR(INDEX('3. Enter Indicator Scores'!$D$10:$CZ$161,_xlpm.r,_xlpm.c),""),
  IF(OR(_xlpm.w="",_xlpm.v=""),"",_xlpm.v*_xlpm.w)
)</f>
        <v/>
      </c>
      <c r="BP109" s="93" t="str" cm="1">
        <f t="array" ref="BP109">_xlfn.LET(
  _xlpm.w, BP$11,
  _xlpm.r, MATCH(1,('3. Enter Indicator Scores'!$B$10:$B$161=$B109)*('3. Enter Indicator Scores'!$C$10:$C$161=$C109),0),
  _xlpm.c, MATCH(BP$8,'3. Enter Indicator Scores'!$D$8:$CZ$8,0),
  _xlpm.v, IFERROR(INDEX('3. Enter Indicator Scores'!$D$10:$CZ$161,_xlpm.r,_xlpm.c),""),
  IF(OR(_xlpm.w="",_xlpm.v=""),"",_xlpm.v*_xlpm.w)
)</f>
        <v/>
      </c>
      <c r="BQ109" s="93" t="str" cm="1">
        <f t="array" ref="BQ109">_xlfn.LET(
  _xlpm.w, BQ$11,
  _xlpm.r, MATCH(1,('3. Enter Indicator Scores'!$B$10:$B$161=$B109)*('3. Enter Indicator Scores'!$C$10:$C$161=$C109),0),
  _xlpm.c, MATCH(BQ$8,'3. Enter Indicator Scores'!$D$8:$CZ$8,0),
  _xlpm.v, IFERROR(INDEX('3. Enter Indicator Scores'!$D$10:$CZ$161,_xlpm.r,_xlpm.c),""),
  IF(OR(_xlpm.w="",_xlpm.v=""),"",_xlpm.v*_xlpm.w)
)</f>
        <v/>
      </c>
      <c r="BR109" s="93" t="str" cm="1">
        <f t="array" ref="BR109">_xlfn.LET(
  _xlpm.w, BR$11,
  _xlpm.r, MATCH(1,('3. Enter Indicator Scores'!$B$10:$B$161=$B109)*('3. Enter Indicator Scores'!$C$10:$C$161=$C109),0),
  _xlpm.c, MATCH(BR$8,'3. Enter Indicator Scores'!$D$8:$CZ$8,0),
  _xlpm.v, IFERROR(INDEX('3. Enter Indicator Scores'!$D$10:$CZ$161,_xlpm.r,_xlpm.c),""),
  IF(OR(_xlpm.w="",_xlpm.v=""),"",_xlpm.v*_xlpm.w)
)</f>
        <v/>
      </c>
      <c r="BS109" s="93" t="str" cm="1">
        <f t="array" ref="BS109">_xlfn.LET(
  _xlpm.w, BS$11,
  _xlpm.r, MATCH(1,('3. Enter Indicator Scores'!$B$10:$B$161=$B109)*('3. Enter Indicator Scores'!$C$10:$C$161=$C109),0),
  _xlpm.c, MATCH(BS$8,'3. Enter Indicator Scores'!$D$8:$CZ$8,0),
  _xlpm.v, IFERROR(INDEX('3. Enter Indicator Scores'!$D$10:$CZ$161,_xlpm.r,_xlpm.c),""),
  IF(OR(_xlpm.w="",_xlpm.v=""),"",_xlpm.v*_xlpm.w)
)</f>
        <v/>
      </c>
      <c r="BT109" s="93" t="str" cm="1">
        <f t="array" ref="BT109">_xlfn.LET(
  _xlpm.w, BT$11,
  _xlpm.r, MATCH(1,('3. Enter Indicator Scores'!$B$10:$B$161=$B109)*('3. Enter Indicator Scores'!$C$10:$C$161=$C109),0),
  _xlpm.c, MATCH(BT$8,'3. Enter Indicator Scores'!$D$8:$CZ$8,0),
  _xlpm.v, IFERROR(INDEX('3. Enter Indicator Scores'!$D$10:$CZ$161,_xlpm.r,_xlpm.c),""),
  IF(OR(_xlpm.w="",_xlpm.v=""),"",_xlpm.v*_xlpm.w)
)</f>
        <v/>
      </c>
      <c r="BU109" s="93" t="str" cm="1">
        <f t="array" ref="BU109">_xlfn.LET(
  _xlpm.w, BU$11,
  _xlpm.r, MATCH(1,('3. Enter Indicator Scores'!$B$10:$B$161=$B109)*('3. Enter Indicator Scores'!$C$10:$C$161=$C109),0),
  _xlpm.c, MATCH(BU$8,'3. Enter Indicator Scores'!$D$8:$CZ$8,0),
  _xlpm.v, IFERROR(INDEX('3. Enter Indicator Scores'!$D$10:$CZ$161,_xlpm.r,_xlpm.c),""),
  IF(OR(_xlpm.w="",_xlpm.v=""),"",_xlpm.v*_xlpm.w)
)</f>
        <v/>
      </c>
      <c r="BV109" s="93" t="str" cm="1">
        <f t="array" ref="BV109">_xlfn.LET(
  _xlpm.w, BV$11,
  _xlpm.r, MATCH(1,('3. Enter Indicator Scores'!$B$10:$B$161=$B109)*('3. Enter Indicator Scores'!$C$10:$C$161=$C109),0),
  _xlpm.c, MATCH(BV$8,'3. Enter Indicator Scores'!$D$8:$CZ$8,0),
  _xlpm.v, IFERROR(INDEX('3. Enter Indicator Scores'!$D$10:$CZ$161,_xlpm.r,_xlpm.c),""),
  IF(OR(_xlpm.w="",_xlpm.v=""),"",_xlpm.v*_xlpm.w)
)</f>
        <v/>
      </c>
      <c r="BW109" s="93" t="str" cm="1">
        <f t="array" ref="BW109">_xlfn.LET(
  _xlpm.w, BW$11,
  _xlpm.r, MATCH(1,('3. Enter Indicator Scores'!$B$10:$B$161=$B109)*('3. Enter Indicator Scores'!$C$10:$C$161=$C109),0),
  _xlpm.c, MATCH(BW$8,'3. Enter Indicator Scores'!$D$8:$CZ$8,0),
  _xlpm.v, IFERROR(INDEX('3. Enter Indicator Scores'!$D$10:$CZ$161,_xlpm.r,_xlpm.c),""),
  IF(OR(_xlpm.w="",_xlpm.v=""),"",_xlpm.v*_xlpm.w)
)</f>
        <v/>
      </c>
      <c r="BX109" s="93" t="str" cm="1">
        <f t="array" ref="BX109">_xlfn.LET(
  _xlpm.w, BX$11,
  _xlpm.r, MATCH(1,('3. Enter Indicator Scores'!$B$10:$B$161=$B109)*('3. Enter Indicator Scores'!$C$10:$C$161=$C109),0),
  _xlpm.c, MATCH(BX$8,'3. Enter Indicator Scores'!$D$8:$CZ$8,0),
  _xlpm.v, IFERROR(INDEX('3. Enter Indicator Scores'!$D$10:$CZ$161,_xlpm.r,_xlpm.c),""),
  IF(OR(_xlpm.w="",_xlpm.v=""),"",_xlpm.v*_xlpm.w)
)</f>
        <v/>
      </c>
      <c r="BY109" s="93" t="str" cm="1">
        <f t="array" ref="BY109">_xlfn.LET(
  _xlpm.w, BY$11,
  _xlpm.r, MATCH(1,('3. Enter Indicator Scores'!$B$10:$B$161=$B109)*('3. Enter Indicator Scores'!$C$10:$C$161=$C109),0),
  _xlpm.c, MATCH(BY$8,'3. Enter Indicator Scores'!$D$8:$CZ$8,0),
  _xlpm.v, IFERROR(INDEX('3. Enter Indicator Scores'!$D$10:$CZ$161,_xlpm.r,_xlpm.c),""),
  IF(OR(_xlpm.w="",_xlpm.v=""),"",_xlpm.v*_xlpm.w)
)</f>
        <v/>
      </c>
      <c r="BZ109" s="93" t="str" cm="1">
        <f t="array" ref="BZ109">_xlfn.LET(
  _xlpm.w, BZ$11,
  _xlpm.r, MATCH(1,('3. Enter Indicator Scores'!$B$10:$B$161=$B109)*('3. Enter Indicator Scores'!$C$10:$C$161=$C109),0),
  _xlpm.c, MATCH(BZ$8,'3. Enter Indicator Scores'!$D$8:$CZ$8,0),
  _xlpm.v, IFERROR(INDEX('3. Enter Indicator Scores'!$D$10:$CZ$161,_xlpm.r,_xlpm.c),""),
  IF(OR(_xlpm.w="",_xlpm.v=""),"",_xlpm.v*_xlpm.w)
)</f>
        <v/>
      </c>
      <c r="CA109" s="93" t="str" cm="1">
        <f t="array" ref="CA109">_xlfn.LET(
  _xlpm.w, CA$11,
  _xlpm.r, MATCH(1,('3. Enter Indicator Scores'!$B$10:$B$161=$B109)*('3. Enter Indicator Scores'!$C$10:$C$161=$C109),0),
  _xlpm.c, MATCH(CA$8,'3. Enter Indicator Scores'!$D$8:$CZ$8,0),
  _xlpm.v, IFERROR(INDEX('3. Enter Indicator Scores'!$D$10:$CZ$161,_xlpm.r,_xlpm.c),""),
  IF(OR(_xlpm.w="",_xlpm.v=""),"",_xlpm.v*_xlpm.w)
)</f>
        <v/>
      </c>
      <c r="CB109" s="93" t="str" cm="1">
        <f t="array" ref="CB109">_xlfn.LET(
  _xlpm.w, CB$11,
  _xlpm.r, MATCH(1,('3. Enter Indicator Scores'!$B$10:$B$161=$B109)*('3. Enter Indicator Scores'!$C$10:$C$161=$C109),0),
  _xlpm.c, MATCH(CB$8,'3. Enter Indicator Scores'!$D$8:$CZ$8,0),
  _xlpm.v, IFERROR(INDEX('3. Enter Indicator Scores'!$D$10:$CZ$161,_xlpm.r,_xlpm.c),""),
  IF(OR(_xlpm.w="",_xlpm.v=""),"",_xlpm.v*_xlpm.w)
)</f>
        <v/>
      </c>
      <c r="CC109" s="93" t="str" cm="1">
        <f t="array" ref="CC109">_xlfn.LET(
  _xlpm.w, CC$11,
  _xlpm.r, MATCH(1,('3. Enter Indicator Scores'!$B$10:$B$161=$B109)*('3. Enter Indicator Scores'!$C$10:$C$161=$C109),0),
  _xlpm.c, MATCH(CC$8,'3. Enter Indicator Scores'!$D$8:$CZ$8,0),
  _xlpm.v, IFERROR(INDEX('3. Enter Indicator Scores'!$D$10:$CZ$161,_xlpm.r,_xlpm.c),""),
  IF(OR(_xlpm.w="",_xlpm.v=""),"",_xlpm.v*_xlpm.w)
)</f>
        <v/>
      </c>
      <c r="CD109" s="93" t="str" cm="1">
        <f t="array" ref="CD109">_xlfn.LET(
  _xlpm.w, CD$11,
  _xlpm.r, MATCH(1,('3. Enter Indicator Scores'!$B$10:$B$161=$B109)*('3. Enter Indicator Scores'!$C$10:$C$161=$C109),0),
  _xlpm.c, MATCH(CD$8,'3. Enter Indicator Scores'!$D$8:$CZ$8,0),
  _xlpm.v, IFERROR(INDEX('3. Enter Indicator Scores'!$D$10:$CZ$161,_xlpm.r,_xlpm.c),""),
  IF(OR(_xlpm.w="",_xlpm.v=""),"",_xlpm.v*_xlpm.w)
)</f>
        <v/>
      </c>
      <c r="CE109" s="93" t="str" cm="1">
        <f t="array" ref="CE109">_xlfn.LET(
  _xlpm.w, CE$11,
  _xlpm.r, MATCH(1,('3. Enter Indicator Scores'!$B$10:$B$161=$B109)*('3. Enter Indicator Scores'!$C$10:$C$161=$C109),0),
  _xlpm.c, MATCH(CE$8,'3. Enter Indicator Scores'!$D$8:$CZ$8,0),
  _xlpm.v, IFERROR(INDEX('3. Enter Indicator Scores'!$D$10:$CZ$161,_xlpm.r,_xlpm.c),""),
  IF(OR(_xlpm.w="",_xlpm.v=""),"",_xlpm.v*_xlpm.w)
)</f>
        <v/>
      </c>
      <c r="CF109" s="93" t="str" cm="1">
        <f t="array" ref="CF109">_xlfn.LET(
  _xlpm.w, CF$11,
  _xlpm.r, MATCH(1,('3. Enter Indicator Scores'!$B$10:$B$161=$B109)*('3. Enter Indicator Scores'!$C$10:$C$161=$C109),0),
  _xlpm.c, MATCH(CF$8,'3. Enter Indicator Scores'!$D$8:$CZ$8,0),
  _xlpm.v, IFERROR(INDEX('3. Enter Indicator Scores'!$D$10:$CZ$161,_xlpm.r,_xlpm.c),""),
  IF(OR(_xlpm.w="",_xlpm.v=""),"",_xlpm.v*_xlpm.w)
)</f>
        <v/>
      </c>
      <c r="CG109" s="93" t="str" cm="1">
        <f t="array" ref="CG109">_xlfn.LET(
  _xlpm.w, CG$11,
  _xlpm.r, MATCH(1,('3. Enter Indicator Scores'!$B$10:$B$161=$B109)*('3. Enter Indicator Scores'!$C$10:$C$161=$C109),0),
  _xlpm.c, MATCH(CG$8,'3. Enter Indicator Scores'!$D$8:$CZ$8,0),
  _xlpm.v, IFERROR(INDEX('3. Enter Indicator Scores'!$D$10:$CZ$161,_xlpm.r,_xlpm.c),""),
  IF(OR(_xlpm.w="",_xlpm.v=""),"",_xlpm.v*_xlpm.w)
)</f>
        <v/>
      </c>
      <c r="CH109" s="93" t="str" cm="1">
        <f t="array" ref="CH109">_xlfn.LET(
  _xlpm.w, CH$11,
  _xlpm.r, MATCH(1,('3. Enter Indicator Scores'!$B$10:$B$161=$B109)*('3. Enter Indicator Scores'!$C$10:$C$161=$C109),0),
  _xlpm.c, MATCH(CH$8,'3. Enter Indicator Scores'!$D$8:$CZ$8,0),
  _xlpm.v, IFERROR(INDEX('3. Enter Indicator Scores'!$D$10:$CZ$161,_xlpm.r,_xlpm.c),""),
  IF(OR(_xlpm.w="",_xlpm.v=""),"",_xlpm.v*_xlpm.w)
)</f>
        <v/>
      </c>
      <c r="CI109" s="93" t="str" cm="1">
        <f t="array" ref="CI109">_xlfn.LET(
  _xlpm.w, CI$11,
  _xlpm.r, MATCH(1,('3. Enter Indicator Scores'!$B$10:$B$161=$B109)*('3. Enter Indicator Scores'!$C$10:$C$161=$C109),0),
  _xlpm.c, MATCH(CI$8,'3. Enter Indicator Scores'!$D$8:$CZ$8,0),
  _xlpm.v, IFERROR(INDEX('3. Enter Indicator Scores'!$D$10:$CZ$161,_xlpm.r,_xlpm.c),""),
  IF(OR(_xlpm.w="",_xlpm.v=""),"",_xlpm.v*_xlpm.w)
)</f>
        <v/>
      </c>
      <c r="CJ109" s="93" t="str" cm="1">
        <f t="array" ref="CJ109">_xlfn.LET(
  _xlpm.w, CJ$11,
  _xlpm.r, MATCH(1,('3. Enter Indicator Scores'!$B$10:$B$161=$B109)*('3. Enter Indicator Scores'!$C$10:$C$161=$C109),0),
  _xlpm.c, MATCH(CJ$8,'3. Enter Indicator Scores'!$D$8:$CZ$8,0),
  _xlpm.v, IFERROR(INDEX('3. Enter Indicator Scores'!$D$10:$CZ$161,_xlpm.r,_xlpm.c),""),
  IF(OR(_xlpm.w="",_xlpm.v=""),"",_xlpm.v*_xlpm.w)
)</f>
        <v/>
      </c>
      <c r="CK109" s="93" t="str" cm="1">
        <f t="array" ref="CK109">_xlfn.LET(
  _xlpm.w, CK$11,
  _xlpm.r, MATCH(1,('3. Enter Indicator Scores'!$B$10:$B$161=$B109)*('3. Enter Indicator Scores'!$C$10:$C$161=$C109),0),
  _xlpm.c, MATCH(CK$8,'3. Enter Indicator Scores'!$D$8:$CZ$8,0),
  _xlpm.v, IFERROR(INDEX('3. Enter Indicator Scores'!$D$10:$CZ$161,_xlpm.r,_xlpm.c),""),
  IF(OR(_xlpm.w="",_xlpm.v=""),"",_xlpm.v*_xlpm.w)
)</f>
        <v/>
      </c>
      <c r="CL109" s="93" t="str" cm="1">
        <f t="array" ref="CL109">_xlfn.LET(
  _xlpm.w, CL$11,
  _xlpm.r, MATCH(1,('3. Enter Indicator Scores'!$B$10:$B$161=$B109)*('3. Enter Indicator Scores'!$C$10:$C$161=$C109),0),
  _xlpm.c, MATCH(CL$8,'3. Enter Indicator Scores'!$D$8:$CZ$8,0),
  _xlpm.v, IFERROR(INDEX('3. Enter Indicator Scores'!$D$10:$CZ$161,_xlpm.r,_xlpm.c),""),
  IF(OR(_xlpm.w="",_xlpm.v=""),"",_xlpm.v*_xlpm.w)
)</f>
        <v/>
      </c>
      <c r="CM109" s="93" t="str" cm="1">
        <f t="array" ref="CM109">_xlfn.LET(
  _xlpm.w, CM$11,
  _xlpm.r, MATCH(1,('3. Enter Indicator Scores'!$B$10:$B$161=$B109)*('3. Enter Indicator Scores'!$C$10:$C$161=$C109),0),
  _xlpm.c, MATCH(CM$8,'3. Enter Indicator Scores'!$D$8:$CZ$8,0),
  _xlpm.v, IFERROR(INDEX('3. Enter Indicator Scores'!$D$10:$CZ$161,_xlpm.r,_xlpm.c),""),
  IF(OR(_xlpm.w="",_xlpm.v=""),"",_xlpm.v*_xlpm.w)
)</f>
        <v/>
      </c>
      <c r="CN109" s="93" t="str" cm="1">
        <f t="array" ref="CN109">_xlfn.LET(
  _xlpm.w, CN$11,
  _xlpm.r, MATCH(1,('3. Enter Indicator Scores'!$B$10:$B$161=$B109)*('3. Enter Indicator Scores'!$C$10:$C$161=$C109),0),
  _xlpm.c, MATCH(CN$8,'3. Enter Indicator Scores'!$D$8:$CZ$8,0),
  _xlpm.v, IFERROR(INDEX('3. Enter Indicator Scores'!$D$10:$CZ$161,_xlpm.r,_xlpm.c),""),
  IF(OR(_xlpm.w="",_xlpm.v=""),"",_xlpm.v*_xlpm.w)
)</f>
        <v/>
      </c>
      <c r="CO109" s="93" t="str" cm="1">
        <f t="array" ref="CO109">_xlfn.LET(
  _xlpm.w, CO$11,
  _xlpm.r, MATCH(1,('3. Enter Indicator Scores'!$B$10:$B$161=$B109)*('3. Enter Indicator Scores'!$C$10:$C$161=$C109),0),
  _xlpm.c, MATCH(CO$8,'3. Enter Indicator Scores'!$D$8:$CZ$8,0),
  _xlpm.v, IFERROR(INDEX('3. Enter Indicator Scores'!$D$10:$CZ$161,_xlpm.r,_xlpm.c),""),
  IF(OR(_xlpm.w="",_xlpm.v=""),"",_xlpm.v*_xlpm.w)
)</f>
        <v/>
      </c>
      <c r="CP109" s="93" t="str" cm="1">
        <f t="array" ref="CP109">_xlfn.LET(
  _xlpm.w, CP$11,
  _xlpm.r, MATCH(1,('3. Enter Indicator Scores'!$B$10:$B$161=$B109)*('3. Enter Indicator Scores'!$C$10:$C$161=$C109),0),
  _xlpm.c, MATCH(CP$8,'3. Enter Indicator Scores'!$D$8:$CZ$8,0),
  _xlpm.v, IFERROR(INDEX('3. Enter Indicator Scores'!$D$10:$CZ$161,_xlpm.r,_xlpm.c),""),
  IF(OR(_xlpm.w="",_xlpm.v=""),"",_xlpm.v*_xlpm.w)
)</f>
        <v/>
      </c>
      <c r="CQ109" s="93" t="str" cm="1">
        <f t="array" ref="CQ109">_xlfn.LET(
  _xlpm.w, CQ$11,
  _xlpm.r, MATCH(1,('3. Enter Indicator Scores'!$B$10:$B$161=$B109)*('3. Enter Indicator Scores'!$C$10:$C$161=$C109),0),
  _xlpm.c, MATCH(CQ$8,'3. Enter Indicator Scores'!$D$8:$CZ$8,0),
  _xlpm.v, IFERROR(INDEX('3. Enter Indicator Scores'!$D$10:$CZ$161,_xlpm.r,_xlpm.c),""),
  IF(OR(_xlpm.w="",_xlpm.v=""),"",_xlpm.v*_xlpm.w)
)</f>
        <v/>
      </c>
      <c r="CR109" s="93" t="str" cm="1">
        <f t="array" ref="CR109">_xlfn.LET(
  _xlpm.w, CR$11,
  _xlpm.r, MATCH(1,('3. Enter Indicator Scores'!$B$10:$B$161=$B109)*('3. Enter Indicator Scores'!$C$10:$C$161=$C109),0),
  _xlpm.c, MATCH(CR$8,'3. Enter Indicator Scores'!$D$8:$CZ$8,0),
  _xlpm.v, IFERROR(INDEX('3. Enter Indicator Scores'!$D$10:$CZ$161,_xlpm.r,_xlpm.c),""),
  IF(OR(_xlpm.w="",_xlpm.v=""),"",_xlpm.v*_xlpm.w)
)</f>
        <v/>
      </c>
      <c r="CS109" s="93" t="str" cm="1">
        <f t="array" ref="CS109">_xlfn.LET(
  _xlpm.w, CS$11,
  _xlpm.r, MATCH(1,('3. Enter Indicator Scores'!$B$10:$B$161=$B109)*('3. Enter Indicator Scores'!$C$10:$C$161=$C109),0),
  _xlpm.c, MATCH(CS$8,'3. Enter Indicator Scores'!$D$8:$CZ$8,0),
  _xlpm.v, IFERROR(INDEX('3. Enter Indicator Scores'!$D$10:$CZ$161,_xlpm.r,_xlpm.c),""),
  IF(OR(_xlpm.w="",_xlpm.v=""),"",_xlpm.v*_xlpm.w)
)</f>
        <v/>
      </c>
      <c r="CT109" s="93" t="str" cm="1">
        <f t="array" ref="CT109">_xlfn.LET(
  _xlpm.w, CT$11,
  _xlpm.r, MATCH(1,('3. Enter Indicator Scores'!$B$10:$B$161=$B109)*('3. Enter Indicator Scores'!$C$10:$C$161=$C109),0),
  _xlpm.c, MATCH(CT$8,'3. Enter Indicator Scores'!$D$8:$CZ$8,0),
  _xlpm.v, IFERROR(INDEX('3. Enter Indicator Scores'!$D$10:$CZ$161,_xlpm.r,_xlpm.c),""),
  IF(OR(_xlpm.w="",_xlpm.v=""),"",_xlpm.v*_xlpm.w)
)</f>
        <v/>
      </c>
      <c r="CU109" s="93" t="str" cm="1">
        <f t="array" ref="CU109">_xlfn.LET(
  _xlpm.w, CU$11,
  _xlpm.r, MATCH(1,('3. Enter Indicator Scores'!$B$10:$B$161=$B109)*('3. Enter Indicator Scores'!$C$10:$C$161=$C109),0),
  _xlpm.c, MATCH(CU$8,'3. Enter Indicator Scores'!$D$8:$CZ$8,0),
  _xlpm.v, IFERROR(INDEX('3. Enter Indicator Scores'!$D$10:$CZ$161,_xlpm.r,_xlpm.c),""),
  IF(OR(_xlpm.w="",_xlpm.v=""),"",_xlpm.v*_xlpm.w)
)</f>
        <v/>
      </c>
      <c r="CV109" s="93" t="str" cm="1">
        <f t="array" ref="CV109">_xlfn.LET(
  _xlpm.w, CV$11,
  _xlpm.r, MATCH(1,('3. Enter Indicator Scores'!$B$10:$B$161=$B109)*('3. Enter Indicator Scores'!$C$10:$C$161=$C109),0),
  _xlpm.c, MATCH(CV$8,'3. Enter Indicator Scores'!$D$8:$CZ$8,0),
  _xlpm.v, IFERROR(INDEX('3. Enter Indicator Scores'!$D$10:$CZ$161,_xlpm.r,_xlpm.c),""),
  IF(OR(_xlpm.w="",_xlpm.v=""),"",_xlpm.v*_xlpm.w)
)</f>
        <v/>
      </c>
      <c r="CW109" s="93" t="str" cm="1">
        <f t="array" ref="CW109">_xlfn.LET(
  _xlpm.w, CW$11,
  _xlpm.r, MATCH(1,('3. Enter Indicator Scores'!$B$10:$B$161=$B109)*('3. Enter Indicator Scores'!$C$10:$C$161=$C109),0),
  _xlpm.c, MATCH(CW$8,'3. Enter Indicator Scores'!$D$8:$CZ$8,0),
  _xlpm.v, IFERROR(INDEX('3. Enter Indicator Scores'!$D$10:$CZ$161,_xlpm.r,_xlpm.c),""),
  IF(OR(_xlpm.w="",_xlpm.v=""),"",_xlpm.v*_xlpm.w)
)</f>
        <v/>
      </c>
      <c r="CX109" s="93" t="str" cm="1">
        <f t="array" ref="CX109">_xlfn.LET(
  _xlpm.w, CX$11,
  _xlpm.r, MATCH(1,('3. Enter Indicator Scores'!$B$10:$B$161=$B109)*('3. Enter Indicator Scores'!$C$10:$C$161=$C109),0),
  _xlpm.c, MATCH(CX$8,'3. Enter Indicator Scores'!$D$8:$CZ$8,0),
  _xlpm.v, IFERROR(INDEX('3. Enter Indicator Scores'!$D$10:$CZ$161,_xlpm.r,_xlpm.c),""),
  IF(OR(_xlpm.w="",_xlpm.v=""),"",_xlpm.v*_xlpm.w)
)</f>
        <v/>
      </c>
      <c r="CY109" s="93" t="str" cm="1">
        <f t="array" ref="CY109">_xlfn.LET(
  _xlpm.w, CY$11,
  _xlpm.r, MATCH(1,('3. Enter Indicator Scores'!$B$10:$B$161=$B109)*('3. Enter Indicator Scores'!$C$10:$C$161=$C109),0),
  _xlpm.c, MATCH(CY$8,'3. Enter Indicator Scores'!$D$8:$CZ$8,0),
  _xlpm.v, IFERROR(INDEX('3. Enter Indicator Scores'!$D$10:$CZ$161,_xlpm.r,_xlpm.c),""),
  IF(OR(_xlpm.w="",_xlpm.v=""),"",_xlpm.v*_xlpm.w)
)</f>
        <v/>
      </c>
      <c r="CZ109" s="93" t="str" cm="1">
        <f t="array" ref="CZ109">_xlfn.LET(
  _xlpm.w, CZ$11,
  _xlpm.r, MATCH(1,('3. Enter Indicator Scores'!$B$10:$B$161=$B109)*('3. Enter Indicator Scores'!$C$10:$C$161=$C109),0),
  _xlpm.c, MATCH(CZ$8,'3. Enter Indicator Scores'!$D$8:$CZ$8,0),
  _xlpm.v, IFERROR(INDEX('3. Enter Indicator Scores'!$D$10:$CZ$161,_xlpm.r,_xlpm.c),""),
  IF(OR(_xlpm.w="",_xlpm.v=""),"",_xlpm.v*_xlpm.w)
)</f>
        <v/>
      </c>
    </row>
    <row r="110" spans="4:104" x14ac:dyDescent="0.2">
      <c r="D110" s="93" t="str" cm="1">
        <f t="array" ref="D110">_xlfn.LET(
  _xlpm.w, D$11,
  _xlpm.r, MATCH(1,('3. Enter Indicator Scores'!$B$10:$B$161=$B110)*('3. Enter Indicator Scores'!$C$10:$C$161=$C110),0),
  _xlpm.c, MATCH(D$8,'3. Enter Indicator Scores'!$D$8:$CZ$8,0),
  _xlpm.v, IFERROR(INDEX('3. Enter Indicator Scores'!$D$10:$CZ$161,_xlpm.r,_xlpm.c),""),
  IF(OR(_xlpm.w="",_xlpm.v=""),"",_xlpm.v*_xlpm.w)
)</f>
        <v/>
      </c>
      <c r="E110" s="93" t="str" cm="1">
        <f t="array" ref="E110">_xlfn.LET(
  _xlpm.w, E$11,
  _xlpm.r, MATCH(1,('3. Enter Indicator Scores'!$B$10:$B$161=$B110)*('3. Enter Indicator Scores'!$C$10:$C$161=$C110),0),
  _xlpm.c, MATCH(E$8,'3. Enter Indicator Scores'!$D$8:$CZ$8,0),
  _xlpm.v, IFERROR(INDEX('3. Enter Indicator Scores'!$D$10:$CZ$161,_xlpm.r,_xlpm.c),""),
  IF(OR(_xlpm.w="",_xlpm.v=""),"",_xlpm.v*_xlpm.w)
)</f>
        <v/>
      </c>
      <c r="F110" s="93" t="str" cm="1">
        <f t="array" ref="F110">_xlfn.LET(
  _xlpm.w, F$11,
  _xlpm.r, MATCH(1,('3. Enter Indicator Scores'!$B$10:$B$161=$B110)*('3. Enter Indicator Scores'!$C$10:$C$161=$C110),0),
  _xlpm.c, MATCH(F$8,'3. Enter Indicator Scores'!$D$8:$CZ$8,0),
  _xlpm.v, IFERROR(INDEX('3. Enter Indicator Scores'!$D$10:$CZ$161,_xlpm.r,_xlpm.c),""),
  IF(OR(_xlpm.w="",_xlpm.v=""),"",_xlpm.v*_xlpm.w)
)</f>
        <v/>
      </c>
      <c r="G110" s="93" t="str" cm="1">
        <f t="array" ref="G110">_xlfn.LET(
  _xlpm.w, G$11,
  _xlpm.r, MATCH(1,('3. Enter Indicator Scores'!$B$10:$B$161=$B110)*('3. Enter Indicator Scores'!$C$10:$C$161=$C110),0),
  _xlpm.c, MATCH(G$8,'3. Enter Indicator Scores'!$D$8:$CZ$8,0),
  _xlpm.v, IFERROR(INDEX('3. Enter Indicator Scores'!$D$10:$CZ$161,_xlpm.r,_xlpm.c),""),
  IF(OR(_xlpm.w="",_xlpm.v=""),"",_xlpm.v*_xlpm.w)
)</f>
        <v/>
      </c>
      <c r="H110" s="93" t="str" cm="1">
        <f t="array" ref="H110">_xlfn.LET(
  _xlpm.w, H$11,
  _xlpm.r, MATCH(1,('3. Enter Indicator Scores'!$B$10:$B$161=$B110)*('3. Enter Indicator Scores'!$C$10:$C$161=$C110),0),
  _xlpm.c, MATCH(H$8,'3. Enter Indicator Scores'!$D$8:$CZ$8,0),
  _xlpm.v, IFERROR(INDEX('3. Enter Indicator Scores'!$D$10:$CZ$161,_xlpm.r,_xlpm.c),""),
  IF(OR(_xlpm.w="",_xlpm.v=""),"",_xlpm.v*_xlpm.w)
)</f>
        <v/>
      </c>
      <c r="I110" s="93" t="str" cm="1">
        <f t="array" ref="I110">_xlfn.LET(
  _xlpm.w, I$11,
  _xlpm.r, MATCH(1,('3. Enter Indicator Scores'!$B$10:$B$161=$B110)*('3. Enter Indicator Scores'!$C$10:$C$161=$C110),0),
  _xlpm.c, MATCH(I$8,'3. Enter Indicator Scores'!$D$8:$CZ$8,0),
  _xlpm.v, IFERROR(INDEX('3. Enter Indicator Scores'!$D$10:$CZ$161,_xlpm.r,_xlpm.c),""),
  IF(OR(_xlpm.w="",_xlpm.v=""),"",_xlpm.v*_xlpm.w)
)</f>
        <v/>
      </c>
      <c r="J110" s="93" t="str" cm="1">
        <f t="array" ref="J110">_xlfn.LET(
  _xlpm.w, J$11,
  _xlpm.r, MATCH(1,('3. Enter Indicator Scores'!$B$10:$B$161=$B110)*('3. Enter Indicator Scores'!$C$10:$C$161=$C110),0),
  _xlpm.c, MATCH(J$8,'3. Enter Indicator Scores'!$D$8:$CZ$8,0),
  _xlpm.v, IFERROR(INDEX('3. Enter Indicator Scores'!$D$10:$CZ$161,_xlpm.r,_xlpm.c),""),
  IF(OR(_xlpm.w="",_xlpm.v=""),"",_xlpm.v*_xlpm.w)
)</f>
        <v/>
      </c>
      <c r="K110" s="93" t="str" cm="1">
        <f t="array" ref="K110">_xlfn.LET(
  _xlpm.w, K$11,
  _xlpm.r, MATCH(1,('3. Enter Indicator Scores'!$B$10:$B$161=$B110)*('3. Enter Indicator Scores'!$C$10:$C$161=$C110),0),
  _xlpm.c, MATCH(K$8,'3. Enter Indicator Scores'!$D$8:$CZ$8,0),
  _xlpm.v, IFERROR(INDEX('3. Enter Indicator Scores'!$D$10:$CZ$161,_xlpm.r,_xlpm.c),""),
  IF(OR(_xlpm.w="",_xlpm.v=""),"",_xlpm.v*_xlpm.w)
)</f>
        <v/>
      </c>
      <c r="L110" s="93" t="str" cm="1">
        <f t="array" ref="L110">_xlfn.LET(
  _xlpm.w, L$11,
  _xlpm.r, MATCH(1,('3. Enter Indicator Scores'!$B$10:$B$161=$B110)*('3. Enter Indicator Scores'!$C$10:$C$161=$C110),0),
  _xlpm.c, MATCH(L$8,'3. Enter Indicator Scores'!$D$8:$CZ$8,0),
  _xlpm.v, IFERROR(INDEX('3. Enter Indicator Scores'!$D$10:$CZ$161,_xlpm.r,_xlpm.c),""),
  IF(OR(_xlpm.w="",_xlpm.v=""),"",_xlpm.v*_xlpm.w)
)</f>
        <v/>
      </c>
      <c r="M110" s="93" t="str" cm="1">
        <f t="array" ref="M110">_xlfn.LET(
  _xlpm.w, M$11,
  _xlpm.r, MATCH(1,('3. Enter Indicator Scores'!$B$10:$B$161=$B110)*('3. Enter Indicator Scores'!$C$10:$C$161=$C110),0),
  _xlpm.c, MATCH(M$8,'3. Enter Indicator Scores'!$D$8:$CZ$8,0),
  _xlpm.v, IFERROR(INDEX('3. Enter Indicator Scores'!$D$10:$CZ$161,_xlpm.r,_xlpm.c),""),
  IF(OR(_xlpm.w="",_xlpm.v=""),"",_xlpm.v*_xlpm.w)
)</f>
        <v/>
      </c>
      <c r="N110" s="93" t="str" cm="1">
        <f t="array" ref="N110">_xlfn.LET(
  _xlpm.w, N$11,
  _xlpm.r, MATCH(1,('3. Enter Indicator Scores'!$B$10:$B$161=$B110)*('3. Enter Indicator Scores'!$C$10:$C$161=$C110),0),
  _xlpm.c, MATCH(N$8,'3. Enter Indicator Scores'!$D$8:$CZ$8,0),
  _xlpm.v, IFERROR(INDEX('3. Enter Indicator Scores'!$D$10:$CZ$161,_xlpm.r,_xlpm.c),""),
  IF(OR(_xlpm.w="",_xlpm.v=""),"",_xlpm.v*_xlpm.w)
)</f>
        <v/>
      </c>
      <c r="O110" s="93" t="str" cm="1">
        <f t="array" ref="O110">_xlfn.LET(
  _xlpm.w, O$11,
  _xlpm.r, MATCH(1,('3. Enter Indicator Scores'!$B$10:$B$161=$B110)*('3. Enter Indicator Scores'!$C$10:$C$161=$C110),0),
  _xlpm.c, MATCH(O$8,'3. Enter Indicator Scores'!$D$8:$CZ$8,0),
  _xlpm.v, IFERROR(INDEX('3. Enter Indicator Scores'!$D$10:$CZ$161,_xlpm.r,_xlpm.c),""),
  IF(OR(_xlpm.w="",_xlpm.v=""),"",_xlpm.v*_xlpm.w)
)</f>
        <v/>
      </c>
      <c r="P110" s="93" t="str" cm="1">
        <f t="array" ref="P110">_xlfn.LET(
  _xlpm.w, P$11,
  _xlpm.r, MATCH(1,('3. Enter Indicator Scores'!$B$10:$B$161=$B110)*('3. Enter Indicator Scores'!$C$10:$C$161=$C110),0),
  _xlpm.c, MATCH(P$8,'3. Enter Indicator Scores'!$D$8:$CZ$8,0),
  _xlpm.v, IFERROR(INDEX('3. Enter Indicator Scores'!$D$10:$CZ$161,_xlpm.r,_xlpm.c),""),
  IF(OR(_xlpm.w="",_xlpm.v=""),"",_xlpm.v*_xlpm.w)
)</f>
        <v/>
      </c>
      <c r="Q110" s="93" t="str" cm="1">
        <f t="array" ref="Q110">_xlfn.LET(
  _xlpm.w, Q$11,
  _xlpm.r, MATCH(1,('3. Enter Indicator Scores'!$B$10:$B$161=$B110)*('3. Enter Indicator Scores'!$C$10:$C$161=$C110),0),
  _xlpm.c, MATCH(Q$8,'3. Enter Indicator Scores'!$D$8:$CZ$8,0),
  _xlpm.v, IFERROR(INDEX('3. Enter Indicator Scores'!$D$10:$CZ$161,_xlpm.r,_xlpm.c),""),
  IF(OR(_xlpm.w="",_xlpm.v=""),"",_xlpm.v*_xlpm.w)
)</f>
        <v/>
      </c>
      <c r="R110" s="93" t="str" cm="1">
        <f t="array" ref="R110">_xlfn.LET(
  _xlpm.w, R$11,
  _xlpm.r, MATCH(1,('3. Enter Indicator Scores'!$B$10:$B$161=$B110)*('3. Enter Indicator Scores'!$C$10:$C$161=$C110),0),
  _xlpm.c, MATCH(R$8,'3. Enter Indicator Scores'!$D$8:$CZ$8,0),
  _xlpm.v, IFERROR(INDEX('3. Enter Indicator Scores'!$D$10:$CZ$161,_xlpm.r,_xlpm.c),""),
  IF(OR(_xlpm.w="",_xlpm.v=""),"",_xlpm.v*_xlpm.w)
)</f>
        <v/>
      </c>
      <c r="S110" s="93" t="str" cm="1">
        <f t="array" ref="S110">_xlfn.LET(
  _xlpm.w, S$11,
  _xlpm.r, MATCH(1,('3. Enter Indicator Scores'!$B$10:$B$161=$B110)*('3. Enter Indicator Scores'!$C$10:$C$161=$C110),0),
  _xlpm.c, MATCH(S$8,'3. Enter Indicator Scores'!$D$8:$CZ$8,0),
  _xlpm.v, IFERROR(INDEX('3. Enter Indicator Scores'!$D$10:$CZ$161,_xlpm.r,_xlpm.c),""),
  IF(OR(_xlpm.w="",_xlpm.v=""),"",_xlpm.v*_xlpm.w)
)</f>
        <v/>
      </c>
      <c r="T110" s="93" t="str" cm="1">
        <f t="array" ref="T110">_xlfn.LET(
  _xlpm.w, T$11,
  _xlpm.r, MATCH(1,('3. Enter Indicator Scores'!$B$10:$B$161=$B110)*('3. Enter Indicator Scores'!$C$10:$C$161=$C110),0),
  _xlpm.c, MATCH(T$8,'3. Enter Indicator Scores'!$D$8:$CZ$8,0),
  _xlpm.v, IFERROR(INDEX('3. Enter Indicator Scores'!$D$10:$CZ$161,_xlpm.r,_xlpm.c),""),
  IF(OR(_xlpm.w="",_xlpm.v=""),"",_xlpm.v*_xlpm.w)
)</f>
        <v/>
      </c>
      <c r="U110" s="93" t="str" cm="1">
        <f t="array" ref="U110">_xlfn.LET(
  _xlpm.w, U$11,
  _xlpm.r, MATCH(1,('3. Enter Indicator Scores'!$B$10:$B$161=$B110)*('3. Enter Indicator Scores'!$C$10:$C$161=$C110),0),
  _xlpm.c, MATCH(U$8,'3. Enter Indicator Scores'!$D$8:$CZ$8,0),
  _xlpm.v, IFERROR(INDEX('3. Enter Indicator Scores'!$D$10:$CZ$161,_xlpm.r,_xlpm.c),""),
  IF(OR(_xlpm.w="",_xlpm.v=""),"",_xlpm.v*_xlpm.w)
)</f>
        <v/>
      </c>
      <c r="V110" s="93" t="str" cm="1">
        <f t="array" ref="V110">_xlfn.LET(
  _xlpm.w, V$11,
  _xlpm.r, MATCH(1,('3. Enter Indicator Scores'!$B$10:$B$161=$B110)*('3. Enter Indicator Scores'!$C$10:$C$161=$C110),0),
  _xlpm.c, MATCH(V$8,'3. Enter Indicator Scores'!$D$8:$CZ$8,0),
  _xlpm.v, IFERROR(INDEX('3. Enter Indicator Scores'!$D$10:$CZ$161,_xlpm.r,_xlpm.c),""),
  IF(OR(_xlpm.w="",_xlpm.v=""),"",_xlpm.v*_xlpm.w)
)</f>
        <v/>
      </c>
      <c r="W110" s="93" t="str" cm="1">
        <f t="array" ref="W110">_xlfn.LET(
  _xlpm.w, W$11,
  _xlpm.r, MATCH(1,('3. Enter Indicator Scores'!$B$10:$B$161=$B110)*('3. Enter Indicator Scores'!$C$10:$C$161=$C110),0),
  _xlpm.c, MATCH(W$8,'3. Enter Indicator Scores'!$D$8:$CZ$8,0),
  _xlpm.v, IFERROR(INDEX('3. Enter Indicator Scores'!$D$10:$CZ$161,_xlpm.r,_xlpm.c),""),
  IF(OR(_xlpm.w="",_xlpm.v=""),"",_xlpm.v*_xlpm.w)
)</f>
        <v/>
      </c>
      <c r="X110" s="93" t="str" cm="1">
        <f t="array" ref="X110">_xlfn.LET(
  _xlpm.w, X$11,
  _xlpm.r, MATCH(1,('3. Enter Indicator Scores'!$B$10:$B$161=$B110)*('3. Enter Indicator Scores'!$C$10:$C$161=$C110),0),
  _xlpm.c, MATCH(X$8,'3. Enter Indicator Scores'!$D$8:$CZ$8,0),
  _xlpm.v, IFERROR(INDEX('3. Enter Indicator Scores'!$D$10:$CZ$161,_xlpm.r,_xlpm.c),""),
  IF(OR(_xlpm.w="",_xlpm.v=""),"",_xlpm.v*_xlpm.w)
)</f>
        <v/>
      </c>
      <c r="Y110" s="93" t="str" cm="1">
        <f t="array" ref="Y110">_xlfn.LET(
  _xlpm.w, Y$11,
  _xlpm.r, MATCH(1,('3. Enter Indicator Scores'!$B$10:$B$161=$B110)*('3. Enter Indicator Scores'!$C$10:$C$161=$C110),0),
  _xlpm.c, MATCH(Y$8,'3. Enter Indicator Scores'!$D$8:$CZ$8,0),
  _xlpm.v, IFERROR(INDEX('3. Enter Indicator Scores'!$D$10:$CZ$161,_xlpm.r,_xlpm.c),""),
  IF(OR(_xlpm.w="",_xlpm.v=""),"",_xlpm.v*_xlpm.w)
)</f>
        <v/>
      </c>
      <c r="Z110" s="93" t="str" cm="1">
        <f t="array" ref="Z110">_xlfn.LET(
  _xlpm.w, Z$11,
  _xlpm.r, MATCH(1,('3. Enter Indicator Scores'!$B$10:$B$161=$B110)*('3. Enter Indicator Scores'!$C$10:$C$161=$C110),0),
  _xlpm.c, MATCH(Z$8,'3. Enter Indicator Scores'!$D$8:$CZ$8,0),
  _xlpm.v, IFERROR(INDEX('3. Enter Indicator Scores'!$D$10:$CZ$161,_xlpm.r,_xlpm.c),""),
  IF(OR(_xlpm.w="",_xlpm.v=""),"",_xlpm.v*_xlpm.w)
)</f>
        <v/>
      </c>
      <c r="AA110" s="93" t="str" cm="1">
        <f t="array" ref="AA110">_xlfn.LET(
  _xlpm.w, AA$11,
  _xlpm.r, MATCH(1,('3. Enter Indicator Scores'!$B$10:$B$161=$B110)*('3. Enter Indicator Scores'!$C$10:$C$161=$C110),0),
  _xlpm.c, MATCH(AA$8,'3. Enter Indicator Scores'!$D$8:$CZ$8,0),
  _xlpm.v, IFERROR(INDEX('3. Enter Indicator Scores'!$D$10:$CZ$161,_xlpm.r,_xlpm.c),""),
  IF(OR(_xlpm.w="",_xlpm.v=""),"",_xlpm.v*_xlpm.w)
)</f>
        <v/>
      </c>
      <c r="AB110" s="93" t="str" cm="1">
        <f t="array" ref="AB110">_xlfn.LET(
  _xlpm.w, AB$11,
  _xlpm.r, MATCH(1,('3. Enter Indicator Scores'!$B$10:$B$161=$B110)*('3. Enter Indicator Scores'!$C$10:$C$161=$C110),0),
  _xlpm.c, MATCH(AB$8,'3. Enter Indicator Scores'!$D$8:$CZ$8,0),
  _xlpm.v, IFERROR(INDEX('3. Enter Indicator Scores'!$D$10:$CZ$161,_xlpm.r,_xlpm.c),""),
  IF(OR(_xlpm.w="",_xlpm.v=""),"",_xlpm.v*_xlpm.w)
)</f>
        <v/>
      </c>
      <c r="AC110" s="93" t="str" cm="1">
        <f t="array" ref="AC110">_xlfn.LET(
  _xlpm.w, AC$11,
  _xlpm.r, MATCH(1,('3. Enter Indicator Scores'!$B$10:$B$161=$B110)*('3. Enter Indicator Scores'!$C$10:$C$161=$C110),0),
  _xlpm.c, MATCH(AC$8,'3. Enter Indicator Scores'!$D$8:$CZ$8,0),
  _xlpm.v, IFERROR(INDEX('3. Enter Indicator Scores'!$D$10:$CZ$161,_xlpm.r,_xlpm.c),""),
  IF(OR(_xlpm.w="",_xlpm.v=""),"",_xlpm.v*_xlpm.w)
)</f>
        <v/>
      </c>
      <c r="AD110" s="93" t="str" cm="1">
        <f t="array" ref="AD110">_xlfn.LET(
  _xlpm.w, AD$11,
  _xlpm.r, MATCH(1,('3. Enter Indicator Scores'!$B$10:$B$161=$B110)*('3. Enter Indicator Scores'!$C$10:$C$161=$C110),0),
  _xlpm.c, MATCH(AD$8,'3. Enter Indicator Scores'!$D$8:$CZ$8,0),
  _xlpm.v, IFERROR(INDEX('3. Enter Indicator Scores'!$D$10:$CZ$161,_xlpm.r,_xlpm.c),""),
  IF(OR(_xlpm.w="",_xlpm.v=""),"",_xlpm.v*_xlpm.w)
)</f>
        <v/>
      </c>
      <c r="AE110" s="93" t="str" cm="1">
        <f t="array" ref="AE110">_xlfn.LET(
  _xlpm.w, AE$11,
  _xlpm.r, MATCH(1,('3. Enter Indicator Scores'!$B$10:$B$161=$B110)*('3. Enter Indicator Scores'!$C$10:$C$161=$C110),0),
  _xlpm.c, MATCH(AE$8,'3. Enter Indicator Scores'!$D$8:$CZ$8,0),
  _xlpm.v, IFERROR(INDEX('3. Enter Indicator Scores'!$D$10:$CZ$161,_xlpm.r,_xlpm.c),""),
  IF(OR(_xlpm.w="",_xlpm.v=""),"",_xlpm.v*_xlpm.w)
)</f>
        <v/>
      </c>
      <c r="AF110" s="93" t="str" cm="1">
        <f t="array" ref="AF110">_xlfn.LET(
  _xlpm.w, AF$11,
  _xlpm.r, MATCH(1,('3. Enter Indicator Scores'!$B$10:$B$161=$B110)*('3. Enter Indicator Scores'!$C$10:$C$161=$C110),0),
  _xlpm.c, MATCH(AF$8,'3. Enter Indicator Scores'!$D$8:$CZ$8,0),
  _xlpm.v, IFERROR(INDEX('3. Enter Indicator Scores'!$D$10:$CZ$161,_xlpm.r,_xlpm.c),""),
  IF(OR(_xlpm.w="",_xlpm.v=""),"",_xlpm.v*_xlpm.w)
)</f>
        <v/>
      </c>
      <c r="AG110" s="93" t="str" cm="1">
        <f t="array" ref="AG110">_xlfn.LET(
  _xlpm.w, AG$11,
  _xlpm.r, MATCH(1,('3. Enter Indicator Scores'!$B$10:$B$161=$B110)*('3. Enter Indicator Scores'!$C$10:$C$161=$C110),0),
  _xlpm.c, MATCH(AG$8,'3. Enter Indicator Scores'!$D$8:$CZ$8,0),
  _xlpm.v, IFERROR(INDEX('3. Enter Indicator Scores'!$D$10:$CZ$161,_xlpm.r,_xlpm.c),""),
  IF(OR(_xlpm.w="",_xlpm.v=""),"",_xlpm.v*_xlpm.w)
)</f>
        <v/>
      </c>
      <c r="AH110" s="93" t="str" cm="1">
        <f t="array" ref="AH110">_xlfn.LET(
  _xlpm.w, AH$11,
  _xlpm.r, MATCH(1,('3. Enter Indicator Scores'!$B$10:$B$161=$B110)*('3. Enter Indicator Scores'!$C$10:$C$161=$C110),0),
  _xlpm.c, MATCH(AH$8,'3. Enter Indicator Scores'!$D$8:$CZ$8,0),
  _xlpm.v, IFERROR(INDEX('3. Enter Indicator Scores'!$D$10:$CZ$161,_xlpm.r,_xlpm.c),""),
  IF(OR(_xlpm.w="",_xlpm.v=""),"",_xlpm.v*_xlpm.w)
)</f>
        <v/>
      </c>
      <c r="AI110" s="93" t="str" cm="1">
        <f t="array" ref="AI110">_xlfn.LET(
  _xlpm.w, AI$11,
  _xlpm.r, MATCH(1,('3. Enter Indicator Scores'!$B$10:$B$161=$B110)*('3. Enter Indicator Scores'!$C$10:$C$161=$C110),0),
  _xlpm.c, MATCH(AI$8,'3. Enter Indicator Scores'!$D$8:$CZ$8,0),
  _xlpm.v, IFERROR(INDEX('3. Enter Indicator Scores'!$D$10:$CZ$161,_xlpm.r,_xlpm.c),""),
  IF(OR(_xlpm.w="",_xlpm.v=""),"",_xlpm.v*_xlpm.w)
)</f>
        <v/>
      </c>
      <c r="AJ110" s="93" t="str" cm="1">
        <f t="array" ref="AJ110">_xlfn.LET(
  _xlpm.w, AJ$11,
  _xlpm.r, MATCH(1,('3. Enter Indicator Scores'!$B$10:$B$161=$B110)*('3. Enter Indicator Scores'!$C$10:$C$161=$C110),0),
  _xlpm.c, MATCH(AJ$8,'3. Enter Indicator Scores'!$D$8:$CZ$8,0),
  _xlpm.v, IFERROR(INDEX('3. Enter Indicator Scores'!$D$10:$CZ$161,_xlpm.r,_xlpm.c),""),
  IF(OR(_xlpm.w="",_xlpm.v=""),"",_xlpm.v*_xlpm.w)
)</f>
        <v/>
      </c>
      <c r="AK110" s="93" t="str" cm="1">
        <f t="array" ref="AK110">_xlfn.LET(
  _xlpm.w, AK$11,
  _xlpm.r, MATCH(1,('3. Enter Indicator Scores'!$B$10:$B$161=$B110)*('3. Enter Indicator Scores'!$C$10:$C$161=$C110),0),
  _xlpm.c, MATCH(AK$8,'3. Enter Indicator Scores'!$D$8:$CZ$8,0),
  _xlpm.v, IFERROR(INDEX('3. Enter Indicator Scores'!$D$10:$CZ$161,_xlpm.r,_xlpm.c),""),
  IF(OR(_xlpm.w="",_xlpm.v=""),"",_xlpm.v*_xlpm.w)
)</f>
        <v/>
      </c>
      <c r="AL110" s="93" t="str" cm="1">
        <f t="array" ref="AL110">_xlfn.LET(
  _xlpm.w, AL$11,
  _xlpm.r, MATCH(1,('3. Enter Indicator Scores'!$B$10:$B$161=$B110)*('3. Enter Indicator Scores'!$C$10:$C$161=$C110),0),
  _xlpm.c, MATCH(AL$8,'3. Enter Indicator Scores'!$D$8:$CZ$8,0),
  _xlpm.v, IFERROR(INDEX('3. Enter Indicator Scores'!$D$10:$CZ$161,_xlpm.r,_xlpm.c),""),
  IF(OR(_xlpm.w="",_xlpm.v=""),"",_xlpm.v*_xlpm.w)
)</f>
        <v/>
      </c>
      <c r="AM110" s="93" t="str" cm="1">
        <f t="array" ref="AM110">_xlfn.LET(
  _xlpm.w, AM$11,
  _xlpm.r, MATCH(1,('3. Enter Indicator Scores'!$B$10:$B$161=$B110)*('3. Enter Indicator Scores'!$C$10:$C$161=$C110),0),
  _xlpm.c, MATCH(AM$8,'3. Enter Indicator Scores'!$D$8:$CZ$8,0),
  _xlpm.v, IFERROR(INDEX('3. Enter Indicator Scores'!$D$10:$CZ$161,_xlpm.r,_xlpm.c),""),
  IF(OR(_xlpm.w="",_xlpm.v=""),"",_xlpm.v*_xlpm.w)
)</f>
        <v/>
      </c>
      <c r="AN110" s="93" t="str" cm="1">
        <f t="array" ref="AN110">_xlfn.LET(
  _xlpm.w, AN$11,
  _xlpm.r, MATCH(1,('3. Enter Indicator Scores'!$B$10:$B$161=$B110)*('3. Enter Indicator Scores'!$C$10:$C$161=$C110),0),
  _xlpm.c, MATCH(AN$8,'3. Enter Indicator Scores'!$D$8:$CZ$8,0),
  _xlpm.v, IFERROR(INDEX('3. Enter Indicator Scores'!$D$10:$CZ$161,_xlpm.r,_xlpm.c),""),
  IF(OR(_xlpm.w="",_xlpm.v=""),"",_xlpm.v*_xlpm.w)
)</f>
        <v/>
      </c>
      <c r="AO110" s="93" t="str" cm="1">
        <f t="array" ref="AO110">_xlfn.LET(
  _xlpm.w, AO$11,
  _xlpm.r, MATCH(1,('3. Enter Indicator Scores'!$B$10:$B$161=$B110)*('3. Enter Indicator Scores'!$C$10:$C$161=$C110),0),
  _xlpm.c, MATCH(AO$8,'3. Enter Indicator Scores'!$D$8:$CZ$8,0),
  _xlpm.v, IFERROR(INDEX('3. Enter Indicator Scores'!$D$10:$CZ$161,_xlpm.r,_xlpm.c),""),
  IF(OR(_xlpm.w="",_xlpm.v=""),"",_xlpm.v*_xlpm.w)
)</f>
        <v/>
      </c>
      <c r="AP110" s="93" t="str" cm="1">
        <f t="array" ref="AP110">_xlfn.LET(
  _xlpm.w, AP$11,
  _xlpm.r, MATCH(1,('3. Enter Indicator Scores'!$B$10:$B$161=$B110)*('3. Enter Indicator Scores'!$C$10:$C$161=$C110),0),
  _xlpm.c, MATCH(AP$8,'3. Enter Indicator Scores'!$D$8:$CZ$8,0),
  _xlpm.v, IFERROR(INDEX('3. Enter Indicator Scores'!$D$10:$CZ$161,_xlpm.r,_xlpm.c),""),
  IF(OR(_xlpm.w="",_xlpm.v=""),"",_xlpm.v*_xlpm.w)
)</f>
        <v/>
      </c>
      <c r="AQ110" s="93" t="str" cm="1">
        <f t="array" ref="AQ110">_xlfn.LET(
  _xlpm.w, AQ$11,
  _xlpm.r, MATCH(1,('3. Enter Indicator Scores'!$B$10:$B$161=$B110)*('3. Enter Indicator Scores'!$C$10:$C$161=$C110),0),
  _xlpm.c, MATCH(AQ$8,'3. Enter Indicator Scores'!$D$8:$CZ$8,0),
  _xlpm.v, IFERROR(INDEX('3. Enter Indicator Scores'!$D$10:$CZ$161,_xlpm.r,_xlpm.c),""),
  IF(OR(_xlpm.w="",_xlpm.v=""),"",_xlpm.v*_xlpm.w)
)</f>
        <v/>
      </c>
      <c r="AR110" s="93" t="str" cm="1">
        <f t="array" ref="AR110">_xlfn.LET(
  _xlpm.w, AR$11,
  _xlpm.r, MATCH(1,('3. Enter Indicator Scores'!$B$10:$B$161=$B110)*('3. Enter Indicator Scores'!$C$10:$C$161=$C110),0),
  _xlpm.c, MATCH(AR$8,'3. Enter Indicator Scores'!$D$8:$CZ$8,0),
  _xlpm.v, IFERROR(INDEX('3. Enter Indicator Scores'!$D$10:$CZ$161,_xlpm.r,_xlpm.c),""),
  IF(OR(_xlpm.w="",_xlpm.v=""),"",_xlpm.v*_xlpm.w)
)</f>
        <v/>
      </c>
      <c r="AS110" s="93" t="str" cm="1">
        <f t="array" ref="AS110">_xlfn.LET(
  _xlpm.w, AS$11,
  _xlpm.r, MATCH(1,('3. Enter Indicator Scores'!$B$10:$B$161=$B110)*('3. Enter Indicator Scores'!$C$10:$C$161=$C110),0),
  _xlpm.c, MATCH(AS$8,'3. Enter Indicator Scores'!$D$8:$CZ$8,0),
  _xlpm.v, IFERROR(INDEX('3. Enter Indicator Scores'!$D$10:$CZ$161,_xlpm.r,_xlpm.c),""),
  IF(OR(_xlpm.w="",_xlpm.v=""),"",_xlpm.v*_xlpm.w)
)</f>
        <v/>
      </c>
      <c r="AT110" s="93" t="str" cm="1">
        <f t="array" ref="AT110">_xlfn.LET(
  _xlpm.w, AT$11,
  _xlpm.r, MATCH(1,('3. Enter Indicator Scores'!$B$10:$B$161=$B110)*('3. Enter Indicator Scores'!$C$10:$C$161=$C110),0),
  _xlpm.c, MATCH(AT$8,'3. Enter Indicator Scores'!$D$8:$CZ$8,0),
  _xlpm.v, IFERROR(INDEX('3. Enter Indicator Scores'!$D$10:$CZ$161,_xlpm.r,_xlpm.c),""),
  IF(OR(_xlpm.w="",_xlpm.v=""),"",_xlpm.v*_xlpm.w)
)</f>
        <v/>
      </c>
      <c r="AU110" s="93" t="str" cm="1">
        <f t="array" ref="AU110">_xlfn.LET(
  _xlpm.w, AU$11,
  _xlpm.r, MATCH(1,('3. Enter Indicator Scores'!$B$10:$B$161=$B110)*('3. Enter Indicator Scores'!$C$10:$C$161=$C110),0),
  _xlpm.c, MATCH(AU$8,'3. Enter Indicator Scores'!$D$8:$CZ$8,0),
  _xlpm.v, IFERROR(INDEX('3. Enter Indicator Scores'!$D$10:$CZ$161,_xlpm.r,_xlpm.c),""),
  IF(OR(_xlpm.w="",_xlpm.v=""),"",_xlpm.v*_xlpm.w)
)</f>
        <v/>
      </c>
      <c r="AV110" s="93" t="str" cm="1">
        <f t="array" ref="AV110">_xlfn.LET(
  _xlpm.w, AV$11,
  _xlpm.r, MATCH(1,('3. Enter Indicator Scores'!$B$10:$B$161=$B110)*('3. Enter Indicator Scores'!$C$10:$C$161=$C110),0),
  _xlpm.c, MATCH(AV$8,'3. Enter Indicator Scores'!$D$8:$CZ$8,0),
  _xlpm.v, IFERROR(INDEX('3. Enter Indicator Scores'!$D$10:$CZ$161,_xlpm.r,_xlpm.c),""),
  IF(OR(_xlpm.w="",_xlpm.v=""),"",_xlpm.v*_xlpm.w)
)</f>
        <v/>
      </c>
      <c r="AW110" s="93" t="str" cm="1">
        <f t="array" ref="AW110">_xlfn.LET(
  _xlpm.w, AW$11,
  _xlpm.r, MATCH(1,('3. Enter Indicator Scores'!$B$10:$B$161=$B110)*('3. Enter Indicator Scores'!$C$10:$C$161=$C110),0),
  _xlpm.c, MATCH(AW$8,'3. Enter Indicator Scores'!$D$8:$CZ$8,0),
  _xlpm.v, IFERROR(INDEX('3. Enter Indicator Scores'!$D$10:$CZ$161,_xlpm.r,_xlpm.c),""),
  IF(OR(_xlpm.w="",_xlpm.v=""),"",_xlpm.v*_xlpm.w)
)</f>
        <v/>
      </c>
      <c r="AX110" s="93" t="str" cm="1">
        <f t="array" ref="AX110">_xlfn.LET(
  _xlpm.w, AX$11,
  _xlpm.r, MATCH(1,('3. Enter Indicator Scores'!$B$10:$B$161=$B110)*('3. Enter Indicator Scores'!$C$10:$C$161=$C110),0),
  _xlpm.c, MATCH(AX$8,'3. Enter Indicator Scores'!$D$8:$CZ$8,0),
  _xlpm.v, IFERROR(INDEX('3. Enter Indicator Scores'!$D$10:$CZ$161,_xlpm.r,_xlpm.c),""),
  IF(OR(_xlpm.w="",_xlpm.v=""),"",_xlpm.v*_xlpm.w)
)</f>
        <v/>
      </c>
      <c r="AY110" s="93" t="str" cm="1">
        <f t="array" ref="AY110">_xlfn.LET(
  _xlpm.w, AY$11,
  _xlpm.r, MATCH(1,('3. Enter Indicator Scores'!$B$10:$B$161=$B110)*('3. Enter Indicator Scores'!$C$10:$C$161=$C110),0),
  _xlpm.c, MATCH(AY$8,'3. Enter Indicator Scores'!$D$8:$CZ$8,0),
  _xlpm.v, IFERROR(INDEX('3. Enter Indicator Scores'!$D$10:$CZ$161,_xlpm.r,_xlpm.c),""),
  IF(OR(_xlpm.w="",_xlpm.v=""),"",_xlpm.v*_xlpm.w)
)</f>
        <v/>
      </c>
      <c r="AZ110" s="93" t="str" cm="1">
        <f t="array" ref="AZ110">_xlfn.LET(
  _xlpm.w, AZ$11,
  _xlpm.r, MATCH(1,('3. Enter Indicator Scores'!$B$10:$B$161=$B110)*('3. Enter Indicator Scores'!$C$10:$C$161=$C110),0),
  _xlpm.c, MATCH(AZ$8,'3. Enter Indicator Scores'!$D$8:$CZ$8,0),
  _xlpm.v, IFERROR(INDEX('3. Enter Indicator Scores'!$D$10:$CZ$161,_xlpm.r,_xlpm.c),""),
  IF(OR(_xlpm.w="",_xlpm.v=""),"",_xlpm.v*_xlpm.w)
)</f>
        <v/>
      </c>
      <c r="BA110" s="93" t="str" cm="1">
        <f t="array" ref="BA110">_xlfn.LET(
  _xlpm.w, BA$11,
  _xlpm.r, MATCH(1,('3. Enter Indicator Scores'!$B$10:$B$161=$B110)*('3. Enter Indicator Scores'!$C$10:$C$161=$C110),0),
  _xlpm.c, MATCH(BA$8,'3. Enter Indicator Scores'!$D$8:$CZ$8,0),
  _xlpm.v, IFERROR(INDEX('3. Enter Indicator Scores'!$D$10:$CZ$161,_xlpm.r,_xlpm.c),""),
  IF(OR(_xlpm.w="",_xlpm.v=""),"",_xlpm.v*_xlpm.w)
)</f>
        <v/>
      </c>
      <c r="BB110" s="93" t="str" cm="1">
        <f t="array" ref="BB110">_xlfn.LET(
  _xlpm.w, BB$11,
  _xlpm.r, MATCH(1,('3. Enter Indicator Scores'!$B$10:$B$161=$B110)*('3. Enter Indicator Scores'!$C$10:$C$161=$C110),0),
  _xlpm.c, MATCH(BB$8,'3. Enter Indicator Scores'!$D$8:$CZ$8,0),
  _xlpm.v, IFERROR(INDEX('3. Enter Indicator Scores'!$D$10:$CZ$161,_xlpm.r,_xlpm.c),""),
  IF(OR(_xlpm.w="",_xlpm.v=""),"",_xlpm.v*_xlpm.w)
)</f>
        <v/>
      </c>
      <c r="BC110" s="93" t="str" cm="1">
        <f t="array" ref="BC110">_xlfn.LET(
  _xlpm.w, BC$11,
  _xlpm.r, MATCH(1,('3. Enter Indicator Scores'!$B$10:$B$161=$B110)*('3. Enter Indicator Scores'!$C$10:$C$161=$C110),0),
  _xlpm.c, MATCH(BC$8,'3. Enter Indicator Scores'!$D$8:$CZ$8,0),
  _xlpm.v, IFERROR(INDEX('3. Enter Indicator Scores'!$D$10:$CZ$161,_xlpm.r,_xlpm.c),""),
  IF(OR(_xlpm.w="",_xlpm.v=""),"",_xlpm.v*_xlpm.w)
)</f>
        <v/>
      </c>
      <c r="BD110" s="93" t="str" cm="1">
        <f t="array" ref="BD110">_xlfn.LET(
  _xlpm.w, BD$11,
  _xlpm.r, MATCH(1,('3. Enter Indicator Scores'!$B$10:$B$161=$B110)*('3. Enter Indicator Scores'!$C$10:$C$161=$C110),0),
  _xlpm.c, MATCH(BD$8,'3. Enter Indicator Scores'!$D$8:$CZ$8,0),
  _xlpm.v, IFERROR(INDEX('3. Enter Indicator Scores'!$D$10:$CZ$161,_xlpm.r,_xlpm.c),""),
  IF(OR(_xlpm.w="",_xlpm.v=""),"",_xlpm.v*_xlpm.w)
)</f>
        <v/>
      </c>
      <c r="BE110" s="93" t="str" cm="1">
        <f t="array" ref="BE110">_xlfn.LET(
  _xlpm.w, BE$11,
  _xlpm.r, MATCH(1,('3. Enter Indicator Scores'!$B$10:$B$161=$B110)*('3. Enter Indicator Scores'!$C$10:$C$161=$C110),0),
  _xlpm.c, MATCH(BE$8,'3. Enter Indicator Scores'!$D$8:$CZ$8,0),
  _xlpm.v, IFERROR(INDEX('3. Enter Indicator Scores'!$D$10:$CZ$161,_xlpm.r,_xlpm.c),""),
  IF(OR(_xlpm.w="",_xlpm.v=""),"",_xlpm.v*_xlpm.w)
)</f>
        <v/>
      </c>
      <c r="BF110" s="93" t="str" cm="1">
        <f t="array" ref="BF110">_xlfn.LET(
  _xlpm.w, BF$11,
  _xlpm.r, MATCH(1,('3. Enter Indicator Scores'!$B$10:$B$161=$B110)*('3. Enter Indicator Scores'!$C$10:$C$161=$C110),0),
  _xlpm.c, MATCH(BF$8,'3. Enter Indicator Scores'!$D$8:$CZ$8,0),
  _xlpm.v, IFERROR(INDEX('3. Enter Indicator Scores'!$D$10:$CZ$161,_xlpm.r,_xlpm.c),""),
  IF(OR(_xlpm.w="",_xlpm.v=""),"",_xlpm.v*_xlpm.w)
)</f>
        <v/>
      </c>
      <c r="BG110" s="93" t="str" cm="1">
        <f t="array" ref="BG110">_xlfn.LET(
  _xlpm.w, BG$11,
  _xlpm.r, MATCH(1,('3. Enter Indicator Scores'!$B$10:$B$161=$B110)*('3. Enter Indicator Scores'!$C$10:$C$161=$C110),0),
  _xlpm.c, MATCH(BG$8,'3. Enter Indicator Scores'!$D$8:$CZ$8,0),
  _xlpm.v, IFERROR(INDEX('3. Enter Indicator Scores'!$D$10:$CZ$161,_xlpm.r,_xlpm.c),""),
  IF(OR(_xlpm.w="",_xlpm.v=""),"",_xlpm.v*_xlpm.w)
)</f>
        <v/>
      </c>
      <c r="BH110" s="93" t="str" cm="1">
        <f t="array" ref="BH110">_xlfn.LET(
  _xlpm.w, BH$11,
  _xlpm.r, MATCH(1,('3. Enter Indicator Scores'!$B$10:$B$161=$B110)*('3. Enter Indicator Scores'!$C$10:$C$161=$C110),0),
  _xlpm.c, MATCH(BH$8,'3. Enter Indicator Scores'!$D$8:$CZ$8,0),
  _xlpm.v, IFERROR(INDEX('3. Enter Indicator Scores'!$D$10:$CZ$161,_xlpm.r,_xlpm.c),""),
  IF(OR(_xlpm.w="",_xlpm.v=""),"",_xlpm.v*_xlpm.w)
)</f>
        <v/>
      </c>
      <c r="BI110" s="93" t="str" cm="1">
        <f t="array" ref="BI110">_xlfn.LET(
  _xlpm.w, BI$11,
  _xlpm.r, MATCH(1,('3. Enter Indicator Scores'!$B$10:$B$161=$B110)*('3. Enter Indicator Scores'!$C$10:$C$161=$C110),0),
  _xlpm.c, MATCH(BI$8,'3. Enter Indicator Scores'!$D$8:$CZ$8,0),
  _xlpm.v, IFERROR(INDEX('3. Enter Indicator Scores'!$D$10:$CZ$161,_xlpm.r,_xlpm.c),""),
  IF(OR(_xlpm.w="",_xlpm.v=""),"",_xlpm.v*_xlpm.w)
)</f>
        <v/>
      </c>
      <c r="BJ110" s="93" t="str" cm="1">
        <f t="array" ref="BJ110">_xlfn.LET(
  _xlpm.w, BJ$11,
  _xlpm.r, MATCH(1,('3. Enter Indicator Scores'!$B$10:$B$161=$B110)*('3. Enter Indicator Scores'!$C$10:$C$161=$C110),0),
  _xlpm.c, MATCH(BJ$8,'3. Enter Indicator Scores'!$D$8:$CZ$8,0),
  _xlpm.v, IFERROR(INDEX('3. Enter Indicator Scores'!$D$10:$CZ$161,_xlpm.r,_xlpm.c),""),
  IF(OR(_xlpm.w="",_xlpm.v=""),"",_xlpm.v*_xlpm.w)
)</f>
        <v/>
      </c>
      <c r="BK110" s="93" t="str" cm="1">
        <f t="array" ref="BK110">_xlfn.LET(
  _xlpm.w, BK$11,
  _xlpm.r, MATCH(1,('3. Enter Indicator Scores'!$B$10:$B$161=$B110)*('3. Enter Indicator Scores'!$C$10:$C$161=$C110),0),
  _xlpm.c, MATCH(BK$8,'3. Enter Indicator Scores'!$D$8:$CZ$8,0),
  _xlpm.v, IFERROR(INDEX('3. Enter Indicator Scores'!$D$10:$CZ$161,_xlpm.r,_xlpm.c),""),
  IF(OR(_xlpm.w="",_xlpm.v=""),"",_xlpm.v*_xlpm.w)
)</f>
        <v/>
      </c>
      <c r="BL110" s="93" t="str" cm="1">
        <f t="array" ref="BL110">_xlfn.LET(
  _xlpm.w, BL$11,
  _xlpm.r, MATCH(1,('3. Enter Indicator Scores'!$B$10:$B$161=$B110)*('3. Enter Indicator Scores'!$C$10:$C$161=$C110),0),
  _xlpm.c, MATCH(BL$8,'3. Enter Indicator Scores'!$D$8:$CZ$8,0),
  _xlpm.v, IFERROR(INDEX('3. Enter Indicator Scores'!$D$10:$CZ$161,_xlpm.r,_xlpm.c),""),
  IF(OR(_xlpm.w="",_xlpm.v=""),"",_xlpm.v*_xlpm.w)
)</f>
        <v/>
      </c>
      <c r="BM110" s="93" t="str" cm="1">
        <f t="array" ref="BM110">_xlfn.LET(
  _xlpm.w, BM$11,
  _xlpm.r, MATCH(1,('3. Enter Indicator Scores'!$B$10:$B$161=$B110)*('3. Enter Indicator Scores'!$C$10:$C$161=$C110),0),
  _xlpm.c, MATCH(BM$8,'3. Enter Indicator Scores'!$D$8:$CZ$8,0),
  _xlpm.v, IFERROR(INDEX('3. Enter Indicator Scores'!$D$10:$CZ$161,_xlpm.r,_xlpm.c),""),
  IF(OR(_xlpm.w="",_xlpm.v=""),"",_xlpm.v*_xlpm.w)
)</f>
        <v/>
      </c>
      <c r="BN110" s="93" t="str" cm="1">
        <f t="array" ref="BN110">_xlfn.LET(
  _xlpm.w, BN$11,
  _xlpm.r, MATCH(1,('3. Enter Indicator Scores'!$B$10:$B$161=$B110)*('3. Enter Indicator Scores'!$C$10:$C$161=$C110),0),
  _xlpm.c, MATCH(BN$8,'3. Enter Indicator Scores'!$D$8:$CZ$8,0),
  _xlpm.v, IFERROR(INDEX('3. Enter Indicator Scores'!$D$10:$CZ$161,_xlpm.r,_xlpm.c),""),
  IF(OR(_xlpm.w="",_xlpm.v=""),"",_xlpm.v*_xlpm.w)
)</f>
        <v/>
      </c>
      <c r="BO110" s="93" t="str" cm="1">
        <f t="array" ref="BO110">_xlfn.LET(
  _xlpm.w, BO$11,
  _xlpm.r, MATCH(1,('3. Enter Indicator Scores'!$B$10:$B$161=$B110)*('3. Enter Indicator Scores'!$C$10:$C$161=$C110),0),
  _xlpm.c, MATCH(BO$8,'3. Enter Indicator Scores'!$D$8:$CZ$8,0),
  _xlpm.v, IFERROR(INDEX('3. Enter Indicator Scores'!$D$10:$CZ$161,_xlpm.r,_xlpm.c),""),
  IF(OR(_xlpm.w="",_xlpm.v=""),"",_xlpm.v*_xlpm.w)
)</f>
        <v/>
      </c>
      <c r="BP110" s="93" t="str" cm="1">
        <f t="array" ref="BP110">_xlfn.LET(
  _xlpm.w, BP$11,
  _xlpm.r, MATCH(1,('3. Enter Indicator Scores'!$B$10:$B$161=$B110)*('3. Enter Indicator Scores'!$C$10:$C$161=$C110),0),
  _xlpm.c, MATCH(BP$8,'3. Enter Indicator Scores'!$D$8:$CZ$8,0),
  _xlpm.v, IFERROR(INDEX('3. Enter Indicator Scores'!$D$10:$CZ$161,_xlpm.r,_xlpm.c),""),
  IF(OR(_xlpm.w="",_xlpm.v=""),"",_xlpm.v*_xlpm.w)
)</f>
        <v/>
      </c>
      <c r="BQ110" s="93" t="str" cm="1">
        <f t="array" ref="BQ110">_xlfn.LET(
  _xlpm.w, BQ$11,
  _xlpm.r, MATCH(1,('3. Enter Indicator Scores'!$B$10:$B$161=$B110)*('3. Enter Indicator Scores'!$C$10:$C$161=$C110),0),
  _xlpm.c, MATCH(BQ$8,'3. Enter Indicator Scores'!$D$8:$CZ$8,0),
  _xlpm.v, IFERROR(INDEX('3. Enter Indicator Scores'!$D$10:$CZ$161,_xlpm.r,_xlpm.c),""),
  IF(OR(_xlpm.w="",_xlpm.v=""),"",_xlpm.v*_xlpm.w)
)</f>
        <v/>
      </c>
      <c r="BR110" s="93" t="str" cm="1">
        <f t="array" ref="BR110">_xlfn.LET(
  _xlpm.w, BR$11,
  _xlpm.r, MATCH(1,('3. Enter Indicator Scores'!$B$10:$B$161=$B110)*('3. Enter Indicator Scores'!$C$10:$C$161=$C110),0),
  _xlpm.c, MATCH(BR$8,'3. Enter Indicator Scores'!$D$8:$CZ$8,0),
  _xlpm.v, IFERROR(INDEX('3. Enter Indicator Scores'!$D$10:$CZ$161,_xlpm.r,_xlpm.c),""),
  IF(OR(_xlpm.w="",_xlpm.v=""),"",_xlpm.v*_xlpm.w)
)</f>
        <v/>
      </c>
      <c r="BS110" s="93" t="str" cm="1">
        <f t="array" ref="BS110">_xlfn.LET(
  _xlpm.w, BS$11,
  _xlpm.r, MATCH(1,('3. Enter Indicator Scores'!$B$10:$B$161=$B110)*('3. Enter Indicator Scores'!$C$10:$C$161=$C110),0),
  _xlpm.c, MATCH(BS$8,'3. Enter Indicator Scores'!$D$8:$CZ$8,0),
  _xlpm.v, IFERROR(INDEX('3. Enter Indicator Scores'!$D$10:$CZ$161,_xlpm.r,_xlpm.c),""),
  IF(OR(_xlpm.w="",_xlpm.v=""),"",_xlpm.v*_xlpm.w)
)</f>
        <v/>
      </c>
      <c r="BT110" s="93" t="str" cm="1">
        <f t="array" ref="BT110">_xlfn.LET(
  _xlpm.w, BT$11,
  _xlpm.r, MATCH(1,('3. Enter Indicator Scores'!$B$10:$B$161=$B110)*('3. Enter Indicator Scores'!$C$10:$C$161=$C110),0),
  _xlpm.c, MATCH(BT$8,'3. Enter Indicator Scores'!$D$8:$CZ$8,0),
  _xlpm.v, IFERROR(INDEX('3. Enter Indicator Scores'!$D$10:$CZ$161,_xlpm.r,_xlpm.c),""),
  IF(OR(_xlpm.w="",_xlpm.v=""),"",_xlpm.v*_xlpm.w)
)</f>
        <v/>
      </c>
      <c r="BU110" s="93" t="str" cm="1">
        <f t="array" ref="BU110">_xlfn.LET(
  _xlpm.w, BU$11,
  _xlpm.r, MATCH(1,('3. Enter Indicator Scores'!$B$10:$B$161=$B110)*('3. Enter Indicator Scores'!$C$10:$C$161=$C110),0),
  _xlpm.c, MATCH(BU$8,'3. Enter Indicator Scores'!$D$8:$CZ$8,0),
  _xlpm.v, IFERROR(INDEX('3. Enter Indicator Scores'!$D$10:$CZ$161,_xlpm.r,_xlpm.c),""),
  IF(OR(_xlpm.w="",_xlpm.v=""),"",_xlpm.v*_xlpm.w)
)</f>
        <v/>
      </c>
      <c r="BV110" s="93" t="str" cm="1">
        <f t="array" ref="BV110">_xlfn.LET(
  _xlpm.w, BV$11,
  _xlpm.r, MATCH(1,('3. Enter Indicator Scores'!$B$10:$B$161=$B110)*('3. Enter Indicator Scores'!$C$10:$C$161=$C110),0),
  _xlpm.c, MATCH(BV$8,'3. Enter Indicator Scores'!$D$8:$CZ$8,0),
  _xlpm.v, IFERROR(INDEX('3. Enter Indicator Scores'!$D$10:$CZ$161,_xlpm.r,_xlpm.c),""),
  IF(OR(_xlpm.w="",_xlpm.v=""),"",_xlpm.v*_xlpm.w)
)</f>
        <v/>
      </c>
      <c r="BW110" s="93" t="str" cm="1">
        <f t="array" ref="BW110">_xlfn.LET(
  _xlpm.w, BW$11,
  _xlpm.r, MATCH(1,('3. Enter Indicator Scores'!$B$10:$B$161=$B110)*('3. Enter Indicator Scores'!$C$10:$C$161=$C110),0),
  _xlpm.c, MATCH(BW$8,'3. Enter Indicator Scores'!$D$8:$CZ$8,0),
  _xlpm.v, IFERROR(INDEX('3. Enter Indicator Scores'!$D$10:$CZ$161,_xlpm.r,_xlpm.c),""),
  IF(OR(_xlpm.w="",_xlpm.v=""),"",_xlpm.v*_xlpm.w)
)</f>
        <v/>
      </c>
      <c r="BX110" s="93" t="str" cm="1">
        <f t="array" ref="BX110">_xlfn.LET(
  _xlpm.w, BX$11,
  _xlpm.r, MATCH(1,('3. Enter Indicator Scores'!$B$10:$B$161=$B110)*('3. Enter Indicator Scores'!$C$10:$C$161=$C110),0),
  _xlpm.c, MATCH(BX$8,'3. Enter Indicator Scores'!$D$8:$CZ$8,0),
  _xlpm.v, IFERROR(INDEX('3. Enter Indicator Scores'!$D$10:$CZ$161,_xlpm.r,_xlpm.c),""),
  IF(OR(_xlpm.w="",_xlpm.v=""),"",_xlpm.v*_xlpm.w)
)</f>
        <v/>
      </c>
      <c r="BY110" s="93" t="str" cm="1">
        <f t="array" ref="BY110">_xlfn.LET(
  _xlpm.w, BY$11,
  _xlpm.r, MATCH(1,('3. Enter Indicator Scores'!$B$10:$B$161=$B110)*('3. Enter Indicator Scores'!$C$10:$C$161=$C110),0),
  _xlpm.c, MATCH(BY$8,'3. Enter Indicator Scores'!$D$8:$CZ$8,0),
  _xlpm.v, IFERROR(INDEX('3. Enter Indicator Scores'!$D$10:$CZ$161,_xlpm.r,_xlpm.c),""),
  IF(OR(_xlpm.w="",_xlpm.v=""),"",_xlpm.v*_xlpm.w)
)</f>
        <v/>
      </c>
      <c r="BZ110" s="93" t="str" cm="1">
        <f t="array" ref="BZ110">_xlfn.LET(
  _xlpm.w, BZ$11,
  _xlpm.r, MATCH(1,('3. Enter Indicator Scores'!$B$10:$B$161=$B110)*('3. Enter Indicator Scores'!$C$10:$C$161=$C110),0),
  _xlpm.c, MATCH(BZ$8,'3. Enter Indicator Scores'!$D$8:$CZ$8,0),
  _xlpm.v, IFERROR(INDEX('3. Enter Indicator Scores'!$D$10:$CZ$161,_xlpm.r,_xlpm.c),""),
  IF(OR(_xlpm.w="",_xlpm.v=""),"",_xlpm.v*_xlpm.w)
)</f>
        <v/>
      </c>
      <c r="CA110" s="93" t="str" cm="1">
        <f t="array" ref="CA110">_xlfn.LET(
  _xlpm.w, CA$11,
  _xlpm.r, MATCH(1,('3. Enter Indicator Scores'!$B$10:$B$161=$B110)*('3. Enter Indicator Scores'!$C$10:$C$161=$C110),0),
  _xlpm.c, MATCH(CA$8,'3. Enter Indicator Scores'!$D$8:$CZ$8,0),
  _xlpm.v, IFERROR(INDEX('3. Enter Indicator Scores'!$D$10:$CZ$161,_xlpm.r,_xlpm.c),""),
  IF(OR(_xlpm.w="",_xlpm.v=""),"",_xlpm.v*_xlpm.w)
)</f>
        <v/>
      </c>
      <c r="CB110" s="93" t="str" cm="1">
        <f t="array" ref="CB110">_xlfn.LET(
  _xlpm.w, CB$11,
  _xlpm.r, MATCH(1,('3. Enter Indicator Scores'!$B$10:$B$161=$B110)*('3. Enter Indicator Scores'!$C$10:$C$161=$C110),0),
  _xlpm.c, MATCH(CB$8,'3. Enter Indicator Scores'!$D$8:$CZ$8,0),
  _xlpm.v, IFERROR(INDEX('3. Enter Indicator Scores'!$D$10:$CZ$161,_xlpm.r,_xlpm.c),""),
  IF(OR(_xlpm.w="",_xlpm.v=""),"",_xlpm.v*_xlpm.w)
)</f>
        <v/>
      </c>
      <c r="CC110" s="93" t="str" cm="1">
        <f t="array" ref="CC110">_xlfn.LET(
  _xlpm.w, CC$11,
  _xlpm.r, MATCH(1,('3. Enter Indicator Scores'!$B$10:$B$161=$B110)*('3. Enter Indicator Scores'!$C$10:$C$161=$C110),0),
  _xlpm.c, MATCH(CC$8,'3. Enter Indicator Scores'!$D$8:$CZ$8,0),
  _xlpm.v, IFERROR(INDEX('3. Enter Indicator Scores'!$D$10:$CZ$161,_xlpm.r,_xlpm.c),""),
  IF(OR(_xlpm.w="",_xlpm.v=""),"",_xlpm.v*_xlpm.w)
)</f>
        <v/>
      </c>
      <c r="CD110" s="93" t="str" cm="1">
        <f t="array" ref="CD110">_xlfn.LET(
  _xlpm.w, CD$11,
  _xlpm.r, MATCH(1,('3. Enter Indicator Scores'!$B$10:$B$161=$B110)*('3. Enter Indicator Scores'!$C$10:$C$161=$C110),0),
  _xlpm.c, MATCH(CD$8,'3. Enter Indicator Scores'!$D$8:$CZ$8,0),
  _xlpm.v, IFERROR(INDEX('3. Enter Indicator Scores'!$D$10:$CZ$161,_xlpm.r,_xlpm.c),""),
  IF(OR(_xlpm.w="",_xlpm.v=""),"",_xlpm.v*_xlpm.w)
)</f>
        <v/>
      </c>
      <c r="CE110" s="93" t="str" cm="1">
        <f t="array" ref="CE110">_xlfn.LET(
  _xlpm.w, CE$11,
  _xlpm.r, MATCH(1,('3. Enter Indicator Scores'!$B$10:$B$161=$B110)*('3. Enter Indicator Scores'!$C$10:$C$161=$C110),0),
  _xlpm.c, MATCH(CE$8,'3. Enter Indicator Scores'!$D$8:$CZ$8,0),
  _xlpm.v, IFERROR(INDEX('3. Enter Indicator Scores'!$D$10:$CZ$161,_xlpm.r,_xlpm.c),""),
  IF(OR(_xlpm.w="",_xlpm.v=""),"",_xlpm.v*_xlpm.w)
)</f>
        <v/>
      </c>
      <c r="CF110" s="93" t="str" cm="1">
        <f t="array" ref="CF110">_xlfn.LET(
  _xlpm.w, CF$11,
  _xlpm.r, MATCH(1,('3. Enter Indicator Scores'!$B$10:$B$161=$B110)*('3. Enter Indicator Scores'!$C$10:$C$161=$C110),0),
  _xlpm.c, MATCH(CF$8,'3. Enter Indicator Scores'!$D$8:$CZ$8,0),
  _xlpm.v, IFERROR(INDEX('3. Enter Indicator Scores'!$D$10:$CZ$161,_xlpm.r,_xlpm.c),""),
  IF(OR(_xlpm.w="",_xlpm.v=""),"",_xlpm.v*_xlpm.w)
)</f>
        <v/>
      </c>
      <c r="CG110" s="93" t="str" cm="1">
        <f t="array" ref="CG110">_xlfn.LET(
  _xlpm.w, CG$11,
  _xlpm.r, MATCH(1,('3. Enter Indicator Scores'!$B$10:$B$161=$B110)*('3. Enter Indicator Scores'!$C$10:$C$161=$C110),0),
  _xlpm.c, MATCH(CG$8,'3. Enter Indicator Scores'!$D$8:$CZ$8,0),
  _xlpm.v, IFERROR(INDEX('3. Enter Indicator Scores'!$D$10:$CZ$161,_xlpm.r,_xlpm.c),""),
  IF(OR(_xlpm.w="",_xlpm.v=""),"",_xlpm.v*_xlpm.w)
)</f>
        <v/>
      </c>
      <c r="CH110" s="93" t="str" cm="1">
        <f t="array" ref="CH110">_xlfn.LET(
  _xlpm.w, CH$11,
  _xlpm.r, MATCH(1,('3. Enter Indicator Scores'!$B$10:$B$161=$B110)*('3. Enter Indicator Scores'!$C$10:$C$161=$C110),0),
  _xlpm.c, MATCH(CH$8,'3. Enter Indicator Scores'!$D$8:$CZ$8,0),
  _xlpm.v, IFERROR(INDEX('3. Enter Indicator Scores'!$D$10:$CZ$161,_xlpm.r,_xlpm.c),""),
  IF(OR(_xlpm.w="",_xlpm.v=""),"",_xlpm.v*_xlpm.w)
)</f>
        <v/>
      </c>
      <c r="CI110" s="93" t="str" cm="1">
        <f t="array" ref="CI110">_xlfn.LET(
  _xlpm.w, CI$11,
  _xlpm.r, MATCH(1,('3. Enter Indicator Scores'!$B$10:$B$161=$B110)*('3. Enter Indicator Scores'!$C$10:$C$161=$C110),0),
  _xlpm.c, MATCH(CI$8,'3. Enter Indicator Scores'!$D$8:$CZ$8,0),
  _xlpm.v, IFERROR(INDEX('3. Enter Indicator Scores'!$D$10:$CZ$161,_xlpm.r,_xlpm.c),""),
  IF(OR(_xlpm.w="",_xlpm.v=""),"",_xlpm.v*_xlpm.w)
)</f>
        <v/>
      </c>
      <c r="CJ110" s="93" t="str" cm="1">
        <f t="array" ref="CJ110">_xlfn.LET(
  _xlpm.w, CJ$11,
  _xlpm.r, MATCH(1,('3. Enter Indicator Scores'!$B$10:$B$161=$B110)*('3. Enter Indicator Scores'!$C$10:$C$161=$C110),0),
  _xlpm.c, MATCH(CJ$8,'3. Enter Indicator Scores'!$D$8:$CZ$8,0),
  _xlpm.v, IFERROR(INDEX('3. Enter Indicator Scores'!$D$10:$CZ$161,_xlpm.r,_xlpm.c),""),
  IF(OR(_xlpm.w="",_xlpm.v=""),"",_xlpm.v*_xlpm.w)
)</f>
        <v/>
      </c>
      <c r="CK110" s="93" t="str" cm="1">
        <f t="array" ref="CK110">_xlfn.LET(
  _xlpm.w, CK$11,
  _xlpm.r, MATCH(1,('3. Enter Indicator Scores'!$B$10:$B$161=$B110)*('3. Enter Indicator Scores'!$C$10:$C$161=$C110),0),
  _xlpm.c, MATCH(CK$8,'3. Enter Indicator Scores'!$D$8:$CZ$8,0),
  _xlpm.v, IFERROR(INDEX('3. Enter Indicator Scores'!$D$10:$CZ$161,_xlpm.r,_xlpm.c),""),
  IF(OR(_xlpm.w="",_xlpm.v=""),"",_xlpm.v*_xlpm.w)
)</f>
        <v/>
      </c>
      <c r="CL110" s="93" t="str" cm="1">
        <f t="array" ref="CL110">_xlfn.LET(
  _xlpm.w, CL$11,
  _xlpm.r, MATCH(1,('3. Enter Indicator Scores'!$B$10:$B$161=$B110)*('3. Enter Indicator Scores'!$C$10:$C$161=$C110),0),
  _xlpm.c, MATCH(CL$8,'3. Enter Indicator Scores'!$D$8:$CZ$8,0),
  _xlpm.v, IFERROR(INDEX('3. Enter Indicator Scores'!$D$10:$CZ$161,_xlpm.r,_xlpm.c),""),
  IF(OR(_xlpm.w="",_xlpm.v=""),"",_xlpm.v*_xlpm.w)
)</f>
        <v/>
      </c>
      <c r="CM110" s="93" t="str" cm="1">
        <f t="array" ref="CM110">_xlfn.LET(
  _xlpm.w, CM$11,
  _xlpm.r, MATCH(1,('3. Enter Indicator Scores'!$B$10:$B$161=$B110)*('3. Enter Indicator Scores'!$C$10:$C$161=$C110),0),
  _xlpm.c, MATCH(CM$8,'3. Enter Indicator Scores'!$D$8:$CZ$8,0),
  _xlpm.v, IFERROR(INDEX('3. Enter Indicator Scores'!$D$10:$CZ$161,_xlpm.r,_xlpm.c),""),
  IF(OR(_xlpm.w="",_xlpm.v=""),"",_xlpm.v*_xlpm.w)
)</f>
        <v/>
      </c>
      <c r="CN110" s="93" t="str" cm="1">
        <f t="array" ref="CN110">_xlfn.LET(
  _xlpm.w, CN$11,
  _xlpm.r, MATCH(1,('3. Enter Indicator Scores'!$B$10:$B$161=$B110)*('3. Enter Indicator Scores'!$C$10:$C$161=$C110),0),
  _xlpm.c, MATCH(CN$8,'3. Enter Indicator Scores'!$D$8:$CZ$8,0),
  _xlpm.v, IFERROR(INDEX('3. Enter Indicator Scores'!$D$10:$CZ$161,_xlpm.r,_xlpm.c),""),
  IF(OR(_xlpm.w="",_xlpm.v=""),"",_xlpm.v*_xlpm.w)
)</f>
        <v/>
      </c>
      <c r="CO110" s="93" t="str" cm="1">
        <f t="array" ref="CO110">_xlfn.LET(
  _xlpm.w, CO$11,
  _xlpm.r, MATCH(1,('3. Enter Indicator Scores'!$B$10:$B$161=$B110)*('3. Enter Indicator Scores'!$C$10:$C$161=$C110),0),
  _xlpm.c, MATCH(CO$8,'3. Enter Indicator Scores'!$D$8:$CZ$8,0),
  _xlpm.v, IFERROR(INDEX('3. Enter Indicator Scores'!$D$10:$CZ$161,_xlpm.r,_xlpm.c),""),
  IF(OR(_xlpm.w="",_xlpm.v=""),"",_xlpm.v*_xlpm.w)
)</f>
        <v/>
      </c>
      <c r="CP110" s="93" t="str" cm="1">
        <f t="array" ref="CP110">_xlfn.LET(
  _xlpm.w, CP$11,
  _xlpm.r, MATCH(1,('3. Enter Indicator Scores'!$B$10:$B$161=$B110)*('3. Enter Indicator Scores'!$C$10:$C$161=$C110),0),
  _xlpm.c, MATCH(CP$8,'3. Enter Indicator Scores'!$D$8:$CZ$8,0),
  _xlpm.v, IFERROR(INDEX('3. Enter Indicator Scores'!$D$10:$CZ$161,_xlpm.r,_xlpm.c),""),
  IF(OR(_xlpm.w="",_xlpm.v=""),"",_xlpm.v*_xlpm.w)
)</f>
        <v/>
      </c>
      <c r="CQ110" s="93" t="str" cm="1">
        <f t="array" ref="CQ110">_xlfn.LET(
  _xlpm.w, CQ$11,
  _xlpm.r, MATCH(1,('3. Enter Indicator Scores'!$B$10:$B$161=$B110)*('3. Enter Indicator Scores'!$C$10:$C$161=$C110),0),
  _xlpm.c, MATCH(CQ$8,'3. Enter Indicator Scores'!$D$8:$CZ$8,0),
  _xlpm.v, IFERROR(INDEX('3. Enter Indicator Scores'!$D$10:$CZ$161,_xlpm.r,_xlpm.c),""),
  IF(OR(_xlpm.w="",_xlpm.v=""),"",_xlpm.v*_xlpm.w)
)</f>
        <v/>
      </c>
      <c r="CR110" s="93" t="str" cm="1">
        <f t="array" ref="CR110">_xlfn.LET(
  _xlpm.w, CR$11,
  _xlpm.r, MATCH(1,('3. Enter Indicator Scores'!$B$10:$B$161=$B110)*('3. Enter Indicator Scores'!$C$10:$C$161=$C110),0),
  _xlpm.c, MATCH(CR$8,'3. Enter Indicator Scores'!$D$8:$CZ$8,0),
  _xlpm.v, IFERROR(INDEX('3. Enter Indicator Scores'!$D$10:$CZ$161,_xlpm.r,_xlpm.c),""),
  IF(OR(_xlpm.w="",_xlpm.v=""),"",_xlpm.v*_xlpm.w)
)</f>
        <v/>
      </c>
      <c r="CS110" s="93" t="str" cm="1">
        <f t="array" ref="CS110">_xlfn.LET(
  _xlpm.w, CS$11,
  _xlpm.r, MATCH(1,('3. Enter Indicator Scores'!$B$10:$B$161=$B110)*('3. Enter Indicator Scores'!$C$10:$C$161=$C110),0),
  _xlpm.c, MATCH(CS$8,'3. Enter Indicator Scores'!$D$8:$CZ$8,0),
  _xlpm.v, IFERROR(INDEX('3. Enter Indicator Scores'!$D$10:$CZ$161,_xlpm.r,_xlpm.c),""),
  IF(OR(_xlpm.w="",_xlpm.v=""),"",_xlpm.v*_xlpm.w)
)</f>
        <v/>
      </c>
      <c r="CT110" s="93" t="str" cm="1">
        <f t="array" ref="CT110">_xlfn.LET(
  _xlpm.w, CT$11,
  _xlpm.r, MATCH(1,('3. Enter Indicator Scores'!$B$10:$B$161=$B110)*('3. Enter Indicator Scores'!$C$10:$C$161=$C110),0),
  _xlpm.c, MATCH(CT$8,'3. Enter Indicator Scores'!$D$8:$CZ$8,0),
  _xlpm.v, IFERROR(INDEX('3. Enter Indicator Scores'!$D$10:$CZ$161,_xlpm.r,_xlpm.c),""),
  IF(OR(_xlpm.w="",_xlpm.v=""),"",_xlpm.v*_xlpm.w)
)</f>
        <v/>
      </c>
      <c r="CU110" s="93" t="str" cm="1">
        <f t="array" ref="CU110">_xlfn.LET(
  _xlpm.w, CU$11,
  _xlpm.r, MATCH(1,('3. Enter Indicator Scores'!$B$10:$B$161=$B110)*('3. Enter Indicator Scores'!$C$10:$C$161=$C110),0),
  _xlpm.c, MATCH(CU$8,'3. Enter Indicator Scores'!$D$8:$CZ$8,0),
  _xlpm.v, IFERROR(INDEX('3. Enter Indicator Scores'!$D$10:$CZ$161,_xlpm.r,_xlpm.c),""),
  IF(OR(_xlpm.w="",_xlpm.v=""),"",_xlpm.v*_xlpm.w)
)</f>
        <v/>
      </c>
      <c r="CV110" s="93" t="str" cm="1">
        <f t="array" ref="CV110">_xlfn.LET(
  _xlpm.w, CV$11,
  _xlpm.r, MATCH(1,('3. Enter Indicator Scores'!$B$10:$B$161=$B110)*('3. Enter Indicator Scores'!$C$10:$C$161=$C110),0),
  _xlpm.c, MATCH(CV$8,'3. Enter Indicator Scores'!$D$8:$CZ$8,0),
  _xlpm.v, IFERROR(INDEX('3. Enter Indicator Scores'!$D$10:$CZ$161,_xlpm.r,_xlpm.c),""),
  IF(OR(_xlpm.w="",_xlpm.v=""),"",_xlpm.v*_xlpm.w)
)</f>
        <v/>
      </c>
      <c r="CW110" s="93" t="str" cm="1">
        <f t="array" ref="CW110">_xlfn.LET(
  _xlpm.w, CW$11,
  _xlpm.r, MATCH(1,('3. Enter Indicator Scores'!$B$10:$B$161=$B110)*('3. Enter Indicator Scores'!$C$10:$C$161=$C110),0),
  _xlpm.c, MATCH(CW$8,'3. Enter Indicator Scores'!$D$8:$CZ$8,0),
  _xlpm.v, IFERROR(INDEX('3. Enter Indicator Scores'!$D$10:$CZ$161,_xlpm.r,_xlpm.c),""),
  IF(OR(_xlpm.w="",_xlpm.v=""),"",_xlpm.v*_xlpm.w)
)</f>
        <v/>
      </c>
      <c r="CX110" s="93" t="str" cm="1">
        <f t="array" ref="CX110">_xlfn.LET(
  _xlpm.w, CX$11,
  _xlpm.r, MATCH(1,('3. Enter Indicator Scores'!$B$10:$B$161=$B110)*('3. Enter Indicator Scores'!$C$10:$C$161=$C110),0),
  _xlpm.c, MATCH(CX$8,'3. Enter Indicator Scores'!$D$8:$CZ$8,0),
  _xlpm.v, IFERROR(INDEX('3. Enter Indicator Scores'!$D$10:$CZ$161,_xlpm.r,_xlpm.c),""),
  IF(OR(_xlpm.w="",_xlpm.v=""),"",_xlpm.v*_xlpm.w)
)</f>
        <v/>
      </c>
      <c r="CY110" s="93" t="str" cm="1">
        <f t="array" ref="CY110">_xlfn.LET(
  _xlpm.w, CY$11,
  _xlpm.r, MATCH(1,('3. Enter Indicator Scores'!$B$10:$B$161=$B110)*('3. Enter Indicator Scores'!$C$10:$C$161=$C110),0),
  _xlpm.c, MATCH(CY$8,'3. Enter Indicator Scores'!$D$8:$CZ$8,0),
  _xlpm.v, IFERROR(INDEX('3. Enter Indicator Scores'!$D$10:$CZ$161,_xlpm.r,_xlpm.c),""),
  IF(OR(_xlpm.w="",_xlpm.v=""),"",_xlpm.v*_xlpm.w)
)</f>
        <v/>
      </c>
      <c r="CZ110" s="93" t="str" cm="1">
        <f t="array" ref="CZ110">_xlfn.LET(
  _xlpm.w, CZ$11,
  _xlpm.r, MATCH(1,('3. Enter Indicator Scores'!$B$10:$B$161=$B110)*('3. Enter Indicator Scores'!$C$10:$C$161=$C110),0),
  _xlpm.c, MATCH(CZ$8,'3. Enter Indicator Scores'!$D$8:$CZ$8,0),
  _xlpm.v, IFERROR(INDEX('3. Enter Indicator Scores'!$D$10:$CZ$161,_xlpm.r,_xlpm.c),""),
  IF(OR(_xlpm.w="",_xlpm.v=""),"",_xlpm.v*_xlpm.w)
)</f>
        <v/>
      </c>
    </row>
    <row r="111" spans="4:104" x14ac:dyDescent="0.2">
      <c r="D111" s="93" t="str" cm="1">
        <f t="array" ref="D111">_xlfn.LET(
  _xlpm.w, D$11,
  _xlpm.r, MATCH(1,('3. Enter Indicator Scores'!$B$10:$B$161=$B111)*('3. Enter Indicator Scores'!$C$10:$C$161=$C111),0),
  _xlpm.c, MATCH(D$8,'3. Enter Indicator Scores'!$D$8:$CZ$8,0),
  _xlpm.v, IFERROR(INDEX('3. Enter Indicator Scores'!$D$10:$CZ$161,_xlpm.r,_xlpm.c),""),
  IF(OR(_xlpm.w="",_xlpm.v=""),"",_xlpm.v*_xlpm.w)
)</f>
        <v/>
      </c>
      <c r="E111" s="93" t="str" cm="1">
        <f t="array" ref="E111">_xlfn.LET(
  _xlpm.w, E$11,
  _xlpm.r, MATCH(1,('3. Enter Indicator Scores'!$B$10:$B$161=$B111)*('3. Enter Indicator Scores'!$C$10:$C$161=$C111),0),
  _xlpm.c, MATCH(E$8,'3. Enter Indicator Scores'!$D$8:$CZ$8,0),
  _xlpm.v, IFERROR(INDEX('3. Enter Indicator Scores'!$D$10:$CZ$161,_xlpm.r,_xlpm.c),""),
  IF(OR(_xlpm.w="",_xlpm.v=""),"",_xlpm.v*_xlpm.w)
)</f>
        <v/>
      </c>
      <c r="F111" s="93" t="str" cm="1">
        <f t="array" ref="F111">_xlfn.LET(
  _xlpm.w, F$11,
  _xlpm.r, MATCH(1,('3. Enter Indicator Scores'!$B$10:$B$161=$B111)*('3. Enter Indicator Scores'!$C$10:$C$161=$C111),0),
  _xlpm.c, MATCH(F$8,'3. Enter Indicator Scores'!$D$8:$CZ$8,0),
  _xlpm.v, IFERROR(INDEX('3. Enter Indicator Scores'!$D$10:$CZ$161,_xlpm.r,_xlpm.c),""),
  IF(OR(_xlpm.w="",_xlpm.v=""),"",_xlpm.v*_xlpm.w)
)</f>
        <v/>
      </c>
      <c r="G111" s="93" t="str" cm="1">
        <f t="array" ref="G111">_xlfn.LET(
  _xlpm.w, G$11,
  _xlpm.r, MATCH(1,('3. Enter Indicator Scores'!$B$10:$B$161=$B111)*('3. Enter Indicator Scores'!$C$10:$C$161=$C111),0),
  _xlpm.c, MATCH(G$8,'3. Enter Indicator Scores'!$D$8:$CZ$8,0),
  _xlpm.v, IFERROR(INDEX('3. Enter Indicator Scores'!$D$10:$CZ$161,_xlpm.r,_xlpm.c),""),
  IF(OR(_xlpm.w="",_xlpm.v=""),"",_xlpm.v*_xlpm.w)
)</f>
        <v/>
      </c>
      <c r="H111" s="93" t="str" cm="1">
        <f t="array" ref="H111">_xlfn.LET(
  _xlpm.w, H$11,
  _xlpm.r, MATCH(1,('3. Enter Indicator Scores'!$B$10:$B$161=$B111)*('3. Enter Indicator Scores'!$C$10:$C$161=$C111),0),
  _xlpm.c, MATCH(H$8,'3. Enter Indicator Scores'!$D$8:$CZ$8,0),
  _xlpm.v, IFERROR(INDEX('3. Enter Indicator Scores'!$D$10:$CZ$161,_xlpm.r,_xlpm.c),""),
  IF(OR(_xlpm.w="",_xlpm.v=""),"",_xlpm.v*_xlpm.w)
)</f>
        <v/>
      </c>
      <c r="I111" s="93" t="str" cm="1">
        <f t="array" ref="I111">_xlfn.LET(
  _xlpm.w, I$11,
  _xlpm.r, MATCH(1,('3. Enter Indicator Scores'!$B$10:$B$161=$B111)*('3. Enter Indicator Scores'!$C$10:$C$161=$C111),0),
  _xlpm.c, MATCH(I$8,'3. Enter Indicator Scores'!$D$8:$CZ$8,0),
  _xlpm.v, IFERROR(INDEX('3. Enter Indicator Scores'!$D$10:$CZ$161,_xlpm.r,_xlpm.c),""),
  IF(OR(_xlpm.w="",_xlpm.v=""),"",_xlpm.v*_xlpm.w)
)</f>
        <v/>
      </c>
      <c r="J111" s="93" t="str" cm="1">
        <f t="array" ref="J111">_xlfn.LET(
  _xlpm.w, J$11,
  _xlpm.r, MATCH(1,('3. Enter Indicator Scores'!$B$10:$B$161=$B111)*('3. Enter Indicator Scores'!$C$10:$C$161=$C111),0),
  _xlpm.c, MATCH(J$8,'3. Enter Indicator Scores'!$D$8:$CZ$8,0),
  _xlpm.v, IFERROR(INDEX('3. Enter Indicator Scores'!$D$10:$CZ$161,_xlpm.r,_xlpm.c),""),
  IF(OR(_xlpm.w="",_xlpm.v=""),"",_xlpm.v*_xlpm.w)
)</f>
        <v/>
      </c>
      <c r="K111" s="93" t="str" cm="1">
        <f t="array" ref="K111">_xlfn.LET(
  _xlpm.w, K$11,
  _xlpm.r, MATCH(1,('3. Enter Indicator Scores'!$B$10:$B$161=$B111)*('3. Enter Indicator Scores'!$C$10:$C$161=$C111),0),
  _xlpm.c, MATCH(K$8,'3. Enter Indicator Scores'!$D$8:$CZ$8,0),
  _xlpm.v, IFERROR(INDEX('3. Enter Indicator Scores'!$D$10:$CZ$161,_xlpm.r,_xlpm.c),""),
  IF(OR(_xlpm.w="",_xlpm.v=""),"",_xlpm.v*_xlpm.w)
)</f>
        <v/>
      </c>
      <c r="L111" s="93" t="str" cm="1">
        <f t="array" ref="L111">_xlfn.LET(
  _xlpm.w, L$11,
  _xlpm.r, MATCH(1,('3. Enter Indicator Scores'!$B$10:$B$161=$B111)*('3. Enter Indicator Scores'!$C$10:$C$161=$C111),0),
  _xlpm.c, MATCH(L$8,'3. Enter Indicator Scores'!$D$8:$CZ$8,0),
  _xlpm.v, IFERROR(INDEX('3. Enter Indicator Scores'!$D$10:$CZ$161,_xlpm.r,_xlpm.c),""),
  IF(OR(_xlpm.w="",_xlpm.v=""),"",_xlpm.v*_xlpm.w)
)</f>
        <v/>
      </c>
      <c r="M111" s="93" t="str" cm="1">
        <f t="array" ref="M111">_xlfn.LET(
  _xlpm.w, M$11,
  _xlpm.r, MATCH(1,('3. Enter Indicator Scores'!$B$10:$B$161=$B111)*('3. Enter Indicator Scores'!$C$10:$C$161=$C111),0),
  _xlpm.c, MATCH(M$8,'3. Enter Indicator Scores'!$D$8:$CZ$8,0),
  _xlpm.v, IFERROR(INDEX('3. Enter Indicator Scores'!$D$10:$CZ$161,_xlpm.r,_xlpm.c),""),
  IF(OR(_xlpm.w="",_xlpm.v=""),"",_xlpm.v*_xlpm.w)
)</f>
        <v/>
      </c>
      <c r="N111" s="93" t="str" cm="1">
        <f t="array" ref="N111">_xlfn.LET(
  _xlpm.w, N$11,
  _xlpm.r, MATCH(1,('3. Enter Indicator Scores'!$B$10:$B$161=$B111)*('3. Enter Indicator Scores'!$C$10:$C$161=$C111),0),
  _xlpm.c, MATCH(N$8,'3. Enter Indicator Scores'!$D$8:$CZ$8,0),
  _xlpm.v, IFERROR(INDEX('3. Enter Indicator Scores'!$D$10:$CZ$161,_xlpm.r,_xlpm.c),""),
  IF(OR(_xlpm.w="",_xlpm.v=""),"",_xlpm.v*_xlpm.w)
)</f>
        <v/>
      </c>
      <c r="O111" s="93" t="str" cm="1">
        <f t="array" ref="O111">_xlfn.LET(
  _xlpm.w, O$11,
  _xlpm.r, MATCH(1,('3. Enter Indicator Scores'!$B$10:$B$161=$B111)*('3. Enter Indicator Scores'!$C$10:$C$161=$C111),0),
  _xlpm.c, MATCH(O$8,'3. Enter Indicator Scores'!$D$8:$CZ$8,0),
  _xlpm.v, IFERROR(INDEX('3. Enter Indicator Scores'!$D$10:$CZ$161,_xlpm.r,_xlpm.c),""),
  IF(OR(_xlpm.w="",_xlpm.v=""),"",_xlpm.v*_xlpm.w)
)</f>
        <v/>
      </c>
      <c r="P111" s="93" t="str" cm="1">
        <f t="array" ref="P111">_xlfn.LET(
  _xlpm.w, P$11,
  _xlpm.r, MATCH(1,('3. Enter Indicator Scores'!$B$10:$B$161=$B111)*('3. Enter Indicator Scores'!$C$10:$C$161=$C111),0),
  _xlpm.c, MATCH(P$8,'3. Enter Indicator Scores'!$D$8:$CZ$8,0),
  _xlpm.v, IFERROR(INDEX('3. Enter Indicator Scores'!$D$10:$CZ$161,_xlpm.r,_xlpm.c),""),
  IF(OR(_xlpm.w="",_xlpm.v=""),"",_xlpm.v*_xlpm.w)
)</f>
        <v/>
      </c>
      <c r="Q111" s="93" t="str" cm="1">
        <f t="array" ref="Q111">_xlfn.LET(
  _xlpm.w, Q$11,
  _xlpm.r, MATCH(1,('3. Enter Indicator Scores'!$B$10:$B$161=$B111)*('3. Enter Indicator Scores'!$C$10:$C$161=$C111),0),
  _xlpm.c, MATCH(Q$8,'3. Enter Indicator Scores'!$D$8:$CZ$8,0),
  _xlpm.v, IFERROR(INDEX('3. Enter Indicator Scores'!$D$10:$CZ$161,_xlpm.r,_xlpm.c),""),
  IF(OR(_xlpm.w="",_xlpm.v=""),"",_xlpm.v*_xlpm.w)
)</f>
        <v/>
      </c>
      <c r="R111" s="93" t="str" cm="1">
        <f t="array" ref="R111">_xlfn.LET(
  _xlpm.w, R$11,
  _xlpm.r, MATCH(1,('3. Enter Indicator Scores'!$B$10:$B$161=$B111)*('3. Enter Indicator Scores'!$C$10:$C$161=$C111),0),
  _xlpm.c, MATCH(R$8,'3. Enter Indicator Scores'!$D$8:$CZ$8,0),
  _xlpm.v, IFERROR(INDEX('3. Enter Indicator Scores'!$D$10:$CZ$161,_xlpm.r,_xlpm.c),""),
  IF(OR(_xlpm.w="",_xlpm.v=""),"",_xlpm.v*_xlpm.w)
)</f>
        <v/>
      </c>
      <c r="S111" s="93" t="str" cm="1">
        <f t="array" ref="S111">_xlfn.LET(
  _xlpm.w, S$11,
  _xlpm.r, MATCH(1,('3. Enter Indicator Scores'!$B$10:$B$161=$B111)*('3. Enter Indicator Scores'!$C$10:$C$161=$C111),0),
  _xlpm.c, MATCH(S$8,'3. Enter Indicator Scores'!$D$8:$CZ$8,0),
  _xlpm.v, IFERROR(INDEX('3. Enter Indicator Scores'!$D$10:$CZ$161,_xlpm.r,_xlpm.c),""),
  IF(OR(_xlpm.w="",_xlpm.v=""),"",_xlpm.v*_xlpm.w)
)</f>
        <v/>
      </c>
      <c r="T111" s="93" t="str" cm="1">
        <f t="array" ref="T111">_xlfn.LET(
  _xlpm.w, T$11,
  _xlpm.r, MATCH(1,('3. Enter Indicator Scores'!$B$10:$B$161=$B111)*('3. Enter Indicator Scores'!$C$10:$C$161=$C111),0),
  _xlpm.c, MATCH(T$8,'3. Enter Indicator Scores'!$D$8:$CZ$8,0),
  _xlpm.v, IFERROR(INDEX('3. Enter Indicator Scores'!$D$10:$CZ$161,_xlpm.r,_xlpm.c),""),
  IF(OR(_xlpm.w="",_xlpm.v=""),"",_xlpm.v*_xlpm.w)
)</f>
        <v/>
      </c>
      <c r="U111" s="93" t="str" cm="1">
        <f t="array" ref="U111">_xlfn.LET(
  _xlpm.w, U$11,
  _xlpm.r, MATCH(1,('3. Enter Indicator Scores'!$B$10:$B$161=$B111)*('3. Enter Indicator Scores'!$C$10:$C$161=$C111),0),
  _xlpm.c, MATCH(U$8,'3. Enter Indicator Scores'!$D$8:$CZ$8,0),
  _xlpm.v, IFERROR(INDEX('3. Enter Indicator Scores'!$D$10:$CZ$161,_xlpm.r,_xlpm.c),""),
  IF(OR(_xlpm.w="",_xlpm.v=""),"",_xlpm.v*_xlpm.w)
)</f>
        <v/>
      </c>
      <c r="V111" s="93" t="str" cm="1">
        <f t="array" ref="V111">_xlfn.LET(
  _xlpm.w, V$11,
  _xlpm.r, MATCH(1,('3. Enter Indicator Scores'!$B$10:$B$161=$B111)*('3. Enter Indicator Scores'!$C$10:$C$161=$C111),0),
  _xlpm.c, MATCH(V$8,'3. Enter Indicator Scores'!$D$8:$CZ$8,0),
  _xlpm.v, IFERROR(INDEX('3. Enter Indicator Scores'!$D$10:$CZ$161,_xlpm.r,_xlpm.c),""),
  IF(OR(_xlpm.w="",_xlpm.v=""),"",_xlpm.v*_xlpm.w)
)</f>
        <v/>
      </c>
      <c r="W111" s="93" t="str" cm="1">
        <f t="array" ref="W111">_xlfn.LET(
  _xlpm.w, W$11,
  _xlpm.r, MATCH(1,('3. Enter Indicator Scores'!$B$10:$B$161=$B111)*('3. Enter Indicator Scores'!$C$10:$C$161=$C111),0),
  _xlpm.c, MATCH(W$8,'3. Enter Indicator Scores'!$D$8:$CZ$8,0),
  _xlpm.v, IFERROR(INDEX('3. Enter Indicator Scores'!$D$10:$CZ$161,_xlpm.r,_xlpm.c),""),
  IF(OR(_xlpm.w="",_xlpm.v=""),"",_xlpm.v*_xlpm.w)
)</f>
        <v/>
      </c>
      <c r="X111" s="93" t="str" cm="1">
        <f t="array" ref="X111">_xlfn.LET(
  _xlpm.w, X$11,
  _xlpm.r, MATCH(1,('3. Enter Indicator Scores'!$B$10:$B$161=$B111)*('3. Enter Indicator Scores'!$C$10:$C$161=$C111),0),
  _xlpm.c, MATCH(X$8,'3. Enter Indicator Scores'!$D$8:$CZ$8,0),
  _xlpm.v, IFERROR(INDEX('3. Enter Indicator Scores'!$D$10:$CZ$161,_xlpm.r,_xlpm.c),""),
  IF(OR(_xlpm.w="",_xlpm.v=""),"",_xlpm.v*_xlpm.w)
)</f>
        <v/>
      </c>
      <c r="Y111" s="93" t="str" cm="1">
        <f t="array" ref="Y111">_xlfn.LET(
  _xlpm.w, Y$11,
  _xlpm.r, MATCH(1,('3. Enter Indicator Scores'!$B$10:$B$161=$B111)*('3. Enter Indicator Scores'!$C$10:$C$161=$C111),0),
  _xlpm.c, MATCH(Y$8,'3. Enter Indicator Scores'!$D$8:$CZ$8,0),
  _xlpm.v, IFERROR(INDEX('3. Enter Indicator Scores'!$D$10:$CZ$161,_xlpm.r,_xlpm.c),""),
  IF(OR(_xlpm.w="",_xlpm.v=""),"",_xlpm.v*_xlpm.w)
)</f>
        <v/>
      </c>
      <c r="Z111" s="93" t="str" cm="1">
        <f t="array" ref="Z111">_xlfn.LET(
  _xlpm.w, Z$11,
  _xlpm.r, MATCH(1,('3. Enter Indicator Scores'!$B$10:$B$161=$B111)*('3. Enter Indicator Scores'!$C$10:$C$161=$C111),0),
  _xlpm.c, MATCH(Z$8,'3. Enter Indicator Scores'!$D$8:$CZ$8,0),
  _xlpm.v, IFERROR(INDEX('3. Enter Indicator Scores'!$D$10:$CZ$161,_xlpm.r,_xlpm.c),""),
  IF(OR(_xlpm.w="",_xlpm.v=""),"",_xlpm.v*_xlpm.w)
)</f>
        <v/>
      </c>
      <c r="AA111" s="93" t="str" cm="1">
        <f t="array" ref="AA111">_xlfn.LET(
  _xlpm.w, AA$11,
  _xlpm.r, MATCH(1,('3. Enter Indicator Scores'!$B$10:$B$161=$B111)*('3. Enter Indicator Scores'!$C$10:$C$161=$C111),0),
  _xlpm.c, MATCH(AA$8,'3. Enter Indicator Scores'!$D$8:$CZ$8,0),
  _xlpm.v, IFERROR(INDEX('3. Enter Indicator Scores'!$D$10:$CZ$161,_xlpm.r,_xlpm.c),""),
  IF(OR(_xlpm.w="",_xlpm.v=""),"",_xlpm.v*_xlpm.w)
)</f>
        <v/>
      </c>
      <c r="AB111" s="93" t="str" cm="1">
        <f t="array" ref="AB111">_xlfn.LET(
  _xlpm.w, AB$11,
  _xlpm.r, MATCH(1,('3. Enter Indicator Scores'!$B$10:$B$161=$B111)*('3. Enter Indicator Scores'!$C$10:$C$161=$C111),0),
  _xlpm.c, MATCH(AB$8,'3. Enter Indicator Scores'!$D$8:$CZ$8,0),
  _xlpm.v, IFERROR(INDEX('3. Enter Indicator Scores'!$D$10:$CZ$161,_xlpm.r,_xlpm.c),""),
  IF(OR(_xlpm.w="",_xlpm.v=""),"",_xlpm.v*_xlpm.w)
)</f>
        <v/>
      </c>
      <c r="AC111" s="93" t="str" cm="1">
        <f t="array" ref="AC111">_xlfn.LET(
  _xlpm.w, AC$11,
  _xlpm.r, MATCH(1,('3. Enter Indicator Scores'!$B$10:$B$161=$B111)*('3. Enter Indicator Scores'!$C$10:$C$161=$C111),0),
  _xlpm.c, MATCH(AC$8,'3. Enter Indicator Scores'!$D$8:$CZ$8,0),
  _xlpm.v, IFERROR(INDEX('3. Enter Indicator Scores'!$D$10:$CZ$161,_xlpm.r,_xlpm.c),""),
  IF(OR(_xlpm.w="",_xlpm.v=""),"",_xlpm.v*_xlpm.w)
)</f>
        <v/>
      </c>
      <c r="AD111" s="93" t="str" cm="1">
        <f t="array" ref="AD111">_xlfn.LET(
  _xlpm.w, AD$11,
  _xlpm.r, MATCH(1,('3. Enter Indicator Scores'!$B$10:$B$161=$B111)*('3. Enter Indicator Scores'!$C$10:$C$161=$C111),0),
  _xlpm.c, MATCH(AD$8,'3. Enter Indicator Scores'!$D$8:$CZ$8,0),
  _xlpm.v, IFERROR(INDEX('3. Enter Indicator Scores'!$D$10:$CZ$161,_xlpm.r,_xlpm.c),""),
  IF(OR(_xlpm.w="",_xlpm.v=""),"",_xlpm.v*_xlpm.w)
)</f>
        <v/>
      </c>
      <c r="AE111" s="93" t="str" cm="1">
        <f t="array" ref="AE111">_xlfn.LET(
  _xlpm.w, AE$11,
  _xlpm.r, MATCH(1,('3. Enter Indicator Scores'!$B$10:$B$161=$B111)*('3. Enter Indicator Scores'!$C$10:$C$161=$C111),0),
  _xlpm.c, MATCH(AE$8,'3. Enter Indicator Scores'!$D$8:$CZ$8,0),
  _xlpm.v, IFERROR(INDEX('3. Enter Indicator Scores'!$D$10:$CZ$161,_xlpm.r,_xlpm.c),""),
  IF(OR(_xlpm.w="",_xlpm.v=""),"",_xlpm.v*_xlpm.w)
)</f>
        <v/>
      </c>
      <c r="AF111" s="93" t="str" cm="1">
        <f t="array" ref="AF111">_xlfn.LET(
  _xlpm.w, AF$11,
  _xlpm.r, MATCH(1,('3. Enter Indicator Scores'!$B$10:$B$161=$B111)*('3. Enter Indicator Scores'!$C$10:$C$161=$C111),0),
  _xlpm.c, MATCH(AF$8,'3. Enter Indicator Scores'!$D$8:$CZ$8,0),
  _xlpm.v, IFERROR(INDEX('3. Enter Indicator Scores'!$D$10:$CZ$161,_xlpm.r,_xlpm.c),""),
  IF(OR(_xlpm.w="",_xlpm.v=""),"",_xlpm.v*_xlpm.w)
)</f>
        <v/>
      </c>
      <c r="AG111" s="93" t="str" cm="1">
        <f t="array" ref="AG111">_xlfn.LET(
  _xlpm.w, AG$11,
  _xlpm.r, MATCH(1,('3. Enter Indicator Scores'!$B$10:$B$161=$B111)*('3. Enter Indicator Scores'!$C$10:$C$161=$C111),0),
  _xlpm.c, MATCH(AG$8,'3. Enter Indicator Scores'!$D$8:$CZ$8,0),
  _xlpm.v, IFERROR(INDEX('3. Enter Indicator Scores'!$D$10:$CZ$161,_xlpm.r,_xlpm.c),""),
  IF(OR(_xlpm.w="",_xlpm.v=""),"",_xlpm.v*_xlpm.w)
)</f>
        <v/>
      </c>
      <c r="AH111" s="93" t="str" cm="1">
        <f t="array" ref="AH111">_xlfn.LET(
  _xlpm.w, AH$11,
  _xlpm.r, MATCH(1,('3. Enter Indicator Scores'!$B$10:$B$161=$B111)*('3. Enter Indicator Scores'!$C$10:$C$161=$C111),0),
  _xlpm.c, MATCH(AH$8,'3. Enter Indicator Scores'!$D$8:$CZ$8,0),
  _xlpm.v, IFERROR(INDEX('3. Enter Indicator Scores'!$D$10:$CZ$161,_xlpm.r,_xlpm.c),""),
  IF(OR(_xlpm.w="",_xlpm.v=""),"",_xlpm.v*_xlpm.w)
)</f>
        <v/>
      </c>
      <c r="AI111" s="93" t="str" cm="1">
        <f t="array" ref="AI111">_xlfn.LET(
  _xlpm.w, AI$11,
  _xlpm.r, MATCH(1,('3. Enter Indicator Scores'!$B$10:$B$161=$B111)*('3. Enter Indicator Scores'!$C$10:$C$161=$C111),0),
  _xlpm.c, MATCH(AI$8,'3. Enter Indicator Scores'!$D$8:$CZ$8,0),
  _xlpm.v, IFERROR(INDEX('3. Enter Indicator Scores'!$D$10:$CZ$161,_xlpm.r,_xlpm.c),""),
  IF(OR(_xlpm.w="",_xlpm.v=""),"",_xlpm.v*_xlpm.w)
)</f>
        <v/>
      </c>
      <c r="AJ111" s="93" t="str" cm="1">
        <f t="array" ref="AJ111">_xlfn.LET(
  _xlpm.w, AJ$11,
  _xlpm.r, MATCH(1,('3. Enter Indicator Scores'!$B$10:$B$161=$B111)*('3. Enter Indicator Scores'!$C$10:$C$161=$C111),0),
  _xlpm.c, MATCH(AJ$8,'3. Enter Indicator Scores'!$D$8:$CZ$8,0),
  _xlpm.v, IFERROR(INDEX('3. Enter Indicator Scores'!$D$10:$CZ$161,_xlpm.r,_xlpm.c),""),
  IF(OR(_xlpm.w="",_xlpm.v=""),"",_xlpm.v*_xlpm.w)
)</f>
        <v/>
      </c>
      <c r="AK111" s="93" t="str" cm="1">
        <f t="array" ref="AK111">_xlfn.LET(
  _xlpm.w, AK$11,
  _xlpm.r, MATCH(1,('3. Enter Indicator Scores'!$B$10:$B$161=$B111)*('3. Enter Indicator Scores'!$C$10:$C$161=$C111),0),
  _xlpm.c, MATCH(AK$8,'3. Enter Indicator Scores'!$D$8:$CZ$8,0),
  _xlpm.v, IFERROR(INDEX('3. Enter Indicator Scores'!$D$10:$CZ$161,_xlpm.r,_xlpm.c),""),
  IF(OR(_xlpm.w="",_xlpm.v=""),"",_xlpm.v*_xlpm.w)
)</f>
        <v/>
      </c>
      <c r="AL111" s="93" t="str" cm="1">
        <f t="array" ref="AL111">_xlfn.LET(
  _xlpm.w, AL$11,
  _xlpm.r, MATCH(1,('3. Enter Indicator Scores'!$B$10:$B$161=$B111)*('3. Enter Indicator Scores'!$C$10:$C$161=$C111),0),
  _xlpm.c, MATCH(AL$8,'3. Enter Indicator Scores'!$D$8:$CZ$8,0),
  _xlpm.v, IFERROR(INDEX('3. Enter Indicator Scores'!$D$10:$CZ$161,_xlpm.r,_xlpm.c),""),
  IF(OR(_xlpm.w="",_xlpm.v=""),"",_xlpm.v*_xlpm.w)
)</f>
        <v/>
      </c>
      <c r="AM111" s="93" t="str" cm="1">
        <f t="array" ref="AM111">_xlfn.LET(
  _xlpm.w, AM$11,
  _xlpm.r, MATCH(1,('3. Enter Indicator Scores'!$B$10:$B$161=$B111)*('3. Enter Indicator Scores'!$C$10:$C$161=$C111),0),
  _xlpm.c, MATCH(AM$8,'3. Enter Indicator Scores'!$D$8:$CZ$8,0),
  _xlpm.v, IFERROR(INDEX('3. Enter Indicator Scores'!$D$10:$CZ$161,_xlpm.r,_xlpm.c),""),
  IF(OR(_xlpm.w="",_xlpm.v=""),"",_xlpm.v*_xlpm.w)
)</f>
        <v/>
      </c>
      <c r="AN111" s="93" t="str" cm="1">
        <f t="array" ref="AN111">_xlfn.LET(
  _xlpm.w, AN$11,
  _xlpm.r, MATCH(1,('3. Enter Indicator Scores'!$B$10:$B$161=$B111)*('3. Enter Indicator Scores'!$C$10:$C$161=$C111),0),
  _xlpm.c, MATCH(AN$8,'3. Enter Indicator Scores'!$D$8:$CZ$8,0),
  _xlpm.v, IFERROR(INDEX('3. Enter Indicator Scores'!$D$10:$CZ$161,_xlpm.r,_xlpm.c),""),
  IF(OR(_xlpm.w="",_xlpm.v=""),"",_xlpm.v*_xlpm.w)
)</f>
        <v/>
      </c>
      <c r="AO111" s="93" t="str" cm="1">
        <f t="array" ref="AO111">_xlfn.LET(
  _xlpm.w, AO$11,
  _xlpm.r, MATCH(1,('3. Enter Indicator Scores'!$B$10:$B$161=$B111)*('3. Enter Indicator Scores'!$C$10:$C$161=$C111),0),
  _xlpm.c, MATCH(AO$8,'3. Enter Indicator Scores'!$D$8:$CZ$8,0),
  _xlpm.v, IFERROR(INDEX('3. Enter Indicator Scores'!$D$10:$CZ$161,_xlpm.r,_xlpm.c),""),
  IF(OR(_xlpm.w="",_xlpm.v=""),"",_xlpm.v*_xlpm.w)
)</f>
        <v/>
      </c>
      <c r="AP111" s="93" t="str" cm="1">
        <f t="array" ref="AP111">_xlfn.LET(
  _xlpm.w, AP$11,
  _xlpm.r, MATCH(1,('3. Enter Indicator Scores'!$B$10:$B$161=$B111)*('3. Enter Indicator Scores'!$C$10:$C$161=$C111),0),
  _xlpm.c, MATCH(AP$8,'3. Enter Indicator Scores'!$D$8:$CZ$8,0),
  _xlpm.v, IFERROR(INDEX('3. Enter Indicator Scores'!$D$10:$CZ$161,_xlpm.r,_xlpm.c),""),
  IF(OR(_xlpm.w="",_xlpm.v=""),"",_xlpm.v*_xlpm.w)
)</f>
        <v/>
      </c>
      <c r="AQ111" s="93" t="str" cm="1">
        <f t="array" ref="AQ111">_xlfn.LET(
  _xlpm.w, AQ$11,
  _xlpm.r, MATCH(1,('3. Enter Indicator Scores'!$B$10:$B$161=$B111)*('3. Enter Indicator Scores'!$C$10:$C$161=$C111),0),
  _xlpm.c, MATCH(AQ$8,'3. Enter Indicator Scores'!$D$8:$CZ$8,0),
  _xlpm.v, IFERROR(INDEX('3. Enter Indicator Scores'!$D$10:$CZ$161,_xlpm.r,_xlpm.c),""),
  IF(OR(_xlpm.w="",_xlpm.v=""),"",_xlpm.v*_xlpm.w)
)</f>
        <v/>
      </c>
      <c r="AR111" s="93" t="str" cm="1">
        <f t="array" ref="AR111">_xlfn.LET(
  _xlpm.w, AR$11,
  _xlpm.r, MATCH(1,('3. Enter Indicator Scores'!$B$10:$B$161=$B111)*('3. Enter Indicator Scores'!$C$10:$C$161=$C111),0),
  _xlpm.c, MATCH(AR$8,'3. Enter Indicator Scores'!$D$8:$CZ$8,0),
  _xlpm.v, IFERROR(INDEX('3. Enter Indicator Scores'!$D$10:$CZ$161,_xlpm.r,_xlpm.c),""),
  IF(OR(_xlpm.w="",_xlpm.v=""),"",_xlpm.v*_xlpm.w)
)</f>
        <v/>
      </c>
      <c r="AS111" s="93" t="str" cm="1">
        <f t="array" ref="AS111">_xlfn.LET(
  _xlpm.w, AS$11,
  _xlpm.r, MATCH(1,('3. Enter Indicator Scores'!$B$10:$B$161=$B111)*('3. Enter Indicator Scores'!$C$10:$C$161=$C111),0),
  _xlpm.c, MATCH(AS$8,'3. Enter Indicator Scores'!$D$8:$CZ$8,0),
  _xlpm.v, IFERROR(INDEX('3. Enter Indicator Scores'!$D$10:$CZ$161,_xlpm.r,_xlpm.c),""),
  IF(OR(_xlpm.w="",_xlpm.v=""),"",_xlpm.v*_xlpm.w)
)</f>
        <v/>
      </c>
      <c r="AT111" s="93" t="str" cm="1">
        <f t="array" ref="AT111">_xlfn.LET(
  _xlpm.w, AT$11,
  _xlpm.r, MATCH(1,('3. Enter Indicator Scores'!$B$10:$B$161=$B111)*('3. Enter Indicator Scores'!$C$10:$C$161=$C111),0),
  _xlpm.c, MATCH(AT$8,'3. Enter Indicator Scores'!$D$8:$CZ$8,0),
  _xlpm.v, IFERROR(INDEX('3. Enter Indicator Scores'!$D$10:$CZ$161,_xlpm.r,_xlpm.c),""),
  IF(OR(_xlpm.w="",_xlpm.v=""),"",_xlpm.v*_xlpm.w)
)</f>
        <v/>
      </c>
      <c r="AU111" s="93" t="str" cm="1">
        <f t="array" ref="AU111">_xlfn.LET(
  _xlpm.w, AU$11,
  _xlpm.r, MATCH(1,('3. Enter Indicator Scores'!$B$10:$B$161=$B111)*('3. Enter Indicator Scores'!$C$10:$C$161=$C111),0),
  _xlpm.c, MATCH(AU$8,'3. Enter Indicator Scores'!$D$8:$CZ$8,0),
  _xlpm.v, IFERROR(INDEX('3. Enter Indicator Scores'!$D$10:$CZ$161,_xlpm.r,_xlpm.c),""),
  IF(OR(_xlpm.w="",_xlpm.v=""),"",_xlpm.v*_xlpm.w)
)</f>
        <v/>
      </c>
      <c r="AV111" s="93" t="str" cm="1">
        <f t="array" ref="AV111">_xlfn.LET(
  _xlpm.w, AV$11,
  _xlpm.r, MATCH(1,('3. Enter Indicator Scores'!$B$10:$B$161=$B111)*('3. Enter Indicator Scores'!$C$10:$C$161=$C111),0),
  _xlpm.c, MATCH(AV$8,'3. Enter Indicator Scores'!$D$8:$CZ$8,0),
  _xlpm.v, IFERROR(INDEX('3. Enter Indicator Scores'!$D$10:$CZ$161,_xlpm.r,_xlpm.c),""),
  IF(OR(_xlpm.w="",_xlpm.v=""),"",_xlpm.v*_xlpm.w)
)</f>
        <v/>
      </c>
      <c r="AW111" s="93" t="str" cm="1">
        <f t="array" ref="AW111">_xlfn.LET(
  _xlpm.w, AW$11,
  _xlpm.r, MATCH(1,('3. Enter Indicator Scores'!$B$10:$B$161=$B111)*('3. Enter Indicator Scores'!$C$10:$C$161=$C111),0),
  _xlpm.c, MATCH(AW$8,'3. Enter Indicator Scores'!$D$8:$CZ$8,0),
  _xlpm.v, IFERROR(INDEX('3. Enter Indicator Scores'!$D$10:$CZ$161,_xlpm.r,_xlpm.c),""),
  IF(OR(_xlpm.w="",_xlpm.v=""),"",_xlpm.v*_xlpm.w)
)</f>
        <v/>
      </c>
      <c r="AX111" s="93" t="str" cm="1">
        <f t="array" ref="AX111">_xlfn.LET(
  _xlpm.w, AX$11,
  _xlpm.r, MATCH(1,('3. Enter Indicator Scores'!$B$10:$B$161=$B111)*('3. Enter Indicator Scores'!$C$10:$C$161=$C111),0),
  _xlpm.c, MATCH(AX$8,'3. Enter Indicator Scores'!$D$8:$CZ$8,0),
  _xlpm.v, IFERROR(INDEX('3. Enter Indicator Scores'!$D$10:$CZ$161,_xlpm.r,_xlpm.c),""),
  IF(OR(_xlpm.w="",_xlpm.v=""),"",_xlpm.v*_xlpm.w)
)</f>
        <v/>
      </c>
      <c r="AY111" s="93" t="str" cm="1">
        <f t="array" ref="AY111">_xlfn.LET(
  _xlpm.w, AY$11,
  _xlpm.r, MATCH(1,('3. Enter Indicator Scores'!$B$10:$B$161=$B111)*('3. Enter Indicator Scores'!$C$10:$C$161=$C111),0),
  _xlpm.c, MATCH(AY$8,'3. Enter Indicator Scores'!$D$8:$CZ$8,0),
  _xlpm.v, IFERROR(INDEX('3. Enter Indicator Scores'!$D$10:$CZ$161,_xlpm.r,_xlpm.c),""),
  IF(OR(_xlpm.w="",_xlpm.v=""),"",_xlpm.v*_xlpm.w)
)</f>
        <v/>
      </c>
      <c r="AZ111" s="93" t="str" cm="1">
        <f t="array" ref="AZ111">_xlfn.LET(
  _xlpm.w, AZ$11,
  _xlpm.r, MATCH(1,('3. Enter Indicator Scores'!$B$10:$B$161=$B111)*('3. Enter Indicator Scores'!$C$10:$C$161=$C111),0),
  _xlpm.c, MATCH(AZ$8,'3. Enter Indicator Scores'!$D$8:$CZ$8,0),
  _xlpm.v, IFERROR(INDEX('3. Enter Indicator Scores'!$D$10:$CZ$161,_xlpm.r,_xlpm.c),""),
  IF(OR(_xlpm.w="",_xlpm.v=""),"",_xlpm.v*_xlpm.w)
)</f>
        <v/>
      </c>
      <c r="BA111" s="93" t="str" cm="1">
        <f t="array" ref="BA111">_xlfn.LET(
  _xlpm.w, BA$11,
  _xlpm.r, MATCH(1,('3. Enter Indicator Scores'!$B$10:$B$161=$B111)*('3. Enter Indicator Scores'!$C$10:$C$161=$C111),0),
  _xlpm.c, MATCH(BA$8,'3. Enter Indicator Scores'!$D$8:$CZ$8,0),
  _xlpm.v, IFERROR(INDEX('3. Enter Indicator Scores'!$D$10:$CZ$161,_xlpm.r,_xlpm.c),""),
  IF(OR(_xlpm.w="",_xlpm.v=""),"",_xlpm.v*_xlpm.w)
)</f>
        <v/>
      </c>
      <c r="BB111" s="93" t="str" cm="1">
        <f t="array" ref="BB111">_xlfn.LET(
  _xlpm.w, BB$11,
  _xlpm.r, MATCH(1,('3. Enter Indicator Scores'!$B$10:$B$161=$B111)*('3. Enter Indicator Scores'!$C$10:$C$161=$C111),0),
  _xlpm.c, MATCH(BB$8,'3. Enter Indicator Scores'!$D$8:$CZ$8,0),
  _xlpm.v, IFERROR(INDEX('3. Enter Indicator Scores'!$D$10:$CZ$161,_xlpm.r,_xlpm.c),""),
  IF(OR(_xlpm.w="",_xlpm.v=""),"",_xlpm.v*_xlpm.w)
)</f>
        <v/>
      </c>
      <c r="BC111" s="93" t="str" cm="1">
        <f t="array" ref="BC111">_xlfn.LET(
  _xlpm.w, BC$11,
  _xlpm.r, MATCH(1,('3. Enter Indicator Scores'!$B$10:$B$161=$B111)*('3. Enter Indicator Scores'!$C$10:$C$161=$C111),0),
  _xlpm.c, MATCH(BC$8,'3. Enter Indicator Scores'!$D$8:$CZ$8,0),
  _xlpm.v, IFERROR(INDEX('3. Enter Indicator Scores'!$D$10:$CZ$161,_xlpm.r,_xlpm.c),""),
  IF(OR(_xlpm.w="",_xlpm.v=""),"",_xlpm.v*_xlpm.w)
)</f>
        <v/>
      </c>
      <c r="BD111" s="93" t="str" cm="1">
        <f t="array" ref="BD111">_xlfn.LET(
  _xlpm.w, BD$11,
  _xlpm.r, MATCH(1,('3. Enter Indicator Scores'!$B$10:$B$161=$B111)*('3. Enter Indicator Scores'!$C$10:$C$161=$C111),0),
  _xlpm.c, MATCH(BD$8,'3. Enter Indicator Scores'!$D$8:$CZ$8,0),
  _xlpm.v, IFERROR(INDEX('3. Enter Indicator Scores'!$D$10:$CZ$161,_xlpm.r,_xlpm.c),""),
  IF(OR(_xlpm.w="",_xlpm.v=""),"",_xlpm.v*_xlpm.w)
)</f>
        <v/>
      </c>
      <c r="BE111" s="93" t="str" cm="1">
        <f t="array" ref="BE111">_xlfn.LET(
  _xlpm.w, BE$11,
  _xlpm.r, MATCH(1,('3. Enter Indicator Scores'!$B$10:$B$161=$B111)*('3. Enter Indicator Scores'!$C$10:$C$161=$C111),0),
  _xlpm.c, MATCH(BE$8,'3. Enter Indicator Scores'!$D$8:$CZ$8,0),
  _xlpm.v, IFERROR(INDEX('3. Enter Indicator Scores'!$D$10:$CZ$161,_xlpm.r,_xlpm.c),""),
  IF(OR(_xlpm.w="",_xlpm.v=""),"",_xlpm.v*_xlpm.w)
)</f>
        <v/>
      </c>
      <c r="BF111" s="93" t="str" cm="1">
        <f t="array" ref="BF111">_xlfn.LET(
  _xlpm.w, BF$11,
  _xlpm.r, MATCH(1,('3. Enter Indicator Scores'!$B$10:$B$161=$B111)*('3. Enter Indicator Scores'!$C$10:$C$161=$C111),0),
  _xlpm.c, MATCH(BF$8,'3. Enter Indicator Scores'!$D$8:$CZ$8,0),
  _xlpm.v, IFERROR(INDEX('3. Enter Indicator Scores'!$D$10:$CZ$161,_xlpm.r,_xlpm.c),""),
  IF(OR(_xlpm.w="",_xlpm.v=""),"",_xlpm.v*_xlpm.w)
)</f>
        <v/>
      </c>
      <c r="BG111" s="93" t="str" cm="1">
        <f t="array" ref="BG111">_xlfn.LET(
  _xlpm.w, BG$11,
  _xlpm.r, MATCH(1,('3. Enter Indicator Scores'!$B$10:$B$161=$B111)*('3. Enter Indicator Scores'!$C$10:$C$161=$C111),0),
  _xlpm.c, MATCH(BG$8,'3. Enter Indicator Scores'!$D$8:$CZ$8,0),
  _xlpm.v, IFERROR(INDEX('3. Enter Indicator Scores'!$D$10:$CZ$161,_xlpm.r,_xlpm.c),""),
  IF(OR(_xlpm.w="",_xlpm.v=""),"",_xlpm.v*_xlpm.w)
)</f>
        <v/>
      </c>
      <c r="BH111" s="93" t="str" cm="1">
        <f t="array" ref="BH111">_xlfn.LET(
  _xlpm.w, BH$11,
  _xlpm.r, MATCH(1,('3. Enter Indicator Scores'!$B$10:$B$161=$B111)*('3. Enter Indicator Scores'!$C$10:$C$161=$C111),0),
  _xlpm.c, MATCH(BH$8,'3. Enter Indicator Scores'!$D$8:$CZ$8,0),
  _xlpm.v, IFERROR(INDEX('3. Enter Indicator Scores'!$D$10:$CZ$161,_xlpm.r,_xlpm.c),""),
  IF(OR(_xlpm.w="",_xlpm.v=""),"",_xlpm.v*_xlpm.w)
)</f>
        <v/>
      </c>
      <c r="BI111" s="93" t="str" cm="1">
        <f t="array" ref="BI111">_xlfn.LET(
  _xlpm.w, BI$11,
  _xlpm.r, MATCH(1,('3. Enter Indicator Scores'!$B$10:$B$161=$B111)*('3. Enter Indicator Scores'!$C$10:$C$161=$C111),0),
  _xlpm.c, MATCH(BI$8,'3. Enter Indicator Scores'!$D$8:$CZ$8,0),
  _xlpm.v, IFERROR(INDEX('3. Enter Indicator Scores'!$D$10:$CZ$161,_xlpm.r,_xlpm.c),""),
  IF(OR(_xlpm.w="",_xlpm.v=""),"",_xlpm.v*_xlpm.w)
)</f>
        <v/>
      </c>
      <c r="BJ111" s="93" t="str" cm="1">
        <f t="array" ref="BJ111">_xlfn.LET(
  _xlpm.w, BJ$11,
  _xlpm.r, MATCH(1,('3. Enter Indicator Scores'!$B$10:$B$161=$B111)*('3. Enter Indicator Scores'!$C$10:$C$161=$C111),0),
  _xlpm.c, MATCH(BJ$8,'3. Enter Indicator Scores'!$D$8:$CZ$8,0),
  _xlpm.v, IFERROR(INDEX('3. Enter Indicator Scores'!$D$10:$CZ$161,_xlpm.r,_xlpm.c),""),
  IF(OR(_xlpm.w="",_xlpm.v=""),"",_xlpm.v*_xlpm.w)
)</f>
        <v/>
      </c>
      <c r="BK111" s="93" t="str" cm="1">
        <f t="array" ref="BK111">_xlfn.LET(
  _xlpm.w, BK$11,
  _xlpm.r, MATCH(1,('3. Enter Indicator Scores'!$B$10:$B$161=$B111)*('3. Enter Indicator Scores'!$C$10:$C$161=$C111),0),
  _xlpm.c, MATCH(BK$8,'3. Enter Indicator Scores'!$D$8:$CZ$8,0),
  _xlpm.v, IFERROR(INDEX('3. Enter Indicator Scores'!$D$10:$CZ$161,_xlpm.r,_xlpm.c),""),
  IF(OR(_xlpm.w="",_xlpm.v=""),"",_xlpm.v*_xlpm.w)
)</f>
        <v/>
      </c>
      <c r="BL111" s="93" t="str" cm="1">
        <f t="array" ref="BL111">_xlfn.LET(
  _xlpm.w, BL$11,
  _xlpm.r, MATCH(1,('3. Enter Indicator Scores'!$B$10:$B$161=$B111)*('3. Enter Indicator Scores'!$C$10:$C$161=$C111),0),
  _xlpm.c, MATCH(BL$8,'3. Enter Indicator Scores'!$D$8:$CZ$8,0),
  _xlpm.v, IFERROR(INDEX('3. Enter Indicator Scores'!$D$10:$CZ$161,_xlpm.r,_xlpm.c),""),
  IF(OR(_xlpm.w="",_xlpm.v=""),"",_xlpm.v*_xlpm.w)
)</f>
        <v/>
      </c>
      <c r="BM111" s="93" t="str" cm="1">
        <f t="array" ref="BM111">_xlfn.LET(
  _xlpm.w, BM$11,
  _xlpm.r, MATCH(1,('3. Enter Indicator Scores'!$B$10:$B$161=$B111)*('3. Enter Indicator Scores'!$C$10:$C$161=$C111),0),
  _xlpm.c, MATCH(BM$8,'3. Enter Indicator Scores'!$D$8:$CZ$8,0),
  _xlpm.v, IFERROR(INDEX('3. Enter Indicator Scores'!$D$10:$CZ$161,_xlpm.r,_xlpm.c),""),
  IF(OR(_xlpm.w="",_xlpm.v=""),"",_xlpm.v*_xlpm.w)
)</f>
        <v/>
      </c>
      <c r="BN111" s="93" t="str" cm="1">
        <f t="array" ref="BN111">_xlfn.LET(
  _xlpm.w, BN$11,
  _xlpm.r, MATCH(1,('3. Enter Indicator Scores'!$B$10:$B$161=$B111)*('3. Enter Indicator Scores'!$C$10:$C$161=$C111),0),
  _xlpm.c, MATCH(BN$8,'3. Enter Indicator Scores'!$D$8:$CZ$8,0),
  _xlpm.v, IFERROR(INDEX('3. Enter Indicator Scores'!$D$10:$CZ$161,_xlpm.r,_xlpm.c),""),
  IF(OR(_xlpm.w="",_xlpm.v=""),"",_xlpm.v*_xlpm.w)
)</f>
        <v/>
      </c>
      <c r="BO111" s="93" t="str" cm="1">
        <f t="array" ref="BO111">_xlfn.LET(
  _xlpm.w, BO$11,
  _xlpm.r, MATCH(1,('3. Enter Indicator Scores'!$B$10:$B$161=$B111)*('3. Enter Indicator Scores'!$C$10:$C$161=$C111),0),
  _xlpm.c, MATCH(BO$8,'3. Enter Indicator Scores'!$D$8:$CZ$8,0),
  _xlpm.v, IFERROR(INDEX('3. Enter Indicator Scores'!$D$10:$CZ$161,_xlpm.r,_xlpm.c),""),
  IF(OR(_xlpm.w="",_xlpm.v=""),"",_xlpm.v*_xlpm.w)
)</f>
        <v/>
      </c>
      <c r="BP111" s="93" t="str" cm="1">
        <f t="array" ref="BP111">_xlfn.LET(
  _xlpm.w, BP$11,
  _xlpm.r, MATCH(1,('3. Enter Indicator Scores'!$B$10:$B$161=$B111)*('3. Enter Indicator Scores'!$C$10:$C$161=$C111),0),
  _xlpm.c, MATCH(BP$8,'3. Enter Indicator Scores'!$D$8:$CZ$8,0),
  _xlpm.v, IFERROR(INDEX('3. Enter Indicator Scores'!$D$10:$CZ$161,_xlpm.r,_xlpm.c),""),
  IF(OR(_xlpm.w="",_xlpm.v=""),"",_xlpm.v*_xlpm.w)
)</f>
        <v/>
      </c>
      <c r="BQ111" s="93" t="str" cm="1">
        <f t="array" ref="BQ111">_xlfn.LET(
  _xlpm.w, BQ$11,
  _xlpm.r, MATCH(1,('3. Enter Indicator Scores'!$B$10:$B$161=$B111)*('3. Enter Indicator Scores'!$C$10:$C$161=$C111),0),
  _xlpm.c, MATCH(BQ$8,'3. Enter Indicator Scores'!$D$8:$CZ$8,0),
  _xlpm.v, IFERROR(INDEX('3. Enter Indicator Scores'!$D$10:$CZ$161,_xlpm.r,_xlpm.c),""),
  IF(OR(_xlpm.w="",_xlpm.v=""),"",_xlpm.v*_xlpm.w)
)</f>
        <v/>
      </c>
      <c r="BR111" s="93" t="str" cm="1">
        <f t="array" ref="BR111">_xlfn.LET(
  _xlpm.w, BR$11,
  _xlpm.r, MATCH(1,('3. Enter Indicator Scores'!$B$10:$B$161=$B111)*('3. Enter Indicator Scores'!$C$10:$C$161=$C111),0),
  _xlpm.c, MATCH(BR$8,'3. Enter Indicator Scores'!$D$8:$CZ$8,0),
  _xlpm.v, IFERROR(INDEX('3. Enter Indicator Scores'!$D$10:$CZ$161,_xlpm.r,_xlpm.c),""),
  IF(OR(_xlpm.w="",_xlpm.v=""),"",_xlpm.v*_xlpm.w)
)</f>
        <v/>
      </c>
      <c r="BS111" s="93" t="str" cm="1">
        <f t="array" ref="BS111">_xlfn.LET(
  _xlpm.w, BS$11,
  _xlpm.r, MATCH(1,('3. Enter Indicator Scores'!$B$10:$B$161=$B111)*('3. Enter Indicator Scores'!$C$10:$C$161=$C111),0),
  _xlpm.c, MATCH(BS$8,'3. Enter Indicator Scores'!$D$8:$CZ$8,0),
  _xlpm.v, IFERROR(INDEX('3. Enter Indicator Scores'!$D$10:$CZ$161,_xlpm.r,_xlpm.c),""),
  IF(OR(_xlpm.w="",_xlpm.v=""),"",_xlpm.v*_xlpm.w)
)</f>
        <v/>
      </c>
      <c r="BT111" s="93" t="str" cm="1">
        <f t="array" ref="BT111">_xlfn.LET(
  _xlpm.w, BT$11,
  _xlpm.r, MATCH(1,('3. Enter Indicator Scores'!$B$10:$B$161=$B111)*('3. Enter Indicator Scores'!$C$10:$C$161=$C111),0),
  _xlpm.c, MATCH(BT$8,'3. Enter Indicator Scores'!$D$8:$CZ$8,0),
  _xlpm.v, IFERROR(INDEX('3. Enter Indicator Scores'!$D$10:$CZ$161,_xlpm.r,_xlpm.c),""),
  IF(OR(_xlpm.w="",_xlpm.v=""),"",_xlpm.v*_xlpm.w)
)</f>
        <v/>
      </c>
      <c r="BU111" s="93" t="str" cm="1">
        <f t="array" ref="BU111">_xlfn.LET(
  _xlpm.w, BU$11,
  _xlpm.r, MATCH(1,('3. Enter Indicator Scores'!$B$10:$B$161=$B111)*('3. Enter Indicator Scores'!$C$10:$C$161=$C111),0),
  _xlpm.c, MATCH(BU$8,'3. Enter Indicator Scores'!$D$8:$CZ$8,0),
  _xlpm.v, IFERROR(INDEX('3. Enter Indicator Scores'!$D$10:$CZ$161,_xlpm.r,_xlpm.c),""),
  IF(OR(_xlpm.w="",_xlpm.v=""),"",_xlpm.v*_xlpm.w)
)</f>
        <v/>
      </c>
      <c r="BV111" s="93" t="str" cm="1">
        <f t="array" ref="BV111">_xlfn.LET(
  _xlpm.w, BV$11,
  _xlpm.r, MATCH(1,('3. Enter Indicator Scores'!$B$10:$B$161=$B111)*('3. Enter Indicator Scores'!$C$10:$C$161=$C111),0),
  _xlpm.c, MATCH(BV$8,'3. Enter Indicator Scores'!$D$8:$CZ$8,0),
  _xlpm.v, IFERROR(INDEX('3. Enter Indicator Scores'!$D$10:$CZ$161,_xlpm.r,_xlpm.c),""),
  IF(OR(_xlpm.w="",_xlpm.v=""),"",_xlpm.v*_xlpm.w)
)</f>
        <v/>
      </c>
      <c r="BW111" s="93" t="str" cm="1">
        <f t="array" ref="BW111">_xlfn.LET(
  _xlpm.w, BW$11,
  _xlpm.r, MATCH(1,('3. Enter Indicator Scores'!$B$10:$B$161=$B111)*('3. Enter Indicator Scores'!$C$10:$C$161=$C111),0),
  _xlpm.c, MATCH(BW$8,'3. Enter Indicator Scores'!$D$8:$CZ$8,0),
  _xlpm.v, IFERROR(INDEX('3. Enter Indicator Scores'!$D$10:$CZ$161,_xlpm.r,_xlpm.c),""),
  IF(OR(_xlpm.w="",_xlpm.v=""),"",_xlpm.v*_xlpm.w)
)</f>
        <v/>
      </c>
      <c r="BX111" s="93" t="str" cm="1">
        <f t="array" ref="BX111">_xlfn.LET(
  _xlpm.w, BX$11,
  _xlpm.r, MATCH(1,('3. Enter Indicator Scores'!$B$10:$B$161=$B111)*('3. Enter Indicator Scores'!$C$10:$C$161=$C111),0),
  _xlpm.c, MATCH(BX$8,'3. Enter Indicator Scores'!$D$8:$CZ$8,0),
  _xlpm.v, IFERROR(INDEX('3. Enter Indicator Scores'!$D$10:$CZ$161,_xlpm.r,_xlpm.c),""),
  IF(OR(_xlpm.w="",_xlpm.v=""),"",_xlpm.v*_xlpm.w)
)</f>
        <v/>
      </c>
      <c r="BY111" s="93" t="str" cm="1">
        <f t="array" ref="BY111">_xlfn.LET(
  _xlpm.w, BY$11,
  _xlpm.r, MATCH(1,('3. Enter Indicator Scores'!$B$10:$B$161=$B111)*('3. Enter Indicator Scores'!$C$10:$C$161=$C111),0),
  _xlpm.c, MATCH(BY$8,'3. Enter Indicator Scores'!$D$8:$CZ$8,0),
  _xlpm.v, IFERROR(INDEX('3. Enter Indicator Scores'!$D$10:$CZ$161,_xlpm.r,_xlpm.c),""),
  IF(OR(_xlpm.w="",_xlpm.v=""),"",_xlpm.v*_xlpm.w)
)</f>
        <v/>
      </c>
      <c r="BZ111" s="93" t="str" cm="1">
        <f t="array" ref="BZ111">_xlfn.LET(
  _xlpm.w, BZ$11,
  _xlpm.r, MATCH(1,('3. Enter Indicator Scores'!$B$10:$B$161=$B111)*('3. Enter Indicator Scores'!$C$10:$C$161=$C111),0),
  _xlpm.c, MATCH(BZ$8,'3. Enter Indicator Scores'!$D$8:$CZ$8,0),
  _xlpm.v, IFERROR(INDEX('3. Enter Indicator Scores'!$D$10:$CZ$161,_xlpm.r,_xlpm.c),""),
  IF(OR(_xlpm.w="",_xlpm.v=""),"",_xlpm.v*_xlpm.w)
)</f>
        <v/>
      </c>
      <c r="CA111" s="93" t="str" cm="1">
        <f t="array" ref="CA111">_xlfn.LET(
  _xlpm.w, CA$11,
  _xlpm.r, MATCH(1,('3. Enter Indicator Scores'!$B$10:$B$161=$B111)*('3. Enter Indicator Scores'!$C$10:$C$161=$C111),0),
  _xlpm.c, MATCH(CA$8,'3. Enter Indicator Scores'!$D$8:$CZ$8,0),
  _xlpm.v, IFERROR(INDEX('3. Enter Indicator Scores'!$D$10:$CZ$161,_xlpm.r,_xlpm.c),""),
  IF(OR(_xlpm.w="",_xlpm.v=""),"",_xlpm.v*_xlpm.w)
)</f>
        <v/>
      </c>
      <c r="CB111" s="93" t="str" cm="1">
        <f t="array" ref="CB111">_xlfn.LET(
  _xlpm.w, CB$11,
  _xlpm.r, MATCH(1,('3. Enter Indicator Scores'!$B$10:$B$161=$B111)*('3. Enter Indicator Scores'!$C$10:$C$161=$C111),0),
  _xlpm.c, MATCH(CB$8,'3. Enter Indicator Scores'!$D$8:$CZ$8,0),
  _xlpm.v, IFERROR(INDEX('3. Enter Indicator Scores'!$D$10:$CZ$161,_xlpm.r,_xlpm.c),""),
  IF(OR(_xlpm.w="",_xlpm.v=""),"",_xlpm.v*_xlpm.w)
)</f>
        <v/>
      </c>
      <c r="CC111" s="93" t="str" cm="1">
        <f t="array" ref="CC111">_xlfn.LET(
  _xlpm.w, CC$11,
  _xlpm.r, MATCH(1,('3. Enter Indicator Scores'!$B$10:$B$161=$B111)*('3. Enter Indicator Scores'!$C$10:$C$161=$C111),0),
  _xlpm.c, MATCH(CC$8,'3. Enter Indicator Scores'!$D$8:$CZ$8,0),
  _xlpm.v, IFERROR(INDEX('3. Enter Indicator Scores'!$D$10:$CZ$161,_xlpm.r,_xlpm.c),""),
  IF(OR(_xlpm.w="",_xlpm.v=""),"",_xlpm.v*_xlpm.w)
)</f>
        <v/>
      </c>
      <c r="CD111" s="93" t="str" cm="1">
        <f t="array" ref="CD111">_xlfn.LET(
  _xlpm.w, CD$11,
  _xlpm.r, MATCH(1,('3. Enter Indicator Scores'!$B$10:$B$161=$B111)*('3. Enter Indicator Scores'!$C$10:$C$161=$C111),0),
  _xlpm.c, MATCH(CD$8,'3. Enter Indicator Scores'!$D$8:$CZ$8,0),
  _xlpm.v, IFERROR(INDEX('3. Enter Indicator Scores'!$D$10:$CZ$161,_xlpm.r,_xlpm.c),""),
  IF(OR(_xlpm.w="",_xlpm.v=""),"",_xlpm.v*_xlpm.w)
)</f>
        <v/>
      </c>
      <c r="CE111" s="93" t="str" cm="1">
        <f t="array" ref="CE111">_xlfn.LET(
  _xlpm.w, CE$11,
  _xlpm.r, MATCH(1,('3. Enter Indicator Scores'!$B$10:$B$161=$B111)*('3. Enter Indicator Scores'!$C$10:$C$161=$C111),0),
  _xlpm.c, MATCH(CE$8,'3. Enter Indicator Scores'!$D$8:$CZ$8,0),
  _xlpm.v, IFERROR(INDEX('3. Enter Indicator Scores'!$D$10:$CZ$161,_xlpm.r,_xlpm.c),""),
  IF(OR(_xlpm.w="",_xlpm.v=""),"",_xlpm.v*_xlpm.w)
)</f>
        <v/>
      </c>
      <c r="CF111" s="93" t="str" cm="1">
        <f t="array" ref="CF111">_xlfn.LET(
  _xlpm.w, CF$11,
  _xlpm.r, MATCH(1,('3. Enter Indicator Scores'!$B$10:$B$161=$B111)*('3. Enter Indicator Scores'!$C$10:$C$161=$C111),0),
  _xlpm.c, MATCH(CF$8,'3. Enter Indicator Scores'!$D$8:$CZ$8,0),
  _xlpm.v, IFERROR(INDEX('3. Enter Indicator Scores'!$D$10:$CZ$161,_xlpm.r,_xlpm.c),""),
  IF(OR(_xlpm.w="",_xlpm.v=""),"",_xlpm.v*_xlpm.w)
)</f>
        <v/>
      </c>
      <c r="CG111" s="93" t="str" cm="1">
        <f t="array" ref="CG111">_xlfn.LET(
  _xlpm.w, CG$11,
  _xlpm.r, MATCH(1,('3. Enter Indicator Scores'!$B$10:$B$161=$B111)*('3. Enter Indicator Scores'!$C$10:$C$161=$C111),0),
  _xlpm.c, MATCH(CG$8,'3. Enter Indicator Scores'!$D$8:$CZ$8,0),
  _xlpm.v, IFERROR(INDEX('3. Enter Indicator Scores'!$D$10:$CZ$161,_xlpm.r,_xlpm.c),""),
  IF(OR(_xlpm.w="",_xlpm.v=""),"",_xlpm.v*_xlpm.w)
)</f>
        <v/>
      </c>
      <c r="CH111" s="93" t="str" cm="1">
        <f t="array" ref="CH111">_xlfn.LET(
  _xlpm.w, CH$11,
  _xlpm.r, MATCH(1,('3. Enter Indicator Scores'!$B$10:$B$161=$B111)*('3. Enter Indicator Scores'!$C$10:$C$161=$C111),0),
  _xlpm.c, MATCH(CH$8,'3. Enter Indicator Scores'!$D$8:$CZ$8,0),
  _xlpm.v, IFERROR(INDEX('3. Enter Indicator Scores'!$D$10:$CZ$161,_xlpm.r,_xlpm.c),""),
  IF(OR(_xlpm.w="",_xlpm.v=""),"",_xlpm.v*_xlpm.w)
)</f>
        <v/>
      </c>
      <c r="CI111" s="93" t="str" cm="1">
        <f t="array" ref="CI111">_xlfn.LET(
  _xlpm.w, CI$11,
  _xlpm.r, MATCH(1,('3. Enter Indicator Scores'!$B$10:$B$161=$B111)*('3. Enter Indicator Scores'!$C$10:$C$161=$C111),0),
  _xlpm.c, MATCH(CI$8,'3. Enter Indicator Scores'!$D$8:$CZ$8,0),
  _xlpm.v, IFERROR(INDEX('3. Enter Indicator Scores'!$D$10:$CZ$161,_xlpm.r,_xlpm.c),""),
  IF(OR(_xlpm.w="",_xlpm.v=""),"",_xlpm.v*_xlpm.w)
)</f>
        <v/>
      </c>
      <c r="CJ111" s="93" t="str" cm="1">
        <f t="array" ref="CJ111">_xlfn.LET(
  _xlpm.w, CJ$11,
  _xlpm.r, MATCH(1,('3. Enter Indicator Scores'!$B$10:$B$161=$B111)*('3. Enter Indicator Scores'!$C$10:$C$161=$C111),0),
  _xlpm.c, MATCH(CJ$8,'3. Enter Indicator Scores'!$D$8:$CZ$8,0),
  _xlpm.v, IFERROR(INDEX('3. Enter Indicator Scores'!$D$10:$CZ$161,_xlpm.r,_xlpm.c),""),
  IF(OR(_xlpm.w="",_xlpm.v=""),"",_xlpm.v*_xlpm.w)
)</f>
        <v/>
      </c>
      <c r="CK111" s="93" t="str" cm="1">
        <f t="array" ref="CK111">_xlfn.LET(
  _xlpm.w, CK$11,
  _xlpm.r, MATCH(1,('3. Enter Indicator Scores'!$B$10:$B$161=$B111)*('3. Enter Indicator Scores'!$C$10:$C$161=$C111),0),
  _xlpm.c, MATCH(CK$8,'3. Enter Indicator Scores'!$D$8:$CZ$8,0),
  _xlpm.v, IFERROR(INDEX('3. Enter Indicator Scores'!$D$10:$CZ$161,_xlpm.r,_xlpm.c),""),
  IF(OR(_xlpm.w="",_xlpm.v=""),"",_xlpm.v*_xlpm.w)
)</f>
        <v/>
      </c>
      <c r="CL111" s="93" t="str" cm="1">
        <f t="array" ref="CL111">_xlfn.LET(
  _xlpm.w, CL$11,
  _xlpm.r, MATCH(1,('3. Enter Indicator Scores'!$B$10:$B$161=$B111)*('3. Enter Indicator Scores'!$C$10:$C$161=$C111),0),
  _xlpm.c, MATCH(CL$8,'3. Enter Indicator Scores'!$D$8:$CZ$8,0),
  _xlpm.v, IFERROR(INDEX('3. Enter Indicator Scores'!$D$10:$CZ$161,_xlpm.r,_xlpm.c),""),
  IF(OR(_xlpm.w="",_xlpm.v=""),"",_xlpm.v*_xlpm.w)
)</f>
        <v/>
      </c>
      <c r="CM111" s="93" t="str" cm="1">
        <f t="array" ref="CM111">_xlfn.LET(
  _xlpm.w, CM$11,
  _xlpm.r, MATCH(1,('3. Enter Indicator Scores'!$B$10:$B$161=$B111)*('3. Enter Indicator Scores'!$C$10:$C$161=$C111),0),
  _xlpm.c, MATCH(CM$8,'3. Enter Indicator Scores'!$D$8:$CZ$8,0),
  _xlpm.v, IFERROR(INDEX('3. Enter Indicator Scores'!$D$10:$CZ$161,_xlpm.r,_xlpm.c),""),
  IF(OR(_xlpm.w="",_xlpm.v=""),"",_xlpm.v*_xlpm.w)
)</f>
        <v/>
      </c>
      <c r="CN111" s="93" t="str" cm="1">
        <f t="array" ref="CN111">_xlfn.LET(
  _xlpm.w, CN$11,
  _xlpm.r, MATCH(1,('3. Enter Indicator Scores'!$B$10:$B$161=$B111)*('3. Enter Indicator Scores'!$C$10:$C$161=$C111),0),
  _xlpm.c, MATCH(CN$8,'3. Enter Indicator Scores'!$D$8:$CZ$8,0),
  _xlpm.v, IFERROR(INDEX('3. Enter Indicator Scores'!$D$10:$CZ$161,_xlpm.r,_xlpm.c),""),
  IF(OR(_xlpm.w="",_xlpm.v=""),"",_xlpm.v*_xlpm.w)
)</f>
        <v/>
      </c>
      <c r="CO111" s="93" t="str" cm="1">
        <f t="array" ref="CO111">_xlfn.LET(
  _xlpm.w, CO$11,
  _xlpm.r, MATCH(1,('3. Enter Indicator Scores'!$B$10:$B$161=$B111)*('3. Enter Indicator Scores'!$C$10:$C$161=$C111),0),
  _xlpm.c, MATCH(CO$8,'3. Enter Indicator Scores'!$D$8:$CZ$8,0),
  _xlpm.v, IFERROR(INDEX('3. Enter Indicator Scores'!$D$10:$CZ$161,_xlpm.r,_xlpm.c),""),
  IF(OR(_xlpm.w="",_xlpm.v=""),"",_xlpm.v*_xlpm.w)
)</f>
        <v/>
      </c>
      <c r="CP111" s="93" t="str" cm="1">
        <f t="array" ref="CP111">_xlfn.LET(
  _xlpm.w, CP$11,
  _xlpm.r, MATCH(1,('3. Enter Indicator Scores'!$B$10:$B$161=$B111)*('3. Enter Indicator Scores'!$C$10:$C$161=$C111),0),
  _xlpm.c, MATCH(CP$8,'3. Enter Indicator Scores'!$D$8:$CZ$8,0),
  _xlpm.v, IFERROR(INDEX('3. Enter Indicator Scores'!$D$10:$CZ$161,_xlpm.r,_xlpm.c),""),
  IF(OR(_xlpm.w="",_xlpm.v=""),"",_xlpm.v*_xlpm.w)
)</f>
        <v/>
      </c>
      <c r="CQ111" s="93" t="str" cm="1">
        <f t="array" ref="CQ111">_xlfn.LET(
  _xlpm.w, CQ$11,
  _xlpm.r, MATCH(1,('3. Enter Indicator Scores'!$B$10:$B$161=$B111)*('3. Enter Indicator Scores'!$C$10:$C$161=$C111),0),
  _xlpm.c, MATCH(CQ$8,'3. Enter Indicator Scores'!$D$8:$CZ$8,0),
  _xlpm.v, IFERROR(INDEX('3. Enter Indicator Scores'!$D$10:$CZ$161,_xlpm.r,_xlpm.c),""),
  IF(OR(_xlpm.w="",_xlpm.v=""),"",_xlpm.v*_xlpm.w)
)</f>
        <v/>
      </c>
      <c r="CR111" s="93" t="str" cm="1">
        <f t="array" ref="CR111">_xlfn.LET(
  _xlpm.w, CR$11,
  _xlpm.r, MATCH(1,('3. Enter Indicator Scores'!$B$10:$B$161=$B111)*('3. Enter Indicator Scores'!$C$10:$C$161=$C111),0),
  _xlpm.c, MATCH(CR$8,'3. Enter Indicator Scores'!$D$8:$CZ$8,0),
  _xlpm.v, IFERROR(INDEX('3. Enter Indicator Scores'!$D$10:$CZ$161,_xlpm.r,_xlpm.c),""),
  IF(OR(_xlpm.w="",_xlpm.v=""),"",_xlpm.v*_xlpm.w)
)</f>
        <v/>
      </c>
      <c r="CS111" s="93" t="str" cm="1">
        <f t="array" ref="CS111">_xlfn.LET(
  _xlpm.w, CS$11,
  _xlpm.r, MATCH(1,('3. Enter Indicator Scores'!$B$10:$B$161=$B111)*('3. Enter Indicator Scores'!$C$10:$C$161=$C111),0),
  _xlpm.c, MATCH(CS$8,'3. Enter Indicator Scores'!$D$8:$CZ$8,0),
  _xlpm.v, IFERROR(INDEX('3. Enter Indicator Scores'!$D$10:$CZ$161,_xlpm.r,_xlpm.c),""),
  IF(OR(_xlpm.w="",_xlpm.v=""),"",_xlpm.v*_xlpm.w)
)</f>
        <v/>
      </c>
      <c r="CT111" s="93" t="str" cm="1">
        <f t="array" ref="CT111">_xlfn.LET(
  _xlpm.w, CT$11,
  _xlpm.r, MATCH(1,('3. Enter Indicator Scores'!$B$10:$B$161=$B111)*('3. Enter Indicator Scores'!$C$10:$C$161=$C111),0),
  _xlpm.c, MATCH(CT$8,'3. Enter Indicator Scores'!$D$8:$CZ$8,0),
  _xlpm.v, IFERROR(INDEX('3. Enter Indicator Scores'!$D$10:$CZ$161,_xlpm.r,_xlpm.c),""),
  IF(OR(_xlpm.w="",_xlpm.v=""),"",_xlpm.v*_xlpm.w)
)</f>
        <v/>
      </c>
      <c r="CU111" s="93" t="str" cm="1">
        <f t="array" ref="CU111">_xlfn.LET(
  _xlpm.w, CU$11,
  _xlpm.r, MATCH(1,('3. Enter Indicator Scores'!$B$10:$B$161=$B111)*('3. Enter Indicator Scores'!$C$10:$C$161=$C111),0),
  _xlpm.c, MATCH(CU$8,'3. Enter Indicator Scores'!$D$8:$CZ$8,0),
  _xlpm.v, IFERROR(INDEX('3. Enter Indicator Scores'!$D$10:$CZ$161,_xlpm.r,_xlpm.c),""),
  IF(OR(_xlpm.w="",_xlpm.v=""),"",_xlpm.v*_xlpm.w)
)</f>
        <v/>
      </c>
      <c r="CV111" s="93" t="str" cm="1">
        <f t="array" ref="CV111">_xlfn.LET(
  _xlpm.w, CV$11,
  _xlpm.r, MATCH(1,('3. Enter Indicator Scores'!$B$10:$B$161=$B111)*('3. Enter Indicator Scores'!$C$10:$C$161=$C111),0),
  _xlpm.c, MATCH(CV$8,'3. Enter Indicator Scores'!$D$8:$CZ$8,0),
  _xlpm.v, IFERROR(INDEX('3. Enter Indicator Scores'!$D$10:$CZ$161,_xlpm.r,_xlpm.c),""),
  IF(OR(_xlpm.w="",_xlpm.v=""),"",_xlpm.v*_xlpm.w)
)</f>
        <v/>
      </c>
      <c r="CW111" s="93" t="str" cm="1">
        <f t="array" ref="CW111">_xlfn.LET(
  _xlpm.w, CW$11,
  _xlpm.r, MATCH(1,('3. Enter Indicator Scores'!$B$10:$B$161=$B111)*('3. Enter Indicator Scores'!$C$10:$C$161=$C111),0),
  _xlpm.c, MATCH(CW$8,'3. Enter Indicator Scores'!$D$8:$CZ$8,0),
  _xlpm.v, IFERROR(INDEX('3. Enter Indicator Scores'!$D$10:$CZ$161,_xlpm.r,_xlpm.c),""),
  IF(OR(_xlpm.w="",_xlpm.v=""),"",_xlpm.v*_xlpm.w)
)</f>
        <v/>
      </c>
      <c r="CX111" s="93" t="str" cm="1">
        <f t="array" ref="CX111">_xlfn.LET(
  _xlpm.w, CX$11,
  _xlpm.r, MATCH(1,('3. Enter Indicator Scores'!$B$10:$B$161=$B111)*('3. Enter Indicator Scores'!$C$10:$C$161=$C111),0),
  _xlpm.c, MATCH(CX$8,'3. Enter Indicator Scores'!$D$8:$CZ$8,0),
  _xlpm.v, IFERROR(INDEX('3. Enter Indicator Scores'!$D$10:$CZ$161,_xlpm.r,_xlpm.c),""),
  IF(OR(_xlpm.w="",_xlpm.v=""),"",_xlpm.v*_xlpm.w)
)</f>
        <v/>
      </c>
      <c r="CY111" s="93" t="str" cm="1">
        <f t="array" ref="CY111">_xlfn.LET(
  _xlpm.w, CY$11,
  _xlpm.r, MATCH(1,('3. Enter Indicator Scores'!$B$10:$B$161=$B111)*('3. Enter Indicator Scores'!$C$10:$C$161=$C111),0),
  _xlpm.c, MATCH(CY$8,'3. Enter Indicator Scores'!$D$8:$CZ$8,0),
  _xlpm.v, IFERROR(INDEX('3. Enter Indicator Scores'!$D$10:$CZ$161,_xlpm.r,_xlpm.c),""),
  IF(OR(_xlpm.w="",_xlpm.v=""),"",_xlpm.v*_xlpm.w)
)</f>
        <v/>
      </c>
      <c r="CZ111" s="93" t="str" cm="1">
        <f t="array" ref="CZ111">_xlfn.LET(
  _xlpm.w, CZ$11,
  _xlpm.r, MATCH(1,('3. Enter Indicator Scores'!$B$10:$B$161=$B111)*('3. Enter Indicator Scores'!$C$10:$C$161=$C111),0),
  _xlpm.c, MATCH(CZ$8,'3. Enter Indicator Scores'!$D$8:$CZ$8,0),
  _xlpm.v, IFERROR(INDEX('3. Enter Indicator Scores'!$D$10:$CZ$161,_xlpm.r,_xlpm.c),""),
  IF(OR(_xlpm.w="",_xlpm.v=""),"",_xlpm.v*_xlpm.w)
)</f>
        <v/>
      </c>
    </row>
    <row r="112" spans="4:104" x14ac:dyDescent="0.2">
      <c r="D112" s="93" t="str" cm="1">
        <f t="array" ref="D112">_xlfn.LET(
  _xlpm.w, D$11,
  _xlpm.r, MATCH(1,('3. Enter Indicator Scores'!$B$10:$B$161=$B112)*('3. Enter Indicator Scores'!$C$10:$C$161=$C112),0),
  _xlpm.c, MATCH(D$8,'3. Enter Indicator Scores'!$D$8:$CZ$8,0),
  _xlpm.v, IFERROR(INDEX('3. Enter Indicator Scores'!$D$10:$CZ$161,_xlpm.r,_xlpm.c),""),
  IF(OR(_xlpm.w="",_xlpm.v=""),"",_xlpm.v*_xlpm.w)
)</f>
        <v/>
      </c>
      <c r="E112" s="93" t="str" cm="1">
        <f t="array" ref="E112">_xlfn.LET(
  _xlpm.w, E$11,
  _xlpm.r, MATCH(1,('3. Enter Indicator Scores'!$B$10:$B$161=$B112)*('3. Enter Indicator Scores'!$C$10:$C$161=$C112),0),
  _xlpm.c, MATCH(E$8,'3. Enter Indicator Scores'!$D$8:$CZ$8,0),
  _xlpm.v, IFERROR(INDEX('3. Enter Indicator Scores'!$D$10:$CZ$161,_xlpm.r,_xlpm.c),""),
  IF(OR(_xlpm.w="",_xlpm.v=""),"",_xlpm.v*_xlpm.w)
)</f>
        <v/>
      </c>
      <c r="F112" s="93" t="str" cm="1">
        <f t="array" ref="F112">_xlfn.LET(
  _xlpm.w, F$11,
  _xlpm.r, MATCH(1,('3. Enter Indicator Scores'!$B$10:$B$161=$B112)*('3. Enter Indicator Scores'!$C$10:$C$161=$C112),0),
  _xlpm.c, MATCH(F$8,'3. Enter Indicator Scores'!$D$8:$CZ$8,0),
  _xlpm.v, IFERROR(INDEX('3. Enter Indicator Scores'!$D$10:$CZ$161,_xlpm.r,_xlpm.c),""),
  IF(OR(_xlpm.w="",_xlpm.v=""),"",_xlpm.v*_xlpm.w)
)</f>
        <v/>
      </c>
      <c r="G112" s="93" t="str" cm="1">
        <f t="array" ref="G112">_xlfn.LET(
  _xlpm.w, G$11,
  _xlpm.r, MATCH(1,('3. Enter Indicator Scores'!$B$10:$B$161=$B112)*('3. Enter Indicator Scores'!$C$10:$C$161=$C112),0),
  _xlpm.c, MATCH(G$8,'3. Enter Indicator Scores'!$D$8:$CZ$8,0),
  _xlpm.v, IFERROR(INDEX('3. Enter Indicator Scores'!$D$10:$CZ$161,_xlpm.r,_xlpm.c),""),
  IF(OR(_xlpm.w="",_xlpm.v=""),"",_xlpm.v*_xlpm.w)
)</f>
        <v/>
      </c>
      <c r="H112" s="93" t="str" cm="1">
        <f t="array" ref="H112">_xlfn.LET(
  _xlpm.w, H$11,
  _xlpm.r, MATCH(1,('3. Enter Indicator Scores'!$B$10:$B$161=$B112)*('3. Enter Indicator Scores'!$C$10:$C$161=$C112),0),
  _xlpm.c, MATCH(H$8,'3. Enter Indicator Scores'!$D$8:$CZ$8,0),
  _xlpm.v, IFERROR(INDEX('3. Enter Indicator Scores'!$D$10:$CZ$161,_xlpm.r,_xlpm.c),""),
  IF(OR(_xlpm.w="",_xlpm.v=""),"",_xlpm.v*_xlpm.w)
)</f>
        <v/>
      </c>
      <c r="I112" s="93" t="str" cm="1">
        <f t="array" ref="I112">_xlfn.LET(
  _xlpm.w, I$11,
  _xlpm.r, MATCH(1,('3. Enter Indicator Scores'!$B$10:$B$161=$B112)*('3. Enter Indicator Scores'!$C$10:$C$161=$C112),0),
  _xlpm.c, MATCH(I$8,'3. Enter Indicator Scores'!$D$8:$CZ$8,0),
  _xlpm.v, IFERROR(INDEX('3. Enter Indicator Scores'!$D$10:$CZ$161,_xlpm.r,_xlpm.c),""),
  IF(OR(_xlpm.w="",_xlpm.v=""),"",_xlpm.v*_xlpm.w)
)</f>
        <v/>
      </c>
      <c r="J112" s="93" t="str" cm="1">
        <f t="array" ref="J112">_xlfn.LET(
  _xlpm.w, J$11,
  _xlpm.r, MATCH(1,('3. Enter Indicator Scores'!$B$10:$B$161=$B112)*('3. Enter Indicator Scores'!$C$10:$C$161=$C112),0),
  _xlpm.c, MATCH(J$8,'3. Enter Indicator Scores'!$D$8:$CZ$8,0),
  _xlpm.v, IFERROR(INDEX('3. Enter Indicator Scores'!$D$10:$CZ$161,_xlpm.r,_xlpm.c),""),
  IF(OR(_xlpm.w="",_xlpm.v=""),"",_xlpm.v*_xlpm.w)
)</f>
        <v/>
      </c>
      <c r="K112" s="93" t="str" cm="1">
        <f t="array" ref="K112">_xlfn.LET(
  _xlpm.w, K$11,
  _xlpm.r, MATCH(1,('3. Enter Indicator Scores'!$B$10:$B$161=$B112)*('3. Enter Indicator Scores'!$C$10:$C$161=$C112),0),
  _xlpm.c, MATCH(K$8,'3. Enter Indicator Scores'!$D$8:$CZ$8,0),
  _xlpm.v, IFERROR(INDEX('3. Enter Indicator Scores'!$D$10:$CZ$161,_xlpm.r,_xlpm.c),""),
  IF(OR(_xlpm.w="",_xlpm.v=""),"",_xlpm.v*_xlpm.w)
)</f>
        <v/>
      </c>
      <c r="L112" s="93" t="str" cm="1">
        <f t="array" ref="L112">_xlfn.LET(
  _xlpm.w, L$11,
  _xlpm.r, MATCH(1,('3. Enter Indicator Scores'!$B$10:$B$161=$B112)*('3. Enter Indicator Scores'!$C$10:$C$161=$C112),0),
  _xlpm.c, MATCH(L$8,'3. Enter Indicator Scores'!$D$8:$CZ$8,0),
  _xlpm.v, IFERROR(INDEX('3. Enter Indicator Scores'!$D$10:$CZ$161,_xlpm.r,_xlpm.c),""),
  IF(OR(_xlpm.w="",_xlpm.v=""),"",_xlpm.v*_xlpm.w)
)</f>
        <v/>
      </c>
      <c r="M112" s="93" t="str" cm="1">
        <f t="array" ref="M112">_xlfn.LET(
  _xlpm.w, M$11,
  _xlpm.r, MATCH(1,('3. Enter Indicator Scores'!$B$10:$B$161=$B112)*('3. Enter Indicator Scores'!$C$10:$C$161=$C112),0),
  _xlpm.c, MATCH(M$8,'3. Enter Indicator Scores'!$D$8:$CZ$8,0),
  _xlpm.v, IFERROR(INDEX('3. Enter Indicator Scores'!$D$10:$CZ$161,_xlpm.r,_xlpm.c),""),
  IF(OR(_xlpm.w="",_xlpm.v=""),"",_xlpm.v*_xlpm.w)
)</f>
        <v/>
      </c>
      <c r="N112" s="93" t="str" cm="1">
        <f t="array" ref="N112">_xlfn.LET(
  _xlpm.w, N$11,
  _xlpm.r, MATCH(1,('3. Enter Indicator Scores'!$B$10:$B$161=$B112)*('3. Enter Indicator Scores'!$C$10:$C$161=$C112),0),
  _xlpm.c, MATCH(N$8,'3. Enter Indicator Scores'!$D$8:$CZ$8,0),
  _xlpm.v, IFERROR(INDEX('3. Enter Indicator Scores'!$D$10:$CZ$161,_xlpm.r,_xlpm.c),""),
  IF(OR(_xlpm.w="",_xlpm.v=""),"",_xlpm.v*_xlpm.w)
)</f>
        <v/>
      </c>
      <c r="O112" s="93" t="str" cm="1">
        <f t="array" ref="O112">_xlfn.LET(
  _xlpm.w, O$11,
  _xlpm.r, MATCH(1,('3. Enter Indicator Scores'!$B$10:$B$161=$B112)*('3. Enter Indicator Scores'!$C$10:$C$161=$C112),0),
  _xlpm.c, MATCH(O$8,'3. Enter Indicator Scores'!$D$8:$CZ$8,0),
  _xlpm.v, IFERROR(INDEX('3. Enter Indicator Scores'!$D$10:$CZ$161,_xlpm.r,_xlpm.c),""),
  IF(OR(_xlpm.w="",_xlpm.v=""),"",_xlpm.v*_xlpm.w)
)</f>
        <v/>
      </c>
      <c r="P112" s="93" t="str" cm="1">
        <f t="array" ref="P112">_xlfn.LET(
  _xlpm.w, P$11,
  _xlpm.r, MATCH(1,('3. Enter Indicator Scores'!$B$10:$B$161=$B112)*('3. Enter Indicator Scores'!$C$10:$C$161=$C112),0),
  _xlpm.c, MATCH(P$8,'3. Enter Indicator Scores'!$D$8:$CZ$8,0),
  _xlpm.v, IFERROR(INDEX('3. Enter Indicator Scores'!$D$10:$CZ$161,_xlpm.r,_xlpm.c),""),
  IF(OR(_xlpm.w="",_xlpm.v=""),"",_xlpm.v*_xlpm.w)
)</f>
        <v/>
      </c>
      <c r="Q112" s="93" t="str" cm="1">
        <f t="array" ref="Q112">_xlfn.LET(
  _xlpm.w, Q$11,
  _xlpm.r, MATCH(1,('3. Enter Indicator Scores'!$B$10:$B$161=$B112)*('3. Enter Indicator Scores'!$C$10:$C$161=$C112),0),
  _xlpm.c, MATCH(Q$8,'3. Enter Indicator Scores'!$D$8:$CZ$8,0),
  _xlpm.v, IFERROR(INDEX('3. Enter Indicator Scores'!$D$10:$CZ$161,_xlpm.r,_xlpm.c),""),
  IF(OR(_xlpm.w="",_xlpm.v=""),"",_xlpm.v*_xlpm.w)
)</f>
        <v/>
      </c>
      <c r="R112" s="93" t="str" cm="1">
        <f t="array" ref="R112">_xlfn.LET(
  _xlpm.w, R$11,
  _xlpm.r, MATCH(1,('3. Enter Indicator Scores'!$B$10:$B$161=$B112)*('3. Enter Indicator Scores'!$C$10:$C$161=$C112),0),
  _xlpm.c, MATCH(R$8,'3. Enter Indicator Scores'!$D$8:$CZ$8,0),
  _xlpm.v, IFERROR(INDEX('3. Enter Indicator Scores'!$D$10:$CZ$161,_xlpm.r,_xlpm.c),""),
  IF(OR(_xlpm.w="",_xlpm.v=""),"",_xlpm.v*_xlpm.w)
)</f>
        <v/>
      </c>
      <c r="S112" s="93" t="str" cm="1">
        <f t="array" ref="S112">_xlfn.LET(
  _xlpm.w, S$11,
  _xlpm.r, MATCH(1,('3. Enter Indicator Scores'!$B$10:$B$161=$B112)*('3. Enter Indicator Scores'!$C$10:$C$161=$C112),0),
  _xlpm.c, MATCH(S$8,'3. Enter Indicator Scores'!$D$8:$CZ$8,0),
  _xlpm.v, IFERROR(INDEX('3. Enter Indicator Scores'!$D$10:$CZ$161,_xlpm.r,_xlpm.c),""),
  IF(OR(_xlpm.w="",_xlpm.v=""),"",_xlpm.v*_xlpm.w)
)</f>
        <v/>
      </c>
      <c r="T112" s="93" t="str" cm="1">
        <f t="array" ref="T112">_xlfn.LET(
  _xlpm.w, T$11,
  _xlpm.r, MATCH(1,('3. Enter Indicator Scores'!$B$10:$B$161=$B112)*('3. Enter Indicator Scores'!$C$10:$C$161=$C112),0),
  _xlpm.c, MATCH(T$8,'3. Enter Indicator Scores'!$D$8:$CZ$8,0),
  _xlpm.v, IFERROR(INDEX('3. Enter Indicator Scores'!$D$10:$CZ$161,_xlpm.r,_xlpm.c),""),
  IF(OR(_xlpm.w="",_xlpm.v=""),"",_xlpm.v*_xlpm.w)
)</f>
        <v/>
      </c>
      <c r="U112" s="93" t="str" cm="1">
        <f t="array" ref="U112">_xlfn.LET(
  _xlpm.w, U$11,
  _xlpm.r, MATCH(1,('3. Enter Indicator Scores'!$B$10:$B$161=$B112)*('3. Enter Indicator Scores'!$C$10:$C$161=$C112),0),
  _xlpm.c, MATCH(U$8,'3. Enter Indicator Scores'!$D$8:$CZ$8,0),
  _xlpm.v, IFERROR(INDEX('3. Enter Indicator Scores'!$D$10:$CZ$161,_xlpm.r,_xlpm.c),""),
  IF(OR(_xlpm.w="",_xlpm.v=""),"",_xlpm.v*_xlpm.w)
)</f>
        <v/>
      </c>
      <c r="V112" s="93" t="str" cm="1">
        <f t="array" ref="V112">_xlfn.LET(
  _xlpm.w, V$11,
  _xlpm.r, MATCH(1,('3. Enter Indicator Scores'!$B$10:$B$161=$B112)*('3. Enter Indicator Scores'!$C$10:$C$161=$C112),0),
  _xlpm.c, MATCH(V$8,'3. Enter Indicator Scores'!$D$8:$CZ$8,0),
  _xlpm.v, IFERROR(INDEX('3. Enter Indicator Scores'!$D$10:$CZ$161,_xlpm.r,_xlpm.c),""),
  IF(OR(_xlpm.w="",_xlpm.v=""),"",_xlpm.v*_xlpm.w)
)</f>
        <v/>
      </c>
      <c r="W112" s="93" t="str" cm="1">
        <f t="array" ref="W112">_xlfn.LET(
  _xlpm.w, W$11,
  _xlpm.r, MATCH(1,('3. Enter Indicator Scores'!$B$10:$B$161=$B112)*('3. Enter Indicator Scores'!$C$10:$C$161=$C112),0),
  _xlpm.c, MATCH(W$8,'3. Enter Indicator Scores'!$D$8:$CZ$8,0),
  _xlpm.v, IFERROR(INDEX('3. Enter Indicator Scores'!$D$10:$CZ$161,_xlpm.r,_xlpm.c),""),
  IF(OR(_xlpm.w="",_xlpm.v=""),"",_xlpm.v*_xlpm.w)
)</f>
        <v/>
      </c>
      <c r="X112" s="93" t="str" cm="1">
        <f t="array" ref="X112">_xlfn.LET(
  _xlpm.w, X$11,
  _xlpm.r, MATCH(1,('3. Enter Indicator Scores'!$B$10:$B$161=$B112)*('3. Enter Indicator Scores'!$C$10:$C$161=$C112),0),
  _xlpm.c, MATCH(X$8,'3. Enter Indicator Scores'!$D$8:$CZ$8,0),
  _xlpm.v, IFERROR(INDEX('3. Enter Indicator Scores'!$D$10:$CZ$161,_xlpm.r,_xlpm.c),""),
  IF(OR(_xlpm.w="",_xlpm.v=""),"",_xlpm.v*_xlpm.w)
)</f>
        <v/>
      </c>
      <c r="Y112" s="93" t="str" cm="1">
        <f t="array" ref="Y112">_xlfn.LET(
  _xlpm.w, Y$11,
  _xlpm.r, MATCH(1,('3. Enter Indicator Scores'!$B$10:$B$161=$B112)*('3. Enter Indicator Scores'!$C$10:$C$161=$C112),0),
  _xlpm.c, MATCH(Y$8,'3. Enter Indicator Scores'!$D$8:$CZ$8,0),
  _xlpm.v, IFERROR(INDEX('3. Enter Indicator Scores'!$D$10:$CZ$161,_xlpm.r,_xlpm.c),""),
  IF(OR(_xlpm.w="",_xlpm.v=""),"",_xlpm.v*_xlpm.w)
)</f>
        <v/>
      </c>
      <c r="Z112" s="93" t="str" cm="1">
        <f t="array" ref="Z112">_xlfn.LET(
  _xlpm.w, Z$11,
  _xlpm.r, MATCH(1,('3. Enter Indicator Scores'!$B$10:$B$161=$B112)*('3. Enter Indicator Scores'!$C$10:$C$161=$C112),0),
  _xlpm.c, MATCH(Z$8,'3. Enter Indicator Scores'!$D$8:$CZ$8,0),
  _xlpm.v, IFERROR(INDEX('3. Enter Indicator Scores'!$D$10:$CZ$161,_xlpm.r,_xlpm.c),""),
  IF(OR(_xlpm.w="",_xlpm.v=""),"",_xlpm.v*_xlpm.w)
)</f>
        <v/>
      </c>
      <c r="AA112" s="93" t="str" cm="1">
        <f t="array" ref="AA112">_xlfn.LET(
  _xlpm.w, AA$11,
  _xlpm.r, MATCH(1,('3. Enter Indicator Scores'!$B$10:$B$161=$B112)*('3. Enter Indicator Scores'!$C$10:$C$161=$C112),0),
  _xlpm.c, MATCH(AA$8,'3. Enter Indicator Scores'!$D$8:$CZ$8,0),
  _xlpm.v, IFERROR(INDEX('3. Enter Indicator Scores'!$D$10:$CZ$161,_xlpm.r,_xlpm.c),""),
  IF(OR(_xlpm.w="",_xlpm.v=""),"",_xlpm.v*_xlpm.w)
)</f>
        <v/>
      </c>
      <c r="AB112" s="93" t="str" cm="1">
        <f t="array" ref="AB112">_xlfn.LET(
  _xlpm.w, AB$11,
  _xlpm.r, MATCH(1,('3. Enter Indicator Scores'!$B$10:$B$161=$B112)*('3. Enter Indicator Scores'!$C$10:$C$161=$C112),0),
  _xlpm.c, MATCH(AB$8,'3. Enter Indicator Scores'!$D$8:$CZ$8,0),
  _xlpm.v, IFERROR(INDEX('3. Enter Indicator Scores'!$D$10:$CZ$161,_xlpm.r,_xlpm.c),""),
  IF(OR(_xlpm.w="",_xlpm.v=""),"",_xlpm.v*_xlpm.w)
)</f>
        <v/>
      </c>
      <c r="AC112" s="93" t="str" cm="1">
        <f t="array" ref="AC112">_xlfn.LET(
  _xlpm.w, AC$11,
  _xlpm.r, MATCH(1,('3. Enter Indicator Scores'!$B$10:$B$161=$B112)*('3. Enter Indicator Scores'!$C$10:$C$161=$C112),0),
  _xlpm.c, MATCH(AC$8,'3. Enter Indicator Scores'!$D$8:$CZ$8,0),
  _xlpm.v, IFERROR(INDEX('3. Enter Indicator Scores'!$D$10:$CZ$161,_xlpm.r,_xlpm.c),""),
  IF(OR(_xlpm.w="",_xlpm.v=""),"",_xlpm.v*_xlpm.w)
)</f>
        <v/>
      </c>
      <c r="AD112" s="93" t="str" cm="1">
        <f t="array" ref="AD112">_xlfn.LET(
  _xlpm.w, AD$11,
  _xlpm.r, MATCH(1,('3. Enter Indicator Scores'!$B$10:$B$161=$B112)*('3. Enter Indicator Scores'!$C$10:$C$161=$C112),0),
  _xlpm.c, MATCH(AD$8,'3. Enter Indicator Scores'!$D$8:$CZ$8,0),
  _xlpm.v, IFERROR(INDEX('3. Enter Indicator Scores'!$D$10:$CZ$161,_xlpm.r,_xlpm.c),""),
  IF(OR(_xlpm.w="",_xlpm.v=""),"",_xlpm.v*_xlpm.w)
)</f>
        <v/>
      </c>
      <c r="AE112" s="93" t="str" cm="1">
        <f t="array" ref="AE112">_xlfn.LET(
  _xlpm.w, AE$11,
  _xlpm.r, MATCH(1,('3. Enter Indicator Scores'!$B$10:$B$161=$B112)*('3. Enter Indicator Scores'!$C$10:$C$161=$C112),0),
  _xlpm.c, MATCH(AE$8,'3. Enter Indicator Scores'!$D$8:$CZ$8,0),
  _xlpm.v, IFERROR(INDEX('3. Enter Indicator Scores'!$D$10:$CZ$161,_xlpm.r,_xlpm.c),""),
  IF(OR(_xlpm.w="",_xlpm.v=""),"",_xlpm.v*_xlpm.w)
)</f>
        <v/>
      </c>
      <c r="AF112" s="93" t="str" cm="1">
        <f t="array" ref="AF112">_xlfn.LET(
  _xlpm.w, AF$11,
  _xlpm.r, MATCH(1,('3. Enter Indicator Scores'!$B$10:$B$161=$B112)*('3. Enter Indicator Scores'!$C$10:$C$161=$C112),0),
  _xlpm.c, MATCH(AF$8,'3. Enter Indicator Scores'!$D$8:$CZ$8,0),
  _xlpm.v, IFERROR(INDEX('3. Enter Indicator Scores'!$D$10:$CZ$161,_xlpm.r,_xlpm.c),""),
  IF(OR(_xlpm.w="",_xlpm.v=""),"",_xlpm.v*_xlpm.w)
)</f>
        <v/>
      </c>
      <c r="AG112" s="93" t="str" cm="1">
        <f t="array" ref="AG112">_xlfn.LET(
  _xlpm.w, AG$11,
  _xlpm.r, MATCH(1,('3. Enter Indicator Scores'!$B$10:$B$161=$B112)*('3. Enter Indicator Scores'!$C$10:$C$161=$C112),0),
  _xlpm.c, MATCH(AG$8,'3. Enter Indicator Scores'!$D$8:$CZ$8,0),
  _xlpm.v, IFERROR(INDEX('3. Enter Indicator Scores'!$D$10:$CZ$161,_xlpm.r,_xlpm.c),""),
  IF(OR(_xlpm.w="",_xlpm.v=""),"",_xlpm.v*_xlpm.w)
)</f>
        <v/>
      </c>
      <c r="AH112" s="93" t="str" cm="1">
        <f t="array" ref="AH112">_xlfn.LET(
  _xlpm.w, AH$11,
  _xlpm.r, MATCH(1,('3. Enter Indicator Scores'!$B$10:$B$161=$B112)*('3. Enter Indicator Scores'!$C$10:$C$161=$C112),0),
  _xlpm.c, MATCH(AH$8,'3. Enter Indicator Scores'!$D$8:$CZ$8,0),
  _xlpm.v, IFERROR(INDEX('3. Enter Indicator Scores'!$D$10:$CZ$161,_xlpm.r,_xlpm.c),""),
  IF(OR(_xlpm.w="",_xlpm.v=""),"",_xlpm.v*_xlpm.w)
)</f>
        <v/>
      </c>
      <c r="AI112" s="93" t="str" cm="1">
        <f t="array" ref="AI112">_xlfn.LET(
  _xlpm.w, AI$11,
  _xlpm.r, MATCH(1,('3. Enter Indicator Scores'!$B$10:$B$161=$B112)*('3. Enter Indicator Scores'!$C$10:$C$161=$C112),0),
  _xlpm.c, MATCH(AI$8,'3. Enter Indicator Scores'!$D$8:$CZ$8,0),
  _xlpm.v, IFERROR(INDEX('3. Enter Indicator Scores'!$D$10:$CZ$161,_xlpm.r,_xlpm.c),""),
  IF(OR(_xlpm.w="",_xlpm.v=""),"",_xlpm.v*_xlpm.w)
)</f>
        <v/>
      </c>
      <c r="AJ112" s="93" t="str" cm="1">
        <f t="array" ref="AJ112">_xlfn.LET(
  _xlpm.w, AJ$11,
  _xlpm.r, MATCH(1,('3. Enter Indicator Scores'!$B$10:$B$161=$B112)*('3. Enter Indicator Scores'!$C$10:$C$161=$C112),0),
  _xlpm.c, MATCH(AJ$8,'3. Enter Indicator Scores'!$D$8:$CZ$8,0),
  _xlpm.v, IFERROR(INDEX('3. Enter Indicator Scores'!$D$10:$CZ$161,_xlpm.r,_xlpm.c),""),
  IF(OR(_xlpm.w="",_xlpm.v=""),"",_xlpm.v*_xlpm.w)
)</f>
        <v/>
      </c>
      <c r="AK112" s="93" t="str" cm="1">
        <f t="array" ref="AK112">_xlfn.LET(
  _xlpm.w, AK$11,
  _xlpm.r, MATCH(1,('3. Enter Indicator Scores'!$B$10:$B$161=$B112)*('3. Enter Indicator Scores'!$C$10:$C$161=$C112),0),
  _xlpm.c, MATCH(AK$8,'3. Enter Indicator Scores'!$D$8:$CZ$8,0),
  _xlpm.v, IFERROR(INDEX('3. Enter Indicator Scores'!$D$10:$CZ$161,_xlpm.r,_xlpm.c),""),
  IF(OR(_xlpm.w="",_xlpm.v=""),"",_xlpm.v*_xlpm.w)
)</f>
        <v/>
      </c>
      <c r="AL112" s="93" t="str" cm="1">
        <f t="array" ref="AL112">_xlfn.LET(
  _xlpm.w, AL$11,
  _xlpm.r, MATCH(1,('3. Enter Indicator Scores'!$B$10:$B$161=$B112)*('3. Enter Indicator Scores'!$C$10:$C$161=$C112),0),
  _xlpm.c, MATCH(AL$8,'3. Enter Indicator Scores'!$D$8:$CZ$8,0),
  _xlpm.v, IFERROR(INDEX('3. Enter Indicator Scores'!$D$10:$CZ$161,_xlpm.r,_xlpm.c),""),
  IF(OR(_xlpm.w="",_xlpm.v=""),"",_xlpm.v*_xlpm.w)
)</f>
        <v/>
      </c>
      <c r="AM112" s="93" t="str" cm="1">
        <f t="array" ref="AM112">_xlfn.LET(
  _xlpm.w, AM$11,
  _xlpm.r, MATCH(1,('3. Enter Indicator Scores'!$B$10:$B$161=$B112)*('3. Enter Indicator Scores'!$C$10:$C$161=$C112),0),
  _xlpm.c, MATCH(AM$8,'3. Enter Indicator Scores'!$D$8:$CZ$8,0),
  _xlpm.v, IFERROR(INDEX('3. Enter Indicator Scores'!$D$10:$CZ$161,_xlpm.r,_xlpm.c),""),
  IF(OR(_xlpm.w="",_xlpm.v=""),"",_xlpm.v*_xlpm.w)
)</f>
        <v/>
      </c>
      <c r="AN112" s="93" t="str" cm="1">
        <f t="array" ref="AN112">_xlfn.LET(
  _xlpm.w, AN$11,
  _xlpm.r, MATCH(1,('3. Enter Indicator Scores'!$B$10:$B$161=$B112)*('3. Enter Indicator Scores'!$C$10:$C$161=$C112),0),
  _xlpm.c, MATCH(AN$8,'3. Enter Indicator Scores'!$D$8:$CZ$8,0),
  _xlpm.v, IFERROR(INDEX('3. Enter Indicator Scores'!$D$10:$CZ$161,_xlpm.r,_xlpm.c),""),
  IF(OR(_xlpm.w="",_xlpm.v=""),"",_xlpm.v*_xlpm.w)
)</f>
        <v/>
      </c>
      <c r="AO112" s="93" t="str" cm="1">
        <f t="array" ref="AO112">_xlfn.LET(
  _xlpm.w, AO$11,
  _xlpm.r, MATCH(1,('3. Enter Indicator Scores'!$B$10:$B$161=$B112)*('3. Enter Indicator Scores'!$C$10:$C$161=$C112),0),
  _xlpm.c, MATCH(AO$8,'3. Enter Indicator Scores'!$D$8:$CZ$8,0),
  _xlpm.v, IFERROR(INDEX('3. Enter Indicator Scores'!$D$10:$CZ$161,_xlpm.r,_xlpm.c),""),
  IF(OR(_xlpm.w="",_xlpm.v=""),"",_xlpm.v*_xlpm.w)
)</f>
        <v/>
      </c>
      <c r="AP112" s="93" t="str" cm="1">
        <f t="array" ref="AP112">_xlfn.LET(
  _xlpm.w, AP$11,
  _xlpm.r, MATCH(1,('3. Enter Indicator Scores'!$B$10:$B$161=$B112)*('3. Enter Indicator Scores'!$C$10:$C$161=$C112),0),
  _xlpm.c, MATCH(AP$8,'3. Enter Indicator Scores'!$D$8:$CZ$8,0),
  _xlpm.v, IFERROR(INDEX('3. Enter Indicator Scores'!$D$10:$CZ$161,_xlpm.r,_xlpm.c),""),
  IF(OR(_xlpm.w="",_xlpm.v=""),"",_xlpm.v*_xlpm.w)
)</f>
        <v/>
      </c>
      <c r="AQ112" s="93" t="str" cm="1">
        <f t="array" ref="AQ112">_xlfn.LET(
  _xlpm.w, AQ$11,
  _xlpm.r, MATCH(1,('3. Enter Indicator Scores'!$B$10:$B$161=$B112)*('3. Enter Indicator Scores'!$C$10:$C$161=$C112),0),
  _xlpm.c, MATCH(AQ$8,'3. Enter Indicator Scores'!$D$8:$CZ$8,0),
  _xlpm.v, IFERROR(INDEX('3. Enter Indicator Scores'!$D$10:$CZ$161,_xlpm.r,_xlpm.c),""),
  IF(OR(_xlpm.w="",_xlpm.v=""),"",_xlpm.v*_xlpm.w)
)</f>
        <v/>
      </c>
      <c r="AR112" s="93" t="str" cm="1">
        <f t="array" ref="AR112">_xlfn.LET(
  _xlpm.w, AR$11,
  _xlpm.r, MATCH(1,('3. Enter Indicator Scores'!$B$10:$B$161=$B112)*('3. Enter Indicator Scores'!$C$10:$C$161=$C112),0),
  _xlpm.c, MATCH(AR$8,'3. Enter Indicator Scores'!$D$8:$CZ$8,0),
  _xlpm.v, IFERROR(INDEX('3. Enter Indicator Scores'!$D$10:$CZ$161,_xlpm.r,_xlpm.c),""),
  IF(OR(_xlpm.w="",_xlpm.v=""),"",_xlpm.v*_xlpm.w)
)</f>
        <v/>
      </c>
      <c r="AS112" s="93" t="str" cm="1">
        <f t="array" ref="AS112">_xlfn.LET(
  _xlpm.w, AS$11,
  _xlpm.r, MATCH(1,('3. Enter Indicator Scores'!$B$10:$B$161=$B112)*('3. Enter Indicator Scores'!$C$10:$C$161=$C112),0),
  _xlpm.c, MATCH(AS$8,'3. Enter Indicator Scores'!$D$8:$CZ$8,0),
  _xlpm.v, IFERROR(INDEX('3. Enter Indicator Scores'!$D$10:$CZ$161,_xlpm.r,_xlpm.c),""),
  IF(OR(_xlpm.w="",_xlpm.v=""),"",_xlpm.v*_xlpm.w)
)</f>
        <v/>
      </c>
      <c r="AT112" s="93" t="str" cm="1">
        <f t="array" ref="AT112">_xlfn.LET(
  _xlpm.w, AT$11,
  _xlpm.r, MATCH(1,('3. Enter Indicator Scores'!$B$10:$B$161=$B112)*('3. Enter Indicator Scores'!$C$10:$C$161=$C112),0),
  _xlpm.c, MATCH(AT$8,'3. Enter Indicator Scores'!$D$8:$CZ$8,0),
  _xlpm.v, IFERROR(INDEX('3. Enter Indicator Scores'!$D$10:$CZ$161,_xlpm.r,_xlpm.c),""),
  IF(OR(_xlpm.w="",_xlpm.v=""),"",_xlpm.v*_xlpm.w)
)</f>
        <v/>
      </c>
      <c r="AU112" s="93" t="str" cm="1">
        <f t="array" ref="AU112">_xlfn.LET(
  _xlpm.w, AU$11,
  _xlpm.r, MATCH(1,('3. Enter Indicator Scores'!$B$10:$B$161=$B112)*('3. Enter Indicator Scores'!$C$10:$C$161=$C112),0),
  _xlpm.c, MATCH(AU$8,'3. Enter Indicator Scores'!$D$8:$CZ$8,0),
  _xlpm.v, IFERROR(INDEX('3. Enter Indicator Scores'!$D$10:$CZ$161,_xlpm.r,_xlpm.c),""),
  IF(OR(_xlpm.w="",_xlpm.v=""),"",_xlpm.v*_xlpm.w)
)</f>
        <v/>
      </c>
      <c r="AV112" s="93" t="str" cm="1">
        <f t="array" ref="AV112">_xlfn.LET(
  _xlpm.w, AV$11,
  _xlpm.r, MATCH(1,('3. Enter Indicator Scores'!$B$10:$B$161=$B112)*('3. Enter Indicator Scores'!$C$10:$C$161=$C112),0),
  _xlpm.c, MATCH(AV$8,'3. Enter Indicator Scores'!$D$8:$CZ$8,0),
  _xlpm.v, IFERROR(INDEX('3. Enter Indicator Scores'!$D$10:$CZ$161,_xlpm.r,_xlpm.c),""),
  IF(OR(_xlpm.w="",_xlpm.v=""),"",_xlpm.v*_xlpm.w)
)</f>
        <v/>
      </c>
      <c r="AW112" s="93" t="str" cm="1">
        <f t="array" ref="AW112">_xlfn.LET(
  _xlpm.w, AW$11,
  _xlpm.r, MATCH(1,('3. Enter Indicator Scores'!$B$10:$B$161=$B112)*('3. Enter Indicator Scores'!$C$10:$C$161=$C112),0),
  _xlpm.c, MATCH(AW$8,'3. Enter Indicator Scores'!$D$8:$CZ$8,0),
  _xlpm.v, IFERROR(INDEX('3. Enter Indicator Scores'!$D$10:$CZ$161,_xlpm.r,_xlpm.c),""),
  IF(OR(_xlpm.w="",_xlpm.v=""),"",_xlpm.v*_xlpm.w)
)</f>
        <v/>
      </c>
      <c r="AX112" s="93" t="str" cm="1">
        <f t="array" ref="AX112">_xlfn.LET(
  _xlpm.w, AX$11,
  _xlpm.r, MATCH(1,('3. Enter Indicator Scores'!$B$10:$B$161=$B112)*('3. Enter Indicator Scores'!$C$10:$C$161=$C112),0),
  _xlpm.c, MATCH(AX$8,'3. Enter Indicator Scores'!$D$8:$CZ$8,0),
  _xlpm.v, IFERROR(INDEX('3. Enter Indicator Scores'!$D$10:$CZ$161,_xlpm.r,_xlpm.c),""),
  IF(OR(_xlpm.w="",_xlpm.v=""),"",_xlpm.v*_xlpm.w)
)</f>
        <v/>
      </c>
      <c r="AY112" s="93" t="str" cm="1">
        <f t="array" ref="AY112">_xlfn.LET(
  _xlpm.w, AY$11,
  _xlpm.r, MATCH(1,('3. Enter Indicator Scores'!$B$10:$B$161=$B112)*('3. Enter Indicator Scores'!$C$10:$C$161=$C112),0),
  _xlpm.c, MATCH(AY$8,'3. Enter Indicator Scores'!$D$8:$CZ$8,0),
  _xlpm.v, IFERROR(INDEX('3. Enter Indicator Scores'!$D$10:$CZ$161,_xlpm.r,_xlpm.c),""),
  IF(OR(_xlpm.w="",_xlpm.v=""),"",_xlpm.v*_xlpm.w)
)</f>
        <v/>
      </c>
      <c r="AZ112" s="93" t="str" cm="1">
        <f t="array" ref="AZ112">_xlfn.LET(
  _xlpm.w, AZ$11,
  _xlpm.r, MATCH(1,('3. Enter Indicator Scores'!$B$10:$B$161=$B112)*('3. Enter Indicator Scores'!$C$10:$C$161=$C112),0),
  _xlpm.c, MATCH(AZ$8,'3. Enter Indicator Scores'!$D$8:$CZ$8,0),
  _xlpm.v, IFERROR(INDEX('3. Enter Indicator Scores'!$D$10:$CZ$161,_xlpm.r,_xlpm.c),""),
  IF(OR(_xlpm.w="",_xlpm.v=""),"",_xlpm.v*_xlpm.w)
)</f>
        <v/>
      </c>
      <c r="BA112" s="93" t="str" cm="1">
        <f t="array" ref="BA112">_xlfn.LET(
  _xlpm.w, BA$11,
  _xlpm.r, MATCH(1,('3. Enter Indicator Scores'!$B$10:$B$161=$B112)*('3. Enter Indicator Scores'!$C$10:$C$161=$C112),0),
  _xlpm.c, MATCH(BA$8,'3. Enter Indicator Scores'!$D$8:$CZ$8,0),
  _xlpm.v, IFERROR(INDEX('3. Enter Indicator Scores'!$D$10:$CZ$161,_xlpm.r,_xlpm.c),""),
  IF(OR(_xlpm.w="",_xlpm.v=""),"",_xlpm.v*_xlpm.w)
)</f>
        <v/>
      </c>
      <c r="BB112" s="93" t="str" cm="1">
        <f t="array" ref="BB112">_xlfn.LET(
  _xlpm.w, BB$11,
  _xlpm.r, MATCH(1,('3. Enter Indicator Scores'!$B$10:$B$161=$B112)*('3. Enter Indicator Scores'!$C$10:$C$161=$C112),0),
  _xlpm.c, MATCH(BB$8,'3. Enter Indicator Scores'!$D$8:$CZ$8,0),
  _xlpm.v, IFERROR(INDEX('3. Enter Indicator Scores'!$D$10:$CZ$161,_xlpm.r,_xlpm.c),""),
  IF(OR(_xlpm.w="",_xlpm.v=""),"",_xlpm.v*_xlpm.w)
)</f>
        <v/>
      </c>
      <c r="BC112" s="93" t="str" cm="1">
        <f t="array" ref="BC112">_xlfn.LET(
  _xlpm.w, BC$11,
  _xlpm.r, MATCH(1,('3. Enter Indicator Scores'!$B$10:$B$161=$B112)*('3. Enter Indicator Scores'!$C$10:$C$161=$C112),0),
  _xlpm.c, MATCH(BC$8,'3. Enter Indicator Scores'!$D$8:$CZ$8,0),
  _xlpm.v, IFERROR(INDEX('3. Enter Indicator Scores'!$D$10:$CZ$161,_xlpm.r,_xlpm.c),""),
  IF(OR(_xlpm.w="",_xlpm.v=""),"",_xlpm.v*_xlpm.w)
)</f>
        <v/>
      </c>
      <c r="BD112" s="93" t="str" cm="1">
        <f t="array" ref="BD112">_xlfn.LET(
  _xlpm.w, BD$11,
  _xlpm.r, MATCH(1,('3. Enter Indicator Scores'!$B$10:$B$161=$B112)*('3. Enter Indicator Scores'!$C$10:$C$161=$C112),0),
  _xlpm.c, MATCH(BD$8,'3. Enter Indicator Scores'!$D$8:$CZ$8,0),
  _xlpm.v, IFERROR(INDEX('3. Enter Indicator Scores'!$D$10:$CZ$161,_xlpm.r,_xlpm.c),""),
  IF(OR(_xlpm.w="",_xlpm.v=""),"",_xlpm.v*_xlpm.w)
)</f>
        <v/>
      </c>
      <c r="BE112" s="93" t="str" cm="1">
        <f t="array" ref="BE112">_xlfn.LET(
  _xlpm.w, BE$11,
  _xlpm.r, MATCH(1,('3. Enter Indicator Scores'!$B$10:$B$161=$B112)*('3. Enter Indicator Scores'!$C$10:$C$161=$C112),0),
  _xlpm.c, MATCH(BE$8,'3. Enter Indicator Scores'!$D$8:$CZ$8,0),
  _xlpm.v, IFERROR(INDEX('3. Enter Indicator Scores'!$D$10:$CZ$161,_xlpm.r,_xlpm.c),""),
  IF(OR(_xlpm.w="",_xlpm.v=""),"",_xlpm.v*_xlpm.w)
)</f>
        <v/>
      </c>
      <c r="BF112" s="93" t="str" cm="1">
        <f t="array" ref="BF112">_xlfn.LET(
  _xlpm.w, BF$11,
  _xlpm.r, MATCH(1,('3. Enter Indicator Scores'!$B$10:$B$161=$B112)*('3. Enter Indicator Scores'!$C$10:$C$161=$C112),0),
  _xlpm.c, MATCH(BF$8,'3. Enter Indicator Scores'!$D$8:$CZ$8,0),
  _xlpm.v, IFERROR(INDEX('3. Enter Indicator Scores'!$D$10:$CZ$161,_xlpm.r,_xlpm.c),""),
  IF(OR(_xlpm.w="",_xlpm.v=""),"",_xlpm.v*_xlpm.w)
)</f>
        <v/>
      </c>
      <c r="BG112" s="93" t="str" cm="1">
        <f t="array" ref="BG112">_xlfn.LET(
  _xlpm.w, BG$11,
  _xlpm.r, MATCH(1,('3. Enter Indicator Scores'!$B$10:$B$161=$B112)*('3. Enter Indicator Scores'!$C$10:$C$161=$C112),0),
  _xlpm.c, MATCH(BG$8,'3. Enter Indicator Scores'!$D$8:$CZ$8,0),
  _xlpm.v, IFERROR(INDEX('3. Enter Indicator Scores'!$D$10:$CZ$161,_xlpm.r,_xlpm.c),""),
  IF(OR(_xlpm.w="",_xlpm.v=""),"",_xlpm.v*_xlpm.w)
)</f>
        <v/>
      </c>
      <c r="BH112" s="93" t="str" cm="1">
        <f t="array" ref="BH112">_xlfn.LET(
  _xlpm.w, BH$11,
  _xlpm.r, MATCH(1,('3. Enter Indicator Scores'!$B$10:$B$161=$B112)*('3. Enter Indicator Scores'!$C$10:$C$161=$C112),0),
  _xlpm.c, MATCH(BH$8,'3. Enter Indicator Scores'!$D$8:$CZ$8,0),
  _xlpm.v, IFERROR(INDEX('3. Enter Indicator Scores'!$D$10:$CZ$161,_xlpm.r,_xlpm.c),""),
  IF(OR(_xlpm.w="",_xlpm.v=""),"",_xlpm.v*_xlpm.w)
)</f>
        <v/>
      </c>
      <c r="BI112" s="93" t="str" cm="1">
        <f t="array" ref="BI112">_xlfn.LET(
  _xlpm.w, BI$11,
  _xlpm.r, MATCH(1,('3. Enter Indicator Scores'!$B$10:$B$161=$B112)*('3. Enter Indicator Scores'!$C$10:$C$161=$C112),0),
  _xlpm.c, MATCH(BI$8,'3. Enter Indicator Scores'!$D$8:$CZ$8,0),
  _xlpm.v, IFERROR(INDEX('3. Enter Indicator Scores'!$D$10:$CZ$161,_xlpm.r,_xlpm.c),""),
  IF(OR(_xlpm.w="",_xlpm.v=""),"",_xlpm.v*_xlpm.w)
)</f>
        <v/>
      </c>
      <c r="BJ112" s="93" t="str" cm="1">
        <f t="array" ref="BJ112">_xlfn.LET(
  _xlpm.w, BJ$11,
  _xlpm.r, MATCH(1,('3. Enter Indicator Scores'!$B$10:$B$161=$B112)*('3. Enter Indicator Scores'!$C$10:$C$161=$C112),0),
  _xlpm.c, MATCH(BJ$8,'3. Enter Indicator Scores'!$D$8:$CZ$8,0),
  _xlpm.v, IFERROR(INDEX('3. Enter Indicator Scores'!$D$10:$CZ$161,_xlpm.r,_xlpm.c),""),
  IF(OR(_xlpm.w="",_xlpm.v=""),"",_xlpm.v*_xlpm.w)
)</f>
        <v/>
      </c>
      <c r="BK112" s="93" t="str" cm="1">
        <f t="array" ref="BK112">_xlfn.LET(
  _xlpm.w, BK$11,
  _xlpm.r, MATCH(1,('3. Enter Indicator Scores'!$B$10:$B$161=$B112)*('3. Enter Indicator Scores'!$C$10:$C$161=$C112),0),
  _xlpm.c, MATCH(BK$8,'3. Enter Indicator Scores'!$D$8:$CZ$8,0),
  _xlpm.v, IFERROR(INDEX('3. Enter Indicator Scores'!$D$10:$CZ$161,_xlpm.r,_xlpm.c),""),
  IF(OR(_xlpm.w="",_xlpm.v=""),"",_xlpm.v*_xlpm.w)
)</f>
        <v/>
      </c>
      <c r="BL112" s="93" t="str" cm="1">
        <f t="array" ref="BL112">_xlfn.LET(
  _xlpm.w, BL$11,
  _xlpm.r, MATCH(1,('3. Enter Indicator Scores'!$B$10:$B$161=$B112)*('3. Enter Indicator Scores'!$C$10:$C$161=$C112),0),
  _xlpm.c, MATCH(BL$8,'3. Enter Indicator Scores'!$D$8:$CZ$8,0),
  _xlpm.v, IFERROR(INDEX('3. Enter Indicator Scores'!$D$10:$CZ$161,_xlpm.r,_xlpm.c),""),
  IF(OR(_xlpm.w="",_xlpm.v=""),"",_xlpm.v*_xlpm.w)
)</f>
        <v/>
      </c>
      <c r="BM112" s="93" t="str" cm="1">
        <f t="array" ref="BM112">_xlfn.LET(
  _xlpm.w, BM$11,
  _xlpm.r, MATCH(1,('3. Enter Indicator Scores'!$B$10:$B$161=$B112)*('3. Enter Indicator Scores'!$C$10:$C$161=$C112),0),
  _xlpm.c, MATCH(BM$8,'3. Enter Indicator Scores'!$D$8:$CZ$8,0),
  _xlpm.v, IFERROR(INDEX('3. Enter Indicator Scores'!$D$10:$CZ$161,_xlpm.r,_xlpm.c),""),
  IF(OR(_xlpm.w="",_xlpm.v=""),"",_xlpm.v*_xlpm.w)
)</f>
        <v/>
      </c>
      <c r="BN112" s="93" t="str" cm="1">
        <f t="array" ref="BN112">_xlfn.LET(
  _xlpm.w, BN$11,
  _xlpm.r, MATCH(1,('3. Enter Indicator Scores'!$B$10:$B$161=$B112)*('3. Enter Indicator Scores'!$C$10:$C$161=$C112),0),
  _xlpm.c, MATCH(BN$8,'3. Enter Indicator Scores'!$D$8:$CZ$8,0),
  _xlpm.v, IFERROR(INDEX('3. Enter Indicator Scores'!$D$10:$CZ$161,_xlpm.r,_xlpm.c),""),
  IF(OR(_xlpm.w="",_xlpm.v=""),"",_xlpm.v*_xlpm.w)
)</f>
        <v/>
      </c>
      <c r="BO112" s="93" t="str" cm="1">
        <f t="array" ref="BO112">_xlfn.LET(
  _xlpm.w, BO$11,
  _xlpm.r, MATCH(1,('3. Enter Indicator Scores'!$B$10:$B$161=$B112)*('3. Enter Indicator Scores'!$C$10:$C$161=$C112),0),
  _xlpm.c, MATCH(BO$8,'3. Enter Indicator Scores'!$D$8:$CZ$8,0),
  _xlpm.v, IFERROR(INDEX('3. Enter Indicator Scores'!$D$10:$CZ$161,_xlpm.r,_xlpm.c),""),
  IF(OR(_xlpm.w="",_xlpm.v=""),"",_xlpm.v*_xlpm.w)
)</f>
        <v/>
      </c>
      <c r="BP112" s="93" t="str" cm="1">
        <f t="array" ref="BP112">_xlfn.LET(
  _xlpm.w, BP$11,
  _xlpm.r, MATCH(1,('3. Enter Indicator Scores'!$B$10:$B$161=$B112)*('3. Enter Indicator Scores'!$C$10:$C$161=$C112),0),
  _xlpm.c, MATCH(BP$8,'3. Enter Indicator Scores'!$D$8:$CZ$8,0),
  _xlpm.v, IFERROR(INDEX('3. Enter Indicator Scores'!$D$10:$CZ$161,_xlpm.r,_xlpm.c),""),
  IF(OR(_xlpm.w="",_xlpm.v=""),"",_xlpm.v*_xlpm.w)
)</f>
        <v/>
      </c>
      <c r="BQ112" s="93" t="str" cm="1">
        <f t="array" ref="BQ112">_xlfn.LET(
  _xlpm.w, BQ$11,
  _xlpm.r, MATCH(1,('3. Enter Indicator Scores'!$B$10:$B$161=$B112)*('3. Enter Indicator Scores'!$C$10:$C$161=$C112),0),
  _xlpm.c, MATCH(BQ$8,'3. Enter Indicator Scores'!$D$8:$CZ$8,0),
  _xlpm.v, IFERROR(INDEX('3. Enter Indicator Scores'!$D$10:$CZ$161,_xlpm.r,_xlpm.c),""),
  IF(OR(_xlpm.w="",_xlpm.v=""),"",_xlpm.v*_xlpm.w)
)</f>
        <v/>
      </c>
      <c r="BR112" s="93" t="str" cm="1">
        <f t="array" ref="BR112">_xlfn.LET(
  _xlpm.w, BR$11,
  _xlpm.r, MATCH(1,('3. Enter Indicator Scores'!$B$10:$B$161=$B112)*('3. Enter Indicator Scores'!$C$10:$C$161=$C112),0),
  _xlpm.c, MATCH(BR$8,'3. Enter Indicator Scores'!$D$8:$CZ$8,0),
  _xlpm.v, IFERROR(INDEX('3. Enter Indicator Scores'!$D$10:$CZ$161,_xlpm.r,_xlpm.c),""),
  IF(OR(_xlpm.w="",_xlpm.v=""),"",_xlpm.v*_xlpm.w)
)</f>
        <v/>
      </c>
      <c r="BS112" s="93" t="str" cm="1">
        <f t="array" ref="BS112">_xlfn.LET(
  _xlpm.w, BS$11,
  _xlpm.r, MATCH(1,('3. Enter Indicator Scores'!$B$10:$B$161=$B112)*('3. Enter Indicator Scores'!$C$10:$C$161=$C112),0),
  _xlpm.c, MATCH(BS$8,'3. Enter Indicator Scores'!$D$8:$CZ$8,0),
  _xlpm.v, IFERROR(INDEX('3. Enter Indicator Scores'!$D$10:$CZ$161,_xlpm.r,_xlpm.c),""),
  IF(OR(_xlpm.w="",_xlpm.v=""),"",_xlpm.v*_xlpm.w)
)</f>
        <v/>
      </c>
      <c r="BT112" s="93" t="str" cm="1">
        <f t="array" ref="BT112">_xlfn.LET(
  _xlpm.w, BT$11,
  _xlpm.r, MATCH(1,('3. Enter Indicator Scores'!$B$10:$B$161=$B112)*('3. Enter Indicator Scores'!$C$10:$C$161=$C112),0),
  _xlpm.c, MATCH(BT$8,'3. Enter Indicator Scores'!$D$8:$CZ$8,0),
  _xlpm.v, IFERROR(INDEX('3. Enter Indicator Scores'!$D$10:$CZ$161,_xlpm.r,_xlpm.c),""),
  IF(OR(_xlpm.w="",_xlpm.v=""),"",_xlpm.v*_xlpm.w)
)</f>
        <v/>
      </c>
      <c r="BU112" s="93" t="str" cm="1">
        <f t="array" ref="BU112">_xlfn.LET(
  _xlpm.w, BU$11,
  _xlpm.r, MATCH(1,('3. Enter Indicator Scores'!$B$10:$B$161=$B112)*('3. Enter Indicator Scores'!$C$10:$C$161=$C112),0),
  _xlpm.c, MATCH(BU$8,'3. Enter Indicator Scores'!$D$8:$CZ$8,0),
  _xlpm.v, IFERROR(INDEX('3. Enter Indicator Scores'!$D$10:$CZ$161,_xlpm.r,_xlpm.c),""),
  IF(OR(_xlpm.w="",_xlpm.v=""),"",_xlpm.v*_xlpm.w)
)</f>
        <v/>
      </c>
      <c r="BV112" s="93" t="str" cm="1">
        <f t="array" ref="BV112">_xlfn.LET(
  _xlpm.w, BV$11,
  _xlpm.r, MATCH(1,('3. Enter Indicator Scores'!$B$10:$B$161=$B112)*('3. Enter Indicator Scores'!$C$10:$C$161=$C112),0),
  _xlpm.c, MATCH(BV$8,'3. Enter Indicator Scores'!$D$8:$CZ$8,0),
  _xlpm.v, IFERROR(INDEX('3. Enter Indicator Scores'!$D$10:$CZ$161,_xlpm.r,_xlpm.c),""),
  IF(OR(_xlpm.w="",_xlpm.v=""),"",_xlpm.v*_xlpm.w)
)</f>
        <v/>
      </c>
      <c r="BW112" s="93" t="str" cm="1">
        <f t="array" ref="BW112">_xlfn.LET(
  _xlpm.w, BW$11,
  _xlpm.r, MATCH(1,('3. Enter Indicator Scores'!$B$10:$B$161=$B112)*('3. Enter Indicator Scores'!$C$10:$C$161=$C112),0),
  _xlpm.c, MATCH(BW$8,'3. Enter Indicator Scores'!$D$8:$CZ$8,0),
  _xlpm.v, IFERROR(INDEX('3. Enter Indicator Scores'!$D$10:$CZ$161,_xlpm.r,_xlpm.c),""),
  IF(OR(_xlpm.w="",_xlpm.v=""),"",_xlpm.v*_xlpm.w)
)</f>
        <v/>
      </c>
      <c r="BX112" s="93" t="str" cm="1">
        <f t="array" ref="BX112">_xlfn.LET(
  _xlpm.w, BX$11,
  _xlpm.r, MATCH(1,('3. Enter Indicator Scores'!$B$10:$B$161=$B112)*('3. Enter Indicator Scores'!$C$10:$C$161=$C112),0),
  _xlpm.c, MATCH(BX$8,'3. Enter Indicator Scores'!$D$8:$CZ$8,0),
  _xlpm.v, IFERROR(INDEX('3. Enter Indicator Scores'!$D$10:$CZ$161,_xlpm.r,_xlpm.c),""),
  IF(OR(_xlpm.w="",_xlpm.v=""),"",_xlpm.v*_xlpm.w)
)</f>
        <v/>
      </c>
      <c r="BY112" s="93" t="str" cm="1">
        <f t="array" ref="BY112">_xlfn.LET(
  _xlpm.w, BY$11,
  _xlpm.r, MATCH(1,('3. Enter Indicator Scores'!$B$10:$B$161=$B112)*('3. Enter Indicator Scores'!$C$10:$C$161=$C112),0),
  _xlpm.c, MATCH(BY$8,'3. Enter Indicator Scores'!$D$8:$CZ$8,0),
  _xlpm.v, IFERROR(INDEX('3. Enter Indicator Scores'!$D$10:$CZ$161,_xlpm.r,_xlpm.c),""),
  IF(OR(_xlpm.w="",_xlpm.v=""),"",_xlpm.v*_xlpm.w)
)</f>
        <v/>
      </c>
      <c r="BZ112" s="93" t="str" cm="1">
        <f t="array" ref="BZ112">_xlfn.LET(
  _xlpm.w, BZ$11,
  _xlpm.r, MATCH(1,('3. Enter Indicator Scores'!$B$10:$B$161=$B112)*('3. Enter Indicator Scores'!$C$10:$C$161=$C112),0),
  _xlpm.c, MATCH(BZ$8,'3. Enter Indicator Scores'!$D$8:$CZ$8,0),
  _xlpm.v, IFERROR(INDEX('3. Enter Indicator Scores'!$D$10:$CZ$161,_xlpm.r,_xlpm.c),""),
  IF(OR(_xlpm.w="",_xlpm.v=""),"",_xlpm.v*_xlpm.w)
)</f>
        <v/>
      </c>
      <c r="CA112" s="93" t="str" cm="1">
        <f t="array" ref="CA112">_xlfn.LET(
  _xlpm.w, CA$11,
  _xlpm.r, MATCH(1,('3. Enter Indicator Scores'!$B$10:$B$161=$B112)*('3. Enter Indicator Scores'!$C$10:$C$161=$C112),0),
  _xlpm.c, MATCH(CA$8,'3. Enter Indicator Scores'!$D$8:$CZ$8,0),
  _xlpm.v, IFERROR(INDEX('3. Enter Indicator Scores'!$D$10:$CZ$161,_xlpm.r,_xlpm.c),""),
  IF(OR(_xlpm.w="",_xlpm.v=""),"",_xlpm.v*_xlpm.w)
)</f>
        <v/>
      </c>
      <c r="CB112" s="93" t="str" cm="1">
        <f t="array" ref="CB112">_xlfn.LET(
  _xlpm.w, CB$11,
  _xlpm.r, MATCH(1,('3. Enter Indicator Scores'!$B$10:$B$161=$B112)*('3. Enter Indicator Scores'!$C$10:$C$161=$C112),0),
  _xlpm.c, MATCH(CB$8,'3. Enter Indicator Scores'!$D$8:$CZ$8,0),
  _xlpm.v, IFERROR(INDEX('3. Enter Indicator Scores'!$D$10:$CZ$161,_xlpm.r,_xlpm.c),""),
  IF(OR(_xlpm.w="",_xlpm.v=""),"",_xlpm.v*_xlpm.w)
)</f>
        <v/>
      </c>
      <c r="CC112" s="93" t="str" cm="1">
        <f t="array" ref="CC112">_xlfn.LET(
  _xlpm.w, CC$11,
  _xlpm.r, MATCH(1,('3. Enter Indicator Scores'!$B$10:$B$161=$B112)*('3. Enter Indicator Scores'!$C$10:$C$161=$C112),0),
  _xlpm.c, MATCH(CC$8,'3. Enter Indicator Scores'!$D$8:$CZ$8,0),
  _xlpm.v, IFERROR(INDEX('3. Enter Indicator Scores'!$D$10:$CZ$161,_xlpm.r,_xlpm.c),""),
  IF(OR(_xlpm.w="",_xlpm.v=""),"",_xlpm.v*_xlpm.w)
)</f>
        <v/>
      </c>
      <c r="CD112" s="93" t="str" cm="1">
        <f t="array" ref="CD112">_xlfn.LET(
  _xlpm.w, CD$11,
  _xlpm.r, MATCH(1,('3. Enter Indicator Scores'!$B$10:$B$161=$B112)*('3. Enter Indicator Scores'!$C$10:$C$161=$C112),0),
  _xlpm.c, MATCH(CD$8,'3. Enter Indicator Scores'!$D$8:$CZ$8,0),
  _xlpm.v, IFERROR(INDEX('3. Enter Indicator Scores'!$D$10:$CZ$161,_xlpm.r,_xlpm.c),""),
  IF(OR(_xlpm.w="",_xlpm.v=""),"",_xlpm.v*_xlpm.w)
)</f>
        <v/>
      </c>
      <c r="CE112" s="93" t="str" cm="1">
        <f t="array" ref="CE112">_xlfn.LET(
  _xlpm.w, CE$11,
  _xlpm.r, MATCH(1,('3. Enter Indicator Scores'!$B$10:$B$161=$B112)*('3. Enter Indicator Scores'!$C$10:$C$161=$C112),0),
  _xlpm.c, MATCH(CE$8,'3. Enter Indicator Scores'!$D$8:$CZ$8,0),
  _xlpm.v, IFERROR(INDEX('3. Enter Indicator Scores'!$D$10:$CZ$161,_xlpm.r,_xlpm.c),""),
  IF(OR(_xlpm.w="",_xlpm.v=""),"",_xlpm.v*_xlpm.w)
)</f>
        <v/>
      </c>
      <c r="CF112" s="93" t="str" cm="1">
        <f t="array" ref="CF112">_xlfn.LET(
  _xlpm.w, CF$11,
  _xlpm.r, MATCH(1,('3. Enter Indicator Scores'!$B$10:$B$161=$B112)*('3. Enter Indicator Scores'!$C$10:$C$161=$C112),0),
  _xlpm.c, MATCH(CF$8,'3. Enter Indicator Scores'!$D$8:$CZ$8,0),
  _xlpm.v, IFERROR(INDEX('3. Enter Indicator Scores'!$D$10:$CZ$161,_xlpm.r,_xlpm.c),""),
  IF(OR(_xlpm.w="",_xlpm.v=""),"",_xlpm.v*_xlpm.w)
)</f>
        <v/>
      </c>
      <c r="CG112" s="93" t="str" cm="1">
        <f t="array" ref="CG112">_xlfn.LET(
  _xlpm.w, CG$11,
  _xlpm.r, MATCH(1,('3. Enter Indicator Scores'!$B$10:$B$161=$B112)*('3. Enter Indicator Scores'!$C$10:$C$161=$C112),0),
  _xlpm.c, MATCH(CG$8,'3. Enter Indicator Scores'!$D$8:$CZ$8,0),
  _xlpm.v, IFERROR(INDEX('3. Enter Indicator Scores'!$D$10:$CZ$161,_xlpm.r,_xlpm.c),""),
  IF(OR(_xlpm.w="",_xlpm.v=""),"",_xlpm.v*_xlpm.w)
)</f>
        <v/>
      </c>
      <c r="CH112" s="93" t="str" cm="1">
        <f t="array" ref="CH112">_xlfn.LET(
  _xlpm.w, CH$11,
  _xlpm.r, MATCH(1,('3. Enter Indicator Scores'!$B$10:$B$161=$B112)*('3. Enter Indicator Scores'!$C$10:$C$161=$C112),0),
  _xlpm.c, MATCH(CH$8,'3. Enter Indicator Scores'!$D$8:$CZ$8,0),
  _xlpm.v, IFERROR(INDEX('3. Enter Indicator Scores'!$D$10:$CZ$161,_xlpm.r,_xlpm.c),""),
  IF(OR(_xlpm.w="",_xlpm.v=""),"",_xlpm.v*_xlpm.w)
)</f>
        <v/>
      </c>
      <c r="CI112" s="93" t="str" cm="1">
        <f t="array" ref="CI112">_xlfn.LET(
  _xlpm.w, CI$11,
  _xlpm.r, MATCH(1,('3. Enter Indicator Scores'!$B$10:$B$161=$B112)*('3. Enter Indicator Scores'!$C$10:$C$161=$C112),0),
  _xlpm.c, MATCH(CI$8,'3. Enter Indicator Scores'!$D$8:$CZ$8,0),
  _xlpm.v, IFERROR(INDEX('3. Enter Indicator Scores'!$D$10:$CZ$161,_xlpm.r,_xlpm.c),""),
  IF(OR(_xlpm.w="",_xlpm.v=""),"",_xlpm.v*_xlpm.w)
)</f>
        <v/>
      </c>
      <c r="CJ112" s="93" t="str" cm="1">
        <f t="array" ref="CJ112">_xlfn.LET(
  _xlpm.w, CJ$11,
  _xlpm.r, MATCH(1,('3. Enter Indicator Scores'!$B$10:$B$161=$B112)*('3. Enter Indicator Scores'!$C$10:$C$161=$C112),0),
  _xlpm.c, MATCH(CJ$8,'3. Enter Indicator Scores'!$D$8:$CZ$8,0),
  _xlpm.v, IFERROR(INDEX('3. Enter Indicator Scores'!$D$10:$CZ$161,_xlpm.r,_xlpm.c),""),
  IF(OR(_xlpm.w="",_xlpm.v=""),"",_xlpm.v*_xlpm.w)
)</f>
        <v/>
      </c>
      <c r="CK112" s="93" t="str" cm="1">
        <f t="array" ref="CK112">_xlfn.LET(
  _xlpm.w, CK$11,
  _xlpm.r, MATCH(1,('3. Enter Indicator Scores'!$B$10:$B$161=$B112)*('3. Enter Indicator Scores'!$C$10:$C$161=$C112),0),
  _xlpm.c, MATCH(CK$8,'3. Enter Indicator Scores'!$D$8:$CZ$8,0),
  _xlpm.v, IFERROR(INDEX('3. Enter Indicator Scores'!$D$10:$CZ$161,_xlpm.r,_xlpm.c),""),
  IF(OR(_xlpm.w="",_xlpm.v=""),"",_xlpm.v*_xlpm.w)
)</f>
        <v/>
      </c>
      <c r="CL112" s="93" t="str" cm="1">
        <f t="array" ref="CL112">_xlfn.LET(
  _xlpm.w, CL$11,
  _xlpm.r, MATCH(1,('3. Enter Indicator Scores'!$B$10:$B$161=$B112)*('3. Enter Indicator Scores'!$C$10:$C$161=$C112),0),
  _xlpm.c, MATCH(CL$8,'3. Enter Indicator Scores'!$D$8:$CZ$8,0),
  _xlpm.v, IFERROR(INDEX('3. Enter Indicator Scores'!$D$10:$CZ$161,_xlpm.r,_xlpm.c),""),
  IF(OR(_xlpm.w="",_xlpm.v=""),"",_xlpm.v*_xlpm.w)
)</f>
        <v/>
      </c>
      <c r="CM112" s="93" t="str" cm="1">
        <f t="array" ref="CM112">_xlfn.LET(
  _xlpm.w, CM$11,
  _xlpm.r, MATCH(1,('3. Enter Indicator Scores'!$B$10:$B$161=$B112)*('3. Enter Indicator Scores'!$C$10:$C$161=$C112),0),
  _xlpm.c, MATCH(CM$8,'3. Enter Indicator Scores'!$D$8:$CZ$8,0),
  _xlpm.v, IFERROR(INDEX('3. Enter Indicator Scores'!$D$10:$CZ$161,_xlpm.r,_xlpm.c),""),
  IF(OR(_xlpm.w="",_xlpm.v=""),"",_xlpm.v*_xlpm.w)
)</f>
        <v/>
      </c>
      <c r="CN112" s="93" t="str" cm="1">
        <f t="array" ref="CN112">_xlfn.LET(
  _xlpm.w, CN$11,
  _xlpm.r, MATCH(1,('3. Enter Indicator Scores'!$B$10:$B$161=$B112)*('3. Enter Indicator Scores'!$C$10:$C$161=$C112),0),
  _xlpm.c, MATCH(CN$8,'3. Enter Indicator Scores'!$D$8:$CZ$8,0),
  _xlpm.v, IFERROR(INDEX('3. Enter Indicator Scores'!$D$10:$CZ$161,_xlpm.r,_xlpm.c),""),
  IF(OR(_xlpm.w="",_xlpm.v=""),"",_xlpm.v*_xlpm.w)
)</f>
        <v/>
      </c>
      <c r="CO112" s="93" t="str" cm="1">
        <f t="array" ref="CO112">_xlfn.LET(
  _xlpm.w, CO$11,
  _xlpm.r, MATCH(1,('3. Enter Indicator Scores'!$B$10:$B$161=$B112)*('3. Enter Indicator Scores'!$C$10:$C$161=$C112),0),
  _xlpm.c, MATCH(CO$8,'3. Enter Indicator Scores'!$D$8:$CZ$8,0),
  _xlpm.v, IFERROR(INDEX('3. Enter Indicator Scores'!$D$10:$CZ$161,_xlpm.r,_xlpm.c),""),
  IF(OR(_xlpm.w="",_xlpm.v=""),"",_xlpm.v*_xlpm.w)
)</f>
        <v/>
      </c>
      <c r="CP112" s="93" t="str" cm="1">
        <f t="array" ref="CP112">_xlfn.LET(
  _xlpm.w, CP$11,
  _xlpm.r, MATCH(1,('3. Enter Indicator Scores'!$B$10:$B$161=$B112)*('3. Enter Indicator Scores'!$C$10:$C$161=$C112),0),
  _xlpm.c, MATCH(CP$8,'3. Enter Indicator Scores'!$D$8:$CZ$8,0),
  _xlpm.v, IFERROR(INDEX('3. Enter Indicator Scores'!$D$10:$CZ$161,_xlpm.r,_xlpm.c),""),
  IF(OR(_xlpm.w="",_xlpm.v=""),"",_xlpm.v*_xlpm.w)
)</f>
        <v/>
      </c>
      <c r="CQ112" s="93" t="str" cm="1">
        <f t="array" ref="CQ112">_xlfn.LET(
  _xlpm.w, CQ$11,
  _xlpm.r, MATCH(1,('3. Enter Indicator Scores'!$B$10:$B$161=$B112)*('3. Enter Indicator Scores'!$C$10:$C$161=$C112),0),
  _xlpm.c, MATCH(CQ$8,'3. Enter Indicator Scores'!$D$8:$CZ$8,0),
  _xlpm.v, IFERROR(INDEX('3. Enter Indicator Scores'!$D$10:$CZ$161,_xlpm.r,_xlpm.c),""),
  IF(OR(_xlpm.w="",_xlpm.v=""),"",_xlpm.v*_xlpm.w)
)</f>
        <v/>
      </c>
      <c r="CR112" s="93" t="str" cm="1">
        <f t="array" ref="CR112">_xlfn.LET(
  _xlpm.w, CR$11,
  _xlpm.r, MATCH(1,('3. Enter Indicator Scores'!$B$10:$B$161=$B112)*('3. Enter Indicator Scores'!$C$10:$C$161=$C112),0),
  _xlpm.c, MATCH(CR$8,'3. Enter Indicator Scores'!$D$8:$CZ$8,0),
  _xlpm.v, IFERROR(INDEX('3. Enter Indicator Scores'!$D$10:$CZ$161,_xlpm.r,_xlpm.c),""),
  IF(OR(_xlpm.w="",_xlpm.v=""),"",_xlpm.v*_xlpm.w)
)</f>
        <v/>
      </c>
      <c r="CS112" s="93" t="str" cm="1">
        <f t="array" ref="CS112">_xlfn.LET(
  _xlpm.w, CS$11,
  _xlpm.r, MATCH(1,('3. Enter Indicator Scores'!$B$10:$B$161=$B112)*('3. Enter Indicator Scores'!$C$10:$C$161=$C112),0),
  _xlpm.c, MATCH(CS$8,'3. Enter Indicator Scores'!$D$8:$CZ$8,0),
  _xlpm.v, IFERROR(INDEX('3. Enter Indicator Scores'!$D$10:$CZ$161,_xlpm.r,_xlpm.c),""),
  IF(OR(_xlpm.w="",_xlpm.v=""),"",_xlpm.v*_xlpm.w)
)</f>
        <v/>
      </c>
      <c r="CT112" s="93" t="str" cm="1">
        <f t="array" ref="CT112">_xlfn.LET(
  _xlpm.w, CT$11,
  _xlpm.r, MATCH(1,('3. Enter Indicator Scores'!$B$10:$B$161=$B112)*('3. Enter Indicator Scores'!$C$10:$C$161=$C112),0),
  _xlpm.c, MATCH(CT$8,'3. Enter Indicator Scores'!$D$8:$CZ$8,0),
  _xlpm.v, IFERROR(INDEX('3. Enter Indicator Scores'!$D$10:$CZ$161,_xlpm.r,_xlpm.c),""),
  IF(OR(_xlpm.w="",_xlpm.v=""),"",_xlpm.v*_xlpm.w)
)</f>
        <v/>
      </c>
      <c r="CU112" s="93" t="str" cm="1">
        <f t="array" ref="CU112">_xlfn.LET(
  _xlpm.w, CU$11,
  _xlpm.r, MATCH(1,('3. Enter Indicator Scores'!$B$10:$B$161=$B112)*('3. Enter Indicator Scores'!$C$10:$C$161=$C112),0),
  _xlpm.c, MATCH(CU$8,'3. Enter Indicator Scores'!$D$8:$CZ$8,0),
  _xlpm.v, IFERROR(INDEX('3. Enter Indicator Scores'!$D$10:$CZ$161,_xlpm.r,_xlpm.c),""),
  IF(OR(_xlpm.w="",_xlpm.v=""),"",_xlpm.v*_xlpm.w)
)</f>
        <v/>
      </c>
      <c r="CV112" s="93" t="str" cm="1">
        <f t="array" ref="CV112">_xlfn.LET(
  _xlpm.w, CV$11,
  _xlpm.r, MATCH(1,('3. Enter Indicator Scores'!$B$10:$B$161=$B112)*('3. Enter Indicator Scores'!$C$10:$C$161=$C112),0),
  _xlpm.c, MATCH(CV$8,'3. Enter Indicator Scores'!$D$8:$CZ$8,0),
  _xlpm.v, IFERROR(INDEX('3. Enter Indicator Scores'!$D$10:$CZ$161,_xlpm.r,_xlpm.c),""),
  IF(OR(_xlpm.w="",_xlpm.v=""),"",_xlpm.v*_xlpm.w)
)</f>
        <v/>
      </c>
      <c r="CW112" s="93" t="str" cm="1">
        <f t="array" ref="CW112">_xlfn.LET(
  _xlpm.w, CW$11,
  _xlpm.r, MATCH(1,('3. Enter Indicator Scores'!$B$10:$B$161=$B112)*('3. Enter Indicator Scores'!$C$10:$C$161=$C112),0),
  _xlpm.c, MATCH(CW$8,'3. Enter Indicator Scores'!$D$8:$CZ$8,0),
  _xlpm.v, IFERROR(INDEX('3. Enter Indicator Scores'!$D$10:$CZ$161,_xlpm.r,_xlpm.c),""),
  IF(OR(_xlpm.w="",_xlpm.v=""),"",_xlpm.v*_xlpm.w)
)</f>
        <v/>
      </c>
      <c r="CX112" s="93" t="str" cm="1">
        <f t="array" ref="CX112">_xlfn.LET(
  _xlpm.w, CX$11,
  _xlpm.r, MATCH(1,('3. Enter Indicator Scores'!$B$10:$B$161=$B112)*('3. Enter Indicator Scores'!$C$10:$C$161=$C112),0),
  _xlpm.c, MATCH(CX$8,'3. Enter Indicator Scores'!$D$8:$CZ$8,0),
  _xlpm.v, IFERROR(INDEX('3. Enter Indicator Scores'!$D$10:$CZ$161,_xlpm.r,_xlpm.c),""),
  IF(OR(_xlpm.w="",_xlpm.v=""),"",_xlpm.v*_xlpm.w)
)</f>
        <v/>
      </c>
      <c r="CY112" s="93" t="str" cm="1">
        <f t="array" ref="CY112">_xlfn.LET(
  _xlpm.w, CY$11,
  _xlpm.r, MATCH(1,('3. Enter Indicator Scores'!$B$10:$B$161=$B112)*('3. Enter Indicator Scores'!$C$10:$C$161=$C112),0),
  _xlpm.c, MATCH(CY$8,'3. Enter Indicator Scores'!$D$8:$CZ$8,0),
  _xlpm.v, IFERROR(INDEX('3. Enter Indicator Scores'!$D$10:$CZ$161,_xlpm.r,_xlpm.c),""),
  IF(OR(_xlpm.w="",_xlpm.v=""),"",_xlpm.v*_xlpm.w)
)</f>
        <v/>
      </c>
      <c r="CZ112" s="93" t="str" cm="1">
        <f t="array" ref="CZ112">_xlfn.LET(
  _xlpm.w, CZ$11,
  _xlpm.r, MATCH(1,('3. Enter Indicator Scores'!$B$10:$B$161=$B112)*('3. Enter Indicator Scores'!$C$10:$C$161=$C112),0),
  _xlpm.c, MATCH(CZ$8,'3. Enter Indicator Scores'!$D$8:$CZ$8,0),
  _xlpm.v, IFERROR(INDEX('3. Enter Indicator Scores'!$D$10:$CZ$161,_xlpm.r,_xlpm.c),""),
  IF(OR(_xlpm.w="",_xlpm.v=""),"",_xlpm.v*_xlpm.w)
)</f>
        <v/>
      </c>
    </row>
    <row r="113" spans="4:104" x14ac:dyDescent="0.2">
      <c r="D113" s="93" t="str" cm="1">
        <f t="array" ref="D113">_xlfn.LET(
  _xlpm.w, D$11,
  _xlpm.r, MATCH(1,('3. Enter Indicator Scores'!$B$10:$B$161=$B113)*('3. Enter Indicator Scores'!$C$10:$C$161=$C113),0),
  _xlpm.c, MATCH(D$8,'3. Enter Indicator Scores'!$D$8:$CZ$8,0),
  _xlpm.v, IFERROR(INDEX('3. Enter Indicator Scores'!$D$10:$CZ$161,_xlpm.r,_xlpm.c),""),
  IF(OR(_xlpm.w="",_xlpm.v=""),"",_xlpm.v*_xlpm.w)
)</f>
        <v/>
      </c>
      <c r="E113" s="93" t="str" cm="1">
        <f t="array" ref="E113">_xlfn.LET(
  _xlpm.w, E$11,
  _xlpm.r, MATCH(1,('3. Enter Indicator Scores'!$B$10:$B$161=$B113)*('3. Enter Indicator Scores'!$C$10:$C$161=$C113),0),
  _xlpm.c, MATCH(E$8,'3. Enter Indicator Scores'!$D$8:$CZ$8,0),
  _xlpm.v, IFERROR(INDEX('3. Enter Indicator Scores'!$D$10:$CZ$161,_xlpm.r,_xlpm.c),""),
  IF(OR(_xlpm.w="",_xlpm.v=""),"",_xlpm.v*_xlpm.w)
)</f>
        <v/>
      </c>
      <c r="F113" s="93" t="str" cm="1">
        <f t="array" ref="F113">_xlfn.LET(
  _xlpm.w, F$11,
  _xlpm.r, MATCH(1,('3. Enter Indicator Scores'!$B$10:$B$161=$B113)*('3. Enter Indicator Scores'!$C$10:$C$161=$C113),0),
  _xlpm.c, MATCH(F$8,'3. Enter Indicator Scores'!$D$8:$CZ$8,0),
  _xlpm.v, IFERROR(INDEX('3. Enter Indicator Scores'!$D$10:$CZ$161,_xlpm.r,_xlpm.c),""),
  IF(OR(_xlpm.w="",_xlpm.v=""),"",_xlpm.v*_xlpm.w)
)</f>
        <v/>
      </c>
      <c r="G113" s="93" t="str" cm="1">
        <f t="array" ref="G113">_xlfn.LET(
  _xlpm.w, G$11,
  _xlpm.r, MATCH(1,('3. Enter Indicator Scores'!$B$10:$B$161=$B113)*('3. Enter Indicator Scores'!$C$10:$C$161=$C113),0),
  _xlpm.c, MATCH(G$8,'3. Enter Indicator Scores'!$D$8:$CZ$8,0),
  _xlpm.v, IFERROR(INDEX('3. Enter Indicator Scores'!$D$10:$CZ$161,_xlpm.r,_xlpm.c),""),
  IF(OR(_xlpm.w="",_xlpm.v=""),"",_xlpm.v*_xlpm.w)
)</f>
        <v/>
      </c>
      <c r="H113" s="93" t="str" cm="1">
        <f t="array" ref="H113">_xlfn.LET(
  _xlpm.w, H$11,
  _xlpm.r, MATCH(1,('3. Enter Indicator Scores'!$B$10:$B$161=$B113)*('3. Enter Indicator Scores'!$C$10:$C$161=$C113),0),
  _xlpm.c, MATCH(H$8,'3. Enter Indicator Scores'!$D$8:$CZ$8,0),
  _xlpm.v, IFERROR(INDEX('3. Enter Indicator Scores'!$D$10:$CZ$161,_xlpm.r,_xlpm.c),""),
  IF(OR(_xlpm.w="",_xlpm.v=""),"",_xlpm.v*_xlpm.w)
)</f>
        <v/>
      </c>
      <c r="I113" s="93" t="str" cm="1">
        <f t="array" ref="I113">_xlfn.LET(
  _xlpm.w, I$11,
  _xlpm.r, MATCH(1,('3. Enter Indicator Scores'!$B$10:$B$161=$B113)*('3. Enter Indicator Scores'!$C$10:$C$161=$C113),0),
  _xlpm.c, MATCH(I$8,'3. Enter Indicator Scores'!$D$8:$CZ$8,0),
  _xlpm.v, IFERROR(INDEX('3. Enter Indicator Scores'!$D$10:$CZ$161,_xlpm.r,_xlpm.c),""),
  IF(OR(_xlpm.w="",_xlpm.v=""),"",_xlpm.v*_xlpm.w)
)</f>
        <v/>
      </c>
      <c r="J113" s="93" t="str" cm="1">
        <f t="array" ref="J113">_xlfn.LET(
  _xlpm.w, J$11,
  _xlpm.r, MATCH(1,('3. Enter Indicator Scores'!$B$10:$B$161=$B113)*('3. Enter Indicator Scores'!$C$10:$C$161=$C113),0),
  _xlpm.c, MATCH(J$8,'3. Enter Indicator Scores'!$D$8:$CZ$8,0),
  _xlpm.v, IFERROR(INDEX('3. Enter Indicator Scores'!$D$10:$CZ$161,_xlpm.r,_xlpm.c),""),
  IF(OR(_xlpm.w="",_xlpm.v=""),"",_xlpm.v*_xlpm.w)
)</f>
        <v/>
      </c>
      <c r="K113" s="93" t="str" cm="1">
        <f t="array" ref="K113">_xlfn.LET(
  _xlpm.w, K$11,
  _xlpm.r, MATCH(1,('3. Enter Indicator Scores'!$B$10:$B$161=$B113)*('3. Enter Indicator Scores'!$C$10:$C$161=$C113),0),
  _xlpm.c, MATCH(K$8,'3. Enter Indicator Scores'!$D$8:$CZ$8,0),
  _xlpm.v, IFERROR(INDEX('3. Enter Indicator Scores'!$D$10:$CZ$161,_xlpm.r,_xlpm.c),""),
  IF(OR(_xlpm.w="",_xlpm.v=""),"",_xlpm.v*_xlpm.w)
)</f>
        <v/>
      </c>
      <c r="L113" s="93" t="str" cm="1">
        <f t="array" ref="L113">_xlfn.LET(
  _xlpm.w, L$11,
  _xlpm.r, MATCH(1,('3. Enter Indicator Scores'!$B$10:$B$161=$B113)*('3. Enter Indicator Scores'!$C$10:$C$161=$C113),0),
  _xlpm.c, MATCH(L$8,'3. Enter Indicator Scores'!$D$8:$CZ$8,0),
  _xlpm.v, IFERROR(INDEX('3. Enter Indicator Scores'!$D$10:$CZ$161,_xlpm.r,_xlpm.c),""),
  IF(OR(_xlpm.w="",_xlpm.v=""),"",_xlpm.v*_xlpm.w)
)</f>
        <v/>
      </c>
      <c r="M113" s="93" t="str" cm="1">
        <f t="array" ref="M113">_xlfn.LET(
  _xlpm.w, M$11,
  _xlpm.r, MATCH(1,('3. Enter Indicator Scores'!$B$10:$B$161=$B113)*('3. Enter Indicator Scores'!$C$10:$C$161=$C113),0),
  _xlpm.c, MATCH(M$8,'3. Enter Indicator Scores'!$D$8:$CZ$8,0),
  _xlpm.v, IFERROR(INDEX('3. Enter Indicator Scores'!$D$10:$CZ$161,_xlpm.r,_xlpm.c),""),
  IF(OR(_xlpm.w="",_xlpm.v=""),"",_xlpm.v*_xlpm.w)
)</f>
        <v/>
      </c>
      <c r="N113" s="93" t="str" cm="1">
        <f t="array" ref="N113">_xlfn.LET(
  _xlpm.w, N$11,
  _xlpm.r, MATCH(1,('3. Enter Indicator Scores'!$B$10:$B$161=$B113)*('3. Enter Indicator Scores'!$C$10:$C$161=$C113),0),
  _xlpm.c, MATCH(N$8,'3. Enter Indicator Scores'!$D$8:$CZ$8,0),
  _xlpm.v, IFERROR(INDEX('3. Enter Indicator Scores'!$D$10:$CZ$161,_xlpm.r,_xlpm.c),""),
  IF(OR(_xlpm.w="",_xlpm.v=""),"",_xlpm.v*_xlpm.w)
)</f>
        <v/>
      </c>
      <c r="O113" s="93" t="str" cm="1">
        <f t="array" ref="O113">_xlfn.LET(
  _xlpm.w, O$11,
  _xlpm.r, MATCH(1,('3. Enter Indicator Scores'!$B$10:$B$161=$B113)*('3. Enter Indicator Scores'!$C$10:$C$161=$C113),0),
  _xlpm.c, MATCH(O$8,'3. Enter Indicator Scores'!$D$8:$CZ$8,0),
  _xlpm.v, IFERROR(INDEX('3. Enter Indicator Scores'!$D$10:$CZ$161,_xlpm.r,_xlpm.c),""),
  IF(OR(_xlpm.w="",_xlpm.v=""),"",_xlpm.v*_xlpm.w)
)</f>
        <v/>
      </c>
      <c r="P113" s="93" t="str" cm="1">
        <f t="array" ref="P113">_xlfn.LET(
  _xlpm.w, P$11,
  _xlpm.r, MATCH(1,('3. Enter Indicator Scores'!$B$10:$B$161=$B113)*('3. Enter Indicator Scores'!$C$10:$C$161=$C113),0),
  _xlpm.c, MATCH(P$8,'3. Enter Indicator Scores'!$D$8:$CZ$8,0),
  _xlpm.v, IFERROR(INDEX('3. Enter Indicator Scores'!$D$10:$CZ$161,_xlpm.r,_xlpm.c),""),
  IF(OR(_xlpm.w="",_xlpm.v=""),"",_xlpm.v*_xlpm.w)
)</f>
        <v/>
      </c>
      <c r="Q113" s="93" t="str" cm="1">
        <f t="array" ref="Q113">_xlfn.LET(
  _xlpm.w, Q$11,
  _xlpm.r, MATCH(1,('3. Enter Indicator Scores'!$B$10:$B$161=$B113)*('3. Enter Indicator Scores'!$C$10:$C$161=$C113),0),
  _xlpm.c, MATCH(Q$8,'3. Enter Indicator Scores'!$D$8:$CZ$8,0),
  _xlpm.v, IFERROR(INDEX('3. Enter Indicator Scores'!$D$10:$CZ$161,_xlpm.r,_xlpm.c),""),
  IF(OR(_xlpm.w="",_xlpm.v=""),"",_xlpm.v*_xlpm.w)
)</f>
        <v/>
      </c>
      <c r="R113" s="93" t="str" cm="1">
        <f t="array" ref="R113">_xlfn.LET(
  _xlpm.w, R$11,
  _xlpm.r, MATCH(1,('3. Enter Indicator Scores'!$B$10:$B$161=$B113)*('3. Enter Indicator Scores'!$C$10:$C$161=$C113),0),
  _xlpm.c, MATCH(R$8,'3. Enter Indicator Scores'!$D$8:$CZ$8,0),
  _xlpm.v, IFERROR(INDEX('3. Enter Indicator Scores'!$D$10:$CZ$161,_xlpm.r,_xlpm.c),""),
  IF(OR(_xlpm.w="",_xlpm.v=""),"",_xlpm.v*_xlpm.w)
)</f>
        <v/>
      </c>
      <c r="S113" s="93" t="str" cm="1">
        <f t="array" ref="S113">_xlfn.LET(
  _xlpm.w, S$11,
  _xlpm.r, MATCH(1,('3. Enter Indicator Scores'!$B$10:$B$161=$B113)*('3. Enter Indicator Scores'!$C$10:$C$161=$C113),0),
  _xlpm.c, MATCH(S$8,'3. Enter Indicator Scores'!$D$8:$CZ$8,0),
  _xlpm.v, IFERROR(INDEX('3. Enter Indicator Scores'!$D$10:$CZ$161,_xlpm.r,_xlpm.c),""),
  IF(OR(_xlpm.w="",_xlpm.v=""),"",_xlpm.v*_xlpm.w)
)</f>
        <v/>
      </c>
      <c r="T113" s="93" t="str" cm="1">
        <f t="array" ref="T113">_xlfn.LET(
  _xlpm.w, T$11,
  _xlpm.r, MATCH(1,('3. Enter Indicator Scores'!$B$10:$B$161=$B113)*('3. Enter Indicator Scores'!$C$10:$C$161=$C113),0),
  _xlpm.c, MATCH(T$8,'3. Enter Indicator Scores'!$D$8:$CZ$8,0),
  _xlpm.v, IFERROR(INDEX('3. Enter Indicator Scores'!$D$10:$CZ$161,_xlpm.r,_xlpm.c),""),
  IF(OR(_xlpm.w="",_xlpm.v=""),"",_xlpm.v*_xlpm.w)
)</f>
        <v/>
      </c>
      <c r="U113" s="93" t="str" cm="1">
        <f t="array" ref="U113">_xlfn.LET(
  _xlpm.w, U$11,
  _xlpm.r, MATCH(1,('3. Enter Indicator Scores'!$B$10:$B$161=$B113)*('3. Enter Indicator Scores'!$C$10:$C$161=$C113),0),
  _xlpm.c, MATCH(U$8,'3. Enter Indicator Scores'!$D$8:$CZ$8,0),
  _xlpm.v, IFERROR(INDEX('3. Enter Indicator Scores'!$D$10:$CZ$161,_xlpm.r,_xlpm.c),""),
  IF(OR(_xlpm.w="",_xlpm.v=""),"",_xlpm.v*_xlpm.w)
)</f>
        <v/>
      </c>
      <c r="V113" s="93" t="str" cm="1">
        <f t="array" ref="V113">_xlfn.LET(
  _xlpm.w, V$11,
  _xlpm.r, MATCH(1,('3. Enter Indicator Scores'!$B$10:$B$161=$B113)*('3. Enter Indicator Scores'!$C$10:$C$161=$C113),0),
  _xlpm.c, MATCH(V$8,'3. Enter Indicator Scores'!$D$8:$CZ$8,0),
  _xlpm.v, IFERROR(INDEX('3. Enter Indicator Scores'!$D$10:$CZ$161,_xlpm.r,_xlpm.c),""),
  IF(OR(_xlpm.w="",_xlpm.v=""),"",_xlpm.v*_xlpm.w)
)</f>
        <v/>
      </c>
      <c r="W113" s="93" t="str" cm="1">
        <f t="array" ref="W113">_xlfn.LET(
  _xlpm.w, W$11,
  _xlpm.r, MATCH(1,('3. Enter Indicator Scores'!$B$10:$B$161=$B113)*('3. Enter Indicator Scores'!$C$10:$C$161=$C113),0),
  _xlpm.c, MATCH(W$8,'3. Enter Indicator Scores'!$D$8:$CZ$8,0),
  _xlpm.v, IFERROR(INDEX('3. Enter Indicator Scores'!$D$10:$CZ$161,_xlpm.r,_xlpm.c),""),
  IF(OR(_xlpm.w="",_xlpm.v=""),"",_xlpm.v*_xlpm.w)
)</f>
        <v/>
      </c>
      <c r="X113" s="93" t="str" cm="1">
        <f t="array" ref="X113">_xlfn.LET(
  _xlpm.w, X$11,
  _xlpm.r, MATCH(1,('3. Enter Indicator Scores'!$B$10:$B$161=$B113)*('3. Enter Indicator Scores'!$C$10:$C$161=$C113),0),
  _xlpm.c, MATCH(X$8,'3. Enter Indicator Scores'!$D$8:$CZ$8,0),
  _xlpm.v, IFERROR(INDEX('3. Enter Indicator Scores'!$D$10:$CZ$161,_xlpm.r,_xlpm.c),""),
  IF(OR(_xlpm.w="",_xlpm.v=""),"",_xlpm.v*_xlpm.w)
)</f>
        <v/>
      </c>
      <c r="Y113" s="93" t="str" cm="1">
        <f t="array" ref="Y113">_xlfn.LET(
  _xlpm.w, Y$11,
  _xlpm.r, MATCH(1,('3. Enter Indicator Scores'!$B$10:$B$161=$B113)*('3. Enter Indicator Scores'!$C$10:$C$161=$C113),0),
  _xlpm.c, MATCH(Y$8,'3. Enter Indicator Scores'!$D$8:$CZ$8,0),
  _xlpm.v, IFERROR(INDEX('3. Enter Indicator Scores'!$D$10:$CZ$161,_xlpm.r,_xlpm.c),""),
  IF(OR(_xlpm.w="",_xlpm.v=""),"",_xlpm.v*_xlpm.w)
)</f>
        <v/>
      </c>
      <c r="Z113" s="93" t="str" cm="1">
        <f t="array" ref="Z113">_xlfn.LET(
  _xlpm.w, Z$11,
  _xlpm.r, MATCH(1,('3. Enter Indicator Scores'!$B$10:$B$161=$B113)*('3. Enter Indicator Scores'!$C$10:$C$161=$C113),0),
  _xlpm.c, MATCH(Z$8,'3. Enter Indicator Scores'!$D$8:$CZ$8,0),
  _xlpm.v, IFERROR(INDEX('3. Enter Indicator Scores'!$D$10:$CZ$161,_xlpm.r,_xlpm.c),""),
  IF(OR(_xlpm.w="",_xlpm.v=""),"",_xlpm.v*_xlpm.w)
)</f>
        <v/>
      </c>
      <c r="AA113" s="93" t="str" cm="1">
        <f t="array" ref="AA113">_xlfn.LET(
  _xlpm.w, AA$11,
  _xlpm.r, MATCH(1,('3. Enter Indicator Scores'!$B$10:$B$161=$B113)*('3. Enter Indicator Scores'!$C$10:$C$161=$C113),0),
  _xlpm.c, MATCH(AA$8,'3. Enter Indicator Scores'!$D$8:$CZ$8,0),
  _xlpm.v, IFERROR(INDEX('3. Enter Indicator Scores'!$D$10:$CZ$161,_xlpm.r,_xlpm.c),""),
  IF(OR(_xlpm.w="",_xlpm.v=""),"",_xlpm.v*_xlpm.w)
)</f>
        <v/>
      </c>
      <c r="AB113" s="93" t="str" cm="1">
        <f t="array" ref="AB113">_xlfn.LET(
  _xlpm.w, AB$11,
  _xlpm.r, MATCH(1,('3. Enter Indicator Scores'!$B$10:$B$161=$B113)*('3. Enter Indicator Scores'!$C$10:$C$161=$C113),0),
  _xlpm.c, MATCH(AB$8,'3. Enter Indicator Scores'!$D$8:$CZ$8,0),
  _xlpm.v, IFERROR(INDEX('3. Enter Indicator Scores'!$D$10:$CZ$161,_xlpm.r,_xlpm.c),""),
  IF(OR(_xlpm.w="",_xlpm.v=""),"",_xlpm.v*_xlpm.w)
)</f>
        <v/>
      </c>
      <c r="AC113" s="93" t="str" cm="1">
        <f t="array" ref="AC113">_xlfn.LET(
  _xlpm.w, AC$11,
  _xlpm.r, MATCH(1,('3. Enter Indicator Scores'!$B$10:$B$161=$B113)*('3. Enter Indicator Scores'!$C$10:$C$161=$C113),0),
  _xlpm.c, MATCH(AC$8,'3. Enter Indicator Scores'!$D$8:$CZ$8,0),
  _xlpm.v, IFERROR(INDEX('3. Enter Indicator Scores'!$D$10:$CZ$161,_xlpm.r,_xlpm.c),""),
  IF(OR(_xlpm.w="",_xlpm.v=""),"",_xlpm.v*_xlpm.w)
)</f>
        <v/>
      </c>
      <c r="AD113" s="93" t="str" cm="1">
        <f t="array" ref="AD113">_xlfn.LET(
  _xlpm.w, AD$11,
  _xlpm.r, MATCH(1,('3. Enter Indicator Scores'!$B$10:$B$161=$B113)*('3. Enter Indicator Scores'!$C$10:$C$161=$C113),0),
  _xlpm.c, MATCH(AD$8,'3. Enter Indicator Scores'!$D$8:$CZ$8,0),
  _xlpm.v, IFERROR(INDEX('3. Enter Indicator Scores'!$D$10:$CZ$161,_xlpm.r,_xlpm.c),""),
  IF(OR(_xlpm.w="",_xlpm.v=""),"",_xlpm.v*_xlpm.w)
)</f>
        <v/>
      </c>
      <c r="AE113" s="93" t="str" cm="1">
        <f t="array" ref="AE113">_xlfn.LET(
  _xlpm.w, AE$11,
  _xlpm.r, MATCH(1,('3. Enter Indicator Scores'!$B$10:$B$161=$B113)*('3. Enter Indicator Scores'!$C$10:$C$161=$C113),0),
  _xlpm.c, MATCH(AE$8,'3. Enter Indicator Scores'!$D$8:$CZ$8,0),
  _xlpm.v, IFERROR(INDEX('3. Enter Indicator Scores'!$D$10:$CZ$161,_xlpm.r,_xlpm.c),""),
  IF(OR(_xlpm.w="",_xlpm.v=""),"",_xlpm.v*_xlpm.w)
)</f>
        <v/>
      </c>
      <c r="AF113" s="93" t="str" cm="1">
        <f t="array" ref="AF113">_xlfn.LET(
  _xlpm.w, AF$11,
  _xlpm.r, MATCH(1,('3. Enter Indicator Scores'!$B$10:$B$161=$B113)*('3. Enter Indicator Scores'!$C$10:$C$161=$C113),0),
  _xlpm.c, MATCH(AF$8,'3. Enter Indicator Scores'!$D$8:$CZ$8,0),
  _xlpm.v, IFERROR(INDEX('3. Enter Indicator Scores'!$D$10:$CZ$161,_xlpm.r,_xlpm.c),""),
  IF(OR(_xlpm.w="",_xlpm.v=""),"",_xlpm.v*_xlpm.w)
)</f>
        <v/>
      </c>
      <c r="AG113" s="93" t="str" cm="1">
        <f t="array" ref="AG113">_xlfn.LET(
  _xlpm.w, AG$11,
  _xlpm.r, MATCH(1,('3. Enter Indicator Scores'!$B$10:$B$161=$B113)*('3. Enter Indicator Scores'!$C$10:$C$161=$C113),0),
  _xlpm.c, MATCH(AG$8,'3. Enter Indicator Scores'!$D$8:$CZ$8,0),
  _xlpm.v, IFERROR(INDEX('3. Enter Indicator Scores'!$D$10:$CZ$161,_xlpm.r,_xlpm.c),""),
  IF(OR(_xlpm.w="",_xlpm.v=""),"",_xlpm.v*_xlpm.w)
)</f>
        <v/>
      </c>
      <c r="AH113" s="93" t="str" cm="1">
        <f t="array" ref="AH113">_xlfn.LET(
  _xlpm.w, AH$11,
  _xlpm.r, MATCH(1,('3. Enter Indicator Scores'!$B$10:$B$161=$B113)*('3. Enter Indicator Scores'!$C$10:$C$161=$C113),0),
  _xlpm.c, MATCH(AH$8,'3. Enter Indicator Scores'!$D$8:$CZ$8,0),
  _xlpm.v, IFERROR(INDEX('3. Enter Indicator Scores'!$D$10:$CZ$161,_xlpm.r,_xlpm.c),""),
  IF(OR(_xlpm.w="",_xlpm.v=""),"",_xlpm.v*_xlpm.w)
)</f>
        <v/>
      </c>
      <c r="AI113" s="93" t="str" cm="1">
        <f t="array" ref="AI113">_xlfn.LET(
  _xlpm.w, AI$11,
  _xlpm.r, MATCH(1,('3. Enter Indicator Scores'!$B$10:$B$161=$B113)*('3. Enter Indicator Scores'!$C$10:$C$161=$C113),0),
  _xlpm.c, MATCH(AI$8,'3. Enter Indicator Scores'!$D$8:$CZ$8,0),
  _xlpm.v, IFERROR(INDEX('3. Enter Indicator Scores'!$D$10:$CZ$161,_xlpm.r,_xlpm.c),""),
  IF(OR(_xlpm.w="",_xlpm.v=""),"",_xlpm.v*_xlpm.w)
)</f>
        <v/>
      </c>
      <c r="AJ113" s="93" t="str" cm="1">
        <f t="array" ref="AJ113">_xlfn.LET(
  _xlpm.w, AJ$11,
  _xlpm.r, MATCH(1,('3. Enter Indicator Scores'!$B$10:$B$161=$B113)*('3. Enter Indicator Scores'!$C$10:$C$161=$C113),0),
  _xlpm.c, MATCH(AJ$8,'3. Enter Indicator Scores'!$D$8:$CZ$8,0),
  _xlpm.v, IFERROR(INDEX('3. Enter Indicator Scores'!$D$10:$CZ$161,_xlpm.r,_xlpm.c),""),
  IF(OR(_xlpm.w="",_xlpm.v=""),"",_xlpm.v*_xlpm.w)
)</f>
        <v/>
      </c>
      <c r="AK113" s="93" t="str" cm="1">
        <f t="array" ref="AK113">_xlfn.LET(
  _xlpm.w, AK$11,
  _xlpm.r, MATCH(1,('3. Enter Indicator Scores'!$B$10:$B$161=$B113)*('3. Enter Indicator Scores'!$C$10:$C$161=$C113),0),
  _xlpm.c, MATCH(AK$8,'3. Enter Indicator Scores'!$D$8:$CZ$8,0),
  _xlpm.v, IFERROR(INDEX('3. Enter Indicator Scores'!$D$10:$CZ$161,_xlpm.r,_xlpm.c),""),
  IF(OR(_xlpm.w="",_xlpm.v=""),"",_xlpm.v*_xlpm.w)
)</f>
        <v/>
      </c>
      <c r="AL113" s="93" t="str" cm="1">
        <f t="array" ref="AL113">_xlfn.LET(
  _xlpm.w, AL$11,
  _xlpm.r, MATCH(1,('3. Enter Indicator Scores'!$B$10:$B$161=$B113)*('3. Enter Indicator Scores'!$C$10:$C$161=$C113),0),
  _xlpm.c, MATCH(AL$8,'3. Enter Indicator Scores'!$D$8:$CZ$8,0),
  _xlpm.v, IFERROR(INDEX('3. Enter Indicator Scores'!$D$10:$CZ$161,_xlpm.r,_xlpm.c),""),
  IF(OR(_xlpm.w="",_xlpm.v=""),"",_xlpm.v*_xlpm.w)
)</f>
        <v/>
      </c>
      <c r="AM113" s="93" t="str" cm="1">
        <f t="array" ref="AM113">_xlfn.LET(
  _xlpm.w, AM$11,
  _xlpm.r, MATCH(1,('3. Enter Indicator Scores'!$B$10:$B$161=$B113)*('3. Enter Indicator Scores'!$C$10:$C$161=$C113),0),
  _xlpm.c, MATCH(AM$8,'3. Enter Indicator Scores'!$D$8:$CZ$8,0),
  _xlpm.v, IFERROR(INDEX('3. Enter Indicator Scores'!$D$10:$CZ$161,_xlpm.r,_xlpm.c),""),
  IF(OR(_xlpm.w="",_xlpm.v=""),"",_xlpm.v*_xlpm.w)
)</f>
        <v/>
      </c>
      <c r="AN113" s="93" t="str" cm="1">
        <f t="array" ref="AN113">_xlfn.LET(
  _xlpm.w, AN$11,
  _xlpm.r, MATCH(1,('3. Enter Indicator Scores'!$B$10:$B$161=$B113)*('3. Enter Indicator Scores'!$C$10:$C$161=$C113),0),
  _xlpm.c, MATCH(AN$8,'3. Enter Indicator Scores'!$D$8:$CZ$8,0),
  _xlpm.v, IFERROR(INDEX('3. Enter Indicator Scores'!$D$10:$CZ$161,_xlpm.r,_xlpm.c),""),
  IF(OR(_xlpm.w="",_xlpm.v=""),"",_xlpm.v*_xlpm.w)
)</f>
        <v/>
      </c>
      <c r="AO113" s="93" t="str" cm="1">
        <f t="array" ref="AO113">_xlfn.LET(
  _xlpm.w, AO$11,
  _xlpm.r, MATCH(1,('3. Enter Indicator Scores'!$B$10:$B$161=$B113)*('3. Enter Indicator Scores'!$C$10:$C$161=$C113),0),
  _xlpm.c, MATCH(AO$8,'3. Enter Indicator Scores'!$D$8:$CZ$8,0),
  _xlpm.v, IFERROR(INDEX('3. Enter Indicator Scores'!$D$10:$CZ$161,_xlpm.r,_xlpm.c),""),
  IF(OR(_xlpm.w="",_xlpm.v=""),"",_xlpm.v*_xlpm.w)
)</f>
        <v/>
      </c>
      <c r="AP113" s="93" t="str" cm="1">
        <f t="array" ref="AP113">_xlfn.LET(
  _xlpm.w, AP$11,
  _xlpm.r, MATCH(1,('3. Enter Indicator Scores'!$B$10:$B$161=$B113)*('3. Enter Indicator Scores'!$C$10:$C$161=$C113),0),
  _xlpm.c, MATCH(AP$8,'3. Enter Indicator Scores'!$D$8:$CZ$8,0),
  _xlpm.v, IFERROR(INDEX('3. Enter Indicator Scores'!$D$10:$CZ$161,_xlpm.r,_xlpm.c),""),
  IF(OR(_xlpm.w="",_xlpm.v=""),"",_xlpm.v*_xlpm.w)
)</f>
        <v/>
      </c>
      <c r="AQ113" s="93" t="str" cm="1">
        <f t="array" ref="AQ113">_xlfn.LET(
  _xlpm.w, AQ$11,
  _xlpm.r, MATCH(1,('3. Enter Indicator Scores'!$B$10:$B$161=$B113)*('3. Enter Indicator Scores'!$C$10:$C$161=$C113),0),
  _xlpm.c, MATCH(AQ$8,'3. Enter Indicator Scores'!$D$8:$CZ$8,0),
  _xlpm.v, IFERROR(INDEX('3. Enter Indicator Scores'!$D$10:$CZ$161,_xlpm.r,_xlpm.c),""),
  IF(OR(_xlpm.w="",_xlpm.v=""),"",_xlpm.v*_xlpm.w)
)</f>
        <v/>
      </c>
      <c r="AR113" s="93" t="str" cm="1">
        <f t="array" ref="AR113">_xlfn.LET(
  _xlpm.w, AR$11,
  _xlpm.r, MATCH(1,('3. Enter Indicator Scores'!$B$10:$B$161=$B113)*('3. Enter Indicator Scores'!$C$10:$C$161=$C113),0),
  _xlpm.c, MATCH(AR$8,'3. Enter Indicator Scores'!$D$8:$CZ$8,0),
  _xlpm.v, IFERROR(INDEX('3. Enter Indicator Scores'!$D$10:$CZ$161,_xlpm.r,_xlpm.c),""),
  IF(OR(_xlpm.w="",_xlpm.v=""),"",_xlpm.v*_xlpm.w)
)</f>
        <v/>
      </c>
      <c r="AS113" s="93" t="str" cm="1">
        <f t="array" ref="AS113">_xlfn.LET(
  _xlpm.w, AS$11,
  _xlpm.r, MATCH(1,('3. Enter Indicator Scores'!$B$10:$B$161=$B113)*('3. Enter Indicator Scores'!$C$10:$C$161=$C113),0),
  _xlpm.c, MATCH(AS$8,'3. Enter Indicator Scores'!$D$8:$CZ$8,0),
  _xlpm.v, IFERROR(INDEX('3. Enter Indicator Scores'!$D$10:$CZ$161,_xlpm.r,_xlpm.c),""),
  IF(OR(_xlpm.w="",_xlpm.v=""),"",_xlpm.v*_xlpm.w)
)</f>
        <v/>
      </c>
      <c r="AT113" s="93" t="str" cm="1">
        <f t="array" ref="AT113">_xlfn.LET(
  _xlpm.w, AT$11,
  _xlpm.r, MATCH(1,('3. Enter Indicator Scores'!$B$10:$B$161=$B113)*('3. Enter Indicator Scores'!$C$10:$C$161=$C113),0),
  _xlpm.c, MATCH(AT$8,'3. Enter Indicator Scores'!$D$8:$CZ$8,0),
  _xlpm.v, IFERROR(INDEX('3. Enter Indicator Scores'!$D$10:$CZ$161,_xlpm.r,_xlpm.c),""),
  IF(OR(_xlpm.w="",_xlpm.v=""),"",_xlpm.v*_xlpm.w)
)</f>
        <v/>
      </c>
      <c r="AU113" s="93" t="str" cm="1">
        <f t="array" ref="AU113">_xlfn.LET(
  _xlpm.w, AU$11,
  _xlpm.r, MATCH(1,('3. Enter Indicator Scores'!$B$10:$B$161=$B113)*('3. Enter Indicator Scores'!$C$10:$C$161=$C113),0),
  _xlpm.c, MATCH(AU$8,'3. Enter Indicator Scores'!$D$8:$CZ$8,0),
  _xlpm.v, IFERROR(INDEX('3. Enter Indicator Scores'!$D$10:$CZ$161,_xlpm.r,_xlpm.c),""),
  IF(OR(_xlpm.w="",_xlpm.v=""),"",_xlpm.v*_xlpm.w)
)</f>
        <v/>
      </c>
      <c r="AV113" s="93" t="str" cm="1">
        <f t="array" ref="AV113">_xlfn.LET(
  _xlpm.w, AV$11,
  _xlpm.r, MATCH(1,('3. Enter Indicator Scores'!$B$10:$B$161=$B113)*('3. Enter Indicator Scores'!$C$10:$C$161=$C113),0),
  _xlpm.c, MATCH(AV$8,'3. Enter Indicator Scores'!$D$8:$CZ$8,0),
  _xlpm.v, IFERROR(INDEX('3. Enter Indicator Scores'!$D$10:$CZ$161,_xlpm.r,_xlpm.c),""),
  IF(OR(_xlpm.w="",_xlpm.v=""),"",_xlpm.v*_xlpm.w)
)</f>
        <v/>
      </c>
      <c r="AW113" s="93" t="str" cm="1">
        <f t="array" ref="AW113">_xlfn.LET(
  _xlpm.w, AW$11,
  _xlpm.r, MATCH(1,('3. Enter Indicator Scores'!$B$10:$B$161=$B113)*('3. Enter Indicator Scores'!$C$10:$C$161=$C113),0),
  _xlpm.c, MATCH(AW$8,'3. Enter Indicator Scores'!$D$8:$CZ$8,0),
  _xlpm.v, IFERROR(INDEX('3. Enter Indicator Scores'!$D$10:$CZ$161,_xlpm.r,_xlpm.c),""),
  IF(OR(_xlpm.w="",_xlpm.v=""),"",_xlpm.v*_xlpm.w)
)</f>
        <v/>
      </c>
      <c r="AX113" s="93" t="str" cm="1">
        <f t="array" ref="AX113">_xlfn.LET(
  _xlpm.w, AX$11,
  _xlpm.r, MATCH(1,('3. Enter Indicator Scores'!$B$10:$B$161=$B113)*('3. Enter Indicator Scores'!$C$10:$C$161=$C113),0),
  _xlpm.c, MATCH(AX$8,'3. Enter Indicator Scores'!$D$8:$CZ$8,0),
  _xlpm.v, IFERROR(INDEX('3. Enter Indicator Scores'!$D$10:$CZ$161,_xlpm.r,_xlpm.c),""),
  IF(OR(_xlpm.w="",_xlpm.v=""),"",_xlpm.v*_xlpm.w)
)</f>
        <v/>
      </c>
      <c r="AY113" s="93" t="str" cm="1">
        <f t="array" ref="AY113">_xlfn.LET(
  _xlpm.w, AY$11,
  _xlpm.r, MATCH(1,('3. Enter Indicator Scores'!$B$10:$B$161=$B113)*('3. Enter Indicator Scores'!$C$10:$C$161=$C113),0),
  _xlpm.c, MATCH(AY$8,'3. Enter Indicator Scores'!$D$8:$CZ$8,0),
  _xlpm.v, IFERROR(INDEX('3. Enter Indicator Scores'!$D$10:$CZ$161,_xlpm.r,_xlpm.c),""),
  IF(OR(_xlpm.w="",_xlpm.v=""),"",_xlpm.v*_xlpm.w)
)</f>
        <v/>
      </c>
      <c r="AZ113" s="93" t="str" cm="1">
        <f t="array" ref="AZ113">_xlfn.LET(
  _xlpm.w, AZ$11,
  _xlpm.r, MATCH(1,('3. Enter Indicator Scores'!$B$10:$B$161=$B113)*('3. Enter Indicator Scores'!$C$10:$C$161=$C113),0),
  _xlpm.c, MATCH(AZ$8,'3. Enter Indicator Scores'!$D$8:$CZ$8,0),
  _xlpm.v, IFERROR(INDEX('3. Enter Indicator Scores'!$D$10:$CZ$161,_xlpm.r,_xlpm.c),""),
  IF(OR(_xlpm.w="",_xlpm.v=""),"",_xlpm.v*_xlpm.w)
)</f>
        <v/>
      </c>
      <c r="BA113" s="93" t="str" cm="1">
        <f t="array" ref="BA113">_xlfn.LET(
  _xlpm.w, BA$11,
  _xlpm.r, MATCH(1,('3. Enter Indicator Scores'!$B$10:$B$161=$B113)*('3. Enter Indicator Scores'!$C$10:$C$161=$C113),0),
  _xlpm.c, MATCH(BA$8,'3. Enter Indicator Scores'!$D$8:$CZ$8,0),
  _xlpm.v, IFERROR(INDEX('3. Enter Indicator Scores'!$D$10:$CZ$161,_xlpm.r,_xlpm.c),""),
  IF(OR(_xlpm.w="",_xlpm.v=""),"",_xlpm.v*_xlpm.w)
)</f>
        <v/>
      </c>
      <c r="BB113" s="93" t="str" cm="1">
        <f t="array" ref="BB113">_xlfn.LET(
  _xlpm.w, BB$11,
  _xlpm.r, MATCH(1,('3. Enter Indicator Scores'!$B$10:$B$161=$B113)*('3. Enter Indicator Scores'!$C$10:$C$161=$C113),0),
  _xlpm.c, MATCH(BB$8,'3. Enter Indicator Scores'!$D$8:$CZ$8,0),
  _xlpm.v, IFERROR(INDEX('3. Enter Indicator Scores'!$D$10:$CZ$161,_xlpm.r,_xlpm.c),""),
  IF(OR(_xlpm.w="",_xlpm.v=""),"",_xlpm.v*_xlpm.w)
)</f>
        <v/>
      </c>
      <c r="BC113" s="93" t="str" cm="1">
        <f t="array" ref="BC113">_xlfn.LET(
  _xlpm.w, BC$11,
  _xlpm.r, MATCH(1,('3. Enter Indicator Scores'!$B$10:$B$161=$B113)*('3. Enter Indicator Scores'!$C$10:$C$161=$C113),0),
  _xlpm.c, MATCH(BC$8,'3. Enter Indicator Scores'!$D$8:$CZ$8,0),
  _xlpm.v, IFERROR(INDEX('3. Enter Indicator Scores'!$D$10:$CZ$161,_xlpm.r,_xlpm.c),""),
  IF(OR(_xlpm.w="",_xlpm.v=""),"",_xlpm.v*_xlpm.w)
)</f>
        <v/>
      </c>
      <c r="BD113" s="93" t="str" cm="1">
        <f t="array" ref="BD113">_xlfn.LET(
  _xlpm.w, BD$11,
  _xlpm.r, MATCH(1,('3. Enter Indicator Scores'!$B$10:$B$161=$B113)*('3. Enter Indicator Scores'!$C$10:$C$161=$C113),0),
  _xlpm.c, MATCH(BD$8,'3. Enter Indicator Scores'!$D$8:$CZ$8,0),
  _xlpm.v, IFERROR(INDEX('3. Enter Indicator Scores'!$D$10:$CZ$161,_xlpm.r,_xlpm.c),""),
  IF(OR(_xlpm.w="",_xlpm.v=""),"",_xlpm.v*_xlpm.w)
)</f>
        <v/>
      </c>
      <c r="BE113" s="93" t="str" cm="1">
        <f t="array" ref="BE113">_xlfn.LET(
  _xlpm.w, BE$11,
  _xlpm.r, MATCH(1,('3. Enter Indicator Scores'!$B$10:$B$161=$B113)*('3. Enter Indicator Scores'!$C$10:$C$161=$C113),0),
  _xlpm.c, MATCH(BE$8,'3. Enter Indicator Scores'!$D$8:$CZ$8,0),
  _xlpm.v, IFERROR(INDEX('3. Enter Indicator Scores'!$D$10:$CZ$161,_xlpm.r,_xlpm.c),""),
  IF(OR(_xlpm.w="",_xlpm.v=""),"",_xlpm.v*_xlpm.w)
)</f>
        <v/>
      </c>
      <c r="BF113" s="93" t="str" cm="1">
        <f t="array" ref="BF113">_xlfn.LET(
  _xlpm.w, BF$11,
  _xlpm.r, MATCH(1,('3. Enter Indicator Scores'!$B$10:$B$161=$B113)*('3. Enter Indicator Scores'!$C$10:$C$161=$C113),0),
  _xlpm.c, MATCH(BF$8,'3. Enter Indicator Scores'!$D$8:$CZ$8,0),
  _xlpm.v, IFERROR(INDEX('3. Enter Indicator Scores'!$D$10:$CZ$161,_xlpm.r,_xlpm.c),""),
  IF(OR(_xlpm.w="",_xlpm.v=""),"",_xlpm.v*_xlpm.w)
)</f>
        <v/>
      </c>
      <c r="BG113" s="93" t="str" cm="1">
        <f t="array" ref="BG113">_xlfn.LET(
  _xlpm.w, BG$11,
  _xlpm.r, MATCH(1,('3. Enter Indicator Scores'!$B$10:$B$161=$B113)*('3. Enter Indicator Scores'!$C$10:$C$161=$C113),0),
  _xlpm.c, MATCH(BG$8,'3. Enter Indicator Scores'!$D$8:$CZ$8,0),
  _xlpm.v, IFERROR(INDEX('3. Enter Indicator Scores'!$D$10:$CZ$161,_xlpm.r,_xlpm.c),""),
  IF(OR(_xlpm.w="",_xlpm.v=""),"",_xlpm.v*_xlpm.w)
)</f>
        <v/>
      </c>
      <c r="BH113" s="93" t="str" cm="1">
        <f t="array" ref="BH113">_xlfn.LET(
  _xlpm.w, BH$11,
  _xlpm.r, MATCH(1,('3. Enter Indicator Scores'!$B$10:$B$161=$B113)*('3. Enter Indicator Scores'!$C$10:$C$161=$C113),0),
  _xlpm.c, MATCH(BH$8,'3. Enter Indicator Scores'!$D$8:$CZ$8,0),
  _xlpm.v, IFERROR(INDEX('3. Enter Indicator Scores'!$D$10:$CZ$161,_xlpm.r,_xlpm.c),""),
  IF(OR(_xlpm.w="",_xlpm.v=""),"",_xlpm.v*_xlpm.w)
)</f>
        <v/>
      </c>
      <c r="BI113" s="93" t="str" cm="1">
        <f t="array" ref="BI113">_xlfn.LET(
  _xlpm.w, BI$11,
  _xlpm.r, MATCH(1,('3. Enter Indicator Scores'!$B$10:$B$161=$B113)*('3. Enter Indicator Scores'!$C$10:$C$161=$C113),0),
  _xlpm.c, MATCH(BI$8,'3. Enter Indicator Scores'!$D$8:$CZ$8,0),
  _xlpm.v, IFERROR(INDEX('3. Enter Indicator Scores'!$D$10:$CZ$161,_xlpm.r,_xlpm.c),""),
  IF(OR(_xlpm.w="",_xlpm.v=""),"",_xlpm.v*_xlpm.w)
)</f>
        <v/>
      </c>
      <c r="BJ113" s="93" t="str" cm="1">
        <f t="array" ref="BJ113">_xlfn.LET(
  _xlpm.w, BJ$11,
  _xlpm.r, MATCH(1,('3. Enter Indicator Scores'!$B$10:$B$161=$B113)*('3. Enter Indicator Scores'!$C$10:$C$161=$C113),0),
  _xlpm.c, MATCH(BJ$8,'3. Enter Indicator Scores'!$D$8:$CZ$8,0),
  _xlpm.v, IFERROR(INDEX('3. Enter Indicator Scores'!$D$10:$CZ$161,_xlpm.r,_xlpm.c),""),
  IF(OR(_xlpm.w="",_xlpm.v=""),"",_xlpm.v*_xlpm.w)
)</f>
        <v/>
      </c>
      <c r="BK113" s="93" t="str" cm="1">
        <f t="array" ref="BK113">_xlfn.LET(
  _xlpm.w, BK$11,
  _xlpm.r, MATCH(1,('3. Enter Indicator Scores'!$B$10:$B$161=$B113)*('3. Enter Indicator Scores'!$C$10:$C$161=$C113),0),
  _xlpm.c, MATCH(BK$8,'3. Enter Indicator Scores'!$D$8:$CZ$8,0),
  _xlpm.v, IFERROR(INDEX('3. Enter Indicator Scores'!$D$10:$CZ$161,_xlpm.r,_xlpm.c),""),
  IF(OR(_xlpm.w="",_xlpm.v=""),"",_xlpm.v*_xlpm.w)
)</f>
        <v/>
      </c>
      <c r="BL113" s="93" t="str" cm="1">
        <f t="array" ref="BL113">_xlfn.LET(
  _xlpm.w, BL$11,
  _xlpm.r, MATCH(1,('3. Enter Indicator Scores'!$B$10:$B$161=$B113)*('3. Enter Indicator Scores'!$C$10:$C$161=$C113),0),
  _xlpm.c, MATCH(BL$8,'3. Enter Indicator Scores'!$D$8:$CZ$8,0),
  _xlpm.v, IFERROR(INDEX('3. Enter Indicator Scores'!$D$10:$CZ$161,_xlpm.r,_xlpm.c),""),
  IF(OR(_xlpm.w="",_xlpm.v=""),"",_xlpm.v*_xlpm.w)
)</f>
        <v/>
      </c>
      <c r="BM113" s="93" t="str" cm="1">
        <f t="array" ref="BM113">_xlfn.LET(
  _xlpm.w, BM$11,
  _xlpm.r, MATCH(1,('3. Enter Indicator Scores'!$B$10:$B$161=$B113)*('3. Enter Indicator Scores'!$C$10:$C$161=$C113),0),
  _xlpm.c, MATCH(BM$8,'3. Enter Indicator Scores'!$D$8:$CZ$8,0),
  _xlpm.v, IFERROR(INDEX('3. Enter Indicator Scores'!$D$10:$CZ$161,_xlpm.r,_xlpm.c),""),
  IF(OR(_xlpm.w="",_xlpm.v=""),"",_xlpm.v*_xlpm.w)
)</f>
        <v/>
      </c>
      <c r="BN113" s="93" t="str" cm="1">
        <f t="array" ref="BN113">_xlfn.LET(
  _xlpm.w, BN$11,
  _xlpm.r, MATCH(1,('3. Enter Indicator Scores'!$B$10:$B$161=$B113)*('3. Enter Indicator Scores'!$C$10:$C$161=$C113),0),
  _xlpm.c, MATCH(BN$8,'3. Enter Indicator Scores'!$D$8:$CZ$8,0),
  _xlpm.v, IFERROR(INDEX('3. Enter Indicator Scores'!$D$10:$CZ$161,_xlpm.r,_xlpm.c),""),
  IF(OR(_xlpm.w="",_xlpm.v=""),"",_xlpm.v*_xlpm.w)
)</f>
        <v/>
      </c>
      <c r="BO113" s="93" t="str" cm="1">
        <f t="array" ref="BO113">_xlfn.LET(
  _xlpm.w, BO$11,
  _xlpm.r, MATCH(1,('3. Enter Indicator Scores'!$B$10:$B$161=$B113)*('3. Enter Indicator Scores'!$C$10:$C$161=$C113),0),
  _xlpm.c, MATCH(BO$8,'3. Enter Indicator Scores'!$D$8:$CZ$8,0),
  _xlpm.v, IFERROR(INDEX('3. Enter Indicator Scores'!$D$10:$CZ$161,_xlpm.r,_xlpm.c),""),
  IF(OR(_xlpm.w="",_xlpm.v=""),"",_xlpm.v*_xlpm.w)
)</f>
        <v/>
      </c>
      <c r="BP113" s="93" t="str" cm="1">
        <f t="array" ref="BP113">_xlfn.LET(
  _xlpm.w, BP$11,
  _xlpm.r, MATCH(1,('3. Enter Indicator Scores'!$B$10:$B$161=$B113)*('3. Enter Indicator Scores'!$C$10:$C$161=$C113),0),
  _xlpm.c, MATCH(BP$8,'3. Enter Indicator Scores'!$D$8:$CZ$8,0),
  _xlpm.v, IFERROR(INDEX('3. Enter Indicator Scores'!$D$10:$CZ$161,_xlpm.r,_xlpm.c),""),
  IF(OR(_xlpm.w="",_xlpm.v=""),"",_xlpm.v*_xlpm.w)
)</f>
        <v/>
      </c>
      <c r="BQ113" s="93" t="str" cm="1">
        <f t="array" ref="BQ113">_xlfn.LET(
  _xlpm.w, BQ$11,
  _xlpm.r, MATCH(1,('3. Enter Indicator Scores'!$B$10:$B$161=$B113)*('3. Enter Indicator Scores'!$C$10:$C$161=$C113),0),
  _xlpm.c, MATCH(BQ$8,'3. Enter Indicator Scores'!$D$8:$CZ$8,0),
  _xlpm.v, IFERROR(INDEX('3. Enter Indicator Scores'!$D$10:$CZ$161,_xlpm.r,_xlpm.c),""),
  IF(OR(_xlpm.w="",_xlpm.v=""),"",_xlpm.v*_xlpm.w)
)</f>
        <v/>
      </c>
      <c r="BR113" s="93" t="str" cm="1">
        <f t="array" ref="BR113">_xlfn.LET(
  _xlpm.w, BR$11,
  _xlpm.r, MATCH(1,('3. Enter Indicator Scores'!$B$10:$B$161=$B113)*('3. Enter Indicator Scores'!$C$10:$C$161=$C113),0),
  _xlpm.c, MATCH(BR$8,'3. Enter Indicator Scores'!$D$8:$CZ$8,0),
  _xlpm.v, IFERROR(INDEX('3. Enter Indicator Scores'!$D$10:$CZ$161,_xlpm.r,_xlpm.c),""),
  IF(OR(_xlpm.w="",_xlpm.v=""),"",_xlpm.v*_xlpm.w)
)</f>
        <v/>
      </c>
      <c r="BS113" s="93" t="str" cm="1">
        <f t="array" ref="BS113">_xlfn.LET(
  _xlpm.w, BS$11,
  _xlpm.r, MATCH(1,('3. Enter Indicator Scores'!$B$10:$B$161=$B113)*('3. Enter Indicator Scores'!$C$10:$C$161=$C113),0),
  _xlpm.c, MATCH(BS$8,'3. Enter Indicator Scores'!$D$8:$CZ$8,0),
  _xlpm.v, IFERROR(INDEX('3. Enter Indicator Scores'!$D$10:$CZ$161,_xlpm.r,_xlpm.c),""),
  IF(OR(_xlpm.w="",_xlpm.v=""),"",_xlpm.v*_xlpm.w)
)</f>
        <v/>
      </c>
      <c r="BT113" s="93" t="str" cm="1">
        <f t="array" ref="BT113">_xlfn.LET(
  _xlpm.w, BT$11,
  _xlpm.r, MATCH(1,('3. Enter Indicator Scores'!$B$10:$B$161=$B113)*('3. Enter Indicator Scores'!$C$10:$C$161=$C113),0),
  _xlpm.c, MATCH(BT$8,'3. Enter Indicator Scores'!$D$8:$CZ$8,0),
  _xlpm.v, IFERROR(INDEX('3. Enter Indicator Scores'!$D$10:$CZ$161,_xlpm.r,_xlpm.c),""),
  IF(OR(_xlpm.w="",_xlpm.v=""),"",_xlpm.v*_xlpm.w)
)</f>
        <v/>
      </c>
      <c r="BU113" s="93" t="str" cm="1">
        <f t="array" ref="BU113">_xlfn.LET(
  _xlpm.w, BU$11,
  _xlpm.r, MATCH(1,('3. Enter Indicator Scores'!$B$10:$B$161=$B113)*('3. Enter Indicator Scores'!$C$10:$C$161=$C113),0),
  _xlpm.c, MATCH(BU$8,'3. Enter Indicator Scores'!$D$8:$CZ$8,0),
  _xlpm.v, IFERROR(INDEX('3. Enter Indicator Scores'!$D$10:$CZ$161,_xlpm.r,_xlpm.c),""),
  IF(OR(_xlpm.w="",_xlpm.v=""),"",_xlpm.v*_xlpm.w)
)</f>
        <v/>
      </c>
      <c r="BV113" s="93" t="str" cm="1">
        <f t="array" ref="BV113">_xlfn.LET(
  _xlpm.w, BV$11,
  _xlpm.r, MATCH(1,('3. Enter Indicator Scores'!$B$10:$B$161=$B113)*('3. Enter Indicator Scores'!$C$10:$C$161=$C113),0),
  _xlpm.c, MATCH(BV$8,'3. Enter Indicator Scores'!$D$8:$CZ$8,0),
  _xlpm.v, IFERROR(INDEX('3. Enter Indicator Scores'!$D$10:$CZ$161,_xlpm.r,_xlpm.c),""),
  IF(OR(_xlpm.w="",_xlpm.v=""),"",_xlpm.v*_xlpm.w)
)</f>
        <v/>
      </c>
      <c r="BW113" s="93" t="str" cm="1">
        <f t="array" ref="BW113">_xlfn.LET(
  _xlpm.w, BW$11,
  _xlpm.r, MATCH(1,('3. Enter Indicator Scores'!$B$10:$B$161=$B113)*('3. Enter Indicator Scores'!$C$10:$C$161=$C113),0),
  _xlpm.c, MATCH(BW$8,'3. Enter Indicator Scores'!$D$8:$CZ$8,0),
  _xlpm.v, IFERROR(INDEX('3. Enter Indicator Scores'!$D$10:$CZ$161,_xlpm.r,_xlpm.c),""),
  IF(OR(_xlpm.w="",_xlpm.v=""),"",_xlpm.v*_xlpm.w)
)</f>
        <v/>
      </c>
      <c r="BX113" s="93" t="str" cm="1">
        <f t="array" ref="BX113">_xlfn.LET(
  _xlpm.w, BX$11,
  _xlpm.r, MATCH(1,('3. Enter Indicator Scores'!$B$10:$B$161=$B113)*('3. Enter Indicator Scores'!$C$10:$C$161=$C113),0),
  _xlpm.c, MATCH(BX$8,'3. Enter Indicator Scores'!$D$8:$CZ$8,0),
  _xlpm.v, IFERROR(INDEX('3. Enter Indicator Scores'!$D$10:$CZ$161,_xlpm.r,_xlpm.c),""),
  IF(OR(_xlpm.w="",_xlpm.v=""),"",_xlpm.v*_xlpm.w)
)</f>
        <v/>
      </c>
      <c r="BY113" s="93" t="str" cm="1">
        <f t="array" ref="BY113">_xlfn.LET(
  _xlpm.w, BY$11,
  _xlpm.r, MATCH(1,('3. Enter Indicator Scores'!$B$10:$B$161=$B113)*('3. Enter Indicator Scores'!$C$10:$C$161=$C113),0),
  _xlpm.c, MATCH(BY$8,'3. Enter Indicator Scores'!$D$8:$CZ$8,0),
  _xlpm.v, IFERROR(INDEX('3. Enter Indicator Scores'!$D$10:$CZ$161,_xlpm.r,_xlpm.c),""),
  IF(OR(_xlpm.w="",_xlpm.v=""),"",_xlpm.v*_xlpm.w)
)</f>
        <v/>
      </c>
      <c r="BZ113" s="93" t="str" cm="1">
        <f t="array" ref="BZ113">_xlfn.LET(
  _xlpm.w, BZ$11,
  _xlpm.r, MATCH(1,('3. Enter Indicator Scores'!$B$10:$B$161=$B113)*('3. Enter Indicator Scores'!$C$10:$C$161=$C113),0),
  _xlpm.c, MATCH(BZ$8,'3. Enter Indicator Scores'!$D$8:$CZ$8,0),
  _xlpm.v, IFERROR(INDEX('3. Enter Indicator Scores'!$D$10:$CZ$161,_xlpm.r,_xlpm.c),""),
  IF(OR(_xlpm.w="",_xlpm.v=""),"",_xlpm.v*_xlpm.w)
)</f>
        <v/>
      </c>
      <c r="CA113" s="93" t="str" cm="1">
        <f t="array" ref="CA113">_xlfn.LET(
  _xlpm.w, CA$11,
  _xlpm.r, MATCH(1,('3. Enter Indicator Scores'!$B$10:$B$161=$B113)*('3. Enter Indicator Scores'!$C$10:$C$161=$C113),0),
  _xlpm.c, MATCH(CA$8,'3. Enter Indicator Scores'!$D$8:$CZ$8,0),
  _xlpm.v, IFERROR(INDEX('3. Enter Indicator Scores'!$D$10:$CZ$161,_xlpm.r,_xlpm.c),""),
  IF(OR(_xlpm.w="",_xlpm.v=""),"",_xlpm.v*_xlpm.w)
)</f>
        <v/>
      </c>
      <c r="CB113" s="93" t="str" cm="1">
        <f t="array" ref="CB113">_xlfn.LET(
  _xlpm.w, CB$11,
  _xlpm.r, MATCH(1,('3. Enter Indicator Scores'!$B$10:$B$161=$B113)*('3. Enter Indicator Scores'!$C$10:$C$161=$C113),0),
  _xlpm.c, MATCH(CB$8,'3. Enter Indicator Scores'!$D$8:$CZ$8,0),
  _xlpm.v, IFERROR(INDEX('3. Enter Indicator Scores'!$D$10:$CZ$161,_xlpm.r,_xlpm.c),""),
  IF(OR(_xlpm.w="",_xlpm.v=""),"",_xlpm.v*_xlpm.w)
)</f>
        <v/>
      </c>
      <c r="CC113" s="93" t="str" cm="1">
        <f t="array" ref="CC113">_xlfn.LET(
  _xlpm.w, CC$11,
  _xlpm.r, MATCH(1,('3. Enter Indicator Scores'!$B$10:$B$161=$B113)*('3. Enter Indicator Scores'!$C$10:$C$161=$C113),0),
  _xlpm.c, MATCH(CC$8,'3. Enter Indicator Scores'!$D$8:$CZ$8,0),
  _xlpm.v, IFERROR(INDEX('3. Enter Indicator Scores'!$D$10:$CZ$161,_xlpm.r,_xlpm.c),""),
  IF(OR(_xlpm.w="",_xlpm.v=""),"",_xlpm.v*_xlpm.w)
)</f>
        <v/>
      </c>
      <c r="CD113" s="93" t="str" cm="1">
        <f t="array" ref="CD113">_xlfn.LET(
  _xlpm.w, CD$11,
  _xlpm.r, MATCH(1,('3. Enter Indicator Scores'!$B$10:$B$161=$B113)*('3. Enter Indicator Scores'!$C$10:$C$161=$C113),0),
  _xlpm.c, MATCH(CD$8,'3. Enter Indicator Scores'!$D$8:$CZ$8,0),
  _xlpm.v, IFERROR(INDEX('3. Enter Indicator Scores'!$D$10:$CZ$161,_xlpm.r,_xlpm.c),""),
  IF(OR(_xlpm.w="",_xlpm.v=""),"",_xlpm.v*_xlpm.w)
)</f>
        <v/>
      </c>
      <c r="CE113" s="93" t="str" cm="1">
        <f t="array" ref="CE113">_xlfn.LET(
  _xlpm.w, CE$11,
  _xlpm.r, MATCH(1,('3. Enter Indicator Scores'!$B$10:$B$161=$B113)*('3. Enter Indicator Scores'!$C$10:$C$161=$C113),0),
  _xlpm.c, MATCH(CE$8,'3. Enter Indicator Scores'!$D$8:$CZ$8,0),
  _xlpm.v, IFERROR(INDEX('3. Enter Indicator Scores'!$D$10:$CZ$161,_xlpm.r,_xlpm.c),""),
  IF(OR(_xlpm.w="",_xlpm.v=""),"",_xlpm.v*_xlpm.w)
)</f>
        <v/>
      </c>
      <c r="CF113" s="93" t="str" cm="1">
        <f t="array" ref="CF113">_xlfn.LET(
  _xlpm.w, CF$11,
  _xlpm.r, MATCH(1,('3. Enter Indicator Scores'!$B$10:$B$161=$B113)*('3. Enter Indicator Scores'!$C$10:$C$161=$C113),0),
  _xlpm.c, MATCH(CF$8,'3. Enter Indicator Scores'!$D$8:$CZ$8,0),
  _xlpm.v, IFERROR(INDEX('3. Enter Indicator Scores'!$D$10:$CZ$161,_xlpm.r,_xlpm.c),""),
  IF(OR(_xlpm.w="",_xlpm.v=""),"",_xlpm.v*_xlpm.w)
)</f>
        <v/>
      </c>
      <c r="CG113" s="93" t="str" cm="1">
        <f t="array" ref="CG113">_xlfn.LET(
  _xlpm.w, CG$11,
  _xlpm.r, MATCH(1,('3. Enter Indicator Scores'!$B$10:$B$161=$B113)*('3. Enter Indicator Scores'!$C$10:$C$161=$C113),0),
  _xlpm.c, MATCH(CG$8,'3. Enter Indicator Scores'!$D$8:$CZ$8,0),
  _xlpm.v, IFERROR(INDEX('3. Enter Indicator Scores'!$D$10:$CZ$161,_xlpm.r,_xlpm.c),""),
  IF(OR(_xlpm.w="",_xlpm.v=""),"",_xlpm.v*_xlpm.w)
)</f>
        <v/>
      </c>
      <c r="CH113" s="93" t="str" cm="1">
        <f t="array" ref="CH113">_xlfn.LET(
  _xlpm.w, CH$11,
  _xlpm.r, MATCH(1,('3. Enter Indicator Scores'!$B$10:$B$161=$B113)*('3. Enter Indicator Scores'!$C$10:$C$161=$C113),0),
  _xlpm.c, MATCH(CH$8,'3. Enter Indicator Scores'!$D$8:$CZ$8,0),
  _xlpm.v, IFERROR(INDEX('3. Enter Indicator Scores'!$D$10:$CZ$161,_xlpm.r,_xlpm.c),""),
  IF(OR(_xlpm.w="",_xlpm.v=""),"",_xlpm.v*_xlpm.w)
)</f>
        <v/>
      </c>
      <c r="CI113" s="93" t="str" cm="1">
        <f t="array" ref="CI113">_xlfn.LET(
  _xlpm.w, CI$11,
  _xlpm.r, MATCH(1,('3. Enter Indicator Scores'!$B$10:$B$161=$B113)*('3. Enter Indicator Scores'!$C$10:$C$161=$C113),0),
  _xlpm.c, MATCH(CI$8,'3. Enter Indicator Scores'!$D$8:$CZ$8,0),
  _xlpm.v, IFERROR(INDEX('3. Enter Indicator Scores'!$D$10:$CZ$161,_xlpm.r,_xlpm.c),""),
  IF(OR(_xlpm.w="",_xlpm.v=""),"",_xlpm.v*_xlpm.w)
)</f>
        <v/>
      </c>
      <c r="CJ113" s="93" t="str" cm="1">
        <f t="array" ref="CJ113">_xlfn.LET(
  _xlpm.w, CJ$11,
  _xlpm.r, MATCH(1,('3. Enter Indicator Scores'!$B$10:$B$161=$B113)*('3. Enter Indicator Scores'!$C$10:$C$161=$C113),0),
  _xlpm.c, MATCH(CJ$8,'3. Enter Indicator Scores'!$D$8:$CZ$8,0),
  _xlpm.v, IFERROR(INDEX('3. Enter Indicator Scores'!$D$10:$CZ$161,_xlpm.r,_xlpm.c),""),
  IF(OR(_xlpm.w="",_xlpm.v=""),"",_xlpm.v*_xlpm.w)
)</f>
        <v/>
      </c>
      <c r="CK113" s="93" t="str" cm="1">
        <f t="array" ref="CK113">_xlfn.LET(
  _xlpm.w, CK$11,
  _xlpm.r, MATCH(1,('3. Enter Indicator Scores'!$B$10:$B$161=$B113)*('3. Enter Indicator Scores'!$C$10:$C$161=$C113),0),
  _xlpm.c, MATCH(CK$8,'3. Enter Indicator Scores'!$D$8:$CZ$8,0),
  _xlpm.v, IFERROR(INDEX('3. Enter Indicator Scores'!$D$10:$CZ$161,_xlpm.r,_xlpm.c),""),
  IF(OR(_xlpm.w="",_xlpm.v=""),"",_xlpm.v*_xlpm.w)
)</f>
        <v/>
      </c>
      <c r="CL113" s="93" t="str" cm="1">
        <f t="array" ref="CL113">_xlfn.LET(
  _xlpm.w, CL$11,
  _xlpm.r, MATCH(1,('3. Enter Indicator Scores'!$B$10:$B$161=$B113)*('3. Enter Indicator Scores'!$C$10:$C$161=$C113),0),
  _xlpm.c, MATCH(CL$8,'3. Enter Indicator Scores'!$D$8:$CZ$8,0),
  _xlpm.v, IFERROR(INDEX('3. Enter Indicator Scores'!$D$10:$CZ$161,_xlpm.r,_xlpm.c),""),
  IF(OR(_xlpm.w="",_xlpm.v=""),"",_xlpm.v*_xlpm.w)
)</f>
        <v/>
      </c>
      <c r="CM113" s="93" t="str" cm="1">
        <f t="array" ref="CM113">_xlfn.LET(
  _xlpm.w, CM$11,
  _xlpm.r, MATCH(1,('3. Enter Indicator Scores'!$B$10:$B$161=$B113)*('3. Enter Indicator Scores'!$C$10:$C$161=$C113),0),
  _xlpm.c, MATCH(CM$8,'3. Enter Indicator Scores'!$D$8:$CZ$8,0),
  _xlpm.v, IFERROR(INDEX('3. Enter Indicator Scores'!$D$10:$CZ$161,_xlpm.r,_xlpm.c),""),
  IF(OR(_xlpm.w="",_xlpm.v=""),"",_xlpm.v*_xlpm.w)
)</f>
        <v/>
      </c>
      <c r="CN113" s="93" t="str" cm="1">
        <f t="array" ref="CN113">_xlfn.LET(
  _xlpm.w, CN$11,
  _xlpm.r, MATCH(1,('3. Enter Indicator Scores'!$B$10:$B$161=$B113)*('3. Enter Indicator Scores'!$C$10:$C$161=$C113),0),
  _xlpm.c, MATCH(CN$8,'3. Enter Indicator Scores'!$D$8:$CZ$8,0),
  _xlpm.v, IFERROR(INDEX('3. Enter Indicator Scores'!$D$10:$CZ$161,_xlpm.r,_xlpm.c),""),
  IF(OR(_xlpm.w="",_xlpm.v=""),"",_xlpm.v*_xlpm.w)
)</f>
        <v/>
      </c>
      <c r="CO113" s="93" t="str" cm="1">
        <f t="array" ref="CO113">_xlfn.LET(
  _xlpm.w, CO$11,
  _xlpm.r, MATCH(1,('3. Enter Indicator Scores'!$B$10:$B$161=$B113)*('3. Enter Indicator Scores'!$C$10:$C$161=$C113),0),
  _xlpm.c, MATCH(CO$8,'3. Enter Indicator Scores'!$D$8:$CZ$8,0),
  _xlpm.v, IFERROR(INDEX('3. Enter Indicator Scores'!$D$10:$CZ$161,_xlpm.r,_xlpm.c),""),
  IF(OR(_xlpm.w="",_xlpm.v=""),"",_xlpm.v*_xlpm.w)
)</f>
        <v/>
      </c>
      <c r="CP113" s="93" t="str" cm="1">
        <f t="array" ref="CP113">_xlfn.LET(
  _xlpm.w, CP$11,
  _xlpm.r, MATCH(1,('3. Enter Indicator Scores'!$B$10:$B$161=$B113)*('3. Enter Indicator Scores'!$C$10:$C$161=$C113),0),
  _xlpm.c, MATCH(CP$8,'3. Enter Indicator Scores'!$D$8:$CZ$8,0),
  _xlpm.v, IFERROR(INDEX('3. Enter Indicator Scores'!$D$10:$CZ$161,_xlpm.r,_xlpm.c),""),
  IF(OR(_xlpm.w="",_xlpm.v=""),"",_xlpm.v*_xlpm.w)
)</f>
        <v/>
      </c>
      <c r="CQ113" s="93" t="str" cm="1">
        <f t="array" ref="CQ113">_xlfn.LET(
  _xlpm.w, CQ$11,
  _xlpm.r, MATCH(1,('3. Enter Indicator Scores'!$B$10:$B$161=$B113)*('3. Enter Indicator Scores'!$C$10:$C$161=$C113),0),
  _xlpm.c, MATCH(CQ$8,'3. Enter Indicator Scores'!$D$8:$CZ$8,0),
  _xlpm.v, IFERROR(INDEX('3. Enter Indicator Scores'!$D$10:$CZ$161,_xlpm.r,_xlpm.c),""),
  IF(OR(_xlpm.w="",_xlpm.v=""),"",_xlpm.v*_xlpm.w)
)</f>
        <v/>
      </c>
      <c r="CR113" s="93" t="str" cm="1">
        <f t="array" ref="CR113">_xlfn.LET(
  _xlpm.w, CR$11,
  _xlpm.r, MATCH(1,('3. Enter Indicator Scores'!$B$10:$B$161=$B113)*('3. Enter Indicator Scores'!$C$10:$C$161=$C113),0),
  _xlpm.c, MATCH(CR$8,'3. Enter Indicator Scores'!$D$8:$CZ$8,0),
  _xlpm.v, IFERROR(INDEX('3. Enter Indicator Scores'!$D$10:$CZ$161,_xlpm.r,_xlpm.c),""),
  IF(OR(_xlpm.w="",_xlpm.v=""),"",_xlpm.v*_xlpm.w)
)</f>
        <v/>
      </c>
      <c r="CS113" s="93" t="str" cm="1">
        <f t="array" ref="CS113">_xlfn.LET(
  _xlpm.w, CS$11,
  _xlpm.r, MATCH(1,('3. Enter Indicator Scores'!$B$10:$B$161=$B113)*('3. Enter Indicator Scores'!$C$10:$C$161=$C113),0),
  _xlpm.c, MATCH(CS$8,'3. Enter Indicator Scores'!$D$8:$CZ$8,0),
  _xlpm.v, IFERROR(INDEX('3. Enter Indicator Scores'!$D$10:$CZ$161,_xlpm.r,_xlpm.c),""),
  IF(OR(_xlpm.w="",_xlpm.v=""),"",_xlpm.v*_xlpm.w)
)</f>
        <v/>
      </c>
      <c r="CT113" s="93" t="str" cm="1">
        <f t="array" ref="CT113">_xlfn.LET(
  _xlpm.w, CT$11,
  _xlpm.r, MATCH(1,('3. Enter Indicator Scores'!$B$10:$B$161=$B113)*('3. Enter Indicator Scores'!$C$10:$C$161=$C113),0),
  _xlpm.c, MATCH(CT$8,'3. Enter Indicator Scores'!$D$8:$CZ$8,0),
  _xlpm.v, IFERROR(INDEX('3. Enter Indicator Scores'!$D$10:$CZ$161,_xlpm.r,_xlpm.c),""),
  IF(OR(_xlpm.w="",_xlpm.v=""),"",_xlpm.v*_xlpm.w)
)</f>
        <v/>
      </c>
      <c r="CU113" s="93" t="str" cm="1">
        <f t="array" ref="CU113">_xlfn.LET(
  _xlpm.w, CU$11,
  _xlpm.r, MATCH(1,('3. Enter Indicator Scores'!$B$10:$B$161=$B113)*('3. Enter Indicator Scores'!$C$10:$C$161=$C113),0),
  _xlpm.c, MATCH(CU$8,'3. Enter Indicator Scores'!$D$8:$CZ$8,0),
  _xlpm.v, IFERROR(INDEX('3. Enter Indicator Scores'!$D$10:$CZ$161,_xlpm.r,_xlpm.c),""),
  IF(OR(_xlpm.w="",_xlpm.v=""),"",_xlpm.v*_xlpm.w)
)</f>
        <v/>
      </c>
      <c r="CV113" s="93" t="str" cm="1">
        <f t="array" ref="CV113">_xlfn.LET(
  _xlpm.w, CV$11,
  _xlpm.r, MATCH(1,('3. Enter Indicator Scores'!$B$10:$B$161=$B113)*('3. Enter Indicator Scores'!$C$10:$C$161=$C113),0),
  _xlpm.c, MATCH(CV$8,'3. Enter Indicator Scores'!$D$8:$CZ$8,0),
  _xlpm.v, IFERROR(INDEX('3. Enter Indicator Scores'!$D$10:$CZ$161,_xlpm.r,_xlpm.c),""),
  IF(OR(_xlpm.w="",_xlpm.v=""),"",_xlpm.v*_xlpm.w)
)</f>
        <v/>
      </c>
      <c r="CW113" s="93" t="str" cm="1">
        <f t="array" ref="CW113">_xlfn.LET(
  _xlpm.w, CW$11,
  _xlpm.r, MATCH(1,('3. Enter Indicator Scores'!$B$10:$B$161=$B113)*('3. Enter Indicator Scores'!$C$10:$C$161=$C113),0),
  _xlpm.c, MATCH(CW$8,'3. Enter Indicator Scores'!$D$8:$CZ$8,0),
  _xlpm.v, IFERROR(INDEX('3. Enter Indicator Scores'!$D$10:$CZ$161,_xlpm.r,_xlpm.c),""),
  IF(OR(_xlpm.w="",_xlpm.v=""),"",_xlpm.v*_xlpm.w)
)</f>
        <v/>
      </c>
      <c r="CX113" s="93" t="str" cm="1">
        <f t="array" ref="CX113">_xlfn.LET(
  _xlpm.w, CX$11,
  _xlpm.r, MATCH(1,('3. Enter Indicator Scores'!$B$10:$B$161=$B113)*('3. Enter Indicator Scores'!$C$10:$C$161=$C113),0),
  _xlpm.c, MATCH(CX$8,'3. Enter Indicator Scores'!$D$8:$CZ$8,0),
  _xlpm.v, IFERROR(INDEX('3. Enter Indicator Scores'!$D$10:$CZ$161,_xlpm.r,_xlpm.c),""),
  IF(OR(_xlpm.w="",_xlpm.v=""),"",_xlpm.v*_xlpm.w)
)</f>
        <v/>
      </c>
      <c r="CY113" s="93" t="str" cm="1">
        <f t="array" ref="CY113">_xlfn.LET(
  _xlpm.w, CY$11,
  _xlpm.r, MATCH(1,('3. Enter Indicator Scores'!$B$10:$B$161=$B113)*('3. Enter Indicator Scores'!$C$10:$C$161=$C113),0),
  _xlpm.c, MATCH(CY$8,'3. Enter Indicator Scores'!$D$8:$CZ$8,0),
  _xlpm.v, IFERROR(INDEX('3. Enter Indicator Scores'!$D$10:$CZ$161,_xlpm.r,_xlpm.c),""),
  IF(OR(_xlpm.w="",_xlpm.v=""),"",_xlpm.v*_xlpm.w)
)</f>
        <v/>
      </c>
      <c r="CZ113" s="93" t="str" cm="1">
        <f t="array" ref="CZ113">_xlfn.LET(
  _xlpm.w, CZ$11,
  _xlpm.r, MATCH(1,('3. Enter Indicator Scores'!$B$10:$B$161=$B113)*('3. Enter Indicator Scores'!$C$10:$C$161=$C113),0),
  _xlpm.c, MATCH(CZ$8,'3. Enter Indicator Scores'!$D$8:$CZ$8,0),
  _xlpm.v, IFERROR(INDEX('3. Enter Indicator Scores'!$D$10:$CZ$161,_xlpm.r,_xlpm.c),""),
  IF(OR(_xlpm.w="",_xlpm.v=""),"",_xlpm.v*_xlpm.w)
)</f>
        <v/>
      </c>
    </row>
    <row r="114" spans="4:104" x14ac:dyDescent="0.2">
      <c r="D114" s="93" t="str" cm="1">
        <f t="array" ref="D114">_xlfn.LET(
  _xlpm.w, D$11,
  _xlpm.r, MATCH(1,('3. Enter Indicator Scores'!$B$10:$B$161=$B114)*('3. Enter Indicator Scores'!$C$10:$C$161=$C114),0),
  _xlpm.c, MATCH(D$8,'3. Enter Indicator Scores'!$D$8:$CZ$8,0),
  _xlpm.v, IFERROR(INDEX('3. Enter Indicator Scores'!$D$10:$CZ$161,_xlpm.r,_xlpm.c),""),
  IF(OR(_xlpm.w="",_xlpm.v=""),"",_xlpm.v*_xlpm.w)
)</f>
        <v/>
      </c>
      <c r="E114" s="93" t="str" cm="1">
        <f t="array" ref="E114">_xlfn.LET(
  _xlpm.w, E$11,
  _xlpm.r, MATCH(1,('3. Enter Indicator Scores'!$B$10:$B$161=$B114)*('3. Enter Indicator Scores'!$C$10:$C$161=$C114),0),
  _xlpm.c, MATCH(E$8,'3. Enter Indicator Scores'!$D$8:$CZ$8,0),
  _xlpm.v, IFERROR(INDEX('3. Enter Indicator Scores'!$D$10:$CZ$161,_xlpm.r,_xlpm.c),""),
  IF(OR(_xlpm.w="",_xlpm.v=""),"",_xlpm.v*_xlpm.w)
)</f>
        <v/>
      </c>
      <c r="F114" s="93" t="str" cm="1">
        <f t="array" ref="F114">_xlfn.LET(
  _xlpm.w, F$11,
  _xlpm.r, MATCH(1,('3. Enter Indicator Scores'!$B$10:$B$161=$B114)*('3. Enter Indicator Scores'!$C$10:$C$161=$C114),0),
  _xlpm.c, MATCH(F$8,'3. Enter Indicator Scores'!$D$8:$CZ$8,0),
  _xlpm.v, IFERROR(INDEX('3. Enter Indicator Scores'!$D$10:$CZ$161,_xlpm.r,_xlpm.c),""),
  IF(OR(_xlpm.w="",_xlpm.v=""),"",_xlpm.v*_xlpm.w)
)</f>
        <v/>
      </c>
      <c r="G114" s="93" t="str" cm="1">
        <f t="array" ref="G114">_xlfn.LET(
  _xlpm.w, G$11,
  _xlpm.r, MATCH(1,('3. Enter Indicator Scores'!$B$10:$B$161=$B114)*('3. Enter Indicator Scores'!$C$10:$C$161=$C114),0),
  _xlpm.c, MATCH(G$8,'3. Enter Indicator Scores'!$D$8:$CZ$8,0),
  _xlpm.v, IFERROR(INDEX('3. Enter Indicator Scores'!$D$10:$CZ$161,_xlpm.r,_xlpm.c),""),
  IF(OR(_xlpm.w="",_xlpm.v=""),"",_xlpm.v*_xlpm.w)
)</f>
        <v/>
      </c>
      <c r="H114" s="93" t="str" cm="1">
        <f t="array" ref="H114">_xlfn.LET(
  _xlpm.w, H$11,
  _xlpm.r, MATCH(1,('3. Enter Indicator Scores'!$B$10:$B$161=$B114)*('3. Enter Indicator Scores'!$C$10:$C$161=$C114),0),
  _xlpm.c, MATCH(H$8,'3. Enter Indicator Scores'!$D$8:$CZ$8,0),
  _xlpm.v, IFERROR(INDEX('3. Enter Indicator Scores'!$D$10:$CZ$161,_xlpm.r,_xlpm.c),""),
  IF(OR(_xlpm.w="",_xlpm.v=""),"",_xlpm.v*_xlpm.w)
)</f>
        <v/>
      </c>
      <c r="I114" s="93" t="str" cm="1">
        <f t="array" ref="I114">_xlfn.LET(
  _xlpm.w, I$11,
  _xlpm.r, MATCH(1,('3. Enter Indicator Scores'!$B$10:$B$161=$B114)*('3. Enter Indicator Scores'!$C$10:$C$161=$C114),0),
  _xlpm.c, MATCH(I$8,'3. Enter Indicator Scores'!$D$8:$CZ$8,0),
  _xlpm.v, IFERROR(INDEX('3. Enter Indicator Scores'!$D$10:$CZ$161,_xlpm.r,_xlpm.c),""),
  IF(OR(_xlpm.w="",_xlpm.v=""),"",_xlpm.v*_xlpm.w)
)</f>
        <v/>
      </c>
      <c r="J114" s="93" t="str" cm="1">
        <f t="array" ref="J114">_xlfn.LET(
  _xlpm.w, J$11,
  _xlpm.r, MATCH(1,('3. Enter Indicator Scores'!$B$10:$B$161=$B114)*('3. Enter Indicator Scores'!$C$10:$C$161=$C114),0),
  _xlpm.c, MATCH(J$8,'3. Enter Indicator Scores'!$D$8:$CZ$8,0),
  _xlpm.v, IFERROR(INDEX('3. Enter Indicator Scores'!$D$10:$CZ$161,_xlpm.r,_xlpm.c),""),
  IF(OR(_xlpm.w="",_xlpm.v=""),"",_xlpm.v*_xlpm.w)
)</f>
        <v/>
      </c>
      <c r="K114" s="93" t="str" cm="1">
        <f t="array" ref="K114">_xlfn.LET(
  _xlpm.w, K$11,
  _xlpm.r, MATCH(1,('3. Enter Indicator Scores'!$B$10:$B$161=$B114)*('3. Enter Indicator Scores'!$C$10:$C$161=$C114),0),
  _xlpm.c, MATCH(K$8,'3. Enter Indicator Scores'!$D$8:$CZ$8,0),
  _xlpm.v, IFERROR(INDEX('3. Enter Indicator Scores'!$D$10:$CZ$161,_xlpm.r,_xlpm.c),""),
  IF(OR(_xlpm.w="",_xlpm.v=""),"",_xlpm.v*_xlpm.w)
)</f>
        <v/>
      </c>
      <c r="L114" s="93" t="str" cm="1">
        <f t="array" ref="L114">_xlfn.LET(
  _xlpm.w, L$11,
  _xlpm.r, MATCH(1,('3. Enter Indicator Scores'!$B$10:$B$161=$B114)*('3. Enter Indicator Scores'!$C$10:$C$161=$C114),0),
  _xlpm.c, MATCH(L$8,'3. Enter Indicator Scores'!$D$8:$CZ$8,0),
  _xlpm.v, IFERROR(INDEX('3. Enter Indicator Scores'!$D$10:$CZ$161,_xlpm.r,_xlpm.c),""),
  IF(OR(_xlpm.w="",_xlpm.v=""),"",_xlpm.v*_xlpm.w)
)</f>
        <v/>
      </c>
      <c r="M114" s="93" t="str" cm="1">
        <f t="array" ref="M114">_xlfn.LET(
  _xlpm.w, M$11,
  _xlpm.r, MATCH(1,('3. Enter Indicator Scores'!$B$10:$B$161=$B114)*('3. Enter Indicator Scores'!$C$10:$C$161=$C114),0),
  _xlpm.c, MATCH(M$8,'3. Enter Indicator Scores'!$D$8:$CZ$8,0),
  _xlpm.v, IFERROR(INDEX('3. Enter Indicator Scores'!$D$10:$CZ$161,_xlpm.r,_xlpm.c),""),
  IF(OR(_xlpm.w="",_xlpm.v=""),"",_xlpm.v*_xlpm.w)
)</f>
        <v/>
      </c>
      <c r="N114" s="93" t="str" cm="1">
        <f t="array" ref="N114">_xlfn.LET(
  _xlpm.w, N$11,
  _xlpm.r, MATCH(1,('3. Enter Indicator Scores'!$B$10:$B$161=$B114)*('3. Enter Indicator Scores'!$C$10:$C$161=$C114),0),
  _xlpm.c, MATCH(N$8,'3. Enter Indicator Scores'!$D$8:$CZ$8,0),
  _xlpm.v, IFERROR(INDEX('3. Enter Indicator Scores'!$D$10:$CZ$161,_xlpm.r,_xlpm.c),""),
  IF(OR(_xlpm.w="",_xlpm.v=""),"",_xlpm.v*_xlpm.w)
)</f>
        <v/>
      </c>
      <c r="O114" s="93" t="str" cm="1">
        <f t="array" ref="O114">_xlfn.LET(
  _xlpm.w, O$11,
  _xlpm.r, MATCH(1,('3. Enter Indicator Scores'!$B$10:$B$161=$B114)*('3. Enter Indicator Scores'!$C$10:$C$161=$C114),0),
  _xlpm.c, MATCH(O$8,'3. Enter Indicator Scores'!$D$8:$CZ$8,0),
  _xlpm.v, IFERROR(INDEX('3. Enter Indicator Scores'!$D$10:$CZ$161,_xlpm.r,_xlpm.c),""),
  IF(OR(_xlpm.w="",_xlpm.v=""),"",_xlpm.v*_xlpm.w)
)</f>
        <v/>
      </c>
      <c r="P114" s="93" t="str" cm="1">
        <f t="array" ref="P114">_xlfn.LET(
  _xlpm.w, P$11,
  _xlpm.r, MATCH(1,('3. Enter Indicator Scores'!$B$10:$B$161=$B114)*('3. Enter Indicator Scores'!$C$10:$C$161=$C114),0),
  _xlpm.c, MATCH(P$8,'3. Enter Indicator Scores'!$D$8:$CZ$8,0),
  _xlpm.v, IFERROR(INDEX('3. Enter Indicator Scores'!$D$10:$CZ$161,_xlpm.r,_xlpm.c),""),
  IF(OR(_xlpm.w="",_xlpm.v=""),"",_xlpm.v*_xlpm.w)
)</f>
        <v/>
      </c>
      <c r="Q114" s="93" t="str" cm="1">
        <f t="array" ref="Q114">_xlfn.LET(
  _xlpm.w, Q$11,
  _xlpm.r, MATCH(1,('3. Enter Indicator Scores'!$B$10:$B$161=$B114)*('3. Enter Indicator Scores'!$C$10:$C$161=$C114),0),
  _xlpm.c, MATCH(Q$8,'3. Enter Indicator Scores'!$D$8:$CZ$8,0),
  _xlpm.v, IFERROR(INDEX('3. Enter Indicator Scores'!$D$10:$CZ$161,_xlpm.r,_xlpm.c),""),
  IF(OR(_xlpm.w="",_xlpm.v=""),"",_xlpm.v*_xlpm.w)
)</f>
        <v/>
      </c>
      <c r="R114" s="93" t="str" cm="1">
        <f t="array" ref="R114">_xlfn.LET(
  _xlpm.w, R$11,
  _xlpm.r, MATCH(1,('3. Enter Indicator Scores'!$B$10:$B$161=$B114)*('3. Enter Indicator Scores'!$C$10:$C$161=$C114),0),
  _xlpm.c, MATCH(R$8,'3. Enter Indicator Scores'!$D$8:$CZ$8,0),
  _xlpm.v, IFERROR(INDEX('3. Enter Indicator Scores'!$D$10:$CZ$161,_xlpm.r,_xlpm.c),""),
  IF(OR(_xlpm.w="",_xlpm.v=""),"",_xlpm.v*_xlpm.w)
)</f>
        <v/>
      </c>
      <c r="S114" s="93" t="str" cm="1">
        <f t="array" ref="S114">_xlfn.LET(
  _xlpm.w, S$11,
  _xlpm.r, MATCH(1,('3. Enter Indicator Scores'!$B$10:$B$161=$B114)*('3. Enter Indicator Scores'!$C$10:$C$161=$C114),0),
  _xlpm.c, MATCH(S$8,'3. Enter Indicator Scores'!$D$8:$CZ$8,0),
  _xlpm.v, IFERROR(INDEX('3. Enter Indicator Scores'!$D$10:$CZ$161,_xlpm.r,_xlpm.c),""),
  IF(OR(_xlpm.w="",_xlpm.v=""),"",_xlpm.v*_xlpm.w)
)</f>
        <v/>
      </c>
      <c r="T114" s="93" t="str" cm="1">
        <f t="array" ref="T114">_xlfn.LET(
  _xlpm.w, T$11,
  _xlpm.r, MATCH(1,('3. Enter Indicator Scores'!$B$10:$B$161=$B114)*('3. Enter Indicator Scores'!$C$10:$C$161=$C114),0),
  _xlpm.c, MATCH(T$8,'3. Enter Indicator Scores'!$D$8:$CZ$8,0),
  _xlpm.v, IFERROR(INDEX('3. Enter Indicator Scores'!$D$10:$CZ$161,_xlpm.r,_xlpm.c),""),
  IF(OR(_xlpm.w="",_xlpm.v=""),"",_xlpm.v*_xlpm.w)
)</f>
        <v/>
      </c>
      <c r="U114" s="93" t="str" cm="1">
        <f t="array" ref="U114">_xlfn.LET(
  _xlpm.w, U$11,
  _xlpm.r, MATCH(1,('3. Enter Indicator Scores'!$B$10:$B$161=$B114)*('3. Enter Indicator Scores'!$C$10:$C$161=$C114),0),
  _xlpm.c, MATCH(U$8,'3. Enter Indicator Scores'!$D$8:$CZ$8,0),
  _xlpm.v, IFERROR(INDEX('3. Enter Indicator Scores'!$D$10:$CZ$161,_xlpm.r,_xlpm.c),""),
  IF(OR(_xlpm.w="",_xlpm.v=""),"",_xlpm.v*_xlpm.w)
)</f>
        <v/>
      </c>
      <c r="V114" s="93" t="str" cm="1">
        <f t="array" ref="V114">_xlfn.LET(
  _xlpm.w, V$11,
  _xlpm.r, MATCH(1,('3. Enter Indicator Scores'!$B$10:$B$161=$B114)*('3. Enter Indicator Scores'!$C$10:$C$161=$C114),0),
  _xlpm.c, MATCH(V$8,'3. Enter Indicator Scores'!$D$8:$CZ$8,0),
  _xlpm.v, IFERROR(INDEX('3. Enter Indicator Scores'!$D$10:$CZ$161,_xlpm.r,_xlpm.c),""),
  IF(OR(_xlpm.w="",_xlpm.v=""),"",_xlpm.v*_xlpm.w)
)</f>
        <v/>
      </c>
      <c r="W114" s="93" t="str" cm="1">
        <f t="array" ref="W114">_xlfn.LET(
  _xlpm.w, W$11,
  _xlpm.r, MATCH(1,('3. Enter Indicator Scores'!$B$10:$B$161=$B114)*('3. Enter Indicator Scores'!$C$10:$C$161=$C114),0),
  _xlpm.c, MATCH(W$8,'3. Enter Indicator Scores'!$D$8:$CZ$8,0),
  _xlpm.v, IFERROR(INDEX('3. Enter Indicator Scores'!$D$10:$CZ$161,_xlpm.r,_xlpm.c),""),
  IF(OR(_xlpm.w="",_xlpm.v=""),"",_xlpm.v*_xlpm.w)
)</f>
        <v/>
      </c>
      <c r="X114" s="93" t="str" cm="1">
        <f t="array" ref="X114">_xlfn.LET(
  _xlpm.w, X$11,
  _xlpm.r, MATCH(1,('3. Enter Indicator Scores'!$B$10:$B$161=$B114)*('3. Enter Indicator Scores'!$C$10:$C$161=$C114),0),
  _xlpm.c, MATCH(X$8,'3. Enter Indicator Scores'!$D$8:$CZ$8,0),
  _xlpm.v, IFERROR(INDEX('3. Enter Indicator Scores'!$D$10:$CZ$161,_xlpm.r,_xlpm.c),""),
  IF(OR(_xlpm.w="",_xlpm.v=""),"",_xlpm.v*_xlpm.w)
)</f>
        <v/>
      </c>
      <c r="Y114" s="93" t="str" cm="1">
        <f t="array" ref="Y114">_xlfn.LET(
  _xlpm.w, Y$11,
  _xlpm.r, MATCH(1,('3. Enter Indicator Scores'!$B$10:$B$161=$B114)*('3. Enter Indicator Scores'!$C$10:$C$161=$C114),0),
  _xlpm.c, MATCH(Y$8,'3. Enter Indicator Scores'!$D$8:$CZ$8,0),
  _xlpm.v, IFERROR(INDEX('3. Enter Indicator Scores'!$D$10:$CZ$161,_xlpm.r,_xlpm.c),""),
  IF(OR(_xlpm.w="",_xlpm.v=""),"",_xlpm.v*_xlpm.w)
)</f>
        <v/>
      </c>
      <c r="Z114" s="93" t="str" cm="1">
        <f t="array" ref="Z114">_xlfn.LET(
  _xlpm.w, Z$11,
  _xlpm.r, MATCH(1,('3. Enter Indicator Scores'!$B$10:$B$161=$B114)*('3. Enter Indicator Scores'!$C$10:$C$161=$C114),0),
  _xlpm.c, MATCH(Z$8,'3. Enter Indicator Scores'!$D$8:$CZ$8,0),
  _xlpm.v, IFERROR(INDEX('3. Enter Indicator Scores'!$D$10:$CZ$161,_xlpm.r,_xlpm.c),""),
  IF(OR(_xlpm.w="",_xlpm.v=""),"",_xlpm.v*_xlpm.w)
)</f>
        <v/>
      </c>
      <c r="AA114" s="93" t="str" cm="1">
        <f t="array" ref="AA114">_xlfn.LET(
  _xlpm.w, AA$11,
  _xlpm.r, MATCH(1,('3. Enter Indicator Scores'!$B$10:$B$161=$B114)*('3. Enter Indicator Scores'!$C$10:$C$161=$C114),0),
  _xlpm.c, MATCH(AA$8,'3. Enter Indicator Scores'!$D$8:$CZ$8,0),
  _xlpm.v, IFERROR(INDEX('3. Enter Indicator Scores'!$D$10:$CZ$161,_xlpm.r,_xlpm.c),""),
  IF(OR(_xlpm.w="",_xlpm.v=""),"",_xlpm.v*_xlpm.w)
)</f>
        <v/>
      </c>
      <c r="AB114" s="93" t="str" cm="1">
        <f t="array" ref="AB114">_xlfn.LET(
  _xlpm.w, AB$11,
  _xlpm.r, MATCH(1,('3. Enter Indicator Scores'!$B$10:$B$161=$B114)*('3. Enter Indicator Scores'!$C$10:$C$161=$C114),0),
  _xlpm.c, MATCH(AB$8,'3. Enter Indicator Scores'!$D$8:$CZ$8,0),
  _xlpm.v, IFERROR(INDEX('3. Enter Indicator Scores'!$D$10:$CZ$161,_xlpm.r,_xlpm.c),""),
  IF(OR(_xlpm.w="",_xlpm.v=""),"",_xlpm.v*_xlpm.w)
)</f>
        <v/>
      </c>
      <c r="AC114" s="93" t="str" cm="1">
        <f t="array" ref="AC114">_xlfn.LET(
  _xlpm.w, AC$11,
  _xlpm.r, MATCH(1,('3. Enter Indicator Scores'!$B$10:$B$161=$B114)*('3. Enter Indicator Scores'!$C$10:$C$161=$C114),0),
  _xlpm.c, MATCH(AC$8,'3. Enter Indicator Scores'!$D$8:$CZ$8,0),
  _xlpm.v, IFERROR(INDEX('3. Enter Indicator Scores'!$D$10:$CZ$161,_xlpm.r,_xlpm.c),""),
  IF(OR(_xlpm.w="",_xlpm.v=""),"",_xlpm.v*_xlpm.w)
)</f>
        <v/>
      </c>
      <c r="AD114" s="93" t="str" cm="1">
        <f t="array" ref="AD114">_xlfn.LET(
  _xlpm.w, AD$11,
  _xlpm.r, MATCH(1,('3. Enter Indicator Scores'!$B$10:$B$161=$B114)*('3. Enter Indicator Scores'!$C$10:$C$161=$C114),0),
  _xlpm.c, MATCH(AD$8,'3. Enter Indicator Scores'!$D$8:$CZ$8,0),
  _xlpm.v, IFERROR(INDEX('3. Enter Indicator Scores'!$D$10:$CZ$161,_xlpm.r,_xlpm.c),""),
  IF(OR(_xlpm.w="",_xlpm.v=""),"",_xlpm.v*_xlpm.w)
)</f>
        <v/>
      </c>
      <c r="AE114" s="93" t="str" cm="1">
        <f t="array" ref="AE114">_xlfn.LET(
  _xlpm.w, AE$11,
  _xlpm.r, MATCH(1,('3. Enter Indicator Scores'!$B$10:$B$161=$B114)*('3. Enter Indicator Scores'!$C$10:$C$161=$C114),0),
  _xlpm.c, MATCH(AE$8,'3. Enter Indicator Scores'!$D$8:$CZ$8,0),
  _xlpm.v, IFERROR(INDEX('3. Enter Indicator Scores'!$D$10:$CZ$161,_xlpm.r,_xlpm.c),""),
  IF(OR(_xlpm.w="",_xlpm.v=""),"",_xlpm.v*_xlpm.w)
)</f>
        <v/>
      </c>
      <c r="AF114" s="93" t="str" cm="1">
        <f t="array" ref="AF114">_xlfn.LET(
  _xlpm.w, AF$11,
  _xlpm.r, MATCH(1,('3. Enter Indicator Scores'!$B$10:$B$161=$B114)*('3. Enter Indicator Scores'!$C$10:$C$161=$C114),0),
  _xlpm.c, MATCH(AF$8,'3. Enter Indicator Scores'!$D$8:$CZ$8,0),
  _xlpm.v, IFERROR(INDEX('3. Enter Indicator Scores'!$D$10:$CZ$161,_xlpm.r,_xlpm.c),""),
  IF(OR(_xlpm.w="",_xlpm.v=""),"",_xlpm.v*_xlpm.w)
)</f>
        <v/>
      </c>
      <c r="AG114" s="93" t="str" cm="1">
        <f t="array" ref="AG114">_xlfn.LET(
  _xlpm.w, AG$11,
  _xlpm.r, MATCH(1,('3. Enter Indicator Scores'!$B$10:$B$161=$B114)*('3. Enter Indicator Scores'!$C$10:$C$161=$C114),0),
  _xlpm.c, MATCH(AG$8,'3. Enter Indicator Scores'!$D$8:$CZ$8,0),
  _xlpm.v, IFERROR(INDEX('3. Enter Indicator Scores'!$D$10:$CZ$161,_xlpm.r,_xlpm.c),""),
  IF(OR(_xlpm.w="",_xlpm.v=""),"",_xlpm.v*_xlpm.w)
)</f>
        <v/>
      </c>
      <c r="AH114" s="93" t="str" cm="1">
        <f t="array" ref="AH114">_xlfn.LET(
  _xlpm.w, AH$11,
  _xlpm.r, MATCH(1,('3. Enter Indicator Scores'!$B$10:$B$161=$B114)*('3. Enter Indicator Scores'!$C$10:$C$161=$C114),0),
  _xlpm.c, MATCH(AH$8,'3. Enter Indicator Scores'!$D$8:$CZ$8,0),
  _xlpm.v, IFERROR(INDEX('3. Enter Indicator Scores'!$D$10:$CZ$161,_xlpm.r,_xlpm.c),""),
  IF(OR(_xlpm.w="",_xlpm.v=""),"",_xlpm.v*_xlpm.w)
)</f>
        <v/>
      </c>
      <c r="AI114" s="93" t="str" cm="1">
        <f t="array" ref="AI114">_xlfn.LET(
  _xlpm.w, AI$11,
  _xlpm.r, MATCH(1,('3. Enter Indicator Scores'!$B$10:$B$161=$B114)*('3. Enter Indicator Scores'!$C$10:$C$161=$C114),0),
  _xlpm.c, MATCH(AI$8,'3. Enter Indicator Scores'!$D$8:$CZ$8,0),
  _xlpm.v, IFERROR(INDEX('3. Enter Indicator Scores'!$D$10:$CZ$161,_xlpm.r,_xlpm.c),""),
  IF(OR(_xlpm.w="",_xlpm.v=""),"",_xlpm.v*_xlpm.w)
)</f>
        <v/>
      </c>
      <c r="AJ114" s="93" t="str" cm="1">
        <f t="array" ref="AJ114">_xlfn.LET(
  _xlpm.w, AJ$11,
  _xlpm.r, MATCH(1,('3. Enter Indicator Scores'!$B$10:$B$161=$B114)*('3. Enter Indicator Scores'!$C$10:$C$161=$C114),0),
  _xlpm.c, MATCH(AJ$8,'3. Enter Indicator Scores'!$D$8:$CZ$8,0),
  _xlpm.v, IFERROR(INDEX('3. Enter Indicator Scores'!$D$10:$CZ$161,_xlpm.r,_xlpm.c),""),
  IF(OR(_xlpm.w="",_xlpm.v=""),"",_xlpm.v*_xlpm.w)
)</f>
        <v/>
      </c>
      <c r="AK114" s="93" t="str" cm="1">
        <f t="array" ref="AK114">_xlfn.LET(
  _xlpm.w, AK$11,
  _xlpm.r, MATCH(1,('3. Enter Indicator Scores'!$B$10:$B$161=$B114)*('3. Enter Indicator Scores'!$C$10:$C$161=$C114),0),
  _xlpm.c, MATCH(AK$8,'3. Enter Indicator Scores'!$D$8:$CZ$8,0),
  _xlpm.v, IFERROR(INDEX('3. Enter Indicator Scores'!$D$10:$CZ$161,_xlpm.r,_xlpm.c),""),
  IF(OR(_xlpm.w="",_xlpm.v=""),"",_xlpm.v*_xlpm.w)
)</f>
        <v/>
      </c>
      <c r="AL114" s="93" t="str" cm="1">
        <f t="array" ref="AL114">_xlfn.LET(
  _xlpm.w, AL$11,
  _xlpm.r, MATCH(1,('3. Enter Indicator Scores'!$B$10:$B$161=$B114)*('3. Enter Indicator Scores'!$C$10:$C$161=$C114),0),
  _xlpm.c, MATCH(AL$8,'3. Enter Indicator Scores'!$D$8:$CZ$8,0),
  _xlpm.v, IFERROR(INDEX('3. Enter Indicator Scores'!$D$10:$CZ$161,_xlpm.r,_xlpm.c),""),
  IF(OR(_xlpm.w="",_xlpm.v=""),"",_xlpm.v*_xlpm.w)
)</f>
        <v/>
      </c>
      <c r="AM114" s="93" t="str" cm="1">
        <f t="array" ref="AM114">_xlfn.LET(
  _xlpm.w, AM$11,
  _xlpm.r, MATCH(1,('3. Enter Indicator Scores'!$B$10:$B$161=$B114)*('3. Enter Indicator Scores'!$C$10:$C$161=$C114),0),
  _xlpm.c, MATCH(AM$8,'3. Enter Indicator Scores'!$D$8:$CZ$8,0),
  _xlpm.v, IFERROR(INDEX('3. Enter Indicator Scores'!$D$10:$CZ$161,_xlpm.r,_xlpm.c),""),
  IF(OR(_xlpm.w="",_xlpm.v=""),"",_xlpm.v*_xlpm.w)
)</f>
        <v/>
      </c>
      <c r="AN114" s="93" t="str" cm="1">
        <f t="array" ref="AN114">_xlfn.LET(
  _xlpm.w, AN$11,
  _xlpm.r, MATCH(1,('3. Enter Indicator Scores'!$B$10:$B$161=$B114)*('3. Enter Indicator Scores'!$C$10:$C$161=$C114),0),
  _xlpm.c, MATCH(AN$8,'3. Enter Indicator Scores'!$D$8:$CZ$8,0),
  _xlpm.v, IFERROR(INDEX('3. Enter Indicator Scores'!$D$10:$CZ$161,_xlpm.r,_xlpm.c),""),
  IF(OR(_xlpm.w="",_xlpm.v=""),"",_xlpm.v*_xlpm.w)
)</f>
        <v/>
      </c>
      <c r="AO114" s="93" t="str" cm="1">
        <f t="array" ref="AO114">_xlfn.LET(
  _xlpm.w, AO$11,
  _xlpm.r, MATCH(1,('3. Enter Indicator Scores'!$B$10:$B$161=$B114)*('3. Enter Indicator Scores'!$C$10:$C$161=$C114),0),
  _xlpm.c, MATCH(AO$8,'3. Enter Indicator Scores'!$D$8:$CZ$8,0),
  _xlpm.v, IFERROR(INDEX('3. Enter Indicator Scores'!$D$10:$CZ$161,_xlpm.r,_xlpm.c),""),
  IF(OR(_xlpm.w="",_xlpm.v=""),"",_xlpm.v*_xlpm.w)
)</f>
        <v/>
      </c>
      <c r="AP114" s="93" t="str" cm="1">
        <f t="array" ref="AP114">_xlfn.LET(
  _xlpm.w, AP$11,
  _xlpm.r, MATCH(1,('3. Enter Indicator Scores'!$B$10:$B$161=$B114)*('3. Enter Indicator Scores'!$C$10:$C$161=$C114),0),
  _xlpm.c, MATCH(AP$8,'3. Enter Indicator Scores'!$D$8:$CZ$8,0),
  _xlpm.v, IFERROR(INDEX('3. Enter Indicator Scores'!$D$10:$CZ$161,_xlpm.r,_xlpm.c),""),
  IF(OR(_xlpm.w="",_xlpm.v=""),"",_xlpm.v*_xlpm.w)
)</f>
        <v/>
      </c>
      <c r="AQ114" s="93" t="str" cm="1">
        <f t="array" ref="AQ114">_xlfn.LET(
  _xlpm.w, AQ$11,
  _xlpm.r, MATCH(1,('3. Enter Indicator Scores'!$B$10:$B$161=$B114)*('3. Enter Indicator Scores'!$C$10:$C$161=$C114),0),
  _xlpm.c, MATCH(AQ$8,'3. Enter Indicator Scores'!$D$8:$CZ$8,0),
  _xlpm.v, IFERROR(INDEX('3. Enter Indicator Scores'!$D$10:$CZ$161,_xlpm.r,_xlpm.c),""),
  IF(OR(_xlpm.w="",_xlpm.v=""),"",_xlpm.v*_xlpm.w)
)</f>
        <v/>
      </c>
      <c r="AR114" s="93" t="str" cm="1">
        <f t="array" ref="AR114">_xlfn.LET(
  _xlpm.w, AR$11,
  _xlpm.r, MATCH(1,('3. Enter Indicator Scores'!$B$10:$B$161=$B114)*('3. Enter Indicator Scores'!$C$10:$C$161=$C114),0),
  _xlpm.c, MATCH(AR$8,'3. Enter Indicator Scores'!$D$8:$CZ$8,0),
  _xlpm.v, IFERROR(INDEX('3. Enter Indicator Scores'!$D$10:$CZ$161,_xlpm.r,_xlpm.c),""),
  IF(OR(_xlpm.w="",_xlpm.v=""),"",_xlpm.v*_xlpm.w)
)</f>
        <v/>
      </c>
      <c r="AS114" s="93" t="str" cm="1">
        <f t="array" ref="AS114">_xlfn.LET(
  _xlpm.w, AS$11,
  _xlpm.r, MATCH(1,('3. Enter Indicator Scores'!$B$10:$B$161=$B114)*('3. Enter Indicator Scores'!$C$10:$C$161=$C114),0),
  _xlpm.c, MATCH(AS$8,'3. Enter Indicator Scores'!$D$8:$CZ$8,0),
  _xlpm.v, IFERROR(INDEX('3. Enter Indicator Scores'!$D$10:$CZ$161,_xlpm.r,_xlpm.c),""),
  IF(OR(_xlpm.w="",_xlpm.v=""),"",_xlpm.v*_xlpm.w)
)</f>
        <v/>
      </c>
      <c r="AT114" s="93" t="str" cm="1">
        <f t="array" ref="AT114">_xlfn.LET(
  _xlpm.w, AT$11,
  _xlpm.r, MATCH(1,('3. Enter Indicator Scores'!$B$10:$B$161=$B114)*('3. Enter Indicator Scores'!$C$10:$C$161=$C114),0),
  _xlpm.c, MATCH(AT$8,'3. Enter Indicator Scores'!$D$8:$CZ$8,0),
  _xlpm.v, IFERROR(INDEX('3. Enter Indicator Scores'!$D$10:$CZ$161,_xlpm.r,_xlpm.c),""),
  IF(OR(_xlpm.w="",_xlpm.v=""),"",_xlpm.v*_xlpm.w)
)</f>
        <v/>
      </c>
      <c r="AU114" s="93" t="str" cm="1">
        <f t="array" ref="AU114">_xlfn.LET(
  _xlpm.w, AU$11,
  _xlpm.r, MATCH(1,('3. Enter Indicator Scores'!$B$10:$B$161=$B114)*('3. Enter Indicator Scores'!$C$10:$C$161=$C114),0),
  _xlpm.c, MATCH(AU$8,'3. Enter Indicator Scores'!$D$8:$CZ$8,0),
  _xlpm.v, IFERROR(INDEX('3. Enter Indicator Scores'!$D$10:$CZ$161,_xlpm.r,_xlpm.c),""),
  IF(OR(_xlpm.w="",_xlpm.v=""),"",_xlpm.v*_xlpm.w)
)</f>
        <v/>
      </c>
      <c r="AV114" s="93" t="str" cm="1">
        <f t="array" ref="AV114">_xlfn.LET(
  _xlpm.w, AV$11,
  _xlpm.r, MATCH(1,('3. Enter Indicator Scores'!$B$10:$B$161=$B114)*('3. Enter Indicator Scores'!$C$10:$C$161=$C114),0),
  _xlpm.c, MATCH(AV$8,'3. Enter Indicator Scores'!$D$8:$CZ$8,0),
  _xlpm.v, IFERROR(INDEX('3. Enter Indicator Scores'!$D$10:$CZ$161,_xlpm.r,_xlpm.c),""),
  IF(OR(_xlpm.w="",_xlpm.v=""),"",_xlpm.v*_xlpm.w)
)</f>
        <v/>
      </c>
      <c r="AW114" s="93" t="str" cm="1">
        <f t="array" ref="AW114">_xlfn.LET(
  _xlpm.w, AW$11,
  _xlpm.r, MATCH(1,('3. Enter Indicator Scores'!$B$10:$B$161=$B114)*('3. Enter Indicator Scores'!$C$10:$C$161=$C114),0),
  _xlpm.c, MATCH(AW$8,'3. Enter Indicator Scores'!$D$8:$CZ$8,0),
  _xlpm.v, IFERROR(INDEX('3. Enter Indicator Scores'!$D$10:$CZ$161,_xlpm.r,_xlpm.c),""),
  IF(OR(_xlpm.w="",_xlpm.v=""),"",_xlpm.v*_xlpm.w)
)</f>
        <v/>
      </c>
      <c r="AX114" s="93" t="str" cm="1">
        <f t="array" ref="AX114">_xlfn.LET(
  _xlpm.w, AX$11,
  _xlpm.r, MATCH(1,('3. Enter Indicator Scores'!$B$10:$B$161=$B114)*('3. Enter Indicator Scores'!$C$10:$C$161=$C114),0),
  _xlpm.c, MATCH(AX$8,'3. Enter Indicator Scores'!$D$8:$CZ$8,0),
  _xlpm.v, IFERROR(INDEX('3. Enter Indicator Scores'!$D$10:$CZ$161,_xlpm.r,_xlpm.c),""),
  IF(OR(_xlpm.w="",_xlpm.v=""),"",_xlpm.v*_xlpm.w)
)</f>
        <v/>
      </c>
      <c r="AY114" s="93" t="str" cm="1">
        <f t="array" ref="AY114">_xlfn.LET(
  _xlpm.w, AY$11,
  _xlpm.r, MATCH(1,('3. Enter Indicator Scores'!$B$10:$B$161=$B114)*('3. Enter Indicator Scores'!$C$10:$C$161=$C114),0),
  _xlpm.c, MATCH(AY$8,'3. Enter Indicator Scores'!$D$8:$CZ$8,0),
  _xlpm.v, IFERROR(INDEX('3. Enter Indicator Scores'!$D$10:$CZ$161,_xlpm.r,_xlpm.c),""),
  IF(OR(_xlpm.w="",_xlpm.v=""),"",_xlpm.v*_xlpm.w)
)</f>
        <v/>
      </c>
      <c r="AZ114" s="93" t="str" cm="1">
        <f t="array" ref="AZ114">_xlfn.LET(
  _xlpm.w, AZ$11,
  _xlpm.r, MATCH(1,('3. Enter Indicator Scores'!$B$10:$B$161=$B114)*('3. Enter Indicator Scores'!$C$10:$C$161=$C114),0),
  _xlpm.c, MATCH(AZ$8,'3. Enter Indicator Scores'!$D$8:$CZ$8,0),
  _xlpm.v, IFERROR(INDEX('3. Enter Indicator Scores'!$D$10:$CZ$161,_xlpm.r,_xlpm.c),""),
  IF(OR(_xlpm.w="",_xlpm.v=""),"",_xlpm.v*_xlpm.w)
)</f>
        <v/>
      </c>
      <c r="BA114" s="93" t="str" cm="1">
        <f t="array" ref="BA114">_xlfn.LET(
  _xlpm.w, BA$11,
  _xlpm.r, MATCH(1,('3. Enter Indicator Scores'!$B$10:$B$161=$B114)*('3. Enter Indicator Scores'!$C$10:$C$161=$C114),0),
  _xlpm.c, MATCH(BA$8,'3. Enter Indicator Scores'!$D$8:$CZ$8,0),
  _xlpm.v, IFERROR(INDEX('3. Enter Indicator Scores'!$D$10:$CZ$161,_xlpm.r,_xlpm.c),""),
  IF(OR(_xlpm.w="",_xlpm.v=""),"",_xlpm.v*_xlpm.w)
)</f>
        <v/>
      </c>
      <c r="BB114" s="93" t="str" cm="1">
        <f t="array" ref="BB114">_xlfn.LET(
  _xlpm.w, BB$11,
  _xlpm.r, MATCH(1,('3. Enter Indicator Scores'!$B$10:$B$161=$B114)*('3. Enter Indicator Scores'!$C$10:$C$161=$C114),0),
  _xlpm.c, MATCH(BB$8,'3. Enter Indicator Scores'!$D$8:$CZ$8,0),
  _xlpm.v, IFERROR(INDEX('3. Enter Indicator Scores'!$D$10:$CZ$161,_xlpm.r,_xlpm.c),""),
  IF(OR(_xlpm.w="",_xlpm.v=""),"",_xlpm.v*_xlpm.w)
)</f>
        <v/>
      </c>
      <c r="BC114" s="93" t="str" cm="1">
        <f t="array" ref="BC114">_xlfn.LET(
  _xlpm.w, BC$11,
  _xlpm.r, MATCH(1,('3. Enter Indicator Scores'!$B$10:$B$161=$B114)*('3. Enter Indicator Scores'!$C$10:$C$161=$C114),0),
  _xlpm.c, MATCH(BC$8,'3. Enter Indicator Scores'!$D$8:$CZ$8,0),
  _xlpm.v, IFERROR(INDEX('3. Enter Indicator Scores'!$D$10:$CZ$161,_xlpm.r,_xlpm.c),""),
  IF(OR(_xlpm.w="",_xlpm.v=""),"",_xlpm.v*_xlpm.w)
)</f>
        <v/>
      </c>
      <c r="BD114" s="93" t="str" cm="1">
        <f t="array" ref="BD114">_xlfn.LET(
  _xlpm.w, BD$11,
  _xlpm.r, MATCH(1,('3. Enter Indicator Scores'!$B$10:$B$161=$B114)*('3. Enter Indicator Scores'!$C$10:$C$161=$C114),0),
  _xlpm.c, MATCH(BD$8,'3. Enter Indicator Scores'!$D$8:$CZ$8,0),
  _xlpm.v, IFERROR(INDEX('3. Enter Indicator Scores'!$D$10:$CZ$161,_xlpm.r,_xlpm.c),""),
  IF(OR(_xlpm.w="",_xlpm.v=""),"",_xlpm.v*_xlpm.w)
)</f>
        <v/>
      </c>
      <c r="BE114" s="93" t="str" cm="1">
        <f t="array" ref="BE114">_xlfn.LET(
  _xlpm.w, BE$11,
  _xlpm.r, MATCH(1,('3. Enter Indicator Scores'!$B$10:$B$161=$B114)*('3. Enter Indicator Scores'!$C$10:$C$161=$C114),0),
  _xlpm.c, MATCH(BE$8,'3. Enter Indicator Scores'!$D$8:$CZ$8,0),
  _xlpm.v, IFERROR(INDEX('3. Enter Indicator Scores'!$D$10:$CZ$161,_xlpm.r,_xlpm.c),""),
  IF(OR(_xlpm.w="",_xlpm.v=""),"",_xlpm.v*_xlpm.w)
)</f>
        <v/>
      </c>
      <c r="BF114" s="93" t="str" cm="1">
        <f t="array" ref="BF114">_xlfn.LET(
  _xlpm.w, BF$11,
  _xlpm.r, MATCH(1,('3. Enter Indicator Scores'!$B$10:$B$161=$B114)*('3. Enter Indicator Scores'!$C$10:$C$161=$C114),0),
  _xlpm.c, MATCH(BF$8,'3. Enter Indicator Scores'!$D$8:$CZ$8,0),
  _xlpm.v, IFERROR(INDEX('3. Enter Indicator Scores'!$D$10:$CZ$161,_xlpm.r,_xlpm.c),""),
  IF(OR(_xlpm.w="",_xlpm.v=""),"",_xlpm.v*_xlpm.w)
)</f>
        <v/>
      </c>
      <c r="BG114" s="93" t="str" cm="1">
        <f t="array" ref="BG114">_xlfn.LET(
  _xlpm.w, BG$11,
  _xlpm.r, MATCH(1,('3. Enter Indicator Scores'!$B$10:$B$161=$B114)*('3. Enter Indicator Scores'!$C$10:$C$161=$C114),0),
  _xlpm.c, MATCH(BG$8,'3. Enter Indicator Scores'!$D$8:$CZ$8,0),
  _xlpm.v, IFERROR(INDEX('3. Enter Indicator Scores'!$D$10:$CZ$161,_xlpm.r,_xlpm.c),""),
  IF(OR(_xlpm.w="",_xlpm.v=""),"",_xlpm.v*_xlpm.w)
)</f>
        <v/>
      </c>
      <c r="BH114" s="93" t="str" cm="1">
        <f t="array" ref="BH114">_xlfn.LET(
  _xlpm.w, BH$11,
  _xlpm.r, MATCH(1,('3. Enter Indicator Scores'!$B$10:$B$161=$B114)*('3. Enter Indicator Scores'!$C$10:$C$161=$C114),0),
  _xlpm.c, MATCH(BH$8,'3. Enter Indicator Scores'!$D$8:$CZ$8,0),
  _xlpm.v, IFERROR(INDEX('3. Enter Indicator Scores'!$D$10:$CZ$161,_xlpm.r,_xlpm.c),""),
  IF(OR(_xlpm.w="",_xlpm.v=""),"",_xlpm.v*_xlpm.w)
)</f>
        <v/>
      </c>
      <c r="BI114" s="93" t="str" cm="1">
        <f t="array" ref="BI114">_xlfn.LET(
  _xlpm.w, BI$11,
  _xlpm.r, MATCH(1,('3. Enter Indicator Scores'!$B$10:$B$161=$B114)*('3. Enter Indicator Scores'!$C$10:$C$161=$C114),0),
  _xlpm.c, MATCH(BI$8,'3. Enter Indicator Scores'!$D$8:$CZ$8,0),
  _xlpm.v, IFERROR(INDEX('3. Enter Indicator Scores'!$D$10:$CZ$161,_xlpm.r,_xlpm.c),""),
  IF(OR(_xlpm.w="",_xlpm.v=""),"",_xlpm.v*_xlpm.w)
)</f>
        <v/>
      </c>
      <c r="BJ114" s="93" t="str" cm="1">
        <f t="array" ref="BJ114">_xlfn.LET(
  _xlpm.w, BJ$11,
  _xlpm.r, MATCH(1,('3. Enter Indicator Scores'!$B$10:$B$161=$B114)*('3. Enter Indicator Scores'!$C$10:$C$161=$C114),0),
  _xlpm.c, MATCH(BJ$8,'3. Enter Indicator Scores'!$D$8:$CZ$8,0),
  _xlpm.v, IFERROR(INDEX('3. Enter Indicator Scores'!$D$10:$CZ$161,_xlpm.r,_xlpm.c),""),
  IF(OR(_xlpm.w="",_xlpm.v=""),"",_xlpm.v*_xlpm.w)
)</f>
        <v/>
      </c>
      <c r="BK114" s="93" t="str" cm="1">
        <f t="array" ref="BK114">_xlfn.LET(
  _xlpm.w, BK$11,
  _xlpm.r, MATCH(1,('3. Enter Indicator Scores'!$B$10:$B$161=$B114)*('3. Enter Indicator Scores'!$C$10:$C$161=$C114),0),
  _xlpm.c, MATCH(BK$8,'3. Enter Indicator Scores'!$D$8:$CZ$8,0),
  _xlpm.v, IFERROR(INDEX('3. Enter Indicator Scores'!$D$10:$CZ$161,_xlpm.r,_xlpm.c),""),
  IF(OR(_xlpm.w="",_xlpm.v=""),"",_xlpm.v*_xlpm.w)
)</f>
        <v/>
      </c>
      <c r="BL114" s="93" t="str" cm="1">
        <f t="array" ref="BL114">_xlfn.LET(
  _xlpm.w, BL$11,
  _xlpm.r, MATCH(1,('3. Enter Indicator Scores'!$B$10:$B$161=$B114)*('3. Enter Indicator Scores'!$C$10:$C$161=$C114),0),
  _xlpm.c, MATCH(BL$8,'3. Enter Indicator Scores'!$D$8:$CZ$8,0),
  _xlpm.v, IFERROR(INDEX('3. Enter Indicator Scores'!$D$10:$CZ$161,_xlpm.r,_xlpm.c),""),
  IF(OR(_xlpm.w="",_xlpm.v=""),"",_xlpm.v*_xlpm.w)
)</f>
        <v/>
      </c>
      <c r="BM114" s="93" t="str" cm="1">
        <f t="array" ref="BM114">_xlfn.LET(
  _xlpm.w, BM$11,
  _xlpm.r, MATCH(1,('3. Enter Indicator Scores'!$B$10:$B$161=$B114)*('3. Enter Indicator Scores'!$C$10:$C$161=$C114),0),
  _xlpm.c, MATCH(BM$8,'3. Enter Indicator Scores'!$D$8:$CZ$8,0),
  _xlpm.v, IFERROR(INDEX('3. Enter Indicator Scores'!$D$10:$CZ$161,_xlpm.r,_xlpm.c),""),
  IF(OR(_xlpm.w="",_xlpm.v=""),"",_xlpm.v*_xlpm.w)
)</f>
        <v/>
      </c>
      <c r="BN114" s="93" t="str" cm="1">
        <f t="array" ref="BN114">_xlfn.LET(
  _xlpm.w, BN$11,
  _xlpm.r, MATCH(1,('3. Enter Indicator Scores'!$B$10:$B$161=$B114)*('3. Enter Indicator Scores'!$C$10:$C$161=$C114),0),
  _xlpm.c, MATCH(BN$8,'3. Enter Indicator Scores'!$D$8:$CZ$8,0),
  _xlpm.v, IFERROR(INDEX('3. Enter Indicator Scores'!$D$10:$CZ$161,_xlpm.r,_xlpm.c),""),
  IF(OR(_xlpm.w="",_xlpm.v=""),"",_xlpm.v*_xlpm.w)
)</f>
        <v/>
      </c>
      <c r="BO114" s="93" t="str" cm="1">
        <f t="array" ref="BO114">_xlfn.LET(
  _xlpm.w, BO$11,
  _xlpm.r, MATCH(1,('3. Enter Indicator Scores'!$B$10:$B$161=$B114)*('3. Enter Indicator Scores'!$C$10:$C$161=$C114),0),
  _xlpm.c, MATCH(BO$8,'3. Enter Indicator Scores'!$D$8:$CZ$8,0),
  _xlpm.v, IFERROR(INDEX('3. Enter Indicator Scores'!$D$10:$CZ$161,_xlpm.r,_xlpm.c),""),
  IF(OR(_xlpm.w="",_xlpm.v=""),"",_xlpm.v*_xlpm.w)
)</f>
        <v/>
      </c>
      <c r="BP114" s="93" t="str" cm="1">
        <f t="array" ref="BP114">_xlfn.LET(
  _xlpm.w, BP$11,
  _xlpm.r, MATCH(1,('3. Enter Indicator Scores'!$B$10:$B$161=$B114)*('3. Enter Indicator Scores'!$C$10:$C$161=$C114),0),
  _xlpm.c, MATCH(BP$8,'3. Enter Indicator Scores'!$D$8:$CZ$8,0),
  _xlpm.v, IFERROR(INDEX('3. Enter Indicator Scores'!$D$10:$CZ$161,_xlpm.r,_xlpm.c),""),
  IF(OR(_xlpm.w="",_xlpm.v=""),"",_xlpm.v*_xlpm.w)
)</f>
        <v/>
      </c>
      <c r="BQ114" s="93" t="str" cm="1">
        <f t="array" ref="BQ114">_xlfn.LET(
  _xlpm.w, BQ$11,
  _xlpm.r, MATCH(1,('3. Enter Indicator Scores'!$B$10:$B$161=$B114)*('3. Enter Indicator Scores'!$C$10:$C$161=$C114),0),
  _xlpm.c, MATCH(BQ$8,'3. Enter Indicator Scores'!$D$8:$CZ$8,0),
  _xlpm.v, IFERROR(INDEX('3. Enter Indicator Scores'!$D$10:$CZ$161,_xlpm.r,_xlpm.c),""),
  IF(OR(_xlpm.w="",_xlpm.v=""),"",_xlpm.v*_xlpm.w)
)</f>
        <v/>
      </c>
      <c r="BR114" s="93" t="str" cm="1">
        <f t="array" ref="BR114">_xlfn.LET(
  _xlpm.w, BR$11,
  _xlpm.r, MATCH(1,('3. Enter Indicator Scores'!$B$10:$B$161=$B114)*('3. Enter Indicator Scores'!$C$10:$C$161=$C114),0),
  _xlpm.c, MATCH(BR$8,'3. Enter Indicator Scores'!$D$8:$CZ$8,0),
  _xlpm.v, IFERROR(INDEX('3. Enter Indicator Scores'!$D$10:$CZ$161,_xlpm.r,_xlpm.c),""),
  IF(OR(_xlpm.w="",_xlpm.v=""),"",_xlpm.v*_xlpm.w)
)</f>
        <v/>
      </c>
      <c r="BS114" s="93" t="str" cm="1">
        <f t="array" ref="BS114">_xlfn.LET(
  _xlpm.w, BS$11,
  _xlpm.r, MATCH(1,('3. Enter Indicator Scores'!$B$10:$B$161=$B114)*('3. Enter Indicator Scores'!$C$10:$C$161=$C114),0),
  _xlpm.c, MATCH(BS$8,'3. Enter Indicator Scores'!$D$8:$CZ$8,0),
  _xlpm.v, IFERROR(INDEX('3. Enter Indicator Scores'!$D$10:$CZ$161,_xlpm.r,_xlpm.c),""),
  IF(OR(_xlpm.w="",_xlpm.v=""),"",_xlpm.v*_xlpm.w)
)</f>
        <v/>
      </c>
      <c r="BT114" s="93" t="str" cm="1">
        <f t="array" ref="BT114">_xlfn.LET(
  _xlpm.w, BT$11,
  _xlpm.r, MATCH(1,('3. Enter Indicator Scores'!$B$10:$B$161=$B114)*('3. Enter Indicator Scores'!$C$10:$C$161=$C114),0),
  _xlpm.c, MATCH(BT$8,'3. Enter Indicator Scores'!$D$8:$CZ$8,0),
  _xlpm.v, IFERROR(INDEX('3. Enter Indicator Scores'!$D$10:$CZ$161,_xlpm.r,_xlpm.c),""),
  IF(OR(_xlpm.w="",_xlpm.v=""),"",_xlpm.v*_xlpm.w)
)</f>
        <v/>
      </c>
      <c r="BU114" s="93" t="str" cm="1">
        <f t="array" ref="BU114">_xlfn.LET(
  _xlpm.w, BU$11,
  _xlpm.r, MATCH(1,('3. Enter Indicator Scores'!$B$10:$B$161=$B114)*('3. Enter Indicator Scores'!$C$10:$C$161=$C114),0),
  _xlpm.c, MATCH(BU$8,'3. Enter Indicator Scores'!$D$8:$CZ$8,0),
  _xlpm.v, IFERROR(INDEX('3. Enter Indicator Scores'!$D$10:$CZ$161,_xlpm.r,_xlpm.c),""),
  IF(OR(_xlpm.w="",_xlpm.v=""),"",_xlpm.v*_xlpm.w)
)</f>
        <v/>
      </c>
      <c r="BV114" s="93" t="str" cm="1">
        <f t="array" ref="BV114">_xlfn.LET(
  _xlpm.w, BV$11,
  _xlpm.r, MATCH(1,('3. Enter Indicator Scores'!$B$10:$B$161=$B114)*('3. Enter Indicator Scores'!$C$10:$C$161=$C114),0),
  _xlpm.c, MATCH(BV$8,'3. Enter Indicator Scores'!$D$8:$CZ$8,0),
  _xlpm.v, IFERROR(INDEX('3. Enter Indicator Scores'!$D$10:$CZ$161,_xlpm.r,_xlpm.c),""),
  IF(OR(_xlpm.w="",_xlpm.v=""),"",_xlpm.v*_xlpm.w)
)</f>
        <v/>
      </c>
      <c r="BW114" s="93" t="str" cm="1">
        <f t="array" ref="BW114">_xlfn.LET(
  _xlpm.w, BW$11,
  _xlpm.r, MATCH(1,('3. Enter Indicator Scores'!$B$10:$B$161=$B114)*('3. Enter Indicator Scores'!$C$10:$C$161=$C114),0),
  _xlpm.c, MATCH(BW$8,'3. Enter Indicator Scores'!$D$8:$CZ$8,0),
  _xlpm.v, IFERROR(INDEX('3. Enter Indicator Scores'!$D$10:$CZ$161,_xlpm.r,_xlpm.c),""),
  IF(OR(_xlpm.w="",_xlpm.v=""),"",_xlpm.v*_xlpm.w)
)</f>
        <v/>
      </c>
      <c r="BX114" s="93" t="str" cm="1">
        <f t="array" ref="BX114">_xlfn.LET(
  _xlpm.w, BX$11,
  _xlpm.r, MATCH(1,('3. Enter Indicator Scores'!$B$10:$B$161=$B114)*('3. Enter Indicator Scores'!$C$10:$C$161=$C114),0),
  _xlpm.c, MATCH(BX$8,'3. Enter Indicator Scores'!$D$8:$CZ$8,0),
  _xlpm.v, IFERROR(INDEX('3. Enter Indicator Scores'!$D$10:$CZ$161,_xlpm.r,_xlpm.c),""),
  IF(OR(_xlpm.w="",_xlpm.v=""),"",_xlpm.v*_xlpm.w)
)</f>
        <v/>
      </c>
      <c r="BY114" s="93" t="str" cm="1">
        <f t="array" ref="BY114">_xlfn.LET(
  _xlpm.w, BY$11,
  _xlpm.r, MATCH(1,('3. Enter Indicator Scores'!$B$10:$B$161=$B114)*('3. Enter Indicator Scores'!$C$10:$C$161=$C114),0),
  _xlpm.c, MATCH(BY$8,'3. Enter Indicator Scores'!$D$8:$CZ$8,0),
  _xlpm.v, IFERROR(INDEX('3. Enter Indicator Scores'!$D$10:$CZ$161,_xlpm.r,_xlpm.c),""),
  IF(OR(_xlpm.w="",_xlpm.v=""),"",_xlpm.v*_xlpm.w)
)</f>
        <v/>
      </c>
      <c r="BZ114" s="93" t="str" cm="1">
        <f t="array" ref="BZ114">_xlfn.LET(
  _xlpm.w, BZ$11,
  _xlpm.r, MATCH(1,('3. Enter Indicator Scores'!$B$10:$B$161=$B114)*('3. Enter Indicator Scores'!$C$10:$C$161=$C114),0),
  _xlpm.c, MATCH(BZ$8,'3. Enter Indicator Scores'!$D$8:$CZ$8,0),
  _xlpm.v, IFERROR(INDEX('3. Enter Indicator Scores'!$D$10:$CZ$161,_xlpm.r,_xlpm.c),""),
  IF(OR(_xlpm.w="",_xlpm.v=""),"",_xlpm.v*_xlpm.w)
)</f>
        <v/>
      </c>
      <c r="CA114" s="93" t="str" cm="1">
        <f t="array" ref="CA114">_xlfn.LET(
  _xlpm.w, CA$11,
  _xlpm.r, MATCH(1,('3. Enter Indicator Scores'!$B$10:$B$161=$B114)*('3. Enter Indicator Scores'!$C$10:$C$161=$C114),0),
  _xlpm.c, MATCH(CA$8,'3. Enter Indicator Scores'!$D$8:$CZ$8,0),
  _xlpm.v, IFERROR(INDEX('3. Enter Indicator Scores'!$D$10:$CZ$161,_xlpm.r,_xlpm.c),""),
  IF(OR(_xlpm.w="",_xlpm.v=""),"",_xlpm.v*_xlpm.w)
)</f>
        <v/>
      </c>
      <c r="CB114" s="93" t="str" cm="1">
        <f t="array" ref="CB114">_xlfn.LET(
  _xlpm.w, CB$11,
  _xlpm.r, MATCH(1,('3. Enter Indicator Scores'!$B$10:$B$161=$B114)*('3. Enter Indicator Scores'!$C$10:$C$161=$C114),0),
  _xlpm.c, MATCH(CB$8,'3. Enter Indicator Scores'!$D$8:$CZ$8,0),
  _xlpm.v, IFERROR(INDEX('3. Enter Indicator Scores'!$D$10:$CZ$161,_xlpm.r,_xlpm.c),""),
  IF(OR(_xlpm.w="",_xlpm.v=""),"",_xlpm.v*_xlpm.w)
)</f>
        <v/>
      </c>
      <c r="CC114" s="93" t="str" cm="1">
        <f t="array" ref="CC114">_xlfn.LET(
  _xlpm.w, CC$11,
  _xlpm.r, MATCH(1,('3. Enter Indicator Scores'!$B$10:$B$161=$B114)*('3. Enter Indicator Scores'!$C$10:$C$161=$C114),0),
  _xlpm.c, MATCH(CC$8,'3. Enter Indicator Scores'!$D$8:$CZ$8,0),
  _xlpm.v, IFERROR(INDEX('3. Enter Indicator Scores'!$D$10:$CZ$161,_xlpm.r,_xlpm.c),""),
  IF(OR(_xlpm.w="",_xlpm.v=""),"",_xlpm.v*_xlpm.w)
)</f>
        <v/>
      </c>
      <c r="CD114" s="93" t="str" cm="1">
        <f t="array" ref="CD114">_xlfn.LET(
  _xlpm.w, CD$11,
  _xlpm.r, MATCH(1,('3. Enter Indicator Scores'!$B$10:$B$161=$B114)*('3. Enter Indicator Scores'!$C$10:$C$161=$C114),0),
  _xlpm.c, MATCH(CD$8,'3. Enter Indicator Scores'!$D$8:$CZ$8,0),
  _xlpm.v, IFERROR(INDEX('3. Enter Indicator Scores'!$D$10:$CZ$161,_xlpm.r,_xlpm.c),""),
  IF(OR(_xlpm.w="",_xlpm.v=""),"",_xlpm.v*_xlpm.w)
)</f>
        <v/>
      </c>
      <c r="CE114" s="93" t="str" cm="1">
        <f t="array" ref="CE114">_xlfn.LET(
  _xlpm.w, CE$11,
  _xlpm.r, MATCH(1,('3. Enter Indicator Scores'!$B$10:$B$161=$B114)*('3. Enter Indicator Scores'!$C$10:$C$161=$C114),0),
  _xlpm.c, MATCH(CE$8,'3. Enter Indicator Scores'!$D$8:$CZ$8,0),
  _xlpm.v, IFERROR(INDEX('3. Enter Indicator Scores'!$D$10:$CZ$161,_xlpm.r,_xlpm.c),""),
  IF(OR(_xlpm.w="",_xlpm.v=""),"",_xlpm.v*_xlpm.w)
)</f>
        <v/>
      </c>
      <c r="CF114" s="93" t="str" cm="1">
        <f t="array" ref="CF114">_xlfn.LET(
  _xlpm.w, CF$11,
  _xlpm.r, MATCH(1,('3. Enter Indicator Scores'!$B$10:$B$161=$B114)*('3. Enter Indicator Scores'!$C$10:$C$161=$C114),0),
  _xlpm.c, MATCH(CF$8,'3. Enter Indicator Scores'!$D$8:$CZ$8,0),
  _xlpm.v, IFERROR(INDEX('3. Enter Indicator Scores'!$D$10:$CZ$161,_xlpm.r,_xlpm.c),""),
  IF(OR(_xlpm.w="",_xlpm.v=""),"",_xlpm.v*_xlpm.w)
)</f>
        <v/>
      </c>
      <c r="CG114" s="93" t="str" cm="1">
        <f t="array" ref="CG114">_xlfn.LET(
  _xlpm.w, CG$11,
  _xlpm.r, MATCH(1,('3. Enter Indicator Scores'!$B$10:$B$161=$B114)*('3. Enter Indicator Scores'!$C$10:$C$161=$C114),0),
  _xlpm.c, MATCH(CG$8,'3. Enter Indicator Scores'!$D$8:$CZ$8,0),
  _xlpm.v, IFERROR(INDEX('3. Enter Indicator Scores'!$D$10:$CZ$161,_xlpm.r,_xlpm.c),""),
  IF(OR(_xlpm.w="",_xlpm.v=""),"",_xlpm.v*_xlpm.w)
)</f>
        <v/>
      </c>
      <c r="CH114" s="93" t="str" cm="1">
        <f t="array" ref="CH114">_xlfn.LET(
  _xlpm.w, CH$11,
  _xlpm.r, MATCH(1,('3. Enter Indicator Scores'!$B$10:$B$161=$B114)*('3. Enter Indicator Scores'!$C$10:$C$161=$C114),0),
  _xlpm.c, MATCH(CH$8,'3. Enter Indicator Scores'!$D$8:$CZ$8,0),
  _xlpm.v, IFERROR(INDEX('3. Enter Indicator Scores'!$D$10:$CZ$161,_xlpm.r,_xlpm.c),""),
  IF(OR(_xlpm.w="",_xlpm.v=""),"",_xlpm.v*_xlpm.w)
)</f>
        <v/>
      </c>
      <c r="CI114" s="93" t="str" cm="1">
        <f t="array" ref="CI114">_xlfn.LET(
  _xlpm.w, CI$11,
  _xlpm.r, MATCH(1,('3. Enter Indicator Scores'!$B$10:$B$161=$B114)*('3. Enter Indicator Scores'!$C$10:$C$161=$C114),0),
  _xlpm.c, MATCH(CI$8,'3. Enter Indicator Scores'!$D$8:$CZ$8,0),
  _xlpm.v, IFERROR(INDEX('3. Enter Indicator Scores'!$D$10:$CZ$161,_xlpm.r,_xlpm.c),""),
  IF(OR(_xlpm.w="",_xlpm.v=""),"",_xlpm.v*_xlpm.w)
)</f>
        <v/>
      </c>
      <c r="CJ114" s="93" t="str" cm="1">
        <f t="array" ref="CJ114">_xlfn.LET(
  _xlpm.w, CJ$11,
  _xlpm.r, MATCH(1,('3. Enter Indicator Scores'!$B$10:$B$161=$B114)*('3. Enter Indicator Scores'!$C$10:$C$161=$C114),0),
  _xlpm.c, MATCH(CJ$8,'3. Enter Indicator Scores'!$D$8:$CZ$8,0),
  _xlpm.v, IFERROR(INDEX('3. Enter Indicator Scores'!$D$10:$CZ$161,_xlpm.r,_xlpm.c),""),
  IF(OR(_xlpm.w="",_xlpm.v=""),"",_xlpm.v*_xlpm.w)
)</f>
        <v/>
      </c>
      <c r="CK114" s="93" t="str" cm="1">
        <f t="array" ref="CK114">_xlfn.LET(
  _xlpm.w, CK$11,
  _xlpm.r, MATCH(1,('3. Enter Indicator Scores'!$B$10:$B$161=$B114)*('3. Enter Indicator Scores'!$C$10:$C$161=$C114),0),
  _xlpm.c, MATCH(CK$8,'3. Enter Indicator Scores'!$D$8:$CZ$8,0),
  _xlpm.v, IFERROR(INDEX('3. Enter Indicator Scores'!$D$10:$CZ$161,_xlpm.r,_xlpm.c),""),
  IF(OR(_xlpm.w="",_xlpm.v=""),"",_xlpm.v*_xlpm.w)
)</f>
        <v/>
      </c>
      <c r="CL114" s="93" t="str" cm="1">
        <f t="array" ref="CL114">_xlfn.LET(
  _xlpm.w, CL$11,
  _xlpm.r, MATCH(1,('3. Enter Indicator Scores'!$B$10:$B$161=$B114)*('3. Enter Indicator Scores'!$C$10:$C$161=$C114),0),
  _xlpm.c, MATCH(CL$8,'3. Enter Indicator Scores'!$D$8:$CZ$8,0),
  _xlpm.v, IFERROR(INDEX('3. Enter Indicator Scores'!$D$10:$CZ$161,_xlpm.r,_xlpm.c),""),
  IF(OR(_xlpm.w="",_xlpm.v=""),"",_xlpm.v*_xlpm.w)
)</f>
        <v/>
      </c>
      <c r="CM114" s="93" t="str" cm="1">
        <f t="array" ref="CM114">_xlfn.LET(
  _xlpm.w, CM$11,
  _xlpm.r, MATCH(1,('3. Enter Indicator Scores'!$B$10:$B$161=$B114)*('3. Enter Indicator Scores'!$C$10:$C$161=$C114),0),
  _xlpm.c, MATCH(CM$8,'3. Enter Indicator Scores'!$D$8:$CZ$8,0),
  _xlpm.v, IFERROR(INDEX('3. Enter Indicator Scores'!$D$10:$CZ$161,_xlpm.r,_xlpm.c),""),
  IF(OR(_xlpm.w="",_xlpm.v=""),"",_xlpm.v*_xlpm.w)
)</f>
        <v/>
      </c>
      <c r="CN114" s="93" t="str" cm="1">
        <f t="array" ref="CN114">_xlfn.LET(
  _xlpm.w, CN$11,
  _xlpm.r, MATCH(1,('3. Enter Indicator Scores'!$B$10:$B$161=$B114)*('3. Enter Indicator Scores'!$C$10:$C$161=$C114),0),
  _xlpm.c, MATCH(CN$8,'3. Enter Indicator Scores'!$D$8:$CZ$8,0),
  _xlpm.v, IFERROR(INDEX('3. Enter Indicator Scores'!$D$10:$CZ$161,_xlpm.r,_xlpm.c),""),
  IF(OR(_xlpm.w="",_xlpm.v=""),"",_xlpm.v*_xlpm.w)
)</f>
        <v/>
      </c>
      <c r="CO114" s="93" t="str" cm="1">
        <f t="array" ref="CO114">_xlfn.LET(
  _xlpm.w, CO$11,
  _xlpm.r, MATCH(1,('3. Enter Indicator Scores'!$B$10:$B$161=$B114)*('3. Enter Indicator Scores'!$C$10:$C$161=$C114),0),
  _xlpm.c, MATCH(CO$8,'3. Enter Indicator Scores'!$D$8:$CZ$8,0),
  _xlpm.v, IFERROR(INDEX('3. Enter Indicator Scores'!$D$10:$CZ$161,_xlpm.r,_xlpm.c),""),
  IF(OR(_xlpm.w="",_xlpm.v=""),"",_xlpm.v*_xlpm.w)
)</f>
        <v/>
      </c>
      <c r="CP114" s="93" t="str" cm="1">
        <f t="array" ref="CP114">_xlfn.LET(
  _xlpm.w, CP$11,
  _xlpm.r, MATCH(1,('3. Enter Indicator Scores'!$B$10:$B$161=$B114)*('3. Enter Indicator Scores'!$C$10:$C$161=$C114),0),
  _xlpm.c, MATCH(CP$8,'3. Enter Indicator Scores'!$D$8:$CZ$8,0),
  _xlpm.v, IFERROR(INDEX('3. Enter Indicator Scores'!$D$10:$CZ$161,_xlpm.r,_xlpm.c),""),
  IF(OR(_xlpm.w="",_xlpm.v=""),"",_xlpm.v*_xlpm.w)
)</f>
        <v/>
      </c>
      <c r="CQ114" s="93" t="str" cm="1">
        <f t="array" ref="CQ114">_xlfn.LET(
  _xlpm.w, CQ$11,
  _xlpm.r, MATCH(1,('3. Enter Indicator Scores'!$B$10:$B$161=$B114)*('3. Enter Indicator Scores'!$C$10:$C$161=$C114),0),
  _xlpm.c, MATCH(CQ$8,'3. Enter Indicator Scores'!$D$8:$CZ$8,0),
  _xlpm.v, IFERROR(INDEX('3. Enter Indicator Scores'!$D$10:$CZ$161,_xlpm.r,_xlpm.c),""),
  IF(OR(_xlpm.w="",_xlpm.v=""),"",_xlpm.v*_xlpm.w)
)</f>
        <v/>
      </c>
      <c r="CR114" s="93" t="str" cm="1">
        <f t="array" ref="CR114">_xlfn.LET(
  _xlpm.w, CR$11,
  _xlpm.r, MATCH(1,('3. Enter Indicator Scores'!$B$10:$B$161=$B114)*('3. Enter Indicator Scores'!$C$10:$C$161=$C114),0),
  _xlpm.c, MATCH(CR$8,'3. Enter Indicator Scores'!$D$8:$CZ$8,0),
  _xlpm.v, IFERROR(INDEX('3. Enter Indicator Scores'!$D$10:$CZ$161,_xlpm.r,_xlpm.c),""),
  IF(OR(_xlpm.w="",_xlpm.v=""),"",_xlpm.v*_xlpm.w)
)</f>
        <v/>
      </c>
      <c r="CS114" s="93" t="str" cm="1">
        <f t="array" ref="CS114">_xlfn.LET(
  _xlpm.w, CS$11,
  _xlpm.r, MATCH(1,('3. Enter Indicator Scores'!$B$10:$B$161=$B114)*('3. Enter Indicator Scores'!$C$10:$C$161=$C114),0),
  _xlpm.c, MATCH(CS$8,'3. Enter Indicator Scores'!$D$8:$CZ$8,0),
  _xlpm.v, IFERROR(INDEX('3. Enter Indicator Scores'!$D$10:$CZ$161,_xlpm.r,_xlpm.c),""),
  IF(OR(_xlpm.w="",_xlpm.v=""),"",_xlpm.v*_xlpm.w)
)</f>
        <v/>
      </c>
      <c r="CT114" s="93" t="str" cm="1">
        <f t="array" ref="CT114">_xlfn.LET(
  _xlpm.w, CT$11,
  _xlpm.r, MATCH(1,('3. Enter Indicator Scores'!$B$10:$B$161=$B114)*('3. Enter Indicator Scores'!$C$10:$C$161=$C114),0),
  _xlpm.c, MATCH(CT$8,'3. Enter Indicator Scores'!$D$8:$CZ$8,0),
  _xlpm.v, IFERROR(INDEX('3. Enter Indicator Scores'!$D$10:$CZ$161,_xlpm.r,_xlpm.c),""),
  IF(OR(_xlpm.w="",_xlpm.v=""),"",_xlpm.v*_xlpm.w)
)</f>
        <v/>
      </c>
      <c r="CU114" s="93" t="str" cm="1">
        <f t="array" ref="CU114">_xlfn.LET(
  _xlpm.w, CU$11,
  _xlpm.r, MATCH(1,('3. Enter Indicator Scores'!$B$10:$B$161=$B114)*('3. Enter Indicator Scores'!$C$10:$C$161=$C114),0),
  _xlpm.c, MATCH(CU$8,'3. Enter Indicator Scores'!$D$8:$CZ$8,0),
  _xlpm.v, IFERROR(INDEX('3. Enter Indicator Scores'!$D$10:$CZ$161,_xlpm.r,_xlpm.c),""),
  IF(OR(_xlpm.w="",_xlpm.v=""),"",_xlpm.v*_xlpm.w)
)</f>
        <v/>
      </c>
      <c r="CV114" s="93" t="str" cm="1">
        <f t="array" ref="CV114">_xlfn.LET(
  _xlpm.w, CV$11,
  _xlpm.r, MATCH(1,('3. Enter Indicator Scores'!$B$10:$B$161=$B114)*('3. Enter Indicator Scores'!$C$10:$C$161=$C114),0),
  _xlpm.c, MATCH(CV$8,'3. Enter Indicator Scores'!$D$8:$CZ$8,0),
  _xlpm.v, IFERROR(INDEX('3. Enter Indicator Scores'!$D$10:$CZ$161,_xlpm.r,_xlpm.c),""),
  IF(OR(_xlpm.w="",_xlpm.v=""),"",_xlpm.v*_xlpm.w)
)</f>
        <v/>
      </c>
      <c r="CW114" s="93" t="str" cm="1">
        <f t="array" ref="CW114">_xlfn.LET(
  _xlpm.w, CW$11,
  _xlpm.r, MATCH(1,('3. Enter Indicator Scores'!$B$10:$B$161=$B114)*('3. Enter Indicator Scores'!$C$10:$C$161=$C114),0),
  _xlpm.c, MATCH(CW$8,'3. Enter Indicator Scores'!$D$8:$CZ$8,0),
  _xlpm.v, IFERROR(INDEX('3. Enter Indicator Scores'!$D$10:$CZ$161,_xlpm.r,_xlpm.c),""),
  IF(OR(_xlpm.w="",_xlpm.v=""),"",_xlpm.v*_xlpm.w)
)</f>
        <v/>
      </c>
      <c r="CX114" s="93" t="str" cm="1">
        <f t="array" ref="CX114">_xlfn.LET(
  _xlpm.w, CX$11,
  _xlpm.r, MATCH(1,('3. Enter Indicator Scores'!$B$10:$B$161=$B114)*('3. Enter Indicator Scores'!$C$10:$C$161=$C114),0),
  _xlpm.c, MATCH(CX$8,'3. Enter Indicator Scores'!$D$8:$CZ$8,0),
  _xlpm.v, IFERROR(INDEX('3. Enter Indicator Scores'!$D$10:$CZ$161,_xlpm.r,_xlpm.c),""),
  IF(OR(_xlpm.w="",_xlpm.v=""),"",_xlpm.v*_xlpm.w)
)</f>
        <v/>
      </c>
      <c r="CY114" s="93" t="str" cm="1">
        <f t="array" ref="CY114">_xlfn.LET(
  _xlpm.w, CY$11,
  _xlpm.r, MATCH(1,('3. Enter Indicator Scores'!$B$10:$B$161=$B114)*('3. Enter Indicator Scores'!$C$10:$C$161=$C114),0),
  _xlpm.c, MATCH(CY$8,'3. Enter Indicator Scores'!$D$8:$CZ$8,0),
  _xlpm.v, IFERROR(INDEX('3. Enter Indicator Scores'!$D$10:$CZ$161,_xlpm.r,_xlpm.c),""),
  IF(OR(_xlpm.w="",_xlpm.v=""),"",_xlpm.v*_xlpm.w)
)</f>
        <v/>
      </c>
      <c r="CZ114" s="93" t="str" cm="1">
        <f t="array" ref="CZ114">_xlfn.LET(
  _xlpm.w, CZ$11,
  _xlpm.r, MATCH(1,('3. Enter Indicator Scores'!$B$10:$B$161=$B114)*('3. Enter Indicator Scores'!$C$10:$C$161=$C114),0),
  _xlpm.c, MATCH(CZ$8,'3. Enter Indicator Scores'!$D$8:$CZ$8,0),
  _xlpm.v, IFERROR(INDEX('3. Enter Indicator Scores'!$D$10:$CZ$161,_xlpm.r,_xlpm.c),""),
  IF(OR(_xlpm.w="",_xlpm.v=""),"",_xlpm.v*_xlpm.w)
)</f>
        <v/>
      </c>
    </row>
    <row r="115" spans="4:104" x14ac:dyDescent="0.2">
      <c r="D115" s="93" t="str" cm="1">
        <f t="array" ref="D115">_xlfn.LET(
  _xlpm.w, D$11,
  _xlpm.r, MATCH(1,('3. Enter Indicator Scores'!$B$10:$B$161=$B115)*('3. Enter Indicator Scores'!$C$10:$C$161=$C115),0),
  _xlpm.c, MATCH(D$8,'3. Enter Indicator Scores'!$D$8:$CZ$8,0),
  _xlpm.v, IFERROR(INDEX('3. Enter Indicator Scores'!$D$10:$CZ$161,_xlpm.r,_xlpm.c),""),
  IF(OR(_xlpm.w="",_xlpm.v=""),"",_xlpm.v*_xlpm.w)
)</f>
        <v/>
      </c>
      <c r="E115" s="93" t="str" cm="1">
        <f t="array" ref="E115">_xlfn.LET(
  _xlpm.w, E$11,
  _xlpm.r, MATCH(1,('3. Enter Indicator Scores'!$B$10:$B$161=$B115)*('3. Enter Indicator Scores'!$C$10:$C$161=$C115),0),
  _xlpm.c, MATCH(E$8,'3. Enter Indicator Scores'!$D$8:$CZ$8,0),
  _xlpm.v, IFERROR(INDEX('3. Enter Indicator Scores'!$D$10:$CZ$161,_xlpm.r,_xlpm.c),""),
  IF(OR(_xlpm.w="",_xlpm.v=""),"",_xlpm.v*_xlpm.w)
)</f>
        <v/>
      </c>
      <c r="F115" s="93" t="str" cm="1">
        <f t="array" ref="F115">_xlfn.LET(
  _xlpm.w, F$11,
  _xlpm.r, MATCH(1,('3. Enter Indicator Scores'!$B$10:$B$161=$B115)*('3. Enter Indicator Scores'!$C$10:$C$161=$C115),0),
  _xlpm.c, MATCH(F$8,'3. Enter Indicator Scores'!$D$8:$CZ$8,0),
  _xlpm.v, IFERROR(INDEX('3. Enter Indicator Scores'!$D$10:$CZ$161,_xlpm.r,_xlpm.c),""),
  IF(OR(_xlpm.w="",_xlpm.v=""),"",_xlpm.v*_xlpm.w)
)</f>
        <v/>
      </c>
      <c r="G115" s="93" t="str" cm="1">
        <f t="array" ref="G115">_xlfn.LET(
  _xlpm.w, G$11,
  _xlpm.r, MATCH(1,('3. Enter Indicator Scores'!$B$10:$B$161=$B115)*('3. Enter Indicator Scores'!$C$10:$C$161=$C115),0),
  _xlpm.c, MATCH(G$8,'3. Enter Indicator Scores'!$D$8:$CZ$8,0),
  _xlpm.v, IFERROR(INDEX('3. Enter Indicator Scores'!$D$10:$CZ$161,_xlpm.r,_xlpm.c),""),
  IF(OR(_xlpm.w="",_xlpm.v=""),"",_xlpm.v*_xlpm.w)
)</f>
        <v/>
      </c>
      <c r="H115" s="93" t="str" cm="1">
        <f t="array" ref="H115">_xlfn.LET(
  _xlpm.w, H$11,
  _xlpm.r, MATCH(1,('3. Enter Indicator Scores'!$B$10:$B$161=$B115)*('3. Enter Indicator Scores'!$C$10:$C$161=$C115),0),
  _xlpm.c, MATCH(H$8,'3. Enter Indicator Scores'!$D$8:$CZ$8,0),
  _xlpm.v, IFERROR(INDEX('3. Enter Indicator Scores'!$D$10:$CZ$161,_xlpm.r,_xlpm.c),""),
  IF(OR(_xlpm.w="",_xlpm.v=""),"",_xlpm.v*_xlpm.w)
)</f>
        <v/>
      </c>
      <c r="I115" s="93" t="str" cm="1">
        <f t="array" ref="I115">_xlfn.LET(
  _xlpm.w, I$11,
  _xlpm.r, MATCH(1,('3. Enter Indicator Scores'!$B$10:$B$161=$B115)*('3. Enter Indicator Scores'!$C$10:$C$161=$C115),0),
  _xlpm.c, MATCH(I$8,'3. Enter Indicator Scores'!$D$8:$CZ$8,0),
  _xlpm.v, IFERROR(INDEX('3. Enter Indicator Scores'!$D$10:$CZ$161,_xlpm.r,_xlpm.c),""),
  IF(OR(_xlpm.w="",_xlpm.v=""),"",_xlpm.v*_xlpm.w)
)</f>
        <v/>
      </c>
      <c r="J115" s="93" t="str" cm="1">
        <f t="array" ref="J115">_xlfn.LET(
  _xlpm.w, J$11,
  _xlpm.r, MATCH(1,('3. Enter Indicator Scores'!$B$10:$B$161=$B115)*('3. Enter Indicator Scores'!$C$10:$C$161=$C115),0),
  _xlpm.c, MATCH(J$8,'3. Enter Indicator Scores'!$D$8:$CZ$8,0),
  _xlpm.v, IFERROR(INDEX('3. Enter Indicator Scores'!$D$10:$CZ$161,_xlpm.r,_xlpm.c),""),
  IF(OR(_xlpm.w="",_xlpm.v=""),"",_xlpm.v*_xlpm.w)
)</f>
        <v/>
      </c>
      <c r="K115" s="93" t="str" cm="1">
        <f t="array" ref="K115">_xlfn.LET(
  _xlpm.w, K$11,
  _xlpm.r, MATCH(1,('3. Enter Indicator Scores'!$B$10:$B$161=$B115)*('3. Enter Indicator Scores'!$C$10:$C$161=$C115),0),
  _xlpm.c, MATCH(K$8,'3. Enter Indicator Scores'!$D$8:$CZ$8,0),
  _xlpm.v, IFERROR(INDEX('3. Enter Indicator Scores'!$D$10:$CZ$161,_xlpm.r,_xlpm.c),""),
  IF(OR(_xlpm.w="",_xlpm.v=""),"",_xlpm.v*_xlpm.w)
)</f>
        <v/>
      </c>
      <c r="L115" s="93" t="str" cm="1">
        <f t="array" ref="L115">_xlfn.LET(
  _xlpm.w, L$11,
  _xlpm.r, MATCH(1,('3. Enter Indicator Scores'!$B$10:$B$161=$B115)*('3. Enter Indicator Scores'!$C$10:$C$161=$C115),0),
  _xlpm.c, MATCH(L$8,'3. Enter Indicator Scores'!$D$8:$CZ$8,0),
  _xlpm.v, IFERROR(INDEX('3. Enter Indicator Scores'!$D$10:$CZ$161,_xlpm.r,_xlpm.c),""),
  IF(OR(_xlpm.w="",_xlpm.v=""),"",_xlpm.v*_xlpm.w)
)</f>
        <v/>
      </c>
      <c r="M115" s="93" t="str" cm="1">
        <f t="array" ref="M115">_xlfn.LET(
  _xlpm.w, M$11,
  _xlpm.r, MATCH(1,('3. Enter Indicator Scores'!$B$10:$B$161=$B115)*('3. Enter Indicator Scores'!$C$10:$C$161=$C115),0),
  _xlpm.c, MATCH(M$8,'3. Enter Indicator Scores'!$D$8:$CZ$8,0),
  _xlpm.v, IFERROR(INDEX('3. Enter Indicator Scores'!$D$10:$CZ$161,_xlpm.r,_xlpm.c),""),
  IF(OR(_xlpm.w="",_xlpm.v=""),"",_xlpm.v*_xlpm.w)
)</f>
        <v/>
      </c>
      <c r="N115" s="93" t="str" cm="1">
        <f t="array" ref="N115">_xlfn.LET(
  _xlpm.w, N$11,
  _xlpm.r, MATCH(1,('3. Enter Indicator Scores'!$B$10:$B$161=$B115)*('3. Enter Indicator Scores'!$C$10:$C$161=$C115),0),
  _xlpm.c, MATCH(N$8,'3. Enter Indicator Scores'!$D$8:$CZ$8,0),
  _xlpm.v, IFERROR(INDEX('3. Enter Indicator Scores'!$D$10:$CZ$161,_xlpm.r,_xlpm.c),""),
  IF(OR(_xlpm.w="",_xlpm.v=""),"",_xlpm.v*_xlpm.w)
)</f>
        <v/>
      </c>
      <c r="O115" s="93" t="str" cm="1">
        <f t="array" ref="O115">_xlfn.LET(
  _xlpm.w, O$11,
  _xlpm.r, MATCH(1,('3. Enter Indicator Scores'!$B$10:$B$161=$B115)*('3. Enter Indicator Scores'!$C$10:$C$161=$C115),0),
  _xlpm.c, MATCH(O$8,'3. Enter Indicator Scores'!$D$8:$CZ$8,0),
  _xlpm.v, IFERROR(INDEX('3. Enter Indicator Scores'!$D$10:$CZ$161,_xlpm.r,_xlpm.c),""),
  IF(OR(_xlpm.w="",_xlpm.v=""),"",_xlpm.v*_xlpm.w)
)</f>
        <v/>
      </c>
      <c r="P115" s="93" t="str" cm="1">
        <f t="array" ref="P115">_xlfn.LET(
  _xlpm.w, P$11,
  _xlpm.r, MATCH(1,('3. Enter Indicator Scores'!$B$10:$B$161=$B115)*('3. Enter Indicator Scores'!$C$10:$C$161=$C115),0),
  _xlpm.c, MATCH(P$8,'3. Enter Indicator Scores'!$D$8:$CZ$8,0),
  _xlpm.v, IFERROR(INDEX('3. Enter Indicator Scores'!$D$10:$CZ$161,_xlpm.r,_xlpm.c),""),
  IF(OR(_xlpm.w="",_xlpm.v=""),"",_xlpm.v*_xlpm.w)
)</f>
        <v/>
      </c>
      <c r="Q115" s="93" t="str" cm="1">
        <f t="array" ref="Q115">_xlfn.LET(
  _xlpm.w, Q$11,
  _xlpm.r, MATCH(1,('3. Enter Indicator Scores'!$B$10:$B$161=$B115)*('3. Enter Indicator Scores'!$C$10:$C$161=$C115),0),
  _xlpm.c, MATCH(Q$8,'3. Enter Indicator Scores'!$D$8:$CZ$8,0),
  _xlpm.v, IFERROR(INDEX('3. Enter Indicator Scores'!$D$10:$CZ$161,_xlpm.r,_xlpm.c),""),
  IF(OR(_xlpm.w="",_xlpm.v=""),"",_xlpm.v*_xlpm.w)
)</f>
        <v/>
      </c>
      <c r="R115" s="93" t="str" cm="1">
        <f t="array" ref="R115">_xlfn.LET(
  _xlpm.w, R$11,
  _xlpm.r, MATCH(1,('3. Enter Indicator Scores'!$B$10:$B$161=$B115)*('3. Enter Indicator Scores'!$C$10:$C$161=$C115),0),
  _xlpm.c, MATCH(R$8,'3. Enter Indicator Scores'!$D$8:$CZ$8,0),
  _xlpm.v, IFERROR(INDEX('3. Enter Indicator Scores'!$D$10:$CZ$161,_xlpm.r,_xlpm.c),""),
  IF(OR(_xlpm.w="",_xlpm.v=""),"",_xlpm.v*_xlpm.w)
)</f>
        <v/>
      </c>
      <c r="S115" s="93" t="str" cm="1">
        <f t="array" ref="S115">_xlfn.LET(
  _xlpm.w, S$11,
  _xlpm.r, MATCH(1,('3. Enter Indicator Scores'!$B$10:$B$161=$B115)*('3. Enter Indicator Scores'!$C$10:$C$161=$C115),0),
  _xlpm.c, MATCH(S$8,'3. Enter Indicator Scores'!$D$8:$CZ$8,0),
  _xlpm.v, IFERROR(INDEX('3. Enter Indicator Scores'!$D$10:$CZ$161,_xlpm.r,_xlpm.c),""),
  IF(OR(_xlpm.w="",_xlpm.v=""),"",_xlpm.v*_xlpm.w)
)</f>
        <v/>
      </c>
      <c r="T115" s="93" t="str" cm="1">
        <f t="array" ref="T115">_xlfn.LET(
  _xlpm.w, T$11,
  _xlpm.r, MATCH(1,('3. Enter Indicator Scores'!$B$10:$B$161=$B115)*('3. Enter Indicator Scores'!$C$10:$C$161=$C115),0),
  _xlpm.c, MATCH(T$8,'3. Enter Indicator Scores'!$D$8:$CZ$8,0),
  _xlpm.v, IFERROR(INDEX('3. Enter Indicator Scores'!$D$10:$CZ$161,_xlpm.r,_xlpm.c),""),
  IF(OR(_xlpm.w="",_xlpm.v=""),"",_xlpm.v*_xlpm.w)
)</f>
        <v/>
      </c>
      <c r="U115" s="93" t="str" cm="1">
        <f t="array" ref="U115">_xlfn.LET(
  _xlpm.w, U$11,
  _xlpm.r, MATCH(1,('3. Enter Indicator Scores'!$B$10:$B$161=$B115)*('3. Enter Indicator Scores'!$C$10:$C$161=$C115),0),
  _xlpm.c, MATCH(U$8,'3. Enter Indicator Scores'!$D$8:$CZ$8,0),
  _xlpm.v, IFERROR(INDEX('3. Enter Indicator Scores'!$D$10:$CZ$161,_xlpm.r,_xlpm.c),""),
  IF(OR(_xlpm.w="",_xlpm.v=""),"",_xlpm.v*_xlpm.w)
)</f>
        <v/>
      </c>
      <c r="V115" s="93" t="str" cm="1">
        <f t="array" ref="V115">_xlfn.LET(
  _xlpm.w, V$11,
  _xlpm.r, MATCH(1,('3. Enter Indicator Scores'!$B$10:$B$161=$B115)*('3. Enter Indicator Scores'!$C$10:$C$161=$C115),0),
  _xlpm.c, MATCH(V$8,'3. Enter Indicator Scores'!$D$8:$CZ$8,0),
  _xlpm.v, IFERROR(INDEX('3. Enter Indicator Scores'!$D$10:$CZ$161,_xlpm.r,_xlpm.c),""),
  IF(OR(_xlpm.w="",_xlpm.v=""),"",_xlpm.v*_xlpm.w)
)</f>
        <v/>
      </c>
      <c r="W115" s="93" t="str" cm="1">
        <f t="array" ref="W115">_xlfn.LET(
  _xlpm.w, W$11,
  _xlpm.r, MATCH(1,('3. Enter Indicator Scores'!$B$10:$B$161=$B115)*('3. Enter Indicator Scores'!$C$10:$C$161=$C115),0),
  _xlpm.c, MATCH(W$8,'3. Enter Indicator Scores'!$D$8:$CZ$8,0),
  _xlpm.v, IFERROR(INDEX('3. Enter Indicator Scores'!$D$10:$CZ$161,_xlpm.r,_xlpm.c),""),
  IF(OR(_xlpm.w="",_xlpm.v=""),"",_xlpm.v*_xlpm.w)
)</f>
        <v/>
      </c>
      <c r="X115" s="93" t="str" cm="1">
        <f t="array" ref="X115">_xlfn.LET(
  _xlpm.w, X$11,
  _xlpm.r, MATCH(1,('3. Enter Indicator Scores'!$B$10:$B$161=$B115)*('3. Enter Indicator Scores'!$C$10:$C$161=$C115),0),
  _xlpm.c, MATCH(X$8,'3. Enter Indicator Scores'!$D$8:$CZ$8,0),
  _xlpm.v, IFERROR(INDEX('3. Enter Indicator Scores'!$D$10:$CZ$161,_xlpm.r,_xlpm.c),""),
  IF(OR(_xlpm.w="",_xlpm.v=""),"",_xlpm.v*_xlpm.w)
)</f>
        <v/>
      </c>
      <c r="Y115" s="93" t="str" cm="1">
        <f t="array" ref="Y115">_xlfn.LET(
  _xlpm.w, Y$11,
  _xlpm.r, MATCH(1,('3. Enter Indicator Scores'!$B$10:$B$161=$B115)*('3. Enter Indicator Scores'!$C$10:$C$161=$C115),0),
  _xlpm.c, MATCH(Y$8,'3. Enter Indicator Scores'!$D$8:$CZ$8,0),
  _xlpm.v, IFERROR(INDEX('3. Enter Indicator Scores'!$D$10:$CZ$161,_xlpm.r,_xlpm.c),""),
  IF(OR(_xlpm.w="",_xlpm.v=""),"",_xlpm.v*_xlpm.w)
)</f>
        <v/>
      </c>
      <c r="Z115" s="93" t="str" cm="1">
        <f t="array" ref="Z115">_xlfn.LET(
  _xlpm.w, Z$11,
  _xlpm.r, MATCH(1,('3. Enter Indicator Scores'!$B$10:$B$161=$B115)*('3. Enter Indicator Scores'!$C$10:$C$161=$C115),0),
  _xlpm.c, MATCH(Z$8,'3. Enter Indicator Scores'!$D$8:$CZ$8,0),
  _xlpm.v, IFERROR(INDEX('3. Enter Indicator Scores'!$D$10:$CZ$161,_xlpm.r,_xlpm.c),""),
  IF(OR(_xlpm.w="",_xlpm.v=""),"",_xlpm.v*_xlpm.w)
)</f>
        <v/>
      </c>
      <c r="AA115" s="93" t="str" cm="1">
        <f t="array" ref="AA115">_xlfn.LET(
  _xlpm.w, AA$11,
  _xlpm.r, MATCH(1,('3. Enter Indicator Scores'!$B$10:$B$161=$B115)*('3. Enter Indicator Scores'!$C$10:$C$161=$C115),0),
  _xlpm.c, MATCH(AA$8,'3. Enter Indicator Scores'!$D$8:$CZ$8,0),
  _xlpm.v, IFERROR(INDEX('3. Enter Indicator Scores'!$D$10:$CZ$161,_xlpm.r,_xlpm.c),""),
  IF(OR(_xlpm.w="",_xlpm.v=""),"",_xlpm.v*_xlpm.w)
)</f>
        <v/>
      </c>
      <c r="AB115" s="93" t="str" cm="1">
        <f t="array" ref="AB115">_xlfn.LET(
  _xlpm.w, AB$11,
  _xlpm.r, MATCH(1,('3. Enter Indicator Scores'!$B$10:$B$161=$B115)*('3. Enter Indicator Scores'!$C$10:$C$161=$C115),0),
  _xlpm.c, MATCH(AB$8,'3. Enter Indicator Scores'!$D$8:$CZ$8,0),
  _xlpm.v, IFERROR(INDEX('3. Enter Indicator Scores'!$D$10:$CZ$161,_xlpm.r,_xlpm.c),""),
  IF(OR(_xlpm.w="",_xlpm.v=""),"",_xlpm.v*_xlpm.w)
)</f>
        <v/>
      </c>
      <c r="AC115" s="93" t="str" cm="1">
        <f t="array" ref="AC115">_xlfn.LET(
  _xlpm.w, AC$11,
  _xlpm.r, MATCH(1,('3. Enter Indicator Scores'!$B$10:$B$161=$B115)*('3. Enter Indicator Scores'!$C$10:$C$161=$C115),0),
  _xlpm.c, MATCH(AC$8,'3. Enter Indicator Scores'!$D$8:$CZ$8,0),
  _xlpm.v, IFERROR(INDEX('3. Enter Indicator Scores'!$D$10:$CZ$161,_xlpm.r,_xlpm.c),""),
  IF(OR(_xlpm.w="",_xlpm.v=""),"",_xlpm.v*_xlpm.w)
)</f>
        <v/>
      </c>
      <c r="AD115" s="93" t="str" cm="1">
        <f t="array" ref="AD115">_xlfn.LET(
  _xlpm.w, AD$11,
  _xlpm.r, MATCH(1,('3. Enter Indicator Scores'!$B$10:$B$161=$B115)*('3. Enter Indicator Scores'!$C$10:$C$161=$C115),0),
  _xlpm.c, MATCH(AD$8,'3. Enter Indicator Scores'!$D$8:$CZ$8,0),
  _xlpm.v, IFERROR(INDEX('3. Enter Indicator Scores'!$D$10:$CZ$161,_xlpm.r,_xlpm.c),""),
  IF(OR(_xlpm.w="",_xlpm.v=""),"",_xlpm.v*_xlpm.w)
)</f>
        <v/>
      </c>
      <c r="AE115" s="93" t="str" cm="1">
        <f t="array" ref="AE115">_xlfn.LET(
  _xlpm.w, AE$11,
  _xlpm.r, MATCH(1,('3. Enter Indicator Scores'!$B$10:$B$161=$B115)*('3. Enter Indicator Scores'!$C$10:$C$161=$C115),0),
  _xlpm.c, MATCH(AE$8,'3. Enter Indicator Scores'!$D$8:$CZ$8,0),
  _xlpm.v, IFERROR(INDEX('3. Enter Indicator Scores'!$D$10:$CZ$161,_xlpm.r,_xlpm.c),""),
  IF(OR(_xlpm.w="",_xlpm.v=""),"",_xlpm.v*_xlpm.w)
)</f>
        <v/>
      </c>
      <c r="AF115" s="93" t="str" cm="1">
        <f t="array" ref="AF115">_xlfn.LET(
  _xlpm.w, AF$11,
  _xlpm.r, MATCH(1,('3. Enter Indicator Scores'!$B$10:$B$161=$B115)*('3. Enter Indicator Scores'!$C$10:$C$161=$C115),0),
  _xlpm.c, MATCH(AF$8,'3. Enter Indicator Scores'!$D$8:$CZ$8,0),
  _xlpm.v, IFERROR(INDEX('3. Enter Indicator Scores'!$D$10:$CZ$161,_xlpm.r,_xlpm.c),""),
  IF(OR(_xlpm.w="",_xlpm.v=""),"",_xlpm.v*_xlpm.w)
)</f>
        <v/>
      </c>
      <c r="AG115" s="93" t="str" cm="1">
        <f t="array" ref="AG115">_xlfn.LET(
  _xlpm.w, AG$11,
  _xlpm.r, MATCH(1,('3. Enter Indicator Scores'!$B$10:$B$161=$B115)*('3. Enter Indicator Scores'!$C$10:$C$161=$C115),0),
  _xlpm.c, MATCH(AG$8,'3. Enter Indicator Scores'!$D$8:$CZ$8,0),
  _xlpm.v, IFERROR(INDEX('3. Enter Indicator Scores'!$D$10:$CZ$161,_xlpm.r,_xlpm.c),""),
  IF(OR(_xlpm.w="",_xlpm.v=""),"",_xlpm.v*_xlpm.w)
)</f>
        <v/>
      </c>
      <c r="AH115" s="93" t="str" cm="1">
        <f t="array" ref="AH115">_xlfn.LET(
  _xlpm.w, AH$11,
  _xlpm.r, MATCH(1,('3. Enter Indicator Scores'!$B$10:$B$161=$B115)*('3. Enter Indicator Scores'!$C$10:$C$161=$C115),0),
  _xlpm.c, MATCH(AH$8,'3. Enter Indicator Scores'!$D$8:$CZ$8,0),
  _xlpm.v, IFERROR(INDEX('3. Enter Indicator Scores'!$D$10:$CZ$161,_xlpm.r,_xlpm.c),""),
  IF(OR(_xlpm.w="",_xlpm.v=""),"",_xlpm.v*_xlpm.w)
)</f>
        <v/>
      </c>
      <c r="AI115" s="93" t="str" cm="1">
        <f t="array" ref="AI115">_xlfn.LET(
  _xlpm.w, AI$11,
  _xlpm.r, MATCH(1,('3. Enter Indicator Scores'!$B$10:$B$161=$B115)*('3. Enter Indicator Scores'!$C$10:$C$161=$C115),0),
  _xlpm.c, MATCH(AI$8,'3. Enter Indicator Scores'!$D$8:$CZ$8,0),
  _xlpm.v, IFERROR(INDEX('3. Enter Indicator Scores'!$D$10:$CZ$161,_xlpm.r,_xlpm.c),""),
  IF(OR(_xlpm.w="",_xlpm.v=""),"",_xlpm.v*_xlpm.w)
)</f>
        <v/>
      </c>
      <c r="AJ115" s="93" t="str" cm="1">
        <f t="array" ref="AJ115">_xlfn.LET(
  _xlpm.w, AJ$11,
  _xlpm.r, MATCH(1,('3. Enter Indicator Scores'!$B$10:$B$161=$B115)*('3. Enter Indicator Scores'!$C$10:$C$161=$C115),0),
  _xlpm.c, MATCH(AJ$8,'3. Enter Indicator Scores'!$D$8:$CZ$8,0),
  _xlpm.v, IFERROR(INDEX('3. Enter Indicator Scores'!$D$10:$CZ$161,_xlpm.r,_xlpm.c),""),
  IF(OR(_xlpm.w="",_xlpm.v=""),"",_xlpm.v*_xlpm.w)
)</f>
        <v/>
      </c>
      <c r="AK115" s="93" t="str" cm="1">
        <f t="array" ref="AK115">_xlfn.LET(
  _xlpm.w, AK$11,
  _xlpm.r, MATCH(1,('3. Enter Indicator Scores'!$B$10:$B$161=$B115)*('3. Enter Indicator Scores'!$C$10:$C$161=$C115),0),
  _xlpm.c, MATCH(AK$8,'3. Enter Indicator Scores'!$D$8:$CZ$8,0),
  _xlpm.v, IFERROR(INDEX('3. Enter Indicator Scores'!$D$10:$CZ$161,_xlpm.r,_xlpm.c),""),
  IF(OR(_xlpm.w="",_xlpm.v=""),"",_xlpm.v*_xlpm.w)
)</f>
        <v/>
      </c>
      <c r="AL115" s="93" t="str" cm="1">
        <f t="array" ref="AL115">_xlfn.LET(
  _xlpm.w, AL$11,
  _xlpm.r, MATCH(1,('3. Enter Indicator Scores'!$B$10:$B$161=$B115)*('3. Enter Indicator Scores'!$C$10:$C$161=$C115),0),
  _xlpm.c, MATCH(AL$8,'3. Enter Indicator Scores'!$D$8:$CZ$8,0),
  _xlpm.v, IFERROR(INDEX('3. Enter Indicator Scores'!$D$10:$CZ$161,_xlpm.r,_xlpm.c),""),
  IF(OR(_xlpm.w="",_xlpm.v=""),"",_xlpm.v*_xlpm.w)
)</f>
        <v/>
      </c>
      <c r="AM115" s="93" t="str" cm="1">
        <f t="array" ref="AM115">_xlfn.LET(
  _xlpm.w, AM$11,
  _xlpm.r, MATCH(1,('3. Enter Indicator Scores'!$B$10:$B$161=$B115)*('3. Enter Indicator Scores'!$C$10:$C$161=$C115),0),
  _xlpm.c, MATCH(AM$8,'3. Enter Indicator Scores'!$D$8:$CZ$8,0),
  _xlpm.v, IFERROR(INDEX('3. Enter Indicator Scores'!$D$10:$CZ$161,_xlpm.r,_xlpm.c),""),
  IF(OR(_xlpm.w="",_xlpm.v=""),"",_xlpm.v*_xlpm.w)
)</f>
        <v/>
      </c>
      <c r="AN115" s="93" t="str" cm="1">
        <f t="array" ref="AN115">_xlfn.LET(
  _xlpm.w, AN$11,
  _xlpm.r, MATCH(1,('3. Enter Indicator Scores'!$B$10:$B$161=$B115)*('3. Enter Indicator Scores'!$C$10:$C$161=$C115),0),
  _xlpm.c, MATCH(AN$8,'3. Enter Indicator Scores'!$D$8:$CZ$8,0),
  _xlpm.v, IFERROR(INDEX('3. Enter Indicator Scores'!$D$10:$CZ$161,_xlpm.r,_xlpm.c),""),
  IF(OR(_xlpm.w="",_xlpm.v=""),"",_xlpm.v*_xlpm.w)
)</f>
        <v/>
      </c>
      <c r="AO115" s="93" t="str" cm="1">
        <f t="array" ref="AO115">_xlfn.LET(
  _xlpm.w, AO$11,
  _xlpm.r, MATCH(1,('3. Enter Indicator Scores'!$B$10:$B$161=$B115)*('3. Enter Indicator Scores'!$C$10:$C$161=$C115),0),
  _xlpm.c, MATCH(AO$8,'3. Enter Indicator Scores'!$D$8:$CZ$8,0),
  _xlpm.v, IFERROR(INDEX('3. Enter Indicator Scores'!$D$10:$CZ$161,_xlpm.r,_xlpm.c),""),
  IF(OR(_xlpm.w="",_xlpm.v=""),"",_xlpm.v*_xlpm.w)
)</f>
        <v/>
      </c>
      <c r="AP115" s="93" t="str" cm="1">
        <f t="array" ref="AP115">_xlfn.LET(
  _xlpm.w, AP$11,
  _xlpm.r, MATCH(1,('3. Enter Indicator Scores'!$B$10:$B$161=$B115)*('3. Enter Indicator Scores'!$C$10:$C$161=$C115),0),
  _xlpm.c, MATCH(AP$8,'3. Enter Indicator Scores'!$D$8:$CZ$8,0),
  _xlpm.v, IFERROR(INDEX('3. Enter Indicator Scores'!$D$10:$CZ$161,_xlpm.r,_xlpm.c),""),
  IF(OR(_xlpm.w="",_xlpm.v=""),"",_xlpm.v*_xlpm.w)
)</f>
        <v/>
      </c>
      <c r="AQ115" s="93" t="str" cm="1">
        <f t="array" ref="AQ115">_xlfn.LET(
  _xlpm.w, AQ$11,
  _xlpm.r, MATCH(1,('3. Enter Indicator Scores'!$B$10:$B$161=$B115)*('3. Enter Indicator Scores'!$C$10:$C$161=$C115),0),
  _xlpm.c, MATCH(AQ$8,'3. Enter Indicator Scores'!$D$8:$CZ$8,0),
  _xlpm.v, IFERROR(INDEX('3. Enter Indicator Scores'!$D$10:$CZ$161,_xlpm.r,_xlpm.c),""),
  IF(OR(_xlpm.w="",_xlpm.v=""),"",_xlpm.v*_xlpm.w)
)</f>
        <v/>
      </c>
      <c r="AR115" s="93" t="str" cm="1">
        <f t="array" ref="AR115">_xlfn.LET(
  _xlpm.w, AR$11,
  _xlpm.r, MATCH(1,('3. Enter Indicator Scores'!$B$10:$B$161=$B115)*('3. Enter Indicator Scores'!$C$10:$C$161=$C115),0),
  _xlpm.c, MATCH(AR$8,'3. Enter Indicator Scores'!$D$8:$CZ$8,0),
  _xlpm.v, IFERROR(INDEX('3. Enter Indicator Scores'!$D$10:$CZ$161,_xlpm.r,_xlpm.c),""),
  IF(OR(_xlpm.w="",_xlpm.v=""),"",_xlpm.v*_xlpm.w)
)</f>
        <v/>
      </c>
      <c r="AS115" s="93" t="str" cm="1">
        <f t="array" ref="AS115">_xlfn.LET(
  _xlpm.w, AS$11,
  _xlpm.r, MATCH(1,('3. Enter Indicator Scores'!$B$10:$B$161=$B115)*('3. Enter Indicator Scores'!$C$10:$C$161=$C115),0),
  _xlpm.c, MATCH(AS$8,'3. Enter Indicator Scores'!$D$8:$CZ$8,0),
  _xlpm.v, IFERROR(INDEX('3. Enter Indicator Scores'!$D$10:$CZ$161,_xlpm.r,_xlpm.c),""),
  IF(OR(_xlpm.w="",_xlpm.v=""),"",_xlpm.v*_xlpm.w)
)</f>
        <v/>
      </c>
      <c r="AT115" s="93" t="str" cm="1">
        <f t="array" ref="AT115">_xlfn.LET(
  _xlpm.w, AT$11,
  _xlpm.r, MATCH(1,('3. Enter Indicator Scores'!$B$10:$B$161=$B115)*('3. Enter Indicator Scores'!$C$10:$C$161=$C115),0),
  _xlpm.c, MATCH(AT$8,'3. Enter Indicator Scores'!$D$8:$CZ$8,0),
  _xlpm.v, IFERROR(INDEX('3. Enter Indicator Scores'!$D$10:$CZ$161,_xlpm.r,_xlpm.c),""),
  IF(OR(_xlpm.w="",_xlpm.v=""),"",_xlpm.v*_xlpm.w)
)</f>
        <v/>
      </c>
      <c r="AU115" s="93" t="str" cm="1">
        <f t="array" ref="AU115">_xlfn.LET(
  _xlpm.w, AU$11,
  _xlpm.r, MATCH(1,('3. Enter Indicator Scores'!$B$10:$B$161=$B115)*('3. Enter Indicator Scores'!$C$10:$C$161=$C115),0),
  _xlpm.c, MATCH(AU$8,'3. Enter Indicator Scores'!$D$8:$CZ$8,0),
  _xlpm.v, IFERROR(INDEX('3. Enter Indicator Scores'!$D$10:$CZ$161,_xlpm.r,_xlpm.c),""),
  IF(OR(_xlpm.w="",_xlpm.v=""),"",_xlpm.v*_xlpm.w)
)</f>
        <v/>
      </c>
      <c r="AV115" s="93" t="str" cm="1">
        <f t="array" ref="AV115">_xlfn.LET(
  _xlpm.w, AV$11,
  _xlpm.r, MATCH(1,('3. Enter Indicator Scores'!$B$10:$B$161=$B115)*('3. Enter Indicator Scores'!$C$10:$C$161=$C115),0),
  _xlpm.c, MATCH(AV$8,'3. Enter Indicator Scores'!$D$8:$CZ$8,0),
  _xlpm.v, IFERROR(INDEX('3. Enter Indicator Scores'!$D$10:$CZ$161,_xlpm.r,_xlpm.c),""),
  IF(OR(_xlpm.w="",_xlpm.v=""),"",_xlpm.v*_xlpm.w)
)</f>
        <v/>
      </c>
      <c r="AW115" s="93" t="str" cm="1">
        <f t="array" ref="AW115">_xlfn.LET(
  _xlpm.w, AW$11,
  _xlpm.r, MATCH(1,('3. Enter Indicator Scores'!$B$10:$B$161=$B115)*('3. Enter Indicator Scores'!$C$10:$C$161=$C115),0),
  _xlpm.c, MATCH(AW$8,'3. Enter Indicator Scores'!$D$8:$CZ$8,0),
  _xlpm.v, IFERROR(INDEX('3. Enter Indicator Scores'!$D$10:$CZ$161,_xlpm.r,_xlpm.c),""),
  IF(OR(_xlpm.w="",_xlpm.v=""),"",_xlpm.v*_xlpm.w)
)</f>
        <v/>
      </c>
      <c r="AX115" s="93" t="str" cm="1">
        <f t="array" ref="AX115">_xlfn.LET(
  _xlpm.w, AX$11,
  _xlpm.r, MATCH(1,('3. Enter Indicator Scores'!$B$10:$B$161=$B115)*('3. Enter Indicator Scores'!$C$10:$C$161=$C115),0),
  _xlpm.c, MATCH(AX$8,'3. Enter Indicator Scores'!$D$8:$CZ$8,0),
  _xlpm.v, IFERROR(INDEX('3. Enter Indicator Scores'!$D$10:$CZ$161,_xlpm.r,_xlpm.c),""),
  IF(OR(_xlpm.w="",_xlpm.v=""),"",_xlpm.v*_xlpm.w)
)</f>
        <v/>
      </c>
      <c r="AY115" s="93" t="str" cm="1">
        <f t="array" ref="AY115">_xlfn.LET(
  _xlpm.w, AY$11,
  _xlpm.r, MATCH(1,('3. Enter Indicator Scores'!$B$10:$B$161=$B115)*('3. Enter Indicator Scores'!$C$10:$C$161=$C115),0),
  _xlpm.c, MATCH(AY$8,'3. Enter Indicator Scores'!$D$8:$CZ$8,0),
  _xlpm.v, IFERROR(INDEX('3. Enter Indicator Scores'!$D$10:$CZ$161,_xlpm.r,_xlpm.c),""),
  IF(OR(_xlpm.w="",_xlpm.v=""),"",_xlpm.v*_xlpm.w)
)</f>
        <v/>
      </c>
      <c r="AZ115" s="93" t="str" cm="1">
        <f t="array" ref="AZ115">_xlfn.LET(
  _xlpm.w, AZ$11,
  _xlpm.r, MATCH(1,('3. Enter Indicator Scores'!$B$10:$B$161=$B115)*('3. Enter Indicator Scores'!$C$10:$C$161=$C115),0),
  _xlpm.c, MATCH(AZ$8,'3. Enter Indicator Scores'!$D$8:$CZ$8,0),
  _xlpm.v, IFERROR(INDEX('3. Enter Indicator Scores'!$D$10:$CZ$161,_xlpm.r,_xlpm.c),""),
  IF(OR(_xlpm.w="",_xlpm.v=""),"",_xlpm.v*_xlpm.w)
)</f>
        <v/>
      </c>
      <c r="BA115" s="93" t="str" cm="1">
        <f t="array" ref="BA115">_xlfn.LET(
  _xlpm.w, BA$11,
  _xlpm.r, MATCH(1,('3. Enter Indicator Scores'!$B$10:$B$161=$B115)*('3. Enter Indicator Scores'!$C$10:$C$161=$C115),0),
  _xlpm.c, MATCH(BA$8,'3. Enter Indicator Scores'!$D$8:$CZ$8,0),
  _xlpm.v, IFERROR(INDEX('3. Enter Indicator Scores'!$D$10:$CZ$161,_xlpm.r,_xlpm.c),""),
  IF(OR(_xlpm.w="",_xlpm.v=""),"",_xlpm.v*_xlpm.w)
)</f>
        <v/>
      </c>
      <c r="BB115" s="93" t="str" cm="1">
        <f t="array" ref="BB115">_xlfn.LET(
  _xlpm.w, BB$11,
  _xlpm.r, MATCH(1,('3. Enter Indicator Scores'!$B$10:$B$161=$B115)*('3. Enter Indicator Scores'!$C$10:$C$161=$C115),0),
  _xlpm.c, MATCH(BB$8,'3. Enter Indicator Scores'!$D$8:$CZ$8,0),
  _xlpm.v, IFERROR(INDEX('3. Enter Indicator Scores'!$D$10:$CZ$161,_xlpm.r,_xlpm.c),""),
  IF(OR(_xlpm.w="",_xlpm.v=""),"",_xlpm.v*_xlpm.w)
)</f>
        <v/>
      </c>
      <c r="BC115" s="93" t="str" cm="1">
        <f t="array" ref="BC115">_xlfn.LET(
  _xlpm.w, BC$11,
  _xlpm.r, MATCH(1,('3. Enter Indicator Scores'!$B$10:$B$161=$B115)*('3. Enter Indicator Scores'!$C$10:$C$161=$C115),0),
  _xlpm.c, MATCH(BC$8,'3. Enter Indicator Scores'!$D$8:$CZ$8,0),
  _xlpm.v, IFERROR(INDEX('3. Enter Indicator Scores'!$D$10:$CZ$161,_xlpm.r,_xlpm.c),""),
  IF(OR(_xlpm.w="",_xlpm.v=""),"",_xlpm.v*_xlpm.w)
)</f>
        <v/>
      </c>
      <c r="BD115" s="93" t="str" cm="1">
        <f t="array" ref="BD115">_xlfn.LET(
  _xlpm.w, BD$11,
  _xlpm.r, MATCH(1,('3. Enter Indicator Scores'!$B$10:$B$161=$B115)*('3. Enter Indicator Scores'!$C$10:$C$161=$C115),0),
  _xlpm.c, MATCH(BD$8,'3. Enter Indicator Scores'!$D$8:$CZ$8,0),
  _xlpm.v, IFERROR(INDEX('3. Enter Indicator Scores'!$D$10:$CZ$161,_xlpm.r,_xlpm.c),""),
  IF(OR(_xlpm.w="",_xlpm.v=""),"",_xlpm.v*_xlpm.w)
)</f>
        <v/>
      </c>
      <c r="BE115" s="93" t="str" cm="1">
        <f t="array" ref="BE115">_xlfn.LET(
  _xlpm.w, BE$11,
  _xlpm.r, MATCH(1,('3. Enter Indicator Scores'!$B$10:$B$161=$B115)*('3. Enter Indicator Scores'!$C$10:$C$161=$C115),0),
  _xlpm.c, MATCH(BE$8,'3. Enter Indicator Scores'!$D$8:$CZ$8,0),
  _xlpm.v, IFERROR(INDEX('3. Enter Indicator Scores'!$D$10:$CZ$161,_xlpm.r,_xlpm.c),""),
  IF(OR(_xlpm.w="",_xlpm.v=""),"",_xlpm.v*_xlpm.w)
)</f>
        <v/>
      </c>
      <c r="BF115" s="93" t="str" cm="1">
        <f t="array" ref="BF115">_xlfn.LET(
  _xlpm.w, BF$11,
  _xlpm.r, MATCH(1,('3. Enter Indicator Scores'!$B$10:$B$161=$B115)*('3. Enter Indicator Scores'!$C$10:$C$161=$C115),0),
  _xlpm.c, MATCH(BF$8,'3. Enter Indicator Scores'!$D$8:$CZ$8,0),
  _xlpm.v, IFERROR(INDEX('3. Enter Indicator Scores'!$D$10:$CZ$161,_xlpm.r,_xlpm.c),""),
  IF(OR(_xlpm.w="",_xlpm.v=""),"",_xlpm.v*_xlpm.w)
)</f>
        <v/>
      </c>
      <c r="BG115" s="93" t="str" cm="1">
        <f t="array" ref="BG115">_xlfn.LET(
  _xlpm.w, BG$11,
  _xlpm.r, MATCH(1,('3. Enter Indicator Scores'!$B$10:$B$161=$B115)*('3. Enter Indicator Scores'!$C$10:$C$161=$C115),0),
  _xlpm.c, MATCH(BG$8,'3. Enter Indicator Scores'!$D$8:$CZ$8,0),
  _xlpm.v, IFERROR(INDEX('3. Enter Indicator Scores'!$D$10:$CZ$161,_xlpm.r,_xlpm.c),""),
  IF(OR(_xlpm.w="",_xlpm.v=""),"",_xlpm.v*_xlpm.w)
)</f>
        <v/>
      </c>
      <c r="BH115" s="93" t="str" cm="1">
        <f t="array" ref="BH115">_xlfn.LET(
  _xlpm.w, BH$11,
  _xlpm.r, MATCH(1,('3. Enter Indicator Scores'!$B$10:$B$161=$B115)*('3. Enter Indicator Scores'!$C$10:$C$161=$C115),0),
  _xlpm.c, MATCH(BH$8,'3. Enter Indicator Scores'!$D$8:$CZ$8,0),
  _xlpm.v, IFERROR(INDEX('3. Enter Indicator Scores'!$D$10:$CZ$161,_xlpm.r,_xlpm.c),""),
  IF(OR(_xlpm.w="",_xlpm.v=""),"",_xlpm.v*_xlpm.w)
)</f>
        <v/>
      </c>
      <c r="BI115" s="93" t="str" cm="1">
        <f t="array" ref="BI115">_xlfn.LET(
  _xlpm.w, BI$11,
  _xlpm.r, MATCH(1,('3. Enter Indicator Scores'!$B$10:$B$161=$B115)*('3. Enter Indicator Scores'!$C$10:$C$161=$C115),0),
  _xlpm.c, MATCH(BI$8,'3. Enter Indicator Scores'!$D$8:$CZ$8,0),
  _xlpm.v, IFERROR(INDEX('3. Enter Indicator Scores'!$D$10:$CZ$161,_xlpm.r,_xlpm.c),""),
  IF(OR(_xlpm.w="",_xlpm.v=""),"",_xlpm.v*_xlpm.w)
)</f>
        <v/>
      </c>
      <c r="BJ115" s="93" t="str" cm="1">
        <f t="array" ref="BJ115">_xlfn.LET(
  _xlpm.w, BJ$11,
  _xlpm.r, MATCH(1,('3. Enter Indicator Scores'!$B$10:$B$161=$B115)*('3. Enter Indicator Scores'!$C$10:$C$161=$C115),0),
  _xlpm.c, MATCH(BJ$8,'3. Enter Indicator Scores'!$D$8:$CZ$8,0),
  _xlpm.v, IFERROR(INDEX('3. Enter Indicator Scores'!$D$10:$CZ$161,_xlpm.r,_xlpm.c),""),
  IF(OR(_xlpm.w="",_xlpm.v=""),"",_xlpm.v*_xlpm.w)
)</f>
        <v/>
      </c>
      <c r="BK115" s="93" t="str" cm="1">
        <f t="array" ref="BK115">_xlfn.LET(
  _xlpm.w, BK$11,
  _xlpm.r, MATCH(1,('3. Enter Indicator Scores'!$B$10:$B$161=$B115)*('3. Enter Indicator Scores'!$C$10:$C$161=$C115),0),
  _xlpm.c, MATCH(BK$8,'3. Enter Indicator Scores'!$D$8:$CZ$8,0),
  _xlpm.v, IFERROR(INDEX('3. Enter Indicator Scores'!$D$10:$CZ$161,_xlpm.r,_xlpm.c),""),
  IF(OR(_xlpm.w="",_xlpm.v=""),"",_xlpm.v*_xlpm.w)
)</f>
        <v/>
      </c>
      <c r="BL115" s="93" t="str" cm="1">
        <f t="array" ref="BL115">_xlfn.LET(
  _xlpm.w, BL$11,
  _xlpm.r, MATCH(1,('3. Enter Indicator Scores'!$B$10:$B$161=$B115)*('3. Enter Indicator Scores'!$C$10:$C$161=$C115),0),
  _xlpm.c, MATCH(BL$8,'3. Enter Indicator Scores'!$D$8:$CZ$8,0),
  _xlpm.v, IFERROR(INDEX('3. Enter Indicator Scores'!$D$10:$CZ$161,_xlpm.r,_xlpm.c),""),
  IF(OR(_xlpm.w="",_xlpm.v=""),"",_xlpm.v*_xlpm.w)
)</f>
        <v/>
      </c>
      <c r="BM115" s="93" t="str" cm="1">
        <f t="array" ref="BM115">_xlfn.LET(
  _xlpm.w, BM$11,
  _xlpm.r, MATCH(1,('3. Enter Indicator Scores'!$B$10:$B$161=$B115)*('3. Enter Indicator Scores'!$C$10:$C$161=$C115),0),
  _xlpm.c, MATCH(BM$8,'3. Enter Indicator Scores'!$D$8:$CZ$8,0),
  _xlpm.v, IFERROR(INDEX('3. Enter Indicator Scores'!$D$10:$CZ$161,_xlpm.r,_xlpm.c),""),
  IF(OR(_xlpm.w="",_xlpm.v=""),"",_xlpm.v*_xlpm.w)
)</f>
        <v/>
      </c>
      <c r="BN115" s="93" t="str" cm="1">
        <f t="array" ref="BN115">_xlfn.LET(
  _xlpm.w, BN$11,
  _xlpm.r, MATCH(1,('3. Enter Indicator Scores'!$B$10:$B$161=$B115)*('3. Enter Indicator Scores'!$C$10:$C$161=$C115),0),
  _xlpm.c, MATCH(BN$8,'3. Enter Indicator Scores'!$D$8:$CZ$8,0),
  _xlpm.v, IFERROR(INDEX('3. Enter Indicator Scores'!$D$10:$CZ$161,_xlpm.r,_xlpm.c),""),
  IF(OR(_xlpm.w="",_xlpm.v=""),"",_xlpm.v*_xlpm.w)
)</f>
        <v/>
      </c>
      <c r="BO115" s="93" t="str" cm="1">
        <f t="array" ref="BO115">_xlfn.LET(
  _xlpm.w, BO$11,
  _xlpm.r, MATCH(1,('3. Enter Indicator Scores'!$B$10:$B$161=$B115)*('3. Enter Indicator Scores'!$C$10:$C$161=$C115),0),
  _xlpm.c, MATCH(BO$8,'3. Enter Indicator Scores'!$D$8:$CZ$8,0),
  _xlpm.v, IFERROR(INDEX('3. Enter Indicator Scores'!$D$10:$CZ$161,_xlpm.r,_xlpm.c),""),
  IF(OR(_xlpm.w="",_xlpm.v=""),"",_xlpm.v*_xlpm.w)
)</f>
        <v/>
      </c>
      <c r="BP115" s="93" t="str" cm="1">
        <f t="array" ref="BP115">_xlfn.LET(
  _xlpm.w, BP$11,
  _xlpm.r, MATCH(1,('3. Enter Indicator Scores'!$B$10:$B$161=$B115)*('3. Enter Indicator Scores'!$C$10:$C$161=$C115),0),
  _xlpm.c, MATCH(BP$8,'3. Enter Indicator Scores'!$D$8:$CZ$8,0),
  _xlpm.v, IFERROR(INDEX('3. Enter Indicator Scores'!$D$10:$CZ$161,_xlpm.r,_xlpm.c),""),
  IF(OR(_xlpm.w="",_xlpm.v=""),"",_xlpm.v*_xlpm.w)
)</f>
        <v/>
      </c>
      <c r="BQ115" s="93" t="str" cm="1">
        <f t="array" ref="BQ115">_xlfn.LET(
  _xlpm.w, BQ$11,
  _xlpm.r, MATCH(1,('3. Enter Indicator Scores'!$B$10:$B$161=$B115)*('3. Enter Indicator Scores'!$C$10:$C$161=$C115),0),
  _xlpm.c, MATCH(BQ$8,'3. Enter Indicator Scores'!$D$8:$CZ$8,0),
  _xlpm.v, IFERROR(INDEX('3. Enter Indicator Scores'!$D$10:$CZ$161,_xlpm.r,_xlpm.c),""),
  IF(OR(_xlpm.w="",_xlpm.v=""),"",_xlpm.v*_xlpm.w)
)</f>
        <v/>
      </c>
      <c r="BR115" s="93" t="str" cm="1">
        <f t="array" ref="BR115">_xlfn.LET(
  _xlpm.w, BR$11,
  _xlpm.r, MATCH(1,('3. Enter Indicator Scores'!$B$10:$B$161=$B115)*('3. Enter Indicator Scores'!$C$10:$C$161=$C115),0),
  _xlpm.c, MATCH(BR$8,'3. Enter Indicator Scores'!$D$8:$CZ$8,0),
  _xlpm.v, IFERROR(INDEX('3. Enter Indicator Scores'!$D$10:$CZ$161,_xlpm.r,_xlpm.c),""),
  IF(OR(_xlpm.w="",_xlpm.v=""),"",_xlpm.v*_xlpm.w)
)</f>
        <v/>
      </c>
      <c r="BS115" s="93" t="str" cm="1">
        <f t="array" ref="BS115">_xlfn.LET(
  _xlpm.w, BS$11,
  _xlpm.r, MATCH(1,('3. Enter Indicator Scores'!$B$10:$B$161=$B115)*('3. Enter Indicator Scores'!$C$10:$C$161=$C115),0),
  _xlpm.c, MATCH(BS$8,'3. Enter Indicator Scores'!$D$8:$CZ$8,0),
  _xlpm.v, IFERROR(INDEX('3. Enter Indicator Scores'!$D$10:$CZ$161,_xlpm.r,_xlpm.c),""),
  IF(OR(_xlpm.w="",_xlpm.v=""),"",_xlpm.v*_xlpm.w)
)</f>
        <v/>
      </c>
      <c r="BT115" s="93" t="str" cm="1">
        <f t="array" ref="BT115">_xlfn.LET(
  _xlpm.w, BT$11,
  _xlpm.r, MATCH(1,('3. Enter Indicator Scores'!$B$10:$B$161=$B115)*('3. Enter Indicator Scores'!$C$10:$C$161=$C115),0),
  _xlpm.c, MATCH(BT$8,'3. Enter Indicator Scores'!$D$8:$CZ$8,0),
  _xlpm.v, IFERROR(INDEX('3. Enter Indicator Scores'!$D$10:$CZ$161,_xlpm.r,_xlpm.c),""),
  IF(OR(_xlpm.w="",_xlpm.v=""),"",_xlpm.v*_xlpm.w)
)</f>
        <v/>
      </c>
      <c r="BU115" s="93" t="str" cm="1">
        <f t="array" ref="BU115">_xlfn.LET(
  _xlpm.w, BU$11,
  _xlpm.r, MATCH(1,('3. Enter Indicator Scores'!$B$10:$B$161=$B115)*('3. Enter Indicator Scores'!$C$10:$C$161=$C115),0),
  _xlpm.c, MATCH(BU$8,'3. Enter Indicator Scores'!$D$8:$CZ$8,0),
  _xlpm.v, IFERROR(INDEX('3. Enter Indicator Scores'!$D$10:$CZ$161,_xlpm.r,_xlpm.c),""),
  IF(OR(_xlpm.w="",_xlpm.v=""),"",_xlpm.v*_xlpm.w)
)</f>
        <v/>
      </c>
      <c r="BV115" s="93" t="str" cm="1">
        <f t="array" ref="BV115">_xlfn.LET(
  _xlpm.w, BV$11,
  _xlpm.r, MATCH(1,('3. Enter Indicator Scores'!$B$10:$B$161=$B115)*('3. Enter Indicator Scores'!$C$10:$C$161=$C115),0),
  _xlpm.c, MATCH(BV$8,'3. Enter Indicator Scores'!$D$8:$CZ$8,0),
  _xlpm.v, IFERROR(INDEX('3. Enter Indicator Scores'!$D$10:$CZ$161,_xlpm.r,_xlpm.c),""),
  IF(OR(_xlpm.w="",_xlpm.v=""),"",_xlpm.v*_xlpm.w)
)</f>
        <v/>
      </c>
      <c r="BW115" s="93" t="str" cm="1">
        <f t="array" ref="BW115">_xlfn.LET(
  _xlpm.w, BW$11,
  _xlpm.r, MATCH(1,('3. Enter Indicator Scores'!$B$10:$B$161=$B115)*('3. Enter Indicator Scores'!$C$10:$C$161=$C115),0),
  _xlpm.c, MATCH(BW$8,'3. Enter Indicator Scores'!$D$8:$CZ$8,0),
  _xlpm.v, IFERROR(INDEX('3. Enter Indicator Scores'!$D$10:$CZ$161,_xlpm.r,_xlpm.c),""),
  IF(OR(_xlpm.w="",_xlpm.v=""),"",_xlpm.v*_xlpm.w)
)</f>
        <v/>
      </c>
      <c r="BX115" s="93" t="str" cm="1">
        <f t="array" ref="BX115">_xlfn.LET(
  _xlpm.w, BX$11,
  _xlpm.r, MATCH(1,('3. Enter Indicator Scores'!$B$10:$B$161=$B115)*('3. Enter Indicator Scores'!$C$10:$C$161=$C115),0),
  _xlpm.c, MATCH(BX$8,'3. Enter Indicator Scores'!$D$8:$CZ$8,0),
  _xlpm.v, IFERROR(INDEX('3. Enter Indicator Scores'!$D$10:$CZ$161,_xlpm.r,_xlpm.c),""),
  IF(OR(_xlpm.w="",_xlpm.v=""),"",_xlpm.v*_xlpm.w)
)</f>
        <v/>
      </c>
      <c r="BY115" s="93" t="str" cm="1">
        <f t="array" ref="BY115">_xlfn.LET(
  _xlpm.w, BY$11,
  _xlpm.r, MATCH(1,('3. Enter Indicator Scores'!$B$10:$B$161=$B115)*('3. Enter Indicator Scores'!$C$10:$C$161=$C115),0),
  _xlpm.c, MATCH(BY$8,'3. Enter Indicator Scores'!$D$8:$CZ$8,0),
  _xlpm.v, IFERROR(INDEX('3. Enter Indicator Scores'!$D$10:$CZ$161,_xlpm.r,_xlpm.c),""),
  IF(OR(_xlpm.w="",_xlpm.v=""),"",_xlpm.v*_xlpm.w)
)</f>
        <v/>
      </c>
      <c r="BZ115" s="93" t="str" cm="1">
        <f t="array" ref="BZ115">_xlfn.LET(
  _xlpm.w, BZ$11,
  _xlpm.r, MATCH(1,('3. Enter Indicator Scores'!$B$10:$B$161=$B115)*('3. Enter Indicator Scores'!$C$10:$C$161=$C115),0),
  _xlpm.c, MATCH(BZ$8,'3. Enter Indicator Scores'!$D$8:$CZ$8,0),
  _xlpm.v, IFERROR(INDEX('3. Enter Indicator Scores'!$D$10:$CZ$161,_xlpm.r,_xlpm.c),""),
  IF(OR(_xlpm.w="",_xlpm.v=""),"",_xlpm.v*_xlpm.w)
)</f>
        <v/>
      </c>
      <c r="CA115" s="93" t="str" cm="1">
        <f t="array" ref="CA115">_xlfn.LET(
  _xlpm.w, CA$11,
  _xlpm.r, MATCH(1,('3. Enter Indicator Scores'!$B$10:$B$161=$B115)*('3. Enter Indicator Scores'!$C$10:$C$161=$C115),0),
  _xlpm.c, MATCH(CA$8,'3. Enter Indicator Scores'!$D$8:$CZ$8,0),
  _xlpm.v, IFERROR(INDEX('3. Enter Indicator Scores'!$D$10:$CZ$161,_xlpm.r,_xlpm.c),""),
  IF(OR(_xlpm.w="",_xlpm.v=""),"",_xlpm.v*_xlpm.w)
)</f>
        <v/>
      </c>
      <c r="CB115" s="93" t="str" cm="1">
        <f t="array" ref="CB115">_xlfn.LET(
  _xlpm.w, CB$11,
  _xlpm.r, MATCH(1,('3. Enter Indicator Scores'!$B$10:$B$161=$B115)*('3. Enter Indicator Scores'!$C$10:$C$161=$C115),0),
  _xlpm.c, MATCH(CB$8,'3. Enter Indicator Scores'!$D$8:$CZ$8,0),
  _xlpm.v, IFERROR(INDEX('3. Enter Indicator Scores'!$D$10:$CZ$161,_xlpm.r,_xlpm.c),""),
  IF(OR(_xlpm.w="",_xlpm.v=""),"",_xlpm.v*_xlpm.w)
)</f>
        <v/>
      </c>
      <c r="CC115" s="93" t="str" cm="1">
        <f t="array" ref="CC115">_xlfn.LET(
  _xlpm.w, CC$11,
  _xlpm.r, MATCH(1,('3. Enter Indicator Scores'!$B$10:$B$161=$B115)*('3. Enter Indicator Scores'!$C$10:$C$161=$C115),0),
  _xlpm.c, MATCH(CC$8,'3. Enter Indicator Scores'!$D$8:$CZ$8,0),
  _xlpm.v, IFERROR(INDEX('3. Enter Indicator Scores'!$D$10:$CZ$161,_xlpm.r,_xlpm.c),""),
  IF(OR(_xlpm.w="",_xlpm.v=""),"",_xlpm.v*_xlpm.w)
)</f>
        <v/>
      </c>
      <c r="CD115" s="93" t="str" cm="1">
        <f t="array" ref="CD115">_xlfn.LET(
  _xlpm.w, CD$11,
  _xlpm.r, MATCH(1,('3. Enter Indicator Scores'!$B$10:$B$161=$B115)*('3. Enter Indicator Scores'!$C$10:$C$161=$C115),0),
  _xlpm.c, MATCH(CD$8,'3. Enter Indicator Scores'!$D$8:$CZ$8,0),
  _xlpm.v, IFERROR(INDEX('3. Enter Indicator Scores'!$D$10:$CZ$161,_xlpm.r,_xlpm.c),""),
  IF(OR(_xlpm.w="",_xlpm.v=""),"",_xlpm.v*_xlpm.w)
)</f>
        <v/>
      </c>
      <c r="CE115" s="93" t="str" cm="1">
        <f t="array" ref="CE115">_xlfn.LET(
  _xlpm.w, CE$11,
  _xlpm.r, MATCH(1,('3. Enter Indicator Scores'!$B$10:$B$161=$B115)*('3. Enter Indicator Scores'!$C$10:$C$161=$C115),0),
  _xlpm.c, MATCH(CE$8,'3. Enter Indicator Scores'!$D$8:$CZ$8,0),
  _xlpm.v, IFERROR(INDEX('3. Enter Indicator Scores'!$D$10:$CZ$161,_xlpm.r,_xlpm.c),""),
  IF(OR(_xlpm.w="",_xlpm.v=""),"",_xlpm.v*_xlpm.w)
)</f>
        <v/>
      </c>
      <c r="CF115" s="93" t="str" cm="1">
        <f t="array" ref="CF115">_xlfn.LET(
  _xlpm.w, CF$11,
  _xlpm.r, MATCH(1,('3. Enter Indicator Scores'!$B$10:$B$161=$B115)*('3. Enter Indicator Scores'!$C$10:$C$161=$C115),0),
  _xlpm.c, MATCH(CF$8,'3. Enter Indicator Scores'!$D$8:$CZ$8,0),
  _xlpm.v, IFERROR(INDEX('3. Enter Indicator Scores'!$D$10:$CZ$161,_xlpm.r,_xlpm.c),""),
  IF(OR(_xlpm.w="",_xlpm.v=""),"",_xlpm.v*_xlpm.w)
)</f>
        <v/>
      </c>
      <c r="CG115" s="93" t="str" cm="1">
        <f t="array" ref="CG115">_xlfn.LET(
  _xlpm.w, CG$11,
  _xlpm.r, MATCH(1,('3. Enter Indicator Scores'!$B$10:$B$161=$B115)*('3. Enter Indicator Scores'!$C$10:$C$161=$C115),0),
  _xlpm.c, MATCH(CG$8,'3. Enter Indicator Scores'!$D$8:$CZ$8,0),
  _xlpm.v, IFERROR(INDEX('3. Enter Indicator Scores'!$D$10:$CZ$161,_xlpm.r,_xlpm.c),""),
  IF(OR(_xlpm.w="",_xlpm.v=""),"",_xlpm.v*_xlpm.w)
)</f>
        <v/>
      </c>
      <c r="CH115" s="93" t="str" cm="1">
        <f t="array" ref="CH115">_xlfn.LET(
  _xlpm.w, CH$11,
  _xlpm.r, MATCH(1,('3. Enter Indicator Scores'!$B$10:$B$161=$B115)*('3. Enter Indicator Scores'!$C$10:$C$161=$C115),0),
  _xlpm.c, MATCH(CH$8,'3. Enter Indicator Scores'!$D$8:$CZ$8,0),
  _xlpm.v, IFERROR(INDEX('3. Enter Indicator Scores'!$D$10:$CZ$161,_xlpm.r,_xlpm.c),""),
  IF(OR(_xlpm.w="",_xlpm.v=""),"",_xlpm.v*_xlpm.w)
)</f>
        <v/>
      </c>
      <c r="CI115" s="93" t="str" cm="1">
        <f t="array" ref="CI115">_xlfn.LET(
  _xlpm.w, CI$11,
  _xlpm.r, MATCH(1,('3. Enter Indicator Scores'!$B$10:$B$161=$B115)*('3. Enter Indicator Scores'!$C$10:$C$161=$C115),0),
  _xlpm.c, MATCH(CI$8,'3. Enter Indicator Scores'!$D$8:$CZ$8,0),
  _xlpm.v, IFERROR(INDEX('3. Enter Indicator Scores'!$D$10:$CZ$161,_xlpm.r,_xlpm.c),""),
  IF(OR(_xlpm.w="",_xlpm.v=""),"",_xlpm.v*_xlpm.w)
)</f>
        <v/>
      </c>
      <c r="CJ115" s="93" t="str" cm="1">
        <f t="array" ref="CJ115">_xlfn.LET(
  _xlpm.w, CJ$11,
  _xlpm.r, MATCH(1,('3. Enter Indicator Scores'!$B$10:$B$161=$B115)*('3. Enter Indicator Scores'!$C$10:$C$161=$C115),0),
  _xlpm.c, MATCH(CJ$8,'3. Enter Indicator Scores'!$D$8:$CZ$8,0),
  _xlpm.v, IFERROR(INDEX('3. Enter Indicator Scores'!$D$10:$CZ$161,_xlpm.r,_xlpm.c),""),
  IF(OR(_xlpm.w="",_xlpm.v=""),"",_xlpm.v*_xlpm.w)
)</f>
        <v/>
      </c>
      <c r="CK115" s="93" t="str" cm="1">
        <f t="array" ref="CK115">_xlfn.LET(
  _xlpm.w, CK$11,
  _xlpm.r, MATCH(1,('3. Enter Indicator Scores'!$B$10:$B$161=$B115)*('3. Enter Indicator Scores'!$C$10:$C$161=$C115),0),
  _xlpm.c, MATCH(CK$8,'3. Enter Indicator Scores'!$D$8:$CZ$8,0),
  _xlpm.v, IFERROR(INDEX('3. Enter Indicator Scores'!$D$10:$CZ$161,_xlpm.r,_xlpm.c),""),
  IF(OR(_xlpm.w="",_xlpm.v=""),"",_xlpm.v*_xlpm.w)
)</f>
        <v/>
      </c>
      <c r="CL115" s="93" t="str" cm="1">
        <f t="array" ref="CL115">_xlfn.LET(
  _xlpm.w, CL$11,
  _xlpm.r, MATCH(1,('3. Enter Indicator Scores'!$B$10:$B$161=$B115)*('3. Enter Indicator Scores'!$C$10:$C$161=$C115),0),
  _xlpm.c, MATCH(CL$8,'3. Enter Indicator Scores'!$D$8:$CZ$8,0),
  _xlpm.v, IFERROR(INDEX('3. Enter Indicator Scores'!$D$10:$CZ$161,_xlpm.r,_xlpm.c),""),
  IF(OR(_xlpm.w="",_xlpm.v=""),"",_xlpm.v*_xlpm.w)
)</f>
        <v/>
      </c>
      <c r="CM115" s="93" t="str" cm="1">
        <f t="array" ref="CM115">_xlfn.LET(
  _xlpm.w, CM$11,
  _xlpm.r, MATCH(1,('3. Enter Indicator Scores'!$B$10:$B$161=$B115)*('3. Enter Indicator Scores'!$C$10:$C$161=$C115),0),
  _xlpm.c, MATCH(CM$8,'3. Enter Indicator Scores'!$D$8:$CZ$8,0),
  _xlpm.v, IFERROR(INDEX('3. Enter Indicator Scores'!$D$10:$CZ$161,_xlpm.r,_xlpm.c),""),
  IF(OR(_xlpm.w="",_xlpm.v=""),"",_xlpm.v*_xlpm.w)
)</f>
        <v/>
      </c>
      <c r="CN115" s="93" t="str" cm="1">
        <f t="array" ref="CN115">_xlfn.LET(
  _xlpm.w, CN$11,
  _xlpm.r, MATCH(1,('3. Enter Indicator Scores'!$B$10:$B$161=$B115)*('3. Enter Indicator Scores'!$C$10:$C$161=$C115),0),
  _xlpm.c, MATCH(CN$8,'3. Enter Indicator Scores'!$D$8:$CZ$8,0),
  _xlpm.v, IFERROR(INDEX('3. Enter Indicator Scores'!$D$10:$CZ$161,_xlpm.r,_xlpm.c),""),
  IF(OR(_xlpm.w="",_xlpm.v=""),"",_xlpm.v*_xlpm.w)
)</f>
        <v/>
      </c>
      <c r="CO115" s="93" t="str" cm="1">
        <f t="array" ref="CO115">_xlfn.LET(
  _xlpm.w, CO$11,
  _xlpm.r, MATCH(1,('3. Enter Indicator Scores'!$B$10:$B$161=$B115)*('3. Enter Indicator Scores'!$C$10:$C$161=$C115),0),
  _xlpm.c, MATCH(CO$8,'3. Enter Indicator Scores'!$D$8:$CZ$8,0),
  _xlpm.v, IFERROR(INDEX('3. Enter Indicator Scores'!$D$10:$CZ$161,_xlpm.r,_xlpm.c),""),
  IF(OR(_xlpm.w="",_xlpm.v=""),"",_xlpm.v*_xlpm.w)
)</f>
        <v/>
      </c>
      <c r="CP115" s="93" t="str" cm="1">
        <f t="array" ref="CP115">_xlfn.LET(
  _xlpm.w, CP$11,
  _xlpm.r, MATCH(1,('3. Enter Indicator Scores'!$B$10:$B$161=$B115)*('3. Enter Indicator Scores'!$C$10:$C$161=$C115),0),
  _xlpm.c, MATCH(CP$8,'3. Enter Indicator Scores'!$D$8:$CZ$8,0),
  _xlpm.v, IFERROR(INDEX('3. Enter Indicator Scores'!$D$10:$CZ$161,_xlpm.r,_xlpm.c),""),
  IF(OR(_xlpm.w="",_xlpm.v=""),"",_xlpm.v*_xlpm.w)
)</f>
        <v/>
      </c>
      <c r="CQ115" s="93" t="str" cm="1">
        <f t="array" ref="CQ115">_xlfn.LET(
  _xlpm.w, CQ$11,
  _xlpm.r, MATCH(1,('3. Enter Indicator Scores'!$B$10:$B$161=$B115)*('3. Enter Indicator Scores'!$C$10:$C$161=$C115),0),
  _xlpm.c, MATCH(CQ$8,'3. Enter Indicator Scores'!$D$8:$CZ$8,0),
  _xlpm.v, IFERROR(INDEX('3. Enter Indicator Scores'!$D$10:$CZ$161,_xlpm.r,_xlpm.c),""),
  IF(OR(_xlpm.w="",_xlpm.v=""),"",_xlpm.v*_xlpm.w)
)</f>
        <v/>
      </c>
      <c r="CR115" s="93" t="str" cm="1">
        <f t="array" ref="CR115">_xlfn.LET(
  _xlpm.w, CR$11,
  _xlpm.r, MATCH(1,('3. Enter Indicator Scores'!$B$10:$B$161=$B115)*('3. Enter Indicator Scores'!$C$10:$C$161=$C115),0),
  _xlpm.c, MATCH(CR$8,'3. Enter Indicator Scores'!$D$8:$CZ$8,0),
  _xlpm.v, IFERROR(INDEX('3. Enter Indicator Scores'!$D$10:$CZ$161,_xlpm.r,_xlpm.c),""),
  IF(OR(_xlpm.w="",_xlpm.v=""),"",_xlpm.v*_xlpm.w)
)</f>
        <v/>
      </c>
      <c r="CS115" s="93" t="str" cm="1">
        <f t="array" ref="CS115">_xlfn.LET(
  _xlpm.w, CS$11,
  _xlpm.r, MATCH(1,('3. Enter Indicator Scores'!$B$10:$B$161=$B115)*('3. Enter Indicator Scores'!$C$10:$C$161=$C115),0),
  _xlpm.c, MATCH(CS$8,'3. Enter Indicator Scores'!$D$8:$CZ$8,0),
  _xlpm.v, IFERROR(INDEX('3. Enter Indicator Scores'!$D$10:$CZ$161,_xlpm.r,_xlpm.c),""),
  IF(OR(_xlpm.w="",_xlpm.v=""),"",_xlpm.v*_xlpm.w)
)</f>
        <v/>
      </c>
      <c r="CT115" s="93" t="str" cm="1">
        <f t="array" ref="CT115">_xlfn.LET(
  _xlpm.w, CT$11,
  _xlpm.r, MATCH(1,('3. Enter Indicator Scores'!$B$10:$B$161=$B115)*('3. Enter Indicator Scores'!$C$10:$C$161=$C115),0),
  _xlpm.c, MATCH(CT$8,'3. Enter Indicator Scores'!$D$8:$CZ$8,0),
  _xlpm.v, IFERROR(INDEX('3. Enter Indicator Scores'!$D$10:$CZ$161,_xlpm.r,_xlpm.c),""),
  IF(OR(_xlpm.w="",_xlpm.v=""),"",_xlpm.v*_xlpm.w)
)</f>
        <v/>
      </c>
      <c r="CU115" s="93" t="str" cm="1">
        <f t="array" ref="CU115">_xlfn.LET(
  _xlpm.w, CU$11,
  _xlpm.r, MATCH(1,('3. Enter Indicator Scores'!$B$10:$B$161=$B115)*('3. Enter Indicator Scores'!$C$10:$C$161=$C115),0),
  _xlpm.c, MATCH(CU$8,'3. Enter Indicator Scores'!$D$8:$CZ$8,0),
  _xlpm.v, IFERROR(INDEX('3. Enter Indicator Scores'!$D$10:$CZ$161,_xlpm.r,_xlpm.c),""),
  IF(OR(_xlpm.w="",_xlpm.v=""),"",_xlpm.v*_xlpm.w)
)</f>
        <v/>
      </c>
      <c r="CV115" s="93" t="str" cm="1">
        <f t="array" ref="CV115">_xlfn.LET(
  _xlpm.w, CV$11,
  _xlpm.r, MATCH(1,('3. Enter Indicator Scores'!$B$10:$B$161=$B115)*('3. Enter Indicator Scores'!$C$10:$C$161=$C115),0),
  _xlpm.c, MATCH(CV$8,'3. Enter Indicator Scores'!$D$8:$CZ$8,0),
  _xlpm.v, IFERROR(INDEX('3. Enter Indicator Scores'!$D$10:$CZ$161,_xlpm.r,_xlpm.c),""),
  IF(OR(_xlpm.w="",_xlpm.v=""),"",_xlpm.v*_xlpm.w)
)</f>
        <v/>
      </c>
      <c r="CW115" s="93" t="str" cm="1">
        <f t="array" ref="CW115">_xlfn.LET(
  _xlpm.w, CW$11,
  _xlpm.r, MATCH(1,('3. Enter Indicator Scores'!$B$10:$B$161=$B115)*('3. Enter Indicator Scores'!$C$10:$C$161=$C115),0),
  _xlpm.c, MATCH(CW$8,'3. Enter Indicator Scores'!$D$8:$CZ$8,0),
  _xlpm.v, IFERROR(INDEX('3. Enter Indicator Scores'!$D$10:$CZ$161,_xlpm.r,_xlpm.c),""),
  IF(OR(_xlpm.w="",_xlpm.v=""),"",_xlpm.v*_xlpm.w)
)</f>
        <v/>
      </c>
      <c r="CX115" s="93" t="str" cm="1">
        <f t="array" ref="CX115">_xlfn.LET(
  _xlpm.w, CX$11,
  _xlpm.r, MATCH(1,('3. Enter Indicator Scores'!$B$10:$B$161=$B115)*('3. Enter Indicator Scores'!$C$10:$C$161=$C115),0),
  _xlpm.c, MATCH(CX$8,'3. Enter Indicator Scores'!$D$8:$CZ$8,0),
  _xlpm.v, IFERROR(INDEX('3. Enter Indicator Scores'!$D$10:$CZ$161,_xlpm.r,_xlpm.c),""),
  IF(OR(_xlpm.w="",_xlpm.v=""),"",_xlpm.v*_xlpm.w)
)</f>
        <v/>
      </c>
      <c r="CY115" s="93" t="str" cm="1">
        <f t="array" ref="CY115">_xlfn.LET(
  _xlpm.w, CY$11,
  _xlpm.r, MATCH(1,('3. Enter Indicator Scores'!$B$10:$B$161=$B115)*('3. Enter Indicator Scores'!$C$10:$C$161=$C115),0),
  _xlpm.c, MATCH(CY$8,'3. Enter Indicator Scores'!$D$8:$CZ$8,0),
  _xlpm.v, IFERROR(INDEX('3. Enter Indicator Scores'!$D$10:$CZ$161,_xlpm.r,_xlpm.c),""),
  IF(OR(_xlpm.w="",_xlpm.v=""),"",_xlpm.v*_xlpm.w)
)</f>
        <v/>
      </c>
      <c r="CZ115" s="93" t="str" cm="1">
        <f t="array" ref="CZ115">_xlfn.LET(
  _xlpm.w, CZ$11,
  _xlpm.r, MATCH(1,('3. Enter Indicator Scores'!$B$10:$B$161=$B115)*('3. Enter Indicator Scores'!$C$10:$C$161=$C115),0),
  _xlpm.c, MATCH(CZ$8,'3. Enter Indicator Scores'!$D$8:$CZ$8,0),
  _xlpm.v, IFERROR(INDEX('3. Enter Indicator Scores'!$D$10:$CZ$161,_xlpm.r,_xlpm.c),""),
  IF(OR(_xlpm.w="",_xlpm.v=""),"",_xlpm.v*_xlpm.w)
)</f>
        <v/>
      </c>
    </row>
    <row r="116" spans="4:104" x14ac:dyDescent="0.2">
      <c r="D116" s="93" t="str" cm="1">
        <f t="array" ref="D116">_xlfn.LET(
  _xlpm.w, D$11,
  _xlpm.r, MATCH(1,('3. Enter Indicator Scores'!$B$10:$B$161=$B116)*('3. Enter Indicator Scores'!$C$10:$C$161=$C116),0),
  _xlpm.c, MATCH(D$8,'3. Enter Indicator Scores'!$D$8:$CZ$8,0),
  _xlpm.v, IFERROR(INDEX('3. Enter Indicator Scores'!$D$10:$CZ$161,_xlpm.r,_xlpm.c),""),
  IF(OR(_xlpm.w="",_xlpm.v=""),"",_xlpm.v*_xlpm.w)
)</f>
        <v/>
      </c>
      <c r="E116" s="93" t="str" cm="1">
        <f t="array" ref="E116">_xlfn.LET(
  _xlpm.w, E$11,
  _xlpm.r, MATCH(1,('3. Enter Indicator Scores'!$B$10:$B$161=$B116)*('3. Enter Indicator Scores'!$C$10:$C$161=$C116),0),
  _xlpm.c, MATCH(E$8,'3. Enter Indicator Scores'!$D$8:$CZ$8,0),
  _xlpm.v, IFERROR(INDEX('3. Enter Indicator Scores'!$D$10:$CZ$161,_xlpm.r,_xlpm.c),""),
  IF(OR(_xlpm.w="",_xlpm.v=""),"",_xlpm.v*_xlpm.w)
)</f>
        <v/>
      </c>
      <c r="F116" s="93" t="str" cm="1">
        <f t="array" ref="F116">_xlfn.LET(
  _xlpm.w, F$11,
  _xlpm.r, MATCH(1,('3. Enter Indicator Scores'!$B$10:$B$161=$B116)*('3. Enter Indicator Scores'!$C$10:$C$161=$C116),0),
  _xlpm.c, MATCH(F$8,'3. Enter Indicator Scores'!$D$8:$CZ$8,0),
  _xlpm.v, IFERROR(INDEX('3. Enter Indicator Scores'!$D$10:$CZ$161,_xlpm.r,_xlpm.c),""),
  IF(OR(_xlpm.w="",_xlpm.v=""),"",_xlpm.v*_xlpm.w)
)</f>
        <v/>
      </c>
      <c r="G116" s="93" t="str" cm="1">
        <f t="array" ref="G116">_xlfn.LET(
  _xlpm.w, G$11,
  _xlpm.r, MATCH(1,('3. Enter Indicator Scores'!$B$10:$B$161=$B116)*('3. Enter Indicator Scores'!$C$10:$C$161=$C116),0),
  _xlpm.c, MATCH(G$8,'3. Enter Indicator Scores'!$D$8:$CZ$8,0),
  _xlpm.v, IFERROR(INDEX('3. Enter Indicator Scores'!$D$10:$CZ$161,_xlpm.r,_xlpm.c),""),
  IF(OR(_xlpm.w="",_xlpm.v=""),"",_xlpm.v*_xlpm.w)
)</f>
        <v/>
      </c>
      <c r="H116" s="93" t="str" cm="1">
        <f t="array" ref="H116">_xlfn.LET(
  _xlpm.w, H$11,
  _xlpm.r, MATCH(1,('3. Enter Indicator Scores'!$B$10:$B$161=$B116)*('3. Enter Indicator Scores'!$C$10:$C$161=$C116),0),
  _xlpm.c, MATCH(H$8,'3. Enter Indicator Scores'!$D$8:$CZ$8,0),
  _xlpm.v, IFERROR(INDEX('3. Enter Indicator Scores'!$D$10:$CZ$161,_xlpm.r,_xlpm.c),""),
  IF(OR(_xlpm.w="",_xlpm.v=""),"",_xlpm.v*_xlpm.w)
)</f>
        <v/>
      </c>
      <c r="I116" s="93" t="str" cm="1">
        <f t="array" ref="I116">_xlfn.LET(
  _xlpm.w, I$11,
  _xlpm.r, MATCH(1,('3. Enter Indicator Scores'!$B$10:$B$161=$B116)*('3. Enter Indicator Scores'!$C$10:$C$161=$C116),0),
  _xlpm.c, MATCH(I$8,'3. Enter Indicator Scores'!$D$8:$CZ$8,0),
  _xlpm.v, IFERROR(INDEX('3. Enter Indicator Scores'!$D$10:$CZ$161,_xlpm.r,_xlpm.c),""),
  IF(OR(_xlpm.w="",_xlpm.v=""),"",_xlpm.v*_xlpm.w)
)</f>
        <v/>
      </c>
      <c r="J116" s="93" t="str" cm="1">
        <f t="array" ref="J116">_xlfn.LET(
  _xlpm.w, J$11,
  _xlpm.r, MATCH(1,('3. Enter Indicator Scores'!$B$10:$B$161=$B116)*('3. Enter Indicator Scores'!$C$10:$C$161=$C116),0),
  _xlpm.c, MATCH(J$8,'3. Enter Indicator Scores'!$D$8:$CZ$8,0),
  _xlpm.v, IFERROR(INDEX('3. Enter Indicator Scores'!$D$10:$CZ$161,_xlpm.r,_xlpm.c),""),
  IF(OR(_xlpm.w="",_xlpm.v=""),"",_xlpm.v*_xlpm.w)
)</f>
        <v/>
      </c>
      <c r="K116" s="93" t="str" cm="1">
        <f t="array" ref="K116">_xlfn.LET(
  _xlpm.w, K$11,
  _xlpm.r, MATCH(1,('3. Enter Indicator Scores'!$B$10:$B$161=$B116)*('3. Enter Indicator Scores'!$C$10:$C$161=$C116),0),
  _xlpm.c, MATCH(K$8,'3. Enter Indicator Scores'!$D$8:$CZ$8,0),
  _xlpm.v, IFERROR(INDEX('3. Enter Indicator Scores'!$D$10:$CZ$161,_xlpm.r,_xlpm.c),""),
  IF(OR(_xlpm.w="",_xlpm.v=""),"",_xlpm.v*_xlpm.w)
)</f>
        <v/>
      </c>
      <c r="L116" s="93" t="str" cm="1">
        <f t="array" ref="L116">_xlfn.LET(
  _xlpm.w, L$11,
  _xlpm.r, MATCH(1,('3. Enter Indicator Scores'!$B$10:$B$161=$B116)*('3. Enter Indicator Scores'!$C$10:$C$161=$C116),0),
  _xlpm.c, MATCH(L$8,'3. Enter Indicator Scores'!$D$8:$CZ$8,0),
  _xlpm.v, IFERROR(INDEX('3. Enter Indicator Scores'!$D$10:$CZ$161,_xlpm.r,_xlpm.c),""),
  IF(OR(_xlpm.w="",_xlpm.v=""),"",_xlpm.v*_xlpm.w)
)</f>
        <v/>
      </c>
      <c r="M116" s="93" t="str" cm="1">
        <f t="array" ref="M116">_xlfn.LET(
  _xlpm.w, M$11,
  _xlpm.r, MATCH(1,('3. Enter Indicator Scores'!$B$10:$B$161=$B116)*('3. Enter Indicator Scores'!$C$10:$C$161=$C116),0),
  _xlpm.c, MATCH(M$8,'3. Enter Indicator Scores'!$D$8:$CZ$8,0),
  _xlpm.v, IFERROR(INDEX('3. Enter Indicator Scores'!$D$10:$CZ$161,_xlpm.r,_xlpm.c),""),
  IF(OR(_xlpm.w="",_xlpm.v=""),"",_xlpm.v*_xlpm.w)
)</f>
        <v/>
      </c>
      <c r="N116" s="93" t="str" cm="1">
        <f t="array" ref="N116">_xlfn.LET(
  _xlpm.w, N$11,
  _xlpm.r, MATCH(1,('3. Enter Indicator Scores'!$B$10:$B$161=$B116)*('3. Enter Indicator Scores'!$C$10:$C$161=$C116),0),
  _xlpm.c, MATCH(N$8,'3. Enter Indicator Scores'!$D$8:$CZ$8,0),
  _xlpm.v, IFERROR(INDEX('3. Enter Indicator Scores'!$D$10:$CZ$161,_xlpm.r,_xlpm.c),""),
  IF(OR(_xlpm.w="",_xlpm.v=""),"",_xlpm.v*_xlpm.w)
)</f>
        <v/>
      </c>
      <c r="O116" s="93" t="str" cm="1">
        <f t="array" ref="O116">_xlfn.LET(
  _xlpm.w, O$11,
  _xlpm.r, MATCH(1,('3. Enter Indicator Scores'!$B$10:$B$161=$B116)*('3. Enter Indicator Scores'!$C$10:$C$161=$C116),0),
  _xlpm.c, MATCH(O$8,'3. Enter Indicator Scores'!$D$8:$CZ$8,0),
  _xlpm.v, IFERROR(INDEX('3. Enter Indicator Scores'!$D$10:$CZ$161,_xlpm.r,_xlpm.c),""),
  IF(OR(_xlpm.w="",_xlpm.v=""),"",_xlpm.v*_xlpm.w)
)</f>
        <v/>
      </c>
      <c r="P116" s="93" t="str" cm="1">
        <f t="array" ref="P116">_xlfn.LET(
  _xlpm.w, P$11,
  _xlpm.r, MATCH(1,('3. Enter Indicator Scores'!$B$10:$B$161=$B116)*('3. Enter Indicator Scores'!$C$10:$C$161=$C116),0),
  _xlpm.c, MATCH(P$8,'3. Enter Indicator Scores'!$D$8:$CZ$8,0),
  _xlpm.v, IFERROR(INDEX('3. Enter Indicator Scores'!$D$10:$CZ$161,_xlpm.r,_xlpm.c),""),
  IF(OR(_xlpm.w="",_xlpm.v=""),"",_xlpm.v*_xlpm.w)
)</f>
        <v/>
      </c>
      <c r="Q116" s="93" t="str" cm="1">
        <f t="array" ref="Q116">_xlfn.LET(
  _xlpm.w, Q$11,
  _xlpm.r, MATCH(1,('3. Enter Indicator Scores'!$B$10:$B$161=$B116)*('3. Enter Indicator Scores'!$C$10:$C$161=$C116),0),
  _xlpm.c, MATCH(Q$8,'3. Enter Indicator Scores'!$D$8:$CZ$8,0),
  _xlpm.v, IFERROR(INDEX('3. Enter Indicator Scores'!$D$10:$CZ$161,_xlpm.r,_xlpm.c),""),
  IF(OR(_xlpm.w="",_xlpm.v=""),"",_xlpm.v*_xlpm.w)
)</f>
        <v/>
      </c>
      <c r="R116" s="93" t="str" cm="1">
        <f t="array" ref="R116">_xlfn.LET(
  _xlpm.w, R$11,
  _xlpm.r, MATCH(1,('3. Enter Indicator Scores'!$B$10:$B$161=$B116)*('3. Enter Indicator Scores'!$C$10:$C$161=$C116),0),
  _xlpm.c, MATCH(R$8,'3. Enter Indicator Scores'!$D$8:$CZ$8,0),
  _xlpm.v, IFERROR(INDEX('3. Enter Indicator Scores'!$D$10:$CZ$161,_xlpm.r,_xlpm.c),""),
  IF(OR(_xlpm.w="",_xlpm.v=""),"",_xlpm.v*_xlpm.w)
)</f>
        <v/>
      </c>
      <c r="S116" s="93" t="str" cm="1">
        <f t="array" ref="S116">_xlfn.LET(
  _xlpm.w, S$11,
  _xlpm.r, MATCH(1,('3. Enter Indicator Scores'!$B$10:$B$161=$B116)*('3. Enter Indicator Scores'!$C$10:$C$161=$C116),0),
  _xlpm.c, MATCH(S$8,'3. Enter Indicator Scores'!$D$8:$CZ$8,0),
  _xlpm.v, IFERROR(INDEX('3. Enter Indicator Scores'!$D$10:$CZ$161,_xlpm.r,_xlpm.c),""),
  IF(OR(_xlpm.w="",_xlpm.v=""),"",_xlpm.v*_xlpm.w)
)</f>
        <v/>
      </c>
      <c r="T116" s="93" t="str" cm="1">
        <f t="array" ref="T116">_xlfn.LET(
  _xlpm.w, T$11,
  _xlpm.r, MATCH(1,('3. Enter Indicator Scores'!$B$10:$B$161=$B116)*('3. Enter Indicator Scores'!$C$10:$C$161=$C116),0),
  _xlpm.c, MATCH(T$8,'3. Enter Indicator Scores'!$D$8:$CZ$8,0),
  _xlpm.v, IFERROR(INDEX('3. Enter Indicator Scores'!$D$10:$CZ$161,_xlpm.r,_xlpm.c),""),
  IF(OR(_xlpm.w="",_xlpm.v=""),"",_xlpm.v*_xlpm.w)
)</f>
        <v/>
      </c>
      <c r="U116" s="93" t="str" cm="1">
        <f t="array" ref="U116">_xlfn.LET(
  _xlpm.w, U$11,
  _xlpm.r, MATCH(1,('3. Enter Indicator Scores'!$B$10:$B$161=$B116)*('3. Enter Indicator Scores'!$C$10:$C$161=$C116),0),
  _xlpm.c, MATCH(U$8,'3. Enter Indicator Scores'!$D$8:$CZ$8,0),
  _xlpm.v, IFERROR(INDEX('3. Enter Indicator Scores'!$D$10:$CZ$161,_xlpm.r,_xlpm.c),""),
  IF(OR(_xlpm.w="",_xlpm.v=""),"",_xlpm.v*_xlpm.w)
)</f>
        <v/>
      </c>
      <c r="V116" s="93" t="str" cm="1">
        <f t="array" ref="V116">_xlfn.LET(
  _xlpm.w, V$11,
  _xlpm.r, MATCH(1,('3. Enter Indicator Scores'!$B$10:$B$161=$B116)*('3. Enter Indicator Scores'!$C$10:$C$161=$C116),0),
  _xlpm.c, MATCH(V$8,'3. Enter Indicator Scores'!$D$8:$CZ$8,0),
  _xlpm.v, IFERROR(INDEX('3. Enter Indicator Scores'!$D$10:$CZ$161,_xlpm.r,_xlpm.c),""),
  IF(OR(_xlpm.w="",_xlpm.v=""),"",_xlpm.v*_xlpm.w)
)</f>
        <v/>
      </c>
      <c r="W116" s="93" t="str" cm="1">
        <f t="array" ref="W116">_xlfn.LET(
  _xlpm.w, W$11,
  _xlpm.r, MATCH(1,('3. Enter Indicator Scores'!$B$10:$B$161=$B116)*('3. Enter Indicator Scores'!$C$10:$C$161=$C116),0),
  _xlpm.c, MATCH(W$8,'3. Enter Indicator Scores'!$D$8:$CZ$8,0),
  _xlpm.v, IFERROR(INDEX('3. Enter Indicator Scores'!$D$10:$CZ$161,_xlpm.r,_xlpm.c),""),
  IF(OR(_xlpm.w="",_xlpm.v=""),"",_xlpm.v*_xlpm.w)
)</f>
        <v/>
      </c>
      <c r="X116" s="93" t="str" cm="1">
        <f t="array" ref="X116">_xlfn.LET(
  _xlpm.w, X$11,
  _xlpm.r, MATCH(1,('3. Enter Indicator Scores'!$B$10:$B$161=$B116)*('3. Enter Indicator Scores'!$C$10:$C$161=$C116),0),
  _xlpm.c, MATCH(X$8,'3. Enter Indicator Scores'!$D$8:$CZ$8,0),
  _xlpm.v, IFERROR(INDEX('3. Enter Indicator Scores'!$D$10:$CZ$161,_xlpm.r,_xlpm.c),""),
  IF(OR(_xlpm.w="",_xlpm.v=""),"",_xlpm.v*_xlpm.w)
)</f>
        <v/>
      </c>
      <c r="Y116" s="93" t="str" cm="1">
        <f t="array" ref="Y116">_xlfn.LET(
  _xlpm.w, Y$11,
  _xlpm.r, MATCH(1,('3. Enter Indicator Scores'!$B$10:$B$161=$B116)*('3. Enter Indicator Scores'!$C$10:$C$161=$C116),0),
  _xlpm.c, MATCH(Y$8,'3. Enter Indicator Scores'!$D$8:$CZ$8,0),
  _xlpm.v, IFERROR(INDEX('3. Enter Indicator Scores'!$D$10:$CZ$161,_xlpm.r,_xlpm.c),""),
  IF(OR(_xlpm.w="",_xlpm.v=""),"",_xlpm.v*_xlpm.w)
)</f>
        <v/>
      </c>
      <c r="Z116" s="93" t="str" cm="1">
        <f t="array" ref="Z116">_xlfn.LET(
  _xlpm.w, Z$11,
  _xlpm.r, MATCH(1,('3. Enter Indicator Scores'!$B$10:$B$161=$B116)*('3. Enter Indicator Scores'!$C$10:$C$161=$C116),0),
  _xlpm.c, MATCH(Z$8,'3. Enter Indicator Scores'!$D$8:$CZ$8,0),
  _xlpm.v, IFERROR(INDEX('3. Enter Indicator Scores'!$D$10:$CZ$161,_xlpm.r,_xlpm.c),""),
  IF(OR(_xlpm.w="",_xlpm.v=""),"",_xlpm.v*_xlpm.w)
)</f>
        <v/>
      </c>
      <c r="AA116" s="93" t="str" cm="1">
        <f t="array" ref="AA116">_xlfn.LET(
  _xlpm.w, AA$11,
  _xlpm.r, MATCH(1,('3. Enter Indicator Scores'!$B$10:$B$161=$B116)*('3. Enter Indicator Scores'!$C$10:$C$161=$C116),0),
  _xlpm.c, MATCH(AA$8,'3. Enter Indicator Scores'!$D$8:$CZ$8,0),
  _xlpm.v, IFERROR(INDEX('3. Enter Indicator Scores'!$D$10:$CZ$161,_xlpm.r,_xlpm.c),""),
  IF(OR(_xlpm.w="",_xlpm.v=""),"",_xlpm.v*_xlpm.w)
)</f>
        <v/>
      </c>
      <c r="AB116" s="93" t="str" cm="1">
        <f t="array" ref="AB116">_xlfn.LET(
  _xlpm.w, AB$11,
  _xlpm.r, MATCH(1,('3. Enter Indicator Scores'!$B$10:$B$161=$B116)*('3. Enter Indicator Scores'!$C$10:$C$161=$C116),0),
  _xlpm.c, MATCH(AB$8,'3. Enter Indicator Scores'!$D$8:$CZ$8,0),
  _xlpm.v, IFERROR(INDEX('3. Enter Indicator Scores'!$D$10:$CZ$161,_xlpm.r,_xlpm.c),""),
  IF(OR(_xlpm.w="",_xlpm.v=""),"",_xlpm.v*_xlpm.w)
)</f>
        <v/>
      </c>
      <c r="AC116" s="93" t="str" cm="1">
        <f t="array" ref="AC116">_xlfn.LET(
  _xlpm.w, AC$11,
  _xlpm.r, MATCH(1,('3. Enter Indicator Scores'!$B$10:$B$161=$B116)*('3. Enter Indicator Scores'!$C$10:$C$161=$C116),0),
  _xlpm.c, MATCH(AC$8,'3. Enter Indicator Scores'!$D$8:$CZ$8,0),
  _xlpm.v, IFERROR(INDEX('3. Enter Indicator Scores'!$D$10:$CZ$161,_xlpm.r,_xlpm.c),""),
  IF(OR(_xlpm.w="",_xlpm.v=""),"",_xlpm.v*_xlpm.w)
)</f>
        <v/>
      </c>
      <c r="AD116" s="93" t="str" cm="1">
        <f t="array" ref="AD116">_xlfn.LET(
  _xlpm.w, AD$11,
  _xlpm.r, MATCH(1,('3. Enter Indicator Scores'!$B$10:$B$161=$B116)*('3. Enter Indicator Scores'!$C$10:$C$161=$C116),0),
  _xlpm.c, MATCH(AD$8,'3. Enter Indicator Scores'!$D$8:$CZ$8,0),
  _xlpm.v, IFERROR(INDEX('3. Enter Indicator Scores'!$D$10:$CZ$161,_xlpm.r,_xlpm.c),""),
  IF(OR(_xlpm.w="",_xlpm.v=""),"",_xlpm.v*_xlpm.w)
)</f>
        <v/>
      </c>
      <c r="AE116" s="93" t="str" cm="1">
        <f t="array" ref="AE116">_xlfn.LET(
  _xlpm.w, AE$11,
  _xlpm.r, MATCH(1,('3. Enter Indicator Scores'!$B$10:$B$161=$B116)*('3. Enter Indicator Scores'!$C$10:$C$161=$C116),0),
  _xlpm.c, MATCH(AE$8,'3. Enter Indicator Scores'!$D$8:$CZ$8,0),
  _xlpm.v, IFERROR(INDEX('3. Enter Indicator Scores'!$D$10:$CZ$161,_xlpm.r,_xlpm.c),""),
  IF(OR(_xlpm.w="",_xlpm.v=""),"",_xlpm.v*_xlpm.w)
)</f>
        <v/>
      </c>
      <c r="AF116" s="93" t="str" cm="1">
        <f t="array" ref="AF116">_xlfn.LET(
  _xlpm.w, AF$11,
  _xlpm.r, MATCH(1,('3. Enter Indicator Scores'!$B$10:$B$161=$B116)*('3. Enter Indicator Scores'!$C$10:$C$161=$C116),0),
  _xlpm.c, MATCH(AF$8,'3. Enter Indicator Scores'!$D$8:$CZ$8,0),
  _xlpm.v, IFERROR(INDEX('3. Enter Indicator Scores'!$D$10:$CZ$161,_xlpm.r,_xlpm.c),""),
  IF(OR(_xlpm.w="",_xlpm.v=""),"",_xlpm.v*_xlpm.w)
)</f>
        <v/>
      </c>
      <c r="AG116" s="93" t="str" cm="1">
        <f t="array" ref="AG116">_xlfn.LET(
  _xlpm.w, AG$11,
  _xlpm.r, MATCH(1,('3. Enter Indicator Scores'!$B$10:$B$161=$B116)*('3. Enter Indicator Scores'!$C$10:$C$161=$C116),0),
  _xlpm.c, MATCH(AG$8,'3. Enter Indicator Scores'!$D$8:$CZ$8,0),
  _xlpm.v, IFERROR(INDEX('3. Enter Indicator Scores'!$D$10:$CZ$161,_xlpm.r,_xlpm.c),""),
  IF(OR(_xlpm.w="",_xlpm.v=""),"",_xlpm.v*_xlpm.w)
)</f>
        <v/>
      </c>
      <c r="AH116" s="93" t="str" cm="1">
        <f t="array" ref="AH116">_xlfn.LET(
  _xlpm.w, AH$11,
  _xlpm.r, MATCH(1,('3. Enter Indicator Scores'!$B$10:$B$161=$B116)*('3. Enter Indicator Scores'!$C$10:$C$161=$C116),0),
  _xlpm.c, MATCH(AH$8,'3. Enter Indicator Scores'!$D$8:$CZ$8,0),
  _xlpm.v, IFERROR(INDEX('3. Enter Indicator Scores'!$D$10:$CZ$161,_xlpm.r,_xlpm.c),""),
  IF(OR(_xlpm.w="",_xlpm.v=""),"",_xlpm.v*_xlpm.w)
)</f>
        <v/>
      </c>
      <c r="AI116" s="93" t="str" cm="1">
        <f t="array" ref="AI116">_xlfn.LET(
  _xlpm.w, AI$11,
  _xlpm.r, MATCH(1,('3. Enter Indicator Scores'!$B$10:$B$161=$B116)*('3. Enter Indicator Scores'!$C$10:$C$161=$C116),0),
  _xlpm.c, MATCH(AI$8,'3. Enter Indicator Scores'!$D$8:$CZ$8,0),
  _xlpm.v, IFERROR(INDEX('3. Enter Indicator Scores'!$D$10:$CZ$161,_xlpm.r,_xlpm.c),""),
  IF(OR(_xlpm.w="",_xlpm.v=""),"",_xlpm.v*_xlpm.w)
)</f>
        <v/>
      </c>
      <c r="AJ116" s="93" t="str" cm="1">
        <f t="array" ref="AJ116">_xlfn.LET(
  _xlpm.w, AJ$11,
  _xlpm.r, MATCH(1,('3. Enter Indicator Scores'!$B$10:$B$161=$B116)*('3. Enter Indicator Scores'!$C$10:$C$161=$C116),0),
  _xlpm.c, MATCH(AJ$8,'3. Enter Indicator Scores'!$D$8:$CZ$8,0),
  _xlpm.v, IFERROR(INDEX('3. Enter Indicator Scores'!$D$10:$CZ$161,_xlpm.r,_xlpm.c),""),
  IF(OR(_xlpm.w="",_xlpm.v=""),"",_xlpm.v*_xlpm.w)
)</f>
        <v/>
      </c>
      <c r="AK116" s="93" t="str" cm="1">
        <f t="array" ref="AK116">_xlfn.LET(
  _xlpm.w, AK$11,
  _xlpm.r, MATCH(1,('3. Enter Indicator Scores'!$B$10:$B$161=$B116)*('3. Enter Indicator Scores'!$C$10:$C$161=$C116),0),
  _xlpm.c, MATCH(AK$8,'3. Enter Indicator Scores'!$D$8:$CZ$8,0),
  _xlpm.v, IFERROR(INDEX('3. Enter Indicator Scores'!$D$10:$CZ$161,_xlpm.r,_xlpm.c),""),
  IF(OR(_xlpm.w="",_xlpm.v=""),"",_xlpm.v*_xlpm.w)
)</f>
        <v/>
      </c>
      <c r="AL116" s="93" t="str" cm="1">
        <f t="array" ref="AL116">_xlfn.LET(
  _xlpm.w, AL$11,
  _xlpm.r, MATCH(1,('3. Enter Indicator Scores'!$B$10:$B$161=$B116)*('3. Enter Indicator Scores'!$C$10:$C$161=$C116),0),
  _xlpm.c, MATCH(AL$8,'3. Enter Indicator Scores'!$D$8:$CZ$8,0),
  _xlpm.v, IFERROR(INDEX('3. Enter Indicator Scores'!$D$10:$CZ$161,_xlpm.r,_xlpm.c),""),
  IF(OR(_xlpm.w="",_xlpm.v=""),"",_xlpm.v*_xlpm.w)
)</f>
        <v/>
      </c>
      <c r="AM116" s="93" t="str" cm="1">
        <f t="array" ref="AM116">_xlfn.LET(
  _xlpm.w, AM$11,
  _xlpm.r, MATCH(1,('3. Enter Indicator Scores'!$B$10:$B$161=$B116)*('3. Enter Indicator Scores'!$C$10:$C$161=$C116),0),
  _xlpm.c, MATCH(AM$8,'3. Enter Indicator Scores'!$D$8:$CZ$8,0),
  _xlpm.v, IFERROR(INDEX('3. Enter Indicator Scores'!$D$10:$CZ$161,_xlpm.r,_xlpm.c),""),
  IF(OR(_xlpm.w="",_xlpm.v=""),"",_xlpm.v*_xlpm.w)
)</f>
        <v/>
      </c>
      <c r="AN116" s="93" t="str" cm="1">
        <f t="array" ref="AN116">_xlfn.LET(
  _xlpm.w, AN$11,
  _xlpm.r, MATCH(1,('3. Enter Indicator Scores'!$B$10:$B$161=$B116)*('3. Enter Indicator Scores'!$C$10:$C$161=$C116),0),
  _xlpm.c, MATCH(AN$8,'3. Enter Indicator Scores'!$D$8:$CZ$8,0),
  _xlpm.v, IFERROR(INDEX('3. Enter Indicator Scores'!$D$10:$CZ$161,_xlpm.r,_xlpm.c),""),
  IF(OR(_xlpm.w="",_xlpm.v=""),"",_xlpm.v*_xlpm.w)
)</f>
        <v/>
      </c>
      <c r="AO116" s="93" t="str" cm="1">
        <f t="array" ref="AO116">_xlfn.LET(
  _xlpm.w, AO$11,
  _xlpm.r, MATCH(1,('3. Enter Indicator Scores'!$B$10:$B$161=$B116)*('3. Enter Indicator Scores'!$C$10:$C$161=$C116),0),
  _xlpm.c, MATCH(AO$8,'3. Enter Indicator Scores'!$D$8:$CZ$8,0),
  _xlpm.v, IFERROR(INDEX('3. Enter Indicator Scores'!$D$10:$CZ$161,_xlpm.r,_xlpm.c),""),
  IF(OR(_xlpm.w="",_xlpm.v=""),"",_xlpm.v*_xlpm.w)
)</f>
        <v/>
      </c>
      <c r="AP116" s="93" t="str" cm="1">
        <f t="array" ref="AP116">_xlfn.LET(
  _xlpm.w, AP$11,
  _xlpm.r, MATCH(1,('3. Enter Indicator Scores'!$B$10:$B$161=$B116)*('3. Enter Indicator Scores'!$C$10:$C$161=$C116),0),
  _xlpm.c, MATCH(AP$8,'3. Enter Indicator Scores'!$D$8:$CZ$8,0),
  _xlpm.v, IFERROR(INDEX('3. Enter Indicator Scores'!$D$10:$CZ$161,_xlpm.r,_xlpm.c),""),
  IF(OR(_xlpm.w="",_xlpm.v=""),"",_xlpm.v*_xlpm.w)
)</f>
        <v/>
      </c>
      <c r="AQ116" s="93" t="str" cm="1">
        <f t="array" ref="AQ116">_xlfn.LET(
  _xlpm.w, AQ$11,
  _xlpm.r, MATCH(1,('3. Enter Indicator Scores'!$B$10:$B$161=$B116)*('3. Enter Indicator Scores'!$C$10:$C$161=$C116),0),
  _xlpm.c, MATCH(AQ$8,'3. Enter Indicator Scores'!$D$8:$CZ$8,0),
  _xlpm.v, IFERROR(INDEX('3. Enter Indicator Scores'!$D$10:$CZ$161,_xlpm.r,_xlpm.c),""),
  IF(OR(_xlpm.w="",_xlpm.v=""),"",_xlpm.v*_xlpm.w)
)</f>
        <v/>
      </c>
      <c r="AR116" s="93" t="str" cm="1">
        <f t="array" ref="AR116">_xlfn.LET(
  _xlpm.w, AR$11,
  _xlpm.r, MATCH(1,('3. Enter Indicator Scores'!$B$10:$B$161=$B116)*('3. Enter Indicator Scores'!$C$10:$C$161=$C116),0),
  _xlpm.c, MATCH(AR$8,'3. Enter Indicator Scores'!$D$8:$CZ$8,0),
  _xlpm.v, IFERROR(INDEX('3. Enter Indicator Scores'!$D$10:$CZ$161,_xlpm.r,_xlpm.c),""),
  IF(OR(_xlpm.w="",_xlpm.v=""),"",_xlpm.v*_xlpm.w)
)</f>
        <v/>
      </c>
      <c r="AS116" s="93" t="str" cm="1">
        <f t="array" ref="AS116">_xlfn.LET(
  _xlpm.w, AS$11,
  _xlpm.r, MATCH(1,('3. Enter Indicator Scores'!$B$10:$B$161=$B116)*('3. Enter Indicator Scores'!$C$10:$C$161=$C116),0),
  _xlpm.c, MATCH(AS$8,'3. Enter Indicator Scores'!$D$8:$CZ$8,0),
  _xlpm.v, IFERROR(INDEX('3. Enter Indicator Scores'!$D$10:$CZ$161,_xlpm.r,_xlpm.c),""),
  IF(OR(_xlpm.w="",_xlpm.v=""),"",_xlpm.v*_xlpm.w)
)</f>
        <v/>
      </c>
      <c r="AT116" s="93" t="str" cm="1">
        <f t="array" ref="AT116">_xlfn.LET(
  _xlpm.w, AT$11,
  _xlpm.r, MATCH(1,('3. Enter Indicator Scores'!$B$10:$B$161=$B116)*('3. Enter Indicator Scores'!$C$10:$C$161=$C116),0),
  _xlpm.c, MATCH(AT$8,'3. Enter Indicator Scores'!$D$8:$CZ$8,0),
  _xlpm.v, IFERROR(INDEX('3. Enter Indicator Scores'!$D$10:$CZ$161,_xlpm.r,_xlpm.c),""),
  IF(OR(_xlpm.w="",_xlpm.v=""),"",_xlpm.v*_xlpm.w)
)</f>
        <v/>
      </c>
      <c r="AU116" s="93" t="str" cm="1">
        <f t="array" ref="AU116">_xlfn.LET(
  _xlpm.w, AU$11,
  _xlpm.r, MATCH(1,('3. Enter Indicator Scores'!$B$10:$B$161=$B116)*('3. Enter Indicator Scores'!$C$10:$C$161=$C116),0),
  _xlpm.c, MATCH(AU$8,'3. Enter Indicator Scores'!$D$8:$CZ$8,0),
  _xlpm.v, IFERROR(INDEX('3. Enter Indicator Scores'!$D$10:$CZ$161,_xlpm.r,_xlpm.c),""),
  IF(OR(_xlpm.w="",_xlpm.v=""),"",_xlpm.v*_xlpm.w)
)</f>
        <v/>
      </c>
      <c r="AV116" s="93" t="str" cm="1">
        <f t="array" ref="AV116">_xlfn.LET(
  _xlpm.w, AV$11,
  _xlpm.r, MATCH(1,('3. Enter Indicator Scores'!$B$10:$B$161=$B116)*('3. Enter Indicator Scores'!$C$10:$C$161=$C116),0),
  _xlpm.c, MATCH(AV$8,'3. Enter Indicator Scores'!$D$8:$CZ$8,0),
  _xlpm.v, IFERROR(INDEX('3. Enter Indicator Scores'!$D$10:$CZ$161,_xlpm.r,_xlpm.c),""),
  IF(OR(_xlpm.w="",_xlpm.v=""),"",_xlpm.v*_xlpm.w)
)</f>
        <v/>
      </c>
      <c r="AW116" s="93" t="str" cm="1">
        <f t="array" ref="AW116">_xlfn.LET(
  _xlpm.w, AW$11,
  _xlpm.r, MATCH(1,('3. Enter Indicator Scores'!$B$10:$B$161=$B116)*('3. Enter Indicator Scores'!$C$10:$C$161=$C116),0),
  _xlpm.c, MATCH(AW$8,'3. Enter Indicator Scores'!$D$8:$CZ$8,0),
  _xlpm.v, IFERROR(INDEX('3. Enter Indicator Scores'!$D$10:$CZ$161,_xlpm.r,_xlpm.c),""),
  IF(OR(_xlpm.w="",_xlpm.v=""),"",_xlpm.v*_xlpm.w)
)</f>
        <v/>
      </c>
      <c r="AX116" s="93" t="str" cm="1">
        <f t="array" ref="AX116">_xlfn.LET(
  _xlpm.w, AX$11,
  _xlpm.r, MATCH(1,('3. Enter Indicator Scores'!$B$10:$B$161=$B116)*('3. Enter Indicator Scores'!$C$10:$C$161=$C116),0),
  _xlpm.c, MATCH(AX$8,'3. Enter Indicator Scores'!$D$8:$CZ$8,0),
  _xlpm.v, IFERROR(INDEX('3. Enter Indicator Scores'!$D$10:$CZ$161,_xlpm.r,_xlpm.c),""),
  IF(OR(_xlpm.w="",_xlpm.v=""),"",_xlpm.v*_xlpm.w)
)</f>
        <v/>
      </c>
      <c r="AY116" s="93" t="str" cm="1">
        <f t="array" ref="AY116">_xlfn.LET(
  _xlpm.w, AY$11,
  _xlpm.r, MATCH(1,('3. Enter Indicator Scores'!$B$10:$B$161=$B116)*('3. Enter Indicator Scores'!$C$10:$C$161=$C116),0),
  _xlpm.c, MATCH(AY$8,'3. Enter Indicator Scores'!$D$8:$CZ$8,0),
  _xlpm.v, IFERROR(INDEX('3. Enter Indicator Scores'!$D$10:$CZ$161,_xlpm.r,_xlpm.c),""),
  IF(OR(_xlpm.w="",_xlpm.v=""),"",_xlpm.v*_xlpm.w)
)</f>
        <v/>
      </c>
      <c r="AZ116" s="93" t="str" cm="1">
        <f t="array" ref="AZ116">_xlfn.LET(
  _xlpm.w, AZ$11,
  _xlpm.r, MATCH(1,('3. Enter Indicator Scores'!$B$10:$B$161=$B116)*('3. Enter Indicator Scores'!$C$10:$C$161=$C116),0),
  _xlpm.c, MATCH(AZ$8,'3. Enter Indicator Scores'!$D$8:$CZ$8,0),
  _xlpm.v, IFERROR(INDEX('3. Enter Indicator Scores'!$D$10:$CZ$161,_xlpm.r,_xlpm.c),""),
  IF(OR(_xlpm.w="",_xlpm.v=""),"",_xlpm.v*_xlpm.w)
)</f>
        <v/>
      </c>
      <c r="BA116" s="93" t="str" cm="1">
        <f t="array" ref="BA116">_xlfn.LET(
  _xlpm.w, BA$11,
  _xlpm.r, MATCH(1,('3. Enter Indicator Scores'!$B$10:$B$161=$B116)*('3. Enter Indicator Scores'!$C$10:$C$161=$C116),0),
  _xlpm.c, MATCH(BA$8,'3. Enter Indicator Scores'!$D$8:$CZ$8,0),
  _xlpm.v, IFERROR(INDEX('3. Enter Indicator Scores'!$D$10:$CZ$161,_xlpm.r,_xlpm.c),""),
  IF(OR(_xlpm.w="",_xlpm.v=""),"",_xlpm.v*_xlpm.w)
)</f>
        <v/>
      </c>
      <c r="BB116" s="93" t="str" cm="1">
        <f t="array" ref="BB116">_xlfn.LET(
  _xlpm.w, BB$11,
  _xlpm.r, MATCH(1,('3. Enter Indicator Scores'!$B$10:$B$161=$B116)*('3. Enter Indicator Scores'!$C$10:$C$161=$C116),0),
  _xlpm.c, MATCH(BB$8,'3. Enter Indicator Scores'!$D$8:$CZ$8,0),
  _xlpm.v, IFERROR(INDEX('3. Enter Indicator Scores'!$D$10:$CZ$161,_xlpm.r,_xlpm.c),""),
  IF(OR(_xlpm.w="",_xlpm.v=""),"",_xlpm.v*_xlpm.w)
)</f>
        <v/>
      </c>
      <c r="BC116" s="93" t="str" cm="1">
        <f t="array" ref="BC116">_xlfn.LET(
  _xlpm.w, BC$11,
  _xlpm.r, MATCH(1,('3. Enter Indicator Scores'!$B$10:$B$161=$B116)*('3. Enter Indicator Scores'!$C$10:$C$161=$C116),0),
  _xlpm.c, MATCH(BC$8,'3. Enter Indicator Scores'!$D$8:$CZ$8,0),
  _xlpm.v, IFERROR(INDEX('3. Enter Indicator Scores'!$D$10:$CZ$161,_xlpm.r,_xlpm.c),""),
  IF(OR(_xlpm.w="",_xlpm.v=""),"",_xlpm.v*_xlpm.w)
)</f>
        <v/>
      </c>
      <c r="BD116" s="93" t="str" cm="1">
        <f t="array" ref="BD116">_xlfn.LET(
  _xlpm.w, BD$11,
  _xlpm.r, MATCH(1,('3. Enter Indicator Scores'!$B$10:$B$161=$B116)*('3. Enter Indicator Scores'!$C$10:$C$161=$C116),0),
  _xlpm.c, MATCH(BD$8,'3. Enter Indicator Scores'!$D$8:$CZ$8,0),
  _xlpm.v, IFERROR(INDEX('3. Enter Indicator Scores'!$D$10:$CZ$161,_xlpm.r,_xlpm.c),""),
  IF(OR(_xlpm.w="",_xlpm.v=""),"",_xlpm.v*_xlpm.w)
)</f>
        <v/>
      </c>
      <c r="BE116" s="93" t="str" cm="1">
        <f t="array" ref="BE116">_xlfn.LET(
  _xlpm.w, BE$11,
  _xlpm.r, MATCH(1,('3. Enter Indicator Scores'!$B$10:$B$161=$B116)*('3. Enter Indicator Scores'!$C$10:$C$161=$C116),0),
  _xlpm.c, MATCH(BE$8,'3. Enter Indicator Scores'!$D$8:$CZ$8,0),
  _xlpm.v, IFERROR(INDEX('3. Enter Indicator Scores'!$D$10:$CZ$161,_xlpm.r,_xlpm.c),""),
  IF(OR(_xlpm.w="",_xlpm.v=""),"",_xlpm.v*_xlpm.w)
)</f>
        <v/>
      </c>
      <c r="BF116" s="93" t="str" cm="1">
        <f t="array" ref="BF116">_xlfn.LET(
  _xlpm.w, BF$11,
  _xlpm.r, MATCH(1,('3. Enter Indicator Scores'!$B$10:$B$161=$B116)*('3. Enter Indicator Scores'!$C$10:$C$161=$C116),0),
  _xlpm.c, MATCH(BF$8,'3. Enter Indicator Scores'!$D$8:$CZ$8,0),
  _xlpm.v, IFERROR(INDEX('3. Enter Indicator Scores'!$D$10:$CZ$161,_xlpm.r,_xlpm.c),""),
  IF(OR(_xlpm.w="",_xlpm.v=""),"",_xlpm.v*_xlpm.w)
)</f>
        <v/>
      </c>
      <c r="BG116" s="93" t="str" cm="1">
        <f t="array" ref="BG116">_xlfn.LET(
  _xlpm.w, BG$11,
  _xlpm.r, MATCH(1,('3. Enter Indicator Scores'!$B$10:$B$161=$B116)*('3. Enter Indicator Scores'!$C$10:$C$161=$C116),0),
  _xlpm.c, MATCH(BG$8,'3. Enter Indicator Scores'!$D$8:$CZ$8,0),
  _xlpm.v, IFERROR(INDEX('3. Enter Indicator Scores'!$D$10:$CZ$161,_xlpm.r,_xlpm.c),""),
  IF(OR(_xlpm.w="",_xlpm.v=""),"",_xlpm.v*_xlpm.w)
)</f>
        <v/>
      </c>
      <c r="BH116" s="93" t="str" cm="1">
        <f t="array" ref="BH116">_xlfn.LET(
  _xlpm.w, BH$11,
  _xlpm.r, MATCH(1,('3. Enter Indicator Scores'!$B$10:$B$161=$B116)*('3. Enter Indicator Scores'!$C$10:$C$161=$C116),0),
  _xlpm.c, MATCH(BH$8,'3. Enter Indicator Scores'!$D$8:$CZ$8,0),
  _xlpm.v, IFERROR(INDEX('3. Enter Indicator Scores'!$D$10:$CZ$161,_xlpm.r,_xlpm.c),""),
  IF(OR(_xlpm.w="",_xlpm.v=""),"",_xlpm.v*_xlpm.w)
)</f>
        <v/>
      </c>
      <c r="BI116" s="93" t="str" cm="1">
        <f t="array" ref="BI116">_xlfn.LET(
  _xlpm.w, BI$11,
  _xlpm.r, MATCH(1,('3. Enter Indicator Scores'!$B$10:$B$161=$B116)*('3. Enter Indicator Scores'!$C$10:$C$161=$C116),0),
  _xlpm.c, MATCH(BI$8,'3. Enter Indicator Scores'!$D$8:$CZ$8,0),
  _xlpm.v, IFERROR(INDEX('3. Enter Indicator Scores'!$D$10:$CZ$161,_xlpm.r,_xlpm.c),""),
  IF(OR(_xlpm.w="",_xlpm.v=""),"",_xlpm.v*_xlpm.w)
)</f>
        <v/>
      </c>
      <c r="BJ116" s="93" t="str" cm="1">
        <f t="array" ref="BJ116">_xlfn.LET(
  _xlpm.w, BJ$11,
  _xlpm.r, MATCH(1,('3. Enter Indicator Scores'!$B$10:$B$161=$B116)*('3. Enter Indicator Scores'!$C$10:$C$161=$C116),0),
  _xlpm.c, MATCH(BJ$8,'3. Enter Indicator Scores'!$D$8:$CZ$8,0),
  _xlpm.v, IFERROR(INDEX('3. Enter Indicator Scores'!$D$10:$CZ$161,_xlpm.r,_xlpm.c),""),
  IF(OR(_xlpm.w="",_xlpm.v=""),"",_xlpm.v*_xlpm.w)
)</f>
        <v/>
      </c>
      <c r="BK116" s="93" t="str" cm="1">
        <f t="array" ref="BK116">_xlfn.LET(
  _xlpm.w, BK$11,
  _xlpm.r, MATCH(1,('3. Enter Indicator Scores'!$B$10:$B$161=$B116)*('3. Enter Indicator Scores'!$C$10:$C$161=$C116),0),
  _xlpm.c, MATCH(BK$8,'3. Enter Indicator Scores'!$D$8:$CZ$8,0),
  _xlpm.v, IFERROR(INDEX('3. Enter Indicator Scores'!$D$10:$CZ$161,_xlpm.r,_xlpm.c),""),
  IF(OR(_xlpm.w="",_xlpm.v=""),"",_xlpm.v*_xlpm.w)
)</f>
        <v/>
      </c>
      <c r="BL116" s="93" t="str" cm="1">
        <f t="array" ref="BL116">_xlfn.LET(
  _xlpm.w, BL$11,
  _xlpm.r, MATCH(1,('3. Enter Indicator Scores'!$B$10:$B$161=$B116)*('3. Enter Indicator Scores'!$C$10:$C$161=$C116),0),
  _xlpm.c, MATCH(BL$8,'3. Enter Indicator Scores'!$D$8:$CZ$8,0),
  _xlpm.v, IFERROR(INDEX('3. Enter Indicator Scores'!$D$10:$CZ$161,_xlpm.r,_xlpm.c),""),
  IF(OR(_xlpm.w="",_xlpm.v=""),"",_xlpm.v*_xlpm.w)
)</f>
        <v/>
      </c>
      <c r="BM116" s="93" t="str" cm="1">
        <f t="array" ref="BM116">_xlfn.LET(
  _xlpm.w, BM$11,
  _xlpm.r, MATCH(1,('3. Enter Indicator Scores'!$B$10:$B$161=$B116)*('3. Enter Indicator Scores'!$C$10:$C$161=$C116),0),
  _xlpm.c, MATCH(BM$8,'3. Enter Indicator Scores'!$D$8:$CZ$8,0),
  _xlpm.v, IFERROR(INDEX('3. Enter Indicator Scores'!$D$10:$CZ$161,_xlpm.r,_xlpm.c),""),
  IF(OR(_xlpm.w="",_xlpm.v=""),"",_xlpm.v*_xlpm.w)
)</f>
        <v/>
      </c>
      <c r="BN116" s="93" t="str" cm="1">
        <f t="array" ref="BN116">_xlfn.LET(
  _xlpm.w, BN$11,
  _xlpm.r, MATCH(1,('3. Enter Indicator Scores'!$B$10:$B$161=$B116)*('3. Enter Indicator Scores'!$C$10:$C$161=$C116),0),
  _xlpm.c, MATCH(BN$8,'3. Enter Indicator Scores'!$D$8:$CZ$8,0),
  _xlpm.v, IFERROR(INDEX('3. Enter Indicator Scores'!$D$10:$CZ$161,_xlpm.r,_xlpm.c),""),
  IF(OR(_xlpm.w="",_xlpm.v=""),"",_xlpm.v*_xlpm.w)
)</f>
        <v/>
      </c>
      <c r="BO116" s="93" t="str" cm="1">
        <f t="array" ref="BO116">_xlfn.LET(
  _xlpm.w, BO$11,
  _xlpm.r, MATCH(1,('3. Enter Indicator Scores'!$B$10:$B$161=$B116)*('3. Enter Indicator Scores'!$C$10:$C$161=$C116),0),
  _xlpm.c, MATCH(BO$8,'3. Enter Indicator Scores'!$D$8:$CZ$8,0),
  _xlpm.v, IFERROR(INDEX('3. Enter Indicator Scores'!$D$10:$CZ$161,_xlpm.r,_xlpm.c),""),
  IF(OR(_xlpm.w="",_xlpm.v=""),"",_xlpm.v*_xlpm.w)
)</f>
        <v/>
      </c>
      <c r="BP116" s="93" t="str" cm="1">
        <f t="array" ref="BP116">_xlfn.LET(
  _xlpm.w, BP$11,
  _xlpm.r, MATCH(1,('3. Enter Indicator Scores'!$B$10:$B$161=$B116)*('3. Enter Indicator Scores'!$C$10:$C$161=$C116),0),
  _xlpm.c, MATCH(BP$8,'3. Enter Indicator Scores'!$D$8:$CZ$8,0),
  _xlpm.v, IFERROR(INDEX('3. Enter Indicator Scores'!$D$10:$CZ$161,_xlpm.r,_xlpm.c),""),
  IF(OR(_xlpm.w="",_xlpm.v=""),"",_xlpm.v*_xlpm.w)
)</f>
        <v/>
      </c>
      <c r="BQ116" s="93" t="str" cm="1">
        <f t="array" ref="BQ116">_xlfn.LET(
  _xlpm.w, BQ$11,
  _xlpm.r, MATCH(1,('3. Enter Indicator Scores'!$B$10:$B$161=$B116)*('3. Enter Indicator Scores'!$C$10:$C$161=$C116),0),
  _xlpm.c, MATCH(BQ$8,'3. Enter Indicator Scores'!$D$8:$CZ$8,0),
  _xlpm.v, IFERROR(INDEX('3. Enter Indicator Scores'!$D$10:$CZ$161,_xlpm.r,_xlpm.c),""),
  IF(OR(_xlpm.w="",_xlpm.v=""),"",_xlpm.v*_xlpm.w)
)</f>
        <v/>
      </c>
      <c r="BR116" s="93" t="str" cm="1">
        <f t="array" ref="BR116">_xlfn.LET(
  _xlpm.w, BR$11,
  _xlpm.r, MATCH(1,('3. Enter Indicator Scores'!$B$10:$B$161=$B116)*('3. Enter Indicator Scores'!$C$10:$C$161=$C116),0),
  _xlpm.c, MATCH(BR$8,'3. Enter Indicator Scores'!$D$8:$CZ$8,0),
  _xlpm.v, IFERROR(INDEX('3. Enter Indicator Scores'!$D$10:$CZ$161,_xlpm.r,_xlpm.c),""),
  IF(OR(_xlpm.w="",_xlpm.v=""),"",_xlpm.v*_xlpm.w)
)</f>
        <v/>
      </c>
      <c r="BS116" s="93" t="str" cm="1">
        <f t="array" ref="BS116">_xlfn.LET(
  _xlpm.w, BS$11,
  _xlpm.r, MATCH(1,('3. Enter Indicator Scores'!$B$10:$B$161=$B116)*('3. Enter Indicator Scores'!$C$10:$C$161=$C116),0),
  _xlpm.c, MATCH(BS$8,'3. Enter Indicator Scores'!$D$8:$CZ$8,0),
  _xlpm.v, IFERROR(INDEX('3. Enter Indicator Scores'!$D$10:$CZ$161,_xlpm.r,_xlpm.c),""),
  IF(OR(_xlpm.w="",_xlpm.v=""),"",_xlpm.v*_xlpm.w)
)</f>
        <v/>
      </c>
      <c r="BT116" s="93" t="str" cm="1">
        <f t="array" ref="BT116">_xlfn.LET(
  _xlpm.w, BT$11,
  _xlpm.r, MATCH(1,('3. Enter Indicator Scores'!$B$10:$B$161=$B116)*('3. Enter Indicator Scores'!$C$10:$C$161=$C116),0),
  _xlpm.c, MATCH(BT$8,'3. Enter Indicator Scores'!$D$8:$CZ$8,0),
  _xlpm.v, IFERROR(INDEX('3. Enter Indicator Scores'!$D$10:$CZ$161,_xlpm.r,_xlpm.c),""),
  IF(OR(_xlpm.w="",_xlpm.v=""),"",_xlpm.v*_xlpm.w)
)</f>
        <v/>
      </c>
      <c r="BU116" s="93" t="str" cm="1">
        <f t="array" ref="BU116">_xlfn.LET(
  _xlpm.w, BU$11,
  _xlpm.r, MATCH(1,('3. Enter Indicator Scores'!$B$10:$B$161=$B116)*('3. Enter Indicator Scores'!$C$10:$C$161=$C116),0),
  _xlpm.c, MATCH(BU$8,'3. Enter Indicator Scores'!$D$8:$CZ$8,0),
  _xlpm.v, IFERROR(INDEX('3. Enter Indicator Scores'!$D$10:$CZ$161,_xlpm.r,_xlpm.c),""),
  IF(OR(_xlpm.w="",_xlpm.v=""),"",_xlpm.v*_xlpm.w)
)</f>
        <v/>
      </c>
      <c r="BV116" s="93" t="str" cm="1">
        <f t="array" ref="BV116">_xlfn.LET(
  _xlpm.w, BV$11,
  _xlpm.r, MATCH(1,('3. Enter Indicator Scores'!$B$10:$B$161=$B116)*('3. Enter Indicator Scores'!$C$10:$C$161=$C116),0),
  _xlpm.c, MATCH(BV$8,'3. Enter Indicator Scores'!$D$8:$CZ$8,0),
  _xlpm.v, IFERROR(INDEX('3. Enter Indicator Scores'!$D$10:$CZ$161,_xlpm.r,_xlpm.c),""),
  IF(OR(_xlpm.w="",_xlpm.v=""),"",_xlpm.v*_xlpm.w)
)</f>
        <v/>
      </c>
      <c r="BW116" s="93" t="str" cm="1">
        <f t="array" ref="BW116">_xlfn.LET(
  _xlpm.w, BW$11,
  _xlpm.r, MATCH(1,('3. Enter Indicator Scores'!$B$10:$B$161=$B116)*('3. Enter Indicator Scores'!$C$10:$C$161=$C116),0),
  _xlpm.c, MATCH(BW$8,'3. Enter Indicator Scores'!$D$8:$CZ$8,0),
  _xlpm.v, IFERROR(INDEX('3. Enter Indicator Scores'!$D$10:$CZ$161,_xlpm.r,_xlpm.c),""),
  IF(OR(_xlpm.w="",_xlpm.v=""),"",_xlpm.v*_xlpm.w)
)</f>
        <v/>
      </c>
      <c r="BX116" s="93" t="str" cm="1">
        <f t="array" ref="BX116">_xlfn.LET(
  _xlpm.w, BX$11,
  _xlpm.r, MATCH(1,('3. Enter Indicator Scores'!$B$10:$B$161=$B116)*('3. Enter Indicator Scores'!$C$10:$C$161=$C116),0),
  _xlpm.c, MATCH(BX$8,'3. Enter Indicator Scores'!$D$8:$CZ$8,0),
  _xlpm.v, IFERROR(INDEX('3. Enter Indicator Scores'!$D$10:$CZ$161,_xlpm.r,_xlpm.c),""),
  IF(OR(_xlpm.w="",_xlpm.v=""),"",_xlpm.v*_xlpm.w)
)</f>
        <v/>
      </c>
      <c r="BY116" s="93" t="str" cm="1">
        <f t="array" ref="BY116">_xlfn.LET(
  _xlpm.w, BY$11,
  _xlpm.r, MATCH(1,('3. Enter Indicator Scores'!$B$10:$B$161=$B116)*('3. Enter Indicator Scores'!$C$10:$C$161=$C116),0),
  _xlpm.c, MATCH(BY$8,'3. Enter Indicator Scores'!$D$8:$CZ$8,0),
  _xlpm.v, IFERROR(INDEX('3. Enter Indicator Scores'!$D$10:$CZ$161,_xlpm.r,_xlpm.c),""),
  IF(OR(_xlpm.w="",_xlpm.v=""),"",_xlpm.v*_xlpm.w)
)</f>
        <v/>
      </c>
      <c r="BZ116" s="93" t="str" cm="1">
        <f t="array" ref="BZ116">_xlfn.LET(
  _xlpm.w, BZ$11,
  _xlpm.r, MATCH(1,('3. Enter Indicator Scores'!$B$10:$B$161=$B116)*('3. Enter Indicator Scores'!$C$10:$C$161=$C116),0),
  _xlpm.c, MATCH(BZ$8,'3. Enter Indicator Scores'!$D$8:$CZ$8,0),
  _xlpm.v, IFERROR(INDEX('3. Enter Indicator Scores'!$D$10:$CZ$161,_xlpm.r,_xlpm.c),""),
  IF(OR(_xlpm.w="",_xlpm.v=""),"",_xlpm.v*_xlpm.w)
)</f>
        <v/>
      </c>
      <c r="CA116" s="93" t="str" cm="1">
        <f t="array" ref="CA116">_xlfn.LET(
  _xlpm.w, CA$11,
  _xlpm.r, MATCH(1,('3. Enter Indicator Scores'!$B$10:$B$161=$B116)*('3. Enter Indicator Scores'!$C$10:$C$161=$C116),0),
  _xlpm.c, MATCH(CA$8,'3. Enter Indicator Scores'!$D$8:$CZ$8,0),
  _xlpm.v, IFERROR(INDEX('3. Enter Indicator Scores'!$D$10:$CZ$161,_xlpm.r,_xlpm.c),""),
  IF(OR(_xlpm.w="",_xlpm.v=""),"",_xlpm.v*_xlpm.w)
)</f>
        <v/>
      </c>
      <c r="CB116" s="93" t="str" cm="1">
        <f t="array" ref="CB116">_xlfn.LET(
  _xlpm.w, CB$11,
  _xlpm.r, MATCH(1,('3. Enter Indicator Scores'!$B$10:$B$161=$B116)*('3. Enter Indicator Scores'!$C$10:$C$161=$C116),0),
  _xlpm.c, MATCH(CB$8,'3. Enter Indicator Scores'!$D$8:$CZ$8,0),
  _xlpm.v, IFERROR(INDEX('3. Enter Indicator Scores'!$D$10:$CZ$161,_xlpm.r,_xlpm.c),""),
  IF(OR(_xlpm.w="",_xlpm.v=""),"",_xlpm.v*_xlpm.w)
)</f>
        <v/>
      </c>
      <c r="CC116" s="93" t="str" cm="1">
        <f t="array" ref="CC116">_xlfn.LET(
  _xlpm.w, CC$11,
  _xlpm.r, MATCH(1,('3. Enter Indicator Scores'!$B$10:$B$161=$B116)*('3. Enter Indicator Scores'!$C$10:$C$161=$C116),0),
  _xlpm.c, MATCH(CC$8,'3. Enter Indicator Scores'!$D$8:$CZ$8,0),
  _xlpm.v, IFERROR(INDEX('3. Enter Indicator Scores'!$D$10:$CZ$161,_xlpm.r,_xlpm.c),""),
  IF(OR(_xlpm.w="",_xlpm.v=""),"",_xlpm.v*_xlpm.w)
)</f>
        <v/>
      </c>
      <c r="CD116" s="93" t="str" cm="1">
        <f t="array" ref="CD116">_xlfn.LET(
  _xlpm.w, CD$11,
  _xlpm.r, MATCH(1,('3. Enter Indicator Scores'!$B$10:$B$161=$B116)*('3. Enter Indicator Scores'!$C$10:$C$161=$C116),0),
  _xlpm.c, MATCH(CD$8,'3. Enter Indicator Scores'!$D$8:$CZ$8,0),
  _xlpm.v, IFERROR(INDEX('3. Enter Indicator Scores'!$D$10:$CZ$161,_xlpm.r,_xlpm.c),""),
  IF(OR(_xlpm.w="",_xlpm.v=""),"",_xlpm.v*_xlpm.w)
)</f>
        <v/>
      </c>
      <c r="CE116" s="93" t="str" cm="1">
        <f t="array" ref="CE116">_xlfn.LET(
  _xlpm.w, CE$11,
  _xlpm.r, MATCH(1,('3. Enter Indicator Scores'!$B$10:$B$161=$B116)*('3. Enter Indicator Scores'!$C$10:$C$161=$C116),0),
  _xlpm.c, MATCH(CE$8,'3. Enter Indicator Scores'!$D$8:$CZ$8,0),
  _xlpm.v, IFERROR(INDEX('3. Enter Indicator Scores'!$D$10:$CZ$161,_xlpm.r,_xlpm.c),""),
  IF(OR(_xlpm.w="",_xlpm.v=""),"",_xlpm.v*_xlpm.w)
)</f>
        <v/>
      </c>
      <c r="CF116" s="93" t="str" cm="1">
        <f t="array" ref="CF116">_xlfn.LET(
  _xlpm.w, CF$11,
  _xlpm.r, MATCH(1,('3. Enter Indicator Scores'!$B$10:$B$161=$B116)*('3. Enter Indicator Scores'!$C$10:$C$161=$C116),0),
  _xlpm.c, MATCH(CF$8,'3. Enter Indicator Scores'!$D$8:$CZ$8,0),
  _xlpm.v, IFERROR(INDEX('3. Enter Indicator Scores'!$D$10:$CZ$161,_xlpm.r,_xlpm.c),""),
  IF(OR(_xlpm.w="",_xlpm.v=""),"",_xlpm.v*_xlpm.w)
)</f>
        <v/>
      </c>
      <c r="CG116" s="93" t="str" cm="1">
        <f t="array" ref="CG116">_xlfn.LET(
  _xlpm.w, CG$11,
  _xlpm.r, MATCH(1,('3. Enter Indicator Scores'!$B$10:$B$161=$B116)*('3. Enter Indicator Scores'!$C$10:$C$161=$C116),0),
  _xlpm.c, MATCH(CG$8,'3. Enter Indicator Scores'!$D$8:$CZ$8,0),
  _xlpm.v, IFERROR(INDEX('3. Enter Indicator Scores'!$D$10:$CZ$161,_xlpm.r,_xlpm.c),""),
  IF(OR(_xlpm.w="",_xlpm.v=""),"",_xlpm.v*_xlpm.w)
)</f>
        <v/>
      </c>
      <c r="CH116" s="93" t="str" cm="1">
        <f t="array" ref="CH116">_xlfn.LET(
  _xlpm.w, CH$11,
  _xlpm.r, MATCH(1,('3. Enter Indicator Scores'!$B$10:$B$161=$B116)*('3. Enter Indicator Scores'!$C$10:$C$161=$C116),0),
  _xlpm.c, MATCH(CH$8,'3. Enter Indicator Scores'!$D$8:$CZ$8,0),
  _xlpm.v, IFERROR(INDEX('3. Enter Indicator Scores'!$D$10:$CZ$161,_xlpm.r,_xlpm.c),""),
  IF(OR(_xlpm.w="",_xlpm.v=""),"",_xlpm.v*_xlpm.w)
)</f>
        <v/>
      </c>
      <c r="CI116" s="93" t="str" cm="1">
        <f t="array" ref="CI116">_xlfn.LET(
  _xlpm.w, CI$11,
  _xlpm.r, MATCH(1,('3. Enter Indicator Scores'!$B$10:$B$161=$B116)*('3. Enter Indicator Scores'!$C$10:$C$161=$C116),0),
  _xlpm.c, MATCH(CI$8,'3. Enter Indicator Scores'!$D$8:$CZ$8,0),
  _xlpm.v, IFERROR(INDEX('3. Enter Indicator Scores'!$D$10:$CZ$161,_xlpm.r,_xlpm.c),""),
  IF(OR(_xlpm.w="",_xlpm.v=""),"",_xlpm.v*_xlpm.w)
)</f>
        <v/>
      </c>
      <c r="CJ116" s="93" t="str" cm="1">
        <f t="array" ref="CJ116">_xlfn.LET(
  _xlpm.w, CJ$11,
  _xlpm.r, MATCH(1,('3. Enter Indicator Scores'!$B$10:$B$161=$B116)*('3. Enter Indicator Scores'!$C$10:$C$161=$C116),0),
  _xlpm.c, MATCH(CJ$8,'3. Enter Indicator Scores'!$D$8:$CZ$8,0),
  _xlpm.v, IFERROR(INDEX('3. Enter Indicator Scores'!$D$10:$CZ$161,_xlpm.r,_xlpm.c),""),
  IF(OR(_xlpm.w="",_xlpm.v=""),"",_xlpm.v*_xlpm.w)
)</f>
        <v/>
      </c>
      <c r="CK116" s="93" t="str" cm="1">
        <f t="array" ref="CK116">_xlfn.LET(
  _xlpm.w, CK$11,
  _xlpm.r, MATCH(1,('3. Enter Indicator Scores'!$B$10:$B$161=$B116)*('3. Enter Indicator Scores'!$C$10:$C$161=$C116),0),
  _xlpm.c, MATCH(CK$8,'3. Enter Indicator Scores'!$D$8:$CZ$8,0),
  _xlpm.v, IFERROR(INDEX('3. Enter Indicator Scores'!$D$10:$CZ$161,_xlpm.r,_xlpm.c),""),
  IF(OR(_xlpm.w="",_xlpm.v=""),"",_xlpm.v*_xlpm.w)
)</f>
        <v/>
      </c>
      <c r="CL116" s="93" t="str" cm="1">
        <f t="array" ref="CL116">_xlfn.LET(
  _xlpm.w, CL$11,
  _xlpm.r, MATCH(1,('3. Enter Indicator Scores'!$B$10:$B$161=$B116)*('3. Enter Indicator Scores'!$C$10:$C$161=$C116),0),
  _xlpm.c, MATCH(CL$8,'3. Enter Indicator Scores'!$D$8:$CZ$8,0),
  _xlpm.v, IFERROR(INDEX('3. Enter Indicator Scores'!$D$10:$CZ$161,_xlpm.r,_xlpm.c),""),
  IF(OR(_xlpm.w="",_xlpm.v=""),"",_xlpm.v*_xlpm.w)
)</f>
        <v/>
      </c>
      <c r="CM116" s="93" t="str" cm="1">
        <f t="array" ref="CM116">_xlfn.LET(
  _xlpm.w, CM$11,
  _xlpm.r, MATCH(1,('3. Enter Indicator Scores'!$B$10:$B$161=$B116)*('3. Enter Indicator Scores'!$C$10:$C$161=$C116),0),
  _xlpm.c, MATCH(CM$8,'3. Enter Indicator Scores'!$D$8:$CZ$8,0),
  _xlpm.v, IFERROR(INDEX('3. Enter Indicator Scores'!$D$10:$CZ$161,_xlpm.r,_xlpm.c),""),
  IF(OR(_xlpm.w="",_xlpm.v=""),"",_xlpm.v*_xlpm.w)
)</f>
        <v/>
      </c>
      <c r="CN116" s="93" t="str" cm="1">
        <f t="array" ref="CN116">_xlfn.LET(
  _xlpm.w, CN$11,
  _xlpm.r, MATCH(1,('3. Enter Indicator Scores'!$B$10:$B$161=$B116)*('3. Enter Indicator Scores'!$C$10:$C$161=$C116),0),
  _xlpm.c, MATCH(CN$8,'3. Enter Indicator Scores'!$D$8:$CZ$8,0),
  _xlpm.v, IFERROR(INDEX('3. Enter Indicator Scores'!$D$10:$CZ$161,_xlpm.r,_xlpm.c),""),
  IF(OR(_xlpm.w="",_xlpm.v=""),"",_xlpm.v*_xlpm.w)
)</f>
        <v/>
      </c>
      <c r="CO116" s="93" t="str" cm="1">
        <f t="array" ref="CO116">_xlfn.LET(
  _xlpm.w, CO$11,
  _xlpm.r, MATCH(1,('3. Enter Indicator Scores'!$B$10:$B$161=$B116)*('3. Enter Indicator Scores'!$C$10:$C$161=$C116),0),
  _xlpm.c, MATCH(CO$8,'3. Enter Indicator Scores'!$D$8:$CZ$8,0),
  _xlpm.v, IFERROR(INDEX('3. Enter Indicator Scores'!$D$10:$CZ$161,_xlpm.r,_xlpm.c),""),
  IF(OR(_xlpm.w="",_xlpm.v=""),"",_xlpm.v*_xlpm.w)
)</f>
        <v/>
      </c>
      <c r="CP116" s="93" t="str" cm="1">
        <f t="array" ref="CP116">_xlfn.LET(
  _xlpm.w, CP$11,
  _xlpm.r, MATCH(1,('3. Enter Indicator Scores'!$B$10:$B$161=$B116)*('3. Enter Indicator Scores'!$C$10:$C$161=$C116),0),
  _xlpm.c, MATCH(CP$8,'3. Enter Indicator Scores'!$D$8:$CZ$8,0),
  _xlpm.v, IFERROR(INDEX('3. Enter Indicator Scores'!$D$10:$CZ$161,_xlpm.r,_xlpm.c),""),
  IF(OR(_xlpm.w="",_xlpm.v=""),"",_xlpm.v*_xlpm.w)
)</f>
        <v/>
      </c>
      <c r="CQ116" s="93" t="str" cm="1">
        <f t="array" ref="CQ116">_xlfn.LET(
  _xlpm.w, CQ$11,
  _xlpm.r, MATCH(1,('3. Enter Indicator Scores'!$B$10:$B$161=$B116)*('3. Enter Indicator Scores'!$C$10:$C$161=$C116),0),
  _xlpm.c, MATCH(CQ$8,'3. Enter Indicator Scores'!$D$8:$CZ$8,0),
  _xlpm.v, IFERROR(INDEX('3. Enter Indicator Scores'!$D$10:$CZ$161,_xlpm.r,_xlpm.c),""),
  IF(OR(_xlpm.w="",_xlpm.v=""),"",_xlpm.v*_xlpm.w)
)</f>
        <v/>
      </c>
      <c r="CR116" s="93" t="str" cm="1">
        <f t="array" ref="CR116">_xlfn.LET(
  _xlpm.w, CR$11,
  _xlpm.r, MATCH(1,('3. Enter Indicator Scores'!$B$10:$B$161=$B116)*('3. Enter Indicator Scores'!$C$10:$C$161=$C116),0),
  _xlpm.c, MATCH(CR$8,'3. Enter Indicator Scores'!$D$8:$CZ$8,0),
  _xlpm.v, IFERROR(INDEX('3. Enter Indicator Scores'!$D$10:$CZ$161,_xlpm.r,_xlpm.c),""),
  IF(OR(_xlpm.w="",_xlpm.v=""),"",_xlpm.v*_xlpm.w)
)</f>
        <v/>
      </c>
      <c r="CS116" s="93" t="str" cm="1">
        <f t="array" ref="CS116">_xlfn.LET(
  _xlpm.w, CS$11,
  _xlpm.r, MATCH(1,('3. Enter Indicator Scores'!$B$10:$B$161=$B116)*('3. Enter Indicator Scores'!$C$10:$C$161=$C116),0),
  _xlpm.c, MATCH(CS$8,'3. Enter Indicator Scores'!$D$8:$CZ$8,0),
  _xlpm.v, IFERROR(INDEX('3. Enter Indicator Scores'!$D$10:$CZ$161,_xlpm.r,_xlpm.c),""),
  IF(OR(_xlpm.w="",_xlpm.v=""),"",_xlpm.v*_xlpm.w)
)</f>
        <v/>
      </c>
      <c r="CT116" s="93" t="str" cm="1">
        <f t="array" ref="CT116">_xlfn.LET(
  _xlpm.w, CT$11,
  _xlpm.r, MATCH(1,('3. Enter Indicator Scores'!$B$10:$B$161=$B116)*('3. Enter Indicator Scores'!$C$10:$C$161=$C116),0),
  _xlpm.c, MATCH(CT$8,'3. Enter Indicator Scores'!$D$8:$CZ$8,0),
  _xlpm.v, IFERROR(INDEX('3. Enter Indicator Scores'!$D$10:$CZ$161,_xlpm.r,_xlpm.c),""),
  IF(OR(_xlpm.w="",_xlpm.v=""),"",_xlpm.v*_xlpm.w)
)</f>
        <v/>
      </c>
      <c r="CU116" s="93" t="str" cm="1">
        <f t="array" ref="CU116">_xlfn.LET(
  _xlpm.w, CU$11,
  _xlpm.r, MATCH(1,('3. Enter Indicator Scores'!$B$10:$B$161=$B116)*('3. Enter Indicator Scores'!$C$10:$C$161=$C116),0),
  _xlpm.c, MATCH(CU$8,'3. Enter Indicator Scores'!$D$8:$CZ$8,0),
  _xlpm.v, IFERROR(INDEX('3. Enter Indicator Scores'!$D$10:$CZ$161,_xlpm.r,_xlpm.c),""),
  IF(OR(_xlpm.w="",_xlpm.v=""),"",_xlpm.v*_xlpm.w)
)</f>
        <v/>
      </c>
      <c r="CV116" s="93" t="str" cm="1">
        <f t="array" ref="CV116">_xlfn.LET(
  _xlpm.w, CV$11,
  _xlpm.r, MATCH(1,('3. Enter Indicator Scores'!$B$10:$B$161=$B116)*('3. Enter Indicator Scores'!$C$10:$C$161=$C116),0),
  _xlpm.c, MATCH(CV$8,'3. Enter Indicator Scores'!$D$8:$CZ$8,0),
  _xlpm.v, IFERROR(INDEX('3. Enter Indicator Scores'!$D$10:$CZ$161,_xlpm.r,_xlpm.c),""),
  IF(OR(_xlpm.w="",_xlpm.v=""),"",_xlpm.v*_xlpm.w)
)</f>
        <v/>
      </c>
      <c r="CW116" s="93" t="str" cm="1">
        <f t="array" ref="CW116">_xlfn.LET(
  _xlpm.w, CW$11,
  _xlpm.r, MATCH(1,('3. Enter Indicator Scores'!$B$10:$B$161=$B116)*('3. Enter Indicator Scores'!$C$10:$C$161=$C116),0),
  _xlpm.c, MATCH(CW$8,'3. Enter Indicator Scores'!$D$8:$CZ$8,0),
  _xlpm.v, IFERROR(INDEX('3. Enter Indicator Scores'!$D$10:$CZ$161,_xlpm.r,_xlpm.c),""),
  IF(OR(_xlpm.w="",_xlpm.v=""),"",_xlpm.v*_xlpm.w)
)</f>
        <v/>
      </c>
      <c r="CX116" s="93" t="str" cm="1">
        <f t="array" ref="CX116">_xlfn.LET(
  _xlpm.w, CX$11,
  _xlpm.r, MATCH(1,('3. Enter Indicator Scores'!$B$10:$B$161=$B116)*('3. Enter Indicator Scores'!$C$10:$C$161=$C116),0),
  _xlpm.c, MATCH(CX$8,'3. Enter Indicator Scores'!$D$8:$CZ$8,0),
  _xlpm.v, IFERROR(INDEX('3. Enter Indicator Scores'!$D$10:$CZ$161,_xlpm.r,_xlpm.c),""),
  IF(OR(_xlpm.w="",_xlpm.v=""),"",_xlpm.v*_xlpm.w)
)</f>
        <v/>
      </c>
      <c r="CY116" s="93" t="str" cm="1">
        <f t="array" ref="CY116">_xlfn.LET(
  _xlpm.w, CY$11,
  _xlpm.r, MATCH(1,('3. Enter Indicator Scores'!$B$10:$B$161=$B116)*('3. Enter Indicator Scores'!$C$10:$C$161=$C116),0),
  _xlpm.c, MATCH(CY$8,'3. Enter Indicator Scores'!$D$8:$CZ$8,0),
  _xlpm.v, IFERROR(INDEX('3. Enter Indicator Scores'!$D$10:$CZ$161,_xlpm.r,_xlpm.c),""),
  IF(OR(_xlpm.w="",_xlpm.v=""),"",_xlpm.v*_xlpm.w)
)</f>
        <v/>
      </c>
      <c r="CZ116" s="93" t="str" cm="1">
        <f t="array" ref="CZ116">_xlfn.LET(
  _xlpm.w, CZ$11,
  _xlpm.r, MATCH(1,('3. Enter Indicator Scores'!$B$10:$B$161=$B116)*('3. Enter Indicator Scores'!$C$10:$C$161=$C116),0),
  _xlpm.c, MATCH(CZ$8,'3. Enter Indicator Scores'!$D$8:$CZ$8,0),
  _xlpm.v, IFERROR(INDEX('3. Enter Indicator Scores'!$D$10:$CZ$161,_xlpm.r,_xlpm.c),""),
  IF(OR(_xlpm.w="",_xlpm.v=""),"",_xlpm.v*_xlpm.w)
)</f>
        <v/>
      </c>
    </row>
    <row r="117" spans="4:104" x14ac:dyDescent="0.2">
      <c r="D117" s="93" t="str" cm="1">
        <f t="array" ref="D117">_xlfn.LET(
  _xlpm.w, D$11,
  _xlpm.r, MATCH(1,('3. Enter Indicator Scores'!$B$10:$B$161=$B117)*('3. Enter Indicator Scores'!$C$10:$C$161=$C117),0),
  _xlpm.c, MATCH(D$8,'3. Enter Indicator Scores'!$D$8:$CZ$8,0),
  _xlpm.v, IFERROR(INDEX('3. Enter Indicator Scores'!$D$10:$CZ$161,_xlpm.r,_xlpm.c),""),
  IF(OR(_xlpm.w="",_xlpm.v=""),"",_xlpm.v*_xlpm.w)
)</f>
        <v/>
      </c>
      <c r="E117" s="93" t="str" cm="1">
        <f t="array" ref="E117">_xlfn.LET(
  _xlpm.w, E$11,
  _xlpm.r, MATCH(1,('3. Enter Indicator Scores'!$B$10:$B$161=$B117)*('3. Enter Indicator Scores'!$C$10:$C$161=$C117),0),
  _xlpm.c, MATCH(E$8,'3. Enter Indicator Scores'!$D$8:$CZ$8,0),
  _xlpm.v, IFERROR(INDEX('3. Enter Indicator Scores'!$D$10:$CZ$161,_xlpm.r,_xlpm.c),""),
  IF(OR(_xlpm.w="",_xlpm.v=""),"",_xlpm.v*_xlpm.w)
)</f>
        <v/>
      </c>
      <c r="F117" s="93" t="str" cm="1">
        <f t="array" ref="F117">_xlfn.LET(
  _xlpm.w, F$11,
  _xlpm.r, MATCH(1,('3. Enter Indicator Scores'!$B$10:$B$161=$B117)*('3. Enter Indicator Scores'!$C$10:$C$161=$C117),0),
  _xlpm.c, MATCH(F$8,'3. Enter Indicator Scores'!$D$8:$CZ$8,0),
  _xlpm.v, IFERROR(INDEX('3. Enter Indicator Scores'!$D$10:$CZ$161,_xlpm.r,_xlpm.c),""),
  IF(OR(_xlpm.w="",_xlpm.v=""),"",_xlpm.v*_xlpm.w)
)</f>
        <v/>
      </c>
      <c r="G117" s="93" t="str" cm="1">
        <f t="array" ref="G117">_xlfn.LET(
  _xlpm.w, G$11,
  _xlpm.r, MATCH(1,('3. Enter Indicator Scores'!$B$10:$B$161=$B117)*('3. Enter Indicator Scores'!$C$10:$C$161=$C117),0),
  _xlpm.c, MATCH(G$8,'3. Enter Indicator Scores'!$D$8:$CZ$8,0),
  _xlpm.v, IFERROR(INDEX('3. Enter Indicator Scores'!$D$10:$CZ$161,_xlpm.r,_xlpm.c),""),
  IF(OR(_xlpm.w="",_xlpm.v=""),"",_xlpm.v*_xlpm.w)
)</f>
        <v/>
      </c>
      <c r="H117" s="93" t="str" cm="1">
        <f t="array" ref="H117">_xlfn.LET(
  _xlpm.w, H$11,
  _xlpm.r, MATCH(1,('3. Enter Indicator Scores'!$B$10:$B$161=$B117)*('3. Enter Indicator Scores'!$C$10:$C$161=$C117),0),
  _xlpm.c, MATCH(H$8,'3. Enter Indicator Scores'!$D$8:$CZ$8,0),
  _xlpm.v, IFERROR(INDEX('3. Enter Indicator Scores'!$D$10:$CZ$161,_xlpm.r,_xlpm.c),""),
  IF(OR(_xlpm.w="",_xlpm.v=""),"",_xlpm.v*_xlpm.w)
)</f>
        <v/>
      </c>
      <c r="I117" s="93" t="str" cm="1">
        <f t="array" ref="I117">_xlfn.LET(
  _xlpm.w, I$11,
  _xlpm.r, MATCH(1,('3. Enter Indicator Scores'!$B$10:$B$161=$B117)*('3. Enter Indicator Scores'!$C$10:$C$161=$C117),0),
  _xlpm.c, MATCH(I$8,'3. Enter Indicator Scores'!$D$8:$CZ$8,0),
  _xlpm.v, IFERROR(INDEX('3. Enter Indicator Scores'!$D$10:$CZ$161,_xlpm.r,_xlpm.c),""),
  IF(OR(_xlpm.w="",_xlpm.v=""),"",_xlpm.v*_xlpm.w)
)</f>
        <v/>
      </c>
      <c r="J117" s="93" t="str" cm="1">
        <f t="array" ref="J117">_xlfn.LET(
  _xlpm.w, J$11,
  _xlpm.r, MATCH(1,('3. Enter Indicator Scores'!$B$10:$B$161=$B117)*('3. Enter Indicator Scores'!$C$10:$C$161=$C117),0),
  _xlpm.c, MATCH(J$8,'3. Enter Indicator Scores'!$D$8:$CZ$8,0),
  _xlpm.v, IFERROR(INDEX('3. Enter Indicator Scores'!$D$10:$CZ$161,_xlpm.r,_xlpm.c),""),
  IF(OR(_xlpm.w="",_xlpm.v=""),"",_xlpm.v*_xlpm.w)
)</f>
        <v/>
      </c>
      <c r="K117" s="93" t="str" cm="1">
        <f t="array" ref="K117">_xlfn.LET(
  _xlpm.w, K$11,
  _xlpm.r, MATCH(1,('3. Enter Indicator Scores'!$B$10:$B$161=$B117)*('3. Enter Indicator Scores'!$C$10:$C$161=$C117),0),
  _xlpm.c, MATCH(K$8,'3. Enter Indicator Scores'!$D$8:$CZ$8,0),
  _xlpm.v, IFERROR(INDEX('3. Enter Indicator Scores'!$D$10:$CZ$161,_xlpm.r,_xlpm.c),""),
  IF(OR(_xlpm.w="",_xlpm.v=""),"",_xlpm.v*_xlpm.w)
)</f>
        <v/>
      </c>
      <c r="L117" s="93" t="str" cm="1">
        <f t="array" ref="L117">_xlfn.LET(
  _xlpm.w, L$11,
  _xlpm.r, MATCH(1,('3. Enter Indicator Scores'!$B$10:$B$161=$B117)*('3. Enter Indicator Scores'!$C$10:$C$161=$C117),0),
  _xlpm.c, MATCH(L$8,'3. Enter Indicator Scores'!$D$8:$CZ$8,0),
  _xlpm.v, IFERROR(INDEX('3. Enter Indicator Scores'!$D$10:$CZ$161,_xlpm.r,_xlpm.c),""),
  IF(OR(_xlpm.w="",_xlpm.v=""),"",_xlpm.v*_xlpm.w)
)</f>
        <v/>
      </c>
      <c r="M117" s="93" t="str" cm="1">
        <f t="array" ref="M117">_xlfn.LET(
  _xlpm.w, M$11,
  _xlpm.r, MATCH(1,('3. Enter Indicator Scores'!$B$10:$B$161=$B117)*('3. Enter Indicator Scores'!$C$10:$C$161=$C117),0),
  _xlpm.c, MATCH(M$8,'3. Enter Indicator Scores'!$D$8:$CZ$8,0),
  _xlpm.v, IFERROR(INDEX('3. Enter Indicator Scores'!$D$10:$CZ$161,_xlpm.r,_xlpm.c),""),
  IF(OR(_xlpm.w="",_xlpm.v=""),"",_xlpm.v*_xlpm.w)
)</f>
        <v/>
      </c>
      <c r="N117" s="93" t="str" cm="1">
        <f t="array" ref="N117">_xlfn.LET(
  _xlpm.w, N$11,
  _xlpm.r, MATCH(1,('3. Enter Indicator Scores'!$B$10:$B$161=$B117)*('3. Enter Indicator Scores'!$C$10:$C$161=$C117),0),
  _xlpm.c, MATCH(N$8,'3. Enter Indicator Scores'!$D$8:$CZ$8,0),
  _xlpm.v, IFERROR(INDEX('3. Enter Indicator Scores'!$D$10:$CZ$161,_xlpm.r,_xlpm.c),""),
  IF(OR(_xlpm.w="",_xlpm.v=""),"",_xlpm.v*_xlpm.w)
)</f>
        <v/>
      </c>
      <c r="O117" s="93" t="str" cm="1">
        <f t="array" ref="O117">_xlfn.LET(
  _xlpm.w, O$11,
  _xlpm.r, MATCH(1,('3. Enter Indicator Scores'!$B$10:$B$161=$B117)*('3. Enter Indicator Scores'!$C$10:$C$161=$C117),0),
  _xlpm.c, MATCH(O$8,'3. Enter Indicator Scores'!$D$8:$CZ$8,0),
  _xlpm.v, IFERROR(INDEX('3. Enter Indicator Scores'!$D$10:$CZ$161,_xlpm.r,_xlpm.c),""),
  IF(OR(_xlpm.w="",_xlpm.v=""),"",_xlpm.v*_xlpm.w)
)</f>
        <v/>
      </c>
      <c r="P117" s="93" t="str" cm="1">
        <f t="array" ref="P117">_xlfn.LET(
  _xlpm.w, P$11,
  _xlpm.r, MATCH(1,('3. Enter Indicator Scores'!$B$10:$B$161=$B117)*('3. Enter Indicator Scores'!$C$10:$C$161=$C117),0),
  _xlpm.c, MATCH(P$8,'3. Enter Indicator Scores'!$D$8:$CZ$8,0),
  _xlpm.v, IFERROR(INDEX('3. Enter Indicator Scores'!$D$10:$CZ$161,_xlpm.r,_xlpm.c),""),
  IF(OR(_xlpm.w="",_xlpm.v=""),"",_xlpm.v*_xlpm.w)
)</f>
        <v/>
      </c>
      <c r="Q117" s="93" t="str" cm="1">
        <f t="array" ref="Q117">_xlfn.LET(
  _xlpm.w, Q$11,
  _xlpm.r, MATCH(1,('3. Enter Indicator Scores'!$B$10:$B$161=$B117)*('3. Enter Indicator Scores'!$C$10:$C$161=$C117),0),
  _xlpm.c, MATCH(Q$8,'3. Enter Indicator Scores'!$D$8:$CZ$8,0),
  _xlpm.v, IFERROR(INDEX('3. Enter Indicator Scores'!$D$10:$CZ$161,_xlpm.r,_xlpm.c),""),
  IF(OR(_xlpm.w="",_xlpm.v=""),"",_xlpm.v*_xlpm.w)
)</f>
        <v/>
      </c>
      <c r="R117" s="93" t="str" cm="1">
        <f t="array" ref="R117">_xlfn.LET(
  _xlpm.w, R$11,
  _xlpm.r, MATCH(1,('3. Enter Indicator Scores'!$B$10:$B$161=$B117)*('3. Enter Indicator Scores'!$C$10:$C$161=$C117),0),
  _xlpm.c, MATCH(R$8,'3. Enter Indicator Scores'!$D$8:$CZ$8,0),
  _xlpm.v, IFERROR(INDEX('3. Enter Indicator Scores'!$D$10:$CZ$161,_xlpm.r,_xlpm.c),""),
  IF(OR(_xlpm.w="",_xlpm.v=""),"",_xlpm.v*_xlpm.w)
)</f>
        <v/>
      </c>
      <c r="S117" s="93" t="str" cm="1">
        <f t="array" ref="S117">_xlfn.LET(
  _xlpm.w, S$11,
  _xlpm.r, MATCH(1,('3. Enter Indicator Scores'!$B$10:$B$161=$B117)*('3. Enter Indicator Scores'!$C$10:$C$161=$C117),0),
  _xlpm.c, MATCH(S$8,'3. Enter Indicator Scores'!$D$8:$CZ$8,0),
  _xlpm.v, IFERROR(INDEX('3. Enter Indicator Scores'!$D$10:$CZ$161,_xlpm.r,_xlpm.c),""),
  IF(OR(_xlpm.w="",_xlpm.v=""),"",_xlpm.v*_xlpm.w)
)</f>
        <v/>
      </c>
      <c r="T117" s="93" t="str" cm="1">
        <f t="array" ref="T117">_xlfn.LET(
  _xlpm.w, T$11,
  _xlpm.r, MATCH(1,('3. Enter Indicator Scores'!$B$10:$B$161=$B117)*('3. Enter Indicator Scores'!$C$10:$C$161=$C117),0),
  _xlpm.c, MATCH(T$8,'3. Enter Indicator Scores'!$D$8:$CZ$8,0),
  _xlpm.v, IFERROR(INDEX('3. Enter Indicator Scores'!$D$10:$CZ$161,_xlpm.r,_xlpm.c),""),
  IF(OR(_xlpm.w="",_xlpm.v=""),"",_xlpm.v*_xlpm.w)
)</f>
        <v/>
      </c>
      <c r="U117" s="93" t="str" cm="1">
        <f t="array" ref="U117">_xlfn.LET(
  _xlpm.w, U$11,
  _xlpm.r, MATCH(1,('3. Enter Indicator Scores'!$B$10:$B$161=$B117)*('3. Enter Indicator Scores'!$C$10:$C$161=$C117),0),
  _xlpm.c, MATCH(U$8,'3. Enter Indicator Scores'!$D$8:$CZ$8,0),
  _xlpm.v, IFERROR(INDEX('3. Enter Indicator Scores'!$D$10:$CZ$161,_xlpm.r,_xlpm.c),""),
  IF(OR(_xlpm.w="",_xlpm.v=""),"",_xlpm.v*_xlpm.w)
)</f>
        <v/>
      </c>
      <c r="V117" s="93" t="str" cm="1">
        <f t="array" ref="V117">_xlfn.LET(
  _xlpm.w, V$11,
  _xlpm.r, MATCH(1,('3. Enter Indicator Scores'!$B$10:$B$161=$B117)*('3. Enter Indicator Scores'!$C$10:$C$161=$C117),0),
  _xlpm.c, MATCH(V$8,'3. Enter Indicator Scores'!$D$8:$CZ$8,0),
  _xlpm.v, IFERROR(INDEX('3. Enter Indicator Scores'!$D$10:$CZ$161,_xlpm.r,_xlpm.c),""),
  IF(OR(_xlpm.w="",_xlpm.v=""),"",_xlpm.v*_xlpm.w)
)</f>
        <v/>
      </c>
      <c r="W117" s="93" t="str" cm="1">
        <f t="array" ref="W117">_xlfn.LET(
  _xlpm.w, W$11,
  _xlpm.r, MATCH(1,('3. Enter Indicator Scores'!$B$10:$B$161=$B117)*('3. Enter Indicator Scores'!$C$10:$C$161=$C117),0),
  _xlpm.c, MATCH(W$8,'3. Enter Indicator Scores'!$D$8:$CZ$8,0),
  _xlpm.v, IFERROR(INDEX('3. Enter Indicator Scores'!$D$10:$CZ$161,_xlpm.r,_xlpm.c),""),
  IF(OR(_xlpm.w="",_xlpm.v=""),"",_xlpm.v*_xlpm.w)
)</f>
        <v/>
      </c>
      <c r="X117" s="93" t="str" cm="1">
        <f t="array" ref="X117">_xlfn.LET(
  _xlpm.w, X$11,
  _xlpm.r, MATCH(1,('3. Enter Indicator Scores'!$B$10:$B$161=$B117)*('3. Enter Indicator Scores'!$C$10:$C$161=$C117),0),
  _xlpm.c, MATCH(X$8,'3. Enter Indicator Scores'!$D$8:$CZ$8,0),
  _xlpm.v, IFERROR(INDEX('3. Enter Indicator Scores'!$D$10:$CZ$161,_xlpm.r,_xlpm.c),""),
  IF(OR(_xlpm.w="",_xlpm.v=""),"",_xlpm.v*_xlpm.w)
)</f>
        <v/>
      </c>
      <c r="Y117" s="93" t="str" cm="1">
        <f t="array" ref="Y117">_xlfn.LET(
  _xlpm.w, Y$11,
  _xlpm.r, MATCH(1,('3. Enter Indicator Scores'!$B$10:$B$161=$B117)*('3. Enter Indicator Scores'!$C$10:$C$161=$C117),0),
  _xlpm.c, MATCH(Y$8,'3. Enter Indicator Scores'!$D$8:$CZ$8,0),
  _xlpm.v, IFERROR(INDEX('3. Enter Indicator Scores'!$D$10:$CZ$161,_xlpm.r,_xlpm.c),""),
  IF(OR(_xlpm.w="",_xlpm.v=""),"",_xlpm.v*_xlpm.w)
)</f>
        <v/>
      </c>
      <c r="Z117" s="93" t="str" cm="1">
        <f t="array" ref="Z117">_xlfn.LET(
  _xlpm.w, Z$11,
  _xlpm.r, MATCH(1,('3. Enter Indicator Scores'!$B$10:$B$161=$B117)*('3. Enter Indicator Scores'!$C$10:$C$161=$C117),0),
  _xlpm.c, MATCH(Z$8,'3. Enter Indicator Scores'!$D$8:$CZ$8,0),
  _xlpm.v, IFERROR(INDEX('3. Enter Indicator Scores'!$D$10:$CZ$161,_xlpm.r,_xlpm.c),""),
  IF(OR(_xlpm.w="",_xlpm.v=""),"",_xlpm.v*_xlpm.w)
)</f>
        <v/>
      </c>
      <c r="AA117" s="93" t="str" cm="1">
        <f t="array" ref="AA117">_xlfn.LET(
  _xlpm.w, AA$11,
  _xlpm.r, MATCH(1,('3. Enter Indicator Scores'!$B$10:$B$161=$B117)*('3. Enter Indicator Scores'!$C$10:$C$161=$C117),0),
  _xlpm.c, MATCH(AA$8,'3. Enter Indicator Scores'!$D$8:$CZ$8,0),
  _xlpm.v, IFERROR(INDEX('3. Enter Indicator Scores'!$D$10:$CZ$161,_xlpm.r,_xlpm.c),""),
  IF(OR(_xlpm.w="",_xlpm.v=""),"",_xlpm.v*_xlpm.w)
)</f>
        <v/>
      </c>
      <c r="AB117" s="93" t="str" cm="1">
        <f t="array" ref="AB117">_xlfn.LET(
  _xlpm.w, AB$11,
  _xlpm.r, MATCH(1,('3. Enter Indicator Scores'!$B$10:$B$161=$B117)*('3. Enter Indicator Scores'!$C$10:$C$161=$C117),0),
  _xlpm.c, MATCH(AB$8,'3. Enter Indicator Scores'!$D$8:$CZ$8,0),
  _xlpm.v, IFERROR(INDEX('3. Enter Indicator Scores'!$D$10:$CZ$161,_xlpm.r,_xlpm.c),""),
  IF(OR(_xlpm.w="",_xlpm.v=""),"",_xlpm.v*_xlpm.w)
)</f>
        <v/>
      </c>
      <c r="AC117" s="93" t="str" cm="1">
        <f t="array" ref="AC117">_xlfn.LET(
  _xlpm.w, AC$11,
  _xlpm.r, MATCH(1,('3. Enter Indicator Scores'!$B$10:$B$161=$B117)*('3. Enter Indicator Scores'!$C$10:$C$161=$C117),0),
  _xlpm.c, MATCH(AC$8,'3. Enter Indicator Scores'!$D$8:$CZ$8,0),
  _xlpm.v, IFERROR(INDEX('3. Enter Indicator Scores'!$D$10:$CZ$161,_xlpm.r,_xlpm.c),""),
  IF(OR(_xlpm.w="",_xlpm.v=""),"",_xlpm.v*_xlpm.w)
)</f>
        <v/>
      </c>
      <c r="AD117" s="93" t="str" cm="1">
        <f t="array" ref="AD117">_xlfn.LET(
  _xlpm.w, AD$11,
  _xlpm.r, MATCH(1,('3. Enter Indicator Scores'!$B$10:$B$161=$B117)*('3. Enter Indicator Scores'!$C$10:$C$161=$C117),0),
  _xlpm.c, MATCH(AD$8,'3. Enter Indicator Scores'!$D$8:$CZ$8,0),
  _xlpm.v, IFERROR(INDEX('3. Enter Indicator Scores'!$D$10:$CZ$161,_xlpm.r,_xlpm.c),""),
  IF(OR(_xlpm.w="",_xlpm.v=""),"",_xlpm.v*_xlpm.w)
)</f>
        <v/>
      </c>
      <c r="AE117" s="93" t="str" cm="1">
        <f t="array" ref="AE117">_xlfn.LET(
  _xlpm.w, AE$11,
  _xlpm.r, MATCH(1,('3. Enter Indicator Scores'!$B$10:$B$161=$B117)*('3. Enter Indicator Scores'!$C$10:$C$161=$C117),0),
  _xlpm.c, MATCH(AE$8,'3. Enter Indicator Scores'!$D$8:$CZ$8,0),
  _xlpm.v, IFERROR(INDEX('3. Enter Indicator Scores'!$D$10:$CZ$161,_xlpm.r,_xlpm.c),""),
  IF(OR(_xlpm.w="",_xlpm.v=""),"",_xlpm.v*_xlpm.w)
)</f>
        <v/>
      </c>
      <c r="AF117" s="93" t="str" cm="1">
        <f t="array" ref="AF117">_xlfn.LET(
  _xlpm.w, AF$11,
  _xlpm.r, MATCH(1,('3. Enter Indicator Scores'!$B$10:$B$161=$B117)*('3. Enter Indicator Scores'!$C$10:$C$161=$C117),0),
  _xlpm.c, MATCH(AF$8,'3. Enter Indicator Scores'!$D$8:$CZ$8,0),
  _xlpm.v, IFERROR(INDEX('3. Enter Indicator Scores'!$D$10:$CZ$161,_xlpm.r,_xlpm.c),""),
  IF(OR(_xlpm.w="",_xlpm.v=""),"",_xlpm.v*_xlpm.w)
)</f>
        <v/>
      </c>
      <c r="AG117" s="93" t="str" cm="1">
        <f t="array" ref="AG117">_xlfn.LET(
  _xlpm.w, AG$11,
  _xlpm.r, MATCH(1,('3. Enter Indicator Scores'!$B$10:$B$161=$B117)*('3. Enter Indicator Scores'!$C$10:$C$161=$C117),0),
  _xlpm.c, MATCH(AG$8,'3. Enter Indicator Scores'!$D$8:$CZ$8,0),
  _xlpm.v, IFERROR(INDEX('3. Enter Indicator Scores'!$D$10:$CZ$161,_xlpm.r,_xlpm.c),""),
  IF(OR(_xlpm.w="",_xlpm.v=""),"",_xlpm.v*_xlpm.w)
)</f>
        <v/>
      </c>
      <c r="AH117" s="93" t="str" cm="1">
        <f t="array" ref="AH117">_xlfn.LET(
  _xlpm.w, AH$11,
  _xlpm.r, MATCH(1,('3. Enter Indicator Scores'!$B$10:$B$161=$B117)*('3. Enter Indicator Scores'!$C$10:$C$161=$C117),0),
  _xlpm.c, MATCH(AH$8,'3. Enter Indicator Scores'!$D$8:$CZ$8,0),
  _xlpm.v, IFERROR(INDEX('3. Enter Indicator Scores'!$D$10:$CZ$161,_xlpm.r,_xlpm.c),""),
  IF(OR(_xlpm.w="",_xlpm.v=""),"",_xlpm.v*_xlpm.w)
)</f>
        <v/>
      </c>
      <c r="AI117" s="93" t="str" cm="1">
        <f t="array" ref="AI117">_xlfn.LET(
  _xlpm.w, AI$11,
  _xlpm.r, MATCH(1,('3. Enter Indicator Scores'!$B$10:$B$161=$B117)*('3. Enter Indicator Scores'!$C$10:$C$161=$C117),0),
  _xlpm.c, MATCH(AI$8,'3. Enter Indicator Scores'!$D$8:$CZ$8,0),
  _xlpm.v, IFERROR(INDEX('3. Enter Indicator Scores'!$D$10:$CZ$161,_xlpm.r,_xlpm.c),""),
  IF(OR(_xlpm.w="",_xlpm.v=""),"",_xlpm.v*_xlpm.w)
)</f>
        <v/>
      </c>
      <c r="AJ117" s="93" t="str" cm="1">
        <f t="array" ref="AJ117">_xlfn.LET(
  _xlpm.w, AJ$11,
  _xlpm.r, MATCH(1,('3. Enter Indicator Scores'!$B$10:$B$161=$B117)*('3. Enter Indicator Scores'!$C$10:$C$161=$C117),0),
  _xlpm.c, MATCH(AJ$8,'3. Enter Indicator Scores'!$D$8:$CZ$8,0),
  _xlpm.v, IFERROR(INDEX('3. Enter Indicator Scores'!$D$10:$CZ$161,_xlpm.r,_xlpm.c),""),
  IF(OR(_xlpm.w="",_xlpm.v=""),"",_xlpm.v*_xlpm.w)
)</f>
        <v/>
      </c>
      <c r="AK117" s="93" t="str" cm="1">
        <f t="array" ref="AK117">_xlfn.LET(
  _xlpm.w, AK$11,
  _xlpm.r, MATCH(1,('3. Enter Indicator Scores'!$B$10:$B$161=$B117)*('3. Enter Indicator Scores'!$C$10:$C$161=$C117),0),
  _xlpm.c, MATCH(AK$8,'3. Enter Indicator Scores'!$D$8:$CZ$8,0),
  _xlpm.v, IFERROR(INDEX('3. Enter Indicator Scores'!$D$10:$CZ$161,_xlpm.r,_xlpm.c),""),
  IF(OR(_xlpm.w="",_xlpm.v=""),"",_xlpm.v*_xlpm.w)
)</f>
        <v/>
      </c>
      <c r="AL117" s="93" t="str" cm="1">
        <f t="array" ref="AL117">_xlfn.LET(
  _xlpm.w, AL$11,
  _xlpm.r, MATCH(1,('3. Enter Indicator Scores'!$B$10:$B$161=$B117)*('3. Enter Indicator Scores'!$C$10:$C$161=$C117),0),
  _xlpm.c, MATCH(AL$8,'3. Enter Indicator Scores'!$D$8:$CZ$8,0),
  _xlpm.v, IFERROR(INDEX('3. Enter Indicator Scores'!$D$10:$CZ$161,_xlpm.r,_xlpm.c),""),
  IF(OR(_xlpm.w="",_xlpm.v=""),"",_xlpm.v*_xlpm.w)
)</f>
        <v/>
      </c>
      <c r="AM117" s="93" t="str" cm="1">
        <f t="array" ref="AM117">_xlfn.LET(
  _xlpm.w, AM$11,
  _xlpm.r, MATCH(1,('3. Enter Indicator Scores'!$B$10:$B$161=$B117)*('3. Enter Indicator Scores'!$C$10:$C$161=$C117),0),
  _xlpm.c, MATCH(AM$8,'3. Enter Indicator Scores'!$D$8:$CZ$8,0),
  _xlpm.v, IFERROR(INDEX('3. Enter Indicator Scores'!$D$10:$CZ$161,_xlpm.r,_xlpm.c),""),
  IF(OR(_xlpm.w="",_xlpm.v=""),"",_xlpm.v*_xlpm.w)
)</f>
        <v/>
      </c>
      <c r="AN117" s="93" t="str" cm="1">
        <f t="array" ref="AN117">_xlfn.LET(
  _xlpm.w, AN$11,
  _xlpm.r, MATCH(1,('3. Enter Indicator Scores'!$B$10:$B$161=$B117)*('3. Enter Indicator Scores'!$C$10:$C$161=$C117),0),
  _xlpm.c, MATCH(AN$8,'3. Enter Indicator Scores'!$D$8:$CZ$8,0),
  _xlpm.v, IFERROR(INDEX('3. Enter Indicator Scores'!$D$10:$CZ$161,_xlpm.r,_xlpm.c),""),
  IF(OR(_xlpm.w="",_xlpm.v=""),"",_xlpm.v*_xlpm.w)
)</f>
        <v/>
      </c>
      <c r="AO117" s="93" t="str" cm="1">
        <f t="array" ref="AO117">_xlfn.LET(
  _xlpm.w, AO$11,
  _xlpm.r, MATCH(1,('3. Enter Indicator Scores'!$B$10:$B$161=$B117)*('3. Enter Indicator Scores'!$C$10:$C$161=$C117),0),
  _xlpm.c, MATCH(AO$8,'3. Enter Indicator Scores'!$D$8:$CZ$8,0),
  _xlpm.v, IFERROR(INDEX('3. Enter Indicator Scores'!$D$10:$CZ$161,_xlpm.r,_xlpm.c),""),
  IF(OR(_xlpm.w="",_xlpm.v=""),"",_xlpm.v*_xlpm.w)
)</f>
        <v/>
      </c>
      <c r="AP117" s="93" t="str" cm="1">
        <f t="array" ref="AP117">_xlfn.LET(
  _xlpm.w, AP$11,
  _xlpm.r, MATCH(1,('3. Enter Indicator Scores'!$B$10:$B$161=$B117)*('3. Enter Indicator Scores'!$C$10:$C$161=$C117),0),
  _xlpm.c, MATCH(AP$8,'3. Enter Indicator Scores'!$D$8:$CZ$8,0),
  _xlpm.v, IFERROR(INDEX('3. Enter Indicator Scores'!$D$10:$CZ$161,_xlpm.r,_xlpm.c),""),
  IF(OR(_xlpm.w="",_xlpm.v=""),"",_xlpm.v*_xlpm.w)
)</f>
        <v/>
      </c>
      <c r="AQ117" s="93" t="str" cm="1">
        <f t="array" ref="AQ117">_xlfn.LET(
  _xlpm.w, AQ$11,
  _xlpm.r, MATCH(1,('3. Enter Indicator Scores'!$B$10:$B$161=$B117)*('3. Enter Indicator Scores'!$C$10:$C$161=$C117),0),
  _xlpm.c, MATCH(AQ$8,'3. Enter Indicator Scores'!$D$8:$CZ$8,0),
  _xlpm.v, IFERROR(INDEX('3. Enter Indicator Scores'!$D$10:$CZ$161,_xlpm.r,_xlpm.c),""),
  IF(OR(_xlpm.w="",_xlpm.v=""),"",_xlpm.v*_xlpm.w)
)</f>
        <v/>
      </c>
      <c r="AR117" s="93" t="str" cm="1">
        <f t="array" ref="AR117">_xlfn.LET(
  _xlpm.w, AR$11,
  _xlpm.r, MATCH(1,('3. Enter Indicator Scores'!$B$10:$B$161=$B117)*('3. Enter Indicator Scores'!$C$10:$C$161=$C117),0),
  _xlpm.c, MATCH(AR$8,'3. Enter Indicator Scores'!$D$8:$CZ$8,0),
  _xlpm.v, IFERROR(INDEX('3. Enter Indicator Scores'!$D$10:$CZ$161,_xlpm.r,_xlpm.c),""),
  IF(OR(_xlpm.w="",_xlpm.v=""),"",_xlpm.v*_xlpm.w)
)</f>
        <v/>
      </c>
      <c r="AS117" s="93" t="str" cm="1">
        <f t="array" ref="AS117">_xlfn.LET(
  _xlpm.w, AS$11,
  _xlpm.r, MATCH(1,('3. Enter Indicator Scores'!$B$10:$B$161=$B117)*('3. Enter Indicator Scores'!$C$10:$C$161=$C117),0),
  _xlpm.c, MATCH(AS$8,'3. Enter Indicator Scores'!$D$8:$CZ$8,0),
  _xlpm.v, IFERROR(INDEX('3. Enter Indicator Scores'!$D$10:$CZ$161,_xlpm.r,_xlpm.c),""),
  IF(OR(_xlpm.w="",_xlpm.v=""),"",_xlpm.v*_xlpm.w)
)</f>
        <v/>
      </c>
      <c r="AT117" s="93" t="str" cm="1">
        <f t="array" ref="AT117">_xlfn.LET(
  _xlpm.w, AT$11,
  _xlpm.r, MATCH(1,('3. Enter Indicator Scores'!$B$10:$B$161=$B117)*('3. Enter Indicator Scores'!$C$10:$C$161=$C117),0),
  _xlpm.c, MATCH(AT$8,'3. Enter Indicator Scores'!$D$8:$CZ$8,0),
  _xlpm.v, IFERROR(INDEX('3. Enter Indicator Scores'!$D$10:$CZ$161,_xlpm.r,_xlpm.c),""),
  IF(OR(_xlpm.w="",_xlpm.v=""),"",_xlpm.v*_xlpm.w)
)</f>
        <v/>
      </c>
      <c r="AU117" s="93" t="str" cm="1">
        <f t="array" ref="AU117">_xlfn.LET(
  _xlpm.w, AU$11,
  _xlpm.r, MATCH(1,('3. Enter Indicator Scores'!$B$10:$B$161=$B117)*('3. Enter Indicator Scores'!$C$10:$C$161=$C117),0),
  _xlpm.c, MATCH(AU$8,'3. Enter Indicator Scores'!$D$8:$CZ$8,0),
  _xlpm.v, IFERROR(INDEX('3. Enter Indicator Scores'!$D$10:$CZ$161,_xlpm.r,_xlpm.c),""),
  IF(OR(_xlpm.w="",_xlpm.v=""),"",_xlpm.v*_xlpm.w)
)</f>
        <v/>
      </c>
      <c r="AV117" s="93" t="str" cm="1">
        <f t="array" ref="AV117">_xlfn.LET(
  _xlpm.w, AV$11,
  _xlpm.r, MATCH(1,('3. Enter Indicator Scores'!$B$10:$B$161=$B117)*('3. Enter Indicator Scores'!$C$10:$C$161=$C117),0),
  _xlpm.c, MATCH(AV$8,'3. Enter Indicator Scores'!$D$8:$CZ$8,0),
  _xlpm.v, IFERROR(INDEX('3. Enter Indicator Scores'!$D$10:$CZ$161,_xlpm.r,_xlpm.c),""),
  IF(OR(_xlpm.w="",_xlpm.v=""),"",_xlpm.v*_xlpm.w)
)</f>
        <v/>
      </c>
      <c r="AW117" s="93" t="str" cm="1">
        <f t="array" ref="AW117">_xlfn.LET(
  _xlpm.w, AW$11,
  _xlpm.r, MATCH(1,('3. Enter Indicator Scores'!$B$10:$B$161=$B117)*('3. Enter Indicator Scores'!$C$10:$C$161=$C117),0),
  _xlpm.c, MATCH(AW$8,'3. Enter Indicator Scores'!$D$8:$CZ$8,0),
  _xlpm.v, IFERROR(INDEX('3. Enter Indicator Scores'!$D$10:$CZ$161,_xlpm.r,_xlpm.c),""),
  IF(OR(_xlpm.w="",_xlpm.v=""),"",_xlpm.v*_xlpm.w)
)</f>
        <v/>
      </c>
      <c r="AX117" s="93" t="str" cm="1">
        <f t="array" ref="AX117">_xlfn.LET(
  _xlpm.w, AX$11,
  _xlpm.r, MATCH(1,('3. Enter Indicator Scores'!$B$10:$B$161=$B117)*('3. Enter Indicator Scores'!$C$10:$C$161=$C117),0),
  _xlpm.c, MATCH(AX$8,'3. Enter Indicator Scores'!$D$8:$CZ$8,0),
  _xlpm.v, IFERROR(INDEX('3. Enter Indicator Scores'!$D$10:$CZ$161,_xlpm.r,_xlpm.c),""),
  IF(OR(_xlpm.w="",_xlpm.v=""),"",_xlpm.v*_xlpm.w)
)</f>
        <v/>
      </c>
      <c r="AY117" s="93" t="str" cm="1">
        <f t="array" ref="AY117">_xlfn.LET(
  _xlpm.w, AY$11,
  _xlpm.r, MATCH(1,('3. Enter Indicator Scores'!$B$10:$B$161=$B117)*('3. Enter Indicator Scores'!$C$10:$C$161=$C117),0),
  _xlpm.c, MATCH(AY$8,'3. Enter Indicator Scores'!$D$8:$CZ$8,0),
  _xlpm.v, IFERROR(INDEX('3. Enter Indicator Scores'!$D$10:$CZ$161,_xlpm.r,_xlpm.c),""),
  IF(OR(_xlpm.w="",_xlpm.v=""),"",_xlpm.v*_xlpm.w)
)</f>
        <v/>
      </c>
      <c r="AZ117" s="93" t="str" cm="1">
        <f t="array" ref="AZ117">_xlfn.LET(
  _xlpm.w, AZ$11,
  _xlpm.r, MATCH(1,('3. Enter Indicator Scores'!$B$10:$B$161=$B117)*('3. Enter Indicator Scores'!$C$10:$C$161=$C117),0),
  _xlpm.c, MATCH(AZ$8,'3. Enter Indicator Scores'!$D$8:$CZ$8,0),
  _xlpm.v, IFERROR(INDEX('3. Enter Indicator Scores'!$D$10:$CZ$161,_xlpm.r,_xlpm.c),""),
  IF(OR(_xlpm.w="",_xlpm.v=""),"",_xlpm.v*_xlpm.w)
)</f>
        <v/>
      </c>
      <c r="BA117" s="93" t="str" cm="1">
        <f t="array" ref="BA117">_xlfn.LET(
  _xlpm.w, BA$11,
  _xlpm.r, MATCH(1,('3. Enter Indicator Scores'!$B$10:$B$161=$B117)*('3. Enter Indicator Scores'!$C$10:$C$161=$C117),0),
  _xlpm.c, MATCH(BA$8,'3. Enter Indicator Scores'!$D$8:$CZ$8,0),
  _xlpm.v, IFERROR(INDEX('3. Enter Indicator Scores'!$D$10:$CZ$161,_xlpm.r,_xlpm.c),""),
  IF(OR(_xlpm.w="",_xlpm.v=""),"",_xlpm.v*_xlpm.w)
)</f>
        <v/>
      </c>
      <c r="BB117" s="93" t="str" cm="1">
        <f t="array" ref="BB117">_xlfn.LET(
  _xlpm.w, BB$11,
  _xlpm.r, MATCH(1,('3. Enter Indicator Scores'!$B$10:$B$161=$B117)*('3. Enter Indicator Scores'!$C$10:$C$161=$C117),0),
  _xlpm.c, MATCH(BB$8,'3. Enter Indicator Scores'!$D$8:$CZ$8,0),
  _xlpm.v, IFERROR(INDEX('3. Enter Indicator Scores'!$D$10:$CZ$161,_xlpm.r,_xlpm.c),""),
  IF(OR(_xlpm.w="",_xlpm.v=""),"",_xlpm.v*_xlpm.w)
)</f>
        <v/>
      </c>
      <c r="BC117" s="93" t="str" cm="1">
        <f t="array" ref="BC117">_xlfn.LET(
  _xlpm.w, BC$11,
  _xlpm.r, MATCH(1,('3. Enter Indicator Scores'!$B$10:$B$161=$B117)*('3. Enter Indicator Scores'!$C$10:$C$161=$C117),0),
  _xlpm.c, MATCH(BC$8,'3. Enter Indicator Scores'!$D$8:$CZ$8,0),
  _xlpm.v, IFERROR(INDEX('3. Enter Indicator Scores'!$D$10:$CZ$161,_xlpm.r,_xlpm.c),""),
  IF(OR(_xlpm.w="",_xlpm.v=""),"",_xlpm.v*_xlpm.w)
)</f>
        <v/>
      </c>
      <c r="BD117" s="93" t="str" cm="1">
        <f t="array" ref="BD117">_xlfn.LET(
  _xlpm.w, BD$11,
  _xlpm.r, MATCH(1,('3. Enter Indicator Scores'!$B$10:$B$161=$B117)*('3. Enter Indicator Scores'!$C$10:$C$161=$C117),0),
  _xlpm.c, MATCH(BD$8,'3. Enter Indicator Scores'!$D$8:$CZ$8,0),
  _xlpm.v, IFERROR(INDEX('3. Enter Indicator Scores'!$D$10:$CZ$161,_xlpm.r,_xlpm.c),""),
  IF(OR(_xlpm.w="",_xlpm.v=""),"",_xlpm.v*_xlpm.w)
)</f>
        <v/>
      </c>
      <c r="BE117" s="93" t="str" cm="1">
        <f t="array" ref="BE117">_xlfn.LET(
  _xlpm.w, BE$11,
  _xlpm.r, MATCH(1,('3. Enter Indicator Scores'!$B$10:$B$161=$B117)*('3. Enter Indicator Scores'!$C$10:$C$161=$C117),0),
  _xlpm.c, MATCH(BE$8,'3. Enter Indicator Scores'!$D$8:$CZ$8,0),
  _xlpm.v, IFERROR(INDEX('3. Enter Indicator Scores'!$D$10:$CZ$161,_xlpm.r,_xlpm.c),""),
  IF(OR(_xlpm.w="",_xlpm.v=""),"",_xlpm.v*_xlpm.w)
)</f>
        <v/>
      </c>
      <c r="BF117" s="93" t="str" cm="1">
        <f t="array" ref="BF117">_xlfn.LET(
  _xlpm.w, BF$11,
  _xlpm.r, MATCH(1,('3. Enter Indicator Scores'!$B$10:$B$161=$B117)*('3. Enter Indicator Scores'!$C$10:$C$161=$C117),0),
  _xlpm.c, MATCH(BF$8,'3. Enter Indicator Scores'!$D$8:$CZ$8,0),
  _xlpm.v, IFERROR(INDEX('3. Enter Indicator Scores'!$D$10:$CZ$161,_xlpm.r,_xlpm.c),""),
  IF(OR(_xlpm.w="",_xlpm.v=""),"",_xlpm.v*_xlpm.w)
)</f>
        <v/>
      </c>
      <c r="BG117" s="93" t="str" cm="1">
        <f t="array" ref="BG117">_xlfn.LET(
  _xlpm.w, BG$11,
  _xlpm.r, MATCH(1,('3. Enter Indicator Scores'!$B$10:$B$161=$B117)*('3. Enter Indicator Scores'!$C$10:$C$161=$C117),0),
  _xlpm.c, MATCH(BG$8,'3. Enter Indicator Scores'!$D$8:$CZ$8,0),
  _xlpm.v, IFERROR(INDEX('3. Enter Indicator Scores'!$D$10:$CZ$161,_xlpm.r,_xlpm.c),""),
  IF(OR(_xlpm.w="",_xlpm.v=""),"",_xlpm.v*_xlpm.w)
)</f>
        <v/>
      </c>
      <c r="BH117" s="93" t="str" cm="1">
        <f t="array" ref="BH117">_xlfn.LET(
  _xlpm.w, BH$11,
  _xlpm.r, MATCH(1,('3. Enter Indicator Scores'!$B$10:$B$161=$B117)*('3. Enter Indicator Scores'!$C$10:$C$161=$C117),0),
  _xlpm.c, MATCH(BH$8,'3. Enter Indicator Scores'!$D$8:$CZ$8,0),
  _xlpm.v, IFERROR(INDEX('3. Enter Indicator Scores'!$D$10:$CZ$161,_xlpm.r,_xlpm.c),""),
  IF(OR(_xlpm.w="",_xlpm.v=""),"",_xlpm.v*_xlpm.w)
)</f>
        <v/>
      </c>
      <c r="BI117" s="93" t="str" cm="1">
        <f t="array" ref="BI117">_xlfn.LET(
  _xlpm.w, BI$11,
  _xlpm.r, MATCH(1,('3. Enter Indicator Scores'!$B$10:$B$161=$B117)*('3. Enter Indicator Scores'!$C$10:$C$161=$C117),0),
  _xlpm.c, MATCH(BI$8,'3. Enter Indicator Scores'!$D$8:$CZ$8,0),
  _xlpm.v, IFERROR(INDEX('3. Enter Indicator Scores'!$D$10:$CZ$161,_xlpm.r,_xlpm.c),""),
  IF(OR(_xlpm.w="",_xlpm.v=""),"",_xlpm.v*_xlpm.w)
)</f>
        <v/>
      </c>
      <c r="BJ117" s="93" t="str" cm="1">
        <f t="array" ref="BJ117">_xlfn.LET(
  _xlpm.w, BJ$11,
  _xlpm.r, MATCH(1,('3. Enter Indicator Scores'!$B$10:$B$161=$B117)*('3. Enter Indicator Scores'!$C$10:$C$161=$C117),0),
  _xlpm.c, MATCH(BJ$8,'3. Enter Indicator Scores'!$D$8:$CZ$8,0),
  _xlpm.v, IFERROR(INDEX('3. Enter Indicator Scores'!$D$10:$CZ$161,_xlpm.r,_xlpm.c),""),
  IF(OR(_xlpm.w="",_xlpm.v=""),"",_xlpm.v*_xlpm.w)
)</f>
        <v/>
      </c>
      <c r="BK117" s="93" t="str" cm="1">
        <f t="array" ref="BK117">_xlfn.LET(
  _xlpm.w, BK$11,
  _xlpm.r, MATCH(1,('3. Enter Indicator Scores'!$B$10:$B$161=$B117)*('3. Enter Indicator Scores'!$C$10:$C$161=$C117),0),
  _xlpm.c, MATCH(BK$8,'3. Enter Indicator Scores'!$D$8:$CZ$8,0),
  _xlpm.v, IFERROR(INDEX('3. Enter Indicator Scores'!$D$10:$CZ$161,_xlpm.r,_xlpm.c),""),
  IF(OR(_xlpm.w="",_xlpm.v=""),"",_xlpm.v*_xlpm.w)
)</f>
        <v/>
      </c>
      <c r="BL117" s="93" t="str" cm="1">
        <f t="array" ref="BL117">_xlfn.LET(
  _xlpm.w, BL$11,
  _xlpm.r, MATCH(1,('3. Enter Indicator Scores'!$B$10:$B$161=$B117)*('3. Enter Indicator Scores'!$C$10:$C$161=$C117),0),
  _xlpm.c, MATCH(BL$8,'3. Enter Indicator Scores'!$D$8:$CZ$8,0),
  _xlpm.v, IFERROR(INDEX('3. Enter Indicator Scores'!$D$10:$CZ$161,_xlpm.r,_xlpm.c),""),
  IF(OR(_xlpm.w="",_xlpm.v=""),"",_xlpm.v*_xlpm.w)
)</f>
        <v/>
      </c>
      <c r="BM117" s="93" t="str" cm="1">
        <f t="array" ref="BM117">_xlfn.LET(
  _xlpm.w, BM$11,
  _xlpm.r, MATCH(1,('3. Enter Indicator Scores'!$B$10:$B$161=$B117)*('3. Enter Indicator Scores'!$C$10:$C$161=$C117),0),
  _xlpm.c, MATCH(BM$8,'3. Enter Indicator Scores'!$D$8:$CZ$8,0),
  _xlpm.v, IFERROR(INDEX('3. Enter Indicator Scores'!$D$10:$CZ$161,_xlpm.r,_xlpm.c),""),
  IF(OR(_xlpm.w="",_xlpm.v=""),"",_xlpm.v*_xlpm.w)
)</f>
        <v/>
      </c>
      <c r="BN117" s="93" t="str" cm="1">
        <f t="array" ref="BN117">_xlfn.LET(
  _xlpm.w, BN$11,
  _xlpm.r, MATCH(1,('3. Enter Indicator Scores'!$B$10:$B$161=$B117)*('3. Enter Indicator Scores'!$C$10:$C$161=$C117),0),
  _xlpm.c, MATCH(BN$8,'3. Enter Indicator Scores'!$D$8:$CZ$8,0),
  _xlpm.v, IFERROR(INDEX('3. Enter Indicator Scores'!$D$10:$CZ$161,_xlpm.r,_xlpm.c),""),
  IF(OR(_xlpm.w="",_xlpm.v=""),"",_xlpm.v*_xlpm.w)
)</f>
        <v/>
      </c>
      <c r="BO117" s="93" t="str" cm="1">
        <f t="array" ref="BO117">_xlfn.LET(
  _xlpm.w, BO$11,
  _xlpm.r, MATCH(1,('3. Enter Indicator Scores'!$B$10:$B$161=$B117)*('3. Enter Indicator Scores'!$C$10:$C$161=$C117),0),
  _xlpm.c, MATCH(BO$8,'3. Enter Indicator Scores'!$D$8:$CZ$8,0),
  _xlpm.v, IFERROR(INDEX('3. Enter Indicator Scores'!$D$10:$CZ$161,_xlpm.r,_xlpm.c),""),
  IF(OR(_xlpm.w="",_xlpm.v=""),"",_xlpm.v*_xlpm.w)
)</f>
        <v/>
      </c>
      <c r="BP117" s="93" t="str" cm="1">
        <f t="array" ref="BP117">_xlfn.LET(
  _xlpm.w, BP$11,
  _xlpm.r, MATCH(1,('3. Enter Indicator Scores'!$B$10:$B$161=$B117)*('3. Enter Indicator Scores'!$C$10:$C$161=$C117),0),
  _xlpm.c, MATCH(BP$8,'3. Enter Indicator Scores'!$D$8:$CZ$8,0),
  _xlpm.v, IFERROR(INDEX('3. Enter Indicator Scores'!$D$10:$CZ$161,_xlpm.r,_xlpm.c),""),
  IF(OR(_xlpm.w="",_xlpm.v=""),"",_xlpm.v*_xlpm.w)
)</f>
        <v/>
      </c>
      <c r="BQ117" s="93" t="str" cm="1">
        <f t="array" ref="BQ117">_xlfn.LET(
  _xlpm.w, BQ$11,
  _xlpm.r, MATCH(1,('3. Enter Indicator Scores'!$B$10:$B$161=$B117)*('3. Enter Indicator Scores'!$C$10:$C$161=$C117),0),
  _xlpm.c, MATCH(BQ$8,'3. Enter Indicator Scores'!$D$8:$CZ$8,0),
  _xlpm.v, IFERROR(INDEX('3. Enter Indicator Scores'!$D$10:$CZ$161,_xlpm.r,_xlpm.c),""),
  IF(OR(_xlpm.w="",_xlpm.v=""),"",_xlpm.v*_xlpm.w)
)</f>
        <v/>
      </c>
      <c r="BR117" s="93" t="str" cm="1">
        <f t="array" ref="BR117">_xlfn.LET(
  _xlpm.w, BR$11,
  _xlpm.r, MATCH(1,('3. Enter Indicator Scores'!$B$10:$B$161=$B117)*('3. Enter Indicator Scores'!$C$10:$C$161=$C117),0),
  _xlpm.c, MATCH(BR$8,'3. Enter Indicator Scores'!$D$8:$CZ$8,0),
  _xlpm.v, IFERROR(INDEX('3. Enter Indicator Scores'!$D$10:$CZ$161,_xlpm.r,_xlpm.c),""),
  IF(OR(_xlpm.w="",_xlpm.v=""),"",_xlpm.v*_xlpm.w)
)</f>
        <v/>
      </c>
      <c r="BS117" s="93" t="str" cm="1">
        <f t="array" ref="BS117">_xlfn.LET(
  _xlpm.w, BS$11,
  _xlpm.r, MATCH(1,('3. Enter Indicator Scores'!$B$10:$B$161=$B117)*('3. Enter Indicator Scores'!$C$10:$C$161=$C117),0),
  _xlpm.c, MATCH(BS$8,'3. Enter Indicator Scores'!$D$8:$CZ$8,0),
  _xlpm.v, IFERROR(INDEX('3. Enter Indicator Scores'!$D$10:$CZ$161,_xlpm.r,_xlpm.c),""),
  IF(OR(_xlpm.w="",_xlpm.v=""),"",_xlpm.v*_xlpm.w)
)</f>
        <v/>
      </c>
      <c r="BT117" s="93" t="str" cm="1">
        <f t="array" ref="BT117">_xlfn.LET(
  _xlpm.w, BT$11,
  _xlpm.r, MATCH(1,('3. Enter Indicator Scores'!$B$10:$B$161=$B117)*('3. Enter Indicator Scores'!$C$10:$C$161=$C117),0),
  _xlpm.c, MATCH(BT$8,'3. Enter Indicator Scores'!$D$8:$CZ$8,0),
  _xlpm.v, IFERROR(INDEX('3. Enter Indicator Scores'!$D$10:$CZ$161,_xlpm.r,_xlpm.c),""),
  IF(OR(_xlpm.w="",_xlpm.v=""),"",_xlpm.v*_xlpm.w)
)</f>
        <v/>
      </c>
      <c r="BU117" s="93" t="str" cm="1">
        <f t="array" ref="BU117">_xlfn.LET(
  _xlpm.w, BU$11,
  _xlpm.r, MATCH(1,('3. Enter Indicator Scores'!$B$10:$B$161=$B117)*('3. Enter Indicator Scores'!$C$10:$C$161=$C117),0),
  _xlpm.c, MATCH(BU$8,'3. Enter Indicator Scores'!$D$8:$CZ$8,0),
  _xlpm.v, IFERROR(INDEX('3. Enter Indicator Scores'!$D$10:$CZ$161,_xlpm.r,_xlpm.c),""),
  IF(OR(_xlpm.w="",_xlpm.v=""),"",_xlpm.v*_xlpm.w)
)</f>
        <v/>
      </c>
      <c r="BV117" s="93" t="str" cm="1">
        <f t="array" ref="BV117">_xlfn.LET(
  _xlpm.w, BV$11,
  _xlpm.r, MATCH(1,('3. Enter Indicator Scores'!$B$10:$B$161=$B117)*('3. Enter Indicator Scores'!$C$10:$C$161=$C117),0),
  _xlpm.c, MATCH(BV$8,'3. Enter Indicator Scores'!$D$8:$CZ$8,0),
  _xlpm.v, IFERROR(INDEX('3. Enter Indicator Scores'!$D$10:$CZ$161,_xlpm.r,_xlpm.c),""),
  IF(OR(_xlpm.w="",_xlpm.v=""),"",_xlpm.v*_xlpm.w)
)</f>
        <v/>
      </c>
      <c r="BW117" s="93" t="str" cm="1">
        <f t="array" ref="BW117">_xlfn.LET(
  _xlpm.w, BW$11,
  _xlpm.r, MATCH(1,('3. Enter Indicator Scores'!$B$10:$B$161=$B117)*('3. Enter Indicator Scores'!$C$10:$C$161=$C117),0),
  _xlpm.c, MATCH(BW$8,'3. Enter Indicator Scores'!$D$8:$CZ$8,0),
  _xlpm.v, IFERROR(INDEX('3. Enter Indicator Scores'!$D$10:$CZ$161,_xlpm.r,_xlpm.c),""),
  IF(OR(_xlpm.w="",_xlpm.v=""),"",_xlpm.v*_xlpm.w)
)</f>
        <v/>
      </c>
      <c r="BX117" s="93" t="str" cm="1">
        <f t="array" ref="BX117">_xlfn.LET(
  _xlpm.w, BX$11,
  _xlpm.r, MATCH(1,('3. Enter Indicator Scores'!$B$10:$B$161=$B117)*('3. Enter Indicator Scores'!$C$10:$C$161=$C117),0),
  _xlpm.c, MATCH(BX$8,'3. Enter Indicator Scores'!$D$8:$CZ$8,0),
  _xlpm.v, IFERROR(INDEX('3. Enter Indicator Scores'!$D$10:$CZ$161,_xlpm.r,_xlpm.c),""),
  IF(OR(_xlpm.w="",_xlpm.v=""),"",_xlpm.v*_xlpm.w)
)</f>
        <v/>
      </c>
      <c r="BY117" s="93" t="str" cm="1">
        <f t="array" ref="BY117">_xlfn.LET(
  _xlpm.w, BY$11,
  _xlpm.r, MATCH(1,('3. Enter Indicator Scores'!$B$10:$B$161=$B117)*('3. Enter Indicator Scores'!$C$10:$C$161=$C117),0),
  _xlpm.c, MATCH(BY$8,'3. Enter Indicator Scores'!$D$8:$CZ$8,0),
  _xlpm.v, IFERROR(INDEX('3. Enter Indicator Scores'!$D$10:$CZ$161,_xlpm.r,_xlpm.c),""),
  IF(OR(_xlpm.w="",_xlpm.v=""),"",_xlpm.v*_xlpm.w)
)</f>
        <v/>
      </c>
      <c r="BZ117" s="93" t="str" cm="1">
        <f t="array" ref="BZ117">_xlfn.LET(
  _xlpm.w, BZ$11,
  _xlpm.r, MATCH(1,('3. Enter Indicator Scores'!$B$10:$B$161=$B117)*('3. Enter Indicator Scores'!$C$10:$C$161=$C117),0),
  _xlpm.c, MATCH(BZ$8,'3. Enter Indicator Scores'!$D$8:$CZ$8,0),
  _xlpm.v, IFERROR(INDEX('3. Enter Indicator Scores'!$D$10:$CZ$161,_xlpm.r,_xlpm.c),""),
  IF(OR(_xlpm.w="",_xlpm.v=""),"",_xlpm.v*_xlpm.w)
)</f>
        <v/>
      </c>
      <c r="CA117" s="93" t="str" cm="1">
        <f t="array" ref="CA117">_xlfn.LET(
  _xlpm.w, CA$11,
  _xlpm.r, MATCH(1,('3. Enter Indicator Scores'!$B$10:$B$161=$B117)*('3. Enter Indicator Scores'!$C$10:$C$161=$C117),0),
  _xlpm.c, MATCH(CA$8,'3. Enter Indicator Scores'!$D$8:$CZ$8,0),
  _xlpm.v, IFERROR(INDEX('3. Enter Indicator Scores'!$D$10:$CZ$161,_xlpm.r,_xlpm.c),""),
  IF(OR(_xlpm.w="",_xlpm.v=""),"",_xlpm.v*_xlpm.w)
)</f>
        <v/>
      </c>
      <c r="CB117" s="93" t="str" cm="1">
        <f t="array" ref="CB117">_xlfn.LET(
  _xlpm.w, CB$11,
  _xlpm.r, MATCH(1,('3. Enter Indicator Scores'!$B$10:$B$161=$B117)*('3. Enter Indicator Scores'!$C$10:$C$161=$C117),0),
  _xlpm.c, MATCH(CB$8,'3. Enter Indicator Scores'!$D$8:$CZ$8,0),
  _xlpm.v, IFERROR(INDEX('3. Enter Indicator Scores'!$D$10:$CZ$161,_xlpm.r,_xlpm.c),""),
  IF(OR(_xlpm.w="",_xlpm.v=""),"",_xlpm.v*_xlpm.w)
)</f>
        <v/>
      </c>
      <c r="CC117" s="93" t="str" cm="1">
        <f t="array" ref="CC117">_xlfn.LET(
  _xlpm.w, CC$11,
  _xlpm.r, MATCH(1,('3. Enter Indicator Scores'!$B$10:$B$161=$B117)*('3. Enter Indicator Scores'!$C$10:$C$161=$C117),0),
  _xlpm.c, MATCH(CC$8,'3. Enter Indicator Scores'!$D$8:$CZ$8,0),
  _xlpm.v, IFERROR(INDEX('3. Enter Indicator Scores'!$D$10:$CZ$161,_xlpm.r,_xlpm.c),""),
  IF(OR(_xlpm.w="",_xlpm.v=""),"",_xlpm.v*_xlpm.w)
)</f>
        <v/>
      </c>
      <c r="CD117" s="93" t="str" cm="1">
        <f t="array" ref="CD117">_xlfn.LET(
  _xlpm.w, CD$11,
  _xlpm.r, MATCH(1,('3. Enter Indicator Scores'!$B$10:$B$161=$B117)*('3. Enter Indicator Scores'!$C$10:$C$161=$C117),0),
  _xlpm.c, MATCH(CD$8,'3. Enter Indicator Scores'!$D$8:$CZ$8,0),
  _xlpm.v, IFERROR(INDEX('3. Enter Indicator Scores'!$D$10:$CZ$161,_xlpm.r,_xlpm.c),""),
  IF(OR(_xlpm.w="",_xlpm.v=""),"",_xlpm.v*_xlpm.w)
)</f>
        <v/>
      </c>
      <c r="CE117" s="93" t="str" cm="1">
        <f t="array" ref="CE117">_xlfn.LET(
  _xlpm.w, CE$11,
  _xlpm.r, MATCH(1,('3. Enter Indicator Scores'!$B$10:$B$161=$B117)*('3. Enter Indicator Scores'!$C$10:$C$161=$C117),0),
  _xlpm.c, MATCH(CE$8,'3. Enter Indicator Scores'!$D$8:$CZ$8,0),
  _xlpm.v, IFERROR(INDEX('3. Enter Indicator Scores'!$D$10:$CZ$161,_xlpm.r,_xlpm.c),""),
  IF(OR(_xlpm.w="",_xlpm.v=""),"",_xlpm.v*_xlpm.w)
)</f>
        <v/>
      </c>
      <c r="CF117" s="93" t="str" cm="1">
        <f t="array" ref="CF117">_xlfn.LET(
  _xlpm.w, CF$11,
  _xlpm.r, MATCH(1,('3. Enter Indicator Scores'!$B$10:$B$161=$B117)*('3. Enter Indicator Scores'!$C$10:$C$161=$C117),0),
  _xlpm.c, MATCH(CF$8,'3. Enter Indicator Scores'!$D$8:$CZ$8,0),
  _xlpm.v, IFERROR(INDEX('3. Enter Indicator Scores'!$D$10:$CZ$161,_xlpm.r,_xlpm.c),""),
  IF(OR(_xlpm.w="",_xlpm.v=""),"",_xlpm.v*_xlpm.w)
)</f>
        <v/>
      </c>
      <c r="CG117" s="93" t="str" cm="1">
        <f t="array" ref="CG117">_xlfn.LET(
  _xlpm.w, CG$11,
  _xlpm.r, MATCH(1,('3. Enter Indicator Scores'!$B$10:$B$161=$B117)*('3. Enter Indicator Scores'!$C$10:$C$161=$C117),0),
  _xlpm.c, MATCH(CG$8,'3. Enter Indicator Scores'!$D$8:$CZ$8,0),
  _xlpm.v, IFERROR(INDEX('3. Enter Indicator Scores'!$D$10:$CZ$161,_xlpm.r,_xlpm.c),""),
  IF(OR(_xlpm.w="",_xlpm.v=""),"",_xlpm.v*_xlpm.w)
)</f>
        <v/>
      </c>
      <c r="CH117" s="93" t="str" cm="1">
        <f t="array" ref="CH117">_xlfn.LET(
  _xlpm.w, CH$11,
  _xlpm.r, MATCH(1,('3. Enter Indicator Scores'!$B$10:$B$161=$B117)*('3. Enter Indicator Scores'!$C$10:$C$161=$C117),0),
  _xlpm.c, MATCH(CH$8,'3. Enter Indicator Scores'!$D$8:$CZ$8,0),
  _xlpm.v, IFERROR(INDEX('3. Enter Indicator Scores'!$D$10:$CZ$161,_xlpm.r,_xlpm.c),""),
  IF(OR(_xlpm.w="",_xlpm.v=""),"",_xlpm.v*_xlpm.w)
)</f>
        <v/>
      </c>
      <c r="CI117" s="93" t="str" cm="1">
        <f t="array" ref="CI117">_xlfn.LET(
  _xlpm.w, CI$11,
  _xlpm.r, MATCH(1,('3. Enter Indicator Scores'!$B$10:$B$161=$B117)*('3. Enter Indicator Scores'!$C$10:$C$161=$C117),0),
  _xlpm.c, MATCH(CI$8,'3. Enter Indicator Scores'!$D$8:$CZ$8,0),
  _xlpm.v, IFERROR(INDEX('3. Enter Indicator Scores'!$D$10:$CZ$161,_xlpm.r,_xlpm.c),""),
  IF(OR(_xlpm.w="",_xlpm.v=""),"",_xlpm.v*_xlpm.w)
)</f>
        <v/>
      </c>
      <c r="CJ117" s="93" t="str" cm="1">
        <f t="array" ref="CJ117">_xlfn.LET(
  _xlpm.w, CJ$11,
  _xlpm.r, MATCH(1,('3. Enter Indicator Scores'!$B$10:$B$161=$B117)*('3. Enter Indicator Scores'!$C$10:$C$161=$C117),0),
  _xlpm.c, MATCH(CJ$8,'3. Enter Indicator Scores'!$D$8:$CZ$8,0),
  _xlpm.v, IFERROR(INDEX('3. Enter Indicator Scores'!$D$10:$CZ$161,_xlpm.r,_xlpm.c),""),
  IF(OR(_xlpm.w="",_xlpm.v=""),"",_xlpm.v*_xlpm.w)
)</f>
        <v/>
      </c>
      <c r="CK117" s="93" t="str" cm="1">
        <f t="array" ref="CK117">_xlfn.LET(
  _xlpm.w, CK$11,
  _xlpm.r, MATCH(1,('3. Enter Indicator Scores'!$B$10:$B$161=$B117)*('3. Enter Indicator Scores'!$C$10:$C$161=$C117),0),
  _xlpm.c, MATCH(CK$8,'3. Enter Indicator Scores'!$D$8:$CZ$8,0),
  _xlpm.v, IFERROR(INDEX('3. Enter Indicator Scores'!$D$10:$CZ$161,_xlpm.r,_xlpm.c),""),
  IF(OR(_xlpm.w="",_xlpm.v=""),"",_xlpm.v*_xlpm.w)
)</f>
        <v/>
      </c>
      <c r="CL117" s="93" t="str" cm="1">
        <f t="array" ref="CL117">_xlfn.LET(
  _xlpm.w, CL$11,
  _xlpm.r, MATCH(1,('3. Enter Indicator Scores'!$B$10:$B$161=$B117)*('3. Enter Indicator Scores'!$C$10:$C$161=$C117),0),
  _xlpm.c, MATCH(CL$8,'3. Enter Indicator Scores'!$D$8:$CZ$8,0),
  _xlpm.v, IFERROR(INDEX('3. Enter Indicator Scores'!$D$10:$CZ$161,_xlpm.r,_xlpm.c),""),
  IF(OR(_xlpm.w="",_xlpm.v=""),"",_xlpm.v*_xlpm.w)
)</f>
        <v/>
      </c>
      <c r="CM117" s="93" t="str" cm="1">
        <f t="array" ref="CM117">_xlfn.LET(
  _xlpm.w, CM$11,
  _xlpm.r, MATCH(1,('3. Enter Indicator Scores'!$B$10:$B$161=$B117)*('3. Enter Indicator Scores'!$C$10:$C$161=$C117),0),
  _xlpm.c, MATCH(CM$8,'3. Enter Indicator Scores'!$D$8:$CZ$8,0),
  _xlpm.v, IFERROR(INDEX('3. Enter Indicator Scores'!$D$10:$CZ$161,_xlpm.r,_xlpm.c),""),
  IF(OR(_xlpm.w="",_xlpm.v=""),"",_xlpm.v*_xlpm.w)
)</f>
        <v/>
      </c>
      <c r="CN117" s="93" t="str" cm="1">
        <f t="array" ref="CN117">_xlfn.LET(
  _xlpm.w, CN$11,
  _xlpm.r, MATCH(1,('3. Enter Indicator Scores'!$B$10:$B$161=$B117)*('3. Enter Indicator Scores'!$C$10:$C$161=$C117),0),
  _xlpm.c, MATCH(CN$8,'3. Enter Indicator Scores'!$D$8:$CZ$8,0),
  _xlpm.v, IFERROR(INDEX('3. Enter Indicator Scores'!$D$10:$CZ$161,_xlpm.r,_xlpm.c),""),
  IF(OR(_xlpm.w="",_xlpm.v=""),"",_xlpm.v*_xlpm.w)
)</f>
        <v/>
      </c>
      <c r="CO117" s="93" t="str" cm="1">
        <f t="array" ref="CO117">_xlfn.LET(
  _xlpm.w, CO$11,
  _xlpm.r, MATCH(1,('3. Enter Indicator Scores'!$B$10:$B$161=$B117)*('3. Enter Indicator Scores'!$C$10:$C$161=$C117),0),
  _xlpm.c, MATCH(CO$8,'3. Enter Indicator Scores'!$D$8:$CZ$8,0),
  _xlpm.v, IFERROR(INDEX('3. Enter Indicator Scores'!$D$10:$CZ$161,_xlpm.r,_xlpm.c),""),
  IF(OR(_xlpm.w="",_xlpm.v=""),"",_xlpm.v*_xlpm.w)
)</f>
        <v/>
      </c>
      <c r="CP117" s="93" t="str" cm="1">
        <f t="array" ref="CP117">_xlfn.LET(
  _xlpm.w, CP$11,
  _xlpm.r, MATCH(1,('3. Enter Indicator Scores'!$B$10:$B$161=$B117)*('3. Enter Indicator Scores'!$C$10:$C$161=$C117),0),
  _xlpm.c, MATCH(CP$8,'3. Enter Indicator Scores'!$D$8:$CZ$8,0),
  _xlpm.v, IFERROR(INDEX('3. Enter Indicator Scores'!$D$10:$CZ$161,_xlpm.r,_xlpm.c),""),
  IF(OR(_xlpm.w="",_xlpm.v=""),"",_xlpm.v*_xlpm.w)
)</f>
        <v/>
      </c>
      <c r="CQ117" s="93" t="str" cm="1">
        <f t="array" ref="CQ117">_xlfn.LET(
  _xlpm.w, CQ$11,
  _xlpm.r, MATCH(1,('3. Enter Indicator Scores'!$B$10:$B$161=$B117)*('3. Enter Indicator Scores'!$C$10:$C$161=$C117),0),
  _xlpm.c, MATCH(CQ$8,'3. Enter Indicator Scores'!$D$8:$CZ$8,0),
  _xlpm.v, IFERROR(INDEX('3. Enter Indicator Scores'!$D$10:$CZ$161,_xlpm.r,_xlpm.c),""),
  IF(OR(_xlpm.w="",_xlpm.v=""),"",_xlpm.v*_xlpm.w)
)</f>
        <v/>
      </c>
      <c r="CR117" s="93" t="str" cm="1">
        <f t="array" ref="CR117">_xlfn.LET(
  _xlpm.w, CR$11,
  _xlpm.r, MATCH(1,('3. Enter Indicator Scores'!$B$10:$B$161=$B117)*('3. Enter Indicator Scores'!$C$10:$C$161=$C117),0),
  _xlpm.c, MATCH(CR$8,'3. Enter Indicator Scores'!$D$8:$CZ$8,0),
  _xlpm.v, IFERROR(INDEX('3. Enter Indicator Scores'!$D$10:$CZ$161,_xlpm.r,_xlpm.c),""),
  IF(OR(_xlpm.w="",_xlpm.v=""),"",_xlpm.v*_xlpm.w)
)</f>
        <v/>
      </c>
      <c r="CS117" s="93" t="str" cm="1">
        <f t="array" ref="CS117">_xlfn.LET(
  _xlpm.w, CS$11,
  _xlpm.r, MATCH(1,('3. Enter Indicator Scores'!$B$10:$B$161=$B117)*('3. Enter Indicator Scores'!$C$10:$C$161=$C117),0),
  _xlpm.c, MATCH(CS$8,'3. Enter Indicator Scores'!$D$8:$CZ$8,0),
  _xlpm.v, IFERROR(INDEX('3. Enter Indicator Scores'!$D$10:$CZ$161,_xlpm.r,_xlpm.c),""),
  IF(OR(_xlpm.w="",_xlpm.v=""),"",_xlpm.v*_xlpm.w)
)</f>
        <v/>
      </c>
      <c r="CT117" s="93" t="str" cm="1">
        <f t="array" ref="CT117">_xlfn.LET(
  _xlpm.w, CT$11,
  _xlpm.r, MATCH(1,('3. Enter Indicator Scores'!$B$10:$B$161=$B117)*('3. Enter Indicator Scores'!$C$10:$C$161=$C117),0),
  _xlpm.c, MATCH(CT$8,'3. Enter Indicator Scores'!$D$8:$CZ$8,0),
  _xlpm.v, IFERROR(INDEX('3. Enter Indicator Scores'!$D$10:$CZ$161,_xlpm.r,_xlpm.c),""),
  IF(OR(_xlpm.w="",_xlpm.v=""),"",_xlpm.v*_xlpm.w)
)</f>
        <v/>
      </c>
      <c r="CU117" s="93" t="str" cm="1">
        <f t="array" ref="CU117">_xlfn.LET(
  _xlpm.w, CU$11,
  _xlpm.r, MATCH(1,('3. Enter Indicator Scores'!$B$10:$B$161=$B117)*('3. Enter Indicator Scores'!$C$10:$C$161=$C117),0),
  _xlpm.c, MATCH(CU$8,'3. Enter Indicator Scores'!$D$8:$CZ$8,0),
  _xlpm.v, IFERROR(INDEX('3. Enter Indicator Scores'!$D$10:$CZ$161,_xlpm.r,_xlpm.c),""),
  IF(OR(_xlpm.w="",_xlpm.v=""),"",_xlpm.v*_xlpm.w)
)</f>
        <v/>
      </c>
      <c r="CV117" s="93" t="str" cm="1">
        <f t="array" ref="CV117">_xlfn.LET(
  _xlpm.w, CV$11,
  _xlpm.r, MATCH(1,('3. Enter Indicator Scores'!$B$10:$B$161=$B117)*('3. Enter Indicator Scores'!$C$10:$C$161=$C117),0),
  _xlpm.c, MATCH(CV$8,'3. Enter Indicator Scores'!$D$8:$CZ$8,0),
  _xlpm.v, IFERROR(INDEX('3. Enter Indicator Scores'!$D$10:$CZ$161,_xlpm.r,_xlpm.c),""),
  IF(OR(_xlpm.w="",_xlpm.v=""),"",_xlpm.v*_xlpm.w)
)</f>
        <v/>
      </c>
      <c r="CW117" s="93" t="str" cm="1">
        <f t="array" ref="CW117">_xlfn.LET(
  _xlpm.w, CW$11,
  _xlpm.r, MATCH(1,('3. Enter Indicator Scores'!$B$10:$B$161=$B117)*('3. Enter Indicator Scores'!$C$10:$C$161=$C117),0),
  _xlpm.c, MATCH(CW$8,'3. Enter Indicator Scores'!$D$8:$CZ$8,0),
  _xlpm.v, IFERROR(INDEX('3. Enter Indicator Scores'!$D$10:$CZ$161,_xlpm.r,_xlpm.c),""),
  IF(OR(_xlpm.w="",_xlpm.v=""),"",_xlpm.v*_xlpm.w)
)</f>
        <v/>
      </c>
      <c r="CX117" s="93" t="str" cm="1">
        <f t="array" ref="CX117">_xlfn.LET(
  _xlpm.w, CX$11,
  _xlpm.r, MATCH(1,('3. Enter Indicator Scores'!$B$10:$B$161=$B117)*('3. Enter Indicator Scores'!$C$10:$C$161=$C117),0),
  _xlpm.c, MATCH(CX$8,'3. Enter Indicator Scores'!$D$8:$CZ$8,0),
  _xlpm.v, IFERROR(INDEX('3. Enter Indicator Scores'!$D$10:$CZ$161,_xlpm.r,_xlpm.c),""),
  IF(OR(_xlpm.w="",_xlpm.v=""),"",_xlpm.v*_xlpm.w)
)</f>
        <v/>
      </c>
      <c r="CY117" s="93" t="str" cm="1">
        <f t="array" ref="CY117">_xlfn.LET(
  _xlpm.w, CY$11,
  _xlpm.r, MATCH(1,('3. Enter Indicator Scores'!$B$10:$B$161=$B117)*('3. Enter Indicator Scores'!$C$10:$C$161=$C117),0),
  _xlpm.c, MATCH(CY$8,'3. Enter Indicator Scores'!$D$8:$CZ$8,0),
  _xlpm.v, IFERROR(INDEX('3. Enter Indicator Scores'!$D$10:$CZ$161,_xlpm.r,_xlpm.c),""),
  IF(OR(_xlpm.w="",_xlpm.v=""),"",_xlpm.v*_xlpm.w)
)</f>
        <v/>
      </c>
      <c r="CZ117" s="93" t="str" cm="1">
        <f t="array" ref="CZ117">_xlfn.LET(
  _xlpm.w, CZ$11,
  _xlpm.r, MATCH(1,('3. Enter Indicator Scores'!$B$10:$B$161=$B117)*('3. Enter Indicator Scores'!$C$10:$C$161=$C117),0),
  _xlpm.c, MATCH(CZ$8,'3. Enter Indicator Scores'!$D$8:$CZ$8,0),
  _xlpm.v, IFERROR(INDEX('3. Enter Indicator Scores'!$D$10:$CZ$161,_xlpm.r,_xlpm.c),""),
  IF(OR(_xlpm.w="",_xlpm.v=""),"",_xlpm.v*_xlpm.w)
)</f>
        <v/>
      </c>
    </row>
    <row r="118" spans="4:104" x14ac:dyDescent="0.2">
      <c r="D118" s="93" t="str" cm="1">
        <f t="array" ref="D118">_xlfn.LET(
  _xlpm.w, D$11,
  _xlpm.r, MATCH(1,('3. Enter Indicator Scores'!$B$10:$B$161=$B118)*('3. Enter Indicator Scores'!$C$10:$C$161=$C118),0),
  _xlpm.c, MATCH(D$8,'3. Enter Indicator Scores'!$D$8:$CZ$8,0),
  _xlpm.v, IFERROR(INDEX('3. Enter Indicator Scores'!$D$10:$CZ$161,_xlpm.r,_xlpm.c),""),
  IF(OR(_xlpm.w="",_xlpm.v=""),"",_xlpm.v*_xlpm.w)
)</f>
        <v/>
      </c>
      <c r="E118" s="93" t="str" cm="1">
        <f t="array" ref="E118">_xlfn.LET(
  _xlpm.w, E$11,
  _xlpm.r, MATCH(1,('3. Enter Indicator Scores'!$B$10:$B$161=$B118)*('3. Enter Indicator Scores'!$C$10:$C$161=$C118),0),
  _xlpm.c, MATCH(E$8,'3. Enter Indicator Scores'!$D$8:$CZ$8,0),
  _xlpm.v, IFERROR(INDEX('3. Enter Indicator Scores'!$D$10:$CZ$161,_xlpm.r,_xlpm.c),""),
  IF(OR(_xlpm.w="",_xlpm.v=""),"",_xlpm.v*_xlpm.w)
)</f>
        <v/>
      </c>
      <c r="F118" s="93" t="str" cm="1">
        <f t="array" ref="F118">_xlfn.LET(
  _xlpm.w, F$11,
  _xlpm.r, MATCH(1,('3. Enter Indicator Scores'!$B$10:$B$161=$B118)*('3. Enter Indicator Scores'!$C$10:$C$161=$C118),0),
  _xlpm.c, MATCH(F$8,'3. Enter Indicator Scores'!$D$8:$CZ$8,0),
  _xlpm.v, IFERROR(INDEX('3. Enter Indicator Scores'!$D$10:$CZ$161,_xlpm.r,_xlpm.c),""),
  IF(OR(_xlpm.w="",_xlpm.v=""),"",_xlpm.v*_xlpm.w)
)</f>
        <v/>
      </c>
      <c r="G118" s="93" t="str" cm="1">
        <f t="array" ref="G118">_xlfn.LET(
  _xlpm.w, G$11,
  _xlpm.r, MATCH(1,('3. Enter Indicator Scores'!$B$10:$B$161=$B118)*('3. Enter Indicator Scores'!$C$10:$C$161=$C118),0),
  _xlpm.c, MATCH(G$8,'3. Enter Indicator Scores'!$D$8:$CZ$8,0),
  _xlpm.v, IFERROR(INDEX('3. Enter Indicator Scores'!$D$10:$CZ$161,_xlpm.r,_xlpm.c),""),
  IF(OR(_xlpm.w="",_xlpm.v=""),"",_xlpm.v*_xlpm.w)
)</f>
        <v/>
      </c>
      <c r="H118" s="93" t="str" cm="1">
        <f t="array" ref="H118">_xlfn.LET(
  _xlpm.w, H$11,
  _xlpm.r, MATCH(1,('3. Enter Indicator Scores'!$B$10:$B$161=$B118)*('3. Enter Indicator Scores'!$C$10:$C$161=$C118),0),
  _xlpm.c, MATCH(H$8,'3. Enter Indicator Scores'!$D$8:$CZ$8,0),
  _xlpm.v, IFERROR(INDEX('3. Enter Indicator Scores'!$D$10:$CZ$161,_xlpm.r,_xlpm.c),""),
  IF(OR(_xlpm.w="",_xlpm.v=""),"",_xlpm.v*_xlpm.w)
)</f>
        <v/>
      </c>
      <c r="I118" s="93" t="str" cm="1">
        <f t="array" ref="I118">_xlfn.LET(
  _xlpm.w, I$11,
  _xlpm.r, MATCH(1,('3. Enter Indicator Scores'!$B$10:$B$161=$B118)*('3. Enter Indicator Scores'!$C$10:$C$161=$C118),0),
  _xlpm.c, MATCH(I$8,'3. Enter Indicator Scores'!$D$8:$CZ$8,0),
  _xlpm.v, IFERROR(INDEX('3. Enter Indicator Scores'!$D$10:$CZ$161,_xlpm.r,_xlpm.c),""),
  IF(OR(_xlpm.w="",_xlpm.v=""),"",_xlpm.v*_xlpm.w)
)</f>
        <v/>
      </c>
      <c r="J118" s="93" t="str" cm="1">
        <f t="array" ref="J118">_xlfn.LET(
  _xlpm.w, J$11,
  _xlpm.r, MATCH(1,('3. Enter Indicator Scores'!$B$10:$B$161=$B118)*('3. Enter Indicator Scores'!$C$10:$C$161=$C118),0),
  _xlpm.c, MATCH(J$8,'3. Enter Indicator Scores'!$D$8:$CZ$8,0),
  _xlpm.v, IFERROR(INDEX('3. Enter Indicator Scores'!$D$10:$CZ$161,_xlpm.r,_xlpm.c),""),
  IF(OR(_xlpm.w="",_xlpm.v=""),"",_xlpm.v*_xlpm.w)
)</f>
        <v/>
      </c>
      <c r="K118" s="93" t="str" cm="1">
        <f t="array" ref="K118">_xlfn.LET(
  _xlpm.w, K$11,
  _xlpm.r, MATCH(1,('3. Enter Indicator Scores'!$B$10:$B$161=$B118)*('3. Enter Indicator Scores'!$C$10:$C$161=$C118),0),
  _xlpm.c, MATCH(K$8,'3. Enter Indicator Scores'!$D$8:$CZ$8,0),
  _xlpm.v, IFERROR(INDEX('3. Enter Indicator Scores'!$D$10:$CZ$161,_xlpm.r,_xlpm.c),""),
  IF(OR(_xlpm.w="",_xlpm.v=""),"",_xlpm.v*_xlpm.w)
)</f>
        <v/>
      </c>
      <c r="L118" s="93" t="str" cm="1">
        <f t="array" ref="L118">_xlfn.LET(
  _xlpm.w, L$11,
  _xlpm.r, MATCH(1,('3. Enter Indicator Scores'!$B$10:$B$161=$B118)*('3. Enter Indicator Scores'!$C$10:$C$161=$C118),0),
  _xlpm.c, MATCH(L$8,'3. Enter Indicator Scores'!$D$8:$CZ$8,0),
  _xlpm.v, IFERROR(INDEX('3. Enter Indicator Scores'!$D$10:$CZ$161,_xlpm.r,_xlpm.c),""),
  IF(OR(_xlpm.w="",_xlpm.v=""),"",_xlpm.v*_xlpm.w)
)</f>
        <v/>
      </c>
      <c r="M118" s="93" t="str" cm="1">
        <f t="array" ref="M118">_xlfn.LET(
  _xlpm.w, M$11,
  _xlpm.r, MATCH(1,('3. Enter Indicator Scores'!$B$10:$B$161=$B118)*('3. Enter Indicator Scores'!$C$10:$C$161=$C118),0),
  _xlpm.c, MATCH(M$8,'3. Enter Indicator Scores'!$D$8:$CZ$8,0),
  _xlpm.v, IFERROR(INDEX('3. Enter Indicator Scores'!$D$10:$CZ$161,_xlpm.r,_xlpm.c),""),
  IF(OR(_xlpm.w="",_xlpm.v=""),"",_xlpm.v*_xlpm.w)
)</f>
        <v/>
      </c>
      <c r="N118" s="93" t="str" cm="1">
        <f t="array" ref="N118">_xlfn.LET(
  _xlpm.w, N$11,
  _xlpm.r, MATCH(1,('3. Enter Indicator Scores'!$B$10:$B$161=$B118)*('3. Enter Indicator Scores'!$C$10:$C$161=$C118),0),
  _xlpm.c, MATCH(N$8,'3. Enter Indicator Scores'!$D$8:$CZ$8,0),
  _xlpm.v, IFERROR(INDEX('3. Enter Indicator Scores'!$D$10:$CZ$161,_xlpm.r,_xlpm.c),""),
  IF(OR(_xlpm.w="",_xlpm.v=""),"",_xlpm.v*_xlpm.w)
)</f>
        <v/>
      </c>
      <c r="O118" s="93" t="str" cm="1">
        <f t="array" ref="O118">_xlfn.LET(
  _xlpm.w, O$11,
  _xlpm.r, MATCH(1,('3. Enter Indicator Scores'!$B$10:$B$161=$B118)*('3. Enter Indicator Scores'!$C$10:$C$161=$C118),0),
  _xlpm.c, MATCH(O$8,'3. Enter Indicator Scores'!$D$8:$CZ$8,0),
  _xlpm.v, IFERROR(INDEX('3. Enter Indicator Scores'!$D$10:$CZ$161,_xlpm.r,_xlpm.c),""),
  IF(OR(_xlpm.w="",_xlpm.v=""),"",_xlpm.v*_xlpm.w)
)</f>
        <v/>
      </c>
      <c r="P118" s="93" t="str" cm="1">
        <f t="array" ref="P118">_xlfn.LET(
  _xlpm.w, P$11,
  _xlpm.r, MATCH(1,('3. Enter Indicator Scores'!$B$10:$B$161=$B118)*('3. Enter Indicator Scores'!$C$10:$C$161=$C118),0),
  _xlpm.c, MATCH(P$8,'3. Enter Indicator Scores'!$D$8:$CZ$8,0),
  _xlpm.v, IFERROR(INDEX('3. Enter Indicator Scores'!$D$10:$CZ$161,_xlpm.r,_xlpm.c),""),
  IF(OR(_xlpm.w="",_xlpm.v=""),"",_xlpm.v*_xlpm.w)
)</f>
        <v/>
      </c>
      <c r="Q118" s="93" t="str" cm="1">
        <f t="array" ref="Q118">_xlfn.LET(
  _xlpm.w, Q$11,
  _xlpm.r, MATCH(1,('3. Enter Indicator Scores'!$B$10:$B$161=$B118)*('3. Enter Indicator Scores'!$C$10:$C$161=$C118),0),
  _xlpm.c, MATCH(Q$8,'3. Enter Indicator Scores'!$D$8:$CZ$8,0),
  _xlpm.v, IFERROR(INDEX('3. Enter Indicator Scores'!$D$10:$CZ$161,_xlpm.r,_xlpm.c),""),
  IF(OR(_xlpm.w="",_xlpm.v=""),"",_xlpm.v*_xlpm.w)
)</f>
        <v/>
      </c>
      <c r="R118" s="93" t="str" cm="1">
        <f t="array" ref="R118">_xlfn.LET(
  _xlpm.w, R$11,
  _xlpm.r, MATCH(1,('3. Enter Indicator Scores'!$B$10:$B$161=$B118)*('3. Enter Indicator Scores'!$C$10:$C$161=$C118),0),
  _xlpm.c, MATCH(R$8,'3. Enter Indicator Scores'!$D$8:$CZ$8,0),
  _xlpm.v, IFERROR(INDEX('3. Enter Indicator Scores'!$D$10:$CZ$161,_xlpm.r,_xlpm.c),""),
  IF(OR(_xlpm.w="",_xlpm.v=""),"",_xlpm.v*_xlpm.w)
)</f>
        <v/>
      </c>
      <c r="S118" s="93" t="str" cm="1">
        <f t="array" ref="S118">_xlfn.LET(
  _xlpm.w, S$11,
  _xlpm.r, MATCH(1,('3. Enter Indicator Scores'!$B$10:$B$161=$B118)*('3. Enter Indicator Scores'!$C$10:$C$161=$C118),0),
  _xlpm.c, MATCH(S$8,'3. Enter Indicator Scores'!$D$8:$CZ$8,0),
  _xlpm.v, IFERROR(INDEX('3. Enter Indicator Scores'!$D$10:$CZ$161,_xlpm.r,_xlpm.c),""),
  IF(OR(_xlpm.w="",_xlpm.v=""),"",_xlpm.v*_xlpm.w)
)</f>
        <v/>
      </c>
      <c r="T118" s="93" t="str" cm="1">
        <f t="array" ref="T118">_xlfn.LET(
  _xlpm.w, T$11,
  _xlpm.r, MATCH(1,('3. Enter Indicator Scores'!$B$10:$B$161=$B118)*('3. Enter Indicator Scores'!$C$10:$C$161=$C118),0),
  _xlpm.c, MATCH(T$8,'3. Enter Indicator Scores'!$D$8:$CZ$8,0),
  _xlpm.v, IFERROR(INDEX('3. Enter Indicator Scores'!$D$10:$CZ$161,_xlpm.r,_xlpm.c),""),
  IF(OR(_xlpm.w="",_xlpm.v=""),"",_xlpm.v*_xlpm.w)
)</f>
        <v/>
      </c>
      <c r="U118" s="93" t="str" cm="1">
        <f t="array" ref="U118">_xlfn.LET(
  _xlpm.w, U$11,
  _xlpm.r, MATCH(1,('3. Enter Indicator Scores'!$B$10:$B$161=$B118)*('3. Enter Indicator Scores'!$C$10:$C$161=$C118),0),
  _xlpm.c, MATCH(U$8,'3. Enter Indicator Scores'!$D$8:$CZ$8,0),
  _xlpm.v, IFERROR(INDEX('3. Enter Indicator Scores'!$D$10:$CZ$161,_xlpm.r,_xlpm.c),""),
  IF(OR(_xlpm.w="",_xlpm.v=""),"",_xlpm.v*_xlpm.w)
)</f>
        <v/>
      </c>
      <c r="V118" s="93" t="str" cm="1">
        <f t="array" ref="V118">_xlfn.LET(
  _xlpm.w, V$11,
  _xlpm.r, MATCH(1,('3. Enter Indicator Scores'!$B$10:$B$161=$B118)*('3. Enter Indicator Scores'!$C$10:$C$161=$C118),0),
  _xlpm.c, MATCH(V$8,'3. Enter Indicator Scores'!$D$8:$CZ$8,0),
  _xlpm.v, IFERROR(INDEX('3. Enter Indicator Scores'!$D$10:$CZ$161,_xlpm.r,_xlpm.c),""),
  IF(OR(_xlpm.w="",_xlpm.v=""),"",_xlpm.v*_xlpm.w)
)</f>
        <v/>
      </c>
      <c r="W118" s="93" t="str" cm="1">
        <f t="array" ref="W118">_xlfn.LET(
  _xlpm.w, W$11,
  _xlpm.r, MATCH(1,('3. Enter Indicator Scores'!$B$10:$B$161=$B118)*('3. Enter Indicator Scores'!$C$10:$C$161=$C118),0),
  _xlpm.c, MATCH(W$8,'3. Enter Indicator Scores'!$D$8:$CZ$8,0),
  _xlpm.v, IFERROR(INDEX('3. Enter Indicator Scores'!$D$10:$CZ$161,_xlpm.r,_xlpm.c),""),
  IF(OR(_xlpm.w="",_xlpm.v=""),"",_xlpm.v*_xlpm.w)
)</f>
        <v/>
      </c>
      <c r="X118" s="93" t="str" cm="1">
        <f t="array" ref="X118">_xlfn.LET(
  _xlpm.w, X$11,
  _xlpm.r, MATCH(1,('3. Enter Indicator Scores'!$B$10:$B$161=$B118)*('3. Enter Indicator Scores'!$C$10:$C$161=$C118),0),
  _xlpm.c, MATCH(X$8,'3. Enter Indicator Scores'!$D$8:$CZ$8,0),
  _xlpm.v, IFERROR(INDEX('3. Enter Indicator Scores'!$D$10:$CZ$161,_xlpm.r,_xlpm.c),""),
  IF(OR(_xlpm.w="",_xlpm.v=""),"",_xlpm.v*_xlpm.w)
)</f>
        <v/>
      </c>
      <c r="Y118" s="93" t="str" cm="1">
        <f t="array" ref="Y118">_xlfn.LET(
  _xlpm.w, Y$11,
  _xlpm.r, MATCH(1,('3. Enter Indicator Scores'!$B$10:$B$161=$B118)*('3. Enter Indicator Scores'!$C$10:$C$161=$C118),0),
  _xlpm.c, MATCH(Y$8,'3. Enter Indicator Scores'!$D$8:$CZ$8,0),
  _xlpm.v, IFERROR(INDEX('3. Enter Indicator Scores'!$D$10:$CZ$161,_xlpm.r,_xlpm.c),""),
  IF(OR(_xlpm.w="",_xlpm.v=""),"",_xlpm.v*_xlpm.w)
)</f>
        <v/>
      </c>
      <c r="Z118" s="93" t="str" cm="1">
        <f t="array" ref="Z118">_xlfn.LET(
  _xlpm.w, Z$11,
  _xlpm.r, MATCH(1,('3. Enter Indicator Scores'!$B$10:$B$161=$B118)*('3. Enter Indicator Scores'!$C$10:$C$161=$C118),0),
  _xlpm.c, MATCH(Z$8,'3. Enter Indicator Scores'!$D$8:$CZ$8,0),
  _xlpm.v, IFERROR(INDEX('3. Enter Indicator Scores'!$D$10:$CZ$161,_xlpm.r,_xlpm.c),""),
  IF(OR(_xlpm.w="",_xlpm.v=""),"",_xlpm.v*_xlpm.w)
)</f>
        <v/>
      </c>
      <c r="AA118" s="93" t="str" cm="1">
        <f t="array" ref="AA118">_xlfn.LET(
  _xlpm.w, AA$11,
  _xlpm.r, MATCH(1,('3. Enter Indicator Scores'!$B$10:$B$161=$B118)*('3. Enter Indicator Scores'!$C$10:$C$161=$C118),0),
  _xlpm.c, MATCH(AA$8,'3. Enter Indicator Scores'!$D$8:$CZ$8,0),
  _xlpm.v, IFERROR(INDEX('3. Enter Indicator Scores'!$D$10:$CZ$161,_xlpm.r,_xlpm.c),""),
  IF(OR(_xlpm.w="",_xlpm.v=""),"",_xlpm.v*_xlpm.w)
)</f>
        <v/>
      </c>
      <c r="AB118" s="93" t="str" cm="1">
        <f t="array" ref="AB118">_xlfn.LET(
  _xlpm.w, AB$11,
  _xlpm.r, MATCH(1,('3. Enter Indicator Scores'!$B$10:$B$161=$B118)*('3. Enter Indicator Scores'!$C$10:$C$161=$C118),0),
  _xlpm.c, MATCH(AB$8,'3. Enter Indicator Scores'!$D$8:$CZ$8,0),
  _xlpm.v, IFERROR(INDEX('3. Enter Indicator Scores'!$D$10:$CZ$161,_xlpm.r,_xlpm.c),""),
  IF(OR(_xlpm.w="",_xlpm.v=""),"",_xlpm.v*_xlpm.w)
)</f>
        <v/>
      </c>
      <c r="AC118" s="93" t="str" cm="1">
        <f t="array" ref="AC118">_xlfn.LET(
  _xlpm.w, AC$11,
  _xlpm.r, MATCH(1,('3. Enter Indicator Scores'!$B$10:$B$161=$B118)*('3. Enter Indicator Scores'!$C$10:$C$161=$C118),0),
  _xlpm.c, MATCH(AC$8,'3. Enter Indicator Scores'!$D$8:$CZ$8,0),
  _xlpm.v, IFERROR(INDEX('3. Enter Indicator Scores'!$D$10:$CZ$161,_xlpm.r,_xlpm.c),""),
  IF(OR(_xlpm.w="",_xlpm.v=""),"",_xlpm.v*_xlpm.w)
)</f>
        <v/>
      </c>
      <c r="AD118" s="93" t="str" cm="1">
        <f t="array" ref="AD118">_xlfn.LET(
  _xlpm.w, AD$11,
  _xlpm.r, MATCH(1,('3. Enter Indicator Scores'!$B$10:$B$161=$B118)*('3. Enter Indicator Scores'!$C$10:$C$161=$C118),0),
  _xlpm.c, MATCH(AD$8,'3. Enter Indicator Scores'!$D$8:$CZ$8,0),
  _xlpm.v, IFERROR(INDEX('3. Enter Indicator Scores'!$D$10:$CZ$161,_xlpm.r,_xlpm.c),""),
  IF(OR(_xlpm.w="",_xlpm.v=""),"",_xlpm.v*_xlpm.w)
)</f>
        <v/>
      </c>
      <c r="AE118" s="93" t="str" cm="1">
        <f t="array" ref="AE118">_xlfn.LET(
  _xlpm.w, AE$11,
  _xlpm.r, MATCH(1,('3. Enter Indicator Scores'!$B$10:$B$161=$B118)*('3. Enter Indicator Scores'!$C$10:$C$161=$C118),0),
  _xlpm.c, MATCH(AE$8,'3. Enter Indicator Scores'!$D$8:$CZ$8,0),
  _xlpm.v, IFERROR(INDEX('3. Enter Indicator Scores'!$D$10:$CZ$161,_xlpm.r,_xlpm.c),""),
  IF(OR(_xlpm.w="",_xlpm.v=""),"",_xlpm.v*_xlpm.w)
)</f>
        <v/>
      </c>
      <c r="AF118" s="93" t="str" cm="1">
        <f t="array" ref="AF118">_xlfn.LET(
  _xlpm.w, AF$11,
  _xlpm.r, MATCH(1,('3. Enter Indicator Scores'!$B$10:$B$161=$B118)*('3. Enter Indicator Scores'!$C$10:$C$161=$C118),0),
  _xlpm.c, MATCH(AF$8,'3. Enter Indicator Scores'!$D$8:$CZ$8,0),
  _xlpm.v, IFERROR(INDEX('3. Enter Indicator Scores'!$D$10:$CZ$161,_xlpm.r,_xlpm.c),""),
  IF(OR(_xlpm.w="",_xlpm.v=""),"",_xlpm.v*_xlpm.w)
)</f>
        <v/>
      </c>
      <c r="AG118" s="93" t="str" cm="1">
        <f t="array" ref="AG118">_xlfn.LET(
  _xlpm.w, AG$11,
  _xlpm.r, MATCH(1,('3. Enter Indicator Scores'!$B$10:$B$161=$B118)*('3. Enter Indicator Scores'!$C$10:$C$161=$C118),0),
  _xlpm.c, MATCH(AG$8,'3. Enter Indicator Scores'!$D$8:$CZ$8,0),
  _xlpm.v, IFERROR(INDEX('3. Enter Indicator Scores'!$D$10:$CZ$161,_xlpm.r,_xlpm.c),""),
  IF(OR(_xlpm.w="",_xlpm.v=""),"",_xlpm.v*_xlpm.w)
)</f>
        <v/>
      </c>
      <c r="AH118" s="93" t="str" cm="1">
        <f t="array" ref="AH118">_xlfn.LET(
  _xlpm.w, AH$11,
  _xlpm.r, MATCH(1,('3. Enter Indicator Scores'!$B$10:$B$161=$B118)*('3. Enter Indicator Scores'!$C$10:$C$161=$C118),0),
  _xlpm.c, MATCH(AH$8,'3. Enter Indicator Scores'!$D$8:$CZ$8,0),
  _xlpm.v, IFERROR(INDEX('3. Enter Indicator Scores'!$D$10:$CZ$161,_xlpm.r,_xlpm.c),""),
  IF(OR(_xlpm.w="",_xlpm.v=""),"",_xlpm.v*_xlpm.w)
)</f>
        <v/>
      </c>
      <c r="AI118" s="93" t="str" cm="1">
        <f t="array" ref="AI118">_xlfn.LET(
  _xlpm.w, AI$11,
  _xlpm.r, MATCH(1,('3. Enter Indicator Scores'!$B$10:$B$161=$B118)*('3. Enter Indicator Scores'!$C$10:$C$161=$C118),0),
  _xlpm.c, MATCH(AI$8,'3. Enter Indicator Scores'!$D$8:$CZ$8,0),
  _xlpm.v, IFERROR(INDEX('3. Enter Indicator Scores'!$D$10:$CZ$161,_xlpm.r,_xlpm.c),""),
  IF(OR(_xlpm.w="",_xlpm.v=""),"",_xlpm.v*_xlpm.w)
)</f>
        <v/>
      </c>
      <c r="AJ118" s="93" t="str" cm="1">
        <f t="array" ref="AJ118">_xlfn.LET(
  _xlpm.w, AJ$11,
  _xlpm.r, MATCH(1,('3. Enter Indicator Scores'!$B$10:$B$161=$B118)*('3. Enter Indicator Scores'!$C$10:$C$161=$C118),0),
  _xlpm.c, MATCH(AJ$8,'3. Enter Indicator Scores'!$D$8:$CZ$8,0),
  _xlpm.v, IFERROR(INDEX('3. Enter Indicator Scores'!$D$10:$CZ$161,_xlpm.r,_xlpm.c),""),
  IF(OR(_xlpm.w="",_xlpm.v=""),"",_xlpm.v*_xlpm.w)
)</f>
        <v/>
      </c>
      <c r="AK118" s="93" t="str" cm="1">
        <f t="array" ref="AK118">_xlfn.LET(
  _xlpm.w, AK$11,
  _xlpm.r, MATCH(1,('3. Enter Indicator Scores'!$B$10:$B$161=$B118)*('3. Enter Indicator Scores'!$C$10:$C$161=$C118),0),
  _xlpm.c, MATCH(AK$8,'3. Enter Indicator Scores'!$D$8:$CZ$8,0),
  _xlpm.v, IFERROR(INDEX('3. Enter Indicator Scores'!$D$10:$CZ$161,_xlpm.r,_xlpm.c),""),
  IF(OR(_xlpm.w="",_xlpm.v=""),"",_xlpm.v*_xlpm.w)
)</f>
        <v/>
      </c>
      <c r="AL118" s="93" t="str" cm="1">
        <f t="array" ref="AL118">_xlfn.LET(
  _xlpm.w, AL$11,
  _xlpm.r, MATCH(1,('3. Enter Indicator Scores'!$B$10:$B$161=$B118)*('3. Enter Indicator Scores'!$C$10:$C$161=$C118),0),
  _xlpm.c, MATCH(AL$8,'3. Enter Indicator Scores'!$D$8:$CZ$8,0),
  _xlpm.v, IFERROR(INDEX('3. Enter Indicator Scores'!$D$10:$CZ$161,_xlpm.r,_xlpm.c),""),
  IF(OR(_xlpm.w="",_xlpm.v=""),"",_xlpm.v*_xlpm.w)
)</f>
        <v/>
      </c>
      <c r="AM118" s="93" t="str" cm="1">
        <f t="array" ref="AM118">_xlfn.LET(
  _xlpm.w, AM$11,
  _xlpm.r, MATCH(1,('3. Enter Indicator Scores'!$B$10:$B$161=$B118)*('3. Enter Indicator Scores'!$C$10:$C$161=$C118),0),
  _xlpm.c, MATCH(AM$8,'3. Enter Indicator Scores'!$D$8:$CZ$8,0),
  _xlpm.v, IFERROR(INDEX('3. Enter Indicator Scores'!$D$10:$CZ$161,_xlpm.r,_xlpm.c),""),
  IF(OR(_xlpm.w="",_xlpm.v=""),"",_xlpm.v*_xlpm.w)
)</f>
        <v/>
      </c>
      <c r="AN118" s="93" t="str" cm="1">
        <f t="array" ref="AN118">_xlfn.LET(
  _xlpm.w, AN$11,
  _xlpm.r, MATCH(1,('3. Enter Indicator Scores'!$B$10:$B$161=$B118)*('3. Enter Indicator Scores'!$C$10:$C$161=$C118),0),
  _xlpm.c, MATCH(AN$8,'3. Enter Indicator Scores'!$D$8:$CZ$8,0),
  _xlpm.v, IFERROR(INDEX('3. Enter Indicator Scores'!$D$10:$CZ$161,_xlpm.r,_xlpm.c),""),
  IF(OR(_xlpm.w="",_xlpm.v=""),"",_xlpm.v*_xlpm.w)
)</f>
        <v/>
      </c>
      <c r="AO118" s="93" t="str" cm="1">
        <f t="array" ref="AO118">_xlfn.LET(
  _xlpm.w, AO$11,
  _xlpm.r, MATCH(1,('3. Enter Indicator Scores'!$B$10:$B$161=$B118)*('3. Enter Indicator Scores'!$C$10:$C$161=$C118),0),
  _xlpm.c, MATCH(AO$8,'3. Enter Indicator Scores'!$D$8:$CZ$8,0),
  _xlpm.v, IFERROR(INDEX('3. Enter Indicator Scores'!$D$10:$CZ$161,_xlpm.r,_xlpm.c),""),
  IF(OR(_xlpm.w="",_xlpm.v=""),"",_xlpm.v*_xlpm.w)
)</f>
        <v/>
      </c>
      <c r="AP118" s="93" t="str" cm="1">
        <f t="array" ref="AP118">_xlfn.LET(
  _xlpm.w, AP$11,
  _xlpm.r, MATCH(1,('3. Enter Indicator Scores'!$B$10:$B$161=$B118)*('3. Enter Indicator Scores'!$C$10:$C$161=$C118),0),
  _xlpm.c, MATCH(AP$8,'3. Enter Indicator Scores'!$D$8:$CZ$8,0),
  _xlpm.v, IFERROR(INDEX('3. Enter Indicator Scores'!$D$10:$CZ$161,_xlpm.r,_xlpm.c),""),
  IF(OR(_xlpm.w="",_xlpm.v=""),"",_xlpm.v*_xlpm.w)
)</f>
        <v/>
      </c>
      <c r="AQ118" s="93" t="str" cm="1">
        <f t="array" ref="AQ118">_xlfn.LET(
  _xlpm.w, AQ$11,
  _xlpm.r, MATCH(1,('3. Enter Indicator Scores'!$B$10:$B$161=$B118)*('3. Enter Indicator Scores'!$C$10:$C$161=$C118),0),
  _xlpm.c, MATCH(AQ$8,'3. Enter Indicator Scores'!$D$8:$CZ$8,0),
  _xlpm.v, IFERROR(INDEX('3. Enter Indicator Scores'!$D$10:$CZ$161,_xlpm.r,_xlpm.c),""),
  IF(OR(_xlpm.w="",_xlpm.v=""),"",_xlpm.v*_xlpm.w)
)</f>
        <v/>
      </c>
      <c r="AR118" s="93" t="str" cm="1">
        <f t="array" ref="AR118">_xlfn.LET(
  _xlpm.w, AR$11,
  _xlpm.r, MATCH(1,('3. Enter Indicator Scores'!$B$10:$B$161=$B118)*('3. Enter Indicator Scores'!$C$10:$C$161=$C118),0),
  _xlpm.c, MATCH(AR$8,'3. Enter Indicator Scores'!$D$8:$CZ$8,0),
  _xlpm.v, IFERROR(INDEX('3. Enter Indicator Scores'!$D$10:$CZ$161,_xlpm.r,_xlpm.c),""),
  IF(OR(_xlpm.w="",_xlpm.v=""),"",_xlpm.v*_xlpm.w)
)</f>
        <v/>
      </c>
      <c r="AS118" s="93" t="str" cm="1">
        <f t="array" ref="AS118">_xlfn.LET(
  _xlpm.w, AS$11,
  _xlpm.r, MATCH(1,('3. Enter Indicator Scores'!$B$10:$B$161=$B118)*('3. Enter Indicator Scores'!$C$10:$C$161=$C118),0),
  _xlpm.c, MATCH(AS$8,'3. Enter Indicator Scores'!$D$8:$CZ$8,0),
  _xlpm.v, IFERROR(INDEX('3. Enter Indicator Scores'!$D$10:$CZ$161,_xlpm.r,_xlpm.c),""),
  IF(OR(_xlpm.w="",_xlpm.v=""),"",_xlpm.v*_xlpm.w)
)</f>
        <v/>
      </c>
      <c r="AT118" s="93" t="str" cm="1">
        <f t="array" ref="AT118">_xlfn.LET(
  _xlpm.w, AT$11,
  _xlpm.r, MATCH(1,('3. Enter Indicator Scores'!$B$10:$B$161=$B118)*('3. Enter Indicator Scores'!$C$10:$C$161=$C118),0),
  _xlpm.c, MATCH(AT$8,'3. Enter Indicator Scores'!$D$8:$CZ$8,0),
  _xlpm.v, IFERROR(INDEX('3. Enter Indicator Scores'!$D$10:$CZ$161,_xlpm.r,_xlpm.c),""),
  IF(OR(_xlpm.w="",_xlpm.v=""),"",_xlpm.v*_xlpm.w)
)</f>
        <v/>
      </c>
      <c r="AU118" s="93" t="str" cm="1">
        <f t="array" ref="AU118">_xlfn.LET(
  _xlpm.w, AU$11,
  _xlpm.r, MATCH(1,('3. Enter Indicator Scores'!$B$10:$B$161=$B118)*('3. Enter Indicator Scores'!$C$10:$C$161=$C118),0),
  _xlpm.c, MATCH(AU$8,'3. Enter Indicator Scores'!$D$8:$CZ$8,0),
  _xlpm.v, IFERROR(INDEX('3. Enter Indicator Scores'!$D$10:$CZ$161,_xlpm.r,_xlpm.c),""),
  IF(OR(_xlpm.w="",_xlpm.v=""),"",_xlpm.v*_xlpm.w)
)</f>
        <v/>
      </c>
      <c r="AV118" s="93" t="str" cm="1">
        <f t="array" ref="AV118">_xlfn.LET(
  _xlpm.w, AV$11,
  _xlpm.r, MATCH(1,('3. Enter Indicator Scores'!$B$10:$B$161=$B118)*('3. Enter Indicator Scores'!$C$10:$C$161=$C118),0),
  _xlpm.c, MATCH(AV$8,'3. Enter Indicator Scores'!$D$8:$CZ$8,0),
  _xlpm.v, IFERROR(INDEX('3. Enter Indicator Scores'!$D$10:$CZ$161,_xlpm.r,_xlpm.c),""),
  IF(OR(_xlpm.w="",_xlpm.v=""),"",_xlpm.v*_xlpm.w)
)</f>
        <v/>
      </c>
      <c r="AW118" s="93" t="str" cm="1">
        <f t="array" ref="AW118">_xlfn.LET(
  _xlpm.w, AW$11,
  _xlpm.r, MATCH(1,('3. Enter Indicator Scores'!$B$10:$B$161=$B118)*('3. Enter Indicator Scores'!$C$10:$C$161=$C118),0),
  _xlpm.c, MATCH(AW$8,'3. Enter Indicator Scores'!$D$8:$CZ$8,0),
  _xlpm.v, IFERROR(INDEX('3. Enter Indicator Scores'!$D$10:$CZ$161,_xlpm.r,_xlpm.c),""),
  IF(OR(_xlpm.w="",_xlpm.v=""),"",_xlpm.v*_xlpm.w)
)</f>
        <v/>
      </c>
      <c r="AX118" s="93" t="str" cm="1">
        <f t="array" ref="AX118">_xlfn.LET(
  _xlpm.w, AX$11,
  _xlpm.r, MATCH(1,('3. Enter Indicator Scores'!$B$10:$B$161=$B118)*('3. Enter Indicator Scores'!$C$10:$C$161=$C118),0),
  _xlpm.c, MATCH(AX$8,'3. Enter Indicator Scores'!$D$8:$CZ$8,0),
  _xlpm.v, IFERROR(INDEX('3. Enter Indicator Scores'!$D$10:$CZ$161,_xlpm.r,_xlpm.c),""),
  IF(OR(_xlpm.w="",_xlpm.v=""),"",_xlpm.v*_xlpm.w)
)</f>
        <v/>
      </c>
      <c r="AY118" s="93" t="str" cm="1">
        <f t="array" ref="AY118">_xlfn.LET(
  _xlpm.w, AY$11,
  _xlpm.r, MATCH(1,('3. Enter Indicator Scores'!$B$10:$B$161=$B118)*('3. Enter Indicator Scores'!$C$10:$C$161=$C118),0),
  _xlpm.c, MATCH(AY$8,'3. Enter Indicator Scores'!$D$8:$CZ$8,0),
  _xlpm.v, IFERROR(INDEX('3. Enter Indicator Scores'!$D$10:$CZ$161,_xlpm.r,_xlpm.c),""),
  IF(OR(_xlpm.w="",_xlpm.v=""),"",_xlpm.v*_xlpm.w)
)</f>
        <v/>
      </c>
      <c r="AZ118" s="93" t="str" cm="1">
        <f t="array" ref="AZ118">_xlfn.LET(
  _xlpm.w, AZ$11,
  _xlpm.r, MATCH(1,('3. Enter Indicator Scores'!$B$10:$B$161=$B118)*('3. Enter Indicator Scores'!$C$10:$C$161=$C118),0),
  _xlpm.c, MATCH(AZ$8,'3. Enter Indicator Scores'!$D$8:$CZ$8,0),
  _xlpm.v, IFERROR(INDEX('3. Enter Indicator Scores'!$D$10:$CZ$161,_xlpm.r,_xlpm.c),""),
  IF(OR(_xlpm.w="",_xlpm.v=""),"",_xlpm.v*_xlpm.w)
)</f>
        <v/>
      </c>
      <c r="BA118" s="93" t="str" cm="1">
        <f t="array" ref="BA118">_xlfn.LET(
  _xlpm.w, BA$11,
  _xlpm.r, MATCH(1,('3. Enter Indicator Scores'!$B$10:$B$161=$B118)*('3. Enter Indicator Scores'!$C$10:$C$161=$C118),0),
  _xlpm.c, MATCH(BA$8,'3. Enter Indicator Scores'!$D$8:$CZ$8,0),
  _xlpm.v, IFERROR(INDEX('3. Enter Indicator Scores'!$D$10:$CZ$161,_xlpm.r,_xlpm.c),""),
  IF(OR(_xlpm.w="",_xlpm.v=""),"",_xlpm.v*_xlpm.w)
)</f>
        <v/>
      </c>
      <c r="BB118" s="93" t="str" cm="1">
        <f t="array" ref="BB118">_xlfn.LET(
  _xlpm.w, BB$11,
  _xlpm.r, MATCH(1,('3. Enter Indicator Scores'!$B$10:$B$161=$B118)*('3. Enter Indicator Scores'!$C$10:$C$161=$C118),0),
  _xlpm.c, MATCH(BB$8,'3. Enter Indicator Scores'!$D$8:$CZ$8,0),
  _xlpm.v, IFERROR(INDEX('3. Enter Indicator Scores'!$D$10:$CZ$161,_xlpm.r,_xlpm.c),""),
  IF(OR(_xlpm.w="",_xlpm.v=""),"",_xlpm.v*_xlpm.w)
)</f>
        <v/>
      </c>
      <c r="BC118" s="93" t="str" cm="1">
        <f t="array" ref="BC118">_xlfn.LET(
  _xlpm.w, BC$11,
  _xlpm.r, MATCH(1,('3. Enter Indicator Scores'!$B$10:$B$161=$B118)*('3. Enter Indicator Scores'!$C$10:$C$161=$C118),0),
  _xlpm.c, MATCH(BC$8,'3. Enter Indicator Scores'!$D$8:$CZ$8,0),
  _xlpm.v, IFERROR(INDEX('3. Enter Indicator Scores'!$D$10:$CZ$161,_xlpm.r,_xlpm.c),""),
  IF(OR(_xlpm.w="",_xlpm.v=""),"",_xlpm.v*_xlpm.w)
)</f>
        <v/>
      </c>
      <c r="BD118" s="93" t="str" cm="1">
        <f t="array" ref="BD118">_xlfn.LET(
  _xlpm.w, BD$11,
  _xlpm.r, MATCH(1,('3. Enter Indicator Scores'!$B$10:$B$161=$B118)*('3. Enter Indicator Scores'!$C$10:$C$161=$C118),0),
  _xlpm.c, MATCH(BD$8,'3. Enter Indicator Scores'!$D$8:$CZ$8,0),
  _xlpm.v, IFERROR(INDEX('3. Enter Indicator Scores'!$D$10:$CZ$161,_xlpm.r,_xlpm.c),""),
  IF(OR(_xlpm.w="",_xlpm.v=""),"",_xlpm.v*_xlpm.w)
)</f>
        <v/>
      </c>
      <c r="BE118" s="93" t="str" cm="1">
        <f t="array" ref="BE118">_xlfn.LET(
  _xlpm.w, BE$11,
  _xlpm.r, MATCH(1,('3. Enter Indicator Scores'!$B$10:$B$161=$B118)*('3. Enter Indicator Scores'!$C$10:$C$161=$C118),0),
  _xlpm.c, MATCH(BE$8,'3. Enter Indicator Scores'!$D$8:$CZ$8,0),
  _xlpm.v, IFERROR(INDEX('3. Enter Indicator Scores'!$D$10:$CZ$161,_xlpm.r,_xlpm.c),""),
  IF(OR(_xlpm.w="",_xlpm.v=""),"",_xlpm.v*_xlpm.w)
)</f>
        <v/>
      </c>
      <c r="BF118" s="93" t="str" cm="1">
        <f t="array" ref="BF118">_xlfn.LET(
  _xlpm.w, BF$11,
  _xlpm.r, MATCH(1,('3. Enter Indicator Scores'!$B$10:$B$161=$B118)*('3. Enter Indicator Scores'!$C$10:$C$161=$C118),0),
  _xlpm.c, MATCH(BF$8,'3. Enter Indicator Scores'!$D$8:$CZ$8,0),
  _xlpm.v, IFERROR(INDEX('3. Enter Indicator Scores'!$D$10:$CZ$161,_xlpm.r,_xlpm.c),""),
  IF(OR(_xlpm.w="",_xlpm.v=""),"",_xlpm.v*_xlpm.w)
)</f>
        <v/>
      </c>
      <c r="BG118" s="93" t="str" cm="1">
        <f t="array" ref="BG118">_xlfn.LET(
  _xlpm.w, BG$11,
  _xlpm.r, MATCH(1,('3. Enter Indicator Scores'!$B$10:$B$161=$B118)*('3. Enter Indicator Scores'!$C$10:$C$161=$C118),0),
  _xlpm.c, MATCH(BG$8,'3. Enter Indicator Scores'!$D$8:$CZ$8,0),
  _xlpm.v, IFERROR(INDEX('3. Enter Indicator Scores'!$D$10:$CZ$161,_xlpm.r,_xlpm.c),""),
  IF(OR(_xlpm.w="",_xlpm.v=""),"",_xlpm.v*_xlpm.w)
)</f>
        <v/>
      </c>
      <c r="BH118" s="93" t="str" cm="1">
        <f t="array" ref="BH118">_xlfn.LET(
  _xlpm.w, BH$11,
  _xlpm.r, MATCH(1,('3. Enter Indicator Scores'!$B$10:$B$161=$B118)*('3. Enter Indicator Scores'!$C$10:$C$161=$C118),0),
  _xlpm.c, MATCH(BH$8,'3. Enter Indicator Scores'!$D$8:$CZ$8,0),
  _xlpm.v, IFERROR(INDEX('3. Enter Indicator Scores'!$D$10:$CZ$161,_xlpm.r,_xlpm.c),""),
  IF(OR(_xlpm.w="",_xlpm.v=""),"",_xlpm.v*_xlpm.w)
)</f>
        <v/>
      </c>
      <c r="BI118" s="93" t="str" cm="1">
        <f t="array" ref="BI118">_xlfn.LET(
  _xlpm.w, BI$11,
  _xlpm.r, MATCH(1,('3. Enter Indicator Scores'!$B$10:$B$161=$B118)*('3. Enter Indicator Scores'!$C$10:$C$161=$C118),0),
  _xlpm.c, MATCH(BI$8,'3. Enter Indicator Scores'!$D$8:$CZ$8,0),
  _xlpm.v, IFERROR(INDEX('3. Enter Indicator Scores'!$D$10:$CZ$161,_xlpm.r,_xlpm.c),""),
  IF(OR(_xlpm.w="",_xlpm.v=""),"",_xlpm.v*_xlpm.w)
)</f>
        <v/>
      </c>
      <c r="BJ118" s="93" t="str" cm="1">
        <f t="array" ref="BJ118">_xlfn.LET(
  _xlpm.w, BJ$11,
  _xlpm.r, MATCH(1,('3. Enter Indicator Scores'!$B$10:$B$161=$B118)*('3. Enter Indicator Scores'!$C$10:$C$161=$C118),0),
  _xlpm.c, MATCH(BJ$8,'3. Enter Indicator Scores'!$D$8:$CZ$8,0),
  _xlpm.v, IFERROR(INDEX('3. Enter Indicator Scores'!$D$10:$CZ$161,_xlpm.r,_xlpm.c),""),
  IF(OR(_xlpm.w="",_xlpm.v=""),"",_xlpm.v*_xlpm.w)
)</f>
        <v/>
      </c>
      <c r="BK118" s="93" t="str" cm="1">
        <f t="array" ref="BK118">_xlfn.LET(
  _xlpm.w, BK$11,
  _xlpm.r, MATCH(1,('3. Enter Indicator Scores'!$B$10:$B$161=$B118)*('3. Enter Indicator Scores'!$C$10:$C$161=$C118),0),
  _xlpm.c, MATCH(BK$8,'3. Enter Indicator Scores'!$D$8:$CZ$8,0),
  _xlpm.v, IFERROR(INDEX('3. Enter Indicator Scores'!$D$10:$CZ$161,_xlpm.r,_xlpm.c),""),
  IF(OR(_xlpm.w="",_xlpm.v=""),"",_xlpm.v*_xlpm.w)
)</f>
        <v/>
      </c>
      <c r="BL118" s="93" t="str" cm="1">
        <f t="array" ref="BL118">_xlfn.LET(
  _xlpm.w, BL$11,
  _xlpm.r, MATCH(1,('3. Enter Indicator Scores'!$B$10:$B$161=$B118)*('3. Enter Indicator Scores'!$C$10:$C$161=$C118),0),
  _xlpm.c, MATCH(BL$8,'3. Enter Indicator Scores'!$D$8:$CZ$8,0),
  _xlpm.v, IFERROR(INDEX('3. Enter Indicator Scores'!$D$10:$CZ$161,_xlpm.r,_xlpm.c),""),
  IF(OR(_xlpm.w="",_xlpm.v=""),"",_xlpm.v*_xlpm.w)
)</f>
        <v/>
      </c>
      <c r="BM118" s="93" t="str" cm="1">
        <f t="array" ref="BM118">_xlfn.LET(
  _xlpm.w, BM$11,
  _xlpm.r, MATCH(1,('3. Enter Indicator Scores'!$B$10:$B$161=$B118)*('3. Enter Indicator Scores'!$C$10:$C$161=$C118),0),
  _xlpm.c, MATCH(BM$8,'3. Enter Indicator Scores'!$D$8:$CZ$8,0),
  _xlpm.v, IFERROR(INDEX('3. Enter Indicator Scores'!$D$10:$CZ$161,_xlpm.r,_xlpm.c),""),
  IF(OR(_xlpm.w="",_xlpm.v=""),"",_xlpm.v*_xlpm.w)
)</f>
        <v/>
      </c>
      <c r="BN118" s="93" t="str" cm="1">
        <f t="array" ref="BN118">_xlfn.LET(
  _xlpm.w, BN$11,
  _xlpm.r, MATCH(1,('3. Enter Indicator Scores'!$B$10:$B$161=$B118)*('3. Enter Indicator Scores'!$C$10:$C$161=$C118),0),
  _xlpm.c, MATCH(BN$8,'3. Enter Indicator Scores'!$D$8:$CZ$8,0),
  _xlpm.v, IFERROR(INDEX('3. Enter Indicator Scores'!$D$10:$CZ$161,_xlpm.r,_xlpm.c),""),
  IF(OR(_xlpm.w="",_xlpm.v=""),"",_xlpm.v*_xlpm.w)
)</f>
        <v/>
      </c>
      <c r="BO118" s="93" t="str" cm="1">
        <f t="array" ref="BO118">_xlfn.LET(
  _xlpm.w, BO$11,
  _xlpm.r, MATCH(1,('3. Enter Indicator Scores'!$B$10:$B$161=$B118)*('3. Enter Indicator Scores'!$C$10:$C$161=$C118),0),
  _xlpm.c, MATCH(BO$8,'3. Enter Indicator Scores'!$D$8:$CZ$8,0),
  _xlpm.v, IFERROR(INDEX('3. Enter Indicator Scores'!$D$10:$CZ$161,_xlpm.r,_xlpm.c),""),
  IF(OR(_xlpm.w="",_xlpm.v=""),"",_xlpm.v*_xlpm.w)
)</f>
        <v/>
      </c>
      <c r="BP118" s="93" t="str" cm="1">
        <f t="array" ref="BP118">_xlfn.LET(
  _xlpm.w, BP$11,
  _xlpm.r, MATCH(1,('3. Enter Indicator Scores'!$B$10:$B$161=$B118)*('3. Enter Indicator Scores'!$C$10:$C$161=$C118),0),
  _xlpm.c, MATCH(BP$8,'3. Enter Indicator Scores'!$D$8:$CZ$8,0),
  _xlpm.v, IFERROR(INDEX('3. Enter Indicator Scores'!$D$10:$CZ$161,_xlpm.r,_xlpm.c),""),
  IF(OR(_xlpm.w="",_xlpm.v=""),"",_xlpm.v*_xlpm.w)
)</f>
        <v/>
      </c>
      <c r="BQ118" s="93" t="str" cm="1">
        <f t="array" ref="BQ118">_xlfn.LET(
  _xlpm.w, BQ$11,
  _xlpm.r, MATCH(1,('3. Enter Indicator Scores'!$B$10:$B$161=$B118)*('3. Enter Indicator Scores'!$C$10:$C$161=$C118),0),
  _xlpm.c, MATCH(BQ$8,'3. Enter Indicator Scores'!$D$8:$CZ$8,0),
  _xlpm.v, IFERROR(INDEX('3. Enter Indicator Scores'!$D$10:$CZ$161,_xlpm.r,_xlpm.c),""),
  IF(OR(_xlpm.w="",_xlpm.v=""),"",_xlpm.v*_xlpm.w)
)</f>
        <v/>
      </c>
      <c r="BR118" s="93" t="str" cm="1">
        <f t="array" ref="BR118">_xlfn.LET(
  _xlpm.w, BR$11,
  _xlpm.r, MATCH(1,('3. Enter Indicator Scores'!$B$10:$B$161=$B118)*('3. Enter Indicator Scores'!$C$10:$C$161=$C118),0),
  _xlpm.c, MATCH(BR$8,'3. Enter Indicator Scores'!$D$8:$CZ$8,0),
  _xlpm.v, IFERROR(INDEX('3. Enter Indicator Scores'!$D$10:$CZ$161,_xlpm.r,_xlpm.c),""),
  IF(OR(_xlpm.w="",_xlpm.v=""),"",_xlpm.v*_xlpm.w)
)</f>
        <v/>
      </c>
      <c r="BS118" s="93" t="str" cm="1">
        <f t="array" ref="BS118">_xlfn.LET(
  _xlpm.w, BS$11,
  _xlpm.r, MATCH(1,('3. Enter Indicator Scores'!$B$10:$B$161=$B118)*('3. Enter Indicator Scores'!$C$10:$C$161=$C118),0),
  _xlpm.c, MATCH(BS$8,'3. Enter Indicator Scores'!$D$8:$CZ$8,0),
  _xlpm.v, IFERROR(INDEX('3. Enter Indicator Scores'!$D$10:$CZ$161,_xlpm.r,_xlpm.c),""),
  IF(OR(_xlpm.w="",_xlpm.v=""),"",_xlpm.v*_xlpm.w)
)</f>
        <v/>
      </c>
      <c r="BT118" s="93" t="str" cm="1">
        <f t="array" ref="BT118">_xlfn.LET(
  _xlpm.w, BT$11,
  _xlpm.r, MATCH(1,('3. Enter Indicator Scores'!$B$10:$B$161=$B118)*('3. Enter Indicator Scores'!$C$10:$C$161=$C118),0),
  _xlpm.c, MATCH(BT$8,'3. Enter Indicator Scores'!$D$8:$CZ$8,0),
  _xlpm.v, IFERROR(INDEX('3. Enter Indicator Scores'!$D$10:$CZ$161,_xlpm.r,_xlpm.c),""),
  IF(OR(_xlpm.w="",_xlpm.v=""),"",_xlpm.v*_xlpm.w)
)</f>
        <v/>
      </c>
      <c r="BU118" s="93" t="str" cm="1">
        <f t="array" ref="BU118">_xlfn.LET(
  _xlpm.w, BU$11,
  _xlpm.r, MATCH(1,('3. Enter Indicator Scores'!$B$10:$B$161=$B118)*('3. Enter Indicator Scores'!$C$10:$C$161=$C118),0),
  _xlpm.c, MATCH(BU$8,'3. Enter Indicator Scores'!$D$8:$CZ$8,0),
  _xlpm.v, IFERROR(INDEX('3. Enter Indicator Scores'!$D$10:$CZ$161,_xlpm.r,_xlpm.c),""),
  IF(OR(_xlpm.w="",_xlpm.v=""),"",_xlpm.v*_xlpm.w)
)</f>
        <v/>
      </c>
      <c r="BV118" s="93" t="str" cm="1">
        <f t="array" ref="BV118">_xlfn.LET(
  _xlpm.w, BV$11,
  _xlpm.r, MATCH(1,('3. Enter Indicator Scores'!$B$10:$B$161=$B118)*('3. Enter Indicator Scores'!$C$10:$C$161=$C118),0),
  _xlpm.c, MATCH(BV$8,'3. Enter Indicator Scores'!$D$8:$CZ$8,0),
  _xlpm.v, IFERROR(INDEX('3. Enter Indicator Scores'!$D$10:$CZ$161,_xlpm.r,_xlpm.c),""),
  IF(OR(_xlpm.w="",_xlpm.v=""),"",_xlpm.v*_xlpm.w)
)</f>
        <v/>
      </c>
      <c r="BW118" s="93" t="str" cm="1">
        <f t="array" ref="BW118">_xlfn.LET(
  _xlpm.w, BW$11,
  _xlpm.r, MATCH(1,('3. Enter Indicator Scores'!$B$10:$B$161=$B118)*('3. Enter Indicator Scores'!$C$10:$C$161=$C118),0),
  _xlpm.c, MATCH(BW$8,'3. Enter Indicator Scores'!$D$8:$CZ$8,0),
  _xlpm.v, IFERROR(INDEX('3. Enter Indicator Scores'!$D$10:$CZ$161,_xlpm.r,_xlpm.c),""),
  IF(OR(_xlpm.w="",_xlpm.v=""),"",_xlpm.v*_xlpm.w)
)</f>
        <v/>
      </c>
      <c r="BX118" s="93" t="str" cm="1">
        <f t="array" ref="BX118">_xlfn.LET(
  _xlpm.w, BX$11,
  _xlpm.r, MATCH(1,('3. Enter Indicator Scores'!$B$10:$B$161=$B118)*('3. Enter Indicator Scores'!$C$10:$C$161=$C118),0),
  _xlpm.c, MATCH(BX$8,'3. Enter Indicator Scores'!$D$8:$CZ$8,0),
  _xlpm.v, IFERROR(INDEX('3. Enter Indicator Scores'!$D$10:$CZ$161,_xlpm.r,_xlpm.c),""),
  IF(OR(_xlpm.w="",_xlpm.v=""),"",_xlpm.v*_xlpm.w)
)</f>
        <v/>
      </c>
      <c r="BY118" s="93" t="str" cm="1">
        <f t="array" ref="BY118">_xlfn.LET(
  _xlpm.w, BY$11,
  _xlpm.r, MATCH(1,('3. Enter Indicator Scores'!$B$10:$B$161=$B118)*('3. Enter Indicator Scores'!$C$10:$C$161=$C118),0),
  _xlpm.c, MATCH(BY$8,'3. Enter Indicator Scores'!$D$8:$CZ$8,0),
  _xlpm.v, IFERROR(INDEX('3. Enter Indicator Scores'!$D$10:$CZ$161,_xlpm.r,_xlpm.c),""),
  IF(OR(_xlpm.w="",_xlpm.v=""),"",_xlpm.v*_xlpm.w)
)</f>
        <v/>
      </c>
      <c r="BZ118" s="93" t="str" cm="1">
        <f t="array" ref="BZ118">_xlfn.LET(
  _xlpm.w, BZ$11,
  _xlpm.r, MATCH(1,('3. Enter Indicator Scores'!$B$10:$B$161=$B118)*('3. Enter Indicator Scores'!$C$10:$C$161=$C118),0),
  _xlpm.c, MATCH(BZ$8,'3. Enter Indicator Scores'!$D$8:$CZ$8,0),
  _xlpm.v, IFERROR(INDEX('3. Enter Indicator Scores'!$D$10:$CZ$161,_xlpm.r,_xlpm.c),""),
  IF(OR(_xlpm.w="",_xlpm.v=""),"",_xlpm.v*_xlpm.w)
)</f>
        <v/>
      </c>
      <c r="CA118" s="93" t="str" cm="1">
        <f t="array" ref="CA118">_xlfn.LET(
  _xlpm.w, CA$11,
  _xlpm.r, MATCH(1,('3. Enter Indicator Scores'!$B$10:$B$161=$B118)*('3. Enter Indicator Scores'!$C$10:$C$161=$C118),0),
  _xlpm.c, MATCH(CA$8,'3. Enter Indicator Scores'!$D$8:$CZ$8,0),
  _xlpm.v, IFERROR(INDEX('3. Enter Indicator Scores'!$D$10:$CZ$161,_xlpm.r,_xlpm.c),""),
  IF(OR(_xlpm.w="",_xlpm.v=""),"",_xlpm.v*_xlpm.w)
)</f>
        <v/>
      </c>
      <c r="CB118" s="93" t="str" cm="1">
        <f t="array" ref="CB118">_xlfn.LET(
  _xlpm.w, CB$11,
  _xlpm.r, MATCH(1,('3. Enter Indicator Scores'!$B$10:$B$161=$B118)*('3. Enter Indicator Scores'!$C$10:$C$161=$C118),0),
  _xlpm.c, MATCH(CB$8,'3. Enter Indicator Scores'!$D$8:$CZ$8,0),
  _xlpm.v, IFERROR(INDEX('3. Enter Indicator Scores'!$D$10:$CZ$161,_xlpm.r,_xlpm.c),""),
  IF(OR(_xlpm.w="",_xlpm.v=""),"",_xlpm.v*_xlpm.w)
)</f>
        <v/>
      </c>
      <c r="CC118" s="93" t="str" cm="1">
        <f t="array" ref="CC118">_xlfn.LET(
  _xlpm.w, CC$11,
  _xlpm.r, MATCH(1,('3. Enter Indicator Scores'!$B$10:$B$161=$B118)*('3. Enter Indicator Scores'!$C$10:$C$161=$C118),0),
  _xlpm.c, MATCH(CC$8,'3. Enter Indicator Scores'!$D$8:$CZ$8,0),
  _xlpm.v, IFERROR(INDEX('3. Enter Indicator Scores'!$D$10:$CZ$161,_xlpm.r,_xlpm.c),""),
  IF(OR(_xlpm.w="",_xlpm.v=""),"",_xlpm.v*_xlpm.w)
)</f>
        <v/>
      </c>
      <c r="CD118" s="93" t="str" cm="1">
        <f t="array" ref="CD118">_xlfn.LET(
  _xlpm.w, CD$11,
  _xlpm.r, MATCH(1,('3. Enter Indicator Scores'!$B$10:$B$161=$B118)*('3. Enter Indicator Scores'!$C$10:$C$161=$C118),0),
  _xlpm.c, MATCH(CD$8,'3. Enter Indicator Scores'!$D$8:$CZ$8,0),
  _xlpm.v, IFERROR(INDEX('3. Enter Indicator Scores'!$D$10:$CZ$161,_xlpm.r,_xlpm.c),""),
  IF(OR(_xlpm.w="",_xlpm.v=""),"",_xlpm.v*_xlpm.w)
)</f>
        <v/>
      </c>
      <c r="CE118" s="93" t="str" cm="1">
        <f t="array" ref="CE118">_xlfn.LET(
  _xlpm.w, CE$11,
  _xlpm.r, MATCH(1,('3. Enter Indicator Scores'!$B$10:$B$161=$B118)*('3. Enter Indicator Scores'!$C$10:$C$161=$C118),0),
  _xlpm.c, MATCH(CE$8,'3. Enter Indicator Scores'!$D$8:$CZ$8,0),
  _xlpm.v, IFERROR(INDEX('3. Enter Indicator Scores'!$D$10:$CZ$161,_xlpm.r,_xlpm.c),""),
  IF(OR(_xlpm.w="",_xlpm.v=""),"",_xlpm.v*_xlpm.w)
)</f>
        <v/>
      </c>
      <c r="CF118" s="93" t="str" cm="1">
        <f t="array" ref="CF118">_xlfn.LET(
  _xlpm.w, CF$11,
  _xlpm.r, MATCH(1,('3. Enter Indicator Scores'!$B$10:$B$161=$B118)*('3. Enter Indicator Scores'!$C$10:$C$161=$C118),0),
  _xlpm.c, MATCH(CF$8,'3. Enter Indicator Scores'!$D$8:$CZ$8,0),
  _xlpm.v, IFERROR(INDEX('3. Enter Indicator Scores'!$D$10:$CZ$161,_xlpm.r,_xlpm.c),""),
  IF(OR(_xlpm.w="",_xlpm.v=""),"",_xlpm.v*_xlpm.w)
)</f>
        <v/>
      </c>
      <c r="CG118" s="93" t="str" cm="1">
        <f t="array" ref="CG118">_xlfn.LET(
  _xlpm.w, CG$11,
  _xlpm.r, MATCH(1,('3. Enter Indicator Scores'!$B$10:$B$161=$B118)*('3. Enter Indicator Scores'!$C$10:$C$161=$C118),0),
  _xlpm.c, MATCH(CG$8,'3. Enter Indicator Scores'!$D$8:$CZ$8,0),
  _xlpm.v, IFERROR(INDEX('3. Enter Indicator Scores'!$D$10:$CZ$161,_xlpm.r,_xlpm.c),""),
  IF(OR(_xlpm.w="",_xlpm.v=""),"",_xlpm.v*_xlpm.w)
)</f>
        <v/>
      </c>
      <c r="CH118" s="93" t="str" cm="1">
        <f t="array" ref="CH118">_xlfn.LET(
  _xlpm.w, CH$11,
  _xlpm.r, MATCH(1,('3. Enter Indicator Scores'!$B$10:$B$161=$B118)*('3. Enter Indicator Scores'!$C$10:$C$161=$C118),0),
  _xlpm.c, MATCH(CH$8,'3. Enter Indicator Scores'!$D$8:$CZ$8,0),
  _xlpm.v, IFERROR(INDEX('3. Enter Indicator Scores'!$D$10:$CZ$161,_xlpm.r,_xlpm.c),""),
  IF(OR(_xlpm.w="",_xlpm.v=""),"",_xlpm.v*_xlpm.w)
)</f>
        <v/>
      </c>
      <c r="CI118" s="93" t="str" cm="1">
        <f t="array" ref="CI118">_xlfn.LET(
  _xlpm.w, CI$11,
  _xlpm.r, MATCH(1,('3. Enter Indicator Scores'!$B$10:$B$161=$B118)*('3. Enter Indicator Scores'!$C$10:$C$161=$C118),0),
  _xlpm.c, MATCH(CI$8,'3. Enter Indicator Scores'!$D$8:$CZ$8,0),
  _xlpm.v, IFERROR(INDEX('3. Enter Indicator Scores'!$D$10:$CZ$161,_xlpm.r,_xlpm.c),""),
  IF(OR(_xlpm.w="",_xlpm.v=""),"",_xlpm.v*_xlpm.w)
)</f>
        <v/>
      </c>
      <c r="CJ118" s="93" t="str" cm="1">
        <f t="array" ref="CJ118">_xlfn.LET(
  _xlpm.w, CJ$11,
  _xlpm.r, MATCH(1,('3. Enter Indicator Scores'!$B$10:$B$161=$B118)*('3. Enter Indicator Scores'!$C$10:$C$161=$C118),0),
  _xlpm.c, MATCH(CJ$8,'3. Enter Indicator Scores'!$D$8:$CZ$8,0),
  _xlpm.v, IFERROR(INDEX('3. Enter Indicator Scores'!$D$10:$CZ$161,_xlpm.r,_xlpm.c),""),
  IF(OR(_xlpm.w="",_xlpm.v=""),"",_xlpm.v*_xlpm.w)
)</f>
        <v/>
      </c>
      <c r="CK118" s="93" t="str" cm="1">
        <f t="array" ref="CK118">_xlfn.LET(
  _xlpm.w, CK$11,
  _xlpm.r, MATCH(1,('3. Enter Indicator Scores'!$B$10:$B$161=$B118)*('3. Enter Indicator Scores'!$C$10:$C$161=$C118),0),
  _xlpm.c, MATCH(CK$8,'3. Enter Indicator Scores'!$D$8:$CZ$8,0),
  _xlpm.v, IFERROR(INDEX('3. Enter Indicator Scores'!$D$10:$CZ$161,_xlpm.r,_xlpm.c),""),
  IF(OR(_xlpm.w="",_xlpm.v=""),"",_xlpm.v*_xlpm.w)
)</f>
        <v/>
      </c>
      <c r="CL118" s="93" t="str" cm="1">
        <f t="array" ref="CL118">_xlfn.LET(
  _xlpm.w, CL$11,
  _xlpm.r, MATCH(1,('3. Enter Indicator Scores'!$B$10:$B$161=$B118)*('3. Enter Indicator Scores'!$C$10:$C$161=$C118),0),
  _xlpm.c, MATCH(CL$8,'3. Enter Indicator Scores'!$D$8:$CZ$8,0),
  _xlpm.v, IFERROR(INDEX('3. Enter Indicator Scores'!$D$10:$CZ$161,_xlpm.r,_xlpm.c),""),
  IF(OR(_xlpm.w="",_xlpm.v=""),"",_xlpm.v*_xlpm.w)
)</f>
        <v/>
      </c>
      <c r="CM118" s="93" t="str" cm="1">
        <f t="array" ref="CM118">_xlfn.LET(
  _xlpm.w, CM$11,
  _xlpm.r, MATCH(1,('3. Enter Indicator Scores'!$B$10:$B$161=$B118)*('3. Enter Indicator Scores'!$C$10:$C$161=$C118),0),
  _xlpm.c, MATCH(CM$8,'3. Enter Indicator Scores'!$D$8:$CZ$8,0),
  _xlpm.v, IFERROR(INDEX('3. Enter Indicator Scores'!$D$10:$CZ$161,_xlpm.r,_xlpm.c),""),
  IF(OR(_xlpm.w="",_xlpm.v=""),"",_xlpm.v*_xlpm.w)
)</f>
        <v/>
      </c>
      <c r="CN118" s="93" t="str" cm="1">
        <f t="array" ref="CN118">_xlfn.LET(
  _xlpm.w, CN$11,
  _xlpm.r, MATCH(1,('3. Enter Indicator Scores'!$B$10:$B$161=$B118)*('3. Enter Indicator Scores'!$C$10:$C$161=$C118),0),
  _xlpm.c, MATCH(CN$8,'3. Enter Indicator Scores'!$D$8:$CZ$8,0),
  _xlpm.v, IFERROR(INDEX('3. Enter Indicator Scores'!$D$10:$CZ$161,_xlpm.r,_xlpm.c),""),
  IF(OR(_xlpm.w="",_xlpm.v=""),"",_xlpm.v*_xlpm.w)
)</f>
        <v/>
      </c>
      <c r="CO118" s="93" t="str" cm="1">
        <f t="array" ref="CO118">_xlfn.LET(
  _xlpm.w, CO$11,
  _xlpm.r, MATCH(1,('3. Enter Indicator Scores'!$B$10:$B$161=$B118)*('3. Enter Indicator Scores'!$C$10:$C$161=$C118),0),
  _xlpm.c, MATCH(CO$8,'3. Enter Indicator Scores'!$D$8:$CZ$8,0),
  _xlpm.v, IFERROR(INDEX('3. Enter Indicator Scores'!$D$10:$CZ$161,_xlpm.r,_xlpm.c),""),
  IF(OR(_xlpm.w="",_xlpm.v=""),"",_xlpm.v*_xlpm.w)
)</f>
        <v/>
      </c>
      <c r="CP118" s="93" t="str" cm="1">
        <f t="array" ref="CP118">_xlfn.LET(
  _xlpm.w, CP$11,
  _xlpm.r, MATCH(1,('3. Enter Indicator Scores'!$B$10:$B$161=$B118)*('3. Enter Indicator Scores'!$C$10:$C$161=$C118),0),
  _xlpm.c, MATCH(CP$8,'3. Enter Indicator Scores'!$D$8:$CZ$8,0),
  _xlpm.v, IFERROR(INDEX('3. Enter Indicator Scores'!$D$10:$CZ$161,_xlpm.r,_xlpm.c),""),
  IF(OR(_xlpm.w="",_xlpm.v=""),"",_xlpm.v*_xlpm.w)
)</f>
        <v/>
      </c>
      <c r="CQ118" s="93" t="str" cm="1">
        <f t="array" ref="CQ118">_xlfn.LET(
  _xlpm.w, CQ$11,
  _xlpm.r, MATCH(1,('3. Enter Indicator Scores'!$B$10:$B$161=$B118)*('3. Enter Indicator Scores'!$C$10:$C$161=$C118),0),
  _xlpm.c, MATCH(CQ$8,'3. Enter Indicator Scores'!$D$8:$CZ$8,0),
  _xlpm.v, IFERROR(INDEX('3. Enter Indicator Scores'!$D$10:$CZ$161,_xlpm.r,_xlpm.c),""),
  IF(OR(_xlpm.w="",_xlpm.v=""),"",_xlpm.v*_xlpm.w)
)</f>
        <v/>
      </c>
      <c r="CR118" s="93" t="str" cm="1">
        <f t="array" ref="CR118">_xlfn.LET(
  _xlpm.w, CR$11,
  _xlpm.r, MATCH(1,('3. Enter Indicator Scores'!$B$10:$B$161=$B118)*('3. Enter Indicator Scores'!$C$10:$C$161=$C118),0),
  _xlpm.c, MATCH(CR$8,'3. Enter Indicator Scores'!$D$8:$CZ$8,0),
  _xlpm.v, IFERROR(INDEX('3. Enter Indicator Scores'!$D$10:$CZ$161,_xlpm.r,_xlpm.c),""),
  IF(OR(_xlpm.w="",_xlpm.v=""),"",_xlpm.v*_xlpm.w)
)</f>
        <v/>
      </c>
      <c r="CS118" s="93" t="str" cm="1">
        <f t="array" ref="CS118">_xlfn.LET(
  _xlpm.w, CS$11,
  _xlpm.r, MATCH(1,('3. Enter Indicator Scores'!$B$10:$B$161=$B118)*('3. Enter Indicator Scores'!$C$10:$C$161=$C118),0),
  _xlpm.c, MATCH(CS$8,'3. Enter Indicator Scores'!$D$8:$CZ$8,0),
  _xlpm.v, IFERROR(INDEX('3. Enter Indicator Scores'!$D$10:$CZ$161,_xlpm.r,_xlpm.c),""),
  IF(OR(_xlpm.w="",_xlpm.v=""),"",_xlpm.v*_xlpm.w)
)</f>
        <v/>
      </c>
      <c r="CT118" s="93" t="str" cm="1">
        <f t="array" ref="CT118">_xlfn.LET(
  _xlpm.w, CT$11,
  _xlpm.r, MATCH(1,('3. Enter Indicator Scores'!$B$10:$B$161=$B118)*('3. Enter Indicator Scores'!$C$10:$C$161=$C118),0),
  _xlpm.c, MATCH(CT$8,'3. Enter Indicator Scores'!$D$8:$CZ$8,0),
  _xlpm.v, IFERROR(INDEX('3. Enter Indicator Scores'!$D$10:$CZ$161,_xlpm.r,_xlpm.c),""),
  IF(OR(_xlpm.w="",_xlpm.v=""),"",_xlpm.v*_xlpm.w)
)</f>
        <v/>
      </c>
      <c r="CU118" s="93" t="str" cm="1">
        <f t="array" ref="CU118">_xlfn.LET(
  _xlpm.w, CU$11,
  _xlpm.r, MATCH(1,('3. Enter Indicator Scores'!$B$10:$B$161=$B118)*('3. Enter Indicator Scores'!$C$10:$C$161=$C118),0),
  _xlpm.c, MATCH(CU$8,'3. Enter Indicator Scores'!$D$8:$CZ$8,0),
  _xlpm.v, IFERROR(INDEX('3. Enter Indicator Scores'!$D$10:$CZ$161,_xlpm.r,_xlpm.c),""),
  IF(OR(_xlpm.w="",_xlpm.v=""),"",_xlpm.v*_xlpm.w)
)</f>
        <v/>
      </c>
      <c r="CV118" s="93" t="str" cm="1">
        <f t="array" ref="CV118">_xlfn.LET(
  _xlpm.w, CV$11,
  _xlpm.r, MATCH(1,('3. Enter Indicator Scores'!$B$10:$B$161=$B118)*('3. Enter Indicator Scores'!$C$10:$C$161=$C118),0),
  _xlpm.c, MATCH(CV$8,'3. Enter Indicator Scores'!$D$8:$CZ$8,0),
  _xlpm.v, IFERROR(INDEX('3. Enter Indicator Scores'!$D$10:$CZ$161,_xlpm.r,_xlpm.c),""),
  IF(OR(_xlpm.w="",_xlpm.v=""),"",_xlpm.v*_xlpm.w)
)</f>
        <v/>
      </c>
      <c r="CW118" s="93" t="str" cm="1">
        <f t="array" ref="CW118">_xlfn.LET(
  _xlpm.w, CW$11,
  _xlpm.r, MATCH(1,('3. Enter Indicator Scores'!$B$10:$B$161=$B118)*('3. Enter Indicator Scores'!$C$10:$C$161=$C118),0),
  _xlpm.c, MATCH(CW$8,'3. Enter Indicator Scores'!$D$8:$CZ$8,0),
  _xlpm.v, IFERROR(INDEX('3. Enter Indicator Scores'!$D$10:$CZ$161,_xlpm.r,_xlpm.c),""),
  IF(OR(_xlpm.w="",_xlpm.v=""),"",_xlpm.v*_xlpm.w)
)</f>
        <v/>
      </c>
      <c r="CX118" s="93" t="str" cm="1">
        <f t="array" ref="CX118">_xlfn.LET(
  _xlpm.w, CX$11,
  _xlpm.r, MATCH(1,('3. Enter Indicator Scores'!$B$10:$B$161=$B118)*('3. Enter Indicator Scores'!$C$10:$C$161=$C118),0),
  _xlpm.c, MATCH(CX$8,'3. Enter Indicator Scores'!$D$8:$CZ$8,0),
  _xlpm.v, IFERROR(INDEX('3. Enter Indicator Scores'!$D$10:$CZ$161,_xlpm.r,_xlpm.c),""),
  IF(OR(_xlpm.w="",_xlpm.v=""),"",_xlpm.v*_xlpm.w)
)</f>
        <v/>
      </c>
      <c r="CY118" s="93" t="str" cm="1">
        <f t="array" ref="CY118">_xlfn.LET(
  _xlpm.w, CY$11,
  _xlpm.r, MATCH(1,('3. Enter Indicator Scores'!$B$10:$B$161=$B118)*('3. Enter Indicator Scores'!$C$10:$C$161=$C118),0),
  _xlpm.c, MATCH(CY$8,'3. Enter Indicator Scores'!$D$8:$CZ$8,0),
  _xlpm.v, IFERROR(INDEX('3. Enter Indicator Scores'!$D$10:$CZ$161,_xlpm.r,_xlpm.c),""),
  IF(OR(_xlpm.w="",_xlpm.v=""),"",_xlpm.v*_xlpm.w)
)</f>
        <v/>
      </c>
      <c r="CZ118" s="93" t="str" cm="1">
        <f t="array" ref="CZ118">_xlfn.LET(
  _xlpm.w, CZ$11,
  _xlpm.r, MATCH(1,('3. Enter Indicator Scores'!$B$10:$B$161=$B118)*('3. Enter Indicator Scores'!$C$10:$C$161=$C118),0),
  _xlpm.c, MATCH(CZ$8,'3. Enter Indicator Scores'!$D$8:$CZ$8,0),
  _xlpm.v, IFERROR(INDEX('3. Enter Indicator Scores'!$D$10:$CZ$161,_xlpm.r,_xlpm.c),""),
  IF(OR(_xlpm.w="",_xlpm.v=""),"",_xlpm.v*_xlpm.w)
)</f>
        <v/>
      </c>
    </row>
    <row r="119" spans="4:104" x14ac:dyDescent="0.2">
      <c r="D119" s="93" t="str" cm="1">
        <f t="array" ref="D119">_xlfn.LET(
  _xlpm.w, D$11,
  _xlpm.r, MATCH(1,('3. Enter Indicator Scores'!$B$10:$B$161=$B119)*('3. Enter Indicator Scores'!$C$10:$C$161=$C119),0),
  _xlpm.c, MATCH(D$8,'3. Enter Indicator Scores'!$D$8:$CZ$8,0),
  _xlpm.v, IFERROR(INDEX('3. Enter Indicator Scores'!$D$10:$CZ$161,_xlpm.r,_xlpm.c),""),
  IF(OR(_xlpm.w="",_xlpm.v=""),"",_xlpm.v*_xlpm.w)
)</f>
        <v/>
      </c>
      <c r="E119" s="93" t="str" cm="1">
        <f t="array" ref="E119">_xlfn.LET(
  _xlpm.w, E$11,
  _xlpm.r, MATCH(1,('3. Enter Indicator Scores'!$B$10:$B$161=$B119)*('3. Enter Indicator Scores'!$C$10:$C$161=$C119),0),
  _xlpm.c, MATCH(E$8,'3. Enter Indicator Scores'!$D$8:$CZ$8,0),
  _xlpm.v, IFERROR(INDEX('3. Enter Indicator Scores'!$D$10:$CZ$161,_xlpm.r,_xlpm.c),""),
  IF(OR(_xlpm.w="",_xlpm.v=""),"",_xlpm.v*_xlpm.w)
)</f>
        <v/>
      </c>
      <c r="F119" s="93" t="str" cm="1">
        <f t="array" ref="F119">_xlfn.LET(
  _xlpm.w, F$11,
  _xlpm.r, MATCH(1,('3. Enter Indicator Scores'!$B$10:$B$161=$B119)*('3. Enter Indicator Scores'!$C$10:$C$161=$C119),0),
  _xlpm.c, MATCH(F$8,'3. Enter Indicator Scores'!$D$8:$CZ$8,0),
  _xlpm.v, IFERROR(INDEX('3. Enter Indicator Scores'!$D$10:$CZ$161,_xlpm.r,_xlpm.c),""),
  IF(OR(_xlpm.w="",_xlpm.v=""),"",_xlpm.v*_xlpm.w)
)</f>
        <v/>
      </c>
      <c r="G119" s="93" t="str" cm="1">
        <f t="array" ref="G119">_xlfn.LET(
  _xlpm.w, G$11,
  _xlpm.r, MATCH(1,('3. Enter Indicator Scores'!$B$10:$B$161=$B119)*('3. Enter Indicator Scores'!$C$10:$C$161=$C119),0),
  _xlpm.c, MATCH(G$8,'3. Enter Indicator Scores'!$D$8:$CZ$8,0),
  _xlpm.v, IFERROR(INDEX('3. Enter Indicator Scores'!$D$10:$CZ$161,_xlpm.r,_xlpm.c),""),
  IF(OR(_xlpm.w="",_xlpm.v=""),"",_xlpm.v*_xlpm.w)
)</f>
        <v/>
      </c>
      <c r="H119" s="93" t="str" cm="1">
        <f t="array" ref="H119">_xlfn.LET(
  _xlpm.w, H$11,
  _xlpm.r, MATCH(1,('3. Enter Indicator Scores'!$B$10:$B$161=$B119)*('3. Enter Indicator Scores'!$C$10:$C$161=$C119),0),
  _xlpm.c, MATCH(H$8,'3. Enter Indicator Scores'!$D$8:$CZ$8,0),
  _xlpm.v, IFERROR(INDEX('3. Enter Indicator Scores'!$D$10:$CZ$161,_xlpm.r,_xlpm.c),""),
  IF(OR(_xlpm.w="",_xlpm.v=""),"",_xlpm.v*_xlpm.w)
)</f>
        <v/>
      </c>
      <c r="I119" s="93" t="str" cm="1">
        <f t="array" ref="I119">_xlfn.LET(
  _xlpm.w, I$11,
  _xlpm.r, MATCH(1,('3. Enter Indicator Scores'!$B$10:$B$161=$B119)*('3. Enter Indicator Scores'!$C$10:$C$161=$C119),0),
  _xlpm.c, MATCH(I$8,'3. Enter Indicator Scores'!$D$8:$CZ$8,0),
  _xlpm.v, IFERROR(INDEX('3. Enter Indicator Scores'!$D$10:$CZ$161,_xlpm.r,_xlpm.c),""),
  IF(OR(_xlpm.w="",_xlpm.v=""),"",_xlpm.v*_xlpm.w)
)</f>
        <v/>
      </c>
      <c r="J119" s="93" t="str" cm="1">
        <f t="array" ref="J119">_xlfn.LET(
  _xlpm.w, J$11,
  _xlpm.r, MATCH(1,('3. Enter Indicator Scores'!$B$10:$B$161=$B119)*('3. Enter Indicator Scores'!$C$10:$C$161=$C119),0),
  _xlpm.c, MATCH(J$8,'3. Enter Indicator Scores'!$D$8:$CZ$8,0),
  _xlpm.v, IFERROR(INDEX('3. Enter Indicator Scores'!$D$10:$CZ$161,_xlpm.r,_xlpm.c),""),
  IF(OR(_xlpm.w="",_xlpm.v=""),"",_xlpm.v*_xlpm.w)
)</f>
        <v/>
      </c>
      <c r="K119" s="93" t="str" cm="1">
        <f t="array" ref="K119">_xlfn.LET(
  _xlpm.w, K$11,
  _xlpm.r, MATCH(1,('3. Enter Indicator Scores'!$B$10:$B$161=$B119)*('3. Enter Indicator Scores'!$C$10:$C$161=$C119),0),
  _xlpm.c, MATCH(K$8,'3. Enter Indicator Scores'!$D$8:$CZ$8,0),
  _xlpm.v, IFERROR(INDEX('3. Enter Indicator Scores'!$D$10:$CZ$161,_xlpm.r,_xlpm.c),""),
  IF(OR(_xlpm.w="",_xlpm.v=""),"",_xlpm.v*_xlpm.w)
)</f>
        <v/>
      </c>
      <c r="L119" s="93" t="str" cm="1">
        <f t="array" ref="L119">_xlfn.LET(
  _xlpm.w, L$11,
  _xlpm.r, MATCH(1,('3. Enter Indicator Scores'!$B$10:$B$161=$B119)*('3. Enter Indicator Scores'!$C$10:$C$161=$C119),0),
  _xlpm.c, MATCH(L$8,'3. Enter Indicator Scores'!$D$8:$CZ$8,0),
  _xlpm.v, IFERROR(INDEX('3. Enter Indicator Scores'!$D$10:$CZ$161,_xlpm.r,_xlpm.c),""),
  IF(OR(_xlpm.w="",_xlpm.v=""),"",_xlpm.v*_xlpm.w)
)</f>
        <v/>
      </c>
      <c r="M119" s="93" t="str" cm="1">
        <f t="array" ref="M119">_xlfn.LET(
  _xlpm.w, M$11,
  _xlpm.r, MATCH(1,('3. Enter Indicator Scores'!$B$10:$B$161=$B119)*('3. Enter Indicator Scores'!$C$10:$C$161=$C119),0),
  _xlpm.c, MATCH(M$8,'3. Enter Indicator Scores'!$D$8:$CZ$8,0),
  _xlpm.v, IFERROR(INDEX('3. Enter Indicator Scores'!$D$10:$CZ$161,_xlpm.r,_xlpm.c),""),
  IF(OR(_xlpm.w="",_xlpm.v=""),"",_xlpm.v*_xlpm.w)
)</f>
        <v/>
      </c>
      <c r="N119" s="93" t="str" cm="1">
        <f t="array" ref="N119">_xlfn.LET(
  _xlpm.w, N$11,
  _xlpm.r, MATCH(1,('3. Enter Indicator Scores'!$B$10:$B$161=$B119)*('3. Enter Indicator Scores'!$C$10:$C$161=$C119),0),
  _xlpm.c, MATCH(N$8,'3. Enter Indicator Scores'!$D$8:$CZ$8,0),
  _xlpm.v, IFERROR(INDEX('3. Enter Indicator Scores'!$D$10:$CZ$161,_xlpm.r,_xlpm.c),""),
  IF(OR(_xlpm.w="",_xlpm.v=""),"",_xlpm.v*_xlpm.w)
)</f>
        <v/>
      </c>
      <c r="O119" s="93" t="str" cm="1">
        <f t="array" ref="O119">_xlfn.LET(
  _xlpm.w, O$11,
  _xlpm.r, MATCH(1,('3. Enter Indicator Scores'!$B$10:$B$161=$B119)*('3. Enter Indicator Scores'!$C$10:$C$161=$C119),0),
  _xlpm.c, MATCH(O$8,'3. Enter Indicator Scores'!$D$8:$CZ$8,0),
  _xlpm.v, IFERROR(INDEX('3. Enter Indicator Scores'!$D$10:$CZ$161,_xlpm.r,_xlpm.c),""),
  IF(OR(_xlpm.w="",_xlpm.v=""),"",_xlpm.v*_xlpm.w)
)</f>
        <v/>
      </c>
      <c r="P119" s="93" t="str" cm="1">
        <f t="array" ref="P119">_xlfn.LET(
  _xlpm.w, P$11,
  _xlpm.r, MATCH(1,('3. Enter Indicator Scores'!$B$10:$B$161=$B119)*('3. Enter Indicator Scores'!$C$10:$C$161=$C119),0),
  _xlpm.c, MATCH(P$8,'3. Enter Indicator Scores'!$D$8:$CZ$8,0),
  _xlpm.v, IFERROR(INDEX('3. Enter Indicator Scores'!$D$10:$CZ$161,_xlpm.r,_xlpm.c),""),
  IF(OR(_xlpm.w="",_xlpm.v=""),"",_xlpm.v*_xlpm.w)
)</f>
        <v/>
      </c>
      <c r="Q119" s="93" t="str" cm="1">
        <f t="array" ref="Q119">_xlfn.LET(
  _xlpm.w, Q$11,
  _xlpm.r, MATCH(1,('3. Enter Indicator Scores'!$B$10:$B$161=$B119)*('3. Enter Indicator Scores'!$C$10:$C$161=$C119),0),
  _xlpm.c, MATCH(Q$8,'3. Enter Indicator Scores'!$D$8:$CZ$8,0),
  _xlpm.v, IFERROR(INDEX('3. Enter Indicator Scores'!$D$10:$CZ$161,_xlpm.r,_xlpm.c),""),
  IF(OR(_xlpm.w="",_xlpm.v=""),"",_xlpm.v*_xlpm.w)
)</f>
        <v/>
      </c>
      <c r="R119" s="93" t="str" cm="1">
        <f t="array" ref="R119">_xlfn.LET(
  _xlpm.w, R$11,
  _xlpm.r, MATCH(1,('3. Enter Indicator Scores'!$B$10:$B$161=$B119)*('3. Enter Indicator Scores'!$C$10:$C$161=$C119),0),
  _xlpm.c, MATCH(R$8,'3. Enter Indicator Scores'!$D$8:$CZ$8,0),
  _xlpm.v, IFERROR(INDEX('3. Enter Indicator Scores'!$D$10:$CZ$161,_xlpm.r,_xlpm.c),""),
  IF(OR(_xlpm.w="",_xlpm.v=""),"",_xlpm.v*_xlpm.w)
)</f>
        <v/>
      </c>
      <c r="S119" s="93" t="str" cm="1">
        <f t="array" ref="S119">_xlfn.LET(
  _xlpm.w, S$11,
  _xlpm.r, MATCH(1,('3. Enter Indicator Scores'!$B$10:$B$161=$B119)*('3. Enter Indicator Scores'!$C$10:$C$161=$C119),0),
  _xlpm.c, MATCH(S$8,'3. Enter Indicator Scores'!$D$8:$CZ$8,0),
  _xlpm.v, IFERROR(INDEX('3. Enter Indicator Scores'!$D$10:$CZ$161,_xlpm.r,_xlpm.c),""),
  IF(OR(_xlpm.w="",_xlpm.v=""),"",_xlpm.v*_xlpm.w)
)</f>
        <v/>
      </c>
      <c r="T119" s="93" t="str" cm="1">
        <f t="array" ref="T119">_xlfn.LET(
  _xlpm.w, T$11,
  _xlpm.r, MATCH(1,('3. Enter Indicator Scores'!$B$10:$B$161=$B119)*('3. Enter Indicator Scores'!$C$10:$C$161=$C119),0),
  _xlpm.c, MATCH(T$8,'3. Enter Indicator Scores'!$D$8:$CZ$8,0),
  _xlpm.v, IFERROR(INDEX('3. Enter Indicator Scores'!$D$10:$CZ$161,_xlpm.r,_xlpm.c),""),
  IF(OR(_xlpm.w="",_xlpm.v=""),"",_xlpm.v*_xlpm.w)
)</f>
        <v/>
      </c>
      <c r="U119" s="93" t="str" cm="1">
        <f t="array" ref="U119">_xlfn.LET(
  _xlpm.w, U$11,
  _xlpm.r, MATCH(1,('3. Enter Indicator Scores'!$B$10:$B$161=$B119)*('3. Enter Indicator Scores'!$C$10:$C$161=$C119),0),
  _xlpm.c, MATCH(U$8,'3. Enter Indicator Scores'!$D$8:$CZ$8,0),
  _xlpm.v, IFERROR(INDEX('3. Enter Indicator Scores'!$D$10:$CZ$161,_xlpm.r,_xlpm.c),""),
  IF(OR(_xlpm.w="",_xlpm.v=""),"",_xlpm.v*_xlpm.w)
)</f>
        <v/>
      </c>
      <c r="V119" s="93" t="str" cm="1">
        <f t="array" ref="V119">_xlfn.LET(
  _xlpm.w, V$11,
  _xlpm.r, MATCH(1,('3. Enter Indicator Scores'!$B$10:$B$161=$B119)*('3. Enter Indicator Scores'!$C$10:$C$161=$C119),0),
  _xlpm.c, MATCH(V$8,'3. Enter Indicator Scores'!$D$8:$CZ$8,0),
  _xlpm.v, IFERROR(INDEX('3. Enter Indicator Scores'!$D$10:$CZ$161,_xlpm.r,_xlpm.c),""),
  IF(OR(_xlpm.w="",_xlpm.v=""),"",_xlpm.v*_xlpm.w)
)</f>
        <v/>
      </c>
      <c r="W119" s="93" t="str" cm="1">
        <f t="array" ref="W119">_xlfn.LET(
  _xlpm.w, W$11,
  _xlpm.r, MATCH(1,('3. Enter Indicator Scores'!$B$10:$B$161=$B119)*('3. Enter Indicator Scores'!$C$10:$C$161=$C119),0),
  _xlpm.c, MATCH(W$8,'3. Enter Indicator Scores'!$D$8:$CZ$8,0),
  _xlpm.v, IFERROR(INDEX('3. Enter Indicator Scores'!$D$10:$CZ$161,_xlpm.r,_xlpm.c),""),
  IF(OR(_xlpm.w="",_xlpm.v=""),"",_xlpm.v*_xlpm.w)
)</f>
        <v/>
      </c>
      <c r="X119" s="93" t="str" cm="1">
        <f t="array" ref="X119">_xlfn.LET(
  _xlpm.w, X$11,
  _xlpm.r, MATCH(1,('3. Enter Indicator Scores'!$B$10:$B$161=$B119)*('3. Enter Indicator Scores'!$C$10:$C$161=$C119),0),
  _xlpm.c, MATCH(X$8,'3. Enter Indicator Scores'!$D$8:$CZ$8,0),
  _xlpm.v, IFERROR(INDEX('3. Enter Indicator Scores'!$D$10:$CZ$161,_xlpm.r,_xlpm.c),""),
  IF(OR(_xlpm.w="",_xlpm.v=""),"",_xlpm.v*_xlpm.w)
)</f>
        <v/>
      </c>
      <c r="Y119" s="93" t="str" cm="1">
        <f t="array" ref="Y119">_xlfn.LET(
  _xlpm.w, Y$11,
  _xlpm.r, MATCH(1,('3. Enter Indicator Scores'!$B$10:$B$161=$B119)*('3. Enter Indicator Scores'!$C$10:$C$161=$C119),0),
  _xlpm.c, MATCH(Y$8,'3. Enter Indicator Scores'!$D$8:$CZ$8,0),
  _xlpm.v, IFERROR(INDEX('3. Enter Indicator Scores'!$D$10:$CZ$161,_xlpm.r,_xlpm.c),""),
  IF(OR(_xlpm.w="",_xlpm.v=""),"",_xlpm.v*_xlpm.w)
)</f>
        <v/>
      </c>
      <c r="Z119" s="93" t="str" cm="1">
        <f t="array" ref="Z119">_xlfn.LET(
  _xlpm.w, Z$11,
  _xlpm.r, MATCH(1,('3. Enter Indicator Scores'!$B$10:$B$161=$B119)*('3. Enter Indicator Scores'!$C$10:$C$161=$C119),0),
  _xlpm.c, MATCH(Z$8,'3. Enter Indicator Scores'!$D$8:$CZ$8,0),
  _xlpm.v, IFERROR(INDEX('3. Enter Indicator Scores'!$D$10:$CZ$161,_xlpm.r,_xlpm.c),""),
  IF(OR(_xlpm.w="",_xlpm.v=""),"",_xlpm.v*_xlpm.w)
)</f>
        <v/>
      </c>
      <c r="AA119" s="93" t="str" cm="1">
        <f t="array" ref="AA119">_xlfn.LET(
  _xlpm.w, AA$11,
  _xlpm.r, MATCH(1,('3. Enter Indicator Scores'!$B$10:$B$161=$B119)*('3. Enter Indicator Scores'!$C$10:$C$161=$C119),0),
  _xlpm.c, MATCH(AA$8,'3. Enter Indicator Scores'!$D$8:$CZ$8,0),
  _xlpm.v, IFERROR(INDEX('3. Enter Indicator Scores'!$D$10:$CZ$161,_xlpm.r,_xlpm.c),""),
  IF(OR(_xlpm.w="",_xlpm.v=""),"",_xlpm.v*_xlpm.w)
)</f>
        <v/>
      </c>
      <c r="AB119" s="93" t="str" cm="1">
        <f t="array" ref="AB119">_xlfn.LET(
  _xlpm.w, AB$11,
  _xlpm.r, MATCH(1,('3. Enter Indicator Scores'!$B$10:$B$161=$B119)*('3. Enter Indicator Scores'!$C$10:$C$161=$C119),0),
  _xlpm.c, MATCH(AB$8,'3. Enter Indicator Scores'!$D$8:$CZ$8,0),
  _xlpm.v, IFERROR(INDEX('3. Enter Indicator Scores'!$D$10:$CZ$161,_xlpm.r,_xlpm.c),""),
  IF(OR(_xlpm.w="",_xlpm.v=""),"",_xlpm.v*_xlpm.w)
)</f>
        <v/>
      </c>
      <c r="AC119" s="93" t="str" cm="1">
        <f t="array" ref="AC119">_xlfn.LET(
  _xlpm.w, AC$11,
  _xlpm.r, MATCH(1,('3. Enter Indicator Scores'!$B$10:$B$161=$B119)*('3. Enter Indicator Scores'!$C$10:$C$161=$C119),0),
  _xlpm.c, MATCH(AC$8,'3. Enter Indicator Scores'!$D$8:$CZ$8,0),
  _xlpm.v, IFERROR(INDEX('3. Enter Indicator Scores'!$D$10:$CZ$161,_xlpm.r,_xlpm.c),""),
  IF(OR(_xlpm.w="",_xlpm.v=""),"",_xlpm.v*_xlpm.w)
)</f>
        <v/>
      </c>
      <c r="AD119" s="93" t="str" cm="1">
        <f t="array" ref="AD119">_xlfn.LET(
  _xlpm.w, AD$11,
  _xlpm.r, MATCH(1,('3. Enter Indicator Scores'!$B$10:$B$161=$B119)*('3. Enter Indicator Scores'!$C$10:$C$161=$C119),0),
  _xlpm.c, MATCH(AD$8,'3. Enter Indicator Scores'!$D$8:$CZ$8,0),
  _xlpm.v, IFERROR(INDEX('3. Enter Indicator Scores'!$D$10:$CZ$161,_xlpm.r,_xlpm.c),""),
  IF(OR(_xlpm.w="",_xlpm.v=""),"",_xlpm.v*_xlpm.w)
)</f>
        <v/>
      </c>
      <c r="AE119" s="93" t="str" cm="1">
        <f t="array" ref="AE119">_xlfn.LET(
  _xlpm.w, AE$11,
  _xlpm.r, MATCH(1,('3. Enter Indicator Scores'!$B$10:$B$161=$B119)*('3. Enter Indicator Scores'!$C$10:$C$161=$C119),0),
  _xlpm.c, MATCH(AE$8,'3. Enter Indicator Scores'!$D$8:$CZ$8,0),
  _xlpm.v, IFERROR(INDEX('3. Enter Indicator Scores'!$D$10:$CZ$161,_xlpm.r,_xlpm.c),""),
  IF(OR(_xlpm.w="",_xlpm.v=""),"",_xlpm.v*_xlpm.w)
)</f>
        <v/>
      </c>
      <c r="AF119" s="93" t="str" cm="1">
        <f t="array" ref="AF119">_xlfn.LET(
  _xlpm.w, AF$11,
  _xlpm.r, MATCH(1,('3. Enter Indicator Scores'!$B$10:$B$161=$B119)*('3. Enter Indicator Scores'!$C$10:$C$161=$C119),0),
  _xlpm.c, MATCH(AF$8,'3. Enter Indicator Scores'!$D$8:$CZ$8,0),
  _xlpm.v, IFERROR(INDEX('3. Enter Indicator Scores'!$D$10:$CZ$161,_xlpm.r,_xlpm.c),""),
  IF(OR(_xlpm.w="",_xlpm.v=""),"",_xlpm.v*_xlpm.w)
)</f>
        <v/>
      </c>
      <c r="AG119" s="93" t="str" cm="1">
        <f t="array" ref="AG119">_xlfn.LET(
  _xlpm.w, AG$11,
  _xlpm.r, MATCH(1,('3. Enter Indicator Scores'!$B$10:$B$161=$B119)*('3. Enter Indicator Scores'!$C$10:$C$161=$C119),0),
  _xlpm.c, MATCH(AG$8,'3. Enter Indicator Scores'!$D$8:$CZ$8,0),
  _xlpm.v, IFERROR(INDEX('3. Enter Indicator Scores'!$D$10:$CZ$161,_xlpm.r,_xlpm.c),""),
  IF(OR(_xlpm.w="",_xlpm.v=""),"",_xlpm.v*_xlpm.w)
)</f>
        <v/>
      </c>
      <c r="AH119" s="93" t="str" cm="1">
        <f t="array" ref="AH119">_xlfn.LET(
  _xlpm.w, AH$11,
  _xlpm.r, MATCH(1,('3. Enter Indicator Scores'!$B$10:$B$161=$B119)*('3. Enter Indicator Scores'!$C$10:$C$161=$C119),0),
  _xlpm.c, MATCH(AH$8,'3. Enter Indicator Scores'!$D$8:$CZ$8,0),
  _xlpm.v, IFERROR(INDEX('3. Enter Indicator Scores'!$D$10:$CZ$161,_xlpm.r,_xlpm.c),""),
  IF(OR(_xlpm.w="",_xlpm.v=""),"",_xlpm.v*_xlpm.w)
)</f>
        <v/>
      </c>
      <c r="AI119" s="93" t="str" cm="1">
        <f t="array" ref="AI119">_xlfn.LET(
  _xlpm.w, AI$11,
  _xlpm.r, MATCH(1,('3. Enter Indicator Scores'!$B$10:$B$161=$B119)*('3. Enter Indicator Scores'!$C$10:$C$161=$C119),0),
  _xlpm.c, MATCH(AI$8,'3. Enter Indicator Scores'!$D$8:$CZ$8,0),
  _xlpm.v, IFERROR(INDEX('3. Enter Indicator Scores'!$D$10:$CZ$161,_xlpm.r,_xlpm.c),""),
  IF(OR(_xlpm.w="",_xlpm.v=""),"",_xlpm.v*_xlpm.w)
)</f>
        <v/>
      </c>
      <c r="AJ119" s="93" t="str" cm="1">
        <f t="array" ref="AJ119">_xlfn.LET(
  _xlpm.w, AJ$11,
  _xlpm.r, MATCH(1,('3. Enter Indicator Scores'!$B$10:$B$161=$B119)*('3. Enter Indicator Scores'!$C$10:$C$161=$C119),0),
  _xlpm.c, MATCH(AJ$8,'3. Enter Indicator Scores'!$D$8:$CZ$8,0),
  _xlpm.v, IFERROR(INDEX('3. Enter Indicator Scores'!$D$10:$CZ$161,_xlpm.r,_xlpm.c),""),
  IF(OR(_xlpm.w="",_xlpm.v=""),"",_xlpm.v*_xlpm.w)
)</f>
        <v/>
      </c>
      <c r="AK119" s="93" t="str" cm="1">
        <f t="array" ref="AK119">_xlfn.LET(
  _xlpm.w, AK$11,
  _xlpm.r, MATCH(1,('3. Enter Indicator Scores'!$B$10:$B$161=$B119)*('3. Enter Indicator Scores'!$C$10:$C$161=$C119),0),
  _xlpm.c, MATCH(AK$8,'3. Enter Indicator Scores'!$D$8:$CZ$8,0),
  _xlpm.v, IFERROR(INDEX('3. Enter Indicator Scores'!$D$10:$CZ$161,_xlpm.r,_xlpm.c),""),
  IF(OR(_xlpm.w="",_xlpm.v=""),"",_xlpm.v*_xlpm.w)
)</f>
        <v/>
      </c>
      <c r="AL119" s="93" t="str" cm="1">
        <f t="array" ref="AL119">_xlfn.LET(
  _xlpm.w, AL$11,
  _xlpm.r, MATCH(1,('3. Enter Indicator Scores'!$B$10:$B$161=$B119)*('3. Enter Indicator Scores'!$C$10:$C$161=$C119),0),
  _xlpm.c, MATCH(AL$8,'3. Enter Indicator Scores'!$D$8:$CZ$8,0),
  _xlpm.v, IFERROR(INDEX('3. Enter Indicator Scores'!$D$10:$CZ$161,_xlpm.r,_xlpm.c),""),
  IF(OR(_xlpm.w="",_xlpm.v=""),"",_xlpm.v*_xlpm.w)
)</f>
        <v/>
      </c>
      <c r="AM119" s="93" t="str" cm="1">
        <f t="array" ref="AM119">_xlfn.LET(
  _xlpm.w, AM$11,
  _xlpm.r, MATCH(1,('3. Enter Indicator Scores'!$B$10:$B$161=$B119)*('3. Enter Indicator Scores'!$C$10:$C$161=$C119),0),
  _xlpm.c, MATCH(AM$8,'3. Enter Indicator Scores'!$D$8:$CZ$8,0),
  _xlpm.v, IFERROR(INDEX('3. Enter Indicator Scores'!$D$10:$CZ$161,_xlpm.r,_xlpm.c),""),
  IF(OR(_xlpm.w="",_xlpm.v=""),"",_xlpm.v*_xlpm.w)
)</f>
        <v/>
      </c>
      <c r="AN119" s="93" t="str" cm="1">
        <f t="array" ref="AN119">_xlfn.LET(
  _xlpm.w, AN$11,
  _xlpm.r, MATCH(1,('3. Enter Indicator Scores'!$B$10:$B$161=$B119)*('3. Enter Indicator Scores'!$C$10:$C$161=$C119),0),
  _xlpm.c, MATCH(AN$8,'3. Enter Indicator Scores'!$D$8:$CZ$8,0),
  _xlpm.v, IFERROR(INDEX('3. Enter Indicator Scores'!$D$10:$CZ$161,_xlpm.r,_xlpm.c),""),
  IF(OR(_xlpm.w="",_xlpm.v=""),"",_xlpm.v*_xlpm.w)
)</f>
        <v/>
      </c>
      <c r="AO119" s="93" t="str" cm="1">
        <f t="array" ref="AO119">_xlfn.LET(
  _xlpm.w, AO$11,
  _xlpm.r, MATCH(1,('3. Enter Indicator Scores'!$B$10:$B$161=$B119)*('3. Enter Indicator Scores'!$C$10:$C$161=$C119),0),
  _xlpm.c, MATCH(AO$8,'3. Enter Indicator Scores'!$D$8:$CZ$8,0),
  _xlpm.v, IFERROR(INDEX('3. Enter Indicator Scores'!$D$10:$CZ$161,_xlpm.r,_xlpm.c),""),
  IF(OR(_xlpm.w="",_xlpm.v=""),"",_xlpm.v*_xlpm.w)
)</f>
        <v/>
      </c>
      <c r="AP119" s="93" t="str" cm="1">
        <f t="array" ref="AP119">_xlfn.LET(
  _xlpm.w, AP$11,
  _xlpm.r, MATCH(1,('3. Enter Indicator Scores'!$B$10:$B$161=$B119)*('3. Enter Indicator Scores'!$C$10:$C$161=$C119),0),
  _xlpm.c, MATCH(AP$8,'3. Enter Indicator Scores'!$D$8:$CZ$8,0),
  _xlpm.v, IFERROR(INDEX('3. Enter Indicator Scores'!$D$10:$CZ$161,_xlpm.r,_xlpm.c),""),
  IF(OR(_xlpm.w="",_xlpm.v=""),"",_xlpm.v*_xlpm.w)
)</f>
        <v/>
      </c>
      <c r="AQ119" s="93" t="str" cm="1">
        <f t="array" ref="AQ119">_xlfn.LET(
  _xlpm.w, AQ$11,
  _xlpm.r, MATCH(1,('3. Enter Indicator Scores'!$B$10:$B$161=$B119)*('3. Enter Indicator Scores'!$C$10:$C$161=$C119),0),
  _xlpm.c, MATCH(AQ$8,'3. Enter Indicator Scores'!$D$8:$CZ$8,0),
  _xlpm.v, IFERROR(INDEX('3. Enter Indicator Scores'!$D$10:$CZ$161,_xlpm.r,_xlpm.c),""),
  IF(OR(_xlpm.w="",_xlpm.v=""),"",_xlpm.v*_xlpm.w)
)</f>
        <v/>
      </c>
      <c r="AR119" s="93" t="str" cm="1">
        <f t="array" ref="AR119">_xlfn.LET(
  _xlpm.w, AR$11,
  _xlpm.r, MATCH(1,('3. Enter Indicator Scores'!$B$10:$B$161=$B119)*('3. Enter Indicator Scores'!$C$10:$C$161=$C119),0),
  _xlpm.c, MATCH(AR$8,'3. Enter Indicator Scores'!$D$8:$CZ$8,0),
  _xlpm.v, IFERROR(INDEX('3. Enter Indicator Scores'!$D$10:$CZ$161,_xlpm.r,_xlpm.c),""),
  IF(OR(_xlpm.w="",_xlpm.v=""),"",_xlpm.v*_xlpm.w)
)</f>
        <v/>
      </c>
      <c r="AS119" s="93" t="str" cm="1">
        <f t="array" ref="AS119">_xlfn.LET(
  _xlpm.w, AS$11,
  _xlpm.r, MATCH(1,('3. Enter Indicator Scores'!$B$10:$B$161=$B119)*('3. Enter Indicator Scores'!$C$10:$C$161=$C119),0),
  _xlpm.c, MATCH(AS$8,'3. Enter Indicator Scores'!$D$8:$CZ$8,0),
  _xlpm.v, IFERROR(INDEX('3. Enter Indicator Scores'!$D$10:$CZ$161,_xlpm.r,_xlpm.c),""),
  IF(OR(_xlpm.w="",_xlpm.v=""),"",_xlpm.v*_xlpm.w)
)</f>
        <v/>
      </c>
      <c r="AT119" s="93" t="str" cm="1">
        <f t="array" ref="AT119">_xlfn.LET(
  _xlpm.w, AT$11,
  _xlpm.r, MATCH(1,('3. Enter Indicator Scores'!$B$10:$B$161=$B119)*('3. Enter Indicator Scores'!$C$10:$C$161=$C119),0),
  _xlpm.c, MATCH(AT$8,'3. Enter Indicator Scores'!$D$8:$CZ$8,0),
  _xlpm.v, IFERROR(INDEX('3. Enter Indicator Scores'!$D$10:$CZ$161,_xlpm.r,_xlpm.c),""),
  IF(OR(_xlpm.w="",_xlpm.v=""),"",_xlpm.v*_xlpm.w)
)</f>
        <v/>
      </c>
      <c r="AU119" s="93" t="str" cm="1">
        <f t="array" ref="AU119">_xlfn.LET(
  _xlpm.w, AU$11,
  _xlpm.r, MATCH(1,('3. Enter Indicator Scores'!$B$10:$B$161=$B119)*('3. Enter Indicator Scores'!$C$10:$C$161=$C119),0),
  _xlpm.c, MATCH(AU$8,'3. Enter Indicator Scores'!$D$8:$CZ$8,0),
  _xlpm.v, IFERROR(INDEX('3. Enter Indicator Scores'!$D$10:$CZ$161,_xlpm.r,_xlpm.c),""),
  IF(OR(_xlpm.w="",_xlpm.v=""),"",_xlpm.v*_xlpm.w)
)</f>
        <v/>
      </c>
      <c r="AV119" s="93" t="str" cm="1">
        <f t="array" ref="AV119">_xlfn.LET(
  _xlpm.w, AV$11,
  _xlpm.r, MATCH(1,('3. Enter Indicator Scores'!$B$10:$B$161=$B119)*('3. Enter Indicator Scores'!$C$10:$C$161=$C119),0),
  _xlpm.c, MATCH(AV$8,'3. Enter Indicator Scores'!$D$8:$CZ$8,0),
  _xlpm.v, IFERROR(INDEX('3. Enter Indicator Scores'!$D$10:$CZ$161,_xlpm.r,_xlpm.c),""),
  IF(OR(_xlpm.w="",_xlpm.v=""),"",_xlpm.v*_xlpm.w)
)</f>
        <v/>
      </c>
      <c r="AW119" s="93" t="str" cm="1">
        <f t="array" ref="AW119">_xlfn.LET(
  _xlpm.w, AW$11,
  _xlpm.r, MATCH(1,('3. Enter Indicator Scores'!$B$10:$B$161=$B119)*('3. Enter Indicator Scores'!$C$10:$C$161=$C119),0),
  _xlpm.c, MATCH(AW$8,'3. Enter Indicator Scores'!$D$8:$CZ$8,0),
  _xlpm.v, IFERROR(INDEX('3. Enter Indicator Scores'!$D$10:$CZ$161,_xlpm.r,_xlpm.c),""),
  IF(OR(_xlpm.w="",_xlpm.v=""),"",_xlpm.v*_xlpm.w)
)</f>
        <v/>
      </c>
      <c r="AX119" s="93" t="str" cm="1">
        <f t="array" ref="AX119">_xlfn.LET(
  _xlpm.w, AX$11,
  _xlpm.r, MATCH(1,('3. Enter Indicator Scores'!$B$10:$B$161=$B119)*('3. Enter Indicator Scores'!$C$10:$C$161=$C119),0),
  _xlpm.c, MATCH(AX$8,'3. Enter Indicator Scores'!$D$8:$CZ$8,0),
  _xlpm.v, IFERROR(INDEX('3. Enter Indicator Scores'!$D$10:$CZ$161,_xlpm.r,_xlpm.c),""),
  IF(OR(_xlpm.w="",_xlpm.v=""),"",_xlpm.v*_xlpm.w)
)</f>
        <v/>
      </c>
      <c r="AY119" s="93" t="str" cm="1">
        <f t="array" ref="AY119">_xlfn.LET(
  _xlpm.w, AY$11,
  _xlpm.r, MATCH(1,('3. Enter Indicator Scores'!$B$10:$B$161=$B119)*('3. Enter Indicator Scores'!$C$10:$C$161=$C119),0),
  _xlpm.c, MATCH(AY$8,'3. Enter Indicator Scores'!$D$8:$CZ$8,0),
  _xlpm.v, IFERROR(INDEX('3. Enter Indicator Scores'!$D$10:$CZ$161,_xlpm.r,_xlpm.c),""),
  IF(OR(_xlpm.w="",_xlpm.v=""),"",_xlpm.v*_xlpm.w)
)</f>
        <v/>
      </c>
      <c r="AZ119" s="93" t="str" cm="1">
        <f t="array" ref="AZ119">_xlfn.LET(
  _xlpm.w, AZ$11,
  _xlpm.r, MATCH(1,('3. Enter Indicator Scores'!$B$10:$B$161=$B119)*('3. Enter Indicator Scores'!$C$10:$C$161=$C119),0),
  _xlpm.c, MATCH(AZ$8,'3. Enter Indicator Scores'!$D$8:$CZ$8,0),
  _xlpm.v, IFERROR(INDEX('3. Enter Indicator Scores'!$D$10:$CZ$161,_xlpm.r,_xlpm.c),""),
  IF(OR(_xlpm.w="",_xlpm.v=""),"",_xlpm.v*_xlpm.w)
)</f>
        <v/>
      </c>
      <c r="BA119" s="93" t="str" cm="1">
        <f t="array" ref="BA119">_xlfn.LET(
  _xlpm.w, BA$11,
  _xlpm.r, MATCH(1,('3. Enter Indicator Scores'!$B$10:$B$161=$B119)*('3. Enter Indicator Scores'!$C$10:$C$161=$C119),0),
  _xlpm.c, MATCH(BA$8,'3. Enter Indicator Scores'!$D$8:$CZ$8,0),
  _xlpm.v, IFERROR(INDEX('3. Enter Indicator Scores'!$D$10:$CZ$161,_xlpm.r,_xlpm.c),""),
  IF(OR(_xlpm.w="",_xlpm.v=""),"",_xlpm.v*_xlpm.w)
)</f>
        <v/>
      </c>
      <c r="BB119" s="93" t="str" cm="1">
        <f t="array" ref="BB119">_xlfn.LET(
  _xlpm.w, BB$11,
  _xlpm.r, MATCH(1,('3. Enter Indicator Scores'!$B$10:$B$161=$B119)*('3. Enter Indicator Scores'!$C$10:$C$161=$C119),0),
  _xlpm.c, MATCH(BB$8,'3. Enter Indicator Scores'!$D$8:$CZ$8,0),
  _xlpm.v, IFERROR(INDEX('3. Enter Indicator Scores'!$D$10:$CZ$161,_xlpm.r,_xlpm.c),""),
  IF(OR(_xlpm.w="",_xlpm.v=""),"",_xlpm.v*_xlpm.w)
)</f>
        <v/>
      </c>
      <c r="BC119" s="93" t="str" cm="1">
        <f t="array" ref="BC119">_xlfn.LET(
  _xlpm.w, BC$11,
  _xlpm.r, MATCH(1,('3. Enter Indicator Scores'!$B$10:$B$161=$B119)*('3. Enter Indicator Scores'!$C$10:$C$161=$C119),0),
  _xlpm.c, MATCH(BC$8,'3. Enter Indicator Scores'!$D$8:$CZ$8,0),
  _xlpm.v, IFERROR(INDEX('3. Enter Indicator Scores'!$D$10:$CZ$161,_xlpm.r,_xlpm.c),""),
  IF(OR(_xlpm.w="",_xlpm.v=""),"",_xlpm.v*_xlpm.w)
)</f>
        <v/>
      </c>
      <c r="BD119" s="93" t="str" cm="1">
        <f t="array" ref="BD119">_xlfn.LET(
  _xlpm.w, BD$11,
  _xlpm.r, MATCH(1,('3. Enter Indicator Scores'!$B$10:$B$161=$B119)*('3. Enter Indicator Scores'!$C$10:$C$161=$C119),0),
  _xlpm.c, MATCH(BD$8,'3. Enter Indicator Scores'!$D$8:$CZ$8,0),
  _xlpm.v, IFERROR(INDEX('3. Enter Indicator Scores'!$D$10:$CZ$161,_xlpm.r,_xlpm.c),""),
  IF(OR(_xlpm.w="",_xlpm.v=""),"",_xlpm.v*_xlpm.w)
)</f>
        <v/>
      </c>
      <c r="BE119" s="93" t="str" cm="1">
        <f t="array" ref="BE119">_xlfn.LET(
  _xlpm.w, BE$11,
  _xlpm.r, MATCH(1,('3. Enter Indicator Scores'!$B$10:$B$161=$B119)*('3. Enter Indicator Scores'!$C$10:$C$161=$C119),0),
  _xlpm.c, MATCH(BE$8,'3. Enter Indicator Scores'!$D$8:$CZ$8,0),
  _xlpm.v, IFERROR(INDEX('3. Enter Indicator Scores'!$D$10:$CZ$161,_xlpm.r,_xlpm.c),""),
  IF(OR(_xlpm.w="",_xlpm.v=""),"",_xlpm.v*_xlpm.w)
)</f>
        <v/>
      </c>
      <c r="BF119" s="93" t="str" cm="1">
        <f t="array" ref="BF119">_xlfn.LET(
  _xlpm.w, BF$11,
  _xlpm.r, MATCH(1,('3. Enter Indicator Scores'!$B$10:$B$161=$B119)*('3. Enter Indicator Scores'!$C$10:$C$161=$C119),0),
  _xlpm.c, MATCH(BF$8,'3. Enter Indicator Scores'!$D$8:$CZ$8,0),
  _xlpm.v, IFERROR(INDEX('3. Enter Indicator Scores'!$D$10:$CZ$161,_xlpm.r,_xlpm.c),""),
  IF(OR(_xlpm.w="",_xlpm.v=""),"",_xlpm.v*_xlpm.w)
)</f>
        <v/>
      </c>
      <c r="BG119" s="93" t="str" cm="1">
        <f t="array" ref="BG119">_xlfn.LET(
  _xlpm.w, BG$11,
  _xlpm.r, MATCH(1,('3. Enter Indicator Scores'!$B$10:$B$161=$B119)*('3. Enter Indicator Scores'!$C$10:$C$161=$C119),0),
  _xlpm.c, MATCH(BG$8,'3. Enter Indicator Scores'!$D$8:$CZ$8,0),
  _xlpm.v, IFERROR(INDEX('3. Enter Indicator Scores'!$D$10:$CZ$161,_xlpm.r,_xlpm.c),""),
  IF(OR(_xlpm.w="",_xlpm.v=""),"",_xlpm.v*_xlpm.w)
)</f>
        <v/>
      </c>
      <c r="BH119" s="93" t="str" cm="1">
        <f t="array" ref="BH119">_xlfn.LET(
  _xlpm.w, BH$11,
  _xlpm.r, MATCH(1,('3. Enter Indicator Scores'!$B$10:$B$161=$B119)*('3. Enter Indicator Scores'!$C$10:$C$161=$C119),0),
  _xlpm.c, MATCH(BH$8,'3. Enter Indicator Scores'!$D$8:$CZ$8,0),
  _xlpm.v, IFERROR(INDEX('3. Enter Indicator Scores'!$D$10:$CZ$161,_xlpm.r,_xlpm.c),""),
  IF(OR(_xlpm.w="",_xlpm.v=""),"",_xlpm.v*_xlpm.w)
)</f>
        <v/>
      </c>
      <c r="BI119" s="93" t="str" cm="1">
        <f t="array" ref="BI119">_xlfn.LET(
  _xlpm.w, BI$11,
  _xlpm.r, MATCH(1,('3. Enter Indicator Scores'!$B$10:$B$161=$B119)*('3. Enter Indicator Scores'!$C$10:$C$161=$C119),0),
  _xlpm.c, MATCH(BI$8,'3. Enter Indicator Scores'!$D$8:$CZ$8,0),
  _xlpm.v, IFERROR(INDEX('3. Enter Indicator Scores'!$D$10:$CZ$161,_xlpm.r,_xlpm.c),""),
  IF(OR(_xlpm.w="",_xlpm.v=""),"",_xlpm.v*_xlpm.w)
)</f>
        <v/>
      </c>
      <c r="BJ119" s="93" t="str" cm="1">
        <f t="array" ref="BJ119">_xlfn.LET(
  _xlpm.w, BJ$11,
  _xlpm.r, MATCH(1,('3. Enter Indicator Scores'!$B$10:$B$161=$B119)*('3. Enter Indicator Scores'!$C$10:$C$161=$C119),0),
  _xlpm.c, MATCH(BJ$8,'3. Enter Indicator Scores'!$D$8:$CZ$8,0),
  _xlpm.v, IFERROR(INDEX('3. Enter Indicator Scores'!$D$10:$CZ$161,_xlpm.r,_xlpm.c),""),
  IF(OR(_xlpm.w="",_xlpm.v=""),"",_xlpm.v*_xlpm.w)
)</f>
        <v/>
      </c>
      <c r="BK119" s="93" t="str" cm="1">
        <f t="array" ref="BK119">_xlfn.LET(
  _xlpm.w, BK$11,
  _xlpm.r, MATCH(1,('3. Enter Indicator Scores'!$B$10:$B$161=$B119)*('3. Enter Indicator Scores'!$C$10:$C$161=$C119),0),
  _xlpm.c, MATCH(BK$8,'3. Enter Indicator Scores'!$D$8:$CZ$8,0),
  _xlpm.v, IFERROR(INDEX('3. Enter Indicator Scores'!$D$10:$CZ$161,_xlpm.r,_xlpm.c),""),
  IF(OR(_xlpm.w="",_xlpm.v=""),"",_xlpm.v*_xlpm.w)
)</f>
        <v/>
      </c>
      <c r="BL119" s="93" t="str" cm="1">
        <f t="array" ref="BL119">_xlfn.LET(
  _xlpm.w, BL$11,
  _xlpm.r, MATCH(1,('3. Enter Indicator Scores'!$B$10:$B$161=$B119)*('3. Enter Indicator Scores'!$C$10:$C$161=$C119),0),
  _xlpm.c, MATCH(BL$8,'3. Enter Indicator Scores'!$D$8:$CZ$8,0),
  _xlpm.v, IFERROR(INDEX('3. Enter Indicator Scores'!$D$10:$CZ$161,_xlpm.r,_xlpm.c),""),
  IF(OR(_xlpm.w="",_xlpm.v=""),"",_xlpm.v*_xlpm.w)
)</f>
        <v/>
      </c>
      <c r="BM119" s="93" t="str" cm="1">
        <f t="array" ref="BM119">_xlfn.LET(
  _xlpm.w, BM$11,
  _xlpm.r, MATCH(1,('3. Enter Indicator Scores'!$B$10:$B$161=$B119)*('3. Enter Indicator Scores'!$C$10:$C$161=$C119),0),
  _xlpm.c, MATCH(BM$8,'3. Enter Indicator Scores'!$D$8:$CZ$8,0),
  _xlpm.v, IFERROR(INDEX('3. Enter Indicator Scores'!$D$10:$CZ$161,_xlpm.r,_xlpm.c),""),
  IF(OR(_xlpm.w="",_xlpm.v=""),"",_xlpm.v*_xlpm.w)
)</f>
        <v/>
      </c>
      <c r="BN119" s="93" t="str" cm="1">
        <f t="array" ref="BN119">_xlfn.LET(
  _xlpm.w, BN$11,
  _xlpm.r, MATCH(1,('3. Enter Indicator Scores'!$B$10:$B$161=$B119)*('3. Enter Indicator Scores'!$C$10:$C$161=$C119),0),
  _xlpm.c, MATCH(BN$8,'3. Enter Indicator Scores'!$D$8:$CZ$8,0),
  _xlpm.v, IFERROR(INDEX('3. Enter Indicator Scores'!$D$10:$CZ$161,_xlpm.r,_xlpm.c),""),
  IF(OR(_xlpm.w="",_xlpm.v=""),"",_xlpm.v*_xlpm.w)
)</f>
        <v/>
      </c>
      <c r="BO119" s="93" t="str" cm="1">
        <f t="array" ref="BO119">_xlfn.LET(
  _xlpm.w, BO$11,
  _xlpm.r, MATCH(1,('3. Enter Indicator Scores'!$B$10:$B$161=$B119)*('3. Enter Indicator Scores'!$C$10:$C$161=$C119),0),
  _xlpm.c, MATCH(BO$8,'3. Enter Indicator Scores'!$D$8:$CZ$8,0),
  _xlpm.v, IFERROR(INDEX('3. Enter Indicator Scores'!$D$10:$CZ$161,_xlpm.r,_xlpm.c),""),
  IF(OR(_xlpm.w="",_xlpm.v=""),"",_xlpm.v*_xlpm.w)
)</f>
        <v/>
      </c>
      <c r="BP119" s="93" t="str" cm="1">
        <f t="array" ref="BP119">_xlfn.LET(
  _xlpm.w, BP$11,
  _xlpm.r, MATCH(1,('3. Enter Indicator Scores'!$B$10:$B$161=$B119)*('3. Enter Indicator Scores'!$C$10:$C$161=$C119),0),
  _xlpm.c, MATCH(BP$8,'3. Enter Indicator Scores'!$D$8:$CZ$8,0),
  _xlpm.v, IFERROR(INDEX('3. Enter Indicator Scores'!$D$10:$CZ$161,_xlpm.r,_xlpm.c),""),
  IF(OR(_xlpm.w="",_xlpm.v=""),"",_xlpm.v*_xlpm.w)
)</f>
        <v/>
      </c>
      <c r="BQ119" s="93" t="str" cm="1">
        <f t="array" ref="BQ119">_xlfn.LET(
  _xlpm.w, BQ$11,
  _xlpm.r, MATCH(1,('3. Enter Indicator Scores'!$B$10:$B$161=$B119)*('3. Enter Indicator Scores'!$C$10:$C$161=$C119),0),
  _xlpm.c, MATCH(BQ$8,'3. Enter Indicator Scores'!$D$8:$CZ$8,0),
  _xlpm.v, IFERROR(INDEX('3. Enter Indicator Scores'!$D$10:$CZ$161,_xlpm.r,_xlpm.c),""),
  IF(OR(_xlpm.w="",_xlpm.v=""),"",_xlpm.v*_xlpm.w)
)</f>
        <v/>
      </c>
      <c r="BR119" s="93" t="str" cm="1">
        <f t="array" ref="BR119">_xlfn.LET(
  _xlpm.w, BR$11,
  _xlpm.r, MATCH(1,('3. Enter Indicator Scores'!$B$10:$B$161=$B119)*('3. Enter Indicator Scores'!$C$10:$C$161=$C119),0),
  _xlpm.c, MATCH(BR$8,'3. Enter Indicator Scores'!$D$8:$CZ$8,0),
  _xlpm.v, IFERROR(INDEX('3. Enter Indicator Scores'!$D$10:$CZ$161,_xlpm.r,_xlpm.c),""),
  IF(OR(_xlpm.w="",_xlpm.v=""),"",_xlpm.v*_xlpm.w)
)</f>
        <v/>
      </c>
      <c r="BS119" s="93" t="str" cm="1">
        <f t="array" ref="BS119">_xlfn.LET(
  _xlpm.w, BS$11,
  _xlpm.r, MATCH(1,('3. Enter Indicator Scores'!$B$10:$B$161=$B119)*('3. Enter Indicator Scores'!$C$10:$C$161=$C119),0),
  _xlpm.c, MATCH(BS$8,'3. Enter Indicator Scores'!$D$8:$CZ$8,0),
  _xlpm.v, IFERROR(INDEX('3. Enter Indicator Scores'!$D$10:$CZ$161,_xlpm.r,_xlpm.c),""),
  IF(OR(_xlpm.w="",_xlpm.v=""),"",_xlpm.v*_xlpm.w)
)</f>
        <v/>
      </c>
      <c r="BT119" s="93" t="str" cm="1">
        <f t="array" ref="BT119">_xlfn.LET(
  _xlpm.w, BT$11,
  _xlpm.r, MATCH(1,('3. Enter Indicator Scores'!$B$10:$B$161=$B119)*('3. Enter Indicator Scores'!$C$10:$C$161=$C119),0),
  _xlpm.c, MATCH(BT$8,'3. Enter Indicator Scores'!$D$8:$CZ$8,0),
  _xlpm.v, IFERROR(INDEX('3. Enter Indicator Scores'!$D$10:$CZ$161,_xlpm.r,_xlpm.c),""),
  IF(OR(_xlpm.w="",_xlpm.v=""),"",_xlpm.v*_xlpm.w)
)</f>
        <v/>
      </c>
      <c r="BU119" s="93" t="str" cm="1">
        <f t="array" ref="BU119">_xlfn.LET(
  _xlpm.w, BU$11,
  _xlpm.r, MATCH(1,('3. Enter Indicator Scores'!$B$10:$B$161=$B119)*('3. Enter Indicator Scores'!$C$10:$C$161=$C119),0),
  _xlpm.c, MATCH(BU$8,'3. Enter Indicator Scores'!$D$8:$CZ$8,0),
  _xlpm.v, IFERROR(INDEX('3. Enter Indicator Scores'!$D$10:$CZ$161,_xlpm.r,_xlpm.c),""),
  IF(OR(_xlpm.w="",_xlpm.v=""),"",_xlpm.v*_xlpm.w)
)</f>
        <v/>
      </c>
      <c r="BV119" s="93" t="str" cm="1">
        <f t="array" ref="BV119">_xlfn.LET(
  _xlpm.w, BV$11,
  _xlpm.r, MATCH(1,('3. Enter Indicator Scores'!$B$10:$B$161=$B119)*('3. Enter Indicator Scores'!$C$10:$C$161=$C119),0),
  _xlpm.c, MATCH(BV$8,'3. Enter Indicator Scores'!$D$8:$CZ$8,0),
  _xlpm.v, IFERROR(INDEX('3. Enter Indicator Scores'!$D$10:$CZ$161,_xlpm.r,_xlpm.c),""),
  IF(OR(_xlpm.w="",_xlpm.v=""),"",_xlpm.v*_xlpm.w)
)</f>
        <v/>
      </c>
      <c r="BW119" s="93" t="str" cm="1">
        <f t="array" ref="BW119">_xlfn.LET(
  _xlpm.w, BW$11,
  _xlpm.r, MATCH(1,('3. Enter Indicator Scores'!$B$10:$B$161=$B119)*('3. Enter Indicator Scores'!$C$10:$C$161=$C119),0),
  _xlpm.c, MATCH(BW$8,'3. Enter Indicator Scores'!$D$8:$CZ$8,0),
  _xlpm.v, IFERROR(INDEX('3. Enter Indicator Scores'!$D$10:$CZ$161,_xlpm.r,_xlpm.c),""),
  IF(OR(_xlpm.w="",_xlpm.v=""),"",_xlpm.v*_xlpm.w)
)</f>
        <v/>
      </c>
      <c r="BX119" s="93" t="str" cm="1">
        <f t="array" ref="BX119">_xlfn.LET(
  _xlpm.w, BX$11,
  _xlpm.r, MATCH(1,('3. Enter Indicator Scores'!$B$10:$B$161=$B119)*('3. Enter Indicator Scores'!$C$10:$C$161=$C119),0),
  _xlpm.c, MATCH(BX$8,'3. Enter Indicator Scores'!$D$8:$CZ$8,0),
  _xlpm.v, IFERROR(INDEX('3. Enter Indicator Scores'!$D$10:$CZ$161,_xlpm.r,_xlpm.c),""),
  IF(OR(_xlpm.w="",_xlpm.v=""),"",_xlpm.v*_xlpm.w)
)</f>
        <v/>
      </c>
      <c r="BY119" s="93" t="str" cm="1">
        <f t="array" ref="BY119">_xlfn.LET(
  _xlpm.w, BY$11,
  _xlpm.r, MATCH(1,('3. Enter Indicator Scores'!$B$10:$B$161=$B119)*('3. Enter Indicator Scores'!$C$10:$C$161=$C119),0),
  _xlpm.c, MATCH(BY$8,'3. Enter Indicator Scores'!$D$8:$CZ$8,0),
  _xlpm.v, IFERROR(INDEX('3. Enter Indicator Scores'!$D$10:$CZ$161,_xlpm.r,_xlpm.c),""),
  IF(OR(_xlpm.w="",_xlpm.v=""),"",_xlpm.v*_xlpm.w)
)</f>
        <v/>
      </c>
      <c r="BZ119" s="93" t="str" cm="1">
        <f t="array" ref="BZ119">_xlfn.LET(
  _xlpm.w, BZ$11,
  _xlpm.r, MATCH(1,('3. Enter Indicator Scores'!$B$10:$B$161=$B119)*('3. Enter Indicator Scores'!$C$10:$C$161=$C119),0),
  _xlpm.c, MATCH(BZ$8,'3. Enter Indicator Scores'!$D$8:$CZ$8,0),
  _xlpm.v, IFERROR(INDEX('3. Enter Indicator Scores'!$D$10:$CZ$161,_xlpm.r,_xlpm.c),""),
  IF(OR(_xlpm.w="",_xlpm.v=""),"",_xlpm.v*_xlpm.w)
)</f>
        <v/>
      </c>
      <c r="CA119" s="93" t="str" cm="1">
        <f t="array" ref="CA119">_xlfn.LET(
  _xlpm.w, CA$11,
  _xlpm.r, MATCH(1,('3. Enter Indicator Scores'!$B$10:$B$161=$B119)*('3. Enter Indicator Scores'!$C$10:$C$161=$C119),0),
  _xlpm.c, MATCH(CA$8,'3. Enter Indicator Scores'!$D$8:$CZ$8,0),
  _xlpm.v, IFERROR(INDEX('3. Enter Indicator Scores'!$D$10:$CZ$161,_xlpm.r,_xlpm.c),""),
  IF(OR(_xlpm.w="",_xlpm.v=""),"",_xlpm.v*_xlpm.w)
)</f>
        <v/>
      </c>
      <c r="CB119" s="93" t="str" cm="1">
        <f t="array" ref="CB119">_xlfn.LET(
  _xlpm.w, CB$11,
  _xlpm.r, MATCH(1,('3. Enter Indicator Scores'!$B$10:$B$161=$B119)*('3. Enter Indicator Scores'!$C$10:$C$161=$C119),0),
  _xlpm.c, MATCH(CB$8,'3. Enter Indicator Scores'!$D$8:$CZ$8,0),
  _xlpm.v, IFERROR(INDEX('3. Enter Indicator Scores'!$D$10:$CZ$161,_xlpm.r,_xlpm.c),""),
  IF(OR(_xlpm.w="",_xlpm.v=""),"",_xlpm.v*_xlpm.w)
)</f>
        <v/>
      </c>
      <c r="CC119" s="93" t="str" cm="1">
        <f t="array" ref="CC119">_xlfn.LET(
  _xlpm.w, CC$11,
  _xlpm.r, MATCH(1,('3. Enter Indicator Scores'!$B$10:$B$161=$B119)*('3. Enter Indicator Scores'!$C$10:$C$161=$C119),0),
  _xlpm.c, MATCH(CC$8,'3. Enter Indicator Scores'!$D$8:$CZ$8,0),
  _xlpm.v, IFERROR(INDEX('3. Enter Indicator Scores'!$D$10:$CZ$161,_xlpm.r,_xlpm.c),""),
  IF(OR(_xlpm.w="",_xlpm.v=""),"",_xlpm.v*_xlpm.w)
)</f>
        <v/>
      </c>
      <c r="CD119" s="93" t="str" cm="1">
        <f t="array" ref="CD119">_xlfn.LET(
  _xlpm.w, CD$11,
  _xlpm.r, MATCH(1,('3. Enter Indicator Scores'!$B$10:$B$161=$B119)*('3. Enter Indicator Scores'!$C$10:$C$161=$C119),0),
  _xlpm.c, MATCH(CD$8,'3. Enter Indicator Scores'!$D$8:$CZ$8,0),
  _xlpm.v, IFERROR(INDEX('3. Enter Indicator Scores'!$D$10:$CZ$161,_xlpm.r,_xlpm.c),""),
  IF(OR(_xlpm.w="",_xlpm.v=""),"",_xlpm.v*_xlpm.w)
)</f>
        <v/>
      </c>
      <c r="CE119" s="93" t="str" cm="1">
        <f t="array" ref="CE119">_xlfn.LET(
  _xlpm.w, CE$11,
  _xlpm.r, MATCH(1,('3. Enter Indicator Scores'!$B$10:$B$161=$B119)*('3. Enter Indicator Scores'!$C$10:$C$161=$C119),0),
  _xlpm.c, MATCH(CE$8,'3. Enter Indicator Scores'!$D$8:$CZ$8,0),
  _xlpm.v, IFERROR(INDEX('3. Enter Indicator Scores'!$D$10:$CZ$161,_xlpm.r,_xlpm.c),""),
  IF(OR(_xlpm.w="",_xlpm.v=""),"",_xlpm.v*_xlpm.w)
)</f>
        <v/>
      </c>
      <c r="CF119" s="93" t="str" cm="1">
        <f t="array" ref="CF119">_xlfn.LET(
  _xlpm.w, CF$11,
  _xlpm.r, MATCH(1,('3. Enter Indicator Scores'!$B$10:$B$161=$B119)*('3. Enter Indicator Scores'!$C$10:$C$161=$C119),0),
  _xlpm.c, MATCH(CF$8,'3. Enter Indicator Scores'!$D$8:$CZ$8,0),
  _xlpm.v, IFERROR(INDEX('3. Enter Indicator Scores'!$D$10:$CZ$161,_xlpm.r,_xlpm.c),""),
  IF(OR(_xlpm.w="",_xlpm.v=""),"",_xlpm.v*_xlpm.w)
)</f>
        <v/>
      </c>
      <c r="CG119" s="93" t="str" cm="1">
        <f t="array" ref="CG119">_xlfn.LET(
  _xlpm.w, CG$11,
  _xlpm.r, MATCH(1,('3. Enter Indicator Scores'!$B$10:$B$161=$B119)*('3. Enter Indicator Scores'!$C$10:$C$161=$C119),0),
  _xlpm.c, MATCH(CG$8,'3. Enter Indicator Scores'!$D$8:$CZ$8,0),
  _xlpm.v, IFERROR(INDEX('3. Enter Indicator Scores'!$D$10:$CZ$161,_xlpm.r,_xlpm.c),""),
  IF(OR(_xlpm.w="",_xlpm.v=""),"",_xlpm.v*_xlpm.w)
)</f>
        <v/>
      </c>
      <c r="CH119" s="93" t="str" cm="1">
        <f t="array" ref="CH119">_xlfn.LET(
  _xlpm.w, CH$11,
  _xlpm.r, MATCH(1,('3. Enter Indicator Scores'!$B$10:$B$161=$B119)*('3. Enter Indicator Scores'!$C$10:$C$161=$C119),0),
  _xlpm.c, MATCH(CH$8,'3. Enter Indicator Scores'!$D$8:$CZ$8,0),
  _xlpm.v, IFERROR(INDEX('3. Enter Indicator Scores'!$D$10:$CZ$161,_xlpm.r,_xlpm.c),""),
  IF(OR(_xlpm.w="",_xlpm.v=""),"",_xlpm.v*_xlpm.w)
)</f>
        <v/>
      </c>
      <c r="CI119" s="93" t="str" cm="1">
        <f t="array" ref="CI119">_xlfn.LET(
  _xlpm.w, CI$11,
  _xlpm.r, MATCH(1,('3. Enter Indicator Scores'!$B$10:$B$161=$B119)*('3. Enter Indicator Scores'!$C$10:$C$161=$C119),0),
  _xlpm.c, MATCH(CI$8,'3. Enter Indicator Scores'!$D$8:$CZ$8,0),
  _xlpm.v, IFERROR(INDEX('3. Enter Indicator Scores'!$D$10:$CZ$161,_xlpm.r,_xlpm.c),""),
  IF(OR(_xlpm.w="",_xlpm.v=""),"",_xlpm.v*_xlpm.w)
)</f>
        <v/>
      </c>
      <c r="CJ119" s="93" t="str" cm="1">
        <f t="array" ref="CJ119">_xlfn.LET(
  _xlpm.w, CJ$11,
  _xlpm.r, MATCH(1,('3. Enter Indicator Scores'!$B$10:$B$161=$B119)*('3. Enter Indicator Scores'!$C$10:$C$161=$C119),0),
  _xlpm.c, MATCH(CJ$8,'3. Enter Indicator Scores'!$D$8:$CZ$8,0),
  _xlpm.v, IFERROR(INDEX('3. Enter Indicator Scores'!$D$10:$CZ$161,_xlpm.r,_xlpm.c),""),
  IF(OR(_xlpm.w="",_xlpm.v=""),"",_xlpm.v*_xlpm.w)
)</f>
        <v/>
      </c>
      <c r="CK119" s="93" t="str" cm="1">
        <f t="array" ref="CK119">_xlfn.LET(
  _xlpm.w, CK$11,
  _xlpm.r, MATCH(1,('3. Enter Indicator Scores'!$B$10:$B$161=$B119)*('3. Enter Indicator Scores'!$C$10:$C$161=$C119),0),
  _xlpm.c, MATCH(CK$8,'3. Enter Indicator Scores'!$D$8:$CZ$8,0),
  _xlpm.v, IFERROR(INDEX('3. Enter Indicator Scores'!$D$10:$CZ$161,_xlpm.r,_xlpm.c),""),
  IF(OR(_xlpm.w="",_xlpm.v=""),"",_xlpm.v*_xlpm.w)
)</f>
        <v/>
      </c>
      <c r="CL119" s="93" t="str" cm="1">
        <f t="array" ref="CL119">_xlfn.LET(
  _xlpm.w, CL$11,
  _xlpm.r, MATCH(1,('3. Enter Indicator Scores'!$B$10:$B$161=$B119)*('3. Enter Indicator Scores'!$C$10:$C$161=$C119),0),
  _xlpm.c, MATCH(CL$8,'3. Enter Indicator Scores'!$D$8:$CZ$8,0),
  _xlpm.v, IFERROR(INDEX('3. Enter Indicator Scores'!$D$10:$CZ$161,_xlpm.r,_xlpm.c),""),
  IF(OR(_xlpm.w="",_xlpm.v=""),"",_xlpm.v*_xlpm.w)
)</f>
        <v/>
      </c>
      <c r="CM119" s="93" t="str" cm="1">
        <f t="array" ref="CM119">_xlfn.LET(
  _xlpm.w, CM$11,
  _xlpm.r, MATCH(1,('3. Enter Indicator Scores'!$B$10:$B$161=$B119)*('3. Enter Indicator Scores'!$C$10:$C$161=$C119),0),
  _xlpm.c, MATCH(CM$8,'3. Enter Indicator Scores'!$D$8:$CZ$8,0),
  _xlpm.v, IFERROR(INDEX('3. Enter Indicator Scores'!$D$10:$CZ$161,_xlpm.r,_xlpm.c),""),
  IF(OR(_xlpm.w="",_xlpm.v=""),"",_xlpm.v*_xlpm.w)
)</f>
        <v/>
      </c>
      <c r="CN119" s="93" t="str" cm="1">
        <f t="array" ref="CN119">_xlfn.LET(
  _xlpm.w, CN$11,
  _xlpm.r, MATCH(1,('3. Enter Indicator Scores'!$B$10:$B$161=$B119)*('3. Enter Indicator Scores'!$C$10:$C$161=$C119),0),
  _xlpm.c, MATCH(CN$8,'3. Enter Indicator Scores'!$D$8:$CZ$8,0),
  _xlpm.v, IFERROR(INDEX('3. Enter Indicator Scores'!$D$10:$CZ$161,_xlpm.r,_xlpm.c),""),
  IF(OR(_xlpm.w="",_xlpm.v=""),"",_xlpm.v*_xlpm.w)
)</f>
        <v/>
      </c>
      <c r="CO119" s="93" t="str" cm="1">
        <f t="array" ref="CO119">_xlfn.LET(
  _xlpm.w, CO$11,
  _xlpm.r, MATCH(1,('3. Enter Indicator Scores'!$B$10:$B$161=$B119)*('3. Enter Indicator Scores'!$C$10:$C$161=$C119),0),
  _xlpm.c, MATCH(CO$8,'3. Enter Indicator Scores'!$D$8:$CZ$8,0),
  _xlpm.v, IFERROR(INDEX('3. Enter Indicator Scores'!$D$10:$CZ$161,_xlpm.r,_xlpm.c),""),
  IF(OR(_xlpm.w="",_xlpm.v=""),"",_xlpm.v*_xlpm.w)
)</f>
        <v/>
      </c>
      <c r="CP119" s="93" t="str" cm="1">
        <f t="array" ref="CP119">_xlfn.LET(
  _xlpm.w, CP$11,
  _xlpm.r, MATCH(1,('3. Enter Indicator Scores'!$B$10:$B$161=$B119)*('3. Enter Indicator Scores'!$C$10:$C$161=$C119),0),
  _xlpm.c, MATCH(CP$8,'3. Enter Indicator Scores'!$D$8:$CZ$8,0),
  _xlpm.v, IFERROR(INDEX('3. Enter Indicator Scores'!$D$10:$CZ$161,_xlpm.r,_xlpm.c),""),
  IF(OR(_xlpm.w="",_xlpm.v=""),"",_xlpm.v*_xlpm.w)
)</f>
        <v/>
      </c>
      <c r="CQ119" s="93" t="str" cm="1">
        <f t="array" ref="CQ119">_xlfn.LET(
  _xlpm.w, CQ$11,
  _xlpm.r, MATCH(1,('3. Enter Indicator Scores'!$B$10:$B$161=$B119)*('3. Enter Indicator Scores'!$C$10:$C$161=$C119),0),
  _xlpm.c, MATCH(CQ$8,'3. Enter Indicator Scores'!$D$8:$CZ$8,0),
  _xlpm.v, IFERROR(INDEX('3. Enter Indicator Scores'!$D$10:$CZ$161,_xlpm.r,_xlpm.c),""),
  IF(OR(_xlpm.w="",_xlpm.v=""),"",_xlpm.v*_xlpm.w)
)</f>
        <v/>
      </c>
      <c r="CR119" s="93" t="str" cm="1">
        <f t="array" ref="CR119">_xlfn.LET(
  _xlpm.w, CR$11,
  _xlpm.r, MATCH(1,('3. Enter Indicator Scores'!$B$10:$B$161=$B119)*('3. Enter Indicator Scores'!$C$10:$C$161=$C119),0),
  _xlpm.c, MATCH(CR$8,'3. Enter Indicator Scores'!$D$8:$CZ$8,0),
  _xlpm.v, IFERROR(INDEX('3. Enter Indicator Scores'!$D$10:$CZ$161,_xlpm.r,_xlpm.c),""),
  IF(OR(_xlpm.w="",_xlpm.v=""),"",_xlpm.v*_xlpm.w)
)</f>
        <v/>
      </c>
      <c r="CS119" s="93" t="str" cm="1">
        <f t="array" ref="CS119">_xlfn.LET(
  _xlpm.w, CS$11,
  _xlpm.r, MATCH(1,('3. Enter Indicator Scores'!$B$10:$B$161=$B119)*('3. Enter Indicator Scores'!$C$10:$C$161=$C119),0),
  _xlpm.c, MATCH(CS$8,'3. Enter Indicator Scores'!$D$8:$CZ$8,0),
  _xlpm.v, IFERROR(INDEX('3. Enter Indicator Scores'!$D$10:$CZ$161,_xlpm.r,_xlpm.c),""),
  IF(OR(_xlpm.w="",_xlpm.v=""),"",_xlpm.v*_xlpm.w)
)</f>
        <v/>
      </c>
      <c r="CT119" s="93" t="str" cm="1">
        <f t="array" ref="CT119">_xlfn.LET(
  _xlpm.w, CT$11,
  _xlpm.r, MATCH(1,('3. Enter Indicator Scores'!$B$10:$B$161=$B119)*('3. Enter Indicator Scores'!$C$10:$C$161=$C119),0),
  _xlpm.c, MATCH(CT$8,'3. Enter Indicator Scores'!$D$8:$CZ$8,0),
  _xlpm.v, IFERROR(INDEX('3. Enter Indicator Scores'!$D$10:$CZ$161,_xlpm.r,_xlpm.c),""),
  IF(OR(_xlpm.w="",_xlpm.v=""),"",_xlpm.v*_xlpm.w)
)</f>
        <v/>
      </c>
      <c r="CU119" s="93" t="str" cm="1">
        <f t="array" ref="CU119">_xlfn.LET(
  _xlpm.w, CU$11,
  _xlpm.r, MATCH(1,('3. Enter Indicator Scores'!$B$10:$B$161=$B119)*('3. Enter Indicator Scores'!$C$10:$C$161=$C119),0),
  _xlpm.c, MATCH(CU$8,'3. Enter Indicator Scores'!$D$8:$CZ$8,0),
  _xlpm.v, IFERROR(INDEX('3. Enter Indicator Scores'!$D$10:$CZ$161,_xlpm.r,_xlpm.c),""),
  IF(OR(_xlpm.w="",_xlpm.v=""),"",_xlpm.v*_xlpm.w)
)</f>
        <v/>
      </c>
      <c r="CV119" s="93" t="str" cm="1">
        <f t="array" ref="CV119">_xlfn.LET(
  _xlpm.w, CV$11,
  _xlpm.r, MATCH(1,('3. Enter Indicator Scores'!$B$10:$B$161=$B119)*('3. Enter Indicator Scores'!$C$10:$C$161=$C119),0),
  _xlpm.c, MATCH(CV$8,'3. Enter Indicator Scores'!$D$8:$CZ$8,0),
  _xlpm.v, IFERROR(INDEX('3. Enter Indicator Scores'!$D$10:$CZ$161,_xlpm.r,_xlpm.c),""),
  IF(OR(_xlpm.w="",_xlpm.v=""),"",_xlpm.v*_xlpm.w)
)</f>
        <v/>
      </c>
      <c r="CW119" s="93" t="str" cm="1">
        <f t="array" ref="CW119">_xlfn.LET(
  _xlpm.w, CW$11,
  _xlpm.r, MATCH(1,('3. Enter Indicator Scores'!$B$10:$B$161=$B119)*('3. Enter Indicator Scores'!$C$10:$C$161=$C119),0),
  _xlpm.c, MATCH(CW$8,'3. Enter Indicator Scores'!$D$8:$CZ$8,0),
  _xlpm.v, IFERROR(INDEX('3. Enter Indicator Scores'!$D$10:$CZ$161,_xlpm.r,_xlpm.c),""),
  IF(OR(_xlpm.w="",_xlpm.v=""),"",_xlpm.v*_xlpm.w)
)</f>
        <v/>
      </c>
      <c r="CX119" s="93" t="str" cm="1">
        <f t="array" ref="CX119">_xlfn.LET(
  _xlpm.w, CX$11,
  _xlpm.r, MATCH(1,('3. Enter Indicator Scores'!$B$10:$B$161=$B119)*('3. Enter Indicator Scores'!$C$10:$C$161=$C119),0),
  _xlpm.c, MATCH(CX$8,'3. Enter Indicator Scores'!$D$8:$CZ$8,0),
  _xlpm.v, IFERROR(INDEX('3. Enter Indicator Scores'!$D$10:$CZ$161,_xlpm.r,_xlpm.c),""),
  IF(OR(_xlpm.w="",_xlpm.v=""),"",_xlpm.v*_xlpm.w)
)</f>
        <v/>
      </c>
      <c r="CY119" s="93" t="str" cm="1">
        <f t="array" ref="CY119">_xlfn.LET(
  _xlpm.w, CY$11,
  _xlpm.r, MATCH(1,('3. Enter Indicator Scores'!$B$10:$B$161=$B119)*('3. Enter Indicator Scores'!$C$10:$C$161=$C119),0),
  _xlpm.c, MATCH(CY$8,'3. Enter Indicator Scores'!$D$8:$CZ$8,0),
  _xlpm.v, IFERROR(INDEX('3. Enter Indicator Scores'!$D$10:$CZ$161,_xlpm.r,_xlpm.c),""),
  IF(OR(_xlpm.w="",_xlpm.v=""),"",_xlpm.v*_xlpm.w)
)</f>
        <v/>
      </c>
      <c r="CZ119" s="93" t="str" cm="1">
        <f t="array" ref="CZ119">_xlfn.LET(
  _xlpm.w, CZ$11,
  _xlpm.r, MATCH(1,('3. Enter Indicator Scores'!$B$10:$B$161=$B119)*('3. Enter Indicator Scores'!$C$10:$C$161=$C119),0),
  _xlpm.c, MATCH(CZ$8,'3. Enter Indicator Scores'!$D$8:$CZ$8,0),
  _xlpm.v, IFERROR(INDEX('3. Enter Indicator Scores'!$D$10:$CZ$161,_xlpm.r,_xlpm.c),""),
  IF(OR(_xlpm.w="",_xlpm.v=""),"",_xlpm.v*_xlpm.w)
)</f>
        <v/>
      </c>
    </row>
    <row r="120" spans="4:104" x14ac:dyDescent="0.2">
      <c r="D120" s="93" t="str" cm="1">
        <f t="array" ref="D120">_xlfn.LET(
  _xlpm.w, D$11,
  _xlpm.r, MATCH(1,('3. Enter Indicator Scores'!$B$10:$B$161=$B120)*('3. Enter Indicator Scores'!$C$10:$C$161=$C120),0),
  _xlpm.c, MATCH(D$8,'3. Enter Indicator Scores'!$D$8:$CZ$8,0),
  _xlpm.v, IFERROR(INDEX('3. Enter Indicator Scores'!$D$10:$CZ$161,_xlpm.r,_xlpm.c),""),
  IF(OR(_xlpm.w="",_xlpm.v=""),"",_xlpm.v*_xlpm.w)
)</f>
        <v/>
      </c>
      <c r="E120" s="93" t="str" cm="1">
        <f t="array" ref="E120">_xlfn.LET(
  _xlpm.w, E$11,
  _xlpm.r, MATCH(1,('3. Enter Indicator Scores'!$B$10:$B$161=$B120)*('3. Enter Indicator Scores'!$C$10:$C$161=$C120),0),
  _xlpm.c, MATCH(E$8,'3. Enter Indicator Scores'!$D$8:$CZ$8,0),
  _xlpm.v, IFERROR(INDEX('3. Enter Indicator Scores'!$D$10:$CZ$161,_xlpm.r,_xlpm.c),""),
  IF(OR(_xlpm.w="",_xlpm.v=""),"",_xlpm.v*_xlpm.w)
)</f>
        <v/>
      </c>
      <c r="F120" s="93" t="str" cm="1">
        <f t="array" ref="F120">_xlfn.LET(
  _xlpm.w, F$11,
  _xlpm.r, MATCH(1,('3. Enter Indicator Scores'!$B$10:$B$161=$B120)*('3. Enter Indicator Scores'!$C$10:$C$161=$C120),0),
  _xlpm.c, MATCH(F$8,'3. Enter Indicator Scores'!$D$8:$CZ$8,0),
  _xlpm.v, IFERROR(INDEX('3. Enter Indicator Scores'!$D$10:$CZ$161,_xlpm.r,_xlpm.c),""),
  IF(OR(_xlpm.w="",_xlpm.v=""),"",_xlpm.v*_xlpm.w)
)</f>
        <v/>
      </c>
      <c r="G120" s="93" t="str" cm="1">
        <f t="array" ref="G120">_xlfn.LET(
  _xlpm.w, G$11,
  _xlpm.r, MATCH(1,('3. Enter Indicator Scores'!$B$10:$B$161=$B120)*('3. Enter Indicator Scores'!$C$10:$C$161=$C120),0),
  _xlpm.c, MATCH(G$8,'3. Enter Indicator Scores'!$D$8:$CZ$8,0),
  _xlpm.v, IFERROR(INDEX('3. Enter Indicator Scores'!$D$10:$CZ$161,_xlpm.r,_xlpm.c),""),
  IF(OR(_xlpm.w="",_xlpm.v=""),"",_xlpm.v*_xlpm.w)
)</f>
        <v/>
      </c>
      <c r="H120" s="93" t="str" cm="1">
        <f t="array" ref="H120">_xlfn.LET(
  _xlpm.w, H$11,
  _xlpm.r, MATCH(1,('3. Enter Indicator Scores'!$B$10:$B$161=$B120)*('3. Enter Indicator Scores'!$C$10:$C$161=$C120),0),
  _xlpm.c, MATCH(H$8,'3. Enter Indicator Scores'!$D$8:$CZ$8,0),
  _xlpm.v, IFERROR(INDEX('3. Enter Indicator Scores'!$D$10:$CZ$161,_xlpm.r,_xlpm.c),""),
  IF(OR(_xlpm.w="",_xlpm.v=""),"",_xlpm.v*_xlpm.w)
)</f>
        <v/>
      </c>
      <c r="I120" s="93" t="str" cm="1">
        <f t="array" ref="I120">_xlfn.LET(
  _xlpm.w, I$11,
  _xlpm.r, MATCH(1,('3. Enter Indicator Scores'!$B$10:$B$161=$B120)*('3. Enter Indicator Scores'!$C$10:$C$161=$C120),0),
  _xlpm.c, MATCH(I$8,'3. Enter Indicator Scores'!$D$8:$CZ$8,0),
  _xlpm.v, IFERROR(INDEX('3. Enter Indicator Scores'!$D$10:$CZ$161,_xlpm.r,_xlpm.c),""),
  IF(OR(_xlpm.w="",_xlpm.v=""),"",_xlpm.v*_xlpm.w)
)</f>
        <v/>
      </c>
      <c r="J120" s="93" t="str" cm="1">
        <f t="array" ref="J120">_xlfn.LET(
  _xlpm.w, J$11,
  _xlpm.r, MATCH(1,('3. Enter Indicator Scores'!$B$10:$B$161=$B120)*('3. Enter Indicator Scores'!$C$10:$C$161=$C120),0),
  _xlpm.c, MATCH(J$8,'3. Enter Indicator Scores'!$D$8:$CZ$8,0),
  _xlpm.v, IFERROR(INDEX('3. Enter Indicator Scores'!$D$10:$CZ$161,_xlpm.r,_xlpm.c),""),
  IF(OR(_xlpm.w="",_xlpm.v=""),"",_xlpm.v*_xlpm.w)
)</f>
        <v/>
      </c>
      <c r="K120" s="93" t="str" cm="1">
        <f t="array" ref="K120">_xlfn.LET(
  _xlpm.w, K$11,
  _xlpm.r, MATCH(1,('3. Enter Indicator Scores'!$B$10:$B$161=$B120)*('3. Enter Indicator Scores'!$C$10:$C$161=$C120),0),
  _xlpm.c, MATCH(K$8,'3. Enter Indicator Scores'!$D$8:$CZ$8,0),
  _xlpm.v, IFERROR(INDEX('3. Enter Indicator Scores'!$D$10:$CZ$161,_xlpm.r,_xlpm.c),""),
  IF(OR(_xlpm.w="",_xlpm.v=""),"",_xlpm.v*_xlpm.w)
)</f>
        <v/>
      </c>
      <c r="L120" s="93" t="str" cm="1">
        <f t="array" ref="L120">_xlfn.LET(
  _xlpm.w, L$11,
  _xlpm.r, MATCH(1,('3. Enter Indicator Scores'!$B$10:$B$161=$B120)*('3. Enter Indicator Scores'!$C$10:$C$161=$C120),0),
  _xlpm.c, MATCH(L$8,'3. Enter Indicator Scores'!$D$8:$CZ$8,0),
  _xlpm.v, IFERROR(INDEX('3. Enter Indicator Scores'!$D$10:$CZ$161,_xlpm.r,_xlpm.c),""),
  IF(OR(_xlpm.w="",_xlpm.v=""),"",_xlpm.v*_xlpm.w)
)</f>
        <v/>
      </c>
      <c r="M120" s="93" t="str" cm="1">
        <f t="array" ref="M120">_xlfn.LET(
  _xlpm.w, M$11,
  _xlpm.r, MATCH(1,('3. Enter Indicator Scores'!$B$10:$B$161=$B120)*('3. Enter Indicator Scores'!$C$10:$C$161=$C120),0),
  _xlpm.c, MATCH(M$8,'3. Enter Indicator Scores'!$D$8:$CZ$8,0),
  _xlpm.v, IFERROR(INDEX('3. Enter Indicator Scores'!$D$10:$CZ$161,_xlpm.r,_xlpm.c),""),
  IF(OR(_xlpm.w="",_xlpm.v=""),"",_xlpm.v*_xlpm.w)
)</f>
        <v/>
      </c>
      <c r="N120" s="93" t="str" cm="1">
        <f t="array" ref="N120">_xlfn.LET(
  _xlpm.w, N$11,
  _xlpm.r, MATCH(1,('3. Enter Indicator Scores'!$B$10:$B$161=$B120)*('3. Enter Indicator Scores'!$C$10:$C$161=$C120),0),
  _xlpm.c, MATCH(N$8,'3. Enter Indicator Scores'!$D$8:$CZ$8,0),
  _xlpm.v, IFERROR(INDEX('3. Enter Indicator Scores'!$D$10:$CZ$161,_xlpm.r,_xlpm.c),""),
  IF(OR(_xlpm.w="",_xlpm.v=""),"",_xlpm.v*_xlpm.w)
)</f>
        <v/>
      </c>
      <c r="O120" s="93" t="str" cm="1">
        <f t="array" ref="O120">_xlfn.LET(
  _xlpm.w, O$11,
  _xlpm.r, MATCH(1,('3. Enter Indicator Scores'!$B$10:$B$161=$B120)*('3. Enter Indicator Scores'!$C$10:$C$161=$C120),0),
  _xlpm.c, MATCH(O$8,'3. Enter Indicator Scores'!$D$8:$CZ$8,0),
  _xlpm.v, IFERROR(INDEX('3. Enter Indicator Scores'!$D$10:$CZ$161,_xlpm.r,_xlpm.c),""),
  IF(OR(_xlpm.w="",_xlpm.v=""),"",_xlpm.v*_xlpm.w)
)</f>
        <v/>
      </c>
      <c r="P120" s="93" t="str" cm="1">
        <f t="array" ref="P120">_xlfn.LET(
  _xlpm.w, P$11,
  _xlpm.r, MATCH(1,('3. Enter Indicator Scores'!$B$10:$B$161=$B120)*('3. Enter Indicator Scores'!$C$10:$C$161=$C120),0),
  _xlpm.c, MATCH(P$8,'3. Enter Indicator Scores'!$D$8:$CZ$8,0),
  _xlpm.v, IFERROR(INDEX('3. Enter Indicator Scores'!$D$10:$CZ$161,_xlpm.r,_xlpm.c),""),
  IF(OR(_xlpm.w="",_xlpm.v=""),"",_xlpm.v*_xlpm.w)
)</f>
        <v/>
      </c>
      <c r="Q120" s="93" t="str" cm="1">
        <f t="array" ref="Q120">_xlfn.LET(
  _xlpm.w, Q$11,
  _xlpm.r, MATCH(1,('3. Enter Indicator Scores'!$B$10:$B$161=$B120)*('3. Enter Indicator Scores'!$C$10:$C$161=$C120),0),
  _xlpm.c, MATCH(Q$8,'3. Enter Indicator Scores'!$D$8:$CZ$8,0),
  _xlpm.v, IFERROR(INDEX('3. Enter Indicator Scores'!$D$10:$CZ$161,_xlpm.r,_xlpm.c),""),
  IF(OR(_xlpm.w="",_xlpm.v=""),"",_xlpm.v*_xlpm.w)
)</f>
        <v/>
      </c>
      <c r="R120" s="93" t="str" cm="1">
        <f t="array" ref="R120">_xlfn.LET(
  _xlpm.w, R$11,
  _xlpm.r, MATCH(1,('3. Enter Indicator Scores'!$B$10:$B$161=$B120)*('3. Enter Indicator Scores'!$C$10:$C$161=$C120),0),
  _xlpm.c, MATCH(R$8,'3. Enter Indicator Scores'!$D$8:$CZ$8,0),
  _xlpm.v, IFERROR(INDEX('3. Enter Indicator Scores'!$D$10:$CZ$161,_xlpm.r,_xlpm.c),""),
  IF(OR(_xlpm.w="",_xlpm.v=""),"",_xlpm.v*_xlpm.w)
)</f>
        <v/>
      </c>
      <c r="S120" s="93" t="str" cm="1">
        <f t="array" ref="S120">_xlfn.LET(
  _xlpm.w, S$11,
  _xlpm.r, MATCH(1,('3. Enter Indicator Scores'!$B$10:$B$161=$B120)*('3. Enter Indicator Scores'!$C$10:$C$161=$C120),0),
  _xlpm.c, MATCH(S$8,'3. Enter Indicator Scores'!$D$8:$CZ$8,0),
  _xlpm.v, IFERROR(INDEX('3. Enter Indicator Scores'!$D$10:$CZ$161,_xlpm.r,_xlpm.c),""),
  IF(OR(_xlpm.w="",_xlpm.v=""),"",_xlpm.v*_xlpm.w)
)</f>
        <v/>
      </c>
      <c r="T120" s="93" t="str" cm="1">
        <f t="array" ref="T120">_xlfn.LET(
  _xlpm.w, T$11,
  _xlpm.r, MATCH(1,('3. Enter Indicator Scores'!$B$10:$B$161=$B120)*('3. Enter Indicator Scores'!$C$10:$C$161=$C120),0),
  _xlpm.c, MATCH(T$8,'3. Enter Indicator Scores'!$D$8:$CZ$8,0),
  _xlpm.v, IFERROR(INDEX('3. Enter Indicator Scores'!$D$10:$CZ$161,_xlpm.r,_xlpm.c),""),
  IF(OR(_xlpm.w="",_xlpm.v=""),"",_xlpm.v*_xlpm.w)
)</f>
        <v/>
      </c>
      <c r="U120" s="93" t="str" cm="1">
        <f t="array" ref="U120">_xlfn.LET(
  _xlpm.w, U$11,
  _xlpm.r, MATCH(1,('3. Enter Indicator Scores'!$B$10:$B$161=$B120)*('3. Enter Indicator Scores'!$C$10:$C$161=$C120),0),
  _xlpm.c, MATCH(U$8,'3. Enter Indicator Scores'!$D$8:$CZ$8,0),
  _xlpm.v, IFERROR(INDEX('3. Enter Indicator Scores'!$D$10:$CZ$161,_xlpm.r,_xlpm.c),""),
  IF(OR(_xlpm.w="",_xlpm.v=""),"",_xlpm.v*_xlpm.w)
)</f>
        <v/>
      </c>
      <c r="V120" s="93" t="str" cm="1">
        <f t="array" ref="V120">_xlfn.LET(
  _xlpm.w, V$11,
  _xlpm.r, MATCH(1,('3. Enter Indicator Scores'!$B$10:$B$161=$B120)*('3. Enter Indicator Scores'!$C$10:$C$161=$C120),0),
  _xlpm.c, MATCH(V$8,'3. Enter Indicator Scores'!$D$8:$CZ$8,0),
  _xlpm.v, IFERROR(INDEX('3. Enter Indicator Scores'!$D$10:$CZ$161,_xlpm.r,_xlpm.c),""),
  IF(OR(_xlpm.w="",_xlpm.v=""),"",_xlpm.v*_xlpm.w)
)</f>
        <v/>
      </c>
      <c r="W120" s="93" t="str" cm="1">
        <f t="array" ref="W120">_xlfn.LET(
  _xlpm.w, W$11,
  _xlpm.r, MATCH(1,('3. Enter Indicator Scores'!$B$10:$B$161=$B120)*('3. Enter Indicator Scores'!$C$10:$C$161=$C120),0),
  _xlpm.c, MATCH(W$8,'3. Enter Indicator Scores'!$D$8:$CZ$8,0),
  _xlpm.v, IFERROR(INDEX('3. Enter Indicator Scores'!$D$10:$CZ$161,_xlpm.r,_xlpm.c),""),
  IF(OR(_xlpm.w="",_xlpm.v=""),"",_xlpm.v*_xlpm.w)
)</f>
        <v/>
      </c>
      <c r="X120" s="93" t="str" cm="1">
        <f t="array" ref="X120">_xlfn.LET(
  _xlpm.w, X$11,
  _xlpm.r, MATCH(1,('3. Enter Indicator Scores'!$B$10:$B$161=$B120)*('3. Enter Indicator Scores'!$C$10:$C$161=$C120),0),
  _xlpm.c, MATCH(X$8,'3. Enter Indicator Scores'!$D$8:$CZ$8,0),
  _xlpm.v, IFERROR(INDEX('3. Enter Indicator Scores'!$D$10:$CZ$161,_xlpm.r,_xlpm.c),""),
  IF(OR(_xlpm.w="",_xlpm.v=""),"",_xlpm.v*_xlpm.w)
)</f>
        <v/>
      </c>
      <c r="Y120" s="93" t="str" cm="1">
        <f t="array" ref="Y120">_xlfn.LET(
  _xlpm.w, Y$11,
  _xlpm.r, MATCH(1,('3. Enter Indicator Scores'!$B$10:$B$161=$B120)*('3. Enter Indicator Scores'!$C$10:$C$161=$C120),0),
  _xlpm.c, MATCH(Y$8,'3. Enter Indicator Scores'!$D$8:$CZ$8,0),
  _xlpm.v, IFERROR(INDEX('3. Enter Indicator Scores'!$D$10:$CZ$161,_xlpm.r,_xlpm.c),""),
  IF(OR(_xlpm.w="",_xlpm.v=""),"",_xlpm.v*_xlpm.w)
)</f>
        <v/>
      </c>
      <c r="Z120" s="93" t="str" cm="1">
        <f t="array" ref="Z120">_xlfn.LET(
  _xlpm.w, Z$11,
  _xlpm.r, MATCH(1,('3. Enter Indicator Scores'!$B$10:$B$161=$B120)*('3. Enter Indicator Scores'!$C$10:$C$161=$C120),0),
  _xlpm.c, MATCH(Z$8,'3. Enter Indicator Scores'!$D$8:$CZ$8,0),
  _xlpm.v, IFERROR(INDEX('3. Enter Indicator Scores'!$D$10:$CZ$161,_xlpm.r,_xlpm.c),""),
  IF(OR(_xlpm.w="",_xlpm.v=""),"",_xlpm.v*_xlpm.w)
)</f>
        <v/>
      </c>
      <c r="AA120" s="93" t="str" cm="1">
        <f t="array" ref="AA120">_xlfn.LET(
  _xlpm.w, AA$11,
  _xlpm.r, MATCH(1,('3. Enter Indicator Scores'!$B$10:$B$161=$B120)*('3. Enter Indicator Scores'!$C$10:$C$161=$C120),0),
  _xlpm.c, MATCH(AA$8,'3. Enter Indicator Scores'!$D$8:$CZ$8,0),
  _xlpm.v, IFERROR(INDEX('3. Enter Indicator Scores'!$D$10:$CZ$161,_xlpm.r,_xlpm.c),""),
  IF(OR(_xlpm.w="",_xlpm.v=""),"",_xlpm.v*_xlpm.w)
)</f>
        <v/>
      </c>
      <c r="AB120" s="93" t="str" cm="1">
        <f t="array" ref="AB120">_xlfn.LET(
  _xlpm.w, AB$11,
  _xlpm.r, MATCH(1,('3. Enter Indicator Scores'!$B$10:$B$161=$B120)*('3. Enter Indicator Scores'!$C$10:$C$161=$C120),0),
  _xlpm.c, MATCH(AB$8,'3. Enter Indicator Scores'!$D$8:$CZ$8,0),
  _xlpm.v, IFERROR(INDEX('3. Enter Indicator Scores'!$D$10:$CZ$161,_xlpm.r,_xlpm.c),""),
  IF(OR(_xlpm.w="",_xlpm.v=""),"",_xlpm.v*_xlpm.w)
)</f>
        <v/>
      </c>
      <c r="AC120" s="93" t="str" cm="1">
        <f t="array" ref="AC120">_xlfn.LET(
  _xlpm.w, AC$11,
  _xlpm.r, MATCH(1,('3. Enter Indicator Scores'!$B$10:$B$161=$B120)*('3. Enter Indicator Scores'!$C$10:$C$161=$C120),0),
  _xlpm.c, MATCH(AC$8,'3. Enter Indicator Scores'!$D$8:$CZ$8,0),
  _xlpm.v, IFERROR(INDEX('3. Enter Indicator Scores'!$D$10:$CZ$161,_xlpm.r,_xlpm.c),""),
  IF(OR(_xlpm.w="",_xlpm.v=""),"",_xlpm.v*_xlpm.w)
)</f>
        <v/>
      </c>
      <c r="AD120" s="93" t="str" cm="1">
        <f t="array" ref="AD120">_xlfn.LET(
  _xlpm.w, AD$11,
  _xlpm.r, MATCH(1,('3. Enter Indicator Scores'!$B$10:$B$161=$B120)*('3. Enter Indicator Scores'!$C$10:$C$161=$C120),0),
  _xlpm.c, MATCH(AD$8,'3. Enter Indicator Scores'!$D$8:$CZ$8,0),
  _xlpm.v, IFERROR(INDEX('3. Enter Indicator Scores'!$D$10:$CZ$161,_xlpm.r,_xlpm.c),""),
  IF(OR(_xlpm.w="",_xlpm.v=""),"",_xlpm.v*_xlpm.w)
)</f>
        <v/>
      </c>
      <c r="AE120" s="93" t="str" cm="1">
        <f t="array" ref="AE120">_xlfn.LET(
  _xlpm.w, AE$11,
  _xlpm.r, MATCH(1,('3. Enter Indicator Scores'!$B$10:$B$161=$B120)*('3. Enter Indicator Scores'!$C$10:$C$161=$C120),0),
  _xlpm.c, MATCH(AE$8,'3. Enter Indicator Scores'!$D$8:$CZ$8,0),
  _xlpm.v, IFERROR(INDEX('3. Enter Indicator Scores'!$D$10:$CZ$161,_xlpm.r,_xlpm.c),""),
  IF(OR(_xlpm.w="",_xlpm.v=""),"",_xlpm.v*_xlpm.w)
)</f>
        <v/>
      </c>
      <c r="AF120" s="93" t="str" cm="1">
        <f t="array" ref="AF120">_xlfn.LET(
  _xlpm.w, AF$11,
  _xlpm.r, MATCH(1,('3. Enter Indicator Scores'!$B$10:$B$161=$B120)*('3. Enter Indicator Scores'!$C$10:$C$161=$C120),0),
  _xlpm.c, MATCH(AF$8,'3. Enter Indicator Scores'!$D$8:$CZ$8,0),
  _xlpm.v, IFERROR(INDEX('3. Enter Indicator Scores'!$D$10:$CZ$161,_xlpm.r,_xlpm.c),""),
  IF(OR(_xlpm.w="",_xlpm.v=""),"",_xlpm.v*_xlpm.w)
)</f>
        <v/>
      </c>
      <c r="AG120" s="93" t="str" cm="1">
        <f t="array" ref="AG120">_xlfn.LET(
  _xlpm.w, AG$11,
  _xlpm.r, MATCH(1,('3. Enter Indicator Scores'!$B$10:$B$161=$B120)*('3. Enter Indicator Scores'!$C$10:$C$161=$C120),0),
  _xlpm.c, MATCH(AG$8,'3. Enter Indicator Scores'!$D$8:$CZ$8,0),
  _xlpm.v, IFERROR(INDEX('3. Enter Indicator Scores'!$D$10:$CZ$161,_xlpm.r,_xlpm.c),""),
  IF(OR(_xlpm.w="",_xlpm.v=""),"",_xlpm.v*_xlpm.w)
)</f>
        <v/>
      </c>
      <c r="AH120" s="93" t="str" cm="1">
        <f t="array" ref="AH120">_xlfn.LET(
  _xlpm.w, AH$11,
  _xlpm.r, MATCH(1,('3. Enter Indicator Scores'!$B$10:$B$161=$B120)*('3. Enter Indicator Scores'!$C$10:$C$161=$C120),0),
  _xlpm.c, MATCH(AH$8,'3. Enter Indicator Scores'!$D$8:$CZ$8,0),
  _xlpm.v, IFERROR(INDEX('3. Enter Indicator Scores'!$D$10:$CZ$161,_xlpm.r,_xlpm.c),""),
  IF(OR(_xlpm.w="",_xlpm.v=""),"",_xlpm.v*_xlpm.w)
)</f>
        <v/>
      </c>
      <c r="AI120" s="93" t="str" cm="1">
        <f t="array" ref="AI120">_xlfn.LET(
  _xlpm.w, AI$11,
  _xlpm.r, MATCH(1,('3. Enter Indicator Scores'!$B$10:$B$161=$B120)*('3. Enter Indicator Scores'!$C$10:$C$161=$C120),0),
  _xlpm.c, MATCH(AI$8,'3. Enter Indicator Scores'!$D$8:$CZ$8,0),
  _xlpm.v, IFERROR(INDEX('3. Enter Indicator Scores'!$D$10:$CZ$161,_xlpm.r,_xlpm.c),""),
  IF(OR(_xlpm.w="",_xlpm.v=""),"",_xlpm.v*_xlpm.w)
)</f>
        <v/>
      </c>
      <c r="AJ120" s="93" t="str" cm="1">
        <f t="array" ref="AJ120">_xlfn.LET(
  _xlpm.w, AJ$11,
  _xlpm.r, MATCH(1,('3. Enter Indicator Scores'!$B$10:$B$161=$B120)*('3. Enter Indicator Scores'!$C$10:$C$161=$C120),0),
  _xlpm.c, MATCH(AJ$8,'3. Enter Indicator Scores'!$D$8:$CZ$8,0),
  _xlpm.v, IFERROR(INDEX('3. Enter Indicator Scores'!$D$10:$CZ$161,_xlpm.r,_xlpm.c),""),
  IF(OR(_xlpm.w="",_xlpm.v=""),"",_xlpm.v*_xlpm.w)
)</f>
        <v/>
      </c>
      <c r="AK120" s="93" t="str" cm="1">
        <f t="array" ref="AK120">_xlfn.LET(
  _xlpm.w, AK$11,
  _xlpm.r, MATCH(1,('3. Enter Indicator Scores'!$B$10:$B$161=$B120)*('3. Enter Indicator Scores'!$C$10:$C$161=$C120),0),
  _xlpm.c, MATCH(AK$8,'3. Enter Indicator Scores'!$D$8:$CZ$8,0),
  _xlpm.v, IFERROR(INDEX('3. Enter Indicator Scores'!$D$10:$CZ$161,_xlpm.r,_xlpm.c),""),
  IF(OR(_xlpm.w="",_xlpm.v=""),"",_xlpm.v*_xlpm.w)
)</f>
        <v/>
      </c>
      <c r="AL120" s="93" t="str" cm="1">
        <f t="array" ref="AL120">_xlfn.LET(
  _xlpm.w, AL$11,
  _xlpm.r, MATCH(1,('3. Enter Indicator Scores'!$B$10:$B$161=$B120)*('3. Enter Indicator Scores'!$C$10:$C$161=$C120),0),
  _xlpm.c, MATCH(AL$8,'3. Enter Indicator Scores'!$D$8:$CZ$8,0),
  _xlpm.v, IFERROR(INDEX('3. Enter Indicator Scores'!$D$10:$CZ$161,_xlpm.r,_xlpm.c),""),
  IF(OR(_xlpm.w="",_xlpm.v=""),"",_xlpm.v*_xlpm.w)
)</f>
        <v/>
      </c>
      <c r="AM120" s="93" t="str" cm="1">
        <f t="array" ref="AM120">_xlfn.LET(
  _xlpm.w, AM$11,
  _xlpm.r, MATCH(1,('3. Enter Indicator Scores'!$B$10:$B$161=$B120)*('3. Enter Indicator Scores'!$C$10:$C$161=$C120),0),
  _xlpm.c, MATCH(AM$8,'3. Enter Indicator Scores'!$D$8:$CZ$8,0),
  _xlpm.v, IFERROR(INDEX('3. Enter Indicator Scores'!$D$10:$CZ$161,_xlpm.r,_xlpm.c),""),
  IF(OR(_xlpm.w="",_xlpm.v=""),"",_xlpm.v*_xlpm.w)
)</f>
        <v/>
      </c>
      <c r="AN120" s="93" t="str" cm="1">
        <f t="array" ref="AN120">_xlfn.LET(
  _xlpm.w, AN$11,
  _xlpm.r, MATCH(1,('3. Enter Indicator Scores'!$B$10:$B$161=$B120)*('3. Enter Indicator Scores'!$C$10:$C$161=$C120),0),
  _xlpm.c, MATCH(AN$8,'3. Enter Indicator Scores'!$D$8:$CZ$8,0),
  _xlpm.v, IFERROR(INDEX('3. Enter Indicator Scores'!$D$10:$CZ$161,_xlpm.r,_xlpm.c),""),
  IF(OR(_xlpm.w="",_xlpm.v=""),"",_xlpm.v*_xlpm.w)
)</f>
        <v/>
      </c>
      <c r="AO120" s="93" t="str" cm="1">
        <f t="array" ref="AO120">_xlfn.LET(
  _xlpm.w, AO$11,
  _xlpm.r, MATCH(1,('3. Enter Indicator Scores'!$B$10:$B$161=$B120)*('3. Enter Indicator Scores'!$C$10:$C$161=$C120),0),
  _xlpm.c, MATCH(AO$8,'3. Enter Indicator Scores'!$D$8:$CZ$8,0),
  _xlpm.v, IFERROR(INDEX('3. Enter Indicator Scores'!$D$10:$CZ$161,_xlpm.r,_xlpm.c),""),
  IF(OR(_xlpm.w="",_xlpm.v=""),"",_xlpm.v*_xlpm.w)
)</f>
        <v/>
      </c>
      <c r="AP120" s="93" t="str" cm="1">
        <f t="array" ref="AP120">_xlfn.LET(
  _xlpm.w, AP$11,
  _xlpm.r, MATCH(1,('3. Enter Indicator Scores'!$B$10:$B$161=$B120)*('3. Enter Indicator Scores'!$C$10:$C$161=$C120),0),
  _xlpm.c, MATCH(AP$8,'3. Enter Indicator Scores'!$D$8:$CZ$8,0),
  _xlpm.v, IFERROR(INDEX('3. Enter Indicator Scores'!$D$10:$CZ$161,_xlpm.r,_xlpm.c),""),
  IF(OR(_xlpm.w="",_xlpm.v=""),"",_xlpm.v*_xlpm.w)
)</f>
        <v/>
      </c>
      <c r="AQ120" s="93" t="str" cm="1">
        <f t="array" ref="AQ120">_xlfn.LET(
  _xlpm.w, AQ$11,
  _xlpm.r, MATCH(1,('3. Enter Indicator Scores'!$B$10:$B$161=$B120)*('3. Enter Indicator Scores'!$C$10:$C$161=$C120),0),
  _xlpm.c, MATCH(AQ$8,'3. Enter Indicator Scores'!$D$8:$CZ$8,0),
  _xlpm.v, IFERROR(INDEX('3. Enter Indicator Scores'!$D$10:$CZ$161,_xlpm.r,_xlpm.c),""),
  IF(OR(_xlpm.w="",_xlpm.v=""),"",_xlpm.v*_xlpm.w)
)</f>
        <v/>
      </c>
      <c r="AR120" s="93" t="str" cm="1">
        <f t="array" ref="AR120">_xlfn.LET(
  _xlpm.w, AR$11,
  _xlpm.r, MATCH(1,('3. Enter Indicator Scores'!$B$10:$B$161=$B120)*('3. Enter Indicator Scores'!$C$10:$C$161=$C120),0),
  _xlpm.c, MATCH(AR$8,'3. Enter Indicator Scores'!$D$8:$CZ$8,0),
  _xlpm.v, IFERROR(INDEX('3. Enter Indicator Scores'!$D$10:$CZ$161,_xlpm.r,_xlpm.c),""),
  IF(OR(_xlpm.w="",_xlpm.v=""),"",_xlpm.v*_xlpm.w)
)</f>
        <v/>
      </c>
      <c r="AS120" s="93" t="str" cm="1">
        <f t="array" ref="AS120">_xlfn.LET(
  _xlpm.w, AS$11,
  _xlpm.r, MATCH(1,('3. Enter Indicator Scores'!$B$10:$B$161=$B120)*('3. Enter Indicator Scores'!$C$10:$C$161=$C120),0),
  _xlpm.c, MATCH(AS$8,'3. Enter Indicator Scores'!$D$8:$CZ$8,0),
  _xlpm.v, IFERROR(INDEX('3. Enter Indicator Scores'!$D$10:$CZ$161,_xlpm.r,_xlpm.c),""),
  IF(OR(_xlpm.w="",_xlpm.v=""),"",_xlpm.v*_xlpm.w)
)</f>
        <v/>
      </c>
      <c r="AT120" s="93" t="str" cm="1">
        <f t="array" ref="AT120">_xlfn.LET(
  _xlpm.w, AT$11,
  _xlpm.r, MATCH(1,('3. Enter Indicator Scores'!$B$10:$B$161=$B120)*('3. Enter Indicator Scores'!$C$10:$C$161=$C120),0),
  _xlpm.c, MATCH(AT$8,'3. Enter Indicator Scores'!$D$8:$CZ$8,0),
  _xlpm.v, IFERROR(INDEX('3. Enter Indicator Scores'!$D$10:$CZ$161,_xlpm.r,_xlpm.c),""),
  IF(OR(_xlpm.w="",_xlpm.v=""),"",_xlpm.v*_xlpm.w)
)</f>
        <v/>
      </c>
      <c r="AU120" s="93" t="str" cm="1">
        <f t="array" ref="AU120">_xlfn.LET(
  _xlpm.w, AU$11,
  _xlpm.r, MATCH(1,('3. Enter Indicator Scores'!$B$10:$B$161=$B120)*('3. Enter Indicator Scores'!$C$10:$C$161=$C120),0),
  _xlpm.c, MATCH(AU$8,'3. Enter Indicator Scores'!$D$8:$CZ$8,0),
  _xlpm.v, IFERROR(INDEX('3. Enter Indicator Scores'!$D$10:$CZ$161,_xlpm.r,_xlpm.c),""),
  IF(OR(_xlpm.w="",_xlpm.v=""),"",_xlpm.v*_xlpm.w)
)</f>
        <v/>
      </c>
      <c r="AV120" s="93" t="str" cm="1">
        <f t="array" ref="AV120">_xlfn.LET(
  _xlpm.w, AV$11,
  _xlpm.r, MATCH(1,('3. Enter Indicator Scores'!$B$10:$B$161=$B120)*('3. Enter Indicator Scores'!$C$10:$C$161=$C120),0),
  _xlpm.c, MATCH(AV$8,'3. Enter Indicator Scores'!$D$8:$CZ$8,0),
  _xlpm.v, IFERROR(INDEX('3. Enter Indicator Scores'!$D$10:$CZ$161,_xlpm.r,_xlpm.c),""),
  IF(OR(_xlpm.w="",_xlpm.v=""),"",_xlpm.v*_xlpm.w)
)</f>
        <v/>
      </c>
      <c r="AW120" s="93" t="str" cm="1">
        <f t="array" ref="AW120">_xlfn.LET(
  _xlpm.w, AW$11,
  _xlpm.r, MATCH(1,('3. Enter Indicator Scores'!$B$10:$B$161=$B120)*('3. Enter Indicator Scores'!$C$10:$C$161=$C120),0),
  _xlpm.c, MATCH(AW$8,'3. Enter Indicator Scores'!$D$8:$CZ$8,0),
  _xlpm.v, IFERROR(INDEX('3. Enter Indicator Scores'!$D$10:$CZ$161,_xlpm.r,_xlpm.c),""),
  IF(OR(_xlpm.w="",_xlpm.v=""),"",_xlpm.v*_xlpm.w)
)</f>
        <v/>
      </c>
      <c r="AX120" s="93" t="str" cm="1">
        <f t="array" ref="AX120">_xlfn.LET(
  _xlpm.w, AX$11,
  _xlpm.r, MATCH(1,('3. Enter Indicator Scores'!$B$10:$B$161=$B120)*('3. Enter Indicator Scores'!$C$10:$C$161=$C120),0),
  _xlpm.c, MATCH(AX$8,'3. Enter Indicator Scores'!$D$8:$CZ$8,0),
  _xlpm.v, IFERROR(INDEX('3. Enter Indicator Scores'!$D$10:$CZ$161,_xlpm.r,_xlpm.c),""),
  IF(OR(_xlpm.w="",_xlpm.v=""),"",_xlpm.v*_xlpm.w)
)</f>
        <v/>
      </c>
      <c r="AY120" s="93" t="str" cm="1">
        <f t="array" ref="AY120">_xlfn.LET(
  _xlpm.w, AY$11,
  _xlpm.r, MATCH(1,('3. Enter Indicator Scores'!$B$10:$B$161=$B120)*('3. Enter Indicator Scores'!$C$10:$C$161=$C120),0),
  _xlpm.c, MATCH(AY$8,'3. Enter Indicator Scores'!$D$8:$CZ$8,0),
  _xlpm.v, IFERROR(INDEX('3. Enter Indicator Scores'!$D$10:$CZ$161,_xlpm.r,_xlpm.c),""),
  IF(OR(_xlpm.w="",_xlpm.v=""),"",_xlpm.v*_xlpm.w)
)</f>
        <v/>
      </c>
      <c r="AZ120" s="93" t="str" cm="1">
        <f t="array" ref="AZ120">_xlfn.LET(
  _xlpm.w, AZ$11,
  _xlpm.r, MATCH(1,('3. Enter Indicator Scores'!$B$10:$B$161=$B120)*('3. Enter Indicator Scores'!$C$10:$C$161=$C120),0),
  _xlpm.c, MATCH(AZ$8,'3. Enter Indicator Scores'!$D$8:$CZ$8,0),
  _xlpm.v, IFERROR(INDEX('3. Enter Indicator Scores'!$D$10:$CZ$161,_xlpm.r,_xlpm.c),""),
  IF(OR(_xlpm.w="",_xlpm.v=""),"",_xlpm.v*_xlpm.w)
)</f>
        <v/>
      </c>
      <c r="BA120" s="93" t="str" cm="1">
        <f t="array" ref="BA120">_xlfn.LET(
  _xlpm.w, BA$11,
  _xlpm.r, MATCH(1,('3. Enter Indicator Scores'!$B$10:$B$161=$B120)*('3. Enter Indicator Scores'!$C$10:$C$161=$C120),0),
  _xlpm.c, MATCH(BA$8,'3. Enter Indicator Scores'!$D$8:$CZ$8,0),
  _xlpm.v, IFERROR(INDEX('3. Enter Indicator Scores'!$D$10:$CZ$161,_xlpm.r,_xlpm.c),""),
  IF(OR(_xlpm.w="",_xlpm.v=""),"",_xlpm.v*_xlpm.w)
)</f>
        <v/>
      </c>
      <c r="BB120" s="93" t="str" cm="1">
        <f t="array" ref="BB120">_xlfn.LET(
  _xlpm.w, BB$11,
  _xlpm.r, MATCH(1,('3. Enter Indicator Scores'!$B$10:$B$161=$B120)*('3. Enter Indicator Scores'!$C$10:$C$161=$C120),0),
  _xlpm.c, MATCH(BB$8,'3. Enter Indicator Scores'!$D$8:$CZ$8,0),
  _xlpm.v, IFERROR(INDEX('3. Enter Indicator Scores'!$D$10:$CZ$161,_xlpm.r,_xlpm.c),""),
  IF(OR(_xlpm.w="",_xlpm.v=""),"",_xlpm.v*_xlpm.w)
)</f>
        <v/>
      </c>
      <c r="BC120" s="93" t="str" cm="1">
        <f t="array" ref="BC120">_xlfn.LET(
  _xlpm.w, BC$11,
  _xlpm.r, MATCH(1,('3. Enter Indicator Scores'!$B$10:$B$161=$B120)*('3. Enter Indicator Scores'!$C$10:$C$161=$C120),0),
  _xlpm.c, MATCH(BC$8,'3. Enter Indicator Scores'!$D$8:$CZ$8,0),
  _xlpm.v, IFERROR(INDEX('3. Enter Indicator Scores'!$D$10:$CZ$161,_xlpm.r,_xlpm.c),""),
  IF(OR(_xlpm.w="",_xlpm.v=""),"",_xlpm.v*_xlpm.w)
)</f>
        <v/>
      </c>
      <c r="BD120" s="93" t="str" cm="1">
        <f t="array" ref="BD120">_xlfn.LET(
  _xlpm.w, BD$11,
  _xlpm.r, MATCH(1,('3. Enter Indicator Scores'!$B$10:$B$161=$B120)*('3. Enter Indicator Scores'!$C$10:$C$161=$C120),0),
  _xlpm.c, MATCH(BD$8,'3. Enter Indicator Scores'!$D$8:$CZ$8,0),
  _xlpm.v, IFERROR(INDEX('3. Enter Indicator Scores'!$D$10:$CZ$161,_xlpm.r,_xlpm.c),""),
  IF(OR(_xlpm.w="",_xlpm.v=""),"",_xlpm.v*_xlpm.w)
)</f>
        <v/>
      </c>
      <c r="BE120" s="93" t="str" cm="1">
        <f t="array" ref="BE120">_xlfn.LET(
  _xlpm.w, BE$11,
  _xlpm.r, MATCH(1,('3. Enter Indicator Scores'!$B$10:$B$161=$B120)*('3. Enter Indicator Scores'!$C$10:$C$161=$C120),0),
  _xlpm.c, MATCH(BE$8,'3. Enter Indicator Scores'!$D$8:$CZ$8,0),
  _xlpm.v, IFERROR(INDEX('3. Enter Indicator Scores'!$D$10:$CZ$161,_xlpm.r,_xlpm.c),""),
  IF(OR(_xlpm.w="",_xlpm.v=""),"",_xlpm.v*_xlpm.w)
)</f>
        <v/>
      </c>
      <c r="BF120" s="93" t="str" cm="1">
        <f t="array" ref="BF120">_xlfn.LET(
  _xlpm.w, BF$11,
  _xlpm.r, MATCH(1,('3. Enter Indicator Scores'!$B$10:$B$161=$B120)*('3. Enter Indicator Scores'!$C$10:$C$161=$C120),0),
  _xlpm.c, MATCH(BF$8,'3. Enter Indicator Scores'!$D$8:$CZ$8,0),
  _xlpm.v, IFERROR(INDEX('3. Enter Indicator Scores'!$D$10:$CZ$161,_xlpm.r,_xlpm.c),""),
  IF(OR(_xlpm.w="",_xlpm.v=""),"",_xlpm.v*_xlpm.w)
)</f>
        <v/>
      </c>
      <c r="BG120" s="93" t="str" cm="1">
        <f t="array" ref="BG120">_xlfn.LET(
  _xlpm.w, BG$11,
  _xlpm.r, MATCH(1,('3. Enter Indicator Scores'!$B$10:$B$161=$B120)*('3. Enter Indicator Scores'!$C$10:$C$161=$C120),0),
  _xlpm.c, MATCH(BG$8,'3. Enter Indicator Scores'!$D$8:$CZ$8,0),
  _xlpm.v, IFERROR(INDEX('3. Enter Indicator Scores'!$D$10:$CZ$161,_xlpm.r,_xlpm.c),""),
  IF(OR(_xlpm.w="",_xlpm.v=""),"",_xlpm.v*_xlpm.w)
)</f>
        <v/>
      </c>
      <c r="BH120" s="93" t="str" cm="1">
        <f t="array" ref="BH120">_xlfn.LET(
  _xlpm.w, BH$11,
  _xlpm.r, MATCH(1,('3. Enter Indicator Scores'!$B$10:$B$161=$B120)*('3. Enter Indicator Scores'!$C$10:$C$161=$C120),0),
  _xlpm.c, MATCH(BH$8,'3. Enter Indicator Scores'!$D$8:$CZ$8,0),
  _xlpm.v, IFERROR(INDEX('3. Enter Indicator Scores'!$D$10:$CZ$161,_xlpm.r,_xlpm.c),""),
  IF(OR(_xlpm.w="",_xlpm.v=""),"",_xlpm.v*_xlpm.w)
)</f>
        <v/>
      </c>
      <c r="BI120" s="93" t="str" cm="1">
        <f t="array" ref="BI120">_xlfn.LET(
  _xlpm.w, BI$11,
  _xlpm.r, MATCH(1,('3. Enter Indicator Scores'!$B$10:$B$161=$B120)*('3. Enter Indicator Scores'!$C$10:$C$161=$C120),0),
  _xlpm.c, MATCH(BI$8,'3. Enter Indicator Scores'!$D$8:$CZ$8,0),
  _xlpm.v, IFERROR(INDEX('3. Enter Indicator Scores'!$D$10:$CZ$161,_xlpm.r,_xlpm.c),""),
  IF(OR(_xlpm.w="",_xlpm.v=""),"",_xlpm.v*_xlpm.w)
)</f>
        <v/>
      </c>
      <c r="BJ120" s="93" t="str" cm="1">
        <f t="array" ref="BJ120">_xlfn.LET(
  _xlpm.w, BJ$11,
  _xlpm.r, MATCH(1,('3. Enter Indicator Scores'!$B$10:$B$161=$B120)*('3. Enter Indicator Scores'!$C$10:$C$161=$C120),0),
  _xlpm.c, MATCH(BJ$8,'3. Enter Indicator Scores'!$D$8:$CZ$8,0),
  _xlpm.v, IFERROR(INDEX('3. Enter Indicator Scores'!$D$10:$CZ$161,_xlpm.r,_xlpm.c),""),
  IF(OR(_xlpm.w="",_xlpm.v=""),"",_xlpm.v*_xlpm.w)
)</f>
        <v/>
      </c>
      <c r="BK120" s="93" t="str" cm="1">
        <f t="array" ref="BK120">_xlfn.LET(
  _xlpm.w, BK$11,
  _xlpm.r, MATCH(1,('3. Enter Indicator Scores'!$B$10:$B$161=$B120)*('3. Enter Indicator Scores'!$C$10:$C$161=$C120),0),
  _xlpm.c, MATCH(BK$8,'3. Enter Indicator Scores'!$D$8:$CZ$8,0),
  _xlpm.v, IFERROR(INDEX('3. Enter Indicator Scores'!$D$10:$CZ$161,_xlpm.r,_xlpm.c),""),
  IF(OR(_xlpm.w="",_xlpm.v=""),"",_xlpm.v*_xlpm.w)
)</f>
        <v/>
      </c>
      <c r="BL120" s="93" t="str" cm="1">
        <f t="array" ref="BL120">_xlfn.LET(
  _xlpm.w, BL$11,
  _xlpm.r, MATCH(1,('3. Enter Indicator Scores'!$B$10:$B$161=$B120)*('3. Enter Indicator Scores'!$C$10:$C$161=$C120),0),
  _xlpm.c, MATCH(BL$8,'3. Enter Indicator Scores'!$D$8:$CZ$8,0),
  _xlpm.v, IFERROR(INDEX('3. Enter Indicator Scores'!$D$10:$CZ$161,_xlpm.r,_xlpm.c),""),
  IF(OR(_xlpm.w="",_xlpm.v=""),"",_xlpm.v*_xlpm.w)
)</f>
        <v/>
      </c>
      <c r="BM120" s="93" t="str" cm="1">
        <f t="array" ref="BM120">_xlfn.LET(
  _xlpm.w, BM$11,
  _xlpm.r, MATCH(1,('3. Enter Indicator Scores'!$B$10:$B$161=$B120)*('3. Enter Indicator Scores'!$C$10:$C$161=$C120),0),
  _xlpm.c, MATCH(BM$8,'3. Enter Indicator Scores'!$D$8:$CZ$8,0),
  _xlpm.v, IFERROR(INDEX('3. Enter Indicator Scores'!$D$10:$CZ$161,_xlpm.r,_xlpm.c),""),
  IF(OR(_xlpm.w="",_xlpm.v=""),"",_xlpm.v*_xlpm.w)
)</f>
        <v/>
      </c>
      <c r="BN120" s="93" t="str" cm="1">
        <f t="array" ref="BN120">_xlfn.LET(
  _xlpm.w, BN$11,
  _xlpm.r, MATCH(1,('3. Enter Indicator Scores'!$B$10:$B$161=$B120)*('3. Enter Indicator Scores'!$C$10:$C$161=$C120),0),
  _xlpm.c, MATCH(BN$8,'3. Enter Indicator Scores'!$D$8:$CZ$8,0),
  _xlpm.v, IFERROR(INDEX('3. Enter Indicator Scores'!$D$10:$CZ$161,_xlpm.r,_xlpm.c),""),
  IF(OR(_xlpm.w="",_xlpm.v=""),"",_xlpm.v*_xlpm.w)
)</f>
        <v/>
      </c>
      <c r="BO120" s="93" t="str" cm="1">
        <f t="array" ref="BO120">_xlfn.LET(
  _xlpm.w, BO$11,
  _xlpm.r, MATCH(1,('3. Enter Indicator Scores'!$B$10:$B$161=$B120)*('3. Enter Indicator Scores'!$C$10:$C$161=$C120),0),
  _xlpm.c, MATCH(BO$8,'3. Enter Indicator Scores'!$D$8:$CZ$8,0),
  _xlpm.v, IFERROR(INDEX('3. Enter Indicator Scores'!$D$10:$CZ$161,_xlpm.r,_xlpm.c),""),
  IF(OR(_xlpm.w="",_xlpm.v=""),"",_xlpm.v*_xlpm.w)
)</f>
        <v/>
      </c>
      <c r="BP120" s="93" t="str" cm="1">
        <f t="array" ref="BP120">_xlfn.LET(
  _xlpm.w, BP$11,
  _xlpm.r, MATCH(1,('3. Enter Indicator Scores'!$B$10:$B$161=$B120)*('3. Enter Indicator Scores'!$C$10:$C$161=$C120),0),
  _xlpm.c, MATCH(BP$8,'3. Enter Indicator Scores'!$D$8:$CZ$8,0),
  _xlpm.v, IFERROR(INDEX('3. Enter Indicator Scores'!$D$10:$CZ$161,_xlpm.r,_xlpm.c),""),
  IF(OR(_xlpm.w="",_xlpm.v=""),"",_xlpm.v*_xlpm.w)
)</f>
        <v/>
      </c>
      <c r="BQ120" s="93" t="str" cm="1">
        <f t="array" ref="BQ120">_xlfn.LET(
  _xlpm.w, BQ$11,
  _xlpm.r, MATCH(1,('3. Enter Indicator Scores'!$B$10:$B$161=$B120)*('3. Enter Indicator Scores'!$C$10:$C$161=$C120),0),
  _xlpm.c, MATCH(BQ$8,'3. Enter Indicator Scores'!$D$8:$CZ$8,0),
  _xlpm.v, IFERROR(INDEX('3. Enter Indicator Scores'!$D$10:$CZ$161,_xlpm.r,_xlpm.c),""),
  IF(OR(_xlpm.w="",_xlpm.v=""),"",_xlpm.v*_xlpm.w)
)</f>
        <v/>
      </c>
      <c r="BR120" s="93" t="str" cm="1">
        <f t="array" ref="BR120">_xlfn.LET(
  _xlpm.w, BR$11,
  _xlpm.r, MATCH(1,('3. Enter Indicator Scores'!$B$10:$B$161=$B120)*('3. Enter Indicator Scores'!$C$10:$C$161=$C120),0),
  _xlpm.c, MATCH(BR$8,'3. Enter Indicator Scores'!$D$8:$CZ$8,0),
  _xlpm.v, IFERROR(INDEX('3. Enter Indicator Scores'!$D$10:$CZ$161,_xlpm.r,_xlpm.c),""),
  IF(OR(_xlpm.w="",_xlpm.v=""),"",_xlpm.v*_xlpm.w)
)</f>
        <v/>
      </c>
      <c r="BS120" s="93" t="str" cm="1">
        <f t="array" ref="BS120">_xlfn.LET(
  _xlpm.w, BS$11,
  _xlpm.r, MATCH(1,('3. Enter Indicator Scores'!$B$10:$B$161=$B120)*('3. Enter Indicator Scores'!$C$10:$C$161=$C120),0),
  _xlpm.c, MATCH(BS$8,'3. Enter Indicator Scores'!$D$8:$CZ$8,0),
  _xlpm.v, IFERROR(INDEX('3. Enter Indicator Scores'!$D$10:$CZ$161,_xlpm.r,_xlpm.c),""),
  IF(OR(_xlpm.w="",_xlpm.v=""),"",_xlpm.v*_xlpm.w)
)</f>
        <v/>
      </c>
      <c r="BT120" s="93" t="str" cm="1">
        <f t="array" ref="BT120">_xlfn.LET(
  _xlpm.w, BT$11,
  _xlpm.r, MATCH(1,('3. Enter Indicator Scores'!$B$10:$B$161=$B120)*('3. Enter Indicator Scores'!$C$10:$C$161=$C120),0),
  _xlpm.c, MATCH(BT$8,'3. Enter Indicator Scores'!$D$8:$CZ$8,0),
  _xlpm.v, IFERROR(INDEX('3. Enter Indicator Scores'!$D$10:$CZ$161,_xlpm.r,_xlpm.c),""),
  IF(OR(_xlpm.w="",_xlpm.v=""),"",_xlpm.v*_xlpm.w)
)</f>
        <v/>
      </c>
      <c r="BU120" s="93" t="str" cm="1">
        <f t="array" ref="BU120">_xlfn.LET(
  _xlpm.w, BU$11,
  _xlpm.r, MATCH(1,('3. Enter Indicator Scores'!$B$10:$B$161=$B120)*('3. Enter Indicator Scores'!$C$10:$C$161=$C120),0),
  _xlpm.c, MATCH(BU$8,'3. Enter Indicator Scores'!$D$8:$CZ$8,0),
  _xlpm.v, IFERROR(INDEX('3. Enter Indicator Scores'!$D$10:$CZ$161,_xlpm.r,_xlpm.c),""),
  IF(OR(_xlpm.w="",_xlpm.v=""),"",_xlpm.v*_xlpm.w)
)</f>
        <v/>
      </c>
      <c r="BV120" s="93" t="str" cm="1">
        <f t="array" ref="BV120">_xlfn.LET(
  _xlpm.w, BV$11,
  _xlpm.r, MATCH(1,('3. Enter Indicator Scores'!$B$10:$B$161=$B120)*('3. Enter Indicator Scores'!$C$10:$C$161=$C120),0),
  _xlpm.c, MATCH(BV$8,'3. Enter Indicator Scores'!$D$8:$CZ$8,0),
  _xlpm.v, IFERROR(INDEX('3. Enter Indicator Scores'!$D$10:$CZ$161,_xlpm.r,_xlpm.c),""),
  IF(OR(_xlpm.w="",_xlpm.v=""),"",_xlpm.v*_xlpm.w)
)</f>
        <v/>
      </c>
      <c r="BW120" s="93" t="str" cm="1">
        <f t="array" ref="BW120">_xlfn.LET(
  _xlpm.w, BW$11,
  _xlpm.r, MATCH(1,('3. Enter Indicator Scores'!$B$10:$B$161=$B120)*('3. Enter Indicator Scores'!$C$10:$C$161=$C120),0),
  _xlpm.c, MATCH(BW$8,'3. Enter Indicator Scores'!$D$8:$CZ$8,0),
  _xlpm.v, IFERROR(INDEX('3. Enter Indicator Scores'!$D$10:$CZ$161,_xlpm.r,_xlpm.c),""),
  IF(OR(_xlpm.w="",_xlpm.v=""),"",_xlpm.v*_xlpm.w)
)</f>
        <v/>
      </c>
      <c r="BX120" s="93" t="str" cm="1">
        <f t="array" ref="BX120">_xlfn.LET(
  _xlpm.w, BX$11,
  _xlpm.r, MATCH(1,('3. Enter Indicator Scores'!$B$10:$B$161=$B120)*('3. Enter Indicator Scores'!$C$10:$C$161=$C120),0),
  _xlpm.c, MATCH(BX$8,'3. Enter Indicator Scores'!$D$8:$CZ$8,0),
  _xlpm.v, IFERROR(INDEX('3. Enter Indicator Scores'!$D$10:$CZ$161,_xlpm.r,_xlpm.c),""),
  IF(OR(_xlpm.w="",_xlpm.v=""),"",_xlpm.v*_xlpm.w)
)</f>
        <v/>
      </c>
      <c r="BY120" s="93" t="str" cm="1">
        <f t="array" ref="BY120">_xlfn.LET(
  _xlpm.w, BY$11,
  _xlpm.r, MATCH(1,('3. Enter Indicator Scores'!$B$10:$B$161=$B120)*('3. Enter Indicator Scores'!$C$10:$C$161=$C120),0),
  _xlpm.c, MATCH(BY$8,'3. Enter Indicator Scores'!$D$8:$CZ$8,0),
  _xlpm.v, IFERROR(INDEX('3. Enter Indicator Scores'!$D$10:$CZ$161,_xlpm.r,_xlpm.c),""),
  IF(OR(_xlpm.w="",_xlpm.v=""),"",_xlpm.v*_xlpm.w)
)</f>
        <v/>
      </c>
      <c r="BZ120" s="93" t="str" cm="1">
        <f t="array" ref="BZ120">_xlfn.LET(
  _xlpm.w, BZ$11,
  _xlpm.r, MATCH(1,('3. Enter Indicator Scores'!$B$10:$B$161=$B120)*('3. Enter Indicator Scores'!$C$10:$C$161=$C120),0),
  _xlpm.c, MATCH(BZ$8,'3. Enter Indicator Scores'!$D$8:$CZ$8,0),
  _xlpm.v, IFERROR(INDEX('3. Enter Indicator Scores'!$D$10:$CZ$161,_xlpm.r,_xlpm.c),""),
  IF(OR(_xlpm.w="",_xlpm.v=""),"",_xlpm.v*_xlpm.w)
)</f>
        <v/>
      </c>
      <c r="CA120" s="93" t="str" cm="1">
        <f t="array" ref="CA120">_xlfn.LET(
  _xlpm.w, CA$11,
  _xlpm.r, MATCH(1,('3. Enter Indicator Scores'!$B$10:$B$161=$B120)*('3. Enter Indicator Scores'!$C$10:$C$161=$C120),0),
  _xlpm.c, MATCH(CA$8,'3. Enter Indicator Scores'!$D$8:$CZ$8,0),
  _xlpm.v, IFERROR(INDEX('3. Enter Indicator Scores'!$D$10:$CZ$161,_xlpm.r,_xlpm.c),""),
  IF(OR(_xlpm.w="",_xlpm.v=""),"",_xlpm.v*_xlpm.w)
)</f>
        <v/>
      </c>
      <c r="CB120" s="93" t="str" cm="1">
        <f t="array" ref="CB120">_xlfn.LET(
  _xlpm.w, CB$11,
  _xlpm.r, MATCH(1,('3. Enter Indicator Scores'!$B$10:$B$161=$B120)*('3. Enter Indicator Scores'!$C$10:$C$161=$C120),0),
  _xlpm.c, MATCH(CB$8,'3. Enter Indicator Scores'!$D$8:$CZ$8,0),
  _xlpm.v, IFERROR(INDEX('3. Enter Indicator Scores'!$D$10:$CZ$161,_xlpm.r,_xlpm.c),""),
  IF(OR(_xlpm.w="",_xlpm.v=""),"",_xlpm.v*_xlpm.w)
)</f>
        <v/>
      </c>
      <c r="CC120" s="93" t="str" cm="1">
        <f t="array" ref="CC120">_xlfn.LET(
  _xlpm.w, CC$11,
  _xlpm.r, MATCH(1,('3. Enter Indicator Scores'!$B$10:$B$161=$B120)*('3. Enter Indicator Scores'!$C$10:$C$161=$C120),0),
  _xlpm.c, MATCH(CC$8,'3. Enter Indicator Scores'!$D$8:$CZ$8,0),
  _xlpm.v, IFERROR(INDEX('3. Enter Indicator Scores'!$D$10:$CZ$161,_xlpm.r,_xlpm.c),""),
  IF(OR(_xlpm.w="",_xlpm.v=""),"",_xlpm.v*_xlpm.w)
)</f>
        <v/>
      </c>
      <c r="CD120" s="93" t="str" cm="1">
        <f t="array" ref="CD120">_xlfn.LET(
  _xlpm.w, CD$11,
  _xlpm.r, MATCH(1,('3. Enter Indicator Scores'!$B$10:$B$161=$B120)*('3. Enter Indicator Scores'!$C$10:$C$161=$C120),0),
  _xlpm.c, MATCH(CD$8,'3. Enter Indicator Scores'!$D$8:$CZ$8,0),
  _xlpm.v, IFERROR(INDEX('3. Enter Indicator Scores'!$D$10:$CZ$161,_xlpm.r,_xlpm.c),""),
  IF(OR(_xlpm.w="",_xlpm.v=""),"",_xlpm.v*_xlpm.w)
)</f>
        <v/>
      </c>
      <c r="CE120" s="93" t="str" cm="1">
        <f t="array" ref="CE120">_xlfn.LET(
  _xlpm.w, CE$11,
  _xlpm.r, MATCH(1,('3. Enter Indicator Scores'!$B$10:$B$161=$B120)*('3. Enter Indicator Scores'!$C$10:$C$161=$C120),0),
  _xlpm.c, MATCH(CE$8,'3. Enter Indicator Scores'!$D$8:$CZ$8,0),
  _xlpm.v, IFERROR(INDEX('3. Enter Indicator Scores'!$D$10:$CZ$161,_xlpm.r,_xlpm.c),""),
  IF(OR(_xlpm.w="",_xlpm.v=""),"",_xlpm.v*_xlpm.w)
)</f>
        <v/>
      </c>
      <c r="CF120" s="93" t="str" cm="1">
        <f t="array" ref="CF120">_xlfn.LET(
  _xlpm.w, CF$11,
  _xlpm.r, MATCH(1,('3. Enter Indicator Scores'!$B$10:$B$161=$B120)*('3. Enter Indicator Scores'!$C$10:$C$161=$C120),0),
  _xlpm.c, MATCH(CF$8,'3. Enter Indicator Scores'!$D$8:$CZ$8,0),
  _xlpm.v, IFERROR(INDEX('3. Enter Indicator Scores'!$D$10:$CZ$161,_xlpm.r,_xlpm.c),""),
  IF(OR(_xlpm.w="",_xlpm.v=""),"",_xlpm.v*_xlpm.w)
)</f>
        <v/>
      </c>
      <c r="CG120" s="93" t="str" cm="1">
        <f t="array" ref="CG120">_xlfn.LET(
  _xlpm.w, CG$11,
  _xlpm.r, MATCH(1,('3. Enter Indicator Scores'!$B$10:$B$161=$B120)*('3. Enter Indicator Scores'!$C$10:$C$161=$C120),0),
  _xlpm.c, MATCH(CG$8,'3. Enter Indicator Scores'!$D$8:$CZ$8,0),
  _xlpm.v, IFERROR(INDEX('3. Enter Indicator Scores'!$D$10:$CZ$161,_xlpm.r,_xlpm.c),""),
  IF(OR(_xlpm.w="",_xlpm.v=""),"",_xlpm.v*_xlpm.w)
)</f>
        <v/>
      </c>
      <c r="CH120" s="93" t="str" cm="1">
        <f t="array" ref="CH120">_xlfn.LET(
  _xlpm.w, CH$11,
  _xlpm.r, MATCH(1,('3. Enter Indicator Scores'!$B$10:$B$161=$B120)*('3. Enter Indicator Scores'!$C$10:$C$161=$C120),0),
  _xlpm.c, MATCH(CH$8,'3. Enter Indicator Scores'!$D$8:$CZ$8,0),
  _xlpm.v, IFERROR(INDEX('3. Enter Indicator Scores'!$D$10:$CZ$161,_xlpm.r,_xlpm.c),""),
  IF(OR(_xlpm.w="",_xlpm.v=""),"",_xlpm.v*_xlpm.w)
)</f>
        <v/>
      </c>
      <c r="CI120" s="93" t="str" cm="1">
        <f t="array" ref="CI120">_xlfn.LET(
  _xlpm.w, CI$11,
  _xlpm.r, MATCH(1,('3. Enter Indicator Scores'!$B$10:$B$161=$B120)*('3. Enter Indicator Scores'!$C$10:$C$161=$C120),0),
  _xlpm.c, MATCH(CI$8,'3. Enter Indicator Scores'!$D$8:$CZ$8,0),
  _xlpm.v, IFERROR(INDEX('3. Enter Indicator Scores'!$D$10:$CZ$161,_xlpm.r,_xlpm.c),""),
  IF(OR(_xlpm.w="",_xlpm.v=""),"",_xlpm.v*_xlpm.w)
)</f>
        <v/>
      </c>
      <c r="CJ120" s="93" t="str" cm="1">
        <f t="array" ref="CJ120">_xlfn.LET(
  _xlpm.w, CJ$11,
  _xlpm.r, MATCH(1,('3. Enter Indicator Scores'!$B$10:$B$161=$B120)*('3. Enter Indicator Scores'!$C$10:$C$161=$C120),0),
  _xlpm.c, MATCH(CJ$8,'3. Enter Indicator Scores'!$D$8:$CZ$8,0),
  _xlpm.v, IFERROR(INDEX('3. Enter Indicator Scores'!$D$10:$CZ$161,_xlpm.r,_xlpm.c),""),
  IF(OR(_xlpm.w="",_xlpm.v=""),"",_xlpm.v*_xlpm.w)
)</f>
        <v/>
      </c>
      <c r="CK120" s="93" t="str" cm="1">
        <f t="array" ref="CK120">_xlfn.LET(
  _xlpm.w, CK$11,
  _xlpm.r, MATCH(1,('3. Enter Indicator Scores'!$B$10:$B$161=$B120)*('3. Enter Indicator Scores'!$C$10:$C$161=$C120),0),
  _xlpm.c, MATCH(CK$8,'3. Enter Indicator Scores'!$D$8:$CZ$8,0),
  _xlpm.v, IFERROR(INDEX('3. Enter Indicator Scores'!$D$10:$CZ$161,_xlpm.r,_xlpm.c),""),
  IF(OR(_xlpm.w="",_xlpm.v=""),"",_xlpm.v*_xlpm.w)
)</f>
        <v/>
      </c>
      <c r="CL120" s="93" t="str" cm="1">
        <f t="array" ref="CL120">_xlfn.LET(
  _xlpm.w, CL$11,
  _xlpm.r, MATCH(1,('3. Enter Indicator Scores'!$B$10:$B$161=$B120)*('3. Enter Indicator Scores'!$C$10:$C$161=$C120),0),
  _xlpm.c, MATCH(CL$8,'3. Enter Indicator Scores'!$D$8:$CZ$8,0),
  _xlpm.v, IFERROR(INDEX('3. Enter Indicator Scores'!$D$10:$CZ$161,_xlpm.r,_xlpm.c),""),
  IF(OR(_xlpm.w="",_xlpm.v=""),"",_xlpm.v*_xlpm.w)
)</f>
        <v/>
      </c>
      <c r="CM120" s="93" t="str" cm="1">
        <f t="array" ref="CM120">_xlfn.LET(
  _xlpm.w, CM$11,
  _xlpm.r, MATCH(1,('3. Enter Indicator Scores'!$B$10:$B$161=$B120)*('3. Enter Indicator Scores'!$C$10:$C$161=$C120),0),
  _xlpm.c, MATCH(CM$8,'3. Enter Indicator Scores'!$D$8:$CZ$8,0),
  _xlpm.v, IFERROR(INDEX('3. Enter Indicator Scores'!$D$10:$CZ$161,_xlpm.r,_xlpm.c),""),
  IF(OR(_xlpm.w="",_xlpm.v=""),"",_xlpm.v*_xlpm.w)
)</f>
        <v/>
      </c>
      <c r="CN120" s="93" t="str" cm="1">
        <f t="array" ref="CN120">_xlfn.LET(
  _xlpm.w, CN$11,
  _xlpm.r, MATCH(1,('3. Enter Indicator Scores'!$B$10:$B$161=$B120)*('3. Enter Indicator Scores'!$C$10:$C$161=$C120),0),
  _xlpm.c, MATCH(CN$8,'3. Enter Indicator Scores'!$D$8:$CZ$8,0),
  _xlpm.v, IFERROR(INDEX('3. Enter Indicator Scores'!$D$10:$CZ$161,_xlpm.r,_xlpm.c),""),
  IF(OR(_xlpm.w="",_xlpm.v=""),"",_xlpm.v*_xlpm.w)
)</f>
        <v/>
      </c>
      <c r="CO120" s="93" t="str" cm="1">
        <f t="array" ref="CO120">_xlfn.LET(
  _xlpm.w, CO$11,
  _xlpm.r, MATCH(1,('3. Enter Indicator Scores'!$B$10:$B$161=$B120)*('3. Enter Indicator Scores'!$C$10:$C$161=$C120),0),
  _xlpm.c, MATCH(CO$8,'3. Enter Indicator Scores'!$D$8:$CZ$8,0),
  _xlpm.v, IFERROR(INDEX('3. Enter Indicator Scores'!$D$10:$CZ$161,_xlpm.r,_xlpm.c),""),
  IF(OR(_xlpm.w="",_xlpm.v=""),"",_xlpm.v*_xlpm.w)
)</f>
        <v/>
      </c>
      <c r="CP120" s="93" t="str" cm="1">
        <f t="array" ref="CP120">_xlfn.LET(
  _xlpm.w, CP$11,
  _xlpm.r, MATCH(1,('3. Enter Indicator Scores'!$B$10:$B$161=$B120)*('3. Enter Indicator Scores'!$C$10:$C$161=$C120),0),
  _xlpm.c, MATCH(CP$8,'3. Enter Indicator Scores'!$D$8:$CZ$8,0),
  _xlpm.v, IFERROR(INDEX('3. Enter Indicator Scores'!$D$10:$CZ$161,_xlpm.r,_xlpm.c),""),
  IF(OR(_xlpm.w="",_xlpm.v=""),"",_xlpm.v*_xlpm.w)
)</f>
        <v/>
      </c>
      <c r="CQ120" s="93" t="str" cm="1">
        <f t="array" ref="CQ120">_xlfn.LET(
  _xlpm.w, CQ$11,
  _xlpm.r, MATCH(1,('3. Enter Indicator Scores'!$B$10:$B$161=$B120)*('3. Enter Indicator Scores'!$C$10:$C$161=$C120),0),
  _xlpm.c, MATCH(CQ$8,'3. Enter Indicator Scores'!$D$8:$CZ$8,0),
  _xlpm.v, IFERROR(INDEX('3. Enter Indicator Scores'!$D$10:$CZ$161,_xlpm.r,_xlpm.c),""),
  IF(OR(_xlpm.w="",_xlpm.v=""),"",_xlpm.v*_xlpm.w)
)</f>
        <v/>
      </c>
      <c r="CR120" s="93" t="str" cm="1">
        <f t="array" ref="CR120">_xlfn.LET(
  _xlpm.w, CR$11,
  _xlpm.r, MATCH(1,('3. Enter Indicator Scores'!$B$10:$B$161=$B120)*('3. Enter Indicator Scores'!$C$10:$C$161=$C120),0),
  _xlpm.c, MATCH(CR$8,'3. Enter Indicator Scores'!$D$8:$CZ$8,0),
  _xlpm.v, IFERROR(INDEX('3. Enter Indicator Scores'!$D$10:$CZ$161,_xlpm.r,_xlpm.c),""),
  IF(OR(_xlpm.w="",_xlpm.v=""),"",_xlpm.v*_xlpm.w)
)</f>
        <v/>
      </c>
      <c r="CS120" s="93" t="str" cm="1">
        <f t="array" ref="CS120">_xlfn.LET(
  _xlpm.w, CS$11,
  _xlpm.r, MATCH(1,('3. Enter Indicator Scores'!$B$10:$B$161=$B120)*('3. Enter Indicator Scores'!$C$10:$C$161=$C120),0),
  _xlpm.c, MATCH(CS$8,'3. Enter Indicator Scores'!$D$8:$CZ$8,0),
  _xlpm.v, IFERROR(INDEX('3. Enter Indicator Scores'!$D$10:$CZ$161,_xlpm.r,_xlpm.c),""),
  IF(OR(_xlpm.w="",_xlpm.v=""),"",_xlpm.v*_xlpm.w)
)</f>
        <v/>
      </c>
      <c r="CT120" s="93" t="str" cm="1">
        <f t="array" ref="CT120">_xlfn.LET(
  _xlpm.w, CT$11,
  _xlpm.r, MATCH(1,('3. Enter Indicator Scores'!$B$10:$B$161=$B120)*('3. Enter Indicator Scores'!$C$10:$C$161=$C120),0),
  _xlpm.c, MATCH(CT$8,'3. Enter Indicator Scores'!$D$8:$CZ$8,0),
  _xlpm.v, IFERROR(INDEX('3. Enter Indicator Scores'!$D$10:$CZ$161,_xlpm.r,_xlpm.c),""),
  IF(OR(_xlpm.w="",_xlpm.v=""),"",_xlpm.v*_xlpm.w)
)</f>
        <v/>
      </c>
      <c r="CU120" s="93" t="str" cm="1">
        <f t="array" ref="CU120">_xlfn.LET(
  _xlpm.w, CU$11,
  _xlpm.r, MATCH(1,('3. Enter Indicator Scores'!$B$10:$B$161=$B120)*('3. Enter Indicator Scores'!$C$10:$C$161=$C120),0),
  _xlpm.c, MATCH(CU$8,'3. Enter Indicator Scores'!$D$8:$CZ$8,0),
  _xlpm.v, IFERROR(INDEX('3. Enter Indicator Scores'!$D$10:$CZ$161,_xlpm.r,_xlpm.c),""),
  IF(OR(_xlpm.w="",_xlpm.v=""),"",_xlpm.v*_xlpm.w)
)</f>
        <v/>
      </c>
      <c r="CV120" s="93" t="str" cm="1">
        <f t="array" ref="CV120">_xlfn.LET(
  _xlpm.w, CV$11,
  _xlpm.r, MATCH(1,('3. Enter Indicator Scores'!$B$10:$B$161=$B120)*('3. Enter Indicator Scores'!$C$10:$C$161=$C120),0),
  _xlpm.c, MATCH(CV$8,'3. Enter Indicator Scores'!$D$8:$CZ$8,0),
  _xlpm.v, IFERROR(INDEX('3. Enter Indicator Scores'!$D$10:$CZ$161,_xlpm.r,_xlpm.c),""),
  IF(OR(_xlpm.w="",_xlpm.v=""),"",_xlpm.v*_xlpm.w)
)</f>
        <v/>
      </c>
      <c r="CW120" s="93" t="str" cm="1">
        <f t="array" ref="CW120">_xlfn.LET(
  _xlpm.w, CW$11,
  _xlpm.r, MATCH(1,('3. Enter Indicator Scores'!$B$10:$B$161=$B120)*('3. Enter Indicator Scores'!$C$10:$C$161=$C120),0),
  _xlpm.c, MATCH(CW$8,'3. Enter Indicator Scores'!$D$8:$CZ$8,0),
  _xlpm.v, IFERROR(INDEX('3. Enter Indicator Scores'!$D$10:$CZ$161,_xlpm.r,_xlpm.c),""),
  IF(OR(_xlpm.w="",_xlpm.v=""),"",_xlpm.v*_xlpm.w)
)</f>
        <v/>
      </c>
      <c r="CX120" s="93" t="str" cm="1">
        <f t="array" ref="CX120">_xlfn.LET(
  _xlpm.w, CX$11,
  _xlpm.r, MATCH(1,('3. Enter Indicator Scores'!$B$10:$B$161=$B120)*('3. Enter Indicator Scores'!$C$10:$C$161=$C120),0),
  _xlpm.c, MATCH(CX$8,'3. Enter Indicator Scores'!$D$8:$CZ$8,0),
  _xlpm.v, IFERROR(INDEX('3. Enter Indicator Scores'!$D$10:$CZ$161,_xlpm.r,_xlpm.c),""),
  IF(OR(_xlpm.w="",_xlpm.v=""),"",_xlpm.v*_xlpm.w)
)</f>
        <v/>
      </c>
      <c r="CY120" s="93" t="str" cm="1">
        <f t="array" ref="CY120">_xlfn.LET(
  _xlpm.w, CY$11,
  _xlpm.r, MATCH(1,('3. Enter Indicator Scores'!$B$10:$B$161=$B120)*('3. Enter Indicator Scores'!$C$10:$C$161=$C120),0),
  _xlpm.c, MATCH(CY$8,'3. Enter Indicator Scores'!$D$8:$CZ$8,0),
  _xlpm.v, IFERROR(INDEX('3. Enter Indicator Scores'!$D$10:$CZ$161,_xlpm.r,_xlpm.c),""),
  IF(OR(_xlpm.w="",_xlpm.v=""),"",_xlpm.v*_xlpm.w)
)</f>
        <v/>
      </c>
      <c r="CZ120" s="93" t="str" cm="1">
        <f t="array" ref="CZ120">_xlfn.LET(
  _xlpm.w, CZ$11,
  _xlpm.r, MATCH(1,('3. Enter Indicator Scores'!$B$10:$B$161=$B120)*('3. Enter Indicator Scores'!$C$10:$C$161=$C120),0),
  _xlpm.c, MATCH(CZ$8,'3. Enter Indicator Scores'!$D$8:$CZ$8,0),
  _xlpm.v, IFERROR(INDEX('3. Enter Indicator Scores'!$D$10:$CZ$161,_xlpm.r,_xlpm.c),""),
  IF(OR(_xlpm.w="",_xlpm.v=""),"",_xlpm.v*_xlpm.w)
)</f>
        <v/>
      </c>
    </row>
    <row r="121" spans="4:104" x14ac:dyDescent="0.2">
      <c r="D121" s="93" t="str" cm="1">
        <f t="array" ref="D121">_xlfn.LET(
  _xlpm.w, D$11,
  _xlpm.r, MATCH(1,('3. Enter Indicator Scores'!$B$10:$B$161=$B121)*('3. Enter Indicator Scores'!$C$10:$C$161=$C121),0),
  _xlpm.c, MATCH(D$8,'3. Enter Indicator Scores'!$D$8:$CZ$8,0),
  _xlpm.v, IFERROR(INDEX('3. Enter Indicator Scores'!$D$10:$CZ$161,_xlpm.r,_xlpm.c),""),
  IF(OR(_xlpm.w="",_xlpm.v=""),"",_xlpm.v*_xlpm.w)
)</f>
        <v/>
      </c>
      <c r="E121" s="93" t="str" cm="1">
        <f t="array" ref="E121">_xlfn.LET(
  _xlpm.w, E$11,
  _xlpm.r, MATCH(1,('3. Enter Indicator Scores'!$B$10:$B$161=$B121)*('3. Enter Indicator Scores'!$C$10:$C$161=$C121),0),
  _xlpm.c, MATCH(E$8,'3. Enter Indicator Scores'!$D$8:$CZ$8,0),
  _xlpm.v, IFERROR(INDEX('3. Enter Indicator Scores'!$D$10:$CZ$161,_xlpm.r,_xlpm.c),""),
  IF(OR(_xlpm.w="",_xlpm.v=""),"",_xlpm.v*_xlpm.w)
)</f>
        <v/>
      </c>
      <c r="F121" s="93" t="str" cm="1">
        <f t="array" ref="F121">_xlfn.LET(
  _xlpm.w, F$11,
  _xlpm.r, MATCH(1,('3. Enter Indicator Scores'!$B$10:$B$161=$B121)*('3. Enter Indicator Scores'!$C$10:$C$161=$C121),0),
  _xlpm.c, MATCH(F$8,'3. Enter Indicator Scores'!$D$8:$CZ$8,0),
  _xlpm.v, IFERROR(INDEX('3. Enter Indicator Scores'!$D$10:$CZ$161,_xlpm.r,_xlpm.c),""),
  IF(OR(_xlpm.w="",_xlpm.v=""),"",_xlpm.v*_xlpm.w)
)</f>
        <v/>
      </c>
      <c r="G121" s="93" t="str" cm="1">
        <f t="array" ref="G121">_xlfn.LET(
  _xlpm.w, G$11,
  _xlpm.r, MATCH(1,('3. Enter Indicator Scores'!$B$10:$B$161=$B121)*('3. Enter Indicator Scores'!$C$10:$C$161=$C121),0),
  _xlpm.c, MATCH(G$8,'3. Enter Indicator Scores'!$D$8:$CZ$8,0),
  _xlpm.v, IFERROR(INDEX('3. Enter Indicator Scores'!$D$10:$CZ$161,_xlpm.r,_xlpm.c),""),
  IF(OR(_xlpm.w="",_xlpm.v=""),"",_xlpm.v*_xlpm.w)
)</f>
        <v/>
      </c>
      <c r="H121" s="93" t="str" cm="1">
        <f t="array" ref="H121">_xlfn.LET(
  _xlpm.w, H$11,
  _xlpm.r, MATCH(1,('3. Enter Indicator Scores'!$B$10:$B$161=$B121)*('3. Enter Indicator Scores'!$C$10:$C$161=$C121),0),
  _xlpm.c, MATCH(H$8,'3. Enter Indicator Scores'!$D$8:$CZ$8,0),
  _xlpm.v, IFERROR(INDEX('3. Enter Indicator Scores'!$D$10:$CZ$161,_xlpm.r,_xlpm.c),""),
  IF(OR(_xlpm.w="",_xlpm.v=""),"",_xlpm.v*_xlpm.w)
)</f>
        <v/>
      </c>
      <c r="I121" s="93" t="str" cm="1">
        <f t="array" ref="I121">_xlfn.LET(
  _xlpm.w, I$11,
  _xlpm.r, MATCH(1,('3. Enter Indicator Scores'!$B$10:$B$161=$B121)*('3. Enter Indicator Scores'!$C$10:$C$161=$C121),0),
  _xlpm.c, MATCH(I$8,'3. Enter Indicator Scores'!$D$8:$CZ$8,0),
  _xlpm.v, IFERROR(INDEX('3. Enter Indicator Scores'!$D$10:$CZ$161,_xlpm.r,_xlpm.c),""),
  IF(OR(_xlpm.w="",_xlpm.v=""),"",_xlpm.v*_xlpm.w)
)</f>
        <v/>
      </c>
      <c r="J121" s="93" t="str" cm="1">
        <f t="array" ref="J121">_xlfn.LET(
  _xlpm.w, J$11,
  _xlpm.r, MATCH(1,('3. Enter Indicator Scores'!$B$10:$B$161=$B121)*('3. Enter Indicator Scores'!$C$10:$C$161=$C121),0),
  _xlpm.c, MATCH(J$8,'3. Enter Indicator Scores'!$D$8:$CZ$8,0),
  _xlpm.v, IFERROR(INDEX('3. Enter Indicator Scores'!$D$10:$CZ$161,_xlpm.r,_xlpm.c),""),
  IF(OR(_xlpm.w="",_xlpm.v=""),"",_xlpm.v*_xlpm.w)
)</f>
        <v/>
      </c>
      <c r="K121" s="93" t="str" cm="1">
        <f t="array" ref="K121">_xlfn.LET(
  _xlpm.w, K$11,
  _xlpm.r, MATCH(1,('3. Enter Indicator Scores'!$B$10:$B$161=$B121)*('3. Enter Indicator Scores'!$C$10:$C$161=$C121),0),
  _xlpm.c, MATCH(K$8,'3. Enter Indicator Scores'!$D$8:$CZ$8,0),
  _xlpm.v, IFERROR(INDEX('3. Enter Indicator Scores'!$D$10:$CZ$161,_xlpm.r,_xlpm.c),""),
  IF(OR(_xlpm.w="",_xlpm.v=""),"",_xlpm.v*_xlpm.w)
)</f>
        <v/>
      </c>
      <c r="L121" s="93" t="str" cm="1">
        <f t="array" ref="L121">_xlfn.LET(
  _xlpm.w, L$11,
  _xlpm.r, MATCH(1,('3. Enter Indicator Scores'!$B$10:$B$161=$B121)*('3. Enter Indicator Scores'!$C$10:$C$161=$C121),0),
  _xlpm.c, MATCH(L$8,'3. Enter Indicator Scores'!$D$8:$CZ$8,0),
  _xlpm.v, IFERROR(INDEX('3. Enter Indicator Scores'!$D$10:$CZ$161,_xlpm.r,_xlpm.c),""),
  IF(OR(_xlpm.w="",_xlpm.v=""),"",_xlpm.v*_xlpm.w)
)</f>
        <v/>
      </c>
      <c r="M121" s="93" t="str" cm="1">
        <f t="array" ref="M121">_xlfn.LET(
  _xlpm.w, M$11,
  _xlpm.r, MATCH(1,('3. Enter Indicator Scores'!$B$10:$B$161=$B121)*('3. Enter Indicator Scores'!$C$10:$C$161=$C121),0),
  _xlpm.c, MATCH(M$8,'3. Enter Indicator Scores'!$D$8:$CZ$8,0),
  _xlpm.v, IFERROR(INDEX('3. Enter Indicator Scores'!$D$10:$CZ$161,_xlpm.r,_xlpm.c),""),
  IF(OR(_xlpm.w="",_xlpm.v=""),"",_xlpm.v*_xlpm.w)
)</f>
        <v/>
      </c>
      <c r="N121" s="93" t="str" cm="1">
        <f t="array" ref="N121">_xlfn.LET(
  _xlpm.w, N$11,
  _xlpm.r, MATCH(1,('3. Enter Indicator Scores'!$B$10:$B$161=$B121)*('3. Enter Indicator Scores'!$C$10:$C$161=$C121),0),
  _xlpm.c, MATCH(N$8,'3. Enter Indicator Scores'!$D$8:$CZ$8,0),
  _xlpm.v, IFERROR(INDEX('3. Enter Indicator Scores'!$D$10:$CZ$161,_xlpm.r,_xlpm.c),""),
  IF(OR(_xlpm.w="",_xlpm.v=""),"",_xlpm.v*_xlpm.w)
)</f>
        <v/>
      </c>
      <c r="O121" s="93" t="str" cm="1">
        <f t="array" ref="O121">_xlfn.LET(
  _xlpm.w, O$11,
  _xlpm.r, MATCH(1,('3. Enter Indicator Scores'!$B$10:$B$161=$B121)*('3. Enter Indicator Scores'!$C$10:$C$161=$C121),0),
  _xlpm.c, MATCH(O$8,'3. Enter Indicator Scores'!$D$8:$CZ$8,0),
  _xlpm.v, IFERROR(INDEX('3. Enter Indicator Scores'!$D$10:$CZ$161,_xlpm.r,_xlpm.c),""),
  IF(OR(_xlpm.w="",_xlpm.v=""),"",_xlpm.v*_xlpm.w)
)</f>
        <v/>
      </c>
      <c r="P121" s="93" t="str" cm="1">
        <f t="array" ref="P121">_xlfn.LET(
  _xlpm.w, P$11,
  _xlpm.r, MATCH(1,('3. Enter Indicator Scores'!$B$10:$B$161=$B121)*('3. Enter Indicator Scores'!$C$10:$C$161=$C121),0),
  _xlpm.c, MATCH(P$8,'3. Enter Indicator Scores'!$D$8:$CZ$8,0),
  _xlpm.v, IFERROR(INDEX('3. Enter Indicator Scores'!$D$10:$CZ$161,_xlpm.r,_xlpm.c),""),
  IF(OR(_xlpm.w="",_xlpm.v=""),"",_xlpm.v*_xlpm.w)
)</f>
        <v/>
      </c>
      <c r="Q121" s="93" t="str" cm="1">
        <f t="array" ref="Q121">_xlfn.LET(
  _xlpm.w, Q$11,
  _xlpm.r, MATCH(1,('3. Enter Indicator Scores'!$B$10:$B$161=$B121)*('3. Enter Indicator Scores'!$C$10:$C$161=$C121),0),
  _xlpm.c, MATCH(Q$8,'3. Enter Indicator Scores'!$D$8:$CZ$8,0),
  _xlpm.v, IFERROR(INDEX('3. Enter Indicator Scores'!$D$10:$CZ$161,_xlpm.r,_xlpm.c),""),
  IF(OR(_xlpm.w="",_xlpm.v=""),"",_xlpm.v*_xlpm.w)
)</f>
        <v/>
      </c>
      <c r="R121" s="93" t="str" cm="1">
        <f t="array" ref="R121">_xlfn.LET(
  _xlpm.w, R$11,
  _xlpm.r, MATCH(1,('3. Enter Indicator Scores'!$B$10:$B$161=$B121)*('3. Enter Indicator Scores'!$C$10:$C$161=$C121),0),
  _xlpm.c, MATCH(R$8,'3. Enter Indicator Scores'!$D$8:$CZ$8,0),
  _xlpm.v, IFERROR(INDEX('3. Enter Indicator Scores'!$D$10:$CZ$161,_xlpm.r,_xlpm.c),""),
  IF(OR(_xlpm.w="",_xlpm.v=""),"",_xlpm.v*_xlpm.w)
)</f>
        <v/>
      </c>
      <c r="S121" s="93" t="str" cm="1">
        <f t="array" ref="S121">_xlfn.LET(
  _xlpm.w, S$11,
  _xlpm.r, MATCH(1,('3. Enter Indicator Scores'!$B$10:$B$161=$B121)*('3. Enter Indicator Scores'!$C$10:$C$161=$C121),0),
  _xlpm.c, MATCH(S$8,'3. Enter Indicator Scores'!$D$8:$CZ$8,0),
  _xlpm.v, IFERROR(INDEX('3. Enter Indicator Scores'!$D$10:$CZ$161,_xlpm.r,_xlpm.c),""),
  IF(OR(_xlpm.w="",_xlpm.v=""),"",_xlpm.v*_xlpm.w)
)</f>
        <v/>
      </c>
      <c r="T121" s="93" t="str" cm="1">
        <f t="array" ref="T121">_xlfn.LET(
  _xlpm.w, T$11,
  _xlpm.r, MATCH(1,('3. Enter Indicator Scores'!$B$10:$B$161=$B121)*('3. Enter Indicator Scores'!$C$10:$C$161=$C121),0),
  _xlpm.c, MATCH(T$8,'3. Enter Indicator Scores'!$D$8:$CZ$8,0),
  _xlpm.v, IFERROR(INDEX('3. Enter Indicator Scores'!$D$10:$CZ$161,_xlpm.r,_xlpm.c),""),
  IF(OR(_xlpm.w="",_xlpm.v=""),"",_xlpm.v*_xlpm.w)
)</f>
        <v/>
      </c>
      <c r="U121" s="93" t="str" cm="1">
        <f t="array" ref="U121">_xlfn.LET(
  _xlpm.w, U$11,
  _xlpm.r, MATCH(1,('3. Enter Indicator Scores'!$B$10:$B$161=$B121)*('3. Enter Indicator Scores'!$C$10:$C$161=$C121),0),
  _xlpm.c, MATCH(U$8,'3. Enter Indicator Scores'!$D$8:$CZ$8,0),
  _xlpm.v, IFERROR(INDEX('3. Enter Indicator Scores'!$D$10:$CZ$161,_xlpm.r,_xlpm.c),""),
  IF(OR(_xlpm.w="",_xlpm.v=""),"",_xlpm.v*_xlpm.w)
)</f>
        <v/>
      </c>
      <c r="V121" s="93" t="str" cm="1">
        <f t="array" ref="V121">_xlfn.LET(
  _xlpm.w, V$11,
  _xlpm.r, MATCH(1,('3. Enter Indicator Scores'!$B$10:$B$161=$B121)*('3. Enter Indicator Scores'!$C$10:$C$161=$C121),0),
  _xlpm.c, MATCH(V$8,'3. Enter Indicator Scores'!$D$8:$CZ$8,0),
  _xlpm.v, IFERROR(INDEX('3. Enter Indicator Scores'!$D$10:$CZ$161,_xlpm.r,_xlpm.c),""),
  IF(OR(_xlpm.w="",_xlpm.v=""),"",_xlpm.v*_xlpm.w)
)</f>
        <v/>
      </c>
      <c r="W121" s="93" t="str" cm="1">
        <f t="array" ref="W121">_xlfn.LET(
  _xlpm.w, W$11,
  _xlpm.r, MATCH(1,('3. Enter Indicator Scores'!$B$10:$B$161=$B121)*('3. Enter Indicator Scores'!$C$10:$C$161=$C121),0),
  _xlpm.c, MATCH(W$8,'3. Enter Indicator Scores'!$D$8:$CZ$8,0),
  _xlpm.v, IFERROR(INDEX('3. Enter Indicator Scores'!$D$10:$CZ$161,_xlpm.r,_xlpm.c),""),
  IF(OR(_xlpm.w="",_xlpm.v=""),"",_xlpm.v*_xlpm.w)
)</f>
        <v/>
      </c>
      <c r="X121" s="93" t="str" cm="1">
        <f t="array" ref="X121">_xlfn.LET(
  _xlpm.w, X$11,
  _xlpm.r, MATCH(1,('3. Enter Indicator Scores'!$B$10:$B$161=$B121)*('3. Enter Indicator Scores'!$C$10:$C$161=$C121),0),
  _xlpm.c, MATCH(X$8,'3. Enter Indicator Scores'!$D$8:$CZ$8,0),
  _xlpm.v, IFERROR(INDEX('3. Enter Indicator Scores'!$D$10:$CZ$161,_xlpm.r,_xlpm.c),""),
  IF(OR(_xlpm.w="",_xlpm.v=""),"",_xlpm.v*_xlpm.w)
)</f>
        <v/>
      </c>
      <c r="Y121" s="93" t="str" cm="1">
        <f t="array" ref="Y121">_xlfn.LET(
  _xlpm.w, Y$11,
  _xlpm.r, MATCH(1,('3. Enter Indicator Scores'!$B$10:$B$161=$B121)*('3. Enter Indicator Scores'!$C$10:$C$161=$C121),0),
  _xlpm.c, MATCH(Y$8,'3. Enter Indicator Scores'!$D$8:$CZ$8,0),
  _xlpm.v, IFERROR(INDEX('3. Enter Indicator Scores'!$D$10:$CZ$161,_xlpm.r,_xlpm.c),""),
  IF(OR(_xlpm.w="",_xlpm.v=""),"",_xlpm.v*_xlpm.w)
)</f>
        <v/>
      </c>
      <c r="Z121" s="93" t="str" cm="1">
        <f t="array" ref="Z121">_xlfn.LET(
  _xlpm.w, Z$11,
  _xlpm.r, MATCH(1,('3. Enter Indicator Scores'!$B$10:$B$161=$B121)*('3. Enter Indicator Scores'!$C$10:$C$161=$C121),0),
  _xlpm.c, MATCH(Z$8,'3. Enter Indicator Scores'!$D$8:$CZ$8,0),
  _xlpm.v, IFERROR(INDEX('3. Enter Indicator Scores'!$D$10:$CZ$161,_xlpm.r,_xlpm.c),""),
  IF(OR(_xlpm.w="",_xlpm.v=""),"",_xlpm.v*_xlpm.w)
)</f>
        <v/>
      </c>
      <c r="AA121" s="93" t="str" cm="1">
        <f t="array" ref="AA121">_xlfn.LET(
  _xlpm.w, AA$11,
  _xlpm.r, MATCH(1,('3. Enter Indicator Scores'!$B$10:$B$161=$B121)*('3. Enter Indicator Scores'!$C$10:$C$161=$C121),0),
  _xlpm.c, MATCH(AA$8,'3. Enter Indicator Scores'!$D$8:$CZ$8,0),
  _xlpm.v, IFERROR(INDEX('3. Enter Indicator Scores'!$D$10:$CZ$161,_xlpm.r,_xlpm.c),""),
  IF(OR(_xlpm.w="",_xlpm.v=""),"",_xlpm.v*_xlpm.w)
)</f>
        <v/>
      </c>
      <c r="AB121" s="93" t="str" cm="1">
        <f t="array" ref="AB121">_xlfn.LET(
  _xlpm.w, AB$11,
  _xlpm.r, MATCH(1,('3. Enter Indicator Scores'!$B$10:$B$161=$B121)*('3. Enter Indicator Scores'!$C$10:$C$161=$C121),0),
  _xlpm.c, MATCH(AB$8,'3. Enter Indicator Scores'!$D$8:$CZ$8,0),
  _xlpm.v, IFERROR(INDEX('3. Enter Indicator Scores'!$D$10:$CZ$161,_xlpm.r,_xlpm.c),""),
  IF(OR(_xlpm.w="",_xlpm.v=""),"",_xlpm.v*_xlpm.w)
)</f>
        <v/>
      </c>
      <c r="AC121" s="93" t="str" cm="1">
        <f t="array" ref="AC121">_xlfn.LET(
  _xlpm.w, AC$11,
  _xlpm.r, MATCH(1,('3. Enter Indicator Scores'!$B$10:$B$161=$B121)*('3. Enter Indicator Scores'!$C$10:$C$161=$C121),0),
  _xlpm.c, MATCH(AC$8,'3. Enter Indicator Scores'!$D$8:$CZ$8,0),
  _xlpm.v, IFERROR(INDEX('3. Enter Indicator Scores'!$D$10:$CZ$161,_xlpm.r,_xlpm.c),""),
  IF(OR(_xlpm.w="",_xlpm.v=""),"",_xlpm.v*_xlpm.w)
)</f>
        <v/>
      </c>
      <c r="AD121" s="93" t="str" cm="1">
        <f t="array" ref="AD121">_xlfn.LET(
  _xlpm.w, AD$11,
  _xlpm.r, MATCH(1,('3. Enter Indicator Scores'!$B$10:$B$161=$B121)*('3. Enter Indicator Scores'!$C$10:$C$161=$C121),0),
  _xlpm.c, MATCH(AD$8,'3. Enter Indicator Scores'!$D$8:$CZ$8,0),
  _xlpm.v, IFERROR(INDEX('3. Enter Indicator Scores'!$D$10:$CZ$161,_xlpm.r,_xlpm.c),""),
  IF(OR(_xlpm.w="",_xlpm.v=""),"",_xlpm.v*_xlpm.w)
)</f>
        <v/>
      </c>
      <c r="AE121" s="93" t="str" cm="1">
        <f t="array" ref="AE121">_xlfn.LET(
  _xlpm.w, AE$11,
  _xlpm.r, MATCH(1,('3. Enter Indicator Scores'!$B$10:$B$161=$B121)*('3. Enter Indicator Scores'!$C$10:$C$161=$C121),0),
  _xlpm.c, MATCH(AE$8,'3. Enter Indicator Scores'!$D$8:$CZ$8,0),
  _xlpm.v, IFERROR(INDEX('3. Enter Indicator Scores'!$D$10:$CZ$161,_xlpm.r,_xlpm.c),""),
  IF(OR(_xlpm.w="",_xlpm.v=""),"",_xlpm.v*_xlpm.w)
)</f>
        <v/>
      </c>
      <c r="AF121" s="93" t="str" cm="1">
        <f t="array" ref="AF121">_xlfn.LET(
  _xlpm.w, AF$11,
  _xlpm.r, MATCH(1,('3. Enter Indicator Scores'!$B$10:$B$161=$B121)*('3. Enter Indicator Scores'!$C$10:$C$161=$C121),0),
  _xlpm.c, MATCH(AF$8,'3. Enter Indicator Scores'!$D$8:$CZ$8,0),
  _xlpm.v, IFERROR(INDEX('3. Enter Indicator Scores'!$D$10:$CZ$161,_xlpm.r,_xlpm.c),""),
  IF(OR(_xlpm.w="",_xlpm.v=""),"",_xlpm.v*_xlpm.w)
)</f>
        <v/>
      </c>
      <c r="AG121" s="93" t="str" cm="1">
        <f t="array" ref="AG121">_xlfn.LET(
  _xlpm.w, AG$11,
  _xlpm.r, MATCH(1,('3. Enter Indicator Scores'!$B$10:$B$161=$B121)*('3. Enter Indicator Scores'!$C$10:$C$161=$C121),0),
  _xlpm.c, MATCH(AG$8,'3. Enter Indicator Scores'!$D$8:$CZ$8,0),
  _xlpm.v, IFERROR(INDEX('3. Enter Indicator Scores'!$D$10:$CZ$161,_xlpm.r,_xlpm.c),""),
  IF(OR(_xlpm.w="",_xlpm.v=""),"",_xlpm.v*_xlpm.w)
)</f>
        <v/>
      </c>
      <c r="AH121" s="93" t="str" cm="1">
        <f t="array" ref="AH121">_xlfn.LET(
  _xlpm.w, AH$11,
  _xlpm.r, MATCH(1,('3. Enter Indicator Scores'!$B$10:$B$161=$B121)*('3. Enter Indicator Scores'!$C$10:$C$161=$C121),0),
  _xlpm.c, MATCH(AH$8,'3. Enter Indicator Scores'!$D$8:$CZ$8,0),
  _xlpm.v, IFERROR(INDEX('3. Enter Indicator Scores'!$D$10:$CZ$161,_xlpm.r,_xlpm.c),""),
  IF(OR(_xlpm.w="",_xlpm.v=""),"",_xlpm.v*_xlpm.w)
)</f>
        <v/>
      </c>
      <c r="AI121" s="93" t="str" cm="1">
        <f t="array" ref="AI121">_xlfn.LET(
  _xlpm.w, AI$11,
  _xlpm.r, MATCH(1,('3. Enter Indicator Scores'!$B$10:$B$161=$B121)*('3. Enter Indicator Scores'!$C$10:$C$161=$C121),0),
  _xlpm.c, MATCH(AI$8,'3. Enter Indicator Scores'!$D$8:$CZ$8,0),
  _xlpm.v, IFERROR(INDEX('3. Enter Indicator Scores'!$D$10:$CZ$161,_xlpm.r,_xlpm.c),""),
  IF(OR(_xlpm.w="",_xlpm.v=""),"",_xlpm.v*_xlpm.w)
)</f>
        <v/>
      </c>
      <c r="AJ121" s="93" t="str" cm="1">
        <f t="array" ref="AJ121">_xlfn.LET(
  _xlpm.w, AJ$11,
  _xlpm.r, MATCH(1,('3. Enter Indicator Scores'!$B$10:$B$161=$B121)*('3. Enter Indicator Scores'!$C$10:$C$161=$C121),0),
  _xlpm.c, MATCH(AJ$8,'3. Enter Indicator Scores'!$D$8:$CZ$8,0),
  _xlpm.v, IFERROR(INDEX('3. Enter Indicator Scores'!$D$10:$CZ$161,_xlpm.r,_xlpm.c),""),
  IF(OR(_xlpm.w="",_xlpm.v=""),"",_xlpm.v*_xlpm.w)
)</f>
        <v/>
      </c>
      <c r="AK121" s="93" t="str" cm="1">
        <f t="array" ref="AK121">_xlfn.LET(
  _xlpm.w, AK$11,
  _xlpm.r, MATCH(1,('3. Enter Indicator Scores'!$B$10:$B$161=$B121)*('3. Enter Indicator Scores'!$C$10:$C$161=$C121),0),
  _xlpm.c, MATCH(AK$8,'3. Enter Indicator Scores'!$D$8:$CZ$8,0),
  _xlpm.v, IFERROR(INDEX('3. Enter Indicator Scores'!$D$10:$CZ$161,_xlpm.r,_xlpm.c),""),
  IF(OR(_xlpm.w="",_xlpm.v=""),"",_xlpm.v*_xlpm.w)
)</f>
        <v/>
      </c>
      <c r="AL121" s="93" t="str" cm="1">
        <f t="array" ref="AL121">_xlfn.LET(
  _xlpm.w, AL$11,
  _xlpm.r, MATCH(1,('3. Enter Indicator Scores'!$B$10:$B$161=$B121)*('3. Enter Indicator Scores'!$C$10:$C$161=$C121),0),
  _xlpm.c, MATCH(AL$8,'3. Enter Indicator Scores'!$D$8:$CZ$8,0),
  _xlpm.v, IFERROR(INDEX('3. Enter Indicator Scores'!$D$10:$CZ$161,_xlpm.r,_xlpm.c),""),
  IF(OR(_xlpm.w="",_xlpm.v=""),"",_xlpm.v*_xlpm.w)
)</f>
        <v/>
      </c>
      <c r="AM121" s="93" t="str" cm="1">
        <f t="array" ref="AM121">_xlfn.LET(
  _xlpm.w, AM$11,
  _xlpm.r, MATCH(1,('3. Enter Indicator Scores'!$B$10:$B$161=$B121)*('3. Enter Indicator Scores'!$C$10:$C$161=$C121),0),
  _xlpm.c, MATCH(AM$8,'3. Enter Indicator Scores'!$D$8:$CZ$8,0),
  _xlpm.v, IFERROR(INDEX('3. Enter Indicator Scores'!$D$10:$CZ$161,_xlpm.r,_xlpm.c),""),
  IF(OR(_xlpm.w="",_xlpm.v=""),"",_xlpm.v*_xlpm.w)
)</f>
        <v/>
      </c>
      <c r="AN121" s="93" t="str" cm="1">
        <f t="array" ref="AN121">_xlfn.LET(
  _xlpm.w, AN$11,
  _xlpm.r, MATCH(1,('3. Enter Indicator Scores'!$B$10:$B$161=$B121)*('3. Enter Indicator Scores'!$C$10:$C$161=$C121),0),
  _xlpm.c, MATCH(AN$8,'3. Enter Indicator Scores'!$D$8:$CZ$8,0),
  _xlpm.v, IFERROR(INDEX('3. Enter Indicator Scores'!$D$10:$CZ$161,_xlpm.r,_xlpm.c),""),
  IF(OR(_xlpm.w="",_xlpm.v=""),"",_xlpm.v*_xlpm.w)
)</f>
        <v/>
      </c>
      <c r="AO121" s="93" t="str" cm="1">
        <f t="array" ref="AO121">_xlfn.LET(
  _xlpm.w, AO$11,
  _xlpm.r, MATCH(1,('3. Enter Indicator Scores'!$B$10:$B$161=$B121)*('3. Enter Indicator Scores'!$C$10:$C$161=$C121),0),
  _xlpm.c, MATCH(AO$8,'3. Enter Indicator Scores'!$D$8:$CZ$8,0),
  _xlpm.v, IFERROR(INDEX('3. Enter Indicator Scores'!$D$10:$CZ$161,_xlpm.r,_xlpm.c),""),
  IF(OR(_xlpm.w="",_xlpm.v=""),"",_xlpm.v*_xlpm.w)
)</f>
        <v/>
      </c>
      <c r="AP121" s="93" t="str" cm="1">
        <f t="array" ref="AP121">_xlfn.LET(
  _xlpm.w, AP$11,
  _xlpm.r, MATCH(1,('3. Enter Indicator Scores'!$B$10:$B$161=$B121)*('3. Enter Indicator Scores'!$C$10:$C$161=$C121),0),
  _xlpm.c, MATCH(AP$8,'3. Enter Indicator Scores'!$D$8:$CZ$8,0),
  _xlpm.v, IFERROR(INDEX('3. Enter Indicator Scores'!$D$10:$CZ$161,_xlpm.r,_xlpm.c),""),
  IF(OR(_xlpm.w="",_xlpm.v=""),"",_xlpm.v*_xlpm.w)
)</f>
        <v/>
      </c>
      <c r="AQ121" s="93" t="str" cm="1">
        <f t="array" ref="AQ121">_xlfn.LET(
  _xlpm.w, AQ$11,
  _xlpm.r, MATCH(1,('3. Enter Indicator Scores'!$B$10:$B$161=$B121)*('3. Enter Indicator Scores'!$C$10:$C$161=$C121),0),
  _xlpm.c, MATCH(AQ$8,'3. Enter Indicator Scores'!$D$8:$CZ$8,0),
  _xlpm.v, IFERROR(INDEX('3. Enter Indicator Scores'!$D$10:$CZ$161,_xlpm.r,_xlpm.c),""),
  IF(OR(_xlpm.w="",_xlpm.v=""),"",_xlpm.v*_xlpm.w)
)</f>
        <v/>
      </c>
      <c r="AR121" s="93" t="str" cm="1">
        <f t="array" ref="AR121">_xlfn.LET(
  _xlpm.w, AR$11,
  _xlpm.r, MATCH(1,('3. Enter Indicator Scores'!$B$10:$B$161=$B121)*('3. Enter Indicator Scores'!$C$10:$C$161=$C121),0),
  _xlpm.c, MATCH(AR$8,'3. Enter Indicator Scores'!$D$8:$CZ$8,0),
  _xlpm.v, IFERROR(INDEX('3. Enter Indicator Scores'!$D$10:$CZ$161,_xlpm.r,_xlpm.c),""),
  IF(OR(_xlpm.w="",_xlpm.v=""),"",_xlpm.v*_xlpm.w)
)</f>
        <v/>
      </c>
      <c r="AS121" s="93" t="str" cm="1">
        <f t="array" ref="AS121">_xlfn.LET(
  _xlpm.w, AS$11,
  _xlpm.r, MATCH(1,('3. Enter Indicator Scores'!$B$10:$B$161=$B121)*('3. Enter Indicator Scores'!$C$10:$C$161=$C121),0),
  _xlpm.c, MATCH(AS$8,'3. Enter Indicator Scores'!$D$8:$CZ$8,0),
  _xlpm.v, IFERROR(INDEX('3. Enter Indicator Scores'!$D$10:$CZ$161,_xlpm.r,_xlpm.c),""),
  IF(OR(_xlpm.w="",_xlpm.v=""),"",_xlpm.v*_xlpm.w)
)</f>
        <v/>
      </c>
      <c r="AT121" s="93" t="str" cm="1">
        <f t="array" ref="AT121">_xlfn.LET(
  _xlpm.w, AT$11,
  _xlpm.r, MATCH(1,('3. Enter Indicator Scores'!$B$10:$B$161=$B121)*('3. Enter Indicator Scores'!$C$10:$C$161=$C121),0),
  _xlpm.c, MATCH(AT$8,'3. Enter Indicator Scores'!$D$8:$CZ$8,0),
  _xlpm.v, IFERROR(INDEX('3. Enter Indicator Scores'!$D$10:$CZ$161,_xlpm.r,_xlpm.c),""),
  IF(OR(_xlpm.w="",_xlpm.v=""),"",_xlpm.v*_xlpm.w)
)</f>
        <v/>
      </c>
      <c r="AU121" s="93" t="str" cm="1">
        <f t="array" ref="AU121">_xlfn.LET(
  _xlpm.w, AU$11,
  _xlpm.r, MATCH(1,('3. Enter Indicator Scores'!$B$10:$B$161=$B121)*('3. Enter Indicator Scores'!$C$10:$C$161=$C121),0),
  _xlpm.c, MATCH(AU$8,'3. Enter Indicator Scores'!$D$8:$CZ$8,0),
  _xlpm.v, IFERROR(INDEX('3. Enter Indicator Scores'!$D$10:$CZ$161,_xlpm.r,_xlpm.c),""),
  IF(OR(_xlpm.w="",_xlpm.v=""),"",_xlpm.v*_xlpm.w)
)</f>
        <v/>
      </c>
      <c r="AV121" s="93" t="str" cm="1">
        <f t="array" ref="AV121">_xlfn.LET(
  _xlpm.w, AV$11,
  _xlpm.r, MATCH(1,('3. Enter Indicator Scores'!$B$10:$B$161=$B121)*('3. Enter Indicator Scores'!$C$10:$C$161=$C121),0),
  _xlpm.c, MATCH(AV$8,'3. Enter Indicator Scores'!$D$8:$CZ$8,0),
  _xlpm.v, IFERROR(INDEX('3. Enter Indicator Scores'!$D$10:$CZ$161,_xlpm.r,_xlpm.c),""),
  IF(OR(_xlpm.w="",_xlpm.v=""),"",_xlpm.v*_xlpm.w)
)</f>
        <v/>
      </c>
      <c r="AW121" s="93" t="str" cm="1">
        <f t="array" ref="AW121">_xlfn.LET(
  _xlpm.w, AW$11,
  _xlpm.r, MATCH(1,('3. Enter Indicator Scores'!$B$10:$B$161=$B121)*('3. Enter Indicator Scores'!$C$10:$C$161=$C121),0),
  _xlpm.c, MATCH(AW$8,'3. Enter Indicator Scores'!$D$8:$CZ$8,0),
  _xlpm.v, IFERROR(INDEX('3. Enter Indicator Scores'!$D$10:$CZ$161,_xlpm.r,_xlpm.c),""),
  IF(OR(_xlpm.w="",_xlpm.v=""),"",_xlpm.v*_xlpm.w)
)</f>
        <v/>
      </c>
      <c r="AX121" s="93" t="str" cm="1">
        <f t="array" ref="AX121">_xlfn.LET(
  _xlpm.w, AX$11,
  _xlpm.r, MATCH(1,('3. Enter Indicator Scores'!$B$10:$B$161=$B121)*('3. Enter Indicator Scores'!$C$10:$C$161=$C121),0),
  _xlpm.c, MATCH(AX$8,'3. Enter Indicator Scores'!$D$8:$CZ$8,0),
  _xlpm.v, IFERROR(INDEX('3. Enter Indicator Scores'!$D$10:$CZ$161,_xlpm.r,_xlpm.c),""),
  IF(OR(_xlpm.w="",_xlpm.v=""),"",_xlpm.v*_xlpm.w)
)</f>
        <v/>
      </c>
      <c r="AY121" s="93" t="str" cm="1">
        <f t="array" ref="AY121">_xlfn.LET(
  _xlpm.w, AY$11,
  _xlpm.r, MATCH(1,('3. Enter Indicator Scores'!$B$10:$B$161=$B121)*('3. Enter Indicator Scores'!$C$10:$C$161=$C121),0),
  _xlpm.c, MATCH(AY$8,'3. Enter Indicator Scores'!$D$8:$CZ$8,0),
  _xlpm.v, IFERROR(INDEX('3. Enter Indicator Scores'!$D$10:$CZ$161,_xlpm.r,_xlpm.c),""),
  IF(OR(_xlpm.w="",_xlpm.v=""),"",_xlpm.v*_xlpm.w)
)</f>
        <v/>
      </c>
      <c r="AZ121" s="93" t="str" cm="1">
        <f t="array" ref="AZ121">_xlfn.LET(
  _xlpm.w, AZ$11,
  _xlpm.r, MATCH(1,('3. Enter Indicator Scores'!$B$10:$B$161=$B121)*('3. Enter Indicator Scores'!$C$10:$C$161=$C121),0),
  _xlpm.c, MATCH(AZ$8,'3. Enter Indicator Scores'!$D$8:$CZ$8,0),
  _xlpm.v, IFERROR(INDEX('3. Enter Indicator Scores'!$D$10:$CZ$161,_xlpm.r,_xlpm.c),""),
  IF(OR(_xlpm.w="",_xlpm.v=""),"",_xlpm.v*_xlpm.w)
)</f>
        <v/>
      </c>
      <c r="BA121" s="93" t="str" cm="1">
        <f t="array" ref="BA121">_xlfn.LET(
  _xlpm.w, BA$11,
  _xlpm.r, MATCH(1,('3. Enter Indicator Scores'!$B$10:$B$161=$B121)*('3. Enter Indicator Scores'!$C$10:$C$161=$C121),0),
  _xlpm.c, MATCH(BA$8,'3. Enter Indicator Scores'!$D$8:$CZ$8,0),
  _xlpm.v, IFERROR(INDEX('3. Enter Indicator Scores'!$D$10:$CZ$161,_xlpm.r,_xlpm.c),""),
  IF(OR(_xlpm.w="",_xlpm.v=""),"",_xlpm.v*_xlpm.w)
)</f>
        <v/>
      </c>
      <c r="BB121" s="93" t="str" cm="1">
        <f t="array" ref="BB121">_xlfn.LET(
  _xlpm.w, BB$11,
  _xlpm.r, MATCH(1,('3. Enter Indicator Scores'!$B$10:$B$161=$B121)*('3. Enter Indicator Scores'!$C$10:$C$161=$C121),0),
  _xlpm.c, MATCH(BB$8,'3. Enter Indicator Scores'!$D$8:$CZ$8,0),
  _xlpm.v, IFERROR(INDEX('3. Enter Indicator Scores'!$D$10:$CZ$161,_xlpm.r,_xlpm.c),""),
  IF(OR(_xlpm.w="",_xlpm.v=""),"",_xlpm.v*_xlpm.w)
)</f>
        <v/>
      </c>
      <c r="BC121" s="93" t="str" cm="1">
        <f t="array" ref="BC121">_xlfn.LET(
  _xlpm.w, BC$11,
  _xlpm.r, MATCH(1,('3. Enter Indicator Scores'!$B$10:$B$161=$B121)*('3. Enter Indicator Scores'!$C$10:$C$161=$C121),0),
  _xlpm.c, MATCH(BC$8,'3. Enter Indicator Scores'!$D$8:$CZ$8,0),
  _xlpm.v, IFERROR(INDEX('3. Enter Indicator Scores'!$D$10:$CZ$161,_xlpm.r,_xlpm.c),""),
  IF(OR(_xlpm.w="",_xlpm.v=""),"",_xlpm.v*_xlpm.w)
)</f>
        <v/>
      </c>
      <c r="BD121" s="93" t="str" cm="1">
        <f t="array" ref="BD121">_xlfn.LET(
  _xlpm.w, BD$11,
  _xlpm.r, MATCH(1,('3. Enter Indicator Scores'!$B$10:$B$161=$B121)*('3. Enter Indicator Scores'!$C$10:$C$161=$C121),0),
  _xlpm.c, MATCH(BD$8,'3. Enter Indicator Scores'!$D$8:$CZ$8,0),
  _xlpm.v, IFERROR(INDEX('3. Enter Indicator Scores'!$D$10:$CZ$161,_xlpm.r,_xlpm.c),""),
  IF(OR(_xlpm.w="",_xlpm.v=""),"",_xlpm.v*_xlpm.w)
)</f>
        <v/>
      </c>
      <c r="BE121" s="93" t="str" cm="1">
        <f t="array" ref="BE121">_xlfn.LET(
  _xlpm.w, BE$11,
  _xlpm.r, MATCH(1,('3. Enter Indicator Scores'!$B$10:$B$161=$B121)*('3. Enter Indicator Scores'!$C$10:$C$161=$C121),0),
  _xlpm.c, MATCH(BE$8,'3. Enter Indicator Scores'!$D$8:$CZ$8,0),
  _xlpm.v, IFERROR(INDEX('3. Enter Indicator Scores'!$D$10:$CZ$161,_xlpm.r,_xlpm.c),""),
  IF(OR(_xlpm.w="",_xlpm.v=""),"",_xlpm.v*_xlpm.w)
)</f>
        <v/>
      </c>
      <c r="BF121" s="93" t="str" cm="1">
        <f t="array" ref="BF121">_xlfn.LET(
  _xlpm.w, BF$11,
  _xlpm.r, MATCH(1,('3. Enter Indicator Scores'!$B$10:$B$161=$B121)*('3. Enter Indicator Scores'!$C$10:$C$161=$C121),0),
  _xlpm.c, MATCH(BF$8,'3. Enter Indicator Scores'!$D$8:$CZ$8,0),
  _xlpm.v, IFERROR(INDEX('3. Enter Indicator Scores'!$D$10:$CZ$161,_xlpm.r,_xlpm.c),""),
  IF(OR(_xlpm.w="",_xlpm.v=""),"",_xlpm.v*_xlpm.w)
)</f>
        <v/>
      </c>
      <c r="BG121" s="93" t="str" cm="1">
        <f t="array" ref="BG121">_xlfn.LET(
  _xlpm.w, BG$11,
  _xlpm.r, MATCH(1,('3. Enter Indicator Scores'!$B$10:$B$161=$B121)*('3. Enter Indicator Scores'!$C$10:$C$161=$C121),0),
  _xlpm.c, MATCH(BG$8,'3. Enter Indicator Scores'!$D$8:$CZ$8,0),
  _xlpm.v, IFERROR(INDEX('3. Enter Indicator Scores'!$D$10:$CZ$161,_xlpm.r,_xlpm.c),""),
  IF(OR(_xlpm.w="",_xlpm.v=""),"",_xlpm.v*_xlpm.w)
)</f>
        <v/>
      </c>
      <c r="BH121" s="93" t="str" cm="1">
        <f t="array" ref="BH121">_xlfn.LET(
  _xlpm.w, BH$11,
  _xlpm.r, MATCH(1,('3. Enter Indicator Scores'!$B$10:$B$161=$B121)*('3. Enter Indicator Scores'!$C$10:$C$161=$C121),0),
  _xlpm.c, MATCH(BH$8,'3. Enter Indicator Scores'!$D$8:$CZ$8,0),
  _xlpm.v, IFERROR(INDEX('3. Enter Indicator Scores'!$D$10:$CZ$161,_xlpm.r,_xlpm.c),""),
  IF(OR(_xlpm.w="",_xlpm.v=""),"",_xlpm.v*_xlpm.w)
)</f>
        <v/>
      </c>
      <c r="BI121" s="93" t="str" cm="1">
        <f t="array" ref="BI121">_xlfn.LET(
  _xlpm.w, BI$11,
  _xlpm.r, MATCH(1,('3. Enter Indicator Scores'!$B$10:$B$161=$B121)*('3. Enter Indicator Scores'!$C$10:$C$161=$C121),0),
  _xlpm.c, MATCH(BI$8,'3. Enter Indicator Scores'!$D$8:$CZ$8,0),
  _xlpm.v, IFERROR(INDEX('3. Enter Indicator Scores'!$D$10:$CZ$161,_xlpm.r,_xlpm.c),""),
  IF(OR(_xlpm.w="",_xlpm.v=""),"",_xlpm.v*_xlpm.w)
)</f>
        <v/>
      </c>
      <c r="BJ121" s="93" t="str" cm="1">
        <f t="array" ref="BJ121">_xlfn.LET(
  _xlpm.w, BJ$11,
  _xlpm.r, MATCH(1,('3. Enter Indicator Scores'!$B$10:$B$161=$B121)*('3. Enter Indicator Scores'!$C$10:$C$161=$C121),0),
  _xlpm.c, MATCH(BJ$8,'3. Enter Indicator Scores'!$D$8:$CZ$8,0),
  _xlpm.v, IFERROR(INDEX('3. Enter Indicator Scores'!$D$10:$CZ$161,_xlpm.r,_xlpm.c),""),
  IF(OR(_xlpm.w="",_xlpm.v=""),"",_xlpm.v*_xlpm.w)
)</f>
        <v/>
      </c>
      <c r="BK121" s="93" t="str" cm="1">
        <f t="array" ref="BK121">_xlfn.LET(
  _xlpm.w, BK$11,
  _xlpm.r, MATCH(1,('3. Enter Indicator Scores'!$B$10:$B$161=$B121)*('3. Enter Indicator Scores'!$C$10:$C$161=$C121),0),
  _xlpm.c, MATCH(BK$8,'3. Enter Indicator Scores'!$D$8:$CZ$8,0),
  _xlpm.v, IFERROR(INDEX('3. Enter Indicator Scores'!$D$10:$CZ$161,_xlpm.r,_xlpm.c),""),
  IF(OR(_xlpm.w="",_xlpm.v=""),"",_xlpm.v*_xlpm.w)
)</f>
        <v/>
      </c>
      <c r="BL121" s="93" t="str" cm="1">
        <f t="array" ref="BL121">_xlfn.LET(
  _xlpm.w, BL$11,
  _xlpm.r, MATCH(1,('3. Enter Indicator Scores'!$B$10:$B$161=$B121)*('3. Enter Indicator Scores'!$C$10:$C$161=$C121),0),
  _xlpm.c, MATCH(BL$8,'3. Enter Indicator Scores'!$D$8:$CZ$8,0),
  _xlpm.v, IFERROR(INDEX('3. Enter Indicator Scores'!$D$10:$CZ$161,_xlpm.r,_xlpm.c),""),
  IF(OR(_xlpm.w="",_xlpm.v=""),"",_xlpm.v*_xlpm.w)
)</f>
        <v/>
      </c>
      <c r="BM121" s="93" t="str" cm="1">
        <f t="array" ref="BM121">_xlfn.LET(
  _xlpm.w, BM$11,
  _xlpm.r, MATCH(1,('3. Enter Indicator Scores'!$B$10:$B$161=$B121)*('3. Enter Indicator Scores'!$C$10:$C$161=$C121),0),
  _xlpm.c, MATCH(BM$8,'3. Enter Indicator Scores'!$D$8:$CZ$8,0),
  _xlpm.v, IFERROR(INDEX('3. Enter Indicator Scores'!$D$10:$CZ$161,_xlpm.r,_xlpm.c),""),
  IF(OR(_xlpm.w="",_xlpm.v=""),"",_xlpm.v*_xlpm.w)
)</f>
        <v/>
      </c>
      <c r="BN121" s="93" t="str" cm="1">
        <f t="array" ref="BN121">_xlfn.LET(
  _xlpm.w, BN$11,
  _xlpm.r, MATCH(1,('3. Enter Indicator Scores'!$B$10:$B$161=$B121)*('3. Enter Indicator Scores'!$C$10:$C$161=$C121),0),
  _xlpm.c, MATCH(BN$8,'3. Enter Indicator Scores'!$D$8:$CZ$8,0),
  _xlpm.v, IFERROR(INDEX('3. Enter Indicator Scores'!$D$10:$CZ$161,_xlpm.r,_xlpm.c),""),
  IF(OR(_xlpm.w="",_xlpm.v=""),"",_xlpm.v*_xlpm.w)
)</f>
        <v/>
      </c>
      <c r="BO121" s="93" t="str" cm="1">
        <f t="array" ref="BO121">_xlfn.LET(
  _xlpm.w, BO$11,
  _xlpm.r, MATCH(1,('3. Enter Indicator Scores'!$B$10:$B$161=$B121)*('3. Enter Indicator Scores'!$C$10:$C$161=$C121),0),
  _xlpm.c, MATCH(BO$8,'3. Enter Indicator Scores'!$D$8:$CZ$8,0),
  _xlpm.v, IFERROR(INDEX('3. Enter Indicator Scores'!$D$10:$CZ$161,_xlpm.r,_xlpm.c),""),
  IF(OR(_xlpm.w="",_xlpm.v=""),"",_xlpm.v*_xlpm.w)
)</f>
        <v/>
      </c>
      <c r="BP121" s="93" t="str" cm="1">
        <f t="array" ref="BP121">_xlfn.LET(
  _xlpm.w, BP$11,
  _xlpm.r, MATCH(1,('3. Enter Indicator Scores'!$B$10:$B$161=$B121)*('3. Enter Indicator Scores'!$C$10:$C$161=$C121),0),
  _xlpm.c, MATCH(BP$8,'3. Enter Indicator Scores'!$D$8:$CZ$8,0),
  _xlpm.v, IFERROR(INDEX('3. Enter Indicator Scores'!$D$10:$CZ$161,_xlpm.r,_xlpm.c),""),
  IF(OR(_xlpm.w="",_xlpm.v=""),"",_xlpm.v*_xlpm.w)
)</f>
        <v/>
      </c>
      <c r="BQ121" s="93" t="str" cm="1">
        <f t="array" ref="BQ121">_xlfn.LET(
  _xlpm.w, BQ$11,
  _xlpm.r, MATCH(1,('3. Enter Indicator Scores'!$B$10:$B$161=$B121)*('3. Enter Indicator Scores'!$C$10:$C$161=$C121),0),
  _xlpm.c, MATCH(BQ$8,'3. Enter Indicator Scores'!$D$8:$CZ$8,0),
  _xlpm.v, IFERROR(INDEX('3. Enter Indicator Scores'!$D$10:$CZ$161,_xlpm.r,_xlpm.c),""),
  IF(OR(_xlpm.w="",_xlpm.v=""),"",_xlpm.v*_xlpm.w)
)</f>
        <v/>
      </c>
      <c r="BR121" s="93" t="str" cm="1">
        <f t="array" ref="BR121">_xlfn.LET(
  _xlpm.w, BR$11,
  _xlpm.r, MATCH(1,('3. Enter Indicator Scores'!$B$10:$B$161=$B121)*('3. Enter Indicator Scores'!$C$10:$C$161=$C121),0),
  _xlpm.c, MATCH(BR$8,'3. Enter Indicator Scores'!$D$8:$CZ$8,0),
  _xlpm.v, IFERROR(INDEX('3. Enter Indicator Scores'!$D$10:$CZ$161,_xlpm.r,_xlpm.c),""),
  IF(OR(_xlpm.w="",_xlpm.v=""),"",_xlpm.v*_xlpm.w)
)</f>
        <v/>
      </c>
      <c r="BS121" s="93" t="str" cm="1">
        <f t="array" ref="BS121">_xlfn.LET(
  _xlpm.w, BS$11,
  _xlpm.r, MATCH(1,('3. Enter Indicator Scores'!$B$10:$B$161=$B121)*('3. Enter Indicator Scores'!$C$10:$C$161=$C121),0),
  _xlpm.c, MATCH(BS$8,'3. Enter Indicator Scores'!$D$8:$CZ$8,0),
  _xlpm.v, IFERROR(INDEX('3. Enter Indicator Scores'!$D$10:$CZ$161,_xlpm.r,_xlpm.c),""),
  IF(OR(_xlpm.w="",_xlpm.v=""),"",_xlpm.v*_xlpm.w)
)</f>
        <v/>
      </c>
      <c r="BT121" s="93" t="str" cm="1">
        <f t="array" ref="BT121">_xlfn.LET(
  _xlpm.w, BT$11,
  _xlpm.r, MATCH(1,('3. Enter Indicator Scores'!$B$10:$B$161=$B121)*('3. Enter Indicator Scores'!$C$10:$C$161=$C121),0),
  _xlpm.c, MATCH(BT$8,'3. Enter Indicator Scores'!$D$8:$CZ$8,0),
  _xlpm.v, IFERROR(INDEX('3. Enter Indicator Scores'!$D$10:$CZ$161,_xlpm.r,_xlpm.c),""),
  IF(OR(_xlpm.w="",_xlpm.v=""),"",_xlpm.v*_xlpm.w)
)</f>
        <v/>
      </c>
      <c r="BU121" s="93" t="str" cm="1">
        <f t="array" ref="BU121">_xlfn.LET(
  _xlpm.w, BU$11,
  _xlpm.r, MATCH(1,('3. Enter Indicator Scores'!$B$10:$B$161=$B121)*('3. Enter Indicator Scores'!$C$10:$C$161=$C121),0),
  _xlpm.c, MATCH(BU$8,'3. Enter Indicator Scores'!$D$8:$CZ$8,0),
  _xlpm.v, IFERROR(INDEX('3. Enter Indicator Scores'!$D$10:$CZ$161,_xlpm.r,_xlpm.c),""),
  IF(OR(_xlpm.w="",_xlpm.v=""),"",_xlpm.v*_xlpm.w)
)</f>
        <v/>
      </c>
      <c r="BV121" s="93" t="str" cm="1">
        <f t="array" ref="BV121">_xlfn.LET(
  _xlpm.w, BV$11,
  _xlpm.r, MATCH(1,('3. Enter Indicator Scores'!$B$10:$B$161=$B121)*('3. Enter Indicator Scores'!$C$10:$C$161=$C121),0),
  _xlpm.c, MATCH(BV$8,'3. Enter Indicator Scores'!$D$8:$CZ$8,0),
  _xlpm.v, IFERROR(INDEX('3. Enter Indicator Scores'!$D$10:$CZ$161,_xlpm.r,_xlpm.c),""),
  IF(OR(_xlpm.w="",_xlpm.v=""),"",_xlpm.v*_xlpm.w)
)</f>
        <v/>
      </c>
      <c r="BW121" s="93" t="str" cm="1">
        <f t="array" ref="BW121">_xlfn.LET(
  _xlpm.w, BW$11,
  _xlpm.r, MATCH(1,('3. Enter Indicator Scores'!$B$10:$B$161=$B121)*('3. Enter Indicator Scores'!$C$10:$C$161=$C121),0),
  _xlpm.c, MATCH(BW$8,'3. Enter Indicator Scores'!$D$8:$CZ$8,0),
  _xlpm.v, IFERROR(INDEX('3. Enter Indicator Scores'!$D$10:$CZ$161,_xlpm.r,_xlpm.c),""),
  IF(OR(_xlpm.w="",_xlpm.v=""),"",_xlpm.v*_xlpm.w)
)</f>
        <v/>
      </c>
      <c r="BX121" s="93" t="str" cm="1">
        <f t="array" ref="BX121">_xlfn.LET(
  _xlpm.w, BX$11,
  _xlpm.r, MATCH(1,('3. Enter Indicator Scores'!$B$10:$B$161=$B121)*('3. Enter Indicator Scores'!$C$10:$C$161=$C121),0),
  _xlpm.c, MATCH(BX$8,'3. Enter Indicator Scores'!$D$8:$CZ$8,0),
  _xlpm.v, IFERROR(INDEX('3. Enter Indicator Scores'!$D$10:$CZ$161,_xlpm.r,_xlpm.c),""),
  IF(OR(_xlpm.w="",_xlpm.v=""),"",_xlpm.v*_xlpm.w)
)</f>
        <v/>
      </c>
      <c r="BY121" s="93" t="str" cm="1">
        <f t="array" ref="BY121">_xlfn.LET(
  _xlpm.w, BY$11,
  _xlpm.r, MATCH(1,('3. Enter Indicator Scores'!$B$10:$B$161=$B121)*('3. Enter Indicator Scores'!$C$10:$C$161=$C121),0),
  _xlpm.c, MATCH(BY$8,'3. Enter Indicator Scores'!$D$8:$CZ$8,0),
  _xlpm.v, IFERROR(INDEX('3. Enter Indicator Scores'!$D$10:$CZ$161,_xlpm.r,_xlpm.c),""),
  IF(OR(_xlpm.w="",_xlpm.v=""),"",_xlpm.v*_xlpm.w)
)</f>
        <v/>
      </c>
      <c r="BZ121" s="93" t="str" cm="1">
        <f t="array" ref="BZ121">_xlfn.LET(
  _xlpm.w, BZ$11,
  _xlpm.r, MATCH(1,('3. Enter Indicator Scores'!$B$10:$B$161=$B121)*('3. Enter Indicator Scores'!$C$10:$C$161=$C121),0),
  _xlpm.c, MATCH(BZ$8,'3. Enter Indicator Scores'!$D$8:$CZ$8,0),
  _xlpm.v, IFERROR(INDEX('3. Enter Indicator Scores'!$D$10:$CZ$161,_xlpm.r,_xlpm.c),""),
  IF(OR(_xlpm.w="",_xlpm.v=""),"",_xlpm.v*_xlpm.w)
)</f>
        <v/>
      </c>
      <c r="CA121" s="93" t="str" cm="1">
        <f t="array" ref="CA121">_xlfn.LET(
  _xlpm.w, CA$11,
  _xlpm.r, MATCH(1,('3. Enter Indicator Scores'!$B$10:$B$161=$B121)*('3. Enter Indicator Scores'!$C$10:$C$161=$C121),0),
  _xlpm.c, MATCH(CA$8,'3. Enter Indicator Scores'!$D$8:$CZ$8,0),
  _xlpm.v, IFERROR(INDEX('3. Enter Indicator Scores'!$D$10:$CZ$161,_xlpm.r,_xlpm.c),""),
  IF(OR(_xlpm.w="",_xlpm.v=""),"",_xlpm.v*_xlpm.w)
)</f>
        <v/>
      </c>
      <c r="CB121" s="93" t="str" cm="1">
        <f t="array" ref="CB121">_xlfn.LET(
  _xlpm.w, CB$11,
  _xlpm.r, MATCH(1,('3. Enter Indicator Scores'!$B$10:$B$161=$B121)*('3. Enter Indicator Scores'!$C$10:$C$161=$C121),0),
  _xlpm.c, MATCH(CB$8,'3. Enter Indicator Scores'!$D$8:$CZ$8,0),
  _xlpm.v, IFERROR(INDEX('3. Enter Indicator Scores'!$D$10:$CZ$161,_xlpm.r,_xlpm.c),""),
  IF(OR(_xlpm.w="",_xlpm.v=""),"",_xlpm.v*_xlpm.w)
)</f>
        <v/>
      </c>
      <c r="CC121" s="93" t="str" cm="1">
        <f t="array" ref="CC121">_xlfn.LET(
  _xlpm.w, CC$11,
  _xlpm.r, MATCH(1,('3. Enter Indicator Scores'!$B$10:$B$161=$B121)*('3. Enter Indicator Scores'!$C$10:$C$161=$C121),0),
  _xlpm.c, MATCH(CC$8,'3. Enter Indicator Scores'!$D$8:$CZ$8,0),
  _xlpm.v, IFERROR(INDEX('3. Enter Indicator Scores'!$D$10:$CZ$161,_xlpm.r,_xlpm.c),""),
  IF(OR(_xlpm.w="",_xlpm.v=""),"",_xlpm.v*_xlpm.w)
)</f>
        <v/>
      </c>
      <c r="CD121" s="93" t="str" cm="1">
        <f t="array" ref="CD121">_xlfn.LET(
  _xlpm.w, CD$11,
  _xlpm.r, MATCH(1,('3. Enter Indicator Scores'!$B$10:$B$161=$B121)*('3. Enter Indicator Scores'!$C$10:$C$161=$C121),0),
  _xlpm.c, MATCH(CD$8,'3. Enter Indicator Scores'!$D$8:$CZ$8,0),
  _xlpm.v, IFERROR(INDEX('3. Enter Indicator Scores'!$D$10:$CZ$161,_xlpm.r,_xlpm.c),""),
  IF(OR(_xlpm.w="",_xlpm.v=""),"",_xlpm.v*_xlpm.w)
)</f>
        <v/>
      </c>
      <c r="CE121" s="93" t="str" cm="1">
        <f t="array" ref="CE121">_xlfn.LET(
  _xlpm.w, CE$11,
  _xlpm.r, MATCH(1,('3. Enter Indicator Scores'!$B$10:$B$161=$B121)*('3. Enter Indicator Scores'!$C$10:$C$161=$C121),0),
  _xlpm.c, MATCH(CE$8,'3. Enter Indicator Scores'!$D$8:$CZ$8,0),
  _xlpm.v, IFERROR(INDEX('3. Enter Indicator Scores'!$D$10:$CZ$161,_xlpm.r,_xlpm.c),""),
  IF(OR(_xlpm.w="",_xlpm.v=""),"",_xlpm.v*_xlpm.w)
)</f>
        <v/>
      </c>
      <c r="CF121" s="93" t="str" cm="1">
        <f t="array" ref="CF121">_xlfn.LET(
  _xlpm.w, CF$11,
  _xlpm.r, MATCH(1,('3. Enter Indicator Scores'!$B$10:$B$161=$B121)*('3. Enter Indicator Scores'!$C$10:$C$161=$C121),0),
  _xlpm.c, MATCH(CF$8,'3. Enter Indicator Scores'!$D$8:$CZ$8,0),
  _xlpm.v, IFERROR(INDEX('3. Enter Indicator Scores'!$D$10:$CZ$161,_xlpm.r,_xlpm.c),""),
  IF(OR(_xlpm.w="",_xlpm.v=""),"",_xlpm.v*_xlpm.w)
)</f>
        <v/>
      </c>
      <c r="CG121" s="93" t="str" cm="1">
        <f t="array" ref="CG121">_xlfn.LET(
  _xlpm.w, CG$11,
  _xlpm.r, MATCH(1,('3. Enter Indicator Scores'!$B$10:$B$161=$B121)*('3. Enter Indicator Scores'!$C$10:$C$161=$C121),0),
  _xlpm.c, MATCH(CG$8,'3. Enter Indicator Scores'!$D$8:$CZ$8,0),
  _xlpm.v, IFERROR(INDEX('3. Enter Indicator Scores'!$D$10:$CZ$161,_xlpm.r,_xlpm.c),""),
  IF(OR(_xlpm.w="",_xlpm.v=""),"",_xlpm.v*_xlpm.w)
)</f>
        <v/>
      </c>
      <c r="CH121" s="93" t="str" cm="1">
        <f t="array" ref="CH121">_xlfn.LET(
  _xlpm.w, CH$11,
  _xlpm.r, MATCH(1,('3. Enter Indicator Scores'!$B$10:$B$161=$B121)*('3. Enter Indicator Scores'!$C$10:$C$161=$C121),0),
  _xlpm.c, MATCH(CH$8,'3. Enter Indicator Scores'!$D$8:$CZ$8,0),
  _xlpm.v, IFERROR(INDEX('3. Enter Indicator Scores'!$D$10:$CZ$161,_xlpm.r,_xlpm.c),""),
  IF(OR(_xlpm.w="",_xlpm.v=""),"",_xlpm.v*_xlpm.w)
)</f>
        <v/>
      </c>
      <c r="CI121" s="93" t="str" cm="1">
        <f t="array" ref="CI121">_xlfn.LET(
  _xlpm.w, CI$11,
  _xlpm.r, MATCH(1,('3. Enter Indicator Scores'!$B$10:$B$161=$B121)*('3. Enter Indicator Scores'!$C$10:$C$161=$C121),0),
  _xlpm.c, MATCH(CI$8,'3. Enter Indicator Scores'!$D$8:$CZ$8,0),
  _xlpm.v, IFERROR(INDEX('3. Enter Indicator Scores'!$D$10:$CZ$161,_xlpm.r,_xlpm.c),""),
  IF(OR(_xlpm.w="",_xlpm.v=""),"",_xlpm.v*_xlpm.w)
)</f>
        <v/>
      </c>
      <c r="CJ121" s="93" t="str" cm="1">
        <f t="array" ref="CJ121">_xlfn.LET(
  _xlpm.w, CJ$11,
  _xlpm.r, MATCH(1,('3. Enter Indicator Scores'!$B$10:$B$161=$B121)*('3. Enter Indicator Scores'!$C$10:$C$161=$C121),0),
  _xlpm.c, MATCH(CJ$8,'3. Enter Indicator Scores'!$D$8:$CZ$8,0),
  _xlpm.v, IFERROR(INDEX('3. Enter Indicator Scores'!$D$10:$CZ$161,_xlpm.r,_xlpm.c),""),
  IF(OR(_xlpm.w="",_xlpm.v=""),"",_xlpm.v*_xlpm.w)
)</f>
        <v/>
      </c>
      <c r="CK121" s="93" t="str" cm="1">
        <f t="array" ref="CK121">_xlfn.LET(
  _xlpm.w, CK$11,
  _xlpm.r, MATCH(1,('3. Enter Indicator Scores'!$B$10:$B$161=$B121)*('3. Enter Indicator Scores'!$C$10:$C$161=$C121),0),
  _xlpm.c, MATCH(CK$8,'3. Enter Indicator Scores'!$D$8:$CZ$8,0),
  _xlpm.v, IFERROR(INDEX('3. Enter Indicator Scores'!$D$10:$CZ$161,_xlpm.r,_xlpm.c),""),
  IF(OR(_xlpm.w="",_xlpm.v=""),"",_xlpm.v*_xlpm.w)
)</f>
        <v/>
      </c>
      <c r="CL121" s="93" t="str" cm="1">
        <f t="array" ref="CL121">_xlfn.LET(
  _xlpm.w, CL$11,
  _xlpm.r, MATCH(1,('3. Enter Indicator Scores'!$B$10:$B$161=$B121)*('3. Enter Indicator Scores'!$C$10:$C$161=$C121),0),
  _xlpm.c, MATCH(CL$8,'3. Enter Indicator Scores'!$D$8:$CZ$8,0),
  _xlpm.v, IFERROR(INDEX('3. Enter Indicator Scores'!$D$10:$CZ$161,_xlpm.r,_xlpm.c),""),
  IF(OR(_xlpm.w="",_xlpm.v=""),"",_xlpm.v*_xlpm.w)
)</f>
        <v/>
      </c>
      <c r="CM121" s="93" t="str" cm="1">
        <f t="array" ref="CM121">_xlfn.LET(
  _xlpm.w, CM$11,
  _xlpm.r, MATCH(1,('3. Enter Indicator Scores'!$B$10:$B$161=$B121)*('3. Enter Indicator Scores'!$C$10:$C$161=$C121),0),
  _xlpm.c, MATCH(CM$8,'3. Enter Indicator Scores'!$D$8:$CZ$8,0),
  _xlpm.v, IFERROR(INDEX('3. Enter Indicator Scores'!$D$10:$CZ$161,_xlpm.r,_xlpm.c),""),
  IF(OR(_xlpm.w="",_xlpm.v=""),"",_xlpm.v*_xlpm.w)
)</f>
        <v/>
      </c>
      <c r="CN121" s="93" t="str" cm="1">
        <f t="array" ref="CN121">_xlfn.LET(
  _xlpm.w, CN$11,
  _xlpm.r, MATCH(1,('3. Enter Indicator Scores'!$B$10:$B$161=$B121)*('3. Enter Indicator Scores'!$C$10:$C$161=$C121),0),
  _xlpm.c, MATCH(CN$8,'3. Enter Indicator Scores'!$D$8:$CZ$8,0),
  _xlpm.v, IFERROR(INDEX('3. Enter Indicator Scores'!$D$10:$CZ$161,_xlpm.r,_xlpm.c),""),
  IF(OR(_xlpm.w="",_xlpm.v=""),"",_xlpm.v*_xlpm.w)
)</f>
        <v/>
      </c>
      <c r="CO121" s="93" t="str" cm="1">
        <f t="array" ref="CO121">_xlfn.LET(
  _xlpm.w, CO$11,
  _xlpm.r, MATCH(1,('3. Enter Indicator Scores'!$B$10:$B$161=$B121)*('3. Enter Indicator Scores'!$C$10:$C$161=$C121),0),
  _xlpm.c, MATCH(CO$8,'3. Enter Indicator Scores'!$D$8:$CZ$8,0),
  _xlpm.v, IFERROR(INDEX('3. Enter Indicator Scores'!$D$10:$CZ$161,_xlpm.r,_xlpm.c),""),
  IF(OR(_xlpm.w="",_xlpm.v=""),"",_xlpm.v*_xlpm.w)
)</f>
        <v/>
      </c>
      <c r="CP121" s="93" t="str" cm="1">
        <f t="array" ref="CP121">_xlfn.LET(
  _xlpm.w, CP$11,
  _xlpm.r, MATCH(1,('3. Enter Indicator Scores'!$B$10:$B$161=$B121)*('3. Enter Indicator Scores'!$C$10:$C$161=$C121),0),
  _xlpm.c, MATCH(CP$8,'3. Enter Indicator Scores'!$D$8:$CZ$8,0),
  _xlpm.v, IFERROR(INDEX('3. Enter Indicator Scores'!$D$10:$CZ$161,_xlpm.r,_xlpm.c),""),
  IF(OR(_xlpm.w="",_xlpm.v=""),"",_xlpm.v*_xlpm.w)
)</f>
        <v/>
      </c>
      <c r="CQ121" s="93" t="str" cm="1">
        <f t="array" ref="CQ121">_xlfn.LET(
  _xlpm.w, CQ$11,
  _xlpm.r, MATCH(1,('3. Enter Indicator Scores'!$B$10:$B$161=$B121)*('3. Enter Indicator Scores'!$C$10:$C$161=$C121),0),
  _xlpm.c, MATCH(CQ$8,'3. Enter Indicator Scores'!$D$8:$CZ$8,0),
  _xlpm.v, IFERROR(INDEX('3. Enter Indicator Scores'!$D$10:$CZ$161,_xlpm.r,_xlpm.c),""),
  IF(OR(_xlpm.w="",_xlpm.v=""),"",_xlpm.v*_xlpm.w)
)</f>
        <v/>
      </c>
      <c r="CR121" s="93" t="str" cm="1">
        <f t="array" ref="CR121">_xlfn.LET(
  _xlpm.w, CR$11,
  _xlpm.r, MATCH(1,('3. Enter Indicator Scores'!$B$10:$B$161=$B121)*('3. Enter Indicator Scores'!$C$10:$C$161=$C121),0),
  _xlpm.c, MATCH(CR$8,'3. Enter Indicator Scores'!$D$8:$CZ$8,0),
  _xlpm.v, IFERROR(INDEX('3. Enter Indicator Scores'!$D$10:$CZ$161,_xlpm.r,_xlpm.c),""),
  IF(OR(_xlpm.w="",_xlpm.v=""),"",_xlpm.v*_xlpm.w)
)</f>
        <v/>
      </c>
      <c r="CS121" s="93" t="str" cm="1">
        <f t="array" ref="CS121">_xlfn.LET(
  _xlpm.w, CS$11,
  _xlpm.r, MATCH(1,('3. Enter Indicator Scores'!$B$10:$B$161=$B121)*('3. Enter Indicator Scores'!$C$10:$C$161=$C121),0),
  _xlpm.c, MATCH(CS$8,'3. Enter Indicator Scores'!$D$8:$CZ$8,0),
  _xlpm.v, IFERROR(INDEX('3. Enter Indicator Scores'!$D$10:$CZ$161,_xlpm.r,_xlpm.c),""),
  IF(OR(_xlpm.w="",_xlpm.v=""),"",_xlpm.v*_xlpm.w)
)</f>
        <v/>
      </c>
      <c r="CT121" s="93" t="str" cm="1">
        <f t="array" ref="CT121">_xlfn.LET(
  _xlpm.w, CT$11,
  _xlpm.r, MATCH(1,('3. Enter Indicator Scores'!$B$10:$B$161=$B121)*('3. Enter Indicator Scores'!$C$10:$C$161=$C121),0),
  _xlpm.c, MATCH(CT$8,'3. Enter Indicator Scores'!$D$8:$CZ$8,0),
  _xlpm.v, IFERROR(INDEX('3. Enter Indicator Scores'!$D$10:$CZ$161,_xlpm.r,_xlpm.c),""),
  IF(OR(_xlpm.w="",_xlpm.v=""),"",_xlpm.v*_xlpm.w)
)</f>
        <v/>
      </c>
      <c r="CU121" s="93" t="str" cm="1">
        <f t="array" ref="CU121">_xlfn.LET(
  _xlpm.w, CU$11,
  _xlpm.r, MATCH(1,('3. Enter Indicator Scores'!$B$10:$B$161=$B121)*('3. Enter Indicator Scores'!$C$10:$C$161=$C121),0),
  _xlpm.c, MATCH(CU$8,'3. Enter Indicator Scores'!$D$8:$CZ$8,0),
  _xlpm.v, IFERROR(INDEX('3. Enter Indicator Scores'!$D$10:$CZ$161,_xlpm.r,_xlpm.c),""),
  IF(OR(_xlpm.w="",_xlpm.v=""),"",_xlpm.v*_xlpm.w)
)</f>
        <v/>
      </c>
      <c r="CV121" s="93" t="str" cm="1">
        <f t="array" ref="CV121">_xlfn.LET(
  _xlpm.w, CV$11,
  _xlpm.r, MATCH(1,('3. Enter Indicator Scores'!$B$10:$B$161=$B121)*('3. Enter Indicator Scores'!$C$10:$C$161=$C121),0),
  _xlpm.c, MATCH(CV$8,'3. Enter Indicator Scores'!$D$8:$CZ$8,0),
  _xlpm.v, IFERROR(INDEX('3. Enter Indicator Scores'!$D$10:$CZ$161,_xlpm.r,_xlpm.c),""),
  IF(OR(_xlpm.w="",_xlpm.v=""),"",_xlpm.v*_xlpm.w)
)</f>
        <v/>
      </c>
      <c r="CW121" s="93" t="str" cm="1">
        <f t="array" ref="CW121">_xlfn.LET(
  _xlpm.w, CW$11,
  _xlpm.r, MATCH(1,('3. Enter Indicator Scores'!$B$10:$B$161=$B121)*('3. Enter Indicator Scores'!$C$10:$C$161=$C121),0),
  _xlpm.c, MATCH(CW$8,'3. Enter Indicator Scores'!$D$8:$CZ$8,0),
  _xlpm.v, IFERROR(INDEX('3. Enter Indicator Scores'!$D$10:$CZ$161,_xlpm.r,_xlpm.c),""),
  IF(OR(_xlpm.w="",_xlpm.v=""),"",_xlpm.v*_xlpm.w)
)</f>
        <v/>
      </c>
      <c r="CX121" s="93" t="str" cm="1">
        <f t="array" ref="CX121">_xlfn.LET(
  _xlpm.w, CX$11,
  _xlpm.r, MATCH(1,('3. Enter Indicator Scores'!$B$10:$B$161=$B121)*('3. Enter Indicator Scores'!$C$10:$C$161=$C121),0),
  _xlpm.c, MATCH(CX$8,'3. Enter Indicator Scores'!$D$8:$CZ$8,0),
  _xlpm.v, IFERROR(INDEX('3. Enter Indicator Scores'!$D$10:$CZ$161,_xlpm.r,_xlpm.c),""),
  IF(OR(_xlpm.w="",_xlpm.v=""),"",_xlpm.v*_xlpm.w)
)</f>
        <v/>
      </c>
      <c r="CY121" s="93" t="str" cm="1">
        <f t="array" ref="CY121">_xlfn.LET(
  _xlpm.w, CY$11,
  _xlpm.r, MATCH(1,('3. Enter Indicator Scores'!$B$10:$B$161=$B121)*('3. Enter Indicator Scores'!$C$10:$C$161=$C121),0),
  _xlpm.c, MATCH(CY$8,'3. Enter Indicator Scores'!$D$8:$CZ$8,0),
  _xlpm.v, IFERROR(INDEX('3. Enter Indicator Scores'!$D$10:$CZ$161,_xlpm.r,_xlpm.c),""),
  IF(OR(_xlpm.w="",_xlpm.v=""),"",_xlpm.v*_xlpm.w)
)</f>
        <v/>
      </c>
      <c r="CZ121" s="93" t="str" cm="1">
        <f t="array" ref="CZ121">_xlfn.LET(
  _xlpm.w, CZ$11,
  _xlpm.r, MATCH(1,('3. Enter Indicator Scores'!$B$10:$B$161=$B121)*('3. Enter Indicator Scores'!$C$10:$C$161=$C121),0),
  _xlpm.c, MATCH(CZ$8,'3. Enter Indicator Scores'!$D$8:$CZ$8,0),
  _xlpm.v, IFERROR(INDEX('3. Enter Indicator Scores'!$D$10:$CZ$161,_xlpm.r,_xlpm.c),""),
  IF(OR(_xlpm.w="",_xlpm.v=""),"",_xlpm.v*_xlpm.w)
)</f>
        <v/>
      </c>
    </row>
    <row r="122" spans="4:104" x14ac:dyDescent="0.2">
      <c r="D122" s="93" t="str" cm="1">
        <f t="array" ref="D122">_xlfn.LET(
  _xlpm.w, D$11,
  _xlpm.r, MATCH(1,('3. Enter Indicator Scores'!$B$10:$B$161=$B122)*('3. Enter Indicator Scores'!$C$10:$C$161=$C122),0),
  _xlpm.c, MATCH(D$8,'3. Enter Indicator Scores'!$D$8:$CZ$8,0),
  _xlpm.v, IFERROR(INDEX('3. Enter Indicator Scores'!$D$10:$CZ$161,_xlpm.r,_xlpm.c),""),
  IF(OR(_xlpm.w="",_xlpm.v=""),"",_xlpm.v*_xlpm.w)
)</f>
        <v/>
      </c>
      <c r="E122" s="93" t="str" cm="1">
        <f t="array" ref="E122">_xlfn.LET(
  _xlpm.w, E$11,
  _xlpm.r, MATCH(1,('3. Enter Indicator Scores'!$B$10:$B$161=$B122)*('3. Enter Indicator Scores'!$C$10:$C$161=$C122),0),
  _xlpm.c, MATCH(E$8,'3. Enter Indicator Scores'!$D$8:$CZ$8,0),
  _xlpm.v, IFERROR(INDEX('3. Enter Indicator Scores'!$D$10:$CZ$161,_xlpm.r,_xlpm.c),""),
  IF(OR(_xlpm.w="",_xlpm.v=""),"",_xlpm.v*_xlpm.w)
)</f>
        <v/>
      </c>
      <c r="F122" s="93" t="str" cm="1">
        <f t="array" ref="F122">_xlfn.LET(
  _xlpm.w, F$11,
  _xlpm.r, MATCH(1,('3. Enter Indicator Scores'!$B$10:$B$161=$B122)*('3. Enter Indicator Scores'!$C$10:$C$161=$C122),0),
  _xlpm.c, MATCH(F$8,'3. Enter Indicator Scores'!$D$8:$CZ$8,0),
  _xlpm.v, IFERROR(INDEX('3. Enter Indicator Scores'!$D$10:$CZ$161,_xlpm.r,_xlpm.c),""),
  IF(OR(_xlpm.w="",_xlpm.v=""),"",_xlpm.v*_xlpm.w)
)</f>
        <v/>
      </c>
      <c r="G122" s="93" t="str" cm="1">
        <f t="array" ref="G122">_xlfn.LET(
  _xlpm.w, G$11,
  _xlpm.r, MATCH(1,('3. Enter Indicator Scores'!$B$10:$B$161=$B122)*('3. Enter Indicator Scores'!$C$10:$C$161=$C122),0),
  _xlpm.c, MATCH(G$8,'3. Enter Indicator Scores'!$D$8:$CZ$8,0),
  _xlpm.v, IFERROR(INDEX('3. Enter Indicator Scores'!$D$10:$CZ$161,_xlpm.r,_xlpm.c),""),
  IF(OR(_xlpm.w="",_xlpm.v=""),"",_xlpm.v*_xlpm.w)
)</f>
        <v/>
      </c>
      <c r="H122" s="93" t="str" cm="1">
        <f t="array" ref="H122">_xlfn.LET(
  _xlpm.w, H$11,
  _xlpm.r, MATCH(1,('3. Enter Indicator Scores'!$B$10:$B$161=$B122)*('3. Enter Indicator Scores'!$C$10:$C$161=$C122),0),
  _xlpm.c, MATCH(H$8,'3. Enter Indicator Scores'!$D$8:$CZ$8,0),
  _xlpm.v, IFERROR(INDEX('3. Enter Indicator Scores'!$D$10:$CZ$161,_xlpm.r,_xlpm.c),""),
  IF(OR(_xlpm.w="",_xlpm.v=""),"",_xlpm.v*_xlpm.w)
)</f>
        <v/>
      </c>
      <c r="I122" s="93" t="str" cm="1">
        <f t="array" ref="I122">_xlfn.LET(
  _xlpm.w, I$11,
  _xlpm.r, MATCH(1,('3. Enter Indicator Scores'!$B$10:$B$161=$B122)*('3. Enter Indicator Scores'!$C$10:$C$161=$C122),0),
  _xlpm.c, MATCH(I$8,'3. Enter Indicator Scores'!$D$8:$CZ$8,0),
  _xlpm.v, IFERROR(INDEX('3. Enter Indicator Scores'!$D$10:$CZ$161,_xlpm.r,_xlpm.c),""),
  IF(OR(_xlpm.w="",_xlpm.v=""),"",_xlpm.v*_xlpm.w)
)</f>
        <v/>
      </c>
      <c r="J122" s="93" t="str" cm="1">
        <f t="array" ref="J122">_xlfn.LET(
  _xlpm.w, J$11,
  _xlpm.r, MATCH(1,('3. Enter Indicator Scores'!$B$10:$B$161=$B122)*('3. Enter Indicator Scores'!$C$10:$C$161=$C122),0),
  _xlpm.c, MATCH(J$8,'3. Enter Indicator Scores'!$D$8:$CZ$8,0),
  _xlpm.v, IFERROR(INDEX('3. Enter Indicator Scores'!$D$10:$CZ$161,_xlpm.r,_xlpm.c),""),
  IF(OR(_xlpm.w="",_xlpm.v=""),"",_xlpm.v*_xlpm.w)
)</f>
        <v/>
      </c>
      <c r="K122" s="93" t="str" cm="1">
        <f t="array" ref="K122">_xlfn.LET(
  _xlpm.w, K$11,
  _xlpm.r, MATCH(1,('3. Enter Indicator Scores'!$B$10:$B$161=$B122)*('3. Enter Indicator Scores'!$C$10:$C$161=$C122),0),
  _xlpm.c, MATCH(K$8,'3. Enter Indicator Scores'!$D$8:$CZ$8,0),
  _xlpm.v, IFERROR(INDEX('3. Enter Indicator Scores'!$D$10:$CZ$161,_xlpm.r,_xlpm.c),""),
  IF(OR(_xlpm.w="",_xlpm.v=""),"",_xlpm.v*_xlpm.w)
)</f>
        <v/>
      </c>
      <c r="L122" s="93" t="str" cm="1">
        <f t="array" ref="L122">_xlfn.LET(
  _xlpm.w, L$11,
  _xlpm.r, MATCH(1,('3. Enter Indicator Scores'!$B$10:$B$161=$B122)*('3. Enter Indicator Scores'!$C$10:$C$161=$C122),0),
  _xlpm.c, MATCH(L$8,'3. Enter Indicator Scores'!$D$8:$CZ$8,0),
  _xlpm.v, IFERROR(INDEX('3. Enter Indicator Scores'!$D$10:$CZ$161,_xlpm.r,_xlpm.c),""),
  IF(OR(_xlpm.w="",_xlpm.v=""),"",_xlpm.v*_xlpm.w)
)</f>
        <v/>
      </c>
      <c r="M122" s="93" t="str" cm="1">
        <f t="array" ref="M122">_xlfn.LET(
  _xlpm.w, M$11,
  _xlpm.r, MATCH(1,('3. Enter Indicator Scores'!$B$10:$B$161=$B122)*('3. Enter Indicator Scores'!$C$10:$C$161=$C122),0),
  _xlpm.c, MATCH(M$8,'3. Enter Indicator Scores'!$D$8:$CZ$8,0),
  _xlpm.v, IFERROR(INDEX('3. Enter Indicator Scores'!$D$10:$CZ$161,_xlpm.r,_xlpm.c),""),
  IF(OR(_xlpm.w="",_xlpm.v=""),"",_xlpm.v*_xlpm.w)
)</f>
        <v/>
      </c>
      <c r="N122" s="93" t="str" cm="1">
        <f t="array" ref="N122">_xlfn.LET(
  _xlpm.w, N$11,
  _xlpm.r, MATCH(1,('3. Enter Indicator Scores'!$B$10:$B$161=$B122)*('3. Enter Indicator Scores'!$C$10:$C$161=$C122),0),
  _xlpm.c, MATCH(N$8,'3. Enter Indicator Scores'!$D$8:$CZ$8,0),
  _xlpm.v, IFERROR(INDEX('3. Enter Indicator Scores'!$D$10:$CZ$161,_xlpm.r,_xlpm.c),""),
  IF(OR(_xlpm.w="",_xlpm.v=""),"",_xlpm.v*_xlpm.w)
)</f>
        <v/>
      </c>
      <c r="O122" s="93" t="str" cm="1">
        <f t="array" ref="O122">_xlfn.LET(
  _xlpm.w, O$11,
  _xlpm.r, MATCH(1,('3. Enter Indicator Scores'!$B$10:$B$161=$B122)*('3. Enter Indicator Scores'!$C$10:$C$161=$C122),0),
  _xlpm.c, MATCH(O$8,'3. Enter Indicator Scores'!$D$8:$CZ$8,0),
  _xlpm.v, IFERROR(INDEX('3. Enter Indicator Scores'!$D$10:$CZ$161,_xlpm.r,_xlpm.c),""),
  IF(OR(_xlpm.w="",_xlpm.v=""),"",_xlpm.v*_xlpm.w)
)</f>
        <v/>
      </c>
      <c r="P122" s="93" t="str" cm="1">
        <f t="array" ref="P122">_xlfn.LET(
  _xlpm.w, P$11,
  _xlpm.r, MATCH(1,('3. Enter Indicator Scores'!$B$10:$B$161=$B122)*('3. Enter Indicator Scores'!$C$10:$C$161=$C122),0),
  _xlpm.c, MATCH(P$8,'3. Enter Indicator Scores'!$D$8:$CZ$8,0),
  _xlpm.v, IFERROR(INDEX('3. Enter Indicator Scores'!$D$10:$CZ$161,_xlpm.r,_xlpm.c),""),
  IF(OR(_xlpm.w="",_xlpm.v=""),"",_xlpm.v*_xlpm.w)
)</f>
        <v/>
      </c>
      <c r="Q122" s="93" t="str" cm="1">
        <f t="array" ref="Q122">_xlfn.LET(
  _xlpm.w, Q$11,
  _xlpm.r, MATCH(1,('3. Enter Indicator Scores'!$B$10:$B$161=$B122)*('3. Enter Indicator Scores'!$C$10:$C$161=$C122),0),
  _xlpm.c, MATCH(Q$8,'3. Enter Indicator Scores'!$D$8:$CZ$8,0),
  _xlpm.v, IFERROR(INDEX('3. Enter Indicator Scores'!$D$10:$CZ$161,_xlpm.r,_xlpm.c),""),
  IF(OR(_xlpm.w="",_xlpm.v=""),"",_xlpm.v*_xlpm.w)
)</f>
        <v/>
      </c>
      <c r="R122" s="93" t="str" cm="1">
        <f t="array" ref="R122">_xlfn.LET(
  _xlpm.w, R$11,
  _xlpm.r, MATCH(1,('3. Enter Indicator Scores'!$B$10:$B$161=$B122)*('3. Enter Indicator Scores'!$C$10:$C$161=$C122),0),
  _xlpm.c, MATCH(R$8,'3. Enter Indicator Scores'!$D$8:$CZ$8,0),
  _xlpm.v, IFERROR(INDEX('3. Enter Indicator Scores'!$D$10:$CZ$161,_xlpm.r,_xlpm.c),""),
  IF(OR(_xlpm.w="",_xlpm.v=""),"",_xlpm.v*_xlpm.w)
)</f>
        <v/>
      </c>
      <c r="S122" s="93" t="str" cm="1">
        <f t="array" ref="S122">_xlfn.LET(
  _xlpm.w, S$11,
  _xlpm.r, MATCH(1,('3. Enter Indicator Scores'!$B$10:$B$161=$B122)*('3. Enter Indicator Scores'!$C$10:$C$161=$C122),0),
  _xlpm.c, MATCH(S$8,'3. Enter Indicator Scores'!$D$8:$CZ$8,0),
  _xlpm.v, IFERROR(INDEX('3. Enter Indicator Scores'!$D$10:$CZ$161,_xlpm.r,_xlpm.c),""),
  IF(OR(_xlpm.w="",_xlpm.v=""),"",_xlpm.v*_xlpm.w)
)</f>
        <v/>
      </c>
      <c r="T122" s="93" t="str" cm="1">
        <f t="array" ref="T122">_xlfn.LET(
  _xlpm.w, T$11,
  _xlpm.r, MATCH(1,('3. Enter Indicator Scores'!$B$10:$B$161=$B122)*('3. Enter Indicator Scores'!$C$10:$C$161=$C122),0),
  _xlpm.c, MATCH(T$8,'3. Enter Indicator Scores'!$D$8:$CZ$8,0),
  _xlpm.v, IFERROR(INDEX('3. Enter Indicator Scores'!$D$10:$CZ$161,_xlpm.r,_xlpm.c),""),
  IF(OR(_xlpm.w="",_xlpm.v=""),"",_xlpm.v*_xlpm.w)
)</f>
        <v/>
      </c>
      <c r="U122" s="93" t="str" cm="1">
        <f t="array" ref="U122">_xlfn.LET(
  _xlpm.w, U$11,
  _xlpm.r, MATCH(1,('3. Enter Indicator Scores'!$B$10:$B$161=$B122)*('3. Enter Indicator Scores'!$C$10:$C$161=$C122),0),
  _xlpm.c, MATCH(U$8,'3. Enter Indicator Scores'!$D$8:$CZ$8,0),
  _xlpm.v, IFERROR(INDEX('3. Enter Indicator Scores'!$D$10:$CZ$161,_xlpm.r,_xlpm.c),""),
  IF(OR(_xlpm.w="",_xlpm.v=""),"",_xlpm.v*_xlpm.w)
)</f>
        <v/>
      </c>
      <c r="V122" s="93" t="str" cm="1">
        <f t="array" ref="V122">_xlfn.LET(
  _xlpm.w, V$11,
  _xlpm.r, MATCH(1,('3. Enter Indicator Scores'!$B$10:$B$161=$B122)*('3. Enter Indicator Scores'!$C$10:$C$161=$C122),0),
  _xlpm.c, MATCH(V$8,'3. Enter Indicator Scores'!$D$8:$CZ$8,0),
  _xlpm.v, IFERROR(INDEX('3. Enter Indicator Scores'!$D$10:$CZ$161,_xlpm.r,_xlpm.c),""),
  IF(OR(_xlpm.w="",_xlpm.v=""),"",_xlpm.v*_xlpm.w)
)</f>
        <v/>
      </c>
      <c r="W122" s="93" t="str" cm="1">
        <f t="array" ref="W122">_xlfn.LET(
  _xlpm.w, W$11,
  _xlpm.r, MATCH(1,('3. Enter Indicator Scores'!$B$10:$B$161=$B122)*('3. Enter Indicator Scores'!$C$10:$C$161=$C122),0),
  _xlpm.c, MATCH(W$8,'3. Enter Indicator Scores'!$D$8:$CZ$8,0),
  _xlpm.v, IFERROR(INDEX('3. Enter Indicator Scores'!$D$10:$CZ$161,_xlpm.r,_xlpm.c),""),
  IF(OR(_xlpm.w="",_xlpm.v=""),"",_xlpm.v*_xlpm.w)
)</f>
        <v/>
      </c>
      <c r="X122" s="93" t="str" cm="1">
        <f t="array" ref="X122">_xlfn.LET(
  _xlpm.w, X$11,
  _xlpm.r, MATCH(1,('3. Enter Indicator Scores'!$B$10:$B$161=$B122)*('3. Enter Indicator Scores'!$C$10:$C$161=$C122),0),
  _xlpm.c, MATCH(X$8,'3. Enter Indicator Scores'!$D$8:$CZ$8,0),
  _xlpm.v, IFERROR(INDEX('3. Enter Indicator Scores'!$D$10:$CZ$161,_xlpm.r,_xlpm.c),""),
  IF(OR(_xlpm.w="",_xlpm.v=""),"",_xlpm.v*_xlpm.w)
)</f>
        <v/>
      </c>
      <c r="Y122" s="93" t="str" cm="1">
        <f t="array" ref="Y122">_xlfn.LET(
  _xlpm.w, Y$11,
  _xlpm.r, MATCH(1,('3. Enter Indicator Scores'!$B$10:$B$161=$B122)*('3. Enter Indicator Scores'!$C$10:$C$161=$C122),0),
  _xlpm.c, MATCH(Y$8,'3. Enter Indicator Scores'!$D$8:$CZ$8,0),
  _xlpm.v, IFERROR(INDEX('3. Enter Indicator Scores'!$D$10:$CZ$161,_xlpm.r,_xlpm.c),""),
  IF(OR(_xlpm.w="",_xlpm.v=""),"",_xlpm.v*_xlpm.w)
)</f>
        <v/>
      </c>
      <c r="Z122" s="93" t="str" cm="1">
        <f t="array" ref="Z122">_xlfn.LET(
  _xlpm.w, Z$11,
  _xlpm.r, MATCH(1,('3. Enter Indicator Scores'!$B$10:$B$161=$B122)*('3. Enter Indicator Scores'!$C$10:$C$161=$C122),0),
  _xlpm.c, MATCH(Z$8,'3. Enter Indicator Scores'!$D$8:$CZ$8,0),
  _xlpm.v, IFERROR(INDEX('3. Enter Indicator Scores'!$D$10:$CZ$161,_xlpm.r,_xlpm.c),""),
  IF(OR(_xlpm.w="",_xlpm.v=""),"",_xlpm.v*_xlpm.w)
)</f>
        <v/>
      </c>
      <c r="AA122" s="93" t="str" cm="1">
        <f t="array" ref="AA122">_xlfn.LET(
  _xlpm.w, AA$11,
  _xlpm.r, MATCH(1,('3. Enter Indicator Scores'!$B$10:$B$161=$B122)*('3. Enter Indicator Scores'!$C$10:$C$161=$C122),0),
  _xlpm.c, MATCH(AA$8,'3. Enter Indicator Scores'!$D$8:$CZ$8,0),
  _xlpm.v, IFERROR(INDEX('3. Enter Indicator Scores'!$D$10:$CZ$161,_xlpm.r,_xlpm.c),""),
  IF(OR(_xlpm.w="",_xlpm.v=""),"",_xlpm.v*_xlpm.w)
)</f>
        <v/>
      </c>
      <c r="AB122" s="93" t="str" cm="1">
        <f t="array" ref="AB122">_xlfn.LET(
  _xlpm.w, AB$11,
  _xlpm.r, MATCH(1,('3. Enter Indicator Scores'!$B$10:$B$161=$B122)*('3. Enter Indicator Scores'!$C$10:$C$161=$C122),0),
  _xlpm.c, MATCH(AB$8,'3. Enter Indicator Scores'!$D$8:$CZ$8,0),
  _xlpm.v, IFERROR(INDEX('3. Enter Indicator Scores'!$D$10:$CZ$161,_xlpm.r,_xlpm.c),""),
  IF(OR(_xlpm.w="",_xlpm.v=""),"",_xlpm.v*_xlpm.w)
)</f>
        <v/>
      </c>
      <c r="AC122" s="93" t="str" cm="1">
        <f t="array" ref="AC122">_xlfn.LET(
  _xlpm.w, AC$11,
  _xlpm.r, MATCH(1,('3. Enter Indicator Scores'!$B$10:$B$161=$B122)*('3. Enter Indicator Scores'!$C$10:$C$161=$C122),0),
  _xlpm.c, MATCH(AC$8,'3. Enter Indicator Scores'!$D$8:$CZ$8,0),
  _xlpm.v, IFERROR(INDEX('3. Enter Indicator Scores'!$D$10:$CZ$161,_xlpm.r,_xlpm.c),""),
  IF(OR(_xlpm.w="",_xlpm.v=""),"",_xlpm.v*_xlpm.w)
)</f>
        <v/>
      </c>
      <c r="AD122" s="93" t="str" cm="1">
        <f t="array" ref="AD122">_xlfn.LET(
  _xlpm.w, AD$11,
  _xlpm.r, MATCH(1,('3. Enter Indicator Scores'!$B$10:$B$161=$B122)*('3. Enter Indicator Scores'!$C$10:$C$161=$C122),0),
  _xlpm.c, MATCH(AD$8,'3. Enter Indicator Scores'!$D$8:$CZ$8,0),
  _xlpm.v, IFERROR(INDEX('3. Enter Indicator Scores'!$D$10:$CZ$161,_xlpm.r,_xlpm.c),""),
  IF(OR(_xlpm.w="",_xlpm.v=""),"",_xlpm.v*_xlpm.w)
)</f>
        <v/>
      </c>
      <c r="AE122" s="93" t="str" cm="1">
        <f t="array" ref="AE122">_xlfn.LET(
  _xlpm.w, AE$11,
  _xlpm.r, MATCH(1,('3. Enter Indicator Scores'!$B$10:$B$161=$B122)*('3. Enter Indicator Scores'!$C$10:$C$161=$C122),0),
  _xlpm.c, MATCH(AE$8,'3. Enter Indicator Scores'!$D$8:$CZ$8,0),
  _xlpm.v, IFERROR(INDEX('3. Enter Indicator Scores'!$D$10:$CZ$161,_xlpm.r,_xlpm.c),""),
  IF(OR(_xlpm.w="",_xlpm.v=""),"",_xlpm.v*_xlpm.w)
)</f>
        <v/>
      </c>
      <c r="AF122" s="93" t="str" cm="1">
        <f t="array" ref="AF122">_xlfn.LET(
  _xlpm.w, AF$11,
  _xlpm.r, MATCH(1,('3. Enter Indicator Scores'!$B$10:$B$161=$B122)*('3. Enter Indicator Scores'!$C$10:$C$161=$C122),0),
  _xlpm.c, MATCH(AF$8,'3. Enter Indicator Scores'!$D$8:$CZ$8,0),
  _xlpm.v, IFERROR(INDEX('3. Enter Indicator Scores'!$D$10:$CZ$161,_xlpm.r,_xlpm.c),""),
  IF(OR(_xlpm.w="",_xlpm.v=""),"",_xlpm.v*_xlpm.w)
)</f>
        <v/>
      </c>
      <c r="AG122" s="93" t="str" cm="1">
        <f t="array" ref="AG122">_xlfn.LET(
  _xlpm.w, AG$11,
  _xlpm.r, MATCH(1,('3. Enter Indicator Scores'!$B$10:$B$161=$B122)*('3. Enter Indicator Scores'!$C$10:$C$161=$C122),0),
  _xlpm.c, MATCH(AG$8,'3. Enter Indicator Scores'!$D$8:$CZ$8,0),
  _xlpm.v, IFERROR(INDEX('3. Enter Indicator Scores'!$D$10:$CZ$161,_xlpm.r,_xlpm.c),""),
  IF(OR(_xlpm.w="",_xlpm.v=""),"",_xlpm.v*_xlpm.w)
)</f>
        <v/>
      </c>
      <c r="AH122" s="93" t="str" cm="1">
        <f t="array" ref="AH122">_xlfn.LET(
  _xlpm.w, AH$11,
  _xlpm.r, MATCH(1,('3. Enter Indicator Scores'!$B$10:$B$161=$B122)*('3. Enter Indicator Scores'!$C$10:$C$161=$C122),0),
  _xlpm.c, MATCH(AH$8,'3. Enter Indicator Scores'!$D$8:$CZ$8,0),
  _xlpm.v, IFERROR(INDEX('3. Enter Indicator Scores'!$D$10:$CZ$161,_xlpm.r,_xlpm.c),""),
  IF(OR(_xlpm.w="",_xlpm.v=""),"",_xlpm.v*_xlpm.w)
)</f>
        <v/>
      </c>
      <c r="AI122" s="93" t="str" cm="1">
        <f t="array" ref="AI122">_xlfn.LET(
  _xlpm.w, AI$11,
  _xlpm.r, MATCH(1,('3. Enter Indicator Scores'!$B$10:$B$161=$B122)*('3. Enter Indicator Scores'!$C$10:$C$161=$C122),0),
  _xlpm.c, MATCH(AI$8,'3. Enter Indicator Scores'!$D$8:$CZ$8,0),
  _xlpm.v, IFERROR(INDEX('3. Enter Indicator Scores'!$D$10:$CZ$161,_xlpm.r,_xlpm.c),""),
  IF(OR(_xlpm.w="",_xlpm.v=""),"",_xlpm.v*_xlpm.w)
)</f>
        <v/>
      </c>
      <c r="AJ122" s="93" t="str" cm="1">
        <f t="array" ref="AJ122">_xlfn.LET(
  _xlpm.w, AJ$11,
  _xlpm.r, MATCH(1,('3. Enter Indicator Scores'!$B$10:$B$161=$B122)*('3. Enter Indicator Scores'!$C$10:$C$161=$C122),0),
  _xlpm.c, MATCH(AJ$8,'3. Enter Indicator Scores'!$D$8:$CZ$8,0),
  _xlpm.v, IFERROR(INDEX('3. Enter Indicator Scores'!$D$10:$CZ$161,_xlpm.r,_xlpm.c),""),
  IF(OR(_xlpm.w="",_xlpm.v=""),"",_xlpm.v*_xlpm.w)
)</f>
        <v/>
      </c>
      <c r="AK122" s="93" t="str" cm="1">
        <f t="array" ref="AK122">_xlfn.LET(
  _xlpm.w, AK$11,
  _xlpm.r, MATCH(1,('3. Enter Indicator Scores'!$B$10:$B$161=$B122)*('3. Enter Indicator Scores'!$C$10:$C$161=$C122),0),
  _xlpm.c, MATCH(AK$8,'3. Enter Indicator Scores'!$D$8:$CZ$8,0),
  _xlpm.v, IFERROR(INDEX('3. Enter Indicator Scores'!$D$10:$CZ$161,_xlpm.r,_xlpm.c),""),
  IF(OR(_xlpm.w="",_xlpm.v=""),"",_xlpm.v*_xlpm.w)
)</f>
        <v/>
      </c>
      <c r="AL122" s="93" t="str" cm="1">
        <f t="array" ref="AL122">_xlfn.LET(
  _xlpm.w, AL$11,
  _xlpm.r, MATCH(1,('3. Enter Indicator Scores'!$B$10:$B$161=$B122)*('3. Enter Indicator Scores'!$C$10:$C$161=$C122),0),
  _xlpm.c, MATCH(AL$8,'3. Enter Indicator Scores'!$D$8:$CZ$8,0),
  _xlpm.v, IFERROR(INDEX('3. Enter Indicator Scores'!$D$10:$CZ$161,_xlpm.r,_xlpm.c),""),
  IF(OR(_xlpm.w="",_xlpm.v=""),"",_xlpm.v*_xlpm.w)
)</f>
        <v/>
      </c>
      <c r="AM122" s="93" t="str" cm="1">
        <f t="array" ref="AM122">_xlfn.LET(
  _xlpm.w, AM$11,
  _xlpm.r, MATCH(1,('3. Enter Indicator Scores'!$B$10:$B$161=$B122)*('3. Enter Indicator Scores'!$C$10:$C$161=$C122),0),
  _xlpm.c, MATCH(AM$8,'3. Enter Indicator Scores'!$D$8:$CZ$8,0),
  _xlpm.v, IFERROR(INDEX('3. Enter Indicator Scores'!$D$10:$CZ$161,_xlpm.r,_xlpm.c),""),
  IF(OR(_xlpm.w="",_xlpm.v=""),"",_xlpm.v*_xlpm.w)
)</f>
        <v/>
      </c>
      <c r="AN122" s="93" t="str" cm="1">
        <f t="array" ref="AN122">_xlfn.LET(
  _xlpm.w, AN$11,
  _xlpm.r, MATCH(1,('3. Enter Indicator Scores'!$B$10:$B$161=$B122)*('3. Enter Indicator Scores'!$C$10:$C$161=$C122),0),
  _xlpm.c, MATCH(AN$8,'3. Enter Indicator Scores'!$D$8:$CZ$8,0),
  _xlpm.v, IFERROR(INDEX('3. Enter Indicator Scores'!$D$10:$CZ$161,_xlpm.r,_xlpm.c),""),
  IF(OR(_xlpm.w="",_xlpm.v=""),"",_xlpm.v*_xlpm.w)
)</f>
        <v/>
      </c>
      <c r="AO122" s="93" t="str" cm="1">
        <f t="array" ref="AO122">_xlfn.LET(
  _xlpm.w, AO$11,
  _xlpm.r, MATCH(1,('3. Enter Indicator Scores'!$B$10:$B$161=$B122)*('3. Enter Indicator Scores'!$C$10:$C$161=$C122),0),
  _xlpm.c, MATCH(AO$8,'3. Enter Indicator Scores'!$D$8:$CZ$8,0),
  _xlpm.v, IFERROR(INDEX('3. Enter Indicator Scores'!$D$10:$CZ$161,_xlpm.r,_xlpm.c),""),
  IF(OR(_xlpm.w="",_xlpm.v=""),"",_xlpm.v*_xlpm.w)
)</f>
        <v/>
      </c>
      <c r="AP122" s="93" t="str" cm="1">
        <f t="array" ref="AP122">_xlfn.LET(
  _xlpm.w, AP$11,
  _xlpm.r, MATCH(1,('3. Enter Indicator Scores'!$B$10:$B$161=$B122)*('3. Enter Indicator Scores'!$C$10:$C$161=$C122),0),
  _xlpm.c, MATCH(AP$8,'3. Enter Indicator Scores'!$D$8:$CZ$8,0),
  _xlpm.v, IFERROR(INDEX('3. Enter Indicator Scores'!$D$10:$CZ$161,_xlpm.r,_xlpm.c),""),
  IF(OR(_xlpm.w="",_xlpm.v=""),"",_xlpm.v*_xlpm.w)
)</f>
        <v/>
      </c>
      <c r="AQ122" s="93" t="str" cm="1">
        <f t="array" ref="AQ122">_xlfn.LET(
  _xlpm.w, AQ$11,
  _xlpm.r, MATCH(1,('3. Enter Indicator Scores'!$B$10:$B$161=$B122)*('3. Enter Indicator Scores'!$C$10:$C$161=$C122),0),
  _xlpm.c, MATCH(AQ$8,'3. Enter Indicator Scores'!$D$8:$CZ$8,0),
  _xlpm.v, IFERROR(INDEX('3. Enter Indicator Scores'!$D$10:$CZ$161,_xlpm.r,_xlpm.c),""),
  IF(OR(_xlpm.w="",_xlpm.v=""),"",_xlpm.v*_xlpm.w)
)</f>
        <v/>
      </c>
      <c r="AR122" s="93" t="str" cm="1">
        <f t="array" ref="AR122">_xlfn.LET(
  _xlpm.w, AR$11,
  _xlpm.r, MATCH(1,('3. Enter Indicator Scores'!$B$10:$B$161=$B122)*('3. Enter Indicator Scores'!$C$10:$C$161=$C122),0),
  _xlpm.c, MATCH(AR$8,'3. Enter Indicator Scores'!$D$8:$CZ$8,0),
  _xlpm.v, IFERROR(INDEX('3. Enter Indicator Scores'!$D$10:$CZ$161,_xlpm.r,_xlpm.c),""),
  IF(OR(_xlpm.w="",_xlpm.v=""),"",_xlpm.v*_xlpm.w)
)</f>
        <v/>
      </c>
      <c r="AS122" s="93" t="str" cm="1">
        <f t="array" ref="AS122">_xlfn.LET(
  _xlpm.w, AS$11,
  _xlpm.r, MATCH(1,('3. Enter Indicator Scores'!$B$10:$B$161=$B122)*('3. Enter Indicator Scores'!$C$10:$C$161=$C122),0),
  _xlpm.c, MATCH(AS$8,'3. Enter Indicator Scores'!$D$8:$CZ$8,0),
  _xlpm.v, IFERROR(INDEX('3. Enter Indicator Scores'!$D$10:$CZ$161,_xlpm.r,_xlpm.c),""),
  IF(OR(_xlpm.w="",_xlpm.v=""),"",_xlpm.v*_xlpm.w)
)</f>
        <v/>
      </c>
      <c r="AT122" s="93" t="str" cm="1">
        <f t="array" ref="AT122">_xlfn.LET(
  _xlpm.w, AT$11,
  _xlpm.r, MATCH(1,('3. Enter Indicator Scores'!$B$10:$B$161=$B122)*('3. Enter Indicator Scores'!$C$10:$C$161=$C122),0),
  _xlpm.c, MATCH(AT$8,'3. Enter Indicator Scores'!$D$8:$CZ$8,0),
  _xlpm.v, IFERROR(INDEX('3. Enter Indicator Scores'!$D$10:$CZ$161,_xlpm.r,_xlpm.c),""),
  IF(OR(_xlpm.w="",_xlpm.v=""),"",_xlpm.v*_xlpm.w)
)</f>
        <v/>
      </c>
      <c r="AU122" s="93" t="str" cm="1">
        <f t="array" ref="AU122">_xlfn.LET(
  _xlpm.w, AU$11,
  _xlpm.r, MATCH(1,('3. Enter Indicator Scores'!$B$10:$B$161=$B122)*('3. Enter Indicator Scores'!$C$10:$C$161=$C122),0),
  _xlpm.c, MATCH(AU$8,'3. Enter Indicator Scores'!$D$8:$CZ$8,0),
  _xlpm.v, IFERROR(INDEX('3. Enter Indicator Scores'!$D$10:$CZ$161,_xlpm.r,_xlpm.c),""),
  IF(OR(_xlpm.w="",_xlpm.v=""),"",_xlpm.v*_xlpm.w)
)</f>
        <v/>
      </c>
      <c r="AV122" s="93" t="str" cm="1">
        <f t="array" ref="AV122">_xlfn.LET(
  _xlpm.w, AV$11,
  _xlpm.r, MATCH(1,('3. Enter Indicator Scores'!$B$10:$B$161=$B122)*('3. Enter Indicator Scores'!$C$10:$C$161=$C122),0),
  _xlpm.c, MATCH(AV$8,'3. Enter Indicator Scores'!$D$8:$CZ$8,0),
  _xlpm.v, IFERROR(INDEX('3. Enter Indicator Scores'!$D$10:$CZ$161,_xlpm.r,_xlpm.c),""),
  IF(OR(_xlpm.w="",_xlpm.v=""),"",_xlpm.v*_xlpm.w)
)</f>
        <v/>
      </c>
      <c r="AW122" s="93" t="str" cm="1">
        <f t="array" ref="AW122">_xlfn.LET(
  _xlpm.w, AW$11,
  _xlpm.r, MATCH(1,('3. Enter Indicator Scores'!$B$10:$B$161=$B122)*('3. Enter Indicator Scores'!$C$10:$C$161=$C122),0),
  _xlpm.c, MATCH(AW$8,'3. Enter Indicator Scores'!$D$8:$CZ$8,0),
  _xlpm.v, IFERROR(INDEX('3. Enter Indicator Scores'!$D$10:$CZ$161,_xlpm.r,_xlpm.c),""),
  IF(OR(_xlpm.w="",_xlpm.v=""),"",_xlpm.v*_xlpm.w)
)</f>
        <v/>
      </c>
      <c r="AX122" s="93" t="str" cm="1">
        <f t="array" ref="AX122">_xlfn.LET(
  _xlpm.w, AX$11,
  _xlpm.r, MATCH(1,('3. Enter Indicator Scores'!$B$10:$B$161=$B122)*('3. Enter Indicator Scores'!$C$10:$C$161=$C122),0),
  _xlpm.c, MATCH(AX$8,'3. Enter Indicator Scores'!$D$8:$CZ$8,0),
  _xlpm.v, IFERROR(INDEX('3. Enter Indicator Scores'!$D$10:$CZ$161,_xlpm.r,_xlpm.c),""),
  IF(OR(_xlpm.w="",_xlpm.v=""),"",_xlpm.v*_xlpm.w)
)</f>
        <v/>
      </c>
      <c r="AY122" s="93" t="str" cm="1">
        <f t="array" ref="AY122">_xlfn.LET(
  _xlpm.w, AY$11,
  _xlpm.r, MATCH(1,('3. Enter Indicator Scores'!$B$10:$B$161=$B122)*('3. Enter Indicator Scores'!$C$10:$C$161=$C122),0),
  _xlpm.c, MATCH(AY$8,'3. Enter Indicator Scores'!$D$8:$CZ$8,0),
  _xlpm.v, IFERROR(INDEX('3. Enter Indicator Scores'!$D$10:$CZ$161,_xlpm.r,_xlpm.c),""),
  IF(OR(_xlpm.w="",_xlpm.v=""),"",_xlpm.v*_xlpm.w)
)</f>
        <v/>
      </c>
      <c r="AZ122" s="93" t="str" cm="1">
        <f t="array" ref="AZ122">_xlfn.LET(
  _xlpm.w, AZ$11,
  _xlpm.r, MATCH(1,('3. Enter Indicator Scores'!$B$10:$B$161=$B122)*('3. Enter Indicator Scores'!$C$10:$C$161=$C122),0),
  _xlpm.c, MATCH(AZ$8,'3. Enter Indicator Scores'!$D$8:$CZ$8,0),
  _xlpm.v, IFERROR(INDEX('3. Enter Indicator Scores'!$D$10:$CZ$161,_xlpm.r,_xlpm.c),""),
  IF(OR(_xlpm.w="",_xlpm.v=""),"",_xlpm.v*_xlpm.w)
)</f>
        <v/>
      </c>
      <c r="BA122" s="93" t="str" cm="1">
        <f t="array" ref="BA122">_xlfn.LET(
  _xlpm.w, BA$11,
  _xlpm.r, MATCH(1,('3. Enter Indicator Scores'!$B$10:$B$161=$B122)*('3. Enter Indicator Scores'!$C$10:$C$161=$C122),0),
  _xlpm.c, MATCH(BA$8,'3. Enter Indicator Scores'!$D$8:$CZ$8,0),
  _xlpm.v, IFERROR(INDEX('3. Enter Indicator Scores'!$D$10:$CZ$161,_xlpm.r,_xlpm.c),""),
  IF(OR(_xlpm.w="",_xlpm.v=""),"",_xlpm.v*_xlpm.w)
)</f>
        <v/>
      </c>
      <c r="BB122" s="93" t="str" cm="1">
        <f t="array" ref="BB122">_xlfn.LET(
  _xlpm.w, BB$11,
  _xlpm.r, MATCH(1,('3. Enter Indicator Scores'!$B$10:$B$161=$B122)*('3. Enter Indicator Scores'!$C$10:$C$161=$C122),0),
  _xlpm.c, MATCH(BB$8,'3. Enter Indicator Scores'!$D$8:$CZ$8,0),
  _xlpm.v, IFERROR(INDEX('3. Enter Indicator Scores'!$D$10:$CZ$161,_xlpm.r,_xlpm.c),""),
  IF(OR(_xlpm.w="",_xlpm.v=""),"",_xlpm.v*_xlpm.w)
)</f>
        <v/>
      </c>
      <c r="BC122" s="93" t="str" cm="1">
        <f t="array" ref="BC122">_xlfn.LET(
  _xlpm.w, BC$11,
  _xlpm.r, MATCH(1,('3. Enter Indicator Scores'!$B$10:$B$161=$B122)*('3. Enter Indicator Scores'!$C$10:$C$161=$C122),0),
  _xlpm.c, MATCH(BC$8,'3. Enter Indicator Scores'!$D$8:$CZ$8,0),
  _xlpm.v, IFERROR(INDEX('3. Enter Indicator Scores'!$D$10:$CZ$161,_xlpm.r,_xlpm.c),""),
  IF(OR(_xlpm.w="",_xlpm.v=""),"",_xlpm.v*_xlpm.w)
)</f>
        <v/>
      </c>
      <c r="BD122" s="93" t="str" cm="1">
        <f t="array" ref="BD122">_xlfn.LET(
  _xlpm.w, BD$11,
  _xlpm.r, MATCH(1,('3. Enter Indicator Scores'!$B$10:$B$161=$B122)*('3. Enter Indicator Scores'!$C$10:$C$161=$C122),0),
  _xlpm.c, MATCH(BD$8,'3. Enter Indicator Scores'!$D$8:$CZ$8,0),
  _xlpm.v, IFERROR(INDEX('3. Enter Indicator Scores'!$D$10:$CZ$161,_xlpm.r,_xlpm.c),""),
  IF(OR(_xlpm.w="",_xlpm.v=""),"",_xlpm.v*_xlpm.w)
)</f>
        <v/>
      </c>
      <c r="BE122" s="93" t="str" cm="1">
        <f t="array" ref="BE122">_xlfn.LET(
  _xlpm.w, BE$11,
  _xlpm.r, MATCH(1,('3. Enter Indicator Scores'!$B$10:$B$161=$B122)*('3. Enter Indicator Scores'!$C$10:$C$161=$C122),0),
  _xlpm.c, MATCH(BE$8,'3. Enter Indicator Scores'!$D$8:$CZ$8,0),
  _xlpm.v, IFERROR(INDEX('3. Enter Indicator Scores'!$D$10:$CZ$161,_xlpm.r,_xlpm.c),""),
  IF(OR(_xlpm.w="",_xlpm.v=""),"",_xlpm.v*_xlpm.w)
)</f>
        <v/>
      </c>
      <c r="BF122" s="93" t="str" cm="1">
        <f t="array" ref="BF122">_xlfn.LET(
  _xlpm.w, BF$11,
  _xlpm.r, MATCH(1,('3. Enter Indicator Scores'!$B$10:$B$161=$B122)*('3. Enter Indicator Scores'!$C$10:$C$161=$C122),0),
  _xlpm.c, MATCH(BF$8,'3. Enter Indicator Scores'!$D$8:$CZ$8,0),
  _xlpm.v, IFERROR(INDEX('3. Enter Indicator Scores'!$D$10:$CZ$161,_xlpm.r,_xlpm.c),""),
  IF(OR(_xlpm.w="",_xlpm.v=""),"",_xlpm.v*_xlpm.w)
)</f>
        <v/>
      </c>
      <c r="BG122" s="93" t="str" cm="1">
        <f t="array" ref="BG122">_xlfn.LET(
  _xlpm.w, BG$11,
  _xlpm.r, MATCH(1,('3. Enter Indicator Scores'!$B$10:$B$161=$B122)*('3. Enter Indicator Scores'!$C$10:$C$161=$C122),0),
  _xlpm.c, MATCH(BG$8,'3. Enter Indicator Scores'!$D$8:$CZ$8,0),
  _xlpm.v, IFERROR(INDEX('3. Enter Indicator Scores'!$D$10:$CZ$161,_xlpm.r,_xlpm.c),""),
  IF(OR(_xlpm.w="",_xlpm.v=""),"",_xlpm.v*_xlpm.w)
)</f>
        <v/>
      </c>
      <c r="BH122" s="93" t="str" cm="1">
        <f t="array" ref="BH122">_xlfn.LET(
  _xlpm.w, BH$11,
  _xlpm.r, MATCH(1,('3. Enter Indicator Scores'!$B$10:$B$161=$B122)*('3. Enter Indicator Scores'!$C$10:$C$161=$C122),0),
  _xlpm.c, MATCH(BH$8,'3. Enter Indicator Scores'!$D$8:$CZ$8,0),
  _xlpm.v, IFERROR(INDEX('3. Enter Indicator Scores'!$D$10:$CZ$161,_xlpm.r,_xlpm.c),""),
  IF(OR(_xlpm.w="",_xlpm.v=""),"",_xlpm.v*_xlpm.w)
)</f>
        <v/>
      </c>
      <c r="BI122" s="93" t="str" cm="1">
        <f t="array" ref="BI122">_xlfn.LET(
  _xlpm.w, BI$11,
  _xlpm.r, MATCH(1,('3. Enter Indicator Scores'!$B$10:$B$161=$B122)*('3. Enter Indicator Scores'!$C$10:$C$161=$C122),0),
  _xlpm.c, MATCH(BI$8,'3. Enter Indicator Scores'!$D$8:$CZ$8,0),
  _xlpm.v, IFERROR(INDEX('3. Enter Indicator Scores'!$D$10:$CZ$161,_xlpm.r,_xlpm.c),""),
  IF(OR(_xlpm.w="",_xlpm.v=""),"",_xlpm.v*_xlpm.w)
)</f>
        <v/>
      </c>
      <c r="BJ122" s="93" t="str" cm="1">
        <f t="array" ref="BJ122">_xlfn.LET(
  _xlpm.w, BJ$11,
  _xlpm.r, MATCH(1,('3. Enter Indicator Scores'!$B$10:$B$161=$B122)*('3. Enter Indicator Scores'!$C$10:$C$161=$C122),0),
  _xlpm.c, MATCH(BJ$8,'3. Enter Indicator Scores'!$D$8:$CZ$8,0),
  _xlpm.v, IFERROR(INDEX('3. Enter Indicator Scores'!$D$10:$CZ$161,_xlpm.r,_xlpm.c),""),
  IF(OR(_xlpm.w="",_xlpm.v=""),"",_xlpm.v*_xlpm.w)
)</f>
        <v/>
      </c>
      <c r="BK122" s="93" t="str" cm="1">
        <f t="array" ref="BK122">_xlfn.LET(
  _xlpm.w, BK$11,
  _xlpm.r, MATCH(1,('3. Enter Indicator Scores'!$B$10:$B$161=$B122)*('3. Enter Indicator Scores'!$C$10:$C$161=$C122),0),
  _xlpm.c, MATCH(BK$8,'3. Enter Indicator Scores'!$D$8:$CZ$8,0),
  _xlpm.v, IFERROR(INDEX('3. Enter Indicator Scores'!$D$10:$CZ$161,_xlpm.r,_xlpm.c),""),
  IF(OR(_xlpm.w="",_xlpm.v=""),"",_xlpm.v*_xlpm.w)
)</f>
        <v/>
      </c>
      <c r="BL122" s="93" t="str" cm="1">
        <f t="array" ref="BL122">_xlfn.LET(
  _xlpm.w, BL$11,
  _xlpm.r, MATCH(1,('3. Enter Indicator Scores'!$B$10:$B$161=$B122)*('3. Enter Indicator Scores'!$C$10:$C$161=$C122),0),
  _xlpm.c, MATCH(BL$8,'3. Enter Indicator Scores'!$D$8:$CZ$8,0),
  _xlpm.v, IFERROR(INDEX('3. Enter Indicator Scores'!$D$10:$CZ$161,_xlpm.r,_xlpm.c),""),
  IF(OR(_xlpm.w="",_xlpm.v=""),"",_xlpm.v*_xlpm.w)
)</f>
        <v/>
      </c>
      <c r="BM122" s="93" t="str" cm="1">
        <f t="array" ref="BM122">_xlfn.LET(
  _xlpm.w, BM$11,
  _xlpm.r, MATCH(1,('3. Enter Indicator Scores'!$B$10:$B$161=$B122)*('3. Enter Indicator Scores'!$C$10:$C$161=$C122),0),
  _xlpm.c, MATCH(BM$8,'3. Enter Indicator Scores'!$D$8:$CZ$8,0),
  _xlpm.v, IFERROR(INDEX('3. Enter Indicator Scores'!$D$10:$CZ$161,_xlpm.r,_xlpm.c),""),
  IF(OR(_xlpm.w="",_xlpm.v=""),"",_xlpm.v*_xlpm.w)
)</f>
        <v/>
      </c>
      <c r="BN122" s="93" t="str" cm="1">
        <f t="array" ref="BN122">_xlfn.LET(
  _xlpm.w, BN$11,
  _xlpm.r, MATCH(1,('3. Enter Indicator Scores'!$B$10:$B$161=$B122)*('3. Enter Indicator Scores'!$C$10:$C$161=$C122),0),
  _xlpm.c, MATCH(BN$8,'3. Enter Indicator Scores'!$D$8:$CZ$8,0),
  _xlpm.v, IFERROR(INDEX('3. Enter Indicator Scores'!$D$10:$CZ$161,_xlpm.r,_xlpm.c),""),
  IF(OR(_xlpm.w="",_xlpm.v=""),"",_xlpm.v*_xlpm.w)
)</f>
        <v/>
      </c>
      <c r="BO122" s="93" t="str" cm="1">
        <f t="array" ref="BO122">_xlfn.LET(
  _xlpm.w, BO$11,
  _xlpm.r, MATCH(1,('3. Enter Indicator Scores'!$B$10:$B$161=$B122)*('3. Enter Indicator Scores'!$C$10:$C$161=$C122),0),
  _xlpm.c, MATCH(BO$8,'3. Enter Indicator Scores'!$D$8:$CZ$8,0),
  _xlpm.v, IFERROR(INDEX('3. Enter Indicator Scores'!$D$10:$CZ$161,_xlpm.r,_xlpm.c),""),
  IF(OR(_xlpm.w="",_xlpm.v=""),"",_xlpm.v*_xlpm.w)
)</f>
        <v/>
      </c>
      <c r="BP122" s="93" t="str" cm="1">
        <f t="array" ref="BP122">_xlfn.LET(
  _xlpm.w, BP$11,
  _xlpm.r, MATCH(1,('3. Enter Indicator Scores'!$B$10:$B$161=$B122)*('3. Enter Indicator Scores'!$C$10:$C$161=$C122),0),
  _xlpm.c, MATCH(BP$8,'3. Enter Indicator Scores'!$D$8:$CZ$8,0),
  _xlpm.v, IFERROR(INDEX('3. Enter Indicator Scores'!$D$10:$CZ$161,_xlpm.r,_xlpm.c),""),
  IF(OR(_xlpm.w="",_xlpm.v=""),"",_xlpm.v*_xlpm.w)
)</f>
        <v/>
      </c>
      <c r="BQ122" s="93" t="str" cm="1">
        <f t="array" ref="BQ122">_xlfn.LET(
  _xlpm.w, BQ$11,
  _xlpm.r, MATCH(1,('3. Enter Indicator Scores'!$B$10:$B$161=$B122)*('3. Enter Indicator Scores'!$C$10:$C$161=$C122),0),
  _xlpm.c, MATCH(BQ$8,'3. Enter Indicator Scores'!$D$8:$CZ$8,0),
  _xlpm.v, IFERROR(INDEX('3. Enter Indicator Scores'!$D$10:$CZ$161,_xlpm.r,_xlpm.c),""),
  IF(OR(_xlpm.w="",_xlpm.v=""),"",_xlpm.v*_xlpm.w)
)</f>
        <v/>
      </c>
      <c r="BR122" s="93" t="str" cm="1">
        <f t="array" ref="BR122">_xlfn.LET(
  _xlpm.w, BR$11,
  _xlpm.r, MATCH(1,('3. Enter Indicator Scores'!$B$10:$B$161=$B122)*('3. Enter Indicator Scores'!$C$10:$C$161=$C122),0),
  _xlpm.c, MATCH(BR$8,'3. Enter Indicator Scores'!$D$8:$CZ$8,0),
  _xlpm.v, IFERROR(INDEX('3. Enter Indicator Scores'!$D$10:$CZ$161,_xlpm.r,_xlpm.c),""),
  IF(OR(_xlpm.w="",_xlpm.v=""),"",_xlpm.v*_xlpm.w)
)</f>
        <v/>
      </c>
      <c r="BS122" s="93" t="str" cm="1">
        <f t="array" ref="BS122">_xlfn.LET(
  _xlpm.w, BS$11,
  _xlpm.r, MATCH(1,('3. Enter Indicator Scores'!$B$10:$B$161=$B122)*('3. Enter Indicator Scores'!$C$10:$C$161=$C122),0),
  _xlpm.c, MATCH(BS$8,'3. Enter Indicator Scores'!$D$8:$CZ$8,0),
  _xlpm.v, IFERROR(INDEX('3. Enter Indicator Scores'!$D$10:$CZ$161,_xlpm.r,_xlpm.c),""),
  IF(OR(_xlpm.w="",_xlpm.v=""),"",_xlpm.v*_xlpm.w)
)</f>
        <v/>
      </c>
      <c r="BT122" s="93" t="str" cm="1">
        <f t="array" ref="BT122">_xlfn.LET(
  _xlpm.w, BT$11,
  _xlpm.r, MATCH(1,('3. Enter Indicator Scores'!$B$10:$B$161=$B122)*('3. Enter Indicator Scores'!$C$10:$C$161=$C122),0),
  _xlpm.c, MATCH(BT$8,'3. Enter Indicator Scores'!$D$8:$CZ$8,0),
  _xlpm.v, IFERROR(INDEX('3. Enter Indicator Scores'!$D$10:$CZ$161,_xlpm.r,_xlpm.c),""),
  IF(OR(_xlpm.w="",_xlpm.v=""),"",_xlpm.v*_xlpm.w)
)</f>
        <v/>
      </c>
      <c r="BU122" s="93" t="str" cm="1">
        <f t="array" ref="BU122">_xlfn.LET(
  _xlpm.w, BU$11,
  _xlpm.r, MATCH(1,('3. Enter Indicator Scores'!$B$10:$B$161=$B122)*('3. Enter Indicator Scores'!$C$10:$C$161=$C122),0),
  _xlpm.c, MATCH(BU$8,'3. Enter Indicator Scores'!$D$8:$CZ$8,0),
  _xlpm.v, IFERROR(INDEX('3. Enter Indicator Scores'!$D$10:$CZ$161,_xlpm.r,_xlpm.c),""),
  IF(OR(_xlpm.w="",_xlpm.v=""),"",_xlpm.v*_xlpm.w)
)</f>
        <v/>
      </c>
      <c r="BV122" s="93" t="str" cm="1">
        <f t="array" ref="BV122">_xlfn.LET(
  _xlpm.w, BV$11,
  _xlpm.r, MATCH(1,('3. Enter Indicator Scores'!$B$10:$B$161=$B122)*('3. Enter Indicator Scores'!$C$10:$C$161=$C122),0),
  _xlpm.c, MATCH(BV$8,'3. Enter Indicator Scores'!$D$8:$CZ$8,0),
  _xlpm.v, IFERROR(INDEX('3. Enter Indicator Scores'!$D$10:$CZ$161,_xlpm.r,_xlpm.c),""),
  IF(OR(_xlpm.w="",_xlpm.v=""),"",_xlpm.v*_xlpm.w)
)</f>
        <v/>
      </c>
      <c r="BW122" s="93" t="str" cm="1">
        <f t="array" ref="BW122">_xlfn.LET(
  _xlpm.w, BW$11,
  _xlpm.r, MATCH(1,('3. Enter Indicator Scores'!$B$10:$B$161=$B122)*('3. Enter Indicator Scores'!$C$10:$C$161=$C122),0),
  _xlpm.c, MATCH(BW$8,'3. Enter Indicator Scores'!$D$8:$CZ$8,0),
  _xlpm.v, IFERROR(INDEX('3. Enter Indicator Scores'!$D$10:$CZ$161,_xlpm.r,_xlpm.c),""),
  IF(OR(_xlpm.w="",_xlpm.v=""),"",_xlpm.v*_xlpm.w)
)</f>
        <v/>
      </c>
      <c r="BX122" s="93" t="str" cm="1">
        <f t="array" ref="BX122">_xlfn.LET(
  _xlpm.w, BX$11,
  _xlpm.r, MATCH(1,('3. Enter Indicator Scores'!$B$10:$B$161=$B122)*('3. Enter Indicator Scores'!$C$10:$C$161=$C122),0),
  _xlpm.c, MATCH(BX$8,'3. Enter Indicator Scores'!$D$8:$CZ$8,0),
  _xlpm.v, IFERROR(INDEX('3. Enter Indicator Scores'!$D$10:$CZ$161,_xlpm.r,_xlpm.c),""),
  IF(OR(_xlpm.w="",_xlpm.v=""),"",_xlpm.v*_xlpm.w)
)</f>
        <v/>
      </c>
      <c r="BY122" s="93" t="str" cm="1">
        <f t="array" ref="BY122">_xlfn.LET(
  _xlpm.w, BY$11,
  _xlpm.r, MATCH(1,('3. Enter Indicator Scores'!$B$10:$B$161=$B122)*('3. Enter Indicator Scores'!$C$10:$C$161=$C122),0),
  _xlpm.c, MATCH(BY$8,'3. Enter Indicator Scores'!$D$8:$CZ$8,0),
  _xlpm.v, IFERROR(INDEX('3. Enter Indicator Scores'!$D$10:$CZ$161,_xlpm.r,_xlpm.c),""),
  IF(OR(_xlpm.w="",_xlpm.v=""),"",_xlpm.v*_xlpm.w)
)</f>
        <v/>
      </c>
      <c r="BZ122" s="93" t="str" cm="1">
        <f t="array" ref="BZ122">_xlfn.LET(
  _xlpm.w, BZ$11,
  _xlpm.r, MATCH(1,('3. Enter Indicator Scores'!$B$10:$B$161=$B122)*('3. Enter Indicator Scores'!$C$10:$C$161=$C122),0),
  _xlpm.c, MATCH(BZ$8,'3. Enter Indicator Scores'!$D$8:$CZ$8,0),
  _xlpm.v, IFERROR(INDEX('3. Enter Indicator Scores'!$D$10:$CZ$161,_xlpm.r,_xlpm.c),""),
  IF(OR(_xlpm.w="",_xlpm.v=""),"",_xlpm.v*_xlpm.w)
)</f>
        <v/>
      </c>
      <c r="CA122" s="93" t="str" cm="1">
        <f t="array" ref="CA122">_xlfn.LET(
  _xlpm.w, CA$11,
  _xlpm.r, MATCH(1,('3. Enter Indicator Scores'!$B$10:$B$161=$B122)*('3. Enter Indicator Scores'!$C$10:$C$161=$C122),0),
  _xlpm.c, MATCH(CA$8,'3. Enter Indicator Scores'!$D$8:$CZ$8,0),
  _xlpm.v, IFERROR(INDEX('3. Enter Indicator Scores'!$D$10:$CZ$161,_xlpm.r,_xlpm.c),""),
  IF(OR(_xlpm.w="",_xlpm.v=""),"",_xlpm.v*_xlpm.w)
)</f>
        <v/>
      </c>
      <c r="CB122" s="93" t="str" cm="1">
        <f t="array" ref="CB122">_xlfn.LET(
  _xlpm.w, CB$11,
  _xlpm.r, MATCH(1,('3. Enter Indicator Scores'!$B$10:$B$161=$B122)*('3. Enter Indicator Scores'!$C$10:$C$161=$C122),0),
  _xlpm.c, MATCH(CB$8,'3. Enter Indicator Scores'!$D$8:$CZ$8,0),
  _xlpm.v, IFERROR(INDEX('3. Enter Indicator Scores'!$D$10:$CZ$161,_xlpm.r,_xlpm.c),""),
  IF(OR(_xlpm.w="",_xlpm.v=""),"",_xlpm.v*_xlpm.w)
)</f>
        <v/>
      </c>
      <c r="CC122" s="93" t="str" cm="1">
        <f t="array" ref="CC122">_xlfn.LET(
  _xlpm.w, CC$11,
  _xlpm.r, MATCH(1,('3. Enter Indicator Scores'!$B$10:$B$161=$B122)*('3. Enter Indicator Scores'!$C$10:$C$161=$C122),0),
  _xlpm.c, MATCH(CC$8,'3. Enter Indicator Scores'!$D$8:$CZ$8,0),
  _xlpm.v, IFERROR(INDEX('3. Enter Indicator Scores'!$D$10:$CZ$161,_xlpm.r,_xlpm.c),""),
  IF(OR(_xlpm.w="",_xlpm.v=""),"",_xlpm.v*_xlpm.w)
)</f>
        <v/>
      </c>
      <c r="CD122" s="93" t="str" cm="1">
        <f t="array" ref="CD122">_xlfn.LET(
  _xlpm.w, CD$11,
  _xlpm.r, MATCH(1,('3. Enter Indicator Scores'!$B$10:$B$161=$B122)*('3. Enter Indicator Scores'!$C$10:$C$161=$C122),0),
  _xlpm.c, MATCH(CD$8,'3. Enter Indicator Scores'!$D$8:$CZ$8,0),
  _xlpm.v, IFERROR(INDEX('3. Enter Indicator Scores'!$D$10:$CZ$161,_xlpm.r,_xlpm.c),""),
  IF(OR(_xlpm.w="",_xlpm.v=""),"",_xlpm.v*_xlpm.w)
)</f>
        <v/>
      </c>
      <c r="CE122" s="93" t="str" cm="1">
        <f t="array" ref="CE122">_xlfn.LET(
  _xlpm.w, CE$11,
  _xlpm.r, MATCH(1,('3. Enter Indicator Scores'!$B$10:$B$161=$B122)*('3. Enter Indicator Scores'!$C$10:$C$161=$C122),0),
  _xlpm.c, MATCH(CE$8,'3. Enter Indicator Scores'!$D$8:$CZ$8,0),
  _xlpm.v, IFERROR(INDEX('3. Enter Indicator Scores'!$D$10:$CZ$161,_xlpm.r,_xlpm.c),""),
  IF(OR(_xlpm.w="",_xlpm.v=""),"",_xlpm.v*_xlpm.w)
)</f>
        <v/>
      </c>
      <c r="CF122" s="93" t="str" cm="1">
        <f t="array" ref="CF122">_xlfn.LET(
  _xlpm.w, CF$11,
  _xlpm.r, MATCH(1,('3. Enter Indicator Scores'!$B$10:$B$161=$B122)*('3. Enter Indicator Scores'!$C$10:$C$161=$C122),0),
  _xlpm.c, MATCH(CF$8,'3. Enter Indicator Scores'!$D$8:$CZ$8,0),
  _xlpm.v, IFERROR(INDEX('3. Enter Indicator Scores'!$D$10:$CZ$161,_xlpm.r,_xlpm.c),""),
  IF(OR(_xlpm.w="",_xlpm.v=""),"",_xlpm.v*_xlpm.w)
)</f>
        <v/>
      </c>
      <c r="CG122" s="93" t="str" cm="1">
        <f t="array" ref="CG122">_xlfn.LET(
  _xlpm.w, CG$11,
  _xlpm.r, MATCH(1,('3. Enter Indicator Scores'!$B$10:$B$161=$B122)*('3. Enter Indicator Scores'!$C$10:$C$161=$C122),0),
  _xlpm.c, MATCH(CG$8,'3. Enter Indicator Scores'!$D$8:$CZ$8,0),
  _xlpm.v, IFERROR(INDEX('3. Enter Indicator Scores'!$D$10:$CZ$161,_xlpm.r,_xlpm.c),""),
  IF(OR(_xlpm.w="",_xlpm.v=""),"",_xlpm.v*_xlpm.w)
)</f>
        <v/>
      </c>
      <c r="CH122" s="93" t="str" cm="1">
        <f t="array" ref="CH122">_xlfn.LET(
  _xlpm.w, CH$11,
  _xlpm.r, MATCH(1,('3. Enter Indicator Scores'!$B$10:$B$161=$B122)*('3. Enter Indicator Scores'!$C$10:$C$161=$C122),0),
  _xlpm.c, MATCH(CH$8,'3. Enter Indicator Scores'!$D$8:$CZ$8,0),
  _xlpm.v, IFERROR(INDEX('3. Enter Indicator Scores'!$D$10:$CZ$161,_xlpm.r,_xlpm.c),""),
  IF(OR(_xlpm.w="",_xlpm.v=""),"",_xlpm.v*_xlpm.w)
)</f>
        <v/>
      </c>
      <c r="CI122" s="93" t="str" cm="1">
        <f t="array" ref="CI122">_xlfn.LET(
  _xlpm.w, CI$11,
  _xlpm.r, MATCH(1,('3. Enter Indicator Scores'!$B$10:$B$161=$B122)*('3. Enter Indicator Scores'!$C$10:$C$161=$C122),0),
  _xlpm.c, MATCH(CI$8,'3. Enter Indicator Scores'!$D$8:$CZ$8,0),
  _xlpm.v, IFERROR(INDEX('3. Enter Indicator Scores'!$D$10:$CZ$161,_xlpm.r,_xlpm.c),""),
  IF(OR(_xlpm.w="",_xlpm.v=""),"",_xlpm.v*_xlpm.w)
)</f>
        <v/>
      </c>
      <c r="CJ122" s="93" t="str" cm="1">
        <f t="array" ref="CJ122">_xlfn.LET(
  _xlpm.w, CJ$11,
  _xlpm.r, MATCH(1,('3. Enter Indicator Scores'!$B$10:$B$161=$B122)*('3. Enter Indicator Scores'!$C$10:$C$161=$C122),0),
  _xlpm.c, MATCH(CJ$8,'3. Enter Indicator Scores'!$D$8:$CZ$8,0),
  _xlpm.v, IFERROR(INDEX('3. Enter Indicator Scores'!$D$10:$CZ$161,_xlpm.r,_xlpm.c),""),
  IF(OR(_xlpm.w="",_xlpm.v=""),"",_xlpm.v*_xlpm.w)
)</f>
        <v/>
      </c>
      <c r="CK122" s="93" t="str" cm="1">
        <f t="array" ref="CK122">_xlfn.LET(
  _xlpm.w, CK$11,
  _xlpm.r, MATCH(1,('3. Enter Indicator Scores'!$B$10:$B$161=$B122)*('3. Enter Indicator Scores'!$C$10:$C$161=$C122),0),
  _xlpm.c, MATCH(CK$8,'3. Enter Indicator Scores'!$D$8:$CZ$8,0),
  _xlpm.v, IFERROR(INDEX('3. Enter Indicator Scores'!$D$10:$CZ$161,_xlpm.r,_xlpm.c),""),
  IF(OR(_xlpm.w="",_xlpm.v=""),"",_xlpm.v*_xlpm.w)
)</f>
        <v/>
      </c>
      <c r="CL122" s="93" t="str" cm="1">
        <f t="array" ref="CL122">_xlfn.LET(
  _xlpm.w, CL$11,
  _xlpm.r, MATCH(1,('3. Enter Indicator Scores'!$B$10:$B$161=$B122)*('3. Enter Indicator Scores'!$C$10:$C$161=$C122),0),
  _xlpm.c, MATCH(CL$8,'3. Enter Indicator Scores'!$D$8:$CZ$8,0),
  _xlpm.v, IFERROR(INDEX('3. Enter Indicator Scores'!$D$10:$CZ$161,_xlpm.r,_xlpm.c),""),
  IF(OR(_xlpm.w="",_xlpm.v=""),"",_xlpm.v*_xlpm.w)
)</f>
        <v/>
      </c>
      <c r="CM122" s="93" t="str" cm="1">
        <f t="array" ref="CM122">_xlfn.LET(
  _xlpm.w, CM$11,
  _xlpm.r, MATCH(1,('3. Enter Indicator Scores'!$B$10:$B$161=$B122)*('3. Enter Indicator Scores'!$C$10:$C$161=$C122),0),
  _xlpm.c, MATCH(CM$8,'3. Enter Indicator Scores'!$D$8:$CZ$8,0),
  _xlpm.v, IFERROR(INDEX('3. Enter Indicator Scores'!$D$10:$CZ$161,_xlpm.r,_xlpm.c),""),
  IF(OR(_xlpm.w="",_xlpm.v=""),"",_xlpm.v*_xlpm.w)
)</f>
        <v/>
      </c>
      <c r="CN122" s="93" t="str" cm="1">
        <f t="array" ref="CN122">_xlfn.LET(
  _xlpm.w, CN$11,
  _xlpm.r, MATCH(1,('3. Enter Indicator Scores'!$B$10:$B$161=$B122)*('3. Enter Indicator Scores'!$C$10:$C$161=$C122),0),
  _xlpm.c, MATCH(CN$8,'3. Enter Indicator Scores'!$D$8:$CZ$8,0),
  _xlpm.v, IFERROR(INDEX('3. Enter Indicator Scores'!$D$10:$CZ$161,_xlpm.r,_xlpm.c),""),
  IF(OR(_xlpm.w="",_xlpm.v=""),"",_xlpm.v*_xlpm.w)
)</f>
        <v/>
      </c>
      <c r="CO122" s="93" t="str" cm="1">
        <f t="array" ref="CO122">_xlfn.LET(
  _xlpm.w, CO$11,
  _xlpm.r, MATCH(1,('3. Enter Indicator Scores'!$B$10:$B$161=$B122)*('3. Enter Indicator Scores'!$C$10:$C$161=$C122),0),
  _xlpm.c, MATCH(CO$8,'3. Enter Indicator Scores'!$D$8:$CZ$8,0),
  _xlpm.v, IFERROR(INDEX('3. Enter Indicator Scores'!$D$10:$CZ$161,_xlpm.r,_xlpm.c),""),
  IF(OR(_xlpm.w="",_xlpm.v=""),"",_xlpm.v*_xlpm.w)
)</f>
        <v/>
      </c>
      <c r="CP122" s="93" t="str" cm="1">
        <f t="array" ref="CP122">_xlfn.LET(
  _xlpm.w, CP$11,
  _xlpm.r, MATCH(1,('3. Enter Indicator Scores'!$B$10:$B$161=$B122)*('3. Enter Indicator Scores'!$C$10:$C$161=$C122),0),
  _xlpm.c, MATCH(CP$8,'3. Enter Indicator Scores'!$D$8:$CZ$8,0),
  _xlpm.v, IFERROR(INDEX('3. Enter Indicator Scores'!$D$10:$CZ$161,_xlpm.r,_xlpm.c),""),
  IF(OR(_xlpm.w="",_xlpm.v=""),"",_xlpm.v*_xlpm.w)
)</f>
        <v/>
      </c>
      <c r="CQ122" s="93" t="str" cm="1">
        <f t="array" ref="CQ122">_xlfn.LET(
  _xlpm.w, CQ$11,
  _xlpm.r, MATCH(1,('3. Enter Indicator Scores'!$B$10:$B$161=$B122)*('3. Enter Indicator Scores'!$C$10:$C$161=$C122),0),
  _xlpm.c, MATCH(CQ$8,'3. Enter Indicator Scores'!$D$8:$CZ$8,0),
  _xlpm.v, IFERROR(INDEX('3. Enter Indicator Scores'!$D$10:$CZ$161,_xlpm.r,_xlpm.c),""),
  IF(OR(_xlpm.w="",_xlpm.v=""),"",_xlpm.v*_xlpm.w)
)</f>
        <v/>
      </c>
      <c r="CR122" s="93" t="str" cm="1">
        <f t="array" ref="CR122">_xlfn.LET(
  _xlpm.w, CR$11,
  _xlpm.r, MATCH(1,('3. Enter Indicator Scores'!$B$10:$B$161=$B122)*('3. Enter Indicator Scores'!$C$10:$C$161=$C122),0),
  _xlpm.c, MATCH(CR$8,'3. Enter Indicator Scores'!$D$8:$CZ$8,0),
  _xlpm.v, IFERROR(INDEX('3. Enter Indicator Scores'!$D$10:$CZ$161,_xlpm.r,_xlpm.c),""),
  IF(OR(_xlpm.w="",_xlpm.v=""),"",_xlpm.v*_xlpm.w)
)</f>
        <v/>
      </c>
      <c r="CS122" s="93" t="str" cm="1">
        <f t="array" ref="CS122">_xlfn.LET(
  _xlpm.w, CS$11,
  _xlpm.r, MATCH(1,('3. Enter Indicator Scores'!$B$10:$B$161=$B122)*('3. Enter Indicator Scores'!$C$10:$C$161=$C122),0),
  _xlpm.c, MATCH(CS$8,'3. Enter Indicator Scores'!$D$8:$CZ$8,0),
  _xlpm.v, IFERROR(INDEX('3. Enter Indicator Scores'!$D$10:$CZ$161,_xlpm.r,_xlpm.c),""),
  IF(OR(_xlpm.w="",_xlpm.v=""),"",_xlpm.v*_xlpm.w)
)</f>
        <v/>
      </c>
      <c r="CT122" s="93" t="str" cm="1">
        <f t="array" ref="CT122">_xlfn.LET(
  _xlpm.w, CT$11,
  _xlpm.r, MATCH(1,('3. Enter Indicator Scores'!$B$10:$B$161=$B122)*('3. Enter Indicator Scores'!$C$10:$C$161=$C122),0),
  _xlpm.c, MATCH(CT$8,'3. Enter Indicator Scores'!$D$8:$CZ$8,0),
  _xlpm.v, IFERROR(INDEX('3. Enter Indicator Scores'!$D$10:$CZ$161,_xlpm.r,_xlpm.c),""),
  IF(OR(_xlpm.w="",_xlpm.v=""),"",_xlpm.v*_xlpm.w)
)</f>
        <v/>
      </c>
      <c r="CU122" s="93" t="str" cm="1">
        <f t="array" ref="CU122">_xlfn.LET(
  _xlpm.w, CU$11,
  _xlpm.r, MATCH(1,('3. Enter Indicator Scores'!$B$10:$B$161=$B122)*('3. Enter Indicator Scores'!$C$10:$C$161=$C122),0),
  _xlpm.c, MATCH(CU$8,'3. Enter Indicator Scores'!$D$8:$CZ$8,0),
  _xlpm.v, IFERROR(INDEX('3. Enter Indicator Scores'!$D$10:$CZ$161,_xlpm.r,_xlpm.c),""),
  IF(OR(_xlpm.w="",_xlpm.v=""),"",_xlpm.v*_xlpm.w)
)</f>
        <v/>
      </c>
      <c r="CV122" s="93" t="str" cm="1">
        <f t="array" ref="CV122">_xlfn.LET(
  _xlpm.w, CV$11,
  _xlpm.r, MATCH(1,('3. Enter Indicator Scores'!$B$10:$B$161=$B122)*('3. Enter Indicator Scores'!$C$10:$C$161=$C122),0),
  _xlpm.c, MATCH(CV$8,'3. Enter Indicator Scores'!$D$8:$CZ$8,0),
  _xlpm.v, IFERROR(INDEX('3. Enter Indicator Scores'!$D$10:$CZ$161,_xlpm.r,_xlpm.c),""),
  IF(OR(_xlpm.w="",_xlpm.v=""),"",_xlpm.v*_xlpm.w)
)</f>
        <v/>
      </c>
      <c r="CW122" s="93" t="str" cm="1">
        <f t="array" ref="CW122">_xlfn.LET(
  _xlpm.w, CW$11,
  _xlpm.r, MATCH(1,('3. Enter Indicator Scores'!$B$10:$B$161=$B122)*('3. Enter Indicator Scores'!$C$10:$C$161=$C122),0),
  _xlpm.c, MATCH(CW$8,'3. Enter Indicator Scores'!$D$8:$CZ$8,0),
  _xlpm.v, IFERROR(INDEX('3. Enter Indicator Scores'!$D$10:$CZ$161,_xlpm.r,_xlpm.c),""),
  IF(OR(_xlpm.w="",_xlpm.v=""),"",_xlpm.v*_xlpm.w)
)</f>
        <v/>
      </c>
      <c r="CX122" s="93" t="str" cm="1">
        <f t="array" ref="CX122">_xlfn.LET(
  _xlpm.w, CX$11,
  _xlpm.r, MATCH(1,('3. Enter Indicator Scores'!$B$10:$B$161=$B122)*('3. Enter Indicator Scores'!$C$10:$C$161=$C122),0),
  _xlpm.c, MATCH(CX$8,'3. Enter Indicator Scores'!$D$8:$CZ$8,0),
  _xlpm.v, IFERROR(INDEX('3. Enter Indicator Scores'!$D$10:$CZ$161,_xlpm.r,_xlpm.c),""),
  IF(OR(_xlpm.w="",_xlpm.v=""),"",_xlpm.v*_xlpm.w)
)</f>
        <v/>
      </c>
      <c r="CY122" s="93" t="str" cm="1">
        <f t="array" ref="CY122">_xlfn.LET(
  _xlpm.w, CY$11,
  _xlpm.r, MATCH(1,('3. Enter Indicator Scores'!$B$10:$B$161=$B122)*('3. Enter Indicator Scores'!$C$10:$C$161=$C122),0),
  _xlpm.c, MATCH(CY$8,'3. Enter Indicator Scores'!$D$8:$CZ$8,0),
  _xlpm.v, IFERROR(INDEX('3. Enter Indicator Scores'!$D$10:$CZ$161,_xlpm.r,_xlpm.c),""),
  IF(OR(_xlpm.w="",_xlpm.v=""),"",_xlpm.v*_xlpm.w)
)</f>
        <v/>
      </c>
      <c r="CZ122" s="93" t="str" cm="1">
        <f t="array" ref="CZ122">_xlfn.LET(
  _xlpm.w, CZ$11,
  _xlpm.r, MATCH(1,('3. Enter Indicator Scores'!$B$10:$B$161=$B122)*('3. Enter Indicator Scores'!$C$10:$C$161=$C122),0),
  _xlpm.c, MATCH(CZ$8,'3. Enter Indicator Scores'!$D$8:$CZ$8,0),
  _xlpm.v, IFERROR(INDEX('3. Enter Indicator Scores'!$D$10:$CZ$161,_xlpm.r,_xlpm.c),""),
  IF(OR(_xlpm.w="",_xlpm.v=""),"",_xlpm.v*_xlpm.w)
)</f>
        <v/>
      </c>
    </row>
    <row r="123" spans="4:104" x14ac:dyDescent="0.2">
      <c r="D123" s="93" t="str" cm="1">
        <f t="array" ref="D123">_xlfn.LET(
  _xlpm.w, D$11,
  _xlpm.r, MATCH(1,('3. Enter Indicator Scores'!$B$10:$B$161=$B123)*('3. Enter Indicator Scores'!$C$10:$C$161=$C123),0),
  _xlpm.c, MATCH(D$8,'3. Enter Indicator Scores'!$D$8:$CZ$8,0),
  _xlpm.v, IFERROR(INDEX('3. Enter Indicator Scores'!$D$10:$CZ$161,_xlpm.r,_xlpm.c),""),
  IF(OR(_xlpm.w="",_xlpm.v=""),"",_xlpm.v*_xlpm.w)
)</f>
        <v/>
      </c>
      <c r="E123" s="93" t="str" cm="1">
        <f t="array" ref="E123">_xlfn.LET(
  _xlpm.w, E$11,
  _xlpm.r, MATCH(1,('3. Enter Indicator Scores'!$B$10:$B$161=$B123)*('3. Enter Indicator Scores'!$C$10:$C$161=$C123),0),
  _xlpm.c, MATCH(E$8,'3. Enter Indicator Scores'!$D$8:$CZ$8,0),
  _xlpm.v, IFERROR(INDEX('3. Enter Indicator Scores'!$D$10:$CZ$161,_xlpm.r,_xlpm.c),""),
  IF(OR(_xlpm.w="",_xlpm.v=""),"",_xlpm.v*_xlpm.w)
)</f>
        <v/>
      </c>
      <c r="F123" s="93" t="str" cm="1">
        <f t="array" ref="F123">_xlfn.LET(
  _xlpm.w, F$11,
  _xlpm.r, MATCH(1,('3. Enter Indicator Scores'!$B$10:$B$161=$B123)*('3. Enter Indicator Scores'!$C$10:$C$161=$C123),0),
  _xlpm.c, MATCH(F$8,'3. Enter Indicator Scores'!$D$8:$CZ$8,0),
  _xlpm.v, IFERROR(INDEX('3. Enter Indicator Scores'!$D$10:$CZ$161,_xlpm.r,_xlpm.c),""),
  IF(OR(_xlpm.w="",_xlpm.v=""),"",_xlpm.v*_xlpm.w)
)</f>
        <v/>
      </c>
      <c r="G123" s="93" t="str" cm="1">
        <f t="array" ref="G123">_xlfn.LET(
  _xlpm.w, G$11,
  _xlpm.r, MATCH(1,('3. Enter Indicator Scores'!$B$10:$B$161=$B123)*('3. Enter Indicator Scores'!$C$10:$C$161=$C123),0),
  _xlpm.c, MATCH(G$8,'3. Enter Indicator Scores'!$D$8:$CZ$8,0),
  _xlpm.v, IFERROR(INDEX('3. Enter Indicator Scores'!$D$10:$CZ$161,_xlpm.r,_xlpm.c),""),
  IF(OR(_xlpm.w="",_xlpm.v=""),"",_xlpm.v*_xlpm.w)
)</f>
        <v/>
      </c>
      <c r="H123" s="93" t="str" cm="1">
        <f t="array" ref="H123">_xlfn.LET(
  _xlpm.w, H$11,
  _xlpm.r, MATCH(1,('3. Enter Indicator Scores'!$B$10:$B$161=$B123)*('3. Enter Indicator Scores'!$C$10:$C$161=$C123),0),
  _xlpm.c, MATCH(H$8,'3. Enter Indicator Scores'!$D$8:$CZ$8,0),
  _xlpm.v, IFERROR(INDEX('3. Enter Indicator Scores'!$D$10:$CZ$161,_xlpm.r,_xlpm.c),""),
  IF(OR(_xlpm.w="",_xlpm.v=""),"",_xlpm.v*_xlpm.w)
)</f>
        <v/>
      </c>
      <c r="I123" s="93" t="str" cm="1">
        <f t="array" ref="I123">_xlfn.LET(
  _xlpm.w, I$11,
  _xlpm.r, MATCH(1,('3. Enter Indicator Scores'!$B$10:$B$161=$B123)*('3. Enter Indicator Scores'!$C$10:$C$161=$C123),0),
  _xlpm.c, MATCH(I$8,'3. Enter Indicator Scores'!$D$8:$CZ$8,0),
  _xlpm.v, IFERROR(INDEX('3. Enter Indicator Scores'!$D$10:$CZ$161,_xlpm.r,_xlpm.c),""),
  IF(OR(_xlpm.w="",_xlpm.v=""),"",_xlpm.v*_xlpm.w)
)</f>
        <v/>
      </c>
      <c r="J123" s="93" t="str" cm="1">
        <f t="array" ref="J123">_xlfn.LET(
  _xlpm.w, J$11,
  _xlpm.r, MATCH(1,('3. Enter Indicator Scores'!$B$10:$B$161=$B123)*('3. Enter Indicator Scores'!$C$10:$C$161=$C123),0),
  _xlpm.c, MATCH(J$8,'3. Enter Indicator Scores'!$D$8:$CZ$8,0),
  _xlpm.v, IFERROR(INDEX('3. Enter Indicator Scores'!$D$10:$CZ$161,_xlpm.r,_xlpm.c),""),
  IF(OR(_xlpm.w="",_xlpm.v=""),"",_xlpm.v*_xlpm.w)
)</f>
        <v/>
      </c>
      <c r="K123" s="93" t="str" cm="1">
        <f t="array" ref="K123">_xlfn.LET(
  _xlpm.w, K$11,
  _xlpm.r, MATCH(1,('3. Enter Indicator Scores'!$B$10:$B$161=$B123)*('3. Enter Indicator Scores'!$C$10:$C$161=$C123),0),
  _xlpm.c, MATCH(K$8,'3. Enter Indicator Scores'!$D$8:$CZ$8,0),
  _xlpm.v, IFERROR(INDEX('3. Enter Indicator Scores'!$D$10:$CZ$161,_xlpm.r,_xlpm.c),""),
  IF(OR(_xlpm.w="",_xlpm.v=""),"",_xlpm.v*_xlpm.w)
)</f>
        <v/>
      </c>
      <c r="L123" s="93" t="str" cm="1">
        <f t="array" ref="L123">_xlfn.LET(
  _xlpm.w, L$11,
  _xlpm.r, MATCH(1,('3. Enter Indicator Scores'!$B$10:$B$161=$B123)*('3. Enter Indicator Scores'!$C$10:$C$161=$C123),0),
  _xlpm.c, MATCH(L$8,'3. Enter Indicator Scores'!$D$8:$CZ$8,0),
  _xlpm.v, IFERROR(INDEX('3. Enter Indicator Scores'!$D$10:$CZ$161,_xlpm.r,_xlpm.c),""),
  IF(OR(_xlpm.w="",_xlpm.v=""),"",_xlpm.v*_xlpm.w)
)</f>
        <v/>
      </c>
      <c r="M123" s="93" t="str" cm="1">
        <f t="array" ref="M123">_xlfn.LET(
  _xlpm.w, M$11,
  _xlpm.r, MATCH(1,('3. Enter Indicator Scores'!$B$10:$B$161=$B123)*('3. Enter Indicator Scores'!$C$10:$C$161=$C123),0),
  _xlpm.c, MATCH(M$8,'3. Enter Indicator Scores'!$D$8:$CZ$8,0),
  _xlpm.v, IFERROR(INDEX('3. Enter Indicator Scores'!$D$10:$CZ$161,_xlpm.r,_xlpm.c),""),
  IF(OR(_xlpm.w="",_xlpm.v=""),"",_xlpm.v*_xlpm.w)
)</f>
        <v/>
      </c>
      <c r="N123" s="93" t="str" cm="1">
        <f t="array" ref="N123">_xlfn.LET(
  _xlpm.w, N$11,
  _xlpm.r, MATCH(1,('3. Enter Indicator Scores'!$B$10:$B$161=$B123)*('3. Enter Indicator Scores'!$C$10:$C$161=$C123),0),
  _xlpm.c, MATCH(N$8,'3. Enter Indicator Scores'!$D$8:$CZ$8,0),
  _xlpm.v, IFERROR(INDEX('3. Enter Indicator Scores'!$D$10:$CZ$161,_xlpm.r,_xlpm.c),""),
  IF(OR(_xlpm.w="",_xlpm.v=""),"",_xlpm.v*_xlpm.w)
)</f>
        <v/>
      </c>
      <c r="O123" s="93" t="str" cm="1">
        <f t="array" ref="O123">_xlfn.LET(
  _xlpm.w, O$11,
  _xlpm.r, MATCH(1,('3. Enter Indicator Scores'!$B$10:$B$161=$B123)*('3. Enter Indicator Scores'!$C$10:$C$161=$C123),0),
  _xlpm.c, MATCH(O$8,'3. Enter Indicator Scores'!$D$8:$CZ$8,0),
  _xlpm.v, IFERROR(INDEX('3. Enter Indicator Scores'!$D$10:$CZ$161,_xlpm.r,_xlpm.c),""),
  IF(OR(_xlpm.w="",_xlpm.v=""),"",_xlpm.v*_xlpm.w)
)</f>
        <v/>
      </c>
      <c r="P123" s="93" t="str" cm="1">
        <f t="array" ref="P123">_xlfn.LET(
  _xlpm.w, P$11,
  _xlpm.r, MATCH(1,('3. Enter Indicator Scores'!$B$10:$B$161=$B123)*('3. Enter Indicator Scores'!$C$10:$C$161=$C123),0),
  _xlpm.c, MATCH(P$8,'3. Enter Indicator Scores'!$D$8:$CZ$8,0),
  _xlpm.v, IFERROR(INDEX('3. Enter Indicator Scores'!$D$10:$CZ$161,_xlpm.r,_xlpm.c),""),
  IF(OR(_xlpm.w="",_xlpm.v=""),"",_xlpm.v*_xlpm.w)
)</f>
        <v/>
      </c>
      <c r="Q123" s="93" t="str" cm="1">
        <f t="array" ref="Q123">_xlfn.LET(
  _xlpm.w, Q$11,
  _xlpm.r, MATCH(1,('3. Enter Indicator Scores'!$B$10:$B$161=$B123)*('3. Enter Indicator Scores'!$C$10:$C$161=$C123),0),
  _xlpm.c, MATCH(Q$8,'3. Enter Indicator Scores'!$D$8:$CZ$8,0),
  _xlpm.v, IFERROR(INDEX('3. Enter Indicator Scores'!$D$10:$CZ$161,_xlpm.r,_xlpm.c),""),
  IF(OR(_xlpm.w="",_xlpm.v=""),"",_xlpm.v*_xlpm.w)
)</f>
        <v/>
      </c>
      <c r="R123" s="93" t="str" cm="1">
        <f t="array" ref="R123">_xlfn.LET(
  _xlpm.w, R$11,
  _xlpm.r, MATCH(1,('3. Enter Indicator Scores'!$B$10:$B$161=$B123)*('3. Enter Indicator Scores'!$C$10:$C$161=$C123),0),
  _xlpm.c, MATCH(R$8,'3. Enter Indicator Scores'!$D$8:$CZ$8,0),
  _xlpm.v, IFERROR(INDEX('3. Enter Indicator Scores'!$D$10:$CZ$161,_xlpm.r,_xlpm.c),""),
  IF(OR(_xlpm.w="",_xlpm.v=""),"",_xlpm.v*_xlpm.w)
)</f>
        <v/>
      </c>
      <c r="S123" s="93" t="str" cm="1">
        <f t="array" ref="S123">_xlfn.LET(
  _xlpm.w, S$11,
  _xlpm.r, MATCH(1,('3. Enter Indicator Scores'!$B$10:$B$161=$B123)*('3. Enter Indicator Scores'!$C$10:$C$161=$C123),0),
  _xlpm.c, MATCH(S$8,'3. Enter Indicator Scores'!$D$8:$CZ$8,0),
  _xlpm.v, IFERROR(INDEX('3. Enter Indicator Scores'!$D$10:$CZ$161,_xlpm.r,_xlpm.c),""),
  IF(OR(_xlpm.w="",_xlpm.v=""),"",_xlpm.v*_xlpm.w)
)</f>
        <v/>
      </c>
      <c r="T123" s="93" t="str" cm="1">
        <f t="array" ref="T123">_xlfn.LET(
  _xlpm.w, T$11,
  _xlpm.r, MATCH(1,('3. Enter Indicator Scores'!$B$10:$B$161=$B123)*('3. Enter Indicator Scores'!$C$10:$C$161=$C123),0),
  _xlpm.c, MATCH(T$8,'3. Enter Indicator Scores'!$D$8:$CZ$8,0),
  _xlpm.v, IFERROR(INDEX('3. Enter Indicator Scores'!$D$10:$CZ$161,_xlpm.r,_xlpm.c),""),
  IF(OR(_xlpm.w="",_xlpm.v=""),"",_xlpm.v*_xlpm.w)
)</f>
        <v/>
      </c>
      <c r="U123" s="93" t="str" cm="1">
        <f t="array" ref="U123">_xlfn.LET(
  _xlpm.w, U$11,
  _xlpm.r, MATCH(1,('3. Enter Indicator Scores'!$B$10:$B$161=$B123)*('3. Enter Indicator Scores'!$C$10:$C$161=$C123),0),
  _xlpm.c, MATCH(U$8,'3. Enter Indicator Scores'!$D$8:$CZ$8,0),
  _xlpm.v, IFERROR(INDEX('3. Enter Indicator Scores'!$D$10:$CZ$161,_xlpm.r,_xlpm.c),""),
  IF(OR(_xlpm.w="",_xlpm.v=""),"",_xlpm.v*_xlpm.w)
)</f>
        <v/>
      </c>
      <c r="V123" s="93" t="str" cm="1">
        <f t="array" ref="V123">_xlfn.LET(
  _xlpm.w, V$11,
  _xlpm.r, MATCH(1,('3. Enter Indicator Scores'!$B$10:$B$161=$B123)*('3. Enter Indicator Scores'!$C$10:$C$161=$C123),0),
  _xlpm.c, MATCH(V$8,'3. Enter Indicator Scores'!$D$8:$CZ$8,0),
  _xlpm.v, IFERROR(INDEX('3. Enter Indicator Scores'!$D$10:$CZ$161,_xlpm.r,_xlpm.c),""),
  IF(OR(_xlpm.w="",_xlpm.v=""),"",_xlpm.v*_xlpm.w)
)</f>
        <v/>
      </c>
      <c r="W123" s="93" t="str" cm="1">
        <f t="array" ref="W123">_xlfn.LET(
  _xlpm.w, W$11,
  _xlpm.r, MATCH(1,('3. Enter Indicator Scores'!$B$10:$B$161=$B123)*('3. Enter Indicator Scores'!$C$10:$C$161=$C123),0),
  _xlpm.c, MATCH(W$8,'3. Enter Indicator Scores'!$D$8:$CZ$8,0),
  _xlpm.v, IFERROR(INDEX('3. Enter Indicator Scores'!$D$10:$CZ$161,_xlpm.r,_xlpm.c),""),
  IF(OR(_xlpm.w="",_xlpm.v=""),"",_xlpm.v*_xlpm.w)
)</f>
        <v/>
      </c>
      <c r="X123" s="93" t="str" cm="1">
        <f t="array" ref="X123">_xlfn.LET(
  _xlpm.w, X$11,
  _xlpm.r, MATCH(1,('3. Enter Indicator Scores'!$B$10:$B$161=$B123)*('3. Enter Indicator Scores'!$C$10:$C$161=$C123),0),
  _xlpm.c, MATCH(X$8,'3. Enter Indicator Scores'!$D$8:$CZ$8,0),
  _xlpm.v, IFERROR(INDEX('3. Enter Indicator Scores'!$D$10:$CZ$161,_xlpm.r,_xlpm.c),""),
  IF(OR(_xlpm.w="",_xlpm.v=""),"",_xlpm.v*_xlpm.w)
)</f>
        <v/>
      </c>
      <c r="Y123" s="93" t="str" cm="1">
        <f t="array" ref="Y123">_xlfn.LET(
  _xlpm.w, Y$11,
  _xlpm.r, MATCH(1,('3. Enter Indicator Scores'!$B$10:$B$161=$B123)*('3. Enter Indicator Scores'!$C$10:$C$161=$C123),0),
  _xlpm.c, MATCH(Y$8,'3. Enter Indicator Scores'!$D$8:$CZ$8,0),
  _xlpm.v, IFERROR(INDEX('3. Enter Indicator Scores'!$D$10:$CZ$161,_xlpm.r,_xlpm.c),""),
  IF(OR(_xlpm.w="",_xlpm.v=""),"",_xlpm.v*_xlpm.w)
)</f>
        <v/>
      </c>
      <c r="Z123" s="93" t="str" cm="1">
        <f t="array" ref="Z123">_xlfn.LET(
  _xlpm.w, Z$11,
  _xlpm.r, MATCH(1,('3. Enter Indicator Scores'!$B$10:$B$161=$B123)*('3. Enter Indicator Scores'!$C$10:$C$161=$C123),0),
  _xlpm.c, MATCH(Z$8,'3. Enter Indicator Scores'!$D$8:$CZ$8,0),
  _xlpm.v, IFERROR(INDEX('3. Enter Indicator Scores'!$D$10:$CZ$161,_xlpm.r,_xlpm.c),""),
  IF(OR(_xlpm.w="",_xlpm.v=""),"",_xlpm.v*_xlpm.w)
)</f>
        <v/>
      </c>
      <c r="AA123" s="93" t="str" cm="1">
        <f t="array" ref="AA123">_xlfn.LET(
  _xlpm.w, AA$11,
  _xlpm.r, MATCH(1,('3. Enter Indicator Scores'!$B$10:$B$161=$B123)*('3. Enter Indicator Scores'!$C$10:$C$161=$C123),0),
  _xlpm.c, MATCH(AA$8,'3. Enter Indicator Scores'!$D$8:$CZ$8,0),
  _xlpm.v, IFERROR(INDEX('3. Enter Indicator Scores'!$D$10:$CZ$161,_xlpm.r,_xlpm.c),""),
  IF(OR(_xlpm.w="",_xlpm.v=""),"",_xlpm.v*_xlpm.w)
)</f>
        <v/>
      </c>
      <c r="AB123" s="93" t="str" cm="1">
        <f t="array" ref="AB123">_xlfn.LET(
  _xlpm.w, AB$11,
  _xlpm.r, MATCH(1,('3. Enter Indicator Scores'!$B$10:$B$161=$B123)*('3. Enter Indicator Scores'!$C$10:$C$161=$C123),0),
  _xlpm.c, MATCH(AB$8,'3. Enter Indicator Scores'!$D$8:$CZ$8,0),
  _xlpm.v, IFERROR(INDEX('3. Enter Indicator Scores'!$D$10:$CZ$161,_xlpm.r,_xlpm.c),""),
  IF(OR(_xlpm.w="",_xlpm.v=""),"",_xlpm.v*_xlpm.w)
)</f>
        <v/>
      </c>
      <c r="AC123" s="93" t="str" cm="1">
        <f t="array" ref="AC123">_xlfn.LET(
  _xlpm.w, AC$11,
  _xlpm.r, MATCH(1,('3. Enter Indicator Scores'!$B$10:$B$161=$B123)*('3. Enter Indicator Scores'!$C$10:$C$161=$C123),0),
  _xlpm.c, MATCH(AC$8,'3. Enter Indicator Scores'!$D$8:$CZ$8,0),
  _xlpm.v, IFERROR(INDEX('3. Enter Indicator Scores'!$D$10:$CZ$161,_xlpm.r,_xlpm.c),""),
  IF(OR(_xlpm.w="",_xlpm.v=""),"",_xlpm.v*_xlpm.w)
)</f>
        <v/>
      </c>
      <c r="AD123" s="93" t="str" cm="1">
        <f t="array" ref="AD123">_xlfn.LET(
  _xlpm.w, AD$11,
  _xlpm.r, MATCH(1,('3. Enter Indicator Scores'!$B$10:$B$161=$B123)*('3. Enter Indicator Scores'!$C$10:$C$161=$C123),0),
  _xlpm.c, MATCH(AD$8,'3. Enter Indicator Scores'!$D$8:$CZ$8,0),
  _xlpm.v, IFERROR(INDEX('3. Enter Indicator Scores'!$D$10:$CZ$161,_xlpm.r,_xlpm.c),""),
  IF(OR(_xlpm.w="",_xlpm.v=""),"",_xlpm.v*_xlpm.w)
)</f>
        <v/>
      </c>
      <c r="AE123" s="93" t="str" cm="1">
        <f t="array" ref="AE123">_xlfn.LET(
  _xlpm.w, AE$11,
  _xlpm.r, MATCH(1,('3. Enter Indicator Scores'!$B$10:$B$161=$B123)*('3. Enter Indicator Scores'!$C$10:$C$161=$C123),0),
  _xlpm.c, MATCH(AE$8,'3. Enter Indicator Scores'!$D$8:$CZ$8,0),
  _xlpm.v, IFERROR(INDEX('3. Enter Indicator Scores'!$D$10:$CZ$161,_xlpm.r,_xlpm.c),""),
  IF(OR(_xlpm.w="",_xlpm.v=""),"",_xlpm.v*_xlpm.w)
)</f>
        <v/>
      </c>
      <c r="AF123" s="93" t="str" cm="1">
        <f t="array" ref="AF123">_xlfn.LET(
  _xlpm.w, AF$11,
  _xlpm.r, MATCH(1,('3. Enter Indicator Scores'!$B$10:$B$161=$B123)*('3. Enter Indicator Scores'!$C$10:$C$161=$C123),0),
  _xlpm.c, MATCH(AF$8,'3. Enter Indicator Scores'!$D$8:$CZ$8,0),
  _xlpm.v, IFERROR(INDEX('3. Enter Indicator Scores'!$D$10:$CZ$161,_xlpm.r,_xlpm.c),""),
  IF(OR(_xlpm.w="",_xlpm.v=""),"",_xlpm.v*_xlpm.w)
)</f>
        <v/>
      </c>
      <c r="AG123" s="93" t="str" cm="1">
        <f t="array" ref="AG123">_xlfn.LET(
  _xlpm.w, AG$11,
  _xlpm.r, MATCH(1,('3. Enter Indicator Scores'!$B$10:$B$161=$B123)*('3. Enter Indicator Scores'!$C$10:$C$161=$C123),0),
  _xlpm.c, MATCH(AG$8,'3. Enter Indicator Scores'!$D$8:$CZ$8,0),
  _xlpm.v, IFERROR(INDEX('3. Enter Indicator Scores'!$D$10:$CZ$161,_xlpm.r,_xlpm.c),""),
  IF(OR(_xlpm.w="",_xlpm.v=""),"",_xlpm.v*_xlpm.w)
)</f>
        <v/>
      </c>
      <c r="AH123" s="93" t="str" cm="1">
        <f t="array" ref="AH123">_xlfn.LET(
  _xlpm.w, AH$11,
  _xlpm.r, MATCH(1,('3. Enter Indicator Scores'!$B$10:$B$161=$B123)*('3. Enter Indicator Scores'!$C$10:$C$161=$C123),0),
  _xlpm.c, MATCH(AH$8,'3. Enter Indicator Scores'!$D$8:$CZ$8,0),
  _xlpm.v, IFERROR(INDEX('3. Enter Indicator Scores'!$D$10:$CZ$161,_xlpm.r,_xlpm.c),""),
  IF(OR(_xlpm.w="",_xlpm.v=""),"",_xlpm.v*_xlpm.w)
)</f>
        <v/>
      </c>
      <c r="AI123" s="93" t="str" cm="1">
        <f t="array" ref="AI123">_xlfn.LET(
  _xlpm.w, AI$11,
  _xlpm.r, MATCH(1,('3. Enter Indicator Scores'!$B$10:$B$161=$B123)*('3. Enter Indicator Scores'!$C$10:$C$161=$C123),0),
  _xlpm.c, MATCH(AI$8,'3. Enter Indicator Scores'!$D$8:$CZ$8,0),
  _xlpm.v, IFERROR(INDEX('3. Enter Indicator Scores'!$D$10:$CZ$161,_xlpm.r,_xlpm.c),""),
  IF(OR(_xlpm.w="",_xlpm.v=""),"",_xlpm.v*_xlpm.w)
)</f>
        <v/>
      </c>
      <c r="AJ123" s="93" t="str" cm="1">
        <f t="array" ref="AJ123">_xlfn.LET(
  _xlpm.w, AJ$11,
  _xlpm.r, MATCH(1,('3. Enter Indicator Scores'!$B$10:$B$161=$B123)*('3. Enter Indicator Scores'!$C$10:$C$161=$C123),0),
  _xlpm.c, MATCH(AJ$8,'3. Enter Indicator Scores'!$D$8:$CZ$8,0),
  _xlpm.v, IFERROR(INDEX('3. Enter Indicator Scores'!$D$10:$CZ$161,_xlpm.r,_xlpm.c),""),
  IF(OR(_xlpm.w="",_xlpm.v=""),"",_xlpm.v*_xlpm.w)
)</f>
        <v/>
      </c>
      <c r="AK123" s="93" t="str" cm="1">
        <f t="array" ref="AK123">_xlfn.LET(
  _xlpm.w, AK$11,
  _xlpm.r, MATCH(1,('3. Enter Indicator Scores'!$B$10:$B$161=$B123)*('3. Enter Indicator Scores'!$C$10:$C$161=$C123),0),
  _xlpm.c, MATCH(AK$8,'3. Enter Indicator Scores'!$D$8:$CZ$8,0),
  _xlpm.v, IFERROR(INDEX('3. Enter Indicator Scores'!$D$10:$CZ$161,_xlpm.r,_xlpm.c),""),
  IF(OR(_xlpm.w="",_xlpm.v=""),"",_xlpm.v*_xlpm.w)
)</f>
        <v/>
      </c>
      <c r="AL123" s="93" t="str" cm="1">
        <f t="array" ref="AL123">_xlfn.LET(
  _xlpm.w, AL$11,
  _xlpm.r, MATCH(1,('3. Enter Indicator Scores'!$B$10:$B$161=$B123)*('3. Enter Indicator Scores'!$C$10:$C$161=$C123),0),
  _xlpm.c, MATCH(AL$8,'3. Enter Indicator Scores'!$D$8:$CZ$8,0),
  _xlpm.v, IFERROR(INDEX('3. Enter Indicator Scores'!$D$10:$CZ$161,_xlpm.r,_xlpm.c),""),
  IF(OR(_xlpm.w="",_xlpm.v=""),"",_xlpm.v*_xlpm.w)
)</f>
        <v/>
      </c>
      <c r="AM123" s="93" t="str" cm="1">
        <f t="array" ref="AM123">_xlfn.LET(
  _xlpm.w, AM$11,
  _xlpm.r, MATCH(1,('3. Enter Indicator Scores'!$B$10:$B$161=$B123)*('3. Enter Indicator Scores'!$C$10:$C$161=$C123),0),
  _xlpm.c, MATCH(AM$8,'3. Enter Indicator Scores'!$D$8:$CZ$8,0),
  _xlpm.v, IFERROR(INDEX('3. Enter Indicator Scores'!$D$10:$CZ$161,_xlpm.r,_xlpm.c),""),
  IF(OR(_xlpm.w="",_xlpm.v=""),"",_xlpm.v*_xlpm.w)
)</f>
        <v/>
      </c>
      <c r="AN123" s="93" t="str" cm="1">
        <f t="array" ref="AN123">_xlfn.LET(
  _xlpm.w, AN$11,
  _xlpm.r, MATCH(1,('3. Enter Indicator Scores'!$B$10:$B$161=$B123)*('3. Enter Indicator Scores'!$C$10:$C$161=$C123),0),
  _xlpm.c, MATCH(AN$8,'3. Enter Indicator Scores'!$D$8:$CZ$8,0),
  _xlpm.v, IFERROR(INDEX('3. Enter Indicator Scores'!$D$10:$CZ$161,_xlpm.r,_xlpm.c),""),
  IF(OR(_xlpm.w="",_xlpm.v=""),"",_xlpm.v*_xlpm.w)
)</f>
        <v/>
      </c>
      <c r="AO123" s="93" t="str" cm="1">
        <f t="array" ref="AO123">_xlfn.LET(
  _xlpm.w, AO$11,
  _xlpm.r, MATCH(1,('3. Enter Indicator Scores'!$B$10:$B$161=$B123)*('3. Enter Indicator Scores'!$C$10:$C$161=$C123),0),
  _xlpm.c, MATCH(AO$8,'3. Enter Indicator Scores'!$D$8:$CZ$8,0),
  _xlpm.v, IFERROR(INDEX('3. Enter Indicator Scores'!$D$10:$CZ$161,_xlpm.r,_xlpm.c),""),
  IF(OR(_xlpm.w="",_xlpm.v=""),"",_xlpm.v*_xlpm.w)
)</f>
        <v/>
      </c>
      <c r="AP123" s="93" t="str" cm="1">
        <f t="array" ref="AP123">_xlfn.LET(
  _xlpm.w, AP$11,
  _xlpm.r, MATCH(1,('3. Enter Indicator Scores'!$B$10:$B$161=$B123)*('3. Enter Indicator Scores'!$C$10:$C$161=$C123),0),
  _xlpm.c, MATCH(AP$8,'3. Enter Indicator Scores'!$D$8:$CZ$8,0),
  _xlpm.v, IFERROR(INDEX('3. Enter Indicator Scores'!$D$10:$CZ$161,_xlpm.r,_xlpm.c),""),
  IF(OR(_xlpm.w="",_xlpm.v=""),"",_xlpm.v*_xlpm.w)
)</f>
        <v/>
      </c>
      <c r="AQ123" s="93" t="str" cm="1">
        <f t="array" ref="AQ123">_xlfn.LET(
  _xlpm.w, AQ$11,
  _xlpm.r, MATCH(1,('3. Enter Indicator Scores'!$B$10:$B$161=$B123)*('3. Enter Indicator Scores'!$C$10:$C$161=$C123),0),
  _xlpm.c, MATCH(AQ$8,'3. Enter Indicator Scores'!$D$8:$CZ$8,0),
  _xlpm.v, IFERROR(INDEX('3. Enter Indicator Scores'!$D$10:$CZ$161,_xlpm.r,_xlpm.c),""),
  IF(OR(_xlpm.w="",_xlpm.v=""),"",_xlpm.v*_xlpm.w)
)</f>
        <v/>
      </c>
      <c r="AR123" s="93" t="str" cm="1">
        <f t="array" ref="AR123">_xlfn.LET(
  _xlpm.w, AR$11,
  _xlpm.r, MATCH(1,('3. Enter Indicator Scores'!$B$10:$B$161=$B123)*('3. Enter Indicator Scores'!$C$10:$C$161=$C123),0),
  _xlpm.c, MATCH(AR$8,'3. Enter Indicator Scores'!$D$8:$CZ$8,0),
  _xlpm.v, IFERROR(INDEX('3. Enter Indicator Scores'!$D$10:$CZ$161,_xlpm.r,_xlpm.c),""),
  IF(OR(_xlpm.w="",_xlpm.v=""),"",_xlpm.v*_xlpm.w)
)</f>
        <v/>
      </c>
      <c r="AS123" s="93" t="str" cm="1">
        <f t="array" ref="AS123">_xlfn.LET(
  _xlpm.w, AS$11,
  _xlpm.r, MATCH(1,('3. Enter Indicator Scores'!$B$10:$B$161=$B123)*('3. Enter Indicator Scores'!$C$10:$C$161=$C123),0),
  _xlpm.c, MATCH(AS$8,'3. Enter Indicator Scores'!$D$8:$CZ$8,0),
  _xlpm.v, IFERROR(INDEX('3. Enter Indicator Scores'!$D$10:$CZ$161,_xlpm.r,_xlpm.c),""),
  IF(OR(_xlpm.w="",_xlpm.v=""),"",_xlpm.v*_xlpm.w)
)</f>
        <v/>
      </c>
      <c r="AT123" s="93" t="str" cm="1">
        <f t="array" ref="AT123">_xlfn.LET(
  _xlpm.w, AT$11,
  _xlpm.r, MATCH(1,('3. Enter Indicator Scores'!$B$10:$B$161=$B123)*('3. Enter Indicator Scores'!$C$10:$C$161=$C123),0),
  _xlpm.c, MATCH(AT$8,'3. Enter Indicator Scores'!$D$8:$CZ$8,0),
  _xlpm.v, IFERROR(INDEX('3. Enter Indicator Scores'!$D$10:$CZ$161,_xlpm.r,_xlpm.c),""),
  IF(OR(_xlpm.w="",_xlpm.v=""),"",_xlpm.v*_xlpm.w)
)</f>
        <v/>
      </c>
      <c r="AU123" s="93" t="str" cm="1">
        <f t="array" ref="AU123">_xlfn.LET(
  _xlpm.w, AU$11,
  _xlpm.r, MATCH(1,('3. Enter Indicator Scores'!$B$10:$B$161=$B123)*('3. Enter Indicator Scores'!$C$10:$C$161=$C123),0),
  _xlpm.c, MATCH(AU$8,'3. Enter Indicator Scores'!$D$8:$CZ$8,0),
  _xlpm.v, IFERROR(INDEX('3. Enter Indicator Scores'!$D$10:$CZ$161,_xlpm.r,_xlpm.c),""),
  IF(OR(_xlpm.w="",_xlpm.v=""),"",_xlpm.v*_xlpm.w)
)</f>
        <v/>
      </c>
      <c r="AV123" s="93" t="str" cm="1">
        <f t="array" ref="AV123">_xlfn.LET(
  _xlpm.w, AV$11,
  _xlpm.r, MATCH(1,('3. Enter Indicator Scores'!$B$10:$B$161=$B123)*('3. Enter Indicator Scores'!$C$10:$C$161=$C123),0),
  _xlpm.c, MATCH(AV$8,'3. Enter Indicator Scores'!$D$8:$CZ$8,0),
  _xlpm.v, IFERROR(INDEX('3. Enter Indicator Scores'!$D$10:$CZ$161,_xlpm.r,_xlpm.c),""),
  IF(OR(_xlpm.w="",_xlpm.v=""),"",_xlpm.v*_xlpm.w)
)</f>
        <v/>
      </c>
      <c r="AW123" s="93" t="str" cm="1">
        <f t="array" ref="AW123">_xlfn.LET(
  _xlpm.w, AW$11,
  _xlpm.r, MATCH(1,('3. Enter Indicator Scores'!$B$10:$B$161=$B123)*('3. Enter Indicator Scores'!$C$10:$C$161=$C123),0),
  _xlpm.c, MATCH(AW$8,'3. Enter Indicator Scores'!$D$8:$CZ$8,0),
  _xlpm.v, IFERROR(INDEX('3. Enter Indicator Scores'!$D$10:$CZ$161,_xlpm.r,_xlpm.c),""),
  IF(OR(_xlpm.w="",_xlpm.v=""),"",_xlpm.v*_xlpm.w)
)</f>
        <v/>
      </c>
      <c r="AX123" s="93" t="str" cm="1">
        <f t="array" ref="AX123">_xlfn.LET(
  _xlpm.w, AX$11,
  _xlpm.r, MATCH(1,('3. Enter Indicator Scores'!$B$10:$B$161=$B123)*('3. Enter Indicator Scores'!$C$10:$C$161=$C123),0),
  _xlpm.c, MATCH(AX$8,'3. Enter Indicator Scores'!$D$8:$CZ$8,0),
  _xlpm.v, IFERROR(INDEX('3. Enter Indicator Scores'!$D$10:$CZ$161,_xlpm.r,_xlpm.c),""),
  IF(OR(_xlpm.w="",_xlpm.v=""),"",_xlpm.v*_xlpm.w)
)</f>
        <v/>
      </c>
      <c r="AY123" s="93" t="str" cm="1">
        <f t="array" ref="AY123">_xlfn.LET(
  _xlpm.w, AY$11,
  _xlpm.r, MATCH(1,('3. Enter Indicator Scores'!$B$10:$B$161=$B123)*('3. Enter Indicator Scores'!$C$10:$C$161=$C123),0),
  _xlpm.c, MATCH(AY$8,'3. Enter Indicator Scores'!$D$8:$CZ$8,0),
  _xlpm.v, IFERROR(INDEX('3. Enter Indicator Scores'!$D$10:$CZ$161,_xlpm.r,_xlpm.c),""),
  IF(OR(_xlpm.w="",_xlpm.v=""),"",_xlpm.v*_xlpm.w)
)</f>
        <v/>
      </c>
      <c r="AZ123" s="93" t="str" cm="1">
        <f t="array" ref="AZ123">_xlfn.LET(
  _xlpm.w, AZ$11,
  _xlpm.r, MATCH(1,('3. Enter Indicator Scores'!$B$10:$B$161=$B123)*('3. Enter Indicator Scores'!$C$10:$C$161=$C123),0),
  _xlpm.c, MATCH(AZ$8,'3. Enter Indicator Scores'!$D$8:$CZ$8,0),
  _xlpm.v, IFERROR(INDEX('3. Enter Indicator Scores'!$D$10:$CZ$161,_xlpm.r,_xlpm.c),""),
  IF(OR(_xlpm.w="",_xlpm.v=""),"",_xlpm.v*_xlpm.w)
)</f>
        <v/>
      </c>
      <c r="BA123" s="93" t="str" cm="1">
        <f t="array" ref="BA123">_xlfn.LET(
  _xlpm.w, BA$11,
  _xlpm.r, MATCH(1,('3. Enter Indicator Scores'!$B$10:$B$161=$B123)*('3. Enter Indicator Scores'!$C$10:$C$161=$C123),0),
  _xlpm.c, MATCH(BA$8,'3. Enter Indicator Scores'!$D$8:$CZ$8,0),
  _xlpm.v, IFERROR(INDEX('3. Enter Indicator Scores'!$D$10:$CZ$161,_xlpm.r,_xlpm.c),""),
  IF(OR(_xlpm.w="",_xlpm.v=""),"",_xlpm.v*_xlpm.w)
)</f>
        <v/>
      </c>
      <c r="BB123" s="93" t="str" cm="1">
        <f t="array" ref="BB123">_xlfn.LET(
  _xlpm.w, BB$11,
  _xlpm.r, MATCH(1,('3. Enter Indicator Scores'!$B$10:$B$161=$B123)*('3. Enter Indicator Scores'!$C$10:$C$161=$C123),0),
  _xlpm.c, MATCH(BB$8,'3. Enter Indicator Scores'!$D$8:$CZ$8,0),
  _xlpm.v, IFERROR(INDEX('3. Enter Indicator Scores'!$D$10:$CZ$161,_xlpm.r,_xlpm.c),""),
  IF(OR(_xlpm.w="",_xlpm.v=""),"",_xlpm.v*_xlpm.w)
)</f>
        <v/>
      </c>
      <c r="BC123" s="93" t="str" cm="1">
        <f t="array" ref="BC123">_xlfn.LET(
  _xlpm.w, BC$11,
  _xlpm.r, MATCH(1,('3. Enter Indicator Scores'!$B$10:$B$161=$B123)*('3. Enter Indicator Scores'!$C$10:$C$161=$C123),0),
  _xlpm.c, MATCH(BC$8,'3. Enter Indicator Scores'!$D$8:$CZ$8,0),
  _xlpm.v, IFERROR(INDEX('3. Enter Indicator Scores'!$D$10:$CZ$161,_xlpm.r,_xlpm.c),""),
  IF(OR(_xlpm.w="",_xlpm.v=""),"",_xlpm.v*_xlpm.w)
)</f>
        <v/>
      </c>
      <c r="BD123" s="93" t="str" cm="1">
        <f t="array" ref="BD123">_xlfn.LET(
  _xlpm.w, BD$11,
  _xlpm.r, MATCH(1,('3. Enter Indicator Scores'!$B$10:$B$161=$B123)*('3. Enter Indicator Scores'!$C$10:$C$161=$C123),0),
  _xlpm.c, MATCH(BD$8,'3. Enter Indicator Scores'!$D$8:$CZ$8,0),
  _xlpm.v, IFERROR(INDEX('3. Enter Indicator Scores'!$D$10:$CZ$161,_xlpm.r,_xlpm.c),""),
  IF(OR(_xlpm.w="",_xlpm.v=""),"",_xlpm.v*_xlpm.w)
)</f>
        <v/>
      </c>
      <c r="BE123" s="93" t="str" cm="1">
        <f t="array" ref="BE123">_xlfn.LET(
  _xlpm.w, BE$11,
  _xlpm.r, MATCH(1,('3. Enter Indicator Scores'!$B$10:$B$161=$B123)*('3. Enter Indicator Scores'!$C$10:$C$161=$C123),0),
  _xlpm.c, MATCH(BE$8,'3. Enter Indicator Scores'!$D$8:$CZ$8,0),
  _xlpm.v, IFERROR(INDEX('3. Enter Indicator Scores'!$D$10:$CZ$161,_xlpm.r,_xlpm.c),""),
  IF(OR(_xlpm.w="",_xlpm.v=""),"",_xlpm.v*_xlpm.w)
)</f>
        <v/>
      </c>
      <c r="BF123" s="93" t="str" cm="1">
        <f t="array" ref="BF123">_xlfn.LET(
  _xlpm.w, BF$11,
  _xlpm.r, MATCH(1,('3. Enter Indicator Scores'!$B$10:$B$161=$B123)*('3. Enter Indicator Scores'!$C$10:$C$161=$C123),0),
  _xlpm.c, MATCH(BF$8,'3. Enter Indicator Scores'!$D$8:$CZ$8,0),
  _xlpm.v, IFERROR(INDEX('3. Enter Indicator Scores'!$D$10:$CZ$161,_xlpm.r,_xlpm.c),""),
  IF(OR(_xlpm.w="",_xlpm.v=""),"",_xlpm.v*_xlpm.w)
)</f>
        <v/>
      </c>
      <c r="BG123" s="93" t="str" cm="1">
        <f t="array" ref="BG123">_xlfn.LET(
  _xlpm.w, BG$11,
  _xlpm.r, MATCH(1,('3. Enter Indicator Scores'!$B$10:$B$161=$B123)*('3. Enter Indicator Scores'!$C$10:$C$161=$C123),0),
  _xlpm.c, MATCH(BG$8,'3. Enter Indicator Scores'!$D$8:$CZ$8,0),
  _xlpm.v, IFERROR(INDEX('3. Enter Indicator Scores'!$D$10:$CZ$161,_xlpm.r,_xlpm.c),""),
  IF(OR(_xlpm.w="",_xlpm.v=""),"",_xlpm.v*_xlpm.w)
)</f>
        <v/>
      </c>
      <c r="BH123" s="93" t="str" cm="1">
        <f t="array" ref="BH123">_xlfn.LET(
  _xlpm.w, BH$11,
  _xlpm.r, MATCH(1,('3. Enter Indicator Scores'!$B$10:$B$161=$B123)*('3. Enter Indicator Scores'!$C$10:$C$161=$C123),0),
  _xlpm.c, MATCH(BH$8,'3. Enter Indicator Scores'!$D$8:$CZ$8,0),
  _xlpm.v, IFERROR(INDEX('3. Enter Indicator Scores'!$D$10:$CZ$161,_xlpm.r,_xlpm.c),""),
  IF(OR(_xlpm.w="",_xlpm.v=""),"",_xlpm.v*_xlpm.w)
)</f>
        <v/>
      </c>
      <c r="BI123" s="93" t="str" cm="1">
        <f t="array" ref="BI123">_xlfn.LET(
  _xlpm.w, BI$11,
  _xlpm.r, MATCH(1,('3. Enter Indicator Scores'!$B$10:$B$161=$B123)*('3. Enter Indicator Scores'!$C$10:$C$161=$C123),0),
  _xlpm.c, MATCH(BI$8,'3. Enter Indicator Scores'!$D$8:$CZ$8,0),
  _xlpm.v, IFERROR(INDEX('3. Enter Indicator Scores'!$D$10:$CZ$161,_xlpm.r,_xlpm.c),""),
  IF(OR(_xlpm.w="",_xlpm.v=""),"",_xlpm.v*_xlpm.w)
)</f>
        <v/>
      </c>
      <c r="BJ123" s="93" t="str" cm="1">
        <f t="array" ref="BJ123">_xlfn.LET(
  _xlpm.w, BJ$11,
  _xlpm.r, MATCH(1,('3. Enter Indicator Scores'!$B$10:$B$161=$B123)*('3. Enter Indicator Scores'!$C$10:$C$161=$C123),0),
  _xlpm.c, MATCH(BJ$8,'3. Enter Indicator Scores'!$D$8:$CZ$8,0),
  _xlpm.v, IFERROR(INDEX('3. Enter Indicator Scores'!$D$10:$CZ$161,_xlpm.r,_xlpm.c),""),
  IF(OR(_xlpm.w="",_xlpm.v=""),"",_xlpm.v*_xlpm.w)
)</f>
        <v/>
      </c>
      <c r="BK123" s="93" t="str" cm="1">
        <f t="array" ref="BK123">_xlfn.LET(
  _xlpm.w, BK$11,
  _xlpm.r, MATCH(1,('3. Enter Indicator Scores'!$B$10:$B$161=$B123)*('3. Enter Indicator Scores'!$C$10:$C$161=$C123),0),
  _xlpm.c, MATCH(BK$8,'3. Enter Indicator Scores'!$D$8:$CZ$8,0),
  _xlpm.v, IFERROR(INDEX('3. Enter Indicator Scores'!$D$10:$CZ$161,_xlpm.r,_xlpm.c),""),
  IF(OR(_xlpm.w="",_xlpm.v=""),"",_xlpm.v*_xlpm.w)
)</f>
        <v/>
      </c>
      <c r="BL123" s="93" t="str" cm="1">
        <f t="array" ref="BL123">_xlfn.LET(
  _xlpm.w, BL$11,
  _xlpm.r, MATCH(1,('3. Enter Indicator Scores'!$B$10:$B$161=$B123)*('3. Enter Indicator Scores'!$C$10:$C$161=$C123),0),
  _xlpm.c, MATCH(BL$8,'3. Enter Indicator Scores'!$D$8:$CZ$8,0),
  _xlpm.v, IFERROR(INDEX('3. Enter Indicator Scores'!$D$10:$CZ$161,_xlpm.r,_xlpm.c),""),
  IF(OR(_xlpm.w="",_xlpm.v=""),"",_xlpm.v*_xlpm.w)
)</f>
        <v/>
      </c>
      <c r="BM123" s="93" t="str" cm="1">
        <f t="array" ref="BM123">_xlfn.LET(
  _xlpm.w, BM$11,
  _xlpm.r, MATCH(1,('3. Enter Indicator Scores'!$B$10:$B$161=$B123)*('3. Enter Indicator Scores'!$C$10:$C$161=$C123),0),
  _xlpm.c, MATCH(BM$8,'3. Enter Indicator Scores'!$D$8:$CZ$8,0),
  _xlpm.v, IFERROR(INDEX('3. Enter Indicator Scores'!$D$10:$CZ$161,_xlpm.r,_xlpm.c),""),
  IF(OR(_xlpm.w="",_xlpm.v=""),"",_xlpm.v*_xlpm.w)
)</f>
        <v/>
      </c>
      <c r="BN123" s="93" t="str" cm="1">
        <f t="array" ref="BN123">_xlfn.LET(
  _xlpm.w, BN$11,
  _xlpm.r, MATCH(1,('3. Enter Indicator Scores'!$B$10:$B$161=$B123)*('3. Enter Indicator Scores'!$C$10:$C$161=$C123),0),
  _xlpm.c, MATCH(BN$8,'3. Enter Indicator Scores'!$D$8:$CZ$8,0),
  _xlpm.v, IFERROR(INDEX('3. Enter Indicator Scores'!$D$10:$CZ$161,_xlpm.r,_xlpm.c),""),
  IF(OR(_xlpm.w="",_xlpm.v=""),"",_xlpm.v*_xlpm.w)
)</f>
        <v/>
      </c>
      <c r="BO123" s="93" t="str" cm="1">
        <f t="array" ref="BO123">_xlfn.LET(
  _xlpm.w, BO$11,
  _xlpm.r, MATCH(1,('3. Enter Indicator Scores'!$B$10:$B$161=$B123)*('3. Enter Indicator Scores'!$C$10:$C$161=$C123),0),
  _xlpm.c, MATCH(BO$8,'3. Enter Indicator Scores'!$D$8:$CZ$8,0),
  _xlpm.v, IFERROR(INDEX('3. Enter Indicator Scores'!$D$10:$CZ$161,_xlpm.r,_xlpm.c),""),
  IF(OR(_xlpm.w="",_xlpm.v=""),"",_xlpm.v*_xlpm.w)
)</f>
        <v/>
      </c>
      <c r="BP123" s="93" t="str" cm="1">
        <f t="array" ref="BP123">_xlfn.LET(
  _xlpm.w, BP$11,
  _xlpm.r, MATCH(1,('3. Enter Indicator Scores'!$B$10:$B$161=$B123)*('3. Enter Indicator Scores'!$C$10:$C$161=$C123),0),
  _xlpm.c, MATCH(BP$8,'3. Enter Indicator Scores'!$D$8:$CZ$8,0),
  _xlpm.v, IFERROR(INDEX('3. Enter Indicator Scores'!$D$10:$CZ$161,_xlpm.r,_xlpm.c),""),
  IF(OR(_xlpm.w="",_xlpm.v=""),"",_xlpm.v*_xlpm.w)
)</f>
        <v/>
      </c>
      <c r="BQ123" s="93" t="str" cm="1">
        <f t="array" ref="BQ123">_xlfn.LET(
  _xlpm.w, BQ$11,
  _xlpm.r, MATCH(1,('3. Enter Indicator Scores'!$B$10:$B$161=$B123)*('3. Enter Indicator Scores'!$C$10:$C$161=$C123),0),
  _xlpm.c, MATCH(BQ$8,'3. Enter Indicator Scores'!$D$8:$CZ$8,0),
  _xlpm.v, IFERROR(INDEX('3. Enter Indicator Scores'!$D$10:$CZ$161,_xlpm.r,_xlpm.c),""),
  IF(OR(_xlpm.w="",_xlpm.v=""),"",_xlpm.v*_xlpm.w)
)</f>
        <v/>
      </c>
      <c r="BR123" s="93" t="str" cm="1">
        <f t="array" ref="BR123">_xlfn.LET(
  _xlpm.w, BR$11,
  _xlpm.r, MATCH(1,('3. Enter Indicator Scores'!$B$10:$B$161=$B123)*('3. Enter Indicator Scores'!$C$10:$C$161=$C123),0),
  _xlpm.c, MATCH(BR$8,'3. Enter Indicator Scores'!$D$8:$CZ$8,0),
  _xlpm.v, IFERROR(INDEX('3. Enter Indicator Scores'!$D$10:$CZ$161,_xlpm.r,_xlpm.c),""),
  IF(OR(_xlpm.w="",_xlpm.v=""),"",_xlpm.v*_xlpm.w)
)</f>
        <v/>
      </c>
      <c r="BS123" s="93" t="str" cm="1">
        <f t="array" ref="BS123">_xlfn.LET(
  _xlpm.w, BS$11,
  _xlpm.r, MATCH(1,('3. Enter Indicator Scores'!$B$10:$B$161=$B123)*('3. Enter Indicator Scores'!$C$10:$C$161=$C123),0),
  _xlpm.c, MATCH(BS$8,'3. Enter Indicator Scores'!$D$8:$CZ$8,0),
  _xlpm.v, IFERROR(INDEX('3. Enter Indicator Scores'!$D$10:$CZ$161,_xlpm.r,_xlpm.c),""),
  IF(OR(_xlpm.w="",_xlpm.v=""),"",_xlpm.v*_xlpm.w)
)</f>
        <v/>
      </c>
      <c r="BT123" s="93" t="str" cm="1">
        <f t="array" ref="BT123">_xlfn.LET(
  _xlpm.w, BT$11,
  _xlpm.r, MATCH(1,('3. Enter Indicator Scores'!$B$10:$B$161=$B123)*('3. Enter Indicator Scores'!$C$10:$C$161=$C123),0),
  _xlpm.c, MATCH(BT$8,'3. Enter Indicator Scores'!$D$8:$CZ$8,0),
  _xlpm.v, IFERROR(INDEX('3. Enter Indicator Scores'!$D$10:$CZ$161,_xlpm.r,_xlpm.c),""),
  IF(OR(_xlpm.w="",_xlpm.v=""),"",_xlpm.v*_xlpm.w)
)</f>
        <v/>
      </c>
      <c r="BU123" s="93" t="str" cm="1">
        <f t="array" ref="BU123">_xlfn.LET(
  _xlpm.w, BU$11,
  _xlpm.r, MATCH(1,('3. Enter Indicator Scores'!$B$10:$B$161=$B123)*('3. Enter Indicator Scores'!$C$10:$C$161=$C123),0),
  _xlpm.c, MATCH(BU$8,'3. Enter Indicator Scores'!$D$8:$CZ$8,0),
  _xlpm.v, IFERROR(INDEX('3. Enter Indicator Scores'!$D$10:$CZ$161,_xlpm.r,_xlpm.c),""),
  IF(OR(_xlpm.w="",_xlpm.v=""),"",_xlpm.v*_xlpm.w)
)</f>
        <v/>
      </c>
      <c r="BV123" s="93" t="str" cm="1">
        <f t="array" ref="BV123">_xlfn.LET(
  _xlpm.w, BV$11,
  _xlpm.r, MATCH(1,('3. Enter Indicator Scores'!$B$10:$B$161=$B123)*('3. Enter Indicator Scores'!$C$10:$C$161=$C123),0),
  _xlpm.c, MATCH(BV$8,'3. Enter Indicator Scores'!$D$8:$CZ$8,0),
  _xlpm.v, IFERROR(INDEX('3. Enter Indicator Scores'!$D$10:$CZ$161,_xlpm.r,_xlpm.c),""),
  IF(OR(_xlpm.w="",_xlpm.v=""),"",_xlpm.v*_xlpm.w)
)</f>
        <v/>
      </c>
      <c r="BW123" s="93" t="str" cm="1">
        <f t="array" ref="BW123">_xlfn.LET(
  _xlpm.w, BW$11,
  _xlpm.r, MATCH(1,('3. Enter Indicator Scores'!$B$10:$B$161=$B123)*('3. Enter Indicator Scores'!$C$10:$C$161=$C123),0),
  _xlpm.c, MATCH(BW$8,'3. Enter Indicator Scores'!$D$8:$CZ$8,0),
  _xlpm.v, IFERROR(INDEX('3. Enter Indicator Scores'!$D$10:$CZ$161,_xlpm.r,_xlpm.c),""),
  IF(OR(_xlpm.w="",_xlpm.v=""),"",_xlpm.v*_xlpm.w)
)</f>
        <v/>
      </c>
      <c r="BX123" s="93" t="str" cm="1">
        <f t="array" ref="BX123">_xlfn.LET(
  _xlpm.w, BX$11,
  _xlpm.r, MATCH(1,('3. Enter Indicator Scores'!$B$10:$B$161=$B123)*('3. Enter Indicator Scores'!$C$10:$C$161=$C123),0),
  _xlpm.c, MATCH(BX$8,'3. Enter Indicator Scores'!$D$8:$CZ$8,0),
  _xlpm.v, IFERROR(INDEX('3. Enter Indicator Scores'!$D$10:$CZ$161,_xlpm.r,_xlpm.c),""),
  IF(OR(_xlpm.w="",_xlpm.v=""),"",_xlpm.v*_xlpm.w)
)</f>
        <v/>
      </c>
      <c r="BY123" s="93" t="str" cm="1">
        <f t="array" ref="BY123">_xlfn.LET(
  _xlpm.w, BY$11,
  _xlpm.r, MATCH(1,('3. Enter Indicator Scores'!$B$10:$B$161=$B123)*('3. Enter Indicator Scores'!$C$10:$C$161=$C123),0),
  _xlpm.c, MATCH(BY$8,'3. Enter Indicator Scores'!$D$8:$CZ$8,0),
  _xlpm.v, IFERROR(INDEX('3. Enter Indicator Scores'!$D$10:$CZ$161,_xlpm.r,_xlpm.c),""),
  IF(OR(_xlpm.w="",_xlpm.v=""),"",_xlpm.v*_xlpm.w)
)</f>
        <v/>
      </c>
      <c r="BZ123" s="93" t="str" cm="1">
        <f t="array" ref="BZ123">_xlfn.LET(
  _xlpm.w, BZ$11,
  _xlpm.r, MATCH(1,('3. Enter Indicator Scores'!$B$10:$B$161=$B123)*('3. Enter Indicator Scores'!$C$10:$C$161=$C123),0),
  _xlpm.c, MATCH(BZ$8,'3. Enter Indicator Scores'!$D$8:$CZ$8,0),
  _xlpm.v, IFERROR(INDEX('3. Enter Indicator Scores'!$D$10:$CZ$161,_xlpm.r,_xlpm.c),""),
  IF(OR(_xlpm.w="",_xlpm.v=""),"",_xlpm.v*_xlpm.w)
)</f>
        <v/>
      </c>
      <c r="CA123" s="93" t="str" cm="1">
        <f t="array" ref="CA123">_xlfn.LET(
  _xlpm.w, CA$11,
  _xlpm.r, MATCH(1,('3. Enter Indicator Scores'!$B$10:$B$161=$B123)*('3. Enter Indicator Scores'!$C$10:$C$161=$C123),0),
  _xlpm.c, MATCH(CA$8,'3. Enter Indicator Scores'!$D$8:$CZ$8,0),
  _xlpm.v, IFERROR(INDEX('3. Enter Indicator Scores'!$D$10:$CZ$161,_xlpm.r,_xlpm.c),""),
  IF(OR(_xlpm.w="",_xlpm.v=""),"",_xlpm.v*_xlpm.w)
)</f>
        <v/>
      </c>
      <c r="CB123" s="93" t="str" cm="1">
        <f t="array" ref="CB123">_xlfn.LET(
  _xlpm.w, CB$11,
  _xlpm.r, MATCH(1,('3. Enter Indicator Scores'!$B$10:$B$161=$B123)*('3. Enter Indicator Scores'!$C$10:$C$161=$C123),0),
  _xlpm.c, MATCH(CB$8,'3. Enter Indicator Scores'!$D$8:$CZ$8,0),
  _xlpm.v, IFERROR(INDEX('3. Enter Indicator Scores'!$D$10:$CZ$161,_xlpm.r,_xlpm.c),""),
  IF(OR(_xlpm.w="",_xlpm.v=""),"",_xlpm.v*_xlpm.w)
)</f>
        <v/>
      </c>
      <c r="CC123" s="93" t="str" cm="1">
        <f t="array" ref="CC123">_xlfn.LET(
  _xlpm.w, CC$11,
  _xlpm.r, MATCH(1,('3. Enter Indicator Scores'!$B$10:$B$161=$B123)*('3. Enter Indicator Scores'!$C$10:$C$161=$C123),0),
  _xlpm.c, MATCH(CC$8,'3. Enter Indicator Scores'!$D$8:$CZ$8,0),
  _xlpm.v, IFERROR(INDEX('3. Enter Indicator Scores'!$D$10:$CZ$161,_xlpm.r,_xlpm.c),""),
  IF(OR(_xlpm.w="",_xlpm.v=""),"",_xlpm.v*_xlpm.w)
)</f>
        <v/>
      </c>
      <c r="CD123" s="93" t="str" cm="1">
        <f t="array" ref="CD123">_xlfn.LET(
  _xlpm.w, CD$11,
  _xlpm.r, MATCH(1,('3. Enter Indicator Scores'!$B$10:$B$161=$B123)*('3. Enter Indicator Scores'!$C$10:$C$161=$C123),0),
  _xlpm.c, MATCH(CD$8,'3. Enter Indicator Scores'!$D$8:$CZ$8,0),
  _xlpm.v, IFERROR(INDEX('3. Enter Indicator Scores'!$D$10:$CZ$161,_xlpm.r,_xlpm.c),""),
  IF(OR(_xlpm.w="",_xlpm.v=""),"",_xlpm.v*_xlpm.w)
)</f>
        <v/>
      </c>
      <c r="CE123" s="93" t="str" cm="1">
        <f t="array" ref="CE123">_xlfn.LET(
  _xlpm.w, CE$11,
  _xlpm.r, MATCH(1,('3. Enter Indicator Scores'!$B$10:$B$161=$B123)*('3. Enter Indicator Scores'!$C$10:$C$161=$C123),0),
  _xlpm.c, MATCH(CE$8,'3. Enter Indicator Scores'!$D$8:$CZ$8,0),
  _xlpm.v, IFERROR(INDEX('3. Enter Indicator Scores'!$D$10:$CZ$161,_xlpm.r,_xlpm.c),""),
  IF(OR(_xlpm.w="",_xlpm.v=""),"",_xlpm.v*_xlpm.w)
)</f>
        <v/>
      </c>
      <c r="CF123" s="93" t="str" cm="1">
        <f t="array" ref="CF123">_xlfn.LET(
  _xlpm.w, CF$11,
  _xlpm.r, MATCH(1,('3. Enter Indicator Scores'!$B$10:$B$161=$B123)*('3. Enter Indicator Scores'!$C$10:$C$161=$C123),0),
  _xlpm.c, MATCH(CF$8,'3. Enter Indicator Scores'!$D$8:$CZ$8,0),
  _xlpm.v, IFERROR(INDEX('3. Enter Indicator Scores'!$D$10:$CZ$161,_xlpm.r,_xlpm.c),""),
  IF(OR(_xlpm.w="",_xlpm.v=""),"",_xlpm.v*_xlpm.w)
)</f>
        <v/>
      </c>
      <c r="CG123" s="93" t="str" cm="1">
        <f t="array" ref="CG123">_xlfn.LET(
  _xlpm.w, CG$11,
  _xlpm.r, MATCH(1,('3. Enter Indicator Scores'!$B$10:$B$161=$B123)*('3. Enter Indicator Scores'!$C$10:$C$161=$C123),0),
  _xlpm.c, MATCH(CG$8,'3. Enter Indicator Scores'!$D$8:$CZ$8,0),
  _xlpm.v, IFERROR(INDEX('3. Enter Indicator Scores'!$D$10:$CZ$161,_xlpm.r,_xlpm.c),""),
  IF(OR(_xlpm.w="",_xlpm.v=""),"",_xlpm.v*_xlpm.w)
)</f>
        <v/>
      </c>
      <c r="CH123" s="93" t="str" cm="1">
        <f t="array" ref="CH123">_xlfn.LET(
  _xlpm.w, CH$11,
  _xlpm.r, MATCH(1,('3. Enter Indicator Scores'!$B$10:$B$161=$B123)*('3. Enter Indicator Scores'!$C$10:$C$161=$C123),0),
  _xlpm.c, MATCH(CH$8,'3. Enter Indicator Scores'!$D$8:$CZ$8,0),
  _xlpm.v, IFERROR(INDEX('3. Enter Indicator Scores'!$D$10:$CZ$161,_xlpm.r,_xlpm.c),""),
  IF(OR(_xlpm.w="",_xlpm.v=""),"",_xlpm.v*_xlpm.w)
)</f>
        <v/>
      </c>
      <c r="CI123" s="93" t="str" cm="1">
        <f t="array" ref="CI123">_xlfn.LET(
  _xlpm.w, CI$11,
  _xlpm.r, MATCH(1,('3. Enter Indicator Scores'!$B$10:$B$161=$B123)*('3. Enter Indicator Scores'!$C$10:$C$161=$C123),0),
  _xlpm.c, MATCH(CI$8,'3. Enter Indicator Scores'!$D$8:$CZ$8,0),
  _xlpm.v, IFERROR(INDEX('3. Enter Indicator Scores'!$D$10:$CZ$161,_xlpm.r,_xlpm.c),""),
  IF(OR(_xlpm.w="",_xlpm.v=""),"",_xlpm.v*_xlpm.w)
)</f>
        <v/>
      </c>
      <c r="CJ123" s="93" t="str" cm="1">
        <f t="array" ref="CJ123">_xlfn.LET(
  _xlpm.w, CJ$11,
  _xlpm.r, MATCH(1,('3. Enter Indicator Scores'!$B$10:$B$161=$B123)*('3. Enter Indicator Scores'!$C$10:$C$161=$C123),0),
  _xlpm.c, MATCH(CJ$8,'3. Enter Indicator Scores'!$D$8:$CZ$8,0),
  _xlpm.v, IFERROR(INDEX('3. Enter Indicator Scores'!$D$10:$CZ$161,_xlpm.r,_xlpm.c),""),
  IF(OR(_xlpm.w="",_xlpm.v=""),"",_xlpm.v*_xlpm.w)
)</f>
        <v/>
      </c>
      <c r="CK123" s="93" t="str" cm="1">
        <f t="array" ref="CK123">_xlfn.LET(
  _xlpm.w, CK$11,
  _xlpm.r, MATCH(1,('3. Enter Indicator Scores'!$B$10:$B$161=$B123)*('3. Enter Indicator Scores'!$C$10:$C$161=$C123),0),
  _xlpm.c, MATCH(CK$8,'3. Enter Indicator Scores'!$D$8:$CZ$8,0),
  _xlpm.v, IFERROR(INDEX('3. Enter Indicator Scores'!$D$10:$CZ$161,_xlpm.r,_xlpm.c),""),
  IF(OR(_xlpm.w="",_xlpm.v=""),"",_xlpm.v*_xlpm.w)
)</f>
        <v/>
      </c>
      <c r="CL123" s="93" t="str" cm="1">
        <f t="array" ref="CL123">_xlfn.LET(
  _xlpm.w, CL$11,
  _xlpm.r, MATCH(1,('3. Enter Indicator Scores'!$B$10:$B$161=$B123)*('3. Enter Indicator Scores'!$C$10:$C$161=$C123),0),
  _xlpm.c, MATCH(CL$8,'3. Enter Indicator Scores'!$D$8:$CZ$8,0),
  _xlpm.v, IFERROR(INDEX('3. Enter Indicator Scores'!$D$10:$CZ$161,_xlpm.r,_xlpm.c),""),
  IF(OR(_xlpm.w="",_xlpm.v=""),"",_xlpm.v*_xlpm.w)
)</f>
        <v/>
      </c>
      <c r="CM123" s="93" t="str" cm="1">
        <f t="array" ref="CM123">_xlfn.LET(
  _xlpm.w, CM$11,
  _xlpm.r, MATCH(1,('3. Enter Indicator Scores'!$B$10:$B$161=$B123)*('3. Enter Indicator Scores'!$C$10:$C$161=$C123),0),
  _xlpm.c, MATCH(CM$8,'3. Enter Indicator Scores'!$D$8:$CZ$8,0),
  _xlpm.v, IFERROR(INDEX('3. Enter Indicator Scores'!$D$10:$CZ$161,_xlpm.r,_xlpm.c),""),
  IF(OR(_xlpm.w="",_xlpm.v=""),"",_xlpm.v*_xlpm.w)
)</f>
        <v/>
      </c>
      <c r="CN123" s="93" t="str" cm="1">
        <f t="array" ref="CN123">_xlfn.LET(
  _xlpm.w, CN$11,
  _xlpm.r, MATCH(1,('3. Enter Indicator Scores'!$B$10:$B$161=$B123)*('3. Enter Indicator Scores'!$C$10:$C$161=$C123),0),
  _xlpm.c, MATCH(CN$8,'3. Enter Indicator Scores'!$D$8:$CZ$8,0),
  _xlpm.v, IFERROR(INDEX('3. Enter Indicator Scores'!$D$10:$CZ$161,_xlpm.r,_xlpm.c),""),
  IF(OR(_xlpm.w="",_xlpm.v=""),"",_xlpm.v*_xlpm.w)
)</f>
        <v/>
      </c>
      <c r="CO123" s="93" t="str" cm="1">
        <f t="array" ref="CO123">_xlfn.LET(
  _xlpm.w, CO$11,
  _xlpm.r, MATCH(1,('3. Enter Indicator Scores'!$B$10:$B$161=$B123)*('3. Enter Indicator Scores'!$C$10:$C$161=$C123),0),
  _xlpm.c, MATCH(CO$8,'3. Enter Indicator Scores'!$D$8:$CZ$8,0),
  _xlpm.v, IFERROR(INDEX('3. Enter Indicator Scores'!$D$10:$CZ$161,_xlpm.r,_xlpm.c),""),
  IF(OR(_xlpm.w="",_xlpm.v=""),"",_xlpm.v*_xlpm.w)
)</f>
        <v/>
      </c>
      <c r="CP123" s="93" t="str" cm="1">
        <f t="array" ref="CP123">_xlfn.LET(
  _xlpm.w, CP$11,
  _xlpm.r, MATCH(1,('3. Enter Indicator Scores'!$B$10:$B$161=$B123)*('3. Enter Indicator Scores'!$C$10:$C$161=$C123),0),
  _xlpm.c, MATCH(CP$8,'3. Enter Indicator Scores'!$D$8:$CZ$8,0),
  _xlpm.v, IFERROR(INDEX('3. Enter Indicator Scores'!$D$10:$CZ$161,_xlpm.r,_xlpm.c),""),
  IF(OR(_xlpm.w="",_xlpm.v=""),"",_xlpm.v*_xlpm.w)
)</f>
        <v/>
      </c>
      <c r="CQ123" s="93" t="str" cm="1">
        <f t="array" ref="CQ123">_xlfn.LET(
  _xlpm.w, CQ$11,
  _xlpm.r, MATCH(1,('3. Enter Indicator Scores'!$B$10:$B$161=$B123)*('3. Enter Indicator Scores'!$C$10:$C$161=$C123),0),
  _xlpm.c, MATCH(CQ$8,'3. Enter Indicator Scores'!$D$8:$CZ$8,0),
  _xlpm.v, IFERROR(INDEX('3. Enter Indicator Scores'!$D$10:$CZ$161,_xlpm.r,_xlpm.c),""),
  IF(OR(_xlpm.w="",_xlpm.v=""),"",_xlpm.v*_xlpm.w)
)</f>
        <v/>
      </c>
      <c r="CR123" s="93" t="str" cm="1">
        <f t="array" ref="CR123">_xlfn.LET(
  _xlpm.w, CR$11,
  _xlpm.r, MATCH(1,('3. Enter Indicator Scores'!$B$10:$B$161=$B123)*('3. Enter Indicator Scores'!$C$10:$C$161=$C123),0),
  _xlpm.c, MATCH(CR$8,'3. Enter Indicator Scores'!$D$8:$CZ$8,0),
  _xlpm.v, IFERROR(INDEX('3. Enter Indicator Scores'!$D$10:$CZ$161,_xlpm.r,_xlpm.c),""),
  IF(OR(_xlpm.w="",_xlpm.v=""),"",_xlpm.v*_xlpm.w)
)</f>
        <v/>
      </c>
      <c r="CS123" s="93" t="str" cm="1">
        <f t="array" ref="CS123">_xlfn.LET(
  _xlpm.w, CS$11,
  _xlpm.r, MATCH(1,('3. Enter Indicator Scores'!$B$10:$B$161=$B123)*('3. Enter Indicator Scores'!$C$10:$C$161=$C123),0),
  _xlpm.c, MATCH(CS$8,'3. Enter Indicator Scores'!$D$8:$CZ$8,0),
  _xlpm.v, IFERROR(INDEX('3. Enter Indicator Scores'!$D$10:$CZ$161,_xlpm.r,_xlpm.c),""),
  IF(OR(_xlpm.w="",_xlpm.v=""),"",_xlpm.v*_xlpm.w)
)</f>
        <v/>
      </c>
      <c r="CT123" s="93" t="str" cm="1">
        <f t="array" ref="CT123">_xlfn.LET(
  _xlpm.w, CT$11,
  _xlpm.r, MATCH(1,('3. Enter Indicator Scores'!$B$10:$B$161=$B123)*('3. Enter Indicator Scores'!$C$10:$C$161=$C123),0),
  _xlpm.c, MATCH(CT$8,'3. Enter Indicator Scores'!$D$8:$CZ$8,0),
  _xlpm.v, IFERROR(INDEX('3. Enter Indicator Scores'!$D$10:$CZ$161,_xlpm.r,_xlpm.c),""),
  IF(OR(_xlpm.w="",_xlpm.v=""),"",_xlpm.v*_xlpm.w)
)</f>
        <v/>
      </c>
      <c r="CU123" s="93" t="str" cm="1">
        <f t="array" ref="CU123">_xlfn.LET(
  _xlpm.w, CU$11,
  _xlpm.r, MATCH(1,('3. Enter Indicator Scores'!$B$10:$B$161=$B123)*('3. Enter Indicator Scores'!$C$10:$C$161=$C123),0),
  _xlpm.c, MATCH(CU$8,'3. Enter Indicator Scores'!$D$8:$CZ$8,0),
  _xlpm.v, IFERROR(INDEX('3. Enter Indicator Scores'!$D$10:$CZ$161,_xlpm.r,_xlpm.c),""),
  IF(OR(_xlpm.w="",_xlpm.v=""),"",_xlpm.v*_xlpm.w)
)</f>
        <v/>
      </c>
      <c r="CV123" s="93" t="str" cm="1">
        <f t="array" ref="CV123">_xlfn.LET(
  _xlpm.w, CV$11,
  _xlpm.r, MATCH(1,('3. Enter Indicator Scores'!$B$10:$B$161=$B123)*('3. Enter Indicator Scores'!$C$10:$C$161=$C123),0),
  _xlpm.c, MATCH(CV$8,'3. Enter Indicator Scores'!$D$8:$CZ$8,0),
  _xlpm.v, IFERROR(INDEX('3. Enter Indicator Scores'!$D$10:$CZ$161,_xlpm.r,_xlpm.c),""),
  IF(OR(_xlpm.w="",_xlpm.v=""),"",_xlpm.v*_xlpm.w)
)</f>
        <v/>
      </c>
      <c r="CW123" s="93" t="str" cm="1">
        <f t="array" ref="CW123">_xlfn.LET(
  _xlpm.w, CW$11,
  _xlpm.r, MATCH(1,('3. Enter Indicator Scores'!$B$10:$B$161=$B123)*('3. Enter Indicator Scores'!$C$10:$C$161=$C123),0),
  _xlpm.c, MATCH(CW$8,'3. Enter Indicator Scores'!$D$8:$CZ$8,0),
  _xlpm.v, IFERROR(INDEX('3. Enter Indicator Scores'!$D$10:$CZ$161,_xlpm.r,_xlpm.c),""),
  IF(OR(_xlpm.w="",_xlpm.v=""),"",_xlpm.v*_xlpm.w)
)</f>
        <v/>
      </c>
      <c r="CX123" s="93" t="str" cm="1">
        <f t="array" ref="CX123">_xlfn.LET(
  _xlpm.w, CX$11,
  _xlpm.r, MATCH(1,('3. Enter Indicator Scores'!$B$10:$B$161=$B123)*('3. Enter Indicator Scores'!$C$10:$C$161=$C123),0),
  _xlpm.c, MATCH(CX$8,'3. Enter Indicator Scores'!$D$8:$CZ$8,0),
  _xlpm.v, IFERROR(INDEX('3. Enter Indicator Scores'!$D$10:$CZ$161,_xlpm.r,_xlpm.c),""),
  IF(OR(_xlpm.w="",_xlpm.v=""),"",_xlpm.v*_xlpm.w)
)</f>
        <v/>
      </c>
      <c r="CY123" s="93" t="str" cm="1">
        <f t="array" ref="CY123">_xlfn.LET(
  _xlpm.w, CY$11,
  _xlpm.r, MATCH(1,('3. Enter Indicator Scores'!$B$10:$B$161=$B123)*('3. Enter Indicator Scores'!$C$10:$C$161=$C123),0),
  _xlpm.c, MATCH(CY$8,'3. Enter Indicator Scores'!$D$8:$CZ$8,0),
  _xlpm.v, IFERROR(INDEX('3. Enter Indicator Scores'!$D$10:$CZ$161,_xlpm.r,_xlpm.c),""),
  IF(OR(_xlpm.w="",_xlpm.v=""),"",_xlpm.v*_xlpm.w)
)</f>
        <v/>
      </c>
      <c r="CZ123" s="93" t="str" cm="1">
        <f t="array" ref="CZ123">_xlfn.LET(
  _xlpm.w, CZ$11,
  _xlpm.r, MATCH(1,('3. Enter Indicator Scores'!$B$10:$B$161=$B123)*('3. Enter Indicator Scores'!$C$10:$C$161=$C123),0),
  _xlpm.c, MATCH(CZ$8,'3. Enter Indicator Scores'!$D$8:$CZ$8,0),
  _xlpm.v, IFERROR(INDEX('3. Enter Indicator Scores'!$D$10:$CZ$161,_xlpm.r,_xlpm.c),""),
  IF(OR(_xlpm.w="",_xlpm.v=""),"",_xlpm.v*_xlpm.w)
)</f>
        <v/>
      </c>
    </row>
    <row r="124" spans="4:104" x14ac:dyDescent="0.2">
      <c r="D124" s="93" t="str" cm="1">
        <f t="array" ref="D124">_xlfn.LET(
  _xlpm.w, D$11,
  _xlpm.r, MATCH(1,('3. Enter Indicator Scores'!$B$10:$B$161=$B124)*('3. Enter Indicator Scores'!$C$10:$C$161=$C124),0),
  _xlpm.c, MATCH(D$8,'3. Enter Indicator Scores'!$D$8:$CZ$8,0),
  _xlpm.v, IFERROR(INDEX('3. Enter Indicator Scores'!$D$10:$CZ$161,_xlpm.r,_xlpm.c),""),
  IF(OR(_xlpm.w="",_xlpm.v=""),"",_xlpm.v*_xlpm.w)
)</f>
        <v/>
      </c>
      <c r="E124" s="93" t="str" cm="1">
        <f t="array" ref="E124">_xlfn.LET(
  _xlpm.w, E$11,
  _xlpm.r, MATCH(1,('3. Enter Indicator Scores'!$B$10:$B$161=$B124)*('3. Enter Indicator Scores'!$C$10:$C$161=$C124),0),
  _xlpm.c, MATCH(E$8,'3. Enter Indicator Scores'!$D$8:$CZ$8,0),
  _xlpm.v, IFERROR(INDEX('3. Enter Indicator Scores'!$D$10:$CZ$161,_xlpm.r,_xlpm.c),""),
  IF(OR(_xlpm.w="",_xlpm.v=""),"",_xlpm.v*_xlpm.w)
)</f>
        <v/>
      </c>
      <c r="F124" s="93" t="str" cm="1">
        <f t="array" ref="F124">_xlfn.LET(
  _xlpm.w, F$11,
  _xlpm.r, MATCH(1,('3. Enter Indicator Scores'!$B$10:$B$161=$B124)*('3. Enter Indicator Scores'!$C$10:$C$161=$C124),0),
  _xlpm.c, MATCH(F$8,'3. Enter Indicator Scores'!$D$8:$CZ$8,0),
  _xlpm.v, IFERROR(INDEX('3. Enter Indicator Scores'!$D$10:$CZ$161,_xlpm.r,_xlpm.c),""),
  IF(OR(_xlpm.w="",_xlpm.v=""),"",_xlpm.v*_xlpm.w)
)</f>
        <v/>
      </c>
      <c r="G124" s="93" t="str" cm="1">
        <f t="array" ref="G124">_xlfn.LET(
  _xlpm.w, G$11,
  _xlpm.r, MATCH(1,('3. Enter Indicator Scores'!$B$10:$B$161=$B124)*('3. Enter Indicator Scores'!$C$10:$C$161=$C124),0),
  _xlpm.c, MATCH(G$8,'3. Enter Indicator Scores'!$D$8:$CZ$8,0),
  _xlpm.v, IFERROR(INDEX('3. Enter Indicator Scores'!$D$10:$CZ$161,_xlpm.r,_xlpm.c),""),
  IF(OR(_xlpm.w="",_xlpm.v=""),"",_xlpm.v*_xlpm.w)
)</f>
        <v/>
      </c>
      <c r="H124" s="93" t="str" cm="1">
        <f t="array" ref="H124">_xlfn.LET(
  _xlpm.w, H$11,
  _xlpm.r, MATCH(1,('3. Enter Indicator Scores'!$B$10:$B$161=$B124)*('3. Enter Indicator Scores'!$C$10:$C$161=$C124),0),
  _xlpm.c, MATCH(H$8,'3. Enter Indicator Scores'!$D$8:$CZ$8,0),
  _xlpm.v, IFERROR(INDEX('3. Enter Indicator Scores'!$D$10:$CZ$161,_xlpm.r,_xlpm.c),""),
  IF(OR(_xlpm.w="",_xlpm.v=""),"",_xlpm.v*_xlpm.w)
)</f>
        <v/>
      </c>
      <c r="I124" s="93" t="str" cm="1">
        <f t="array" ref="I124">_xlfn.LET(
  _xlpm.w, I$11,
  _xlpm.r, MATCH(1,('3. Enter Indicator Scores'!$B$10:$B$161=$B124)*('3. Enter Indicator Scores'!$C$10:$C$161=$C124),0),
  _xlpm.c, MATCH(I$8,'3. Enter Indicator Scores'!$D$8:$CZ$8,0),
  _xlpm.v, IFERROR(INDEX('3. Enter Indicator Scores'!$D$10:$CZ$161,_xlpm.r,_xlpm.c),""),
  IF(OR(_xlpm.w="",_xlpm.v=""),"",_xlpm.v*_xlpm.w)
)</f>
        <v/>
      </c>
      <c r="J124" s="93" t="str" cm="1">
        <f t="array" ref="J124">_xlfn.LET(
  _xlpm.w, J$11,
  _xlpm.r, MATCH(1,('3. Enter Indicator Scores'!$B$10:$B$161=$B124)*('3. Enter Indicator Scores'!$C$10:$C$161=$C124),0),
  _xlpm.c, MATCH(J$8,'3. Enter Indicator Scores'!$D$8:$CZ$8,0),
  _xlpm.v, IFERROR(INDEX('3. Enter Indicator Scores'!$D$10:$CZ$161,_xlpm.r,_xlpm.c),""),
  IF(OR(_xlpm.w="",_xlpm.v=""),"",_xlpm.v*_xlpm.w)
)</f>
        <v/>
      </c>
      <c r="K124" s="93" t="str" cm="1">
        <f t="array" ref="K124">_xlfn.LET(
  _xlpm.w, K$11,
  _xlpm.r, MATCH(1,('3. Enter Indicator Scores'!$B$10:$B$161=$B124)*('3. Enter Indicator Scores'!$C$10:$C$161=$C124),0),
  _xlpm.c, MATCH(K$8,'3. Enter Indicator Scores'!$D$8:$CZ$8,0),
  _xlpm.v, IFERROR(INDEX('3. Enter Indicator Scores'!$D$10:$CZ$161,_xlpm.r,_xlpm.c),""),
  IF(OR(_xlpm.w="",_xlpm.v=""),"",_xlpm.v*_xlpm.w)
)</f>
        <v/>
      </c>
      <c r="L124" s="93" t="str" cm="1">
        <f t="array" ref="L124">_xlfn.LET(
  _xlpm.w, L$11,
  _xlpm.r, MATCH(1,('3. Enter Indicator Scores'!$B$10:$B$161=$B124)*('3. Enter Indicator Scores'!$C$10:$C$161=$C124),0),
  _xlpm.c, MATCH(L$8,'3. Enter Indicator Scores'!$D$8:$CZ$8,0),
  _xlpm.v, IFERROR(INDEX('3. Enter Indicator Scores'!$D$10:$CZ$161,_xlpm.r,_xlpm.c),""),
  IF(OR(_xlpm.w="",_xlpm.v=""),"",_xlpm.v*_xlpm.w)
)</f>
        <v/>
      </c>
      <c r="M124" s="93" t="str" cm="1">
        <f t="array" ref="M124">_xlfn.LET(
  _xlpm.w, M$11,
  _xlpm.r, MATCH(1,('3. Enter Indicator Scores'!$B$10:$B$161=$B124)*('3. Enter Indicator Scores'!$C$10:$C$161=$C124),0),
  _xlpm.c, MATCH(M$8,'3. Enter Indicator Scores'!$D$8:$CZ$8,0),
  _xlpm.v, IFERROR(INDEX('3. Enter Indicator Scores'!$D$10:$CZ$161,_xlpm.r,_xlpm.c),""),
  IF(OR(_xlpm.w="",_xlpm.v=""),"",_xlpm.v*_xlpm.w)
)</f>
        <v/>
      </c>
      <c r="N124" s="93" t="str" cm="1">
        <f t="array" ref="N124">_xlfn.LET(
  _xlpm.w, N$11,
  _xlpm.r, MATCH(1,('3. Enter Indicator Scores'!$B$10:$B$161=$B124)*('3. Enter Indicator Scores'!$C$10:$C$161=$C124),0),
  _xlpm.c, MATCH(N$8,'3. Enter Indicator Scores'!$D$8:$CZ$8,0),
  _xlpm.v, IFERROR(INDEX('3. Enter Indicator Scores'!$D$10:$CZ$161,_xlpm.r,_xlpm.c),""),
  IF(OR(_xlpm.w="",_xlpm.v=""),"",_xlpm.v*_xlpm.w)
)</f>
        <v/>
      </c>
      <c r="O124" s="93" t="str" cm="1">
        <f t="array" ref="O124">_xlfn.LET(
  _xlpm.w, O$11,
  _xlpm.r, MATCH(1,('3. Enter Indicator Scores'!$B$10:$B$161=$B124)*('3. Enter Indicator Scores'!$C$10:$C$161=$C124),0),
  _xlpm.c, MATCH(O$8,'3. Enter Indicator Scores'!$D$8:$CZ$8,0),
  _xlpm.v, IFERROR(INDEX('3. Enter Indicator Scores'!$D$10:$CZ$161,_xlpm.r,_xlpm.c),""),
  IF(OR(_xlpm.w="",_xlpm.v=""),"",_xlpm.v*_xlpm.w)
)</f>
        <v/>
      </c>
      <c r="P124" s="93" t="str" cm="1">
        <f t="array" ref="P124">_xlfn.LET(
  _xlpm.w, P$11,
  _xlpm.r, MATCH(1,('3. Enter Indicator Scores'!$B$10:$B$161=$B124)*('3. Enter Indicator Scores'!$C$10:$C$161=$C124),0),
  _xlpm.c, MATCH(P$8,'3. Enter Indicator Scores'!$D$8:$CZ$8,0),
  _xlpm.v, IFERROR(INDEX('3. Enter Indicator Scores'!$D$10:$CZ$161,_xlpm.r,_xlpm.c),""),
  IF(OR(_xlpm.w="",_xlpm.v=""),"",_xlpm.v*_xlpm.w)
)</f>
        <v/>
      </c>
      <c r="Q124" s="93" t="str" cm="1">
        <f t="array" ref="Q124">_xlfn.LET(
  _xlpm.w, Q$11,
  _xlpm.r, MATCH(1,('3. Enter Indicator Scores'!$B$10:$B$161=$B124)*('3. Enter Indicator Scores'!$C$10:$C$161=$C124),0),
  _xlpm.c, MATCH(Q$8,'3. Enter Indicator Scores'!$D$8:$CZ$8,0),
  _xlpm.v, IFERROR(INDEX('3. Enter Indicator Scores'!$D$10:$CZ$161,_xlpm.r,_xlpm.c),""),
  IF(OR(_xlpm.w="",_xlpm.v=""),"",_xlpm.v*_xlpm.w)
)</f>
        <v/>
      </c>
      <c r="R124" s="93" t="str" cm="1">
        <f t="array" ref="R124">_xlfn.LET(
  _xlpm.w, R$11,
  _xlpm.r, MATCH(1,('3. Enter Indicator Scores'!$B$10:$B$161=$B124)*('3. Enter Indicator Scores'!$C$10:$C$161=$C124),0),
  _xlpm.c, MATCH(R$8,'3. Enter Indicator Scores'!$D$8:$CZ$8,0),
  _xlpm.v, IFERROR(INDEX('3. Enter Indicator Scores'!$D$10:$CZ$161,_xlpm.r,_xlpm.c),""),
  IF(OR(_xlpm.w="",_xlpm.v=""),"",_xlpm.v*_xlpm.w)
)</f>
        <v/>
      </c>
      <c r="S124" s="93" t="str" cm="1">
        <f t="array" ref="S124">_xlfn.LET(
  _xlpm.w, S$11,
  _xlpm.r, MATCH(1,('3. Enter Indicator Scores'!$B$10:$B$161=$B124)*('3. Enter Indicator Scores'!$C$10:$C$161=$C124),0),
  _xlpm.c, MATCH(S$8,'3. Enter Indicator Scores'!$D$8:$CZ$8,0),
  _xlpm.v, IFERROR(INDEX('3. Enter Indicator Scores'!$D$10:$CZ$161,_xlpm.r,_xlpm.c),""),
  IF(OR(_xlpm.w="",_xlpm.v=""),"",_xlpm.v*_xlpm.w)
)</f>
        <v/>
      </c>
      <c r="T124" s="93" t="str" cm="1">
        <f t="array" ref="T124">_xlfn.LET(
  _xlpm.w, T$11,
  _xlpm.r, MATCH(1,('3. Enter Indicator Scores'!$B$10:$B$161=$B124)*('3. Enter Indicator Scores'!$C$10:$C$161=$C124),0),
  _xlpm.c, MATCH(T$8,'3. Enter Indicator Scores'!$D$8:$CZ$8,0),
  _xlpm.v, IFERROR(INDEX('3. Enter Indicator Scores'!$D$10:$CZ$161,_xlpm.r,_xlpm.c),""),
  IF(OR(_xlpm.w="",_xlpm.v=""),"",_xlpm.v*_xlpm.w)
)</f>
        <v/>
      </c>
      <c r="U124" s="93" t="str" cm="1">
        <f t="array" ref="U124">_xlfn.LET(
  _xlpm.w, U$11,
  _xlpm.r, MATCH(1,('3. Enter Indicator Scores'!$B$10:$B$161=$B124)*('3. Enter Indicator Scores'!$C$10:$C$161=$C124),0),
  _xlpm.c, MATCH(U$8,'3. Enter Indicator Scores'!$D$8:$CZ$8,0),
  _xlpm.v, IFERROR(INDEX('3. Enter Indicator Scores'!$D$10:$CZ$161,_xlpm.r,_xlpm.c),""),
  IF(OR(_xlpm.w="",_xlpm.v=""),"",_xlpm.v*_xlpm.w)
)</f>
        <v/>
      </c>
      <c r="V124" s="93" t="str" cm="1">
        <f t="array" ref="V124">_xlfn.LET(
  _xlpm.w, V$11,
  _xlpm.r, MATCH(1,('3. Enter Indicator Scores'!$B$10:$B$161=$B124)*('3. Enter Indicator Scores'!$C$10:$C$161=$C124),0),
  _xlpm.c, MATCH(V$8,'3. Enter Indicator Scores'!$D$8:$CZ$8,0),
  _xlpm.v, IFERROR(INDEX('3. Enter Indicator Scores'!$D$10:$CZ$161,_xlpm.r,_xlpm.c),""),
  IF(OR(_xlpm.w="",_xlpm.v=""),"",_xlpm.v*_xlpm.w)
)</f>
        <v/>
      </c>
      <c r="W124" s="93" t="str" cm="1">
        <f t="array" ref="W124">_xlfn.LET(
  _xlpm.w, W$11,
  _xlpm.r, MATCH(1,('3. Enter Indicator Scores'!$B$10:$B$161=$B124)*('3. Enter Indicator Scores'!$C$10:$C$161=$C124),0),
  _xlpm.c, MATCH(W$8,'3. Enter Indicator Scores'!$D$8:$CZ$8,0),
  _xlpm.v, IFERROR(INDEX('3. Enter Indicator Scores'!$D$10:$CZ$161,_xlpm.r,_xlpm.c),""),
  IF(OR(_xlpm.w="",_xlpm.v=""),"",_xlpm.v*_xlpm.w)
)</f>
        <v/>
      </c>
      <c r="X124" s="93" t="str" cm="1">
        <f t="array" ref="X124">_xlfn.LET(
  _xlpm.w, X$11,
  _xlpm.r, MATCH(1,('3. Enter Indicator Scores'!$B$10:$B$161=$B124)*('3. Enter Indicator Scores'!$C$10:$C$161=$C124),0),
  _xlpm.c, MATCH(X$8,'3. Enter Indicator Scores'!$D$8:$CZ$8,0),
  _xlpm.v, IFERROR(INDEX('3. Enter Indicator Scores'!$D$10:$CZ$161,_xlpm.r,_xlpm.c),""),
  IF(OR(_xlpm.w="",_xlpm.v=""),"",_xlpm.v*_xlpm.w)
)</f>
        <v/>
      </c>
      <c r="Y124" s="93" t="str" cm="1">
        <f t="array" ref="Y124">_xlfn.LET(
  _xlpm.w, Y$11,
  _xlpm.r, MATCH(1,('3. Enter Indicator Scores'!$B$10:$B$161=$B124)*('3. Enter Indicator Scores'!$C$10:$C$161=$C124),0),
  _xlpm.c, MATCH(Y$8,'3. Enter Indicator Scores'!$D$8:$CZ$8,0),
  _xlpm.v, IFERROR(INDEX('3. Enter Indicator Scores'!$D$10:$CZ$161,_xlpm.r,_xlpm.c),""),
  IF(OR(_xlpm.w="",_xlpm.v=""),"",_xlpm.v*_xlpm.w)
)</f>
        <v/>
      </c>
      <c r="Z124" s="93" t="str" cm="1">
        <f t="array" ref="Z124">_xlfn.LET(
  _xlpm.w, Z$11,
  _xlpm.r, MATCH(1,('3. Enter Indicator Scores'!$B$10:$B$161=$B124)*('3. Enter Indicator Scores'!$C$10:$C$161=$C124),0),
  _xlpm.c, MATCH(Z$8,'3. Enter Indicator Scores'!$D$8:$CZ$8,0),
  _xlpm.v, IFERROR(INDEX('3. Enter Indicator Scores'!$D$10:$CZ$161,_xlpm.r,_xlpm.c),""),
  IF(OR(_xlpm.w="",_xlpm.v=""),"",_xlpm.v*_xlpm.w)
)</f>
        <v/>
      </c>
      <c r="AA124" s="93" t="str" cm="1">
        <f t="array" ref="AA124">_xlfn.LET(
  _xlpm.w, AA$11,
  _xlpm.r, MATCH(1,('3. Enter Indicator Scores'!$B$10:$B$161=$B124)*('3. Enter Indicator Scores'!$C$10:$C$161=$C124),0),
  _xlpm.c, MATCH(AA$8,'3. Enter Indicator Scores'!$D$8:$CZ$8,0),
  _xlpm.v, IFERROR(INDEX('3. Enter Indicator Scores'!$D$10:$CZ$161,_xlpm.r,_xlpm.c),""),
  IF(OR(_xlpm.w="",_xlpm.v=""),"",_xlpm.v*_xlpm.w)
)</f>
        <v/>
      </c>
      <c r="AB124" s="93" t="str" cm="1">
        <f t="array" ref="AB124">_xlfn.LET(
  _xlpm.w, AB$11,
  _xlpm.r, MATCH(1,('3. Enter Indicator Scores'!$B$10:$B$161=$B124)*('3. Enter Indicator Scores'!$C$10:$C$161=$C124),0),
  _xlpm.c, MATCH(AB$8,'3. Enter Indicator Scores'!$D$8:$CZ$8,0),
  _xlpm.v, IFERROR(INDEX('3. Enter Indicator Scores'!$D$10:$CZ$161,_xlpm.r,_xlpm.c),""),
  IF(OR(_xlpm.w="",_xlpm.v=""),"",_xlpm.v*_xlpm.w)
)</f>
        <v/>
      </c>
      <c r="AC124" s="93" t="str" cm="1">
        <f t="array" ref="AC124">_xlfn.LET(
  _xlpm.w, AC$11,
  _xlpm.r, MATCH(1,('3. Enter Indicator Scores'!$B$10:$B$161=$B124)*('3. Enter Indicator Scores'!$C$10:$C$161=$C124),0),
  _xlpm.c, MATCH(AC$8,'3. Enter Indicator Scores'!$D$8:$CZ$8,0),
  _xlpm.v, IFERROR(INDEX('3. Enter Indicator Scores'!$D$10:$CZ$161,_xlpm.r,_xlpm.c),""),
  IF(OR(_xlpm.w="",_xlpm.v=""),"",_xlpm.v*_xlpm.w)
)</f>
        <v/>
      </c>
      <c r="AD124" s="93" t="str" cm="1">
        <f t="array" ref="AD124">_xlfn.LET(
  _xlpm.w, AD$11,
  _xlpm.r, MATCH(1,('3. Enter Indicator Scores'!$B$10:$B$161=$B124)*('3. Enter Indicator Scores'!$C$10:$C$161=$C124),0),
  _xlpm.c, MATCH(AD$8,'3. Enter Indicator Scores'!$D$8:$CZ$8,0),
  _xlpm.v, IFERROR(INDEX('3. Enter Indicator Scores'!$D$10:$CZ$161,_xlpm.r,_xlpm.c),""),
  IF(OR(_xlpm.w="",_xlpm.v=""),"",_xlpm.v*_xlpm.w)
)</f>
        <v/>
      </c>
      <c r="AE124" s="93" t="str" cm="1">
        <f t="array" ref="AE124">_xlfn.LET(
  _xlpm.w, AE$11,
  _xlpm.r, MATCH(1,('3. Enter Indicator Scores'!$B$10:$B$161=$B124)*('3. Enter Indicator Scores'!$C$10:$C$161=$C124),0),
  _xlpm.c, MATCH(AE$8,'3. Enter Indicator Scores'!$D$8:$CZ$8,0),
  _xlpm.v, IFERROR(INDEX('3. Enter Indicator Scores'!$D$10:$CZ$161,_xlpm.r,_xlpm.c),""),
  IF(OR(_xlpm.w="",_xlpm.v=""),"",_xlpm.v*_xlpm.w)
)</f>
        <v/>
      </c>
      <c r="AF124" s="93" t="str" cm="1">
        <f t="array" ref="AF124">_xlfn.LET(
  _xlpm.w, AF$11,
  _xlpm.r, MATCH(1,('3. Enter Indicator Scores'!$B$10:$B$161=$B124)*('3. Enter Indicator Scores'!$C$10:$C$161=$C124),0),
  _xlpm.c, MATCH(AF$8,'3. Enter Indicator Scores'!$D$8:$CZ$8,0),
  _xlpm.v, IFERROR(INDEX('3. Enter Indicator Scores'!$D$10:$CZ$161,_xlpm.r,_xlpm.c),""),
  IF(OR(_xlpm.w="",_xlpm.v=""),"",_xlpm.v*_xlpm.w)
)</f>
        <v/>
      </c>
      <c r="AG124" s="93" t="str" cm="1">
        <f t="array" ref="AG124">_xlfn.LET(
  _xlpm.w, AG$11,
  _xlpm.r, MATCH(1,('3. Enter Indicator Scores'!$B$10:$B$161=$B124)*('3. Enter Indicator Scores'!$C$10:$C$161=$C124),0),
  _xlpm.c, MATCH(AG$8,'3. Enter Indicator Scores'!$D$8:$CZ$8,0),
  _xlpm.v, IFERROR(INDEX('3. Enter Indicator Scores'!$D$10:$CZ$161,_xlpm.r,_xlpm.c),""),
  IF(OR(_xlpm.w="",_xlpm.v=""),"",_xlpm.v*_xlpm.w)
)</f>
        <v/>
      </c>
      <c r="AH124" s="93" t="str" cm="1">
        <f t="array" ref="AH124">_xlfn.LET(
  _xlpm.w, AH$11,
  _xlpm.r, MATCH(1,('3. Enter Indicator Scores'!$B$10:$B$161=$B124)*('3. Enter Indicator Scores'!$C$10:$C$161=$C124),0),
  _xlpm.c, MATCH(AH$8,'3. Enter Indicator Scores'!$D$8:$CZ$8,0),
  _xlpm.v, IFERROR(INDEX('3. Enter Indicator Scores'!$D$10:$CZ$161,_xlpm.r,_xlpm.c),""),
  IF(OR(_xlpm.w="",_xlpm.v=""),"",_xlpm.v*_xlpm.w)
)</f>
        <v/>
      </c>
      <c r="AI124" s="93" t="str" cm="1">
        <f t="array" ref="AI124">_xlfn.LET(
  _xlpm.w, AI$11,
  _xlpm.r, MATCH(1,('3. Enter Indicator Scores'!$B$10:$B$161=$B124)*('3. Enter Indicator Scores'!$C$10:$C$161=$C124),0),
  _xlpm.c, MATCH(AI$8,'3. Enter Indicator Scores'!$D$8:$CZ$8,0),
  _xlpm.v, IFERROR(INDEX('3. Enter Indicator Scores'!$D$10:$CZ$161,_xlpm.r,_xlpm.c),""),
  IF(OR(_xlpm.w="",_xlpm.v=""),"",_xlpm.v*_xlpm.w)
)</f>
        <v/>
      </c>
      <c r="AJ124" s="93" t="str" cm="1">
        <f t="array" ref="AJ124">_xlfn.LET(
  _xlpm.w, AJ$11,
  _xlpm.r, MATCH(1,('3. Enter Indicator Scores'!$B$10:$B$161=$B124)*('3. Enter Indicator Scores'!$C$10:$C$161=$C124),0),
  _xlpm.c, MATCH(AJ$8,'3. Enter Indicator Scores'!$D$8:$CZ$8,0),
  _xlpm.v, IFERROR(INDEX('3. Enter Indicator Scores'!$D$10:$CZ$161,_xlpm.r,_xlpm.c),""),
  IF(OR(_xlpm.w="",_xlpm.v=""),"",_xlpm.v*_xlpm.w)
)</f>
        <v/>
      </c>
      <c r="AK124" s="93" t="str" cm="1">
        <f t="array" ref="AK124">_xlfn.LET(
  _xlpm.w, AK$11,
  _xlpm.r, MATCH(1,('3. Enter Indicator Scores'!$B$10:$B$161=$B124)*('3. Enter Indicator Scores'!$C$10:$C$161=$C124),0),
  _xlpm.c, MATCH(AK$8,'3. Enter Indicator Scores'!$D$8:$CZ$8,0),
  _xlpm.v, IFERROR(INDEX('3. Enter Indicator Scores'!$D$10:$CZ$161,_xlpm.r,_xlpm.c),""),
  IF(OR(_xlpm.w="",_xlpm.v=""),"",_xlpm.v*_xlpm.w)
)</f>
        <v/>
      </c>
      <c r="AL124" s="93" t="str" cm="1">
        <f t="array" ref="AL124">_xlfn.LET(
  _xlpm.w, AL$11,
  _xlpm.r, MATCH(1,('3. Enter Indicator Scores'!$B$10:$B$161=$B124)*('3. Enter Indicator Scores'!$C$10:$C$161=$C124),0),
  _xlpm.c, MATCH(AL$8,'3. Enter Indicator Scores'!$D$8:$CZ$8,0),
  _xlpm.v, IFERROR(INDEX('3. Enter Indicator Scores'!$D$10:$CZ$161,_xlpm.r,_xlpm.c),""),
  IF(OR(_xlpm.w="",_xlpm.v=""),"",_xlpm.v*_xlpm.w)
)</f>
        <v/>
      </c>
      <c r="AM124" s="93" t="str" cm="1">
        <f t="array" ref="AM124">_xlfn.LET(
  _xlpm.w, AM$11,
  _xlpm.r, MATCH(1,('3. Enter Indicator Scores'!$B$10:$B$161=$B124)*('3. Enter Indicator Scores'!$C$10:$C$161=$C124),0),
  _xlpm.c, MATCH(AM$8,'3. Enter Indicator Scores'!$D$8:$CZ$8,0),
  _xlpm.v, IFERROR(INDEX('3. Enter Indicator Scores'!$D$10:$CZ$161,_xlpm.r,_xlpm.c),""),
  IF(OR(_xlpm.w="",_xlpm.v=""),"",_xlpm.v*_xlpm.w)
)</f>
        <v/>
      </c>
      <c r="AN124" s="93" t="str" cm="1">
        <f t="array" ref="AN124">_xlfn.LET(
  _xlpm.w, AN$11,
  _xlpm.r, MATCH(1,('3. Enter Indicator Scores'!$B$10:$B$161=$B124)*('3. Enter Indicator Scores'!$C$10:$C$161=$C124),0),
  _xlpm.c, MATCH(AN$8,'3. Enter Indicator Scores'!$D$8:$CZ$8,0),
  _xlpm.v, IFERROR(INDEX('3. Enter Indicator Scores'!$D$10:$CZ$161,_xlpm.r,_xlpm.c),""),
  IF(OR(_xlpm.w="",_xlpm.v=""),"",_xlpm.v*_xlpm.w)
)</f>
        <v/>
      </c>
      <c r="AO124" s="93" t="str" cm="1">
        <f t="array" ref="AO124">_xlfn.LET(
  _xlpm.w, AO$11,
  _xlpm.r, MATCH(1,('3. Enter Indicator Scores'!$B$10:$B$161=$B124)*('3. Enter Indicator Scores'!$C$10:$C$161=$C124),0),
  _xlpm.c, MATCH(AO$8,'3. Enter Indicator Scores'!$D$8:$CZ$8,0),
  _xlpm.v, IFERROR(INDEX('3. Enter Indicator Scores'!$D$10:$CZ$161,_xlpm.r,_xlpm.c),""),
  IF(OR(_xlpm.w="",_xlpm.v=""),"",_xlpm.v*_xlpm.w)
)</f>
        <v/>
      </c>
      <c r="AP124" s="93" t="str" cm="1">
        <f t="array" ref="AP124">_xlfn.LET(
  _xlpm.w, AP$11,
  _xlpm.r, MATCH(1,('3. Enter Indicator Scores'!$B$10:$B$161=$B124)*('3. Enter Indicator Scores'!$C$10:$C$161=$C124),0),
  _xlpm.c, MATCH(AP$8,'3. Enter Indicator Scores'!$D$8:$CZ$8,0),
  _xlpm.v, IFERROR(INDEX('3. Enter Indicator Scores'!$D$10:$CZ$161,_xlpm.r,_xlpm.c),""),
  IF(OR(_xlpm.w="",_xlpm.v=""),"",_xlpm.v*_xlpm.w)
)</f>
        <v/>
      </c>
      <c r="AQ124" s="93" t="str" cm="1">
        <f t="array" ref="AQ124">_xlfn.LET(
  _xlpm.w, AQ$11,
  _xlpm.r, MATCH(1,('3. Enter Indicator Scores'!$B$10:$B$161=$B124)*('3. Enter Indicator Scores'!$C$10:$C$161=$C124),0),
  _xlpm.c, MATCH(AQ$8,'3. Enter Indicator Scores'!$D$8:$CZ$8,0),
  _xlpm.v, IFERROR(INDEX('3. Enter Indicator Scores'!$D$10:$CZ$161,_xlpm.r,_xlpm.c),""),
  IF(OR(_xlpm.w="",_xlpm.v=""),"",_xlpm.v*_xlpm.w)
)</f>
        <v/>
      </c>
      <c r="AR124" s="93" t="str" cm="1">
        <f t="array" ref="AR124">_xlfn.LET(
  _xlpm.w, AR$11,
  _xlpm.r, MATCH(1,('3. Enter Indicator Scores'!$B$10:$B$161=$B124)*('3. Enter Indicator Scores'!$C$10:$C$161=$C124),0),
  _xlpm.c, MATCH(AR$8,'3. Enter Indicator Scores'!$D$8:$CZ$8,0),
  _xlpm.v, IFERROR(INDEX('3. Enter Indicator Scores'!$D$10:$CZ$161,_xlpm.r,_xlpm.c),""),
  IF(OR(_xlpm.w="",_xlpm.v=""),"",_xlpm.v*_xlpm.w)
)</f>
        <v/>
      </c>
      <c r="AS124" s="93" t="str" cm="1">
        <f t="array" ref="AS124">_xlfn.LET(
  _xlpm.w, AS$11,
  _xlpm.r, MATCH(1,('3. Enter Indicator Scores'!$B$10:$B$161=$B124)*('3. Enter Indicator Scores'!$C$10:$C$161=$C124),0),
  _xlpm.c, MATCH(AS$8,'3. Enter Indicator Scores'!$D$8:$CZ$8,0),
  _xlpm.v, IFERROR(INDEX('3. Enter Indicator Scores'!$D$10:$CZ$161,_xlpm.r,_xlpm.c),""),
  IF(OR(_xlpm.w="",_xlpm.v=""),"",_xlpm.v*_xlpm.w)
)</f>
        <v/>
      </c>
      <c r="AT124" s="93" t="str" cm="1">
        <f t="array" ref="AT124">_xlfn.LET(
  _xlpm.w, AT$11,
  _xlpm.r, MATCH(1,('3. Enter Indicator Scores'!$B$10:$B$161=$B124)*('3. Enter Indicator Scores'!$C$10:$C$161=$C124),0),
  _xlpm.c, MATCH(AT$8,'3. Enter Indicator Scores'!$D$8:$CZ$8,0),
  _xlpm.v, IFERROR(INDEX('3. Enter Indicator Scores'!$D$10:$CZ$161,_xlpm.r,_xlpm.c),""),
  IF(OR(_xlpm.w="",_xlpm.v=""),"",_xlpm.v*_xlpm.w)
)</f>
        <v/>
      </c>
      <c r="AU124" s="93" t="str" cm="1">
        <f t="array" ref="AU124">_xlfn.LET(
  _xlpm.w, AU$11,
  _xlpm.r, MATCH(1,('3. Enter Indicator Scores'!$B$10:$B$161=$B124)*('3. Enter Indicator Scores'!$C$10:$C$161=$C124),0),
  _xlpm.c, MATCH(AU$8,'3. Enter Indicator Scores'!$D$8:$CZ$8,0),
  _xlpm.v, IFERROR(INDEX('3. Enter Indicator Scores'!$D$10:$CZ$161,_xlpm.r,_xlpm.c),""),
  IF(OR(_xlpm.w="",_xlpm.v=""),"",_xlpm.v*_xlpm.w)
)</f>
        <v/>
      </c>
      <c r="AV124" s="93" t="str" cm="1">
        <f t="array" ref="AV124">_xlfn.LET(
  _xlpm.w, AV$11,
  _xlpm.r, MATCH(1,('3. Enter Indicator Scores'!$B$10:$B$161=$B124)*('3. Enter Indicator Scores'!$C$10:$C$161=$C124),0),
  _xlpm.c, MATCH(AV$8,'3. Enter Indicator Scores'!$D$8:$CZ$8,0),
  _xlpm.v, IFERROR(INDEX('3. Enter Indicator Scores'!$D$10:$CZ$161,_xlpm.r,_xlpm.c),""),
  IF(OR(_xlpm.w="",_xlpm.v=""),"",_xlpm.v*_xlpm.w)
)</f>
        <v/>
      </c>
      <c r="AW124" s="93" t="str" cm="1">
        <f t="array" ref="AW124">_xlfn.LET(
  _xlpm.w, AW$11,
  _xlpm.r, MATCH(1,('3. Enter Indicator Scores'!$B$10:$B$161=$B124)*('3. Enter Indicator Scores'!$C$10:$C$161=$C124),0),
  _xlpm.c, MATCH(AW$8,'3. Enter Indicator Scores'!$D$8:$CZ$8,0),
  _xlpm.v, IFERROR(INDEX('3. Enter Indicator Scores'!$D$10:$CZ$161,_xlpm.r,_xlpm.c),""),
  IF(OR(_xlpm.w="",_xlpm.v=""),"",_xlpm.v*_xlpm.w)
)</f>
        <v/>
      </c>
      <c r="AX124" s="93" t="str" cm="1">
        <f t="array" ref="AX124">_xlfn.LET(
  _xlpm.w, AX$11,
  _xlpm.r, MATCH(1,('3. Enter Indicator Scores'!$B$10:$B$161=$B124)*('3. Enter Indicator Scores'!$C$10:$C$161=$C124),0),
  _xlpm.c, MATCH(AX$8,'3. Enter Indicator Scores'!$D$8:$CZ$8,0),
  _xlpm.v, IFERROR(INDEX('3. Enter Indicator Scores'!$D$10:$CZ$161,_xlpm.r,_xlpm.c),""),
  IF(OR(_xlpm.w="",_xlpm.v=""),"",_xlpm.v*_xlpm.w)
)</f>
        <v/>
      </c>
      <c r="AY124" s="93" t="str" cm="1">
        <f t="array" ref="AY124">_xlfn.LET(
  _xlpm.w, AY$11,
  _xlpm.r, MATCH(1,('3. Enter Indicator Scores'!$B$10:$B$161=$B124)*('3. Enter Indicator Scores'!$C$10:$C$161=$C124),0),
  _xlpm.c, MATCH(AY$8,'3. Enter Indicator Scores'!$D$8:$CZ$8,0),
  _xlpm.v, IFERROR(INDEX('3. Enter Indicator Scores'!$D$10:$CZ$161,_xlpm.r,_xlpm.c),""),
  IF(OR(_xlpm.w="",_xlpm.v=""),"",_xlpm.v*_xlpm.w)
)</f>
        <v/>
      </c>
      <c r="AZ124" s="93" t="str" cm="1">
        <f t="array" ref="AZ124">_xlfn.LET(
  _xlpm.w, AZ$11,
  _xlpm.r, MATCH(1,('3. Enter Indicator Scores'!$B$10:$B$161=$B124)*('3. Enter Indicator Scores'!$C$10:$C$161=$C124),0),
  _xlpm.c, MATCH(AZ$8,'3. Enter Indicator Scores'!$D$8:$CZ$8,0),
  _xlpm.v, IFERROR(INDEX('3. Enter Indicator Scores'!$D$10:$CZ$161,_xlpm.r,_xlpm.c),""),
  IF(OR(_xlpm.w="",_xlpm.v=""),"",_xlpm.v*_xlpm.w)
)</f>
        <v/>
      </c>
      <c r="BA124" s="93" t="str" cm="1">
        <f t="array" ref="BA124">_xlfn.LET(
  _xlpm.w, BA$11,
  _xlpm.r, MATCH(1,('3. Enter Indicator Scores'!$B$10:$B$161=$B124)*('3. Enter Indicator Scores'!$C$10:$C$161=$C124),0),
  _xlpm.c, MATCH(BA$8,'3. Enter Indicator Scores'!$D$8:$CZ$8,0),
  _xlpm.v, IFERROR(INDEX('3. Enter Indicator Scores'!$D$10:$CZ$161,_xlpm.r,_xlpm.c),""),
  IF(OR(_xlpm.w="",_xlpm.v=""),"",_xlpm.v*_xlpm.w)
)</f>
        <v/>
      </c>
      <c r="BB124" s="93" t="str" cm="1">
        <f t="array" ref="BB124">_xlfn.LET(
  _xlpm.w, BB$11,
  _xlpm.r, MATCH(1,('3. Enter Indicator Scores'!$B$10:$B$161=$B124)*('3. Enter Indicator Scores'!$C$10:$C$161=$C124),0),
  _xlpm.c, MATCH(BB$8,'3. Enter Indicator Scores'!$D$8:$CZ$8,0),
  _xlpm.v, IFERROR(INDEX('3. Enter Indicator Scores'!$D$10:$CZ$161,_xlpm.r,_xlpm.c),""),
  IF(OR(_xlpm.w="",_xlpm.v=""),"",_xlpm.v*_xlpm.w)
)</f>
        <v/>
      </c>
      <c r="BC124" s="93" t="str" cm="1">
        <f t="array" ref="BC124">_xlfn.LET(
  _xlpm.w, BC$11,
  _xlpm.r, MATCH(1,('3. Enter Indicator Scores'!$B$10:$B$161=$B124)*('3. Enter Indicator Scores'!$C$10:$C$161=$C124),0),
  _xlpm.c, MATCH(BC$8,'3. Enter Indicator Scores'!$D$8:$CZ$8,0),
  _xlpm.v, IFERROR(INDEX('3. Enter Indicator Scores'!$D$10:$CZ$161,_xlpm.r,_xlpm.c),""),
  IF(OR(_xlpm.w="",_xlpm.v=""),"",_xlpm.v*_xlpm.w)
)</f>
        <v/>
      </c>
      <c r="BD124" s="93" t="str" cm="1">
        <f t="array" ref="BD124">_xlfn.LET(
  _xlpm.w, BD$11,
  _xlpm.r, MATCH(1,('3. Enter Indicator Scores'!$B$10:$B$161=$B124)*('3. Enter Indicator Scores'!$C$10:$C$161=$C124),0),
  _xlpm.c, MATCH(BD$8,'3. Enter Indicator Scores'!$D$8:$CZ$8,0),
  _xlpm.v, IFERROR(INDEX('3. Enter Indicator Scores'!$D$10:$CZ$161,_xlpm.r,_xlpm.c),""),
  IF(OR(_xlpm.w="",_xlpm.v=""),"",_xlpm.v*_xlpm.w)
)</f>
        <v/>
      </c>
      <c r="BE124" s="93" t="str" cm="1">
        <f t="array" ref="BE124">_xlfn.LET(
  _xlpm.w, BE$11,
  _xlpm.r, MATCH(1,('3. Enter Indicator Scores'!$B$10:$B$161=$B124)*('3. Enter Indicator Scores'!$C$10:$C$161=$C124),0),
  _xlpm.c, MATCH(BE$8,'3. Enter Indicator Scores'!$D$8:$CZ$8,0),
  _xlpm.v, IFERROR(INDEX('3. Enter Indicator Scores'!$D$10:$CZ$161,_xlpm.r,_xlpm.c),""),
  IF(OR(_xlpm.w="",_xlpm.v=""),"",_xlpm.v*_xlpm.w)
)</f>
        <v/>
      </c>
      <c r="BF124" s="93" t="str" cm="1">
        <f t="array" ref="BF124">_xlfn.LET(
  _xlpm.w, BF$11,
  _xlpm.r, MATCH(1,('3. Enter Indicator Scores'!$B$10:$B$161=$B124)*('3. Enter Indicator Scores'!$C$10:$C$161=$C124),0),
  _xlpm.c, MATCH(BF$8,'3. Enter Indicator Scores'!$D$8:$CZ$8,0),
  _xlpm.v, IFERROR(INDEX('3. Enter Indicator Scores'!$D$10:$CZ$161,_xlpm.r,_xlpm.c),""),
  IF(OR(_xlpm.w="",_xlpm.v=""),"",_xlpm.v*_xlpm.w)
)</f>
        <v/>
      </c>
      <c r="BG124" s="93" t="str" cm="1">
        <f t="array" ref="BG124">_xlfn.LET(
  _xlpm.w, BG$11,
  _xlpm.r, MATCH(1,('3. Enter Indicator Scores'!$B$10:$B$161=$B124)*('3. Enter Indicator Scores'!$C$10:$C$161=$C124),0),
  _xlpm.c, MATCH(BG$8,'3. Enter Indicator Scores'!$D$8:$CZ$8,0),
  _xlpm.v, IFERROR(INDEX('3. Enter Indicator Scores'!$D$10:$CZ$161,_xlpm.r,_xlpm.c),""),
  IF(OR(_xlpm.w="",_xlpm.v=""),"",_xlpm.v*_xlpm.w)
)</f>
        <v/>
      </c>
      <c r="BH124" s="93" t="str" cm="1">
        <f t="array" ref="BH124">_xlfn.LET(
  _xlpm.w, BH$11,
  _xlpm.r, MATCH(1,('3. Enter Indicator Scores'!$B$10:$B$161=$B124)*('3. Enter Indicator Scores'!$C$10:$C$161=$C124),0),
  _xlpm.c, MATCH(BH$8,'3. Enter Indicator Scores'!$D$8:$CZ$8,0),
  _xlpm.v, IFERROR(INDEX('3. Enter Indicator Scores'!$D$10:$CZ$161,_xlpm.r,_xlpm.c),""),
  IF(OR(_xlpm.w="",_xlpm.v=""),"",_xlpm.v*_xlpm.w)
)</f>
        <v/>
      </c>
      <c r="BI124" s="93" t="str" cm="1">
        <f t="array" ref="BI124">_xlfn.LET(
  _xlpm.w, BI$11,
  _xlpm.r, MATCH(1,('3. Enter Indicator Scores'!$B$10:$B$161=$B124)*('3. Enter Indicator Scores'!$C$10:$C$161=$C124),0),
  _xlpm.c, MATCH(BI$8,'3. Enter Indicator Scores'!$D$8:$CZ$8,0),
  _xlpm.v, IFERROR(INDEX('3. Enter Indicator Scores'!$D$10:$CZ$161,_xlpm.r,_xlpm.c),""),
  IF(OR(_xlpm.w="",_xlpm.v=""),"",_xlpm.v*_xlpm.w)
)</f>
        <v/>
      </c>
      <c r="BJ124" s="93" t="str" cm="1">
        <f t="array" ref="BJ124">_xlfn.LET(
  _xlpm.w, BJ$11,
  _xlpm.r, MATCH(1,('3. Enter Indicator Scores'!$B$10:$B$161=$B124)*('3. Enter Indicator Scores'!$C$10:$C$161=$C124),0),
  _xlpm.c, MATCH(BJ$8,'3. Enter Indicator Scores'!$D$8:$CZ$8,0),
  _xlpm.v, IFERROR(INDEX('3. Enter Indicator Scores'!$D$10:$CZ$161,_xlpm.r,_xlpm.c),""),
  IF(OR(_xlpm.w="",_xlpm.v=""),"",_xlpm.v*_xlpm.w)
)</f>
        <v/>
      </c>
      <c r="BK124" s="93" t="str" cm="1">
        <f t="array" ref="BK124">_xlfn.LET(
  _xlpm.w, BK$11,
  _xlpm.r, MATCH(1,('3. Enter Indicator Scores'!$B$10:$B$161=$B124)*('3. Enter Indicator Scores'!$C$10:$C$161=$C124),0),
  _xlpm.c, MATCH(BK$8,'3. Enter Indicator Scores'!$D$8:$CZ$8,0),
  _xlpm.v, IFERROR(INDEX('3. Enter Indicator Scores'!$D$10:$CZ$161,_xlpm.r,_xlpm.c),""),
  IF(OR(_xlpm.w="",_xlpm.v=""),"",_xlpm.v*_xlpm.w)
)</f>
        <v/>
      </c>
      <c r="BL124" s="93" t="str" cm="1">
        <f t="array" ref="BL124">_xlfn.LET(
  _xlpm.w, BL$11,
  _xlpm.r, MATCH(1,('3. Enter Indicator Scores'!$B$10:$B$161=$B124)*('3. Enter Indicator Scores'!$C$10:$C$161=$C124),0),
  _xlpm.c, MATCH(BL$8,'3. Enter Indicator Scores'!$D$8:$CZ$8,0),
  _xlpm.v, IFERROR(INDEX('3. Enter Indicator Scores'!$D$10:$CZ$161,_xlpm.r,_xlpm.c),""),
  IF(OR(_xlpm.w="",_xlpm.v=""),"",_xlpm.v*_xlpm.w)
)</f>
        <v/>
      </c>
      <c r="BM124" s="93" t="str" cm="1">
        <f t="array" ref="BM124">_xlfn.LET(
  _xlpm.w, BM$11,
  _xlpm.r, MATCH(1,('3. Enter Indicator Scores'!$B$10:$B$161=$B124)*('3. Enter Indicator Scores'!$C$10:$C$161=$C124),0),
  _xlpm.c, MATCH(BM$8,'3. Enter Indicator Scores'!$D$8:$CZ$8,0),
  _xlpm.v, IFERROR(INDEX('3. Enter Indicator Scores'!$D$10:$CZ$161,_xlpm.r,_xlpm.c),""),
  IF(OR(_xlpm.w="",_xlpm.v=""),"",_xlpm.v*_xlpm.w)
)</f>
        <v/>
      </c>
      <c r="BN124" s="93" t="str" cm="1">
        <f t="array" ref="BN124">_xlfn.LET(
  _xlpm.w, BN$11,
  _xlpm.r, MATCH(1,('3. Enter Indicator Scores'!$B$10:$B$161=$B124)*('3. Enter Indicator Scores'!$C$10:$C$161=$C124),0),
  _xlpm.c, MATCH(BN$8,'3. Enter Indicator Scores'!$D$8:$CZ$8,0),
  _xlpm.v, IFERROR(INDEX('3. Enter Indicator Scores'!$D$10:$CZ$161,_xlpm.r,_xlpm.c),""),
  IF(OR(_xlpm.w="",_xlpm.v=""),"",_xlpm.v*_xlpm.w)
)</f>
        <v/>
      </c>
      <c r="BO124" s="93" t="str" cm="1">
        <f t="array" ref="BO124">_xlfn.LET(
  _xlpm.w, BO$11,
  _xlpm.r, MATCH(1,('3. Enter Indicator Scores'!$B$10:$B$161=$B124)*('3. Enter Indicator Scores'!$C$10:$C$161=$C124),0),
  _xlpm.c, MATCH(BO$8,'3. Enter Indicator Scores'!$D$8:$CZ$8,0),
  _xlpm.v, IFERROR(INDEX('3. Enter Indicator Scores'!$D$10:$CZ$161,_xlpm.r,_xlpm.c),""),
  IF(OR(_xlpm.w="",_xlpm.v=""),"",_xlpm.v*_xlpm.w)
)</f>
        <v/>
      </c>
      <c r="BP124" s="93" t="str" cm="1">
        <f t="array" ref="BP124">_xlfn.LET(
  _xlpm.w, BP$11,
  _xlpm.r, MATCH(1,('3. Enter Indicator Scores'!$B$10:$B$161=$B124)*('3. Enter Indicator Scores'!$C$10:$C$161=$C124),0),
  _xlpm.c, MATCH(BP$8,'3. Enter Indicator Scores'!$D$8:$CZ$8,0),
  _xlpm.v, IFERROR(INDEX('3. Enter Indicator Scores'!$D$10:$CZ$161,_xlpm.r,_xlpm.c),""),
  IF(OR(_xlpm.w="",_xlpm.v=""),"",_xlpm.v*_xlpm.w)
)</f>
        <v/>
      </c>
      <c r="BQ124" s="93" t="str" cm="1">
        <f t="array" ref="BQ124">_xlfn.LET(
  _xlpm.w, BQ$11,
  _xlpm.r, MATCH(1,('3. Enter Indicator Scores'!$B$10:$B$161=$B124)*('3. Enter Indicator Scores'!$C$10:$C$161=$C124),0),
  _xlpm.c, MATCH(BQ$8,'3. Enter Indicator Scores'!$D$8:$CZ$8,0),
  _xlpm.v, IFERROR(INDEX('3. Enter Indicator Scores'!$D$10:$CZ$161,_xlpm.r,_xlpm.c),""),
  IF(OR(_xlpm.w="",_xlpm.v=""),"",_xlpm.v*_xlpm.w)
)</f>
        <v/>
      </c>
      <c r="BR124" s="93" t="str" cm="1">
        <f t="array" ref="BR124">_xlfn.LET(
  _xlpm.w, BR$11,
  _xlpm.r, MATCH(1,('3. Enter Indicator Scores'!$B$10:$B$161=$B124)*('3. Enter Indicator Scores'!$C$10:$C$161=$C124),0),
  _xlpm.c, MATCH(BR$8,'3. Enter Indicator Scores'!$D$8:$CZ$8,0),
  _xlpm.v, IFERROR(INDEX('3. Enter Indicator Scores'!$D$10:$CZ$161,_xlpm.r,_xlpm.c),""),
  IF(OR(_xlpm.w="",_xlpm.v=""),"",_xlpm.v*_xlpm.w)
)</f>
        <v/>
      </c>
      <c r="BS124" s="93" t="str" cm="1">
        <f t="array" ref="BS124">_xlfn.LET(
  _xlpm.w, BS$11,
  _xlpm.r, MATCH(1,('3. Enter Indicator Scores'!$B$10:$B$161=$B124)*('3. Enter Indicator Scores'!$C$10:$C$161=$C124),0),
  _xlpm.c, MATCH(BS$8,'3. Enter Indicator Scores'!$D$8:$CZ$8,0),
  _xlpm.v, IFERROR(INDEX('3. Enter Indicator Scores'!$D$10:$CZ$161,_xlpm.r,_xlpm.c),""),
  IF(OR(_xlpm.w="",_xlpm.v=""),"",_xlpm.v*_xlpm.w)
)</f>
        <v/>
      </c>
      <c r="BT124" s="93" t="str" cm="1">
        <f t="array" ref="BT124">_xlfn.LET(
  _xlpm.w, BT$11,
  _xlpm.r, MATCH(1,('3. Enter Indicator Scores'!$B$10:$B$161=$B124)*('3. Enter Indicator Scores'!$C$10:$C$161=$C124),0),
  _xlpm.c, MATCH(BT$8,'3. Enter Indicator Scores'!$D$8:$CZ$8,0),
  _xlpm.v, IFERROR(INDEX('3. Enter Indicator Scores'!$D$10:$CZ$161,_xlpm.r,_xlpm.c),""),
  IF(OR(_xlpm.w="",_xlpm.v=""),"",_xlpm.v*_xlpm.w)
)</f>
        <v/>
      </c>
      <c r="BU124" s="93" t="str" cm="1">
        <f t="array" ref="BU124">_xlfn.LET(
  _xlpm.w, BU$11,
  _xlpm.r, MATCH(1,('3. Enter Indicator Scores'!$B$10:$B$161=$B124)*('3. Enter Indicator Scores'!$C$10:$C$161=$C124),0),
  _xlpm.c, MATCH(BU$8,'3. Enter Indicator Scores'!$D$8:$CZ$8,0),
  _xlpm.v, IFERROR(INDEX('3. Enter Indicator Scores'!$D$10:$CZ$161,_xlpm.r,_xlpm.c),""),
  IF(OR(_xlpm.w="",_xlpm.v=""),"",_xlpm.v*_xlpm.w)
)</f>
        <v/>
      </c>
      <c r="BV124" s="93" t="str" cm="1">
        <f t="array" ref="BV124">_xlfn.LET(
  _xlpm.w, BV$11,
  _xlpm.r, MATCH(1,('3. Enter Indicator Scores'!$B$10:$B$161=$B124)*('3. Enter Indicator Scores'!$C$10:$C$161=$C124),0),
  _xlpm.c, MATCH(BV$8,'3. Enter Indicator Scores'!$D$8:$CZ$8,0),
  _xlpm.v, IFERROR(INDEX('3. Enter Indicator Scores'!$D$10:$CZ$161,_xlpm.r,_xlpm.c),""),
  IF(OR(_xlpm.w="",_xlpm.v=""),"",_xlpm.v*_xlpm.w)
)</f>
        <v/>
      </c>
      <c r="BW124" s="93" t="str" cm="1">
        <f t="array" ref="BW124">_xlfn.LET(
  _xlpm.w, BW$11,
  _xlpm.r, MATCH(1,('3. Enter Indicator Scores'!$B$10:$B$161=$B124)*('3. Enter Indicator Scores'!$C$10:$C$161=$C124),0),
  _xlpm.c, MATCH(BW$8,'3. Enter Indicator Scores'!$D$8:$CZ$8,0),
  _xlpm.v, IFERROR(INDEX('3. Enter Indicator Scores'!$D$10:$CZ$161,_xlpm.r,_xlpm.c),""),
  IF(OR(_xlpm.w="",_xlpm.v=""),"",_xlpm.v*_xlpm.w)
)</f>
        <v/>
      </c>
      <c r="BX124" s="93" t="str" cm="1">
        <f t="array" ref="BX124">_xlfn.LET(
  _xlpm.w, BX$11,
  _xlpm.r, MATCH(1,('3. Enter Indicator Scores'!$B$10:$B$161=$B124)*('3. Enter Indicator Scores'!$C$10:$C$161=$C124),0),
  _xlpm.c, MATCH(BX$8,'3. Enter Indicator Scores'!$D$8:$CZ$8,0),
  _xlpm.v, IFERROR(INDEX('3. Enter Indicator Scores'!$D$10:$CZ$161,_xlpm.r,_xlpm.c),""),
  IF(OR(_xlpm.w="",_xlpm.v=""),"",_xlpm.v*_xlpm.w)
)</f>
        <v/>
      </c>
      <c r="BY124" s="93" t="str" cm="1">
        <f t="array" ref="BY124">_xlfn.LET(
  _xlpm.w, BY$11,
  _xlpm.r, MATCH(1,('3. Enter Indicator Scores'!$B$10:$B$161=$B124)*('3. Enter Indicator Scores'!$C$10:$C$161=$C124),0),
  _xlpm.c, MATCH(BY$8,'3. Enter Indicator Scores'!$D$8:$CZ$8,0),
  _xlpm.v, IFERROR(INDEX('3. Enter Indicator Scores'!$D$10:$CZ$161,_xlpm.r,_xlpm.c),""),
  IF(OR(_xlpm.w="",_xlpm.v=""),"",_xlpm.v*_xlpm.w)
)</f>
        <v/>
      </c>
      <c r="BZ124" s="93" t="str" cm="1">
        <f t="array" ref="BZ124">_xlfn.LET(
  _xlpm.w, BZ$11,
  _xlpm.r, MATCH(1,('3. Enter Indicator Scores'!$B$10:$B$161=$B124)*('3. Enter Indicator Scores'!$C$10:$C$161=$C124),0),
  _xlpm.c, MATCH(BZ$8,'3. Enter Indicator Scores'!$D$8:$CZ$8,0),
  _xlpm.v, IFERROR(INDEX('3. Enter Indicator Scores'!$D$10:$CZ$161,_xlpm.r,_xlpm.c),""),
  IF(OR(_xlpm.w="",_xlpm.v=""),"",_xlpm.v*_xlpm.w)
)</f>
        <v/>
      </c>
      <c r="CA124" s="93" t="str" cm="1">
        <f t="array" ref="CA124">_xlfn.LET(
  _xlpm.w, CA$11,
  _xlpm.r, MATCH(1,('3. Enter Indicator Scores'!$B$10:$B$161=$B124)*('3. Enter Indicator Scores'!$C$10:$C$161=$C124),0),
  _xlpm.c, MATCH(CA$8,'3. Enter Indicator Scores'!$D$8:$CZ$8,0),
  _xlpm.v, IFERROR(INDEX('3. Enter Indicator Scores'!$D$10:$CZ$161,_xlpm.r,_xlpm.c),""),
  IF(OR(_xlpm.w="",_xlpm.v=""),"",_xlpm.v*_xlpm.w)
)</f>
        <v/>
      </c>
      <c r="CB124" s="93" t="str" cm="1">
        <f t="array" ref="CB124">_xlfn.LET(
  _xlpm.w, CB$11,
  _xlpm.r, MATCH(1,('3. Enter Indicator Scores'!$B$10:$B$161=$B124)*('3. Enter Indicator Scores'!$C$10:$C$161=$C124),0),
  _xlpm.c, MATCH(CB$8,'3. Enter Indicator Scores'!$D$8:$CZ$8,0),
  _xlpm.v, IFERROR(INDEX('3. Enter Indicator Scores'!$D$10:$CZ$161,_xlpm.r,_xlpm.c),""),
  IF(OR(_xlpm.w="",_xlpm.v=""),"",_xlpm.v*_xlpm.w)
)</f>
        <v/>
      </c>
      <c r="CC124" s="93" t="str" cm="1">
        <f t="array" ref="CC124">_xlfn.LET(
  _xlpm.w, CC$11,
  _xlpm.r, MATCH(1,('3. Enter Indicator Scores'!$B$10:$B$161=$B124)*('3. Enter Indicator Scores'!$C$10:$C$161=$C124),0),
  _xlpm.c, MATCH(CC$8,'3. Enter Indicator Scores'!$D$8:$CZ$8,0),
  _xlpm.v, IFERROR(INDEX('3. Enter Indicator Scores'!$D$10:$CZ$161,_xlpm.r,_xlpm.c),""),
  IF(OR(_xlpm.w="",_xlpm.v=""),"",_xlpm.v*_xlpm.w)
)</f>
        <v/>
      </c>
      <c r="CD124" s="93" t="str" cm="1">
        <f t="array" ref="CD124">_xlfn.LET(
  _xlpm.w, CD$11,
  _xlpm.r, MATCH(1,('3. Enter Indicator Scores'!$B$10:$B$161=$B124)*('3. Enter Indicator Scores'!$C$10:$C$161=$C124),0),
  _xlpm.c, MATCH(CD$8,'3. Enter Indicator Scores'!$D$8:$CZ$8,0),
  _xlpm.v, IFERROR(INDEX('3. Enter Indicator Scores'!$D$10:$CZ$161,_xlpm.r,_xlpm.c),""),
  IF(OR(_xlpm.w="",_xlpm.v=""),"",_xlpm.v*_xlpm.w)
)</f>
        <v/>
      </c>
      <c r="CE124" s="93" t="str" cm="1">
        <f t="array" ref="CE124">_xlfn.LET(
  _xlpm.w, CE$11,
  _xlpm.r, MATCH(1,('3. Enter Indicator Scores'!$B$10:$B$161=$B124)*('3. Enter Indicator Scores'!$C$10:$C$161=$C124),0),
  _xlpm.c, MATCH(CE$8,'3. Enter Indicator Scores'!$D$8:$CZ$8,0),
  _xlpm.v, IFERROR(INDEX('3. Enter Indicator Scores'!$D$10:$CZ$161,_xlpm.r,_xlpm.c),""),
  IF(OR(_xlpm.w="",_xlpm.v=""),"",_xlpm.v*_xlpm.w)
)</f>
        <v/>
      </c>
      <c r="CF124" s="93" t="str" cm="1">
        <f t="array" ref="CF124">_xlfn.LET(
  _xlpm.w, CF$11,
  _xlpm.r, MATCH(1,('3. Enter Indicator Scores'!$B$10:$B$161=$B124)*('3. Enter Indicator Scores'!$C$10:$C$161=$C124),0),
  _xlpm.c, MATCH(CF$8,'3. Enter Indicator Scores'!$D$8:$CZ$8,0),
  _xlpm.v, IFERROR(INDEX('3. Enter Indicator Scores'!$D$10:$CZ$161,_xlpm.r,_xlpm.c),""),
  IF(OR(_xlpm.w="",_xlpm.v=""),"",_xlpm.v*_xlpm.w)
)</f>
        <v/>
      </c>
      <c r="CG124" s="93" t="str" cm="1">
        <f t="array" ref="CG124">_xlfn.LET(
  _xlpm.w, CG$11,
  _xlpm.r, MATCH(1,('3. Enter Indicator Scores'!$B$10:$B$161=$B124)*('3. Enter Indicator Scores'!$C$10:$C$161=$C124),0),
  _xlpm.c, MATCH(CG$8,'3. Enter Indicator Scores'!$D$8:$CZ$8,0),
  _xlpm.v, IFERROR(INDEX('3. Enter Indicator Scores'!$D$10:$CZ$161,_xlpm.r,_xlpm.c),""),
  IF(OR(_xlpm.w="",_xlpm.v=""),"",_xlpm.v*_xlpm.w)
)</f>
        <v/>
      </c>
      <c r="CH124" s="93" t="str" cm="1">
        <f t="array" ref="CH124">_xlfn.LET(
  _xlpm.w, CH$11,
  _xlpm.r, MATCH(1,('3. Enter Indicator Scores'!$B$10:$B$161=$B124)*('3. Enter Indicator Scores'!$C$10:$C$161=$C124),0),
  _xlpm.c, MATCH(CH$8,'3. Enter Indicator Scores'!$D$8:$CZ$8,0),
  _xlpm.v, IFERROR(INDEX('3. Enter Indicator Scores'!$D$10:$CZ$161,_xlpm.r,_xlpm.c),""),
  IF(OR(_xlpm.w="",_xlpm.v=""),"",_xlpm.v*_xlpm.w)
)</f>
        <v/>
      </c>
      <c r="CI124" s="93" t="str" cm="1">
        <f t="array" ref="CI124">_xlfn.LET(
  _xlpm.w, CI$11,
  _xlpm.r, MATCH(1,('3. Enter Indicator Scores'!$B$10:$B$161=$B124)*('3. Enter Indicator Scores'!$C$10:$C$161=$C124),0),
  _xlpm.c, MATCH(CI$8,'3. Enter Indicator Scores'!$D$8:$CZ$8,0),
  _xlpm.v, IFERROR(INDEX('3. Enter Indicator Scores'!$D$10:$CZ$161,_xlpm.r,_xlpm.c),""),
  IF(OR(_xlpm.w="",_xlpm.v=""),"",_xlpm.v*_xlpm.w)
)</f>
        <v/>
      </c>
      <c r="CJ124" s="93" t="str" cm="1">
        <f t="array" ref="CJ124">_xlfn.LET(
  _xlpm.w, CJ$11,
  _xlpm.r, MATCH(1,('3. Enter Indicator Scores'!$B$10:$B$161=$B124)*('3. Enter Indicator Scores'!$C$10:$C$161=$C124),0),
  _xlpm.c, MATCH(CJ$8,'3. Enter Indicator Scores'!$D$8:$CZ$8,0),
  _xlpm.v, IFERROR(INDEX('3. Enter Indicator Scores'!$D$10:$CZ$161,_xlpm.r,_xlpm.c),""),
  IF(OR(_xlpm.w="",_xlpm.v=""),"",_xlpm.v*_xlpm.w)
)</f>
        <v/>
      </c>
      <c r="CK124" s="93" t="str" cm="1">
        <f t="array" ref="CK124">_xlfn.LET(
  _xlpm.w, CK$11,
  _xlpm.r, MATCH(1,('3. Enter Indicator Scores'!$B$10:$B$161=$B124)*('3. Enter Indicator Scores'!$C$10:$C$161=$C124),0),
  _xlpm.c, MATCH(CK$8,'3. Enter Indicator Scores'!$D$8:$CZ$8,0),
  _xlpm.v, IFERROR(INDEX('3. Enter Indicator Scores'!$D$10:$CZ$161,_xlpm.r,_xlpm.c),""),
  IF(OR(_xlpm.w="",_xlpm.v=""),"",_xlpm.v*_xlpm.w)
)</f>
        <v/>
      </c>
      <c r="CL124" s="93" t="str" cm="1">
        <f t="array" ref="CL124">_xlfn.LET(
  _xlpm.w, CL$11,
  _xlpm.r, MATCH(1,('3. Enter Indicator Scores'!$B$10:$B$161=$B124)*('3. Enter Indicator Scores'!$C$10:$C$161=$C124),0),
  _xlpm.c, MATCH(CL$8,'3. Enter Indicator Scores'!$D$8:$CZ$8,0),
  _xlpm.v, IFERROR(INDEX('3. Enter Indicator Scores'!$D$10:$CZ$161,_xlpm.r,_xlpm.c),""),
  IF(OR(_xlpm.w="",_xlpm.v=""),"",_xlpm.v*_xlpm.w)
)</f>
        <v/>
      </c>
      <c r="CM124" s="93" t="str" cm="1">
        <f t="array" ref="CM124">_xlfn.LET(
  _xlpm.w, CM$11,
  _xlpm.r, MATCH(1,('3. Enter Indicator Scores'!$B$10:$B$161=$B124)*('3. Enter Indicator Scores'!$C$10:$C$161=$C124),0),
  _xlpm.c, MATCH(CM$8,'3. Enter Indicator Scores'!$D$8:$CZ$8,0),
  _xlpm.v, IFERROR(INDEX('3. Enter Indicator Scores'!$D$10:$CZ$161,_xlpm.r,_xlpm.c),""),
  IF(OR(_xlpm.w="",_xlpm.v=""),"",_xlpm.v*_xlpm.w)
)</f>
        <v/>
      </c>
      <c r="CN124" s="93" t="str" cm="1">
        <f t="array" ref="CN124">_xlfn.LET(
  _xlpm.w, CN$11,
  _xlpm.r, MATCH(1,('3. Enter Indicator Scores'!$B$10:$B$161=$B124)*('3. Enter Indicator Scores'!$C$10:$C$161=$C124),0),
  _xlpm.c, MATCH(CN$8,'3. Enter Indicator Scores'!$D$8:$CZ$8,0),
  _xlpm.v, IFERROR(INDEX('3. Enter Indicator Scores'!$D$10:$CZ$161,_xlpm.r,_xlpm.c),""),
  IF(OR(_xlpm.w="",_xlpm.v=""),"",_xlpm.v*_xlpm.w)
)</f>
        <v/>
      </c>
      <c r="CO124" s="93" t="str" cm="1">
        <f t="array" ref="CO124">_xlfn.LET(
  _xlpm.w, CO$11,
  _xlpm.r, MATCH(1,('3. Enter Indicator Scores'!$B$10:$B$161=$B124)*('3. Enter Indicator Scores'!$C$10:$C$161=$C124),0),
  _xlpm.c, MATCH(CO$8,'3. Enter Indicator Scores'!$D$8:$CZ$8,0),
  _xlpm.v, IFERROR(INDEX('3. Enter Indicator Scores'!$D$10:$CZ$161,_xlpm.r,_xlpm.c),""),
  IF(OR(_xlpm.w="",_xlpm.v=""),"",_xlpm.v*_xlpm.w)
)</f>
        <v/>
      </c>
      <c r="CP124" s="93" t="str" cm="1">
        <f t="array" ref="CP124">_xlfn.LET(
  _xlpm.w, CP$11,
  _xlpm.r, MATCH(1,('3. Enter Indicator Scores'!$B$10:$B$161=$B124)*('3. Enter Indicator Scores'!$C$10:$C$161=$C124),0),
  _xlpm.c, MATCH(CP$8,'3. Enter Indicator Scores'!$D$8:$CZ$8,0),
  _xlpm.v, IFERROR(INDEX('3. Enter Indicator Scores'!$D$10:$CZ$161,_xlpm.r,_xlpm.c),""),
  IF(OR(_xlpm.w="",_xlpm.v=""),"",_xlpm.v*_xlpm.w)
)</f>
        <v/>
      </c>
      <c r="CQ124" s="93" t="str" cm="1">
        <f t="array" ref="CQ124">_xlfn.LET(
  _xlpm.w, CQ$11,
  _xlpm.r, MATCH(1,('3. Enter Indicator Scores'!$B$10:$B$161=$B124)*('3. Enter Indicator Scores'!$C$10:$C$161=$C124),0),
  _xlpm.c, MATCH(CQ$8,'3. Enter Indicator Scores'!$D$8:$CZ$8,0),
  _xlpm.v, IFERROR(INDEX('3. Enter Indicator Scores'!$D$10:$CZ$161,_xlpm.r,_xlpm.c),""),
  IF(OR(_xlpm.w="",_xlpm.v=""),"",_xlpm.v*_xlpm.w)
)</f>
        <v/>
      </c>
      <c r="CR124" s="93" t="str" cm="1">
        <f t="array" ref="CR124">_xlfn.LET(
  _xlpm.w, CR$11,
  _xlpm.r, MATCH(1,('3. Enter Indicator Scores'!$B$10:$B$161=$B124)*('3. Enter Indicator Scores'!$C$10:$C$161=$C124),0),
  _xlpm.c, MATCH(CR$8,'3. Enter Indicator Scores'!$D$8:$CZ$8,0),
  _xlpm.v, IFERROR(INDEX('3. Enter Indicator Scores'!$D$10:$CZ$161,_xlpm.r,_xlpm.c),""),
  IF(OR(_xlpm.w="",_xlpm.v=""),"",_xlpm.v*_xlpm.w)
)</f>
        <v/>
      </c>
      <c r="CS124" s="93" t="str" cm="1">
        <f t="array" ref="CS124">_xlfn.LET(
  _xlpm.w, CS$11,
  _xlpm.r, MATCH(1,('3. Enter Indicator Scores'!$B$10:$B$161=$B124)*('3. Enter Indicator Scores'!$C$10:$C$161=$C124),0),
  _xlpm.c, MATCH(CS$8,'3. Enter Indicator Scores'!$D$8:$CZ$8,0),
  _xlpm.v, IFERROR(INDEX('3. Enter Indicator Scores'!$D$10:$CZ$161,_xlpm.r,_xlpm.c),""),
  IF(OR(_xlpm.w="",_xlpm.v=""),"",_xlpm.v*_xlpm.w)
)</f>
        <v/>
      </c>
      <c r="CT124" s="93" t="str" cm="1">
        <f t="array" ref="CT124">_xlfn.LET(
  _xlpm.w, CT$11,
  _xlpm.r, MATCH(1,('3. Enter Indicator Scores'!$B$10:$B$161=$B124)*('3. Enter Indicator Scores'!$C$10:$C$161=$C124),0),
  _xlpm.c, MATCH(CT$8,'3. Enter Indicator Scores'!$D$8:$CZ$8,0),
  _xlpm.v, IFERROR(INDEX('3. Enter Indicator Scores'!$D$10:$CZ$161,_xlpm.r,_xlpm.c),""),
  IF(OR(_xlpm.w="",_xlpm.v=""),"",_xlpm.v*_xlpm.w)
)</f>
        <v/>
      </c>
      <c r="CU124" s="93" t="str" cm="1">
        <f t="array" ref="CU124">_xlfn.LET(
  _xlpm.w, CU$11,
  _xlpm.r, MATCH(1,('3. Enter Indicator Scores'!$B$10:$B$161=$B124)*('3. Enter Indicator Scores'!$C$10:$C$161=$C124),0),
  _xlpm.c, MATCH(CU$8,'3. Enter Indicator Scores'!$D$8:$CZ$8,0),
  _xlpm.v, IFERROR(INDEX('3. Enter Indicator Scores'!$D$10:$CZ$161,_xlpm.r,_xlpm.c),""),
  IF(OR(_xlpm.w="",_xlpm.v=""),"",_xlpm.v*_xlpm.w)
)</f>
        <v/>
      </c>
      <c r="CV124" s="93" t="str" cm="1">
        <f t="array" ref="CV124">_xlfn.LET(
  _xlpm.w, CV$11,
  _xlpm.r, MATCH(1,('3. Enter Indicator Scores'!$B$10:$B$161=$B124)*('3. Enter Indicator Scores'!$C$10:$C$161=$C124),0),
  _xlpm.c, MATCH(CV$8,'3. Enter Indicator Scores'!$D$8:$CZ$8,0),
  _xlpm.v, IFERROR(INDEX('3. Enter Indicator Scores'!$D$10:$CZ$161,_xlpm.r,_xlpm.c),""),
  IF(OR(_xlpm.w="",_xlpm.v=""),"",_xlpm.v*_xlpm.w)
)</f>
        <v/>
      </c>
      <c r="CW124" s="93" t="str" cm="1">
        <f t="array" ref="CW124">_xlfn.LET(
  _xlpm.w, CW$11,
  _xlpm.r, MATCH(1,('3. Enter Indicator Scores'!$B$10:$B$161=$B124)*('3. Enter Indicator Scores'!$C$10:$C$161=$C124),0),
  _xlpm.c, MATCH(CW$8,'3. Enter Indicator Scores'!$D$8:$CZ$8,0),
  _xlpm.v, IFERROR(INDEX('3. Enter Indicator Scores'!$D$10:$CZ$161,_xlpm.r,_xlpm.c),""),
  IF(OR(_xlpm.w="",_xlpm.v=""),"",_xlpm.v*_xlpm.w)
)</f>
        <v/>
      </c>
      <c r="CX124" s="93" t="str" cm="1">
        <f t="array" ref="CX124">_xlfn.LET(
  _xlpm.w, CX$11,
  _xlpm.r, MATCH(1,('3. Enter Indicator Scores'!$B$10:$B$161=$B124)*('3. Enter Indicator Scores'!$C$10:$C$161=$C124),0),
  _xlpm.c, MATCH(CX$8,'3. Enter Indicator Scores'!$D$8:$CZ$8,0),
  _xlpm.v, IFERROR(INDEX('3. Enter Indicator Scores'!$D$10:$CZ$161,_xlpm.r,_xlpm.c),""),
  IF(OR(_xlpm.w="",_xlpm.v=""),"",_xlpm.v*_xlpm.w)
)</f>
        <v/>
      </c>
      <c r="CY124" s="93" t="str" cm="1">
        <f t="array" ref="CY124">_xlfn.LET(
  _xlpm.w, CY$11,
  _xlpm.r, MATCH(1,('3. Enter Indicator Scores'!$B$10:$B$161=$B124)*('3. Enter Indicator Scores'!$C$10:$C$161=$C124),0),
  _xlpm.c, MATCH(CY$8,'3. Enter Indicator Scores'!$D$8:$CZ$8,0),
  _xlpm.v, IFERROR(INDEX('3. Enter Indicator Scores'!$D$10:$CZ$161,_xlpm.r,_xlpm.c),""),
  IF(OR(_xlpm.w="",_xlpm.v=""),"",_xlpm.v*_xlpm.w)
)</f>
        <v/>
      </c>
      <c r="CZ124" s="93" t="str" cm="1">
        <f t="array" ref="CZ124">_xlfn.LET(
  _xlpm.w, CZ$11,
  _xlpm.r, MATCH(1,('3. Enter Indicator Scores'!$B$10:$B$161=$B124)*('3. Enter Indicator Scores'!$C$10:$C$161=$C124),0),
  _xlpm.c, MATCH(CZ$8,'3. Enter Indicator Scores'!$D$8:$CZ$8,0),
  _xlpm.v, IFERROR(INDEX('3. Enter Indicator Scores'!$D$10:$CZ$161,_xlpm.r,_xlpm.c),""),
  IF(OR(_xlpm.w="",_xlpm.v=""),"",_xlpm.v*_xlpm.w)
)</f>
        <v/>
      </c>
    </row>
    <row r="125" spans="4:104" x14ac:dyDescent="0.2">
      <c r="D125" s="93" t="str" cm="1">
        <f t="array" ref="D125">_xlfn.LET(
  _xlpm.w, D$11,
  _xlpm.r, MATCH(1,('3. Enter Indicator Scores'!$B$10:$B$161=$B125)*('3. Enter Indicator Scores'!$C$10:$C$161=$C125),0),
  _xlpm.c, MATCH(D$8,'3. Enter Indicator Scores'!$D$8:$CZ$8,0),
  _xlpm.v, IFERROR(INDEX('3. Enter Indicator Scores'!$D$10:$CZ$161,_xlpm.r,_xlpm.c),""),
  IF(OR(_xlpm.w="",_xlpm.v=""),"",_xlpm.v*_xlpm.w)
)</f>
        <v/>
      </c>
      <c r="E125" s="93" t="str" cm="1">
        <f t="array" ref="E125">_xlfn.LET(
  _xlpm.w, E$11,
  _xlpm.r, MATCH(1,('3. Enter Indicator Scores'!$B$10:$B$161=$B125)*('3. Enter Indicator Scores'!$C$10:$C$161=$C125),0),
  _xlpm.c, MATCH(E$8,'3. Enter Indicator Scores'!$D$8:$CZ$8,0),
  _xlpm.v, IFERROR(INDEX('3. Enter Indicator Scores'!$D$10:$CZ$161,_xlpm.r,_xlpm.c),""),
  IF(OR(_xlpm.w="",_xlpm.v=""),"",_xlpm.v*_xlpm.w)
)</f>
        <v/>
      </c>
      <c r="F125" s="93" t="str" cm="1">
        <f t="array" ref="F125">_xlfn.LET(
  _xlpm.w, F$11,
  _xlpm.r, MATCH(1,('3. Enter Indicator Scores'!$B$10:$B$161=$B125)*('3. Enter Indicator Scores'!$C$10:$C$161=$C125),0),
  _xlpm.c, MATCH(F$8,'3. Enter Indicator Scores'!$D$8:$CZ$8,0),
  _xlpm.v, IFERROR(INDEX('3. Enter Indicator Scores'!$D$10:$CZ$161,_xlpm.r,_xlpm.c),""),
  IF(OR(_xlpm.w="",_xlpm.v=""),"",_xlpm.v*_xlpm.w)
)</f>
        <v/>
      </c>
      <c r="G125" s="93" t="str" cm="1">
        <f t="array" ref="G125">_xlfn.LET(
  _xlpm.w, G$11,
  _xlpm.r, MATCH(1,('3. Enter Indicator Scores'!$B$10:$B$161=$B125)*('3. Enter Indicator Scores'!$C$10:$C$161=$C125),0),
  _xlpm.c, MATCH(G$8,'3. Enter Indicator Scores'!$D$8:$CZ$8,0),
  _xlpm.v, IFERROR(INDEX('3. Enter Indicator Scores'!$D$10:$CZ$161,_xlpm.r,_xlpm.c),""),
  IF(OR(_xlpm.w="",_xlpm.v=""),"",_xlpm.v*_xlpm.w)
)</f>
        <v/>
      </c>
      <c r="H125" s="93" t="str" cm="1">
        <f t="array" ref="H125">_xlfn.LET(
  _xlpm.w, H$11,
  _xlpm.r, MATCH(1,('3. Enter Indicator Scores'!$B$10:$B$161=$B125)*('3. Enter Indicator Scores'!$C$10:$C$161=$C125),0),
  _xlpm.c, MATCH(H$8,'3. Enter Indicator Scores'!$D$8:$CZ$8,0),
  _xlpm.v, IFERROR(INDEX('3. Enter Indicator Scores'!$D$10:$CZ$161,_xlpm.r,_xlpm.c),""),
  IF(OR(_xlpm.w="",_xlpm.v=""),"",_xlpm.v*_xlpm.w)
)</f>
        <v/>
      </c>
      <c r="I125" s="93" t="str" cm="1">
        <f t="array" ref="I125">_xlfn.LET(
  _xlpm.w, I$11,
  _xlpm.r, MATCH(1,('3. Enter Indicator Scores'!$B$10:$B$161=$B125)*('3. Enter Indicator Scores'!$C$10:$C$161=$C125),0),
  _xlpm.c, MATCH(I$8,'3. Enter Indicator Scores'!$D$8:$CZ$8,0),
  _xlpm.v, IFERROR(INDEX('3. Enter Indicator Scores'!$D$10:$CZ$161,_xlpm.r,_xlpm.c),""),
  IF(OR(_xlpm.w="",_xlpm.v=""),"",_xlpm.v*_xlpm.w)
)</f>
        <v/>
      </c>
      <c r="J125" s="93" t="str" cm="1">
        <f t="array" ref="J125">_xlfn.LET(
  _xlpm.w, J$11,
  _xlpm.r, MATCH(1,('3. Enter Indicator Scores'!$B$10:$B$161=$B125)*('3. Enter Indicator Scores'!$C$10:$C$161=$C125),0),
  _xlpm.c, MATCH(J$8,'3. Enter Indicator Scores'!$D$8:$CZ$8,0),
  _xlpm.v, IFERROR(INDEX('3. Enter Indicator Scores'!$D$10:$CZ$161,_xlpm.r,_xlpm.c),""),
  IF(OR(_xlpm.w="",_xlpm.v=""),"",_xlpm.v*_xlpm.w)
)</f>
        <v/>
      </c>
      <c r="K125" s="93" t="str" cm="1">
        <f t="array" ref="K125">_xlfn.LET(
  _xlpm.w, K$11,
  _xlpm.r, MATCH(1,('3. Enter Indicator Scores'!$B$10:$B$161=$B125)*('3. Enter Indicator Scores'!$C$10:$C$161=$C125),0),
  _xlpm.c, MATCH(K$8,'3. Enter Indicator Scores'!$D$8:$CZ$8,0),
  _xlpm.v, IFERROR(INDEX('3. Enter Indicator Scores'!$D$10:$CZ$161,_xlpm.r,_xlpm.c),""),
  IF(OR(_xlpm.w="",_xlpm.v=""),"",_xlpm.v*_xlpm.w)
)</f>
        <v/>
      </c>
      <c r="L125" s="93" t="str" cm="1">
        <f t="array" ref="L125">_xlfn.LET(
  _xlpm.w, L$11,
  _xlpm.r, MATCH(1,('3. Enter Indicator Scores'!$B$10:$B$161=$B125)*('3. Enter Indicator Scores'!$C$10:$C$161=$C125),0),
  _xlpm.c, MATCH(L$8,'3. Enter Indicator Scores'!$D$8:$CZ$8,0),
  _xlpm.v, IFERROR(INDEX('3. Enter Indicator Scores'!$D$10:$CZ$161,_xlpm.r,_xlpm.c),""),
  IF(OR(_xlpm.w="",_xlpm.v=""),"",_xlpm.v*_xlpm.w)
)</f>
        <v/>
      </c>
      <c r="M125" s="93" t="str" cm="1">
        <f t="array" ref="M125">_xlfn.LET(
  _xlpm.w, M$11,
  _xlpm.r, MATCH(1,('3. Enter Indicator Scores'!$B$10:$B$161=$B125)*('3. Enter Indicator Scores'!$C$10:$C$161=$C125),0),
  _xlpm.c, MATCH(M$8,'3. Enter Indicator Scores'!$D$8:$CZ$8,0),
  _xlpm.v, IFERROR(INDEX('3. Enter Indicator Scores'!$D$10:$CZ$161,_xlpm.r,_xlpm.c),""),
  IF(OR(_xlpm.w="",_xlpm.v=""),"",_xlpm.v*_xlpm.w)
)</f>
        <v/>
      </c>
      <c r="N125" s="93" t="str" cm="1">
        <f t="array" ref="N125">_xlfn.LET(
  _xlpm.w, N$11,
  _xlpm.r, MATCH(1,('3. Enter Indicator Scores'!$B$10:$B$161=$B125)*('3. Enter Indicator Scores'!$C$10:$C$161=$C125),0),
  _xlpm.c, MATCH(N$8,'3. Enter Indicator Scores'!$D$8:$CZ$8,0),
  _xlpm.v, IFERROR(INDEX('3. Enter Indicator Scores'!$D$10:$CZ$161,_xlpm.r,_xlpm.c),""),
  IF(OR(_xlpm.w="",_xlpm.v=""),"",_xlpm.v*_xlpm.w)
)</f>
        <v/>
      </c>
      <c r="O125" s="93" t="str" cm="1">
        <f t="array" ref="O125">_xlfn.LET(
  _xlpm.w, O$11,
  _xlpm.r, MATCH(1,('3. Enter Indicator Scores'!$B$10:$B$161=$B125)*('3. Enter Indicator Scores'!$C$10:$C$161=$C125),0),
  _xlpm.c, MATCH(O$8,'3. Enter Indicator Scores'!$D$8:$CZ$8,0),
  _xlpm.v, IFERROR(INDEX('3. Enter Indicator Scores'!$D$10:$CZ$161,_xlpm.r,_xlpm.c),""),
  IF(OR(_xlpm.w="",_xlpm.v=""),"",_xlpm.v*_xlpm.w)
)</f>
        <v/>
      </c>
      <c r="P125" s="93" t="str" cm="1">
        <f t="array" ref="P125">_xlfn.LET(
  _xlpm.w, P$11,
  _xlpm.r, MATCH(1,('3. Enter Indicator Scores'!$B$10:$B$161=$B125)*('3. Enter Indicator Scores'!$C$10:$C$161=$C125),0),
  _xlpm.c, MATCH(P$8,'3. Enter Indicator Scores'!$D$8:$CZ$8,0),
  _xlpm.v, IFERROR(INDEX('3. Enter Indicator Scores'!$D$10:$CZ$161,_xlpm.r,_xlpm.c),""),
  IF(OR(_xlpm.w="",_xlpm.v=""),"",_xlpm.v*_xlpm.w)
)</f>
        <v/>
      </c>
      <c r="Q125" s="93" t="str" cm="1">
        <f t="array" ref="Q125">_xlfn.LET(
  _xlpm.w, Q$11,
  _xlpm.r, MATCH(1,('3. Enter Indicator Scores'!$B$10:$B$161=$B125)*('3. Enter Indicator Scores'!$C$10:$C$161=$C125),0),
  _xlpm.c, MATCH(Q$8,'3. Enter Indicator Scores'!$D$8:$CZ$8,0),
  _xlpm.v, IFERROR(INDEX('3. Enter Indicator Scores'!$D$10:$CZ$161,_xlpm.r,_xlpm.c),""),
  IF(OR(_xlpm.w="",_xlpm.v=""),"",_xlpm.v*_xlpm.w)
)</f>
        <v/>
      </c>
      <c r="R125" s="93" t="str" cm="1">
        <f t="array" ref="R125">_xlfn.LET(
  _xlpm.w, R$11,
  _xlpm.r, MATCH(1,('3. Enter Indicator Scores'!$B$10:$B$161=$B125)*('3. Enter Indicator Scores'!$C$10:$C$161=$C125),0),
  _xlpm.c, MATCH(R$8,'3. Enter Indicator Scores'!$D$8:$CZ$8,0),
  _xlpm.v, IFERROR(INDEX('3. Enter Indicator Scores'!$D$10:$CZ$161,_xlpm.r,_xlpm.c),""),
  IF(OR(_xlpm.w="",_xlpm.v=""),"",_xlpm.v*_xlpm.w)
)</f>
        <v/>
      </c>
      <c r="S125" s="93" t="str" cm="1">
        <f t="array" ref="S125">_xlfn.LET(
  _xlpm.w, S$11,
  _xlpm.r, MATCH(1,('3. Enter Indicator Scores'!$B$10:$B$161=$B125)*('3. Enter Indicator Scores'!$C$10:$C$161=$C125),0),
  _xlpm.c, MATCH(S$8,'3. Enter Indicator Scores'!$D$8:$CZ$8,0),
  _xlpm.v, IFERROR(INDEX('3. Enter Indicator Scores'!$D$10:$CZ$161,_xlpm.r,_xlpm.c),""),
  IF(OR(_xlpm.w="",_xlpm.v=""),"",_xlpm.v*_xlpm.w)
)</f>
        <v/>
      </c>
      <c r="T125" s="93" t="str" cm="1">
        <f t="array" ref="T125">_xlfn.LET(
  _xlpm.w, T$11,
  _xlpm.r, MATCH(1,('3. Enter Indicator Scores'!$B$10:$B$161=$B125)*('3. Enter Indicator Scores'!$C$10:$C$161=$C125),0),
  _xlpm.c, MATCH(T$8,'3. Enter Indicator Scores'!$D$8:$CZ$8,0),
  _xlpm.v, IFERROR(INDEX('3. Enter Indicator Scores'!$D$10:$CZ$161,_xlpm.r,_xlpm.c),""),
  IF(OR(_xlpm.w="",_xlpm.v=""),"",_xlpm.v*_xlpm.w)
)</f>
        <v/>
      </c>
      <c r="U125" s="93" t="str" cm="1">
        <f t="array" ref="U125">_xlfn.LET(
  _xlpm.w, U$11,
  _xlpm.r, MATCH(1,('3. Enter Indicator Scores'!$B$10:$B$161=$B125)*('3. Enter Indicator Scores'!$C$10:$C$161=$C125),0),
  _xlpm.c, MATCH(U$8,'3. Enter Indicator Scores'!$D$8:$CZ$8,0),
  _xlpm.v, IFERROR(INDEX('3. Enter Indicator Scores'!$D$10:$CZ$161,_xlpm.r,_xlpm.c),""),
  IF(OR(_xlpm.w="",_xlpm.v=""),"",_xlpm.v*_xlpm.w)
)</f>
        <v/>
      </c>
      <c r="V125" s="93" t="str" cm="1">
        <f t="array" ref="V125">_xlfn.LET(
  _xlpm.w, V$11,
  _xlpm.r, MATCH(1,('3. Enter Indicator Scores'!$B$10:$B$161=$B125)*('3. Enter Indicator Scores'!$C$10:$C$161=$C125),0),
  _xlpm.c, MATCH(V$8,'3. Enter Indicator Scores'!$D$8:$CZ$8,0),
  _xlpm.v, IFERROR(INDEX('3. Enter Indicator Scores'!$D$10:$CZ$161,_xlpm.r,_xlpm.c),""),
  IF(OR(_xlpm.w="",_xlpm.v=""),"",_xlpm.v*_xlpm.w)
)</f>
        <v/>
      </c>
      <c r="W125" s="93" t="str" cm="1">
        <f t="array" ref="W125">_xlfn.LET(
  _xlpm.w, W$11,
  _xlpm.r, MATCH(1,('3. Enter Indicator Scores'!$B$10:$B$161=$B125)*('3. Enter Indicator Scores'!$C$10:$C$161=$C125),0),
  _xlpm.c, MATCH(W$8,'3. Enter Indicator Scores'!$D$8:$CZ$8,0),
  _xlpm.v, IFERROR(INDEX('3. Enter Indicator Scores'!$D$10:$CZ$161,_xlpm.r,_xlpm.c),""),
  IF(OR(_xlpm.w="",_xlpm.v=""),"",_xlpm.v*_xlpm.w)
)</f>
        <v/>
      </c>
      <c r="X125" s="93" t="str" cm="1">
        <f t="array" ref="X125">_xlfn.LET(
  _xlpm.w, X$11,
  _xlpm.r, MATCH(1,('3. Enter Indicator Scores'!$B$10:$B$161=$B125)*('3. Enter Indicator Scores'!$C$10:$C$161=$C125),0),
  _xlpm.c, MATCH(X$8,'3. Enter Indicator Scores'!$D$8:$CZ$8,0),
  _xlpm.v, IFERROR(INDEX('3. Enter Indicator Scores'!$D$10:$CZ$161,_xlpm.r,_xlpm.c),""),
  IF(OR(_xlpm.w="",_xlpm.v=""),"",_xlpm.v*_xlpm.w)
)</f>
        <v/>
      </c>
      <c r="Y125" s="93" t="str" cm="1">
        <f t="array" ref="Y125">_xlfn.LET(
  _xlpm.w, Y$11,
  _xlpm.r, MATCH(1,('3. Enter Indicator Scores'!$B$10:$B$161=$B125)*('3. Enter Indicator Scores'!$C$10:$C$161=$C125),0),
  _xlpm.c, MATCH(Y$8,'3. Enter Indicator Scores'!$D$8:$CZ$8,0),
  _xlpm.v, IFERROR(INDEX('3. Enter Indicator Scores'!$D$10:$CZ$161,_xlpm.r,_xlpm.c),""),
  IF(OR(_xlpm.w="",_xlpm.v=""),"",_xlpm.v*_xlpm.w)
)</f>
        <v/>
      </c>
      <c r="Z125" s="93" t="str" cm="1">
        <f t="array" ref="Z125">_xlfn.LET(
  _xlpm.w, Z$11,
  _xlpm.r, MATCH(1,('3. Enter Indicator Scores'!$B$10:$B$161=$B125)*('3. Enter Indicator Scores'!$C$10:$C$161=$C125),0),
  _xlpm.c, MATCH(Z$8,'3. Enter Indicator Scores'!$D$8:$CZ$8,0),
  _xlpm.v, IFERROR(INDEX('3. Enter Indicator Scores'!$D$10:$CZ$161,_xlpm.r,_xlpm.c),""),
  IF(OR(_xlpm.w="",_xlpm.v=""),"",_xlpm.v*_xlpm.w)
)</f>
        <v/>
      </c>
      <c r="AA125" s="93" t="str" cm="1">
        <f t="array" ref="AA125">_xlfn.LET(
  _xlpm.w, AA$11,
  _xlpm.r, MATCH(1,('3. Enter Indicator Scores'!$B$10:$B$161=$B125)*('3. Enter Indicator Scores'!$C$10:$C$161=$C125),0),
  _xlpm.c, MATCH(AA$8,'3. Enter Indicator Scores'!$D$8:$CZ$8,0),
  _xlpm.v, IFERROR(INDEX('3. Enter Indicator Scores'!$D$10:$CZ$161,_xlpm.r,_xlpm.c),""),
  IF(OR(_xlpm.w="",_xlpm.v=""),"",_xlpm.v*_xlpm.w)
)</f>
        <v/>
      </c>
      <c r="AB125" s="93" t="str" cm="1">
        <f t="array" ref="AB125">_xlfn.LET(
  _xlpm.w, AB$11,
  _xlpm.r, MATCH(1,('3. Enter Indicator Scores'!$B$10:$B$161=$B125)*('3. Enter Indicator Scores'!$C$10:$C$161=$C125),0),
  _xlpm.c, MATCH(AB$8,'3. Enter Indicator Scores'!$D$8:$CZ$8,0),
  _xlpm.v, IFERROR(INDEX('3. Enter Indicator Scores'!$D$10:$CZ$161,_xlpm.r,_xlpm.c),""),
  IF(OR(_xlpm.w="",_xlpm.v=""),"",_xlpm.v*_xlpm.w)
)</f>
        <v/>
      </c>
      <c r="AC125" s="93" t="str" cm="1">
        <f t="array" ref="AC125">_xlfn.LET(
  _xlpm.w, AC$11,
  _xlpm.r, MATCH(1,('3. Enter Indicator Scores'!$B$10:$B$161=$B125)*('3. Enter Indicator Scores'!$C$10:$C$161=$C125),0),
  _xlpm.c, MATCH(AC$8,'3. Enter Indicator Scores'!$D$8:$CZ$8,0),
  _xlpm.v, IFERROR(INDEX('3. Enter Indicator Scores'!$D$10:$CZ$161,_xlpm.r,_xlpm.c),""),
  IF(OR(_xlpm.w="",_xlpm.v=""),"",_xlpm.v*_xlpm.w)
)</f>
        <v/>
      </c>
      <c r="AD125" s="93" t="str" cm="1">
        <f t="array" ref="AD125">_xlfn.LET(
  _xlpm.w, AD$11,
  _xlpm.r, MATCH(1,('3. Enter Indicator Scores'!$B$10:$B$161=$B125)*('3. Enter Indicator Scores'!$C$10:$C$161=$C125),0),
  _xlpm.c, MATCH(AD$8,'3. Enter Indicator Scores'!$D$8:$CZ$8,0),
  _xlpm.v, IFERROR(INDEX('3. Enter Indicator Scores'!$D$10:$CZ$161,_xlpm.r,_xlpm.c),""),
  IF(OR(_xlpm.w="",_xlpm.v=""),"",_xlpm.v*_xlpm.w)
)</f>
        <v/>
      </c>
      <c r="AE125" s="93" t="str" cm="1">
        <f t="array" ref="AE125">_xlfn.LET(
  _xlpm.w, AE$11,
  _xlpm.r, MATCH(1,('3. Enter Indicator Scores'!$B$10:$B$161=$B125)*('3. Enter Indicator Scores'!$C$10:$C$161=$C125),0),
  _xlpm.c, MATCH(AE$8,'3. Enter Indicator Scores'!$D$8:$CZ$8,0),
  _xlpm.v, IFERROR(INDEX('3. Enter Indicator Scores'!$D$10:$CZ$161,_xlpm.r,_xlpm.c),""),
  IF(OR(_xlpm.w="",_xlpm.v=""),"",_xlpm.v*_xlpm.w)
)</f>
        <v/>
      </c>
      <c r="AF125" s="93" t="str" cm="1">
        <f t="array" ref="AF125">_xlfn.LET(
  _xlpm.w, AF$11,
  _xlpm.r, MATCH(1,('3. Enter Indicator Scores'!$B$10:$B$161=$B125)*('3. Enter Indicator Scores'!$C$10:$C$161=$C125),0),
  _xlpm.c, MATCH(AF$8,'3. Enter Indicator Scores'!$D$8:$CZ$8,0),
  _xlpm.v, IFERROR(INDEX('3. Enter Indicator Scores'!$D$10:$CZ$161,_xlpm.r,_xlpm.c),""),
  IF(OR(_xlpm.w="",_xlpm.v=""),"",_xlpm.v*_xlpm.w)
)</f>
        <v/>
      </c>
      <c r="AG125" s="93" t="str" cm="1">
        <f t="array" ref="AG125">_xlfn.LET(
  _xlpm.w, AG$11,
  _xlpm.r, MATCH(1,('3. Enter Indicator Scores'!$B$10:$B$161=$B125)*('3. Enter Indicator Scores'!$C$10:$C$161=$C125),0),
  _xlpm.c, MATCH(AG$8,'3. Enter Indicator Scores'!$D$8:$CZ$8,0),
  _xlpm.v, IFERROR(INDEX('3. Enter Indicator Scores'!$D$10:$CZ$161,_xlpm.r,_xlpm.c),""),
  IF(OR(_xlpm.w="",_xlpm.v=""),"",_xlpm.v*_xlpm.w)
)</f>
        <v/>
      </c>
      <c r="AH125" s="93" t="str" cm="1">
        <f t="array" ref="AH125">_xlfn.LET(
  _xlpm.w, AH$11,
  _xlpm.r, MATCH(1,('3. Enter Indicator Scores'!$B$10:$B$161=$B125)*('3. Enter Indicator Scores'!$C$10:$C$161=$C125),0),
  _xlpm.c, MATCH(AH$8,'3. Enter Indicator Scores'!$D$8:$CZ$8,0),
  _xlpm.v, IFERROR(INDEX('3. Enter Indicator Scores'!$D$10:$CZ$161,_xlpm.r,_xlpm.c),""),
  IF(OR(_xlpm.w="",_xlpm.v=""),"",_xlpm.v*_xlpm.w)
)</f>
        <v/>
      </c>
      <c r="AI125" s="93" t="str" cm="1">
        <f t="array" ref="AI125">_xlfn.LET(
  _xlpm.w, AI$11,
  _xlpm.r, MATCH(1,('3. Enter Indicator Scores'!$B$10:$B$161=$B125)*('3. Enter Indicator Scores'!$C$10:$C$161=$C125),0),
  _xlpm.c, MATCH(AI$8,'3. Enter Indicator Scores'!$D$8:$CZ$8,0),
  _xlpm.v, IFERROR(INDEX('3. Enter Indicator Scores'!$D$10:$CZ$161,_xlpm.r,_xlpm.c),""),
  IF(OR(_xlpm.w="",_xlpm.v=""),"",_xlpm.v*_xlpm.w)
)</f>
        <v/>
      </c>
      <c r="AJ125" s="93" t="str" cm="1">
        <f t="array" ref="AJ125">_xlfn.LET(
  _xlpm.w, AJ$11,
  _xlpm.r, MATCH(1,('3. Enter Indicator Scores'!$B$10:$B$161=$B125)*('3. Enter Indicator Scores'!$C$10:$C$161=$C125),0),
  _xlpm.c, MATCH(AJ$8,'3. Enter Indicator Scores'!$D$8:$CZ$8,0),
  _xlpm.v, IFERROR(INDEX('3. Enter Indicator Scores'!$D$10:$CZ$161,_xlpm.r,_xlpm.c),""),
  IF(OR(_xlpm.w="",_xlpm.v=""),"",_xlpm.v*_xlpm.w)
)</f>
        <v/>
      </c>
      <c r="AK125" s="93" t="str" cm="1">
        <f t="array" ref="AK125">_xlfn.LET(
  _xlpm.w, AK$11,
  _xlpm.r, MATCH(1,('3. Enter Indicator Scores'!$B$10:$B$161=$B125)*('3. Enter Indicator Scores'!$C$10:$C$161=$C125),0),
  _xlpm.c, MATCH(AK$8,'3. Enter Indicator Scores'!$D$8:$CZ$8,0),
  _xlpm.v, IFERROR(INDEX('3. Enter Indicator Scores'!$D$10:$CZ$161,_xlpm.r,_xlpm.c),""),
  IF(OR(_xlpm.w="",_xlpm.v=""),"",_xlpm.v*_xlpm.w)
)</f>
        <v/>
      </c>
      <c r="AL125" s="93" t="str" cm="1">
        <f t="array" ref="AL125">_xlfn.LET(
  _xlpm.w, AL$11,
  _xlpm.r, MATCH(1,('3. Enter Indicator Scores'!$B$10:$B$161=$B125)*('3. Enter Indicator Scores'!$C$10:$C$161=$C125),0),
  _xlpm.c, MATCH(AL$8,'3. Enter Indicator Scores'!$D$8:$CZ$8,0),
  _xlpm.v, IFERROR(INDEX('3. Enter Indicator Scores'!$D$10:$CZ$161,_xlpm.r,_xlpm.c),""),
  IF(OR(_xlpm.w="",_xlpm.v=""),"",_xlpm.v*_xlpm.w)
)</f>
        <v/>
      </c>
      <c r="AM125" s="93" t="str" cm="1">
        <f t="array" ref="AM125">_xlfn.LET(
  _xlpm.w, AM$11,
  _xlpm.r, MATCH(1,('3. Enter Indicator Scores'!$B$10:$B$161=$B125)*('3. Enter Indicator Scores'!$C$10:$C$161=$C125),0),
  _xlpm.c, MATCH(AM$8,'3. Enter Indicator Scores'!$D$8:$CZ$8,0),
  _xlpm.v, IFERROR(INDEX('3. Enter Indicator Scores'!$D$10:$CZ$161,_xlpm.r,_xlpm.c),""),
  IF(OR(_xlpm.w="",_xlpm.v=""),"",_xlpm.v*_xlpm.w)
)</f>
        <v/>
      </c>
      <c r="AN125" s="93" t="str" cm="1">
        <f t="array" ref="AN125">_xlfn.LET(
  _xlpm.w, AN$11,
  _xlpm.r, MATCH(1,('3. Enter Indicator Scores'!$B$10:$B$161=$B125)*('3. Enter Indicator Scores'!$C$10:$C$161=$C125),0),
  _xlpm.c, MATCH(AN$8,'3. Enter Indicator Scores'!$D$8:$CZ$8,0),
  _xlpm.v, IFERROR(INDEX('3. Enter Indicator Scores'!$D$10:$CZ$161,_xlpm.r,_xlpm.c),""),
  IF(OR(_xlpm.w="",_xlpm.v=""),"",_xlpm.v*_xlpm.w)
)</f>
        <v/>
      </c>
      <c r="AO125" s="93" t="str" cm="1">
        <f t="array" ref="AO125">_xlfn.LET(
  _xlpm.w, AO$11,
  _xlpm.r, MATCH(1,('3. Enter Indicator Scores'!$B$10:$B$161=$B125)*('3. Enter Indicator Scores'!$C$10:$C$161=$C125),0),
  _xlpm.c, MATCH(AO$8,'3. Enter Indicator Scores'!$D$8:$CZ$8,0),
  _xlpm.v, IFERROR(INDEX('3. Enter Indicator Scores'!$D$10:$CZ$161,_xlpm.r,_xlpm.c),""),
  IF(OR(_xlpm.w="",_xlpm.v=""),"",_xlpm.v*_xlpm.w)
)</f>
        <v/>
      </c>
      <c r="AP125" s="93" t="str" cm="1">
        <f t="array" ref="AP125">_xlfn.LET(
  _xlpm.w, AP$11,
  _xlpm.r, MATCH(1,('3. Enter Indicator Scores'!$B$10:$B$161=$B125)*('3. Enter Indicator Scores'!$C$10:$C$161=$C125),0),
  _xlpm.c, MATCH(AP$8,'3. Enter Indicator Scores'!$D$8:$CZ$8,0),
  _xlpm.v, IFERROR(INDEX('3. Enter Indicator Scores'!$D$10:$CZ$161,_xlpm.r,_xlpm.c),""),
  IF(OR(_xlpm.w="",_xlpm.v=""),"",_xlpm.v*_xlpm.w)
)</f>
        <v/>
      </c>
      <c r="AQ125" s="93" t="str" cm="1">
        <f t="array" ref="AQ125">_xlfn.LET(
  _xlpm.w, AQ$11,
  _xlpm.r, MATCH(1,('3. Enter Indicator Scores'!$B$10:$B$161=$B125)*('3. Enter Indicator Scores'!$C$10:$C$161=$C125),0),
  _xlpm.c, MATCH(AQ$8,'3. Enter Indicator Scores'!$D$8:$CZ$8,0),
  _xlpm.v, IFERROR(INDEX('3. Enter Indicator Scores'!$D$10:$CZ$161,_xlpm.r,_xlpm.c),""),
  IF(OR(_xlpm.w="",_xlpm.v=""),"",_xlpm.v*_xlpm.w)
)</f>
        <v/>
      </c>
      <c r="AR125" s="93" t="str" cm="1">
        <f t="array" ref="AR125">_xlfn.LET(
  _xlpm.w, AR$11,
  _xlpm.r, MATCH(1,('3. Enter Indicator Scores'!$B$10:$B$161=$B125)*('3. Enter Indicator Scores'!$C$10:$C$161=$C125),0),
  _xlpm.c, MATCH(AR$8,'3. Enter Indicator Scores'!$D$8:$CZ$8,0),
  _xlpm.v, IFERROR(INDEX('3. Enter Indicator Scores'!$D$10:$CZ$161,_xlpm.r,_xlpm.c),""),
  IF(OR(_xlpm.w="",_xlpm.v=""),"",_xlpm.v*_xlpm.w)
)</f>
        <v/>
      </c>
      <c r="AS125" s="93" t="str" cm="1">
        <f t="array" ref="AS125">_xlfn.LET(
  _xlpm.w, AS$11,
  _xlpm.r, MATCH(1,('3. Enter Indicator Scores'!$B$10:$B$161=$B125)*('3. Enter Indicator Scores'!$C$10:$C$161=$C125),0),
  _xlpm.c, MATCH(AS$8,'3. Enter Indicator Scores'!$D$8:$CZ$8,0),
  _xlpm.v, IFERROR(INDEX('3. Enter Indicator Scores'!$D$10:$CZ$161,_xlpm.r,_xlpm.c),""),
  IF(OR(_xlpm.w="",_xlpm.v=""),"",_xlpm.v*_xlpm.w)
)</f>
        <v/>
      </c>
      <c r="AT125" s="93" t="str" cm="1">
        <f t="array" ref="AT125">_xlfn.LET(
  _xlpm.w, AT$11,
  _xlpm.r, MATCH(1,('3. Enter Indicator Scores'!$B$10:$B$161=$B125)*('3. Enter Indicator Scores'!$C$10:$C$161=$C125),0),
  _xlpm.c, MATCH(AT$8,'3. Enter Indicator Scores'!$D$8:$CZ$8,0),
  _xlpm.v, IFERROR(INDEX('3. Enter Indicator Scores'!$D$10:$CZ$161,_xlpm.r,_xlpm.c),""),
  IF(OR(_xlpm.w="",_xlpm.v=""),"",_xlpm.v*_xlpm.w)
)</f>
        <v/>
      </c>
      <c r="AU125" s="93" t="str" cm="1">
        <f t="array" ref="AU125">_xlfn.LET(
  _xlpm.w, AU$11,
  _xlpm.r, MATCH(1,('3. Enter Indicator Scores'!$B$10:$B$161=$B125)*('3. Enter Indicator Scores'!$C$10:$C$161=$C125),0),
  _xlpm.c, MATCH(AU$8,'3. Enter Indicator Scores'!$D$8:$CZ$8,0),
  _xlpm.v, IFERROR(INDEX('3. Enter Indicator Scores'!$D$10:$CZ$161,_xlpm.r,_xlpm.c),""),
  IF(OR(_xlpm.w="",_xlpm.v=""),"",_xlpm.v*_xlpm.w)
)</f>
        <v/>
      </c>
      <c r="AV125" s="93" t="str" cm="1">
        <f t="array" ref="AV125">_xlfn.LET(
  _xlpm.w, AV$11,
  _xlpm.r, MATCH(1,('3. Enter Indicator Scores'!$B$10:$B$161=$B125)*('3. Enter Indicator Scores'!$C$10:$C$161=$C125),0),
  _xlpm.c, MATCH(AV$8,'3. Enter Indicator Scores'!$D$8:$CZ$8,0),
  _xlpm.v, IFERROR(INDEX('3. Enter Indicator Scores'!$D$10:$CZ$161,_xlpm.r,_xlpm.c),""),
  IF(OR(_xlpm.w="",_xlpm.v=""),"",_xlpm.v*_xlpm.w)
)</f>
        <v/>
      </c>
      <c r="AW125" s="93" t="str" cm="1">
        <f t="array" ref="AW125">_xlfn.LET(
  _xlpm.w, AW$11,
  _xlpm.r, MATCH(1,('3. Enter Indicator Scores'!$B$10:$B$161=$B125)*('3. Enter Indicator Scores'!$C$10:$C$161=$C125),0),
  _xlpm.c, MATCH(AW$8,'3. Enter Indicator Scores'!$D$8:$CZ$8,0),
  _xlpm.v, IFERROR(INDEX('3. Enter Indicator Scores'!$D$10:$CZ$161,_xlpm.r,_xlpm.c),""),
  IF(OR(_xlpm.w="",_xlpm.v=""),"",_xlpm.v*_xlpm.w)
)</f>
        <v/>
      </c>
      <c r="AX125" s="93" t="str" cm="1">
        <f t="array" ref="AX125">_xlfn.LET(
  _xlpm.w, AX$11,
  _xlpm.r, MATCH(1,('3. Enter Indicator Scores'!$B$10:$B$161=$B125)*('3. Enter Indicator Scores'!$C$10:$C$161=$C125),0),
  _xlpm.c, MATCH(AX$8,'3. Enter Indicator Scores'!$D$8:$CZ$8,0),
  _xlpm.v, IFERROR(INDEX('3. Enter Indicator Scores'!$D$10:$CZ$161,_xlpm.r,_xlpm.c),""),
  IF(OR(_xlpm.w="",_xlpm.v=""),"",_xlpm.v*_xlpm.w)
)</f>
        <v/>
      </c>
      <c r="AY125" s="93" t="str" cm="1">
        <f t="array" ref="AY125">_xlfn.LET(
  _xlpm.w, AY$11,
  _xlpm.r, MATCH(1,('3. Enter Indicator Scores'!$B$10:$B$161=$B125)*('3. Enter Indicator Scores'!$C$10:$C$161=$C125),0),
  _xlpm.c, MATCH(AY$8,'3. Enter Indicator Scores'!$D$8:$CZ$8,0),
  _xlpm.v, IFERROR(INDEX('3. Enter Indicator Scores'!$D$10:$CZ$161,_xlpm.r,_xlpm.c),""),
  IF(OR(_xlpm.w="",_xlpm.v=""),"",_xlpm.v*_xlpm.w)
)</f>
        <v/>
      </c>
      <c r="AZ125" s="93" t="str" cm="1">
        <f t="array" ref="AZ125">_xlfn.LET(
  _xlpm.w, AZ$11,
  _xlpm.r, MATCH(1,('3. Enter Indicator Scores'!$B$10:$B$161=$B125)*('3. Enter Indicator Scores'!$C$10:$C$161=$C125),0),
  _xlpm.c, MATCH(AZ$8,'3. Enter Indicator Scores'!$D$8:$CZ$8,0),
  _xlpm.v, IFERROR(INDEX('3. Enter Indicator Scores'!$D$10:$CZ$161,_xlpm.r,_xlpm.c),""),
  IF(OR(_xlpm.w="",_xlpm.v=""),"",_xlpm.v*_xlpm.w)
)</f>
        <v/>
      </c>
      <c r="BA125" s="93" t="str" cm="1">
        <f t="array" ref="BA125">_xlfn.LET(
  _xlpm.w, BA$11,
  _xlpm.r, MATCH(1,('3. Enter Indicator Scores'!$B$10:$B$161=$B125)*('3. Enter Indicator Scores'!$C$10:$C$161=$C125),0),
  _xlpm.c, MATCH(BA$8,'3. Enter Indicator Scores'!$D$8:$CZ$8,0),
  _xlpm.v, IFERROR(INDEX('3. Enter Indicator Scores'!$D$10:$CZ$161,_xlpm.r,_xlpm.c),""),
  IF(OR(_xlpm.w="",_xlpm.v=""),"",_xlpm.v*_xlpm.w)
)</f>
        <v/>
      </c>
      <c r="BB125" s="93" t="str" cm="1">
        <f t="array" ref="BB125">_xlfn.LET(
  _xlpm.w, BB$11,
  _xlpm.r, MATCH(1,('3. Enter Indicator Scores'!$B$10:$B$161=$B125)*('3. Enter Indicator Scores'!$C$10:$C$161=$C125),0),
  _xlpm.c, MATCH(BB$8,'3. Enter Indicator Scores'!$D$8:$CZ$8,0),
  _xlpm.v, IFERROR(INDEX('3. Enter Indicator Scores'!$D$10:$CZ$161,_xlpm.r,_xlpm.c),""),
  IF(OR(_xlpm.w="",_xlpm.v=""),"",_xlpm.v*_xlpm.w)
)</f>
        <v/>
      </c>
      <c r="BC125" s="93" t="str" cm="1">
        <f t="array" ref="BC125">_xlfn.LET(
  _xlpm.w, BC$11,
  _xlpm.r, MATCH(1,('3. Enter Indicator Scores'!$B$10:$B$161=$B125)*('3. Enter Indicator Scores'!$C$10:$C$161=$C125),0),
  _xlpm.c, MATCH(BC$8,'3. Enter Indicator Scores'!$D$8:$CZ$8,0),
  _xlpm.v, IFERROR(INDEX('3. Enter Indicator Scores'!$D$10:$CZ$161,_xlpm.r,_xlpm.c),""),
  IF(OR(_xlpm.w="",_xlpm.v=""),"",_xlpm.v*_xlpm.w)
)</f>
        <v/>
      </c>
      <c r="BD125" s="93" t="str" cm="1">
        <f t="array" ref="BD125">_xlfn.LET(
  _xlpm.w, BD$11,
  _xlpm.r, MATCH(1,('3. Enter Indicator Scores'!$B$10:$B$161=$B125)*('3. Enter Indicator Scores'!$C$10:$C$161=$C125),0),
  _xlpm.c, MATCH(BD$8,'3. Enter Indicator Scores'!$D$8:$CZ$8,0),
  _xlpm.v, IFERROR(INDEX('3. Enter Indicator Scores'!$D$10:$CZ$161,_xlpm.r,_xlpm.c),""),
  IF(OR(_xlpm.w="",_xlpm.v=""),"",_xlpm.v*_xlpm.w)
)</f>
        <v/>
      </c>
      <c r="BE125" s="93" t="str" cm="1">
        <f t="array" ref="BE125">_xlfn.LET(
  _xlpm.w, BE$11,
  _xlpm.r, MATCH(1,('3. Enter Indicator Scores'!$B$10:$B$161=$B125)*('3. Enter Indicator Scores'!$C$10:$C$161=$C125),0),
  _xlpm.c, MATCH(BE$8,'3. Enter Indicator Scores'!$D$8:$CZ$8,0),
  _xlpm.v, IFERROR(INDEX('3. Enter Indicator Scores'!$D$10:$CZ$161,_xlpm.r,_xlpm.c),""),
  IF(OR(_xlpm.w="",_xlpm.v=""),"",_xlpm.v*_xlpm.w)
)</f>
        <v/>
      </c>
      <c r="BF125" s="93" t="str" cm="1">
        <f t="array" ref="BF125">_xlfn.LET(
  _xlpm.w, BF$11,
  _xlpm.r, MATCH(1,('3. Enter Indicator Scores'!$B$10:$B$161=$B125)*('3. Enter Indicator Scores'!$C$10:$C$161=$C125),0),
  _xlpm.c, MATCH(BF$8,'3. Enter Indicator Scores'!$D$8:$CZ$8,0),
  _xlpm.v, IFERROR(INDEX('3. Enter Indicator Scores'!$D$10:$CZ$161,_xlpm.r,_xlpm.c),""),
  IF(OR(_xlpm.w="",_xlpm.v=""),"",_xlpm.v*_xlpm.w)
)</f>
        <v/>
      </c>
      <c r="BG125" s="93" t="str" cm="1">
        <f t="array" ref="BG125">_xlfn.LET(
  _xlpm.w, BG$11,
  _xlpm.r, MATCH(1,('3. Enter Indicator Scores'!$B$10:$B$161=$B125)*('3. Enter Indicator Scores'!$C$10:$C$161=$C125),0),
  _xlpm.c, MATCH(BG$8,'3. Enter Indicator Scores'!$D$8:$CZ$8,0),
  _xlpm.v, IFERROR(INDEX('3. Enter Indicator Scores'!$D$10:$CZ$161,_xlpm.r,_xlpm.c),""),
  IF(OR(_xlpm.w="",_xlpm.v=""),"",_xlpm.v*_xlpm.w)
)</f>
        <v/>
      </c>
      <c r="BH125" s="93" t="str" cm="1">
        <f t="array" ref="BH125">_xlfn.LET(
  _xlpm.w, BH$11,
  _xlpm.r, MATCH(1,('3. Enter Indicator Scores'!$B$10:$B$161=$B125)*('3. Enter Indicator Scores'!$C$10:$C$161=$C125),0),
  _xlpm.c, MATCH(BH$8,'3. Enter Indicator Scores'!$D$8:$CZ$8,0),
  _xlpm.v, IFERROR(INDEX('3. Enter Indicator Scores'!$D$10:$CZ$161,_xlpm.r,_xlpm.c),""),
  IF(OR(_xlpm.w="",_xlpm.v=""),"",_xlpm.v*_xlpm.w)
)</f>
        <v/>
      </c>
      <c r="BI125" s="93" t="str" cm="1">
        <f t="array" ref="BI125">_xlfn.LET(
  _xlpm.w, BI$11,
  _xlpm.r, MATCH(1,('3. Enter Indicator Scores'!$B$10:$B$161=$B125)*('3. Enter Indicator Scores'!$C$10:$C$161=$C125),0),
  _xlpm.c, MATCH(BI$8,'3. Enter Indicator Scores'!$D$8:$CZ$8,0),
  _xlpm.v, IFERROR(INDEX('3. Enter Indicator Scores'!$D$10:$CZ$161,_xlpm.r,_xlpm.c),""),
  IF(OR(_xlpm.w="",_xlpm.v=""),"",_xlpm.v*_xlpm.w)
)</f>
        <v/>
      </c>
      <c r="BJ125" s="93" t="str" cm="1">
        <f t="array" ref="BJ125">_xlfn.LET(
  _xlpm.w, BJ$11,
  _xlpm.r, MATCH(1,('3. Enter Indicator Scores'!$B$10:$B$161=$B125)*('3. Enter Indicator Scores'!$C$10:$C$161=$C125),0),
  _xlpm.c, MATCH(BJ$8,'3. Enter Indicator Scores'!$D$8:$CZ$8,0),
  _xlpm.v, IFERROR(INDEX('3. Enter Indicator Scores'!$D$10:$CZ$161,_xlpm.r,_xlpm.c),""),
  IF(OR(_xlpm.w="",_xlpm.v=""),"",_xlpm.v*_xlpm.w)
)</f>
        <v/>
      </c>
      <c r="BK125" s="93" t="str" cm="1">
        <f t="array" ref="BK125">_xlfn.LET(
  _xlpm.w, BK$11,
  _xlpm.r, MATCH(1,('3. Enter Indicator Scores'!$B$10:$B$161=$B125)*('3. Enter Indicator Scores'!$C$10:$C$161=$C125),0),
  _xlpm.c, MATCH(BK$8,'3. Enter Indicator Scores'!$D$8:$CZ$8,0),
  _xlpm.v, IFERROR(INDEX('3. Enter Indicator Scores'!$D$10:$CZ$161,_xlpm.r,_xlpm.c),""),
  IF(OR(_xlpm.w="",_xlpm.v=""),"",_xlpm.v*_xlpm.w)
)</f>
        <v/>
      </c>
      <c r="BL125" s="93" t="str" cm="1">
        <f t="array" ref="BL125">_xlfn.LET(
  _xlpm.w, BL$11,
  _xlpm.r, MATCH(1,('3. Enter Indicator Scores'!$B$10:$B$161=$B125)*('3. Enter Indicator Scores'!$C$10:$C$161=$C125),0),
  _xlpm.c, MATCH(BL$8,'3. Enter Indicator Scores'!$D$8:$CZ$8,0),
  _xlpm.v, IFERROR(INDEX('3. Enter Indicator Scores'!$D$10:$CZ$161,_xlpm.r,_xlpm.c),""),
  IF(OR(_xlpm.w="",_xlpm.v=""),"",_xlpm.v*_xlpm.w)
)</f>
        <v/>
      </c>
      <c r="BM125" s="93" t="str" cm="1">
        <f t="array" ref="BM125">_xlfn.LET(
  _xlpm.w, BM$11,
  _xlpm.r, MATCH(1,('3. Enter Indicator Scores'!$B$10:$B$161=$B125)*('3. Enter Indicator Scores'!$C$10:$C$161=$C125),0),
  _xlpm.c, MATCH(BM$8,'3. Enter Indicator Scores'!$D$8:$CZ$8,0),
  _xlpm.v, IFERROR(INDEX('3. Enter Indicator Scores'!$D$10:$CZ$161,_xlpm.r,_xlpm.c),""),
  IF(OR(_xlpm.w="",_xlpm.v=""),"",_xlpm.v*_xlpm.w)
)</f>
        <v/>
      </c>
      <c r="BN125" s="93" t="str" cm="1">
        <f t="array" ref="BN125">_xlfn.LET(
  _xlpm.w, BN$11,
  _xlpm.r, MATCH(1,('3. Enter Indicator Scores'!$B$10:$B$161=$B125)*('3. Enter Indicator Scores'!$C$10:$C$161=$C125),0),
  _xlpm.c, MATCH(BN$8,'3. Enter Indicator Scores'!$D$8:$CZ$8,0),
  _xlpm.v, IFERROR(INDEX('3. Enter Indicator Scores'!$D$10:$CZ$161,_xlpm.r,_xlpm.c),""),
  IF(OR(_xlpm.w="",_xlpm.v=""),"",_xlpm.v*_xlpm.w)
)</f>
        <v/>
      </c>
      <c r="BO125" s="93" t="str" cm="1">
        <f t="array" ref="BO125">_xlfn.LET(
  _xlpm.w, BO$11,
  _xlpm.r, MATCH(1,('3. Enter Indicator Scores'!$B$10:$B$161=$B125)*('3. Enter Indicator Scores'!$C$10:$C$161=$C125),0),
  _xlpm.c, MATCH(BO$8,'3. Enter Indicator Scores'!$D$8:$CZ$8,0),
  _xlpm.v, IFERROR(INDEX('3. Enter Indicator Scores'!$D$10:$CZ$161,_xlpm.r,_xlpm.c),""),
  IF(OR(_xlpm.w="",_xlpm.v=""),"",_xlpm.v*_xlpm.w)
)</f>
        <v/>
      </c>
      <c r="BP125" s="93" t="str" cm="1">
        <f t="array" ref="BP125">_xlfn.LET(
  _xlpm.w, BP$11,
  _xlpm.r, MATCH(1,('3. Enter Indicator Scores'!$B$10:$B$161=$B125)*('3. Enter Indicator Scores'!$C$10:$C$161=$C125),0),
  _xlpm.c, MATCH(BP$8,'3. Enter Indicator Scores'!$D$8:$CZ$8,0),
  _xlpm.v, IFERROR(INDEX('3. Enter Indicator Scores'!$D$10:$CZ$161,_xlpm.r,_xlpm.c),""),
  IF(OR(_xlpm.w="",_xlpm.v=""),"",_xlpm.v*_xlpm.w)
)</f>
        <v/>
      </c>
      <c r="BQ125" s="93" t="str" cm="1">
        <f t="array" ref="BQ125">_xlfn.LET(
  _xlpm.w, BQ$11,
  _xlpm.r, MATCH(1,('3. Enter Indicator Scores'!$B$10:$B$161=$B125)*('3. Enter Indicator Scores'!$C$10:$C$161=$C125),0),
  _xlpm.c, MATCH(BQ$8,'3. Enter Indicator Scores'!$D$8:$CZ$8,0),
  _xlpm.v, IFERROR(INDEX('3. Enter Indicator Scores'!$D$10:$CZ$161,_xlpm.r,_xlpm.c),""),
  IF(OR(_xlpm.w="",_xlpm.v=""),"",_xlpm.v*_xlpm.w)
)</f>
        <v/>
      </c>
      <c r="BR125" s="93" t="str" cm="1">
        <f t="array" ref="BR125">_xlfn.LET(
  _xlpm.w, BR$11,
  _xlpm.r, MATCH(1,('3. Enter Indicator Scores'!$B$10:$B$161=$B125)*('3. Enter Indicator Scores'!$C$10:$C$161=$C125),0),
  _xlpm.c, MATCH(BR$8,'3. Enter Indicator Scores'!$D$8:$CZ$8,0),
  _xlpm.v, IFERROR(INDEX('3. Enter Indicator Scores'!$D$10:$CZ$161,_xlpm.r,_xlpm.c),""),
  IF(OR(_xlpm.w="",_xlpm.v=""),"",_xlpm.v*_xlpm.w)
)</f>
        <v/>
      </c>
      <c r="BS125" s="93" t="str" cm="1">
        <f t="array" ref="BS125">_xlfn.LET(
  _xlpm.w, BS$11,
  _xlpm.r, MATCH(1,('3. Enter Indicator Scores'!$B$10:$B$161=$B125)*('3. Enter Indicator Scores'!$C$10:$C$161=$C125),0),
  _xlpm.c, MATCH(BS$8,'3. Enter Indicator Scores'!$D$8:$CZ$8,0),
  _xlpm.v, IFERROR(INDEX('3. Enter Indicator Scores'!$D$10:$CZ$161,_xlpm.r,_xlpm.c),""),
  IF(OR(_xlpm.w="",_xlpm.v=""),"",_xlpm.v*_xlpm.w)
)</f>
        <v/>
      </c>
      <c r="BT125" s="93" t="str" cm="1">
        <f t="array" ref="BT125">_xlfn.LET(
  _xlpm.w, BT$11,
  _xlpm.r, MATCH(1,('3. Enter Indicator Scores'!$B$10:$B$161=$B125)*('3. Enter Indicator Scores'!$C$10:$C$161=$C125),0),
  _xlpm.c, MATCH(BT$8,'3. Enter Indicator Scores'!$D$8:$CZ$8,0),
  _xlpm.v, IFERROR(INDEX('3. Enter Indicator Scores'!$D$10:$CZ$161,_xlpm.r,_xlpm.c),""),
  IF(OR(_xlpm.w="",_xlpm.v=""),"",_xlpm.v*_xlpm.w)
)</f>
        <v/>
      </c>
      <c r="BU125" s="93" t="str" cm="1">
        <f t="array" ref="BU125">_xlfn.LET(
  _xlpm.w, BU$11,
  _xlpm.r, MATCH(1,('3. Enter Indicator Scores'!$B$10:$B$161=$B125)*('3. Enter Indicator Scores'!$C$10:$C$161=$C125),0),
  _xlpm.c, MATCH(BU$8,'3. Enter Indicator Scores'!$D$8:$CZ$8,0),
  _xlpm.v, IFERROR(INDEX('3. Enter Indicator Scores'!$D$10:$CZ$161,_xlpm.r,_xlpm.c),""),
  IF(OR(_xlpm.w="",_xlpm.v=""),"",_xlpm.v*_xlpm.w)
)</f>
        <v/>
      </c>
      <c r="BV125" s="93" t="str" cm="1">
        <f t="array" ref="BV125">_xlfn.LET(
  _xlpm.w, BV$11,
  _xlpm.r, MATCH(1,('3. Enter Indicator Scores'!$B$10:$B$161=$B125)*('3. Enter Indicator Scores'!$C$10:$C$161=$C125),0),
  _xlpm.c, MATCH(BV$8,'3. Enter Indicator Scores'!$D$8:$CZ$8,0),
  _xlpm.v, IFERROR(INDEX('3. Enter Indicator Scores'!$D$10:$CZ$161,_xlpm.r,_xlpm.c),""),
  IF(OR(_xlpm.w="",_xlpm.v=""),"",_xlpm.v*_xlpm.w)
)</f>
        <v/>
      </c>
      <c r="BW125" s="93" t="str" cm="1">
        <f t="array" ref="BW125">_xlfn.LET(
  _xlpm.w, BW$11,
  _xlpm.r, MATCH(1,('3. Enter Indicator Scores'!$B$10:$B$161=$B125)*('3. Enter Indicator Scores'!$C$10:$C$161=$C125),0),
  _xlpm.c, MATCH(BW$8,'3. Enter Indicator Scores'!$D$8:$CZ$8,0),
  _xlpm.v, IFERROR(INDEX('3. Enter Indicator Scores'!$D$10:$CZ$161,_xlpm.r,_xlpm.c),""),
  IF(OR(_xlpm.w="",_xlpm.v=""),"",_xlpm.v*_xlpm.w)
)</f>
        <v/>
      </c>
      <c r="BX125" s="93" t="str" cm="1">
        <f t="array" ref="BX125">_xlfn.LET(
  _xlpm.w, BX$11,
  _xlpm.r, MATCH(1,('3. Enter Indicator Scores'!$B$10:$B$161=$B125)*('3. Enter Indicator Scores'!$C$10:$C$161=$C125),0),
  _xlpm.c, MATCH(BX$8,'3. Enter Indicator Scores'!$D$8:$CZ$8,0),
  _xlpm.v, IFERROR(INDEX('3. Enter Indicator Scores'!$D$10:$CZ$161,_xlpm.r,_xlpm.c),""),
  IF(OR(_xlpm.w="",_xlpm.v=""),"",_xlpm.v*_xlpm.w)
)</f>
        <v/>
      </c>
      <c r="BY125" s="93" t="str" cm="1">
        <f t="array" ref="BY125">_xlfn.LET(
  _xlpm.w, BY$11,
  _xlpm.r, MATCH(1,('3. Enter Indicator Scores'!$B$10:$B$161=$B125)*('3. Enter Indicator Scores'!$C$10:$C$161=$C125),0),
  _xlpm.c, MATCH(BY$8,'3. Enter Indicator Scores'!$D$8:$CZ$8,0),
  _xlpm.v, IFERROR(INDEX('3. Enter Indicator Scores'!$D$10:$CZ$161,_xlpm.r,_xlpm.c),""),
  IF(OR(_xlpm.w="",_xlpm.v=""),"",_xlpm.v*_xlpm.w)
)</f>
        <v/>
      </c>
      <c r="BZ125" s="93" t="str" cm="1">
        <f t="array" ref="BZ125">_xlfn.LET(
  _xlpm.w, BZ$11,
  _xlpm.r, MATCH(1,('3. Enter Indicator Scores'!$B$10:$B$161=$B125)*('3. Enter Indicator Scores'!$C$10:$C$161=$C125),0),
  _xlpm.c, MATCH(BZ$8,'3. Enter Indicator Scores'!$D$8:$CZ$8,0),
  _xlpm.v, IFERROR(INDEX('3. Enter Indicator Scores'!$D$10:$CZ$161,_xlpm.r,_xlpm.c),""),
  IF(OR(_xlpm.w="",_xlpm.v=""),"",_xlpm.v*_xlpm.w)
)</f>
        <v/>
      </c>
      <c r="CA125" s="93" t="str" cm="1">
        <f t="array" ref="CA125">_xlfn.LET(
  _xlpm.w, CA$11,
  _xlpm.r, MATCH(1,('3. Enter Indicator Scores'!$B$10:$B$161=$B125)*('3. Enter Indicator Scores'!$C$10:$C$161=$C125),0),
  _xlpm.c, MATCH(CA$8,'3. Enter Indicator Scores'!$D$8:$CZ$8,0),
  _xlpm.v, IFERROR(INDEX('3. Enter Indicator Scores'!$D$10:$CZ$161,_xlpm.r,_xlpm.c),""),
  IF(OR(_xlpm.w="",_xlpm.v=""),"",_xlpm.v*_xlpm.w)
)</f>
        <v/>
      </c>
      <c r="CB125" s="93" t="str" cm="1">
        <f t="array" ref="CB125">_xlfn.LET(
  _xlpm.w, CB$11,
  _xlpm.r, MATCH(1,('3. Enter Indicator Scores'!$B$10:$B$161=$B125)*('3. Enter Indicator Scores'!$C$10:$C$161=$C125),0),
  _xlpm.c, MATCH(CB$8,'3. Enter Indicator Scores'!$D$8:$CZ$8,0),
  _xlpm.v, IFERROR(INDEX('3. Enter Indicator Scores'!$D$10:$CZ$161,_xlpm.r,_xlpm.c),""),
  IF(OR(_xlpm.w="",_xlpm.v=""),"",_xlpm.v*_xlpm.w)
)</f>
        <v/>
      </c>
      <c r="CC125" s="93" t="str" cm="1">
        <f t="array" ref="CC125">_xlfn.LET(
  _xlpm.w, CC$11,
  _xlpm.r, MATCH(1,('3. Enter Indicator Scores'!$B$10:$B$161=$B125)*('3. Enter Indicator Scores'!$C$10:$C$161=$C125),0),
  _xlpm.c, MATCH(CC$8,'3. Enter Indicator Scores'!$D$8:$CZ$8,0),
  _xlpm.v, IFERROR(INDEX('3. Enter Indicator Scores'!$D$10:$CZ$161,_xlpm.r,_xlpm.c),""),
  IF(OR(_xlpm.w="",_xlpm.v=""),"",_xlpm.v*_xlpm.w)
)</f>
        <v/>
      </c>
      <c r="CD125" s="93" t="str" cm="1">
        <f t="array" ref="CD125">_xlfn.LET(
  _xlpm.w, CD$11,
  _xlpm.r, MATCH(1,('3. Enter Indicator Scores'!$B$10:$B$161=$B125)*('3. Enter Indicator Scores'!$C$10:$C$161=$C125),0),
  _xlpm.c, MATCH(CD$8,'3. Enter Indicator Scores'!$D$8:$CZ$8,0),
  _xlpm.v, IFERROR(INDEX('3. Enter Indicator Scores'!$D$10:$CZ$161,_xlpm.r,_xlpm.c),""),
  IF(OR(_xlpm.w="",_xlpm.v=""),"",_xlpm.v*_xlpm.w)
)</f>
        <v/>
      </c>
      <c r="CE125" s="93" t="str" cm="1">
        <f t="array" ref="CE125">_xlfn.LET(
  _xlpm.w, CE$11,
  _xlpm.r, MATCH(1,('3. Enter Indicator Scores'!$B$10:$B$161=$B125)*('3. Enter Indicator Scores'!$C$10:$C$161=$C125),0),
  _xlpm.c, MATCH(CE$8,'3. Enter Indicator Scores'!$D$8:$CZ$8,0),
  _xlpm.v, IFERROR(INDEX('3. Enter Indicator Scores'!$D$10:$CZ$161,_xlpm.r,_xlpm.c),""),
  IF(OR(_xlpm.w="",_xlpm.v=""),"",_xlpm.v*_xlpm.w)
)</f>
        <v/>
      </c>
      <c r="CF125" s="93" t="str" cm="1">
        <f t="array" ref="CF125">_xlfn.LET(
  _xlpm.w, CF$11,
  _xlpm.r, MATCH(1,('3. Enter Indicator Scores'!$B$10:$B$161=$B125)*('3. Enter Indicator Scores'!$C$10:$C$161=$C125),0),
  _xlpm.c, MATCH(CF$8,'3. Enter Indicator Scores'!$D$8:$CZ$8,0),
  _xlpm.v, IFERROR(INDEX('3. Enter Indicator Scores'!$D$10:$CZ$161,_xlpm.r,_xlpm.c),""),
  IF(OR(_xlpm.w="",_xlpm.v=""),"",_xlpm.v*_xlpm.w)
)</f>
        <v/>
      </c>
      <c r="CG125" s="93" t="str" cm="1">
        <f t="array" ref="CG125">_xlfn.LET(
  _xlpm.w, CG$11,
  _xlpm.r, MATCH(1,('3. Enter Indicator Scores'!$B$10:$B$161=$B125)*('3. Enter Indicator Scores'!$C$10:$C$161=$C125),0),
  _xlpm.c, MATCH(CG$8,'3. Enter Indicator Scores'!$D$8:$CZ$8,0),
  _xlpm.v, IFERROR(INDEX('3. Enter Indicator Scores'!$D$10:$CZ$161,_xlpm.r,_xlpm.c),""),
  IF(OR(_xlpm.w="",_xlpm.v=""),"",_xlpm.v*_xlpm.w)
)</f>
        <v/>
      </c>
      <c r="CH125" s="93" t="str" cm="1">
        <f t="array" ref="CH125">_xlfn.LET(
  _xlpm.w, CH$11,
  _xlpm.r, MATCH(1,('3. Enter Indicator Scores'!$B$10:$B$161=$B125)*('3. Enter Indicator Scores'!$C$10:$C$161=$C125),0),
  _xlpm.c, MATCH(CH$8,'3. Enter Indicator Scores'!$D$8:$CZ$8,0),
  _xlpm.v, IFERROR(INDEX('3. Enter Indicator Scores'!$D$10:$CZ$161,_xlpm.r,_xlpm.c),""),
  IF(OR(_xlpm.w="",_xlpm.v=""),"",_xlpm.v*_xlpm.w)
)</f>
        <v/>
      </c>
      <c r="CI125" s="93" t="str" cm="1">
        <f t="array" ref="CI125">_xlfn.LET(
  _xlpm.w, CI$11,
  _xlpm.r, MATCH(1,('3. Enter Indicator Scores'!$B$10:$B$161=$B125)*('3. Enter Indicator Scores'!$C$10:$C$161=$C125),0),
  _xlpm.c, MATCH(CI$8,'3. Enter Indicator Scores'!$D$8:$CZ$8,0),
  _xlpm.v, IFERROR(INDEX('3. Enter Indicator Scores'!$D$10:$CZ$161,_xlpm.r,_xlpm.c),""),
  IF(OR(_xlpm.w="",_xlpm.v=""),"",_xlpm.v*_xlpm.w)
)</f>
        <v/>
      </c>
      <c r="CJ125" s="93" t="str" cm="1">
        <f t="array" ref="CJ125">_xlfn.LET(
  _xlpm.w, CJ$11,
  _xlpm.r, MATCH(1,('3. Enter Indicator Scores'!$B$10:$B$161=$B125)*('3. Enter Indicator Scores'!$C$10:$C$161=$C125),0),
  _xlpm.c, MATCH(CJ$8,'3. Enter Indicator Scores'!$D$8:$CZ$8,0),
  _xlpm.v, IFERROR(INDEX('3. Enter Indicator Scores'!$D$10:$CZ$161,_xlpm.r,_xlpm.c),""),
  IF(OR(_xlpm.w="",_xlpm.v=""),"",_xlpm.v*_xlpm.w)
)</f>
        <v/>
      </c>
      <c r="CK125" s="93" t="str" cm="1">
        <f t="array" ref="CK125">_xlfn.LET(
  _xlpm.w, CK$11,
  _xlpm.r, MATCH(1,('3. Enter Indicator Scores'!$B$10:$B$161=$B125)*('3. Enter Indicator Scores'!$C$10:$C$161=$C125),0),
  _xlpm.c, MATCH(CK$8,'3. Enter Indicator Scores'!$D$8:$CZ$8,0),
  _xlpm.v, IFERROR(INDEX('3. Enter Indicator Scores'!$D$10:$CZ$161,_xlpm.r,_xlpm.c),""),
  IF(OR(_xlpm.w="",_xlpm.v=""),"",_xlpm.v*_xlpm.w)
)</f>
        <v/>
      </c>
      <c r="CL125" s="93" t="str" cm="1">
        <f t="array" ref="CL125">_xlfn.LET(
  _xlpm.w, CL$11,
  _xlpm.r, MATCH(1,('3. Enter Indicator Scores'!$B$10:$B$161=$B125)*('3. Enter Indicator Scores'!$C$10:$C$161=$C125),0),
  _xlpm.c, MATCH(CL$8,'3. Enter Indicator Scores'!$D$8:$CZ$8,0),
  _xlpm.v, IFERROR(INDEX('3. Enter Indicator Scores'!$D$10:$CZ$161,_xlpm.r,_xlpm.c),""),
  IF(OR(_xlpm.w="",_xlpm.v=""),"",_xlpm.v*_xlpm.w)
)</f>
        <v/>
      </c>
      <c r="CM125" s="93" t="str" cm="1">
        <f t="array" ref="CM125">_xlfn.LET(
  _xlpm.w, CM$11,
  _xlpm.r, MATCH(1,('3. Enter Indicator Scores'!$B$10:$B$161=$B125)*('3. Enter Indicator Scores'!$C$10:$C$161=$C125),0),
  _xlpm.c, MATCH(CM$8,'3. Enter Indicator Scores'!$D$8:$CZ$8,0),
  _xlpm.v, IFERROR(INDEX('3. Enter Indicator Scores'!$D$10:$CZ$161,_xlpm.r,_xlpm.c),""),
  IF(OR(_xlpm.w="",_xlpm.v=""),"",_xlpm.v*_xlpm.w)
)</f>
        <v/>
      </c>
      <c r="CN125" s="93" t="str" cm="1">
        <f t="array" ref="CN125">_xlfn.LET(
  _xlpm.w, CN$11,
  _xlpm.r, MATCH(1,('3. Enter Indicator Scores'!$B$10:$B$161=$B125)*('3. Enter Indicator Scores'!$C$10:$C$161=$C125),0),
  _xlpm.c, MATCH(CN$8,'3. Enter Indicator Scores'!$D$8:$CZ$8,0),
  _xlpm.v, IFERROR(INDEX('3. Enter Indicator Scores'!$D$10:$CZ$161,_xlpm.r,_xlpm.c),""),
  IF(OR(_xlpm.w="",_xlpm.v=""),"",_xlpm.v*_xlpm.w)
)</f>
        <v/>
      </c>
      <c r="CO125" s="93" t="str" cm="1">
        <f t="array" ref="CO125">_xlfn.LET(
  _xlpm.w, CO$11,
  _xlpm.r, MATCH(1,('3. Enter Indicator Scores'!$B$10:$B$161=$B125)*('3. Enter Indicator Scores'!$C$10:$C$161=$C125),0),
  _xlpm.c, MATCH(CO$8,'3. Enter Indicator Scores'!$D$8:$CZ$8,0),
  _xlpm.v, IFERROR(INDEX('3. Enter Indicator Scores'!$D$10:$CZ$161,_xlpm.r,_xlpm.c),""),
  IF(OR(_xlpm.w="",_xlpm.v=""),"",_xlpm.v*_xlpm.w)
)</f>
        <v/>
      </c>
      <c r="CP125" s="93" t="str" cm="1">
        <f t="array" ref="CP125">_xlfn.LET(
  _xlpm.w, CP$11,
  _xlpm.r, MATCH(1,('3. Enter Indicator Scores'!$B$10:$B$161=$B125)*('3. Enter Indicator Scores'!$C$10:$C$161=$C125),0),
  _xlpm.c, MATCH(CP$8,'3. Enter Indicator Scores'!$D$8:$CZ$8,0),
  _xlpm.v, IFERROR(INDEX('3. Enter Indicator Scores'!$D$10:$CZ$161,_xlpm.r,_xlpm.c),""),
  IF(OR(_xlpm.w="",_xlpm.v=""),"",_xlpm.v*_xlpm.w)
)</f>
        <v/>
      </c>
      <c r="CQ125" s="93" t="str" cm="1">
        <f t="array" ref="CQ125">_xlfn.LET(
  _xlpm.w, CQ$11,
  _xlpm.r, MATCH(1,('3. Enter Indicator Scores'!$B$10:$B$161=$B125)*('3. Enter Indicator Scores'!$C$10:$C$161=$C125),0),
  _xlpm.c, MATCH(CQ$8,'3. Enter Indicator Scores'!$D$8:$CZ$8,0),
  _xlpm.v, IFERROR(INDEX('3. Enter Indicator Scores'!$D$10:$CZ$161,_xlpm.r,_xlpm.c),""),
  IF(OR(_xlpm.w="",_xlpm.v=""),"",_xlpm.v*_xlpm.w)
)</f>
        <v/>
      </c>
      <c r="CR125" s="93" t="str" cm="1">
        <f t="array" ref="CR125">_xlfn.LET(
  _xlpm.w, CR$11,
  _xlpm.r, MATCH(1,('3. Enter Indicator Scores'!$B$10:$B$161=$B125)*('3. Enter Indicator Scores'!$C$10:$C$161=$C125),0),
  _xlpm.c, MATCH(CR$8,'3. Enter Indicator Scores'!$D$8:$CZ$8,0),
  _xlpm.v, IFERROR(INDEX('3. Enter Indicator Scores'!$D$10:$CZ$161,_xlpm.r,_xlpm.c),""),
  IF(OR(_xlpm.w="",_xlpm.v=""),"",_xlpm.v*_xlpm.w)
)</f>
        <v/>
      </c>
      <c r="CS125" s="93" t="str" cm="1">
        <f t="array" ref="CS125">_xlfn.LET(
  _xlpm.w, CS$11,
  _xlpm.r, MATCH(1,('3. Enter Indicator Scores'!$B$10:$B$161=$B125)*('3. Enter Indicator Scores'!$C$10:$C$161=$C125),0),
  _xlpm.c, MATCH(CS$8,'3. Enter Indicator Scores'!$D$8:$CZ$8,0),
  _xlpm.v, IFERROR(INDEX('3. Enter Indicator Scores'!$D$10:$CZ$161,_xlpm.r,_xlpm.c),""),
  IF(OR(_xlpm.w="",_xlpm.v=""),"",_xlpm.v*_xlpm.w)
)</f>
        <v/>
      </c>
      <c r="CT125" s="93" t="str" cm="1">
        <f t="array" ref="CT125">_xlfn.LET(
  _xlpm.w, CT$11,
  _xlpm.r, MATCH(1,('3. Enter Indicator Scores'!$B$10:$B$161=$B125)*('3. Enter Indicator Scores'!$C$10:$C$161=$C125),0),
  _xlpm.c, MATCH(CT$8,'3. Enter Indicator Scores'!$D$8:$CZ$8,0),
  _xlpm.v, IFERROR(INDEX('3. Enter Indicator Scores'!$D$10:$CZ$161,_xlpm.r,_xlpm.c),""),
  IF(OR(_xlpm.w="",_xlpm.v=""),"",_xlpm.v*_xlpm.w)
)</f>
        <v/>
      </c>
      <c r="CU125" s="93" t="str" cm="1">
        <f t="array" ref="CU125">_xlfn.LET(
  _xlpm.w, CU$11,
  _xlpm.r, MATCH(1,('3. Enter Indicator Scores'!$B$10:$B$161=$B125)*('3. Enter Indicator Scores'!$C$10:$C$161=$C125),0),
  _xlpm.c, MATCH(CU$8,'3. Enter Indicator Scores'!$D$8:$CZ$8,0),
  _xlpm.v, IFERROR(INDEX('3. Enter Indicator Scores'!$D$10:$CZ$161,_xlpm.r,_xlpm.c),""),
  IF(OR(_xlpm.w="",_xlpm.v=""),"",_xlpm.v*_xlpm.w)
)</f>
        <v/>
      </c>
      <c r="CV125" s="93" t="str" cm="1">
        <f t="array" ref="CV125">_xlfn.LET(
  _xlpm.w, CV$11,
  _xlpm.r, MATCH(1,('3. Enter Indicator Scores'!$B$10:$B$161=$B125)*('3. Enter Indicator Scores'!$C$10:$C$161=$C125),0),
  _xlpm.c, MATCH(CV$8,'3. Enter Indicator Scores'!$D$8:$CZ$8,0),
  _xlpm.v, IFERROR(INDEX('3. Enter Indicator Scores'!$D$10:$CZ$161,_xlpm.r,_xlpm.c),""),
  IF(OR(_xlpm.w="",_xlpm.v=""),"",_xlpm.v*_xlpm.w)
)</f>
        <v/>
      </c>
      <c r="CW125" s="93" t="str" cm="1">
        <f t="array" ref="CW125">_xlfn.LET(
  _xlpm.w, CW$11,
  _xlpm.r, MATCH(1,('3. Enter Indicator Scores'!$B$10:$B$161=$B125)*('3. Enter Indicator Scores'!$C$10:$C$161=$C125),0),
  _xlpm.c, MATCH(CW$8,'3. Enter Indicator Scores'!$D$8:$CZ$8,0),
  _xlpm.v, IFERROR(INDEX('3. Enter Indicator Scores'!$D$10:$CZ$161,_xlpm.r,_xlpm.c),""),
  IF(OR(_xlpm.w="",_xlpm.v=""),"",_xlpm.v*_xlpm.w)
)</f>
        <v/>
      </c>
      <c r="CX125" s="93" t="str" cm="1">
        <f t="array" ref="CX125">_xlfn.LET(
  _xlpm.w, CX$11,
  _xlpm.r, MATCH(1,('3. Enter Indicator Scores'!$B$10:$B$161=$B125)*('3. Enter Indicator Scores'!$C$10:$C$161=$C125),0),
  _xlpm.c, MATCH(CX$8,'3. Enter Indicator Scores'!$D$8:$CZ$8,0),
  _xlpm.v, IFERROR(INDEX('3. Enter Indicator Scores'!$D$10:$CZ$161,_xlpm.r,_xlpm.c),""),
  IF(OR(_xlpm.w="",_xlpm.v=""),"",_xlpm.v*_xlpm.w)
)</f>
        <v/>
      </c>
      <c r="CY125" s="93" t="str" cm="1">
        <f t="array" ref="CY125">_xlfn.LET(
  _xlpm.w, CY$11,
  _xlpm.r, MATCH(1,('3. Enter Indicator Scores'!$B$10:$B$161=$B125)*('3. Enter Indicator Scores'!$C$10:$C$161=$C125),0),
  _xlpm.c, MATCH(CY$8,'3. Enter Indicator Scores'!$D$8:$CZ$8,0),
  _xlpm.v, IFERROR(INDEX('3. Enter Indicator Scores'!$D$10:$CZ$161,_xlpm.r,_xlpm.c),""),
  IF(OR(_xlpm.w="",_xlpm.v=""),"",_xlpm.v*_xlpm.w)
)</f>
        <v/>
      </c>
      <c r="CZ125" s="93" t="str" cm="1">
        <f t="array" ref="CZ125">_xlfn.LET(
  _xlpm.w, CZ$11,
  _xlpm.r, MATCH(1,('3. Enter Indicator Scores'!$B$10:$B$161=$B125)*('3. Enter Indicator Scores'!$C$10:$C$161=$C125),0),
  _xlpm.c, MATCH(CZ$8,'3. Enter Indicator Scores'!$D$8:$CZ$8,0),
  _xlpm.v, IFERROR(INDEX('3. Enter Indicator Scores'!$D$10:$CZ$161,_xlpm.r,_xlpm.c),""),
  IF(OR(_xlpm.w="",_xlpm.v=""),"",_xlpm.v*_xlpm.w)
)</f>
        <v/>
      </c>
    </row>
    <row r="126" spans="4:104" x14ac:dyDescent="0.2">
      <c r="D126" s="93" t="str" cm="1">
        <f t="array" ref="D126">_xlfn.LET(
  _xlpm.w, D$11,
  _xlpm.r, MATCH(1,('3. Enter Indicator Scores'!$B$10:$B$161=$B126)*('3. Enter Indicator Scores'!$C$10:$C$161=$C126),0),
  _xlpm.c, MATCH(D$8,'3. Enter Indicator Scores'!$D$8:$CZ$8,0),
  _xlpm.v, IFERROR(INDEX('3. Enter Indicator Scores'!$D$10:$CZ$161,_xlpm.r,_xlpm.c),""),
  IF(OR(_xlpm.w="",_xlpm.v=""),"",_xlpm.v*_xlpm.w)
)</f>
        <v/>
      </c>
      <c r="E126" s="93" t="str" cm="1">
        <f t="array" ref="E126">_xlfn.LET(
  _xlpm.w, E$11,
  _xlpm.r, MATCH(1,('3. Enter Indicator Scores'!$B$10:$B$161=$B126)*('3. Enter Indicator Scores'!$C$10:$C$161=$C126),0),
  _xlpm.c, MATCH(E$8,'3. Enter Indicator Scores'!$D$8:$CZ$8,0),
  _xlpm.v, IFERROR(INDEX('3. Enter Indicator Scores'!$D$10:$CZ$161,_xlpm.r,_xlpm.c),""),
  IF(OR(_xlpm.w="",_xlpm.v=""),"",_xlpm.v*_xlpm.w)
)</f>
        <v/>
      </c>
      <c r="F126" s="93" t="str" cm="1">
        <f t="array" ref="F126">_xlfn.LET(
  _xlpm.w, F$11,
  _xlpm.r, MATCH(1,('3. Enter Indicator Scores'!$B$10:$B$161=$B126)*('3. Enter Indicator Scores'!$C$10:$C$161=$C126),0),
  _xlpm.c, MATCH(F$8,'3. Enter Indicator Scores'!$D$8:$CZ$8,0),
  _xlpm.v, IFERROR(INDEX('3. Enter Indicator Scores'!$D$10:$CZ$161,_xlpm.r,_xlpm.c),""),
  IF(OR(_xlpm.w="",_xlpm.v=""),"",_xlpm.v*_xlpm.w)
)</f>
        <v/>
      </c>
      <c r="G126" s="93" t="str" cm="1">
        <f t="array" ref="G126">_xlfn.LET(
  _xlpm.w, G$11,
  _xlpm.r, MATCH(1,('3. Enter Indicator Scores'!$B$10:$B$161=$B126)*('3. Enter Indicator Scores'!$C$10:$C$161=$C126),0),
  _xlpm.c, MATCH(G$8,'3. Enter Indicator Scores'!$D$8:$CZ$8,0),
  _xlpm.v, IFERROR(INDEX('3. Enter Indicator Scores'!$D$10:$CZ$161,_xlpm.r,_xlpm.c),""),
  IF(OR(_xlpm.w="",_xlpm.v=""),"",_xlpm.v*_xlpm.w)
)</f>
        <v/>
      </c>
      <c r="H126" s="93" t="str" cm="1">
        <f t="array" ref="H126">_xlfn.LET(
  _xlpm.w, H$11,
  _xlpm.r, MATCH(1,('3. Enter Indicator Scores'!$B$10:$B$161=$B126)*('3. Enter Indicator Scores'!$C$10:$C$161=$C126),0),
  _xlpm.c, MATCH(H$8,'3. Enter Indicator Scores'!$D$8:$CZ$8,0),
  _xlpm.v, IFERROR(INDEX('3. Enter Indicator Scores'!$D$10:$CZ$161,_xlpm.r,_xlpm.c),""),
  IF(OR(_xlpm.w="",_xlpm.v=""),"",_xlpm.v*_xlpm.w)
)</f>
        <v/>
      </c>
      <c r="I126" s="93" t="str" cm="1">
        <f t="array" ref="I126">_xlfn.LET(
  _xlpm.w, I$11,
  _xlpm.r, MATCH(1,('3. Enter Indicator Scores'!$B$10:$B$161=$B126)*('3. Enter Indicator Scores'!$C$10:$C$161=$C126),0),
  _xlpm.c, MATCH(I$8,'3. Enter Indicator Scores'!$D$8:$CZ$8,0),
  _xlpm.v, IFERROR(INDEX('3. Enter Indicator Scores'!$D$10:$CZ$161,_xlpm.r,_xlpm.c),""),
  IF(OR(_xlpm.w="",_xlpm.v=""),"",_xlpm.v*_xlpm.w)
)</f>
        <v/>
      </c>
      <c r="J126" s="93" t="str" cm="1">
        <f t="array" ref="J126">_xlfn.LET(
  _xlpm.w, J$11,
  _xlpm.r, MATCH(1,('3. Enter Indicator Scores'!$B$10:$B$161=$B126)*('3. Enter Indicator Scores'!$C$10:$C$161=$C126),0),
  _xlpm.c, MATCH(J$8,'3. Enter Indicator Scores'!$D$8:$CZ$8,0),
  _xlpm.v, IFERROR(INDEX('3. Enter Indicator Scores'!$D$10:$CZ$161,_xlpm.r,_xlpm.c),""),
  IF(OR(_xlpm.w="",_xlpm.v=""),"",_xlpm.v*_xlpm.w)
)</f>
        <v/>
      </c>
      <c r="K126" s="93" t="str" cm="1">
        <f t="array" ref="K126">_xlfn.LET(
  _xlpm.w, K$11,
  _xlpm.r, MATCH(1,('3. Enter Indicator Scores'!$B$10:$B$161=$B126)*('3. Enter Indicator Scores'!$C$10:$C$161=$C126),0),
  _xlpm.c, MATCH(K$8,'3. Enter Indicator Scores'!$D$8:$CZ$8,0),
  _xlpm.v, IFERROR(INDEX('3. Enter Indicator Scores'!$D$10:$CZ$161,_xlpm.r,_xlpm.c),""),
  IF(OR(_xlpm.w="",_xlpm.v=""),"",_xlpm.v*_xlpm.w)
)</f>
        <v/>
      </c>
      <c r="L126" s="93" t="str" cm="1">
        <f t="array" ref="L126">_xlfn.LET(
  _xlpm.w, L$11,
  _xlpm.r, MATCH(1,('3. Enter Indicator Scores'!$B$10:$B$161=$B126)*('3. Enter Indicator Scores'!$C$10:$C$161=$C126),0),
  _xlpm.c, MATCH(L$8,'3. Enter Indicator Scores'!$D$8:$CZ$8,0),
  _xlpm.v, IFERROR(INDEX('3. Enter Indicator Scores'!$D$10:$CZ$161,_xlpm.r,_xlpm.c),""),
  IF(OR(_xlpm.w="",_xlpm.v=""),"",_xlpm.v*_xlpm.w)
)</f>
        <v/>
      </c>
      <c r="M126" s="93" t="str" cm="1">
        <f t="array" ref="M126">_xlfn.LET(
  _xlpm.w, M$11,
  _xlpm.r, MATCH(1,('3. Enter Indicator Scores'!$B$10:$B$161=$B126)*('3. Enter Indicator Scores'!$C$10:$C$161=$C126),0),
  _xlpm.c, MATCH(M$8,'3. Enter Indicator Scores'!$D$8:$CZ$8,0),
  _xlpm.v, IFERROR(INDEX('3. Enter Indicator Scores'!$D$10:$CZ$161,_xlpm.r,_xlpm.c),""),
  IF(OR(_xlpm.w="",_xlpm.v=""),"",_xlpm.v*_xlpm.w)
)</f>
        <v/>
      </c>
      <c r="N126" s="93" t="str" cm="1">
        <f t="array" ref="N126">_xlfn.LET(
  _xlpm.w, N$11,
  _xlpm.r, MATCH(1,('3. Enter Indicator Scores'!$B$10:$B$161=$B126)*('3. Enter Indicator Scores'!$C$10:$C$161=$C126),0),
  _xlpm.c, MATCH(N$8,'3. Enter Indicator Scores'!$D$8:$CZ$8,0),
  _xlpm.v, IFERROR(INDEX('3. Enter Indicator Scores'!$D$10:$CZ$161,_xlpm.r,_xlpm.c),""),
  IF(OR(_xlpm.w="",_xlpm.v=""),"",_xlpm.v*_xlpm.w)
)</f>
        <v/>
      </c>
      <c r="O126" s="93" t="str" cm="1">
        <f t="array" ref="O126">_xlfn.LET(
  _xlpm.w, O$11,
  _xlpm.r, MATCH(1,('3. Enter Indicator Scores'!$B$10:$B$161=$B126)*('3. Enter Indicator Scores'!$C$10:$C$161=$C126),0),
  _xlpm.c, MATCH(O$8,'3. Enter Indicator Scores'!$D$8:$CZ$8,0),
  _xlpm.v, IFERROR(INDEX('3. Enter Indicator Scores'!$D$10:$CZ$161,_xlpm.r,_xlpm.c),""),
  IF(OR(_xlpm.w="",_xlpm.v=""),"",_xlpm.v*_xlpm.w)
)</f>
        <v/>
      </c>
      <c r="P126" s="93" t="str" cm="1">
        <f t="array" ref="P126">_xlfn.LET(
  _xlpm.w, P$11,
  _xlpm.r, MATCH(1,('3. Enter Indicator Scores'!$B$10:$B$161=$B126)*('3. Enter Indicator Scores'!$C$10:$C$161=$C126),0),
  _xlpm.c, MATCH(P$8,'3. Enter Indicator Scores'!$D$8:$CZ$8,0),
  _xlpm.v, IFERROR(INDEX('3. Enter Indicator Scores'!$D$10:$CZ$161,_xlpm.r,_xlpm.c),""),
  IF(OR(_xlpm.w="",_xlpm.v=""),"",_xlpm.v*_xlpm.w)
)</f>
        <v/>
      </c>
      <c r="Q126" s="93" t="str" cm="1">
        <f t="array" ref="Q126">_xlfn.LET(
  _xlpm.w, Q$11,
  _xlpm.r, MATCH(1,('3. Enter Indicator Scores'!$B$10:$B$161=$B126)*('3. Enter Indicator Scores'!$C$10:$C$161=$C126),0),
  _xlpm.c, MATCH(Q$8,'3. Enter Indicator Scores'!$D$8:$CZ$8,0),
  _xlpm.v, IFERROR(INDEX('3. Enter Indicator Scores'!$D$10:$CZ$161,_xlpm.r,_xlpm.c),""),
  IF(OR(_xlpm.w="",_xlpm.v=""),"",_xlpm.v*_xlpm.w)
)</f>
        <v/>
      </c>
      <c r="R126" s="93" t="str" cm="1">
        <f t="array" ref="R126">_xlfn.LET(
  _xlpm.w, R$11,
  _xlpm.r, MATCH(1,('3. Enter Indicator Scores'!$B$10:$B$161=$B126)*('3. Enter Indicator Scores'!$C$10:$C$161=$C126),0),
  _xlpm.c, MATCH(R$8,'3. Enter Indicator Scores'!$D$8:$CZ$8,0),
  _xlpm.v, IFERROR(INDEX('3. Enter Indicator Scores'!$D$10:$CZ$161,_xlpm.r,_xlpm.c),""),
  IF(OR(_xlpm.w="",_xlpm.v=""),"",_xlpm.v*_xlpm.w)
)</f>
        <v/>
      </c>
      <c r="S126" s="93" t="str" cm="1">
        <f t="array" ref="S126">_xlfn.LET(
  _xlpm.w, S$11,
  _xlpm.r, MATCH(1,('3. Enter Indicator Scores'!$B$10:$B$161=$B126)*('3. Enter Indicator Scores'!$C$10:$C$161=$C126),0),
  _xlpm.c, MATCH(S$8,'3. Enter Indicator Scores'!$D$8:$CZ$8,0),
  _xlpm.v, IFERROR(INDEX('3. Enter Indicator Scores'!$D$10:$CZ$161,_xlpm.r,_xlpm.c),""),
  IF(OR(_xlpm.w="",_xlpm.v=""),"",_xlpm.v*_xlpm.w)
)</f>
        <v/>
      </c>
      <c r="T126" s="93" t="str" cm="1">
        <f t="array" ref="T126">_xlfn.LET(
  _xlpm.w, T$11,
  _xlpm.r, MATCH(1,('3. Enter Indicator Scores'!$B$10:$B$161=$B126)*('3. Enter Indicator Scores'!$C$10:$C$161=$C126),0),
  _xlpm.c, MATCH(T$8,'3. Enter Indicator Scores'!$D$8:$CZ$8,0),
  _xlpm.v, IFERROR(INDEX('3. Enter Indicator Scores'!$D$10:$CZ$161,_xlpm.r,_xlpm.c),""),
  IF(OR(_xlpm.w="",_xlpm.v=""),"",_xlpm.v*_xlpm.w)
)</f>
        <v/>
      </c>
      <c r="U126" s="93" t="str" cm="1">
        <f t="array" ref="U126">_xlfn.LET(
  _xlpm.w, U$11,
  _xlpm.r, MATCH(1,('3. Enter Indicator Scores'!$B$10:$B$161=$B126)*('3. Enter Indicator Scores'!$C$10:$C$161=$C126),0),
  _xlpm.c, MATCH(U$8,'3. Enter Indicator Scores'!$D$8:$CZ$8,0),
  _xlpm.v, IFERROR(INDEX('3. Enter Indicator Scores'!$D$10:$CZ$161,_xlpm.r,_xlpm.c),""),
  IF(OR(_xlpm.w="",_xlpm.v=""),"",_xlpm.v*_xlpm.w)
)</f>
        <v/>
      </c>
      <c r="V126" s="93" t="str" cm="1">
        <f t="array" ref="V126">_xlfn.LET(
  _xlpm.w, V$11,
  _xlpm.r, MATCH(1,('3. Enter Indicator Scores'!$B$10:$B$161=$B126)*('3. Enter Indicator Scores'!$C$10:$C$161=$C126),0),
  _xlpm.c, MATCH(V$8,'3. Enter Indicator Scores'!$D$8:$CZ$8,0),
  _xlpm.v, IFERROR(INDEX('3. Enter Indicator Scores'!$D$10:$CZ$161,_xlpm.r,_xlpm.c),""),
  IF(OR(_xlpm.w="",_xlpm.v=""),"",_xlpm.v*_xlpm.w)
)</f>
        <v/>
      </c>
      <c r="W126" s="93" t="str" cm="1">
        <f t="array" ref="W126">_xlfn.LET(
  _xlpm.w, W$11,
  _xlpm.r, MATCH(1,('3. Enter Indicator Scores'!$B$10:$B$161=$B126)*('3. Enter Indicator Scores'!$C$10:$C$161=$C126),0),
  _xlpm.c, MATCH(W$8,'3. Enter Indicator Scores'!$D$8:$CZ$8,0),
  _xlpm.v, IFERROR(INDEX('3. Enter Indicator Scores'!$D$10:$CZ$161,_xlpm.r,_xlpm.c),""),
  IF(OR(_xlpm.w="",_xlpm.v=""),"",_xlpm.v*_xlpm.w)
)</f>
        <v/>
      </c>
      <c r="X126" s="93" t="str" cm="1">
        <f t="array" ref="X126">_xlfn.LET(
  _xlpm.w, X$11,
  _xlpm.r, MATCH(1,('3. Enter Indicator Scores'!$B$10:$B$161=$B126)*('3. Enter Indicator Scores'!$C$10:$C$161=$C126),0),
  _xlpm.c, MATCH(X$8,'3. Enter Indicator Scores'!$D$8:$CZ$8,0),
  _xlpm.v, IFERROR(INDEX('3. Enter Indicator Scores'!$D$10:$CZ$161,_xlpm.r,_xlpm.c),""),
  IF(OR(_xlpm.w="",_xlpm.v=""),"",_xlpm.v*_xlpm.w)
)</f>
        <v/>
      </c>
      <c r="Y126" s="93" t="str" cm="1">
        <f t="array" ref="Y126">_xlfn.LET(
  _xlpm.w, Y$11,
  _xlpm.r, MATCH(1,('3. Enter Indicator Scores'!$B$10:$B$161=$B126)*('3. Enter Indicator Scores'!$C$10:$C$161=$C126),0),
  _xlpm.c, MATCH(Y$8,'3. Enter Indicator Scores'!$D$8:$CZ$8,0),
  _xlpm.v, IFERROR(INDEX('3. Enter Indicator Scores'!$D$10:$CZ$161,_xlpm.r,_xlpm.c),""),
  IF(OR(_xlpm.w="",_xlpm.v=""),"",_xlpm.v*_xlpm.w)
)</f>
        <v/>
      </c>
      <c r="Z126" s="93" t="str" cm="1">
        <f t="array" ref="Z126">_xlfn.LET(
  _xlpm.w, Z$11,
  _xlpm.r, MATCH(1,('3. Enter Indicator Scores'!$B$10:$B$161=$B126)*('3. Enter Indicator Scores'!$C$10:$C$161=$C126),0),
  _xlpm.c, MATCH(Z$8,'3. Enter Indicator Scores'!$D$8:$CZ$8,0),
  _xlpm.v, IFERROR(INDEX('3. Enter Indicator Scores'!$D$10:$CZ$161,_xlpm.r,_xlpm.c),""),
  IF(OR(_xlpm.w="",_xlpm.v=""),"",_xlpm.v*_xlpm.w)
)</f>
        <v/>
      </c>
      <c r="AA126" s="93" t="str" cm="1">
        <f t="array" ref="AA126">_xlfn.LET(
  _xlpm.w, AA$11,
  _xlpm.r, MATCH(1,('3. Enter Indicator Scores'!$B$10:$B$161=$B126)*('3. Enter Indicator Scores'!$C$10:$C$161=$C126),0),
  _xlpm.c, MATCH(AA$8,'3. Enter Indicator Scores'!$D$8:$CZ$8,0),
  _xlpm.v, IFERROR(INDEX('3. Enter Indicator Scores'!$D$10:$CZ$161,_xlpm.r,_xlpm.c),""),
  IF(OR(_xlpm.w="",_xlpm.v=""),"",_xlpm.v*_xlpm.w)
)</f>
        <v/>
      </c>
      <c r="AB126" s="93" t="str" cm="1">
        <f t="array" ref="AB126">_xlfn.LET(
  _xlpm.w, AB$11,
  _xlpm.r, MATCH(1,('3. Enter Indicator Scores'!$B$10:$B$161=$B126)*('3. Enter Indicator Scores'!$C$10:$C$161=$C126),0),
  _xlpm.c, MATCH(AB$8,'3. Enter Indicator Scores'!$D$8:$CZ$8,0),
  _xlpm.v, IFERROR(INDEX('3. Enter Indicator Scores'!$D$10:$CZ$161,_xlpm.r,_xlpm.c),""),
  IF(OR(_xlpm.w="",_xlpm.v=""),"",_xlpm.v*_xlpm.w)
)</f>
        <v/>
      </c>
      <c r="AC126" s="93" t="str" cm="1">
        <f t="array" ref="AC126">_xlfn.LET(
  _xlpm.w, AC$11,
  _xlpm.r, MATCH(1,('3. Enter Indicator Scores'!$B$10:$B$161=$B126)*('3. Enter Indicator Scores'!$C$10:$C$161=$C126),0),
  _xlpm.c, MATCH(AC$8,'3. Enter Indicator Scores'!$D$8:$CZ$8,0),
  _xlpm.v, IFERROR(INDEX('3. Enter Indicator Scores'!$D$10:$CZ$161,_xlpm.r,_xlpm.c),""),
  IF(OR(_xlpm.w="",_xlpm.v=""),"",_xlpm.v*_xlpm.w)
)</f>
        <v/>
      </c>
      <c r="AD126" s="93" t="str" cm="1">
        <f t="array" ref="AD126">_xlfn.LET(
  _xlpm.w, AD$11,
  _xlpm.r, MATCH(1,('3. Enter Indicator Scores'!$B$10:$B$161=$B126)*('3. Enter Indicator Scores'!$C$10:$C$161=$C126),0),
  _xlpm.c, MATCH(AD$8,'3. Enter Indicator Scores'!$D$8:$CZ$8,0),
  _xlpm.v, IFERROR(INDEX('3. Enter Indicator Scores'!$D$10:$CZ$161,_xlpm.r,_xlpm.c),""),
  IF(OR(_xlpm.w="",_xlpm.v=""),"",_xlpm.v*_xlpm.w)
)</f>
        <v/>
      </c>
      <c r="AE126" s="93" t="str" cm="1">
        <f t="array" ref="AE126">_xlfn.LET(
  _xlpm.w, AE$11,
  _xlpm.r, MATCH(1,('3. Enter Indicator Scores'!$B$10:$B$161=$B126)*('3. Enter Indicator Scores'!$C$10:$C$161=$C126),0),
  _xlpm.c, MATCH(AE$8,'3. Enter Indicator Scores'!$D$8:$CZ$8,0),
  _xlpm.v, IFERROR(INDEX('3. Enter Indicator Scores'!$D$10:$CZ$161,_xlpm.r,_xlpm.c),""),
  IF(OR(_xlpm.w="",_xlpm.v=""),"",_xlpm.v*_xlpm.w)
)</f>
        <v/>
      </c>
      <c r="AF126" s="93" t="str" cm="1">
        <f t="array" ref="AF126">_xlfn.LET(
  _xlpm.w, AF$11,
  _xlpm.r, MATCH(1,('3. Enter Indicator Scores'!$B$10:$B$161=$B126)*('3. Enter Indicator Scores'!$C$10:$C$161=$C126),0),
  _xlpm.c, MATCH(AF$8,'3. Enter Indicator Scores'!$D$8:$CZ$8,0),
  _xlpm.v, IFERROR(INDEX('3. Enter Indicator Scores'!$D$10:$CZ$161,_xlpm.r,_xlpm.c),""),
  IF(OR(_xlpm.w="",_xlpm.v=""),"",_xlpm.v*_xlpm.w)
)</f>
        <v/>
      </c>
      <c r="AG126" s="93" t="str" cm="1">
        <f t="array" ref="AG126">_xlfn.LET(
  _xlpm.w, AG$11,
  _xlpm.r, MATCH(1,('3. Enter Indicator Scores'!$B$10:$B$161=$B126)*('3. Enter Indicator Scores'!$C$10:$C$161=$C126),0),
  _xlpm.c, MATCH(AG$8,'3. Enter Indicator Scores'!$D$8:$CZ$8,0),
  _xlpm.v, IFERROR(INDEX('3. Enter Indicator Scores'!$D$10:$CZ$161,_xlpm.r,_xlpm.c),""),
  IF(OR(_xlpm.w="",_xlpm.v=""),"",_xlpm.v*_xlpm.w)
)</f>
        <v/>
      </c>
      <c r="AH126" s="93" t="str" cm="1">
        <f t="array" ref="AH126">_xlfn.LET(
  _xlpm.w, AH$11,
  _xlpm.r, MATCH(1,('3. Enter Indicator Scores'!$B$10:$B$161=$B126)*('3. Enter Indicator Scores'!$C$10:$C$161=$C126),0),
  _xlpm.c, MATCH(AH$8,'3. Enter Indicator Scores'!$D$8:$CZ$8,0),
  _xlpm.v, IFERROR(INDEX('3. Enter Indicator Scores'!$D$10:$CZ$161,_xlpm.r,_xlpm.c),""),
  IF(OR(_xlpm.w="",_xlpm.v=""),"",_xlpm.v*_xlpm.w)
)</f>
        <v/>
      </c>
      <c r="AI126" s="93" t="str" cm="1">
        <f t="array" ref="AI126">_xlfn.LET(
  _xlpm.w, AI$11,
  _xlpm.r, MATCH(1,('3. Enter Indicator Scores'!$B$10:$B$161=$B126)*('3. Enter Indicator Scores'!$C$10:$C$161=$C126),0),
  _xlpm.c, MATCH(AI$8,'3. Enter Indicator Scores'!$D$8:$CZ$8,0),
  _xlpm.v, IFERROR(INDEX('3. Enter Indicator Scores'!$D$10:$CZ$161,_xlpm.r,_xlpm.c),""),
  IF(OR(_xlpm.w="",_xlpm.v=""),"",_xlpm.v*_xlpm.w)
)</f>
        <v/>
      </c>
      <c r="AJ126" s="93" t="str" cm="1">
        <f t="array" ref="AJ126">_xlfn.LET(
  _xlpm.w, AJ$11,
  _xlpm.r, MATCH(1,('3. Enter Indicator Scores'!$B$10:$B$161=$B126)*('3. Enter Indicator Scores'!$C$10:$C$161=$C126),0),
  _xlpm.c, MATCH(AJ$8,'3. Enter Indicator Scores'!$D$8:$CZ$8,0),
  _xlpm.v, IFERROR(INDEX('3. Enter Indicator Scores'!$D$10:$CZ$161,_xlpm.r,_xlpm.c),""),
  IF(OR(_xlpm.w="",_xlpm.v=""),"",_xlpm.v*_xlpm.w)
)</f>
        <v/>
      </c>
      <c r="AK126" s="93" t="str" cm="1">
        <f t="array" ref="AK126">_xlfn.LET(
  _xlpm.w, AK$11,
  _xlpm.r, MATCH(1,('3. Enter Indicator Scores'!$B$10:$B$161=$B126)*('3. Enter Indicator Scores'!$C$10:$C$161=$C126),0),
  _xlpm.c, MATCH(AK$8,'3. Enter Indicator Scores'!$D$8:$CZ$8,0),
  _xlpm.v, IFERROR(INDEX('3. Enter Indicator Scores'!$D$10:$CZ$161,_xlpm.r,_xlpm.c),""),
  IF(OR(_xlpm.w="",_xlpm.v=""),"",_xlpm.v*_xlpm.w)
)</f>
        <v/>
      </c>
      <c r="AL126" s="93" t="str" cm="1">
        <f t="array" ref="AL126">_xlfn.LET(
  _xlpm.w, AL$11,
  _xlpm.r, MATCH(1,('3. Enter Indicator Scores'!$B$10:$B$161=$B126)*('3. Enter Indicator Scores'!$C$10:$C$161=$C126),0),
  _xlpm.c, MATCH(AL$8,'3. Enter Indicator Scores'!$D$8:$CZ$8,0),
  _xlpm.v, IFERROR(INDEX('3. Enter Indicator Scores'!$D$10:$CZ$161,_xlpm.r,_xlpm.c),""),
  IF(OR(_xlpm.w="",_xlpm.v=""),"",_xlpm.v*_xlpm.w)
)</f>
        <v/>
      </c>
      <c r="AM126" s="93" t="str" cm="1">
        <f t="array" ref="AM126">_xlfn.LET(
  _xlpm.w, AM$11,
  _xlpm.r, MATCH(1,('3. Enter Indicator Scores'!$B$10:$B$161=$B126)*('3. Enter Indicator Scores'!$C$10:$C$161=$C126),0),
  _xlpm.c, MATCH(AM$8,'3. Enter Indicator Scores'!$D$8:$CZ$8,0),
  _xlpm.v, IFERROR(INDEX('3. Enter Indicator Scores'!$D$10:$CZ$161,_xlpm.r,_xlpm.c),""),
  IF(OR(_xlpm.w="",_xlpm.v=""),"",_xlpm.v*_xlpm.w)
)</f>
        <v/>
      </c>
      <c r="AN126" s="93" t="str" cm="1">
        <f t="array" ref="AN126">_xlfn.LET(
  _xlpm.w, AN$11,
  _xlpm.r, MATCH(1,('3. Enter Indicator Scores'!$B$10:$B$161=$B126)*('3. Enter Indicator Scores'!$C$10:$C$161=$C126),0),
  _xlpm.c, MATCH(AN$8,'3. Enter Indicator Scores'!$D$8:$CZ$8,0),
  _xlpm.v, IFERROR(INDEX('3. Enter Indicator Scores'!$D$10:$CZ$161,_xlpm.r,_xlpm.c),""),
  IF(OR(_xlpm.w="",_xlpm.v=""),"",_xlpm.v*_xlpm.w)
)</f>
        <v/>
      </c>
      <c r="AO126" s="93" t="str" cm="1">
        <f t="array" ref="AO126">_xlfn.LET(
  _xlpm.w, AO$11,
  _xlpm.r, MATCH(1,('3. Enter Indicator Scores'!$B$10:$B$161=$B126)*('3. Enter Indicator Scores'!$C$10:$C$161=$C126),0),
  _xlpm.c, MATCH(AO$8,'3. Enter Indicator Scores'!$D$8:$CZ$8,0),
  _xlpm.v, IFERROR(INDEX('3. Enter Indicator Scores'!$D$10:$CZ$161,_xlpm.r,_xlpm.c),""),
  IF(OR(_xlpm.w="",_xlpm.v=""),"",_xlpm.v*_xlpm.w)
)</f>
        <v/>
      </c>
      <c r="AP126" s="93" t="str" cm="1">
        <f t="array" ref="AP126">_xlfn.LET(
  _xlpm.w, AP$11,
  _xlpm.r, MATCH(1,('3. Enter Indicator Scores'!$B$10:$B$161=$B126)*('3. Enter Indicator Scores'!$C$10:$C$161=$C126),0),
  _xlpm.c, MATCH(AP$8,'3. Enter Indicator Scores'!$D$8:$CZ$8,0),
  _xlpm.v, IFERROR(INDEX('3. Enter Indicator Scores'!$D$10:$CZ$161,_xlpm.r,_xlpm.c),""),
  IF(OR(_xlpm.w="",_xlpm.v=""),"",_xlpm.v*_xlpm.w)
)</f>
        <v/>
      </c>
      <c r="AQ126" s="93" t="str" cm="1">
        <f t="array" ref="AQ126">_xlfn.LET(
  _xlpm.w, AQ$11,
  _xlpm.r, MATCH(1,('3. Enter Indicator Scores'!$B$10:$B$161=$B126)*('3. Enter Indicator Scores'!$C$10:$C$161=$C126),0),
  _xlpm.c, MATCH(AQ$8,'3. Enter Indicator Scores'!$D$8:$CZ$8,0),
  _xlpm.v, IFERROR(INDEX('3. Enter Indicator Scores'!$D$10:$CZ$161,_xlpm.r,_xlpm.c),""),
  IF(OR(_xlpm.w="",_xlpm.v=""),"",_xlpm.v*_xlpm.w)
)</f>
        <v/>
      </c>
      <c r="AR126" s="93" t="str" cm="1">
        <f t="array" ref="AR126">_xlfn.LET(
  _xlpm.w, AR$11,
  _xlpm.r, MATCH(1,('3. Enter Indicator Scores'!$B$10:$B$161=$B126)*('3. Enter Indicator Scores'!$C$10:$C$161=$C126),0),
  _xlpm.c, MATCH(AR$8,'3. Enter Indicator Scores'!$D$8:$CZ$8,0),
  _xlpm.v, IFERROR(INDEX('3. Enter Indicator Scores'!$D$10:$CZ$161,_xlpm.r,_xlpm.c),""),
  IF(OR(_xlpm.w="",_xlpm.v=""),"",_xlpm.v*_xlpm.w)
)</f>
        <v/>
      </c>
      <c r="AS126" s="93" t="str" cm="1">
        <f t="array" ref="AS126">_xlfn.LET(
  _xlpm.w, AS$11,
  _xlpm.r, MATCH(1,('3. Enter Indicator Scores'!$B$10:$B$161=$B126)*('3. Enter Indicator Scores'!$C$10:$C$161=$C126),0),
  _xlpm.c, MATCH(AS$8,'3. Enter Indicator Scores'!$D$8:$CZ$8,0),
  _xlpm.v, IFERROR(INDEX('3. Enter Indicator Scores'!$D$10:$CZ$161,_xlpm.r,_xlpm.c),""),
  IF(OR(_xlpm.w="",_xlpm.v=""),"",_xlpm.v*_xlpm.w)
)</f>
        <v/>
      </c>
      <c r="AT126" s="93" t="str" cm="1">
        <f t="array" ref="AT126">_xlfn.LET(
  _xlpm.w, AT$11,
  _xlpm.r, MATCH(1,('3. Enter Indicator Scores'!$B$10:$B$161=$B126)*('3. Enter Indicator Scores'!$C$10:$C$161=$C126),0),
  _xlpm.c, MATCH(AT$8,'3. Enter Indicator Scores'!$D$8:$CZ$8,0),
  _xlpm.v, IFERROR(INDEX('3. Enter Indicator Scores'!$D$10:$CZ$161,_xlpm.r,_xlpm.c),""),
  IF(OR(_xlpm.w="",_xlpm.v=""),"",_xlpm.v*_xlpm.w)
)</f>
        <v/>
      </c>
      <c r="AU126" s="93" t="str" cm="1">
        <f t="array" ref="AU126">_xlfn.LET(
  _xlpm.w, AU$11,
  _xlpm.r, MATCH(1,('3. Enter Indicator Scores'!$B$10:$B$161=$B126)*('3. Enter Indicator Scores'!$C$10:$C$161=$C126),0),
  _xlpm.c, MATCH(AU$8,'3. Enter Indicator Scores'!$D$8:$CZ$8,0),
  _xlpm.v, IFERROR(INDEX('3. Enter Indicator Scores'!$D$10:$CZ$161,_xlpm.r,_xlpm.c),""),
  IF(OR(_xlpm.w="",_xlpm.v=""),"",_xlpm.v*_xlpm.w)
)</f>
        <v/>
      </c>
      <c r="AV126" s="93" t="str" cm="1">
        <f t="array" ref="AV126">_xlfn.LET(
  _xlpm.w, AV$11,
  _xlpm.r, MATCH(1,('3. Enter Indicator Scores'!$B$10:$B$161=$B126)*('3. Enter Indicator Scores'!$C$10:$C$161=$C126),0),
  _xlpm.c, MATCH(AV$8,'3. Enter Indicator Scores'!$D$8:$CZ$8,0),
  _xlpm.v, IFERROR(INDEX('3. Enter Indicator Scores'!$D$10:$CZ$161,_xlpm.r,_xlpm.c),""),
  IF(OR(_xlpm.w="",_xlpm.v=""),"",_xlpm.v*_xlpm.w)
)</f>
        <v/>
      </c>
      <c r="AW126" s="93" t="str" cm="1">
        <f t="array" ref="AW126">_xlfn.LET(
  _xlpm.w, AW$11,
  _xlpm.r, MATCH(1,('3. Enter Indicator Scores'!$B$10:$B$161=$B126)*('3. Enter Indicator Scores'!$C$10:$C$161=$C126),0),
  _xlpm.c, MATCH(AW$8,'3. Enter Indicator Scores'!$D$8:$CZ$8,0),
  _xlpm.v, IFERROR(INDEX('3. Enter Indicator Scores'!$D$10:$CZ$161,_xlpm.r,_xlpm.c),""),
  IF(OR(_xlpm.w="",_xlpm.v=""),"",_xlpm.v*_xlpm.w)
)</f>
        <v/>
      </c>
      <c r="AX126" s="93" t="str" cm="1">
        <f t="array" ref="AX126">_xlfn.LET(
  _xlpm.w, AX$11,
  _xlpm.r, MATCH(1,('3. Enter Indicator Scores'!$B$10:$B$161=$B126)*('3. Enter Indicator Scores'!$C$10:$C$161=$C126),0),
  _xlpm.c, MATCH(AX$8,'3. Enter Indicator Scores'!$D$8:$CZ$8,0),
  _xlpm.v, IFERROR(INDEX('3. Enter Indicator Scores'!$D$10:$CZ$161,_xlpm.r,_xlpm.c),""),
  IF(OR(_xlpm.w="",_xlpm.v=""),"",_xlpm.v*_xlpm.w)
)</f>
        <v/>
      </c>
      <c r="AY126" s="93" t="str" cm="1">
        <f t="array" ref="AY126">_xlfn.LET(
  _xlpm.w, AY$11,
  _xlpm.r, MATCH(1,('3. Enter Indicator Scores'!$B$10:$B$161=$B126)*('3. Enter Indicator Scores'!$C$10:$C$161=$C126),0),
  _xlpm.c, MATCH(AY$8,'3. Enter Indicator Scores'!$D$8:$CZ$8,0),
  _xlpm.v, IFERROR(INDEX('3. Enter Indicator Scores'!$D$10:$CZ$161,_xlpm.r,_xlpm.c),""),
  IF(OR(_xlpm.w="",_xlpm.v=""),"",_xlpm.v*_xlpm.w)
)</f>
        <v/>
      </c>
      <c r="AZ126" s="93" t="str" cm="1">
        <f t="array" ref="AZ126">_xlfn.LET(
  _xlpm.w, AZ$11,
  _xlpm.r, MATCH(1,('3. Enter Indicator Scores'!$B$10:$B$161=$B126)*('3. Enter Indicator Scores'!$C$10:$C$161=$C126),0),
  _xlpm.c, MATCH(AZ$8,'3. Enter Indicator Scores'!$D$8:$CZ$8,0),
  _xlpm.v, IFERROR(INDEX('3. Enter Indicator Scores'!$D$10:$CZ$161,_xlpm.r,_xlpm.c),""),
  IF(OR(_xlpm.w="",_xlpm.v=""),"",_xlpm.v*_xlpm.w)
)</f>
        <v/>
      </c>
      <c r="BA126" s="93" t="str" cm="1">
        <f t="array" ref="BA126">_xlfn.LET(
  _xlpm.w, BA$11,
  _xlpm.r, MATCH(1,('3. Enter Indicator Scores'!$B$10:$B$161=$B126)*('3. Enter Indicator Scores'!$C$10:$C$161=$C126),0),
  _xlpm.c, MATCH(BA$8,'3. Enter Indicator Scores'!$D$8:$CZ$8,0),
  _xlpm.v, IFERROR(INDEX('3. Enter Indicator Scores'!$D$10:$CZ$161,_xlpm.r,_xlpm.c),""),
  IF(OR(_xlpm.w="",_xlpm.v=""),"",_xlpm.v*_xlpm.w)
)</f>
        <v/>
      </c>
      <c r="BB126" s="93" t="str" cm="1">
        <f t="array" ref="BB126">_xlfn.LET(
  _xlpm.w, BB$11,
  _xlpm.r, MATCH(1,('3. Enter Indicator Scores'!$B$10:$B$161=$B126)*('3. Enter Indicator Scores'!$C$10:$C$161=$C126),0),
  _xlpm.c, MATCH(BB$8,'3. Enter Indicator Scores'!$D$8:$CZ$8,0),
  _xlpm.v, IFERROR(INDEX('3. Enter Indicator Scores'!$D$10:$CZ$161,_xlpm.r,_xlpm.c),""),
  IF(OR(_xlpm.w="",_xlpm.v=""),"",_xlpm.v*_xlpm.w)
)</f>
        <v/>
      </c>
      <c r="BC126" s="93" t="str" cm="1">
        <f t="array" ref="BC126">_xlfn.LET(
  _xlpm.w, BC$11,
  _xlpm.r, MATCH(1,('3. Enter Indicator Scores'!$B$10:$B$161=$B126)*('3. Enter Indicator Scores'!$C$10:$C$161=$C126),0),
  _xlpm.c, MATCH(BC$8,'3. Enter Indicator Scores'!$D$8:$CZ$8,0),
  _xlpm.v, IFERROR(INDEX('3. Enter Indicator Scores'!$D$10:$CZ$161,_xlpm.r,_xlpm.c),""),
  IF(OR(_xlpm.w="",_xlpm.v=""),"",_xlpm.v*_xlpm.w)
)</f>
        <v/>
      </c>
      <c r="BD126" s="93" t="str" cm="1">
        <f t="array" ref="BD126">_xlfn.LET(
  _xlpm.w, BD$11,
  _xlpm.r, MATCH(1,('3. Enter Indicator Scores'!$B$10:$B$161=$B126)*('3. Enter Indicator Scores'!$C$10:$C$161=$C126),0),
  _xlpm.c, MATCH(BD$8,'3. Enter Indicator Scores'!$D$8:$CZ$8,0),
  _xlpm.v, IFERROR(INDEX('3. Enter Indicator Scores'!$D$10:$CZ$161,_xlpm.r,_xlpm.c),""),
  IF(OR(_xlpm.w="",_xlpm.v=""),"",_xlpm.v*_xlpm.w)
)</f>
        <v/>
      </c>
      <c r="BE126" s="93" t="str" cm="1">
        <f t="array" ref="BE126">_xlfn.LET(
  _xlpm.w, BE$11,
  _xlpm.r, MATCH(1,('3. Enter Indicator Scores'!$B$10:$B$161=$B126)*('3. Enter Indicator Scores'!$C$10:$C$161=$C126),0),
  _xlpm.c, MATCH(BE$8,'3. Enter Indicator Scores'!$D$8:$CZ$8,0),
  _xlpm.v, IFERROR(INDEX('3. Enter Indicator Scores'!$D$10:$CZ$161,_xlpm.r,_xlpm.c),""),
  IF(OR(_xlpm.w="",_xlpm.v=""),"",_xlpm.v*_xlpm.w)
)</f>
        <v/>
      </c>
      <c r="BF126" s="93" t="str" cm="1">
        <f t="array" ref="BF126">_xlfn.LET(
  _xlpm.w, BF$11,
  _xlpm.r, MATCH(1,('3. Enter Indicator Scores'!$B$10:$B$161=$B126)*('3. Enter Indicator Scores'!$C$10:$C$161=$C126),0),
  _xlpm.c, MATCH(BF$8,'3. Enter Indicator Scores'!$D$8:$CZ$8,0),
  _xlpm.v, IFERROR(INDEX('3. Enter Indicator Scores'!$D$10:$CZ$161,_xlpm.r,_xlpm.c),""),
  IF(OR(_xlpm.w="",_xlpm.v=""),"",_xlpm.v*_xlpm.w)
)</f>
        <v/>
      </c>
      <c r="BG126" s="93" t="str" cm="1">
        <f t="array" ref="BG126">_xlfn.LET(
  _xlpm.w, BG$11,
  _xlpm.r, MATCH(1,('3. Enter Indicator Scores'!$B$10:$B$161=$B126)*('3. Enter Indicator Scores'!$C$10:$C$161=$C126),0),
  _xlpm.c, MATCH(BG$8,'3. Enter Indicator Scores'!$D$8:$CZ$8,0),
  _xlpm.v, IFERROR(INDEX('3. Enter Indicator Scores'!$D$10:$CZ$161,_xlpm.r,_xlpm.c),""),
  IF(OR(_xlpm.w="",_xlpm.v=""),"",_xlpm.v*_xlpm.w)
)</f>
        <v/>
      </c>
      <c r="BH126" s="93" t="str" cm="1">
        <f t="array" ref="BH126">_xlfn.LET(
  _xlpm.w, BH$11,
  _xlpm.r, MATCH(1,('3. Enter Indicator Scores'!$B$10:$B$161=$B126)*('3. Enter Indicator Scores'!$C$10:$C$161=$C126),0),
  _xlpm.c, MATCH(BH$8,'3. Enter Indicator Scores'!$D$8:$CZ$8,0),
  _xlpm.v, IFERROR(INDEX('3. Enter Indicator Scores'!$D$10:$CZ$161,_xlpm.r,_xlpm.c),""),
  IF(OR(_xlpm.w="",_xlpm.v=""),"",_xlpm.v*_xlpm.w)
)</f>
        <v/>
      </c>
      <c r="BI126" s="93" t="str" cm="1">
        <f t="array" ref="BI126">_xlfn.LET(
  _xlpm.w, BI$11,
  _xlpm.r, MATCH(1,('3. Enter Indicator Scores'!$B$10:$B$161=$B126)*('3. Enter Indicator Scores'!$C$10:$C$161=$C126),0),
  _xlpm.c, MATCH(BI$8,'3. Enter Indicator Scores'!$D$8:$CZ$8,0),
  _xlpm.v, IFERROR(INDEX('3. Enter Indicator Scores'!$D$10:$CZ$161,_xlpm.r,_xlpm.c),""),
  IF(OR(_xlpm.w="",_xlpm.v=""),"",_xlpm.v*_xlpm.w)
)</f>
        <v/>
      </c>
      <c r="BJ126" s="93" t="str" cm="1">
        <f t="array" ref="BJ126">_xlfn.LET(
  _xlpm.w, BJ$11,
  _xlpm.r, MATCH(1,('3. Enter Indicator Scores'!$B$10:$B$161=$B126)*('3. Enter Indicator Scores'!$C$10:$C$161=$C126),0),
  _xlpm.c, MATCH(BJ$8,'3. Enter Indicator Scores'!$D$8:$CZ$8,0),
  _xlpm.v, IFERROR(INDEX('3. Enter Indicator Scores'!$D$10:$CZ$161,_xlpm.r,_xlpm.c),""),
  IF(OR(_xlpm.w="",_xlpm.v=""),"",_xlpm.v*_xlpm.w)
)</f>
        <v/>
      </c>
      <c r="BK126" s="93" t="str" cm="1">
        <f t="array" ref="BK126">_xlfn.LET(
  _xlpm.w, BK$11,
  _xlpm.r, MATCH(1,('3. Enter Indicator Scores'!$B$10:$B$161=$B126)*('3. Enter Indicator Scores'!$C$10:$C$161=$C126),0),
  _xlpm.c, MATCH(BK$8,'3. Enter Indicator Scores'!$D$8:$CZ$8,0),
  _xlpm.v, IFERROR(INDEX('3. Enter Indicator Scores'!$D$10:$CZ$161,_xlpm.r,_xlpm.c),""),
  IF(OR(_xlpm.w="",_xlpm.v=""),"",_xlpm.v*_xlpm.w)
)</f>
        <v/>
      </c>
      <c r="BL126" s="93" t="str" cm="1">
        <f t="array" ref="BL126">_xlfn.LET(
  _xlpm.w, BL$11,
  _xlpm.r, MATCH(1,('3. Enter Indicator Scores'!$B$10:$B$161=$B126)*('3. Enter Indicator Scores'!$C$10:$C$161=$C126),0),
  _xlpm.c, MATCH(BL$8,'3. Enter Indicator Scores'!$D$8:$CZ$8,0),
  _xlpm.v, IFERROR(INDEX('3. Enter Indicator Scores'!$D$10:$CZ$161,_xlpm.r,_xlpm.c),""),
  IF(OR(_xlpm.w="",_xlpm.v=""),"",_xlpm.v*_xlpm.w)
)</f>
        <v/>
      </c>
      <c r="BM126" s="93" t="str" cm="1">
        <f t="array" ref="BM126">_xlfn.LET(
  _xlpm.w, BM$11,
  _xlpm.r, MATCH(1,('3. Enter Indicator Scores'!$B$10:$B$161=$B126)*('3. Enter Indicator Scores'!$C$10:$C$161=$C126),0),
  _xlpm.c, MATCH(BM$8,'3. Enter Indicator Scores'!$D$8:$CZ$8,0),
  _xlpm.v, IFERROR(INDEX('3. Enter Indicator Scores'!$D$10:$CZ$161,_xlpm.r,_xlpm.c),""),
  IF(OR(_xlpm.w="",_xlpm.v=""),"",_xlpm.v*_xlpm.w)
)</f>
        <v/>
      </c>
      <c r="BN126" s="93" t="str" cm="1">
        <f t="array" ref="BN126">_xlfn.LET(
  _xlpm.w, BN$11,
  _xlpm.r, MATCH(1,('3. Enter Indicator Scores'!$B$10:$B$161=$B126)*('3. Enter Indicator Scores'!$C$10:$C$161=$C126),0),
  _xlpm.c, MATCH(BN$8,'3. Enter Indicator Scores'!$D$8:$CZ$8,0),
  _xlpm.v, IFERROR(INDEX('3. Enter Indicator Scores'!$D$10:$CZ$161,_xlpm.r,_xlpm.c),""),
  IF(OR(_xlpm.w="",_xlpm.v=""),"",_xlpm.v*_xlpm.w)
)</f>
        <v/>
      </c>
      <c r="BO126" s="93" t="str" cm="1">
        <f t="array" ref="BO126">_xlfn.LET(
  _xlpm.w, BO$11,
  _xlpm.r, MATCH(1,('3. Enter Indicator Scores'!$B$10:$B$161=$B126)*('3. Enter Indicator Scores'!$C$10:$C$161=$C126),0),
  _xlpm.c, MATCH(BO$8,'3. Enter Indicator Scores'!$D$8:$CZ$8,0),
  _xlpm.v, IFERROR(INDEX('3. Enter Indicator Scores'!$D$10:$CZ$161,_xlpm.r,_xlpm.c),""),
  IF(OR(_xlpm.w="",_xlpm.v=""),"",_xlpm.v*_xlpm.w)
)</f>
        <v/>
      </c>
      <c r="BP126" s="93" t="str" cm="1">
        <f t="array" ref="BP126">_xlfn.LET(
  _xlpm.w, BP$11,
  _xlpm.r, MATCH(1,('3. Enter Indicator Scores'!$B$10:$B$161=$B126)*('3. Enter Indicator Scores'!$C$10:$C$161=$C126),0),
  _xlpm.c, MATCH(BP$8,'3. Enter Indicator Scores'!$D$8:$CZ$8,0),
  _xlpm.v, IFERROR(INDEX('3. Enter Indicator Scores'!$D$10:$CZ$161,_xlpm.r,_xlpm.c),""),
  IF(OR(_xlpm.w="",_xlpm.v=""),"",_xlpm.v*_xlpm.w)
)</f>
        <v/>
      </c>
      <c r="BQ126" s="93" t="str" cm="1">
        <f t="array" ref="BQ126">_xlfn.LET(
  _xlpm.w, BQ$11,
  _xlpm.r, MATCH(1,('3. Enter Indicator Scores'!$B$10:$B$161=$B126)*('3. Enter Indicator Scores'!$C$10:$C$161=$C126),0),
  _xlpm.c, MATCH(BQ$8,'3. Enter Indicator Scores'!$D$8:$CZ$8,0),
  _xlpm.v, IFERROR(INDEX('3. Enter Indicator Scores'!$D$10:$CZ$161,_xlpm.r,_xlpm.c),""),
  IF(OR(_xlpm.w="",_xlpm.v=""),"",_xlpm.v*_xlpm.w)
)</f>
        <v/>
      </c>
      <c r="BR126" s="93" t="str" cm="1">
        <f t="array" ref="BR126">_xlfn.LET(
  _xlpm.w, BR$11,
  _xlpm.r, MATCH(1,('3. Enter Indicator Scores'!$B$10:$B$161=$B126)*('3. Enter Indicator Scores'!$C$10:$C$161=$C126),0),
  _xlpm.c, MATCH(BR$8,'3. Enter Indicator Scores'!$D$8:$CZ$8,0),
  _xlpm.v, IFERROR(INDEX('3. Enter Indicator Scores'!$D$10:$CZ$161,_xlpm.r,_xlpm.c),""),
  IF(OR(_xlpm.w="",_xlpm.v=""),"",_xlpm.v*_xlpm.w)
)</f>
        <v/>
      </c>
      <c r="BS126" s="93" t="str" cm="1">
        <f t="array" ref="BS126">_xlfn.LET(
  _xlpm.w, BS$11,
  _xlpm.r, MATCH(1,('3. Enter Indicator Scores'!$B$10:$B$161=$B126)*('3. Enter Indicator Scores'!$C$10:$C$161=$C126),0),
  _xlpm.c, MATCH(BS$8,'3. Enter Indicator Scores'!$D$8:$CZ$8,0),
  _xlpm.v, IFERROR(INDEX('3. Enter Indicator Scores'!$D$10:$CZ$161,_xlpm.r,_xlpm.c),""),
  IF(OR(_xlpm.w="",_xlpm.v=""),"",_xlpm.v*_xlpm.w)
)</f>
        <v/>
      </c>
      <c r="BT126" s="93" t="str" cm="1">
        <f t="array" ref="BT126">_xlfn.LET(
  _xlpm.w, BT$11,
  _xlpm.r, MATCH(1,('3. Enter Indicator Scores'!$B$10:$B$161=$B126)*('3. Enter Indicator Scores'!$C$10:$C$161=$C126),0),
  _xlpm.c, MATCH(BT$8,'3. Enter Indicator Scores'!$D$8:$CZ$8,0),
  _xlpm.v, IFERROR(INDEX('3. Enter Indicator Scores'!$D$10:$CZ$161,_xlpm.r,_xlpm.c),""),
  IF(OR(_xlpm.w="",_xlpm.v=""),"",_xlpm.v*_xlpm.w)
)</f>
        <v/>
      </c>
      <c r="BU126" s="93" t="str" cm="1">
        <f t="array" ref="BU126">_xlfn.LET(
  _xlpm.w, BU$11,
  _xlpm.r, MATCH(1,('3. Enter Indicator Scores'!$B$10:$B$161=$B126)*('3. Enter Indicator Scores'!$C$10:$C$161=$C126),0),
  _xlpm.c, MATCH(BU$8,'3. Enter Indicator Scores'!$D$8:$CZ$8,0),
  _xlpm.v, IFERROR(INDEX('3. Enter Indicator Scores'!$D$10:$CZ$161,_xlpm.r,_xlpm.c),""),
  IF(OR(_xlpm.w="",_xlpm.v=""),"",_xlpm.v*_xlpm.w)
)</f>
        <v/>
      </c>
      <c r="BV126" s="93" t="str" cm="1">
        <f t="array" ref="BV126">_xlfn.LET(
  _xlpm.w, BV$11,
  _xlpm.r, MATCH(1,('3. Enter Indicator Scores'!$B$10:$B$161=$B126)*('3. Enter Indicator Scores'!$C$10:$C$161=$C126),0),
  _xlpm.c, MATCH(BV$8,'3. Enter Indicator Scores'!$D$8:$CZ$8,0),
  _xlpm.v, IFERROR(INDEX('3. Enter Indicator Scores'!$D$10:$CZ$161,_xlpm.r,_xlpm.c),""),
  IF(OR(_xlpm.w="",_xlpm.v=""),"",_xlpm.v*_xlpm.w)
)</f>
        <v/>
      </c>
      <c r="BW126" s="93" t="str" cm="1">
        <f t="array" ref="BW126">_xlfn.LET(
  _xlpm.w, BW$11,
  _xlpm.r, MATCH(1,('3. Enter Indicator Scores'!$B$10:$B$161=$B126)*('3. Enter Indicator Scores'!$C$10:$C$161=$C126),0),
  _xlpm.c, MATCH(BW$8,'3. Enter Indicator Scores'!$D$8:$CZ$8,0),
  _xlpm.v, IFERROR(INDEX('3. Enter Indicator Scores'!$D$10:$CZ$161,_xlpm.r,_xlpm.c),""),
  IF(OR(_xlpm.w="",_xlpm.v=""),"",_xlpm.v*_xlpm.w)
)</f>
        <v/>
      </c>
      <c r="BX126" s="93" t="str" cm="1">
        <f t="array" ref="BX126">_xlfn.LET(
  _xlpm.w, BX$11,
  _xlpm.r, MATCH(1,('3. Enter Indicator Scores'!$B$10:$B$161=$B126)*('3. Enter Indicator Scores'!$C$10:$C$161=$C126),0),
  _xlpm.c, MATCH(BX$8,'3. Enter Indicator Scores'!$D$8:$CZ$8,0),
  _xlpm.v, IFERROR(INDEX('3. Enter Indicator Scores'!$D$10:$CZ$161,_xlpm.r,_xlpm.c),""),
  IF(OR(_xlpm.w="",_xlpm.v=""),"",_xlpm.v*_xlpm.w)
)</f>
        <v/>
      </c>
      <c r="BY126" s="93" t="str" cm="1">
        <f t="array" ref="BY126">_xlfn.LET(
  _xlpm.w, BY$11,
  _xlpm.r, MATCH(1,('3. Enter Indicator Scores'!$B$10:$B$161=$B126)*('3. Enter Indicator Scores'!$C$10:$C$161=$C126),0),
  _xlpm.c, MATCH(BY$8,'3. Enter Indicator Scores'!$D$8:$CZ$8,0),
  _xlpm.v, IFERROR(INDEX('3. Enter Indicator Scores'!$D$10:$CZ$161,_xlpm.r,_xlpm.c),""),
  IF(OR(_xlpm.w="",_xlpm.v=""),"",_xlpm.v*_xlpm.w)
)</f>
        <v/>
      </c>
      <c r="BZ126" s="93" t="str" cm="1">
        <f t="array" ref="BZ126">_xlfn.LET(
  _xlpm.w, BZ$11,
  _xlpm.r, MATCH(1,('3. Enter Indicator Scores'!$B$10:$B$161=$B126)*('3. Enter Indicator Scores'!$C$10:$C$161=$C126),0),
  _xlpm.c, MATCH(BZ$8,'3. Enter Indicator Scores'!$D$8:$CZ$8,0),
  _xlpm.v, IFERROR(INDEX('3. Enter Indicator Scores'!$D$10:$CZ$161,_xlpm.r,_xlpm.c),""),
  IF(OR(_xlpm.w="",_xlpm.v=""),"",_xlpm.v*_xlpm.w)
)</f>
        <v/>
      </c>
      <c r="CA126" s="93" t="str" cm="1">
        <f t="array" ref="CA126">_xlfn.LET(
  _xlpm.w, CA$11,
  _xlpm.r, MATCH(1,('3. Enter Indicator Scores'!$B$10:$B$161=$B126)*('3. Enter Indicator Scores'!$C$10:$C$161=$C126),0),
  _xlpm.c, MATCH(CA$8,'3. Enter Indicator Scores'!$D$8:$CZ$8,0),
  _xlpm.v, IFERROR(INDEX('3. Enter Indicator Scores'!$D$10:$CZ$161,_xlpm.r,_xlpm.c),""),
  IF(OR(_xlpm.w="",_xlpm.v=""),"",_xlpm.v*_xlpm.w)
)</f>
        <v/>
      </c>
      <c r="CB126" s="93" t="str" cm="1">
        <f t="array" ref="CB126">_xlfn.LET(
  _xlpm.w, CB$11,
  _xlpm.r, MATCH(1,('3. Enter Indicator Scores'!$B$10:$B$161=$B126)*('3. Enter Indicator Scores'!$C$10:$C$161=$C126),0),
  _xlpm.c, MATCH(CB$8,'3. Enter Indicator Scores'!$D$8:$CZ$8,0),
  _xlpm.v, IFERROR(INDEX('3. Enter Indicator Scores'!$D$10:$CZ$161,_xlpm.r,_xlpm.c),""),
  IF(OR(_xlpm.w="",_xlpm.v=""),"",_xlpm.v*_xlpm.w)
)</f>
        <v/>
      </c>
      <c r="CC126" s="93" t="str" cm="1">
        <f t="array" ref="CC126">_xlfn.LET(
  _xlpm.w, CC$11,
  _xlpm.r, MATCH(1,('3. Enter Indicator Scores'!$B$10:$B$161=$B126)*('3. Enter Indicator Scores'!$C$10:$C$161=$C126),0),
  _xlpm.c, MATCH(CC$8,'3. Enter Indicator Scores'!$D$8:$CZ$8,0),
  _xlpm.v, IFERROR(INDEX('3. Enter Indicator Scores'!$D$10:$CZ$161,_xlpm.r,_xlpm.c),""),
  IF(OR(_xlpm.w="",_xlpm.v=""),"",_xlpm.v*_xlpm.w)
)</f>
        <v/>
      </c>
      <c r="CD126" s="93" t="str" cm="1">
        <f t="array" ref="CD126">_xlfn.LET(
  _xlpm.w, CD$11,
  _xlpm.r, MATCH(1,('3. Enter Indicator Scores'!$B$10:$B$161=$B126)*('3. Enter Indicator Scores'!$C$10:$C$161=$C126),0),
  _xlpm.c, MATCH(CD$8,'3. Enter Indicator Scores'!$D$8:$CZ$8,0),
  _xlpm.v, IFERROR(INDEX('3. Enter Indicator Scores'!$D$10:$CZ$161,_xlpm.r,_xlpm.c),""),
  IF(OR(_xlpm.w="",_xlpm.v=""),"",_xlpm.v*_xlpm.w)
)</f>
        <v/>
      </c>
      <c r="CE126" s="93" t="str" cm="1">
        <f t="array" ref="CE126">_xlfn.LET(
  _xlpm.w, CE$11,
  _xlpm.r, MATCH(1,('3. Enter Indicator Scores'!$B$10:$B$161=$B126)*('3. Enter Indicator Scores'!$C$10:$C$161=$C126),0),
  _xlpm.c, MATCH(CE$8,'3. Enter Indicator Scores'!$D$8:$CZ$8,0),
  _xlpm.v, IFERROR(INDEX('3. Enter Indicator Scores'!$D$10:$CZ$161,_xlpm.r,_xlpm.c),""),
  IF(OR(_xlpm.w="",_xlpm.v=""),"",_xlpm.v*_xlpm.w)
)</f>
        <v/>
      </c>
      <c r="CF126" s="93" t="str" cm="1">
        <f t="array" ref="CF126">_xlfn.LET(
  _xlpm.w, CF$11,
  _xlpm.r, MATCH(1,('3. Enter Indicator Scores'!$B$10:$B$161=$B126)*('3. Enter Indicator Scores'!$C$10:$C$161=$C126),0),
  _xlpm.c, MATCH(CF$8,'3. Enter Indicator Scores'!$D$8:$CZ$8,0),
  _xlpm.v, IFERROR(INDEX('3. Enter Indicator Scores'!$D$10:$CZ$161,_xlpm.r,_xlpm.c),""),
  IF(OR(_xlpm.w="",_xlpm.v=""),"",_xlpm.v*_xlpm.w)
)</f>
        <v/>
      </c>
      <c r="CG126" s="93" t="str" cm="1">
        <f t="array" ref="CG126">_xlfn.LET(
  _xlpm.w, CG$11,
  _xlpm.r, MATCH(1,('3. Enter Indicator Scores'!$B$10:$B$161=$B126)*('3. Enter Indicator Scores'!$C$10:$C$161=$C126),0),
  _xlpm.c, MATCH(CG$8,'3. Enter Indicator Scores'!$D$8:$CZ$8,0),
  _xlpm.v, IFERROR(INDEX('3. Enter Indicator Scores'!$D$10:$CZ$161,_xlpm.r,_xlpm.c),""),
  IF(OR(_xlpm.w="",_xlpm.v=""),"",_xlpm.v*_xlpm.w)
)</f>
        <v/>
      </c>
      <c r="CH126" s="93" t="str" cm="1">
        <f t="array" ref="CH126">_xlfn.LET(
  _xlpm.w, CH$11,
  _xlpm.r, MATCH(1,('3. Enter Indicator Scores'!$B$10:$B$161=$B126)*('3. Enter Indicator Scores'!$C$10:$C$161=$C126),0),
  _xlpm.c, MATCH(CH$8,'3. Enter Indicator Scores'!$D$8:$CZ$8,0),
  _xlpm.v, IFERROR(INDEX('3. Enter Indicator Scores'!$D$10:$CZ$161,_xlpm.r,_xlpm.c),""),
  IF(OR(_xlpm.w="",_xlpm.v=""),"",_xlpm.v*_xlpm.w)
)</f>
        <v/>
      </c>
      <c r="CI126" s="93" t="str" cm="1">
        <f t="array" ref="CI126">_xlfn.LET(
  _xlpm.w, CI$11,
  _xlpm.r, MATCH(1,('3. Enter Indicator Scores'!$B$10:$B$161=$B126)*('3. Enter Indicator Scores'!$C$10:$C$161=$C126),0),
  _xlpm.c, MATCH(CI$8,'3. Enter Indicator Scores'!$D$8:$CZ$8,0),
  _xlpm.v, IFERROR(INDEX('3. Enter Indicator Scores'!$D$10:$CZ$161,_xlpm.r,_xlpm.c),""),
  IF(OR(_xlpm.w="",_xlpm.v=""),"",_xlpm.v*_xlpm.w)
)</f>
        <v/>
      </c>
      <c r="CJ126" s="93" t="str" cm="1">
        <f t="array" ref="CJ126">_xlfn.LET(
  _xlpm.w, CJ$11,
  _xlpm.r, MATCH(1,('3. Enter Indicator Scores'!$B$10:$B$161=$B126)*('3. Enter Indicator Scores'!$C$10:$C$161=$C126),0),
  _xlpm.c, MATCH(CJ$8,'3. Enter Indicator Scores'!$D$8:$CZ$8,0),
  _xlpm.v, IFERROR(INDEX('3. Enter Indicator Scores'!$D$10:$CZ$161,_xlpm.r,_xlpm.c),""),
  IF(OR(_xlpm.w="",_xlpm.v=""),"",_xlpm.v*_xlpm.w)
)</f>
        <v/>
      </c>
      <c r="CK126" s="93" t="str" cm="1">
        <f t="array" ref="CK126">_xlfn.LET(
  _xlpm.w, CK$11,
  _xlpm.r, MATCH(1,('3. Enter Indicator Scores'!$B$10:$B$161=$B126)*('3. Enter Indicator Scores'!$C$10:$C$161=$C126),0),
  _xlpm.c, MATCH(CK$8,'3. Enter Indicator Scores'!$D$8:$CZ$8,0),
  _xlpm.v, IFERROR(INDEX('3. Enter Indicator Scores'!$D$10:$CZ$161,_xlpm.r,_xlpm.c),""),
  IF(OR(_xlpm.w="",_xlpm.v=""),"",_xlpm.v*_xlpm.w)
)</f>
        <v/>
      </c>
      <c r="CL126" s="93" t="str" cm="1">
        <f t="array" ref="CL126">_xlfn.LET(
  _xlpm.w, CL$11,
  _xlpm.r, MATCH(1,('3. Enter Indicator Scores'!$B$10:$B$161=$B126)*('3. Enter Indicator Scores'!$C$10:$C$161=$C126),0),
  _xlpm.c, MATCH(CL$8,'3. Enter Indicator Scores'!$D$8:$CZ$8,0),
  _xlpm.v, IFERROR(INDEX('3. Enter Indicator Scores'!$D$10:$CZ$161,_xlpm.r,_xlpm.c),""),
  IF(OR(_xlpm.w="",_xlpm.v=""),"",_xlpm.v*_xlpm.w)
)</f>
        <v/>
      </c>
      <c r="CM126" s="93" t="str" cm="1">
        <f t="array" ref="CM126">_xlfn.LET(
  _xlpm.w, CM$11,
  _xlpm.r, MATCH(1,('3. Enter Indicator Scores'!$B$10:$B$161=$B126)*('3. Enter Indicator Scores'!$C$10:$C$161=$C126),0),
  _xlpm.c, MATCH(CM$8,'3. Enter Indicator Scores'!$D$8:$CZ$8,0),
  _xlpm.v, IFERROR(INDEX('3. Enter Indicator Scores'!$D$10:$CZ$161,_xlpm.r,_xlpm.c),""),
  IF(OR(_xlpm.w="",_xlpm.v=""),"",_xlpm.v*_xlpm.w)
)</f>
        <v/>
      </c>
      <c r="CN126" s="93" t="str" cm="1">
        <f t="array" ref="CN126">_xlfn.LET(
  _xlpm.w, CN$11,
  _xlpm.r, MATCH(1,('3. Enter Indicator Scores'!$B$10:$B$161=$B126)*('3. Enter Indicator Scores'!$C$10:$C$161=$C126),0),
  _xlpm.c, MATCH(CN$8,'3. Enter Indicator Scores'!$D$8:$CZ$8,0),
  _xlpm.v, IFERROR(INDEX('3. Enter Indicator Scores'!$D$10:$CZ$161,_xlpm.r,_xlpm.c),""),
  IF(OR(_xlpm.w="",_xlpm.v=""),"",_xlpm.v*_xlpm.w)
)</f>
        <v/>
      </c>
      <c r="CO126" s="93" t="str" cm="1">
        <f t="array" ref="CO126">_xlfn.LET(
  _xlpm.w, CO$11,
  _xlpm.r, MATCH(1,('3. Enter Indicator Scores'!$B$10:$B$161=$B126)*('3. Enter Indicator Scores'!$C$10:$C$161=$C126),0),
  _xlpm.c, MATCH(CO$8,'3. Enter Indicator Scores'!$D$8:$CZ$8,0),
  _xlpm.v, IFERROR(INDEX('3. Enter Indicator Scores'!$D$10:$CZ$161,_xlpm.r,_xlpm.c),""),
  IF(OR(_xlpm.w="",_xlpm.v=""),"",_xlpm.v*_xlpm.w)
)</f>
        <v/>
      </c>
      <c r="CP126" s="93" t="str" cm="1">
        <f t="array" ref="CP126">_xlfn.LET(
  _xlpm.w, CP$11,
  _xlpm.r, MATCH(1,('3. Enter Indicator Scores'!$B$10:$B$161=$B126)*('3. Enter Indicator Scores'!$C$10:$C$161=$C126),0),
  _xlpm.c, MATCH(CP$8,'3. Enter Indicator Scores'!$D$8:$CZ$8,0),
  _xlpm.v, IFERROR(INDEX('3. Enter Indicator Scores'!$D$10:$CZ$161,_xlpm.r,_xlpm.c),""),
  IF(OR(_xlpm.w="",_xlpm.v=""),"",_xlpm.v*_xlpm.w)
)</f>
        <v/>
      </c>
      <c r="CQ126" s="93" t="str" cm="1">
        <f t="array" ref="CQ126">_xlfn.LET(
  _xlpm.w, CQ$11,
  _xlpm.r, MATCH(1,('3. Enter Indicator Scores'!$B$10:$B$161=$B126)*('3. Enter Indicator Scores'!$C$10:$C$161=$C126),0),
  _xlpm.c, MATCH(CQ$8,'3. Enter Indicator Scores'!$D$8:$CZ$8,0),
  _xlpm.v, IFERROR(INDEX('3. Enter Indicator Scores'!$D$10:$CZ$161,_xlpm.r,_xlpm.c),""),
  IF(OR(_xlpm.w="",_xlpm.v=""),"",_xlpm.v*_xlpm.w)
)</f>
        <v/>
      </c>
      <c r="CR126" s="93" t="str" cm="1">
        <f t="array" ref="CR126">_xlfn.LET(
  _xlpm.w, CR$11,
  _xlpm.r, MATCH(1,('3. Enter Indicator Scores'!$B$10:$B$161=$B126)*('3. Enter Indicator Scores'!$C$10:$C$161=$C126),0),
  _xlpm.c, MATCH(CR$8,'3. Enter Indicator Scores'!$D$8:$CZ$8,0),
  _xlpm.v, IFERROR(INDEX('3. Enter Indicator Scores'!$D$10:$CZ$161,_xlpm.r,_xlpm.c),""),
  IF(OR(_xlpm.w="",_xlpm.v=""),"",_xlpm.v*_xlpm.w)
)</f>
        <v/>
      </c>
      <c r="CS126" s="93" t="str" cm="1">
        <f t="array" ref="CS126">_xlfn.LET(
  _xlpm.w, CS$11,
  _xlpm.r, MATCH(1,('3. Enter Indicator Scores'!$B$10:$B$161=$B126)*('3. Enter Indicator Scores'!$C$10:$C$161=$C126),0),
  _xlpm.c, MATCH(CS$8,'3. Enter Indicator Scores'!$D$8:$CZ$8,0),
  _xlpm.v, IFERROR(INDEX('3. Enter Indicator Scores'!$D$10:$CZ$161,_xlpm.r,_xlpm.c),""),
  IF(OR(_xlpm.w="",_xlpm.v=""),"",_xlpm.v*_xlpm.w)
)</f>
        <v/>
      </c>
      <c r="CT126" s="93" t="str" cm="1">
        <f t="array" ref="CT126">_xlfn.LET(
  _xlpm.w, CT$11,
  _xlpm.r, MATCH(1,('3. Enter Indicator Scores'!$B$10:$B$161=$B126)*('3. Enter Indicator Scores'!$C$10:$C$161=$C126),0),
  _xlpm.c, MATCH(CT$8,'3. Enter Indicator Scores'!$D$8:$CZ$8,0),
  _xlpm.v, IFERROR(INDEX('3. Enter Indicator Scores'!$D$10:$CZ$161,_xlpm.r,_xlpm.c),""),
  IF(OR(_xlpm.w="",_xlpm.v=""),"",_xlpm.v*_xlpm.w)
)</f>
        <v/>
      </c>
      <c r="CU126" s="93" t="str" cm="1">
        <f t="array" ref="CU126">_xlfn.LET(
  _xlpm.w, CU$11,
  _xlpm.r, MATCH(1,('3. Enter Indicator Scores'!$B$10:$B$161=$B126)*('3. Enter Indicator Scores'!$C$10:$C$161=$C126),0),
  _xlpm.c, MATCH(CU$8,'3. Enter Indicator Scores'!$D$8:$CZ$8,0),
  _xlpm.v, IFERROR(INDEX('3. Enter Indicator Scores'!$D$10:$CZ$161,_xlpm.r,_xlpm.c),""),
  IF(OR(_xlpm.w="",_xlpm.v=""),"",_xlpm.v*_xlpm.w)
)</f>
        <v/>
      </c>
      <c r="CV126" s="93" t="str" cm="1">
        <f t="array" ref="CV126">_xlfn.LET(
  _xlpm.w, CV$11,
  _xlpm.r, MATCH(1,('3. Enter Indicator Scores'!$B$10:$B$161=$B126)*('3. Enter Indicator Scores'!$C$10:$C$161=$C126),0),
  _xlpm.c, MATCH(CV$8,'3. Enter Indicator Scores'!$D$8:$CZ$8,0),
  _xlpm.v, IFERROR(INDEX('3. Enter Indicator Scores'!$D$10:$CZ$161,_xlpm.r,_xlpm.c),""),
  IF(OR(_xlpm.w="",_xlpm.v=""),"",_xlpm.v*_xlpm.w)
)</f>
        <v/>
      </c>
      <c r="CW126" s="93" t="str" cm="1">
        <f t="array" ref="CW126">_xlfn.LET(
  _xlpm.w, CW$11,
  _xlpm.r, MATCH(1,('3. Enter Indicator Scores'!$B$10:$B$161=$B126)*('3. Enter Indicator Scores'!$C$10:$C$161=$C126),0),
  _xlpm.c, MATCH(CW$8,'3. Enter Indicator Scores'!$D$8:$CZ$8,0),
  _xlpm.v, IFERROR(INDEX('3. Enter Indicator Scores'!$D$10:$CZ$161,_xlpm.r,_xlpm.c),""),
  IF(OR(_xlpm.w="",_xlpm.v=""),"",_xlpm.v*_xlpm.w)
)</f>
        <v/>
      </c>
      <c r="CX126" s="93" t="str" cm="1">
        <f t="array" ref="CX126">_xlfn.LET(
  _xlpm.w, CX$11,
  _xlpm.r, MATCH(1,('3. Enter Indicator Scores'!$B$10:$B$161=$B126)*('3. Enter Indicator Scores'!$C$10:$C$161=$C126),0),
  _xlpm.c, MATCH(CX$8,'3. Enter Indicator Scores'!$D$8:$CZ$8,0),
  _xlpm.v, IFERROR(INDEX('3. Enter Indicator Scores'!$D$10:$CZ$161,_xlpm.r,_xlpm.c),""),
  IF(OR(_xlpm.w="",_xlpm.v=""),"",_xlpm.v*_xlpm.w)
)</f>
        <v/>
      </c>
      <c r="CY126" s="93" t="str" cm="1">
        <f t="array" ref="CY126">_xlfn.LET(
  _xlpm.w, CY$11,
  _xlpm.r, MATCH(1,('3. Enter Indicator Scores'!$B$10:$B$161=$B126)*('3. Enter Indicator Scores'!$C$10:$C$161=$C126),0),
  _xlpm.c, MATCH(CY$8,'3. Enter Indicator Scores'!$D$8:$CZ$8,0),
  _xlpm.v, IFERROR(INDEX('3. Enter Indicator Scores'!$D$10:$CZ$161,_xlpm.r,_xlpm.c),""),
  IF(OR(_xlpm.w="",_xlpm.v=""),"",_xlpm.v*_xlpm.w)
)</f>
        <v/>
      </c>
      <c r="CZ126" s="93" t="str" cm="1">
        <f t="array" ref="CZ126">_xlfn.LET(
  _xlpm.w, CZ$11,
  _xlpm.r, MATCH(1,('3. Enter Indicator Scores'!$B$10:$B$161=$B126)*('3. Enter Indicator Scores'!$C$10:$C$161=$C126),0),
  _xlpm.c, MATCH(CZ$8,'3. Enter Indicator Scores'!$D$8:$CZ$8,0),
  _xlpm.v, IFERROR(INDEX('3. Enter Indicator Scores'!$D$10:$CZ$161,_xlpm.r,_xlpm.c),""),
  IF(OR(_xlpm.w="",_xlpm.v=""),"",_xlpm.v*_xlpm.w)
)</f>
        <v/>
      </c>
    </row>
    <row r="127" spans="4:104" x14ac:dyDescent="0.2">
      <c r="D127" s="93" t="str" cm="1">
        <f t="array" ref="D127">_xlfn.LET(
  _xlpm.w, D$11,
  _xlpm.r, MATCH(1,('3. Enter Indicator Scores'!$B$10:$B$161=$B127)*('3. Enter Indicator Scores'!$C$10:$C$161=$C127),0),
  _xlpm.c, MATCH(D$8,'3. Enter Indicator Scores'!$D$8:$CZ$8,0),
  _xlpm.v, IFERROR(INDEX('3. Enter Indicator Scores'!$D$10:$CZ$161,_xlpm.r,_xlpm.c),""),
  IF(OR(_xlpm.w="",_xlpm.v=""),"",_xlpm.v*_xlpm.w)
)</f>
        <v/>
      </c>
      <c r="E127" s="93" t="str" cm="1">
        <f t="array" ref="E127">_xlfn.LET(
  _xlpm.w, E$11,
  _xlpm.r, MATCH(1,('3. Enter Indicator Scores'!$B$10:$B$161=$B127)*('3. Enter Indicator Scores'!$C$10:$C$161=$C127),0),
  _xlpm.c, MATCH(E$8,'3. Enter Indicator Scores'!$D$8:$CZ$8,0),
  _xlpm.v, IFERROR(INDEX('3. Enter Indicator Scores'!$D$10:$CZ$161,_xlpm.r,_xlpm.c),""),
  IF(OR(_xlpm.w="",_xlpm.v=""),"",_xlpm.v*_xlpm.w)
)</f>
        <v/>
      </c>
      <c r="F127" s="93" t="str" cm="1">
        <f t="array" ref="F127">_xlfn.LET(
  _xlpm.w, F$11,
  _xlpm.r, MATCH(1,('3. Enter Indicator Scores'!$B$10:$B$161=$B127)*('3. Enter Indicator Scores'!$C$10:$C$161=$C127),0),
  _xlpm.c, MATCH(F$8,'3. Enter Indicator Scores'!$D$8:$CZ$8,0),
  _xlpm.v, IFERROR(INDEX('3. Enter Indicator Scores'!$D$10:$CZ$161,_xlpm.r,_xlpm.c),""),
  IF(OR(_xlpm.w="",_xlpm.v=""),"",_xlpm.v*_xlpm.w)
)</f>
        <v/>
      </c>
      <c r="G127" s="93" t="str" cm="1">
        <f t="array" ref="G127">_xlfn.LET(
  _xlpm.w, G$11,
  _xlpm.r, MATCH(1,('3. Enter Indicator Scores'!$B$10:$B$161=$B127)*('3. Enter Indicator Scores'!$C$10:$C$161=$C127),0),
  _xlpm.c, MATCH(G$8,'3. Enter Indicator Scores'!$D$8:$CZ$8,0),
  _xlpm.v, IFERROR(INDEX('3. Enter Indicator Scores'!$D$10:$CZ$161,_xlpm.r,_xlpm.c),""),
  IF(OR(_xlpm.w="",_xlpm.v=""),"",_xlpm.v*_xlpm.w)
)</f>
        <v/>
      </c>
      <c r="H127" s="93" t="str" cm="1">
        <f t="array" ref="H127">_xlfn.LET(
  _xlpm.w, H$11,
  _xlpm.r, MATCH(1,('3. Enter Indicator Scores'!$B$10:$B$161=$B127)*('3. Enter Indicator Scores'!$C$10:$C$161=$C127),0),
  _xlpm.c, MATCH(H$8,'3. Enter Indicator Scores'!$D$8:$CZ$8,0),
  _xlpm.v, IFERROR(INDEX('3. Enter Indicator Scores'!$D$10:$CZ$161,_xlpm.r,_xlpm.c),""),
  IF(OR(_xlpm.w="",_xlpm.v=""),"",_xlpm.v*_xlpm.w)
)</f>
        <v/>
      </c>
      <c r="I127" s="93" t="str" cm="1">
        <f t="array" ref="I127">_xlfn.LET(
  _xlpm.w, I$11,
  _xlpm.r, MATCH(1,('3. Enter Indicator Scores'!$B$10:$B$161=$B127)*('3. Enter Indicator Scores'!$C$10:$C$161=$C127),0),
  _xlpm.c, MATCH(I$8,'3. Enter Indicator Scores'!$D$8:$CZ$8,0),
  _xlpm.v, IFERROR(INDEX('3. Enter Indicator Scores'!$D$10:$CZ$161,_xlpm.r,_xlpm.c),""),
  IF(OR(_xlpm.w="",_xlpm.v=""),"",_xlpm.v*_xlpm.w)
)</f>
        <v/>
      </c>
      <c r="J127" s="93" t="str" cm="1">
        <f t="array" ref="J127">_xlfn.LET(
  _xlpm.w, J$11,
  _xlpm.r, MATCH(1,('3. Enter Indicator Scores'!$B$10:$B$161=$B127)*('3. Enter Indicator Scores'!$C$10:$C$161=$C127),0),
  _xlpm.c, MATCH(J$8,'3. Enter Indicator Scores'!$D$8:$CZ$8,0),
  _xlpm.v, IFERROR(INDEX('3. Enter Indicator Scores'!$D$10:$CZ$161,_xlpm.r,_xlpm.c),""),
  IF(OR(_xlpm.w="",_xlpm.v=""),"",_xlpm.v*_xlpm.w)
)</f>
        <v/>
      </c>
      <c r="K127" s="93" t="str" cm="1">
        <f t="array" ref="K127">_xlfn.LET(
  _xlpm.w, K$11,
  _xlpm.r, MATCH(1,('3. Enter Indicator Scores'!$B$10:$B$161=$B127)*('3. Enter Indicator Scores'!$C$10:$C$161=$C127),0),
  _xlpm.c, MATCH(K$8,'3. Enter Indicator Scores'!$D$8:$CZ$8,0),
  _xlpm.v, IFERROR(INDEX('3. Enter Indicator Scores'!$D$10:$CZ$161,_xlpm.r,_xlpm.c),""),
  IF(OR(_xlpm.w="",_xlpm.v=""),"",_xlpm.v*_xlpm.w)
)</f>
        <v/>
      </c>
      <c r="L127" s="93" t="str" cm="1">
        <f t="array" ref="L127">_xlfn.LET(
  _xlpm.w, L$11,
  _xlpm.r, MATCH(1,('3. Enter Indicator Scores'!$B$10:$B$161=$B127)*('3. Enter Indicator Scores'!$C$10:$C$161=$C127),0),
  _xlpm.c, MATCH(L$8,'3. Enter Indicator Scores'!$D$8:$CZ$8,0),
  _xlpm.v, IFERROR(INDEX('3. Enter Indicator Scores'!$D$10:$CZ$161,_xlpm.r,_xlpm.c),""),
  IF(OR(_xlpm.w="",_xlpm.v=""),"",_xlpm.v*_xlpm.w)
)</f>
        <v/>
      </c>
      <c r="M127" s="93" t="str" cm="1">
        <f t="array" ref="M127">_xlfn.LET(
  _xlpm.w, M$11,
  _xlpm.r, MATCH(1,('3. Enter Indicator Scores'!$B$10:$B$161=$B127)*('3. Enter Indicator Scores'!$C$10:$C$161=$C127),0),
  _xlpm.c, MATCH(M$8,'3. Enter Indicator Scores'!$D$8:$CZ$8,0),
  _xlpm.v, IFERROR(INDEX('3. Enter Indicator Scores'!$D$10:$CZ$161,_xlpm.r,_xlpm.c),""),
  IF(OR(_xlpm.w="",_xlpm.v=""),"",_xlpm.v*_xlpm.w)
)</f>
        <v/>
      </c>
      <c r="N127" s="93" t="str" cm="1">
        <f t="array" ref="N127">_xlfn.LET(
  _xlpm.w, N$11,
  _xlpm.r, MATCH(1,('3. Enter Indicator Scores'!$B$10:$B$161=$B127)*('3. Enter Indicator Scores'!$C$10:$C$161=$C127),0),
  _xlpm.c, MATCH(N$8,'3. Enter Indicator Scores'!$D$8:$CZ$8,0),
  _xlpm.v, IFERROR(INDEX('3. Enter Indicator Scores'!$D$10:$CZ$161,_xlpm.r,_xlpm.c),""),
  IF(OR(_xlpm.w="",_xlpm.v=""),"",_xlpm.v*_xlpm.w)
)</f>
        <v/>
      </c>
      <c r="O127" s="93" t="str" cm="1">
        <f t="array" ref="O127">_xlfn.LET(
  _xlpm.w, O$11,
  _xlpm.r, MATCH(1,('3. Enter Indicator Scores'!$B$10:$B$161=$B127)*('3. Enter Indicator Scores'!$C$10:$C$161=$C127),0),
  _xlpm.c, MATCH(O$8,'3. Enter Indicator Scores'!$D$8:$CZ$8,0),
  _xlpm.v, IFERROR(INDEX('3. Enter Indicator Scores'!$D$10:$CZ$161,_xlpm.r,_xlpm.c),""),
  IF(OR(_xlpm.w="",_xlpm.v=""),"",_xlpm.v*_xlpm.w)
)</f>
        <v/>
      </c>
      <c r="P127" s="93" t="str" cm="1">
        <f t="array" ref="P127">_xlfn.LET(
  _xlpm.w, P$11,
  _xlpm.r, MATCH(1,('3. Enter Indicator Scores'!$B$10:$B$161=$B127)*('3. Enter Indicator Scores'!$C$10:$C$161=$C127),0),
  _xlpm.c, MATCH(P$8,'3. Enter Indicator Scores'!$D$8:$CZ$8,0),
  _xlpm.v, IFERROR(INDEX('3. Enter Indicator Scores'!$D$10:$CZ$161,_xlpm.r,_xlpm.c),""),
  IF(OR(_xlpm.w="",_xlpm.v=""),"",_xlpm.v*_xlpm.w)
)</f>
        <v/>
      </c>
      <c r="Q127" s="93" t="str" cm="1">
        <f t="array" ref="Q127">_xlfn.LET(
  _xlpm.w, Q$11,
  _xlpm.r, MATCH(1,('3. Enter Indicator Scores'!$B$10:$B$161=$B127)*('3. Enter Indicator Scores'!$C$10:$C$161=$C127),0),
  _xlpm.c, MATCH(Q$8,'3. Enter Indicator Scores'!$D$8:$CZ$8,0),
  _xlpm.v, IFERROR(INDEX('3. Enter Indicator Scores'!$D$10:$CZ$161,_xlpm.r,_xlpm.c),""),
  IF(OR(_xlpm.w="",_xlpm.v=""),"",_xlpm.v*_xlpm.w)
)</f>
        <v/>
      </c>
      <c r="R127" s="93" t="str" cm="1">
        <f t="array" ref="R127">_xlfn.LET(
  _xlpm.w, R$11,
  _xlpm.r, MATCH(1,('3. Enter Indicator Scores'!$B$10:$B$161=$B127)*('3. Enter Indicator Scores'!$C$10:$C$161=$C127),0),
  _xlpm.c, MATCH(R$8,'3. Enter Indicator Scores'!$D$8:$CZ$8,0),
  _xlpm.v, IFERROR(INDEX('3. Enter Indicator Scores'!$D$10:$CZ$161,_xlpm.r,_xlpm.c),""),
  IF(OR(_xlpm.w="",_xlpm.v=""),"",_xlpm.v*_xlpm.w)
)</f>
        <v/>
      </c>
      <c r="S127" s="93" t="str" cm="1">
        <f t="array" ref="S127">_xlfn.LET(
  _xlpm.w, S$11,
  _xlpm.r, MATCH(1,('3. Enter Indicator Scores'!$B$10:$B$161=$B127)*('3. Enter Indicator Scores'!$C$10:$C$161=$C127),0),
  _xlpm.c, MATCH(S$8,'3. Enter Indicator Scores'!$D$8:$CZ$8,0),
  _xlpm.v, IFERROR(INDEX('3. Enter Indicator Scores'!$D$10:$CZ$161,_xlpm.r,_xlpm.c),""),
  IF(OR(_xlpm.w="",_xlpm.v=""),"",_xlpm.v*_xlpm.w)
)</f>
        <v/>
      </c>
      <c r="T127" s="93" t="str" cm="1">
        <f t="array" ref="T127">_xlfn.LET(
  _xlpm.w, T$11,
  _xlpm.r, MATCH(1,('3. Enter Indicator Scores'!$B$10:$B$161=$B127)*('3. Enter Indicator Scores'!$C$10:$C$161=$C127),0),
  _xlpm.c, MATCH(T$8,'3. Enter Indicator Scores'!$D$8:$CZ$8,0),
  _xlpm.v, IFERROR(INDEX('3. Enter Indicator Scores'!$D$10:$CZ$161,_xlpm.r,_xlpm.c),""),
  IF(OR(_xlpm.w="",_xlpm.v=""),"",_xlpm.v*_xlpm.w)
)</f>
        <v/>
      </c>
      <c r="U127" s="93" t="str" cm="1">
        <f t="array" ref="U127">_xlfn.LET(
  _xlpm.w, U$11,
  _xlpm.r, MATCH(1,('3. Enter Indicator Scores'!$B$10:$B$161=$B127)*('3. Enter Indicator Scores'!$C$10:$C$161=$C127),0),
  _xlpm.c, MATCH(U$8,'3. Enter Indicator Scores'!$D$8:$CZ$8,0),
  _xlpm.v, IFERROR(INDEX('3. Enter Indicator Scores'!$D$10:$CZ$161,_xlpm.r,_xlpm.c),""),
  IF(OR(_xlpm.w="",_xlpm.v=""),"",_xlpm.v*_xlpm.w)
)</f>
        <v/>
      </c>
      <c r="V127" s="93" t="str" cm="1">
        <f t="array" ref="V127">_xlfn.LET(
  _xlpm.w, V$11,
  _xlpm.r, MATCH(1,('3. Enter Indicator Scores'!$B$10:$B$161=$B127)*('3. Enter Indicator Scores'!$C$10:$C$161=$C127),0),
  _xlpm.c, MATCH(V$8,'3. Enter Indicator Scores'!$D$8:$CZ$8,0),
  _xlpm.v, IFERROR(INDEX('3. Enter Indicator Scores'!$D$10:$CZ$161,_xlpm.r,_xlpm.c),""),
  IF(OR(_xlpm.w="",_xlpm.v=""),"",_xlpm.v*_xlpm.w)
)</f>
        <v/>
      </c>
      <c r="W127" s="93" t="str" cm="1">
        <f t="array" ref="W127">_xlfn.LET(
  _xlpm.w, W$11,
  _xlpm.r, MATCH(1,('3. Enter Indicator Scores'!$B$10:$B$161=$B127)*('3. Enter Indicator Scores'!$C$10:$C$161=$C127),0),
  _xlpm.c, MATCH(W$8,'3. Enter Indicator Scores'!$D$8:$CZ$8,0),
  _xlpm.v, IFERROR(INDEX('3. Enter Indicator Scores'!$D$10:$CZ$161,_xlpm.r,_xlpm.c),""),
  IF(OR(_xlpm.w="",_xlpm.v=""),"",_xlpm.v*_xlpm.w)
)</f>
        <v/>
      </c>
      <c r="X127" s="93" t="str" cm="1">
        <f t="array" ref="X127">_xlfn.LET(
  _xlpm.w, X$11,
  _xlpm.r, MATCH(1,('3. Enter Indicator Scores'!$B$10:$B$161=$B127)*('3. Enter Indicator Scores'!$C$10:$C$161=$C127),0),
  _xlpm.c, MATCH(X$8,'3. Enter Indicator Scores'!$D$8:$CZ$8,0),
  _xlpm.v, IFERROR(INDEX('3. Enter Indicator Scores'!$D$10:$CZ$161,_xlpm.r,_xlpm.c),""),
  IF(OR(_xlpm.w="",_xlpm.v=""),"",_xlpm.v*_xlpm.w)
)</f>
        <v/>
      </c>
      <c r="Y127" s="93" t="str" cm="1">
        <f t="array" ref="Y127">_xlfn.LET(
  _xlpm.w, Y$11,
  _xlpm.r, MATCH(1,('3. Enter Indicator Scores'!$B$10:$B$161=$B127)*('3. Enter Indicator Scores'!$C$10:$C$161=$C127),0),
  _xlpm.c, MATCH(Y$8,'3. Enter Indicator Scores'!$D$8:$CZ$8,0),
  _xlpm.v, IFERROR(INDEX('3. Enter Indicator Scores'!$D$10:$CZ$161,_xlpm.r,_xlpm.c),""),
  IF(OR(_xlpm.w="",_xlpm.v=""),"",_xlpm.v*_xlpm.w)
)</f>
        <v/>
      </c>
      <c r="Z127" s="93" t="str" cm="1">
        <f t="array" ref="Z127">_xlfn.LET(
  _xlpm.w, Z$11,
  _xlpm.r, MATCH(1,('3. Enter Indicator Scores'!$B$10:$B$161=$B127)*('3. Enter Indicator Scores'!$C$10:$C$161=$C127),0),
  _xlpm.c, MATCH(Z$8,'3. Enter Indicator Scores'!$D$8:$CZ$8,0),
  _xlpm.v, IFERROR(INDEX('3. Enter Indicator Scores'!$D$10:$CZ$161,_xlpm.r,_xlpm.c),""),
  IF(OR(_xlpm.w="",_xlpm.v=""),"",_xlpm.v*_xlpm.w)
)</f>
        <v/>
      </c>
      <c r="AA127" s="93" t="str" cm="1">
        <f t="array" ref="AA127">_xlfn.LET(
  _xlpm.w, AA$11,
  _xlpm.r, MATCH(1,('3. Enter Indicator Scores'!$B$10:$B$161=$B127)*('3. Enter Indicator Scores'!$C$10:$C$161=$C127),0),
  _xlpm.c, MATCH(AA$8,'3. Enter Indicator Scores'!$D$8:$CZ$8,0),
  _xlpm.v, IFERROR(INDEX('3. Enter Indicator Scores'!$D$10:$CZ$161,_xlpm.r,_xlpm.c),""),
  IF(OR(_xlpm.w="",_xlpm.v=""),"",_xlpm.v*_xlpm.w)
)</f>
        <v/>
      </c>
      <c r="AB127" s="93" t="str" cm="1">
        <f t="array" ref="AB127">_xlfn.LET(
  _xlpm.w, AB$11,
  _xlpm.r, MATCH(1,('3. Enter Indicator Scores'!$B$10:$B$161=$B127)*('3. Enter Indicator Scores'!$C$10:$C$161=$C127),0),
  _xlpm.c, MATCH(AB$8,'3. Enter Indicator Scores'!$D$8:$CZ$8,0),
  _xlpm.v, IFERROR(INDEX('3. Enter Indicator Scores'!$D$10:$CZ$161,_xlpm.r,_xlpm.c),""),
  IF(OR(_xlpm.w="",_xlpm.v=""),"",_xlpm.v*_xlpm.w)
)</f>
        <v/>
      </c>
      <c r="AC127" s="93" t="str" cm="1">
        <f t="array" ref="AC127">_xlfn.LET(
  _xlpm.w, AC$11,
  _xlpm.r, MATCH(1,('3. Enter Indicator Scores'!$B$10:$B$161=$B127)*('3. Enter Indicator Scores'!$C$10:$C$161=$C127),0),
  _xlpm.c, MATCH(AC$8,'3. Enter Indicator Scores'!$D$8:$CZ$8,0),
  _xlpm.v, IFERROR(INDEX('3. Enter Indicator Scores'!$D$10:$CZ$161,_xlpm.r,_xlpm.c),""),
  IF(OR(_xlpm.w="",_xlpm.v=""),"",_xlpm.v*_xlpm.w)
)</f>
        <v/>
      </c>
      <c r="AD127" s="93" t="str" cm="1">
        <f t="array" ref="AD127">_xlfn.LET(
  _xlpm.w, AD$11,
  _xlpm.r, MATCH(1,('3. Enter Indicator Scores'!$B$10:$B$161=$B127)*('3. Enter Indicator Scores'!$C$10:$C$161=$C127),0),
  _xlpm.c, MATCH(AD$8,'3. Enter Indicator Scores'!$D$8:$CZ$8,0),
  _xlpm.v, IFERROR(INDEX('3. Enter Indicator Scores'!$D$10:$CZ$161,_xlpm.r,_xlpm.c),""),
  IF(OR(_xlpm.w="",_xlpm.v=""),"",_xlpm.v*_xlpm.w)
)</f>
        <v/>
      </c>
      <c r="AE127" s="93" t="str" cm="1">
        <f t="array" ref="AE127">_xlfn.LET(
  _xlpm.w, AE$11,
  _xlpm.r, MATCH(1,('3. Enter Indicator Scores'!$B$10:$B$161=$B127)*('3. Enter Indicator Scores'!$C$10:$C$161=$C127),0),
  _xlpm.c, MATCH(AE$8,'3. Enter Indicator Scores'!$D$8:$CZ$8,0),
  _xlpm.v, IFERROR(INDEX('3. Enter Indicator Scores'!$D$10:$CZ$161,_xlpm.r,_xlpm.c),""),
  IF(OR(_xlpm.w="",_xlpm.v=""),"",_xlpm.v*_xlpm.w)
)</f>
        <v/>
      </c>
      <c r="AF127" s="93" t="str" cm="1">
        <f t="array" ref="AF127">_xlfn.LET(
  _xlpm.w, AF$11,
  _xlpm.r, MATCH(1,('3. Enter Indicator Scores'!$B$10:$B$161=$B127)*('3. Enter Indicator Scores'!$C$10:$C$161=$C127),0),
  _xlpm.c, MATCH(AF$8,'3. Enter Indicator Scores'!$D$8:$CZ$8,0),
  _xlpm.v, IFERROR(INDEX('3. Enter Indicator Scores'!$D$10:$CZ$161,_xlpm.r,_xlpm.c),""),
  IF(OR(_xlpm.w="",_xlpm.v=""),"",_xlpm.v*_xlpm.w)
)</f>
        <v/>
      </c>
      <c r="AG127" s="93" t="str" cm="1">
        <f t="array" ref="AG127">_xlfn.LET(
  _xlpm.w, AG$11,
  _xlpm.r, MATCH(1,('3. Enter Indicator Scores'!$B$10:$B$161=$B127)*('3. Enter Indicator Scores'!$C$10:$C$161=$C127),0),
  _xlpm.c, MATCH(AG$8,'3. Enter Indicator Scores'!$D$8:$CZ$8,0),
  _xlpm.v, IFERROR(INDEX('3. Enter Indicator Scores'!$D$10:$CZ$161,_xlpm.r,_xlpm.c),""),
  IF(OR(_xlpm.w="",_xlpm.v=""),"",_xlpm.v*_xlpm.w)
)</f>
        <v/>
      </c>
      <c r="AH127" s="93" t="str" cm="1">
        <f t="array" ref="AH127">_xlfn.LET(
  _xlpm.w, AH$11,
  _xlpm.r, MATCH(1,('3. Enter Indicator Scores'!$B$10:$B$161=$B127)*('3. Enter Indicator Scores'!$C$10:$C$161=$C127),0),
  _xlpm.c, MATCH(AH$8,'3. Enter Indicator Scores'!$D$8:$CZ$8,0),
  _xlpm.v, IFERROR(INDEX('3. Enter Indicator Scores'!$D$10:$CZ$161,_xlpm.r,_xlpm.c),""),
  IF(OR(_xlpm.w="",_xlpm.v=""),"",_xlpm.v*_xlpm.w)
)</f>
        <v/>
      </c>
      <c r="AI127" s="93" t="str" cm="1">
        <f t="array" ref="AI127">_xlfn.LET(
  _xlpm.w, AI$11,
  _xlpm.r, MATCH(1,('3. Enter Indicator Scores'!$B$10:$B$161=$B127)*('3. Enter Indicator Scores'!$C$10:$C$161=$C127),0),
  _xlpm.c, MATCH(AI$8,'3. Enter Indicator Scores'!$D$8:$CZ$8,0),
  _xlpm.v, IFERROR(INDEX('3. Enter Indicator Scores'!$D$10:$CZ$161,_xlpm.r,_xlpm.c),""),
  IF(OR(_xlpm.w="",_xlpm.v=""),"",_xlpm.v*_xlpm.w)
)</f>
        <v/>
      </c>
      <c r="AJ127" s="93" t="str" cm="1">
        <f t="array" ref="AJ127">_xlfn.LET(
  _xlpm.w, AJ$11,
  _xlpm.r, MATCH(1,('3. Enter Indicator Scores'!$B$10:$B$161=$B127)*('3. Enter Indicator Scores'!$C$10:$C$161=$C127),0),
  _xlpm.c, MATCH(AJ$8,'3. Enter Indicator Scores'!$D$8:$CZ$8,0),
  _xlpm.v, IFERROR(INDEX('3. Enter Indicator Scores'!$D$10:$CZ$161,_xlpm.r,_xlpm.c),""),
  IF(OR(_xlpm.w="",_xlpm.v=""),"",_xlpm.v*_xlpm.w)
)</f>
        <v/>
      </c>
      <c r="AK127" s="93" t="str" cm="1">
        <f t="array" ref="AK127">_xlfn.LET(
  _xlpm.w, AK$11,
  _xlpm.r, MATCH(1,('3. Enter Indicator Scores'!$B$10:$B$161=$B127)*('3. Enter Indicator Scores'!$C$10:$C$161=$C127),0),
  _xlpm.c, MATCH(AK$8,'3. Enter Indicator Scores'!$D$8:$CZ$8,0),
  _xlpm.v, IFERROR(INDEX('3. Enter Indicator Scores'!$D$10:$CZ$161,_xlpm.r,_xlpm.c),""),
  IF(OR(_xlpm.w="",_xlpm.v=""),"",_xlpm.v*_xlpm.w)
)</f>
        <v/>
      </c>
      <c r="AL127" s="93" t="str" cm="1">
        <f t="array" ref="AL127">_xlfn.LET(
  _xlpm.w, AL$11,
  _xlpm.r, MATCH(1,('3. Enter Indicator Scores'!$B$10:$B$161=$B127)*('3. Enter Indicator Scores'!$C$10:$C$161=$C127),0),
  _xlpm.c, MATCH(AL$8,'3. Enter Indicator Scores'!$D$8:$CZ$8,0),
  _xlpm.v, IFERROR(INDEX('3. Enter Indicator Scores'!$D$10:$CZ$161,_xlpm.r,_xlpm.c),""),
  IF(OR(_xlpm.w="",_xlpm.v=""),"",_xlpm.v*_xlpm.w)
)</f>
        <v/>
      </c>
      <c r="AM127" s="93" t="str" cm="1">
        <f t="array" ref="AM127">_xlfn.LET(
  _xlpm.w, AM$11,
  _xlpm.r, MATCH(1,('3. Enter Indicator Scores'!$B$10:$B$161=$B127)*('3. Enter Indicator Scores'!$C$10:$C$161=$C127),0),
  _xlpm.c, MATCH(AM$8,'3. Enter Indicator Scores'!$D$8:$CZ$8,0),
  _xlpm.v, IFERROR(INDEX('3. Enter Indicator Scores'!$D$10:$CZ$161,_xlpm.r,_xlpm.c),""),
  IF(OR(_xlpm.w="",_xlpm.v=""),"",_xlpm.v*_xlpm.w)
)</f>
        <v/>
      </c>
      <c r="AN127" s="93" t="str" cm="1">
        <f t="array" ref="AN127">_xlfn.LET(
  _xlpm.w, AN$11,
  _xlpm.r, MATCH(1,('3. Enter Indicator Scores'!$B$10:$B$161=$B127)*('3. Enter Indicator Scores'!$C$10:$C$161=$C127),0),
  _xlpm.c, MATCH(AN$8,'3. Enter Indicator Scores'!$D$8:$CZ$8,0),
  _xlpm.v, IFERROR(INDEX('3. Enter Indicator Scores'!$D$10:$CZ$161,_xlpm.r,_xlpm.c),""),
  IF(OR(_xlpm.w="",_xlpm.v=""),"",_xlpm.v*_xlpm.w)
)</f>
        <v/>
      </c>
      <c r="AO127" s="93" t="str" cm="1">
        <f t="array" ref="AO127">_xlfn.LET(
  _xlpm.w, AO$11,
  _xlpm.r, MATCH(1,('3. Enter Indicator Scores'!$B$10:$B$161=$B127)*('3. Enter Indicator Scores'!$C$10:$C$161=$C127),0),
  _xlpm.c, MATCH(AO$8,'3. Enter Indicator Scores'!$D$8:$CZ$8,0),
  _xlpm.v, IFERROR(INDEX('3. Enter Indicator Scores'!$D$10:$CZ$161,_xlpm.r,_xlpm.c),""),
  IF(OR(_xlpm.w="",_xlpm.v=""),"",_xlpm.v*_xlpm.w)
)</f>
        <v/>
      </c>
      <c r="AP127" s="93" t="str" cm="1">
        <f t="array" ref="AP127">_xlfn.LET(
  _xlpm.w, AP$11,
  _xlpm.r, MATCH(1,('3. Enter Indicator Scores'!$B$10:$B$161=$B127)*('3. Enter Indicator Scores'!$C$10:$C$161=$C127),0),
  _xlpm.c, MATCH(AP$8,'3. Enter Indicator Scores'!$D$8:$CZ$8,0),
  _xlpm.v, IFERROR(INDEX('3. Enter Indicator Scores'!$D$10:$CZ$161,_xlpm.r,_xlpm.c),""),
  IF(OR(_xlpm.w="",_xlpm.v=""),"",_xlpm.v*_xlpm.w)
)</f>
        <v/>
      </c>
      <c r="AQ127" s="93" t="str" cm="1">
        <f t="array" ref="AQ127">_xlfn.LET(
  _xlpm.w, AQ$11,
  _xlpm.r, MATCH(1,('3. Enter Indicator Scores'!$B$10:$B$161=$B127)*('3. Enter Indicator Scores'!$C$10:$C$161=$C127),0),
  _xlpm.c, MATCH(AQ$8,'3. Enter Indicator Scores'!$D$8:$CZ$8,0),
  _xlpm.v, IFERROR(INDEX('3. Enter Indicator Scores'!$D$10:$CZ$161,_xlpm.r,_xlpm.c),""),
  IF(OR(_xlpm.w="",_xlpm.v=""),"",_xlpm.v*_xlpm.w)
)</f>
        <v/>
      </c>
      <c r="AR127" s="93" t="str" cm="1">
        <f t="array" ref="AR127">_xlfn.LET(
  _xlpm.w, AR$11,
  _xlpm.r, MATCH(1,('3. Enter Indicator Scores'!$B$10:$B$161=$B127)*('3. Enter Indicator Scores'!$C$10:$C$161=$C127),0),
  _xlpm.c, MATCH(AR$8,'3. Enter Indicator Scores'!$D$8:$CZ$8,0),
  _xlpm.v, IFERROR(INDEX('3. Enter Indicator Scores'!$D$10:$CZ$161,_xlpm.r,_xlpm.c),""),
  IF(OR(_xlpm.w="",_xlpm.v=""),"",_xlpm.v*_xlpm.w)
)</f>
        <v/>
      </c>
      <c r="AS127" s="93" t="str" cm="1">
        <f t="array" ref="AS127">_xlfn.LET(
  _xlpm.w, AS$11,
  _xlpm.r, MATCH(1,('3. Enter Indicator Scores'!$B$10:$B$161=$B127)*('3. Enter Indicator Scores'!$C$10:$C$161=$C127),0),
  _xlpm.c, MATCH(AS$8,'3. Enter Indicator Scores'!$D$8:$CZ$8,0),
  _xlpm.v, IFERROR(INDEX('3. Enter Indicator Scores'!$D$10:$CZ$161,_xlpm.r,_xlpm.c),""),
  IF(OR(_xlpm.w="",_xlpm.v=""),"",_xlpm.v*_xlpm.w)
)</f>
        <v/>
      </c>
      <c r="AT127" s="93" t="str" cm="1">
        <f t="array" ref="AT127">_xlfn.LET(
  _xlpm.w, AT$11,
  _xlpm.r, MATCH(1,('3. Enter Indicator Scores'!$B$10:$B$161=$B127)*('3. Enter Indicator Scores'!$C$10:$C$161=$C127),0),
  _xlpm.c, MATCH(AT$8,'3. Enter Indicator Scores'!$D$8:$CZ$8,0),
  _xlpm.v, IFERROR(INDEX('3. Enter Indicator Scores'!$D$10:$CZ$161,_xlpm.r,_xlpm.c),""),
  IF(OR(_xlpm.w="",_xlpm.v=""),"",_xlpm.v*_xlpm.w)
)</f>
        <v/>
      </c>
      <c r="AU127" s="93" t="str" cm="1">
        <f t="array" ref="AU127">_xlfn.LET(
  _xlpm.w, AU$11,
  _xlpm.r, MATCH(1,('3. Enter Indicator Scores'!$B$10:$B$161=$B127)*('3. Enter Indicator Scores'!$C$10:$C$161=$C127),0),
  _xlpm.c, MATCH(AU$8,'3. Enter Indicator Scores'!$D$8:$CZ$8,0),
  _xlpm.v, IFERROR(INDEX('3. Enter Indicator Scores'!$D$10:$CZ$161,_xlpm.r,_xlpm.c),""),
  IF(OR(_xlpm.w="",_xlpm.v=""),"",_xlpm.v*_xlpm.w)
)</f>
        <v/>
      </c>
      <c r="AV127" s="93" t="str" cm="1">
        <f t="array" ref="AV127">_xlfn.LET(
  _xlpm.w, AV$11,
  _xlpm.r, MATCH(1,('3. Enter Indicator Scores'!$B$10:$B$161=$B127)*('3. Enter Indicator Scores'!$C$10:$C$161=$C127),0),
  _xlpm.c, MATCH(AV$8,'3. Enter Indicator Scores'!$D$8:$CZ$8,0),
  _xlpm.v, IFERROR(INDEX('3. Enter Indicator Scores'!$D$10:$CZ$161,_xlpm.r,_xlpm.c),""),
  IF(OR(_xlpm.w="",_xlpm.v=""),"",_xlpm.v*_xlpm.w)
)</f>
        <v/>
      </c>
      <c r="AW127" s="93" t="str" cm="1">
        <f t="array" ref="AW127">_xlfn.LET(
  _xlpm.w, AW$11,
  _xlpm.r, MATCH(1,('3. Enter Indicator Scores'!$B$10:$B$161=$B127)*('3. Enter Indicator Scores'!$C$10:$C$161=$C127),0),
  _xlpm.c, MATCH(AW$8,'3. Enter Indicator Scores'!$D$8:$CZ$8,0),
  _xlpm.v, IFERROR(INDEX('3. Enter Indicator Scores'!$D$10:$CZ$161,_xlpm.r,_xlpm.c),""),
  IF(OR(_xlpm.w="",_xlpm.v=""),"",_xlpm.v*_xlpm.w)
)</f>
        <v/>
      </c>
      <c r="AX127" s="93" t="str" cm="1">
        <f t="array" ref="AX127">_xlfn.LET(
  _xlpm.w, AX$11,
  _xlpm.r, MATCH(1,('3. Enter Indicator Scores'!$B$10:$B$161=$B127)*('3. Enter Indicator Scores'!$C$10:$C$161=$C127),0),
  _xlpm.c, MATCH(AX$8,'3. Enter Indicator Scores'!$D$8:$CZ$8,0),
  _xlpm.v, IFERROR(INDEX('3. Enter Indicator Scores'!$D$10:$CZ$161,_xlpm.r,_xlpm.c),""),
  IF(OR(_xlpm.w="",_xlpm.v=""),"",_xlpm.v*_xlpm.w)
)</f>
        <v/>
      </c>
      <c r="AY127" s="93" t="str" cm="1">
        <f t="array" ref="AY127">_xlfn.LET(
  _xlpm.w, AY$11,
  _xlpm.r, MATCH(1,('3. Enter Indicator Scores'!$B$10:$B$161=$B127)*('3. Enter Indicator Scores'!$C$10:$C$161=$C127),0),
  _xlpm.c, MATCH(AY$8,'3. Enter Indicator Scores'!$D$8:$CZ$8,0),
  _xlpm.v, IFERROR(INDEX('3. Enter Indicator Scores'!$D$10:$CZ$161,_xlpm.r,_xlpm.c),""),
  IF(OR(_xlpm.w="",_xlpm.v=""),"",_xlpm.v*_xlpm.w)
)</f>
        <v/>
      </c>
      <c r="AZ127" s="93" t="str" cm="1">
        <f t="array" ref="AZ127">_xlfn.LET(
  _xlpm.w, AZ$11,
  _xlpm.r, MATCH(1,('3. Enter Indicator Scores'!$B$10:$B$161=$B127)*('3. Enter Indicator Scores'!$C$10:$C$161=$C127),0),
  _xlpm.c, MATCH(AZ$8,'3. Enter Indicator Scores'!$D$8:$CZ$8,0),
  _xlpm.v, IFERROR(INDEX('3. Enter Indicator Scores'!$D$10:$CZ$161,_xlpm.r,_xlpm.c),""),
  IF(OR(_xlpm.w="",_xlpm.v=""),"",_xlpm.v*_xlpm.w)
)</f>
        <v/>
      </c>
      <c r="BA127" s="93" t="str" cm="1">
        <f t="array" ref="BA127">_xlfn.LET(
  _xlpm.w, BA$11,
  _xlpm.r, MATCH(1,('3. Enter Indicator Scores'!$B$10:$B$161=$B127)*('3. Enter Indicator Scores'!$C$10:$C$161=$C127),0),
  _xlpm.c, MATCH(BA$8,'3. Enter Indicator Scores'!$D$8:$CZ$8,0),
  _xlpm.v, IFERROR(INDEX('3. Enter Indicator Scores'!$D$10:$CZ$161,_xlpm.r,_xlpm.c),""),
  IF(OR(_xlpm.w="",_xlpm.v=""),"",_xlpm.v*_xlpm.w)
)</f>
        <v/>
      </c>
      <c r="BB127" s="93" t="str" cm="1">
        <f t="array" ref="BB127">_xlfn.LET(
  _xlpm.w, BB$11,
  _xlpm.r, MATCH(1,('3. Enter Indicator Scores'!$B$10:$B$161=$B127)*('3. Enter Indicator Scores'!$C$10:$C$161=$C127),0),
  _xlpm.c, MATCH(BB$8,'3. Enter Indicator Scores'!$D$8:$CZ$8,0),
  _xlpm.v, IFERROR(INDEX('3. Enter Indicator Scores'!$D$10:$CZ$161,_xlpm.r,_xlpm.c),""),
  IF(OR(_xlpm.w="",_xlpm.v=""),"",_xlpm.v*_xlpm.w)
)</f>
        <v/>
      </c>
      <c r="BC127" s="93" t="str" cm="1">
        <f t="array" ref="BC127">_xlfn.LET(
  _xlpm.w, BC$11,
  _xlpm.r, MATCH(1,('3. Enter Indicator Scores'!$B$10:$B$161=$B127)*('3. Enter Indicator Scores'!$C$10:$C$161=$C127),0),
  _xlpm.c, MATCH(BC$8,'3. Enter Indicator Scores'!$D$8:$CZ$8,0),
  _xlpm.v, IFERROR(INDEX('3. Enter Indicator Scores'!$D$10:$CZ$161,_xlpm.r,_xlpm.c),""),
  IF(OR(_xlpm.w="",_xlpm.v=""),"",_xlpm.v*_xlpm.w)
)</f>
        <v/>
      </c>
      <c r="BD127" s="93" t="str" cm="1">
        <f t="array" ref="BD127">_xlfn.LET(
  _xlpm.w, BD$11,
  _xlpm.r, MATCH(1,('3. Enter Indicator Scores'!$B$10:$B$161=$B127)*('3. Enter Indicator Scores'!$C$10:$C$161=$C127),0),
  _xlpm.c, MATCH(BD$8,'3. Enter Indicator Scores'!$D$8:$CZ$8,0),
  _xlpm.v, IFERROR(INDEX('3. Enter Indicator Scores'!$D$10:$CZ$161,_xlpm.r,_xlpm.c),""),
  IF(OR(_xlpm.w="",_xlpm.v=""),"",_xlpm.v*_xlpm.w)
)</f>
        <v/>
      </c>
      <c r="BE127" s="93" t="str" cm="1">
        <f t="array" ref="BE127">_xlfn.LET(
  _xlpm.w, BE$11,
  _xlpm.r, MATCH(1,('3. Enter Indicator Scores'!$B$10:$B$161=$B127)*('3. Enter Indicator Scores'!$C$10:$C$161=$C127),0),
  _xlpm.c, MATCH(BE$8,'3. Enter Indicator Scores'!$D$8:$CZ$8,0),
  _xlpm.v, IFERROR(INDEX('3. Enter Indicator Scores'!$D$10:$CZ$161,_xlpm.r,_xlpm.c),""),
  IF(OR(_xlpm.w="",_xlpm.v=""),"",_xlpm.v*_xlpm.w)
)</f>
        <v/>
      </c>
      <c r="BF127" s="93" t="str" cm="1">
        <f t="array" ref="BF127">_xlfn.LET(
  _xlpm.w, BF$11,
  _xlpm.r, MATCH(1,('3. Enter Indicator Scores'!$B$10:$B$161=$B127)*('3. Enter Indicator Scores'!$C$10:$C$161=$C127),0),
  _xlpm.c, MATCH(BF$8,'3. Enter Indicator Scores'!$D$8:$CZ$8,0),
  _xlpm.v, IFERROR(INDEX('3. Enter Indicator Scores'!$D$10:$CZ$161,_xlpm.r,_xlpm.c),""),
  IF(OR(_xlpm.w="",_xlpm.v=""),"",_xlpm.v*_xlpm.w)
)</f>
        <v/>
      </c>
      <c r="BG127" s="93" t="str" cm="1">
        <f t="array" ref="BG127">_xlfn.LET(
  _xlpm.w, BG$11,
  _xlpm.r, MATCH(1,('3. Enter Indicator Scores'!$B$10:$B$161=$B127)*('3. Enter Indicator Scores'!$C$10:$C$161=$C127),0),
  _xlpm.c, MATCH(BG$8,'3. Enter Indicator Scores'!$D$8:$CZ$8,0),
  _xlpm.v, IFERROR(INDEX('3. Enter Indicator Scores'!$D$10:$CZ$161,_xlpm.r,_xlpm.c),""),
  IF(OR(_xlpm.w="",_xlpm.v=""),"",_xlpm.v*_xlpm.w)
)</f>
        <v/>
      </c>
      <c r="BH127" s="93" t="str" cm="1">
        <f t="array" ref="BH127">_xlfn.LET(
  _xlpm.w, BH$11,
  _xlpm.r, MATCH(1,('3. Enter Indicator Scores'!$B$10:$B$161=$B127)*('3. Enter Indicator Scores'!$C$10:$C$161=$C127),0),
  _xlpm.c, MATCH(BH$8,'3. Enter Indicator Scores'!$D$8:$CZ$8,0),
  _xlpm.v, IFERROR(INDEX('3. Enter Indicator Scores'!$D$10:$CZ$161,_xlpm.r,_xlpm.c),""),
  IF(OR(_xlpm.w="",_xlpm.v=""),"",_xlpm.v*_xlpm.w)
)</f>
        <v/>
      </c>
      <c r="BI127" s="93" t="str" cm="1">
        <f t="array" ref="BI127">_xlfn.LET(
  _xlpm.w, BI$11,
  _xlpm.r, MATCH(1,('3. Enter Indicator Scores'!$B$10:$B$161=$B127)*('3. Enter Indicator Scores'!$C$10:$C$161=$C127),0),
  _xlpm.c, MATCH(BI$8,'3. Enter Indicator Scores'!$D$8:$CZ$8,0),
  _xlpm.v, IFERROR(INDEX('3. Enter Indicator Scores'!$D$10:$CZ$161,_xlpm.r,_xlpm.c),""),
  IF(OR(_xlpm.w="",_xlpm.v=""),"",_xlpm.v*_xlpm.w)
)</f>
        <v/>
      </c>
      <c r="BJ127" s="93" t="str" cm="1">
        <f t="array" ref="BJ127">_xlfn.LET(
  _xlpm.w, BJ$11,
  _xlpm.r, MATCH(1,('3. Enter Indicator Scores'!$B$10:$B$161=$B127)*('3. Enter Indicator Scores'!$C$10:$C$161=$C127),0),
  _xlpm.c, MATCH(BJ$8,'3. Enter Indicator Scores'!$D$8:$CZ$8,0),
  _xlpm.v, IFERROR(INDEX('3. Enter Indicator Scores'!$D$10:$CZ$161,_xlpm.r,_xlpm.c),""),
  IF(OR(_xlpm.w="",_xlpm.v=""),"",_xlpm.v*_xlpm.w)
)</f>
        <v/>
      </c>
      <c r="BK127" s="93" t="str" cm="1">
        <f t="array" ref="BK127">_xlfn.LET(
  _xlpm.w, BK$11,
  _xlpm.r, MATCH(1,('3. Enter Indicator Scores'!$B$10:$B$161=$B127)*('3. Enter Indicator Scores'!$C$10:$C$161=$C127),0),
  _xlpm.c, MATCH(BK$8,'3. Enter Indicator Scores'!$D$8:$CZ$8,0),
  _xlpm.v, IFERROR(INDEX('3. Enter Indicator Scores'!$D$10:$CZ$161,_xlpm.r,_xlpm.c),""),
  IF(OR(_xlpm.w="",_xlpm.v=""),"",_xlpm.v*_xlpm.w)
)</f>
        <v/>
      </c>
      <c r="BL127" s="93" t="str" cm="1">
        <f t="array" ref="BL127">_xlfn.LET(
  _xlpm.w, BL$11,
  _xlpm.r, MATCH(1,('3. Enter Indicator Scores'!$B$10:$B$161=$B127)*('3. Enter Indicator Scores'!$C$10:$C$161=$C127),0),
  _xlpm.c, MATCH(BL$8,'3. Enter Indicator Scores'!$D$8:$CZ$8,0),
  _xlpm.v, IFERROR(INDEX('3. Enter Indicator Scores'!$D$10:$CZ$161,_xlpm.r,_xlpm.c),""),
  IF(OR(_xlpm.w="",_xlpm.v=""),"",_xlpm.v*_xlpm.w)
)</f>
        <v/>
      </c>
      <c r="BM127" s="93" t="str" cm="1">
        <f t="array" ref="BM127">_xlfn.LET(
  _xlpm.w, BM$11,
  _xlpm.r, MATCH(1,('3. Enter Indicator Scores'!$B$10:$B$161=$B127)*('3. Enter Indicator Scores'!$C$10:$C$161=$C127),0),
  _xlpm.c, MATCH(BM$8,'3. Enter Indicator Scores'!$D$8:$CZ$8,0),
  _xlpm.v, IFERROR(INDEX('3. Enter Indicator Scores'!$D$10:$CZ$161,_xlpm.r,_xlpm.c),""),
  IF(OR(_xlpm.w="",_xlpm.v=""),"",_xlpm.v*_xlpm.w)
)</f>
        <v/>
      </c>
      <c r="BN127" s="93" t="str" cm="1">
        <f t="array" ref="BN127">_xlfn.LET(
  _xlpm.w, BN$11,
  _xlpm.r, MATCH(1,('3. Enter Indicator Scores'!$B$10:$B$161=$B127)*('3. Enter Indicator Scores'!$C$10:$C$161=$C127),0),
  _xlpm.c, MATCH(BN$8,'3. Enter Indicator Scores'!$D$8:$CZ$8,0),
  _xlpm.v, IFERROR(INDEX('3. Enter Indicator Scores'!$D$10:$CZ$161,_xlpm.r,_xlpm.c),""),
  IF(OR(_xlpm.w="",_xlpm.v=""),"",_xlpm.v*_xlpm.w)
)</f>
        <v/>
      </c>
      <c r="BO127" s="93" t="str" cm="1">
        <f t="array" ref="BO127">_xlfn.LET(
  _xlpm.w, BO$11,
  _xlpm.r, MATCH(1,('3. Enter Indicator Scores'!$B$10:$B$161=$B127)*('3. Enter Indicator Scores'!$C$10:$C$161=$C127),0),
  _xlpm.c, MATCH(BO$8,'3. Enter Indicator Scores'!$D$8:$CZ$8,0),
  _xlpm.v, IFERROR(INDEX('3. Enter Indicator Scores'!$D$10:$CZ$161,_xlpm.r,_xlpm.c),""),
  IF(OR(_xlpm.w="",_xlpm.v=""),"",_xlpm.v*_xlpm.w)
)</f>
        <v/>
      </c>
      <c r="BP127" s="93" t="str" cm="1">
        <f t="array" ref="BP127">_xlfn.LET(
  _xlpm.w, BP$11,
  _xlpm.r, MATCH(1,('3. Enter Indicator Scores'!$B$10:$B$161=$B127)*('3. Enter Indicator Scores'!$C$10:$C$161=$C127),0),
  _xlpm.c, MATCH(BP$8,'3. Enter Indicator Scores'!$D$8:$CZ$8,0),
  _xlpm.v, IFERROR(INDEX('3. Enter Indicator Scores'!$D$10:$CZ$161,_xlpm.r,_xlpm.c),""),
  IF(OR(_xlpm.w="",_xlpm.v=""),"",_xlpm.v*_xlpm.w)
)</f>
        <v/>
      </c>
      <c r="BQ127" s="93" t="str" cm="1">
        <f t="array" ref="BQ127">_xlfn.LET(
  _xlpm.w, BQ$11,
  _xlpm.r, MATCH(1,('3. Enter Indicator Scores'!$B$10:$B$161=$B127)*('3. Enter Indicator Scores'!$C$10:$C$161=$C127),0),
  _xlpm.c, MATCH(BQ$8,'3. Enter Indicator Scores'!$D$8:$CZ$8,0),
  _xlpm.v, IFERROR(INDEX('3. Enter Indicator Scores'!$D$10:$CZ$161,_xlpm.r,_xlpm.c),""),
  IF(OR(_xlpm.w="",_xlpm.v=""),"",_xlpm.v*_xlpm.w)
)</f>
        <v/>
      </c>
      <c r="BR127" s="93" t="str" cm="1">
        <f t="array" ref="BR127">_xlfn.LET(
  _xlpm.w, BR$11,
  _xlpm.r, MATCH(1,('3. Enter Indicator Scores'!$B$10:$B$161=$B127)*('3. Enter Indicator Scores'!$C$10:$C$161=$C127),0),
  _xlpm.c, MATCH(BR$8,'3. Enter Indicator Scores'!$D$8:$CZ$8,0),
  _xlpm.v, IFERROR(INDEX('3. Enter Indicator Scores'!$D$10:$CZ$161,_xlpm.r,_xlpm.c),""),
  IF(OR(_xlpm.w="",_xlpm.v=""),"",_xlpm.v*_xlpm.w)
)</f>
        <v/>
      </c>
      <c r="BS127" s="93" t="str" cm="1">
        <f t="array" ref="BS127">_xlfn.LET(
  _xlpm.w, BS$11,
  _xlpm.r, MATCH(1,('3. Enter Indicator Scores'!$B$10:$B$161=$B127)*('3. Enter Indicator Scores'!$C$10:$C$161=$C127),0),
  _xlpm.c, MATCH(BS$8,'3. Enter Indicator Scores'!$D$8:$CZ$8,0),
  _xlpm.v, IFERROR(INDEX('3. Enter Indicator Scores'!$D$10:$CZ$161,_xlpm.r,_xlpm.c),""),
  IF(OR(_xlpm.w="",_xlpm.v=""),"",_xlpm.v*_xlpm.w)
)</f>
        <v/>
      </c>
      <c r="BT127" s="93" t="str" cm="1">
        <f t="array" ref="BT127">_xlfn.LET(
  _xlpm.w, BT$11,
  _xlpm.r, MATCH(1,('3. Enter Indicator Scores'!$B$10:$B$161=$B127)*('3. Enter Indicator Scores'!$C$10:$C$161=$C127),0),
  _xlpm.c, MATCH(BT$8,'3. Enter Indicator Scores'!$D$8:$CZ$8,0),
  _xlpm.v, IFERROR(INDEX('3. Enter Indicator Scores'!$D$10:$CZ$161,_xlpm.r,_xlpm.c),""),
  IF(OR(_xlpm.w="",_xlpm.v=""),"",_xlpm.v*_xlpm.w)
)</f>
        <v/>
      </c>
      <c r="BU127" s="93" t="str" cm="1">
        <f t="array" ref="BU127">_xlfn.LET(
  _xlpm.w, BU$11,
  _xlpm.r, MATCH(1,('3. Enter Indicator Scores'!$B$10:$B$161=$B127)*('3. Enter Indicator Scores'!$C$10:$C$161=$C127),0),
  _xlpm.c, MATCH(BU$8,'3. Enter Indicator Scores'!$D$8:$CZ$8,0),
  _xlpm.v, IFERROR(INDEX('3. Enter Indicator Scores'!$D$10:$CZ$161,_xlpm.r,_xlpm.c),""),
  IF(OR(_xlpm.w="",_xlpm.v=""),"",_xlpm.v*_xlpm.w)
)</f>
        <v/>
      </c>
      <c r="BV127" s="93" t="str" cm="1">
        <f t="array" ref="BV127">_xlfn.LET(
  _xlpm.w, BV$11,
  _xlpm.r, MATCH(1,('3. Enter Indicator Scores'!$B$10:$B$161=$B127)*('3. Enter Indicator Scores'!$C$10:$C$161=$C127),0),
  _xlpm.c, MATCH(BV$8,'3. Enter Indicator Scores'!$D$8:$CZ$8,0),
  _xlpm.v, IFERROR(INDEX('3. Enter Indicator Scores'!$D$10:$CZ$161,_xlpm.r,_xlpm.c),""),
  IF(OR(_xlpm.w="",_xlpm.v=""),"",_xlpm.v*_xlpm.w)
)</f>
        <v/>
      </c>
      <c r="BW127" s="93" t="str" cm="1">
        <f t="array" ref="BW127">_xlfn.LET(
  _xlpm.w, BW$11,
  _xlpm.r, MATCH(1,('3. Enter Indicator Scores'!$B$10:$B$161=$B127)*('3. Enter Indicator Scores'!$C$10:$C$161=$C127),0),
  _xlpm.c, MATCH(BW$8,'3. Enter Indicator Scores'!$D$8:$CZ$8,0),
  _xlpm.v, IFERROR(INDEX('3. Enter Indicator Scores'!$D$10:$CZ$161,_xlpm.r,_xlpm.c),""),
  IF(OR(_xlpm.w="",_xlpm.v=""),"",_xlpm.v*_xlpm.w)
)</f>
        <v/>
      </c>
      <c r="BX127" s="93" t="str" cm="1">
        <f t="array" ref="BX127">_xlfn.LET(
  _xlpm.w, BX$11,
  _xlpm.r, MATCH(1,('3. Enter Indicator Scores'!$B$10:$B$161=$B127)*('3. Enter Indicator Scores'!$C$10:$C$161=$C127),0),
  _xlpm.c, MATCH(BX$8,'3. Enter Indicator Scores'!$D$8:$CZ$8,0),
  _xlpm.v, IFERROR(INDEX('3. Enter Indicator Scores'!$D$10:$CZ$161,_xlpm.r,_xlpm.c),""),
  IF(OR(_xlpm.w="",_xlpm.v=""),"",_xlpm.v*_xlpm.w)
)</f>
        <v/>
      </c>
      <c r="BY127" s="93" t="str" cm="1">
        <f t="array" ref="BY127">_xlfn.LET(
  _xlpm.w, BY$11,
  _xlpm.r, MATCH(1,('3. Enter Indicator Scores'!$B$10:$B$161=$B127)*('3. Enter Indicator Scores'!$C$10:$C$161=$C127),0),
  _xlpm.c, MATCH(BY$8,'3. Enter Indicator Scores'!$D$8:$CZ$8,0),
  _xlpm.v, IFERROR(INDEX('3. Enter Indicator Scores'!$D$10:$CZ$161,_xlpm.r,_xlpm.c),""),
  IF(OR(_xlpm.w="",_xlpm.v=""),"",_xlpm.v*_xlpm.w)
)</f>
        <v/>
      </c>
      <c r="BZ127" s="93" t="str" cm="1">
        <f t="array" ref="BZ127">_xlfn.LET(
  _xlpm.w, BZ$11,
  _xlpm.r, MATCH(1,('3. Enter Indicator Scores'!$B$10:$B$161=$B127)*('3. Enter Indicator Scores'!$C$10:$C$161=$C127),0),
  _xlpm.c, MATCH(BZ$8,'3. Enter Indicator Scores'!$D$8:$CZ$8,0),
  _xlpm.v, IFERROR(INDEX('3. Enter Indicator Scores'!$D$10:$CZ$161,_xlpm.r,_xlpm.c),""),
  IF(OR(_xlpm.w="",_xlpm.v=""),"",_xlpm.v*_xlpm.w)
)</f>
        <v/>
      </c>
      <c r="CA127" s="93" t="str" cm="1">
        <f t="array" ref="CA127">_xlfn.LET(
  _xlpm.w, CA$11,
  _xlpm.r, MATCH(1,('3. Enter Indicator Scores'!$B$10:$B$161=$B127)*('3. Enter Indicator Scores'!$C$10:$C$161=$C127),0),
  _xlpm.c, MATCH(CA$8,'3. Enter Indicator Scores'!$D$8:$CZ$8,0),
  _xlpm.v, IFERROR(INDEX('3. Enter Indicator Scores'!$D$10:$CZ$161,_xlpm.r,_xlpm.c),""),
  IF(OR(_xlpm.w="",_xlpm.v=""),"",_xlpm.v*_xlpm.w)
)</f>
        <v/>
      </c>
      <c r="CB127" s="93" t="str" cm="1">
        <f t="array" ref="CB127">_xlfn.LET(
  _xlpm.w, CB$11,
  _xlpm.r, MATCH(1,('3. Enter Indicator Scores'!$B$10:$B$161=$B127)*('3. Enter Indicator Scores'!$C$10:$C$161=$C127),0),
  _xlpm.c, MATCH(CB$8,'3. Enter Indicator Scores'!$D$8:$CZ$8,0),
  _xlpm.v, IFERROR(INDEX('3. Enter Indicator Scores'!$D$10:$CZ$161,_xlpm.r,_xlpm.c),""),
  IF(OR(_xlpm.w="",_xlpm.v=""),"",_xlpm.v*_xlpm.w)
)</f>
        <v/>
      </c>
      <c r="CC127" s="93" t="str" cm="1">
        <f t="array" ref="CC127">_xlfn.LET(
  _xlpm.w, CC$11,
  _xlpm.r, MATCH(1,('3. Enter Indicator Scores'!$B$10:$B$161=$B127)*('3. Enter Indicator Scores'!$C$10:$C$161=$C127),0),
  _xlpm.c, MATCH(CC$8,'3. Enter Indicator Scores'!$D$8:$CZ$8,0),
  _xlpm.v, IFERROR(INDEX('3. Enter Indicator Scores'!$D$10:$CZ$161,_xlpm.r,_xlpm.c),""),
  IF(OR(_xlpm.w="",_xlpm.v=""),"",_xlpm.v*_xlpm.w)
)</f>
        <v/>
      </c>
      <c r="CD127" s="93" t="str" cm="1">
        <f t="array" ref="CD127">_xlfn.LET(
  _xlpm.w, CD$11,
  _xlpm.r, MATCH(1,('3. Enter Indicator Scores'!$B$10:$B$161=$B127)*('3. Enter Indicator Scores'!$C$10:$C$161=$C127),0),
  _xlpm.c, MATCH(CD$8,'3. Enter Indicator Scores'!$D$8:$CZ$8,0),
  _xlpm.v, IFERROR(INDEX('3. Enter Indicator Scores'!$D$10:$CZ$161,_xlpm.r,_xlpm.c),""),
  IF(OR(_xlpm.w="",_xlpm.v=""),"",_xlpm.v*_xlpm.w)
)</f>
        <v/>
      </c>
      <c r="CE127" s="93" t="str" cm="1">
        <f t="array" ref="CE127">_xlfn.LET(
  _xlpm.w, CE$11,
  _xlpm.r, MATCH(1,('3. Enter Indicator Scores'!$B$10:$B$161=$B127)*('3. Enter Indicator Scores'!$C$10:$C$161=$C127),0),
  _xlpm.c, MATCH(CE$8,'3. Enter Indicator Scores'!$D$8:$CZ$8,0),
  _xlpm.v, IFERROR(INDEX('3. Enter Indicator Scores'!$D$10:$CZ$161,_xlpm.r,_xlpm.c),""),
  IF(OR(_xlpm.w="",_xlpm.v=""),"",_xlpm.v*_xlpm.w)
)</f>
        <v/>
      </c>
      <c r="CF127" s="93" t="str" cm="1">
        <f t="array" ref="CF127">_xlfn.LET(
  _xlpm.w, CF$11,
  _xlpm.r, MATCH(1,('3. Enter Indicator Scores'!$B$10:$B$161=$B127)*('3. Enter Indicator Scores'!$C$10:$C$161=$C127),0),
  _xlpm.c, MATCH(CF$8,'3. Enter Indicator Scores'!$D$8:$CZ$8,0),
  _xlpm.v, IFERROR(INDEX('3. Enter Indicator Scores'!$D$10:$CZ$161,_xlpm.r,_xlpm.c),""),
  IF(OR(_xlpm.w="",_xlpm.v=""),"",_xlpm.v*_xlpm.w)
)</f>
        <v/>
      </c>
      <c r="CG127" s="93" t="str" cm="1">
        <f t="array" ref="CG127">_xlfn.LET(
  _xlpm.w, CG$11,
  _xlpm.r, MATCH(1,('3. Enter Indicator Scores'!$B$10:$B$161=$B127)*('3. Enter Indicator Scores'!$C$10:$C$161=$C127),0),
  _xlpm.c, MATCH(CG$8,'3. Enter Indicator Scores'!$D$8:$CZ$8,0),
  _xlpm.v, IFERROR(INDEX('3. Enter Indicator Scores'!$D$10:$CZ$161,_xlpm.r,_xlpm.c),""),
  IF(OR(_xlpm.w="",_xlpm.v=""),"",_xlpm.v*_xlpm.w)
)</f>
        <v/>
      </c>
      <c r="CH127" s="93" t="str" cm="1">
        <f t="array" ref="CH127">_xlfn.LET(
  _xlpm.w, CH$11,
  _xlpm.r, MATCH(1,('3. Enter Indicator Scores'!$B$10:$B$161=$B127)*('3. Enter Indicator Scores'!$C$10:$C$161=$C127),0),
  _xlpm.c, MATCH(CH$8,'3. Enter Indicator Scores'!$D$8:$CZ$8,0),
  _xlpm.v, IFERROR(INDEX('3. Enter Indicator Scores'!$D$10:$CZ$161,_xlpm.r,_xlpm.c),""),
  IF(OR(_xlpm.w="",_xlpm.v=""),"",_xlpm.v*_xlpm.w)
)</f>
        <v/>
      </c>
      <c r="CI127" s="93" t="str" cm="1">
        <f t="array" ref="CI127">_xlfn.LET(
  _xlpm.w, CI$11,
  _xlpm.r, MATCH(1,('3. Enter Indicator Scores'!$B$10:$B$161=$B127)*('3. Enter Indicator Scores'!$C$10:$C$161=$C127),0),
  _xlpm.c, MATCH(CI$8,'3. Enter Indicator Scores'!$D$8:$CZ$8,0),
  _xlpm.v, IFERROR(INDEX('3. Enter Indicator Scores'!$D$10:$CZ$161,_xlpm.r,_xlpm.c),""),
  IF(OR(_xlpm.w="",_xlpm.v=""),"",_xlpm.v*_xlpm.w)
)</f>
        <v/>
      </c>
      <c r="CJ127" s="93" t="str" cm="1">
        <f t="array" ref="CJ127">_xlfn.LET(
  _xlpm.w, CJ$11,
  _xlpm.r, MATCH(1,('3. Enter Indicator Scores'!$B$10:$B$161=$B127)*('3. Enter Indicator Scores'!$C$10:$C$161=$C127),0),
  _xlpm.c, MATCH(CJ$8,'3. Enter Indicator Scores'!$D$8:$CZ$8,0),
  _xlpm.v, IFERROR(INDEX('3. Enter Indicator Scores'!$D$10:$CZ$161,_xlpm.r,_xlpm.c),""),
  IF(OR(_xlpm.w="",_xlpm.v=""),"",_xlpm.v*_xlpm.w)
)</f>
        <v/>
      </c>
      <c r="CK127" s="93" t="str" cm="1">
        <f t="array" ref="CK127">_xlfn.LET(
  _xlpm.w, CK$11,
  _xlpm.r, MATCH(1,('3. Enter Indicator Scores'!$B$10:$B$161=$B127)*('3. Enter Indicator Scores'!$C$10:$C$161=$C127),0),
  _xlpm.c, MATCH(CK$8,'3. Enter Indicator Scores'!$D$8:$CZ$8,0),
  _xlpm.v, IFERROR(INDEX('3. Enter Indicator Scores'!$D$10:$CZ$161,_xlpm.r,_xlpm.c),""),
  IF(OR(_xlpm.w="",_xlpm.v=""),"",_xlpm.v*_xlpm.w)
)</f>
        <v/>
      </c>
      <c r="CL127" s="93" t="str" cm="1">
        <f t="array" ref="CL127">_xlfn.LET(
  _xlpm.w, CL$11,
  _xlpm.r, MATCH(1,('3. Enter Indicator Scores'!$B$10:$B$161=$B127)*('3. Enter Indicator Scores'!$C$10:$C$161=$C127),0),
  _xlpm.c, MATCH(CL$8,'3. Enter Indicator Scores'!$D$8:$CZ$8,0),
  _xlpm.v, IFERROR(INDEX('3. Enter Indicator Scores'!$D$10:$CZ$161,_xlpm.r,_xlpm.c),""),
  IF(OR(_xlpm.w="",_xlpm.v=""),"",_xlpm.v*_xlpm.w)
)</f>
        <v/>
      </c>
      <c r="CM127" s="93" t="str" cm="1">
        <f t="array" ref="CM127">_xlfn.LET(
  _xlpm.w, CM$11,
  _xlpm.r, MATCH(1,('3. Enter Indicator Scores'!$B$10:$B$161=$B127)*('3. Enter Indicator Scores'!$C$10:$C$161=$C127),0),
  _xlpm.c, MATCH(CM$8,'3. Enter Indicator Scores'!$D$8:$CZ$8,0),
  _xlpm.v, IFERROR(INDEX('3. Enter Indicator Scores'!$D$10:$CZ$161,_xlpm.r,_xlpm.c),""),
  IF(OR(_xlpm.w="",_xlpm.v=""),"",_xlpm.v*_xlpm.w)
)</f>
        <v/>
      </c>
      <c r="CN127" s="93" t="str" cm="1">
        <f t="array" ref="CN127">_xlfn.LET(
  _xlpm.w, CN$11,
  _xlpm.r, MATCH(1,('3. Enter Indicator Scores'!$B$10:$B$161=$B127)*('3. Enter Indicator Scores'!$C$10:$C$161=$C127),0),
  _xlpm.c, MATCH(CN$8,'3. Enter Indicator Scores'!$D$8:$CZ$8,0),
  _xlpm.v, IFERROR(INDEX('3. Enter Indicator Scores'!$D$10:$CZ$161,_xlpm.r,_xlpm.c),""),
  IF(OR(_xlpm.w="",_xlpm.v=""),"",_xlpm.v*_xlpm.w)
)</f>
        <v/>
      </c>
      <c r="CO127" s="93" t="str" cm="1">
        <f t="array" ref="CO127">_xlfn.LET(
  _xlpm.w, CO$11,
  _xlpm.r, MATCH(1,('3. Enter Indicator Scores'!$B$10:$B$161=$B127)*('3. Enter Indicator Scores'!$C$10:$C$161=$C127),0),
  _xlpm.c, MATCH(CO$8,'3. Enter Indicator Scores'!$D$8:$CZ$8,0),
  _xlpm.v, IFERROR(INDEX('3. Enter Indicator Scores'!$D$10:$CZ$161,_xlpm.r,_xlpm.c),""),
  IF(OR(_xlpm.w="",_xlpm.v=""),"",_xlpm.v*_xlpm.w)
)</f>
        <v/>
      </c>
      <c r="CP127" s="93" t="str" cm="1">
        <f t="array" ref="CP127">_xlfn.LET(
  _xlpm.w, CP$11,
  _xlpm.r, MATCH(1,('3. Enter Indicator Scores'!$B$10:$B$161=$B127)*('3. Enter Indicator Scores'!$C$10:$C$161=$C127),0),
  _xlpm.c, MATCH(CP$8,'3. Enter Indicator Scores'!$D$8:$CZ$8,0),
  _xlpm.v, IFERROR(INDEX('3. Enter Indicator Scores'!$D$10:$CZ$161,_xlpm.r,_xlpm.c),""),
  IF(OR(_xlpm.w="",_xlpm.v=""),"",_xlpm.v*_xlpm.w)
)</f>
        <v/>
      </c>
      <c r="CQ127" s="93" t="str" cm="1">
        <f t="array" ref="CQ127">_xlfn.LET(
  _xlpm.w, CQ$11,
  _xlpm.r, MATCH(1,('3. Enter Indicator Scores'!$B$10:$B$161=$B127)*('3. Enter Indicator Scores'!$C$10:$C$161=$C127),0),
  _xlpm.c, MATCH(CQ$8,'3. Enter Indicator Scores'!$D$8:$CZ$8,0),
  _xlpm.v, IFERROR(INDEX('3. Enter Indicator Scores'!$D$10:$CZ$161,_xlpm.r,_xlpm.c),""),
  IF(OR(_xlpm.w="",_xlpm.v=""),"",_xlpm.v*_xlpm.w)
)</f>
        <v/>
      </c>
      <c r="CR127" s="93" t="str" cm="1">
        <f t="array" ref="CR127">_xlfn.LET(
  _xlpm.w, CR$11,
  _xlpm.r, MATCH(1,('3. Enter Indicator Scores'!$B$10:$B$161=$B127)*('3. Enter Indicator Scores'!$C$10:$C$161=$C127),0),
  _xlpm.c, MATCH(CR$8,'3. Enter Indicator Scores'!$D$8:$CZ$8,0),
  _xlpm.v, IFERROR(INDEX('3. Enter Indicator Scores'!$D$10:$CZ$161,_xlpm.r,_xlpm.c),""),
  IF(OR(_xlpm.w="",_xlpm.v=""),"",_xlpm.v*_xlpm.w)
)</f>
        <v/>
      </c>
      <c r="CS127" s="93" t="str" cm="1">
        <f t="array" ref="CS127">_xlfn.LET(
  _xlpm.w, CS$11,
  _xlpm.r, MATCH(1,('3. Enter Indicator Scores'!$B$10:$B$161=$B127)*('3. Enter Indicator Scores'!$C$10:$C$161=$C127),0),
  _xlpm.c, MATCH(CS$8,'3. Enter Indicator Scores'!$D$8:$CZ$8,0),
  _xlpm.v, IFERROR(INDEX('3. Enter Indicator Scores'!$D$10:$CZ$161,_xlpm.r,_xlpm.c),""),
  IF(OR(_xlpm.w="",_xlpm.v=""),"",_xlpm.v*_xlpm.w)
)</f>
        <v/>
      </c>
      <c r="CT127" s="93" t="str" cm="1">
        <f t="array" ref="CT127">_xlfn.LET(
  _xlpm.w, CT$11,
  _xlpm.r, MATCH(1,('3. Enter Indicator Scores'!$B$10:$B$161=$B127)*('3. Enter Indicator Scores'!$C$10:$C$161=$C127),0),
  _xlpm.c, MATCH(CT$8,'3. Enter Indicator Scores'!$D$8:$CZ$8,0),
  _xlpm.v, IFERROR(INDEX('3. Enter Indicator Scores'!$D$10:$CZ$161,_xlpm.r,_xlpm.c),""),
  IF(OR(_xlpm.w="",_xlpm.v=""),"",_xlpm.v*_xlpm.w)
)</f>
        <v/>
      </c>
      <c r="CU127" s="93" t="str" cm="1">
        <f t="array" ref="CU127">_xlfn.LET(
  _xlpm.w, CU$11,
  _xlpm.r, MATCH(1,('3. Enter Indicator Scores'!$B$10:$B$161=$B127)*('3. Enter Indicator Scores'!$C$10:$C$161=$C127),0),
  _xlpm.c, MATCH(CU$8,'3. Enter Indicator Scores'!$D$8:$CZ$8,0),
  _xlpm.v, IFERROR(INDEX('3. Enter Indicator Scores'!$D$10:$CZ$161,_xlpm.r,_xlpm.c),""),
  IF(OR(_xlpm.w="",_xlpm.v=""),"",_xlpm.v*_xlpm.w)
)</f>
        <v/>
      </c>
      <c r="CV127" s="93" t="str" cm="1">
        <f t="array" ref="CV127">_xlfn.LET(
  _xlpm.w, CV$11,
  _xlpm.r, MATCH(1,('3. Enter Indicator Scores'!$B$10:$B$161=$B127)*('3. Enter Indicator Scores'!$C$10:$C$161=$C127),0),
  _xlpm.c, MATCH(CV$8,'3. Enter Indicator Scores'!$D$8:$CZ$8,0),
  _xlpm.v, IFERROR(INDEX('3. Enter Indicator Scores'!$D$10:$CZ$161,_xlpm.r,_xlpm.c),""),
  IF(OR(_xlpm.w="",_xlpm.v=""),"",_xlpm.v*_xlpm.w)
)</f>
        <v/>
      </c>
      <c r="CW127" s="93" t="str" cm="1">
        <f t="array" ref="CW127">_xlfn.LET(
  _xlpm.w, CW$11,
  _xlpm.r, MATCH(1,('3. Enter Indicator Scores'!$B$10:$B$161=$B127)*('3. Enter Indicator Scores'!$C$10:$C$161=$C127),0),
  _xlpm.c, MATCH(CW$8,'3. Enter Indicator Scores'!$D$8:$CZ$8,0),
  _xlpm.v, IFERROR(INDEX('3. Enter Indicator Scores'!$D$10:$CZ$161,_xlpm.r,_xlpm.c),""),
  IF(OR(_xlpm.w="",_xlpm.v=""),"",_xlpm.v*_xlpm.w)
)</f>
        <v/>
      </c>
      <c r="CX127" s="93" t="str" cm="1">
        <f t="array" ref="CX127">_xlfn.LET(
  _xlpm.w, CX$11,
  _xlpm.r, MATCH(1,('3. Enter Indicator Scores'!$B$10:$B$161=$B127)*('3. Enter Indicator Scores'!$C$10:$C$161=$C127),0),
  _xlpm.c, MATCH(CX$8,'3. Enter Indicator Scores'!$D$8:$CZ$8,0),
  _xlpm.v, IFERROR(INDEX('3. Enter Indicator Scores'!$D$10:$CZ$161,_xlpm.r,_xlpm.c),""),
  IF(OR(_xlpm.w="",_xlpm.v=""),"",_xlpm.v*_xlpm.w)
)</f>
        <v/>
      </c>
      <c r="CY127" s="93" t="str" cm="1">
        <f t="array" ref="CY127">_xlfn.LET(
  _xlpm.w, CY$11,
  _xlpm.r, MATCH(1,('3. Enter Indicator Scores'!$B$10:$B$161=$B127)*('3. Enter Indicator Scores'!$C$10:$C$161=$C127),0),
  _xlpm.c, MATCH(CY$8,'3. Enter Indicator Scores'!$D$8:$CZ$8,0),
  _xlpm.v, IFERROR(INDEX('3. Enter Indicator Scores'!$D$10:$CZ$161,_xlpm.r,_xlpm.c),""),
  IF(OR(_xlpm.w="",_xlpm.v=""),"",_xlpm.v*_xlpm.w)
)</f>
        <v/>
      </c>
      <c r="CZ127" s="93" t="str" cm="1">
        <f t="array" ref="CZ127">_xlfn.LET(
  _xlpm.w, CZ$11,
  _xlpm.r, MATCH(1,('3. Enter Indicator Scores'!$B$10:$B$161=$B127)*('3. Enter Indicator Scores'!$C$10:$C$161=$C127),0),
  _xlpm.c, MATCH(CZ$8,'3. Enter Indicator Scores'!$D$8:$CZ$8,0),
  _xlpm.v, IFERROR(INDEX('3. Enter Indicator Scores'!$D$10:$CZ$161,_xlpm.r,_xlpm.c),""),
  IF(OR(_xlpm.w="",_xlpm.v=""),"",_xlpm.v*_xlpm.w)
)</f>
        <v/>
      </c>
    </row>
    <row r="128" spans="4:104" x14ac:dyDescent="0.2">
      <c r="D128" s="93" t="str" cm="1">
        <f t="array" ref="D128">_xlfn.LET(
  _xlpm.w, D$11,
  _xlpm.r, MATCH(1,('3. Enter Indicator Scores'!$B$10:$B$161=$B128)*('3. Enter Indicator Scores'!$C$10:$C$161=$C128),0),
  _xlpm.c, MATCH(D$8,'3. Enter Indicator Scores'!$D$8:$CZ$8,0),
  _xlpm.v, IFERROR(INDEX('3. Enter Indicator Scores'!$D$10:$CZ$161,_xlpm.r,_xlpm.c),""),
  IF(OR(_xlpm.w="",_xlpm.v=""),"",_xlpm.v*_xlpm.w)
)</f>
        <v/>
      </c>
      <c r="E128" s="93" t="str" cm="1">
        <f t="array" ref="E128">_xlfn.LET(
  _xlpm.w, E$11,
  _xlpm.r, MATCH(1,('3. Enter Indicator Scores'!$B$10:$B$161=$B128)*('3. Enter Indicator Scores'!$C$10:$C$161=$C128),0),
  _xlpm.c, MATCH(E$8,'3. Enter Indicator Scores'!$D$8:$CZ$8,0),
  _xlpm.v, IFERROR(INDEX('3. Enter Indicator Scores'!$D$10:$CZ$161,_xlpm.r,_xlpm.c),""),
  IF(OR(_xlpm.w="",_xlpm.v=""),"",_xlpm.v*_xlpm.w)
)</f>
        <v/>
      </c>
      <c r="F128" s="93" t="str" cm="1">
        <f t="array" ref="F128">_xlfn.LET(
  _xlpm.w, F$11,
  _xlpm.r, MATCH(1,('3. Enter Indicator Scores'!$B$10:$B$161=$B128)*('3. Enter Indicator Scores'!$C$10:$C$161=$C128),0),
  _xlpm.c, MATCH(F$8,'3. Enter Indicator Scores'!$D$8:$CZ$8,0),
  _xlpm.v, IFERROR(INDEX('3. Enter Indicator Scores'!$D$10:$CZ$161,_xlpm.r,_xlpm.c),""),
  IF(OR(_xlpm.w="",_xlpm.v=""),"",_xlpm.v*_xlpm.w)
)</f>
        <v/>
      </c>
      <c r="G128" s="93" t="str" cm="1">
        <f t="array" ref="G128">_xlfn.LET(
  _xlpm.w, G$11,
  _xlpm.r, MATCH(1,('3. Enter Indicator Scores'!$B$10:$B$161=$B128)*('3. Enter Indicator Scores'!$C$10:$C$161=$C128),0),
  _xlpm.c, MATCH(G$8,'3. Enter Indicator Scores'!$D$8:$CZ$8,0),
  _xlpm.v, IFERROR(INDEX('3. Enter Indicator Scores'!$D$10:$CZ$161,_xlpm.r,_xlpm.c),""),
  IF(OR(_xlpm.w="",_xlpm.v=""),"",_xlpm.v*_xlpm.w)
)</f>
        <v/>
      </c>
      <c r="H128" s="93" t="str" cm="1">
        <f t="array" ref="H128">_xlfn.LET(
  _xlpm.w, H$11,
  _xlpm.r, MATCH(1,('3. Enter Indicator Scores'!$B$10:$B$161=$B128)*('3. Enter Indicator Scores'!$C$10:$C$161=$C128),0),
  _xlpm.c, MATCH(H$8,'3. Enter Indicator Scores'!$D$8:$CZ$8,0),
  _xlpm.v, IFERROR(INDEX('3. Enter Indicator Scores'!$D$10:$CZ$161,_xlpm.r,_xlpm.c),""),
  IF(OR(_xlpm.w="",_xlpm.v=""),"",_xlpm.v*_xlpm.w)
)</f>
        <v/>
      </c>
      <c r="I128" s="93" t="str" cm="1">
        <f t="array" ref="I128">_xlfn.LET(
  _xlpm.w, I$11,
  _xlpm.r, MATCH(1,('3. Enter Indicator Scores'!$B$10:$B$161=$B128)*('3. Enter Indicator Scores'!$C$10:$C$161=$C128),0),
  _xlpm.c, MATCH(I$8,'3. Enter Indicator Scores'!$D$8:$CZ$8,0),
  _xlpm.v, IFERROR(INDEX('3. Enter Indicator Scores'!$D$10:$CZ$161,_xlpm.r,_xlpm.c),""),
  IF(OR(_xlpm.w="",_xlpm.v=""),"",_xlpm.v*_xlpm.w)
)</f>
        <v/>
      </c>
      <c r="J128" s="93" t="str" cm="1">
        <f t="array" ref="J128">_xlfn.LET(
  _xlpm.w, J$11,
  _xlpm.r, MATCH(1,('3. Enter Indicator Scores'!$B$10:$B$161=$B128)*('3. Enter Indicator Scores'!$C$10:$C$161=$C128),0),
  _xlpm.c, MATCH(J$8,'3. Enter Indicator Scores'!$D$8:$CZ$8,0),
  _xlpm.v, IFERROR(INDEX('3. Enter Indicator Scores'!$D$10:$CZ$161,_xlpm.r,_xlpm.c),""),
  IF(OR(_xlpm.w="",_xlpm.v=""),"",_xlpm.v*_xlpm.w)
)</f>
        <v/>
      </c>
      <c r="K128" s="93" t="str" cm="1">
        <f t="array" ref="K128">_xlfn.LET(
  _xlpm.w, K$11,
  _xlpm.r, MATCH(1,('3. Enter Indicator Scores'!$B$10:$B$161=$B128)*('3. Enter Indicator Scores'!$C$10:$C$161=$C128),0),
  _xlpm.c, MATCH(K$8,'3. Enter Indicator Scores'!$D$8:$CZ$8,0),
  _xlpm.v, IFERROR(INDEX('3. Enter Indicator Scores'!$D$10:$CZ$161,_xlpm.r,_xlpm.c),""),
  IF(OR(_xlpm.w="",_xlpm.v=""),"",_xlpm.v*_xlpm.w)
)</f>
        <v/>
      </c>
      <c r="L128" s="93" t="str" cm="1">
        <f t="array" ref="L128">_xlfn.LET(
  _xlpm.w, L$11,
  _xlpm.r, MATCH(1,('3. Enter Indicator Scores'!$B$10:$B$161=$B128)*('3. Enter Indicator Scores'!$C$10:$C$161=$C128),0),
  _xlpm.c, MATCH(L$8,'3. Enter Indicator Scores'!$D$8:$CZ$8,0),
  _xlpm.v, IFERROR(INDEX('3. Enter Indicator Scores'!$D$10:$CZ$161,_xlpm.r,_xlpm.c),""),
  IF(OR(_xlpm.w="",_xlpm.v=""),"",_xlpm.v*_xlpm.w)
)</f>
        <v/>
      </c>
      <c r="M128" s="93" t="str" cm="1">
        <f t="array" ref="M128">_xlfn.LET(
  _xlpm.w, M$11,
  _xlpm.r, MATCH(1,('3. Enter Indicator Scores'!$B$10:$B$161=$B128)*('3. Enter Indicator Scores'!$C$10:$C$161=$C128),0),
  _xlpm.c, MATCH(M$8,'3. Enter Indicator Scores'!$D$8:$CZ$8,0),
  _xlpm.v, IFERROR(INDEX('3. Enter Indicator Scores'!$D$10:$CZ$161,_xlpm.r,_xlpm.c),""),
  IF(OR(_xlpm.w="",_xlpm.v=""),"",_xlpm.v*_xlpm.w)
)</f>
        <v/>
      </c>
      <c r="N128" s="93" t="str" cm="1">
        <f t="array" ref="N128">_xlfn.LET(
  _xlpm.w, N$11,
  _xlpm.r, MATCH(1,('3. Enter Indicator Scores'!$B$10:$B$161=$B128)*('3. Enter Indicator Scores'!$C$10:$C$161=$C128),0),
  _xlpm.c, MATCH(N$8,'3. Enter Indicator Scores'!$D$8:$CZ$8,0),
  _xlpm.v, IFERROR(INDEX('3. Enter Indicator Scores'!$D$10:$CZ$161,_xlpm.r,_xlpm.c),""),
  IF(OR(_xlpm.w="",_xlpm.v=""),"",_xlpm.v*_xlpm.w)
)</f>
        <v/>
      </c>
      <c r="O128" s="93" t="str" cm="1">
        <f t="array" ref="O128">_xlfn.LET(
  _xlpm.w, O$11,
  _xlpm.r, MATCH(1,('3. Enter Indicator Scores'!$B$10:$B$161=$B128)*('3. Enter Indicator Scores'!$C$10:$C$161=$C128),0),
  _xlpm.c, MATCH(O$8,'3. Enter Indicator Scores'!$D$8:$CZ$8,0),
  _xlpm.v, IFERROR(INDEX('3. Enter Indicator Scores'!$D$10:$CZ$161,_xlpm.r,_xlpm.c),""),
  IF(OR(_xlpm.w="",_xlpm.v=""),"",_xlpm.v*_xlpm.w)
)</f>
        <v/>
      </c>
      <c r="P128" s="93" t="str" cm="1">
        <f t="array" ref="P128">_xlfn.LET(
  _xlpm.w, P$11,
  _xlpm.r, MATCH(1,('3. Enter Indicator Scores'!$B$10:$B$161=$B128)*('3. Enter Indicator Scores'!$C$10:$C$161=$C128),0),
  _xlpm.c, MATCH(P$8,'3. Enter Indicator Scores'!$D$8:$CZ$8,0),
  _xlpm.v, IFERROR(INDEX('3. Enter Indicator Scores'!$D$10:$CZ$161,_xlpm.r,_xlpm.c),""),
  IF(OR(_xlpm.w="",_xlpm.v=""),"",_xlpm.v*_xlpm.w)
)</f>
        <v/>
      </c>
      <c r="Q128" s="93" t="str" cm="1">
        <f t="array" ref="Q128">_xlfn.LET(
  _xlpm.w, Q$11,
  _xlpm.r, MATCH(1,('3. Enter Indicator Scores'!$B$10:$B$161=$B128)*('3. Enter Indicator Scores'!$C$10:$C$161=$C128),0),
  _xlpm.c, MATCH(Q$8,'3. Enter Indicator Scores'!$D$8:$CZ$8,0),
  _xlpm.v, IFERROR(INDEX('3. Enter Indicator Scores'!$D$10:$CZ$161,_xlpm.r,_xlpm.c),""),
  IF(OR(_xlpm.w="",_xlpm.v=""),"",_xlpm.v*_xlpm.w)
)</f>
        <v/>
      </c>
      <c r="R128" s="93" t="str" cm="1">
        <f t="array" ref="R128">_xlfn.LET(
  _xlpm.w, R$11,
  _xlpm.r, MATCH(1,('3. Enter Indicator Scores'!$B$10:$B$161=$B128)*('3. Enter Indicator Scores'!$C$10:$C$161=$C128),0),
  _xlpm.c, MATCH(R$8,'3. Enter Indicator Scores'!$D$8:$CZ$8,0),
  _xlpm.v, IFERROR(INDEX('3. Enter Indicator Scores'!$D$10:$CZ$161,_xlpm.r,_xlpm.c),""),
  IF(OR(_xlpm.w="",_xlpm.v=""),"",_xlpm.v*_xlpm.w)
)</f>
        <v/>
      </c>
      <c r="S128" s="93" t="str" cm="1">
        <f t="array" ref="S128">_xlfn.LET(
  _xlpm.w, S$11,
  _xlpm.r, MATCH(1,('3. Enter Indicator Scores'!$B$10:$B$161=$B128)*('3. Enter Indicator Scores'!$C$10:$C$161=$C128),0),
  _xlpm.c, MATCH(S$8,'3. Enter Indicator Scores'!$D$8:$CZ$8,0),
  _xlpm.v, IFERROR(INDEX('3. Enter Indicator Scores'!$D$10:$CZ$161,_xlpm.r,_xlpm.c),""),
  IF(OR(_xlpm.w="",_xlpm.v=""),"",_xlpm.v*_xlpm.w)
)</f>
        <v/>
      </c>
      <c r="T128" s="93" t="str" cm="1">
        <f t="array" ref="T128">_xlfn.LET(
  _xlpm.w, T$11,
  _xlpm.r, MATCH(1,('3. Enter Indicator Scores'!$B$10:$B$161=$B128)*('3. Enter Indicator Scores'!$C$10:$C$161=$C128),0),
  _xlpm.c, MATCH(T$8,'3. Enter Indicator Scores'!$D$8:$CZ$8,0),
  _xlpm.v, IFERROR(INDEX('3. Enter Indicator Scores'!$D$10:$CZ$161,_xlpm.r,_xlpm.c),""),
  IF(OR(_xlpm.w="",_xlpm.v=""),"",_xlpm.v*_xlpm.w)
)</f>
        <v/>
      </c>
      <c r="U128" s="93" t="str" cm="1">
        <f t="array" ref="U128">_xlfn.LET(
  _xlpm.w, U$11,
  _xlpm.r, MATCH(1,('3. Enter Indicator Scores'!$B$10:$B$161=$B128)*('3. Enter Indicator Scores'!$C$10:$C$161=$C128),0),
  _xlpm.c, MATCH(U$8,'3. Enter Indicator Scores'!$D$8:$CZ$8,0),
  _xlpm.v, IFERROR(INDEX('3. Enter Indicator Scores'!$D$10:$CZ$161,_xlpm.r,_xlpm.c),""),
  IF(OR(_xlpm.w="",_xlpm.v=""),"",_xlpm.v*_xlpm.w)
)</f>
        <v/>
      </c>
      <c r="V128" s="93" t="str" cm="1">
        <f t="array" ref="V128">_xlfn.LET(
  _xlpm.w, V$11,
  _xlpm.r, MATCH(1,('3. Enter Indicator Scores'!$B$10:$B$161=$B128)*('3. Enter Indicator Scores'!$C$10:$C$161=$C128),0),
  _xlpm.c, MATCH(V$8,'3. Enter Indicator Scores'!$D$8:$CZ$8,0),
  _xlpm.v, IFERROR(INDEX('3. Enter Indicator Scores'!$D$10:$CZ$161,_xlpm.r,_xlpm.c),""),
  IF(OR(_xlpm.w="",_xlpm.v=""),"",_xlpm.v*_xlpm.w)
)</f>
        <v/>
      </c>
      <c r="W128" s="93" t="str" cm="1">
        <f t="array" ref="W128">_xlfn.LET(
  _xlpm.w, W$11,
  _xlpm.r, MATCH(1,('3. Enter Indicator Scores'!$B$10:$B$161=$B128)*('3. Enter Indicator Scores'!$C$10:$C$161=$C128),0),
  _xlpm.c, MATCH(W$8,'3. Enter Indicator Scores'!$D$8:$CZ$8,0),
  _xlpm.v, IFERROR(INDEX('3. Enter Indicator Scores'!$D$10:$CZ$161,_xlpm.r,_xlpm.c),""),
  IF(OR(_xlpm.w="",_xlpm.v=""),"",_xlpm.v*_xlpm.w)
)</f>
        <v/>
      </c>
      <c r="X128" s="93" t="str" cm="1">
        <f t="array" ref="X128">_xlfn.LET(
  _xlpm.w, X$11,
  _xlpm.r, MATCH(1,('3. Enter Indicator Scores'!$B$10:$B$161=$B128)*('3. Enter Indicator Scores'!$C$10:$C$161=$C128),0),
  _xlpm.c, MATCH(X$8,'3. Enter Indicator Scores'!$D$8:$CZ$8,0),
  _xlpm.v, IFERROR(INDEX('3. Enter Indicator Scores'!$D$10:$CZ$161,_xlpm.r,_xlpm.c),""),
  IF(OR(_xlpm.w="",_xlpm.v=""),"",_xlpm.v*_xlpm.w)
)</f>
        <v/>
      </c>
      <c r="Y128" s="93" t="str" cm="1">
        <f t="array" ref="Y128">_xlfn.LET(
  _xlpm.w, Y$11,
  _xlpm.r, MATCH(1,('3. Enter Indicator Scores'!$B$10:$B$161=$B128)*('3. Enter Indicator Scores'!$C$10:$C$161=$C128),0),
  _xlpm.c, MATCH(Y$8,'3. Enter Indicator Scores'!$D$8:$CZ$8,0),
  _xlpm.v, IFERROR(INDEX('3. Enter Indicator Scores'!$D$10:$CZ$161,_xlpm.r,_xlpm.c),""),
  IF(OR(_xlpm.w="",_xlpm.v=""),"",_xlpm.v*_xlpm.w)
)</f>
        <v/>
      </c>
      <c r="Z128" s="93" t="str" cm="1">
        <f t="array" ref="Z128">_xlfn.LET(
  _xlpm.w, Z$11,
  _xlpm.r, MATCH(1,('3. Enter Indicator Scores'!$B$10:$B$161=$B128)*('3. Enter Indicator Scores'!$C$10:$C$161=$C128),0),
  _xlpm.c, MATCH(Z$8,'3. Enter Indicator Scores'!$D$8:$CZ$8,0),
  _xlpm.v, IFERROR(INDEX('3. Enter Indicator Scores'!$D$10:$CZ$161,_xlpm.r,_xlpm.c),""),
  IF(OR(_xlpm.w="",_xlpm.v=""),"",_xlpm.v*_xlpm.w)
)</f>
        <v/>
      </c>
      <c r="AA128" s="93" t="str" cm="1">
        <f t="array" ref="AA128">_xlfn.LET(
  _xlpm.w, AA$11,
  _xlpm.r, MATCH(1,('3. Enter Indicator Scores'!$B$10:$B$161=$B128)*('3. Enter Indicator Scores'!$C$10:$C$161=$C128),0),
  _xlpm.c, MATCH(AA$8,'3. Enter Indicator Scores'!$D$8:$CZ$8,0),
  _xlpm.v, IFERROR(INDEX('3. Enter Indicator Scores'!$D$10:$CZ$161,_xlpm.r,_xlpm.c),""),
  IF(OR(_xlpm.w="",_xlpm.v=""),"",_xlpm.v*_xlpm.w)
)</f>
        <v/>
      </c>
      <c r="AB128" s="93" t="str" cm="1">
        <f t="array" ref="AB128">_xlfn.LET(
  _xlpm.w, AB$11,
  _xlpm.r, MATCH(1,('3. Enter Indicator Scores'!$B$10:$B$161=$B128)*('3. Enter Indicator Scores'!$C$10:$C$161=$C128),0),
  _xlpm.c, MATCH(AB$8,'3. Enter Indicator Scores'!$D$8:$CZ$8,0),
  _xlpm.v, IFERROR(INDEX('3. Enter Indicator Scores'!$D$10:$CZ$161,_xlpm.r,_xlpm.c),""),
  IF(OR(_xlpm.w="",_xlpm.v=""),"",_xlpm.v*_xlpm.w)
)</f>
        <v/>
      </c>
      <c r="AC128" s="93" t="str" cm="1">
        <f t="array" ref="AC128">_xlfn.LET(
  _xlpm.w, AC$11,
  _xlpm.r, MATCH(1,('3. Enter Indicator Scores'!$B$10:$B$161=$B128)*('3. Enter Indicator Scores'!$C$10:$C$161=$C128),0),
  _xlpm.c, MATCH(AC$8,'3. Enter Indicator Scores'!$D$8:$CZ$8,0),
  _xlpm.v, IFERROR(INDEX('3. Enter Indicator Scores'!$D$10:$CZ$161,_xlpm.r,_xlpm.c),""),
  IF(OR(_xlpm.w="",_xlpm.v=""),"",_xlpm.v*_xlpm.w)
)</f>
        <v/>
      </c>
      <c r="AD128" s="93" t="str" cm="1">
        <f t="array" ref="AD128">_xlfn.LET(
  _xlpm.w, AD$11,
  _xlpm.r, MATCH(1,('3. Enter Indicator Scores'!$B$10:$B$161=$B128)*('3. Enter Indicator Scores'!$C$10:$C$161=$C128),0),
  _xlpm.c, MATCH(AD$8,'3. Enter Indicator Scores'!$D$8:$CZ$8,0),
  _xlpm.v, IFERROR(INDEX('3. Enter Indicator Scores'!$D$10:$CZ$161,_xlpm.r,_xlpm.c),""),
  IF(OR(_xlpm.w="",_xlpm.v=""),"",_xlpm.v*_xlpm.w)
)</f>
        <v/>
      </c>
      <c r="AE128" s="93" t="str" cm="1">
        <f t="array" ref="AE128">_xlfn.LET(
  _xlpm.w, AE$11,
  _xlpm.r, MATCH(1,('3. Enter Indicator Scores'!$B$10:$B$161=$B128)*('3. Enter Indicator Scores'!$C$10:$C$161=$C128),0),
  _xlpm.c, MATCH(AE$8,'3. Enter Indicator Scores'!$D$8:$CZ$8,0),
  _xlpm.v, IFERROR(INDEX('3. Enter Indicator Scores'!$D$10:$CZ$161,_xlpm.r,_xlpm.c),""),
  IF(OR(_xlpm.w="",_xlpm.v=""),"",_xlpm.v*_xlpm.w)
)</f>
        <v/>
      </c>
      <c r="AF128" s="93" t="str" cm="1">
        <f t="array" ref="AF128">_xlfn.LET(
  _xlpm.w, AF$11,
  _xlpm.r, MATCH(1,('3. Enter Indicator Scores'!$B$10:$B$161=$B128)*('3. Enter Indicator Scores'!$C$10:$C$161=$C128),0),
  _xlpm.c, MATCH(AF$8,'3. Enter Indicator Scores'!$D$8:$CZ$8,0),
  _xlpm.v, IFERROR(INDEX('3. Enter Indicator Scores'!$D$10:$CZ$161,_xlpm.r,_xlpm.c),""),
  IF(OR(_xlpm.w="",_xlpm.v=""),"",_xlpm.v*_xlpm.w)
)</f>
        <v/>
      </c>
      <c r="AG128" s="93" t="str" cm="1">
        <f t="array" ref="AG128">_xlfn.LET(
  _xlpm.w, AG$11,
  _xlpm.r, MATCH(1,('3. Enter Indicator Scores'!$B$10:$B$161=$B128)*('3. Enter Indicator Scores'!$C$10:$C$161=$C128),0),
  _xlpm.c, MATCH(AG$8,'3. Enter Indicator Scores'!$D$8:$CZ$8,0),
  _xlpm.v, IFERROR(INDEX('3. Enter Indicator Scores'!$D$10:$CZ$161,_xlpm.r,_xlpm.c),""),
  IF(OR(_xlpm.w="",_xlpm.v=""),"",_xlpm.v*_xlpm.w)
)</f>
        <v/>
      </c>
      <c r="AH128" s="93" t="str" cm="1">
        <f t="array" ref="AH128">_xlfn.LET(
  _xlpm.w, AH$11,
  _xlpm.r, MATCH(1,('3. Enter Indicator Scores'!$B$10:$B$161=$B128)*('3. Enter Indicator Scores'!$C$10:$C$161=$C128),0),
  _xlpm.c, MATCH(AH$8,'3. Enter Indicator Scores'!$D$8:$CZ$8,0),
  _xlpm.v, IFERROR(INDEX('3. Enter Indicator Scores'!$D$10:$CZ$161,_xlpm.r,_xlpm.c),""),
  IF(OR(_xlpm.w="",_xlpm.v=""),"",_xlpm.v*_xlpm.w)
)</f>
        <v/>
      </c>
      <c r="AI128" s="93" t="str" cm="1">
        <f t="array" ref="AI128">_xlfn.LET(
  _xlpm.w, AI$11,
  _xlpm.r, MATCH(1,('3. Enter Indicator Scores'!$B$10:$B$161=$B128)*('3. Enter Indicator Scores'!$C$10:$C$161=$C128),0),
  _xlpm.c, MATCH(AI$8,'3. Enter Indicator Scores'!$D$8:$CZ$8,0),
  _xlpm.v, IFERROR(INDEX('3. Enter Indicator Scores'!$D$10:$CZ$161,_xlpm.r,_xlpm.c),""),
  IF(OR(_xlpm.w="",_xlpm.v=""),"",_xlpm.v*_xlpm.w)
)</f>
        <v/>
      </c>
      <c r="AJ128" s="93" t="str" cm="1">
        <f t="array" ref="AJ128">_xlfn.LET(
  _xlpm.w, AJ$11,
  _xlpm.r, MATCH(1,('3. Enter Indicator Scores'!$B$10:$B$161=$B128)*('3. Enter Indicator Scores'!$C$10:$C$161=$C128),0),
  _xlpm.c, MATCH(AJ$8,'3. Enter Indicator Scores'!$D$8:$CZ$8,0),
  _xlpm.v, IFERROR(INDEX('3. Enter Indicator Scores'!$D$10:$CZ$161,_xlpm.r,_xlpm.c),""),
  IF(OR(_xlpm.w="",_xlpm.v=""),"",_xlpm.v*_xlpm.w)
)</f>
        <v/>
      </c>
      <c r="AK128" s="93" t="str" cm="1">
        <f t="array" ref="AK128">_xlfn.LET(
  _xlpm.w, AK$11,
  _xlpm.r, MATCH(1,('3. Enter Indicator Scores'!$B$10:$B$161=$B128)*('3. Enter Indicator Scores'!$C$10:$C$161=$C128),0),
  _xlpm.c, MATCH(AK$8,'3. Enter Indicator Scores'!$D$8:$CZ$8,0),
  _xlpm.v, IFERROR(INDEX('3. Enter Indicator Scores'!$D$10:$CZ$161,_xlpm.r,_xlpm.c),""),
  IF(OR(_xlpm.w="",_xlpm.v=""),"",_xlpm.v*_xlpm.w)
)</f>
        <v/>
      </c>
      <c r="AL128" s="93" t="str" cm="1">
        <f t="array" ref="AL128">_xlfn.LET(
  _xlpm.w, AL$11,
  _xlpm.r, MATCH(1,('3. Enter Indicator Scores'!$B$10:$B$161=$B128)*('3. Enter Indicator Scores'!$C$10:$C$161=$C128),0),
  _xlpm.c, MATCH(AL$8,'3. Enter Indicator Scores'!$D$8:$CZ$8,0),
  _xlpm.v, IFERROR(INDEX('3. Enter Indicator Scores'!$D$10:$CZ$161,_xlpm.r,_xlpm.c),""),
  IF(OR(_xlpm.w="",_xlpm.v=""),"",_xlpm.v*_xlpm.w)
)</f>
        <v/>
      </c>
      <c r="AM128" s="93" t="str" cm="1">
        <f t="array" ref="AM128">_xlfn.LET(
  _xlpm.w, AM$11,
  _xlpm.r, MATCH(1,('3. Enter Indicator Scores'!$B$10:$B$161=$B128)*('3. Enter Indicator Scores'!$C$10:$C$161=$C128),0),
  _xlpm.c, MATCH(AM$8,'3. Enter Indicator Scores'!$D$8:$CZ$8,0),
  _xlpm.v, IFERROR(INDEX('3. Enter Indicator Scores'!$D$10:$CZ$161,_xlpm.r,_xlpm.c),""),
  IF(OR(_xlpm.w="",_xlpm.v=""),"",_xlpm.v*_xlpm.w)
)</f>
        <v/>
      </c>
      <c r="AN128" s="93" t="str" cm="1">
        <f t="array" ref="AN128">_xlfn.LET(
  _xlpm.w, AN$11,
  _xlpm.r, MATCH(1,('3. Enter Indicator Scores'!$B$10:$B$161=$B128)*('3. Enter Indicator Scores'!$C$10:$C$161=$C128),0),
  _xlpm.c, MATCH(AN$8,'3. Enter Indicator Scores'!$D$8:$CZ$8,0),
  _xlpm.v, IFERROR(INDEX('3. Enter Indicator Scores'!$D$10:$CZ$161,_xlpm.r,_xlpm.c),""),
  IF(OR(_xlpm.w="",_xlpm.v=""),"",_xlpm.v*_xlpm.w)
)</f>
        <v/>
      </c>
      <c r="AO128" s="93" t="str" cm="1">
        <f t="array" ref="AO128">_xlfn.LET(
  _xlpm.w, AO$11,
  _xlpm.r, MATCH(1,('3. Enter Indicator Scores'!$B$10:$B$161=$B128)*('3. Enter Indicator Scores'!$C$10:$C$161=$C128),0),
  _xlpm.c, MATCH(AO$8,'3. Enter Indicator Scores'!$D$8:$CZ$8,0),
  _xlpm.v, IFERROR(INDEX('3. Enter Indicator Scores'!$D$10:$CZ$161,_xlpm.r,_xlpm.c),""),
  IF(OR(_xlpm.w="",_xlpm.v=""),"",_xlpm.v*_xlpm.w)
)</f>
        <v/>
      </c>
      <c r="AP128" s="93" t="str" cm="1">
        <f t="array" ref="AP128">_xlfn.LET(
  _xlpm.w, AP$11,
  _xlpm.r, MATCH(1,('3. Enter Indicator Scores'!$B$10:$B$161=$B128)*('3. Enter Indicator Scores'!$C$10:$C$161=$C128),0),
  _xlpm.c, MATCH(AP$8,'3. Enter Indicator Scores'!$D$8:$CZ$8,0),
  _xlpm.v, IFERROR(INDEX('3. Enter Indicator Scores'!$D$10:$CZ$161,_xlpm.r,_xlpm.c),""),
  IF(OR(_xlpm.w="",_xlpm.v=""),"",_xlpm.v*_xlpm.w)
)</f>
        <v/>
      </c>
      <c r="AQ128" s="93" t="str" cm="1">
        <f t="array" ref="AQ128">_xlfn.LET(
  _xlpm.w, AQ$11,
  _xlpm.r, MATCH(1,('3. Enter Indicator Scores'!$B$10:$B$161=$B128)*('3. Enter Indicator Scores'!$C$10:$C$161=$C128),0),
  _xlpm.c, MATCH(AQ$8,'3. Enter Indicator Scores'!$D$8:$CZ$8,0),
  _xlpm.v, IFERROR(INDEX('3. Enter Indicator Scores'!$D$10:$CZ$161,_xlpm.r,_xlpm.c),""),
  IF(OR(_xlpm.w="",_xlpm.v=""),"",_xlpm.v*_xlpm.w)
)</f>
        <v/>
      </c>
      <c r="AR128" s="93" t="str" cm="1">
        <f t="array" ref="AR128">_xlfn.LET(
  _xlpm.w, AR$11,
  _xlpm.r, MATCH(1,('3. Enter Indicator Scores'!$B$10:$B$161=$B128)*('3. Enter Indicator Scores'!$C$10:$C$161=$C128),0),
  _xlpm.c, MATCH(AR$8,'3. Enter Indicator Scores'!$D$8:$CZ$8,0),
  _xlpm.v, IFERROR(INDEX('3. Enter Indicator Scores'!$D$10:$CZ$161,_xlpm.r,_xlpm.c),""),
  IF(OR(_xlpm.w="",_xlpm.v=""),"",_xlpm.v*_xlpm.w)
)</f>
        <v/>
      </c>
      <c r="AS128" s="93" t="str" cm="1">
        <f t="array" ref="AS128">_xlfn.LET(
  _xlpm.w, AS$11,
  _xlpm.r, MATCH(1,('3. Enter Indicator Scores'!$B$10:$B$161=$B128)*('3. Enter Indicator Scores'!$C$10:$C$161=$C128),0),
  _xlpm.c, MATCH(AS$8,'3. Enter Indicator Scores'!$D$8:$CZ$8,0),
  _xlpm.v, IFERROR(INDEX('3. Enter Indicator Scores'!$D$10:$CZ$161,_xlpm.r,_xlpm.c),""),
  IF(OR(_xlpm.w="",_xlpm.v=""),"",_xlpm.v*_xlpm.w)
)</f>
        <v/>
      </c>
      <c r="AT128" s="93" t="str" cm="1">
        <f t="array" ref="AT128">_xlfn.LET(
  _xlpm.w, AT$11,
  _xlpm.r, MATCH(1,('3. Enter Indicator Scores'!$B$10:$B$161=$B128)*('3. Enter Indicator Scores'!$C$10:$C$161=$C128),0),
  _xlpm.c, MATCH(AT$8,'3. Enter Indicator Scores'!$D$8:$CZ$8,0),
  _xlpm.v, IFERROR(INDEX('3. Enter Indicator Scores'!$D$10:$CZ$161,_xlpm.r,_xlpm.c),""),
  IF(OR(_xlpm.w="",_xlpm.v=""),"",_xlpm.v*_xlpm.w)
)</f>
        <v/>
      </c>
      <c r="AU128" s="93" t="str" cm="1">
        <f t="array" ref="AU128">_xlfn.LET(
  _xlpm.w, AU$11,
  _xlpm.r, MATCH(1,('3. Enter Indicator Scores'!$B$10:$B$161=$B128)*('3. Enter Indicator Scores'!$C$10:$C$161=$C128),0),
  _xlpm.c, MATCH(AU$8,'3. Enter Indicator Scores'!$D$8:$CZ$8,0),
  _xlpm.v, IFERROR(INDEX('3. Enter Indicator Scores'!$D$10:$CZ$161,_xlpm.r,_xlpm.c),""),
  IF(OR(_xlpm.w="",_xlpm.v=""),"",_xlpm.v*_xlpm.w)
)</f>
        <v/>
      </c>
      <c r="AV128" s="93" t="str" cm="1">
        <f t="array" ref="AV128">_xlfn.LET(
  _xlpm.w, AV$11,
  _xlpm.r, MATCH(1,('3. Enter Indicator Scores'!$B$10:$B$161=$B128)*('3. Enter Indicator Scores'!$C$10:$C$161=$C128),0),
  _xlpm.c, MATCH(AV$8,'3. Enter Indicator Scores'!$D$8:$CZ$8,0),
  _xlpm.v, IFERROR(INDEX('3. Enter Indicator Scores'!$D$10:$CZ$161,_xlpm.r,_xlpm.c),""),
  IF(OR(_xlpm.w="",_xlpm.v=""),"",_xlpm.v*_xlpm.w)
)</f>
        <v/>
      </c>
      <c r="AW128" s="93" t="str" cm="1">
        <f t="array" ref="AW128">_xlfn.LET(
  _xlpm.w, AW$11,
  _xlpm.r, MATCH(1,('3. Enter Indicator Scores'!$B$10:$B$161=$B128)*('3. Enter Indicator Scores'!$C$10:$C$161=$C128),0),
  _xlpm.c, MATCH(AW$8,'3. Enter Indicator Scores'!$D$8:$CZ$8,0),
  _xlpm.v, IFERROR(INDEX('3. Enter Indicator Scores'!$D$10:$CZ$161,_xlpm.r,_xlpm.c),""),
  IF(OR(_xlpm.w="",_xlpm.v=""),"",_xlpm.v*_xlpm.w)
)</f>
        <v/>
      </c>
      <c r="AX128" s="93" t="str" cm="1">
        <f t="array" ref="AX128">_xlfn.LET(
  _xlpm.w, AX$11,
  _xlpm.r, MATCH(1,('3. Enter Indicator Scores'!$B$10:$B$161=$B128)*('3. Enter Indicator Scores'!$C$10:$C$161=$C128),0),
  _xlpm.c, MATCH(AX$8,'3. Enter Indicator Scores'!$D$8:$CZ$8,0),
  _xlpm.v, IFERROR(INDEX('3. Enter Indicator Scores'!$D$10:$CZ$161,_xlpm.r,_xlpm.c),""),
  IF(OR(_xlpm.w="",_xlpm.v=""),"",_xlpm.v*_xlpm.w)
)</f>
        <v/>
      </c>
      <c r="AY128" s="93" t="str" cm="1">
        <f t="array" ref="AY128">_xlfn.LET(
  _xlpm.w, AY$11,
  _xlpm.r, MATCH(1,('3. Enter Indicator Scores'!$B$10:$B$161=$B128)*('3. Enter Indicator Scores'!$C$10:$C$161=$C128),0),
  _xlpm.c, MATCH(AY$8,'3. Enter Indicator Scores'!$D$8:$CZ$8,0),
  _xlpm.v, IFERROR(INDEX('3. Enter Indicator Scores'!$D$10:$CZ$161,_xlpm.r,_xlpm.c),""),
  IF(OR(_xlpm.w="",_xlpm.v=""),"",_xlpm.v*_xlpm.w)
)</f>
        <v/>
      </c>
      <c r="AZ128" s="93" t="str" cm="1">
        <f t="array" ref="AZ128">_xlfn.LET(
  _xlpm.w, AZ$11,
  _xlpm.r, MATCH(1,('3. Enter Indicator Scores'!$B$10:$B$161=$B128)*('3. Enter Indicator Scores'!$C$10:$C$161=$C128),0),
  _xlpm.c, MATCH(AZ$8,'3. Enter Indicator Scores'!$D$8:$CZ$8,0),
  _xlpm.v, IFERROR(INDEX('3. Enter Indicator Scores'!$D$10:$CZ$161,_xlpm.r,_xlpm.c),""),
  IF(OR(_xlpm.w="",_xlpm.v=""),"",_xlpm.v*_xlpm.w)
)</f>
        <v/>
      </c>
      <c r="BA128" s="93" t="str" cm="1">
        <f t="array" ref="BA128">_xlfn.LET(
  _xlpm.w, BA$11,
  _xlpm.r, MATCH(1,('3. Enter Indicator Scores'!$B$10:$B$161=$B128)*('3. Enter Indicator Scores'!$C$10:$C$161=$C128),0),
  _xlpm.c, MATCH(BA$8,'3. Enter Indicator Scores'!$D$8:$CZ$8,0),
  _xlpm.v, IFERROR(INDEX('3. Enter Indicator Scores'!$D$10:$CZ$161,_xlpm.r,_xlpm.c),""),
  IF(OR(_xlpm.w="",_xlpm.v=""),"",_xlpm.v*_xlpm.w)
)</f>
        <v/>
      </c>
      <c r="BB128" s="93" t="str" cm="1">
        <f t="array" ref="BB128">_xlfn.LET(
  _xlpm.w, BB$11,
  _xlpm.r, MATCH(1,('3. Enter Indicator Scores'!$B$10:$B$161=$B128)*('3. Enter Indicator Scores'!$C$10:$C$161=$C128),0),
  _xlpm.c, MATCH(BB$8,'3. Enter Indicator Scores'!$D$8:$CZ$8,0),
  _xlpm.v, IFERROR(INDEX('3. Enter Indicator Scores'!$D$10:$CZ$161,_xlpm.r,_xlpm.c),""),
  IF(OR(_xlpm.w="",_xlpm.v=""),"",_xlpm.v*_xlpm.w)
)</f>
        <v/>
      </c>
      <c r="BC128" s="93" t="str" cm="1">
        <f t="array" ref="BC128">_xlfn.LET(
  _xlpm.w, BC$11,
  _xlpm.r, MATCH(1,('3. Enter Indicator Scores'!$B$10:$B$161=$B128)*('3. Enter Indicator Scores'!$C$10:$C$161=$C128),0),
  _xlpm.c, MATCH(BC$8,'3. Enter Indicator Scores'!$D$8:$CZ$8,0),
  _xlpm.v, IFERROR(INDEX('3. Enter Indicator Scores'!$D$10:$CZ$161,_xlpm.r,_xlpm.c),""),
  IF(OR(_xlpm.w="",_xlpm.v=""),"",_xlpm.v*_xlpm.w)
)</f>
        <v/>
      </c>
      <c r="BD128" s="93" t="str" cm="1">
        <f t="array" ref="BD128">_xlfn.LET(
  _xlpm.w, BD$11,
  _xlpm.r, MATCH(1,('3. Enter Indicator Scores'!$B$10:$B$161=$B128)*('3. Enter Indicator Scores'!$C$10:$C$161=$C128),0),
  _xlpm.c, MATCH(BD$8,'3. Enter Indicator Scores'!$D$8:$CZ$8,0),
  _xlpm.v, IFERROR(INDEX('3. Enter Indicator Scores'!$D$10:$CZ$161,_xlpm.r,_xlpm.c),""),
  IF(OR(_xlpm.w="",_xlpm.v=""),"",_xlpm.v*_xlpm.w)
)</f>
        <v/>
      </c>
      <c r="BE128" s="93" t="str" cm="1">
        <f t="array" ref="BE128">_xlfn.LET(
  _xlpm.w, BE$11,
  _xlpm.r, MATCH(1,('3. Enter Indicator Scores'!$B$10:$B$161=$B128)*('3. Enter Indicator Scores'!$C$10:$C$161=$C128),0),
  _xlpm.c, MATCH(BE$8,'3. Enter Indicator Scores'!$D$8:$CZ$8,0),
  _xlpm.v, IFERROR(INDEX('3. Enter Indicator Scores'!$D$10:$CZ$161,_xlpm.r,_xlpm.c),""),
  IF(OR(_xlpm.w="",_xlpm.v=""),"",_xlpm.v*_xlpm.w)
)</f>
        <v/>
      </c>
      <c r="BF128" s="93" t="str" cm="1">
        <f t="array" ref="BF128">_xlfn.LET(
  _xlpm.w, BF$11,
  _xlpm.r, MATCH(1,('3. Enter Indicator Scores'!$B$10:$B$161=$B128)*('3. Enter Indicator Scores'!$C$10:$C$161=$C128),0),
  _xlpm.c, MATCH(BF$8,'3. Enter Indicator Scores'!$D$8:$CZ$8,0),
  _xlpm.v, IFERROR(INDEX('3. Enter Indicator Scores'!$D$10:$CZ$161,_xlpm.r,_xlpm.c),""),
  IF(OR(_xlpm.w="",_xlpm.v=""),"",_xlpm.v*_xlpm.w)
)</f>
        <v/>
      </c>
      <c r="BG128" s="93" t="str" cm="1">
        <f t="array" ref="BG128">_xlfn.LET(
  _xlpm.w, BG$11,
  _xlpm.r, MATCH(1,('3. Enter Indicator Scores'!$B$10:$B$161=$B128)*('3. Enter Indicator Scores'!$C$10:$C$161=$C128),0),
  _xlpm.c, MATCH(BG$8,'3. Enter Indicator Scores'!$D$8:$CZ$8,0),
  _xlpm.v, IFERROR(INDEX('3. Enter Indicator Scores'!$D$10:$CZ$161,_xlpm.r,_xlpm.c),""),
  IF(OR(_xlpm.w="",_xlpm.v=""),"",_xlpm.v*_xlpm.w)
)</f>
        <v/>
      </c>
      <c r="BH128" s="93" t="str" cm="1">
        <f t="array" ref="BH128">_xlfn.LET(
  _xlpm.w, BH$11,
  _xlpm.r, MATCH(1,('3. Enter Indicator Scores'!$B$10:$B$161=$B128)*('3. Enter Indicator Scores'!$C$10:$C$161=$C128),0),
  _xlpm.c, MATCH(BH$8,'3. Enter Indicator Scores'!$D$8:$CZ$8,0),
  _xlpm.v, IFERROR(INDEX('3. Enter Indicator Scores'!$D$10:$CZ$161,_xlpm.r,_xlpm.c),""),
  IF(OR(_xlpm.w="",_xlpm.v=""),"",_xlpm.v*_xlpm.w)
)</f>
        <v/>
      </c>
      <c r="BI128" s="93" t="str" cm="1">
        <f t="array" ref="BI128">_xlfn.LET(
  _xlpm.w, BI$11,
  _xlpm.r, MATCH(1,('3. Enter Indicator Scores'!$B$10:$B$161=$B128)*('3. Enter Indicator Scores'!$C$10:$C$161=$C128),0),
  _xlpm.c, MATCH(BI$8,'3. Enter Indicator Scores'!$D$8:$CZ$8,0),
  _xlpm.v, IFERROR(INDEX('3. Enter Indicator Scores'!$D$10:$CZ$161,_xlpm.r,_xlpm.c),""),
  IF(OR(_xlpm.w="",_xlpm.v=""),"",_xlpm.v*_xlpm.w)
)</f>
        <v/>
      </c>
      <c r="BJ128" s="93" t="str" cm="1">
        <f t="array" ref="BJ128">_xlfn.LET(
  _xlpm.w, BJ$11,
  _xlpm.r, MATCH(1,('3. Enter Indicator Scores'!$B$10:$B$161=$B128)*('3. Enter Indicator Scores'!$C$10:$C$161=$C128),0),
  _xlpm.c, MATCH(BJ$8,'3. Enter Indicator Scores'!$D$8:$CZ$8,0),
  _xlpm.v, IFERROR(INDEX('3. Enter Indicator Scores'!$D$10:$CZ$161,_xlpm.r,_xlpm.c),""),
  IF(OR(_xlpm.w="",_xlpm.v=""),"",_xlpm.v*_xlpm.w)
)</f>
        <v/>
      </c>
      <c r="BK128" s="93" t="str" cm="1">
        <f t="array" ref="BK128">_xlfn.LET(
  _xlpm.w, BK$11,
  _xlpm.r, MATCH(1,('3. Enter Indicator Scores'!$B$10:$B$161=$B128)*('3. Enter Indicator Scores'!$C$10:$C$161=$C128),0),
  _xlpm.c, MATCH(BK$8,'3. Enter Indicator Scores'!$D$8:$CZ$8,0),
  _xlpm.v, IFERROR(INDEX('3. Enter Indicator Scores'!$D$10:$CZ$161,_xlpm.r,_xlpm.c),""),
  IF(OR(_xlpm.w="",_xlpm.v=""),"",_xlpm.v*_xlpm.w)
)</f>
        <v/>
      </c>
      <c r="BL128" s="93" t="str" cm="1">
        <f t="array" ref="BL128">_xlfn.LET(
  _xlpm.w, BL$11,
  _xlpm.r, MATCH(1,('3. Enter Indicator Scores'!$B$10:$B$161=$B128)*('3. Enter Indicator Scores'!$C$10:$C$161=$C128),0),
  _xlpm.c, MATCH(BL$8,'3. Enter Indicator Scores'!$D$8:$CZ$8,0),
  _xlpm.v, IFERROR(INDEX('3. Enter Indicator Scores'!$D$10:$CZ$161,_xlpm.r,_xlpm.c),""),
  IF(OR(_xlpm.w="",_xlpm.v=""),"",_xlpm.v*_xlpm.w)
)</f>
        <v/>
      </c>
      <c r="BM128" s="93" t="str" cm="1">
        <f t="array" ref="BM128">_xlfn.LET(
  _xlpm.w, BM$11,
  _xlpm.r, MATCH(1,('3. Enter Indicator Scores'!$B$10:$B$161=$B128)*('3. Enter Indicator Scores'!$C$10:$C$161=$C128),0),
  _xlpm.c, MATCH(BM$8,'3. Enter Indicator Scores'!$D$8:$CZ$8,0),
  _xlpm.v, IFERROR(INDEX('3. Enter Indicator Scores'!$D$10:$CZ$161,_xlpm.r,_xlpm.c),""),
  IF(OR(_xlpm.w="",_xlpm.v=""),"",_xlpm.v*_xlpm.w)
)</f>
        <v/>
      </c>
      <c r="BN128" s="93" t="str" cm="1">
        <f t="array" ref="BN128">_xlfn.LET(
  _xlpm.w, BN$11,
  _xlpm.r, MATCH(1,('3. Enter Indicator Scores'!$B$10:$B$161=$B128)*('3. Enter Indicator Scores'!$C$10:$C$161=$C128),0),
  _xlpm.c, MATCH(BN$8,'3. Enter Indicator Scores'!$D$8:$CZ$8,0),
  _xlpm.v, IFERROR(INDEX('3. Enter Indicator Scores'!$D$10:$CZ$161,_xlpm.r,_xlpm.c),""),
  IF(OR(_xlpm.w="",_xlpm.v=""),"",_xlpm.v*_xlpm.w)
)</f>
        <v/>
      </c>
      <c r="BO128" s="93" t="str" cm="1">
        <f t="array" ref="BO128">_xlfn.LET(
  _xlpm.w, BO$11,
  _xlpm.r, MATCH(1,('3. Enter Indicator Scores'!$B$10:$B$161=$B128)*('3. Enter Indicator Scores'!$C$10:$C$161=$C128),0),
  _xlpm.c, MATCH(BO$8,'3. Enter Indicator Scores'!$D$8:$CZ$8,0),
  _xlpm.v, IFERROR(INDEX('3. Enter Indicator Scores'!$D$10:$CZ$161,_xlpm.r,_xlpm.c),""),
  IF(OR(_xlpm.w="",_xlpm.v=""),"",_xlpm.v*_xlpm.w)
)</f>
        <v/>
      </c>
      <c r="BP128" s="93" t="str" cm="1">
        <f t="array" ref="BP128">_xlfn.LET(
  _xlpm.w, BP$11,
  _xlpm.r, MATCH(1,('3. Enter Indicator Scores'!$B$10:$B$161=$B128)*('3. Enter Indicator Scores'!$C$10:$C$161=$C128),0),
  _xlpm.c, MATCH(BP$8,'3. Enter Indicator Scores'!$D$8:$CZ$8,0),
  _xlpm.v, IFERROR(INDEX('3. Enter Indicator Scores'!$D$10:$CZ$161,_xlpm.r,_xlpm.c),""),
  IF(OR(_xlpm.w="",_xlpm.v=""),"",_xlpm.v*_xlpm.w)
)</f>
        <v/>
      </c>
      <c r="BQ128" s="93" t="str" cm="1">
        <f t="array" ref="BQ128">_xlfn.LET(
  _xlpm.w, BQ$11,
  _xlpm.r, MATCH(1,('3. Enter Indicator Scores'!$B$10:$B$161=$B128)*('3. Enter Indicator Scores'!$C$10:$C$161=$C128),0),
  _xlpm.c, MATCH(BQ$8,'3. Enter Indicator Scores'!$D$8:$CZ$8,0),
  _xlpm.v, IFERROR(INDEX('3. Enter Indicator Scores'!$D$10:$CZ$161,_xlpm.r,_xlpm.c),""),
  IF(OR(_xlpm.w="",_xlpm.v=""),"",_xlpm.v*_xlpm.w)
)</f>
        <v/>
      </c>
      <c r="BR128" s="93" t="str" cm="1">
        <f t="array" ref="BR128">_xlfn.LET(
  _xlpm.w, BR$11,
  _xlpm.r, MATCH(1,('3. Enter Indicator Scores'!$B$10:$B$161=$B128)*('3. Enter Indicator Scores'!$C$10:$C$161=$C128),0),
  _xlpm.c, MATCH(BR$8,'3. Enter Indicator Scores'!$D$8:$CZ$8,0),
  _xlpm.v, IFERROR(INDEX('3. Enter Indicator Scores'!$D$10:$CZ$161,_xlpm.r,_xlpm.c),""),
  IF(OR(_xlpm.w="",_xlpm.v=""),"",_xlpm.v*_xlpm.w)
)</f>
        <v/>
      </c>
      <c r="BS128" s="93" t="str" cm="1">
        <f t="array" ref="BS128">_xlfn.LET(
  _xlpm.w, BS$11,
  _xlpm.r, MATCH(1,('3. Enter Indicator Scores'!$B$10:$B$161=$B128)*('3. Enter Indicator Scores'!$C$10:$C$161=$C128),0),
  _xlpm.c, MATCH(BS$8,'3. Enter Indicator Scores'!$D$8:$CZ$8,0),
  _xlpm.v, IFERROR(INDEX('3. Enter Indicator Scores'!$D$10:$CZ$161,_xlpm.r,_xlpm.c),""),
  IF(OR(_xlpm.w="",_xlpm.v=""),"",_xlpm.v*_xlpm.w)
)</f>
        <v/>
      </c>
      <c r="BT128" s="93" t="str" cm="1">
        <f t="array" ref="BT128">_xlfn.LET(
  _xlpm.w, BT$11,
  _xlpm.r, MATCH(1,('3. Enter Indicator Scores'!$B$10:$B$161=$B128)*('3. Enter Indicator Scores'!$C$10:$C$161=$C128),0),
  _xlpm.c, MATCH(BT$8,'3. Enter Indicator Scores'!$D$8:$CZ$8,0),
  _xlpm.v, IFERROR(INDEX('3. Enter Indicator Scores'!$D$10:$CZ$161,_xlpm.r,_xlpm.c),""),
  IF(OR(_xlpm.w="",_xlpm.v=""),"",_xlpm.v*_xlpm.w)
)</f>
        <v/>
      </c>
      <c r="BU128" s="93" t="str" cm="1">
        <f t="array" ref="BU128">_xlfn.LET(
  _xlpm.w, BU$11,
  _xlpm.r, MATCH(1,('3. Enter Indicator Scores'!$B$10:$B$161=$B128)*('3. Enter Indicator Scores'!$C$10:$C$161=$C128),0),
  _xlpm.c, MATCH(BU$8,'3. Enter Indicator Scores'!$D$8:$CZ$8,0),
  _xlpm.v, IFERROR(INDEX('3. Enter Indicator Scores'!$D$10:$CZ$161,_xlpm.r,_xlpm.c),""),
  IF(OR(_xlpm.w="",_xlpm.v=""),"",_xlpm.v*_xlpm.w)
)</f>
        <v/>
      </c>
      <c r="BV128" s="93" t="str" cm="1">
        <f t="array" ref="BV128">_xlfn.LET(
  _xlpm.w, BV$11,
  _xlpm.r, MATCH(1,('3. Enter Indicator Scores'!$B$10:$B$161=$B128)*('3. Enter Indicator Scores'!$C$10:$C$161=$C128),0),
  _xlpm.c, MATCH(BV$8,'3. Enter Indicator Scores'!$D$8:$CZ$8,0),
  _xlpm.v, IFERROR(INDEX('3. Enter Indicator Scores'!$D$10:$CZ$161,_xlpm.r,_xlpm.c),""),
  IF(OR(_xlpm.w="",_xlpm.v=""),"",_xlpm.v*_xlpm.w)
)</f>
        <v/>
      </c>
      <c r="BW128" s="93" t="str" cm="1">
        <f t="array" ref="BW128">_xlfn.LET(
  _xlpm.w, BW$11,
  _xlpm.r, MATCH(1,('3. Enter Indicator Scores'!$B$10:$B$161=$B128)*('3. Enter Indicator Scores'!$C$10:$C$161=$C128),0),
  _xlpm.c, MATCH(BW$8,'3. Enter Indicator Scores'!$D$8:$CZ$8,0),
  _xlpm.v, IFERROR(INDEX('3. Enter Indicator Scores'!$D$10:$CZ$161,_xlpm.r,_xlpm.c),""),
  IF(OR(_xlpm.w="",_xlpm.v=""),"",_xlpm.v*_xlpm.w)
)</f>
        <v/>
      </c>
      <c r="BX128" s="93" t="str" cm="1">
        <f t="array" ref="BX128">_xlfn.LET(
  _xlpm.w, BX$11,
  _xlpm.r, MATCH(1,('3. Enter Indicator Scores'!$B$10:$B$161=$B128)*('3. Enter Indicator Scores'!$C$10:$C$161=$C128),0),
  _xlpm.c, MATCH(BX$8,'3. Enter Indicator Scores'!$D$8:$CZ$8,0),
  _xlpm.v, IFERROR(INDEX('3. Enter Indicator Scores'!$D$10:$CZ$161,_xlpm.r,_xlpm.c),""),
  IF(OR(_xlpm.w="",_xlpm.v=""),"",_xlpm.v*_xlpm.w)
)</f>
        <v/>
      </c>
      <c r="BY128" s="93" t="str" cm="1">
        <f t="array" ref="BY128">_xlfn.LET(
  _xlpm.w, BY$11,
  _xlpm.r, MATCH(1,('3. Enter Indicator Scores'!$B$10:$B$161=$B128)*('3. Enter Indicator Scores'!$C$10:$C$161=$C128),0),
  _xlpm.c, MATCH(BY$8,'3. Enter Indicator Scores'!$D$8:$CZ$8,0),
  _xlpm.v, IFERROR(INDEX('3. Enter Indicator Scores'!$D$10:$CZ$161,_xlpm.r,_xlpm.c),""),
  IF(OR(_xlpm.w="",_xlpm.v=""),"",_xlpm.v*_xlpm.w)
)</f>
        <v/>
      </c>
      <c r="BZ128" s="93" t="str" cm="1">
        <f t="array" ref="BZ128">_xlfn.LET(
  _xlpm.w, BZ$11,
  _xlpm.r, MATCH(1,('3. Enter Indicator Scores'!$B$10:$B$161=$B128)*('3. Enter Indicator Scores'!$C$10:$C$161=$C128),0),
  _xlpm.c, MATCH(BZ$8,'3. Enter Indicator Scores'!$D$8:$CZ$8,0),
  _xlpm.v, IFERROR(INDEX('3. Enter Indicator Scores'!$D$10:$CZ$161,_xlpm.r,_xlpm.c),""),
  IF(OR(_xlpm.w="",_xlpm.v=""),"",_xlpm.v*_xlpm.w)
)</f>
        <v/>
      </c>
      <c r="CA128" s="93" t="str" cm="1">
        <f t="array" ref="CA128">_xlfn.LET(
  _xlpm.w, CA$11,
  _xlpm.r, MATCH(1,('3. Enter Indicator Scores'!$B$10:$B$161=$B128)*('3. Enter Indicator Scores'!$C$10:$C$161=$C128),0),
  _xlpm.c, MATCH(CA$8,'3. Enter Indicator Scores'!$D$8:$CZ$8,0),
  _xlpm.v, IFERROR(INDEX('3. Enter Indicator Scores'!$D$10:$CZ$161,_xlpm.r,_xlpm.c),""),
  IF(OR(_xlpm.w="",_xlpm.v=""),"",_xlpm.v*_xlpm.w)
)</f>
        <v/>
      </c>
      <c r="CB128" s="93" t="str" cm="1">
        <f t="array" ref="CB128">_xlfn.LET(
  _xlpm.w, CB$11,
  _xlpm.r, MATCH(1,('3. Enter Indicator Scores'!$B$10:$B$161=$B128)*('3. Enter Indicator Scores'!$C$10:$C$161=$C128),0),
  _xlpm.c, MATCH(CB$8,'3. Enter Indicator Scores'!$D$8:$CZ$8,0),
  _xlpm.v, IFERROR(INDEX('3. Enter Indicator Scores'!$D$10:$CZ$161,_xlpm.r,_xlpm.c),""),
  IF(OR(_xlpm.w="",_xlpm.v=""),"",_xlpm.v*_xlpm.w)
)</f>
        <v/>
      </c>
      <c r="CC128" s="93" t="str" cm="1">
        <f t="array" ref="CC128">_xlfn.LET(
  _xlpm.w, CC$11,
  _xlpm.r, MATCH(1,('3. Enter Indicator Scores'!$B$10:$B$161=$B128)*('3. Enter Indicator Scores'!$C$10:$C$161=$C128),0),
  _xlpm.c, MATCH(CC$8,'3. Enter Indicator Scores'!$D$8:$CZ$8,0),
  _xlpm.v, IFERROR(INDEX('3. Enter Indicator Scores'!$D$10:$CZ$161,_xlpm.r,_xlpm.c),""),
  IF(OR(_xlpm.w="",_xlpm.v=""),"",_xlpm.v*_xlpm.w)
)</f>
        <v/>
      </c>
      <c r="CD128" s="93" t="str" cm="1">
        <f t="array" ref="CD128">_xlfn.LET(
  _xlpm.w, CD$11,
  _xlpm.r, MATCH(1,('3. Enter Indicator Scores'!$B$10:$B$161=$B128)*('3. Enter Indicator Scores'!$C$10:$C$161=$C128),0),
  _xlpm.c, MATCH(CD$8,'3. Enter Indicator Scores'!$D$8:$CZ$8,0),
  _xlpm.v, IFERROR(INDEX('3. Enter Indicator Scores'!$D$10:$CZ$161,_xlpm.r,_xlpm.c),""),
  IF(OR(_xlpm.w="",_xlpm.v=""),"",_xlpm.v*_xlpm.w)
)</f>
        <v/>
      </c>
      <c r="CE128" s="93" t="str" cm="1">
        <f t="array" ref="CE128">_xlfn.LET(
  _xlpm.w, CE$11,
  _xlpm.r, MATCH(1,('3. Enter Indicator Scores'!$B$10:$B$161=$B128)*('3. Enter Indicator Scores'!$C$10:$C$161=$C128),0),
  _xlpm.c, MATCH(CE$8,'3. Enter Indicator Scores'!$D$8:$CZ$8,0),
  _xlpm.v, IFERROR(INDEX('3. Enter Indicator Scores'!$D$10:$CZ$161,_xlpm.r,_xlpm.c),""),
  IF(OR(_xlpm.w="",_xlpm.v=""),"",_xlpm.v*_xlpm.w)
)</f>
        <v/>
      </c>
      <c r="CF128" s="93" t="str" cm="1">
        <f t="array" ref="CF128">_xlfn.LET(
  _xlpm.w, CF$11,
  _xlpm.r, MATCH(1,('3. Enter Indicator Scores'!$B$10:$B$161=$B128)*('3. Enter Indicator Scores'!$C$10:$C$161=$C128),0),
  _xlpm.c, MATCH(CF$8,'3. Enter Indicator Scores'!$D$8:$CZ$8,0),
  _xlpm.v, IFERROR(INDEX('3. Enter Indicator Scores'!$D$10:$CZ$161,_xlpm.r,_xlpm.c),""),
  IF(OR(_xlpm.w="",_xlpm.v=""),"",_xlpm.v*_xlpm.w)
)</f>
        <v/>
      </c>
      <c r="CG128" s="93" t="str" cm="1">
        <f t="array" ref="CG128">_xlfn.LET(
  _xlpm.w, CG$11,
  _xlpm.r, MATCH(1,('3. Enter Indicator Scores'!$B$10:$B$161=$B128)*('3. Enter Indicator Scores'!$C$10:$C$161=$C128),0),
  _xlpm.c, MATCH(CG$8,'3. Enter Indicator Scores'!$D$8:$CZ$8,0),
  _xlpm.v, IFERROR(INDEX('3. Enter Indicator Scores'!$D$10:$CZ$161,_xlpm.r,_xlpm.c),""),
  IF(OR(_xlpm.w="",_xlpm.v=""),"",_xlpm.v*_xlpm.w)
)</f>
        <v/>
      </c>
      <c r="CH128" s="93" t="str" cm="1">
        <f t="array" ref="CH128">_xlfn.LET(
  _xlpm.w, CH$11,
  _xlpm.r, MATCH(1,('3. Enter Indicator Scores'!$B$10:$B$161=$B128)*('3. Enter Indicator Scores'!$C$10:$C$161=$C128),0),
  _xlpm.c, MATCH(CH$8,'3. Enter Indicator Scores'!$D$8:$CZ$8,0),
  _xlpm.v, IFERROR(INDEX('3. Enter Indicator Scores'!$D$10:$CZ$161,_xlpm.r,_xlpm.c),""),
  IF(OR(_xlpm.w="",_xlpm.v=""),"",_xlpm.v*_xlpm.w)
)</f>
        <v/>
      </c>
      <c r="CI128" s="93" t="str" cm="1">
        <f t="array" ref="CI128">_xlfn.LET(
  _xlpm.w, CI$11,
  _xlpm.r, MATCH(1,('3. Enter Indicator Scores'!$B$10:$B$161=$B128)*('3. Enter Indicator Scores'!$C$10:$C$161=$C128),0),
  _xlpm.c, MATCH(CI$8,'3. Enter Indicator Scores'!$D$8:$CZ$8,0),
  _xlpm.v, IFERROR(INDEX('3. Enter Indicator Scores'!$D$10:$CZ$161,_xlpm.r,_xlpm.c),""),
  IF(OR(_xlpm.w="",_xlpm.v=""),"",_xlpm.v*_xlpm.w)
)</f>
        <v/>
      </c>
      <c r="CJ128" s="93" t="str" cm="1">
        <f t="array" ref="CJ128">_xlfn.LET(
  _xlpm.w, CJ$11,
  _xlpm.r, MATCH(1,('3. Enter Indicator Scores'!$B$10:$B$161=$B128)*('3. Enter Indicator Scores'!$C$10:$C$161=$C128),0),
  _xlpm.c, MATCH(CJ$8,'3. Enter Indicator Scores'!$D$8:$CZ$8,0),
  _xlpm.v, IFERROR(INDEX('3. Enter Indicator Scores'!$D$10:$CZ$161,_xlpm.r,_xlpm.c),""),
  IF(OR(_xlpm.w="",_xlpm.v=""),"",_xlpm.v*_xlpm.w)
)</f>
        <v/>
      </c>
      <c r="CK128" s="93" t="str" cm="1">
        <f t="array" ref="CK128">_xlfn.LET(
  _xlpm.w, CK$11,
  _xlpm.r, MATCH(1,('3. Enter Indicator Scores'!$B$10:$B$161=$B128)*('3. Enter Indicator Scores'!$C$10:$C$161=$C128),0),
  _xlpm.c, MATCH(CK$8,'3. Enter Indicator Scores'!$D$8:$CZ$8,0),
  _xlpm.v, IFERROR(INDEX('3. Enter Indicator Scores'!$D$10:$CZ$161,_xlpm.r,_xlpm.c),""),
  IF(OR(_xlpm.w="",_xlpm.v=""),"",_xlpm.v*_xlpm.w)
)</f>
        <v/>
      </c>
      <c r="CL128" s="93" t="str" cm="1">
        <f t="array" ref="CL128">_xlfn.LET(
  _xlpm.w, CL$11,
  _xlpm.r, MATCH(1,('3. Enter Indicator Scores'!$B$10:$B$161=$B128)*('3. Enter Indicator Scores'!$C$10:$C$161=$C128),0),
  _xlpm.c, MATCH(CL$8,'3. Enter Indicator Scores'!$D$8:$CZ$8,0),
  _xlpm.v, IFERROR(INDEX('3. Enter Indicator Scores'!$D$10:$CZ$161,_xlpm.r,_xlpm.c),""),
  IF(OR(_xlpm.w="",_xlpm.v=""),"",_xlpm.v*_xlpm.w)
)</f>
        <v/>
      </c>
      <c r="CM128" s="93" t="str" cm="1">
        <f t="array" ref="CM128">_xlfn.LET(
  _xlpm.w, CM$11,
  _xlpm.r, MATCH(1,('3. Enter Indicator Scores'!$B$10:$B$161=$B128)*('3. Enter Indicator Scores'!$C$10:$C$161=$C128),0),
  _xlpm.c, MATCH(CM$8,'3. Enter Indicator Scores'!$D$8:$CZ$8,0),
  _xlpm.v, IFERROR(INDEX('3. Enter Indicator Scores'!$D$10:$CZ$161,_xlpm.r,_xlpm.c),""),
  IF(OR(_xlpm.w="",_xlpm.v=""),"",_xlpm.v*_xlpm.w)
)</f>
        <v/>
      </c>
      <c r="CN128" s="93" t="str" cm="1">
        <f t="array" ref="CN128">_xlfn.LET(
  _xlpm.w, CN$11,
  _xlpm.r, MATCH(1,('3. Enter Indicator Scores'!$B$10:$B$161=$B128)*('3. Enter Indicator Scores'!$C$10:$C$161=$C128),0),
  _xlpm.c, MATCH(CN$8,'3. Enter Indicator Scores'!$D$8:$CZ$8,0),
  _xlpm.v, IFERROR(INDEX('3. Enter Indicator Scores'!$D$10:$CZ$161,_xlpm.r,_xlpm.c),""),
  IF(OR(_xlpm.w="",_xlpm.v=""),"",_xlpm.v*_xlpm.w)
)</f>
        <v/>
      </c>
      <c r="CO128" s="93" t="str" cm="1">
        <f t="array" ref="CO128">_xlfn.LET(
  _xlpm.w, CO$11,
  _xlpm.r, MATCH(1,('3. Enter Indicator Scores'!$B$10:$B$161=$B128)*('3. Enter Indicator Scores'!$C$10:$C$161=$C128),0),
  _xlpm.c, MATCH(CO$8,'3. Enter Indicator Scores'!$D$8:$CZ$8,0),
  _xlpm.v, IFERROR(INDEX('3. Enter Indicator Scores'!$D$10:$CZ$161,_xlpm.r,_xlpm.c),""),
  IF(OR(_xlpm.w="",_xlpm.v=""),"",_xlpm.v*_xlpm.w)
)</f>
        <v/>
      </c>
      <c r="CP128" s="93" t="str" cm="1">
        <f t="array" ref="CP128">_xlfn.LET(
  _xlpm.w, CP$11,
  _xlpm.r, MATCH(1,('3. Enter Indicator Scores'!$B$10:$B$161=$B128)*('3. Enter Indicator Scores'!$C$10:$C$161=$C128),0),
  _xlpm.c, MATCH(CP$8,'3. Enter Indicator Scores'!$D$8:$CZ$8,0),
  _xlpm.v, IFERROR(INDEX('3. Enter Indicator Scores'!$D$10:$CZ$161,_xlpm.r,_xlpm.c),""),
  IF(OR(_xlpm.w="",_xlpm.v=""),"",_xlpm.v*_xlpm.w)
)</f>
        <v/>
      </c>
      <c r="CQ128" s="93" t="str" cm="1">
        <f t="array" ref="CQ128">_xlfn.LET(
  _xlpm.w, CQ$11,
  _xlpm.r, MATCH(1,('3. Enter Indicator Scores'!$B$10:$B$161=$B128)*('3. Enter Indicator Scores'!$C$10:$C$161=$C128),0),
  _xlpm.c, MATCH(CQ$8,'3. Enter Indicator Scores'!$D$8:$CZ$8,0),
  _xlpm.v, IFERROR(INDEX('3. Enter Indicator Scores'!$D$10:$CZ$161,_xlpm.r,_xlpm.c),""),
  IF(OR(_xlpm.w="",_xlpm.v=""),"",_xlpm.v*_xlpm.w)
)</f>
        <v/>
      </c>
      <c r="CR128" s="93" t="str" cm="1">
        <f t="array" ref="CR128">_xlfn.LET(
  _xlpm.w, CR$11,
  _xlpm.r, MATCH(1,('3. Enter Indicator Scores'!$B$10:$B$161=$B128)*('3. Enter Indicator Scores'!$C$10:$C$161=$C128),0),
  _xlpm.c, MATCH(CR$8,'3. Enter Indicator Scores'!$D$8:$CZ$8,0),
  _xlpm.v, IFERROR(INDEX('3. Enter Indicator Scores'!$D$10:$CZ$161,_xlpm.r,_xlpm.c),""),
  IF(OR(_xlpm.w="",_xlpm.v=""),"",_xlpm.v*_xlpm.w)
)</f>
        <v/>
      </c>
      <c r="CS128" s="93" t="str" cm="1">
        <f t="array" ref="CS128">_xlfn.LET(
  _xlpm.w, CS$11,
  _xlpm.r, MATCH(1,('3. Enter Indicator Scores'!$B$10:$B$161=$B128)*('3. Enter Indicator Scores'!$C$10:$C$161=$C128),0),
  _xlpm.c, MATCH(CS$8,'3. Enter Indicator Scores'!$D$8:$CZ$8,0),
  _xlpm.v, IFERROR(INDEX('3. Enter Indicator Scores'!$D$10:$CZ$161,_xlpm.r,_xlpm.c),""),
  IF(OR(_xlpm.w="",_xlpm.v=""),"",_xlpm.v*_xlpm.w)
)</f>
        <v/>
      </c>
      <c r="CT128" s="93" t="str" cm="1">
        <f t="array" ref="CT128">_xlfn.LET(
  _xlpm.w, CT$11,
  _xlpm.r, MATCH(1,('3. Enter Indicator Scores'!$B$10:$B$161=$B128)*('3. Enter Indicator Scores'!$C$10:$C$161=$C128),0),
  _xlpm.c, MATCH(CT$8,'3. Enter Indicator Scores'!$D$8:$CZ$8,0),
  _xlpm.v, IFERROR(INDEX('3. Enter Indicator Scores'!$D$10:$CZ$161,_xlpm.r,_xlpm.c),""),
  IF(OR(_xlpm.w="",_xlpm.v=""),"",_xlpm.v*_xlpm.w)
)</f>
        <v/>
      </c>
      <c r="CU128" s="93" t="str" cm="1">
        <f t="array" ref="CU128">_xlfn.LET(
  _xlpm.w, CU$11,
  _xlpm.r, MATCH(1,('3. Enter Indicator Scores'!$B$10:$B$161=$B128)*('3. Enter Indicator Scores'!$C$10:$C$161=$C128),0),
  _xlpm.c, MATCH(CU$8,'3. Enter Indicator Scores'!$D$8:$CZ$8,0),
  _xlpm.v, IFERROR(INDEX('3. Enter Indicator Scores'!$D$10:$CZ$161,_xlpm.r,_xlpm.c),""),
  IF(OR(_xlpm.w="",_xlpm.v=""),"",_xlpm.v*_xlpm.w)
)</f>
        <v/>
      </c>
      <c r="CV128" s="93" t="str" cm="1">
        <f t="array" ref="CV128">_xlfn.LET(
  _xlpm.w, CV$11,
  _xlpm.r, MATCH(1,('3. Enter Indicator Scores'!$B$10:$B$161=$B128)*('3. Enter Indicator Scores'!$C$10:$C$161=$C128),0),
  _xlpm.c, MATCH(CV$8,'3. Enter Indicator Scores'!$D$8:$CZ$8,0),
  _xlpm.v, IFERROR(INDEX('3. Enter Indicator Scores'!$D$10:$CZ$161,_xlpm.r,_xlpm.c),""),
  IF(OR(_xlpm.w="",_xlpm.v=""),"",_xlpm.v*_xlpm.w)
)</f>
        <v/>
      </c>
      <c r="CW128" s="93" t="str" cm="1">
        <f t="array" ref="CW128">_xlfn.LET(
  _xlpm.w, CW$11,
  _xlpm.r, MATCH(1,('3. Enter Indicator Scores'!$B$10:$B$161=$B128)*('3. Enter Indicator Scores'!$C$10:$C$161=$C128),0),
  _xlpm.c, MATCH(CW$8,'3. Enter Indicator Scores'!$D$8:$CZ$8,0),
  _xlpm.v, IFERROR(INDEX('3. Enter Indicator Scores'!$D$10:$CZ$161,_xlpm.r,_xlpm.c),""),
  IF(OR(_xlpm.w="",_xlpm.v=""),"",_xlpm.v*_xlpm.w)
)</f>
        <v/>
      </c>
      <c r="CX128" s="93" t="str" cm="1">
        <f t="array" ref="CX128">_xlfn.LET(
  _xlpm.w, CX$11,
  _xlpm.r, MATCH(1,('3. Enter Indicator Scores'!$B$10:$B$161=$B128)*('3. Enter Indicator Scores'!$C$10:$C$161=$C128),0),
  _xlpm.c, MATCH(CX$8,'3. Enter Indicator Scores'!$D$8:$CZ$8,0),
  _xlpm.v, IFERROR(INDEX('3. Enter Indicator Scores'!$D$10:$CZ$161,_xlpm.r,_xlpm.c),""),
  IF(OR(_xlpm.w="",_xlpm.v=""),"",_xlpm.v*_xlpm.w)
)</f>
        <v/>
      </c>
      <c r="CY128" s="93" t="str" cm="1">
        <f t="array" ref="CY128">_xlfn.LET(
  _xlpm.w, CY$11,
  _xlpm.r, MATCH(1,('3. Enter Indicator Scores'!$B$10:$B$161=$B128)*('3. Enter Indicator Scores'!$C$10:$C$161=$C128),0),
  _xlpm.c, MATCH(CY$8,'3. Enter Indicator Scores'!$D$8:$CZ$8,0),
  _xlpm.v, IFERROR(INDEX('3. Enter Indicator Scores'!$D$10:$CZ$161,_xlpm.r,_xlpm.c),""),
  IF(OR(_xlpm.w="",_xlpm.v=""),"",_xlpm.v*_xlpm.w)
)</f>
        <v/>
      </c>
      <c r="CZ128" s="93" t="str" cm="1">
        <f t="array" ref="CZ128">_xlfn.LET(
  _xlpm.w, CZ$11,
  _xlpm.r, MATCH(1,('3. Enter Indicator Scores'!$B$10:$B$161=$B128)*('3. Enter Indicator Scores'!$C$10:$C$161=$C128),0),
  _xlpm.c, MATCH(CZ$8,'3. Enter Indicator Scores'!$D$8:$CZ$8,0),
  _xlpm.v, IFERROR(INDEX('3. Enter Indicator Scores'!$D$10:$CZ$161,_xlpm.r,_xlpm.c),""),
  IF(OR(_xlpm.w="",_xlpm.v=""),"",_xlpm.v*_xlpm.w)
)</f>
        <v/>
      </c>
    </row>
    <row r="129" spans="4:104" x14ac:dyDescent="0.2">
      <c r="D129" s="93" t="str" cm="1">
        <f t="array" ref="D129">_xlfn.LET(
  _xlpm.w, D$11,
  _xlpm.r, MATCH(1,('3. Enter Indicator Scores'!$B$10:$B$161=$B129)*('3. Enter Indicator Scores'!$C$10:$C$161=$C129),0),
  _xlpm.c, MATCH(D$8,'3. Enter Indicator Scores'!$D$8:$CZ$8,0),
  _xlpm.v, IFERROR(INDEX('3. Enter Indicator Scores'!$D$10:$CZ$161,_xlpm.r,_xlpm.c),""),
  IF(OR(_xlpm.w="",_xlpm.v=""),"",_xlpm.v*_xlpm.w)
)</f>
        <v/>
      </c>
      <c r="E129" s="93" t="str" cm="1">
        <f t="array" ref="E129">_xlfn.LET(
  _xlpm.w, E$11,
  _xlpm.r, MATCH(1,('3. Enter Indicator Scores'!$B$10:$B$161=$B129)*('3. Enter Indicator Scores'!$C$10:$C$161=$C129),0),
  _xlpm.c, MATCH(E$8,'3. Enter Indicator Scores'!$D$8:$CZ$8,0),
  _xlpm.v, IFERROR(INDEX('3. Enter Indicator Scores'!$D$10:$CZ$161,_xlpm.r,_xlpm.c),""),
  IF(OR(_xlpm.w="",_xlpm.v=""),"",_xlpm.v*_xlpm.w)
)</f>
        <v/>
      </c>
      <c r="F129" s="93" t="str" cm="1">
        <f t="array" ref="F129">_xlfn.LET(
  _xlpm.w, F$11,
  _xlpm.r, MATCH(1,('3. Enter Indicator Scores'!$B$10:$B$161=$B129)*('3. Enter Indicator Scores'!$C$10:$C$161=$C129),0),
  _xlpm.c, MATCH(F$8,'3. Enter Indicator Scores'!$D$8:$CZ$8,0),
  _xlpm.v, IFERROR(INDEX('3. Enter Indicator Scores'!$D$10:$CZ$161,_xlpm.r,_xlpm.c),""),
  IF(OR(_xlpm.w="",_xlpm.v=""),"",_xlpm.v*_xlpm.w)
)</f>
        <v/>
      </c>
      <c r="G129" s="93" t="str" cm="1">
        <f t="array" ref="G129">_xlfn.LET(
  _xlpm.w, G$11,
  _xlpm.r, MATCH(1,('3. Enter Indicator Scores'!$B$10:$B$161=$B129)*('3. Enter Indicator Scores'!$C$10:$C$161=$C129),0),
  _xlpm.c, MATCH(G$8,'3. Enter Indicator Scores'!$D$8:$CZ$8,0),
  _xlpm.v, IFERROR(INDEX('3. Enter Indicator Scores'!$D$10:$CZ$161,_xlpm.r,_xlpm.c),""),
  IF(OR(_xlpm.w="",_xlpm.v=""),"",_xlpm.v*_xlpm.w)
)</f>
        <v/>
      </c>
      <c r="H129" s="93" t="str" cm="1">
        <f t="array" ref="H129">_xlfn.LET(
  _xlpm.w, H$11,
  _xlpm.r, MATCH(1,('3. Enter Indicator Scores'!$B$10:$B$161=$B129)*('3. Enter Indicator Scores'!$C$10:$C$161=$C129),0),
  _xlpm.c, MATCH(H$8,'3. Enter Indicator Scores'!$D$8:$CZ$8,0),
  _xlpm.v, IFERROR(INDEX('3. Enter Indicator Scores'!$D$10:$CZ$161,_xlpm.r,_xlpm.c),""),
  IF(OR(_xlpm.w="",_xlpm.v=""),"",_xlpm.v*_xlpm.w)
)</f>
        <v/>
      </c>
      <c r="I129" s="93" t="str" cm="1">
        <f t="array" ref="I129">_xlfn.LET(
  _xlpm.w, I$11,
  _xlpm.r, MATCH(1,('3. Enter Indicator Scores'!$B$10:$B$161=$B129)*('3. Enter Indicator Scores'!$C$10:$C$161=$C129),0),
  _xlpm.c, MATCH(I$8,'3. Enter Indicator Scores'!$D$8:$CZ$8,0),
  _xlpm.v, IFERROR(INDEX('3. Enter Indicator Scores'!$D$10:$CZ$161,_xlpm.r,_xlpm.c),""),
  IF(OR(_xlpm.w="",_xlpm.v=""),"",_xlpm.v*_xlpm.w)
)</f>
        <v/>
      </c>
      <c r="J129" s="93" t="str" cm="1">
        <f t="array" ref="J129">_xlfn.LET(
  _xlpm.w, J$11,
  _xlpm.r, MATCH(1,('3. Enter Indicator Scores'!$B$10:$B$161=$B129)*('3. Enter Indicator Scores'!$C$10:$C$161=$C129),0),
  _xlpm.c, MATCH(J$8,'3. Enter Indicator Scores'!$D$8:$CZ$8,0),
  _xlpm.v, IFERROR(INDEX('3. Enter Indicator Scores'!$D$10:$CZ$161,_xlpm.r,_xlpm.c),""),
  IF(OR(_xlpm.w="",_xlpm.v=""),"",_xlpm.v*_xlpm.w)
)</f>
        <v/>
      </c>
      <c r="K129" s="93" t="str" cm="1">
        <f t="array" ref="K129">_xlfn.LET(
  _xlpm.w, K$11,
  _xlpm.r, MATCH(1,('3. Enter Indicator Scores'!$B$10:$B$161=$B129)*('3. Enter Indicator Scores'!$C$10:$C$161=$C129),0),
  _xlpm.c, MATCH(K$8,'3. Enter Indicator Scores'!$D$8:$CZ$8,0),
  _xlpm.v, IFERROR(INDEX('3. Enter Indicator Scores'!$D$10:$CZ$161,_xlpm.r,_xlpm.c),""),
  IF(OR(_xlpm.w="",_xlpm.v=""),"",_xlpm.v*_xlpm.w)
)</f>
        <v/>
      </c>
      <c r="L129" s="93" t="str" cm="1">
        <f t="array" ref="L129">_xlfn.LET(
  _xlpm.w, L$11,
  _xlpm.r, MATCH(1,('3. Enter Indicator Scores'!$B$10:$B$161=$B129)*('3. Enter Indicator Scores'!$C$10:$C$161=$C129),0),
  _xlpm.c, MATCH(L$8,'3. Enter Indicator Scores'!$D$8:$CZ$8,0),
  _xlpm.v, IFERROR(INDEX('3. Enter Indicator Scores'!$D$10:$CZ$161,_xlpm.r,_xlpm.c),""),
  IF(OR(_xlpm.w="",_xlpm.v=""),"",_xlpm.v*_xlpm.w)
)</f>
        <v/>
      </c>
      <c r="M129" s="93" t="str" cm="1">
        <f t="array" ref="M129">_xlfn.LET(
  _xlpm.w, M$11,
  _xlpm.r, MATCH(1,('3. Enter Indicator Scores'!$B$10:$B$161=$B129)*('3. Enter Indicator Scores'!$C$10:$C$161=$C129),0),
  _xlpm.c, MATCH(M$8,'3. Enter Indicator Scores'!$D$8:$CZ$8,0),
  _xlpm.v, IFERROR(INDEX('3. Enter Indicator Scores'!$D$10:$CZ$161,_xlpm.r,_xlpm.c),""),
  IF(OR(_xlpm.w="",_xlpm.v=""),"",_xlpm.v*_xlpm.w)
)</f>
        <v/>
      </c>
      <c r="N129" s="93" t="str" cm="1">
        <f t="array" ref="N129">_xlfn.LET(
  _xlpm.w, N$11,
  _xlpm.r, MATCH(1,('3. Enter Indicator Scores'!$B$10:$B$161=$B129)*('3. Enter Indicator Scores'!$C$10:$C$161=$C129),0),
  _xlpm.c, MATCH(N$8,'3. Enter Indicator Scores'!$D$8:$CZ$8,0),
  _xlpm.v, IFERROR(INDEX('3. Enter Indicator Scores'!$D$10:$CZ$161,_xlpm.r,_xlpm.c),""),
  IF(OR(_xlpm.w="",_xlpm.v=""),"",_xlpm.v*_xlpm.w)
)</f>
        <v/>
      </c>
      <c r="O129" s="93" t="str" cm="1">
        <f t="array" ref="O129">_xlfn.LET(
  _xlpm.w, O$11,
  _xlpm.r, MATCH(1,('3. Enter Indicator Scores'!$B$10:$B$161=$B129)*('3. Enter Indicator Scores'!$C$10:$C$161=$C129),0),
  _xlpm.c, MATCH(O$8,'3. Enter Indicator Scores'!$D$8:$CZ$8,0),
  _xlpm.v, IFERROR(INDEX('3. Enter Indicator Scores'!$D$10:$CZ$161,_xlpm.r,_xlpm.c),""),
  IF(OR(_xlpm.w="",_xlpm.v=""),"",_xlpm.v*_xlpm.w)
)</f>
        <v/>
      </c>
      <c r="P129" s="93" t="str" cm="1">
        <f t="array" ref="P129">_xlfn.LET(
  _xlpm.w, P$11,
  _xlpm.r, MATCH(1,('3. Enter Indicator Scores'!$B$10:$B$161=$B129)*('3. Enter Indicator Scores'!$C$10:$C$161=$C129),0),
  _xlpm.c, MATCH(P$8,'3. Enter Indicator Scores'!$D$8:$CZ$8,0),
  _xlpm.v, IFERROR(INDEX('3. Enter Indicator Scores'!$D$10:$CZ$161,_xlpm.r,_xlpm.c),""),
  IF(OR(_xlpm.w="",_xlpm.v=""),"",_xlpm.v*_xlpm.w)
)</f>
        <v/>
      </c>
      <c r="Q129" s="93" t="str" cm="1">
        <f t="array" ref="Q129">_xlfn.LET(
  _xlpm.w, Q$11,
  _xlpm.r, MATCH(1,('3. Enter Indicator Scores'!$B$10:$B$161=$B129)*('3. Enter Indicator Scores'!$C$10:$C$161=$C129),0),
  _xlpm.c, MATCH(Q$8,'3. Enter Indicator Scores'!$D$8:$CZ$8,0),
  _xlpm.v, IFERROR(INDEX('3. Enter Indicator Scores'!$D$10:$CZ$161,_xlpm.r,_xlpm.c),""),
  IF(OR(_xlpm.w="",_xlpm.v=""),"",_xlpm.v*_xlpm.w)
)</f>
        <v/>
      </c>
      <c r="R129" s="93" t="str" cm="1">
        <f t="array" ref="R129">_xlfn.LET(
  _xlpm.w, R$11,
  _xlpm.r, MATCH(1,('3. Enter Indicator Scores'!$B$10:$B$161=$B129)*('3. Enter Indicator Scores'!$C$10:$C$161=$C129),0),
  _xlpm.c, MATCH(R$8,'3. Enter Indicator Scores'!$D$8:$CZ$8,0),
  _xlpm.v, IFERROR(INDEX('3. Enter Indicator Scores'!$D$10:$CZ$161,_xlpm.r,_xlpm.c),""),
  IF(OR(_xlpm.w="",_xlpm.v=""),"",_xlpm.v*_xlpm.w)
)</f>
        <v/>
      </c>
      <c r="S129" s="93" t="str" cm="1">
        <f t="array" ref="S129">_xlfn.LET(
  _xlpm.w, S$11,
  _xlpm.r, MATCH(1,('3. Enter Indicator Scores'!$B$10:$B$161=$B129)*('3. Enter Indicator Scores'!$C$10:$C$161=$C129),0),
  _xlpm.c, MATCH(S$8,'3. Enter Indicator Scores'!$D$8:$CZ$8,0),
  _xlpm.v, IFERROR(INDEX('3. Enter Indicator Scores'!$D$10:$CZ$161,_xlpm.r,_xlpm.c),""),
  IF(OR(_xlpm.w="",_xlpm.v=""),"",_xlpm.v*_xlpm.w)
)</f>
        <v/>
      </c>
      <c r="T129" s="93" t="str" cm="1">
        <f t="array" ref="T129">_xlfn.LET(
  _xlpm.w, T$11,
  _xlpm.r, MATCH(1,('3. Enter Indicator Scores'!$B$10:$B$161=$B129)*('3. Enter Indicator Scores'!$C$10:$C$161=$C129),0),
  _xlpm.c, MATCH(T$8,'3. Enter Indicator Scores'!$D$8:$CZ$8,0),
  _xlpm.v, IFERROR(INDEX('3. Enter Indicator Scores'!$D$10:$CZ$161,_xlpm.r,_xlpm.c),""),
  IF(OR(_xlpm.w="",_xlpm.v=""),"",_xlpm.v*_xlpm.w)
)</f>
        <v/>
      </c>
      <c r="U129" s="93" t="str" cm="1">
        <f t="array" ref="U129">_xlfn.LET(
  _xlpm.w, U$11,
  _xlpm.r, MATCH(1,('3. Enter Indicator Scores'!$B$10:$B$161=$B129)*('3. Enter Indicator Scores'!$C$10:$C$161=$C129),0),
  _xlpm.c, MATCH(U$8,'3. Enter Indicator Scores'!$D$8:$CZ$8,0),
  _xlpm.v, IFERROR(INDEX('3. Enter Indicator Scores'!$D$10:$CZ$161,_xlpm.r,_xlpm.c),""),
  IF(OR(_xlpm.w="",_xlpm.v=""),"",_xlpm.v*_xlpm.w)
)</f>
        <v/>
      </c>
      <c r="V129" s="93" t="str" cm="1">
        <f t="array" ref="V129">_xlfn.LET(
  _xlpm.w, V$11,
  _xlpm.r, MATCH(1,('3. Enter Indicator Scores'!$B$10:$B$161=$B129)*('3. Enter Indicator Scores'!$C$10:$C$161=$C129),0),
  _xlpm.c, MATCH(V$8,'3. Enter Indicator Scores'!$D$8:$CZ$8,0),
  _xlpm.v, IFERROR(INDEX('3. Enter Indicator Scores'!$D$10:$CZ$161,_xlpm.r,_xlpm.c),""),
  IF(OR(_xlpm.w="",_xlpm.v=""),"",_xlpm.v*_xlpm.w)
)</f>
        <v/>
      </c>
      <c r="W129" s="93" t="str" cm="1">
        <f t="array" ref="W129">_xlfn.LET(
  _xlpm.w, W$11,
  _xlpm.r, MATCH(1,('3. Enter Indicator Scores'!$B$10:$B$161=$B129)*('3. Enter Indicator Scores'!$C$10:$C$161=$C129),0),
  _xlpm.c, MATCH(W$8,'3. Enter Indicator Scores'!$D$8:$CZ$8,0),
  _xlpm.v, IFERROR(INDEX('3. Enter Indicator Scores'!$D$10:$CZ$161,_xlpm.r,_xlpm.c),""),
  IF(OR(_xlpm.w="",_xlpm.v=""),"",_xlpm.v*_xlpm.w)
)</f>
        <v/>
      </c>
      <c r="X129" s="93" t="str" cm="1">
        <f t="array" ref="X129">_xlfn.LET(
  _xlpm.w, X$11,
  _xlpm.r, MATCH(1,('3. Enter Indicator Scores'!$B$10:$B$161=$B129)*('3. Enter Indicator Scores'!$C$10:$C$161=$C129),0),
  _xlpm.c, MATCH(X$8,'3. Enter Indicator Scores'!$D$8:$CZ$8,0),
  _xlpm.v, IFERROR(INDEX('3. Enter Indicator Scores'!$D$10:$CZ$161,_xlpm.r,_xlpm.c),""),
  IF(OR(_xlpm.w="",_xlpm.v=""),"",_xlpm.v*_xlpm.w)
)</f>
        <v/>
      </c>
      <c r="Y129" s="93" t="str" cm="1">
        <f t="array" ref="Y129">_xlfn.LET(
  _xlpm.w, Y$11,
  _xlpm.r, MATCH(1,('3. Enter Indicator Scores'!$B$10:$B$161=$B129)*('3. Enter Indicator Scores'!$C$10:$C$161=$C129),0),
  _xlpm.c, MATCH(Y$8,'3. Enter Indicator Scores'!$D$8:$CZ$8,0),
  _xlpm.v, IFERROR(INDEX('3. Enter Indicator Scores'!$D$10:$CZ$161,_xlpm.r,_xlpm.c),""),
  IF(OR(_xlpm.w="",_xlpm.v=""),"",_xlpm.v*_xlpm.w)
)</f>
        <v/>
      </c>
      <c r="Z129" s="93" t="str" cm="1">
        <f t="array" ref="Z129">_xlfn.LET(
  _xlpm.w, Z$11,
  _xlpm.r, MATCH(1,('3. Enter Indicator Scores'!$B$10:$B$161=$B129)*('3. Enter Indicator Scores'!$C$10:$C$161=$C129),0),
  _xlpm.c, MATCH(Z$8,'3. Enter Indicator Scores'!$D$8:$CZ$8,0),
  _xlpm.v, IFERROR(INDEX('3. Enter Indicator Scores'!$D$10:$CZ$161,_xlpm.r,_xlpm.c),""),
  IF(OR(_xlpm.w="",_xlpm.v=""),"",_xlpm.v*_xlpm.w)
)</f>
        <v/>
      </c>
      <c r="AA129" s="93" t="str" cm="1">
        <f t="array" ref="AA129">_xlfn.LET(
  _xlpm.w, AA$11,
  _xlpm.r, MATCH(1,('3. Enter Indicator Scores'!$B$10:$B$161=$B129)*('3. Enter Indicator Scores'!$C$10:$C$161=$C129),0),
  _xlpm.c, MATCH(AA$8,'3. Enter Indicator Scores'!$D$8:$CZ$8,0),
  _xlpm.v, IFERROR(INDEX('3. Enter Indicator Scores'!$D$10:$CZ$161,_xlpm.r,_xlpm.c),""),
  IF(OR(_xlpm.w="",_xlpm.v=""),"",_xlpm.v*_xlpm.w)
)</f>
        <v/>
      </c>
      <c r="AB129" s="93" t="str" cm="1">
        <f t="array" ref="AB129">_xlfn.LET(
  _xlpm.w, AB$11,
  _xlpm.r, MATCH(1,('3. Enter Indicator Scores'!$B$10:$B$161=$B129)*('3. Enter Indicator Scores'!$C$10:$C$161=$C129),0),
  _xlpm.c, MATCH(AB$8,'3. Enter Indicator Scores'!$D$8:$CZ$8,0),
  _xlpm.v, IFERROR(INDEX('3. Enter Indicator Scores'!$D$10:$CZ$161,_xlpm.r,_xlpm.c),""),
  IF(OR(_xlpm.w="",_xlpm.v=""),"",_xlpm.v*_xlpm.w)
)</f>
        <v/>
      </c>
      <c r="AC129" s="93" t="str" cm="1">
        <f t="array" ref="AC129">_xlfn.LET(
  _xlpm.w, AC$11,
  _xlpm.r, MATCH(1,('3. Enter Indicator Scores'!$B$10:$B$161=$B129)*('3. Enter Indicator Scores'!$C$10:$C$161=$C129),0),
  _xlpm.c, MATCH(AC$8,'3. Enter Indicator Scores'!$D$8:$CZ$8,0),
  _xlpm.v, IFERROR(INDEX('3. Enter Indicator Scores'!$D$10:$CZ$161,_xlpm.r,_xlpm.c),""),
  IF(OR(_xlpm.w="",_xlpm.v=""),"",_xlpm.v*_xlpm.w)
)</f>
        <v/>
      </c>
      <c r="AD129" s="93" t="str" cm="1">
        <f t="array" ref="AD129">_xlfn.LET(
  _xlpm.w, AD$11,
  _xlpm.r, MATCH(1,('3. Enter Indicator Scores'!$B$10:$B$161=$B129)*('3. Enter Indicator Scores'!$C$10:$C$161=$C129),0),
  _xlpm.c, MATCH(AD$8,'3. Enter Indicator Scores'!$D$8:$CZ$8,0),
  _xlpm.v, IFERROR(INDEX('3. Enter Indicator Scores'!$D$10:$CZ$161,_xlpm.r,_xlpm.c),""),
  IF(OR(_xlpm.w="",_xlpm.v=""),"",_xlpm.v*_xlpm.w)
)</f>
        <v/>
      </c>
      <c r="AE129" s="93" t="str" cm="1">
        <f t="array" ref="AE129">_xlfn.LET(
  _xlpm.w, AE$11,
  _xlpm.r, MATCH(1,('3. Enter Indicator Scores'!$B$10:$B$161=$B129)*('3. Enter Indicator Scores'!$C$10:$C$161=$C129),0),
  _xlpm.c, MATCH(AE$8,'3. Enter Indicator Scores'!$D$8:$CZ$8,0),
  _xlpm.v, IFERROR(INDEX('3. Enter Indicator Scores'!$D$10:$CZ$161,_xlpm.r,_xlpm.c),""),
  IF(OR(_xlpm.w="",_xlpm.v=""),"",_xlpm.v*_xlpm.w)
)</f>
        <v/>
      </c>
      <c r="AF129" s="93" t="str" cm="1">
        <f t="array" ref="AF129">_xlfn.LET(
  _xlpm.w, AF$11,
  _xlpm.r, MATCH(1,('3. Enter Indicator Scores'!$B$10:$B$161=$B129)*('3. Enter Indicator Scores'!$C$10:$C$161=$C129),0),
  _xlpm.c, MATCH(AF$8,'3. Enter Indicator Scores'!$D$8:$CZ$8,0),
  _xlpm.v, IFERROR(INDEX('3. Enter Indicator Scores'!$D$10:$CZ$161,_xlpm.r,_xlpm.c),""),
  IF(OR(_xlpm.w="",_xlpm.v=""),"",_xlpm.v*_xlpm.w)
)</f>
        <v/>
      </c>
      <c r="AG129" s="93" t="str" cm="1">
        <f t="array" ref="AG129">_xlfn.LET(
  _xlpm.w, AG$11,
  _xlpm.r, MATCH(1,('3. Enter Indicator Scores'!$B$10:$B$161=$B129)*('3. Enter Indicator Scores'!$C$10:$C$161=$C129),0),
  _xlpm.c, MATCH(AG$8,'3. Enter Indicator Scores'!$D$8:$CZ$8,0),
  _xlpm.v, IFERROR(INDEX('3. Enter Indicator Scores'!$D$10:$CZ$161,_xlpm.r,_xlpm.c),""),
  IF(OR(_xlpm.w="",_xlpm.v=""),"",_xlpm.v*_xlpm.w)
)</f>
        <v/>
      </c>
      <c r="AH129" s="93" t="str" cm="1">
        <f t="array" ref="AH129">_xlfn.LET(
  _xlpm.w, AH$11,
  _xlpm.r, MATCH(1,('3. Enter Indicator Scores'!$B$10:$B$161=$B129)*('3. Enter Indicator Scores'!$C$10:$C$161=$C129),0),
  _xlpm.c, MATCH(AH$8,'3. Enter Indicator Scores'!$D$8:$CZ$8,0),
  _xlpm.v, IFERROR(INDEX('3. Enter Indicator Scores'!$D$10:$CZ$161,_xlpm.r,_xlpm.c),""),
  IF(OR(_xlpm.w="",_xlpm.v=""),"",_xlpm.v*_xlpm.w)
)</f>
        <v/>
      </c>
      <c r="AI129" s="93" t="str" cm="1">
        <f t="array" ref="AI129">_xlfn.LET(
  _xlpm.w, AI$11,
  _xlpm.r, MATCH(1,('3. Enter Indicator Scores'!$B$10:$B$161=$B129)*('3. Enter Indicator Scores'!$C$10:$C$161=$C129),0),
  _xlpm.c, MATCH(AI$8,'3. Enter Indicator Scores'!$D$8:$CZ$8,0),
  _xlpm.v, IFERROR(INDEX('3. Enter Indicator Scores'!$D$10:$CZ$161,_xlpm.r,_xlpm.c),""),
  IF(OR(_xlpm.w="",_xlpm.v=""),"",_xlpm.v*_xlpm.w)
)</f>
        <v/>
      </c>
      <c r="AJ129" s="93" t="str" cm="1">
        <f t="array" ref="AJ129">_xlfn.LET(
  _xlpm.w, AJ$11,
  _xlpm.r, MATCH(1,('3. Enter Indicator Scores'!$B$10:$B$161=$B129)*('3. Enter Indicator Scores'!$C$10:$C$161=$C129),0),
  _xlpm.c, MATCH(AJ$8,'3. Enter Indicator Scores'!$D$8:$CZ$8,0),
  _xlpm.v, IFERROR(INDEX('3. Enter Indicator Scores'!$D$10:$CZ$161,_xlpm.r,_xlpm.c),""),
  IF(OR(_xlpm.w="",_xlpm.v=""),"",_xlpm.v*_xlpm.w)
)</f>
        <v/>
      </c>
      <c r="AK129" s="93" t="str" cm="1">
        <f t="array" ref="AK129">_xlfn.LET(
  _xlpm.w, AK$11,
  _xlpm.r, MATCH(1,('3. Enter Indicator Scores'!$B$10:$B$161=$B129)*('3. Enter Indicator Scores'!$C$10:$C$161=$C129),0),
  _xlpm.c, MATCH(AK$8,'3. Enter Indicator Scores'!$D$8:$CZ$8,0),
  _xlpm.v, IFERROR(INDEX('3. Enter Indicator Scores'!$D$10:$CZ$161,_xlpm.r,_xlpm.c),""),
  IF(OR(_xlpm.w="",_xlpm.v=""),"",_xlpm.v*_xlpm.w)
)</f>
        <v/>
      </c>
      <c r="AL129" s="93" t="str" cm="1">
        <f t="array" ref="AL129">_xlfn.LET(
  _xlpm.w, AL$11,
  _xlpm.r, MATCH(1,('3. Enter Indicator Scores'!$B$10:$B$161=$B129)*('3. Enter Indicator Scores'!$C$10:$C$161=$C129),0),
  _xlpm.c, MATCH(AL$8,'3. Enter Indicator Scores'!$D$8:$CZ$8,0),
  _xlpm.v, IFERROR(INDEX('3. Enter Indicator Scores'!$D$10:$CZ$161,_xlpm.r,_xlpm.c),""),
  IF(OR(_xlpm.w="",_xlpm.v=""),"",_xlpm.v*_xlpm.w)
)</f>
        <v/>
      </c>
      <c r="AM129" s="93" t="str" cm="1">
        <f t="array" ref="AM129">_xlfn.LET(
  _xlpm.w, AM$11,
  _xlpm.r, MATCH(1,('3. Enter Indicator Scores'!$B$10:$B$161=$B129)*('3. Enter Indicator Scores'!$C$10:$C$161=$C129),0),
  _xlpm.c, MATCH(AM$8,'3. Enter Indicator Scores'!$D$8:$CZ$8,0),
  _xlpm.v, IFERROR(INDEX('3. Enter Indicator Scores'!$D$10:$CZ$161,_xlpm.r,_xlpm.c),""),
  IF(OR(_xlpm.w="",_xlpm.v=""),"",_xlpm.v*_xlpm.w)
)</f>
        <v/>
      </c>
      <c r="AN129" s="93" t="str" cm="1">
        <f t="array" ref="AN129">_xlfn.LET(
  _xlpm.w, AN$11,
  _xlpm.r, MATCH(1,('3. Enter Indicator Scores'!$B$10:$B$161=$B129)*('3. Enter Indicator Scores'!$C$10:$C$161=$C129),0),
  _xlpm.c, MATCH(AN$8,'3. Enter Indicator Scores'!$D$8:$CZ$8,0),
  _xlpm.v, IFERROR(INDEX('3. Enter Indicator Scores'!$D$10:$CZ$161,_xlpm.r,_xlpm.c),""),
  IF(OR(_xlpm.w="",_xlpm.v=""),"",_xlpm.v*_xlpm.w)
)</f>
        <v/>
      </c>
      <c r="AO129" s="93" t="str" cm="1">
        <f t="array" ref="AO129">_xlfn.LET(
  _xlpm.w, AO$11,
  _xlpm.r, MATCH(1,('3. Enter Indicator Scores'!$B$10:$B$161=$B129)*('3. Enter Indicator Scores'!$C$10:$C$161=$C129),0),
  _xlpm.c, MATCH(AO$8,'3. Enter Indicator Scores'!$D$8:$CZ$8,0),
  _xlpm.v, IFERROR(INDEX('3. Enter Indicator Scores'!$D$10:$CZ$161,_xlpm.r,_xlpm.c),""),
  IF(OR(_xlpm.w="",_xlpm.v=""),"",_xlpm.v*_xlpm.w)
)</f>
        <v/>
      </c>
      <c r="AP129" s="93" t="str" cm="1">
        <f t="array" ref="AP129">_xlfn.LET(
  _xlpm.w, AP$11,
  _xlpm.r, MATCH(1,('3. Enter Indicator Scores'!$B$10:$B$161=$B129)*('3. Enter Indicator Scores'!$C$10:$C$161=$C129),0),
  _xlpm.c, MATCH(AP$8,'3. Enter Indicator Scores'!$D$8:$CZ$8,0),
  _xlpm.v, IFERROR(INDEX('3. Enter Indicator Scores'!$D$10:$CZ$161,_xlpm.r,_xlpm.c),""),
  IF(OR(_xlpm.w="",_xlpm.v=""),"",_xlpm.v*_xlpm.w)
)</f>
        <v/>
      </c>
      <c r="AQ129" s="93" t="str" cm="1">
        <f t="array" ref="AQ129">_xlfn.LET(
  _xlpm.w, AQ$11,
  _xlpm.r, MATCH(1,('3. Enter Indicator Scores'!$B$10:$B$161=$B129)*('3. Enter Indicator Scores'!$C$10:$C$161=$C129),0),
  _xlpm.c, MATCH(AQ$8,'3. Enter Indicator Scores'!$D$8:$CZ$8,0),
  _xlpm.v, IFERROR(INDEX('3. Enter Indicator Scores'!$D$10:$CZ$161,_xlpm.r,_xlpm.c),""),
  IF(OR(_xlpm.w="",_xlpm.v=""),"",_xlpm.v*_xlpm.w)
)</f>
        <v/>
      </c>
      <c r="AR129" s="93" t="str" cm="1">
        <f t="array" ref="AR129">_xlfn.LET(
  _xlpm.w, AR$11,
  _xlpm.r, MATCH(1,('3. Enter Indicator Scores'!$B$10:$B$161=$B129)*('3. Enter Indicator Scores'!$C$10:$C$161=$C129),0),
  _xlpm.c, MATCH(AR$8,'3. Enter Indicator Scores'!$D$8:$CZ$8,0),
  _xlpm.v, IFERROR(INDEX('3. Enter Indicator Scores'!$D$10:$CZ$161,_xlpm.r,_xlpm.c),""),
  IF(OR(_xlpm.w="",_xlpm.v=""),"",_xlpm.v*_xlpm.w)
)</f>
        <v/>
      </c>
      <c r="AS129" s="93" t="str" cm="1">
        <f t="array" ref="AS129">_xlfn.LET(
  _xlpm.w, AS$11,
  _xlpm.r, MATCH(1,('3. Enter Indicator Scores'!$B$10:$B$161=$B129)*('3. Enter Indicator Scores'!$C$10:$C$161=$C129),0),
  _xlpm.c, MATCH(AS$8,'3. Enter Indicator Scores'!$D$8:$CZ$8,0),
  _xlpm.v, IFERROR(INDEX('3. Enter Indicator Scores'!$D$10:$CZ$161,_xlpm.r,_xlpm.c),""),
  IF(OR(_xlpm.w="",_xlpm.v=""),"",_xlpm.v*_xlpm.w)
)</f>
        <v/>
      </c>
      <c r="AT129" s="93" t="str" cm="1">
        <f t="array" ref="AT129">_xlfn.LET(
  _xlpm.w, AT$11,
  _xlpm.r, MATCH(1,('3. Enter Indicator Scores'!$B$10:$B$161=$B129)*('3. Enter Indicator Scores'!$C$10:$C$161=$C129),0),
  _xlpm.c, MATCH(AT$8,'3. Enter Indicator Scores'!$D$8:$CZ$8,0),
  _xlpm.v, IFERROR(INDEX('3. Enter Indicator Scores'!$D$10:$CZ$161,_xlpm.r,_xlpm.c),""),
  IF(OR(_xlpm.w="",_xlpm.v=""),"",_xlpm.v*_xlpm.w)
)</f>
        <v/>
      </c>
      <c r="AU129" s="93" t="str" cm="1">
        <f t="array" ref="AU129">_xlfn.LET(
  _xlpm.w, AU$11,
  _xlpm.r, MATCH(1,('3. Enter Indicator Scores'!$B$10:$B$161=$B129)*('3. Enter Indicator Scores'!$C$10:$C$161=$C129),0),
  _xlpm.c, MATCH(AU$8,'3. Enter Indicator Scores'!$D$8:$CZ$8,0),
  _xlpm.v, IFERROR(INDEX('3. Enter Indicator Scores'!$D$10:$CZ$161,_xlpm.r,_xlpm.c),""),
  IF(OR(_xlpm.w="",_xlpm.v=""),"",_xlpm.v*_xlpm.w)
)</f>
        <v/>
      </c>
      <c r="AV129" s="93" t="str" cm="1">
        <f t="array" ref="AV129">_xlfn.LET(
  _xlpm.w, AV$11,
  _xlpm.r, MATCH(1,('3. Enter Indicator Scores'!$B$10:$B$161=$B129)*('3. Enter Indicator Scores'!$C$10:$C$161=$C129),0),
  _xlpm.c, MATCH(AV$8,'3. Enter Indicator Scores'!$D$8:$CZ$8,0),
  _xlpm.v, IFERROR(INDEX('3. Enter Indicator Scores'!$D$10:$CZ$161,_xlpm.r,_xlpm.c),""),
  IF(OR(_xlpm.w="",_xlpm.v=""),"",_xlpm.v*_xlpm.w)
)</f>
        <v/>
      </c>
      <c r="AW129" s="93" t="str" cm="1">
        <f t="array" ref="AW129">_xlfn.LET(
  _xlpm.w, AW$11,
  _xlpm.r, MATCH(1,('3. Enter Indicator Scores'!$B$10:$B$161=$B129)*('3. Enter Indicator Scores'!$C$10:$C$161=$C129),0),
  _xlpm.c, MATCH(AW$8,'3. Enter Indicator Scores'!$D$8:$CZ$8,0),
  _xlpm.v, IFERROR(INDEX('3. Enter Indicator Scores'!$D$10:$CZ$161,_xlpm.r,_xlpm.c),""),
  IF(OR(_xlpm.w="",_xlpm.v=""),"",_xlpm.v*_xlpm.w)
)</f>
        <v/>
      </c>
      <c r="AX129" s="93" t="str" cm="1">
        <f t="array" ref="AX129">_xlfn.LET(
  _xlpm.w, AX$11,
  _xlpm.r, MATCH(1,('3. Enter Indicator Scores'!$B$10:$B$161=$B129)*('3. Enter Indicator Scores'!$C$10:$C$161=$C129),0),
  _xlpm.c, MATCH(AX$8,'3. Enter Indicator Scores'!$D$8:$CZ$8,0),
  _xlpm.v, IFERROR(INDEX('3. Enter Indicator Scores'!$D$10:$CZ$161,_xlpm.r,_xlpm.c),""),
  IF(OR(_xlpm.w="",_xlpm.v=""),"",_xlpm.v*_xlpm.w)
)</f>
        <v/>
      </c>
      <c r="AY129" s="93" t="str" cm="1">
        <f t="array" ref="AY129">_xlfn.LET(
  _xlpm.w, AY$11,
  _xlpm.r, MATCH(1,('3. Enter Indicator Scores'!$B$10:$B$161=$B129)*('3. Enter Indicator Scores'!$C$10:$C$161=$C129),0),
  _xlpm.c, MATCH(AY$8,'3. Enter Indicator Scores'!$D$8:$CZ$8,0),
  _xlpm.v, IFERROR(INDEX('3. Enter Indicator Scores'!$D$10:$CZ$161,_xlpm.r,_xlpm.c),""),
  IF(OR(_xlpm.w="",_xlpm.v=""),"",_xlpm.v*_xlpm.w)
)</f>
        <v/>
      </c>
      <c r="AZ129" s="93" t="str" cm="1">
        <f t="array" ref="AZ129">_xlfn.LET(
  _xlpm.w, AZ$11,
  _xlpm.r, MATCH(1,('3. Enter Indicator Scores'!$B$10:$B$161=$B129)*('3. Enter Indicator Scores'!$C$10:$C$161=$C129),0),
  _xlpm.c, MATCH(AZ$8,'3. Enter Indicator Scores'!$D$8:$CZ$8,0),
  _xlpm.v, IFERROR(INDEX('3. Enter Indicator Scores'!$D$10:$CZ$161,_xlpm.r,_xlpm.c),""),
  IF(OR(_xlpm.w="",_xlpm.v=""),"",_xlpm.v*_xlpm.w)
)</f>
        <v/>
      </c>
      <c r="BA129" s="93" t="str" cm="1">
        <f t="array" ref="BA129">_xlfn.LET(
  _xlpm.w, BA$11,
  _xlpm.r, MATCH(1,('3. Enter Indicator Scores'!$B$10:$B$161=$B129)*('3. Enter Indicator Scores'!$C$10:$C$161=$C129),0),
  _xlpm.c, MATCH(BA$8,'3. Enter Indicator Scores'!$D$8:$CZ$8,0),
  _xlpm.v, IFERROR(INDEX('3. Enter Indicator Scores'!$D$10:$CZ$161,_xlpm.r,_xlpm.c),""),
  IF(OR(_xlpm.w="",_xlpm.v=""),"",_xlpm.v*_xlpm.w)
)</f>
        <v/>
      </c>
      <c r="BB129" s="93" t="str" cm="1">
        <f t="array" ref="BB129">_xlfn.LET(
  _xlpm.w, BB$11,
  _xlpm.r, MATCH(1,('3. Enter Indicator Scores'!$B$10:$B$161=$B129)*('3. Enter Indicator Scores'!$C$10:$C$161=$C129),0),
  _xlpm.c, MATCH(BB$8,'3. Enter Indicator Scores'!$D$8:$CZ$8,0),
  _xlpm.v, IFERROR(INDEX('3. Enter Indicator Scores'!$D$10:$CZ$161,_xlpm.r,_xlpm.c),""),
  IF(OR(_xlpm.w="",_xlpm.v=""),"",_xlpm.v*_xlpm.w)
)</f>
        <v/>
      </c>
      <c r="BC129" s="93" t="str" cm="1">
        <f t="array" ref="BC129">_xlfn.LET(
  _xlpm.w, BC$11,
  _xlpm.r, MATCH(1,('3. Enter Indicator Scores'!$B$10:$B$161=$B129)*('3. Enter Indicator Scores'!$C$10:$C$161=$C129),0),
  _xlpm.c, MATCH(BC$8,'3. Enter Indicator Scores'!$D$8:$CZ$8,0),
  _xlpm.v, IFERROR(INDEX('3. Enter Indicator Scores'!$D$10:$CZ$161,_xlpm.r,_xlpm.c),""),
  IF(OR(_xlpm.w="",_xlpm.v=""),"",_xlpm.v*_xlpm.w)
)</f>
        <v/>
      </c>
      <c r="BD129" s="93" t="str" cm="1">
        <f t="array" ref="BD129">_xlfn.LET(
  _xlpm.w, BD$11,
  _xlpm.r, MATCH(1,('3. Enter Indicator Scores'!$B$10:$B$161=$B129)*('3. Enter Indicator Scores'!$C$10:$C$161=$C129),0),
  _xlpm.c, MATCH(BD$8,'3. Enter Indicator Scores'!$D$8:$CZ$8,0),
  _xlpm.v, IFERROR(INDEX('3. Enter Indicator Scores'!$D$10:$CZ$161,_xlpm.r,_xlpm.c),""),
  IF(OR(_xlpm.w="",_xlpm.v=""),"",_xlpm.v*_xlpm.w)
)</f>
        <v/>
      </c>
      <c r="BE129" s="93" t="str" cm="1">
        <f t="array" ref="BE129">_xlfn.LET(
  _xlpm.w, BE$11,
  _xlpm.r, MATCH(1,('3. Enter Indicator Scores'!$B$10:$B$161=$B129)*('3. Enter Indicator Scores'!$C$10:$C$161=$C129),0),
  _xlpm.c, MATCH(BE$8,'3. Enter Indicator Scores'!$D$8:$CZ$8,0),
  _xlpm.v, IFERROR(INDEX('3. Enter Indicator Scores'!$D$10:$CZ$161,_xlpm.r,_xlpm.c),""),
  IF(OR(_xlpm.w="",_xlpm.v=""),"",_xlpm.v*_xlpm.w)
)</f>
        <v/>
      </c>
      <c r="BF129" s="93" t="str" cm="1">
        <f t="array" ref="BF129">_xlfn.LET(
  _xlpm.w, BF$11,
  _xlpm.r, MATCH(1,('3. Enter Indicator Scores'!$B$10:$B$161=$B129)*('3. Enter Indicator Scores'!$C$10:$C$161=$C129),0),
  _xlpm.c, MATCH(BF$8,'3. Enter Indicator Scores'!$D$8:$CZ$8,0),
  _xlpm.v, IFERROR(INDEX('3. Enter Indicator Scores'!$D$10:$CZ$161,_xlpm.r,_xlpm.c),""),
  IF(OR(_xlpm.w="",_xlpm.v=""),"",_xlpm.v*_xlpm.w)
)</f>
        <v/>
      </c>
      <c r="BG129" s="93" t="str" cm="1">
        <f t="array" ref="BG129">_xlfn.LET(
  _xlpm.w, BG$11,
  _xlpm.r, MATCH(1,('3. Enter Indicator Scores'!$B$10:$B$161=$B129)*('3. Enter Indicator Scores'!$C$10:$C$161=$C129),0),
  _xlpm.c, MATCH(BG$8,'3. Enter Indicator Scores'!$D$8:$CZ$8,0),
  _xlpm.v, IFERROR(INDEX('3. Enter Indicator Scores'!$D$10:$CZ$161,_xlpm.r,_xlpm.c),""),
  IF(OR(_xlpm.w="",_xlpm.v=""),"",_xlpm.v*_xlpm.w)
)</f>
        <v/>
      </c>
      <c r="BH129" s="93" t="str" cm="1">
        <f t="array" ref="BH129">_xlfn.LET(
  _xlpm.w, BH$11,
  _xlpm.r, MATCH(1,('3. Enter Indicator Scores'!$B$10:$B$161=$B129)*('3. Enter Indicator Scores'!$C$10:$C$161=$C129),0),
  _xlpm.c, MATCH(BH$8,'3. Enter Indicator Scores'!$D$8:$CZ$8,0),
  _xlpm.v, IFERROR(INDEX('3. Enter Indicator Scores'!$D$10:$CZ$161,_xlpm.r,_xlpm.c),""),
  IF(OR(_xlpm.w="",_xlpm.v=""),"",_xlpm.v*_xlpm.w)
)</f>
        <v/>
      </c>
      <c r="BI129" s="93" t="str" cm="1">
        <f t="array" ref="BI129">_xlfn.LET(
  _xlpm.w, BI$11,
  _xlpm.r, MATCH(1,('3. Enter Indicator Scores'!$B$10:$B$161=$B129)*('3. Enter Indicator Scores'!$C$10:$C$161=$C129),0),
  _xlpm.c, MATCH(BI$8,'3. Enter Indicator Scores'!$D$8:$CZ$8,0),
  _xlpm.v, IFERROR(INDEX('3. Enter Indicator Scores'!$D$10:$CZ$161,_xlpm.r,_xlpm.c),""),
  IF(OR(_xlpm.w="",_xlpm.v=""),"",_xlpm.v*_xlpm.w)
)</f>
        <v/>
      </c>
      <c r="BJ129" s="93" t="str" cm="1">
        <f t="array" ref="BJ129">_xlfn.LET(
  _xlpm.w, BJ$11,
  _xlpm.r, MATCH(1,('3. Enter Indicator Scores'!$B$10:$B$161=$B129)*('3. Enter Indicator Scores'!$C$10:$C$161=$C129),0),
  _xlpm.c, MATCH(BJ$8,'3. Enter Indicator Scores'!$D$8:$CZ$8,0),
  _xlpm.v, IFERROR(INDEX('3. Enter Indicator Scores'!$D$10:$CZ$161,_xlpm.r,_xlpm.c),""),
  IF(OR(_xlpm.w="",_xlpm.v=""),"",_xlpm.v*_xlpm.w)
)</f>
        <v/>
      </c>
      <c r="BK129" s="93" t="str" cm="1">
        <f t="array" ref="BK129">_xlfn.LET(
  _xlpm.w, BK$11,
  _xlpm.r, MATCH(1,('3. Enter Indicator Scores'!$B$10:$B$161=$B129)*('3. Enter Indicator Scores'!$C$10:$C$161=$C129),0),
  _xlpm.c, MATCH(BK$8,'3. Enter Indicator Scores'!$D$8:$CZ$8,0),
  _xlpm.v, IFERROR(INDEX('3. Enter Indicator Scores'!$D$10:$CZ$161,_xlpm.r,_xlpm.c),""),
  IF(OR(_xlpm.w="",_xlpm.v=""),"",_xlpm.v*_xlpm.w)
)</f>
        <v/>
      </c>
      <c r="BL129" s="93" t="str" cm="1">
        <f t="array" ref="BL129">_xlfn.LET(
  _xlpm.w, BL$11,
  _xlpm.r, MATCH(1,('3. Enter Indicator Scores'!$B$10:$B$161=$B129)*('3. Enter Indicator Scores'!$C$10:$C$161=$C129),0),
  _xlpm.c, MATCH(BL$8,'3. Enter Indicator Scores'!$D$8:$CZ$8,0),
  _xlpm.v, IFERROR(INDEX('3. Enter Indicator Scores'!$D$10:$CZ$161,_xlpm.r,_xlpm.c),""),
  IF(OR(_xlpm.w="",_xlpm.v=""),"",_xlpm.v*_xlpm.w)
)</f>
        <v/>
      </c>
      <c r="BM129" s="93" t="str" cm="1">
        <f t="array" ref="BM129">_xlfn.LET(
  _xlpm.w, BM$11,
  _xlpm.r, MATCH(1,('3. Enter Indicator Scores'!$B$10:$B$161=$B129)*('3. Enter Indicator Scores'!$C$10:$C$161=$C129),0),
  _xlpm.c, MATCH(BM$8,'3. Enter Indicator Scores'!$D$8:$CZ$8,0),
  _xlpm.v, IFERROR(INDEX('3. Enter Indicator Scores'!$D$10:$CZ$161,_xlpm.r,_xlpm.c),""),
  IF(OR(_xlpm.w="",_xlpm.v=""),"",_xlpm.v*_xlpm.w)
)</f>
        <v/>
      </c>
      <c r="BN129" s="93" t="str" cm="1">
        <f t="array" ref="BN129">_xlfn.LET(
  _xlpm.w, BN$11,
  _xlpm.r, MATCH(1,('3. Enter Indicator Scores'!$B$10:$B$161=$B129)*('3. Enter Indicator Scores'!$C$10:$C$161=$C129),0),
  _xlpm.c, MATCH(BN$8,'3. Enter Indicator Scores'!$D$8:$CZ$8,0),
  _xlpm.v, IFERROR(INDEX('3. Enter Indicator Scores'!$D$10:$CZ$161,_xlpm.r,_xlpm.c),""),
  IF(OR(_xlpm.w="",_xlpm.v=""),"",_xlpm.v*_xlpm.w)
)</f>
        <v/>
      </c>
      <c r="BO129" s="93" t="str" cm="1">
        <f t="array" ref="BO129">_xlfn.LET(
  _xlpm.w, BO$11,
  _xlpm.r, MATCH(1,('3. Enter Indicator Scores'!$B$10:$B$161=$B129)*('3. Enter Indicator Scores'!$C$10:$C$161=$C129),0),
  _xlpm.c, MATCH(BO$8,'3. Enter Indicator Scores'!$D$8:$CZ$8,0),
  _xlpm.v, IFERROR(INDEX('3. Enter Indicator Scores'!$D$10:$CZ$161,_xlpm.r,_xlpm.c),""),
  IF(OR(_xlpm.w="",_xlpm.v=""),"",_xlpm.v*_xlpm.w)
)</f>
        <v/>
      </c>
      <c r="BP129" s="93" t="str" cm="1">
        <f t="array" ref="BP129">_xlfn.LET(
  _xlpm.w, BP$11,
  _xlpm.r, MATCH(1,('3. Enter Indicator Scores'!$B$10:$B$161=$B129)*('3. Enter Indicator Scores'!$C$10:$C$161=$C129),0),
  _xlpm.c, MATCH(BP$8,'3. Enter Indicator Scores'!$D$8:$CZ$8,0),
  _xlpm.v, IFERROR(INDEX('3. Enter Indicator Scores'!$D$10:$CZ$161,_xlpm.r,_xlpm.c),""),
  IF(OR(_xlpm.w="",_xlpm.v=""),"",_xlpm.v*_xlpm.w)
)</f>
        <v/>
      </c>
      <c r="BQ129" s="93" t="str" cm="1">
        <f t="array" ref="BQ129">_xlfn.LET(
  _xlpm.w, BQ$11,
  _xlpm.r, MATCH(1,('3. Enter Indicator Scores'!$B$10:$B$161=$B129)*('3. Enter Indicator Scores'!$C$10:$C$161=$C129),0),
  _xlpm.c, MATCH(BQ$8,'3. Enter Indicator Scores'!$D$8:$CZ$8,0),
  _xlpm.v, IFERROR(INDEX('3. Enter Indicator Scores'!$D$10:$CZ$161,_xlpm.r,_xlpm.c),""),
  IF(OR(_xlpm.w="",_xlpm.v=""),"",_xlpm.v*_xlpm.w)
)</f>
        <v/>
      </c>
      <c r="BR129" s="93" t="str" cm="1">
        <f t="array" ref="BR129">_xlfn.LET(
  _xlpm.w, BR$11,
  _xlpm.r, MATCH(1,('3. Enter Indicator Scores'!$B$10:$B$161=$B129)*('3. Enter Indicator Scores'!$C$10:$C$161=$C129),0),
  _xlpm.c, MATCH(BR$8,'3. Enter Indicator Scores'!$D$8:$CZ$8,0),
  _xlpm.v, IFERROR(INDEX('3. Enter Indicator Scores'!$D$10:$CZ$161,_xlpm.r,_xlpm.c),""),
  IF(OR(_xlpm.w="",_xlpm.v=""),"",_xlpm.v*_xlpm.w)
)</f>
        <v/>
      </c>
      <c r="BS129" s="93" t="str" cm="1">
        <f t="array" ref="BS129">_xlfn.LET(
  _xlpm.w, BS$11,
  _xlpm.r, MATCH(1,('3. Enter Indicator Scores'!$B$10:$B$161=$B129)*('3. Enter Indicator Scores'!$C$10:$C$161=$C129),0),
  _xlpm.c, MATCH(BS$8,'3. Enter Indicator Scores'!$D$8:$CZ$8,0),
  _xlpm.v, IFERROR(INDEX('3. Enter Indicator Scores'!$D$10:$CZ$161,_xlpm.r,_xlpm.c),""),
  IF(OR(_xlpm.w="",_xlpm.v=""),"",_xlpm.v*_xlpm.w)
)</f>
        <v/>
      </c>
      <c r="BT129" s="93" t="str" cm="1">
        <f t="array" ref="BT129">_xlfn.LET(
  _xlpm.w, BT$11,
  _xlpm.r, MATCH(1,('3. Enter Indicator Scores'!$B$10:$B$161=$B129)*('3. Enter Indicator Scores'!$C$10:$C$161=$C129),0),
  _xlpm.c, MATCH(BT$8,'3. Enter Indicator Scores'!$D$8:$CZ$8,0),
  _xlpm.v, IFERROR(INDEX('3. Enter Indicator Scores'!$D$10:$CZ$161,_xlpm.r,_xlpm.c),""),
  IF(OR(_xlpm.w="",_xlpm.v=""),"",_xlpm.v*_xlpm.w)
)</f>
        <v/>
      </c>
      <c r="BU129" s="93" t="str" cm="1">
        <f t="array" ref="BU129">_xlfn.LET(
  _xlpm.w, BU$11,
  _xlpm.r, MATCH(1,('3. Enter Indicator Scores'!$B$10:$B$161=$B129)*('3. Enter Indicator Scores'!$C$10:$C$161=$C129),0),
  _xlpm.c, MATCH(BU$8,'3. Enter Indicator Scores'!$D$8:$CZ$8,0),
  _xlpm.v, IFERROR(INDEX('3. Enter Indicator Scores'!$D$10:$CZ$161,_xlpm.r,_xlpm.c),""),
  IF(OR(_xlpm.w="",_xlpm.v=""),"",_xlpm.v*_xlpm.w)
)</f>
        <v/>
      </c>
      <c r="BV129" s="93" t="str" cm="1">
        <f t="array" ref="BV129">_xlfn.LET(
  _xlpm.w, BV$11,
  _xlpm.r, MATCH(1,('3. Enter Indicator Scores'!$B$10:$B$161=$B129)*('3. Enter Indicator Scores'!$C$10:$C$161=$C129),0),
  _xlpm.c, MATCH(BV$8,'3. Enter Indicator Scores'!$D$8:$CZ$8,0),
  _xlpm.v, IFERROR(INDEX('3. Enter Indicator Scores'!$D$10:$CZ$161,_xlpm.r,_xlpm.c),""),
  IF(OR(_xlpm.w="",_xlpm.v=""),"",_xlpm.v*_xlpm.w)
)</f>
        <v/>
      </c>
      <c r="BW129" s="93" t="str" cm="1">
        <f t="array" ref="BW129">_xlfn.LET(
  _xlpm.w, BW$11,
  _xlpm.r, MATCH(1,('3. Enter Indicator Scores'!$B$10:$B$161=$B129)*('3. Enter Indicator Scores'!$C$10:$C$161=$C129),0),
  _xlpm.c, MATCH(BW$8,'3. Enter Indicator Scores'!$D$8:$CZ$8,0),
  _xlpm.v, IFERROR(INDEX('3. Enter Indicator Scores'!$D$10:$CZ$161,_xlpm.r,_xlpm.c),""),
  IF(OR(_xlpm.w="",_xlpm.v=""),"",_xlpm.v*_xlpm.w)
)</f>
        <v/>
      </c>
      <c r="BX129" s="93" t="str" cm="1">
        <f t="array" ref="BX129">_xlfn.LET(
  _xlpm.w, BX$11,
  _xlpm.r, MATCH(1,('3. Enter Indicator Scores'!$B$10:$B$161=$B129)*('3. Enter Indicator Scores'!$C$10:$C$161=$C129),0),
  _xlpm.c, MATCH(BX$8,'3. Enter Indicator Scores'!$D$8:$CZ$8,0),
  _xlpm.v, IFERROR(INDEX('3. Enter Indicator Scores'!$D$10:$CZ$161,_xlpm.r,_xlpm.c),""),
  IF(OR(_xlpm.w="",_xlpm.v=""),"",_xlpm.v*_xlpm.w)
)</f>
        <v/>
      </c>
      <c r="BY129" s="93" t="str" cm="1">
        <f t="array" ref="BY129">_xlfn.LET(
  _xlpm.w, BY$11,
  _xlpm.r, MATCH(1,('3. Enter Indicator Scores'!$B$10:$B$161=$B129)*('3. Enter Indicator Scores'!$C$10:$C$161=$C129),0),
  _xlpm.c, MATCH(BY$8,'3. Enter Indicator Scores'!$D$8:$CZ$8,0),
  _xlpm.v, IFERROR(INDEX('3. Enter Indicator Scores'!$D$10:$CZ$161,_xlpm.r,_xlpm.c),""),
  IF(OR(_xlpm.w="",_xlpm.v=""),"",_xlpm.v*_xlpm.w)
)</f>
        <v/>
      </c>
      <c r="BZ129" s="93" t="str" cm="1">
        <f t="array" ref="BZ129">_xlfn.LET(
  _xlpm.w, BZ$11,
  _xlpm.r, MATCH(1,('3. Enter Indicator Scores'!$B$10:$B$161=$B129)*('3. Enter Indicator Scores'!$C$10:$C$161=$C129),0),
  _xlpm.c, MATCH(BZ$8,'3. Enter Indicator Scores'!$D$8:$CZ$8,0),
  _xlpm.v, IFERROR(INDEX('3. Enter Indicator Scores'!$D$10:$CZ$161,_xlpm.r,_xlpm.c),""),
  IF(OR(_xlpm.w="",_xlpm.v=""),"",_xlpm.v*_xlpm.w)
)</f>
        <v/>
      </c>
      <c r="CA129" s="93" t="str" cm="1">
        <f t="array" ref="CA129">_xlfn.LET(
  _xlpm.w, CA$11,
  _xlpm.r, MATCH(1,('3. Enter Indicator Scores'!$B$10:$B$161=$B129)*('3. Enter Indicator Scores'!$C$10:$C$161=$C129),0),
  _xlpm.c, MATCH(CA$8,'3. Enter Indicator Scores'!$D$8:$CZ$8,0),
  _xlpm.v, IFERROR(INDEX('3. Enter Indicator Scores'!$D$10:$CZ$161,_xlpm.r,_xlpm.c),""),
  IF(OR(_xlpm.w="",_xlpm.v=""),"",_xlpm.v*_xlpm.w)
)</f>
        <v/>
      </c>
      <c r="CB129" s="93" t="str" cm="1">
        <f t="array" ref="CB129">_xlfn.LET(
  _xlpm.w, CB$11,
  _xlpm.r, MATCH(1,('3. Enter Indicator Scores'!$B$10:$B$161=$B129)*('3. Enter Indicator Scores'!$C$10:$C$161=$C129),0),
  _xlpm.c, MATCH(CB$8,'3. Enter Indicator Scores'!$D$8:$CZ$8,0),
  _xlpm.v, IFERROR(INDEX('3. Enter Indicator Scores'!$D$10:$CZ$161,_xlpm.r,_xlpm.c),""),
  IF(OR(_xlpm.w="",_xlpm.v=""),"",_xlpm.v*_xlpm.w)
)</f>
        <v/>
      </c>
      <c r="CC129" s="93" t="str" cm="1">
        <f t="array" ref="CC129">_xlfn.LET(
  _xlpm.w, CC$11,
  _xlpm.r, MATCH(1,('3. Enter Indicator Scores'!$B$10:$B$161=$B129)*('3. Enter Indicator Scores'!$C$10:$C$161=$C129),0),
  _xlpm.c, MATCH(CC$8,'3. Enter Indicator Scores'!$D$8:$CZ$8,0),
  _xlpm.v, IFERROR(INDEX('3. Enter Indicator Scores'!$D$10:$CZ$161,_xlpm.r,_xlpm.c),""),
  IF(OR(_xlpm.w="",_xlpm.v=""),"",_xlpm.v*_xlpm.w)
)</f>
        <v/>
      </c>
      <c r="CD129" s="93" t="str" cm="1">
        <f t="array" ref="CD129">_xlfn.LET(
  _xlpm.w, CD$11,
  _xlpm.r, MATCH(1,('3. Enter Indicator Scores'!$B$10:$B$161=$B129)*('3. Enter Indicator Scores'!$C$10:$C$161=$C129),0),
  _xlpm.c, MATCH(CD$8,'3. Enter Indicator Scores'!$D$8:$CZ$8,0),
  _xlpm.v, IFERROR(INDEX('3. Enter Indicator Scores'!$D$10:$CZ$161,_xlpm.r,_xlpm.c),""),
  IF(OR(_xlpm.w="",_xlpm.v=""),"",_xlpm.v*_xlpm.w)
)</f>
        <v/>
      </c>
      <c r="CE129" s="93" t="str" cm="1">
        <f t="array" ref="CE129">_xlfn.LET(
  _xlpm.w, CE$11,
  _xlpm.r, MATCH(1,('3. Enter Indicator Scores'!$B$10:$B$161=$B129)*('3. Enter Indicator Scores'!$C$10:$C$161=$C129),0),
  _xlpm.c, MATCH(CE$8,'3. Enter Indicator Scores'!$D$8:$CZ$8,0),
  _xlpm.v, IFERROR(INDEX('3. Enter Indicator Scores'!$D$10:$CZ$161,_xlpm.r,_xlpm.c),""),
  IF(OR(_xlpm.w="",_xlpm.v=""),"",_xlpm.v*_xlpm.w)
)</f>
        <v/>
      </c>
      <c r="CF129" s="93" t="str" cm="1">
        <f t="array" ref="CF129">_xlfn.LET(
  _xlpm.w, CF$11,
  _xlpm.r, MATCH(1,('3. Enter Indicator Scores'!$B$10:$B$161=$B129)*('3. Enter Indicator Scores'!$C$10:$C$161=$C129),0),
  _xlpm.c, MATCH(CF$8,'3. Enter Indicator Scores'!$D$8:$CZ$8,0),
  _xlpm.v, IFERROR(INDEX('3. Enter Indicator Scores'!$D$10:$CZ$161,_xlpm.r,_xlpm.c),""),
  IF(OR(_xlpm.w="",_xlpm.v=""),"",_xlpm.v*_xlpm.w)
)</f>
        <v/>
      </c>
      <c r="CG129" s="93" t="str" cm="1">
        <f t="array" ref="CG129">_xlfn.LET(
  _xlpm.w, CG$11,
  _xlpm.r, MATCH(1,('3. Enter Indicator Scores'!$B$10:$B$161=$B129)*('3. Enter Indicator Scores'!$C$10:$C$161=$C129),0),
  _xlpm.c, MATCH(CG$8,'3. Enter Indicator Scores'!$D$8:$CZ$8,0),
  _xlpm.v, IFERROR(INDEX('3. Enter Indicator Scores'!$D$10:$CZ$161,_xlpm.r,_xlpm.c),""),
  IF(OR(_xlpm.w="",_xlpm.v=""),"",_xlpm.v*_xlpm.w)
)</f>
        <v/>
      </c>
      <c r="CH129" s="93" t="str" cm="1">
        <f t="array" ref="CH129">_xlfn.LET(
  _xlpm.w, CH$11,
  _xlpm.r, MATCH(1,('3. Enter Indicator Scores'!$B$10:$B$161=$B129)*('3. Enter Indicator Scores'!$C$10:$C$161=$C129),0),
  _xlpm.c, MATCH(CH$8,'3. Enter Indicator Scores'!$D$8:$CZ$8,0),
  _xlpm.v, IFERROR(INDEX('3. Enter Indicator Scores'!$D$10:$CZ$161,_xlpm.r,_xlpm.c),""),
  IF(OR(_xlpm.w="",_xlpm.v=""),"",_xlpm.v*_xlpm.w)
)</f>
        <v/>
      </c>
      <c r="CI129" s="93" t="str" cm="1">
        <f t="array" ref="CI129">_xlfn.LET(
  _xlpm.w, CI$11,
  _xlpm.r, MATCH(1,('3. Enter Indicator Scores'!$B$10:$B$161=$B129)*('3. Enter Indicator Scores'!$C$10:$C$161=$C129),0),
  _xlpm.c, MATCH(CI$8,'3. Enter Indicator Scores'!$D$8:$CZ$8,0),
  _xlpm.v, IFERROR(INDEX('3. Enter Indicator Scores'!$D$10:$CZ$161,_xlpm.r,_xlpm.c),""),
  IF(OR(_xlpm.w="",_xlpm.v=""),"",_xlpm.v*_xlpm.w)
)</f>
        <v/>
      </c>
      <c r="CJ129" s="93" t="str" cm="1">
        <f t="array" ref="CJ129">_xlfn.LET(
  _xlpm.w, CJ$11,
  _xlpm.r, MATCH(1,('3. Enter Indicator Scores'!$B$10:$B$161=$B129)*('3. Enter Indicator Scores'!$C$10:$C$161=$C129),0),
  _xlpm.c, MATCH(CJ$8,'3. Enter Indicator Scores'!$D$8:$CZ$8,0),
  _xlpm.v, IFERROR(INDEX('3. Enter Indicator Scores'!$D$10:$CZ$161,_xlpm.r,_xlpm.c),""),
  IF(OR(_xlpm.w="",_xlpm.v=""),"",_xlpm.v*_xlpm.w)
)</f>
        <v/>
      </c>
      <c r="CK129" s="93" t="str" cm="1">
        <f t="array" ref="CK129">_xlfn.LET(
  _xlpm.w, CK$11,
  _xlpm.r, MATCH(1,('3. Enter Indicator Scores'!$B$10:$B$161=$B129)*('3. Enter Indicator Scores'!$C$10:$C$161=$C129),0),
  _xlpm.c, MATCH(CK$8,'3. Enter Indicator Scores'!$D$8:$CZ$8,0),
  _xlpm.v, IFERROR(INDEX('3. Enter Indicator Scores'!$D$10:$CZ$161,_xlpm.r,_xlpm.c),""),
  IF(OR(_xlpm.w="",_xlpm.v=""),"",_xlpm.v*_xlpm.w)
)</f>
        <v/>
      </c>
      <c r="CL129" s="93" t="str" cm="1">
        <f t="array" ref="CL129">_xlfn.LET(
  _xlpm.w, CL$11,
  _xlpm.r, MATCH(1,('3. Enter Indicator Scores'!$B$10:$B$161=$B129)*('3. Enter Indicator Scores'!$C$10:$C$161=$C129),0),
  _xlpm.c, MATCH(CL$8,'3. Enter Indicator Scores'!$D$8:$CZ$8,0),
  _xlpm.v, IFERROR(INDEX('3. Enter Indicator Scores'!$D$10:$CZ$161,_xlpm.r,_xlpm.c),""),
  IF(OR(_xlpm.w="",_xlpm.v=""),"",_xlpm.v*_xlpm.w)
)</f>
        <v/>
      </c>
      <c r="CM129" s="93" t="str" cm="1">
        <f t="array" ref="CM129">_xlfn.LET(
  _xlpm.w, CM$11,
  _xlpm.r, MATCH(1,('3. Enter Indicator Scores'!$B$10:$B$161=$B129)*('3. Enter Indicator Scores'!$C$10:$C$161=$C129),0),
  _xlpm.c, MATCH(CM$8,'3. Enter Indicator Scores'!$D$8:$CZ$8,0),
  _xlpm.v, IFERROR(INDEX('3. Enter Indicator Scores'!$D$10:$CZ$161,_xlpm.r,_xlpm.c),""),
  IF(OR(_xlpm.w="",_xlpm.v=""),"",_xlpm.v*_xlpm.w)
)</f>
        <v/>
      </c>
      <c r="CN129" s="93" t="str" cm="1">
        <f t="array" ref="CN129">_xlfn.LET(
  _xlpm.w, CN$11,
  _xlpm.r, MATCH(1,('3. Enter Indicator Scores'!$B$10:$B$161=$B129)*('3. Enter Indicator Scores'!$C$10:$C$161=$C129),0),
  _xlpm.c, MATCH(CN$8,'3. Enter Indicator Scores'!$D$8:$CZ$8,0),
  _xlpm.v, IFERROR(INDEX('3. Enter Indicator Scores'!$D$10:$CZ$161,_xlpm.r,_xlpm.c),""),
  IF(OR(_xlpm.w="",_xlpm.v=""),"",_xlpm.v*_xlpm.w)
)</f>
        <v/>
      </c>
      <c r="CO129" s="93" t="str" cm="1">
        <f t="array" ref="CO129">_xlfn.LET(
  _xlpm.w, CO$11,
  _xlpm.r, MATCH(1,('3. Enter Indicator Scores'!$B$10:$B$161=$B129)*('3. Enter Indicator Scores'!$C$10:$C$161=$C129),0),
  _xlpm.c, MATCH(CO$8,'3. Enter Indicator Scores'!$D$8:$CZ$8,0),
  _xlpm.v, IFERROR(INDEX('3. Enter Indicator Scores'!$D$10:$CZ$161,_xlpm.r,_xlpm.c),""),
  IF(OR(_xlpm.w="",_xlpm.v=""),"",_xlpm.v*_xlpm.w)
)</f>
        <v/>
      </c>
      <c r="CP129" s="93" t="str" cm="1">
        <f t="array" ref="CP129">_xlfn.LET(
  _xlpm.w, CP$11,
  _xlpm.r, MATCH(1,('3. Enter Indicator Scores'!$B$10:$B$161=$B129)*('3. Enter Indicator Scores'!$C$10:$C$161=$C129),0),
  _xlpm.c, MATCH(CP$8,'3. Enter Indicator Scores'!$D$8:$CZ$8,0),
  _xlpm.v, IFERROR(INDEX('3. Enter Indicator Scores'!$D$10:$CZ$161,_xlpm.r,_xlpm.c),""),
  IF(OR(_xlpm.w="",_xlpm.v=""),"",_xlpm.v*_xlpm.w)
)</f>
        <v/>
      </c>
      <c r="CQ129" s="93" t="str" cm="1">
        <f t="array" ref="CQ129">_xlfn.LET(
  _xlpm.w, CQ$11,
  _xlpm.r, MATCH(1,('3. Enter Indicator Scores'!$B$10:$B$161=$B129)*('3. Enter Indicator Scores'!$C$10:$C$161=$C129),0),
  _xlpm.c, MATCH(CQ$8,'3. Enter Indicator Scores'!$D$8:$CZ$8,0),
  _xlpm.v, IFERROR(INDEX('3. Enter Indicator Scores'!$D$10:$CZ$161,_xlpm.r,_xlpm.c),""),
  IF(OR(_xlpm.w="",_xlpm.v=""),"",_xlpm.v*_xlpm.w)
)</f>
        <v/>
      </c>
      <c r="CR129" s="93" t="str" cm="1">
        <f t="array" ref="CR129">_xlfn.LET(
  _xlpm.w, CR$11,
  _xlpm.r, MATCH(1,('3. Enter Indicator Scores'!$B$10:$B$161=$B129)*('3. Enter Indicator Scores'!$C$10:$C$161=$C129),0),
  _xlpm.c, MATCH(CR$8,'3. Enter Indicator Scores'!$D$8:$CZ$8,0),
  _xlpm.v, IFERROR(INDEX('3. Enter Indicator Scores'!$D$10:$CZ$161,_xlpm.r,_xlpm.c),""),
  IF(OR(_xlpm.w="",_xlpm.v=""),"",_xlpm.v*_xlpm.w)
)</f>
        <v/>
      </c>
      <c r="CS129" s="93" t="str" cm="1">
        <f t="array" ref="CS129">_xlfn.LET(
  _xlpm.w, CS$11,
  _xlpm.r, MATCH(1,('3. Enter Indicator Scores'!$B$10:$B$161=$B129)*('3. Enter Indicator Scores'!$C$10:$C$161=$C129),0),
  _xlpm.c, MATCH(CS$8,'3. Enter Indicator Scores'!$D$8:$CZ$8,0),
  _xlpm.v, IFERROR(INDEX('3. Enter Indicator Scores'!$D$10:$CZ$161,_xlpm.r,_xlpm.c),""),
  IF(OR(_xlpm.w="",_xlpm.v=""),"",_xlpm.v*_xlpm.w)
)</f>
        <v/>
      </c>
      <c r="CT129" s="93" t="str" cm="1">
        <f t="array" ref="CT129">_xlfn.LET(
  _xlpm.w, CT$11,
  _xlpm.r, MATCH(1,('3. Enter Indicator Scores'!$B$10:$B$161=$B129)*('3. Enter Indicator Scores'!$C$10:$C$161=$C129),0),
  _xlpm.c, MATCH(CT$8,'3. Enter Indicator Scores'!$D$8:$CZ$8,0),
  _xlpm.v, IFERROR(INDEX('3. Enter Indicator Scores'!$D$10:$CZ$161,_xlpm.r,_xlpm.c),""),
  IF(OR(_xlpm.w="",_xlpm.v=""),"",_xlpm.v*_xlpm.w)
)</f>
        <v/>
      </c>
      <c r="CU129" s="93" t="str" cm="1">
        <f t="array" ref="CU129">_xlfn.LET(
  _xlpm.w, CU$11,
  _xlpm.r, MATCH(1,('3. Enter Indicator Scores'!$B$10:$B$161=$B129)*('3. Enter Indicator Scores'!$C$10:$C$161=$C129),0),
  _xlpm.c, MATCH(CU$8,'3. Enter Indicator Scores'!$D$8:$CZ$8,0),
  _xlpm.v, IFERROR(INDEX('3. Enter Indicator Scores'!$D$10:$CZ$161,_xlpm.r,_xlpm.c),""),
  IF(OR(_xlpm.w="",_xlpm.v=""),"",_xlpm.v*_xlpm.w)
)</f>
        <v/>
      </c>
      <c r="CV129" s="93" t="str" cm="1">
        <f t="array" ref="CV129">_xlfn.LET(
  _xlpm.w, CV$11,
  _xlpm.r, MATCH(1,('3. Enter Indicator Scores'!$B$10:$B$161=$B129)*('3. Enter Indicator Scores'!$C$10:$C$161=$C129),0),
  _xlpm.c, MATCH(CV$8,'3. Enter Indicator Scores'!$D$8:$CZ$8,0),
  _xlpm.v, IFERROR(INDEX('3. Enter Indicator Scores'!$D$10:$CZ$161,_xlpm.r,_xlpm.c),""),
  IF(OR(_xlpm.w="",_xlpm.v=""),"",_xlpm.v*_xlpm.w)
)</f>
        <v/>
      </c>
      <c r="CW129" s="93" t="str" cm="1">
        <f t="array" ref="CW129">_xlfn.LET(
  _xlpm.w, CW$11,
  _xlpm.r, MATCH(1,('3. Enter Indicator Scores'!$B$10:$B$161=$B129)*('3. Enter Indicator Scores'!$C$10:$C$161=$C129),0),
  _xlpm.c, MATCH(CW$8,'3. Enter Indicator Scores'!$D$8:$CZ$8,0),
  _xlpm.v, IFERROR(INDEX('3. Enter Indicator Scores'!$D$10:$CZ$161,_xlpm.r,_xlpm.c),""),
  IF(OR(_xlpm.w="",_xlpm.v=""),"",_xlpm.v*_xlpm.w)
)</f>
        <v/>
      </c>
      <c r="CX129" s="93" t="str" cm="1">
        <f t="array" ref="CX129">_xlfn.LET(
  _xlpm.w, CX$11,
  _xlpm.r, MATCH(1,('3. Enter Indicator Scores'!$B$10:$B$161=$B129)*('3. Enter Indicator Scores'!$C$10:$C$161=$C129),0),
  _xlpm.c, MATCH(CX$8,'3. Enter Indicator Scores'!$D$8:$CZ$8,0),
  _xlpm.v, IFERROR(INDEX('3. Enter Indicator Scores'!$D$10:$CZ$161,_xlpm.r,_xlpm.c),""),
  IF(OR(_xlpm.w="",_xlpm.v=""),"",_xlpm.v*_xlpm.w)
)</f>
        <v/>
      </c>
      <c r="CY129" s="93" t="str" cm="1">
        <f t="array" ref="CY129">_xlfn.LET(
  _xlpm.w, CY$11,
  _xlpm.r, MATCH(1,('3. Enter Indicator Scores'!$B$10:$B$161=$B129)*('3. Enter Indicator Scores'!$C$10:$C$161=$C129),0),
  _xlpm.c, MATCH(CY$8,'3. Enter Indicator Scores'!$D$8:$CZ$8,0),
  _xlpm.v, IFERROR(INDEX('3. Enter Indicator Scores'!$D$10:$CZ$161,_xlpm.r,_xlpm.c),""),
  IF(OR(_xlpm.w="",_xlpm.v=""),"",_xlpm.v*_xlpm.w)
)</f>
        <v/>
      </c>
      <c r="CZ129" s="93" t="str" cm="1">
        <f t="array" ref="CZ129">_xlfn.LET(
  _xlpm.w, CZ$11,
  _xlpm.r, MATCH(1,('3. Enter Indicator Scores'!$B$10:$B$161=$B129)*('3. Enter Indicator Scores'!$C$10:$C$161=$C129),0),
  _xlpm.c, MATCH(CZ$8,'3. Enter Indicator Scores'!$D$8:$CZ$8,0),
  _xlpm.v, IFERROR(INDEX('3. Enter Indicator Scores'!$D$10:$CZ$161,_xlpm.r,_xlpm.c),""),
  IF(OR(_xlpm.w="",_xlpm.v=""),"",_xlpm.v*_xlpm.w)
)</f>
        <v/>
      </c>
    </row>
    <row r="130" spans="4:104" x14ac:dyDescent="0.2">
      <c r="D130" s="93" t="str" cm="1">
        <f t="array" ref="D130">_xlfn.LET(
  _xlpm.w, D$11,
  _xlpm.r, MATCH(1,('3. Enter Indicator Scores'!$B$10:$B$161=$B130)*('3. Enter Indicator Scores'!$C$10:$C$161=$C130),0),
  _xlpm.c, MATCH(D$8,'3. Enter Indicator Scores'!$D$8:$CZ$8,0),
  _xlpm.v, IFERROR(INDEX('3. Enter Indicator Scores'!$D$10:$CZ$161,_xlpm.r,_xlpm.c),""),
  IF(OR(_xlpm.w="",_xlpm.v=""),"",_xlpm.v*_xlpm.w)
)</f>
        <v/>
      </c>
      <c r="E130" s="93" t="str" cm="1">
        <f t="array" ref="E130">_xlfn.LET(
  _xlpm.w, E$11,
  _xlpm.r, MATCH(1,('3. Enter Indicator Scores'!$B$10:$B$161=$B130)*('3. Enter Indicator Scores'!$C$10:$C$161=$C130),0),
  _xlpm.c, MATCH(E$8,'3. Enter Indicator Scores'!$D$8:$CZ$8,0),
  _xlpm.v, IFERROR(INDEX('3. Enter Indicator Scores'!$D$10:$CZ$161,_xlpm.r,_xlpm.c),""),
  IF(OR(_xlpm.w="",_xlpm.v=""),"",_xlpm.v*_xlpm.w)
)</f>
        <v/>
      </c>
      <c r="F130" s="93" t="str" cm="1">
        <f t="array" ref="F130">_xlfn.LET(
  _xlpm.w, F$11,
  _xlpm.r, MATCH(1,('3. Enter Indicator Scores'!$B$10:$B$161=$B130)*('3. Enter Indicator Scores'!$C$10:$C$161=$C130),0),
  _xlpm.c, MATCH(F$8,'3. Enter Indicator Scores'!$D$8:$CZ$8,0),
  _xlpm.v, IFERROR(INDEX('3. Enter Indicator Scores'!$D$10:$CZ$161,_xlpm.r,_xlpm.c),""),
  IF(OR(_xlpm.w="",_xlpm.v=""),"",_xlpm.v*_xlpm.w)
)</f>
        <v/>
      </c>
      <c r="G130" s="93" t="str" cm="1">
        <f t="array" ref="G130">_xlfn.LET(
  _xlpm.w, G$11,
  _xlpm.r, MATCH(1,('3. Enter Indicator Scores'!$B$10:$B$161=$B130)*('3. Enter Indicator Scores'!$C$10:$C$161=$C130),0),
  _xlpm.c, MATCH(G$8,'3. Enter Indicator Scores'!$D$8:$CZ$8,0),
  _xlpm.v, IFERROR(INDEX('3. Enter Indicator Scores'!$D$10:$CZ$161,_xlpm.r,_xlpm.c),""),
  IF(OR(_xlpm.w="",_xlpm.v=""),"",_xlpm.v*_xlpm.w)
)</f>
        <v/>
      </c>
      <c r="H130" s="93" t="str" cm="1">
        <f t="array" ref="H130">_xlfn.LET(
  _xlpm.w, H$11,
  _xlpm.r, MATCH(1,('3. Enter Indicator Scores'!$B$10:$B$161=$B130)*('3. Enter Indicator Scores'!$C$10:$C$161=$C130),0),
  _xlpm.c, MATCH(H$8,'3. Enter Indicator Scores'!$D$8:$CZ$8,0),
  _xlpm.v, IFERROR(INDEX('3. Enter Indicator Scores'!$D$10:$CZ$161,_xlpm.r,_xlpm.c),""),
  IF(OR(_xlpm.w="",_xlpm.v=""),"",_xlpm.v*_xlpm.w)
)</f>
        <v/>
      </c>
      <c r="I130" s="93" t="str" cm="1">
        <f t="array" ref="I130">_xlfn.LET(
  _xlpm.w, I$11,
  _xlpm.r, MATCH(1,('3. Enter Indicator Scores'!$B$10:$B$161=$B130)*('3. Enter Indicator Scores'!$C$10:$C$161=$C130),0),
  _xlpm.c, MATCH(I$8,'3. Enter Indicator Scores'!$D$8:$CZ$8,0),
  _xlpm.v, IFERROR(INDEX('3. Enter Indicator Scores'!$D$10:$CZ$161,_xlpm.r,_xlpm.c),""),
  IF(OR(_xlpm.w="",_xlpm.v=""),"",_xlpm.v*_xlpm.w)
)</f>
        <v/>
      </c>
      <c r="J130" s="93" t="str" cm="1">
        <f t="array" ref="J130">_xlfn.LET(
  _xlpm.w, J$11,
  _xlpm.r, MATCH(1,('3. Enter Indicator Scores'!$B$10:$B$161=$B130)*('3. Enter Indicator Scores'!$C$10:$C$161=$C130),0),
  _xlpm.c, MATCH(J$8,'3. Enter Indicator Scores'!$D$8:$CZ$8,0),
  _xlpm.v, IFERROR(INDEX('3. Enter Indicator Scores'!$D$10:$CZ$161,_xlpm.r,_xlpm.c),""),
  IF(OR(_xlpm.w="",_xlpm.v=""),"",_xlpm.v*_xlpm.w)
)</f>
        <v/>
      </c>
      <c r="K130" s="93" t="str" cm="1">
        <f t="array" ref="K130">_xlfn.LET(
  _xlpm.w, K$11,
  _xlpm.r, MATCH(1,('3. Enter Indicator Scores'!$B$10:$B$161=$B130)*('3. Enter Indicator Scores'!$C$10:$C$161=$C130),0),
  _xlpm.c, MATCH(K$8,'3. Enter Indicator Scores'!$D$8:$CZ$8,0),
  _xlpm.v, IFERROR(INDEX('3. Enter Indicator Scores'!$D$10:$CZ$161,_xlpm.r,_xlpm.c),""),
  IF(OR(_xlpm.w="",_xlpm.v=""),"",_xlpm.v*_xlpm.w)
)</f>
        <v/>
      </c>
      <c r="L130" s="93" t="str" cm="1">
        <f t="array" ref="L130">_xlfn.LET(
  _xlpm.w, L$11,
  _xlpm.r, MATCH(1,('3. Enter Indicator Scores'!$B$10:$B$161=$B130)*('3. Enter Indicator Scores'!$C$10:$C$161=$C130),0),
  _xlpm.c, MATCH(L$8,'3. Enter Indicator Scores'!$D$8:$CZ$8,0),
  _xlpm.v, IFERROR(INDEX('3. Enter Indicator Scores'!$D$10:$CZ$161,_xlpm.r,_xlpm.c),""),
  IF(OR(_xlpm.w="",_xlpm.v=""),"",_xlpm.v*_xlpm.w)
)</f>
        <v/>
      </c>
      <c r="M130" s="93" t="str" cm="1">
        <f t="array" ref="M130">_xlfn.LET(
  _xlpm.w, M$11,
  _xlpm.r, MATCH(1,('3. Enter Indicator Scores'!$B$10:$B$161=$B130)*('3. Enter Indicator Scores'!$C$10:$C$161=$C130),0),
  _xlpm.c, MATCH(M$8,'3. Enter Indicator Scores'!$D$8:$CZ$8,0),
  _xlpm.v, IFERROR(INDEX('3. Enter Indicator Scores'!$D$10:$CZ$161,_xlpm.r,_xlpm.c),""),
  IF(OR(_xlpm.w="",_xlpm.v=""),"",_xlpm.v*_xlpm.w)
)</f>
        <v/>
      </c>
      <c r="N130" s="93" t="str" cm="1">
        <f t="array" ref="N130">_xlfn.LET(
  _xlpm.w, N$11,
  _xlpm.r, MATCH(1,('3. Enter Indicator Scores'!$B$10:$B$161=$B130)*('3. Enter Indicator Scores'!$C$10:$C$161=$C130),0),
  _xlpm.c, MATCH(N$8,'3. Enter Indicator Scores'!$D$8:$CZ$8,0),
  _xlpm.v, IFERROR(INDEX('3. Enter Indicator Scores'!$D$10:$CZ$161,_xlpm.r,_xlpm.c),""),
  IF(OR(_xlpm.w="",_xlpm.v=""),"",_xlpm.v*_xlpm.w)
)</f>
        <v/>
      </c>
      <c r="O130" s="93" t="str" cm="1">
        <f t="array" ref="O130">_xlfn.LET(
  _xlpm.w, O$11,
  _xlpm.r, MATCH(1,('3. Enter Indicator Scores'!$B$10:$B$161=$B130)*('3. Enter Indicator Scores'!$C$10:$C$161=$C130),0),
  _xlpm.c, MATCH(O$8,'3. Enter Indicator Scores'!$D$8:$CZ$8,0),
  _xlpm.v, IFERROR(INDEX('3. Enter Indicator Scores'!$D$10:$CZ$161,_xlpm.r,_xlpm.c),""),
  IF(OR(_xlpm.w="",_xlpm.v=""),"",_xlpm.v*_xlpm.w)
)</f>
        <v/>
      </c>
      <c r="P130" s="93" t="str" cm="1">
        <f t="array" ref="P130">_xlfn.LET(
  _xlpm.w, P$11,
  _xlpm.r, MATCH(1,('3. Enter Indicator Scores'!$B$10:$B$161=$B130)*('3. Enter Indicator Scores'!$C$10:$C$161=$C130),0),
  _xlpm.c, MATCH(P$8,'3. Enter Indicator Scores'!$D$8:$CZ$8,0),
  _xlpm.v, IFERROR(INDEX('3. Enter Indicator Scores'!$D$10:$CZ$161,_xlpm.r,_xlpm.c),""),
  IF(OR(_xlpm.w="",_xlpm.v=""),"",_xlpm.v*_xlpm.w)
)</f>
        <v/>
      </c>
      <c r="Q130" s="93" t="str" cm="1">
        <f t="array" ref="Q130">_xlfn.LET(
  _xlpm.w, Q$11,
  _xlpm.r, MATCH(1,('3. Enter Indicator Scores'!$B$10:$B$161=$B130)*('3. Enter Indicator Scores'!$C$10:$C$161=$C130),0),
  _xlpm.c, MATCH(Q$8,'3. Enter Indicator Scores'!$D$8:$CZ$8,0),
  _xlpm.v, IFERROR(INDEX('3. Enter Indicator Scores'!$D$10:$CZ$161,_xlpm.r,_xlpm.c),""),
  IF(OR(_xlpm.w="",_xlpm.v=""),"",_xlpm.v*_xlpm.w)
)</f>
        <v/>
      </c>
      <c r="R130" s="93" t="str" cm="1">
        <f t="array" ref="R130">_xlfn.LET(
  _xlpm.w, R$11,
  _xlpm.r, MATCH(1,('3. Enter Indicator Scores'!$B$10:$B$161=$B130)*('3. Enter Indicator Scores'!$C$10:$C$161=$C130),0),
  _xlpm.c, MATCH(R$8,'3. Enter Indicator Scores'!$D$8:$CZ$8,0),
  _xlpm.v, IFERROR(INDEX('3. Enter Indicator Scores'!$D$10:$CZ$161,_xlpm.r,_xlpm.c),""),
  IF(OR(_xlpm.w="",_xlpm.v=""),"",_xlpm.v*_xlpm.w)
)</f>
        <v/>
      </c>
      <c r="S130" s="93" t="str" cm="1">
        <f t="array" ref="S130">_xlfn.LET(
  _xlpm.w, S$11,
  _xlpm.r, MATCH(1,('3. Enter Indicator Scores'!$B$10:$B$161=$B130)*('3. Enter Indicator Scores'!$C$10:$C$161=$C130),0),
  _xlpm.c, MATCH(S$8,'3. Enter Indicator Scores'!$D$8:$CZ$8,0),
  _xlpm.v, IFERROR(INDEX('3. Enter Indicator Scores'!$D$10:$CZ$161,_xlpm.r,_xlpm.c),""),
  IF(OR(_xlpm.w="",_xlpm.v=""),"",_xlpm.v*_xlpm.w)
)</f>
        <v/>
      </c>
      <c r="T130" s="93" t="str" cm="1">
        <f t="array" ref="T130">_xlfn.LET(
  _xlpm.w, T$11,
  _xlpm.r, MATCH(1,('3. Enter Indicator Scores'!$B$10:$B$161=$B130)*('3. Enter Indicator Scores'!$C$10:$C$161=$C130),0),
  _xlpm.c, MATCH(T$8,'3. Enter Indicator Scores'!$D$8:$CZ$8,0),
  _xlpm.v, IFERROR(INDEX('3. Enter Indicator Scores'!$D$10:$CZ$161,_xlpm.r,_xlpm.c),""),
  IF(OR(_xlpm.w="",_xlpm.v=""),"",_xlpm.v*_xlpm.w)
)</f>
        <v/>
      </c>
      <c r="U130" s="93" t="str" cm="1">
        <f t="array" ref="U130">_xlfn.LET(
  _xlpm.w, U$11,
  _xlpm.r, MATCH(1,('3. Enter Indicator Scores'!$B$10:$B$161=$B130)*('3. Enter Indicator Scores'!$C$10:$C$161=$C130),0),
  _xlpm.c, MATCH(U$8,'3. Enter Indicator Scores'!$D$8:$CZ$8,0),
  _xlpm.v, IFERROR(INDEX('3. Enter Indicator Scores'!$D$10:$CZ$161,_xlpm.r,_xlpm.c),""),
  IF(OR(_xlpm.w="",_xlpm.v=""),"",_xlpm.v*_xlpm.w)
)</f>
        <v/>
      </c>
      <c r="V130" s="93" t="str" cm="1">
        <f t="array" ref="V130">_xlfn.LET(
  _xlpm.w, V$11,
  _xlpm.r, MATCH(1,('3. Enter Indicator Scores'!$B$10:$B$161=$B130)*('3. Enter Indicator Scores'!$C$10:$C$161=$C130),0),
  _xlpm.c, MATCH(V$8,'3. Enter Indicator Scores'!$D$8:$CZ$8,0),
  _xlpm.v, IFERROR(INDEX('3. Enter Indicator Scores'!$D$10:$CZ$161,_xlpm.r,_xlpm.c),""),
  IF(OR(_xlpm.w="",_xlpm.v=""),"",_xlpm.v*_xlpm.w)
)</f>
        <v/>
      </c>
      <c r="W130" s="93" t="str" cm="1">
        <f t="array" ref="W130">_xlfn.LET(
  _xlpm.w, W$11,
  _xlpm.r, MATCH(1,('3. Enter Indicator Scores'!$B$10:$B$161=$B130)*('3. Enter Indicator Scores'!$C$10:$C$161=$C130),0),
  _xlpm.c, MATCH(W$8,'3. Enter Indicator Scores'!$D$8:$CZ$8,0),
  _xlpm.v, IFERROR(INDEX('3. Enter Indicator Scores'!$D$10:$CZ$161,_xlpm.r,_xlpm.c),""),
  IF(OR(_xlpm.w="",_xlpm.v=""),"",_xlpm.v*_xlpm.w)
)</f>
        <v/>
      </c>
      <c r="X130" s="93" t="str" cm="1">
        <f t="array" ref="X130">_xlfn.LET(
  _xlpm.w, X$11,
  _xlpm.r, MATCH(1,('3. Enter Indicator Scores'!$B$10:$B$161=$B130)*('3. Enter Indicator Scores'!$C$10:$C$161=$C130),0),
  _xlpm.c, MATCH(X$8,'3. Enter Indicator Scores'!$D$8:$CZ$8,0),
  _xlpm.v, IFERROR(INDEX('3. Enter Indicator Scores'!$D$10:$CZ$161,_xlpm.r,_xlpm.c),""),
  IF(OR(_xlpm.w="",_xlpm.v=""),"",_xlpm.v*_xlpm.w)
)</f>
        <v/>
      </c>
      <c r="Y130" s="93" t="str" cm="1">
        <f t="array" ref="Y130">_xlfn.LET(
  _xlpm.w, Y$11,
  _xlpm.r, MATCH(1,('3. Enter Indicator Scores'!$B$10:$B$161=$B130)*('3. Enter Indicator Scores'!$C$10:$C$161=$C130),0),
  _xlpm.c, MATCH(Y$8,'3. Enter Indicator Scores'!$D$8:$CZ$8,0),
  _xlpm.v, IFERROR(INDEX('3. Enter Indicator Scores'!$D$10:$CZ$161,_xlpm.r,_xlpm.c),""),
  IF(OR(_xlpm.w="",_xlpm.v=""),"",_xlpm.v*_xlpm.w)
)</f>
        <v/>
      </c>
      <c r="Z130" s="93" t="str" cm="1">
        <f t="array" ref="Z130">_xlfn.LET(
  _xlpm.w, Z$11,
  _xlpm.r, MATCH(1,('3. Enter Indicator Scores'!$B$10:$B$161=$B130)*('3. Enter Indicator Scores'!$C$10:$C$161=$C130),0),
  _xlpm.c, MATCH(Z$8,'3. Enter Indicator Scores'!$D$8:$CZ$8,0),
  _xlpm.v, IFERROR(INDEX('3. Enter Indicator Scores'!$D$10:$CZ$161,_xlpm.r,_xlpm.c),""),
  IF(OR(_xlpm.w="",_xlpm.v=""),"",_xlpm.v*_xlpm.w)
)</f>
        <v/>
      </c>
      <c r="AA130" s="93" t="str" cm="1">
        <f t="array" ref="AA130">_xlfn.LET(
  _xlpm.w, AA$11,
  _xlpm.r, MATCH(1,('3. Enter Indicator Scores'!$B$10:$B$161=$B130)*('3. Enter Indicator Scores'!$C$10:$C$161=$C130),0),
  _xlpm.c, MATCH(AA$8,'3. Enter Indicator Scores'!$D$8:$CZ$8,0),
  _xlpm.v, IFERROR(INDEX('3. Enter Indicator Scores'!$D$10:$CZ$161,_xlpm.r,_xlpm.c),""),
  IF(OR(_xlpm.w="",_xlpm.v=""),"",_xlpm.v*_xlpm.w)
)</f>
        <v/>
      </c>
      <c r="AB130" s="93" t="str" cm="1">
        <f t="array" ref="AB130">_xlfn.LET(
  _xlpm.w, AB$11,
  _xlpm.r, MATCH(1,('3. Enter Indicator Scores'!$B$10:$B$161=$B130)*('3. Enter Indicator Scores'!$C$10:$C$161=$C130),0),
  _xlpm.c, MATCH(AB$8,'3. Enter Indicator Scores'!$D$8:$CZ$8,0),
  _xlpm.v, IFERROR(INDEX('3. Enter Indicator Scores'!$D$10:$CZ$161,_xlpm.r,_xlpm.c),""),
  IF(OR(_xlpm.w="",_xlpm.v=""),"",_xlpm.v*_xlpm.w)
)</f>
        <v/>
      </c>
      <c r="AC130" s="93" t="str" cm="1">
        <f t="array" ref="AC130">_xlfn.LET(
  _xlpm.w, AC$11,
  _xlpm.r, MATCH(1,('3. Enter Indicator Scores'!$B$10:$B$161=$B130)*('3. Enter Indicator Scores'!$C$10:$C$161=$C130),0),
  _xlpm.c, MATCH(AC$8,'3. Enter Indicator Scores'!$D$8:$CZ$8,0),
  _xlpm.v, IFERROR(INDEX('3. Enter Indicator Scores'!$D$10:$CZ$161,_xlpm.r,_xlpm.c),""),
  IF(OR(_xlpm.w="",_xlpm.v=""),"",_xlpm.v*_xlpm.w)
)</f>
        <v/>
      </c>
      <c r="AD130" s="93" t="str" cm="1">
        <f t="array" ref="AD130">_xlfn.LET(
  _xlpm.w, AD$11,
  _xlpm.r, MATCH(1,('3. Enter Indicator Scores'!$B$10:$B$161=$B130)*('3. Enter Indicator Scores'!$C$10:$C$161=$C130),0),
  _xlpm.c, MATCH(AD$8,'3. Enter Indicator Scores'!$D$8:$CZ$8,0),
  _xlpm.v, IFERROR(INDEX('3. Enter Indicator Scores'!$D$10:$CZ$161,_xlpm.r,_xlpm.c),""),
  IF(OR(_xlpm.w="",_xlpm.v=""),"",_xlpm.v*_xlpm.w)
)</f>
        <v/>
      </c>
      <c r="AE130" s="93" t="str" cm="1">
        <f t="array" ref="AE130">_xlfn.LET(
  _xlpm.w, AE$11,
  _xlpm.r, MATCH(1,('3. Enter Indicator Scores'!$B$10:$B$161=$B130)*('3. Enter Indicator Scores'!$C$10:$C$161=$C130),0),
  _xlpm.c, MATCH(AE$8,'3. Enter Indicator Scores'!$D$8:$CZ$8,0),
  _xlpm.v, IFERROR(INDEX('3. Enter Indicator Scores'!$D$10:$CZ$161,_xlpm.r,_xlpm.c),""),
  IF(OR(_xlpm.w="",_xlpm.v=""),"",_xlpm.v*_xlpm.w)
)</f>
        <v/>
      </c>
      <c r="AF130" s="93" t="str" cm="1">
        <f t="array" ref="AF130">_xlfn.LET(
  _xlpm.w, AF$11,
  _xlpm.r, MATCH(1,('3. Enter Indicator Scores'!$B$10:$B$161=$B130)*('3. Enter Indicator Scores'!$C$10:$C$161=$C130),0),
  _xlpm.c, MATCH(AF$8,'3. Enter Indicator Scores'!$D$8:$CZ$8,0),
  _xlpm.v, IFERROR(INDEX('3. Enter Indicator Scores'!$D$10:$CZ$161,_xlpm.r,_xlpm.c),""),
  IF(OR(_xlpm.w="",_xlpm.v=""),"",_xlpm.v*_xlpm.w)
)</f>
        <v/>
      </c>
      <c r="AG130" s="93" t="str" cm="1">
        <f t="array" ref="AG130">_xlfn.LET(
  _xlpm.w, AG$11,
  _xlpm.r, MATCH(1,('3. Enter Indicator Scores'!$B$10:$B$161=$B130)*('3. Enter Indicator Scores'!$C$10:$C$161=$C130),0),
  _xlpm.c, MATCH(AG$8,'3. Enter Indicator Scores'!$D$8:$CZ$8,0),
  _xlpm.v, IFERROR(INDEX('3. Enter Indicator Scores'!$D$10:$CZ$161,_xlpm.r,_xlpm.c),""),
  IF(OR(_xlpm.w="",_xlpm.v=""),"",_xlpm.v*_xlpm.w)
)</f>
        <v/>
      </c>
      <c r="AH130" s="93" t="str" cm="1">
        <f t="array" ref="AH130">_xlfn.LET(
  _xlpm.w, AH$11,
  _xlpm.r, MATCH(1,('3. Enter Indicator Scores'!$B$10:$B$161=$B130)*('3. Enter Indicator Scores'!$C$10:$C$161=$C130),0),
  _xlpm.c, MATCH(AH$8,'3. Enter Indicator Scores'!$D$8:$CZ$8,0),
  _xlpm.v, IFERROR(INDEX('3. Enter Indicator Scores'!$D$10:$CZ$161,_xlpm.r,_xlpm.c),""),
  IF(OR(_xlpm.w="",_xlpm.v=""),"",_xlpm.v*_xlpm.w)
)</f>
        <v/>
      </c>
      <c r="AI130" s="93" t="str" cm="1">
        <f t="array" ref="AI130">_xlfn.LET(
  _xlpm.w, AI$11,
  _xlpm.r, MATCH(1,('3. Enter Indicator Scores'!$B$10:$B$161=$B130)*('3. Enter Indicator Scores'!$C$10:$C$161=$C130),0),
  _xlpm.c, MATCH(AI$8,'3. Enter Indicator Scores'!$D$8:$CZ$8,0),
  _xlpm.v, IFERROR(INDEX('3. Enter Indicator Scores'!$D$10:$CZ$161,_xlpm.r,_xlpm.c),""),
  IF(OR(_xlpm.w="",_xlpm.v=""),"",_xlpm.v*_xlpm.w)
)</f>
        <v/>
      </c>
      <c r="AJ130" s="93" t="str" cm="1">
        <f t="array" ref="AJ130">_xlfn.LET(
  _xlpm.w, AJ$11,
  _xlpm.r, MATCH(1,('3. Enter Indicator Scores'!$B$10:$B$161=$B130)*('3. Enter Indicator Scores'!$C$10:$C$161=$C130),0),
  _xlpm.c, MATCH(AJ$8,'3. Enter Indicator Scores'!$D$8:$CZ$8,0),
  _xlpm.v, IFERROR(INDEX('3. Enter Indicator Scores'!$D$10:$CZ$161,_xlpm.r,_xlpm.c),""),
  IF(OR(_xlpm.w="",_xlpm.v=""),"",_xlpm.v*_xlpm.w)
)</f>
        <v/>
      </c>
      <c r="AK130" s="93" t="str" cm="1">
        <f t="array" ref="AK130">_xlfn.LET(
  _xlpm.w, AK$11,
  _xlpm.r, MATCH(1,('3. Enter Indicator Scores'!$B$10:$B$161=$B130)*('3. Enter Indicator Scores'!$C$10:$C$161=$C130),0),
  _xlpm.c, MATCH(AK$8,'3. Enter Indicator Scores'!$D$8:$CZ$8,0),
  _xlpm.v, IFERROR(INDEX('3. Enter Indicator Scores'!$D$10:$CZ$161,_xlpm.r,_xlpm.c),""),
  IF(OR(_xlpm.w="",_xlpm.v=""),"",_xlpm.v*_xlpm.w)
)</f>
        <v/>
      </c>
      <c r="AL130" s="93" t="str" cm="1">
        <f t="array" ref="AL130">_xlfn.LET(
  _xlpm.w, AL$11,
  _xlpm.r, MATCH(1,('3. Enter Indicator Scores'!$B$10:$B$161=$B130)*('3. Enter Indicator Scores'!$C$10:$C$161=$C130),0),
  _xlpm.c, MATCH(AL$8,'3. Enter Indicator Scores'!$D$8:$CZ$8,0),
  _xlpm.v, IFERROR(INDEX('3. Enter Indicator Scores'!$D$10:$CZ$161,_xlpm.r,_xlpm.c),""),
  IF(OR(_xlpm.w="",_xlpm.v=""),"",_xlpm.v*_xlpm.w)
)</f>
        <v/>
      </c>
      <c r="AM130" s="93" t="str" cm="1">
        <f t="array" ref="AM130">_xlfn.LET(
  _xlpm.w, AM$11,
  _xlpm.r, MATCH(1,('3. Enter Indicator Scores'!$B$10:$B$161=$B130)*('3. Enter Indicator Scores'!$C$10:$C$161=$C130),0),
  _xlpm.c, MATCH(AM$8,'3. Enter Indicator Scores'!$D$8:$CZ$8,0),
  _xlpm.v, IFERROR(INDEX('3. Enter Indicator Scores'!$D$10:$CZ$161,_xlpm.r,_xlpm.c),""),
  IF(OR(_xlpm.w="",_xlpm.v=""),"",_xlpm.v*_xlpm.w)
)</f>
        <v/>
      </c>
      <c r="AN130" s="93" t="str" cm="1">
        <f t="array" ref="AN130">_xlfn.LET(
  _xlpm.w, AN$11,
  _xlpm.r, MATCH(1,('3. Enter Indicator Scores'!$B$10:$B$161=$B130)*('3. Enter Indicator Scores'!$C$10:$C$161=$C130),0),
  _xlpm.c, MATCH(AN$8,'3. Enter Indicator Scores'!$D$8:$CZ$8,0),
  _xlpm.v, IFERROR(INDEX('3. Enter Indicator Scores'!$D$10:$CZ$161,_xlpm.r,_xlpm.c),""),
  IF(OR(_xlpm.w="",_xlpm.v=""),"",_xlpm.v*_xlpm.w)
)</f>
        <v/>
      </c>
      <c r="AO130" s="93" t="str" cm="1">
        <f t="array" ref="AO130">_xlfn.LET(
  _xlpm.w, AO$11,
  _xlpm.r, MATCH(1,('3. Enter Indicator Scores'!$B$10:$B$161=$B130)*('3. Enter Indicator Scores'!$C$10:$C$161=$C130),0),
  _xlpm.c, MATCH(AO$8,'3. Enter Indicator Scores'!$D$8:$CZ$8,0),
  _xlpm.v, IFERROR(INDEX('3. Enter Indicator Scores'!$D$10:$CZ$161,_xlpm.r,_xlpm.c),""),
  IF(OR(_xlpm.w="",_xlpm.v=""),"",_xlpm.v*_xlpm.w)
)</f>
        <v/>
      </c>
      <c r="AP130" s="93" t="str" cm="1">
        <f t="array" ref="AP130">_xlfn.LET(
  _xlpm.w, AP$11,
  _xlpm.r, MATCH(1,('3. Enter Indicator Scores'!$B$10:$B$161=$B130)*('3. Enter Indicator Scores'!$C$10:$C$161=$C130),0),
  _xlpm.c, MATCH(AP$8,'3. Enter Indicator Scores'!$D$8:$CZ$8,0),
  _xlpm.v, IFERROR(INDEX('3. Enter Indicator Scores'!$D$10:$CZ$161,_xlpm.r,_xlpm.c),""),
  IF(OR(_xlpm.w="",_xlpm.v=""),"",_xlpm.v*_xlpm.w)
)</f>
        <v/>
      </c>
      <c r="AQ130" s="93" t="str" cm="1">
        <f t="array" ref="AQ130">_xlfn.LET(
  _xlpm.w, AQ$11,
  _xlpm.r, MATCH(1,('3. Enter Indicator Scores'!$B$10:$B$161=$B130)*('3. Enter Indicator Scores'!$C$10:$C$161=$C130),0),
  _xlpm.c, MATCH(AQ$8,'3. Enter Indicator Scores'!$D$8:$CZ$8,0),
  _xlpm.v, IFERROR(INDEX('3. Enter Indicator Scores'!$D$10:$CZ$161,_xlpm.r,_xlpm.c),""),
  IF(OR(_xlpm.w="",_xlpm.v=""),"",_xlpm.v*_xlpm.w)
)</f>
        <v/>
      </c>
      <c r="AR130" s="93" t="str" cm="1">
        <f t="array" ref="AR130">_xlfn.LET(
  _xlpm.w, AR$11,
  _xlpm.r, MATCH(1,('3. Enter Indicator Scores'!$B$10:$B$161=$B130)*('3. Enter Indicator Scores'!$C$10:$C$161=$C130),0),
  _xlpm.c, MATCH(AR$8,'3. Enter Indicator Scores'!$D$8:$CZ$8,0),
  _xlpm.v, IFERROR(INDEX('3. Enter Indicator Scores'!$D$10:$CZ$161,_xlpm.r,_xlpm.c),""),
  IF(OR(_xlpm.w="",_xlpm.v=""),"",_xlpm.v*_xlpm.w)
)</f>
        <v/>
      </c>
      <c r="AS130" s="93" t="str" cm="1">
        <f t="array" ref="AS130">_xlfn.LET(
  _xlpm.w, AS$11,
  _xlpm.r, MATCH(1,('3. Enter Indicator Scores'!$B$10:$B$161=$B130)*('3. Enter Indicator Scores'!$C$10:$C$161=$C130),0),
  _xlpm.c, MATCH(AS$8,'3. Enter Indicator Scores'!$D$8:$CZ$8,0),
  _xlpm.v, IFERROR(INDEX('3. Enter Indicator Scores'!$D$10:$CZ$161,_xlpm.r,_xlpm.c),""),
  IF(OR(_xlpm.w="",_xlpm.v=""),"",_xlpm.v*_xlpm.w)
)</f>
        <v/>
      </c>
      <c r="AT130" s="93" t="str" cm="1">
        <f t="array" ref="AT130">_xlfn.LET(
  _xlpm.w, AT$11,
  _xlpm.r, MATCH(1,('3. Enter Indicator Scores'!$B$10:$B$161=$B130)*('3. Enter Indicator Scores'!$C$10:$C$161=$C130),0),
  _xlpm.c, MATCH(AT$8,'3. Enter Indicator Scores'!$D$8:$CZ$8,0),
  _xlpm.v, IFERROR(INDEX('3. Enter Indicator Scores'!$D$10:$CZ$161,_xlpm.r,_xlpm.c),""),
  IF(OR(_xlpm.w="",_xlpm.v=""),"",_xlpm.v*_xlpm.w)
)</f>
        <v/>
      </c>
      <c r="AU130" s="93" t="str" cm="1">
        <f t="array" ref="AU130">_xlfn.LET(
  _xlpm.w, AU$11,
  _xlpm.r, MATCH(1,('3. Enter Indicator Scores'!$B$10:$B$161=$B130)*('3. Enter Indicator Scores'!$C$10:$C$161=$C130),0),
  _xlpm.c, MATCH(AU$8,'3. Enter Indicator Scores'!$D$8:$CZ$8,0),
  _xlpm.v, IFERROR(INDEX('3. Enter Indicator Scores'!$D$10:$CZ$161,_xlpm.r,_xlpm.c),""),
  IF(OR(_xlpm.w="",_xlpm.v=""),"",_xlpm.v*_xlpm.w)
)</f>
        <v/>
      </c>
      <c r="AV130" s="93" t="str" cm="1">
        <f t="array" ref="AV130">_xlfn.LET(
  _xlpm.w, AV$11,
  _xlpm.r, MATCH(1,('3. Enter Indicator Scores'!$B$10:$B$161=$B130)*('3. Enter Indicator Scores'!$C$10:$C$161=$C130),0),
  _xlpm.c, MATCH(AV$8,'3. Enter Indicator Scores'!$D$8:$CZ$8,0),
  _xlpm.v, IFERROR(INDEX('3. Enter Indicator Scores'!$D$10:$CZ$161,_xlpm.r,_xlpm.c),""),
  IF(OR(_xlpm.w="",_xlpm.v=""),"",_xlpm.v*_xlpm.w)
)</f>
        <v/>
      </c>
      <c r="AW130" s="93" t="str" cm="1">
        <f t="array" ref="AW130">_xlfn.LET(
  _xlpm.w, AW$11,
  _xlpm.r, MATCH(1,('3. Enter Indicator Scores'!$B$10:$B$161=$B130)*('3. Enter Indicator Scores'!$C$10:$C$161=$C130),0),
  _xlpm.c, MATCH(AW$8,'3. Enter Indicator Scores'!$D$8:$CZ$8,0),
  _xlpm.v, IFERROR(INDEX('3. Enter Indicator Scores'!$D$10:$CZ$161,_xlpm.r,_xlpm.c),""),
  IF(OR(_xlpm.w="",_xlpm.v=""),"",_xlpm.v*_xlpm.w)
)</f>
        <v/>
      </c>
      <c r="AX130" s="93" t="str" cm="1">
        <f t="array" ref="AX130">_xlfn.LET(
  _xlpm.w, AX$11,
  _xlpm.r, MATCH(1,('3. Enter Indicator Scores'!$B$10:$B$161=$B130)*('3. Enter Indicator Scores'!$C$10:$C$161=$C130),0),
  _xlpm.c, MATCH(AX$8,'3. Enter Indicator Scores'!$D$8:$CZ$8,0),
  _xlpm.v, IFERROR(INDEX('3. Enter Indicator Scores'!$D$10:$CZ$161,_xlpm.r,_xlpm.c),""),
  IF(OR(_xlpm.w="",_xlpm.v=""),"",_xlpm.v*_xlpm.w)
)</f>
        <v/>
      </c>
      <c r="AY130" s="93" t="str" cm="1">
        <f t="array" ref="AY130">_xlfn.LET(
  _xlpm.w, AY$11,
  _xlpm.r, MATCH(1,('3. Enter Indicator Scores'!$B$10:$B$161=$B130)*('3. Enter Indicator Scores'!$C$10:$C$161=$C130),0),
  _xlpm.c, MATCH(AY$8,'3. Enter Indicator Scores'!$D$8:$CZ$8,0),
  _xlpm.v, IFERROR(INDEX('3. Enter Indicator Scores'!$D$10:$CZ$161,_xlpm.r,_xlpm.c),""),
  IF(OR(_xlpm.w="",_xlpm.v=""),"",_xlpm.v*_xlpm.w)
)</f>
        <v/>
      </c>
      <c r="AZ130" s="93" t="str" cm="1">
        <f t="array" ref="AZ130">_xlfn.LET(
  _xlpm.w, AZ$11,
  _xlpm.r, MATCH(1,('3. Enter Indicator Scores'!$B$10:$B$161=$B130)*('3. Enter Indicator Scores'!$C$10:$C$161=$C130),0),
  _xlpm.c, MATCH(AZ$8,'3. Enter Indicator Scores'!$D$8:$CZ$8,0),
  _xlpm.v, IFERROR(INDEX('3. Enter Indicator Scores'!$D$10:$CZ$161,_xlpm.r,_xlpm.c),""),
  IF(OR(_xlpm.w="",_xlpm.v=""),"",_xlpm.v*_xlpm.w)
)</f>
        <v/>
      </c>
      <c r="BA130" s="93" t="str" cm="1">
        <f t="array" ref="BA130">_xlfn.LET(
  _xlpm.w, BA$11,
  _xlpm.r, MATCH(1,('3. Enter Indicator Scores'!$B$10:$B$161=$B130)*('3. Enter Indicator Scores'!$C$10:$C$161=$C130),0),
  _xlpm.c, MATCH(BA$8,'3. Enter Indicator Scores'!$D$8:$CZ$8,0),
  _xlpm.v, IFERROR(INDEX('3. Enter Indicator Scores'!$D$10:$CZ$161,_xlpm.r,_xlpm.c),""),
  IF(OR(_xlpm.w="",_xlpm.v=""),"",_xlpm.v*_xlpm.w)
)</f>
        <v/>
      </c>
      <c r="BB130" s="93" t="str" cm="1">
        <f t="array" ref="BB130">_xlfn.LET(
  _xlpm.w, BB$11,
  _xlpm.r, MATCH(1,('3. Enter Indicator Scores'!$B$10:$B$161=$B130)*('3. Enter Indicator Scores'!$C$10:$C$161=$C130),0),
  _xlpm.c, MATCH(BB$8,'3. Enter Indicator Scores'!$D$8:$CZ$8,0),
  _xlpm.v, IFERROR(INDEX('3. Enter Indicator Scores'!$D$10:$CZ$161,_xlpm.r,_xlpm.c),""),
  IF(OR(_xlpm.w="",_xlpm.v=""),"",_xlpm.v*_xlpm.w)
)</f>
        <v/>
      </c>
      <c r="BC130" s="93" t="str" cm="1">
        <f t="array" ref="BC130">_xlfn.LET(
  _xlpm.w, BC$11,
  _xlpm.r, MATCH(1,('3. Enter Indicator Scores'!$B$10:$B$161=$B130)*('3. Enter Indicator Scores'!$C$10:$C$161=$C130),0),
  _xlpm.c, MATCH(BC$8,'3. Enter Indicator Scores'!$D$8:$CZ$8,0),
  _xlpm.v, IFERROR(INDEX('3. Enter Indicator Scores'!$D$10:$CZ$161,_xlpm.r,_xlpm.c),""),
  IF(OR(_xlpm.w="",_xlpm.v=""),"",_xlpm.v*_xlpm.w)
)</f>
        <v/>
      </c>
      <c r="BD130" s="93" t="str" cm="1">
        <f t="array" ref="BD130">_xlfn.LET(
  _xlpm.w, BD$11,
  _xlpm.r, MATCH(1,('3. Enter Indicator Scores'!$B$10:$B$161=$B130)*('3. Enter Indicator Scores'!$C$10:$C$161=$C130),0),
  _xlpm.c, MATCH(BD$8,'3. Enter Indicator Scores'!$D$8:$CZ$8,0),
  _xlpm.v, IFERROR(INDEX('3. Enter Indicator Scores'!$D$10:$CZ$161,_xlpm.r,_xlpm.c),""),
  IF(OR(_xlpm.w="",_xlpm.v=""),"",_xlpm.v*_xlpm.w)
)</f>
        <v/>
      </c>
      <c r="BE130" s="93" t="str" cm="1">
        <f t="array" ref="BE130">_xlfn.LET(
  _xlpm.w, BE$11,
  _xlpm.r, MATCH(1,('3. Enter Indicator Scores'!$B$10:$B$161=$B130)*('3. Enter Indicator Scores'!$C$10:$C$161=$C130),0),
  _xlpm.c, MATCH(BE$8,'3. Enter Indicator Scores'!$D$8:$CZ$8,0),
  _xlpm.v, IFERROR(INDEX('3. Enter Indicator Scores'!$D$10:$CZ$161,_xlpm.r,_xlpm.c),""),
  IF(OR(_xlpm.w="",_xlpm.v=""),"",_xlpm.v*_xlpm.w)
)</f>
        <v/>
      </c>
      <c r="BF130" s="93" t="str" cm="1">
        <f t="array" ref="BF130">_xlfn.LET(
  _xlpm.w, BF$11,
  _xlpm.r, MATCH(1,('3. Enter Indicator Scores'!$B$10:$B$161=$B130)*('3. Enter Indicator Scores'!$C$10:$C$161=$C130),0),
  _xlpm.c, MATCH(BF$8,'3. Enter Indicator Scores'!$D$8:$CZ$8,0),
  _xlpm.v, IFERROR(INDEX('3. Enter Indicator Scores'!$D$10:$CZ$161,_xlpm.r,_xlpm.c),""),
  IF(OR(_xlpm.w="",_xlpm.v=""),"",_xlpm.v*_xlpm.w)
)</f>
        <v/>
      </c>
      <c r="BG130" s="93" t="str" cm="1">
        <f t="array" ref="BG130">_xlfn.LET(
  _xlpm.w, BG$11,
  _xlpm.r, MATCH(1,('3. Enter Indicator Scores'!$B$10:$B$161=$B130)*('3. Enter Indicator Scores'!$C$10:$C$161=$C130),0),
  _xlpm.c, MATCH(BG$8,'3. Enter Indicator Scores'!$D$8:$CZ$8,0),
  _xlpm.v, IFERROR(INDEX('3. Enter Indicator Scores'!$D$10:$CZ$161,_xlpm.r,_xlpm.c),""),
  IF(OR(_xlpm.w="",_xlpm.v=""),"",_xlpm.v*_xlpm.w)
)</f>
        <v/>
      </c>
      <c r="BH130" s="93" t="str" cm="1">
        <f t="array" ref="BH130">_xlfn.LET(
  _xlpm.w, BH$11,
  _xlpm.r, MATCH(1,('3. Enter Indicator Scores'!$B$10:$B$161=$B130)*('3. Enter Indicator Scores'!$C$10:$C$161=$C130),0),
  _xlpm.c, MATCH(BH$8,'3. Enter Indicator Scores'!$D$8:$CZ$8,0),
  _xlpm.v, IFERROR(INDEX('3. Enter Indicator Scores'!$D$10:$CZ$161,_xlpm.r,_xlpm.c),""),
  IF(OR(_xlpm.w="",_xlpm.v=""),"",_xlpm.v*_xlpm.w)
)</f>
        <v/>
      </c>
      <c r="BI130" s="93" t="str" cm="1">
        <f t="array" ref="BI130">_xlfn.LET(
  _xlpm.w, BI$11,
  _xlpm.r, MATCH(1,('3. Enter Indicator Scores'!$B$10:$B$161=$B130)*('3. Enter Indicator Scores'!$C$10:$C$161=$C130),0),
  _xlpm.c, MATCH(BI$8,'3. Enter Indicator Scores'!$D$8:$CZ$8,0),
  _xlpm.v, IFERROR(INDEX('3. Enter Indicator Scores'!$D$10:$CZ$161,_xlpm.r,_xlpm.c),""),
  IF(OR(_xlpm.w="",_xlpm.v=""),"",_xlpm.v*_xlpm.w)
)</f>
        <v/>
      </c>
      <c r="BJ130" s="93" t="str" cm="1">
        <f t="array" ref="BJ130">_xlfn.LET(
  _xlpm.w, BJ$11,
  _xlpm.r, MATCH(1,('3. Enter Indicator Scores'!$B$10:$B$161=$B130)*('3. Enter Indicator Scores'!$C$10:$C$161=$C130),0),
  _xlpm.c, MATCH(BJ$8,'3. Enter Indicator Scores'!$D$8:$CZ$8,0),
  _xlpm.v, IFERROR(INDEX('3. Enter Indicator Scores'!$D$10:$CZ$161,_xlpm.r,_xlpm.c),""),
  IF(OR(_xlpm.w="",_xlpm.v=""),"",_xlpm.v*_xlpm.w)
)</f>
        <v/>
      </c>
      <c r="BK130" s="93" t="str" cm="1">
        <f t="array" ref="BK130">_xlfn.LET(
  _xlpm.w, BK$11,
  _xlpm.r, MATCH(1,('3. Enter Indicator Scores'!$B$10:$B$161=$B130)*('3. Enter Indicator Scores'!$C$10:$C$161=$C130),0),
  _xlpm.c, MATCH(BK$8,'3. Enter Indicator Scores'!$D$8:$CZ$8,0),
  _xlpm.v, IFERROR(INDEX('3. Enter Indicator Scores'!$D$10:$CZ$161,_xlpm.r,_xlpm.c),""),
  IF(OR(_xlpm.w="",_xlpm.v=""),"",_xlpm.v*_xlpm.w)
)</f>
        <v/>
      </c>
      <c r="BL130" s="93" t="str" cm="1">
        <f t="array" ref="BL130">_xlfn.LET(
  _xlpm.w, BL$11,
  _xlpm.r, MATCH(1,('3. Enter Indicator Scores'!$B$10:$B$161=$B130)*('3. Enter Indicator Scores'!$C$10:$C$161=$C130),0),
  _xlpm.c, MATCH(BL$8,'3. Enter Indicator Scores'!$D$8:$CZ$8,0),
  _xlpm.v, IFERROR(INDEX('3. Enter Indicator Scores'!$D$10:$CZ$161,_xlpm.r,_xlpm.c),""),
  IF(OR(_xlpm.w="",_xlpm.v=""),"",_xlpm.v*_xlpm.w)
)</f>
        <v/>
      </c>
      <c r="BM130" s="93" t="str" cm="1">
        <f t="array" ref="BM130">_xlfn.LET(
  _xlpm.w, BM$11,
  _xlpm.r, MATCH(1,('3. Enter Indicator Scores'!$B$10:$B$161=$B130)*('3. Enter Indicator Scores'!$C$10:$C$161=$C130),0),
  _xlpm.c, MATCH(BM$8,'3. Enter Indicator Scores'!$D$8:$CZ$8,0),
  _xlpm.v, IFERROR(INDEX('3. Enter Indicator Scores'!$D$10:$CZ$161,_xlpm.r,_xlpm.c),""),
  IF(OR(_xlpm.w="",_xlpm.v=""),"",_xlpm.v*_xlpm.w)
)</f>
        <v/>
      </c>
      <c r="BN130" s="93" t="str" cm="1">
        <f t="array" ref="BN130">_xlfn.LET(
  _xlpm.w, BN$11,
  _xlpm.r, MATCH(1,('3. Enter Indicator Scores'!$B$10:$B$161=$B130)*('3. Enter Indicator Scores'!$C$10:$C$161=$C130),0),
  _xlpm.c, MATCH(BN$8,'3. Enter Indicator Scores'!$D$8:$CZ$8,0),
  _xlpm.v, IFERROR(INDEX('3. Enter Indicator Scores'!$D$10:$CZ$161,_xlpm.r,_xlpm.c),""),
  IF(OR(_xlpm.w="",_xlpm.v=""),"",_xlpm.v*_xlpm.w)
)</f>
        <v/>
      </c>
      <c r="BO130" s="93" t="str" cm="1">
        <f t="array" ref="BO130">_xlfn.LET(
  _xlpm.w, BO$11,
  _xlpm.r, MATCH(1,('3. Enter Indicator Scores'!$B$10:$B$161=$B130)*('3. Enter Indicator Scores'!$C$10:$C$161=$C130),0),
  _xlpm.c, MATCH(BO$8,'3. Enter Indicator Scores'!$D$8:$CZ$8,0),
  _xlpm.v, IFERROR(INDEX('3. Enter Indicator Scores'!$D$10:$CZ$161,_xlpm.r,_xlpm.c),""),
  IF(OR(_xlpm.w="",_xlpm.v=""),"",_xlpm.v*_xlpm.w)
)</f>
        <v/>
      </c>
      <c r="BP130" s="93" t="str" cm="1">
        <f t="array" ref="BP130">_xlfn.LET(
  _xlpm.w, BP$11,
  _xlpm.r, MATCH(1,('3. Enter Indicator Scores'!$B$10:$B$161=$B130)*('3. Enter Indicator Scores'!$C$10:$C$161=$C130),0),
  _xlpm.c, MATCH(BP$8,'3. Enter Indicator Scores'!$D$8:$CZ$8,0),
  _xlpm.v, IFERROR(INDEX('3. Enter Indicator Scores'!$D$10:$CZ$161,_xlpm.r,_xlpm.c),""),
  IF(OR(_xlpm.w="",_xlpm.v=""),"",_xlpm.v*_xlpm.w)
)</f>
        <v/>
      </c>
      <c r="BQ130" s="93" t="str" cm="1">
        <f t="array" ref="BQ130">_xlfn.LET(
  _xlpm.w, BQ$11,
  _xlpm.r, MATCH(1,('3. Enter Indicator Scores'!$B$10:$B$161=$B130)*('3. Enter Indicator Scores'!$C$10:$C$161=$C130),0),
  _xlpm.c, MATCH(BQ$8,'3. Enter Indicator Scores'!$D$8:$CZ$8,0),
  _xlpm.v, IFERROR(INDEX('3. Enter Indicator Scores'!$D$10:$CZ$161,_xlpm.r,_xlpm.c),""),
  IF(OR(_xlpm.w="",_xlpm.v=""),"",_xlpm.v*_xlpm.w)
)</f>
        <v/>
      </c>
      <c r="BR130" s="93" t="str" cm="1">
        <f t="array" ref="BR130">_xlfn.LET(
  _xlpm.w, BR$11,
  _xlpm.r, MATCH(1,('3. Enter Indicator Scores'!$B$10:$B$161=$B130)*('3. Enter Indicator Scores'!$C$10:$C$161=$C130),0),
  _xlpm.c, MATCH(BR$8,'3. Enter Indicator Scores'!$D$8:$CZ$8,0),
  _xlpm.v, IFERROR(INDEX('3. Enter Indicator Scores'!$D$10:$CZ$161,_xlpm.r,_xlpm.c),""),
  IF(OR(_xlpm.w="",_xlpm.v=""),"",_xlpm.v*_xlpm.w)
)</f>
        <v/>
      </c>
      <c r="BS130" s="93" t="str" cm="1">
        <f t="array" ref="BS130">_xlfn.LET(
  _xlpm.w, BS$11,
  _xlpm.r, MATCH(1,('3. Enter Indicator Scores'!$B$10:$B$161=$B130)*('3. Enter Indicator Scores'!$C$10:$C$161=$C130),0),
  _xlpm.c, MATCH(BS$8,'3. Enter Indicator Scores'!$D$8:$CZ$8,0),
  _xlpm.v, IFERROR(INDEX('3. Enter Indicator Scores'!$D$10:$CZ$161,_xlpm.r,_xlpm.c),""),
  IF(OR(_xlpm.w="",_xlpm.v=""),"",_xlpm.v*_xlpm.w)
)</f>
        <v/>
      </c>
      <c r="BT130" s="93" t="str" cm="1">
        <f t="array" ref="BT130">_xlfn.LET(
  _xlpm.w, BT$11,
  _xlpm.r, MATCH(1,('3. Enter Indicator Scores'!$B$10:$B$161=$B130)*('3. Enter Indicator Scores'!$C$10:$C$161=$C130),0),
  _xlpm.c, MATCH(BT$8,'3. Enter Indicator Scores'!$D$8:$CZ$8,0),
  _xlpm.v, IFERROR(INDEX('3. Enter Indicator Scores'!$D$10:$CZ$161,_xlpm.r,_xlpm.c),""),
  IF(OR(_xlpm.w="",_xlpm.v=""),"",_xlpm.v*_xlpm.w)
)</f>
        <v/>
      </c>
      <c r="BU130" s="93" t="str" cm="1">
        <f t="array" ref="BU130">_xlfn.LET(
  _xlpm.w, BU$11,
  _xlpm.r, MATCH(1,('3. Enter Indicator Scores'!$B$10:$B$161=$B130)*('3. Enter Indicator Scores'!$C$10:$C$161=$C130),0),
  _xlpm.c, MATCH(BU$8,'3. Enter Indicator Scores'!$D$8:$CZ$8,0),
  _xlpm.v, IFERROR(INDEX('3. Enter Indicator Scores'!$D$10:$CZ$161,_xlpm.r,_xlpm.c),""),
  IF(OR(_xlpm.w="",_xlpm.v=""),"",_xlpm.v*_xlpm.w)
)</f>
        <v/>
      </c>
      <c r="BV130" s="93" t="str" cm="1">
        <f t="array" ref="BV130">_xlfn.LET(
  _xlpm.w, BV$11,
  _xlpm.r, MATCH(1,('3. Enter Indicator Scores'!$B$10:$B$161=$B130)*('3. Enter Indicator Scores'!$C$10:$C$161=$C130),0),
  _xlpm.c, MATCH(BV$8,'3. Enter Indicator Scores'!$D$8:$CZ$8,0),
  _xlpm.v, IFERROR(INDEX('3. Enter Indicator Scores'!$D$10:$CZ$161,_xlpm.r,_xlpm.c),""),
  IF(OR(_xlpm.w="",_xlpm.v=""),"",_xlpm.v*_xlpm.w)
)</f>
        <v/>
      </c>
      <c r="BW130" s="93" t="str" cm="1">
        <f t="array" ref="BW130">_xlfn.LET(
  _xlpm.w, BW$11,
  _xlpm.r, MATCH(1,('3. Enter Indicator Scores'!$B$10:$B$161=$B130)*('3. Enter Indicator Scores'!$C$10:$C$161=$C130),0),
  _xlpm.c, MATCH(BW$8,'3. Enter Indicator Scores'!$D$8:$CZ$8,0),
  _xlpm.v, IFERROR(INDEX('3. Enter Indicator Scores'!$D$10:$CZ$161,_xlpm.r,_xlpm.c),""),
  IF(OR(_xlpm.w="",_xlpm.v=""),"",_xlpm.v*_xlpm.w)
)</f>
        <v/>
      </c>
      <c r="BX130" s="93" t="str" cm="1">
        <f t="array" ref="BX130">_xlfn.LET(
  _xlpm.w, BX$11,
  _xlpm.r, MATCH(1,('3. Enter Indicator Scores'!$B$10:$B$161=$B130)*('3. Enter Indicator Scores'!$C$10:$C$161=$C130),0),
  _xlpm.c, MATCH(BX$8,'3. Enter Indicator Scores'!$D$8:$CZ$8,0),
  _xlpm.v, IFERROR(INDEX('3. Enter Indicator Scores'!$D$10:$CZ$161,_xlpm.r,_xlpm.c),""),
  IF(OR(_xlpm.w="",_xlpm.v=""),"",_xlpm.v*_xlpm.w)
)</f>
        <v/>
      </c>
      <c r="BY130" s="93" t="str" cm="1">
        <f t="array" ref="BY130">_xlfn.LET(
  _xlpm.w, BY$11,
  _xlpm.r, MATCH(1,('3. Enter Indicator Scores'!$B$10:$B$161=$B130)*('3. Enter Indicator Scores'!$C$10:$C$161=$C130),0),
  _xlpm.c, MATCH(BY$8,'3. Enter Indicator Scores'!$D$8:$CZ$8,0),
  _xlpm.v, IFERROR(INDEX('3. Enter Indicator Scores'!$D$10:$CZ$161,_xlpm.r,_xlpm.c),""),
  IF(OR(_xlpm.w="",_xlpm.v=""),"",_xlpm.v*_xlpm.w)
)</f>
        <v/>
      </c>
      <c r="BZ130" s="93" t="str" cm="1">
        <f t="array" ref="BZ130">_xlfn.LET(
  _xlpm.w, BZ$11,
  _xlpm.r, MATCH(1,('3. Enter Indicator Scores'!$B$10:$B$161=$B130)*('3. Enter Indicator Scores'!$C$10:$C$161=$C130),0),
  _xlpm.c, MATCH(BZ$8,'3. Enter Indicator Scores'!$D$8:$CZ$8,0),
  _xlpm.v, IFERROR(INDEX('3. Enter Indicator Scores'!$D$10:$CZ$161,_xlpm.r,_xlpm.c),""),
  IF(OR(_xlpm.w="",_xlpm.v=""),"",_xlpm.v*_xlpm.w)
)</f>
        <v/>
      </c>
      <c r="CA130" s="93" t="str" cm="1">
        <f t="array" ref="CA130">_xlfn.LET(
  _xlpm.w, CA$11,
  _xlpm.r, MATCH(1,('3. Enter Indicator Scores'!$B$10:$B$161=$B130)*('3. Enter Indicator Scores'!$C$10:$C$161=$C130),0),
  _xlpm.c, MATCH(CA$8,'3. Enter Indicator Scores'!$D$8:$CZ$8,0),
  _xlpm.v, IFERROR(INDEX('3. Enter Indicator Scores'!$D$10:$CZ$161,_xlpm.r,_xlpm.c),""),
  IF(OR(_xlpm.w="",_xlpm.v=""),"",_xlpm.v*_xlpm.w)
)</f>
        <v/>
      </c>
      <c r="CB130" s="93" t="str" cm="1">
        <f t="array" ref="CB130">_xlfn.LET(
  _xlpm.w, CB$11,
  _xlpm.r, MATCH(1,('3. Enter Indicator Scores'!$B$10:$B$161=$B130)*('3. Enter Indicator Scores'!$C$10:$C$161=$C130),0),
  _xlpm.c, MATCH(CB$8,'3. Enter Indicator Scores'!$D$8:$CZ$8,0),
  _xlpm.v, IFERROR(INDEX('3. Enter Indicator Scores'!$D$10:$CZ$161,_xlpm.r,_xlpm.c),""),
  IF(OR(_xlpm.w="",_xlpm.v=""),"",_xlpm.v*_xlpm.w)
)</f>
        <v/>
      </c>
      <c r="CC130" s="93" t="str" cm="1">
        <f t="array" ref="CC130">_xlfn.LET(
  _xlpm.w, CC$11,
  _xlpm.r, MATCH(1,('3. Enter Indicator Scores'!$B$10:$B$161=$B130)*('3. Enter Indicator Scores'!$C$10:$C$161=$C130),0),
  _xlpm.c, MATCH(CC$8,'3. Enter Indicator Scores'!$D$8:$CZ$8,0),
  _xlpm.v, IFERROR(INDEX('3. Enter Indicator Scores'!$D$10:$CZ$161,_xlpm.r,_xlpm.c),""),
  IF(OR(_xlpm.w="",_xlpm.v=""),"",_xlpm.v*_xlpm.w)
)</f>
        <v/>
      </c>
      <c r="CD130" s="93" t="str" cm="1">
        <f t="array" ref="CD130">_xlfn.LET(
  _xlpm.w, CD$11,
  _xlpm.r, MATCH(1,('3. Enter Indicator Scores'!$B$10:$B$161=$B130)*('3. Enter Indicator Scores'!$C$10:$C$161=$C130),0),
  _xlpm.c, MATCH(CD$8,'3. Enter Indicator Scores'!$D$8:$CZ$8,0),
  _xlpm.v, IFERROR(INDEX('3. Enter Indicator Scores'!$D$10:$CZ$161,_xlpm.r,_xlpm.c),""),
  IF(OR(_xlpm.w="",_xlpm.v=""),"",_xlpm.v*_xlpm.w)
)</f>
        <v/>
      </c>
      <c r="CE130" s="93" t="str" cm="1">
        <f t="array" ref="CE130">_xlfn.LET(
  _xlpm.w, CE$11,
  _xlpm.r, MATCH(1,('3. Enter Indicator Scores'!$B$10:$B$161=$B130)*('3. Enter Indicator Scores'!$C$10:$C$161=$C130),0),
  _xlpm.c, MATCH(CE$8,'3. Enter Indicator Scores'!$D$8:$CZ$8,0),
  _xlpm.v, IFERROR(INDEX('3. Enter Indicator Scores'!$D$10:$CZ$161,_xlpm.r,_xlpm.c),""),
  IF(OR(_xlpm.w="",_xlpm.v=""),"",_xlpm.v*_xlpm.w)
)</f>
        <v/>
      </c>
      <c r="CF130" s="93" t="str" cm="1">
        <f t="array" ref="CF130">_xlfn.LET(
  _xlpm.w, CF$11,
  _xlpm.r, MATCH(1,('3. Enter Indicator Scores'!$B$10:$B$161=$B130)*('3. Enter Indicator Scores'!$C$10:$C$161=$C130),0),
  _xlpm.c, MATCH(CF$8,'3. Enter Indicator Scores'!$D$8:$CZ$8,0),
  _xlpm.v, IFERROR(INDEX('3. Enter Indicator Scores'!$D$10:$CZ$161,_xlpm.r,_xlpm.c),""),
  IF(OR(_xlpm.w="",_xlpm.v=""),"",_xlpm.v*_xlpm.w)
)</f>
        <v/>
      </c>
      <c r="CG130" s="93" t="str" cm="1">
        <f t="array" ref="CG130">_xlfn.LET(
  _xlpm.w, CG$11,
  _xlpm.r, MATCH(1,('3. Enter Indicator Scores'!$B$10:$B$161=$B130)*('3. Enter Indicator Scores'!$C$10:$C$161=$C130),0),
  _xlpm.c, MATCH(CG$8,'3. Enter Indicator Scores'!$D$8:$CZ$8,0),
  _xlpm.v, IFERROR(INDEX('3. Enter Indicator Scores'!$D$10:$CZ$161,_xlpm.r,_xlpm.c),""),
  IF(OR(_xlpm.w="",_xlpm.v=""),"",_xlpm.v*_xlpm.w)
)</f>
        <v/>
      </c>
      <c r="CH130" s="93" t="str" cm="1">
        <f t="array" ref="CH130">_xlfn.LET(
  _xlpm.w, CH$11,
  _xlpm.r, MATCH(1,('3. Enter Indicator Scores'!$B$10:$B$161=$B130)*('3. Enter Indicator Scores'!$C$10:$C$161=$C130),0),
  _xlpm.c, MATCH(CH$8,'3. Enter Indicator Scores'!$D$8:$CZ$8,0),
  _xlpm.v, IFERROR(INDEX('3. Enter Indicator Scores'!$D$10:$CZ$161,_xlpm.r,_xlpm.c),""),
  IF(OR(_xlpm.w="",_xlpm.v=""),"",_xlpm.v*_xlpm.w)
)</f>
        <v/>
      </c>
      <c r="CI130" s="93" t="str" cm="1">
        <f t="array" ref="CI130">_xlfn.LET(
  _xlpm.w, CI$11,
  _xlpm.r, MATCH(1,('3. Enter Indicator Scores'!$B$10:$B$161=$B130)*('3. Enter Indicator Scores'!$C$10:$C$161=$C130),0),
  _xlpm.c, MATCH(CI$8,'3. Enter Indicator Scores'!$D$8:$CZ$8,0),
  _xlpm.v, IFERROR(INDEX('3. Enter Indicator Scores'!$D$10:$CZ$161,_xlpm.r,_xlpm.c),""),
  IF(OR(_xlpm.w="",_xlpm.v=""),"",_xlpm.v*_xlpm.w)
)</f>
        <v/>
      </c>
      <c r="CJ130" s="93" t="str" cm="1">
        <f t="array" ref="CJ130">_xlfn.LET(
  _xlpm.w, CJ$11,
  _xlpm.r, MATCH(1,('3. Enter Indicator Scores'!$B$10:$B$161=$B130)*('3. Enter Indicator Scores'!$C$10:$C$161=$C130),0),
  _xlpm.c, MATCH(CJ$8,'3. Enter Indicator Scores'!$D$8:$CZ$8,0),
  _xlpm.v, IFERROR(INDEX('3. Enter Indicator Scores'!$D$10:$CZ$161,_xlpm.r,_xlpm.c),""),
  IF(OR(_xlpm.w="",_xlpm.v=""),"",_xlpm.v*_xlpm.w)
)</f>
        <v/>
      </c>
      <c r="CK130" s="93" t="str" cm="1">
        <f t="array" ref="CK130">_xlfn.LET(
  _xlpm.w, CK$11,
  _xlpm.r, MATCH(1,('3. Enter Indicator Scores'!$B$10:$B$161=$B130)*('3. Enter Indicator Scores'!$C$10:$C$161=$C130),0),
  _xlpm.c, MATCH(CK$8,'3. Enter Indicator Scores'!$D$8:$CZ$8,0),
  _xlpm.v, IFERROR(INDEX('3. Enter Indicator Scores'!$D$10:$CZ$161,_xlpm.r,_xlpm.c),""),
  IF(OR(_xlpm.w="",_xlpm.v=""),"",_xlpm.v*_xlpm.w)
)</f>
        <v/>
      </c>
      <c r="CL130" s="93" t="str" cm="1">
        <f t="array" ref="CL130">_xlfn.LET(
  _xlpm.w, CL$11,
  _xlpm.r, MATCH(1,('3. Enter Indicator Scores'!$B$10:$B$161=$B130)*('3. Enter Indicator Scores'!$C$10:$C$161=$C130),0),
  _xlpm.c, MATCH(CL$8,'3. Enter Indicator Scores'!$D$8:$CZ$8,0),
  _xlpm.v, IFERROR(INDEX('3. Enter Indicator Scores'!$D$10:$CZ$161,_xlpm.r,_xlpm.c),""),
  IF(OR(_xlpm.w="",_xlpm.v=""),"",_xlpm.v*_xlpm.w)
)</f>
        <v/>
      </c>
      <c r="CM130" s="93" t="str" cm="1">
        <f t="array" ref="CM130">_xlfn.LET(
  _xlpm.w, CM$11,
  _xlpm.r, MATCH(1,('3. Enter Indicator Scores'!$B$10:$B$161=$B130)*('3. Enter Indicator Scores'!$C$10:$C$161=$C130),0),
  _xlpm.c, MATCH(CM$8,'3. Enter Indicator Scores'!$D$8:$CZ$8,0),
  _xlpm.v, IFERROR(INDEX('3. Enter Indicator Scores'!$D$10:$CZ$161,_xlpm.r,_xlpm.c),""),
  IF(OR(_xlpm.w="",_xlpm.v=""),"",_xlpm.v*_xlpm.w)
)</f>
        <v/>
      </c>
      <c r="CN130" s="93" t="str" cm="1">
        <f t="array" ref="CN130">_xlfn.LET(
  _xlpm.w, CN$11,
  _xlpm.r, MATCH(1,('3. Enter Indicator Scores'!$B$10:$B$161=$B130)*('3. Enter Indicator Scores'!$C$10:$C$161=$C130),0),
  _xlpm.c, MATCH(CN$8,'3. Enter Indicator Scores'!$D$8:$CZ$8,0),
  _xlpm.v, IFERROR(INDEX('3. Enter Indicator Scores'!$D$10:$CZ$161,_xlpm.r,_xlpm.c),""),
  IF(OR(_xlpm.w="",_xlpm.v=""),"",_xlpm.v*_xlpm.w)
)</f>
        <v/>
      </c>
      <c r="CO130" s="93" t="str" cm="1">
        <f t="array" ref="CO130">_xlfn.LET(
  _xlpm.w, CO$11,
  _xlpm.r, MATCH(1,('3. Enter Indicator Scores'!$B$10:$B$161=$B130)*('3. Enter Indicator Scores'!$C$10:$C$161=$C130),0),
  _xlpm.c, MATCH(CO$8,'3. Enter Indicator Scores'!$D$8:$CZ$8,0),
  _xlpm.v, IFERROR(INDEX('3. Enter Indicator Scores'!$D$10:$CZ$161,_xlpm.r,_xlpm.c),""),
  IF(OR(_xlpm.w="",_xlpm.v=""),"",_xlpm.v*_xlpm.w)
)</f>
        <v/>
      </c>
      <c r="CP130" s="93" t="str" cm="1">
        <f t="array" ref="CP130">_xlfn.LET(
  _xlpm.w, CP$11,
  _xlpm.r, MATCH(1,('3. Enter Indicator Scores'!$B$10:$B$161=$B130)*('3. Enter Indicator Scores'!$C$10:$C$161=$C130),0),
  _xlpm.c, MATCH(CP$8,'3. Enter Indicator Scores'!$D$8:$CZ$8,0),
  _xlpm.v, IFERROR(INDEX('3. Enter Indicator Scores'!$D$10:$CZ$161,_xlpm.r,_xlpm.c),""),
  IF(OR(_xlpm.w="",_xlpm.v=""),"",_xlpm.v*_xlpm.w)
)</f>
        <v/>
      </c>
      <c r="CQ130" s="93" t="str" cm="1">
        <f t="array" ref="CQ130">_xlfn.LET(
  _xlpm.w, CQ$11,
  _xlpm.r, MATCH(1,('3. Enter Indicator Scores'!$B$10:$B$161=$B130)*('3. Enter Indicator Scores'!$C$10:$C$161=$C130),0),
  _xlpm.c, MATCH(CQ$8,'3. Enter Indicator Scores'!$D$8:$CZ$8,0),
  _xlpm.v, IFERROR(INDEX('3. Enter Indicator Scores'!$D$10:$CZ$161,_xlpm.r,_xlpm.c),""),
  IF(OR(_xlpm.w="",_xlpm.v=""),"",_xlpm.v*_xlpm.w)
)</f>
        <v/>
      </c>
      <c r="CR130" s="93" t="str" cm="1">
        <f t="array" ref="CR130">_xlfn.LET(
  _xlpm.w, CR$11,
  _xlpm.r, MATCH(1,('3. Enter Indicator Scores'!$B$10:$B$161=$B130)*('3. Enter Indicator Scores'!$C$10:$C$161=$C130),0),
  _xlpm.c, MATCH(CR$8,'3. Enter Indicator Scores'!$D$8:$CZ$8,0),
  _xlpm.v, IFERROR(INDEX('3. Enter Indicator Scores'!$D$10:$CZ$161,_xlpm.r,_xlpm.c),""),
  IF(OR(_xlpm.w="",_xlpm.v=""),"",_xlpm.v*_xlpm.w)
)</f>
        <v/>
      </c>
      <c r="CS130" s="93" t="str" cm="1">
        <f t="array" ref="CS130">_xlfn.LET(
  _xlpm.w, CS$11,
  _xlpm.r, MATCH(1,('3. Enter Indicator Scores'!$B$10:$B$161=$B130)*('3. Enter Indicator Scores'!$C$10:$C$161=$C130),0),
  _xlpm.c, MATCH(CS$8,'3. Enter Indicator Scores'!$D$8:$CZ$8,0),
  _xlpm.v, IFERROR(INDEX('3. Enter Indicator Scores'!$D$10:$CZ$161,_xlpm.r,_xlpm.c),""),
  IF(OR(_xlpm.w="",_xlpm.v=""),"",_xlpm.v*_xlpm.w)
)</f>
        <v/>
      </c>
      <c r="CT130" s="93" t="str" cm="1">
        <f t="array" ref="CT130">_xlfn.LET(
  _xlpm.w, CT$11,
  _xlpm.r, MATCH(1,('3. Enter Indicator Scores'!$B$10:$B$161=$B130)*('3. Enter Indicator Scores'!$C$10:$C$161=$C130),0),
  _xlpm.c, MATCH(CT$8,'3. Enter Indicator Scores'!$D$8:$CZ$8,0),
  _xlpm.v, IFERROR(INDEX('3. Enter Indicator Scores'!$D$10:$CZ$161,_xlpm.r,_xlpm.c),""),
  IF(OR(_xlpm.w="",_xlpm.v=""),"",_xlpm.v*_xlpm.w)
)</f>
        <v/>
      </c>
      <c r="CU130" s="93" t="str" cm="1">
        <f t="array" ref="CU130">_xlfn.LET(
  _xlpm.w, CU$11,
  _xlpm.r, MATCH(1,('3. Enter Indicator Scores'!$B$10:$B$161=$B130)*('3. Enter Indicator Scores'!$C$10:$C$161=$C130),0),
  _xlpm.c, MATCH(CU$8,'3. Enter Indicator Scores'!$D$8:$CZ$8,0),
  _xlpm.v, IFERROR(INDEX('3. Enter Indicator Scores'!$D$10:$CZ$161,_xlpm.r,_xlpm.c),""),
  IF(OR(_xlpm.w="",_xlpm.v=""),"",_xlpm.v*_xlpm.w)
)</f>
        <v/>
      </c>
      <c r="CV130" s="93" t="str" cm="1">
        <f t="array" ref="CV130">_xlfn.LET(
  _xlpm.w, CV$11,
  _xlpm.r, MATCH(1,('3. Enter Indicator Scores'!$B$10:$B$161=$B130)*('3. Enter Indicator Scores'!$C$10:$C$161=$C130),0),
  _xlpm.c, MATCH(CV$8,'3. Enter Indicator Scores'!$D$8:$CZ$8,0),
  _xlpm.v, IFERROR(INDEX('3. Enter Indicator Scores'!$D$10:$CZ$161,_xlpm.r,_xlpm.c),""),
  IF(OR(_xlpm.w="",_xlpm.v=""),"",_xlpm.v*_xlpm.w)
)</f>
        <v/>
      </c>
      <c r="CW130" s="93" t="str" cm="1">
        <f t="array" ref="CW130">_xlfn.LET(
  _xlpm.w, CW$11,
  _xlpm.r, MATCH(1,('3. Enter Indicator Scores'!$B$10:$B$161=$B130)*('3. Enter Indicator Scores'!$C$10:$C$161=$C130),0),
  _xlpm.c, MATCH(CW$8,'3. Enter Indicator Scores'!$D$8:$CZ$8,0),
  _xlpm.v, IFERROR(INDEX('3. Enter Indicator Scores'!$D$10:$CZ$161,_xlpm.r,_xlpm.c),""),
  IF(OR(_xlpm.w="",_xlpm.v=""),"",_xlpm.v*_xlpm.w)
)</f>
        <v/>
      </c>
      <c r="CX130" s="93" t="str" cm="1">
        <f t="array" ref="CX130">_xlfn.LET(
  _xlpm.w, CX$11,
  _xlpm.r, MATCH(1,('3. Enter Indicator Scores'!$B$10:$B$161=$B130)*('3. Enter Indicator Scores'!$C$10:$C$161=$C130),0),
  _xlpm.c, MATCH(CX$8,'3. Enter Indicator Scores'!$D$8:$CZ$8,0),
  _xlpm.v, IFERROR(INDEX('3. Enter Indicator Scores'!$D$10:$CZ$161,_xlpm.r,_xlpm.c),""),
  IF(OR(_xlpm.w="",_xlpm.v=""),"",_xlpm.v*_xlpm.w)
)</f>
        <v/>
      </c>
      <c r="CY130" s="93" t="str" cm="1">
        <f t="array" ref="CY130">_xlfn.LET(
  _xlpm.w, CY$11,
  _xlpm.r, MATCH(1,('3. Enter Indicator Scores'!$B$10:$B$161=$B130)*('3. Enter Indicator Scores'!$C$10:$C$161=$C130),0),
  _xlpm.c, MATCH(CY$8,'3. Enter Indicator Scores'!$D$8:$CZ$8,0),
  _xlpm.v, IFERROR(INDEX('3. Enter Indicator Scores'!$D$10:$CZ$161,_xlpm.r,_xlpm.c),""),
  IF(OR(_xlpm.w="",_xlpm.v=""),"",_xlpm.v*_xlpm.w)
)</f>
        <v/>
      </c>
      <c r="CZ130" s="93" t="str" cm="1">
        <f t="array" ref="CZ130">_xlfn.LET(
  _xlpm.w, CZ$11,
  _xlpm.r, MATCH(1,('3. Enter Indicator Scores'!$B$10:$B$161=$B130)*('3. Enter Indicator Scores'!$C$10:$C$161=$C130),0),
  _xlpm.c, MATCH(CZ$8,'3. Enter Indicator Scores'!$D$8:$CZ$8,0),
  _xlpm.v, IFERROR(INDEX('3. Enter Indicator Scores'!$D$10:$CZ$161,_xlpm.r,_xlpm.c),""),
  IF(OR(_xlpm.w="",_xlpm.v=""),"",_xlpm.v*_xlpm.w)
)</f>
        <v/>
      </c>
    </row>
    <row r="131" spans="4:104" x14ac:dyDescent="0.2">
      <c r="D131" s="93" t="str" cm="1">
        <f t="array" ref="D131">_xlfn.LET(
  _xlpm.w, D$11,
  _xlpm.r, MATCH(1,('3. Enter Indicator Scores'!$B$10:$B$161=$B131)*('3. Enter Indicator Scores'!$C$10:$C$161=$C131),0),
  _xlpm.c, MATCH(D$8,'3. Enter Indicator Scores'!$D$8:$CZ$8,0),
  _xlpm.v, IFERROR(INDEX('3. Enter Indicator Scores'!$D$10:$CZ$161,_xlpm.r,_xlpm.c),""),
  IF(OR(_xlpm.w="",_xlpm.v=""),"",_xlpm.v*_xlpm.w)
)</f>
        <v/>
      </c>
      <c r="E131" s="93" t="str" cm="1">
        <f t="array" ref="E131">_xlfn.LET(
  _xlpm.w, E$11,
  _xlpm.r, MATCH(1,('3. Enter Indicator Scores'!$B$10:$B$161=$B131)*('3. Enter Indicator Scores'!$C$10:$C$161=$C131),0),
  _xlpm.c, MATCH(E$8,'3. Enter Indicator Scores'!$D$8:$CZ$8,0),
  _xlpm.v, IFERROR(INDEX('3. Enter Indicator Scores'!$D$10:$CZ$161,_xlpm.r,_xlpm.c),""),
  IF(OR(_xlpm.w="",_xlpm.v=""),"",_xlpm.v*_xlpm.w)
)</f>
        <v/>
      </c>
      <c r="F131" s="93" t="str" cm="1">
        <f t="array" ref="F131">_xlfn.LET(
  _xlpm.w, F$11,
  _xlpm.r, MATCH(1,('3. Enter Indicator Scores'!$B$10:$B$161=$B131)*('3. Enter Indicator Scores'!$C$10:$C$161=$C131),0),
  _xlpm.c, MATCH(F$8,'3. Enter Indicator Scores'!$D$8:$CZ$8,0),
  _xlpm.v, IFERROR(INDEX('3. Enter Indicator Scores'!$D$10:$CZ$161,_xlpm.r,_xlpm.c),""),
  IF(OR(_xlpm.w="",_xlpm.v=""),"",_xlpm.v*_xlpm.w)
)</f>
        <v/>
      </c>
      <c r="G131" s="93" t="str" cm="1">
        <f t="array" ref="G131">_xlfn.LET(
  _xlpm.w, G$11,
  _xlpm.r, MATCH(1,('3. Enter Indicator Scores'!$B$10:$B$161=$B131)*('3. Enter Indicator Scores'!$C$10:$C$161=$C131),0),
  _xlpm.c, MATCH(G$8,'3. Enter Indicator Scores'!$D$8:$CZ$8,0),
  _xlpm.v, IFERROR(INDEX('3. Enter Indicator Scores'!$D$10:$CZ$161,_xlpm.r,_xlpm.c),""),
  IF(OR(_xlpm.w="",_xlpm.v=""),"",_xlpm.v*_xlpm.w)
)</f>
        <v/>
      </c>
      <c r="H131" s="93" t="str" cm="1">
        <f t="array" ref="H131">_xlfn.LET(
  _xlpm.w, H$11,
  _xlpm.r, MATCH(1,('3. Enter Indicator Scores'!$B$10:$B$161=$B131)*('3. Enter Indicator Scores'!$C$10:$C$161=$C131),0),
  _xlpm.c, MATCH(H$8,'3. Enter Indicator Scores'!$D$8:$CZ$8,0),
  _xlpm.v, IFERROR(INDEX('3. Enter Indicator Scores'!$D$10:$CZ$161,_xlpm.r,_xlpm.c),""),
  IF(OR(_xlpm.w="",_xlpm.v=""),"",_xlpm.v*_xlpm.w)
)</f>
        <v/>
      </c>
      <c r="I131" s="93" t="str" cm="1">
        <f t="array" ref="I131">_xlfn.LET(
  _xlpm.w, I$11,
  _xlpm.r, MATCH(1,('3. Enter Indicator Scores'!$B$10:$B$161=$B131)*('3. Enter Indicator Scores'!$C$10:$C$161=$C131),0),
  _xlpm.c, MATCH(I$8,'3. Enter Indicator Scores'!$D$8:$CZ$8,0),
  _xlpm.v, IFERROR(INDEX('3. Enter Indicator Scores'!$D$10:$CZ$161,_xlpm.r,_xlpm.c),""),
  IF(OR(_xlpm.w="",_xlpm.v=""),"",_xlpm.v*_xlpm.w)
)</f>
        <v/>
      </c>
      <c r="J131" s="93" t="str" cm="1">
        <f t="array" ref="J131">_xlfn.LET(
  _xlpm.w, J$11,
  _xlpm.r, MATCH(1,('3. Enter Indicator Scores'!$B$10:$B$161=$B131)*('3. Enter Indicator Scores'!$C$10:$C$161=$C131),0),
  _xlpm.c, MATCH(J$8,'3. Enter Indicator Scores'!$D$8:$CZ$8,0),
  _xlpm.v, IFERROR(INDEX('3. Enter Indicator Scores'!$D$10:$CZ$161,_xlpm.r,_xlpm.c),""),
  IF(OR(_xlpm.w="",_xlpm.v=""),"",_xlpm.v*_xlpm.w)
)</f>
        <v/>
      </c>
      <c r="K131" s="93" t="str" cm="1">
        <f t="array" ref="K131">_xlfn.LET(
  _xlpm.w, K$11,
  _xlpm.r, MATCH(1,('3. Enter Indicator Scores'!$B$10:$B$161=$B131)*('3. Enter Indicator Scores'!$C$10:$C$161=$C131),0),
  _xlpm.c, MATCH(K$8,'3. Enter Indicator Scores'!$D$8:$CZ$8,0),
  _xlpm.v, IFERROR(INDEX('3. Enter Indicator Scores'!$D$10:$CZ$161,_xlpm.r,_xlpm.c),""),
  IF(OR(_xlpm.w="",_xlpm.v=""),"",_xlpm.v*_xlpm.w)
)</f>
        <v/>
      </c>
      <c r="L131" s="93" t="str" cm="1">
        <f t="array" ref="L131">_xlfn.LET(
  _xlpm.w, L$11,
  _xlpm.r, MATCH(1,('3. Enter Indicator Scores'!$B$10:$B$161=$B131)*('3. Enter Indicator Scores'!$C$10:$C$161=$C131),0),
  _xlpm.c, MATCH(L$8,'3. Enter Indicator Scores'!$D$8:$CZ$8,0),
  _xlpm.v, IFERROR(INDEX('3. Enter Indicator Scores'!$D$10:$CZ$161,_xlpm.r,_xlpm.c),""),
  IF(OR(_xlpm.w="",_xlpm.v=""),"",_xlpm.v*_xlpm.w)
)</f>
        <v/>
      </c>
      <c r="M131" s="93" t="str" cm="1">
        <f t="array" ref="M131">_xlfn.LET(
  _xlpm.w, M$11,
  _xlpm.r, MATCH(1,('3. Enter Indicator Scores'!$B$10:$B$161=$B131)*('3. Enter Indicator Scores'!$C$10:$C$161=$C131),0),
  _xlpm.c, MATCH(M$8,'3. Enter Indicator Scores'!$D$8:$CZ$8,0),
  _xlpm.v, IFERROR(INDEX('3. Enter Indicator Scores'!$D$10:$CZ$161,_xlpm.r,_xlpm.c),""),
  IF(OR(_xlpm.w="",_xlpm.v=""),"",_xlpm.v*_xlpm.w)
)</f>
        <v/>
      </c>
      <c r="N131" s="93" t="str" cm="1">
        <f t="array" ref="N131">_xlfn.LET(
  _xlpm.w, N$11,
  _xlpm.r, MATCH(1,('3. Enter Indicator Scores'!$B$10:$B$161=$B131)*('3. Enter Indicator Scores'!$C$10:$C$161=$C131),0),
  _xlpm.c, MATCH(N$8,'3. Enter Indicator Scores'!$D$8:$CZ$8,0),
  _xlpm.v, IFERROR(INDEX('3. Enter Indicator Scores'!$D$10:$CZ$161,_xlpm.r,_xlpm.c),""),
  IF(OR(_xlpm.w="",_xlpm.v=""),"",_xlpm.v*_xlpm.w)
)</f>
        <v/>
      </c>
      <c r="O131" s="93" t="str" cm="1">
        <f t="array" ref="O131">_xlfn.LET(
  _xlpm.w, O$11,
  _xlpm.r, MATCH(1,('3. Enter Indicator Scores'!$B$10:$B$161=$B131)*('3. Enter Indicator Scores'!$C$10:$C$161=$C131),0),
  _xlpm.c, MATCH(O$8,'3. Enter Indicator Scores'!$D$8:$CZ$8,0),
  _xlpm.v, IFERROR(INDEX('3. Enter Indicator Scores'!$D$10:$CZ$161,_xlpm.r,_xlpm.c),""),
  IF(OR(_xlpm.w="",_xlpm.v=""),"",_xlpm.v*_xlpm.w)
)</f>
        <v/>
      </c>
      <c r="P131" s="93" t="str" cm="1">
        <f t="array" ref="P131">_xlfn.LET(
  _xlpm.w, P$11,
  _xlpm.r, MATCH(1,('3. Enter Indicator Scores'!$B$10:$B$161=$B131)*('3. Enter Indicator Scores'!$C$10:$C$161=$C131),0),
  _xlpm.c, MATCH(P$8,'3. Enter Indicator Scores'!$D$8:$CZ$8,0),
  _xlpm.v, IFERROR(INDEX('3. Enter Indicator Scores'!$D$10:$CZ$161,_xlpm.r,_xlpm.c),""),
  IF(OR(_xlpm.w="",_xlpm.v=""),"",_xlpm.v*_xlpm.w)
)</f>
        <v/>
      </c>
      <c r="Q131" s="93" t="str" cm="1">
        <f t="array" ref="Q131">_xlfn.LET(
  _xlpm.w, Q$11,
  _xlpm.r, MATCH(1,('3. Enter Indicator Scores'!$B$10:$B$161=$B131)*('3. Enter Indicator Scores'!$C$10:$C$161=$C131),0),
  _xlpm.c, MATCH(Q$8,'3. Enter Indicator Scores'!$D$8:$CZ$8,0),
  _xlpm.v, IFERROR(INDEX('3. Enter Indicator Scores'!$D$10:$CZ$161,_xlpm.r,_xlpm.c),""),
  IF(OR(_xlpm.w="",_xlpm.v=""),"",_xlpm.v*_xlpm.w)
)</f>
        <v/>
      </c>
      <c r="R131" s="93" t="str" cm="1">
        <f t="array" ref="R131">_xlfn.LET(
  _xlpm.w, R$11,
  _xlpm.r, MATCH(1,('3. Enter Indicator Scores'!$B$10:$B$161=$B131)*('3. Enter Indicator Scores'!$C$10:$C$161=$C131),0),
  _xlpm.c, MATCH(R$8,'3. Enter Indicator Scores'!$D$8:$CZ$8,0),
  _xlpm.v, IFERROR(INDEX('3. Enter Indicator Scores'!$D$10:$CZ$161,_xlpm.r,_xlpm.c),""),
  IF(OR(_xlpm.w="",_xlpm.v=""),"",_xlpm.v*_xlpm.w)
)</f>
        <v/>
      </c>
      <c r="S131" s="93" t="str" cm="1">
        <f t="array" ref="S131">_xlfn.LET(
  _xlpm.w, S$11,
  _xlpm.r, MATCH(1,('3. Enter Indicator Scores'!$B$10:$B$161=$B131)*('3. Enter Indicator Scores'!$C$10:$C$161=$C131),0),
  _xlpm.c, MATCH(S$8,'3. Enter Indicator Scores'!$D$8:$CZ$8,0),
  _xlpm.v, IFERROR(INDEX('3. Enter Indicator Scores'!$D$10:$CZ$161,_xlpm.r,_xlpm.c),""),
  IF(OR(_xlpm.w="",_xlpm.v=""),"",_xlpm.v*_xlpm.w)
)</f>
        <v/>
      </c>
      <c r="T131" s="93" t="str" cm="1">
        <f t="array" ref="T131">_xlfn.LET(
  _xlpm.w, T$11,
  _xlpm.r, MATCH(1,('3. Enter Indicator Scores'!$B$10:$B$161=$B131)*('3. Enter Indicator Scores'!$C$10:$C$161=$C131),0),
  _xlpm.c, MATCH(T$8,'3. Enter Indicator Scores'!$D$8:$CZ$8,0),
  _xlpm.v, IFERROR(INDEX('3. Enter Indicator Scores'!$D$10:$CZ$161,_xlpm.r,_xlpm.c),""),
  IF(OR(_xlpm.w="",_xlpm.v=""),"",_xlpm.v*_xlpm.w)
)</f>
        <v/>
      </c>
      <c r="U131" s="93" t="str" cm="1">
        <f t="array" ref="U131">_xlfn.LET(
  _xlpm.w, U$11,
  _xlpm.r, MATCH(1,('3. Enter Indicator Scores'!$B$10:$B$161=$B131)*('3. Enter Indicator Scores'!$C$10:$C$161=$C131),0),
  _xlpm.c, MATCH(U$8,'3. Enter Indicator Scores'!$D$8:$CZ$8,0),
  _xlpm.v, IFERROR(INDEX('3. Enter Indicator Scores'!$D$10:$CZ$161,_xlpm.r,_xlpm.c),""),
  IF(OR(_xlpm.w="",_xlpm.v=""),"",_xlpm.v*_xlpm.w)
)</f>
        <v/>
      </c>
      <c r="V131" s="93" t="str" cm="1">
        <f t="array" ref="V131">_xlfn.LET(
  _xlpm.w, V$11,
  _xlpm.r, MATCH(1,('3. Enter Indicator Scores'!$B$10:$B$161=$B131)*('3. Enter Indicator Scores'!$C$10:$C$161=$C131),0),
  _xlpm.c, MATCH(V$8,'3. Enter Indicator Scores'!$D$8:$CZ$8,0),
  _xlpm.v, IFERROR(INDEX('3. Enter Indicator Scores'!$D$10:$CZ$161,_xlpm.r,_xlpm.c),""),
  IF(OR(_xlpm.w="",_xlpm.v=""),"",_xlpm.v*_xlpm.w)
)</f>
        <v/>
      </c>
      <c r="W131" s="93" t="str" cm="1">
        <f t="array" ref="W131">_xlfn.LET(
  _xlpm.w, W$11,
  _xlpm.r, MATCH(1,('3. Enter Indicator Scores'!$B$10:$B$161=$B131)*('3. Enter Indicator Scores'!$C$10:$C$161=$C131),0),
  _xlpm.c, MATCH(W$8,'3. Enter Indicator Scores'!$D$8:$CZ$8,0),
  _xlpm.v, IFERROR(INDEX('3. Enter Indicator Scores'!$D$10:$CZ$161,_xlpm.r,_xlpm.c),""),
  IF(OR(_xlpm.w="",_xlpm.v=""),"",_xlpm.v*_xlpm.w)
)</f>
        <v/>
      </c>
      <c r="X131" s="93" t="str" cm="1">
        <f t="array" ref="X131">_xlfn.LET(
  _xlpm.w, X$11,
  _xlpm.r, MATCH(1,('3. Enter Indicator Scores'!$B$10:$B$161=$B131)*('3. Enter Indicator Scores'!$C$10:$C$161=$C131),0),
  _xlpm.c, MATCH(X$8,'3. Enter Indicator Scores'!$D$8:$CZ$8,0),
  _xlpm.v, IFERROR(INDEX('3. Enter Indicator Scores'!$D$10:$CZ$161,_xlpm.r,_xlpm.c),""),
  IF(OR(_xlpm.w="",_xlpm.v=""),"",_xlpm.v*_xlpm.w)
)</f>
        <v/>
      </c>
      <c r="Y131" s="93" t="str" cm="1">
        <f t="array" ref="Y131">_xlfn.LET(
  _xlpm.w, Y$11,
  _xlpm.r, MATCH(1,('3. Enter Indicator Scores'!$B$10:$B$161=$B131)*('3. Enter Indicator Scores'!$C$10:$C$161=$C131),0),
  _xlpm.c, MATCH(Y$8,'3. Enter Indicator Scores'!$D$8:$CZ$8,0),
  _xlpm.v, IFERROR(INDEX('3. Enter Indicator Scores'!$D$10:$CZ$161,_xlpm.r,_xlpm.c),""),
  IF(OR(_xlpm.w="",_xlpm.v=""),"",_xlpm.v*_xlpm.w)
)</f>
        <v/>
      </c>
      <c r="Z131" s="93" t="str" cm="1">
        <f t="array" ref="Z131">_xlfn.LET(
  _xlpm.w, Z$11,
  _xlpm.r, MATCH(1,('3. Enter Indicator Scores'!$B$10:$B$161=$B131)*('3. Enter Indicator Scores'!$C$10:$C$161=$C131),0),
  _xlpm.c, MATCH(Z$8,'3. Enter Indicator Scores'!$D$8:$CZ$8,0),
  _xlpm.v, IFERROR(INDEX('3. Enter Indicator Scores'!$D$10:$CZ$161,_xlpm.r,_xlpm.c),""),
  IF(OR(_xlpm.w="",_xlpm.v=""),"",_xlpm.v*_xlpm.w)
)</f>
        <v/>
      </c>
      <c r="AA131" s="93" t="str" cm="1">
        <f t="array" ref="AA131">_xlfn.LET(
  _xlpm.w, AA$11,
  _xlpm.r, MATCH(1,('3. Enter Indicator Scores'!$B$10:$B$161=$B131)*('3. Enter Indicator Scores'!$C$10:$C$161=$C131),0),
  _xlpm.c, MATCH(AA$8,'3. Enter Indicator Scores'!$D$8:$CZ$8,0),
  _xlpm.v, IFERROR(INDEX('3. Enter Indicator Scores'!$D$10:$CZ$161,_xlpm.r,_xlpm.c),""),
  IF(OR(_xlpm.w="",_xlpm.v=""),"",_xlpm.v*_xlpm.w)
)</f>
        <v/>
      </c>
      <c r="AB131" s="93" t="str" cm="1">
        <f t="array" ref="AB131">_xlfn.LET(
  _xlpm.w, AB$11,
  _xlpm.r, MATCH(1,('3. Enter Indicator Scores'!$B$10:$B$161=$B131)*('3. Enter Indicator Scores'!$C$10:$C$161=$C131),0),
  _xlpm.c, MATCH(AB$8,'3. Enter Indicator Scores'!$D$8:$CZ$8,0),
  _xlpm.v, IFERROR(INDEX('3. Enter Indicator Scores'!$D$10:$CZ$161,_xlpm.r,_xlpm.c),""),
  IF(OR(_xlpm.w="",_xlpm.v=""),"",_xlpm.v*_xlpm.w)
)</f>
        <v/>
      </c>
      <c r="AC131" s="93" t="str" cm="1">
        <f t="array" ref="AC131">_xlfn.LET(
  _xlpm.w, AC$11,
  _xlpm.r, MATCH(1,('3. Enter Indicator Scores'!$B$10:$B$161=$B131)*('3. Enter Indicator Scores'!$C$10:$C$161=$C131),0),
  _xlpm.c, MATCH(AC$8,'3. Enter Indicator Scores'!$D$8:$CZ$8,0),
  _xlpm.v, IFERROR(INDEX('3. Enter Indicator Scores'!$D$10:$CZ$161,_xlpm.r,_xlpm.c),""),
  IF(OR(_xlpm.w="",_xlpm.v=""),"",_xlpm.v*_xlpm.w)
)</f>
        <v/>
      </c>
      <c r="AD131" s="93" t="str" cm="1">
        <f t="array" ref="AD131">_xlfn.LET(
  _xlpm.w, AD$11,
  _xlpm.r, MATCH(1,('3. Enter Indicator Scores'!$B$10:$B$161=$B131)*('3. Enter Indicator Scores'!$C$10:$C$161=$C131),0),
  _xlpm.c, MATCH(AD$8,'3. Enter Indicator Scores'!$D$8:$CZ$8,0),
  _xlpm.v, IFERROR(INDEX('3. Enter Indicator Scores'!$D$10:$CZ$161,_xlpm.r,_xlpm.c),""),
  IF(OR(_xlpm.w="",_xlpm.v=""),"",_xlpm.v*_xlpm.w)
)</f>
        <v/>
      </c>
      <c r="AE131" s="93" t="str" cm="1">
        <f t="array" ref="AE131">_xlfn.LET(
  _xlpm.w, AE$11,
  _xlpm.r, MATCH(1,('3. Enter Indicator Scores'!$B$10:$B$161=$B131)*('3. Enter Indicator Scores'!$C$10:$C$161=$C131),0),
  _xlpm.c, MATCH(AE$8,'3. Enter Indicator Scores'!$D$8:$CZ$8,0),
  _xlpm.v, IFERROR(INDEX('3. Enter Indicator Scores'!$D$10:$CZ$161,_xlpm.r,_xlpm.c),""),
  IF(OR(_xlpm.w="",_xlpm.v=""),"",_xlpm.v*_xlpm.w)
)</f>
        <v/>
      </c>
      <c r="AF131" s="93" t="str" cm="1">
        <f t="array" ref="AF131">_xlfn.LET(
  _xlpm.w, AF$11,
  _xlpm.r, MATCH(1,('3. Enter Indicator Scores'!$B$10:$B$161=$B131)*('3. Enter Indicator Scores'!$C$10:$C$161=$C131),0),
  _xlpm.c, MATCH(AF$8,'3. Enter Indicator Scores'!$D$8:$CZ$8,0),
  _xlpm.v, IFERROR(INDEX('3. Enter Indicator Scores'!$D$10:$CZ$161,_xlpm.r,_xlpm.c),""),
  IF(OR(_xlpm.w="",_xlpm.v=""),"",_xlpm.v*_xlpm.w)
)</f>
        <v/>
      </c>
      <c r="AG131" s="93" t="str" cm="1">
        <f t="array" ref="AG131">_xlfn.LET(
  _xlpm.w, AG$11,
  _xlpm.r, MATCH(1,('3. Enter Indicator Scores'!$B$10:$B$161=$B131)*('3. Enter Indicator Scores'!$C$10:$C$161=$C131),0),
  _xlpm.c, MATCH(AG$8,'3. Enter Indicator Scores'!$D$8:$CZ$8,0),
  _xlpm.v, IFERROR(INDEX('3. Enter Indicator Scores'!$D$10:$CZ$161,_xlpm.r,_xlpm.c),""),
  IF(OR(_xlpm.w="",_xlpm.v=""),"",_xlpm.v*_xlpm.w)
)</f>
        <v/>
      </c>
      <c r="AH131" s="93" t="str" cm="1">
        <f t="array" ref="AH131">_xlfn.LET(
  _xlpm.w, AH$11,
  _xlpm.r, MATCH(1,('3. Enter Indicator Scores'!$B$10:$B$161=$B131)*('3. Enter Indicator Scores'!$C$10:$C$161=$C131),0),
  _xlpm.c, MATCH(AH$8,'3. Enter Indicator Scores'!$D$8:$CZ$8,0),
  _xlpm.v, IFERROR(INDEX('3. Enter Indicator Scores'!$D$10:$CZ$161,_xlpm.r,_xlpm.c),""),
  IF(OR(_xlpm.w="",_xlpm.v=""),"",_xlpm.v*_xlpm.w)
)</f>
        <v/>
      </c>
      <c r="AI131" s="93" t="str" cm="1">
        <f t="array" ref="AI131">_xlfn.LET(
  _xlpm.w, AI$11,
  _xlpm.r, MATCH(1,('3. Enter Indicator Scores'!$B$10:$B$161=$B131)*('3. Enter Indicator Scores'!$C$10:$C$161=$C131),0),
  _xlpm.c, MATCH(AI$8,'3. Enter Indicator Scores'!$D$8:$CZ$8,0),
  _xlpm.v, IFERROR(INDEX('3. Enter Indicator Scores'!$D$10:$CZ$161,_xlpm.r,_xlpm.c),""),
  IF(OR(_xlpm.w="",_xlpm.v=""),"",_xlpm.v*_xlpm.w)
)</f>
        <v/>
      </c>
      <c r="AJ131" s="93" t="str" cm="1">
        <f t="array" ref="AJ131">_xlfn.LET(
  _xlpm.w, AJ$11,
  _xlpm.r, MATCH(1,('3. Enter Indicator Scores'!$B$10:$B$161=$B131)*('3. Enter Indicator Scores'!$C$10:$C$161=$C131),0),
  _xlpm.c, MATCH(AJ$8,'3. Enter Indicator Scores'!$D$8:$CZ$8,0),
  _xlpm.v, IFERROR(INDEX('3. Enter Indicator Scores'!$D$10:$CZ$161,_xlpm.r,_xlpm.c),""),
  IF(OR(_xlpm.w="",_xlpm.v=""),"",_xlpm.v*_xlpm.w)
)</f>
        <v/>
      </c>
      <c r="AK131" s="93" t="str" cm="1">
        <f t="array" ref="AK131">_xlfn.LET(
  _xlpm.w, AK$11,
  _xlpm.r, MATCH(1,('3. Enter Indicator Scores'!$B$10:$B$161=$B131)*('3. Enter Indicator Scores'!$C$10:$C$161=$C131),0),
  _xlpm.c, MATCH(AK$8,'3. Enter Indicator Scores'!$D$8:$CZ$8,0),
  _xlpm.v, IFERROR(INDEX('3. Enter Indicator Scores'!$D$10:$CZ$161,_xlpm.r,_xlpm.c),""),
  IF(OR(_xlpm.w="",_xlpm.v=""),"",_xlpm.v*_xlpm.w)
)</f>
        <v/>
      </c>
      <c r="AL131" s="93" t="str" cm="1">
        <f t="array" ref="AL131">_xlfn.LET(
  _xlpm.w, AL$11,
  _xlpm.r, MATCH(1,('3. Enter Indicator Scores'!$B$10:$B$161=$B131)*('3. Enter Indicator Scores'!$C$10:$C$161=$C131),0),
  _xlpm.c, MATCH(AL$8,'3. Enter Indicator Scores'!$D$8:$CZ$8,0),
  _xlpm.v, IFERROR(INDEX('3. Enter Indicator Scores'!$D$10:$CZ$161,_xlpm.r,_xlpm.c),""),
  IF(OR(_xlpm.w="",_xlpm.v=""),"",_xlpm.v*_xlpm.w)
)</f>
        <v/>
      </c>
      <c r="AM131" s="93" t="str" cm="1">
        <f t="array" ref="AM131">_xlfn.LET(
  _xlpm.w, AM$11,
  _xlpm.r, MATCH(1,('3. Enter Indicator Scores'!$B$10:$B$161=$B131)*('3. Enter Indicator Scores'!$C$10:$C$161=$C131),0),
  _xlpm.c, MATCH(AM$8,'3. Enter Indicator Scores'!$D$8:$CZ$8,0),
  _xlpm.v, IFERROR(INDEX('3. Enter Indicator Scores'!$D$10:$CZ$161,_xlpm.r,_xlpm.c),""),
  IF(OR(_xlpm.w="",_xlpm.v=""),"",_xlpm.v*_xlpm.w)
)</f>
        <v/>
      </c>
      <c r="AN131" s="93" t="str" cm="1">
        <f t="array" ref="AN131">_xlfn.LET(
  _xlpm.w, AN$11,
  _xlpm.r, MATCH(1,('3. Enter Indicator Scores'!$B$10:$B$161=$B131)*('3. Enter Indicator Scores'!$C$10:$C$161=$C131),0),
  _xlpm.c, MATCH(AN$8,'3. Enter Indicator Scores'!$D$8:$CZ$8,0),
  _xlpm.v, IFERROR(INDEX('3. Enter Indicator Scores'!$D$10:$CZ$161,_xlpm.r,_xlpm.c),""),
  IF(OR(_xlpm.w="",_xlpm.v=""),"",_xlpm.v*_xlpm.w)
)</f>
        <v/>
      </c>
      <c r="AO131" s="93" t="str" cm="1">
        <f t="array" ref="AO131">_xlfn.LET(
  _xlpm.w, AO$11,
  _xlpm.r, MATCH(1,('3. Enter Indicator Scores'!$B$10:$B$161=$B131)*('3. Enter Indicator Scores'!$C$10:$C$161=$C131),0),
  _xlpm.c, MATCH(AO$8,'3. Enter Indicator Scores'!$D$8:$CZ$8,0),
  _xlpm.v, IFERROR(INDEX('3. Enter Indicator Scores'!$D$10:$CZ$161,_xlpm.r,_xlpm.c),""),
  IF(OR(_xlpm.w="",_xlpm.v=""),"",_xlpm.v*_xlpm.w)
)</f>
        <v/>
      </c>
      <c r="AP131" s="93" t="str" cm="1">
        <f t="array" ref="AP131">_xlfn.LET(
  _xlpm.w, AP$11,
  _xlpm.r, MATCH(1,('3. Enter Indicator Scores'!$B$10:$B$161=$B131)*('3. Enter Indicator Scores'!$C$10:$C$161=$C131),0),
  _xlpm.c, MATCH(AP$8,'3. Enter Indicator Scores'!$D$8:$CZ$8,0),
  _xlpm.v, IFERROR(INDEX('3. Enter Indicator Scores'!$D$10:$CZ$161,_xlpm.r,_xlpm.c),""),
  IF(OR(_xlpm.w="",_xlpm.v=""),"",_xlpm.v*_xlpm.w)
)</f>
        <v/>
      </c>
      <c r="AQ131" s="93" t="str" cm="1">
        <f t="array" ref="AQ131">_xlfn.LET(
  _xlpm.w, AQ$11,
  _xlpm.r, MATCH(1,('3. Enter Indicator Scores'!$B$10:$B$161=$B131)*('3. Enter Indicator Scores'!$C$10:$C$161=$C131),0),
  _xlpm.c, MATCH(AQ$8,'3. Enter Indicator Scores'!$D$8:$CZ$8,0),
  _xlpm.v, IFERROR(INDEX('3. Enter Indicator Scores'!$D$10:$CZ$161,_xlpm.r,_xlpm.c),""),
  IF(OR(_xlpm.w="",_xlpm.v=""),"",_xlpm.v*_xlpm.w)
)</f>
        <v/>
      </c>
      <c r="AR131" s="93" t="str" cm="1">
        <f t="array" ref="AR131">_xlfn.LET(
  _xlpm.w, AR$11,
  _xlpm.r, MATCH(1,('3. Enter Indicator Scores'!$B$10:$B$161=$B131)*('3. Enter Indicator Scores'!$C$10:$C$161=$C131),0),
  _xlpm.c, MATCH(AR$8,'3. Enter Indicator Scores'!$D$8:$CZ$8,0),
  _xlpm.v, IFERROR(INDEX('3. Enter Indicator Scores'!$D$10:$CZ$161,_xlpm.r,_xlpm.c),""),
  IF(OR(_xlpm.w="",_xlpm.v=""),"",_xlpm.v*_xlpm.w)
)</f>
        <v/>
      </c>
      <c r="AS131" s="93" t="str" cm="1">
        <f t="array" ref="AS131">_xlfn.LET(
  _xlpm.w, AS$11,
  _xlpm.r, MATCH(1,('3. Enter Indicator Scores'!$B$10:$B$161=$B131)*('3. Enter Indicator Scores'!$C$10:$C$161=$C131),0),
  _xlpm.c, MATCH(AS$8,'3. Enter Indicator Scores'!$D$8:$CZ$8,0),
  _xlpm.v, IFERROR(INDEX('3. Enter Indicator Scores'!$D$10:$CZ$161,_xlpm.r,_xlpm.c),""),
  IF(OR(_xlpm.w="",_xlpm.v=""),"",_xlpm.v*_xlpm.w)
)</f>
        <v/>
      </c>
      <c r="AT131" s="93" t="str" cm="1">
        <f t="array" ref="AT131">_xlfn.LET(
  _xlpm.w, AT$11,
  _xlpm.r, MATCH(1,('3. Enter Indicator Scores'!$B$10:$B$161=$B131)*('3. Enter Indicator Scores'!$C$10:$C$161=$C131),0),
  _xlpm.c, MATCH(AT$8,'3. Enter Indicator Scores'!$D$8:$CZ$8,0),
  _xlpm.v, IFERROR(INDEX('3. Enter Indicator Scores'!$D$10:$CZ$161,_xlpm.r,_xlpm.c),""),
  IF(OR(_xlpm.w="",_xlpm.v=""),"",_xlpm.v*_xlpm.w)
)</f>
        <v/>
      </c>
      <c r="AU131" s="93" t="str" cm="1">
        <f t="array" ref="AU131">_xlfn.LET(
  _xlpm.w, AU$11,
  _xlpm.r, MATCH(1,('3. Enter Indicator Scores'!$B$10:$B$161=$B131)*('3. Enter Indicator Scores'!$C$10:$C$161=$C131),0),
  _xlpm.c, MATCH(AU$8,'3. Enter Indicator Scores'!$D$8:$CZ$8,0),
  _xlpm.v, IFERROR(INDEX('3. Enter Indicator Scores'!$D$10:$CZ$161,_xlpm.r,_xlpm.c),""),
  IF(OR(_xlpm.w="",_xlpm.v=""),"",_xlpm.v*_xlpm.w)
)</f>
        <v/>
      </c>
      <c r="AV131" s="93" t="str" cm="1">
        <f t="array" ref="AV131">_xlfn.LET(
  _xlpm.w, AV$11,
  _xlpm.r, MATCH(1,('3. Enter Indicator Scores'!$B$10:$B$161=$B131)*('3. Enter Indicator Scores'!$C$10:$C$161=$C131),0),
  _xlpm.c, MATCH(AV$8,'3. Enter Indicator Scores'!$D$8:$CZ$8,0),
  _xlpm.v, IFERROR(INDEX('3. Enter Indicator Scores'!$D$10:$CZ$161,_xlpm.r,_xlpm.c),""),
  IF(OR(_xlpm.w="",_xlpm.v=""),"",_xlpm.v*_xlpm.w)
)</f>
        <v/>
      </c>
      <c r="AW131" s="93" t="str" cm="1">
        <f t="array" ref="AW131">_xlfn.LET(
  _xlpm.w, AW$11,
  _xlpm.r, MATCH(1,('3. Enter Indicator Scores'!$B$10:$B$161=$B131)*('3. Enter Indicator Scores'!$C$10:$C$161=$C131),0),
  _xlpm.c, MATCH(AW$8,'3. Enter Indicator Scores'!$D$8:$CZ$8,0),
  _xlpm.v, IFERROR(INDEX('3. Enter Indicator Scores'!$D$10:$CZ$161,_xlpm.r,_xlpm.c),""),
  IF(OR(_xlpm.w="",_xlpm.v=""),"",_xlpm.v*_xlpm.w)
)</f>
        <v/>
      </c>
      <c r="AX131" s="93" t="str" cm="1">
        <f t="array" ref="AX131">_xlfn.LET(
  _xlpm.w, AX$11,
  _xlpm.r, MATCH(1,('3. Enter Indicator Scores'!$B$10:$B$161=$B131)*('3. Enter Indicator Scores'!$C$10:$C$161=$C131),0),
  _xlpm.c, MATCH(AX$8,'3. Enter Indicator Scores'!$D$8:$CZ$8,0),
  _xlpm.v, IFERROR(INDEX('3. Enter Indicator Scores'!$D$10:$CZ$161,_xlpm.r,_xlpm.c),""),
  IF(OR(_xlpm.w="",_xlpm.v=""),"",_xlpm.v*_xlpm.w)
)</f>
        <v/>
      </c>
      <c r="AY131" s="93" t="str" cm="1">
        <f t="array" ref="AY131">_xlfn.LET(
  _xlpm.w, AY$11,
  _xlpm.r, MATCH(1,('3. Enter Indicator Scores'!$B$10:$B$161=$B131)*('3. Enter Indicator Scores'!$C$10:$C$161=$C131),0),
  _xlpm.c, MATCH(AY$8,'3. Enter Indicator Scores'!$D$8:$CZ$8,0),
  _xlpm.v, IFERROR(INDEX('3. Enter Indicator Scores'!$D$10:$CZ$161,_xlpm.r,_xlpm.c),""),
  IF(OR(_xlpm.w="",_xlpm.v=""),"",_xlpm.v*_xlpm.w)
)</f>
        <v/>
      </c>
      <c r="AZ131" s="93" t="str" cm="1">
        <f t="array" ref="AZ131">_xlfn.LET(
  _xlpm.w, AZ$11,
  _xlpm.r, MATCH(1,('3. Enter Indicator Scores'!$B$10:$B$161=$B131)*('3. Enter Indicator Scores'!$C$10:$C$161=$C131),0),
  _xlpm.c, MATCH(AZ$8,'3. Enter Indicator Scores'!$D$8:$CZ$8,0),
  _xlpm.v, IFERROR(INDEX('3. Enter Indicator Scores'!$D$10:$CZ$161,_xlpm.r,_xlpm.c),""),
  IF(OR(_xlpm.w="",_xlpm.v=""),"",_xlpm.v*_xlpm.w)
)</f>
        <v/>
      </c>
      <c r="BA131" s="93" t="str" cm="1">
        <f t="array" ref="BA131">_xlfn.LET(
  _xlpm.w, BA$11,
  _xlpm.r, MATCH(1,('3. Enter Indicator Scores'!$B$10:$B$161=$B131)*('3. Enter Indicator Scores'!$C$10:$C$161=$C131),0),
  _xlpm.c, MATCH(BA$8,'3. Enter Indicator Scores'!$D$8:$CZ$8,0),
  _xlpm.v, IFERROR(INDEX('3. Enter Indicator Scores'!$D$10:$CZ$161,_xlpm.r,_xlpm.c),""),
  IF(OR(_xlpm.w="",_xlpm.v=""),"",_xlpm.v*_xlpm.w)
)</f>
        <v/>
      </c>
      <c r="BB131" s="93" t="str" cm="1">
        <f t="array" ref="BB131">_xlfn.LET(
  _xlpm.w, BB$11,
  _xlpm.r, MATCH(1,('3. Enter Indicator Scores'!$B$10:$B$161=$B131)*('3. Enter Indicator Scores'!$C$10:$C$161=$C131),0),
  _xlpm.c, MATCH(BB$8,'3. Enter Indicator Scores'!$D$8:$CZ$8,0),
  _xlpm.v, IFERROR(INDEX('3. Enter Indicator Scores'!$D$10:$CZ$161,_xlpm.r,_xlpm.c),""),
  IF(OR(_xlpm.w="",_xlpm.v=""),"",_xlpm.v*_xlpm.w)
)</f>
        <v/>
      </c>
      <c r="BC131" s="93" t="str" cm="1">
        <f t="array" ref="BC131">_xlfn.LET(
  _xlpm.w, BC$11,
  _xlpm.r, MATCH(1,('3. Enter Indicator Scores'!$B$10:$B$161=$B131)*('3. Enter Indicator Scores'!$C$10:$C$161=$C131),0),
  _xlpm.c, MATCH(BC$8,'3. Enter Indicator Scores'!$D$8:$CZ$8,0),
  _xlpm.v, IFERROR(INDEX('3. Enter Indicator Scores'!$D$10:$CZ$161,_xlpm.r,_xlpm.c),""),
  IF(OR(_xlpm.w="",_xlpm.v=""),"",_xlpm.v*_xlpm.w)
)</f>
        <v/>
      </c>
      <c r="BD131" s="93" t="str" cm="1">
        <f t="array" ref="BD131">_xlfn.LET(
  _xlpm.w, BD$11,
  _xlpm.r, MATCH(1,('3. Enter Indicator Scores'!$B$10:$B$161=$B131)*('3. Enter Indicator Scores'!$C$10:$C$161=$C131),0),
  _xlpm.c, MATCH(BD$8,'3. Enter Indicator Scores'!$D$8:$CZ$8,0),
  _xlpm.v, IFERROR(INDEX('3. Enter Indicator Scores'!$D$10:$CZ$161,_xlpm.r,_xlpm.c),""),
  IF(OR(_xlpm.w="",_xlpm.v=""),"",_xlpm.v*_xlpm.w)
)</f>
        <v/>
      </c>
      <c r="BE131" s="93" t="str" cm="1">
        <f t="array" ref="BE131">_xlfn.LET(
  _xlpm.w, BE$11,
  _xlpm.r, MATCH(1,('3. Enter Indicator Scores'!$B$10:$B$161=$B131)*('3. Enter Indicator Scores'!$C$10:$C$161=$C131),0),
  _xlpm.c, MATCH(BE$8,'3. Enter Indicator Scores'!$D$8:$CZ$8,0),
  _xlpm.v, IFERROR(INDEX('3. Enter Indicator Scores'!$D$10:$CZ$161,_xlpm.r,_xlpm.c),""),
  IF(OR(_xlpm.w="",_xlpm.v=""),"",_xlpm.v*_xlpm.w)
)</f>
        <v/>
      </c>
      <c r="BF131" s="93" t="str" cm="1">
        <f t="array" ref="BF131">_xlfn.LET(
  _xlpm.w, BF$11,
  _xlpm.r, MATCH(1,('3. Enter Indicator Scores'!$B$10:$B$161=$B131)*('3. Enter Indicator Scores'!$C$10:$C$161=$C131),0),
  _xlpm.c, MATCH(BF$8,'3. Enter Indicator Scores'!$D$8:$CZ$8,0),
  _xlpm.v, IFERROR(INDEX('3. Enter Indicator Scores'!$D$10:$CZ$161,_xlpm.r,_xlpm.c),""),
  IF(OR(_xlpm.w="",_xlpm.v=""),"",_xlpm.v*_xlpm.w)
)</f>
        <v/>
      </c>
      <c r="BG131" s="93" t="str" cm="1">
        <f t="array" ref="BG131">_xlfn.LET(
  _xlpm.w, BG$11,
  _xlpm.r, MATCH(1,('3. Enter Indicator Scores'!$B$10:$B$161=$B131)*('3. Enter Indicator Scores'!$C$10:$C$161=$C131),0),
  _xlpm.c, MATCH(BG$8,'3. Enter Indicator Scores'!$D$8:$CZ$8,0),
  _xlpm.v, IFERROR(INDEX('3. Enter Indicator Scores'!$D$10:$CZ$161,_xlpm.r,_xlpm.c),""),
  IF(OR(_xlpm.w="",_xlpm.v=""),"",_xlpm.v*_xlpm.w)
)</f>
        <v/>
      </c>
      <c r="BH131" s="93" t="str" cm="1">
        <f t="array" ref="BH131">_xlfn.LET(
  _xlpm.w, BH$11,
  _xlpm.r, MATCH(1,('3. Enter Indicator Scores'!$B$10:$B$161=$B131)*('3. Enter Indicator Scores'!$C$10:$C$161=$C131),0),
  _xlpm.c, MATCH(BH$8,'3. Enter Indicator Scores'!$D$8:$CZ$8,0),
  _xlpm.v, IFERROR(INDEX('3. Enter Indicator Scores'!$D$10:$CZ$161,_xlpm.r,_xlpm.c),""),
  IF(OR(_xlpm.w="",_xlpm.v=""),"",_xlpm.v*_xlpm.w)
)</f>
        <v/>
      </c>
      <c r="BI131" s="93" t="str" cm="1">
        <f t="array" ref="BI131">_xlfn.LET(
  _xlpm.w, BI$11,
  _xlpm.r, MATCH(1,('3. Enter Indicator Scores'!$B$10:$B$161=$B131)*('3. Enter Indicator Scores'!$C$10:$C$161=$C131),0),
  _xlpm.c, MATCH(BI$8,'3. Enter Indicator Scores'!$D$8:$CZ$8,0),
  _xlpm.v, IFERROR(INDEX('3. Enter Indicator Scores'!$D$10:$CZ$161,_xlpm.r,_xlpm.c),""),
  IF(OR(_xlpm.w="",_xlpm.v=""),"",_xlpm.v*_xlpm.w)
)</f>
        <v/>
      </c>
      <c r="BJ131" s="93" t="str" cm="1">
        <f t="array" ref="BJ131">_xlfn.LET(
  _xlpm.w, BJ$11,
  _xlpm.r, MATCH(1,('3. Enter Indicator Scores'!$B$10:$B$161=$B131)*('3. Enter Indicator Scores'!$C$10:$C$161=$C131),0),
  _xlpm.c, MATCH(BJ$8,'3. Enter Indicator Scores'!$D$8:$CZ$8,0),
  _xlpm.v, IFERROR(INDEX('3. Enter Indicator Scores'!$D$10:$CZ$161,_xlpm.r,_xlpm.c),""),
  IF(OR(_xlpm.w="",_xlpm.v=""),"",_xlpm.v*_xlpm.w)
)</f>
        <v/>
      </c>
      <c r="BK131" s="93" t="str" cm="1">
        <f t="array" ref="BK131">_xlfn.LET(
  _xlpm.w, BK$11,
  _xlpm.r, MATCH(1,('3. Enter Indicator Scores'!$B$10:$B$161=$B131)*('3. Enter Indicator Scores'!$C$10:$C$161=$C131),0),
  _xlpm.c, MATCH(BK$8,'3. Enter Indicator Scores'!$D$8:$CZ$8,0),
  _xlpm.v, IFERROR(INDEX('3. Enter Indicator Scores'!$D$10:$CZ$161,_xlpm.r,_xlpm.c),""),
  IF(OR(_xlpm.w="",_xlpm.v=""),"",_xlpm.v*_xlpm.w)
)</f>
        <v/>
      </c>
      <c r="BL131" s="93" t="str" cm="1">
        <f t="array" ref="BL131">_xlfn.LET(
  _xlpm.w, BL$11,
  _xlpm.r, MATCH(1,('3. Enter Indicator Scores'!$B$10:$B$161=$B131)*('3. Enter Indicator Scores'!$C$10:$C$161=$C131),0),
  _xlpm.c, MATCH(BL$8,'3. Enter Indicator Scores'!$D$8:$CZ$8,0),
  _xlpm.v, IFERROR(INDEX('3. Enter Indicator Scores'!$D$10:$CZ$161,_xlpm.r,_xlpm.c),""),
  IF(OR(_xlpm.w="",_xlpm.v=""),"",_xlpm.v*_xlpm.w)
)</f>
        <v/>
      </c>
      <c r="BM131" s="93" t="str" cm="1">
        <f t="array" ref="BM131">_xlfn.LET(
  _xlpm.w, BM$11,
  _xlpm.r, MATCH(1,('3. Enter Indicator Scores'!$B$10:$B$161=$B131)*('3. Enter Indicator Scores'!$C$10:$C$161=$C131),0),
  _xlpm.c, MATCH(BM$8,'3. Enter Indicator Scores'!$D$8:$CZ$8,0),
  _xlpm.v, IFERROR(INDEX('3. Enter Indicator Scores'!$D$10:$CZ$161,_xlpm.r,_xlpm.c),""),
  IF(OR(_xlpm.w="",_xlpm.v=""),"",_xlpm.v*_xlpm.w)
)</f>
        <v/>
      </c>
      <c r="BN131" s="93" t="str" cm="1">
        <f t="array" ref="BN131">_xlfn.LET(
  _xlpm.w, BN$11,
  _xlpm.r, MATCH(1,('3. Enter Indicator Scores'!$B$10:$B$161=$B131)*('3. Enter Indicator Scores'!$C$10:$C$161=$C131),0),
  _xlpm.c, MATCH(BN$8,'3. Enter Indicator Scores'!$D$8:$CZ$8,0),
  _xlpm.v, IFERROR(INDEX('3. Enter Indicator Scores'!$D$10:$CZ$161,_xlpm.r,_xlpm.c),""),
  IF(OR(_xlpm.w="",_xlpm.v=""),"",_xlpm.v*_xlpm.w)
)</f>
        <v/>
      </c>
      <c r="BO131" s="93" t="str" cm="1">
        <f t="array" ref="BO131">_xlfn.LET(
  _xlpm.w, BO$11,
  _xlpm.r, MATCH(1,('3. Enter Indicator Scores'!$B$10:$B$161=$B131)*('3. Enter Indicator Scores'!$C$10:$C$161=$C131),0),
  _xlpm.c, MATCH(BO$8,'3. Enter Indicator Scores'!$D$8:$CZ$8,0),
  _xlpm.v, IFERROR(INDEX('3. Enter Indicator Scores'!$D$10:$CZ$161,_xlpm.r,_xlpm.c),""),
  IF(OR(_xlpm.w="",_xlpm.v=""),"",_xlpm.v*_xlpm.w)
)</f>
        <v/>
      </c>
      <c r="BP131" s="93" t="str" cm="1">
        <f t="array" ref="BP131">_xlfn.LET(
  _xlpm.w, BP$11,
  _xlpm.r, MATCH(1,('3. Enter Indicator Scores'!$B$10:$B$161=$B131)*('3. Enter Indicator Scores'!$C$10:$C$161=$C131),0),
  _xlpm.c, MATCH(BP$8,'3. Enter Indicator Scores'!$D$8:$CZ$8,0),
  _xlpm.v, IFERROR(INDEX('3. Enter Indicator Scores'!$D$10:$CZ$161,_xlpm.r,_xlpm.c),""),
  IF(OR(_xlpm.w="",_xlpm.v=""),"",_xlpm.v*_xlpm.w)
)</f>
        <v/>
      </c>
      <c r="BQ131" s="93" t="str" cm="1">
        <f t="array" ref="BQ131">_xlfn.LET(
  _xlpm.w, BQ$11,
  _xlpm.r, MATCH(1,('3. Enter Indicator Scores'!$B$10:$B$161=$B131)*('3. Enter Indicator Scores'!$C$10:$C$161=$C131),0),
  _xlpm.c, MATCH(BQ$8,'3. Enter Indicator Scores'!$D$8:$CZ$8,0),
  _xlpm.v, IFERROR(INDEX('3. Enter Indicator Scores'!$D$10:$CZ$161,_xlpm.r,_xlpm.c),""),
  IF(OR(_xlpm.w="",_xlpm.v=""),"",_xlpm.v*_xlpm.w)
)</f>
        <v/>
      </c>
      <c r="BR131" s="93" t="str" cm="1">
        <f t="array" ref="BR131">_xlfn.LET(
  _xlpm.w, BR$11,
  _xlpm.r, MATCH(1,('3. Enter Indicator Scores'!$B$10:$B$161=$B131)*('3. Enter Indicator Scores'!$C$10:$C$161=$C131),0),
  _xlpm.c, MATCH(BR$8,'3. Enter Indicator Scores'!$D$8:$CZ$8,0),
  _xlpm.v, IFERROR(INDEX('3. Enter Indicator Scores'!$D$10:$CZ$161,_xlpm.r,_xlpm.c),""),
  IF(OR(_xlpm.w="",_xlpm.v=""),"",_xlpm.v*_xlpm.w)
)</f>
        <v/>
      </c>
      <c r="BS131" s="93" t="str" cm="1">
        <f t="array" ref="BS131">_xlfn.LET(
  _xlpm.w, BS$11,
  _xlpm.r, MATCH(1,('3. Enter Indicator Scores'!$B$10:$B$161=$B131)*('3. Enter Indicator Scores'!$C$10:$C$161=$C131),0),
  _xlpm.c, MATCH(BS$8,'3. Enter Indicator Scores'!$D$8:$CZ$8,0),
  _xlpm.v, IFERROR(INDEX('3. Enter Indicator Scores'!$D$10:$CZ$161,_xlpm.r,_xlpm.c),""),
  IF(OR(_xlpm.w="",_xlpm.v=""),"",_xlpm.v*_xlpm.w)
)</f>
        <v/>
      </c>
      <c r="BT131" s="93" t="str" cm="1">
        <f t="array" ref="BT131">_xlfn.LET(
  _xlpm.w, BT$11,
  _xlpm.r, MATCH(1,('3. Enter Indicator Scores'!$B$10:$B$161=$B131)*('3. Enter Indicator Scores'!$C$10:$C$161=$C131),0),
  _xlpm.c, MATCH(BT$8,'3. Enter Indicator Scores'!$D$8:$CZ$8,0),
  _xlpm.v, IFERROR(INDEX('3. Enter Indicator Scores'!$D$10:$CZ$161,_xlpm.r,_xlpm.c),""),
  IF(OR(_xlpm.w="",_xlpm.v=""),"",_xlpm.v*_xlpm.w)
)</f>
        <v/>
      </c>
      <c r="BU131" s="93" t="str" cm="1">
        <f t="array" ref="BU131">_xlfn.LET(
  _xlpm.w, BU$11,
  _xlpm.r, MATCH(1,('3. Enter Indicator Scores'!$B$10:$B$161=$B131)*('3. Enter Indicator Scores'!$C$10:$C$161=$C131),0),
  _xlpm.c, MATCH(BU$8,'3. Enter Indicator Scores'!$D$8:$CZ$8,0),
  _xlpm.v, IFERROR(INDEX('3. Enter Indicator Scores'!$D$10:$CZ$161,_xlpm.r,_xlpm.c),""),
  IF(OR(_xlpm.w="",_xlpm.v=""),"",_xlpm.v*_xlpm.w)
)</f>
        <v/>
      </c>
      <c r="BV131" s="93" t="str" cm="1">
        <f t="array" ref="BV131">_xlfn.LET(
  _xlpm.w, BV$11,
  _xlpm.r, MATCH(1,('3. Enter Indicator Scores'!$B$10:$B$161=$B131)*('3. Enter Indicator Scores'!$C$10:$C$161=$C131),0),
  _xlpm.c, MATCH(BV$8,'3. Enter Indicator Scores'!$D$8:$CZ$8,0),
  _xlpm.v, IFERROR(INDEX('3. Enter Indicator Scores'!$D$10:$CZ$161,_xlpm.r,_xlpm.c),""),
  IF(OR(_xlpm.w="",_xlpm.v=""),"",_xlpm.v*_xlpm.w)
)</f>
        <v/>
      </c>
      <c r="BW131" s="93" t="str" cm="1">
        <f t="array" ref="BW131">_xlfn.LET(
  _xlpm.w, BW$11,
  _xlpm.r, MATCH(1,('3. Enter Indicator Scores'!$B$10:$B$161=$B131)*('3. Enter Indicator Scores'!$C$10:$C$161=$C131),0),
  _xlpm.c, MATCH(BW$8,'3. Enter Indicator Scores'!$D$8:$CZ$8,0),
  _xlpm.v, IFERROR(INDEX('3. Enter Indicator Scores'!$D$10:$CZ$161,_xlpm.r,_xlpm.c),""),
  IF(OR(_xlpm.w="",_xlpm.v=""),"",_xlpm.v*_xlpm.w)
)</f>
        <v/>
      </c>
      <c r="BX131" s="93" t="str" cm="1">
        <f t="array" ref="BX131">_xlfn.LET(
  _xlpm.w, BX$11,
  _xlpm.r, MATCH(1,('3. Enter Indicator Scores'!$B$10:$B$161=$B131)*('3. Enter Indicator Scores'!$C$10:$C$161=$C131),0),
  _xlpm.c, MATCH(BX$8,'3. Enter Indicator Scores'!$D$8:$CZ$8,0),
  _xlpm.v, IFERROR(INDEX('3. Enter Indicator Scores'!$D$10:$CZ$161,_xlpm.r,_xlpm.c),""),
  IF(OR(_xlpm.w="",_xlpm.v=""),"",_xlpm.v*_xlpm.w)
)</f>
        <v/>
      </c>
      <c r="BY131" s="93" t="str" cm="1">
        <f t="array" ref="BY131">_xlfn.LET(
  _xlpm.w, BY$11,
  _xlpm.r, MATCH(1,('3. Enter Indicator Scores'!$B$10:$B$161=$B131)*('3. Enter Indicator Scores'!$C$10:$C$161=$C131),0),
  _xlpm.c, MATCH(BY$8,'3. Enter Indicator Scores'!$D$8:$CZ$8,0),
  _xlpm.v, IFERROR(INDEX('3. Enter Indicator Scores'!$D$10:$CZ$161,_xlpm.r,_xlpm.c),""),
  IF(OR(_xlpm.w="",_xlpm.v=""),"",_xlpm.v*_xlpm.w)
)</f>
        <v/>
      </c>
      <c r="BZ131" s="93" t="str" cm="1">
        <f t="array" ref="BZ131">_xlfn.LET(
  _xlpm.w, BZ$11,
  _xlpm.r, MATCH(1,('3. Enter Indicator Scores'!$B$10:$B$161=$B131)*('3. Enter Indicator Scores'!$C$10:$C$161=$C131),0),
  _xlpm.c, MATCH(BZ$8,'3. Enter Indicator Scores'!$D$8:$CZ$8,0),
  _xlpm.v, IFERROR(INDEX('3. Enter Indicator Scores'!$D$10:$CZ$161,_xlpm.r,_xlpm.c),""),
  IF(OR(_xlpm.w="",_xlpm.v=""),"",_xlpm.v*_xlpm.w)
)</f>
        <v/>
      </c>
      <c r="CA131" s="93" t="str" cm="1">
        <f t="array" ref="CA131">_xlfn.LET(
  _xlpm.w, CA$11,
  _xlpm.r, MATCH(1,('3. Enter Indicator Scores'!$B$10:$B$161=$B131)*('3. Enter Indicator Scores'!$C$10:$C$161=$C131),0),
  _xlpm.c, MATCH(CA$8,'3. Enter Indicator Scores'!$D$8:$CZ$8,0),
  _xlpm.v, IFERROR(INDEX('3. Enter Indicator Scores'!$D$10:$CZ$161,_xlpm.r,_xlpm.c),""),
  IF(OR(_xlpm.w="",_xlpm.v=""),"",_xlpm.v*_xlpm.w)
)</f>
        <v/>
      </c>
      <c r="CB131" s="93" t="str" cm="1">
        <f t="array" ref="CB131">_xlfn.LET(
  _xlpm.w, CB$11,
  _xlpm.r, MATCH(1,('3. Enter Indicator Scores'!$B$10:$B$161=$B131)*('3. Enter Indicator Scores'!$C$10:$C$161=$C131),0),
  _xlpm.c, MATCH(CB$8,'3. Enter Indicator Scores'!$D$8:$CZ$8,0),
  _xlpm.v, IFERROR(INDEX('3. Enter Indicator Scores'!$D$10:$CZ$161,_xlpm.r,_xlpm.c),""),
  IF(OR(_xlpm.w="",_xlpm.v=""),"",_xlpm.v*_xlpm.w)
)</f>
        <v/>
      </c>
      <c r="CC131" s="93" t="str" cm="1">
        <f t="array" ref="CC131">_xlfn.LET(
  _xlpm.w, CC$11,
  _xlpm.r, MATCH(1,('3. Enter Indicator Scores'!$B$10:$B$161=$B131)*('3. Enter Indicator Scores'!$C$10:$C$161=$C131),0),
  _xlpm.c, MATCH(CC$8,'3. Enter Indicator Scores'!$D$8:$CZ$8,0),
  _xlpm.v, IFERROR(INDEX('3. Enter Indicator Scores'!$D$10:$CZ$161,_xlpm.r,_xlpm.c),""),
  IF(OR(_xlpm.w="",_xlpm.v=""),"",_xlpm.v*_xlpm.w)
)</f>
        <v/>
      </c>
      <c r="CD131" s="93" t="str" cm="1">
        <f t="array" ref="CD131">_xlfn.LET(
  _xlpm.w, CD$11,
  _xlpm.r, MATCH(1,('3. Enter Indicator Scores'!$B$10:$B$161=$B131)*('3. Enter Indicator Scores'!$C$10:$C$161=$C131),0),
  _xlpm.c, MATCH(CD$8,'3. Enter Indicator Scores'!$D$8:$CZ$8,0),
  _xlpm.v, IFERROR(INDEX('3. Enter Indicator Scores'!$D$10:$CZ$161,_xlpm.r,_xlpm.c),""),
  IF(OR(_xlpm.w="",_xlpm.v=""),"",_xlpm.v*_xlpm.w)
)</f>
        <v/>
      </c>
      <c r="CE131" s="93" t="str" cm="1">
        <f t="array" ref="CE131">_xlfn.LET(
  _xlpm.w, CE$11,
  _xlpm.r, MATCH(1,('3. Enter Indicator Scores'!$B$10:$B$161=$B131)*('3. Enter Indicator Scores'!$C$10:$C$161=$C131),0),
  _xlpm.c, MATCH(CE$8,'3. Enter Indicator Scores'!$D$8:$CZ$8,0),
  _xlpm.v, IFERROR(INDEX('3. Enter Indicator Scores'!$D$10:$CZ$161,_xlpm.r,_xlpm.c),""),
  IF(OR(_xlpm.w="",_xlpm.v=""),"",_xlpm.v*_xlpm.w)
)</f>
        <v/>
      </c>
      <c r="CF131" s="93" t="str" cm="1">
        <f t="array" ref="CF131">_xlfn.LET(
  _xlpm.w, CF$11,
  _xlpm.r, MATCH(1,('3. Enter Indicator Scores'!$B$10:$B$161=$B131)*('3. Enter Indicator Scores'!$C$10:$C$161=$C131),0),
  _xlpm.c, MATCH(CF$8,'3. Enter Indicator Scores'!$D$8:$CZ$8,0),
  _xlpm.v, IFERROR(INDEX('3. Enter Indicator Scores'!$D$10:$CZ$161,_xlpm.r,_xlpm.c),""),
  IF(OR(_xlpm.w="",_xlpm.v=""),"",_xlpm.v*_xlpm.w)
)</f>
        <v/>
      </c>
      <c r="CG131" s="93" t="str" cm="1">
        <f t="array" ref="CG131">_xlfn.LET(
  _xlpm.w, CG$11,
  _xlpm.r, MATCH(1,('3. Enter Indicator Scores'!$B$10:$B$161=$B131)*('3. Enter Indicator Scores'!$C$10:$C$161=$C131),0),
  _xlpm.c, MATCH(CG$8,'3. Enter Indicator Scores'!$D$8:$CZ$8,0),
  _xlpm.v, IFERROR(INDEX('3. Enter Indicator Scores'!$D$10:$CZ$161,_xlpm.r,_xlpm.c),""),
  IF(OR(_xlpm.w="",_xlpm.v=""),"",_xlpm.v*_xlpm.w)
)</f>
        <v/>
      </c>
      <c r="CH131" s="93" t="str" cm="1">
        <f t="array" ref="CH131">_xlfn.LET(
  _xlpm.w, CH$11,
  _xlpm.r, MATCH(1,('3. Enter Indicator Scores'!$B$10:$B$161=$B131)*('3. Enter Indicator Scores'!$C$10:$C$161=$C131),0),
  _xlpm.c, MATCH(CH$8,'3. Enter Indicator Scores'!$D$8:$CZ$8,0),
  _xlpm.v, IFERROR(INDEX('3. Enter Indicator Scores'!$D$10:$CZ$161,_xlpm.r,_xlpm.c),""),
  IF(OR(_xlpm.w="",_xlpm.v=""),"",_xlpm.v*_xlpm.w)
)</f>
        <v/>
      </c>
      <c r="CI131" s="93" t="str" cm="1">
        <f t="array" ref="CI131">_xlfn.LET(
  _xlpm.w, CI$11,
  _xlpm.r, MATCH(1,('3. Enter Indicator Scores'!$B$10:$B$161=$B131)*('3. Enter Indicator Scores'!$C$10:$C$161=$C131),0),
  _xlpm.c, MATCH(CI$8,'3. Enter Indicator Scores'!$D$8:$CZ$8,0),
  _xlpm.v, IFERROR(INDEX('3. Enter Indicator Scores'!$D$10:$CZ$161,_xlpm.r,_xlpm.c),""),
  IF(OR(_xlpm.w="",_xlpm.v=""),"",_xlpm.v*_xlpm.w)
)</f>
        <v/>
      </c>
      <c r="CJ131" s="93" t="str" cm="1">
        <f t="array" ref="CJ131">_xlfn.LET(
  _xlpm.w, CJ$11,
  _xlpm.r, MATCH(1,('3. Enter Indicator Scores'!$B$10:$B$161=$B131)*('3. Enter Indicator Scores'!$C$10:$C$161=$C131),0),
  _xlpm.c, MATCH(CJ$8,'3. Enter Indicator Scores'!$D$8:$CZ$8,0),
  _xlpm.v, IFERROR(INDEX('3. Enter Indicator Scores'!$D$10:$CZ$161,_xlpm.r,_xlpm.c),""),
  IF(OR(_xlpm.w="",_xlpm.v=""),"",_xlpm.v*_xlpm.w)
)</f>
        <v/>
      </c>
      <c r="CK131" s="93" t="str" cm="1">
        <f t="array" ref="CK131">_xlfn.LET(
  _xlpm.w, CK$11,
  _xlpm.r, MATCH(1,('3. Enter Indicator Scores'!$B$10:$B$161=$B131)*('3. Enter Indicator Scores'!$C$10:$C$161=$C131),0),
  _xlpm.c, MATCH(CK$8,'3. Enter Indicator Scores'!$D$8:$CZ$8,0),
  _xlpm.v, IFERROR(INDEX('3. Enter Indicator Scores'!$D$10:$CZ$161,_xlpm.r,_xlpm.c),""),
  IF(OR(_xlpm.w="",_xlpm.v=""),"",_xlpm.v*_xlpm.w)
)</f>
        <v/>
      </c>
      <c r="CL131" s="93" t="str" cm="1">
        <f t="array" ref="CL131">_xlfn.LET(
  _xlpm.w, CL$11,
  _xlpm.r, MATCH(1,('3. Enter Indicator Scores'!$B$10:$B$161=$B131)*('3. Enter Indicator Scores'!$C$10:$C$161=$C131),0),
  _xlpm.c, MATCH(CL$8,'3. Enter Indicator Scores'!$D$8:$CZ$8,0),
  _xlpm.v, IFERROR(INDEX('3. Enter Indicator Scores'!$D$10:$CZ$161,_xlpm.r,_xlpm.c),""),
  IF(OR(_xlpm.w="",_xlpm.v=""),"",_xlpm.v*_xlpm.w)
)</f>
        <v/>
      </c>
      <c r="CM131" s="93" t="str" cm="1">
        <f t="array" ref="CM131">_xlfn.LET(
  _xlpm.w, CM$11,
  _xlpm.r, MATCH(1,('3. Enter Indicator Scores'!$B$10:$B$161=$B131)*('3. Enter Indicator Scores'!$C$10:$C$161=$C131),0),
  _xlpm.c, MATCH(CM$8,'3. Enter Indicator Scores'!$D$8:$CZ$8,0),
  _xlpm.v, IFERROR(INDEX('3. Enter Indicator Scores'!$D$10:$CZ$161,_xlpm.r,_xlpm.c),""),
  IF(OR(_xlpm.w="",_xlpm.v=""),"",_xlpm.v*_xlpm.w)
)</f>
        <v/>
      </c>
      <c r="CN131" s="93" t="str" cm="1">
        <f t="array" ref="CN131">_xlfn.LET(
  _xlpm.w, CN$11,
  _xlpm.r, MATCH(1,('3. Enter Indicator Scores'!$B$10:$B$161=$B131)*('3. Enter Indicator Scores'!$C$10:$C$161=$C131),0),
  _xlpm.c, MATCH(CN$8,'3. Enter Indicator Scores'!$D$8:$CZ$8,0),
  _xlpm.v, IFERROR(INDEX('3. Enter Indicator Scores'!$D$10:$CZ$161,_xlpm.r,_xlpm.c),""),
  IF(OR(_xlpm.w="",_xlpm.v=""),"",_xlpm.v*_xlpm.w)
)</f>
        <v/>
      </c>
      <c r="CO131" s="93" t="str" cm="1">
        <f t="array" ref="CO131">_xlfn.LET(
  _xlpm.w, CO$11,
  _xlpm.r, MATCH(1,('3. Enter Indicator Scores'!$B$10:$B$161=$B131)*('3. Enter Indicator Scores'!$C$10:$C$161=$C131),0),
  _xlpm.c, MATCH(CO$8,'3. Enter Indicator Scores'!$D$8:$CZ$8,0),
  _xlpm.v, IFERROR(INDEX('3. Enter Indicator Scores'!$D$10:$CZ$161,_xlpm.r,_xlpm.c),""),
  IF(OR(_xlpm.w="",_xlpm.v=""),"",_xlpm.v*_xlpm.w)
)</f>
        <v/>
      </c>
      <c r="CP131" s="93" t="str" cm="1">
        <f t="array" ref="CP131">_xlfn.LET(
  _xlpm.w, CP$11,
  _xlpm.r, MATCH(1,('3. Enter Indicator Scores'!$B$10:$B$161=$B131)*('3. Enter Indicator Scores'!$C$10:$C$161=$C131),0),
  _xlpm.c, MATCH(CP$8,'3. Enter Indicator Scores'!$D$8:$CZ$8,0),
  _xlpm.v, IFERROR(INDEX('3. Enter Indicator Scores'!$D$10:$CZ$161,_xlpm.r,_xlpm.c),""),
  IF(OR(_xlpm.w="",_xlpm.v=""),"",_xlpm.v*_xlpm.w)
)</f>
        <v/>
      </c>
      <c r="CQ131" s="93" t="str" cm="1">
        <f t="array" ref="CQ131">_xlfn.LET(
  _xlpm.w, CQ$11,
  _xlpm.r, MATCH(1,('3. Enter Indicator Scores'!$B$10:$B$161=$B131)*('3. Enter Indicator Scores'!$C$10:$C$161=$C131),0),
  _xlpm.c, MATCH(CQ$8,'3. Enter Indicator Scores'!$D$8:$CZ$8,0),
  _xlpm.v, IFERROR(INDEX('3. Enter Indicator Scores'!$D$10:$CZ$161,_xlpm.r,_xlpm.c),""),
  IF(OR(_xlpm.w="",_xlpm.v=""),"",_xlpm.v*_xlpm.w)
)</f>
        <v/>
      </c>
      <c r="CR131" s="93" t="str" cm="1">
        <f t="array" ref="CR131">_xlfn.LET(
  _xlpm.w, CR$11,
  _xlpm.r, MATCH(1,('3. Enter Indicator Scores'!$B$10:$B$161=$B131)*('3. Enter Indicator Scores'!$C$10:$C$161=$C131),0),
  _xlpm.c, MATCH(CR$8,'3. Enter Indicator Scores'!$D$8:$CZ$8,0),
  _xlpm.v, IFERROR(INDEX('3. Enter Indicator Scores'!$D$10:$CZ$161,_xlpm.r,_xlpm.c),""),
  IF(OR(_xlpm.w="",_xlpm.v=""),"",_xlpm.v*_xlpm.w)
)</f>
        <v/>
      </c>
      <c r="CS131" s="93" t="str" cm="1">
        <f t="array" ref="CS131">_xlfn.LET(
  _xlpm.w, CS$11,
  _xlpm.r, MATCH(1,('3. Enter Indicator Scores'!$B$10:$B$161=$B131)*('3. Enter Indicator Scores'!$C$10:$C$161=$C131),0),
  _xlpm.c, MATCH(CS$8,'3. Enter Indicator Scores'!$D$8:$CZ$8,0),
  _xlpm.v, IFERROR(INDEX('3. Enter Indicator Scores'!$D$10:$CZ$161,_xlpm.r,_xlpm.c),""),
  IF(OR(_xlpm.w="",_xlpm.v=""),"",_xlpm.v*_xlpm.w)
)</f>
        <v/>
      </c>
      <c r="CT131" s="93" t="str" cm="1">
        <f t="array" ref="CT131">_xlfn.LET(
  _xlpm.w, CT$11,
  _xlpm.r, MATCH(1,('3. Enter Indicator Scores'!$B$10:$B$161=$B131)*('3. Enter Indicator Scores'!$C$10:$C$161=$C131),0),
  _xlpm.c, MATCH(CT$8,'3. Enter Indicator Scores'!$D$8:$CZ$8,0),
  _xlpm.v, IFERROR(INDEX('3. Enter Indicator Scores'!$D$10:$CZ$161,_xlpm.r,_xlpm.c),""),
  IF(OR(_xlpm.w="",_xlpm.v=""),"",_xlpm.v*_xlpm.w)
)</f>
        <v/>
      </c>
      <c r="CU131" s="93" t="str" cm="1">
        <f t="array" ref="CU131">_xlfn.LET(
  _xlpm.w, CU$11,
  _xlpm.r, MATCH(1,('3. Enter Indicator Scores'!$B$10:$B$161=$B131)*('3. Enter Indicator Scores'!$C$10:$C$161=$C131),0),
  _xlpm.c, MATCH(CU$8,'3. Enter Indicator Scores'!$D$8:$CZ$8,0),
  _xlpm.v, IFERROR(INDEX('3. Enter Indicator Scores'!$D$10:$CZ$161,_xlpm.r,_xlpm.c),""),
  IF(OR(_xlpm.w="",_xlpm.v=""),"",_xlpm.v*_xlpm.w)
)</f>
        <v/>
      </c>
      <c r="CV131" s="93" t="str" cm="1">
        <f t="array" ref="CV131">_xlfn.LET(
  _xlpm.w, CV$11,
  _xlpm.r, MATCH(1,('3. Enter Indicator Scores'!$B$10:$B$161=$B131)*('3. Enter Indicator Scores'!$C$10:$C$161=$C131),0),
  _xlpm.c, MATCH(CV$8,'3. Enter Indicator Scores'!$D$8:$CZ$8,0),
  _xlpm.v, IFERROR(INDEX('3. Enter Indicator Scores'!$D$10:$CZ$161,_xlpm.r,_xlpm.c),""),
  IF(OR(_xlpm.w="",_xlpm.v=""),"",_xlpm.v*_xlpm.w)
)</f>
        <v/>
      </c>
      <c r="CW131" s="93" t="str" cm="1">
        <f t="array" ref="CW131">_xlfn.LET(
  _xlpm.w, CW$11,
  _xlpm.r, MATCH(1,('3. Enter Indicator Scores'!$B$10:$B$161=$B131)*('3. Enter Indicator Scores'!$C$10:$C$161=$C131),0),
  _xlpm.c, MATCH(CW$8,'3. Enter Indicator Scores'!$D$8:$CZ$8,0),
  _xlpm.v, IFERROR(INDEX('3. Enter Indicator Scores'!$D$10:$CZ$161,_xlpm.r,_xlpm.c),""),
  IF(OR(_xlpm.w="",_xlpm.v=""),"",_xlpm.v*_xlpm.w)
)</f>
        <v/>
      </c>
      <c r="CX131" s="93" t="str" cm="1">
        <f t="array" ref="CX131">_xlfn.LET(
  _xlpm.w, CX$11,
  _xlpm.r, MATCH(1,('3. Enter Indicator Scores'!$B$10:$B$161=$B131)*('3. Enter Indicator Scores'!$C$10:$C$161=$C131),0),
  _xlpm.c, MATCH(CX$8,'3. Enter Indicator Scores'!$D$8:$CZ$8,0),
  _xlpm.v, IFERROR(INDEX('3. Enter Indicator Scores'!$D$10:$CZ$161,_xlpm.r,_xlpm.c),""),
  IF(OR(_xlpm.w="",_xlpm.v=""),"",_xlpm.v*_xlpm.w)
)</f>
        <v/>
      </c>
      <c r="CY131" s="93" t="str" cm="1">
        <f t="array" ref="CY131">_xlfn.LET(
  _xlpm.w, CY$11,
  _xlpm.r, MATCH(1,('3. Enter Indicator Scores'!$B$10:$B$161=$B131)*('3. Enter Indicator Scores'!$C$10:$C$161=$C131),0),
  _xlpm.c, MATCH(CY$8,'3. Enter Indicator Scores'!$D$8:$CZ$8,0),
  _xlpm.v, IFERROR(INDEX('3. Enter Indicator Scores'!$D$10:$CZ$161,_xlpm.r,_xlpm.c),""),
  IF(OR(_xlpm.w="",_xlpm.v=""),"",_xlpm.v*_xlpm.w)
)</f>
        <v/>
      </c>
      <c r="CZ131" s="93" t="str" cm="1">
        <f t="array" ref="CZ131">_xlfn.LET(
  _xlpm.w, CZ$11,
  _xlpm.r, MATCH(1,('3. Enter Indicator Scores'!$B$10:$B$161=$B131)*('3. Enter Indicator Scores'!$C$10:$C$161=$C131),0),
  _xlpm.c, MATCH(CZ$8,'3. Enter Indicator Scores'!$D$8:$CZ$8,0),
  _xlpm.v, IFERROR(INDEX('3. Enter Indicator Scores'!$D$10:$CZ$161,_xlpm.r,_xlpm.c),""),
  IF(OR(_xlpm.w="",_xlpm.v=""),"",_xlpm.v*_xlpm.w)
)</f>
        <v/>
      </c>
    </row>
    <row r="132" spans="4:104" x14ac:dyDescent="0.2">
      <c r="D132" s="93" t="str" cm="1">
        <f t="array" ref="D132">_xlfn.LET(
  _xlpm.w, D$11,
  _xlpm.r, MATCH(1,('3. Enter Indicator Scores'!$B$10:$B$161=$B132)*('3. Enter Indicator Scores'!$C$10:$C$161=$C132),0),
  _xlpm.c, MATCH(D$8,'3. Enter Indicator Scores'!$D$8:$CZ$8,0),
  _xlpm.v, IFERROR(INDEX('3. Enter Indicator Scores'!$D$10:$CZ$161,_xlpm.r,_xlpm.c),""),
  IF(OR(_xlpm.w="",_xlpm.v=""),"",_xlpm.v*_xlpm.w)
)</f>
        <v/>
      </c>
      <c r="E132" s="93" t="str" cm="1">
        <f t="array" ref="E132">_xlfn.LET(
  _xlpm.w, E$11,
  _xlpm.r, MATCH(1,('3. Enter Indicator Scores'!$B$10:$B$161=$B132)*('3. Enter Indicator Scores'!$C$10:$C$161=$C132),0),
  _xlpm.c, MATCH(E$8,'3. Enter Indicator Scores'!$D$8:$CZ$8,0),
  _xlpm.v, IFERROR(INDEX('3. Enter Indicator Scores'!$D$10:$CZ$161,_xlpm.r,_xlpm.c),""),
  IF(OR(_xlpm.w="",_xlpm.v=""),"",_xlpm.v*_xlpm.w)
)</f>
        <v/>
      </c>
      <c r="F132" s="93" t="str" cm="1">
        <f t="array" ref="F132">_xlfn.LET(
  _xlpm.w, F$11,
  _xlpm.r, MATCH(1,('3. Enter Indicator Scores'!$B$10:$B$161=$B132)*('3. Enter Indicator Scores'!$C$10:$C$161=$C132),0),
  _xlpm.c, MATCH(F$8,'3. Enter Indicator Scores'!$D$8:$CZ$8,0),
  _xlpm.v, IFERROR(INDEX('3. Enter Indicator Scores'!$D$10:$CZ$161,_xlpm.r,_xlpm.c),""),
  IF(OR(_xlpm.w="",_xlpm.v=""),"",_xlpm.v*_xlpm.w)
)</f>
        <v/>
      </c>
      <c r="G132" s="93" t="str" cm="1">
        <f t="array" ref="G132">_xlfn.LET(
  _xlpm.w, G$11,
  _xlpm.r, MATCH(1,('3. Enter Indicator Scores'!$B$10:$B$161=$B132)*('3. Enter Indicator Scores'!$C$10:$C$161=$C132),0),
  _xlpm.c, MATCH(G$8,'3. Enter Indicator Scores'!$D$8:$CZ$8,0),
  _xlpm.v, IFERROR(INDEX('3. Enter Indicator Scores'!$D$10:$CZ$161,_xlpm.r,_xlpm.c),""),
  IF(OR(_xlpm.w="",_xlpm.v=""),"",_xlpm.v*_xlpm.w)
)</f>
        <v/>
      </c>
      <c r="H132" s="93" t="str" cm="1">
        <f t="array" ref="H132">_xlfn.LET(
  _xlpm.w, H$11,
  _xlpm.r, MATCH(1,('3. Enter Indicator Scores'!$B$10:$B$161=$B132)*('3. Enter Indicator Scores'!$C$10:$C$161=$C132),0),
  _xlpm.c, MATCH(H$8,'3. Enter Indicator Scores'!$D$8:$CZ$8,0),
  _xlpm.v, IFERROR(INDEX('3. Enter Indicator Scores'!$D$10:$CZ$161,_xlpm.r,_xlpm.c),""),
  IF(OR(_xlpm.w="",_xlpm.v=""),"",_xlpm.v*_xlpm.w)
)</f>
        <v/>
      </c>
      <c r="I132" s="93" t="str" cm="1">
        <f t="array" ref="I132">_xlfn.LET(
  _xlpm.w, I$11,
  _xlpm.r, MATCH(1,('3. Enter Indicator Scores'!$B$10:$B$161=$B132)*('3. Enter Indicator Scores'!$C$10:$C$161=$C132),0),
  _xlpm.c, MATCH(I$8,'3. Enter Indicator Scores'!$D$8:$CZ$8,0),
  _xlpm.v, IFERROR(INDEX('3. Enter Indicator Scores'!$D$10:$CZ$161,_xlpm.r,_xlpm.c),""),
  IF(OR(_xlpm.w="",_xlpm.v=""),"",_xlpm.v*_xlpm.w)
)</f>
        <v/>
      </c>
      <c r="J132" s="93" t="str" cm="1">
        <f t="array" ref="J132">_xlfn.LET(
  _xlpm.w, J$11,
  _xlpm.r, MATCH(1,('3. Enter Indicator Scores'!$B$10:$B$161=$B132)*('3. Enter Indicator Scores'!$C$10:$C$161=$C132),0),
  _xlpm.c, MATCH(J$8,'3. Enter Indicator Scores'!$D$8:$CZ$8,0),
  _xlpm.v, IFERROR(INDEX('3. Enter Indicator Scores'!$D$10:$CZ$161,_xlpm.r,_xlpm.c),""),
  IF(OR(_xlpm.w="",_xlpm.v=""),"",_xlpm.v*_xlpm.w)
)</f>
        <v/>
      </c>
      <c r="K132" s="93" t="str" cm="1">
        <f t="array" ref="K132">_xlfn.LET(
  _xlpm.w, K$11,
  _xlpm.r, MATCH(1,('3. Enter Indicator Scores'!$B$10:$B$161=$B132)*('3. Enter Indicator Scores'!$C$10:$C$161=$C132),0),
  _xlpm.c, MATCH(K$8,'3. Enter Indicator Scores'!$D$8:$CZ$8,0),
  _xlpm.v, IFERROR(INDEX('3. Enter Indicator Scores'!$D$10:$CZ$161,_xlpm.r,_xlpm.c),""),
  IF(OR(_xlpm.w="",_xlpm.v=""),"",_xlpm.v*_xlpm.w)
)</f>
        <v/>
      </c>
      <c r="L132" s="93" t="str" cm="1">
        <f t="array" ref="L132">_xlfn.LET(
  _xlpm.w, L$11,
  _xlpm.r, MATCH(1,('3. Enter Indicator Scores'!$B$10:$B$161=$B132)*('3. Enter Indicator Scores'!$C$10:$C$161=$C132),0),
  _xlpm.c, MATCH(L$8,'3. Enter Indicator Scores'!$D$8:$CZ$8,0),
  _xlpm.v, IFERROR(INDEX('3. Enter Indicator Scores'!$D$10:$CZ$161,_xlpm.r,_xlpm.c),""),
  IF(OR(_xlpm.w="",_xlpm.v=""),"",_xlpm.v*_xlpm.w)
)</f>
        <v/>
      </c>
      <c r="M132" s="93" t="str" cm="1">
        <f t="array" ref="M132">_xlfn.LET(
  _xlpm.w, M$11,
  _xlpm.r, MATCH(1,('3. Enter Indicator Scores'!$B$10:$B$161=$B132)*('3. Enter Indicator Scores'!$C$10:$C$161=$C132),0),
  _xlpm.c, MATCH(M$8,'3. Enter Indicator Scores'!$D$8:$CZ$8,0),
  _xlpm.v, IFERROR(INDEX('3. Enter Indicator Scores'!$D$10:$CZ$161,_xlpm.r,_xlpm.c),""),
  IF(OR(_xlpm.w="",_xlpm.v=""),"",_xlpm.v*_xlpm.w)
)</f>
        <v/>
      </c>
      <c r="N132" s="93" t="str" cm="1">
        <f t="array" ref="N132">_xlfn.LET(
  _xlpm.w, N$11,
  _xlpm.r, MATCH(1,('3. Enter Indicator Scores'!$B$10:$B$161=$B132)*('3. Enter Indicator Scores'!$C$10:$C$161=$C132),0),
  _xlpm.c, MATCH(N$8,'3. Enter Indicator Scores'!$D$8:$CZ$8,0),
  _xlpm.v, IFERROR(INDEX('3. Enter Indicator Scores'!$D$10:$CZ$161,_xlpm.r,_xlpm.c),""),
  IF(OR(_xlpm.w="",_xlpm.v=""),"",_xlpm.v*_xlpm.w)
)</f>
        <v/>
      </c>
      <c r="O132" s="93" t="str" cm="1">
        <f t="array" ref="O132">_xlfn.LET(
  _xlpm.w, O$11,
  _xlpm.r, MATCH(1,('3. Enter Indicator Scores'!$B$10:$B$161=$B132)*('3. Enter Indicator Scores'!$C$10:$C$161=$C132),0),
  _xlpm.c, MATCH(O$8,'3. Enter Indicator Scores'!$D$8:$CZ$8,0),
  _xlpm.v, IFERROR(INDEX('3. Enter Indicator Scores'!$D$10:$CZ$161,_xlpm.r,_xlpm.c),""),
  IF(OR(_xlpm.w="",_xlpm.v=""),"",_xlpm.v*_xlpm.w)
)</f>
        <v/>
      </c>
      <c r="P132" s="93" t="str" cm="1">
        <f t="array" ref="P132">_xlfn.LET(
  _xlpm.w, P$11,
  _xlpm.r, MATCH(1,('3. Enter Indicator Scores'!$B$10:$B$161=$B132)*('3. Enter Indicator Scores'!$C$10:$C$161=$C132),0),
  _xlpm.c, MATCH(P$8,'3. Enter Indicator Scores'!$D$8:$CZ$8,0),
  _xlpm.v, IFERROR(INDEX('3. Enter Indicator Scores'!$D$10:$CZ$161,_xlpm.r,_xlpm.c),""),
  IF(OR(_xlpm.w="",_xlpm.v=""),"",_xlpm.v*_xlpm.w)
)</f>
        <v/>
      </c>
      <c r="Q132" s="93" t="str" cm="1">
        <f t="array" ref="Q132">_xlfn.LET(
  _xlpm.w, Q$11,
  _xlpm.r, MATCH(1,('3. Enter Indicator Scores'!$B$10:$B$161=$B132)*('3. Enter Indicator Scores'!$C$10:$C$161=$C132),0),
  _xlpm.c, MATCH(Q$8,'3. Enter Indicator Scores'!$D$8:$CZ$8,0),
  _xlpm.v, IFERROR(INDEX('3. Enter Indicator Scores'!$D$10:$CZ$161,_xlpm.r,_xlpm.c),""),
  IF(OR(_xlpm.w="",_xlpm.v=""),"",_xlpm.v*_xlpm.w)
)</f>
        <v/>
      </c>
      <c r="R132" s="93" t="str" cm="1">
        <f t="array" ref="R132">_xlfn.LET(
  _xlpm.w, R$11,
  _xlpm.r, MATCH(1,('3. Enter Indicator Scores'!$B$10:$B$161=$B132)*('3. Enter Indicator Scores'!$C$10:$C$161=$C132),0),
  _xlpm.c, MATCH(R$8,'3. Enter Indicator Scores'!$D$8:$CZ$8,0),
  _xlpm.v, IFERROR(INDEX('3. Enter Indicator Scores'!$D$10:$CZ$161,_xlpm.r,_xlpm.c),""),
  IF(OR(_xlpm.w="",_xlpm.v=""),"",_xlpm.v*_xlpm.w)
)</f>
        <v/>
      </c>
      <c r="S132" s="93" t="str" cm="1">
        <f t="array" ref="S132">_xlfn.LET(
  _xlpm.w, S$11,
  _xlpm.r, MATCH(1,('3. Enter Indicator Scores'!$B$10:$B$161=$B132)*('3. Enter Indicator Scores'!$C$10:$C$161=$C132),0),
  _xlpm.c, MATCH(S$8,'3. Enter Indicator Scores'!$D$8:$CZ$8,0),
  _xlpm.v, IFERROR(INDEX('3. Enter Indicator Scores'!$D$10:$CZ$161,_xlpm.r,_xlpm.c),""),
  IF(OR(_xlpm.w="",_xlpm.v=""),"",_xlpm.v*_xlpm.w)
)</f>
        <v/>
      </c>
      <c r="T132" s="93" t="str" cm="1">
        <f t="array" ref="T132">_xlfn.LET(
  _xlpm.w, T$11,
  _xlpm.r, MATCH(1,('3. Enter Indicator Scores'!$B$10:$B$161=$B132)*('3. Enter Indicator Scores'!$C$10:$C$161=$C132),0),
  _xlpm.c, MATCH(T$8,'3. Enter Indicator Scores'!$D$8:$CZ$8,0),
  _xlpm.v, IFERROR(INDEX('3. Enter Indicator Scores'!$D$10:$CZ$161,_xlpm.r,_xlpm.c),""),
  IF(OR(_xlpm.w="",_xlpm.v=""),"",_xlpm.v*_xlpm.w)
)</f>
        <v/>
      </c>
      <c r="U132" s="93" t="str" cm="1">
        <f t="array" ref="U132">_xlfn.LET(
  _xlpm.w, U$11,
  _xlpm.r, MATCH(1,('3. Enter Indicator Scores'!$B$10:$B$161=$B132)*('3. Enter Indicator Scores'!$C$10:$C$161=$C132),0),
  _xlpm.c, MATCH(U$8,'3. Enter Indicator Scores'!$D$8:$CZ$8,0),
  _xlpm.v, IFERROR(INDEX('3. Enter Indicator Scores'!$D$10:$CZ$161,_xlpm.r,_xlpm.c),""),
  IF(OR(_xlpm.w="",_xlpm.v=""),"",_xlpm.v*_xlpm.w)
)</f>
        <v/>
      </c>
      <c r="V132" s="93" t="str" cm="1">
        <f t="array" ref="V132">_xlfn.LET(
  _xlpm.w, V$11,
  _xlpm.r, MATCH(1,('3. Enter Indicator Scores'!$B$10:$B$161=$B132)*('3. Enter Indicator Scores'!$C$10:$C$161=$C132),0),
  _xlpm.c, MATCH(V$8,'3. Enter Indicator Scores'!$D$8:$CZ$8,0),
  _xlpm.v, IFERROR(INDEX('3. Enter Indicator Scores'!$D$10:$CZ$161,_xlpm.r,_xlpm.c),""),
  IF(OR(_xlpm.w="",_xlpm.v=""),"",_xlpm.v*_xlpm.w)
)</f>
        <v/>
      </c>
      <c r="W132" s="93" t="str" cm="1">
        <f t="array" ref="W132">_xlfn.LET(
  _xlpm.w, W$11,
  _xlpm.r, MATCH(1,('3. Enter Indicator Scores'!$B$10:$B$161=$B132)*('3. Enter Indicator Scores'!$C$10:$C$161=$C132),0),
  _xlpm.c, MATCH(W$8,'3. Enter Indicator Scores'!$D$8:$CZ$8,0),
  _xlpm.v, IFERROR(INDEX('3. Enter Indicator Scores'!$D$10:$CZ$161,_xlpm.r,_xlpm.c),""),
  IF(OR(_xlpm.w="",_xlpm.v=""),"",_xlpm.v*_xlpm.w)
)</f>
        <v/>
      </c>
      <c r="X132" s="93" t="str" cm="1">
        <f t="array" ref="X132">_xlfn.LET(
  _xlpm.w, X$11,
  _xlpm.r, MATCH(1,('3. Enter Indicator Scores'!$B$10:$B$161=$B132)*('3. Enter Indicator Scores'!$C$10:$C$161=$C132),0),
  _xlpm.c, MATCH(X$8,'3. Enter Indicator Scores'!$D$8:$CZ$8,0),
  _xlpm.v, IFERROR(INDEX('3. Enter Indicator Scores'!$D$10:$CZ$161,_xlpm.r,_xlpm.c),""),
  IF(OR(_xlpm.w="",_xlpm.v=""),"",_xlpm.v*_xlpm.w)
)</f>
        <v/>
      </c>
      <c r="Y132" s="93" t="str" cm="1">
        <f t="array" ref="Y132">_xlfn.LET(
  _xlpm.w, Y$11,
  _xlpm.r, MATCH(1,('3. Enter Indicator Scores'!$B$10:$B$161=$B132)*('3. Enter Indicator Scores'!$C$10:$C$161=$C132),0),
  _xlpm.c, MATCH(Y$8,'3. Enter Indicator Scores'!$D$8:$CZ$8,0),
  _xlpm.v, IFERROR(INDEX('3. Enter Indicator Scores'!$D$10:$CZ$161,_xlpm.r,_xlpm.c),""),
  IF(OR(_xlpm.w="",_xlpm.v=""),"",_xlpm.v*_xlpm.w)
)</f>
        <v/>
      </c>
      <c r="Z132" s="93" t="str" cm="1">
        <f t="array" ref="Z132">_xlfn.LET(
  _xlpm.w, Z$11,
  _xlpm.r, MATCH(1,('3. Enter Indicator Scores'!$B$10:$B$161=$B132)*('3. Enter Indicator Scores'!$C$10:$C$161=$C132),0),
  _xlpm.c, MATCH(Z$8,'3. Enter Indicator Scores'!$D$8:$CZ$8,0),
  _xlpm.v, IFERROR(INDEX('3. Enter Indicator Scores'!$D$10:$CZ$161,_xlpm.r,_xlpm.c),""),
  IF(OR(_xlpm.w="",_xlpm.v=""),"",_xlpm.v*_xlpm.w)
)</f>
        <v/>
      </c>
      <c r="AA132" s="93" t="str" cm="1">
        <f t="array" ref="AA132">_xlfn.LET(
  _xlpm.w, AA$11,
  _xlpm.r, MATCH(1,('3. Enter Indicator Scores'!$B$10:$B$161=$B132)*('3. Enter Indicator Scores'!$C$10:$C$161=$C132),0),
  _xlpm.c, MATCH(AA$8,'3. Enter Indicator Scores'!$D$8:$CZ$8,0),
  _xlpm.v, IFERROR(INDEX('3. Enter Indicator Scores'!$D$10:$CZ$161,_xlpm.r,_xlpm.c),""),
  IF(OR(_xlpm.w="",_xlpm.v=""),"",_xlpm.v*_xlpm.w)
)</f>
        <v/>
      </c>
      <c r="AB132" s="93" t="str" cm="1">
        <f t="array" ref="AB132">_xlfn.LET(
  _xlpm.w, AB$11,
  _xlpm.r, MATCH(1,('3. Enter Indicator Scores'!$B$10:$B$161=$B132)*('3. Enter Indicator Scores'!$C$10:$C$161=$C132),0),
  _xlpm.c, MATCH(AB$8,'3. Enter Indicator Scores'!$D$8:$CZ$8,0),
  _xlpm.v, IFERROR(INDEX('3. Enter Indicator Scores'!$D$10:$CZ$161,_xlpm.r,_xlpm.c),""),
  IF(OR(_xlpm.w="",_xlpm.v=""),"",_xlpm.v*_xlpm.w)
)</f>
        <v/>
      </c>
      <c r="AC132" s="93" t="str" cm="1">
        <f t="array" ref="AC132">_xlfn.LET(
  _xlpm.w, AC$11,
  _xlpm.r, MATCH(1,('3. Enter Indicator Scores'!$B$10:$B$161=$B132)*('3. Enter Indicator Scores'!$C$10:$C$161=$C132),0),
  _xlpm.c, MATCH(AC$8,'3. Enter Indicator Scores'!$D$8:$CZ$8,0),
  _xlpm.v, IFERROR(INDEX('3. Enter Indicator Scores'!$D$10:$CZ$161,_xlpm.r,_xlpm.c),""),
  IF(OR(_xlpm.w="",_xlpm.v=""),"",_xlpm.v*_xlpm.w)
)</f>
        <v/>
      </c>
      <c r="AD132" s="93" t="str" cm="1">
        <f t="array" ref="AD132">_xlfn.LET(
  _xlpm.w, AD$11,
  _xlpm.r, MATCH(1,('3. Enter Indicator Scores'!$B$10:$B$161=$B132)*('3. Enter Indicator Scores'!$C$10:$C$161=$C132),0),
  _xlpm.c, MATCH(AD$8,'3. Enter Indicator Scores'!$D$8:$CZ$8,0),
  _xlpm.v, IFERROR(INDEX('3. Enter Indicator Scores'!$D$10:$CZ$161,_xlpm.r,_xlpm.c),""),
  IF(OR(_xlpm.w="",_xlpm.v=""),"",_xlpm.v*_xlpm.w)
)</f>
        <v/>
      </c>
      <c r="AE132" s="93" t="str" cm="1">
        <f t="array" ref="AE132">_xlfn.LET(
  _xlpm.w, AE$11,
  _xlpm.r, MATCH(1,('3. Enter Indicator Scores'!$B$10:$B$161=$B132)*('3. Enter Indicator Scores'!$C$10:$C$161=$C132),0),
  _xlpm.c, MATCH(AE$8,'3. Enter Indicator Scores'!$D$8:$CZ$8,0),
  _xlpm.v, IFERROR(INDEX('3. Enter Indicator Scores'!$D$10:$CZ$161,_xlpm.r,_xlpm.c),""),
  IF(OR(_xlpm.w="",_xlpm.v=""),"",_xlpm.v*_xlpm.w)
)</f>
        <v/>
      </c>
      <c r="AF132" s="93" t="str" cm="1">
        <f t="array" ref="AF132">_xlfn.LET(
  _xlpm.w, AF$11,
  _xlpm.r, MATCH(1,('3. Enter Indicator Scores'!$B$10:$B$161=$B132)*('3. Enter Indicator Scores'!$C$10:$C$161=$C132),0),
  _xlpm.c, MATCH(AF$8,'3. Enter Indicator Scores'!$D$8:$CZ$8,0),
  _xlpm.v, IFERROR(INDEX('3. Enter Indicator Scores'!$D$10:$CZ$161,_xlpm.r,_xlpm.c),""),
  IF(OR(_xlpm.w="",_xlpm.v=""),"",_xlpm.v*_xlpm.w)
)</f>
        <v/>
      </c>
      <c r="AG132" s="93" t="str" cm="1">
        <f t="array" ref="AG132">_xlfn.LET(
  _xlpm.w, AG$11,
  _xlpm.r, MATCH(1,('3. Enter Indicator Scores'!$B$10:$B$161=$B132)*('3. Enter Indicator Scores'!$C$10:$C$161=$C132),0),
  _xlpm.c, MATCH(AG$8,'3. Enter Indicator Scores'!$D$8:$CZ$8,0),
  _xlpm.v, IFERROR(INDEX('3. Enter Indicator Scores'!$D$10:$CZ$161,_xlpm.r,_xlpm.c),""),
  IF(OR(_xlpm.w="",_xlpm.v=""),"",_xlpm.v*_xlpm.w)
)</f>
        <v/>
      </c>
      <c r="AH132" s="93" t="str" cm="1">
        <f t="array" ref="AH132">_xlfn.LET(
  _xlpm.w, AH$11,
  _xlpm.r, MATCH(1,('3. Enter Indicator Scores'!$B$10:$B$161=$B132)*('3. Enter Indicator Scores'!$C$10:$C$161=$C132),0),
  _xlpm.c, MATCH(AH$8,'3. Enter Indicator Scores'!$D$8:$CZ$8,0),
  _xlpm.v, IFERROR(INDEX('3. Enter Indicator Scores'!$D$10:$CZ$161,_xlpm.r,_xlpm.c),""),
  IF(OR(_xlpm.w="",_xlpm.v=""),"",_xlpm.v*_xlpm.w)
)</f>
        <v/>
      </c>
      <c r="AI132" s="93" t="str" cm="1">
        <f t="array" ref="AI132">_xlfn.LET(
  _xlpm.w, AI$11,
  _xlpm.r, MATCH(1,('3. Enter Indicator Scores'!$B$10:$B$161=$B132)*('3. Enter Indicator Scores'!$C$10:$C$161=$C132),0),
  _xlpm.c, MATCH(AI$8,'3. Enter Indicator Scores'!$D$8:$CZ$8,0),
  _xlpm.v, IFERROR(INDEX('3. Enter Indicator Scores'!$D$10:$CZ$161,_xlpm.r,_xlpm.c),""),
  IF(OR(_xlpm.w="",_xlpm.v=""),"",_xlpm.v*_xlpm.w)
)</f>
        <v/>
      </c>
      <c r="AJ132" s="93" t="str" cm="1">
        <f t="array" ref="AJ132">_xlfn.LET(
  _xlpm.w, AJ$11,
  _xlpm.r, MATCH(1,('3. Enter Indicator Scores'!$B$10:$B$161=$B132)*('3. Enter Indicator Scores'!$C$10:$C$161=$C132),0),
  _xlpm.c, MATCH(AJ$8,'3. Enter Indicator Scores'!$D$8:$CZ$8,0),
  _xlpm.v, IFERROR(INDEX('3. Enter Indicator Scores'!$D$10:$CZ$161,_xlpm.r,_xlpm.c),""),
  IF(OR(_xlpm.w="",_xlpm.v=""),"",_xlpm.v*_xlpm.w)
)</f>
        <v/>
      </c>
      <c r="AK132" s="93" t="str" cm="1">
        <f t="array" ref="AK132">_xlfn.LET(
  _xlpm.w, AK$11,
  _xlpm.r, MATCH(1,('3. Enter Indicator Scores'!$B$10:$B$161=$B132)*('3. Enter Indicator Scores'!$C$10:$C$161=$C132),0),
  _xlpm.c, MATCH(AK$8,'3. Enter Indicator Scores'!$D$8:$CZ$8,0),
  _xlpm.v, IFERROR(INDEX('3. Enter Indicator Scores'!$D$10:$CZ$161,_xlpm.r,_xlpm.c),""),
  IF(OR(_xlpm.w="",_xlpm.v=""),"",_xlpm.v*_xlpm.w)
)</f>
        <v/>
      </c>
      <c r="AL132" s="93" t="str" cm="1">
        <f t="array" ref="AL132">_xlfn.LET(
  _xlpm.w, AL$11,
  _xlpm.r, MATCH(1,('3. Enter Indicator Scores'!$B$10:$B$161=$B132)*('3. Enter Indicator Scores'!$C$10:$C$161=$C132),0),
  _xlpm.c, MATCH(AL$8,'3. Enter Indicator Scores'!$D$8:$CZ$8,0),
  _xlpm.v, IFERROR(INDEX('3. Enter Indicator Scores'!$D$10:$CZ$161,_xlpm.r,_xlpm.c),""),
  IF(OR(_xlpm.w="",_xlpm.v=""),"",_xlpm.v*_xlpm.w)
)</f>
        <v/>
      </c>
      <c r="AM132" s="93" t="str" cm="1">
        <f t="array" ref="AM132">_xlfn.LET(
  _xlpm.w, AM$11,
  _xlpm.r, MATCH(1,('3. Enter Indicator Scores'!$B$10:$B$161=$B132)*('3. Enter Indicator Scores'!$C$10:$C$161=$C132),0),
  _xlpm.c, MATCH(AM$8,'3. Enter Indicator Scores'!$D$8:$CZ$8,0),
  _xlpm.v, IFERROR(INDEX('3. Enter Indicator Scores'!$D$10:$CZ$161,_xlpm.r,_xlpm.c),""),
  IF(OR(_xlpm.w="",_xlpm.v=""),"",_xlpm.v*_xlpm.w)
)</f>
        <v/>
      </c>
      <c r="AN132" s="93" t="str" cm="1">
        <f t="array" ref="AN132">_xlfn.LET(
  _xlpm.w, AN$11,
  _xlpm.r, MATCH(1,('3. Enter Indicator Scores'!$B$10:$B$161=$B132)*('3. Enter Indicator Scores'!$C$10:$C$161=$C132),0),
  _xlpm.c, MATCH(AN$8,'3. Enter Indicator Scores'!$D$8:$CZ$8,0),
  _xlpm.v, IFERROR(INDEX('3. Enter Indicator Scores'!$D$10:$CZ$161,_xlpm.r,_xlpm.c),""),
  IF(OR(_xlpm.w="",_xlpm.v=""),"",_xlpm.v*_xlpm.w)
)</f>
        <v/>
      </c>
      <c r="AO132" s="93" t="str" cm="1">
        <f t="array" ref="AO132">_xlfn.LET(
  _xlpm.w, AO$11,
  _xlpm.r, MATCH(1,('3. Enter Indicator Scores'!$B$10:$B$161=$B132)*('3. Enter Indicator Scores'!$C$10:$C$161=$C132),0),
  _xlpm.c, MATCH(AO$8,'3. Enter Indicator Scores'!$D$8:$CZ$8,0),
  _xlpm.v, IFERROR(INDEX('3. Enter Indicator Scores'!$D$10:$CZ$161,_xlpm.r,_xlpm.c),""),
  IF(OR(_xlpm.w="",_xlpm.v=""),"",_xlpm.v*_xlpm.w)
)</f>
        <v/>
      </c>
      <c r="AP132" s="93" t="str" cm="1">
        <f t="array" ref="AP132">_xlfn.LET(
  _xlpm.w, AP$11,
  _xlpm.r, MATCH(1,('3. Enter Indicator Scores'!$B$10:$B$161=$B132)*('3. Enter Indicator Scores'!$C$10:$C$161=$C132),0),
  _xlpm.c, MATCH(AP$8,'3. Enter Indicator Scores'!$D$8:$CZ$8,0),
  _xlpm.v, IFERROR(INDEX('3. Enter Indicator Scores'!$D$10:$CZ$161,_xlpm.r,_xlpm.c),""),
  IF(OR(_xlpm.w="",_xlpm.v=""),"",_xlpm.v*_xlpm.w)
)</f>
        <v/>
      </c>
      <c r="AQ132" s="93" t="str" cm="1">
        <f t="array" ref="AQ132">_xlfn.LET(
  _xlpm.w, AQ$11,
  _xlpm.r, MATCH(1,('3. Enter Indicator Scores'!$B$10:$B$161=$B132)*('3. Enter Indicator Scores'!$C$10:$C$161=$C132),0),
  _xlpm.c, MATCH(AQ$8,'3. Enter Indicator Scores'!$D$8:$CZ$8,0),
  _xlpm.v, IFERROR(INDEX('3. Enter Indicator Scores'!$D$10:$CZ$161,_xlpm.r,_xlpm.c),""),
  IF(OR(_xlpm.w="",_xlpm.v=""),"",_xlpm.v*_xlpm.w)
)</f>
        <v/>
      </c>
      <c r="AR132" s="93" t="str" cm="1">
        <f t="array" ref="AR132">_xlfn.LET(
  _xlpm.w, AR$11,
  _xlpm.r, MATCH(1,('3. Enter Indicator Scores'!$B$10:$B$161=$B132)*('3. Enter Indicator Scores'!$C$10:$C$161=$C132),0),
  _xlpm.c, MATCH(AR$8,'3. Enter Indicator Scores'!$D$8:$CZ$8,0),
  _xlpm.v, IFERROR(INDEX('3. Enter Indicator Scores'!$D$10:$CZ$161,_xlpm.r,_xlpm.c),""),
  IF(OR(_xlpm.w="",_xlpm.v=""),"",_xlpm.v*_xlpm.w)
)</f>
        <v/>
      </c>
      <c r="AS132" s="93" t="str" cm="1">
        <f t="array" ref="AS132">_xlfn.LET(
  _xlpm.w, AS$11,
  _xlpm.r, MATCH(1,('3. Enter Indicator Scores'!$B$10:$B$161=$B132)*('3. Enter Indicator Scores'!$C$10:$C$161=$C132),0),
  _xlpm.c, MATCH(AS$8,'3. Enter Indicator Scores'!$D$8:$CZ$8,0),
  _xlpm.v, IFERROR(INDEX('3. Enter Indicator Scores'!$D$10:$CZ$161,_xlpm.r,_xlpm.c),""),
  IF(OR(_xlpm.w="",_xlpm.v=""),"",_xlpm.v*_xlpm.w)
)</f>
        <v/>
      </c>
      <c r="AT132" s="93" t="str" cm="1">
        <f t="array" ref="AT132">_xlfn.LET(
  _xlpm.w, AT$11,
  _xlpm.r, MATCH(1,('3. Enter Indicator Scores'!$B$10:$B$161=$B132)*('3. Enter Indicator Scores'!$C$10:$C$161=$C132),0),
  _xlpm.c, MATCH(AT$8,'3. Enter Indicator Scores'!$D$8:$CZ$8,0),
  _xlpm.v, IFERROR(INDEX('3. Enter Indicator Scores'!$D$10:$CZ$161,_xlpm.r,_xlpm.c),""),
  IF(OR(_xlpm.w="",_xlpm.v=""),"",_xlpm.v*_xlpm.w)
)</f>
        <v/>
      </c>
      <c r="AU132" s="93" t="str" cm="1">
        <f t="array" ref="AU132">_xlfn.LET(
  _xlpm.w, AU$11,
  _xlpm.r, MATCH(1,('3. Enter Indicator Scores'!$B$10:$B$161=$B132)*('3. Enter Indicator Scores'!$C$10:$C$161=$C132),0),
  _xlpm.c, MATCH(AU$8,'3. Enter Indicator Scores'!$D$8:$CZ$8,0),
  _xlpm.v, IFERROR(INDEX('3. Enter Indicator Scores'!$D$10:$CZ$161,_xlpm.r,_xlpm.c),""),
  IF(OR(_xlpm.w="",_xlpm.v=""),"",_xlpm.v*_xlpm.w)
)</f>
        <v/>
      </c>
      <c r="AV132" s="93" t="str" cm="1">
        <f t="array" ref="AV132">_xlfn.LET(
  _xlpm.w, AV$11,
  _xlpm.r, MATCH(1,('3. Enter Indicator Scores'!$B$10:$B$161=$B132)*('3. Enter Indicator Scores'!$C$10:$C$161=$C132),0),
  _xlpm.c, MATCH(AV$8,'3. Enter Indicator Scores'!$D$8:$CZ$8,0),
  _xlpm.v, IFERROR(INDEX('3. Enter Indicator Scores'!$D$10:$CZ$161,_xlpm.r,_xlpm.c),""),
  IF(OR(_xlpm.w="",_xlpm.v=""),"",_xlpm.v*_xlpm.w)
)</f>
        <v/>
      </c>
      <c r="AW132" s="93" t="str" cm="1">
        <f t="array" ref="AW132">_xlfn.LET(
  _xlpm.w, AW$11,
  _xlpm.r, MATCH(1,('3. Enter Indicator Scores'!$B$10:$B$161=$B132)*('3. Enter Indicator Scores'!$C$10:$C$161=$C132),0),
  _xlpm.c, MATCH(AW$8,'3. Enter Indicator Scores'!$D$8:$CZ$8,0),
  _xlpm.v, IFERROR(INDEX('3. Enter Indicator Scores'!$D$10:$CZ$161,_xlpm.r,_xlpm.c),""),
  IF(OR(_xlpm.w="",_xlpm.v=""),"",_xlpm.v*_xlpm.w)
)</f>
        <v/>
      </c>
      <c r="AX132" s="93" t="str" cm="1">
        <f t="array" ref="AX132">_xlfn.LET(
  _xlpm.w, AX$11,
  _xlpm.r, MATCH(1,('3. Enter Indicator Scores'!$B$10:$B$161=$B132)*('3. Enter Indicator Scores'!$C$10:$C$161=$C132),0),
  _xlpm.c, MATCH(AX$8,'3. Enter Indicator Scores'!$D$8:$CZ$8,0),
  _xlpm.v, IFERROR(INDEX('3. Enter Indicator Scores'!$D$10:$CZ$161,_xlpm.r,_xlpm.c),""),
  IF(OR(_xlpm.w="",_xlpm.v=""),"",_xlpm.v*_xlpm.w)
)</f>
        <v/>
      </c>
      <c r="AY132" s="93" t="str" cm="1">
        <f t="array" ref="AY132">_xlfn.LET(
  _xlpm.w, AY$11,
  _xlpm.r, MATCH(1,('3. Enter Indicator Scores'!$B$10:$B$161=$B132)*('3. Enter Indicator Scores'!$C$10:$C$161=$C132),0),
  _xlpm.c, MATCH(AY$8,'3. Enter Indicator Scores'!$D$8:$CZ$8,0),
  _xlpm.v, IFERROR(INDEX('3. Enter Indicator Scores'!$D$10:$CZ$161,_xlpm.r,_xlpm.c),""),
  IF(OR(_xlpm.w="",_xlpm.v=""),"",_xlpm.v*_xlpm.w)
)</f>
        <v/>
      </c>
      <c r="AZ132" s="93" t="str" cm="1">
        <f t="array" ref="AZ132">_xlfn.LET(
  _xlpm.w, AZ$11,
  _xlpm.r, MATCH(1,('3. Enter Indicator Scores'!$B$10:$B$161=$B132)*('3. Enter Indicator Scores'!$C$10:$C$161=$C132),0),
  _xlpm.c, MATCH(AZ$8,'3. Enter Indicator Scores'!$D$8:$CZ$8,0),
  _xlpm.v, IFERROR(INDEX('3. Enter Indicator Scores'!$D$10:$CZ$161,_xlpm.r,_xlpm.c),""),
  IF(OR(_xlpm.w="",_xlpm.v=""),"",_xlpm.v*_xlpm.w)
)</f>
        <v/>
      </c>
      <c r="BA132" s="93" t="str" cm="1">
        <f t="array" ref="BA132">_xlfn.LET(
  _xlpm.w, BA$11,
  _xlpm.r, MATCH(1,('3. Enter Indicator Scores'!$B$10:$B$161=$B132)*('3. Enter Indicator Scores'!$C$10:$C$161=$C132),0),
  _xlpm.c, MATCH(BA$8,'3. Enter Indicator Scores'!$D$8:$CZ$8,0),
  _xlpm.v, IFERROR(INDEX('3. Enter Indicator Scores'!$D$10:$CZ$161,_xlpm.r,_xlpm.c),""),
  IF(OR(_xlpm.w="",_xlpm.v=""),"",_xlpm.v*_xlpm.w)
)</f>
        <v/>
      </c>
      <c r="BB132" s="93" t="str" cm="1">
        <f t="array" ref="BB132">_xlfn.LET(
  _xlpm.w, BB$11,
  _xlpm.r, MATCH(1,('3. Enter Indicator Scores'!$B$10:$B$161=$B132)*('3. Enter Indicator Scores'!$C$10:$C$161=$C132),0),
  _xlpm.c, MATCH(BB$8,'3. Enter Indicator Scores'!$D$8:$CZ$8,0),
  _xlpm.v, IFERROR(INDEX('3. Enter Indicator Scores'!$D$10:$CZ$161,_xlpm.r,_xlpm.c),""),
  IF(OR(_xlpm.w="",_xlpm.v=""),"",_xlpm.v*_xlpm.w)
)</f>
        <v/>
      </c>
      <c r="BC132" s="93" t="str" cm="1">
        <f t="array" ref="BC132">_xlfn.LET(
  _xlpm.w, BC$11,
  _xlpm.r, MATCH(1,('3. Enter Indicator Scores'!$B$10:$B$161=$B132)*('3. Enter Indicator Scores'!$C$10:$C$161=$C132),0),
  _xlpm.c, MATCH(BC$8,'3. Enter Indicator Scores'!$D$8:$CZ$8,0),
  _xlpm.v, IFERROR(INDEX('3. Enter Indicator Scores'!$D$10:$CZ$161,_xlpm.r,_xlpm.c),""),
  IF(OR(_xlpm.w="",_xlpm.v=""),"",_xlpm.v*_xlpm.w)
)</f>
        <v/>
      </c>
      <c r="BD132" s="93" t="str" cm="1">
        <f t="array" ref="BD132">_xlfn.LET(
  _xlpm.w, BD$11,
  _xlpm.r, MATCH(1,('3. Enter Indicator Scores'!$B$10:$B$161=$B132)*('3. Enter Indicator Scores'!$C$10:$C$161=$C132),0),
  _xlpm.c, MATCH(BD$8,'3. Enter Indicator Scores'!$D$8:$CZ$8,0),
  _xlpm.v, IFERROR(INDEX('3. Enter Indicator Scores'!$D$10:$CZ$161,_xlpm.r,_xlpm.c),""),
  IF(OR(_xlpm.w="",_xlpm.v=""),"",_xlpm.v*_xlpm.w)
)</f>
        <v/>
      </c>
      <c r="BE132" s="93" t="str" cm="1">
        <f t="array" ref="BE132">_xlfn.LET(
  _xlpm.w, BE$11,
  _xlpm.r, MATCH(1,('3. Enter Indicator Scores'!$B$10:$B$161=$B132)*('3. Enter Indicator Scores'!$C$10:$C$161=$C132),0),
  _xlpm.c, MATCH(BE$8,'3. Enter Indicator Scores'!$D$8:$CZ$8,0),
  _xlpm.v, IFERROR(INDEX('3. Enter Indicator Scores'!$D$10:$CZ$161,_xlpm.r,_xlpm.c),""),
  IF(OR(_xlpm.w="",_xlpm.v=""),"",_xlpm.v*_xlpm.w)
)</f>
        <v/>
      </c>
      <c r="BF132" s="93" t="str" cm="1">
        <f t="array" ref="BF132">_xlfn.LET(
  _xlpm.w, BF$11,
  _xlpm.r, MATCH(1,('3. Enter Indicator Scores'!$B$10:$B$161=$B132)*('3. Enter Indicator Scores'!$C$10:$C$161=$C132),0),
  _xlpm.c, MATCH(BF$8,'3. Enter Indicator Scores'!$D$8:$CZ$8,0),
  _xlpm.v, IFERROR(INDEX('3. Enter Indicator Scores'!$D$10:$CZ$161,_xlpm.r,_xlpm.c),""),
  IF(OR(_xlpm.w="",_xlpm.v=""),"",_xlpm.v*_xlpm.w)
)</f>
        <v/>
      </c>
      <c r="BG132" s="93" t="str" cm="1">
        <f t="array" ref="BG132">_xlfn.LET(
  _xlpm.w, BG$11,
  _xlpm.r, MATCH(1,('3. Enter Indicator Scores'!$B$10:$B$161=$B132)*('3. Enter Indicator Scores'!$C$10:$C$161=$C132),0),
  _xlpm.c, MATCH(BG$8,'3. Enter Indicator Scores'!$D$8:$CZ$8,0),
  _xlpm.v, IFERROR(INDEX('3. Enter Indicator Scores'!$D$10:$CZ$161,_xlpm.r,_xlpm.c),""),
  IF(OR(_xlpm.w="",_xlpm.v=""),"",_xlpm.v*_xlpm.w)
)</f>
        <v/>
      </c>
      <c r="BH132" s="93" t="str" cm="1">
        <f t="array" ref="BH132">_xlfn.LET(
  _xlpm.w, BH$11,
  _xlpm.r, MATCH(1,('3. Enter Indicator Scores'!$B$10:$B$161=$B132)*('3. Enter Indicator Scores'!$C$10:$C$161=$C132),0),
  _xlpm.c, MATCH(BH$8,'3. Enter Indicator Scores'!$D$8:$CZ$8,0),
  _xlpm.v, IFERROR(INDEX('3. Enter Indicator Scores'!$D$10:$CZ$161,_xlpm.r,_xlpm.c),""),
  IF(OR(_xlpm.w="",_xlpm.v=""),"",_xlpm.v*_xlpm.w)
)</f>
        <v/>
      </c>
      <c r="BI132" s="93" t="str" cm="1">
        <f t="array" ref="BI132">_xlfn.LET(
  _xlpm.w, BI$11,
  _xlpm.r, MATCH(1,('3. Enter Indicator Scores'!$B$10:$B$161=$B132)*('3. Enter Indicator Scores'!$C$10:$C$161=$C132),0),
  _xlpm.c, MATCH(BI$8,'3. Enter Indicator Scores'!$D$8:$CZ$8,0),
  _xlpm.v, IFERROR(INDEX('3. Enter Indicator Scores'!$D$10:$CZ$161,_xlpm.r,_xlpm.c),""),
  IF(OR(_xlpm.w="",_xlpm.v=""),"",_xlpm.v*_xlpm.w)
)</f>
        <v/>
      </c>
      <c r="BJ132" s="93" t="str" cm="1">
        <f t="array" ref="BJ132">_xlfn.LET(
  _xlpm.w, BJ$11,
  _xlpm.r, MATCH(1,('3. Enter Indicator Scores'!$B$10:$B$161=$B132)*('3. Enter Indicator Scores'!$C$10:$C$161=$C132),0),
  _xlpm.c, MATCH(BJ$8,'3. Enter Indicator Scores'!$D$8:$CZ$8,0),
  _xlpm.v, IFERROR(INDEX('3. Enter Indicator Scores'!$D$10:$CZ$161,_xlpm.r,_xlpm.c),""),
  IF(OR(_xlpm.w="",_xlpm.v=""),"",_xlpm.v*_xlpm.w)
)</f>
        <v/>
      </c>
      <c r="BK132" s="93" t="str" cm="1">
        <f t="array" ref="BK132">_xlfn.LET(
  _xlpm.w, BK$11,
  _xlpm.r, MATCH(1,('3. Enter Indicator Scores'!$B$10:$B$161=$B132)*('3. Enter Indicator Scores'!$C$10:$C$161=$C132),0),
  _xlpm.c, MATCH(BK$8,'3. Enter Indicator Scores'!$D$8:$CZ$8,0),
  _xlpm.v, IFERROR(INDEX('3. Enter Indicator Scores'!$D$10:$CZ$161,_xlpm.r,_xlpm.c),""),
  IF(OR(_xlpm.w="",_xlpm.v=""),"",_xlpm.v*_xlpm.w)
)</f>
        <v/>
      </c>
      <c r="BL132" s="93" t="str" cm="1">
        <f t="array" ref="BL132">_xlfn.LET(
  _xlpm.w, BL$11,
  _xlpm.r, MATCH(1,('3. Enter Indicator Scores'!$B$10:$B$161=$B132)*('3. Enter Indicator Scores'!$C$10:$C$161=$C132),0),
  _xlpm.c, MATCH(BL$8,'3. Enter Indicator Scores'!$D$8:$CZ$8,0),
  _xlpm.v, IFERROR(INDEX('3. Enter Indicator Scores'!$D$10:$CZ$161,_xlpm.r,_xlpm.c),""),
  IF(OR(_xlpm.w="",_xlpm.v=""),"",_xlpm.v*_xlpm.w)
)</f>
        <v/>
      </c>
      <c r="BM132" s="93" t="str" cm="1">
        <f t="array" ref="BM132">_xlfn.LET(
  _xlpm.w, BM$11,
  _xlpm.r, MATCH(1,('3. Enter Indicator Scores'!$B$10:$B$161=$B132)*('3. Enter Indicator Scores'!$C$10:$C$161=$C132),0),
  _xlpm.c, MATCH(BM$8,'3. Enter Indicator Scores'!$D$8:$CZ$8,0),
  _xlpm.v, IFERROR(INDEX('3. Enter Indicator Scores'!$D$10:$CZ$161,_xlpm.r,_xlpm.c),""),
  IF(OR(_xlpm.w="",_xlpm.v=""),"",_xlpm.v*_xlpm.w)
)</f>
        <v/>
      </c>
      <c r="BN132" s="93" t="str" cm="1">
        <f t="array" ref="BN132">_xlfn.LET(
  _xlpm.w, BN$11,
  _xlpm.r, MATCH(1,('3. Enter Indicator Scores'!$B$10:$B$161=$B132)*('3. Enter Indicator Scores'!$C$10:$C$161=$C132),0),
  _xlpm.c, MATCH(BN$8,'3. Enter Indicator Scores'!$D$8:$CZ$8,0),
  _xlpm.v, IFERROR(INDEX('3. Enter Indicator Scores'!$D$10:$CZ$161,_xlpm.r,_xlpm.c),""),
  IF(OR(_xlpm.w="",_xlpm.v=""),"",_xlpm.v*_xlpm.w)
)</f>
        <v/>
      </c>
      <c r="BO132" s="93" t="str" cm="1">
        <f t="array" ref="BO132">_xlfn.LET(
  _xlpm.w, BO$11,
  _xlpm.r, MATCH(1,('3. Enter Indicator Scores'!$B$10:$B$161=$B132)*('3. Enter Indicator Scores'!$C$10:$C$161=$C132),0),
  _xlpm.c, MATCH(BO$8,'3. Enter Indicator Scores'!$D$8:$CZ$8,0),
  _xlpm.v, IFERROR(INDEX('3. Enter Indicator Scores'!$D$10:$CZ$161,_xlpm.r,_xlpm.c),""),
  IF(OR(_xlpm.w="",_xlpm.v=""),"",_xlpm.v*_xlpm.w)
)</f>
        <v/>
      </c>
      <c r="BP132" s="93" t="str" cm="1">
        <f t="array" ref="BP132">_xlfn.LET(
  _xlpm.w, BP$11,
  _xlpm.r, MATCH(1,('3. Enter Indicator Scores'!$B$10:$B$161=$B132)*('3. Enter Indicator Scores'!$C$10:$C$161=$C132),0),
  _xlpm.c, MATCH(BP$8,'3. Enter Indicator Scores'!$D$8:$CZ$8,0),
  _xlpm.v, IFERROR(INDEX('3. Enter Indicator Scores'!$D$10:$CZ$161,_xlpm.r,_xlpm.c),""),
  IF(OR(_xlpm.w="",_xlpm.v=""),"",_xlpm.v*_xlpm.w)
)</f>
        <v/>
      </c>
      <c r="BQ132" s="93" t="str" cm="1">
        <f t="array" ref="BQ132">_xlfn.LET(
  _xlpm.w, BQ$11,
  _xlpm.r, MATCH(1,('3. Enter Indicator Scores'!$B$10:$B$161=$B132)*('3. Enter Indicator Scores'!$C$10:$C$161=$C132),0),
  _xlpm.c, MATCH(BQ$8,'3. Enter Indicator Scores'!$D$8:$CZ$8,0),
  _xlpm.v, IFERROR(INDEX('3. Enter Indicator Scores'!$D$10:$CZ$161,_xlpm.r,_xlpm.c),""),
  IF(OR(_xlpm.w="",_xlpm.v=""),"",_xlpm.v*_xlpm.w)
)</f>
        <v/>
      </c>
      <c r="BR132" s="93" t="str" cm="1">
        <f t="array" ref="BR132">_xlfn.LET(
  _xlpm.w, BR$11,
  _xlpm.r, MATCH(1,('3. Enter Indicator Scores'!$B$10:$B$161=$B132)*('3. Enter Indicator Scores'!$C$10:$C$161=$C132),0),
  _xlpm.c, MATCH(BR$8,'3. Enter Indicator Scores'!$D$8:$CZ$8,0),
  _xlpm.v, IFERROR(INDEX('3. Enter Indicator Scores'!$D$10:$CZ$161,_xlpm.r,_xlpm.c),""),
  IF(OR(_xlpm.w="",_xlpm.v=""),"",_xlpm.v*_xlpm.w)
)</f>
        <v/>
      </c>
      <c r="BS132" s="93" t="str" cm="1">
        <f t="array" ref="BS132">_xlfn.LET(
  _xlpm.w, BS$11,
  _xlpm.r, MATCH(1,('3. Enter Indicator Scores'!$B$10:$B$161=$B132)*('3. Enter Indicator Scores'!$C$10:$C$161=$C132),0),
  _xlpm.c, MATCH(BS$8,'3. Enter Indicator Scores'!$D$8:$CZ$8,0),
  _xlpm.v, IFERROR(INDEX('3. Enter Indicator Scores'!$D$10:$CZ$161,_xlpm.r,_xlpm.c),""),
  IF(OR(_xlpm.w="",_xlpm.v=""),"",_xlpm.v*_xlpm.w)
)</f>
        <v/>
      </c>
      <c r="BT132" s="93" t="str" cm="1">
        <f t="array" ref="BT132">_xlfn.LET(
  _xlpm.w, BT$11,
  _xlpm.r, MATCH(1,('3. Enter Indicator Scores'!$B$10:$B$161=$B132)*('3. Enter Indicator Scores'!$C$10:$C$161=$C132),0),
  _xlpm.c, MATCH(BT$8,'3. Enter Indicator Scores'!$D$8:$CZ$8,0),
  _xlpm.v, IFERROR(INDEX('3. Enter Indicator Scores'!$D$10:$CZ$161,_xlpm.r,_xlpm.c),""),
  IF(OR(_xlpm.w="",_xlpm.v=""),"",_xlpm.v*_xlpm.w)
)</f>
        <v/>
      </c>
      <c r="BU132" s="93" t="str" cm="1">
        <f t="array" ref="BU132">_xlfn.LET(
  _xlpm.w, BU$11,
  _xlpm.r, MATCH(1,('3. Enter Indicator Scores'!$B$10:$B$161=$B132)*('3. Enter Indicator Scores'!$C$10:$C$161=$C132),0),
  _xlpm.c, MATCH(BU$8,'3. Enter Indicator Scores'!$D$8:$CZ$8,0),
  _xlpm.v, IFERROR(INDEX('3. Enter Indicator Scores'!$D$10:$CZ$161,_xlpm.r,_xlpm.c),""),
  IF(OR(_xlpm.w="",_xlpm.v=""),"",_xlpm.v*_xlpm.w)
)</f>
        <v/>
      </c>
      <c r="BV132" s="93" t="str" cm="1">
        <f t="array" ref="BV132">_xlfn.LET(
  _xlpm.w, BV$11,
  _xlpm.r, MATCH(1,('3. Enter Indicator Scores'!$B$10:$B$161=$B132)*('3. Enter Indicator Scores'!$C$10:$C$161=$C132),0),
  _xlpm.c, MATCH(BV$8,'3. Enter Indicator Scores'!$D$8:$CZ$8,0),
  _xlpm.v, IFERROR(INDEX('3. Enter Indicator Scores'!$D$10:$CZ$161,_xlpm.r,_xlpm.c),""),
  IF(OR(_xlpm.w="",_xlpm.v=""),"",_xlpm.v*_xlpm.w)
)</f>
        <v/>
      </c>
      <c r="BW132" s="93" t="str" cm="1">
        <f t="array" ref="BW132">_xlfn.LET(
  _xlpm.w, BW$11,
  _xlpm.r, MATCH(1,('3. Enter Indicator Scores'!$B$10:$B$161=$B132)*('3. Enter Indicator Scores'!$C$10:$C$161=$C132),0),
  _xlpm.c, MATCH(BW$8,'3. Enter Indicator Scores'!$D$8:$CZ$8,0),
  _xlpm.v, IFERROR(INDEX('3. Enter Indicator Scores'!$D$10:$CZ$161,_xlpm.r,_xlpm.c),""),
  IF(OR(_xlpm.w="",_xlpm.v=""),"",_xlpm.v*_xlpm.w)
)</f>
        <v/>
      </c>
      <c r="BX132" s="93" t="str" cm="1">
        <f t="array" ref="BX132">_xlfn.LET(
  _xlpm.w, BX$11,
  _xlpm.r, MATCH(1,('3. Enter Indicator Scores'!$B$10:$B$161=$B132)*('3. Enter Indicator Scores'!$C$10:$C$161=$C132),0),
  _xlpm.c, MATCH(BX$8,'3. Enter Indicator Scores'!$D$8:$CZ$8,0),
  _xlpm.v, IFERROR(INDEX('3. Enter Indicator Scores'!$D$10:$CZ$161,_xlpm.r,_xlpm.c),""),
  IF(OR(_xlpm.w="",_xlpm.v=""),"",_xlpm.v*_xlpm.w)
)</f>
        <v/>
      </c>
      <c r="BY132" s="93" t="str" cm="1">
        <f t="array" ref="BY132">_xlfn.LET(
  _xlpm.w, BY$11,
  _xlpm.r, MATCH(1,('3. Enter Indicator Scores'!$B$10:$B$161=$B132)*('3. Enter Indicator Scores'!$C$10:$C$161=$C132),0),
  _xlpm.c, MATCH(BY$8,'3. Enter Indicator Scores'!$D$8:$CZ$8,0),
  _xlpm.v, IFERROR(INDEX('3. Enter Indicator Scores'!$D$10:$CZ$161,_xlpm.r,_xlpm.c),""),
  IF(OR(_xlpm.w="",_xlpm.v=""),"",_xlpm.v*_xlpm.w)
)</f>
        <v/>
      </c>
      <c r="BZ132" s="93" t="str" cm="1">
        <f t="array" ref="BZ132">_xlfn.LET(
  _xlpm.w, BZ$11,
  _xlpm.r, MATCH(1,('3. Enter Indicator Scores'!$B$10:$B$161=$B132)*('3. Enter Indicator Scores'!$C$10:$C$161=$C132),0),
  _xlpm.c, MATCH(BZ$8,'3. Enter Indicator Scores'!$D$8:$CZ$8,0),
  _xlpm.v, IFERROR(INDEX('3. Enter Indicator Scores'!$D$10:$CZ$161,_xlpm.r,_xlpm.c),""),
  IF(OR(_xlpm.w="",_xlpm.v=""),"",_xlpm.v*_xlpm.w)
)</f>
        <v/>
      </c>
      <c r="CA132" s="93" t="str" cm="1">
        <f t="array" ref="CA132">_xlfn.LET(
  _xlpm.w, CA$11,
  _xlpm.r, MATCH(1,('3. Enter Indicator Scores'!$B$10:$B$161=$B132)*('3. Enter Indicator Scores'!$C$10:$C$161=$C132),0),
  _xlpm.c, MATCH(CA$8,'3. Enter Indicator Scores'!$D$8:$CZ$8,0),
  _xlpm.v, IFERROR(INDEX('3. Enter Indicator Scores'!$D$10:$CZ$161,_xlpm.r,_xlpm.c),""),
  IF(OR(_xlpm.w="",_xlpm.v=""),"",_xlpm.v*_xlpm.w)
)</f>
        <v/>
      </c>
      <c r="CB132" s="93" t="str" cm="1">
        <f t="array" ref="CB132">_xlfn.LET(
  _xlpm.w, CB$11,
  _xlpm.r, MATCH(1,('3. Enter Indicator Scores'!$B$10:$B$161=$B132)*('3. Enter Indicator Scores'!$C$10:$C$161=$C132),0),
  _xlpm.c, MATCH(CB$8,'3. Enter Indicator Scores'!$D$8:$CZ$8,0),
  _xlpm.v, IFERROR(INDEX('3. Enter Indicator Scores'!$D$10:$CZ$161,_xlpm.r,_xlpm.c),""),
  IF(OR(_xlpm.w="",_xlpm.v=""),"",_xlpm.v*_xlpm.w)
)</f>
        <v/>
      </c>
      <c r="CC132" s="93" t="str" cm="1">
        <f t="array" ref="CC132">_xlfn.LET(
  _xlpm.w, CC$11,
  _xlpm.r, MATCH(1,('3. Enter Indicator Scores'!$B$10:$B$161=$B132)*('3. Enter Indicator Scores'!$C$10:$C$161=$C132),0),
  _xlpm.c, MATCH(CC$8,'3. Enter Indicator Scores'!$D$8:$CZ$8,0),
  _xlpm.v, IFERROR(INDEX('3. Enter Indicator Scores'!$D$10:$CZ$161,_xlpm.r,_xlpm.c),""),
  IF(OR(_xlpm.w="",_xlpm.v=""),"",_xlpm.v*_xlpm.w)
)</f>
        <v/>
      </c>
      <c r="CD132" s="93" t="str" cm="1">
        <f t="array" ref="CD132">_xlfn.LET(
  _xlpm.w, CD$11,
  _xlpm.r, MATCH(1,('3. Enter Indicator Scores'!$B$10:$B$161=$B132)*('3. Enter Indicator Scores'!$C$10:$C$161=$C132),0),
  _xlpm.c, MATCH(CD$8,'3. Enter Indicator Scores'!$D$8:$CZ$8,0),
  _xlpm.v, IFERROR(INDEX('3. Enter Indicator Scores'!$D$10:$CZ$161,_xlpm.r,_xlpm.c),""),
  IF(OR(_xlpm.w="",_xlpm.v=""),"",_xlpm.v*_xlpm.w)
)</f>
        <v/>
      </c>
      <c r="CE132" s="93" t="str" cm="1">
        <f t="array" ref="CE132">_xlfn.LET(
  _xlpm.w, CE$11,
  _xlpm.r, MATCH(1,('3. Enter Indicator Scores'!$B$10:$B$161=$B132)*('3. Enter Indicator Scores'!$C$10:$C$161=$C132),0),
  _xlpm.c, MATCH(CE$8,'3. Enter Indicator Scores'!$D$8:$CZ$8,0),
  _xlpm.v, IFERROR(INDEX('3. Enter Indicator Scores'!$D$10:$CZ$161,_xlpm.r,_xlpm.c),""),
  IF(OR(_xlpm.w="",_xlpm.v=""),"",_xlpm.v*_xlpm.w)
)</f>
        <v/>
      </c>
      <c r="CF132" s="93" t="str" cm="1">
        <f t="array" ref="CF132">_xlfn.LET(
  _xlpm.w, CF$11,
  _xlpm.r, MATCH(1,('3. Enter Indicator Scores'!$B$10:$B$161=$B132)*('3. Enter Indicator Scores'!$C$10:$C$161=$C132),0),
  _xlpm.c, MATCH(CF$8,'3. Enter Indicator Scores'!$D$8:$CZ$8,0),
  _xlpm.v, IFERROR(INDEX('3. Enter Indicator Scores'!$D$10:$CZ$161,_xlpm.r,_xlpm.c),""),
  IF(OR(_xlpm.w="",_xlpm.v=""),"",_xlpm.v*_xlpm.w)
)</f>
        <v/>
      </c>
      <c r="CG132" s="93" t="str" cm="1">
        <f t="array" ref="CG132">_xlfn.LET(
  _xlpm.w, CG$11,
  _xlpm.r, MATCH(1,('3. Enter Indicator Scores'!$B$10:$B$161=$B132)*('3. Enter Indicator Scores'!$C$10:$C$161=$C132),0),
  _xlpm.c, MATCH(CG$8,'3. Enter Indicator Scores'!$D$8:$CZ$8,0),
  _xlpm.v, IFERROR(INDEX('3. Enter Indicator Scores'!$D$10:$CZ$161,_xlpm.r,_xlpm.c),""),
  IF(OR(_xlpm.w="",_xlpm.v=""),"",_xlpm.v*_xlpm.w)
)</f>
        <v/>
      </c>
      <c r="CH132" s="93" t="str" cm="1">
        <f t="array" ref="CH132">_xlfn.LET(
  _xlpm.w, CH$11,
  _xlpm.r, MATCH(1,('3. Enter Indicator Scores'!$B$10:$B$161=$B132)*('3. Enter Indicator Scores'!$C$10:$C$161=$C132),0),
  _xlpm.c, MATCH(CH$8,'3. Enter Indicator Scores'!$D$8:$CZ$8,0),
  _xlpm.v, IFERROR(INDEX('3. Enter Indicator Scores'!$D$10:$CZ$161,_xlpm.r,_xlpm.c),""),
  IF(OR(_xlpm.w="",_xlpm.v=""),"",_xlpm.v*_xlpm.w)
)</f>
        <v/>
      </c>
      <c r="CI132" s="93" t="str" cm="1">
        <f t="array" ref="CI132">_xlfn.LET(
  _xlpm.w, CI$11,
  _xlpm.r, MATCH(1,('3. Enter Indicator Scores'!$B$10:$B$161=$B132)*('3. Enter Indicator Scores'!$C$10:$C$161=$C132),0),
  _xlpm.c, MATCH(CI$8,'3. Enter Indicator Scores'!$D$8:$CZ$8,0),
  _xlpm.v, IFERROR(INDEX('3. Enter Indicator Scores'!$D$10:$CZ$161,_xlpm.r,_xlpm.c),""),
  IF(OR(_xlpm.w="",_xlpm.v=""),"",_xlpm.v*_xlpm.w)
)</f>
        <v/>
      </c>
      <c r="CJ132" s="93" t="str" cm="1">
        <f t="array" ref="CJ132">_xlfn.LET(
  _xlpm.w, CJ$11,
  _xlpm.r, MATCH(1,('3. Enter Indicator Scores'!$B$10:$B$161=$B132)*('3. Enter Indicator Scores'!$C$10:$C$161=$C132),0),
  _xlpm.c, MATCH(CJ$8,'3. Enter Indicator Scores'!$D$8:$CZ$8,0),
  _xlpm.v, IFERROR(INDEX('3. Enter Indicator Scores'!$D$10:$CZ$161,_xlpm.r,_xlpm.c),""),
  IF(OR(_xlpm.w="",_xlpm.v=""),"",_xlpm.v*_xlpm.w)
)</f>
        <v/>
      </c>
      <c r="CK132" s="93" t="str" cm="1">
        <f t="array" ref="CK132">_xlfn.LET(
  _xlpm.w, CK$11,
  _xlpm.r, MATCH(1,('3. Enter Indicator Scores'!$B$10:$B$161=$B132)*('3. Enter Indicator Scores'!$C$10:$C$161=$C132),0),
  _xlpm.c, MATCH(CK$8,'3. Enter Indicator Scores'!$D$8:$CZ$8,0),
  _xlpm.v, IFERROR(INDEX('3. Enter Indicator Scores'!$D$10:$CZ$161,_xlpm.r,_xlpm.c),""),
  IF(OR(_xlpm.w="",_xlpm.v=""),"",_xlpm.v*_xlpm.w)
)</f>
        <v/>
      </c>
      <c r="CL132" s="93" t="str" cm="1">
        <f t="array" ref="CL132">_xlfn.LET(
  _xlpm.w, CL$11,
  _xlpm.r, MATCH(1,('3. Enter Indicator Scores'!$B$10:$B$161=$B132)*('3. Enter Indicator Scores'!$C$10:$C$161=$C132),0),
  _xlpm.c, MATCH(CL$8,'3. Enter Indicator Scores'!$D$8:$CZ$8,0),
  _xlpm.v, IFERROR(INDEX('3. Enter Indicator Scores'!$D$10:$CZ$161,_xlpm.r,_xlpm.c),""),
  IF(OR(_xlpm.w="",_xlpm.v=""),"",_xlpm.v*_xlpm.w)
)</f>
        <v/>
      </c>
      <c r="CM132" s="93" t="str" cm="1">
        <f t="array" ref="CM132">_xlfn.LET(
  _xlpm.w, CM$11,
  _xlpm.r, MATCH(1,('3. Enter Indicator Scores'!$B$10:$B$161=$B132)*('3. Enter Indicator Scores'!$C$10:$C$161=$C132),0),
  _xlpm.c, MATCH(CM$8,'3. Enter Indicator Scores'!$D$8:$CZ$8,0),
  _xlpm.v, IFERROR(INDEX('3. Enter Indicator Scores'!$D$10:$CZ$161,_xlpm.r,_xlpm.c),""),
  IF(OR(_xlpm.w="",_xlpm.v=""),"",_xlpm.v*_xlpm.w)
)</f>
        <v/>
      </c>
      <c r="CN132" s="93" t="str" cm="1">
        <f t="array" ref="CN132">_xlfn.LET(
  _xlpm.w, CN$11,
  _xlpm.r, MATCH(1,('3. Enter Indicator Scores'!$B$10:$B$161=$B132)*('3. Enter Indicator Scores'!$C$10:$C$161=$C132),0),
  _xlpm.c, MATCH(CN$8,'3. Enter Indicator Scores'!$D$8:$CZ$8,0),
  _xlpm.v, IFERROR(INDEX('3. Enter Indicator Scores'!$D$10:$CZ$161,_xlpm.r,_xlpm.c),""),
  IF(OR(_xlpm.w="",_xlpm.v=""),"",_xlpm.v*_xlpm.w)
)</f>
        <v/>
      </c>
      <c r="CO132" s="93" t="str" cm="1">
        <f t="array" ref="CO132">_xlfn.LET(
  _xlpm.w, CO$11,
  _xlpm.r, MATCH(1,('3. Enter Indicator Scores'!$B$10:$B$161=$B132)*('3. Enter Indicator Scores'!$C$10:$C$161=$C132),0),
  _xlpm.c, MATCH(CO$8,'3. Enter Indicator Scores'!$D$8:$CZ$8,0),
  _xlpm.v, IFERROR(INDEX('3. Enter Indicator Scores'!$D$10:$CZ$161,_xlpm.r,_xlpm.c),""),
  IF(OR(_xlpm.w="",_xlpm.v=""),"",_xlpm.v*_xlpm.w)
)</f>
        <v/>
      </c>
      <c r="CP132" s="93" t="str" cm="1">
        <f t="array" ref="CP132">_xlfn.LET(
  _xlpm.w, CP$11,
  _xlpm.r, MATCH(1,('3. Enter Indicator Scores'!$B$10:$B$161=$B132)*('3. Enter Indicator Scores'!$C$10:$C$161=$C132),0),
  _xlpm.c, MATCH(CP$8,'3. Enter Indicator Scores'!$D$8:$CZ$8,0),
  _xlpm.v, IFERROR(INDEX('3. Enter Indicator Scores'!$D$10:$CZ$161,_xlpm.r,_xlpm.c),""),
  IF(OR(_xlpm.w="",_xlpm.v=""),"",_xlpm.v*_xlpm.w)
)</f>
        <v/>
      </c>
      <c r="CQ132" s="93" t="str" cm="1">
        <f t="array" ref="CQ132">_xlfn.LET(
  _xlpm.w, CQ$11,
  _xlpm.r, MATCH(1,('3. Enter Indicator Scores'!$B$10:$B$161=$B132)*('3. Enter Indicator Scores'!$C$10:$C$161=$C132),0),
  _xlpm.c, MATCH(CQ$8,'3. Enter Indicator Scores'!$D$8:$CZ$8,0),
  _xlpm.v, IFERROR(INDEX('3. Enter Indicator Scores'!$D$10:$CZ$161,_xlpm.r,_xlpm.c),""),
  IF(OR(_xlpm.w="",_xlpm.v=""),"",_xlpm.v*_xlpm.w)
)</f>
        <v/>
      </c>
      <c r="CR132" s="93" t="str" cm="1">
        <f t="array" ref="CR132">_xlfn.LET(
  _xlpm.w, CR$11,
  _xlpm.r, MATCH(1,('3. Enter Indicator Scores'!$B$10:$B$161=$B132)*('3. Enter Indicator Scores'!$C$10:$C$161=$C132),0),
  _xlpm.c, MATCH(CR$8,'3. Enter Indicator Scores'!$D$8:$CZ$8,0),
  _xlpm.v, IFERROR(INDEX('3. Enter Indicator Scores'!$D$10:$CZ$161,_xlpm.r,_xlpm.c),""),
  IF(OR(_xlpm.w="",_xlpm.v=""),"",_xlpm.v*_xlpm.w)
)</f>
        <v/>
      </c>
      <c r="CS132" s="93" t="str" cm="1">
        <f t="array" ref="CS132">_xlfn.LET(
  _xlpm.w, CS$11,
  _xlpm.r, MATCH(1,('3. Enter Indicator Scores'!$B$10:$B$161=$B132)*('3. Enter Indicator Scores'!$C$10:$C$161=$C132),0),
  _xlpm.c, MATCH(CS$8,'3. Enter Indicator Scores'!$D$8:$CZ$8,0),
  _xlpm.v, IFERROR(INDEX('3. Enter Indicator Scores'!$D$10:$CZ$161,_xlpm.r,_xlpm.c),""),
  IF(OR(_xlpm.w="",_xlpm.v=""),"",_xlpm.v*_xlpm.w)
)</f>
        <v/>
      </c>
      <c r="CT132" s="93" t="str" cm="1">
        <f t="array" ref="CT132">_xlfn.LET(
  _xlpm.w, CT$11,
  _xlpm.r, MATCH(1,('3. Enter Indicator Scores'!$B$10:$B$161=$B132)*('3. Enter Indicator Scores'!$C$10:$C$161=$C132),0),
  _xlpm.c, MATCH(CT$8,'3. Enter Indicator Scores'!$D$8:$CZ$8,0),
  _xlpm.v, IFERROR(INDEX('3. Enter Indicator Scores'!$D$10:$CZ$161,_xlpm.r,_xlpm.c),""),
  IF(OR(_xlpm.w="",_xlpm.v=""),"",_xlpm.v*_xlpm.w)
)</f>
        <v/>
      </c>
      <c r="CU132" s="93" t="str" cm="1">
        <f t="array" ref="CU132">_xlfn.LET(
  _xlpm.w, CU$11,
  _xlpm.r, MATCH(1,('3. Enter Indicator Scores'!$B$10:$B$161=$B132)*('3. Enter Indicator Scores'!$C$10:$C$161=$C132),0),
  _xlpm.c, MATCH(CU$8,'3. Enter Indicator Scores'!$D$8:$CZ$8,0),
  _xlpm.v, IFERROR(INDEX('3. Enter Indicator Scores'!$D$10:$CZ$161,_xlpm.r,_xlpm.c),""),
  IF(OR(_xlpm.w="",_xlpm.v=""),"",_xlpm.v*_xlpm.w)
)</f>
        <v/>
      </c>
      <c r="CV132" s="93" t="str" cm="1">
        <f t="array" ref="CV132">_xlfn.LET(
  _xlpm.w, CV$11,
  _xlpm.r, MATCH(1,('3. Enter Indicator Scores'!$B$10:$B$161=$B132)*('3. Enter Indicator Scores'!$C$10:$C$161=$C132),0),
  _xlpm.c, MATCH(CV$8,'3. Enter Indicator Scores'!$D$8:$CZ$8,0),
  _xlpm.v, IFERROR(INDEX('3. Enter Indicator Scores'!$D$10:$CZ$161,_xlpm.r,_xlpm.c),""),
  IF(OR(_xlpm.w="",_xlpm.v=""),"",_xlpm.v*_xlpm.w)
)</f>
        <v/>
      </c>
      <c r="CW132" s="93" t="str" cm="1">
        <f t="array" ref="CW132">_xlfn.LET(
  _xlpm.w, CW$11,
  _xlpm.r, MATCH(1,('3. Enter Indicator Scores'!$B$10:$B$161=$B132)*('3. Enter Indicator Scores'!$C$10:$C$161=$C132),0),
  _xlpm.c, MATCH(CW$8,'3. Enter Indicator Scores'!$D$8:$CZ$8,0),
  _xlpm.v, IFERROR(INDEX('3. Enter Indicator Scores'!$D$10:$CZ$161,_xlpm.r,_xlpm.c),""),
  IF(OR(_xlpm.w="",_xlpm.v=""),"",_xlpm.v*_xlpm.w)
)</f>
        <v/>
      </c>
      <c r="CX132" s="93" t="str" cm="1">
        <f t="array" ref="CX132">_xlfn.LET(
  _xlpm.w, CX$11,
  _xlpm.r, MATCH(1,('3. Enter Indicator Scores'!$B$10:$B$161=$B132)*('3. Enter Indicator Scores'!$C$10:$C$161=$C132),0),
  _xlpm.c, MATCH(CX$8,'3. Enter Indicator Scores'!$D$8:$CZ$8,0),
  _xlpm.v, IFERROR(INDEX('3. Enter Indicator Scores'!$D$10:$CZ$161,_xlpm.r,_xlpm.c),""),
  IF(OR(_xlpm.w="",_xlpm.v=""),"",_xlpm.v*_xlpm.w)
)</f>
        <v/>
      </c>
      <c r="CY132" s="93" t="str" cm="1">
        <f t="array" ref="CY132">_xlfn.LET(
  _xlpm.w, CY$11,
  _xlpm.r, MATCH(1,('3. Enter Indicator Scores'!$B$10:$B$161=$B132)*('3. Enter Indicator Scores'!$C$10:$C$161=$C132),0),
  _xlpm.c, MATCH(CY$8,'3. Enter Indicator Scores'!$D$8:$CZ$8,0),
  _xlpm.v, IFERROR(INDEX('3. Enter Indicator Scores'!$D$10:$CZ$161,_xlpm.r,_xlpm.c),""),
  IF(OR(_xlpm.w="",_xlpm.v=""),"",_xlpm.v*_xlpm.w)
)</f>
        <v/>
      </c>
      <c r="CZ132" s="93" t="str" cm="1">
        <f t="array" ref="CZ132">_xlfn.LET(
  _xlpm.w, CZ$11,
  _xlpm.r, MATCH(1,('3. Enter Indicator Scores'!$B$10:$B$161=$B132)*('3. Enter Indicator Scores'!$C$10:$C$161=$C132),0),
  _xlpm.c, MATCH(CZ$8,'3. Enter Indicator Scores'!$D$8:$CZ$8,0),
  _xlpm.v, IFERROR(INDEX('3. Enter Indicator Scores'!$D$10:$CZ$161,_xlpm.r,_xlpm.c),""),
  IF(OR(_xlpm.w="",_xlpm.v=""),"",_xlpm.v*_xlpm.w)
)</f>
        <v/>
      </c>
    </row>
    <row r="133" spans="4:104" x14ac:dyDescent="0.2">
      <c r="D133" s="93" t="str" cm="1">
        <f t="array" ref="D133">_xlfn.LET(
  _xlpm.w, D$11,
  _xlpm.r, MATCH(1,('3. Enter Indicator Scores'!$B$10:$B$161=$B133)*('3. Enter Indicator Scores'!$C$10:$C$161=$C133),0),
  _xlpm.c, MATCH(D$8,'3. Enter Indicator Scores'!$D$8:$CZ$8,0),
  _xlpm.v, IFERROR(INDEX('3. Enter Indicator Scores'!$D$10:$CZ$161,_xlpm.r,_xlpm.c),""),
  IF(OR(_xlpm.w="",_xlpm.v=""),"",_xlpm.v*_xlpm.w)
)</f>
        <v/>
      </c>
      <c r="E133" s="93" t="str" cm="1">
        <f t="array" ref="E133">_xlfn.LET(
  _xlpm.w, E$11,
  _xlpm.r, MATCH(1,('3. Enter Indicator Scores'!$B$10:$B$161=$B133)*('3. Enter Indicator Scores'!$C$10:$C$161=$C133),0),
  _xlpm.c, MATCH(E$8,'3. Enter Indicator Scores'!$D$8:$CZ$8,0),
  _xlpm.v, IFERROR(INDEX('3. Enter Indicator Scores'!$D$10:$CZ$161,_xlpm.r,_xlpm.c),""),
  IF(OR(_xlpm.w="",_xlpm.v=""),"",_xlpm.v*_xlpm.w)
)</f>
        <v/>
      </c>
      <c r="F133" s="93" t="str" cm="1">
        <f t="array" ref="F133">_xlfn.LET(
  _xlpm.w, F$11,
  _xlpm.r, MATCH(1,('3. Enter Indicator Scores'!$B$10:$B$161=$B133)*('3. Enter Indicator Scores'!$C$10:$C$161=$C133),0),
  _xlpm.c, MATCH(F$8,'3. Enter Indicator Scores'!$D$8:$CZ$8,0),
  _xlpm.v, IFERROR(INDEX('3. Enter Indicator Scores'!$D$10:$CZ$161,_xlpm.r,_xlpm.c),""),
  IF(OR(_xlpm.w="",_xlpm.v=""),"",_xlpm.v*_xlpm.w)
)</f>
        <v/>
      </c>
      <c r="G133" s="93" t="str" cm="1">
        <f t="array" ref="G133">_xlfn.LET(
  _xlpm.w, G$11,
  _xlpm.r, MATCH(1,('3. Enter Indicator Scores'!$B$10:$B$161=$B133)*('3. Enter Indicator Scores'!$C$10:$C$161=$C133),0),
  _xlpm.c, MATCH(G$8,'3. Enter Indicator Scores'!$D$8:$CZ$8,0),
  _xlpm.v, IFERROR(INDEX('3. Enter Indicator Scores'!$D$10:$CZ$161,_xlpm.r,_xlpm.c),""),
  IF(OR(_xlpm.w="",_xlpm.v=""),"",_xlpm.v*_xlpm.w)
)</f>
        <v/>
      </c>
      <c r="H133" s="93" t="str" cm="1">
        <f t="array" ref="H133">_xlfn.LET(
  _xlpm.w, H$11,
  _xlpm.r, MATCH(1,('3. Enter Indicator Scores'!$B$10:$B$161=$B133)*('3. Enter Indicator Scores'!$C$10:$C$161=$C133),0),
  _xlpm.c, MATCH(H$8,'3. Enter Indicator Scores'!$D$8:$CZ$8,0),
  _xlpm.v, IFERROR(INDEX('3. Enter Indicator Scores'!$D$10:$CZ$161,_xlpm.r,_xlpm.c),""),
  IF(OR(_xlpm.w="",_xlpm.v=""),"",_xlpm.v*_xlpm.w)
)</f>
        <v/>
      </c>
      <c r="I133" s="93" t="str" cm="1">
        <f t="array" ref="I133">_xlfn.LET(
  _xlpm.w, I$11,
  _xlpm.r, MATCH(1,('3. Enter Indicator Scores'!$B$10:$B$161=$B133)*('3. Enter Indicator Scores'!$C$10:$C$161=$C133),0),
  _xlpm.c, MATCH(I$8,'3. Enter Indicator Scores'!$D$8:$CZ$8,0),
  _xlpm.v, IFERROR(INDEX('3. Enter Indicator Scores'!$D$10:$CZ$161,_xlpm.r,_xlpm.c),""),
  IF(OR(_xlpm.w="",_xlpm.v=""),"",_xlpm.v*_xlpm.w)
)</f>
        <v/>
      </c>
      <c r="J133" s="93" t="str" cm="1">
        <f t="array" ref="J133">_xlfn.LET(
  _xlpm.w, J$11,
  _xlpm.r, MATCH(1,('3. Enter Indicator Scores'!$B$10:$B$161=$B133)*('3. Enter Indicator Scores'!$C$10:$C$161=$C133),0),
  _xlpm.c, MATCH(J$8,'3. Enter Indicator Scores'!$D$8:$CZ$8,0),
  _xlpm.v, IFERROR(INDEX('3. Enter Indicator Scores'!$D$10:$CZ$161,_xlpm.r,_xlpm.c),""),
  IF(OR(_xlpm.w="",_xlpm.v=""),"",_xlpm.v*_xlpm.w)
)</f>
        <v/>
      </c>
      <c r="K133" s="93" t="str" cm="1">
        <f t="array" ref="K133">_xlfn.LET(
  _xlpm.w, K$11,
  _xlpm.r, MATCH(1,('3. Enter Indicator Scores'!$B$10:$B$161=$B133)*('3. Enter Indicator Scores'!$C$10:$C$161=$C133),0),
  _xlpm.c, MATCH(K$8,'3. Enter Indicator Scores'!$D$8:$CZ$8,0),
  _xlpm.v, IFERROR(INDEX('3. Enter Indicator Scores'!$D$10:$CZ$161,_xlpm.r,_xlpm.c),""),
  IF(OR(_xlpm.w="",_xlpm.v=""),"",_xlpm.v*_xlpm.w)
)</f>
        <v/>
      </c>
      <c r="L133" s="93" t="str" cm="1">
        <f t="array" ref="L133">_xlfn.LET(
  _xlpm.w, L$11,
  _xlpm.r, MATCH(1,('3. Enter Indicator Scores'!$B$10:$B$161=$B133)*('3. Enter Indicator Scores'!$C$10:$C$161=$C133),0),
  _xlpm.c, MATCH(L$8,'3. Enter Indicator Scores'!$D$8:$CZ$8,0),
  _xlpm.v, IFERROR(INDEX('3. Enter Indicator Scores'!$D$10:$CZ$161,_xlpm.r,_xlpm.c),""),
  IF(OR(_xlpm.w="",_xlpm.v=""),"",_xlpm.v*_xlpm.w)
)</f>
        <v/>
      </c>
      <c r="M133" s="93" t="str" cm="1">
        <f t="array" ref="M133">_xlfn.LET(
  _xlpm.w, M$11,
  _xlpm.r, MATCH(1,('3. Enter Indicator Scores'!$B$10:$B$161=$B133)*('3. Enter Indicator Scores'!$C$10:$C$161=$C133),0),
  _xlpm.c, MATCH(M$8,'3. Enter Indicator Scores'!$D$8:$CZ$8,0),
  _xlpm.v, IFERROR(INDEX('3. Enter Indicator Scores'!$D$10:$CZ$161,_xlpm.r,_xlpm.c),""),
  IF(OR(_xlpm.w="",_xlpm.v=""),"",_xlpm.v*_xlpm.w)
)</f>
        <v/>
      </c>
      <c r="N133" s="93" t="str" cm="1">
        <f t="array" ref="N133">_xlfn.LET(
  _xlpm.w, N$11,
  _xlpm.r, MATCH(1,('3. Enter Indicator Scores'!$B$10:$B$161=$B133)*('3. Enter Indicator Scores'!$C$10:$C$161=$C133),0),
  _xlpm.c, MATCH(N$8,'3. Enter Indicator Scores'!$D$8:$CZ$8,0),
  _xlpm.v, IFERROR(INDEX('3. Enter Indicator Scores'!$D$10:$CZ$161,_xlpm.r,_xlpm.c),""),
  IF(OR(_xlpm.w="",_xlpm.v=""),"",_xlpm.v*_xlpm.w)
)</f>
        <v/>
      </c>
      <c r="O133" s="93" t="str" cm="1">
        <f t="array" ref="O133">_xlfn.LET(
  _xlpm.w, O$11,
  _xlpm.r, MATCH(1,('3. Enter Indicator Scores'!$B$10:$B$161=$B133)*('3. Enter Indicator Scores'!$C$10:$C$161=$C133),0),
  _xlpm.c, MATCH(O$8,'3. Enter Indicator Scores'!$D$8:$CZ$8,0),
  _xlpm.v, IFERROR(INDEX('3. Enter Indicator Scores'!$D$10:$CZ$161,_xlpm.r,_xlpm.c),""),
  IF(OR(_xlpm.w="",_xlpm.v=""),"",_xlpm.v*_xlpm.w)
)</f>
        <v/>
      </c>
      <c r="P133" s="93" t="str" cm="1">
        <f t="array" ref="P133">_xlfn.LET(
  _xlpm.w, P$11,
  _xlpm.r, MATCH(1,('3. Enter Indicator Scores'!$B$10:$B$161=$B133)*('3. Enter Indicator Scores'!$C$10:$C$161=$C133),0),
  _xlpm.c, MATCH(P$8,'3. Enter Indicator Scores'!$D$8:$CZ$8,0),
  _xlpm.v, IFERROR(INDEX('3. Enter Indicator Scores'!$D$10:$CZ$161,_xlpm.r,_xlpm.c),""),
  IF(OR(_xlpm.w="",_xlpm.v=""),"",_xlpm.v*_xlpm.w)
)</f>
        <v/>
      </c>
      <c r="Q133" s="93" t="str" cm="1">
        <f t="array" ref="Q133">_xlfn.LET(
  _xlpm.w, Q$11,
  _xlpm.r, MATCH(1,('3. Enter Indicator Scores'!$B$10:$B$161=$B133)*('3. Enter Indicator Scores'!$C$10:$C$161=$C133),0),
  _xlpm.c, MATCH(Q$8,'3. Enter Indicator Scores'!$D$8:$CZ$8,0),
  _xlpm.v, IFERROR(INDEX('3. Enter Indicator Scores'!$D$10:$CZ$161,_xlpm.r,_xlpm.c),""),
  IF(OR(_xlpm.w="",_xlpm.v=""),"",_xlpm.v*_xlpm.w)
)</f>
        <v/>
      </c>
      <c r="R133" s="93" t="str" cm="1">
        <f t="array" ref="R133">_xlfn.LET(
  _xlpm.w, R$11,
  _xlpm.r, MATCH(1,('3. Enter Indicator Scores'!$B$10:$B$161=$B133)*('3. Enter Indicator Scores'!$C$10:$C$161=$C133),0),
  _xlpm.c, MATCH(R$8,'3. Enter Indicator Scores'!$D$8:$CZ$8,0),
  _xlpm.v, IFERROR(INDEX('3. Enter Indicator Scores'!$D$10:$CZ$161,_xlpm.r,_xlpm.c),""),
  IF(OR(_xlpm.w="",_xlpm.v=""),"",_xlpm.v*_xlpm.w)
)</f>
        <v/>
      </c>
      <c r="S133" s="93" t="str" cm="1">
        <f t="array" ref="S133">_xlfn.LET(
  _xlpm.w, S$11,
  _xlpm.r, MATCH(1,('3. Enter Indicator Scores'!$B$10:$B$161=$B133)*('3. Enter Indicator Scores'!$C$10:$C$161=$C133),0),
  _xlpm.c, MATCH(S$8,'3. Enter Indicator Scores'!$D$8:$CZ$8,0),
  _xlpm.v, IFERROR(INDEX('3. Enter Indicator Scores'!$D$10:$CZ$161,_xlpm.r,_xlpm.c),""),
  IF(OR(_xlpm.w="",_xlpm.v=""),"",_xlpm.v*_xlpm.w)
)</f>
        <v/>
      </c>
      <c r="T133" s="93" t="str" cm="1">
        <f t="array" ref="T133">_xlfn.LET(
  _xlpm.w, T$11,
  _xlpm.r, MATCH(1,('3. Enter Indicator Scores'!$B$10:$B$161=$B133)*('3. Enter Indicator Scores'!$C$10:$C$161=$C133),0),
  _xlpm.c, MATCH(T$8,'3. Enter Indicator Scores'!$D$8:$CZ$8,0),
  _xlpm.v, IFERROR(INDEX('3. Enter Indicator Scores'!$D$10:$CZ$161,_xlpm.r,_xlpm.c),""),
  IF(OR(_xlpm.w="",_xlpm.v=""),"",_xlpm.v*_xlpm.w)
)</f>
        <v/>
      </c>
      <c r="U133" s="93" t="str" cm="1">
        <f t="array" ref="U133">_xlfn.LET(
  _xlpm.w, U$11,
  _xlpm.r, MATCH(1,('3. Enter Indicator Scores'!$B$10:$B$161=$B133)*('3. Enter Indicator Scores'!$C$10:$C$161=$C133),0),
  _xlpm.c, MATCH(U$8,'3. Enter Indicator Scores'!$D$8:$CZ$8,0),
  _xlpm.v, IFERROR(INDEX('3. Enter Indicator Scores'!$D$10:$CZ$161,_xlpm.r,_xlpm.c),""),
  IF(OR(_xlpm.w="",_xlpm.v=""),"",_xlpm.v*_xlpm.w)
)</f>
        <v/>
      </c>
      <c r="V133" s="93" t="str" cm="1">
        <f t="array" ref="V133">_xlfn.LET(
  _xlpm.w, V$11,
  _xlpm.r, MATCH(1,('3. Enter Indicator Scores'!$B$10:$B$161=$B133)*('3. Enter Indicator Scores'!$C$10:$C$161=$C133),0),
  _xlpm.c, MATCH(V$8,'3. Enter Indicator Scores'!$D$8:$CZ$8,0),
  _xlpm.v, IFERROR(INDEX('3. Enter Indicator Scores'!$D$10:$CZ$161,_xlpm.r,_xlpm.c),""),
  IF(OR(_xlpm.w="",_xlpm.v=""),"",_xlpm.v*_xlpm.w)
)</f>
        <v/>
      </c>
      <c r="W133" s="93" t="str" cm="1">
        <f t="array" ref="W133">_xlfn.LET(
  _xlpm.w, W$11,
  _xlpm.r, MATCH(1,('3. Enter Indicator Scores'!$B$10:$B$161=$B133)*('3. Enter Indicator Scores'!$C$10:$C$161=$C133),0),
  _xlpm.c, MATCH(W$8,'3. Enter Indicator Scores'!$D$8:$CZ$8,0),
  _xlpm.v, IFERROR(INDEX('3. Enter Indicator Scores'!$D$10:$CZ$161,_xlpm.r,_xlpm.c),""),
  IF(OR(_xlpm.w="",_xlpm.v=""),"",_xlpm.v*_xlpm.w)
)</f>
        <v/>
      </c>
      <c r="X133" s="93" t="str" cm="1">
        <f t="array" ref="X133">_xlfn.LET(
  _xlpm.w, X$11,
  _xlpm.r, MATCH(1,('3. Enter Indicator Scores'!$B$10:$B$161=$B133)*('3. Enter Indicator Scores'!$C$10:$C$161=$C133),0),
  _xlpm.c, MATCH(X$8,'3. Enter Indicator Scores'!$D$8:$CZ$8,0),
  _xlpm.v, IFERROR(INDEX('3. Enter Indicator Scores'!$D$10:$CZ$161,_xlpm.r,_xlpm.c),""),
  IF(OR(_xlpm.w="",_xlpm.v=""),"",_xlpm.v*_xlpm.w)
)</f>
        <v/>
      </c>
      <c r="Y133" s="93" t="str" cm="1">
        <f t="array" ref="Y133">_xlfn.LET(
  _xlpm.w, Y$11,
  _xlpm.r, MATCH(1,('3. Enter Indicator Scores'!$B$10:$B$161=$B133)*('3. Enter Indicator Scores'!$C$10:$C$161=$C133),0),
  _xlpm.c, MATCH(Y$8,'3. Enter Indicator Scores'!$D$8:$CZ$8,0),
  _xlpm.v, IFERROR(INDEX('3. Enter Indicator Scores'!$D$10:$CZ$161,_xlpm.r,_xlpm.c),""),
  IF(OR(_xlpm.w="",_xlpm.v=""),"",_xlpm.v*_xlpm.w)
)</f>
        <v/>
      </c>
      <c r="Z133" s="93" t="str" cm="1">
        <f t="array" ref="Z133">_xlfn.LET(
  _xlpm.w, Z$11,
  _xlpm.r, MATCH(1,('3. Enter Indicator Scores'!$B$10:$B$161=$B133)*('3. Enter Indicator Scores'!$C$10:$C$161=$C133),0),
  _xlpm.c, MATCH(Z$8,'3. Enter Indicator Scores'!$D$8:$CZ$8,0),
  _xlpm.v, IFERROR(INDEX('3. Enter Indicator Scores'!$D$10:$CZ$161,_xlpm.r,_xlpm.c),""),
  IF(OR(_xlpm.w="",_xlpm.v=""),"",_xlpm.v*_xlpm.w)
)</f>
        <v/>
      </c>
      <c r="AA133" s="93" t="str" cm="1">
        <f t="array" ref="AA133">_xlfn.LET(
  _xlpm.w, AA$11,
  _xlpm.r, MATCH(1,('3. Enter Indicator Scores'!$B$10:$B$161=$B133)*('3. Enter Indicator Scores'!$C$10:$C$161=$C133),0),
  _xlpm.c, MATCH(AA$8,'3. Enter Indicator Scores'!$D$8:$CZ$8,0),
  _xlpm.v, IFERROR(INDEX('3. Enter Indicator Scores'!$D$10:$CZ$161,_xlpm.r,_xlpm.c),""),
  IF(OR(_xlpm.w="",_xlpm.v=""),"",_xlpm.v*_xlpm.w)
)</f>
        <v/>
      </c>
      <c r="AB133" s="93" t="str" cm="1">
        <f t="array" ref="AB133">_xlfn.LET(
  _xlpm.w, AB$11,
  _xlpm.r, MATCH(1,('3. Enter Indicator Scores'!$B$10:$B$161=$B133)*('3. Enter Indicator Scores'!$C$10:$C$161=$C133),0),
  _xlpm.c, MATCH(AB$8,'3. Enter Indicator Scores'!$D$8:$CZ$8,0),
  _xlpm.v, IFERROR(INDEX('3. Enter Indicator Scores'!$D$10:$CZ$161,_xlpm.r,_xlpm.c),""),
  IF(OR(_xlpm.w="",_xlpm.v=""),"",_xlpm.v*_xlpm.w)
)</f>
        <v/>
      </c>
      <c r="AC133" s="93" t="str" cm="1">
        <f t="array" ref="AC133">_xlfn.LET(
  _xlpm.w, AC$11,
  _xlpm.r, MATCH(1,('3. Enter Indicator Scores'!$B$10:$B$161=$B133)*('3. Enter Indicator Scores'!$C$10:$C$161=$C133),0),
  _xlpm.c, MATCH(AC$8,'3. Enter Indicator Scores'!$D$8:$CZ$8,0),
  _xlpm.v, IFERROR(INDEX('3. Enter Indicator Scores'!$D$10:$CZ$161,_xlpm.r,_xlpm.c),""),
  IF(OR(_xlpm.w="",_xlpm.v=""),"",_xlpm.v*_xlpm.w)
)</f>
        <v/>
      </c>
      <c r="AD133" s="93" t="str" cm="1">
        <f t="array" ref="AD133">_xlfn.LET(
  _xlpm.w, AD$11,
  _xlpm.r, MATCH(1,('3. Enter Indicator Scores'!$B$10:$B$161=$B133)*('3. Enter Indicator Scores'!$C$10:$C$161=$C133),0),
  _xlpm.c, MATCH(AD$8,'3. Enter Indicator Scores'!$D$8:$CZ$8,0),
  _xlpm.v, IFERROR(INDEX('3. Enter Indicator Scores'!$D$10:$CZ$161,_xlpm.r,_xlpm.c),""),
  IF(OR(_xlpm.w="",_xlpm.v=""),"",_xlpm.v*_xlpm.w)
)</f>
        <v/>
      </c>
      <c r="AE133" s="93" t="str" cm="1">
        <f t="array" ref="AE133">_xlfn.LET(
  _xlpm.w, AE$11,
  _xlpm.r, MATCH(1,('3. Enter Indicator Scores'!$B$10:$B$161=$B133)*('3. Enter Indicator Scores'!$C$10:$C$161=$C133),0),
  _xlpm.c, MATCH(AE$8,'3. Enter Indicator Scores'!$D$8:$CZ$8,0),
  _xlpm.v, IFERROR(INDEX('3. Enter Indicator Scores'!$D$10:$CZ$161,_xlpm.r,_xlpm.c),""),
  IF(OR(_xlpm.w="",_xlpm.v=""),"",_xlpm.v*_xlpm.w)
)</f>
        <v/>
      </c>
      <c r="AF133" s="93" t="str" cm="1">
        <f t="array" ref="AF133">_xlfn.LET(
  _xlpm.w, AF$11,
  _xlpm.r, MATCH(1,('3. Enter Indicator Scores'!$B$10:$B$161=$B133)*('3. Enter Indicator Scores'!$C$10:$C$161=$C133),0),
  _xlpm.c, MATCH(AF$8,'3. Enter Indicator Scores'!$D$8:$CZ$8,0),
  _xlpm.v, IFERROR(INDEX('3. Enter Indicator Scores'!$D$10:$CZ$161,_xlpm.r,_xlpm.c),""),
  IF(OR(_xlpm.w="",_xlpm.v=""),"",_xlpm.v*_xlpm.w)
)</f>
        <v/>
      </c>
      <c r="AG133" s="93" t="str" cm="1">
        <f t="array" ref="AG133">_xlfn.LET(
  _xlpm.w, AG$11,
  _xlpm.r, MATCH(1,('3. Enter Indicator Scores'!$B$10:$B$161=$B133)*('3. Enter Indicator Scores'!$C$10:$C$161=$C133),0),
  _xlpm.c, MATCH(AG$8,'3. Enter Indicator Scores'!$D$8:$CZ$8,0),
  _xlpm.v, IFERROR(INDEX('3. Enter Indicator Scores'!$D$10:$CZ$161,_xlpm.r,_xlpm.c),""),
  IF(OR(_xlpm.w="",_xlpm.v=""),"",_xlpm.v*_xlpm.w)
)</f>
        <v/>
      </c>
      <c r="AH133" s="93" t="str" cm="1">
        <f t="array" ref="AH133">_xlfn.LET(
  _xlpm.w, AH$11,
  _xlpm.r, MATCH(1,('3. Enter Indicator Scores'!$B$10:$B$161=$B133)*('3. Enter Indicator Scores'!$C$10:$C$161=$C133),0),
  _xlpm.c, MATCH(AH$8,'3. Enter Indicator Scores'!$D$8:$CZ$8,0),
  _xlpm.v, IFERROR(INDEX('3. Enter Indicator Scores'!$D$10:$CZ$161,_xlpm.r,_xlpm.c),""),
  IF(OR(_xlpm.w="",_xlpm.v=""),"",_xlpm.v*_xlpm.w)
)</f>
        <v/>
      </c>
      <c r="AI133" s="93" t="str" cm="1">
        <f t="array" ref="AI133">_xlfn.LET(
  _xlpm.w, AI$11,
  _xlpm.r, MATCH(1,('3. Enter Indicator Scores'!$B$10:$B$161=$B133)*('3. Enter Indicator Scores'!$C$10:$C$161=$C133),0),
  _xlpm.c, MATCH(AI$8,'3. Enter Indicator Scores'!$D$8:$CZ$8,0),
  _xlpm.v, IFERROR(INDEX('3. Enter Indicator Scores'!$D$10:$CZ$161,_xlpm.r,_xlpm.c),""),
  IF(OR(_xlpm.w="",_xlpm.v=""),"",_xlpm.v*_xlpm.w)
)</f>
        <v/>
      </c>
      <c r="AJ133" s="93" t="str" cm="1">
        <f t="array" ref="AJ133">_xlfn.LET(
  _xlpm.w, AJ$11,
  _xlpm.r, MATCH(1,('3. Enter Indicator Scores'!$B$10:$B$161=$B133)*('3. Enter Indicator Scores'!$C$10:$C$161=$C133),0),
  _xlpm.c, MATCH(AJ$8,'3. Enter Indicator Scores'!$D$8:$CZ$8,0),
  _xlpm.v, IFERROR(INDEX('3. Enter Indicator Scores'!$D$10:$CZ$161,_xlpm.r,_xlpm.c),""),
  IF(OR(_xlpm.w="",_xlpm.v=""),"",_xlpm.v*_xlpm.w)
)</f>
        <v/>
      </c>
      <c r="AK133" s="93" t="str" cm="1">
        <f t="array" ref="AK133">_xlfn.LET(
  _xlpm.w, AK$11,
  _xlpm.r, MATCH(1,('3. Enter Indicator Scores'!$B$10:$B$161=$B133)*('3. Enter Indicator Scores'!$C$10:$C$161=$C133),0),
  _xlpm.c, MATCH(AK$8,'3. Enter Indicator Scores'!$D$8:$CZ$8,0),
  _xlpm.v, IFERROR(INDEX('3. Enter Indicator Scores'!$D$10:$CZ$161,_xlpm.r,_xlpm.c),""),
  IF(OR(_xlpm.w="",_xlpm.v=""),"",_xlpm.v*_xlpm.w)
)</f>
        <v/>
      </c>
      <c r="AL133" s="93" t="str" cm="1">
        <f t="array" ref="AL133">_xlfn.LET(
  _xlpm.w, AL$11,
  _xlpm.r, MATCH(1,('3. Enter Indicator Scores'!$B$10:$B$161=$B133)*('3. Enter Indicator Scores'!$C$10:$C$161=$C133),0),
  _xlpm.c, MATCH(AL$8,'3. Enter Indicator Scores'!$D$8:$CZ$8,0),
  _xlpm.v, IFERROR(INDEX('3. Enter Indicator Scores'!$D$10:$CZ$161,_xlpm.r,_xlpm.c),""),
  IF(OR(_xlpm.w="",_xlpm.v=""),"",_xlpm.v*_xlpm.w)
)</f>
        <v/>
      </c>
      <c r="AM133" s="93" t="str" cm="1">
        <f t="array" ref="AM133">_xlfn.LET(
  _xlpm.w, AM$11,
  _xlpm.r, MATCH(1,('3. Enter Indicator Scores'!$B$10:$B$161=$B133)*('3. Enter Indicator Scores'!$C$10:$C$161=$C133),0),
  _xlpm.c, MATCH(AM$8,'3. Enter Indicator Scores'!$D$8:$CZ$8,0),
  _xlpm.v, IFERROR(INDEX('3. Enter Indicator Scores'!$D$10:$CZ$161,_xlpm.r,_xlpm.c),""),
  IF(OR(_xlpm.w="",_xlpm.v=""),"",_xlpm.v*_xlpm.w)
)</f>
        <v/>
      </c>
      <c r="AN133" s="93" t="str" cm="1">
        <f t="array" ref="AN133">_xlfn.LET(
  _xlpm.w, AN$11,
  _xlpm.r, MATCH(1,('3. Enter Indicator Scores'!$B$10:$B$161=$B133)*('3. Enter Indicator Scores'!$C$10:$C$161=$C133),0),
  _xlpm.c, MATCH(AN$8,'3. Enter Indicator Scores'!$D$8:$CZ$8,0),
  _xlpm.v, IFERROR(INDEX('3. Enter Indicator Scores'!$D$10:$CZ$161,_xlpm.r,_xlpm.c),""),
  IF(OR(_xlpm.w="",_xlpm.v=""),"",_xlpm.v*_xlpm.w)
)</f>
        <v/>
      </c>
      <c r="AO133" s="93" t="str" cm="1">
        <f t="array" ref="AO133">_xlfn.LET(
  _xlpm.w, AO$11,
  _xlpm.r, MATCH(1,('3. Enter Indicator Scores'!$B$10:$B$161=$B133)*('3. Enter Indicator Scores'!$C$10:$C$161=$C133),0),
  _xlpm.c, MATCH(AO$8,'3. Enter Indicator Scores'!$D$8:$CZ$8,0),
  _xlpm.v, IFERROR(INDEX('3. Enter Indicator Scores'!$D$10:$CZ$161,_xlpm.r,_xlpm.c),""),
  IF(OR(_xlpm.w="",_xlpm.v=""),"",_xlpm.v*_xlpm.w)
)</f>
        <v/>
      </c>
      <c r="AP133" s="93" t="str" cm="1">
        <f t="array" ref="AP133">_xlfn.LET(
  _xlpm.w, AP$11,
  _xlpm.r, MATCH(1,('3. Enter Indicator Scores'!$B$10:$B$161=$B133)*('3. Enter Indicator Scores'!$C$10:$C$161=$C133),0),
  _xlpm.c, MATCH(AP$8,'3. Enter Indicator Scores'!$D$8:$CZ$8,0),
  _xlpm.v, IFERROR(INDEX('3. Enter Indicator Scores'!$D$10:$CZ$161,_xlpm.r,_xlpm.c),""),
  IF(OR(_xlpm.w="",_xlpm.v=""),"",_xlpm.v*_xlpm.w)
)</f>
        <v/>
      </c>
      <c r="AQ133" s="93" t="str" cm="1">
        <f t="array" ref="AQ133">_xlfn.LET(
  _xlpm.w, AQ$11,
  _xlpm.r, MATCH(1,('3. Enter Indicator Scores'!$B$10:$B$161=$B133)*('3. Enter Indicator Scores'!$C$10:$C$161=$C133),0),
  _xlpm.c, MATCH(AQ$8,'3. Enter Indicator Scores'!$D$8:$CZ$8,0),
  _xlpm.v, IFERROR(INDEX('3. Enter Indicator Scores'!$D$10:$CZ$161,_xlpm.r,_xlpm.c),""),
  IF(OR(_xlpm.w="",_xlpm.v=""),"",_xlpm.v*_xlpm.w)
)</f>
        <v/>
      </c>
      <c r="AR133" s="93" t="str" cm="1">
        <f t="array" ref="AR133">_xlfn.LET(
  _xlpm.w, AR$11,
  _xlpm.r, MATCH(1,('3. Enter Indicator Scores'!$B$10:$B$161=$B133)*('3. Enter Indicator Scores'!$C$10:$C$161=$C133),0),
  _xlpm.c, MATCH(AR$8,'3. Enter Indicator Scores'!$D$8:$CZ$8,0),
  _xlpm.v, IFERROR(INDEX('3. Enter Indicator Scores'!$D$10:$CZ$161,_xlpm.r,_xlpm.c),""),
  IF(OR(_xlpm.w="",_xlpm.v=""),"",_xlpm.v*_xlpm.w)
)</f>
        <v/>
      </c>
      <c r="AS133" s="93" t="str" cm="1">
        <f t="array" ref="AS133">_xlfn.LET(
  _xlpm.w, AS$11,
  _xlpm.r, MATCH(1,('3. Enter Indicator Scores'!$B$10:$B$161=$B133)*('3. Enter Indicator Scores'!$C$10:$C$161=$C133),0),
  _xlpm.c, MATCH(AS$8,'3. Enter Indicator Scores'!$D$8:$CZ$8,0),
  _xlpm.v, IFERROR(INDEX('3. Enter Indicator Scores'!$D$10:$CZ$161,_xlpm.r,_xlpm.c),""),
  IF(OR(_xlpm.w="",_xlpm.v=""),"",_xlpm.v*_xlpm.w)
)</f>
        <v/>
      </c>
      <c r="AT133" s="93" t="str" cm="1">
        <f t="array" ref="AT133">_xlfn.LET(
  _xlpm.w, AT$11,
  _xlpm.r, MATCH(1,('3. Enter Indicator Scores'!$B$10:$B$161=$B133)*('3. Enter Indicator Scores'!$C$10:$C$161=$C133),0),
  _xlpm.c, MATCH(AT$8,'3. Enter Indicator Scores'!$D$8:$CZ$8,0),
  _xlpm.v, IFERROR(INDEX('3. Enter Indicator Scores'!$D$10:$CZ$161,_xlpm.r,_xlpm.c),""),
  IF(OR(_xlpm.w="",_xlpm.v=""),"",_xlpm.v*_xlpm.w)
)</f>
        <v/>
      </c>
      <c r="AU133" s="93" t="str" cm="1">
        <f t="array" ref="AU133">_xlfn.LET(
  _xlpm.w, AU$11,
  _xlpm.r, MATCH(1,('3. Enter Indicator Scores'!$B$10:$B$161=$B133)*('3. Enter Indicator Scores'!$C$10:$C$161=$C133),0),
  _xlpm.c, MATCH(AU$8,'3. Enter Indicator Scores'!$D$8:$CZ$8,0),
  _xlpm.v, IFERROR(INDEX('3. Enter Indicator Scores'!$D$10:$CZ$161,_xlpm.r,_xlpm.c),""),
  IF(OR(_xlpm.w="",_xlpm.v=""),"",_xlpm.v*_xlpm.w)
)</f>
        <v/>
      </c>
      <c r="AV133" s="93" t="str" cm="1">
        <f t="array" ref="AV133">_xlfn.LET(
  _xlpm.w, AV$11,
  _xlpm.r, MATCH(1,('3. Enter Indicator Scores'!$B$10:$B$161=$B133)*('3. Enter Indicator Scores'!$C$10:$C$161=$C133),0),
  _xlpm.c, MATCH(AV$8,'3. Enter Indicator Scores'!$D$8:$CZ$8,0),
  _xlpm.v, IFERROR(INDEX('3. Enter Indicator Scores'!$D$10:$CZ$161,_xlpm.r,_xlpm.c),""),
  IF(OR(_xlpm.w="",_xlpm.v=""),"",_xlpm.v*_xlpm.w)
)</f>
        <v/>
      </c>
      <c r="AW133" s="93" t="str" cm="1">
        <f t="array" ref="AW133">_xlfn.LET(
  _xlpm.w, AW$11,
  _xlpm.r, MATCH(1,('3. Enter Indicator Scores'!$B$10:$B$161=$B133)*('3. Enter Indicator Scores'!$C$10:$C$161=$C133),0),
  _xlpm.c, MATCH(AW$8,'3. Enter Indicator Scores'!$D$8:$CZ$8,0),
  _xlpm.v, IFERROR(INDEX('3. Enter Indicator Scores'!$D$10:$CZ$161,_xlpm.r,_xlpm.c),""),
  IF(OR(_xlpm.w="",_xlpm.v=""),"",_xlpm.v*_xlpm.w)
)</f>
        <v/>
      </c>
      <c r="AX133" s="93" t="str" cm="1">
        <f t="array" ref="AX133">_xlfn.LET(
  _xlpm.w, AX$11,
  _xlpm.r, MATCH(1,('3. Enter Indicator Scores'!$B$10:$B$161=$B133)*('3. Enter Indicator Scores'!$C$10:$C$161=$C133),0),
  _xlpm.c, MATCH(AX$8,'3. Enter Indicator Scores'!$D$8:$CZ$8,0),
  _xlpm.v, IFERROR(INDEX('3. Enter Indicator Scores'!$D$10:$CZ$161,_xlpm.r,_xlpm.c),""),
  IF(OR(_xlpm.w="",_xlpm.v=""),"",_xlpm.v*_xlpm.w)
)</f>
        <v/>
      </c>
      <c r="AY133" s="93" t="str" cm="1">
        <f t="array" ref="AY133">_xlfn.LET(
  _xlpm.w, AY$11,
  _xlpm.r, MATCH(1,('3. Enter Indicator Scores'!$B$10:$B$161=$B133)*('3. Enter Indicator Scores'!$C$10:$C$161=$C133),0),
  _xlpm.c, MATCH(AY$8,'3. Enter Indicator Scores'!$D$8:$CZ$8,0),
  _xlpm.v, IFERROR(INDEX('3. Enter Indicator Scores'!$D$10:$CZ$161,_xlpm.r,_xlpm.c),""),
  IF(OR(_xlpm.w="",_xlpm.v=""),"",_xlpm.v*_xlpm.w)
)</f>
        <v/>
      </c>
      <c r="AZ133" s="93" t="str" cm="1">
        <f t="array" ref="AZ133">_xlfn.LET(
  _xlpm.w, AZ$11,
  _xlpm.r, MATCH(1,('3. Enter Indicator Scores'!$B$10:$B$161=$B133)*('3. Enter Indicator Scores'!$C$10:$C$161=$C133),0),
  _xlpm.c, MATCH(AZ$8,'3. Enter Indicator Scores'!$D$8:$CZ$8,0),
  _xlpm.v, IFERROR(INDEX('3. Enter Indicator Scores'!$D$10:$CZ$161,_xlpm.r,_xlpm.c),""),
  IF(OR(_xlpm.w="",_xlpm.v=""),"",_xlpm.v*_xlpm.w)
)</f>
        <v/>
      </c>
      <c r="BA133" s="93" t="str" cm="1">
        <f t="array" ref="BA133">_xlfn.LET(
  _xlpm.w, BA$11,
  _xlpm.r, MATCH(1,('3. Enter Indicator Scores'!$B$10:$B$161=$B133)*('3. Enter Indicator Scores'!$C$10:$C$161=$C133),0),
  _xlpm.c, MATCH(BA$8,'3. Enter Indicator Scores'!$D$8:$CZ$8,0),
  _xlpm.v, IFERROR(INDEX('3. Enter Indicator Scores'!$D$10:$CZ$161,_xlpm.r,_xlpm.c),""),
  IF(OR(_xlpm.w="",_xlpm.v=""),"",_xlpm.v*_xlpm.w)
)</f>
        <v/>
      </c>
      <c r="BB133" s="93" t="str" cm="1">
        <f t="array" ref="BB133">_xlfn.LET(
  _xlpm.w, BB$11,
  _xlpm.r, MATCH(1,('3. Enter Indicator Scores'!$B$10:$B$161=$B133)*('3. Enter Indicator Scores'!$C$10:$C$161=$C133),0),
  _xlpm.c, MATCH(BB$8,'3. Enter Indicator Scores'!$D$8:$CZ$8,0),
  _xlpm.v, IFERROR(INDEX('3. Enter Indicator Scores'!$D$10:$CZ$161,_xlpm.r,_xlpm.c),""),
  IF(OR(_xlpm.w="",_xlpm.v=""),"",_xlpm.v*_xlpm.w)
)</f>
        <v/>
      </c>
      <c r="BC133" s="93" t="str" cm="1">
        <f t="array" ref="BC133">_xlfn.LET(
  _xlpm.w, BC$11,
  _xlpm.r, MATCH(1,('3. Enter Indicator Scores'!$B$10:$B$161=$B133)*('3. Enter Indicator Scores'!$C$10:$C$161=$C133),0),
  _xlpm.c, MATCH(BC$8,'3. Enter Indicator Scores'!$D$8:$CZ$8,0),
  _xlpm.v, IFERROR(INDEX('3. Enter Indicator Scores'!$D$10:$CZ$161,_xlpm.r,_xlpm.c),""),
  IF(OR(_xlpm.w="",_xlpm.v=""),"",_xlpm.v*_xlpm.w)
)</f>
        <v/>
      </c>
      <c r="BD133" s="93" t="str" cm="1">
        <f t="array" ref="BD133">_xlfn.LET(
  _xlpm.w, BD$11,
  _xlpm.r, MATCH(1,('3. Enter Indicator Scores'!$B$10:$B$161=$B133)*('3. Enter Indicator Scores'!$C$10:$C$161=$C133),0),
  _xlpm.c, MATCH(BD$8,'3. Enter Indicator Scores'!$D$8:$CZ$8,0),
  _xlpm.v, IFERROR(INDEX('3. Enter Indicator Scores'!$D$10:$CZ$161,_xlpm.r,_xlpm.c),""),
  IF(OR(_xlpm.w="",_xlpm.v=""),"",_xlpm.v*_xlpm.w)
)</f>
        <v/>
      </c>
      <c r="BE133" s="93" t="str" cm="1">
        <f t="array" ref="BE133">_xlfn.LET(
  _xlpm.w, BE$11,
  _xlpm.r, MATCH(1,('3. Enter Indicator Scores'!$B$10:$B$161=$B133)*('3. Enter Indicator Scores'!$C$10:$C$161=$C133),0),
  _xlpm.c, MATCH(BE$8,'3. Enter Indicator Scores'!$D$8:$CZ$8,0),
  _xlpm.v, IFERROR(INDEX('3. Enter Indicator Scores'!$D$10:$CZ$161,_xlpm.r,_xlpm.c),""),
  IF(OR(_xlpm.w="",_xlpm.v=""),"",_xlpm.v*_xlpm.w)
)</f>
        <v/>
      </c>
      <c r="BF133" s="93" t="str" cm="1">
        <f t="array" ref="BF133">_xlfn.LET(
  _xlpm.w, BF$11,
  _xlpm.r, MATCH(1,('3. Enter Indicator Scores'!$B$10:$B$161=$B133)*('3. Enter Indicator Scores'!$C$10:$C$161=$C133),0),
  _xlpm.c, MATCH(BF$8,'3. Enter Indicator Scores'!$D$8:$CZ$8,0),
  _xlpm.v, IFERROR(INDEX('3. Enter Indicator Scores'!$D$10:$CZ$161,_xlpm.r,_xlpm.c),""),
  IF(OR(_xlpm.w="",_xlpm.v=""),"",_xlpm.v*_xlpm.w)
)</f>
        <v/>
      </c>
      <c r="BG133" s="93" t="str" cm="1">
        <f t="array" ref="BG133">_xlfn.LET(
  _xlpm.w, BG$11,
  _xlpm.r, MATCH(1,('3. Enter Indicator Scores'!$B$10:$B$161=$B133)*('3. Enter Indicator Scores'!$C$10:$C$161=$C133),0),
  _xlpm.c, MATCH(BG$8,'3. Enter Indicator Scores'!$D$8:$CZ$8,0),
  _xlpm.v, IFERROR(INDEX('3. Enter Indicator Scores'!$D$10:$CZ$161,_xlpm.r,_xlpm.c),""),
  IF(OR(_xlpm.w="",_xlpm.v=""),"",_xlpm.v*_xlpm.w)
)</f>
        <v/>
      </c>
      <c r="BH133" s="93" t="str" cm="1">
        <f t="array" ref="BH133">_xlfn.LET(
  _xlpm.w, BH$11,
  _xlpm.r, MATCH(1,('3. Enter Indicator Scores'!$B$10:$B$161=$B133)*('3. Enter Indicator Scores'!$C$10:$C$161=$C133),0),
  _xlpm.c, MATCH(BH$8,'3. Enter Indicator Scores'!$D$8:$CZ$8,0),
  _xlpm.v, IFERROR(INDEX('3. Enter Indicator Scores'!$D$10:$CZ$161,_xlpm.r,_xlpm.c),""),
  IF(OR(_xlpm.w="",_xlpm.v=""),"",_xlpm.v*_xlpm.w)
)</f>
        <v/>
      </c>
      <c r="BI133" s="93" t="str" cm="1">
        <f t="array" ref="BI133">_xlfn.LET(
  _xlpm.w, BI$11,
  _xlpm.r, MATCH(1,('3. Enter Indicator Scores'!$B$10:$B$161=$B133)*('3. Enter Indicator Scores'!$C$10:$C$161=$C133),0),
  _xlpm.c, MATCH(BI$8,'3. Enter Indicator Scores'!$D$8:$CZ$8,0),
  _xlpm.v, IFERROR(INDEX('3. Enter Indicator Scores'!$D$10:$CZ$161,_xlpm.r,_xlpm.c),""),
  IF(OR(_xlpm.w="",_xlpm.v=""),"",_xlpm.v*_xlpm.w)
)</f>
        <v/>
      </c>
      <c r="BJ133" s="93" t="str" cm="1">
        <f t="array" ref="BJ133">_xlfn.LET(
  _xlpm.w, BJ$11,
  _xlpm.r, MATCH(1,('3. Enter Indicator Scores'!$B$10:$B$161=$B133)*('3. Enter Indicator Scores'!$C$10:$C$161=$C133),0),
  _xlpm.c, MATCH(BJ$8,'3. Enter Indicator Scores'!$D$8:$CZ$8,0),
  _xlpm.v, IFERROR(INDEX('3. Enter Indicator Scores'!$D$10:$CZ$161,_xlpm.r,_xlpm.c),""),
  IF(OR(_xlpm.w="",_xlpm.v=""),"",_xlpm.v*_xlpm.w)
)</f>
        <v/>
      </c>
      <c r="BK133" s="93" t="str" cm="1">
        <f t="array" ref="BK133">_xlfn.LET(
  _xlpm.w, BK$11,
  _xlpm.r, MATCH(1,('3. Enter Indicator Scores'!$B$10:$B$161=$B133)*('3. Enter Indicator Scores'!$C$10:$C$161=$C133),0),
  _xlpm.c, MATCH(BK$8,'3. Enter Indicator Scores'!$D$8:$CZ$8,0),
  _xlpm.v, IFERROR(INDEX('3. Enter Indicator Scores'!$D$10:$CZ$161,_xlpm.r,_xlpm.c),""),
  IF(OR(_xlpm.w="",_xlpm.v=""),"",_xlpm.v*_xlpm.w)
)</f>
        <v/>
      </c>
      <c r="BL133" s="93" t="str" cm="1">
        <f t="array" ref="BL133">_xlfn.LET(
  _xlpm.w, BL$11,
  _xlpm.r, MATCH(1,('3. Enter Indicator Scores'!$B$10:$B$161=$B133)*('3. Enter Indicator Scores'!$C$10:$C$161=$C133),0),
  _xlpm.c, MATCH(BL$8,'3. Enter Indicator Scores'!$D$8:$CZ$8,0),
  _xlpm.v, IFERROR(INDEX('3. Enter Indicator Scores'!$D$10:$CZ$161,_xlpm.r,_xlpm.c),""),
  IF(OR(_xlpm.w="",_xlpm.v=""),"",_xlpm.v*_xlpm.w)
)</f>
        <v/>
      </c>
      <c r="BM133" s="93" t="str" cm="1">
        <f t="array" ref="BM133">_xlfn.LET(
  _xlpm.w, BM$11,
  _xlpm.r, MATCH(1,('3. Enter Indicator Scores'!$B$10:$B$161=$B133)*('3. Enter Indicator Scores'!$C$10:$C$161=$C133),0),
  _xlpm.c, MATCH(BM$8,'3. Enter Indicator Scores'!$D$8:$CZ$8,0),
  _xlpm.v, IFERROR(INDEX('3. Enter Indicator Scores'!$D$10:$CZ$161,_xlpm.r,_xlpm.c),""),
  IF(OR(_xlpm.w="",_xlpm.v=""),"",_xlpm.v*_xlpm.w)
)</f>
        <v/>
      </c>
      <c r="BN133" s="93" t="str" cm="1">
        <f t="array" ref="BN133">_xlfn.LET(
  _xlpm.w, BN$11,
  _xlpm.r, MATCH(1,('3. Enter Indicator Scores'!$B$10:$B$161=$B133)*('3. Enter Indicator Scores'!$C$10:$C$161=$C133),0),
  _xlpm.c, MATCH(BN$8,'3. Enter Indicator Scores'!$D$8:$CZ$8,0),
  _xlpm.v, IFERROR(INDEX('3. Enter Indicator Scores'!$D$10:$CZ$161,_xlpm.r,_xlpm.c),""),
  IF(OR(_xlpm.w="",_xlpm.v=""),"",_xlpm.v*_xlpm.w)
)</f>
        <v/>
      </c>
      <c r="BO133" s="93" t="str" cm="1">
        <f t="array" ref="BO133">_xlfn.LET(
  _xlpm.w, BO$11,
  _xlpm.r, MATCH(1,('3. Enter Indicator Scores'!$B$10:$B$161=$B133)*('3. Enter Indicator Scores'!$C$10:$C$161=$C133),0),
  _xlpm.c, MATCH(BO$8,'3. Enter Indicator Scores'!$D$8:$CZ$8,0),
  _xlpm.v, IFERROR(INDEX('3. Enter Indicator Scores'!$D$10:$CZ$161,_xlpm.r,_xlpm.c),""),
  IF(OR(_xlpm.w="",_xlpm.v=""),"",_xlpm.v*_xlpm.w)
)</f>
        <v/>
      </c>
      <c r="BP133" s="93" t="str" cm="1">
        <f t="array" ref="BP133">_xlfn.LET(
  _xlpm.w, BP$11,
  _xlpm.r, MATCH(1,('3. Enter Indicator Scores'!$B$10:$B$161=$B133)*('3. Enter Indicator Scores'!$C$10:$C$161=$C133),0),
  _xlpm.c, MATCH(BP$8,'3. Enter Indicator Scores'!$D$8:$CZ$8,0),
  _xlpm.v, IFERROR(INDEX('3. Enter Indicator Scores'!$D$10:$CZ$161,_xlpm.r,_xlpm.c),""),
  IF(OR(_xlpm.w="",_xlpm.v=""),"",_xlpm.v*_xlpm.w)
)</f>
        <v/>
      </c>
      <c r="BQ133" s="93" t="str" cm="1">
        <f t="array" ref="BQ133">_xlfn.LET(
  _xlpm.w, BQ$11,
  _xlpm.r, MATCH(1,('3. Enter Indicator Scores'!$B$10:$B$161=$B133)*('3. Enter Indicator Scores'!$C$10:$C$161=$C133),0),
  _xlpm.c, MATCH(BQ$8,'3. Enter Indicator Scores'!$D$8:$CZ$8,0),
  _xlpm.v, IFERROR(INDEX('3. Enter Indicator Scores'!$D$10:$CZ$161,_xlpm.r,_xlpm.c),""),
  IF(OR(_xlpm.w="",_xlpm.v=""),"",_xlpm.v*_xlpm.w)
)</f>
        <v/>
      </c>
      <c r="BR133" s="93" t="str" cm="1">
        <f t="array" ref="BR133">_xlfn.LET(
  _xlpm.w, BR$11,
  _xlpm.r, MATCH(1,('3. Enter Indicator Scores'!$B$10:$B$161=$B133)*('3. Enter Indicator Scores'!$C$10:$C$161=$C133),0),
  _xlpm.c, MATCH(BR$8,'3. Enter Indicator Scores'!$D$8:$CZ$8,0),
  _xlpm.v, IFERROR(INDEX('3. Enter Indicator Scores'!$D$10:$CZ$161,_xlpm.r,_xlpm.c),""),
  IF(OR(_xlpm.w="",_xlpm.v=""),"",_xlpm.v*_xlpm.w)
)</f>
        <v/>
      </c>
      <c r="BS133" s="93" t="str" cm="1">
        <f t="array" ref="BS133">_xlfn.LET(
  _xlpm.w, BS$11,
  _xlpm.r, MATCH(1,('3. Enter Indicator Scores'!$B$10:$B$161=$B133)*('3. Enter Indicator Scores'!$C$10:$C$161=$C133),0),
  _xlpm.c, MATCH(BS$8,'3. Enter Indicator Scores'!$D$8:$CZ$8,0),
  _xlpm.v, IFERROR(INDEX('3. Enter Indicator Scores'!$D$10:$CZ$161,_xlpm.r,_xlpm.c),""),
  IF(OR(_xlpm.w="",_xlpm.v=""),"",_xlpm.v*_xlpm.w)
)</f>
        <v/>
      </c>
      <c r="BT133" s="93" t="str" cm="1">
        <f t="array" ref="BT133">_xlfn.LET(
  _xlpm.w, BT$11,
  _xlpm.r, MATCH(1,('3. Enter Indicator Scores'!$B$10:$B$161=$B133)*('3. Enter Indicator Scores'!$C$10:$C$161=$C133),0),
  _xlpm.c, MATCH(BT$8,'3. Enter Indicator Scores'!$D$8:$CZ$8,0),
  _xlpm.v, IFERROR(INDEX('3. Enter Indicator Scores'!$D$10:$CZ$161,_xlpm.r,_xlpm.c),""),
  IF(OR(_xlpm.w="",_xlpm.v=""),"",_xlpm.v*_xlpm.w)
)</f>
        <v/>
      </c>
      <c r="BU133" s="93" t="str" cm="1">
        <f t="array" ref="BU133">_xlfn.LET(
  _xlpm.w, BU$11,
  _xlpm.r, MATCH(1,('3. Enter Indicator Scores'!$B$10:$B$161=$B133)*('3. Enter Indicator Scores'!$C$10:$C$161=$C133),0),
  _xlpm.c, MATCH(BU$8,'3. Enter Indicator Scores'!$D$8:$CZ$8,0),
  _xlpm.v, IFERROR(INDEX('3. Enter Indicator Scores'!$D$10:$CZ$161,_xlpm.r,_xlpm.c),""),
  IF(OR(_xlpm.w="",_xlpm.v=""),"",_xlpm.v*_xlpm.w)
)</f>
        <v/>
      </c>
      <c r="BV133" s="93" t="str" cm="1">
        <f t="array" ref="BV133">_xlfn.LET(
  _xlpm.w, BV$11,
  _xlpm.r, MATCH(1,('3. Enter Indicator Scores'!$B$10:$B$161=$B133)*('3. Enter Indicator Scores'!$C$10:$C$161=$C133),0),
  _xlpm.c, MATCH(BV$8,'3. Enter Indicator Scores'!$D$8:$CZ$8,0),
  _xlpm.v, IFERROR(INDEX('3. Enter Indicator Scores'!$D$10:$CZ$161,_xlpm.r,_xlpm.c),""),
  IF(OR(_xlpm.w="",_xlpm.v=""),"",_xlpm.v*_xlpm.w)
)</f>
        <v/>
      </c>
      <c r="BW133" s="93" t="str" cm="1">
        <f t="array" ref="BW133">_xlfn.LET(
  _xlpm.w, BW$11,
  _xlpm.r, MATCH(1,('3. Enter Indicator Scores'!$B$10:$B$161=$B133)*('3. Enter Indicator Scores'!$C$10:$C$161=$C133),0),
  _xlpm.c, MATCH(BW$8,'3. Enter Indicator Scores'!$D$8:$CZ$8,0),
  _xlpm.v, IFERROR(INDEX('3. Enter Indicator Scores'!$D$10:$CZ$161,_xlpm.r,_xlpm.c),""),
  IF(OR(_xlpm.w="",_xlpm.v=""),"",_xlpm.v*_xlpm.w)
)</f>
        <v/>
      </c>
      <c r="BX133" s="93" t="str" cm="1">
        <f t="array" ref="BX133">_xlfn.LET(
  _xlpm.w, BX$11,
  _xlpm.r, MATCH(1,('3. Enter Indicator Scores'!$B$10:$B$161=$B133)*('3. Enter Indicator Scores'!$C$10:$C$161=$C133),0),
  _xlpm.c, MATCH(BX$8,'3. Enter Indicator Scores'!$D$8:$CZ$8,0),
  _xlpm.v, IFERROR(INDEX('3. Enter Indicator Scores'!$D$10:$CZ$161,_xlpm.r,_xlpm.c),""),
  IF(OR(_xlpm.w="",_xlpm.v=""),"",_xlpm.v*_xlpm.w)
)</f>
        <v/>
      </c>
      <c r="BY133" s="93" t="str" cm="1">
        <f t="array" ref="BY133">_xlfn.LET(
  _xlpm.w, BY$11,
  _xlpm.r, MATCH(1,('3. Enter Indicator Scores'!$B$10:$B$161=$B133)*('3. Enter Indicator Scores'!$C$10:$C$161=$C133),0),
  _xlpm.c, MATCH(BY$8,'3. Enter Indicator Scores'!$D$8:$CZ$8,0),
  _xlpm.v, IFERROR(INDEX('3. Enter Indicator Scores'!$D$10:$CZ$161,_xlpm.r,_xlpm.c),""),
  IF(OR(_xlpm.w="",_xlpm.v=""),"",_xlpm.v*_xlpm.w)
)</f>
        <v/>
      </c>
      <c r="BZ133" s="93" t="str" cm="1">
        <f t="array" ref="BZ133">_xlfn.LET(
  _xlpm.w, BZ$11,
  _xlpm.r, MATCH(1,('3. Enter Indicator Scores'!$B$10:$B$161=$B133)*('3. Enter Indicator Scores'!$C$10:$C$161=$C133),0),
  _xlpm.c, MATCH(BZ$8,'3. Enter Indicator Scores'!$D$8:$CZ$8,0),
  _xlpm.v, IFERROR(INDEX('3. Enter Indicator Scores'!$D$10:$CZ$161,_xlpm.r,_xlpm.c),""),
  IF(OR(_xlpm.w="",_xlpm.v=""),"",_xlpm.v*_xlpm.w)
)</f>
        <v/>
      </c>
      <c r="CA133" s="93" t="str" cm="1">
        <f t="array" ref="CA133">_xlfn.LET(
  _xlpm.w, CA$11,
  _xlpm.r, MATCH(1,('3. Enter Indicator Scores'!$B$10:$B$161=$B133)*('3. Enter Indicator Scores'!$C$10:$C$161=$C133),0),
  _xlpm.c, MATCH(CA$8,'3. Enter Indicator Scores'!$D$8:$CZ$8,0),
  _xlpm.v, IFERROR(INDEX('3. Enter Indicator Scores'!$D$10:$CZ$161,_xlpm.r,_xlpm.c),""),
  IF(OR(_xlpm.w="",_xlpm.v=""),"",_xlpm.v*_xlpm.w)
)</f>
        <v/>
      </c>
      <c r="CB133" s="93" t="str" cm="1">
        <f t="array" ref="CB133">_xlfn.LET(
  _xlpm.w, CB$11,
  _xlpm.r, MATCH(1,('3. Enter Indicator Scores'!$B$10:$B$161=$B133)*('3. Enter Indicator Scores'!$C$10:$C$161=$C133),0),
  _xlpm.c, MATCH(CB$8,'3. Enter Indicator Scores'!$D$8:$CZ$8,0),
  _xlpm.v, IFERROR(INDEX('3. Enter Indicator Scores'!$D$10:$CZ$161,_xlpm.r,_xlpm.c),""),
  IF(OR(_xlpm.w="",_xlpm.v=""),"",_xlpm.v*_xlpm.w)
)</f>
        <v/>
      </c>
      <c r="CC133" s="93" t="str" cm="1">
        <f t="array" ref="CC133">_xlfn.LET(
  _xlpm.w, CC$11,
  _xlpm.r, MATCH(1,('3. Enter Indicator Scores'!$B$10:$B$161=$B133)*('3. Enter Indicator Scores'!$C$10:$C$161=$C133),0),
  _xlpm.c, MATCH(CC$8,'3. Enter Indicator Scores'!$D$8:$CZ$8,0),
  _xlpm.v, IFERROR(INDEX('3. Enter Indicator Scores'!$D$10:$CZ$161,_xlpm.r,_xlpm.c),""),
  IF(OR(_xlpm.w="",_xlpm.v=""),"",_xlpm.v*_xlpm.w)
)</f>
        <v/>
      </c>
      <c r="CD133" s="93" t="str" cm="1">
        <f t="array" ref="CD133">_xlfn.LET(
  _xlpm.w, CD$11,
  _xlpm.r, MATCH(1,('3. Enter Indicator Scores'!$B$10:$B$161=$B133)*('3. Enter Indicator Scores'!$C$10:$C$161=$C133),0),
  _xlpm.c, MATCH(CD$8,'3. Enter Indicator Scores'!$D$8:$CZ$8,0),
  _xlpm.v, IFERROR(INDEX('3. Enter Indicator Scores'!$D$10:$CZ$161,_xlpm.r,_xlpm.c),""),
  IF(OR(_xlpm.w="",_xlpm.v=""),"",_xlpm.v*_xlpm.w)
)</f>
        <v/>
      </c>
      <c r="CE133" s="93" t="str" cm="1">
        <f t="array" ref="CE133">_xlfn.LET(
  _xlpm.w, CE$11,
  _xlpm.r, MATCH(1,('3. Enter Indicator Scores'!$B$10:$B$161=$B133)*('3. Enter Indicator Scores'!$C$10:$C$161=$C133),0),
  _xlpm.c, MATCH(CE$8,'3. Enter Indicator Scores'!$D$8:$CZ$8,0),
  _xlpm.v, IFERROR(INDEX('3. Enter Indicator Scores'!$D$10:$CZ$161,_xlpm.r,_xlpm.c),""),
  IF(OR(_xlpm.w="",_xlpm.v=""),"",_xlpm.v*_xlpm.w)
)</f>
        <v/>
      </c>
      <c r="CF133" s="93" t="str" cm="1">
        <f t="array" ref="CF133">_xlfn.LET(
  _xlpm.w, CF$11,
  _xlpm.r, MATCH(1,('3. Enter Indicator Scores'!$B$10:$B$161=$B133)*('3. Enter Indicator Scores'!$C$10:$C$161=$C133),0),
  _xlpm.c, MATCH(CF$8,'3. Enter Indicator Scores'!$D$8:$CZ$8,0),
  _xlpm.v, IFERROR(INDEX('3. Enter Indicator Scores'!$D$10:$CZ$161,_xlpm.r,_xlpm.c),""),
  IF(OR(_xlpm.w="",_xlpm.v=""),"",_xlpm.v*_xlpm.w)
)</f>
        <v/>
      </c>
      <c r="CG133" s="93" t="str" cm="1">
        <f t="array" ref="CG133">_xlfn.LET(
  _xlpm.w, CG$11,
  _xlpm.r, MATCH(1,('3. Enter Indicator Scores'!$B$10:$B$161=$B133)*('3. Enter Indicator Scores'!$C$10:$C$161=$C133),0),
  _xlpm.c, MATCH(CG$8,'3. Enter Indicator Scores'!$D$8:$CZ$8,0),
  _xlpm.v, IFERROR(INDEX('3. Enter Indicator Scores'!$D$10:$CZ$161,_xlpm.r,_xlpm.c),""),
  IF(OR(_xlpm.w="",_xlpm.v=""),"",_xlpm.v*_xlpm.w)
)</f>
        <v/>
      </c>
      <c r="CH133" s="93" t="str" cm="1">
        <f t="array" ref="CH133">_xlfn.LET(
  _xlpm.w, CH$11,
  _xlpm.r, MATCH(1,('3. Enter Indicator Scores'!$B$10:$B$161=$B133)*('3. Enter Indicator Scores'!$C$10:$C$161=$C133),0),
  _xlpm.c, MATCH(CH$8,'3. Enter Indicator Scores'!$D$8:$CZ$8,0),
  _xlpm.v, IFERROR(INDEX('3. Enter Indicator Scores'!$D$10:$CZ$161,_xlpm.r,_xlpm.c),""),
  IF(OR(_xlpm.w="",_xlpm.v=""),"",_xlpm.v*_xlpm.w)
)</f>
        <v/>
      </c>
      <c r="CI133" s="93" t="str" cm="1">
        <f t="array" ref="CI133">_xlfn.LET(
  _xlpm.w, CI$11,
  _xlpm.r, MATCH(1,('3. Enter Indicator Scores'!$B$10:$B$161=$B133)*('3. Enter Indicator Scores'!$C$10:$C$161=$C133),0),
  _xlpm.c, MATCH(CI$8,'3. Enter Indicator Scores'!$D$8:$CZ$8,0),
  _xlpm.v, IFERROR(INDEX('3. Enter Indicator Scores'!$D$10:$CZ$161,_xlpm.r,_xlpm.c),""),
  IF(OR(_xlpm.w="",_xlpm.v=""),"",_xlpm.v*_xlpm.w)
)</f>
        <v/>
      </c>
      <c r="CJ133" s="93" t="str" cm="1">
        <f t="array" ref="CJ133">_xlfn.LET(
  _xlpm.w, CJ$11,
  _xlpm.r, MATCH(1,('3. Enter Indicator Scores'!$B$10:$B$161=$B133)*('3. Enter Indicator Scores'!$C$10:$C$161=$C133),0),
  _xlpm.c, MATCH(CJ$8,'3. Enter Indicator Scores'!$D$8:$CZ$8,0),
  _xlpm.v, IFERROR(INDEX('3. Enter Indicator Scores'!$D$10:$CZ$161,_xlpm.r,_xlpm.c),""),
  IF(OR(_xlpm.w="",_xlpm.v=""),"",_xlpm.v*_xlpm.w)
)</f>
        <v/>
      </c>
      <c r="CK133" s="93" t="str" cm="1">
        <f t="array" ref="CK133">_xlfn.LET(
  _xlpm.w, CK$11,
  _xlpm.r, MATCH(1,('3. Enter Indicator Scores'!$B$10:$B$161=$B133)*('3. Enter Indicator Scores'!$C$10:$C$161=$C133),0),
  _xlpm.c, MATCH(CK$8,'3. Enter Indicator Scores'!$D$8:$CZ$8,0),
  _xlpm.v, IFERROR(INDEX('3. Enter Indicator Scores'!$D$10:$CZ$161,_xlpm.r,_xlpm.c),""),
  IF(OR(_xlpm.w="",_xlpm.v=""),"",_xlpm.v*_xlpm.w)
)</f>
        <v/>
      </c>
      <c r="CL133" s="93" t="str" cm="1">
        <f t="array" ref="CL133">_xlfn.LET(
  _xlpm.w, CL$11,
  _xlpm.r, MATCH(1,('3. Enter Indicator Scores'!$B$10:$B$161=$B133)*('3. Enter Indicator Scores'!$C$10:$C$161=$C133),0),
  _xlpm.c, MATCH(CL$8,'3. Enter Indicator Scores'!$D$8:$CZ$8,0),
  _xlpm.v, IFERROR(INDEX('3. Enter Indicator Scores'!$D$10:$CZ$161,_xlpm.r,_xlpm.c),""),
  IF(OR(_xlpm.w="",_xlpm.v=""),"",_xlpm.v*_xlpm.w)
)</f>
        <v/>
      </c>
      <c r="CM133" s="93" t="str" cm="1">
        <f t="array" ref="CM133">_xlfn.LET(
  _xlpm.w, CM$11,
  _xlpm.r, MATCH(1,('3. Enter Indicator Scores'!$B$10:$B$161=$B133)*('3. Enter Indicator Scores'!$C$10:$C$161=$C133),0),
  _xlpm.c, MATCH(CM$8,'3. Enter Indicator Scores'!$D$8:$CZ$8,0),
  _xlpm.v, IFERROR(INDEX('3. Enter Indicator Scores'!$D$10:$CZ$161,_xlpm.r,_xlpm.c),""),
  IF(OR(_xlpm.w="",_xlpm.v=""),"",_xlpm.v*_xlpm.w)
)</f>
        <v/>
      </c>
      <c r="CN133" s="93" t="str" cm="1">
        <f t="array" ref="CN133">_xlfn.LET(
  _xlpm.w, CN$11,
  _xlpm.r, MATCH(1,('3. Enter Indicator Scores'!$B$10:$B$161=$B133)*('3. Enter Indicator Scores'!$C$10:$C$161=$C133),0),
  _xlpm.c, MATCH(CN$8,'3. Enter Indicator Scores'!$D$8:$CZ$8,0),
  _xlpm.v, IFERROR(INDEX('3. Enter Indicator Scores'!$D$10:$CZ$161,_xlpm.r,_xlpm.c),""),
  IF(OR(_xlpm.w="",_xlpm.v=""),"",_xlpm.v*_xlpm.w)
)</f>
        <v/>
      </c>
      <c r="CO133" s="93" t="str" cm="1">
        <f t="array" ref="CO133">_xlfn.LET(
  _xlpm.w, CO$11,
  _xlpm.r, MATCH(1,('3. Enter Indicator Scores'!$B$10:$B$161=$B133)*('3. Enter Indicator Scores'!$C$10:$C$161=$C133),0),
  _xlpm.c, MATCH(CO$8,'3. Enter Indicator Scores'!$D$8:$CZ$8,0),
  _xlpm.v, IFERROR(INDEX('3. Enter Indicator Scores'!$D$10:$CZ$161,_xlpm.r,_xlpm.c),""),
  IF(OR(_xlpm.w="",_xlpm.v=""),"",_xlpm.v*_xlpm.w)
)</f>
        <v/>
      </c>
      <c r="CP133" s="93" t="str" cm="1">
        <f t="array" ref="CP133">_xlfn.LET(
  _xlpm.w, CP$11,
  _xlpm.r, MATCH(1,('3. Enter Indicator Scores'!$B$10:$B$161=$B133)*('3. Enter Indicator Scores'!$C$10:$C$161=$C133),0),
  _xlpm.c, MATCH(CP$8,'3. Enter Indicator Scores'!$D$8:$CZ$8,0),
  _xlpm.v, IFERROR(INDEX('3. Enter Indicator Scores'!$D$10:$CZ$161,_xlpm.r,_xlpm.c),""),
  IF(OR(_xlpm.w="",_xlpm.v=""),"",_xlpm.v*_xlpm.w)
)</f>
        <v/>
      </c>
      <c r="CQ133" s="93" t="str" cm="1">
        <f t="array" ref="CQ133">_xlfn.LET(
  _xlpm.w, CQ$11,
  _xlpm.r, MATCH(1,('3. Enter Indicator Scores'!$B$10:$B$161=$B133)*('3. Enter Indicator Scores'!$C$10:$C$161=$C133),0),
  _xlpm.c, MATCH(CQ$8,'3. Enter Indicator Scores'!$D$8:$CZ$8,0),
  _xlpm.v, IFERROR(INDEX('3. Enter Indicator Scores'!$D$10:$CZ$161,_xlpm.r,_xlpm.c),""),
  IF(OR(_xlpm.w="",_xlpm.v=""),"",_xlpm.v*_xlpm.w)
)</f>
        <v/>
      </c>
      <c r="CR133" s="93" t="str" cm="1">
        <f t="array" ref="CR133">_xlfn.LET(
  _xlpm.w, CR$11,
  _xlpm.r, MATCH(1,('3. Enter Indicator Scores'!$B$10:$B$161=$B133)*('3. Enter Indicator Scores'!$C$10:$C$161=$C133),0),
  _xlpm.c, MATCH(CR$8,'3. Enter Indicator Scores'!$D$8:$CZ$8,0),
  _xlpm.v, IFERROR(INDEX('3. Enter Indicator Scores'!$D$10:$CZ$161,_xlpm.r,_xlpm.c),""),
  IF(OR(_xlpm.w="",_xlpm.v=""),"",_xlpm.v*_xlpm.w)
)</f>
        <v/>
      </c>
      <c r="CS133" s="93" t="str" cm="1">
        <f t="array" ref="CS133">_xlfn.LET(
  _xlpm.w, CS$11,
  _xlpm.r, MATCH(1,('3. Enter Indicator Scores'!$B$10:$B$161=$B133)*('3. Enter Indicator Scores'!$C$10:$C$161=$C133),0),
  _xlpm.c, MATCH(CS$8,'3. Enter Indicator Scores'!$D$8:$CZ$8,0),
  _xlpm.v, IFERROR(INDEX('3. Enter Indicator Scores'!$D$10:$CZ$161,_xlpm.r,_xlpm.c),""),
  IF(OR(_xlpm.w="",_xlpm.v=""),"",_xlpm.v*_xlpm.w)
)</f>
        <v/>
      </c>
      <c r="CT133" s="93" t="str" cm="1">
        <f t="array" ref="CT133">_xlfn.LET(
  _xlpm.w, CT$11,
  _xlpm.r, MATCH(1,('3. Enter Indicator Scores'!$B$10:$B$161=$B133)*('3. Enter Indicator Scores'!$C$10:$C$161=$C133),0),
  _xlpm.c, MATCH(CT$8,'3. Enter Indicator Scores'!$D$8:$CZ$8,0),
  _xlpm.v, IFERROR(INDEX('3. Enter Indicator Scores'!$D$10:$CZ$161,_xlpm.r,_xlpm.c),""),
  IF(OR(_xlpm.w="",_xlpm.v=""),"",_xlpm.v*_xlpm.w)
)</f>
        <v/>
      </c>
      <c r="CU133" s="93" t="str" cm="1">
        <f t="array" ref="CU133">_xlfn.LET(
  _xlpm.w, CU$11,
  _xlpm.r, MATCH(1,('3. Enter Indicator Scores'!$B$10:$B$161=$B133)*('3. Enter Indicator Scores'!$C$10:$C$161=$C133),0),
  _xlpm.c, MATCH(CU$8,'3. Enter Indicator Scores'!$D$8:$CZ$8,0),
  _xlpm.v, IFERROR(INDEX('3. Enter Indicator Scores'!$D$10:$CZ$161,_xlpm.r,_xlpm.c),""),
  IF(OR(_xlpm.w="",_xlpm.v=""),"",_xlpm.v*_xlpm.w)
)</f>
        <v/>
      </c>
      <c r="CV133" s="93" t="str" cm="1">
        <f t="array" ref="CV133">_xlfn.LET(
  _xlpm.w, CV$11,
  _xlpm.r, MATCH(1,('3. Enter Indicator Scores'!$B$10:$B$161=$B133)*('3. Enter Indicator Scores'!$C$10:$C$161=$C133),0),
  _xlpm.c, MATCH(CV$8,'3. Enter Indicator Scores'!$D$8:$CZ$8,0),
  _xlpm.v, IFERROR(INDEX('3. Enter Indicator Scores'!$D$10:$CZ$161,_xlpm.r,_xlpm.c),""),
  IF(OR(_xlpm.w="",_xlpm.v=""),"",_xlpm.v*_xlpm.w)
)</f>
        <v/>
      </c>
      <c r="CW133" s="93" t="str" cm="1">
        <f t="array" ref="CW133">_xlfn.LET(
  _xlpm.w, CW$11,
  _xlpm.r, MATCH(1,('3. Enter Indicator Scores'!$B$10:$B$161=$B133)*('3. Enter Indicator Scores'!$C$10:$C$161=$C133),0),
  _xlpm.c, MATCH(CW$8,'3. Enter Indicator Scores'!$D$8:$CZ$8,0),
  _xlpm.v, IFERROR(INDEX('3. Enter Indicator Scores'!$D$10:$CZ$161,_xlpm.r,_xlpm.c),""),
  IF(OR(_xlpm.w="",_xlpm.v=""),"",_xlpm.v*_xlpm.w)
)</f>
        <v/>
      </c>
      <c r="CX133" s="93" t="str" cm="1">
        <f t="array" ref="CX133">_xlfn.LET(
  _xlpm.w, CX$11,
  _xlpm.r, MATCH(1,('3. Enter Indicator Scores'!$B$10:$B$161=$B133)*('3. Enter Indicator Scores'!$C$10:$C$161=$C133),0),
  _xlpm.c, MATCH(CX$8,'3. Enter Indicator Scores'!$D$8:$CZ$8,0),
  _xlpm.v, IFERROR(INDEX('3. Enter Indicator Scores'!$D$10:$CZ$161,_xlpm.r,_xlpm.c),""),
  IF(OR(_xlpm.w="",_xlpm.v=""),"",_xlpm.v*_xlpm.w)
)</f>
        <v/>
      </c>
      <c r="CY133" s="93" t="str" cm="1">
        <f t="array" ref="CY133">_xlfn.LET(
  _xlpm.w, CY$11,
  _xlpm.r, MATCH(1,('3. Enter Indicator Scores'!$B$10:$B$161=$B133)*('3. Enter Indicator Scores'!$C$10:$C$161=$C133),0),
  _xlpm.c, MATCH(CY$8,'3. Enter Indicator Scores'!$D$8:$CZ$8,0),
  _xlpm.v, IFERROR(INDEX('3. Enter Indicator Scores'!$D$10:$CZ$161,_xlpm.r,_xlpm.c),""),
  IF(OR(_xlpm.w="",_xlpm.v=""),"",_xlpm.v*_xlpm.w)
)</f>
        <v/>
      </c>
      <c r="CZ133" s="93" t="str" cm="1">
        <f t="array" ref="CZ133">_xlfn.LET(
  _xlpm.w, CZ$11,
  _xlpm.r, MATCH(1,('3. Enter Indicator Scores'!$B$10:$B$161=$B133)*('3. Enter Indicator Scores'!$C$10:$C$161=$C133),0),
  _xlpm.c, MATCH(CZ$8,'3. Enter Indicator Scores'!$D$8:$CZ$8,0),
  _xlpm.v, IFERROR(INDEX('3. Enter Indicator Scores'!$D$10:$CZ$161,_xlpm.r,_xlpm.c),""),
  IF(OR(_xlpm.w="",_xlpm.v=""),"",_xlpm.v*_xlpm.w)
)</f>
        <v/>
      </c>
    </row>
    <row r="134" spans="4:104" x14ac:dyDescent="0.2">
      <c r="D134" s="93" t="str" cm="1">
        <f t="array" ref="D134">_xlfn.LET(
  _xlpm.w, D$11,
  _xlpm.r, MATCH(1,('3. Enter Indicator Scores'!$B$10:$B$161=$B134)*('3. Enter Indicator Scores'!$C$10:$C$161=$C134),0),
  _xlpm.c, MATCH(D$8,'3. Enter Indicator Scores'!$D$8:$CZ$8,0),
  _xlpm.v, IFERROR(INDEX('3. Enter Indicator Scores'!$D$10:$CZ$161,_xlpm.r,_xlpm.c),""),
  IF(OR(_xlpm.w="",_xlpm.v=""),"",_xlpm.v*_xlpm.w)
)</f>
        <v/>
      </c>
      <c r="E134" s="93" t="str" cm="1">
        <f t="array" ref="E134">_xlfn.LET(
  _xlpm.w, E$11,
  _xlpm.r, MATCH(1,('3. Enter Indicator Scores'!$B$10:$B$161=$B134)*('3. Enter Indicator Scores'!$C$10:$C$161=$C134),0),
  _xlpm.c, MATCH(E$8,'3. Enter Indicator Scores'!$D$8:$CZ$8,0),
  _xlpm.v, IFERROR(INDEX('3. Enter Indicator Scores'!$D$10:$CZ$161,_xlpm.r,_xlpm.c),""),
  IF(OR(_xlpm.w="",_xlpm.v=""),"",_xlpm.v*_xlpm.w)
)</f>
        <v/>
      </c>
      <c r="F134" s="93" t="str" cm="1">
        <f t="array" ref="F134">_xlfn.LET(
  _xlpm.w, F$11,
  _xlpm.r, MATCH(1,('3. Enter Indicator Scores'!$B$10:$B$161=$B134)*('3. Enter Indicator Scores'!$C$10:$C$161=$C134),0),
  _xlpm.c, MATCH(F$8,'3. Enter Indicator Scores'!$D$8:$CZ$8,0),
  _xlpm.v, IFERROR(INDEX('3. Enter Indicator Scores'!$D$10:$CZ$161,_xlpm.r,_xlpm.c),""),
  IF(OR(_xlpm.w="",_xlpm.v=""),"",_xlpm.v*_xlpm.w)
)</f>
        <v/>
      </c>
      <c r="G134" s="93" t="str" cm="1">
        <f t="array" ref="G134">_xlfn.LET(
  _xlpm.w, G$11,
  _xlpm.r, MATCH(1,('3. Enter Indicator Scores'!$B$10:$B$161=$B134)*('3. Enter Indicator Scores'!$C$10:$C$161=$C134),0),
  _xlpm.c, MATCH(G$8,'3. Enter Indicator Scores'!$D$8:$CZ$8,0),
  _xlpm.v, IFERROR(INDEX('3. Enter Indicator Scores'!$D$10:$CZ$161,_xlpm.r,_xlpm.c),""),
  IF(OR(_xlpm.w="",_xlpm.v=""),"",_xlpm.v*_xlpm.w)
)</f>
        <v/>
      </c>
      <c r="H134" s="93" t="str" cm="1">
        <f t="array" ref="H134">_xlfn.LET(
  _xlpm.w, H$11,
  _xlpm.r, MATCH(1,('3. Enter Indicator Scores'!$B$10:$B$161=$B134)*('3. Enter Indicator Scores'!$C$10:$C$161=$C134),0),
  _xlpm.c, MATCH(H$8,'3. Enter Indicator Scores'!$D$8:$CZ$8,0),
  _xlpm.v, IFERROR(INDEX('3. Enter Indicator Scores'!$D$10:$CZ$161,_xlpm.r,_xlpm.c),""),
  IF(OR(_xlpm.w="",_xlpm.v=""),"",_xlpm.v*_xlpm.w)
)</f>
        <v/>
      </c>
      <c r="I134" s="93" t="str" cm="1">
        <f t="array" ref="I134">_xlfn.LET(
  _xlpm.w, I$11,
  _xlpm.r, MATCH(1,('3. Enter Indicator Scores'!$B$10:$B$161=$B134)*('3. Enter Indicator Scores'!$C$10:$C$161=$C134),0),
  _xlpm.c, MATCH(I$8,'3. Enter Indicator Scores'!$D$8:$CZ$8,0),
  _xlpm.v, IFERROR(INDEX('3. Enter Indicator Scores'!$D$10:$CZ$161,_xlpm.r,_xlpm.c),""),
  IF(OR(_xlpm.w="",_xlpm.v=""),"",_xlpm.v*_xlpm.w)
)</f>
        <v/>
      </c>
      <c r="J134" s="93" t="str" cm="1">
        <f t="array" ref="J134">_xlfn.LET(
  _xlpm.w, J$11,
  _xlpm.r, MATCH(1,('3. Enter Indicator Scores'!$B$10:$B$161=$B134)*('3. Enter Indicator Scores'!$C$10:$C$161=$C134),0),
  _xlpm.c, MATCH(J$8,'3. Enter Indicator Scores'!$D$8:$CZ$8,0),
  _xlpm.v, IFERROR(INDEX('3. Enter Indicator Scores'!$D$10:$CZ$161,_xlpm.r,_xlpm.c),""),
  IF(OR(_xlpm.w="",_xlpm.v=""),"",_xlpm.v*_xlpm.w)
)</f>
        <v/>
      </c>
      <c r="K134" s="93" t="str" cm="1">
        <f t="array" ref="K134">_xlfn.LET(
  _xlpm.w, K$11,
  _xlpm.r, MATCH(1,('3. Enter Indicator Scores'!$B$10:$B$161=$B134)*('3. Enter Indicator Scores'!$C$10:$C$161=$C134),0),
  _xlpm.c, MATCH(K$8,'3. Enter Indicator Scores'!$D$8:$CZ$8,0),
  _xlpm.v, IFERROR(INDEX('3. Enter Indicator Scores'!$D$10:$CZ$161,_xlpm.r,_xlpm.c),""),
  IF(OR(_xlpm.w="",_xlpm.v=""),"",_xlpm.v*_xlpm.w)
)</f>
        <v/>
      </c>
      <c r="L134" s="93" t="str" cm="1">
        <f t="array" ref="L134">_xlfn.LET(
  _xlpm.w, L$11,
  _xlpm.r, MATCH(1,('3. Enter Indicator Scores'!$B$10:$B$161=$B134)*('3. Enter Indicator Scores'!$C$10:$C$161=$C134),0),
  _xlpm.c, MATCH(L$8,'3. Enter Indicator Scores'!$D$8:$CZ$8,0),
  _xlpm.v, IFERROR(INDEX('3. Enter Indicator Scores'!$D$10:$CZ$161,_xlpm.r,_xlpm.c),""),
  IF(OR(_xlpm.w="",_xlpm.v=""),"",_xlpm.v*_xlpm.w)
)</f>
        <v/>
      </c>
      <c r="M134" s="93" t="str" cm="1">
        <f t="array" ref="M134">_xlfn.LET(
  _xlpm.w, M$11,
  _xlpm.r, MATCH(1,('3. Enter Indicator Scores'!$B$10:$B$161=$B134)*('3. Enter Indicator Scores'!$C$10:$C$161=$C134),0),
  _xlpm.c, MATCH(M$8,'3. Enter Indicator Scores'!$D$8:$CZ$8,0),
  _xlpm.v, IFERROR(INDEX('3. Enter Indicator Scores'!$D$10:$CZ$161,_xlpm.r,_xlpm.c),""),
  IF(OR(_xlpm.w="",_xlpm.v=""),"",_xlpm.v*_xlpm.w)
)</f>
        <v/>
      </c>
      <c r="N134" s="93" t="str" cm="1">
        <f t="array" ref="N134">_xlfn.LET(
  _xlpm.w, N$11,
  _xlpm.r, MATCH(1,('3. Enter Indicator Scores'!$B$10:$B$161=$B134)*('3. Enter Indicator Scores'!$C$10:$C$161=$C134),0),
  _xlpm.c, MATCH(N$8,'3. Enter Indicator Scores'!$D$8:$CZ$8,0),
  _xlpm.v, IFERROR(INDEX('3. Enter Indicator Scores'!$D$10:$CZ$161,_xlpm.r,_xlpm.c),""),
  IF(OR(_xlpm.w="",_xlpm.v=""),"",_xlpm.v*_xlpm.w)
)</f>
        <v/>
      </c>
      <c r="O134" s="93" t="str" cm="1">
        <f t="array" ref="O134">_xlfn.LET(
  _xlpm.w, O$11,
  _xlpm.r, MATCH(1,('3. Enter Indicator Scores'!$B$10:$B$161=$B134)*('3. Enter Indicator Scores'!$C$10:$C$161=$C134),0),
  _xlpm.c, MATCH(O$8,'3. Enter Indicator Scores'!$D$8:$CZ$8,0),
  _xlpm.v, IFERROR(INDEX('3. Enter Indicator Scores'!$D$10:$CZ$161,_xlpm.r,_xlpm.c),""),
  IF(OR(_xlpm.w="",_xlpm.v=""),"",_xlpm.v*_xlpm.w)
)</f>
        <v/>
      </c>
      <c r="P134" s="93" t="str" cm="1">
        <f t="array" ref="P134">_xlfn.LET(
  _xlpm.w, P$11,
  _xlpm.r, MATCH(1,('3. Enter Indicator Scores'!$B$10:$B$161=$B134)*('3. Enter Indicator Scores'!$C$10:$C$161=$C134),0),
  _xlpm.c, MATCH(P$8,'3. Enter Indicator Scores'!$D$8:$CZ$8,0),
  _xlpm.v, IFERROR(INDEX('3. Enter Indicator Scores'!$D$10:$CZ$161,_xlpm.r,_xlpm.c),""),
  IF(OR(_xlpm.w="",_xlpm.v=""),"",_xlpm.v*_xlpm.w)
)</f>
        <v/>
      </c>
      <c r="Q134" s="93" t="str" cm="1">
        <f t="array" ref="Q134">_xlfn.LET(
  _xlpm.w, Q$11,
  _xlpm.r, MATCH(1,('3. Enter Indicator Scores'!$B$10:$B$161=$B134)*('3. Enter Indicator Scores'!$C$10:$C$161=$C134),0),
  _xlpm.c, MATCH(Q$8,'3. Enter Indicator Scores'!$D$8:$CZ$8,0),
  _xlpm.v, IFERROR(INDEX('3. Enter Indicator Scores'!$D$10:$CZ$161,_xlpm.r,_xlpm.c),""),
  IF(OR(_xlpm.w="",_xlpm.v=""),"",_xlpm.v*_xlpm.w)
)</f>
        <v/>
      </c>
      <c r="R134" s="93" t="str" cm="1">
        <f t="array" ref="R134">_xlfn.LET(
  _xlpm.w, R$11,
  _xlpm.r, MATCH(1,('3. Enter Indicator Scores'!$B$10:$B$161=$B134)*('3. Enter Indicator Scores'!$C$10:$C$161=$C134),0),
  _xlpm.c, MATCH(R$8,'3. Enter Indicator Scores'!$D$8:$CZ$8,0),
  _xlpm.v, IFERROR(INDEX('3. Enter Indicator Scores'!$D$10:$CZ$161,_xlpm.r,_xlpm.c),""),
  IF(OR(_xlpm.w="",_xlpm.v=""),"",_xlpm.v*_xlpm.w)
)</f>
        <v/>
      </c>
      <c r="S134" s="93" t="str" cm="1">
        <f t="array" ref="S134">_xlfn.LET(
  _xlpm.w, S$11,
  _xlpm.r, MATCH(1,('3. Enter Indicator Scores'!$B$10:$B$161=$B134)*('3. Enter Indicator Scores'!$C$10:$C$161=$C134),0),
  _xlpm.c, MATCH(S$8,'3. Enter Indicator Scores'!$D$8:$CZ$8,0),
  _xlpm.v, IFERROR(INDEX('3. Enter Indicator Scores'!$D$10:$CZ$161,_xlpm.r,_xlpm.c),""),
  IF(OR(_xlpm.w="",_xlpm.v=""),"",_xlpm.v*_xlpm.w)
)</f>
        <v/>
      </c>
      <c r="T134" s="93" t="str" cm="1">
        <f t="array" ref="T134">_xlfn.LET(
  _xlpm.w, T$11,
  _xlpm.r, MATCH(1,('3. Enter Indicator Scores'!$B$10:$B$161=$B134)*('3. Enter Indicator Scores'!$C$10:$C$161=$C134),0),
  _xlpm.c, MATCH(T$8,'3. Enter Indicator Scores'!$D$8:$CZ$8,0),
  _xlpm.v, IFERROR(INDEX('3. Enter Indicator Scores'!$D$10:$CZ$161,_xlpm.r,_xlpm.c),""),
  IF(OR(_xlpm.w="",_xlpm.v=""),"",_xlpm.v*_xlpm.w)
)</f>
        <v/>
      </c>
      <c r="U134" s="93" t="str" cm="1">
        <f t="array" ref="U134">_xlfn.LET(
  _xlpm.w, U$11,
  _xlpm.r, MATCH(1,('3. Enter Indicator Scores'!$B$10:$B$161=$B134)*('3. Enter Indicator Scores'!$C$10:$C$161=$C134),0),
  _xlpm.c, MATCH(U$8,'3. Enter Indicator Scores'!$D$8:$CZ$8,0),
  _xlpm.v, IFERROR(INDEX('3. Enter Indicator Scores'!$D$10:$CZ$161,_xlpm.r,_xlpm.c),""),
  IF(OR(_xlpm.w="",_xlpm.v=""),"",_xlpm.v*_xlpm.w)
)</f>
        <v/>
      </c>
      <c r="V134" s="93" t="str" cm="1">
        <f t="array" ref="V134">_xlfn.LET(
  _xlpm.w, V$11,
  _xlpm.r, MATCH(1,('3. Enter Indicator Scores'!$B$10:$B$161=$B134)*('3. Enter Indicator Scores'!$C$10:$C$161=$C134),0),
  _xlpm.c, MATCH(V$8,'3. Enter Indicator Scores'!$D$8:$CZ$8,0),
  _xlpm.v, IFERROR(INDEX('3. Enter Indicator Scores'!$D$10:$CZ$161,_xlpm.r,_xlpm.c),""),
  IF(OR(_xlpm.w="",_xlpm.v=""),"",_xlpm.v*_xlpm.w)
)</f>
        <v/>
      </c>
      <c r="W134" s="93" t="str" cm="1">
        <f t="array" ref="W134">_xlfn.LET(
  _xlpm.w, W$11,
  _xlpm.r, MATCH(1,('3. Enter Indicator Scores'!$B$10:$B$161=$B134)*('3. Enter Indicator Scores'!$C$10:$C$161=$C134),0),
  _xlpm.c, MATCH(W$8,'3. Enter Indicator Scores'!$D$8:$CZ$8,0),
  _xlpm.v, IFERROR(INDEX('3. Enter Indicator Scores'!$D$10:$CZ$161,_xlpm.r,_xlpm.c),""),
  IF(OR(_xlpm.w="",_xlpm.v=""),"",_xlpm.v*_xlpm.w)
)</f>
        <v/>
      </c>
      <c r="X134" s="93" t="str" cm="1">
        <f t="array" ref="X134">_xlfn.LET(
  _xlpm.w, X$11,
  _xlpm.r, MATCH(1,('3. Enter Indicator Scores'!$B$10:$B$161=$B134)*('3. Enter Indicator Scores'!$C$10:$C$161=$C134),0),
  _xlpm.c, MATCH(X$8,'3. Enter Indicator Scores'!$D$8:$CZ$8,0),
  _xlpm.v, IFERROR(INDEX('3. Enter Indicator Scores'!$D$10:$CZ$161,_xlpm.r,_xlpm.c),""),
  IF(OR(_xlpm.w="",_xlpm.v=""),"",_xlpm.v*_xlpm.w)
)</f>
        <v/>
      </c>
      <c r="Y134" s="93" t="str" cm="1">
        <f t="array" ref="Y134">_xlfn.LET(
  _xlpm.w, Y$11,
  _xlpm.r, MATCH(1,('3. Enter Indicator Scores'!$B$10:$B$161=$B134)*('3. Enter Indicator Scores'!$C$10:$C$161=$C134),0),
  _xlpm.c, MATCH(Y$8,'3. Enter Indicator Scores'!$D$8:$CZ$8,0),
  _xlpm.v, IFERROR(INDEX('3. Enter Indicator Scores'!$D$10:$CZ$161,_xlpm.r,_xlpm.c),""),
  IF(OR(_xlpm.w="",_xlpm.v=""),"",_xlpm.v*_xlpm.w)
)</f>
        <v/>
      </c>
      <c r="Z134" s="93" t="str" cm="1">
        <f t="array" ref="Z134">_xlfn.LET(
  _xlpm.w, Z$11,
  _xlpm.r, MATCH(1,('3. Enter Indicator Scores'!$B$10:$B$161=$B134)*('3. Enter Indicator Scores'!$C$10:$C$161=$C134),0),
  _xlpm.c, MATCH(Z$8,'3. Enter Indicator Scores'!$D$8:$CZ$8,0),
  _xlpm.v, IFERROR(INDEX('3. Enter Indicator Scores'!$D$10:$CZ$161,_xlpm.r,_xlpm.c),""),
  IF(OR(_xlpm.w="",_xlpm.v=""),"",_xlpm.v*_xlpm.w)
)</f>
        <v/>
      </c>
      <c r="AA134" s="93" t="str" cm="1">
        <f t="array" ref="AA134">_xlfn.LET(
  _xlpm.w, AA$11,
  _xlpm.r, MATCH(1,('3. Enter Indicator Scores'!$B$10:$B$161=$B134)*('3. Enter Indicator Scores'!$C$10:$C$161=$C134),0),
  _xlpm.c, MATCH(AA$8,'3. Enter Indicator Scores'!$D$8:$CZ$8,0),
  _xlpm.v, IFERROR(INDEX('3. Enter Indicator Scores'!$D$10:$CZ$161,_xlpm.r,_xlpm.c),""),
  IF(OR(_xlpm.w="",_xlpm.v=""),"",_xlpm.v*_xlpm.w)
)</f>
        <v/>
      </c>
      <c r="AB134" s="93" t="str" cm="1">
        <f t="array" ref="AB134">_xlfn.LET(
  _xlpm.w, AB$11,
  _xlpm.r, MATCH(1,('3. Enter Indicator Scores'!$B$10:$B$161=$B134)*('3. Enter Indicator Scores'!$C$10:$C$161=$C134),0),
  _xlpm.c, MATCH(AB$8,'3. Enter Indicator Scores'!$D$8:$CZ$8,0),
  _xlpm.v, IFERROR(INDEX('3. Enter Indicator Scores'!$D$10:$CZ$161,_xlpm.r,_xlpm.c),""),
  IF(OR(_xlpm.w="",_xlpm.v=""),"",_xlpm.v*_xlpm.w)
)</f>
        <v/>
      </c>
      <c r="AC134" s="93" t="str" cm="1">
        <f t="array" ref="AC134">_xlfn.LET(
  _xlpm.w, AC$11,
  _xlpm.r, MATCH(1,('3. Enter Indicator Scores'!$B$10:$B$161=$B134)*('3. Enter Indicator Scores'!$C$10:$C$161=$C134),0),
  _xlpm.c, MATCH(AC$8,'3. Enter Indicator Scores'!$D$8:$CZ$8,0),
  _xlpm.v, IFERROR(INDEX('3. Enter Indicator Scores'!$D$10:$CZ$161,_xlpm.r,_xlpm.c),""),
  IF(OR(_xlpm.w="",_xlpm.v=""),"",_xlpm.v*_xlpm.w)
)</f>
        <v/>
      </c>
      <c r="AD134" s="93" t="str" cm="1">
        <f t="array" ref="AD134">_xlfn.LET(
  _xlpm.w, AD$11,
  _xlpm.r, MATCH(1,('3. Enter Indicator Scores'!$B$10:$B$161=$B134)*('3. Enter Indicator Scores'!$C$10:$C$161=$C134),0),
  _xlpm.c, MATCH(AD$8,'3. Enter Indicator Scores'!$D$8:$CZ$8,0),
  _xlpm.v, IFERROR(INDEX('3. Enter Indicator Scores'!$D$10:$CZ$161,_xlpm.r,_xlpm.c),""),
  IF(OR(_xlpm.w="",_xlpm.v=""),"",_xlpm.v*_xlpm.w)
)</f>
        <v/>
      </c>
      <c r="AE134" s="93" t="str" cm="1">
        <f t="array" ref="AE134">_xlfn.LET(
  _xlpm.w, AE$11,
  _xlpm.r, MATCH(1,('3. Enter Indicator Scores'!$B$10:$B$161=$B134)*('3. Enter Indicator Scores'!$C$10:$C$161=$C134),0),
  _xlpm.c, MATCH(AE$8,'3. Enter Indicator Scores'!$D$8:$CZ$8,0),
  _xlpm.v, IFERROR(INDEX('3. Enter Indicator Scores'!$D$10:$CZ$161,_xlpm.r,_xlpm.c),""),
  IF(OR(_xlpm.w="",_xlpm.v=""),"",_xlpm.v*_xlpm.w)
)</f>
        <v/>
      </c>
      <c r="AF134" s="93" t="str" cm="1">
        <f t="array" ref="AF134">_xlfn.LET(
  _xlpm.w, AF$11,
  _xlpm.r, MATCH(1,('3. Enter Indicator Scores'!$B$10:$B$161=$B134)*('3. Enter Indicator Scores'!$C$10:$C$161=$C134),0),
  _xlpm.c, MATCH(AF$8,'3. Enter Indicator Scores'!$D$8:$CZ$8,0),
  _xlpm.v, IFERROR(INDEX('3. Enter Indicator Scores'!$D$10:$CZ$161,_xlpm.r,_xlpm.c),""),
  IF(OR(_xlpm.w="",_xlpm.v=""),"",_xlpm.v*_xlpm.w)
)</f>
        <v/>
      </c>
      <c r="AG134" s="93" t="str" cm="1">
        <f t="array" ref="AG134">_xlfn.LET(
  _xlpm.w, AG$11,
  _xlpm.r, MATCH(1,('3. Enter Indicator Scores'!$B$10:$B$161=$B134)*('3. Enter Indicator Scores'!$C$10:$C$161=$C134),0),
  _xlpm.c, MATCH(AG$8,'3. Enter Indicator Scores'!$D$8:$CZ$8,0),
  _xlpm.v, IFERROR(INDEX('3. Enter Indicator Scores'!$D$10:$CZ$161,_xlpm.r,_xlpm.c),""),
  IF(OR(_xlpm.w="",_xlpm.v=""),"",_xlpm.v*_xlpm.w)
)</f>
        <v/>
      </c>
      <c r="AH134" s="93" t="str" cm="1">
        <f t="array" ref="AH134">_xlfn.LET(
  _xlpm.w, AH$11,
  _xlpm.r, MATCH(1,('3. Enter Indicator Scores'!$B$10:$B$161=$B134)*('3. Enter Indicator Scores'!$C$10:$C$161=$C134),0),
  _xlpm.c, MATCH(AH$8,'3. Enter Indicator Scores'!$D$8:$CZ$8,0),
  _xlpm.v, IFERROR(INDEX('3. Enter Indicator Scores'!$D$10:$CZ$161,_xlpm.r,_xlpm.c),""),
  IF(OR(_xlpm.w="",_xlpm.v=""),"",_xlpm.v*_xlpm.w)
)</f>
        <v/>
      </c>
      <c r="AI134" s="93" t="str" cm="1">
        <f t="array" ref="AI134">_xlfn.LET(
  _xlpm.w, AI$11,
  _xlpm.r, MATCH(1,('3. Enter Indicator Scores'!$B$10:$B$161=$B134)*('3. Enter Indicator Scores'!$C$10:$C$161=$C134),0),
  _xlpm.c, MATCH(AI$8,'3. Enter Indicator Scores'!$D$8:$CZ$8,0),
  _xlpm.v, IFERROR(INDEX('3. Enter Indicator Scores'!$D$10:$CZ$161,_xlpm.r,_xlpm.c),""),
  IF(OR(_xlpm.w="",_xlpm.v=""),"",_xlpm.v*_xlpm.w)
)</f>
        <v/>
      </c>
      <c r="AJ134" s="93" t="str" cm="1">
        <f t="array" ref="AJ134">_xlfn.LET(
  _xlpm.w, AJ$11,
  _xlpm.r, MATCH(1,('3. Enter Indicator Scores'!$B$10:$B$161=$B134)*('3. Enter Indicator Scores'!$C$10:$C$161=$C134),0),
  _xlpm.c, MATCH(AJ$8,'3. Enter Indicator Scores'!$D$8:$CZ$8,0),
  _xlpm.v, IFERROR(INDEX('3. Enter Indicator Scores'!$D$10:$CZ$161,_xlpm.r,_xlpm.c),""),
  IF(OR(_xlpm.w="",_xlpm.v=""),"",_xlpm.v*_xlpm.w)
)</f>
        <v/>
      </c>
      <c r="AK134" s="93" t="str" cm="1">
        <f t="array" ref="AK134">_xlfn.LET(
  _xlpm.w, AK$11,
  _xlpm.r, MATCH(1,('3. Enter Indicator Scores'!$B$10:$B$161=$B134)*('3. Enter Indicator Scores'!$C$10:$C$161=$C134),0),
  _xlpm.c, MATCH(AK$8,'3. Enter Indicator Scores'!$D$8:$CZ$8,0),
  _xlpm.v, IFERROR(INDEX('3. Enter Indicator Scores'!$D$10:$CZ$161,_xlpm.r,_xlpm.c),""),
  IF(OR(_xlpm.w="",_xlpm.v=""),"",_xlpm.v*_xlpm.w)
)</f>
        <v/>
      </c>
      <c r="AL134" s="93" t="str" cm="1">
        <f t="array" ref="AL134">_xlfn.LET(
  _xlpm.w, AL$11,
  _xlpm.r, MATCH(1,('3. Enter Indicator Scores'!$B$10:$B$161=$B134)*('3. Enter Indicator Scores'!$C$10:$C$161=$C134),0),
  _xlpm.c, MATCH(AL$8,'3. Enter Indicator Scores'!$D$8:$CZ$8,0),
  _xlpm.v, IFERROR(INDEX('3. Enter Indicator Scores'!$D$10:$CZ$161,_xlpm.r,_xlpm.c),""),
  IF(OR(_xlpm.w="",_xlpm.v=""),"",_xlpm.v*_xlpm.w)
)</f>
        <v/>
      </c>
      <c r="AM134" s="93" t="str" cm="1">
        <f t="array" ref="AM134">_xlfn.LET(
  _xlpm.w, AM$11,
  _xlpm.r, MATCH(1,('3. Enter Indicator Scores'!$B$10:$B$161=$B134)*('3. Enter Indicator Scores'!$C$10:$C$161=$C134),0),
  _xlpm.c, MATCH(AM$8,'3. Enter Indicator Scores'!$D$8:$CZ$8,0),
  _xlpm.v, IFERROR(INDEX('3. Enter Indicator Scores'!$D$10:$CZ$161,_xlpm.r,_xlpm.c),""),
  IF(OR(_xlpm.w="",_xlpm.v=""),"",_xlpm.v*_xlpm.w)
)</f>
        <v/>
      </c>
      <c r="AN134" s="93" t="str" cm="1">
        <f t="array" ref="AN134">_xlfn.LET(
  _xlpm.w, AN$11,
  _xlpm.r, MATCH(1,('3. Enter Indicator Scores'!$B$10:$B$161=$B134)*('3. Enter Indicator Scores'!$C$10:$C$161=$C134),0),
  _xlpm.c, MATCH(AN$8,'3. Enter Indicator Scores'!$D$8:$CZ$8,0),
  _xlpm.v, IFERROR(INDEX('3. Enter Indicator Scores'!$D$10:$CZ$161,_xlpm.r,_xlpm.c),""),
  IF(OR(_xlpm.w="",_xlpm.v=""),"",_xlpm.v*_xlpm.w)
)</f>
        <v/>
      </c>
      <c r="AO134" s="93" t="str" cm="1">
        <f t="array" ref="AO134">_xlfn.LET(
  _xlpm.w, AO$11,
  _xlpm.r, MATCH(1,('3. Enter Indicator Scores'!$B$10:$B$161=$B134)*('3. Enter Indicator Scores'!$C$10:$C$161=$C134),0),
  _xlpm.c, MATCH(AO$8,'3. Enter Indicator Scores'!$D$8:$CZ$8,0),
  _xlpm.v, IFERROR(INDEX('3. Enter Indicator Scores'!$D$10:$CZ$161,_xlpm.r,_xlpm.c),""),
  IF(OR(_xlpm.w="",_xlpm.v=""),"",_xlpm.v*_xlpm.w)
)</f>
        <v/>
      </c>
      <c r="AP134" s="93" t="str" cm="1">
        <f t="array" ref="AP134">_xlfn.LET(
  _xlpm.w, AP$11,
  _xlpm.r, MATCH(1,('3. Enter Indicator Scores'!$B$10:$B$161=$B134)*('3. Enter Indicator Scores'!$C$10:$C$161=$C134),0),
  _xlpm.c, MATCH(AP$8,'3. Enter Indicator Scores'!$D$8:$CZ$8,0),
  _xlpm.v, IFERROR(INDEX('3. Enter Indicator Scores'!$D$10:$CZ$161,_xlpm.r,_xlpm.c),""),
  IF(OR(_xlpm.w="",_xlpm.v=""),"",_xlpm.v*_xlpm.w)
)</f>
        <v/>
      </c>
      <c r="AQ134" s="93" t="str" cm="1">
        <f t="array" ref="AQ134">_xlfn.LET(
  _xlpm.w, AQ$11,
  _xlpm.r, MATCH(1,('3. Enter Indicator Scores'!$B$10:$B$161=$B134)*('3. Enter Indicator Scores'!$C$10:$C$161=$C134),0),
  _xlpm.c, MATCH(AQ$8,'3. Enter Indicator Scores'!$D$8:$CZ$8,0),
  _xlpm.v, IFERROR(INDEX('3. Enter Indicator Scores'!$D$10:$CZ$161,_xlpm.r,_xlpm.c),""),
  IF(OR(_xlpm.w="",_xlpm.v=""),"",_xlpm.v*_xlpm.w)
)</f>
        <v/>
      </c>
      <c r="AR134" s="93" t="str" cm="1">
        <f t="array" ref="AR134">_xlfn.LET(
  _xlpm.w, AR$11,
  _xlpm.r, MATCH(1,('3. Enter Indicator Scores'!$B$10:$B$161=$B134)*('3. Enter Indicator Scores'!$C$10:$C$161=$C134),0),
  _xlpm.c, MATCH(AR$8,'3. Enter Indicator Scores'!$D$8:$CZ$8,0),
  _xlpm.v, IFERROR(INDEX('3. Enter Indicator Scores'!$D$10:$CZ$161,_xlpm.r,_xlpm.c),""),
  IF(OR(_xlpm.w="",_xlpm.v=""),"",_xlpm.v*_xlpm.w)
)</f>
        <v/>
      </c>
      <c r="AS134" s="93" t="str" cm="1">
        <f t="array" ref="AS134">_xlfn.LET(
  _xlpm.w, AS$11,
  _xlpm.r, MATCH(1,('3. Enter Indicator Scores'!$B$10:$B$161=$B134)*('3. Enter Indicator Scores'!$C$10:$C$161=$C134),0),
  _xlpm.c, MATCH(AS$8,'3. Enter Indicator Scores'!$D$8:$CZ$8,0),
  _xlpm.v, IFERROR(INDEX('3. Enter Indicator Scores'!$D$10:$CZ$161,_xlpm.r,_xlpm.c),""),
  IF(OR(_xlpm.w="",_xlpm.v=""),"",_xlpm.v*_xlpm.w)
)</f>
        <v/>
      </c>
      <c r="AT134" s="93" t="str" cm="1">
        <f t="array" ref="AT134">_xlfn.LET(
  _xlpm.w, AT$11,
  _xlpm.r, MATCH(1,('3. Enter Indicator Scores'!$B$10:$B$161=$B134)*('3. Enter Indicator Scores'!$C$10:$C$161=$C134),0),
  _xlpm.c, MATCH(AT$8,'3. Enter Indicator Scores'!$D$8:$CZ$8,0),
  _xlpm.v, IFERROR(INDEX('3. Enter Indicator Scores'!$D$10:$CZ$161,_xlpm.r,_xlpm.c),""),
  IF(OR(_xlpm.w="",_xlpm.v=""),"",_xlpm.v*_xlpm.w)
)</f>
        <v/>
      </c>
      <c r="AU134" s="93" t="str" cm="1">
        <f t="array" ref="AU134">_xlfn.LET(
  _xlpm.w, AU$11,
  _xlpm.r, MATCH(1,('3. Enter Indicator Scores'!$B$10:$B$161=$B134)*('3. Enter Indicator Scores'!$C$10:$C$161=$C134),0),
  _xlpm.c, MATCH(AU$8,'3. Enter Indicator Scores'!$D$8:$CZ$8,0),
  _xlpm.v, IFERROR(INDEX('3. Enter Indicator Scores'!$D$10:$CZ$161,_xlpm.r,_xlpm.c),""),
  IF(OR(_xlpm.w="",_xlpm.v=""),"",_xlpm.v*_xlpm.w)
)</f>
        <v/>
      </c>
      <c r="AV134" s="93" t="str" cm="1">
        <f t="array" ref="AV134">_xlfn.LET(
  _xlpm.w, AV$11,
  _xlpm.r, MATCH(1,('3. Enter Indicator Scores'!$B$10:$B$161=$B134)*('3. Enter Indicator Scores'!$C$10:$C$161=$C134),0),
  _xlpm.c, MATCH(AV$8,'3. Enter Indicator Scores'!$D$8:$CZ$8,0),
  _xlpm.v, IFERROR(INDEX('3. Enter Indicator Scores'!$D$10:$CZ$161,_xlpm.r,_xlpm.c),""),
  IF(OR(_xlpm.w="",_xlpm.v=""),"",_xlpm.v*_xlpm.w)
)</f>
        <v/>
      </c>
      <c r="AW134" s="93" t="str" cm="1">
        <f t="array" ref="AW134">_xlfn.LET(
  _xlpm.w, AW$11,
  _xlpm.r, MATCH(1,('3. Enter Indicator Scores'!$B$10:$B$161=$B134)*('3. Enter Indicator Scores'!$C$10:$C$161=$C134),0),
  _xlpm.c, MATCH(AW$8,'3. Enter Indicator Scores'!$D$8:$CZ$8,0),
  _xlpm.v, IFERROR(INDEX('3. Enter Indicator Scores'!$D$10:$CZ$161,_xlpm.r,_xlpm.c),""),
  IF(OR(_xlpm.w="",_xlpm.v=""),"",_xlpm.v*_xlpm.w)
)</f>
        <v/>
      </c>
      <c r="AX134" s="93" t="str" cm="1">
        <f t="array" ref="AX134">_xlfn.LET(
  _xlpm.w, AX$11,
  _xlpm.r, MATCH(1,('3. Enter Indicator Scores'!$B$10:$B$161=$B134)*('3. Enter Indicator Scores'!$C$10:$C$161=$C134),0),
  _xlpm.c, MATCH(AX$8,'3. Enter Indicator Scores'!$D$8:$CZ$8,0),
  _xlpm.v, IFERROR(INDEX('3. Enter Indicator Scores'!$D$10:$CZ$161,_xlpm.r,_xlpm.c),""),
  IF(OR(_xlpm.w="",_xlpm.v=""),"",_xlpm.v*_xlpm.w)
)</f>
        <v/>
      </c>
      <c r="AY134" s="93" t="str" cm="1">
        <f t="array" ref="AY134">_xlfn.LET(
  _xlpm.w, AY$11,
  _xlpm.r, MATCH(1,('3. Enter Indicator Scores'!$B$10:$B$161=$B134)*('3. Enter Indicator Scores'!$C$10:$C$161=$C134),0),
  _xlpm.c, MATCH(AY$8,'3. Enter Indicator Scores'!$D$8:$CZ$8,0),
  _xlpm.v, IFERROR(INDEX('3. Enter Indicator Scores'!$D$10:$CZ$161,_xlpm.r,_xlpm.c),""),
  IF(OR(_xlpm.w="",_xlpm.v=""),"",_xlpm.v*_xlpm.w)
)</f>
        <v/>
      </c>
      <c r="AZ134" s="93" t="str" cm="1">
        <f t="array" ref="AZ134">_xlfn.LET(
  _xlpm.w, AZ$11,
  _xlpm.r, MATCH(1,('3. Enter Indicator Scores'!$B$10:$B$161=$B134)*('3. Enter Indicator Scores'!$C$10:$C$161=$C134),0),
  _xlpm.c, MATCH(AZ$8,'3. Enter Indicator Scores'!$D$8:$CZ$8,0),
  _xlpm.v, IFERROR(INDEX('3. Enter Indicator Scores'!$D$10:$CZ$161,_xlpm.r,_xlpm.c),""),
  IF(OR(_xlpm.w="",_xlpm.v=""),"",_xlpm.v*_xlpm.w)
)</f>
        <v/>
      </c>
      <c r="BA134" s="93" t="str" cm="1">
        <f t="array" ref="BA134">_xlfn.LET(
  _xlpm.w, BA$11,
  _xlpm.r, MATCH(1,('3. Enter Indicator Scores'!$B$10:$B$161=$B134)*('3. Enter Indicator Scores'!$C$10:$C$161=$C134),0),
  _xlpm.c, MATCH(BA$8,'3. Enter Indicator Scores'!$D$8:$CZ$8,0),
  _xlpm.v, IFERROR(INDEX('3. Enter Indicator Scores'!$D$10:$CZ$161,_xlpm.r,_xlpm.c),""),
  IF(OR(_xlpm.w="",_xlpm.v=""),"",_xlpm.v*_xlpm.w)
)</f>
        <v/>
      </c>
      <c r="BB134" s="93" t="str" cm="1">
        <f t="array" ref="BB134">_xlfn.LET(
  _xlpm.w, BB$11,
  _xlpm.r, MATCH(1,('3. Enter Indicator Scores'!$B$10:$B$161=$B134)*('3. Enter Indicator Scores'!$C$10:$C$161=$C134),0),
  _xlpm.c, MATCH(BB$8,'3. Enter Indicator Scores'!$D$8:$CZ$8,0),
  _xlpm.v, IFERROR(INDEX('3. Enter Indicator Scores'!$D$10:$CZ$161,_xlpm.r,_xlpm.c),""),
  IF(OR(_xlpm.w="",_xlpm.v=""),"",_xlpm.v*_xlpm.w)
)</f>
        <v/>
      </c>
      <c r="BC134" s="93" t="str" cm="1">
        <f t="array" ref="BC134">_xlfn.LET(
  _xlpm.w, BC$11,
  _xlpm.r, MATCH(1,('3. Enter Indicator Scores'!$B$10:$B$161=$B134)*('3. Enter Indicator Scores'!$C$10:$C$161=$C134),0),
  _xlpm.c, MATCH(BC$8,'3. Enter Indicator Scores'!$D$8:$CZ$8,0),
  _xlpm.v, IFERROR(INDEX('3. Enter Indicator Scores'!$D$10:$CZ$161,_xlpm.r,_xlpm.c),""),
  IF(OR(_xlpm.w="",_xlpm.v=""),"",_xlpm.v*_xlpm.w)
)</f>
        <v/>
      </c>
      <c r="BD134" s="93" t="str" cm="1">
        <f t="array" ref="BD134">_xlfn.LET(
  _xlpm.w, BD$11,
  _xlpm.r, MATCH(1,('3. Enter Indicator Scores'!$B$10:$B$161=$B134)*('3. Enter Indicator Scores'!$C$10:$C$161=$C134),0),
  _xlpm.c, MATCH(BD$8,'3. Enter Indicator Scores'!$D$8:$CZ$8,0),
  _xlpm.v, IFERROR(INDEX('3. Enter Indicator Scores'!$D$10:$CZ$161,_xlpm.r,_xlpm.c),""),
  IF(OR(_xlpm.w="",_xlpm.v=""),"",_xlpm.v*_xlpm.w)
)</f>
        <v/>
      </c>
      <c r="BE134" s="93" t="str" cm="1">
        <f t="array" ref="BE134">_xlfn.LET(
  _xlpm.w, BE$11,
  _xlpm.r, MATCH(1,('3. Enter Indicator Scores'!$B$10:$B$161=$B134)*('3. Enter Indicator Scores'!$C$10:$C$161=$C134),0),
  _xlpm.c, MATCH(BE$8,'3. Enter Indicator Scores'!$D$8:$CZ$8,0),
  _xlpm.v, IFERROR(INDEX('3. Enter Indicator Scores'!$D$10:$CZ$161,_xlpm.r,_xlpm.c),""),
  IF(OR(_xlpm.w="",_xlpm.v=""),"",_xlpm.v*_xlpm.w)
)</f>
        <v/>
      </c>
      <c r="BF134" s="93" t="str" cm="1">
        <f t="array" ref="BF134">_xlfn.LET(
  _xlpm.w, BF$11,
  _xlpm.r, MATCH(1,('3. Enter Indicator Scores'!$B$10:$B$161=$B134)*('3. Enter Indicator Scores'!$C$10:$C$161=$C134),0),
  _xlpm.c, MATCH(BF$8,'3. Enter Indicator Scores'!$D$8:$CZ$8,0),
  _xlpm.v, IFERROR(INDEX('3. Enter Indicator Scores'!$D$10:$CZ$161,_xlpm.r,_xlpm.c),""),
  IF(OR(_xlpm.w="",_xlpm.v=""),"",_xlpm.v*_xlpm.w)
)</f>
        <v/>
      </c>
      <c r="BG134" s="93" t="str" cm="1">
        <f t="array" ref="BG134">_xlfn.LET(
  _xlpm.w, BG$11,
  _xlpm.r, MATCH(1,('3. Enter Indicator Scores'!$B$10:$B$161=$B134)*('3. Enter Indicator Scores'!$C$10:$C$161=$C134),0),
  _xlpm.c, MATCH(BG$8,'3. Enter Indicator Scores'!$D$8:$CZ$8,0),
  _xlpm.v, IFERROR(INDEX('3. Enter Indicator Scores'!$D$10:$CZ$161,_xlpm.r,_xlpm.c),""),
  IF(OR(_xlpm.w="",_xlpm.v=""),"",_xlpm.v*_xlpm.w)
)</f>
        <v/>
      </c>
      <c r="BH134" s="93" t="str" cm="1">
        <f t="array" ref="BH134">_xlfn.LET(
  _xlpm.w, BH$11,
  _xlpm.r, MATCH(1,('3. Enter Indicator Scores'!$B$10:$B$161=$B134)*('3. Enter Indicator Scores'!$C$10:$C$161=$C134),0),
  _xlpm.c, MATCH(BH$8,'3. Enter Indicator Scores'!$D$8:$CZ$8,0),
  _xlpm.v, IFERROR(INDEX('3. Enter Indicator Scores'!$D$10:$CZ$161,_xlpm.r,_xlpm.c),""),
  IF(OR(_xlpm.w="",_xlpm.v=""),"",_xlpm.v*_xlpm.w)
)</f>
        <v/>
      </c>
      <c r="BI134" s="93" t="str" cm="1">
        <f t="array" ref="BI134">_xlfn.LET(
  _xlpm.w, BI$11,
  _xlpm.r, MATCH(1,('3. Enter Indicator Scores'!$B$10:$B$161=$B134)*('3. Enter Indicator Scores'!$C$10:$C$161=$C134),0),
  _xlpm.c, MATCH(BI$8,'3. Enter Indicator Scores'!$D$8:$CZ$8,0),
  _xlpm.v, IFERROR(INDEX('3. Enter Indicator Scores'!$D$10:$CZ$161,_xlpm.r,_xlpm.c),""),
  IF(OR(_xlpm.w="",_xlpm.v=""),"",_xlpm.v*_xlpm.w)
)</f>
        <v/>
      </c>
      <c r="BJ134" s="93" t="str" cm="1">
        <f t="array" ref="BJ134">_xlfn.LET(
  _xlpm.w, BJ$11,
  _xlpm.r, MATCH(1,('3. Enter Indicator Scores'!$B$10:$B$161=$B134)*('3. Enter Indicator Scores'!$C$10:$C$161=$C134),0),
  _xlpm.c, MATCH(BJ$8,'3. Enter Indicator Scores'!$D$8:$CZ$8,0),
  _xlpm.v, IFERROR(INDEX('3. Enter Indicator Scores'!$D$10:$CZ$161,_xlpm.r,_xlpm.c),""),
  IF(OR(_xlpm.w="",_xlpm.v=""),"",_xlpm.v*_xlpm.w)
)</f>
        <v/>
      </c>
      <c r="BK134" s="93" t="str" cm="1">
        <f t="array" ref="BK134">_xlfn.LET(
  _xlpm.w, BK$11,
  _xlpm.r, MATCH(1,('3. Enter Indicator Scores'!$B$10:$B$161=$B134)*('3. Enter Indicator Scores'!$C$10:$C$161=$C134),0),
  _xlpm.c, MATCH(BK$8,'3. Enter Indicator Scores'!$D$8:$CZ$8,0),
  _xlpm.v, IFERROR(INDEX('3. Enter Indicator Scores'!$D$10:$CZ$161,_xlpm.r,_xlpm.c),""),
  IF(OR(_xlpm.w="",_xlpm.v=""),"",_xlpm.v*_xlpm.w)
)</f>
        <v/>
      </c>
      <c r="BL134" s="93" t="str" cm="1">
        <f t="array" ref="BL134">_xlfn.LET(
  _xlpm.w, BL$11,
  _xlpm.r, MATCH(1,('3. Enter Indicator Scores'!$B$10:$B$161=$B134)*('3. Enter Indicator Scores'!$C$10:$C$161=$C134),0),
  _xlpm.c, MATCH(BL$8,'3. Enter Indicator Scores'!$D$8:$CZ$8,0),
  _xlpm.v, IFERROR(INDEX('3. Enter Indicator Scores'!$D$10:$CZ$161,_xlpm.r,_xlpm.c),""),
  IF(OR(_xlpm.w="",_xlpm.v=""),"",_xlpm.v*_xlpm.w)
)</f>
        <v/>
      </c>
      <c r="BM134" s="93" t="str" cm="1">
        <f t="array" ref="BM134">_xlfn.LET(
  _xlpm.w, BM$11,
  _xlpm.r, MATCH(1,('3. Enter Indicator Scores'!$B$10:$B$161=$B134)*('3. Enter Indicator Scores'!$C$10:$C$161=$C134),0),
  _xlpm.c, MATCH(BM$8,'3. Enter Indicator Scores'!$D$8:$CZ$8,0),
  _xlpm.v, IFERROR(INDEX('3. Enter Indicator Scores'!$D$10:$CZ$161,_xlpm.r,_xlpm.c),""),
  IF(OR(_xlpm.w="",_xlpm.v=""),"",_xlpm.v*_xlpm.w)
)</f>
        <v/>
      </c>
      <c r="BN134" s="93" t="str" cm="1">
        <f t="array" ref="BN134">_xlfn.LET(
  _xlpm.w, BN$11,
  _xlpm.r, MATCH(1,('3. Enter Indicator Scores'!$B$10:$B$161=$B134)*('3. Enter Indicator Scores'!$C$10:$C$161=$C134),0),
  _xlpm.c, MATCH(BN$8,'3. Enter Indicator Scores'!$D$8:$CZ$8,0),
  _xlpm.v, IFERROR(INDEX('3. Enter Indicator Scores'!$D$10:$CZ$161,_xlpm.r,_xlpm.c),""),
  IF(OR(_xlpm.w="",_xlpm.v=""),"",_xlpm.v*_xlpm.w)
)</f>
        <v/>
      </c>
      <c r="BO134" s="93" t="str" cm="1">
        <f t="array" ref="BO134">_xlfn.LET(
  _xlpm.w, BO$11,
  _xlpm.r, MATCH(1,('3. Enter Indicator Scores'!$B$10:$B$161=$B134)*('3. Enter Indicator Scores'!$C$10:$C$161=$C134),0),
  _xlpm.c, MATCH(BO$8,'3. Enter Indicator Scores'!$D$8:$CZ$8,0),
  _xlpm.v, IFERROR(INDEX('3. Enter Indicator Scores'!$D$10:$CZ$161,_xlpm.r,_xlpm.c),""),
  IF(OR(_xlpm.w="",_xlpm.v=""),"",_xlpm.v*_xlpm.w)
)</f>
        <v/>
      </c>
      <c r="BP134" s="93" t="str" cm="1">
        <f t="array" ref="BP134">_xlfn.LET(
  _xlpm.w, BP$11,
  _xlpm.r, MATCH(1,('3. Enter Indicator Scores'!$B$10:$B$161=$B134)*('3. Enter Indicator Scores'!$C$10:$C$161=$C134),0),
  _xlpm.c, MATCH(BP$8,'3. Enter Indicator Scores'!$D$8:$CZ$8,0),
  _xlpm.v, IFERROR(INDEX('3. Enter Indicator Scores'!$D$10:$CZ$161,_xlpm.r,_xlpm.c),""),
  IF(OR(_xlpm.w="",_xlpm.v=""),"",_xlpm.v*_xlpm.w)
)</f>
        <v/>
      </c>
      <c r="BQ134" s="93" t="str" cm="1">
        <f t="array" ref="BQ134">_xlfn.LET(
  _xlpm.w, BQ$11,
  _xlpm.r, MATCH(1,('3. Enter Indicator Scores'!$B$10:$B$161=$B134)*('3. Enter Indicator Scores'!$C$10:$C$161=$C134),0),
  _xlpm.c, MATCH(BQ$8,'3. Enter Indicator Scores'!$D$8:$CZ$8,0),
  _xlpm.v, IFERROR(INDEX('3. Enter Indicator Scores'!$D$10:$CZ$161,_xlpm.r,_xlpm.c),""),
  IF(OR(_xlpm.w="",_xlpm.v=""),"",_xlpm.v*_xlpm.w)
)</f>
        <v/>
      </c>
      <c r="BR134" s="93" t="str" cm="1">
        <f t="array" ref="BR134">_xlfn.LET(
  _xlpm.w, BR$11,
  _xlpm.r, MATCH(1,('3. Enter Indicator Scores'!$B$10:$B$161=$B134)*('3. Enter Indicator Scores'!$C$10:$C$161=$C134),0),
  _xlpm.c, MATCH(BR$8,'3. Enter Indicator Scores'!$D$8:$CZ$8,0),
  _xlpm.v, IFERROR(INDEX('3. Enter Indicator Scores'!$D$10:$CZ$161,_xlpm.r,_xlpm.c),""),
  IF(OR(_xlpm.w="",_xlpm.v=""),"",_xlpm.v*_xlpm.w)
)</f>
        <v/>
      </c>
      <c r="BS134" s="93" t="str" cm="1">
        <f t="array" ref="BS134">_xlfn.LET(
  _xlpm.w, BS$11,
  _xlpm.r, MATCH(1,('3. Enter Indicator Scores'!$B$10:$B$161=$B134)*('3. Enter Indicator Scores'!$C$10:$C$161=$C134),0),
  _xlpm.c, MATCH(BS$8,'3. Enter Indicator Scores'!$D$8:$CZ$8,0),
  _xlpm.v, IFERROR(INDEX('3. Enter Indicator Scores'!$D$10:$CZ$161,_xlpm.r,_xlpm.c),""),
  IF(OR(_xlpm.w="",_xlpm.v=""),"",_xlpm.v*_xlpm.w)
)</f>
        <v/>
      </c>
      <c r="BT134" s="93" t="str" cm="1">
        <f t="array" ref="BT134">_xlfn.LET(
  _xlpm.w, BT$11,
  _xlpm.r, MATCH(1,('3. Enter Indicator Scores'!$B$10:$B$161=$B134)*('3. Enter Indicator Scores'!$C$10:$C$161=$C134),0),
  _xlpm.c, MATCH(BT$8,'3. Enter Indicator Scores'!$D$8:$CZ$8,0),
  _xlpm.v, IFERROR(INDEX('3. Enter Indicator Scores'!$D$10:$CZ$161,_xlpm.r,_xlpm.c),""),
  IF(OR(_xlpm.w="",_xlpm.v=""),"",_xlpm.v*_xlpm.w)
)</f>
        <v/>
      </c>
      <c r="BU134" s="93" t="str" cm="1">
        <f t="array" ref="BU134">_xlfn.LET(
  _xlpm.w, BU$11,
  _xlpm.r, MATCH(1,('3. Enter Indicator Scores'!$B$10:$B$161=$B134)*('3. Enter Indicator Scores'!$C$10:$C$161=$C134),0),
  _xlpm.c, MATCH(BU$8,'3. Enter Indicator Scores'!$D$8:$CZ$8,0),
  _xlpm.v, IFERROR(INDEX('3. Enter Indicator Scores'!$D$10:$CZ$161,_xlpm.r,_xlpm.c),""),
  IF(OR(_xlpm.w="",_xlpm.v=""),"",_xlpm.v*_xlpm.w)
)</f>
        <v/>
      </c>
      <c r="BV134" s="93" t="str" cm="1">
        <f t="array" ref="BV134">_xlfn.LET(
  _xlpm.w, BV$11,
  _xlpm.r, MATCH(1,('3. Enter Indicator Scores'!$B$10:$B$161=$B134)*('3. Enter Indicator Scores'!$C$10:$C$161=$C134),0),
  _xlpm.c, MATCH(BV$8,'3. Enter Indicator Scores'!$D$8:$CZ$8,0),
  _xlpm.v, IFERROR(INDEX('3. Enter Indicator Scores'!$D$10:$CZ$161,_xlpm.r,_xlpm.c),""),
  IF(OR(_xlpm.w="",_xlpm.v=""),"",_xlpm.v*_xlpm.w)
)</f>
        <v/>
      </c>
      <c r="BW134" s="93" t="str" cm="1">
        <f t="array" ref="BW134">_xlfn.LET(
  _xlpm.w, BW$11,
  _xlpm.r, MATCH(1,('3. Enter Indicator Scores'!$B$10:$B$161=$B134)*('3. Enter Indicator Scores'!$C$10:$C$161=$C134),0),
  _xlpm.c, MATCH(BW$8,'3. Enter Indicator Scores'!$D$8:$CZ$8,0),
  _xlpm.v, IFERROR(INDEX('3. Enter Indicator Scores'!$D$10:$CZ$161,_xlpm.r,_xlpm.c),""),
  IF(OR(_xlpm.w="",_xlpm.v=""),"",_xlpm.v*_xlpm.w)
)</f>
        <v/>
      </c>
      <c r="BX134" s="93" t="str" cm="1">
        <f t="array" ref="BX134">_xlfn.LET(
  _xlpm.w, BX$11,
  _xlpm.r, MATCH(1,('3. Enter Indicator Scores'!$B$10:$B$161=$B134)*('3. Enter Indicator Scores'!$C$10:$C$161=$C134),0),
  _xlpm.c, MATCH(BX$8,'3. Enter Indicator Scores'!$D$8:$CZ$8,0),
  _xlpm.v, IFERROR(INDEX('3. Enter Indicator Scores'!$D$10:$CZ$161,_xlpm.r,_xlpm.c),""),
  IF(OR(_xlpm.w="",_xlpm.v=""),"",_xlpm.v*_xlpm.w)
)</f>
        <v/>
      </c>
      <c r="BY134" s="93" t="str" cm="1">
        <f t="array" ref="BY134">_xlfn.LET(
  _xlpm.w, BY$11,
  _xlpm.r, MATCH(1,('3. Enter Indicator Scores'!$B$10:$B$161=$B134)*('3. Enter Indicator Scores'!$C$10:$C$161=$C134),0),
  _xlpm.c, MATCH(BY$8,'3. Enter Indicator Scores'!$D$8:$CZ$8,0),
  _xlpm.v, IFERROR(INDEX('3. Enter Indicator Scores'!$D$10:$CZ$161,_xlpm.r,_xlpm.c),""),
  IF(OR(_xlpm.w="",_xlpm.v=""),"",_xlpm.v*_xlpm.w)
)</f>
        <v/>
      </c>
      <c r="BZ134" s="93" t="str" cm="1">
        <f t="array" ref="BZ134">_xlfn.LET(
  _xlpm.w, BZ$11,
  _xlpm.r, MATCH(1,('3. Enter Indicator Scores'!$B$10:$B$161=$B134)*('3. Enter Indicator Scores'!$C$10:$C$161=$C134),0),
  _xlpm.c, MATCH(BZ$8,'3. Enter Indicator Scores'!$D$8:$CZ$8,0),
  _xlpm.v, IFERROR(INDEX('3. Enter Indicator Scores'!$D$10:$CZ$161,_xlpm.r,_xlpm.c),""),
  IF(OR(_xlpm.w="",_xlpm.v=""),"",_xlpm.v*_xlpm.w)
)</f>
        <v/>
      </c>
      <c r="CA134" s="93" t="str" cm="1">
        <f t="array" ref="CA134">_xlfn.LET(
  _xlpm.w, CA$11,
  _xlpm.r, MATCH(1,('3. Enter Indicator Scores'!$B$10:$B$161=$B134)*('3. Enter Indicator Scores'!$C$10:$C$161=$C134),0),
  _xlpm.c, MATCH(CA$8,'3. Enter Indicator Scores'!$D$8:$CZ$8,0),
  _xlpm.v, IFERROR(INDEX('3. Enter Indicator Scores'!$D$10:$CZ$161,_xlpm.r,_xlpm.c),""),
  IF(OR(_xlpm.w="",_xlpm.v=""),"",_xlpm.v*_xlpm.w)
)</f>
        <v/>
      </c>
      <c r="CB134" s="93" t="str" cm="1">
        <f t="array" ref="CB134">_xlfn.LET(
  _xlpm.w, CB$11,
  _xlpm.r, MATCH(1,('3. Enter Indicator Scores'!$B$10:$B$161=$B134)*('3. Enter Indicator Scores'!$C$10:$C$161=$C134),0),
  _xlpm.c, MATCH(CB$8,'3. Enter Indicator Scores'!$D$8:$CZ$8,0),
  _xlpm.v, IFERROR(INDEX('3. Enter Indicator Scores'!$D$10:$CZ$161,_xlpm.r,_xlpm.c),""),
  IF(OR(_xlpm.w="",_xlpm.v=""),"",_xlpm.v*_xlpm.w)
)</f>
        <v/>
      </c>
      <c r="CC134" s="93" t="str" cm="1">
        <f t="array" ref="CC134">_xlfn.LET(
  _xlpm.w, CC$11,
  _xlpm.r, MATCH(1,('3. Enter Indicator Scores'!$B$10:$B$161=$B134)*('3. Enter Indicator Scores'!$C$10:$C$161=$C134),0),
  _xlpm.c, MATCH(CC$8,'3. Enter Indicator Scores'!$D$8:$CZ$8,0),
  _xlpm.v, IFERROR(INDEX('3. Enter Indicator Scores'!$D$10:$CZ$161,_xlpm.r,_xlpm.c),""),
  IF(OR(_xlpm.w="",_xlpm.v=""),"",_xlpm.v*_xlpm.w)
)</f>
        <v/>
      </c>
      <c r="CD134" s="93" t="str" cm="1">
        <f t="array" ref="CD134">_xlfn.LET(
  _xlpm.w, CD$11,
  _xlpm.r, MATCH(1,('3. Enter Indicator Scores'!$B$10:$B$161=$B134)*('3. Enter Indicator Scores'!$C$10:$C$161=$C134),0),
  _xlpm.c, MATCH(CD$8,'3. Enter Indicator Scores'!$D$8:$CZ$8,0),
  _xlpm.v, IFERROR(INDEX('3. Enter Indicator Scores'!$D$10:$CZ$161,_xlpm.r,_xlpm.c),""),
  IF(OR(_xlpm.w="",_xlpm.v=""),"",_xlpm.v*_xlpm.w)
)</f>
        <v/>
      </c>
      <c r="CE134" s="93" t="str" cm="1">
        <f t="array" ref="CE134">_xlfn.LET(
  _xlpm.w, CE$11,
  _xlpm.r, MATCH(1,('3. Enter Indicator Scores'!$B$10:$B$161=$B134)*('3. Enter Indicator Scores'!$C$10:$C$161=$C134),0),
  _xlpm.c, MATCH(CE$8,'3. Enter Indicator Scores'!$D$8:$CZ$8,0),
  _xlpm.v, IFERROR(INDEX('3. Enter Indicator Scores'!$D$10:$CZ$161,_xlpm.r,_xlpm.c),""),
  IF(OR(_xlpm.w="",_xlpm.v=""),"",_xlpm.v*_xlpm.w)
)</f>
        <v/>
      </c>
      <c r="CF134" s="93" t="str" cm="1">
        <f t="array" ref="CF134">_xlfn.LET(
  _xlpm.w, CF$11,
  _xlpm.r, MATCH(1,('3. Enter Indicator Scores'!$B$10:$B$161=$B134)*('3. Enter Indicator Scores'!$C$10:$C$161=$C134),0),
  _xlpm.c, MATCH(CF$8,'3. Enter Indicator Scores'!$D$8:$CZ$8,0),
  _xlpm.v, IFERROR(INDEX('3. Enter Indicator Scores'!$D$10:$CZ$161,_xlpm.r,_xlpm.c),""),
  IF(OR(_xlpm.w="",_xlpm.v=""),"",_xlpm.v*_xlpm.w)
)</f>
        <v/>
      </c>
      <c r="CG134" s="93" t="str" cm="1">
        <f t="array" ref="CG134">_xlfn.LET(
  _xlpm.w, CG$11,
  _xlpm.r, MATCH(1,('3. Enter Indicator Scores'!$B$10:$B$161=$B134)*('3. Enter Indicator Scores'!$C$10:$C$161=$C134),0),
  _xlpm.c, MATCH(CG$8,'3. Enter Indicator Scores'!$D$8:$CZ$8,0),
  _xlpm.v, IFERROR(INDEX('3. Enter Indicator Scores'!$D$10:$CZ$161,_xlpm.r,_xlpm.c),""),
  IF(OR(_xlpm.w="",_xlpm.v=""),"",_xlpm.v*_xlpm.w)
)</f>
        <v/>
      </c>
      <c r="CH134" s="93" t="str" cm="1">
        <f t="array" ref="CH134">_xlfn.LET(
  _xlpm.w, CH$11,
  _xlpm.r, MATCH(1,('3. Enter Indicator Scores'!$B$10:$B$161=$B134)*('3. Enter Indicator Scores'!$C$10:$C$161=$C134),0),
  _xlpm.c, MATCH(CH$8,'3. Enter Indicator Scores'!$D$8:$CZ$8,0),
  _xlpm.v, IFERROR(INDEX('3. Enter Indicator Scores'!$D$10:$CZ$161,_xlpm.r,_xlpm.c),""),
  IF(OR(_xlpm.w="",_xlpm.v=""),"",_xlpm.v*_xlpm.w)
)</f>
        <v/>
      </c>
      <c r="CI134" s="93" t="str" cm="1">
        <f t="array" ref="CI134">_xlfn.LET(
  _xlpm.w, CI$11,
  _xlpm.r, MATCH(1,('3. Enter Indicator Scores'!$B$10:$B$161=$B134)*('3. Enter Indicator Scores'!$C$10:$C$161=$C134),0),
  _xlpm.c, MATCH(CI$8,'3. Enter Indicator Scores'!$D$8:$CZ$8,0),
  _xlpm.v, IFERROR(INDEX('3. Enter Indicator Scores'!$D$10:$CZ$161,_xlpm.r,_xlpm.c),""),
  IF(OR(_xlpm.w="",_xlpm.v=""),"",_xlpm.v*_xlpm.w)
)</f>
        <v/>
      </c>
      <c r="CJ134" s="93" t="str" cm="1">
        <f t="array" ref="CJ134">_xlfn.LET(
  _xlpm.w, CJ$11,
  _xlpm.r, MATCH(1,('3. Enter Indicator Scores'!$B$10:$B$161=$B134)*('3. Enter Indicator Scores'!$C$10:$C$161=$C134),0),
  _xlpm.c, MATCH(CJ$8,'3. Enter Indicator Scores'!$D$8:$CZ$8,0),
  _xlpm.v, IFERROR(INDEX('3. Enter Indicator Scores'!$D$10:$CZ$161,_xlpm.r,_xlpm.c),""),
  IF(OR(_xlpm.w="",_xlpm.v=""),"",_xlpm.v*_xlpm.w)
)</f>
        <v/>
      </c>
      <c r="CK134" s="93" t="str" cm="1">
        <f t="array" ref="CK134">_xlfn.LET(
  _xlpm.w, CK$11,
  _xlpm.r, MATCH(1,('3. Enter Indicator Scores'!$B$10:$B$161=$B134)*('3. Enter Indicator Scores'!$C$10:$C$161=$C134),0),
  _xlpm.c, MATCH(CK$8,'3. Enter Indicator Scores'!$D$8:$CZ$8,0),
  _xlpm.v, IFERROR(INDEX('3. Enter Indicator Scores'!$D$10:$CZ$161,_xlpm.r,_xlpm.c),""),
  IF(OR(_xlpm.w="",_xlpm.v=""),"",_xlpm.v*_xlpm.w)
)</f>
        <v/>
      </c>
      <c r="CL134" s="93" t="str" cm="1">
        <f t="array" ref="CL134">_xlfn.LET(
  _xlpm.w, CL$11,
  _xlpm.r, MATCH(1,('3. Enter Indicator Scores'!$B$10:$B$161=$B134)*('3. Enter Indicator Scores'!$C$10:$C$161=$C134),0),
  _xlpm.c, MATCH(CL$8,'3. Enter Indicator Scores'!$D$8:$CZ$8,0),
  _xlpm.v, IFERROR(INDEX('3. Enter Indicator Scores'!$D$10:$CZ$161,_xlpm.r,_xlpm.c),""),
  IF(OR(_xlpm.w="",_xlpm.v=""),"",_xlpm.v*_xlpm.w)
)</f>
        <v/>
      </c>
      <c r="CM134" s="93" t="str" cm="1">
        <f t="array" ref="CM134">_xlfn.LET(
  _xlpm.w, CM$11,
  _xlpm.r, MATCH(1,('3. Enter Indicator Scores'!$B$10:$B$161=$B134)*('3. Enter Indicator Scores'!$C$10:$C$161=$C134),0),
  _xlpm.c, MATCH(CM$8,'3. Enter Indicator Scores'!$D$8:$CZ$8,0),
  _xlpm.v, IFERROR(INDEX('3. Enter Indicator Scores'!$D$10:$CZ$161,_xlpm.r,_xlpm.c),""),
  IF(OR(_xlpm.w="",_xlpm.v=""),"",_xlpm.v*_xlpm.w)
)</f>
        <v/>
      </c>
      <c r="CN134" s="93" t="str" cm="1">
        <f t="array" ref="CN134">_xlfn.LET(
  _xlpm.w, CN$11,
  _xlpm.r, MATCH(1,('3. Enter Indicator Scores'!$B$10:$B$161=$B134)*('3. Enter Indicator Scores'!$C$10:$C$161=$C134),0),
  _xlpm.c, MATCH(CN$8,'3. Enter Indicator Scores'!$D$8:$CZ$8,0),
  _xlpm.v, IFERROR(INDEX('3. Enter Indicator Scores'!$D$10:$CZ$161,_xlpm.r,_xlpm.c),""),
  IF(OR(_xlpm.w="",_xlpm.v=""),"",_xlpm.v*_xlpm.w)
)</f>
        <v/>
      </c>
      <c r="CO134" s="93" t="str" cm="1">
        <f t="array" ref="CO134">_xlfn.LET(
  _xlpm.w, CO$11,
  _xlpm.r, MATCH(1,('3. Enter Indicator Scores'!$B$10:$B$161=$B134)*('3. Enter Indicator Scores'!$C$10:$C$161=$C134),0),
  _xlpm.c, MATCH(CO$8,'3. Enter Indicator Scores'!$D$8:$CZ$8,0),
  _xlpm.v, IFERROR(INDEX('3. Enter Indicator Scores'!$D$10:$CZ$161,_xlpm.r,_xlpm.c),""),
  IF(OR(_xlpm.w="",_xlpm.v=""),"",_xlpm.v*_xlpm.w)
)</f>
        <v/>
      </c>
      <c r="CP134" s="93" t="str" cm="1">
        <f t="array" ref="CP134">_xlfn.LET(
  _xlpm.w, CP$11,
  _xlpm.r, MATCH(1,('3. Enter Indicator Scores'!$B$10:$B$161=$B134)*('3. Enter Indicator Scores'!$C$10:$C$161=$C134),0),
  _xlpm.c, MATCH(CP$8,'3. Enter Indicator Scores'!$D$8:$CZ$8,0),
  _xlpm.v, IFERROR(INDEX('3. Enter Indicator Scores'!$D$10:$CZ$161,_xlpm.r,_xlpm.c),""),
  IF(OR(_xlpm.w="",_xlpm.v=""),"",_xlpm.v*_xlpm.w)
)</f>
        <v/>
      </c>
      <c r="CQ134" s="93" t="str" cm="1">
        <f t="array" ref="CQ134">_xlfn.LET(
  _xlpm.w, CQ$11,
  _xlpm.r, MATCH(1,('3. Enter Indicator Scores'!$B$10:$B$161=$B134)*('3. Enter Indicator Scores'!$C$10:$C$161=$C134),0),
  _xlpm.c, MATCH(CQ$8,'3. Enter Indicator Scores'!$D$8:$CZ$8,0),
  _xlpm.v, IFERROR(INDEX('3. Enter Indicator Scores'!$D$10:$CZ$161,_xlpm.r,_xlpm.c),""),
  IF(OR(_xlpm.w="",_xlpm.v=""),"",_xlpm.v*_xlpm.w)
)</f>
        <v/>
      </c>
      <c r="CR134" s="93" t="str" cm="1">
        <f t="array" ref="CR134">_xlfn.LET(
  _xlpm.w, CR$11,
  _xlpm.r, MATCH(1,('3. Enter Indicator Scores'!$B$10:$B$161=$B134)*('3. Enter Indicator Scores'!$C$10:$C$161=$C134),0),
  _xlpm.c, MATCH(CR$8,'3. Enter Indicator Scores'!$D$8:$CZ$8,0),
  _xlpm.v, IFERROR(INDEX('3. Enter Indicator Scores'!$D$10:$CZ$161,_xlpm.r,_xlpm.c),""),
  IF(OR(_xlpm.w="",_xlpm.v=""),"",_xlpm.v*_xlpm.w)
)</f>
        <v/>
      </c>
      <c r="CS134" s="93" t="str" cm="1">
        <f t="array" ref="CS134">_xlfn.LET(
  _xlpm.w, CS$11,
  _xlpm.r, MATCH(1,('3. Enter Indicator Scores'!$B$10:$B$161=$B134)*('3. Enter Indicator Scores'!$C$10:$C$161=$C134),0),
  _xlpm.c, MATCH(CS$8,'3. Enter Indicator Scores'!$D$8:$CZ$8,0),
  _xlpm.v, IFERROR(INDEX('3. Enter Indicator Scores'!$D$10:$CZ$161,_xlpm.r,_xlpm.c),""),
  IF(OR(_xlpm.w="",_xlpm.v=""),"",_xlpm.v*_xlpm.w)
)</f>
        <v/>
      </c>
      <c r="CT134" s="93" t="str" cm="1">
        <f t="array" ref="CT134">_xlfn.LET(
  _xlpm.w, CT$11,
  _xlpm.r, MATCH(1,('3. Enter Indicator Scores'!$B$10:$B$161=$B134)*('3. Enter Indicator Scores'!$C$10:$C$161=$C134),0),
  _xlpm.c, MATCH(CT$8,'3. Enter Indicator Scores'!$D$8:$CZ$8,0),
  _xlpm.v, IFERROR(INDEX('3. Enter Indicator Scores'!$D$10:$CZ$161,_xlpm.r,_xlpm.c),""),
  IF(OR(_xlpm.w="",_xlpm.v=""),"",_xlpm.v*_xlpm.w)
)</f>
        <v/>
      </c>
      <c r="CU134" s="93" t="str" cm="1">
        <f t="array" ref="CU134">_xlfn.LET(
  _xlpm.w, CU$11,
  _xlpm.r, MATCH(1,('3. Enter Indicator Scores'!$B$10:$B$161=$B134)*('3. Enter Indicator Scores'!$C$10:$C$161=$C134),0),
  _xlpm.c, MATCH(CU$8,'3. Enter Indicator Scores'!$D$8:$CZ$8,0),
  _xlpm.v, IFERROR(INDEX('3. Enter Indicator Scores'!$D$10:$CZ$161,_xlpm.r,_xlpm.c),""),
  IF(OR(_xlpm.w="",_xlpm.v=""),"",_xlpm.v*_xlpm.w)
)</f>
        <v/>
      </c>
      <c r="CV134" s="93" t="str" cm="1">
        <f t="array" ref="CV134">_xlfn.LET(
  _xlpm.w, CV$11,
  _xlpm.r, MATCH(1,('3. Enter Indicator Scores'!$B$10:$B$161=$B134)*('3. Enter Indicator Scores'!$C$10:$C$161=$C134),0),
  _xlpm.c, MATCH(CV$8,'3. Enter Indicator Scores'!$D$8:$CZ$8,0),
  _xlpm.v, IFERROR(INDEX('3. Enter Indicator Scores'!$D$10:$CZ$161,_xlpm.r,_xlpm.c),""),
  IF(OR(_xlpm.w="",_xlpm.v=""),"",_xlpm.v*_xlpm.w)
)</f>
        <v/>
      </c>
      <c r="CW134" s="93" t="str" cm="1">
        <f t="array" ref="CW134">_xlfn.LET(
  _xlpm.w, CW$11,
  _xlpm.r, MATCH(1,('3. Enter Indicator Scores'!$B$10:$B$161=$B134)*('3. Enter Indicator Scores'!$C$10:$C$161=$C134),0),
  _xlpm.c, MATCH(CW$8,'3. Enter Indicator Scores'!$D$8:$CZ$8,0),
  _xlpm.v, IFERROR(INDEX('3. Enter Indicator Scores'!$D$10:$CZ$161,_xlpm.r,_xlpm.c),""),
  IF(OR(_xlpm.w="",_xlpm.v=""),"",_xlpm.v*_xlpm.w)
)</f>
        <v/>
      </c>
      <c r="CX134" s="93" t="str" cm="1">
        <f t="array" ref="CX134">_xlfn.LET(
  _xlpm.w, CX$11,
  _xlpm.r, MATCH(1,('3. Enter Indicator Scores'!$B$10:$B$161=$B134)*('3. Enter Indicator Scores'!$C$10:$C$161=$C134),0),
  _xlpm.c, MATCH(CX$8,'3. Enter Indicator Scores'!$D$8:$CZ$8,0),
  _xlpm.v, IFERROR(INDEX('3. Enter Indicator Scores'!$D$10:$CZ$161,_xlpm.r,_xlpm.c),""),
  IF(OR(_xlpm.w="",_xlpm.v=""),"",_xlpm.v*_xlpm.w)
)</f>
        <v/>
      </c>
      <c r="CY134" s="93" t="str" cm="1">
        <f t="array" ref="CY134">_xlfn.LET(
  _xlpm.w, CY$11,
  _xlpm.r, MATCH(1,('3. Enter Indicator Scores'!$B$10:$B$161=$B134)*('3. Enter Indicator Scores'!$C$10:$C$161=$C134),0),
  _xlpm.c, MATCH(CY$8,'3. Enter Indicator Scores'!$D$8:$CZ$8,0),
  _xlpm.v, IFERROR(INDEX('3. Enter Indicator Scores'!$D$10:$CZ$161,_xlpm.r,_xlpm.c),""),
  IF(OR(_xlpm.w="",_xlpm.v=""),"",_xlpm.v*_xlpm.w)
)</f>
        <v/>
      </c>
      <c r="CZ134" s="93" t="str" cm="1">
        <f t="array" ref="CZ134">_xlfn.LET(
  _xlpm.w, CZ$11,
  _xlpm.r, MATCH(1,('3. Enter Indicator Scores'!$B$10:$B$161=$B134)*('3. Enter Indicator Scores'!$C$10:$C$161=$C134),0),
  _xlpm.c, MATCH(CZ$8,'3. Enter Indicator Scores'!$D$8:$CZ$8,0),
  _xlpm.v, IFERROR(INDEX('3. Enter Indicator Scores'!$D$10:$CZ$161,_xlpm.r,_xlpm.c),""),
  IF(OR(_xlpm.w="",_xlpm.v=""),"",_xlpm.v*_xlpm.w)
)</f>
        <v/>
      </c>
    </row>
    <row r="135" spans="4:104" x14ac:dyDescent="0.2">
      <c r="D135" s="93" t="str" cm="1">
        <f t="array" ref="D135">_xlfn.LET(
  _xlpm.w, D$11,
  _xlpm.r, MATCH(1,('3. Enter Indicator Scores'!$B$10:$B$161=$B135)*('3. Enter Indicator Scores'!$C$10:$C$161=$C135),0),
  _xlpm.c, MATCH(D$8,'3. Enter Indicator Scores'!$D$8:$CZ$8,0),
  _xlpm.v, IFERROR(INDEX('3. Enter Indicator Scores'!$D$10:$CZ$161,_xlpm.r,_xlpm.c),""),
  IF(OR(_xlpm.w="",_xlpm.v=""),"",_xlpm.v*_xlpm.w)
)</f>
        <v/>
      </c>
      <c r="E135" s="93" t="str" cm="1">
        <f t="array" ref="E135">_xlfn.LET(
  _xlpm.w, E$11,
  _xlpm.r, MATCH(1,('3. Enter Indicator Scores'!$B$10:$B$161=$B135)*('3. Enter Indicator Scores'!$C$10:$C$161=$C135),0),
  _xlpm.c, MATCH(E$8,'3. Enter Indicator Scores'!$D$8:$CZ$8,0),
  _xlpm.v, IFERROR(INDEX('3. Enter Indicator Scores'!$D$10:$CZ$161,_xlpm.r,_xlpm.c),""),
  IF(OR(_xlpm.w="",_xlpm.v=""),"",_xlpm.v*_xlpm.w)
)</f>
        <v/>
      </c>
      <c r="F135" s="93" t="str" cm="1">
        <f t="array" ref="F135">_xlfn.LET(
  _xlpm.w, F$11,
  _xlpm.r, MATCH(1,('3. Enter Indicator Scores'!$B$10:$B$161=$B135)*('3. Enter Indicator Scores'!$C$10:$C$161=$C135),0),
  _xlpm.c, MATCH(F$8,'3. Enter Indicator Scores'!$D$8:$CZ$8,0),
  _xlpm.v, IFERROR(INDEX('3. Enter Indicator Scores'!$D$10:$CZ$161,_xlpm.r,_xlpm.c),""),
  IF(OR(_xlpm.w="",_xlpm.v=""),"",_xlpm.v*_xlpm.w)
)</f>
        <v/>
      </c>
      <c r="G135" s="93" t="str" cm="1">
        <f t="array" ref="G135">_xlfn.LET(
  _xlpm.w, G$11,
  _xlpm.r, MATCH(1,('3. Enter Indicator Scores'!$B$10:$B$161=$B135)*('3. Enter Indicator Scores'!$C$10:$C$161=$C135),0),
  _xlpm.c, MATCH(G$8,'3. Enter Indicator Scores'!$D$8:$CZ$8,0),
  _xlpm.v, IFERROR(INDEX('3. Enter Indicator Scores'!$D$10:$CZ$161,_xlpm.r,_xlpm.c),""),
  IF(OR(_xlpm.w="",_xlpm.v=""),"",_xlpm.v*_xlpm.w)
)</f>
        <v/>
      </c>
      <c r="H135" s="93" t="str" cm="1">
        <f t="array" ref="H135">_xlfn.LET(
  _xlpm.w, H$11,
  _xlpm.r, MATCH(1,('3. Enter Indicator Scores'!$B$10:$B$161=$B135)*('3. Enter Indicator Scores'!$C$10:$C$161=$C135),0),
  _xlpm.c, MATCH(H$8,'3. Enter Indicator Scores'!$D$8:$CZ$8,0),
  _xlpm.v, IFERROR(INDEX('3. Enter Indicator Scores'!$D$10:$CZ$161,_xlpm.r,_xlpm.c),""),
  IF(OR(_xlpm.w="",_xlpm.v=""),"",_xlpm.v*_xlpm.w)
)</f>
        <v/>
      </c>
      <c r="I135" s="93" t="str" cm="1">
        <f t="array" ref="I135">_xlfn.LET(
  _xlpm.w, I$11,
  _xlpm.r, MATCH(1,('3. Enter Indicator Scores'!$B$10:$B$161=$B135)*('3. Enter Indicator Scores'!$C$10:$C$161=$C135),0),
  _xlpm.c, MATCH(I$8,'3. Enter Indicator Scores'!$D$8:$CZ$8,0),
  _xlpm.v, IFERROR(INDEX('3. Enter Indicator Scores'!$D$10:$CZ$161,_xlpm.r,_xlpm.c),""),
  IF(OR(_xlpm.w="",_xlpm.v=""),"",_xlpm.v*_xlpm.w)
)</f>
        <v/>
      </c>
      <c r="J135" s="93" t="str" cm="1">
        <f t="array" ref="J135">_xlfn.LET(
  _xlpm.w, J$11,
  _xlpm.r, MATCH(1,('3. Enter Indicator Scores'!$B$10:$B$161=$B135)*('3. Enter Indicator Scores'!$C$10:$C$161=$C135),0),
  _xlpm.c, MATCH(J$8,'3. Enter Indicator Scores'!$D$8:$CZ$8,0),
  _xlpm.v, IFERROR(INDEX('3. Enter Indicator Scores'!$D$10:$CZ$161,_xlpm.r,_xlpm.c),""),
  IF(OR(_xlpm.w="",_xlpm.v=""),"",_xlpm.v*_xlpm.w)
)</f>
        <v/>
      </c>
      <c r="K135" s="93" t="str" cm="1">
        <f t="array" ref="K135">_xlfn.LET(
  _xlpm.w, K$11,
  _xlpm.r, MATCH(1,('3. Enter Indicator Scores'!$B$10:$B$161=$B135)*('3. Enter Indicator Scores'!$C$10:$C$161=$C135),0),
  _xlpm.c, MATCH(K$8,'3. Enter Indicator Scores'!$D$8:$CZ$8,0),
  _xlpm.v, IFERROR(INDEX('3. Enter Indicator Scores'!$D$10:$CZ$161,_xlpm.r,_xlpm.c),""),
  IF(OR(_xlpm.w="",_xlpm.v=""),"",_xlpm.v*_xlpm.w)
)</f>
        <v/>
      </c>
      <c r="L135" s="93" t="str" cm="1">
        <f t="array" ref="L135">_xlfn.LET(
  _xlpm.w, L$11,
  _xlpm.r, MATCH(1,('3. Enter Indicator Scores'!$B$10:$B$161=$B135)*('3. Enter Indicator Scores'!$C$10:$C$161=$C135),0),
  _xlpm.c, MATCH(L$8,'3. Enter Indicator Scores'!$D$8:$CZ$8,0),
  _xlpm.v, IFERROR(INDEX('3. Enter Indicator Scores'!$D$10:$CZ$161,_xlpm.r,_xlpm.c),""),
  IF(OR(_xlpm.w="",_xlpm.v=""),"",_xlpm.v*_xlpm.w)
)</f>
        <v/>
      </c>
      <c r="M135" s="93" t="str" cm="1">
        <f t="array" ref="M135">_xlfn.LET(
  _xlpm.w, M$11,
  _xlpm.r, MATCH(1,('3. Enter Indicator Scores'!$B$10:$B$161=$B135)*('3. Enter Indicator Scores'!$C$10:$C$161=$C135),0),
  _xlpm.c, MATCH(M$8,'3. Enter Indicator Scores'!$D$8:$CZ$8,0),
  _xlpm.v, IFERROR(INDEX('3. Enter Indicator Scores'!$D$10:$CZ$161,_xlpm.r,_xlpm.c),""),
  IF(OR(_xlpm.w="",_xlpm.v=""),"",_xlpm.v*_xlpm.w)
)</f>
        <v/>
      </c>
      <c r="N135" s="93" t="str" cm="1">
        <f t="array" ref="N135">_xlfn.LET(
  _xlpm.w, N$11,
  _xlpm.r, MATCH(1,('3. Enter Indicator Scores'!$B$10:$B$161=$B135)*('3. Enter Indicator Scores'!$C$10:$C$161=$C135),0),
  _xlpm.c, MATCH(N$8,'3. Enter Indicator Scores'!$D$8:$CZ$8,0),
  _xlpm.v, IFERROR(INDEX('3. Enter Indicator Scores'!$D$10:$CZ$161,_xlpm.r,_xlpm.c),""),
  IF(OR(_xlpm.w="",_xlpm.v=""),"",_xlpm.v*_xlpm.w)
)</f>
        <v/>
      </c>
      <c r="O135" s="93" t="str" cm="1">
        <f t="array" ref="O135">_xlfn.LET(
  _xlpm.w, O$11,
  _xlpm.r, MATCH(1,('3. Enter Indicator Scores'!$B$10:$B$161=$B135)*('3. Enter Indicator Scores'!$C$10:$C$161=$C135),0),
  _xlpm.c, MATCH(O$8,'3. Enter Indicator Scores'!$D$8:$CZ$8,0),
  _xlpm.v, IFERROR(INDEX('3. Enter Indicator Scores'!$D$10:$CZ$161,_xlpm.r,_xlpm.c),""),
  IF(OR(_xlpm.w="",_xlpm.v=""),"",_xlpm.v*_xlpm.w)
)</f>
        <v/>
      </c>
      <c r="P135" s="93" t="str" cm="1">
        <f t="array" ref="P135">_xlfn.LET(
  _xlpm.w, P$11,
  _xlpm.r, MATCH(1,('3. Enter Indicator Scores'!$B$10:$B$161=$B135)*('3. Enter Indicator Scores'!$C$10:$C$161=$C135),0),
  _xlpm.c, MATCH(P$8,'3. Enter Indicator Scores'!$D$8:$CZ$8,0),
  _xlpm.v, IFERROR(INDEX('3. Enter Indicator Scores'!$D$10:$CZ$161,_xlpm.r,_xlpm.c),""),
  IF(OR(_xlpm.w="",_xlpm.v=""),"",_xlpm.v*_xlpm.w)
)</f>
        <v/>
      </c>
      <c r="Q135" s="93" t="str" cm="1">
        <f t="array" ref="Q135">_xlfn.LET(
  _xlpm.w, Q$11,
  _xlpm.r, MATCH(1,('3. Enter Indicator Scores'!$B$10:$B$161=$B135)*('3. Enter Indicator Scores'!$C$10:$C$161=$C135),0),
  _xlpm.c, MATCH(Q$8,'3. Enter Indicator Scores'!$D$8:$CZ$8,0),
  _xlpm.v, IFERROR(INDEX('3. Enter Indicator Scores'!$D$10:$CZ$161,_xlpm.r,_xlpm.c),""),
  IF(OR(_xlpm.w="",_xlpm.v=""),"",_xlpm.v*_xlpm.w)
)</f>
        <v/>
      </c>
      <c r="R135" s="93" t="str" cm="1">
        <f t="array" ref="R135">_xlfn.LET(
  _xlpm.w, R$11,
  _xlpm.r, MATCH(1,('3. Enter Indicator Scores'!$B$10:$B$161=$B135)*('3. Enter Indicator Scores'!$C$10:$C$161=$C135),0),
  _xlpm.c, MATCH(R$8,'3. Enter Indicator Scores'!$D$8:$CZ$8,0),
  _xlpm.v, IFERROR(INDEX('3. Enter Indicator Scores'!$D$10:$CZ$161,_xlpm.r,_xlpm.c),""),
  IF(OR(_xlpm.w="",_xlpm.v=""),"",_xlpm.v*_xlpm.w)
)</f>
        <v/>
      </c>
      <c r="S135" s="93" t="str" cm="1">
        <f t="array" ref="S135">_xlfn.LET(
  _xlpm.w, S$11,
  _xlpm.r, MATCH(1,('3. Enter Indicator Scores'!$B$10:$B$161=$B135)*('3. Enter Indicator Scores'!$C$10:$C$161=$C135),0),
  _xlpm.c, MATCH(S$8,'3. Enter Indicator Scores'!$D$8:$CZ$8,0),
  _xlpm.v, IFERROR(INDEX('3. Enter Indicator Scores'!$D$10:$CZ$161,_xlpm.r,_xlpm.c),""),
  IF(OR(_xlpm.w="",_xlpm.v=""),"",_xlpm.v*_xlpm.w)
)</f>
        <v/>
      </c>
      <c r="T135" s="93" t="str" cm="1">
        <f t="array" ref="T135">_xlfn.LET(
  _xlpm.w, T$11,
  _xlpm.r, MATCH(1,('3. Enter Indicator Scores'!$B$10:$B$161=$B135)*('3. Enter Indicator Scores'!$C$10:$C$161=$C135),0),
  _xlpm.c, MATCH(T$8,'3. Enter Indicator Scores'!$D$8:$CZ$8,0),
  _xlpm.v, IFERROR(INDEX('3. Enter Indicator Scores'!$D$10:$CZ$161,_xlpm.r,_xlpm.c),""),
  IF(OR(_xlpm.w="",_xlpm.v=""),"",_xlpm.v*_xlpm.w)
)</f>
        <v/>
      </c>
      <c r="U135" s="93" t="str" cm="1">
        <f t="array" ref="U135">_xlfn.LET(
  _xlpm.w, U$11,
  _xlpm.r, MATCH(1,('3. Enter Indicator Scores'!$B$10:$B$161=$B135)*('3. Enter Indicator Scores'!$C$10:$C$161=$C135),0),
  _xlpm.c, MATCH(U$8,'3. Enter Indicator Scores'!$D$8:$CZ$8,0),
  _xlpm.v, IFERROR(INDEX('3. Enter Indicator Scores'!$D$10:$CZ$161,_xlpm.r,_xlpm.c),""),
  IF(OR(_xlpm.w="",_xlpm.v=""),"",_xlpm.v*_xlpm.w)
)</f>
        <v/>
      </c>
      <c r="V135" s="93" t="str" cm="1">
        <f t="array" ref="V135">_xlfn.LET(
  _xlpm.w, V$11,
  _xlpm.r, MATCH(1,('3. Enter Indicator Scores'!$B$10:$B$161=$B135)*('3. Enter Indicator Scores'!$C$10:$C$161=$C135),0),
  _xlpm.c, MATCH(V$8,'3. Enter Indicator Scores'!$D$8:$CZ$8,0),
  _xlpm.v, IFERROR(INDEX('3. Enter Indicator Scores'!$D$10:$CZ$161,_xlpm.r,_xlpm.c),""),
  IF(OR(_xlpm.w="",_xlpm.v=""),"",_xlpm.v*_xlpm.w)
)</f>
        <v/>
      </c>
      <c r="W135" s="93" t="str" cm="1">
        <f t="array" ref="W135">_xlfn.LET(
  _xlpm.w, W$11,
  _xlpm.r, MATCH(1,('3. Enter Indicator Scores'!$B$10:$B$161=$B135)*('3. Enter Indicator Scores'!$C$10:$C$161=$C135),0),
  _xlpm.c, MATCH(W$8,'3. Enter Indicator Scores'!$D$8:$CZ$8,0),
  _xlpm.v, IFERROR(INDEX('3. Enter Indicator Scores'!$D$10:$CZ$161,_xlpm.r,_xlpm.c),""),
  IF(OR(_xlpm.w="",_xlpm.v=""),"",_xlpm.v*_xlpm.w)
)</f>
        <v/>
      </c>
      <c r="X135" s="93" t="str" cm="1">
        <f t="array" ref="X135">_xlfn.LET(
  _xlpm.w, X$11,
  _xlpm.r, MATCH(1,('3. Enter Indicator Scores'!$B$10:$B$161=$B135)*('3. Enter Indicator Scores'!$C$10:$C$161=$C135),0),
  _xlpm.c, MATCH(X$8,'3. Enter Indicator Scores'!$D$8:$CZ$8,0),
  _xlpm.v, IFERROR(INDEX('3. Enter Indicator Scores'!$D$10:$CZ$161,_xlpm.r,_xlpm.c),""),
  IF(OR(_xlpm.w="",_xlpm.v=""),"",_xlpm.v*_xlpm.w)
)</f>
        <v/>
      </c>
      <c r="Y135" s="93" t="str" cm="1">
        <f t="array" ref="Y135">_xlfn.LET(
  _xlpm.w, Y$11,
  _xlpm.r, MATCH(1,('3. Enter Indicator Scores'!$B$10:$B$161=$B135)*('3. Enter Indicator Scores'!$C$10:$C$161=$C135),0),
  _xlpm.c, MATCH(Y$8,'3. Enter Indicator Scores'!$D$8:$CZ$8,0),
  _xlpm.v, IFERROR(INDEX('3. Enter Indicator Scores'!$D$10:$CZ$161,_xlpm.r,_xlpm.c),""),
  IF(OR(_xlpm.w="",_xlpm.v=""),"",_xlpm.v*_xlpm.w)
)</f>
        <v/>
      </c>
      <c r="Z135" s="93" t="str" cm="1">
        <f t="array" ref="Z135">_xlfn.LET(
  _xlpm.w, Z$11,
  _xlpm.r, MATCH(1,('3. Enter Indicator Scores'!$B$10:$B$161=$B135)*('3. Enter Indicator Scores'!$C$10:$C$161=$C135),0),
  _xlpm.c, MATCH(Z$8,'3. Enter Indicator Scores'!$D$8:$CZ$8,0),
  _xlpm.v, IFERROR(INDEX('3. Enter Indicator Scores'!$D$10:$CZ$161,_xlpm.r,_xlpm.c),""),
  IF(OR(_xlpm.w="",_xlpm.v=""),"",_xlpm.v*_xlpm.w)
)</f>
        <v/>
      </c>
      <c r="AA135" s="93" t="str" cm="1">
        <f t="array" ref="AA135">_xlfn.LET(
  _xlpm.w, AA$11,
  _xlpm.r, MATCH(1,('3. Enter Indicator Scores'!$B$10:$B$161=$B135)*('3. Enter Indicator Scores'!$C$10:$C$161=$C135),0),
  _xlpm.c, MATCH(AA$8,'3. Enter Indicator Scores'!$D$8:$CZ$8,0),
  _xlpm.v, IFERROR(INDEX('3. Enter Indicator Scores'!$D$10:$CZ$161,_xlpm.r,_xlpm.c),""),
  IF(OR(_xlpm.w="",_xlpm.v=""),"",_xlpm.v*_xlpm.w)
)</f>
        <v/>
      </c>
      <c r="AB135" s="93" t="str" cm="1">
        <f t="array" ref="AB135">_xlfn.LET(
  _xlpm.w, AB$11,
  _xlpm.r, MATCH(1,('3. Enter Indicator Scores'!$B$10:$B$161=$B135)*('3. Enter Indicator Scores'!$C$10:$C$161=$C135),0),
  _xlpm.c, MATCH(AB$8,'3. Enter Indicator Scores'!$D$8:$CZ$8,0),
  _xlpm.v, IFERROR(INDEX('3. Enter Indicator Scores'!$D$10:$CZ$161,_xlpm.r,_xlpm.c),""),
  IF(OR(_xlpm.w="",_xlpm.v=""),"",_xlpm.v*_xlpm.w)
)</f>
        <v/>
      </c>
      <c r="AC135" s="93" t="str" cm="1">
        <f t="array" ref="AC135">_xlfn.LET(
  _xlpm.w, AC$11,
  _xlpm.r, MATCH(1,('3. Enter Indicator Scores'!$B$10:$B$161=$B135)*('3. Enter Indicator Scores'!$C$10:$C$161=$C135),0),
  _xlpm.c, MATCH(AC$8,'3. Enter Indicator Scores'!$D$8:$CZ$8,0),
  _xlpm.v, IFERROR(INDEX('3. Enter Indicator Scores'!$D$10:$CZ$161,_xlpm.r,_xlpm.c),""),
  IF(OR(_xlpm.w="",_xlpm.v=""),"",_xlpm.v*_xlpm.w)
)</f>
        <v/>
      </c>
      <c r="AD135" s="93" t="str" cm="1">
        <f t="array" ref="AD135">_xlfn.LET(
  _xlpm.w, AD$11,
  _xlpm.r, MATCH(1,('3. Enter Indicator Scores'!$B$10:$B$161=$B135)*('3. Enter Indicator Scores'!$C$10:$C$161=$C135),0),
  _xlpm.c, MATCH(AD$8,'3. Enter Indicator Scores'!$D$8:$CZ$8,0),
  _xlpm.v, IFERROR(INDEX('3. Enter Indicator Scores'!$D$10:$CZ$161,_xlpm.r,_xlpm.c),""),
  IF(OR(_xlpm.w="",_xlpm.v=""),"",_xlpm.v*_xlpm.w)
)</f>
        <v/>
      </c>
      <c r="AE135" s="93" t="str" cm="1">
        <f t="array" ref="AE135">_xlfn.LET(
  _xlpm.w, AE$11,
  _xlpm.r, MATCH(1,('3. Enter Indicator Scores'!$B$10:$B$161=$B135)*('3. Enter Indicator Scores'!$C$10:$C$161=$C135),0),
  _xlpm.c, MATCH(AE$8,'3. Enter Indicator Scores'!$D$8:$CZ$8,0),
  _xlpm.v, IFERROR(INDEX('3. Enter Indicator Scores'!$D$10:$CZ$161,_xlpm.r,_xlpm.c),""),
  IF(OR(_xlpm.w="",_xlpm.v=""),"",_xlpm.v*_xlpm.w)
)</f>
        <v/>
      </c>
      <c r="AF135" s="93" t="str" cm="1">
        <f t="array" ref="AF135">_xlfn.LET(
  _xlpm.w, AF$11,
  _xlpm.r, MATCH(1,('3. Enter Indicator Scores'!$B$10:$B$161=$B135)*('3. Enter Indicator Scores'!$C$10:$C$161=$C135),0),
  _xlpm.c, MATCH(AF$8,'3. Enter Indicator Scores'!$D$8:$CZ$8,0),
  _xlpm.v, IFERROR(INDEX('3. Enter Indicator Scores'!$D$10:$CZ$161,_xlpm.r,_xlpm.c),""),
  IF(OR(_xlpm.w="",_xlpm.v=""),"",_xlpm.v*_xlpm.w)
)</f>
        <v/>
      </c>
      <c r="AG135" s="93" t="str" cm="1">
        <f t="array" ref="AG135">_xlfn.LET(
  _xlpm.w, AG$11,
  _xlpm.r, MATCH(1,('3. Enter Indicator Scores'!$B$10:$B$161=$B135)*('3. Enter Indicator Scores'!$C$10:$C$161=$C135),0),
  _xlpm.c, MATCH(AG$8,'3. Enter Indicator Scores'!$D$8:$CZ$8,0),
  _xlpm.v, IFERROR(INDEX('3. Enter Indicator Scores'!$D$10:$CZ$161,_xlpm.r,_xlpm.c),""),
  IF(OR(_xlpm.w="",_xlpm.v=""),"",_xlpm.v*_xlpm.w)
)</f>
        <v/>
      </c>
      <c r="AH135" s="93" t="str" cm="1">
        <f t="array" ref="AH135">_xlfn.LET(
  _xlpm.w, AH$11,
  _xlpm.r, MATCH(1,('3. Enter Indicator Scores'!$B$10:$B$161=$B135)*('3. Enter Indicator Scores'!$C$10:$C$161=$C135),0),
  _xlpm.c, MATCH(AH$8,'3. Enter Indicator Scores'!$D$8:$CZ$8,0),
  _xlpm.v, IFERROR(INDEX('3. Enter Indicator Scores'!$D$10:$CZ$161,_xlpm.r,_xlpm.c),""),
  IF(OR(_xlpm.w="",_xlpm.v=""),"",_xlpm.v*_xlpm.w)
)</f>
        <v/>
      </c>
      <c r="AI135" s="93" t="str" cm="1">
        <f t="array" ref="AI135">_xlfn.LET(
  _xlpm.w, AI$11,
  _xlpm.r, MATCH(1,('3. Enter Indicator Scores'!$B$10:$B$161=$B135)*('3. Enter Indicator Scores'!$C$10:$C$161=$C135),0),
  _xlpm.c, MATCH(AI$8,'3. Enter Indicator Scores'!$D$8:$CZ$8,0),
  _xlpm.v, IFERROR(INDEX('3. Enter Indicator Scores'!$D$10:$CZ$161,_xlpm.r,_xlpm.c),""),
  IF(OR(_xlpm.w="",_xlpm.v=""),"",_xlpm.v*_xlpm.w)
)</f>
        <v/>
      </c>
      <c r="AJ135" s="93" t="str" cm="1">
        <f t="array" ref="AJ135">_xlfn.LET(
  _xlpm.w, AJ$11,
  _xlpm.r, MATCH(1,('3. Enter Indicator Scores'!$B$10:$B$161=$B135)*('3. Enter Indicator Scores'!$C$10:$C$161=$C135),0),
  _xlpm.c, MATCH(AJ$8,'3. Enter Indicator Scores'!$D$8:$CZ$8,0),
  _xlpm.v, IFERROR(INDEX('3. Enter Indicator Scores'!$D$10:$CZ$161,_xlpm.r,_xlpm.c),""),
  IF(OR(_xlpm.w="",_xlpm.v=""),"",_xlpm.v*_xlpm.w)
)</f>
        <v/>
      </c>
      <c r="AK135" s="93" t="str" cm="1">
        <f t="array" ref="AK135">_xlfn.LET(
  _xlpm.w, AK$11,
  _xlpm.r, MATCH(1,('3. Enter Indicator Scores'!$B$10:$B$161=$B135)*('3. Enter Indicator Scores'!$C$10:$C$161=$C135),0),
  _xlpm.c, MATCH(AK$8,'3. Enter Indicator Scores'!$D$8:$CZ$8,0),
  _xlpm.v, IFERROR(INDEX('3. Enter Indicator Scores'!$D$10:$CZ$161,_xlpm.r,_xlpm.c),""),
  IF(OR(_xlpm.w="",_xlpm.v=""),"",_xlpm.v*_xlpm.w)
)</f>
        <v/>
      </c>
      <c r="AL135" s="93" t="str" cm="1">
        <f t="array" ref="AL135">_xlfn.LET(
  _xlpm.w, AL$11,
  _xlpm.r, MATCH(1,('3. Enter Indicator Scores'!$B$10:$B$161=$B135)*('3. Enter Indicator Scores'!$C$10:$C$161=$C135),0),
  _xlpm.c, MATCH(AL$8,'3. Enter Indicator Scores'!$D$8:$CZ$8,0),
  _xlpm.v, IFERROR(INDEX('3. Enter Indicator Scores'!$D$10:$CZ$161,_xlpm.r,_xlpm.c),""),
  IF(OR(_xlpm.w="",_xlpm.v=""),"",_xlpm.v*_xlpm.w)
)</f>
        <v/>
      </c>
      <c r="AM135" s="93" t="str" cm="1">
        <f t="array" ref="AM135">_xlfn.LET(
  _xlpm.w, AM$11,
  _xlpm.r, MATCH(1,('3. Enter Indicator Scores'!$B$10:$B$161=$B135)*('3. Enter Indicator Scores'!$C$10:$C$161=$C135),0),
  _xlpm.c, MATCH(AM$8,'3. Enter Indicator Scores'!$D$8:$CZ$8,0),
  _xlpm.v, IFERROR(INDEX('3. Enter Indicator Scores'!$D$10:$CZ$161,_xlpm.r,_xlpm.c),""),
  IF(OR(_xlpm.w="",_xlpm.v=""),"",_xlpm.v*_xlpm.w)
)</f>
        <v/>
      </c>
      <c r="AN135" s="93" t="str" cm="1">
        <f t="array" ref="AN135">_xlfn.LET(
  _xlpm.w, AN$11,
  _xlpm.r, MATCH(1,('3. Enter Indicator Scores'!$B$10:$B$161=$B135)*('3. Enter Indicator Scores'!$C$10:$C$161=$C135),0),
  _xlpm.c, MATCH(AN$8,'3. Enter Indicator Scores'!$D$8:$CZ$8,0),
  _xlpm.v, IFERROR(INDEX('3. Enter Indicator Scores'!$D$10:$CZ$161,_xlpm.r,_xlpm.c),""),
  IF(OR(_xlpm.w="",_xlpm.v=""),"",_xlpm.v*_xlpm.w)
)</f>
        <v/>
      </c>
      <c r="AO135" s="93" t="str" cm="1">
        <f t="array" ref="AO135">_xlfn.LET(
  _xlpm.w, AO$11,
  _xlpm.r, MATCH(1,('3. Enter Indicator Scores'!$B$10:$B$161=$B135)*('3. Enter Indicator Scores'!$C$10:$C$161=$C135),0),
  _xlpm.c, MATCH(AO$8,'3. Enter Indicator Scores'!$D$8:$CZ$8,0),
  _xlpm.v, IFERROR(INDEX('3. Enter Indicator Scores'!$D$10:$CZ$161,_xlpm.r,_xlpm.c),""),
  IF(OR(_xlpm.w="",_xlpm.v=""),"",_xlpm.v*_xlpm.w)
)</f>
        <v/>
      </c>
      <c r="AP135" s="93" t="str" cm="1">
        <f t="array" ref="AP135">_xlfn.LET(
  _xlpm.w, AP$11,
  _xlpm.r, MATCH(1,('3. Enter Indicator Scores'!$B$10:$B$161=$B135)*('3. Enter Indicator Scores'!$C$10:$C$161=$C135),0),
  _xlpm.c, MATCH(AP$8,'3. Enter Indicator Scores'!$D$8:$CZ$8,0),
  _xlpm.v, IFERROR(INDEX('3. Enter Indicator Scores'!$D$10:$CZ$161,_xlpm.r,_xlpm.c),""),
  IF(OR(_xlpm.w="",_xlpm.v=""),"",_xlpm.v*_xlpm.w)
)</f>
        <v/>
      </c>
      <c r="AQ135" s="93" t="str" cm="1">
        <f t="array" ref="AQ135">_xlfn.LET(
  _xlpm.w, AQ$11,
  _xlpm.r, MATCH(1,('3. Enter Indicator Scores'!$B$10:$B$161=$B135)*('3. Enter Indicator Scores'!$C$10:$C$161=$C135),0),
  _xlpm.c, MATCH(AQ$8,'3. Enter Indicator Scores'!$D$8:$CZ$8,0),
  _xlpm.v, IFERROR(INDEX('3. Enter Indicator Scores'!$D$10:$CZ$161,_xlpm.r,_xlpm.c),""),
  IF(OR(_xlpm.w="",_xlpm.v=""),"",_xlpm.v*_xlpm.w)
)</f>
        <v/>
      </c>
      <c r="AR135" s="93" t="str" cm="1">
        <f t="array" ref="AR135">_xlfn.LET(
  _xlpm.w, AR$11,
  _xlpm.r, MATCH(1,('3. Enter Indicator Scores'!$B$10:$B$161=$B135)*('3. Enter Indicator Scores'!$C$10:$C$161=$C135),0),
  _xlpm.c, MATCH(AR$8,'3. Enter Indicator Scores'!$D$8:$CZ$8,0),
  _xlpm.v, IFERROR(INDEX('3. Enter Indicator Scores'!$D$10:$CZ$161,_xlpm.r,_xlpm.c),""),
  IF(OR(_xlpm.w="",_xlpm.v=""),"",_xlpm.v*_xlpm.w)
)</f>
        <v/>
      </c>
      <c r="AS135" s="93" t="str" cm="1">
        <f t="array" ref="AS135">_xlfn.LET(
  _xlpm.w, AS$11,
  _xlpm.r, MATCH(1,('3. Enter Indicator Scores'!$B$10:$B$161=$B135)*('3. Enter Indicator Scores'!$C$10:$C$161=$C135),0),
  _xlpm.c, MATCH(AS$8,'3. Enter Indicator Scores'!$D$8:$CZ$8,0),
  _xlpm.v, IFERROR(INDEX('3. Enter Indicator Scores'!$D$10:$CZ$161,_xlpm.r,_xlpm.c),""),
  IF(OR(_xlpm.w="",_xlpm.v=""),"",_xlpm.v*_xlpm.w)
)</f>
        <v/>
      </c>
      <c r="AT135" s="93" t="str" cm="1">
        <f t="array" ref="AT135">_xlfn.LET(
  _xlpm.w, AT$11,
  _xlpm.r, MATCH(1,('3. Enter Indicator Scores'!$B$10:$B$161=$B135)*('3. Enter Indicator Scores'!$C$10:$C$161=$C135),0),
  _xlpm.c, MATCH(AT$8,'3. Enter Indicator Scores'!$D$8:$CZ$8,0),
  _xlpm.v, IFERROR(INDEX('3. Enter Indicator Scores'!$D$10:$CZ$161,_xlpm.r,_xlpm.c),""),
  IF(OR(_xlpm.w="",_xlpm.v=""),"",_xlpm.v*_xlpm.w)
)</f>
        <v/>
      </c>
      <c r="AU135" s="93" t="str" cm="1">
        <f t="array" ref="AU135">_xlfn.LET(
  _xlpm.w, AU$11,
  _xlpm.r, MATCH(1,('3. Enter Indicator Scores'!$B$10:$B$161=$B135)*('3. Enter Indicator Scores'!$C$10:$C$161=$C135),0),
  _xlpm.c, MATCH(AU$8,'3. Enter Indicator Scores'!$D$8:$CZ$8,0),
  _xlpm.v, IFERROR(INDEX('3. Enter Indicator Scores'!$D$10:$CZ$161,_xlpm.r,_xlpm.c),""),
  IF(OR(_xlpm.w="",_xlpm.v=""),"",_xlpm.v*_xlpm.w)
)</f>
        <v/>
      </c>
      <c r="AV135" s="93" t="str" cm="1">
        <f t="array" ref="AV135">_xlfn.LET(
  _xlpm.w, AV$11,
  _xlpm.r, MATCH(1,('3. Enter Indicator Scores'!$B$10:$B$161=$B135)*('3. Enter Indicator Scores'!$C$10:$C$161=$C135),0),
  _xlpm.c, MATCH(AV$8,'3. Enter Indicator Scores'!$D$8:$CZ$8,0),
  _xlpm.v, IFERROR(INDEX('3. Enter Indicator Scores'!$D$10:$CZ$161,_xlpm.r,_xlpm.c),""),
  IF(OR(_xlpm.w="",_xlpm.v=""),"",_xlpm.v*_xlpm.w)
)</f>
        <v/>
      </c>
      <c r="AW135" s="93" t="str" cm="1">
        <f t="array" ref="AW135">_xlfn.LET(
  _xlpm.w, AW$11,
  _xlpm.r, MATCH(1,('3. Enter Indicator Scores'!$B$10:$B$161=$B135)*('3. Enter Indicator Scores'!$C$10:$C$161=$C135),0),
  _xlpm.c, MATCH(AW$8,'3. Enter Indicator Scores'!$D$8:$CZ$8,0),
  _xlpm.v, IFERROR(INDEX('3. Enter Indicator Scores'!$D$10:$CZ$161,_xlpm.r,_xlpm.c),""),
  IF(OR(_xlpm.w="",_xlpm.v=""),"",_xlpm.v*_xlpm.w)
)</f>
        <v/>
      </c>
      <c r="AX135" s="93" t="str" cm="1">
        <f t="array" ref="AX135">_xlfn.LET(
  _xlpm.w, AX$11,
  _xlpm.r, MATCH(1,('3. Enter Indicator Scores'!$B$10:$B$161=$B135)*('3. Enter Indicator Scores'!$C$10:$C$161=$C135),0),
  _xlpm.c, MATCH(AX$8,'3. Enter Indicator Scores'!$D$8:$CZ$8,0),
  _xlpm.v, IFERROR(INDEX('3. Enter Indicator Scores'!$D$10:$CZ$161,_xlpm.r,_xlpm.c),""),
  IF(OR(_xlpm.w="",_xlpm.v=""),"",_xlpm.v*_xlpm.w)
)</f>
        <v/>
      </c>
      <c r="AY135" s="93" t="str" cm="1">
        <f t="array" ref="AY135">_xlfn.LET(
  _xlpm.w, AY$11,
  _xlpm.r, MATCH(1,('3. Enter Indicator Scores'!$B$10:$B$161=$B135)*('3. Enter Indicator Scores'!$C$10:$C$161=$C135),0),
  _xlpm.c, MATCH(AY$8,'3. Enter Indicator Scores'!$D$8:$CZ$8,0),
  _xlpm.v, IFERROR(INDEX('3. Enter Indicator Scores'!$D$10:$CZ$161,_xlpm.r,_xlpm.c),""),
  IF(OR(_xlpm.w="",_xlpm.v=""),"",_xlpm.v*_xlpm.w)
)</f>
        <v/>
      </c>
      <c r="AZ135" s="93" t="str" cm="1">
        <f t="array" ref="AZ135">_xlfn.LET(
  _xlpm.w, AZ$11,
  _xlpm.r, MATCH(1,('3. Enter Indicator Scores'!$B$10:$B$161=$B135)*('3. Enter Indicator Scores'!$C$10:$C$161=$C135),0),
  _xlpm.c, MATCH(AZ$8,'3. Enter Indicator Scores'!$D$8:$CZ$8,0),
  _xlpm.v, IFERROR(INDEX('3. Enter Indicator Scores'!$D$10:$CZ$161,_xlpm.r,_xlpm.c),""),
  IF(OR(_xlpm.w="",_xlpm.v=""),"",_xlpm.v*_xlpm.w)
)</f>
        <v/>
      </c>
      <c r="BA135" s="93" t="str" cm="1">
        <f t="array" ref="BA135">_xlfn.LET(
  _xlpm.w, BA$11,
  _xlpm.r, MATCH(1,('3. Enter Indicator Scores'!$B$10:$B$161=$B135)*('3. Enter Indicator Scores'!$C$10:$C$161=$C135),0),
  _xlpm.c, MATCH(BA$8,'3. Enter Indicator Scores'!$D$8:$CZ$8,0),
  _xlpm.v, IFERROR(INDEX('3. Enter Indicator Scores'!$D$10:$CZ$161,_xlpm.r,_xlpm.c),""),
  IF(OR(_xlpm.w="",_xlpm.v=""),"",_xlpm.v*_xlpm.w)
)</f>
        <v/>
      </c>
      <c r="BB135" s="93" t="str" cm="1">
        <f t="array" ref="BB135">_xlfn.LET(
  _xlpm.w, BB$11,
  _xlpm.r, MATCH(1,('3. Enter Indicator Scores'!$B$10:$B$161=$B135)*('3. Enter Indicator Scores'!$C$10:$C$161=$C135),0),
  _xlpm.c, MATCH(BB$8,'3. Enter Indicator Scores'!$D$8:$CZ$8,0),
  _xlpm.v, IFERROR(INDEX('3. Enter Indicator Scores'!$D$10:$CZ$161,_xlpm.r,_xlpm.c),""),
  IF(OR(_xlpm.w="",_xlpm.v=""),"",_xlpm.v*_xlpm.w)
)</f>
        <v/>
      </c>
      <c r="BC135" s="93" t="str" cm="1">
        <f t="array" ref="BC135">_xlfn.LET(
  _xlpm.w, BC$11,
  _xlpm.r, MATCH(1,('3. Enter Indicator Scores'!$B$10:$B$161=$B135)*('3. Enter Indicator Scores'!$C$10:$C$161=$C135),0),
  _xlpm.c, MATCH(BC$8,'3. Enter Indicator Scores'!$D$8:$CZ$8,0),
  _xlpm.v, IFERROR(INDEX('3. Enter Indicator Scores'!$D$10:$CZ$161,_xlpm.r,_xlpm.c),""),
  IF(OR(_xlpm.w="",_xlpm.v=""),"",_xlpm.v*_xlpm.w)
)</f>
        <v/>
      </c>
      <c r="BD135" s="93" t="str" cm="1">
        <f t="array" ref="BD135">_xlfn.LET(
  _xlpm.w, BD$11,
  _xlpm.r, MATCH(1,('3. Enter Indicator Scores'!$B$10:$B$161=$B135)*('3. Enter Indicator Scores'!$C$10:$C$161=$C135),0),
  _xlpm.c, MATCH(BD$8,'3. Enter Indicator Scores'!$D$8:$CZ$8,0),
  _xlpm.v, IFERROR(INDEX('3. Enter Indicator Scores'!$D$10:$CZ$161,_xlpm.r,_xlpm.c),""),
  IF(OR(_xlpm.w="",_xlpm.v=""),"",_xlpm.v*_xlpm.w)
)</f>
        <v/>
      </c>
      <c r="BE135" s="93" t="str" cm="1">
        <f t="array" ref="BE135">_xlfn.LET(
  _xlpm.w, BE$11,
  _xlpm.r, MATCH(1,('3. Enter Indicator Scores'!$B$10:$B$161=$B135)*('3. Enter Indicator Scores'!$C$10:$C$161=$C135),0),
  _xlpm.c, MATCH(BE$8,'3. Enter Indicator Scores'!$D$8:$CZ$8,0),
  _xlpm.v, IFERROR(INDEX('3. Enter Indicator Scores'!$D$10:$CZ$161,_xlpm.r,_xlpm.c),""),
  IF(OR(_xlpm.w="",_xlpm.v=""),"",_xlpm.v*_xlpm.w)
)</f>
        <v/>
      </c>
      <c r="BF135" s="93" t="str" cm="1">
        <f t="array" ref="BF135">_xlfn.LET(
  _xlpm.w, BF$11,
  _xlpm.r, MATCH(1,('3. Enter Indicator Scores'!$B$10:$B$161=$B135)*('3. Enter Indicator Scores'!$C$10:$C$161=$C135),0),
  _xlpm.c, MATCH(BF$8,'3. Enter Indicator Scores'!$D$8:$CZ$8,0),
  _xlpm.v, IFERROR(INDEX('3. Enter Indicator Scores'!$D$10:$CZ$161,_xlpm.r,_xlpm.c),""),
  IF(OR(_xlpm.w="",_xlpm.v=""),"",_xlpm.v*_xlpm.w)
)</f>
        <v/>
      </c>
      <c r="BG135" s="93" t="str" cm="1">
        <f t="array" ref="BG135">_xlfn.LET(
  _xlpm.w, BG$11,
  _xlpm.r, MATCH(1,('3. Enter Indicator Scores'!$B$10:$B$161=$B135)*('3. Enter Indicator Scores'!$C$10:$C$161=$C135),0),
  _xlpm.c, MATCH(BG$8,'3. Enter Indicator Scores'!$D$8:$CZ$8,0),
  _xlpm.v, IFERROR(INDEX('3. Enter Indicator Scores'!$D$10:$CZ$161,_xlpm.r,_xlpm.c),""),
  IF(OR(_xlpm.w="",_xlpm.v=""),"",_xlpm.v*_xlpm.w)
)</f>
        <v/>
      </c>
      <c r="BH135" s="93" t="str" cm="1">
        <f t="array" ref="BH135">_xlfn.LET(
  _xlpm.w, BH$11,
  _xlpm.r, MATCH(1,('3. Enter Indicator Scores'!$B$10:$B$161=$B135)*('3. Enter Indicator Scores'!$C$10:$C$161=$C135),0),
  _xlpm.c, MATCH(BH$8,'3. Enter Indicator Scores'!$D$8:$CZ$8,0),
  _xlpm.v, IFERROR(INDEX('3. Enter Indicator Scores'!$D$10:$CZ$161,_xlpm.r,_xlpm.c),""),
  IF(OR(_xlpm.w="",_xlpm.v=""),"",_xlpm.v*_xlpm.w)
)</f>
        <v/>
      </c>
      <c r="BI135" s="93" t="str" cm="1">
        <f t="array" ref="BI135">_xlfn.LET(
  _xlpm.w, BI$11,
  _xlpm.r, MATCH(1,('3. Enter Indicator Scores'!$B$10:$B$161=$B135)*('3. Enter Indicator Scores'!$C$10:$C$161=$C135),0),
  _xlpm.c, MATCH(BI$8,'3. Enter Indicator Scores'!$D$8:$CZ$8,0),
  _xlpm.v, IFERROR(INDEX('3. Enter Indicator Scores'!$D$10:$CZ$161,_xlpm.r,_xlpm.c),""),
  IF(OR(_xlpm.w="",_xlpm.v=""),"",_xlpm.v*_xlpm.w)
)</f>
        <v/>
      </c>
      <c r="BJ135" s="93" t="str" cm="1">
        <f t="array" ref="BJ135">_xlfn.LET(
  _xlpm.w, BJ$11,
  _xlpm.r, MATCH(1,('3. Enter Indicator Scores'!$B$10:$B$161=$B135)*('3. Enter Indicator Scores'!$C$10:$C$161=$C135),0),
  _xlpm.c, MATCH(BJ$8,'3. Enter Indicator Scores'!$D$8:$CZ$8,0),
  _xlpm.v, IFERROR(INDEX('3. Enter Indicator Scores'!$D$10:$CZ$161,_xlpm.r,_xlpm.c),""),
  IF(OR(_xlpm.w="",_xlpm.v=""),"",_xlpm.v*_xlpm.w)
)</f>
        <v/>
      </c>
      <c r="BK135" s="93" t="str" cm="1">
        <f t="array" ref="BK135">_xlfn.LET(
  _xlpm.w, BK$11,
  _xlpm.r, MATCH(1,('3. Enter Indicator Scores'!$B$10:$B$161=$B135)*('3. Enter Indicator Scores'!$C$10:$C$161=$C135),0),
  _xlpm.c, MATCH(BK$8,'3. Enter Indicator Scores'!$D$8:$CZ$8,0),
  _xlpm.v, IFERROR(INDEX('3. Enter Indicator Scores'!$D$10:$CZ$161,_xlpm.r,_xlpm.c),""),
  IF(OR(_xlpm.w="",_xlpm.v=""),"",_xlpm.v*_xlpm.w)
)</f>
        <v/>
      </c>
      <c r="BL135" s="93" t="str" cm="1">
        <f t="array" ref="BL135">_xlfn.LET(
  _xlpm.w, BL$11,
  _xlpm.r, MATCH(1,('3. Enter Indicator Scores'!$B$10:$B$161=$B135)*('3. Enter Indicator Scores'!$C$10:$C$161=$C135),0),
  _xlpm.c, MATCH(BL$8,'3. Enter Indicator Scores'!$D$8:$CZ$8,0),
  _xlpm.v, IFERROR(INDEX('3. Enter Indicator Scores'!$D$10:$CZ$161,_xlpm.r,_xlpm.c),""),
  IF(OR(_xlpm.w="",_xlpm.v=""),"",_xlpm.v*_xlpm.w)
)</f>
        <v/>
      </c>
      <c r="BM135" s="93" t="str" cm="1">
        <f t="array" ref="BM135">_xlfn.LET(
  _xlpm.w, BM$11,
  _xlpm.r, MATCH(1,('3. Enter Indicator Scores'!$B$10:$B$161=$B135)*('3. Enter Indicator Scores'!$C$10:$C$161=$C135),0),
  _xlpm.c, MATCH(BM$8,'3. Enter Indicator Scores'!$D$8:$CZ$8,0),
  _xlpm.v, IFERROR(INDEX('3. Enter Indicator Scores'!$D$10:$CZ$161,_xlpm.r,_xlpm.c),""),
  IF(OR(_xlpm.w="",_xlpm.v=""),"",_xlpm.v*_xlpm.w)
)</f>
        <v/>
      </c>
      <c r="BN135" s="93" t="str" cm="1">
        <f t="array" ref="BN135">_xlfn.LET(
  _xlpm.w, BN$11,
  _xlpm.r, MATCH(1,('3. Enter Indicator Scores'!$B$10:$B$161=$B135)*('3. Enter Indicator Scores'!$C$10:$C$161=$C135),0),
  _xlpm.c, MATCH(BN$8,'3. Enter Indicator Scores'!$D$8:$CZ$8,0),
  _xlpm.v, IFERROR(INDEX('3. Enter Indicator Scores'!$D$10:$CZ$161,_xlpm.r,_xlpm.c),""),
  IF(OR(_xlpm.w="",_xlpm.v=""),"",_xlpm.v*_xlpm.w)
)</f>
        <v/>
      </c>
      <c r="BO135" s="93" t="str" cm="1">
        <f t="array" ref="BO135">_xlfn.LET(
  _xlpm.w, BO$11,
  _xlpm.r, MATCH(1,('3. Enter Indicator Scores'!$B$10:$B$161=$B135)*('3. Enter Indicator Scores'!$C$10:$C$161=$C135),0),
  _xlpm.c, MATCH(BO$8,'3. Enter Indicator Scores'!$D$8:$CZ$8,0),
  _xlpm.v, IFERROR(INDEX('3. Enter Indicator Scores'!$D$10:$CZ$161,_xlpm.r,_xlpm.c),""),
  IF(OR(_xlpm.w="",_xlpm.v=""),"",_xlpm.v*_xlpm.w)
)</f>
        <v/>
      </c>
      <c r="BP135" s="93" t="str" cm="1">
        <f t="array" ref="BP135">_xlfn.LET(
  _xlpm.w, BP$11,
  _xlpm.r, MATCH(1,('3. Enter Indicator Scores'!$B$10:$B$161=$B135)*('3. Enter Indicator Scores'!$C$10:$C$161=$C135),0),
  _xlpm.c, MATCH(BP$8,'3. Enter Indicator Scores'!$D$8:$CZ$8,0),
  _xlpm.v, IFERROR(INDEX('3. Enter Indicator Scores'!$D$10:$CZ$161,_xlpm.r,_xlpm.c),""),
  IF(OR(_xlpm.w="",_xlpm.v=""),"",_xlpm.v*_xlpm.w)
)</f>
        <v/>
      </c>
      <c r="BQ135" s="93" t="str" cm="1">
        <f t="array" ref="BQ135">_xlfn.LET(
  _xlpm.w, BQ$11,
  _xlpm.r, MATCH(1,('3. Enter Indicator Scores'!$B$10:$B$161=$B135)*('3. Enter Indicator Scores'!$C$10:$C$161=$C135),0),
  _xlpm.c, MATCH(BQ$8,'3. Enter Indicator Scores'!$D$8:$CZ$8,0),
  _xlpm.v, IFERROR(INDEX('3. Enter Indicator Scores'!$D$10:$CZ$161,_xlpm.r,_xlpm.c),""),
  IF(OR(_xlpm.w="",_xlpm.v=""),"",_xlpm.v*_xlpm.w)
)</f>
        <v/>
      </c>
      <c r="BR135" s="93" t="str" cm="1">
        <f t="array" ref="BR135">_xlfn.LET(
  _xlpm.w, BR$11,
  _xlpm.r, MATCH(1,('3. Enter Indicator Scores'!$B$10:$B$161=$B135)*('3. Enter Indicator Scores'!$C$10:$C$161=$C135),0),
  _xlpm.c, MATCH(BR$8,'3. Enter Indicator Scores'!$D$8:$CZ$8,0),
  _xlpm.v, IFERROR(INDEX('3. Enter Indicator Scores'!$D$10:$CZ$161,_xlpm.r,_xlpm.c),""),
  IF(OR(_xlpm.w="",_xlpm.v=""),"",_xlpm.v*_xlpm.w)
)</f>
        <v/>
      </c>
      <c r="BS135" s="93" t="str" cm="1">
        <f t="array" ref="BS135">_xlfn.LET(
  _xlpm.w, BS$11,
  _xlpm.r, MATCH(1,('3. Enter Indicator Scores'!$B$10:$B$161=$B135)*('3. Enter Indicator Scores'!$C$10:$C$161=$C135),0),
  _xlpm.c, MATCH(BS$8,'3. Enter Indicator Scores'!$D$8:$CZ$8,0),
  _xlpm.v, IFERROR(INDEX('3. Enter Indicator Scores'!$D$10:$CZ$161,_xlpm.r,_xlpm.c),""),
  IF(OR(_xlpm.w="",_xlpm.v=""),"",_xlpm.v*_xlpm.w)
)</f>
        <v/>
      </c>
      <c r="BT135" s="93" t="str" cm="1">
        <f t="array" ref="BT135">_xlfn.LET(
  _xlpm.w, BT$11,
  _xlpm.r, MATCH(1,('3. Enter Indicator Scores'!$B$10:$B$161=$B135)*('3. Enter Indicator Scores'!$C$10:$C$161=$C135),0),
  _xlpm.c, MATCH(BT$8,'3. Enter Indicator Scores'!$D$8:$CZ$8,0),
  _xlpm.v, IFERROR(INDEX('3. Enter Indicator Scores'!$D$10:$CZ$161,_xlpm.r,_xlpm.c),""),
  IF(OR(_xlpm.w="",_xlpm.v=""),"",_xlpm.v*_xlpm.w)
)</f>
        <v/>
      </c>
      <c r="BU135" s="93" t="str" cm="1">
        <f t="array" ref="BU135">_xlfn.LET(
  _xlpm.w, BU$11,
  _xlpm.r, MATCH(1,('3. Enter Indicator Scores'!$B$10:$B$161=$B135)*('3. Enter Indicator Scores'!$C$10:$C$161=$C135),0),
  _xlpm.c, MATCH(BU$8,'3. Enter Indicator Scores'!$D$8:$CZ$8,0),
  _xlpm.v, IFERROR(INDEX('3. Enter Indicator Scores'!$D$10:$CZ$161,_xlpm.r,_xlpm.c),""),
  IF(OR(_xlpm.w="",_xlpm.v=""),"",_xlpm.v*_xlpm.w)
)</f>
        <v/>
      </c>
      <c r="BV135" s="93" t="str" cm="1">
        <f t="array" ref="BV135">_xlfn.LET(
  _xlpm.w, BV$11,
  _xlpm.r, MATCH(1,('3. Enter Indicator Scores'!$B$10:$B$161=$B135)*('3. Enter Indicator Scores'!$C$10:$C$161=$C135),0),
  _xlpm.c, MATCH(BV$8,'3. Enter Indicator Scores'!$D$8:$CZ$8,0),
  _xlpm.v, IFERROR(INDEX('3. Enter Indicator Scores'!$D$10:$CZ$161,_xlpm.r,_xlpm.c),""),
  IF(OR(_xlpm.w="",_xlpm.v=""),"",_xlpm.v*_xlpm.w)
)</f>
        <v/>
      </c>
      <c r="BW135" s="93" t="str" cm="1">
        <f t="array" ref="BW135">_xlfn.LET(
  _xlpm.w, BW$11,
  _xlpm.r, MATCH(1,('3. Enter Indicator Scores'!$B$10:$B$161=$B135)*('3. Enter Indicator Scores'!$C$10:$C$161=$C135),0),
  _xlpm.c, MATCH(BW$8,'3. Enter Indicator Scores'!$D$8:$CZ$8,0),
  _xlpm.v, IFERROR(INDEX('3. Enter Indicator Scores'!$D$10:$CZ$161,_xlpm.r,_xlpm.c),""),
  IF(OR(_xlpm.w="",_xlpm.v=""),"",_xlpm.v*_xlpm.w)
)</f>
        <v/>
      </c>
      <c r="BX135" s="93" t="str" cm="1">
        <f t="array" ref="BX135">_xlfn.LET(
  _xlpm.w, BX$11,
  _xlpm.r, MATCH(1,('3. Enter Indicator Scores'!$B$10:$B$161=$B135)*('3. Enter Indicator Scores'!$C$10:$C$161=$C135),0),
  _xlpm.c, MATCH(BX$8,'3. Enter Indicator Scores'!$D$8:$CZ$8,0),
  _xlpm.v, IFERROR(INDEX('3. Enter Indicator Scores'!$D$10:$CZ$161,_xlpm.r,_xlpm.c),""),
  IF(OR(_xlpm.w="",_xlpm.v=""),"",_xlpm.v*_xlpm.w)
)</f>
        <v/>
      </c>
      <c r="BY135" s="93" t="str" cm="1">
        <f t="array" ref="BY135">_xlfn.LET(
  _xlpm.w, BY$11,
  _xlpm.r, MATCH(1,('3. Enter Indicator Scores'!$B$10:$B$161=$B135)*('3. Enter Indicator Scores'!$C$10:$C$161=$C135),0),
  _xlpm.c, MATCH(BY$8,'3. Enter Indicator Scores'!$D$8:$CZ$8,0),
  _xlpm.v, IFERROR(INDEX('3. Enter Indicator Scores'!$D$10:$CZ$161,_xlpm.r,_xlpm.c),""),
  IF(OR(_xlpm.w="",_xlpm.v=""),"",_xlpm.v*_xlpm.w)
)</f>
        <v/>
      </c>
      <c r="BZ135" s="93" t="str" cm="1">
        <f t="array" ref="BZ135">_xlfn.LET(
  _xlpm.w, BZ$11,
  _xlpm.r, MATCH(1,('3. Enter Indicator Scores'!$B$10:$B$161=$B135)*('3. Enter Indicator Scores'!$C$10:$C$161=$C135),0),
  _xlpm.c, MATCH(BZ$8,'3. Enter Indicator Scores'!$D$8:$CZ$8,0),
  _xlpm.v, IFERROR(INDEX('3. Enter Indicator Scores'!$D$10:$CZ$161,_xlpm.r,_xlpm.c),""),
  IF(OR(_xlpm.w="",_xlpm.v=""),"",_xlpm.v*_xlpm.w)
)</f>
        <v/>
      </c>
      <c r="CA135" s="93" t="str" cm="1">
        <f t="array" ref="CA135">_xlfn.LET(
  _xlpm.w, CA$11,
  _xlpm.r, MATCH(1,('3. Enter Indicator Scores'!$B$10:$B$161=$B135)*('3. Enter Indicator Scores'!$C$10:$C$161=$C135),0),
  _xlpm.c, MATCH(CA$8,'3. Enter Indicator Scores'!$D$8:$CZ$8,0),
  _xlpm.v, IFERROR(INDEX('3. Enter Indicator Scores'!$D$10:$CZ$161,_xlpm.r,_xlpm.c),""),
  IF(OR(_xlpm.w="",_xlpm.v=""),"",_xlpm.v*_xlpm.w)
)</f>
        <v/>
      </c>
      <c r="CB135" s="93" t="str" cm="1">
        <f t="array" ref="CB135">_xlfn.LET(
  _xlpm.w, CB$11,
  _xlpm.r, MATCH(1,('3. Enter Indicator Scores'!$B$10:$B$161=$B135)*('3. Enter Indicator Scores'!$C$10:$C$161=$C135),0),
  _xlpm.c, MATCH(CB$8,'3. Enter Indicator Scores'!$D$8:$CZ$8,0),
  _xlpm.v, IFERROR(INDEX('3. Enter Indicator Scores'!$D$10:$CZ$161,_xlpm.r,_xlpm.c),""),
  IF(OR(_xlpm.w="",_xlpm.v=""),"",_xlpm.v*_xlpm.w)
)</f>
        <v/>
      </c>
      <c r="CC135" s="93" t="str" cm="1">
        <f t="array" ref="CC135">_xlfn.LET(
  _xlpm.w, CC$11,
  _xlpm.r, MATCH(1,('3. Enter Indicator Scores'!$B$10:$B$161=$B135)*('3. Enter Indicator Scores'!$C$10:$C$161=$C135),0),
  _xlpm.c, MATCH(CC$8,'3. Enter Indicator Scores'!$D$8:$CZ$8,0),
  _xlpm.v, IFERROR(INDEX('3. Enter Indicator Scores'!$D$10:$CZ$161,_xlpm.r,_xlpm.c),""),
  IF(OR(_xlpm.w="",_xlpm.v=""),"",_xlpm.v*_xlpm.w)
)</f>
        <v/>
      </c>
      <c r="CD135" s="93" t="str" cm="1">
        <f t="array" ref="CD135">_xlfn.LET(
  _xlpm.w, CD$11,
  _xlpm.r, MATCH(1,('3. Enter Indicator Scores'!$B$10:$B$161=$B135)*('3. Enter Indicator Scores'!$C$10:$C$161=$C135),0),
  _xlpm.c, MATCH(CD$8,'3. Enter Indicator Scores'!$D$8:$CZ$8,0),
  _xlpm.v, IFERROR(INDEX('3. Enter Indicator Scores'!$D$10:$CZ$161,_xlpm.r,_xlpm.c),""),
  IF(OR(_xlpm.w="",_xlpm.v=""),"",_xlpm.v*_xlpm.w)
)</f>
        <v/>
      </c>
      <c r="CE135" s="93" t="str" cm="1">
        <f t="array" ref="CE135">_xlfn.LET(
  _xlpm.w, CE$11,
  _xlpm.r, MATCH(1,('3. Enter Indicator Scores'!$B$10:$B$161=$B135)*('3. Enter Indicator Scores'!$C$10:$C$161=$C135),0),
  _xlpm.c, MATCH(CE$8,'3. Enter Indicator Scores'!$D$8:$CZ$8,0),
  _xlpm.v, IFERROR(INDEX('3. Enter Indicator Scores'!$D$10:$CZ$161,_xlpm.r,_xlpm.c),""),
  IF(OR(_xlpm.w="",_xlpm.v=""),"",_xlpm.v*_xlpm.w)
)</f>
        <v/>
      </c>
      <c r="CF135" s="93" t="str" cm="1">
        <f t="array" ref="CF135">_xlfn.LET(
  _xlpm.w, CF$11,
  _xlpm.r, MATCH(1,('3. Enter Indicator Scores'!$B$10:$B$161=$B135)*('3. Enter Indicator Scores'!$C$10:$C$161=$C135),0),
  _xlpm.c, MATCH(CF$8,'3. Enter Indicator Scores'!$D$8:$CZ$8,0),
  _xlpm.v, IFERROR(INDEX('3. Enter Indicator Scores'!$D$10:$CZ$161,_xlpm.r,_xlpm.c),""),
  IF(OR(_xlpm.w="",_xlpm.v=""),"",_xlpm.v*_xlpm.w)
)</f>
        <v/>
      </c>
      <c r="CG135" s="93" t="str" cm="1">
        <f t="array" ref="CG135">_xlfn.LET(
  _xlpm.w, CG$11,
  _xlpm.r, MATCH(1,('3. Enter Indicator Scores'!$B$10:$B$161=$B135)*('3. Enter Indicator Scores'!$C$10:$C$161=$C135),0),
  _xlpm.c, MATCH(CG$8,'3. Enter Indicator Scores'!$D$8:$CZ$8,0),
  _xlpm.v, IFERROR(INDEX('3. Enter Indicator Scores'!$D$10:$CZ$161,_xlpm.r,_xlpm.c),""),
  IF(OR(_xlpm.w="",_xlpm.v=""),"",_xlpm.v*_xlpm.w)
)</f>
        <v/>
      </c>
      <c r="CH135" s="93" t="str" cm="1">
        <f t="array" ref="CH135">_xlfn.LET(
  _xlpm.w, CH$11,
  _xlpm.r, MATCH(1,('3. Enter Indicator Scores'!$B$10:$B$161=$B135)*('3. Enter Indicator Scores'!$C$10:$C$161=$C135),0),
  _xlpm.c, MATCH(CH$8,'3. Enter Indicator Scores'!$D$8:$CZ$8,0),
  _xlpm.v, IFERROR(INDEX('3. Enter Indicator Scores'!$D$10:$CZ$161,_xlpm.r,_xlpm.c),""),
  IF(OR(_xlpm.w="",_xlpm.v=""),"",_xlpm.v*_xlpm.w)
)</f>
        <v/>
      </c>
      <c r="CI135" s="93" t="str" cm="1">
        <f t="array" ref="CI135">_xlfn.LET(
  _xlpm.w, CI$11,
  _xlpm.r, MATCH(1,('3. Enter Indicator Scores'!$B$10:$B$161=$B135)*('3. Enter Indicator Scores'!$C$10:$C$161=$C135),0),
  _xlpm.c, MATCH(CI$8,'3. Enter Indicator Scores'!$D$8:$CZ$8,0),
  _xlpm.v, IFERROR(INDEX('3. Enter Indicator Scores'!$D$10:$CZ$161,_xlpm.r,_xlpm.c),""),
  IF(OR(_xlpm.w="",_xlpm.v=""),"",_xlpm.v*_xlpm.w)
)</f>
        <v/>
      </c>
      <c r="CJ135" s="93" t="str" cm="1">
        <f t="array" ref="CJ135">_xlfn.LET(
  _xlpm.w, CJ$11,
  _xlpm.r, MATCH(1,('3. Enter Indicator Scores'!$B$10:$B$161=$B135)*('3. Enter Indicator Scores'!$C$10:$C$161=$C135),0),
  _xlpm.c, MATCH(CJ$8,'3. Enter Indicator Scores'!$D$8:$CZ$8,0),
  _xlpm.v, IFERROR(INDEX('3. Enter Indicator Scores'!$D$10:$CZ$161,_xlpm.r,_xlpm.c),""),
  IF(OR(_xlpm.w="",_xlpm.v=""),"",_xlpm.v*_xlpm.w)
)</f>
        <v/>
      </c>
      <c r="CK135" s="93" t="str" cm="1">
        <f t="array" ref="CK135">_xlfn.LET(
  _xlpm.w, CK$11,
  _xlpm.r, MATCH(1,('3. Enter Indicator Scores'!$B$10:$B$161=$B135)*('3. Enter Indicator Scores'!$C$10:$C$161=$C135),0),
  _xlpm.c, MATCH(CK$8,'3. Enter Indicator Scores'!$D$8:$CZ$8,0),
  _xlpm.v, IFERROR(INDEX('3. Enter Indicator Scores'!$D$10:$CZ$161,_xlpm.r,_xlpm.c),""),
  IF(OR(_xlpm.w="",_xlpm.v=""),"",_xlpm.v*_xlpm.w)
)</f>
        <v/>
      </c>
      <c r="CL135" s="93" t="str" cm="1">
        <f t="array" ref="CL135">_xlfn.LET(
  _xlpm.w, CL$11,
  _xlpm.r, MATCH(1,('3. Enter Indicator Scores'!$B$10:$B$161=$B135)*('3. Enter Indicator Scores'!$C$10:$C$161=$C135),0),
  _xlpm.c, MATCH(CL$8,'3. Enter Indicator Scores'!$D$8:$CZ$8,0),
  _xlpm.v, IFERROR(INDEX('3. Enter Indicator Scores'!$D$10:$CZ$161,_xlpm.r,_xlpm.c),""),
  IF(OR(_xlpm.w="",_xlpm.v=""),"",_xlpm.v*_xlpm.w)
)</f>
        <v/>
      </c>
      <c r="CM135" s="93" t="str" cm="1">
        <f t="array" ref="CM135">_xlfn.LET(
  _xlpm.w, CM$11,
  _xlpm.r, MATCH(1,('3. Enter Indicator Scores'!$B$10:$B$161=$B135)*('3. Enter Indicator Scores'!$C$10:$C$161=$C135),0),
  _xlpm.c, MATCH(CM$8,'3. Enter Indicator Scores'!$D$8:$CZ$8,0),
  _xlpm.v, IFERROR(INDEX('3. Enter Indicator Scores'!$D$10:$CZ$161,_xlpm.r,_xlpm.c),""),
  IF(OR(_xlpm.w="",_xlpm.v=""),"",_xlpm.v*_xlpm.w)
)</f>
        <v/>
      </c>
      <c r="CN135" s="93" t="str" cm="1">
        <f t="array" ref="CN135">_xlfn.LET(
  _xlpm.w, CN$11,
  _xlpm.r, MATCH(1,('3. Enter Indicator Scores'!$B$10:$B$161=$B135)*('3. Enter Indicator Scores'!$C$10:$C$161=$C135),0),
  _xlpm.c, MATCH(CN$8,'3. Enter Indicator Scores'!$D$8:$CZ$8,0),
  _xlpm.v, IFERROR(INDEX('3. Enter Indicator Scores'!$D$10:$CZ$161,_xlpm.r,_xlpm.c),""),
  IF(OR(_xlpm.w="",_xlpm.v=""),"",_xlpm.v*_xlpm.w)
)</f>
        <v/>
      </c>
      <c r="CO135" s="93" t="str" cm="1">
        <f t="array" ref="CO135">_xlfn.LET(
  _xlpm.w, CO$11,
  _xlpm.r, MATCH(1,('3. Enter Indicator Scores'!$B$10:$B$161=$B135)*('3. Enter Indicator Scores'!$C$10:$C$161=$C135),0),
  _xlpm.c, MATCH(CO$8,'3. Enter Indicator Scores'!$D$8:$CZ$8,0),
  _xlpm.v, IFERROR(INDEX('3. Enter Indicator Scores'!$D$10:$CZ$161,_xlpm.r,_xlpm.c),""),
  IF(OR(_xlpm.w="",_xlpm.v=""),"",_xlpm.v*_xlpm.w)
)</f>
        <v/>
      </c>
      <c r="CP135" s="93" t="str" cm="1">
        <f t="array" ref="CP135">_xlfn.LET(
  _xlpm.w, CP$11,
  _xlpm.r, MATCH(1,('3. Enter Indicator Scores'!$B$10:$B$161=$B135)*('3. Enter Indicator Scores'!$C$10:$C$161=$C135),0),
  _xlpm.c, MATCH(CP$8,'3. Enter Indicator Scores'!$D$8:$CZ$8,0),
  _xlpm.v, IFERROR(INDEX('3. Enter Indicator Scores'!$D$10:$CZ$161,_xlpm.r,_xlpm.c),""),
  IF(OR(_xlpm.w="",_xlpm.v=""),"",_xlpm.v*_xlpm.w)
)</f>
        <v/>
      </c>
      <c r="CQ135" s="93" t="str" cm="1">
        <f t="array" ref="CQ135">_xlfn.LET(
  _xlpm.w, CQ$11,
  _xlpm.r, MATCH(1,('3. Enter Indicator Scores'!$B$10:$B$161=$B135)*('3. Enter Indicator Scores'!$C$10:$C$161=$C135),0),
  _xlpm.c, MATCH(CQ$8,'3. Enter Indicator Scores'!$D$8:$CZ$8,0),
  _xlpm.v, IFERROR(INDEX('3. Enter Indicator Scores'!$D$10:$CZ$161,_xlpm.r,_xlpm.c),""),
  IF(OR(_xlpm.w="",_xlpm.v=""),"",_xlpm.v*_xlpm.w)
)</f>
        <v/>
      </c>
      <c r="CR135" s="93" t="str" cm="1">
        <f t="array" ref="CR135">_xlfn.LET(
  _xlpm.w, CR$11,
  _xlpm.r, MATCH(1,('3. Enter Indicator Scores'!$B$10:$B$161=$B135)*('3. Enter Indicator Scores'!$C$10:$C$161=$C135),0),
  _xlpm.c, MATCH(CR$8,'3. Enter Indicator Scores'!$D$8:$CZ$8,0),
  _xlpm.v, IFERROR(INDEX('3. Enter Indicator Scores'!$D$10:$CZ$161,_xlpm.r,_xlpm.c),""),
  IF(OR(_xlpm.w="",_xlpm.v=""),"",_xlpm.v*_xlpm.w)
)</f>
        <v/>
      </c>
      <c r="CS135" s="93" t="str" cm="1">
        <f t="array" ref="CS135">_xlfn.LET(
  _xlpm.w, CS$11,
  _xlpm.r, MATCH(1,('3. Enter Indicator Scores'!$B$10:$B$161=$B135)*('3. Enter Indicator Scores'!$C$10:$C$161=$C135),0),
  _xlpm.c, MATCH(CS$8,'3. Enter Indicator Scores'!$D$8:$CZ$8,0),
  _xlpm.v, IFERROR(INDEX('3. Enter Indicator Scores'!$D$10:$CZ$161,_xlpm.r,_xlpm.c),""),
  IF(OR(_xlpm.w="",_xlpm.v=""),"",_xlpm.v*_xlpm.w)
)</f>
        <v/>
      </c>
      <c r="CT135" s="93" t="str" cm="1">
        <f t="array" ref="CT135">_xlfn.LET(
  _xlpm.w, CT$11,
  _xlpm.r, MATCH(1,('3. Enter Indicator Scores'!$B$10:$B$161=$B135)*('3. Enter Indicator Scores'!$C$10:$C$161=$C135),0),
  _xlpm.c, MATCH(CT$8,'3. Enter Indicator Scores'!$D$8:$CZ$8,0),
  _xlpm.v, IFERROR(INDEX('3. Enter Indicator Scores'!$D$10:$CZ$161,_xlpm.r,_xlpm.c),""),
  IF(OR(_xlpm.w="",_xlpm.v=""),"",_xlpm.v*_xlpm.w)
)</f>
        <v/>
      </c>
      <c r="CU135" s="93" t="str" cm="1">
        <f t="array" ref="CU135">_xlfn.LET(
  _xlpm.w, CU$11,
  _xlpm.r, MATCH(1,('3. Enter Indicator Scores'!$B$10:$B$161=$B135)*('3. Enter Indicator Scores'!$C$10:$C$161=$C135),0),
  _xlpm.c, MATCH(CU$8,'3. Enter Indicator Scores'!$D$8:$CZ$8,0),
  _xlpm.v, IFERROR(INDEX('3. Enter Indicator Scores'!$D$10:$CZ$161,_xlpm.r,_xlpm.c),""),
  IF(OR(_xlpm.w="",_xlpm.v=""),"",_xlpm.v*_xlpm.w)
)</f>
        <v/>
      </c>
      <c r="CV135" s="93" t="str" cm="1">
        <f t="array" ref="CV135">_xlfn.LET(
  _xlpm.w, CV$11,
  _xlpm.r, MATCH(1,('3. Enter Indicator Scores'!$B$10:$B$161=$B135)*('3. Enter Indicator Scores'!$C$10:$C$161=$C135),0),
  _xlpm.c, MATCH(CV$8,'3. Enter Indicator Scores'!$D$8:$CZ$8,0),
  _xlpm.v, IFERROR(INDEX('3. Enter Indicator Scores'!$D$10:$CZ$161,_xlpm.r,_xlpm.c),""),
  IF(OR(_xlpm.w="",_xlpm.v=""),"",_xlpm.v*_xlpm.w)
)</f>
        <v/>
      </c>
      <c r="CW135" s="93" t="str" cm="1">
        <f t="array" ref="CW135">_xlfn.LET(
  _xlpm.w, CW$11,
  _xlpm.r, MATCH(1,('3. Enter Indicator Scores'!$B$10:$B$161=$B135)*('3. Enter Indicator Scores'!$C$10:$C$161=$C135),0),
  _xlpm.c, MATCH(CW$8,'3. Enter Indicator Scores'!$D$8:$CZ$8,0),
  _xlpm.v, IFERROR(INDEX('3. Enter Indicator Scores'!$D$10:$CZ$161,_xlpm.r,_xlpm.c),""),
  IF(OR(_xlpm.w="",_xlpm.v=""),"",_xlpm.v*_xlpm.w)
)</f>
        <v/>
      </c>
      <c r="CX135" s="93" t="str" cm="1">
        <f t="array" ref="CX135">_xlfn.LET(
  _xlpm.w, CX$11,
  _xlpm.r, MATCH(1,('3. Enter Indicator Scores'!$B$10:$B$161=$B135)*('3. Enter Indicator Scores'!$C$10:$C$161=$C135),0),
  _xlpm.c, MATCH(CX$8,'3. Enter Indicator Scores'!$D$8:$CZ$8,0),
  _xlpm.v, IFERROR(INDEX('3. Enter Indicator Scores'!$D$10:$CZ$161,_xlpm.r,_xlpm.c),""),
  IF(OR(_xlpm.w="",_xlpm.v=""),"",_xlpm.v*_xlpm.w)
)</f>
        <v/>
      </c>
      <c r="CY135" s="93" t="str" cm="1">
        <f t="array" ref="CY135">_xlfn.LET(
  _xlpm.w, CY$11,
  _xlpm.r, MATCH(1,('3. Enter Indicator Scores'!$B$10:$B$161=$B135)*('3. Enter Indicator Scores'!$C$10:$C$161=$C135),0),
  _xlpm.c, MATCH(CY$8,'3. Enter Indicator Scores'!$D$8:$CZ$8,0),
  _xlpm.v, IFERROR(INDEX('3. Enter Indicator Scores'!$D$10:$CZ$161,_xlpm.r,_xlpm.c),""),
  IF(OR(_xlpm.w="",_xlpm.v=""),"",_xlpm.v*_xlpm.w)
)</f>
        <v/>
      </c>
      <c r="CZ135" s="93" t="str" cm="1">
        <f t="array" ref="CZ135">_xlfn.LET(
  _xlpm.w, CZ$11,
  _xlpm.r, MATCH(1,('3. Enter Indicator Scores'!$B$10:$B$161=$B135)*('3. Enter Indicator Scores'!$C$10:$C$161=$C135),0),
  _xlpm.c, MATCH(CZ$8,'3. Enter Indicator Scores'!$D$8:$CZ$8,0),
  _xlpm.v, IFERROR(INDEX('3. Enter Indicator Scores'!$D$10:$CZ$161,_xlpm.r,_xlpm.c),""),
  IF(OR(_xlpm.w="",_xlpm.v=""),"",_xlpm.v*_xlpm.w)
)</f>
        <v/>
      </c>
    </row>
    <row r="136" spans="4:104" x14ac:dyDescent="0.2">
      <c r="D136" s="93" t="str" cm="1">
        <f t="array" ref="D136">_xlfn.LET(
  _xlpm.w, D$11,
  _xlpm.r, MATCH(1,('3. Enter Indicator Scores'!$B$10:$B$161=$B136)*('3. Enter Indicator Scores'!$C$10:$C$161=$C136),0),
  _xlpm.c, MATCH(D$8,'3. Enter Indicator Scores'!$D$8:$CZ$8,0),
  _xlpm.v, IFERROR(INDEX('3. Enter Indicator Scores'!$D$10:$CZ$161,_xlpm.r,_xlpm.c),""),
  IF(OR(_xlpm.w="",_xlpm.v=""),"",_xlpm.v*_xlpm.w)
)</f>
        <v/>
      </c>
      <c r="E136" s="93" t="str" cm="1">
        <f t="array" ref="E136">_xlfn.LET(
  _xlpm.w, E$11,
  _xlpm.r, MATCH(1,('3. Enter Indicator Scores'!$B$10:$B$161=$B136)*('3. Enter Indicator Scores'!$C$10:$C$161=$C136),0),
  _xlpm.c, MATCH(E$8,'3. Enter Indicator Scores'!$D$8:$CZ$8,0),
  _xlpm.v, IFERROR(INDEX('3. Enter Indicator Scores'!$D$10:$CZ$161,_xlpm.r,_xlpm.c),""),
  IF(OR(_xlpm.w="",_xlpm.v=""),"",_xlpm.v*_xlpm.w)
)</f>
        <v/>
      </c>
      <c r="F136" s="93" t="str" cm="1">
        <f t="array" ref="F136">_xlfn.LET(
  _xlpm.w, F$11,
  _xlpm.r, MATCH(1,('3. Enter Indicator Scores'!$B$10:$B$161=$B136)*('3. Enter Indicator Scores'!$C$10:$C$161=$C136),0),
  _xlpm.c, MATCH(F$8,'3. Enter Indicator Scores'!$D$8:$CZ$8,0),
  _xlpm.v, IFERROR(INDEX('3. Enter Indicator Scores'!$D$10:$CZ$161,_xlpm.r,_xlpm.c),""),
  IF(OR(_xlpm.w="",_xlpm.v=""),"",_xlpm.v*_xlpm.w)
)</f>
        <v/>
      </c>
      <c r="G136" s="93" t="str" cm="1">
        <f t="array" ref="G136">_xlfn.LET(
  _xlpm.w, G$11,
  _xlpm.r, MATCH(1,('3. Enter Indicator Scores'!$B$10:$B$161=$B136)*('3. Enter Indicator Scores'!$C$10:$C$161=$C136),0),
  _xlpm.c, MATCH(G$8,'3. Enter Indicator Scores'!$D$8:$CZ$8,0),
  _xlpm.v, IFERROR(INDEX('3. Enter Indicator Scores'!$D$10:$CZ$161,_xlpm.r,_xlpm.c),""),
  IF(OR(_xlpm.w="",_xlpm.v=""),"",_xlpm.v*_xlpm.w)
)</f>
        <v/>
      </c>
      <c r="H136" s="93" t="str" cm="1">
        <f t="array" ref="H136">_xlfn.LET(
  _xlpm.w, H$11,
  _xlpm.r, MATCH(1,('3. Enter Indicator Scores'!$B$10:$B$161=$B136)*('3. Enter Indicator Scores'!$C$10:$C$161=$C136),0),
  _xlpm.c, MATCH(H$8,'3. Enter Indicator Scores'!$D$8:$CZ$8,0),
  _xlpm.v, IFERROR(INDEX('3. Enter Indicator Scores'!$D$10:$CZ$161,_xlpm.r,_xlpm.c),""),
  IF(OR(_xlpm.w="",_xlpm.v=""),"",_xlpm.v*_xlpm.w)
)</f>
        <v/>
      </c>
      <c r="I136" s="93" t="str" cm="1">
        <f t="array" ref="I136">_xlfn.LET(
  _xlpm.w, I$11,
  _xlpm.r, MATCH(1,('3. Enter Indicator Scores'!$B$10:$B$161=$B136)*('3. Enter Indicator Scores'!$C$10:$C$161=$C136),0),
  _xlpm.c, MATCH(I$8,'3. Enter Indicator Scores'!$D$8:$CZ$8,0),
  _xlpm.v, IFERROR(INDEX('3. Enter Indicator Scores'!$D$10:$CZ$161,_xlpm.r,_xlpm.c),""),
  IF(OR(_xlpm.w="",_xlpm.v=""),"",_xlpm.v*_xlpm.w)
)</f>
        <v/>
      </c>
      <c r="J136" s="93" t="str" cm="1">
        <f t="array" ref="J136">_xlfn.LET(
  _xlpm.w, J$11,
  _xlpm.r, MATCH(1,('3. Enter Indicator Scores'!$B$10:$B$161=$B136)*('3. Enter Indicator Scores'!$C$10:$C$161=$C136),0),
  _xlpm.c, MATCH(J$8,'3. Enter Indicator Scores'!$D$8:$CZ$8,0),
  _xlpm.v, IFERROR(INDEX('3. Enter Indicator Scores'!$D$10:$CZ$161,_xlpm.r,_xlpm.c),""),
  IF(OR(_xlpm.w="",_xlpm.v=""),"",_xlpm.v*_xlpm.w)
)</f>
        <v/>
      </c>
      <c r="K136" s="93" t="str" cm="1">
        <f t="array" ref="K136">_xlfn.LET(
  _xlpm.w, K$11,
  _xlpm.r, MATCH(1,('3. Enter Indicator Scores'!$B$10:$B$161=$B136)*('3. Enter Indicator Scores'!$C$10:$C$161=$C136),0),
  _xlpm.c, MATCH(K$8,'3. Enter Indicator Scores'!$D$8:$CZ$8,0),
  _xlpm.v, IFERROR(INDEX('3. Enter Indicator Scores'!$D$10:$CZ$161,_xlpm.r,_xlpm.c),""),
  IF(OR(_xlpm.w="",_xlpm.v=""),"",_xlpm.v*_xlpm.w)
)</f>
        <v/>
      </c>
      <c r="L136" s="93" t="str" cm="1">
        <f t="array" ref="L136">_xlfn.LET(
  _xlpm.w, L$11,
  _xlpm.r, MATCH(1,('3. Enter Indicator Scores'!$B$10:$B$161=$B136)*('3. Enter Indicator Scores'!$C$10:$C$161=$C136),0),
  _xlpm.c, MATCH(L$8,'3. Enter Indicator Scores'!$D$8:$CZ$8,0),
  _xlpm.v, IFERROR(INDEX('3. Enter Indicator Scores'!$D$10:$CZ$161,_xlpm.r,_xlpm.c),""),
  IF(OR(_xlpm.w="",_xlpm.v=""),"",_xlpm.v*_xlpm.w)
)</f>
        <v/>
      </c>
      <c r="M136" s="93" t="str" cm="1">
        <f t="array" ref="M136">_xlfn.LET(
  _xlpm.w, M$11,
  _xlpm.r, MATCH(1,('3. Enter Indicator Scores'!$B$10:$B$161=$B136)*('3. Enter Indicator Scores'!$C$10:$C$161=$C136),0),
  _xlpm.c, MATCH(M$8,'3. Enter Indicator Scores'!$D$8:$CZ$8,0),
  _xlpm.v, IFERROR(INDEX('3. Enter Indicator Scores'!$D$10:$CZ$161,_xlpm.r,_xlpm.c),""),
  IF(OR(_xlpm.w="",_xlpm.v=""),"",_xlpm.v*_xlpm.w)
)</f>
        <v/>
      </c>
      <c r="N136" s="93" t="str" cm="1">
        <f t="array" ref="N136">_xlfn.LET(
  _xlpm.w, N$11,
  _xlpm.r, MATCH(1,('3. Enter Indicator Scores'!$B$10:$B$161=$B136)*('3. Enter Indicator Scores'!$C$10:$C$161=$C136),0),
  _xlpm.c, MATCH(N$8,'3. Enter Indicator Scores'!$D$8:$CZ$8,0),
  _xlpm.v, IFERROR(INDEX('3. Enter Indicator Scores'!$D$10:$CZ$161,_xlpm.r,_xlpm.c),""),
  IF(OR(_xlpm.w="",_xlpm.v=""),"",_xlpm.v*_xlpm.w)
)</f>
        <v/>
      </c>
      <c r="O136" s="93" t="str" cm="1">
        <f t="array" ref="O136">_xlfn.LET(
  _xlpm.w, O$11,
  _xlpm.r, MATCH(1,('3. Enter Indicator Scores'!$B$10:$B$161=$B136)*('3. Enter Indicator Scores'!$C$10:$C$161=$C136),0),
  _xlpm.c, MATCH(O$8,'3. Enter Indicator Scores'!$D$8:$CZ$8,0),
  _xlpm.v, IFERROR(INDEX('3. Enter Indicator Scores'!$D$10:$CZ$161,_xlpm.r,_xlpm.c),""),
  IF(OR(_xlpm.w="",_xlpm.v=""),"",_xlpm.v*_xlpm.w)
)</f>
        <v/>
      </c>
      <c r="P136" s="93" t="str" cm="1">
        <f t="array" ref="P136">_xlfn.LET(
  _xlpm.w, P$11,
  _xlpm.r, MATCH(1,('3. Enter Indicator Scores'!$B$10:$B$161=$B136)*('3. Enter Indicator Scores'!$C$10:$C$161=$C136),0),
  _xlpm.c, MATCH(P$8,'3. Enter Indicator Scores'!$D$8:$CZ$8,0),
  _xlpm.v, IFERROR(INDEX('3. Enter Indicator Scores'!$D$10:$CZ$161,_xlpm.r,_xlpm.c),""),
  IF(OR(_xlpm.w="",_xlpm.v=""),"",_xlpm.v*_xlpm.w)
)</f>
        <v/>
      </c>
      <c r="Q136" s="93" t="str" cm="1">
        <f t="array" ref="Q136">_xlfn.LET(
  _xlpm.w, Q$11,
  _xlpm.r, MATCH(1,('3. Enter Indicator Scores'!$B$10:$B$161=$B136)*('3. Enter Indicator Scores'!$C$10:$C$161=$C136),0),
  _xlpm.c, MATCH(Q$8,'3. Enter Indicator Scores'!$D$8:$CZ$8,0),
  _xlpm.v, IFERROR(INDEX('3. Enter Indicator Scores'!$D$10:$CZ$161,_xlpm.r,_xlpm.c),""),
  IF(OR(_xlpm.w="",_xlpm.v=""),"",_xlpm.v*_xlpm.w)
)</f>
        <v/>
      </c>
      <c r="R136" s="93" t="str" cm="1">
        <f t="array" ref="R136">_xlfn.LET(
  _xlpm.w, R$11,
  _xlpm.r, MATCH(1,('3. Enter Indicator Scores'!$B$10:$B$161=$B136)*('3. Enter Indicator Scores'!$C$10:$C$161=$C136),0),
  _xlpm.c, MATCH(R$8,'3. Enter Indicator Scores'!$D$8:$CZ$8,0),
  _xlpm.v, IFERROR(INDEX('3. Enter Indicator Scores'!$D$10:$CZ$161,_xlpm.r,_xlpm.c),""),
  IF(OR(_xlpm.w="",_xlpm.v=""),"",_xlpm.v*_xlpm.w)
)</f>
        <v/>
      </c>
      <c r="S136" s="93" t="str" cm="1">
        <f t="array" ref="S136">_xlfn.LET(
  _xlpm.w, S$11,
  _xlpm.r, MATCH(1,('3. Enter Indicator Scores'!$B$10:$B$161=$B136)*('3. Enter Indicator Scores'!$C$10:$C$161=$C136),0),
  _xlpm.c, MATCH(S$8,'3. Enter Indicator Scores'!$D$8:$CZ$8,0),
  _xlpm.v, IFERROR(INDEX('3. Enter Indicator Scores'!$D$10:$CZ$161,_xlpm.r,_xlpm.c),""),
  IF(OR(_xlpm.w="",_xlpm.v=""),"",_xlpm.v*_xlpm.w)
)</f>
        <v/>
      </c>
      <c r="T136" s="93" t="str" cm="1">
        <f t="array" ref="T136">_xlfn.LET(
  _xlpm.w, T$11,
  _xlpm.r, MATCH(1,('3. Enter Indicator Scores'!$B$10:$B$161=$B136)*('3. Enter Indicator Scores'!$C$10:$C$161=$C136),0),
  _xlpm.c, MATCH(T$8,'3. Enter Indicator Scores'!$D$8:$CZ$8,0),
  _xlpm.v, IFERROR(INDEX('3. Enter Indicator Scores'!$D$10:$CZ$161,_xlpm.r,_xlpm.c),""),
  IF(OR(_xlpm.w="",_xlpm.v=""),"",_xlpm.v*_xlpm.w)
)</f>
        <v/>
      </c>
      <c r="U136" s="93" t="str" cm="1">
        <f t="array" ref="U136">_xlfn.LET(
  _xlpm.w, U$11,
  _xlpm.r, MATCH(1,('3. Enter Indicator Scores'!$B$10:$B$161=$B136)*('3. Enter Indicator Scores'!$C$10:$C$161=$C136),0),
  _xlpm.c, MATCH(U$8,'3. Enter Indicator Scores'!$D$8:$CZ$8,0),
  _xlpm.v, IFERROR(INDEX('3. Enter Indicator Scores'!$D$10:$CZ$161,_xlpm.r,_xlpm.c),""),
  IF(OR(_xlpm.w="",_xlpm.v=""),"",_xlpm.v*_xlpm.w)
)</f>
        <v/>
      </c>
      <c r="V136" s="93" t="str" cm="1">
        <f t="array" ref="V136">_xlfn.LET(
  _xlpm.w, V$11,
  _xlpm.r, MATCH(1,('3. Enter Indicator Scores'!$B$10:$B$161=$B136)*('3. Enter Indicator Scores'!$C$10:$C$161=$C136),0),
  _xlpm.c, MATCH(V$8,'3. Enter Indicator Scores'!$D$8:$CZ$8,0),
  _xlpm.v, IFERROR(INDEX('3. Enter Indicator Scores'!$D$10:$CZ$161,_xlpm.r,_xlpm.c),""),
  IF(OR(_xlpm.w="",_xlpm.v=""),"",_xlpm.v*_xlpm.w)
)</f>
        <v/>
      </c>
      <c r="W136" s="93" t="str" cm="1">
        <f t="array" ref="W136">_xlfn.LET(
  _xlpm.w, W$11,
  _xlpm.r, MATCH(1,('3. Enter Indicator Scores'!$B$10:$B$161=$B136)*('3. Enter Indicator Scores'!$C$10:$C$161=$C136),0),
  _xlpm.c, MATCH(W$8,'3. Enter Indicator Scores'!$D$8:$CZ$8,0),
  _xlpm.v, IFERROR(INDEX('3. Enter Indicator Scores'!$D$10:$CZ$161,_xlpm.r,_xlpm.c),""),
  IF(OR(_xlpm.w="",_xlpm.v=""),"",_xlpm.v*_xlpm.w)
)</f>
        <v/>
      </c>
      <c r="X136" s="93" t="str" cm="1">
        <f t="array" ref="X136">_xlfn.LET(
  _xlpm.w, X$11,
  _xlpm.r, MATCH(1,('3. Enter Indicator Scores'!$B$10:$B$161=$B136)*('3. Enter Indicator Scores'!$C$10:$C$161=$C136),0),
  _xlpm.c, MATCH(X$8,'3. Enter Indicator Scores'!$D$8:$CZ$8,0),
  _xlpm.v, IFERROR(INDEX('3. Enter Indicator Scores'!$D$10:$CZ$161,_xlpm.r,_xlpm.c),""),
  IF(OR(_xlpm.w="",_xlpm.v=""),"",_xlpm.v*_xlpm.w)
)</f>
        <v/>
      </c>
      <c r="Y136" s="93" t="str" cm="1">
        <f t="array" ref="Y136">_xlfn.LET(
  _xlpm.w, Y$11,
  _xlpm.r, MATCH(1,('3. Enter Indicator Scores'!$B$10:$B$161=$B136)*('3. Enter Indicator Scores'!$C$10:$C$161=$C136),0),
  _xlpm.c, MATCH(Y$8,'3. Enter Indicator Scores'!$D$8:$CZ$8,0),
  _xlpm.v, IFERROR(INDEX('3. Enter Indicator Scores'!$D$10:$CZ$161,_xlpm.r,_xlpm.c),""),
  IF(OR(_xlpm.w="",_xlpm.v=""),"",_xlpm.v*_xlpm.w)
)</f>
        <v/>
      </c>
      <c r="Z136" s="93" t="str" cm="1">
        <f t="array" ref="Z136">_xlfn.LET(
  _xlpm.w, Z$11,
  _xlpm.r, MATCH(1,('3. Enter Indicator Scores'!$B$10:$B$161=$B136)*('3. Enter Indicator Scores'!$C$10:$C$161=$C136),0),
  _xlpm.c, MATCH(Z$8,'3. Enter Indicator Scores'!$D$8:$CZ$8,0),
  _xlpm.v, IFERROR(INDEX('3. Enter Indicator Scores'!$D$10:$CZ$161,_xlpm.r,_xlpm.c),""),
  IF(OR(_xlpm.w="",_xlpm.v=""),"",_xlpm.v*_xlpm.w)
)</f>
        <v/>
      </c>
      <c r="AA136" s="93" t="str" cm="1">
        <f t="array" ref="AA136">_xlfn.LET(
  _xlpm.w, AA$11,
  _xlpm.r, MATCH(1,('3. Enter Indicator Scores'!$B$10:$B$161=$B136)*('3. Enter Indicator Scores'!$C$10:$C$161=$C136),0),
  _xlpm.c, MATCH(AA$8,'3. Enter Indicator Scores'!$D$8:$CZ$8,0),
  _xlpm.v, IFERROR(INDEX('3. Enter Indicator Scores'!$D$10:$CZ$161,_xlpm.r,_xlpm.c),""),
  IF(OR(_xlpm.w="",_xlpm.v=""),"",_xlpm.v*_xlpm.w)
)</f>
        <v/>
      </c>
      <c r="AB136" s="93" t="str" cm="1">
        <f t="array" ref="AB136">_xlfn.LET(
  _xlpm.w, AB$11,
  _xlpm.r, MATCH(1,('3. Enter Indicator Scores'!$B$10:$B$161=$B136)*('3. Enter Indicator Scores'!$C$10:$C$161=$C136),0),
  _xlpm.c, MATCH(AB$8,'3. Enter Indicator Scores'!$D$8:$CZ$8,0),
  _xlpm.v, IFERROR(INDEX('3. Enter Indicator Scores'!$D$10:$CZ$161,_xlpm.r,_xlpm.c),""),
  IF(OR(_xlpm.w="",_xlpm.v=""),"",_xlpm.v*_xlpm.w)
)</f>
        <v/>
      </c>
      <c r="AC136" s="93" t="str" cm="1">
        <f t="array" ref="AC136">_xlfn.LET(
  _xlpm.w, AC$11,
  _xlpm.r, MATCH(1,('3. Enter Indicator Scores'!$B$10:$B$161=$B136)*('3. Enter Indicator Scores'!$C$10:$C$161=$C136),0),
  _xlpm.c, MATCH(AC$8,'3. Enter Indicator Scores'!$D$8:$CZ$8,0),
  _xlpm.v, IFERROR(INDEX('3. Enter Indicator Scores'!$D$10:$CZ$161,_xlpm.r,_xlpm.c),""),
  IF(OR(_xlpm.w="",_xlpm.v=""),"",_xlpm.v*_xlpm.w)
)</f>
        <v/>
      </c>
      <c r="AD136" s="93" t="str" cm="1">
        <f t="array" ref="AD136">_xlfn.LET(
  _xlpm.w, AD$11,
  _xlpm.r, MATCH(1,('3. Enter Indicator Scores'!$B$10:$B$161=$B136)*('3. Enter Indicator Scores'!$C$10:$C$161=$C136),0),
  _xlpm.c, MATCH(AD$8,'3. Enter Indicator Scores'!$D$8:$CZ$8,0),
  _xlpm.v, IFERROR(INDEX('3. Enter Indicator Scores'!$D$10:$CZ$161,_xlpm.r,_xlpm.c),""),
  IF(OR(_xlpm.w="",_xlpm.v=""),"",_xlpm.v*_xlpm.w)
)</f>
        <v/>
      </c>
      <c r="AE136" s="93" t="str" cm="1">
        <f t="array" ref="AE136">_xlfn.LET(
  _xlpm.w, AE$11,
  _xlpm.r, MATCH(1,('3. Enter Indicator Scores'!$B$10:$B$161=$B136)*('3. Enter Indicator Scores'!$C$10:$C$161=$C136),0),
  _xlpm.c, MATCH(AE$8,'3. Enter Indicator Scores'!$D$8:$CZ$8,0),
  _xlpm.v, IFERROR(INDEX('3. Enter Indicator Scores'!$D$10:$CZ$161,_xlpm.r,_xlpm.c),""),
  IF(OR(_xlpm.w="",_xlpm.v=""),"",_xlpm.v*_xlpm.w)
)</f>
        <v/>
      </c>
      <c r="AF136" s="93" t="str" cm="1">
        <f t="array" ref="AF136">_xlfn.LET(
  _xlpm.w, AF$11,
  _xlpm.r, MATCH(1,('3. Enter Indicator Scores'!$B$10:$B$161=$B136)*('3. Enter Indicator Scores'!$C$10:$C$161=$C136),0),
  _xlpm.c, MATCH(AF$8,'3. Enter Indicator Scores'!$D$8:$CZ$8,0),
  _xlpm.v, IFERROR(INDEX('3. Enter Indicator Scores'!$D$10:$CZ$161,_xlpm.r,_xlpm.c),""),
  IF(OR(_xlpm.w="",_xlpm.v=""),"",_xlpm.v*_xlpm.w)
)</f>
        <v/>
      </c>
      <c r="AG136" s="93" t="str" cm="1">
        <f t="array" ref="AG136">_xlfn.LET(
  _xlpm.w, AG$11,
  _xlpm.r, MATCH(1,('3. Enter Indicator Scores'!$B$10:$B$161=$B136)*('3. Enter Indicator Scores'!$C$10:$C$161=$C136),0),
  _xlpm.c, MATCH(AG$8,'3. Enter Indicator Scores'!$D$8:$CZ$8,0),
  _xlpm.v, IFERROR(INDEX('3. Enter Indicator Scores'!$D$10:$CZ$161,_xlpm.r,_xlpm.c),""),
  IF(OR(_xlpm.w="",_xlpm.v=""),"",_xlpm.v*_xlpm.w)
)</f>
        <v/>
      </c>
      <c r="AH136" s="93" t="str" cm="1">
        <f t="array" ref="AH136">_xlfn.LET(
  _xlpm.w, AH$11,
  _xlpm.r, MATCH(1,('3. Enter Indicator Scores'!$B$10:$B$161=$B136)*('3. Enter Indicator Scores'!$C$10:$C$161=$C136),0),
  _xlpm.c, MATCH(AH$8,'3. Enter Indicator Scores'!$D$8:$CZ$8,0),
  _xlpm.v, IFERROR(INDEX('3. Enter Indicator Scores'!$D$10:$CZ$161,_xlpm.r,_xlpm.c),""),
  IF(OR(_xlpm.w="",_xlpm.v=""),"",_xlpm.v*_xlpm.w)
)</f>
        <v/>
      </c>
      <c r="AI136" s="93" t="str" cm="1">
        <f t="array" ref="AI136">_xlfn.LET(
  _xlpm.w, AI$11,
  _xlpm.r, MATCH(1,('3. Enter Indicator Scores'!$B$10:$B$161=$B136)*('3. Enter Indicator Scores'!$C$10:$C$161=$C136),0),
  _xlpm.c, MATCH(AI$8,'3. Enter Indicator Scores'!$D$8:$CZ$8,0),
  _xlpm.v, IFERROR(INDEX('3. Enter Indicator Scores'!$D$10:$CZ$161,_xlpm.r,_xlpm.c),""),
  IF(OR(_xlpm.w="",_xlpm.v=""),"",_xlpm.v*_xlpm.w)
)</f>
        <v/>
      </c>
      <c r="AJ136" s="93" t="str" cm="1">
        <f t="array" ref="AJ136">_xlfn.LET(
  _xlpm.w, AJ$11,
  _xlpm.r, MATCH(1,('3. Enter Indicator Scores'!$B$10:$B$161=$B136)*('3. Enter Indicator Scores'!$C$10:$C$161=$C136),0),
  _xlpm.c, MATCH(AJ$8,'3. Enter Indicator Scores'!$D$8:$CZ$8,0),
  _xlpm.v, IFERROR(INDEX('3. Enter Indicator Scores'!$D$10:$CZ$161,_xlpm.r,_xlpm.c),""),
  IF(OR(_xlpm.w="",_xlpm.v=""),"",_xlpm.v*_xlpm.w)
)</f>
        <v/>
      </c>
      <c r="AK136" s="93" t="str" cm="1">
        <f t="array" ref="AK136">_xlfn.LET(
  _xlpm.w, AK$11,
  _xlpm.r, MATCH(1,('3. Enter Indicator Scores'!$B$10:$B$161=$B136)*('3. Enter Indicator Scores'!$C$10:$C$161=$C136),0),
  _xlpm.c, MATCH(AK$8,'3. Enter Indicator Scores'!$D$8:$CZ$8,0),
  _xlpm.v, IFERROR(INDEX('3. Enter Indicator Scores'!$D$10:$CZ$161,_xlpm.r,_xlpm.c),""),
  IF(OR(_xlpm.w="",_xlpm.v=""),"",_xlpm.v*_xlpm.w)
)</f>
        <v/>
      </c>
      <c r="AL136" s="93" t="str" cm="1">
        <f t="array" ref="AL136">_xlfn.LET(
  _xlpm.w, AL$11,
  _xlpm.r, MATCH(1,('3. Enter Indicator Scores'!$B$10:$B$161=$B136)*('3. Enter Indicator Scores'!$C$10:$C$161=$C136),0),
  _xlpm.c, MATCH(AL$8,'3. Enter Indicator Scores'!$D$8:$CZ$8,0),
  _xlpm.v, IFERROR(INDEX('3. Enter Indicator Scores'!$D$10:$CZ$161,_xlpm.r,_xlpm.c),""),
  IF(OR(_xlpm.w="",_xlpm.v=""),"",_xlpm.v*_xlpm.w)
)</f>
        <v/>
      </c>
      <c r="AM136" s="93" t="str" cm="1">
        <f t="array" ref="AM136">_xlfn.LET(
  _xlpm.w, AM$11,
  _xlpm.r, MATCH(1,('3. Enter Indicator Scores'!$B$10:$B$161=$B136)*('3. Enter Indicator Scores'!$C$10:$C$161=$C136),0),
  _xlpm.c, MATCH(AM$8,'3. Enter Indicator Scores'!$D$8:$CZ$8,0),
  _xlpm.v, IFERROR(INDEX('3. Enter Indicator Scores'!$D$10:$CZ$161,_xlpm.r,_xlpm.c),""),
  IF(OR(_xlpm.w="",_xlpm.v=""),"",_xlpm.v*_xlpm.w)
)</f>
        <v/>
      </c>
      <c r="AN136" s="93" t="str" cm="1">
        <f t="array" ref="AN136">_xlfn.LET(
  _xlpm.w, AN$11,
  _xlpm.r, MATCH(1,('3. Enter Indicator Scores'!$B$10:$B$161=$B136)*('3. Enter Indicator Scores'!$C$10:$C$161=$C136),0),
  _xlpm.c, MATCH(AN$8,'3. Enter Indicator Scores'!$D$8:$CZ$8,0),
  _xlpm.v, IFERROR(INDEX('3. Enter Indicator Scores'!$D$10:$CZ$161,_xlpm.r,_xlpm.c),""),
  IF(OR(_xlpm.w="",_xlpm.v=""),"",_xlpm.v*_xlpm.w)
)</f>
        <v/>
      </c>
      <c r="AO136" s="93" t="str" cm="1">
        <f t="array" ref="AO136">_xlfn.LET(
  _xlpm.w, AO$11,
  _xlpm.r, MATCH(1,('3. Enter Indicator Scores'!$B$10:$B$161=$B136)*('3. Enter Indicator Scores'!$C$10:$C$161=$C136),0),
  _xlpm.c, MATCH(AO$8,'3. Enter Indicator Scores'!$D$8:$CZ$8,0),
  _xlpm.v, IFERROR(INDEX('3. Enter Indicator Scores'!$D$10:$CZ$161,_xlpm.r,_xlpm.c),""),
  IF(OR(_xlpm.w="",_xlpm.v=""),"",_xlpm.v*_xlpm.w)
)</f>
        <v/>
      </c>
      <c r="AP136" s="93" t="str" cm="1">
        <f t="array" ref="AP136">_xlfn.LET(
  _xlpm.w, AP$11,
  _xlpm.r, MATCH(1,('3. Enter Indicator Scores'!$B$10:$B$161=$B136)*('3. Enter Indicator Scores'!$C$10:$C$161=$C136),0),
  _xlpm.c, MATCH(AP$8,'3. Enter Indicator Scores'!$D$8:$CZ$8,0),
  _xlpm.v, IFERROR(INDEX('3. Enter Indicator Scores'!$D$10:$CZ$161,_xlpm.r,_xlpm.c),""),
  IF(OR(_xlpm.w="",_xlpm.v=""),"",_xlpm.v*_xlpm.w)
)</f>
        <v/>
      </c>
      <c r="AQ136" s="93" t="str" cm="1">
        <f t="array" ref="AQ136">_xlfn.LET(
  _xlpm.w, AQ$11,
  _xlpm.r, MATCH(1,('3. Enter Indicator Scores'!$B$10:$B$161=$B136)*('3. Enter Indicator Scores'!$C$10:$C$161=$C136),0),
  _xlpm.c, MATCH(AQ$8,'3. Enter Indicator Scores'!$D$8:$CZ$8,0),
  _xlpm.v, IFERROR(INDEX('3. Enter Indicator Scores'!$D$10:$CZ$161,_xlpm.r,_xlpm.c),""),
  IF(OR(_xlpm.w="",_xlpm.v=""),"",_xlpm.v*_xlpm.w)
)</f>
        <v/>
      </c>
      <c r="AR136" s="93" t="str" cm="1">
        <f t="array" ref="AR136">_xlfn.LET(
  _xlpm.w, AR$11,
  _xlpm.r, MATCH(1,('3. Enter Indicator Scores'!$B$10:$B$161=$B136)*('3. Enter Indicator Scores'!$C$10:$C$161=$C136),0),
  _xlpm.c, MATCH(AR$8,'3. Enter Indicator Scores'!$D$8:$CZ$8,0),
  _xlpm.v, IFERROR(INDEX('3. Enter Indicator Scores'!$D$10:$CZ$161,_xlpm.r,_xlpm.c),""),
  IF(OR(_xlpm.w="",_xlpm.v=""),"",_xlpm.v*_xlpm.w)
)</f>
        <v/>
      </c>
      <c r="AS136" s="93" t="str" cm="1">
        <f t="array" ref="AS136">_xlfn.LET(
  _xlpm.w, AS$11,
  _xlpm.r, MATCH(1,('3. Enter Indicator Scores'!$B$10:$B$161=$B136)*('3. Enter Indicator Scores'!$C$10:$C$161=$C136),0),
  _xlpm.c, MATCH(AS$8,'3. Enter Indicator Scores'!$D$8:$CZ$8,0),
  _xlpm.v, IFERROR(INDEX('3. Enter Indicator Scores'!$D$10:$CZ$161,_xlpm.r,_xlpm.c),""),
  IF(OR(_xlpm.w="",_xlpm.v=""),"",_xlpm.v*_xlpm.w)
)</f>
        <v/>
      </c>
      <c r="AT136" s="93" t="str" cm="1">
        <f t="array" ref="AT136">_xlfn.LET(
  _xlpm.w, AT$11,
  _xlpm.r, MATCH(1,('3. Enter Indicator Scores'!$B$10:$B$161=$B136)*('3. Enter Indicator Scores'!$C$10:$C$161=$C136),0),
  _xlpm.c, MATCH(AT$8,'3. Enter Indicator Scores'!$D$8:$CZ$8,0),
  _xlpm.v, IFERROR(INDEX('3. Enter Indicator Scores'!$D$10:$CZ$161,_xlpm.r,_xlpm.c),""),
  IF(OR(_xlpm.w="",_xlpm.v=""),"",_xlpm.v*_xlpm.w)
)</f>
        <v/>
      </c>
      <c r="AU136" s="93" t="str" cm="1">
        <f t="array" ref="AU136">_xlfn.LET(
  _xlpm.w, AU$11,
  _xlpm.r, MATCH(1,('3. Enter Indicator Scores'!$B$10:$B$161=$B136)*('3. Enter Indicator Scores'!$C$10:$C$161=$C136),0),
  _xlpm.c, MATCH(AU$8,'3. Enter Indicator Scores'!$D$8:$CZ$8,0),
  _xlpm.v, IFERROR(INDEX('3. Enter Indicator Scores'!$D$10:$CZ$161,_xlpm.r,_xlpm.c),""),
  IF(OR(_xlpm.w="",_xlpm.v=""),"",_xlpm.v*_xlpm.w)
)</f>
        <v/>
      </c>
      <c r="AV136" s="93" t="str" cm="1">
        <f t="array" ref="AV136">_xlfn.LET(
  _xlpm.w, AV$11,
  _xlpm.r, MATCH(1,('3. Enter Indicator Scores'!$B$10:$B$161=$B136)*('3. Enter Indicator Scores'!$C$10:$C$161=$C136),0),
  _xlpm.c, MATCH(AV$8,'3. Enter Indicator Scores'!$D$8:$CZ$8,0),
  _xlpm.v, IFERROR(INDEX('3. Enter Indicator Scores'!$D$10:$CZ$161,_xlpm.r,_xlpm.c),""),
  IF(OR(_xlpm.w="",_xlpm.v=""),"",_xlpm.v*_xlpm.w)
)</f>
        <v/>
      </c>
      <c r="AW136" s="93" t="str" cm="1">
        <f t="array" ref="AW136">_xlfn.LET(
  _xlpm.w, AW$11,
  _xlpm.r, MATCH(1,('3. Enter Indicator Scores'!$B$10:$B$161=$B136)*('3. Enter Indicator Scores'!$C$10:$C$161=$C136),0),
  _xlpm.c, MATCH(AW$8,'3. Enter Indicator Scores'!$D$8:$CZ$8,0),
  _xlpm.v, IFERROR(INDEX('3. Enter Indicator Scores'!$D$10:$CZ$161,_xlpm.r,_xlpm.c),""),
  IF(OR(_xlpm.w="",_xlpm.v=""),"",_xlpm.v*_xlpm.w)
)</f>
        <v/>
      </c>
      <c r="AX136" s="93" t="str" cm="1">
        <f t="array" ref="AX136">_xlfn.LET(
  _xlpm.w, AX$11,
  _xlpm.r, MATCH(1,('3. Enter Indicator Scores'!$B$10:$B$161=$B136)*('3. Enter Indicator Scores'!$C$10:$C$161=$C136),0),
  _xlpm.c, MATCH(AX$8,'3. Enter Indicator Scores'!$D$8:$CZ$8,0),
  _xlpm.v, IFERROR(INDEX('3. Enter Indicator Scores'!$D$10:$CZ$161,_xlpm.r,_xlpm.c),""),
  IF(OR(_xlpm.w="",_xlpm.v=""),"",_xlpm.v*_xlpm.w)
)</f>
        <v/>
      </c>
      <c r="AY136" s="93" t="str" cm="1">
        <f t="array" ref="AY136">_xlfn.LET(
  _xlpm.w, AY$11,
  _xlpm.r, MATCH(1,('3. Enter Indicator Scores'!$B$10:$B$161=$B136)*('3. Enter Indicator Scores'!$C$10:$C$161=$C136),0),
  _xlpm.c, MATCH(AY$8,'3. Enter Indicator Scores'!$D$8:$CZ$8,0),
  _xlpm.v, IFERROR(INDEX('3. Enter Indicator Scores'!$D$10:$CZ$161,_xlpm.r,_xlpm.c),""),
  IF(OR(_xlpm.w="",_xlpm.v=""),"",_xlpm.v*_xlpm.w)
)</f>
        <v/>
      </c>
      <c r="AZ136" s="93" t="str" cm="1">
        <f t="array" ref="AZ136">_xlfn.LET(
  _xlpm.w, AZ$11,
  _xlpm.r, MATCH(1,('3. Enter Indicator Scores'!$B$10:$B$161=$B136)*('3. Enter Indicator Scores'!$C$10:$C$161=$C136),0),
  _xlpm.c, MATCH(AZ$8,'3. Enter Indicator Scores'!$D$8:$CZ$8,0),
  _xlpm.v, IFERROR(INDEX('3. Enter Indicator Scores'!$D$10:$CZ$161,_xlpm.r,_xlpm.c),""),
  IF(OR(_xlpm.w="",_xlpm.v=""),"",_xlpm.v*_xlpm.w)
)</f>
        <v/>
      </c>
      <c r="BA136" s="93" t="str" cm="1">
        <f t="array" ref="BA136">_xlfn.LET(
  _xlpm.w, BA$11,
  _xlpm.r, MATCH(1,('3. Enter Indicator Scores'!$B$10:$B$161=$B136)*('3. Enter Indicator Scores'!$C$10:$C$161=$C136),0),
  _xlpm.c, MATCH(BA$8,'3. Enter Indicator Scores'!$D$8:$CZ$8,0),
  _xlpm.v, IFERROR(INDEX('3. Enter Indicator Scores'!$D$10:$CZ$161,_xlpm.r,_xlpm.c),""),
  IF(OR(_xlpm.w="",_xlpm.v=""),"",_xlpm.v*_xlpm.w)
)</f>
        <v/>
      </c>
      <c r="BB136" s="93" t="str" cm="1">
        <f t="array" ref="BB136">_xlfn.LET(
  _xlpm.w, BB$11,
  _xlpm.r, MATCH(1,('3. Enter Indicator Scores'!$B$10:$B$161=$B136)*('3. Enter Indicator Scores'!$C$10:$C$161=$C136),0),
  _xlpm.c, MATCH(BB$8,'3. Enter Indicator Scores'!$D$8:$CZ$8,0),
  _xlpm.v, IFERROR(INDEX('3. Enter Indicator Scores'!$D$10:$CZ$161,_xlpm.r,_xlpm.c),""),
  IF(OR(_xlpm.w="",_xlpm.v=""),"",_xlpm.v*_xlpm.w)
)</f>
        <v/>
      </c>
      <c r="BC136" s="93" t="str" cm="1">
        <f t="array" ref="BC136">_xlfn.LET(
  _xlpm.w, BC$11,
  _xlpm.r, MATCH(1,('3. Enter Indicator Scores'!$B$10:$B$161=$B136)*('3. Enter Indicator Scores'!$C$10:$C$161=$C136),0),
  _xlpm.c, MATCH(BC$8,'3. Enter Indicator Scores'!$D$8:$CZ$8,0),
  _xlpm.v, IFERROR(INDEX('3. Enter Indicator Scores'!$D$10:$CZ$161,_xlpm.r,_xlpm.c),""),
  IF(OR(_xlpm.w="",_xlpm.v=""),"",_xlpm.v*_xlpm.w)
)</f>
        <v/>
      </c>
      <c r="BD136" s="93" t="str" cm="1">
        <f t="array" ref="BD136">_xlfn.LET(
  _xlpm.w, BD$11,
  _xlpm.r, MATCH(1,('3. Enter Indicator Scores'!$B$10:$B$161=$B136)*('3. Enter Indicator Scores'!$C$10:$C$161=$C136),0),
  _xlpm.c, MATCH(BD$8,'3. Enter Indicator Scores'!$D$8:$CZ$8,0),
  _xlpm.v, IFERROR(INDEX('3. Enter Indicator Scores'!$D$10:$CZ$161,_xlpm.r,_xlpm.c),""),
  IF(OR(_xlpm.w="",_xlpm.v=""),"",_xlpm.v*_xlpm.w)
)</f>
        <v/>
      </c>
      <c r="BE136" s="93" t="str" cm="1">
        <f t="array" ref="BE136">_xlfn.LET(
  _xlpm.w, BE$11,
  _xlpm.r, MATCH(1,('3. Enter Indicator Scores'!$B$10:$B$161=$B136)*('3. Enter Indicator Scores'!$C$10:$C$161=$C136),0),
  _xlpm.c, MATCH(BE$8,'3. Enter Indicator Scores'!$D$8:$CZ$8,0),
  _xlpm.v, IFERROR(INDEX('3. Enter Indicator Scores'!$D$10:$CZ$161,_xlpm.r,_xlpm.c),""),
  IF(OR(_xlpm.w="",_xlpm.v=""),"",_xlpm.v*_xlpm.w)
)</f>
        <v/>
      </c>
      <c r="BF136" s="93" t="str" cm="1">
        <f t="array" ref="BF136">_xlfn.LET(
  _xlpm.w, BF$11,
  _xlpm.r, MATCH(1,('3. Enter Indicator Scores'!$B$10:$B$161=$B136)*('3. Enter Indicator Scores'!$C$10:$C$161=$C136),0),
  _xlpm.c, MATCH(BF$8,'3. Enter Indicator Scores'!$D$8:$CZ$8,0),
  _xlpm.v, IFERROR(INDEX('3. Enter Indicator Scores'!$D$10:$CZ$161,_xlpm.r,_xlpm.c),""),
  IF(OR(_xlpm.w="",_xlpm.v=""),"",_xlpm.v*_xlpm.w)
)</f>
        <v/>
      </c>
      <c r="BG136" s="93" t="str" cm="1">
        <f t="array" ref="BG136">_xlfn.LET(
  _xlpm.w, BG$11,
  _xlpm.r, MATCH(1,('3. Enter Indicator Scores'!$B$10:$B$161=$B136)*('3. Enter Indicator Scores'!$C$10:$C$161=$C136),0),
  _xlpm.c, MATCH(BG$8,'3. Enter Indicator Scores'!$D$8:$CZ$8,0),
  _xlpm.v, IFERROR(INDEX('3. Enter Indicator Scores'!$D$10:$CZ$161,_xlpm.r,_xlpm.c),""),
  IF(OR(_xlpm.w="",_xlpm.v=""),"",_xlpm.v*_xlpm.w)
)</f>
        <v/>
      </c>
      <c r="BH136" s="93" t="str" cm="1">
        <f t="array" ref="BH136">_xlfn.LET(
  _xlpm.w, BH$11,
  _xlpm.r, MATCH(1,('3. Enter Indicator Scores'!$B$10:$B$161=$B136)*('3. Enter Indicator Scores'!$C$10:$C$161=$C136),0),
  _xlpm.c, MATCH(BH$8,'3. Enter Indicator Scores'!$D$8:$CZ$8,0),
  _xlpm.v, IFERROR(INDEX('3. Enter Indicator Scores'!$D$10:$CZ$161,_xlpm.r,_xlpm.c),""),
  IF(OR(_xlpm.w="",_xlpm.v=""),"",_xlpm.v*_xlpm.w)
)</f>
        <v/>
      </c>
      <c r="BI136" s="93" t="str" cm="1">
        <f t="array" ref="BI136">_xlfn.LET(
  _xlpm.w, BI$11,
  _xlpm.r, MATCH(1,('3. Enter Indicator Scores'!$B$10:$B$161=$B136)*('3. Enter Indicator Scores'!$C$10:$C$161=$C136),0),
  _xlpm.c, MATCH(BI$8,'3. Enter Indicator Scores'!$D$8:$CZ$8,0),
  _xlpm.v, IFERROR(INDEX('3. Enter Indicator Scores'!$D$10:$CZ$161,_xlpm.r,_xlpm.c),""),
  IF(OR(_xlpm.w="",_xlpm.v=""),"",_xlpm.v*_xlpm.w)
)</f>
        <v/>
      </c>
      <c r="BJ136" s="93" t="str" cm="1">
        <f t="array" ref="BJ136">_xlfn.LET(
  _xlpm.w, BJ$11,
  _xlpm.r, MATCH(1,('3. Enter Indicator Scores'!$B$10:$B$161=$B136)*('3. Enter Indicator Scores'!$C$10:$C$161=$C136),0),
  _xlpm.c, MATCH(BJ$8,'3. Enter Indicator Scores'!$D$8:$CZ$8,0),
  _xlpm.v, IFERROR(INDEX('3. Enter Indicator Scores'!$D$10:$CZ$161,_xlpm.r,_xlpm.c),""),
  IF(OR(_xlpm.w="",_xlpm.v=""),"",_xlpm.v*_xlpm.w)
)</f>
        <v/>
      </c>
      <c r="BK136" s="93" t="str" cm="1">
        <f t="array" ref="BK136">_xlfn.LET(
  _xlpm.w, BK$11,
  _xlpm.r, MATCH(1,('3. Enter Indicator Scores'!$B$10:$B$161=$B136)*('3. Enter Indicator Scores'!$C$10:$C$161=$C136),0),
  _xlpm.c, MATCH(BK$8,'3. Enter Indicator Scores'!$D$8:$CZ$8,0),
  _xlpm.v, IFERROR(INDEX('3. Enter Indicator Scores'!$D$10:$CZ$161,_xlpm.r,_xlpm.c),""),
  IF(OR(_xlpm.w="",_xlpm.v=""),"",_xlpm.v*_xlpm.w)
)</f>
        <v/>
      </c>
      <c r="BL136" s="93" t="str" cm="1">
        <f t="array" ref="BL136">_xlfn.LET(
  _xlpm.w, BL$11,
  _xlpm.r, MATCH(1,('3. Enter Indicator Scores'!$B$10:$B$161=$B136)*('3. Enter Indicator Scores'!$C$10:$C$161=$C136),0),
  _xlpm.c, MATCH(BL$8,'3. Enter Indicator Scores'!$D$8:$CZ$8,0),
  _xlpm.v, IFERROR(INDEX('3. Enter Indicator Scores'!$D$10:$CZ$161,_xlpm.r,_xlpm.c),""),
  IF(OR(_xlpm.w="",_xlpm.v=""),"",_xlpm.v*_xlpm.w)
)</f>
        <v/>
      </c>
      <c r="BM136" s="93" t="str" cm="1">
        <f t="array" ref="BM136">_xlfn.LET(
  _xlpm.w, BM$11,
  _xlpm.r, MATCH(1,('3. Enter Indicator Scores'!$B$10:$B$161=$B136)*('3. Enter Indicator Scores'!$C$10:$C$161=$C136),0),
  _xlpm.c, MATCH(BM$8,'3. Enter Indicator Scores'!$D$8:$CZ$8,0),
  _xlpm.v, IFERROR(INDEX('3. Enter Indicator Scores'!$D$10:$CZ$161,_xlpm.r,_xlpm.c),""),
  IF(OR(_xlpm.w="",_xlpm.v=""),"",_xlpm.v*_xlpm.w)
)</f>
        <v/>
      </c>
      <c r="BN136" s="93" t="str" cm="1">
        <f t="array" ref="BN136">_xlfn.LET(
  _xlpm.w, BN$11,
  _xlpm.r, MATCH(1,('3. Enter Indicator Scores'!$B$10:$B$161=$B136)*('3. Enter Indicator Scores'!$C$10:$C$161=$C136),0),
  _xlpm.c, MATCH(BN$8,'3. Enter Indicator Scores'!$D$8:$CZ$8,0),
  _xlpm.v, IFERROR(INDEX('3. Enter Indicator Scores'!$D$10:$CZ$161,_xlpm.r,_xlpm.c),""),
  IF(OR(_xlpm.w="",_xlpm.v=""),"",_xlpm.v*_xlpm.w)
)</f>
        <v/>
      </c>
      <c r="BO136" s="93" t="str" cm="1">
        <f t="array" ref="BO136">_xlfn.LET(
  _xlpm.w, BO$11,
  _xlpm.r, MATCH(1,('3. Enter Indicator Scores'!$B$10:$B$161=$B136)*('3. Enter Indicator Scores'!$C$10:$C$161=$C136),0),
  _xlpm.c, MATCH(BO$8,'3. Enter Indicator Scores'!$D$8:$CZ$8,0),
  _xlpm.v, IFERROR(INDEX('3. Enter Indicator Scores'!$D$10:$CZ$161,_xlpm.r,_xlpm.c),""),
  IF(OR(_xlpm.w="",_xlpm.v=""),"",_xlpm.v*_xlpm.w)
)</f>
        <v/>
      </c>
      <c r="BP136" s="93" t="str" cm="1">
        <f t="array" ref="BP136">_xlfn.LET(
  _xlpm.w, BP$11,
  _xlpm.r, MATCH(1,('3. Enter Indicator Scores'!$B$10:$B$161=$B136)*('3. Enter Indicator Scores'!$C$10:$C$161=$C136),0),
  _xlpm.c, MATCH(BP$8,'3. Enter Indicator Scores'!$D$8:$CZ$8,0),
  _xlpm.v, IFERROR(INDEX('3. Enter Indicator Scores'!$D$10:$CZ$161,_xlpm.r,_xlpm.c),""),
  IF(OR(_xlpm.w="",_xlpm.v=""),"",_xlpm.v*_xlpm.w)
)</f>
        <v/>
      </c>
      <c r="BQ136" s="93" t="str" cm="1">
        <f t="array" ref="BQ136">_xlfn.LET(
  _xlpm.w, BQ$11,
  _xlpm.r, MATCH(1,('3. Enter Indicator Scores'!$B$10:$B$161=$B136)*('3. Enter Indicator Scores'!$C$10:$C$161=$C136),0),
  _xlpm.c, MATCH(BQ$8,'3. Enter Indicator Scores'!$D$8:$CZ$8,0),
  _xlpm.v, IFERROR(INDEX('3. Enter Indicator Scores'!$D$10:$CZ$161,_xlpm.r,_xlpm.c),""),
  IF(OR(_xlpm.w="",_xlpm.v=""),"",_xlpm.v*_xlpm.w)
)</f>
        <v/>
      </c>
      <c r="BR136" s="93" t="str" cm="1">
        <f t="array" ref="BR136">_xlfn.LET(
  _xlpm.w, BR$11,
  _xlpm.r, MATCH(1,('3. Enter Indicator Scores'!$B$10:$B$161=$B136)*('3. Enter Indicator Scores'!$C$10:$C$161=$C136),0),
  _xlpm.c, MATCH(BR$8,'3. Enter Indicator Scores'!$D$8:$CZ$8,0),
  _xlpm.v, IFERROR(INDEX('3. Enter Indicator Scores'!$D$10:$CZ$161,_xlpm.r,_xlpm.c),""),
  IF(OR(_xlpm.w="",_xlpm.v=""),"",_xlpm.v*_xlpm.w)
)</f>
        <v/>
      </c>
      <c r="BS136" s="93" t="str" cm="1">
        <f t="array" ref="BS136">_xlfn.LET(
  _xlpm.w, BS$11,
  _xlpm.r, MATCH(1,('3. Enter Indicator Scores'!$B$10:$B$161=$B136)*('3. Enter Indicator Scores'!$C$10:$C$161=$C136),0),
  _xlpm.c, MATCH(BS$8,'3. Enter Indicator Scores'!$D$8:$CZ$8,0),
  _xlpm.v, IFERROR(INDEX('3. Enter Indicator Scores'!$D$10:$CZ$161,_xlpm.r,_xlpm.c),""),
  IF(OR(_xlpm.w="",_xlpm.v=""),"",_xlpm.v*_xlpm.w)
)</f>
        <v/>
      </c>
      <c r="BT136" s="93" t="str" cm="1">
        <f t="array" ref="BT136">_xlfn.LET(
  _xlpm.w, BT$11,
  _xlpm.r, MATCH(1,('3. Enter Indicator Scores'!$B$10:$B$161=$B136)*('3. Enter Indicator Scores'!$C$10:$C$161=$C136),0),
  _xlpm.c, MATCH(BT$8,'3. Enter Indicator Scores'!$D$8:$CZ$8,0),
  _xlpm.v, IFERROR(INDEX('3. Enter Indicator Scores'!$D$10:$CZ$161,_xlpm.r,_xlpm.c),""),
  IF(OR(_xlpm.w="",_xlpm.v=""),"",_xlpm.v*_xlpm.w)
)</f>
        <v/>
      </c>
      <c r="BU136" s="93" t="str" cm="1">
        <f t="array" ref="BU136">_xlfn.LET(
  _xlpm.w, BU$11,
  _xlpm.r, MATCH(1,('3. Enter Indicator Scores'!$B$10:$B$161=$B136)*('3. Enter Indicator Scores'!$C$10:$C$161=$C136),0),
  _xlpm.c, MATCH(BU$8,'3. Enter Indicator Scores'!$D$8:$CZ$8,0),
  _xlpm.v, IFERROR(INDEX('3. Enter Indicator Scores'!$D$10:$CZ$161,_xlpm.r,_xlpm.c),""),
  IF(OR(_xlpm.w="",_xlpm.v=""),"",_xlpm.v*_xlpm.w)
)</f>
        <v/>
      </c>
      <c r="BV136" s="93" t="str" cm="1">
        <f t="array" ref="BV136">_xlfn.LET(
  _xlpm.w, BV$11,
  _xlpm.r, MATCH(1,('3. Enter Indicator Scores'!$B$10:$B$161=$B136)*('3. Enter Indicator Scores'!$C$10:$C$161=$C136),0),
  _xlpm.c, MATCH(BV$8,'3. Enter Indicator Scores'!$D$8:$CZ$8,0),
  _xlpm.v, IFERROR(INDEX('3. Enter Indicator Scores'!$D$10:$CZ$161,_xlpm.r,_xlpm.c),""),
  IF(OR(_xlpm.w="",_xlpm.v=""),"",_xlpm.v*_xlpm.w)
)</f>
        <v/>
      </c>
      <c r="BW136" s="93" t="str" cm="1">
        <f t="array" ref="BW136">_xlfn.LET(
  _xlpm.w, BW$11,
  _xlpm.r, MATCH(1,('3. Enter Indicator Scores'!$B$10:$B$161=$B136)*('3. Enter Indicator Scores'!$C$10:$C$161=$C136),0),
  _xlpm.c, MATCH(BW$8,'3. Enter Indicator Scores'!$D$8:$CZ$8,0),
  _xlpm.v, IFERROR(INDEX('3. Enter Indicator Scores'!$D$10:$CZ$161,_xlpm.r,_xlpm.c),""),
  IF(OR(_xlpm.w="",_xlpm.v=""),"",_xlpm.v*_xlpm.w)
)</f>
        <v/>
      </c>
      <c r="BX136" s="93" t="str" cm="1">
        <f t="array" ref="BX136">_xlfn.LET(
  _xlpm.w, BX$11,
  _xlpm.r, MATCH(1,('3. Enter Indicator Scores'!$B$10:$B$161=$B136)*('3. Enter Indicator Scores'!$C$10:$C$161=$C136),0),
  _xlpm.c, MATCH(BX$8,'3. Enter Indicator Scores'!$D$8:$CZ$8,0),
  _xlpm.v, IFERROR(INDEX('3. Enter Indicator Scores'!$D$10:$CZ$161,_xlpm.r,_xlpm.c),""),
  IF(OR(_xlpm.w="",_xlpm.v=""),"",_xlpm.v*_xlpm.w)
)</f>
        <v/>
      </c>
      <c r="BY136" s="93" t="str" cm="1">
        <f t="array" ref="BY136">_xlfn.LET(
  _xlpm.w, BY$11,
  _xlpm.r, MATCH(1,('3. Enter Indicator Scores'!$B$10:$B$161=$B136)*('3. Enter Indicator Scores'!$C$10:$C$161=$C136),0),
  _xlpm.c, MATCH(BY$8,'3. Enter Indicator Scores'!$D$8:$CZ$8,0),
  _xlpm.v, IFERROR(INDEX('3. Enter Indicator Scores'!$D$10:$CZ$161,_xlpm.r,_xlpm.c),""),
  IF(OR(_xlpm.w="",_xlpm.v=""),"",_xlpm.v*_xlpm.w)
)</f>
        <v/>
      </c>
      <c r="BZ136" s="93" t="str" cm="1">
        <f t="array" ref="BZ136">_xlfn.LET(
  _xlpm.w, BZ$11,
  _xlpm.r, MATCH(1,('3. Enter Indicator Scores'!$B$10:$B$161=$B136)*('3. Enter Indicator Scores'!$C$10:$C$161=$C136),0),
  _xlpm.c, MATCH(BZ$8,'3. Enter Indicator Scores'!$D$8:$CZ$8,0),
  _xlpm.v, IFERROR(INDEX('3. Enter Indicator Scores'!$D$10:$CZ$161,_xlpm.r,_xlpm.c),""),
  IF(OR(_xlpm.w="",_xlpm.v=""),"",_xlpm.v*_xlpm.w)
)</f>
        <v/>
      </c>
      <c r="CA136" s="93" t="str" cm="1">
        <f t="array" ref="CA136">_xlfn.LET(
  _xlpm.w, CA$11,
  _xlpm.r, MATCH(1,('3. Enter Indicator Scores'!$B$10:$B$161=$B136)*('3. Enter Indicator Scores'!$C$10:$C$161=$C136),0),
  _xlpm.c, MATCH(CA$8,'3. Enter Indicator Scores'!$D$8:$CZ$8,0),
  _xlpm.v, IFERROR(INDEX('3. Enter Indicator Scores'!$D$10:$CZ$161,_xlpm.r,_xlpm.c),""),
  IF(OR(_xlpm.w="",_xlpm.v=""),"",_xlpm.v*_xlpm.w)
)</f>
        <v/>
      </c>
      <c r="CB136" s="93" t="str" cm="1">
        <f t="array" ref="CB136">_xlfn.LET(
  _xlpm.w, CB$11,
  _xlpm.r, MATCH(1,('3. Enter Indicator Scores'!$B$10:$B$161=$B136)*('3. Enter Indicator Scores'!$C$10:$C$161=$C136),0),
  _xlpm.c, MATCH(CB$8,'3. Enter Indicator Scores'!$D$8:$CZ$8,0),
  _xlpm.v, IFERROR(INDEX('3. Enter Indicator Scores'!$D$10:$CZ$161,_xlpm.r,_xlpm.c),""),
  IF(OR(_xlpm.w="",_xlpm.v=""),"",_xlpm.v*_xlpm.w)
)</f>
        <v/>
      </c>
      <c r="CC136" s="93" t="str" cm="1">
        <f t="array" ref="CC136">_xlfn.LET(
  _xlpm.w, CC$11,
  _xlpm.r, MATCH(1,('3. Enter Indicator Scores'!$B$10:$B$161=$B136)*('3. Enter Indicator Scores'!$C$10:$C$161=$C136),0),
  _xlpm.c, MATCH(CC$8,'3. Enter Indicator Scores'!$D$8:$CZ$8,0),
  _xlpm.v, IFERROR(INDEX('3. Enter Indicator Scores'!$D$10:$CZ$161,_xlpm.r,_xlpm.c),""),
  IF(OR(_xlpm.w="",_xlpm.v=""),"",_xlpm.v*_xlpm.w)
)</f>
        <v/>
      </c>
      <c r="CD136" s="93" t="str" cm="1">
        <f t="array" ref="CD136">_xlfn.LET(
  _xlpm.w, CD$11,
  _xlpm.r, MATCH(1,('3. Enter Indicator Scores'!$B$10:$B$161=$B136)*('3. Enter Indicator Scores'!$C$10:$C$161=$C136),0),
  _xlpm.c, MATCH(CD$8,'3. Enter Indicator Scores'!$D$8:$CZ$8,0),
  _xlpm.v, IFERROR(INDEX('3. Enter Indicator Scores'!$D$10:$CZ$161,_xlpm.r,_xlpm.c),""),
  IF(OR(_xlpm.w="",_xlpm.v=""),"",_xlpm.v*_xlpm.w)
)</f>
        <v/>
      </c>
      <c r="CE136" s="93" t="str" cm="1">
        <f t="array" ref="CE136">_xlfn.LET(
  _xlpm.w, CE$11,
  _xlpm.r, MATCH(1,('3. Enter Indicator Scores'!$B$10:$B$161=$B136)*('3. Enter Indicator Scores'!$C$10:$C$161=$C136),0),
  _xlpm.c, MATCH(CE$8,'3. Enter Indicator Scores'!$D$8:$CZ$8,0),
  _xlpm.v, IFERROR(INDEX('3. Enter Indicator Scores'!$D$10:$CZ$161,_xlpm.r,_xlpm.c),""),
  IF(OR(_xlpm.w="",_xlpm.v=""),"",_xlpm.v*_xlpm.w)
)</f>
        <v/>
      </c>
      <c r="CF136" s="93" t="str" cm="1">
        <f t="array" ref="CF136">_xlfn.LET(
  _xlpm.w, CF$11,
  _xlpm.r, MATCH(1,('3. Enter Indicator Scores'!$B$10:$B$161=$B136)*('3. Enter Indicator Scores'!$C$10:$C$161=$C136),0),
  _xlpm.c, MATCH(CF$8,'3. Enter Indicator Scores'!$D$8:$CZ$8,0),
  _xlpm.v, IFERROR(INDEX('3. Enter Indicator Scores'!$D$10:$CZ$161,_xlpm.r,_xlpm.c),""),
  IF(OR(_xlpm.w="",_xlpm.v=""),"",_xlpm.v*_xlpm.w)
)</f>
        <v/>
      </c>
      <c r="CG136" s="93" t="str" cm="1">
        <f t="array" ref="CG136">_xlfn.LET(
  _xlpm.w, CG$11,
  _xlpm.r, MATCH(1,('3. Enter Indicator Scores'!$B$10:$B$161=$B136)*('3. Enter Indicator Scores'!$C$10:$C$161=$C136),0),
  _xlpm.c, MATCH(CG$8,'3. Enter Indicator Scores'!$D$8:$CZ$8,0),
  _xlpm.v, IFERROR(INDEX('3. Enter Indicator Scores'!$D$10:$CZ$161,_xlpm.r,_xlpm.c),""),
  IF(OR(_xlpm.w="",_xlpm.v=""),"",_xlpm.v*_xlpm.w)
)</f>
        <v/>
      </c>
      <c r="CH136" s="93" t="str" cm="1">
        <f t="array" ref="CH136">_xlfn.LET(
  _xlpm.w, CH$11,
  _xlpm.r, MATCH(1,('3. Enter Indicator Scores'!$B$10:$B$161=$B136)*('3. Enter Indicator Scores'!$C$10:$C$161=$C136),0),
  _xlpm.c, MATCH(CH$8,'3. Enter Indicator Scores'!$D$8:$CZ$8,0),
  _xlpm.v, IFERROR(INDEX('3. Enter Indicator Scores'!$D$10:$CZ$161,_xlpm.r,_xlpm.c),""),
  IF(OR(_xlpm.w="",_xlpm.v=""),"",_xlpm.v*_xlpm.w)
)</f>
        <v/>
      </c>
      <c r="CI136" s="93" t="str" cm="1">
        <f t="array" ref="CI136">_xlfn.LET(
  _xlpm.w, CI$11,
  _xlpm.r, MATCH(1,('3. Enter Indicator Scores'!$B$10:$B$161=$B136)*('3. Enter Indicator Scores'!$C$10:$C$161=$C136),0),
  _xlpm.c, MATCH(CI$8,'3. Enter Indicator Scores'!$D$8:$CZ$8,0),
  _xlpm.v, IFERROR(INDEX('3. Enter Indicator Scores'!$D$10:$CZ$161,_xlpm.r,_xlpm.c),""),
  IF(OR(_xlpm.w="",_xlpm.v=""),"",_xlpm.v*_xlpm.w)
)</f>
        <v/>
      </c>
      <c r="CJ136" s="93" t="str" cm="1">
        <f t="array" ref="CJ136">_xlfn.LET(
  _xlpm.w, CJ$11,
  _xlpm.r, MATCH(1,('3. Enter Indicator Scores'!$B$10:$B$161=$B136)*('3. Enter Indicator Scores'!$C$10:$C$161=$C136),0),
  _xlpm.c, MATCH(CJ$8,'3. Enter Indicator Scores'!$D$8:$CZ$8,0),
  _xlpm.v, IFERROR(INDEX('3. Enter Indicator Scores'!$D$10:$CZ$161,_xlpm.r,_xlpm.c),""),
  IF(OR(_xlpm.w="",_xlpm.v=""),"",_xlpm.v*_xlpm.w)
)</f>
        <v/>
      </c>
      <c r="CK136" s="93" t="str" cm="1">
        <f t="array" ref="CK136">_xlfn.LET(
  _xlpm.w, CK$11,
  _xlpm.r, MATCH(1,('3. Enter Indicator Scores'!$B$10:$B$161=$B136)*('3. Enter Indicator Scores'!$C$10:$C$161=$C136),0),
  _xlpm.c, MATCH(CK$8,'3. Enter Indicator Scores'!$D$8:$CZ$8,0),
  _xlpm.v, IFERROR(INDEX('3. Enter Indicator Scores'!$D$10:$CZ$161,_xlpm.r,_xlpm.c),""),
  IF(OR(_xlpm.w="",_xlpm.v=""),"",_xlpm.v*_xlpm.w)
)</f>
        <v/>
      </c>
      <c r="CL136" s="93" t="str" cm="1">
        <f t="array" ref="CL136">_xlfn.LET(
  _xlpm.w, CL$11,
  _xlpm.r, MATCH(1,('3. Enter Indicator Scores'!$B$10:$B$161=$B136)*('3. Enter Indicator Scores'!$C$10:$C$161=$C136),0),
  _xlpm.c, MATCH(CL$8,'3. Enter Indicator Scores'!$D$8:$CZ$8,0),
  _xlpm.v, IFERROR(INDEX('3. Enter Indicator Scores'!$D$10:$CZ$161,_xlpm.r,_xlpm.c),""),
  IF(OR(_xlpm.w="",_xlpm.v=""),"",_xlpm.v*_xlpm.w)
)</f>
        <v/>
      </c>
      <c r="CM136" s="93" t="str" cm="1">
        <f t="array" ref="CM136">_xlfn.LET(
  _xlpm.w, CM$11,
  _xlpm.r, MATCH(1,('3. Enter Indicator Scores'!$B$10:$B$161=$B136)*('3. Enter Indicator Scores'!$C$10:$C$161=$C136),0),
  _xlpm.c, MATCH(CM$8,'3. Enter Indicator Scores'!$D$8:$CZ$8,0),
  _xlpm.v, IFERROR(INDEX('3. Enter Indicator Scores'!$D$10:$CZ$161,_xlpm.r,_xlpm.c),""),
  IF(OR(_xlpm.w="",_xlpm.v=""),"",_xlpm.v*_xlpm.w)
)</f>
        <v/>
      </c>
      <c r="CN136" s="93" t="str" cm="1">
        <f t="array" ref="CN136">_xlfn.LET(
  _xlpm.w, CN$11,
  _xlpm.r, MATCH(1,('3. Enter Indicator Scores'!$B$10:$B$161=$B136)*('3. Enter Indicator Scores'!$C$10:$C$161=$C136),0),
  _xlpm.c, MATCH(CN$8,'3. Enter Indicator Scores'!$D$8:$CZ$8,0),
  _xlpm.v, IFERROR(INDEX('3. Enter Indicator Scores'!$D$10:$CZ$161,_xlpm.r,_xlpm.c),""),
  IF(OR(_xlpm.w="",_xlpm.v=""),"",_xlpm.v*_xlpm.w)
)</f>
        <v/>
      </c>
      <c r="CO136" s="93" t="str" cm="1">
        <f t="array" ref="CO136">_xlfn.LET(
  _xlpm.w, CO$11,
  _xlpm.r, MATCH(1,('3. Enter Indicator Scores'!$B$10:$B$161=$B136)*('3. Enter Indicator Scores'!$C$10:$C$161=$C136),0),
  _xlpm.c, MATCH(CO$8,'3. Enter Indicator Scores'!$D$8:$CZ$8,0),
  _xlpm.v, IFERROR(INDEX('3. Enter Indicator Scores'!$D$10:$CZ$161,_xlpm.r,_xlpm.c),""),
  IF(OR(_xlpm.w="",_xlpm.v=""),"",_xlpm.v*_xlpm.w)
)</f>
        <v/>
      </c>
      <c r="CP136" s="93" t="str" cm="1">
        <f t="array" ref="CP136">_xlfn.LET(
  _xlpm.w, CP$11,
  _xlpm.r, MATCH(1,('3. Enter Indicator Scores'!$B$10:$B$161=$B136)*('3. Enter Indicator Scores'!$C$10:$C$161=$C136),0),
  _xlpm.c, MATCH(CP$8,'3. Enter Indicator Scores'!$D$8:$CZ$8,0),
  _xlpm.v, IFERROR(INDEX('3. Enter Indicator Scores'!$D$10:$CZ$161,_xlpm.r,_xlpm.c),""),
  IF(OR(_xlpm.w="",_xlpm.v=""),"",_xlpm.v*_xlpm.w)
)</f>
        <v/>
      </c>
      <c r="CQ136" s="93" t="str" cm="1">
        <f t="array" ref="CQ136">_xlfn.LET(
  _xlpm.w, CQ$11,
  _xlpm.r, MATCH(1,('3. Enter Indicator Scores'!$B$10:$B$161=$B136)*('3. Enter Indicator Scores'!$C$10:$C$161=$C136),0),
  _xlpm.c, MATCH(CQ$8,'3. Enter Indicator Scores'!$D$8:$CZ$8,0),
  _xlpm.v, IFERROR(INDEX('3. Enter Indicator Scores'!$D$10:$CZ$161,_xlpm.r,_xlpm.c),""),
  IF(OR(_xlpm.w="",_xlpm.v=""),"",_xlpm.v*_xlpm.w)
)</f>
        <v/>
      </c>
      <c r="CR136" s="93" t="str" cm="1">
        <f t="array" ref="CR136">_xlfn.LET(
  _xlpm.w, CR$11,
  _xlpm.r, MATCH(1,('3. Enter Indicator Scores'!$B$10:$B$161=$B136)*('3. Enter Indicator Scores'!$C$10:$C$161=$C136),0),
  _xlpm.c, MATCH(CR$8,'3. Enter Indicator Scores'!$D$8:$CZ$8,0),
  _xlpm.v, IFERROR(INDEX('3. Enter Indicator Scores'!$D$10:$CZ$161,_xlpm.r,_xlpm.c),""),
  IF(OR(_xlpm.w="",_xlpm.v=""),"",_xlpm.v*_xlpm.w)
)</f>
        <v/>
      </c>
      <c r="CS136" s="93" t="str" cm="1">
        <f t="array" ref="CS136">_xlfn.LET(
  _xlpm.w, CS$11,
  _xlpm.r, MATCH(1,('3. Enter Indicator Scores'!$B$10:$B$161=$B136)*('3. Enter Indicator Scores'!$C$10:$C$161=$C136),0),
  _xlpm.c, MATCH(CS$8,'3. Enter Indicator Scores'!$D$8:$CZ$8,0),
  _xlpm.v, IFERROR(INDEX('3. Enter Indicator Scores'!$D$10:$CZ$161,_xlpm.r,_xlpm.c),""),
  IF(OR(_xlpm.w="",_xlpm.v=""),"",_xlpm.v*_xlpm.w)
)</f>
        <v/>
      </c>
      <c r="CT136" s="93" t="str" cm="1">
        <f t="array" ref="CT136">_xlfn.LET(
  _xlpm.w, CT$11,
  _xlpm.r, MATCH(1,('3. Enter Indicator Scores'!$B$10:$B$161=$B136)*('3. Enter Indicator Scores'!$C$10:$C$161=$C136),0),
  _xlpm.c, MATCH(CT$8,'3. Enter Indicator Scores'!$D$8:$CZ$8,0),
  _xlpm.v, IFERROR(INDEX('3. Enter Indicator Scores'!$D$10:$CZ$161,_xlpm.r,_xlpm.c),""),
  IF(OR(_xlpm.w="",_xlpm.v=""),"",_xlpm.v*_xlpm.w)
)</f>
        <v/>
      </c>
      <c r="CU136" s="93" t="str" cm="1">
        <f t="array" ref="CU136">_xlfn.LET(
  _xlpm.w, CU$11,
  _xlpm.r, MATCH(1,('3. Enter Indicator Scores'!$B$10:$B$161=$B136)*('3. Enter Indicator Scores'!$C$10:$C$161=$C136),0),
  _xlpm.c, MATCH(CU$8,'3. Enter Indicator Scores'!$D$8:$CZ$8,0),
  _xlpm.v, IFERROR(INDEX('3. Enter Indicator Scores'!$D$10:$CZ$161,_xlpm.r,_xlpm.c),""),
  IF(OR(_xlpm.w="",_xlpm.v=""),"",_xlpm.v*_xlpm.w)
)</f>
        <v/>
      </c>
      <c r="CV136" s="93" t="str" cm="1">
        <f t="array" ref="CV136">_xlfn.LET(
  _xlpm.w, CV$11,
  _xlpm.r, MATCH(1,('3. Enter Indicator Scores'!$B$10:$B$161=$B136)*('3. Enter Indicator Scores'!$C$10:$C$161=$C136),0),
  _xlpm.c, MATCH(CV$8,'3. Enter Indicator Scores'!$D$8:$CZ$8,0),
  _xlpm.v, IFERROR(INDEX('3. Enter Indicator Scores'!$D$10:$CZ$161,_xlpm.r,_xlpm.c),""),
  IF(OR(_xlpm.w="",_xlpm.v=""),"",_xlpm.v*_xlpm.w)
)</f>
        <v/>
      </c>
      <c r="CW136" s="93" t="str" cm="1">
        <f t="array" ref="CW136">_xlfn.LET(
  _xlpm.w, CW$11,
  _xlpm.r, MATCH(1,('3. Enter Indicator Scores'!$B$10:$B$161=$B136)*('3. Enter Indicator Scores'!$C$10:$C$161=$C136),0),
  _xlpm.c, MATCH(CW$8,'3. Enter Indicator Scores'!$D$8:$CZ$8,0),
  _xlpm.v, IFERROR(INDEX('3. Enter Indicator Scores'!$D$10:$CZ$161,_xlpm.r,_xlpm.c),""),
  IF(OR(_xlpm.w="",_xlpm.v=""),"",_xlpm.v*_xlpm.w)
)</f>
        <v/>
      </c>
      <c r="CX136" s="93" t="str" cm="1">
        <f t="array" ref="CX136">_xlfn.LET(
  _xlpm.w, CX$11,
  _xlpm.r, MATCH(1,('3. Enter Indicator Scores'!$B$10:$B$161=$B136)*('3. Enter Indicator Scores'!$C$10:$C$161=$C136),0),
  _xlpm.c, MATCH(CX$8,'3. Enter Indicator Scores'!$D$8:$CZ$8,0),
  _xlpm.v, IFERROR(INDEX('3. Enter Indicator Scores'!$D$10:$CZ$161,_xlpm.r,_xlpm.c),""),
  IF(OR(_xlpm.w="",_xlpm.v=""),"",_xlpm.v*_xlpm.w)
)</f>
        <v/>
      </c>
      <c r="CY136" s="93" t="str" cm="1">
        <f t="array" ref="CY136">_xlfn.LET(
  _xlpm.w, CY$11,
  _xlpm.r, MATCH(1,('3. Enter Indicator Scores'!$B$10:$B$161=$B136)*('3. Enter Indicator Scores'!$C$10:$C$161=$C136),0),
  _xlpm.c, MATCH(CY$8,'3. Enter Indicator Scores'!$D$8:$CZ$8,0),
  _xlpm.v, IFERROR(INDEX('3. Enter Indicator Scores'!$D$10:$CZ$161,_xlpm.r,_xlpm.c),""),
  IF(OR(_xlpm.w="",_xlpm.v=""),"",_xlpm.v*_xlpm.w)
)</f>
        <v/>
      </c>
      <c r="CZ136" s="93" t="str" cm="1">
        <f t="array" ref="CZ136">_xlfn.LET(
  _xlpm.w, CZ$11,
  _xlpm.r, MATCH(1,('3. Enter Indicator Scores'!$B$10:$B$161=$B136)*('3. Enter Indicator Scores'!$C$10:$C$161=$C136),0),
  _xlpm.c, MATCH(CZ$8,'3. Enter Indicator Scores'!$D$8:$CZ$8,0),
  _xlpm.v, IFERROR(INDEX('3. Enter Indicator Scores'!$D$10:$CZ$161,_xlpm.r,_xlpm.c),""),
  IF(OR(_xlpm.w="",_xlpm.v=""),"",_xlpm.v*_xlpm.w)
)</f>
        <v/>
      </c>
    </row>
    <row r="137" spans="4:104" x14ac:dyDescent="0.2">
      <c r="D137" s="93" t="str" cm="1">
        <f t="array" ref="D137">_xlfn.LET(
  _xlpm.w, D$11,
  _xlpm.r, MATCH(1,('3. Enter Indicator Scores'!$B$10:$B$161=$B137)*('3. Enter Indicator Scores'!$C$10:$C$161=$C137),0),
  _xlpm.c, MATCH(D$8,'3. Enter Indicator Scores'!$D$8:$CZ$8,0),
  _xlpm.v, IFERROR(INDEX('3. Enter Indicator Scores'!$D$10:$CZ$161,_xlpm.r,_xlpm.c),""),
  IF(OR(_xlpm.w="",_xlpm.v=""),"",_xlpm.v*_xlpm.w)
)</f>
        <v/>
      </c>
      <c r="E137" s="93" t="str" cm="1">
        <f t="array" ref="E137">_xlfn.LET(
  _xlpm.w, E$11,
  _xlpm.r, MATCH(1,('3. Enter Indicator Scores'!$B$10:$B$161=$B137)*('3. Enter Indicator Scores'!$C$10:$C$161=$C137),0),
  _xlpm.c, MATCH(E$8,'3. Enter Indicator Scores'!$D$8:$CZ$8,0),
  _xlpm.v, IFERROR(INDEX('3. Enter Indicator Scores'!$D$10:$CZ$161,_xlpm.r,_xlpm.c),""),
  IF(OR(_xlpm.w="",_xlpm.v=""),"",_xlpm.v*_xlpm.w)
)</f>
        <v/>
      </c>
      <c r="F137" s="93" t="str" cm="1">
        <f t="array" ref="F137">_xlfn.LET(
  _xlpm.w, F$11,
  _xlpm.r, MATCH(1,('3. Enter Indicator Scores'!$B$10:$B$161=$B137)*('3. Enter Indicator Scores'!$C$10:$C$161=$C137),0),
  _xlpm.c, MATCH(F$8,'3. Enter Indicator Scores'!$D$8:$CZ$8,0),
  _xlpm.v, IFERROR(INDEX('3. Enter Indicator Scores'!$D$10:$CZ$161,_xlpm.r,_xlpm.c),""),
  IF(OR(_xlpm.w="",_xlpm.v=""),"",_xlpm.v*_xlpm.w)
)</f>
        <v/>
      </c>
      <c r="G137" s="93" t="str" cm="1">
        <f t="array" ref="G137">_xlfn.LET(
  _xlpm.w, G$11,
  _xlpm.r, MATCH(1,('3. Enter Indicator Scores'!$B$10:$B$161=$B137)*('3. Enter Indicator Scores'!$C$10:$C$161=$C137),0),
  _xlpm.c, MATCH(G$8,'3. Enter Indicator Scores'!$D$8:$CZ$8,0),
  _xlpm.v, IFERROR(INDEX('3. Enter Indicator Scores'!$D$10:$CZ$161,_xlpm.r,_xlpm.c),""),
  IF(OR(_xlpm.w="",_xlpm.v=""),"",_xlpm.v*_xlpm.w)
)</f>
        <v/>
      </c>
      <c r="H137" s="93" t="str" cm="1">
        <f t="array" ref="H137">_xlfn.LET(
  _xlpm.w, H$11,
  _xlpm.r, MATCH(1,('3. Enter Indicator Scores'!$B$10:$B$161=$B137)*('3. Enter Indicator Scores'!$C$10:$C$161=$C137),0),
  _xlpm.c, MATCH(H$8,'3. Enter Indicator Scores'!$D$8:$CZ$8,0),
  _xlpm.v, IFERROR(INDEX('3. Enter Indicator Scores'!$D$10:$CZ$161,_xlpm.r,_xlpm.c),""),
  IF(OR(_xlpm.w="",_xlpm.v=""),"",_xlpm.v*_xlpm.w)
)</f>
        <v/>
      </c>
      <c r="I137" s="93" t="str" cm="1">
        <f t="array" ref="I137">_xlfn.LET(
  _xlpm.w, I$11,
  _xlpm.r, MATCH(1,('3. Enter Indicator Scores'!$B$10:$B$161=$B137)*('3. Enter Indicator Scores'!$C$10:$C$161=$C137),0),
  _xlpm.c, MATCH(I$8,'3. Enter Indicator Scores'!$D$8:$CZ$8,0),
  _xlpm.v, IFERROR(INDEX('3. Enter Indicator Scores'!$D$10:$CZ$161,_xlpm.r,_xlpm.c),""),
  IF(OR(_xlpm.w="",_xlpm.v=""),"",_xlpm.v*_xlpm.w)
)</f>
        <v/>
      </c>
      <c r="J137" s="93" t="str" cm="1">
        <f t="array" ref="J137">_xlfn.LET(
  _xlpm.w, J$11,
  _xlpm.r, MATCH(1,('3. Enter Indicator Scores'!$B$10:$B$161=$B137)*('3. Enter Indicator Scores'!$C$10:$C$161=$C137),0),
  _xlpm.c, MATCH(J$8,'3. Enter Indicator Scores'!$D$8:$CZ$8,0),
  _xlpm.v, IFERROR(INDEX('3. Enter Indicator Scores'!$D$10:$CZ$161,_xlpm.r,_xlpm.c),""),
  IF(OR(_xlpm.w="",_xlpm.v=""),"",_xlpm.v*_xlpm.w)
)</f>
        <v/>
      </c>
      <c r="K137" s="93" t="str" cm="1">
        <f t="array" ref="K137">_xlfn.LET(
  _xlpm.w, K$11,
  _xlpm.r, MATCH(1,('3. Enter Indicator Scores'!$B$10:$B$161=$B137)*('3. Enter Indicator Scores'!$C$10:$C$161=$C137),0),
  _xlpm.c, MATCH(K$8,'3. Enter Indicator Scores'!$D$8:$CZ$8,0),
  _xlpm.v, IFERROR(INDEX('3. Enter Indicator Scores'!$D$10:$CZ$161,_xlpm.r,_xlpm.c),""),
  IF(OR(_xlpm.w="",_xlpm.v=""),"",_xlpm.v*_xlpm.w)
)</f>
        <v/>
      </c>
      <c r="L137" s="93" t="str" cm="1">
        <f t="array" ref="L137">_xlfn.LET(
  _xlpm.w, L$11,
  _xlpm.r, MATCH(1,('3. Enter Indicator Scores'!$B$10:$B$161=$B137)*('3. Enter Indicator Scores'!$C$10:$C$161=$C137),0),
  _xlpm.c, MATCH(L$8,'3. Enter Indicator Scores'!$D$8:$CZ$8,0),
  _xlpm.v, IFERROR(INDEX('3. Enter Indicator Scores'!$D$10:$CZ$161,_xlpm.r,_xlpm.c),""),
  IF(OR(_xlpm.w="",_xlpm.v=""),"",_xlpm.v*_xlpm.w)
)</f>
        <v/>
      </c>
      <c r="M137" s="93" t="str" cm="1">
        <f t="array" ref="M137">_xlfn.LET(
  _xlpm.w, M$11,
  _xlpm.r, MATCH(1,('3. Enter Indicator Scores'!$B$10:$B$161=$B137)*('3. Enter Indicator Scores'!$C$10:$C$161=$C137),0),
  _xlpm.c, MATCH(M$8,'3. Enter Indicator Scores'!$D$8:$CZ$8,0),
  _xlpm.v, IFERROR(INDEX('3. Enter Indicator Scores'!$D$10:$CZ$161,_xlpm.r,_xlpm.c),""),
  IF(OR(_xlpm.w="",_xlpm.v=""),"",_xlpm.v*_xlpm.w)
)</f>
        <v/>
      </c>
      <c r="N137" s="93" t="str" cm="1">
        <f t="array" ref="N137">_xlfn.LET(
  _xlpm.w, N$11,
  _xlpm.r, MATCH(1,('3. Enter Indicator Scores'!$B$10:$B$161=$B137)*('3. Enter Indicator Scores'!$C$10:$C$161=$C137),0),
  _xlpm.c, MATCH(N$8,'3. Enter Indicator Scores'!$D$8:$CZ$8,0),
  _xlpm.v, IFERROR(INDEX('3. Enter Indicator Scores'!$D$10:$CZ$161,_xlpm.r,_xlpm.c),""),
  IF(OR(_xlpm.w="",_xlpm.v=""),"",_xlpm.v*_xlpm.w)
)</f>
        <v/>
      </c>
      <c r="O137" s="93" t="str" cm="1">
        <f t="array" ref="O137">_xlfn.LET(
  _xlpm.w, O$11,
  _xlpm.r, MATCH(1,('3. Enter Indicator Scores'!$B$10:$B$161=$B137)*('3. Enter Indicator Scores'!$C$10:$C$161=$C137),0),
  _xlpm.c, MATCH(O$8,'3. Enter Indicator Scores'!$D$8:$CZ$8,0),
  _xlpm.v, IFERROR(INDEX('3. Enter Indicator Scores'!$D$10:$CZ$161,_xlpm.r,_xlpm.c),""),
  IF(OR(_xlpm.w="",_xlpm.v=""),"",_xlpm.v*_xlpm.w)
)</f>
        <v/>
      </c>
      <c r="P137" s="93" t="str" cm="1">
        <f t="array" ref="P137">_xlfn.LET(
  _xlpm.w, P$11,
  _xlpm.r, MATCH(1,('3. Enter Indicator Scores'!$B$10:$B$161=$B137)*('3. Enter Indicator Scores'!$C$10:$C$161=$C137),0),
  _xlpm.c, MATCH(P$8,'3. Enter Indicator Scores'!$D$8:$CZ$8,0),
  _xlpm.v, IFERROR(INDEX('3. Enter Indicator Scores'!$D$10:$CZ$161,_xlpm.r,_xlpm.c),""),
  IF(OR(_xlpm.w="",_xlpm.v=""),"",_xlpm.v*_xlpm.w)
)</f>
        <v/>
      </c>
      <c r="Q137" s="93" t="str" cm="1">
        <f t="array" ref="Q137">_xlfn.LET(
  _xlpm.w, Q$11,
  _xlpm.r, MATCH(1,('3. Enter Indicator Scores'!$B$10:$B$161=$B137)*('3. Enter Indicator Scores'!$C$10:$C$161=$C137),0),
  _xlpm.c, MATCH(Q$8,'3. Enter Indicator Scores'!$D$8:$CZ$8,0),
  _xlpm.v, IFERROR(INDEX('3. Enter Indicator Scores'!$D$10:$CZ$161,_xlpm.r,_xlpm.c),""),
  IF(OR(_xlpm.w="",_xlpm.v=""),"",_xlpm.v*_xlpm.w)
)</f>
        <v/>
      </c>
      <c r="R137" s="93" t="str" cm="1">
        <f t="array" ref="R137">_xlfn.LET(
  _xlpm.w, R$11,
  _xlpm.r, MATCH(1,('3. Enter Indicator Scores'!$B$10:$B$161=$B137)*('3. Enter Indicator Scores'!$C$10:$C$161=$C137),0),
  _xlpm.c, MATCH(R$8,'3. Enter Indicator Scores'!$D$8:$CZ$8,0),
  _xlpm.v, IFERROR(INDEX('3. Enter Indicator Scores'!$D$10:$CZ$161,_xlpm.r,_xlpm.c),""),
  IF(OR(_xlpm.w="",_xlpm.v=""),"",_xlpm.v*_xlpm.w)
)</f>
        <v/>
      </c>
      <c r="S137" s="93" t="str" cm="1">
        <f t="array" ref="S137">_xlfn.LET(
  _xlpm.w, S$11,
  _xlpm.r, MATCH(1,('3. Enter Indicator Scores'!$B$10:$B$161=$B137)*('3. Enter Indicator Scores'!$C$10:$C$161=$C137),0),
  _xlpm.c, MATCH(S$8,'3. Enter Indicator Scores'!$D$8:$CZ$8,0),
  _xlpm.v, IFERROR(INDEX('3. Enter Indicator Scores'!$D$10:$CZ$161,_xlpm.r,_xlpm.c),""),
  IF(OR(_xlpm.w="",_xlpm.v=""),"",_xlpm.v*_xlpm.w)
)</f>
        <v/>
      </c>
      <c r="T137" s="93" t="str" cm="1">
        <f t="array" ref="T137">_xlfn.LET(
  _xlpm.w, T$11,
  _xlpm.r, MATCH(1,('3. Enter Indicator Scores'!$B$10:$B$161=$B137)*('3. Enter Indicator Scores'!$C$10:$C$161=$C137),0),
  _xlpm.c, MATCH(T$8,'3. Enter Indicator Scores'!$D$8:$CZ$8,0),
  _xlpm.v, IFERROR(INDEX('3. Enter Indicator Scores'!$D$10:$CZ$161,_xlpm.r,_xlpm.c),""),
  IF(OR(_xlpm.w="",_xlpm.v=""),"",_xlpm.v*_xlpm.w)
)</f>
        <v/>
      </c>
      <c r="U137" s="93" t="str" cm="1">
        <f t="array" ref="U137">_xlfn.LET(
  _xlpm.w, U$11,
  _xlpm.r, MATCH(1,('3. Enter Indicator Scores'!$B$10:$B$161=$B137)*('3. Enter Indicator Scores'!$C$10:$C$161=$C137),0),
  _xlpm.c, MATCH(U$8,'3. Enter Indicator Scores'!$D$8:$CZ$8,0),
  _xlpm.v, IFERROR(INDEX('3. Enter Indicator Scores'!$D$10:$CZ$161,_xlpm.r,_xlpm.c),""),
  IF(OR(_xlpm.w="",_xlpm.v=""),"",_xlpm.v*_xlpm.w)
)</f>
        <v/>
      </c>
      <c r="V137" s="93" t="str" cm="1">
        <f t="array" ref="V137">_xlfn.LET(
  _xlpm.w, V$11,
  _xlpm.r, MATCH(1,('3. Enter Indicator Scores'!$B$10:$B$161=$B137)*('3. Enter Indicator Scores'!$C$10:$C$161=$C137),0),
  _xlpm.c, MATCH(V$8,'3. Enter Indicator Scores'!$D$8:$CZ$8,0),
  _xlpm.v, IFERROR(INDEX('3. Enter Indicator Scores'!$D$10:$CZ$161,_xlpm.r,_xlpm.c),""),
  IF(OR(_xlpm.w="",_xlpm.v=""),"",_xlpm.v*_xlpm.w)
)</f>
        <v/>
      </c>
      <c r="W137" s="93" t="str" cm="1">
        <f t="array" ref="W137">_xlfn.LET(
  _xlpm.w, W$11,
  _xlpm.r, MATCH(1,('3. Enter Indicator Scores'!$B$10:$B$161=$B137)*('3. Enter Indicator Scores'!$C$10:$C$161=$C137),0),
  _xlpm.c, MATCH(W$8,'3. Enter Indicator Scores'!$D$8:$CZ$8,0),
  _xlpm.v, IFERROR(INDEX('3. Enter Indicator Scores'!$D$10:$CZ$161,_xlpm.r,_xlpm.c),""),
  IF(OR(_xlpm.w="",_xlpm.v=""),"",_xlpm.v*_xlpm.w)
)</f>
        <v/>
      </c>
      <c r="X137" s="93" t="str" cm="1">
        <f t="array" ref="X137">_xlfn.LET(
  _xlpm.w, X$11,
  _xlpm.r, MATCH(1,('3. Enter Indicator Scores'!$B$10:$B$161=$B137)*('3. Enter Indicator Scores'!$C$10:$C$161=$C137),0),
  _xlpm.c, MATCH(X$8,'3. Enter Indicator Scores'!$D$8:$CZ$8,0),
  _xlpm.v, IFERROR(INDEX('3. Enter Indicator Scores'!$D$10:$CZ$161,_xlpm.r,_xlpm.c),""),
  IF(OR(_xlpm.w="",_xlpm.v=""),"",_xlpm.v*_xlpm.w)
)</f>
        <v/>
      </c>
      <c r="Y137" s="93" t="str" cm="1">
        <f t="array" ref="Y137">_xlfn.LET(
  _xlpm.w, Y$11,
  _xlpm.r, MATCH(1,('3. Enter Indicator Scores'!$B$10:$B$161=$B137)*('3. Enter Indicator Scores'!$C$10:$C$161=$C137),0),
  _xlpm.c, MATCH(Y$8,'3. Enter Indicator Scores'!$D$8:$CZ$8,0),
  _xlpm.v, IFERROR(INDEX('3. Enter Indicator Scores'!$D$10:$CZ$161,_xlpm.r,_xlpm.c),""),
  IF(OR(_xlpm.w="",_xlpm.v=""),"",_xlpm.v*_xlpm.w)
)</f>
        <v/>
      </c>
      <c r="Z137" s="93" t="str" cm="1">
        <f t="array" ref="Z137">_xlfn.LET(
  _xlpm.w, Z$11,
  _xlpm.r, MATCH(1,('3. Enter Indicator Scores'!$B$10:$B$161=$B137)*('3. Enter Indicator Scores'!$C$10:$C$161=$C137),0),
  _xlpm.c, MATCH(Z$8,'3. Enter Indicator Scores'!$D$8:$CZ$8,0),
  _xlpm.v, IFERROR(INDEX('3. Enter Indicator Scores'!$D$10:$CZ$161,_xlpm.r,_xlpm.c),""),
  IF(OR(_xlpm.w="",_xlpm.v=""),"",_xlpm.v*_xlpm.w)
)</f>
        <v/>
      </c>
      <c r="AA137" s="93" t="str" cm="1">
        <f t="array" ref="AA137">_xlfn.LET(
  _xlpm.w, AA$11,
  _xlpm.r, MATCH(1,('3. Enter Indicator Scores'!$B$10:$B$161=$B137)*('3. Enter Indicator Scores'!$C$10:$C$161=$C137),0),
  _xlpm.c, MATCH(AA$8,'3. Enter Indicator Scores'!$D$8:$CZ$8,0),
  _xlpm.v, IFERROR(INDEX('3. Enter Indicator Scores'!$D$10:$CZ$161,_xlpm.r,_xlpm.c),""),
  IF(OR(_xlpm.w="",_xlpm.v=""),"",_xlpm.v*_xlpm.w)
)</f>
        <v/>
      </c>
      <c r="AB137" s="93" t="str" cm="1">
        <f t="array" ref="AB137">_xlfn.LET(
  _xlpm.w, AB$11,
  _xlpm.r, MATCH(1,('3. Enter Indicator Scores'!$B$10:$B$161=$B137)*('3. Enter Indicator Scores'!$C$10:$C$161=$C137),0),
  _xlpm.c, MATCH(AB$8,'3. Enter Indicator Scores'!$D$8:$CZ$8,0),
  _xlpm.v, IFERROR(INDEX('3. Enter Indicator Scores'!$D$10:$CZ$161,_xlpm.r,_xlpm.c),""),
  IF(OR(_xlpm.w="",_xlpm.v=""),"",_xlpm.v*_xlpm.w)
)</f>
        <v/>
      </c>
      <c r="AC137" s="93" t="str" cm="1">
        <f t="array" ref="AC137">_xlfn.LET(
  _xlpm.w, AC$11,
  _xlpm.r, MATCH(1,('3. Enter Indicator Scores'!$B$10:$B$161=$B137)*('3. Enter Indicator Scores'!$C$10:$C$161=$C137),0),
  _xlpm.c, MATCH(AC$8,'3. Enter Indicator Scores'!$D$8:$CZ$8,0),
  _xlpm.v, IFERROR(INDEX('3. Enter Indicator Scores'!$D$10:$CZ$161,_xlpm.r,_xlpm.c),""),
  IF(OR(_xlpm.w="",_xlpm.v=""),"",_xlpm.v*_xlpm.w)
)</f>
        <v/>
      </c>
      <c r="AD137" s="93" t="str" cm="1">
        <f t="array" ref="AD137">_xlfn.LET(
  _xlpm.w, AD$11,
  _xlpm.r, MATCH(1,('3. Enter Indicator Scores'!$B$10:$B$161=$B137)*('3. Enter Indicator Scores'!$C$10:$C$161=$C137),0),
  _xlpm.c, MATCH(AD$8,'3. Enter Indicator Scores'!$D$8:$CZ$8,0),
  _xlpm.v, IFERROR(INDEX('3. Enter Indicator Scores'!$D$10:$CZ$161,_xlpm.r,_xlpm.c),""),
  IF(OR(_xlpm.w="",_xlpm.v=""),"",_xlpm.v*_xlpm.w)
)</f>
        <v/>
      </c>
      <c r="AE137" s="93" t="str" cm="1">
        <f t="array" ref="AE137">_xlfn.LET(
  _xlpm.w, AE$11,
  _xlpm.r, MATCH(1,('3. Enter Indicator Scores'!$B$10:$B$161=$B137)*('3. Enter Indicator Scores'!$C$10:$C$161=$C137),0),
  _xlpm.c, MATCH(AE$8,'3. Enter Indicator Scores'!$D$8:$CZ$8,0),
  _xlpm.v, IFERROR(INDEX('3. Enter Indicator Scores'!$D$10:$CZ$161,_xlpm.r,_xlpm.c),""),
  IF(OR(_xlpm.w="",_xlpm.v=""),"",_xlpm.v*_xlpm.w)
)</f>
        <v/>
      </c>
      <c r="AF137" s="93" t="str" cm="1">
        <f t="array" ref="AF137">_xlfn.LET(
  _xlpm.w, AF$11,
  _xlpm.r, MATCH(1,('3. Enter Indicator Scores'!$B$10:$B$161=$B137)*('3. Enter Indicator Scores'!$C$10:$C$161=$C137),0),
  _xlpm.c, MATCH(AF$8,'3. Enter Indicator Scores'!$D$8:$CZ$8,0),
  _xlpm.v, IFERROR(INDEX('3. Enter Indicator Scores'!$D$10:$CZ$161,_xlpm.r,_xlpm.c),""),
  IF(OR(_xlpm.w="",_xlpm.v=""),"",_xlpm.v*_xlpm.w)
)</f>
        <v/>
      </c>
      <c r="AG137" s="93" t="str" cm="1">
        <f t="array" ref="AG137">_xlfn.LET(
  _xlpm.w, AG$11,
  _xlpm.r, MATCH(1,('3. Enter Indicator Scores'!$B$10:$B$161=$B137)*('3. Enter Indicator Scores'!$C$10:$C$161=$C137),0),
  _xlpm.c, MATCH(AG$8,'3. Enter Indicator Scores'!$D$8:$CZ$8,0),
  _xlpm.v, IFERROR(INDEX('3. Enter Indicator Scores'!$D$10:$CZ$161,_xlpm.r,_xlpm.c),""),
  IF(OR(_xlpm.w="",_xlpm.v=""),"",_xlpm.v*_xlpm.w)
)</f>
        <v/>
      </c>
      <c r="AH137" s="93" t="str" cm="1">
        <f t="array" ref="AH137">_xlfn.LET(
  _xlpm.w, AH$11,
  _xlpm.r, MATCH(1,('3. Enter Indicator Scores'!$B$10:$B$161=$B137)*('3. Enter Indicator Scores'!$C$10:$C$161=$C137),0),
  _xlpm.c, MATCH(AH$8,'3. Enter Indicator Scores'!$D$8:$CZ$8,0),
  _xlpm.v, IFERROR(INDEX('3. Enter Indicator Scores'!$D$10:$CZ$161,_xlpm.r,_xlpm.c),""),
  IF(OR(_xlpm.w="",_xlpm.v=""),"",_xlpm.v*_xlpm.w)
)</f>
        <v/>
      </c>
      <c r="AI137" s="93" t="str" cm="1">
        <f t="array" ref="AI137">_xlfn.LET(
  _xlpm.w, AI$11,
  _xlpm.r, MATCH(1,('3. Enter Indicator Scores'!$B$10:$B$161=$B137)*('3. Enter Indicator Scores'!$C$10:$C$161=$C137),0),
  _xlpm.c, MATCH(AI$8,'3. Enter Indicator Scores'!$D$8:$CZ$8,0),
  _xlpm.v, IFERROR(INDEX('3. Enter Indicator Scores'!$D$10:$CZ$161,_xlpm.r,_xlpm.c),""),
  IF(OR(_xlpm.w="",_xlpm.v=""),"",_xlpm.v*_xlpm.w)
)</f>
        <v/>
      </c>
      <c r="AJ137" s="93" t="str" cm="1">
        <f t="array" ref="AJ137">_xlfn.LET(
  _xlpm.w, AJ$11,
  _xlpm.r, MATCH(1,('3. Enter Indicator Scores'!$B$10:$B$161=$B137)*('3. Enter Indicator Scores'!$C$10:$C$161=$C137),0),
  _xlpm.c, MATCH(AJ$8,'3. Enter Indicator Scores'!$D$8:$CZ$8,0),
  _xlpm.v, IFERROR(INDEX('3. Enter Indicator Scores'!$D$10:$CZ$161,_xlpm.r,_xlpm.c),""),
  IF(OR(_xlpm.w="",_xlpm.v=""),"",_xlpm.v*_xlpm.w)
)</f>
        <v/>
      </c>
      <c r="AK137" s="93" t="str" cm="1">
        <f t="array" ref="AK137">_xlfn.LET(
  _xlpm.w, AK$11,
  _xlpm.r, MATCH(1,('3. Enter Indicator Scores'!$B$10:$B$161=$B137)*('3. Enter Indicator Scores'!$C$10:$C$161=$C137),0),
  _xlpm.c, MATCH(AK$8,'3. Enter Indicator Scores'!$D$8:$CZ$8,0),
  _xlpm.v, IFERROR(INDEX('3. Enter Indicator Scores'!$D$10:$CZ$161,_xlpm.r,_xlpm.c),""),
  IF(OR(_xlpm.w="",_xlpm.v=""),"",_xlpm.v*_xlpm.w)
)</f>
        <v/>
      </c>
      <c r="AL137" s="93" t="str" cm="1">
        <f t="array" ref="AL137">_xlfn.LET(
  _xlpm.w, AL$11,
  _xlpm.r, MATCH(1,('3. Enter Indicator Scores'!$B$10:$B$161=$B137)*('3. Enter Indicator Scores'!$C$10:$C$161=$C137),0),
  _xlpm.c, MATCH(AL$8,'3. Enter Indicator Scores'!$D$8:$CZ$8,0),
  _xlpm.v, IFERROR(INDEX('3. Enter Indicator Scores'!$D$10:$CZ$161,_xlpm.r,_xlpm.c),""),
  IF(OR(_xlpm.w="",_xlpm.v=""),"",_xlpm.v*_xlpm.w)
)</f>
        <v/>
      </c>
      <c r="AM137" s="93" t="str" cm="1">
        <f t="array" ref="AM137">_xlfn.LET(
  _xlpm.w, AM$11,
  _xlpm.r, MATCH(1,('3. Enter Indicator Scores'!$B$10:$B$161=$B137)*('3. Enter Indicator Scores'!$C$10:$C$161=$C137),0),
  _xlpm.c, MATCH(AM$8,'3. Enter Indicator Scores'!$D$8:$CZ$8,0),
  _xlpm.v, IFERROR(INDEX('3. Enter Indicator Scores'!$D$10:$CZ$161,_xlpm.r,_xlpm.c),""),
  IF(OR(_xlpm.w="",_xlpm.v=""),"",_xlpm.v*_xlpm.w)
)</f>
        <v/>
      </c>
      <c r="AN137" s="93" t="str" cm="1">
        <f t="array" ref="AN137">_xlfn.LET(
  _xlpm.w, AN$11,
  _xlpm.r, MATCH(1,('3. Enter Indicator Scores'!$B$10:$B$161=$B137)*('3. Enter Indicator Scores'!$C$10:$C$161=$C137),0),
  _xlpm.c, MATCH(AN$8,'3. Enter Indicator Scores'!$D$8:$CZ$8,0),
  _xlpm.v, IFERROR(INDEX('3. Enter Indicator Scores'!$D$10:$CZ$161,_xlpm.r,_xlpm.c),""),
  IF(OR(_xlpm.w="",_xlpm.v=""),"",_xlpm.v*_xlpm.w)
)</f>
        <v/>
      </c>
      <c r="AO137" s="93" t="str" cm="1">
        <f t="array" ref="AO137">_xlfn.LET(
  _xlpm.w, AO$11,
  _xlpm.r, MATCH(1,('3. Enter Indicator Scores'!$B$10:$B$161=$B137)*('3. Enter Indicator Scores'!$C$10:$C$161=$C137),0),
  _xlpm.c, MATCH(AO$8,'3. Enter Indicator Scores'!$D$8:$CZ$8,0),
  _xlpm.v, IFERROR(INDEX('3. Enter Indicator Scores'!$D$10:$CZ$161,_xlpm.r,_xlpm.c),""),
  IF(OR(_xlpm.w="",_xlpm.v=""),"",_xlpm.v*_xlpm.w)
)</f>
        <v/>
      </c>
      <c r="AP137" s="93" t="str" cm="1">
        <f t="array" ref="AP137">_xlfn.LET(
  _xlpm.w, AP$11,
  _xlpm.r, MATCH(1,('3. Enter Indicator Scores'!$B$10:$B$161=$B137)*('3. Enter Indicator Scores'!$C$10:$C$161=$C137),0),
  _xlpm.c, MATCH(AP$8,'3. Enter Indicator Scores'!$D$8:$CZ$8,0),
  _xlpm.v, IFERROR(INDEX('3. Enter Indicator Scores'!$D$10:$CZ$161,_xlpm.r,_xlpm.c),""),
  IF(OR(_xlpm.w="",_xlpm.v=""),"",_xlpm.v*_xlpm.w)
)</f>
        <v/>
      </c>
      <c r="AQ137" s="93" t="str" cm="1">
        <f t="array" ref="AQ137">_xlfn.LET(
  _xlpm.w, AQ$11,
  _xlpm.r, MATCH(1,('3. Enter Indicator Scores'!$B$10:$B$161=$B137)*('3. Enter Indicator Scores'!$C$10:$C$161=$C137),0),
  _xlpm.c, MATCH(AQ$8,'3. Enter Indicator Scores'!$D$8:$CZ$8,0),
  _xlpm.v, IFERROR(INDEX('3. Enter Indicator Scores'!$D$10:$CZ$161,_xlpm.r,_xlpm.c),""),
  IF(OR(_xlpm.w="",_xlpm.v=""),"",_xlpm.v*_xlpm.w)
)</f>
        <v/>
      </c>
      <c r="AR137" s="93" t="str" cm="1">
        <f t="array" ref="AR137">_xlfn.LET(
  _xlpm.w, AR$11,
  _xlpm.r, MATCH(1,('3. Enter Indicator Scores'!$B$10:$B$161=$B137)*('3. Enter Indicator Scores'!$C$10:$C$161=$C137),0),
  _xlpm.c, MATCH(AR$8,'3. Enter Indicator Scores'!$D$8:$CZ$8,0),
  _xlpm.v, IFERROR(INDEX('3. Enter Indicator Scores'!$D$10:$CZ$161,_xlpm.r,_xlpm.c),""),
  IF(OR(_xlpm.w="",_xlpm.v=""),"",_xlpm.v*_xlpm.w)
)</f>
        <v/>
      </c>
      <c r="AS137" s="93" t="str" cm="1">
        <f t="array" ref="AS137">_xlfn.LET(
  _xlpm.w, AS$11,
  _xlpm.r, MATCH(1,('3. Enter Indicator Scores'!$B$10:$B$161=$B137)*('3. Enter Indicator Scores'!$C$10:$C$161=$C137),0),
  _xlpm.c, MATCH(AS$8,'3. Enter Indicator Scores'!$D$8:$CZ$8,0),
  _xlpm.v, IFERROR(INDEX('3. Enter Indicator Scores'!$D$10:$CZ$161,_xlpm.r,_xlpm.c),""),
  IF(OR(_xlpm.w="",_xlpm.v=""),"",_xlpm.v*_xlpm.w)
)</f>
        <v/>
      </c>
      <c r="AT137" s="93" t="str" cm="1">
        <f t="array" ref="AT137">_xlfn.LET(
  _xlpm.w, AT$11,
  _xlpm.r, MATCH(1,('3. Enter Indicator Scores'!$B$10:$B$161=$B137)*('3. Enter Indicator Scores'!$C$10:$C$161=$C137),0),
  _xlpm.c, MATCH(AT$8,'3. Enter Indicator Scores'!$D$8:$CZ$8,0),
  _xlpm.v, IFERROR(INDEX('3. Enter Indicator Scores'!$D$10:$CZ$161,_xlpm.r,_xlpm.c),""),
  IF(OR(_xlpm.w="",_xlpm.v=""),"",_xlpm.v*_xlpm.w)
)</f>
        <v/>
      </c>
      <c r="AU137" s="93" t="str" cm="1">
        <f t="array" ref="AU137">_xlfn.LET(
  _xlpm.w, AU$11,
  _xlpm.r, MATCH(1,('3. Enter Indicator Scores'!$B$10:$B$161=$B137)*('3. Enter Indicator Scores'!$C$10:$C$161=$C137),0),
  _xlpm.c, MATCH(AU$8,'3. Enter Indicator Scores'!$D$8:$CZ$8,0),
  _xlpm.v, IFERROR(INDEX('3. Enter Indicator Scores'!$D$10:$CZ$161,_xlpm.r,_xlpm.c),""),
  IF(OR(_xlpm.w="",_xlpm.v=""),"",_xlpm.v*_xlpm.w)
)</f>
        <v/>
      </c>
      <c r="AV137" s="93" t="str" cm="1">
        <f t="array" ref="AV137">_xlfn.LET(
  _xlpm.w, AV$11,
  _xlpm.r, MATCH(1,('3. Enter Indicator Scores'!$B$10:$B$161=$B137)*('3. Enter Indicator Scores'!$C$10:$C$161=$C137),0),
  _xlpm.c, MATCH(AV$8,'3. Enter Indicator Scores'!$D$8:$CZ$8,0),
  _xlpm.v, IFERROR(INDEX('3. Enter Indicator Scores'!$D$10:$CZ$161,_xlpm.r,_xlpm.c),""),
  IF(OR(_xlpm.w="",_xlpm.v=""),"",_xlpm.v*_xlpm.w)
)</f>
        <v/>
      </c>
      <c r="AW137" s="93" t="str" cm="1">
        <f t="array" ref="AW137">_xlfn.LET(
  _xlpm.w, AW$11,
  _xlpm.r, MATCH(1,('3. Enter Indicator Scores'!$B$10:$B$161=$B137)*('3. Enter Indicator Scores'!$C$10:$C$161=$C137),0),
  _xlpm.c, MATCH(AW$8,'3. Enter Indicator Scores'!$D$8:$CZ$8,0),
  _xlpm.v, IFERROR(INDEX('3. Enter Indicator Scores'!$D$10:$CZ$161,_xlpm.r,_xlpm.c),""),
  IF(OR(_xlpm.w="",_xlpm.v=""),"",_xlpm.v*_xlpm.w)
)</f>
        <v/>
      </c>
      <c r="AX137" s="93" t="str" cm="1">
        <f t="array" ref="AX137">_xlfn.LET(
  _xlpm.w, AX$11,
  _xlpm.r, MATCH(1,('3. Enter Indicator Scores'!$B$10:$B$161=$B137)*('3. Enter Indicator Scores'!$C$10:$C$161=$C137),0),
  _xlpm.c, MATCH(AX$8,'3. Enter Indicator Scores'!$D$8:$CZ$8,0),
  _xlpm.v, IFERROR(INDEX('3. Enter Indicator Scores'!$D$10:$CZ$161,_xlpm.r,_xlpm.c),""),
  IF(OR(_xlpm.w="",_xlpm.v=""),"",_xlpm.v*_xlpm.w)
)</f>
        <v/>
      </c>
      <c r="AY137" s="93" t="str" cm="1">
        <f t="array" ref="AY137">_xlfn.LET(
  _xlpm.w, AY$11,
  _xlpm.r, MATCH(1,('3. Enter Indicator Scores'!$B$10:$B$161=$B137)*('3. Enter Indicator Scores'!$C$10:$C$161=$C137),0),
  _xlpm.c, MATCH(AY$8,'3. Enter Indicator Scores'!$D$8:$CZ$8,0),
  _xlpm.v, IFERROR(INDEX('3. Enter Indicator Scores'!$D$10:$CZ$161,_xlpm.r,_xlpm.c),""),
  IF(OR(_xlpm.w="",_xlpm.v=""),"",_xlpm.v*_xlpm.w)
)</f>
        <v/>
      </c>
      <c r="AZ137" s="93" t="str" cm="1">
        <f t="array" ref="AZ137">_xlfn.LET(
  _xlpm.w, AZ$11,
  _xlpm.r, MATCH(1,('3. Enter Indicator Scores'!$B$10:$B$161=$B137)*('3. Enter Indicator Scores'!$C$10:$C$161=$C137),0),
  _xlpm.c, MATCH(AZ$8,'3. Enter Indicator Scores'!$D$8:$CZ$8,0),
  _xlpm.v, IFERROR(INDEX('3. Enter Indicator Scores'!$D$10:$CZ$161,_xlpm.r,_xlpm.c),""),
  IF(OR(_xlpm.w="",_xlpm.v=""),"",_xlpm.v*_xlpm.w)
)</f>
        <v/>
      </c>
      <c r="BA137" s="93" t="str" cm="1">
        <f t="array" ref="BA137">_xlfn.LET(
  _xlpm.w, BA$11,
  _xlpm.r, MATCH(1,('3. Enter Indicator Scores'!$B$10:$B$161=$B137)*('3. Enter Indicator Scores'!$C$10:$C$161=$C137),0),
  _xlpm.c, MATCH(BA$8,'3. Enter Indicator Scores'!$D$8:$CZ$8,0),
  _xlpm.v, IFERROR(INDEX('3. Enter Indicator Scores'!$D$10:$CZ$161,_xlpm.r,_xlpm.c),""),
  IF(OR(_xlpm.w="",_xlpm.v=""),"",_xlpm.v*_xlpm.w)
)</f>
        <v/>
      </c>
      <c r="BB137" s="93" t="str" cm="1">
        <f t="array" ref="BB137">_xlfn.LET(
  _xlpm.w, BB$11,
  _xlpm.r, MATCH(1,('3. Enter Indicator Scores'!$B$10:$B$161=$B137)*('3. Enter Indicator Scores'!$C$10:$C$161=$C137),0),
  _xlpm.c, MATCH(BB$8,'3. Enter Indicator Scores'!$D$8:$CZ$8,0),
  _xlpm.v, IFERROR(INDEX('3. Enter Indicator Scores'!$D$10:$CZ$161,_xlpm.r,_xlpm.c),""),
  IF(OR(_xlpm.w="",_xlpm.v=""),"",_xlpm.v*_xlpm.w)
)</f>
        <v/>
      </c>
      <c r="BC137" s="93" t="str" cm="1">
        <f t="array" ref="BC137">_xlfn.LET(
  _xlpm.w, BC$11,
  _xlpm.r, MATCH(1,('3. Enter Indicator Scores'!$B$10:$B$161=$B137)*('3. Enter Indicator Scores'!$C$10:$C$161=$C137),0),
  _xlpm.c, MATCH(BC$8,'3. Enter Indicator Scores'!$D$8:$CZ$8,0),
  _xlpm.v, IFERROR(INDEX('3. Enter Indicator Scores'!$D$10:$CZ$161,_xlpm.r,_xlpm.c),""),
  IF(OR(_xlpm.w="",_xlpm.v=""),"",_xlpm.v*_xlpm.w)
)</f>
        <v/>
      </c>
      <c r="BD137" s="93" t="str" cm="1">
        <f t="array" ref="BD137">_xlfn.LET(
  _xlpm.w, BD$11,
  _xlpm.r, MATCH(1,('3. Enter Indicator Scores'!$B$10:$B$161=$B137)*('3. Enter Indicator Scores'!$C$10:$C$161=$C137),0),
  _xlpm.c, MATCH(BD$8,'3. Enter Indicator Scores'!$D$8:$CZ$8,0),
  _xlpm.v, IFERROR(INDEX('3. Enter Indicator Scores'!$D$10:$CZ$161,_xlpm.r,_xlpm.c),""),
  IF(OR(_xlpm.w="",_xlpm.v=""),"",_xlpm.v*_xlpm.w)
)</f>
        <v/>
      </c>
      <c r="BE137" s="93" t="str" cm="1">
        <f t="array" ref="BE137">_xlfn.LET(
  _xlpm.w, BE$11,
  _xlpm.r, MATCH(1,('3. Enter Indicator Scores'!$B$10:$B$161=$B137)*('3. Enter Indicator Scores'!$C$10:$C$161=$C137),0),
  _xlpm.c, MATCH(BE$8,'3. Enter Indicator Scores'!$D$8:$CZ$8,0),
  _xlpm.v, IFERROR(INDEX('3. Enter Indicator Scores'!$D$10:$CZ$161,_xlpm.r,_xlpm.c),""),
  IF(OR(_xlpm.w="",_xlpm.v=""),"",_xlpm.v*_xlpm.w)
)</f>
        <v/>
      </c>
      <c r="BF137" s="93" t="str" cm="1">
        <f t="array" ref="BF137">_xlfn.LET(
  _xlpm.w, BF$11,
  _xlpm.r, MATCH(1,('3. Enter Indicator Scores'!$B$10:$B$161=$B137)*('3. Enter Indicator Scores'!$C$10:$C$161=$C137),0),
  _xlpm.c, MATCH(BF$8,'3. Enter Indicator Scores'!$D$8:$CZ$8,0),
  _xlpm.v, IFERROR(INDEX('3. Enter Indicator Scores'!$D$10:$CZ$161,_xlpm.r,_xlpm.c),""),
  IF(OR(_xlpm.w="",_xlpm.v=""),"",_xlpm.v*_xlpm.w)
)</f>
        <v/>
      </c>
      <c r="BG137" s="93" t="str" cm="1">
        <f t="array" ref="BG137">_xlfn.LET(
  _xlpm.w, BG$11,
  _xlpm.r, MATCH(1,('3. Enter Indicator Scores'!$B$10:$B$161=$B137)*('3. Enter Indicator Scores'!$C$10:$C$161=$C137),0),
  _xlpm.c, MATCH(BG$8,'3. Enter Indicator Scores'!$D$8:$CZ$8,0),
  _xlpm.v, IFERROR(INDEX('3. Enter Indicator Scores'!$D$10:$CZ$161,_xlpm.r,_xlpm.c),""),
  IF(OR(_xlpm.w="",_xlpm.v=""),"",_xlpm.v*_xlpm.w)
)</f>
        <v/>
      </c>
      <c r="BH137" s="93" t="str" cm="1">
        <f t="array" ref="BH137">_xlfn.LET(
  _xlpm.w, BH$11,
  _xlpm.r, MATCH(1,('3. Enter Indicator Scores'!$B$10:$B$161=$B137)*('3. Enter Indicator Scores'!$C$10:$C$161=$C137),0),
  _xlpm.c, MATCH(BH$8,'3. Enter Indicator Scores'!$D$8:$CZ$8,0),
  _xlpm.v, IFERROR(INDEX('3. Enter Indicator Scores'!$D$10:$CZ$161,_xlpm.r,_xlpm.c),""),
  IF(OR(_xlpm.w="",_xlpm.v=""),"",_xlpm.v*_xlpm.w)
)</f>
        <v/>
      </c>
      <c r="BI137" s="93" t="str" cm="1">
        <f t="array" ref="BI137">_xlfn.LET(
  _xlpm.w, BI$11,
  _xlpm.r, MATCH(1,('3. Enter Indicator Scores'!$B$10:$B$161=$B137)*('3. Enter Indicator Scores'!$C$10:$C$161=$C137),0),
  _xlpm.c, MATCH(BI$8,'3. Enter Indicator Scores'!$D$8:$CZ$8,0),
  _xlpm.v, IFERROR(INDEX('3. Enter Indicator Scores'!$D$10:$CZ$161,_xlpm.r,_xlpm.c),""),
  IF(OR(_xlpm.w="",_xlpm.v=""),"",_xlpm.v*_xlpm.w)
)</f>
        <v/>
      </c>
      <c r="BJ137" s="93" t="str" cm="1">
        <f t="array" ref="BJ137">_xlfn.LET(
  _xlpm.w, BJ$11,
  _xlpm.r, MATCH(1,('3. Enter Indicator Scores'!$B$10:$B$161=$B137)*('3. Enter Indicator Scores'!$C$10:$C$161=$C137),0),
  _xlpm.c, MATCH(BJ$8,'3. Enter Indicator Scores'!$D$8:$CZ$8,0),
  _xlpm.v, IFERROR(INDEX('3. Enter Indicator Scores'!$D$10:$CZ$161,_xlpm.r,_xlpm.c),""),
  IF(OR(_xlpm.w="",_xlpm.v=""),"",_xlpm.v*_xlpm.w)
)</f>
        <v/>
      </c>
      <c r="BK137" s="93" t="str" cm="1">
        <f t="array" ref="BK137">_xlfn.LET(
  _xlpm.w, BK$11,
  _xlpm.r, MATCH(1,('3. Enter Indicator Scores'!$B$10:$B$161=$B137)*('3. Enter Indicator Scores'!$C$10:$C$161=$C137),0),
  _xlpm.c, MATCH(BK$8,'3. Enter Indicator Scores'!$D$8:$CZ$8,0),
  _xlpm.v, IFERROR(INDEX('3. Enter Indicator Scores'!$D$10:$CZ$161,_xlpm.r,_xlpm.c),""),
  IF(OR(_xlpm.w="",_xlpm.v=""),"",_xlpm.v*_xlpm.w)
)</f>
        <v/>
      </c>
      <c r="BL137" s="93" t="str" cm="1">
        <f t="array" ref="BL137">_xlfn.LET(
  _xlpm.w, BL$11,
  _xlpm.r, MATCH(1,('3. Enter Indicator Scores'!$B$10:$B$161=$B137)*('3. Enter Indicator Scores'!$C$10:$C$161=$C137),0),
  _xlpm.c, MATCH(BL$8,'3. Enter Indicator Scores'!$D$8:$CZ$8,0),
  _xlpm.v, IFERROR(INDEX('3. Enter Indicator Scores'!$D$10:$CZ$161,_xlpm.r,_xlpm.c),""),
  IF(OR(_xlpm.w="",_xlpm.v=""),"",_xlpm.v*_xlpm.w)
)</f>
        <v/>
      </c>
      <c r="BM137" s="93" t="str" cm="1">
        <f t="array" ref="BM137">_xlfn.LET(
  _xlpm.w, BM$11,
  _xlpm.r, MATCH(1,('3. Enter Indicator Scores'!$B$10:$B$161=$B137)*('3. Enter Indicator Scores'!$C$10:$C$161=$C137),0),
  _xlpm.c, MATCH(BM$8,'3. Enter Indicator Scores'!$D$8:$CZ$8,0),
  _xlpm.v, IFERROR(INDEX('3. Enter Indicator Scores'!$D$10:$CZ$161,_xlpm.r,_xlpm.c),""),
  IF(OR(_xlpm.w="",_xlpm.v=""),"",_xlpm.v*_xlpm.w)
)</f>
        <v/>
      </c>
      <c r="BN137" s="93" t="str" cm="1">
        <f t="array" ref="BN137">_xlfn.LET(
  _xlpm.w, BN$11,
  _xlpm.r, MATCH(1,('3. Enter Indicator Scores'!$B$10:$B$161=$B137)*('3. Enter Indicator Scores'!$C$10:$C$161=$C137),0),
  _xlpm.c, MATCH(BN$8,'3. Enter Indicator Scores'!$D$8:$CZ$8,0),
  _xlpm.v, IFERROR(INDEX('3. Enter Indicator Scores'!$D$10:$CZ$161,_xlpm.r,_xlpm.c),""),
  IF(OR(_xlpm.w="",_xlpm.v=""),"",_xlpm.v*_xlpm.w)
)</f>
        <v/>
      </c>
      <c r="BO137" s="93" t="str" cm="1">
        <f t="array" ref="BO137">_xlfn.LET(
  _xlpm.w, BO$11,
  _xlpm.r, MATCH(1,('3. Enter Indicator Scores'!$B$10:$B$161=$B137)*('3. Enter Indicator Scores'!$C$10:$C$161=$C137),0),
  _xlpm.c, MATCH(BO$8,'3. Enter Indicator Scores'!$D$8:$CZ$8,0),
  _xlpm.v, IFERROR(INDEX('3. Enter Indicator Scores'!$D$10:$CZ$161,_xlpm.r,_xlpm.c),""),
  IF(OR(_xlpm.w="",_xlpm.v=""),"",_xlpm.v*_xlpm.w)
)</f>
        <v/>
      </c>
      <c r="BP137" s="93" t="str" cm="1">
        <f t="array" ref="BP137">_xlfn.LET(
  _xlpm.w, BP$11,
  _xlpm.r, MATCH(1,('3. Enter Indicator Scores'!$B$10:$B$161=$B137)*('3. Enter Indicator Scores'!$C$10:$C$161=$C137),0),
  _xlpm.c, MATCH(BP$8,'3. Enter Indicator Scores'!$D$8:$CZ$8,0),
  _xlpm.v, IFERROR(INDEX('3. Enter Indicator Scores'!$D$10:$CZ$161,_xlpm.r,_xlpm.c),""),
  IF(OR(_xlpm.w="",_xlpm.v=""),"",_xlpm.v*_xlpm.w)
)</f>
        <v/>
      </c>
      <c r="BQ137" s="93" t="str" cm="1">
        <f t="array" ref="BQ137">_xlfn.LET(
  _xlpm.w, BQ$11,
  _xlpm.r, MATCH(1,('3. Enter Indicator Scores'!$B$10:$B$161=$B137)*('3. Enter Indicator Scores'!$C$10:$C$161=$C137),0),
  _xlpm.c, MATCH(BQ$8,'3. Enter Indicator Scores'!$D$8:$CZ$8,0),
  _xlpm.v, IFERROR(INDEX('3. Enter Indicator Scores'!$D$10:$CZ$161,_xlpm.r,_xlpm.c),""),
  IF(OR(_xlpm.w="",_xlpm.v=""),"",_xlpm.v*_xlpm.w)
)</f>
        <v/>
      </c>
      <c r="BR137" s="93" t="str" cm="1">
        <f t="array" ref="BR137">_xlfn.LET(
  _xlpm.w, BR$11,
  _xlpm.r, MATCH(1,('3. Enter Indicator Scores'!$B$10:$B$161=$B137)*('3. Enter Indicator Scores'!$C$10:$C$161=$C137),0),
  _xlpm.c, MATCH(BR$8,'3. Enter Indicator Scores'!$D$8:$CZ$8,0),
  _xlpm.v, IFERROR(INDEX('3. Enter Indicator Scores'!$D$10:$CZ$161,_xlpm.r,_xlpm.c),""),
  IF(OR(_xlpm.w="",_xlpm.v=""),"",_xlpm.v*_xlpm.w)
)</f>
        <v/>
      </c>
      <c r="BS137" s="93" t="str" cm="1">
        <f t="array" ref="BS137">_xlfn.LET(
  _xlpm.w, BS$11,
  _xlpm.r, MATCH(1,('3. Enter Indicator Scores'!$B$10:$B$161=$B137)*('3. Enter Indicator Scores'!$C$10:$C$161=$C137),0),
  _xlpm.c, MATCH(BS$8,'3. Enter Indicator Scores'!$D$8:$CZ$8,0),
  _xlpm.v, IFERROR(INDEX('3. Enter Indicator Scores'!$D$10:$CZ$161,_xlpm.r,_xlpm.c),""),
  IF(OR(_xlpm.w="",_xlpm.v=""),"",_xlpm.v*_xlpm.w)
)</f>
        <v/>
      </c>
      <c r="BT137" s="93" t="str" cm="1">
        <f t="array" ref="BT137">_xlfn.LET(
  _xlpm.w, BT$11,
  _xlpm.r, MATCH(1,('3. Enter Indicator Scores'!$B$10:$B$161=$B137)*('3. Enter Indicator Scores'!$C$10:$C$161=$C137),0),
  _xlpm.c, MATCH(BT$8,'3. Enter Indicator Scores'!$D$8:$CZ$8,0),
  _xlpm.v, IFERROR(INDEX('3. Enter Indicator Scores'!$D$10:$CZ$161,_xlpm.r,_xlpm.c),""),
  IF(OR(_xlpm.w="",_xlpm.v=""),"",_xlpm.v*_xlpm.w)
)</f>
        <v/>
      </c>
      <c r="BU137" s="93" t="str" cm="1">
        <f t="array" ref="BU137">_xlfn.LET(
  _xlpm.w, BU$11,
  _xlpm.r, MATCH(1,('3. Enter Indicator Scores'!$B$10:$B$161=$B137)*('3. Enter Indicator Scores'!$C$10:$C$161=$C137),0),
  _xlpm.c, MATCH(BU$8,'3. Enter Indicator Scores'!$D$8:$CZ$8,0),
  _xlpm.v, IFERROR(INDEX('3. Enter Indicator Scores'!$D$10:$CZ$161,_xlpm.r,_xlpm.c),""),
  IF(OR(_xlpm.w="",_xlpm.v=""),"",_xlpm.v*_xlpm.w)
)</f>
        <v/>
      </c>
      <c r="BV137" s="93" t="str" cm="1">
        <f t="array" ref="BV137">_xlfn.LET(
  _xlpm.w, BV$11,
  _xlpm.r, MATCH(1,('3. Enter Indicator Scores'!$B$10:$B$161=$B137)*('3. Enter Indicator Scores'!$C$10:$C$161=$C137),0),
  _xlpm.c, MATCH(BV$8,'3. Enter Indicator Scores'!$D$8:$CZ$8,0),
  _xlpm.v, IFERROR(INDEX('3. Enter Indicator Scores'!$D$10:$CZ$161,_xlpm.r,_xlpm.c),""),
  IF(OR(_xlpm.w="",_xlpm.v=""),"",_xlpm.v*_xlpm.w)
)</f>
        <v/>
      </c>
      <c r="BW137" s="93" t="str" cm="1">
        <f t="array" ref="BW137">_xlfn.LET(
  _xlpm.w, BW$11,
  _xlpm.r, MATCH(1,('3. Enter Indicator Scores'!$B$10:$B$161=$B137)*('3. Enter Indicator Scores'!$C$10:$C$161=$C137),0),
  _xlpm.c, MATCH(BW$8,'3. Enter Indicator Scores'!$D$8:$CZ$8,0),
  _xlpm.v, IFERROR(INDEX('3. Enter Indicator Scores'!$D$10:$CZ$161,_xlpm.r,_xlpm.c),""),
  IF(OR(_xlpm.w="",_xlpm.v=""),"",_xlpm.v*_xlpm.w)
)</f>
        <v/>
      </c>
      <c r="BX137" s="93" t="str" cm="1">
        <f t="array" ref="BX137">_xlfn.LET(
  _xlpm.w, BX$11,
  _xlpm.r, MATCH(1,('3. Enter Indicator Scores'!$B$10:$B$161=$B137)*('3. Enter Indicator Scores'!$C$10:$C$161=$C137),0),
  _xlpm.c, MATCH(BX$8,'3. Enter Indicator Scores'!$D$8:$CZ$8,0),
  _xlpm.v, IFERROR(INDEX('3. Enter Indicator Scores'!$D$10:$CZ$161,_xlpm.r,_xlpm.c),""),
  IF(OR(_xlpm.w="",_xlpm.v=""),"",_xlpm.v*_xlpm.w)
)</f>
        <v/>
      </c>
      <c r="BY137" s="93" t="str" cm="1">
        <f t="array" ref="BY137">_xlfn.LET(
  _xlpm.w, BY$11,
  _xlpm.r, MATCH(1,('3. Enter Indicator Scores'!$B$10:$B$161=$B137)*('3. Enter Indicator Scores'!$C$10:$C$161=$C137),0),
  _xlpm.c, MATCH(BY$8,'3. Enter Indicator Scores'!$D$8:$CZ$8,0),
  _xlpm.v, IFERROR(INDEX('3. Enter Indicator Scores'!$D$10:$CZ$161,_xlpm.r,_xlpm.c),""),
  IF(OR(_xlpm.w="",_xlpm.v=""),"",_xlpm.v*_xlpm.w)
)</f>
        <v/>
      </c>
      <c r="BZ137" s="93" t="str" cm="1">
        <f t="array" ref="BZ137">_xlfn.LET(
  _xlpm.w, BZ$11,
  _xlpm.r, MATCH(1,('3. Enter Indicator Scores'!$B$10:$B$161=$B137)*('3. Enter Indicator Scores'!$C$10:$C$161=$C137),0),
  _xlpm.c, MATCH(BZ$8,'3. Enter Indicator Scores'!$D$8:$CZ$8,0),
  _xlpm.v, IFERROR(INDEX('3. Enter Indicator Scores'!$D$10:$CZ$161,_xlpm.r,_xlpm.c),""),
  IF(OR(_xlpm.w="",_xlpm.v=""),"",_xlpm.v*_xlpm.w)
)</f>
        <v/>
      </c>
      <c r="CA137" s="93" t="str" cm="1">
        <f t="array" ref="CA137">_xlfn.LET(
  _xlpm.w, CA$11,
  _xlpm.r, MATCH(1,('3. Enter Indicator Scores'!$B$10:$B$161=$B137)*('3. Enter Indicator Scores'!$C$10:$C$161=$C137),0),
  _xlpm.c, MATCH(CA$8,'3. Enter Indicator Scores'!$D$8:$CZ$8,0),
  _xlpm.v, IFERROR(INDEX('3. Enter Indicator Scores'!$D$10:$CZ$161,_xlpm.r,_xlpm.c),""),
  IF(OR(_xlpm.w="",_xlpm.v=""),"",_xlpm.v*_xlpm.w)
)</f>
        <v/>
      </c>
      <c r="CB137" s="93" t="str" cm="1">
        <f t="array" ref="CB137">_xlfn.LET(
  _xlpm.w, CB$11,
  _xlpm.r, MATCH(1,('3. Enter Indicator Scores'!$B$10:$B$161=$B137)*('3. Enter Indicator Scores'!$C$10:$C$161=$C137),0),
  _xlpm.c, MATCH(CB$8,'3. Enter Indicator Scores'!$D$8:$CZ$8,0),
  _xlpm.v, IFERROR(INDEX('3. Enter Indicator Scores'!$D$10:$CZ$161,_xlpm.r,_xlpm.c),""),
  IF(OR(_xlpm.w="",_xlpm.v=""),"",_xlpm.v*_xlpm.w)
)</f>
        <v/>
      </c>
      <c r="CC137" s="93" t="str" cm="1">
        <f t="array" ref="CC137">_xlfn.LET(
  _xlpm.w, CC$11,
  _xlpm.r, MATCH(1,('3. Enter Indicator Scores'!$B$10:$B$161=$B137)*('3. Enter Indicator Scores'!$C$10:$C$161=$C137),0),
  _xlpm.c, MATCH(CC$8,'3. Enter Indicator Scores'!$D$8:$CZ$8,0),
  _xlpm.v, IFERROR(INDEX('3. Enter Indicator Scores'!$D$10:$CZ$161,_xlpm.r,_xlpm.c),""),
  IF(OR(_xlpm.w="",_xlpm.v=""),"",_xlpm.v*_xlpm.w)
)</f>
        <v/>
      </c>
      <c r="CD137" s="93" t="str" cm="1">
        <f t="array" ref="CD137">_xlfn.LET(
  _xlpm.w, CD$11,
  _xlpm.r, MATCH(1,('3. Enter Indicator Scores'!$B$10:$B$161=$B137)*('3. Enter Indicator Scores'!$C$10:$C$161=$C137),0),
  _xlpm.c, MATCH(CD$8,'3. Enter Indicator Scores'!$D$8:$CZ$8,0),
  _xlpm.v, IFERROR(INDEX('3. Enter Indicator Scores'!$D$10:$CZ$161,_xlpm.r,_xlpm.c),""),
  IF(OR(_xlpm.w="",_xlpm.v=""),"",_xlpm.v*_xlpm.w)
)</f>
        <v/>
      </c>
      <c r="CE137" s="93" t="str" cm="1">
        <f t="array" ref="CE137">_xlfn.LET(
  _xlpm.w, CE$11,
  _xlpm.r, MATCH(1,('3. Enter Indicator Scores'!$B$10:$B$161=$B137)*('3. Enter Indicator Scores'!$C$10:$C$161=$C137),0),
  _xlpm.c, MATCH(CE$8,'3. Enter Indicator Scores'!$D$8:$CZ$8,0),
  _xlpm.v, IFERROR(INDEX('3. Enter Indicator Scores'!$D$10:$CZ$161,_xlpm.r,_xlpm.c),""),
  IF(OR(_xlpm.w="",_xlpm.v=""),"",_xlpm.v*_xlpm.w)
)</f>
        <v/>
      </c>
      <c r="CF137" s="93" t="str" cm="1">
        <f t="array" ref="CF137">_xlfn.LET(
  _xlpm.w, CF$11,
  _xlpm.r, MATCH(1,('3. Enter Indicator Scores'!$B$10:$B$161=$B137)*('3. Enter Indicator Scores'!$C$10:$C$161=$C137),0),
  _xlpm.c, MATCH(CF$8,'3. Enter Indicator Scores'!$D$8:$CZ$8,0),
  _xlpm.v, IFERROR(INDEX('3. Enter Indicator Scores'!$D$10:$CZ$161,_xlpm.r,_xlpm.c),""),
  IF(OR(_xlpm.w="",_xlpm.v=""),"",_xlpm.v*_xlpm.w)
)</f>
        <v/>
      </c>
      <c r="CG137" s="93" t="str" cm="1">
        <f t="array" ref="CG137">_xlfn.LET(
  _xlpm.w, CG$11,
  _xlpm.r, MATCH(1,('3. Enter Indicator Scores'!$B$10:$B$161=$B137)*('3. Enter Indicator Scores'!$C$10:$C$161=$C137),0),
  _xlpm.c, MATCH(CG$8,'3. Enter Indicator Scores'!$D$8:$CZ$8,0),
  _xlpm.v, IFERROR(INDEX('3. Enter Indicator Scores'!$D$10:$CZ$161,_xlpm.r,_xlpm.c),""),
  IF(OR(_xlpm.w="",_xlpm.v=""),"",_xlpm.v*_xlpm.w)
)</f>
        <v/>
      </c>
      <c r="CH137" s="93" t="str" cm="1">
        <f t="array" ref="CH137">_xlfn.LET(
  _xlpm.w, CH$11,
  _xlpm.r, MATCH(1,('3. Enter Indicator Scores'!$B$10:$B$161=$B137)*('3. Enter Indicator Scores'!$C$10:$C$161=$C137),0),
  _xlpm.c, MATCH(CH$8,'3. Enter Indicator Scores'!$D$8:$CZ$8,0),
  _xlpm.v, IFERROR(INDEX('3. Enter Indicator Scores'!$D$10:$CZ$161,_xlpm.r,_xlpm.c),""),
  IF(OR(_xlpm.w="",_xlpm.v=""),"",_xlpm.v*_xlpm.w)
)</f>
        <v/>
      </c>
      <c r="CI137" s="93" t="str" cm="1">
        <f t="array" ref="CI137">_xlfn.LET(
  _xlpm.w, CI$11,
  _xlpm.r, MATCH(1,('3. Enter Indicator Scores'!$B$10:$B$161=$B137)*('3. Enter Indicator Scores'!$C$10:$C$161=$C137),0),
  _xlpm.c, MATCH(CI$8,'3. Enter Indicator Scores'!$D$8:$CZ$8,0),
  _xlpm.v, IFERROR(INDEX('3. Enter Indicator Scores'!$D$10:$CZ$161,_xlpm.r,_xlpm.c),""),
  IF(OR(_xlpm.w="",_xlpm.v=""),"",_xlpm.v*_xlpm.w)
)</f>
        <v/>
      </c>
      <c r="CJ137" s="93" t="str" cm="1">
        <f t="array" ref="CJ137">_xlfn.LET(
  _xlpm.w, CJ$11,
  _xlpm.r, MATCH(1,('3. Enter Indicator Scores'!$B$10:$B$161=$B137)*('3. Enter Indicator Scores'!$C$10:$C$161=$C137),0),
  _xlpm.c, MATCH(CJ$8,'3. Enter Indicator Scores'!$D$8:$CZ$8,0),
  _xlpm.v, IFERROR(INDEX('3. Enter Indicator Scores'!$D$10:$CZ$161,_xlpm.r,_xlpm.c),""),
  IF(OR(_xlpm.w="",_xlpm.v=""),"",_xlpm.v*_xlpm.w)
)</f>
        <v/>
      </c>
      <c r="CK137" s="93" t="str" cm="1">
        <f t="array" ref="CK137">_xlfn.LET(
  _xlpm.w, CK$11,
  _xlpm.r, MATCH(1,('3. Enter Indicator Scores'!$B$10:$B$161=$B137)*('3. Enter Indicator Scores'!$C$10:$C$161=$C137),0),
  _xlpm.c, MATCH(CK$8,'3. Enter Indicator Scores'!$D$8:$CZ$8,0),
  _xlpm.v, IFERROR(INDEX('3. Enter Indicator Scores'!$D$10:$CZ$161,_xlpm.r,_xlpm.c),""),
  IF(OR(_xlpm.w="",_xlpm.v=""),"",_xlpm.v*_xlpm.w)
)</f>
        <v/>
      </c>
      <c r="CL137" s="93" t="str" cm="1">
        <f t="array" ref="CL137">_xlfn.LET(
  _xlpm.w, CL$11,
  _xlpm.r, MATCH(1,('3. Enter Indicator Scores'!$B$10:$B$161=$B137)*('3. Enter Indicator Scores'!$C$10:$C$161=$C137),0),
  _xlpm.c, MATCH(CL$8,'3. Enter Indicator Scores'!$D$8:$CZ$8,0),
  _xlpm.v, IFERROR(INDEX('3. Enter Indicator Scores'!$D$10:$CZ$161,_xlpm.r,_xlpm.c),""),
  IF(OR(_xlpm.w="",_xlpm.v=""),"",_xlpm.v*_xlpm.w)
)</f>
        <v/>
      </c>
      <c r="CM137" s="93" t="str" cm="1">
        <f t="array" ref="CM137">_xlfn.LET(
  _xlpm.w, CM$11,
  _xlpm.r, MATCH(1,('3. Enter Indicator Scores'!$B$10:$B$161=$B137)*('3. Enter Indicator Scores'!$C$10:$C$161=$C137),0),
  _xlpm.c, MATCH(CM$8,'3. Enter Indicator Scores'!$D$8:$CZ$8,0),
  _xlpm.v, IFERROR(INDEX('3. Enter Indicator Scores'!$D$10:$CZ$161,_xlpm.r,_xlpm.c),""),
  IF(OR(_xlpm.w="",_xlpm.v=""),"",_xlpm.v*_xlpm.w)
)</f>
        <v/>
      </c>
      <c r="CN137" s="93" t="str" cm="1">
        <f t="array" ref="CN137">_xlfn.LET(
  _xlpm.w, CN$11,
  _xlpm.r, MATCH(1,('3. Enter Indicator Scores'!$B$10:$B$161=$B137)*('3. Enter Indicator Scores'!$C$10:$C$161=$C137),0),
  _xlpm.c, MATCH(CN$8,'3. Enter Indicator Scores'!$D$8:$CZ$8,0),
  _xlpm.v, IFERROR(INDEX('3. Enter Indicator Scores'!$D$10:$CZ$161,_xlpm.r,_xlpm.c),""),
  IF(OR(_xlpm.w="",_xlpm.v=""),"",_xlpm.v*_xlpm.w)
)</f>
        <v/>
      </c>
      <c r="CO137" s="93" t="str" cm="1">
        <f t="array" ref="CO137">_xlfn.LET(
  _xlpm.w, CO$11,
  _xlpm.r, MATCH(1,('3. Enter Indicator Scores'!$B$10:$B$161=$B137)*('3. Enter Indicator Scores'!$C$10:$C$161=$C137),0),
  _xlpm.c, MATCH(CO$8,'3. Enter Indicator Scores'!$D$8:$CZ$8,0),
  _xlpm.v, IFERROR(INDEX('3. Enter Indicator Scores'!$D$10:$CZ$161,_xlpm.r,_xlpm.c),""),
  IF(OR(_xlpm.w="",_xlpm.v=""),"",_xlpm.v*_xlpm.w)
)</f>
        <v/>
      </c>
      <c r="CP137" s="93" t="str" cm="1">
        <f t="array" ref="CP137">_xlfn.LET(
  _xlpm.w, CP$11,
  _xlpm.r, MATCH(1,('3. Enter Indicator Scores'!$B$10:$B$161=$B137)*('3. Enter Indicator Scores'!$C$10:$C$161=$C137),0),
  _xlpm.c, MATCH(CP$8,'3. Enter Indicator Scores'!$D$8:$CZ$8,0),
  _xlpm.v, IFERROR(INDEX('3. Enter Indicator Scores'!$D$10:$CZ$161,_xlpm.r,_xlpm.c),""),
  IF(OR(_xlpm.w="",_xlpm.v=""),"",_xlpm.v*_xlpm.w)
)</f>
        <v/>
      </c>
      <c r="CQ137" s="93" t="str" cm="1">
        <f t="array" ref="CQ137">_xlfn.LET(
  _xlpm.w, CQ$11,
  _xlpm.r, MATCH(1,('3. Enter Indicator Scores'!$B$10:$B$161=$B137)*('3. Enter Indicator Scores'!$C$10:$C$161=$C137),0),
  _xlpm.c, MATCH(CQ$8,'3. Enter Indicator Scores'!$D$8:$CZ$8,0),
  _xlpm.v, IFERROR(INDEX('3. Enter Indicator Scores'!$D$10:$CZ$161,_xlpm.r,_xlpm.c),""),
  IF(OR(_xlpm.w="",_xlpm.v=""),"",_xlpm.v*_xlpm.w)
)</f>
        <v/>
      </c>
      <c r="CR137" s="93" t="str" cm="1">
        <f t="array" ref="CR137">_xlfn.LET(
  _xlpm.w, CR$11,
  _xlpm.r, MATCH(1,('3. Enter Indicator Scores'!$B$10:$B$161=$B137)*('3. Enter Indicator Scores'!$C$10:$C$161=$C137),0),
  _xlpm.c, MATCH(CR$8,'3. Enter Indicator Scores'!$D$8:$CZ$8,0),
  _xlpm.v, IFERROR(INDEX('3. Enter Indicator Scores'!$D$10:$CZ$161,_xlpm.r,_xlpm.c),""),
  IF(OR(_xlpm.w="",_xlpm.v=""),"",_xlpm.v*_xlpm.w)
)</f>
        <v/>
      </c>
      <c r="CS137" s="93" t="str" cm="1">
        <f t="array" ref="CS137">_xlfn.LET(
  _xlpm.w, CS$11,
  _xlpm.r, MATCH(1,('3. Enter Indicator Scores'!$B$10:$B$161=$B137)*('3. Enter Indicator Scores'!$C$10:$C$161=$C137),0),
  _xlpm.c, MATCH(CS$8,'3. Enter Indicator Scores'!$D$8:$CZ$8,0),
  _xlpm.v, IFERROR(INDEX('3. Enter Indicator Scores'!$D$10:$CZ$161,_xlpm.r,_xlpm.c),""),
  IF(OR(_xlpm.w="",_xlpm.v=""),"",_xlpm.v*_xlpm.w)
)</f>
        <v/>
      </c>
      <c r="CT137" s="93" t="str" cm="1">
        <f t="array" ref="CT137">_xlfn.LET(
  _xlpm.w, CT$11,
  _xlpm.r, MATCH(1,('3. Enter Indicator Scores'!$B$10:$B$161=$B137)*('3. Enter Indicator Scores'!$C$10:$C$161=$C137),0),
  _xlpm.c, MATCH(CT$8,'3. Enter Indicator Scores'!$D$8:$CZ$8,0),
  _xlpm.v, IFERROR(INDEX('3. Enter Indicator Scores'!$D$10:$CZ$161,_xlpm.r,_xlpm.c),""),
  IF(OR(_xlpm.w="",_xlpm.v=""),"",_xlpm.v*_xlpm.w)
)</f>
        <v/>
      </c>
      <c r="CU137" s="93" t="str" cm="1">
        <f t="array" ref="CU137">_xlfn.LET(
  _xlpm.w, CU$11,
  _xlpm.r, MATCH(1,('3. Enter Indicator Scores'!$B$10:$B$161=$B137)*('3. Enter Indicator Scores'!$C$10:$C$161=$C137),0),
  _xlpm.c, MATCH(CU$8,'3. Enter Indicator Scores'!$D$8:$CZ$8,0),
  _xlpm.v, IFERROR(INDEX('3. Enter Indicator Scores'!$D$10:$CZ$161,_xlpm.r,_xlpm.c),""),
  IF(OR(_xlpm.w="",_xlpm.v=""),"",_xlpm.v*_xlpm.w)
)</f>
        <v/>
      </c>
      <c r="CV137" s="93" t="str" cm="1">
        <f t="array" ref="CV137">_xlfn.LET(
  _xlpm.w, CV$11,
  _xlpm.r, MATCH(1,('3. Enter Indicator Scores'!$B$10:$B$161=$B137)*('3. Enter Indicator Scores'!$C$10:$C$161=$C137),0),
  _xlpm.c, MATCH(CV$8,'3. Enter Indicator Scores'!$D$8:$CZ$8,0),
  _xlpm.v, IFERROR(INDEX('3. Enter Indicator Scores'!$D$10:$CZ$161,_xlpm.r,_xlpm.c),""),
  IF(OR(_xlpm.w="",_xlpm.v=""),"",_xlpm.v*_xlpm.w)
)</f>
        <v/>
      </c>
      <c r="CW137" s="93" t="str" cm="1">
        <f t="array" ref="CW137">_xlfn.LET(
  _xlpm.w, CW$11,
  _xlpm.r, MATCH(1,('3. Enter Indicator Scores'!$B$10:$B$161=$B137)*('3. Enter Indicator Scores'!$C$10:$C$161=$C137),0),
  _xlpm.c, MATCH(CW$8,'3. Enter Indicator Scores'!$D$8:$CZ$8,0),
  _xlpm.v, IFERROR(INDEX('3. Enter Indicator Scores'!$D$10:$CZ$161,_xlpm.r,_xlpm.c),""),
  IF(OR(_xlpm.w="",_xlpm.v=""),"",_xlpm.v*_xlpm.w)
)</f>
        <v/>
      </c>
      <c r="CX137" s="93" t="str" cm="1">
        <f t="array" ref="CX137">_xlfn.LET(
  _xlpm.w, CX$11,
  _xlpm.r, MATCH(1,('3. Enter Indicator Scores'!$B$10:$B$161=$B137)*('3. Enter Indicator Scores'!$C$10:$C$161=$C137),0),
  _xlpm.c, MATCH(CX$8,'3. Enter Indicator Scores'!$D$8:$CZ$8,0),
  _xlpm.v, IFERROR(INDEX('3. Enter Indicator Scores'!$D$10:$CZ$161,_xlpm.r,_xlpm.c),""),
  IF(OR(_xlpm.w="",_xlpm.v=""),"",_xlpm.v*_xlpm.w)
)</f>
        <v/>
      </c>
      <c r="CY137" s="93" t="str" cm="1">
        <f t="array" ref="CY137">_xlfn.LET(
  _xlpm.w, CY$11,
  _xlpm.r, MATCH(1,('3. Enter Indicator Scores'!$B$10:$B$161=$B137)*('3. Enter Indicator Scores'!$C$10:$C$161=$C137),0),
  _xlpm.c, MATCH(CY$8,'3. Enter Indicator Scores'!$D$8:$CZ$8,0),
  _xlpm.v, IFERROR(INDEX('3. Enter Indicator Scores'!$D$10:$CZ$161,_xlpm.r,_xlpm.c),""),
  IF(OR(_xlpm.w="",_xlpm.v=""),"",_xlpm.v*_xlpm.w)
)</f>
        <v/>
      </c>
      <c r="CZ137" s="93" t="str" cm="1">
        <f t="array" ref="CZ137">_xlfn.LET(
  _xlpm.w, CZ$11,
  _xlpm.r, MATCH(1,('3. Enter Indicator Scores'!$B$10:$B$161=$B137)*('3. Enter Indicator Scores'!$C$10:$C$161=$C137),0),
  _xlpm.c, MATCH(CZ$8,'3. Enter Indicator Scores'!$D$8:$CZ$8,0),
  _xlpm.v, IFERROR(INDEX('3. Enter Indicator Scores'!$D$10:$CZ$161,_xlpm.r,_xlpm.c),""),
  IF(OR(_xlpm.w="",_xlpm.v=""),"",_xlpm.v*_xlpm.w)
)</f>
        <v/>
      </c>
    </row>
    <row r="138" spans="4:104" x14ac:dyDescent="0.2">
      <c r="D138" s="93" t="str" cm="1">
        <f t="array" ref="D138">_xlfn.LET(
  _xlpm.w, D$11,
  _xlpm.r, MATCH(1,('3. Enter Indicator Scores'!$B$10:$B$161=$B138)*('3. Enter Indicator Scores'!$C$10:$C$161=$C138),0),
  _xlpm.c, MATCH(D$8,'3. Enter Indicator Scores'!$D$8:$CZ$8,0),
  _xlpm.v, IFERROR(INDEX('3. Enter Indicator Scores'!$D$10:$CZ$161,_xlpm.r,_xlpm.c),""),
  IF(OR(_xlpm.w="",_xlpm.v=""),"",_xlpm.v*_xlpm.w)
)</f>
        <v/>
      </c>
      <c r="E138" s="93" t="str" cm="1">
        <f t="array" ref="E138">_xlfn.LET(
  _xlpm.w, E$11,
  _xlpm.r, MATCH(1,('3. Enter Indicator Scores'!$B$10:$B$161=$B138)*('3. Enter Indicator Scores'!$C$10:$C$161=$C138),0),
  _xlpm.c, MATCH(E$8,'3. Enter Indicator Scores'!$D$8:$CZ$8,0),
  _xlpm.v, IFERROR(INDEX('3. Enter Indicator Scores'!$D$10:$CZ$161,_xlpm.r,_xlpm.c),""),
  IF(OR(_xlpm.w="",_xlpm.v=""),"",_xlpm.v*_xlpm.w)
)</f>
        <v/>
      </c>
      <c r="F138" s="93" t="str" cm="1">
        <f t="array" ref="F138">_xlfn.LET(
  _xlpm.w, F$11,
  _xlpm.r, MATCH(1,('3. Enter Indicator Scores'!$B$10:$B$161=$B138)*('3. Enter Indicator Scores'!$C$10:$C$161=$C138),0),
  _xlpm.c, MATCH(F$8,'3. Enter Indicator Scores'!$D$8:$CZ$8,0),
  _xlpm.v, IFERROR(INDEX('3. Enter Indicator Scores'!$D$10:$CZ$161,_xlpm.r,_xlpm.c),""),
  IF(OR(_xlpm.w="",_xlpm.v=""),"",_xlpm.v*_xlpm.w)
)</f>
        <v/>
      </c>
      <c r="G138" s="93" t="str" cm="1">
        <f t="array" ref="G138">_xlfn.LET(
  _xlpm.w, G$11,
  _xlpm.r, MATCH(1,('3. Enter Indicator Scores'!$B$10:$B$161=$B138)*('3. Enter Indicator Scores'!$C$10:$C$161=$C138),0),
  _xlpm.c, MATCH(G$8,'3. Enter Indicator Scores'!$D$8:$CZ$8,0),
  _xlpm.v, IFERROR(INDEX('3. Enter Indicator Scores'!$D$10:$CZ$161,_xlpm.r,_xlpm.c),""),
  IF(OR(_xlpm.w="",_xlpm.v=""),"",_xlpm.v*_xlpm.w)
)</f>
        <v/>
      </c>
      <c r="H138" s="93" t="str" cm="1">
        <f t="array" ref="H138">_xlfn.LET(
  _xlpm.w, H$11,
  _xlpm.r, MATCH(1,('3. Enter Indicator Scores'!$B$10:$B$161=$B138)*('3. Enter Indicator Scores'!$C$10:$C$161=$C138),0),
  _xlpm.c, MATCH(H$8,'3. Enter Indicator Scores'!$D$8:$CZ$8,0),
  _xlpm.v, IFERROR(INDEX('3. Enter Indicator Scores'!$D$10:$CZ$161,_xlpm.r,_xlpm.c),""),
  IF(OR(_xlpm.w="",_xlpm.v=""),"",_xlpm.v*_xlpm.w)
)</f>
        <v/>
      </c>
      <c r="I138" s="93" t="str" cm="1">
        <f t="array" ref="I138">_xlfn.LET(
  _xlpm.w, I$11,
  _xlpm.r, MATCH(1,('3. Enter Indicator Scores'!$B$10:$B$161=$B138)*('3. Enter Indicator Scores'!$C$10:$C$161=$C138),0),
  _xlpm.c, MATCH(I$8,'3. Enter Indicator Scores'!$D$8:$CZ$8,0),
  _xlpm.v, IFERROR(INDEX('3. Enter Indicator Scores'!$D$10:$CZ$161,_xlpm.r,_xlpm.c),""),
  IF(OR(_xlpm.w="",_xlpm.v=""),"",_xlpm.v*_xlpm.w)
)</f>
        <v/>
      </c>
      <c r="J138" s="93" t="str" cm="1">
        <f t="array" ref="J138">_xlfn.LET(
  _xlpm.w, J$11,
  _xlpm.r, MATCH(1,('3. Enter Indicator Scores'!$B$10:$B$161=$B138)*('3. Enter Indicator Scores'!$C$10:$C$161=$C138),0),
  _xlpm.c, MATCH(J$8,'3. Enter Indicator Scores'!$D$8:$CZ$8,0),
  _xlpm.v, IFERROR(INDEX('3. Enter Indicator Scores'!$D$10:$CZ$161,_xlpm.r,_xlpm.c),""),
  IF(OR(_xlpm.w="",_xlpm.v=""),"",_xlpm.v*_xlpm.w)
)</f>
        <v/>
      </c>
      <c r="K138" s="93" t="str" cm="1">
        <f t="array" ref="K138">_xlfn.LET(
  _xlpm.w, K$11,
  _xlpm.r, MATCH(1,('3. Enter Indicator Scores'!$B$10:$B$161=$B138)*('3. Enter Indicator Scores'!$C$10:$C$161=$C138),0),
  _xlpm.c, MATCH(K$8,'3. Enter Indicator Scores'!$D$8:$CZ$8,0),
  _xlpm.v, IFERROR(INDEX('3. Enter Indicator Scores'!$D$10:$CZ$161,_xlpm.r,_xlpm.c),""),
  IF(OR(_xlpm.w="",_xlpm.v=""),"",_xlpm.v*_xlpm.w)
)</f>
        <v/>
      </c>
      <c r="L138" s="93" t="str" cm="1">
        <f t="array" ref="L138">_xlfn.LET(
  _xlpm.w, L$11,
  _xlpm.r, MATCH(1,('3. Enter Indicator Scores'!$B$10:$B$161=$B138)*('3. Enter Indicator Scores'!$C$10:$C$161=$C138),0),
  _xlpm.c, MATCH(L$8,'3. Enter Indicator Scores'!$D$8:$CZ$8,0),
  _xlpm.v, IFERROR(INDEX('3. Enter Indicator Scores'!$D$10:$CZ$161,_xlpm.r,_xlpm.c),""),
  IF(OR(_xlpm.w="",_xlpm.v=""),"",_xlpm.v*_xlpm.w)
)</f>
        <v/>
      </c>
      <c r="M138" s="93" t="str" cm="1">
        <f t="array" ref="M138">_xlfn.LET(
  _xlpm.w, M$11,
  _xlpm.r, MATCH(1,('3. Enter Indicator Scores'!$B$10:$B$161=$B138)*('3. Enter Indicator Scores'!$C$10:$C$161=$C138),0),
  _xlpm.c, MATCH(M$8,'3. Enter Indicator Scores'!$D$8:$CZ$8,0),
  _xlpm.v, IFERROR(INDEX('3. Enter Indicator Scores'!$D$10:$CZ$161,_xlpm.r,_xlpm.c),""),
  IF(OR(_xlpm.w="",_xlpm.v=""),"",_xlpm.v*_xlpm.w)
)</f>
        <v/>
      </c>
      <c r="N138" s="93" t="str" cm="1">
        <f t="array" ref="N138">_xlfn.LET(
  _xlpm.w, N$11,
  _xlpm.r, MATCH(1,('3. Enter Indicator Scores'!$B$10:$B$161=$B138)*('3. Enter Indicator Scores'!$C$10:$C$161=$C138),0),
  _xlpm.c, MATCH(N$8,'3. Enter Indicator Scores'!$D$8:$CZ$8,0),
  _xlpm.v, IFERROR(INDEX('3. Enter Indicator Scores'!$D$10:$CZ$161,_xlpm.r,_xlpm.c),""),
  IF(OR(_xlpm.w="",_xlpm.v=""),"",_xlpm.v*_xlpm.w)
)</f>
        <v/>
      </c>
      <c r="O138" s="93" t="str" cm="1">
        <f t="array" ref="O138">_xlfn.LET(
  _xlpm.w, O$11,
  _xlpm.r, MATCH(1,('3. Enter Indicator Scores'!$B$10:$B$161=$B138)*('3. Enter Indicator Scores'!$C$10:$C$161=$C138),0),
  _xlpm.c, MATCH(O$8,'3. Enter Indicator Scores'!$D$8:$CZ$8,0),
  _xlpm.v, IFERROR(INDEX('3. Enter Indicator Scores'!$D$10:$CZ$161,_xlpm.r,_xlpm.c),""),
  IF(OR(_xlpm.w="",_xlpm.v=""),"",_xlpm.v*_xlpm.w)
)</f>
        <v/>
      </c>
      <c r="P138" s="93" t="str" cm="1">
        <f t="array" ref="P138">_xlfn.LET(
  _xlpm.w, P$11,
  _xlpm.r, MATCH(1,('3. Enter Indicator Scores'!$B$10:$B$161=$B138)*('3. Enter Indicator Scores'!$C$10:$C$161=$C138),0),
  _xlpm.c, MATCH(P$8,'3. Enter Indicator Scores'!$D$8:$CZ$8,0),
  _xlpm.v, IFERROR(INDEX('3. Enter Indicator Scores'!$D$10:$CZ$161,_xlpm.r,_xlpm.c),""),
  IF(OR(_xlpm.w="",_xlpm.v=""),"",_xlpm.v*_xlpm.w)
)</f>
        <v/>
      </c>
      <c r="Q138" s="93" t="str" cm="1">
        <f t="array" ref="Q138">_xlfn.LET(
  _xlpm.w, Q$11,
  _xlpm.r, MATCH(1,('3. Enter Indicator Scores'!$B$10:$B$161=$B138)*('3. Enter Indicator Scores'!$C$10:$C$161=$C138),0),
  _xlpm.c, MATCH(Q$8,'3. Enter Indicator Scores'!$D$8:$CZ$8,0),
  _xlpm.v, IFERROR(INDEX('3. Enter Indicator Scores'!$D$10:$CZ$161,_xlpm.r,_xlpm.c),""),
  IF(OR(_xlpm.w="",_xlpm.v=""),"",_xlpm.v*_xlpm.w)
)</f>
        <v/>
      </c>
      <c r="R138" s="93" t="str" cm="1">
        <f t="array" ref="R138">_xlfn.LET(
  _xlpm.w, R$11,
  _xlpm.r, MATCH(1,('3. Enter Indicator Scores'!$B$10:$B$161=$B138)*('3. Enter Indicator Scores'!$C$10:$C$161=$C138),0),
  _xlpm.c, MATCH(R$8,'3. Enter Indicator Scores'!$D$8:$CZ$8,0),
  _xlpm.v, IFERROR(INDEX('3. Enter Indicator Scores'!$D$10:$CZ$161,_xlpm.r,_xlpm.c),""),
  IF(OR(_xlpm.w="",_xlpm.v=""),"",_xlpm.v*_xlpm.w)
)</f>
        <v/>
      </c>
      <c r="S138" s="93" t="str" cm="1">
        <f t="array" ref="S138">_xlfn.LET(
  _xlpm.w, S$11,
  _xlpm.r, MATCH(1,('3. Enter Indicator Scores'!$B$10:$B$161=$B138)*('3. Enter Indicator Scores'!$C$10:$C$161=$C138),0),
  _xlpm.c, MATCH(S$8,'3. Enter Indicator Scores'!$D$8:$CZ$8,0),
  _xlpm.v, IFERROR(INDEX('3. Enter Indicator Scores'!$D$10:$CZ$161,_xlpm.r,_xlpm.c),""),
  IF(OR(_xlpm.w="",_xlpm.v=""),"",_xlpm.v*_xlpm.w)
)</f>
        <v/>
      </c>
      <c r="T138" s="93" t="str" cm="1">
        <f t="array" ref="T138">_xlfn.LET(
  _xlpm.w, T$11,
  _xlpm.r, MATCH(1,('3. Enter Indicator Scores'!$B$10:$B$161=$B138)*('3. Enter Indicator Scores'!$C$10:$C$161=$C138),0),
  _xlpm.c, MATCH(T$8,'3. Enter Indicator Scores'!$D$8:$CZ$8,0),
  _xlpm.v, IFERROR(INDEX('3. Enter Indicator Scores'!$D$10:$CZ$161,_xlpm.r,_xlpm.c),""),
  IF(OR(_xlpm.w="",_xlpm.v=""),"",_xlpm.v*_xlpm.w)
)</f>
        <v/>
      </c>
      <c r="U138" s="93" t="str" cm="1">
        <f t="array" ref="U138">_xlfn.LET(
  _xlpm.w, U$11,
  _xlpm.r, MATCH(1,('3. Enter Indicator Scores'!$B$10:$B$161=$B138)*('3. Enter Indicator Scores'!$C$10:$C$161=$C138),0),
  _xlpm.c, MATCH(U$8,'3. Enter Indicator Scores'!$D$8:$CZ$8,0),
  _xlpm.v, IFERROR(INDEX('3. Enter Indicator Scores'!$D$10:$CZ$161,_xlpm.r,_xlpm.c),""),
  IF(OR(_xlpm.w="",_xlpm.v=""),"",_xlpm.v*_xlpm.w)
)</f>
        <v/>
      </c>
      <c r="V138" s="93" t="str" cm="1">
        <f t="array" ref="V138">_xlfn.LET(
  _xlpm.w, V$11,
  _xlpm.r, MATCH(1,('3. Enter Indicator Scores'!$B$10:$B$161=$B138)*('3. Enter Indicator Scores'!$C$10:$C$161=$C138),0),
  _xlpm.c, MATCH(V$8,'3. Enter Indicator Scores'!$D$8:$CZ$8,0),
  _xlpm.v, IFERROR(INDEX('3. Enter Indicator Scores'!$D$10:$CZ$161,_xlpm.r,_xlpm.c),""),
  IF(OR(_xlpm.w="",_xlpm.v=""),"",_xlpm.v*_xlpm.w)
)</f>
        <v/>
      </c>
      <c r="W138" s="93" t="str" cm="1">
        <f t="array" ref="W138">_xlfn.LET(
  _xlpm.w, W$11,
  _xlpm.r, MATCH(1,('3. Enter Indicator Scores'!$B$10:$B$161=$B138)*('3. Enter Indicator Scores'!$C$10:$C$161=$C138),0),
  _xlpm.c, MATCH(W$8,'3. Enter Indicator Scores'!$D$8:$CZ$8,0),
  _xlpm.v, IFERROR(INDEX('3. Enter Indicator Scores'!$D$10:$CZ$161,_xlpm.r,_xlpm.c),""),
  IF(OR(_xlpm.w="",_xlpm.v=""),"",_xlpm.v*_xlpm.w)
)</f>
        <v/>
      </c>
      <c r="X138" s="93" t="str" cm="1">
        <f t="array" ref="X138">_xlfn.LET(
  _xlpm.w, X$11,
  _xlpm.r, MATCH(1,('3. Enter Indicator Scores'!$B$10:$B$161=$B138)*('3. Enter Indicator Scores'!$C$10:$C$161=$C138),0),
  _xlpm.c, MATCH(X$8,'3. Enter Indicator Scores'!$D$8:$CZ$8,0),
  _xlpm.v, IFERROR(INDEX('3. Enter Indicator Scores'!$D$10:$CZ$161,_xlpm.r,_xlpm.c),""),
  IF(OR(_xlpm.w="",_xlpm.v=""),"",_xlpm.v*_xlpm.w)
)</f>
        <v/>
      </c>
      <c r="Y138" s="93" t="str" cm="1">
        <f t="array" ref="Y138">_xlfn.LET(
  _xlpm.w, Y$11,
  _xlpm.r, MATCH(1,('3. Enter Indicator Scores'!$B$10:$B$161=$B138)*('3. Enter Indicator Scores'!$C$10:$C$161=$C138),0),
  _xlpm.c, MATCH(Y$8,'3. Enter Indicator Scores'!$D$8:$CZ$8,0),
  _xlpm.v, IFERROR(INDEX('3. Enter Indicator Scores'!$D$10:$CZ$161,_xlpm.r,_xlpm.c),""),
  IF(OR(_xlpm.w="",_xlpm.v=""),"",_xlpm.v*_xlpm.w)
)</f>
        <v/>
      </c>
      <c r="Z138" s="93" t="str" cm="1">
        <f t="array" ref="Z138">_xlfn.LET(
  _xlpm.w, Z$11,
  _xlpm.r, MATCH(1,('3. Enter Indicator Scores'!$B$10:$B$161=$B138)*('3. Enter Indicator Scores'!$C$10:$C$161=$C138),0),
  _xlpm.c, MATCH(Z$8,'3. Enter Indicator Scores'!$D$8:$CZ$8,0),
  _xlpm.v, IFERROR(INDEX('3. Enter Indicator Scores'!$D$10:$CZ$161,_xlpm.r,_xlpm.c),""),
  IF(OR(_xlpm.w="",_xlpm.v=""),"",_xlpm.v*_xlpm.w)
)</f>
        <v/>
      </c>
      <c r="AA138" s="93" t="str" cm="1">
        <f t="array" ref="AA138">_xlfn.LET(
  _xlpm.w, AA$11,
  _xlpm.r, MATCH(1,('3. Enter Indicator Scores'!$B$10:$B$161=$B138)*('3. Enter Indicator Scores'!$C$10:$C$161=$C138),0),
  _xlpm.c, MATCH(AA$8,'3. Enter Indicator Scores'!$D$8:$CZ$8,0),
  _xlpm.v, IFERROR(INDEX('3. Enter Indicator Scores'!$D$10:$CZ$161,_xlpm.r,_xlpm.c),""),
  IF(OR(_xlpm.w="",_xlpm.v=""),"",_xlpm.v*_xlpm.w)
)</f>
        <v/>
      </c>
      <c r="AB138" s="93" t="str" cm="1">
        <f t="array" ref="AB138">_xlfn.LET(
  _xlpm.w, AB$11,
  _xlpm.r, MATCH(1,('3. Enter Indicator Scores'!$B$10:$B$161=$B138)*('3. Enter Indicator Scores'!$C$10:$C$161=$C138),0),
  _xlpm.c, MATCH(AB$8,'3. Enter Indicator Scores'!$D$8:$CZ$8,0),
  _xlpm.v, IFERROR(INDEX('3. Enter Indicator Scores'!$D$10:$CZ$161,_xlpm.r,_xlpm.c),""),
  IF(OR(_xlpm.w="",_xlpm.v=""),"",_xlpm.v*_xlpm.w)
)</f>
        <v/>
      </c>
      <c r="AC138" s="93" t="str" cm="1">
        <f t="array" ref="AC138">_xlfn.LET(
  _xlpm.w, AC$11,
  _xlpm.r, MATCH(1,('3. Enter Indicator Scores'!$B$10:$B$161=$B138)*('3. Enter Indicator Scores'!$C$10:$C$161=$C138),0),
  _xlpm.c, MATCH(AC$8,'3. Enter Indicator Scores'!$D$8:$CZ$8,0),
  _xlpm.v, IFERROR(INDEX('3. Enter Indicator Scores'!$D$10:$CZ$161,_xlpm.r,_xlpm.c),""),
  IF(OR(_xlpm.w="",_xlpm.v=""),"",_xlpm.v*_xlpm.w)
)</f>
        <v/>
      </c>
      <c r="AD138" s="93" t="str" cm="1">
        <f t="array" ref="AD138">_xlfn.LET(
  _xlpm.w, AD$11,
  _xlpm.r, MATCH(1,('3. Enter Indicator Scores'!$B$10:$B$161=$B138)*('3. Enter Indicator Scores'!$C$10:$C$161=$C138),0),
  _xlpm.c, MATCH(AD$8,'3. Enter Indicator Scores'!$D$8:$CZ$8,0),
  _xlpm.v, IFERROR(INDEX('3. Enter Indicator Scores'!$D$10:$CZ$161,_xlpm.r,_xlpm.c),""),
  IF(OR(_xlpm.w="",_xlpm.v=""),"",_xlpm.v*_xlpm.w)
)</f>
        <v/>
      </c>
      <c r="AE138" s="93" t="str" cm="1">
        <f t="array" ref="AE138">_xlfn.LET(
  _xlpm.w, AE$11,
  _xlpm.r, MATCH(1,('3. Enter Indicator Scores'!$B$10:$B$161=$B138)*('3. Enter Indicator Scores'!$C$10:$C$161=$C138),0),
  _xlpm.c, MATCH(AE$8,'3. Enter Indicator Scores'!$D$8:$CZ$8,0),
  _xlpm.v, IFERROR(INDEX('3. Enter Indicator Scores'!$D$10:$CZ$161,_xlpm.r,_xlpm.c),""),
  IF(OR(_xlpm.w="",_xlpm.v=""),"",_xlpm.v*_xlpm.w)
)</f>
        <v/>
      </c>
      <c r="AF138" s="93" t="str" cm="1">
        <f t="array" ref="AF138">_xlfn.LET(
  _xlpm.w, AF$11,
  _xlpm.r, MATCH(1,('3. Enter Indicator Scores'!$B$10:$B$161=$B138)*('3. Enter Indicator Scores'!$C$10:$C$161=$C138),0),
  _xlpm.c, MATCH(AF$8,'3. Enter Indicator Scores'!$D$8:$CZ$8,0),
  _xlpm.v, IFERROR(INDEX('3. Enter Indicator Scores'!$D$10:$CZ$161,_xlpm.r,_xlpm.c),""),
  IF(OR(_xlpm.w="",_xlpm.v=""),"",_xlpm.v*_xlpm.w)
)</f>
        <v/>
      </c>
      <c r="AG138" s="93" t="str" cm="1">
        <f t="array" ref="AG138">_xlfn.LET(
  _xlpm.w, AG$11,
  _xlpm.r, MATCH(1,('3. Enter Indicator Scores'!$B$10:$B$161=$B138)*('3. Enter Indicator Scores'!$C$10:$C$161=$C138),0),
  _xlpm.c, MATCH(AG$8,'3. Enter Indicator Scores'!$D$8:$CZ$8,0),
  _xlpm.v, IFERROR(INDEX('3. Enter Indicator Scores'!$D$10:$CZ$161,_xlpm.r,_xlpm.c),""),
  IF(OR(_xlpm.w="",_xlpm.v=""),"",_xlpm.v*_xlpm.w)
)</f>
        <v/>
      </c>
      <c r="AH138" s="93" t="str" cm="1">
        <f t="array" ref="AH138">_xlfn.LET(
  _xlpm.w, AH$11,
  _xlpm.r, MATCH(1,('3. Enter Indicator Scores'!$B$10:$B$161=$B138)*('3. Enter Indicator Scores'!$C$10:$C$161=$C138),0),
  _xlpm.c, MATCH(AH$8,'3. Enter Indicator Scores'!$D$8:$CZ$8,0),
  _xlpm.v, IFERROR(INDEX('3. Enter Indicator Scores'!$D$10:$CZ$161,_xlpm.r,_xlpm.c),""),
  IF(OR(_xlpm.w="",_xlpm.v=""),"",_xlpm.v*_xlpm.w)
)</f>
        <v/>
      </c>
      <c r="AI138" s="93" t="str" cm="1">
        <f t="array" ref="AI138">_xlfn.LET(
  _xlpm.w, AI$11,
  _xlpm.r, MATCH(1,('3. Enter Indicator Scores'!$B$10:$B$161=$B138)*('3. Enter Indicator Scores'!$C$10:$C$161=$C138),0),
  _xlpm.c, MATCH(AI$8,'3. Enter Indicator Scores'!$D$8:$CZ$8,0),
  _xlpm.v, IFERROR(INDEX('3. Enter Indicator Scores'!$D$10:$CZ$161,_xlpm.r,_xlpm.c),""),
  IF(OR(_xlpm.w="",_xlpm.v=""),"",_xlpm.v*_xlpm.w)
)</f>
        <v/>
      </c>
      <c r="AJ138" s="93" t="str" cm="1">
        <f t="array" ref="AJ138">_xlfn.LET(
  _xlpm.w, AJ$11,
  _xlpm.r, MATCH(1,('3. Enter Indicator Scores'!$B$10:$B$161=$B138)*('3. Enter Indicator Scores'!$C$10:$C$161=$C138),0),
  _xlpm.c, MATCH(AJ$8,'3. Enter Indicator Scores'!$D$8:$CZ$8,0),
  _xlpm.v, IFERROR(INDEX('3. Enter Indicator Scores'!$D$10:$CZ$161,_xlpm.r,_xlpm.c),""),
  IF(OR(_xlpm.w="",_xlpm.v=""),"",_xlpm.v*_xlpm.w)
)</f>
        <v/>
      </c>
      <c r="AK138" s="93" t="str" cm="1">
        <f t="array" ref="AK138">_xlfn.LET(
  _xlpm.w, AK$11,
  _xlpm.r, MATCH(1,('3. Enter Indicator Scores'!$B$10:$B$161=$B138)*('3. Enter Indicator Scores'!$C$10:$C$161=$C138),0),
  _xlpm.c, MATCH(AK$8,'3. Enter Indicator Scores'!$D$8:$CZ$8,0),
  _xlpm.v, IFERROR(INDEX('3. Enter Indicator Scores'!$D$10:$CZ$161,_xlpm.r,_xlpm.c),""),
  IF(OR(_xlpm.w="",_xlpm.v=""),"",_xlpm.v*_xlpm.w)
)</f>
        <v/>
      </c>
      <c r="AL138" s="93" t="str" cm="1">
        <f t="array" ref="AL138">_xlfn.LET(
  _xlpm.w, AL$11,
  _xlpm.r, MATCH(1,('3. Enter Indicator Scores'!$B$10:$B$161=$B138)*('3. Enter Indicator Scores'!$C$10:$C$161=$C138),0),
  _xlpm.c, MATCH(AL$8,'3. Enter Indicator Scores'!$D$8:$CZ$8,0),
  _xlpm.v, IFERROR(INDEX('3. Enter Indicator Scores'!$D$10:$CZ$161,_xlpm.r,_xlpm.c),""),
  IF(OR(_xlpm.w="",_xlpm.v=""),"",_xlpm.v*_xlpm.w)
)</f>
        <v/>
      </c>
      <c r="AM138" s="93" t="str" cm="1">
        <f t="array" ref="AM138">_xlfn.LET(
  _xlpm.w, AM$11,
  _xlpm.r, MATCH(1,('3. Enter Indicator Scores'!$B$10:$B$161=$B138)*('3. Enter Indicator Scores'!$C$10:$C$161=$C138),0),
  _xlpm.c, MATCH(AM$8,'3. Enter Indicator Scores'!$D$8:$CZ$8,0),
  _xlpm.v, IFERROR(INDEX('3. Enter Indicator Scores'!$D$10:$CZ$161,_xlpm.r,_xlpm.c),""),
  IF(OR(_xlpm.w="",_xlpm.v=""),"",_xlpm.v*_xlpm.w)
)</f>
        <v/>
      </c>
      <c r="AN138" s="93" t="str" cm="1">
        <f t="array" ref="AN138">_xlfn.LET(
  _xlpm.w, AN$11,
  _xlpm.r, MATCH(1,('3. Enter Indicator Scores'!$B$10:$B$161=$B138)*('3. Enter Indicator Scores'!$C$10:$C$161=$C138),0),
  _xlpm.c, MATCH(AN$8,'3. Enter Indicator Scores'!$D$8:$CZ$8,0),
  _xlpm.v, IFERROR(INDEX('3. Enter Indicator Scores'!$D$10:$CZ$161,_xlpm.r,_xlpm.c),""),
  IF(OR(_xlpm.w="",_xlpm.v=""),"",_xlpm.v*_xlpm.w)
)</f>
        <v/>
      </c>
      <c r="AO138" s="93" t="str" cm="1">
        <f t="array" ref="AO138">_xlfn.LET(
  _xlpm.w, AO$11,
  _xlpm.r, MATCH(1,('3. Enter Indicator Scores'!$B$10:$B$161=$B138)*('3. Enter Indicator Scores'!$C$10:$C$161=$C138),0),
  _xlpm.c, MATCH(AO$8,'3. Enter Indicator Scores'!$D$8:$CZ$8,0),
  _xlpm.v, IFERROR(INDEX('3. Enter Indicator Scores'!$D$10:$CZ$161,_xlpm.r,_xlpm.c),""),
  IF(OR(_xlpm.w="",_xlpm.v=""),"",_xlpm.v*_xlpm.w)
)</f>
        <v/>
      </c>
      <c r="AP138" s="93" t="str" cm="1">
        <f t="array" ref="AP138">_xlfn.LET(
  _xlpm.w, AP$11,
  _xlpm.r, MATCH(1,('3. Enter Indicator Scores'!$B$10:$B$161=$B138)*('3. Enter Indicator Scores'!$C$10:$C$161=$C138),0),
  _xlpm.c, MATCH(AP$8,'3. Enter Indicator Scores'!$D$8:$CZ$8,0),
  _xlpm.v, IFERROR(INDEX('3. Enter Indicator Scores'!$D$10:$CZ$161,_xlpm.r,_xlpm.c),""),
  IF(OR(_xlpm.w="",_xlpm.v=""),"",_xlpm.v*_xlpm.w)
)</f>
        <v/>
      </c>
      <c r="AQ138" s="93" t="str" cm="1">
        <f t="array" ref="AQ138">_xlfn.LET(
  _xlpm.w, AQ$11,
  _xlpm.r, MATCH(1,('3. Enter Indicator Scores'!$B$10:$B$161=$B138)*('3. Enter Indicator Scores'!$C$10:$C$161=$C138),0),
  _xlpm.c, MATCH(AQ$8,'3. Enter Indicator Scores'!$D$8:$CZ$8,0),
  _xlpm.v, IFERROR(INDEX('3. Enter Indicator Scores'!$D$10:$CZ$161,_xlpm.r,_xlpm.c),""),
  IF(OR(_xlpm.w="",_xlpm.v=""),"",_xlpm.v*_xlpm.w)
)</f>
        <v/>
      </c>
      <c r="AR138" s="93" t="str" cm="1">
        <f t="array" ref="AR138">_xlfn.LET(
  _xlpm.w, AR$11,
  _xlpm.r, MATCH(1,('3. Enter Indicator Scores'!$B$10:$B$161=$B138)*('3. Enter Indicator Scores'!$C$10:$C$161=$C138),0),
  _xlpm.c, MATCH(AR$8,'3. Enter Indicator Scores'!$D$8:$CZ$8,0),
  _xlpm.v, IFERROR(INDEX('3. Enter Indicator Scores'!$D$10:$CZ$161,_xlpm.r,_xlpm.c),""),
  IF(OR(_xlpm.w="",_xlpm.v=""),"",_xlpm.v*_xlpm.w)
)</f>
        <v/>
      </c>
      <c r="AS138" s="93" t="str" cm="1">
        <f t="array" ref="AS138">_xlfn.LET(
  _xlpm.w, AS$11,
  _xlpm.r, MATCH(1,('3. Enter Indicator Scores'!$B$10:$B$161=$B138)*('3. Enter Indicator Scores'!$C$10:$C$161=$C138),0),
  _xlpm.c, MATCH(AS$8,'3. Enter Indicator Scores'!$D$8:$CZ$8,0),
  _xlpm.v, IFERROR(INDEX('3. Enter Indicator Scores'!$D$10:$CZ$161,_xlpm.r,_xlpm.c),""),
  IF(OR(_xlpm.w="",_xlpm.v=""),"",_xlpm.v*_xlpm.w)
)</f>
        <v/>
      </c>
      <c r="AT138" s="93" t="str" cm="1">
        <f t="array" ref="AT138">_xlfn.LET(
  _xlpm.w, AT$11,
  _xlpm.r, MATCH(1,('3. Enter Indicator Scores'!$B$10:$B$161=$B138)*('3. Enter Indicator Scores'!$C$10:$C$161=$C138),0),
  _xlpm.c, MATCH(AT$8,'3. Enter Indicator Scores'!$D$8:$CZ$8,0),
  _xlpm.v, IFERROR(INDEX('3. Enter Indicator Scores'!$D$10:$CZ$161,_xlpm.r,_xlpm.c),""),
  IF(OR(_xlpm.w="",_xlpm.v=""),"",_xlpm.v*_xlpm.w)
)</f>
        <v/>
      </c>
      <c r="AU138" s="93" t="str" cm="1">
        <f t="array" ref="AU138">_xlfn.LET(
  _xlpm.w, AU$11,
  _xlpm.r, MATCH(1,('3. Enter Indicator Scores'!$B$10:$B$161=$B138)*('3. Enter Indicator Scores'!$C$10:$C$161=$C138),0),
  _xlpm.c, MATCH(AU$8,'3. Enter Indicator Scores'!$D$8:$CZ$8,0),
  _xlpm.v, IFERROR(INDEX('3. Enter Indicator Scores'!$D$10:$CZ$161,_xlpm.r,_xlpm.c),""),
  IF(OR(_xlpm.w="",_xlpm.v=""),"",_xlpm.v*_xlpm.w)
)</f>
        <v/>
      </c>
      <c r="AV138" s="93" t="str" cm="1">
        <f t="array" ref="AV138">_xlfn.LET(
  _xlpm.w, AV$11,
  _xlpm.r, MATCH(1,('3. Enter Indicator Scores'!$B$10:$B$161=$B138)*('3. Enter Indicator Scores'!$C$10:$C$161=$C138),0),
  _xlpm.c, MATCH(AV$8,'3. Enter Indicator Scores'!$D$8:$CZ$8,0),
  _xlpm.v, IFERROR(INDEX('3. Enter Indicator Scores'!$D$10:$CZ$161,_xlpm.r,_xlpm.c),""),
  IF(OR(_xlpm.w="",_xlpm.v=""),"",_xlpm.v*_xlpm.w)
)</f>
        <v/>
      </c>
      <c r="AW138" s="93" t="str" cm="1">
        <f t="array" ref="AW138">_xlfn.LET(
  _xlpm.w, AW$11,
  _xlpm.r, MATCH(1,('3. Enter Indicator Scores'!$B$10:$B$161=$B138)*('3. Enter Indicator Scores'!$C$10:$C$161=$C138),0),
  _xlpm.c, MATCH(AW$8,'3. Enter Indicator Scores'!$D$8:$CZ$8,0),
  _xlpm.v, IFERROR(INDEX('3. Enter Indicator Scores'!$D$10:$CZ$161,_xlpm.r,_xlpm.c),""),
  IF(OR(_xlpm.w="",_xlpm.v=""),"",_xlpm.v*_xlpm.w)
)</f>
        <v/>
      </c>
      <c r="AX138" s="93" t="str" cm="1">
        <f t="array" ref="AX138">_xlfn.LET(
  _xlpm.w, AX$11,
  _xlpm.r, MATCH(1,('3. Enter Indicator Scores'!$B$10:$B$161=$B138)*('3. Enter Indicator Scores'!$C$10:$C$161=$C138),0),
  _xlpm.c, MATCH(AX$8,'3. Enter Indicator Scores'!$D$8:$CZ$8,0),
  _xlpm.v, IFERROR(INDEX('3. Enter Indicator Scores'!$D$10:$CZ$161,_xlpm.r,_xlpm.c),""),
  IF(OR(_xlpm.w="",_xlpm.v=""),"",_xlpm.v*_xlpm.w)
)</f>
        <v/>
      </c>
      <c r="AY138" s="93" t="str" cm="1">
        <f t="array" ref="AY138">_xlfn.LET(
  _xlpm.w, AY$11,
  _xlpm.r, MATCH(1,('3. Enter Indicator Scores'!$B$10:$B$161=$B138)*('3. Enter Indicator Scores'!$C$10:$C$161=$C138),0),
  _xlpm.c, MATCH(AY$8,'3. Enter Indicator Scores'!$D$8:$CZ$8,0),
  _xlpm.v, IFERROR(INDEX('3. Enter Indicator Scores'!$D$10:$CZ$161,_xlpm.r,_xlpm.c),""),
  IF(OR(_xlpm.w="",_xlpm.v=""),"",_xlpm.v*_xlpm.w)
)</f>
        <v/>
      </c>
      <c r="AZ138" s="93" t="str" cm="1">
        <f t="array" ref="AZ138">_xlfn.LET(
  _xlpm.w, AZ$11,
  _xlpm.r, MATCH(1,('3. Enter Indicator Scores'!$B$10:$B$161=$B138)*('3. Enter Indicator Scores'!$C$10:$C$161=$C138),0),
  _xlpm.c, MATCH(AZ$8,'3. Enter Indicator Scores'!$D$8:$CZ$8,0),
  _xlpm.v, IFERROR(INDEX('3. Enter Indicator Scores'!$D$10:$CZ$161,_xlpm.r,_xlpm.c),""),
  IF(OR(_xlpm.w="",_xlpm.v=""),"",_xlpm.v*_xlpm.w)
)</f>
        <v/>
      </c>
      <c r="BA138" s="93" t="str" cm="1">
        <f t="array" ref="BA138">_xlfn.LET(
  _xlpm.w, BA$11,
  _xlpm.r, MATCH(1,('3. Enter Indicator Scores'!$B$10:$B$161=$B138)*('3. Enter Indicator Scores'!$C$10:$C$161=$C138),0),
  _xlpm.c, MATCH(BA$8,'3. Enter Indicator Scores'!$D$8:$CZ$8,0),
  _xlpm.v, IFERROR(INDEX('3. Enter Indicator Scores'!$D$10:$CZ$161,_xlpm.r,_xlpm.c),""),
  IF(OR(_xlpm.w="",_xlpm.v=""),"",_xlpm.v*_xlpm.w)
)</f>
        <v/>
      </c>
      <c r="BB138" s="93" t="str" cm="1">
        <f t="array" ref="BB138">_xlfn.LET(
  _xlpm.w, BB$11,
  _xlpm.r, MATCH(1,('3. Enter Indicator Scores'!$B$10:$B$161=$B138)*('3. Enter Indicator Scores'!$C$10:$C$161=$C138),0),
  _xlpm.c, MATCH(BB$8,'3. Enter Indicator Scores'!$D$8:$CZ$8,0),
  _xlpm.v, IFERROR(INDEX('3. Enter Indicator Scores'!$D$10:$CZ$161,_xlpm.r,_xlpm.c),""),
  IF(OR(_xlpm.w="",_xlpm.v=""),"",_xlpm.v*_xlpm.w)
)</f>
        <v/>
      </c>
      <c r="BC138" s="93" t="str" cm="1">
        <f t="array" ref="BC138">_xlfn.LET(
  _xlpm.w, BC$11,
  _xlpm.r, MATCH(1,('3. Enter Indicator Scores'!$B$10:$B$161=$B138)*('3. Enter Indicator Scores'!$C$10:$C$161=$C138),0),
  _xlpm.c, MATCH(BC$8,'3. Enter Indicator Scores'!$D$8:$CZ$8,0),
  _xlpm.v, IFERROR(INDEX('3. Enter Indicator Scores'!$D$10:$CZ$161,_xlpm.r,_xlpm.c),""),
  IF(OR(_xlpm.w="",_xlpm.v=""),"",_xlpm.v*_xlpm.w)
)</f>
        <v/>
      </c>
      <c r="BD138" s="93" t="str" cm="1">
        <f t="array" ref="BD138">_xlfn.LET(
  _xlpm.w, BD$11,
  _xlpm.r, MATCH(1,('3. Enter Indicator Scores'!$B$10:$B$161=$B138)*('3. Enter Indicator Scores'!$C$10:$C$161=$C138),0),
  _xlpm.c, MATCH(BD$8,'3. Enter Indicator Scores'!$D$8:$CZ$8,0),
  _xlpm.v, IFERROR(INDEX('3. Enter Indicator Scores'!$D$10:$CZ$161,_xlpm.r,_xlpm.c),""),
  IF(OR(_xlpm.w="",_xlpm.v=""),"",_xlpm.v*_xlpm.w)
)</f>
        <v/>
      </c>
      <c r="BE138" s="93" t="str" cm="1">
        <f t="array" ref="BE138">_xlfn.LET(
  _xlpm.w, BE$11,
  _xlpm.r, MATCH(1,('3. Enter Indicator Scores'!$B$10:$B$161=$B138)*('3. Enter Indicator Scores'!$C$10:$C$161=$C138),0),
  _xlpm.c, MATCH(BE$8,'3. Enter Indicator Scores'!$D$8:$CZ$8,0),
  _xlpm.v, IFERROR(INDEX('3. Enter Indicator Scores'!$D$10:$CZ$161,_xlpm.r,_xlpm.c),""),
  IF(OR(_xlpm.w="",_xlpm.v=""),"",_xlpm.v*_xlpm.w)
)</f>
        <v/>
      </c>
      <c r="BF138" s="93" t="str" cm="1">
        <f t="array" ref="BF138">_xlfn.LET(
  _xlpm.w, BF$11,
  _xlpm.r, MATCH(1,('3. Enter Indicator Scores'!$B$10:$B$161=$B138)*('3. Enter Indicator Scores'!$C$10:$C$161=$C138),0),
  _xlpm.c, MATCH(BF$8,'3. Enter Indicator Scores'!$D$8:$CZ$8,0),
  _xlpm.v, IFERROR(INDEX('3. Enter Indicator Scores'!$D$10:$CZ$161,_xlpm.r,_xlpm.c),""),
  IF(OR(_xlpm.w="",_xlpm.v=""),"",_xlpm.v*_xlpm.w)
)</f>
        <v/>
      </c>
      <c r="BG138" s="93" t="str" cm="1">
        <f t="array" ref="BG138">_xlfn.LET(
  _xlpm.w, BG$11,
  _xlpm.r, MATCH(1,('3. Enter Indicator Scores'!$B$10:$B$161=$B138)*('3. Enter Indicator Scores'!$C$10:$C$161=$C138),0),
  _xlpm.c, MATCH(BG$8,'3. Enter Indicator Scores'!$D$8:$CZ$8,0),
  _xlpm.v, IFERROR(INDEX('3. Enter Indicator Scores'!$D$10:$CZ$161,_xlpm.r,_xlpm.c),""),
  IF(OR(_xlpm.w="",_xlpm.v=""),"",_xlpm.v*_xlpm.w)
)</f>
        <v/>
      </c>
      <c r="BH138" s="93" t="str" cm="1">
        <f t="array" ref="BH138">_xlfn.LET(
  _xlpm.w, BH$11,
  _xlpm.r, MATCH(1,('3. Enter Indicator Scores'!$B$10:$B$161=$B138)*('3. Enter Indicator Scores'!$C$10:$C$161=$C138),0),
  _xlpm.c, MATCH(BH$8,'3. Enter Indicator Scores'!$D$8:$CZ$8,0),
  _xlpm.v, IFERROR(INDEX('3. Enter Indicator Scores'!$D$10:$CZ$161,_xlpm.r,_xlpm.c),""),
  IF(OR(_xlpm.w="",_xlpm.v=""),"",_xlpm.v*_xlpm.w)
)</f>
        <v/>
      </c>
      <c r="BI138" s="93" t="str" cm="1">
        <f t="array" ref="BI138">_xlfn.LET(
  _xlpm.w, BI$11,
  _xlpm.r, MATCH(1,('3. Enter Indicator Scores'!$B$10:$B$161=$B138)*('3. Enter Indicator Scores'!$C$10:$C$161=$C138),0),
  _xlpm.c, MATCH(BI$8,'3. Enter Indicator Scores'!$D$8:$CZ$8,0),
  _xlpm.v, IFERROR(INDEX('3. Enter Indicator Scores'!$D$10:$CZ$161,_xlpm.r,_xlpm.c),""),
  IF(OR(_xlpm.w="",_xlpm.v=""),"",_xlpm.v*_xlpm.w)
)</f>
        <v/>
      </c>
      <c r="BJ138" s="93" t="str" cm="1">
        <f t="array" ref="BJ138">_xlfn.LET(
  _xlpm.w, BJ$11,
  _xlpm.r, MATCH(1,('3. Enter Indicator Scores'!$B$10:$B$161=$B138)*('3. Enter Indicator Scores'!$C$10:$C$161=$C138),0),
  _xlpm.c, MATCH(BJ$8,'3. Enter Indicator Scores'!$D$8:$CZ$8,0),
  _xlpm.v, IFERROR(INDEX('3. Enter Indicator Scores'!$D$10:$CZ$161,_xlpm.r,_xlpm.c),""),
  IF(OR(_xlpm.w="",_xlpm.v=""),"",_xlpm.v*_xlpm.w)
)</f>
        <v/>
      </c>
      <c r="BK138" s="93" t="str" cm="1">
        <f t="array" ref="BK138">_xlfn.LET(
  _xlpm.w, BK$11,
  _xlpm.r, MATCH(1,('3. Enter Indicator Scores'!$B$10:$B$161=$B138)*('3. Enter Indicator Scores'!$C$10:$C$161=$C138),0),
  _xlpm.c, MATCH(BK$8,'3. Enter Indicator Scores'!$D$8:$CZ$8,0),
  _xlpm.v, IFERROR(INDEX('3. Enter Indicator Scores'!$D$10:$CZ$161,_xlpm.r,_xlpm.c),""),
  IF(OR(_xlpm.w="",_xlpm.v=""),"",_xlpm.v*_xlpm.w)
)</f>
        <v/>
      </c>
      <c r="BL138" s="93" t="str" cm="1">
        <f t="array" ref="BL138">_xlfn.LET(
  _xlpm.w, BL$11,
  _xlpm.r, MATCH(1,('3. Enter Indicator Scores'!$B$10:$B$161=$B138)*('3. Enter Indicator Scores'!$C$10:$C$161=$C138),0),
  _xlpm.c, MATCH(BL$8,'3. Enter Indicator Scores'!$D$8:$CZ$8,0),
  _xlpm.v, IFERROR(INDEX('3. Enter Indicator Scores'!$D$10:$CZ$161,_xlpm.r,_xlpm.c),""),
  IF(OR(_xlpm.w="",_xlpm.v=""),"",_xlpm.v*_xlpm.w)
)</f>
        <v/>
      </c>
      <c r="BM138" s="93" t="str" cm="1">
        <f t="array" ref="BM138">_xlfn.LET(
  _xlpm.w, BM$11,
  _xlpm.r, MATCH(1,('3. Enter Indicator Scores'!$B$10:$B$161=$B138)*('3. Enter Indicator Scores'!$C$10:$C$161=$C138),0),
  _xlpm.c, MATCH(BM$8,'3. Enter Indicator Scores'!$D$8:$CZ$8,0),
  _xlpm.v, IFERROR(INDEX('3. Enter Indicator Scores'!$D$10:$CZ$161,_xlpm.r,_xlpm.c),""),
  IF(OR(_xlpm.w="",_xlpm.v=""),"",_xlpm.v*_xlpm.w)
)</f>
        <v/>
      </c>
      <c r="BN138" s="93" t="str" cm="1">
        <f t="array" ref="BN138">_xlfn.LET(
  _xlpm.w, BN$11,
  _xlpm.r, MATCH(1,('3. Enter Indicator Scores'!$B$10:$B$161=$B138)*('3. Enter Indicator Scores'!$C$10:$C$161=$C138),0),
  _xlpm.c, MATCH(BN$8,'3. Enter Indicator Scores'!$D$8:$CZ$8,0),
  _xlpm.v, IFERROR(INDEX('3. Enter Indicator Scores'!$D$10:$CZ$161,_xlpm.r,_xlpm.c),""),
  IF(OR(_xlpm.w="",_xlpm.v=""),"",_xlpm.v*_xlpm.w)
)</f>
        <v/>
      </c>
      <c r="BO138" s="93" t="str" cm="1">
        <f t="array" ref="BO138">_xlfn.LET(
  _xlpm.w, BO$11,
  _xlpm.r, MATCH(1,('3. Enter Indicator Scores'!$B$10:$B$161=$B138)*('3. Enter Indicator Scores'!$C$10:$C$161=$C138),0),
  _xlpm.c, MATCH(BO$8,'3. Enter Indicator Scores'!$D$8:$CZ$8,0),
  _xlpm.v, IFERROR(INDEX('3. Enter Indicator Scores'!$D$10:$CZ$161,_xlpm.r,_xlpm.c),""),
  IF(OR(_xlpm.w="",_xlpm.v=""),"",_xlpm.v*_xlpm.w)
)</f>
        <v/>
      </c>
      <c r="BP138" s="93" t="str" cm="1">
        <f t="array" ref="BP138">_xlfn.LET(
  _xlpm.w, BP$11,
  _xlpm.r, MATCH(1,('3. Enter Indicator Scores'!$B$10:$B$161=$B138)*('3. Enter Indicator Scores'!$C$10:$C$161=$C138),0),
  _xlpm.c, MATCH(BP$8,'3. Enter Indicator Scores'!$D$8:$CZ$8,0),
  _xlpm.v, IFERROR(INDEX('3. Enter Indicator Scores'!$D$10:$CZ$161,_xlpm.r,_xlpm.c),""),
  IF(OR(_xlpm.w="",_xlpm.v=""),"",_xlpm.v*_xlpm.w)
)</f>
        <v/>
      </c>
      <c r="BQ138" s="93" t="str" cm="1">
        <f t="array" ref="BQ138">_xlfn.LET(
  _xlpm.w, BQ$11,
  _xlpm.r, MATCH(1,('3. Enter Indicator Scores'!$B$10:$B$161=$B138)*('3. Enter Indicator Scores'!$C$10:$C$161=$C138),0),
  _xlpm.c, MATCH(BQ$8,'3. Enter Indicator Scores'!$D$8:$CZ$8,0),
  _xlpm.v, IFERROR(INDEX('3. Enter Indicator Scores'!$D$10:$CZ$161,_xlpm.r,_xlpm.c),""),
  IF(OR(_xlpm.w="",_xlpm.v=""),"",_xlpm.v*_xlpm.w)
)</f>
        <v/>
      </c>
      <c r="BR138" s="93" t="str" cm="1">
        <f t="array" ref="BR138">_xlfn.LET(
  _xlpm.w, BR$11,
  _xlpm.r, MATCH(1,('3. Enter Indicator Scores'!$B$10:$B$161=$B138)*('3. Enter Indicator Scores'!$C$10:$C$161=$C138),0),
  _xlpm.c, MATCH(BR$8,'3. Enter Indicator Scores'!$D$8:$CZ$8,0),
  _xlpm.v, IFERROR(INDEX('3. Enter Indicator Scores'!$D$10:$CZ$161,_xlpm.r,_xlpm.c),""),
  IF(OR(_xlpm.w="",_xlpm.v=""),"",_xlpm.v*_xlpm.w)
)</f>
        <v/>
      </c>
      <c r="BS138" s="93" t="str" cm="1">
        <f t="array" ref="BS138">_xlfn.LET(
  _xlpm.w, BS$11,
  _xlpm.r, MATCH(1,('3. Enter Indicator Scores'!$B$10:$B$161=$B138)*('3. Enter Indicator Scores'!$C$10:$C$161=$C138),0),
  _xlpm.c, MATCH(BS$8,'3. Enter Indicator Scores'!$D$8:$CZ$8,0),
  _xlpm.v, IFERROR(INDEX('3. Enter Indicator Scores'!$D$10:$CZ$161,_xlpm.r,_xlpm.c),""),
  IF(OR(_xlpm.w="",_xlpm.v=""),"",_xlpm.v*_xlpm.w)
)</f>
        <v/>
      </c>
      <c r="BT138" s="93" t="str" cm="1">
        <f t="array" ref="BT138">_xlfn.LET(
  _xlpm.w, BT$11,
  _xlpm.r, MATCH(1,('3. Enter Indicator Scores'!$B$10:$B$161=$B138)*('3. Enter Indicator Scores'!$C$10:$C$161=$C138),0),
  _xlpm.c, MATCH(BT$8,'3. Enter Indicator Scores'!$D$8:$CZ$8,0),
  _xlpm.v, IFERROR(INDEX('3. Enter Indicator Scores'!$D$10:$CZ$161,_xlpm.r,_xlpm.c),""),
  IF(OR(_xlpm.w="",_xlpm.v=""),"",_xlpm.v*_xlpm.w)
)</f>
        <v/>
      </c>
      <c r="BU138" s="93" t="str" cm="1">
        <f t="array" ref="BU138">_xlfn.LET(
  _xlpm.w, BU$11,
  _xlpm.r, MATCH(1,('3. Enter Indicator Scores'!$B$10:$B$161=$B138)*('3. Enter Indicator Scores'!$C$10:$C$161=$C138),0),
  _xlpm.c, MATCH(BU$8,'3. Enter Indicator Scores'!$D$8:$CZ$8,0),
  _xlpm.v, IFERROR(INDEX('3. Enter Indicator Scores'!$D$10:$CZ$161,_xlpm.r,_xlpm.c),""),
  IF(OR(_xlpm.w="",_xlpm.v=""),"",_xlpm.v*_xlpm.w)
)</f>
        <v/>
      </c>
      <c r="BV138" s="93" t="str" cm="1">
        <f t="array" ref="BV138">_xlfn.LET(
  _xlpm.w, BV$11,
  _xlpm.r, MATCH(1,('3. Enter Indicator Scores'!$B$10:$B$161=$B138)*('3. Enter Indicator Scores'!$C$10:$C$161=$C138),0),
  _xlpm.c, MATCH(BV$8,'3. Enter Indicator Scores'!$D$8:$CZ$8,0),
  _xlpm.v, IFERROR(INDEX('3. Enter Indicator Scores'!$D$10:$CZ$161,_xlpm.r,_xlpm.c),""),
  IF(OR(_xlpm.w="",_xlpm.v=""),"",_xlpm.v*_xlpm.w)
)</f>
        <v/>
      </c>
      <c r="BW138" s="93" t="str" cm="1">
        <f t="array" ref="BW138">_xlfn.LET(
  _xlpm.w, BW$11,
  _xlpm.r, MATCH(1,('3. Enter Indicator Scores'!$B$10:$B$161=$B138)*('3. Enter Indicator Scores'!$C$10:$C$161=$C138),0),
  _xlpm.c, MATCH(BW$8,'3. Enter Indicator Scores'!$D$8:$CZ$8,0),
  _xlpm.v, IFERROR(INDEX('3. Enter Indicator Scores'!$D$10:$CZ$161,_xlpm.r,_xlpm.c),""),
  IF(OR(_xlpm.w="",_xlpm.v=""),"",_xlpm.v*_xlpm.w)
)</f>
        <v/>
      </c>
      <c r="BX138" s="93" t="str" cm="1">
        <f t="array" ref="BX138">_xlfn.LET(
  _xlpm.w, BX$11,
  _xlpm.r, MATCH(1,('3. Enter Indicator Scores'!$B$10:$B$161=$B138)*('3. Enter Indicator Scores'!$C$10:$C$161=$C138),0),
  _xlpm.c, MATCH(BX$8,'3. Enter Indicator Scores'!$D$8:$CZ$8,0),
  _xlpm.v, IFERROR(INDEX('3. Enter Indicator Scores'!$D$10:$CZ$161,_xlpm.r,_xlpm.c),""),
  IF(OR(_xlpm.w="",_xlpm.v=""),"",_xlpm.v*_xlpm.w)
)</f>
        <v/>
      </c>
      <c r="BY138" s="93" t="str" cm="1">
        <f t="array" ref="BY138">_xlfn.LET(
  _xlpm.w, BY$11,
  _xlpm.r, MATCH(1,('3. Enter Indicator Scores'!$B$10:$B$161=$B138)*('3. Enter Indicator Scores'!$C$10:$C$161=$C138),0),
  _xlpm.c, MATCH(BY$8,'3. Enter Indicator Scores'!$D$8:$CZ$8,0),
  _xlpm.v, IFERROR(INDEX('3. Enter Indicator Scores'!$D$10:$CZ$161,_xlpm.r,_xlpm.c),""),
  IF(OR(_xlpm.w="",_xlpm.v=""),"",_xlpm.v*_xlpm.w)
)</f>
        <v/>
      </c>
      <c r="BZ138" s="93" t="str" cm="1">
        <f t="array" ref="BZ138">_xlfn.LET(
  _xlpm.w, BZ$11,
  _xlpm.r, MATCH(1,('3. Enter Indicator Scores'!$B$10:$B$161=$B138)*('3. Enter Indicator Scores'!$C$10:$C$161=$C138),0),
  _xlpm.c, MATCH(BZ$8,'3. Enter Indicator Scores'!$D$8:$CZ$8,0),
  _xlpm.v, IFERROR(INDEX('3. Enter Indicator Scores'!$D$10:$CZ$161,_xlpm.r,_xlpm.c),""),
  IF(OR(_xlpm.w="",_xlpm.v=""),"",_xlpm.v*_xlpm.w)
)</f>
        <v/>
      </c>
      <c r="CA138" s="93" t="str" cm="1">
        <f t="array" ref="CA138">_xlfn.LET(
  _xlpm.w, CA$11,
  _xlpm.r, MATCH(1,('3. Enter Indicator Scores'!$B$10:$B$161=$B138)*('3. Enter Indicator Scores'!$C$10:$C$161=$C138),0),
  _xlpm.c, MATCH(CA$8,'3. Enter Indicator Scores'!$D$8:$CZ$8,0),
  _xlpm.v, IFERROR(INDEX('3. Enter Indicator Scores'!$D$10:$CZ$161,_xlpm.r,_xlpm.c),""),
  IF(OR(_xlpm.w="",_xlpm.v=""),"",_xlpm.v*_xlpm.w)
)</f>
        <v/>
      </c>
      <c r="CB138" s="93" t="str" cm="1">
        <f t="array" ref="CB138">_xlfn.LET(
  _xlpm.w, CB$11,
  _xlpm.r, MATCH(1,('3. Enter Indicator Scores'!$B$10:$B$161=$B138)*('3. Enter Indicator Scores'!$C$10:$C$161=$C138),0),
  _xlpm.c, MATCH(CB$8,'3. Enter Indicator Scores'!$D$8:$CZ$8,0),
  _xlpm.v, IFERROR(INDEX('3. Enter Indicator Scores'!$D$10:$CZ$161,_xlpm.r,_xlpm.c),""),
  IF(OR(_xlpm.w="",_xlpm.v=""),"",_xlpm.v*_xlpm.w)
)</f>
        <v/>
      </c>
      <c r="CC138" s="93" t="str" cm="1">
        <f t="array" ref="CC138">_xlfn.LET(
  _xlpm.w, CC$11,
  _xlpm.r, MATCH(1,('3. Enter Indicator Scores'!$B$10:$B$161=$B138)*('3. Enter Indicator Scores'!$C$10:$C$161=$C138),0),
  _xlpm.c, MATCH(CC$8,'3. Enter Indicator Scores'!$D$8:$CZ$8,0),
  _xlpm.v, IFERROR(INDEX('3. Enter Indicator Scores'!$D$10:$CZ$161,_xlpm.r,_xlpm.c),""),
  IF(OR(_xlpm.w="",_xlpm.v=""),"",_xlpm.v*_xlpm.w)
)</f>
        <v/>
      </c>
      <c r="CD138" s="93" t="str" cm="1">
        <f t="array" ref="CD138">_xlfn.LET(
  _xlpm.w, CD$11,
  _xlpm.r, MATCH(1,('3. Enter Indicator Scores'!$B$10:$B$161=$B138)*('3. Enter Indicator Scores'!$C$10:$C$161=$C138),0),
  _xlpm.c, MATCH(CD$8,'3. Enter Indicator Scores'!$D$8:$CZ$8,0),
  _xlpm.v, IFERROR(INDEX('3. Enter Indicator Scores'!$D$10:$CZ$161,_xlpm.r,_xlpm.c),""),
  IF(OR(_xlpm.w="",_xlpm.v=""),"",_xlpm.v*_xlpm.w)
)</f>
        <v/>
      </c>
      <c r="CE138" s="93" t="str" cm="1">
        <f t="array" ref="CE138">_xlfn.LET(
  _xlpm.w, CE$11,
  _xlpm.r, MATCH(1,('3. Enter Indicator Scores'!$B$10:$B$161=$B138)*('3. Enter Indicator Scores'!$C$10:$C$161=$C138),0),
  _xlpm.c, MATCH(CE$8,'3. Enter Indicator Scores'!$D$8:$CZ$8,0),
  _xlpm.v, IFERROR(INDEX('3. Enter Indicator Scores'!$D$10:$CZ$161,_xlpm.r,_xlpm.c),""),
  IF(OR(_xlpm.w="",_xlpm.v=""),"",_xlpm.v*_xlpm.w)
)</f>
        <v/>
      </c>
      <c r="CF138" s="93" t="str" cm="1">
        <f t="array" ref="CF138">_xlfn.LET(
  _xlpm.w, CF$11,
  _xlpm.r, MATCH(1,('3. Enter Indicator Scores'!$B$10:$B$161=$B138)*('3. Enter Indicator Scores'!$C$10:$C$161=$C138),0),
  _xlpm.c, MATCH(CF$8,'3. Enter Indicator Scores'!$D$8:$CZ$8,0),
  _xlpm.v, IFERROR(INDEX('3. Enter Indicator Scores'!$D$10:$CZ$161,_xlpm.r,_xlpm.c),""),
  IF(OR(_xlpm.w="",_xlpm.v=""),"",_xlpm.v*_xlpm.w)
)</f>
        <v/>
      </c>
      <c r="CG138" s="93" t="str" cm="1">
        <f t="array" ref="CG138">_xlfn.LET(
  _xlpm.w, CG$11,
  _xlpm.r, MATCH(1,('3. Enter Indicator Scores'!$B$10:$B$161=$B138)*('3. Enter Indicator Scores'!$C$10:$C$161=$C138),0),
  _xlpm.c, MATCH(CG$8,'3. Enter Indicator Scores'!$D$8:$CZ$8,0),
  _xlpm.v, IFERROR(INDEX('3. Enter Indicator Scores'!$D$10:$CZ$161,_xlpm.r,_xlpm.c),""),
  IF(OR(_xlpm.w="",_xlpm.v=""),"",_xlpm.v*_xlpm.w)
)</f>
        <v/>
      </c>
      <c r="CH138" s="93" t="str" cm="1">
        <f t="array" ref="CH138">_xlfn.LET(
  _xlpm.w, CH$11,
  _xlpm.r, MATCH(1,('3. Enter Indicator Scores'!$B$10:$B$161=$B138)*('3. Enter Indicator Scores'!$C$10:$C$161=$C138),0),
  _xlpm.c, MATCH(CH$8,'3. Enter Indicator Scores'!$D$8:$CZ$8,0),
  _xlpm.v, IFERROR(INDEX('3. Enter Indicator Scores'!$D$10:$CZ$161,_xlpm.r,_xlpm.c),""),
  IF(OR(_xlpm.w="",_xlpm.v=""),"",_xlpm.v*_xlpm.w)
)</f>
        <v/>
      </c>
      <c r="CI138" s="93" t="str" cm="1">
        <f t="array" ref="CI138">_xlfn.LET(
  _xlpm.w, CI$11,
  _xlpm.r, MATCH(1,('3. Enter Indicator Scores'!$B$10:$B$161=$B138)*('3. Enter Indicator Scores'!$C$10:$C$161=$C138),0),
  _xlpm.c, MATCH(CI$8,'3. Enter Indicator Scores'!$D$8:$CZ$8,0),
  _xlpm.v, IFERROR(INDEX('3. Enter Indicator Scores'!$D$10:$CZ$161,_xlpm.r,_xlpm.c),""),
  IF(OR(_xlpm.w="",_xlpm.v=""),"",_xlpm.v*_xlpm.w)
)</f>
        <v/>
      </c>
      <c r="CJ138" s="93" t="str" cm="1">
        <f t="array" ref="CJ138">_xlfn.LET(
  _xlpm.w, CJ$11,
  _xlpm.r, MATCH(1,('3. Enter Indicator Scores'!$B$10:$B$161=$B138)*('3. Enter Indicator Scores'!$C$10:$C$161=$C138),0),
  _xlpm.c, MATCH(CJ$8,'3. Enter Indicator Scores'!$D$8:$CZ$8,0),
  _xlpm.v, IFERROR(INDEX('3. Enter Indicator Scores'!$D$10:$CZ$161,_xlpm.r,_xlpm.c),""),
  IF(OR(_xlpm.w="",_xlpm.v=""),"",_xlpm.v*_xlpm.w)
)</f>
        <v/>
      </c>
      <c r="CK138" s="93" t="str" cm="1">
        <f t="array" ref="CK138">_xlfn.LET(
  _xlpm.w, CK$11,
  _xlpm.r, MATCH(1,('3. Enter Indicator Scores'!$B$10:$B$161=$B138)*('3. Enter Indicator Scores'!$C$10:$C$161=$C138),0),
  _xlpm.c, MATCH(CK$8,'3. Enter Indicator Scores'!$D$8:$CZ$8,0),
  _xlpm.v, IFERROR(INDEX('3. Enter Indicator Scores'!$D$10:$CZ$161,_xlpm.r,_xlpm.c),""),
  IF(OR(_xlpm.w="",_xlpm.v=""),"",_xlpm.v*_xlpm.w)
)</f>
        <v/>
      </c>
      <c r="CL138" s="93" t="str" cm="1">
        <f t="array" ref="CL138">_xlfn.LET(
  _xlpm.w, CL$11,
  _xlpm.r, MATCH(1,('3. Enter Indicator Scores'!$B$10:$B$161=$B138)*('3. Enter Indicator Scores'!$C$10:$C$161=$C138),0),
  _xlpm.c, MATCH(CL$8,'3. Enter Indicator Scores'!$D$8:$CZ$8,0),
  _xlpm.v, IFERROR(INDEX('3. Enter Indicator Scores'!$D$10:$CZ$161,_xlpm.r,_xlpm.c),""),
  IF(OR(_xlpm.w="",_xlpm.v=""),"",_xlpm.v*_xlpm.w)
)</f>
        <v/>
      </c>
      <c r="CM138" s="93" t="str" cm="1">
        <f t="array" ref="CM138">_xlfn.LET(
  _xlpm.w, CM$11,
  _xlpm.r, MATCH(1,('3. Enter Indicator Scores'!$B$10:$B$161=$B138)*('3. Enter Indicator Scores'!$C$10:$C$161=$C138),0),
  _xlpm.c, MATCH(CM$8,'3. Enter Indicator Scores'!$D$8:$CZ$8,0),
  _xlpm.v, IFERROR(INDEX('3. Enter Indicator Scores'!$D$10:$CZ$161,_xlpm.r,_xlpm.c),""),
  IF(OR(_xlpm.w="",_xlpm.v=""),"",_xlpm.v*_xlpm.w)
)</f>
        <v/>
      </c>
      <c r="CN138" s="93" t="str" cm="1">
        <f t="array" ref="CN138">_xlfn.LET(
  _xlpm.w, CN$11,
  _xlpm.r, MATCH(1,('3. Enter Indicator Scores'!$B$10:$B$161=$B138)*('3. Enter Indicator Scores'!$C$10:$C$161=$C138),0),
  _xlpm.c, MATCH(CN$8,'3. Enter Indicator Scores'!$D$8:$CZ$8,0),
  _xlpm.v, IFERROR(INDEX('3. Enter Indicator Scores'!$D$10:$CZ$161,_xlpm.r,_xlpm.c),""),
  IF(OR(_xlpm.w="",_xlpm.v=""),"",_xlpm.v*_xlpm.w)
)</f>
        <v/>
      </c>
      <c r="CO138" s="93" t="str" cm="1">
        <f t="array" ref="CO138">_xlfn.LET(
  _xlpm.w, CO$11,
  _xlpm.r, MATCH(1,('3. Enter Indicator Scores'!$B$10:$B$161=$B138)*('3. Enter Indicator Scores'!$C$10:$C$161=$C138),0),
  _xlpm.c, MATCH(CO$8,'3. Enter Indicator Scores'!$D$8:$CZ$8,0),
  _xlpm.v, IFERROR(INDEX('3. Enter Indicator Scores'!$D$10:$CZ$161,_xlpm.r,_xlpm.c),""),
  IF(OR(_xlpm.w="",_xlpm.v=""),"",_xlpm.v*_xlpm.w)
)</f>
        <v/>
      </c>
      <c r="CP138" s="93" t="str" cm="1">
        <f t="array" ref="CP138">_xlfn.LET(
  _xlpm.w, CP$11,
  _xlpm.r, MATCH(1,('3. Enter Indicator Scores'!$B$10:$B$161=$B138)*('3. Enter Indicator Scores'!$C$10:$C$161=$C138),0),
  _xlpm.c, MATCH(CP$8,'3. Enter Indicator Scores'!$D$8:$CZ$8,0),
  _xlpm.v, IFERROR(INDEX('3. Enter Indicator Scores'!$D$10:$CZ$161,_xlpm.r,_xlpm.c),""),
  IF(OR(_xlpm.w="",_xlpm.v=""),"",_xlpm.v*_xlpm.w)
)</f>
        <v/>
      </c>
      <c r="CQ138" s="93" t="str" cm="1">
        <f t="array" ref="CQ138">_xlfn.LET(
  _xlpm.w, CQ$11,
  _xlpm.r, MATCH(1,('3. Enter Indicator Scores'!$B$10:$B$161=$B138)*('3. Enter Indicator Scores'!$C$10:$C$161=$C138),0),
  _xlpm.c, MATCH(CQ$8,'3. Enter Indicator Scores'!$D$8:$CZ$8,0),
  _xlpm.v, IFERROR(INDEX('3. Enter Indicator Scores'!$D$10:$CZ$161,_xlpm.r,_xlpm.c),""),
  IF(OR(_xlpm.w="",_xlpm.v=""),"",_xlpm.v*_xlpm.w)
)</f>
        <v/>
      </c>
      <c r="CR138" s="93" t="str" cm="1">
        <f t="array" ref="CR138">_xlfn.LET(
  _xlpm.w, CR$11,
  _xlpm.r, MATCH(1,('3. Enter Indicator Scores'!$B$10:$B$161=$B138)*('3. Enter Indicator Scores'!$C$10:$C$161=$C138),0),
  _xlpm.c, MATCH(CR$8,'3. Enter Indicator Scores'!$D$8:$CZ$8,0),
  _xlpm.v, IFERROR(INDEX('3. Enter Indicator Scores'!$D$10:$CZ$161,_xlpm.r,_xlpm.c),""),
  IF(OR(_xlpm.w="",_xlpm.v=""),"",_xlpm.v*_xlpm.w)
)</f>
        <v/>
      </c>
      <c r="CS138" s="93" t="str" cm="1">
        <f t="array" ref="CS138">_xlfn.LET(
  _xlpm.w, CS$11,
  _xlpm.r, MATCH(1,('3. Enter Indicator Scores'!$B$10:$B$161=$B138)*('3. Enter Indicator Scores'!$C$10:$C$161=$C138),0),
  _xlpm.c, MATCH(CS$8,'3. Enter Indicator Scores'!$D$8:$CZ$8,0),
  _xlpm.v, IFERROR(INDEX('3. Enter Indicator Scores'!$D$10:$CZ$161,_xlpm.r,_xlpm.c),""),
  IF(OR(_xlpm.w="",_xlpm.v=""),"",_xlpm.v*_xlpm.w)
)</f>
        <v/>
      </c>
      <c r="CT138" s="93" t="str" cm="1">
        <f t="array" ref="CT138">_xlfn.LET(
  _xlpm.w, CT$11,
  _xlpm.r, MATCH(1,('3. Enter Indicator Scores'!$B$10:$B$161=$B138)*('3. Enter Indicator Scores'!$C$10:$C$161=$C138),0),
  _xlpm.c, MATCH(CT$8,'3. Enter Indicator Scores'!$D$8:$CZ$8,0),
  _xlpm.v, IFERROR(INDEX('3. Enter Indicator Scores'!$D$10:$CZ$161,_xlpm.r,_xlpm.c),""),
  IF(OR(_xlpm.w="",_xlpm.v=""),"",_xlpm.v*_xlpm.w)
)</f>
        <v/>
      </c>
      <c r="CU138" s="93" t="str" cm="1">
        <f t="array" ref="CU138">_xlfn.LET(
  _xlpm.w, CU$11,
  _xlpm.r, MATCH(1,('3. Enter Indicator Scores'!$B$10:$B$161=$B138)*('3. Enter Indicator Scores'!$C$10:$C$161=$C138),0),
  _xlpm.c, MATCH(CU$8,'3. Enter Indicator Scores'!$D$8:$CZ$8,0),
  _xlpm.v, IFERROR(INDEX('3. Enter Indicator Scores'!$D$10:$CZ$161,_xlpm.r,_xlpm.c),""),
  IF(OR(_xlpm.w="",_xlpm.v=""),"",_xlpm.v*_xlpm.w)
)</f>
        <v/>
      </c>
      <c r="CV138" s="93" t="str" cm="1">
        <f t="array" ref="CV138">_xlfn.LET(
  _xlpm.w, CV$11,
  _xlpm.r, MATCH(1,('3. Enter Indicator Scores'!$B$10:$B$161=$B138)*('3. Enter Indicator Scores'!$C$10:$C$161=$C138),0),
  _xlpm.c, MATCH(CV$8,'3. Enter Indicator Scores'!$D$8:$CZ$8,0),
  _xlpm.v, IFERROR(INDEX('3. Enter Indicator Scores'!$D$10:$CZ$161,_xlpm.r,_xlpm.c),""),
  IF(OR(_xlpm.w="",_xlpm.v=""),"",_xlpm.v*_xlpm.w)
)</f>
        <v/>
      </c>
      <c r="CW138" s="93" t="str" cm="1">
        <f t="array" ref="CW138">_xlfn.LET(
  _xlpm.w, CW$11,
  _xlpm.r, MATCH(1,('3. Enter Indicator Scores'!$B$10:$B$161=$B138)*('3. Enter Indicator Scores'!$C$10:$C$161=$C138),0),
  _xlpm.c, MATCH(CW$8,'3. Enter Indicator Scores'!$D$8:$CZ$8,0),
  _xlpm.v, IFERROR(INDEX('3. Enter Indicator Scores'!$D$10:$CZ$161,_xlpm.r,_xlpm.c),""),
  IF(OR(_xlpm.w="",_xlpm.v=""),"",_xlpm.v*_xlpm.w)
)</f>
        <v/>
      </c>
      <c r="CX138" s="93" t="str" cm="1">
        <f t="array" ref="CX138">_xlfn.LET(
  _xlpm.w, CX$11,
  _xlpm.r, MATCH(1,('3. Enter Indicator Scores'!$B$10:$B$161=$B138)*('3. Enter Indicator Scores'!$C$10:$C$161=$C138),0),
  _xlpm.c, MATCH(CX$8,'3. Enter Indicator Scores'!$D$8:$CZ$8,0),
  _xlpm.v, IFERROR(INDEX('3. Enter Indicator Scores'!$D$10:$CZ$161,_xlpm.r,_xlpm.c),""),
  IF(OR(_xlpm.w="",_xlpm.v=""),"",_xlpm.v*_xlpm.w)
)</f>
        <v/>
      </c>
      <c r="CY138" s="93" t="str" cm="1">
        <f t="array" ref="CY138">_xlfn.LET(
  _xlpm.w, CY$11,
  _xlpm.r, MATCH(1,('3. Enter Indicator Scores'!$B$10:$B$161=$B138)*('3. Enter Indicator Scores'!$C$10:$C$161=$C138),0),
  _xlpm.c, MATCH(CY$8,'3. Enter Indicator Scores'!$D$8:$CZ$8,0),
  _xlpm.v, IFERROR(INDEX('3. Enter Indicator Scores'!$D$10:$CZ$161,_xlpm.r,_xlpm.c),""),
  IF(OR(_xlpm.w="",_xlpm.v=""),"",_xlpm.v*_xlpm.w)
)</f>
        <v/>
      </c>
      <c r="CZ138" s="93" t="str" cm="1">
        <f t="array" ref="CZ138">_xlfn.LET(
  _xlpm.w, CZ$11,
  _xlpm.r, MATCH(1,('3. Enter Indicator Scores'!$B$10:$B$161=$B138)*('3. Enter Indicator Scores'!$C$10:$C$161=$C138),0),
  _xlpm.c, MATCH(CZ$8,'3. Enter Indicator Scores'!$D$8:$CZ$8,0),
  _xlpm.v, IFERROR(INDEX('3. Enter Indicator Scores'!$D$10:$CZ$161,_xlpm.r,_xlpm.c),""),
  IF(OR(_xlpm.w="",_xlpm.v=""),"",_xlpm.v*_xlpm.w)
)</f>
        <v/>
      </c>
    </row>
    <row r="139" spans="4:104" x14ac:dyDescent="0.2">
      <c r="D139" s="93" t="str" cm="1">
        <f t="array" ref="D139">_xlfn.LET(
  _xlpm.w, D$11,
  _xlpm.r, MATCH(1,('3. Enter Indicator Scores'!$B$10:$B$161=$B139)*('3. Enter Indicator Scores'!$C$10:$C$161=$C139),0),
  _xlpm.c, MATCH(D$8,'3. Enter Indicator Scores'!$D$8:$CZ$8,0),
  _xlpm.v, IFERROR(INDEX('3. Enter Indicator Scores'!$D$10:$CZ$161,_xlpm.r,_xlpm.c),""),
  IF(OR(_xlpm.w="",_xlpm.v=""),"",_xlpm.v*_xlpm.w)
)</f>
        <v/>
      </c>
      <c r="E139" s="93" t="str" cm="1">
        <f t="array" ref="E139">_xlfn.LET(
  _xlpm.w, E$11,
  _xlpm.r, MATCH(1,('3. Enter Indicator Scores'!$B$10:$B$161=$B139)*('3. Enter Indicator Scores'!$C$10:$C$161=$C139),0),
  _xlpm.c, MATCH(E$8,'3. Enter Indicator Scores'!$D$8:$CZ$8,0),
  _xlpm.v, IFERROR(INDEX('3. Enter Indicator Scores'!$D$10:$CZ$161,_xlpm.r,_xlpm.c),""),
  IF(OR(_xlpm.w="",_xlpm.v=""),"",_xlpm.v*_xlpm.w)
)</f>
        <v/>
      </c>
      <c r="F139" s="93" t="str" cm="1">
        <f t="array" ref="F139">_xlfn.LET(
  _xlpm.w, F$11,
  _xlpm.r, MATCH(1,('3. Enter Indicator Scores'!$B$10:$B$161=$B139)*('3. Enter Indicator Scores'!$C$10:$C$161=$C139),0),
  _xlpm.c, MATCH(F$8,'3. Enter Indicator Scores'!$D$8:$CZ$8,0),
  _xlpm.v, IFERROR(INDEX('3. Enter Indicator Scores'!$D$10:$CZ$161,_xlpm.r,_xlpm.c),""),
  IF(OR(_xlpm.w="",_xlpm.v=""),"",_xlpm.v*_xlpm.w)
)</f>
        <v/>
      </c>
      <c r="G139" s="93" t="str" cm="1">
        <f t="array" ref="G139">_xlfn.LET(
  _xlpm.w, G$11,
  _xlpm.r, MATCH(1,('3. Enter Indicator Scores'!$B$10:$B$161=$B139)*('3. Enter Indicator Scores'!$C$10:$C$161=$C139),0),
  _xlpm.c, MATCH(G$8,'3. Enter Indicator Scores'!$D$8:$CZ$8,0),
  _xlpm.v, IFERROR(INDEX('3. Enter Indicator Scores'!$D$10:$CZ$161,_xlpm.r,_xlpm.c),""),
  IF(OR(_xlpm.w="",_xlpm.v=""),"",_xlpm.v*_xlpm.w)
)</f>
        <v/>
      </c>
      <c r="H139" s="93" t="str" cm="1">
        <f t="array" ref="H139">_xlfn.LET(
  _xlpm.w, H$11,
  _xlpm.r, MATCH(1,('3. Enter Indicator Scores'!$B$10:$B$161=$B139)*('3. Enter Indicator Scores'!$C$10:$C$161=$C139),0),
  _xlpm.c, MATCH(H$8,'3. Enter Indicator Scores'!$D$8:$CZ$8,0),
  _xlpm.v, IFERROR(INDEX('3. Enter Indicator Scores'!$D$10:$CZ$161,_xlpm.r,_xlpm.c),""),
  IF(OR(_xlpm.w="",_xlpm.v=""),"",_xlpm.v*_xlpm.w)
)</f>
        <v/>
      </c>
      <c r="I139" s="93" t="str" cm="1">
        <f t="array" ref="I139">_xlfn.LET(
  _xlpm.w, I$11,
  _xlpm.r, MATCH(1,('3. Enter Indicator Scores'!$B$10:$B$161=$B139)*('3. Enter Indicator Scores'!$C$10:$C$161=$C139),0),
  _xlpm.c, MATCH(I$8,'3. Enter Indicator Scores'!$D$8:$CZ$8,0),
  _xlpm.v, IFERROR(INDEX('3. Enter Indicator Scores'!$D$10:$CZ$161,_xlpm.r,_xlpm.c),""),
  IF(OR(_xlpm.w="",_xlpm.v=""),"",_xlpm.v*_xlpm.w)
)</f>
        <v/>
      </c>
      <c r="J139" s="93" t="str" cm="1">
        <f t="array" ref="J139">_xlfn.LET(
  _xlpm.w, J$11,
  _xlpm.r, MATCH(1,('3. Enter Indicator Scores'!$B$10:$B$161=$B139)*('3. Enter Indicator Scores'!$C$10:$C$161=$C139),0),
  _xlpm.c, MATCH(J$8,'3. Enter Indicator Scores'!$D$8:$CZ$8,0),
  _xlpm.v, IFERROR(INDEX('3. Enter Indicator Scores'!$D$10:$CZ$161,_xlpm.r,_xlpm.c),""),
  IF(OR(_xlpm.w="",_xlpm.v=""),"",_xlpm.v*_xlpm.w)
)</f>
        <v/>
      </c>
      <c r="K139" s="93" t="str" cm="1">
        <f t="array" ref="K139">_xlfn.LET(
  _xlpm.w, K$11,
  _xlpm.r, MATCH(1,('3. Enter Indicator Scores'!$B$10:$B$161=$B139)*('3. Enter Indicator Scores'!$C$10:$C$161=$C139),0),
  _xlpm.c, MATCH(K$8,'3. Enter Indicator Scores'!$D$8:$CZ$8,0),
  _xlpm.v, IFERROR(INDEX('3. Enter Indicator Scores'!$D$10:$CZ$161,_xlpm.r,_xlpm.c),""),
  IF(OR(_xlpm.w="",_xlpm.v=""),"",_xlpm.v*_xlpm.w)
)</f>
        <v/>
      </c>
      <c r="L139" s="93" t="str" cm="1">
        <f t="array" ref="L139">_xlfn.LET(
  _xlpm.w, L$11,
  _xlpm.r, MATCH(1,('3. Enter Indicator Scores'!$B$10:$B$161=$B139)*('3. Enter Indicator Scores'!$C$10:$C$161=$C139),0),
  _xlpm.c, MATCH(L$8,'3. Enter Indicator Scores'!$D$8:$CZ$8,0),
  _xlpm.v, IFERROR(INDEX('3. Enter Indicator Scores'!$D$10:$CZ$161,_xlpm.r,_xlpm.c),""),
  IF(OR(_xlpm.w="",_xlpm.v=""),"",_xlpm.v*_xlpm.w)
)</f>
        <v/>
      </c>
      <c r="M139" s="93" t="str" cm="1">
        <f t="array" ref="M139">_xlfn.LET(
  _xlpm.w, M$11,
  _xlpm.r, MATCH(1,('3. Enter Indicator Scores'!$B$10:$B$161=$B139)*('3. Enter Indicator Scores'!$C$10:$C$161=$C139),0),
  _xlpm.c, MATCH(M$8,'3. Enter Indicator Scores'!$D$8:$CZ$8,0),
  _xlpm.v, IFERROR(INDEX('3. Enter Indicator Scores'!$D$10:$CZ$161,_xlpm.r,_xlpm.c),""),
  IF(OR(_xlpm.w="",_xlpm.v=""),"",_xlpm.v*_xlpm.w)
)</f>
        <v/>
      </c>
      <c r="N139" s="93" t="str" cm="1">
        <f t="array" ref="N139">_xlfn.LET(
  _xlpm.w, N$11,
  _xlpm.r, MATCH(1,('3. Enter Indicator Scores'!$B$10:$B$161=$B139)*('3. Enter Indicator Scores'!$C$10:$C$161=$C139),0),
  _xlpm.c, MATCH(N$8,'3. Enter Indicator Scores'!$D$8:$CZ$8,0),
  _xlpm.v, IFERROR(INDEX('3. Enter Indicator Scores'!$D$10:$CZ$161,_xlpm.r,_xlpm.c),""),
  IF(OR(_xlpm.w="",_xlpm.v=""),"",_xlpm.v*_xlpm.w)
)</f>
        <v/>
      </c>
      <c r="O139" s="93" t="str" cm="1">
        <f t="array" ref="O139">_xlfn.LET(
  _xlpm.w, O$11,
  _xlpm.r, MATCH(1,('3. Enter Indicator Scores'!$B$10:$B$161=$B139)*('3. Enter Indicator Scores'!$C$10:$C$161=$C139),0),
  _xlpm.c, MATCH(O$8,'3. Enter Indicator Scores'!$D$8:$CZ$8,0),
  _xlpm.v, IFERROR(INDEX('3. Enter Indicator Scores'!$D$10:$CZ$161,_xlpm.r,_xlpm.c),""),
  IF(OR(_xlpm.w="",_xlpm.v=""),"",_xlpm.v*_xlpm.w)
)</f>
        <v/>
      </c>
      <c r="P139" s="93" t="str" cm="1">
        <f t="array" ref="P139">_xlfn.LET(
  _xlpm.w, P$11,
  _xlpm.r, MATCH(1,('3. Enter Indicator Scores'!$B$10:$B$161=$B139)*('3. Enter Indicator Scores'!$C$10:$C$161=$C139),0),
  _xlpm.c, MATCH(P$8,'3. Enter Indicator Scores'!$D$8:$CZ$8,0),
  _xlpm.v, IFERROR(INDEX('3. Enter Indicator Scores'!$D$10:$CZ$161,_xlpm.r,_xlpm.c),""),
  IF(OR(_xlpm.w="",_xlpm.v=""),"",_xlpm.v*_xlpm.w)
)</f>
        <v/>
      </c>
      <c r="Q139" s="93" t="str" cm="1">
        <f t="array" ref="Q139">_xlfn.LET(
  _xlpm.w, Q$11,
  _xlpm.r, MATCH(1,('3. Enter Indicator Scores'!$B$10:$B$161=$B139)*('3. Enter Indicator Scores'!$C$10:$C$161=$C139),0),
  _xlpm.c, MATCH(Q$8,'3. Enter Indicator Scores'!$D$8:$CZ$8,0),
  _xlpm.v, IFERROR(INDEX('3. Enter Indicator Scores'!$D$10:$CZ$161,_xlpm.r,_xlpm.c),""),
  IF(OR(_xlpm.w="",_xlpm.v=""),"",_xlpm.v*_xlpm.w)
)</f>
        <v/>
      </c>
      <c r="R139" s="93" t="str" cm="1">
        <f t="array" ref="R139">_xlfn.LET(
  _xlpm.w, R$11,
  _xlpm.r, MATCH(1,('3. Enter Indicator Scores'!$B$10:$B$161=$B139)*('3. Enter Indicator Scores'!$C$10:$C$161=$C139),0),
  _xlpm.c, MATCH(R$8,'3. Enter Indicator Scores'!$D$8:$CZ$8,0),
  _xlpm.v, IFERROR(INDEX('3. Enter Indicator Scores'!$D$10:$CZ$161,_xlpm.r,_xlpm.c),""),
  IF(OR(_xlpm.w="",_xlpm.v=""),"",_xlpm.v*_xlpm.w)
)</f>
        <v/>
      </c>
      <c r="S139" s="93" t="str" cm="1">
        <f t="array" ref="S139">_xlfn.LET(
  _xlpm.w, S$11,
  _xlpm.r, MATCH(1,('3. Enter Indicator Scores'!$B$10:$B$161=$B139)*('3. Enter Indicator Scores'!$C$10:$C$161=$C139),0),
  _xlpm.c, MATCH(S$8,'3. Enter Indicator Scores'!$D$8:$CZ$8,0),
  _xlpm.v, IFERROR(INDEX('3. Enter Indicator Scores'!$D$10:$CZ$161,_xlpm.r,_xlpm.c),""),
  IF(OR(_xlpm.w="",_xlpm.v=""),"",_xlpm.v*_xlpm.w)
)</f>
        <v/>
      </c>
      <c r="T139" s="93" t="str" cm="1">
        <f t="array" ref="T139">_xlfn.LET(
  _xlpm.w, T$11,
  _xlpm.r, MATCH(1,('3. Enter Indicator Scores'!$B$10:$B$161=$B139)*('3. Enter Indicator Scores'!$C$10:$C$161=$C139),0),
  _xlpm.c, MATCH(T$8,'3. Enter Indicator Scores'!$D$8:$CZ$8,0),
  _xlpm.v, IFERROR(INDEX('3. Enter Indicator Scores'!$D$10:$CZ$161,_xlpm.r,_xlpm.c),""),
  IF(OR(_xlpm.w="",_xlpm.v=""),"",_xlpm.v*_xlpm.w)
)</f>
        <v/>
      </c>
      <c r="U139" s="93" t="str" cm="1">
        <f t="array" ref="U139">_xlfn.LET(
  _xlpm.w, U$11,
  _xlpm.r, MATCH(1,('3. Enter Indicator Scores'!$B$10:$B$161=$B139)*('3. Enter Indicator Scores'!$C$10:$C$161=$C139),0),
  _xlpm.c, MATCH(U$8,'3. Enter Indicator Scores'!$D$8:$CZ$8,0),
  _xlpm.v, IFERROR(INDEX('3. Enter Indicator Scores'!$D$10:$CZ$161,_xlpm.r,_xlpm.c),""),
  IF(OR(_xlpm.w="",_xlpm.v=""),"",_xlpm.v*_xlpm.w)
)</f>
        <v/>
      </c>
      <c r="V139" s="93" t="str" cm="1">
        <f t="array" ref="V139">_xlfn.LET(
  _xlpm.w, V$11,
  _xlpm.r, MATCH(1,('3. Enter Indicator Scores'!$B$10:$B$161=$B139)*('3. Enter Indicator Scores'!$C$10:$C$161=$C139),0),
  _xlpm.c, MATCH(V$8,'3. Enter Indicator Scores'!$D$8:$CZ$8,0),
  _xlpm.v, IFERROR(INDEX('3. Enter Indicator Scores'!$D$10:$CZ$161,_xlpm.r,_xlpm.c),""),
  IF(OR(_xlpm.w="",_xlpm.v=""),"",_xlpm.v*_xlpm.w)
)</f>
        <v/>
      </c>
      <c r="W139" s="93" t="str" cm="1">
        <f t="array" ref="W139">_xlfn.LET(
  _xlpm.w, W$11,
  _xlpm.r, MATCH(1,('3. Enter Indicator Scores'!$B$10:$B$161=$B139)*('3. Enter Indicator Scores'!$C$10:$C$161=$C139),0),
  _xlpm.c, MATCH(W$8,'3. Enter Indicator Scores'!$D$8:$CZ$8,0),
  _xlpm.v, IFERROR(INDEX('3. Enter Indicator Scores'!$D$10:$CZ$161,_xlpm.r,_xlpm.c),""),
  IF(OR(_xlpm.w="",_xlpm.v=""),"",_xlpm.v*_xlpm.w)
)</f>
        <v/>
      </c>
      <c r="X139" s="93" t="str" cm="1">
        <f t="array" ref="X139">_xlfn.LET(
  _xlpm.w, X$11,
  _xlpm.r, MATCH(1,('3. Enter Indicator Scores'!$B$10:$B$161=$B139)*('3. Enter Indicator Scores'!$C$10:$C$161=$C139),0),
  _xlpm.c, MATCH(X$8,'3. Enter Indicator Scores'!$D$8:$CZ$8,0),
  _xlpm.v, IFERROR(INDEX('3. Enter Indicator Scores'!$D$10:$CZ$161,_xlpm.r,_xlpm.c),""),
  IF(OR(_xlpm.w="",_xlpm.v=""),"",_xlpm.v*_xlpm.w)
)</f>
        <v/>
      </c>
      <c r="Y139" s="93" t="str" cm="1">
        <f t="array" ref="Y139">_xlfn.LET(
  _xlpm.w, Y$11,
  _xlpm.r, MATCH(1,('3. Enter Indicator Scores'!$B$10:$B$161=$B139)*('3. Enter Indicator Scores'!$C$10:$C$161=$C139),0),
  _xlpm.c, MATCH(Y$8,'3. Enter Indicator Scores'!$D$8:$CZ$8,0),
  _xlpm.v, IFERROR(INDEX('3. Enter Indicator Scores'!$D$10:$CZ$161,_xlpm.r,_xlpm.c),""),
  IF(OR(_xlpm.w="",_xlpm.v=""),"",_xlpm.v*_xlpm.w)
)</f>
        <v/>
      </c>
      <c r="Z139" s="93" t="str" cm="1">
        <f t="array" ref="Z139">_xlfn.LET(
  _xlpm.w, Z$11,
  _xlpm.r, MATCH(1,('3. Enter Indicator Scores'!$B$10:$B$161=$B139)*('3. Enter Indicator Scores'!$C$10:$C$161=$C139),0),
  _xlpm.c, MATCH(Z$8,'3. Enter Indicator Scores'!$D$8:$CZ$8,0),
  _xlpm.v, IFERROR(INDEX('3. Enter Indicator Scores'!$D$10:$CZ$161,_xlpm.r,_xlpm.c),""),
  IF(OR(_xlpm.w="",_xlpm.v=""),"",_xlpm.v*_xlpm.w)
)</f>
        <v/>
      </c>
      <c r="AA139" s="93" t="str" cm="1">
        <f t="array" ref="AA139">_xlfn.LET(
  _xlpm.w, AA$11,
  _xlpm.r, MATCH(1,('3. Enter Indicator Scores'!$B$10:$B$161=$B139)*('3. Enter Indicator Scores'!$C$10:$C$161=$C139),0),
  _xlpm.c, MATCH(AA$8,'3. Enter Indicator Scores'!$D$8:$CZ$8,0),
  _xlpm.v, IFERROR(INDEX('3. Enter Indicator Scores'!$D$10:$CZ$161,_xlpm.r,_xlpm.c),""),
  IF(OR(_xlpm.w="",_xlpm.v=""),"",_xlpm.v*_xlpm.w)
)</f>
        <v/>
      </c>
      <c r="AB139" s="93" t="str" cm="1">
        <f t="array" ref="AB139">_xlfn.LET(
  _xlpm.w, AB$11,
  _xlpm.r, MATCH(1,('3. Enter Indicator Scores'!$B$10:$B$161=$B139)*('3. Enter Indicator Scores'!$C$10:$C$161=$C139),0),
  _xlpm.c, MATCH(AB$8,'3. Enter Indicator Scores'!$D$8:$CZ$8,0),
  _xlpm.v, IFERROR(INDEX('3. Enter Indicator Scores'!$D$10:$CZ$161,_xlpm.r,_xlpm.c),""),
  IF(OR(_xlpm.w="",_xlpm.v=""),"",_xlpm.v*_xlpm.w)
)</f>
        <v/>
      </c>
      <c r="AC139" s="93" t="str" cm="1">
        <f t="array" ref="AC139">_xlfn.LET(
  _xlpm.w, AC$11,
  _xlpm.r, MATCH(1,('3. Enter Indicator Scores'!$B$10:$B$161=$B139)*('3. Enter Indicator Scores'!$C$10:$C$161=$C139),0),
  _xlpm.c, MATCH(AC$8,'3. Enter Indicator Scores'!$D$8:$CZ$8,0),
  _xlpm.v, IFERROR(INDEX('3. Enter Indicator Scores'!$D$10:$CZ$161,_xlpm.r,_xlpm.c),""),
  IF(OR(_xlpm.w="",_xlpm.v=""),"",_xlpm.v*_xlpm.w)
)</f>
        <v/>
      </c>
      <c r="AD139" s="93" t="str" cm="1">
        <f t="array" ref="AD139">_xlfn.LET(
  _xlpm.w, AD$11,
  _xlpm.r, MATCH(1,('3. Enter Indicator Scores'!$B$10:$B$161=$B139)*('3. Enter Indicator Scores'!$C$10:$C$161=$C139),0),
  _xlpm.c, MATCH(AD$8,'3. Enter Indicator Scores'!$D$8:$CZ$8,0),
  _xlpm.v, IFERROR(INDEX('3. Enter Indicator Scores'!$D$10:$CZ$161,_xlpm.r,_xlpm.c),""),
  IF(OR(_xlpm.w="",_xlpm.v=""),"",_xlpm.v*_xlpm.w)
)</f>
        <v/>
      </c>
      <c r="AE139" s="93" t="str" cm="1">
        <f t="array" ref="AE139">_xlfn.LET(
  _xlpm.w, AE$11,
  _xlpm.r, MATCH(1,('3. Enter Indicator Scores'!$B$10:$B$161=$B139)*('3. Enter Indicator Scores'!$C$10:$C$161=$C139),0),
  _xlpm.c, MATCH(AE$8,'3. Enter Indicator Scores'!$D$8:$CZ$8,0),
  _xlpm.v, IFERROR(INDEX('3. Enter Indicator Scores'!$D$10:$CZ$161,_xlpm.r,_xlpm.c),""),
  IF(OR(_xlpm.w="",_xlpm.v=""),"",_xlpm.v*_xlpm.w)
)</f>
        <v/>
      </c>
      <c r="AF139" s="93" t="str" cm="1">
        <f t="array" ref="AF139">_xlfn.LET(
  _xlpm.w, AF$11,
  _xlpm.r, MATCH(1,('3. Enter Indicator Scores'!$B$10:$B$161=$B139)*('3. Enter Indicator Scores'!$C$10:$C$161=$C139),0),
  _xlpm.c, MATCH(AF$8,'3. Enter Indicator Scores'!$D$8:$CZ$8,0),
  _xlpm.v, IFERROR(INDEX('3. Enter Indicator Scores'!$D$10:$CZ$161,_xlpm.r,_xlpm.c),""),
  IF(OR(_xlpm.w="",_xlpm.v=""),"",_xlpm.v*_xlpm.w)
)</f>
        <v/>
      </c>
      <c r="AG139" s="93" t="str" cm="1">
        <f t="array" ref="AG139">_xlfn.LET(
  _xlpm.w, AG$11,
  _xlpm.r, MATCH(1,('3. Enter Indicator Scores'!$B$10:$B$161=$B139)*('3. Enter Indicator Scores'!$C$10:$C$161=$C139),0),
  _xlpm.c, MATCH(AG$8,'3. Enter Indicator Scores'!$D$8:$CZ$8,0),
  _xlpm.v, IFERROR(INDEX('3. Enter Indicator Scores'!$D$10:$CZ$161,_xlpm.r,_xlpm.c),""),
  IF(OR(_xlpm.w="",_xlpm.v=""),"",_xlpm.v*_xlpm.w)
)</f>
        <v/>
      </c>
      <c r="AH139" s="93" t="str" cm="1">
        <f t="array" ref="AH139">_xlfn.LET(
  _xlpm.w, AH$11,
  _xlpm.r, MATCH(1,('3. Enter Indicator Scores'!$B$10:$B$161=$B139)*('3. Enter Indicator Scores'!$C$10:$C$161=$C139),0),
  _xlpm.c, MATCH(AH$8,'3. Enter Indicator Scores'!$D$8:$CZ$8,0),
  _xlpm.v, IFERROR(INDEX('3. Enter Indicator Scores'!$D$10:$CZ$161,_xlpm.r,_xlpm.c),""),
  IF(OR(_xlpm.w="",_xlpm.v=""),"",_xlpm.v*_xlpm.w)
)</f>
        <v/>
      </c>
      <c r="AI139" s="93" t="str" cm="1">
        <f t="array" ref="AI139">_xlfn.LET(
  _xlpm.w, AI$11,
  _xlpm.r, MATCH(1,('3. Enter Indicator Scores'!$B$10:$B$161=$B139)*('3. Enter Indicator Scores'!$C$10:$C$161=$C139),0),
  _xlpm.c, MATCH(AI$8,'3. Enter Indicator Scores'!$D$8:$CZ$8,0),
  _xlpm.v, IFERROR(INDEX('3. Enter Indicator Scores'!$D$10:$CZ$161,_xlpm.r,_xlpm.c),""),
  IF(OR(_xlpm.w="",_xlpm.v=""),"",_xlpm.v*_xlpm.w)
)</f>
        <v/>
      </c>
      <c r="AJ139" s="93" t="str" cm="1">
        <f t="array" ref="AJ139">_xlfn.LET(
  _xlpm.w, AJ$11,
  _xlpm.r, MATCH(1,('3. Enter Indicator Scores'!$B$10:$B$161=$B139)*('3. Enter Indicator Scores'!$C$10:$C$161=$C139),0),
  _xlpm.c, MATCH(AJ$8,'3. Enter Indicator Scores'!$D$8:$CZ$8,0),
  _xlpm.v, IFERROR(INDEX('3. Enter Indicator Scores'!$D$10:$CZ$161,_xlpm.r,_xlpm.c),""),
  IF(OR(_xlpm.w="",_xlpm.v=""),"",_xlpm.v*_xlpm.w)
)</f>
        <v/>
      </c>
      <c r="AK139" s="93" t="str" cm="1">
        <f t="array" ref="AK139">_xlfn.LET(
  _xlpm.w, AK$11,
  _xlpm.r, MATCH(1,('3. Enter Indicator Scores'!$B$10:$B$161=$B139)*('3. Enter Indicator Scores'!$C$10:$C$161=$C139),0),
  _xlpm.c, MATCH(AK$8,'3. Enter Indicator Scores'!$D$8:$CZ$8,0),
  _xlpm.v, IFERROR(INDEX('3. Enter Indicator Scores'!$D$10:$CZ$161,_xlpm.r,_xlpm.c),""),
  IF(OR(_xlpm.w="",_xlpm.v=""),"",_xlpm.v*_xlpm.w)
)</f>
        <v/>
      </c>
      <c r="AL139" s="93" t="str" cm="1">
        <f t="array" ref="AL139">_xlfn.LET(
  _xlpm.w, AL$11,
  _xlpm.r, MATCH(1,('3. Enter Indicator Scores'!$B$10:$B$161=$B139)*('3. Enter Indicator Scores'!$C$10:$C$161=$C139),0),
  _xlpm.c, MATCH(AL$8,'3. Enter Indicator Scores'!$D$8:$CZ$8,0),
  _xlpm.v, IFERROR(INDEX('3. Enter Indicator Scores'!$D$10:$CZ$161,_xlpm.r,_xlpm.c),""),
  IF(OR(_xlpm.w="",_xlpm.v=""),"",_xlpm.v*_xlpm.w)
)</f>
        <v/>
      </c>
      <c r="AM139" s="93" t="str" cm="1">
        <f t="array" ref="AM139">_xlfn.LET(
  _xlpm.w, AM$11,
  _xlpm.r, MATCH(1,('3. Enter Indicator Scores'!$B$10:$B$161=$B139)*('3. Enter Indicator Scores'!$C$10:$C$161=$C139),0),
  _xlpm.c, MATCH(AM$8,'3. Enter Indicator Scores'!$D$8:$CZ$8,0),
  _xlpm.v, IFERROR(INDEX('3. Enter Indicator Scores'!$D$10:$CZ$161,_xlpm.r,_xlpm.c),""),
  IF(OR(_xlpm.w="",_xlpm.v=""),"",_xlpm.v*_xlpm.w)
)</f>
        <v/>
      </c>
      <c r="AN139" s="93" t="str" cm="1">
        <f t="array" ref="AN139">_xlfn.LET(
  _xlpm.w, AN$11,
  _xlpm.r, MATCH(1,('3. Enter Indicator Scores'!$B$10:$B$161=$B139)*('3. Enter Indicator Scores'!$C$10:$C$161=$C139),0),
  _xlpm.c, MATCH(AN$8,'3. Enter Indicator Scores'!$D$8:$CZ$8,0),
  _xlpm.v, IFERROR(INDEX('3. Enter Indicator Scores'!$D$10:$CZ$161,_xlpm.r,_xlpm.c),""),
  IF(OR(_xlpm.w="",_xlpm.v=""),"",_xlpm.v*_xlpm.w)
)</f>
        <v/>
      </c>
      <c r="AO139" s="93" t="str" cm="1">
        <f t="array" ref="AO139">_xlfn.LET(
  _xlpm.w, AO$11,
  _xlpm.r, MATCH(1,('3. Enter Indicator Scores'!$B$10:$B$161=$B139)*('3. Enter Indicator Scores'!$C$10:$C$161=$C139),0),
  _xlpm.c, MATCH(AO$8,'3. Enter Indicator Scores'!$D$8:$CZ$8,0),
  _xlpm.v, IFERROR(INDEX('3. Enter Indicator Scores'!$D$10:$CZ$161,_xlpm.r,_xlpm.c),""),
  IF(OR(_xlpm.w="",_xlpm.v=""),"",_xlpm.v*_xlpm.w)
)</f>
        <v/>
      </c>
      <c r="AP139" s="93" t="str" cm="1">
        <f t="array" ref="AP139">_xlfn.LET(
  _xlpm.w, AP$11,
  _xlpm.r, MATCH(1,('3. Enter Indicator Scores'!$B$10:$B$161=$B139)*('3. Enter Indicator Scores'!$C$10:$C$161=$C139),0),
  _xlpm.c, MATCH(AP$8,'3. Enter Indicator Scores'!$D$8:$CZ$8,0),
  _xlpm.v, IFERROR(INDEX('3. Enter Indicator Scores'!$D$10:$CZ$161,_xlpm.r,_xlpm.c),""),
  IF(OR(_xlpm.w="",_xlpm.v=""),"",_xlpm.v*_xlpm.w)
)</f>
        <v/>
      </c>
      <c r="AQ139" s="93" t="str" cm="1">
        <f t="array" ref="AQ139">_xlfn.LET(
  _xlpm.w, AQ$11,
  _xlpm.r, MATCH(1,('3. Enter Indicator Scores'!$B$10:$B$161=$B139)*('3. Enter Indicator Scores'!$C$10:$C$161=$C139),0),
  _xlpm.c, MATCH(AQ$8,'3. Enter Indicator Scores'!$D$8:$CZ$8,0),
  _xlpm.v, IFERROR(INDEX('3. Enter Indicator Scores'!$D$10:$CZ$161,_xlpm.r,_xlpm.c),""),
  IF(OR(_xlpm.w="",_xlpm.v=""),"",_xlpm.v*_xlpm.w)
)</f>
        <v/>
      </c>
      <c r="AR139" s="93" t="str" cm="1">
        <f t="array" ref="AR139">_xlfn.LET(
  _xlpm.w, AR$11,
  _xlpm.r, MATCH(1,('3. Enter Indicator Scores'!$B$10:$B$161=$B139)*('3. Enter Indicator Scores'!$C$10:$C$161=$C139),0),
  _xlpm.c, MATCH(AR$8,'3. Enter Indicator Scores'!$D$8:$CZ$8,0),
  _xlpm.v, IFERROR(INDEX('3. Enter Indicator Scores'!$D$10:$CZ$161,_xlpm.r,_xlpm.c),""),
  IF(OR(_xlpm.w="",_xlpm.v=""),"",_xlpm.v*_xlpm.w)
)</f>
        <v/>
      </c>
      <c r="AS139" s="93" t="str" cm="1">
        <f t="array" ref="AS139">_xlfn.LET(
  _xlpm.w, AS$11,
  _xlpm.r, MATCH(1,('3. Enter Indicator Scores'!$B$10:$B$161=$B139)*('3. Enter Indicator Scores'!$C$10:$C$161=$C139),0),
  _xlpm.c, MATCH(AS$8,'3. Enter Indicator Scores'!$D$8:$CZ$8,0),
  _xlpm.v, IFERROR(INDEX('3. Enter Indicator Scores'!$D$10:$CZ$161,_xlpm.r,_xlpm.c),""),
  IF(OR(_xlpm.w="",_xlpm.v=""),"",_xlpm.v*_xlpm.w)
)</f>
        <v/>
      </c>
      <c r="AT139" s="93" t="str" cm="1">
        <f t="array" ref="AT139">_xlfn.LET(
  _xlpm.w, AT$11,
  _xlpm.r, MATCH(1,('3. Enter Indicator Scores'!$B$10:$B$161=$B139)*('3. Enter Indicator Scores'!$C$10:$C$161=$C139),0),
  _xlpm.c, MATCH(AT$8,'3. Enter Indicator Scores'!$D$8:$CZ$8,0),
  _xlpm.v, IFERROR(INDEX('3. Enter Indicator Scores'!$D$10:$CZ$161,_xlpm.r,_xlpm.c),""),
  IF(OR(_xlpm.w="",_xlpm.v=""),"",_xlpm.v*_xlpm.w)
)</f>
        <v/>
      </c>
      <c r="AU139" s="93" t="str" cm="1">
        <f t="array" ref="AU139">_xlfn.LET(
  _xlpm.w, AU$11,
  _xlpm.r, MATCH(1,('3. Enter Indicator Scores'!$B$10:$B$161=$B139)*('3. Enter Indicator Scores'!$C$10:$C$161=$C139),0),
  _xlpm.c, MATCH(AU$8,'3. Enter Indicator Scores'!$D$8:$CZ$8,0),
  _xlpm.v, IFERROR(INDEX('3. Enter Indicator Scores'!$D$10:$CZ$161,_xlpm.r,_xlpm.c),""),
  IF(OR(_xlpm.w="",_xlpm.v=""),"",_xlpm.v*_xlpm.w)
)</f>
        <v/>
      </c>
      <c r="AV139" s="93" t="str" cm="1">
        <f t="array" ref="AV139">_xlfn.LET(
  _xlpm.w, AV$11,
  _xlpm.r, MATCH(1,('3. Enter Indicator Scores'!$B$10:$B$161=$B139)*('3. Enter Indicator Scores'!$C$10:$C$161=$C139),0),
  _xlpm.c, MATCH(AV$8,'3. Enter Indicator Scores'!$D$8:$CZ$8,0),
  _xlpm.v, IFERROR(INDEX('3. Enter Indicator Scores'!$D$10:$CZ$161,_xlpm.r,_xlpm.c),""),
  IF(OR(_xlpm.w="",_xlpm.v=""),"",_xlpm.v*_xlpm.w)
)</f>
        <v/>
      </c>
      <c r="AW139" s="93" t="str" cm="1">
        <f t="array" ref="AW139">_xlfn.LET(
  _xlpm.w, AW$11,
  _xlpm.r, MATCH(1,('3. Enter Indicator Scores'!$B$10:$B$161=$B139)*('3. Enter Indicator Scores'!$C$10:$C$161=$C139),0),
  _xlpm.c, MATCH(AW$8,'3. Enter Indicator Scores'!$D$8:$CZ$8,0),
  _xlpm.v, IFERROR(INDEX('3. Enter Indicator Scores'!$D$10:$CZ$161,_xlpm.r,_xlpm.c),""),
  IF(OR(_xlpm.w="",_xlpm.v=""),"",_xlpm.v*_xlpm.w)
)</f>
        <v/>
      </c>
      <c r="AX139" s="93" t="str" cm="1">
        <f t="array" ref="AX139">_xlfn.LET(
  _xlpm.w, AX$11,
  _xlpm.r, MATCH(1,('3. Enter Indicator Scores'!$B$10:$B$161=$B139)*('3. Enter Indicator Scores'!$C$10:$C$161=$C139),0),
  _xlpm.c, MATCH(AX$8,'3. Enter Indicator Scores'!$D$8:$CZ$8,0),
  _xlpm.v, IFERROR(INDEX('3. Enter Indicator Scores'!$D$10:$CZ$161,_xlpm.r,_xlpm.c),""),
  IF(OR(_xlpm.w="",_xlpm.v=""),"",_xlpm.v*_xlpm.w)
)</f>
        <v/>
      </c>
      <c r="AY139" s="93" t="str" cm="1">
        <f t="array" ref="AY139">_xlfn.LET(
  _xlpm.w, AY$11,
  _xlpm.r, MATCH(1,('3. Enter Indicator Scores'!$B$10:$B$161=$B139)*('3. Enter Indicator Scores'!$C$10:$C$161=$C139),0),
  _xlpm.c, MATCH(AY$8,'3. Enter Indicator Scores'!$D$8:$CZ$8,0),
  _xlpm.v, IFERROR(INDEX('3. Enter Indicator Scores'!$D$10:$CZ$161,_xlpm.r,_xlpm.c),""),
  IF(OR(_xlpm.w="",_xlpm.v=""),"",_xlpm.v*_xlpm.w)
)</f>
        <v/>
      </c>
      <c r="AZ139" s="93" t="str" cm="1">
        <f t="array" ref="AZ139">_xlfn.LET(
  _xlpm.w, AZ$11,
  _xlpm.r, MATCH(1,('3. Enter Indicator Scores'!$B$10:$B$161=$B139)*('3. Enter Indicator Scores'!$C$10:$C$161=$C139),0),
  _xlpm.c, MATCH(AZ$8,'3. Enter Indicator Scores'!$D$8:$CZ$8,0),
  _xlpm.v, IFERROR(INDEX('3. Enter Indicator Scores'!$D$10:$CZ$161,_xlpm.r,_xlpm.c),""),
  IF(OR(_xlpm.w="",_xlpm.v=""),"",_xlpm.v*_xlpm.w)
)</f>
        <v/>
      </c>
      <c r="BA139" s="93" t="str" cm="1">
        <f t="array" ref="BA139">_xlfn.LET(
  _xlpm.w, BA$11,
  _xlpm.r, MATCH(1,('3. Enter Indicator Scores'!$B$10:$B$161=$B139)*('3. Enter Indicator Scores'!$C$10:$C$161=$C139),0),
  _xlpm.c, MATCH(BA$8,'3. Enter Indicator Scores'!$D$8:$CZ$8,0),
  _xlpm.v, IFERROR(INDEX('3. Enter Indicator Scores'!$D$10:$CZ$161,_xlpm.r,_xlpm.c),""),
  IF(OR(_xlpm.w="",_xlpm.v=""),"",_xlpm.v*_xlpm.w)
)</f>
        <v/>
      </c>
      <c r="BB139" s="93" t="str" cm="1">
        <f t="array" ref="BB139">_xlfn.LET(
  _xlpm.w, BB$11,
  _xlpm.r, MATCH(1,('3. Enter Indicator Scores'!$B$10:$B$161=$B139)*('3. Enter Indicator Scores'!$C$10:$C$161=$C139),0),
  _xlpm.c, MATCH(BB$8,'3. Enter Indicator Scores'!$D$8:$CZ$8,0),
  _xlpm.v, IFERROR(INDEX('3. Enter Indicator Scores'!$D$10:$CZ$161,_xlpm.r,_xlpm.c),""),
  IF(OR(_xlpm.w="",_xlpm.v=""),"",_xlpm.v*_xlpm.w)
)</f>
        <v/>
      </c>
      <c r="BC139" s="93" t="str" cm="1">
        <f t="array" ref="BC139">_xlfn.LET(
  _xlpm.w, BC$11,
  _xlpm.r, MATCH(1,('3. Enter Indicator Scores'!$B$10:$B$161=$B139)*('3. Enter Indicator Scores'!$C$10:$C$161=$C139),0),
  _xlpm.c, MATCH(BC$8,'3. Enter Indicator Scores'!$D$8:$CZ$8,0),
  _xlpm.v, IFERROR(INDEX('3. Enter Indicator Scores'!$D$10:$CZ$161,_xlpm.r,_xlpm.c),""),
  IF(OR(_xlpm.w="",_xlpm.v=""),"",_xlpm.v*_xlpm.w)
)</f>
        <v/>
      </c>
      <c r="BD139" s="93" t="str" cm="1">
        <f t="array" ref="BD139">_xlfn.LET(
  _xlpm.w, BD$11,
  _xlpm.r, MATCH(1,('3. Enter Indicator Scores'!$B$10:$B$161=$B139)*('3. Enter Indicator Scores'!$C$10:$C$161=$C139),0),
  _xlpm.c, MATCH(BD$8,'3. Enter Indicator Scores'!$D$8:$CZ$8,0),
  _xlpm.v, IFERROR(INDEX('3. Enter Indicator Scores'!$D$10:$CZ$161,_xlpm.r,_xlpm.c),""),
  IF(OR(_xlpm.w="",_xlpm.v=""),"",_xlpm.v*_xlpm.w)
)</f>
        <v/>
      </c>
      <c r="BE139" s="93" t="str" cm="1">
        <f t="array" ref="BE139">_xlfn.LET(
  _xlpm.w, BE$11,
  _xlpm.r, MATCH(1,('3. Enter Indicator Scores'!$B$10:$B$161=$B139)*('3. Enter Indicator Scores'!$C$10:$C$161=$C139),0),
  _xlpm.c, MATCH(BE$8,'3. Enter Indicator Scores'!$D$8:$CZ$8,0),
  _xlpm.v, IFERROR(INDEX('3. Enter Indicator Scores'!$D$10:$CZ$161,_xlpm.r,_xlpm.c),""),
  IF(OR(_xlpm.w="",_xlpm.v=""),"",_xlpm.v*_xlpm.w)
)</f>
        <v/>
      </c>
      <c r="BF139" s="93" t="str" cm="1">
        <f t="array" ref="BF139">_xlfn.LET(
  _xlpm.w, BF$11,
  _xlpm.r, MATCH(1,('3. Enter Indicator Scores'!$B$10:$B$161=$B139)*('3. Enter Indicator Scores'!$C$10:$C$161=$C139),0),
  _xlpm.c, MATCH(BF$8,'3. Enter Indicator Scores'!$D$8:$CZ$8,0),
  _xlpm.v, IFERROR(INDEX('3. Enter Indicator Scores'!$D$10:$CZ$161,_xlpm.r,_xlpm.c),""),
  IF(OR(_xlpm.w="",_xlpm.v=""),"",_xlpm.v*_xlpm.w)
)</f>
        <v/>
      </c>
      <c r="BG139" s="93" t="str" cm="1">
        <f t="array" ref="BG139">_xlfn.LET(
  _xlpm.w, BG$11,
  _xlpm.r, MATCH(1,('3. Enter Indicator Scores'!$B$10:$B$161=$B139)*('3. Enter Indicator Scores'!$C$10:$C$161=$C139),0),
  _xlpm.c, MATCH(BG$8,'3. Enter Indicator Scores'!$D$8:$CZ$8,0),
  _xlpm.v, IFERROR(INDEX('3. Enter Indicator Scores'!$D$10:$CZ$161,_xlpm.r,_xlpm.c),""),
  IF(OR(_xlpm.w="",_xlpm.v=""),"",_xlpm.v*_xlpm.w)
)</f>
        <v/>
      </c>
      <c r="BH139" s="93" t="str" cm="1">
        <f t="array" ref="BH139">_xlfn.LET(
  _xlpm.w, BH$11,
  _xlpm.r, MATCH(1,('3. Enter Indicator Scores'!$B$10:$B$161=$B139)*('3. Enter Indicator Scores'!$C$10:$C$161=$C139),0),
  _xlpm.c, MATCH(BH$8,'3. Enter Indicator Scores'!$D$8:$CZ$8,0),
  _xlpm.v, IFERROR(INDEX('3. Enter Indicator Scores'!$D$10:$CZ$161,_xlpm.r,_xlpm.c),""),
  IF(OR(_xlpm.w="",_xlpm.v=""),"",_xlpm.v*_xlpm.w)
)</f>
        <v/>
      </c>
      <c r="BI139" s="93" t="str" cm="1">
        <f t="array" ref="BI139">_xlfn.LET(
  _xlpm.w, BI$11,
  _xlpm.r, MATCH(1,('3. Enter Indicator Scores'!$B$10:$B$161=$B139)*('3. Enter Indicator Scores'!$C$10:$C$161=$C139),0),
  _xlpm.c, MATCH(BI$8,'3. Enter Indicator Scores'!$D$8:$CZ$8,0),
  _xlpm.v, IFERROR(INDEX('3. Enter Indicator Scores'!$D$10:$CZ$161,_xlpm.r,_xlpm.c),""),
  IF(OR(_xlpm.w="",_xlpm.v=""),"",_xlpm.v*_xlpm.w)
)</f>
        <v/>
      </c>
      <c r="BJ139" s="93" t="str" cm="1">
        <f t="array" ref="BJ139">_xlfn.LET(
  _xlpm.w, BJ$11,
  _xlpm.r, MATCH(1,('3. Enter Indicator Scores'!$B$10:$B$161=$B139)*('3. Enter Indicator Scores'!$C$10:$C$161=$C139),0),
  _xlpm.c, MATCH(BJ$8,'3. Enter Indicator Scores'!$D$8:$CZ$8,0),
  _xlpm.v, IFERROR(INDEX('3. Enter Indicator Scores'!$D$10:$CZ$161,_xlpm.r,_xlpm.c),""),
  IF(OR(_xlpm.w="",_xlpm.v=""),"",_xlpm.v*_xlpm.w)
)</f>
        <v/>
      </c>
      <c r="BK139" s="93" t="str" cm="1">
        <f t="array" ref="BK139">_xlfn.LET(
  _xlpm.w, BK$11,
  _xlpm.r, MATCH(1,('3. Enter Indicator Scores'!$B$10:$B$161=$B139)*('3. Enter Indicator Scores'!$C$10:$C$161=$C139),0),
  _xlpm.c, MATCH(BK$8,'3. Enter Indicator Scores'!$D$8:$CZ$8,0),
  _xlpm.v, IFERROR(INDEX('3. Enter Indicator Scores'!$D$10:$CZ$161,_xlpm.r,_xlpm.c),""),
  IF(OR(_xlpm.w="",_xlpm.v=""),"",_xlpm.v*_xlpm.w)
)</f>
        <v/>
      </c>
      <c r="BL139" s="93" t="str" cm="1">
        <f t="array" ref="BL139">_xlfn.LET(
  _xlpm.w, BL$11,
  _xlpm.r, MATCH(1,('3. Enter Indicator Scores'!$B$10:$B$161=$B139)*('3. Enter Indicator Scores'!$C$10:$C$161=$C139),0),
  _xlpm.c, MATCH(BL$8,'3. Enter Indicator Scores'!$D$8:$CZ$8,0),
  _xlpm.v, IFERROR(INDEX('3. Enter Indicator Scores'!$D$10:$CZ$161,_xlpm.r,_xlpm.c),""),
  IF(OR(_xlpm.w="",_xlpm.v=""),"",_xlpm.v*_xlpm.w)
)</f>
        <v/>
      </c>
      <c r="BM139" s="93" t="str" cm="1">
        <f t="array" ref="BM139">_xlfn.LET(
  _xlpm.w, BM$11,
  _xlpm.r, MATCH(1,('3. Enter Indicator Scores'!$B$10:$B$161=$B139)*('3. Enter Indicator Scores'!$C$10:$C$161=$C139),0),
  _xlpm.c, MATCH(BM$8,'3. Enter Indicator Scores'!$D$8:$CZ$8,0),
  _xlpm.v, IFERROR(INDEX('3. Enter Indicator Scores'!$D$10:$CZ$161,_xlpm.r,_xlpm.c),""),
  IF(OR(_xlpm.w="",_xlpm.v=""),"",_xlpm.v*_xlpm.w)
)</f>
        <v/>
      </c>
      <c r="BN139" s="93" t="str" cm="1">
        <f t="array" ref="BN139">_xlfn.LET(
  _xlpm.w, BN$11,
  _xlpm.r, MATCH(1,('3. Enter Indicator Scores'!$B$10:$B$161=$B139)*('3. Enter Indicator Scores'!$C$10:$C$161=$C139),0),
  _xlpm.c, MATCH(BN$8,'3. Enter Indicator Scores'!$D$8:$CZ$8,0),
  _xlpm.v, IFERROR(INDEX('3. Enter Indicator Scores'!$D$10:$CZ$161,_xlpm.r,_xlpm.c),""),
  IF(OR(_xlpm.w="",_xlpm.v=""),"",_xlpm.v*_xlpm.w)
)</f>
        <v/>
      </c>
      <c r="BO139" s="93" t="str" cm="1">
        <f t="array" ref="BO139">_xlfn.LET(
  _xlpm.w, BO$11,
  _xlpm.r, MATCH(1,('3. Enter Indicator Scores'!$B$10:$B$161=$B139)*('3. Enter Indicator Scores'!$C$10:$C$161=$C139),0),
  _xlpm.c, MATCH(BO$8,'3. Enter Indicator Scores'!$D$8:$CZ$8,0),
  _xlpm.v, IFERROR(INDEX('3. Enter Indicator Scores'!$D$10:$CZ$161,_xlpm.r,_xlpm.c),""),
  IF(OR(_xlpm.w="",_xlpm.v=""),"",_xlpm.v*_xlpm.w)
)</f>
        <v/>
      </c>
      <c r="BP139" s="93" t="str" cm="1">
        <f t="array" ref="BP139">_xlfn.LET(
  _xlpm.w, BP$11,
  _xlpm.r, MATCH(1,('3. Enter Indicator Scores'!$B$10:$B$161=$B139)*('3. Enter Indicator Scores'!$C$10:$C$161=$C139),0),
  _xlpm.c, MATCH(BP$8,'3. Enter Indicator Scores'!$D$8:$CZ$8,0),
  _xlpm.v, IFERROR(INDEX('3. Enter Indicator Scores'!$D$10:$CZ$161,_xlpm.r,_xlpm.c),""),
  IF(OR(_xlpm.w="",_xlpm.v=""),"",_xlpm.v*_xlpm.w)
)</f>
        <v/>
      </c>
      <c r="BQ139" s="93" t="str" cm="1">
        <f t="array" ref="BQ139">_xlfn.LET(
  _xlpm.w, BQ$11,
  _xlpm.r, MATCH(1,('3. Enter Indicator Scores'!$B$10:$B$161=$B139)*('3. Enter Indicator Scores'!$C$10:$C$161=$C139),0),
  _xlpm.c, MATCH(BQ$8,'3. Enter Indicator Scores'!$D$8:$CZ$8,0),
  _xlpm.v, IFERROR(INDEX('3. Enter Indicator Scores'!$D$10:$CZ$161,_xlpm.r,_xlpm.c),""),
  IF(OR(_xlpm.w="",_xlpm.v=""),"",_xlpm.v*_xlpm.w)
)</f>
        <v/>
      </c>
      <c r="BR139" s="93" t="str" cm="1">
        <f t="array" ref="BR139">_xlfn.LET(
  _xlpm.w, BR$11,
  _xlpm.r, MATCH(1,('3. Enter Indicator Scores'!$B$10:$B$161=$B139)*('3. Enter Indicator Scores'!$C$10:$C$161=$C139),0),
  _xlpm.c, MATCH(BR$8,'3. Enter Indicator Scores'!$D$8:$CZ$8,0),
  _xlpm.v, IFERROR(INDEX('3. Enter Indicator Scores'!$D$10:$CZ$161,_xlpm.r,_xlpm.c),""),
  IF(OR(_xlpm.w="",_xlpm.v=""),"",_xlpm.v*_xlpm.w)
)</f>
        <v/>
      </c>
      <c r="BS139" s="93" t="str" cm="1">
        <f t="array" ref="BS139">_xlfn.LET(
  _xlpm.w, BS$11,
  _xlpm.r, MATCH(1,('3. Enter Indicator Scores'!$B$10:$B$161=$B139)*('3. Enter Indicator Scores'!$C$10:$C$161=$C139),0),
  _xlpm.c, MATCH(BS$8,'3. Enter Indicator Scores'!$D$8:$CZ$8,0),
  _xlpm.v, IFERROR(INDEX('3. Enter Indicator Scores'!$D$10:$CZ$161,_xlpm.r,_xlpm.c),""),
  IF(OR(_xlpm.w="",_xlpm.v=""),"",_xlpm.v*_xlpm.w)
)</f>
        <v/>
      </c>
      <c r="BT139" s="93" t="str" cm="1">
        <f t="array" ref="BT139">_xlfn.LET(
  _xlpm.w, BT$11,
  _xlpm.r, MATCH(1,('3. Enter Indicator Scores'!$B$10:$B$161=$B139)*('3. Enter Indicator Scores'!$C$10:$C$161=$C139),0),
  _xlpm.c, MATCH(BT$8,'3. Enter Indicator Scores'!$D$8:$CZ$8,0),
  _xlpm.v, IFERROR(INDEX('3. Enter Indicator Scores'!$D$10:$CZ$161,_xlpm.r,_xlpm.c),""),
  IF(OR(_xlpm.w="",_xlpm.v=""),"",_xlpm.v*_xlpm.w)
)</f>
        <v/>
      </c>
      <c r="BU139" s="93" t="str" cm="1">
        <f t="array" ref="BU139">_xlfn.LET(
  _xlpm.w, BU$11,
  _xlpm.r, MATCH(1,('3. Enter Indicator Scores'!$B$10:$B$161=$B139)*('3. Enter Indicator Scores'!$C$10:$C$161=$C139),0),
  _xlpm.c, MATCH(BU$8,'3. Enter Indicator Scores'!$D$8:$CZ$8,0),
  _xlpm.v, IFERROR(INDEX('3. Enter Indicator Scores'!$D$10:$CZ$161,_xlpm.r,_xlpm.c),""),
  IF(OR(_xlpm.w="",_xlpm.v=""),"",_xlpm.v*_xlpm.w)
)</f>
        <v/>
      </c>
      <c r="BV139" s="93" t="str" cm="1">
        <f t="array" ref="BV139">_xlfn.LET(
  _xlpm.w, BV$11,
  _xlpm.r, MATCH(1,('3. Enter Indicator Scores'!$B$10:$B$161=$B139)*('3. Enter Indicator Scores'!$C$10:$C$161=$C139),0),
  _xlpm.c, MATCH(BV$8,'3. Enter Indicator Scores'!$D$8:$CZ$8,0),
  _xlpm.v, IFERROR(INDEX('3. Enter Indicator Scores'!$D$10:$CZ$161,_xlpm.r,_xlpm.c),""),
  IF(OR(_xlpm.w="",_xlpm.v=""),"",_xlpm.v*_xlpm.w)
)</f>
        <v/>
      </c>
      <c r="BW139" s="93" t="str" cm="1">
        <f t="array" ref="BW139">_xlfn.LET(
  _xlpm.w, BW$11,
  _xlpm.r, MATCH(1,('3. Enter Indicator Scores'!$B$10:$B$161=$B139)*('3. Enter Indicator Scores'!$C$10:$C$161=$C139),0),
  _xlpm.c, MATCH(BW$8,'3. Enter Indicator Scores'!$D$8:$CZ$8,0),
  _xlpm.v, IFERROR(INDEX('3. Enter Indicator Scores'!$D$10:$CZ$161,_xlpm.r,_xlpm.c),""),
  IF(OR(_xlpm.w="",_xlpm.v=""),"",_xlpm.v*_xlpm.w)
)</f>
        <v/>
      </c>
      <c r="BX139" s="93" t="str" cm="1">
        <f t="array" ref="BX139">_xlfn.LET(
  _xlpm.w, BX$11,
  _xlpm.r, MATCH(1,('3. Enter Indicator Scores'!$B$10:$B$161=$B139)*('3. Enter Indicator Scores'!$C$10:$C$161=$C139),0),
  _xlpm.c, MATCH(BX$8,'3. Enter Indicator Scores'!$D$8:$CZ$8,0),
  _xlpm.v, IFERROR(INDEX('3. Enter Indicator Scores'!$D$10:$CZ$161,_xlpm.r,_xlpm.c),""),
  IF(OR(_xlpm.w="",_xlpm.v=""),"",_xlpm.v*_xlpm.w)
)</f>
        <v/>
      </c>
      <c r="BY139" s="93" t="str" cm="1">
        <f t="array" ref="BY139">_xlfn.LET(
  _xlpm.w, BY$11,
  _xlpm.r, MATCH(1,('3. Enter Indicator Scores'!$B$10:$B$161=$B139)*('3. Enter Indicator Scores'!$C$10:$C$161=$C139),0),
  _xlpm.c, MATCH(BY$8,'3. Enter Indicator Scores'!$D$8:$CZ$8,0),
  _xlpm.v, IFERROR(INDEX('3. Enter Indicator Scores'!$D$10:$CZ$161,_xlpm.r,_xlpm.c),""),
  IF(OR(_xlpm.w="",_xlpm.v=""),"",_xlpm.v*_xlpm.w)
)</f>
        <v/>
      </c>
      <c r="BZ139" s="93" t="str" cm="1">
        <f t="array" ref="BZ139">_xlfn.LET(
  _xlpm.w, BZ$11,
  _xlpm.r, MATCH(1,('3. Enter Indicator Scores'!$B$10:$B$161=$B139)*('3. Enter Indicator Scores'!$C$10:$C$161=$C139),0),
  _xlpm.c, MATCH(BZ$8,'3. Enter Indicator Scores'!$D$8:$CZ$8,0),
  _xlpm.v, IFERROR(INDEX('3. Enter Indicator Scores'!$D$10:$CZ$161,_xlpm.r,_xlpm.c),""),
  IF(OR(_xlpm.w="",_xlpm.v=""),"",_xlpm.v*_xlpm.w)
)</f>
        <v/>
      </c>
      <c r="CA139" s="93" t="str" cm="1">
        <f t="array" ref="CA139">_xlfn.LET(
  _xlpm.w, CA$11,
  _xlpm.r, MATCH(1,('3. Enter Indicator Scores'!$B$10:$B$161=$B139)*('3. Enter Indicator Scores'!$C$10:$C$161=$C139),0),
  _xlpm.c, MATCH(CA$8,'3. Enter Indicator Scores'!$D$8:$CZ$8,0),
  _xlpm.v, IFERROR(INDEX('3. Enter Indicator Scores'!$D$10:$CZ$161,_xlpm.r,_xlpm.c),""),
  IF(OR(_xlpm.w="",_xlpm.v=""),"",_xlpm.v*_xlpm.w)
)</f>
        <v/>
      </c>
      <c r="CB139" s="93" t="str" cm="1">
        <f t="array" ref="CB139">_xlfn.LET(
  _xlpm.w, CB$11,
  _xlpm.r, MATCH(1,('3. Enter Indicator Scores'!$B$10:$B$161=$B139)*('3. Enter Indicator Scores'!$C$10:$C$161=$C139),0),
  _xlpm.c, MATCH(CB$8,'3. Enter Indicator Scores'!$D$8:$CZ$8,0),
  _xlpm.v, IFERROR(INDEX('3. Enter Indicator Scores'!$D$10:$CZ$161,_xlpm.r,_xlpm.c),""),
  IF(OR(_xlpm.w="",_xlpm.v=""),"",_xlpm.v*_xlpm.w)
)</f>
        <v/>
      </c>
      <c r="CC139" s="93" t="str" cm="1">
        <f t="array" ref="CC139">_xlfn.LET(
  _xlpm.w, CC$11,
  _xlpm.r, MATCH(1,('3. Enter Indicator Scores'!$B$10:$B$161=$B139)*('3. Enter Indicator Scores'!$C$10:$C$161=$C139),0),
  _xlpm.c, MATCH(CC$8,'3. Enter Indicator Scores'!$D$8:$CZ$8,0),
  _xlpm.v, IFERROR(INDEX('3. Enter Indicator Scores'!$D$10:$CZ$161,_xlpm.r,_xlpm.c),""),
  IF(OR(_xlpm.w="",_xlpm.v=""),"",_xlpm.v*_xlpm.w)
)</f>
        <v/>
      </c>
      <c r="CD139" s="93" t="str" cm="1">
        <f t="array" ref="CD139">_xlfn.LET(
  _xlpm.w, CD$11,
  _xlpm.r, MATCH(1,('3. Enter Indicator Scores'!$B$10:$B$161=$B139)*('3. Enter Indicator Scores'!$C$10:$C$161=$C139),0),
  _xlpm.c, MATCH(CD$8,'3. Enter Indicator Scores'!$D$8:$CZ$8,0),
  _xlpm.v, IFERROR(INDEX('3. Enter Indicator Scores'!$D$10:$CZ$161,_xlpm.r,_xlpm.c),""),
  IF(OR(_xlpm.w="",_xlpm.v=""),"",_xlpm.v*_xlpm.w)
)</f>
        <v/>
      </c>
      <c r="CE139" s="93" t="str" cm="1">
        <f t="array" ref="CE139">_xlfn.LET(
  _xlpm.w, CE$11,
  _xlpm.r, MATCH(1,('3. Enter Indicator Scores'!$B$10:$B$161=$B139)*('3. Enter Indicator Scores'!$C$10:$C$161=$C139),0),
  _xlpm.c, MATCH(CE$8,'3. Enter Indicator Scores'!$D$8:$CZ$8,0),
  _xlpm.v, IFERROR(INDEX('3. Enter Indicator Scores'!$D$10:$CZ$161,_xlpm.r,_xlpm.c),""),
  IF(OR(_xlpm.w="",_xlpm.v=""),"",_xlpm.v*_xlpm.w)
)</f>
        <v/>
      </c>
      <c r="CF139" s="93" t="str" cm="1">
        <f t="array" ref="CF139">_xlfn.LET(
  _xlpm.w, CF$11,
  _xlpm.r, MATCH(1,('3. Enter Indicator Scores'!$B$10:$B$161=$B139)*('3. Enter Indicator Scores'!$C$10:$C$161=$C139),0),
  _xlpm.c, MATCH(CF$8,'3. Enter Indicator Scores'!$D$8:$CZ$8,0),
  _xlpm.v, IFERROR(INDEX('3. Enter Indicator Scores'!$D$10:$CZ$161,_xlpm.r,_xlpm.c),""),
  IF(OR(_xlpm.w="",_xlpm.v=""),"",_xlpm.v*_xlpm.w)
)</f>
        <v/>
      </c>
      <c r="CG139" s="93" t="str" cm="1">
        <f t="array" ref="CG139">_xlfn.LET(
  _xlpm.w, CG$11,
  _xlpm.r, MATCH(1,('3. Enter Indicator Scores'!$B$10:$B$161=$B139)*('3. Enter Indicator Scores'!$C$10:$C$161=$C139),0),
  _xlpm.c, MATCH(CG$8,'3. Enter Indicator Scores'!$D$8:$CZ$8,0),
  _xlpm.v, IFERROR(INDEX('3. Enter Indicator Scores'!$D$10:$CZ$161,_xlpm.r,_xlpm.c),""),
  IF(OR(_xlpm.w="",_xlpm.v=""),"",_xlpm.v*_xlpm.w)
)</f>
        <v/>
      </c>
      <c r="CH139" s="93" t="str" cm="1">
        <f t="array" ref="CH139">_xlfn.LET(
  _xlpm.w, CH$11,
  _xlpm.r, MATCH(1,('3. Enter Indicator Scores'!$B$10:$B$161=$B139)*('3. Enter Indicator Scores'!$C$10:$C$161=$C139),0),
  _xlpm.c, MATCH(CH$8,'3. Enter Indicator Scores'!$D$8:$CZ$8,0),
  _xlpm.v, IFERROR(INDEX('3. Enter Indicator Scores'!$D$10:$CZ$161,_xlpm.r,_xlpm.c),""),
  IF(OR(_xlpm.w="",_xlpm.v=""),"",_xlpm.v*_xlpm.w)
)</f>
        <v/>
      </c>
      <c r="CI139" s="93" t="str" cm="1">
        <f t="array" ref="CI139">_xlfn.LET(
  _xlpm.w, CI$11,
  _xlpm.r, MATCH(1,('3. Enter Indicator Scores'!$B$10:$B$161=$B139)*('3. Enter Indicator Scores'!$C$10:$C$161=$C139),0),
  _xlpm.c, MATCH(CI$8,'3. Enter Indicator Scores'!$D$8:$CZ$8,0),
  _xlpm.v, IFERROR(INDEX('3. Enter Indicator Scores'!$D$10:$CZ$161,_xlpm.r,_xlpm.c),""),
  IF(OR(_xlpm.w="",_xlpm.v=""),"",_xlpm.v*_xlpm.w)
)</f>
        <v/>
      </c>
      <c r="CJ139" s="93" t="str" cm="1">
        <f t="array" ref="CJ139">_xlfn.LET(
  _xlpm.w, CJ$11,
  _xlpm.r, MATCH(1,('3. Enter Indicator Scores'!$B$10:$B$161=$B139)*('3. Enter Indicator Scores'!$C$10:$C$161=$C139),0),
  _xlpm.c, MATCH(CJ$8,'3. Enter Indicator Scores'!$D$8:$CZ$8,0),
  _xlpm.v, IFERROR(INDEX('3. Enter Indicator Scores'!$D$10:$CZ$161,_xlpm.r,_xlpm.c),""),
  IF(OR(_xlpm.w="",_xlpm.v=""),"",_xlpm.v*_xlpm.w)
)</f>
        <v/>
      </c>
      <c r="CK139" s="93" t="str" cm="1">
        <f t="array" ref="CK139">_xlfn.LET(
  _xlpm.w, CK$11,
  _xlpm.r, MATCH(1,('3. Enter Indicator Scores'!$B$10:$B$161=$B139)*('3. Enter Indicator Scores'!$C$10:$C$161=$C139),0),
  _xlpm.c, MATCH(CK$8,'3. Enter Indicator Scores'!$D$8:$CZ$8,0),
  _xlpm.v, IFERROR(INDEX('3. Enter Indicator Scores'!$D$10:$CZ$161,_xlpm.r,_xlpm.c),""),
  IF(OR(_xlpm.w="",_xlpm.v=""),"",_xlpm.v*_xlpm.w)
)</f>
        <v/>
      </c>
      <c r="CL139" s="93" t="str" cm="1">
        <f t="array" ref="CL139">_xlfn.LET(
  _xlpm.w, CL$11,
  _xlpm.r, MATCH(1,('3. Enter Indicator Scores'!$B$10:$B$161=$B139)*('3. Enter Indicator Scores'!$C$10:$C$161=$C139),0),
  _xlpm.c, MATCH(CL$8,'3. Enter Indicator Scores'!$D$8:$CZ$8,0),
  _xlpm.v, IFERROR(INDEX('3. Enter Indicator Scores'!$D$10:$CZ$161,_xlpm.r,_xlpm.c),""),
  IF(OR(_xlpm.w="",_xlpm.v=""),"",_xlpm.v*_xlpm.w)
)</f>
        <v/>
      </c>
      <c r="CM139" s="93" t="str" cm="1">
        <f t="array" ref="CM139">_xlfn.LET(
  _xlpm.w, CM$11,
  _xlpm.r, MATCH(1,('3. Enter Indicator Scores'!$B$10:$B$161=$B139)*('3. Enter Indicator Scores'!$C$10:$C$161=$C139),0),
  _xlpm.c, MATCH(CM$8,'3. Enter Indicator Scores'!$D$8:$CZ$8,0),
  _xlpm.v, IFERROR(INDEX('3. Enter Indicator Scores'!$D$10:$CZ$161,_xlpm.r,_xlpm.c),""),
  IF(OR(_xlpm.w="",_xlpm.v=""),"",_xlpm.v*_xlpm.w)
)</f>
        <v/>
      </c>
      <c r="CN139" s="93" t="str" cm="1">
        <f t="array" ref="CN139">_xlfn.LET(
  _xlpm.w, CN$11,
  _xlpm.r, MATCH(1,('3. Enter Indicator Scores'!$B$10:$B$161=$B139)*('3. Enter Indicator Scores'!$C$10:$C$161=$C139),0),
  _xlpm.c, MATCH(CN$8,'3. Enter Indicator Scores'!$D$8:$CZ$8,0),
  _xlpm.v, IFERROR(INDEX('3. Enter Indicator Scores'!$D$10:$CZ$161,_xlpm.r,_xlpm.c),""),
  IF(OR(_xlpm.w="",_xlpm.v=""),"",_xlpm.v*_xlpm.w)
)</f>
        <v/>
      </c>
      <c r="CO139" s="93" t="str" cm="1">
        <f t="array" ref="CO139">_xlfn.LET(
  _xlpm.w, CO$11,
  _xlpm.r, MATCH(1,('3. Enter Indicator Scores'!$B$10:$B$161=$B139)*('3. Enter Indicator Scores'!$C$10:$C$161=$C139),0),
  _xlpm.c, MATCH(CO$8,'3. Enter Indicator Scores'!$D$8:$CZ$8,0),
  _xlpm.v, IFERROR(INDEX('3. Enter Indicator Scores'!$D$10:$CZ$161,_xlpm.r,_xlpm.c),""),
  IF(OR(_xlpm.w="",_xlpm.v=""),"",_xlpm.v*_xlpm.w)
)</f>
        <v/>
      </c>
      <c r="CP139" s="93" t="str" cm="1">
        <f t="array" ref="CP139">_xlfn.LET(
  _xlpm.w, CP$11,
  _xlpm.r, MATCH(1,('3. Enter Indicator Scores'!$B$10:$B$161=$B139)*('3. Enter Indicator Scores'!$C$10:$C$161=$C139),0),
  _xlpm.c, MATCH(CP$8,'3. Enter Indicator Scores'!$D$8:$CZ$8,0),
  _xlpm.v, IFERROR(INDEX('3. Enter Indicator Scores'!$D$10:$CZ$161,_xlpm.r,_xlpm.c),""),
  IF(OR(_xlpm.w="",_xlpm.v=""),"",_xlpm.v*_xlpm.w)
)</f>
        <v/>
      </c>
      <c r="CQ139" s="93" t="str" cm="1">
        <f t="array" ref="CQ139">_xlfn.LET(
  _xlpm.w, CQ$11,
  _xlpm.r, MATCH(1,('3. Enter Indicator Scores'!$B$10:$B$161=$B139)*('3. Enter Indicator Scores'!$C$10:$C$161=$C139),0),
  _xlpm.c, MATCH(CQ$8,'3. Enter Indicator Scores'!$D$8:$CZ$8,0),
  _xlpm.v, IFERROR(INDEX('3. Enter Indicator Scores'!$D$10:$CZ$161,_xlpm.r,_xlpm.c),""),
  IF(OR(_xlpm.w="",_xlpm.v=""),"",_xlpm.v*_xlpm.w)
)</f>
        <v/>
      </c>
      <c r="CR139" s="93" t="str" cm="1">
        <f t="array" ref="CR139">_xlfn.LET(
  _xlpm.w, CR$11,
  _xlpm.r, MATCH(1,('3. Enter Indicator Scores'!$B$10:$B$161=$B139)*('3. Enter Indicator Scores'!$C$10:$C$161=$C139),0),
  _xlpm.c, MATCH(CR$8,'3. Enter Indicator Scores'!$D$8:$CZ$8,0),
  _xlpm.v, IFERROR(INDEX('3. Enter Indicator Scores'!$D$10:$CZ$161,_xlpm.r,_xlpm.c),""),
  IF(OR(_xlpm.w="",_xlpm.v=""),"",_xlpm.v*_xlpm.w)
)</f>
        <v/>
      </c>
      <c r="CS139" s="93" t="str" cm="1">
        <f t="array" ref="CS139">_xlfn.LET(
  _xlpm.w, CS$11,
  _xlpm.r, MATCH(1,('3. Enter Indicator Scores'!$B$10:$B$161=$B139)*('3. Enter Indicator Scores'!$C$10:$C$161=$C139),0),
  _xlpm.c, MATCH(CS$8,'3. Enter Indicator Scores'!$D$8:$CZ$8,0),
  _xlpm.v, IFERROR(INDEX('3. Enter Indicator Scores'!$D$10:$CZ$161,_xlpm.r,_xlpm.c),""),
  IF(OR(_xlpm.w="",_xlpm.v=""),"",_xlpm.v*_xlpm.w)
)</f>
        <v/>
      </c>
      <c r="CT139" s="93" t="str" cm="1">
        <f t="array" ref="CT139">_xlfn.LET(
  _xlpm.w, CT$11,
  _xlpm.r, MATCH(1,('3. Enter Indicator Scores'!$B$10:$B$161=$B139)*('3. Enter Indicator Scores'!$C$10:$C$161=$C139),0),
  _xlpm.c, MATCH(CT$8,'3. Enter Indicator Scores'!$D$8:$CZ$8,0),
  _xlpm.v, IFERROR(INDEX('3. Enter Indicator Scores'!$D$10:$CZ$161,_xlpm.r,_xlpm.c),""),
  IF(OR(_xlpm.w="",_xlpm.v=""),"",_xlpm.v*_xlpm.w)
)</f>
        <v/>
      </c>
      <c r="CU139" s="93" t="str" cm="1">
        <f t="array" ref="CU139">_xlfn.LET(
  _xlpm.w, CU$11,
  _xlpm.r, MATCH(1,('3. Enter Indicator Scores'!$B$10:$B$161=$B139)*('3. Enter Indicator Scores'!$C$10:$C$161=$C139),0),
  _xlpm.c, MATCH(CU$8,'3. Enter Indicator Scores'!$D$8:$CZ$8,0),
  _xlpm.v, IFERROR(INDEX('3. Enter Indicator Scores'!$D$10:$CZ$161,_xlpm.r,_xlpm.c),""),
  IF(OR(_xlpm.w="",_xlpm.v=""),"",_xlpm.v*_xlpm.w)
)</f>
        <v/>
      </c>
      <c r="CV139" s="93" t="str" cm="1">
        <f t="array" ref="CV139">_xlfn.LET(
  _xlpm.w, CV$11,
  _xlpm.r, MATCH(1,('3. Enter Indicator Scores'!$B$10:$B$161=$B139)*('3. Enter Indicator Scores'!$C$10:$C$161=$C139),0),
  _xlpm.c, MATCH(CV$8,'3. Enter Indicator Scores'!$D$8:$CZ$8,0),
  _xlpm.v, IFERROR(INDEX('3. Enter Indicator Scores'!$D$10:$CZ$161,_xlpm.r,_xlpm.c),""),
  IF(OR(_xlpm.w="",_xlpm.v=""),"",_xlpm.v*_xlpm.w)
)</f>
        <v/>
      </c>
      <c r="CW139" s="93" t="str" cm="1">
        <f t="array" ref="CW139">_xlfn.LET(
  _xlpm.w, CW$11,
  _xlpm.r, MATCH(1,('3. Enter Indicator Scores'!$B$10:$B$161=$B139)*('3. Enter Indicator Scores'!$C$10:$C$161=$C139),0),
  _xlpm.c, MATCH(CW$8,'3. Enter Indicator Scores'!$D$8:$CZ$8,0),
  _xlpm.v, IFERROR(INDEX('3. Enter Indicator Scores'!$D$10:$CZ$161,_xlpm.r,_xlpm.c),""),
  IF(OR(_xlpm.w="",_xlpm.v=""),"",_xlpm.v*_xlpm.w)
)</f>
        <v/>
      </c>
      <c r="CX139" s="93" t="str" cm="1">
        <f t="array" ref="CX139">_xlfn.LET(
  _xlpm.w, CX$11,
  _xlpm.r, MATCH(1,('3. Enter Indicator Scores'!$B$10:$B$161=$B139)*('3. Enter Indicator Scores'!$C$10:$C$161=$C139),0),
  _xlpm.c, MATCH(CX$8,'3. Enter Indicator Scores'!$D$8:$CZ$8,0),
  _xlpm.v, IFERROR(INDEX('3. Enter Indicator Scores'!$D$10:$CZ$161,_xlpm.r,_xlpm.c),""),
  IF(OR(_xlpm.w="",_xlpm.v=""),"",_xlpm.v*_xlpm.w)
)</f>
        <v/>
      </c>
      <c r="CY139" s="93" t="str" cm="1">
        <f t="array" ref="CY139">_xlfn.LET(
  _xlpm.w, CY$11,
  _xlpm.r, MATCH(1,('3. Enter Indicator Scores'!$B$10:$B$161=$B139)*('3. Enter Indicator Scores'!$C$10:$C$161=$C139),0),
  _xlpm.c, MATCH(CY$8,'3. Enter Indicator Scores'!$D$8:$CZ$8,0),
  _xlpm.v, IFERROR(INDEX('3. Enter Indicator Scores'!$D$10:$CZ$161,_xlpm.r,_xlpm.c),""),
  IF(OR(_xlpm.w="",_xlpm.v=""),"",_xlpm.v*_xlpm.w)
)</f>
        <v/>
      </c>
      <c r="CZ139" s="93" t="str" cm="1">
        <f t="array" ref="CZ139">_xlfn.LET(
  _xlpm.w, CZ$11,
  _xlpm.r, MATCH(1,('3. Enter Indicator Scores'!$B$10:$B$161=$B139)*('3. Enter Indicator Scores'!$C$10:$C$161=$C139),0),
  _xlpm.c, MATCH(CZ$8,'3. Enter Indicator Scores'!$D$8:$CZ$8,0),
  _xlpm.v, IFERROR(INDEX('3. Enter Indicator Scores'!$D$10:$CZ$161,_xlpm.r,_xlpm.c),""),
  IF(OR(_xlpm.w="",_xlpm.v=""),"",_xlpm.v*_xlpm.w)
)</f>
        <v/>
      </c>
    </row>
    <row r="140" spans="4:104" x14ac:dyDescent="0.2">
      <c r="D140" s="93" t="str" cm="1">
        <f t="array" ref="D140">_xlfn.LET(
  _xlpm.w, D$11,
  _xlpm.r, MATCH(1,('3. Enter Indicator Scores'!$B$10:$B$161=$B140)*('3. Enter Indicator Scores'!$C$10:$C$161=$C140),0),
  _xlpm.c, MATCH(D$8,'3. Enter Indicator Scores'!$D$8:$CZ$8,0),
  _xlpm.v, IFERROR(INDEX('3. Enter Indicator Scores'!$D$10:$CZ$161,_xlpm.r,_xlpm.c),""),
  IF(OR(_xlpm.w="",_xlpm.v=""),"",_xlpm.v*_xlpm.w)
)</f>
        <v/>
      </c>
      <c r="E140" s="93" t="str" cm="1">
        <f t="array" ref="E140">_xlfn.LET(
  _xlpm.w, E$11,
  _xlpm.r, MATCH(1,('3. Enter Indicator Scores'!$B$10:$B$161=$B140)*('3. Enter Indicator Scores'!$C$10:$C$161=$C140),0),
  _xlpm.c, MATCH(E$8,'3. Enter Indicator Scores'!$D$8:$CZ$8,0),
  _xlpm.v, IFERROR(INDEX('3. Enter Indicator Scores'!$D$10:$CZ$161,_xlpm.r,_xlpm.c),""),
  IF(OR(_xlpm.w="",_xlpm.v=""),"",_xlpm.v*_xlpm.w)
)</f>
        <v/>
      </c>
      <c r="F140" s="93" t="str" cm="1">
        <f t="array" ref="F140">_xlfn.LET(
  _xlpm.w, F$11,
  _xlpm.r, MATCH(1,('3. Enter Indicator Scores'!$B$10:$B$161=$B140)*('3. Enter Indicator Scores'!$C$10:$C$161=$C140),0),
  _xlpm.c, MATCH(F$8,'3. Enter Indicator Scores'!$D$8:$CZ$8,0),
  _xlpm.v, IFERROR(INDEX('3. Enter Indicator Scores'!$D$10:$CZ$161,_xlpm.r,_xlpm.c),""),
  IF(OR(_xlpm.w="",_xlpm.v=""),"",_xlpm.v*_xlpm.w)
)</f>
        <v/>
      </c>
      <c r="G140" s="93" t="str" cm="1">
        <f t="array" ref="G140">_xlfn.LET(
  _xlpm.w, G$11,
  _xlpm.r, MATCH(1,('3. Enter Indicator Scores'!$B$10:$B$161=$B140)*('3. Enter Indicator Scores'!$C$10:$C$161=$C140),0),
  _xlpm.c, MATCH(G$8,'3. Enter Indicator Scores'!$D$8:$CZ$8,0),
  _xlpm.v, IFERROR(INDEX('3. Enter Indicator Scores'!$D$10:$CZ$161,_xlpm.r,_xlpm.c),""),
  IF(OR(_xlpm.w="",_xlpm.v=""),"",_xlpm.v*_xlpm.w)
)</f>
        <v/>
      </c>
      <c r="H140" s="93" t="str" cm="1">
        <f t="array" ref="H140">_xlfn.LET(
  _xlpm.w, H$11,
  _xlpm.r, MATCH(1,('3. Enter Indicator Scores'!$B$10:$B$161=$B140)*('3. Enter Indicator Scores'!$C$10:$C$161=$C140),0),
  _xlpm.c, MATCH(H$8,'3. Enter Indicator Scores'!$D$8:$CZ$8,0),
  _xlpm.v, IFERROR(INDEX('3. Enter Indicator Scores'!$D$10:$CZ$161,_xlpm.r,_xlpm.c),""),
  IF(OR(_xlpm.w="",_xlpm.v=""),"",_xlpm.v*_xlpm.w)
)</f>
        <v/>
      </c>
      <c r="I140" s="93" t="str" cm="1">
        <f t="array" ref="I140">_xlfn.LET(
  _xlpm.w, I$11,
  _xlpm.r, MATCH(1,('3. Enter Indicator Scores'!$B$10:$B$161=$B140)*('3. Enter Indicator Scores'!$C$10:$C$161=$C140),0),
  _xlpm.c, MATCH(I$8,'3. Enter Indicator Scores'!$D$8:$CZ$8,0),
  _xlpm.v, IFERROR(INDEX('3. Enter Indicator Scores'!$D$10:$CZ$161,_xlpm.r,_xlpm.c),""),
  IF(OR(_xlpm.w="",_xlpm.v=""),"",_xlpm.v*_xlpm.w)
)</f>
        <v/>
      </c>
      <c r="J140" s="93" t="str" cm="1">
        <f t="array" ref="J140">_xlfn.LET(
  _xlpm.w, J$11,
  _xlpm.r, MATCH(1,('3. Enter Indicator Scores'!$B$10:$B$161=$B140)*('3. Enter Indicator Scores'!$C$10:$C$161=$C140),0),
  _xlpm.c, MATCH(J$8,'3. Enter Indicator Scores'!$D$8:$CZ$8,0),
  _xlpm.v, IFERROR(INDEX('3. Enter Indicator Scores'!$D$10:$CZ$161,_xlpm.r,_xlpm.c),""),
  IF(OR(_xlpm.w="",_xlpm.v=""),"",_xlpm.v*_xlpm.w)
)</f>
        <v/>
      </c>
      <c r="K140" s="93" t="str" cm="1">
        <f t="array" ref="K140">_xlfn.LET(
  _xlpm.w, K$11,
  _xlpm.r, MATCH(1,('3. Enter Indicator Scores'!$B$10:$B$161=$B140)*('3. Enter Indicator Scores'!$C$10:$C$161=$C140),0),
  _xlpm.c, MATCH(K$8,'3. Enter Indicator Scores'!$D$8:$CZ$8,0),
  _xlpm.v, IFERROR(INDEX('3. Enter Indicator Scores'!$D$10:$CZ$161,_xlpm.r,_xlpm.c),""),
  IF(OR(_xlpm.w="",_xlpm.v=""),"",_xlpm.v*_xlpm.w)
)</f>
        <v/>
      </c>
      <c r="L140" s="93" t="str" cm="1">
        <f t="array" ref="L140">_xlfn.LET(
  _xlpm.w, L$11,
  _xlpm.r, MATCH(1,('3. Enter Indicator Scores'!$B$10:$B$161=$B140)*('3. Enter Indicator Scores'!$C$10:$C$161=$C140),0),
  _xlpm.c, MATCH(L$8,'3. Enter Indicator Scores'!$D$8:$CZ$8,0),
  _xlpm.v, IFERROR(INDEX('3. Enter Indicator Scores'!$D$10:$CZ$161,_xlpm.r,_xlpm.c),""),
  IF(OR(_xlpm.w="",_xlpm.v=""),"",_xlpm.v*_xlpm.w)
)</f>
        <v/>
      </c>
      <c r="M140" s="93" t="str" cm="1">
        <f t="array" ref="M140">_xlfn.LET(
  _xlpm.w, M$11,
  _xlpm.r, MATCH(1,('3. Enter Indicator Scores'!$B$10:$B$161=$B140)*('3. Enter Indicator Scores'!$C$10:$C$161=$C140),0),
  _xlpm.c, MATCH(M$8,'3. Enter Indicator Scores'!$D$8:$CZ$8,0),
  _xlpm.v, IFERROR(INDEX('3. Enter Indicator Scores'!$D$10:$CZ$161,_xlpm.r,_xlpm.c),""),
  IF(OR(_xlpm.w="",_xlpm.v=""),"",_xlpm.v*_xlpm.w)
)</f>
        <v/>
      </c>
      <c r="N140" s="93" t="str" cm="1">
        <f t="array" ref="N140">_xlfn.LET(
  _xlpm.w, N$11,
  _xlpm.r, MATCH(1,('3. Enter Indicator Scores'!$B$10:$B$161=$B140)*('3. Enter Indicator Scores'!$C$10:$C$161=$C140),0),
  _xlpm.c, MATCH(N$8,'3. Enter Indicator Scores'!$D$8:$CZ$8,0),
  _xlpm.v, IFERROR(INDEX('3. Enter Indicator Scores'!$D$10:$CZ$161,_xlpm.r,_xlpm.c),""),
  IF(OR(_xlpm.w="",_xlpm.v=""),"",_xlpm.v*_xlpm.w)
)</f>
        <v/>
      </c>
      <c r="O140" s="93" t="str" cm="1">
        <f t="array" ref="O140">_xlfn.LET(
  _xlpm.w, O$11,
  _xlpm.r, MATCH(1,('3. Enter Indicator Scores'!$B$10:$B$161=$B140)*('3. Enter Indicator Scores'!$C$10:$C$161=$C140),0),
  _xlpm.c, MATCH(O$8,'3. Enter Indicator Scores'!$D$8:$CZ$8,0),
  _xlpm.v, IFERROR(INDEX('3. Enter Indicator Scores'!$D$10:$CZ$161,_xlpm.r,_xlpm.c),""),
  IF(OR(_xlpm.w="",_xlpm.v=""),"",_xlpm.v*_xlpm.w)
)</f>
        <v/>
      </c>
      <c r="P140" s="93" t="str" cm="1">
        <f t="array" ref="P140">_xlfn.LET(
  _xlpm.w, P$11,
  _xlpm.r, MATCH(1,('3. Enter Indicator Scores'!$B$10:$B$161=$B140)*('3. Enter Indicator Scores'!$C$10:$C$161=$C140),0),
  _xlpm.c, MATCH(P$8,'3. Enter Indicator Scores'!$D$8:$CZ$8,0),
  _xlpm.v, IFERROR(INDEX('3. Enter Indicator Scores'!$D$10:$CZ$161,_xlpm.r,_xlpm.c),""),
  IF(OR(_xlpm.w="",_xlpm.v=""),"",_xlpm.v*_xlpm.w)
)</f>
        <v/>
      </c>
      <c r="Q140" s="93" t="str" cm="1">
        <f t="array" ref="Q140">_xlfn.LET(
  _xlpm.w, Q$11,
  _xlpm.r, MATCH(1,('3. Enter Indicator Scores'!$B$10:$B$161=$B140)*('3. Enter Indicator Scores'!$C$10:$C$161=$C140),0),
  _xlpm.c, MATCH(Q$8,'3. Enter Indicator Scores'!$D$8:$CZ$8,0),
  _xlpm.v, IFERROR(INDEX('3. Enter Indicator Scores'!$D$10:$CZ$161,_xlpm.r,_xlpm.c),""),
  IF(OR(_xlpm.w="",_xlpm.v=""),"",_xlpm.v*_xlpm.w)
)</f>
        <v/>
      </c>
      <c r="R140" s="93" t="str" cm="1">
        <f t="array" ref="R140">_xlfn.LET(
  _xlpm.w, R$11,
  _xlpm.r, MATCH(1,('3. Enter Indicator Scores'!$B$10:$B$161=$B140)*('3. Enter Indicator Scores'!$C$10:$C$161=$C140),0),
  _xlpm.c, MATCH(R$8,'3. Enter Indicator Scores'!$D$8:$CZ$8,0),
  _xlpm.v, IFERROR(INDEX('3. Enter Indicator Scores'!$D$10:$CZ$161,_xlpm.r,_xlpm.c),""),
  IF(OR(_xlpm.w="",_xlpm.v=""),"",_xlpm.v*_xlpm.w)
)</f>
        <v/>
      </c>
      <c r="S140" s="93" t="str" cm="1">
        <f t="array" ref="S140">_xlfn.LET(
  _xlpm.w, S$11,
  _xlpm.r, MATCH(1,('3. Enter Indicator Scores'!$B$10:$B$161=$B140)*('3. Enter Indicator Scores'!$C$10:$C$161=$C140),0),
  _xlpm.c, MATCH(S$8,'3. Enter Indicator Scores'!$D$8:$CZ$8,0),
  _xlpm.v, IFERROR(INDEX('3. Enter Indicator Scores'!$D$10:$CZ$161,_xlpm.r,_xlpm.c),""),
  IF(OR(_xlpm.w="",_xlpm.v=""),"",_xlpm.v*_xlpm.w)
)</f>
        <v/>
      </c>
      <c r="T140" s="93" t="str" cm="1">
        <f t="array" ref="T140">_xlfn.LET(
  _xlpm.w, T$11,
  _xlpm.r, MATCH(1,('3. Enter Indicator Scores'!$B$10:$B$161=$B140)*('3. Enter Indicator Scores'!$C$10:$C$161=$C140),0),
  _xlpm.c, MATCH(T$8,'3. Enter Indicator Scores'!$D$8:$CZ$8,0),
  _xlpm.v, IFERROR(INDEX('3. Enter Indicator Scores'!$D$10:$CZ$161,_xlpm.r,_xlpm.c),""),
  IF(OR(_xlpm.w="",_xlpm.v=""),"",_xlpm.v*_xlpm.w)
)</f>
        <v/>
      </c>
      <c r="U140" s="93" t="str" cm="1">
        <f t="array" ref="U140">_xlfn.LET(
  _xlpm.w, U$11,
  _xlpm.r, MATCH(1,('3. Enter Indicator Scores'!$B$10:$B$161=$B140)*('3. Enter Indicator Scores'!$C$10:$C$161=$C140),0),
  _xlpm.c, MATCH(U$8,'3. Enter Indicator Scores'!$D$8:$CZ$8,0),
  _xlpm.v, IFERROR(INDEX('3. Enter Indicator Scores'!$D$10:$CZ$161,_xlpm.r,_xlpm.c),""),
  IF(OR(_xlpm.w="",_xlpm.v=""),"",_xlpm.v*_xlpm.w)
)</f>
        <v/>
      </c>
      <c r="V140" s="93" t="str" cm="1">
        <f t="array" ref="V140">_xlfn.LET(
  _xlpm.w, V$11,
  _xlpm.r, MATCH(1,('3. Enter Indicator Scores'!$B$10:$B$161=$B140)*('3. Enter Indicator Scores'!$C$10:$C$161=$C140),0),
  _xlpm.c, MATCH(V$8,'3. Enter Indicator Scores'!$D$8:$CZ$8,0),
  _xlpm.v, IFERROR(INDEX('3. Enter Indicator Scores'!$D$10:$CZ$161,_xlpm.r,_xlpm.c),""),
  IF(OR(_xlpm.w="",_xlpm.v=""),"",_xlpm.v*_xlpm.w)
)</f>
        <v/>
      </c>
      <c r="W140" s="93" t="str" cm="1">
        <f t="array" ref="W140">_xlfn.LET(
  _xlpm.w, W$11,
  _xlpm.r, MATCH(1,('3. Enter Indicator Scores'!$B$10:$B$161=$B140)*('3. Enter Indicator Scores'!$C$10:$C$161=$C140),0),
  _xlpm.c, MATCH(W$8,'3. Enter Indicator Scores'!$D$8:$CZ$8,0),
  _xlpm.v, IFERROR(INDEX('3. Enter Indicator Scores'!$D$10:$CZ$161,_xlpm.r,_xlpm.c),""),
  IF(OR(_xlpm.w="",_xlpm.v=""),"",_xlpm.v*_xlpm.w)
)</f>
        <v/>
      </c>
      <c r="X140" s="93" t="str" cm="1">
        <f t="array" ref="X140">_xlfn.LET(
  _xlpm.w, X$11,
  _xlpm.r, MATCH(1,('3. Enter Indicator Scores'!$B$10:$B$161=$B140)*('3. Enter Indicator Scores'!$C$10:$C$161=$C140),0),
  _xlpm.c, MATCH(X$8,'3. Enter Indicator Scores'!$D$8:$CZ$8,0),
  _xlpm.v, IFERROR(INDEX('3. Enter Indicator Scores'!$D$10:$CZ$161,_xlpm.r,_xlpm.c),""),
  IF(OR(_xlpm.w="",_xlpm.v=""),"",_xlpm.v*_xlpm.w)
)</f>
        <v/>
      </c>
      <c r="Y140" s="93" t="str" cm="1">
        <f t="array" ref="Y140">_xlfn.LET(
  _xlpm.w, Y$11,
  _xlpm.r, MATCH(1,('3. Enter Indicator Scores'!$B$10:$B$161=$B140)*('3. Enter Indicator Scores'!$C$10:$C$161=$C140),0),
  _xlpm.c, MATCH(Y$8,'3. Enter Indicator Scores'!$D$8:$CZ$8,0),
  _xlpm.v, IFERROR(INDEX('3. Enter Indicator Scores'!$D$10:$CZ$161,_xlpm.r,_xlpm.c),""),
  IF(OR(_xlpm.w="",_xlpm.v=""),"",_xlpm.v*_xlpm.w)
)</f>
        <v/>
      </c>
      <c r="Z140" s="93" t="str" cm="1">
        <f t="array" ref="Z140">_xlfn.LET(
  _xlpm.w, Z$11,
  _xlpm.r, MATCH(1,('3. Enter Indicator Scores'!$B$10:$B$161=$B140)*('3. Enter Indicator Scores'!$C$10:$C$161=$C140),0),
  _xlpm.c, MATCH(Z$8,'3. Enter Indicator Scores'!$D$8:$CZ$8,0),
  _xlpm.v, IFERROR(INDEX('3. Enter Indicator Scores'!$D$10:$CZ$161,_xlpm.r,_xlpm.c),""),
  IF(OR(_xlpm.w="",_xlpm.v=""),"",_xlpm.v*_xlpm.w)
)</f>
        <v/>
      </c>
      <c r="AA140" s="93" t="str" cm="1">
        <f t="array" ref="AA140">_xlfn.LET(
  _xlpm.w, AA$11,
  _xlpm.r, MATCH(1,('3. Enter Indicator Scores'!$B$10:$B$161=$B140)*('3. Enter Indicator Scores'!$C$10:$C$161=$C140),0),
  _xlpm.c, MATCH(AA$8,'3. Enter Indicator Scores'!$D$8:$CZ$8,0),
  _xlpm.v, IFERROR(INDEX('3. Enter Indicator Scores'!$D$10:$CZ$161,_xlpm.r,_xlpm.c),""),
  IF(OR(_xlpm.w="",_xlpm.v=""),"",_xlpm.v*_xlpm.w)
)</f>
        <v/>
      </c>
      <c r="AB140" s="93" t="str" cm="1">
        <f t="array" ref="AB140">_xlfn.LET(
  _xlpm.w, AB$11,
  _xlpm.r, MATCH(1,('3. Enter Indicator Scores'!$B$10:$B$161=$B140)*('3. Enter Indicator Scores'!$C$10:$C$161=$C140),0),
  _xlpm.c, MATCH(AB$8,'3. Enter Indicator Scores'!$D$8:$CZ$8,0),
  _xlpm.v, IFERROR(INDEX('3. Enter Indicator Scores'!$D$10:$CZ$161,_xlpm.r,_xlpm.c),""),
  IF(OR(_xlpm.w="",_xlpm.v=""),"",_xlpm.v*_xlpm.w)
)</f>
        <v/>
      </c>
      <c r="AC140" s="93" t="str" cm="1">
        <f t="array" ref="AC140">_xlfn.LET(
  _xlpm.w, AC$11,
  _xlpm.r, MATCH(1,('3. Enter Indicator Scores'!$B$10:$B$161=$B140)*('3. Enter Indicator Scores'!$C$10:$C$161=$C140),0),
  _xlpm.c, MATCH(AC$8,'3. Enter Indicator Scores'!$D$8:$CZ$8,0),
  _xlpm.v, IFERROR(INDEX('3. Enter Indicator Scores'!$D$10:$CZ$161,_xlpm.r,_xlpm.c),""),
  IF(OR(_xlpm.w="",_xlpm.v=""),"",_xlpm.v*_xlpm.w)
)</f>
        <v/>
      </c>
      <c r="AD140" s="93" t="str" cm="1">
        <f t="array" ref="AD140">_xlfn.LET(
  _xlpm.w, AD$11,
  _xlpm.r, MATCH(1,('3. Enter Indicator Scores'!$B$10:$B$161=$B140)*('3. Enter Indicator Scores'!$C$10:$C$161=$C140),0),
  _xlpm.c, MATCH(AD$8,'3. Enter Indicator Scores'!$D$8:$CZ$8,0),
  _xlpm.v, IFERROR(INDEX('3. Enter Indicator Scores'!$D$10:$CZ$161,_xlpm.r,_xlpm.c),""),
  IF(OR(_xlpm.w="",_xlpm.v=""),"",_xlpm.v*_xlpm.w)
)</f>
        <v/>
      </c>
      <c r="AE140" s="93" t="str" cm="1">
        <f t="array" ref="AE140">_xlfn.LET(
  _xlpm.w, AE$11,
  _xlpm.r, MATCH(1,('3. Enter Indicator Scores'!$B$10:$B$161=$B140)*('3. Enter Indicator Scores'!$C$10:$C$161=$C140),0),
  _xlpm.c, MATCH(AE$8,'3. Enter Indicator Scores'!$D$8:$CZ$8,0),
  _xlpm.v, IFERROR(INDEX('3. Enter Indicator Scores'!$D$10:$CZ$161,_xlpm.r,_xlpm.c),""),
  IF(OR(_xlpm.w="",_xlpm.v=""),"",_xlpm.v*_xlpm.w)
)</f>
        <v/>
      </c>
      <c r="AF140" s="93" t="str" cm="1">
        <f t="array" ref="AF140">_xlfn.LET(
  _xlpm.w, AF$11,
  _xlpm.r, MATCH(1,('3. Enter Indicator Scores'!$B$10:$B$161=$B140)*('3. Enter Indicator Scores'!$C$10:$C$161=$C140),0),
  _xlpm.c, MATCH(AF$8,'3. Enter Indicator Scores'!$D$8:$CZ$8,0),
  _xlpm.v, IFERROR(INDEX('3. Enter Indicator Scores'!$D$10:$CZ$161,_xlpm.r,_xlpm.c),""),
  IF(OR(_xlpm.w="",_xlpm.v=""),"",_xlpm.v*_xlpm.w)
)</f>
        <v/>
      </c>
      <c r="AG140" s="93" t="str" cm="1">
        <f t="array" ref="AG140">_xlfn.LET(
  _xlpm.w, AG$11,
  _xlpm.r, MATCH(1,('3. Enter Indicator Scores'!$B$10:$B$161=$B140)*('3. Enter Indicator Scores'!$C$10:$C$161=$C140),0),
  _xlpm.c, MATCH(AG$8,'3. Enter Indicator Scores'!$D$8:$CZ$8,0),
  _xlpm.v, IFERROR(INDEX('3. Enter Indicator Scores'!$D$10:$CZ$161,_xlpm.r,_xlpm.c),""),
  IF(OR(_xlpm.w="",_xlpm.v=""),"",_xlpm.v*_xlpm.w)
)</f>
        <v/>
      </c>
      <c r="AH140" s="93" t="str" cm="1">
        <f t="array" ref="AH140">_xlfn.LET(
  _xlpm.w, AH$11,
  _xlpm.r, MATCH(1,('3. Enter Indicator Scores'!$B$10:$B$161=$B140)*('3. Enter Indicator Scores'!$C$10:$C$161=$C140),0),
  _xlpm.c, MATCH(AH$8,'3. Enter Indicator Scores'!$D$8:$CZ$8,0),
  _xlpm.v, IFERROR(INDEX('3. Enter Indicator Scores'!$D$10:$CZ$161,_xlpm.r,_xlpm.c),""),
  IF(OR(_xlpm.w="",_xlpm.v=""),"",_xlpm.v*_xlpm.w)
)</f>
        <v/>
      </c>
      <c r="AI140" s="93" t="str" cm="1">
        <f t="array" ref="AI140">_xlfn.LET(
  _xlpm.w, AI$11,
  _xlpm.r, MATCH(1,('3. Enter Indicator Scores'!$B$10:$B$161=$B140)*('3. Enter Indicator Scores'!$C$10:$C$161=$C140),0),
  _xlpm.c, MATCH(AI$8,'3. Enter Indicator Scores'!$D$8:$CZ$8,0),
  _xlpm.v, IFERROR(INDEX('3. Enter Indicator Scores'!$D$10:$CZ$161,_xlpm.r,_xlpm.c),""),
  IF(OR(_xlpm.w="",_xlpm.v=""),"",_xlpm.v*_xlpm.w)
)</f>
        <v/>
      </c>
      <c r="AJ140" s="93" t="str" cm="1">
        <f t="array" ref="AJ140">_xlfn.LET(
  _xlpm.w, AJ$11,
  _xlpm.r, MATCH(1,('3. Enter Indicator Scores'!$B$10:$B$161=$B140)*('3. Enter Indicator Scores'!$C$10:$C$161=$C140),0),
  _xlpm.c, MATCH(AJ$8,'3. Enter Indicator Scores'!$D$8:$CZ$8,0),
  _xlpm.v, IFERROR(INDEX('3. Enter Indicator Scores'!$D$10:$CZ$161,_xlpm.r,_xlpm.c),""),
  IF(OR(_xlpm.w="",_xlpm.v=""),"",_xlpm.v*_xlpm.w)
)</f>
        <v/>
      </c>
      <c r="AK140" s="93" t="str" cm="1">
        <f t="array" ref="AK140">_xlfn.LET(
  _xlpm.w, AK$11,
  _xlpm.r, MATCH(1,('3. Enter Indicator Scores'!$B$10:$B$161=$B140)*('3. Enter Indicator Scores'!$C$10:$C$161=$C140),0),
  _xlpm.c, MATCH(AK$8,'3. Enter Indicator Scores'!$D$8:$CZ$8,0),
  _xlpm.v, IFERROR(INDEX('3. Enter Indicator Scores'!$D$10:$CZ$161,_xlpm.r,_xlpm.c),""),
  IF(OR(_xlpm.w="",_xlpm.v=""),"",_xlpm.v*_xlpm.w)
)</f>
        <v/>
      </c>
      <c r="AL140" s="93" t="str" cm="1">
        <f t="array" ref="AL140">_xlfn.LET(
  _xlpm.w, AL$11,
  _xlpm.r, MATCH(1,('3. Enter Indicator Scores'!$B$10:$B$161=$B140)*('3. Enter Indicator Scores'!$C$10:$C$161=$C140),0),
  _xlpm.c, MATCH(AL$8,'3. Enter Indicator Scores'!$D$8:$CZ$8,0),
  _xlpm.v, IFERROR(INDEX('3. Enter Indicator Scores'!$D$10:$CZ$161,_xlpm.r,_xlpm.c),""),
  IF(OR(_xlpm.w="",_xlpm.v=""),"",_xlpm.v*_xlpm.w)
)</f>
        <v/>
      </c>
      <c r="AM140" s="93" t="str" cm="1">
        <f t="array" ref="AM140">_xlfn.LET(
  _xlpm.w, AM$11,
  _xlpm.r, MATCH(1,('3. Enter Indicator Scores'!$B$10:$B$161=$B140)*('3. Enter Indicator Scores'!$C$10:$C$161=$C140),0),
  _xlpm.c, MATCH(AM$8,'3. Enter Indicator Scores'!$D$8:$CZ$8,0),
  _xlpm.v, IFERROR(INDEX('3. Enter Indicator Scores'!$D$10:$CZ$161,_xlpm.r,_xlpm.c),""),
  IF(OR(_xlpm.w="",_xlpm.v=""),"",_xlpm.v*_xlpm.w)
)</f>
        <v/>
      </c>
      <c r="AN140" s="93" t="str" cm="1">
        <f t="array" ref="AN140">_xlfn.LET(
  _xlpm.w, AN$11,
  _xlpm.r, MATCH(1,('3. Enter Indicator Scores'!$B$10:$B$161=$B140)*('3. Enter Indicator Scores'!$C$10:$C$161=$C140),0),
  _xlpm.c, MATCH(AN$8,'3. Enter Indicator Scores'!$D$8:$CZ$8,0),
  _xlpm.v, IFERROR(INDEX('3. Enter Indicator Scores'!$D$10:$CZ$161,_xlpm.r,_xlpm.c),""),
  IF(OR(_xlpm.w="",_xlpm.v=""),"",_xlpm.v*_xlpm.w)
)</f>
        <v/>
      </c>
      <c r="AO140" s="93" t="str" cm="1">
        <f t="array" ref="AO140">_xlfn.LET(
  _xlpm.w, AO$11,
  _xlpm.r, MATCH(1,('3. Enter Indicator Scores'!$B$10:$B$161=$B140)*('3. Enter Indicator Scores'!$C$10:$C$161=$C140),0),
  _xlpm.c, MATCH(AO$8,'3. Enter Indicator Scores'!$D$8:$CZ$8,0),
  _xlpm.v, IFERROR(INDEX('3. Enter Indicator Scores'!$D$10:$CZ$161,_xlpm.r,_xlpm.c),""),
  IF(OR(_xlpm.w="",_xlpm.v=""),"",_xlpm.v*_xlpm.w)
)</f>
        <v/>
      </c>
      <c r="AP140" s="93" t="str" cm="1">
        <f t="array" ref="AP140">_xlfn.LET(
  _xlpm.w, AP$11,
  _xlpm.r, MATCH(1,('3. Enter Indicator Scores'!$B$10:$B$161=$B140)*('3. Enter Indicator Scores'!$C$10:$C$161=$C140),0),
  _xlpm.c, MATCH(AP$8,'3. Enter Indicator Scores'!$D$8:$CZ$8,0),
  _xlpm.v, IFERROR(INDEX('3. Enter Indicator Scores'!$D$10:$CZ$161,_xlpm.r,_xlpm.c),""),
  IF(OR(_xlpm.w="",_xlpm.v=""),"",_xlpm.v*_xlpm.w)
)</f>
        <v/>
      </c>
      <c r="AQ140" s="93" t="str" cm="1">
        <f t="array" ref="AQ140">_xlfn.LET(
  _xlpm.w, AQ$11,
  _xlpm.r, MATCH(1,('3. Enter Indicator Scores'!$B$10:$B$161=$B140)*('3. Enter Indicator Scores'!$C$10:$C$161=$C140),0),
  _xlpm.c, MATCH(AQ$8,'3. Enter Indicator Scores'!$D$8:$CZ$8,0),
  _xlpm.v, IFERROR(INDEX('3. Enter Indicator Scores'!$D$10:$CZ$161,_xlpm.r,_xlpm.c),""),
  IF(OR(_xlpm.w="",_xlpm.v=""),"",_xlpm.v*_xlpm.w)
)</f>
        <v/>
      </c>
      <c r="AR140" s="93" t="str" cm="1">
        <f t="array" ref="AR140">_xlfn.LET(
  _xlpm.w, AR$11,
  _xlpm.r, MATCH(1,('3. Enter Indicator Scores'!$B$10:$B$161=$B140)*('3. Enter Indicator Scores'!$C$10:$C$161=$C140),0),
  _xlpm.c, MATCH(AR$8,'3. Enter Indicator Scores'!$D$8:$CZ$8,0),
  _xlpm.v, IFERROR(INDEX('3. Enter Indicator Scores'!$D$10:$CZ$161,_xlpm.r,_xlpm.c),""),
  IF(OR(_xlpm.w="",_xlpm.v=""),"",_xlpm.v*_xlpm.w)
)</f>
        <v/>
      </c>
      <c r="AS140" s="93" t="str" cm="1">
        <f t="array" ref="AS140">_xlfn.LET(
  _xlpm.w, AS$11,
  _xlpm.r, MATCH(1,('3. Enter Indicator Scores'!$B$10:$B$161=$B140)*('3. Enter Indicator Scores'!$C$10:$C$161=$C140),0),
  _xlpm.c, MATCH(AS$8,'3. Enter Indicator Scores'!$D$8:$CZ$8,0),
  _xlpm.v, IFERROR(INDEX('3. Enter Indicator Scores'!$D$10:$CZ$161,_xlpm.r,_xlpm.c),""),
  IF(OR(_xlpm.w="",_xlpm.v=""),"",_xlpm.v*_xlpm.w)
)</f>
        <v/>
      </c>
      <c r="AT140" s="93" t="str" cm="1">
        <f t="array" ref="AT140">_xlfn.LET(
  _xlpm.w, AT$11,
  _xlpm.r, MATCH(1,('3. Enter Indicator Scores'!$B$10:$B$161=$B140)*('3. Enter Indicator Scores'!$C$10:$C$161=$C140),0),
  _xlpm.c, MATCH(AT$8,'3. Enter Indicator Scores'!$D$8:$CZ$8,0),
  _xlpm.v, IFERROR(INDEX('3. Enter Indicator Scores'!$D$10:$CZ$161,_xlpm.r,_xlpm.c),""),
  IF(OR(_xlpm.w="",_xlpm.v=""),"",_xlpm.v*_xlpm.w)
)</f>
        <v/>
      </c>
      <c r="AU140" s="93" t="str" cm="1">
        <f t="array" ref="AU140">_xlfn.LET(
  _xlpm.w, AU$11,
  _xlpm.r, MATCH(1,('3. Enter Indicator Scores'!$B$10:$B$161=$B140)*('3. Enter Indicator Scores'!$C$10:$C$161=$C140),0),
  _xlpm.c, MATCH(AU$8,'3. Enter Indicator Scores'!$D$8:$CZ$8,0),
  _xlpm.v, IFERROR(INDEX('3. Enter Indicator Scores'!$D$10:$CZ$161,_xlpm.r,_xlpm.c),""),
  IF(OR(_xlpm.w="",_xlpm.v=""),"",_xlpm.v*_xlpm.w)
)</f>
        <v/>
      </c>
      <c r="AV140" s="93" t="str" cm="1">
        <f t="array" ref="AV140">_xlfn.LET(
  _xlpm.w, AV$11,
  _xlpm.r, MATCH(1,('3. Enter Indicator Scores'!$B$10:$B$161=$B140)*('3. Enter Indicator Scores'!$C$10:$C$161=$C140),0),
  _xlpm.c, MATCH(AV$8,'3. Enter Indicator Scores'!$D$8:$CZ$8,0),
  _xlpm.v, IFERROR(INDEX('3. Enter Indicator Scores'!$D$10:$CZ$161,_xlpm.r,_xlpm.c),""),
  IF(OR(_xlpm.w="",_xlpm.v=""),"",_xlpm.v*_xlpm.w)
)</f>
        <v/>
      </c>
      <c r="AW140" s="93" t="str" cm="1">
        <f t="array" ref="AW140">_xlfn.LET(
  _xlpm.w, AW$11,
  _xlpm.r, MATCH(1,('3. Enter Indicator Scores'!$B$10:$B$161=$B140)*('3. Enter Indicator Scores'!$C$10:$C$161=$C140),0),
  _xlpm.c, MATCH(AW$8,'3. Enter Indicator Scores'!$D$8:$CZ$8,0),
  _xlpm.v, IFERROR(INDEX('3. Enter Indicator Scores'!$D$10:$CZ$161,_xlpm.r,_xlpm.c),""),
  IF(OR(_xlpm.w="",_xlpm.v=""),"",_xlpm.v*_xlpm.w)
)</f>
        <v/>
      </c>
      <c r="AX140" s="93" t="str" cm="1">
        <f t="array" ref="AX140">_xlfn.LET(
  _xlpm.w, AX$11,
  _xlpm.r, MATCH(1,('3. Enter Indicator Scores'!$B$10:$B$161=$B140)*('3. Enter Indicator Scores'!$C$10:$C$161=$C140),0),
  _xlpm.c, MATCH(AX$8,'3. Enter Indicator Scores'!$D$8:$CZ$8,0),
  _xlpm.v, IFERROR(INDEX('3. Enter Indicator Scores'!$D$10:$CZ$161,_xlpm.r,_xlpm.c),""),
  IF(OR(_xlpm.w="",_xlpm.v=""),"",_xlpm.v*_xlpm.w)
)</f>
        <v/>
      </c>
      <c r="AY140" s="93" t="str" cm="1">
        <f t="array" ref="AY140">_xlfn.LET(
  _xlpm.w, AY$11,
  _xlpm.r, MATCH(1,('3. Enter Indicator Scores'!$B$10:$B$161=$B140)*('3. Enter Indicator Scores'!$C$10:$C$161=$C140),0),
  _xlpm.c, MATCH(AY$8,'3. Enter Indicator Scores'!$D$8:$CZ$8,0),
  _xlpm.v, IFERROR(INDEX('3. Enter Indicator Scores'!$D$10:$CZ$161,_xlpm.r,_xlpm.c),""),
  IF(OR(_xlpm.w="",_xlpm.v=""),"",_xlpm.v*_xlpm.w)
)</f>
        <v/>
      </c>
      <c r="AZ140" s="93" t="str" cm="1">
        <f t="array" ref="AZ140">_xlfn.LET(
  _xlpm.w, AZ$11,
  _xlpm.r, MATCH(1,('3. Enter Indicator Scores'!$B$10:$B$161=$B140)*('3. Enter Indicator Scores'!$C$10:$C$161=$C140),0),
  _xlpm.c, MATCH(AZ$8,'3. Enter Indicator Scores'!$D$8:$CZ$8,0),
  _xlpm.v, IFERROR(INDEX('3. Enter Indicator Scores'!$D$10:$CZ$161,_xlpm.r,_xlpm.c),""),
  IF(OR(_xlpm.w="",_xlpm.v=""),"",_xlpm.v*_xlpm.w)
)</f>
        <v/>
      </c>
      <c r="BA140" s="93" t="str" cm="1">
        <f t="array" ref="BA140">_xlfn.LET(
  _xlpm.w, BA$11,
  _xlpm.r, MATCH(1,('3. Enter Indicator Scores'!$B$10:$B$161=$B140)*('3. Enter Indicator Scores'!$C$10:$C$161=$C140),0),
  _xlpm.c, MATCH(BA$8,'3. Enter Indicator Scores'!$D$8:$CZ$8,0),
  _xlpm.v, IFERROR(INDEX('3. Enter Indicator Scores'!$D$10:$CZ$161,_xlpm.r,_xlpm.c),""),
  IF(OR(_xlpm.w="",_xlpm.v=""),"",_xlpm.v*_xlpm.w)
)</f>
        <v/>
      </c>
      <c r="BB140" s="93" t="str" cm="1">
        <f t="array" ref="BB140">_xlfn.LET(
  _xlpm.w, BB$11,
  _xlpm.r, MATCH(1,('3. Enter Indicator Scores'!$B$10:$B$161=$B140)*('3. Enter Indicator Scores'!$C$10:$C$161=$C140),0),
  _xlpm.c, MATCH(BB$8,'3. Enter Indicator Scores'!$D$8:$CZ$8,0),
  _xlpm.v, IFERROR(INDEX('3. Enter Indicator Scores'!$D$10:$CZ$161,_xlpm.r,_xlpm.c),""),
  IF(OR(_xlpm.w="",_xlpm.v=""),"",_xlpm.v*_xlpm.w)
)</f>
        <v/>
      </c>
      <c r="BC140" s="93" t="str" cm="1">
        <f t="array" ref="BC140">_xlfn.LET(
  _xlpm.w, BC$11,
  _xlpm.r, MATCH(1,('3. Enter Indicator Scores'!$B$10:$B$161=$B140)*('3. Enter Indicator Scores'!$C$10:$C$161=$C140),0),
  _xlpm.c, MATCH(BC$8,'3. Enter Indicator Scores'!$D$8:$CZ$8,0),
  _xlpm.v, IFERROR(INDEX('3. Enter Indicator Scores'!$D$10:$CZ$161,_xlpm.r,_xlpm.c),""),
  IF(OR(_xlpm.w="",_xlpm.v=""),"",_xlpm.v*_xlpm.w)
)</f>
        <v/>
      </c>
      <c r="BD140" s="93" t="str" cm="1">
        <f t="array" ref="BD140">_xlfn.LET(
  _xlpm.w, BD$11,
  _xlpm.r, MATCH(1,('3. Enter Indicator Scores'!$B$10:$B$161=$B140)*('3. Enter Indicator Scores'!$C$10:$C$161=$C140),0),
  _xlpm.c, MATCH(BD$8,'3. Enter Indicator Scores'!$D$8:$CZ$8,0),
  _xlpm.v, IFERROR(INDEX('3. Enter Indicator Scores'!$D$10:$CZ$161,_xlpm.r,_xlpm.c),""),
  IF(OR(_xlpm.w="",_xlpm.v=""),"",_xlpm.v*_xlpm.w)
)</f>
        <v/>
      </c>
      <c r="BE140" s="93" t="str" cm="1">
        <f t="array" ref="BE140">_xlfn.LET(
  _xlpm.w, BE$11,
  _xlpm.r, MATCH(1,('3. Enter Indicator Scores'!$B$10:$B$161=$B140)*('3. Enter Indicator Scores'!$C$10:$C$161=$C140),0),
  _xlpm.c, MATCH(BE$8,'3. Enter Indicator Scores'!$D$8:$CZ$8,0),
  _xlpm.v, IFERROR(INDEX('3. Enter Indicator Scores'!$D$10:$CZ$161,_xlpm.r,_xlpm.c),""),
  IF(OR(_xlpm.w="",_xlpm.v=""),"",_xlpm.v*_xlpm.w)
)</f>
        <v/>
      </c>
      <c r="BF140" s="93" t="str" cm="1">
        <f t="array" ref="BF140">_xlfn.LET(
  _xlpm.w, BF$11,
  _xlpm.r, MATCH(1,('3. Enter Indicator Scores'!$B$10:$B$161=$B140)*('3. Enter Indicator Scores'!$C$10:$C$161=$C140),0),
  _xlpm.c, MATCH(BF$8,'3. Enter Indicator Scores'!$D$8:$CZ$8,0),
  _xlpm.v, IFERROR(INDEX('3. Enter Indicator Scores'!$D$10:$CZ$161,_xlpm.r,_xlpm.c),""),
  IF(OR(_xlpm.w="",_xlpm.v=""),"",_xlpm.v*_xlpm.w)
)</f>
        <v/>
      </c>
      <c r="BG140" s="93" t="str" cm="1">
        <f t="array" ref="BG140">_xlfn.LET(
  _xlpm.w, BG$11,
  _xlpm.r, MATCH(1,('3. Enter Indicator Scores'!$B$10:$B$161=$B140)*('3. Enter Indicator Scores'!$C$10:$C$161=$C140),0),
  _xlpm.c, MATCH(BG$8,'3. Enter Indicator Scores'!$D$8:$CZ$8,0),
  _xlpm.v, IFERROR(INDEX('3. Enter Indicator Scores'!$D$10:$CZ$161,_xlpm.r,_xlpm.c),""),
  IF(OR(_xlpm.w="",_xlpm.v=""),"",_xlpm.v*_xlpm.w)
)</f>
        <v/>
      </c>
      <c r="BH140" s="93" t="str" cm="1">
        <f t="array" ref="BH140">_xlfn.LET(
  _xlpm.w, BH$11,
  _xlpm.r, MATCH(1,('3. Enter Indicator Scores'!$B$10:$B$161=$B140)*('3. Enter Indicator Scores'!$C$10:$C$161=$C140),0),
  _xlpm.c, MATCH(BH$8,'3. Enter Indicator Scores'!$D$8:$CZ$8,0),
  _xlpm.v, IFERROR(INDEX('3. Enter Indicator Scores'!$D$10:$CZ$161,_xlpm.r,_xlpm.c),""),
  IF(OR(_xlpm.w="",_xlpm.v=""),"",_xlpm.v*_xlpm.w)
)</f>
        <v/>
      </c>
      <c r="BI140" s="93" t="str" cm="1">
        <f t="array" ref="BI140">_xlfn.LET(
  _xlpm.w, BI$11,
  _xlpm.r, MATCH(1,('3. Enter Indicator Scores'!$B$10:$B$161=$B140)*('3. Enter Indicator Scores'!$C$10:$C$161=$C140),0),
  _xlpm.c, MATCH(BI$8,'3. Enter Indicator Scores'!$D$8:$CZ$8,0),
  _xlpm.v, IFERROR(INDEX('3. Enter Indicator Scores'!$D$10:$CZ$161,_xlpm.r,_xlpm.c),""),
  IF(OR(_xlpm.w="",_xlpm.v=""),"",_xlpm.v*_xlpm.w)
)</f>
        <v/>
      </c>
      <c r="BJ140" s="93" t="str" cm="1">
        <f t="array" ref="BJ140">_xlfn.LET(
  _xlpm.w, BJ$11,
  _xlpm.r, MATCH(1,('3. Enter Indicator Scores'!$B$10:$B$161=$B140)*('3. Enter Indicator Scores'!$C$10:$C$161=$C140),0),
  _xlpm.c, MATCH(BJ$8,'3. Enter Indicator Scores'!$D$8:$CZ$8,0),
  _xlpm.v, IFERROR(INDEX('3. Enter Indicator Scores'!$D$10:$CZ$161,_xlpm.r,_xlpm.c),""),
  IF(OR(_xlpm.w="",_xlpm.v=""),"",_xlpm.v*_xlpm.w)
)</f>
        <v/>
      </c>
      <c r="BK140" s="93" t="str" cm="1">
        <f t="array" ref="BK140">_xlfn.LET(
  _xlpm.w, BK$11,
  _xlpm.r, MATCH(1,('3. Enter Indicator Scores'!$B$10:$B$161=$B140)*('3. Enter Indicator Scores'!$C$10:$C$161=$C140),0),
  _xlpm.c, MATCH(BK$8,'3. Enter Indicator Scores'!$D$8:$CZ$8,0),
  _xlpm.v, IFERROR(INDEX('3. Enter Indicator Scores'!$D$10:$CZ$161,_xlpm.r,_xlpm.c),""),
  IF(OR(_xlpm.w="",_xlpm.v=""),"",_xlpm.v*_xlpm.w)
)</f>
        <v/>
      </c>
      <c r="BL140" s="93" t="str" cm="1">
        <f t="array" ref="BL140">_xlfn.LET(
  _xlpm.w, BL$11,
  _xlpm.r, MATCH(1,('3. Enter Indicator Scores'!$B$10:$B$161=$B140)*('3. Enter Indicator Scores'!$C$10:$C$161=$C140),0),
  _xlpm.c, MATCH(BL$8,'3. Enter Indicator Scores'!$D$8:$CZ$8,0),
  _xlpm.v, IFERROR(INDEX('3. Enter Indicator Scores'!$D$10:$CZ$161,_xlpm.r,_xlpm.c),""),
  IF(OR(_xlpm.w="",_xlpm.v=""),"",_xlpm.v*_xlpm.w)
)</f>
        <v/>
      </c>
      <c r="BM140" s="93" t="str" cm="1">
        <f t="array" ref="BM140">_xlfn.LET(
  _xlpm.w, BM$11,
  _xlpm.r, MATCH(1,('3. Enter Indicator Scores'!$B$10:$B$161=$B140)*('3. Enter Indicator Scores'!$C$10:$C$161=$C140),0),
  _xlpm.c, MATCH(BM$8,'3. Enter Indicator Scores'!$D$8:$CZ$8,0),
  _xlpm.v, IFERROR(INDEX('3. Enter Indicator Scores'!$D$10:$CZ$161,_xlpm.r,_xlpm.c),""),
  IF(OR(_xlpm.w="",_xlpm.v=""),"",_xlpm.v*_xlpm.w)
)</f>
        <v/>
      </c>
      <c r="BN140" s="93" t="str" cm="1">
        <f t="array" ref="BN140">_xlfn.LET(
  _xlpm.w, BN$11,
  _xlpm.r, MATCH(1,('3. Enter Indicator Scores'!$B$10:$B$161=$B140)*('3. Enter Indicator Scores'!$C$10:$C$161=$C140),0),
  _xlpm.c, MATCH(BN$8,'3. Enter Indicator Scores'!$D$8:$CZ$8,0),
  _xlpm.v, IFERROR(INDEX('3. Enter Indicator Scores'!$D$10:$CZ$161,_xlpm.r,_xlpm.c),""),
  IF(OR(_xlpm.w="",_xlpm.v=""),"",_xlpm.v*_xlpm.w)
)</f>
        <v/>
      </c>
      <c r="BO140" s="93" t="str" cm="1">
        <f t="array" ref="BO140">_xlfn.LET(
  _xlpm.w, BO$11,
  _xlpm.r, MATCH(1,('3. Enter Indicator Scores'!$B$10:$B$161=$B140)*('3. Enter Indicator Scores'!$C$10:$C$161=$C140),0),
  _xlpm.c, MATCH(BO$8,'3. Enter Indicator Scores'!$D$8:$CZ$8,0),
  _xlpm.v, IFERROR(INDEX('3. Enter Indicator Scores'!$D$10:$CZ$161,_xlpm.r,_xlpm.c),""),
  IF(OR(_xlpm.w="",_xlpm.v=""),"",_xlpm.v*_xlpm.w)
)</f>
        <v/>
      </c>
      <c r="BP140" s="93" t="str" cm="1">
        <f t="array" ref="BP140">_xlfn.LET(
  _xlpm.w, BP$11,
  _xlpm.r, MATCH(1,('3. Enter Indicator Scores'!$B$10:$B$161=$B140)*('3. Enter Indicator Scores'!$C$10:$C$161=$C140),0),
  _xlpm.c, MATCH(BP$8,'3. Enter Indicator Scores'!$D$8:$CZ$8,0),
  _xlpm.v, IFERROR(INDEX('3. Enter Indicator Scores'!$D$10:$CZ$161,_xlpm.r,_xlpm.c),""),
  IF(OR(_xlpm.w="",_xlpm.v=""),"",_xlpm.v*_xlpm.w)
)</f>
        <v/>
      </c>
      <c r="BQ140" s="93" t="str" cm="1">
        <f t="array" ref="BQ140">_xlfn.LET(
  _xlpm.w, BQ$11,
  _xlpm.r, MATCH(1,('3. Enter Indicator Scores'!$B$10:$B$161=$B140)*('3. Enter Indicator Scores'!$C$10:$C$161=$C140),0),
  _xlpm.c, MATCH(BQ$8,'3. Enter Indicator Scores'!$D$8:$CZ$8,0),
  _xlpm.v, IFERROR(INDEX('3. Enter Indicator Scores'!$D$10:$CZ$161,_xlpm.r,_xlpm.c),""),
  IF(OR(_xlpm.w="",_xlpm.v=""),"",_xlpm.v*_xlpm.w)
)</f>
        <v/>
      </c>
      <c r="BR140" s="93" t="str" cm="1">
        <f t="array" ref="BR140">_xlfn.LET(
  _xlpm.w, BR$11,
  _xlpm.r, MATCH(1,('3. Enter Indicator Scores'!$B$10:$B$161=$B140)*('3. Enter Indicator Scores'!$C$10:$C$161=$C140),0),
  _xlpm.c, MATCH(BR$8,'3. Enter Indicator Scores'!$D$8:$CZ$8,0),
  _xlpm.v, IFERROR(INDEX('3. Enter Indicator Scores'!$D$10:$CZ$161,_xlpm.r,_xlpm.c),""),
  IF(OR(_xlpm.w="",_xlpm.v=""),"",_xlpm.v*_xlpm.w)
)</f>
        <v/>
      </c>
      <c r="BS140" s="93" t="str" cm="1">
        <f t="array" ref="BS140">_xlfn.LET(
  _xlpm.w, BS$11,
  _xlpm.r, MATCH(1,('3. Enter Indicator Scores'!$B$10:$B$161=$B140)*('3. Enter Indicator Scores'!$C$10:$C$161=$C140),0),
  _xlpm.c, MATCH(BS$8,'3. Enter Indicator Scores'!$D$8:$CZ$8,0),
  _xlpm.v, IFERROR(INDEX('3. Enter Indicator Scores'!$D$10:$CZ$161,_xlpm.r,_xlpm.c),""),
  IF(OR(_xlpm.w="",_xlpm.v=""),"",_xlpm.v*_xlpm.w)
)</f>
        <v/>
      </c>
      <c r="BT140" s="93" t="str" cm="1">
        <f t="array" ref="BT140">_xlfn.LET(
  _xlpm.w, BT$11,
  _xlpm.r, MATCH(1,('3. Enter Indicator Scores'!$B$10:$B$161=$B140)*('3. Enter Indicator Scores'!$C$10:$C$161=$C140),0),
  _xlpm.c, MATCH(BT$8,'3. Enter Indicator Scores'!$D$8:$CZ$8,0),
  _xlpm.v, IFERROR(INDEX('3. Enter Indicator Scores'!$D$10:$CZ$161,_xlpm.r,_xlpm.c),""),
  IF(OR(_xlpm.w="",_xlpm.v=""),"",_xlpm.v*_xlpm.w)
)</f>
        <v/>
      </c>
      <c r="BU140" s="93" t="str" cm="1">
        <f t="array" ref="BU140">_xlfn.LET(
  _xlpm.w, BU$11,
  _xlpm.r, MATCH(1,('3. Enter Indicator Scores'!$B$10:$B$161=$B140)*('3. Enter Indicator Scores'!$C$10:$C$161=$C140),0),
  _xlpm.c, MATCH(BU$8,'3. Enter Indicator Scores'!$D$8:$CZ$8,0),
  _xlpm.v, IFERROR(INDEX('3. Enter Indicator Scores'!$D$10:$CZ$161,_xlpm.r,_xlpm.c),""),
  IF(OR(_xlpm.w="",_xlpm.v=""),"",_xlpm.v*_xlpm.w)
)</f>
        <v/>
      </c>
      <c r="BV140" s="93" t="str" cm="1">
        <f t="array" ref="BV140">_xlfn.LET(
  _xlpm.w, BV$11,
  _xlpm.r, MATCH(1,('3. Enter Indicator Scores'!$B$10:$B$161=$B140)*('3. Enter Indicator Scores'!$C$10:$C$161=$C140),0),
  _xlpm.c, MATCH(BV$8,'3. Enter Indicator Scores'!$D$8:$CZ$8,0),
  _xlpm.v, IFERROR(INDEX('3. Enter Indicator Scores'!$D$10:$CZ$161,_xlpm.r,_xlpm.c),""),
  IF(OR(_xlpm.w="",_xlpm.v=""),"",_xlpm.v*_xlpm.w)
)</f>
        <v/>
      </c>
      <c r="BW140" s="93" t="str" cm="1">
        <f t="array" ref="BW140">_xlfn.LET(
  _xlpm.w, BW$11,
  _xlpm.r, MATCH(1,('3. Enter Indicator Scores'!$B$10:$B$161=$B140)*('3. Enter Indicator Scores'!$C$10:$C$161=$C140),0),
  _xlpm.c, MATCH(BW$8,'3. Enter Indicator Scores'!$D$8:$CZ$8,0),
  _xlpm.v, IFERROR(INDEX('3. Enter Indicator Scores'!$D$10:$CZ$161,_xlpm.r,_xlpm.c),""),
  IF(OR(_xlpm.w="",_xlpm.v=""),"",_xlpm.v*_xlpm.w)
)</f>
        <v/>
      </c>
      <c r="BX140" s="93" t="str" cm="1">
        <f t="array" ref="BX140">_xlfn.LET(
  _xlpm.w, BX$11,
  _xlpm.r, MATCH(1,('3. Enter Indicator Scores'!$B$10:$B$161=$B140)*('3. Enter Indicator Scores'!$C$10:$C$161=$C140),0),
  _xlpm.c, MATCH(BX$8,'3. Enter Indicator Scores'!$D$8:$CZ$8,0),
  _xlpm.v, IFERROR(INDEX('3. Enter Indicator Scores'!$D$10:$CZ$161,_xlpm.r,_xlpm.c),""),
  IF(OR(_xlpm.w="",_xlpm.v=""),"",_xlpm.v*_xlpm.w)
)</f>
        <v/>
      </c>
      <c r="BY140" s="93" t="str" cm="1">
        <f t="array" ref="BY140">_xlfn.LET(
  _xlpm.w, BY$11,
  _xlpm.r, MATCH(1,('3. Enter Indicator Scores'!$B$10:$B$161=$B140)*('3. Enter Indicator Scores'!$C$10:$C$161=$C140),0),
  _xlpm.c, MATCH(BY$8,'3. Enter Indicator Scores'!$D$8:$CZ$8,0),
  _xlpm.v, IFERROR(INDEX('3. Enter Indicator Scores'!$D$10:$CZ$161,_xlpm.r,_xlpm.c),""),
  IF(OR(_xlpm.w="",_xlpm.v=""),"",_xlpm.v*_xlpm.w)
)</f>
        <v/>
      </c>
      <c r="BZ140" s="93" t="str" cm="1">
        <f t="array" ref="BZ140">_xlfn.LET(
  _xlpm.w, BZ$11,
  _xlpm.r, MATCH(1,('3. Enter Indicator Scores'!$B$10:$B$161=$B140)*('3. Enter Indicator Scores'!$C$10:$C$161=$C140),0),
  _xlpm.c, MATCH(BZ$8,'3. Enter Indicator Scores'!$D$8:$CZ$8,0),
  _xlpm.v, IFERROR(INDEX('3. Enter Indicator Scores'!$D$10:$CZ$161,_xlpm.r,_xlpm.c),""),
  IF(OR(_xlpm.w="",_xlpm.v=""),"",_xlpm.v*_xlpm.w)
)</f>
        <v/>
      </c>
      <c r="CA140" s="93" t="str" cm="1">
        <f t="array" ref="CA140">_xlfn.LET(
  _xlpm.w, CA$11,
  _xlpm.r, MATCH(1,('3. Enter Indicator Scores'!$B$10:$B$161=$B140)*('3. Enter Indicator Scores'!$C$10:$C$161=$C140),0),
  _xlpm.c, MATCH(CA$8,'3. Enter Indicator Scores'!$D$8:$CZ$8,0),
  _xlpm.v, IFERROR(INDEX('3. Enter Indicator Scores'!$D$10:$CZ$161,_xlpm.r,_xlpm.c),""),
  IF(OR(_xlpm.w="",_xlpm.v=""),"",_xlpm.v*_xlpm.w)
)</f>
        <v/>
      </c>
      <c r="CB140" s="93" t="str" cm="1">
        <f t="array" ref="CB140">_xlfn.LET(
  _xlpm.w, CB$11,
  _xlpm.r, MATCH(1,('3. Enter Indicator Scores'!$B$10:$B$161=$B140)*('3. Enter Indicator Scores'!$C$10:$C$161=$C140),0),
  _xlpm.c, MATCH(CB$8,'3. Enter Indicator Scores'!$D$8:$CZ$8,0),
  _xlpm.v, IFERROR(INDEX('3. Enter Indicator Scores'!$D$10:$CZ$161,_xlpm.r,_xlpm.c),""),
  IF(OR(_xlpm.w="",_xlpm.v=""),"",_xlpm.v*_xlpm.w)
)</f>
        <v/>
      </c>
      <c r="CC140" s="93" t="str" cm="1">
        <f t="array" ref="CC140">_xlfn.LET(
  _xlpm.w, CC$11,
  _xlpm.r, MATCH(1,('3. Enter Indicator Scores'!$B$10:$B$161=$B140)*('3. Enter Indicator Scores'!$C$10:$C$161=$C140),0),
  _xlpm.c, MATCH(CC$8,'3. Enter Indicator Scores'!$D$8:$CZ$8,0),
  _xlpm.v, IFERROR(INDEX('3. Enter Indicator Scores'!$D$10:$CZ$161,_xlpm.r,_xlpm.c),""),
  IF(OR(_xlpm.w="",_xlpm.v=""),"",_xlpm.v*_xlpm.w)
)</f>
        <v/>
      </c>
      <c r="CD140" s="93" t="str" cm="1">
        <f t="array" ref="CD140">_xlfn.LET(
  _xlpm.w, CD$11,
  _xlpm.r, MATCH(1,('3. Enter Indicator Scores'!$B$10:$B$161=$B140)*('3. Enter Indicator Scores'!$C$10:$C$161=$C140),0),
  _xlpm.c, MATCH(CD$8,'3. Enter Indicator Scores'!$D$8:$CZ$8,0),
  _xlpm.v, IFERROR(INDEX('3. Enter Indicator Scores'!$D$10:$CZ$161,_xlpm.r,_xlpm.c),""),
  IF(OR(_xlpm.w="",_xlpm.v=""),"",_xlpm.v*_xlpm.w)
)</f>
        <v/>
      </c>
      <c r="CE140" s="93" t="str" cm="1">
        <f t="array" ref="CE140">_xlfn.LET(
  _xlpm.w, CE$11,
  _xlpm.r, MATCH(1,('3. Enter Indicator Scores'!$B$10:$B$161=$B140)*('3. Enter Indicator Scores'!$C$10:$C$161=$C140),0),
  _xlpm.c, MATCH(CE$8,'3. Enter Indicator Scores'!$D$8:$CZ$8,0),
  _xlpm.v, IFERROR(INDEX('3. Enter Indicator Scores'!$D$10:$CZ$161,_xlpm.r,_xlpm.c),""),
  IF(OR(_xlpm.w="",_xlpm.v=""),"",_xlpm.v*_xlpm.w)
)</f>
        <v/>
      </c>
      <c r="CF140" s="93" t="str" cm="1">
        <f t="array" ref="CF140">_xlfn.LET(
  _xlpm.w, CF$11,
  _xlpm.r, MATCH(1,('3. Enter Indicator Scores'!$B$10:$B$161=$B140)*('3. Enter Indicator Scores'!$C$10:$C$161=$C140),0),
  _xlpm.c, MATCH(CF$8,'3. Enter Indicator Scores'!$D$8:$CZ$8,0),
  _xlpm.v, IFERROR(INDEX('3. Enter Indicator Scores'!$D$10:$CZ$161,_xlpm.r,_xlpm.c),""),
  IF(OR(_xlpm.w="",_xlpm.v=""),"",_xlpm.v*_xlpm.w)
)</f>
        <v/>
      </c>
      <c r="CG140" s="93" t="str" cm="1">
        <f t="array" ref="CG140">_xlfn.LET(
  _xlpm.w, CG$11,
  _xlpm.r, MATCH(1,('3. Enter Indicator Scores'!$B$10:$B$161=$B140)*('3. Enter Indicator Scores'!$C$10:$C$161=$C140),0),
  _xlpm.c, MATCH(CG$8,'3. Enter Indicator Scores'!$D$8:$CZ$8,0),
  _xlpm.v, IFERROR(INDEX('3. Enter Indicator Scores'!$D$10:$CZ$161,_xlpm.r,_xlpm.c),""),
  IF(OR(_xlpm.w="",_xlpm.v=""),"",_xlpm.v*_xlpm.w)
)</f>
        <v/>
      </c>
      <c r="CH140" s="93" t="str" cm="1">
        <f t="array" ref="CH140">_xlfn.LET(
  _xlpm.w, CH$11,
  _xlpm.r, MATCH(1,('3. Enter Indicator Scores'!$B$10:$B$161=$B140)*('3. Enter Indicator Scores'!$C$10:$C$161=$C140),0),
  _xlpm.c, MATCH(CH$8,'3. Enter Indicator Scores'!$D$8:$CZ$8,0),
  _xlpm.v, IFERROR(INDEX('3. Enter Indicator Scores'!$D$10:$CZ$161,_xlpm.r,_xlpm.c),""),
  IF(OR(_xlpm.w="",_xlpm.v=""),"",_xlpm.v*_xlpm.w)
)</f>
        <v/>
      </c>
      <c r="CI140" s="93" t="str" cm="1">
        <f t="array" ref="CI140">_xlfn.LET(
  _xlpm.w, CI$11,
  _xlpm.r, MATCH(1,('3. Enter Indicator Scores'!$B$10:$B$161=$B140)*('3. Enter Indicator Scores'!$C$10:$C$161=$C140),0),
  _xlpm.c, MATCH(CI$8,'3. Enter Indicator Scores'!$D$8:$CZ$8,0),
  _xlpm.v, IFERROR(INDEX('3. Enter Indicator Scores'!$D$10:$CZ$161,_xlpm.r,_xlpm.c),""),
  IF(OR(_xlpm.w="",_xlpm.v=""),"",_xlpm.v*_xlpm.w)
)</f>
        <v/>
      </c>
      <c r="CJ140" s="93" t="str" cm="1">
        <f t="array" ref="CJ140">_xlfn.LET(
  _xlpm.w, CJ$11,
  _xlpm.r, MATCH(1,('3. Enter Indicator Scores'!$B$10:$B$161=$B140)*('3. Enter Indicator Scores'!$C$10:$C$161=$C140),0),
  _xlpm.c, MATCH(CJ$8,'3. Enter Indicator Scores'!$D$8:$CZ$8,0),
  _xlpm.v, IFERROR(INDEX('3. Enter Indicator Scores'!$D$10:$CZ$161,_xlpm.r,_xlpm.c),""),
  IF(OR(_xlpm.w="",_xlpm.v=""),"",_xlpm.v*_xlpm.w)
)</f>
        <v/>
      </c>
      <c r="CK140" s="93" t="str" cm="1">
        <f t="array" ref="CK140">_xlfn.LET(
  _xlpm.w, CK$11,
  _xlpm.r, MATCH(1,('3. Enter Indicator Scores'!$B$10:$B$161=$B140)*('3. Enter Indicator Scores'!$C$10:$C$161=$C140),0),
  _xlpm.c, MATCH(CK$8,'3. Enter Indicator Scores'!$D$8:$CZ$8,0),
  _xlpm.v, IFERROR(INDEX('3. Enter Indicator Scores'!$D$10:$CZ$161,_xlpm.r,_xlpm.c),""),
  IF(OR(_xlpm.w="",_xlpm.v=""),"",_xlpm.v*_xlpm.w)
)</f>
        <v/>
      </c>
      <c r="CL140" s="93" t="str" cm="1">
        <f t="array" ref="CL140">_xlfn.LET(
  _xlpm.w, CL$11,
  _xlpm.r, MATCH(1,('3. Enter Indicator Scores'!$B$10:$B$161=$B140)*('3. Enter Indicator Scores'!$C$10:$C$161=$C140),0),
  _xlpm.c, MATCH(CL$8,'3. Enter Indicator Scores'!$D$8:$CZ$8,0),
  _xlpm.v, IFERROR(INDEX('3. Enter Indicator Scores'!$D$10:$CZ$161,_xlpm.r,_xlpm.c),""),
  IF(OR(_xlpm.w="",_xlpm.v=""),"",_xlpm.v*_xlpm.w)
)</f>
        <v/>
      </c>
      <c r="CM140" s="93" t="str" cm="1">
        <f t="array" ref="CM140">_xlfn.LET(
  _xlpm.w, CM$11,
  _xlpm.r, MATCH(1,('3. Enter Indicator Scores'!$B$10:$B$161=$B140)*('3. Enter Indicator Scores'!$C$10:$C$161=$C140),0),
  _xlpm.c, MATCH(CM$8,'3. Enter Indicator Scores'!$D$8:$CZ$8,0),
  _xlpm.v, IFERROR(INDEX('3. Enter Indicator Scores'!$D$10:$CZ$161,_xlpm.r,_xlpm.c),""),
  IF(OR(_xlpm.w="",_xlpm.v=""),"",_xlpm.v*_xlpm.w)
)</f>
        <v/>
      </c>
      <c r="CN140" s="93" t="str" cm="1">
        <f t="array" ref="CN140">_xlfn.LET(
  _xlpm.w, CN$11,
  _xlpm.r, MATCH(1,('3. Enter Indicator Scores'!$B$10:$B$161=$B140)*('3. Enter Indicator Scores'!$C$10:$C$161=$C140),0),
  _xlpm.c, MATCH(CN$8,'3. Enter Indicator Scores'!$D$8:$CZ$8,0),
  _xlpm.v, IFERROR(INDEX('3. Enter Indicator Scores'!$D$10:$CZ$161,_xlpm.r,_xlpm.c),""),
  IF(OR(_xlpm.w="",_xlpm.v=""),"",_xlpm.v*_xlpm.w)
)</f>
        <v/>
      </c>
      <c r="CO140" s="93" t="str" cm="1">
        <f t="array" ref="CO140">_xlfn.LET(
  _xlpm.w, CO$11,
  _xlpm.r, MATCH(1,('3. Enter Indicator Scores'!$B$10:$B$161=$B140)*('3. Enter Indicator Scores'!$C$10:$C$161=$C140),0),
  _xlpm.c, MATCH(CO$8,'3. Enter Indicator Scores'!$D$8:$CZ$8,0),
  _xlpm.v, IFERROR(INDEX('3. Enter Indicator Scores'!$D$10:$CZ$161,_xlpm.r,_xlpm.c),""),
  IF(OR(_xlpm.w="",_xlpm.v=""),"",_xlpm.v*_xlpm.w)
)</f>
        <v/>
      </c>
      <c r="CP140" s="93" t="str" cm="1">
        <f t="array" ref="CP140">_xlfn.LET(
  _xlpm.w, CP$11,
  _xlpm.r, MATCH(1,('3. Enter Indicator Scores'!$B$10:$B$161=$B140)*('3. Enter Indicator Scores'!$C$10:$C$161=$C140),0),
  _xlpm.c, MATCH(CP$8,'3. Enter Indicator Scores'!$D$8:$CZ$8,0),
  _xlpm.v, IFERROR(INDEX('3. Enter Indicator Scores'!$D$10:$CZ$161,_xlpm.r,_xlpm.c),""),
  IF(OR(_xlpm.w="",_xlpm.v=""),"",_xlpm.v*_xlpm.w)
)</f>
        <v/>
      </c>
      <c r="CQ140" s="93" t="str" cm="1">
        <f t="array" ref="CQ140">_xlfn.LET(
  _xlpm.w, CQ$11,
  _xlpm.r, MATCH(1,('3. Enter Indicator Scores'!$B$10:$B$161=$B140)*('3. Enter Indicator Scores'!$C$10:$C$161=$C140),0),
  _xlpm.c, MATCH(CQ$8,'3. Enter Indicator Scores'!$D$8:$CZ$8,0),
  _xlpm.v, IFERROR(INDEX('3. Enter Indicator Scores'!$D$10:$CZ$161,_xlpm.r,_xlpm.c),""),
  IF(OR(_xlpm.w="",_xlpm.v=""),"",_xlpm.v*_xlpm.w)
)</f>
        <v/>
      </c>
      <c r="CR140" s="93" t="str" cm="1">
        <f t="array" ref="CR140">_xlfn.LET(
  _xlpm.w, CR$11,
  _xlpm.r, MATCH(1,('3. Enter Indicator Scores'!$B$10:$B$161=$B140)*('3. Enter Indicator Scores'!$C$10:$C$161=$C140),0),
  _xlpm.c, MATCH(CR$8,'3. Enter Indicator Scores'!$D$8:$CZ$8,0),
  _xlpm.v, IFERROR(INDEX('3. Enter Indicator Scores'!$D$10:$CZ$161,_xlpm.r,_xlpm.c),""),
  IF(OR(_xlpm.w="",_xlpm.v=""),"",_xlpm.v*_xlpm.w)
)</f>
        <v/>
      </c>
      <c r="CS140" s="93" t="str" cm="1">
        <f t="array" ref="CS140">_xlfn.LET(
  _xlpm.w, CS$11,
  _xlpm.r, MATCH(1,('3. Enter Indicator Scores'!$B$10:$B$161=$B140)*('3. Enter Indicator Scores'!$C$10:$C$161=$C140),0),
  _xlpm.c, MATCH(CS$8,'3. Enter Indicator Scores'!$D$8:$CZ$8,0),
  _xlpm.v, IFERROR(INDEX('3. Enter Indicator Scores'!$D$10:$CZ$161,_xlpm.r,_xlpm.c),""),
  IF(OR(_xlpm.w="",_xlpm.v=""),"",_xlpm.v*_xlpm.w)
)</f>
        <v/>
      </c>
      <c r="CT140" s="93" t="str" cm="1">
        <f t="array" ref="CT140">_xlfn.LET(
  _xlpm.w, CT$11,
  _xlpm.r, MATCH(1,('3. Enter Indicator Scores'!$B$10:$B$161=$B140)*('3. Enter Indicator Scores'!$C$10:$C$161=$C140),0),
  _xlpm.c, MATCH(CT$8,'3. Enter Indicator Scores'!$D$8:$CZ$8,0),
  _xlpm.v, IFERROR(INDEX('3. Enter Indicator Scores'!$D$10:$CZ$161,_xlpm.r,_xlpm.c),""),
  IF(OR(_xlpm.w="",_xlpm.v=""),"",_xlpm.v*_xlpm.w)
)</f>
        <v/>
      </c>
      <c r="CU140" s="93" t="str" cm="1">
        <f t="array" ref="CU140">_xlfn.LET(
  _xlpm.w, CU$11,
  _xlpm.r, MATCH(1,('3. Enter Indicator Scores'!$B$10:$B$161=$B140)*('3. Enter Indicator Scores'!$C$10:$C$161=$C140),0),
  _xlpm.c, MATCH(CU$8,'3. Enter Indicator Scores'!$D$8:$CZ$8,0),
  _xlpm.v, IFERROR(INDEX('3. Enter Indicator Scores'!$D$10:$CZ$161,_xlpm.r,_xlpm.c),""),
  IF(OR(_xlpm.w="",_xlpm.v=""),"",_xlpm.v*_xlpm.w)
)</f>
        <v/>
      </c>
      <c r="CV140" s="93" t="str" cm="1">
        <f t="array" ref="CV140">_xlfn.LET(
  _xlpm.w, CV$11,
  _xlpm.r, MATCH(1,('3. Enter Indicator Scores'!$B$10:$B$161=$B140)*('3. Enter Indicator Scores'!$C$10:$C$161=$C140),0),
  _xlpm.c, MATCH(CV$8,'3. Enter Indicator Scores'!$D$8:$CZ$8,0),
  _xlpm.v, IFERROR(INDEX('3. Enter Indicator Scores'!$D$10:$CZ$161,_xlpm.r,_xlpm.c),""),
  IF(OR(_xlpm.w="",_xlpm.v=""),"",_xlpm.v*_xlpm.w)
)</f>
        <v/>
      </c>
      <c r="CW140" s="93" t="str" cm="1">
        <f t="array" ref="CW140">_xlfn.LET(
  _xlpm.w, CW$11,
  _xlpm.r, MATCH(1,('3. Enter Indicator Scores'!$B$10:$B$161=$B140)*('3. Enter Indicator Scores'!$C$10:$C$161=$C140),0),
  _xlpm.c, MATCH(CW$8,'3. Enter Indicator Scores'!$D$8:$CZ$8,0),
  _xlpm.v, IFERROR(INDEX('3. Enter Indicator Scores'!$D$10:$CZ$161,_xlpm.r,_xlpm.c),""),
  IF(OR(_xlpm.w="",_xlpm.v=""),"",_xlpm.v*_xlpm.w)
)</f>
        <v/>
      </c>
      <c r="CX140" s="93" t="str" cm="1">
        <f t="array" ref="CX140">_xlfn.LET(
  _xlpm.w, CX$11,
  _xlpm.r, MATCH(1,('3. Enter Indicator Scores'!$B$10:$B$161=$B140)*('3. Enter Indicator Scores'!$C$10:$C$161=$C140),0),
  _xlpm.c, MATCH(CX$8,'3. Enter Indicator Scores'!$D$8:$CZ$8,0),
  _xlpm.v, IFERROR(INDEX('3. Enter Indicator Scores'!$D$10:$CZ$161,_xlpm.r,_xlpm.c),""),
  IF(OR(_xlpm.w="",_xlpm.v=""),"",_xlpm.v*_xlpm.w)
)</f>
        <v/>
      </c>
      <c r="CY140" s="93" t="str" cm="1">
        <f t="array" ref="CY140">_xlfn.LET(
  _xlpm.w, CY$11,
  _xlpm.r, MATCH(1,('3. Enter Indicator Scores'!$B$10:$B$161=$B140)*('3. Enter Indicator Scores'!$C$10:$C$161=$C140),0),
  _xlpm.c, MATCH(CY$8,'3. Enter Indicator Scores'!$D$8:$CZ$8,0),
  _xlpm.v, IFERROR(INDEX('3. Enter Indicator Scores'!$D$10:$CZ$161,_xlpm.r,_xlpm.c),""),
  IF(OR(_xlpm.w="",_xlpm.v=""),"",_xlpm.v*_xlpm.w)
)</f>
        <v/>
      </c>
      <c r="CZ140" s="93" t="str" cm="1">
        <f t="array" ref="CZ140">_xlfn.LET(
  _xlpm.w, CZ$11,
  _xlpm.r, MATCH(1,('3. Enter Indicator Scores'!$B$10:$B$161=$B140)*('3. Enter Indicator Scores'!$C$10:$C$161=$C140),0),
  _xlpm.c, MATCH(CZ$8,'3. Enter Indicator Scores'!$D$8:$CZ$8,0),
  _xlpm.v, IFERROR(INDEX('3. Enter Indicator Scores'!$D$10:$CZ$161,_xlpm.r,_xlpm.c),""),
  IF(OR(_xlpm.w="",_xlpm.v=""),"",_xlpm.v*_xlpm.w)
)</f>
        <v/>
      </c>
    </row>
    <row r="141" spans="4:104" x14ac:dyDescent="0.2">
      <c r="D141" s="93" t="str" cm="1">
        <f t="array" ref="D141">_xlfn.LET(
  _xlpm.w, D$11,
  _xlpm.r, MATCH(1,('3. Enter Indicator Scores'!$B$10:$B$161=$B141)*('3. Enter Indicator Scores'!$C$10:$C$161=$C141),0),
  _xlpm.c, MATCH(D$8,'3. Enter Indicator Scores'!$D$8:$CZ$8,0),
  _xlpm.v, IFERROR(INDEX('3. Enter Indicator Scores'!$D$10:$CZ$161,_xlpm.r,_xlpm.c),""),
  IF(OR(_xlpm.w="",_xlpm.v=""),"",_xlpm.v*_xlpm.w)
)</f>
        <v/>
      </c>
      <c r="E141" s="93" t="str" cm="1">
        <f t="array" ref="E141">_xlfn.LET(
  _xlpm.w, E$11,
  _xlpm.r, MATCH(1,('3. Enter Indicator Scores'!$B$10:$B$161=$B141)*('3. Enter Indicator Scores'!$C$10:$C$161=$C141),0),
  _xlpm.c, MATCH(E$8,'3. Enter Indicator Scores'!$D$8:$CZ$8,0),
  _xlpm.v, IFERROR(INDEX('3. Enter Indicator Scores'!$D$10:$CZ$161,_xlpm.r,_xlpm.c),""),
  IF(OR(_xlpm.w="",_xlpm.v=""),"",_xlpm.v*_xlpm.w)
)</f>
        <v/>
      </c>
      <c r="F141" s="93" t="str" cm="1">
        <f t="array" ref="F141">_xlfn.LET(
  _xlpm.w, F$11,
  _xlpm.r, MATCH(1,('3. Enter Indicator Scores'!$B$10:$B$161=$B141)*('3. Enter Indicator Scores'!$C$10:$C$161=$C141),0),
  _xlpm.c, MATCH(F$8,'3. Enter Indicator Scores'!$D$8:$CZ$8,0),
  _xlpm.v, IFERROR(INDEX('3. Enter Indicator Scores'!$D$10:$CZ$161,_xlpm.r,_xlpm.c),""),
  IF(OR(_xlpm.w="",_xlpm.v=""),"",_xlpm.v*_xlpm.w)
)</f>
        <v/>
      </c>
      <c r="G141" s="93" t="str" cm="1">
        <f t="array" ref="G141">_xlfn.LET(
  _xlpm.w, G$11,
  _xlpm.r, MATCH(1,('3. Enter Indicator Scores'!$B$10:$B$161=$B141)*('3. Enter Indicator Scores'!$C$10:$C$161=$C141),0),
  _xlpm.c, MATCH(G$8,'3. Enter Indicator Scores'!$D$8:$CZ$8,0),
  _xlpm.v, IFERROR(INDEX('3. Enter Indicator Scores'!$D$10:$CZ$161,_xlpm.r,_xlpm.c),""),
  IF(OR(_xlpm.w="",_xlpm.v=""),"",_xlpm.v*_xlpm.w)
)</f>
        <v/>
      </c>
      <c r="H141" s="93" t="str" cm="1">
        <f t="array" ref="H141">_xlfn.LET(
  _xlpm.w, H$11,
  _xlpm.r, MATCH(1,('3. Enter Indicator Scores'!$B$10:$B$161=$B141)*('3. Enter Indicator Scores'!$C$10:$C$161=$C141),0),
  _xlpm.c, MATCH(H$8,'3. Enter Indicator Scores'!$D$8:$CZ$8,0),
  _xlpm.v, IFERROR(INDEX('3. Enter Indicator Scores'!$D$10:$CZ$161,_xlpm.r,_xlpm.c),""),
  IF(OR(_xlpm.w="",_xlpm.v=""),"",_xlpm.v*_xlpm.w)
)</f>
        <v/>
      </c>
      <c r="I141" s="93" t="str" cm="1">
        <f t="array" ref="I141">_xlfn.LET(
  _xlpm.w, I$11,
  _xlpm.r, MATCH(1,('3. Enter Indicator Scores'!$B$10:$B$161=$B141)*('3. Enter Indicator Scores'!$C$10:$C$161=$C141),0),
  _xlpm.c, MATCH(I$8,'3. Enter Indicator Scores'!$D$8:$CZ$8,0),
  _xlpm.v, IFERROR(INDEX('3. Enter Indicator Scores'!$D$10:$CZ$161,_xlpm.r,_xlpm.c),""),
  IF(OR(_xlpm.w="",_xlpm.v=""),"",_xlpm.v*_xlpm.w)
)</f>
        <v/>
      </c>
      <c r="J141" s="93" t="str" cm="1">
        <f t="array" ref="J141">_xlfn.LET(
  _xlpm.w, J$11,
  _xlpm.r, MATCH(1,('3. Enter Indicator Scores'!$B$10:$B$161=$B141)*('3. Enter Indicator Scores'!$C$10:$C$161=$C141),0),
  _xlpm.c, MATCH(J$8,'3. Enter Indicator Scores'!$D$8:$CZ$8,0),
  _xlpm.v, IFERROR(INDEX('3. Enter Indicator Scores'!$D$10:$CZ$161,_xlpm.r,_xlpm.c),""),
  IF(OR(_xlpm.w="",_xlpm.v=""),"",_xlpm.v*_xlpm.w)
)</f>
        <v/>
      </c>
      <c r="K141" s="93" t="str" cm="1">
        <f t="array" ref="K141">_xlfn.LET(
  _xlpm.w, K$11,
  _xlpm.r, MATCH(1,('3. Enter Indicator Scores'!$B$10:$B$161=$B141)*('3. Enter Indicator Scores'!$C$10:$C$161=$C141),0),
  _xlpm.c, MATCH(K$8,'3. Enter Indicator Scores'!$D$8:$CZ$8,0),
  _xlpm.v, IFERROR(INDEX('3. Enter Indicator Scores'!$D$10:$CZ$161,_xlpm.r,_xlpm.c),""),
  IF(OR(_xlpm.w="",_xlpm.v=""),"",_xlpm.v*_xlpm.w)
)</f>
        <v/>
      </c>
      <c r="L141" s="93" t="str" cm="1">
        <f t="array" ref="L141">_xlfn.LET(
  _xlpm.w, L$11,
  _xlpm.r, MATCH(1,('3. Enter Indicator Scores'!$B$10:$B$161=$B141)*('3. Enter Indicator Scores'!$C$10:$C$161=$C141),0),
  _xlpm.c, MATCH(L$8,'3. Enter Indicator Scores'!$D$8:$CZ$8,0),
  _xlpm.v, IFERROR(INDEX('3. Enter Indicator Scores'!$D$10:$CZ$161,_xlpm.r,_xlpm.c),""),
  IF(OR(_xlpm.w="",_xlpm.v=""),"",_xlpm.v*_xlpm.w)
)</f>
        <v/>
      </c>
      <c r="M141" s="93" t="str" cm="1">
        <f t="array" ref="M141">_xlfn.LET(
  _xlpm.w, M$11,
  _xlpm.r, MATCH(1,('3. Enter Indicator Scores'!$B$10:$B$161=$B141)*('3. Enter Indicator Scores'!$C$10:$C$161=$C141),0),
  _xlpm.c, MATCH(M$8,'3. Enter Indicator Scores'!$D$8:$CZ$8,0),
  _xlpm.v, IFERROR(INDEX('3. Enter Indicator Scores'!$D$10:$CZ$161,_xlpm.r,_xlpm.c),""),
  IF(OR(_xlpm.w="",_xlpm.v=""),"",_xlpm.v*_xlpm.w)
)</f>
        <v/>
      </c>
      <c r="N141" s="93" t="str" cm="1">
        <f t="array" ref="N141">_xlfn.LET(
  _xlpm.w, N$11,
  _xlpm.r, MATCH(1,('3. Enter Indicator Scores'!$B$10:$B$161=$B141)*('3. Enter Indicator Scores'!$C$10:$C$161=$C141),0),
  _xlpm.c, MATCH(N$8,'3. Enter Indicator Scores'!$D$8:$CZ$8,0),
  _xlpm.v, IFERROR(INDEX('3. Enter Indicator Scores'!$D$10:$CZ$161,_xlpm.r,_xlpm.c),""),
  IF(OR(_xlpm.w="",_xlpm.v=""),"",_xlpm.v*_xlpm.w)
)</f>
        <v/>
      </c>
      <c r="O141" s="93" t="str" cm="1">
        <f t="array" ref="O141">_xlfn.LET(
  _xlpm.w, O$11,
  _xlpm.r, MATCH(1,('3. Enter Indicator Scores'!$B$10:$B$161=$B141)*('3. Enter Indicator Scores'!$C$10:$C$161=$C141),0),
  _xlpm.c, MATCH(O$8,'3. Enter Indicator Scores'!$D$8:$CZ$8,0),
  _xlpm.v, IFERROR(INDEX('3. Enter Indicator Scores'!$D$10:$CZ$161,_xlpm.r,_xlpm.c),""),
  IF(OR(_xlpm.w="",_xlpm.v=""),"",_xlpm.v*_xlpm.w)
)</f>
        <v/>
      </c>
      <c r="P141" s="93" t="str" cm="1">
        <f t="array" ref="P141">_xlfn.LET(
  _xlpm.w, P$11,
  _xlpm.r, MATCH(1,('3. Enter Indicator Scores'!$B$10:$B$161=$B141)*('3. Enter Indicator Scores'!$C$10:$C$161=$C141),0),
  _xlpm.c, MATCH(P$8,'3. Enter Indicator Scores'!$D$8:$CZ$8,0),
  _xlpm.v, IFERROR(INDEX('3. Enter Indicator Scores'!$D$10:$CZ$161,_xlpm.r,_xlpm.c),""),
  IF(OR(_xlpm.w="",_xlpm.v=""),"",_xlpm.v*_xlpm.w)
)</f>
        <v/>
      </c>
      <c r="Q141" s="93" t="str" cm="1">
        <f t="array" ref="Q141">_xlfn.LET(
  _xlpm.w, Q$11,
  _xlpm.r, MATCH(1,('3. Enter Indicator Scores'!$B$10:$B$161=$B141)*('3. Enter Indicator Scores'!$C$10:$C$161=$C141),0),
  _xlpm.c, MATCH(Q$8,'3. Enter Indicator Scores'!$D$8:$CZ$8,0),
  _xlpm.v, IFERROR(INDEX('3. Enter Indicator Scores'!$D$10:$CZ$161,_xlpm.r,_xlpm.c),""),
  IF(OR(_xlpm.w="",_xlpm.v=""),"",_xlpm.v*_xlpm.w)
)</f>
        <v/>
      </c>
      <c r="R141" s="93" t="str" cm="1">
        <f t="array" ref="R141">_xlfn.LET(
  _xlpm.w, R$11,
  _xlpm.r, MATCH(1,('3. Enter Indicator Scores'!$B$10:$B$161=$B141)*('3. Enter Indicator Scores'!$C$10:$C$161=$C141),0),
  _xlpm.c, MATCH(R$8,'3. Enter Indicator Scores'!$D$8:$CZ$8,0),
  _xlpm.v, IFERROR(INDEX('3. Enter Indicator Scores'!$D$10:$CZ$161,_xlpm.r,_xlpm.c),""),
  IF(OR(_xlpm.w="",_xlpm.v=""),"",_xlpm.v*_xlpm.w)
)</f>
        <v/>
      </c>
      <c r="S141" s="93" t="str" cm="1">
        <f t="array" ref="S141">_xlfn.LET(
  _xlpm.w, S$11,
  _xlpm.r, MATCH(1,('3. Enter Indicator Scores'!$B$10:$B$161=$B141)*('3. Enter Indicator Scores'!$C$10:$C$161=$C141),0),
  _xlpm.c, MATCH(S$8,'3. Enter Indicator Scores'!$D$8:$CZ$8,0),
  _xlpm.v, IFERROR(INDEX('3. Enter Indicator Scores'!$D$10:$CZ$161,_xlpm.r,_xlpm.c),""),
  IF(OR(_xlpm.w="",_xlpm.v=""),"",_xlpm.v*_xlpm.w)
)</f>
        <v/>
      </c>
      <c r="T141" s="93" t="str" cm="1">
        <f t="array" ref="T141">_xlfn.LET(
  _xlpm.w, T$11,
  _xlpm.r, MATCH(1,('3. Enter Indicator Scores'!$B$10:$B$161=$B141)*('3. Enter Indicator Scores'!$C$10:$C$161=$C141),0),
  _xlpm.c, MATCH(T$8,'3. Enter Indicator Scores'!$D$8:$CZ$8,0),
  _xlpm.v, IFERROR(INDEX('3. Enter Indicator Scores'!$D$10:$CZ$161,_xlpm.r,_xlpm.c),""),
  IF(OR(_xlpm.w="",_xlpm.v=""),"",_xlpm.v*_xlpm.w)
)</f>
        <v/>
      </c>
      <c r="U141" s="93" t="str" cm="1">
        <f t="array" ref="U141">_xlfn.LET(
  _xlpm.w, U$11,
  _xlpm.r, MATCH(1,('3. Enter Indicator Scores'!$B$10:$B$161=$B141)*('3. Enter Indicator Scores'!$C$10:$C$161=$C141),0),
  _xlpm.c, MATCH(U$8,'3. Enter Indicator Scores'!$D$8:$CZ$8,0),
  _xlpm.v, IFERROR(INDEX('3. Enter Indicator Scores'!$D$10:$CZ$161,_xlpm.r,_xlpm.c),""),
  IF(OR(_xlpm.w="",_xlpm.v=""),"",_xlpm.v*_xlpm.w)
)</f>
        <v/>
      </c>
      <c r="V141" s="93" t="str" cm="1">
        <f t="array" ref="V141">_xlfn.LET(
  _xlpm.w, V$11,
  _xlpm.r, MATCH(1,('3. Enter Indicator Scores'!$B$10:$B$161=$B141)*('3. Enter Indicator Scores'!$C$10:$C$161=$C141),0),
  _xlpm.c, MATCH(V$8,'3. Enter Indicator Scores'!$D$8:$CZ$8,0),
  _xlpm.v, IFERROR(INDEX('3. Enter Indicator Scores'!$D$10:$CZ$161,_xlpm.r,_xlpm.c),""),
  IF(OR(_xlpm.w="",_xlpm.v=""),"",_xlpm.v*_xlpm.w)
)</f>
        <v/>
      </c>
      <c r="W141" s="93" t="str" cm="1">
        <f t="array" ref="W141">_xlfn.LET(
  _xlpm.w, W$11,
  _xlpm.r, MATCH(1,('3. Enter Indicator Scores'!$B$10:$B$161=$B141)*('3. Enter Indicator Scores'!$C$10:$C$161=$C141),0),
  _xlpm.c, MATCH(W$8,'3. Enter Indicator Scores'!$D$8:$CZ$8,0),
  _xlpm.v, IFERROR(INDEX('3. Enter Indicator Scores'!$D$10:$CZ$161,_xlpm.r,_xlpm.c),""),
  IF(OR(_xlpm.w="",_xlpm.v=""),"",_xlpm.v*_xlpm.w)
)</f>
        <v/>
      </c>
      <c r="X141" s="93" t="str" cm="1">
        <f t="array" ref="X141">_xlfn.LET(
  _xlpm.w, X$11,
  _xlpm.r, MATCH(1,('3. Enter Indicator Scores'!$B$10:$B$161=$B141)*('3. Enter Indicator Scores'!$C$10:$C$161=$C141),0),
  _xlpm.c, MATCH(X$8,'3. Enter Indicator Scores'!$D$8:$CZ$8,0),
  _xlpm.v, IFERROR(INDEX('3. Enter Indicator Scores'!$D$10:$CZ$161,_xlpm.r,_xlpm.c),""),
  IF(OR(_xlpm.w="",_xlpm.v=""),"",_xlpm.v*_xlpm.w)
)</f>
        <v/>
      </c>
      <c r="Y141" s="93" t="str" cm="1">
        <f t="array" ref="Y141">_xlfn.LET(
  _xlpm.w, Y$11,
  _xlpm.r, MATCH(1,('3. Enter Indicator Scores'!$B$10:$B$161=$B141)*('3. Enter Indicator Scores'!$C$10:$C$161=$C141),0),
  _xlpm.c, MATCH(Y$8,'3. Enter Indicator Scores'!$D$8:$CZ$8,0),
  _xlpm.v, IFERROR(INDEX('3. Enter Indicator Scores'!$D$10:$CZ$161,_xlpm.r,_xlpm.c),""),
  IF(OR(_xlpm.w="",_xlpm.v=""),"",_xlpm.v*_xlpm.w)
)</f>
        <v/>
      </c>
      <c r="Z141" s="93" t="str" cm="1">
        <f t="array" ref="Z141">_xlfn.LET(
  _xlpm.w, Z$11,
  _xlpm.r, MATCH(1,('3. Enter Indicator Scores'!$B$10:$B$161=$B141)*('3. Enter Indicator Scores'!$C$10:$C$161=$C141),0),
  _xlpm.c, MATCH(Z$8,'3. Enter Indicator Scores'!$D$8:$CZ$8,0),
  _xlpm.v, IFERROR(INDEX('3. Enter Indicator Scores'!$D$10:$CZ$161,_xlpm.r,_xlpm.c),""),
  IF(OR(_xlpm.w="",_xlpm.v=""),"",_xlpm.v*_xlpm.w)
)</f>
        <v/>
      </c>
      <c r="AA141" s="93" t="str" cm="1">
        <f t="array" ref="AA141">_xlfn.LET(
  _xlpm.w, AA$11,
  _xlpm.r, MATCH(1,('3. Enter Indicator Scores'!$B$10:$B$161=$B141)*('3. Enter Indicator Scores'!$C$10:$C$161=$C141),0),
  _xlpm.c, MATCH(AA$8,'3. Enter Indicator Scores'!$D$8:$CZ$8,0),
  _xlpm.v, IFERROR(INDEX('3. Enter Indicator Scores'!$D$10:$CZ$161,_xlpm.r,_xlpm.c),""),
  IF(OR(_xlpm.w="",_xlpm.v=""),"",_xlpm.v*_xlpm.w)
)</f>
        <v/>
      </c>
      <c r="AB141" s="93" t="str" cm="1">
        <f t="array" ref="AB141">_xlfn.LET(
  _xlpm.w, AB$11,
  _xlpm.r, MATCH(1,('3. Enter Indicator Scores'!$B$10:$B$161=$B141)*('3. Enter Indicator Scores'!$C$10:$C$161=$C141),0),
  _xlpm.c, MATCH(AB$8,'3. Enter Indicator Scores'!$D$8:$CZ$8,0),
  _xlpm.v, IFERROR(INDEX('3. Enter Indicator Scores'!$D$10:$CZ$161,_xlpm.r,_xlpm.c),""),
  IF(OR(_xlpm.w="",_xlpm.v=""),"",_xlpm.v*_xlpm.w)
)</f>
        <v/>
      </c>
      <c r="AC141" s="93" t="str" cm="1">
        <f t="array" ref="AC141">_xlfn.LET(
  _xlpm.w, AC$11,
  _xlpm.r, MATCH(1,('3. Enter Indicator Scores'!$B$10:$B$161=$B141)*('3. Enter Indicator Scores'!$C$10:$C$161=$C141),0),
  _xlpm.c, MATCH(AC$8,'3. Enter Indicator Scores'!$D$8:$CZ$8,0),
  _xlpm.v, IFERROR(INDEX('3. Enter Indicator Scores'!$D$10:$CZ$161,_xlpm.r,_xlpm.c),""),
  IF(OR(_xlpm.w="",_xlpm.v=""),"",_xlpm.v*_xlpm.w)
)</f>
        <v/>
      </c>
      <c r="AD141" s="93" t="str" cm="1">
        <f t="array" ref="AD141">_xlfn.LET(
  _xlpm.w, AD$11,
  _xlpm.r, MATCH(1,('3. Enter Indicator Scores'!$B$10:$B$161=$B141)*('3. Enter Indicator Scores'!$C$10:$C$161=$C141),0),
  _xlpm.c, MATCH(AD$8,'3. Enter Indicator Scores'!$D$8:$CZ$8,0),
  _xlpm.v, IFERROR(INDEX('3. Enter Indicator Scores'!$D$10:$CZ$161,_xlpm.r,_xlpm.c),""),
  IF(OR(_xlpm.w="",_xlpm.v=""),"",_xlpm.v*_xlpm.w)
)</f>
        <v/>
      </c>
      <c r="AE141" s="93" t="str" cm="1">
        <f t="array" ref="AE141">_xlfn.LET(
  _xlpm.w, AE$11,
  _xlpm.r, MATCH(1,('3. Enter Indicator Scores'!$B$10:$B$161=$B141)*('3. Enter Indicator Scores'!$C$10:$C$161=$C141),0),
  _xlpm.c, MATCH(AE$8,'3. Enter Indicator Scores'!$D$8:$CZ$8,0),
  _xlpm.v, IFERROR(INDEX('3. Enter Indicator Scores'!$D$10:$CZ$161,_xlpm.r,_xlpm.c),""),
  IF(OR(_xlpm.w="",_xlpm.v=""),"",_xlpm.v*_xlpm.w)
)</f>
        <v/>
      </c>
      <c r="AF141" s="93" t="str" cm="1">
        <f t="array" ref="AF141">_xlfn.LET(
  _xlpm.w, AF$11,
  _xlpm.r, MATCH(1,('3. Enter Indicator Scores'!$B$10:$B$161=$B141)*('3. Enter Indicator Scores'!$C$10:$C$161=$C141),0),
  _xlpm.c, MATCH(AF$8,'3. Enter Indicator Scores'!$D$8:$CZ$8,0),
  _xlpm.v, IFERROR(INDEX('3. Enter Indicator Scores'!$D$10:$CZ$161,_xlpm.r,_xlpm.c),""),
  IF(OR(_xlpm.w="",_xlpm.v=""),"",_xlpm.v*_xlpm.w)
)</f>
        <v/>
      </c>
      <c r="AG141" s="93" t="str" cm="1">
        <f t="array" ref="AG141">_xlfn.LET(
  _xlpm.w, AG$11,
  _xlpm.r, MATCH(1,('3. Enter Indicator Scores'!$B$10:$B$161=$B141)*('3. Enter Indicator Scores'!$C$10:$C$161=$C141),0),
  _xlpm.c, MATCH(AG$8,'3. Enter Indicator Scores'!$D$8:$CZ$8,0),
  _xlpm.v, IFERROR(INDEX('3. Enter Indicator Scores'!$D$10:$CZ$161,_xlpm.r,_xlpm.c),""),
  IF(OR(_xlpm.w="",_xlpm.v=""),"",_xlpm.v*_xlpm.w)
)</f>
        <v/>
      </c>
      <c r="AH141" s="93" t="str" cm="1">
        <f t="array" ref="AH141">_xlfn.LET(
  _xlpm.w, AH$11,
  _xlpm.r, MATCH(1,('3. Enter Indicator Scores'!$B$10:$B$161=$B141)*('3. Enter Indicator Scores'!$C$10:$C$161=$C141),0),
  _xlpm.c, MATCH(AH$8,'3. Enter Indicator Scores'!$D$8:$CZ$8,0),
  _xlpm.v, IFERROR(INDEX('3. Enter Indicator Scores'!$D$10:$CZ$161,_xlpm.r,_xlpm.c),""),
  IF(OR(_xlpm.w="",_xlpm.v=""),"",_xlpm.v*_xlpm.w)
)</f>
        <v/>
      </c>
      <c r="AI141" s="93" t="str" cm="1">
        <f t="array" ref="AI141">_xlfn.LET(
  _xlpm.w, AI$11,
  _xlpm.r, MATCH(1,('3. Enter Indicator Scores'!$B$10:$B$161=$B141)*('3. Enter Indicator Scores'!$C$10:$C$161=$C141),0),
  _xlpm.c, MATCH(AI$8,'3. Enter Indicator Scores'!$D$8:$CZ$8,0),
  _xlpm.v, IFERROR(INDEX('3. Enter Indicator Scores'!$D$10:$CZ$161,_xlpm.r,_xlpm.c),""),
  IF(OR(_xlpm.w="",_xlpm.v=""),"",_xlpm.v*_xlpm.w)
)</f>
        <v/>
      </c>
      <c r="AJ141" s="93" t="str" cm="1">
        <f t="array" ref="AJ141">_xlfn.LET(
  _xlpm.w, AJ$11,
  _xlpm.r, MATCH(1,('3. Enter Indicator Scores'!$B$10:$B$161=$B141)*('3. Enter Indicator Scores'!$C$10:$C$161=$C141),0),
  _xlpm.c, MATCH(AJ$8,'3. Enter Indicator Scores'!$D$8:$CZ$8,0),
  _xlpm.v, IFERROR(INDEX('3. Enter Indicator Scores'!$D$10:$CZ$161,_xlpm.r,_xlpm.c),""),
  IF(OR(_xlpm.w="",_xlpm.v=""),"",_xlpm.v*_xlpm.w)
)</f>
        <v/>
      </c>
      <c r="AK141" s="93" t="str" cm="1">
        <f t="array" ref="AK141">_xlfn.LET(
  _xlpm.w, AK$11,
  _xlpm.r, MATCH(1,('3. Enter Indicator Scores'!$B$10:$B$161=$B141)*('3. Enter Indicator Scores'!$C$10:$C$161=$C141),0),
  _xlpm.c, MATCH(AK$8,'3. Enter Indicator Scores'!$D$8:$CZ$8,0),
  _xlpm.v, IFERROR(INDEX('3. Enter Indicator Scores'!$D$10:$CZ$161,_xlpm.r,_xlpm.c),""),
  IF(OR(_xlpm.w="",_xlpm.v=""),"",_xlpm.v*_xlpm.w)
)</f>
        <v/>
      </c>
      <c r="AL141" s="93" t="str" cm="1">
        <f t="array" ref="AL141">_xlfn.LET(
  _xlpm.w, AL$11,
  _xlpm.r, MATCH(1,('3. Enter Indicator Scores'!$B$10:$B$161=$B141)*('3. Enter Indicator Scores'!$C$10:$C$161=$C141),0),
  _xlpm.c, MATCH(AL$8,'3. Enter Indicator Scores'!$D$8:$CZ$8,0),
  _xlpm.v, IFERROR(INDEX('3. Enter Indicator Scores'!$D$10:$CZ$161,_xlpm.r,_xlpm.c),""),
  IF(OR(_xlpm.w="",_xlpm.v=""),"",_xlpm.v*_xlpm.w)
)</f>
        <v/>
      </c>
      <c r="AM141" s="93" t="str" cm="1">
        <f t="array" ref="AM141">_xlfn.LET(
  _xlpm.w, AM$11,
  _xlpm.r, MATCH(1,('3. Enter Indicator Scores'!$B$10:$B$161=$B141)*('3. Enter Indicator Scores'!$C$10:$C$161=$C141),0),
  _xlpm.c, MATCH(AM$8,'3. Enter Indicator Scores'!$D$8:$CZ$8,0),
  _xlpm.v, IFERROR(INDEX('3. Enter Indicator Scores'!$D$10:$CZ$161,_xlpm.r,_xlpm.c),""),
  IF(OR(_xlpm.w="",_xlpm.v=""),"",_xlpm.v*_xlpm.w)
)</f>
        <v/>
      </c>
      <c r="AN141" s="93" t="str" cm="1">
        <f t="array" ref="AN141">_xlfn.LET(
  _xlpm.w, AN$11,
  _xlpm.r, MATCH(1,('3. Enter Indicator Scores'!$B$10:$B$161=$B141)*('3. Enter Indicator Scores'!$C$10:$C$161=$C141),0),
  _xlpm.c, MATCH(AN$8,'3. Enter Indicator Scores'!$D$8:$CZ$8,0),
  _xlpm.v, IFERROR(INDEX('3. Enter Indicator Scores'!$D$10:$CZ$161,_xlpm.r,_xlpm.c),""),
  IF(OR(_xlpm.w="",_xlpm.v=""),"",_xlpm.v*_xlpm.w)
)</f>
        <v/>
      </c>
      <c r="AO141" s="93" t="str" cm="1">
        <f t="array" ref="AO141">_xlfn.LET(
  _xlpm.w, AO$11,
  _xlpm.r, MATCH(1,('3. Enter Indicator Scores'!$B$10:$B$161=$B141)*('3. Enter Indicator Scores'!$C$10:$C$161=$C141),0),
  _xlpm.c, MATCH(AO$8,'3. Enter Indicator Scores'!$D$8:$CZ$8,0),
  _xlpm.v, IFERROR(INDEX('3. Enter Indicator Scores'!$D$10:$CZ$161,_xlpm.r,_xlpm.c),""),
  IF(OR(_xlpm.w="",_xlpm.v=""),"",_xlpm.v*_xlpm.w)
)</f>
        <v/>
      </c>
      <c r="AP141" s="93" t="str" cm="1">
        <f t="array" ref="AP141">_xlfn.LET(
  _xlpm.w, AP$11,
  _xlpm.r, MATCH(1,('3. Enter Indicator Scores'!$B$10:$B$161=$B141)*('3. Enter Indicator Scores'!$C$10:$C$161=$C141),0),
  _xlpm.c, MATCH(AP$8,'3. Enter Indicator Scores'!$D$8:$CZ$8,0),
  _xlpm.v, IFERROR(INDEX('3. Enter Indicator Scores'!$D$10:$CZ$161,_xlpm.r,_xlpm.c),""),
  IF(OR(_xlpm.w="",_xlpm.v=""),"",_xlpm.v*_xlpm.w)
)</f>
        <v/>
      </c>
      <c r="AQ141" s="93" t="str" cm="1">
        <f t="array" ref="AQ141">_xlfn.LET(
  _xlpm.w, AQ$11,
  _xlpm.r, MATCH(1,('3. Enter Indicator Scores'!$B$10:$B$161=$B141)*('3. Enter Indicator Scores'!$C$10:$C$161=$C141),0),
  _xlpm.c, MATCH(AQ$8,'3. Enter Indicator Scores'!$D$8:$CZ$8,0),
  _xlpm.v, IFERROR(INDEX('3. Enter Indicator Scores'!$D$10:$CZ$161,_xlpm.r,_xlpm.c),""),
  IF(OR(_xlpm.w="",_xlpm.v=""),"",_xlpm.v*_xlpm.w)
)</f>
        <v/>
      </c>
      <c r="AR141" s="93" t="str" cm="1">
        <f t="array" ref="AR141">_xlfn.LET(
  _xlpm.w, AR$11,
  _xlpm.r, MATCH(1,('3. Enter Indicator Scores'!$B$10:$B$161=$B141)*('3. Enter Indicator Scores'!$C$10:$C$161=$C141),0),
  _xlpm.c, MATCH(AR$8,'3. Enter Indicator Scores'!$D$8:$CZ$8,0),
  _xlpm.v, IFERROR(INDEX('3. Enter Indicator Scores'!$D$10:$CZ$161,_xlpm.r,_xlpm.c),""),
  IF(OR(_xlpm.w="",_xlpm.v=""),"",_xlpm.v*_xlpm.w)
)</f>
        <v/>
      </c>
      <c r="AS141" s="93" t="str" cm="1">
        <f t="array" ref="AS141">_xlfn.LET(
  _xlpm.w, AS$11,
  _xlpm.r, MATCH(1,('3. Enter Indicator Scores'!$B$10:$B$161=$B141)*('3. Enter Indicator Scores'!$C$10:$C$161=$C141),0),
  _xlpm.c, MATCH(AS$8,'3. Enter Indicator Scores'!$D$8:$CZ$8,0),
  _xlpm.v, IFERROR(INDEX('3. Enter Indicator Scores'!$D$10:$CZ$161,_xlpm.r,_xlpm.c),""),
  IF(OR(_xlpm.w="",_xlpm.v=""),"",_xlpm.v*_xlpm.w)
)</f>
        <v/>
      </c>
      <c r="AT141" s="93" t="str" cm="1">
        <f t="array" ref="AT141">_xlfn.LET(
  _xlpm.w, AT$11,
  _xlpm.r, MATCH(1,('3. Enter Indicator Scores'!$B$10:$B$161=$B141)*('3. Enter Indicator Scores'!$C$10:$C$161=$C141),0),
  _xlpm.c, MATCH(AT$8,'3. Enter Indicator Scores'!$D$8:$CZ$8,0),
  _xlpm.v, IFERROR(INDEX('3. Enter Indicator Scores'!$D$10:$CZ$161,_xlpm.r,_xlpm.c),""),
  IF(OR(_xlpm.w="",_xlpm.v=""),"",_xlpm.v*_xlpm.w)
)</f>
        <v/>
      </c>
      <c r="AU141" s="93" t="str" cm="1">
        <f t="array" ref="AU141">_xlfn.LET(
  _xlpm.w, AU$11,
  _xlpm.r, MATCH(1,('3. Enter Indicator Scores'!$B$10:$B$161=$B141)*('3. Enter Indicator Scores'!$C$10:$C$161=$C141),0),
  _xlpm.c, MATCH(AU$8,'3. Enter Indicator Scores'!$D$8:$CZ$8,0),
  _xlpm.v, IFERROR(INDEX('3. Enter Indicator Scores'!$D$10:$CZ$161,_xlpm.r,_xlpm.c),""),
  IF(OR(_xlpm.w="",_xlpm.v=""),"",_xlpm.v*_xlpm.w)
)</f>
        <v/>
      </c>
      <c r="AV141" s="93" t="str" cm="1">
        <f t="array" ref="AV141">_xlfn.LET(
  _xlpm.w, AV$11,
  _xlpm.r, MATCH(1,('3. Enter Indicator Scores'!$B$10:$B$161=$B141)*('3. Enter Indicator Scores'!$C$10:$C$161=$C141),0),
  _xlpm.c, MATCH(AV$8,'3. Enter Indicator Scores'!$D$8:$CZ$8,0),
  _xlpm.v, IFERROR(INDEX('3. Enter Indicator Scores'!$D$10:$CZ$161,_xlpm.r,_xlpm.c),""),
  IF(OR(_xlpm.w="",_xlpm.v=""),"",_xlpm.v*_xlpm.w)
)</f>
        <v/>
      </c>
      <c r="AW141" s="93" t="str" cm="1">
        <f t="array" ref="AW141">_xlfn.LET(
  _xlpm.w, AW$11,
  _xlpm.r, MATCH(1,('3. Enter Indicator Scores'!$B$10:$B$161=$B141)*('3. Enter Indicator Scores'!$C$10:$C$161=$C141),0),
  _xlpm.c, MATCH(AW$8,'3. Enter Indicator Scores'!$D$8:$CZ$8,0),
  _xlpm.v, IFERROR(INDEX('3. Enter Indicator Scores'!$D$10:$CZ$161,_xlpm.r,_xlpm.c),""),
  IF(OR(_xlpm.w="",_xlpm.v=""),"",_xlpm.v*_xlpm.w)
)</f>
        <v/>
      </c>
      <c r="AX141" s="93" t="str" cm="1">
        <f t="array" ref="AX141">_xlfn.LET(
  _xlpm.w, AX$11,
  _xlpm.r, MATCH(1,('3. Enter Indicator Scores'!$B$10:$B$161=$B141)*('3. Enter Indicator Scores'!$C$10:$C$161=$C141),0),
  _xlpm.c, MATCH(AX$8,'3. Enter Indicator Scores'!$D$8:$CZ$8,0),
  _xlpm.v, IFERROR(INDEX('3. Enter Indicator Scores'!$D$10:$CZ$161,_xlpm.r,_xlpm.c),""),
  IF(OR(_xlpm.w="",_xlpm.v=""),"",_xlpm.v*_xlpm.w)
)</f>
        <v/>
      </c>
      <c r="AY141" s="93" t="str" cm="1">
        <f t="array" ref="AY141">_xlfn.LET(
  _xlpm.w, AY$11,
  _xlpm.r, MATCH(1,('3. Enter Indicator Scores'!$B$10:$B$161=$B141)*('3. Enter Indicator Scores'!$C$10:$C$161=$C141),0),
  _xlpm.c, MATCH(AY$8,'3. Enter Indicator Scores'!$D$8:$CZ$8,0),
  _xlpm.v, IFERROR(INDEX('3. Enter Indicator Scores'!$D$10:$CZ$161,_xlpm.r,_xlpm.c),""),
  IF(OR(_xlpm.w="",_xlpm.v=""),"",_xlpm.v*_xlpm.w)
)</f>
        <v/>
      </c>
      <c r="AZ141" s="93" t="str" cm="1">
        <f t="array" ref="AZ141">_xlfn.LET(
  _xlpm.w, AZ$11,
  _xlpm.r, MATCH(1,('3. Enter Indicator Scores'!$B$10:$B$161=$B141)*('3. Enter Indicator Scores'!$C$10:$C$161=$C141),0),
  _xlpm.c, MATCH(AZ$8,'3. Enter Indicator Scores'!$D$8:$CZ$8,0),
  _xlpm.v, IFERROR(INDEX('3. Enter Indicator Scores'!$D$10:$CZ$161,_xlpm.r,_xlpm.c),""),
  IF(OR(_xlpm.w="",_xlpm.v=""),"",_xlpm.v*_xlpm.w)
)</f>
        <v/>
      </c>
      <c r="BA141" s="93" t="str" cm="1">
        <f t="array" ref="BA141">_xlfn.LET(
  _xlpm.w, BA$11,
  _xlpm.r, MATCH(1,('3. Enter Indicator Scores'!$B$10:$B$161=$B141)*('3. Enter Indicator Scores'!$C$10:$C$161=$C141),0),
  _xlpm.c, MATCH(BA$8,'3. Enter Indicator Scores'!$D$8:$CZ$8,0),
  _xlpm.v, IFERROR(INDEX('3. Enter Indicator Scores'!$D$10:$CZ$161,_xlpm.r,_xlpm.c),""),
  IF(OR(_xlpm.w="",_xlpm.v=""),"",_xlpm.v*_xlpm.w)
)</f>
        <v/>
      </c>
      <c r="BB141" s="93" t="str" cm="1">
        <f t="array" ref="BB141">_xlfn.LET(
  _xlpm.w, BB$11,
  _xlpm.r, MATCH(1,('3. Enter Indicator Scores'!$B$10:$B$161=$B141)*('3. Enter Indicator Scores'!$C$10:$C$161=$C141),0),
  _xlpm.c, MATCH(BB$8,'3. Enter Indicator Scores'!$D$8:$CZ$8,0),
  _xlpm.v, IFERROR(INDEX('3. Enter Indicator Scores'!$D$10:$CZ$161,_xlpm.r,_xlpm.c),""),
  IF(OR(_xlpm.w="",_xlpm.v=""),"",_xlpm.v*_xlpm.w)
)</f>
        <v/>
      </c>
      <c r="BC141" s="93" t="str" cm="1">
        <f t="array" ref="BC141">_xlfn.LET(
  _xlpm.w, BC$11,
  _xlpm.r, MATCH(1,('3. Enter Indicator Scores'!$B$10:$B$161=$B141)*('3. Enter Indicator Scores'!$C$10:$C$161=$C141),0),
  _xlpm.c, MATCH(BC$8,'3. Enter Indicator Scores'!$D$8:$CZ$8,0),
  _xlpm.v, IFERROR(INDEX('3. Enter Indicator Scores'!$D$10:$CZ$161,_xlpm.r,_xlpm.c),""),
  IF(OR(_xlpm.w="",_xlpm.v=""),"",_xlpm.v*_xlpm.w)
)</f>
        <v/>
      </c>
      <c r="BD141" s="93" t="str" cm="1">
        <f t="array" ref="BD141">_xlfn.LET(
  _xlpm.w, BD$11,
  _xlpm.r, MATCH(1,('3. Enter Indicator Scores'!$B$10:$B$161=$B141)*('3. Enter Indicator Scores'!$C$10:$C$161=$C141),0),
  _xlpm.c, MATCH(BD$8,'3. Enter Indicator Scores'!$D$8:$CZ$8,0),
  _xlpm.v, IFERROR(INDEX('3. Enter Indicator Scores'!$D$10:$CZ$161,_xlpm.r,_xlpm.c),""),
  IF(OR(_xlpm.w="",_xlpm.v=""),"",_xlpm.v*_xlpm.w)
)</f>
        <v/>
      </c>
      <c r="BE141" s="93" t="str" cm="1">
        <f t="array" ref="BE141">_xlfn.LET(
  _xlpm.w, BE$11,
  _xlpm.r, MATCH(1,('3. Enter Indicator Scores'!$B$10:$B$161=$B141)*('3. Enter Indicator Scores'!$C$10:$C$161=$C141),0),
  _xlpm.c, MATCH(BE$8,'3. Enter Indicator Scores'!$D$8:$CZ$8,0),
  _xlpm.v, IFERROR(INDEX('3. Enter Indicator Scores'!$D$10:$CZ$161,_xlpm.r,_xlpm.c),""),
  IF(OR(_xlpm.w="",_xlpm.v=""),"",_xlpm.v*_xlpm.w)
)</f>
        <v/>
      </c>
      <c r="BF141" s="93" t="str" cm="1">
        <f t="array" ref="BF141">_xlfn.LET(
  _xlpm.w, BF$11,
  _xlpm.r, MATCH(1,('3. Enter Indicator Scores'!$B$10:$B$161=$B141)*('3. Enter Indicator Scores'!$C$10:$C$161=$C141),0),
  _xlpm.c, MATCH(BF$8,'3. Enter Indicator Scores'!$D$8:$CZ$8,0),
  _xlpm.v, IFERROR(INDEX('3. Enter Indicator Scores'!$D$10:$CZ$161,_xlpm.r,_xlpm.c),""),
  IF(OR(_xlpm.w="",_xlpm.v=""),"",_xlpm.v*_xlpm.w)
)</f>
        <v/>
      </c>
      <c r="BG141" s="93" t="str" cm="1">
        <f t="array" ref="BG141">_xlfn.LET(
  _xlpm.w, BG$11,
  _xlpm.r, MATCH(1,('3. Enter Indicator Scores'!$B$10:$B$161=$B141)*('3. Enter Indicator Scores'!$C$10:$C$161=$C141),0),
  _xlpm.c, MATCH(BG$8,'3. Enter Indicator Scores'!$D$8:$CZ$8,0),
  _xlpm.v, IFERROR(INDEX('3. Enter Indicator Scores'!$D$10:$CZ$161,_xlpm.r,_xlpm.c),""),
  IF(OR(_xlpm.w="",_xlpm.v=""),"",_xlpm.v*_xlpm.w)
)</f>
        <v/>
      </c>
      <c r="BH141" s="93" t="str" cm="1">
        <f t="array" ref="BH141">_xlfn.LET(
  _xlpm.w, BH$11,
  _xlpm.r, MATCH(1,('3. Enter Indicator Scores'!$B$10:$B$161=$B141)*('3. Enter Indicator Scores'!$C$10:$C$161=$C141),0),
  _xlpm.c, MATCH(BH$8,'3. Enter Indicator Scores'!$D$8:$CZ$8,0),
  _xlpm.v, IFERROR(INDEX('3. Enter Indicator Scores'!$D$10:$CZ$161,_xlpm.r,_xlpm.c),""),
  IF(OR(_xlpm.w="",_xlpm.v=""),"",_xlpm.v*_xlpm.w)
)</f>
        <v/>
      </c>
      <c r="BI141" s="93" t="str" cm="1">
        <f t="array" ref="BI141">_xlfn.LET(
  _xlpm.w, BI$11,
  _xlpm.r, MATCH(1,('3. Enter Indicator Scores'!$B$10:$B$161=$B141)*('3. Enter Indicator Scores'!$C$10:$C$161=$C141),0),
  _xlpm.c, MATCH(BI$8,'3. Enter Indicator Scores'!$D$8:$CZ$8,0),
  _xlpm.v, IFERROR(INDEX('3. Enter Indicator Scores'!$D$10:$CZ$161,_xlpm.r,_xlpm.c),""),
  IF(OR(_xlpm.w="",_xlpm.v=""),"",_xlpm.v*_xlpm.w)
)</f>
        <v/>
      </c>
      <c r="BJ141" s="93" t="str" cm="1">
        <f t="array" ref="BJ141">_xlfn.LET(
  _xlpm.w, BJ$11,
  _xlpm.r, MATCH(1,('3. Enter Indicator Scores'!$B$10:$B$161=$B141)*('3. Enter Indicator Scores'!$C$10:$C$161=$C141),0),
  _xlpm.c, MATCH(BJ$8,'3. Enter Indicator Scores'!$D$8:$CZ$8,0),
  _xlpm.v, IFERROR(INDEX('3. Enter Indicator Scores'!$D$10:$CZ$161,_xlpm.r,_xlpm.c),""),
  IF(OR(_xlpm.w="",_xlpm.v=""),"",_xlpm.v*_xlpm.w)
)</f>
        <v/>
      </c>
      <c r="BK141" s="93" t="str" cm="1">
        <f t="array" ref="BK141">_xlfn.LET(
  _xlpm.w, BK$11,
  _xlpm.r, MATCH(1,('3. Enter Indicator Scores'!$B$10:$B$161=$B141)*('3. Enter Indicator Scores'!$C$10:$C$161=$C141),0),
  _xlpm.c, MATCH(BK$8,'3. Enter Indicator Scores'!$D$8:$CZ$8,0),
  _xlpm.v, IFERROR(INDEX('3. Enter Indicator Scores'!$D$10:$CZ$161,_xlpm.r,_xlpm.c),""),
  IF(OR(_xlpm.w="",_xlpm.v=""),"",_xlpm.v*_xlpm.w)
)</f>
        <v/>
      </c>
      <c r="BL141" s="93" t="str" cm="1">
        <f t="array" ref="BL141">_xlfn.LET(
  _xlpm.w, BL$11,
  _xlpm.r, MATCH(1,('3. Enter Indicator Scores'!$B$10:$B$161=$B141)*('3. Enter Indicator Scores'!$C$10:$C$161=$C141),0),
  _xlpm.c, MATCH(BL$8,'3. Enter Indicator Scores'!$D$8:$CZ$8,0),
  _xlpm.v, IFERROR(INDEX('3. Enter Indicator Scores'!$D$10:$CZ$161,_xlpm.r,_xlpm.c),""),
  IF(OR(_xlpm.w="",_xlpm.v=""),"",_xlpm.v*_xlpm.w)
)</f>
        <v/>
      </c>
      <c r="BM141" s="93" t="str" cm="1">
        <f t="array" ref="BM141">_xlfn.LET(
  _xlpm.w, BM$11,
  _xlpm.r, MATCH(1,('3. Enter Indicator Scores'!$B$10:$B$161=$B141)*('3. Enter Indicator Scores'!$C$10:$C$161=$C141),0),
  _xlpm.c, MATCH(BM$8,'3. Enter Indicator Scores'!$D$8:$CZ$8,0),
  _xlpm.v, IFERROR(INDEX('3. Enter Indicator Scores'!$D$10:$CZ$161,_xlpm.r,_xlpm.c),""),
  IF(OR(_xlpm.w="",_xlpm.v=""),"",_xlpm.v*_xlpm.w)
)</f>
        <v/>
      </c>
      <c r="BN141" s="93" t="str" cm="1">
        <f t="array" ref="BN141">_xlfn.LET(
  _xlpm.w, BN$11,
  _xlpm.r, MATCH(1,('3. Enter Indicator Scores'!$B$10:$B$161=$B141)*('3. Enter Indicator Scores'!$C$10:$C$161=$C141),0),
  _xlpm.c, MATCH(BN$8,'3. Enter Indicator Scores'!$D$8:$CZ$8,0),
  _xlpm.v, IFERROR(INDEX('3. Enter Indicator Scores'!$D$10:$CZ$161,_xlpm.r,_xlpm.c),""),
  IF(OR(_xlpm.w="",_xlpm.v=""),"",_xlpm.v*_xlpm.w)
)</f>
        <v/>
      </c>
      <c r="BO141" s="93" t="str" cm="1">
        <f t="array" ref="BO141">_xlfn.LET(
  _xlpm.w, BO$11,
  _xlpm.r, MATCH(1,('3. Enter Indicator Scores'!$B$10:$B$161=$B141)*('3. Enter Indicator Scores'!$C$10:$C$161=$C141),0),
  _xlpm.c, MATCH(BO$8,'3. Enter Indicator Scores'!$D$8:$CZ$8,0),
  _xlpm.v, IFERROR(INDEX('3. Enter Indicator Scores'!$D$10:$CZ$161,_xlpm.r,_xlpm.c),""),
  IF(OR(_xlpm.w="",_xlpm.v=""),"",_xlpm.v*_xlpm.w)
)</f>
        <v/>
      </c>
      <c r="BP141" s="93" t="str" cm="1">
        <f t="array" ref="BP141">_xlfn.LET(
  _xlpm.w, BP$11,
  _xlpm.r, MATCH(1,('3. Enter Indicator Scores'!$B$10:$B$161=$B141)*('3. Enter Indicator Scores'!$C$10:$C$161=$C141),0),
  _xlpm.c, MATCH(BP$8,'3. Enter Indicator Scores'!$D$8:$CZ$8,0),
  _xlpm.v, IFERROR(INDEX('3. Enter Indicator Scores'!$D$10:$CZ$161,_xlpm.r,_xlpm.c),""),
  IF(OR(_xlpm.w="",_xlpm.v=""),"",_xlpm.v*_xlpm.w)
)</f>
        <v/>
      </c>
      <c r="BQ141" s="93" t="str" cm="1">
        <f t="array" ref="BQ141">_xlfn.LET(
  _xlpm.w, BQ$11,
  _xlpm.r, MATCH(1,('3. Enter Indicator Scores'!$B$10:$B$161=$B141)*('3. Enter Indicator Scores'!$C$10:$C$161=$C141),0),
  _xlpm.c, MATCH(BQ$8,'3. Enter Indicator Scores'!$D$8:$CZ$8,0),
  _xlpm.v, IFERROR(INDEX('3. Enter Indicator Scores'!$D$10:$CZ$161,_xlpm.r,_xlpm.c),""),
  IF(OR(_xlpm.w="",_xlpm.v=""),"",_xlpm.v*_xlpm.w)
)</f>
        <v/>
      </c>
      <c r="BR141" s="93" t="str" cm="1">
        <f t="array" ref="BR141">_xlfn.LET(
  _xlpm.w, BR$11,
  _xlpm.r, MATCH(1,('3. Enter Indicator Scores'!$B$10:$B$161=$B141)*('3. Enter Indicator Scores'!$C$10:$C$161=$C141),0),
  _xlpm.c, MATCH(BR$8,'3. Enter Indicator Scores'!$D$8:$CZ$8,0),
  _xlpm.v, IFERROR(INDEX('3. Enter Indicator Scores'!$D$10:$CZ$161,_xlpm.r,_xlpm.c),""),
  IF(OR(_xlpm.w="",_xlpm.v=""),"",_xlpm.v*_xlpm.w)
)</f>
        <v/>
      </c>
      <c r="BS141" s="93" t="str" cm="1">
        <f t="array" ref="BS141">_xlfn.LET(
  _xlpm.w, BS$11,
  _xlpm.r, MATCH(1,('3. Enter Indicator Scores'!$B$10:$B$161=$B141)*('3. Enter Indicator Scores'!$C$10:$C$161=$C141),0),
  _xlpm.c, MATCH(BS$8,'3. Enter Indicator Scores'!$D$8:$CZ$8,0),
  _xlpm.v, IFERROR(INDEX('3. Enter Indicator Scores'!$D$10:$CZ$161,_xlpm.r,_xlpm.c),""),
  IF(OR(_xlpm.w="",_xlpm.v=""),"",_xlpm.v*_xlpm.w)
)</f>
        <v/>
      </c>
      <c r="BT141" s="93" t="str" cm="1">
        <f t="array" ref="BT141">_xlfn.LET(
  _xlpm.w, BT$11,
  _xlpm.r, MATCH(1,('3. Enter Indicator Scores'!$B$10:$B$161=$B141)*('3. Enter Indicator Scores'!$C$10:$C$161=$C141),0),
  _xlpm.c, MATCH(BT$8,'3. Enter Indicator Scores'!$D$8:$CZ$8,0),
  _xlpm.v, IFERROR(INDEX('3. Enter Indicator Scores'!$D$10:$CZ$161,_xlpm.r,_xlpm.c),""),
  IF(OR(_xlpm.w="",_xlpm.v=""),"",_xlpm.v*_xlpm.w)
)</f>
        <v/>
      </c>
      <c r="BU141" s="93" t="str" cm="1">
        <f t="array" ref="BU141">_xlfn.LET(
  _xlpm.w, BU$11,
  _xlpm.r, MATCH(1,('3. Enter Indicator Scores'!$B$10:$B$161=$B141)*('3. Enter Indicator Scores'!$C$10:$C$161=$C141),0),
  _xlpm.c, MATCH(BU$8,'3. Enter Indicator Scores'!$D$8:$CZ$8,0),
  _xlpm.v, IFERROR(INDEX('3. Enter Indicator Scores'!$D$10:$CZ$161,_xlpm.r,_xlpm.c),""),
  IF(OR(_xlpm.w="",_xlpm.v=""),"",_xlpm.v*_xlpm.w)
)</f>
        <v/>
      </c>
      <c r="BV141" s="93" t="str" cm="1">
        <f t="array" ref="BV141">_xlfn.LET(
  _xlpm.w, BV$11,
  _xlpm.r, MATCH(1,('3. Enter Indicator Scores'!$B$10:$B$161=$B141)*('3. Enter Indicator Scores'!$C$10:$C$161=$C141),0),
  _xlpm.c, MATCH(BV$8,'3. Enter Indicator Scores'!$D$8:$CZ$8,0),
  _xlpm.v, IFERROR(INDEX('3. Enter Indicator Scores'!$D$10:$CZ$161,_xlpm.r,_xlpm.c),""),
  IF(OR(_xlpm.w="",_xlpm.v=""),"",_xlpm.v*_xlpm.w)
)</f>
        <v/>
      </c>
      <c r="BW141" s="93" t="str" cm="1">
        <f t="array" ref="BW141">_xlfn.LET(
  _xlpm.w, BW$11,
  _xlpm.r, MATCH(1,('3. Enter Indicator Scores'!$B$10:$B$161=$B141)*('3. Enter Indicator Scores'!$C$10:$C$161=$C141),0),
  _xlpm.c, MATCH(BW$8,'3. Enter Indicator Scores'!$D$8:$CZ$8,0),
  _xlpm.v, IFERROR(INDEX('3. Enter Indicator Scores'!$D$10:$CZ$161,_xlpm.r,_xlpm.c),""),
  IF(OR(_xlpm.w="",_xlpm.v=""),"",_xlpm.v*_xlpm.w)
)</f>
        <v/>
      </c>
      <c r="BX141" s="93" t="str" cm="1">
        <f t="array" ref="BX141">_xlfn.LET(
  _xlpm.w, BX$11,
  _xlpm.r, MATCH(1,('3. Enter Indicator Scores'!$B$10:$B$161=$B141)*('3. Enter Indicator Scores'!$C$10:$C$161=$C141),0),
  _xlpm.c, MATCH(BX$8,'3. Enter Indicator Scores'!$D$8:$CZ$8,0),
  _xlpm.v, IFERROR(INDEX('3. Enter Indicator Scores'!$D$10:$CZ$161,_xlpm.r,_xlpm.c),""),
  IF(OR(_xlpm.w="",_xlpm.v=""),"",_xlpm.v*_xlpm.w)
)</f>
        <v/>
      </c>
      <c r="BY141" s="93" t="str" cm="1">
        <f t="array" ref="BY141">_xlfn.LET(
  _xlpm.w, BY$11,
  _xlpm.r, MATCH(1,('3. Enter Indicator Scores'!$B$10:$B$161=$B141)*('3. Enter Indicator Scores'!$C$10:$C$161=$C141),0),
  _xlpm.c, MATCH(BY$8,'3. Enter Indicator Scores'!$D$8:$CZ$8,0),
  _xlpm.v, IFERROR(INDEX('3. Enter Indicator Scores'!$D$10:$CZ$161,_xlpm.r,_xlpm.c),""),
  IF(OR(_xlpm.w="",_xlpm.v=""),"",_xlpm.v*_xlpm.w)
)</f>
        <v/>
      </c>
      <c r="BZ141" s="93" t="str" cm="1">
        <f t="array" ref="BZ141">_xlfn.LET(
  _xlpm.w, BZ$11,
  _xlpm.r, MATCH(1,('3. Enter Indicator Scores'!$B$10:$B$161=$B141)*('3. Enter Indicator Scores'!$C$10:$C$161=$C141),0),
  _xlpm.c, MATCH(BZ$8,'3. Enter Indicator Scores'!$D$8:$CZ$8,0),
  _xlpm.v, IFERROR(INDEX('3. Enter Indicator Scores'!$D$10:$CZ$161,_xlpm.r,_xlpm.c),""),
  IF(OR(_xlpm.w="",_xlpm.v=""),"",_xlpm.v*_xlpm.w)
)</f>
        <v/>
      </c>
      <c r="CA141" s="93" t="str" cm="1">
        <f t="array" ref="CA141">_xlfn.LET(
  _xlpm.w, CA$11,
  _xlpm.r, MATCH(1,('3. Enter Indicator Scores'!$B$10:$B$161=$B141)*('3. Enter Indicator Scores'!$C$10:$C$161=$C141),0),
  _xlpm.c, MATCH(CA$8,'3. Enter Indicator Scores'!$D$8:$CZ$8,0),
  _xlpm.v, IFERROR(INDEX('3. Enter Indicator Scores'!$D$10:$CZ$161,_xlpm.r,_xlpm.c),""),
  IF(OR(_xlpm.w="",_xlpm.v=""),"",_xlpm.v*_xlpm.w)
)</f>
        <v/>
      </c>
      <c r="CB141" s="93" t="str" cm="1">
        <f t="array" ref="CB141">_xlfn.LET(
  _xlpm.w, CB$11,
  _xlpm.r, MATCH(1,('3. Enter Indicator Scores'!$B$10:$B$161=$B141)*('3. Enter Indicator Scores'!$C$10:$C$161=$C141),0),
  _xlpm.c, MATCH(CB$8,'3. Enter Indicator Scores'!$D$8:$CZ$8,0),
  _xlpm.v, IFERROR(INDEX('3. Enter Indicator Scores'!$D$10:$CZ$161,_xlpm.r,_xlpm.c),""),
  IF(OR(_xlpm.w="",_xlpm.v=""),"",_xlpm.v*_xlpm.w)
)</f>
        <v/>
      </c>
      <c r="CC141" s="93" t="str" cm="1">
        <f t="array" ref="CC141">_xlfn.LET(
  _xlpm.w, CC$11,
  _xlpm.r, MATCH(1,('3. Enter Indicator Scores'!$B$10:$B$161=$B141)*('3. Enter Indicator Scores'!$C$10:$C$161=$C141),0),
  _xlpm.c, MATCH(CC$8,'3. Enter Indicator Scores'!$D$8:$CZ$8,0),
  _xlpm.v, IFERROR(INDEX('3. Enter Indicator Scores'!$D$10:$CZ$161,_xlpm.r,_xlpm.c),""),
  IF(OR(_xlpm.w="",_xlpm.v=""),"",_xlpm.v*_xlpm.w)
)</f>
        <v/>
      </c>
      <c r="CD141" s="93" t="str" cm="1">
        <f t="array" ref="CD141">_xlfn.LET(
  _xlpm.w, CD$11,
  _xlpm.r, MATCH(1,('3. Enter Indicator Scores'!$B$10:$B$161=$B141)*('3. Enter Indicator Scores'!$C$10:$C$161=$C141),0),
  _xlpm.c, MATCH(CD$8,'3. Enter Indicator Scores'!$D$8:$CZ$8,0),
  _xlpm.v, IFERROR(INDEX('3. Enter Indicator Scores'!$D$10:$CZ$161,_xlpm.r,_xlpm.c),""),
  IF(OR(_xlpm.w="",_xlpm.v=""),"",_xlpm.v*_xlpm.w)
)</f>
        <v/>
      </c>
      <c r="CE141" s="93" t="str" cm="1">
        <f t="array" ref="CE141">_xlfn.LET(
  _xlpm.w, CE$11,
  _xlpm.r, MATCH(1,('3. Enter Indicator Scores'!$B$10:$B$161=$B141)*('3. Enter Indicator Scores'!$C$10:$C$161=$C141),0),
  _xlpm.c, MATCH(CE$8,'3. Enter Indicator Scores'!$D$8:$CZ$8,0),
  _xlpm.v, IFERROR(INDEX('3. Enter Indicator Scores'!$D$10:$CZ$161,_xlpm.r,_xlpm.c),""),
  IF(OR(_xlpm.w="",_xlpm.v=""),"",_xlpm.v*_xlpm.w)
)</f>
        <v/>
      </c>
      <c r="CF141" s="93" t="str" cm="1">
        <f t="array" ref="CF141">_xlfn.LET(
  _xlpm.w, CF$11,
  _xlpm.r, MATCH(1,('3. Enter Indicator Scores'!$B$10:$B$161=$B141)*('3. Enter Indicator Scores'!$C$10:$C$161=$C141),0),
  _xlpm.c, MATCH(CF$8,'3. Enter Indicator Scores'!$D$8:$CZ$8,0),
  _xlpm.v, IFERROR(INDEX('3. Enter Indicator Scores'!$D$10:$CZ$161,_xlpm.r,_xlpm.c),""),
  IF(OR(_xlpm.w="",_xlpm.v=""),"",_xlpm.v*_xlpm.w)
)</f>
        <v/>
      </c>
      <c r="CG141" s="93" t="str" cm="1">
        <f t="array" ref="CG141">_xlfn.LET(
  _xlpm.w, CG$11,
  _xlpm.r, MATCH(1,('3. Enter Indicator Scores'!$B$10:$B$161=$B141)*('3. Enter Indicator Scores'!$C$10:$C$161=$C141),0),
  _xlpm.c, MATCH(CG$8,'3. Enter Indicator Scores'!$D$8:$CZ$8,0),
  _xlpm.v, IFERROR(INDEX('3. Enter Indicator Scores'!$D$10:$CZ$161,_xlpm.r,_xlpm.c),""),
  IF(OR(_xlpm.w="",_xlpm.v=""),"",_xlpm.v*_xlpm.w)
)</f>
        <v/>
      </c>
      <c r="CH141" s="93" t="str" cm="1">
        <f t="array" ref="CH141">_xlfn.LET(
  _xlpm.w, CH$11,
  _xlpm.r, MATCH(1,('3. Enter Indicator Scores'!$B$10:$B$161=$B141)*('3. Enter Indicator Scores'!$C$10:$C$161=$C141),0),
  _xlpm.c, MATCH(CH$8,'3. Enter Indicator Scores'!$D$8:$CZ$8,0),
  _xlpm.v, IFERROR(INDEX('3. Enter Indicator Scores'!$D$10:$CZ$161,_xlpm.r,_xlpm.c),""),
  IF(OR(_xlpm.w="",_xlpm.v=""),"",_xlpm.v*_xlpm.w)
)</f>
        <v/>
      </c>
      <c r="CI141" s="93" t="str" cm="1">
        <f t="array" ref="CI141">_xlfn.LET(
  _xlpm.w, CI$11,
  _xlpm.r, MATCH(1,('3. Enter Indicator Scores'!$B$10:$B$161=$B141)*('3. Enter Indicator Scores'!$C$10:$C$161=$C141),0),
  _xlpm.c, MATCH(CI$8,'3. Enter Indicator Scores'!$D$8:$CZ$8,0),
  _xlpm.v, IFERROR(INDEX('3. Enter Indicator Scores'!$D$10:$CZ$161,_xlpm.r,_xlpm.c),""),
  IF(OR(_xlpm.w="",_xlpm.v=""),"",_xlpm.v*_xlpm.w)
)</f>
        <v/>
      </c>
      <c r="CJ141" s="93" t="str" cm="1">
        <f t="array" ref="CJ141">_xlfn.LET(
  _xlpm.w, CJ$11,
  _xlpm.r, MATCH(1,('3. Enter Indicator Scores'!$B$10:$B$161=$B141)*('3. Enter Indicator Scores'!$C$10:$C$161=$C141),0),
  _xlpm.c, MATCH(CJ$8,'3. Enter Indicator Scores'!$D$8:$CZ$8,0),
  _xlpm.v, IFERROR(INDEX('3. Enter Indicator Scores'!$D$10:$CZ$161,_xlpm.r,_xlpm.c),""),
  IF(OR(_xlpm.w="",_xlpm.v=""),"",_xlpm.v*_xlpm.w)
)</f>
        <v/>
      </c>
      <c r="CK141" s="93" t="str" cm="1">
        <f t="array" ref="CK141">_xlfn.LET(
  _xlpm.w, CK$11,
  _xlpm.r, MATCH(1,('3. Enter Indicator Scores'!$B$10:$B$161=$B141)*('3. Enter Indicator Scores'!$C$10:$C$161=$C141),0),
  _xlpm.c, MATCH(CK$8,'3. Enter Indicator Scores'!$D$8:$CZ$8,0),
  _xlpm.v, IFERROR(INDEX('3. Enter Indicator Scores'!$D$10:$CZ$161,_xlpm.r,_xlpm.c),""),
  IF(OR(_xlpm.w="",_xlpm.v=""),"",_xlpm.v*_xlpm.w)
)</f>
        <v/>
      </c>
      <c r="CL141" s="93" t="str" cm="1">
        <f t="array" ref="CL141">_xlfn.LET(
  _xlpm.w, CL$11,
  _xlpm.r, MATCH(1,('3. Enter Indicator Scores'!$B$10:$B$161=$B141)*('3. Enter Indicator Scores'!$C$10:$C$161=$C141),0),
  _xlpm.c, MATCH(CL$8,'3. Enter Indicator Scores'!$D$8:$CZ$8,0),
  _xlpm.v, IFERROR(INDEX('3. Enter Indicator Scores'!$D$10:$CZ$161,_xlpm.r,_xlpm.c),""),
  IF(OR(_xlpm.w="",_xlpm.v=""),"",_xlpm.v*_xlpm.w)
)</f>
        <v/>
      </c>
      <c r="CM141" s="93" t="str" cm="1">
        <f t="array" ref="CM141">_xlfn.LET(
  _xlpm.w, CM$11,
  _xlpm.r, MATCH(1,('3. Enter Indicator Scores'!$B$10:$B$161=$B141)*('3. Enter Indicator Scores'!$C$10:$C$161=$C141),0),
  _xlpm.c, MATCH(CM$8,'3. Enter Indicator Scores'!$D$8:$CZ$8,0),
  _xlpm.v, IFERROR(INDEX('3. Enter Indicator Scores'!$D$10:$CZ$161,_xlpm.r,_xlpm.c),""),
  IF(OR(_xlpm.w="",_xlpm.v=""),"",_xlpm.v*_xlpm.w)
)</f>
        <v/>
      </c>
      <c r="CN141" s="93" t="str" cm="1">
        <f t="array" ref="CN141">_xlfn.LET(
  _xlpm.w, CN$11,
  _xlpm.r, MATCH(1,('3. Enter Indicator Scores'!$B$10:$B$161=$B141)*('3. Enter Indicator Scores'!$C$10:$C$161=$C141),0),
  _xlpm.c, MATCH(CN$8,'3. Enter Indicator Scores'!$D$8:$CZ$8,0),
  _xlpm.v, IFERROR(INDEX('3. Enter Indicator Scores'!$D$10:$CZ$161,_xlpm.r,_xlpm.c),""),
  IF(OR(_xlpm.w="",_xlpm.v=""),"",_xlpm.v*_xlpm.w)
)</f>
        <v/>
      </c>
      <c r="CO141" s="93" t="str" cm="1">
        <f t="array" ref="CO141">_xlfn.LET(
  _xlpm.w, CO$11,
  _xlpm.r, MATCH(1,('3. Enter Indicator Scores'!$B$10:$B$161=$B141)*('3. Enter Indicator Scores'!$C$10:$C$161=$C141),0),
  _xlpm.c, MATCH(CO$8,'3. Enter Indicator Scores'!$D$8:$CZ$8,0),
  _xlpm.v, IFERROR(INDEX('3. Enter Indicator Scores'!$D$10:$CZ$161,_xlpm.r,_xlpm.c),""),
  IF(OR(_xlpm.w="",_xlpm.v=""),"",_xlpm.v*_xlpm.w)
)</f>
        <v/>
      </c>
      <c r="CP141" s="93" t="str" cm="1">
        <f t="array" ref="CP141">_xlfn.LET(
  _xlpm.w, CP$11,
  _xlpm.r, MATCH(1,('3. Enter Indicator Scores'!$B$10:$B$161=$B141)*('3. Enter Indicator Scores'!$C$10:$C$161=$C141),0),
  _xlpm.c, MATCH(CP$8,'3. Enter Indicator Scores'!$D$8:$CZ$8,0),
  _xlpm.v, IFERROR(INDEX('3. Enter Indicator Scores'!$D$10:$CZ$161,_xlpm.r,_xlpm.c),""),
  IF(OR(_xlpm.w="",_xlpm.v=""),"",_xlpm.v*_xlpm.w)
)</f>
        <v/>
      </c>
      <c r="CQ141" s="93" t="str" cm="1">
        <f t="array" ref="CQ141">_xlfn.LET(
  _xlpm.w, CQ$11,
  _xlpm.r, MATCH(1,('3. Enter Indicator Scores'!$B$10:$B$161=$B141)*('3. Enter Indicator Scores'!$C$10:$C$161=$C141),0),
  _xlpm.c, MATCH(CQ$8,'3. Enter Indicator Scores'!$D$8:$CZ$8,0),
  _xlpm.v, IFERROR(INDEX('3. Enter Indicator Scores'!$D$10:$CZ$161,_xlpm.r,_xlpm.c),""),
  IF(OR(_xlpm.w="",_xlpm.v=""),"",_xlpm.v*_xlpm.w)
)</f>
        <v/>
      </c>
      <c r="CR141" s="93" t="str" cm="1">
        <f t="array" ref="CR141">_xlfn.LET(
  _xlpm.w, CR$11,
  _xlpm.r, MATCH(1,('3. Enter Indicator Scores'!$B$10:$B$161=$B141)*('3. Enter Indicator Scores'!$C$10:$C$161=$C141),0),
  _xlpm.c, MATCH(CR$8,'3. Enter Indicator Scores'!$D$8:$CZ$8,0),
  _xlpm.v, IFERROR(INDEX('3. Enter Indicator Scores'!$D$10:$CZ$161,_xlpm.r,_xlpm.c),""),
  IF(OR(_xlpm.w="",_xlpm.v=""),"",_xlpm.v*_xlpm.w)
)</f>
        <v/>
      </c>
      <c r="CS141" s="93" t="str" cm="1">
        <f t="array" ref="CS141">_xlfn.LET(
  _xlpm.w, CS$11,
  _xlpm.r, MATCH(1,('3. Enter Indicator Scores'!$B$10:$B$161=$B141)*('3. Enter Indicator Scores'!$C$10:$C$161=$C141),0),
  _xlpm.c, MATCH(CS$8,'3. Enter Indicator Scores'!$D$8:$CZ$8,0),
  _xlpm.v, IFERROR(INDEX('3. Enter Indicator Scores'!$D$10:$CZ$161,_xlpm.r,_xlpm.c),""),
  IF(OR(_xlpm.w="",_xlpm.v=""),"",_xlpm.v*_xlpm.w)
)</f>
        <v/>
      </c>
      <c r="CT141" s="93" t="str" cm="1">
        <f t="array" ref="CT141">_xlfn.LET(
  _xlpm.w, CT$11,
  _xlpm.r, MATCH(1,('3. Enter Indicator Scores'!$B$10:$B$161=$B141)*('3. Enter Indicator Scores'!$C$10:$C$161=$C141),0),
  _xlpm.c, MATCH(CT$8,'3. Enter Indicator Scores'!$D$8:$CZ$8,0),
  _xlpm.v, IFERROR(INDEX('3. Enter Indicator Scores'!$D$10:$CZ$161,_xlpm.r,_xlpm.c),""),
  IF(OR(_xlpm.w="",_xlpm.v=""),"",_xlpm.v*_xlpm.w)
)</f>
        <v/>
      </c>
      <c r="CU141" s="93" t="str" cm="1">
        <f t="array" ref="CU141">_xlfn.LET(
  _xlpm.w, CU$11,
  _xlpm.r, MATCH(1,('3. Enter Indicator Scores'!$B$10:$B$161=$B141)*('3. Enter Indicator Scores'!$C$10:$C$161=$C141),0),
  _xlpm.c, MATCH(CU$8,'3. Enter Indicator Scores'!$D$8:$CZ$8,0),
  _xlpm.v, IFERROR(INDEX('3. Enter Indicator Scores'!$D$10:$CZ$161,_xlpm.r,_xlpm.c),""),
  IF(OR(_xlpm.w="",_xlpm.v=""),"",_xlpm.v*_xlpm.w)
)</f>
        <v/>
      </c>
      <c r="CV141" s="93" t="str" cm="1">
        <f t="array" ref="CV141">_xlfn.LET(
  _xlpm.w, CV$11,
  _xlpm.r, MATCH(1,('3. Enter Indicator Scores'!$B$10:$B$161=$B141)*('3. Enter Indicator Scores'!$C$10:$C$161=$C141),0),
  _xlpm.c, MATCH(CV$8,'3. Enter Indicator Scores'!$D$8:$CZ$8,0),
  _xlpm.v, IFERROR(INDEX('3. Enter Indicator Scores'!$D$10:$CZ$161,_xlpm.r,_xlpm.c),""),
  IF(OR(_xlpm.w="",_xlpm.v=""),"",_xlpm.v*_xlpm.w)
)</f>
        <v/>
      </c>
      <c r="CW141" s="93" t="str" cm="1">
        <f t="array" ref="CW141">_xlfn.LET(
  _xlpm.w, CW$11,
  _xlpm.r, MATCH(1,('3. Enter Indicator Scores'!$B$10:$B$161=$B141)*('3. Enter Indicator Scores'!$C$10:$C$161=$C141),0),
  _xlpm.c, MATCH(CW$8,'3. Enter Indicator Scores'!$D$8:$CZ$8,0),
  _xlpm.v, IFERROR(INDEX('3. Enter Indicator Scores'!$D$10:$CZ$161,_xlpm.r,_xlpm.c),""),
  IF(OR(_xlpm.w="",_xlpm.v=""),"",_xlpm.v*_xlpm.w)
)</f>
        <v/>
      </c>
      <c r="CX141" s="93" t="str" cm="1">
        <f t="array" ref="CX141">_xlfn.LET(
  _xlpm.w, CX$11,
  _xlpm.r, MATCH(1,('3. Enter Indicator Scores'!$B$10:$B$161=$B141)*('3. Enter Indicator Scores'!$C$10:$C$161=$C141),0),
  _xlpm.c, MATCH(CX$8,'3. Enter Indicator Scores'!$D$8:$CZ$8,0),
  _xlpm.v, IFERROR(INDEX('3. Enter Indicator Scores'!$D$10:$CZ$161,_xlpm.r,_xlpm.c),""),
  IF(OR(_xlpm.w="",_xlpm.v=""),"",_xlpm.v*_xlpm.w)
)</f>
        <v/>
      </c>
      <c r="CY141" s="93" t="str" cm="1">
        <f t="array" ref="CY141">_xlfn.LET(
  _xlpm.w, CY$11,
  _xlpm.r, MATCH(1,('3. Enter Indicator Scores'!$B$10:$B$161=$B141)*('3. Enter Indicator Scores'!$C$10:$C$161=$C141),0),
  _xlpm.c, MATCH(CY$8,'3. Enter Indicator Scores'!$D$8:$CZ$8,0),
  _xlpm.v, IFERROR(INDEX('3. Enter Indicator Scores'!$D$10:$CZ$161,_xlpm.r,_xlpm.c),""),
  IF(OR(_xlpm.w="",_xlpm.v=""),"",_xlpm.v*_xlpm.w)
)</f>
        <v/>
      </c>
      <c r="CZ141" s="93" t="str" cm="1">
        <f t="array" ref="CZ141">_xlfn.LET(
  _xlpm.w, CZ$11,
  _xlpm.r, MATCH(1,('3. Enter Indicator Scores'!$B$10:$B$161=$B141)*('3. Enter Indicator Scores'!$C$10:$C$161=$C141),0),
  _xlpm.c, MATCH(CZ$8,'3. Enter Indicator Scores'!$D$8:$CZ$8,0),
  _xlpm.v, IFERROR(INDEX('3. Enter Indicator Scores'!$D$10:$CZ$161,_xlpm.r,_xlpm.c),""),
  IF(OR(_xlpm.w="",_xlpm.v=""),"",_xlpm.v*_xlpm.w)
)</f>
        <v/>
      </c>
    </row>
    <row r="142" spans="4:104" x14ac:dyDescent="0.2">
      <c r="D142" s="93" t="str" cm="1">
        <f t="array" ref="D142">_xlfn.LET(
  _xlpm.w, D$11,
  _xlpm.r, MATCH(1,('3. Enter Indicator Scores'!$B$10:$B$161=$B142)*('3. Enter Indicator Scores'!$C$10:$C$161=$C142),0),
  _xlpm.c, MATCH(D$8,'3. Enter Indicator Scores'!$D$8:$CZ$8,0),
  _xlpm.v, IFERROR(INDEX('3. Enter Indicator Scores'!$D$10:$CZ$161,_xlpm.r,_xlpm.c),""),
  IF(OR(_xlpm.w="",_xlpm.v=""),"",_xlpm.v*_xlpm.w)
)</f>
        <v/>
      </c>
      <c r="E142" s="93" t="str" cm="1">
        <f t="array" ref="E142">_xlfn.LET(
  _xlpm.w, E$11,
  _xlpm.r, MATCH(1,('3. Enter Indicator Scores'!$B$10:$B$161=$B142)*('3. Enter Indicator Scores'!$C$10:$C$161=$C142),0),
  _xlpm.c, MATCH(E$8,'3. Enter Indicator Scores'!$D$8:$CZ$8,0),
  _xlpm.v, IFERROR(INDEX('3. Enter Indicator Scores'!$D$10:$CZ$161,_xlpm.r,_xlpm.c),""),
  IF(OR(_xlpm.w="",_xlpm.v=""),"",_xlpm.v*_xlpm.w)
)</f>
        <v/>
      </c>
      <c r="F142" s="93" t="str" cm="1">
        <f t="array" ref="F142">_xlfn.LET(
  _xlpm.w, F$11,
  _xlpm.r, MATCH(1,('3. Enter Indicator Scores'!$B$10:$B$161=$B142)*('3. Enter Indicator Scores'!$C$10:$C$161=$C142),0),
  _xlpm.c, MATCH(F$8,'3. Enter Indicator Scores'!$D$8:$CZ$8,0),
  _xlpm.v, IFERROR(INDEX('3. Enter Indicator Scores'!$D$10:$CZ$161,_xlpm.r,_xlpm.c),""),
  IF(OR(_xlpm.w="",_xlpm.v=""),"",_xlpm.v*_xlpm.w)
)</f>
        <v/>
      </c>
      <c r="G142" s="93" t="str" cm="1">
        <f t="array" ref="G142">_xlfn.LET(
  _xlpm.w, G$11,
  _xlpm.r, MATCH(1,('3. Enter Indicator Scores'!$B$10:$B$161=$B142)*('3. Enter Indicator Scores'!$C$10:$C$161=$C142),0),
  _xlpm.c, MATCH(G$8,'3. Enter Indicator Scores'!$D$8:$CZ$8,0),
  _xlpm.v, IFERROR(INDEX('3. Enter Indicator Scores'!$D$10:$CZ$161,_xlpm.r,_xlpm.c),""),
  IF(OR(_xlpm.w="",_xlpm.v=""),"",_xlpm.v*_xlpm.w)
)</f>
        <v/>
      </c>
      <c r="H142" s="93" t="str" cm="1">
        <f t="array" ref="H142">_xlfn.LET(
  _xlpm.w, H$11,
  _xlpm.r, MATCH(1,('3. Enter Indicator Scores'!$B$10:$B$161=$B142)*('3. Enter Indicator Scores'!$C$10:$C$161=$C142),0),
  _xlpm.c, MATCH(H$8,'3. Enter Indicator Scores'!$D$8:$CZ$8,0),
  _xlpm.v, IFERROR(INDEX('3. Enter Indicator Scores'!$D$10:$CZ$161,_xlpm.r,_xlpm.c),""),
  IF(OR(_xlpm.w="",_xlpm.v=""),"",_xlpm.v*_xlpm.w)
)</f>
        <v/>
      </c>
      <c r="I142" s="93" t="str" cm="1">
        <f t="array" ref="I142">_xlfn.LET(
  _xlpm.w, I$11,
  _xlpm.r, MATCH(1,('3. Enter Indicator Scores'!$B$10:$B$161=$B142)*('3. Enter Indicator Scores'!$C$10:$C$161=$C142),0),
  _xlpm.c, MATCH(I$8,'3. Enter Indicator Scores'!$D$8:$CZ$8,0),
  _xlpm.v, IFERROR(INDEX('3. Enter Indicator Scores'!$D$10:$CZ$161,_xlpm.r,_xlpm.c),""),
  IF(OR(_xlpm.w="",_xlpm.v=""),"",_xlpm.v*_xlpm.w)
)</f>
        <v/>
      </c>
      <c r="J142" s="93" t="str" cm="1">
        <f t="array" ref="J142">_xlfn.LET(
  _xlpm.w, J$11,
  _xlpm.r, MATCH(1,('3. Enter Indicator Scores'!$B$10:$B$161=$B142)*('3. Enter Indicator Scores'!$C$10:$C$161=$C142),0),
  _xlpm.c, MATCH(J$8,'3. Enter Indicator Scores'!$D$8:$CZ$8,0),
  _xlpm.v, IFERROR(INDEX('3. Enter Indicator Scores'!$D$10:$CZ$161,_xlpm.r,_xlpm.c),""),
  IF(OR(_xlpm.w="",_xlpm.v=""),"",_xlpm.v*_xlpm.w)
)</f>
        <v/>
      </c>
      <c r="K142" s="93" t="str" cm="1">
        <f t="array" ref="K142">_xlfn.LET(
  _xlpm.w, K$11,
  _xlpm.r, MATCH(1,('3. Enter Indicator Scores'!$B$10:$B$161=$B142)*('3. Enter Indicator Scores'!$C$10:$C$161=$C142),0),
  _xlpm.c, MATCH(K$8,'3. Enter Indicator Scores'!$D$8:$CZ$8,0),
  _xlpm.v, IFERROR(INDEX('3. Enter Indicator Scores'!$D$10:$CZ$161,_xlpm.r,_xlpm.c),""),
  IF(OR(_xlpm.w="",_xlpm.v=""),"",_xlpm.v*_xlpm.w)
)</f>
        <v/>
      </c>
      <c r="L142" s="93" t="str" cm="1">
        <f t="array" ref="L142">_xlfn.LET(
  _xlpm.w, L$11,
  _xlpm.r, MATCH(1,('3. Enter Indicator Scores'!$B$10:$B$161=$B142)*('3. Enter Indicator Scores'!$C$10:$C$161=$C142),0),
  _xlpm.c, MATCH(L$8,'3. Enter Indicator Scores'!$D$8:$CZ$8,0),
  _xlpm.v, IFERROR(INDEX('3. Enter Indicator Scores'!$D$10:$CZ$161,_xlpm.r,_xlpm.c),""),
  IF(OR(_xlpm.w="",_xlpm.v=""),"",_xlpm.v*_xlpm.w)
)</f>
        <v/>
      </c>
      <c r="M142" s="93" t="str" cm="1">
        <f t="array" ref="M142">_xlfn.LET(
  _xlpm.w, M$11,
  _xlpm.r, MATCH(1,('3. Enter Indicator Scores'!$B$10:$B$161=$B142)*('3. Enter Indicator Scores'!$C$10:$C$161=$C142),0),
  _xlpm.c, MATCH(M$8,'3. Enter Indicator Scores'!$D$8:$CZ$8,0),
  _xlpm.v, IFERROR(INDEX('3. Enter Indicator Scores'!$D$10:$CZ$161,_xlpm.r,_xlpm.c),""),
  IF(OR(_xlpm.w="",_xlpm.v=""),"",_xlpm.v*_xlpm.w)
)</f>
        <v/>
      </c>
      <c r="N142" s="93" t="str" cm="1">
        <f t="array" ref="N142">_xlfn.LET(
  _xlpm.w, N$11,
  _xlpm.r, MATCH(1,('3. Enter Indicator Scores'!$B$10:$B$161=$B142)*('3. Enter Indicator Scores'!$C$10:$C$161=$C142),0),
  _xlpm.c, MATCH(N$8,'3. Enter Indicator Scores'!$D$8:$CZ$8,0),
  _xlpm.v, IFERROR(INDEX('3. Enter Indicator Scores'!$D$10:$CZ$161,_xlpm.r,_xlpm.c),""),
  IF(OR(_xlpm.w="",_xlpm.v=""),"",_xlpm.v*_xlpm.w)
)</f>
        <v/>
      </c>
      <c r="O142" s="93" t="str" cm="1">
        <f t="array" ref="O142">_xlfn.LET(
  _xlpm.w, O$11,
  _xlpm.r, MATCH(1,('3. Enter Indicator Scores'!$B$10:$B$161=$B142)*('3. Enter Indicator Scores'!$C$10:$C$161=$C142),0),
  _xlpm.c, MATCH(O$8,'3. Enter Indicator Scores'!$D$8:$CZ$8,0),
  _xlpm.v, IFERROR(INDEX('3. Enter Indicator Scores'!$D$10:$CZ$161,_xlpm.r,_xlpm.c),""),
  IF(OR(_xlpm.w="",_xlpm.v=""),"",_xlpm.v*_xlpm.w)
)</f>
        <v/>
      </c>
      <c r="P142" s="93" t="str" cm="1">
        <f t="array" ref="P142">_xlfn.LET(
  _xlpm.w, P$11,
  _xlpm.r, MATCH(1,('3. Enter Indicator Scores'!$B$10:$B$161=$B142)*('3. Enter Indicator Scores'!$C$10:$C$161=$C142),0),
  _xlpm.c, MATCH(P$8,'3. Enter Indicator Scores'!$D$8:$CZ$8,0),
  _xlpm.v, IFERROR(INDEX('3. Enter Indicator Scores'!$D$10:$CZ$161,_xlpm.r,_xlpm.c),""),
  IF(OR(_xlpm.w="",_xlpm.v=""),"",_xlpm.v*_xlpm.w)
)</f>
        <v/>
      </c>
      <c r="Q142" s="93" t="str" cm="1">
        <f t="array" ref="Q142">_xlfn.LET(
  _xlpm.w, Q$11,
  _xlpm.r, MATCH(1,('3. Enter Indicator Scores'!$B$10:$B$161=$B142)*('3. Enter Indicator Scores'!$C$10:$C$161=$C142),0),
  _xlpm.c, MATCH(Q$8,'3. Enter Indicator Scores'!$D$8:$CZ$8,0),
  _xlpm.v, IFERROR(INDEX('3. Enter Indicator Scores'!$D$10:$CZ$161,_xlpm.r,_xlpm.c),""),
  IF(OR(_xlpm.w="",_xlpm.v=""),"",_xlpm.v*_xlpm.w)
)</f>
        <v/>
      </c>
      <c r="R142" s="93" t="str" cm="1">
        <f t="array" ref="R142">_xlfn.LET(
  _xlpm.w, R$11,
  _xlpm.r, MATCH(1,('3. Enter Indicator Scores'!$B$10:$B$161=$B142)*('3. Enter Indicator Scores'!$C$10:$C$161=$C142),0),
  _xlpm.c, MATCH(R$8,'3. Enter Indicator Scores'!$D$8:$CZ$8,0),
  _xlpm.v, IFERROR(INDEX('3. Enter Indicator Scores'!$D$10:$CZ$161,_xlpm.r,_xlpm.c),""),
  IF(OR(_xlpm.w="",_xlpm.v=""),"",_xlpm.v*_xlpm.w)
)</f>
        <v/>
      </c>
      <c r="S142" s="93" t="str" cm="1">
        <f t="array" ref="S142">_xlfn.LET(
  _xlpm.w, S$11,
  _xlpm.r, MATCH(1,('3. Enter Indicator Scores'!$B$10:$B$161=$B142)*('3. Enter Indicator Scores'!$C$10:$C$161=$C142),0),
  _xlpm.c, MATCH(S$8,'3. Enter Indicator Scores'!$D$8:$CZ$8,0),
  _xlpm.v, IFERROR(INDEX('3. Enter Indicator Scores'!$D$10:$CZ$161,_xlpm.r,_xlpm.c),""),
  IF(OR(_xlpm.w="",_xlpm.v=""),"",_xlpm.v*_xlpm.w)
)</f>
        <v/>
      </c>
      <c r="T142" s="93" t="str" cm="1">
        <f t="array" ref="T142">_xlfn.LET(
  _xlpm.w, T$11,
  _xlpm.r, MATCH(1,('3. Enter Indicator Scores'!$B$10:$B$161=$B142)*('3. Enter Indicator Scores'!$C$10:$C$161=$C142),0),
  _xlpm.c, MATCH(T$8,'3. Enter Indicator Scores'!$D$8:$CZ$8,0),
  _xlpm.v, IFERROR(INDEX('3. Enter Indicator Scores'!$D$10:$CZ$161,_xlpm.r,_xlpm.c),""),
  IF(OR(_xlpm.w="",_xlpm.v=""),"",_xlpm.v*_xlpm.w)
)</f>
        <v/>
      </c>
      <c r="U142" s="93" t="str" cm="1">
        <f t="array" ref="U142">_xlfn.LET(
  _xlpm.w, U$11,
  _xlpm.r, MATCH(1,('3. Enter Indicator Scores'!$B$10:$B$161=$B142)*('3. Enter Indicator Scores'!$C$10:$C$161=$C142),0),
  _xlpm.c, MATCH(U$8,'3. Enter Indicator Scores'!$D$8:$CZ$8,0),
  _xlpm.v, IFERROR(INDEX('3. Enter Indicator Scores'!$D$10:$CZ$161,_xlpm.r,_xlpm.c),""),
  IF(OR(_xlpm.w="",_xlpm.v=""),"",_xlpm.v*_xlpm.w)
)</f>
        <v/>
      </c>
      <c r="V142" s="93" t="str" cm="1">
        <f t="array" ref="V142">_xlfn.LET(
  _xlpm.w, V$11,
  _xlpm.r, MATCH(1,('3. Enter Indicator Scores'!$B$10:$B$161=$B142)*('3. Enter Indicator Scores'!$C$10:$C$161=$C142),0),
  _xlpm.c, MATCH(V$8,'3. Enter Indicator Scores'!$D$8:$CZ$8,0),
  _xlpm.v, IFERROR(INDEX('3. Enter Indicator Scores'!$D$10:$CZ$161,_xlpm.r,_xlpm.c),""),
  IF(OR(_xlpm.w="",_xlpm.v=""),"",_xlpm.v*_xlpm.w)
)</f>
        <v/>
      </c>
      <c r="W142" s="93" t="str" cm="1">
        <f t="array" ref="W142">_xlfn.LET(
  _xlpm.w, W$11,
  _xlpm.r, MATCH(1,('3. Enter Indicator Scores'!$B$10:$B$161=$B142)*('3. Enter Indicator Scores'!$C$10:$C$161=$C142),0),
  _xlpm.c, MATCH(W$8,'3. Enter Indicator Scores'!$D$8:$CZ$8,0),
  _xlpm.v, IFERROR(INDEX('3. Enter Indicator Scores'!$D$10:$CZ$161,_xlpm.r,_xlpm.c),""),
  IF(OR(_xlpm.w="",_xlpm.v=""),"",_xlpm.v*_xlpm.w)
)</f>
        <v/>
      </c>
      <c r="X142" s="93" t="str" cm="1">
        <f t="array" ref="X142">_xlfn.LET(
  _xlpm.w, X$11,
  _xlpm.r, MATCH(1,('3. Enter Indicator Scores'!$B$10:$B$161=$B142)*('3. Enter Indicator Scores'!$C$10:$C$161=$C142),0),
  _xlpm.c, MATCH(X$8,'3. Enter Indicator Scores'!$D$8:$CZ$8,0),
  _xlpm.v, IFERROR(INDEX('3. Enter Indicator Scores'!$D$10:$CZ$161,_xlpm.r,_xlpm.c),""),
  IF(OR(_xlpm.w="",_xlpm.v=""),"",_xlpm.v*_xlpm.w)
)</f>
        <v/>
      </c>
      <c r="Y142" s="93" t="str" cm="1">
        <f t="array" ref="Y142">_xlfn.LET(
  _xlpm.w, Y$11,
  _xlpm.r, MATCH(1,('3. Enter Indicator Scores'!$B$10:$B$161=$B142)*('3. Enter Indicator Scores'!$C$10:$C$161=$C142),0),
  _xlpm.c, MATCH(Y$8,'3. Enter Indicator Scores'!$D$8:$CZ$8,0),
  _xlpm.v, IFERROR(INDEX('3. Enter Indicator Scores'!$D$10:$CZ$161,_xlpm.r,_xlpm.c),""),
  IF(OR(_xlpm.w="",_xlpm.v=""),"",_xlpm.v*_xlpm.w)
)</f>
        <v/>
      </c>
      <c r="Z142" s="93" t="str" cm="1">
        <f t="array" ref="Z142">_xlfn.LET(
  _xlpm.w, Z$11,
  _xlpm.r, MATCH(1,('3. Enter Indicator Scores'!$B$10:$B$161=$B142)*('3. Enter Indicator Scores'!$C$10:$C$161=$C142),0),
  _xlpm.c, MATCH(Z$8,'3. Enter Indicator Scores'!$D$8:$CZ$8,0),
  _xlpm.v, IFERROR(INDEX('3. Enter Indicator Scores'!$D$10:$CZ$161,_xlpm.r,_xlpm.c),""),
  IF(OR(_xlpm.w="",_xlpm.v=""),"",_xlpm.v*_xlpm.w)
)</f>
        <v/>
      </c>
      <c r="AA142" s="93" t="str" cm="1">
        <f t="array" ref="AA142">_xlfn.LET(
  _xlpm.w, AA$11,
  _xlpm.r, MATCH(1,('3. Enter Indicator Scores'!$B$10:$B$161=$B142)*('3. Enter Indicator Scores'!$C$10:$C$161=$C142),0),
  _xlpm.c, MATCH(AA$8,'3. Enter Indicator Scores'!$D$8:$CZ$8,0),
  _xlpm.v, IFERROR(INDEX('3. Enter Indicator Scores'!$D$10:$CZ$161,_xlpm.r,_xlpm.c),""),
  IF(OR(_xlpm.w="",_xlpm.v=""),"",_xlpm.v*_xlpm.w)
)</f>
        <v/>
      </c>
      <c r="AB142" s="93" t="str" cm="1">
        <f t="array" ref="AB142">_xlfn.LET(
  _xlpm.w, AB$11,
  _xlpm.r, MATCH(1,('3. Enter Indicator Scores'!$B$10:$B$161=$B142)*('3. Enter Indicator Scores'!$C$10:$C$161=$C142),0),
  _xlpm.c, MATCH(AB$8,'3. Enter Indicator Scores'!$D$8:$CZ$8,0),
  _xlpm.v, IFERROR(INDEX('3. Enter Indicator Scores'!$D$10:$CZ$161,_xlpm.r,_xlpm.c),""),
  IF(OR(_xlpm.w="",_xlpm.v=""),"",_xlpm.v*_xlpm.w)
)</f>
        <v/>
      </c>
      <c r="AC142" s="93" t="str" cm="1">
        <f t="array" ref="AC142">_xlfn.LET(
  _xlpm.w, AC$11,
  _xlpm.r, MATCH(1,('3. Enter Indicator Scores'!$B$10:$B$161=$B142)*('3. Enter Indicator Scores'!$C$10:$C$161=$C142),0),
  _xlpm.c, MATCH(AC$8,'3. Enter Indicator Scores'!$D$8:$CZ$8,0),
  _xlpm.v, IFERROR(INDEX('3. Enter Indicator Scores'!$D$10:$CZ$161,_xlpm.r,_xlpm.c),""),
  IF(OR(_xlpm.w="",_xlpm.v=""),"",_xlpm.v*_xlpm.w)
)</f>
        <v/>
      </c>
      <c r="AD142" s="93" t="str" cm="1">
        <f t="array" ref="AD142">_xlfn.LET(
  _xlpm.w, AD$11,
  _xlpm.r, MATCH(1,('3. Enter Indicator Scores'!$B$10:$B$161=$B142)*('3. Enter Indicator Scores'!$C$10:$C$161=$C142),0),
  _xlpm.c, MATCH(AD$8,'3. Enter Indicator Scores'!$D$8:$CZ$8,0),
  _xlpm.v, IFERROR(INDEX('3. Enter Indicator Scores'!$D$10:$CZ$161,_xlpm.r,_xlpm.c),""),
  IF(OR(_xlpm.w="",_xlpm.v=""),"",_xlpm.v*_xlpm.w)
)</f>
        <v/>
      </c>
      <c r="AE142" s="93" t="str" cm="1">
        <f t="array" ref="AE142">_xlfn.LET(
  _xlpm.w, AE$11,
  _xlpm.r, MATCH(1,('3. Enter Indicator Scores'!$B$10:$B$161=$B142)*('3. Enter Indicator Scores'!$C$10:$C$161=$C142),0),
  _xlpm.c, MATCH(AE$8,'3. Enter Indicator Scores'!$D$8:$CZ$8,0),
  _xlpm.v, IFERROR(INDEX('3. Enter Indicator Scores'!$D$10:$CZ$161,_xlpm.r,_xlpm.c),""),
  IF(OR(_xlpm.w="",_xlpm.v=""),"",_xlpm.v*_xlpm.w)
)</f>
        <v/>
      </c>
      <c r="AF142" s="93" t="str" cm="1">
        <f t="array" ref="AF142">_xlfn.LET(
  _xlpm.w, AF$11,
  _xlpm.r, MATCH(1,('3. Enter Indicator Scores'!$B$10:$B$161=$B142)*('3. Enter Indicator Scores'!$C$10:$C$161=$C142),0),
  _xlpm.c, MATCH(AF$8,'3. Enter Indicator Scores'!$D$8:$CZ$8,0),
  _xlpm.v, IFERROR(INDEX('3. Enter Indicator Scores'!$D$10:$CZ$161,_xlpm.r,_xlpm.c),""),
  IF(OR(_xlpm.w="",_xlpm.v=""),"",_xlpm.v*_xlpm.w)
)</f>
        <v/>
      </c>
      <c r="AG142" s="93" t="str" cm="1">
        <f t="array" ref="AG142">_xlfn.LET(
  _xlpm.w, AG$11,
  _xlpm.r, MATCH(1,('3. Enter Indicator Scores'!$B$10:$B$161=$B142)*('3. Enter Indicator Scores'!$C$10:$C$161=$C142),0),
  _xlpm.c, MATCH(AG$8,'3. Enter Indicator Scores'!$D$8:$CZ$8,0),
  _xlpm.v, IFERROR(INDEX('3. Enter Indicator Scores'!$D$10:$CZ$161,_xlpm.r,_xlpm.c),""),
  IF(OR(_xlpm.w="",_xlpm.v=""),"",_xlpm.v*_xlpm.w)
)</f>
        <v/>
      </c>
      <c r="AH142" s="93" t="str" cm="1">
        <f t="array" ref="AH142">_xlfn.LET(
  _xlpm.w, AH$11,
  _xlpm.r, MATCH(1,('3. Enter Indicator Scores'!$B$10:$B$161=$B142)*('3. Enter Indicator Scores'!$C$10:$C$161=$C142),0),
  _xlpm.c, MATCH(AH$8,'3. Enter Indicator Scores'!$D$8:$CZ$8,0),
  _xlpm.v, IFERROR(INDEX('3. Enter Indicator Scores'!$D$10:$CZ$161,_xlpm.r,_xlpm.c),""),
  IF(OR(_xlpm.w="",_xlpm.v=""),"",_xlpm.v*_xlpm.w)
)</f>
        <v/>
      </c>
      <c r="AI142" s="93" t="str" cm="1">
        <f t="array" ref="AI142">_xlfn.LET(
  _xlpm.w, AI$11,
  _xlpm.r, MATCH(1,('3. Enter Indicator Scores'!$B$10:$B$161=$B142)*('3. Enter Indicator Scores'!$C$10:$C$161=$C142),0),
  _xlpm.c, MATCH(AI$8,'3. Enter Indicator Scores'!$D$8:$CZ$8,0),
  _xlpm.v, IFERROR(INDEX('3. Enter Indicator Scores'!$D$10:$CZ$161,_xlpm.r,_xlpm.c),""),
  IF(OR(_xlpm.w="",_xlpm.v=""),"",_xlpm.v*_xlpm.w)
)</f>
        <v/>
      </c>
      <c r="AJ142" s="93" t="str" cm="1">
        <f t="array" ref="AJ142">_xlfn.LET(
  _xlpm.w, AJ$11,
  _xlpm.r, MATCH(1,('3. Enter Indicator Scores'!$B$10:$B$161=$B142)*('3. Enter Indicator Scores'!$C$10:$C$161=$C142),0),
  _xlpm.c, MATCH(AJ$8,'3. Enter Indicator Scores'!$D$8:$CZ$8,0),
  _xlpm.v, IFERROR(INDEX('3. Enter Indicator Scores'!$D$10:$CZ$161,_xlpm.r,_xlpm.c),""),
  IF(OR(_xlpm.w="",_xlpm.v=""),"",_xlpm.v*_xlpm.w)
)</f>
        <v/>
      </c>
      <c r="AK142" s="93" t="str" cm="1">
        <f t="array" ref="AK142">_xlfn.LET(
  _xlpm.w, AK$11,
  _xlpm.r, MATCH(1,('3. Enter Indicator Scores'!$B$10:$B$161=$B142)*('3. Enter Indicator Scores'!$C$10:$C$161=$C142),0),
  _xlpm.c, MATCH(AK$8,'3. Enter Indicator Scores'!$D$8:$CZ$8,0),
  _xlpm.v, IFERROR(INDEX('3. Enter Indicator Scores'!$D$10:$CZ$161,_xlpm.r,_xlpm.c),""),
  IF(OR(_xlpm.w="",_xlpm.v=""),"",_xlpm.v*_xlpm.w)
)</f>
        <v/>
      </c>
      <c r="AL142" s="93" t="str" cm="1">
        <f t="array" ref="AL142">_xlfn.LET(
  _xlpm.w, AL$11,
  _xlpm.r, MATCH(1,('3. Enter Indicator Scores'!$B$10:$B$161=$B142)*('3. Enter Indicator Scores'!$C$10:$C$161=$C142),0),
  _xlpm.c, MATCH(AL$8,'3. Enter Indicator Scores'!$D$8:$CZ$8,0),
  _xlpm.v, IFERROR(INDEX('3. Enter Indicator Scores'!$D$10:$CZ$161,_xlpm.r,_xlpm.c),""),
  IF(OR(_xlpm.w="",_xlpm.v=""),"",_xlpm.v*_xlpm.w)
)</f>
        <v/>
      </c>
      <c r="AM142" s="93" t="str" cm="1">
        <f t="array" ref="AM142">_xlfn.LET(
  _xlpm.w, AM$11,
  _xlpm.r, MATCH(1,('3. Enter Indicator Scores'!$B$10:$B$161=$B142)*('3. Enter Indicator Scores'!$C$10:$C$161=$C142),0),
  _xlpm.c, MATCH(AM$8,'3. Enter Indicator Scores'!$D$8:$CZ$8,0),
  _xlpm.v, IFERROR(INDEX('3. Enter Indicator Scores'!$D$10:$CZ$161,_xlpm.r,_xlpm.c),""),
  IF(OR(_xlpm.w="",_xlpm.v=""),"",_xlpm.v*_xlpm.w)
)</f>
        <v/>
      </c>
      <c r="AN142" s="93" t="str" cm="1">
        <f t="array" ref="AN142">_xlfn.LET(
  _xlpm.w, AN$11,
  _xlpm.r, MATCH(1,('3. Enter Indicator Scores'!$B$10:$B$161=$B142)*('3. Enter Indicator Scores'!$C$10:$C$161=$C142),0),
  _xlpm.c, MATCH(AN$8,'3. Enter Indicator Scores'!$D$8:$CZ$8,0),
  _xlpm.v, IFERROR(INDEX('3. Enter Indicator Scores'!$D$10:$CZ$161,_xlpm.r,_xlpm.c),""),
  IF(OR(_xlpm.w="",_xlpm.v=""),"",_xlpm.v*_xlpm.w)
)</f>
        <v/>
      </c>
      <c r="AO142" s="93" t="str" cm="1">
        <f t="array" ref="AO142">_xlfn.LET(
  _xlpm.w, AO$11,
  _xlpm.r, MATCH(1,('3. Enter Indicator Scores'!$B$10:$B$161=$B142)*('3. Enter Indicator Scores'!$C$10:$C$161=$C142),0),
  _xlpm.c, MATCH(AO$8,'3. Enter Indicator Scores'!$D$8:$CZ$8,0),
  _xlpm.v, IFERROR(INDEX('3. Enter Indicator Scores'!$D$10:$CZ$161,_xlpm.r,_xlpm.c),""),
  IF(OR(_xlpm.w="",_xlpm.v=""),"",_xlpm.v*_xlpm.w)
)</f>
        <v/>
      </c>
      <c r="AP142" s="93" t="str" cm="1">
        <f t="array" ref="AP142">_xlfn.LET(
  _xlpm.w, AP$11,
  _xlpm.r, MATCH(1,('3. Enter Indicator Scores'!$B$10:$B$161=$B142)*('3. Enter Indicator Scores'!$C$10:$C$161=$C142),0),
  _xlpm.c, MATCH(AP$8,'3. Enter Indicator Scores'!$D$8:$CZ$8,0),
  _xlpm.v, IFERROR(INDEX('3. Enter Indicator Scores'!$D$10:$CZ$161,_xlpm.r,_xlpm.c),""),
  IF(OR(_xlpm.w="",_xlpm.v=""),"",_xlpm.v*_xlpm.w)
)</f>
        <v/>
      </c>
      <c r="AQ142" s="93" t="str" cm="1">
        <f t="array" ref="AQ142">_xlfn.LET(
  _xlpm.w, AQ$11,
  _xlpm.r, MATCH(1,('3. Enter Indicator Scores'!$B$10:$B$161=$B142)*('3. Enter Indicator Scores'!$C$10:$C$161=$C142),0),
  _xlpm.c, MATCH(AQ$8,'3. Enter Indicator Scores'!$D$8:$CZ$8,0),
  _xlpm.v, IFERROR(INDEX('3. Enter Indicator Scores'!$D$10:$CZ$161,_xlpm.r,_xlpm.c),""),
  IF(OR(_xlpm.w="",_xlpm.v=""),"",_xlpm.v*_xlpm.w)
)</f>
        <v/>
      </c>
      <c r="AR142" s="93" t="str" cm="1">
        <f t="array" ref="AR142">_xlfn.LET(
  _xlpm.w, AR$11,
  _xlpm.r, MATCH(1,('3. Enter Indicator Scores'!$B$10:$B$161=$B142)*('3. Enter Indicator Scores'!$C$10:$C$161=$C142),0),
  _xlpm.c, MATCH(AR$8,'3. Enter Indicator Scores'!$D$8:$CZ$8,0),
  _xlpm.v, IFERROR(INDEX('3. Enter Indicator Scores'!$D$10:$CZ$161,_xlpm.r,_xlpm.c),""),
  IF(OR(_xlpm.w="",_xlpm.v=""),"",_xlpm.v*_xlpm.w)
)</f>
        <v/>
      </c>
      <c r="AS142" s="93" t="str" cm="1">
        <f t="array" ref="AS142">_xlfn.LET(
  _xlpm.w, AS$11,
  _xlpm.r, MATCH(1,('3. Enter Indicator Scores'!$B$10:$B$161=$B142)*('3. Enter Indicator Scores'!$C$10:$C$161=$C142),0),
  _xlpm.c, MATCH(AS$8,'3. Enter Indicator Scores'!$D$8:$CZ$8,0),
  _xlpm.v, IFERROR(INDEX('3. Enter Indicator Scores'!$D$10:$CZ$161,_xlpm.r,_xlpm.c),""),
  IF(OR(_xlpm.w="",_xlpm.v=""),"",_xlpm.v*_xlpm.w)
)</f>
        <v/>
      </c>
      <c r="AT142" s="93" t="str" cm="1">
        <f t="array" ref="AT142">_xlfn.LET(
  _xlpm.w, AT$11,
  _xlpm.r, MATCH(1,('3. Enter Indicator Scores'!$B$10:$B$161=$B142)*('3. Enter Indicator Scores'!$C$10:$C$161=$C142),0),
  _xlpm.c, MATCH(AT$8,'3. Enter Indicator Scores'!$D$8:$CZ$8,0),
  _xlpm.v, IFERROR(INDEX('3. Enter Indicator Scores'!$D$10:$CZ$161,_xlpm.r,_xlpm.c),""),
  IF(OR(_xlpm.w="",_xlpm.v=""),"",_xlpm.v*_xlpm.w)
)</f>
        <v/>
      </c>
      <c r="AU142" s="93" t="str" cm="1">
        <f t="array" ref="AU142">_xlfn.LET(
  _xlpm.w, AU$11,
  _xlpm.r, MATCH(1,('3. Enter Indicator Scores'!$B$10:$B$161=$B142)*('3. Enter Indicator Scores'!$C$10:$C$161=$C142),0),
  _xlpm.c, MATCH(AU$8,'3. Enter Indicator Scores'!$D$8:$CZ$8,0),
  _xlpm.v, IFERROR(INDEX('3. Enter Indicator Scores'!$D$10:$CZ$161,_xlpm.r,_xlpm.c),""),
  IF(OR(_xlpm.w="",_xlpm.v=""),"",_xlpm.v*_xlpm.w)
)</f>
        <v/>
      </c>
      <c r="AV142" s="93" t="str" cm="1">
        <f t="array" ref="AV142">_xlfn.LET(
  _xlpm.w, AV$11,
  _xlpm.r, MATCH(1,('3. Enter Indicator Scores'!$B$10:$B$161=$B142)*('3. Enter Indicator Scores'!$C$10:$C$161=$C142),0),
  _xlpm.c, MATCH(AV$8,'3. Enter Indicator Scores'!$D$8:$CZ$8,0),
  _xlpm.v, IFERROR(INDEX('3. Enter Indicator Scores'!$D$10:$CZ$161,_xlpm.r,_xlpm.c),""),
  IF(OR(_xlpm.w="",_xlpm.v=""),"",_xlpm.v*_xlpm.w)
)</f>
        <v/>
      </c>
      <c r="AW142" s="93" t="str" cm="1">
        <f t="array" ref="AW142">_xlfn.LET(
  _xlpm.w, AW$11,
  _xlpm.r, MATCH(1,('3. Enter Indicator Scores'!$B$10:$B$161=$B142)*('3. Enter Indicator Scores'!$C$10:$C$161=$C142),0),
  _xlpm.c, MATCH(AW$8,'3. Enter Indicator Scores'!$D$8:$CZ$8,0),
  _xlpm.v, IFERROR(INDEX('3. Enter Indicator Scores'!$D$10:$CZ$161,_xlpm.r,_xlpm.c),""),
  IF(OR(_xlpm.w="",_xlpm.v=""),"",_xlpm.v*_xlpm.w)
)</f>
        <v/>
      </c>
      <c r="AX142" s="93" t="str" cm="1">
        <f t="array" ref="AX142">_xlfn.LET(
  _xlpm.w, AX$11,
  _xlpm.r, MATCH(1,('3. Enter Indicator Scores'!$B$10:$B$161=$B142)*('3. Enter Indicator Scores'!$C$10:$C$161=$C142),0),
  _xlpm.c, MATCH(AX$8,'3. Enter Indicator Scores'!$D$8:$CZ$8,0),
  _xlpm.v, IFERROR(INDEX('3. Enter Indicator Scores'!$D$10:$CZ$161,_xlpm.r,_xlpm.c),""),
  IF(OR(_xlpm.w="",_xlpm.v=""),"",_xlpm.v*_xlpm.w)
)</f>
        <v/>
      </c>
      <c r="AY142" s="93" t="str" cm="1">
        <f t="array" ref="AY142">_xlfn.LET(
  _xlpm.w, AY$11,
  _xlpm.r, MATCH(1,('3. Enter Indicator Scores'!$B$10:$B$161=$B142)*('3. Enter Indicator Scores'!$C$10:$C$161=$C142),0),
  _xlpm.c, MATCH(AY$8,'3. Enter Indicator Scores'!$D$8:$CZ$8,0),
  _xlpm.v, IFERROR(INDEX('3. Enter Indicator Scores'!$D$10:$CZ$161,_xlpm.r,_xlpm.c),""),
  IF(OR(_xlpm.w="",_xlpm.v=""),"",_xlpm.v*_xlpm.w)
)</f>
        <v/>
      </c>
      <c r="AZ142" s="93" t="str" cm="1">
        <f t="array" ref="AZ142">_xlfn.LET(
  _xlpm.w, AZ$11,
  _xlpm.r, MATCH(1,('3. Enter Indicator Scores'!$B$10:$B$161=$B142)*('3. Enter Indicator Scores'!$C$10:$C$161=$C142),0),
  _xlpm.c, MATCH(AZ$8,'3. Enter Indicator Scores'!$D$8:$CZ$8,0),
  _xlpm.v, IFERROR(INDEX('3. Enter Indicator Scores'!$D$10:$CZ$161,_xlpm.r,_xlpm.c),""),
  IF(OR(_xlpm.w="",_xlpm.v=""),"",_xlpm.v*_xlpm.w)
)</f>
        <v/>
      </c>
      <c r="BA142" s="93" t="str" cm="1">
        <f t="array" ref="BA142">_xlfn.LET(
  _xlpm.w, BA$11,
  _xlpm.r, MATCH(1,('3. Enter Indicator Scores'!$B$10:$B$161=$B142)*('3. Enter Indicator Scores'!$C$10:$C$161=$C142),0),
  _xlpm.c, MATCH(BA$8,'3. Enter Indicator Scores'!$D$8:$CZ$8,0),
  _xlpm.v, IFERROR(INDEX('3. Enter Indicator Scores'!$D$10:$CZ$161,_xlpm.r,_xlpm.c),""),
  IF(OR(_xlpm.w="",_xlpm.v=""),"",_xlpm.v*_xlpm.w)
)</f>
        <v/>
      </c>
      <c r="BB142" s="93" t="str" cm="1">
        <f t="array" ref="BB142">_xlfn.LET(
  _xlpm.w, BB$11,
  _xlpm.r, MATCH(1,('3. Enter Indicator Scores'!$B$10:$B$161=$B142)*('3. Enter Indicator Scores'!$C$10:$C$161=$C142),0),
  _xlpm.c, MATCH(BB$8,'3. Enter Indicator Scores'!$D$8:$CZ$8,0),
  _xlpm.v, IFERROR(INDEX('3. Enter Indicator Scores'!$D$10:$CZ$161,_xlpm.r,_xlpm.c),""),
  IF(OR(_xlpm.w="",_xlpm.v=""),"",_xlpm.v*_xlpm.w)
)</f>
        <v/>
      </c>
      <c r="BC142" s="93" t="str" cm="1">
        <f t="array" ref="BC142">_xlfn.LET(
  _xlpm.w, BC$11,
  _xlpm.r, MATCH(1,('3. Enter Indicator Scores'!$B$10:$B$161=$B142)*('3. Enter Indicator Scores'!$C$10:$C$161=$C142),0),
  _xlpm.c, MATCH(BC$8,'3. Enter Indicator Scores'!$D$8:$CZ$8,0),
  _xlpm.v, IFERROR(INDEX('3. Enter Indicator Scores'!$D$10:$CZ$161,_xlpm.r,_xlpm.c),""),
  IF(OR(_xlpm.w="",_xlpm.v=""),"",_xlpm.v*_xlpm.w)
)</f>
        <v/>
      </c>
      <c r="BD142" s="93" t="str" cm="1">
        <f t="array" ref="BD142">_xlfn.LET(
  _xlpm.w, BD$11,
  _xlpm.r, MATCH(1,('3. Enter Indicator Scores'!$B$10:$B$161=$B142)*('3. Enter Indicator Scores'!$C$10:$C$161=$C142),0),
  _xlpm.c, MATCH(BD$8,'3. Enter Indicator Scores'!$D$8:$CZ$8,0),
  _xlpm.v, IFERROR(INDEX('3. Enter Indicator Scores'!$D$10:$CZ$161,_xlpm.r,_xlpm.c),""),
  IF(OR(_xlpm.w="",_xlpm.v=""),"",_xlpm.v*_xlpm.w)
)</f>
        <v/>
      </c>
      <c r="BE142" s="93" t="str" cm="1">
        <f t="array" ref="BE142">_xlfn.LET(
  _xlpm.w, BE$11,
  _xlpm.r, MATCH(1,('3. Enter Indicator Scores'!$B$10:$B$161=$B142)*('3. Enter Indicator Scores'!$C$10:$C$161=$C142),0),
  _xlpm.c, MATCH(BE$8,'3. Enter Indicator Scores'!$D$8:$CZ$8,0),
  _xlpm.v, IFERROR(INDEX('3. Enter Indicator Scores'!$D$10:$CZ$161,_xlpm.r,_xlpm.c),""),
  IF(OR(_xlpm.w="",_xlpm.v=""),"",_xlpm.v*_xlpm.w)
)</f>
        <v/>
      </c>
      <c r="BF142" s="93" t="str" cm="1">
        <f t="array" ref="BF142">_xlfn.LET(
  _xlpm.w, BF$11,
  _xlpm.r, MATCH(1,('3. Enter Indicator Scores'!$B$10:$B$161=$B142)*('3. Enter Indicator Scores'!$C$10:$C$161=$C142),0),
  _xlpm.c, MATCH(BF$8,'3. Enter Indicator Scores'!$D$8:$CZ$8,0),
  _xlpm.v, IFERROR(INDEX('3. Enter Indicator Scores'!$D$10:$CZ$161,_xlpm.r,_xlpm.c),""),
  IF(OR(_xlpm.w="",_xlpm.v=""),"",_xlpm.v*_xlpm.w)
)</f>
        <v/>
      </c>
      <c r="BG142" s="93" t="str" cm="1">
        <f t="array" ref="BG142">_xlfn.LET(
  _xlpm.w, BG$11,
  _xlpm.r, MATCH(1,('3. Enter Indicator Scores'!$B$10:$B$161=$B142)*('3. Enter Indicator Scores'!$C$10:$C$161=$C142),0),
  _xlpm.c, MATCH(BG$8,'3. Enter Indicator Scores'!$D$8:$CZ$8,0),
  _xlpm.v, IFERROR(INDEX('3. Enter Indicator Scores'!$D$10:$CZ$161,_xlpm.r,_xlpm.c),""),
  IF(OR(_xlpm.w="",_xlpm.v=""),"",_xlpm.v*_xlpm.w)
)</f>
        <v/>
      </c>
      <c r="BH142" s="93" t="str" cm="1">
        <f t="array" ref="BH142">_xlfn.LET(
  _xlpm.w, BH$11,
  _xlpm.r, MATCH(1,('3. Enter Indicator Scores'!$B$10:$B$161=$B142)*('3. Enter Indicator Scores'!$C$10:$C$161=$C142),0),
  _xlpm.c, MATCH(BH$8,'3. Enter Indicator Scores'!$D$8:$CZ$8,0),
  _xlpm.v, IFERROR(INDEX('3. Enter Indicator Scores'!$D$10:$CZ$161,_xlpm.r,_xlpm.c),""),
  IF(OR(_xlpm.w="",_xlpm.v=""),"",_xlpm.v*_xlpm.w)
)</f>
        <v/>
      </c>
      <c r="BI142" s="93" t="str" cm="1">
        <f t="array" ref="BI142">_xlfn.LET(
  _xlpm.w, BI$11,
  _xlpm.r, MATCH(1,('3. Enter Indicator Scores'!$B$10:$B$161=$B142)*('3. Enter Indicator Scores'!$C$10:$C$161=$C142),0),
  _xlpm.c, MATCH(BI$8,'3. Enter Indicator Scores'!$D$8:$CZ$8,0),
  _xlpm.v, IFERROR(INDEX('3. Enter Indicator Scores'!$D$10:$CZ$161,_xlpm.r,_xlpm.c),""),
  IF(OR(_xlpm.w="",_xlpm.v=""),"",_xlpm.v*_xlpm.w)
)</f>
        <v/>
      </c>
      <c r="BJ142" s="93" t="str" cm="1">
        <f t="array" ref="BJ142">_xlfn.LET(
  _xlpm.w, BJ$11,
  _xlpm.r, MATCH(1,('3. Enter Indicator Scores'!$B$10:$B$161=$B142)*('3. Enter Indicator Scores'!$C$10:$C$161=$C142),0),
  _xlpm.c, MATCH(BJ$8,'3. Enter Indicator Scores'!$D$8:$CZ$8,0),
  _xlpm.v, IFERROR(INDEX('3. Enter Indicator Scores'!$D$10:$CZ$161,_xlpm.r,_xlpm.c),""),
  IF(OR(_xlpm.w="",_xlpm.v=""),"",_xlpm.v*_xlpm.w)
)</f>
        <v/>
      </c>
      <c r="BK142" s="93" t="str" cm="1">
        <f t="array" ref="BK142">_xlfn.LET(
  _xlpm.w, BK$11,
  _xlpm.r, MATCH(1,('3. Enter Indicator Scores'!$B$10:$B$161=$B142)*('3. Enter Indicator Scores'!$C$10:$C$161=$C142),0),
  _xlpm.c, MATCH(BK$8,'3. Enter Indicator Scores'!$D$8:$CZ$8,0),
  _xlpm.v, IFERROR(INDEX('3. Enter Indicator Scores'!$D$10:$CZ$161,_xlpm.r,_xlpm.c),""),
  IF(OR(_xlpm.w="",_xlpm.v=""),"",_xlpm.v*_xlpm.w)
)</f>
        <v/>
      </c>
      <c r="BL142" s="93" t="str" cm="1">
        <f t="array" ref="BL142">_xlfn.LET(
  _xlpm.w, BL$11,
  _xlpm.r, MATCH(1,('3. Enter Indicator Scores'!$B$10:$B$161=$B142)*('3. Enter Indicator Scores'!$C$10:$C$161=$C142),0),
  _xlpm.c, MATCH(BL$8,'3. Enter Indicator Scores'!$D$8:$CZ$8,0),
  _xlpm.v, IFERROR(INDEX('3. Enter Indicator Scores'!$D$10:$CZ$161,_xlpm.r,_xlpm.c),""),
  IF(OR(_xlpm.w="",_xlpm.v=""),"",_xlpm.v*_xlpm.w)
)</f>
        <v/>
      </c>
      <c r="BM142" s="93" t="str" cm="1">
        <f t="array" ref="BM142">_xlfn.LET(
  _xlpm.w, BM$11,
  _xlpm.r, MATCH(1,('3. Enter Indicator Scores'!$B$10:$B$161=$B142)*('3. Enter Indicator Scores'!$C$10:$C$161=$C142),0),
  _xlpm.c, MATCH(BM$8,'3. Enter Indicator Scores'!$D$8:$CZ$8,0),
  _xlpm.v, IFERROR(INDEX('3. Enter Indicator Scores'!$D$10:$CZ$161,_xlpm.r,_xlpm.c),""),
  IF(OR(_xlpm.w="",_xlpm.v=""),"",_xlpm.v*_xlpm.w)
)</f>
        <v/>
      </c>
      <c r="BN142" s="93" t="str" cm="1">
        <f t="array" ref="BN142">_xlfn.LET(
  _xlpm.w, BN$11,
  _xlpm.r, MATCH(1,('3. Enter Indicator Scores'!$B$10:$B$161=$B142)*('3. Enter Indicator Scores'!$C$10:$C$161=$C142),0),
  _xlpm.c, MATCH(BN$8,'3. Enter Indicator Scores'!$D$8:$CZ$8,0),
  _xlpm.v, IFERROR(INDEX('3. Enter Indicator Scores'!$D$10:$CZ$161,_xlpm.r,_xlpm.c),""),
  IF(OR(_xlpm.w="",_xlpm.v=""),"",_xlpm.v*_xlpm.w)
)</f>
        <v/>
      </c>
      <c r="BO142" s="93" t="str" cm="1">
        <f t="array" ref="BO142">_xlfn.LET(
  _xlpm.w, BO$11,
  _xlpm.r, MATCH(1,('3. Enter Indicator Scores'!$B$10:$B$161=$B142)*('3. Enter Indicator Scores'!$C$10:$C$161=$C142),0),
  _xlpm.c, MATCH(BO$8,'3. Enter Indicator Scores'!$D$8:$CZ$8,0),
  _xlpm.v, IFERROR(INDEX('3. Enter Indicator Scores'!$D$10:$CZ$161,_xlpm.r,_xlpm.c),""),
  IF(OR(_xlpm.w="",_xlpm.v=""),"",_xlpm.v*_xlpm.w)
)</f>
        <v/>
      </c>
      <c r="BP142" s="93" t="str" cm="1">
        <f t="array" ref="BP142">_xlfn.LET(
  _xlpm.w, BP$11,
  _xlpm.r, MATCH(1,('3. Enter Indicator Scores'!$B$10:$B$161=$B142)*('3. Enter Indicator Scores'!$C$10:$C$161=$C142),0),
  _xlpm.c, MATCH(BP$8,'3. Enter Indicator Scores'!$D$8:$CZ$8,0),
  _xlpm.v, IFERROR(INDEX('3. Enter Indicator Scores'!$D$10:$CZ$161,_xlpm.r,_xlpm.c),""),
  IF(OR(_xlpm.w="",_xlpm.v=""),"",_xlpm.v*_xlpm.w)
)</f>
        <v/>
      </c>
      <c r="BQ142" s="93" t="str" cm="1">
        <f t="array" ref="BQ142">_xlfn.LET(
  _xlpm.w, BQ$11,
  _xlpm.r, MATCH(1,('3. Enter Indicator Scores'!$B$10:$B$161=$B142)*('3. Enter Indicator Scores'!$C$10:$C$161=$C142),0),
  _xlpm.c, MATCH(BQ$8,'3. Enter Indicator Scores'!$D$8:$CZ$8,0),
  _xlpm.v, IFERROR(INDEX('3. Enter Indicator Scores'!$D$10:$CZ$161,_xlpm.r,_xlpm.c),""),
  IF(OR(_xlpm.w="",_xlpm.v=""),"",_xlpm.v*_xlpm.w)
)</f>
        <v/>
      </c>
      <c r="BR142" s="93" t="str" cm="1">
        <f t="array" ref="BR142">_xlfn.LET(
  _xlpm.w, BR$11,
  _xlpm.r, MATCH(1,('3. Enter Indicator Scores'!$B$10:$B$161=$B142)*('3. Enter Indicator Scores'!$C$10:$C$161=$C142),0),
  _xlpm.c, MATCH(BR$8,'3. Enter Indicator Scores'!$D$8:$CZ$8,0),
  _xlpm.v, IFERROR(INDEX('3. Enter Indicator Scores'!$D$10:$CZ$161,_xlpm.r,_xlpm.c),""),
  IF(OR(_xlpm.w="",_xlpm.v=""),"",_xlpm.v*_xlpm.w)
)</f>
        <v/>
      </c>
      <c r="BS142" s="93" t="str" cm="1">
        <f t="array" ref="BS142">_xlfn.LET(
  _xlpm.w, BS$11,
  _xlpm.r, MATCH(1,('3. Enter Indicator Scores'!$B$10:$B$161=$B142)*('3. Enter Indicator Scores'!$C$10:$C$161=$C142),0),
  _xlpm.c, MATCH(BS$8,'3. Enter Indicator Scores'!$D$8:$CZ$8,0),
  _xlpm.v, IFERROR(INDEX('3. Enter Indicator Scores'!$D$10:$CZ$161,_xlpm.r,_xlpm.c),""),
  IF(OR(_xlpm.w="",_xlpm.v=""),"",_xlpm.v*_xlpm.w)
)</f>
        <v/>
      </c>
      <c r="BT142" s="93" t="str" cm="1">
        <f t="array" ref="BT142">_xlfn.LET(
  _xlpm.w, BT$11,
  _xlpm.r, MATCH(1,('3. Enter Indicator Scores'!$B$10:$B$161=$B142)*('3. Enter Indicator Scores'!$C$10:$C$161=$C142),0),
  _xlpm.c, MATCH(BT$8,'3. Enter Indicator Scores'!$D$8:$CZ$8,0),
  _xlpm.v, IFERROR(INDEX('3. Enter Indicator Scores'!$D$10:$CZ$161,_xlpm.r,_xlpm.c),""),
  IF(OR(_xlpm.w="",_xlpm.v=""),"",_xlpm.v*_xlpm.w)
)</f>
        <v/>
      </c>
      <c r="BU142" s="93" t="str" cm="1">
        <f t="array" ref="BU142">_xlfn.LET(
  _xlpm.w, BU$11,
  _xlpm.r, MATCH(1,('3. Enter Indicator Scores'!$B$10:$B$161=$B142)*('3. Enter Indicator Scores'!$C$10:$C$161=$C142),0),
  _xlpm.c, MATCH(BU$8,'3. Enter Indicator Scores'!$D$8:$CZ$8,0),
  _xlpm.v, IFERROR(INDEX('3. Enter Indicator Scores'!$D$10:$CZ$161,_xlpm.r,_xlpm.c),""),
  IF(OR(_xlpm.w="",_xlpm.v=""),"",_xlpm.v*_xlpm.w)
)</f>
        <v/>
      </c>
      <c r="BV142" s="93" t="str" cm="1">
        <f t="array" ref="BV142">_xlfn.LET(
  _xlpm.w, BV$11,
  _xlpm.r, MATCH(1,('3. Enter Indicator Scores'!$B$10:$B$161=$B142)*('3. Enter Indicator Scores'!$C$10:$C$161=$C142),0),
  _xlpm.c, MATCH(BV$8,'3. Enter Indicator Scores'!$D$8:$CZ$8,0),
  _xlpm.v, IFERROR(INDEX('3. Enter Indicator Scores'!$D$10:$CZ$161,_xlpm.r,_xlpm.c),""),
  IF(OR(_xlpm.w="",_xlpm.v=""),"",_xlpm.v*_xlpm.w)
)</f>
        <v/>
      </c>
      <c r="BW142" s="93" t="str" cm="1">
        <f t="array" ref="BW142">_xlfn.LET(
  _xlpm.w, BW$11,
  _xlpm.r, MATCH(1,('3. Enter Indicator Scores'!$B$10:$B$161=$B142)*('3. Enter Indicator Scores'!$C$10:$C$161=$C142),0),
  _xlpm.c, MATCH(BW$8,'3. Enter Indicator Scores'!$D$8:$CZ$8,0),
  _xlpm.v, IFERROR(INDEX('3. Enter Indicator Scores'!$D$10:$CZ$161,_xlpm.r,_xlpm.c),""),
  IF(OR(_xlpm.w="",_xlpm.v=""),"",_xlpm.v*_xlpm.w)
)</f>
        <v/>
      </c>
      <c r="BX142" s="93" t="str" cm="1">
        <f t="array" ref="BX142">_xlfn.LET(
  _xlpm.w, BX$11,
  _xlpm.r, MATCH(1,('3. Enter Indicator Scores'!$B$10:$B$161=$B142)*('3. Enter Indicator Scores'!$C$10:$C$161=$C142),0),
  _xlpm.c, MATCH(BX$8,'3. Enter Indicator Scores'!$D$8:$CZ$8,0),
  _xlpm.v, IFERROR(INDEX('3. Enter Indicator Scores'!$D$10:$CZ$161,_xlpm.r,_xlpm.c),""),
  IF(OR(_xlpm.w="",_xlpm.v=""),"",_xlpm.v*_xlpm.w)
)</f>
        <v/>
      </c>
      <c r="BY142" s="93" t="str" cm="1">
        <f t="array" ref="BY142">_xlfn.LET(
  _xlpm.w, BY$11,
  _xlpm.r, MATCH(1,('3. Enter Indicator Scores'!$B$10:$B$161=$B142)*('3. Enter Indicator Scores'!$C$10:$C$161=$C142),0),
  _xlpm.c, MATCH(BY$8,'3. Enter Indicator Scores'!$D$8:$CZ$8,0),
  _xlpm.v, IFERROR(INDEX('3. Enter Indicator Scores'!$D$10:$CZ$161,_xlpm.r,_xlpm.c),""),
  IF(OR(_xlpm.w="",_xlpm.v=""),"",_xlpm.v*_xlpm.w)
)</f>
        <v/>
      </c>
      <c r="BZ142" s="93" t="str" cm="1">
        <f t="array" ref="BZ142">_xlfn.LET(
  _xlpm.w, BZ$11,
  _xlpm.r, MATCH(1,('3. Enter Indicator Scores'!$B$10:$B$161=$B142)*('3. Enter Indicator Scores'!$C$10:$C$161=$C142),0),
  _xlpm.c, MATCH(BZ$8,'3. Enter Indicator Scores'!$D$8:$CZ$8,0),
  _xlpm.v, IFERROR(INDEX('3. Enter Indicator Scores'!$D$10:$CZ$161,_xlpm.r,_xlpm.c),""),
  IF(OR(_xlpm.w="",_xlpm.v=""),"",_xlpm.v*_xlpm.w)
)</f>
        <v/>
      </c>
      <c r="CA142" s="93" t="str" cm="1">
        <f t="array" ref="CA142">_xlfn.LET(
  _xlpm.w, CA$11,
  _xlpm.r, MATCH(1,('3. Enter Indicator Scores'!$B$10:$B$161=$B142)*('3. Enter Indicator Scores'!$C$10:$C$161=$C142),0),
  _xlpm.c, MATCH(CA$8,'3. Enter Indicator Scores'!$D$8:$CZ$8,0),
  _xlpm.v, IFERROR(INDEX('3. Enter Indicator Scores'!$D$10:$CZ$161,_xlpm.r,_xlpm.c),""),
  IF(OR(_xlpm.w="",_xlpm.v=""),"",_xlpm.v*_xlpm.w)
)</f>
        <v/>
      </c>
      <c r="CB142" s="93" t="str" cm="1">
        <f t="array" ref="CB142">_xlfn.LET(
  _xlpm.w, CB$11,
  _xlpm.r, MATCH(1,('3. Enter Indicator Scores'!$B$10:$B$161=$B142)*('3. Enter Indicator Scores'!$C$10:$C$161=$C142),0),
  _xlpm.c, MATCH(CB$8,'3. Enter Indicator Scores'!$D$8:$CZ$8,0),
  _xlpm.v, IFERROR(INDEX('3. Enter Indicator Scores'!$D$10:$CZ$161,_xlpm.r,_xlpm.c),""),
  IF(OR(_xlpm.w="",_xlpm.v=""),"",_xlpm.v*_xlpm.w)
)</f>
        <v/>
      </c>
      <c r="CC142" s="93" t="str" cm="1">
        <f t="array" ref="CC142">_xlfn.LET(
  _xlpm.w, CC$11,
  _xlpm.r, MATCH(1,('3. Enter Indicator Scores'!$B$10:$B$161=$B142)*('3. Enter Indicator Scores'!$C$10:$C$161=$C142),0),
  _xlpm.c, MATCH(CC$8,'3. Enter Indicator Scores'!$D$8:$CZ$8,0),
  _xlpm.v, IFERROR(INDEX('3. Enter Indicator Scores'!$D$10:$CZ$161,_xlpm.r,_xlpm.c),""),
  IF(OR(_xlpm.w="",_xlpm.v=""),"",_xlpm.v*_xlpm.w)
)</f>
        <v/>
      </c>
      <c r="CD142" s="93" t="str" cm="1">
        <f t="array" ref="CD142">_xlfn.LET(
  _xlpm.w, CD$11,
  _xlpm.r, MATCH(1,('3. Enter Indicator Scores'!$B$10:$B$161=$B142)*('3. Enter Indicator Scores'!$C$10:$C$161=$C142),0),
  _xlpm.c, MATCH(CD$8,'3. Enter Indicator Scores'!$D$8:$CZ$8,0),
  _xlpm.v, IFERROR(INDEX('3. Enter Indicator Scores'!$D$10:$CZ$161,_xlpm.r,_xlpm.c),""),
  IF(OR(_xlpm.w="",_xlpm.v=""),"",_xlpm.v*_xlpm.w)
)</f>
        <v/>
      </c>
      <c r="CE142" s="93" t="str" cm="1">
        <f t="array" ref="CE142">_xlfn.LET(
  _xlpm.w, CE$11,
  _xlpm.r, MATCH(1,('3. Enter Indicator Scores'!$B$10:$B$161=$B142)*('3. Enter Indicator Scores'!$C$10:$C$161=$C142),0),
  _xlpm.c, MATCH(CE$8,'3. Enter Indicator Scores'!$D$8:$CZ$8,0),
  _xlpm.v, IFERROR(INDEX('3. Enter Indicator Scores'!$D$10:$CZ$161,_xlpm.r,_xlpm.c),""),
  IF(OR(_xlpm.w="",_xlpm.v=""),"",_xlpm.v*_xlpm.w)
)</f>
        <v/>
      </c>
      <c r="CF142" s="93" t="str" cm="1">
        <f t="array" ref="CF142">_xlfn.LET(
  _xlpm.w, CF$11,
  _xlpm.r, MATCH(1,('3. Enter Indicator Scores'!$B$10:$B$161=$B142)*('3. Enter Indicator Scores'!$C$10:$C$161=$C142),0),
  _xlpm.c, MATCH(CF$8,'3. Enter Indicator Scores'!$D$8:$CZ$8,0),
  _xlpm.v, IFERROR(INDEX('3. Enter Indicator Scores'!$D$10:$CZ$161,_xlpm.r,_xlpm.c),""),
  IF(OR(_xlpm.w="",_xlpm.v=""),"",_xlpm.v*_xlpm.w)
)</f>
        <v/>
      </c>
      <c r="CG142" s="93" t="str" cm="1">
        <f t="array" ref="CG142">_xlfn.LET(
  _xlpm.w, CG$11,
  _xlpm.r, MATCH(1,('3. Enter Indicator Scores'!$B$10:$B$161=$B142)*('3. Enter Indicator Scores'!$C$10:$C$161=$C142),0),
  _xlpm.c, MATCH(CG$8,'3. Enter Indicator Scores'!$D$8:$CZ$8,0),
  _xlpm.v, IFERROR(INDEX('3. Enter Indicator Scores'!$D$10:$CZ$161,_xlpm.r,_xlpm.c),""),
  IF(OR(_xlpm.w="",_xlpm.v=""),"",_xlpm.v*_xlpm.w)
)</f>
        <v/>
      </c>
      <c r="CH142" s="93" t="str" cm="1">
        <f t="array" ref="CH142">_xlfn.LET(
  _xlpm.w, CH$11,
  _xlpm.r, MATCH(1,('3. Enter Indicator Scores'!$B$10:$B$161=$B142)*('3. Enter Indicator Scores'!$C$10:$C$161=$C142),0),
  _xlpm.c, MATCH(CH$8,'3. Enter Indicator Scores'!$D$8:$CZ$8,0),
  _xlpm.v, IFERROR(INDEX('3. Enter Indicator Scores'!$D$10:$CZ$161,_xlpm.r,_xlpm.c),""),
  IF(OR(_xlpm.w="",_xlpm.v=""),"",_xlpm.v*_xlpm.w)
)</f>
        <v/>
      </c>
      <c r="CI142" s="93" t="str" cm="1">
        <f t="array" ref="CI142">_xlfn.LET(
  _xlpm.w, CI$11,
  _xlpm.r, MATCH(1,('3. Enter Indicator Scores'!$B$10:$B$161=$B142)*('3. Enter Indicator Scores'!$C$10:$C$161=$C142),0),
  _xlpm.c, MATCH(CI$8,'3. Enter Indicator Scores'!$D$8:$CZ$8,0),
  _xlpm.v, IFERROR(INDEX('3. Enter Indicator Scores'!$D$10:$CZ$161,_xlpm.r,_xlpm.c),""),
  IF(OR(_xlpm.w="",_xlpm.v=""),"",_xlpm.v*_xlpm.w)
)</f>
        <v/>
      </c>
      <c r="CJ142" s="93" t="str" cm="1">
        <f t="array" ref="CJ142">_xlfn.LET(
  _xlpm.w, CJ$11,
  _xlpm.r, MATCH(1,('3. Enter Indicator Scores'!$B$10:$B$161=$B142)*('3. Enter Indicator Scores'!$C$10:$C$161=$C142),0),
  _xlpm.c, MATCH(CJ$8,'3. Enter Indicator Scores'!$D$8:$CZ$8,0),
  _xlpm.v, IFERROR(INDEX('3. Enter Indicator Scores'!$D$10:$CZ$161,_xlpm.r,_xlpm.c),""),
  IF(OR(_xlpm.w="",_xlpm.v=""),"",_xlpm.v*_xlpm.w)
)</f>
        <v/>
      </c>
      <c r="CK142" s="93" t="str" cm="1">
        <f t="array" ref="CK142">_xlfn.LET(
  _xlpm.w, CK$11,
  _xlpm.r, MATCH(1,('3. Enter Indicator Scores'!$B$10:$B$161=$B142)*('3. Enter Indicator Scores'!$C$10:$C$161=$C142),0),
  _xlpm.c, MATCH(CK$8,'3. Enter Indicator Scores'!$D$8:$CZ$8,0),
  _xlpm.v, IFERROR(INDEX('3. Enter Indicator Scores'!$D$10:$CZ$161,_xlpm.r,_xlpm.c),""),
  IF(OR(_xlpm.w="",_xlpm.v=""),"",_xlpm.v*_xlpm.w)
)</f>
        <v/>
      </c>
      <c r="CL142" s="93" t="str" cm="1">
        <f t="array" ref="CL142">_xlfn.LET(
  _xlpm.w, CL$11,
  _xlpm.r, MATCH(1,('3. Enter Indicator Scores'!$B$10:$B$161=$B142)*('3. Enter Indicator Scores'!$C$10:$C$161=$C142),0),
  _xlpm.c, MATCH(CL$8,'3. Enter Indicator Scores'!$D$8:$CZ$8,0),
  _xlpm.v, IFERROR(INDEX('3. Enter Indicator Scores'!$D$10:$CZ$161,_xlpm.r,_xlpm.c),""),
  IF(OR(_xlpm.w="",_xlpm.v=""),"",_xlpm.v*_xlpm.w)
)</f>
        <v/>
      </c>
      <c r="CM142" s="93" t="str" cm="1">
        <f t="array" ref="CM142">_xlfn.LET(
  _xlpm.w, CM$11,
  _xlpm.r, MATCH(1,('3. Enter Indicator Scores'!$B$10:$B$161=$B142)*('3. Enter Indicator Scores'!$C$10:$C$161=$C142),0),
  _xlpm.c, MATCH(CM$8,'3. Enter Indicator Scores'!$D$8:$CZ$8,0),
  _xlpm.v, IFERROR(INDEX('3. Enter Indicator Scores'!$D$10:$CZ$161,_xlpm.r,_xlpm.c),""),
  IF(OR(_xlpm.w="",_xlpm.v=""),"",_xlpm.v*_xlpm.w)
)</f>
        <v/>
      </c>
      <c r="CN142" s="93" t="str" cm="1">
        <f t="array" ref="CN142">_xlfn.LET(
  _xlpm.w, CN$11,
  _xlpm.r, MATCH(1,('3. Enter Indicator Scores'!$B$10:$B$161=$B142)*('3. Enter Indicator Scores'!$C$10:$C$161=$C142),0),
  _xlpm.c, MATCH(CN$8,'3. Enter Indicator Scores'!$D$8:$CZ$8,0),
  _xlpm.v, IFERROR(INDEX('3. Enter Indicator Scores'!$D$10:$CZ$161,_xlpm.r,_xlpm.c),""),
  IF(OR(_xlpm.w="",_xlpm.v=""),"",_xlpm.v*_xlpm.w)
)</f>
        <v/>
      </c>
      <c r="CO142" s="93" t="str" cm="1">
        <f t="array" ref="CO142">_xlfn.LET(
  _xlpm.w, CO$11,
  _xlpm.r, MATCH(1,('3. Enter Indicator Scores'!$B$10:$B$161=$B142)*('3. Enter Indicator Scores'!$C$10:$C$161=$C142),0),
  _xlpm.c, MATCH(CO$8,'3. Enter Indicator Scores'!$D$8:$CZ$8,0),
  _xlpm.v, IFERROR(INDEX('3. Enter Indicator Scores'!$D$10:$CZ$161,_xlpm.r,_xlpm.c),""),
  IF(OR(_xlpm.w="",_xlpm.v=""),"",_xlpm.v*_xlpm.w)
)</f>
        <v/>
      </c>
      <c r="CP142" s="93" t="str" cm="1">
        <f t="array" ref="CP142">_xlfn.LET(
  _xlpm.w, CP$11,
  _xlpm.r, MATCH(1,('3. Enter Indicator Scores'!$B$10:$B$161=$B142)*('3. Enter Indicator Scores'!$C$10:$C$161=$C142),0),
  _xlpm.c, MATCH(CP$8,'3. Enter Indicator Scores'!$D$8:$CZ$8,0),
  _xlpm.v, IFERROR(INDEX('3. Enter Indicator Scores'!$D$10:$CZ$161,_xlpm.r,_xlpm.c),""),
  IF(OR(_xlpm.w="",_xlpm.v=""),"",_xlpm.v*_xlpm.w)
)</f>
        <v/>
      </c>
      <c r="CQ142" s="93" t="str" cm="1">
        <f t="array" ref="CQ142">_xlfn.LET(
  _xlpm.w, CQ$11,
  _xlpm.r, MATCH(1,('3. Enter Indicator Scores'!$B$10:$B$161=$B142)*('3. Enter Indicator Scores'!$C$10:$C$161=$C142),0),
  _xlpm.c, MATCH(CQ$8,'3. Enter Indicator Scores'!$D$8:$CZ$8,0),
  _xlpm.v, IFERROR(INDEX('3. Enter Indicator Scores'!$D$10:$CZ$161,_xlpm.r,_xlpm.c),""),
  IF(OR(_xlpm.w="",_xlpm.v=""),"",_xlpm.v*_xlpm.w)
)</f>
        <v/>
      </c>
      <c r="CR142" s="93" t="str" cm="1">
        <f t="array" ref="CR142">_xlfn.LET(
  _xlpm.w, CR$11,
  _xlpm.r, MATCH(1,('3. Enter Indicator Scores'!$B$10:$B$161=$B142)*('3. Enter Indicator Scores'!$C$10:$C$161=$C142),0),
  _xlpm.c, MATCH(CR$8,'3. Enter Indicator Scores'!$D$8:$CZ$8,0),
  _xlpm.v, IFERROR(INDEX('3. Enter Indicator Scores'!$D$10:$CZ$161,_xlpm.r,_xlpm.c),""),
  IF(OR(_xlpm.w="",_xlpm.v=""),"",_xlpm.v*_xlpm.w)
)</f>
        <v/>
      </c>
      <c r="CS142" s="93" t="str" cm="1">
        <f t="array" ref="CS142">_xlfn.LET(
  _xlpm.w, CS$11,
  _xlpm.r, MATCH(1,('3. Enter Indicator Scores'!$B$10:$B$161=$B142)*('3. Enter Indicator Scores'!$C$10:$C$161=$C142),0),
  _xlpm.c, MATCH(CS$8,'3. Enter Indicator Scores'!$D$8:$CZ$8,0),
  _xlpm.v, IFERROR(INDEX('3. Enter Indicator Scores'!$D$10:$CZ$161,_xlpm.r,_xlpm.c),""),
  IF(OR(_xlpm.w="",_xlpm.v=""),"",_xlpm.v*_xlpm.w)
)</f>
        <v/>
      </c>
      <c r="CT142" s="93" t="str" cm="1">
        <f t="array" ref="CT142">_xlfn.LET(
  _xlpm.w, CT$11,
  _xlpm.r, MATCH(1,('3. Enter Indicator Scores'!$B$10:$B$161=$B142)*('3. Enter Indicator Scores'!$C$10:$C$161=$C142),0),
  _xlpm.c, MATCH(CT$8,'3. Enter Indicator Scores'!$D$8:$CZ$8,0),
  _xlpm.v, IFERROR(INDEX('3. Enter Indicator Scores'!$D$10:$CZ$161,_xlpm.r,_xlpm.c),""),
  IF(OR(_xlpm.w="",_xlpm.v=""),"",_xlpm.v*_xlpm.w)
)</f>
        <v/>
      </c>
      <c r="CU142" s="93" t="str" cm="1">
        <f t="array" ref="CU142">_xlfn.LET(
  _xlpm.w, CU$11,
  _xlpm.r, MATCH(1,('3. Enter Indicator Scores'!$B$10:$B$161=$B142)*('3. Enter Indicator Scores'!$C$10:$C$161=$C142),0),
  _xlpm.c, MATCH(CU$8,'3. Enter Indicator Scores'!$D$8:$CZ$8,0),
  _xlpm.v, IFERROR(INDEX('3. Enter Indicator Scores'!$D$10:$CZ$161,_xlpm.r,_xlpm.c),""),
  IF(OR(_xlpm.w="",_xlpm.v=""),"",_xlpm.v*_xlpm.w)
)</f>
        <v/>
      </c>
      <c r="CV142" s="93" t="str" cm="1">
        <f t="array" ref="CV142">_xlfn.LET(
  _xlpm.w, CV$11,
  _xlpm.r, MATCH(1,('3. Enter Indicator Scores'!$B$10:$B$161=$B142)*('3. Enter Indicator Scores'!$C$10:$C$161=$C142),0),
  _xlpm.c, MATCH(CV$8,'3. Enter Indicator Scores'!$D$8:$CZ$8,0),
  _xlpm.v, IFERROR(INDEX('3. Enter Indicator Scores'!$D$10:$CZ$161,_xlpm.r,_xlpm.c),""),
  IF(OR(_xlpm.w="",_xlpm.v=""),"",_xlpm.v*_xlpm.w)
)</f>
        <v/>
      </c>
      <c r="CW142" s="93" t="str" cm="1">
        <f t="array" ref="CW142">_xlfn.LET(
  _xlpm.w, CW$11,
  _xlpm.r, MATCH(1,('3. Enter Indicator Scores'!$B$10:$B$161=$B142)*('3. Enter Indicator Scores'!$C$10:$C$161=$C142),0),
  _xlpm.c, MATCH(CW$8,'3. Enter Indicator Scores'!$D$8:$CZ$8,0),
  _xlpm.v, IFERROR(INDEX('3. Enter Indicator Scores'!$D$10:$CZ$161,_xlpm.r,_xlpm.c),""),
  IF(OR(_xlpm.w="",_xlpm.v=""),"",_xlpm.v*_xlpm.w)
)</f>
        <v/>
      </c>
      <c r="CX142" s="93" t="str" cm="1">
        <f t="array" ref="CX142">_xlfn.LET(
  _xlpm.w, CX$11,
  _xlpm.r, MATCH(1,('3. Enter Indicator Scores'!$B$10:$B$161=$B142)*('3. Enter Indicator Scores'!$C$10:$C$161=$C142),0),
  _xlpm.c, MATCH(CX$8,'3. Enter Indicator Scores'!$D$8:$CZ$8,0),
  _xlpm.v, IFERROR(INDEX('3. Enter Indicator Scores'!$D$10:$CZ$161,_xlpm.r,_xlpm.c),""),
  IF(OR(_xlpm.w="",_xlpm.v=""),"",_xlpm.v*_xlpm.w)
)</f>
        <v/>
      </c>
      <c r="CY142" s="93" t="str" cm="1">
        <f t="array" ref="CY142">_xlfn.LET(
  _xlpm.w, CY$11,
  _xlpm.r, MATCH(1,('3. Enter Indicator Scores'!$B$10:$B$161=$B142)*('3. Enter Indicator Scores'!$C$10:$C$161=$C142),0),
  _xlpm.c, MATCH(CY$8,'3. Enter Indicator Scores'!$D$8:$CZ$8,0),
  _xlpm.v, IFERROR(INDEX('3. Enter Indicator Scores'!$D$10:$CZ$161,_xlpm.r,_xlpm.c),""),
  IF(OR(_xlpm.w="",_xlpm.v=""),"",_xlpm.v*_xlpm.w)
)</f>
        <v/>
      </c>
      <c r="CZ142" s="93" t="str" cm="1">
        <f t="array" ref="CZ142">_xlfn.LET(
  _xlpm.w, CZ$11,
  _xlpm.r, MATCH(1,('3. Enter Indicator Scores'!$B$10:$B$161=$B142)*('3. Enter Indicator Scores'!$C$10:$C$161=$C142),0),
  _xlpm.c, MATCH(CZ$8,'3. Enter Indicator Scores'!$D$8:$CZ$8,0),
  _xlpm.v, IFERROR(INDEX('3. Enter Indicator Scores'!$D$10:$CZ$161,_xlpm.r,_xlpm.c),""),
  IF(OR(_xlpm.w="",_xlpm.v=""),"",_xlpm.v*_xlpm.w)
)</f>
        <v/>
      </c>
    </row>
    <row r="143" spans="4:104" x14ac:dyDescent="0.2">
      <c r="D143" s="93" t="str" cm="1">
        <f t="array" ref="D143">_xlfn.LET(
  _xlpm.w, D$11,
  _xlpm.r, MATCH(1,('3. Enter Indicator Scores'!$B$10:$B$161=$B143)*('3. Enter Indicator Scores'!$C$10:$C$161=$C143),0),
  _xlpm.c, MATCH(D$8,'3. Enter Indicator Scores'!$D$8:$CZ$8,0),
  _xlpm.v, IFERROR(INDEX('3. Enter Indicator Scores'!$D$10:$CZ$161,_xlpm.r,_xlpm.c),""),
  IF(OR(_xlpm.w="",_xlpm.v=""),"",_xlpm.v*_xlpm.w)
)</f>
        <v/>
      </c>
      <c r="E143" s="93" t="str" cm="1">
        <f t="array" ref="E143">_xlfn.LET(
  _xlpm.w, E$11,
  _xlpm.r, MATCH(1,('3. Enter Indicator Scores'!$B$10:$B$161=$B143)*('3. Enter Indicator Scores'!$C$10:$C$161=$C143),0),
  _xlpm.c, MATCH(E$8,'3. Enter Indicator Scores'!$D$8:$CZ$8,0),
  _xlpm.v, IFERROR(INDEX('3. Enter Indicator Scores'!$D$10:$CZ$161,_xlpm.r,_xlpm.c),""),
  IF(OR(_xlpm.w="",_xlpm.v=""),"",_xlpm.v*_xlpm.w)
)</f>
        <v/>
      </c>
      <c r="F143" s="93" t="str" cm="1">
        <f t="array" ref="F143">_xlfn.LET(
  _xlpm.w, F$11,
  _xlpm.r, MATCH(1,('3. Enter Indicator Scores'!$B$10:$B$161=$B143)*('3. Enter Indicator Scores'!$C$10:$C$161=$C143),0),
  _xlpm.c, MATCH(F$8,'3. Enter Indicator Scores'!$D$8:$CZ$8,0),
  _xlpm.v, IFERROR(INDEX('3. Enter Indicator Scores'!$D$10:$CZ$161,_xlpm.r,_xlpm.c),""),
  IF(OR(_xlpm.w="",_xlpm.v=""),"",_xlpm.v*_xlpm.w)
)</f>
        <v/>
      </c>
      <c r="G143" s="93" t="str" cm="1">
        <f t="array" ref="G143">_xlfn.LET(
  _xlpm.w, G$11,
  _xlpm.r, MATCH(1,('3. Enter Indicator Scores'!$B$10:$B$161=$B143)*('3. Enter Indicator Scores'!$C$10:$C$161=$C143),0),
  _xlpm.c, MATCH(G$8,'3. Enter Indicator Scores'!$D$8:$CZ$8,0),
  _xlpm.v, IFERROR(INDEX('3. Enter Indicator Scores'!$D$10:$CZ$161,_xlpm.r,_xlpm.c),""),
  IF(OR(_xlpm.w="",_xlpm.v=""),"",_xlpm.v*_xlpm.w)
)</f>
        <v/>
      </c>
      <c r="H143" s="93" t="str" cm="1">
        <f t="array" ref="H143">_xlfn.LET(
  _xlpm.w, H$11,
  _xlpm.r, MATCH(1,('3. Enter Indicator Scores'!$B$10:$B$161=$B143)*('3. Enter Indicator Scores'!$C$10:$C$161=$C143),0),
  _xlpm.c, MATCH(H$8,'3. Enter Indicator Scores'!$D$8:$CZ$8,0),
  _xlpm.v, IFERROR(INDEX('3. Enter Indicator Scores'!$D$10:$CZ$161,_xlpm.r,_xlpm.c),""),
  IF(OR(_xlpm.w="",_xlpm.v=""),"",_xlpm.v*_xlpm.w)
)</f>
        <v/>
      </c>
      <c r="I143" s="93" t="str" cm="1">
        <f t="array" ref="I143">_xlfn.LET(
  _xlpm.w, I$11,
  _xlpm.r, MATCH(1,('3. Enter Indicator Scores'!$B$10:$B$161=$B143)*('3. Enter Indicator Scores'!$C$10:$C$161=$C143),0),
  _xlpm.c, MATCH(I$8,'3. Enter Indicator Scores'!$D$8:$CZ$8,0),
  _xlpm.v, IFERROR(INDEX('3. Enter Indicator Scores'!$D$10:$CZ$161,_xlpm.r,_xlpm.c),""),
  IF(OR(_xlpm.w="",_xlpm.v=""),"",_xlpm.v*_xlpm.w)
)</f>
        <v/>
      </c>
      <c r="J143" s="93" t="str" cm="1">
        <f t="array" ref="J143">_xlfn.LET(
  _xlpm.w, J$11,
  _xlpm.r, MATCH(1,('3. Enter Indicator Scores'!$B$10:$B$161=$B143)*('3. Enter Indicator Scores'!$C$10:$C$161=$C143),0),
  _xlpm.c, MATCH(J$8,'3. Enter Indicator Scores'!$D$8:$CZ$8,0),
  _xlpm.v, IFERROR(INDEX('3. Enter Indicator Scores'!$D$10:$CZ$161,_xlpm.r,_xlpm.c),""),
  IF(OR(_xlpm.w="",_xlpm.v=""),"",_xlpm.v*_xlpm.w)
)</f>
        <v/>
      </c>
      <c r="K143" s="93" t="str" cm="1">
        <f t="array" ref="K143">_xlfn.LET(
  _xlpm.w, K$11,
  _xlpm.r, MATCH(1,('3. Enter Indicator Scores'!$B$10:$B$161=$B143)*('3. Enter Indicator Scores'!$C$10:$C$161=$C143),0),
  _xlpm.c, MATCH(K$8,'3. Enter Indicator Scores'!$D$8:$CZ$8,0),
  _xlpm.v, IFERROR(INDEX('3. Enter Indicator Scores'!$D$10:$CZ$161,_xlpm.r,_xlpm.c),""),
  IF(OR(_xlpm.w="",_xlpm.v=""),"",_xlpm.v*_xlpm.w)
)</f>
        <v/>
      </c>
      <c r="L143" s="93" t="str" cm="1">
        <f t="array" ref="L143">_xlfn.LET(
  _xlpm.w, L$11,
  _xlpm.r, MATCH(1,('3. Enter Indicator Scores'!$B$10:$B$161=$B143)*('3. Enter Indicator Scores'!$C$10:$C$161=$C143),0),
  _xlpm.c, MATCH(L$8,'3. Enter Indicator Scores'!$D$8:$CZ$8,0),
  _xlpm.v, IFERROR(INDEX('3. Enter Indicator Scores'!$D$10:$CZ$161,_xlpm.r,_xlpm.c),""),
  IF(OR(_xlpm.w="",_xlpm.v=""),"",_xlpm.v*_xlpm.w)
)</f>
        <v/>
      </c>
      <c r="M143" s="93" t="str" cm="1">
        <f t="array" ref="M143">_xlfn.LET(
  _xlpm.w, M$11,
  _xlpm.r, MATCH(1,('3. Enter Indicator Scores'!$B$10:$B$161=$B143)*('3. Enter Indicator Scores'!$C$10:$C$161=$C143),0),
  _xlpm.c, MATCH(M$8,'3. Enter Indicator Scores'!$D$8:$CZ$8,0),
  _xlpm.v, IFERROR(INDEX('3. Enter Indicator Scores'!$D$10:$CZ$161,_xlpm.r,_xlpm.c),""),
  IF(OR(_xlpm.w="",_xlpm.v=""),"",_xlpm.v*_xlpm.w)
)</f>
        <v/>
      </c>
      <c r="N143" s="93" t="str" cm="1">
        <f t="array" ref="N143">_xlfn.LET(
  _xlpm.w, N$11,
  _xlpm.r, MATCH(1,('3. Enter Indicator Scores'!$B$10:$B$161=$B143)*('3. Enter Indicator Scores'!$C$10:$C$161=$C143),0),
  _xlpm.c, MATCH(N$8,'3. Enter Indicator Scores'!$D$8:$CZ$8,0),
  _xlpm.v, IFERROR(INDEX('3. Enter Indicator Scores'!$D$10:$CZ$161,_xlpm.r,_xlpm.c),""),
  IF(OR(_xlpm.w="",_xlpm.v=""),"",_xlpm.v*_xlpm.w)
)</f>
        <v/>
      </c>
      <c r="O143" s="93" t="str" cm="1">
        <f t="array" ref="O143">_xlfn.LET(
  _xlpm.w, O$11,
  _xlpm.r, MATCH(1,('3. Enter Indicator Scores'!$B$10:$B$161=$B143)*('3. Enter Indicator Scores'!$C$10:$C$161=$C143),0),
  _xlpm.c, MATCH(O$8,'3. Enter Indicator Scores'!$D$8:$CZ$8,0),
  _xlpm.v, IFERROR(INDEX('3. Enter Indicator Scores'!$D$10:$CZ$161,_xlpm.r,_xlpm.c),""),
  IF(OR(_xlpm.w="",_xlpm.v=""),"",_xlpm.v*_xlpm.w)
)</f>
        <v/>
      </c>
      <c r="P143" s="93" t="str" cm="1">
        <f t="array" ref="P143">_xlfn.LET(
  _xlpm.w, P$11,
  _xlpm.r, MATCH(1,('3. Enter Indicator Scores'!$B$10:$B$161=$B143)*('3. Enter Indicator Scores'!$C$10:$C$161=$C143),0),
  _xlpm.c, MATCH(P$8,'3. Enter Indicator Scores'!$D$8:$CZ$8,0),
  _xlpm.v, IFERROR(INDEX('3. Enter Indicator Scores'!$D$10:$CZ$161,_xlpm.r,_xlpm.c),""),
  IF(OR(_xlpm.w="",_xlpm.v=""),"",_xlpm.v*_xlpm.w)
)</f>
        <v/>
      </c>
      <c r="Q143" s="93" t="str" cm="1">
        <f t="array" ref="Q143">_xlfn.LET(
  _xlpm.w, Q$11,
  _xlpm.r, MATCH(1,('3. Enter Indicator Scores'!$B$10:$B$161=$B143)*('3. Enter Indicator Scores'!$C$10:$C$161=$C143),0),
  _xlpm.c, MATCH(Q$8,'3. Enter Indicator Scores'!$D$8:$CZ$8,0),
  _xlpm.v, IFERROR(INDEX('3. Enter Indicator Scores'!$D$10:$CZ$161,_xlpm.r,_xlpm.c),""),
  IF(OR(_xlpm.w="",_xlpm.v=""),"",_xlpm.v*_xlpm.w)
)</f>
        <v/>
      </c>
      <c r="R143" s="93" t="str" cm="1">
        <f t="array" ref="R143">_xlfn.LET(
  _xlpm.w, R$11,
  _xlpm.r, MATCH(1,('3. Enter Indicator Scores'!$B$10:$B$161=$B143)*('3. Enter Indicator Scores'!$C$10:$C$161=$C143),0),
  _xlpm.c, MATCH(R$8,'3. Enter Indicator Scores'!$D$8:$CZ$8,0),
  _xlpm.v, IFERROR(INDEX('3. Enter Indicator Scores'!$D$10:$CZ$161,_xlpm.r,_xlpm.c),""),
  IF(OR(_xlpm.w="",_xlpm.v=""),"",_xlpm.v*_xlpm.w)
)</f>
        <v/>
      </c>
      <c r="S143" s="93" t="str" cm="1">
        <f t="array" ref="S143">_xlfn.LET(
  _xlpm.w, S$11,
  _xlpm.r, MATCH(1,('3. Enter Indicator Scores'!$B$10:$B$161=$B143)*('3. Enter Indicator Scores'!$C$10:$C$161=$C143),0),
  _xlpm.c, MATCH(S$8,'3. Enter Indicator Scores'!$D$8:$CZ$8,0),
  _xlpm.v, IFERROR(INDEX('3. Enter Indicator Scores'!$D$10:$CZ$161,_xlpm.r,_xlpm.c),""),
  IF(OR(_xlpm.w="",_xlpm.v=""),"",_xlpm.v*_xlpm.w)
)</f>
        <v/>
      </c>
      <c r="T143" s="93" t="str" cm="1">
        <f t="array" ref="T143">_xlfn.LET(
  _xlpm.w, T$11,
  _xlpm.r, MATCH(1,('3. Enter Indicator Scores'!$B$10:$B$161=$B143)*('3. Enter Indicator Scores'!$C$10:$C$161=$C143),0),
  _xlpm.c, MATCH(T$8,'3. Enter Indicator Scores'!$D$8:$CZ$8,0),
  _xlpm.v, IFERROR(INDEX('3. Enter Indicator Scores'!$D$10:$CZ$161,_xlpm.r,_xlpm.c),""),
  IF(OR(_xlpm.w="",_xlpm.v=""),"",_xlpm.v*_xlpm.w)
)</f>
        <v/>
      </c>
      <c r="U143" s="93" t="str" cm="1">
        <f t="array" ref="U143">_xlfn.LET(
  _xlpm.w, U$11,
  _xlpm.r, MATCH(1,('3. Enter Indicator Scores'!$B$10:$B$161=$B143)*('3. Enter Indicator Scores'!$C$10:$C$161=$C143),0),
  _xlpm.c, MATCH(U$8,'3. Enter Indicator Scores'!$D$8:$CZ$8,0),
  _xlpm.v, IFERROR(INDEX('3. Enter Indicator Scores'!$D$10:$CZ$161,_xlpm.r,_xlpm.c),""),
  IF(OR(_xlpm.w="",_xlpm.v=""),"",_xlpm.v*_xlpm.w)
)</f>
        <v/>
      </c>
      <c r="V143" s="93" t="str" cm="1">
        <f t="array" ref="V143">_xlfn.LET(
  _xlpm.w, V$11,
  _xlpm.r, MATCH(1,('3. Enter Indicator Scores'!$B$10:$B$161=$B143)*('3. Enter Indicator Scores'!$C$10:$C$161=$C143),0),
  _xlpm.c, MATCH(V$8,'3. Enter Indicator Scores'!$D$8:$CZ$8,0),
  _xlpm.v, IFERROR(INDEX('3. Enter Indicator Scores'!$D$10:$CZ$161,_xlpm.r,_xlpm.c),""),
  IF(OR(_xlpm.w="",_xlpm.v=""),"",_xlpm.v*_xlpm.w)
)</f>
        <v/>
      </c>
      <c r="W143" s="93" t="str" cm="1">
        <f t="array" ref="W143">_xlfn.LET(
  _xlpm.w, W$11,
  _xlpm.r, MATCH(1,('3. Enter Indicator Scores'!$B$10:$B$161=$B143)*('3. Enter Indicator Scores'!$C$10:$C$161=$C143),0),
  _xlpm.c, MATCH(W$8,'3. Enter Indicator Scores'!$D$8:$CZ$8,0),
  _xlpm.v, IFERROR(INDEX('3. Enter Indicator Scores'!$D$10:$CZ$161,_xlpm.r,_xlpm.c),""),
  IF(OR(_xlpm.w="",_xlpm.v=""),"",_xlpm.v*_xlpm.w)
)</f>
        <v/>
      </c>
      <c r="X143" s="93" t="str" cm="1">
        <f t="array" ref="X143">_xlfn.LET(
  _xlpm.w, X$11,
  _xlpm.r, MATCH(1,('3. Enter Indicator Scores'!$B$10:$B$161=$B143)*('3. Enter Indicator Scores'!$C$10:$C$161=$C143),0),
  _xlpm.c, MATCH(X$8,'3. Enter Indicator Scores'!$D$8:$CZ$8,0),
  _xlpm.v, IFERROR(INDEX('3. Enter Indicator Scores'!$D$10:$CZ$161,_xlpm.r,_xlpm.c),""),
  IF(OR(_xlpm.w="",_xlpm.v=""),"",_xlpm.v*_xlpm.w)
)</f>
        <v/>
      </c>
      <c r="Y143" s="93" t="str" cm="1">
        <f t="array" ref="Y143">_xlfn.LET(
  _xlpm.w, Y$11,
  _xlpm.r, MATCH(1,('3. Enter Indicator Scores'!$B$10:$B$161=$B143)*('3. Enter Indicator Scores'!$C$10:$C$161=$C143),0),
  _xlpm.c, MATCH(Y$8,'3. Enter Indicator Scores'!$D$8:$CZ$8,0),
  _xlpm.v, IFERROR(INDEX('3. Enter Indicator Scores'!$D$10:$CZ$161,_xlpm.r,_xlpm.c),""),
  IF(OR(_xlpm.w="",_xlpm.v=""),"",_xlpm.v*_xlpm.w)
)</f>
        <v/>
      </c>
      <c r="Z143" s="93" t="str" cm="1">
        <f t="array" ref="Z143">_xlfn.LET(
  _xlpm.w, Z$11,
  _xlpm.r, MATCH(1,('3. Enter Indicator Scores'!$B$10:$B$161=$B143)*('3. Enter Indicator Scores'!$C$10:$C$161=$C143),0),
  _xlpm.c, MATCH(Z$8,'3. Enter Indicator Scores'!$D$8:$CZ$8,0),
  _xlpm.v, IFERROR(INDEX('3. Enter Indicator Scores'!$D$10:$CZ$161,_xlpm.r,_xlpm.c),""),
  IF(OR(_xlpm.w="",_xlpm.v=""),"",_xlpm.v*_xlpm.w)
)</f>
        <v/>
      </c>
      <c r="AA143" s="93" t="str" cm="1">
        <f t="array" ref="AA143">_xlfn.LET(
  _xlpm.w, AA$11,
  _xlpm.r, MATCH(1,('3. Enter Indicator Scores'!$B$10:$B$161=$B143)*('3. Enter Indicator Scores'!$C$10:$C$161=$C143),0),
  _xlpm.c, MATCH(AA$8,'3. Enter Indicator Scores'!$D$8:$CZ$8,0),
  _xlpm.v, IFERROR(INDEX('3. Enter Indicator Scores'!$D$10:$CZ$161,_xlpm.r,_xlpm.c),""),
  IF(OR(_xlpm.w="",_xlpm.v=""),"",_xlpm.v*_xlpm.w)
)</f>
        <v/>
      </c>
      <c r="AB143" s="93" t="str" cm="1">
        <f t="array" ref="AB143">_xlfn.LET(
  _xlpm.w, AB$11,
  _xlpm.r, MATCH(1,('3. Enter Indicator Scores'!$B$10:$B$161=$B143)*('3. Enter Indicator Scores'!$C$10:$C$161=$C143),0),
  _xlpm.c, MATCH(AB$8,'3. Enter Indicator Scores'!$D$8:$CZ$8,0),
  _xlpm.v, IFERROR(INDEX('3. Enter Indicator Scores'!$D$10:$CZ$161,_xlpm.r,_xlpm.c),""),
  IF(OR(_xlpm.w="",_xlpm.v=""),"",_xlpm.v*_xlpm.w)
)</f>
        <v/>
      </c>
      <c r="AC143" s="93" t="str" cm="1">
        <f t="array" ref="AC143">_xlfn.LET(
  _xlpm.w, AC$11,
  _xlpm.r, MATCH(1,('3. Enter Indicator Scores'!$B$10:$B$161=$B143)*('3. Enter Indicator Scores'!$C$10:$C$161=$C143),0),
  _xlpm.c, MATCH(AC$8,'3. Enter Indicator Scores'!$D$8:$CZ$8,0),
  _xlpm.v, IFERROR(INDEX('3. Enter Indicator Scores'!$D$10:$CZ$161,_xlpm.r,_xlpm.c),""),
  IF(OR(_xlpm.w="",_xlpm.v=""),"",_xlpm.v*_xlpm.w)
)</f>
        <v/>
      </c>
      <c r="AD143" s="93" t="str" cm="1">
        <f t="array" ref="AD143">_xlfn.LET(
  _xlpm.w, AD$11,
  _xlpm.r, MATCH(1,('3. Enter Indicator Scores'!$B$10:$B$161=$B143)*('3. Enter Indicator Scores'!$C$10:$C$161=$C143),0),
  _xlpm.c, MATCH(AD$8,'3. Enter Indicator Scores'!$D$8:$CZ$8,0),
  _xlpm.v, IFERROR(INDEX('3. Enter Indicator Scores'!$D$10:$CZ$161,_xlpm.r,_xlpm.c),""),
  IF(OR(_xlpm.w="",_xlpm.v=""),"",_xlpm.v*_xlpm.w)
)</f>
        <v/>
      </c>
      <c r="AE143" s="93" t="str" cm="1">
        <f t="array" ref="AE143">_xlfn.LET(
  _xlpm.w, AE$11,
  _xlpm.r, MATCH(1,('3. Enter Indicator Scores'!$B$10:$B$161=$B143)*('3. Enter Indicator Scores'!$C$10:$C$161=$C143),0),
  _xlpm.c, MATCH(AE$8,'3. Enter Indicator Scores'!$D$8:$CZ$8,0),
  _xlpm.v, IFERROR(INDEX('3. Enter Indicator Scores'!$D$10:$CZ$161,_xlpm.r,_xlpm.c),""),
  IF(OR(_xlpm.w="",_xlpm.v=""),"",_xlpm.v*_xlpm.w)
)</f>
        <v/>
      </c>
      <c r="AF143" s="93" t="str" cm="1">
        <f t="array" ref="AF143">_xlfn.LET(
  _xlpm.w, AF$11,
  _xlpm.r, MATCH(1,('3. Enter Indicator Scores'!$B$10:$B$161=$B143)*('3. Enter Indicator Scores'!$C$10:$C$161=$C143),0),
  _xlpm.c, MATCH(AF$8,'3. Enter Indicator Scores'!$D$8:$CZ$8,0),
  _xlpm.v, IFERROR(INDEX('3. Enter Indicator Scores'!$D$10:$CZ$161,_xlpm.r,_xlpm.c),""),
  IF(OR(_xlpm.w="",_xlpm.v=""),"",_xlpm.v*_xlpm.w)
)</f>
        <v/>
      </c>
      <c r="AG143" s="93" t="str" cm="1">
        <f t="array" ref="AG143">_xlfn.LET(
  _xlpm.w, AG$11,
  _xlpm.r, MATCH(1,('3. Enter Indicator Scores'!$B$10:$B$161=$B143)*('3. Enter Indicator Scores'!$C$10:$C$161=$C143),0),
  _xlpm.c, MATCH(AG$8,'3. Enter Indicator Scores'!$D$8:$CZ$8,0),
  _xlpm.v, IFERROR(INDEX('3. Enter Indicator Scores'!$D$10:$CZ$161,_xlpm.r,_xlpm.c),""),
  IF(OR(_xlpm.w="",_xlpm.v=""),"",_xlpm.v*_xlpm.w)
)</f>
        <v/>
      </c>
      <c r="AH143" s="93" t="str" cm="1">
        <f t="array" ref="AH143">_xlfn.LET(
  _xlpm.w, AH$11,
  _xlpm.r, MATCH(1,('3. Enter Indicator Scores'!$B$10:$B$161=$B143)*('3. Enter Indicator Scores'!$C$10:$C$161=$C143),0),
  _xlpm.c, MATCH(AH$8,'3. Enter Indicator Scores'!$D$8:$CZ$8,0),
  _xlpm.v, IFERROR(INDEX('3. Enter Indicator Scores'!$D$10:$CZ$161,_xlpm.r,_xlpm.c),""),
  IF(OR(_xlpm.w="",_xlpm.v=""),"",_xlpm.v*_xlpm.w)
)</f>
        <v/>
      </c>
      <c r="AI143" s="93" t="str" cm="1">
        <f t="array" ref="AI143">_xlfn.LET(
  _xlpm.w, AI$11,
  _xlpm.r, MATCH(1,('3. Enter Indicator Scores'!$B$10:$B$161=$B143)*('3. Enter Indicator Scores'!$C$10:$C$161=$C143),0),
  _xlpm.c, MATCH(AI$8,'3. Enter Indicator Scores'!$D$8:$CZ$8,0),
  _xlpm.v, IFERROR(INDEX('3. Enter Indicator Scores'!$D$10:$CZ$161,_xlpm.r,_xlpm.c),""),
  IF(OR(_xlpm.w="",_xlpm.v=""),"",_xlpm.v*_xlpm.w)
)</f>
        <v/>
      </c>
      <c r="AJ143" s="93" t="str" cm="1">
        <f t="array" ref="AJ143">_xlfn.LET(
  _xlpm.w, AJ$11,
  _xlpm.r, MATCH(1,('3. Enter Indicator Scores'!$B$10:$B$161=$B143)*('3. Enter Indicator Scores'!$C$10:$C$161=$C143),0),
  _xlpm.c, MATCH(AJ$8,'3. Enter Indicator Scores'!$D$8:$CZ$8,0),
  _xlpm.v, IFERROR(INDEX('3. Enter Indicator Scores'!$D$10:$CZ$161,_xlpm.r,_xlpm.c),""),
  IF(OR(_xlpm.w="",_xlpm.v=""),"",_xlpm.v*_xlpm.w)
)</f>
        <v/>
      </c>
      <c r="AK143" s="93" t="str" cm="1">
        <f t="array" ref="AK143">_xlfn.LET(
  _xlpm.w, AK$11,
  _xlpm.r, MATCH(1,('3. Enter Indicator Scores'!$B$10:$B$161=$B143)*('3. Enter Indicator Scores'!$C$10:$C$161=$C143),0),
  _xlpm.c, MATCH(AK$8,'3. Enter Indicator Scores'!$D$8:$CZ$8,0),
  _xlpm.v, IFERROR(INDEX('3. Enter Indicator Scores'!$D$10:$CZ$161,_xlpm.r,_xlpm.c),""),
  IF(OR(_xlpm.w="",_xlpm.v=""),"",_xlpm.v*_xlpm.w)
)</f>
        <v/>
      </c>
      <c r="AL143" s="93" t="str" cm="1">
        <f t="array" ref="AL143">_xlfn.LET(
  _xlpm.w, AL$11,
  _xlpm.r, MATCH(1,('3. Enter Indicator Scores'!$B$10:$B$161=$B143)*('3. Enter Indicator Scores'!$C$10:$C$161=$C143),0),
  _xlpm.c, MATCH(AL$8,'3. Enter Indicator Scores'!$D$8:$CZ$8,0),
  _xlpm.v, IFERROR(INDEX('3. Enter Indicator Scores'!$D$10:$CZ$161,_xlpm.r,_xlpm.c),""),
  IF(OR(_xlpm.w="",_xlpm.v=""),"",_xlpm.v*_xlpm.w)
)</f>
        <v/>
      </c>
      <c r="AM143" s="93" t="str" cm="1">
        <f t="array" ref="AM143">_xlfn.LET(
  _xlpm.w, AM$11,
  _xlpm.r, MATCH(1,('3. Enter Indicator Scores'!$B$10:$B$161=$B143)*('3. Enter Indicator Scores'!$C$10:$C$161=$C143),0),
  _xlpm.c, MATCH(AM$8,'3. Enter Indicator Scores'!$D$8:$CZ$8,0),
  _xlpm.v, IFERROR(INDEX('3. Enter Indicator Scores'!$D$10:$CZ$161,_xlpm.r,_xlpm.c),""),
  IF(OR(_xlpm.w="",_xlpm.v=""),"",_xlpm.v*_xlpm.w)
)</f>
        <v/>
      </c>
      <c r="AN143" s="93" t="str" cm="1">
        <f t="array" ref="AN143">_xlfn.LET(
  _xlpm.w, AN$11,
  _xlpm.r, MATCH(1,('3. Enter Indicator Scores'!$B$10:$B$161=$B143)*('3. Enter Indicator Scores'!$C$10:$C$161=$C143),0),
  _xlpm.c, MATCH(AN$8,'3. Enter Indicator Scores'!$D$8:$CZ$8,0),
  _xlpm.v, IFERROR(INDEX('3. Enter Indicator Scores'!$D$10:$CZ$161,_xlpm.r,_xlpm.c),""),
  IF(OR(_xlpm.w="",_xlpm.v=""),"",_xlpm.v*_xlpm.w)
)</f>
        <v/>
      </c>
      <c r="AO143" s="93" t="str" cm="1">
        <f t="array" ref="AO143">_xlfn.LET(
  _xlpm.w, AO$11,
  _xlpm.r, MATCH(1,('3. Enter Indicator Scores'!$B$10:$B$161=$B143)*('3. Enter Indicator Scores'!$C$10:$C$161=$C143),0),
  _xlpm.c, MATCH(AO$8,'3. Enter Indicator Scores'!$D$8:$CZ$8,0),
  _xlpm.v, IFERROR(INDEX('3. Enter Indicator Scores'!$D$10:$CZ$161,_xlpm.r,_xlpm.c),""),
  IF(OR(_xlpm.w="",_xlpm.v=""),"",_xlpm.v*_xlpm.w)
)</f>
        <v/>
      </c>
      <c r="AP143" s="93" t="str" cm="1">
        <f t="array" ref="AP143">_xlfn.LET(
  _xlpm.w, AP$11,
  _xlpm.r, MATCH(1,('3. Enter Indicator Scores'!$B$10:$B$161=$B143)*('3. Enter Indicator Scores'!$C$10:$C$161=$C143),0),
  _xlpm.c, MATCH(AP$8,'3. Enter Indicator Scores'!$D$8:$CZ$8,0),
  _xlpm.v, IFERROR(INDEX('3. Enter Indicator Scores'!$D$10:$CZ$161,_xlpm.r,_xlpm.c),""),
  IF(OR(_xlpm.w="",_xlpm.v=""),"",_xlpm.v*_xlpm.w)
)</f>
        <v/>
      </c>
      <c r="AQ143" s="93" t="str" cm="1">
        <f t="array" ref="AQ143">_xlfn.LET(
  _xlpm.w, AQ$11,
  _xlpm.r, MATCH(1,('3. Enter Indicator Scores'!$B$10:$B$161=$B143)*('3. Enter Indicator Scores'!$C$10:$C$161=$C143),0),
  _xlpm.c, MATCH(AQ$8,'3. Enter Indicator Scores'!$D$8:$CZ$8,0),
  _xlpm.v, IFERROR(INDEX('3. Enter Indicator Scores'!$D$10:$CZ$161,_xlpm.r,_xlpm.c),""),
  IF(OR(_xlpm.w="",_xlpm.v=""),"",_xlpm.v*_xlpm.w)
)</f>
        <v/>
      </c>
      <c r="AR143" s="93" t="str" cm="1">
        <f t="array" ref="AR143">_xlfn.LET(
  _xlpm.w, AR$11,
  _xlpm.r, MATCH(1,('3. Enter Indicator Scores'!$B$10:$B$161=$B143)*('3. Enter Indicator Scores'!$C$10:$C$161=$C143),0),
  _xlpm.c, MATCH(AR$8,'3. Enter Indicator Scores'!$D$8:$CZ$8,0),
  _xlpm.v, IFERROR(INDEX('3. Enter Indicator Scores'!$D$10:$CZ$161,_xlpm.r,_xlpm.c),""),
  IF(OR(_xlpm.w="",_xlpm.v=""),"",_xlpm.v*_xlpm.w)
)</f>
        <v/>
      </c>
      <c r="AS143" s="93" t="str" cm="1">
        <f t="array" ref="AS143">_xlfn.LET(
  _xlpm.w, AS$11,
  _xlpm.r, MATCH(1,('3. Enter Indicator Scores'!$B$10:$B$161=$B143)*('3. Enter Indicator Scores'!$C$10:$C$161=$C143),0),
  _xlpm.c, MATCH(AS$8,'3. Enter Indicator Scores'!$D$8:$CZ$8,0),
  _xlpm.v, IFERROR(INDEX('3. Enter Indicator Scores'!$D$10:$CZ$161,_xlpm.r,_xlpm.c),""),
  IF(OR(_xlpm.w="",_xlpm.v=""),"",_xlpm.v*_xlpm.w)
)</f>
        <v/>
      </c>
      <c r="AT143" s="93" t="str" cm="1">
        <f t="array" ref="AT143">_xlfn.LET(
  _xlpm.w, AT$11,
  _xlpm.r, MATCH(1,('3. Enter Indicator Scores'!$B$10:$B$161=$B143)*('3. Enter Indicator Scores'!$C$10:$C$161=$C143),0),
  _xlpm.c, MATCH(AT$8,'3. Enter Indicator Scores'!$D$8:$CZ$8,0),
  _xlpm.v, IFERROR(INDEX('3. Enter Indicator Scores'!$D$10:$CZ$161,_xlpm.r,_xlpm.c),""),
  IF(OR(_xlpm.w="",_xlpm.v=""),"",_xlpm.v*_xlpm.w)
)</f>
        <v/>
      </c>
      <c r="AU143" s="93" t="str" cm="1">
        <f t="array" ref="AU143">_xlfn.LET(
  _xlpm.w, AU$11,
  _xlpm.r, MATCH(1,('3. Enter Indicator Scores'!$B$10:$B$161=$B143)*('3. Enter Indicator Scores'!$C$10:$C$161=$C143),0),
  _xlpm.c, MATCH(AU$8,'3. Enter Indicator Scores'!$D$8:$CZ$8,0),
  _xlpm.v, IFERROR(INDEX('3. Enter Indicator Scores'!$D$10:$CZ$161,_xlpm.r,_xlpm.c),""),
  IF(OR(_xlpm.w="",_xlpm.v=""),"",_xlpm.v*_xlpm.w)
)</f>
        <v/>
      </c>
      <c r="AV143" s="93" t="str" cm="1">
        <f t="array" ref="AV143">_xlfn.LET(
  _xlpm.w, AV$11,
  _xlpm.r, MATCH(1,('3. Enter Indicator Scores'!$B$10:$B$161=$B143)*('3. Enter Indicator Scores'!$C$10:$C$161=$C143),0),
  _xlpm.c, MATCH(AV$8,'3. Enter Indicator Scores'!$D$8:$CZ$8,0),
  _xlpm.v, IFERROR(INDEX('3. Enter Indicator Scores'!$D$10:$CZ$161,_xlpm.r,_xlpm.c),""),
  IF(OR(_xlpm.w="",_xlpm.v=""),"",_xlpm.v*_xlpm.w)
)</f>
        <v/>
      </c>
      <c r="AW143" s="93" t="str" cm="1">
        <f t="array" ref="AW143">_xlfn.LET(
  _xlpm.w, AW$11,
  _xlpm.r, MATCH(1,('3. Enter Indicator Scores'!$B$10:$B$161=$B143)*('3. Enter Indicator Scores'!$C$10:$C$161=$C143),0),
  _xlpm.c, MATCH(AW$8,'3. Enter Indicator Scores'!$D$8:$CZ$8,0),
  _xlpm.v, IFERROR(INDEX('3. Enter Indicator Scores'!$D$10:$CZ$161,_xlpm.r,_xlpm.c),""),
  IF(OR(_xlpm.w="",_xlpm.v=""),"",_xlpm.v*_xlpm.w)
)</f>
        <v/>
      </c>
      <c r="AX143" s="93" t="str" cm="1">
        <f t="array" ref="AX143">_xlfn.LET(
  _xlpm.w, AX$11,
  _xlpm.r, MATCH(1,('3. Enter Indicator Scores'!$B$10:$B$161=$B143)*('3. Enter Indicator Scores'!$C$10:$C$161=$C143),0),
  _xlpm.c, MATCH(AX$8,'3. Enter Indicator Scores'!$D$8:$CZ$8,0),
  _xlpm.v, IFERROR(INDEX('3. Enter Indicator Scores'!$D$10:$CZ$161,_xlpm.r,_xlpm.c),""),
  IF(OR(_xlpm.w="",_xlpm.v=""),"",_xlpm.v*_xlpm.w)
)</f>
        <v/>
      </c>
      <c r="AY143" s="93" t="str" cm="1">
        <f t="array" ref="AY143">_xlfn.LET(
  _xlpm.w, AY$11,
  _xlpm.r, MATCH(1,('3. Enter Indicator Scores'!$B$10:$B$161=$B143)*('3. Enter Indicator Scores'!$C$10:$C$161=$C143),0),
  _xlpm.c, MATCH(AY$8,'3. Enter Indicator Scores'!$D$8:$CZ$8,0),
  _xlpm.v, IFERROR(INDEX('3. Enter Indicator Scores'!$D$10:$CZ$161,_xlpm.r,_xlpm.c),""),
  IF(OR(_xlpm.w="",_xlpm.v=""),"",_xlpm.v*_xlpm.w)
)</f>
        <v/>
      </c>
      <c r="AZ143" s="93" t="str" cm="1">
        <f t="array" ref="AZ143">_xlfn.LET(
  _xlpm.w, AZ$11,
  _xlpm.r, MATCH(1,('3. Enter Indicator Scores'!$B$10:$B$161=$B143)*('3. Enter Indicator Scores'!$C$10:$C$161=$C143),0),
  _xlpm.c, MATCH(AZ$8,'3. Enter Indicator Scores'!$D$8:$CZ$8,0),
  _xlpm.v, IFERROR(INDEX('3. Enter Indicator Scores'!$D$10:$CZ$161,_xlpm.r,_xlpm.c),""),
  IF(OR(_xlpm.w="",_xlpm.v=""),"",_xlpm.v*_xlpm.w)
)</f>
        <v/>
      </c>
      <c r="BA143" s="93" t="str" cm="1">
        <f t="array" ref="BA143">_xlfn.LET(
  _xlpm.w, BA$11,
  _xlpm.r, MATCH(1,('3. Enter Indicator Scores'!$B$10:$B$161=$B143)*('3. Enter Indicator Scores'!$C$10:$C$161=$C143),0),
  _xlpm.c, MATCH(BA$8,'3. Enter Indicator Scores'!$D$8:$CZ$8,0),
  _xlpm.v, IFERROR(INDEX('3. Enter Indicator Scores'!$D$10:$CZ$161,_xlpm.r,_xlpm.c),""),
  IF(OR(_xlpm.w="",_xlpm.v=""),"",_xlpm.v*_xlpm.w)
)</f>
        <v/>
      </c>
      <c r="BB143" s="93" t="str" cm="1">
        <f t="array" ref="BB143">_xlfn.LET(
  _xlpm.w, BB$11,
  _xlpm.r, MATCH(1,('3. Enter Indicator Scores'!$B$10:$B$161=$B143)*('3. Enter Indicator Scores'!$C$10:$C$161=$C143),0),
  _xlpm.c, MATCH(BB$8,'3. Enter Indicator Scores'!$D$8:$CZ$8,0),
  _xlpm.v, IFERROR(INDEX('3. Enter Indicator Scores'!$D$10:$CZ$161,_xlpm.r,_xlpm.c),""),
  IF(OR(_xlpm.w="",_xlpm.v=""),"",_xlpm.v*_xlpm.w)
)</f>
        <v/>
      </c>
      <c r="BC143" s="93" t="str" cm="1">
        <f t="array" ref="BC143">_xlfn.LET(
  _xlpm.w, BC$11,
  _xlpm.r, MATCH(1,('3. Enter Indicator Scores'!$B$10:$B$161=$B143)*('3. Enter Indicator Scores'!$C$10:$C$161=$C143),0),
  _xlpm.c, MATCH(BC$8,'3. Enter Indicator Scores'!$D$8:$CZ$8,0),
  _xlpm.v, IFERROR(INDEX('3. Enter Indicator Scores'!$D$10:$CZ$161,_xlpm.r,_xlpm.c),""),
  IF(OR(_xlpm.w="",_xlpm.v=""),"",_xlpm.v*_xlpm.w)
)</f>
        <v/>
      </c>
      <c r="BD143" s="93" t="str" cm="1">
        <f t="array" ref="BD143">_xlfn.LET(
  _xlpm.w, BD$11,
  _xlpm.r, MATCH(1,('3. Enter Indicator Scores'!$B$10:$B$161=$B143)*('3. Enter Indicator Scores'!$C$10:$C$161=$C143),0),
  _xlpm.c, MATCH(BD$8,'3. Enter Indicator Scores'!$D$8:$CZ$8,0),
  _xlpm.v, IFERROR(INDEX('3. Enter Indicator Scores'!$D$10:$CZ$161,_xlpm.r,_xlpm.c),""),
  IF(OR(_xlpm.w="",_xlpm.v=""),"",_xlpm.v*_xlpm.w)
)</f>
        <v/>
      </c>
      <c r="BE143" s="93" t="str" cm="1">
        <f t="array" ref="BE143">_xlfn.LET(
  _xlpm.w, BE$11,
  _xlpm.r, MATCH(1,('3. Enter Indicator Scores'!$B$10:$B$161=$B143)*('3. Enter Indicator Scores'!$C$10:$C$161=$C143),0),
  _xlpm.c, MATCH(BE$8,'3. Enter Indicator Scores'!$D$8:$CZ$8,0),
  _xlpm.v, IFERROR(INDEX('3. Enter Indicator Scores'!$D$10:$CZ$161,_xlpm.r,_xlpm.c),""),
  IF(OR(_xlpm.w="",_xlpm.v=""),"",_xlpm.v*_xlpm.w)
)</f>
        <v/>
      </c>
      <c r="BF143" s="93" t="str" cm="1">
        <f t="array" ref="BF143">_xlfn.LET(
  _xlpm.w, BF$11,
  _xlpm.r, MATCH(1,('3. Enter Indicator Scores'!$B$10:$B$161=$B143)*('3. Enter Indicator Scores'!$C$10:$C$161=$C143),0),
  _xlpm.c, MATCH(BF$8,'3. Enter Indicator Scores'!$D$8:$CZ$8,0),
  _xlpm.v, IFERROR(INDEX('3. Enter Indicator Scores'!$D$10:$CZ$161,_xlpm.r,_xlpm.c),""),
  IF(OR(_xlpm.w="",_xlpm.v=""),"",_xlpm.v*_xlpm.w)
)</f>
        <v/>
      </c>
      <c r="BG143" s="93" t="str" cm="1">
        <f t="array" ref="BG143">_xlfn.LET(
  _xlpm.w, BG$11,
  _xlpm.r, MATCH(1,('3. Enter Indicator Scores'!$B$10:$B$161=$B143)*('3. Enter Indicator Scores'!$C$10:$C$161=$C143),0),
  _xlpm.c, MATCH(BG$8,'3. Enter Indicator Scores'!$D$8:$CZ$8,0),
  _xlpm.v, IFERROR(INDEX('3. Enter Indicator Scores'!$D$10:$CZ$161,_xlpm.r,_xlpm.c),""),
  IF(OR(_xlpm.w="",_xlpm.v=""),"",_xlpm.v*_xlpm.w)
)</f>
        <v/>
      </c>
      <c r="BH143" s="93" t="str" cm="1">
        <f t="array" ref="BH143">_xlfn.LET(
  _xlpm.w, BH$11,
  _xlpm.r, MATCH(1,('3. Enter Indicator Scores'!$B$10:$B$161=$B143)*('3. Enter Indicator Scores'!$C$10:$C$161=$C143),0),
  _xlpm.c, MATCH(BH$8,'3. Enter Indicator Scores'!$D$8:$CZ$8,0),
  _xlpm.v, IFERROR(INDEX('3. Enter Indicator Scores'!$D$10:$CZ$161,_xlpm.r,_xlpm.c),""),
  IF(OR(_xlpm.w="",_xlpm.v=""),"",_xlpm.v*_xlpm.w)
)</f>
        <v/>
      </c>
      <c r="BI143" s="93" t="str" cm="1">
        <f t="array" ref="BI143">_xlfn.LET(
  _xlpm.w, BI$11,
  _xlpm.r, MATCH(1,('3. Enter Indicator Scores'!$B$10:$B$161=$B143)*('3. Enter Indicator Scores'!$C$10:$C$161=$C143),0),
  _xlpm.c, MATCH(BI$8,'3. Enter Indicator Scores'!$D$8:$CZ$8,0),
  _xlpm.v, IFERROR(INDEX('3. Enter Indicator Scores'!$D$10:$CZ$161,_xlpm.r,_xlpm.c),""),
  IF(OR(_xlpm.w="",_xlpm.v=""),"",_xlpm.v*_xlpm.w)
)</f>
        <v/>
      </c>
      <c r="BJ143" s="93" t="str" cm="1">
        <f t="array" ref="BJ143">_xlfn.LET(
  _xlpm.w, BJ$11,
  _xlpm.r, MATCH(1,('3. Enter Indicator Scores'!$B$10:$B$161=$B143)*('3. Enter Indicator Scores'!$C$10:$C$161=$C143),0),
  _xlpm.c, MATCH(BJ$8,'3. Enter Indicator Scores'!$D$8:$CZ$8,0),
  _xlpm.v, IFERROR(INDEX('3. Enter Indicator Scores'!$D$10:$CZ$161,_xlpm.r,_xlpm.c),""),
  IF(OR(_xlpm.w="",_xlpm.v=""),"",_xlpm.v*_xlpm.w)
)</f>
        <v/>
      </c>
      <c r="BK143" s="93" t="str" cm="1">
        <f t="array" ref="BK143">_xlfn.LET(
  _xlpm.w, BK$11,
  _xlpm.r, MATCH(1,('3. Enter Indicator Scores'!$B$10:$B$161=$B143)*('3. Enter Indicator Scores'!$C$10:$C$161=$C143),0),
  _xlpm.c, MATCH(BK$8,'3. Enter Indicator Scores'!$D$8:$CZ$8,0),
  _xlpm.v, IFERROR(INDEX('3. Enter Indicator Scores'!$D$10:$CZ$161,_xlpm.r,_xlpm.c),""),
  IF(OR(_xlpm.w="",_xlpm.v=""),"",_xlpm.v*_xlpm.w)
)</f>
        <v/>
      </c>
      <c r="BL143" s="93" t="str" cm="1">
        <f t="array" ref="BL143">_xlfn.LET(
  _xlpm.w, BL$11,
  _xlpm.r, MATCH(1,('3. Enter Indicator Scores'!$B$10:$B$161=$B143)*('3. Enter Indicator Scores'!$C$10:$C$161=$C143),0),
  _xlpm.c, MATCH(BL$8,'3. Enter Indicator Scores'!$D$8:$CZ$8,0),
  _xlpm.v, IFERROR(INDEX('3. Enter Indicator Scores'!$D$10:$CZ$161,_xlpm.r,_xlpm.c),""),
  IF(OR(_xlpm.w="",_xlpm.v=""),"",_xlpm.v*_xlpm.w)
)</f>
        <v/>
      </c>
      <c r="BM143" s="93" t="str" cm="1">
        <f t="array" ref="BM143">_xlfn.LET(
  _xlpm.w, BM$11,
  _xlpm.r, MATCH(1,('3. Enter Indicator Scores'!$B$10:$B$161=$B143)*('3. Enter Indicator Scores'!$C$10:$C$161=$C143),0),
  _xlpm.c, MATCH(BM$8,'3. Enter Indicator Scores'!$D$8:$CZ$8,0),
  _xlpm.v, IFERROR(INDEX('3. Enter Indicator Scores'!$D$10:$CZ$161,_xlpm.r,_xlpm.c),""),
  IF(OR(_xlpm.w="",_xlpm.v=""),"",_xlpm.v*_xlpm.w)
)</f>
        <v/>
      </c>
      <c r="BN143" s="93" t="str" cm="1">
        <f t="array" ref="BN143">_xlfn.LET(
  _xlpm.w, BN$11,
  _xlpm.r, MATCH(1,('3. Enter Indicator Scores'!$B$10:$B$161=$B143)*('3. Enter Indicator Scores'!$C$10:$C$161=$C143),0),
  _xlpm.c, MATCH(BN$8,'3. Enter Indicator Scores'!$D$8:$CZ$8,0),
  _xlpm.v, IFERROR(INDEX('3. Enter Indicator Scores'!$D$10:$CZ$161,_xlpm.r,_xlpm.c),""),
  IF(OR(_xlpm.w="",_xlpm.v=""),"",_xlpm.v*_xlpm.w)
)</f>
        <v/>
      </c>
      <c r="BO143" s="93" t="str" cm="1">
        <f t="array" ref="BO143">_xlfn.LET(
  _xlpm.w, BO$11,
  _xlpm.r, MATCH(1,('3. Enter Indicator Scores'!$B$10:$B$161=$B143)*('3. Enter Indicator Scores'!$C$10:$C$161=$C143),0),
  _xlpm.c, MATCH(BO$8,'3. Enter Indicator Scores'!$D$8:$CZ$8,0),
  _xlpm.v, IFERROR(INDEX('3. Enter Indicator Scores'!$D$10:$CZ$161,_xlpm.r,_xlpm.c),""),
  IF(OR(_xlpm.w="",_xlpm.v=""),"",_xlpm.v*_xlpm.w)
)</f>
        <v/>
      </c>
      <c r="BP143" s="93" t="str" cm="1">
        <f t="array" ref="BP143">_xlfn.LET(
  _xlpm.w, BP$11,
  _xlpm.r, MATCH(1,('3. Enter Indicator Scores'!$B$10:$B$161=$B143)*('3. Enter Indicator Scores'!$C$10:$C$161=$C143),0),
  _xlpm.c, MATCH(BP$8,'3. Enter Indicator Scores'!$D$8:$CZ$8,0),
  _xlpm.v, IFERROR(INDEX('3. Enter Indicator Scores'!$D$10:$CZ$161,_xlpm.r,_xlpm.c),""),
  IF(OR(_xlpm.w="",_xlpm.v=""),"",_xlpm.v*_xlpm.w)
)</f>
        <v/>
      </c>
      <c r="BQ143" s="93" t="str" cm="1">
        <f t="array" ref="BQ143">_xlfn.LET(
  _xlpm.w, BQ$11,
  _xlpm.r, MATCH(1,('3. Enter Indicator Scores'!$B$10:$B$161=$B143)*('3. Enter Indicator Scores'!$C$10:$C$161=$C143),0),
  _xlpm.c, MATCH(BQ$8,'3. Enter Indicator Scores'!$D$8:$CZ$8,0),
  _xlpm.v, IFERROR(INDEX('3. Enter Indicator Scores'!$D$10:$CZ$161,_xlpm.r,_xlpm.c),""),
  IF(OR(_xlpm.w="",_xlpm.v=""),"",_xlpm.v*_xlpm.w)
)</f>
        <v/>
      </c>
      <c r="BR143" s="93" t="str" cm="1">
        <f t="array" ref="BR143">_xlfn.LET(
  _xlpm.w, BR$11,
  _xlpm.r, MATCH(1,('3. Enter Indicator Scores'!$B$10:$B$161=$B143)*('3. Enter Indicator Scores'!$C$10:$C$161=$C143),0),
  _xlpm.c, MATCH(BR$8,'3. Enter Indicator Scores'!$D$8:$CZ$8,0),
  _xlpm.v, IFERROR(INDEX('3. Enter Indicator Scores'!$D$10:$CZ$161,_xlpm.r,_xlpm.c),""),
  IF(OR(_xlpm.w="",_xlpm.v=""),"",_xlpm.v*_xlpm.w)
)</f>
        <v/>
      </c>
      <c r="BS143" s="93" t="str" cm="1">
        <f t="array" ref="BS143">_xlfn.LET(
  _xlpm.w, BS$11,
  _xlpm.r, MATCH(1,('3. Enter Indicator Scores'!$B$10:$B$161=$B143)*('3. Enter Indicator Scores'!$C$10:$C$161=$C143),0),
  _xlpm.c, MATCH(BS$8,'3. Enter Indicator Scores'!$D$8:$CZ$8,0),
  _xlpm.v, IFERROR(INDEX('3. Enter Indicator Scores'!$D$10:$CZ$161,_xlpm.r,_xlpm.c),""),
  IF(OR(_xlpm.w="",_xlpm.v=""),"",_xlpm.v*_xlpm.w)
)</f>
        <v/>
      </c>
      <c r="BT143" s="93" t="str" cm="1">
        <f t="array" ref="BT143">_xlfn.LET(
  _xlpm.w, BT$11,
  _xlpm.r, MATCH(1,('3. Enter Indicator Scores'!$B$10:$B$161=$B143)*('3. Enter Indicator Scores'!$C$10:$C$161=$C143),0),
  _xlpm.c, MATCH(BT$8,'3. Enter Indicator Scores'!$D$8:$CZ$8,0),
  _xlpm.v, IFERROR(INDEX('3. Enter Indicator Scores'!$D$10:$CZ$161,_xlpm.r,_xlpm.c),""),
  IF(OR(_xlpm.w="",_xlpm.v=""),"",_xlpm.v*_xlpm.w)
)</f>
        <v/>
      </c>
      <c r="BU143" s="93" t="str" cm="1">
        <f t="array" ref="BU143">_xlfn.LET(
  _xlpm.w, BU$11,
  _xlpm.r, MATCH(1,('3. Enter Indicator Scores'!$B$10:$B$161=$B143)*('3. Enter Indicator Scores'!$C$10:$C$161=$C143),0),
  _xlpm.c, MATCH(BU$8,'3. Enter Indicator Scores'!$D$8:$CZ$8,0),
  _xlpm.v, IFERROR(INDEX('3. Enter Indicator Scores'!$D$10:$CZ$161,_xlpm.r,_xlpm.c),""),
  IF(OR(_xlpm.w="",_xlpm.v=""),"",_xlpm.v*_xlpm.w)
)</f>
        <v/>
      </c>
      <c r="BV143" s="93" t="str" cm="1">
        <f t="array" ref="BV143">_xlfn.LET(
  _xlpm.w, BV$11,
  _xlpm.r, MATCH(1,('3. Enter Indicator Scores'!$B$10:$B$161=$B143)*('3. Enter Indicator Scores'!$C$10:$C$161=$C143),0),
  _xlpm.c, MATCH(BV$8,'3. Enter Indicator Scores'!$D$8:$CZ$8,0),
  _xlpm.v, IFERROR(INDEX('3. Enter Indicator Scores'!$D$10:$CZ$161,_xlpm.r,_xlpm.c),""),
  IF(OR(_xlpm.w="",_xlpm.v=""),"",_xlpm.v*_xlpm.w)
)</f>
        <v/>
      </c>
      <c r="BW143" s="93" t="str" cm="1">
        <f t="array" ref="BW143">_xlfn.LET(
  _xlpm.w, BW$11,
  _xlpm.r, MATCH(1,('3. Enter Indicator Scores'!$B$10:$B$161=$B143)*('3. Enter Indicator Scores'!$C$10:$C$161=$C143),0),
  _xlpm.c, MATCH(BW$8,'3. Enter Indicator Scores'!$D$8:$CZ$8,0),
  _xlpm.v, IFERROR(INDEX('3. Enter Indicator Scores'!$D$10:$CZ$161,_xlpm.r,_xlpm.c),""),
  IF(OR(_xlpm.w="",_xlpm.v=""),"",_xlpm.v*_xlpm.w)
)</f>
        <v/>
      </c>
      <c r="BX143" s="93" t="str" cm="1">
        <f t="array" ref="BX143">_xlfn.LET(
  _xlpm.w, BX$11,
  _xlpm.r, MATCH(1,('3. Enter Indicator Scores'!$B$10:$B$161=$B143)*('3. Enter Indicator Scores'!$C$10:$C$161=$C143),0),
  _xlpm.c, MATCH(BX$8,'3. Enter Indicator Scores'!$D$8:$CZ$8,0),
  _xlpm.v, IFERROR(INDEX('3. Enter Indicator Scores'!$D$10:$CZ$161,_xlpm.r,_xlpm.c),""),
  IF(OR(_xlpm.w="",_xlpm.v=""),"",_xlpm.v*_xlpm.w)
)</f>
        <v/>
      </c>
      <c r="BY143" s="93" t="str" cm="1">
        <f t="array" ref="BY143">_xlfn.LET(
  _xlpm.w, BY$11,
  _xlpm.r, MATCH(1,('3. Enter Indicator Scores'!$B$10:$B$161=$B143)*('3. Enter Indicator Scores'!$C$10:$C$161=$C143),0),
  _xlpm.c, MATCH(BY$8,'3. Enter Indicator Scores'!$D$8:$CZ$8,0),
  _xlpm.v, IFERROR(INDEX('3. Enter Indicator Scores'!$D$10:$CZ$161,_xlpm.r,_xlpm.c),""),
  IF(OR(_xlpm.w="",_xlpm.v=""),"",_xlpm.v*_xlpm.w)
)</f>
        <v/>
      </c>
      <c r="BZ143" s="93" t="str" cm="1">
        <f t="array" ref="BZ143">_xlfn.LET(
  _xlpm.w, BZ$11,
  _xlpm.r, MATCH(1,('3. Enter Indicator Scores'!$B$10:$B$161=$B143)*('3. Enter Indicator Scores'!$C$10:$C$161=$C143),0),
  _xlpm.c, MATCH(BZ$8,'3. Enter Indicator Scores'!$D$8:$CZ$8,0),
  _xlpm.v, IFERROR(INDEX('3. Enter Indicator Scores'!$D$10:$CZ$161,_xlpm.r,_xlpm.c),""),
  IF(OR(_xlpm.w="",_xlpm.v=""),"",_xlpm.v*_xlpm.w)
)</f>
        <v/>
      </c>
      <c r="CA143" s="93" t="str" cm="1">
        <f t="array" ref="CA143">_xlfn.LET(
  _xlpm.w, CA$11,
  _xlpm.r, MATCH(1,('3. Enter Indicator Scores'!$B$10:$B$161=$B143)*('3. Enter Indicator Scores'!$C$10:$C$161=$C143),0),
  _xlpm.c, MATCH(CA$8,'3. Enter Indicator Scores'!$D$8:$CZ$8,0),
  _xlpm.v, IFERROR(INDEX('3. Enter Indicator Scores'!$D$10:$CZ$161,_xlpm.r,_xlpm.c),""),
  IF(OR(_xlpm.w="",_xlpm.v=""),"",_xlpm.v*_xlpm.w)
)</f>
        <v/>
      </c>
      <c r="CB143" s="93" t="str" cm="1">
        <f t="array" ref="CB143">_xlfn.LET(
  _xlpm.w, CB$11,
  _xlpm.r, MATCH(1,('3. Enter Indicator Scores'!$B$10:$B$161=$B143)*('3. Enter Indicator Scores'!$C$10:$C$161=$C143),0),
  _xlpm.c, MATCH(CB$8,'3. Enter Indicator Scores'!$D$8:$CZ$8,0),
  _xlpm.v, IFERROR(INDEX('3. Enter Indicator Scores'!$D$10:$CZ$161,_xlpm.r,_xlpm.c),""),
  IF(OR(_xlpm.w="",_xlpm.v=""),"",_xlpm.v*_xlpm.w)
)</f>
        <v/>
      </c>
      <c r="CC143" s="93" t="str" cm="1">
        <f t="array" ref="CC143">_xlfn.LET(
  _xlpm.w, CC$11,
  _xlpm.r, MATCH(1,('3. Enter Indicator Scores'!$B$10:$B$161=$B143)*('3. Enter Indicator Scores'!$C$10:$C$161=$C143),0),
  _xlpm.c, MATCH(CC$8,'3. Enter Indicator Scores'!$D$8:$CZ$8,0),
  _xlpm.v, IFERROR(INDEX('3. Enter Indicator Scores'!$D$10:$CZ$161,_xlpm.r,_xlpm.c),""),
  IF(OR(_xlpm.w="",_xlpm.v=""),"",_xlpm.v*_xlpm.w)
)</f>
        <v/>
      </c>
      <c r="CD143" s="93" t="str" cm="1">
        <f t="array" ref="CD143">_xlfn.LET(
  _xlpm.w, CD$11,
  _xlpm.r, MATCH(1,('3. Enter Indicator Scores'!$B$10:$B$161=$B143)*('3. Enter Indicator Scores'!$C$10:$C$161=$C143),0),
  _xlpm.c, MATCH(CD$8,'3. Enter Indicator Scores'!$D$8:$CZ$8,0),
  _xlpm.v, IFERROR(INDEX('3. Enter Indicator Scores'!$D$10:$CZ$161,_xlpm.r,_xlpm.c),""),
  IF(OR(_xlpm.w="",_xlpm.v=""),"",_xlpm.v*_xlpm.w)
)</f>
        <v/>
      </c>
      <c r="CE143" s="93" t="str" cm="1">
        <f t="array" ref="CE143">_xlfn.LET(
  _xlpm.w, CE$11,
  _xlpm.r, MATCH(1,('3. Enter Indicator Scores'!$B$10:$B$161=$B143)*('3. Enter Indicator Scores'!$C$10:$C$161=$C143),0),
  _xlpm.c, MATCH(CE$8,'3. Enter Indicator Scores'!$D$8:$CZ$8,0),
  _xlpm.v, IFERROR(INDEX('3. Enter Indicator Scores'!$D$10:$CZ$161,_xlpm.r,_xlpm.c),""),
  IF(OR(_xlpm.w="",_xlpm.v=""),"",_xlpm.v*_xlpm.w)
)</f>
        <v/>
      </c>
      <c r="CF143" s="93" t="str" cm="1">
        <f t="array" ref="CF143">_xlfn.LET(
  _xlpm.w, CF$11,
  _xlpm.r, MATCH(1,('3. Enter Indicator Scores'!$B$10:$B$161=$B143)*('3. Enter Indicator Scores'!$C$10:$C$161=$C143),0),
  _xlpm.c, MATCH(CF$8,'3. Enter Indicator Scores'!$D$8:$CZ$8,0),
  _xlpm.v, IFERROR(INDEX('3. Enter Indicator Scores'!$D$10:$CZ$161,_xlpm.r,_xlpm.c),""),
  IF(OR(_xlpm.w="",_xlpm.v=""),"",_xlpm.v*_xlpm.w)
)</f>
        <v/>
      </c>
      <c r="CG143" s="93" t="str" cm="1">
        <f t="array" ref="CG143">_xlfn.LET(
  _xlpm.w, CG$11,
  _xlpm.r, MATCH(1,('3. Enter Indicator Scores'!$B$10:$B$161=$B143)*('3. Enter Indicator Scores'!$C$10:$C$161=$C143),0),
  _xlpm.c, MATCH(CG$8,'3. Enter Indicator Scores'!$D$8:$CZ$8,0),
  _xlpm.v, IFERROR(INDEX('3. Enter Indicator Scores'!$D$10:$CZ$161,_xlpm.r,_xlpm.c),""),
  IF(OR(_xlpm.w="",_xlpm.v=""),"",_xlpm.v*_xlpm.w)
)</f>
        <v/>
      </c>
      <c r="CH143" s="93" t="str" cm="1">
        <f t="array" ref="CH143">_xlfn.LET(
  _xlpm.w, CH$11,
  _xlpm.r, MATCH(1,('3. Enter Indicator Scores'!$B$10:$B$161=$B143)*('3. Enter Indicator Scores'!$C$10:$C$161=$C143),0),
  _xlpm.c, MATCH(CH$8,'3. Enter Indicator Scores'!$D$8:$CZ$8,0),
  _xlpm.v, IFERROR(INDEX('3. Enter Indicator Scores'!$D$10:$CZ$161,_xlpm.r,_xlpm.c),""),
  IF(OR(_xlpm.w="",_xlpm.v=""),"",_xlpm.v*_xlpm.w)
)</f>
        <v/>
      </c>
      <c r="CI143" s="93" t="str" cm="1">
        <f t="array" ref="CI143">_xlfn.LET(
  _xlpm.w, CI$11,
  _xlpm.r, MATCH(1,('3. Enter Indicator Scores'!$B$10:$B$161=$B143)*('3. Enter Indicator Scores'!$C$10:$C$161=$C143),0),
  _xlpm.c, MATCH(CI$8,'3. Enter Indicator Scores'!$D$8:$CZ$8,0),
  _xlpm.v, IFERROR(INDEX('3. Enter Indicator Scores'!$D$10:$CZ$161,_xlpm.r,_xlpm.c),""),
  IF(OR(_xlpm.w="",_xlpm.v=""),"",_xlpm.v*_xlpm.w)
)</f>
        <v/>
      </c>
      <c r="CJ143" s="93" t="str" cm="1">
        <f t="array" ref="CJ143">_xlfn.LET(
  _xlpm.w, CJ$11,
  _xlpm.r, MATCH(1,('3. Enter Indicator Scores'!$B$10:$B$161=$B143)*('3. Enter Indicator Scores'!$C$10:$C$161=$C143),0),
  _xlpm.c, MATCH(CJ$8,'3. Enter Indicator Scores'!$D$8:$CZ$8,0),
  _xlpm.v, IFERROR(INDEX('3. Enter Indicator Scores'!$D$10:$CZ$161,_xlpm.r,_xlpm.c),""),
  IF(OR(_xlpm.w="",_xlpm.v=""),"",_xlpm.v*_xlpm.w)
)</f>
        <v/>
      </c>
      <c r="CK143" s="93" t="str" cm="1">
        <f t="array" ref="CK143">_xlfn.LET(
  _xlpm.w, CK$11,
  _xlpm.r, MATCH(1,('3. Enter Indicator Scores'!$B$10:$B$161=$B143)*('3. Enter Indicator Scores'!$C$10:$C$161=$C143),0),
  _xlpm.c, MATCH(CK$8,'3. Enter Indicator Scores'!$D$8:$CZ$8,0),
  _xlpm.v, IFERROR(INDEX('3. Enter Indicator Scores'!$D$10:$CZ$161,_xlpm.r,_xlpm.c),""),
  IF(OR(_xlpm.w="",_xlpm.v=""),"",_xlpm.v*_xlpm.w)
)</f>
        <v/>
      </c>
      <c r="CL143" s="93" t="str" cm="1">
        <f t="array" ref="CL143">_xlfn.LET(
  _xlpm.w, CL$11,
  _xlpm.r, MATCH(1,('3. Enter Indicator Scores'!$B$10:$B$161=$B143)*('3. Enter Indicator Scores'!$C$10:$C$161=$C143),0),
  _xlpm.c, MATCH(CL$8,'3. Enter Indicator Scores'!$D$8:$CZ$8,0),
  _xlpm.v, IFERROR(INDEX('3. Enter Indicator Scores'!$D$10:$CZ$161,_xlpm.r,_xlpm.c),""),
  IF(OR(_xlpm.w="",_xlpm.v=""),"",_xlpm.v*_xlpm.w)
)</f>
        <v/>
      </c>
      <c r="CM143" s="93" t="str" cm="1">
        <f t="array" ref="CM143">_xlfn.LET(
  _xlpm.w, CM$11,
  _xlpm.r, MATCH(1,('3. Enter Indicator Scores'!$B$10:$B$161=$B143)*('3. Enter Indicator Scores'!$C$10:$C$161=$C143),0),
  _xlpm.c, MATCH(CM$8,'3. Enter Indicator Scores'!$D$8:$CZ$8,0),
  _xlpm.v, IFERROR(INDEX('3. Enter Indicator Scores'!$D$10:$CZ$161,_xlpm.r,_xlpm.c),""),
  IF(OR(_xlpm.w="",_xlpm.v=""),"",_xlpm.v*_xlpm.w)
)</f>
        <v/>
      </c>
      <c r="CN143" s="93" t="str" cm="1">
        <f t="array" ref="CN143">_xlfn.LET(
  _xlpm.w, CN$11,
  _xlpm.r, MATCH(1,('3. Enter Indicator Scores'!$B$10:$B$161=$B143)*('3. Enter Indicator Scores'!$C$10:$C$161=$C143),0),
  _xlpm.c, MATCH(CN$8,'3. Enter Indicator Scores'!$D$8:$CZ$8,0),
  _xlpm.v, IFERROR(INDEX('3. Enter Indicator Scores'!$D$10:$CZ$161,_xlpm.r,_xlpm.c),""),
  IF(OR(_xlpm.w="",_xlpm.v=""),"",_xlpm.v*_xlpm.w)
)</f>
        <v/>
      </c>
      <c r="CO143" s="93" t="str" cm="1">
        <f t="array" ref="CO143">_xlfn.LET(
  _xlpm.w, CO$11,
  _xlpm.r, MATCH(1,('3. Enter Indicator Scores'!$B$10:$B$161=$B143)*('3. Enter Indicator Scores'!$C$10:$C$161=$C143),0),
  _xlpm.c, MATCH(CO$8,'3. Enter Indicator Scores'!$D$8:$CZ$8,0),
  _xlpm.v, IFERROR(INDEX('3. Enter Indicator Scores'!$D$10:$CZ$161,_xlpm.r,_xlpm.c),""),
  IF(OR(_xlpm.w="",_xlpm.v=""),"",_xlpm.v*_xlpm.w)
)</f>
        <v/>
      </c>
      <c r="CP143" s="93" t="str" cm="1">
        <f t="array" ref="CP143">_xlfn.LET(
  _xlpm.w, CP$11,
  _xlpm.r, MATCH(1,('3. Enter Indicator Scores'!$B$10:$B$161=$B143)*('3. Enter Indicator Scores'!$C$10:$C$161=$C143),0),
  _xlpm.c, MATCH(CP$8,'3. Enter Indicator Scores'!$D$8:$CZ$8,0),
  _xlpm.v, IFERROR(INDEX('3. Enter Indicator Scores'!$D$10:$CZ$161,_xlpm.r,_xlpm.c),""),
  IF(OR(_xlpm.w="",_xlpm.v=""),"",_xlpm.v*_xlpm.w)
)</f>
        <v/>
      </c>
      <c r="CQ143" s="93" t="str" cm="1">
        <f t="array" ref="CQ143">_xlfn.LET(
  _xlpm.w, CQ$11,
  _xlpm.r, MATCH(1,('3. Enter Indicator Scores'!$B$10:$B$161=$B143)*('3. Enter Indicator Scores'!$C$10:$C$161=$C143),0),
  _xlpm.c, MATCH(CQ$8,'3. Enter Indicator Scores'!$D$8:$CZ$8,0),
  _xlpm.v, IFERROR(INDEX('3. Enter Indicator Scores'!$D$10:$CZ$161,_xlpm.r,_xlpm.c),""),
  IF(OR(_xlpm.w="",_xlpm.v=""),"",_xlpm.v*_xlpm.w)
)</f>
        <v/>
      </c>
      <c r="CR143" s="93" t="str" cm="1">
        <f t="array" ref="CR143">_xlfn.LET(
  _xlpm.w, CR$11,
  _xlpm.r, MATCH(1,('3. Enter Indicator Scores'!$B$10:$B$161=$B143)*('3. Enter Indicator Scores'!$C$10:$C$161=$C143),0),
  _xlpm.c, MATCH(CR$8,'3. Enter Indicator Scores'!$D$8:$CZ$8,0),
  _xlpm.v, IFERROR(INDEX('3. Enter Indicator Scores'!$D$10:$CZ$161,_xlpm.r,_xlpm.c),""),
  IF(OR(_xlpm.w="",_xlpm.v=""),"",_xlpm.v*_xlpm.w)
)</f>
        <v/>
      </c>
      <c r="CS143" s="93" t="str" cm="1">
        <f t="array" ref="CS143">_xlfn.LET(
  _xlpm.w, CS$11,
  _xlpm.r, MATCH(1,('3. Enter Indicator Scores'!$B$10:$B$161=$B143)*('3. Enter Indicator Scores'!$C$10:$C$161=$C143),0),
  _xlpm.c, MATCH(CS$8,'3. Enter Indicator Scores'!$D$8:$CZ$8,0),
  _xlpm.v, IFERROR(INDEX('3. Enter Indicator Scores'!$D$10:$CZ$161,_xlpm.r,_xlpm.c),""),
  IF(OR(_xlpm.w="",_xlpm.v=""),"",_xlpm.v*_xlpm.w)
)</f>
        <v/>
      </c>
      <c r="CT143" s="93" t="str" cm="1">
        <f t="array" ref="CT143">_xlfn.LET(
  _xlpm.w, CT$11,
  _xlpm.r, MATCH(1,('3. Enter Indicator Scores'!$B$10:$B$161=$B143)*('3. Enter Indicator Scores'!$C$10:$C$161=$C143),0),
  _xlpm.c, MATCH(CT$8,'3. Enter Indicator Scores'!$D$8:$CZ$8,0),
  _xlpm.v, IFERROR(INDEX('3. Enter Indicator Scores'!$D$10:$CZ$161,_xlpm.r,_xlpm.c),""),
  IF(OR(_xlpm.w="",_xlpm.v=""),"",_xlpm.v*_xlpm.w)
)</f>
        <v/>
      </c>
      <c r="CU143" s="93" t="str" cm="1">
        <f t="array" ref="CU143">_xlfn.LET(
  _xlpm.w, CU$11,
  _xlpm.r, MATCH(1,('3. Enter Indicator Scores'!$B$10:$B$161=$B143)*('3. Enter Indicator Scores'!$C$10:$C$161=$C143),0),
  _xlpm.c, MATCH(CU$8,'3. Enter Indicator Scores'!$D$8:$CZ$8,0),
  _xlpm.v, IFERROR(INDEX('3. Enter Indicator Scores'!$D$10:$CZ$161,_xlpm.r,_xlpm.c),""),
  IF(OR(_xlpm.w="",_xlpm.v=""),"",_xlpm.v*_xlpm.w)
)</f>
        <v/>
      </c>
      <c r="CV143" s="93" t="str" cm="1">
        <f t="array" ref="CV143">_xlfn.LET(
  _xlpm.w, CV$11,
  _xlpm.r, MATCH(1,('3. Enter Indicator Scores'!$B$10:$B$161=$B143)*('3. Enter Indicator Scores'!$C$10:$C$161=$C143),0),
  _xlpm.c, MATCH(CV$8,'3. Enter Indicator Scores'!$D$8:$CZ$8,0),
  _xlpm.v, IFERROR(INDEX('3. Enter Indicator Scores'!$D$10:$CZ$161,_xlpm.r,_xlpm.c),""),
  IF(OR(_xlpm.w="",_xlpm.v=""),"",_xlpm.v*_xlpm.w)
)</f>
        <v/>
      </c>
      <c r="CW143" s="93" t="str" cm="1">
        <f t="array" ref="CW143">_xlfn.LET(
  _xlpm.w, CW$11,
  _xlpm.r, MATCH(1,('3. Enter Indicator Scores'!$B$10:$B$161=$B143)*('3. Enter Indicator Scores'!$C$10:$C$161=$C143),0),
  _xlpm.c, MATCH(CW$8,'3. Enter Indicator Scores'!$D$8:$CZ$8,0),
  _xlpm.v, IFERROR(INDEX('3. Enter Indicator Scores'!$D$10:$CZ$161,_xlpm.r,_xlpm.c),""),
  IF(OR(_xlpm.w="",_xlpm.v=""),"",_xlpm.v*_xlpm.w)
)</f>
        <v/>
      </c>
      <c r="CX143" s="93" t="str" cm="1">
        <f t="array" ref="CX143">_xlfn.LET(
  _xlpm.w, CX$11,
  _xlpm.r, MATCH(1,('3. Enter Indicator Scores'!$B$10:$B$161=$B143)*('3. Enter Indicator Scores'!$C$10:$C$161=$C143),0),
  _xlpm.c, MATCH(CX$8,'3. Enter Indicator Scores'!$D$8:$CZ$8,0),
  _xlpm.v, IFERROR(INDEX('3. Enter Indicator Scores'!$D$10:$CZ$161,_xlpm.r,_xlpm.c),""),
  IF(OR(_xlpm.w="",_xlpm.v=""),"",_xlpm.v*_xlpm.w)
)</f>
        <v/>
      </c>
      <c r="CY143" s="93" t="str" cm="1">
        <f t="array" ref="CY143">_xlfn.LET(
  _xlpm.w, CY$11,
  _xlpm.r, MATCH(1,('3. Enter Indicator Scores'!$B$10:$B$161=$B143)*('3. Enter Indicator Scores'!$C$10:$C$161=$C143),0),
  _xlpm.c, MATCH(CY$8,'3. Enter Indicator Scores'!$D$8:$CZ$8,0),
  _xlpm.v, IFERROR(INDEX('3. Enter Indicator Scores'!$D$10:$CZ$161,_xlpm.r,_xlpm.c),""),
  IF(OR(_xlpm.w="",_xlpm.v=""),"",_xlpm.v*_xlpm.w)
)</f>
        <v/>
      </c>
      <c r="CZ143" s="93" t="str" cm="1">
        <f t="array" ref="CZ143">_xlfn.LET(
  _xlpm.w, CZ$11,
  _xlpm.r, MATCH(1,('3. Enter Indicator Scores'!$B$10:$B$161=$B143)*('3. Enter Indicator Scores'!$C$10:$C$161=$C143),0),
  _xlpm.c, MATCH(CZ$8,'3. Enter Indicator Scores'!$D$8:$CZ$8,0),
  _xlpm.v, IFERROR(INDEX('3. Enter Indicator Scores'!$D$10:$CZ$161,_xlpm.r,_xlpm.c),""),
  IF(OR(_xlpm.w="",_xlpm.v=""),"",_xlpm.v*_xlpm.w)
)</f>
        <v/>
      </c>
    </row>
    <row r="144" spans="4:104" x14ac:dyDescent="0.2">
      <c r="D144" s="93" t="str" cm="1">
        <f t="array" ref="D144">_xlfn.LET(
  _xlpm.w, D$11,
  _xlpm.r, MATCH(1,('3. Enter Indicator Scores'!$B$10:$B$161=$B144)*('3. Enter Indicator Scores'!$C$10:$C$161=$C144),0),
  _xlpm.c, MATCH(D$8,'3. Enter Indicator Scores'!$D$8:$CZ$8,0),
  _xlpm.v, IFERROR(INDEX('3. Enter Indicator Scores'!$D$10:$CZ$161,_xlpm.r,_xlpm.c),""),
  IF(OR(_xlpm.w="",_xlpm.v=""),"",_xlpm.v*_xlpm.w)
)</f>
        <v/>
      </c>
      <c r="E144" s="93" t="str" cm="1">
        <f t="array" ref="E144">_xlfn.LET(
  _xlpm.w, E$11,
  _xlpm.r, MATCH(1,('3. Enter Indicator Scores'!$B$10:$B$161=$B144)*('3. Enter Indicator Scores'!$C$10:$C$161=$C144),0),
  _xlpm.c, MATCH(E$8,'3. Enter Indicator Scores'!$D$8:$CZ$8,0),
  _xlpm.v, IFERROR(INDEX('3. Enter Indicator Scores'!$D$10:$CZ$161,_xlpm.r,_xlpm.c),""),
  IF(OR(_xlpm.w="",_xlpm.v=""),"",_xlpm.v*_xlpm.w)
)</f>
        <v/>
      </c>
      <c r="F144" s="93" t="str" cm="1">
        <f t="array" ref="F144">_xlfn.LET(
  _xlpm.w, F$11,
  _xlpm.r, MATCH(1,('3. Enter Indicator Scores'!$B$10:$B$161=$B144)*('3. Enter Indicator Scores'!$C$10:$C$161=$C144),0),
  _xlpm.c, MATCH(F$8,'3. Enter Indicator Scores'!$D$8:$CZ$8,0),
  _xlpm.v, IFERROR(INDEX('3. Enter Indicator Scores'!$D$10:$CZ$161,_xlpm.r,_xlpm.c),""),
  IF(OR(_xlpm.w="",_xlpm.v=""),"",_xlpm.v*_xlpm.w)
)</f>
        <v/>
      </c>
      <c r="G144" s="93" t="str" cm="1">
        <f t="array" ref="G144">_xlfn.LET(
  _xlpm.w, G$11,
  _xlpm.r, MATCH(1,('3. Enter Indicator Scores'!$B$10:$B$161=$B144)*('3. Enter Indicator Scores'!$C$10:$C$161=$C144),0),
  _xlpm.c, MATCH(G$8,'3. Enter Indicator Scores'!$D$8:$CZ$8,0),
  _xlpm.v, IFERROR(INDEX('3. Enter Indicator Scores'!$D$10:$CZ$161,_xlpm.r,_xlpm.c),""),
  IF(OR(_xlpm.w="",_xlpm.v=""),"",_xlpm.v*_xlpm.w)
)</f>
        <v/>
      </c>
      <c r="H144" s="93" t="str" cm="1">
        <f t="array" ref="H144">_xlfn.LET(
  _xlpm.w, H$11,
  _xlpm.r, MATCH(1,('3. Enter Indicator Scores'!$B$10:$B$161=$B144)*('3. Enter Indicator Scores'!$C$10:$C$161=$C144),0),
  _xlpm.c, MATCH(H$8,'3. Enter Indicator Scores'!$D$8:$CZ$8,0),
  _xlpm.v, IFERROR(INDEX('3. Enter Indicator Scores'!$D$10:$CZ$161,_xlpm.r,_xlpm.c),""),
  IF(OR(_xlpm.w="",_xlpm.v=""),"",_xlpm.v*_xlpm.w)
)</f>
        <v/>
      </c>
      <c r="I144" s="93" t="str" cm="1">
        <f t="array" ref="I144">_xlfn.LET(
  _xlpm.w, I$11,
  _xlpm.r, MATCH(1,('3. Enter Indicator Scores'!$B$10:$B$161=$B144)*('3. Enter Indicator Scores'!$C$10:$C$161=$C144),0),
  _xlpm.c, MATCH(I$8,'3. Enter Indicator Scores'!$D$8:$CZ$8,0),
  _xlpm.v, IFERROR(INDEX('3. Enter Indicator Scores'!$D$10:$CZ$161,_xlpm.r,_xlpm.c),""),
  IF(OR(_xlpm.w="",_xlpm.v=""),"",_xlpm.v*_xlpm.w)
)</f>
        <v/>
      </c>
      <c r="J144" s="93" t="str" cm="1">
        <f t="array" ref="J144">_xlfn.LET(
  _xlpm.w, J$11,
  _xlpm.r, MATCH(1,('3. Enter Indicator Scores'!$B$10:$B$161=$B144)*('3. Enter Indicator Scores'!$C$10:$C$161=$C144),0),
  _xlpm.c, MATCH(J$8,'3. Enter Indicator Scores'!$D$8:$CZ$8,0),
  _xlpm.v, IFERROR(INDEX('3. Enter Indicator Scores'!$D$10:$CZ$161,_xlpm.r,_xlpm.c),""),
  IF(OR(_xlpm.w="",_xlpm.v=""),"",_xlpm.v*_xlpm.w)
)</f>
        <v/>
      </c>
      <c r="K144" s="93" t="str" cm="1">
        <f t="array" ref="K144">_xlfn.LET(
  _xlpm.w, K$11,
  _xlpm.r, MATCH(1,('3. Enter Indicator Scores'!$B$10:$B$161=$B144)*('3. Enter Indicator Scores'!$C$10:$C$161=$C144),0),
  _xlpm.c, MATCH(K$8,'3. Enter Indicator Scores'!$D$8:$CZ$8,0),
  _xlpm.v, IFERROR(INDEX('3. Enter Indicator Scores'!$D$10:$CZ$161,_xlpm.r,_xlpm.c),""),
  IF(OR(_xlpm.w="",_xlpm.v=""),"",_xlpm.v*_xlpm.w)
)</f>
        <v/>
      </c>
      <c r="L144" s="93" t="str" cm="1">
        <f t="array" ref="L144">_xlfn.LET(
  _xlpm.w, L$11,
  _xlpm.r, MATCH(1,('3. Enter Indicator Scores'!$B$10:$B$161=$B144)*('3. Enter Indicator Scores'!$C$10:$C$161=$C144),0),
  _xlpm.c, MATCH(L$8,'3. Enter Indicator Scores'!$D$8:$CZ$8,0),
  _xlpm.v, IFERROR(INDEX('3. Enter Indicator Scores'!$D$10:$CZ$161,_xlpm.r,_xlpm.c),""),
  IF(OR(_xlpm.w="",_xlpm.v=""),"",_xlpm.v*_xlpm.w)
)</f>
        <v/>
      </c>
      <c r="M144" s="93" t="str" cm="1">
        <f t="array" ref="M144">_xlfn.LET(
  _xlpm.w, M$11,
  _xlpm.r, MATCH(1,('3. Enter Indicator Scores'!$B$10:$B$161=$B144)*('3. Enter Indicator Scores'!$C$10:$C$161=$C144),0),
  _xlpm.c, MATCH(M$8,'3. Enter Indicator Scores'!$D$8:$CZ$8,0),
  _xlpm.v, IFERROR(INDEX('3. Enter Indicator Scores'!$D$10:$CZ$161,_xlpm.r,_xlpm.c),""),
  IF(OR(_xlpm.w="",_xlpm.v=""),"",_xlpm.v*_xlpm.w)
)</f>
        <v/>
      </c>
      <c r="N144" s="93" t="str" cm="1">
        <f t="array" ref="N144">_xlfn.LET(
  _xlpm.w, N$11,
  _xlpm.r, MATCH(1,('3. Enter Indicator Scores'!$B$10:$B$161=$B144)*('3. Enter Indicator Scores'!$C$10:$C$161=$C144),0),
  _xlpm.c, MATCH(N$8,'3. Enter Indicator Scores'!$D$8:$CZ$8,0),
  _xlpm.v, IFERROR(INDEX('3. Enter Indicator Scores'!$D$10:$CZ$161,_xlpm.r,_xlpm.c),""),
  IF(OR(_xlpm.w="",_xlpm.v=""),"",_xlpm.v*_xlpm.w)
)</f>
        <v/>
      </c>
      <c r="O144" s="93" t="str" cm="1">
        <f t="array" ref="O144">_xlfn.LET(
  _xlpm.w, O$11,
  _xlpm.r, MATCH(1,('3. Enter Indicator Scores'!$B$10:$B$161=$B144)*('3. Enter Indicator Scores'!$C$10:$C$161=$C144),0),
  _xlpm.c, MATCH(O$8,'3. Enter Indicator Scores'!$D$8:$CZ$8,0),
  _xlpm.v, IFERROR(INDEX('3. Enter Indicator Scores'!$D$10:$CZ$161,_xlpm.r,_xlpm.c),""),
  IF(OR(_xlpm.w="",_xlpm.v=""),"",_xlpm.v*_xlpm.w)
)</f>
        <v/>
      </c>
      <c r="P144" s="93" t="str" cm="1">
        <f t="array" ref="P144">_xlfn.LET(
  _xlpm.w, P$11,
  _xlpm.r, MATCH(1,('3. Enter Indicator Scores'!$B$10:$B$161=$B144)*('3. Enter Indicator Scores'!$C$10:$C$161=$C144),0),
  _xlpm.c, MATCH(P$8,'3. Enter Indicator Scores'!$D$8:$CZ$8,0),
  _xlpm.v, IFERROR(INDEX('3. Enter Indicator Scores'!$D$10:$CZ$161,_xlpm.r,_xlpm.c),""),
  IF(OR(_xlpm.w="",_xlpm.v=""),"",_xlpm.v*_xlpm.w)
)</f>
        <v/>
      </c>
      <c r="Q144" s="93" t="str" cm="1">
        <f t="array" ref="Q144">_xlfn.LET(
  _xlpm.w, Q$11,
  _xlpm.r, MATCH(1,('3. Enter Indicator Scores'!$B$10:$B$161=$B144)*('3. Enter Indicator Scores'!$C$10:$C$161=$C144),0),
  _xlpm.c, MATCH(Q$8,'3. Enter Indicator Scores'!$D$8:$CZ$8,0),
  _xlpm.v, IFERROR(INDEX('3. Enter Indicator Scores'!$D$10:$CZ$161,_xlpm.r,_xlpm.c),""),
  IF(OR(_xlpm.w="",_xlpm.v=""),"",_xlpm.v*_xlpm.w)
)</f>
        <v/>
      </c>
      <c r="R144" s="93" t="str" cm="1">
        <f t="array" ref="R144">_xlfn.LET(
  _xlpm.w, R$11,
  _xlpm.r, MATCH(1,('3. Enter Indicator Scores'!$B$10:$B$161=$B144)*('3. Enter Indicator Scores'!$C$10:$C$161=$C144),0),
  _xlpm.c, MATCH(R$8,'3. Enter Indicator Scores'!$D$8:$CZ$8,0),
  _xlpm.v, IFERROR(INDEX('3. Enter Indicator Scores'!$D$10:$CZ$161,_xlpm.r,_xlpm.c),""),
  IF(OR(_xlpm.w="",_xlpm.v=""),"",_xlpm.v*_xlpm.w)
)</f>
        <v/>
      </c>
      <c r="S144" s="93" t="str" cm="1">
        <f t="array" ref="S144">_xlfn.LET(
  _xlpm.w, S$11,
  _xlpm.r, MATCH(1,('3. Enter Indicator Scores'!$B$10:$B$161=$B144)*('3. Enter Indicator Scores'!$C$10:$C$161=$C144),0),
  _xlpm.c, MATCH(S$8,'3. Enter Indicator Scores'!$D$8:$CZ$8,0),
  _xlpm.v, IFERROR(INDEX('3. Enter Indicator Scores'!$D$10:$CZ$161,_xlpm.r,_xlpm.c),""),
  IF(OR(_xlpm.w="",_xlpm.v=""),"",_xlpm.v*_xlpm.w)
)</f>
        <v/>
      </c>
      <c r="T144" s="93" t="str" cm="1">
        <f t="array" ref="T144">_xlfn.LET(
  _xlpm.w, T$11,
  _xlpm.r, MATCH(1,('3. Enter Indicator Scores'!$B$10:$B$161=$B144)*('3. Enter Indicator Scores'!$C$10:$C$161=$C144),0),
  _xlpm.c, MATCH(T$8,'3. Enter Indicator Scores'!$D$8:$CZ$8,0),
  _xlpm.v, IFERROR(INDEX('3. Enter Indicator Scores'!$D$10:$CZ$161,_xlpm.r,_xlpm.c),""),
  IF(OR(_xlpm.w="",_xlpm.v=""),"",_xlpm.v*_xlpm.w)
)</f>
        <v/>
      </c>
      <c r="U144" s="93" t="str" cm="1">
        <f t="array" ref="U144">_xlfn.LET(
  _xlpm.w, U$11,
  _xlpm.r, MATCH(1,('3. Enter Indicator Scores'!$B$10:$B$161=$B144)*('3. Enter Indicator Scores'!$C$10:$C$161=$C144),0),
  _xlpm.c, MATCH(U$8,'3. Enter Indicator Scores'!$D$8:$CZ$8,0),
  _xlpm.v, IFERROR(INDEX('3. Enter Indicator Scores'!$D$10:$CZ$161,_xlpm.r,_xlpm.c),""),
  IF(OR(_xlpm.w="",_xlpm.v=""),"",_xlpm.v*_xlpm.w)
)</f>
        <v/>
      </c>
      <c r="V144" s="93" t="str" cm="1">
        <f t="array" ref="V144">_xlfn.LET(
  _xlpm.w, V$11,
  _xlpm.r, MATCH(1,('3. Enter Indicator Scores'!$B$10:$B$161=$B144)*('3. Enter Indicator Scores'!$C$10:$C$161=$C144),0),
  _xlpm.c, MATCH(V$8,'3. Enter Indicator Scores'!$D$8:$CZ$8,0),
  _xlpm.v, IFERROR(INDEX('3. Enter Indicator Scores'!$D$10:$CZ$161,_xlpm.r,_xlpm.c),""),
  IF(OR(_xlpm.w="",_xlpm.v=""),"",_xlpm.v*_xlpm.w)
)</f>
        <v/>
      </c>
      <c r="W144" s="93" t="str" cm="1">
        <f t="array" ref="W144">_xlfn.LET(
  _xlpm.w, W$11,
  _xlpm.r, MATCH(1,('3. Enter Indicator Scores'!$B$10:$B$161=$B144)*('3. Enter Indicator Scores'!$C$10:$C$161=$C144),0),
  _xlpm.c, MATCH(W$8,'3. Enter Indicator Scores'!$D$8:$CZ$8,0),
  _xlpm.v, IFERROR(INDEX('3. Enter Indicator Scores'!$D$10:$CZ$161,_xlpm.r,_xlpm.c),""),
  IF(OR(_xlpm.w="",_xlpm.v=""),"",_xlpm.v*_xlpm.w)
)</f>
        <v/>
      </c>
      <c r="X144" s="93" t="str" cm="1">
        <f t="array" ref="X144">_xlfn.LET(
  _xlpm.w, X$11,
  _xlpm.r, MATCH(1,('3. Enter Indicator Scores'!$B$10:$B$161=$B144)*('3. Enter Indicator Scores'!$C$10:$C$161=$C144),0),
  _xlpm.c, MATCH(X$8,'3. Enter Indicator Scores'!$D$8:$CZ$8,0),
  _xlpm.v, IFERROR(INDEX('3. Enter Indicator Scores'!$D$10:$CZ$161,_xlpm.r,_xlpm.c),""),
  IF(OR(_xlpm.w="",_xlpm.v=""),"",_xlpm.v*_xlpm.w)
)</f>
        <v/>
      </c>
      <c r="Y144" s="93" t="str" cm="1">
        <f t="array" ref="Y144">_xlfn.LET(
  _xlpm.w, Y$11,
  _xlpm.r, MATCH(1,('3. Enter Indicator Scores'!$B$10:$B$161=$B144)*('3. Enter Indicator Scores'!$C$10:$C$161=$C144),0),
  _xlpm.c, MATCH(Y$8,'3. Enter Indicator Scores'!$D$8:$CZ$8,0),
  _xlpm.v, IFERROR(INDEX('3. Enter Indicator Scores'!$D$10:$CZ$161,_xlpm.r,_xlpm.c),""),
  IF(OR(_xlpm.w="",_xlpm.v=""),"",_xlpm.v*_xlpm.w)
)</f>
        <v/>
      </c>
      <c r="Z144" s="93" t="str" cm="1">
        <f t="array" ref="Z144">_xlfn.LET(
  _xlpm.w, Z$11,
  _xlpm.r, MATCH(1,('3. Enter Indicator Scores'!$B$10:$B$161=$B144)*('3. Enter Indicator Scores'!$C$10:$C$161=$C144),0),
  _xlpm.c, MATCH(Z$8,'3. Enter Indicator Scores'!$D$8:$CZ$8,0),
  _xlpm.v, IFERROR(INDEX('3. Enter Indicator Scores'!$D$10:$CZ$161,_xlpm.r,_xlpm.c),""),
  IF(OR(_xlpm.w="",_xlpm.v=""),"",_xlpm.v*_xlpm.w)
)</f>
        <v/>
      </c>
      <c r="AA144" s="93" t="str" cm="1">
        <f t="array" ref="AA144">_xlfn.LET(
  _xlpm.w, AA$11,
  _xlpm.r, MATCH(1,('3. Enter Indicator Scores'!$B$10:$B$161=$B144)*('3. Enter Indicator Scores'!$C$10:$C$161=$C144),0),
  _xlpm.c, MATCH(AA$8,'3. Enter Indicator Scores'!$D$8:$CZ$8,0),
  _xlpm.v, IFERROR(INDEX('3. Enter Indicator Scores'!$D$10:$CZ$161,_xlpm.r,_xlpm.c),""),
  IF(OR(_xlpm.w="",_xlpm.v=""),"",_xlpm.v*_xlpm.w)
)</f>
        <v/>
      </c>
      <c r="AB144" s="93" t="str" cm="1">
        <f t="array" ref="AB144">_xlfn.LET(
  _xlpm.w, AB$11,
  _xlpm.r, MATCH(1,('3. Enter Indicator Scores'!$B$10:$B$161=$B144)*('3. Enter Indicator Scores'!$C$10:$C$161=$C144),0),
  _xlpm.c, MATCH(AB$8,'3. Enter Indicator Scores'!$D$8:$CZ$8,0),
  _xlpm.v, IFERROR(INDEX('3. Enter Indicator Scores'!$D$10:$CZ$161,_xlpm.r,_xlpm.c),""),
  IF(OR(_xlpm.w="",_xlpm.v=""),"",_xlpm.v*_xlpm.w)
)</f>
        <v/>
      </c>
      <c r="AC144" s="93" t="str" cm="1">
        <f t="array" ref="AC144">_xlfn.LET(
  _xlpm.w, AC$11,
  _xlpm.r, MATCH(1,('3. Enter Indicator Scores'!$B$10:$B$161=$B144)*('3. Enter Indicator Scores'!$C$10:$C$161=$C144),0),
  _xlpm.c, MATCH(AC$8,'3. Enter Indicator Scores'!$D$8:$CZ$8,0),
  _xlpm.v, IFERROR(INDEX('3. Enter Indicator Scores'!$D$10:$CZ$161,_xlpm.r,_xlpm.c),""),
  IF(OR(_xlpm.w="",_xlpm.v=""),"",_xlpm.v*_xlpm.w)
)</f>
        <v/>
      </c>
      <c r="AD144" s="93" t="str" cm="1">
        <f t="array" ref="AD144">_xlfn.LET(
  _xlpm.w, AD$11,
  _xlpm.r, MATCH(1,('3. Enter Indicator Scores'!$B$10:$B$161=$B144)*('3. Enter Indicator Scores'!$C$10:$C$161=$C144),0),
  _xlpm.c, MATCH(AD$8,'3. Enter Indicator Scores'!$D$8:$CZ$8,0),
  _xlpm.v, IFERROR(INDEX('3. Enter Indicator Scores'!$D$10:$CZ$161,_xlpm.r,_xlpm.c),""),
  IF(OR(_xlpm.w="",_xlpm.v=""),"",_xlpm.v*_xlpm.w)
)</f>
        <v/>
      </c>
      <c r="AE144" s="93" t="str" cm="1">
        <f t="array" ref="AE144">_xlfn.LET(
  _xlpm.w, AE$11,
  _xlpm.r, MATCH(1,('3. Enter Indicator Scores'!$B$10:$B$161=$B144)*('3. Enter Indicator Scores'!$C$10:$C$161=$C144),0),
  _xlpm.c, MATCH(AE$8,'3. Enter Indicator Scores'!$D$8:$CZ$8,0),
  _xlpm.v, IFERROR(INDEX('3. Enter Indicator Scores'!$D$10:$CZ$161,_xlpm.r,_xlpm.c),""),
  IF(OR(_xlpm.w="",_xlpm.v=""),"",_xlpm.v*_xlpm.w)
)</f>
        <v/>
      </c>
      <c r="AF144" s="93" t="str" cm="1">
        <f t="array" ref="AF144">_xlfn.LET(
  _xlpm.w, AF$11,
  _xlpm.r, MATCH(1,('3. Enter Indicator Scores'!$B$10:$B$161=$B144)*('3. Enter Indicator Scores'!$C$10:$C$161=$C144),0),
  _xlpm.c, MATCH(AF$8,'3. Enter Indicator Scores'!$D$8:$CZ$8,0),
  _xlpm.v, IFERROR(INDEX('3. Enter Indicator Scores'!$D$10:$CZ$161,_xlpm.r,_xlpm.c),""),
  IF(OR(_xlpm.w="",_xlpm.v=""),"",_xlpm.v*_xlpm.w)
)</f>
        <v/>
      </c>
      <c r="AG144" s="93" t="str" cm="1">
        <f t="array" ref="AG144">_xlfn.LET(
  _xlpm.w, AG$11,
  _xlpm.r, MATCH(1,('3. Enter Indicator Scores'!$B$10:$B$161=$B144)*('3. Enter Indicator Scores'!$C$10:$C$161=$C144),0),
  _xlpm.c, MATCH(AG$8,'3. Enter Indicator Scores'!$D$8:$CZ$8,0),
  _xlpm.v, IFERROR(INDEX('3. Enter Indicator Scores'!$D$10:$CZ$161,_xlpm.r,_xlpm.c),""),
  IF(OR(_xlpm.w="",_xlpm.v=""),"",_xlpm.v*_xlpm.w)
)</f>
        <v/>
      </c>
      <c r="AH144" s="93" t="str" cm="1">
        <f t="array" ref="AH144">_xlfn.LET(
  _xlpm.w, AH$11,
  _xlpm.r, MATCH(1,('3. Enter Indicator Scores'!$B$10:$B$161=$B144)*('3. Enter Indicator Scores'!$C$10:$C$161=$C144),0),
  _xlpm.c, MATCH(AH$8,'3. Enter Indicator Scores'!$D$8:$CZ$8,0),
  _xlpm.v, IFERROR(INDEX('3. Enter Indicator Scores'!$D$10:$CZ$161,_xlpm.r,_xlpm.c),""),
  IF(OR(_xlpm.w="",_xlpm.v=""),"",_xlpm.v*_xlpm.w)
)</f>
        <v/>
      </c>
      <c r="AI144" s="93" t="str" cm="1">
        <f t="array" ref="AI144">_xlfn.LET(
  _xlpm.w, AI$11,
  _xlpm.r, MATCH(1,('3. Enter Indicator Scores'!$B$10:$B$161=$B144)*('3. Enter Indicator Scores'!$C$10:$C$161=$C144),0),
  _xlpm.c, MATCH(AI$8,'3. Enter Indicator Scores'!$D$8:$CZ$8,0),
  _xlpm.v, IFERROR(INDEX('3. Enter Indicator Scores'!$D$10:$CZ$161,_xlpm.r,_xlpm.c),""),
  IF(OR(_xlpm.w="",_xlpm.v=""),"",_xlpm.v*_xlpm.w)
)</f>
        <v/>
      </c>
      <c r="AJ144" s="93" t="str" cm="1">
        <f t="array" ref="AJ144">_xlfn.LET(
  _xlpm.w, AJ$11,
  _xlpm.r, MATCH(1,('3. Enter Indicator Scores'!$B$10:$B$161=$B144)*('3. Enter Indicator Scores'!$C$10:$C$161=$C144),0),
  _xlpm.c, MATCH(AJ$8,'3. Enter Indicator Scores'!$D$8:$CZ$8,0),
  _xlpm.v, IFERROR(INDEX('3. Enter Indicator Scores'!$D$10:$CZ$161,_xlpm.r,_xlpm.c),""),
  IF(OR(_xlpm.w="",_xlpm.v=""),"",_xlpm.v*_xlpm.w)
)</f>
        <v/>
      </c>
      <c r="AK144" s="93" t="str" cm="1">
        <f t="array" ref="AK144">_xlfn.LET(
  _xlpm.w, AK$11,
  _xlpm.r, MATCH(1,('3. Enter Indicator Scores'!$B$10:$B$161=$B144)*('3. Enter Indicator Scores'!$C$10:$C$161=$C144),0),
  _xlpm.c, MATCH(AK$8,'3. Enter Indicator Scores'!$D$8:$CZ$8,0),
  _xlpm.v, IFERROR(INDEX('3. Enter Indicator Scores'!$D$10:$CZ$161,_xlpm.r,_xlpm.c),""),
  IF(OR(_xlpm.w="",_xlpm.v=""),"",_xlpm.v*_xlpm.w)
)</f>
        <v/>
      </c>
      <c r="AL144" s="93" t="str" cm="1">
        <f t="array" ref="AL144">_xlfn.LET(
  _xlpm.w, AL$11,
  _xlpm.r, MATCH(1,('3. Enter Indicator Scores'!$B$10:$B$161=$B144)*('3. Enter Indicator Scores'!$C$10:$C$161=$C144),0),
  _xlpm.c, MATCH(AL$8,'3. Enter Indicator Scores'!$D$8:$CZ$8,0),
  _xlpm.v, IFERROR(INDEX('3. Enter Indicator Scores'!$D$10:$CZ$161,_xlpm.r,_xlpm.c),""),
  IF(OR(_xlpm.w="",_xlpm.v=""),"",_xlpm.v*_xlpm.w)
)</f>
        <v/>
      </c>
      <c r="AM144" s="93" t="str" cm="1">
        <f t="array" ref="AM144">_xlfn.LET(
  _xlpm.w, AM$11,
  _xlpm.r, MATCH(1,('3. Enter Indicator Scores'!$B$10:$B$161=$B144)*('3. Enter Indicator Scores'!$C$10:$C$161=$C144),0),
  _xlpm.c, MATCH(AM$8,'3. Enter Indicator Scores'!$D$8:$CZ$8,0),
  _xlpm.v, IFERROR(INDEX('3. Enter Indicator Scores'!$D$10:$CZ$161,_xlpm.r,_xlpm.c),""),
  IF(OR(_xlpm.w="",_xlpm.v=""),"",_xlpm.v*_xlpm.w)
)</f>
        <v/>
      </c>
      <c r="AN144" s="93" t="str" cm="1">
        <f t="array" ref="AN144">_xlfn.LET(
  _xlpm.w, AN$11,
  _xlpm.r, MATCH(1,('3. Enter Indicator Scores'!$B$10:$B$161=$B144)*('3. Enter Indicator Scores'!$C$10:$C$161=$C144),0),
  _xlpm.c, MATCH(AN$8,'3. Enter Indicator Scores'!$D$8:$CZ$8,0),
  _xlpm.v, IFERROR(INDEX('3. Enter Indicator Scores'!$D$10:$CZ$161,_xlpm.r,_xlpm.c),""),
  IF(OR(_xlpm.w="",_xlpm.v=""),"",_xlpm.v*_xlpm.w)
)</f>
        <v/>
      </c>
      <c r="AO144" s="93" t="str" cm="1">
        <f t="array" ref="AO144">_xlfn.LET(
  _xlpm.w, AO$11,
  _xlpm.r, MATCH(1,('3. Enter Indicator Scores'!$B$10:$B$161=$B144)*('3. Enter Indicator Scores'!$C$10:$C$161=$C144),0),
  _xlpm.c, MATCH(AO$8,'3. Enter Indicator Scores'!$D$8:$CZ$8,0),
  _xlpm.v, IFERROR(INDEX('3. Enter Indicator Scores'!$D$10:$CZ$161,_xlpm.r,_xlpm.c),""),
  IF(OR(_xlpm.w="",_xlpm.v=""),"",_xlpm.v*_xlpm.w)
)</f>
        <v/>
      </c>
      <c r="AP144" s="93" t="str" cm="1">
        <f t="array" ref="AP144">_xlfn.LET(
  _xlpm.w, AP$11,
  _xlpm.r, MATCH(1,('3. Enter Indicator Scores'!$B$10:$B$161=$B144)*('3. Enter Indicator Scores'!$C$10:$C$161=$C144),0),
  _xlpm.c, MATCH(AP$8,'3. Enter Indicator Scores'!$D$8:$CZ$8,0),
  _xlpm.v, IFERROR(INDEX('3. Enter Indicator Scores'!$D$10:$CZ$161,_xlpm.r,_xlpm.c),""),
  IF(OR(_xlpm.w="",_xlpm.v=""),"",_xlpm.v*_xlpm.w)
)</f>
        <v/>
      </c>
      <c r="AQ144" s="93" t="str" cm="1">
        <f t="array" ref="AQ144">_xlfn.LET(
  _xlpm.w, AQ$11,
  _xlpm.r, MATCH(1,('3. Enter Indicator Scores'!$B$10:$B$161=$B144)*('3. Enter Indicator Scores'!$C$10:$C$161=$C144),0),
  _xlpm.c, MATCH(AQ$8,'3. Enter Indicator Scores'!$D$8:$CZ$8,0),
  _xlpm.v, IFERROR(INDEX('3. Enter Indicator Scores'!$D$10:$CZ$161,_xlpm.r,_xlpm.c),""),
  IF(OR(_xlpm.w="",_xlpm.v=""),"",_xlpm.v*_xlpm.w)
)</f>
        <v/>
      </c>
      <c r="AR144" s="93" t="str" cm="1">
        <f t="array" ref="AR144">_xlfn.LET(
  _xlpm.w, AR$11,
  _xlpm.r, MATCH(1,('3. Enter Indicator Scores'!$B$10:$B$161=$B144)*('3. Enter Indicator Scores'!$C$10:$C$161=$C144),0),
  _xlpm.c, MATCH(AR$8,'3. Enter Indicator Scores'!$D$8:$CZ$8,0),
  _xlpm.v, IFERROR(INDEX('3. Enter Indicator Scores'!$D$10:$CZ$161,_xlpm.r,_xlpm.c),""),
  IF(OR(_xlpm.w="",_xlpm.v=""),"",_xlpm.v*_xlpm.w)
)</f>
        <v/>
      </c>
      <c r="AS144" s="93" t="str" cm="1">
        <f t="array" ref="AS144">_xlfn.LET(
  _xlpm.w, AS$11,
  _xlpm.r, MATCH(1,('3. Enter Indicator Scores'!$B$10:$B$161=$B144)*('3. Enter Indicator Scores'!$C$10:$C$161=$C144),0),
  _xlpm.c, MATCH(AS$8,'3. Enter Indicator Scores'!$D$8:$CZ$8,0),
  _xlpm.v, IFERROR(INDEX('3. Enter Indicator Scores'!$D$10:$CZ$161,_xlpm.r,_xlpm.c),""),
  IF(OR(_xlpm.w="",_xlpm.v=""),"",_xlpm.v*_xlpm.w)
)</f>
        <v/>
      </c>
      <c r="AT144" s="93" t="str" cm="1">
        <f t="array" ref="AT144">_xlfn.LET(
  _xlpm.w, AT$11,
  _xlpm.r, MATCH(1,('3. Enter Indicator Scores'!$B$10:$B$161=$B144)*('3. Enter Indicator Scores'!$C$10:$C$161=$C144),0),
  _xlpm.c, MATCH(AT$8,'3. Enter Indicator Scores'!$D$8:$CZ$8,0),
  _xlpm.v, IFERROR(INDEX('3. Enter Indicator Scores'!$D$10:$CZ$161,_xlpm.r,_xlpm.c),""),
  IF(OR(_xlpm.w="",_xlpm.v=""),"",_xlpm.v*_xlpm.w)
)</f>
        <v/>
      </c>
      <c r="AU144" s="93" t="str" cm="1">
        <f t="array" ref="AU144">_xlfn.LET(
  _xlpm.w, AU$11,
  _xlpm.r, MATCH(1,('3. Enter Indicator Scores'!$B$10:$B$161=$B144)*('3. Enter Indicator Scores'!$C$10:$C$161=$C144),0),
  _xlpm.c, MATCH(AU$8,'3. Enter Indicator Scores'!$D$8:$CZ$8,0),
  _xlpm.v, IFERROR(INDEX('3. Enter Indicator Scores'!$D$10:$CZ$161,_xlpm.r,_xlpm.c),""),
  IF(OR(_xlpm.w="",_xlpm.v=""),"",_xlpm.v*_xlpm.w)
)</f>
        <v/>
      </c>
      <c r="AV144" s="93" t="str" cm="1">
        <f t="array" ref="AV144">_xlfn.LET(
  _xlpm.w, AV$11,
  _xlpm.r, MATCH(1,('3. Enter Indicator Scores'!$B$10:$B$161=$B144)*('3. Enter Indicator Scores'!$C$10:$C$161=$C144),0),
  _xlpm.c, MATCH(AV$8,'3. Enter Indicator Scores'!$D$8:$CZ$8,0),
  _xlpm.v, IFERROR(INDEX('3. Enter Indicator Scores'!$D$10:$CZ$161,_xlpm.r,_xlpm.c),""),
  IF(OR(_xlpm.w="",_xlpm.v=""),"",_xlpm.v*_xlpm.w)
)</f>
        <v/>
      </c>
      <c r="AW144" s="93" t="str" cm="1">
        <f t="array" ref="AW144">_xlfn.LET(
  _xlpm.w, AW$11,
  _xlpm.r, MATCH(1,('3. Enter Indicator Scores'!$B$10:$B$161=$B144)*('3. Enter Indicator Scores'!$C$10:$C$161=$C144),0),
  _xlpm.c, MATCH(AW$8,'3. Enter Indicator Scores'!$D$8:$CZ$8,0),
  _xlpm.v, IFERROR(INDEX('3. Enter Indicator Scores'!$D$10:$CZ$161,_xlpm.r,_xlpm.c),""),
  IF(OR(_xlpm.w="",_xlpm.v=""),"",_xlpm.v*_xlpm.w)
)</f>
        <v/>
      </c>
      <c r="AX144" s="93" t="str" cm="1">
        <f t="array" ref="AX144">_xlfn.LET(
  _xlpm.w, AX$11,
  _xlpm.r, MATCH(1,('3. Enter Indicator Scores'!$B$10:$B$161=$B144)*('3. Enter Indicator Scores'!$C$10:$C$161=$C144),0),
  _xlpm.c, MATCH(AX$8,'3. Enter Indicator Scores'!$D$8:$CZ$8,0),
  _xlpm.v, IFERROR(INDEX('3. Enter Indicator Scores'!$D$10:$CZ$161,_xlpm.r,_xlpm.c),""),
  IF(OR(_xlpm.w="",_xlpm.v=""),"",_xlpm.v*_xlpm.w)
)</f>
        <v/>
      </c>
      <c r="AY144" s="93" t="str" cm="1">
        <f t="array" ref="AY144">_xlfn.LET(
  _xlpm.w, AY$11,
  _xlpm.r, MATCH(1,('3. Enter Indicator Scores'!$B$10:$B$161=$B144)*('3. Enter Indicator Scores'!$C$10:$C$161=$C144),0),
  _xlpm.c, MATCH(AY$8,'3. Enter Indicator Scores'!$D$8:$CZ$8,0),
  _xlpm.v, IFERROR(INDEX('3. Enter Indicator Scores'!$D$10:$CZ$161,_xlpm.r,_xlpm.c),""),
  IF(OR(_xlpm.w="",_xlpm.v=""),"",_xlpm.v*_xlpm.w)
)</f>
        <v/>
      </c>
      <c r="AZ144" s="93" t="str" cm="1">
        <f t="array" ref="AZ144">_xlfn.LET(
  _xlpm.w, AZ$11,
  _xlpm.r, MATCH(1,('3. Enter Indicator Scores'!$B$10:$B$161=$B144)*('3. Enter Indicator Scores'!$C$10:$C$161=$C144),0),
  _xlpm.c, MATCH(AZ$8,'3. Enter Indicator Scores'!$D$8:$CZ$8,0),
  _xlpm.v, IFERROR(INDEX('3. Enter Indicator Scores'!$D$10:$CZ$161,_xlpm.r,_xlpm.c),""),
  IF(OR(_xlpm.w="",_xlpm.v=""),"",_xlpm.v*_xlpm.w)
)</f>
        <v/>
      </c>
      <c r="BA144" s="93" t="str" cm="1">
        <f t="array" ref="BA144">_xlfn.LET(
  _xlpm.w, BA$11,
  _xlpm.r, MATCH(1,('3. Enter Indicator Scores'!$B$10:$B$161=$B144)*('3. Enter Indicator Scores'!$C$10:$C$161=$C144),0),
  _xlpm.c, MATCH(BA$8,'3. Enter Indicator Scores'!$D$8:$CZ$8,0),
  _xlpm.v, IFERROR(INDEX('3. Enter Indicator Scores'!$D$10:$CZ$161,_xlpm.r,_xlpm.c),""),
  IF(OR(_xlpm.w="",_xlpm.v=""),"",_xlpm.v*_xlpm.w)
)</f>
        <v/>
      </c>
      <c r="BB144" s="93" t="str" cm="1">
        <f t="array" ref="BB144">_xlfn.LET(
  _xlpm.w, BB$11,
  _xlpm.r, MATCH(1,('3. Enter Indicator Scores'!$B$10:$B$161=$B144)*('3. Enter Indicator Scores'!$C$10:$C$161=$C144),0),
  _xlpm.c, MATCH(BB$8,'3. Enter Indicator Scores'!$D$8:$CZ$8,0),
  _xlpm.v, IFERROR(INDEX('3. Enter Indicator Scores'!$D$10:$CZ$161,_xlpm.r,_xlpm.c),""),
  IF(OR(_xlpm.w="",_xlpm.v=""),"",_xlpm.v*_xlpm.w)
)</f>
        <v/>
      </c>
      <c r="BC144" s="93" t="str" cm="1">
        <f t="array" ref="BC144">_xlfn.LET(
  _xlpm.w, BC$11,
  _xlpm.r, MATCH(1,('3. Enter Indicator Scores'!$B$10:$B$161=$B144)*('3. Enter Indicator Scores'!$C$10:$C$161=$C144),0),
  _xlpm.c, MATCH(BC$8,'3. Enter Indicator Scores'!$D$8:$CZ$8,0),
  _xlpm.v, IFERROR(INDEX('3. Enter Indicator Scores'!$D$10:$CZ$161,_xlpm.r,_xlpm.c),""),
  IF(OR(_xlpm.w="",_xlpm.v=""),"",_xlpm.v*_xlpm.w)
)</f>
        <v/>
      </c>
      <c r="BD144" s="93" t="str" cm="1">
        <f t="array" ref="BD144">_xlfn.LET(
  _xlpm.w, BD$11,
  _xlpm.r, MATCH(1,('3. Enter Indicator Scores'!$B$10:$B$161=$B144)*('3. Enter Indicator Scores'!$C$10:$C$161=$C144),0),
  _xlpm.c, MATCH(BD$8,'3. Enter Indicator Scores'!$D$8:$CZ$8,0),
  _xlpm.v, IFERROR(INDEX('3. Enter Indicator Scores'!$D$10:$CZ$161,_xlpm.r,_xlpm.c),""),
  IF(OR(_xlpm.w="",_xlpm.v=""),"",_xlpm.v*_xlpm.w)
)</f>
        <v/>
      </c>
      <c r="BE144" s="93" t="str" cm="1">
        <f t="array" ref="BE144">_xlfn.LET(
  _xlpm.w, BE$11,
  _xlpm.r, MATCH(1,('3. Enter Indicator Scores'!$B$10:$B$161=$B144)*('3. Enter Indicator Scores'!$C$10:$C$161=$C144),0),
  _xlpm.c, MATCH(BE$8,'3. Enter Indicator Scores'!$D$8:$CZ$8,0),
  _xlpm.v, IFERROR(INDEX('3. Enter Indicator Scores'!$D$10:$CZ$161,_xlpm.r,_xlpm.c),""),
  IF(OR(_xlpm.w="",_xlpm.v=""),"",_xlpm.v*_xlpm.w)
)</f>
        <v/>
      </c>
      <c r="BF144" s="93" t="str" cm="1">
        <f t="array" ref="BF144">_xlfn.LET(
  _xlpm.w, BF$11,
  _xlpm.r, MATCH(1,('3. Enter Indicator Scores'!$B$10:$B$161=$B144)*('3. Enter Indicator Scores'!$C$10:$C$161=$C144),0),
  _xlpm.c, MATCH(BF$8,'3. Enter Indicator Scores'!$D$8:$CZ$8,0),
  _xlpm.v, IFERROR(INDEX('3. Enter Indicator Scores'!$D$10:$CZ$161,_xlpm.r,_xlpm.c),""),
  IF(OR(_xlpm.w="",_xlpm.v=""),"",_xlpm.v*_xlpm.w)
)</f>
        <v/>
      </c>
      <c r="BG144" s="93" t="str" cm="1">
        <f t="array" ref="BG144">_xlfn.LET(
  _xlpm.w, BG$11,
  _xlpm.r, MATCH(1,('3. Enter Indicator Scores'!$B$10:$B$161=$B144)*('3. Enter Indicator Scores'!$C$10:$C$161=$C144),0),
  _xlpm.c, MATCH(BG$8,'3. Enter Indicator Scores'!$D$8:$CZ$8,0),
  _xlpm.v, IFERROR(INDEX('3. Enter Indicator Scores'!$D$10:$CZ$161,_xlpm.r,_xlpm.c),""),
  IF(OR(_xlpm.w="",_xlpm.v=""),"",_xlpm.v*_xlpm.w)
)</f>
        <v/>
      </c>
      <c r="BH144" s="93" t="str" cm="1">
        <f t="array" ref="BH144">_xlfn.LET(
  _xlpm.w, BH$11,
  _xlpm.r, MATCH(1,('3. Enter Indicator Scores'!$B$10:$B$161=$B144)*('3. Enter Indicator Scores'!$C$10:$C$161=$C144),0),
  _xlpm.c, MATCH(BH$8,'3. Enter Indicator Scores'!$D$8:$CZ$8,0),
  _xlpm.v, IFERROR(INDEX('3. Enter Indicator Scores'!$D$10:$CZ$161,_xlpm.r,_xlpm.c),""),
  IF(OR(_xlpm.w="",_xlpm.v=""),"",_xlpm.v*_xlpm.w)
)</f>
        <v/>
      </c>
      <c r="BI144" s="93" t="str" cm="1">
        <f t="array" ref="BI144">_xlfn.LET(
  _xlpm.w, BI$11,
  _xlpm.r, MATCH(1,('3. Enter Indicator Scores'!$B$10:$B$161=$B144)*('3. Enter Indicator Scores'!$C$10:$C$161=$C144),0),
  _xlpm.c, MATCH(BI$8,'3. Enter Indicator Scores'!$D$8:$CZ$8,0),
  _xlpm.v, IFERROR(INDEX('3. Enter Indicator Scores'!$D$10:$CZ$161,_xlpm.r,_xlpm.c),""),
  IF(OR(_xlpm.w="",_xlpm.v=""),"",_xlpm.v*_xlpm.w)
)</f>
        <v/>
      </c>
      <c r="BJ144" s="93" t="str" cm="1">
        <f t="array" ref="BJ144">_xlfn.LET(
  _xlpm.w, BJ$11,
  _xlpm.r, MATCH(1,('3. Enter Indicator Scores'!$B$10:$B$161=$B144)*('3. Enter Indicator Scores'!$C$10:$C$161=$C144),0),
  _xlpm.c, MATCH(BJ$8,'3. Enter Indicator Scores'!$D$8:$CZ$8,0),
  _xlpm.v, IFERROR(INDEX('3. Enter Indicator Scores'!$D$10:$CZ$161,_xlpm.r,_xlpm.c),""),
  IF(OR(_xlpm.w="",_xlpm.v=""),"",_xlpm.v*_xlpm.w)
)</f>
        <v/>
      </c>
      <c r="BK144" s="93" t="str" cm="1">
        <f t="array" ref="BK144">_xlfn.LET(
  _xlpm.w, BK$11,
  _xlpm.r, MATCH(1,('3. Enter Indicator Scores'!$B$10:$B$161=$B144)*('3. Enter Indicator Scores'!$C$10:$C$161=$C144),0),
  _xlpm.c, MATCH(BK$8,'3. Enter Indicator Scores'!$D$8:$CZ$8,0),
  _xlpm.v, IFERROR(INDEX('3. Enter Indicator Scores'!$D$10:$CZ$161,_xlpm.r,_xlpm.c),""),
  IF(OR(_xlpm.w="",_xlpm.v=""),"",_xlpm.v*_xlpm.w)
)</f>
        <v/>
      </c>
      <c r="BL144" s="93" t="str" cm="1">
        <f t="array" ref="BL144">_xlfn.LET(
  _xlpm.w, BL$11,
  _xlpm.r, MATCH(1,('3. Enter Indicator Scores'!$B$10:$B$161=$B144)*('3. Enter Indicator Scores'!$C$10:$C$161=$C144),0),
  _xlpm.c, MATCH(BL$8,'3. Enter Indicator Scores'!$D$8:$CZ$8,0),
  _xlpm.v, IFERROR(INDEX('3. Enter Indicator Scores'!$D$10:$CZ$161,_xlpm.r,_xlpm.c),""),
  IF(OR(_xlpm.w="",_xlpm.v=""),"",_xlpm.v*_xlpm.w)
)</f>
        <v/>
      </c>
      <c r="BM144" s="93" t="str" cm="1">
        <f t="array" ref="BM144">_xlfn.LET(
  _xlpm.w, BM$11,
  _xlpm.r, MATCH(1,('3. Enter Indicator Scores'!$B$10:$B$161=$B144)*('3. Enter Indicator Scores'!$C$10:$C$161=$C144),0),
  _xlpm.c, MATCH(BM$8,'3. Enter Indicator Scores'!$D$8:$CZ$8,0),
  _xlpm.v, IFERROR(INDEX('3. Enter Indicator Scores'!$D$10:$CZ$161,_xlpm.r,_xlpm.c),""),
  IF(OR(_xlpm.w="",_xlpm.v=""),"",_xlpm.v*_xlpm.w)
)</f>
        <v/>
      </c>
      <c r="BN144" s="93" t="str" cm="1">
        <f t="array" ref="BN144">_xlfn.LET(
  _xlpm.w, BN$11,
  _xlpm.r, MATCH(1,('3. Enter Indicator Scores'!$B$10:$B$161=$B144)*('3. Enter Indicator Scores'!$C$10:$C$161=$C144),0),
  _xlpm.c, MATCH(BN$8,'3. Enter Indicator Scores'!$D$8:$CZ$8,0),
  _xlpm.v, IFERROR(INDEX('3. Enter Indicator Scores'!$D$10:$CZ$161,_xlpm.r,_xlpm.c),""),
  IF(OR(_xlpm.w="",_xlpm.v=""),"",_xlpm.v*_xlpm.w)
)</f>
        <v/>
      </c>
      <c r="BO144" s="93" t="str" cm="1">
        <f t="array" ref="BO144">_xlfn.LET(
  _xlpm.w, BO$11,
  _xlpm.r, MATCH(1,('3. Enter Indicator Scores'!$B$10:$B$161=$B144)*('3. Enter Indicator Scores'!$C$10:$C$161=$C144),0),
  _xlpm.c, MATCH(BO$8,'3. Enter Indicator Scores'!$D$8:$CZ$8,0),
  _xlpm.v, IFERROR(INDEX('3. Enter Indicator Scores'!$D$10:$CZ$161,_xlpm.r,_xlpm.c),""),
  IF(OR(_xlpm.w="",_xlpm.v=""),"",_xlpm.v*_xlpm.w)
)</f>
        <v/>
      </c>
      <c r="BP144" s="93" t="str" cm="1">
        <f t="array" ref="BP144">_xlfn.LET(
  _xlpm.w, BP$11,
  _xlpm.r, MATCH(1,('3. Enter Indicator Scores'!$B$10:$B$161=$B144)*('3. Enter Indicator Scores'!$C$10:$C$161=$C144),0),
  _xlpm.c, MATCH(BP$8,'3. Enter Indicator Scores'!$D$8:$CZ$8,0),
  _xlpm.v, IFERROR(INDEX('3. Enter Indicator Scores'!$D$10:$CZ$161,_xlpm.r,_xlpm.c),""),
  IF(OR(_xlpm.w="",_xlpm.v=""),"",_xlpm.v*_xlpm.w)
)</f>
        <v/>
      </c>
      <c r="BQ144" s="93" t="str" cm="1">
        <f t="array" ref="BQ144">_xlfn.LET(
  _xlpm.w, BQ$11,
  _xlpm.r, MATCH(1,('3. Enter Indicator Scores'!$B$10:$B$161=$B144)*('3. Enter Indicator Scores'!$C$10:$C$161=$C144),0),
  _xlpm.c, MATCH(BQ$8,'3. Enter Indicator Scores'!$D$8:$CZ$8,0),
  _xlpm.v, IFERROR(INDEX('3. Enter Indicator Scores'!$D$10:$CZ$161,_xlpm.r,_xlpm.c),""),
  IF(OR(_xlpm.w="",_xlpm.v=""),"",_xlpm.v*_xlpm.w)
)</f>
        <v/>
      </c>
      <c r="BR144" s="93" t="str" cm="1">
        <f t="array" ref="BR144">_xlfn.LET(
  _xlpm.w, BR$11,
  _xlpm.r, MATCH(1,('3. Enter Indicator Scores'!$B$10:$B$161=$B144)*('3. Enter Indicator Scores'!$C$10:$C$161=$C144),0),
  _xlpm.c, MATCH(BR$8,'3. Enter Indicator Scores'!$D$8:$CZ$8,0),
  _xlpm.v, IFERROR(INDEX('3. Enter Indicator Scores'!$D$10:$CZ$161,_xlpm.r,_xlpm.c),""),
  IF(OR(_xlpm.w="",_xlpm.v=""),"",_xlpm.v*_xlpm.w)
)</f>
        <v/>
      </c>
      <c r="BS144" s="93" t="str" cm="1">
        <f t="array" ref="BS144">_xlfn.LET(
  _xlpm.w, BS$11,
  _xlpm.r, MATCH(1,('3. Enter Indicator Scores'!$B$10:$B$161=$B144)*('3. Enter Indicator Scores'!$C$10:$C$161=$C144),0),
  _xlpm.c, MATCH(BS$8,'3. Enter Indicator Scores'!$D$8:$CZ$8,0),
  _xlpm.v, IFERROR(INDEX('3. Enter Indicator Scores'!$D$10:$CZ$161,_xlpm.r,_xlpm.c),""),
  IF(OR(_xlpm.w="",_xlpm.v=""),"",_xlpm.v*_xlpm.w)
)</f>
        <v/>
      </c>
      <c r="BT144" s="93" t="str" cm="1">
        <f t="array" ref="BT144">_xlfn.LET(
  _xlpm.w, BT$11,
  _xlpm.r, MATCH(1,('3. Enter Indicator Scores'!$B$10:$B$161=$B144)*('3. Enter Indicator Scores'!$C$10:$C$161=$C144),0),
  _xlpm.c, MATCH(BT$8,'3. Enter Indicator Scores'!$D$8:$CZ$8,0),
  _xlpm.v, IFERROR(INDEX('3. Enter Indicator Scores'!$D$10:$CZ$161,_xlpm.r,_xlpm.c),""),
  IF(OR(_xlpm.w="",_xlpm.v=""),"",_xlpm.v*_xlpm.w)
)</f>
        <v/>
      </c>
      <c r="BU144" s="93" t="str" cm="1">
        <f t="array" ref="BU144">_xlfn.LET(
  _xlpm.w, BU$11,
  _xlpm.r, MATCH(1,('3. Enter Indicator Scores'!$B$10:$B$161=$B144)*('3. Enter Indicator Scores'!$C$10:$C$161=$C144),0),
  _xlpm.c, MATCH(BU$8,'3. Enter Indicator Scores'!$D$8:$CZ$8,0),
  _xlpm.v, IFERROR(INDEX('3. Enter Indicator Scores'!$D$10:$CZ$161,_xlpm.r,_xlpm.c),""),
  IF(OR(_xlpm.w="",_xlpm.v=""),"",_xlpm.v*_xlpm.w)
)</f>
        <v/>
      </c>
      <c r="BV144" s="93" t="str" cm="1">
        <f t="array" ref="BV144">_xlfn.LET(
  _xlpm.w, BV$11,
  _xlpm.r, MATCH(1,('3. Enter Indicator Scores'!$B$10:$B$161=$B144)*('3. Enter Indicator Scores'!$C$10:$C$161=$C144),0),
  _xlpm.c, MATCH(BV$8,'3. Enter Indicator Scores'!$D$8:$CZ$8,0),
  _xlpm.v, IFERROR(INDEX('3. Enter Indicator Scores'!$D$10:$CZ$161,_xlpm.r,_xlpm.c),""),
  IF(OR(_xlpm.w="",_xlpm.v=""),"",_xlpm.v*_xlpm.w)
)</f>
        <v/>
      </c>
      <c r="BW144" s="93" t="str" cm="1">
        <f t="array" ref="BW144">_xlfn.LET(
  _xlpm.w, BW$11,
  _xlpm.r, MATCH(1,('3. Enter Indicator Scores'!$B$10:$B$161=$B144)*('3. Enter Indicator Scores'!$C$10:$C$161=$C144),0),
  _xlpm.c, MATCH(BW$8,'3. Enter Indicator Scores'!$D$8:$CZ$8,0),
  _xlpm.v, IFERROR(INDEX('3. Enter Indicator Scores'!$D$10:$CZ$161,_xlpm.r,_xlpm.c),""),
  IF(OR(_xlpm.w="",_xlpm.v=""),"",_xlpm.v*_xlpm.w)
)</f>
        <v/>
      </c>
      <c r="BX144" s="93" t="str" cm="1">
        <f t="array" ref="BX144">_xlfn.LET(
  _xlpm.w, BX$11,
  _xlpm.r, MATCH(1,('3. Enter Indicator Scores'!$B$10:$B$161=$B144)*('3. Enter Indicator Scores'!$C$10:$C$161=$C144),0),
  _xlpm.c, MATCH(BX$8,'3. Enter Indicator Scores'!$D$8:$CZ$8,0),
  _xlpm.v, IFERROR(INDEX('3. Enter Indicator Scores'!$D$10:$CZ$161,_xlpm.r,_xlpm.c),""),
  IF(OR(_xlpm.w="",_xlpm.v=""),"",_xlpm.v*_xlpm.w)
)</f>
        <v/>
      </c>
      <c r="BY144" s="93" t="str" cm="1">
        <f t="array" ref="BY144">_xlfn.LET(
  _xlpm.w, BY$11,
  _xlpm.r, MATCH(1,('3. Enter Indicator Scores'!$B$10:$B$161=$B144)*('3. Enter Indicator Scores'!$C$10:$C$161=$C144),0),
  _xlpm.c, MATCH(BY$8,'3. Enter Indicator Scores'!$D$8:$CZ$8,0),
  _xlpm.v, IFERROR(INDEX('3. Enter Indicator Scores'!$D$10:$CZ$161,_xlpm.r,_xlpm.c),""),
  IF(OR(_xlpm.w="",_xlpm.v=""),"",_xlpm.v*_xlpm.w)
)</f>
        <v/>
      </c>
      <c r="BZ144" s="93" t="str" cm="1">
        <f t="array" ref="BZ144">_xlfn.LET(
  _xlpm.w, BZ$11,
  _xlpm.r, MATCH(1,('3. Enter Indicator Scores'!$B$10:$B$161=$B144)*('3. Enter Indicator Scores'!$C$10:$C$161=$C144),0),
  _xlpm.c, MATCH(BZ$8,'3. Enter Indicator Scores'!$D$8:$CZ$8,0),
  _xlpm.v, IFERROR(INDEX('3. Enter Indicator Scores'!$D$10:$CZ$161,_xlpm.r,_xlpm.c),""),
  IF(OR(_xlpm.w="",_xlpm.v=""),"",_xlpm.v*_xlpm.w)
)</f>
        <v/>
      </c>
      <c r="CA144" s="93" t="str" cm="1">
        <f t="array" ref="CA144">_xlfn.LET(
  _xlpm.w, CA$11,
  _xlpm.r, MATCH(1,('3. Enter Indicator Scores'!$B$10:$B$161=$B144)*('3. Enter Indicator Scores'!$C$10:$C$161=$C144),0),
  _xlpm.c, MATCH(CA$8,'3. Enter Indicator Scores'!$D$8:$CZ$8,0),
  _xlpm.v, IFERROR(INDEX('3. Enter Indicator Scores'!$D$10:$CZ$161,_xlpm.r,_xlpm.c),""),
  IF(OR(_xlpm.w="",_xlpm.v=""),"",_xlpm.v*_xlpm.w)
)</f>
        <v/>
      </c>
      <c r="CB144" s="93" t="str" cm="1">
        <f t="array" ref="CB144">_xlfn.LET(
  _xlpm.w, CB$11,
  _xlpm.r, MATCH(1,('3. Enter Indicator Scores'!$B$10:$B$161=$B144)*('3. Enter Indicator Scores'!$C$10:$C$161=$C144),0),
  _xlpm.c, MATCH(CB$8,'3. Enter Indicator Scores'!$D$8:$CZ$8,0),
  _xlpm.v, IFERROR(INDEX('3. Enter Indicator Scores'!$D$10:$CZ$161,_xlpm.r,_xlpm.c),""),
  IF(OR(_xlpm.w="",_xlpm.v=""),"",_xlpm.v*_xlpm.w)
)</f>
        <v/>
      </c>
      <c r="CC144" s="93" t="str" cm="1">
        <f t="array" ref="CC144">_xlfn.LET(
  _xlpm.w, CC$11,
  _xlpm.r, MATCH(1,('3. Enter Indicator Scores'!$B$10:$B$161=$B144)*('3. Enter Indicator Scores'!$C$10:$C$161=$C144),0),
  _xlpm.c, MATCH(CC$8,'3. Enter Indicator Scores'!$D$8:$CZ$8,0),
  _xlpm.v, IFERROR(INDEX('3. Enter Indicator Scores'!$D$10:$CZ$161,_xlpm.r,_xlpm.c),""),
  IF(OR(_xlpm.w="",_xlpm.v=""),"",_xlpm.v*_xlpm.w)
)</f>
        <v/>
      </c>
      <c r="CD144" s="93" t="str" cm="1">
        <f t="array" ref="CD144">_xlfn.LET(
  _xlpm.w, CD$11,
  _xlpm.r, MATCH(1,('3. Enter Indicator Scores'!$B$10:$B$161=$B144)*('3. Enter Indicator Scores'!$C$10:$C$161=$C144),0),
  _xlpm.c, MATCH(CD$8,'3. Enter Indicator Scores'!$D$8:$CZ$8,0),
  _xlpm.v, IFERROR(INDEX('3. Enter Indicator Scores'!$D$10:$CZ$161,_xlpm.r,_xlpm.c),""),
  IF(OR(_xlpm.w="",_xlpm.v=""),"",_xlpm.v*_xlpm.w)
)</f>
        <v/>
      </c>
      <c r="CE144" s="93" t="str" cm="1">
        <f t="array" ref="CE144">_xlfn.LET(
  _xlpm.w, CE$11,
  _xlpm.r, MATCH(1,('3. Enter Indicator Scores'!$B$10:$B$161=$B144)*('3. Enter Indicator Scores'!$C$10:$C$161=$C144),0),
  _xlpm.c, MATCH(CE$8,'3. Enter Indicator Scores'!$D$8:$CZ$8,0),
  _xlpm.v, IFERROR(INDEX('3. Enter Indicator Scores'!$D$10:$CZ$161,_xlpm.r,_xlpm.c),""),
  IF(OR(_xlpm.w="",_xlpm.v=""),"",_xlpm.v*_xlpm.w)
)</f>
        <v/>
      </c>
      <c r="CF144" s="93" t="str" cm="1">
        <f t="array" ref="CF144">_xlfn.LET(
  _xlpm.w, CF$11,
  _xlpm.r, MATCH(1,('3. Enter Indicator Scores'!$B$10:$B$161=$B144)*('3. Enter Indicator Scores'!$C$10:$C$161=$C144),0),
  _xlpm.c, MATCH(CF$8,'3. Enter Indicator Scores'!$D$8:$CZ$8,0),
  _xlpm.v, IFERROR(INDEX('3. Enter Indicator Scores'!$D$10:$CZ$161,_xlpm.r,_xlpm.c),""),
  IF(OR(_xlpm.w="",_xlpm.v=""),"",_xlpm.v*_xlpm.w)
)</f>
        <v/>
      </c>
      <c r="CG144" s="93" t="str" cm="1">
        <f t="array" ref="CG144">_xlfn.LET(
  _xlpm.w, CG$11,
  _xlpm.r, MATCH(1,('3. Enter Indicator Scores'!$B$10:$B$161=$B144)*('3. Enter Indicator Scores'!$C$10:$C$161=$C144),0),
  _xlpm.c, MATCH(CG$8,'3. Enter Indicator Scores'!$D$8:$CZ$8,0),
  _xlpm.v, IFERROR(INDEX('3. Enter Indicator Scores'!$D$10:$CZ$161,_xlpm.r,_xlpm.c),""),
  IF(OR(_xlpm.w="",_xlpm.v=""),"",_xlpm.v*_xlpm.w)
)</f>
        <v/>
      </c>
      <c r="CH144" s="93" t="str" cm="1">
        <f t="array" ref="CH144">_xlfn.LET(
  _xlpm.w, CH$11,
  _xlpm.r, MATCH(1,('3. Enter Indicator Scores'!$B$10:$B$161=$B144)*('3. Enter Indicator Scores'!$C$10:$C$161=$C144),0),
  _xlpm.c, MATCH(CH$8,'3. Enter Indicator Scores'!$D$8:$CZ$8,0),
  _xlpm.v, IFERROR(INDEX('3. Enter Indicator Scores'!$D$10:$CZ$161,_xlpm.r,_xlpm.c),""),
  IF(OR(_xlpm.w="",_xlpm.v=""),"",_xlpm.v*_xlpm.w)
)</f>
        <v/>
      </c>
      <c r="CI144" s="93" t="str" cm="1">
        <f t="array" ref="CI144">_xlfn.LET(
  _xlpm.w, CI$11,
  _xlpm.r, MATCH(1,('3. Enter Indicator Scores'!$B$10:$B$161=$B144)*('3. Enter Indicator Scores'!$C$10:$C$161=$C144),0),
  _xlpm.c, MATCH(CI$8,'3. Enter Indicator Scores'!$D$8:$CZ$8,0),
  _xlpm.v, IFERROR(INDEX('3. Enter Indicator Scores'!$D$10:$CZ$161,_xlpm.r,_xlpm.c),""),
  IF(OR(_xlpm.w="",_xlpm.v=""),"",_xlpm.v*_xlpm.w)
)</f>
        <v/>
      </c>
      <c r="CJ144" s="93" t="str" cm="1">
        <f t="array" ref="CJ144">_xlfn.LET(
  _xlpm.w, CJ$11,
  _xlpm.r, MATCH(1,('3. Enter Indicator Scores'!$B$10:$B$161=$B144)*('3. Enter Indicator Scores'!$C$10:$C$161=$C144),0),
  _xlpm.c, MATCH(CJ$8,'3. Enter Indicator Scores'!$D$8:$CZ$8,0),
  _xlpm.v, IFERROR(INDEX('3. Enter Indicator Scores'!$D$10:$CZ$161,_xlpm.r,_xlpm.c),""),
  IF(OR(_xlpm.w="",_xlpm.v=""),"",_xlpm.v*_xlpm.w)
)</f>
        <v/>
      </c>
      <c r="CK144" s="93" t="str" cm="1">
        <f t="array" ref="CK144">_xlfn.LET(
  _xlpm.w, CK$11,
  _xlpm.r, MATCH(1,('3. Enter Indicator Scores'!$B$10:$B$161=$B144)*('3. Enter Indicator Scores'!$C$10:$C$161=$C144),0),
  _xlpm.c, MATCH(CK$8,'3. Enter Indicator Scores'!$D$8:$CZ$8,0),
  _xlpm.v, IFERROR(INDEX('3. Enter Indicator Scores'!$D$10:$CZ$161,_xlpm.r,_xlpm.c),""),
  IF(OR(_xlpm.w="",_xlpm.v=""),"",_xlpm.v*_xlpm.w)
)</f>
        <v/>
      </c>
      <c r="CL144" s="93" t="str" cm="1">
        <f t="array" ref="CL144">_xlfn.LET(
  _xlpm.w, CL$11,
  _xlpm.r, MATCH(1,('3. Enter Indicator Scores'!$B$10:$B$161=$B144)*('3. Enter Indicator Scores'!$C$10:$C$161=$C144),0),
  _xlpm.c, MATCH(CL$8,'3. Enter Indicator Scores'!$D$8:$CZ$8,0),
  _xlpm.v, IFERROR(INDEX('3. Enter Indicator Scores'!$D$10:$CZ$161,_xlpm.r,_xlpm.c),""),
  IF(OR(_xlpm.w="",_xlpm.v=""),"",_xlpm.v*_xlpm.w)
)</f>
        <v/>
      </c>
      <c r="CM144" s="93" t="str" cm="1">
        <f t="array" ref="CM144">_xlfn.LET(
  _xlpm.w, CM$11,
  _xlpm.r, MATCH(1,('3. Enter Indicator Scores'!$B$10:$B$161=$B144)*('3. Enter Indicator Scores'!$C$10:$C$161=$C144),0),
  _xlpm.c, MATCH(CM$8,'3. Enter Indicator Scores'!$D$8:$CZ$8,0),
  _xlpm.v, IFERROR(INDEX('3. Enter Indicator Scores'!$D$10:$CZ$161,_xlpm.r,_xlpm.c),""),
  IF(OR(_xlpm.w="",_xlpm.v=""),"",_xlpm.v*_xlpm.w)
)</f>
        <v/>
      </c>
      <c r="CN144" s="93" t="str" cm="1">
        <f t="array" ref="CN144">_xlfn.LET(
  _xlpm.w, CN$11,
  _xlpm.r, MATCH(1,('3. Enter Indicator Scores'!$B$10:$B$161=$B144)*('3. Enter Indicator Scores'!$C$10:$C$161=$C144),0),
  _xlpm.c, MATCH(CN$8,'3. Enter Indicator Scores'!$D$8:$CZ$8,0),
  _xlpm.v, IFERROR(INDEX('3. Enter Indicator Scores'!$D$10:$CZ$161,_xlpm.r,_xlpm.c),""),
  IF(OR(_xlpm.w="",_xlpm.v=""),"",_xlpm.v*_xlpm.w)
)</f>
        <v/>
      </c>
      <c r="CO144" s="93" t="str" cm="1">
        <f t="array" ref="CO144">_xlfn.LET(
  _xlpm.w, CO$11,
  _xlpm.r, MATCH(1,('3. Enter Indicator Scores'!$B$10:$B$161=$B144)*('3. Enter Indicator Scores'!$C$10:$C$161=$C144),0),
  _xlpm.c, MATCH(CO$8,'3. Enter Indicator Scores'!$D$8:$CZ$8,0),
  _xlpm.v, IFERROR(INDEX('3. Enter Indicator Scores'!$D$10:$CZ$161,_xlpm.r,_xlpm.c),""),
  IF(OR(_xlpm.w="",_xlpm.v=""),"",_xlpm.v*_xlpm.w)
)</f>
        <v/>
      </c>
      <c r="CP144" s="93" t="str" cm="1">
        <f t="array" ref="CP144">_xlfn.LET(
  _xlpm.w, CP$11,
  _xlpm.r, MATCH(1,('3. Enter Indicator Scores'!$B$10:$B$161=$B144)*('3. Enter Indicator Scores'!$C$10:$C$161=$C144),0),
  _xlpm.c, MATCH(CP$8,'3. Enter Indicator Scores'!$D$8:$CZ$8,0),
  _xlpm.v, IFERROR(INDEX('3. Enter Indicator Scores'!$D$10:$CZ$161,_xlpm.r,_xlpm.c),""),
  IF(OR(_xlpm.w="",_xlpm.v=""),"",_xlpm.v*_xlpm.w)
)</f>
        <v/>
      </c>
      <c r="CQ144" s="93" t="str" cm="1">
        <f t="array" ref="CQ144">_xlfn.LET(
  _xlpm.w, CQ$11,
  _xlpm.r, MATCH(1,('3. Enter Indicator Scores'!$B$10:$B$161=$B144)*('3. Enter Indicator Scores'!$C$10:$C$161=$C144),0),
  _xlpm.c, MATCH(CQ$8,'3. Enter Indicator Scores'!$D$8:$CZ$8,0),
  _xlpm.v, IFERROR(INDEX('3. Enter Indicator Scores'!$D$10:$CZ$161,_xlpm.r,_xlpm.c),""),
  IF(OR(_xlpm.w="",_xlpm.v=""),"",_xlpm.v*_xlpm.w)
)</f>
        <v/>
      </c>
      <c r="CR144" s="93" t="str" cm="1">
        <f t="array" ref="CR144">_xlfn.LET(
  _xlpm.w, CR$11,
  _xlpm.r, MATCH(1,('3. Enter Indicator Scores'!$B$10:$B$161=$B144)*('3. Enter Indicator Scores'!$C$10:$C$161=$C144),0),
  _xlpm.c, MATCH(CR$8,'3. Enter Indicator Scores'!$D$8:$CZ$8,0),
  _xlpm.v, IFERROR(INDEX('3. Enter Indicator Scores'!$D$10:$CZ$161,_xlpm.r,_xlpm.c),""),
  IF(OR(_xlpm.w="",_xlpm.v=""),"",_xlpm.v*_xlpm.w)
)</f>
        <v/>
      </c>
      <c r="CS144" s="93" t="str" cm="1">
        <f t="array" ref="CS144">_xlfn.LET(
  _xlpm.w, CS$11,
  _xlpm.r, MATCH(1,('3. Enter Indicator Scores'!$B$10:$B$161=$B144)*('3. Enter Indicator Scores'!$C$10:$C$161=$C144),0),
  _xlpm.c, MATCH(CS$8,'3. Enter Indicator Scores'!$D$8:$CZ$8,0),
  _xlpm.v, IFERROR(INDEX('3. Enter Indicator Scores'!$D$10:$CZ$161,_xlpm.r,_xlpm.c),""),
  IF(OR(_xlpm.w="",_xlpm.v=""),"",_xlpm.v*_xlpm.w)
)</f>
        <v/>
      </c>
      <c r="CT144" s="93" t="str" cm="1">
        <f t="array" ref="CT144">_xlfn.LET(
  _xlpm.w, CT$11,
  _xlpm.r, MATCH(1,('3. Enter Indicator Scores'!$B$10:$B$161=$B144)*('3. Enter Indicator Scores'!$C$10:$C$161=$C144),0),
  _xlpm.c, MATCH(CT$8,'3. Enter Indicator Scores'!$D$8:$CZ$8,0),
  _xlpm.v, IFERROR(INDEX('3. Enter Indicator Scores'!$D$10:$CZ$161,_xlpm.r,_xlpm.c),""),
  IF(OR(_xlpm.w="",_xlpm.v=""),"",_xlpm.v*_xlpm.w)
)</f>
        <v/>
      </c>
      <c r="CU144" s="93" t="str" cm="1">
        <f t="array" ref="CU144">_xlfn.LET(
  _xlpm.w, CU$11,
  _xlpm.r, MATCH(1,('3. Enter Indicator Scores'!$B$10:$B$161=$B144)*('3. Enter Indicator Scores'!$C$10:$C$161=$C144),0),
  _xlpm.c, MATCH(CU$8,'3. Enter Indicator Scores'!$D$8:$CZ$8,0),
  _xlpm.v, IFERROR(INDEX('3. Enter Indicator Scores'!$D$10:$CZ$161,_xlpm.r,_xlpm.c),""),
  IF(OR(_xlpm.w="",_xlpm.v=""),"",_xlpm.v*_xlpm.w)
)</f>
        <v/>
      </c>
      <c r="CV144" s="93" t="str" cm="1">
        <f t="array" ref="CV144">_xlfn.LET(
  _xlpm.w, CV$11,
  _xlpm.r, MATCH(1,('3. Enter Indicator Scores'!$B$10:$B$161=$B144)*('3. Enter Indicator Scores'!$C$10:$C$161=$C144),0),
  _xlpm.c, MATCH(CV$8,'3. Enter Indicator Scores'!$D$8:$CZ$8,0),
  _xlpm.v, IFERROR(INDEX('3. Enter Indicator Scores'!$D$10:$CZ$161,_xlpm.r,_xlpm.c),""),
  IF(OR(_xlpm.w="",_xlpm.v=""),"",_xlpm.v*_xlpm.w)
)</f>
        <v/>
      </c>
      <c r="CW144" s="93" t="str" cm="1">
        <f t="array" ref="CW144">_xlfn.LET(
  _xlpm.w, CW$11,
  _xlpm.r, MATCH(1,('3. Enter Indicator Scores'!$B$10:$B$161=$B144)*('3. Enter Indicator Scores'!$C$10:$C$161=$C144),0),
  _xlpm.c, MATCH(CW$8,'3. Enter Indicator Scores'!$D$8:$CZ$8,0),
  _xlpm.v, IFERROR(INDEX('3. Enter Indicator Scores'!$D$10:$CZ$161,_xlpm.r,_xlpm.c),""),
  IF(OR(_xlpm.w="",_xlpm.v=""),"",_xlpm.v*_xlpm.w)
)</f>
        <v/>
      </c>
      <c r="CX144" s="93" t="str" cm="1">
        <f t="array" ref="CX144">_xlfn.LET(
  _xlpm.w, CX$11,
  _xlpm.r, MATCH(1,('3. Enter Indicator Scores'!$B$10:$B$161=$B144)*('3. Enter Indicator Scores'!$C$10:$C$161=$C144),0),
  _xlpm.c, MATCH(CX$8,'3. Enter Indicator Scores'!$D$8:$CZ$8,0),
  _xlpm.v, IFERROR(INDEX('3. Enter Indicator Scores'!$D$10:$CZ$161,_xlpm.r,_xlpm.c),""),
  IF(OR(_xlpm.w="",_xlpm.v=""),"",_xlpm.v*_xlpm.w)
)</f>
        <v/>
      </c>
      <c r="CY144" s="93" t="str" cm="1">
        <f t="array" ref="CY144">_xlfn.LET(
  _xlpm.w, CY$11,
  _xlpm.r, MATCH(1,('3. Enter Indicator Scores'!$B$10:$B$161=$B144)*('3. Enter Indicator Scores'!$C$10:$C$161=$C144),0),
  _xlpm.c, MATCH(CY$8,'3. Enter Indicator Scores'!$D$8:$CZ$8,0),
  _xlpm.v, IFERROR(INDEX('3. Enter Indicator Scores'!$D$10:$CZ$161,_xlpm.r,_xlpm.c),""),
  IF(OR(_xlpm.w="",_xlpm.v=""),"",_xlpm.v*_xlpm.w)
)</f>
        <v/>
      </c>
      <c r="CZ144" s="93" t="str" cm="1">
        <f t="array" ref="CZ144">_xlfn.LET(
  _xlpm.w, CZ$11,
  _xlpm.r, MATCH(1,('3. Enter Indicator Scores'!$B$10:$B$161=$B144)*('3. Enter Indicator Scores'!$C$10:$C$161=$C144),0),
  _xlpm.c, MATCH(CZ$8,'3. Enter Indicator Scores'!$D$8:$CZ$8,0),
  _xlpm.v, IFERROR(INDEX('3. Enter Indicator Scores'!$D$10:$CZ$161,_xlpm.r,_xlpm.c),""),
  IF(OR(_xlpm.w="",_xlpm.v=""),"",_xlpm.v*_xlpm.w)
)</f>
        <v/>
      </c>
    </row>
    <row r="145" spans="4:104" x14ac:dyDescent="0.2">
      <c r="D145" s="93" t="str" cm="1">
        <f t="array" ref="D145">_xlfn.LET(
  _xlpm.w, D$11,
  _xlpm.r, MATCH(1,('3. Enter Indicator Scores'!$B$10:$B$161=$B145)*('3. Enter Indicator Scores'!$C$10:$C$161=$C145),0),
  _xlpm.c, MATCH(D$8,'3. Enter Indicator Scores'!$D$8:$CZ$8,0),
  _xlpm.v, IFERROR(INDEX('3. Enter Indicator Scores'!$D$10:$CZ$161,_xlpm.r,_xlpm.c),""),
  IF(OR(_xlpm.w="",_xlpm.v=""),"",_xlpm.v*_xlpm.w)
)</f>
        <v/>
      </c>
      <c r="E145" s="93" t="str" cm="1">
        <f t="array" ref="E145">_xlfn.LET(
  _xlpm.w, E$11,
  _xlpm.r, MATCH(1,('3. Enter Indicator Scores'!$B$10:$B$161=$B145)*('3. Enter Indicator Scores'!$C$10:$C$161=$C145),0),
  _xlpm.c, MATCH(E$8,'3. Enter Indicator Scores'!$D$8:$CZ$8,0),
  _xlpm.v, IFERROR(INDEX('3. Enter Indicator Scores'!$D$10:$CZ$161,_xlpm.r,_xlpm.c),""),
  IF(OR(_xlpm.w="",_xlpm.v=""),"",_xlpm.v*_xlpm.w)
)</f>
        <v/>
      </c>
      <c r="F145" s="93" t="str" cm="1">
        <f t="array" ref="F145">_xlfn.LET(
  _xlpm.w, F$11,
  _xlpm.r, MATCH(1,('3. Enter Indicator Scores'!$B$10:$B$161=$B145)*('3. Enter Indicator Scores'!$C$10:$C$161=$C145),0),
  _xlpm.c, MATCH(F$8,'3. Enter Indicator Scores'!$D$8:$CZ$8,0),
  _xlpm.v, IFERROR(INDEX('3. Enter Indicator Scores'!$D$10:$CZ$161,_xlpm.r,_xlpm.c),""),
  IF(OR(_xlpm.w="",_xlpm.v=""),"",_xlpm.v*_xlpm.w)
)</f>
        <v/>
      </c>
      <c r="G145" s="93" t="str" cm="1">
        <f t="array" ref="G145">_xlfn.LET(
  _xlpm.w, G$11,
  _xlpm.r, MATCH(1,('3. Enter Indicator Scores'!$B$10:$B$161=$B145)*('3. Enter Indicator Scores'!$C$10:$C$161=$C145),0),
  _xlpm.c, MATCH(G$8,'3. Enter Indicator Scores'!$D$8:$CZ$8,0),
  _xlpm.v, IFERROR(INDEX('3. Enter Indicator Scores'!$D$10:$CZ$161,_xlpm.r,_xlpm.c),""),
  IF(OR(_xlpm.w="",_xlpm.v=""),"",_xlpm.v*_xlpm.w)
)</f>
        <v/>
      </c>
      <c r="H145" s="93" t="str" cm="1">
        <f t="array" ref="H145">_xlfn.LET(
  _xlpm.w, H$11,
  _xlpm.r, MATCH(1,('3. Enter Indicator Scores'!$B$10:$B$161=$B145)*('3. Enter Indicator Scores'!$C$10:$C$161=$C145),0),
  _xlpm.c, MATCH(H$8,'3. Enter Indicator Scores'!$D$8:$CZ$8,0),
  _xlpm.v, IFERROR(INDEX('3. Enter Indicator Scores'!$D$10:$CZ$161,_xlpm.r,_xlpm.c),""),
  IF(OR(_xlpm.w="",_xlpm.v=""),"",_xlpm.v*_xlpm.w)
)</f>
        <v/>
      </c>
      <c r="I145" s="93" t="str" cm="1">
        <f t="array" ref="I145">_xlfn.LET(
  _xlpm.w, I$11,
  _xlpm.r, MATCH(1,('3. Enter Indicator Scores'!$B$10:$B$161=$B145)*('3. Enter Indicator Scores'!$C$10:$C$161=$C145),0),
  _xlpm.c, MATCH(I$8,'3. Enter Indicator Scores'!$D$8:$CZ$8,0),
  _xlpm.v, IFERROR(INDEX('3. Enter Indicator Scores'!$D$10:$CZ$161,_xlpm.r,_xlpm.c),""),
  IF(OR(_xlpm.w="",_xlpm.v=""),"",_xlpm.v*_xlpm.w)
)</f>
        <v/>
      </c>
      <c r="J145" s="93" t="str" cm="1">
        <f t="array" ref="J145">_xlfn.LET(
  _xlpm.w, J$11,
  _xlpm.r, MATCH(1,('3. Enter Indicator Scores'!$B$10:$B$161=$B145)*('3. Enter Indicator Scores'!$C$10:$C$161=$C145),0),
  _xlpm.c, MATCH(J$8,'3. Enter Indicator Scores'!$D$8:$CZ$8,0),
  _xlpm.v, IFERROR(INDEX('3. Enter Indicator Scores'!$D$10:$CZ$161,_xlpm.r,_xlpm.c),""),
  IF(OR(_xlpm.w="",_xlpm.v=""),"",_xlpm.v*_xlpm.w)
)</f>
        <v/>
      </c>
      <c r="K145" s="93" t="str" cm="1">
        <f t="array" ref="K145">_xlfn.LET(
  _xlpm.w, K$11,
  _xlpm.r, MATCH(1,('3. Enter Indicator Scores'!$B$10:$B$161=$B145)*('3. Enter Indicator Scores'!$C$10:$C$161=$C145),0),
  _xlpm.c, MATCH(K$8,'3. Enter Indicator Scores'!$D$8:$CZ$8,0),
  _xlpm.v, IFERROR(INDEX('3. Enter Indicator Scores'!$D$10:$CZ$161,_xlpm.r,_xlpm.c),""),
  IF(OR(_xlpm.w="",_xlpm.v=""),"",_xlpm.v*_xlpm.w)
)</f>
        <v/>
      </c>
      <c r="L145" s="93" t="str" cm="1">
        <f t="array" ref="L145">_xlfn.LET(
  _xlpm.w, L$11,
  _xlpm.r, MATCH(1,('3. Enter Indicator Scores'!$B$10:$B$161=$B145)*('3. Enter Indicator Scores'!$C$10:$C$161=$C145),0),
  _xlpm.c, MATCH(L$8,'3. Enter Indicator Scores'!$D$8:$CZ$8,0),
  _xlpm.v, IFERROR(INDEX('3. Enter Indicator Scores'!$D$10:$CZ$161,_xlpm.r,_xlpm.c),""),
  IF(OR(_xlpm.w="",_xlpm.v=""),"",_xlpm.v*_xlpm.w)
)</f>
        <v/>
      </c>
      <c r="M145" s="93" t="str" cm="1">
        <f t="array" ref="M145">_xlfn.LET(
  _xlpm.w, M$11,
  _xlpm.r, MATCH(1,('3. Enter Indicator Scores'!$B$10:$B$161=$B145)*('3. Enter Indicator Scores'!$C$10:$C$161=$C145),0),
  _xlpm.c, MATCH(M$8,'3. Enter Indicator Scores'!$D$8:$CZ$8,0),
  _xlpm.v, IFERROR(INDEX('3. Enter Indicator Scores'!$D$10:$CZ$161,_xlpm.r,_xlpm.c),""),
  IF(OR(_xlpm.w="",_xlpm.v=""),"",_xlpm.v*_xlpm.w)
)</f>
        <v/>
      </c>
      <c r="N145" s="93" t="str" cm="1">
        <f t="array" ref="N145">_xlfn.LET(
  _xlpm.w, N$11,
  _xlpm.r, MATCH(1,('3. Enter Indicator Scores'!$B$10:$B$161=$B145)*('3. Enter Indicator Scores'!$C$10:$C$161=$C145),0),
  _xlpm.c, MATCH(N$8,'3. Enter Indicator Scores'!$D$8:$CZ$8,0),
  _xlpm.v, IFERROR(INDEX('3. Enter Indicator Scores'!$D$10:$CZ$161,_xlpm.r,_xlpm.c),""),
  IF(OR(_xlpm.w="",_xlpm.v=""),"",_xlpm.v*_xlpm.w)
)</f>
        <v/>
      </c>
      <c r="O145" s="93" t="str" cm="1">
        <f t="array" ref="O145">_xlfn.LET(
  _xlpm.w, O$11,
  _xlpm.r, MATCH(1,('3. Enter Indicator Scores'!$B$10:$B$161=$B145)*('3. Enter Indicator Scores'!$C$10:$C$161=$C145),0),
  _xlpm.c, MATCH(O$8,'3. Enter Indicator Scores'!$D$8:$CZ$8,0),
  _xlpm.v, IFERROR(INDEX('3. Enter Indicator Scores'!$D$10:$CZ$161,_xlpm.r,_xlpm.c),""),
  IF(OR(_xlpm.w="",_xlpm.v=""),"",_xlpm.v*_xlpm.w)
)</f>
        <v/>
      </c>
      <c r="P145" s="93" t="str" cm="1">
        <f t="array" ref="P145">_xlfn.LET(
  _xlpm.w, P$11,
  _xlpm.r, MATCH(1,('3. Enter Indicator Scores'!$B$10:$B$161=$B145)*('3. Enter Indicator Scores'!$C$10:$C$161=$C145),0),
  _xlpm.c, MATCH(P$8,'3. Enter Indicator Scores'!$D$8:$CZ$8,0),
  _xlpm.v, IFERROR(INDEX('3. Enter Indicator Scores'!$D$10:$CZ$161,_xlpm.r,_xlpm.c),""),
  IF(OR(_xlpm.w="",_xlpm.v=""),"",_xlpm.v*_xlpm.w)
)</f>
        <v/>
      </c>
      <c r="Q145" s="93" t="str" cm="1">
        <f t="array" ref="Q145">_xlfn.LET(
  _xlpm.w, Q$11,
  _xlpm.r, MATCH(1,('3. Enter Indicator Scores'!$B$10:$B$161=$B145)*('3. Enter Indicator Scores'!$C$10:$C$161=$C145),0),
  _xlpm.c, MATCH(Q$8,'3. Enter Indicator Scores'!$D$8:$CZ$8,0),
  _xlpm.v, IFERROR(INDEX('3. Enter Indicator Scores'!$D$10:$CZ$161,_xlpm.r,_xlpm.c),""),
  IF(OR(_xlpm.w="",_xlpm.v=""),"",_xlpm.v*_xlpm.w)
)</f>
        <v/>
      </c>
      <c r="R145" s="93" t="str" cm="1">
        <f t="array" ref="R145">_xlfn.LET(
  _xlpm.w, R$11,
  _xlpm.r, MATCH(1,('3. Enter Indicator Scores'!$B$10:$B$161=$B145)*('3. Enter Indicator Scores'!$C$10:$C$161=$C145),0),
  _xlpm.c, MATCH(R$8,'3. Enter Indicator Scores'!$D$8:$CZ$8,0),
  _xlpm.v, IFERROR(INDEX('3. Enter Indicator Scores'!$D$10:$CZ$161,_xlpm.r,_xlpm.c),""),
  IF(OR(_xlpm.w="",_xlpm.v=""),"",_xlpm.v*_xlpm.w)
)</f>
        <v/>
      </c>
      <c r="S145" s="93" t="str" cm="1">
        <f t="array" ref="S145">_xlfn.LET(
  _xlpm.w, S$11,
  _xlpm.r, MATCH(1,('3. Enter Indicator Scores'!$B$10:$B$161=$B145)*('3. Enter Indicator Scores'!$C$10:$C$161=$C145),0),
  _xlpm.c, MATCH(S$8,'3. Enter Indicator Scores'!$D$8:$CZ$8,0),
  _xlpm.v, IFERROR(INDEX('3. Enter Indicator Scores'!$D$10:$CZ$161,_xlpm.r,_xlpm.c),""),
  IF(OR(_xlpm.w="",_xlpm.v=""),"",_xlpm.v*_xlpm.w)
)</f>
        <v/>
      </c>
      <c r="T145" s="93" t="str" cm="1">
        <f t="array" ref="T145">_xlfn.LET(
  _xlpm.w, T$11,
  _xlpm.r, MATCH(1,('3. Enter Indicator Scores'!$B$10:$B$161=$B145)*('3. Enter Indicator Scores'!$C$10:$C$161=$C145),0),
  _xlpm.c, MATCH(T$8,'3. Enter Indicator Scores'!$D$8:$CZ$8,0),
  _xlpm.v, IFERROR(INDEX('3. Enter Indicator Scores'!$D$10:$CZ$161,_xlpm.r,_xlpm.c),""),
  IF(OR(_xlpm.w="",_xlpm.v=""),"",_xlpm.v*_xlpm.w)
)</f>
        <v/>
      </c>
      <c r="U145" s="93" t="str" cm="1">
        <f t="array" ref="U145">_xlfn.LET(
  _xlpm.w, U$11,
  _xlpm.r, MATCH(1,('3. Enter Indicator Scores'!$B$10:$B$161=$B145)*('3. Enter Indicator Scores'!$C$10:$C$161=$C145),0),
  _xlpm.c, MATCH(U$8,'3. Enter Indicator Scores'!$D$8:$CZ$8,0),
  _xlpm.v, IFERROR(INDEX('3. Enter Indicator Scores'!$D$10:$CZ$161,_xlpm.r,_xlpm.c),""),
  IF(OR(_xlpm.w="",_xlpm.v=""),"",_xlpm.v*_xlpm.w)
)</f>
        <v/>
      </c>
      <c r="V145" s="93" t="str" cm="1">
        <f t="array" ref="V145">_xlfn.LET(
  _xlpm.w, V$11,
  _xlpm.r, MATCH(1,('3. Enter Indicator Scores'!$B$10:$B$161=$B145)*('3. Enter Indicator Scores'!$C$10:$C$161=$C145),0),
  _xlpm.c, MATCH(V$8,'3. Enter Indicator Scores'!$D$8:$CZ$8,0),
  _xlpm.v, IFERROR(INDEX('3. Enter Indicator Scores'!$D$10:$CZ$161,_xlpm.r,_xlpm.c),""),
  IF(OR(_xlpm.w="",_xlpm.v=""),"",_xlpm.v*_xlpm.w)
)</f>
        <v/>
      </c>
      <c r="W145" s="93" t="str" cm="1">
        <f t="array" ref="W145">_xlfn.LET(
  _xlpm.w, W$11,
  _xlpm.r, MATCH(1,('3. Enter Indicator Scores'!$B$10:$B$161=$B145)*('3. Enter Indicator Scores'!$C$10:$C$161=$C145),0),
  _xlpm.c, MATCH(W$8,'3. Enter Indicator Scores'!$D$8:$CZ$8,0),
  _xlpm.v, IFERROR(INDEX('3. Enter Indicator Scores'!$D$10:$CZ$161,_xlpm.r,_xlpm.c),""),
  IF(OR(_xlpm.w="",_xlpm.v=""),"",_xlpm.v*_xlpm.w)
)</f>
        <v/>
      </c>
      <c r="X145" s="93" t="str" cm="1">
        <f t="array" ref="X145">_xlfn.LET(
  _xlpm.w, X$11,
  _xlpm.r, MATCH(1,('3. Enter Indicator Scores'!$B$10:$B$161=$B145)*('3. Enter Indicator Scores'!$C$10:$C$161=$C145),0),
  _xlpm.c, MATCH(X$8,'3. Enter Indicator Scores'!$D$8:$CZ$8,0),
  _xlpm.v, IFERROR(INDEX('3. Enter Indicator Scores'!$D$10:$CZ$161,_xlpm.r,_xlpm.c),""),
  IF(OR(_xlpm.w="",_xlpm.v=""),"",_xlpm.v*_xlpm.w)
)</f>
        <v/>
      </c>
      <c r="Y145" s="93" t="str" cm="1">
        <f t="array" ref="Y145">_xlfn.LET(
  _xlpm.w, Y$11,
  _xlpm.r, MATCH(1,('3. Enter Indicator Scores'!$B$10:$B$161=$B145)*('3. Enter Indicator Scores'!$C$10:$C$161=$C145),0),
  _xlpm.c, MATCH(Y$8,'3. Enter Indicator Scores'!$D$8:$CZ$8,0),
  _xlpm.v, IFERROR(INDEX('3. Enter Indicator Scores'!$D$10:$CZ$161,_xlpm.r,_xlpm.c),""),
  IF(OR(_xlpm.w="",_xlpm.v=""),"",_xlpm.v*_xlpm.w)
)</f>
        <v/>
      </c>
      <c r="Z145" s="93" t="str" cm="1">
        <f t="array" ref="Z145">_xlfn.LET(
  _xlpm.w, Z$11,
  _xlpm.r, MATCH(1,('3. Enter Indicator Scores'!$B$10:$B$161=$B145)*('3. Enter Indicator Scores'!$C$10:$C$161=$C145),0),
  _xlpm.c, MATCH(Z$8,'3. Enter Indicator Scores'!$D$8:$CZ$8,0),
  _xlpm.v, IFERROR(INDEX('3. Enter Indicator Scores'!$D$10:$CZ$161,_xlpm.r,_xlpm.c),""),
  IF(OR(_xlpm.w="",_xlpm.v=""),"",_xlpm.v*_xlpm.w)
)</f>
        <v/>
      </c>
      <c r="AA145" s="93" t="str" cm="1">
        <f t="array" ref="AA145">_xlfn.LET(
  _xlpm.w, AA$11,
  _xlpm.r, MATCH(1,('3. Enter Indicator Scores'!$B$10:$B$161=$B145)*('3. Enter Indicator Scores'!$C$10:$C$161=$C145),0),
  _xlpm.c, MATCH(AA$8,'3. Enter Indicator Scores'!$D$8:$CZ$8,0),
  _xlpm.v, IFERROR(INDEX('3. Enter Indicator Scores'!$D$10:$CZ$161,_xlpm.r,_xlpm.c),""),
  IF(OR(_xlpm.w="",_xlpm.v=""),"",_xlpm.v*_xlpm.w)
)</f>
        <v/>
      </c>
      <c r="AB145" s="93" t="str" cm="1">
        <f t="array" ref="AB145">_xlfn.LET(
  _xlpm.w, AB$11,
  _xlpm.r, MATCH(1,('3. Enter Indicator Scores'!$B$10:$B$161=$B145)*('3. Enter Indicator Scores'!$C$10:$C$161=$C145),0),
  _xlpm.c, MATCH(AB$8,'3. Enter Indicator Scores'!$D$8:$CZ$8,0),
  _xlpm.v, IFERROR(INDEX('3. Enter Indicator Scores'!$D$10:$CZ$161,_xlpm.r,_xlpm.c),""),
  IF(OR(_xlpm.w="",_xlpm.v=""),"",_xlpm.v*_xlpm.w)
)</f>
        <v/>
      </c>
      <c r="AC145" s="93" t="str" cm="1">
        <f t="array" ref="AC145">_xlfn.LET(
  _xlpm.w, AC$11,
  _xlpm.r, MATCH(1,('3. Enter Indicator Scores'!$B$10:$B$161=$B145)*('3. Enter Indicator Scores'!$C$10:$C$161=$C145),0),
  _xlpm.c, MATCH(AC$8,'3. Enter Indicator Scores'!$D$8:$CZ$8,0),
  _xlpm.v, IFERROR(INDEX('3. Enter Indicator Scores'!$D$10:$CZ$161,_xlpm.r,_xlpm.c),""),
  IF(OR(_xlpm.w="",_xlpm.v=""),"",_xlpm.v*_xlpm.w)
)</f>
        <v/>
      </c>
      <c r="AD145" s="93" t="str" cm="1">
        <f t="array" ref="AD145">_xlfn.LET(
  _xlpm.w, AD$11,
  _xlpm.r, MATCH(1,('3. Enter Indicator Scores'!$B$10:$B$161=$B145)*('3. Enter Indicator Scores'!$C$10:$C$161=$C145),0),
  _xlpm.c, MATCH(AD$8,'3. Enter Indicator Scores'!$D$8:$CZ$8,0),
  _xlpm.v, IFERROR(INDEX('3. Enter Indicator Scores'!$D$10:$CZ$161,_xlpm.r,_xlpm.c),""),
  IF(OR(_xlpm.w="",_xlpm.v=""),"",_xlpm.v*_xlpm.w)
)</f>
        <v/>
      </c>
      <c r="AE145" s="93" t="str" cm="1">
        <f t="array" ref="AE145">_xlfn.LET(
  _xlpm.w, AE$11,
  _xlpm.r, MATCH(1,('3. Enter Indicator Scores'!$B$10:$B$161=$B145)*('3. Enter Indicator Scores'!$C$10:$C$161=$C145),0),
  _xlpm.c, MATCH(AE$8,'3. Enter Indicator Scores'!$D$8:$CZ$8,0),
  _xlpm.v, IFERROR(INDEX('3. Enter Indicator Scores'!$D$10:$CZ$161,_xlpm.r,_xlpm.c),""),
  IF(OR(_xlpm.w="",_xlpm.v=""),"",_xlpm.v*_xlpm.w)
)</f>
        <v/>
      </c>
      <c r="AF145" s="93" t="str" cm="1">
        <f t="array" ref="AF145">_xlfn.LET(
  _xlpm.w, AF$11,
  _xlpm.r, MATCH(1,('3. Enter Indicator Scores'!$B$10:$B$161=$B145)*('3. Enter Indicator Scores'!$C$10:$C$161=$C145),0),
  _xlpm.c, MATCH(AF$8,'3. Enter Indicator Scores'!$D$8:$CZ$8,0),
  _xlpm.v, IFERROR(INDEX('3. Enter Indicator Scores'!$D$10:$CZ$161,_xlpm.r,_xlpm.c),""),
  IF(OR(_xlpm.w="",_xlpm.v=""),"",_xlpm.v*_xlpm.w)
)</f>
        <v/>
      </c>
      <c r="AG145" s="93" t="str" cm="1">
        <f t="array" ref="AG145">_xlfn.LET(
  _xlpm.w, AG$11,
  _xlpm.r, MATCH(1,('3. Enter Indicator Scores'!$B$10:$B$161=$B145)*('3. Enter Indicator Scores'!$C$10:$C$161=$C145),0),
  _xlpm.c, MATCH(AG$8,'3. Enter Indicator Scores'!$D$8:$CZ$8,0),
  _xlpm.v, IFERROR(INDEX('3. Enter Indicator Scores'!$D$10:$CZ$161,_xlpm.r,_xlpm.c),""),
  IF(OR(_xlpm.w="",_xlpm.v=""),"",_xlpm.v*_xlpm.w)
)</f>
        <v/>
      </c>
      <c r="AH145" s="93" t="str" cm="1">
        <f t="array" ref="AH145">_xlfn.LET(
  _xlpm.w, AH$11,
  _xlpm.r, MATCH(1,('3. Enter Indicator Scores'!$B$10:$B$161=$B145)*('3. Enter Indicator Scores'!$C$10:$C$161=$C145),0),
  _xlpm.c, MATCH(AH$8,'3. Enter Indicator Scores'!$D$8:$CZ$8,0),
  _xlpm.v, IFERROR(INDEX('3. Enter Indicator Scores'!$D$10:$CZ$161,_xlpm.r,_xlpm.c),""),
  IF(OR(_xlpm.w="",_xlpm.v=""),"",_xlpm.v*_xlpm.w)
)</f>
        <v/>
      </c>
      <c r="AI145" s="93" t="str" cm="1">
        <f t="array" ref="AI145">_xlfn.LET(
  _xlpm.w, AI$11,
  _xlpm.r, MATCH(1,('3. Enter Indicator Scores'!$B$10:$B$161=$B145)*('3. Enter Indicator Scores'!$C$10:$C$161=$C145),0),
  _xlpm.c, MATCH(AI$8,'3. Enter Indicator Scores'!$D$8:$CZ$8,0),
  _xlpm.v, IFERROR(INDEX('3. Enter Indicator Scores'!$D$10:$CZ$161,_xlpm.r,_xlpm.c),""),
  IF(OR(_xlpm.w="",_xlpm.v=""),"",_xlpm.v*_xlpm.w)
)</f>
        <v/>
      </c>
      <c r="AJ145" s="93" t="str" cm="1">
        <f t="array" ref="AJ145">_xlfn.LET(
  _xlpm.w, AJ$11,
  _xlpm.r, MATCH(1,('3. Enter Indicator Scores'!$B$10:$B$161=$B145)*('3. Enter Indicator Scores'!$C$10:$C$161=$C145),0),
  _xlpm.c, MATCH(AJ$8,'3. Enter Indicator Scores'!$D$8:$CZ$8,0),
  _xlpm.v, IFERROR(INDEX('3. Enter Indicator Scores'!$D$10:$CZ$161,_xlpm.r,_xlpm.c),""),
  IF(OR(_xlpm.w="",_xlpm.v=""),"",_xlpm.v*_xlpm.w)
)</f>
        <v/>
      </c>
      <c r="AK145" s="93" t="str" cm="1">
        <f t="array" ref="AK145">_xlfn.LET(
  _xlpm.w, AK$11,
  _xlpm.r, MATCH(1,('3. Enter Indicator Scores'!$B$10:$B$161=$B145)*('3. Enter Indicator Scores'!$C$10:$C$161=$C145),0),
  _xlpm.c, MATCH(AK$8,'3. Enter Indicator Scores'!$D$8:$CZ$8,0),
  _xlpm.v, IFERROR(INDEX('3. Enter Indicator Scores'!$D$10:$CZ$161,_xlpm.r,_xlpm.c),""),
  IF(OR(_xlpm.w="",_xlpm.v=""),"",_xlpm.v*_xlpm.w)
)</f>
        <v/>
      </c>
      <c r="AL145" s="93" t="str" cm="1">
        <f t="array" ref="AL145">_xlfn.LET(
  _xlpm.w, AL$11,
  _xlpm.r, MATCH(1,('3. Enter Indicator Scores'!$B$10:$B$161=$B145)*('3. Enter Indicator Scores'!$C$10:$C$161=$C145),0),
  _xlpm.c, MATCH(AL$8,'3. Enter Indicator Scores'!$D$8:$CZ$8,0),
  _xlpm.v, IFERROR(INDEX('3. Enter Indicator Scores'!$D$10:$CZ$161,_xlpm.r,_xlpm.c),""),
  IF(OR(_xlpm.w="",_xlpm.v=""),"",_xlpm.v*_xlpm.w)
)</f>
        <v/>
      </c>
      <c r="AM145" s="93" t="str" cm="1">
        <f t="array" ref="AM145">_xlfn.LET(
  _xlpm.w, AM$11,
  _xlpm.r, MATCH(1,('3. Enter Indicator Scores'!$B$10:$B$161=$B145)*('3. Enter Indicator Scores'!$C$10:$C$161=$C145),0),
  _xlpm.c, MATCH(AM$8,'3. Enter Indicator Scores'!$D$8:$CZ$8,0),
  _xlpm.v, IFERROR(INDEX('3. Enter Indicator Scores'!$D$10:$CZ$161,_xlpm.r,_xlpm.c),""),
  IF(OR(_xlpm.w="",_xlpm.v=""),"",_xlpm.v*_xlpm.w)
)</f>
        <v/>
      </c>
      <c r="AN145" s="93" t="str" cm="1">
        <f t="array" ref="AN145">_xlfn.LET(
  _xlpm.w, AN$11,
  _xlpm.r, MATCH(1,('3. Enter Indicator Scores'!$B$10:$B$161=$B145)*('3. Enter Indicator Scores'!$C$10:$C$161=$C145),0),
  _xlpm.c, MATCH(AN$8,'3. Enter Indicator Scores'!$D$8:$CZ$8,0),
  _xlpm.v, IFERROR(INDEX('3. Enter Indicator Scores'!$D$10:$CZ$161,_xlpm.r,_xlpm.c),""),
  IF(OR(_xlpm.w="",_xlpm.v=""),"",_xlpm.v*_xlpm.w)
)</f>
        <v/>
      </c>
      <c r="AO145" s="93" t="str" cm="1">
        <f t="array" ref="AO145">_xlfn.LET(
  _xlpm.w, AO$11,
  _xlpm.r, MATCH(1,('3. Enter Indicator Scores'!$B$10:$B$161=$B145)*('3. Enter Indicator Scores'!$C$10:$C$161=$C145),0),
  _xlpm.c, MATCH(AO$8,'3. Enter Indicator Scores'!$D$8:$CZ$8,0),
  _xlpm.v, IFERROR(INDEX('3. Enter Indicator Scores'!$D$10:$CZ$161,_xlpm.r,_xlpm.c),""),
  IF(OR(_xlpm.w="",_xlpm.v=""),"",_xlpm.v*_xlpm.w)
)</f>
        <v/>
      </c>
      <c r="AP145" s="93" t="str" cm="1">
        <f t="array" ref="AP145">_xlfn.LET(
  _xlpm.w, AP$11,
  _xlpm.r, MATCH(1,('3. Enter Indicator Scores'!$B$10:$B$161=$B145)*('3. Enter Indicator Scores'!$C$10:$C$161=$C145),0),
  _xlpm.c, MATCH(AP$8,'3. Enter Indicator Scores'!$D$8:$CZ$8,0),
  _xlpm.v, IFERROR(INDEX('3. Enter Indicator Scores'!$D$10:$CZ$161,_xlpm.r,_xlpm.c),""),
  IF(OR(_xlpm.w="",_xlpm.v=""),"",_xlpm.v*_xlpm.w)
)</f>
        <v/>
      </c>
      <c r="AQ145" s="93" t="str" cm="1">
        <f t="array" ref="AQ145">_xlfn.LET(
  _xlpm.w, AQ$11,
  _xlpm.r, MATCH(1,('3. Enter Indicator Scores'!$B$10:$B$161=$B145)*('3. Enter Indicator Scores'!$C$10:$C$161=$C145),0),
  _xlpm.c, MATCH(AQ$8,'3. Enter Indicator Scores'!$D$8:$CZ$8,0),
  _xlpm.v, IFERROR(INDEX('3. Enter Indicator Scores'!$D$10:$CZ$161,_xlpm.r,_xlpm.c),""),
  IF(OR(_xlpm.w="",_xlpm.v=""),"",_xlpm.v*_xlpm.w)
)</f>
        <v/>
      </c>
      <c r="AR145" s="93" t="str" cm="1">
        <f t="array" ref="AR145">_xlfn.LET(
  _xlpm.w, AR$11,
  _xlpm.r, MATCH(1,('3. Enter Indicator Scores'!$B$10:$B$161=$B145)*('3. Enter Indicator Scores'!$C$10:$C$161=$C145),0),
  _xlpm.c, MATCH(AR$8,'3. Enter Indicator Scores'!$D$8:$CZ$8,0),
  _xlpm.v, IFERROR(INDEX('3. Enter Indicator Scores'!$D$10:$CZ$161,_xlpm.r,_xlpm.c),""),
  IF(OR(_xlpm.w="",_xlpm.v=""),"",_xlpm.v*_xlpm.w)
)</f>
        <v/>
      </c>
      <c r="AS145" s="93" t="str" cm="1">
        <f t="array" ref="AS145">_xlfn.LET(
  _xlpm.w, AS$11,
  _xlpm.r, MATCH(1,('3. Enter Indicator Scores'!$B$10:$B$161=$B145)*('3. Enter Indicator Scores'!$C$10:$C$161=$C145),0),
  _xlpm.c, MATCH(AS$8,'3. Enter Indicator Scores'!$D$8:$CZ$8,0),
  _xlpm.v, IFERROR(INDEX('3. Enter Indicator Scores'!$D$10:$CZ$161,_xlpm.r,_xlpm.c),""),
  IF(OR(_xlpm.w="",_xlpm.v=""),"",_xlpm.v*_xlpm.w)
)</f>
        <v/>
      </c>
      <c r="AT145" s="93" t="str" cm="1">
        <f t="array" ref="AT145">_xlfn.LET(
  _xlpm.w, AT$11,
  _xlpm.r, MATCH(1,('3. Enter Indicator Scores'!$B$10:$B$161=$B145)*('3. Enter Indicator Scores'!$C$10:$C$161=$C145),0),
  _xlpm.c, MATCH(AT$8,'3. Enter Indicator Scores'!$D$8:$CZ$8,0),
  _xlpm.v, IFERROR(INDEX('3. Enter Indicator Scores'!$D$10:$CZ$161,_xlpm.r,_xlpm.c),""),
  IF(OR(_xlpm.w="",_xlpm.v=""),"",_xlpm.v*_xlpm.w)
)</f>
        <v/>
      </c>
      <c r="AU145" s="93" t="str" cm="1">
        <f t="array" ref="AU145">_xlfn.LET(
  _xlpm.w, AU$11,
  _xlpm.r, MATCH(1,('3. Enter Indicator Scores'!$B$10:$B$161=$B145)*('3. Enter Indicator Scores'!$C$10:$C$161=$C145),0),
  _xlpm.c, MATCH(AU$8,'3. Enter Indicator Scores'!$D$8:$CZ$8,0),
  _xlpm.v, IFERROR(INDEX('3. Enter Indicator Scores'!$D$10:$CZ$161,_xlpm.r,_xlpm.c),""),
  IF(OR(_xlpm.w="",_xlpm.v=""),"",_xlpm.v*_xlpm.w)
)</f>
        <v/>
      </c>
      <c r="AV145" s="93" t="str" cm="1">
        <f t="array" ref="AV145">_xlfn.LET(
  _xlpm.w, AV$11,
  _xlpm.r, MATCH(1,('3. Enter Indicator Scores'!$B$10:$B$161=$B145)*('3. Enter Indicator Scores'!$C$10:$C$161=$C145),0),
  _xlpm.c, MATCH(AV$8,'3. Enter Indicator Scores'!$D$8:$CZ$8,0),
  _xlpm.v, IFERROR(INDEX('3. Enter Indicator Scores'!$D$10:$CZ$161,_xlpm.r,_xlpm.c),""),
  IF(OR(_xlpm.w="",_xlpm.v=""),"",_xlpm.v*_xlpm.w)
)</f>
        <v/>
      </c>
      <c r="AW145" s="93" t="str" cm="1">
        <f t="array" ref="AW145">_xlfn.LET(
  _xlpm.w, AW$11,
  _xlpm.r, MATCH(1,('3. Enter Indicator Scores'!$B$10:$B$161=$B145)*('3. Enter Indicator Scores'!$C$10:$C$161=$C145),0),
  _xlpm.c, MATCH(AW$8,'3. Enter Indicator Scores'!$D$8:$CZ$8,0),
  _xlpm.v, IFERROR(INDEX('3. Enter Indicator Scores'!$D$10:$CZ$161,_xlpm.r,_xlpm.c),""),
  IF(OR(_xlpm.w="",_xlpm.v=""),"",_xlpm.v*_xlpm.w)
)</f>
        <v/>
      </c>
      <c r="AX145" s="93" t="str" cm="1">
        <f t="array" ref="AX145">_xlfn.LET(
  _xlpm.w, AX$11,
  _xlpm.r, MATCH(1,('3. Enter Indicator Scores'!$B$10:$B$161=$B145)*('3. Enter Indicator Scores'!$C$10:$C$161=$C145),0),
  _xlpm.c, MATCH(AX$8,'3. Enter Indicator Scores'!$D$8:$CZ$8,0),
  _xlpm.v, IFERROR(INDEX('3. Enter Indicator Scores'!$D$10:$CZ$161,_xlpm.r,_xlpm.c),""),
  IF(OR(_xlpm.w="",_xlpm.v=""),"",_xlpm.v*_xlpm.w)
)</f>
        <v/>
      </c>
      <c r="AY145" s="93" t="str" cm="1">
        <f t="array" ref="AY145">_xlfn.LET(
  _xlpm.w, AY$11,
  _xlpm.r, MATCH(1,('3. Enter Indicator Scores'!$B$10:$B$161=$B145)*('3. Enter Indicator Scores'!$C$10:$C$161=$C145),0),
  _xlpm.c, MATCH(AY$8,'3. Enter Indicator Scores'!$D$8:$CZ$8,0),
  _xlpm.v, IFERROR(INDEX('3. Enter Indicator Scores'!$D$10:$CZ$161,_xlpm.r,_xlpm.c),""),
  IF(OR(_xlpm.w="",_xlpm.v=""),"",_xlpm.v*_xlpm.w)
)</f>
        <v/>
      </c>
      <c r="AZ145" s="93" t="str" cm="1">
        <f t="array" ref="AZ145">_xlfn.LET(
  _xlpm.w, AZ$11,
  _xlpm.r, MATCH(1,('3. Enter Indicator Scores'!$B$10:$B$161=$B145)*('3. Enter Indicator Scores'!$C$10:$C$161=$C145),0),
  _xlpm.c, MATCH(AZ$8,'3. Enter Indicator Scores'!$D$8:$CZ$8,0),
  _xlpm.v, IFERROR(INDEX('3. Enter Indicator Scores'!$D$10:$CZ$161,_xlpm.r,_xlpm.c),""),
  IF(OR(_xlpm.w="",_xlpm.v=""),"",_xlpm.v*_xlpm.w)
)</f>
        <v/>
      </c>
      <c r="BA145" s="93" t="str" cm="1">
        <f t="array" ref="BA145">_xlfn.LET(
  _xlpm.w, BA$11,
  _xlpm.r, MATCH(1,('3. Enter Indicator Scores'!$B$10:$B$161=$B145)*('3. Enter Indicator Scores'!$C$10:$C$161=$C145),0),
  _xlpm.c, MATCH(BA$8,'3. Enter Indicator Scores'!$D$8:$CZ$8,0),
  _xlpm.v, IFERROR(INDEX('3. Enter Indicator Scores'!$D$10:$CZ$161,_xlpm.r,_xlpm.c),""),
  IF(OR(_xlpm.w="",_xlpm.v=""),"",_xlpm.v*_xlpm.w)
)</f>
        <v/>
      </c>
      <c r="BB145" s="93" t="str" cm="1">
        <f t="array" ref="BB145">_xlfn.LET(
  _xlpm.w, BB$11,
  _xlpm.r, MATCH(1,('3. Enter Indicator Scores'!$B$10:$B$161=$B145)*('3. Enter Indicator Scores'!$C$10:$C$161=$C145),0),
  _xlpm.c, MATCH(BB$8,'3. Enter Indicator Scores'!$D$8:$CZ$8,0),
  _xlpm.v, IFERROR(INDEX('3. Enter Indicator Scores'!$D$10:$CZ$161,_xlpm.r,_xlpm.c),""),
  IF(OR(_xlpm.w="",_xlpm.v=""),"",_xlpm.v*_xlpm.w)
)</f>
        <v/>
      </c>
      <c r="BC145" s="93" t="str" cm="1">
        <f t="array" ref="BC145">_xlfn.LET(
  _xlpm.w, BC$11,
  _xlpm.r, MATCH(1,('3. Enter Indicator Scores'!$B$10:$B$161=$B145)*('3. Enter Indicator Scores'!$C$10:$C$161=$C145),0),
  _xlpm.c, MATCH(BC$8,'3. Enter Indicator Scores'!$D$8:$CZ$8,0),
  _xlpm.v, IFERROR(INDEX('3. Enter Indicator Scores'!$D$10:$CZ$161,_xlpm.r,_xlpm.c),""),
  IF(OR(_xlpm.w="",_xlpm.v=""),"",_xlpm.v*_xlpm.w)
)</f>
        <v/>
      </c>
      <c r="BD145" s="93" t="str" cm="1">
        <f t="array" ref="BD145">_xlfn.LET(
  _xlpm.w, BD$11,
  _xlpm.r, MATCH(1,('3. Enter Indicator Scores'!$B$10:$B$161=$B145)*('3. Enter Indicator Scores'!$C$10:$C$161=$C145),0),
  _xlpm.c, MATCH(BD$8,'3. Enter Indicator Scores'!$D$8:$CZ$8,0),
  _xlpm.v, IFERROR(INDEX('3. Enter Indicator Scores'!$D$10:$CZ$161,_xlpm.r,_xlpm.c),""),
  IF(OR(_xlpm.w="",_xlpm.v=""),"",_xlpm.v*_xlpm.w)
)</f>
        <v/>
      </c>
      <c r="BE145" s="93" t="str" cm="1">
        <f t="array" ref="BE145">_xlfn.LET(
  _xlpm.w, BE$11,
  _xlpm.r, MATCH(1,('3. Enter Indicator Scores'!$B$10:$B$161=$B145)*('3. Enter Indicator Scores'!$C$10:$C$161=$C145),0),
  _xlpm.c, MATCH(BE$8,'3. Enter Indicator Scores'!$D$8:$CZ$8,0),
  _xlpm.v, IFERROR(INDEX('3. Enter Indicator Scores'!$D$10:$CZ$161,_xlpm.r,_xlpm.c),""),
  IF(OR(_xlpm.w="",_xlpm.v=""),"",_xlpm.v*_xlpm.w)
)</f>
        <v/>
      </c>
      <c r="BF145" s="93" t="str" cm="1">
        <f t="array" ref="BF145">_xlfn.LET(
  _xlpm.w, BF$11,
  _xlpm.r, MATCH(1,('3. Enter Indicator Scores'!$B$10:$B$161=$B145)*('3. Enter Indicator Scores'!$C$10:$C$161=$C145),0),
  _xlpm.c, MATCH(BF$8,'3. Enter Indicator Scores'!$D$8:$CZ$8,0),
  _xlpm.v, IFERROR(INDEX('3. Enter Indicator Scores'!$D$10:$CZ$161,_xlpm.r,_xlpm.c),""),
  IF(OR(_xlpm.w="",_xlpm.v=""),"",_xlpm.v*_xlpm.w)
)</f>
        <v/>
      </c>
      <c r="BG145" s="93" t="str" cm="1">
        <f t="array" ref="BG145">_xlfn.LET(
  _xlpm.w, BG$11,
  _xlpm.r, MATCH(1,('3. Enter Indicator Scores'!$B$10:$B$161=$B145)*('3. Enter Indicator Scores'!$C$10:$C$161=$C145),0),
  _xlpm.c, MATCH(BG$8,'3. Enter Indicator Scores'!$D$8:$CZ$8,0),
  _xlpm.v, IFERROR(INDEX('3. Enter Indicator Scores'!$D$10:$CZ$161,_xlpm.r,_xlpm.c),""),
  IF(OR(_xlpm.w="",_xlpm.v=""),"",_xlpm.v*_xlpm.w)
)</f>
        <v/>
      </c>
      <c r="BH145" s="93" t="str" cm="1">
        <f t="array" ref="BH145">_xlfn.LET(
  _xlpm.w, BH$11,
  _xlpm.r, MATCH(1,('3. Enter Indicator Scores'!$B$10:$B$161=$B145)*('3. Enter Indicator Scores'!$C$10:$C$161=$C145),0),
  _xlpm.c, MATCH(BH$8,'3. Enter Indicator Scores'!$D$8:$CZ$8,0),
  _xlpm.v, IFERROR(INDEX('3. Enter Indicator Scores'!$D$10:$CZ$161,_xlpm.r,_xlpm.c),""),
  IF(OR(_xlpm.w="",_xlpm.v=""),"",_xlpm.v*_xlpm.w)
)</f>
        <v/>
      </c>
      <c r="BI145" s="93" t="str" cm="1">
        <f t="array" ref="BI145">_xlfn.LET(
  _xlpm.w, BI$11,
  _xlpm.r, MATCH(1,('3. Enter Indicator Scores'!$B$10:$B$161=$B145)*('3. Enter Indicator Scores'!$C$10:$C$161=$C145),0),
  _xlpm.c, MATCH(BI$8,'3. Enter Indicator Scores'!$D$8:$CZ$8,0),
  _xlpm.v, IFERROR(INDEX('3. Enter Indicator Scores'!$D$10:$CZ$161,_xlpm.r,_xlpm.c),""),
  IF(OR(_xlpm.w="",_xlpm.v=""),"",_xlpm.v*_xlpm.w)
)</f>
        <v/>
      </c>
      <c r="BJ145" s="93" t="str" cm="1">
        <f t="array" ref="BJ145">_xlfn.LET(
  _xlpm.w, BJ$11,
  _xlpm.r, MATCH(1,('3. Enter Indicator Scores'!$B$10:$B$161=$B145)*('3. Enter Indicator Scores'!$C$10:$C$161=$C145),0),
  _xlpm.c, MATCH(BJ$8,'3. Enter Indicator Scores'!$D$8:$CZ$8,0),
  _xlpm.v, IFERROR(INDEX('3. Enter Indicator Scores'!$D$10:$CZ$161,_xlpm.r,_xlpm.c),""),
  IF(OR(_xlpm.w="",_xlpm.v=""),"",_xlpm.v*_xlpm.w)
)</f>
        <v/>
      </c>
      <c r="BK145" s="93" t="str" cm="1">
        <f t="array" ref="BK145">_xlfn.LET(
  _xlpm.w, BK$11,
  _xlpm.r, MATCH(1,('3. Enter Indicator Scores'!$B$10:$B$161=$B145)*('3. Enter Indicator Scores'!$C$10:$C$161=$C145),0),
  _xlpm.c, MATCH(BK$8,'3. Enter Indicator Scores'!$D$8:$CZ$8,0),
  _xlpm.v, IFERROR(INDEX('3. Enter Indicator Scores'!$D$10:$CZ$161,_xlpm.r,_xlpm.c),""),
  IF(OR(_xlpm.w="",_xlpm.v=""),"",_xlpm.v*_xlpm.w)
)</f>
        <v/>
      </c>
      <c r="BL145" s="93" t="str" cm="1">
        <f t="array" ref="BL145">_xlfn.LET(
  _xlpm.w, BL$11,
  _xlpm.r, MATCH(1,('3. Enter Indicator Scores'!$B$10:$B$161=$B145)*('3. Enter Indicator Scores'!$C$10:$C$161=$C145),0),
  _xlpm.c, MATCH(BL$8,'3. Enter Indicator Scores'!$D$8:$CZ$8,0),
  _xlpm.v, IFERROR(INDEX('3. Enter Indicator Scores'!$D$10:$CZ$161,_xlpm.r,_xlpm.c),""),
  IF(OR(_xlpm.w="",_xlpm.v=""),"",_xlpm.v*_xlpm.w)
)</f>
        <v/>
      </c>
      <c r="BM145" s="93" t="str" cm="1">
        <f t="array" ref="BM145">_xlfn.LET(
  _xlpm.w, BM$11,
  _xlpm.r, MATCH(1,('3. Enter Indicator Scores'!$B$10:$B$161=$B145)*('3. Enter Indicator Scores'!$C$10:$C$161=$C145),0),
  _xlpm.c, MATCH(BM$8,'3. Enter Indicator Scores'!$D$8:$CZ$8,0),
  _xlpm.v, IFERROR(INDEX('3. Enter Indicator Scores'!$D$10:$CZ$161,_xlpm.r,_xlpm.c),""),
  IF(OR(_xlpm.w="",_xlpm.v=""),"",_xlpm.v*_xlpm.w)
)</f>
        <v/>
      </c>
      <c r="BN145" s="93" t="str" cm="1">
        <f t="array" ref="BN145">_xlfn.LET(
  _xlpm.w, BN$11,
  _xlpm.r, MATCH(1,('3. Enter Indicator Scores'!$B$10:$B$161=$B145)*('3. Enter Indicator Scores'!$C$10:$C$161=$C145),0),
  _xlpm.c, MATCH(BN$8,'3. Enter Indicator Scores'!$D$8:$CZ$8,0),
  _xlpm.v, IFERROR(INDEX('3. Enter Indicator Scores'!$D$10:$CZ$161,_xlpm.r,_xlpm.c),""),
  IF(OR(_xlpm.w="",_xlpm.v=""),"",_xlpm.v*_xlpm.w)
)</f>
        <v/>
      </c>
      <c r="BO145" s="93" t="str" cm="1">
        <f t="array" ref="BO145">_xlfn.LET(
  _xlpm.w, BO$11,
  _xlpm.r, MATCH(1,('3. Enter Indicator Scores'!$B$10:$B$161=$B145)*('3. Enter Indicator Scores'!$C$10:$C$161=$C145),0),
  _xlpm.c, MATCH(BO$8,'3. Enter Indicator Scores'!$D$8:$CZ$8,0),
  _xlpm.v, IFERROR(INDEX('3. Enter Indicator Scores'!$D$10:$CZ$161,_xlpm.r,_xlpm.c),""),
  IF(OR(_xlpm.w="",_xlpm.v=""),"",_xlpm.v*_xlpm.w)
)</f>
        <v/>
      </c>
      <c r="BP145" s="93" t="str" cm="1">
        <f t="array" ref="BP145">_xlfn.LET(
  _xlpm.w, BP$11,
  _xlpm.r, MATCH(1,('3. Enter Indicator Scores'!$B$10:$B$161=$B145)*('3. Enter Indicator Scores'!$C$10:$C$161=$C145),0),
  _xlpm.c, MATCH(BP$8,'3. Enter Indicator Scores'!$D$8:$CZ$8,0),
  _xlpm.v, IFERROR(INDEX('3. Enter Indicator Scores'!$D$10:$CZ$161,_xlpm.r,_xlpm.c),""),
  IF(OR(_xlpm.w="",_xlpm.v=""),"",_xlpm.v*_xlpm.w)
)</f>
        <v/>
      </c>
      <c r="BQ145" s="93" t="str" cm="1">
        <f t="array" ref="BQ145">_xlfn.LET(
  _xlpm.w, BQ$11,
  _xlpm.r, MATCH(1,('3. Enter Indicator Scores'!$B$10:$B$161=$B145)*('3. Enter Indicator Scores'!$C$10:$C$161=$C145),0),
  _xlpm.c, MATCH(BQ$8,'3. Enter Indicator Scores'!$D$8:$CZ$8,0),
  _xlpm.v, IFERROR(INDEX('3. Enter Indicator Scores'!$D$10:$CZ$161,_xlpm.r,_xlpm.c),""),
  IF(OR(_xlpm.w="",_xlpm.v=""),"",_xlpm.v*_xlpm.w)
)</f>
        <v/>
      </c>
      <c r="BR145" s="93" t="str" cm="1">
        <f t="array" ref="BR145">_xlfn.LET(
  _xlpm.w, BR$11,
  _xlpm.r, MATCH(1,('3. Enter Indicator Scores'!$B$10:$B$161=$B145)*('3. Enter Indicator Scores'!$C$10:$C$161=$C145),0),
  _xlpm.c, MATCH(BR$8,'3. Enter Indicator Scores'!$D$8:$CZ$8,0),
  _xlpm.v, IFERROR(INDEX('3. Enter Indicator Scores'!$D$10:$CZ$161,_xlpm.r,_xlpm.c),""),
  IF(OR(_xlpm.w="",_xlpm.v=""),"",_xlpm.v*_xlpm.w)
)</f>
        <v/>
      </c>
      <c r="BS145" s="93" t="str" cm="1">
        <f t="array" ref="BS145">_xlfn.LET(
  _xlpm.w, BS$11,
  _xlpm.r, MATCH(1,('3. Enter Indicator Scores'!$B$10:$B$161=$B145)*('3. Enter Indicator Scores'!$C$10:$C$161=$C145),0),
  _xlpm.c, MATCH(BS$8,'3. Enter Indicator Scores'!$D$8:$CZ$8,0),
  _xlpm.v, IFERROR(INDEX('3. Enter Indicator Scores'!$D$10:$CZ$161,_xlpm.r,_xlpm.c),""),
  IF(OR(_xlpm.w="",_xlpm.v=""),"",_xlpm.v*_xlpm.w)
)</f>
        <v/>
      </c>
      <c r="BT145" s="93" t="str" cm="1">
        <f t="array" ref="BT145">_xlfn.LET(
  _xlpm.w, BT$11,
  _xlpm.r, MATCH(1,('3. Enter Indicator Scores'!$B$10:$B$161=$B145)*('3. Enter Indicator Scores'!$C$10:$C$161=$C145),0),
  _xlpm.c, MATCH(BT$8,'3. Enter Indicator Scores'!$D$8:$CZ$8,0),
  _xlpm.v, IFERROR(INDEX('3. Enter Indicator Scores'!$D$10:$CZ$161,_xlpm.r,_xlpm.c),""),
  IF(OR(_xlpm.w="",_xlpm.v=""),"",_xlpm.v*_xlpm.w)
)</f>
        <v/>
      </c>
      <c r="BU145" s="93" t="str" cm="1">
        <f t="array" ref="BU145">_xlfn.LET(
  _xlpm.w, BU$11,
  _xlpm.r, MATCH(1,('3. Enter Indicator Scores'!$B$10:$B$161=$B145)*('3. Enter Indicator Scores'!$C$10:$C$161=$C145),0),
  _xlpm.c, MATCH(BU$8,'3. Enter Indicator Scores'!$D$8:$CZ$8,0),
  _xlpm.v, IFERROR(INDEX('3. Enter Indicator Scores'!$D$10:$CZ$161,_xlpm.r,_xlpm.c),""),
  IF(OR(_xlpm.w="",_xlpm.v=""),"",_xlpm.v*_xlpm.w)
)</f>
        <v/>
      </c>
      <c r="BV145" s="93" t="str" cm="1">
        <f t="array" ref="BV145">_xlfn.LET(
  _xlpm.w, BV$11,
  _xlpm.r, MATCH(1,('3. Enter Indicator Scores'!$B$10:$B$161=$B145)*('3. Enter Indicator Scores'!$C$10:$C$161=$C145),0),
  _xlpm.c, MATCH(BV$8,'3. Enter Indicator Scores'!$D$8:$CZ$8,0),
  _xlpm.v, IFERROR(INDEX('3. Enter Indicator Scores'!$D$10:$CZ$161,_xlpm.r,_xlpm.c),""),
  IF(OR(_xlpm.w="",_xlpm.v=""),"",_xlpm.v*_xlpm.w)
)</f>
        <v/>
      </c>
      <c r="BW145" s="93" t="str" cm="1">
        <f t="array" ref="BW145">_xlfn.LET(
  _xlpm.w, BW$11,
  _xlpm.r, MATCH(1,('3. Enter Indicator Scores'!$B$10:$B$161=$B145)*('3. Enter Indicator Scores'!$C$10:$C$161=$C145),0),
  _xlpm.c, MATCH(BW$8,'3. Enter Indicator Scores'!$D$8:$CZ$8,0),
  _xlpm.v, IFERROR(INDEX('3. Enter Indicator Scores'!$D$10:$CZ$161,_xlpm.r,_xlpm.c),""),
  IF(OR(_xlpm.w="",_xlpm.v=""),"",_xlpm.v*_xlpm.w)
)</f>
        <v/>
      </c>
      <c r="BX145" s="93" t="str" cm="1">
        <f t="array" ref="BX145">_xlfn.LET(
  _xlpm.w, BX$11,
  _xlpm.r, MATCH(1,('3. Enter Indicator Scores'!$B$10:$B$161=$B145)*('3. Enter Indicator Scores'!$C$10:$C$161=$C145),0),
  _xlpm.c, MATCH(BX$8,'3. Enter Indicator Scores'!$D$8:$CZ$8,0),
  _xlpm.v, IFERROR(INDEX('3. Enter Indicator Scores'!$D$10:$CZ$161,_xlpm.r,_xlpm.c),""),
  IF(OR(_xlpm.w="",_xlpm.v=""),"",_xlpm.v*_xlpm.w)
)</f>
        <v/>
      </c>
      <c r="BY145" s="93" t="str" cm="1">
        <f t="array" ref="BY145">_xlfn.LET(
  _xlpm.w, BY$11,
  _xlpm.r, MATCH(1,('3. Enter Indicator Scores'!$B$10:$B$161=$B145)*('3. Enter Indicator Scores'!$C$10:$C$161=$C145),0),
  _xlpm.c, MATCH(BY$8,'3. Enter Indicator Scores'!$D$8:$CZ$8,0),
  _xlpm.v, IFERROR(INDEX('3. Enter Indicator Scores'!$D$10:$CZ$161,_xlpm.r,_xlpm.c),""),
  IF(OR(_xlpm.w="",_xlpm.v=""),"",_xlpm.v*_xlpm.w)
)</f>
        <v/>
      </c>
      <c r="BZ145" s="93" t="str" cm="1">
        <f t="array" ref="BZ145">_xlfn.LET(
  _xlpm.w, BZ$11,
  _xlpm.r, MATCH(1,('3. Enter Indicator Scores'!$B$10:$B$161=$B145)*('3. Enter Indicator Scores'!$C$10:$C$161=$C145),0),
  _xlpm.c, MATCH(BZ$8,'3. Enter Indicator Scores'!$D$8:$CZ$8,0),
  _xlpm.v, IFERROR(INDEX('3. Enter Indicator Scores'!$D$10:$CZ$161,_xlpm.r,_xlpm.c),""),
  IF(OR(_xlpm.w="",_xlpm.v=""),"",_xlpm.v*_xlpm.w)
)</f>
        <v/>
      </c>
      <c r="CA145" s="93" t="str" cm="1">
        <f t="array" ref="CA145">_xlfn.LET(
  _xlpm.w, CA$11,
  _xlpm.r, MATCH(1,('3. Enter Indicator Scores'!$B$10:$B$161=$B145)*('3. Enter Indicator Scores'!$C$10:$C$161=$C145),0),
  _xlpm.c, MATCH(CA$8,'3. Enter Indicator Scores'!$D$8:$CZ$8,0),
  _xlpm.v, IFERROR(INDEX('3. Enter Indicator Scores'!$D$10:$CZ$161,_xlpm.r,_xlpm.c),""),
  IF(OR(_xlpm.w="",_xlpm.v=""),"",_xlpm.v*_xlpm.w)
)</f>
        <v/>
      </c>
      <c r="CB145" s="93" t="str" cm="1">
        <f t="array" ref="CB145">_xlfn.LET(
  _xlpm.w, CB$11,
  _xlpm.r, MATCH(1,('3. Enter Indicator Scores'!$B$10:$B$161=$B145)*('3. Enter Indicator Scores'!$C$10:$C$161=$C145),0),
  _xlpm.c, MATCH(CB$8,'3. Enter Indicator Scores'!$D$8:$CZ$8,0),
  _xlpm.v, IFERROR(INDEX('3. Enter Indicator Scores'!$D$10:$CZ$161,_xlpm.r,_xlpm.c),""),
  IF(OR(_xlpm.w="",_xlpm.v=""),"",_xlpm.v*_xlpm.w)
)</f>
        <v/>
      </c>
      <c r="CC145" s="93" t="str" cm="1">
        <f t="array" ref="CC145">_xlfn.LET(
  _xlpm.w, CC$11,
  _xlpm.r, MATCH(1,('3. Enter Indicator Scores'!$B$10:$B$161=$B145)*('3. Enter Indicator Scores'!$C$10:$C$161=$C145),0),
  _xlpm.c, MATCH(CC$8,'3. Enter Indicator Scores'!$D$8:$CZ$8,0),
  _xlpm.v, IFERROR(INDEX('3. Enter Indicator Scores'!$D$10:$CZ$161,_xlpm.r,_xlpm.c),""),
  IF(OR(_xlpm.w="",_xlpm.v=""),"",_xlpm.v*_xlpm.w)
)</f>
        <v/>
      </c>
      <c r="CD145" s="93" t="str" cm="1">
        <f t="array" ref="CD145">_xlfn.LET(
  _xlpm.w, CD$11,
  _xlpm.r, MATCH(1,('3. Enter Indicator Scores'!$B$10:$B$161=$B145)*('3. Enter Indicator Scores'!$C$10:$C$161=$C145),0),
  _xlpm.c, MATCH(CD$8,'3. Enter Indicator Scores'!$D$8:$CZ$8,0),
  _xlpm.v, IFERROR(INDEX('3. Enter Indicator Scores'!$D$10:$CZ$161,_xlpm.r,_xlpm.c),""),
  IF(OR(_xlpm.w="",_xlpm.v=""),"",_xlpm.v*_xlpm.w)
)</f>
        <v/>
      </c>
      <c r="CE145" s="93" t="str" cm="1">
        <f t="array" ref="CE145">_xlfn.LET(
  _xlpm.w, CE$11,
  _xlpm.r, MATCH(1,('3. Enter Indicator Scores'!$B$10:$B$161=$B145)*('3. Enter Indicator Scores'!$C$10:$C$161=$C145),0),
  _xlpm.c, MATCH(CE$8,'3. Enter Indicator Scores'!$D$8:$CZ$8,0),
  _xlpm.v, IFERROR(INDEX('3. Enter Indicator Scores'!$D$10:$CZ$161,_xlpm.r,_xlpm.c),""),
  IF(OR(_xlpm.w="",_xlpm.v=""),"",_xlpm.v*_xlpm.w)
)</f>
        <v/>
      </c>
      <c r="CF145" s="93" t="str" cm="1">
        <f t="array" ref="CF145">_xlfn.LET(
  _xlpm.w, CF$11,
  _xlpm.r, MATCH(1,('3. Enter Indicator Scores'!$B$10:$B$161=$B145)*('3. Enter Indicator Scores'!$C$10:$C$161=$C145),0),
  _xlpm.c, MATCH(CF$8,'3. Enter Indicator Scores'!$D$8:$CZ$8,0),
  _xlpm.v, IFERROR(INDEX('3. Enter Indicator Scores'!$D$10:$CZ$161,_xlpm.r,_xlpm.c),""),
  IF(OR(_xlpm.w="",_xlpm.v=""),"",_xlpm.v*_xlpm.w)
)</f>
        <v/>
      </c>
      <c r="CG145" s="93" t="str" cm="1">
        <f t="array" ref="CG145">_xlfn.LET(
  _xlpm.w, CG$11,
  _xlpm.r, MATCH(1,('3. Enter Indicator Scores'!$B$10:$B$161=$B145)*('3. Enter Indicator Scores'!$C$10:$C$161=$C145),0),
  _xlpm.c, MATCH(CG$8,'3. Enter Indicator Scores'!$D$8:$CZ$8,0),
  _xlpm.v, IFERROR(INDEX('3. Enter Indicator Scores'!$D$10:$CZ$161,_xlpm.r,_xlpm.c),""),
  IF(OR(_xlpm.w="",_xlpm.v=""),"",_xlpm.v*_xlpm.w)
)</f>
        <v/>
      </c>
      <c r="CH145" s="93" t="str" cm="1">
        <f t="array" ref="CH145">_xlfn.LET(
  _xlpm.w, CH$11,
  _xlpm.r, MATCH(1,('3. Enter Indicator Scores'!$B$10:$B$161=$B145)*('3. Enter Indicator Scores'!$C$10:$C$161=$C145),0),
  _xlpm.c, MATCH(CH$8,'3. Enter Indicator Scores'!$D$8:$CZ$8,0),
  _xlpm.v, IFERROR(INDEX('3. Enter Indicator Scores'!$D$10:$CZ$161,_xlpm.r,_xlpm.c),""),
  IF(OR(_xlpm.w="",_xlpm.v=""),"",_xlpm.v*_xlpm.w)
)</f>
        <v/>
      </c>
      <c r="CI145" s="93" t="str" cm="1">
        <f t="array" ref="CI145">_xlfn.LET(
  _xlpm.w, CI$11,
  _xlpm.r, MATCH(1,('3. Enter Indicator Scores'!$B$10:$B$161=$B145)*('3. Enter Indicator Scores'!$C$10:$C$161=$C145),0),
  _xlpm.c, MATCH(CI$8,'3. Enter Indicator Scores'!$D$8:$CZ$8,0),
  _xlpm.v, IFERROR(INDEX('3. Enter Indicator Scores'!$D$10:$CZ$161,_xlpm.r,_xlpm.c),""),
  IF(OR(_xlpm.w="",_xlpm.v=""),"",_xlpm.v*_xlpm.w)
)</f>
        <v/>
      </c>
      <c r="CJ145" s="93" t="str" cm="1">
        <f t="array" ref="CJ145">_xlfn.LET(
  _xlpm.w, CJ$11,
  _xlpm.r, MATCH(1,('3. Enter Indicator Scores'!$B$10:$B$161=$B145)*('3. Enter Indicator Scores'!$C$10:$C$161=$C145),0),
  _xlpm.c, MATCH(CJ$8,'3. Enter Indicator Scores'!$D$8:$CZ$8,0),
  _xlpm.v, IFERROR(INDEX('3. Enter Indicator Scores'!$D$10:$CZ$161,_xlpm.r,_xlpm.c),""),
  IF(OR(_xlpm.w="",_xlpm.v=""),"",_xlpm.v*_xlpm.w)
)</f>
        <v/>
      </c>
      <c r="CK145" s="93" t="str" cm="1">
        <f t="array" ref="CK145">_xlfn.LET(
  _xlpm.w, CK$11,
  _xlpm.r, MATCH(1,('3. Enter Indicator Scores'!$B$10:$B$161=$B145)*('3. Enter Indicator Scores'!$C$10:$C$161=$C145),0),
  _xlpm.c, MATCH(CK$8,'3. Enter Indicator Scores'!$D$8:$CZ$8,0),
  _xlpm.v, IFERROR(INDEX('3. Enter Indicator Scores'!$D$10:$CZ$161,_xlpm.r,_xlpm.c),""),
  IF(OR(_xlpm.w="",_xlpm.v=""),"",_xlpm.v*_xlpm.w)
)</f>
        <v/>
      </c>
      <c r="CL145" s="93" t="str" cm="1">
        <f t="array" ref="CL145">_xlfn.LET(
  _xlpm.w, CL$11,
  _xlpm.r, MATCH(1,('3. Enter Indicator Scores'!$B$10:$B$161=$B145)*('3. Enter Indicator Scores'!$C$10:$C$161=$C145),0),
  _xlpm.c, MATCH(CL$8,'3. Enter Indicator Scores'!$D$8:$CZ$8,0),
  _xlpm.v, IFERROR(INDEX('3. Enter Indicator Scores'!$D$10:$CZ$161,_xlpm.r,_xlpm.c),""),
  IF(OR(_xlpm.w="",_xlpm.v=""),"",_xlpm.v*_xlpm.w)
)</f>
        <v/>
      </c>
      <c r="CM145" s="93" t="str" cm="1">
        <f t="array" ref="CM145">_xlfn.LET(
  _xlpm.w, CM$11,
  _xlpm.r, MATCH(1,('3. Enter Indicator Scores'!$B$10:$B$161=$B145)*('3. Enter Indicator Scores'!$C$10:$C$161=$C145),0),
  _xlpm.c, MATCH(CM$8,'3. Enter Indicator Scores'!$D$8:$CZ$8,0),
  _xlpm.v, IFERROR(INDEX('3. Enter Indicator Scores'!$D$10:$CZ$161,_xlpm.r,_xlpm.c),""),
  IF(OR(_xlpm.w="",_xlpm.v=""),"",_xlpm.v*_xlpm.w)
)</f>
        <v/>
      </c>
      <c r="CN145" s="93" t="str" cm="1">
        <f t="array" ref="CN145">_xlfn.LET(
  _xlpm.w, CN$11,
  _xlpm.r, MATCH(1,('3. Enter Indicator Scores'!$B$10:$B$161=$B145)*('3. Enter Indicator Scores'!$C$10:$C$161=$C145),0),
  _xlpm.c, MATCH(CN$8,'3. Enter Indicator Scores'!$D$8:$CZ$8,0),
  _xlpm.v, IFERROR(INDEX('3. Enter Indicator Scores'!$D$10:$CZ$161,_xlpm.r,_xlpm.c),""),
  IF(OR(_xlpm.w="",_xlpm.v=""),"",_xlpm.v*_xlpm.w)
)</f>
        <v/>
      </c>
      <c r="CO145" s="93" t="str" cm="1">
        <f t="array" ref="CO145">_xlfn.LET(
  _xlpm.w, CO$11,
  _xlpm.r, MATCH(1,('3. Enter Indicator Scores'!$B$10:$B$161=$B145)*('3. Enter Indicator Scores'!$C$10:$C$161=$C145),0),
  _xlpm.c, MATCH(CO$8,'3. Enter Indicator Scores'!$D$8:$CZ$8,0),
  _xlpm.v, IFERROR(INDEX('3. Enter Indicator Scores'!$D$10:$CZ$161,_xlpm.r,_xlpm.c),""),
  IF(OR(_xlpm.w="",_xlpm.v=""),"",_xlpm.v*_xlpm.w)
)</f>
        <v/>
      </c>
      <c r="CP145" s="93" t="str" cm="1">
        <f t="array" ref="CP145">_xlfn.LET(
  _xlpm.w, CP$11,
  _xlpm.r, MATCH(1,('3. Enter Indicator Scores'!$B$10:$B$161=$B145)*('3. Enter Indicator Scores'!$C$10:$C$161=$C145),0),
  _xlpm.c, MATCH(CP$8,'3. Enter Indicator Scores'!$D$8:$CZ$8,0),
  _xlpm.v, IFERROR(INDEX('3. Enter Indicator Scores'!$D$10:$CZ$161,_xlpm.r,_xlpm.c),""),
  IF(OR(_xlpm.w="",_xlpm.v=""),"",_xlpm.v*_xlpm.w)
)</f>
        <v/>
      </c>
      <c r="CQ145" s="93" t="str" cm="1">
        <f t="array" ref="CQ145">_xlfn.LET(
  _xlpm.w, CQ$11,
  _xlpm.r, MATCH(1,('3. Enter Indicator Scores'!$B$10:$B$161=$B145)*('3. Enter Indicator Scores'!$C$10:$C$161=$C145),0),
  _xlpm.c, MATCH(CQ$8,'3. Enter Indicator Scores'!$D$8:$CZ$8,0),
  _xlpm.v, IFERROR(INDEX('3. Enter Indicator Scores'!$D$10:$CZ$161,_xlpm.r,_xlpm.c),""),
  IF(OR(_xlpm.w="",_xlpm.v=""),"",_xlpm.v*_xlpm.w)
)</f>
        <v/>
      </c>
      <c r="CR145" s="93" t="str" cm="1">
        <f t="array" ref="CR145">_xlfn.LET(
  _xlpm.w, CR$11,
  _xlpm.r, MATCH(1,('3. Enter Indicator Scores'!$B$10:$B$161=$B145)*('3. Enter Indicator Scores'!$C$10:$C$161=$C145),0),
  _xlpm.c, MATCH(CR$8,'3. Enter Indicator Scores'!$D$8:$CZ$8,0),
  _xlpm.v, IFERROR(INDEX('3. Enter Indicator Scores'!$D$10:$CZ$161,_xlpm.r,_xlpm.c),""),
  IF(OR(_xlpm.w="",_xlpm.v=""),"",_xlpm.v*_xlpm.w)
)</f>
        <v/>
      </c>
      <c r="CS145" s="93" t="str" cm="1">
        <f t="array" ref="CS145">_xlfn.LET(
  _xlpm.w, CS$11,
  _xlpm.r, MATCH(1,('3. Enter Indicator Scores'!$B$10:$B$161=$B145)*('3. Enter Indicator Scores'!$C$10:$C$161=$C145),0),
  _xlpm.c, MATCH(CS$8,'3. Enter Indicator Scores'!$D$8:$CZ$8,0),
  _xlpm.v, IFERROR(INDEX('3. Enter Indicator Scores'!$D$10:$CZ$161,_xlpm.r,_xlpm.c),""),
  IF(OR(_xlpm.w="",_xlpm.v=""),"",_xlpm.v*_xlpm.w)
)</f>
        <v/>
      </c>
      <c r="CT145" s="93" t="str" cm="1">
        <f t="array" ref="CT145">_xlfn.LET(
  _xlpm.w, CT$11,
  _xlpm.r, MATCH(1,('3. Enter Indicator Scores'!$B$10:$B$161=$B145)*('3. Enter Indicator Scores'!$C$10:$C$161=$C145),0),
  _xlpm.c, MATCH(CT$8,'3. Enter Indicator Scores'!$D$8:$CZ$8,0),
  _xlpm.v, IFERROR(INDEX('3. Enter Indicator Scores'!$D$10:$CZ$161,_xlpm.r,_xlpm.c),""),
  IF(OR(_xlpm.w="",_xlpm.v=""),"",_xlpm.v*_xlpm.w)
)</f>
        <v/>
      </c>
      <c r="CU145" s="93" t="str" cm="1">
        <f t="array" ref="CU145">_xlfn.LET(
  _xlpm.w, CU$11,
  _xlpm.r, MATCH(1,('3. Enter Indicator Scores'!$B$10:$B$161=$B145)*('3. Enter Indicator Scores'!$C$10:$C$161=$C145),0),
  _xlpm.c, MATCH(CU$8,'3. Enter Indicator Scores'!$D$8:$CZ$8,0),
  _xlpm.v, IFERROR(INDEX('3. Enter Indicator Scores'!$D$10:$CZ$161,_xlpm.r,_xlpm.c),""),
  IF(OR(_xlpm.w="",_xlpm.v=""),"",_xlpm.v*_xlpm.w)
)</f>
        <v/>
      </c>
      <c r="CV145" s="93" t="str" cm="1">
        <f t="array" ref="CV145">_xlfn.LET(
  _xlpm.w, CV$11,
  _xlpm.r, MATCH(1,('3. Enter Indicator Scores'!$B$10:$B$161=$B145)*('3. Enter Indicator Scores'!$C$10:$C$161=$C145),0),
  _xlpm.c, MATCH(CV$8,'3. Enter Indicator Scores'!$D$8:$CZ$8,0),
  _xlpm.v, IFERROR(INDEX('3. Enter Indicator Scores'!$D$10:$CZ$161,_xlpm.r,_xlpm.c),""),
  IF(OR(_xlpm.w="",_xlpm.v=""),"",_xlpm.v*_xlpm.w)
)</f>
        <v/>
      </c>
      <c r="CW145" s="93" t="str" cm="1">
        <f t="array" ref="CW145">_xlfn.LET(
  _xlpm.w, CW$11,
  _xlpm.r, MATCH(1,('3. Enter Indicator Scores'!$B$10:$B$161=$B145)*('3. Enter Indicator Scores'!$C$10:$C$161=$C145),0),
  _xlpm.c, MATCH(CW$8,'3. Enter Indicator Scores'!$D$8:$CZ$8,0),
  _xlpm.v, IFERROR(INDEX('3. Enter Indicator Scores'!$D$10:$CZ$161,_xlpm.r,_xlpm.c),""),
  IF(OR(_xlpm.w="",_xlpm.v=""),"",_xlpm.v*_xlpm.w)
)</f>
        <v/>
      </c>
      <c r="CX145" s="93" t="str" cm="1">
        <f t="array" ref="CX145">_xlfn.LET(
  _xlpm.w, CX$11,
  _xlpm.r, MATCH(1,('3. Enter Indicator Scores'!$B$10:$B$161=$B145)*('3. Enter Indicator Scores'!$C$10:$C$161=$C145),0),
  _xlpm.c, MATCH(CX$8,'3. Enter Indicator Scores'!$D$8:$CZ$8,0),
  _xlpm.v, IFERROR(INDEX('3. Enter Indicator Scores'!$D$10:$CZ$161,_xlpm.r,_xlpm.c),""),
  IF(OR(_xlpm.w="",_xlpm.v=""),"",_xlpm.v*_xlpm.w)
)</f>
        <v/>
      </c>
      <c r="CY145" s="93" t="str" cm="1">
        <f t="array" ref="CY145">_xlfn.LET(
  _xlpm.w, CY$11,
  _xlpm.r, MATCH(1,('3. Enter Indicator Scores'!$B$10:$B$161=$B145)*('3. Enter Indicator Scores'!$C$10:$C$161=$C145),0),
  _xlpm.c, MATCH(CY$8,'3. Enter Indicator Scores'!$D$8:$CZ$8,0),
  _xlpm.v, IFERROR(INDEX('3. Enter Indicator Scores'!$D$10:$CZ$161,_xlpm.r,_xlpm.c),""),
  IF(OR(_xlpm.w="",_xlpm.v=""),"",_xlpm.v*_xlpm.w)
)</f>
        <v/>
      </c>
      <c r="CZ145" s="93" t="str" cm="1">
        <f t="array" ref="CZ145">_xlfn.LET(
  _xlpm.w, CZ$11,
  _xlpm.r, MATCH(1,('3. Enter Indicator Scores'!$B$10:$B$161=$B145)*('3. Enter Indicator Scores'!$C$10:$C$161=$C145),0),
  _xlpm.c, MATCH(CZ$8,'3. Enter Indicator Scores'!$D$8:$CZ$8,0),
  _xlpm.v, IFERROR(INDEX('3. Enter Indicator Scores'!$D$10:$CZ$161,_xlpm.r,_xlpm.c),""),
  IF(OR(_xlpm.w="",_xlpm.v=""),"",_xlpm.v*_xlpm.w)
)</f>
        <v/>
      </c>
    </row>
    <row r="146" spans="4:104" x14ac:dyDescent="0.2">
      <c r="D146" s="93" t="str" cm="1">
        <f t="array" ref="D146">_xlfn.LET(
  _xlpm.w, D$11,
  _xlpm.r, MATCH(1,('3. Enter Indicator Scores'!$B$10:$B$161=$B146)*('3. Enter Indicator Scores'!$C$10:$C$161=$C146),0),
  _xlpm.c, MATCH(D$8,'3. Enter Indicator Scores'!$D$8:$CZ$8,0),
  _xlpm.v, IFERROR(INDEX('3. Enter Indicator Scores'!$D$10:$CZ$161,_xlpm.r,_xlpm.c),""),
  IF(OR(_xlpm.w="",_xlpm.v=""),"",_xlpm.v*_xlpm.w)
)</f>
        <v/>
      </c>
      <c r="E146" s="93" t="str" cm="1">
        <f t="array" ref="E146">_xlfn.LET(
  _xlpm.w, E$11,
  _xlpm.r, MATCH(1,('3. Enter Indicator Scores'!$B$10:$B$161=$B146)*('3. Enter Indicator Scores'!$C$10:$C$161=$C146),0),
  _xlpm.c, MATCH(E$8,'3. Enter Indicator Scores'!$D$8:$CZ$8,0),
  _xlpm.v, IFERROR(INDEX('3. Enter Indicator Scores'!$D$10:$CZ$161,_xlpm.r,_xlpm.c),""),
  IF(OR(_xlpm.w="",_xlpm.v=""),"",_xlpm.v*_xlpm.w)
)</f>
        <v/>
      </c>
      <c r="F146" s="93" t="str" cm="1">
        <f t="array" ref="F146">_xlfn.LET(
  _xlpm.w, F$11,
  _xlpm.r, MATCH(1,('3. Enter Indicator Scores'!$B$10:$B$161=$B146)*('3. Enter Indicator Scores'!$C$10:$C$161=$C146),0),
  _xlpm.c, MATCH(F$8,'3. Enter Indicator Scores'!$D$8:$CZ$8,0),
  _xlpm.v, IFERROR(INDEX('3. Enter Indicator Scores'!$D$10:$CZ$161,_xlpm.r,_xlpm.c),""),
  IF(OR(_xlpm.w="",_xlpm.v=""),"",_xlpm.v*_xlpm.w)
)</f>
        <v/>
      </c>
      <c r="G146" s="93" t="str" cm="1">
        <f t="array" ref="G146">_xlfn.LET(
  _xlpm.w, G$11,
  _xlpm.r, MATCH(1,('3. Enter Indicator Scores'!$B$10:$B$161=$B146)*('3. Enter Indicator Scores'!$C$10:$C$161=$C146),0),
  _xlpm.c, MATCH(G$8,'3. Enter Indicator Scores'!$D$8:$CZ$8,0),
  _xlpm.v, IFERROR(INDEX('3. Enter Indicator Scores'!$D$10:$CZ$161,_xlpm.r,_xlpm.c),""),
  IF(OR(_xlpm.w="",_xlpm.v=""),"",_xlpm.v*_xlpm.w)
)</f>
        <v/>
      </c>
      <c r="H146" s="93" t="str" cm="1">
        <f t="array" ref="H146">_xlfn.LET(
  _xlpm.w, H$11,
  _xlpm.r, MATCH(1,('3. Enter Indicator Scores'!$B$10:$B$161=$B146)*('3. Enter Indicator Scores'!$C$10:$C$161=$C146),0),
  _xlpm.c, MATCH(H$8,'3. Enter Indicator Scores'!$D$8:$CZ$8,0),
  _xlpm.v, IFERROR(INDEX('3. Enter Indicator Scores'!$D$10:$CZ$161,_xlpm.r,_xlpm.c),""),
  IF(OR(_xlpm.w="",_xlpm.v=""),"",_xlpm.v*_xlpm.w)
)</f>
        <v/>
      </c>
      <c r="I146" s="93" t="str" cm="1">
        <f t="array" ref="I146">_xlfn.LET(
  _xlpm.w, I$11,
  _xlpm.r, MATCH(1,('3. Enter Indicator Scores'!$B$10:$B$161=$B146)*('3. Enter Indicator Scores'!$C$10:$C$161=$C146),0),
  _xlpm.c, MATCH(I$8,'3. Enter Indicator Scores'!$D$8:$CZ$8,0),
  _xlpm.v, IFERROR(INDEX('3. Enter Indicator Scores'!$D$10:$CZ$161,_xlpm.r,_xlpm.c),""),
  IF(OR(_xlpm.w="",_xlpm.v=""),"",_xlpm.v*_xlpm.w)
)</f>
        <v/>
      </c>
      <c r="J146" s="93" t="str" cm="1">
        <f t="array" ref="J146">_xlfn.LET(
  _xlpm.w, J$11,
  _xlpm.r, MATCH(1,('3. Enter Indicator Scores'!$B$10:$B$161=$B146)*('3. Enter Indicator Scores'!$C$10:$C$161=$C146),0),
  _xlpm.c, MATCH(J$8,'3. Enter Indicator Scores'!$D$8:$CZ$8,0),
  _xlpm.v, IFERROR(INDEX('3. Enter Indicator Scores'!$D$10:$CZ$161,_xlpm.r,_xlpm.c),""),
  IF(OR(_xlpm.w="",_xlpm.v=""),"",_xlpm.v*_xlpm.w)
)</f>
        <v/>
      </c>
      <c r="K146" s="93" t="str" cm="1">
        <f t="array" ref="K146">_xlfn.LET(
  _xlpm.w, K$11,
  _xlpm.r, MATCH(1,('3. Enter Indicator Scores'!$B$10:$B$161=$B146)*('3. Enter Indicator Scores'!$C$10:$C$161=$C146),0),
  _xlpm.c, MATCH(K$8,'3. Enter Indicator Scores'!$D$8:$CZ$8,0),
  _xlpm.v, IFERROR(INDEX('3. Enter Indicator Scores'!$D$10:$CZ$161,_xlpm.r,_xlpm.c),""),
  IF(OR(_xlpm.w="",_xlpm.v=""),"",_xlpm.v*_xlpm.w)
)</f>
        <v/>
      </c>
      <c r="L146" s="93" t="str" cm="1">
        <f t="array" ref="L146">_xlfn.LET(
  _xlpm.w, L$11,
  _xlpm.r, MATCH(1,('3. Enter Indicator Scores'!$B$10:$B$161=$B146)*('3. Enter Indicator Scores'!$C$10:$C$161=$C146),0),
  _xlpm.c, MATCH(L$8,'3. Enter Indicator Scores'!$D$8:$CZ$8,0),
  _xlpm.v, IFERROR(INDEX('3. Enter Indicator Scores'!$D$10:$CZ$161,_xlpm.r,_xlpm.c),""),
  IF(OR(_xlpm.w="",_xlpm.v=""),"",_xlpm.v*_xlpm.w)
)</f>
        <v/>
      </c>
      <c r="M146" s="93" t="str" cm="1">
        <f t="array" ref="M146">_xlfn.LET(
  _xlpm.w, M$11,
  _xlpm.r, MATCH(1,('3. Enter Indicator Scores'!$B$10:$B$161=$B146)*('3. Enter Indicator Scores'!$C$10:$C$161=$C146),0),
  _xlpm.c, MATCH(M$8,'3. Enter Indicator Scores'!$D$8:$CZ$8,0),
  _xlpm.v, IFERROR(INDEX('3. Enter Indicator Scores'!$D$10:$CZ$161,_xlpm.r,_xlpm.c),""),
  IF(OR(_xlpm.w="",_xlpm.v=""),"",_xlpm.v*_xlpm.w)
)</f>
        <v/>
      </c>
      <c r="N146" s="93" t="str" cm="1">
        <f t="array" ref="N146">_xlfn.LET(
  _xlpm.w, N$11,
  _xlpm.r, MATCH(1,('3. Enter Indicator Scores'!$B$10:$B$161=$B146)*('3. Enter Indicator Scores'!$C$10:$C$161=$C146),0),
  _xlpm.c, MATCH(N$8,'3. Enter Indicator Scores'!$D$8:$CZ$8,0),
  _xlpm.v, IFERROR(INDEX('3. Enter Indicator Scores'!$D$10:$CZ$161,_xlpm.r,_xlpm.c),""),
  IF(OR(_xlpm.w="",_xlpm.v=""),"",_xlpm.v*_xlpm.w)
)</f>
        <v/>
      </c>
      <c r="O146" s="93" t="str" cm="1">
        <f t="array" ref="O146">_xlfn.LET(
  _xlpm.w, O$11,
  _xlpm.r, MATCH(1,('3. Enter Indicator Scores'!$B$10:$B$161=$B146)*('3. Enter Indicator Scores'!$C$10:$C$161=$C146),0),
  _xlpm.c, MATCH(O$8,'3. Enter Indicator Scores'!$D$8:$CZ$8,0),
  _xlpm.v, IFERROR(INDEX('3. Enter Indicator Scores'!$D$10:$CZ$161,_xlpm.r,_xlpm.c),""),
  IF(OR(_xlpm.w="",_xlpm.v=""),"",_xlpm.v*_xlpm.w)
)</f>
        <v/>
      </c>
      <c r="P146" s="93" t="str" cm="1">
        <f t="array" ref="P146">_xlfn.LET(
  _xlpm.w, P$11,
  _xlpm.r, MATCH(1,('3. Enter Indicator Scores'!$B$10:$B$161=$B146)*('3. Enter Indicator Scores'!$C$10:$C$161=$C146),0),
  _xlpm.c, MATCH(P$8,'3. Enter Indicator Scores'!$D$8:$CZ$8,0),
  _xlpm.v, IFERROR(INDEX('3. Enter Indicator Scores'!$D$10:$CZ$161,_xlpm.r,_xlpm.c),""),
  IF(OR(_xlpm.w="",_xlpm.v=""),"",_xlpm.v*_xlpm.w)
)</f>
        <v/>
      </c>
      <c r="Q146" s="93" t="str" cm="1">
        <f t="array" ref="Q146">_xlfn.LET(
  _xlpm.w, Q$11,
  _xlpm.r, MATCH(1,('3. Enter Indicator Scores'!$B$10:$B$161=$B146)*('3. Enter Indicator Scores'!$C$10:$C$161=$C146),0),
  _xlpm.c, MATCH(Q$8,'3. Enter Indicator Scores'!$D$8:$CZ$8,0),
  _xlpm.v, IFERROR(INDEX('3. Enter Indicator Scores'!$D$10:$CZ$161,_xlpm.r,_xlpm.c),""),
  IF(OR(_xlpm.w="",_xlpm.v=""),"",_xlpm.v*_xlpm.w)
)</f>
        <v/>
      </c>
      <c r="R146" s="93" t="str" cm="1">
        <f t="array" ref="R146">_xlfn.LET(
  _xlpm.w, R$11,
  _xlpm.r, MATCH(1,('3. Enter Indicator Scores'!$B$10:$B$161=$B146)*('3. Enter Indicator Scores'!$C$10:$C$161=$C146),0),
  _xlpm.c, MATCH(R$8,'3. Enter Indicator Scores'!$D$8:$CZ$8,0),
  _xlpm.v, IFERROR(INDEX('3. Enter Indicator Scores'!$D$10:$CZ$161,_xlpm.r,_xlpm.c),""),
  IF(OR(_xlpm.w="",_xlpm.v=""),"",_xlpm.v*_xlpm.w)
)</f>
        <v/>
      </c>
      <c r="S146" s="93" t="str" cm="1">
        <f t="array" ref="S146">_xlfn.LET(
  _xlpm.w, S$11,
  _xlpm.r, MATCH(1,('3. Enter Indicator Scores'!$B$10:$B$161=$B146)*('3. Enter Indicator Scores'!$C$10:$C$161=$C146),0),
  _xlpm.c, MATCH(S$8,'3. Enter Indicator Scores'!$D$8:$CZ$8,0),
  _xlpm.v, IFERROR(INDEX('3. Enter Indicator Scores'!$D$10:$CZ$161,_xlpm.r,_xlpm.c),""),
  IF(OR(_xlpm.w="",_xlpm.v=""),"",_xlpm.v*_xlpm.w)
)</f>
        <v/>
      </c>
      <c r="T146" s="93" t="str" cm="1">
        <f t="array" ref="T146">_xlfn.LET(
  _xlpm.w, T$11,
  _xlpm.r, MATCH(1,('3. Enter Indicator Scores'!$B$10:$B$161=$B146)*('3. Enter Indicator Scores'!$C$10:$C$161=$C146),0),
  _xlpm.c, MATCH(T$8,'3. Enter Indicator Scores'!$D$8:$CZ$8,0),
  _xlpm.v, IFERROR(INDEX('3. Enter Indicator Scores'!$D$10:$CZ$161,_xlpm.r,_xlpm.c),""),
  IF(OR(_xlpm.w="",_xlpm.v=""),"",_xlpm.v*_xlpm.w)
)</f>
        <v/>
      </c>
      <c r="U146" s="93" t="str" cm="1">
        <f t="array" ref="U146">_xlfn.LET(
  _xlpm.w, U$11,
  _xlpm.r, MATCH(1,('3. Enter Indicator Scores'!$B$10:$B$161=$B146)*('3. Enter Indicator Scores'!$C$10:$C$161=$C146),0),
  _xlpm.c, MATCH(U$8,'3. Enter Indicator Scores'!$D$8:$CZ$8,0),
  _xlpm.v, IFERROR(INDEX('3. Enter Indicator Scores'!$D$10:$CZ$161,_xlpm.r,_xlpm.c),""),
  IF(OR(_xlpm.w="",_xlpm.v=""),"",_xlpm.v*_xlpm.w)
)</f>
        <v/>
      </c>
      <c r="V146" s="93" t="str" cm="1">
        <f t="array" ref="V146">_xlfn.LET(
  _xlpm.w, V$11,
  _xlpm.r, MATCH(1,('3. Enter Indicator Scores'!$B$10:$B$161=$B146)*('3. Enter Indicator Scores'!$C$10:$C$161=$C146),0),
  _xlpm.c, MATCH(V$8,'3. Enter Indicator Scores'!$D$8:$CZ$8,0),
  _xlpm.v, IFERROR(INDEX('3. Enter Indicator Scores'!$D$10:$CZ$161,_xlpm.r,_xlpm.c),""),
  IF(OR(_xlpm.w="",_xlpm.v=""),"",_xlpm.v*_xlpm.w)
)</f>
        <v/>
      </c>
      <c r="W146" s="93" t="str" cm="1">
        <f t="array" ref="W146">_xlfn.LET(
  _xlpm.w, W$11,
  _xlpm.r, MATCH(1,('3. Enter Indicator Scores'!$B$10:$B$161=$B146)*('3. Enter Indicator Scores'!$C$10:$C$161=$C146),0),
  _xlpm.c, MATCH(W$8,'3. Enter Indicator Scores'!$D$8:$CZ$8,0),
  _xlpm.v, IFERROR(INDEX('3. Enter Indicator Scores'!$D$10:$CZ$161,_xlpm.r,_xlpm.c),""),
  IF(OR(_xlpm.w="",_xlpm.v=""),"",_xlpm.v*_xlpm.w)
)</f>
        <v/>
      </c>
      <c r="X146" s="93" t="str" cm="1">
        <f t="array" ref="X146">_xlfn.LET(
  _xlpm.w, X$11,
  _xlpm.r, MATCH(1,('3. Enter Indicator Scores'!$B$10:$B$161=$B146)*('3. Enter Indicator Scores'!$C$10:$C$161=$C146),0),
  _xlpm.c, MATCH(X$8,'3. Enter Indicator Scores'!$D$8:$CZ$8,0),
  _xlpm.v, IFERROR(INDEX('3. Enter Indicator Scores'!$D$10:$CZ$161,_xlpm.r,_xlpm.c),""),
  IF(OR(_xlpm.w="",_xlpm.v=""),"",_xlpm.v*_xlpm.w)
)</f>
        <v/>
      </c>
      <c r="Y146" s="93" t="str" cm="1">
        <f t="array" ref="Y146">_xlfn.LET(
  _xlpm.w, Y$11,
  _xlpm.r, MATCH(1,('3. Enter Indicator Scores'!$B$10:$B$161=$B146)*('3. Enter Indicator Scores'!$C$10:$C$161=$C146),0),
  _xlpm.c, MATCH(Y$8,'3. Enter Indicator Scores'!$D$8:$CZ$8,0),
  _xlpm.v, IFERROR(INDEX('3. Enter Indicator Scores'!$D$10:$CZ$161,_xlpm.r,_xlpm.c),""),
  IF(OR(_xlpm.w="",_xlpm.v=""),"",_xlpm.v*_xlpm.w)
)</f>
        <v/>
      </c>
      <c r="Z146" s="93" t="str" cm="1">
        <f t="array" ref="Z146">_xlfn.LET(
  _xlpm.w, Z$11,
  _xlpm.r, MATCH(1,('3. Enter Indicator Scores'!$B$10:$B$161=$B146)*('3. Enter Indicator Scores'!$C$10:$C$161=$C146),0),
  _xlpm.c, MATCH(Z$8,'3. Enter Indicator Scores'!$D$8:$CZ$8,0),
  _xlpm.v, IFERROR(INDEX('3. Enter Indicator Scores'!$D$10:$CZ$161,_xlpm.r,_xlpm.c),""),
  IF(OR(_xlpm.w="",_xlpm.v=""),"",_xlpm.v*_xlpm.w)
)</f>
        <v/>
      </c>
      <c r="AA146" s="93" t="str" cm="1">
        <f t="array" ref="AA146">_xlfn.LET(
  _xlpm.w, AA$11,
  _xlpm.r, MATCH(1,('3. Enter Indicator Scores'!$B$10:$B$161=$B146)*('3. Enter Indicator Scores'!$C$10:$C$161=$C146),0),
  _xlpm.c, MATCH(AA$8,'3. Enter Indicator Scores'!$D$8:$CZ$8,0),
  _xlpm.v, IFERROR(INDEX('3. Enter Indicator Scores'!$D$10:$CZ$161,_xlpm.r,_xlpm.c),""),
  IF(OR(_xlpm.w="",_xlpm.v=""),"",_xlpm.v*_xlpm.w)
)</f>
        <v/>
      </c>
      <c r="AB146" s="93" t="str" cm="1">
        <f t="array" ref="AB146">_xlfn.LET(
  _xlpm.w, AB$11,
  _xlpm.r, MATCH(1,('3. Enter Indicator Scores'!$B$10:$B$161=$B146)*('3. Enter Indicator Scores'!$C$10:$C$161=$C146),0),
  _xlpm.c, MATCH(AB$8,'3. Enter Indicator Scores'!$D$8:$CZ$8,0),
  _xlpm.v, IFERROR(INDEX('3. Enter Indicator Scores'!$D$10:$CZ$161,_xlpm.r,_xlpm.c),""),
  IF(OR(_xlpm.w="",_xlpm.v=""),"",_xlpm.v*_xlpm.w)
)</f>
        <v/>
      </c>
      <c r="AC146" s="93" t="str" cm="1">
        <f t="array" ref="AC146">_xlfn.LET(
  _xlpm.w, AC$11,
  _xlpm.r, MATCH(1,('3. Enter Indicator Scores'!$B$10:$B$161=$B146)*('3. Enter Indicator Scores'!$C$10:$C$161=$C146),0),
  _xlpm.c, MATCH(AC$8,'3. Enter Indicator Scores'!$D$8:$CZ$8,0),
  _xlpm.v, IFERROR(INDEX('3. Enter Indicator Scores'!$D$10:$CZ$161,_xlpm.r,_xlpm.c),""),
  IF(OR(_xlpm.w="",_xlpm.v=""),"",_xlpm.v*_xlpm.w)
)</f>
        <v/>
      </c>
      <c r="AD146" s="93" t="str" cm="1">
        <f t="array" ref="AD146">_xlfn.LET(
  _xlpm.w, AD$11,
  _xlpm.r, MATCH(1,('3. Enter Indicator Scores'!$B$10:$B$161=$B146)*('3. Enter Indicator Scores'!$C$10:$C$161=$C146),0),
  _xlpm.c, MATCH(AD$8,'3. Enter Indicator Scores'!$D$8:$CZ$8,0),
  _xlpm.v, IFERROR(INDEX('3. Enter Indicator Scores'!$D$10:$CZ$161,_xlpm.r,_xlpm.c),""),
  IF(OR(_xlpm.w="",_xlpm.v=""),"",_xlpm.v*_xlpm.w)
)</f>
        <v/>
      </c>
      <c r="AE146" s="93" t="str" cm="1">
        <f t="array" ref="AE146">_xlfn.LET(
  _xlpm.w, AE$11,
  _xlpm.r, MATCH(1,('3. Enter Indicator Scores'!$B$10:$B$161=$B146)*('3. Enter Indicator Scores'!$C$10:$C$161=$C146),0),
  _xlpm.c, MATCH(AE$8,'3. Enter Indicator Scores'!$D$8:$CZ$8,0),
  _xlpm.v, IFERROR(INDEX('3. Enter Indicator Scores'!$D$10:$CZ$161,_xlpm.r,_xlpm.c),""),
  IF(OR(_xlpm.w="",_xlpm.v=""),"",_xlpm.v*_xlpm.w)
)</f>
        <v/>
      </c>
      <c r="AF146" s="93" t="str" cm="1">
        <f t="array" ref="AF146">_xlfn.LET(
  _xlpm.w, AF$11,
  _xlpm.r, MATCH(1,('3. Enter Indicator Scores'!$B$10:$B$161=$B146)*('3. Enter Indicator Scores'!$C$10:$C$161=$C146),0),
  _xlpm.c, MATCH(AF$8,'3. Enter Indicator Scores'!$D$8:$CZ$8,0),
  _xlpm.v, IFERROR(INDEX('3. Enter Indicator Scores'!$D$10:$CZ$161,_xlpm.r,_xlpm.c),""),
  IF(OR(_xlpm.w="",_xlpm.v=""),"",_xlpm.v*_xlpm.w)
)</f>
        <v/>
      </c>
      <c r="AG146" s="93" t="str" cm="1">
        <f t="array" ref="AG146">_xlfn.LET(
  _xlpm.w, AG$11,
  _xlpm.r, MATCH(1,('3. Enter Indicator Scores'!$B$10:$B$161=$B146)*('3. Enter Indicator Scores'!$C$10:$C$161=$C146),0),
  _xlpm.c, MATCH(AG$8,'3. Enter Indicator Scores'!$D$8:$CZ$8,0),
  _xlpm.v, IFERROR(INDEX('3. Enter Indicator Scores'!$D$10:$CZ$161,_xlpm.r,_xlpm.c),""),
  IF(OR(_xlpm.w="",_xlpm.v=""),"",_xlpm.v*_xlpm.w)
)</f>
        <v/>
      </c>
      <c r="AH146" s="93" t="str" cm="1">
        <f t="array" ref="AH146">_xlfn.LET(
  _xlpm.w, AH$11,
  _xlpm.r, MATCH(1,('3. Enter Indicator Scores'!$B$10:$B$161=$B146)*('3. Enter Indicator Scores'!$C$10:$C$161=$C146),0),
  _xlpm.c, MATCH(AH$8,'3. Enter Indicator Scores'!$D$8:$CZ$8,0),
  _xlpm.v, IFERROR(INDEX('3. Enter Indicator Scores'!$D$10:$CZ$161,_xlpm.r,_xlpm.c),""),
  IF(OR(_xlpm.w="",_xlpm.v=""),"",_xlpm.v*_xlpm.w)
)</f>
        <v/>
      </c>
      <c r="AI146" s="93" t="str" cm="1">
        <f t="array" ref="AI146">_xlfn.LET(
  _xlpm.w, AI$11,
  _xlpm.r, MATCH(1,('3. Enter Indicator Scores'!$B$10:$B$161=$B146)*('3. Enter Indicator Scores'!$C$10:$C$161=$C146),0),
  _xlpm.c, MATCH(AI$8,'3. Enter Indicator Scores'!$D$8:$CZ$8,0),
  _xlpm.v, IFERROR(INDEX('3. Enter Indicator Scores'!$D$10:$CZ$161,_xlpm.r,_xlpm.c),""),
  IF(OR(_xlpm.w="",_xlpm.v=""),"",_xlpm.v*_xlpm.w)
)</f>
        <v/>
      </c>
      <c r="AJ146" s="93" t="str" cm="1">
        <f t="array" ref="AJ146">_xlfn.LET(
  _xlpm.w, AJ$11,
  _xlpm.r, MATCH(1,('3. Enter Indicator Scores'!$B$10:$B$161=$B146)*('3. Enter Indicator Scores'!$C$10:$C$161=$C146),0),
  _xlpm.c, MATCH(AJ$8,'3. Enter Indicator Scores'!$D$8:$CZ$8,0),
  _xlpm.v, IFERROR(INDEX('3. Enter Indicator Scores'!$D$10:$CZ$161,_xlpm.r,_xlpm.c),""),
  IF(OR(_xlpm.w="",_xlpm.v=""),"",_xlpm.v*_xlpm.w)
)</f>
        <v/>
      </c>
      <c r="AK146" s="93" t="str" cm="1">
        <f t="array" ref="AK146">_xlfn.LET(
  _xlpm.w, AK$11,
  _xlpm.r, MATCH(1,('3. Enter Indicator Scores'!$B$10:$B$161=$B146)*('3. Enter Indicator Scores'!$C$10:$C$161=$C146),0),
  _xlpm.c, MATCH(AK$8,'3. Enter Indicator Scores'!$D$8:$CZ$8,0),
  _xlpm.v, IFERROR(INDEX('3. Enter Indicator Scores'!$D$10:$CZ$161,_xlpm.r,_xlpm.c),""),
  IF(OR(_xlpm.w="",_xlpm.v=""),"",_xlpm.v*_xlpm.w)
)</f>
        <v/>
      </c>
      <c r="AL146" s="93" t="str" cm="1">
        <f t="array" ref="AL146">_xlfn.LET(
  _xlpm.w, AL$11,
  _xlpm.r, MATCH(1,('3. Enter Indicator Scores'!$B$10:$B$161=$B146)*('3. Enter Indicator Scores'!$C$10:$C$161=$C146),0),
  _xlpm.c, MATCH(AL$8,'3. Enter Indicator Scores'!$D$8:$CZ$8,0),
  _xlpm.v, IFERROR(INDEX('3. Enter Indicator Scores'!$D$10:$CZ$161,_xlpm.r,_xlpm.c),""),
  IF(OR(_xlpm.w="",_xlpm.v=""),"",_xlpm.v*_xlpm.w)
)</f>
        <v/>
      </c>
      <c r="AM146" s="93" t="str" cm="1">
        <f t="array" ref="AM146">_xlfn.LET(
  _xlpm.w, AM$11,
  _xlpm.r, MATCH(1,('3. Enter Indicator Scores'!$B$10:$B$161=$B146)*('3. Enter Indicator Scores'!$C$10:$C$161=$C146),0),
  _xlpm.c, MATCH(AM$8,'3. Enter Indicator Scores'!$D$8:$CZ$8,0),
  _xlpm.v, IFERROR(INDEX('3. Enter Indicator Scores'!$D$10:$CZ$161,_xlpm.r,_xlpm.c),""),
  IF(OR(_xlpm.w="",_xlpm.v=""),"",_xlpm.v*_xlpm.w)
)</f>
        <v/>
      </c>
      <c r="AN146" s="93" t="str" cm="1">
        <f t="array" ref="AN146">_xlfn.LET(
  _xlpm.w, AN$11,
  _xlpm.r, MATCH(1,('3. Enter Indicator Scores'!$B$10:$B$161=$B146)*('3. Enter Indicator Scores'!$C$10:$C$161=$C146),0),
  _xlpm.c, MATCH(AN$8,'3. Enter Indicator Scores'!$D$8:$CZ$8,0),
  _xlpm.v, IFERROR(INDEX('3. Enter Indicator Scores'!$D$10:$CZ$161,_xlpm.r,_xlpm.c),""),
  IF(OR(_xlpm.w="",_xlpm.v=""),"",_xlpm.v*_xlpm.w)
)</f>
        <v/>
      </c>
      <c r="AO146" s="93" t="str" cm="1">
        <f t="array" ref="AO146">_xlfn.LET(
  _xlpm.w, AO$11,
  _xlpm.r, MATCH(1,('3. Enter Indicator Scores'!$B$10:$B$161=$B146)*('3. Enter Indicator Scores'!$C$10:$C$161=$C146),0),
  _xlpm.c, MATCH(AO$8,'3. Enter Indicator Scores'!$D$8:$CZ$8,0),
  _xlpm.v, IFERROR(INDEX('3. Enter Indicator Scores'!$D$10:$CZ$161,_xlpm.r,_xlpm.c),""),
  IF(OR(_xlpm.w="",_xlpm.v=""),"",_xlpm.v*_xlpm.w)
)</f>
        <v/>
      </c>
      <c r="AP146" s="93" t="str" cm="1">
        <f t="array" ref="AP146">_xlfn.LET(
  _xlpm.w, AP$11,
  _xlpm.r, MATCH(1,('3. Enter Indicator Scores'!$B$10:$B$161=$B146)*('3. Enter Indicator Scores'!$C$10:$C$161=$C146),0),
  _xlpm.c, MATCH(AP$8,'3. Enter Indicator Scores'!$D$8:$CZ$8,0),
  _xlpm.v, IFERROR(INDEX('3. Enter Indicator Scores'!$D$10:$CZ$161,_xlpm.r,_xlpm.c),""),
  IF(OR(_xlpm.w="",_xlpm.v=""),"",_xlpm.v*_xlpm.w)
)</f>
        <v/>
      </c>
      <c r="AQ146" s="93" t="str" cm="1">
        <f t="array" ref="AQ146">_xlfn.LET(
  _xlpm.w, AQ$11,
  _xlpm.r, MATCH(1,('3. Enter Indicator Scores'!$B$10:$B$161=$B146)*('3. Enter Indicator Scores'!$C$10:$C$161=$C146),0),
  _xlpm.c, MATCH(AQ$8,'3. Enter Indicator Scores'!$D$8:$CZ$8,0),
  _xlpm.v, IFERROR(INDEX('3. Enter Indicator Scores'!$D$10:$CZ$161,_xlpm.r,_xlpm.c),""),
  IF(OR(_xlpm.w="",_xlpm.v=""),"",_xlpm.v*_xlpm.w)
)</f>
        <v/>
      </c>
      <c r="AR146" s="93" t="str" cm="1">
        <f t="array" ref="AR146">_xlfn.LET(
  _xlpm.w, AR$11,
  _xlpm.r, MATCH(1,('3. Enter Indicator Scores'!$B$10:$B$161=$B146)*('3. Enter Indicator Scores'!$C$10:$C$161=$C146),0),
  _xlpm.c, MATCH(AR$8,'3. Enter Indicator Scores'!$D$8:$CZ$8,0),
  _xlpm.v, IFERROR(INDEX('3. Enter Indicator Scores'!$D$10:$CZ$161,_xlpm.r,_xlpm.c),""),
  IF(OR(_xlpm.w="",_xlpm.v=""),"",_xlpm.v*_xlpm.w)
)</f>
        <v/>
      </c>
      <c r="AS146" s="93" t="str" cm="1">
        <f t="array" ref="AS146">_xlfn.LET(
  _xlpm.w, AS$11,
  _xlpm.r, MATCH(1,('3. Enter Indicator Scores'!$B$10:$B$161=$B146)*('3. Enter Indicator Scores'!$C$10:$C$161=$C146),0),
  _xlpm.c, MATCH(AS$8,'3. Enter Indicator Scores'!$D$8:$CZ$8,0),
  _xlpm.v, IFERROR(INDEX('3. Enter Indicator Scores'!$D$10:$CZ$161,_xlpm.r,_xlpm.c),""),
  IF(OR(_xlpm.w="",_xlpm.v=""),"",_xlpm.v*_xlpm.w)
)</f>
        <v/>
      </c>
      <c r="AT146" s="93" t="str" cm="1">
        <f t="array" ref="AT146">_xlfn.LET(
  _xlpm.w, AT$11,
  _xlpm.r, MATCH(1,('3. Enter Indicator Scores'!$B$10:$B$161=$B146)*('3. Enter Indicator Scores'!$C$10:$C$161=$C146),0),
  _xlpm.c, MATCH(AT$8,'3. Enter Indicator Scores'!$D$8:$CZ$8,0),
  _xlpm.v, IFERROR(INDEX('3. Enter Indicator Scores'!$D$10:$CZ$161,_xlpm.r,_xlpm.c),""),
  IF(OR(_xlpm.w="",_xlpm.v=""),"",_xlpm.v*_xlpm.w)
)</f>
        <v/>
      </c>
      <c r="AU146" s="93" t="str" cm="1">
        <f t="array" ref="AU146">_xlfn.LET(
  _xlpm.w, AU$11,
  _xlpm.r, MATCH(1,('3. Enter Indicator Scores'!$B$10:$B$161=$B146)*('3. Enter Indicator Scores'!$C$10:$C$161=$C146),0),
  _xlpm.c, MATCH(AU$8,'3. Enter Indicator Scores'!$D$8:$CZ$8,0),
  _xlpm.v, IFERROR(INDEX('3. Enter Indicator Scores'!$D$10:$CZ$161,_xlpm.r,_xlpm.c),""),
  IF(OR(_xlpm.w="",_xlpm.v=""),"",_xlpm.v*_xlpm.w)
)</f>
        <v/>
      </c>
      <c r="AV146" s="93" t="str" cm="1">
        <f t="array" ref="AV146">_xlfn.LET(
  _xlpm.w, AV$11,
  _xlpm.r, MATCH(1,('3. Enter Indicator Scores'!$B$10:$B$161=$B146)*('3. Enter Indicator Scores'!$C$10:$C$161=$C146),0),
  _xlpm.c, MATCH(AV$8,'3. Enter Indicator Scores'!$D$8:$CZ$8,0),
  _xlpm.v, IFERROR(INDEX('3. Enter Indicator Scores'!$D$10:$CZ$161,_xlpm.r,_xlpm.c),""),
  IF(OR(_xlpm.w="",_xlpm.v=""),"",_xlpm.v*_xlpm.w)
)</f>
        <v/>
      </c>
      <c r="AW146" s="93" t="str" cm="1">
        <f t="array" ref="AW146">_xlfn.LET(
  _xlpm.w, AW$11,
  _xlpm.r, MATCH(1,('3. Enter Indicator Scores'!$B$10:$B$161=$B146)*('3. Enter Indicator Scores'!$C$10:$C$161=$C146),0),
  _xlpm.c, MATCH(AW$8,'3. Enter Indicator Scores'!$D$8:$CZ$8,0),
  _xlpm.v, IFERROR(INDEX('3. Enter Indicator Scores'!$D$10:$CZ$161,_xlpm.r,_xlpm.c),""),
  IF(OR(_xlpm.w="",_xlpm.v=""),"",_xlpm.v*_xlpm.w)
)</f>
        <v/>
      </c>
      <c r="AX146" s="93" t="str" cm="1">
        <f t="array" ref="AX146">_xlfn.LET(
  _xlpm.w, AX$11,
  _xlpm.r, MATCH(1,('3. Enter Indicator Scores'!$B$10:$B$161=$B146)*('3. Enter Indicator Scores'!$C$10:$C$161=$C146),0),
  _xlpm.c, MATCH(AX$8,'3. Enter Indicator Scores'!$D$8:$CZ$8,0),
  _xlpm.v, IFERROR(INDEX('3. Enter Indicator Scores'!$D$10:$CZ$161,_xlpm.r,_xlpm.c),""),
  IF(OR(_xlpm.w="",_xlpm.v=""),"",_xlpm.v*_xlpm.w)
)</f>
        <v/>
      </c>
      <c r="AY146" s="93" t="str" cm="1">
        <f t="array" ref="AY146">_xlfn.LET(
  _xlpm.w, AY$11,
  _xlpm.r, MATCH(1,('3. Enter Indicator Scores'!$B$10:$B$161=$B146)*('3. Enter Indicator Scores'!$C$10:$C$161=$C146),0),
  _xlpm.c, MATCH(AY$8,'3. Enter Indicator Scores'!$D$8:$CZ$8,0),
  _xlpm.v, IFERROR(INDEX('3. Enter Indicator Scores'!$D$10:$CZ$161,_xlpm.r,_xlpm.c),""),
  IF(OR(_xlpm.w="",_xlpm.v=""),"",_xlpm.v*_xlpm.w)
)</f>
        <v/>
      </c>
      <c r="AZ146" s="93" t="str" cm="1">
        <f t="array" ref="AZ146">_xlfn.LET(
  _xlpm.w, AZ$11,
  _xlpm.r, MATCH(1,('3. Enter Indicator Scores'!$B$10:$B$161=$B146)*('3. Enter Indicator Scores'!$C$10:$C$161=$C146),0),
  _xlpm.c, MATCH(AZ$8,'3. Enter Indicator Scores'!$D$8:$CZ$8,0),
  _xlpm.v, IFERROR(INDEX('3. Enter Indicator Scores'!$D$10:$CZ$161,_xlpm.r,_xlpm.c),""),
  IF(OR(_xlpm.w="",_xlpm.v=""),"",_xlpm.v*_xlpm.w)
)</f>
        <v/>
      </c>
      <c r="BA146" s="93" t="str" cm="1">
        <f t="array" ref="BA146">_xlfn.LET(
  _xlpm.w, BA$11,
  _xlpm.r, MATCH(1,('3. Enter Indicator Scores'!$B$10:$B$161=$B146)*('3. Enter Indicator Scores'!$C$10:$C$161=$C146),0),
  _xlpm.c, MATCH(BA$8,'3. Enter Indicator Scores'!$D$8:$CZ$8,0),
  _xlpm.v, IFERROR(INDEX('3. Enter Indicator Scores'!$D$10:$CZ$161,_xlpm.r,_xlpm.c),""),
  IF(OR(_xlpm.w="",_xlpm.v=""),"",_xlpm.v*_xlpm.w)
)</f>
        <v/>
      </c>
      <c r="BB146" s="93" t="str" cm="1">
        <f t="array" ref="BB146">_xlfn.LET(
  _xlpm.w, BB$11,
  _xlpm.r, MATCH(1,('3. Enter Indicator Scores'!$B$10:$B$161=$B146)*('3. Enter Indicator Scores'!$C$10:$C$161=$C146),0),
  _xlpm.c, MATCH(BB$8,'3. Enter Indicator Scores'!$D$8:$CZ$8,0),
  _xlpm.v, IFERROR(INDEX('3. Enter Indicator Scores'!$D$10:$CZ$161,_xlpm.r,_xlpm.c),""),
  IF(OR(_xlpm.w="",_xlpm.v=""),"",_xlpm.v*_xlpm.w)
)</f>
        <v/>
      </c>
      <c r="BC146" s="93" t="str" cm="1">
        <f t="array" ref="BC146">_xlfn.LET(
  _xlpm.w, BC$11,
  _xlpm.r, MATCH(1,('3. Enter Indicator Scores'!$B$10:$B$161=$B146)*('3. Enter Indicator Scores'!$C$10:$C$161=$C146),0),
  _xlpm.c, MATCH(BC$8,'3. Enter Indicator Scores'!$D$8:$CZ$8,0),
  _xlpm.v, IFERROR(INDEX('3. Enter Indicator Scores'!$D$10:$CZ$161,_xlpm.r,_xlpm.c),""),
  IF(OR(_xlpm.w="",_xlpm.v=""),"",_xlpm.v*_xlpm.w)
)</f>
        <v/>
      </c>
      <c r="BD146" s="93" t="str" cm="1">
        <f t="array" ref="BD146">_xlfn.LET(
  _xlpm.w, BD$11,
  _xlpm.r, MATCH(1,('3. Enter Indicator Scores'!$B$10:$B$161=$B146)*('3. Enter Indicator Scores'!$C$10:$C$161=$C146),0),
  _xlpm.c, MATCH(BD$8,'3. Enter Indicator Scores'!$D$8:$CZ$8,0),
  _xlpm.v, IFERROR(INDEX('3. Enter Indicator Scores'!$D$10:$CZ$161,_xlpm.r,_xlpm.c),""),
  IF(OR(_xlpm.w="",_xlpm.v=""),"",_xlpm.v*_xlpm.w)
)</f>
        <v/>
      </c>
      <c r="BE146" s="93" t="str" cm="1">
        <f t="array" ref="BE146">_xlfn.LET(
  _xlpm.w, BE$11,
  _xlpm.r, MATCH(1,('3. Enter Indicator Scores'!$B$10:$B$161=$B146)*('3. Enter Indicator Scores'!$C$10:$C$161=$C146),0),
  _xlpm.c, MATCH(BE$8,'3. Enter Indicator Scores'!$D$8:$CZ$8,0),
  _xlpm.v, IFERROR(INDEX('3. Enter Indicator Scores'!$D$10:$CZ$161,_xlpm.r,_xlpm.c),""),
  IF(OR(_xlpm.w="",_xlpm.v=""),"",_xlpm.v*_xlpm.w)
)</f>
        <v/>
      </c>
      <c r="BF146" s="93" t="str" cm="1">
        <f t="array" ref="BF146">_xlfn.LET(
  _xlpm.w, BF$11,
  _xlpm.r, MATCH(1,('3. Enter Indicator Scores'!$B$10:$B$161=$B146)*('3. Enter Indicator Scores'!$C$10:$C$161=$C146),0),
  _xlpm.c, MATCH(BF$8,'3. Enter Indicator Scores'!$D$8:$CZ$8,0),
  _xlpm.v, IFERROR(INDEX('3. Enter Indicator Scores'!$D$10:$CZ$161,_xlpm.r,_xlpm.c),""),
  IF(OR(_xlpm.w="",_xlpm.v=""),"",_xlpm.v*_xlpm.w)
)</f>
        <v/>
      </c>
      <c r="BG146" s="93" t="str" cm="1">
        <f t="array" ref="BG146">_xlfn.LET(
  _xlpm.w, BG$11,
  _xlpm.r, MATCH(1,('3. Enter Indicator Scores'!$B$10:$B$161=$B146)*('3. Enter Indicator Scores'!$C$10:$C$161=$C146),0),
  _xlpm.c, MATCH(BG$8,'3. Enter Indicator Scores'!$D$8:$CZ$8,0),
  _xlpm.v, IFERROR(INDEX('3. Enter Indicator Scores'!$D$10:$CZ$161,_xlpm.r,_xlpm.c),""),
  IF(OR(_xlpm.w="",_xlpm.v=""),"",_xlpm.v*_xlpm.w)
)</f>
        <v/>
      </c>
      <c r="BH146" s="93" t="str" cm="1">
        <f t="array" ref="BH146">_xlfn.LET(
  _xlpm.w, BH$11,
  _xlpm.r, MATCH(1,('3. Enter Indicator Scores'!$B$10:$B$161=$B146)*('3. Enter Indicator Scores'!$C$10:$C$161=$C146),0),
  _xlpm.c, MATCH(BH$8,'3. Enter Indicator Scores'!$D$8:$CZ$8,0),
  _xlpm.v, IFERROR(INDEX('3. Enter Indicator Scores'!$D$10:$CZ$161,_xlpm.r,_xlpm.c),""),
  IF(OR(_xlpm.w="",_xlpm.v=""),"",_xlpm.v*_xlpm.w)
)</f>
        <v/>
      </c>
      <c r="BI146" s="93" t="str" cm="1">
        <f t="array" ref="BI146">_xlfn.LET(
  _xlpm.w, BI$11,
  _xlpm.r, MATCH(1,('3. Enter Indicator Scores'!$B$10:$B$161=$B146)*('3. Enter Indicator Scores'!$C$10:$C$161=$C146),0),
  _xlpm.c, MATCH(BI$8,'3. Enter Indicator Scores'!$D$8:$CZ$8,0),
  _xlpm.v, IFERROR(INDEX('3. Enter Indicator Scores'!$D$10:$CZ$161,_xlpm.r,_xlpm.c),""),
  IF(OR(_xlpm.w="",_xlpm.v=""),"",_xlpm.v*_xlpm.w)
)</f>
        <v/>
      </c>
      <c r="BJ146" s="93" t="str" cm="1">
        <f t="array" ref="BJ146">_xlfn.LET(
  _xlpm.w, BJ$11,
  _xlpm.r, MATCH(1,('3. Enter Indicator Scores'!$B$10:$B$161=$B146)*('3. Enter Indicator Scores'!$C$10:$C$161=$C146),0),
  _xlpm.c, MATCH(BJ$8,'3. Enter Indicator Scores'!$D$8:$CZ$8,0),
  _xlpm.v, IFERROR(INDEX('3. Enter Indicator Scores'!$D$10:$CZ$161,_xlpm.r,_xlpm.c),""),
  IF(OR(_xlpm.w="",_xlpm.v=""),"",_xlpm.v*_xlpm.w)
)</f>
        <v/>
      </c>
      <c r="BK146" s="93" t="str" cm="1">
        <f t="array" ref="BK146">_xlfn.LET(
  _xlpm.w, BK$11,
  _xlpm.r, MATCH(1,('3. Enter Indicator Scores'!$B$10:$B$161=$B146)*('3. Enter Indicator Scores'!$C$10:$C$161=$C146),0),
  _xlpm.c, MATCH(BK$8,'3. Enter Indicator Scores'!$D$8:$CZ$8,0),
  _xlpm.v, IFERROR(INDEX('3. Enter Indicator Scores'!$D$10:$CZ$161,_xlpm.r,_xlpm.c),""),
  IF(OR(_xlpm.w="",_xlpm.v=""),"",_xlpm.v*_xlpm.w)
)</f>
        <v/>
      </c>
      <c r="BL146" s="93" t="str" cm="1">
        <f t="array" ref="BL146">_xlfn.LET(
  _xlpm.w, BL$11,
  _xlpm.r, MATCH(1,('3. Enter Indicator Scores'!$B$10:$B$161=$B146)*('3. Enter Indicator Scores'!$C$10:$C$161=$C146),0),
  _xlpm.c, MATCH(BL$8,'3. Enter Indicator Scores'!$D$8:$CZ$8,0),
  _xlpm.v, IFERROR(INDEX('3. Enter Indicator Scores'!$D$10:$CZ$161,_xlpm.r,_xlpm.c),""),
  IF(OR(_xlpm.w="",_xlpm.v=""),"",_xlpm.v*_xlpm.w)
)</f>
        <v/>
      </c>
      <c r="BM146" s="93" t="str" cm="1">
        <f t="array" ref="BM146">_xlfn.LET(
  _xlpm.w, BM$11,
  _xlpm.r, MATCH(1,('3. Enter Indicator Scores'!$B$10:$B$161=$B146)*('3. Enter Indicator Scores'!$C$10:$C$161=$C146),0),
  _xlpm.c, MATCH(BM$8,'3. Enter Indicator Scores'!$D$8:$CZ$8,0),
  _xlpm.v, IFERROR(INDEX('3. Enter Indicator Scores'!$D$10:$CZ$161,_xlpm.r,_xlpm.c),""),
  IF(OR(_xlpm.w="",_xlpm.v=""),"",_xlpm.v*_xlpm.w)
)</f>
        <v/>
      </c>
      <c r="BN146" s="93" t="str" cm="1">
        <f t="array" ref="BN146">_xlfn.LET(
  _xlpm.w, BN$11,
  _xlpm.r, MATCH(1,('3. Enter Indicator Scores'!$B$10:$B$161=$B146)*('3. Enter Indicator Scores'!$C$10:$C$161=$C146),0),
  _xlpm.c, MATCH(BN$8,'3. Enter Indicator Scores'!$D$8:$CZ$8,0),
  _xlpm.v, IFERROR(INDEX('3. Enter Indicator Scores'!$D$10:$CZ$161,_xlpm.r,_xlpm.c),""),
  IF(OR(_xlpm.w="",_xlpm.v=""),"",_xlpm.v*_xlpm.w)
)</f>
        <v/>
      </c>
      <c r="BO146" s="93" t="str" cm="1">
        <f t="array" ref="BO146">_xlfn.LET(
  _xlpm.w, BO$11,
  _xlpm.r, MATCH(1,('3. Enter Indicator Scores'!$B$10:$B$161=$B146)*('3. Enter Indicator Scores'!$C$10:$C$161=$C146),0),
  _xlpm.c, MATCH(BO$8,'3. Enter Indicator Scores'!$D$8:$CZ$8,0),
  _xlpm.v, IFERROR(INDEX('3. Enter Indicator Scores'!$D$10:$CZ$161,_xlpm.r,_xlpm.c),""),
  IF(OR(_xlpm.w="",_xlpm.v=""),"",_xlpm.v*_xlpm.w)
)</f>
        <v/>
      </c>
      <c r="BP146" s="93" t="str" cm="1">
        <f t="array" ref="BP146">_xlfn.LET(
  _xlpm.w, BP$11,
  _xlpm.r, MATCH(1,('3. Enter Indicator Scores'!$B$10:$B$161=$B146)*('3. Enter Indicator Scores'!$C$10:$C$161=$C146),0),
  _xlpm.c, MATCH(BP$8,'3. Enter Indicator Scores'!$D$8:$CZ$8,0),
  _xlpm.v, IFERROR(INDEX('3. Enter Indicator Scores'!$D$10:$CZ$161,_xlpm.r,_xlpm.c),""),
  IF(OR(_xlpm.w="",_xlpm.v=""),"",_xlpm.v*_xlpm.w)
)</f>
        <v/>
      </c>
      <c r="BQ146" s="93" t="str" cm="1">
        <f t="array" ref="BQ146">_xlfn.LET(
  _xlpm.w, BQ$11,
  _xlpm.r, MATCH(1,('3. Enter Indicator Scores'!$B$10:$B$161=$B146)*('3. Enter Indicator Scores'!$C$10:$C$161=$C146),0),
  _xlpm.c, MATCH(BQ$8,'3. Enter Indicator Scores'!$D$8:$CZ$8,0),
  _xlpm.v, IFERROR(INDEX('3. Enter Indicator Scores'!$D$10:$CZ$161,_xlpm.r,_xlpm.c),""),
  IF(OR(_xlpm.w="",_xlpm.v=""),"",_xlpm.v*_xlpm.w)
)</f>
        <v/>
      </c>
      <c r="BR146" s="93" t="str" cm="1">
        <f t="array" ref="BR146">_xlfn.LET(
  _xlpm.w, BR$11,
  _xlpm.r, MATCH(1,('3. Enter Indicator Scores'!$B$10:$B$161=$B146)*('3. Enter Indicator Scores'!$C$10:$C$161=$C146),0),
  _xlpm.c, MATCH(BR$8,'3. Enter Indicator Scores'!$D$8:$CZ$8,0),
  _xlpm.v, IFERROR(INDEX('3. Enter Indicator Scores'!$D$10:$CZ$161,_xlpm.r,_xlpm.c),""),
  IF(OR(_xlpm.w="",_xlpm.v=""),"",_xlpm.v*_xlpm.w)
)</f>
        <v/>
      </c>
      <c r="BS146" s="93" t="str" cm="1">
        <f t="array" ref="BS146">_xlfn.LET(
  _xlpm.w, BS$11,
  _xlpm.r, MATCH(1,('3. Enter Indicator Scores'!$B$10:$B$161=$B146)*('3. Enter Indicator Scores'!$C$10:$C$161=$C146),0),
  _xlpm.c, MATCH(BS$8,'3. Enter Indicator Scores'!$D$8:$CZ$8,0),
  _xlpm.v, IFERROR(INDEX('3. Enter Indicator Scores'!$D$10:$CZ$161,_xlpm.r,_xlpm.c),""),
  IF(OR(_xlpm.w="",_xlpm.v=""),"",_xlpm.v*_xlpm.w)
)</f>
        <v/>
      </c>
      <c r="BT146" s="93" t="str" cm="1">
        <f t="array" ref="BT146">_xlfn.LET(
  _xlpm.w, BT$11,
  _xlpm.r, MATCH(1,('3. Enter Indicator Scores'!$B$10:$B$161=$B146)*('3. Enter Indicator Scores'!$C$10:$C$161=$C146),0),
  _xlpm.c, MATCH(BT$8,'3. Enter Indicator Scores'!$D$8:$CZ$8,0),
  _xlpm.v, IFERROR(INDEX('3. Enter Indicator Scores'!$D$10:$CZ$161,_xlpm.r,_xlpm.c),""),
  IF(OR(_xlpm.w="",_xlpm.v=""),"",_xlpm.v*_xlpm.w)
)</f>
        <v/>
      </c>
      <c r="BU146" s="93" t="str" cm="1">
        <f t="array" ref="BU146">_xlfn.LET(
  _xlpm.w, BU$11,
  _xlpm.r, MATCH(1,('3. Enter Indicator Scores'!$B$10:$B$161=$B146)*('3. Enter Indicator Scores'!$C$10:$C$161=$C146),0),
  _xlpm.c, MATCH(BU$8,'3. Enter Indicator Scores'!$D$8:$CZ$8,0),
  _xlpm.v, IFERROR(INDEX('3. Enter Indicator Scores'!$D$10:$CZ$161,_xlpm.r,_xlpm.c),""),
  IF(OR(_xlpm.w="",_xlpm.v=""),"",_xlpm.v*_xlpm.w)
)</f>
        <v/>
      </c>
      <c r="BV146" s="93" t="str" cm="1">
        <f t="array" ref="BV146">_xlfn.LET(
  _xlpm.w, BV$11,
  _xlpm.r, MATCH(1,('3. Enter Indicator Scores'!$B$10:$B$161=$B146)*('3. Enter Indicator Scores'!$C$10:$C$161=$C146),0),
  _xlpm.c, MATCH(BV$8,'3. Enter Indicator Scores'!$D$8:$CZ$8,0),
  _xlpm.v, IFERROR(INDEX('3. Enter Indicator Scores'!$D$10:$CZ$161,_xlpm.r,_xlpm.c),""),
  IF(OR(_xlpm.w="",_xlpm.v=""),"",_xlpm.v*_xlpm.w)
)</f>
        <v/>
      </c>
      <c r="BW146" s="93" t="str" cm="1">
        <f t="array" ref="BW146">_xlfn.LET(
  _xlpm.w, BW$11,
  _xlpm.r, MATCH(1,('3. Enter Indicator Scores'!$B$10:$B$161=$B146)*('3. Enter Indicator Scores'!$C$10:$C$161=$C146),0),
  _xlpm.c, MATCH(BW$8,'3. Enter Indicator Scores'!$D$8:$CZ$8,0),
  _xlpm.v, IFERROR(INDEX('3. Enter Indicator Scores'!$D$10:$CZ$161,_xlpm.r,_xlpm.c),""),
  IF(OR(_xlpm.w="",_xlpm.v=""),"",_xlpm.v*_xlpm.w)
)</f>
        <v/>
      </c>
      <c r="BX146" s="93" t="str" cm="1">
        <f t="array" ref="BX146">_xlfn.LET(
  _xlpm.w, BX$11,
  _xlpm.r, MATCH(1,('3. Enter Indicator Scores'!$B$10:$B$161=$B146)*('3. Enter Indicator Scores'!$C$10:$C$161=$C146),0),
  _xlpm.c, MATCH(BX$8,'3. Enter Indicator Scores'!$D$8:$CZ$8,0),
  _xlpm.v, IFERROR(INDEX('3. Enter Indicator Scores'!$D$10:$CZ$161,_xlpm.r,_xlpm.c),""),
  IF(OR(_xlpm.w="",_xlpm.v=""),"",_xlpm.v*_xlpm.w)
)</f>
        <v/>
      </c>
      <c r="BY146" s="93" t="str" cm="1">
        <f t="array" ref="BY146">_xlfn.LET(
  _xlpm.w, BY$11,
  _xlpm.r, MATCH(1,('3. Enter Indicator Scores'!$B$10:$B$161=$B146)*('3. Enter Indicator Scores'!$C$10:$C$161=$C146),0),
  _xlpm.c, MATCH(BY$8,'3. Enter Indicator Scores'!$D$8:$CZ$8,0),
  _xlpm.v, IFERROR(INDEX('3. Enter Indicator Scores'!$D$10:$CZ$161,_xlpm.r,_xlpm.c),""),
  IF(OR(_xlpm.w="",_xlpm.v=""),"",_xlpm.v*_xlpm.w)
)</f>
        <v/>
      </c>
      <c r="BZ146" s="93" t="str" cm="1">
        <f t="array" ref="BZ146">_xlfn.LET(
  _xlpm.w, BZ$11,
  _xlpm.r, MATCH(1,('3. Enter Indicator Scores'!$B$10:$B$161=$B146)*('3. Enter Indicator Scores'!$C$10:$C$161=$C146),0),
  _xlpm.c, MATCH(BZ$8,'3. Enter Indicator Scores'!$D$8:$CZ$8,0),
  _xlpm.v, IFERROR(INDEX('3. Enter Indicator Scores'!$D$10:$CZ$161,_xlpm.r,_xlpm.c),""),
  IF(OR(_xlpm.w="",_xlpm.v=""),"",_xlpm.v*_xlpm.w)
)</f>
        <v/>
      </c>
      <c r="CA146" s="93" t="str" cm="1">
        <f t="array" ref="CA146">_xlfn.LET(
  _xlpm.w, CA$11,
  _xlpm.r, MATCH(1,('3. Enter Indicator Scores'!$B$10:$B$161=$B146)*('3. Enter Indicator Scores'!$C$10:$C$161=$C146),0),
  _xlpm.c, MATCH(CA$8,'3. Enter Indicator Scores'!$D$8:$CZ$8,0),
  _xlpm.v, IFERROR(INDEX('3. Enter Indicator Scores'!$D$10:$CZ$161,_xlpm.r,_xlpm.c),""),
  IF(OR(_xlpm.w="",_xlpm.v=""),"",_xlpm.v*_xlpm.w)
)</f>
        <v/>
      </c>
      <c r="CB146" s="93" t="str" cm="1">
        <f t="array" ref="CB146">_xlfn.LET(
  _xlpm.w, CB$11,
  _xlpm.r, MATCH(1,('3. Enter Indicator Scores'!$B$10:$B$161=$B146)*('3. Enter Indicator Scores'!$C$10:$C$161=$C146),0),
  _xlpm.c, MATCH(CB$8,'3. Enter Indicator Scores'!$D$8:$CZ$8,0),
  _xlpm.v, IFERROR(INDEX('3. Enter Indicator Scores'!$D$10:$CZ$161,_xlpm.r,_xlpm.c),""),
  IF(OR(_xlpm.w="",_xlpm.v=""),"",_xlpm.v*_xlpm.w)
)</f>
        <v/>
      </c>
      <c r="CC146" s="93" t="str" cm="1">
        <f t="array" ref="CC146">_xlfn.LET(
  _xlpm.w, CC$11,
  _xlpm.r, MATCH(1,('3. Enter Indicator Scores'!$B$10:$B$161=$B146)*('3. Enter Indicator Scores'!$C$10:$C$161=$C146),0),
  _xlpm.c, MATCH(CC$8,'3. Enter Indicator Scores'!$D$8:$CZ$8,0),
  _xlpm.v, IFERROR(INDEX('3. Enter Indicator Scores'!$D$10:$CZ$161,_xlpm.r,_xlpm.c),""),
  IF(OR(_xlpm.w="",_xlpm.v=""),"",_xlpm.v*_xlpm.w)
)</f>
        <v/>
      </c>
      <c r="CD146" s="93" t="str" cm="1">
        <f t="array" ref="CD146">_xlfn.LET(
  _xlpm.w, CD$11,
  _xlpm.r, MATCH(1,('3. Enter Indicator Scores'!$B$10:$B$161=$B146)*('3. Enter Indicator Scores'!$C$10:$C$161=$C146),0),
  _xlpm.c, MATCH(CD$8,'3. Enter Indicator Scores'!$D$8:$CZ$8,0),
  _xlpm.v, IFERROR(INDEX('3. Enter Indicator Scores'!$D$10:$CZ$161,_xlpm.r,_xlpm.c),""),
  IF(OR(_xlpm.w="",_xlpm.v=""),"",_xlpm.v*_xlpm.w)
)</f>
        <v/>
      </c>
      <c r="CE146" s="93" t="str" cm="1">
        <f t="array" ref="CE146">_xlfn.LET(
  _xlpm.w, CE$11,
  _xlpm.r, MATCH(1,('3. Enter Indicator Scores'!$B$10:$B$161=$B146)*('3. Enter Indicator Scores'!$C$10:$C$161=$C146),0),
  _xlpm.c, MATCH(CE$8,'3. Enter Indicator Scores'!$D$8:$CZ$8,0),
  _xlpm.v, IFERROR(INDEX('3. Enter Indicator Scores'!$D$10:$CZ$161,_xlpm.r,_xlpm.c),""),
  IF(OR(_xlpm.w="",_xlpm.v=""),"",_xlpm.v*_xlpm.w)
)</f>
        <v/>
      </c>
      <c r="CF146" s="93" t="str" cm="1">
        <f t="array" ref="CF146">_xlfn.LET(
  _xlpm.w, CF$11,
  _xlpm.r, MATCH(1,('3. Enter Indicator Scores'!$B$10:$B$161=$B146)*('3. Enter Indicator Scores'!$C$10:$C$161=$C146),0),
  _xlpm.c, MATCH(CF$8,'3. Enter Indicator Scores'!$D$8:$CZ$8,0),
  _xlpm.v, IFERROR(INDEX('3. Enter Indicator Scores'!$D$10:$CZ$161,_xlpm.r,_xlpm.c),""),
  IF(OR(_xlpm.w="",_xlpm.v=""),"",_xlpm.v*_xlpm.w)
)</f>
        <v/>
      </c>
      <c r="CG146" s="93" t="str" cm="1">
        <f t="array" ref="CG146">_xlfn.LET(
  _xlpm.w, CG$11,
  _xlpm.r, MATCH(1,('3. Enter Indicator Scores'!$B$10:$B$161=$B146)*('3. Enter Indicator Scores'!$C$10:$C$161=$C146),0),
  _xlpm.c, MATCH(CG$8,'3. Enter Indicator Scores'!$D$8:$CZ$8,0),
  _xlpm.v, IFERROR(INDEX('3. Enter Indicator Scores'!$D$10:$CZ$161,_xlpm.r,_xlpm.c),""),
  IF(OR(_xlpm.w="",_xlpm.v=""),"",_xlpm.v*_xlpm.w)
)</f>
        <v/>
      </c>
      <c r="CH146" s="93" t="str" cm="1">
        <f t="array" ref="CH146">_xlfn.LET(
  _xlpm.w, CH$11,
  _xlpm.r, MATCH(1,('3. Enter Indicator Scores'!$B$10:$B$161=$B146)*('3. Enter Indicator Scores'!$C$10:$C$161=$C146),0),
  _xlpm.c, MATCH(CH$8,'3. Enter Indicator Scores'!$D$8:$CZ$8,0),
  _xlpm.v, IFERROR(INDEX('3. Enter Indicator Scores'!$D$10:$CZ$161,_xlpm.r,_xlpm.c),""),
  IF(OR(_xlpm.w="",_xlpm.v=""),"",_xlpm.v*_xlpm.w)
)</f>
        <v/>
      </c>
      <c r="CI146" s="93" t="str" cm="1">
        <f t="array" ref="CI146">_xlfn.LET(
  _xlpm.w, CI$11,
  _xlpm.r, MATCH(1,('3. Enter Indicator Scores'!$B$10:$B$161=$B146)*('3. Enter Indicator Scores'!$C$10:$C$161=$C146),0),
  _xlpm.c, MATCH(CI$8,'3. Enter Indicator Scores'!$D$8:$CZ$8,0),
  _xlpm.v, IFERROR(INDEX('3. Enter Indicator Scores'!$D$10:$CZ$161,_xlpm.r,_xlpm.c),""),
  IF(OR(_xlpm.w="",_xlpm.v=""),"",_xlpm.v*_xlpm.w)
)</f>
        <v/>
      </c>
      <c r="CJ146" s="93" t="str" cm="1">
        <f t="array" ref="CJ146">_xlfn.LET(
  _xlpm.w, CJ$11,
  _xlpm.r, MATCH(1,('3. Enter Indicator Scores'!$B$10:$B$161=$B146)*('3. Enter Indicator Scores'!$C$10:$C$161=$C146),0),
  _xlpm.c, MATCH(CJ$8,'3. Enter Indicator Scores'!$D$8:$CZ$8,0),
  _xlpm.v, IFERROR(INDEX('3. Enter Indicator Scores'!$D$10:$CZ$161,_xlpm.r,_xlpm.c),""),
  IF(OR(_xlpm.w="",_xlpm.v=""),"",_xlpm.v*_xlpm.w)
)</f>
        <v/>
      </c>
      <c r="CK146" s="93" t="str" cm="1">
        <f t="array" ref="CK146">_xlfn.LET(
  _xlpm.w, CK$11,
  _xlpm.r, MATCH(1,('3. Enter Indicator Scores'!$B$10:$B$161=$B146)*('3. Enter Indicator Scores'!$C$10:$C$161=$C146),0),
  _xlpm.c, MATCH(CK$8,'3. Enter Indicator Scores'!$D$8:$CZ$8,0),
  _xlpm.v, IFERROR(INDEX('3. Enter Indicator Scores'!$D$10:$CZ$161,_xlpm.r,_xlpm.c),""),
  IF(OR(_xlpm.w="",_xlpm.v=""),"",_xlpm.v*_xlpm.w)
)</f>
        <v/>
      </c>
      <c r="CL146" s="93" t="str" cm="1">
        <f t="array" ref="CL146">_xlfn.LET(
  _xlpm.w, CL$11,
  _xlpm.r, MATCH(1,('3. Enter Indicator Scores'!$B$10:$B$161=$B146)*('3. Enter Indicator Scores'!$C$10:$C$161=$C146),0),
  _xlpm.c, MATCH(CL$8,'3. Enter Indicator Scores'!$D$8:$CZ$8,0),
  _xlpm.v, IFERROR(INDEX('3. Enter Indicator Scores'!$D$10:$CZ$161,_xlpm.r,_xlpm.c),""),
  IF(OR(_xlpm.w="",_xlpm.v=""),"",_xlpm.v*_xlpm.w)
)</f>
        <v/>
      </c>
      <c r="CM146" s="93" t="str" cm="1">
        <f t="array" ref="CM146">_xlfn.LET(
  _xlpm.w, CM$11,
  _xlpm.r, MATCH(1,('3. Enter Indicator Scores'!$B$10:$B$161=$B146)*('3. Enter Indicator Scores'!$C$10:$C$161=$C146),0),
  _xlpm.c, MATCH(CM$8,'3. Enter Indicator Scores'!$D$8:$CZ$8,0),
  _xlpm.v, IFERROR(INDEX('3. Enter Indicator Scores'!$D$10:$CZ$161,_xlpm.r,_xlpm.c),""),
  IF(OR(_xlpm.w="",_xlpm.v=""),"",_xlpm.v*_xlpm.w)
)</f>
        <v/>
      </c>
      <c r="CN146" s="93" t="str" cm="1">
        <f t="array" ref="CN146">_xlfn.LET(
  _xlpm.w, CN$11,
  _xlpm.r, MATCH(1,('3. Enter Indicator Scores'!$B$10:$B$161=$B146)*('3. Enter Indicator Scores'!$C$10:$C$161=$C146),0),
  _xlpm.c, MATCH(CN$8,'3. Enter Indicator Scores'!$D$8:$CZ$8,0),
  _xlpm.v, IFERROR(INDEX('3. Enter Indicator Scores'!$D$10:$CZ$161,_xlpm.r,_xlpm.c),""),
  IF(OR(_xlpm.w="",_xlpm.v=""),"",_xlpm.v*_xlpm.w)
)</f>
        <v/>
      </c>
      <c r="CO146" s="93" t="str" cm="1">
        <f t="array" ref="CO146">_xlfn.LET(
  _xlpm.w, CO$11,
  _xlpm.r, MATCH(1,('3. Enter Indicator Scores'!$B$10:$B$161=$B146)*('3. Enter Indicator Scores'!$C$10:$C$161=$C146),0),
  _xlpm.c, MATCH(CO$8,'3. Enter Indicator Scores'!$D$8:$CZ$8,0),
  _xlpm.v, IFERROR(INDEX('3. Enter Indicator Scores'!$D$10:$CZ$161,_xlpm.r,_xlpm.c),""),
  IF(OR(_xlpm.w="",_xlpm.v=""),"",_xlpm.v*_xlpm.w)
)</f>
        <v/>
      </c>
      <c r="CP146" s="93" t="str" cm="1">
        <f t="array" ref="CP146">_xlfn.LET(
  _xlpm.w, CP$11,
  _xlpm.r, MATCH(1,('3. Enter Indicator Scores'!$B$10:$B$161=$B146)*('3. Enter Indicator Scores'!$C$10:$C$161=$C146),0),
  _xlpm.c, MATCH(CP$8,'3. Enter Indicator Scores'!$D$8:$CZ$8,0),
  _xlpm.v, IFERROR(INDEX('3. Enter Indicator Scores'!$D$10:$CZ$161,_xlpm.r,_xlpm.c),""),
  IF(OR(_xlpm.w="",_xlpm.v=""),"",_xlpm.v*_xlpm.w)
)</f>
        <v/>
      </c>
      <c r="CQ146" s="93" t="str" cm="1">
        <f t="array" ref="CQ146">_xlfn.LET(
  _xlpm.w, CQ$11,
  _xlpm.r, MATCH(1,('3. Enter Indicator Scores'!$B$10:$B$161=$B146)*('3. Enter Indicator Scores'!$C$10:$C$161=$C146),0),
  _xlpm.c, MATCH(CQ$8,'3. Enter Indicator Scores'!$D$8:$CZ$8,0),
  _xlpm.v, IFERROR(INDEX('3. Enter Indicator Scores'!$D$10:$CZ$161,_xlpm.r,_xlpm.c),""),
  IF(OR(_xlpm.w="",_xlpm.v=""),"",_xlpm.v*_xlpm.w)
)</f>
        <v/>
      </c>
      <c r="CR146" s="93" t="str" cm="1">
        <f t="array" ref="CR146">_xlfn.LET(
  _xlpm.w, CR$11,
  _xlpm.r, MATCH(1,('3. Enter Indicator Scores'!$B$10:$B$161=$B146)*('3. Enter Indicator Scores'!$C$10:$C$161=$C146),0),
  _xlpm.c, MATCH(CR$8,'3. Enter Indicator Scores'!$D$8:$CZ$8,0),
  _xlpm.v, IFERROR(INDEX('3. Enter Indicator Scores'!$D$10:$CZ$161,_xlpm.r,_xlpm.c),""),
  IF(OR(_xlpm.w="",_xlpm.v=""),"",_xlpm.v*_xlpm.w)
)</f>
        <v/>
      </c>
      <c r="CS146" s="93" t="str" cm="1">
        <f t="array" ref="CS146">_xlfn.LET(
  _xlpm.w, CS$11,
  _xlpm.r, MATCH(1,('3. Enter Indicator Scores'!$B$10:$B$161=$B146)*('3. Enter Indicator Scores'!$C$10:$C$161=$C146),0),
  _xlpm.c, MATCH(CS$8,'3. Enter Indicator Scores'!$D$8:$CZ$8,0),
  _xlpm.v, IFERROR(INDEX('3. Enter Indicator Scores'!$D$10:$CZ$161,_xlpm.r,_xlpm.c),""),
  IF(OR(_xlpm.w="",_xlpm.v=""),"",_xlpm.v*_xlpm.w)
)</f>
        <v/>
      </c>
      <c r="CT146" s="93" t="str" cm="1">
        <f t="array" ref="CT146">_xlfn.LET(
  _xlpm.w, CT$11,
  _xlpm.r, MATCH(1,('3. Enter Indicator Scores'!$B$10:$B$161=$B146)*('3. Enter Indicator Scores'!$C$10:$C$161=$C146),0),
  _xlpm.c, MATCH(CT$8,'3. Enter Indicator Scores'!$D$8:$CZ$8,0),
  _xlpm.v, IFERROR(INDEX('3. Enter Indicator Scores'!$D$10:$CZ$161,_xlpm.r,_xlpm.c),""),
  IF(OR(_xlpm.w="",_xlpm.v=""),"",_xlpm.v*_xlpm.w)
)</f>
        <v/>
      </c>
      <c r="CU146" s="93" t="str" cm="1">
        <f t="array" ref="CU146">_xlfn.LET(
  _xlpm.w, CU$11,
  _xlpm.r, MATCH(1,('3. Enter Indicator Scores'!$B$10:$B$161=$B146)*('3. Enter Indicator Scores'!$C$10:$C$161=$C146),0),
  _xlpm.c, MATCH(CU$8,'3. Enter Indicator Scores'!$D$8:$CZ$8,0),
  _xlpm.v, IFERROR(INDEX('3. Enter Indicator Scores'!$D$10:$CZ$161,_xlpm.r,_xlpm.c),""),
  IF(OR(_xlpm.w="",_xlpm.v=""),"",_xlpm.v*_xlpm.w)
)</f>
        <v/>
      </c>
      <c r="CV146" s="93" t="str" cm="1">
        <f t="array" ref="CV146">_xlfn.LET(
  _xlpm.w, CV$11,
  _xlpm.r, MATCH(1,('3. Enter Indicator Scores'!$B$10:$B$161=$B146)*('3. Enter Indicator Scores'!$C$10:$C$161=$C146),0),
  _xlpm.c, MATCH(CV$8,'3. Enter Indicator Scores'!$D$8:$CZ$8,0),
  _xlpm.v, IFERROR(INDEX('3. Enter Indicator Scores'!$D$10:$CZ$161,_xlpm.r,_xlpm.c),""),
  IF(OR(_xlpm.w="",_xlpm.v=""),"",_xlpm.v*_xlpm.w)
)</f>
        <v/>
      </c>
      <c r="CW146" s="93" t="str" cm="1">
        <f t="array" ref="CW146">_xlfn.LET(
  _xlpm.w, CW$11,
  _xlpm.r, MATCH(1,('3. Enter Indicator Scores'!$B$10:$B$161=$B146)*('3. Enter Indicator Scores'!$C$10:$C$161=$C146),0),
  _xlpm.c, MATCH(CW$8,'3. Enter Indicator Scores'!$D$8:$CZ$8,0),
  _xlpm.v, IFERROR(INDEX('3. Enter Indicator Scores'!$D$10:$CZ$161,_xlpm.r,_xlpm.c),""),
  IF(OR(_xlpm.w="",_xlpm.v=""),"",_xlpm.v*_xlpm.w)
)</f>
        <v/>
      </c>
      <c r="CX146" s="93" t="str" cm="1">
        <f t="array" ref="CX146">_xlfn.LET(
  _xlpm.w, CX$11,
  _xlpm.r, MATCH(1,('3. Enter Indicator Scores'!$B$10:$B$161=$B146)*('3. Enter Indicator Scores'!$C$10:$C$161=$C146),0),
  _xlpm.c, MATCH(CX$8,'3. Enter Indicator Scores'!$D$8:$CZ$8,0),
  _xlpm.v, IFERROR(INDEX('3. Enter Indicator Scores'!$D$10:$CZ$161,_xlpm.r,_xlpm.c),""),
  IF(OR(_xlpm.w="",_xlpm.v=""),"",_xlpm.v*_xlpm.w)
)</f>
        <v/>
      </c>
      <c r="CY146" s="93" t="str" cm="1">
        <f t="array" ref="CY146">_xlfn.LET(
  _xlpm.w, CY$11,
  _xlpm.r, MATCH(1,('3. Enter Indicator Scores'!$B$10:$B$161=$B146)*('3. Enter Indicator Scores'!$C$10:$C$161=$C146),0),
  _xlpm.c, MATCH(CY$8,'3. Enter Indicator Scores'!$D$8:$CZ$8,0),
  _xlpm.v, IFERROR(INDEX('3. Enter Indicator Scores'!$D$10:$CZ$161,_xlpm.r,_xlpm.c),""),
  IF(OR(_xlpm.w="",_xlpm.v=""),"",_xlpm.v*_xlpm.w)
)</f>
        <v/>
      </c>
      <c r="CZ146" s="93" t="str" cm="1">
        <f t="array" ref="CZ146">_xlfn.LET(
  _xlpm.w, CZ$11,
  _xlpm.r, MATCH(1,('3. Enter Indicator Scores'!$B$10:$B$161=$B146)*('3. Enter Indicator Scores'!$C$10:$C$161=$C146),0),
  _xlpm.c, MATCH(CZ$8,'3. Enter Indicator Scores'!$D$8:$CZ$8,0),
  _xlpm.v, IFERROR(INDEX('3. Enter Indicator Scores'!$D$10:$CZ$161,_xlpm.r,_xlpm.c),""),
  IF(OR(_xlpm.w="",_xlpm.v=""),"",_xlpm.v*_xlpm.w)
)</f>
        <v/>
      </c>
    </row>
    <row r="147" spans="4:104" x14ac:dyDescent="0.2">
      <c r="D147" s="93" t="str" cm="1">
        <f t="array" ref="D147">_xlfn.LET(
  _xlpm.w, D$11,
  _xlpm.r, MATCH(1,('3. Enter Indicator Scores'!$B$10:$B$161=$B147)*('3. Enter Indicator Scores'!$C$10:$C$161=$C147),0),
  _xlpm.c, MATCH(D$8,'3. Enter Indicator Scores'!$D$8:$CZ$8,0),
  _xlpm.v, IFERROR(INDEX('3. Enter Indicator Scores'!$D$10:$CZ$161,_xlpm.r,_xlpm.c),""),
  IF(OR(_xlpm.w="",_xlpm.v=""),"",_xlpm.v*_xlpm.w)
)</f>
        <v/>
      </c>
      <c r="E147" s="93" t="str" cm="1">
        <f t="array" ref="E147">_xlfn.LET(
  _xlpm.w, E$11,
  _xlpm.r, MATCH(1,('3. Enter Indicator Scores'!$B$10:$B$161=$B147)*('3. Enter Indicator Scores'!$C$10:$C$161=$C147),0),
  _xlpm.c, MATCH(E$8,'3. Enter Indicator Scores'!$D$8:$CZ$8,0),
  _xlpm.v, IFERROR(INDEX('3. Enter Indicator Scores'!$D$10:$CZ$161,_xlpm.r,_xlpm.c),""),
  IF(OR(_xlpm.w="",_xlpm.v=""),"",_xlpm.v*_xlpm.w)
)</f>
        <v/>
      </c>
      <c r="F147" s="93" t="str" cm="1">
        <f t="array" ref="F147">_xlfn.LET(
  _xlpm.w, F$11,
  _xlpm.r, MATCH(1,('3. Enter Indicator Scores'!$B$10:$B$161=$B147)*('3. Enter Indicator Scores'!$C$10:$C$161=$C147),0),
  _xlpm.c, MATCH(F$8,'3. Enter Indicator Scores'!$D$8:$CZ$8,0),
  _xlpm.v, IFERROR(INDEX('3. Enter Indicator Scores'!$D$10:$CZ$161,_xlpm.r,_xlpm.c),""),
  IF(OR(_xlpm.w="",_xlpm.v=""),"",_xlpm.v*_xlpm.w)
)</f>
        <v/>
      </c>
      <c r="G147" s="93" t="str" cm="1">
        <f t="array" ref="G147">_xlfn.LET(
  _xlpm.w, G$11,
  _xlpm.r, MATCH(1,('3. Enter Indicator Scores'!$B$10:$B$161=$B147)*('3. Enter Indicator Scores'!$C$10:$C$161=$C147),0),
  _xlpm.c, MATCH(G$8,'3. Enter Indicator Scores'!$D$8:$CZ$8,0),
  _xlpm.v, IFERROR(INDEX('3. Enter Indicator Scores'!$D$10:$CZ$161,_xlpm.r,_xlpm.c),""),
  IF(OR(_xlpm.w="",_xlpm.v=""),"",_xlpm.v*_xlpm.w)
)</f>
        <v/>
      </c>
      <c r="H147" s="93" t="str" cm="1">
        <f t="array" ref="H147">_xlfn.LET(
  _xlpm.w, H$11,
  _xlpm.r, MATCH(1,('3. Enter Indicator Scores'!$B$10:$B$161=$B147)*('3. Enter Indicator Scores'!$C$10:$C$161=$C147),0),
  _xlpm.c, MATCH(H$8,'3. Enter Indicator Scores'!$D$8:$CZ$8,0),
  _xlpm.v, IFERROR(INDEX('3. Enter Indicator Scores'!$D$10:$CZ$161,_xlpm.r,_xlpm.c),""),
  IF(OR(_xlpm.w="",_xlpm.v=""),"",_xlpm.v*_xlpm.w)
)</f>
        <v/>
      </c>
      <c r="I147" s="93" t="str" cm="1">
        <f t="array" ref="I147">_xlfn.LET(
  _xlpm.w, I$11,
  _xlpm.r, MATCH(1,('3. Enter Indicator Scores'!$B$10:$B$161=$B147)*('3. Enter Indicator Scores'!$C$10:$C$161=$C147),0),
  _xlpm.c, MATCH(I$8,'3. Enter Indicator Scores'!$D$8:$CZ$8,0),
  _xlpm.v, IFERROR(INDEX('3. Enter Indicator Scores'!$D$10:$CZ$161,_xlpm.r,_xlpm.c),""),
  IF(OR(_xlpm.w="",_xlpm.v=""),"",_xlpm.v*_xlpm.w)
)</f>
        <v/>
      </c>
      <c r="J147" s="93" t="str" cm="1">
        <f t="array" ref="J147">_xlfn.LET(
  _xlpm.w, J$11,
  _xlpm.r, MATCH(1,('3. Enter Indicator Scores'!$B$10:$B$161=$B147)*('3. Enter Indicator Scores'!$C$10:$C$161=$C147),0),
  _xlpm.c, MATCH(J$8,'3. Enter Indicator Scores'!$D$8:$CZ$8,0),
  _xlpm.v, IFERROR(INDEX('3. Enter Indicator Scores'!$D$10:$CZ$161,_xlpm.r,_xlpm.c),""),
  IF(OR(_xlpm.w="",_xlpm.v=""),"",_xlpm.v*_xlpm.w)
)</f>
        <v/>
      </c>
      <c r="K147" s="93" t="str" cm="1">
        <f t="array" ref="K147">_xlfn.LET(
  _xlpm.w, K$11,
  _xlpm.r, MATCH(1,('3. Enter Indicator Scores'!$B$10:$B$161=$B147)*('3. Enter Indicator Scores'!$C$10:$C$161=$C147),0),
  _xlpm.c, MATCH(K$8,'3. Enter Indicator Scores'!$D$8:$CZ$8,0),
  _xlpm.v, IFERROR(INDEX('3. Enter Indicator Scores'!$D$10:$CZ$161,_xlpm.r,_xlpm.c),""),
  IF(OR(_xlpm.w="",_xlpm.v=""),"",_xlpm.v*_xlpm.w)
)</f>
        <v/>
      </c>
      <c r="L147" s="93" t="str" cm="1">
        <f t="array" ref="L147">_xlfn.LET(
  _xlpm.w, L$11,
  _xlpm.r, MATCH(1,('3. Enter Indicator Scores'!$B$10:$B$161=$B147)*('3. Enter Indicator Scores'!$C$10:$C$161=$C147),0),
  _xlpm.c, MATCH(L$8,'3. Enter Indicator Scores'!$D$8:$CZ$8,0),
  _xlpm.v, IFERROR(INDEX('3. Enter Indicator Scores'!$D$10:$CZ$161,_xlpm.r,_xlpm.c),""),
  IF(OR(_xlpm.w="",_xlpm.v=""),"",_xlpm.v*_xlpm.w)
)</f>
        <v/>
      </c>
      <c r="M147" s="93" t="str" cm="1">
        <f t="array" ref="M147">_xlfn.LET(
  _xlpm.w, M$11,
  _xlpm.r, MATCH(1,('3. Enter Indicator Scores'!$B$10:$B$161=$B147)*('3. Enter Indicator Scores'!$C$10:$C$161=$C147),0),
  _xlpm.c, MATCH(M$8,'3. Enter Indicator Scores'!$D$8:$CZ$8,0),
  _xlpm.v, IFERROR(INDEX('3. Enter Indicator Scores'!$D$10:$CZ$161,_xlpm.r,_xlpm.c),""),
  IF(OR(_xlpm.w="",_xlpm.v=""),"",_xlpm.v*_xlpm.w)
)</f>
        <v/>
      </c>
      <c r="N147" s="93" t="str" cm="1">
        <f t="array" ref="N147">_xlfn.LET(
  _xlpm.w, N$11,
  _xlpm.r, MATCH(1,('3. Enter Indicator Scores'!$B$10:$B$161=$B147)*('3. Enter Indicator Scores'!$C$10:$C$161=$C147),0),
  _xlpm.c, MATCH(N$8,'3. Enter Indicator Scores'!$D$8:$CZ$8,0),
  _xlpm.v, IFERROR(INDEX('3. Enter Indicator Scores'!$D$10:$CZ$161,_xlpm.r,_xlpm.c),""),
  IF(OR(_xlpm.w="",_xlpm.v=""),"",_xlpm.v*_xlpm.w)
)</f>
        <v/>
      </c>
      <c r="O147" s="93" t="str" cm="1">
        <f t="array" ref="O147">_xlfn.LET(
  _xlpm.w, O$11,
  _xlpm.r, MATCH(1,('3. Enter Indicator Scores'!$B$10:$B$161=$B147)*('3. Enter Indicator Scores'!$C$10:$C$161=$C147),0),
  _xlpm.c, MATCH(O$8,'3. Enter Indicator Scores'!$D$8:$CZ$8,0),
  _xlpm.v, IFERROR(INDEX('3. Enter Indicator Scores'!$D$10:$CZ$161,_xlpm.r,_xlpm.c),""),
  IF(OR(_xlpm.w="",_xlpm.v=""),"",_xlpm.v*_xlpm.w)
)</f>
        <v/>
      </c>
      <c r="P147" s="93" t="str" cm="1">
        <f t="array" ref="P147">_xlfn.LET(
  _xlpm.w, P$11,
  _xlpm.r, MATCH(1,('3. Enter Indicator Scores'!$B$10:$B$161=$B147)*('3. Enter Indicator Scores'!$C$10:$C$161=$C147),0),
  _xlpm.c, MATCH(P$8,'3. Enter Indicator Scores'!$D$8:$CZ$8,0),
  _xlpm.v, IFERROR(INDEX('3. Enter Indicator Scores'!$D$10:$CZ$161,_xlpm.r,_xlpm.c),""),
  IF(OR(_xlpm.w="",_xlpm.v=""),"",_xlpm.v*_xlpm.w)
)</f>
        <v/>
      </c>
      <c r="Q147" s="93" t="str" cm="1">
        <f t="array" ref="Q147">_xlfn.LET(
  _xlpm.w, Q$11,
  _xlpm.r, MATCH(1,('3. Enter Indicator Scores'!$B$10:$B$161=$B147)*('3. Enter Indicator Scores'!$C$10:$C$161=$C147),0),
  _xlpm.c, MATCH(Q$8,'3. Enter Indicator Scores'!$D$8:$CZ$8,0),
  _xlpm.v, IFERROR(INDEX('3. Enter Indicator Scores'!$D$10:$CZ$161,_xlpm.r,_xlpm.c),""),
  IF(OR(_xlpm.w="",_xlpm.v=""),"",_xlpm.v*_xlpm.w)
)</f>
        <v/>
      </c>
      <c r="R147" s="93" t="str" cm="1">
        <f t="array" ref="R147">_xlfn.LET(
  _xlpm.w, R$11,
  _xlpm.r, MATCH(1,('3. Enter Indicator Scores'!$B$10:$B$161=$B147)*('3. Enter Indicator Scores'!$C$10:$C$161=$C147),0),
  _xlpm.c, MATCH(R$8,'3. Enter Indicator Scores'!$D$8:$CZ$8,0),
  _xlpm.v, IFERROR(INDEX('3. Enter Indicator Scores'!$D$10:$CZ$161,_xlpm.r,_xlpm.c),""),
  IF(OR(_xlpm.w="",_xlpm.v=""),"",_xlpm.v*_xlpm.w)
)</f>
        <v/>
      </c>
      <c r="S147" s="93" t="str" cm="1">
        <f t="array" ref="S147">_xlfn.LET(
  _xlpm.w, S$11,
  _xlpm.r, MATCH(1,('3. Enter Indicator Scores'!$B$10:$B$161=$B147)*('3. Enter Indicator Scores'!$C$10:$C$161=$C147),0),
  _xlpm.c, MATCH(S$8,'3. Enter Indicator Scores'!$D$8:$CZ$8,0),
  _xlpm.v, IFERROR(INDEX('3. Enter Indicator Scores'!$D$10:$CZ$161,_xlpm.r,_xlpm.c),""),
  IF(OR(_xlpm.w="",_xlpm.v=""),"",_xlpm.v*_xlpm.w)
)</f>
        <v/>
      </c>
      <c r="T147" s="93" t="str" cm="1">
        <f t="array" ref="T147">_xlfn.LET(
  _xlpm.w, T$11,
  _xlpm.r, MATCH(1,('3. Enter Indicator Scores'!$B$10:$B$161=$B147)*('3. Enter Indicator Scores'!$C$10:$C$161=$C147),0),
  _xlpm.c, MATCH(T$8,'3. Enter Indicator Scores'!$D$8:$CZ$8,0),
  _xlpm.v, IFERROR(INDEX('3. Enter Indicator Scores'!$D$10:$CZ$161,_xlpm.r,_xlpm.c),""),
  IF(OR(_xlpm.w="",_xlpm.v=""),"",_xlpm.v*_xlpm.w)
)</f>
        <v/>
      </c>
      <c r="U147" s="93" t="str" cm="1">
        <f t="array" ref="U147">_xlfn.LET(
  _xlpm.w, U$11,
  _xlpm.r, MATCH(1,('3. Enter Indicator Scores'!$B$10:$B$161=$B147)*('3. Enter Indicator Scores'!$C$10:$C$161=$C147),0),
  _xlpm.c, MATCH(U$8,'3. Enter Indicator Scores'!$D$8:$CZ$8,0),
  _xlpm.v, IFERROR(INDEX('3. Enter Indicator Scores'!$D$10:$CZ$161,_xlpm.r,_xlpm.c),""),
  IF(OR(_xlpm.w="",_xlpm.v=""),"",_xlpm.v*_xlpm.w)
)</f>
        <v/>
      </c>
      <c r="V147" s="93" t="str" cm="1">
        <f t="array" ref="V147">_xlfn.LET(
  _xlpm.w, V$11,
  _xlpm.r, MATCH(1,('3. Enter Indicator Scores'!$B$10:$B$161=$B147)*('3. Enter Indicator Scores'!$C$10:$C$161=$C147),0),
  _xlpm.c, MATCH(V$8,'3. Enter Indicator Scores'!$D$8:$CZ$8,0),
  _xlpm.v, IFERROR(INDEX('3. Enter Indicator Scores'!$D$10:$CZ$161,_xlpm.r,_xlpm.c),""),
  IF(OR(_xlpm.w="",_xlpm.v=""),"",_xlpm.v*_xlpm.w)
)</f>
        <v/>
      </c>
      <c r="W147" s="93" t="str" cm="1">
        <f t="array" ref="W147">_xlfn.LET(
  _xlpm.w, W$11,
  _xlpm.r, MATCH(1,('3. Enter Indicator Scores'!$B$10:$B$161=$B147)*('3. Enter Indicator Scores'!$C$10:$C$161=$C147),0),
  _xlpm.c, MATCH(W$8,'3. Enter Indicator Scores'!$D$8:$CZ$8,0),
  _xlpm.v, IFERROR(INDEX('3. Enter Indicator Scores'!$D$10:$CZ$161,_xlpm.r,_xlpm.c),""),
  IF(OR(_xlpm.w="",_xlpm.v=""),"",_xlpm.v*_xlpm.w)
)</f>
        <v/>
      </c>
      <c r="X147" s="93" t="str" cm="1">
        <f t="array" ref="X147">_xlfn.LET(
  _xlpm.w, X$11,
  _xlpm.r, MATCH(1,('3. Enter Indicator Scores'!$B$10:$B$161=$B147)*('3. Enter Indicator Scores'!$C$10:$C$161=$C147),0),
  _xlpm.c, MATCH(X$8,'3. Enter Indicator Scores'!$D$8:$CZ$8,0),
  _xlpm.v, IFERROR(INDEX('3. Enter Indicator Scores'!$D$10:$CZ$161,_xlpm.r,_xlpm.c),""),
  IF(OR(_xlpm.w="",_xlpm.v=""),"",_xlpm.v*_xlpm.w)
)</f>
        <v/>
      </c>
      <c r="Y147" s="93" t="str" cm="1">
        <f t="array" ref="Y147">_xlfn.LET(
  _xlpm.w, Y$11,
  _xlpm.r, MATCH(1,('3. Enter Indicator Scores'!$B$10:$B$161=$B147)*('3. Enter Indicator Scores'!$C$10:$C$161=$C147),0),
  _xlpm.c, MATCH(Y$8,'3. Enter Indicator Scores'!$D$8:$CZ$8,0),
  _xlpm.v, IFERROR(INDEX('3. Enter Indicator Scores'!$D$10:$CZ$161,_xlpm.r,_xlpm.c),""),
  IF(OR(_xlpm.w="",_xlpm.v=""),"",_xlpm.v*_xlpm.w)
)</f>
        <v/>
      </c>
      <c r="Z147" s="93" t="str" cm="1">
        <f t="array" ref="Z147">_xlfn.LET(
  _xlpm.w, Z$11,
  _xlpm.r, MATCH(1,('3. Enter Indicator Scores'!$B$10:$B$161=$B147)*('3. Enter Indicator Scores'!$C$10:$C$161=$C147),0),
  _xlpm.c, MATCH(Z$8,'3. Enter Indicator Scores'!$D$8:$CZ$8,0),
  _xlpm.v, IFERROR(INDEX('3. Enter Indicator Scores'!$D$10:$CZ$161,_xlpm.r,_xlpm.c),""),
  IF(OR(_xlpm.w="",_xlpm.v=""),"",_xlpm.v*_xlpm.w)
)</f>
        <v/>
      </c>
      <c r="AA147" s="93" t="str" cm="1">
        <f t="array" ref="AA147">_xlfn.LET(
  _xlpm.w, AA$11,
  _xlpm.r, MATCH(1,('3. Enter Indicator Scores'!$B$10:$B$161=$B147)*('3. Enter Indicator Scores'!$C$10:$C$161=$C147),0),
  _xlpm.c, MATCH(AA$8,'3. Enter Indicator Scores'!$D$8:$CZ$8,0),
  _xlpm.v, IFERROR(INDEX('3. Enter Indicator Scores'!$D$10:$CZ$161,_xlpm.r,_xlpm.c),""),
  IF(OR(_xlpm.w="",_xlpm.v=""),"",_xlpm.v*_xlpm.w)
)</f>
        <v/>
      </c>
      <c r="AB147" s="93" t="str" cm="1">
        <f t="array" ref="AB147">_xlfn.LET(
  _xlpm.w, AB$11,
  _xlpm.r, MATCH(1,('3. Enter Indicator Scores'!$B$10:$B$161=$B147)*('3. Enter Indicator Scores'!$C$10:$C$161=$C147),0),
  _xlpm.c, MATCH(AB$8,'3. Enter Indicator Scores'!$D$8:$CZ$8,0),
  _xlpm.v, IFERROR(INDEX('3. Enter Indicator Scores'!$D$10:$CZ$161,_xlpm.r,_xlpm.c),""),
  IF(OR(_xlpm.w="",_xlpm.v=""),"",_xlpm.v*_xlpm.w)
)</f>
        <v/>
      </c>
      <c r="AC147" s="93" t="str" cm="1">
        <f t="array" ref="AC147">_xlfn.LET(
  _xlpm.w, AC$11,
  _xlpm.r, MATCH(1,('3. Enter Indicator Scores'!$B$10:$B$161=$B147)*('3. Enter Indicator Scores'!$C$10:$C$161=$C147),0),
  _xlpm.c, MATCH(AC$8,'3. Enter Indicator Scores'!$D$8:$CZ$8,0),
  _xlpm.v, IFERROR(INDEX('3. Enter Indicator Scores'!$D$10:$CZ$161,_xlpm.r,_xlpm.c),""),
  IF(OR(_xlpm.w="",_xlpm.v=""),"",_xlpm.v*_xlpm.w)
)</f>
        <v/>
      </c>
      <c r="AD147" s="93" t="str" cm="1">
        <f t="array" ref="AD147">_xlfn.LET(
  _xlpm.w, AD$11,
  _xlpm.r, MATCH(1,('3. Enter Indicator Scores'!$B$10:$B$161=$B147)*('3. Enter Indicator Scores'!$C$10:$C$161=$C147),0),
  _xlpm.c, MATCH(AD$8,'3. Enter Indicator Scores'!$D$8:$CZ$8,0),
  _xlpm.v, IFERROR(INDEX('3. Enter Indicator Scores'!$D$10:$CZ$161,_xlpm.r,_xlpm.c),""),
  IF(OR(_xlpm.w="",_xlpm.v=""),"",_xlpm.v*_xlpm.w)
)</f>
        <v/>
      </c>
      <c r="AE147" s="93" t="str" cm="1">
        <f t="array" ref="AE147">_xlfn.LET(
  _xlpm.w, AE$11,
  _xlpm.r, MATCH(1,('3. Enter Indicator Scores'!$B$10:$B$161=$B147)*('3. Enter Indicator Scores'!$C$10:$C$161=$C147),0),
  _xlpm.c, MATCH(AE$8,'3. Enter Indicator Scores'!$D$8:$CZ$8,0),
  _xlpm.v, IFERROR(INDEX('3. Enter Indicator Scores'!$D$10:$CZ$161,_xlpm.r,_xlpm.c),""),
  IF(OR(_xlpm.w="",_xlpm.v=""),"",_xlpm.v*_xlpm.w)
)</f>
        <v/>
      </c>
      <c r="AF147" s="93" t="str" cm="1">
        <f t="array" ref="AF147">_xlfn.LET(
  _xlpm.w, AF$11,
  _xlpm.r, MATCH(1,('3. Enter Indicator Scores'!$B$10:$B$161=$B147)*('3. Enter Indicator Scores'!$C$10:$C$161=$C147),0),
  _xlpm.c, MATCH(AF$8,'3. Enter Indicator Scores'!$D$8:$CZ$8,0),
  _xlpm.v, IFERROR(INDEX('3. Enter Indicator Scores'!$D$10:$CZ$161,_xlpm.r,_xlpm.c),""),
  IF(OR(_xlpm.w="",_xlpm.v=""),"",_xlpm.v*_xlpm.w)
)</f>
        <v/>
      </c>
      <c r="AG147" s="93" t="str" cm="1">
        <f t="array" ref="AG147">_xlfn.LET(
  _xlpm.w, AG$11,
  _xlpm.r, MATCH(1,('3. Enter Indicator Scores'!$B$10:$B$161=$B147)*('3. Enter Indicator Scores'!$C$10:$C$161=$C147),0),
  _xlpm.c, MATCH(AG$8,'3. Enter Indicator Scores'!$D$8:$CZ$8,0),
  _xlpm.v, IFERROR(INDEX('3. Enter Indicator Scores'!$D$10:$CZ$161,_xlpm.r,_xlpm.c),""),
  IF(OR(_xlpm.w="",_xlpm.v=""),"",_xlpm.v*_xlpm.w)
)</f>
        <v/>
      </c>
      <c r="AH147" s="93" t="str" cm="1">
        <f t="array" ref="AH147">_xlfn.LET(
  _xlpm.w, AH$11,
  _xlpm.r, MATCH(1,('3. Enter Indicator Scores'!$B$10:$B$161=$B147)*('3. Enter Indicator Scores'!$C$10:$C$161=$C147),0),
  _xlpm.c, MATCH(AH$8,'3. Enter Indicator Scores'!$D$8:$CZ$8,0),
  _xlpm.v, IFERROR(INDEX('3. Enter Indicator Scores'!$D$10:$CZ$161,_xlpm.r,_xlpm.c),""),
  IF(OR(_xlpm.w="",_xlpm.v=""),"",_xlpm.v*_xlpm.w)
)</f>
        <v/>
      </c>
      <c r="AI147" s="93" t="str" cm="1">
        <f t="array" ref="AI147">_xlfn.LET(
  _xlpm.w, AI$11,
  _xlpm.r, MATCH(1,('3. Enter Indicator Scores'!$B$10:$B$161=$B147)*('3. Enter Indicator Scores'!$C$10:$C$161=$C147),0),
  _xlpm.c, MATCH(AI$8,'3. Enter Indicator Scores'!$D$8:$CZ$8,0),
  _xlpm.v, IFERROR(INDEX('3. Enter Indicator Scores'!$D$10:$CZ$161,_xlpm.r,_xlpm.c),""),
  IF(OR(_xlpm.w="",_xlpm.v=""),"",_xlpm.v*_xlpm.w)
)</f>
        <v/>
      </c>
      <c r="AJ147" s="93" t="str" cm="1">
        <f t="array" ref="AJ147">_xlfn.LET(
  _xlpm.w, AJ$11,
  _xlpm.r, MATCH(1,('3. Enter Indicator Scores'!$B$10:$B$161=$B147)*('3. Enter Indicator Scores'!$C$10:$C$161=$C147),0),
  _xlpm.c, MATCH(AJ$8,'3. Enter Indicator Scores'!$D$8:$CZ$8,0),
  _xlpm.v, IFERROR(INDEX('3. Enter Indicator Scores'!$D$10:$CZ$161,_xlpm.r,_xlpm.c),""),
  IF(OR(_xlpm.w="",_xlpm.v=""),"",_xlpm.v*_xlpm.w)
)</f>
        <v/>
      </c>
      <c r="AK147" s="93" t="str" cm="1">
        <f t="array" ref="AK147">_xlfn.LET(
  _xlpm.w, AK$11,
  _xlpm.r, MATCH(1,('3. Enter Indicator Scores'!$B$10:$B$161=$B147)*('3. Enter Indicator Scores'!$C$10:$C$161=$C147),0),
  _xlpm.c, MATCH(AK$8,'3. Enter Indicator Scores'!$D$8:$CZ$8,0),
  _xlpm.v, IFERROR(INDEX('3. Enter Indicator Scores'!$D$10:$CZ$161,_xlpm.r,_xlpm.c),""),
  IF(OR(_xlpm.w="",_xlpm.v=""),"",_xlpm.v*_xlpm.w)
)</f>
        <v/>
      </c>
      <c r="AL147" s="93" t="str" cm="1">
        <f t="array" ref="AL147">_xlfn.LET(
  _xlpm.w, AL$11,
  _xlpm.r, MATCH(1,('3. Enter Indicator Scores'!$B$10:$B$161=$B147)*('3. Enter Indicator Scores'!$C$10:$C$161=$C147),0),
  _xlpm.c, MATCH(AL$8,'3. Enter Indicator Scores'!$D$8:$CZ$8,0),
  _xlpm.v, IFERROR(INDEX('3. Enter Indicator Scores'!$D$10:$CZ$161,_xlpm.r,_xlpm.c),""),
  IF(OR(_xlpm.w="",_xlpm.v=""),"",_xlpm.v*_xlpm.w)
)</f>
        <v/>
      </c>
      <c r="AM147" s="93" t="str" cm="1">
        <f t="array" ref="AM147">_xlfn.LET(
  _xlpm.w, AM$11,
  _xlpm.r, MATCH(1,('3. Enter Indicator Scores'!$B$10:$B$161=$B147)*('3. Enter Indicator Scores'!$C$10:$C$161=$C147),0),
  _xlpm.c, MATCH(AM$8,'3. Enter Indicator Scores'!$D$8:$CZ$8,0),
  _xlpm.v, IFERROR(INDEX('3. Enter Indicator Scores'!$D$10:$CZ$161,_xlpm.r,_xlpm.c),""),
  IF(OR(_xlpm.w="",_xlpm.v=""),"",_xlpm.v*_xlpm.w)
)</f>
        <v/>
      </c>
      <c r="AN147" s="93" t="str" cm="1">
        <f t="array" ref="AN147">_xlfn.LET(
  _xlpm.w, AN$11,
  _xlpm.r, MATCH(1,('3. Enter Indicator Scores'!$B$10:$B$161=$B147)*('3. Enter Indicator Scores'!$C$10:$C$161=$C147),0),
  _xlpm.c, MATCH(AN$8,'3. Enter Indicator Scores'!$D$8:$CZ$8,0),
  _xlpm.v, IFERROR(INDEX('3. Enter Indicator Scores'!$D$10:$CZ$161,_xlpm.r,_xlpm.c),""),
  IF(OR(_xlpm.w="",_xlpm.v=""),"",_xlpm.v*_xlpm.w)
)</f>
        <v/>
      </c>
      <c r="AO147" s="93" t="str" cm="1">
        <f t="array" ref="AO147">_xlfn.LET(
  _xlpm.w, AO$11,
  _xlpm.r, MATCH(1,('3. Enter Indicator Scores'!$B$10:$B$161=$B147)*('3. Enter Indicator Scores'!$C$10:$C$161=$C147),0),
  _xlpm.c, MATCH(AO$8,'3. Enter Indicator Scores'!$D$8:$CZ$8,0),
  _xlpm.v, IFERROR(INDEX('3. Enter Indicator Scores'!$D$10:$CZ$161,_xlpm.r,_xlpm.c),""),
  IF(OR(_xlpm.w="",_xlpm.v=""),"",_xlpm.v*_xlpm.w)
)</f>
        <v/>
      </c>
      <c r="AP147" s="93" t="str" cm="1">
        <f t="array" ref="AP147">_xlfn.LET(
  _xlpm.w, AP$11,
  _xlpm.r, MATCH(1,('3. Enter Indicator Scores'!$B$10:$B$161=$B147)*('3. Enter Indicator Scores'!$C$10:$C$161=$C147),0),
  _xlpm.c, MATCH(AP$8,'3. Enter Indicator Scores'!$D$8:$CZ$8,0),
  _xlpm.v, IFERROR(INDEX('3. Enter Indicator Scores'!$D$10:$CZ$161,_xlpm.r,_xlpm.c),""),
  IF(OR(_xlpm.w="",_xlpm.v=""),"",_xlpm.v*_xlpm.w)
)</f>
        <v/>
      </c>
      <c r="AQ147" s="93" t="str" cm="1">
        <f t="array" ref="AQ147">_xlfn.LET(
  _xlpm.w, AQ$11,
  _xlpm.r, MATCH(1,('3. Enter Indicator Scores'!$B$10:$B$161=$B147)*('3. Enter Indicator Scores'!$C$10:$C$161=$C147),0),
  _xlpm.c, MATCH(AQ$8,'3. Enter Indicator Scores'!$D$8:$CZ$8,0),
  _xlpm.v, IFERROR(INDEX('3. Enter Indicator Scores'!$D$10:$CZ$161,_xlpm.r,_xlpm.c),""),
  IF(OR(_xlpm.w="",_xlpm.v=""),"",_xlpm.v*_xlpm.w)
)</f>
        <v/>
      </c>
      <c r="AR147" s="93" t="str" cm="1">
        <f t="array" ref="AR147">_xlfn.LET(
  _xlpm.w, AR$11,
  _xlpm.r, MATCH(1,('3. Enter Indicator Scores'!$B$10:$B$161=$B147)*('3. Enter Indicator Scores'!$C$10:$C$161=$C147),0),
  _xlpm.c, MATCH(AR$8,'3. Enter Indicator Scores'!$D$8:$CZ$8,0),
  _xlpm.v, IFERROR(INDEX('3. Enter Indicator Scores'!$D$10:$CZ$161,_xlpm.r,_xlpm.c),""),
  IF(OR(_xlpm.w="",_xlpm.v=""),"",_xlpm.v*_xlpm.w)
)</f>
        <v/>
      </c>
      <c r="AS147" s="93" t="str" cm="1">
        <f t="array" ref="AS147">_xlfn.LET(
  _xlpm.w, AS$11,
  _xlpm.r, MATCH(1,('3. Enter Indicator Scores'!$B$10:$B$161=$B147)*('3. Enter Indicator Scores'!$C$10:$C$161=$C147),0),
  _xlpm.c, MATCH(AS$8,'3. Enter Indicator Scores'!$D$8:$CZ$8,0),
  _xlpm.v, IFERROR(INDEX('3. Enter Indicator Scores'!$D$10:$CZ$161,_xlpm.r,_xlpm.c),""),
  IF(OR(_xlpm.w="",_xlpm.v=""),"",_xlpm.v*_xlpm.w)
)</f>
        <v/>
      </c>
      <c r="AT147" s="93" t="str" cm="1">
        <f t="array" ref="AT147">_xlfn.LET(
  _xlpm.w, AT$11,
  _xlpm.r, MATCH(1,('3. Enter Indicator Scores'!$B$10:$B$161=$B147)*('3. Enter Indicator Scores'!$C$10:$C$161=$C147),0),
  _xlpm.c, MATCH(AT$8,'3. Enter Indicator Scores'!$D$8:$CZ$8,0),
  _xlpm.v, IFERROR(INDEX('3. Enter Indicator Scores'!$D$10:$CZ$161,_xlpm.r,_xlpm.c),""),
  IF(OR(_xlpm.w="",_xlpm.v=""),"",_xlpm.v*_xlpm.w)
)</f>
        <v/>
      </c>
      <c r="AU147" s="93" t="str" cm="1">
        <f t="array" ref="AU147">_xlfn.LET(
  _xlpm.w, AU$11,
  _xlpm.r, MATCH(1,('3. Enter Indicator Scores'!$B$10:$B$161=$B147)*('3. Enter Indicator Scores'!$C$10:$C$161=$C147),0),
  _xlpm.c, MATCH(AU$8,'3. Enter Indicator Scores'!$D$8:$CZ$8,0),
  _xlpm.v, IFERROR(INDEX('3. Enter Indicator Scores'!$D$10:$CZ$161,_xlpm.r,_xlpm.c),""),
  IF(OR(_xlpm.w="",_xlpm.v=""),"",_xlpm.v*_xlpm.w)
)</f>
        <v/>
      </c>
      <c r="AV147" s="93" t="str" cm="1">
        <f t="array" ref="AV147">_xlfn.LET(
  _xlpm.w, AV$11,
  _xlpm.r, MATCH(1,('3. Enter Indicator Scores'!$B$10:$B$161=$B147)*('3. Enter Indicator Scores'!$C$10:$C$161=$C147),0),
  _xlpm.c, MATCH(AV$8,'3. Enter Indicator Scores'!$D$8:$CZ$8,0),
  _xlpm.v, IFERROR(INDEX('3. Enter Indicator Scores'!$D$10:$CZ$161,_xlpm.r,_xlpm.c),""),
  IF(OR(_xlpm.w="",_xlpm.v=""),"",_xlpm.v*_xlpm.w)
)</f>
        <v/>
      </c>
      <c r="AW147" s="93" t="str" cm="1">
        <f t="array" ref="AW147">_xlfn.LET(
  _xlpm.w, AW$11,
  _xlpm.r, MATCH(1,('3. Enter Indicator Scores'!$B$10:$B$161=$B147)*('3. Enter Indicator Scores'!$C$10:$C$161=$C147),0),
  _xlpm.c, MATCH(AW$8,'3. Enter Indicator Scores'!$D$8:$CZ$8,0),
  _xlpm.v, IFERROR(INDEX('3. Enter Indicator Scores'!$D$10:$CZ$161,_xlpm.r,_xlpm.c),""),
  IF(OR(_xlpm.w="",_xlpm.v=""),"",_xlpm.v*_xlpm.w)
)</f>
        <v/>
      </c>
      <c r="AX147" s="93" t="str" cm="1">
        <f t="array" ref="AX147">_xlfn.LET(
  _xlpm.w, AX$11,
  _xlpm.r, MATCH(1,('3. Enter Indicator Scores'!$B$10:$B$161=$B147)*('3. Enter Indicator Scores'!$C$10:$C$161=$C147),0),
  _xlpm.c, MATCH(AX$8,'3. Enter Indicator Scores'!$D$8:$CZ$8,0),
  _xlpm.v, IFERROR(INDEX('3. Enter Indicator Scores'!$D$10:$CZ$161,_xlpm.r,_xlpm.c),""),
  IF(OR(_xlpm.w="",_xlpm.v=""),"",_xlpm.v*_xlpm.w)
)</f>
        <v/>
      </c>
      <c r="AY147" s="93" t="str" cm="1">
        <f t="array" ref="AY147">_xlfn.LET(
  _xlpm.w, AY$11,
  _xlpm.r, MATCH(1,('3. Enter Indicator Scores'!$B$10:$B$161=$B147)*('3. Enter Indicator Scores'!$C$10:$C$161=$C147),0),
  _xlpm.c, MATCH(AY$8,'3. Enter Indicator Scores'!$D$8:$CZ$8,0),
  _xlpm.v, IFERROR(INDEX('3. Enter Indicator Scores'!$D$10:$CZ$161,_xlpm.r,_xlpm.c),""),
  IF(OR(_xlpm.w="",_xlpm.v=""),"",_xlpm.v*_xlpm.w)
)</f>
        <v/>
      </c>
      <c r="AZ147" s="93" t="str" cm="1">
        <f t="array" ref="AZ147">_xlfn.LET(
  _xlpm.w, AZ$11,
  _xlpm.r, MATCH(1,('3. Enter Indicator Scores'!$B$10:$B$161=$B147)*('3. Enter Indicator Scores'!$C$10:$C$161=$C147),0),
  _xlpm.c, MATCH(AZ$8,'3. Enter Indicator Scores'!$D$8:$CZ$8,0),
  _xlpm.v, IFERROR(INDEX('3. Enter Indicator Scores'!$D$10:$CZ$161,_xlpm.r,_xlpm.c),""),
  IF(OR(_xlpm.w="",_xlpm.v=""),"",_xlpm.v*_xlpm.w)
)</f>
        <v/>
      </c>
      <c r="BA147" s="93" t="str" cm="1">
        <f t="array" ref="BA147">_xlfn.LET(
  _xlpm.w, BA$11,
  _xlpm.r, MATCH(1,('3. Enter Indicator Scores'!$B$10:$B$161=$B147)*('3. Enter Indicator Scores'!$C$10:$C$161=$C147),0),
  _xlpm.c, MATCH(BA$8,'3. Enter Indicator Scores'!$D$8:$CZ$8,0),
  _xlpm.v, IFERROR(INDEX('3. Enter Indicator Scores'!$D$10:$CZ$161,_xlpm.r,_xlpm.c),""),
  IF(OR(_xlpm.w="",_xlpm.v=""),"",_xlpm.v*_xlpm.w)
)</f>
        <v/>
      </c>
      <c r="BB147" s="93" t="str" cm="1">
        <f t="array" ref="BB147">_xlfn.LET(
  _xlpm.w, BB$11,
  _xlpm.r, MATCH(1,('3. Enter Indicator Scores'!$B$10:$B$161=$B147)*('3. Enter Indicator Scores'!$C$10:$C$161=$C147),0),
  _xlpm.c, MATCH(BB$8,'3. Enter Indicator Scores'!$D$8:$CZ$8,0),
  _xlpm.v, IFERROR(INDEX('3. Enter Indicator Scores'!$D$10:$CZ$161,_xlpm.r,_xlpm.c),""),
  IF(OR(_xlpm.w="",_xlpm.v=""),"",_xlpm.v*_xlpm.w)
)</f>
        <v/>
      </c>
      <c r="BC147" s="93" t="str" cm="1">
        <f t="array" ref="BC147">_xlfn.LET(
  _xlpm.w, BC$11,
  _xlpm.r, MATCH(1,('3. Enter Indicator Scores'!$B$10:$B$161=$B147)*('3. Enter Indicator Scores'!$C$10:$C$161=$C147),0),
  _xlpm.c, MATCH(BC$8,'3. Enter Indicator Scores'!$D$8:$CZ$8,0),
  _xlpm.v, IFERROR(INDEX('3. Enter Indicator Scores'!$D$10:$CZ$161,_xlpm.r,_xlpm.c),""),
  IF(OR(_xlpm.w="",_xlpm.v=""),"",_xlpm.v*_xlpm.w)
)</f>
        <v/>
      </c>
      <c r="BD147" s="93" t="str" cm="1">
        <f t="array" ref="BD147">_xlfn.LET(
  _xlpm.w, BD$11,
  _xlpm.r, MATCH(1,('3. Enter Indicator Scores'!$B$10:$B$161=$B147)*('3. Enter Indicator Scores'!$C$10:$C$161=$C147),0),
  _xlpm.c, MATCH(BD$8,'3. Enter Indicator Scores'!$D$8:$CZ$8,0),
  _xlpm.v, IFERROR(INDEX('3. Enter Indicator Scores'!$D$10:$CZ$161,_xlpm.r,_xlpm.c),""),
  IF(OR(_xlpm.w="",_xlpm.v=""),"",_xlpm.v*_xlpm.w)
)</f>
        <v/>
      </c>
      <c r="BE147" s="93" t="str" cm="1">
        <f t="array" ref="BE147">_xlfn.LET(
  _xlpm.w, BE$11,
  _xlpm.r, MATCH(1,('3. Enter Indicator Scores'!$B$10:$B$161=$B147)*('3. Enter Indicator Scores'!$C$10:$C$161=$C147),0),
  _xlpm.c, MATCH(BE$8,'3. Enter Indicator Scores'!$D$8:$CZ$8,0),
  _xlpm.v, IFERROR(INDEX('3. Enter Indicator Scores'!$D$10:$CZ$161,_xlpm.r,_xlpm.c),""),
  IF(OR(_xlpm.w="",_xlpm.v=""),"",_xlpm.v*_xlpm.w)
)</f>
        <v/>
      </c>
      <c r="BF147" s="93" t="str" cm="1">
        <f t="array" ref="BF147">_xlfn.LET(
  _xlpm.w, BF$11,
  _xlpm.r, MATCH(1,('3. Enter Indicator Scores'!$B$10:$B$161=$B147)*('3. Enter Indicator Scores'!$C$10:$C$161=$C147),0),
  _xlpm.c, MATCH(BF$8,'3. Enter Indicator Scores'!$D$8:$CZ$8,0),
  _xlpm.v, IFERROR(INDEX('3. Enter Indicator Scores'!$D$10:$CZ$161,_xlpm.r,_xlpm.c),""),
  IF(OR(_xlpm.w="",_xlpm.v=""),"",_xlpm.v*_xlpm.w)
)</f>
        <v/>
      </c>
      <c r="BG147" s="93" t="str" cm="1">
        <f t="array" ref="BG147">_xlfn.LET(
  _xlpm.w, BG$11,
  _xlpm.r, MATCH(1,('3. Enter Indicator Scores'!$B$10:$B$161=$B147)*('3. Enter Indicator Scores'!$C$10:$C$161=$C147),0),
  _xlpm.c, MATCH(BG$8,'3. Enter Indicator Scores'!$D$8:$CZ$8,0),
  _xlpm.v, IFERROR(INDEX('3. Enter Indicator Scores'!$D$10:$CZ$161,_xlpm.r,_xlpm.c),""),
  IF(OR(_xlpm.w="",_xlpm.v=""),"",_xlpm.v*_xlpm.w)
)</f>
        <v/>
      </c>
      <c r="BH147" s="93" t="str" cm="1">
        <f t="array" ref="BH147">_xlfn.LET(
  _xlpm.w, BH$11,
  _xlpm.r, MATCH(1,('3. Enter Indicator Scores'!$B$10:$B$161=$B147)*('3. Enter Indicator Scores'!$C$10:$C$161=$C147),0),
  _xlpm.c, MATCH(BH$8,'3. Enter Indicator Scores'!$D$8:$CZ$8,0),
  _xlpm.v, IFERROR(INDEX('3. Enter Indicator Scores'!$D$10:$CZ$161,_xlpm.r,_xlpm.c),""),
  IF(OR(_xlpm.w="",_xlpm.v=""),"",_xlpm.v*_xlpm.w)
)</f>
        <v/>
      </c>
      <c r="BI147" s="93" t="str" cm="1">
        <f t="array" ref="BI147">_xlfn.LET(
  _xlpm.w, BI$11,
  _xlpm.r, MATCH(1,('3. Enter Indicator Scores'!$B$10:$B$161=$B147)*('3. Enter Indicator Scores'!$C$10:$C$161=$C147),0),
  _xlpm.c, MATCH(BI$8,'3. Enter Indicator Scores'!$D$8:$CZ$8,0),
  _xlpm.v, IFERROR(INDEX('3. Enter Indicator Scores'!$D$10:$CZ$161,_xlpm.r,_xlpm.c),""),
  IF(OR(_xlpm.w="",_xlpm.v=""),"",_xlpm.v*_xlpm.w)
)</f>
        <v/>
      </c>
      <c r="BJ147" s="93" t="str" cm="1">
        <f t="array" ref="BJ147">_xlfn.LET(
  _xlpm.w, BJ$11,
  _xlpm.r, MATCH(1,('3. Enter Indicator Scores'!$B$10:$B$161=$B147)*('3. Enter Indicator Scores'!$C$10:$C$161=$C147),0),
  _xlpm.c, MATCH(BJ$8,'3. Enter Indicator Scores'!$D$8:$CZ$8,0),
  _xlpm.v, IFERROR(INDEX('3. Enter Indicator Scores'!$D$10:$CZ$161,_xlpm.r,_xlpm.c),""),
  IF(OR(_xlpm.w="",_xlpm.v=""),"",_xlpm.v*_xlpm.w)
)</f>
        <v/>
      </c>
      <c r="BK147" s="93" t="str" cm="1">
        <f t="array" ref="BK147">_xlfn.LET(
  _xlpm.w, BK$11,
  _xlpm.r, MATCH(1,('3. Enter Indicator Scores'!$B$10:$B$161=$B147)*('3. Enter Indicator Scores'!$C$10:$C$161=$C147),0),
  _xlpm.c, MATCH(BK$8,'3. Enter Indicator Scores'!$D$8:$CZ$8,0),
  _xlpm.v, IFERROR(INDEX('3. Enter Indicator Scores'!$D$10:$CZ$161,_xlpm.r,_xlpm.c),""),
  IF(OR(_xlpm.w="",_xlpm.v=""),"",_xlpm.v*_xlpm.w)
)</f>
        <v/>
      </c>
      <c r="BL147" s="93" t="str" cm="1">
        <f t="array" ref="BL147">_xlfn.LET(
  _xlpm.w, BL$11,
  _xlpm.r, MATCH(1,('3. Enter Indicator Scores'!$B$10:$B$161=$B147)*('3. Enter Indicator Scores'!$C$10:$C$161=$C147),0),
  _xlpm.c, MATCH(BL$8,'3. Enter Indicator Scores'!$D$8:$CZ$8,0),
  _xlpm.v, IFERROR(INDEX('3. Enter Indicator Scores'!$D$10:$CZ$161,_xlpm.r,_xlpm.c),""),
  IF(OR(_xlpm.w="",_xlpm.v=""),"",_xlpm.v*_xlpm.w)
)</f>
        <v/>
      </c>
      <c r="BM147" s="93" t="str" cm="1">
        <f t="array" ref="BM147">_xlfn.LET(
  _xlpm.w, BM$11,
  _xlpm.r, MATCH(1,('3. Enter Indicator Scores'!$B$10:$B$161=$B147)*('3. Enter Indicator Scores'!$C$10:$C$161=$C147),0),
  _xlpm.c, MATCH(BM$8,'3. Enter Indicator Scores'!$D$8:$CZ$8,0),
  _xlpm.v, IFERROR(INDEX('3. Enter Indicator Scores'!$D$10:$CZ$161,_xlpm.r,_xlpm.c),""),
  IF(OR(_xlpm.w="",_xlpm.v=""),"",_xlpm.v*_xlpm.w)
)</f>
        <v/>
      </c>
      <c r="BN147" s="93" t="str" cm="1">
        <f t="array" ref="BN147">_xlfn.LET(
  _xlpm.w, BN$11,
  _xlpm.r, MATCH(1,('3. Enter Indicator Scores'!$B$10:$B$161=$B147)*('3. Enter Indicator Scores'!$C$10:$C$161=$C147),0),
  _xlpm.c, MATCH(BN$8,'3. Enter Indicator Scores'!$D$8:$CZ$8,0),
  _xlpm.v, IFERROR(INDEX('3. Enter Indicator Scores'!$D$10:$CZ$161,_xlpm.r,_xlpm.c),""),
  IF(OR(_xlpm.w="",_xlpm.v=""),"",_xlpm.v*_xlpm.w)
)</f>
        <v/>
      </c>
      <c r="BO147" s="93" t="str" cm="1">
        <f t="array" ref="BO147">_xlfn.LET(
  _xlpm.w, BO$11,
  _xlpm.r, MATCH(1,('3. Enter Indicator Scores'!$B$10:$B$161=$B147)*('3. Enter Indicator Scores'!$C$10:$C$161=$C147),0),
  _xlpm.c, MATCH(BO$8,'3. Enter Indicator Scores'!$D$8:$CZ$8,0),
  _xlpm.v, IFERROR(INDEX('3. Enter Indicator Scores'!$D$10:$CZ$161,_xlpm.r,_xlpm.c),""),
  IF(OR(_xlpm.w="",_xlpm.v=""),"",_xlpm.v*_xlpm.w)
)</f>
        <v/>
      </c>
      <c r="BP147" s="93" t="str" cm="1">
        <f t="array" ref="BP147">_xlfn.LET(
  _xlpm.w, BP$11,
  _xlpm.r, MATCH(1,('3. Enter Indicator Scores'!$B$10:$B$161=$B147)*('3. Enter Indicator Scores'!$C$10:$C$161=$C147),0),
  _xlpm.c, MATCH(BP$8,'3. Enter Indicator Scores'!$D$8:$CZ$8,0),
  _xlpm.v, IFERROR(INDEX('3. Enter Indicator Scores'!$D$10:$CZ$161,_xlpm.r,_xlpm.c),""),
  IF(OR(_xlpm.w="",_xlpm.v=""),"",_xlpm.v*_xlpm.w)
)</f>
        <v/>
      </c>
      <c r="BQ147" s="93" t="str" cm="1">
        <f t="array" ref="BQ147">_xlfn.LET(
  _xlpm.w, BQ$11,
  _xlpm.r, MATCH(1,('3. Enter Indicator Scores'!$B$10:$B$161=$B147)*('3. Enter Indicator Scores'!$C$10:$C$161=$C147),0),
  _xlpm.c, MATCH(BQ$8,'3. Enter Indicator Scores'!$D$8:$CZ$8,0),
  _xlpm.v, IFERROR(INDEX('3. Enter Indicator Scores'!$D$10:$CZ$161,_xlpm.r,_xlpm.c),""),
  IF(OR(_xlpm.w="",_xlpm.v=""),"",_xlpm.v*_xlpm.w)
)</f>
        <v/>
      </c>
      <c r="BR147" s="93" t="str" cm="1">
        <f t="array" ref="BR147">_xlfn.LET(
  _xlpm.w, BR$11,
  _xlpm.r, MATCH(1,('3. Enter Indicator Scores'!$B$10:$B$161=$B147)*('3. Enter Indicator Scores'!$C$10:$C$161=$C147),0),
  _xlpm.c, MATCH(BR$8,'3. Enter Indicator Scores'!$D$8:$CZ$8,0),
  _xlpm.v, IFERROR(INDEX('3. Enter Indicator Scores'!$D$10:$CZ$161,_xlpm.r,_xlpm.c),""),
  IF(OR(_xlpm.w="",_xlpm.v=""),"",_xlpm.v*_xlpm.w)
)</f>
        <v/>
      </c>
      <c r="BS147" s="93" t="str" cm="1">
        <f t="array" ref="BS147">_xlfn.LET(
  _xlpm.w, BS$11,
  _xlpm.r, MATCH(1,('3. Enter Indicator Scores'!$B$10:$B$161=$B147)*('3. Enter Indicator Scores'!$C$10:$C$161=$C147),0),
  _xlpm.c, MATCH(BS$8,'3. Enter Indicator Scores'!$D$8:$CZ$8,0),
  _xlpm.v, IFERROR(INDEX('3. Enter Indicator Scores'!$D$10:$CZ$161,_xlpm.r,_xlpm.c),""),
  IF(OR(_xlpm.w="",_xlpm.v=""),"",_xlpm.v*_xlpm.w)
)</f>
        <v/>
      </c>
      <c r="BT147" s="93" t="str" cm="1">
        <f t="array" ref="BT147">_xlfn.LET(
  _xlpm.w, BT$11,
  _xlpm.r, MATCH(1,('3. Enter Indicator Scores'!$B$10:$B$161=$B147)*('3. Enter Indicator Scores'!$C$10:$C$161=$C147),0),
  _xlpm.c, MATCH(BT$8,'3. Enter Indicator Scores'!$D$8:$CZ$8,0),
  _xlpm.v, IFERROR(INDEX('3. Enter Indicator Scores'!$D$10:$CZ$161,_xlpm.r,_xlpm.c),""),
  IF(OR(_xlpm.w="",_xlpm.v=""),"",_xlpm.v*_xlpm.w)
)</f>
        <v/>
      </c>
      <c r="BU147" s="93" t="str" cm="1">
        <f t="array" ref="BU147">_xlfn.LET(
  _xlpm.w, BU$11,
  _xlpm.r, MATCH(1,('3. Enter Indicator Scores'!$B$10:$B$161=$B147)*('3. Enter Indicator Scores'!$C$10:$C$161=$C147),0),
  _xlpm.c, MATCH(BU$8,'3. Enter Indicator Scores'!$D$8:$CZ$8,0),
  _xlpm.v, IFERROR(INDEX('3. Enter Indicator Scores'!$D$10:$CZ$161,_xlpm.r,_xlpm.c),""),
  IF(OR(_xlpm.w="",_xlpm.v=""),"",_xlpm.v*_xlpm.w)
)</f>
        <v/>
      </c>
      <c r="BV147" s="93" t="str" cm="1">
        <f t="array" ref="BV147">_xlfn.LET(
  _xlpm.w, BV$11,
  _xlpm.r, MATCH(1,('3. Enter Indicator Scores'!$B$10:$B$161=$B147)*('3. Enter Indicator Scores'!$C$10:$C$161=$C147),0),
  _xlpm.c, MATCH(BV$8,'3. Enter Indicator Scores'!$D$8:$CZ$8,0),
  _xlpm.v, IFERROR(INDEX('3. Enter Indicator Scores'!$D$10:$CZ$161,_xlpm.r,_xlpm.c),""),
  IF(OR(_xlpm.w="",_xlpm.v=""),"",_xlpm.v*_xlpm.w)
)</f>
        <v/>
      </c>
      <c r="BW147" s="93" t="str" cm="1">
        <f t="array" ref="BW147">_xlfn.LET(
  _xlpm.w, BW$11,
  _xlpm.r, MATCH(1,('3. Enter Indicator Scores'!$B$10:$B$161=$B147)*('3. Enter Indicator Scores'!$C$10:$C$161=$C147),0),
  _xlpm.c, MATCH(BW$8,'3. Enter Indicator Scores'!$D$8:$CZ$8,0),
  _xlpm.v, IFERROR(INDEX('3. Enter Indicator Scores'!$D$10:$CZ$161,_xlpm.r,_xlpm.c),""),
  IF(OR(_xlpm.w="",_xlpm.v=""),"",_xlpm.v*_xlpm.w)
)</f>
        <v/>
      </c>
      <c r="BX147" s="93" t="str" cm="1">
        <f t="array" ref="BX147">_xlfn.LET(
  _xlpm.w, BX$11,
  _xlpm.r, MATCH(1,('3. Enter Indicator Scores'!$B$10:$B$161=$B147)*('3. Enter Indicator Scores'!$C$10:$C$161=$C147),0),
  _xlpm.c, MATCH(BX$8,'3. Enter Indicator Scores'!$D$8:$CZ$8,0),
  _xlpm.v, IFERROR(INDEX('3. Enter Indicator Scores'!$D$10:$CZ$161,_xlpm.r,_xlpm.c),""),
  IF(OR(_xlpm.w="",_xlpm.v=""),"",_xlpm.v*_xlpm.w)
)</f>
        <v/>
      </c>
      <c r="BY147" s="93" t="str" cm="1">
        <f t="array" ref="BY147">_xlfn.LET(
  _xlpm.w, BY$11,
  _xlpm.r, MATCH(1,('3. Enter Indicator Scores'!$B$10:$B$161=$B147)*('3. Enter Indicator Scores'!$C$10:$C$161=$C147),0),
  _xlpm.c, MATCH(BY$8,'3. Enter Indicator Scores'!$D$8:$CZ$8,0),
  _xlpm.v, IFERROR(INDEX('3. Enter Indicator Scores'!$D$10:$CZ$161,_xlpm.r,_xlpm.c),""),
  IF(OR(_xlpm.w="",_xlpm.v=""),"",_xlpm.v*_xlpm.w)
)</f>
        <v/>
      </c>
      <c r="BZ147" s="93" t="str" cm="1">
        <f t="array" ref="BZ147">_xlfn.LET(
  _xlpm.w, BZ$11,
  _xlpm.r, MATCH(1,('3. Enter Indicator Scores'!$B$10:$B$161=$B147)*('3. Enter Indicator Scores'!$C$10:$C$161=$C147),0),
  _xlpm.c, MATCH(BZ$8,'3. Enter Indicator Scores'!$D$8:$CZ$8,0),
  _xlpm.v, IFERROR(INDEX('3. Enter Indicator Scores'!$D$10:$CZ$161,_xlpm.r,_xlpm.c),""),
  IF(OR(_xlpm.w="",_xlpm.v=""),"",_xlpm.v*_xlpm.w)
)</f>
        <v/>
      </c>
      <c r="CA147" s="93" t="str" cm="1">
        <f t="array" ref="CA147">_xlfn.LET(
  _xlpm.w, CA$11,
  _xlpm.r, MATCH(1,('3. Enter Indicator Scores'!$B$10:$B$161=$B147)*('3. Enter Indicator Scores'!$C$10:$C$161=$C147),0),
  _xlpm.c, MATCH(CA$8,'3. Enter Indicator Scores'!$D$8:$CZ$8,0),
  _xlpm.v, IFERROR(INDEX('3. Enter Indicator Scores'!$D$10:$CZ$161,_xlpm.r,_xlpm.c),""),
  IF(OR(_xlpm.w="",_xlpm.v=""),"",_xlpm.v*_xlpm.w)
)</f>
        <v/>
      </c>
      <c r="CB147" s="93" t="str" cm="1">
        <f t="array" ref="CB147">_xlfn.LET(
  _xlpm.w, CB$11,
  _xlpm.r, MATCH(1,('3. Enter Indicator Scores'!$B$10:$B$161=$B147)*('3. Enter Indicator Scores'!$C$10:$C$161=$C147),0),
  _xlpm.c, MATCH(CB$8,'3. Enter Indicator Scores'!$D$8:$CZ$8,0),
  _xlpm.v, IFERROR(INDEX('3. Enter Indicator Scores'!$D$10:$CZ$161,_xlpm.r,_xlpm.c),""),
  IF(OR(_xlpm.w="",_xlpm.v=""),"",_xlpm.v*_xlpm.w)
)</f>
        <v/>
      </c>
      <c r="CC147" s="93" t="str" cm="1">
        <f t="array" ref="CC147">_xlfn.LET(
  _xlpm.w, CC$11,
  _xlpm.r, MATCH(1,('3. Enter Indicator Scores'!$B$10:$B$161=$B147)*('3. Enter Indicator Scores'!$C$10:$C$161=$C147),0),
  _xlpm.c, MATCH(CC$8,'3. Enter Indicator Scores'!$D$8:$CZ$8,0),
  _xlpm.v, IFERROR(INDEX('3. Enter Indicator Scores'!$D$10:$CZ$161,_xlpm.r,_xlpm.c),""),
  IF(OR(_xlpm.w="",_xlpm.v=""),"",_xlpm.v*_xlpm.w)
)</f>
        <v/>
      </c>
      <c r="CD147" s="93" t="str" cm="1">
        <f t="array" ref="CD147">_xlfn.LET(
  _xlpm.w, CD$11,
  _xlpm.r, MATCH(1,('3. Enter Indicator Scores'!$B$10:$B$161=$B147)*('3. Enter Indicator Scores'!$C$10:$C$161=$C147),0),
  _xlpm.c, MATCH(CD$8,'3. Enter Indicator Scores'!$D$8:$CZ$8,0),
  _xlpm.v, IFERROR(INDEX('3. Enter Indicator Scores'!$D$10:$CZ$161,_xlpm.r,_xlpm.c),""),
  IF(OR(_xlpm.w="",_xlpm.v=""),"",_xlpm.v*_xlpm.w)
)</f>
        <v/>
      </c>
      <c r="CE147" s="93" t="str" cm="1">
        <f t="array" ref="CE147">_xlfn.LET(
  _xlpm.w, CE$11,
  _xlpm.r, MATCH(1,('3. Enter Indicator Scores'!$B$10:$B$161=$B147)*('3. Enter Indicator Scores'!$C$10:$C$161=$C147),0),
  _xlpm.c, MATCH(CE$8,'3. Enter Indicator Scores'!$D$8:$CZ$8,0),
  _xlpm.v, IFERROR(INDEX('3. Enter Indicator Scores'!$D$10:$CZ$161,_xlpm.r,_xlpm.c),""),
  IF(OR(_xlpm.w="",_xlpm.v=""),"",_xlpm.v*_xlpm.w)
)</f>
        <v/>
      </c>
      <c r="CF147" s="93" t="str" cm="1">
        <f t="array" ref="CF147">_xlfn.LET(
  _xlpm.w, CF$11,
  _xlpm.r, MATCH(1,('3. Enter Indicator Scores'!$B$10:$B$161=$B147)*('3. Enter Indicator Scores'!$C$10:$C$161=$C147),0),
  _xlpm.c, MATCH(CF$8,'3. Enter Indicator Scores'!$D$8:$CZ$8,0),
  _xlpm.v, IFERROR(INDEX('3. Enter Indicator Scores'!$D$10:$CZ$161,_xlpm.r,_xlpm.c),""),
  IF(OR(_xlpm.w="",_xlpm.v=""),"",_xlpm.v*_xlpm.w)
)</f>
        <v/>
      </c>
      <c r="CG147" s="93" t="str" cm="1">
        <f t="array" ref="CG147">_xlfn.LET(
  _xlpm.w, CG$11,
  _xlpm.r, MATCH(1,('3. Enter Indicator Scores'!$B$10:$B$161=$B147)*('3. Enter Indicator Scores'!$C$10:$C$161=$C147),0),
  _xlpm.c, MATCH(CG$8,'3. Enter Indicator Scores'!$D$8:$CZ$8,0),
  _xlpm.v, IFERROR(INDEX('3. Enter Indicator Scores'!$D$10:$CZ$161,_xlpm.r,_xlpm.c),""),
  IF(OR(_xlpm.w="",_xlpm.v=""),"",_xlpm.v*_xlpm.w)
)</f>
        <v/>
      </c>
      <c r="CH147" s="93" t="str" cm="1">
        <f t="array" ref="CH147">_xlfn.LET(
  _xlpm.w, CH$11,
  _xlpm.r, MATCH(1,('3. Enter Indicator Scores'!$B$10:$B$161=$B147)*('3. Enter Indicator Scores'!$C$10:$C$161=$C147),0),
  _xlpm.c, MATCH(CH$8,'3. Enter Indicator Scores'!$D$8:$CZ$8,0),
  _xlpm.v, IFERROR(INDEX('3. Enter Indicator Scores'!$D$10:$CZ$161,_xlpm.r,_xlpm.c),""),
  IF(OR(_xlpm.w="",_xlpm.v=""),"",_xlpm.v*_xlpm.w)
)</f>
        <v/>
      </c>
      <c r="CI147" s="93" t="str" cm="1">
        <f t="array" ref="CI147">_xlfn.LET(
  _xlpm.w, CI$11,
  _xlpm.r, MATCH(1,('3. Enter Indicator Scores'!$B$10:$B$161=$B147)*('3. Enter Indicator Scores'!$C$10:$C$161=$C147),0),
  _xlpm.c, MATCH(CI$8,'3. Enter Indicator Scores'!$D$8:$CZ$8,0),
  _xlpm.v, IFERROR(INDEX('3. Enter Indicator Scores'!$D$10:$CZ$161,_xlpm.r,_xlpm.c),""),
  IF(OR(_xlpm.w="",_xlpm.v=""),"",_xlpm.v*_xlpm.w)
)</f>
        <v/>
      </c>
      <c r="CJ147" s="93" t="str" cm="1">
        <f t="array" ref="CJ147">_xlfn.LET(
  _xlpm.w, CJ$11,
  _xlpm.r, MATCH(1,('3. Enter Indicator Scores'!$B$10:$B$161=$B147)*('3. Enter Indicator Scores'!$C$10:$C$161=$C147),0),
  _xlpm.c, MATCH(CJ$8,'3. Enter Indicator Scores'!$D$8:$CZ$8,0),
  _xlpm.v, IFERROR(INDEX('3. Enter Indicator Scores'!$D$10:$CZ$161,_xlpm.r,_xlpm.c),""),
  IF(OR(_xlpm.w="",_xlpm.v=""),"",_xlpm.v*_xlpm.w)
)</f>
        <v/>
      </c>
      <c r="CK147" s="93" t="str" cm="1">
        <f t="array" ref="CK147">_xlfn.LET(
  _xlpm.w, CK$11,
  _xlpm.r, MATCH(1,('3. Enter Indicator Scores'!$B$10:$B$161=$B147)*('3. Enter Indicator Scores'!$C$10:$C$161=$C147),0),
  _xlpm.c, MATCH(CK$8,'3. Enter Indicator Scores'!$D$8:$CZ$8,0),
  _xlpm.v, IFERROR(INDEX('3. Enter Indicator Scores'!$D$10:$CZ$161,_xlpm.r,_xlpm.c),""),
  IF(OR(_xlpm.w="",_xlpm.v=""),"",_xlpm.v*_xlpm.w)
)</f>
        <v/>
      </c>
      <c r="CL147" s="93" t="str" cm="1">
        <f t="array" ref="CL147">_xlfn.LET(
  _xlpm.w, CL$11,
  _xlpm.r, MATCH(1,('3. Enter Indicator Scores'!$B$10:$B$161=$B147)*('3. Enter Indicator Scores'!$C$10:$C$161=$C147),0),
  _xlpm.c, MATCH(CL$8,'3. Enter Indicator Scores'!$D$8:$CZ$8,0),
  _xlpm.v, IFERROR(INDEX('3. Enter Indicator Scores'!$D$10:$CZ$161,_xlpm.r,_xlpm.c),""),
  IF(OR(_xlpm.w="",_xlpm.v=""),"",_xlpm.v*_xlpm.w)
)</f>
        <v/>
      </c>
      <c r="CM147" s="93" t="str" cm="1">
        <f t="array" ref="CM147">_xlfn.LET(
  _xlpm.w, CM$11,
  _xlpm.r, MATCH(1,('3. Enter Indicator Scores'!$B$10:$B$161=$B147)*('3. Enter Indicator Scores'!$C$10:$C$161=$C147),0),
  _xlpm.c, MATCH(CM$8,'3. Enter Indicator Scores'!$D$8:$CZ$8,0),
  _xlpm.v, IFERROR(INDEX('3. Enter Indicator Scores'!$D$10:$CZ$161,_xlpm.r,_xlpm.c),""),
  IF(OR(_xlpm.w="",_xlpm.v=""),"",_xlpm.v*_xlpm.w)
)</f>
        <v/>
      </c>
      <c r="CN147" s="93" t="str" cm="1">
        <f t="array" ref="CN147">_xlfn.LET(
  _xlpm.w, CN$11,
  _xlpm.r, MATCH(1,('3. Enter Indicator Scores'!$B$10:$B$161=$B147)*('3. Enter Indicator Scores'!$C$10:$C$161=$C147),0),
  _xlpm.c, MATCH(CN$8,'3. Enter Indicator Scores'!$D$8:$CZ$8,0),
  _xlpm.v, IFERROR(INDEX('3. Enter Indicator Scores'!$D$10:$CZ$161,_xlpm.r,_xlpm.c),""),
  IF(OR(_xlpm.w="",_xlpm.v=""),"",_xlpm.v*_xlpm.w)
)</f>
        <v/>
      </c>
      <c r="CO147" s="93" t="str" cm="1">
        <f t="array" ref="CO147">_xlfn.LET(
  _xlpm.w, CO$11,
  _xlpm.r, MATCH(1,('3. Enter Indicator Scores'!$B$10:$B$161=$B147)*('3. Enter Indicator Scores'!$C$10:$C$161=$C147),0),
  _xlpm.c, MATCH(CO$8,'3. Enter Indicator Scores'!$D$8:$CZ$8,0),
  _xlpm.v, IFERROR(INDEX('3. Enter Indicator Scores'!$D$10:$CZ$161,_xlpm.r,_xlpm.c),""),
  IF(OR(_xlpm.w="",_xlpm.v=""),"",_xlpm.v*_xlpm.w)
)</f>
        <v/>
      </c>
      <c r="CP147" s="93" t="str" cm="1">
        <f t="array" ref="CP147">_xlfn.LET(
  _xlpm.w, CP$11,
  _xlpm.r, MATCH(1,('3. Enter Indicator Scores'!$B$10:$B$161=$B147)*('3. Enter Indicator Scores'!$C$10:$C$161=$C147),0),
  _xlpm.c, MATCH(CP$8,'3. Enter Indicator Scores'!$D$8:$CZ$8,0),
  _xlpm.v, IFERROR(INDEX('3. Enter Indicator Scores'!$D$10:$CZ$161,_xlpm.r,_xlpm.c),""),
  IF(OR(_xlpm.w="",_xlpm.v=""),"",_xlpm.v*_xlpm.w)
)</f>
        <v/>
      </c>
      <c r="CQ147" s="93" t="str" cm="1">
        <f t="array" ref="CQ147">_xlfn.LET(
  _xlpm.w, CQ$11,
  _xlpm.r, MATCH(1,('3. Enter Indicator Scores'!$B$10:$B$161=$B147)*('3. Enter Indicator Scores'!$C$10:$C$161=$C147),0),
  _xlpm.c, MATCH(CQ$8,'3. Enter Indicator Scores'!$D$8:$CZ$8,0),
  _xlpm.v, IFERROR(INDEX('3. Enter Indicator Scores'!$D$10:$CZ$161,_xlpm.r,_xlpm.c),""),
  IF(OR(_xlpm.w="",_xlpm.v=""),"",_xlpm.v*_xlpm.w)
)</f>
        <v/>
      </c>
      <c r="CR147" s="93" t="str" cm="1">
        <f t="array" ref="CR147">_xlfn.LET(
  _xlpm.w, CR$11,
  _xlpm.r, MATCH(1,('3. Enter Indicator Scores'!$B$10:$B$161=$B147)*('3. Enter Indicator Scores'!$C$10:$C$161=$C147),0),
  _xlpm.c, MATCH(CR$8,'3. Enter Indicator Scores'!$D$8:$CZ$8,0),
  _xlpm.v, IFERROR(INDEX('3. Enter Indicator Scores'!$D$10:$CZ$161,_xlpm.r,_xlpm.c),""),
  IF(OR(_xlpm.w="",_xlpm.v=""),"",_xlpm.v*_xlpm.w)
)</f>
        <v/>
      </c>
      <c r="CS147" s="93" t="str" cm="1">
        <f t="array" ref="CS147">_xlfn.LET(
  _xlpm.w, CS$11,
  _xlpm.r, MATCH(1,('3. Enter Indicator Scores'!$B$10:$B$161=$B147)*('3. Enter Indicator Scores'!$C$10:$C$161=$C147),0),
  _xlpm.c, MATCH(CS$8,'3. Enter Indicator Scores'!$D$8:$CZ$8,0),
  _xlpm.v, IFERROR(INDEX('3. Enter Indicator Scores'!$D$10:$CZ$161,_xlpm.r,_xlpm.c),""),
  IF(OR(_xlpm.w="",_xlpm.v=""),"",_xlpm.v*_xlpm.w)
)</f>
        <v/>
      </c>
      <c r="CT147" s="93" t="str" cm="1">
        <f t="array" ref="CT147">_xlfn.LET(
  _xlpm.w, CT$11,
  _xlpm.r, MATCH(1,('3. Enter Indicator Scores'!$B$10:$B$161=$B147)*('3. Enter Indicator Scores'!$C$10:$C$161=$C147),0),
  _xlpm.c, MATCH(CT$8,'3. Enter Indicator Scores'!$D$8:$CZ$8,0),
  _xlpm.v, IFERROR(INDEX('3. Enter Indicator Scores'!$D$10:$CZ$161,_xlpm.r,_xlpm.c),""),
  IF(OR(_xlpm.w="",_xlpm.v=""),"",_xlpm.v*_xlpm.w)
)</f>
        <v/>
      </c>
      <c r="CU147" s="93" t="str" cm="1">
        <f t="array" ref="CU147">_xlfn.LET(
  _xlpm.w, CU$11,
  _xlpm.r, MATCH(1,('3. Enter Indicator Scores'!$B$10:$B$161=$B147)*('3. Enter Indicator Scores'!$C$10:$C$161=$C147),0),
  _xlpm.c, MATCH(CU$8,'3. Enter Indicator Scores'!$D$8:$CZ$8,0),
  _xlpm.v, IFERROR(INDEX('3. Enter Indicator Scores'!$D$10:$CZ$161,_xlpm.r,_xlpm.c),""),
  IF(OR(_xlpm.w="",_xlpm.v=""),"",_xlpm.v*_xlpm.w)
)</f>
        <v/>
      </c>
      <c r="CV147" s="93" t="str" cm="1">
        <f t="array" ref="CV147">_xlfn.LET(
  _xlpm.w, CV$11,
  _xlpm.r, MATCH(1,('3. Enter Indicator Scores'!$B$10:$B$161=$B147)*('3. Enter Indicator Scores'!$C$10:$C$161=$C147),0),
  _xlpm.c, MATCH(CV$8,'3. Enter Indicator Scores'!$D$8:$CZ$8,0),
  _xlpm.v, IFERROR(INDEX('3. Enter Indicator Scores'!$D$10:$CZ$161,_xlpm.r,_xlpm.c),""),
  IF(OR(_xlpm.w="",_xlpm.v=""),"",_xlpm.v*_xlpm.w)
)</f>
        <v/>
      </c>
      <c r="CW147" s="93" t="str" cm="1">
        <f t="array" ref="CW147">_xlfn.LET(
  _xlpm.w, CW$11,
  _xlpm.r, MATCH(1,('3. Enter Indicator Scores'!$B$10:$B$161=$B147)*('3. Enter Indicator Scores'!$C$10:$C$161=$C147),0),
  _xlpm.c, MATCH(CW$8,'3. Enter Indicator Scores'!$D$8:$CZ$8,0),
  _xlpm.v, IFERROR(INDEX('3. Enter Indicator Scores'!$D$10:$CZ$161,_xlpm.r,_xlpm.c),""),
  IF(OR(_xlpm.w="",_xlpm.v=""),"",_xlpm.v*_xlpm.w)
)</f>
        <v/>
      </c>
      <c r="CX147" s="93" t="str" cm="1">
        <f t="array" ref="CX147">_xlfn.LET(
  _xlpm.w, CX$11,
  _xlpm.r, MATCH(1,('3. Enter Indicator Scores'!$B$10:$B$161=$B147)*('3. Enter Indicator Scores'!$C$10:$C$161=$C147),0),
  _xlpm.c, MATCH(CX$8,'3. Enter Indicator Scores'!$D$8:$CZ$8,0),
  _xlpm.v, IFERROR(INDEX('3. Enter Indicator Scores'!$D$10:$CZ$161,_xlpm.r,_xlpm.c),""),
  IF(OR(_xlpm.w="",_xlpm.v=""),"",_xlpm.v*_xlpm.w)
)</f>
        <v/>
      </c>
      <c r="CY147" s="93" t="str" cm="1">
        <f t="array" ref="CY147">_xlfn.LET(
  _xlpm.w, CY$11,
  _xlpm.r, MATCH(1,('3. Enter Indicator Scores'!$B$10:$B$161=$B147)*('3. Enter Indicator Scores'!$C$10:$C$161=$C147),0),
  _xlpm.c, MATCH(CY$8,'3. Enter Indicator Scores'!$D$8:$CZ$8,0),
  _xlpm.v, IFERROR(INDEX('3. Enter Indicator Scores'!$D$10:$CZ$161,_xlpm.r,_xlpm.c),""),
  IF(OR(_xlpm.w="",_xlpm.v=""),"",_xlpm.v*_xlpm.w)
)</f>
        <v/>
      </c>
      <c r="CZ147" s="93" t="str" cm="1">
        <f t="array" ref="CZ147">_xlfn.LET(
  _xlpm.w, CZ$11,
  _xlpm.r, MATCH(1,('3. Enter Indicator Scores'!$B$10:$B$161=$B147)*('3. Enter Indicator Scores'!$C$10:$C$161=$C147),0),
  _xlpm.c, MATCH(CZ$8,'3. Enter Indicator Scores'!$D$8:$CZ$8,0),
  _xlpm.v, IFERROR(INDEX('3. Enter Indicator Scores'!$D$10:$CZ$161,_xlpm.r,_xlpm.c),""),
  IF(OR(_xlpm.w="",_xlpm.v=""),"",_xlpm.v*_xlpm.w)
)</f>
        <v/>
      </c>
    </row>
    <row r="148" spans="4:104" x14ac:dyDescent="0.2">
      <c r="D148" s="93" t="str" cm="1">
        <f t="array" ref="D148">_xlfn.LET(
  _xlpm.w, D$11,
  _xlpm.r, MATCH(1,('3. Enter Indicator Scores'!$B$10:$B$161=$B148)*('3. Enter Indicator Scores'!$C$10:$C$161=$C148),0),
  _xlpm.c, MATCH(D$8,'3. Enter Indicator Scores'!$D$8:$CZ$8,0),
  _xlpm.v, IFERROR(INDEX('3. Enter Indicator Scores'!$D$10:$CZ$161,_xlpm.r,_xlpm.c),""),
  IF(OR(_xlpm.w="",_xlpm.v=""),"",_xlpm.v*_xlpm.w)
)</f>
        <v/>
      </c>
      <c r="E148" s="93" t="str" cm="1">
        <f t="array" ref="E148">_xlfn.LET(
  _xlpm.w, E$11,
  _xlpm.r, MATCH(1,('3. Enter Indicator Scores'!$B$10:$B$161=$B148)*('3. Enter Indicator Scores'!$C$10:$C$161=$C148),0),
  _xlpm.c, MATCH(E$8,'3. Enter Indicator Scores'!$D$8:$CZ$8,0),
  _xlpm.v, IFERROR(INDEX('3. Enter Indicator Scores'!$D$10:$CZ$161,_xlpm.r,_xlpm.c),""),
  IF(OR(_xlpm.w="",_xlpm.v=""),"",_xlpm.v*_xlpm.w)
)</f>
        <v/>
      </c>
      <c r="F148" s="93" t="str" cm="1">
        <f t="array" ref="F148">_xlfn.LET(
  _xlpm.w, F$11,
  _xlpm.r, MATCH(1,('3. Enter Indicator Scores'!$B$10:$B$161=$B148)*('3. Enter Indicator Scores'!$C$10:$C$161=$C148),0),
  _xlpm.c, MATCH(F$8,'3. Enter Indicator Scores'!$D$8:$CZ$8,0),
  _xlpm.v, IFERROR(INDEX('3. Enter Indicator Scores'!$D$10:$CZ$161,_xlpm.r,_xlpm.c),""),
  IF(OR(_xlpm.w="",_xlpm.v=""),"",_xlpm.v*_xlpm.w)
)</f>
        <v/>
      </c>
      <c r="G148" s="93" t="str" cm="1">
        <f t="array" ref="G148">_xlfn.LET(
  _xlpm.w, G$11,
  _xlpm.r, MATCH(1,('3. Enter Indicator Scores'!$B$10:$B$161=$B148)*('3. Enter Indicator Scores'!$C$10:$C$161=$C148),0),
  _xlpm.c, MATCH(G$8,'3. Enter Indicator Scores'!$D$8:$CZ$8,0),
  _xlpm.v, IFERROR(INDEX('3. Enter Indicator Scores'!$D$10:$CZ$161,_xlpm.r,_xlpm.c),""),
  IF(OR(_xlpm.w="",_xlpm.v=""),"",_xlpm.v*_xlpm.w)
)</f>
        <v/>
      </c>
      <c r="H148" s="93" t="str" cm="1">
        <f t="array" ref="H148">_xlfn.LET(
  _xlpm.w, H$11,
  _xlpm.r, MATCH(1,('3. Enter Indicator Scores'!$B$10:$B$161=$B148)*('3. Enter Indicator Scores'!$C$10:$C$161=$C148),0),
  _xlpm.c, MATCH(H$8,'3. Enter Indicator Scores'!$D$8:$CZ$8,0),
  _xlpm.v, IFERROR(INDEX('3. Enter Indicator Scores'!$D$10:$CZ$161,_xlpm.r,_xlpm.c),""),
  IF(OR(_xlpm.w="",_xlpm.v=""),"",_xlpm.v*_xlpm.w)
)</f>
        <v/>
      </c>
      <c r="I148" s="93" t="str" cm="1">
        <f t="array" ref="I148">_xlfn.LET(
  _xlpm.w, I$11,
  _xlpm.r, MATCH(1,('3. Enter Indicator Scores'!$B$10:$B$161=$B148)*('3. Enter Indicator Scores'!$C$10:$C$161=$C148),0),
  _xlpm.c, MATCH(I$8,'3. Enter Indicator Scores'!$D$8:$CZ$8,0),
  _xlpm.v, IFERROR(INDEX('3. Enter Indicator Scores'!$D$10:$CZ$161,_xlpm.r,_xlpm.c),""),
  IF(OR(_xlpm.w="",_xlpm.v=""),"",_xlpm.v*_xlpm.w)
)</f>
        <v/>
      </c>
      <c r="J148" s="93" t="str" cm="1">
        <f t="array" ref="J148">_xlfn.LET(
  _xlpm.w, J$11,
  _xlpm.r, MATCH(1,('3. Enter Indicator Scores'!$B$10:$B$161=$B148)*('3. Enter Indicator Scores'!$C$10:$C$161=$C148),0),
  _xlpm.c, MATCH(J$8,'3. Enter Indicator Scores'!$D$8:$CZ$8,0),
  _xlpm.v, IFERROR(INDEX('3. Enter Indicator Scores'!$D$10:$CZ$161,_xlpm.r,_xlpm.c),""),
  IF(OR(_xlpm.w="",_xlpm.v=""),"",_xlpm.v*_xlpm.w)
)</f>
        <v/>
      </c>
      <c r="K148" s="93" t="str" cm="1">
        <f t="array" ref="K148">_xlfn.LET(
  _xlpm.w, K$11,
  _xlpm.r, MATCH(1,('3. Enter Indicator Scores'!$B$10:$B$161=$B148)*('3. Enter Indicator Scores'!$C$10:$C$161=$C148),0),
  _xlpm.c, MATCH(K$8,'3. Enter Indicator Scores'!$D$8:$CZ$8,0),
  _xlpm.v, IFERROR(INDEX('3. Enter Indicator Scores'!$D$10:$CZ$161,_xlpm.r,_xlpm.c),""),
  IF(OR(_xlpm.w="",_xlpm.v=""),"",_xlpm.v*_xlpm.w)
)</f>
        <v/>
      </c>
      <c r="L148" s="93" t="str" cm="1">
        <f t="array" ref="L148">_xlfn.LET(
  _xlpm.w, L$11,
  _xlpm.r, MATCH(1,('3. Enter Indicator Scores'!$B$10:$B$161=$B148)*('3. Enter Indicator Scores'!$C$10:$C$161=$C148),0),
  _xlpm.c, MATCH(L$8,'3. Enter Indicator Scores'!$D$8:$CZ$8,0),
  _xlpm.v, IFERROR(INDEX('3. Enter Indicator Scores'!$D$10:$CZ$161,_xlpm.r,_xlpm.c),""),
  IF(OR(_xlpm.w="",_xlpm.v=""),"",_xlpm.v*_xlpm.w)
)</f>
        <v/>
      </c>
      <c r="M148" s="93" t="str" cm="1">
        <f t="array" ref="M148">_xlfn.LET(
  _xlpm.w, M$11,
  _xlpm.r, MATCH(1,('3. Enter Indicator Scores'!$B$10:$B$161=$B148)*('3. Enter Indicator Scores'!$C$10:$C$161=$C148),0),
  _xlpm.c, MATCH(M$8,'3. Enter Indicator Scores'!$D$8:$CZ$8,0),
  _xlpm.v, IFERROR(INDEX('3. Enter Indicator Scores'!$D$10:$CZ$161,_xlpm.r,_xlpm.c),""),
  IF(OR(_xlpm.w="",_xlpm.v=""),"",_xlpm.v*_xlpm.w)
)</f>
        <v/>
      </c>
      <c r="N148" s="93" t="str" cm="1">
        <f t="array" ref="N148">_xlfn.LET(
  _xlpm.w, N$11,
  _xlpm.r, MATCH(1,('3. Enter Indicator Scores'!$B$10:$B$161=$B148)*('3. Enter Indicator Scores'!$C$10:$C$161=$C148),0),
  _xlpm.c, MATCH(N$8,'3. Enter Indicator Scores'!$D$8:$CZ$8,0),
  _xlpm.v, IFERROR(INDEX('3. Enter Indicator Scores'!$D$10:$CZ$161,_xlpm.r,_xlpm.c),""),
  IF(OR(_xlpm.w="",_xlpm.v=""),"",_xlpm.v*_xlpm.w)
)</f>
        <v/>
      </c>
      <c r="O148" s="93" t="str" cm="1">
        <f t="array" ref="O148">_xlfn.LET(
  _xlpm.w, O$11,
  _xlpm.r, MATCH(1,('3. Enter Indicator Scores'!$B$10:$B$161=$B148)*('3. Enter Indicator Scores'!$C$10:$C$161=$C148),0),
  _xlpm.c, MATCH(O$8,'3. Enter Indicator Scores'!$D$8:$CZ$8,0),
  _xlpm.v, IFERROR(INDEX('3. Enter Indicator Scores'!$D$10:$CZ$161,_xlpm.r,_xlpm.c),""),
  IF(OR(_xlpm.w="",_xlpm.v=""),"",_xlpm.v*_xlpm.w)
)</f>
        <v/>
      </c>
      <c r="P148" s="93" t="str" cm="1">
        <f t="array" ref="P148">_xlfn.LET(
  _xlpm.w, P$11,
  _xlpm.r, MATCH(1,('3. Enter Indicator Scores'!$B$10:$B$161=$B148)*('3. Enter Indicator Scores'!$C$10:$C$161=$C148),0),
  _xlpm.c, MATCH(P$8,'3. Enter Indicator Scores'!$D$8:$CZ$8,0),
  _xlpm.v, IFERROR(INDEX('3. Enter Indicator Scores'!$D$10:$CZ$161,_xlpm.r,_xlpm.c),""),
  IF(OR(_xlpm.w="",_xlpm.v=""),"",_xlpm.v*_xlpm.w)
)</f>
        <v/>
      </c>
      <c r="Q148" s="93" t="str" cm="1">
        <f t="array" ref="Q148">_xlfn.LET(
  _xlpm.w, Q$11,
  _xlpm.r, MATCH(1,('3. Enter Indicator Scores'!$B$10:$B$161=$B148)*('3. Enter Indicator Scores'!$C$10:$C$161=$C148),0),
  _xlpm.c, MATCH(Q$8,'3. Enter Indicator Scores'!$D$8:$CZ$8,0),
  _xlpm.v, IFERROR(INDEX('3. Enter Indicator Scores'!$D$10:$CZ$161,_xlpm.r,_xlpm.c),""),
  IF(OR(_xlpm.w="",_xlpm.v=""),"",_xlpm.v*_xlpm.w)
)</f>
        <v/>
      </c>
      <c r="R148" s="93" t="str" cm="1">
        <f t="array" ref="R148">_xlfn.LET(
  _xlpm.w, R$11,
  _xlpm.r, MATCH(1,('3. Enter Indicator Scores'!$B$10:$B$161=$B148)*('3. Enter Indicator Scores'!$C$10:$C$161=$C148),0),
  _xlpm.c, MATCH(R$8,'3. Enter Indicator Scores'!$D$8:$CZ$8,0),
  _xlpm.v, IFERROR(INDEX('3. Enter Indicator Scores'!$D$10:$CZ$161,_xlpm.r,_xlpm.c),""),
  IF(OR(_xlpm.w="",_xlpm.v=""),"",_xlpm.v*_xlpm.w)
)</f>
        <v/>
      </c>
      <c r="S148" s="93" t="str" cm="1">
        <f t="array" ref="S148">_xlfn.LET(
  _xlpm.w, S$11,
  _xlpm.r, MATCH(1,('3. Enter Indicator Scores'!$B$10:$B$161=$B148)*('3. Enter Indicator Scores'!$C$10:$C$161=$C148),0),
  _xlpm.c, MATCH(S$8,'3. Enter Indicator Scores'!$D$8:$CZ$8,0),
  _xlpm.v, IFERROR(INDEX('3. Enter Indicator Scores'!$D$10:$CZ$161,_xlpm.r,_xlpm.c),""),
  IF(OR(_xlpm.w="",_xlpm.v=""),"",_xlpm.v*_xlpm.w)
)</f>
        <v/>
      </c>
      <c r="T148" s="93" t="str" cm="1">
        <f t="array" ref="T148">_xlfn.LET(
  _xlpm.w, T$11,
  _xlpm.r, MATCH(1,('3. Enter Indicator Scores'!$B$10:$B$161=$B148)*('3. Enter Indicator Scores'!$C$10:$C$161=$C148),0),
  _xlpm.c, MATCH(T$8,'3. Enter Indicator Scores'!$D$8:$CZ$8,0),
  _xlpm.v, IFERROR(INDEX('3. Enter Indicator Scores'!$D$10:$CZ$161,_xlpm.r,_xlpm.c),""),
  IF(OR(_xlpm.w="",_xlpm.v=""),"",_xlpm.v*_xlpm.w)
)</f>
        <v/>
      </c>
      <c r="U148" s="93" t="str" cm="1">
        <f t="array" ref="U148">_xlfn.LET(
  _xlpm.w, U$11,
  _xlpm.r, MATCH(1,('3. Enter Indicator Scores'!$B$10:$B$161=$B148)*('3. Enter Indicator Scores'!$C$10:$C$161=$C148),0),
  _xlpm.c, MATCH(U$8,'3. Enter Indicator Scores'!$D$8:$CZ$8,0),
  _xlpm.v, IFERROR(INDEX('3. Enter Indicator Scores'!$D$10:$CZ$161,_xlpm.r,_xlpm.c),""),
  IF(OR(_xlpm.w="",_xlpm.v=""),"",_xlpm.v*_xlpm.w)
)</f>
        <v/>
      </c>
      <c r="V148" s="93" t="str" cm="1">
        <f t="array" ref="V148">_xlfn.LET(
  _xlpm.w, V$11,
  _xlpm.r, MATCH(1,('3. Enter Indicator Scores'!$B$10:$B$161=$B148)*('3. Enter Indicator Scores'!$C$10:$C$161=$C148),0),
  _xlpm.c, MATCH(V$8,'3. Enter Indicator Scores'!$D$8:$CZ$8,0),
  _xlpm.v, IFERROR(INDEX('3. Enter Indicator Scores'!$D$10:$CZ$161,_xlpm.r,_xlpm.c),""),
  IF(OR(_xlpm.w="",_xlpm.v=""),"",_xlpm.v*_xlpm.w)
)</f>
        <v/>
      </c>
      <c r="W148" s="93" t="str" cm="1">
        <f t="array" ref="W148">_xlfn.LET(
  _xlpm.w, W$11,
  _xlpm.r, MATCH(1,('3. Enter Indicator Scores'!$B$10:$B$161=$B148)*('3. Enter Indicator Scores'!$C$10:$C$161=$C148),0),
  _xlpm.c, MATCH(W$8,'3. Enter Indicator Scores'!$D$8:$CZ$8,0),
  _xlpm.v, IFERROR(INDEX('3. Enter Indicator Scores'!$D$10:$CZ$161,_xlpm.r,_xlpm.c),""),
  IF(OR(_xlpm.w="",_xlpm.v=""),"",_xlpm.v*_xlpm.w)
)</f>
        <v/>
      </c>
      <c r="X148" s="93" t="str" cm="1">
        <f t="array" ref="X148">_xlfn.LET(
  _xlpm.w, X$11,
  _xlpm.r, MATCH(1,('3. Enter Indicator Scores'!$B$10:$B$161=$B148)*('3. Enter Indicator Scores'!$C$10:$C$161=$C148),0),
  _xlpm.c, MATCH(X$8,'3. Enter Indicator Scores'!$D$8:$CZ$8,0),
  _xlpm.v, IFERROR(INDEX('3. Enter Indicator Scores'!$D$10:$CZ$161,_xlpm.r,_xlpm.c),""),
  IF(OR(_xlpm.w="",_xlpm.v=""),"",_xlpm.v*_xlpm.w)
)</f>
        <v/>
      </c>
      <c r="Y148" s="93" t="str" cm="1">
        <f t="array" ref="Y148">_xlfn.LET(
  _xlpm.w, Y$11,
  _xlpm.r, MATCH(1,('3. Enter Indicator Scores'!$B$10:$B$161=$B148)*('3. Enter Indicator Scores'!$C$10:$C$161=$C148),0),
  _xlpm.c, MATCH(Y$8,'3. Enter Indicator Scores'!$D$8:$CZ$8,0),
  _xlpm.v, IFERROR(INDEX('3. Enter Indicator Scores'!$D$10:$CZ$161,_xlpm.r,_xlpm.c),""),
  IF(OR(_xlpm.w="",_xlpm.v=""),"",_xlpm.v*_xlpm.w)
)</f>
        <v/>
      </c>
      <c r="Z148" s="93" t="str" cm="1">
        <f t="array" ref="Z148">_xlfn.LET(
  _xlpm.w, Z$11,
  _xlpm.r, MATCH(1,('3. Enter Indicator Scores'!$B$10:$B$161=$B148)*('3. Enter Indicator Scores'!$C$10:$C$161=$C148),0),
  _xlpm.c, MATCH(Z$8,'3. Enter Indicator Scores'!$D$8:$CZ$8,0),
  _xlpm.v, IFERROR(INDEX('3. Enter Indicator Scores'!$D$10:$CZ$161,_xlpm.r,_xlpm.c),""),
  IF(OR(_xlpm.w="",_xlpm.v=""),"",_xlpm.v*_xlpm.w)
)</f>
        <v/>
      </c>
      <c r="AA148" s="93" t="str" cm="1">
        <f t="array" ref="AA148">_xlfn.LET(
  _xlpm.w, AA$11,
  _xlpm.r, MATCH(1,('3. Enter Indicator Scores'!$B$10:$B$161=$B148)*('3. Enter Indicator Scores'!$C$10:$C$161=$C148),0),
  _xlpm.c, MATCH(AA$8,'3. Enter Indicator Scores'!$D$8:$CZ$8,0),
  _xlpm.v, IFERROR(INDEX('3. Enter Indicator Scores'!$D$10:$CZ$161,_xlpm.r,_xlpm.c),""),
  IF(OR(_xlpm.w="",_xlpm.v=""),"",_xlpm.v*_xlpm.w)
)</f>
        <v/>
      </c>
      <c r="AB148" s="93" t="str" cm="1">
        <f t="array" ref="AB148">_xlfn.LET(
  _xlpm.w, AB$11,
  _xlpm.r, MATCH(1,('3. Enter Indicator Scores'!$B$10:$B$161=$B148)*('3. Enter Indicator Scores'!$C$10:$C$161=$C148),0),
  _xlpm.c, MATCH(AB$8,'3. Enter Indicator Scores'!$D$8:$CZ$8,0),
  _xlpm.v, IFERROR(INDEX('3. Enter Indicator Scores'!$D$10:$CZ$161,_xlpm.r,_xlpm.c),""),
  IF(OR(_xlpm.w="",_xlpm.v=""),"",_xlpm.v*_xlpm.w)
)</f>
        <v/>
      </c>
      <c r="AC148" s="93" t="str" cm="1">
        <f t="array" ref="AC148">_xlfn.LET(
  _xlpm.w, AC$11,
  _xlpm.r, MATCH(1,('3. Enter Indicator Scores'!$B$10:$B$161=$B148)*('3. Enter Indicator Scores'!$C$10:$C$161=$C148),0),
  _xlpm.c, MATCH(AC$8,'3. Enter Indicator Scores'!$D$8:$CZ$8,0),
  _xlpm.v, IFERROR(INDEX('3. Enter Indicator Scores'!$D$10:$CZ$161,_xlpm.r,_xlpm.c),""),
  IF(OR(_xlpm.w="",_xlpm.v=""),"",_xlpm.v*_xlpm.w)
)</f>
        <v/>
      </c>
      <c r="AD148" s="93" t="str" cm="1">
        <f t="array" ref="AD148">_xlfn.LET(
  _xlpm.w, AD$11,
  _xlpm.r, MATCH(1,('3. Enter Indicator Scores'!$B$10:$B$161=$B148)*('3. Enter Indicator Scores'!$C$10:$C$161=$C148),0),
  _xlpm.c, MATCH(AD$8,'3. Enter Indicator Scores'!$D$8:$CZ$8,0),
  _xlpm.v, IFERROR(INDEX('3. Enter Indicator Scores'!$D$10:$CZ$161,_xlpm.r,_xlpm.c),""),
  IF(OR(_xlpm.w="",_xlpm.v=""),"",_xlpm.v*_xlpm.w)
)</f>
        <v/>
      </c>
      <c r="AE148" s="93" t="str" cm="1">
        <f t="array" ref="AE148">_xlfn.LET(
  _xlpm.w, AE$11,
  _xlpm.r, MATCH(1,('3. Enter Indicator Scores'!$B$10:$B$161=$B148)*('3. Enter Indicator Scores'!$C$10:$C$161=$C148),0),
  _xlpm.c, MATCH(AE$8,'3. Enter Indicator Scores'!$D$8:$CZ$8,0),
  _xlpm.v, IFERROR(INDEX('3. Enter Indicator Scores'!$D$10:$CZ$161,_xlpm.r,_xlpm.c),""),
  IF(OR(_xlpm.w="",_xlpm.v=""),"",_xlpm.v*_xlpm.w)
)</f>
        <v/>
      </c>
      <c r="AF148" s="93" t="str" cm="1">
        <f t="array" ref="AF148">_xlfn.LET(
  _xlpm.w, AF$11,
  _xlpm.r, MATCH(1,('3. Enter Indicator Scores'!$B$10:$B$161=$B148)*('3. Enter Indicator Scores'!$C$10:$C$161=$C148),0),
  _xlpm.c, MATCH(AF$8,'3. Enter Indicator Scores'!$D$8:$CZ$8,0),
  _xlpm.v, IFERROR(INDEX('3. Enter Indicator Scores'!$D$10:$CZ$161,_xlpm.r,_xlpm.c),""),
  IF(OR(_xlpm.w="",_xlpm.v=""),"",_xlpm.v*_xlpm.w)
)</f>
        <v/>
      </c>
      <c r="AG148" s="93" t="str" cm="1">
        <f t="array" ref="AG148">_xlfn.LET(
  _xlpm.w, AG$11,
  _xlpm.r, MATCH(1,('3. Enter Indicator Scores'!$B$10:$B$161=$B148)*('3. Enter Indicator Scores'!$C$10:$C$161=$C148),0),
  _xlpm.c, MATCH(AG$8,'3. Enter Indicator Scores'!$D$8:$CZ$8,0),
  _xlpm.v, IFERROR(INDEX('3. Enter Indicator Scores'!$D$10:$CZ$161,_xlpm.r,_xlpm.c),""),
  IF(OR(_xlpm.w="",_xlpm.v=""),"",_xlpm.v*_xlpm.w)
)</f>
        <v/>
      </c>
      <c r="AH148" s="93" t="str" cm="1">
        <f t="array" ref="AH148">_xlfn.LET(
  _xlpm.w, AH$11,
  _xlpm.r, MATCH(1,('3. Enter Indicator Scores'!$B$10:$B$161=$B148)*('3. Enter Indicator Scores'!$C$10:$C$161=$C148),0),
  _xlpm.c, MATCH(AH$8,'3. Enter Indicator Scores'!$D$8:$CZ$8,0),
  _xlpm.v, IFERROR(INDEX('3. Enter Indicator Scores'!$D$10:$CZ$161,_xlpm.r,_xlpm.c),""),
  IF(OR(_xlpm.w="",_xlpm.v=""),"",_xlpm.v*_xlpm.w)
)</f>
        <v/>
      </c>
      <c r="AI148" s="93" t="str" cm="1">
        <f t="array" ref="AI148">_xlfn.LET(
  _xlpm.w, AI$11,
  _xlpm.r, MATCH(1,('3. Enter Indicator Scores'!$B$10:$B$161=$B148)*('3. Enter Indicator Scores'!$C$10:$C$161=$C148),0),
  _xlpm.c, MATCH(AI$8,'3. Enter Indicator Scores'!$D$8:$CZ$8,0),
  _xlpm.v, IFERROR(INDEX('3. Enter Indicator Scores'!$D$10:$CZ$161,_xlpm.r,_xlpm.c),""),
  IF(OR(_xlpm.w="",_xlpm.v=""),"",_xlpm.v*_xlpm.w)
)</f>
        <v/>
      </c>
      <c r="AJ148" s="93" t="str" cm="1">
        <f t="array" ref="AJ148">_xlfn.LET(
  _xlpm.w, AJ$11,
  _xlpm.r, MATCH(1,('3. Enter Indicator Scores'!$B$10:$B$161=$B148)*('3. Enter Indicator Scores'!$C$10:$C$161=$C148),0),
  _xlpm.c, MATCH(AJ$8,'3. Enter Indicator Scores'!$D$8:$CZ$8,0),
  _xlpm.v, IFERROR(INDEX('3. Enter Indicator Scores'!$D$10:$CZ$161,_xlpm.r,_xlpm.c),""),
  IF(OR(_xlpm.w="",_xlpm.v=""),"",_xlpm.v*_xlpm.w)
)</f>
        <v/>
      </c>
      <c r="AK148" s="93" t="str" cm="1">
        <f t="array" ref="AK148">_xlfn.LET(
  _xlpm.w, AK$11,
  _xlpm.r, MATCH(1,('3. Enter Indicator Scores'!$B$10:$B$161=$B148)*('3. Enter Indicator Scores'!$C$10:$C$161=$C148),0),
  _xlpm.c, MATCH(AK$8,'3. Enter Indicator Scores'!$D$8:$CZ$8,0),
  _xlpm.v, IFERROR(INDEX('3. Enter Indicator Scores'!$D$10:$CZ$161,_xlpm.r,_xlpm.c),""),
  IF(OR(_xlpm.w="",_xlpm.v=""),"",_xlpm.v*_xlpm.w)
)</f>
        <v/>
      </c>
      <c r="AL148" s="93" t="str" cm="1">
        <f t="array" ref="AL148">_xlfn.LET(
  _xlpm.w, AL$11,
  _xlpm.r, MATCH(1,('3. Enter Indicator Scores'!$B$10:$B$161=$B148)*('3. Enter Indicator Scores'!$C$10:$C$161=$C148),0),
  _xlpm.c, MATCH(AL$8,'3. Enter Indicator Scores'!$D$8:$CZ$8,0),
  _xlpm.v, IFERROR(INDEX('3. Enter Indicator Scores'!$D$10:$CZ$161,_xlpm.r,_xlpm.c),""),
  IF(OR(_xlpm.w="",_xlpm.v=""),"",_xlpm.v*_xlpm.w)
)</f>
        <v/>
      </c>
      <c r="AM148" s="93" t="str" cm="1">
        <f t="array" ref="AM148">_xlfn.LET(
  _xlpm.w, AM$11,
  _xlpm.r, MATCH(1,('3. Enter Indicator Scores'!$B$10:$B$161=$B148)*('3. Enter Indicator Scores'!$C$10:$C$161=$C148),0),
  _xlpm.c, MATCH(AM$8,'3. Enter Indicator Scores'!$D$8:$CZ$8,0),
  _xlpm.v, IFERROR(INDEX('3. Enter Indicator Scores'!$D$10:$CZ$161,_xlpm.r,_xlpm.c),""),
  IF(OR(_xlpm.w="",_xlpm.v=""),"",_xlpm.v*_xlpm.w)
)</f>
        <v/>
      </c>
      <c r="AN148" s="93" t="str" cm="1">
        <f t="array" ref="AN148">_xlfn.LET(
  _xlpm.w, AN$11,
  _xlpm.r, MATCH(1,('3. Enter Indicator Scores'!$B$10:$B$161=$B148)*('3. Enter Indicator Scores'!$C$10:$C$161=$C148),0),
  _xlpm.c, MATCH(AN$8,'3. Enter Indicator Scores'!$D$8:$CZ$8,0),
  _xlpm.v, IFERROR(INDEX('3. Enter Indicator Scores'!$D$10:$CZ$161,_xlpm.r,_xlpm.c),""),
  IF(OR(_xlpm.w="",_xlpm.v=""),"",_xlpm.v*_xlpm.w)
)</f>
        <v/>
      </c>
      <c r="AO148" s="93" t="str" cm="1">
        <f t="array" ref="AO148">_xlfn.LET(
  _xlpm.w, AO$11,
  _xlpm.r, MATCH(1,('3. Enter Indicator Scores'!$B$10:$B$161=$B148)*('3. Enter Indicator Scores'!$C$10:$C$161=$C148),0),
  _xlpm.c, MATCH(AO$8,'3. Enter Indicator Scores'!$D$8:$CZ$8,0),
  _xlpm.v, IFERROR(INDEX('3. Enter Indicator Scores'!$D$10:$CZ$161,_xlpm.r,_xlpm.c),""),
  IF(OR(_xlpm.w="",_xlpm.v=""),"",_xlpm.v*_xlpm.w)
)</f>
        <v/>
      </c>
      <c r="AP148" s="93" t="str" cm="1">
        <f t="array" ref="AP148">_xlfn.LET(
  _xlpm.w, AP$11,
  _xlpm.r, MATCH(1,('3. Enter Indicator Scores'!$B$10:$B$161=$B148)*('3. Enter Indicator Scores'!$C$10:$C$161=$C148),0),
  _xlpm.c, MATCH(AP$8,'3. Enter Indicator Scores'!$D$8:$CZ$8,0),
  _xlpm.v, IFERROR(INDEX('3. Enter Indicator Scores'!$D$10:$CZ$161,_xlpm.r,_xlpm.c),""),
  IF(OR(_xlpm.w="",_xlpm.v=""),"",_xlpm.v*_xlpm.w)
)</f>
        <v/>
      </c>
      <c r="AQ148" s="93" t="str" cm="1">
        <f t="array" ref="AQ148">_xlfn.LET(
  _xlpm.w, AQ$11,
  _xlpm.r, MATCH(1,('3. Enter Indicator Scores'!$B$10:$B$161=$B148)*('3. Enter Indicator Scores'!$C$10:$C$161=$C148),0),
  _xlpm.c, MATCH(AQ$8,'3. Enter Indicator Scores'!$D$8:$CZ$8,0),
  _xlpm.v, IFERROR(INDEX('3. Enter Indicator Scores'!$D$10:$CZ$161,_xlpm.r,_xlpm.c),""),
  IF(OR(_xlpm.w="",_xlpm.v=""),"",_xlpm.v*_xlpm.w)
)</f>
        <v/>
      </c>
      <c r="AR148" s="93" t="str" cm="1">
        <f t="array" ref="AR148">_xlfn.LET(
  _xlpm.w, AR$11,
  _xlpm.r, MATCH(1,('3. Enter Indicator Scores'!$B$10:$B$161=$B148)*('3. Enter Indicator Scores'!$C$10:$C$161=$C148),0),
  _xlpm.c, MATCH(AR$8,'3. Enter Indicator Scores'!$D$8:$CZ$8,0),
  _xlpm.v, IFERROR(INDEX('3. Enter Indicator Scores'!$D$10:$CZ$161,_xlpm.r,_xlpm.c),""),
  IF(OR(_xlpm.w="",_xlpm.v=""),"",_xlpm.v*_xlpm.w)
)</f>
        <v/>
      </c>
      <c r="AS148" s="93" t="str" cm="1">
        <f t="array" ref="AS148">_xlfn.LET(
  _xlpm.w, AS$11,
  _xlpm.r, MATCH(1,('3. Enter Indicator Scores'!$B$10:$B$161=$B148)*('3. Enter Indicator Scores'!$C$10:$C$161=$C148),0),
  _xlpm.c, MATCH(AS$8,'3. Enter Indicator Scores'!$D$8:$CZ$8,0),
  _xlpm.v, IFERROR(INDEX('3. Enter Indicator Scores'!$D$10:$CZ$161,_xlpm.r,_xlpm.c),""),
  IF(OR(_xlpm.w="",_xlpm.v=""),"",_xlpm.v*_xlpm.w)
)</f>
        <v/>
      </c>
      <c r="AT148" s="93" t="str" cm="1">
        <f t="array" ref="AT148">_xlfn.LET(
  _xlpm.w, AT$11,
  _xlpm.r, MATCH(1,('3. Enter Indicator Scores'!$B$10:$B$161=$B148)*('3. Enter Indicator Scores'!$C$10:$C$161=$C148),0),
  _xlpm.c, MATCH(AT$8,'3. Enter Indicator Scores'!$D$8:$CZ$8,0),
  _xlpm.v, IFERROR(INDEX('3. Enter Indicator Scores'!$D$10:$CZ$161,_xlpm.r,_xlpm.c),""),
  IF(OR(_xlpm.w="",_xlpm.v=""),"",_xlpm.v*_xlpm.w)
)</f>
        <v/>
      </c>
      <c r="AU148" s="93" t="str" cm="1">
        <f t="array" ref="AU148">_xlfn.LET(
  _xlpm.w, AU$11,
  _xlpm.r, MATCH(1,('3. Enter Indicator Scores'!$B$10:$B$161=$B148)*('3. Enter Indicator Scores'!$C$10:$C$161=$C148),0),
  _xlpm.c, MATCH(AU$8,'3. Enter Indicator Scores'!$D$8:$CZ$8,0),
  _xlpm.v, IFERROR(INDEX('3. Enter Indicator Scores'!$D$10:$CZ$161,_xlpm.r,_xlpm.c),""),
  IF(OR(_xlpm.w="",_xlpm.v=""),"",_xlpm.v*_xlpm.w)
)</f>
        <v/>
      </c>
      <c r="AV148" s="93" t="str" cm="1">
        <f t="array" ref="AV148">_xlfn.LET(
  _xlpm.w, AV$11,
  _xlpm.r, MATCH(1,('3. Enter Indicator Scores'!$B$10:$B$161=$B148)*('3. Enter Indicator Scores'!$C$10:$C$161=$C148),0),
  _xlpm.c, MATCH(AV$8,'3. Enter Indicator Scores'!$D$8:$CZ$8,0),
  _xlpm.v, IFERROR(INDEX('3. Enter Indicator Scores'!$D$10:$CZ$161,_xlpm.r,_xlpm.c),""),
  IF(OR(_xlpm.w="",_xlpm.v=""),"",_xlpm.v*_xlpm.w)
)</f>
        <v/>
      </c>
      <c r="AW148" s="93" t="str" cm="1">
        <f t="array" ref="AW148">_xlfn.LET(
  _xlpm.w, AW$11,
  _xlpm.r, MATCH(1,('3. Enter Indicator Scores'!$B$10:$B$161=$B148)*('3. Enter Indicator Scores'!$C$10:$C$161=$C148),0),
  _xlpm.c, MATCH(AW$8,'3. Enter Indicator Scores'!$D$8:$CZ$8,0),
  _xlpm.v, IFERROR(INDEX('3. Enter Indicator Scores'!$D$10:$CZ$161,_xlpm.r,_xlpm.c),""),
  IF(OR(_xlpm.w="",_xlpm.v=""),"",_xlpm.v*_xlpm.w)
)</f>
        <v/>
      </c>
      <c r="AX148" s="93" t="str" cm="1">
        <f t="array" ref="AX148">_xlfn.LET(
  _xlpm.w, AX$11,
  _xlpm.r, MATCH(1,('3. Enter Indicator Scores'!$B$10:$B$161=$B148)*('3. Enter Indicator Scores'!$C$10:$C$161=$C148),0),
  _xlpm.c, MATCH(AX$8,'3. Enter Indicator Scores'!$D$8:$CZ$8,0),
  _xlpm.v, IFERROR(INDEX('3. Enter Indicator Scores'!$D$10:$CZ$161,_xlpm.r,_xlpm.c),""),
  IF(OR(_xlpm.w="",_xlpm.v=""),"",_xlpm.v*_xlpm.w)
)</f>
        <v/>
      </c>
      <c r="AY148" s="93" t="str" cm="1">
        <f t="array" ref="AY148">_xlfn.LET(
  _xlpm.w, AY$11,
  _xlpm.r, MATCH(1,('3. Enter Indicator Scores'!$B$10:$B$161=$B148)*('3. Enter Indicator Scores'!$C$10:$C$161=$C148),0),
  _xlpm.c, MATCH(AY$8,'3. Enter Indicator Scores'!$D$8:$CZ$8,0),
  _xlpm.v, IFERROR(INDEX('3. Enter Indicator Scores'!$D$10:$CZ$161,_xlpm.r,_xlpm.c),""),
  IF(OR(_xlpm.w="",_xlpm.v=""),"",_xlpm.v*_xlpm.w)
)</f>
        <v/>
      </c>
      <c r="AZ148" s="93" t="str" cm="1">
        <f t="array" ref="AZ148">_xlfn.LET(
  _xlpm.w, AZ$11,
  _xlpm.r, MATCH(1,('3. Enter Indicator Scores'!$B$10:$B$161=$B148)*('3. Enter Indicator Scores'!$C$10:$C$161=$C148),0),
  _xlpm.c, MATCH(AZ$8,'3. Enter Indicator Scores'!$D$8:$CZ$8,0),
  _xlpm.v, IFERROR(INDEX('3. Enter Indicator Scores'!$D$10:$CZ$161,_xlpm.r,_xlpm.c),""),
  IF(OR(_xlpm.w="",_xlpm.v=""),"",_xlpm.v*_xlpm.w)
)</f>
        <v/>
      </c>
      <c r="BA148" s="93" t="str" cm="1">
        <f t="array" ref="BA148">_xlfn.LET(
  _xlpm.w, BA$11,
  _xlpm.r, MATCH(1,('3. Enter Indicator Scores'!$B$10:$B$161=$B148)*('3. Enter Indicator Scores'!$C$10:$C$161=$C148),0),
  _xlpm.c, MATCH(BA$8,'3. Enter Indicator Scores'!$D$8:$CZ$8,0),
  _xlpm.v, IFERROR(INDEX('3. Enter Indicator Scores'!$D$10:$CZ$161,_xlpm.r,_xlpm.c),""),
  IF(OR(_xlpm.w="",_xlpm.v=""),"",_xlpm.v*_xlpm.w)
)</f>
        <v/>
      </c>
      <c r="BB148" s="93" t="str" cm="1">
        <f t="array" ref="BB148">_xlfn.LET(
  _xlpm.w, BB$11,
  _xlpm.r, MATCH(1,('3. Enter Indicator Scores'!$B$10:$B$161=$B148)*('3. Enter Indicator Scores'!$C$10:$C$161=$C148),0),
  _xlpm.c, MATCH(BB$8,'3. Enter Indicator Scores'!$D$8:$CZ$8,0),
  _xlpm.v, IFERROR(INDEX('3. Enter Indicator Scores'!$D$10:$CZ$161,_xlpm.r,_xlpm.c),""),
  IF(OR(_xlpm.w="",_xlpm.v=""),"",_xlpm.v*_xlpm.w)
)</f>
        <v/>
      </c>
      <c r="BC148" s="93" t="str" cm="1">
        <f t="array" ref="BC148">_xlfn.LET(
  _xlpm.w, BC$11,
  _xlpm.r, MATCH(1,('3. Enter Indicator Scores'!$B$10:$B$161=$B148)*('3. Enter Indicator Scores'!$C$10:$C$161=$C148),0),
  _xlpm.c, MATCH(BC$8,'3. Enter Indicator Scores'!$D$8:$CZ$8,0),
  _xlpm.v, IFERROR(INDEX('3. Enter Indicator Scores'!$D$10:$CZ$161,_xlpm.r,_xlpm.c),""),
  IF(OR(_xlpm.w="",_xlpm.v=""),"",_xlpm.v*_xlpm.w)
)</f>
        <v/>
      </c>
      <c r="BD148" s="93" t="str" cm="1">
        <f t="array" ref="BD148">_xlfn.LET(
  _xlpm.w, BD$11,
  _xlpm.r, MATCH(1,('3. Enter Indicator Scores'!$B$10:$B$161=$B148)*('3. Enter Indicator Scores'!$C$10:$C$161=$C148),0),
  _xlpm.c, MATCH(BD$8,'3. Enter Indicator Scores'!$D$8:$CZ$8,0),
  _xlpm.v, IFERROR(INDEX('3. Enter Indicator Scores'!$D$10:$CZ$161,_xlpm.r,_xlpm.c),""),
  IF(OR(_xlpm.w="",_xlpm.v=""),"",_xlpm.v*_xlpm.w)
)</f>
        <v/>
      </c>
      <c r="BE148" s="93" t="str" cm="1">
        <f t="array" ref="BE148">_xlfn.LET(
  _xlpm.w, BE$11,
  _xlpm.r, MATCH(1,('3. Enter Indicator Scores'!$B$10:$B$161=$B148)*('3. Enter Indicator Scores'!$C$10:$C$161=$C148),0),
  _xlpm.c, MATCH(BE$8,'3. Enter Indicator Scores'!$D$8:$CZ$8,0),
  _xlpm.v, IFERROR(INDEX('3. Enter Indicator Scores'!$D$10:$CZ$161,_xlpm.r,_xlpm.c),""),
  IF(OR(_xlpm.w="",_xlpm.v=""),"",_xlpm.v*_xlpm.w)
)</f>
        <v/>
      </c>
      <c r="BF148" s="93" t="str" cm="1">
        <f t="array" ref="BF148">_xlfn.LET(
  _xlpm.w, BF$11,
  _xlpm.r, MATCH(1,('3. Enter Indicator Scores'!$B$10:$B$161=$B148)*('3. Enter Indicator Scores'!$C$10:$C$161=$C148),0),
  _xlpm.c, MATCH(BF$8,'3. Enter Indicator Scores'!$D$8:$CZ$8,0),
  _xlpm.v, IFERROR(INDEX('3. Enter Indicator Scores'!$D$10:$CZ$161,_xlpm.r,_xlpm.c),""),
  IF(OR(_xlpm.w="",_xlpm.v=""),"",_xlpm.v*_xlpm.w)
)</f>
        <v/>
      </c>
      <c r="BG148" s="93" t="str" cm="1">
        <f t="array" ref="BG148">_xlfn.LET(
  _xlpm.w, BG$11,
  _xlpm.r, MATCH(1,('3. Enter Indicator Scores'!$B$10:$B$161=$B148)*('3. Enter Indicator Scores'!$C$10:$C$161=$C148),0),
  _xlpm.c, MATCH(BG$8,'3. Enter Indicator Scores'!$D$8:$CZ$8,0),
  _xlpm.v, IFERROR(INDEX('3. Enter Indicator Scores'!$D$10:$CZ$161,_xlpm.r,_xlpm.c),""),
  IF(OR(_xlpm.w="",_xlpm.v=""),"",_xlpm.v*_xlpm.w)
)</f>
        <v/>
      </c>
      <c r="BH148" s="93" t="str" cm="1">
        <f t="array" ref="BH148">_xlfn.LET(
  _xlpm.w, BH$11,
  _xlpm.r, MATCH(1,('3. Enter Indicator Scores'!$B$10:$B$161=$B148)*('3. Enter Indicator Scores'!$C$10:$C$161=$C148),0),
  _xlpm.c, MATCH(BH$8,'3. Enter Indicator Scores'!$D$8:$CZ$8,0),
  _xlpm.v, IFERROR(INDEX('3. Enter Indicator Scores'!$D$10:$CZ$161,_xlpm.r,_xlpm.c),""),
  IF(OR(_xlpm.w="",_xlpm.v=""),"",_xlpm.v*_xlpm.w)
)</f>
        <v/>
      </c>
      <c r="BI148" s="93" t="str" cm="1">
        <f t="array" ref="BI148">_xlfn.LET(
  _xlpm.w, BI$11,
  _xlpm.r, MATCH(1,('3. Enter Indicator Scores'!$B$10:$B$161=$B148)*('3. Enter Indicator Scores'!$C$10:$C$161=$C148),0),
  _xlpm.c, MATCH(BI$8,'3. Enter Indicator Scores'!$D$8:$CZ$8,0),
  _xlpm.v, IFERROR(INDEX('3. Enter Indicator Scores'!$D$10:$CZ$161,_xlpm.r,_xlpm.c),""),
  IF(OR(_xlpm.w="",_xlpm.v=""),"",_xlpm.v*_xlpm.w)
)</f>
        <v/>
      </c>
      <c r="BJ148" s="93" t="str" cm="1">
        <f t="array" ref="BJ148">_xlfn.LET(
  _xlpm.w, BJ$11,
  _xlpm.r, MATCH(1,('3. Enter Indicator Scores'!$B$10:$B$161=$B148)*('3. Enter Indicator Scores'!$C$10:$C$161=$C148),0),
  _xlpm.c, MATCH(BJ$8,'3. Enter Indicator Scores'!$D$8:$CZ$8,0),
  _xlpm.v, IFERROR(INDEX('3. Enter Indicator Scores'!$D$10:$CZ$161,_xlpm.r,_xlpm.c),""),
  IF(OR(_xlpm.w="",_xlpm.v=""),"",_xlpm.v*_xlpm.w)
)</f>
        <v/>
      </c>
      <c r="BK148" s="93" t="str" cm="1">
        <f t="array" ref="BK148">_xlfn.LET(
  _xlpm.w, BK$11,
  _xlpm.r, MATCH(1,('3. Enter Indicator Scores'!$B$10:$B$161=$B148)*('3. Enter Indicator Scores'!$C$10:$C$161=$C148),0),
  _xlpm.c, MATCH(BK$8,'3. Enter Indicator Scores'!$D$8:$CZ$8,0),
  _xlpm.v, IFERROR(INDEX('3. Enter Indicator Scores'!$D$10:$CZ$161,_xlpm.r,_xlpm.c),""),
  IF(OR(_xlpm.w="",_xlpm.v=""),"",_xlpm.v*_xlpm.w)
)</f>
        <v/>
      </c>
      <c r="BL148" s="93" t="str" cm="1">
        <f t="array" ref="BL148">_xlfn.LET(
  _xlpm.w, BL$11,
  _xlpm.r, MATCH(1,('3. Enter Indicator Scores'!$B$10:$B$161=$B148)*('3. Enter Indicator Scores'!$C$10:$C$161=$C148),0),
  _xlpm.c, MATCH(BL$8,'3. Enter Indicator Scores'!$D$8:$CZ$8,0),
  _xlpm.v, IFERROR(INDEX('3. Enter Indicator Scores'!$D$10:$CZ$161,_xlpm.r,_xlpm.c),""),
  IF(OR(_xlpm.w="",_xlpm.v=""),"",_xlpm.v*_xlpm.w)
)</f>
        <v/>
      </c>
      <c r="BM148" s="93" t="str" cm="1">
        <f t="array" ref="BM148">_xlfn.LET(
  _xlpm.w, BM$11,
  _xlpm.r, MATCH(1,('3. Enter Indicator Scores'!$B$10:$B$161=$B148)*('3. Enter Indicator Scores'!$C$10:$C$161=$C148),0),
  _xlpm.c, MATCH(BM$8,'3. Enter Indicator Scores'!$D$8:$CZ$8,0),
  _xlpm.v, IFERROR(INDEX('3. Enter Indicator Scores'!$D$10:$CZ$161,_xlpm.r,_xlpm.c),""),
  IF(OR(_xlpm.w="",_xlpm.v=""),"",_xlpm.v*_xlpm.w)
)</f>
        <v/>
      </c>
      <c r="BN148" s="93" t="str" cm="1">
        <f t="array" ref="BN148">_xlfn.LET(
  _xlpm.w, BN$11,
  _xlpm.r, MATCH(1,('3. Enter Indicator Scores'!$B$10:$B$161=$B148)*('3. Enter Indicator Scores'!$C$10:$C$161=$C148),0),
  _xlpm.c, MATCH(BN$8,'3. Enter Indicator Scores'!$D$8:$CZ$8,0),
  _xlpm.v, IFERROR(INDEX('3. Enter Indicator Scores'!$D$10:$CZ$161,_xlpm.r,_xlpm.c),""),
  IF(OR(_xlpm.w="",_xlpm.v=""),"",_xlpm.v*_xlpm.w)
)</f>
        <v/>
      </c>
      <c r="BO148" s="93" t="str" cm="1">
        <f t="array" ref="BO148">_xlfn.LET(
  _xlpm.w, BO$11,
  _xlpm.r, MATCH(1,('3. Enter Indicator Scores'!$B$10:$B$161=$B148)*('3. Enter Indicator Scores'!$C$10:$C$161=$C148),0),
  _xlpm.c, MATCH(BO$8,'3. Enter Indicator Scores'!$D$8:$CZ$8,0),
  _xlpm.v, IFERROR(INDEX('3. Enter Indicator Scores'!$D$10:$CZ$161,_xlpm.r,_xlpm.c),""),
  IF(OR(_xlpm.w="",_xlpm.v=""),"",_xlpm.v*_xlpm.w)
)</f>
        <v/>
      </c>
      <c r="BP148" s="93" t="str" cm="1">
        <f t="array" ref="BP148">_xlfn.LET(
  _xlpm.w, BP$11,
  _xlpm.r, MATCH(1,('3. Enter Indicator Scores'!$B$10:$B$161=$B148)*('3. Enter Indicator Scores'!$C$10:$C$161=$C148),0),
  _xlpm.c, MATCH(BP$8,'3. Enter Indicator Scores'!$D$8:$CZ$8,0),
  _xlpm.v, IFERROR(INDEX('3. Enter Indicator Scores'!$D$10:$CZ$161,_xlpm.r,_xlpm.c),""),
  IF(OR(_xlpm.w="",_xlpm.v=""),"",_xlpm.v*_xlpm.w)
)</f>
        <v/>
      </c>
      <c r="BQ148" s="93" t="str" cm="1">
        <f t="array" ref="BQ148">_xlfn.LET(
  _xlpm.w, BQ$11,
  _xlpm.r, MATCH(1,('3. Enter Indicator Scores'!$B$10:$B$161=$B148)*('3. Enter Indicator Scores'!$C$10:$C$161=$C148),0),
  _xlpm.c, MATCH(BQ$8,'3. Enter Indicator Scores'!$D$8:$CZ$8,0),
  _xlpm.v, IFERROR(INDEX('3. Enter Indicator Scores'!$D$10:$CZ$161,_xlpm.r,_xlpm.c),""),
  IF(OR(_xlpm.w="",_xlpm.v=""),"",_xlpm.v*_xlpm.w)
)</f>
        <v/>
      </c>
      <c r="BR148" s="93" t="str" cm="1">
        <f t="array" ref="BR148">_xlfn.LET(
  _xlpm.w, BR$11,
  _xlpm.r, MATCH(1,('3. Enter Indicator Scores'!$B$10:$B$161=$B148)*('3. Enter Indicator Scores'!$C$10:$C$161=$C148),0),
  _xlpm.c, MATCH(BR$8,'3. Enter Indicator Scores'!$D$8:$CZ$8,0),
  _xlpm.v, IFERROR(INDEX('3. Enter Indicator Scores'!$D$10:$CZ$161,_xlpm.r,_xlpm.c),""),
  IF(OR(_xlpm.w="",_xlpm.v=""),"",_xlpm.v*_xlpm.w)
)</f>
        <v/>
      </c>
      <c r="BS148" s="93" t="str" cm="1">
        <f t="array" ref="BS148">_xlfn.LET(
  _xlpm.w, BS$11,
  _xlpm.r, MATCH(1,('3. Enter Indicator Scores'!$B$10:$B$161=$B148)*('3. Enter Indicator Scores'!$C$10:$C$161=$C148),0),
  _xlpm.c, MATCH(BS$8,'3. Enter Indicator Scores'!$D$8:$CZ$8,0),
  _xlpm.v, IFERROR(INDEX('3. Enter Indicator Scores'!$D$10:$CZ$161,_xlpm.r,_xlpm.c),""),
  IF(OR(_xlpm.w="",_xlpm.v=""),"",_xlpm.v*_xlpm.w)
)</f>
        <v/>
      </c>
      <c r="BT148" s="93" t="str" cm="1">
        <f t="array" ref="BT148">_xlfn.LET(
  _xlpm.w, BT$11,
  _xlpm.r, MATCH(1,('3. Enter Indicator Scores'!$B$10:$B$161=$B148)*('3. Enter Indicator Scores'!$C$10:$C$161=$C148),0),
  _xlpm.c, MATCH(BT$8,'3. Enter Indicator Scores'!$D$8:$CZ$8,0),
  _xlpm.v, IFERROR(INDEX('3. Enter Indicator Scores'!$D$10:$CZ$161,_xlpm.r,_xlpm.c),""),
  IF(OR(_xlpm.w="",_xlpm.v=""),"",_xlpm.v*_xlpm.w)
)</f>
        <v/>
      </c>
      <c r="BU148" s="93" t="str" cm="1">
        <f t="array" ref="BU148">_xlfn.LET(
  _xlpm.w, BU$11,
  _xlpm.r, MATCH(1,('3. Enter Indicator Scores'!$B$10:$B$161=$B148)*('3. Enter Indicator Scores'!$C$10:$C$161=$C148),0),
  _xlpm.c, MATCH(BU$8,'3. Enter Indicator Scores'!$D$8:$CZ$8,0),
  _xlpm.v, IFERROR(INDEX('3. Enter Indicator Scores'!$D$10:$CZ$161,_xlpm.r,_xlpm.c),""),
  IF(OR(_xlpm.w="",_xlpm.v=""),"",_xlpm.v*_xlpm.w)
)</f>
        <v/>
      </c>
      <c r="BV148" s="93" t="str" cm="1">
        <f t="array" ref="BV148">_xlfn.LET(
  _xlpm.w, BV$11,
  _xlpm.r, MATCH(1,('3. Enter Indicator Scores'!$B$10:$B$161=$B148)*('3. Enter Indicator Scores'!$C$10:$C$161=$C148),0),
  _xlpm.c, MATCH(BV$8,'3. Enter Indicator Scores'!$D$8:$CZ$8,0),
  _xlpm.v, IFERROR(INDEX('3. Enter Indicator Scores'!$D$10:$CZ$161,_xlpm.r,_xlpm.c),""),
  IF(OR(_xlpm.w="",_xlpm.v=""),"",_xlpm.v*_xlpm.w)
)</f>
        <v/>
      </c>
      <c r="BW148" s="93" t="str" cm="1">
        <f t="array" ref="BW148">_xlfn.LET(
  _xlpm.w, BW$11,
  _xlpm.r, MATCH(1,('3. Enter Indicator Scores'!$B$10:$B$161=$B148)*('3. Enter Indicator Scores'!$C$10:$C$161=$C148),0),
  _xlpm.c, MATCH(BW$8,'3. Enter Indicator Scores'!$D$8:$CZ$8,0),
  _xlpm.v, IFERROR(INDEX('3. Enter Indicator Scores'!$D$10:$CZ$161,_xlpm.r,_xlpm.c),""),
  IF(OR(_xlpm.w="",_xlpm.v=""),"",_xlpm.v*_xlpm.w)
)</f>
        <v/>
      </c>
      <c r="BX148" s="93" t="str" cm="1">
        <f t="array" ref="BX148">_xlfn.LET(
  _xlpm.w, BX$11,
  _xlpm.r, MATCH(1,('3. Enter Indicator Scores'!$B$10:$B$161=$B148)*('3. Enter Indicator Scores'!$C$10:$C$161=$C148),0),
  _xlpm.c, MATCH(BX$8,'3. Enter Indicator Scores'!$D$8:$CZ$8,0),
  _xlpm.v, IFERROR(INDEX('3. Enter Indicator Scores'!$D$10:$CZ$161,_xlpm.r,_xlpm.c),""),
  IF(OR(_xlpm.w="",_xlpm.v=""),"",_xlpm.v*_xlpm.w)
)</f>
        <v/>
      </c>
      <c r="BY148" s="93" t="str" cm="1">
        <f t="array" ref="BY148">_xlfn.LET(
  _xlpm.w, BY$11,
  _xlpm.r, MATCH(1,('3. Enter Indicator Scores'!$B$10:$B$161=$B148)*('3. Enter Indicator Scores'!$C$10:$C$161=$C148),0),
  _xlpm.c, MATCH(BY$8,'3. Enter Indicator Scores'!$D$8:$CZ$8,0),
  _xlpm.v, IFERROR(INDEX('3. Enter Indicator Scores'!$D$10:$CZ$161,_xlpm.r,_xlpm.c),""),
  IF(OR(_xlpm.w="",_xlpm.v=""),"",_xlpm.v*_xlpm.w)
)</f>
        <v/>
      </c>
      <c r="BZ148" s="93" t="str" cm="1">
        <f t="array" ref="BZ148">_xlfn.LET(
  _xlpm.w, BZ$11,
  _xlpm.r, MATCH(1,('3. Enter Indicator Scores'!$B$10:$B$161=$B148)*('3. Enter Indicator Scores'!$C$10:$C$161=$C148),0),
  _xlpm.c, MATCH(BZ$8,'3. Enter Indicator Scores'!$D$8:$CZ$8,0),
  _xlpm.v, IFERROR(INDEX('3. Enter Indicator Scores'!$D$10:$CZ$161,_xlpm.r,_xlpm.c),""),
  IF(OR(_xlpm.w="",_xlpm.v=""),"",_xlpm.v*_xlpm.w)
)</f>
        <v/>
      </c>
      <c r="CA148" s="93" t="str" cm="1">
        <f t="array" ref="CA148">_xlfn.LET(
  _xlpm.w, CA$11,
  _xlpm.r, MATCH(1,('3. Enter Indicator Scores'!$B$10:$B$161=$B148)*('3. Enter Indicator Scores'!$C$10:$C$161=$C148),0),
  _xlpm.c, MATCH(CA$8,'3. Enter Indicator Scores'!$D$8:$CZ$8,0),
  _xlpm.v, IFERROR(INDEX('3. Enter Indicator Scores'!$D$10:$CZ$161,_xlpm.r,_xlpm.c),""),
  IF(OR(_xlpm.w="",_xlpm.v=""),"",_xlpm.v*_xlpm.w)
)</f>
        <v/>
      </c>
      <c r="CB148" s="93" t="str" cm="1">
        <f t="array" ref="CB148">_xlfn.LET(
  _xlpm.w, CB$11,
  _xlpm.r, MATCH(1,('3. Enter Indicator Scores'!$B$10:$B$161=$B148)*('3. Enter Indicator Scores'!$C$10:$C$161=$C148),0),
  _xlpm.c, MATCH(CB$8,'3. Enter Indicator Scores'!$D$8:$CZ$8,0),
  _xlpm.v, IFERROR(INDEX('3. Enter Indicator Scores'!$D$10:$CZ$161,_xlpm.r,_xlpm.c),""),
  IF(OR(_xlpm.w="",_xlpm.v=""),"",_xlpm.v*_xlpm.w)
)</f>
        <v/>
      </c>
      <c r="CC148" s="93" t="str" cm="1">
        <f t="array" ref="CC148">_xlfn.LET(
  _xlpm.w, CC$11,
  _xlpm.r, MATCH(1,('3. Enter Indicator Scores'!$B$10:$B$161=$B148)*('3. Enter Indicator Scores'!$C$10:$C$161=$C148),0),
  _xlpm.c, MATCH(CC$8,'3. Enter Indicator Scores'!$D$8:$CZ$8,0),
  _xlpm.v, IFERROR(INDEX('3. Enter Indicator Scores'!$D$10:$CZ$161,_xlpm.r,_xlpm.c),""),
  IF(OR(_xlpm.w="",_xlpm.v=""),"",_xlpm.v*_xlpm.w)
)</f>
        <v/>
      </c>
      <c r="CD148" s="93" t="str" cm="1">
        <f t="array" ref="CD148">_xlfn.LET(
  _xlpm.w, CD$11,
  _xlpm.r, MATCH(1,('3. Enter Indicator Scores'!$B$10:$B$161=$B148)*('3. Enter Indicator Scores'!$C$10:$C$161=$C148),0),
  _xlpm.c, MATCH(CD$8,'3. Enter Indicator Scores'!$D$8:$CZ$8,0),
  _xlpm.v, IFERROR(INDEX('3. Enter Indicator Scores'!$D$10:$CZ$161,_xlpm.r,_xlpm.c),""),
  IF(OR(_xlpm.w="",_xlpm.v=""),"",_xlpm.v*_xlpm.w)
)</f>
        <v/>
      </c>
      <c r="CE148" s="93" t="str" cm="1">
        <f t="array" ref="CE148">_xlfn.LET(
  _xlpm.w, CE$11,
  _xlpm.r, MATCH(1,('3. Enter Indicator Scores'!$B$10:$B$161=$B148)*('3. Enter Indicator Scores'!$C$10:$C$161=$C148),0),
  _xlpm.c, MATCH(CE$8,'3. Enter Indicator Scores'!$D$8:$CZ$8,0),
  _xlpm.v, IFERROR(INDEX('3. Enter Indicator Scores'!$D$10:$CZ$161,_xlpm.r,_xlpm.c),""),
  IF(OR(_xlpm.w="",_xlpm.v=""),"",_xlpm.v*_xlpm.w)
)</f>
        <v/>
      </c>
      <c r="CF148" s="93" t="str" cm="1">
        <f t="array" ref="CF148">_xlfn.LET(
  _xlpm.w, CF$11,
  _xlpm.r, MATCH(1,('3. Enter Indicator Scores'!$B$10:$B$161=$B148)*('3. Enter Indicator Scores'!$C$10:$C$161=$C148),0),
  _xlpm.c, MATCH(CF$8,'3. Enter Indicator Scores'!$D$8:$CZ$8,0),
  _xlpm.v, IFERROR(INDEX('3. Enter Indicator Scores'!$D$10:$CZ$161,_xlpm.r,_xlpm.c),""),
  IF(OR(_xlpm.w="",_xlpm.v=""),"",_xlpm.v*_xlpm.w)
)</f>
        <v/>
      </c>
      <c r="CG148" s="93" t="str" cm="1">
        <f t="array" ref="CG148">_xlfn.LET(
  _xlpm.w, CG$11,
  _xlpm.r, MATCH(1,('3. Enter Indicator Scores'!$B$10:$B$161=$B148)*('3. Enter Indicator Scores'!$C$10:$C$161=$C148),0),
  _xlpm.c, MATCH(CG$8,'3. Enter Indicator Scores'!$D$8:$CZ$8,0),
  _xlpm.v, IFERROR(INDEX('3. Enter Indicator Scores'!$D$10:$CZ$161,_xlpm.r,_xlpm.c),""),
  IF(OR(_xlpm.w="",_xlpm.v=""),"",_xlpm.v*_xlpm.w)
)</f>
        <v/>
      </c>
      <c r="CH148" s="93" t="str" cm="1">
        <f t="array" ref="CH148">_xlfn.LET(
  _xlpm.w, CH$11,
  _xlpm.r, MATCH(1,('3. Enter Indicator Scores'!$B$10:$B$161=$B148)*('3. Enter Indicator Scores'!$C$10:$C$161=$C148),0),
  _xlpm.c, MATCH(CH$8,'3. Enter Indicator Scores'!$D$8:$CZ$8,0),
  _xlpm.v, IFERROR(INDEX('3. Enter Indicator Scores'!$D$10:$CZ$161,_xlpm.r,_xlpm.c),""),
  IF(OR(_xlpm.w="",_xlpm.v=""),"",_xlpm.v*_xlpm.w)
)</f>
        <v/>
      </c>
      <c r="CI148" s="93" t="str" cm="1">
        <f t="array" ref="CI148">_xlfn.LET(
  _xlpm.w, CI$11,
  _xlpm.r, MATCH(1,('3. Enter Indicator Scores'!$B$10:$B$161=$B148)*('3. Enter Indicator Scores'!$C$10:$C$161=$C148),0),
  _xlpm.c, MATCH(CI$8,'3. Enter Indicator Scores'!$D$8:$CZ$8,0),
  _xlpm.v, IFERROR(INDEX('3. Enter Indicator Scores'!$D$10:$CZ$161,_xlpm.r,_xlpm.c),""),
  IF(OR(_xlpm.w="",_xlpm.v=""),"",_xlpm.v*_xlpm.w)
)</f>
        <v/>
      </c>
      <c r="CJ148" s="93" t="str" cm="1">
        <f t="array" ref="CJ148">_xlfn.LET(
  _xlpm.w, CJ$11,
  _xlpm.r, MATCH(1,('3. Enter Indicator Scores'!$B$10:$B$161=$B148)*('3. Enter Indicator Scores'!$C$10:$C$161=$C148),0),
  _xlpm.c, MATCH(CJ$8,'3. Enter Indicator Scores'!$D$8:$CZ$8,0),
  _xlpm.v, IFERROR(INDEX('3. Enter Indicator Scores'!$D$10:$CZ$161,_xlpm.r,_xlpm.c),""),
  IF(OR(_xlpm.w="",_xlpm.v=""),"",_xlpm.v*_xlpm.w)
)</f>
        <v/>
      </c>
      <c r="CK148" s="93" t="str" cm="1">
        <f t="array" ref="CK148">_xlfn.LET(
  _xlpm.w, CK$11,
  _xlpm.r, MATCH(1,('3. Enter Indicator Scores'!$B$10:$B$161=$B148)*('3. Enter Indicator Scores'!$C$10:$C$161=$C148),0),
  _xlpm.c, MATCH(CK$8,'3. Enter Indicator Scores'!$D$8:$CZ$8,0),
  _xlpm.v, IFERROR(INDEX('3. Enter Indicator Scores'!$D$10:$CZ$161,_xlpm.r,_xlpm.c),""),
  IF(OR(_xlpm.w="",_xlpm.v=""),"",_xlpm.v*_xlpm.w)
)</f>
        <v/>
      </c>
      <c r="CL148" s="93" t="str" cm="1">
        <f t="array" ref="CL148">_xlfn.LET(
  _xlpm.w, CL$11,
  _xlpm.r, MATCH(1,('3. Enter Indicator Scores'!$B$10:$B$161=$B148)*('3. Enter Indicator Scores'!$C$10:$C$161=$C148),0),
  _xlpm.c, MATCH(CL$8,'3. Enter Indicator Scores'!$D$8:$CZ$8,0),
  _xlpm.v, IFERROR(INDEX('3. Enter Indicator Scores'!$D$10:$CZ$161,_xlpm.r,_xlpm.c),""),
  IF(OR(_xlpm.w="",_xlpm.v=""),"",_xlpm.v*_xlpm.w)
)</f>
        <v/>
      </c>
      <c r="CM148" s="93" t="str" cm="1">
        <f t="array" ref="CM148">_xlfn.LET(
  _xlpm.w, CM$11,
  _xlpm.r, MATCH(1,('3. Enter Indicator Scores'!$B$10:$B$161=$B148)*('3. Enter Indicator Scores'!$C$10:$C$161=$C148),0),
  _xlpm.c, MATCH(CM$8,'3. Enter Indicator Scores'!$D$8:$CZ$8,0),
  _xlpm.v, IFERROR(INDEX('3. Enter Indicator Scores'!$D$10:$CZ$161,_xlpm.r,_xlpm.c),""),
  IF(OR(_xlpm.w="",_xlpm.v=""),"",_xlpm.v*_xlpm.w)
)</f>
        <v/>
      </c>
      <c r="CN148" s="93" t="str" cm="1">
        <f t="array" ref="CN148">_xlfn.LET(
  _xlpm.w, CN$11,
  _xlpm.r, MATCH(1,('3. Enter Indicator Scores'!$B$10:$B$161=$B148)*('3. Enter Indicator Scores'!$C$10:$C$161=$C148),0),
  _xlpm.c, MATCH(CN$8,'3. Enter Indicator Scores'!$D$8:$CZ$8,0),
  _xlpm.v, IFERROR(INDEX('3. Enter Indicator Scores'!$D$10:$CZ$161,_xlpm.r,_xlpm.c),""),
  IF(OR(_xlpm.w="",_xlpm.v=""),"",_xlpm.v*_xlpm.w)
)</f>
        <v/>
      </c>
      <c r="CO148" s="93" t="str" cm="1">
        <f t="array" ref="CO148">_xlfn.LET(
  _xlpm.w, CO$11,
  _xlpm.r, MATCH(1,('3. Enter Indicator Scores'!$B$10:$B$161=$B148)*('3. Enter Indicator Scores'!$C$10:$C$161=$C148),0),
  _xlpm.c, MATCH(CO$8,'3. Enter Indicator Scores'!$D$8:$CZ$8,0),
  _xlpm.v, IFERROR(INDEX('3. Enter Indicator Scores'!$D$10:$CZ$161,_xlpm.r,_xlpm.c),""),
  IF(OR(_xlpm.w="",_xlpm.v=""),"",_xlpm.v*_xlpm.w)
)</f>
        <v/>
      </c>
      <c r="CP148" s="93" t="str" cm="1">
        <f t="array" ref="CP148">_xlfn.LET(
  _xlpm.w, CP$11,
  _xlpm.r, MATCH(1,('3. Enter Indicator Scores'!$B$10:$B$161=$B148)*('3. Enter Indicator Scores'!$C$10:$C$161=$C148),0),
  _xlpm.c, MATCH(CP$8,'3. Enter Indicator Scores'!$D$8:$CZ$8,0),
  _xlpm.v, IFERROR(INDEX('3. Enter Indicator Scores'!$D$10:$CZ$161,_xlpm.r,_xlpm.c),""),
  IF(OR(_xlpm.w="",_xlpm.v=""),"",_xlpm.v*_xlpm.w)
)</f>
        <v/>
      </c>
      <c r="CQ148" s="93" t="str" cm="1">
        <f t="array" ref="CQ148">_xlfn.LET(
  _xlpm.w, CQ$11,
  _xlpm.r, MATCH(1,('3. Enter Indicator Scores'!$B$10:$B$161=$B148)*('3. Enter Indicator Scores'!$C$10:$C$161=$C148),0),
  _xlpm.c, MATCH(CQ$8,'3. Enter Indicator Scores'!$D$8:$CZ$8,0),
  _xlpm.v, IFERROR(INDEX('3. Enter Indicator Scores'!$D$10:$CZ$161,_xlpm.r,_xlpm.c),""),
  IF(OR(_xlpm.w="",_xlpm.v=""),"",_xlpm.v*_xlpm.w)
)</f>
        <v/>
      </c>
      <c r="CR148" s="93" t="str" cm="1">
        <f t="array" ref="CR148">_xlfn.LET(
  _xlpm.w, CR$11,
  _xlpm.r, MATCH(1,('3. Enter Indicator Scores'!$B$10:$B$161=$B148)*('3. Enter Indicator Scores'!$C$10:$C$161=$C148),0),
  _xlpm.c, MATCH(CR$8,'3. Enter Indicator Scores'!$D$8:$CZ$8,0),
  _xlpm.v, IFERROR(INDEX('3. Enter Indicator Scores'!$D$10:$CZ$161,_xlpm.r,_xlpm.c),""),
  IF(OR(_xlpm.w="",_xlpm.v=""),"",_xlpm.v*_xlpm.w)
)</f>
        <v/>
      </c>
      <c r="CS148" s="93" t="str" cm="1">
        <f t="array" ref="CS148">_xlfn.LET(
  _xlpm.w, CS$11,
  _xlpm.r, MATCH(1,('3. Enter Indicator Scores'!$B$10:$B$161=$B148)*('3. Enter Indicator Scores'!$C$10:$C$161=$C148),0),
  _xlpm.c, MATCH(CS$8,'3. Enter Indicator Scores'!$D$8:$CZ$8,0),
  _xlpm.v, IFERROR(INDEX('3. Enter Indicator Scores'!$D$10:$CZ$161,_xlpm.r,_xlpm.c),""),
  IF(OR(_xlpm.w="",_xlpm.v=""),"",_xlpm.v*_xlpm.w)
)</f>
        <v/>
      </c>
      <c r="CT148" s="93" t="str" cm="1">
        <f t="array" ref="CT148">_xlfn.LET(
  _xlpm.w, CT$11,
  _xlpm.r, MATCH(1,('3. Enter Indicator Scores'!$B$10:$B$161=$B148)*('3. Enter Indicator Scores'!$C$10:$C$161=$C148),0),
  _xlpm.c, MATCH(CT$8,'3. Enter Indicator Scores'!$D$8:$CZ$8,0),
  _xlpm.v, IFERROR(INDEX('3. Enter Indicator Scores'!$D$10:$CZ$161,_xlpm.r,_xlpm.c),""),
  IF(OR(_xlpm.w="",_xlpm.v=""),"",_xlpm.v*_xlpm.w)
)</f>
        <v/>
      </c>
      <c r="CU148" s="93" t="str" cm="1">
        <f t="array" ref="CU148">_xlfn.LET(
  _xlpm.w, CU$11,
  _xlpm.r, MATCH(1,('3. Enter Indicator Scores'!$B$10:$B$161=$B148)*('3. Enter Indicator Scores'!$C$10:$C$161=$C148),0),
  _xlpm.c, MATCH(CU$8,'3. Enter Indicator Scores'!$D$8:$CZ$8,0),
  _xlpm.v, IFERROR(INDEX('3. Enter Indicator Scores'!$D$10:$CZ$161,_xlpm.r,_xlpm.c),""),
  IF(OR(_xlpm.w="",_xlpm.v=""),"",_xlpm.v*_xlpm.w)
)</f>
        <v/>
      </c>
      <c r="CV148" s="93" t="str" cm="1">
        <f t="array" ref="CV148">_xlfn.LET(
  _xlpm.w, CV$11,
  _xlpm.r, MATCH(1,('3. Enter Indicator Scores'!$B$10:$B$161=$B148)*('3. Enter Indicator Scores'!$C$10:$C$161=$C148),0),
  _xlpm.c, MATCH(CV$8,'3. Enter Indicator Scores'!$D$8:$CZ$8,0),
  _xlpm.v, IFERROR(INDEX('3. Enter Indicator Scores'!$D$10:$CZ$161,_xlpm.r,_xlpm.c),""),
  IF(OR(_xlpm.w="",_xlpm.v=""),"",_xlpm.v*_xlpm.w)
)</f>
        <v/>
      </c>
      <c r="CW148" s="93" t="str" cm="1">
        <f t="array" ref="CW148">_xlfn.LET(
  _xlpm.w, CW$11,
  _xlpm.r, MATCH(1,('3. Enter Indicator Scores'!$B$10:$B$161=$B148)*('3. Enter Indicator Scores'!$C$10:$C$161=$C148),0),
  _xlpm.c, MATCH(CW$8,'3. Enter Indicator Scores'!$D$8:$CZ$8,0),
  _xlpm.v, IFERROR(INDEX('3. Enter Indicator Scores'!$D$10:$CZ$161,_xlpm.r,_xlpm.c),""),
  IF(OR(_xlpm.w="",_xlpm.v=""),"",_xlpm.v*_xlpm.w)
)</f>
        <v/>
      </c>
      <c r="CX148" s="93" t="str" cm="1">
        <f t="array" ref="CX148">_xlfn.LET(
  _xlpm.w, CX$11,
  _xlpm.r, MATCH(1,('3. Enter Indicator Scores'!$B$10:$B$161=$B148)*('3. Enter Indicator Scores'!$C$10:$C$161=$C148),0),
  _xlpm.c, MATCH(CX$8,'3. Enter Indicator Scores'!$D$8:$CZ$8,0),
  _xlpm.v, IFERROR(INDEX('3. Enter Indicator Scores'!$D$10:$CZ$161,_xlpm.r,_xlpm.c),""),
  IF(OR(_xlpm.w="",_xlpm.v=""),"",_xlpm.v*_xlpm.w)
)</f>
        <v/>
      </c>
      <c r="CY148" s="93" t="str" cm="1">
        <f t="array" ref="CY148">_xlfn.LET(
  _xlpm.w, CY$11,
  _xlpm.r, MATCH(1,('3. Enter Indicator Scores'!$B$10:$B$161=$B148)*('3. Enter Indicator Scores'!$C$10:$C$161=$C148),0),
  _xlpm.c, MATCH(CY$8,'3. Enter Indicator Scores'!$D$8:$CZ$8,0),
  _xlpm.v, IFERROR(INDEX('3. Enter Indicator Scores'!$D$10:$CZ$161,_xlpm.r,_xlpm.c),""),
  IF(OR(_xlpm.w="",_xlpm.v=""),"",_xlpm.v*_xlpm.w)
)</f>
        <v/>
      </c>
      <c r="CZ148" s="93" t="str" cm="1">
        <f t="array" ref="CZ148">_xlfn.LET(
  _xlpm.w, CZ$11,
  _xlpm.r, MATCH(1,('3. Enter Indicator Scores'!$B$10:$B$161=$B148)*('3. Enter Indicator Scores'!$C$10:$C$161=$C148),0),
  _xlpm.c, MATCH(CZ$8,'3. Enter Indicator Scores'!$D$8:$CZ$8,0),
  _xlpm.v, IFERROR(INDEX('3. Enter Indicator Scores'!$D$10:$CZ$161,_xlpm.r,_xlpm.c),""),
  IF(OR(_xlpm.w="",_xlpm.v=""),"",_xlpm.v*_xlpm.w)
)</f>
        <v/>
      </c>
    </row>
    <row r="149" spans="4:104" x14ac:dyDescent="0.2">
      <c r="D149" s="93" t="str" cm="1">
        <f t="array" ref="D149">_xlfn.LET(
  _xlpm.w, D$11,
  _xlpm.r, MATCH(1,('3. Enter Indicator Scores'!$B$10:$B$161=$B149)*('3. Enter Indicator Scores'!$C$10:$C$161=$C149),0),
  _xlpm.c, MATCH(D$8,'3. Enter Indicator Scores'!$D$8:$CZ$8,0),
  _xlpm.v, IFERROR(INDEX('3. Enter Indicator Scores'!$D$10:$CZ$161,_xlpm.r,_xlpm.c),""),
  IF(OR(_xlpm.w="",_xlpm.v=""),"",_xlpm.v*_xlpm.w)
)</f>
        <v/>
      </c>
      <c r="E149" s="93" t="str" cm="1">
        <f t="array" ref="E149">_xlfn.LET(
  _xlpm.w, E$11,
  _xlpm.r, MATCH(1,('3. Enter Indicator Scores'!$B$10:$B$161=$B149)*('3. Enter Indicator Scores'!$C$10:$C$161=$C149),0),
  _xlpm.c, MATCH(E$8,'3. Enter Indicator Scores'!$D$8:$CZ$8,0),
  _xlpm.v, IFERROR(INDEX('3. Enter Indicator Scores'!$D$10:$CZ$161,_xlpm.r,_xlpm.c),""),
  IF(OR(_xlpm.w="",_xlpm.v=""),"",_xlpm.v*_xlpm.w)
)</f>
        <v/>
      </c>
      <c r="F149" s="93" t="str" cm="1">
        <f t="array" ref="F149">_xlfn.LET(
  _xlpm.w, F$11,
  _xlpm.r, MATCH(1,('3. Enter Indicator Scores'!$B$10:$B$161=$B149)*('3. Enter Indicator Scores'!$C$10:$C$161=$C149),0),
  _xlpm.c, MATCH(F$8,'3. Enter Indicator Scores'!$D$8:$CZ$8,0),
  _xlpm.v, IFERROR(INDEX('3. Enter Indicator Scores'!$D$10:$CZ$161,_xlpm.r,_xlpm.c),""),
  IF(OR(_xlpm.w="",_xlpm.v=""),"",_xlpm.v*_xlpm.w)
)</f>
        <v/>
      </c>
      <c r="G149" s="93" t="str" cm="1">
        <f t="array" ref="G149">_xlfn.LET(
  _xlpm.w, G$11,
  _xlpm.r, MATCH(1,('3. Enter Indicator Scores'!$B$10:$B$161=$B149)*('3. Enter Indicator Scores'!$C$10:$C$161=$C149),0),
  _xlpm.c, MATCH(G$8,'3. Enter Indicator Scores'!$D$8:$CZ$8,0),
  _xlpm.v, IFERROR(INDEX('3. Enter Indicator Scores'!$D$10:$CZ$161,_xlpm.r,_xlpm.c),""),
  IF(OR(_xlpm.w="",_xlpm.v=""),"",_xlpm.v*_xlpm.w)
)</f>
        <v/>
      </c>
      <c r="H149" s="93" t="str" cm="1">
        <f t="array" ref="H149">_xlfn.LET(
  _xlpm.w, H$11,
  _xlpm.r, MATCH(1,('3. Enter Indicator Scores'!$B$10:$B$161=$B149)*('3. Enter Indicator Scores'!$C$10:$C$161=$C149),0),
  _xlpm.c, MATCH(H$8,'3. Enter Indicator Scores'!$D$8:$CZ$8,0),
  _xlpm.v, IFERROR(INDEX('3. Enter Indicator Scores'!$D$10:$CZ$161,_xlpm.r,_xlpm.c),""),
  IF(OR(_xlpm.w="",_xlpm.v=""),"",_xlpm.v*_xlpm.w)
)</f>
        <v/>
      </c>
      <c r="I149" s="93" t="str" cm="1">
        <f t="array" ref="I149">_xlfn.LET(
  _xlpm.w, I$11,
  _xlpm.r, MATCH(1,('3. Enter Indicator Scores'!$B$10:$B$161=$B149)*('3. Enter Indicator Scores'!$C$10:$C$161=$C149),0),
  _xlpm.c, MATCH(I$8,'3. Enter Indicator Scores'!$D$8:$CZ$8,0),
  _xlpm.v, IFERROR(INDEX('3. Enter Indicator Scores'!$D$10:$CZ$161,_xlpm.r,_xlpm.c),""),
  IF(OR(_xlpm.w="",_xlpm.v=""),"",_xlpm.v*_xlpm.w)
)</f>
        <v/>
      </c>
      <c r="J149" s="93" t="str" cm="1">
        <f t="array" ref="J149">_xlfn.LET(
  _xlpm.w, J$11,
  _xlpm.r, MATCH(1,('3. Enter Indicator Scores'!$B$10:$B$161=$B149)*('3. Enter Indicator Scores'!$C$10:$C$161=$C149),0),
  _xlpm.c, MATCH(J$8,'3. Enter Indicator Scores'!$D$8:$CZ$8,0),
  _xlpm.v, IFERROR(INDEX('3. Enter Indicator Scores'!$D$10:$CZ$161,_xlpm.r,_xlpm.c),""),
  IF(OR(_xlpm.w="",_xlpm.v=""),"",_xlpm.v*_xlpm.w)
)</f>
        <v/>
      </c>
      <c r="K149" s="93" t="str" cm="1">
        <f t="array" ref="K149">_xlfn.LET(
  _xlpm.w, K$11,
  _xlpm.r, MATCH(1,('3. Enter Indicator Scores'!$B$10:$B$161=$B149)*('3. Enter Indicator Scores'!$C$10:$C$161=$C149),0),
  _xlpm.c, MATCH(K$8,'3. Enter Indicator Scores'!$D$8:$CZ$8,0),
  _xlpm.v, IFERROR(INDEX('3. Enter Indicator Scores'!$D$10:$CZ$161,_xlpm.r,_xlpm.c),""),
  IF(OR(_xlpm.w="",_xlpm.v=""),"",_xlpm.v*_xlpm.w)
)</f>
        <v/>
      </c>
      <c r="L149" s="93" t="str" cm="1">
        <f t="array" ref="L149">_xlfn.LET(
  _xlpm.w, L$11,
  _xlpm.r, MATCH(1,('3. Enter Indicator Scores'!$B$10:$B$161=$B149)*('3. Enter Indicator Scores'!$C$10:$C$161=$C149),0),
  _xlpm.c, MATCH(L$8,'3. Enter Indicator Scores'!$D$8:$CZ$8,0),
  _xlpm.v, IFERROR(INDEX('3. Enter Indicator Scores'!$D$10:$CZ$161,_xlpm.r,_xlpm.c),""),
  IF(OR(_xlpm.w="",_xlpm.v=""),"",_xlpm.v*_xlpm.w)
)</f>
        <v/>
      </c>
      <c r="M149" s="93" t="str" cm="1">
        <f t="array" ref="M149">_xlfn.LET(
  _xlpm.w, M$11,
  _xlpm.r, MATCH(1,('3. Enter Indicator Scores'!$B$10:$B$161=$B149)*('3. Enter Indicator Scores'!$C$10:$C$161=$C149),0),
  _xlpm.c, MATCH(M$8,'3. Enter Indicator Scores'!$D$8:$CZ$8,0),
  _xlpm.v, IFERROR(INDEX('3. Enter Indicator Scores'!$D$10:$CZ$161,_xlpm.r,_xlpm.c),""),
  IF(OR(_xlpm.w="",_xlpm.v=""),"",_xlpm.v*_xlpm.w)
)</f>
        <v/>
      </c>
      <c r="N149" s="93" t="str" cm="1">
        <f t="array" ref="N149">_xlfn.LET(
  _xlpm.w, N$11,
  _xlpm.r, MATCH(1,('3. Enter Indicator Scores'!$B$10:$B$161=$B149)*('3. Enter Indicator Scores'!$C$10:$C$161=$C149),0),
  _xlpm.c, MATCH(N$8,'3. Enter Indicator Scores'!$D$8:$CZ$8,0),
  _xlpm.v, IFERROR(INDEX('3. Enter Indicator Scores'!$D$10:$CZ$161,_xlpm.r,_xlpm.c),""),
  IF(OR(_xlpm.w="",_xlpm.v=""),"",_xlpm.v*_xlpm.w)
)</f>
        <v/>
      </c>
      <c r="O149" s="93" t="str" cm="1">
        <f t="array" ref="O149">_xlfn.LET(
  _xlpm.w, O$11,
  _xlpm.r, MATCH(1,('3. Enter Indicator Scores'!$B$10:$B$161=$B149)*('3. Enter Indicator Scores'!$C$10:$C$161=$C149),0),
  _xlpm.c, MATCH(O$8,'3. Enter Indicator Scores'!$D$8:$CZ$8,0),
  _xlpm.v, IFERROR(INDEX('3. Enter Indicator Scores'!$D$10:$CZ$161,_xlpm.r,_xlpm.c),""),
  IF(OR(_xlpm.w="",_xlpm.v=""),"",_xlpm.v*_xlpm.w)
)</f>
        <v/>
      </c>
      <c r="P149" s="93" t="str" cm="1">
        <f t="array" ref="P149">_xlfn.LET(
  _xlpm.w, P$11,
  _xlpm.r, MATCH(1,('3. Enter Indicator Scores'!$B$10:$B$161=$B149)*('3. Enter Indicator Scores'!$C$10:$C$161=$C149),0),
  _xlpm.c, MATCH(P$8,'3. Enter Indicator Scores'!$D$8:$CZ$8,0),
  _xlpm.v, IFERROR(INDEX('3. Enter Indicator Scores'!$D$10:$CZ$161,_xlpm.r,_xlpm.c),""),
  IF(OR(_xlpm.w="",_xlpm.v=""),"",_xlpm.v*_xlpm.w)
)</f>
        <v/>
      </c>
      <c r="Q149" s="93" t="str" cm="1">
        <f t="array" ref="Q149">_xlfn.LET(
  _xlpm.w, Q$11,
  _xlpm.r, MATCH(1,('3. Enter Indicator Scores'!$B$10:$B$161=$B149)*('3. Enter Indicator Scores'!$C$10:$C$161=$C149),0),
  _xlpm.c, MATCH(Q$8,'3. Enter Indicator Scores'!$D$8:$CZ$8,0),
  _xlpm.v, IFERROR(INDEX('3. Enter Indicator Scores'!$D$10:$CZ$161,_xlpm.r,_xlpm.c),""),
  IF(OR(_xlpm.w="",_xlpm.v=""),"",_xlpm.v*_xlpm.w)
)</f>
        <v/>
      </c>
      <c r="R149" s="93" t="str" cm="1">
        <f t="array" ref="R149">_xlfn.LET(
  _xlpm.w, R$11,
  _xlpm.r, MATCH(1,('3. Enter Indicator Scores'!$B$10:$B$161=$B149)*('3. Enter Indicator Scores'!$C$10:$C$161=$C149),0),
  _xlpm.c, MATCH(R$8,'3. Enter Indicator Scores'!$D$8:$CZ$8,0),
  _xlpm.v, IFERROR(INDEX('3. Enter Indicator Scores'!$D$10:$CZ$161,_xlpm.r,_xlpm.c),""),
  IF(OR(_xlpm.w="",_xlpm.v=""),"",_xlpm.v*_xlpm.w)
)</f>
        <v/>
      </c>
      <c r="S149" s="93" t="str" cm="1">
        <f t="array" ref="S149">_xlfn.LET(
  _xlpm.w, S$11,
  _xlpm.r, MATCH(1,('3. Enter Indicator Scores'!$B$10:$B$161=$B149)*('3. Enter Indicator Scores'!$C$10:$C$161=$C149),0),
  _xlpm.c, MATCH(S$8,'3. Enter Indicator Scores'!$D$8:$CZ$8,0),
  _xlpm.v, IFERROR(INDEX('3. Enter Indicator Scores'!$D$10:$CZ$161,_xlpm.r,_xlpm.c),""),
  IF(OR(_xlpm.w="",_xlpm.v=""),"",_xlpm.v*_xlpm.w)
)</f>
        <v/>
      </c>
      <c r="T149" s="93" t="str" cm="1">
        <f t="array" ref="T149">_xlfn.LET(
  _xlpm.w, T$11,
  _xlpm.r, MATCH(1,('3. Enter Indicator Scores'!$B$10:$B$161=$B149)*('3. Enter Indicator Scores'!$C$10:$C$161=$C149),0),
  _xlpm.c, MATCH(T$8,'3. Enter Indicator Scores'!$D$8:$CZ$8,0),
  _xlpm.v, IFERROR(INDEX('3. Enter Indicator Scores'!$D$10:$CZ$161,_xlpm.r,_xlpm.c),""),
  IF(OR(_xlpm.w="",_xlpm.v=""),"",_xlpm.v*_xlpm.w)
)</f>
        <v/>
      </c>
      <c r="U149" s="93" t="str" cm="1">
        <f t="array" ref="U149">_xlfn.LET(
  _xlpm.w, U$11,
  _xlpm.r, MATCH(1,('3. Enter Indicator Scores'!$B$10:$B$161=$B149)*('3. Enter Indicator Scores'!$C$10:$C$161=$C149),0),
  _xlpm.c, MATCH(U$8,'3. Enter Indicator Scores'!$D$8:$CZ$8,0),
  _xlpm.v, IFERROR(INDEX('3. Enter Indicator Scores'!$D$10:$CZ$161,_xlpm.r,_xlpm.c),""),
  IF(OR(_xlpm.w="",_xlpm.v=""),"",_xlpm.v*_xlpm.w)
)</f>
        <v/>
      </c>
      <c r="V149" s="93" t="str" cm="1">
        <f t="array" ref="V149">_xlfn.LET(
  _xlpm.w, V$11,
  _xlpm.r, MATCH(1,('3. Enter Indicator Scores'!$B$10:$B$161=$B149)*('3. Enter Indicator Scores'!$C$10:$C$161=$C149),0),
  _xlpm.c, MATCH(V$8,'3. Enter Indicator Scores'!$D$8:$CZ$8,0),
  _xlpm.v, IFERROR(INDEX('3. Enter Indicator Scores'!$D$10:$CZ$161,_xlpm.r,_xlpm.c),""),
  IF(OR(_xlpm.w="",_xlpm.v=""),"",_xlpm.v*_xlpm.w)
)</f>
        <v/>
      </c>
      <c r="W149" s="93" t="str" cm="1">
        <f t="array" ref="W149">_xlfn.LET(
  _xlpm.w, W$11,
  _xlpm.r, MATCH(1,('3. Enter Indicator Scores'!$B$10:$B$161=$B149)*('3. Enter Indicator Scores'!$C$10:$C$161=$C149),0),
  _xlpm.c, MATCH(W$8,'3. Enter Indicator Scores'!$D$8:$CZ$8,0),
  _xlpm.v, IFERROR(INDEX('3. Enter Indicator Scores'!$D$10:$CZ$161,_xlpm.r,_xlpm.c),""),
  IF(OR(_xlpm.w="",_xlpm.v=""),"",_xlpm.v*_xlpm.w)
)</f>
        <v/>
      </c>
      <c r="X149" s="93" t="str" cm="1">
        <f t="array" ref="X149">_xlfn.LET(
  _xlpm.w, X$11,
  _xlpm.r, MATCH(1,('3. Enter Indicator Scores'!$B$10:$B$161=$B149)*('3. Enter Indicator Scores'!$C$10:$C$161=$C149),0),
  _xlpm.c, MATCH(X$8,'3. Enter Indicator Scores'!$D$8:$CZ$8,0),
  _xlpm.v, IFERROR(INDEX('3. Enter Indicator Scores'!$D$10:$CZ$161,_xlpm.r,_xlpm.c),""),
  IF(OR(_xlpm.w="",_xlpm.v=""),"",_xlpm.v*_xlpm.w)
)</f>
        <v/>
      </c>
      <c r="Y149" s="93" t="str" cm="1">
        <f t="array" ref="Y149">_xlfn.LET(
  _xlpm.w, Y$11,
  _xlpm.r, MATCH(1,('3. Enter Indicator Scores'!$B$10:$B$161=$B149)*('3. Enter Indicator Scores'!$C$10:$C$161=$C149),0),
  _xlpm.c, MATCH(Y$8,'3. Enter Indicator Scores'!$D$8:$CZ$8,0),
  _xlpm.v, IFERROR(INDEX('3. Enter Indicator Scores'!$D$10:$CZ$161,_xlpm.r,_xlpm.c),""),
  IF(OR(_xlpm.w="",_xlpm.v=""),"",_xlpm.v*_xlpm.w)
)</f>
        <v/>
      </c>
      <c r="Z149" s="93" t="str" cm="1">
        <f t="array" ref="Z149">_xlfn.LET(
  _xlpm.w, Z$11,
  _xlpm.r, MATCH(1,('3. Enter Indicator Scores'!$B$10:$B$161=$B149)*('3. Enter Indicator Scores'!$C$10:$C$161=$C149),0),
  _xlpm.c, MATCH(Z$8,'3. Enter Indicator Scores'!$D$8:$CZ$8,0),
  _xlpm.v, IFERROR(INDEX('3. Enter Indicator Scores'!$D$10:$CZ$161,_xlpm.r,_xlpm.c),""),
  IF(OR(_xlpm.w="",_xlpm.v=""),"",_xlpm.v*_xlpm.w)
)</f>
        <v/>
      </c>
      <c r="AA149" s="93" t="str" cm="1">
        <f t="array" ref="AA149">_xlfn.LET(
  _xlpm.w, AA$11,
  _xlpm.r, MATCH(1,('3. Enter Indicator Scores'!$B$10:$B$161=$B149)*('3. Enter Indicator Scores'!$C$10:$C$161=$C149),0),
  _xlpm.c, MATCH(AA$8,'3. Enter Indicator Scores'!$D$8:$CZ$8,0),
  _xlpm.v, IFERROR(INDEX('3. Enter Indicator Scores'!$D$10:$CZ$161,_xlpm.r,_xlpm.c),""),
  IF(OR(_xlpm.w="",_xlpm.v=""),"",_xlpm.v*_xlpm.w)
)</f>
        <v/>
      </c>
      <c r="AB149" s="93" t="str" cm="1">
        <f t="array" ref="AB149">_xlfn.LET(
  _xlpm.w, AB$11,
  _xlpm.r, MATCH(1,('3. Enter Indicator Scores'!$B$10:$B$161=$B149)*('3. Enter Indicator Scores'!$C$10:$C$161=$C149),0),
  _xlpm.c, MATCH(AB$8,'3. Enter Indicator Scores'!$D$8:$CZ$8,0),
  _xlpm.v, IFERROR(INDEX('3. Enter Indicator Scores'!$D$10:$CZ$161,_xlpm.r,_xlpm.c),""),
  IF(OR(_xlpm.w="",_xlpm.v=""),"",_xlpm.v*_xlpm.w)
)</f>
        <v/>
      </c>
      <c r="AC149" s="93" t="str" cm="1">
        <f t="array" ref="AC149">_xlfn.LET(
  _xlpm.w, AC$11,
  _xlpm.r, MATCH(1,('3. Enter Indicator Scores'!$B$10:$B$161=$B149)*('3. Enter Indicator Scores'!$C$10:$C$161=$C149),0),
  _xlpm.c, MATCH(AC$8,'3. Enter Indicator Scores'!$D$8:$CZ$8,0),
  _xlpm.v, IFERROR(INDEX('3. Enter Indicator Scores'!$D$10:$CZ$161,_xlpm.r,_xlpm.c),""),
  IF(OR(_xlpm.w="",_xlpm.v=""),"",_xlpm.v*_xlpm.w)
)</f>
        <v/>
      </c>
      <c r="AD149" s="93" t="str" cm="1">
        <f t="array" ref="AD149">_xlfn.LET(
  _xlpm.w, AD$11,
  _xlpm.r, MATCH(1,('3. Enter Indicator Scores'!$B$10:$B$161=$B149)*('3. Enter Indicator Scores'!$C$10:$C$161=$C149),0),
  _xlpm.c, MATCH(AD$8,'3. Enter Indicator Scores'!$D$8:$CZ$8,0),
  _xlpm.v, IFERROR(INDEX('3. Enter Indicator Scores'!$D$10:$CZ$161,_xlpm.r,_xlpm.c),""),
  IF(OR(_xlpm.w="",_xlpm.v=""),"",_xlpm.v*_xlpm.w)
)</f>
        <v/>
      </c>
      <c r="AE149" s="93" t="str" cm="1">
        <f t="array" ref="AE149">_xlfn.LET(
  _xlpm.w, AE$11,
  _xlpm.r, MATCH(1,('3. Enter Indicator Scores'!$B$10:$B$161=$B149)*('3. Enter Indicator Scores'!$C$10:$C$161=$C149),0),
  _xlpm.c, MATCH(AE$8,'3. Enter Indicator Scores'!$D$8:$CZ$8,0),
  _xlpm.v, IFERROR(INDEX('3. Enter Indicator Scores'!$D$10:$CZ$161,_xlpm.r,_xlpm.c),""),
  IF(OR(_xlpm.w="",_xlpm.v=""),"",_xlpm.v*_xlpm.w)
)</f>
        <v/>
      </c>
      <c r="AF149" s="93" t="str" cm="1">
        <f t="array" ref="AF149">_xlfn.LET(
  _xlpm.w, AF$11,
  _xlpm.r, MATCH(1,('3. Enter Indicator Scores'!$B$10:$B$161=$B149)*('3. Enter Indicator Scores'!$C$10:$C$161=$C149),0),
  _xlpm.c, MATCH(AF$8,'3. Enter Indicator Scores'!$D$8:$CZ$8,0),
  _xlpm.v, IFERROR(INDEX('3. Enter Indicator Scores'!$D$10:$CZ$161,_xlpm.r,_xlpm.c),""),
  IF(OR(_xlpm.w="",_xlpm.v=""),"",_xlpm.v*_xlpm.w)
)</f>
        <v/>
      </c>
      <c r="AG149" s="93" t="str" cm="1">
        <f t="array" ref="AG149">_xlfn.LET(
  _xlpm.w, AG$11,
  _xlpm.r, MATCH(1,('3. Enter Indicator Scores'!$B$10:$B$161=$B149)*('3. Enter Indicator Scores'!$C$10:$C$161=$C149),0),
  _xlpm.c, MATCH(AG$8,'3. Enter Indicator Scores'!$D$8:$CZ$8,0),
  _xlpm.v, IFERROR(INDEX('3. Enter Indicator Scores'!$D$10:$CZ$161,_xlpm.r,_xlpm.c),""),
  IF(OR(_xlpm.w="",_xlpm.v=""),"",_xlpm.v*_xlpm.w)
)</f>
        <v/>
      </c>
      <c r="AH149" s="93" t="str" cm="1">
        <f t="array" ref="AH149">_xlfn.LET(
  _xlpm.w, AH$11,
  _xlpm.r, MATCH(1,('3. Enter Indicator Scores'!$B$10:$B$161=$B149)*('3. Enter Indicator Scores'!$C$10:$C$161=$C149),0),
  _xlpm.c, MATCH(AH$8,'3. Enter Indicator Scores'!$D$8:$CZ$8,0),
  _xlpm.v, IFERROR(INDEX('3. Enter Indicator Scores'!$D$10:$CZ$161,_xlpm.r,_xlpm.c),""),
  IF(OR(_xlpm.w="",_xlpm.v=""),"",_xlpm.v*_xlpm.w)
)</f>
        <v/>
      </c>
      <c r="AI149" s="93" t="str" cm="1">
        <f t="array" ref="AI149">_xlfn.LET(
  _xlpm.w, AI$11,
  _xlpm.r, MATCH(1,('3. Enter Indicator Scores'!$B$10:$B$161=$B149)*('3. Enter Indicator Scores'!$C$10:$C$161=$C149),0),
  _xlpm.c, MATCH(AI$8,'3. Enter Indicator Scores'!$D$8:$CZ$8,0),
  _xlpm.v, IFERROR(INDEX('3. Enter Indicator Scores'!$D$10:$CZ$161,_xlpm.r,_xlpm.c),""),
  IF(OR(_xlpm.w="",_xlpm.v=""),"",_xlpm.v*_xlpm.w)
)</f>
        <v/>
      </c>
      <c r="AJ149" s="93" t="str" cm="1">
        <f t="array" ref="AJ149">_xlfn.LET(
  _xlpm.w, AJ$11,
  _xlpm.r, MATCH(1,('3. Enter Indicator Scores'!$B$10:$B$161=$B149)*('3. Enter Indicator Scores'!$C$10:$C$161=$C149),0),
  _xlpm.c, MATCH(AJ$8,'3. Enter Indicator Scores'!$D$8:$CZ$8,0),
  _xlpm.v, IFERROR(INDEX('3. Enter Indicator Scores'!$D$10:$CZ$161,_xlpm.r,_xlpm.c),""),
  IF(OR(_xlpm.w="",_xlpm.v=""),"",_xlpm.v*_xlpm.w)
)</f>
        <v/>
      </c>
      <c r="AK149" s="93" t="str" cm="1">
        <f t="array" ref="AK149">_xlfn.LET(
  _xlpm.w, AK$11,
  _xlpm.r, MATCH(1,('3. Enter Indicator Scores'!$B$10:$B$161=$B149)*('3. Enter Indicator Scores'!$C$10:$C$161=$C149),0),
  _xlpm.c, MATCH(AK$8,'3. Enter Indicator Scores'!$D$8:$CZ$8,0),
  _xlpm.v, IFERROR(INDEX('3. Enter Indicator Scores'!$D$10:$CZ$161,_xlpm.r,_xlpm.c),""),
  IF(OR(_xlpm.w="",_xlpm.v=""),"",_xlpm.v*_xlpm.w)
)</f>
        <v/>
      </c>
      <c r="AL149" s="93" t="str" cm="1">
        <f t="array" ref="AL149">_xlfn.LET(
  _xlpm.w, AL$11,
  _xlpm.r, MATCH(1,('3. Enter Indicator Scores'!$B$10:$B$161=$B149)*('3. Enter Indicator Scores'!$C$10:$C$161=$C149),0),
  _xlpm.c, MATCH(AL$8,'3. Enter Indicator Scores'!$D$8:$CZ$8,0),
  _xlpm.v, IFERROR(INDEX('3. Enter Indicator Scores'!$D$10:$CZ$161,_xlpm.r,_xlpm.c),""),
  IF(OR(_xlpm.w="",_xlpm.v=""),"",_xlpm.v*_xlpm.w)
)</f>
        <v/>
      </c>
      <c r="AM149" s="93" t="str" cm="1">
        <f t="array" ref="AM149">_xlfn.LET(
  _xlpm.w, AM$11,
  _xlpm.r, MATCH(1,('3. Enter Indicator Scores'!$B$10:$B$161=$B149)*('3. Enter Indicator Scores'!$C$10:$C$161=$C149),0),
  _xlpm.c, MATCH(AM$8,'3. Enter Indicator Scores'!$D$8:$CZ$8,0),
  _xlpm.v, IFERROR(INDEX('3. Enter Indicator Scores'!$D$10:$CZ$161,_xlpm.r,_xlpm.c),""),
  IF(OR(_xlpm.w="",_xlpm.v=""),"",_xlpm.v*_xlpm.w)
)</f>
        <v/>
      </c>
      <c r="AN149" s="93" t="str" cm="1">
        <f t="array" ref="AN149">_xlfn.LET(
  _xlpm.w, AN$11,
  _xlpm.r, MATCH(1,('3. Enter Indicator Scores'!$B$10:$B$161=$B149)*('3. Enter Indicator Scores'!$C$10:$C$161=$C149),0),
  _xlpm.c, MATCH(AN$8,'3. Enter Indicator Scores'!$D$8:$CZ$8,0),
  _xlpm.v, IFERROR(INDEX('3. Enter Indicator Scores'!$D$10:$CZ$161,_xlpm.r,_xlpm.c),""),
  IF(OR(_xlpm.w="",_xlpm.v=""),"",_xlpm.v*_xlpm.w)
)</f>
        <v/>
      </c>
      <c r="AO149" s="93" t="str" cm="1">
        <f t="array" ref="AO149">_xlfn.LET(
  _xlpm.w, AO$11,
  _xlpm.r, MATCH(1,('3. Enter Indicator Scores'!$B$10:$B$161=$B149)*('3. Enter Indicator Scores'!$C$10:$C$161=$C149),0),
  _xlpm.c, MATCH(AO$8,'3. Enter Indicator Scores'!$D$8:$CZ$8,0),
  _xlpm.v, IFERROR(INDEX('3. Enter Indicator Scores'!$D$10:$CZ$161,_xlpm.r,_xlpm.c),""),
  IF(OR(_xlpm.w="",_xlpm.v=""),"",_xlpm.v*_xlpm.w)
)</f>
        <v/>
      </c>
      <c r="AP149" s="93" t="str" cm="1">
        <f t="array" ref="AP149">_xlfn.LET(
  _xlpm.w, AP$11,
  _xlpm.r, MATCH(1,('3. Enter Indicator Scores'!$B$10:$B$161=$B149)*('3. Enter Indicator Scores'!$C$10:$C$161=$C149),0),
  _xlpm.c, MATCH(AP$8,'3. Enter Indicator Scores'!$D$8:$CZ$8,0),
  _xlpm.v, IFERROR(INDEX('3. Enter Indicator Scores'!$D$10:$CZ$161,_xlpm.r,_xlpm.c),""),
  IF(OR(_xlpm.w="",_xlpm.v=""),"",_xlpm.v*_xlpm.w)
)</f>
        <v/>
      </c>
      <c r="AQ149" s="93" t="str" cm="1">
        <f t="array" ref="AQ149">_xlfn.LET(
  _xlpm.w, AQ$11,
  _xlpm.r, MATCH(1,('3. Enter Indicator Scores'!$B$10:$B$161=$B149)*('3. Enter Indicator Scores'!$C$10:$C$161=$C149),0),
  _xlpm.c, MATCH(AQ$8,'3. Enter Indicator Scores'!$D$8:$CZ$8,0),
  _xlpm.v, IFERROR(INDEX('3. Enter Indicator Scores'!$D$10:$CZ$161,_xlpm.r,_xlpm.c),""),
  IF(OR(_xlpm.w="",_xlpm.v=""),"",_xlpm.v*_xlpm.w)
)</f>
        <v/>
      </c>
      <c r="AR149" s="93" t="str" cm="1">
        <f t="array" ref="AR149">_xlfn.LET(
  _xlpm.w, AR$11,
  _xlpm.r, MATCH(1,('3. Enter Indicator Scores'!$B$10:$B$161=$B149)*('3. Enter Indicator Scores'!$C$10:$C$161=$C149),0),
  _xlpm.c, MATCH(AR$8,'3. Enter Indicator Scores'!$D$8:$CZ$8,0),
  _xlpm.v, IFERROR(INDEX('3. Enter Indicator Scores'!$D$10:$CZ$161,_xlpm.r,_xlpm.c),""),
  IF(OR(_xlpm.w="",_xlpm.v=""),"",_xlpm.v*_xlpm.w)
)</f>
        <v/>
      </c>
      <c r="AS149" s="93" t="str" cm="1">
        <f t="array" ref="AS149">_xlfn.LET(
  _xlpm.w, AS$11,
  _xlpm.r, MATCH(1,('3. Enter Indicator Scores'!$B$10:$B$161=$B149)*('3. Enter Indicator Scores'!$C$10:$C$161=$C149),0),
  _xlpm.c, MATCH(AS$8,'3. Enter Indicator Scores'!$D$8:$CZ$8,0),
  _xlpm.v, IFERROR(INDEX('3. Enter Indicator Scores'!$D$10:$CZ$161,_xlpm.r,_xlpm.c),""),
  IF(OR(_xlpm.w="",_xlpm.v=""),"",_xlpm.v*_xlpm.w)
)</f>
        <v/>
      </c>
      <c r="AT149" s="93" t="str" cm="1">
        <f t="array" ref="AT149">_xlfn.LET(
  _xlpm.w, AT$11,
  _xlpm.r, MATCH(1,('3. Enter Indicator Scores'!$B$10:$B$161=$B149)*('3. Enter Indicator Scores'!$C$10:$C$161=$C149),0),
  _xlpm.c, MATCH(AT$8,'3. Enter Indicator Scores'!$D$8:$CZ$8,0),
  _xlpm.v, IFERROR(INDEX('3. Enter Indicator Scores'!$D$10:$CZ$161,_xlpm.r,_xlpm.c),""),
  IF(OR(_xlpm.w="",_xlpm.v=""),"",_xlpm.v*_xlpm.w)
)</f>
        <v/>
      </c>
      <c r="AU149" s="93" t="str" cm="1">
        <f t="array" ref="AU149">_xlfn.LET(
  _xlpm.w, AU$11,
  _xlpm.r, MATCH(1,('3. Enter Indicator Scores'!$B$10:$B$161=$B149)*('3. Enter Indicator Scores'!$C$10:$C$161=$C149),0),
  _xlpm.c, MATCH(AU$8,'3. Enter Indicator Scores'!$D$8:$CZ$8,0),
  _xlpm.v, IFERROR(INDEX('3. Enter Indicator Scores'!$D$10:$CZ$161,_xlpm.r,_xlpm.c),""),
  IF(OR(_xlpm.w="",_xlpm.v=""),"",_xlpm.v*_xlpm.w)
)</f>
        <v/>
      </c>
      <c r="AV149" s="93" t="str" cm="1">
        <f t="array" ref="AV149">_xlfn.LET(
  _xlpm.w, AV$11,
  _xlpm.r, MATCH(1,('3. Enter Indicator Scores'!$B$10:$B$161=$B149)*('3. Enter Indicator Scores'!$C$10:$C$161=$C149),0),
  _xlpm.c, MATCH(AV$8,'3. Enter Indicator Scores'!$D$8:$CZ$8,0),
  _xlpm.v, IFERROR(INDEX('3. Enter Indicator Scores'!$D$10:$CZ$161,_xlpm.r,_xlpm.c),""),
  IF(OR(_xlpm.w="",_xlpm.v=""),"",_xlpm.v*_xlpm.w)
)</f>
        <v/>
      </c>
      <c r="AW149" s="93" t="str" cm="1">
        <f t="array" ref="AW149">_xlfn.LET(
  _xlpm.w, AW$11,
  _xlpm.r, MATCH(1,('3. Enter Indicator Scores'!$B$10:$B$161=$B149)*('3. Enter Indicator Scores'!$C$10:$C$161=$C149),0),
  _xlpm.c, MATCH(AW$8,'3. Enter Indicator Scores'!$D$8:$CZ$8,0),
  _xlpm.v, IFERROR(INDEX('3. Enter Indicator Scores'!$D$10:$CZ$161,_xlpm.r,_xlpm.c),""),
  IF(OR(_xlpm.w="",_xlpm.v=""),"",_xlpm.v*_xlpm.w)
)</f>
        <v/>
      </c>
      <c r="AX149" s="93" t="str" cm="1">
        <f t="array" ref="AX149">_xlfn.LET(
  _xlpm.w, AX$11,
  _xlpm.r, MATCH(1,('3. Enter Indicator Scores'!$B$10:$B$161=$B149)*('3. Enter Indicator Scores'!$C$10:$C$161=$C149),0),
  _xlpm.c, MATCH(AX$8,'3. Enter Indicator Scores'!$D$8:$CZ$8,0),
  _xlpm.v, IFERROR(INDEX('3. Enter Indicator Scores'!$D$10:$CZ$161,_xlpm.r,_xlpm.c),""),
  IF(OR(_xlpm.w="",_xlpm.v=""),"",_xlpm.v*_xlpm.w)
)</f>
        <v/>
      </c>
      <c r="AY149" s="93" t="str" cm="1">
        <f t="array" ref="AY149">_xlfn.LET(
  _xlpm.w, AY$11,
  _xlpm.r, MATCH(1,('3. Enter Indicator Scores'!$B$10:$B$161=$B149)*('3. Enter Indicator Scores'!$C$10:$C$161=$C149),0),
  _xlpm.c, MATCH(AY$8,'3. Enter Indicator Scores'!$D$8:$CZ$8,0),
  _xlpm.v, IFERROR(INDEX('3. Enter Indicator Scores'!$D$10:$CZ$161,_xlpm.r,_xlpm.c),""),
  IF(OR(_xlpm.w="",_xlpm.v=""),"",_xlpm.v*_xlpm.w)
)</f>
        <v/>
      </c>
      <c r="AZ149" s="93" t="str" cm="1">
        <f t="array" ref="AZ149">_xlfn.LET(
  _xlpm.w, AZ$11,
  _xlpm.r, MATCH(1,('3. Enter Indicator Scores'!$B$10:$B$161=$B149)*('3. Enter Indicator Scores'!$C$10:$C$161=$C149),0),
  _xlpm.c, MATCH(AZ$8,'3. Enter Indicator Scores'!$D$8:$CZ$8,0),
  _xlpm.v, IFERROR(INDEX('3. Enter Indicator Scores'!$D$10:$CZ$161,_xlpm.r,_xlpm.c),""),
  IF(OR(_xlpm.w="",_xlpm.v=""),"",_xlpm.v*_xlpm.w)
)</f>
        <v/>
      </c>
      <c r="BA149" s="93" t="str" cm="1">
        <f t="array" ref="BA149">_xlfn.LET(
  _xlpm.w, BA$11,
  _xlpm.r, MATCH(1,('3. Enter Indicator Scores'!$B$10:$B$161=$B149)*('3. Enter Indicator Scores'!$C$10:$C$161=$C149),0),
  _xlpm.c, MATCH(BA$8,'3. Enter Indicator Scores'!$D$8:$CZ$8,0),
  _xlpm.v, IFERROR(INDEX('3. Enter Indicator Scores'!$D$10:$CZ$161,_xlpm.r,_xlpm.c),""),
  IF(OR(_xlpm.w="",_xlpm.v=""),"",_xlpm.v*_xlpm.w)
)</f>
        <v/>
      </c>
      <c r="BB149" s="93" t="str" cm="1">
        <f t="array" ref="BB149">_xlfn.LET(
  _xlpm.w, BB$11,
  _xlpm.r, MATCH(1,('3. Enter Indicator Scores'!$B$10:$B$161=$B149)*('3. Enter Indicator Scores'!$C$10:$C$161=$C149),0),
  _xlpm.c, MATCH(BB$8,'3. Enter Indicator Scores'!$D$8:$CZ$8,0),
  _xlpm.v, IFERROR(INDEX('3. Enter Indicator Scores'!$D$10:$CZ$161,_xlpm.r,_xlpm.c),""),
  IF(OR(_xlpm.w="",_xlpm.v=""),"",_xlpm.v*_xlpm.w)
)</f>
        <v/>
      </c>
      <c r="BC149" s="93" t="str" cm="1">
        <f t="array" ref="BC149">_xlfn.LET(
  _xlpm.w, BC$11,
  _xlpm.r, MATCH(1,('3. Enter Indicator Scores'!$B$10:$B$161=$B149)*('3. Enter Indicator Scores'!$C$10:$C$161=$C149),0),
  _xlpm.c, MATCH(BC$8,'3. Enter Indicator Scores'!$D$8:$CZ$8,0),
  _xlpm.v, IFERROR(INDEX('3. Enter Indicator Scores'!$D$10:$CZ$161,_xlpm.r,_xlpm.c),""),
  IF(OR(_xlpm.w="",_xlpm.v=""),"",_xlpm.v*_xlpm.w)
)</f>
        <v/>
      </c>
      <c r="BD149" s="93" t="str" cm="1">
        <f t="array" ref="BD149">_xlfn.LET(
  _xlpm.w, BD$11,
  _xlpm.r, MATCH(1,('3. Enter Indicator Scores'!$B$10:$B$161=$B149)*('3. Enter Indicator Scores'!$C$10:$C$161=$C149),0),
  _xlpm.c, MATCH(BD$8,'3. Enter Indicator Scores'!$D$8:$CZ$8,0),
  _xlpm.v, IFERROR(INDEX('3. Enter Indicator Scores'!$D$10:$CZ$161,_xlpm.r,_xlpm.c),""),
  IF(OR(_xlpm.w="",_xlpm.v=""),"",_xlpm.v*_xlpm.w)
)</f>
        <v/>
      </c>
      <c r="BE149" s="93" t="str" cm="1">
        <f t="array" ref="BE149">_xlfn.LET(
  _xlpm.w, BE$11,
  _xlpm.r, MATCH(1,('3. Enter Indicator Scores'!$B$10:$B$161=$B149)*('3. Enter Indicator Scores'!$C$10:$C$161=$C149),0),
  _xlpm.c, MATCH(BE$8,'3. Enter Indicator Scores'!$D$8:$CZ$8,0),
  _xlpm.v, IFERROR(INDEX('3. Enter Indicator Scores'!$D$10:$CZ$161,_xlpm.r,_xlpm.c),""),
  IF(OR(_xlpm.w="",_xlpm.v=""),"",_xlpm.v*_xlpm.w)
)</f>
        <v/>
      </c>
      <c r="BF149" s="93" t="str" cm="1">
        <f t="array" ref="BF149">_xlfn.LET(
  _xlpm.w, BF$11,
  _xlpm.r, MATCH(1,('3. Enter Indicator Scores'!$B$10:$B$161=$B149)*('3. Enter Indicator Scores'!$C$10:$C$161=$C149),0),
  _xlpm.c, MATCH(BF$8,'3. Enter Indicator Scores'!$D$8:$CZ$8,0),
  _xlpm.v, IFERROR(INDEX('3. Enter Indicator Scores'!$D$10:$CZ$161,_xlpm.r,_xlpm.c),""),
  IF(OR(_xlpm.w="",_xlpm.v=""),"",_xlpm.v*_xlpm.w)
)</f>
        <v/>
      </c>
      <c r="BG149" s="93" t="str" cm="1">
        <f t="array" ref="BG149">_xlfn.LET(
  _xlpm.w, BG$11,
  _xlpm.r, MATCH(1,('3. Enter Indicator Scores'!$B$10:$B$161=$B149)*('3. Enter Indicator Scores'!$C$10:$C$161=$C149),0),
  _xlpm.c, MATCH(BG$8,'3. Enter Indicator Scores'!$D$8:$CZ$8,0),
  _xlpm.v, IFERROR(INDEX('3. Enter Indicator Scores'!$D$10:$CZ$161,_xlpm.r,_xlpm.c),""),
  IF(OR(_xlpm.w="",_xlpm.v=""),"",_xlpm.v*_xlpm.w)
)</f>
        <v/>
      </c>
      <c r="BH149" s="93" t="str" cm="1">
        <f t="array" ref="BH149">_xlfn.LET(
  _xlpm.w, BH$11,
  _xlpm.r, MATCH(1,('3. Enter Indicator Scores'!$B$10:$B$161=$B149)*('3. Enter Indicator Scores'!$C$10:$C$161=$C149),0),
  _xlpm.c, MATCH(BH$8,'3. Enter Indicator Scores'!$D$8:$CZ$8,0),
  _xlpm.v, IFERROR(INDEX('3. Enter Indicator Scores'!$D$10:$CZ$161,_xlpm.r,_xlpm.c),""),
  IF(OR(_xlpm.w="",_xlpm.v=""),"",_xlpm.v*_xlpm.w)
)</f>
        <v/>
      </c>
      <c r="BI149" s="93" t="str" cm="1">
        <f t="array" ref="BI149">_xlfn.LET(
  _xlpm.w, BI$11,
  _xlpm.r, MATCH(1,('3. Enter Indicator Scores'!$B$10:$B$161=$B149)*('3. Enter Indicator Scores'!$C$10:$C$161=$C149),0),
  _xlpm.c, MATCH(BI$8,'3. Enter Indicator Scores'!$D$8:$CZ$8,0),
  _xlpm.v, IFERROR(INDEX('3. Enter Indicator Scores'!$D$10:$CZ$161,_xlpm.r,_xlpm.c),""),
  IF(OR(_xlpm.w="",_xlpm.v=""),"",_xlpm.v*_xlpm.w)
)</f>
        <v/>
      </c>
      <c r="BJ149" s="93" t="str" cm="1">
        <f t="array" ref="BJ149">_xlfn.LET(
  _xlpm.w, BJ$11,
  _xlpm.r, MATCH(1,('3. Enter Indicator Scores'!$B$10:$B$161=$B149)*('3. Enter Indicator Scores'!$C$10:$C$161=$C149),0),
  _xlpm.c, MATCH(BJ$8,'3. Enter Indicator Scores'!$D$8:$CZ$8,0),
  _xlpm.v, IFERROR(INDEX('3. Enter Indicator Scores'!$D$10:$CZ$161,_xlpm.r,_xlpm.c),""),
  IF(OR(_xlpm.w="",_xlpm.v=""),"",_xlpm.v*_xlpm.w)
)</f>
        <v/>
      </c>
      <c r="BK149" s="93" t="str" cm="1">
        <f t="array" ref="BK149">_xlfn.LET(
  _xlpm.w, BK$11,
  _xlpm.r, MATCH(1,('3. Enter Indicator Scores'!$B$10:$B$161=$B149)*('3. Enter Indicator Scores'!$C$10:$C$161=$C149),0),
  _xlpm.c, MATCH(BK$8,'3. Enter Indicator Scores'!$D$8:$CZ$8,0),
  _xlpm.v, IFERROR(INDEX('3. Enter Indicator Scores'!$D$10:$CZ$161,_xlpm.r,_xlpm.c),""),
  IF(OR(_xlpm.w="",_xlpm.v=""),"",_xlpm.v*_xlpm.w)
)</f>
        <v/>
      </c>
      <c r="BL149" s="93" t="str" cm="1">
        <f t="array" ref="BL149">_xlfn.LET(
  _xlpm.w, BL$11,
  _xlpm.r, MATCH(1,('3. Enter Indicator Scores'!$B$10:$B$161=$B149)*('3. Enter Indicator Scores'!$C$10:$C$161=$C149),0),
  _xlpm.c, MATCH(BL$8,'3. Enter Indicator Scores'!$D$8:$CZ$8,0),
  _xlpm.v, IFERROR(INDEX('3. Enter Indicator Scores'!$D$10:$CZ$161,_xlpm.r,_xlpm.c),""),
  IF(OR(_xlpm.w="",_xlpm.v=""),"",_xlpm.v*_xlpm.w)
)</f>
        <v/>
      </c>
      <c r="BM149" s="93" t="str" cm="1">
        <f t="array" ref="BM149">_xlfn.LET(
  _xlpm.w, BM$11,
  _xlpm.r, MATCH(1,('3. Enter Indicator Scores'!$B$10:$B$161=$B149)*('3. Enter Indicator Scores'!$C$10:$C$161=$C149),0),
  _xlpm.c, MATCH(BM$8,'3. Enter Indicator Scores'!$D$8:$CZ$8,0),
  _xlpm.v, IFERROR(INDEX('3. Enter Indicator Scores'!$D$10:$CZ$161,_xlpm.r,_xlpm.c),""),
  IF(OR(_xlpm.w="",_xlpm.v=""),"",_xlpm.v*_xlpm.w)
)</f>
        <v/>
      </c>
      <c r="BN149" s="93" t="str" cm="1">
        <f t="array" ref="BN149">_xlfn.LET(
  _xlpm.w, BN$11,
  _xlpm.r, MATCH(1,('3. Enter Indicator Scores'!$B$10:$B$161=$B149)*('3. Enter Indicator Scores'!$C$10:$C$161=$C149),0),
  _xlpm.c, MATCH(BN$8,'3. Enter Indicator Scores'!$D$8:$CZ$8,0),
  _xlpm.v, IFERROR(INDEX('3. Enter Indicator Scores'!$D$10:$CZ$161,_xlpm.r,_xlpm.c),""),
  IF(OR(_xlpm.w="",_xlpm.v=""),"",_xlpm.v*_xlpm.w)
)</f>
        <v/>
      </c>
      <c r="BO149" s="93" t="str" cm="1">
        <f t="array" ref="BO149">_xlfn.LET(
  _xlpm.w, BO$11,
  _xlpm.r, MATCH(1,('3. Enter Indicator Scores'!$B$10:$B$161=$B149)*('3. Enter Indicator Scores'!$C$10:$C$161=$C149),0),
  _xlpm.c, MATCH(BO$8,'3. Enter Indicator Scores'!$D$8:$CZ$8,0),
  _xlpm.v, IFERROR(INDEX('3. Enter Indicator Scores'!$D$10:$CZ$161,_xlpm.r,_xlpm.c),""),
  IF(OR(_xlpm.w="",_xlpm.v=""),"",_xlpm.v*_xlpm.w)
)</f>
        <v/>
      </c>
      <c r="BP149" s="93" t="str" cm="1">
        <f t="array" ref="BP149">_xlfn.LET(
  _xlpm.w, BP$11,
  _xlpm.r, MATCH(1,('3. Enter Indicator Scores'!$B$10:$B$161=$B149)*('3. Enter Indicator Scores'!$C$10:$C$161=$C149),0),
  _xlpm.c, MATCH(BP$8,'3. Enter Indicator Scores'!$D$8:$CZ$8,0),
  _xlpm.v, IFERROR(INDEX('3. Enter Indicator Scores'!$D$10:$CZ$161,_xlpm.r,_xlpm.c),""),
  IF(OR(_xlpm.w="",_xlpm.v=""),"",_xlpm.v*_xlpm.w)
)</f>
        <v/>
      </c>
      <c r="BQ149" s="93" t="str" cm="1">
        <f t="array" ref="BQ149">_xlfn.LET(
  _xlpm.w, BQ$11,
  _xlpm.r, MATCH(1,('3. Enter Indicator Scores'!$B$10:$B$161=$B149)*('3. Enter Indicator Scores'!$C$10:$C$161=$C149),0),
  _xlpm.c, MATCH(BQ$8,'3. Enter Indicator Scores'!$D$8:$CZ$8,0),
  _xlpm.v, IFERROR(INDEX('3. Enter Indicator Scores'!$D$10:$CZ$161,_xlpm.r,_xlpm.c),""),
  IF(OR(_xlpm.w="",_xlpm.v=""),"",_xlpm.v*_xlpm.w)
)</f>
        <v/>
      </c>
      <c r="BR149" s="93" t="str" cm="1">
        <f t="array" ref="BR149">_xlfn.LET(
  _xlpm.w, BR$11,
  _xlpm.r, MATCH(1,('3. Enter Indicator Scores'!$B$10:$B$161=$B149)*('3. Enter Indicator Scores'!$C$10:$C$161=$C149),0),
  _xlpm.c, MATCH(BR$8,'3. Enter Indicator Scores'!$D$8:$CZ$8,0),
  _xlpm.v, IFERROR(INDEX('3. Enter Indicator Scores'!$D$10:$CZ$161,_xlpm.r,_xlpm.c),""),
  IF(OR(_xlpm.w="",_xlpm.v=""),"",_xlpm.v*_xlpm.w)
)</f>
        <v/>
      </c>
      <c r="BS149" s="93" t="str" cm="1">
        <f t="array" ref="BS149">_xlfn.LET(
  _xlpm.w, BS$11,
  _xlpm.r, MATCH(1,('3. Enter Indicator Scores'!$B$10:$B$161=$B149)*('3. Enter Indicator Scores'!$C$10:$C$161=$C149),0),
  _xlpm.c, MATCH(BS$8,'3. Enter Indicator Scores'!$D$8:$CZ$8,0),
  _xlpm.v, IFERROR(INDEX('3. Enter Indicator Scores'!$D$10:$CZ$161,_xlpm.r,_xlpm.c),""),
  IF(OR(_xlpm.w="",_xlpm.v=""),"",_xlpm.v*_xlpm.w)
)</f>
        <v/>
      </c>
      <c r="BT149" s="93" t="str" cm="1">
        <f t="array" ref="BT149">_xlfn.LET(
  _xlpm.w, BT$11,
  _xlpm.r, MATCH(1,('3. Enter Indicator Scores'!$B$10:$B$161=$B149)*('3. Enter Indicator Scores'!$C$10:$C$161=$C149),0),
  _xlpm.c, MATCH(BT$8,'3. Enter Indicator Scores'!$D$8:$CZ$8,0),
  _xlpm.v, IFERROR(INDEX('3. Enter Indicator Scores'!$D$10:$CZ$161,_xlpm.r,_xlpm.c),""),
  IF(OR(_xlpm.w="",_xlpm.v=""),"",_xlpm.v*_xlpm.w)
)</f>
        <v/>
      </c>
      <c r="BU149" s="93" t="str" cm="1">
        <f t="array" ref="BU149">_xlfn.LET(
  _xlpm.w, BU$11,
  _xlpm.r, MATCH(1,('3. Enter Indicator Scores'!$B$10:$B$161=$B149)*('3. Enter Indicator Scores'!$C$10:$C$161=$C149),0),
  _xlpm.c, MATCH(BU$8,'3. Enter Indicator Scores'!$D$8:$CZ$8,0),
  _xlpm.v, IFERROR(INDEX('3. Enter Indicator Scores'!$D$10:$CZ$161,_xlpm.r,_xlpm.c),""),
  IF(OR(_xlpm.w="",_xlpm.v=""),"",_xlpm.v*_xlpm.w)
)</f>
        <v/>
      </c>
      <c r="BV149" s="93" t="str" cm="1">
        <f t="array" ref="BV149">_xlfn.LET(
  _xlpm.w, BV$11,
  _xlpm.r, MATCH(1,('3. Enter Indicator Scores'!$B$10:$B$161=$B149)*('3. Enter Indicator Scores'!$C$10:$C$161=$C149),0),
  _xlpm.c, MATCH(BV$8,'3. Enter Indicator Scores'!$D$8:$CZ$8,0),
  _xlpm.v, IFERROR(INDEX('3. Enter Indicator Scores'!$D$10:$CZ$161,_xlpm.r,_xlpm.c),""),
  IF(OR(_xlpm.w="",_xlpm.v=""),"",_xlpm.v*_xlpm.w)
)</f>
        <v/>
      </c>
      <c r="BW149" s="93" t="str" cm="1">
        <f t="array" ref="BW149">_xlfn.LET(
  _xlpm.w, BW$11,
  _xlpm.r, MATCH(1,('3. Enter Indicator Scores'!$B$10:$B$161=$B149)*('3. Enter Indicator Scores'!$C$10:$C$161=$C149),0),
  _xlpm.c, MATCH(BW$8,'3. Enter Indicator Scores'!$D$8:$CZ$8,0),
  _xlpm.v, IFERROR(INDEX('3. Enter Indicator Scores'!$D$10:$CZ$161,_xlpm.r,_xlpm.c),""),
  IF(OR(_xlpm.w="",_xlpm.v=""),"",_xlpm.v*_xlpm.w)
)</f>
        <v/>
      </c>
      <c r="BX149" s="93" t="str" cm="1">
        <f t="array" ref="BX149">_xlfn.LET(
  _xlpm.w, BX$11,
  _xlpm.r, MATCH(1,('3. Enter Indicator Scores'!$B$10:$B$161=$B149)*('3. Enter Indicator Scores'!$C$10:$C$161=$C149),0),
  _xlpm.c, MATCH(BX$8,'3. Enter Indicator Scores'!$D$8:$CZ$8,0),
  _xlpm.v, IFERROR(INDEX('3. Enter Indicator Scores'!$D$10:$CZ$161,_xlpm.r,_xlpm.c),""),
  IF(OR(_xlpm.w="",_xlpm.v=""),"",_xlpm.v*_xlpm.w)
)</f>
        <v/>
      </c>
      <c r="BY149" s="93" t="str" cm="1">
        <f t="array" ref="BY149">_xlfn.LET(
  _xlpm.w, BY$11,
  _xlpm.r, MATCH(1,('3. Enter Indicator Scores'!$B$10:$B$161=$B149)*('3. Enter Indicator Scores'!$C$10:$C$161=$C149),0),
  _xlpm.c, MATCH(BY$8,'3. Enter Indicator Scores'!$D$8:$CZ$8,0),
  _xlpm.v, IFERROR(INDEX('3. Enter Indicator Scores'!$D$10:$CZ$161,_xlpm.r,_xlpm.c),""),
  IF(OR(_xlpm.w="",_xlpm.v=""),"",_xlpm.v*_xlpm.w)
)</f>
        <v/>
      </c>
      <c r="BZ149" s="93" t="str" cm="1">
        <f t="array" ref="BZ149">_xlfn.LET(
  _xlpm.w, BZ$11,
  _xlpm.r, MATCH(1,('3. Enter Indicator Scores'!$B$10:$B$161=$B149)*('3. Enter Indicator Scores'!$C$10:$C$161=$C149),0),
  _xlpm.c, MATCH(BZ$8,'3. Enter Indicator Scores'!$D$8:$CZ$8,0),
  _xlpm.v, IFERROR(INDEX('3. Enter Indicator Scores'!$D$10:$CZ$161,_xlpm.r,_xlpm.c),""),
  IF(OR(_xlpm.w="",_xlpm.v=""),"",_xlpm.v*_xlpm.w)
)</f>
        <v/>
      </c>
      <c r="CA149" s="93" t="str" cm="1">
        <f t="array" ref="CA149">_xlfn.LET(
  _xlpm.w, CA$11,
  _xlpm.r, MATCH(1,('3. Enter Indicator Scores'!$B$10:$B$161=$B149)*('3. Enter Indicator Scores'!$C$10:$C$161=$C149),0),
  _xlpm.c, MATCH(CA$8,'3. Enter Indicator Scores'!$D$8:$CZ$8,0),
  _xlpm.v, IFERROR(INDEX('3. Enter Indicator Scores'!$D$10:$CZ$161,_xlpm.r,_xlpm.c),""),
  IF(OR(_xlpm.w="",_xlpm.v=""),"",_xlpm.v*_xlpm.w)
)</f>
        <v/>
      </c>
      <c r="CB149" s="93" t="str" cm="1">
        <f t="array" ref="CB149">_xlfn.LET(
  _xlpm.w, CB$11,
  _xlpm.r, MATCH(1,('3. Enter Indicator Scores'!$B$10:$B$161=$B149)*('3. Enter Indicator Scores'!$C$10:$C$161=$C149),0),
  _xlpm.c, MATCH(CB$8,'3. Enter Indicator Scores'!$D$8:$CZ$8,0),
  _xlpm.v, IFERROR(INDEX('3. Enter Indicator Scores'!$D$10:$CZ$161,_xlpm.r,_xlpm.c),""),
  IF(OR(_xlpm.w="",_xlpm.v=""),"",_xlpm.v*_xlpm.w)
)</f>
        <v/>
      </c>
      <c r="CC149" s="93" t="str" cm="1">
        <f t="array" ref="CC149">_xlfn.LET(
  _xlpm.w, CC$11,
  _xlpm.r, MATCH(1,('3. Enter Indicator Scores'!$B$10:$B$161=$B149)*('3. Enter Indicator Scores'!$C$10:$C$161=$C149),0),
  _xlpm.c, MATCH(CC$8,'3. Enter Indicator Scores'!$D$8:$CZ$8,0),
  _xlpm.v, IFERROR(INDEX('3. Enter Indicator Scores'!$D$10:$CZ$161,_xlpm.r,_xlpm.c),""),
  IF(OR(_xlpm.w="",_xlpm.v=""),"",_xlpm.v*_xlpm.w)
)</f>
        <v/>
      </c>
      <c r="CD149" s="93" t="str" cm="1">
        <f t="array" ref="CD149">_xlfn.LET(
  _xlpm.w, CD$11,
  _xlpm.r, MATCH(1,('3. Enter Indicator Scores'!$B$10:$B$161=$B149)*('3. Enter Indicator Scores'!$C$10:$C$161=$C149),0),
  _xlpm.c, MATCH(CD$8,'3. Enter Indicator Scores'!$D$8:$CZ$8,0),
  _xlpm.v, IFERROR(INDEX('3. Enter Indicator Scores'!$D$10:$CZ$161,_xlpm.r,_xlpm.c),""),
  IF(OR(_xlpm.w="",_xlpm.v=""),"",_xlpm.v*_xlpm.w)
)</f>
        <v/>
      </c>
      <c r="CE149" s="93" t="str" cm="1">
        <f t="array" ref="CE149">_xlfn.LET(
  _xlpm.w, CE$11,
  _xlpm.r, MATCH(1,('3. Enter Indicator Scores'!$B$10:$B$161=$B149)*('3. Enter Indicator Scores'!$C$10:$C$161=$C149),0),
  _xlpm.c, MATCH(CE$8,'3. Enter Indicator Scores'!$D$8:$CZ$8,0),
  _xlpm.v, IFERROR(INDEX('3. Enter Indicator Scores'!$D$10:$CZ$161,_xlpm.r,_xlpm.c),""),
  IF(OR(_xlpm.w="",_xlpm.v=""),"",_xlpm.v*_xlpm.w)
)</f>
        <v/>
      </c>
      <c r="CF149" s="93" t="str" cm="1">
        <f t="array" ref="CF149">_xlfn.LET(
  _xlpm.w, CF$11,
  _xlpm.r, MATCH(1,('3. Enter Indicator Scores'!$B$10:$B$161=$B149)*('3. Enter Indicator Scores'!$C$10:$C$161=$C149),0),
  _xlpm.c, MATCH(CF$8,'3. Enter Indicator Scores'!$D$8:$CZ$8,0),
  _xlpm.v, IFERROR(INDEX('3. Enter Indicator Scores'!$D$10:$CZ$161,_xlpm.r,_xlpm.c),""),
  IF(OR(_xlpm.w="",_xlpm.v=""),"",_xlpm.v*_xlpm.w)
)</f>
        <v/>
      </c>
      <c r="CG149" s="93" t="str" cm="1">
        <f t="array" ref="CG149">_xlfn.LET(
  _xlpm.w, CG$11,
  _xlpm.r, MATCH(1,('3. Enter Indicator Scores'!$B$10:$B$161=$B149)*('3. Enter Indicator Scores'!$C$10:$C$161=$C149),0),
  _xlpm.c, MATCH(CG$8,'3. Enter Indicator Scores'!$D$8:$CZ$8,0),
  _xlpm.v, IFERROR(INDEX('3. Enter Indicator Scores'!$D$10:$CZ$161,_xlpm.r,_xlpm.c),""),
  IF(OR(_xlpm.w="",_xlpm.v=""),"",_xlpm.v*_xlpm.w)
)</f>
        <v/>
      </c>
      <c r="CH149" s="93" t="str" cm="1">
        <f t="array" ref="CH149">_xlfn.LET(
  _xlpm.w, CH$11,
  _xlpm.r, MATCH(1,('3. Enter Indicator Scores'!$B$10:$B$161=$B149)*('3. Enter Indicator Scores'!$C$10:$C$161=$C149),0),
  _xlpm.c, MATCH(CH$8,'3. Enter Indicator Scores'!$D$8:$CZ$8,0),
  _xlpm.v, IFERROR(INDEX('3. Enter Indicator Scores'!$D$10:$CZ$161,_xlpm.r,_xlpm.c),""),
  IF(OR(_xlpm.w="",_xlpm.v=""),"",_xlpm.v*_xlpm.w)
)</f>
        <v/>
      </c>
      <c r="CI149" s="93" t="str" cm="1">
        <f t="array" ref="CI149">_xlfn.LET(
  _xlpm.w, CI$11,
  _xlpm.r, MATCH(1,('3. Enter Indicator Scores'!$B$10:$B$161=$B149)*('3. Enter Indicator Scores'!$C$10:$C$161=$C149),0),
  _xlpm.c, MATCH(CI$8,'3. Enter Indicator Scores'!$D$8:$CZ$8,0),
  _xlpm.v, IFERROR(INDEX('3. Enter Indicator Scores'!$D$10:$CZ$161,_xlpm.r,_xlpm.c),""),
  IF(OR(_xlpm.w="",_xlpm.v=""),"",_xlpm.v*_xlpm.w)
)</f>
        <v/>
      </c>
      <c r="CJ149" s="93" t="str" cm="1">
        <f t="array" ref="CJ149">_xlfn.LET(
  _xlpm.w, CJ$11,
  _xlpm.r, MATCH(1,('3. Enter Indicator Scores'!$B$10:$B$161=$B149)*('3. Enter Indicator Scores'!$C$10:$C$161=$C149),0),
  _xlpm.c, MATCH(CJ$8,'3. Enter Indicator Scores'!$D$8:$CZ$8,0),
  _xlpm.v, IFERROR(INDEX('3. Enter Indicator Scores'!$D$10:$CZ$161,_xlpm.r,_xlpm.c),""),
  IF(OR(_xlpm.w="",_xlpm.v=""),"",_xlpm.v*_xlpm.w)
)</f>
        <v/>
      </c>
      <c r="CK149" s="93" t="str" cm="1">
        <f t="array" ref="CK149">_xlfn.LET(
  _xlpm.w, CK$11,
  _xlpm.r, MATCH(1,('3. Enter Indicator Scores'!$B$10:$B$161=$B149)*('3. Enter Indicator Scores'!$C$10:$C$161=$C149),0),
  _xlpm.c, MATCH(CK$8,'3. Enter Indicator Scores'!$D$8:$CZ$8,0),
  _xlpm.v, IFERROR(INDEX('3. Enter Indicator Scores'!$D$10:$CZ$161,_xlpm.r,_xlpm.c),""),
  IF(OR(_xlpm.w="",_xlpm.v=""),"",_xlpm.v*_xlpm.w)
)</f>
        <v/>
      </c>
      <c r="CL149" s="93" t="str" cm="1">
        <f t="array" ref="CL149">_xlfn.LET(
  _xlpm.w, CL$11,
  _xlpm.r, MATCH(1,('3. Enter Indicator Scores'!$B$10:$B$161=$B149)*('3. Enter Indicator Scores'!$C$10:$C$161=$C149),0),
  _xlpm.c, MATCH(CL$8,'3. Enter Indicator Scores'!$D$8:$CZ$8,0),
  _xlpm.v, IFERROR(INDEX('3. Enter Indicator Scores'!$D$10:$CZ$161,_xlpm.r,_xlpm.c),""),
  IF(OR(_xlpm.w="",_xlpm.v=""),"",_xlpm.v*_xlpm.w)
)</f>
        <v/>
      </c>
      <c r="CM149" s="93" t="str" cm="1">
        <f t="array" ref="CM149">_xlfn.LET(
  _xlpm.w, CM$11,
  _xlpm.r, MATCH(1,('3. Enter Indicator Scores'!$B$10:$B$161=$B149)*('3. Enter Indicator Scores'!$C$10:$C$161=$C149),0),
  _xlpm.c, MATCH(CM$8,'3. Enter Indicator Scores'!$D$8:$CZ$8,0),
  _xlpm.v, IFERROR(INDEX('3. Enter Indicator Scores'!$D$10:$CZ$161,_xlpm.r,_xlpm.c),""),
  IF(OR(_xlpm.w="",_xlpm.v=""),"",_xlpm.v*_xlpm.w)
)</f>
        <v/>
      </c>
      <c r="CN149" s="93" t="str" cm="1">
        <f t="array" ref="CN149">_xlfn.LET(
  _xlpm.w, CN$11,
  _xlpm.r, MATCH(1,('3. Enter Indicator Scores'!$B$10:$B$161=$B149)*('3. Enter Indicator Scores'!$C$10:$C$161=$C149),0),
  _xlpm.c, MATCH(CN$8,'3. Enter Indicator Scores'!$D$8:$CZ$8,0),
  _xlpm.v, IFERROR(INDEX('3. Enter Indicator Scores'!$D$10:$CZ$161,_xlpm.r,_xlpm.c),""),
  IF(OR(_xlpm.w="",_xlpm.v=""),"",_xlpm.v*_xlpm.w)
)</f>
        <v/>
      </c>
      <c r="CO149" s="93" t="str" cm="1">
        <f t="array" ref="CO149">_xlfn.LET(
  _xlpm.w, CO$11,
  _xlpm.r, MATCH(1,('3. Enter Indicator Scores'!$B$10:$B$161=$B149)*('3. Enter Indicator Scores'!$C$10:$C$161=$C149),0),
  _xlpm.c, MATCH(CO$8,'3. Enter Indicator Scores'!$D$8:$CZ$8,0),
  _xlpm.v, IFERROR(INDEX('3. Enter Indicator Scores'!$D$10:$CZ$161,_xlpm.r,_xlpm.c),""),
  IF(OR(_xlpm.w="",_xlpm.v=""),"",_xlpm.v*_xlpm.w)
)</f>
        <v/>
      </c>
      <c r="CP149" s="93" t="str" cm="1">
        <f t="array" ref="CP149">_xlfn.LET(
  _xlpm.w, CP$11,
  _xlpm.r, MATCH(1,('3. Enter Indicator Scores'!$B$10:$B$161=$B149)*('3. Enter Indicator Scores'!$C$10:$C$161=$C149),0),
  _xlpm.c, MATCH(CP$8,'3. Enter Indicator Scores'!$D$8:$CZ$8,0),
  _xlpm.v, IFERROR(INDEX('3. Enter Indicator Scores'!$D$10:$CZ$161,_xlpm.r,_xlpm.c),""),
  IF(OR(_xlpm.w="",_xlpm.v=""),"",_xlpm.v*_xlpm.w)
)</f>
        <v/>
      </c>
      <c r="CQ149" s="93" t="str" cm="1">
        <f t="array" ref="CQ149">_xlfn.LET(
  _xlpm.w, CQ$11,
  _xlpm.r, MATCH(1,('3. Enter Indicator Scores'!$B$10:$B$161=$B149)*('3. Enter Indicator Scores'!$C$10:$C$161=$C149),0),
  _xlpm.c, MATCH(CQ$8,'3. Enter Indicator Scores'!$D$8:$CZ$8,0),
  _xlpm.v, IFERROR(INDEX('3. Enter Indicator Scores'!$D$10:$CZ$161,_xlpm.r,_xlpm.c),""),
  IF(OR(_xlpm.w="",_xlpm.v=""),"",_xlpm.v*_xlpm.w)
)</f>
        <v/>
      </c>
      <c r="CR149" s="93" t="str" cm="1">
        <f t="array" ref="CR149">_xlfn.LET(
  _xlpm.w, CR$11,
  _xlpm.r, MATCH(1,('3. Enter Indicator Scores'!$B$10:$B$161=$B149)*('3. Enter Indicator Scores'!$C$10:$C$161=$C149),0),
  _xlpm.c, MATCH(CR$8,'3. Enter Indicator Scores'!$D$8:$CZ$8,0),
  _xlpm.v, IFERROR(INDEX('3. Enter Indicator Scores'!$D$10:$CZ$161,_xlpm.r,_xlpm.c),""),
  IF(OR(_xlpm.w="",_xlpm.v=""),"",_xlpm.v*_xlpm.w)
)</f>
        <v/>
      </c>
      <c r="CS149" s="93" t="str" cm="1">
        <f t="array" ref="CS149">_xlfn.LET(
  _xlpm.w, CS$11,
  _xlpm.r, MATCH(1,('3. Enter Indicator Scores'!$B$10:$B$161=$B149)*('3. Enter Indicator Scores'!$C$10:$C$161=$C149),0),
  _xlpm.c, MATCH(CS$8,'3. Enter Indicator Scores'!$D$8:$CZ$8,0),
  _xlpm.v, IFERROR(INDEX('3. Enter Indicator Scores'!$D$10:$CZ$161,_xlpm.r,_xlpm.c),""),
  IF(OR(_xlpm.w="",_xlpm.v=""),"",_xlpm.v*_xlpm.w)
)</f>
        <v/>
      </c>
      <c r="CT149" s="93" t="str" cm="1">
        <f t="array" ref="CT149">_xlfn.LET(
  _xlpm.w, CT$11,
  _xlpm.r, MATCH(1,('3. Enter Indicator Scores'!$B$10:$B$161=$B149)*('3. Enter Indicator Scores'!$C$10:$C$161=$C149),0),
  _xlpm.c, MATCH(CT$8,'3. Enter Indicator Scores'!$D$8:$CZ$8,0),
  _xlpm.v, IFERROR(INDEX('3. Enter Indicator Scores'!$D$10:$CZ$161,_xlpm.r,_xlpm.c),""),
  IF(OR(_xlpm.w="",_xlpm.v=""),"",_xlpm.v*_xlpm.w)
)</f>
        <v/>
      </c>
      <c r="CU149" s="93" t="str" cm="1">
        <f t="array" ref="CU149">_xlfn.LET(
  _xlpm.w, CU$11,
  _xlpm.r, MATCH(1,('3. Enter Indicator Scores'!$B$10:$B$161=$B149)*('3. Enter Indicator Scores'!$C$10:$C$161=$C149),0),
  _xlpm.c, MATCH(CU$8,'3. Enter Indicator Scores'!$D$8:$CZ$8,0),
  _xlpm.v, IFERROR(INDEX('3. Enter Indicator Scores'!$D$10:$CZ$161,_xlpm.r,_xlpm.c),""),
  IF(OR(_xlpm.w="",_xlpm.v=""),"",_xlpm.v*_xlpm.w)
)</f>
        <v/>
      </c>
      <c r="CV149" s="93" t="str" cm="1">
        <f t="array" ref="CV149">_xlfn.LET(
  _xlpm.w, CV$11,
  _xlpm.r, MATCH(1,('3. Enter Indicator Scores'!$B$10:$B$161=$B149)*('3. Enter Indicator Scores'!$C$10:$C$161=$C149),0),
  _xlpm.c, MATCH(CV$8,'3. Enter Indicator Scores'!$D$8:$CZ$8,0),
  _xlpm.v, IFERROR(INDEX('3. Enter Indicator Scores'!$D$10:$CZ$161,_xlpm.r,_xlpm.c),""),
  IF(OR(_xlpm.w="",_xlpm.v=""),"",_xlpm.v*_xlpm.w)
)</f>
        <v/>
      </c>
      <c r="CW149" s="93" t="str" cm="1">
        <f t="array" ref="CW149">_xlfn.LET(
  _xlpm.w, CW$11,
  _xlpm.r, MATCH(1,('3. Enter Indicator Scores'!$B$10:$B$161=$B149)*('3. Enter Indicator Scores'!$C$10:$C$161=$C149),0),
  _xlpm.c, MATCH(CW$8,'3. Enter Indicator Scores'!$D$8:$CZ$8,0),
  _xlpm.v, IFERROR(INDEX('3. Enter Indicator Scores'!$D$10:$CZ$161,_xlpm.r,_xlpm.c),""),
  IF(OR(_xlpm.w="",_xlpm.v=""),"",_xlpm.v*_xlpm.w)
)</f>
        <v/>
      </c>
      <c r="CX149" s="93" t="str" cm="1">
        <f t="array" ref="CX149">_xlfn.LET(
  _xlpm.w, CX$11,
  _xlpm.r, MATCH(1,('3. Enter Indicator Scores'!$B$10:$B$161=$B149)*('3. Enter Indicator Scores'!$C$10:$C$161=$C149),0),
  _xlpm.c, MATCH(CX$8,'3. Enter Indicator Scores'!$D$8:$CZ$8,0),
  _xlpm.v, IFERROR(INDEX('3. Enter Indicator Scores'!$D$10:$CZ$161,_xlpm.r,_xlpm.c),""),
  IF(OR(_xlpm.w="",_xlpm.v=""),"",_xlpm.v*_xlpm.w)
)</f>
        <v/>
      </c>
      <c r="CY149" s="93" t="str" cm="1">
        <f t="array" ref="CY149">_xlfn.LET(
  _xlpm.w, CY$11,
  _xlpm.r, MATCH(1,('3. Enter Indicator Scores'!$B$10:$B$161=$B149)*('3. Enter Indicator Scores'!$C$10:$C$161=$C149),0),
  _xlpm.c, MATCH(CY$8,'3. Enter Indicator Scores'!$D$8:$CZ$8,0),
  _xlpm.v, IFERROR(INDEX('3. Enter Indicator Scores'!$D$10:$CZ$161,_xlpm.r,_xlpm.c),""),
  IF(OR(_xlpm.w="",_xlpm.v=""),"",_xlpm.v*_xlpm.w)
)</f>
        <v/>
      </c>
      <c r="CZ149" s="93" t="str" cm="1">
        <f t="array" ref="CZ149">_xlfn.LET(
  _xlpm.w, CZ$11,
  _xlpm.r, MATCH(1,('3. Enter Indicator Scores'!$B$10:$B$161=$B149)*('3. Enter Indicator Scores'!$C$10:$C$161=$C149),0),
  _xlpm.c, MATCH(CZ$8,'3. Enter Indicator Scores'!$D$8:$CZ$8,0),
  _xlpm.v, IFERROR(INDEX('3. Enter Indicator Scores'!$D$10:$CZ$161,_xlpm.r,_xlpm.c),""),
  IF(OR(_xlpm.w="",_xlpm.v=""),"",_xlpm.v*_xlpm.w)
)</f>
        <v/>
      </c>
    </row>
    <row r="150" spans="4:104" x14ac:dyDescent="0.2">
      <c r="D150" s="93" t="str" cm="1">
        <f t="array" ref="D150">_xlfn.LET(
  _xlpm.w, D$11,
  _xlpm.r, MATCH(1,('3. Enter Indicator Scores'!$B$10:$B$161=$B150)*('3. Enter Indicator Scores'!$C$10:$C$161=$C150),0),
  _xlpm.c, MATCH(D$8,'3. Enter Indicator Scores'!$D$8:$CZ$8,0),
  _xlpm.v, IFERROR(INDEX('3. Enter Indicator Scores'!$D$10:$CZ$161,_xlpm.r,_xlpm.c),""),
  IF(OR(_xlpm.w="",_xlpm.v=""),"",_xlpm.v*_xlpm.w)
)</f>
        <v/>
      </c>
      <c r="E150" s="93" t="str" cm="1">
        <f t="array" ref="E150">_xlfn.LET(
  _xlpm.w, E$11,
  _xlpm.r, MATCH(1,('3. Enter Indicator Scores'!$B$10:$B$161=$B150)*('3. Enter Indicator Scores'!$C$10:$C$161=$C150),0),
  _xlpm.c, MATCH(E$8,'3. Enter Indicator Scores'!$D$8:$CZ$8,0),
  _xlpm.v, IFERROR(INDEX('3. Enter Indicator Scores'!$D$10:$CZ$161,_xlpm.r,_xlpm.c),""),
  IF(OR(_xlpm.w="",_xlpm.v=""),"",_xlpm.v*_xlpm.w)
)</f>
        <v/>
      </c>
      <c r="F150" s="93" t="str" cm="1">
        <f t="array" ref="F150">_xlfn.LET(
  _xlpm.w, F$11,
  _xlpm.r, MATCH(1,('3. Enter Indicator Scores'!$B$10:$B$161=$B150)*('3. Enter Indicator Scores'!$C$10:$C$161=$C150),0),
  _xlpm.c, MATCH(F$8,'3. Enter Indicator Scores'!$D$8:$CZ$8,0),
  _xlpm.v, IFERROR(INDEX('3. Enter Indicator Scores'!$D$10:$CZ$161,_xlpm.r,_xlpm.c),""),
  IF(OR(_xlpm.w="",_xlpm.v=""),"",_xlpm.v*_xlpm.w)
)</f>
        <v/>
      </c>
      <c r="G150" s="93" t="str" cm="1">
        <f t="array" ref="G150">_xlfn.LET(
  _xlpm.w, G$11,
  _xlpm.r, MATCH(1,('3. Enter Indicator Scores'!$B$10:$B$161=$B150)*('3. Enter Indicator Scores'!$C$10:$C$161=$C150),0),
  _xlpm.c, MATCH(G$8,'3. Enter Indicator Scores'!$D$8:$CZ$8,0),
  _xlpm.v, IFERROR(INDEX('3. Enter Indicator Scores'!$D$10:$CZ$161,_xlpm.r,_xlpm.c),""),
  IF(OR(_xlpm.w="",_xlpm.v=""),"",_xlpm.v*_xlpm.w)
)</f>
        <v/>
      </c>
      <c r="H150" s="93" t="str" cm="1">
        <f t="array" ref="H150">_xlfn.LET(
  _xlpm.w, H$11,
  _xlpm.r, MATCH(1,('3. Enter Indicator Scores'!$B$10:$B$161=$B150)*('3. Enter Indicator Scores'!$C$10:$C$161=$C150),0),
  _xlpm.c, MATCH(H$8,'3. Enter Indicator Scores'!$D$8:$CZ$8,0),
  _xlpm.v, IFERROR(INDEX('3. Enter Indicator Scores'!$D$10:$CZ$161,_xlpm.r,_xlpm.c),""),
  IF(OR(_xlpm.w="",_xlpm.v=""),"",_xlpm.v*_xlpm.w)
)</f>
        <v/>
      </c>
      <c r="I150" s="93" t="str" cm="1">
        <f t="array" ref="I150">_xlfn.LET(
  _xlpm.w, I$11,
  _xlpm.r, MATCH(1,('3. Enter Indicator Scores'!$B$10:$B$161=$B150)*('3. Enter Indicator Scores'!$C$10:$C$161=$C150),0),
  _xlpm.c, MATCH(I$8,'3. Enter Indicator Scores'!$D$8:$CZ$8,0),
  _xlpm.v, IFERROR(INDEX('3. Enter Indicator Scores'!$D$10:$CZ$161,_xlpm.r,_xlpm.c),""),
  IF(OR(_xlpm.w="",_xlpm.v=""),"",_xlpm.v*_xlpm.w)
)</f>
        <v/>
      </c>
      <c r="J150" s="93" t="str" cm="1">
        <f t="array" ref="J150">_xlfn.LET(
  _xlpm.w, J$11,
  _xlpm.r, MATCH(1,('3. Enter Indicator Scores'!$B$10:$B$161=$B150)*('3. Enter Indicator Scores'!$C$10:$C$161=$C150),0),
  _xlpm.c, MATCH(J$8,'3. Enter Indicator Scores'!$D$8:$CZ$8,0),
  _xlpm.v, IFERROR(INDEX('3. Enter Indicator Scores'!$D$10:$CZ$161,_xlpm.r,_xlpm.c),""),
  IF(OR(_xlpm.w="",_xlpm.v=""),"",_xlpm.v*_xlpm.w)
)</f>
        <v/>
      </c>
      <c r="K150" s="93" t="str" cm="1">
        <f t="array" ref="K150">_xlfn.LET(
  _xlpm.w, K$11,
  _xlpm.r, MATCH(1,('3. Enter Indicator Scores'!$B$10:$B$161=$B150)*('3. Enter Indicator Scores'!$C$10:$C$161=$C150),0),
  _xlpm.c, MATCH(K$8,'3. Enter Indicator Scores'!$D$8:$CZ$8,0),
  _xlpm.v, IFERROR(INDEX('3. Enter Indicator Scores'!$D$10:$CZ$161,_xlpm.r,_xlpm.c),""),
  IF(OR(_xlpm.w="",_xlpm.v=""),"",_xlpm.v*_xlpm.w)
)</f>
        <v/>
      </c>
      <c r="L150" s="93" t="str" cm="1">
        <f t="array" ref="L150">_xlfn.LET(
  _xlpm.w, L$11,
  _xlpm.r, MATCH(1,('3. Enter Indicator Scores'!$B$10:$B$161=$B150)*('3. Enter Indicator Scores'!$C$10:$C$161=$C150),0),
  _xlpm.c, MATCH(L$8,'3. Enter Indicator Scores'!$D$8:$CZ$8,0),
  _xlpm.v, IFERROR(INDEX('3. Enter Indicator Scores'!$D$10:$CZ$161,_xlpm.r,_xlpm.c),""),
  IF(OR(_xlpm.w="",_xlpm.v=""),"",_xlpm.v*_xlpm.w)
)</f>
        <v/>
      </c>
      <c r="M150" s="93" t="str" cm="1">
        <f t="array" ref="M150">_xlfn.LET(
  _xlpm.w, M$11,
  _xlpm.r, MATCH(1,('3. Enter Indicator Scores'!$B$10:$B$161=$B150)*('3. Enter Indicator Scores'!$C$10:$C$161=$C150),0),
  _xlpm.c, MATCH(M$8,'3. Enter Indicator Scores'!$D$8:$CZ$8,0),
  _xlpm.v, IFERROR(INDEX('3. Enter Indicator Scores'!$D$10:$CZ$161,_xlpm.r,_xlpm.c),""),
  IF(OR(_xlpm.w="",_xlpm.v=""),"",_xlpm.v*_xlpm.w)
)</f>
        <v/>
      </c>
      <c r="N150" s="93" t="str" cm="1">
        <f t="array" ref="N150">_xlfn.LET(
  _xlpm.w, N$11,
  _xlpm.r, MATCH(1,('3. Enter Indicator Scores'!$B$10:$B$161=$B150)*('3. Enter Indicator Scores'!$C$10:$C$161=$C150),0),
  _xlpm.c, MATCH(N$8,'3. Enter Indicator Scores'!$D$8:$CZ$8,0),
  _xlpm.v, IFERROR(INDEX('3. Enter Indicator Scores'!$D$10:$CZ$161,_xlpm.r,_xlpm.c),""),
  IF(OR(_xlpm.w="",_xlpm.v=""),"",_xlpm.v*_xlpm.w)
)</f>
        <v/>
      </c>
      <c r="O150" s="93" t="str" cm="1">
        <f t="array" ref="O150">_xlfn.LET(
  _xlpm.w, O$11,
  _xlpm.r, MATCH(1,('3. Enter Indicator Scores'!$B$10:$B$161=$B150)*('3. Enter Indicator Scores'!$C$10:$C$161=$C150),0),
  _xlpm.c, MATCH(O$8,'3. Enter Indicator Scores'!$D$8:$CZ$8,0),
  _xlpm.v, IFERROR(INDEX('3. Enter Indicator Scores'!$D$10:$CZ$161,_xlpm.r,_xlpm.c),""),
  IF(OR(_xlpm.w="",_xlpm.v=""),"",_xlpm.v*_xlpm.w)
)</f>
        <v/>
      </c>
      <c r="P150" s="93" t="str" cm="1">
        <f t="array" ref="P150">_xlfn.LET(
  _xlpm.w, P$11,
  _xlpm.r, MATCH(1,('3. Enter Indicator Scores'!$B$10:$B$161=$B150)*('3. Enter Indicator Scores'!$C$10:$C$161=$C150),0),
  _xlpm.c, MATCH(P$8,'3. Enter Indicator Scores'!$D$8:$CZ$8,0),
  _xlpm.v, IFERROR(INDEX('3. Enter Indicator Scores'!$D$10:$CZ$161,_xlpm.r,_xlpm.c),""),
  IF(OR(_xlpm.w="",_xlpm.v=""),"",_xlpm.v*_xlpm.w)
)</f>
        <v/>
      </c>
      <c r="Q150" s="93" t="str" cm="1">
        <f t="array" ref="Q150">_xlfn.LET(
  _xlpm.w, Q$11,
  _xlpm.r, MATCH(1,('3. Enter Indicator Scores'!$B$10:$B$161=$B150)*('3. Enter Indicator Scores'!$C$10:$C$161=$C150),0),
  _xlpm.c, MATCH(Q$8,'3. Enter Indicator Scores'!$D$8:$CZ$8,0),
  _xlpm.v, IFERROR(INDEX('3. Enter Indicator Scores'!$D$10:$CZ$161,_xlpm.r,_xlpm.c),""),
  IF(OR(_xlpm.w="",_xlpm.v=""),"",_xlpm.v*_xlpm.w)
)</f>
        <v/>
      </c>
      <c r="R150" s="93" t="str" cm="1">
        <f t="array" ref="R150">_xlfn.LET(
  _xlpm.w, R$11,
  _xlpm.r, MATCH(1,('3. Enter Indicator Scores'!$B$10:$B$161=$B150)*('3. Enter Indicator Scores'!$C$10:$C$161=$C150),0),
  _xlpm.c, MATCH(R$8,'3. Enter Indicator Scores'!$D$8:$CZ$8,0),
  _xlpm.v, IFERROR(INDEX('3. Enter Indicator Scores'!$D$10:$CZ$161,_xlpm.r,_xlpm.c),""),
  IF(OR(_xlpm.w="",_xlpm.v=""),"",_xlpm.v*_xlpm.w)
)</f>
        <v/>
      </c>
      <c r="S150" s="93" t="str" cm="1">
        <f t="array" ref="S150">_xlfn.LET(
  _xlpm.w, S$11,
  _xlpm.r, MATCH(1,('3. Enter Indicator Scores'!$B$10:$B$161=$B150)*('3. Enter Indicator Scores'!$C$10:$C$161=$C150),0),
  _xlpm.c, MATCH(S$8,'3. Enter Indicator Scores'!$D$8:$CZ$8,0),
  _xlpm.v, IFERROR(INDEX('3. Enter Indicator Scores'!$D$10:$CZ$161,_xlpm.r,_xlpm.c),""),
  IF(OR(_xlpm.w="",_xlpm.v=""),"",_xlpm.v*_xlpm.w)
)</f>
        <v/>
      </c>
      <c r="T150" s="93" t="str" cm="1">
        <f t="array" ref="T150">_xlfn.LET(
  _xlpm.w, T$11,
  _xlpm.r, MATCH(1,('3. Enter Indicator Scores'!$B$10:$B$161=$B150)*('3. Enter Indicator Scores'!$C$10:$C$161=$C150),0),
  _xlpm.c, MATCH(T$8,'3. Enter Indicator Scores'!$D$8:$CZ$8,0),
  _xlpm.v, IFERROR(INDEX('3. Enter Indicator Scores'!$D$10:$CZ$161,_xlpm.r,_xlpm.c),""),
  IF(OR(_xlpm.w="",_xlpm.v=""),"",_xlpm.v*_xlpm.w)
)</f>
        <v/>
      </c>
      <c r="U150" s="93" t="str" cm="1">
        <f t="array" ref="U150">_xlfn.LET(
  _xlpm.w, U$11,
  _xlpm.r, MATCH(1,('3. Enter Indicator Scores'!$B$10:$B$161=$B150)*('3. Enter Indicator Scores'!$C$10:$C$161=$C150),0),
  _xlpm.c, MATCH(U$8,'3. Enter Indicator Scores'!$D$8:$CZ$8,0),
  _xlpm.v, IFERROR(INDEX('3. Enter Indicator Scores'!$D$10:$CZ$161,_xlpm.r,_xlpm.c),""),
  IF(OR(_xlpm.w="",_xlpm.v=""),"",_xlpm.v*_xlpm.w)
)</f>
        <v/>
      </c>
      <c r="V150" s="93" t="str" cm="1">
        <f t="array" ref="V150">_xlfn.LET(
  _xlpm.w, V$11,
  _xlpm.r, MATCH(1,('3. Enter Indicator Scores'!$B$10:$B$161=$B150)*('3. Enter Indicator Scores'!$C$10:$C$161=$C150),0),
  _xlpm.c, MATCH(V$8,'3. Enter Indicator Scores'!$D$8:$CZ$8,0),
  _xlpm.v, IFERROR(INDEX('3. Enter Indicator Scores'!$D$10:$CZ$161,_xlpm.r,_xlpm.c),""),
  IF(OR(_xlpm.w="",_xlpm.v=""),"",_xlpm.v*_xlpm.w)
)</f>
        <v/>
      </c>
      <c r="W150" s="93" t="str" cm="1">
        <f t="array" ref="W150">_xlfn.LET(
  _xlpm.w, W$11,
  _xlpm.r, MATCH(1,('3. Enter Indicator Scores'!$B$10:$B$161=$B150)*('3. Enter Indicator Scores'!$C$10:$C$161=$C150),0),
  _xlpm.c, MATCH(W$8,'3. Enter Indicator Scores'!$D$8:$CZ$8,0),
  _xlpm.v, IFERROR(INDEX('3. Enter Indicator Scores'!$D$10:$CZ$161,_xlpm.r,_xlpm.c),""),
  IF(OR(_xlpm.w="",_xlpm.v=""),"",_xlpm.v*_xlpm.w)
)</f>
        <v/>
      </c>
      <c r="X150" s="93" t="str" cm="1">
        <f t="array" ref="X150">_xlfn.LET(
  _xlpm.w, X$11,
  _xlpm.r, MATCH(1,('3. Enter Indicator Scores'!$B$10:$B$161=$B150)*('3. Enter Indicator Scores'!$C$10:$C$161=$C150),0),
  _xlpm.c, MATCH(X$8,'3. Enter Indicator Scores'!$D$8:$CZ$8,0),
  _xlpm.v, IFERROR(INDEX('3. Enter Indicator Scores'!$D$10:$CZ$161,_xlpm.r,_xlpm.c),""),
  IF(OR(_xlpm.w="",_xlpm.v=""),"",_xlpm.v*_xlpm.w)
)</f>
        <v/>
      </c>
      <c r="Y150" s="93" t="str" cm="1">
        <f t="array" ref="Y150">_xlfn.LET(
  _xlpm.w, Y$11,
  _xlpm.r, MATCH(1,('3. Enter Indicator Scores'!$B$10:$B$161=$B150)*('3. Enter Indicator Scores'!$C$10:$C$161=$C150),0),
  _xlpm.c, MATCH(Y$8,'3. Enter Indicator Scores'!$D$8:$CZ$8,0),
  _xlpm.v, IFERROR(INDEX('3. Enter Indicator Scores'!$D$10:$CZ$161,_xlpm.r,_xlpm.c),""),
  IF(OR(_xlpm.w="",_xlpm.v=""),"",_xlpm.v*_xlpm.w)
)</f>
        <v/>
      </c>
      <c r="Z150" s="93" t="str" cm="1">
        <f t="array" ref="Z150">_xlfn.LET(
  _xlpm.w, Z$11,
  _xlpm.r, MATCH(1,('3. Enter Indicator Scores'!$B$10:$B$161=$B150)*('3. Enter Indicator Scores'!$C$10:$C$161=$C150),0),
  _xlpm.c, MATCH(Z$8,'3. Enter Indicator Scores'!$D$8:$CZ$8,0),
  _xlpm.v, IFERROR(INDEX('3. Enter Indicator Scores'!$D$10:$CZ$161,_xlpm.r,_xlpm.c),""),
  IF(OR(_xlpm.w="",_xlpm.v=""),"",_xlpm.v*_xlpm.w)
)</f>
        <v/>
      </c>
      <c r="AA150" s="93" t="str" cm="1">
        <f t="array" ref="AA150">_xlfn.LET(
  _xlpm.w, AA$11,
  _xlpm.r, MATCH(1,('3. Enter Indicator Scores'!$B$10:$B$161=$B150)*('3. Enter Indicator Scores'!$C$10:$C$161=$C150),0),
  _xlpm.c, MATCH(AA$8,'3. Enter Indicator Scores'!$D$8:$CZ$8,0),
  _xlpm.v, IFERROR(INDEX('3. Enter Indicator Scores'!$D$10:$CZ$161,_xlpm.r,_xlpm.c),""),
  IF(OR(_xlpm.w="",_xlpm.v=""),"",_xlpm.v*_xlpm.w)
)</f>
        <v/>
      </c>
      <c r="AB150" s="93" t="str" cm="1">
        <f t="array" ref="AB150">_xlfn.LET(
  _xlpm.w, AB$11,
  _xlpm.r, MATCH(1,('3. Enter Indicator Scores'!$B$10:$B$161=$B150)*('3. Enter Indicator Scores'!$C$10:$C$161=$C150),0),
  _xlpm.c, MATCH(AB$8,'3. Enter Indicator Scores'!$D$8:$CZ$8,0),
  _xlpm.v, IFERROR(INDEX('3. Enter Indicator Scores'!$D$10:$CZ$161,_xlpm.r,_xlpm.c),""),
  IF(OR(_xlpm.w="",_xlpm.v=""),"",_xlpm.v*_xlpm.w)
)</f>
        <v/>
      </c>
      <c r="AC150" s="93" t="str" cm="1">
        <f t="array" ref="AC150">_xlfn.LET(
  _xlpm.w, AC$11,
  _xlpm.r, MATCH(1,('3. Enter Indicator Scores'!$B$10:$B$161=$B150)*('3. Enter Indicator Scores'!$C$10:$C$161=$C150),0),
  _xlpm.c, MATCH(AC$8,'3. Enter Indicator Scores'!$D$8:$CZ$8,0),
  _xlpm.v, IFERROR(INDEX('3. Enter Indicator Scores'!$D$10:$CZ$161,_xlpm.r,_xlpm.c),""),
  IF(OR(_xlpm.w="",_xlpm.v=""),"",_xlpm.v*_xlpm.w)
)</f>
        <v/>
      </c>
      <c r="AD150" s="93" t="str" cm="1">
        <f t="array" ref="AD150">_xlfn.LET(
  _xlpm.w, AD$11,
  _xlpm.r, MATCH(1,('3. Enter Indicator Scores'!$B$10:$B$161=$B150)*('3. Enter Indicator Scores'!$C$10:$C$161=$C150),0),
  _xlpm.c, MATCH(AD$8,'3. Enter Indicator Scores'!$D$8:$CZ$8,0),
  _xlpm.v, IFERROR(INDEX('3. Enter Indicator Scores'!$D$10:$CZ$161,_xlpm.r,_xlpm.c),""),
  IF(OR(_xlpm.w="",_xlpm.v=""),"",_xlpm.v*_xlpm.w)
)</f>
        <v/>
      </c>
      <c r="AE150" s="93" t="str" cm="1">
        <f t="array" ref="AE150">_xlfn.LET(
  _xlpm.w, AE$11,
  _xlpm.r, MATCH(1,('3. Enter Indicator Scores'!$B$10:$B$161=$B150)*('3. Enter Indicator Scores'!$C$10:$C$161=$C150),0),
  _xlpm.c, MATCH(AE$8,'3. Enter Indicator Scores'!$D$8:$CZ$8,0),
  _xlpm.v, IFERROR(INDEX('3. Enter Indicator Scores'!$D$10:$CZ$161,_xlpm.r,_xlpm.c),""),
  IF(OR(_xlpm.w="",_xlpm.v=""),"",_xlpm.v*_xlpm.w)
)</f>
        <v/>
      </c>
      <c r="AF150" s="93" t="str" cm="1">
        <f t="array" ref="AF150">_xlfn.LET(
  _xlpm.w, AF$11,
  _xlpm.r, MATCH(1,('3. Enter Indicator Scores'!$B$10:$B$161=$B150)*('3. Enter Indicator Scores'!$C$10:$C$161=$C150),0),
  _xlpm.c, MATCH(AF$8,'3. Enter Indicator Scores'!$D$8:$CZ$8,0),
  _xlpm.v, IFERROR(INDEX('3. Enter Indicator Scores'!$D$10:$CZ$161,_xlpm.r,_xlpm.c),""),
  IF(OR(_xlpm.w="",_xlpm.v=""),"",_xlpm.v*_xlpm.w)
)</f>
        <v/>
      </c>
      <c r="AG150" s="93" t="str" cm="1">
        <f t="array" ref="AG150">_xlfn.LET(
  _xlpm.w, AG$11,
  _xlpm.r, MATCH(1,('3. Enter Indicator Scores'!$B$10:$B$161=$B150)*('3. Enter Indicator Scores'!$C$10:$C$161=$C150),0),
  _xlpm.c, MATCH(AG$8,'3. Enter Indicator Scores'!$D$8:$CZ$8,0),
  _xlpm.v, IFERROR(INDEX('3. Enter Indicator Scores'!$D$10:$CZ$161,_xlpm.r,_xlpm.c),""),
  IF(OR(_xlpm.w="",_xlpm.v=""),"",_xlpm.v*_xlpm.w)
)</f>
        <v/>
      </c>
      <c r="AH150" s="93" t="str" cm="1">
        <f t="array" ref="AH150">_xlfn.LET(
  _xlpm.w, AH$11,
  _xlpm.r, MATCH(1,('3. Enter Indicator Scores'!$B$10:$B$161=$B150)*('3. Enter Indicator Scores'!$C$10:$C$161=$C150),0),
  _xlpm.c, MATCH(AH$8,'3. Enter Indicator Scores'!$D$8:$CZ$8,0),
  _xlpm.v, IFERROR(INDEX('3. Enter Indicator Scores'!$D$10:$CZ$161,_xlpm.r,_xlpm.c),""),
  IF(OR(_xlpm.w="",_xlpm.v=""),"",_xlpm.v*_xlpm.w)
)</f>
        <v/>
      </c>
      <c r="AI150" s="93" t="str" cm="1">
        <f t="array" ref="AI150">_xlfn.LET(
  _xlpm.w, AI$11,
  _xlpm.r, MATCH(1,('3. Enter Indicator Scores'!$B$10:$B$161=$B150)*('3. Enter Indicator Scores'!$C$10:$C$161=$C150),0),
  _xlpm.c, MATCH(AI$8,'3. Enter Indicator Scores'!$D$8:$CZ$8,0),
  _xlpm.v, IFERROR(INDEX('3. Enter Indicator Scores'!$D$10:$CZ$161,_xlpm.r,_xlpm.c),""),
  IF(OR(_xlpm.w="",_xlpm.v=""),"",_xlpm.v*_xlpm.w)
)</f>
        <v/>
      </c>
      <c r="AJ150" s="93" t="str" cm="1">
        <f t="array" ref="AJ150">_xlfn.LET(
  _xlpm.w, AJ$11,
  _xlpm.r, MATCH(1,('3. Enter Indicator Scores'!$B$10:$B$161=$B150)*('3. Enter Indicator Scores'!$C$10:$C$161=$C150),0),
  _xlpm.c, MATCH(AJ$8,'3. Enter Indicator Scores'!$D$8:$CZ$8,0),
  _xlpm.v, IFERROR(INDEX('3. Enter Indicator Scores'!$D$10:$CZ$161,_xlpm.r,_xlpm.c),""),
  IF(OR(_xlpm.w="",_xlpm.v=""),"",_xlpm.v*_xlpm.w)
)</f>
        <v/>
      </c>
      <c r="AK150" s="93" t="str" cm="1">
        <f t="array" ref="AK150">_xlfn.LET(
  _xlpm.w, AK$11,
  _xlpm.r, MATCH(1,('3. Enter Indicator Scores'!$B$10:$B$161=$B150)*('3. Enter Indicator Scores'!$C$10:$C$161=$C150),0),
  _xlpm.c, MATCH(AK$8,'3. Enter Indicator Scores'!$D$8:$CZ$8,0),
  _xlpm.v, IFERROR(INDEX('3. Enter Indicator Scores'!$D$10:$CZ$161,_xlpm.r,_xlpm.c),""),
  IF(OR(_xlpm.w="",_xlpm.v=""),"",_xlpm.v*_xlpm.w)
)</f>
        <v/>
      </c>
      <c r="AL150" s="93" t="str" cm="1">
        <f t="array" ref="AL150">_xlfn.LET(
  _xlpm.w, AL$11,
  _xlpm.r, MATCH(1,('3. Enter Indicator Scores'!$B$10:$B$161=$B150)*('3. Enter Indicator Scores'!$C$10:$C$161=$C150),0),
  _xlpm.c, MATCH(AL$8,'3. Enter Indicator Scores'!$D$8:$CZ$8,0),
  _xlpm.v, IFERROR(INDEX('3. Enter Indicator Scores'!$D$10:$CZ$161,_xlpm.r,_xlpm.c),""),
  IF(OR(_xlpm.w="",_xlpm.v=""),"",_xlpm.v*_xlpm.w)
)</f>
        <v/>
      </c>
      <c r="AM150" s="93" t="str" cm="1">
        <f t="array" ref="AM150">_xlfn.LET(
  _xlpm.w, AM$11,
  _xlpm.r, MATCH(1,('3. Enter Indicator Scores'!$B$10:$B$161=$B150)*('3. Enter Indicator Scores'!$C$10:$C$161=$C150),0),
  _xlpm.c, MATCH(AM$8,'3. Enter Indicator Scores'!$D$8:$CZ$8,0),
  _xlpm.v, IFERROR(INDEX('3. Enter Indicator Scores'!$D$10:$CZ$161,_xlpm.r,_xlpm.c),""),
  IF(OR(_xlpm.w="",_xlpm.v=""),"",_xlpm.v*_xlpm.w)
)</f>
        <v/>
      </c>
      <c r="AN150" s="93" t="str" cm="1">
        <f t="array" ref="AN150">_xlfn.LET(
  _xlpm.w, AN$11,
  _xlpm.r, MATCH(1,('3. Enter Indicator Scores'!$B$10:$B$161=$B150)*('3. Enter Indicator Scores'!$C$10:$C$161=$C150),0),
  _xlpm.c, MATCH(AN$8,'3. Enter Indicator Scores'!$D$8:$CZ$8,0),
  _xlpm.v, IFERROR(INDEX('3. Enter Indicator Scores'!$D$10:$CZ$161,_xlpm.r,_xlpm.c),""),
  IF(OR(_xlpm.w="",_xlpm.v=""),"",_xlpm.v*_xlpm.w)
)</f>
        <v/>
      </c>
      <c r="AO150" s="93" t="str" cm="1">
        <f t="array" ref="AO150">_xlfn.LET(
  _xlpm.w, AO$11,
  _xlpm.r, MATCH(1,('3. Enter Indicator Scores'!$B$10:$B$161=$B150)*('3. Enter Indicator Scores'!$C$10:$C$161=$C150),0),
  _xlpm.c, MATCH(AO$8,'3. Enter Indicator Scores'!$D$8:$CZ$8,0),
  _xlpm.v, IFERROR(INDEX('3. Enter Indicator Scores'!$D$10:$CZ$161,_xlpm.r,_xlpm.c),""),
  IF(OR(_xlpm.w="",_xlpm.v=""),"",_xlpm.v*_xlpm.w)
)</f>
        <v/>
      </c>
      <c r="AP150" s="93" t="str" cm="1">
        <f t="array" ref="AP150">_xlfn.LET(
  _xlpm.w, AP$11,
  _xlpm.r, MATCH(1,('3. Enter Indicator Scores'!$B$10:$B$161=$B150)*('3. Enter Indicator Scores'!$C$10:$C$161=$C150),0),
  _xlpm.c, MATCH(AP$8,'3. Enter Indicator Scores'!$D$8:$CZ$8,0),
  _xlpm.v, IFERROR(INDEX('3. Enter Indicator Scores'!$D$10:$CZ$161,_xlpm.r,_xlpm.c),""),
  IF(OR(_xlpm.w="",_xlpm.v=""),"",_xlpm.v*_xlpm.w)
)</f>
        <v/>
      </c>
      <c r="AQ150" s="93" t="str" cm="1">
        <f t="array" ref="AQ150">_xlfn.LET(
  _xlpm.w, AQ$11,
  _xlpm.r, MATCH(1,('3. Enter Indicator Scores'!$B$10:$B$161=$B150)*('3. Enter Indicator Scores'!$C$10:$C$161=$C150),0),
  _xlpm.c, MATCH(AQ$8,'3. Enter Indicator Scores'!$D$8:$CZ$8,0),
  _xlpm.v, IFERROR(INDEX('3. Enter Indicator Scores'!$D$10:$CZ$161,_xlpm.r,_xlpm.c),""),
  IF(OR(_xlpm.w="",_xlpm.v=""),"",_xlpm.v*_xlpm.w)
)</f>
        <v/>
      </c>
      <c r="AR150" s="93" t="str" cm="1">
        <f t="array" ref="AR150">_xlfn.LET(
  _xlpm.w, AR$11,
  _xlpm.r, MATCH(1,('3. Enter Indicator Scores'!$B$10:$B$161=$B150)*('3. Enter Indicator Scores'!$C$10:$C$161=$C150),0),
  _xlpm.c, MATCH(AR$8,'3. Enter Indicator Scores'!$D$8:$CZ$8,0),
  _xlpm.v, IFERROR(INDEX('3. Enter Indicator Scores'!$D$10:$CZ$161,_xlpm.r,_xlpm.c),""),
  IF(OR(_xlpm.w="",_xlpm.v=""),"",_xlpm.v*_xlpm.w)
)</f>
        <v/>
      </c>
      <c r="AS150" s="93" t="str" cm="1">
        <f t="array" ref="AS150">_xlfn.LET(
  _xlpm.w, AS$11,
  _xlpm.r, MATCH(1,('3. Enter Indicator Scores'!$B$10:$B$161=$B150)*('3. Enter Indicator Scores'!$C$10:$C$161=$C150),0),
  _xlpm.c, MATCH(AS$8,'3. Enter Indicator Scores'!$D$8:$CZ$8,0),
  _xlpm.v, IFERROR(INDEX('3. Enter Indicator Scores'!$D$10:$CZ$161,_xlpm.r,_xlpm.c),""),
  IF(OR(_xlpm.w="",_xlpm.v=""),"",_xlpm.v*_xlpm.w)
)</f>
        <v/>
      </c>
      <c r="AT150" s="93" t="str" cm="1">
        <f t="array" ref="AT150">_xlfn.LET(
  _xlpm.w, AT$11,
  _xlpm.r, MATCH(1,('3. Enter Indicator Scores'!$B$10:$B$161=$B150)*('3. Enter Indicator Scores'!$C$10:$C$161=$C150),0),
  _xlpm.c, MATCH(AT$8,'3. Enter Indicator Scores'!$D$8:$CZ$8,0),
  _xlpm.v, IFERROR(INDEX('3. Enter Indicator Scores'!$D$10:$CZ$161,_xlpm.r,_xlpm.c),""),
  IF(OR(_xlpm.w="",_xlpm.v=""),"",_xlpm.v*_xlpm.w)
)</f>
        <v/>
      </c>
      <c r="AU150" s="93" t="str" cm="1">
        <f t="array" ref="AU150">_xlfn.LET(
  _xlpm.w, AU$11,
  _xlpm.r, MATCH(1,('3. Enter Indicator Scores'!$B$10:$B$161=$B150)*('3. Enter Indicator Scores'!$C$10:$C$161=$C150),0),
  _xlpm.c, MATCH(AU$8,'3. Enter Indicator Scores'!$D$8:$CZ$8,0),
  _xlpm.v, IFERROR(INDEX('3. Enter Indicator Scores'!$D$10:$CZ$161,_xlpm.r,_xlpm.c),""),
  IF(OR(_xlpm.w="",_xlpm.v=""),"",_xlpm.v*_xlpm.w)
)</f>
        <v/>
      </c>
      <c r="AV150" s="93" t="str" cm="1">
        <f t="array" ref="AV150">_xlfn.LET(
  _xlpm.w, AV$11,
  _xlpm.r, MATCH(1,('3. Enter Indicator Scores'!$B$10:$B$161=$B150)*('3. Enter Indicator Scores'!$C$10:$C$161=$C150),0),
  _xlpm.c, MATCH(AV$8,'3. Enter Indicator Scores'!$D$8:$CZ$8,0),
  _xlpm.v, IFERROR(INDEX('3. Enter Indicator Scores'!$D$10:$CZ$161,_xlpm.r,_xlpm.c),""),
  IF(OR(_xlpm.w="",_xlpm.v=""),"",_xlpm.v*_xlpm.w)
)</f>
        <v/>
      </c>
      <c r="AW150" s="93" t="str" cm="1">
        <f t="array" ref="AW150">_xlfn.LET(
  _xlpm.w, AW$11,
  _xlpm.r, MATCH(1,('3. Enter Indicator Scores'!$B$10:$B$161=$B150)*('3. Enter Indicator Scores'!$C$10:$C$161=$C150),0),
  _xlpm.c, MATCH(AW$8,'3. Enter Indicator Scores'!$D$8:$CZ$8,0),
  _xlpm.v, IFERROR(INDEX('3. Enter Indicator Scores'!$D$10:$CZ$161,_xlpm.r,_xlpm.c),""),
  IF(OR(_xlpm.w="",_xlpm.v=""),"",_xlpm.v*_xlpm.w)
)</f>
        <v/>
      </c>
      <c r="AX150" s="93" t="str" cm="1">
        <f t="array" ref="AX150">_xlfn.LET(
  _xlpm.w, AX$11,
  _xlpm.r, MATCH(1,('3. Enter Indicator Scores'!$B$10:$B$161=$B150)*('3. Enter Indicator Scores'!$C$10:$C$161=$C150),0),
  _xlpm.c, MATCH(AX$8,'3. Enter Indicator Scores'!$D$8:$CZ$8,0),
  _xlpm.v, IFERROR(INDEX('3. Enter Indicator Scores'!$D$10:$CZ$161,_xlpm.r,_xlpm.c),""),
  IF(OR(_xlpm.w="",_xlpm.v=""),"",_xlpm.v*_xlpm.w)
)</f>
        <v/>
      </c>
      <c r="AY150" s="93" t="str" cm="1">
        <f t="array" ref="AY150">_xlfn.LET(
  _xlpm.w, AY$11,
  _xlpm.r, MATCH(1,('3. Enter Indicator Scores'!$B$10:$B$161=$B150)*('3. Enter Indicator Scores'!$C$10:$C$161=$C150),0),
  _xlpm.c, MATCH(AY$8,'3. Enter Indicator Scores'!$D$8:$CZ$8,0),
  _xlpm.v, IFERROR(INDEX('3. Enter Indicator Scores'!$D$10:$CZ$161,_xlpm.r,_xlpm.c),""),
  IF(OR(_xlpm.w="",_xlpm.v=""),"",_xlpm.v*_xlpm.w)
)</f>
        <v/>
      </c>
      <c r="AZ150" s="93" t="str" cm="1">
        <f t="array" ref="AZ150">_xlfn.LET(
  _xlpm.w, AZ$11,
  _xlpm.r, MATCH(1,('3. Enter Indicator Scores'!$B$10:$B$161=$B150)*('3. Enter Indicator Scores'!$C$10:$C$161=$C150),0),
  _xlpm.c, MATCH(AZ$8,'3. Enter Indicator Scores'!$D$8:$CZ$8,0),
  _xlpm.v, IFERROR(INDEX('3. Enter Indicator Scores'!$D$10:$CZ$161,_xlpm.r,_xlpm.c),""),
  IF(OR(_xlpm.w="",_xlpm.v=""),"",_xlpm.v*_xlpm.w)
)</f>
        <v/>
      </c>
      <c r="BA150" s="93" t="str" cm="1">
        <f t="array" ref="BA150">_xlfn.LET(
  _xlpm.w, BA$11,
  _xlpm.r, MATCH(1,('3. Enter Indicator Scores'!$B$10:$B$161=$B150)*('3. Enter Indicator Scores'!$C$10:$C$161=$C150),0),
  _xlpm.c, MATCH(BA$8,'3. Enter Indicator Scores'!$D$8:$CZ$8,0),
  _xlpm.v, IFERROR(INDEX('3. Enter Indicator Scores'!$D$10:$CZ$161,_xlpm.r,_xlpm.c),""),
  IF(OR(_xlpm.w="",_xlpm.v=""),"",_xlpm.v*_xlpm.w)
)</f>
        <v/>
      </c>
      <c r="BB150" s="93" t="str" cm="1">
        <f t="array" ref="BB150">_xlfn.LET(
  _xlpm.w, BB$11,
  _xlpm.r, MATCH(1,('3. Enter Indicator Scores'!$B$10:$B$161=$B150)*('3. Enter Indicator Scores'!$C$10:$C$161=$C150),0),
  _xlpm.c, MATCH(BB$8,'3. Enter Indicator Scores'!$D$8:$CZ$8,0),
  _xlpm.v, IFERROR(INDEX('3. Enter Indicator Scores'!$D$10:$CZ$161,_xlpm.r,_xlpm.c),""),
  IF(OR(_xlpm.w="",_xlpm.v=""),"",_xlpm.v*_xlpm.w)
)</f>
        <v/>
      </c>
      <c r="BC150" s="93" t="str" cm="1">
        <f t="array" ref="BC150">_xlfn.LET(
  _xlpm.w, BC$11,
  _xlpm.r, MATCH(1,('3. Enter Indicator Scores'!$B$10:$B$161=$B150)*('3. Enter Indicator Scores'!$C$10:$C$161=$C150),0),
  _xlpm.c, MATCH(BC$8,'3. Enter Indicator Scores'!$D$8:$CZ$8,0),
  _xlpm.v, IFERROR(INDEX('3. Enter Indicator Scores'!$D$10:$CZ$161,_xlpm.r,_xlpm.c),""),
  IF(OR(_xlpm.w="",_xlpm.v=""),"",_xlpm.v*_xlpm.w)
)</f>
        <v/>
      </c>
      <c r="BD150" s="93" t="str" cm="1">
        <f t="array" ref="BD150">_xlfn.LET(
  _xlpm.w, BD$11,
  _xlpm.r, MATCH(1,('3. Enter Indicator Scores'!$B$10:$B$161=$B150)*('3. Enter Indicator Scores'!$C$10:$C$161=$C150),0),
  _xlpm.c, MATCH(BD$8,'3. Enter Indicator Scores'!$D$8:$CZ$8,0),
  _xlpm.v, IFERROR(INDEX('3. Enter Indicator Scores'!$D$10:$CZ$161,_xlpm.r,_xlpm.c),""),
  IF(OR(_xlpm.w="",_xlpm.v=""),"",_xlpm.v*_xlpm.w)
)</f>
        <v/>
      </c>
      <c r="BE150" s="93" t="str" cm="1">
        <f t="array" ref="BE150">_xlfn.LET(
  _xlpm.w, BE$11,
  _xlpm.r, MATCH(1,('3. Enter Indicator Scores'!$B$10:$B$161=$B150)*('3. Enter Indicator Scores'!$C$10:$C$161=$C150),0),
  _xlpm.c, MATCH(BE$8,'3. Enter Indicator Scores'!$D$8:$CZ$8,0),
  _xlpm.v, IFERROR(INDEX('3. Enter Indicator Scores'!$D$10:$CZ$161,_xlpm.r,_xlpm.c),""),
  IF(OR(_xlpm.w="",_xlpm.v=""),"",_xlpm.v*_xlpm.w)
)</f>
        <v/>
      </c>
      <c r="BF150" s="93" t="str" cm="1">
        <f t="array" ref="BF150">_xlfn.LET(
  _xlpm.w, BF$11,
  _xlpm.r, MATCH(1,('3. Enter Indicator Scores'!$B$10:$B$161=$B150)*('3. Enter Indicator Scores'!$C$10:$C$161=$C150),0),
  _xlpm.c, MATCH(BF$8,'3. Enter Indicator Scores'!$D$8:$CZ$8,0),
  _xlpm.v, IFERROR(INDEX('3. Enter Indicator Scores'!$D$10:$CZ$161,_xlpm.r,_xlpm.c),""),
  IF(OR(_xlpm.w="",_xlpm.v=""),"",_xlpm.v*_xlpm.w)
)</f>
        <v/>
      </c>
      <c r="BG150" s="93" t="str" cm="1">
        <f t="array" ref="BG150">_xlfn.LET(
  _xlpm.w, BG$11,
  _xlpm.r, MATCH(1,('3. Enter Indicator Scores'!$B$10:$B$161=$B150)*('3. Enter Indicator Scores'!$C$10:$C$161=$C150),0),
  _xlpm.c, MATCH(BG$8,'3. Enter Indicator Scores'!$D$8:$CZ$8,0),
  _xlpm.v, IFERROR(INDEX('3. Enter Indicator Scores'!$D$10:$CZ$161,_xlpm.r,_xlpm.c),""),
  IF(OR(_xlpm.w="",_xlpm.v=""),"",_xlpm.v*_xlpm.w)
)</f>
        <v/>
      </c>
      <c r="BH150" s="93" t="str" cm="1">
        <f t="array" ref="BH150">_xlfn.LET(
  _xlpm.w, BH$11,
  _xlpm.r, MATCH(1,('3. Enter Indicator Scores'!$B$10:$B$161=$B150)*('3. Enter Indicator Scores'!$C$10:$C$161=$C150),0),
  _xlpm.c, MATCH(BH$8,'3. Enter Indicator Scores'!$D$8:$CZ$8,0),
  _xlpm.v, IFERROR(INDEX('3. Enter Indicator Scores'!$D$10:$CZ$161,_xlpm.r,_xlpm.c),""),
  IF(OR(_xlpm.w="",_xlpm.v=""),"",_xlpm.v*_xlpm.w)
)</f>
        <v/>
      </c>
      <c r="BI150" s="93" t="str" cm="1">
        <f t="array" ref="BI150">_xlfn.LET(
  _xlpm.w, BI$11,
  _xlpm.r, MATCH(1,('3. Enter Indicator Scores'!$B$10:$B$161=$B150)*('3. Enter Indicator Scores'!$C$10:$C$161=$C150),0),
  _xlpm.c, MATCH(BI$8,'3. Enter Indicator Scores'!$D$8:$CZ$8,0),
  _xlpm.v, IFERROR(INDEX('3. Enter Indicator Scores'!$D$10:$CZ$161,_xlpm.r,_xlpm.c),""),
  IF(OR(_xlpm.w="",_xlpm.v=""),"",_xlpm.v*_xlpm.w)
)</f>
        <v/>
      </c>
      <c r="BJ150" s="93" t="str" cm="1">
        <f t="array" ref="BJ150">_xlfn.LET(
  _xlpm.w, BJ$11,
  _xlpm.r, MATCH(1,('3. Enter Indicator Scores'!$B$10:$B$161=$B150)*('3. Enter Indicator Scores'!$C$10:$C$161=$C150),0),
  _xlpm.c, MATCH(BJ$8,'3. Enter Indicator Scores'!$D$8:$CZ$8,0),
  _xlpm.v, IFERROR(INDEX('3. Enter Indicator Scores'!$D$10:$CZ$161,_xlpm.r,_xlpm.c),""),
  IF(OR(_xlpm.w="",_xlpm.v=""),"",_xlpm.v*_xlpm.w)
)</f>
        <v/>
      </c>
      <c r="BK150" s="93" t="str" cm="1">
        <f t="array" ref="BK150">_xlfn.LET(
  _xlpm.w, BK$11,
  _xlpm.r, MATCH(1,('3. Enter Indicator Scores'!$B$10:$B$161=$B150)*('3. Enter Indicator Scores'!$C$10:$C$161=$C150),0),
  _xlpm.c, MATCH(BK$8,'3. Enter Indicator Scores'!$D$8:$CZ$8,0),
  _xlpm.v, IFERROR(INDEX('3. Enter Indicator Scores'!$D$10:$CZ$161,_xlpm.r,_xlpm.c),""),
  IF(OR(_xlpm.w="",_xlpm.v=""),"",_xlpm.v*_xlpm.w)
)</f>
        <v/>
      </c>
      <c r="BL150" s="93" t="str" cm="1">
        <f t="array" ref="BL150">_xlfn.LET(
  _xlpm.w, BL$11,
  _xlpm.r, MATCH(1,('3. Enter Indicator Scores'!$B$10:$B$161=$B150)*('3. Enter Indicator Scores'!$C$10:$C$161=$C150),0),
  _xlpm.c, MATCH(BL$8,'3. Enter Indicator Scores'!$D$8:$CZ$8,0),
  _xlpm.v, IFERROR(INDEX('3. Enter Indicator Scores'!$D$10:$CZ$161,_xlpm.r,_xlpm.c),""),
  IF(OR(_xlpm.w="",_xlpm.v=""),"",_xlpm.v*_xlpm.w)
)</f>
        <v/>
      </c>
      <c r="BM150" s="93" t="str" cm="1">
        <f t="array" ref="BM150">_xlfn.LET(
  _xlpm.w, BM$11,
  _xlpm.r, MATCH(1,('3. Enter Indicator Scores'!$B$10:$B$161=$B150)*('3. Enter Indicator Scores'!$C$10:$C$161=$C150),0),
  _xlpm.c, MATCH(BM$8,'3. Enter Indicator Scores'!$D$8:$CZ$8,0),
  _xlpm.v, IFERROR(INDEX('3. Enter Indicator Scores'!$D$10:$CZ$161,_xlpm.r,_xlpm.c),""),
  IF(OR(_xlpm.w="",_xlpm.v=""),"",_xlpm.v*_xlpm.w)
)</f>
        <v/>
      </c>
      <c r="BN150" s="93" t="str" cm="1">
        <f t="array" ref="BN150">_xlfn.LET(
  _xlpm.w, BN$11,
  _xlpm.r, MATCH(1,('3. Enter Indicator Scores'!$B$10:$B$161=$B150)*('3. Enter Indicator Scores'!$C$10:$C$161=$C150),0),
  _xlpm.c, MATCH(BN$8,'3. Enter Indicator Scores'!$D$8:$CZ$8,0),
  _xlpm.v, IFERROR(INDEX('3. Enter Indicator Scores'!$D$10:$CZ$161,_xlpm.r,_xlpm.c),""),
  IF(OR(_xlpm.w="",_xlpm.v=""),"",_xlpm.v*_xlpm.w)
)</f>
        <v/>
      </c>
      <c r="BO150" s="93" t="str" cm="1">
        <f t="array" ref="BO150">_xlfn.LET(
  _xlpm.w, BO$11,
  _xlpm.r, MATCH(1,('3. Enter Indicator Scores'!$B$10:$B$161=$B150)*('3. Enter Indicator Scores'!$C$10:$C$161=$C150),0),
  _xlpm.c, MATCH(BO$8,'3. Enter Indicator Scores'!$D$8:$CZ$8,0),
  _xlpm.v, IFERROR(INDEX('3. Enter Indicator Scores'!$D$10:$CZ$161,_xlpm.r,_xlpm.c),""),
  IF(OR(_xlpm.w="",_xlpm.v=""),"",_xlpm.v*_xlpm.w)
)</f>
        <v/>
      </c>
      <c r="BP150" s="93" t="str" cm="1">
        <f t="array" ref="BP150">_xlfn.LET(
  _xlpm.w, BP$11,
  _xlpm.r, MATCH(1,('3. Enter Indicator Scores'!$B$10:$B$161=$B150)*('3. Enter Indicator Scores'!$C$10:$C$161=$C150),0),
  _xlpm.c, MATCH(BP$8,'3. Enter Indicator Scores'!$D$8:$CZ$8,0),
  _xlpm.v, IFERROR(INDEX('3. Enter Indicator Scores'!$D$10:$CZ$161,_xlpm.r,_xlpm.c),""),
  IF(OR(_xlpm.w="",_xlpm.v=""),"",_xlpm.v*_xlpm.w)
)</f>
        <v/>
      </c>
      <c r="BQ150" s="93" t="str" cm="1">
        <f t="array" ref="BQ150">_xlfn.LET(
  _xlpm.w, BQ$11,
  _xlpm.r, MATCH(1,('3. Enter Indicator Scores'!$B$10:$B$161=$B150)*('3. Enter Indicator Scores'!$C$10:$C$161=$C150),0),
  _xlpm.c, MATCH(BQ$8,'3. Enter Indicator Scores'!$D$8:$CZ$8,0),
  _xlpm.v, IFERROR(INDEX('3. Enter Indicator Scores'!$D$10:$CZ$161,_xlpm.r,_xlpm.c),""),
  IF(OR(_xlpm.w="",_xlpm.v=""),"",_xlpm.v*_xlpm.w)
)</f>
        <v/>
      </c>
      <c r="BR150" s="93" t="str" cm="1">
        <f t="array" ref="BR150">_xlfn.LET(
  _xlpm.w, BR$11,
  _xlpm.r, MATCH(1,('3. Enter Indicator Scores'!$B$10:$B$161=$B150)*('3. Enter Indicator Scores'!$C$10:$C$161=$C150),0),
  _xlpm.c, MATCH(BR$8,'3. Enter Indicator Scores'!$D$8:$CZ$8,0),
  _xlpm.v, IFERROR(INDEX('3. Enter Indicator Scores'!$D$10:$CZ$161,_xlpm.r,_xlpm.c),""),
  IF(OR(_xlpm.w="",_xlpm.v=""),"",_xlpm.v*_xlpm.w)
)</f>
        <v/>
      </c>
      <c r="BS150" s="93" t="str" cm="1">
        <f t="array" ref="BS150">_xlfn.LET(
  _xlpm.w, BS$11,
  _xlpm.r, MATCH(1,('3. Enter Indicator Scores'!$B$10:$B$161=$B150)*('3. Enter Indicator Scores'!$C$10:$C$161=$C150),0),
  _xlpm.c, MATCH(BS$8,'3. Enter Indicator Scores'!$D$8:$CZ$8,0),
  _xlpm.v, IFERROR(INDEX('3. Enter Indicator Scores'!$D$10:$CZ$161,_xlpm.r,_xlpm.c),""),
  IF(OR(_xlpm.w="",_xlpm.v=""),"",_xlpm.v*_xlpm.w)
)</f>
        <v/>
      </c>
      <c r="BT150" s="93" t="str" cm="1">
        <f t="array" ref="BT150">_xlfn.LET(
  _xlpm.w, BT$11,
  _xlpm.r, MATCH(1,('3. Enter Indicator Scores'!$B$10:$B$161=$B150)*('3. Enter Indicator Scores'!$C$10:$C$161=$C150),0),
  _xlpm.c, MATCH(BT$8,'3. Enter Indicator Scores'!$D$8:$CZ$8,0),
  _xlpm.v, IFERROR(INDEX('3. Enter Indicator Scores'!$D$10:$CZ$161,_xlpm.r,_xlpm.c),""),
  IF(OR(_xlpm.w="",_xlpm.v=""),"",_xlpm.v*_xlpm.w)
)</f>
        <v/>
      </c>
      <c r="BU150" s="93" t="str" cm="1">
        <f t="array" ref="BU150">_xlfn.LET(
  _xlpm.w, BU$11,
  _xlpm.r, MATCH(1,('3. Enter Indicator Scores'!$B$10:$B$161=$B150)*('3. Enter Indicator Scores'!$C$10:$C$161=$C150),0),
  _xlpm.c, MATCH(BU$8,'3. Enter Indicator Scores'!$D$8:$CZ$8,0),
  _xlpm.v, IFERROR(INDEX('3. Enter Indicator Scores'!$D$10:$CZ$161,_xlpm.r,_xlpm.c),""),
  IF(OR(_xlpm.w="",_xlpm.v=""),"",_xlpm.v*_xlpm.w)
)</f>
        <v/>
      </c>
      <c r="BV150" s="93" t="str" cm="1">
        <f t="array" ref="BV150">_xlfn.LET(
  _xlpm.w, BV$11,
  _xlpm.r, MATCH(1,('3. Enter Indicator Scores'!$B$10:$B$161=$B150)*('3. Enter Indicator Scores'!$C$10:$C$161=$C150),0),
  _xlpm.c, MATCH(BV$8,'3. Enter Indicator Scores'!$D$8:$CZ$8,0),
  _xlpm.v, IFERROR(INDEX('3. Enter Indicator Scores'!$D$10:$CZ$161,_xlpm.r,_xlpm.c),""),
  IF(OR(_xlpm.w="",_xlpm.v=""),"",_xlpm.v*_xlpm.w)
)</f>
        <v/>
      </c>
      <c r="BW150" s="93" t="str" cm="1">
        <f t="array" ref="BW150">_xlfn.LET(
  _xlpm.w, BW$11,
  _xlpm.r, MATCH(1,('3. Enter Indicator Scores'!$B$10:$B$161=$B150)*('3. Enter Indicator Scores'!$C$10:$C$161=$C150),0),
  _xlpm.c, MATCH(BW$8,'3. Enter Indicator Scores'!$D$8:$CZ$8,0),
  _xlpm.v, IFERROR(INDEX('3. Enter Indicator Scores'!$D$10:$CZ$161,_xlpm.r,_xlpm.c),""),
  IF(OR(_xlpm.w="",_xlpm.v=""),"",_xlpm.v*_xlpm.w)
)</f>
        <v/>
      </c>
      <c r="BX150" s="93" t="str" cm="1">
        <f t="array" ref="BX150">_xlfn.LET(
  _xlpm.w, BX$11,
  _xlpm.r, MATCH(1,('3. Enter Indicator Scores'!$B$10:$B$161=$B150)*('3. Enter Indicator Scores'!$C$10:$C$161=$C150),0),
  _xlpm.c, MATCH(BX$8,'3. Enter Indicator Scores'!$D$8:$CZ$8,0),
  _xlpm.v, IFERROR(INDEX('3. Enter Indicator Scores'!$D$10:$CZ$161,_xlpm.r,_xlpm.c),""),
  IF(OR(_xlpm.w="",_xlpm.v=""),"",_xlpm.v*_xlpm.w)
)</f>
        <v/>
      </c>
      <c r="BY150" s="93" t="str" cm="1">
        <f t="array" ref="BY150">_xlfn.LET(
  _xlpm.w, BY$11,
  _xlpm.r, MATCH(1,('3. Enter Indicator Scores'!$B$10:$B$161=$B150)*('3. Enter Indicator Scores'!$C$10:$C$161=$C150),0),
  _xlpm.c, MATCH(BY$8,'3. Enter Indicator Scores'!$D$8:$CZ$8,0),
  _xlpm.v, IFERROR(INDEX('3. Enter Indicator Scores'!$D$10:$CZ$161,_xlpm.r,_xlpm.c),""),
  IF(OR(_xlpm.w="",_xlpm.v=""),"",_xlpm.v*_xlpm.w)
)</f>
        <v/>
      </c>
      <c r="BZ150" s="93" t="str" cm="1">
        <f t="array" ref="BZ150">_xlfn.LET(
  _xlpm.w, BZ$11,
  _xlpm.r, MATCH(1,('3. Enter Indicator Scores'!$B$10:$B$161=$B150)*('3. Enter Indicator Scores'!$C$10:$C$161=$C150),0),
  _xlpm.c, MATCH(BZ$8,'3. Enter Indicator Scores'!$D$8:$CZ$8,0),
  _xlpm.v, IFERROR(INDEX('3. Enter Indicator Scores'!$D$10:$CZ$161,_xlpm.r,_xlpm.c),""),
  IF(OR(_xlpm.w="",_xlpm.v=""),"",_xlpm.v*_xlpm.w)
)</f>
        <v/>
      </c>
      <c r="CA150" s="93" t="str" cm="1">
        <f t="array" ref="CA150">_xlfn.LET(
  _xlpm.w, CA$11,
  _xlpm.r, MATCH(1,('3. Enter Indicator Scores'!$B$10:$B$161=$B150)*('3. Enter Indicator Scores'!$C$10:$C$161=$C150),0),
  _xlpm.c, MATCH(CA$8,'3. Enter Indicator Scores'!$D$8:$CZ$8,0),
  _xlpm.v, IFERROR(INDEX('3. Enter Indicator Scores'!$D$10:$CZ$161,_xlpm.r,_xlpm.c),""),
  IF(OR(_xlpm.w="",_xlpm.v=""),"",_xlpm.v*_xlpm.w)
)</f>
        <v/>
      </c>
      <c r="CB150" s="93" t="str" cm="1">
        <f t="array" ref="CB150">_xlfn.LET(
  _xlpm.w, CB$11,
  _xlpm.r, MATCH(1,('3. Enter Indicator Scores'!$B$10:$B$161=$B150)*('3. Enter Indicator Scores'!$C$10:$C$161=$C150),0),
  _xlpm.c, MATCH(CB$8,'3. Enter Indicator Scores'!$D$8:$CZ$8,0),
  _xlpm.v, IFERROR(INDEX('3. Enter Indicator Scores'!$D$10:$CZ$161,_xlpm.r,_xlpm.c),""),
  IF(OR(_xlpm.w="",_xlpm.v=""),"",_xlpm.v*_xlpm.w)
)</f>
        <v/>
      </c>
      <c r="CC150" s="93" t="str" cm="1">
        <f t="array" ref="CC150">_xlfn.LET(
  _xlpm.w, CC$11,
  _xlpm.r, MATCH(1,('3. Enter Indicator Scores'!$B$10:$B$161=$B150)*('3. Enter Indicator Scores'!$C$10:$C$161=$C150),0),
  _xlpm.c, MATCH(CC$8,'3. Enter Indicator Scores'!$D$8:$CZ$8,0),
  _xlpm.v, IFERROR(INDEX('3. Enter Indicator Scores'!$D$10:$CZ$161,_xlpm.r,_xlpm.c),""),
  IF(OR(_xlpm.w="",_xlpm.v=""),"",_xlpm.v*_xlpm.w)
)</f>
        <v/>
      </c>
      <c r="CD150" s="93" t="str" cm="1">
        <f t="array" ref="CD150">_xlfn.LET(
  _xlpm.w, CD$11,
  _xlpm.r, MATCH(1,('3. Enter Indicator Scores'!$B$10:$B$161=$B150)*('3. Enter Indicator Scores'!$C$10:$C$161=$C150),0),
  _xlpm.c, MATCH(CD$8,'3. Enter Indicator Scores'!$D$8:$CZ$8,0),
  _xlpm.v, IFERROR(INDEX('3. Enter Indicator Scores'!$D$10:$CZ$161,_xlpm.r,_xlpm.c),""),
  IF(OR(_xlpm.w="",_xlpm.v=""),"",_xlpm.v*_xlpm.w)
)</f>
        <v/>
      </c>
      <c r="CE150" s="93" t="str" cm="1">
        <f t="array" ref="CE150">_xlfn.LET(
  _xlpm.w, CE$11,
  _xlpm.r, MATCH(1,('3. Enter Indicator Scores'!$B$10:$B$161=$B150)*('3. Enter Indicator Scores'!$C$10:$C$161=$C150),0),
  _xlpm.c, MATCH(CE$8,'3. Enter Indicator Scores'!$D$8:$CZ$8,0),
  _xlpm.v, IFERROR(INDEX('3. Enter Indicator Scores'!$D$10:$CZ$161,_xlpm.r,_xlpm.c),""),
  IF(OR(_xlpm.w="",_xlpm.v=""),"",_xlpm.v*_xlpm.w)
)</f>
        <v/>
      </c>
      <c r="CF150" s="93" t="str" cm="1">
        <f t="array" ref="CF150">_xlfn.LET(
  _xlpm.w, CF$11,
  _xlpm.r, MATCH(1,('3. Enter Indicator Scores'!$B$10:$B$161=$B150)*('3. Enter Indicator Scores'!$C$10:$C$161=$C150),0),
  _xlpm.c, MATCH(CF$8,'3. Enter Indicator Scores'!$D$8:$CZ$8,0),
  _xlpm.v, IFERROR(INDEX('3. Enter Indicator Scores'!$D$10:$CZ$161,_xlpm.r,_xlpm.c),""),
  IF(OR(_xlpm.w="",_xlpm.v=""),"",_xlpm.v*_xlpm.w)
)</f>
        <v/>
      </c>
      <c r="CG150" s="93" t="str" cm="1">
        <f t="array" ref="CG150">_xlfn.LET(
  _xlpm.w, CG$11,
  _xlpm.r, MATCH(1,('3. Enter Indicator Scores'!$B$10:$B$161=$B150)*('3. Enter Indicator Scores'!$C$10:$C$161=$C150),0),
  _xlpm.c, MATCH(CG$8,'3. Enter Indicator Scores'!$D$8:$CZ$8,0),
  _xlpm.v, IFERROR(INDEX('3. Enter Indicator Scores'!$D$10:$CZ$161,_xlpm.r,_xlpm.c),""),
  IF(OR(_xlpm.w="",_xlpm.v=""),"",_xlpm.v*_xlpm.w)
)</f>
        <v/>
      </c>
      <c r="CH150" s="93" t="str" cm="1">
        <f t="array" ref="CH150">_xlfn.LET(
  _xlpm.w, CH$11,
  _xlpm.r, MATCH(1,('3. Enter Indicator Scores'!$B$10:$B$161=$B150)*('3. Enter Indicator Scores'!$C$10:$C$161=$C150),0),
  _xlpm.c, MATCH(CH$8,'3. Enter Indicator Scores'!$D$8:$CZ$8,0),
  _xlpm.v, IFERROR(INDEX('3. Enter Indicator Scores'!$D$10:$CZ$161,_xlpm.r,_xlpm.c),""),
  IF(OR(_xlpm.w="",_xlpm.v=""),"",_xlpm.v*_xlpm.w)
)</f>
        <v/>
      </c>
      <c r="CI150" s="93" t="str" cm="1">
        <f t="array" ref="CI150">_xlfn.LET(
  _xlpm.w, CI$11,
  _xlpm.r, MATCH(1,('3. Enter Indicator Scores'!$B$10:$B$161=$B150)*('3. Enter Indicator Scores'!$C$10:$C$161=$C150),0),
  _xlpm.c, MATCH(CI$8,'3. Enter Indicator Scores'!$D$8:$CZ$8,0),
  _xlpm.v, IFERROR(INDEX('3. Enter Indicator Scores'!$D$10:$CZ$161,_xlpm.r,_xlpm.c),""),
  IF(OR(_xlpm.w="",_xlpm.v=""),"",_xlpm.v*_xlpm.w)
)</f>
        <v/>
      </c>
      <c r="CJ150" s="93" t="str" cm="1">
        <f t="array" ref="CJ150">_xlfn.LET(
  _xlpm.w, CJ$11,
  _xlpm.r, MATCH(1,('3. Enter Indicator Scores'!$B$10:$B$161=$B150)*('3. Enter Indicator Scores'!$C$10:$C$161=$C150),0),
  _xlpm.c, MATCH(CJ$8,'3. Enter Indicator Scores'!$D$8:$CZ$8,0),
  _xlpm.v, IFERROR(INDEX('3. Enter Indicator Scores'!$D$10:$CZ$161,_xlpm.r,_xlpm.c),""),
  IF(OR(_xlpm.w="",_xlpm.v=""),"",_xlpm.v*_xlpm.w)
)</f>
        <v/>
      </c>
      <c r="CK150" s="93" t="str" cm="1">
        <f t="array" ref="CK150">_xlfn.LET(
  _xlpm.w, CK$11,
  _xlpm.r, MATCH(1,('3. Enter Indicator Scores'!$B$10:$B$161=$B150)*('3. Enter Indicator Scores'!$C$10:$C$161=$C150),0),
  _xlpm.c, MATCH(CK$8,'3. Enter Indicator Scores'!$D$8:$CZ$8,0),
  _xlpm.v, IFERROR(INDEX('3. Enter Indicator Scores'!$D$10:$CZ$161,_xlpm.r,_xlpm.c),""),
  IF(OR(_xlpm.w="",_xlpm.v=""),"",_xlpm.v*_xlpm.w)
)</f>
        <v/>
      </c>
      <c r="CL150" s="93" t="str" cm="1">
        <f t="array" ref="CL150">_xlfn.LET(
  _xlpm.w, CL$11,
  _xlpm.r, MATCH(1,('3. Enter Indicator Scores'!$B$10:$B$161=$B150)*('3. Enter Indicator Scores'!$C$10:$C$161=$C150),0),
  _xlpm.c, MATCH(CL$8,'3. Enter Indicator Scores'!$D$8:$CZ$8,0),
  _xlpm.v, IFERROR(INDEX('3. Enter Indicator Scores'!$D$10:$CZ$161,_xlpm.r,_xlpm.c),""),
  IF(OR(_xlpm.w="",_xlpm.v=""),"",_xlpm.v*_xlpm.w)
)</f>
        <v/>
      </c>
      <c r="CM150" s="93" t="str" cm="1">
        <f t="array" ref="CM150">_xlfn.LET(
  _xlpm.w, CM$11,
  _xlpm.r, MATCH(1,('3. Enter Indicator Scores'!$B$10:$B$161=$B150)*('3. Enter Indicator Scores'!$C$10:$C$161=$C150),0),
  _xlpm.c, MATCH(CM$8,'3. Enter Indicator Scores'!$D$8:$CZ$8,0),
  _xlpm.v, IFERROR(INDEX('3. Enter Indicator Scores'!$D$10:$CZ$161,_xlpm.r,_xlpm.c),""),
  IF(OR(_xlpm.w="",_xlpm.v=""),"",_xlpm.v*_xlpm.w)
)</f>
        <v/>
      </c>
      <c r="CN150" s="93" t="str" cm="1">
        <f t="array" ref="CN150">_xlfn.LET(
  _xlpm.w, CN$11,
  _xlpm.r, MATCH(1,('3. Enter Indicator Scores'!$B$10:$B$161=$B150)*('3. Enter Indicator Scores'!$C$10:$C$161=$C150),0),
  _xlpm.c, MATCH(CN$8,'3. Enter Indicator Scores'!$D$8:$CZ$8,0),
  _xlpm.v, IFERROR(INDEX('3. Enter Indicator Scores'!$D$10:$CZ$161,_xlpm.r,_xlpm.c),""),
  IF(OR(_xlpm.w="",_xlpm.v=""),"",_xlpm.v*_xlpm.w)
)</f>
        <v/>
      </c>
      <c r="CO150" s="93" t="str" cm="1">
        <f t="array" ref="CO150">_xlfn.LET(
  _xlpm.w, CO$11,
  _xlpm.r, MATCH(1,('3. Enter Indicator Scores'!$B$10:$B$161=$B150)*('3. Enter Indicator Scores'!$C$10:$C$161=$C150),0),
  _xlpm.c, MATCH(CO$8,'3. Enter Indicator Scores'!$D$8:$CZ$8,0),
  _xlpm.v, IFERROR(INDEX('3. Enter Indicator Scores'!$D$10:$CZ$161,_xlpm.r,_xlpm.c),""),
  IF(OR(_xlpm.w="",_xlpm.v=""),"",_xlpm.v*_xlpm.w)
)</f>
        <v/>
      </c>
      <c r="CP150" s="93" t="str" cm="1">
        <f t="array" ref="CP150">_xlfn.LET(
  _xlpm.w, CP$11,
  _xlpm.r, MATCH(1,('3. Enter Indicator Scores'!$B$10:$B$161=$B150)*('3. Enter Indicator Scores'!$C$10:$C$161=$C150),0),
  _xlpm.c, MATCH(CP$8,'3. Enter Indicator Scores'!$D$8:$CZ$8,0),
  _xlpm.v, IFERROR(INDEX('3. Enter Indicator Scores'!$D$10:$CZ$161,_xlpm.r,_xlpm.c),""),
  IF(OR(_xlpm.w="",_xlpm.v=""),"",_xlpm.v*_xlpm.w)
)</f>
        <v/>
      </c>
      <c r="CQ150" s="93" t="str" cm="1">
        <f t="array" ref="CQ150">_xlfn.LET(
  _xlpm.w, CQ$11,
  _xlpm.r, MATCH(1,('3. Enter Indicator Scores'!$B$10:$B$161=$B150)*('3. Enter Indicator Scores'!$C$10:$C$161=$C150),0),
  _xlpm.c, MATCH(CQ$8,'3. Enter Indicator Scores'!$D$8:$CZ$8,0),
  _xlpm.v, IFERROR(INDEX('3. Enter Indicator Scores'!$D$10:$CZ$161,_xlpm.r,_xlpm.c),""),
  IF(OR(_xlpm.w="",_xlpm.v=""),"",_xlpm.v*_xlpm.w)
)</f>
        <v/>
      </c>
      <c r="CR150" s="93" t="str" cm="1">
        <f t="array" ref="CR150">_xlfn.LET(
  _xlpm.w, CR$11,
  _xlpm.r, MATCH(1,('3. Enter Indicator Scores'!$B$10:$B$161=$B150)*('3. Enter Indicator Scores'!$C$10:$C$161=$C150),0),
  _xlpm.c, MATCH(CR$8,'3. Enter Indicator Scores'!$D$8:$CZ$8,0),
  _xlpm.v, IFERROR(INDEX('3. Enter Indicator Scores'!$D$10:$CZ$161,_xlpm.r,_xlpm.c),""),
  IF(OR(_xlpm.w="",_xlpm.v=""),"",_xlpm.v*_xlpm.w)
)</f>
        <v/>
      </c>
      <c r="CS150" s="93" t="str" cm="1">
        <f t="array" ref="CS150">_xlfn.LET(
  _xlpm.w, CS$11,
  _xlpm.r, MATCH(1,('3. Enter Indicator Scores'!$B$10:$B$161=$B150)*('3. Enter Indicator Scores'!$C$10:$C$161=$C150),0),
  _xlpm.c, MATCH(CS$8,'3. Enter Indicator Scores'!$D$8:$CZ$8,0),
  _xlpm.v, IFERROR(INDEX('3. Enter Indicator Scores'!$D$10:$CZ$161,_xlpm.r,_xlpm.c),""),
  IF(OR(_xlpm.w="",_xlpm.v=""),"",_xlpm.v*_xlpm.w)
)</f>
        <v/>
      </c>
      <c r="CT150" s="93" t="str" cm="1">
        <f t="array" ref="CT150">_xlfn.LET(
  _xlpm.w, CT$11,
  _xlpm.r, MATCH(1,('3. Enter Indicator Scores'!$B$10:$B$161=$B150)*('3. Enter Indicator Scores'!$C$10:$C$161=$C150),0),
  _xlpm.c, MATCH(CT$8,'3. Enter Indicator Scores'!$D$8:$CZ$8,0),
  _xlpm.v, IFERROR(INDEX('3. Enter Indicator Scores'!$D$10:$CZ$161,_xlpm.r,_xlpm.c),""),
  IF(OR(_xlpm.w="",_xlpm.v=""),"",_xlpm.v*_xlpm.w)
)</f>
        <v/>
      </c>
      <c r="CU150" s="93" t="str" cm="1">
        <f t="array" ref="CU150">_xlfn.LET(
  _xlpm.w, CU$11,
  _xlpm.r, MATCH(1,('3. Enter Indicator Scores'!$B$10:$B$161=$B150)*('3. Enter Indicator Scores'!$C$10:$C$161=$C150),0),
  _xlpm.c, MATCH(CU$8,'3. Enter Indicator Scores'!$D$8:$CZ$8,0),
  _xlpm.v, IFERROR(INDEX('3. Enter Indicator Scores'!$D$10:$CZ$161,_xlpm.r,_xlpm.c),""),
  IF(OR(_xlpm.w="",_xlpm.v=""),"",_xlpm.v*_xlpm.w)
)</f>
        <v/>
      </c>
      <c r="CV150" s="93" t="str" cm="1">
        <f t="array" ref="CV150">_xlfn.LET(
  _xlpm.w, CV$11,
  _xlpm.r, MATCH(1,('3. Enter Indicator Scores'!$B$10:$B$161=$B150)*('3. Enter Indicator Scores'!$C$10:$C$161=$C150),0),
  _xlpm.c, MATCH(CV$8,'3. Enter Indicator Scores'!$D$8:$CZ$8,0),
  _xlpm.v, IFERROR(INDEX('3. Enter Indicator Scores'!$D$10:$CZ$161,_xlpm.r,_xlpm.c),""),
  IF(OR(_xlpm.w="",_xlpm.v=""),"",_xlpm.v*_xlpm.w)
)</f>
        <v/>
      </c>
      <c r="CW150" s="93" t="str" cm="1">
        <f t="array" ref="CW150">_xlfn.LET(
  _xlpm.w, CW$11,
  _xlpm.r, MATCH(1,('3. Enter Indicator Scores'!$B$10:$B$161=$B150)*('3. Enter Indicator Scores'!$C$10:$C$161=$C150),0),
  _xlpm.c, MATCH(CW$8,'3. Enter Indicator Scores'!$D$8:$CZ$8,0),
  _xlpm.v, IFERROR(INDEX('3. Enter Indicator Scores'!$D$10:$CZ$161,_xlpm.r,_xlpm.c),""),
  IF(OR(_xlpm.w="",_xlpm.v=""),"",_xlpm.v*_xlpm.w)
)</f>
        <v/>
      </c>
      <c r="CX150" s="93" t="str" cm="1">
        <f t="array" ref="CX150">_xlfn.LET(
  _xlpm.w, CX$11,
  _xlpm.r, MATCH(1,('3. Enter Indicator Scores'!$B$10:$B$161=$B150)*('3. Enter Indicator Scores'!$C$10:$C$161=$C150),0),
  _xlpm.c, MATCH(CX$8,'3. Enter Indicator Scores'!$D$8:$CZ$8,0),
  _xlpm.v, IFERROR(INDEX('3. Enter Indicator Scores'!$D$10:$CZ$161,_xlpm.r,_xlpm.c),""),
  IF(OR(_xlpm.w="",_xlpm.v=""),"",_xlpm.v*_xlpm.w)
)</f>
        <v/>
      </c>
      <c r="CY150" s="93" t="str" cm="1">
        <f t="array" ref="CY150">_xlfn.LET(
  _xlpm.w, CY$11,
  _xlpm.r, MATCH(1,('3. Enter Indicator Scores'!$B$10:$B$161=$B150)*('3. Enter Indicator Scores'!$C$10:$C$161=$C150),0),
  _xlpm.c, MATCH(CY$8,'3. Enter Indicator Scores'!$D$8:$CZ$8,0),
  _xlpm.v, IFERROR(INDEX('3. Enter Indicator Scores'!$D$10:$CZ$161,_xlpm.r,_xlpm.c),""),
  IF(OR(_xlpm.w="",_xlpm.v=""),"",_xlpm.v*_xlpm.w)
)</f>
        <v/>
      </c>
      <c r="CZ150" s="93" t="str" cm="1">
        <f t="array" ref="CZ150">_xlfn.LET(
  _xlpm.w, CZ$11,
  _xlpm.r, MATCH(1,('3. Enter Indicator Scores'!$B$10:$B$161=$B150)*('3. Enter Indicator Scores'!$C$10:$C$161=$C150),0),
  _xlpm.c, MATCH(CZ$8,'3. Enter Indicator Scores'!$D$8:$CZ$8,0),
  _xlpm.v, IFERROR(INDEX('3. Enter Indicator Scores'!$D$10:$CZ$161,_xlpm.r,_xlpm.c),""),
  IF(OR(_xlpm.w="",_xlpm.v=""),"",_xlpm.v*_xlpm.w)
)</f>
        <v/>
      </c>
    </row>
    <row r="151" spans="4:104" x14ac:dyDescent="0.2">
      <c r="D151" s="93" t="str" cm="1">
        <f t="array" ref="D151">_xlfn.LET(
  _xlpm.w, D$11,
  _xlpm.r, MATCH(1,('3. Enter Indicator Scores'!$B$10:$B$161=$B151)*('3. Enter Indicator Scores'!$C$10:$C$161=$C151),0),
  _xlpm.c, MATCH(D$8,'3. Enter Indicator Scores'!$D$8:$CZ$8,0),
  _xlpm.v, IFERROR(INDEX('3. Enter Indicator Scores'!$D$10:$CZ$161,_xlpm.r,_xlpm.c),""),
  IF(OR(_xlpm.w="",_xlpm.v=""),"",_xlpm.v*_xlpm.w)
)</f>
        <v/>
      </c>
      <c r="E151" s="93" t="str" cm="1">
        <f t="array" ref="E151">_xlfn.LET(
  _xlpm.w, E$11,
  _xlpm.r, MATCH(1,('3. Enter Indicator Scores'!$B$10:$B$161=$B151)*('3. Enter Indicator Scores'!$C$10:$C$161=$C151),0),
  _xlpm.c, MATCH(E$8,'3. Enter Indicator Scores'!$D$8:$CZ$8,0),
  _xlpm.v, IFERROR(INDEX('3. Enter Indicator Scores'!$D$10:$CZ$161,_xlpm.r,_xlpm.c),""),
  IF(OR(_xlpm.w="",_xlpm.v=""),"",_xlpm.v*_xlpm.w)
)</f>
        <v/>
      </c>
      <c r="F151" s="93" t="str" cm="1">
        <f t="array" ref="F151">_xlfn.LET(
  _xlpm.w, F$11,
  _xlpm.r, MATCH(1,('3. Enter Indicator Scores'!$B$10:$B$161=$B151)*('3. Enter Indicator Scores'!$C$10:$C$161=$C151),0),
  _xlpm.c, MATCH(F$8,'3. Enter Indicator Scores'!$D$8:$CZ$8,0),
  _xlpm.v, IFERROR(INDEX('3. Enter Indicator Scores'!$D$10:$CZ$161,_xlpm.r,_xlpm.c),""),
  IF(OR(_xlpm.w="",_xlpm.v=""),"",_xlpm.v*_xlpm.w)
)</f>
        <v/>
      </c>
      <c r="G151" s="93" t="str" cm="1">
        <f t="array" ref="G151">_xlfn.LET(
  _xlpm.w, G$11,
  _xlpm.r, MATCH(1,('3. Enter Indicator Scores'!$B$10:$B$161=$B151)*('3. Enter Indicator Scores'!$C$10:$C$161=$C151),0),
  _xlpm.c, MATCH(G$8,'3. Enter Indicator Scores'!$D$8:$CZ$8,0),
  _xlpm.v, IFERROR(INDEX('3. Enter Indicator Scores'!$D$10:$CZ$161,_xlpm.r,_xlpm.c),""),
  IF(OR(_xlpm.w="",_xlpm.v=""),"",_xlpm.v*_xlpm.w)
)</f>
        <v/>
      </c>
      <c r="H151" s="93" t="str" cm="1">
        <f t="array" ref="H151">_xlfn.LET(
  _xlpm.w, H$11,
  _xlpm.r, MATCH(1,('3. Enter Indicator Scores'!$B$10:$B$161=$B151)*('3. Enter Indicator Scores'!$C$10:$C$161=$C151),0),
  _xlpm.c, MATCH(H$8,'3. Enter Indicator Scores'!$D$8:$CZ$8,0),
  _xlpm.v, IFERROR(INDEX('3. Enter Indicator Scores'!$D$10:$CZ$161,_xlpm.r,_xlpm.c),""),
  IF(OR(_xlpm.w="",_xlpm.v=""),"",_xlpm.v*_xlpm.w)
)</f>
        <v/>
      </c>
      <c r="I151" s="93" t="str" cm="1">
        <f t="array" ref="I151">_xlfn.LET(
  _xlpm.w, I$11,
  _xlpm.r, MATCH(1,('3. Enter Indicator Scores'!$B$10:$B$161=$B151)*('3. Enter Indicator Scores'!$C$10:$C$161=$C151),0),
  _xlpm.c, MATCH(I$8,'3. Enter Indicator Scores'!$D$8:$CZ$8,0),
  _xlpm.v, IFERROR(INDEX('3. Enter Indicator Scores'!$D$10:$CZ$161,_xlpm.r,_xlpm.c),""),
  IF(OR(_xlpm.w="",_xlpm.v=""),"",_xlpm.v*_xlpm.w)
)</f>
        <v/>
      </c>
      <c r="J151" s="93" t="str" cm="1">
        <f t="array" ref="J151">_xlfn.LET(
  _xlpm.w, J$11,
  _xlpm.r, MATCH(1,('3. Enter Indicator Scores'!$B$10:$B$161=$B151)*('3. Enter Indicator Scores'!$C$10:$C$161=$C151),0),
  _xlpm.c, MATCH(J$8,'3. Enter Indicator Scores'!$D$8:$CZ$8,0),
  _xlpm.v, IFERROR(INDEX('3. Enter Indicator Scores'!$D$10:$CZ$161,_xlpm.r,_xlpm.c),""),
  IF(OR(_xlpm.w="",_xlpm.v=""),"",_xlpm.v*_xlpm.w)
)</f>
        <v/>
      </c>
      <c r="K151" s="93" t="str" cm="1">
        <f t="array" ref="K151">_xlfn.LET(
  _xlpm.w, K$11,
  _xlpm.r, MATCH(1,('3. Enter Indicator Scores'!$B$10:$B$161=$B151)*('3. Enter Indicator Scores'!$C$10:$C$161=$C151),0),
  _xlpm.c, MATCH(K$8,'3. Enter Indicator Scores'!$D$8:$CZ$8,0),
  _xlpm.v, IFERROR(INDEX('3. Enter Indicator Scores'!$D$10:$CZ$161,_xlpm.r,_xlpm.c),""),
  IF(OR(_xlpm.w="",_xlpm.v=""),"",_xlpm.v*_xlpm.w)
)</f>
        <v/>
      </c>
      <c r="L151" s="93" t="str" cm="1">
        <f t="array" ref="L151">_xlfn.LET(
  _xlpm.w, L$11,
  _xlpm.r, MATCH(1,('3. Enter Indicator Scores'!$B$10:$B$161=$B151)*('3. Enter Indicator Scores'!$C$10:$C$161=$C151),0),
  _xlpm.c, MATCH(L$8,'3. Enter Indicator Scores'!$D$8:$CZ$8,0),
  _xlpm.v, IFERROR(INDEX('3. Enter Indicator Scores'!$D$10:$CZ$161,_xlpm.r,_xlpm.c),""),
  IF(OR(_xlpm.w="",_xlpm.v=""),"",_xlpm.v*_xlpm.w)
)</f>
        <v/>
      </c>
      <c r="M151" s="93" t="str" cm="1">
        <f t="array" ref="M151">_xlfn.LET(
  _xlpm.w, M$11,
  _xlpm.r, MATCH(1,('3. Enter Indicator Scores'!$B$10:$B$161=$B151)*('3. Enter Indicator Scores'!$C$10:$C$161=$C151),0),
  _xlpm.c, MATCH(M$8,'3. Enter Indicator Scores'!$D$8:$CZ$8,0),
  _xlpm.v, IFERROR(INDEX('3. Enter Indicator Scores'!$D$10:$CZ$161,_xlpm.r,_xlpm.c),""),
  IF(OR(_xlpm.w="",_xlpm.v=""),"",_xlpm.v*_xlpm.w)
)</f>
        <v/>
      </c>
      <c r="N151" s="93" t="str" cm="1">
        <f t="array" ref="N151">_xlfn.LET(
  _xlpm.w, N$11,
  _xlpm.r, MATCH(1,('3. Enter Indicator Scores'!$B$10:$B$161=$B151)*('3. Enter Indicator Scores'!$C$10:$C$161=$C151),0),
  _xlpm.c, MATCH(N$8,'3. Enter Indicator Scores'!$D$8:$CZ$8,0),
  _xlpm.v, IFERROR(INDEX('3. Enter Indicator Scores'!$D$10:$CZ$161,_xlpm.r,_xlpm.c),""),
  IF(OR(_xlpm.w="",_xlpm.v=""),"",_xlpm.v*_xlpm.w)
)</f>
        <v/>
      </c>
      <c r="O151" s="93" t="str" cm="1">
        <f t="array" ref="O151">_xlfn.LET(
  _xlpm.w, O$11,
  _xlpm.r, MATCH(1,('3. Enter Indicator Scores'!$B$10:$B$161=$B151)*('3. Enter Indicator Scores'!$C$10:$C$161=$C151),0),
  _xlpm.c, MATCH(O$8,'3. Enter Indicator Scores'!$D$8:$CZ$8,0),
  _xlpm.v, IFERROR(INDEX('3. Enter Indicator Scores'!$D$10:$CZ$161,_xlpm.r,_xlpm.c),""),
  IF(OR(_xlpm.w="",_xlpm.v=""),"",_xlpm.v*_xlpm.w)
)</f>
        <v/>
      </c>
      <c r="P151" s="93" t="str" cm="1">
        <f t="array" ref="P151">_xlfn.LET(
  _xlpm.w, P$11,
  _xlpm.r, MATCH(1,('3. Enter Indicator Scores'!$B$10:$B$161=$B151)*('3. Enter Indicator Scores'!$C$10:$C$161=$C151),0),
  _xlpm.c, MATCH(P$8,'3. Enter Indicator Scores'!$D$8:$CZ$8,0),
  _xlpm.v, IFERROR(INDEX('3. Enter Indicator Scores'!$D$10:$CZ$161,_xlpm.r,_xlpm.c),""),
  IF(OR(_xlpm.w="",_xlpm.v=""),"",_xlpm.v*_xlpm.w)
)</f>
        <v/>
      </c>
      <c r="Q151" s="93" t="str" cm="1">
        <f t="array" ref="Q151">_xlfn.LET(
  _xlpm.w, Q$11,
  _xlpm.r, MATCH(1,('3. Enter Indicator Scores'!$B$10:$B$161=$B151)*('3. Enter Indicator Scores'!$C$10:$C$161=$C151),0),
  _xlpm.c, MATCH(Q$8,'3. Enter Indicator Scores'!$D$8:$CZ$8,0),
  _xlpm.v, IFERROR(INDEX('3. Enter Indicator Scores'!$D$10:$CZ$161,_xlpm.r,_xlpm.c),""),
  IF(OR(_xlpm.w="",_xlpm.v=""),"",_xlpm.v*_xlpm.w)
)</f>
        <v/>
      </c>
      <c r="R151" s="93" t="str" cm="1">
        <f t="array" ref="R151">_xlfn.LET(
  _xlpm.w, R$11,
  _xlpm.r, MATCH(1,('3. Enter Indicator Scores'!$B$10:$B$161=$B151)*('3. Enter Indicator Scores'!$C$10:$C$161=$C151),0),
  _xlpm.c, MATCH(R$8,'3. Enter Indicator Scores'!$D$8:$CZ$8,0),
  _xlpm.v, IFERROR(INDEX('3. Enter Indicator Scores'!$D$10:$CZ$161,_xlpm.r,_xlpm.c),""),
  IF(OR(_xlpm.w="",_xlpm.v=""),"",_xlpm.v*_xlpm.w)
)</f>
        <v/>
      </c>
      <c r="S151" s="93" t="str" cm="1">
        <f t="array" ref="S151">_xlfn.LET(
  _xlpm.w, S$11,
  _xlpm.r, MATCH(1,('3. Enter Indicator Scores'!$B$10:$B$161=$B151)*('3. Enter Indicator Scores'!$C$10:$C$161=$C151),0),
  _xlpm.c, MATCH(S$8,'3. Enter Indicator Scores'!$D$8:$CZ$8,0),
  _xlpm.v, IFERROR(INDEX('3. Enter Indicator Scores'!$D$10:$CZ$161,_xlpm.r,_xlpm.c),""),
  IF(OR(_xlpm.w="",_xlpm.v=""),"",_xlpm.v*_xlpm.w)
)</f>
        <v/>
      </c>
      <c r="T151" s="93" t="str" cm="1">
        <f t="array" ref="T151">_xlfn.LET(
  _xlpm.w, T$11,
  _xlpm.r, MATCH(1,('3. Enter Indicator Scores'!$B$10:$B$161=$B151)*('3. Enter Indicator Scores'!$C$10:$C$161=$C151),0),
  _xlpm.c, MATCH(T$8,'3. Enter Indicator Scores'!$D$8:$CZ$8,0),
  _xlpm.v, IFERROR(INDEX('3. Enter Indicator Scores'!$D$10:$CZ$161,_xlpm.r,_xlpm.c),""),
  IF(OR(_xlpm.w="",_xlpm.v=""),"",_xlpm.v*_xlpm.w)
)</f>
        <v/>
      </c>
      <c r="U151" s="93" t="str" cm="1">
        <f t="array" ref="U151">_xlfn.LET(
  _xlpm.w, U$11,
  _xlpm.r, MATCH(1,('3. Enter Indicator Scores'!$B$10:$B$161=$B151)*('3. Enter Indicator Scores'!$C$10:$C$161=$C151),0),
  _xlpm.c, MATCH(U$8,'3. Enter Indicator Scores'!$D$8:$CZ$8,0),
  _xlpm.v, IFERROR(INDEX('3. Enter Indicator Scores'!$D$10:$CZ$161,_xlpm.r,_xlpm.c),""),
  IF(OR(_xlpm.w="",_xlpm.v=""),"",_xlpm.v*_xlpm.w)
)</f>
        <v/>
      </c>
      <c r="V151" s="93" t="str" cm="1">
        <f t="array" ref="V151">_xlfn.LET(
  _xlpm.w, V$11,
  _xlpm.r, MATCH(1,('3. Enter Indicator Scores'!$B$10:$B$161=$B151)*('3. Enter Indicator Scores'!$C$10:$C$161=$C151),0),
  _xlpm.c, MATCH(V$8,'3. Enter Indicator Scores'!$D$8:$CZ$8,0),
  _xlpm.v, IFERROR(INDEX('3. Enter Indicator Scores'!$D$10:$CZ$161,_xlpm.r,_xlpm.c),""),
  IF(OR(_xlpm.w="",_xlpm.v=""),"",_xlpm.v*_xlpm.w)
)</f>
        <v/>
      </c>
      <c r="W151" s="93" t="str" cm="1">
        <f t="array" ref="W151">_xlfn.LET(
  _xlpm.w, W$11,
  _xlpm.r, MATCH(1,('3. Enter Indicator Scores'!$B$10:$B$161=$B151)*('3. Enter Indicator Scores'!$C$10:$C$161=$C151),0),
  _xlpm.c, MATCH(W$8,'3. Enter Indicator Scores'!$D$8:$CZ$8,0),
  _xlpm.v, IFERROR(INDEX('3. Enter Indicator Scores'!$D$10:$CZ$161,_xlpm.r,_xlpm.c),""),
  IF(OR(_xlpm.w="",_xlpm.v=""),"",_xlpm.v*_xlpm.w)
)</f>
        <v/>
      </c>
      <c r="X151" s="93" t="str" cm="1">
        <f t="array" ref="X151">_xlfn.LET(
  _xlpm.w, X$11,
  _xlpm.r, MATCH(1,('3. Enter Indicator Scores'!$B$10:$B$161=$B151)*('3. Enter Indicator Scores'!$C$10:$C$161=$C151),0),
  _xlpm.c, MATCH(X$8,'3. Enter Indicator Scores'!$D$8:$CZ$8,0),
  _xlpm.v, IFERROR(INDEX('3. Enter Indicator Scores'!$D$10:$CZ$161,_xlpm.r,_xlpm.c),""),
  IF(OR(_xlpm.w="",_xlpm.v=""),"",_xlpm.v*_xlpm.w)
)</f>
        <v/>
      </c>
      <c r="Y151" s="93" t="str" cm="1">
        <f t="array" ref="Y151">_xlfn.LET(
  _xlpm.w, Y$11,
  _xlpm.r, MATCH(1,('3. Enter Indicator Scores'!$B$10:$B$161=$B151)*('3. Enter Indicator Scores'!$C$10:$C$161=$C151),0),
  _xlpm.c, MATCH(Y$8,'3. Enter Indicator Scores'!$D$8:$CZ$8,0),
  _xlpm.v, IFERROR(INDEX('3. Enter Indicator Scores'!$D$10:$CZ$161,_xlpm.r,_xlpm.c),""),
  IF(OR(_xlpm.w="",_xlpm.v=""),"",_xlpm.v*_xlpm.w)
)</f>
        <v/>
      </c>
      <c r="Z151" s="93" t="str" cm="1">
        <f t="array" ref="Z151">_xlfn.LET(
  _xlpm.w, Z$11,
  _xlpm.r, MATCH(1,('3. Enter Indicator Scores'!$B$10:$B$161=$B151)*('3. Enter Indicator Scores'!$C$10:$C$161=$C151),0),
  _xlpm.c, MATCH(Z$8,'3. Enter Indicator Scores'!$D$8:$CZ$8,0),
  _xlpm.v, IFERROR(INDEX('3. Enter Indicator Scores'!$D$10:$CZ$161,_xlpm.r,_xlpm.c),""),
  IF(OR(_xlpm.w="",_xlpm.v=""),"",_xlpm.v*_xlpm.w)
)</f>
        <v/>
      </c>
      <c r="AA151" s="93" t="str" cm="1">
        <f t="array" ref="AA151">_xlfn.LET(
  _xlpm.w, AA$11,
  _xlpm.r, MATCH(1,('3. Enter Indicator Scores'!$B$10:$B$161=$B151)*('3. Enter Indicator Scores'!$C$10:$C$161=$C151),0),
  _xlpm.c, MATCH(AA$8,'3. Enter Indicator Scores'!$D$8:$CZ$8,0),
  _xlpm.v, IFERROR(INDEX('3. Enter Indicator Scores'!$D$10:$CZ$161,_xlpm.r,_xlpm.c),""),
  IF(OR(_xlpm.w="",_xlpm.v=""),"",_xlpm.v*_xlpm.w)
)</f>
        <v/>
      </c>
      <c r="AB151" s="93" t="str" cm="1">
        <f t="array" ref="AB151">_xlfn.LET(
  _xlpm.w, AB$11,
  _xlpm.r, MATCH(1,('3. Enter Indicator Scores'!$B$10:$B$161=$B151)*('3. Enter Indicator Scores'!$C$10:$C$161=$C151),0),
  _xlpm.c, MATCH(AB$8,'3. Enter Indicator Scores'!$D$8:$CZ$8,0),
  _xlpm.v, IFERROR(INDEX('3. Enter Indicator Scores'!$D$10:$CZ$161,_xlpm.r,_xlpm.c),""),
  IF(OR(_xlpm.w="",_xlpm.v=""),"",_xlpm.v*_xlpm.w)
)</f>
        <v/>
      </c>
      <c r="AC151" s="93" t="str" cm="1">
        <f t="array" ref="AC151">_xlfn.LET(
  _xlpm.w, AC$11,
  _xlpm.r, MATCH(1,('3. Enter Indicator Scores'!$B$10:$B$161=$B151)*('3. Enter Indicator Scores'!$C$10:$C$161=$C151),0),
  _xlpm.c, MATCH(AC$8,'3. Enter Indicator Scores'!$D$8:$CZ$8,0),
  _xlpm.v, IFERROR(INDEX('3. Enter Indicator Scores'!$D$10:$CZ$161,_xlpm.r,_xlpm.c),""),
  IF(OR(_xlpm.w="",_xlpm.v=""),"",_xlpm.v*_xlpm.w)
)</f>
        <v/>
      </c>
      <c r="AD151" s="93" t="str" cm="1">
        <f t="array" ref="AD151">_xlfn.LET(
  _xlpm.w, AD$11,
  _xlpm.r, MATCH(1,('3. Enter Indicator Scores'!$B$10:$B$161=$B151)*('3. Enter Indicator Scores'!$C$10:$C$161=$C151),0),
  _xlpm.c, MATCH(AD$8,'3. Enter Indicator Scores'!$D$8:$CZ$8,0),
  _xlpm.v, IFERROR(INDEX('3. Enter Indicator Scores'!$D$10:$CZ$161,_xlpm.r,_xlpm.c),""),
  IF(OR(_xlpm.w="",_xlpm.v=""),"",_xlpm.v*_xlpm.w)
)</f>
        <v/>
      </c>
      <c r="AE151" s="93" t="str" cm="1">
        <f t="array" ref="AE151">_xlfn.LET(
  _xlpm.w, AE$11,
  _xlpm.r, MATCH(1,('3. Enter Indicator Scores'!$B$10:$B$161=$B151)*('3. Enter Indicator Scores'!$C$10:$C$161=$C151),0),
  _xlpm.c, MATCH(AE$8,'3. Enter Indicator Scores'!$D$8:$CZ$8,0),
  _xlpm.v, IFERROR(INDEX('3. Enter Indicator Scores'!$D$10:$CZ$161,_xlpm.r,_xlpm.c),""),
  IF(OR(_xlpm.w="",_xlpm.v=""),"",_xlpm.v*_xlpm.w)
)</f>
        <v/>
      </c>
      <c r="AF151" s="93" t="str" cm="1">
        <f t="array" ref="AF151">_xlfn.LET(
  _xlpm.w, AF$11,
  _xlpm.r, MATCH(1,('3. Enter Indicator Scores'!$B$10:$B$161=$B151)*('3. Enter Indicator Scores'!$C$10:$C$161=$C151),0),
  _xlpm.c, MATCH(AF$8,'3. Enter Indicator Scores'!$D$8:$CZ$8,0),
  _xlpm.v, IFERROR(INDEX('3. Enter Indicator Scores'!$D$10:$CZ$161,_xlpm.r,_xlpm.c),""),
  IF(OR(_xlpm.w="",_xlpm.v=""),"",_xlpm.v*_xlpm.w)
)</f>
        <v/>
      </c>
      <c r="AG151" s="93" t="str" cm="1">
        <f t="array" ref="AG151">_xlfn.LET(
  _xlpm.w, AG$11,
  _xlpm.r, MATCH(1,('3. Enter Indicator Scores'!$B$10:$B$161=$B151)*('3. Enter Indicator Scores'!$C$10:$C$161=$C151),0),
  _xlpm.c, MATCH(AG$8,'3. Enter Indicator Scores'!$D$8:$CZ$8,0),
  _xlpm.v, IFERROR(INDEX('3. Enter Indicator Scores'!$D$10:$CZ$161,_xlpm.r,_xlpm.c),""),
  IF(OR(_xlpm.w="",_xlpm.v=""),"",_xlpm.v*_xlpm.w)
)</f>
        <v/>
      </c>
      <c r="AH151" s="93" t="str" cm="1">
        <f t="array" ref="AH151">_xlfn.LET(
  _xlpm.w, AH$11,
  _xlpm.r, MATCH(1,('3. Enter Indicator Scores'!$B$10:$B$161=$B151)*('3. Enter Indicator Scores'!$C$10:$C$161=$C151),0),
  _xlpm.c, MATCH(AH$8,'3. Enter Indicator Scores'!$D$8:$CZ$8,0),
  _xlpm.v, IFERROR(INDEX('3. Enter Indicator Scores'!$D$10:$CZ$161,_xlpm.r,_xlpm.c),""),
  IF(OR(_xlpm.w="",_xlpm.v=""),"",_xlpm.v*_xlpm.w)
)</f>
        <v/>
      </c>
      <c r="AI151" s="93" t="str" cm="1">
        <f t="array" ref="AI151">_xlfn.LET(
  _xlpm.w, AI$11,
  _xlpm.r, MATCH(1,('3. Enter Indicator Scores'!$B$10:$B$161=$B151)*('3. Enter Indicator Scores'!$C$10:$C$161=$C151),0),
  _xlpm.c, MATCH(AI$8,'3. Enter Indicator Scores'!$D$8:$CZ$8,0),
  _xlpm.v, IFERROR(INDEX('3. Enter Indicator Scores'!$D$10:$CZ$161,_xlpm.r,_xlpm.c),""),
  IF(OR(_xlpm.w="",_xlpm.v=""),"",_xlpm.v*_xlpm.w)
)</f>
        <v/>
      </c>
      <c r="AJ151" s="93" t="str" cm="1">
        <f t="array" ref="AJ151">_xlfn.LET(
  _xlpm.w, AJ$11,
  _xlpm.r, MATCH(1,('3. Enter Indicator Scores'!$B$10:$B$161=$B151)*('3. Enter Indicator Scores'!$C$10:$C$161=$C151),0),
  _xlpm.c, MATCH(AJ$8,'3. Enter Indicator Scores'!$D$8:$CZ$8,0),
  _xlpm.v, IFERROR(INDEX('3. Enter Indicator Scores'!$D$10:$CZ$161,_xlpm.r,_xlpm.c),""),
  IF(OR(_xlpm.w="",_xlpm.v=""),"",_xlpm.v*_xlpm.w)
)</f>
        <v/>
      </c>
      <c r="AK151" s="93" t="str" cm="1">
        <f t="array" ref="AK151">_xlfn.LET(
  _xlpm.w, AK$11,
  _xlpm.r, MATCH(1,('3. Enter Indicator Scores'!$B$10:$B$161=$B151)*('3. Enter Indicator Scores'!$C$10:$C$161=$C151),0),
  _xlpm.c, MATCH(AK$8,'3. Enter Indicator Scores'!$D$8:$CZ$8,0),
  _xlpm.v, IFERROR(INDEX('3. Enter Indicator Scores'!$D$10:$CZ$161,_xlpm.r,_xlpm.c),""),
  IF(OR(_xlpm.w="",_xlpm.v=""),"",_xlpm.v*_xlpm.w)
)</f>
        <v/>
      </c>
      <c r="AL151" s="93" t="str" cm="1">
        <f t="array" ref="AL151">_xlfn.LET(
  _xlpm.w, AL$11,
  _xlpm.r, MATCH(1,('3. Enter Indicator Scores'!$B$10:$B$161=$B151)*('3. Enter Indicator Scores'!$C$10:$C$161=$C151),0),
  _xlpm.c, MATCH(AL$8,'3. Enter Indicator Scores'!$D$8:$CZ$8,0),
  _xlpm.v, IFERROR(INDEX('3. Enter Indicator Scores'!$D$10:$CZ$161,_xlpm.r,_xlpm.c),""),
  IF(OR(_xlpm.w="",_xlpm.v=""),"",_xlpm.v*_xlpm.w)
)</f>
        <v/>
      </c>
      <c r="AM151" s="93" t="str" cm="1">
        <f t="array" ref="AM151">_xlfn.LET(
  _xlpm.w, AM$11,
  _xlpm.r, MATCH(1,('3. Enter Indicator Scores'!$B$10:$B$161=$B151)*('3. Enter Indicator Scores'!$C$10:$C$161=$C151),0),
  _xlpm.c, MATCH(AM$8,'3. Enter Indicator Scores'!$D$8:$CZ$8,0),
  _xlpm.v, IFERROR(INDEX('3. Enter Indicator Scores'!$D$10:$CZ$161,_xlpm.r,_xlpm.c),""),
  IF(OR(_xlpm.w="",_xlpm.v=""),"",_xlpm.v*_xlpm.w)
)</f>
        <v/>
      </c>
      <c r="AN151" s="93" t="str" cm="1">
        <f t="array" ref="AN151">_xlfn.LET(
  _xlpm.w, AN$11,
  _xlpm.r, MATCH(1,('3. Enter Indicator Scores'!$B$10:$B$161=$B151)*('3. Enter Indicator Scores'!$C$10:$C$161=$C151),0),
  _xlpm.c, MATCH(AN$8,'3. Enter Indicator Scores'!$D$8:$CZ$8,0),
  _xlpm.v, IFERROR(INDEX('3. Enter Indicator Scores'!$D$10:$CZ$161,_xlpm.r,_xlpm.c),""),
  IF(OR(_xlpm.w="",_xlpm.v=""),"",_xlpm.v*_xlpm.w)
)</f>
        <v/>
      </c>
      <c r="AO151" s="93" t="str" cm="1">
        <f t="array" ref="AO151">_xlfn.LET(
  _xlpm.w, AO$11,
  _xlpm.r, MATCH(1,('3. Enter Indicator Scores'!$B$10:$B$161=$B151)*('3. Enter Indicator Scores'!$C$10:$C$161=$C151),0),
  _xlpm.c, MATCH(AO$8,'3. Enter Indicator Scores'!$D$8:$CZ$8,0),
  _xlpm.v, IFERROR(INDEX('3. Enter Indicator Scores'!$D$10:$CZ$161,_xlpm.r,_xlpm.c),""),
  IF(OR(_xlpm.w="",_xlpm.v=""),"",_xlpm.v*_xlpm.w)
)</f>
        <v/>
      </c>
      <c r="AP151" s="93" t="str" cm="1">
        <f t="array" ref="AP151">_xlfn.LET(
  _xlpm.w, AP$11,
  _xlpm.r, MATCH(1,('3. Enter Indicator Scores'!$B$10:$B$161=$B151)*('3. Enter Indicator Scores'!$C$10:$C$161=$C151),0),
  _xlpm.c, MATCH(AP$8,'3. Enter Indicator Scores'!$D$8:$CZ$8,0),
  _xlpm.v, IFERROR(INDEX('3. Enter Indicator Scores'!$D$10:$CZ$161,_xlpm.r,_xlpm.c),""),
  IF(OR(_xlpm.w="",_xlpm.v=""),"",_xlpm.v*_xlpm.w)
)</f>
        <v/>
      </c>
      <c r="AQ151" s="93" t="str" cm="1">
        <f t="array" ref="AQ151">_xlfn.LET(
  _xlpm.w, AQ$11,
  _xlpm.r, MATCH(1,('3. Enter Indicator Scores'!$B$10:$B$161=$B151)*('3. Enter Indicator Scores'!$C$10:$C$161=$C151),0),
  _xlpm.c, MATCH(AQ$8,'3. Enter Indicator Scores'!$D$8:$CZ$8,0),
  _xlpm.v, IFERROR(INDEX('3. Enter Indicator Scores'!$D$10:$CZ$161,_xlpm.r,_xlpm.c),""),
  IF(OR(_xlpm.w="",_xlpm.v=""),"",_xlpm.v*_xlpm.w)
)</f>
        <v/>
      </c>
      <c r="AR151" s="93" t="str" cm="1">
        <f t="array" ref="AR151">_xlfn.LET(
  _xlpm.w, AR$11,
  _xlpm.r, MATCH(1,('3. Enter Indicator Scores'!$B$10:$B$161=$B151)*('3. Enter Indicator Scores'!$C$10:$C$161=$C151),0),
  _xlpm.c, MATCH(AR$8,'3. Enter Indicator Scores'!$D$8:$CZ$8,0),
  _xlpm.v, IFERROR(INDEX('3. Enter Indicator Scores'!$D$10:$CZ$161,_xlpm.r,_xlpm.c),""),
  IF(OR(_xlpm.w="",_xlpm.v=""),"",_xlpm.v*_xlpm.w)
)</f>
        <v/>
      </c>
      <c r="AS151" s="93" t="str" cm="1">
        <f t="array" ref="AS151">_xlfn.LET(
  _xlpm.w, AS$11,
  _xlpm.r, MATCH(1,('3. Enter Indicator Scores'!$B$10:$B$161=$B151)*('3. Enter Indicator Scores'!$C$10:$C$161=$C151),0),
  _xlpm.c, MATCH(AS$8,'3. Enter Indicator Scores'!$D$8:$CZ$8,0),
  _xlpm.v, IFERROR(INDEX('3. Enter Indicator Scores'!$D$10:$CZ$161,_xlpm.r,_xlpm.c),""),
  IF(OR(_xlpm.w="",_xlpm.v=""),"",_xlpm.v*_xlpm.w)
)</f>
        <v/>
      </c>
      <c r="AT151" s="93" t="str" cm="1">
        <f t="array" ref="AT151">_xlfn.LET(
  _xlpm.w, AT$11,
  _xlpm.r, MATCH(1,('3. Enter Indicator Scores'!$B$10:$B$161=$B151)*('3. Enter Indicator Scores'!$C$10:$C$161=$C151),0),
  _xlpm.c, MATCH(AT$8,'3. Enter Indicator Scores'!$D$8:$CZ$8,0),
  _xlpm.v, IFERROR(INDEX('3. Enter Indicator Scores'!$D$10:$CZ$161,_xlpm.r,_xlpm.c),""),
  IF(OR(_xlpm.w="",_xlpm.v=""),"",_xlpm.v*_xlpm.w)
)</f>
        <v/>
      </c>
      <c r="AU151" s="93" t="str" cm="1">
        <f t="array" ref="AU151">_xlfn.LET(
  _xlpm.w, AU$11,
  _xlpm.r, MATCH(1,('3. Enter Indicator Scores'!$B$10:$B$161=$B151)*('3. Enter Indicator Scores'!$C$10:$C$161=$C151),0),
  _xlpm.c, MATCH(AU$8,'3. Enter Indicator Scores'!$D$8:$CZ$8,0),
  _xlpm.v, IFERROR(INDEX('3. Enter Indicator Scores'!$D$10:$CZ$161,_xlpm.r,_xlpm.c),""),
  IF(OR(_xlpm.w="",_xlpm.v=""),"",_xlpm.v*_xlpm.w)
)</f>
        <v/>
      </c>
      <c r="AV151" s="93" t="str" cm="1">
        <f t="array" ref="AV151">_xlfn.LET(
  _xlpm.w, AV$11,
  _xlpm.r, MATCH(1,('3. Enter Indicator Scores'!$B$10:$B$161=$B151)*('3. Enter Indicator Scores'!$C$10:$C$161=$C151),0),
  _xlpm.c, MATCH(AV$8,'3. Enter Indicator Scores'!$D$8:$CZ$8,0),
  _xlpm.v, IFERROR(INDEX('3. Enter Indicator Scores'!$D$10:$CZ$161,_xlpm.r,_xlpm.c),""),
  IF(OR(_xlpm.w="",_xlpm.v=""),"",_xlpm.v*_xlpm.w)
)</f>
        <v/>
      </c>
      <c r="AW151" s="93" t="str" cm="1">
        <f t="array" ref="AW151">_xlfn.LET(
  _xlpm.w, AW$11,
  _xlpm.r, MATCH(1,('3. Enter Indicator Scores'!$B$10:$B$161=$B151)*('3. Enter Indicator Scores'!$C$10:$C$161=$C151),0),
  _xlpm.c, MATCH(AW$8,'3. Enter Indicator Scores'!$D$8:$CZ$8,0),
  _xlpm.v, IFERROR(INDEX('3. Enter Indicator Scores'!$D$10:$CZ$161,_xlpm.r,_xlpm.c),""),
  IF(OR(_xlpm.w="",_xlpm.v=""),"",_xlpm.v*_xlpm.w)
)</f>
        <v/>
      </c>
      <c r="AX151" s="93" t="str" cm="1">
        <f t="array" ref="AX151">_xlfn.LET(
  _xlpm.w, AX$11,
  _xlpm.r, MATCH(1,('3. Enter Indicator Scores'!$B$10:$B$161=$B151)*('3. Enter Indicator Scores'!$C$10:$C$161=$C151),0),
  _xlpm.c, MATCH(AX$8,'3. Enter Indicator Scores'!$D$8:$CZ$8,0),
  _xlpm.v, IFERROR(INDEX('3. Enter Indicator Scores'!$D$10:$CZ$161,_xlpm.r,_xlpm.c),""),
  IF(OR(_xlpm.w="",_xlpm.v=""),"",_xlpm.v*_xlpm.w)
)</f>
        <v/>
      </c>
      <c r="AY151" s="93" t="str" cm="1">
        <f t="array" ref="AY151">_xlfn.LET(
  _xlpm.w, AY$11,
  _xlpm.r, MATCH(1,('3. Enter Indicator Scores'!$B$10:$B$161=$B151)*('3. Enter Indicator Scores'!$C$10:$C$161=$C151),0),
  _xlpm.c, MATCH(AY$8,'3. Enter Indicator Scores'!$D$8:$CZ$8,0),
  _xlpm.v, IFERROR(INDEX('3. Enter Indicator Scores'!$D$10:$CZ$161,_xlpm.r,_xlpm.c),""),
  IF(OR(_xlpm.w="",_xlpm.v=""),"",_xlpm.v*_xlpm.w)
)</f>
        <v/>
      </c>
      <c r="AZ151" s="93" t="str" cm="1">
        <f t="array" ref="AZ151">_xlfn.LET(
  _xlpm.w, AZ$11,
  _xlpm.r, MATCH(1,('3. Enter Indicator Scores'!$B$10:$B$161=$B151)*('3. Enter Indicator Scores'!$C$10:$C$161=$C151),0),
  _xlpm.c, MATCH(AZ$8,'3. Enter Indicator Scores'!$D$8:$CZ$8,0),
  _xlpm.v, IFERROR(INDEX('3. Enter Indicator Scores'!$D$10:$CZ$161,_xlpm.r,_xlpm.c),""),
  IF(OR(_xlpm.w="",_xlpm.v=""),"",_xlpm.v*_xlpm.w)
)</f>
        <v/>
      </c>
      <c r="BA151" s="93" t="str" cm="1">
        <f t="array" ref="BA151">_xlfn.LET(
  _xlpm.w, BA$11,
  _xlpm.r, MATCH(1,('3. Enter Indicator Scores'!$B$10:$B$161=$B151)*('3. Enter Indicator Scores'!$C$10:$C$161=$C151),0),
  _xlpm.c, MATCH(BA$8,'3. Enter Indicator Scores'!$D$8:$CZ$8,0),
  _xlpm.v, IFERROR(INDEX('3. Enter Indicator Scores'!$D$10:$CZ$161,_xlpm.r,_xlpm.c),""),
  IF(OR(_xlpm.w="",_xlpm.v=""),"",_xlpm.v*_xlpm.w)
)</f>
        <v/>
      </c>
      <c r="BB151" s="93" t="str" cm="1">
        <f t="array" ref="BB151">_xlfn.LET(
  _xlpm.w, BB$11,
  _xlpm.r, MATCH(1,('3. Enter Indicator Scores'!$B$10:$B$161=$B151)*('3. Enter Indicator Scores'!$C$10:$C$161=$C151),0),
  _xlpm.c, MATCH(BB$8,'3. Enter Indicator Scores'!$D$8:$CZ$8,0),
  _xlpm.v, IFERROR(INDEX('3. Enter Indicator Scores'!$D$10:$CZ$161,_xlpm.r,_xlpm.c),""),
  IF(OR(_xlpm.w="",_xlpm.v=""),"",_xlpm.v*_xlpm.w)
)</f>
        <v/>
      </c>
      <c r="BC151" s="93" t="str" cm="1">
        <f t="array" ref="BC151">_xlfn.LET(
  _xlpm.w, BC$11,
  _xlpm.r, MATCH(1,('3. Enter Indicator Scores'!$B$10:$B$161=$B151)*('3. Enter Indicator Scores'!$C$10:$C$161=$C151),0),
  _xlpm.c, MATCH(BC$8,'3. Enter Indicator Scores'!$D$8:$CZ$8,0),
  _xlpm.v, IFERROR(INDEX('3. Enter Indicator Scores'!$D$10:$CZ$161,_xlpm.r,_xlpm.c),""),
  IF(OR(_xlpm.w="",_xlpm.v=""),"",_xlpm.v*_xlpm.w)
)</f>
        <v/>
      </c>
      <c r="BD151" s="93" t="str" cm="1">
        <f t="array" ref="BD151">_xlfn.LET(
  _xlpm.w, BD$11,
  _xlpm.r, MATCH(1,('3. Enter Indicator Scores'!$B$10:$B$161=$B151)*('3. Enter Indicator Scores'!$C$10:$C$161=$C151),0),
  _xlpm.c, MATCH(BD$8,'3. Enter Indicator Scores'!$D$8:$CZ$8,0),
  _xlpm.v, IFERROR(INDEX('3. Enter Indicator Scores'!$D$10:$CZ$161,_xlpm.r,_xlpm.c),""),
  IF(OR(_xlpm.w="",_xlpm.v=""),"",_xlpm.v*_xlpm.w)
)</f>
        <v/>
      </c>
      <c r="BE151" s="93" t="str" cm="1">
        <f t="array" ref="BE151">_xlfn.LET(
  _xlpm.w, BE$11,
  _xlpm.r, MATCH(1,('3. Enter Indicator Scores'!$B$10:$B$161=$B151)*('3. Enter Indicator Scores'!$C$10:$C$161=$C151),0),
  _xlpm.c, MATCH(BE$8,'3. Enter Indicator Scores'!$D$8:$CZ$8,0),
  _xlpm.v, IFERROR(INDEX('3. Enter Indicator Scores'!$D$10:$CZ$161,_xlpm.r,_xlpm.c),""),
  IF(OR(_xlpm.w="",_xlpm.v=""),"",_xlpm.v*_xlpm.w)
)</f>
        <v/>
      </c>
      <c r="BF151" s="93" t="str" cm="1">
        <f t="array" ref="BF151">_xlfn.LET(
  _xlpm.w, BF$11,
  _xlpm.r, MATCH(1,('3. Enter Indicator Scores'!$B$10:$B$161=$B151)*('3. Enter Indicator Scores'!$C$10:$C$161=$C151),0),
  _xlpm.c, MATCH(BF$8,'3. Enter Indicator Scores'!$D$8:$CZ$8,0),
  _xlpm.v, IFERROR(INDEX('3. Enter Indicator Scores'!$D$10:$CZ$161,_xlpm.r,_xlpm.c),""),
  IF(OR(_xlpm.w="",_xlpm.v=""),"",_xlpm.v*_xlpm.w)
)</f>
        <v/>
      </c>
      <c r="BG151" s="93" t="str" cm="1">
        <f t="array" ref="BG151">_xlfn.LET(
  _xlpm.w, BG$11,
  _xlpm.r, MATCH(1,('3. Enter Indicator Scores'!$B$10:$B$161=$B151)*('3. Enter Indicator Scores'!$C$10:$C$161=$C151),0),
  _xlpm.c, MATCH(BG$8,'3. Enter Indicator Scores'!$D$8:$CZ$8,0),
  _xlpm.v, IFERROR(INDEX('3. Enter Indicator Scores'!$D$10:$CZ$161,_xlpm.r,_xlpm.c),""),
  IF(OR(_xlpm.w="",_xlpm.v=""),"",_xlpm.v*_xlpm.w)
)</f>
        <v/>
      </c>
      <c r="BH151" s="93" t="str" cm="1">
        <f t="array" ref="BH151">_xlfn.LET(
  _xlpm.w, BH$11,
  _xlpm.r, MATCH(1,('3. Enter Indicator Scores'!$B$10:$B$161=$B151)*('3. Enter Indicator Scores'!$C$10:$C$161=$C151),0),
  _xlpm.c, MATCH(BH$8,'3. Enter Indicator Scores'!$D$8:$CZ$8,0),
  _xlpm.v, IFERROR(INDEX('3. Enter Indicator Scores'!$D$10:$CZ$161,_xlpm.r,_xlpm.c),""),
  IF(OR(_xlpm.w="",_xlpm.v=""),"",_xlpm.v*_xlpm.w)
)</f>
        <v/>
      </c>
      <c r="BI151" s="93" t="str" cm="1">
        <f t="array" ref="BI151">_xlfn.LET(
  _xlpm.w, BI$11,
  _xlpm.r, MATCH(1,('3. Enter Indicator Scores'!$B$10:$B$161=$B151)*('3. Enter Indicator Scores'!$C$10:$C$161=$C151),0),
  _xlpm.c, MATCH(BI$8,'3. Enter Indicator Scores'!$D$8:$CZ$8,0),
  _xlpm.v, IFERROR(INDEX('3. Enter Indicator Scores'!$D$10:$CZ$161,_xlpm.r,_xlpm.c),""),
  IF(OR(_xlpm.w="",_xlpm.v=""),"",_xlpm.v*_xlpm.w)
)</f>
        <v/>
      </c>
      <c r="BJ151" s="93" t="str" cm="1">
        <f t="array" ref="BJ151">_xlfn.LET(
  _xlpm.w, BJ$11,
  _xlpm.r, MATCH(1,('3. Enter Indicator Scores'!$B$10:$B$161=$B151)*('3. Enter Indicator Scores'!$C$10:$C$161=$C151),0),
  _xlpm.c, MATCH(BJ$8,'3. Enter Indicator Scores'!$D$8:$CZ$8,0),
  _xlpm.v, IFERROR(INDEX('3. Enter Indicator Scores'!$D$10:$CZ$161,_xlpm.r,_xlpm.c),""),
  IF(OR(_xlpm.w="",_xlpm.v=""),"",_xlpm.v*_xlpm.w)
)</f>
        <v/>
      </c>
      <c r="BK151" s="93" t="str" cm="1">
        <f t="array" ref="BK151">_xlfn.LET(
  _xlpm.w, BK$11,
  _xlpm.r, MATCH(1,('3. Enter Indicator Scores'!$B$10:$B$161=$B151)*('3. Enter Indicator Scores'!$C$10:$C$161=$C151),0),
  _xlpm.c, MATCH(BK$8,'3. Enter Indicator Scores'!$D$8:$CZ$8,0),
  _xlpm.v, IFERROR(INDEX('3. Enter Indicator Scores'!$D$10:$CZ$161,_xlpm.r,_xlpm.c),""),
  IF(OR(_xlpm.w="",_xlpm.v=""),"",_xlpm.v*_xlpm.w)
)</f>
        <v/>
      </c>
      <c r="BL151" s="93" t="str" cm="1">
        <f t="array" ref="BL151">_xlfn.LET(
  _xlpm.w, BL$11,
  _xlpm.r, MATCH(1,('3. Enter Indicator Scores'!$B$10:$B$161=$B151)*('3. Enter Indicator Scores'!$C$10:$C$161=$C151),0),
  _xlpm.c, MATCH(BL$8,'3. Enter Indicator Scores'!$D$8:$CZ$8,0),
  _xlpm.v, IFERROR(INDEX('3. Enter Indicator Scores'!$D$10:$CZ$161,_xlpm.r,_xlpm.c),""),
  IF(OR(_xlpm.w="",_xlpm.v=""),"",_xlpm.v*_xlpm.w)
)</f>
        <v/>
      </c>
      <c r="BM151" s="93" t="str" cm="1">
        <f t="array" ref="BM151">_xlfn.LET(
  _xlpm.w, BM$11,
  _xlpm.r, MATCH(1,('3. Enter Indicator Scores'!$B$10:$B$161=$B151)*('3. Enter Indicator Scores'!$C$10:$C$161=$C151),0),
  _xlpm.c, MATCH(BM$8,'3. Enter Indicator Scores'!$D$8:$CZ$8,0),
  _xlpm.v, IFERROR(INDEX('3. Enter Indicator Scores'!$D$10:$CZ$161,_xlpm.r,_xlpm.c),""),
  IF(OR(_xlpm.w="",_xlpm.v=""),"",_xlpm.v*_xlpm.w)
)</f>
        <v/>
      </c>
      <c r="BN151" s="93" t="str" cm="1">
        <f t="array" ref="BN151">_xlfn.LET(
  _xlpm.w, BN$11,
  _xlpm.r, MATCH(1,('3. Enter Indicator Scores'!$B$10:$B$161=$B151)*('3. Enter Indicator Scores'!$C$10:$C$161=$C151),0),
  _xlpm.c, MATCH(BN$8,'3. Enter Indicator Scores'!$D$8:$CZ$8,0),
  _xlpm.v, IFERROR(INDEX('3. Enter Indicator Scores'!$D$10:$CZ$161,_xlpm.r,_xlpm.c),""),
  IF(OR(_xlpm.w="",_xlpm.v=""),"",_xlpm.v*_xlpm.w)
)</f>
        <v/>
      </c>
      <c r="BO151" s="93" t="str" cm="1">
        <f t="array" ref="BO151">_xlfn.LET(
  _xlpm.w, BO$11,
  _xlpm.r, MATCH(1,('3. Enter Indicator Scores'!$B$10:$B$161=$B151)*('3. Enter Indicator Scores'!$C$10:$C$161=$C151),0),
  _xlpm.c, MATCH(BO$8,'3. Enter Indicator Scores'!$D$8:$CZ$8,0),
  _xlpm.v, IFERROR(INDEX('3. Enter Indicator Scores'!$D$10:$CZ$161,_xlpm.r,_xlpm.c),""),
  IF(OR(_xlpm.w="",_xlpm.v=""),"",_xlpm.v*_xlpm.w)
)</f>
        <v/>
      </c>
      <c r="BP151" s="93" t="str" cm="1">
        <f t="array" ref="BP151">_xlfn.LET(
  _xlpm.w, BP$11,
  _xlpm.r, MATCH(1,('3. Enter Indicator Scores'!$B$10:$B$161=$B151)*('3. Enter Indicator Scores'!$C$10:$C$161=$C151),0),
  _xlpm.c, MATCH(BP$8,'3. Enter Indicator Scores'!$D$8:$CZ$8,0),
  _xlpm.v, IFERROR(INDEX('3. Enter Indicator Scores'!$D$10:$CZ$161,_xlpm.r,_xlpm.c),""),
  IF(OR(_xlpm.w="",_xlpm.v=""),"",_xlpm.v*_xlpm.w)
)</f>
        <v/>
      </c>
      <c r="BQ151" s="93" t="str" cm="1">
        <f t="array" ref="BQ151">_xlfn.LET(
  _xlpm.w, BQ$11,
  _xlpm.r, MATCH(1,('3. Enter Indicator Scores'!$B$10:$B$161=$B151)*('3. Enter Indicator Scores'!$C$10:$C$161=$C151),0),
  _xlpm.c, MATCH(BQ$8,'3. Enter Indicator Scores'!$D$8:$CZ$8,0),
  _xlpm.v, IFERROR(INDEX('3. Enter Indicator Scores'!$D$10:$CZ$161,_xlpm.r,_xlpm.c),""),
  IF(OR(_xlpm.w="",_xlpm.v=""),"",_xlpm.v*_xlpm.w)
)</f>
        <v/>
      </c>
      <c r="BR151" s="93" t="str" cm="1">
        <f t="array" ref="BR151">_xlfn.LET(
  _xlpm.w, BR$11,
  _xlpm.r, MATCH(1,('3. Enter Indicator Scores'!$B$10:$B$161=$B151)*('3. Enter Indicator Scores'!$C$10:$C$161=$C151),0),
  _xlpm.c, MATCH(BR$8,'3. Enter Indicator Scores'!$D$8:$CZ$8,0),
  _xlpm.v, IFERROR(INDEX('3. Enter Indicator Scores'!$D$10:$CZ$161,_xlpm.r,_xlpm.c),""),
  IF(OR(_xlpm.w="",_xlpm.v=""),"",_xlpm.v*_xlpm.w)
)</f>
        <v/>
      </c>
      <c r="BS151" s="93" t="str" cm="1">
        <f t="array" ref="BS151">_xlfn.LET(
  _xlpm.w, BS$11,
  _xlpm.r, MATCH(1,('3. Enter Indicator Scores'!$B$10:$B$161=$B151)*('3. Enter Indicator Scores'!$C$10:$C$161=$C151),0),
  _xlpm.c, MATCH(BS$8,'3. Enter Indicator Scores'!$D$8:$CZ$8,0),
  _xlpm.v, IFERROR(INDEX('3. Enter Indicator Scores'!$D$10:$CZ$161,_xlpm.r,_xlpm.c),""),
  IF(OR(_xlpm.w="",_xlpm.v=""),"",_xlpm.v*_xlpm.w)
)</f>
        <v/>
      </c>
      <c r="BT151" s="93" t="str" cm="1">
        <f t="array" ref="BT151">_xlfn.LET(
  _xlpm.w, BT$11,
  _xlpm.r, MATCH(1,('3. Enter Indicator Scores'!$B$10:$B$161=$B151)*('3. Enter Indicator Scores'!$C$10:$C$161=$C151),0),
  _xlpm.c, MATCH(BT$8,'3. Enter Indicator Scores'!$D$8:$CZ$8,0),
  _xlpm.v, IFERROR(INDEX('3. Enter Indicator Scores'!$D$10:$CZ$161,_xlpm.r,_xlpm.c),""),
  IF(OR(_xlpm.w="",_xlpm.v=""),"",_xlpm.v*_xlpm.w)
)</f>
        <v/>
      </c>
      <c r="BU151" s="93" t="str" cm="1">
        <f t="array" ref="BU151">_xlfn.LET(
  _xlpm.w, BU$11,
  _xlpm.r, MATCH(1,('3. Enter Indicator Scores'!$B$10:$B$161=$B151)*('3. Enter Indicator Scores'!$C$10:$C$161=$C151),0),
  _xlpm.c, MATCH(BU$8,'3. Enter Indicator Scores'!$D$8:$CZ$8,0),
  _xlpm.v, IFERROR(INDEX('3. Enter Indicator Scores'!$D$10:$CZ$161,_xlpm.r,_xlpm.c),""),
  IF(OR(_xlpm.w="",_xlpm.v=""),"",_xlpm.v*_xlpm.w)
)</f>
        <v/>
      </c>
      <c r="BV151" s="93" t="str" cm="1">
        <f t="array" ref="BV151">_xlfn.LET(
  _xlpm.w, BV$11,
  _xlpm.r, MATCH(1,('3. Enter Indicator Scores'!$B$10:$B$161=$B151)*('3. Enter Indicator Scores'!$C$10:$C$161=$C151),0),
  _xlpm.c, MATCH(BV$8,'3. Enter Indicator Scores'!$D$8:$CZ$8,0),
  _xlpm.v, IFERROR(INDEX('3. Enter Indicator Scores'!$D$10:$CZ$161,_xlpm.r,_xlpm.c),""),
  IF(OR(_xlpm.w="",_xlpm.v=""),"",_xlpm.v*_xlpm.w)
)</f>
        <v/>
      </c>
      <c r="BW151" s="93" t="str" cm="1">
        <f t="array" ref="BW151">_xlfn.LET(
  _xlpm.w, BW$11,
  _xlpm.r, MATCH(1,('3. Enter Indicator Scores'!$B$10:$B$161=$B151)*('3. Enter Indicator Scores'!$C$10:$C$161=$C151),0),
  _xlpm.c, MATCH(BW$8,'3. Enter Indicator Scores'!$D$8:$CZ$8,0),
  _xlpm.v, IFERROR(INDEX('3. Enter Indicator Scores'!$D$10:$CZ$161,_xlpm.r,_xlpm.c),""),
  IF(OR(_xlpm.w="",_xlpm.v=""),"",_xlpm.v*_xlpm.w)
)</f>
        <v/>
      </c>
      <c r="BX151" s="93" t="str" cm="1">
        <f t="array" ref="BX151">_xlfn.LET(
  _xlpm.w, BX$11,
  _xlpm.r, MATCH(1,('3. Enter Indicator Scores'!$B$10:$B$161=$B151)*('3. Enter Indicator Scores'!$C$10:$C$161=$C151),0),
  _xlpm.c, MATCH(BX$8,'3. Enter Indicator Scores'!$D$8:$CZ$8,0),
  _xlpm.v, IFERROR(INDEX('3. Enter Indicator Scores'!$D$10:$CZ$161,_xlpm.r,_xlpm.c),""),
  IF(OR(_xlpm.w="",_xlpm.v=""),"",_xlpm.v*_xlpm.w)
)</f>
        <v/>
      </c>
      <c r="BY151" s="93" t="str" cm="1">
        <f t="array" ref="BY151">_xlfn.LET(
  _xlpm.w, BY$11,
  _xlpm.r, MATCH(1,('3. Enter Indicator Scores'!$B$10:$B$161=$B151)*('3. Enter Indicator Scores'!$C$10:$C$161=$C151),0),
  _xlpm.c, MATCH(BY$8,'3. Enter Indicator Scores'!$D$8:$CZ$8,0),
  _xlpm.v, IFERROR(INDEX('3. Enter Indicator Scores'!$D$10:$CZ$161,_xlpm.r,_xlpm.c),""),
  IF(OR(_xlpm.w="",_xlpm.v=""),"",_xlpm.v*_xlpm.w)
)</f>
        <v/>
      </c>
      <c r="BZ151" s="93" t="str" cm="1">
        <f t="array" ref="BZ151">_xlfn.LET(
  _xlpm.w, BZ$11,
  _xlpm.r, MATCH(1,('3. Enter Indicator Scores'!$B$10:$B$161=$B151)*('3. Enter Indicator Scores'!$C$10:$C$161=$C151),0),
  _xlpm.c, MATCH(BZ$8,'3. Enter Indicator Scores'!$D$8:$CZ$8,0),
  _xlpm.v, IFERROR(INDEX('3. Enter Indicator Scores'!$D$10:$CZ$161,_xlpm.r,_xlpm.c),""),
  IF(OR(_xlpm.w="",_xlpm.v=""),"",_xlpm.v*_xlpm.w)
)</f>
        <v/>
      </c>
      <c r="CA151" s="93" t="str" cm="1">
        <f t="array" ref="CA151">_xlfn.LET(
  _xlpm.w, CA$11,
  _xlpm.r, MATCH(1,('3. Enter Indicator Scores'!$B$10:$B$161=$B151)*('3. Enter Indicator Scores'!$C$10:$C$161=$C151),0),
  _xlpm.c, MATCH(CA$8,'3. Enter Indicator Scores'!$D$8:$CZ$8,0),
  _xlpm.v, IFERROR(INDEX('3. Enter Indicator Scores'!$D$10:$CZ$161,_xlpm.r,_xlpm.c),""),
  IF(OR(_xlpm.w="",_xlpm.v=""),"",_xlpm.v*_xlpm.w)
)</f>
        <v/>
      </c>
      <c r="CB151" s="93" t="str" cm="1">
        <f t="array" ref="CB151">_xlfn.LET(
  _xlpm.w, CB$11,
  _xlpm.r, MATCH(1,('3. Enter Indicator Scores'!$B$10:$B$161=$B151)*('3. Enter Indicator Scores'!$C$10:$C$161=$C151),0),
  _xlpm.c, MATCH(CB$8,'3. Enter Indicator Scores'!$D$8:$CZ$8,0),
  _xlpm.v, IFERROR(INDEX('3. Enter Indicator Scores'!$D$10:$CZ$161,_xlpm.r,_xlpm.c),""),
  IF(OR(_xlpm.w="",_xlpm.v=""),"",_xlpm.v*_xlpm.w)
)</f>
        <v/>
      </c>
      <c r="CC151" s="93" t="str" cm="1">
        <f t="array" ref="CC151">_xlfn.LET(
  _xlpm.w, CC$11,
  _xlpm.r, MATCH(1,('3. Enter Indicator Scores'!$B$10:$B$161=$B151)*('3. Enter Indicator Scores'!$C$10:$C$161=$C151),0),
  _xlpm.c, MATCH(CC$8,'3. Enter Indicator Scores'!$D$8:$CZ$8,0),
  _xlpm.v, IFERROR(INDEX('3. Enter Indicator Scores'!$D$10:$CZ$161,_xlpm.r,_xlpm.c),""),
  IF(OR(_xlpm.w="",_xlpm.v=""),"",_xlpm.v*_xlpm.w)
)</f>
        <v/>
      </c>
      <c r="CD151" s="93" t="str" cm="1">
        <f t="array" ref="CD151">_xlfn.LET(
  _xlpm.w, CD$11,
  _xlpm.r, MATCH(1,('3. Enter Indicator Scores'!$B$10:$B$161=$B151)*('3. Enter Indicator Scores'!$C$10:$C$161=$C151),0),
  _xlpm.c, MATCH(CD$8,'3. Enter Indicator Scores'!$D$8:$CZ$8,0),
  _xlpm.v, IFERROR(INDEX('3. Enter Indicator Scores'!$D$10:$CZ$161,_xlpm.r,_xlpm.c),""),
  IF(OR(_xlpm.w="",_xlpm.v=""),"",_xlpm.v*_xlpm.w)
)</f>
        <v/>
      </c>
      <c r="CE151" s="93" t="str" cm="1">
        <f t="array" ref="CE151">_xlfn.LET(
  _xlpm.w, CE$11,
  _xlpm.r, MATCH(1,('3. Enter Indicator Scores'!$B$10:$B$161=$B151)*('3. Enter Indicator Scores'!$C$10:$C$161=$C151),0),
  _xlpm.c, MATCH(CE$8,'3. Enter Indicator Scores'!$D$8:$CZ$8,0),
  _xlpm.v, IFERROR(INDEX('3. Enter Indicator Scores'!$D$10:$CZ$161,_xlpm.r,_xlpm.c),""),
  IF(OR(_xlpm.w="",_xlpm.v=""),"",_xlpm.v*_xlpm.w)
)</f>
        <v/>
      </c>
      <c r="CF151" s="93" t="str" cm="1">
        <f t="array" ref="CF151">_xlfn.LET(
  _xlpm.w, CF$11,
  _xlpm.r, MATCH(1,('3. Enter Indicator Scores'!$B$10:$B$161=$B151)*('3. Enter Indicator Scores'!$C$10:$C$161=$C151),0),
  _xlpm.c, MATCH(CF$8,'3. Enter Indicator Scores'!$D$8:$CZ$8,0),
  _xlpm.v, IFERROR(INDEX('3. Enter Indicator Scores'!$D$10:$CZ$161,_xlpm.r,_xlpm.c),""),
  IF(OR(_xlpm.w="",_xlpm.v=""),"",_xlpm.v*_xlpm.w)
)</f>
        <v/>
      </c>
      <c r="CG151" s="93" t="str" cm="1">
        <f t="array" ref="CG151">_xlfn.LET(
  _xlpm.w, CG$11,
  _xlpm.r, MATCH(1,('3. Enter Indicator Scores'!$B$10:$B$161=$B151)*('3. Enter Indicator Scores'!$C$10:$C$161=$C151),0),
  _xlpm.c, MATCH(CG$8,'3. Enter Indicator Scores'!$D$8:$CZ$8,0),
  _xlpm.v, IFERROR(INDEX('3. Enter Indicator Scores'!$D$10:$CZ$161,_xlpm.r,_xlpm.c),""),
  IF(OR(_xlpm.w="",_xlpm.v=""),"",_xlpm.v*_xlpm.w)
)</f>
        <v/>
      </c>
      <c r="CH151" s="93" t="str" cm="1">
        <f t="array" ref="CH151">_xlfn.LET(
  _xlpm.w, CH$11,
  _xlpm.r, MATCH(1,('3. Enter Indicator Scores'!$B$10:$B$161=$B151)*('3. Enter Indicator Scores'!$C$10:$C$161=$C151),0),
  _xlpm.c, MATCH(CH$8,'3. Enter Indicator Scores'!$D$8:$CZ$8,0),
  _xlpm.v, IFERROR(INDEX('3. Enter Indicator Scores'!$D$10:$CZ$161,_xlpm.r,_xlpm.c),""),
  IF(OR(_xlpm.w="",_xlpm.v=""),"",_xlpm.v*_xlpm.w)
)</f>
        <v/>
      </c>
      <c r="CI151" s="93" t="str" cm="1">
        <f t="array" ref="CI151">_xlfn.LET(
  _xlpm.w, CI$11,
  _xlpm.r, MATCH(1,('3. Enter Indicator Scores'!$B$10:$B$161=$B151)*('3. Enter Indicator Scores'!$C$10:$C$161=$C151),0),
  _xlpm.c, MATCH(CI$8,'3. Enter Indicator Scores'!$D$8:$CZ$8,0),
  _xlpm.v, IFERROR(INDEX('3. Enter Indicator Scores'!$D$10:$CZ$161,_xlpm.r,_xlpm.c),""),
  IF(OR(_xlpm.w="",_xlpm.v=""),"",_xlpm.v*_xlpm.w)
)</f>
        <v/>
      </c>
      <c r="CJ151" s="93" t="str" cm="1">
        <f t="array" ref="CJ151">_xlfn.LET(
  _xlpm.w, CJ$11,
  _xlpm.r, MATCH(1,('3. Enter Indicator Scores'!$B$10:$B$161=$B151)*('3. Enter Indicator Scores'!$C$10:$C$161=$C151),0),
  _xlpm.c, MATCH(CJ$8,'3. Enter Indicator Scores'!$D$8:$CZ$8,0),
  _xlpm.v, IFERROR(INDEX('3. Enter Indicator Scores'!$D$10:$CZ$161,_xlpm.r,_xlpm.c),""),
  IF(OR(_xlpm.w="",_xlpm.v=""),"",_xlpm.v*_xlpm.w)
)</f>
        <v/>
      </c>
      <c r="CK151" s="93" t="str" cm="1">
        <f t="array" ref="CK151">_xlfn.LET(
  _xlpm.w, CK$11,
  _xlpm.r, MATCH(1,('3. Enter Indicator Scores'!$B$10:$B$161=$B151)*('3. Enter Indicator Scores'!$C$10:$C$161=$C151),0),
  _xlpm.c, MATCH(CK$8,'3. Enter Indicator Scores'!$D$8:$CZ$8,0),
  _xlpm.v, IFERROR(INDEX('3. Enter Indicator Scores'!$D$10:$CZ$161,_xlpm.r,_xlpm.c),""),
  IF(OR(_xlpm.w="",_xlpm.v=""),"",_xlpm.v*_xlpm.w)
)</f>
        <v/>
      </c>
      <c r="CL151" s="93" t="str" cm="1">
        <f t="array" ref="CL151">_xlfn.LET(
  _xlpm.w, CL$11,
  _xlpm.r, MATCH(1,('3. Enter Indicator Scores'!$B$10:$B$161=$B151)*('3. Enter Indicator Scores'!$C$10:$C$161=$C151),0),
  _xlpm.c, MATCH(CL$8,'3. Enter Indicator Scores'!$D$8:$CZ$8,0),
  _xlpm.v, IFERROR(INDEX('3. Enter Indicator Scores'!$D$10:$CZ$161,_xlpm.r,_xlpm.c),""),
  IF(OR(_xlpm.w="",_xlpm.v=""),"",_xlpm.v*_xlpm.w)
)</f>
        <v/>
      </c>
      <c r="CM151" s="93" t="str" cm="1">
        <f t="array" ref="CM151">_xlfn.LET(
  _xlpm.w, CM$11,
  _xlpm.r, MATCH(1,('3. Enter Indicator Scores'!$B$10:$B$161=$B151)*('3. Enter Indicator Scores'!$C$10:$C$161=$C151),0),
  _xlpm.c, MATCH(CM$8,'3. Enter Indicator Scores'!$D$8:$CZ$8,0),
  _xlpm.v, IFERROR(INDEX('3. Enter Indicator Scores'!$D$10:$CZ$161,_xlpm.r,_xlpm.c),""),
  IF(OR(_xlpm.w="",_xlpm.v=""),"",_xlpm.v*_xlpm.w)
)</f>
        <v/>
      </c>
      <c r="CN151" s="93" t="str" cm="1">
        <f t="array" ref="CN151">_xlfn.LET(
  _xlpm.w, CN$11,
  _xlpm.r, MATCH(1,('3. Enter Indicator Scores'!$B$10:$B$161=$B151)*('3. Enter Indicator Scores'!$C$10:$C$161=$C151),0),
  _xlpm.c, MATCH(CN$8,'3. Enter Indicator Scores'!$D$8:$CZ$8,0),
  _xlpm.v, IFERROR(INDEX('3. Enter Indicator Scores'!$D$10:$CZ$161,_xlpm.r,_xlpm.c),""),
  IF(OR(_xlpm.w="",_xlpm.v=""),"",_xlpm.v*_xlpm.w)
)</f>
        <v/>
      </c>
      <c r="CO151" s="93" t="str" cm="1">
        <f t="array" ref="CO151">_xlfn.LET(
  _xlpm.w, CO$11,
  _xlpm.r, MATCH(1,('3. Enter Indicator Scores'!$B$10:$B$161=$B151)*('3. Enter Indicator Scores'!$C$10:$C$161=$C151),0),
  _xlpm.c, MATCH(CO$8,'3. Enter Indicator Scores'!$D$8:$CZ$8,0),
  _xlpm.v, IFERROR(INDEX('3. Enter Indicator Scores'!$D$10:$CZ$161,_xlpm.r,_xlpm.c),""),
  IF(OR(_xlpm.w="",_xlpm.v=""),"",_xlpm.v*_xlpm.w)
)</f>
        <v/>
      </c>
      <c r="CP151" s="93" t="str" cm="1">
        <f t="array" ref="CP151">_xlfn.LET(
  _xlpm.w, CP$11,
  _xlpm.r, MATCH(1,('3. Enter Indicator Scores'!$B$10:$B$161=$B151)*('3. Enter Indicator Scores'!$C$10:$C$161=$C151),0),
  _xlpm.c, MATCH(CP$8,'3. Enter Indicator Scores'!$D$8:$CZ$8,0),
  _xlpm.v, IFERROR(INDEX('3. Enter Indicator Scores'!$D$10:$CZ$161,_xlpm.r,_xlpm.c),""),
  IF(OR(_xlpm.w="",_xlpm.v=""),"",_xlpm.v*_xlpm.w)
)</f>
        <v/>
      </c>
      <c r="CQ151" s="93" t="str" cm="1">
        <f t="array" ref="CQ151">_xlfn.LET(
  _xlpm.w, CQ$11,
  _xlpm.r, MATCH(1,('3. Enter Indicator Scores'!$B$10:$B$161=$B151)*('3. Enter Indicator Scores'!$C$10:$C$161=$C151),0),
  _xlpm.c, MATCH(CQ$8,'3. Enter Indicator Scores'!$D$8:$CZ$8,0),
  _xlpm.v, IFERROR(INDEX('3. Enter Indicator Scores'!$D$10:$CZ$161,_xlpm.r,_xlpm.c),""),
  IF(OR(_xlpm.w="",_xlpm.v=""),"",_xlpm.v*_xlpm.w)
)</f>
        <v/>
      </c>
      <c r="CR151" s="93" t="str" cm="1">
        <f t="array" ref="CR151">_xlfn.LET(
  _xlpm.w, CR$11,
  _xlpm.r, MATCH(1,('3. Enter Indicator Scores'!$B$10:$B$161=$B151)*('3. Enter Indicator Scores'!$C$10:$C$161=$C151),0),
  _xlpm.c, MATCH(CR$8,'3. Enter Indicator Scores'!$D$8:$CZ$8,0),
  _xlpm.v, IFERROR(INDEX('3. Enter Indicator Scores'!$D$10:$CZ$161,_xlpm.r,_xlpm.c),""),
  IF(OR(_xlpm.w="",_xlpm.v=""),"",_xlpm.v*_xlpm.w)
)</f>
        <v/>
      </c>
      <c r="CS151" s="93" t="str" cm="1">
        <f t="array" ref="CS151">_xlfn.LET(
  _xlpm.w, CS$11,
  _xlpm.r, MATCH(1,('3. Enter Indicator Scores'!$B$10:$B$161=$B151)*('3. Enter Indicator Scores'!$C$10:$C$161=$C151),0),
  _xlpm.c, MATCH(CS$8,'3. Enter Indicator Scores'!$D$8:$CZ$8,0),
  _xlpm.v, IFERROR(INDEX('3. Enter Indicator Scores'!$D$10:$CZ$161,_xlpm.r,_xlpm.c),""),
  IF(OR(_xlpm.w="",_xlpm.v=""),"",_xlpm.v*_xlpm.w)
)</f>
        <v/>
      </c>
      <c r="CT151" s="93" t="str" cm="1">
        <f t="array" ref="CT151">_xlfn.LET(
  _xlpm.w, CT$11,
  _xlpm.r, MATCH(1,('3. Enter Indicator Scores'!$B$10:$B$161=$B151)*('3. Enter Indicator Scores'!$C$10:$C$161=$C151),0),
  _xlpm.c, MATCH(CT$8,'3. Enter Indicator Scores'!$D$8:$CZ$8,0),
  _xlpm.v, IFERROR(INDEX('3. Enter Indicator Scores'!$D$10:$CZ$161,_xlpm.r,_xlpm.c),""),
  IF(OR(_xlpm.w="",_xlpm.v=""),"",_xlpm.v*_xlpm.w)
)</f>
        <v/>
      </c>
      <c r="CU151" s="93" t="str" cm="1">
        <f t="array" ref="CU151">_xlfn.LET(
  _xlpm.w, CU$11,
  _xlpm.r, MATCH(1,('3. Enter Indicator Scores'!$B$10:$B$161=$B151)*('3. Enter Indicator Scores'!$C$10:$C$161=$C151),0),
  _xlpm.c, MATCH(CU$8,'3. Enter Indicator Scores'!$D$8:$CZ$8,0),
  _xlpm.v, IFERROR(INDEX('3. Enter Indicator Scores'!$D$10:$CZ$161,_xlpm.r,_xlpm.c),""),
  IF(OR(_xlpm.w="",_xlpm.v=""),"",_xlpm.v*_xlpm.w)
)</f>
        <v/>
      </c>
      <c r="CV151" s="93" t="str" cm="1">
        <f t="array" ref="CV151">_xlfn.LET(
  _xlpm.w, CV$11,
  _xlpm.r, MATCH(1,('3. Enter Indicator Scores'!$B$10:$B$161=$B151)*('3. Enter Indicator Scores'!$C$10:$C$161=$C151),0),
  _xlpm.c, MATCH(CV$8,'3. Enter Indicator Scores'!$D$8:$CZ$8,0),
  _xlpm.v, IFERROR(INDEX('3. Enter Indicator Scores'!$D$10:$CZ$161,_xlpm.r,_xlpm.c),""),
  IF(OR(_xlpm.w="",_xlpm.v=""),"",_xlpm.v*_xlpm.w)
)</f>
        <v/>
      </c>
      <c r="CW151" s="93" t="str" cm="1">
        <f t="array" ref="CW151">_xlfn.LET(
  _xlpm.w, CW$11,
  _xlpm.r, MATCH(1,('3. Enter Indicator Scores'!$B$10:$B$161=$B151)*('3. Enter Indicator Scores'!$C$10:$C$161=$C151),0),
  _xlpm.c, MATCH(CW$8,'3. Enter Indicator Scores'!$D$8:$CZ$8,0),
  _xlpm.v, IFERROR(INDEX('3. Enter Indicator Scores'!$D$10:$CZ$161,_xlpm.r,_xlpm.c),""),
  IF(OR(_xlpm.w="",_xlpm.v=""),"",_xlpm.v*_xlpm.w)
)</f>
        <v/>
      </c>
      <c r="CX151" s="93" t="str" cm="1">
        <f t="array" ref="CX151">_xlfn.LET(
  _xlpm.w, CX$11,
  _xlpm.r, MATCH(1,('3. Enter Indicator Scores'!$B$10:$B$161=$B151)*('3. Enter Indicator Scores'!$C$10:$C$161=$C151),0),
  _xlpm.c, MATCH(CX$8,'3. Enter Indicator Scores'!$D$8:$CZ$8,0),
  _xlpm.v, IFERROR(INDEX('3. Enter Indicator Scores'!$D$10:$CZ$161,_xlpm.r,_xlpm.c),""),
  IF(OR(_xlpm.w="",_xlpm.v=""),"",_xlpm.v*_xlpm.w)
)</f>
        <v/>
      </c>
      <c r="CY151" s="93" t="str" cm="1">
        <f t="array" ref="CY151">_xlfn.LET(
  _xlpm.w, CY$11,
  _xlpm.r, MATCH(1,('3. Enter Indicator Scores'!$B$10:$B$161=$B151)*('3. Enter Indicator Scores'!$C$10:$C$161=$C151),0),
  _xlpm.c, MATCH(CY$8,'3. Enter Indicator Scores'!$D$8:$CZ$8,0),
  _xlpm.v, IFERROR(INDEX('3. Enter Indicator Scores'!$D$10:$CZ$161,_xlpm.r,_xlpm.c),""),
  IF(OR(_xlpm.w="",_xlpm.v=""),"",_xlpm.v*_xlpm.w)
)</f>
        <v/>
      </c>
      <c r="CZ151" s="93" t="str" cm="1">
        <f t="array" ref="CZ151">_xlfn.LET(
  _xlpm.w, CZ$11,
  _xlpm.r, MATCH(1,('3. Enter Indicator Scores'!$B$10:$B$161=$B151)*('3. Enter Indicator Scores'!$C$10:$C$161=$C151),0),
  _xlpm.c, MATCH(CZ$8,'3. Enter Indicator Scores'!$D$8:$CZ$8,0),
  _xlpm.v, IFERROR(INDEX('3. Enter Indicator Scores'!$D$10:$CZ$161,_xlpm.r,_xlpm.c),""),
  IF(OR(_xlpm.w="",_xlpm.v=""),"",_xlpm.v*_xlpm.w)
)</f>
        <v/>
      </c>
    </row>
    <row r="152" spans="4:104" x14ac:dyDescent="0.2">
      <c r="D152" s="93" t="str" cm="1">
        <f t="array" ref="D152">_xlfn.LET(
  _xlpm.w, D$11,
  _xlpm.r, MATCH(1,('3. Enter Indicator Scores'!$B$10:$B$161=$B152)*('3. Enter Indicator Scores'!$C$10:$C$161=$C152),0),
  _xlpm.c, MATCH(D$8,'3. Enter Indicator Scores'!$D$8:$CZ$8,0),
  _xlpm.v, IFERROR(INDEX('3. Enter Indicator Scores'!$D$10:$CZ$161,_xlpm.r,_xlpm.c),""),
  IF(OR(_xlpm.w="",_xlpm.v=""),"",_xlpm.v*_xlpm.w)
)</f>
        <v/>
      </c>
      <c r="E152" s="93" t="str" cm="1">
        <f t="array" ref="E152">_xlfn.LET(
  _xlpm.w, E$11,
  _xlpm.r, MATCH(1,('3. Enter Indicator Scores'!$B$10:$B$161=$B152)*('3. Enter Indicator Scores'!$C$10:$C$161=$C152),0),
  _xlpm.c, MATCH(E$8,'3. Enter Indicator Scores'!$D$8:$CZ$8,0),
  _xlpm.v, IFERROR(INDEX('3. Enter Indicator Scores'!$D$10:$CZ$161,_xlpm.r,_xlpm.c),""),
  IF(OR(_xlpm.w="",_xlpm.v=""),"",_xlpm.v*_xlpm.w)
)</f>
        <v/>
      </c>
      <c r="F152" s="93" t="str" cm="1">
        <f t="array" ref="F152">_xlfn.LET(
  _xlpm.w, F$11,
  _xlpm.r, MATCH(1,('3. Enter Indicator Scores'!$B$10:$B$161=$B152)*('3. Enter Indicator Scores'!$C$10:$C$161=$C152),0),
  _xlpm.c, MATCH(F$8,'3. Enter Indicator Scores'!$D$8:$CZ$8,0),
  _xlpm.v, IFERROR(INDEX('3. Enter Indicator Scores'!$D$10:$CZ$161,_xlpm.r,_xlpm.c),""),
  IF(OR(_xlpm.w="",_xlpm.v=""),"",_xlpm.v*_xlpm.w)
)</f>
        <v/>
      </c>
      <c r="G152" s="93" t="str" cm="1">
        <f t="array" ref="G152">_xlfn.LET(
  _xlpm.w, G$11,
  _xlpm.r, MATCH(1,('3. Enter Indicator Scores'!$B$10:$B$161=$B152)*('3. Enter Indicator Scores'!$C$10:$C$161=$C152),0),
  _xlpm.c, MATCH(G$8,'3. Enter Indicator Scores'!$D$8:$CZ$8,0),
  _xlpm.v, IFERROR(INDEX('3. Enter Indicator Scores'!$D$10:$CZ$161,_xlpm.r,_xlpm.c),""),
  IF(OR(_xlpm.w="",_xlpm.v=""),"",_xlpm.v*_xlpm.w)
)</f>
        <v/>
      </c>
      <c r="H152" s="93" t="str" cm="1">
        <f t="array" ref="H152">_xlfn.LET(
  _xlpm.w, H$11,
  _xlpm.r, MATCH(1,('3. Enter Indicator Scores'!$B$10:$B$161=$B152)*('3. Enter Indicator Scores'!$C$10:$C$161=$C152),0),
  _xlpm.c, MATCH(H$8,'3. Enter Indicator Scores'!$D$8:$CZ$8,0),
  _xlpm.v, IFERROR(INDEX('3. Enter Indicator Scores'!$D$10:$CZ$161,_xlpm.r,_xlpm.c),""),
  IF(OR(_xlpm.w="",_xlpm.v=""),"",_xlpm.v*_xlpm.w)
)</f>
        <v/>
      </c>
      <c r="I152" s="93" t="str" cm="1">
        <f t="array" ref="I152">_xlfn.LET(
  _xlpm.w, I$11,
  _xlpm.r, MATCH(1,('3. Enter Indicator Scores'!$B$10:$B$161=$B152)*('3. Enter Indicator Scores'!$C$10:$C$161=$C152),0),
  _xlpm.c, MATCH(I$8,'3. Enter Indicator Scores'!$D$8:$CZ$8,0),
  _xlpm.v, IFERROR(INDEX('3. Enter Indicator Scores'!$D$10:$CZ$161,_xlpm.r,_xlpm.c),""),
  IF(OR(_xlpm.w="",_xlpm.v=""),"",_xlpm.v*_xlpm.w)
)</f>
        <v/>
      </c>
      <c r="J152" s="93" t="str" cm="1">
        <f t="array" ref="J152">_xlfn.LET(
  _xlpm.w, J$11,
  _xlpm.r, MATCH(1,('3. Enter Indicator Scores'!$B$10:$B$161=$B152)*('3. Enter Indicator Scores'!$C$10:$C$161=$C152),0),
  _xlpm.c, MATCH(J$8,'3. Enter Indicator Scores'!$D$8:$CZ$8,0),
  _xlpm.v, IFERROR(INDEX('3. Enter Indicator Scores'!$D$10:$CZ$161,_xlpm.r,_xlpm.c),""),
  IF(OR(_xlpm.w="",_xlpm.v=""),"",_xlpm.v*_xlpm.w)
)</f>
        <v/>
      </c>
      <c r="K152" s="93" t="str" cm="1">
        <f t="array" ref="K152">_xlfn.LET(
  _xlpm.w, K$11,
  _xlpm.r, MATCH(1,('3. Enter Indicator Scores'!$B$10:$B$161=$B152)*('3. Enter Indicator Scores'!$C$10:$C$161=$C152),0),
  _xlpm.c, MATCH(K$8,'3. Enter Indicator Scores'!$D$8:$CZ$8,0),
  _xlpm.v, IFERROR(INDEX('3. Enter Indicator Scores'!$D$10:$CZ$161,_xlpm.r,_xlpm.c),""),
  IF(OR(_xlpm.w="",_xlpm.v=""),"",_xlpm.v*_xlpm.w)
)</f>
        <v/>
      </c>
      <c r="L152" s="93" t="str" cm="1">
        <f t="array" ref="L152">_xlfn.LET(
  _xlpm.w, L$11,
  _xlpm.r, MATCH(1,('3. Enter Indicator Scores'!$B$10:$B$161=$B152)*('3. Enter Indicator Scores'!$C$10:$C$161=$C152),0),
  _xlpm.c, MATCH(L$8,'3. Enter Indicator Scores'!$D$8:$CZ$8,0),
  _xlpm.v, IFERROR(INDEX('3. Enter Indicator Scores'!$D$10:$CZ$161,_xlpm.r,_xlpm.c),""),
  IF(OR(_xlpm.w="",_xlpm.v=""),"",_xlpm.v*_xlpm.w)
)</f>
        <v/>
      </c>
      <c r="M152" s="93" t="str" cm="1">
        <f t="array" ref="M152">_xlfn.LET(
  _xlpm.w, M$11,
  _xlpm.r, MATCH(1,('3. Enter Indicator Scores'!$B$10:$B$161=$B152)*('3. Enter Indicator Scores'!$C$10:$C$161=$C152),0),
  _xlpm.c, MATCH(M$8,'3. Enter Indicator Scores'!$D$8:$CZ$8,0),
  _xlpm.v, IFERROR(INDEX('3. Enter Indicator Scores'!$D$10:$CZ$161,_xlpm.r,_xlpm.c),""),
  IF(OR(_xlpm.w="",_xlpm.v=""),"",_xlpm.v*_xlpm.w)
)</f>
        <v/>
      </c>
      <c r="N152" s="93" t="str" cm="1">
        <f t="array" ref="N152">_xlfn.LET(
  _xlpm.w, N$11,
  _xlpm.r, MATCH(1,('3. Enter Indicator Scores'!$B$10:$B$161=$B152)*('3. Enter Indicator Scores'!$C$10:$C$161=$C152),0),
  _xlpm.c, MATCH(N$8,'3. Enter Indicator Scores'!$D$8:$CZ$8,0),
  _xlpm.v, IFERROR(INDEX('3. Enter Indicator Scores'!$D$10:$CZ$161,_xlpm.r,_xlpm.c),""),
  IF(OR(_xlpm.w="",_xlpm.v=""),"",_xlpm.v*_xlpm.w)
)</f>
        <v/>
      </c>
      <c r="O152" s="93" t="str" cm="1">
        <f t="array" ref="O152">_xlfn.LET(
  _xlpm.w, O$11,
  _xlpm.r, MATCH(1,('3. Enter Indicator Scores'!$B$10:$B$161=$B152)*('3. Enter Indicator Scores'!$C$10:$C$161=$C152),0),
  _xlpm.c, MATCH(O$8,'3. Enter Indicator Scores'!$D$8:$CZ$8,0),
  _xlpm.v, IFERROR(INDEX('3. Enter Indicator Scores'!$D$10:$CZ$161,_xlpm.r,_xlpm.c),""),
  IF(OR(_xlpm.w="",_xlpm.v=""),"",_xlpm.v*_xlpm.w)
)</f>
        <v/>
      </c>
      <c r="P152" s="93" t="str" cm="1">
        <f t="array" ref="P152">_xlfn.LET(
  _xlpm.w, P$11,
  _xlpm.r, MATCH(1,('3. Enter Indicator Scores'!$B$10:$B$161=$B152)*('3. Enter Indicator Scores'!$C$10:$C$161=$C152),0),
  _xlpm.c, MATCH(P$8,'3. Enter Indicator Scores'!$D$8:$CZ$8,0),
  _xlpm.v, IFERROR(INDEX('3. Enter Indicator Scores'!$D$10:$CZ$161,_xlpm.r,_xlpm.c),""),
  IF(OR(_xlpm.w="",_xlpm.v=""),"",_xlpm.v*_xlpm.w)
)</f>
        <v/>
      </c>
      <c r="Q152" s="93" t="str" cm="1">
        <f t="array" ref="Q152">_xlfn.LET(
  _xlpm.w, Q$11,
  _xlpm.r, MATCH(1,('3. Enter Indicator Scores'!$B$10:$B$161=$B152)*('3. Enter Indicator Scores'!$C$10:$C$161=$C152),0),
  _xlpm.c, MATCH(Q$8,'3. Enter Indicator Scores'!$D$8:$CZ$8,0),
  _xlpm.v, IFERROR(INDEX('3. Enter Indicator Scores'!$D$10:$CZ$161,_xlpm.r,_xlpm.c),""),
  IF(OR(_xlpm.w="",_xlpm.v=""),"",_xlpm.v*_xlpm.w)
)</f>
        <v/>
      </c>
      <c r="R152" s="93" t="str" cm="1">
        <f t="array" ref="R152">_xlfn.LET(
  _xlpm.w, R$11,
  _xlpm.r, MATCH(1,('3. Enter Indicator Scores'!$B$10:$B$161=$B152)*('3. Enter Indicator Scores'!$C$10:$C$161=$C152),0),
  _xlpm.c, MATCH(R$8,'3. Enter Indicator Scores'!$D$8:$CZ$8,0),
  _xlpm.v, IFERROR(INDEX('3. Enter Indicator Scores'!$D$10:$CZ$161,_xlpm.r,_xlpm.c),""),
  IF(OR(_xlpm.w="",_xlpm.v=""),"",_xlpm.v*_xlpm.w)
)</f>
        <v/>
      </c>
      <c r="S152" s="93" t="str" cm="1">
        <f t="array" ref="S152">_xlfn.LET(
  _xlpm.w, S$11,
  _xlpm.r, MATCH(1,('3. Enter Indicator Scores'!$B$10:$B$161=$B152)*('3. Enter Indicator Scores'!$C$10:$C$161=$C152),0),
  _xlpm.c, MATCH(S$8,'3. Enter Indicator Scores'!$D$8:$CZ$8,0),
  _xlpm.v, IFERROR(INDEX('3. Enter Indicator Scores'!$D$10:$CZ$161,_xlpm.r,_xlpm.c),""),
  IF(OR(_xlpm.w="",_xlpm.v=""),"",_xlpm.v*_xlpm.w)
)</f>
        <v/>
      </c>
      <c r="T152" s="93" t="str" cm="1">
        <f t="array" ref="T152">_xlfn.LET(
  _xlpm.w, T$11,
  _xlpm.r, MATCH(1,('3. Enter Indicator Scores'!$B$10:$B$161=$B152)*('3. Enter Indicator Scores'!$C$10:$C$161=$C152),0),
  _xlpm.c, MATCH(T$8,'3. Enter Indicator Scores'!$D$8:$CZ$8,0),
  _xlpm.v, IFERROR(INDEX('3. Enter Indicator Scores'!$D$10:$CZ$161,_xlpm.r,_xlpm.c),""),
  IF(OR(_xlpm.w="",_xlpm.v=""),"",_xlpm.v*_xlpm.w)
)</f>
        <v/>
      </c>
      <c r="U152" s="93" t="str" cm="1">
        <f t="array" ref="U152">_xlfn.LET(
  _xlpm.w, U$11,
  _xlpm.r, MATCH(1,('3. Enter Indicator Scores'!$B$10:$B$161=$B152)*('3. Enter Indicator Scores'!$C$10:$C$161=$C152),0),
  _xlpm.c, MATCH(U$8,'3. Enter Indicator Scores'!$D$8:$CZ$8,0),
  _xlpm.v, IFERROR(INDEX('3. Enter Indicator Scores'!$D$10:$CZ$161,_xlpm.r,_xlpm.c),""),
  IF(OR(_xlpm.w="",_xlpm.v=""),"",_xlpm.v*_xlpm.w)
)</f>
        <v/>
      </c>
      <c r="V152" s="93" t="str" cm="1">
        <f t="array" ref="V152">_xlfn.LET(
  _xlpm.w, V$11,
  _xlpm.r, MATCH(1,('3. Enter Indicator Scores'!$B$10:$B$161=$B152)*('3. Enter Indicator Scores'!$C$10:$C$161=$C152),0),
  _xlpm.c, MATCH(V$8,'3. Enter Indicator Scores'!$D$8:$CZ$8,0),
  _xlpm.v, IFERROR(INDEX('3. Enter Indicator Scores'!$D$10:$CZ$161,_xlpm.r,_xlpm.c),""),
  IF(OR(_xlpm.w="",_xlpm.v=""),"",_xlpm.v*_xlpm.w)
)</f>
        <v/>
      </c>
      <c r="W152" s="93" t="str" cm="1">
        <f t="array" ref="W152">_xlfn.LET(
  _xlpm.w, W$11,
  _xlpm.r, MATCH(1,('3. Enter Indicator Scores'!$B$10:$B$161=$B152)*('3. Enter Indicator Scores'!$C$10:$C$161=$C152),0),
  _xlpm.c, MATCH(W$8,'3. Enter Indicator Scores'!$D$8:$CZ$8,0),
  _xlpm.v, IFERROR(INDEX('3. Enter Indicator Scores'!$D$10:$CZ$161,_xlpm.r,_xlpm.c),""),
  IF(OR(_xlpm.w="",_xlpm.v=""),"",_xlpm.v*_xlpm.w)
)</f>
        <v/>
      </c>
      <c r="X152" s="93" t="str" cm="1">
        <f t="array" ref="X152">_xlfn.LET(
  _xlpm.w, X$11,
  _xlpm.r, MATCH(1,('3. Enter Indicator Scores'!$B$10:$B$161=$B152)*('3. Enter Indicator Scores'!$C$10:$C$161=$C152),0),
  _xlpm.c, MATCH(X$8,'3. Enter Indicator Scores'!$D$8:$CZ$8,0),
  _xlpm.v, IFERROR(INDEX('3. Enter Indicator Scores'!$D$10:$CZ$161,_xlpm.r,_xlpm.c),""),
  IF(OR(_xlpm.w="",_xlpm.v=""),"",_xlpm.v*_xlpm.w)
)</f>
        <v/>
      </c>
      <c r="Y152" s="93" t="str" cm="1">
        <f t="array" ref="Y152">_xlfn.LET(
  _xlpm.w, Y$11,
  _xlpm.r, MATCH(1,('3. Enter Indicator Scores'!$B$10:$B$161=$B152)*('3. Enter Indicator Scores'!$C$10:$C$161=$C152),0),
  _xlpm.c, MATCH(Y$8,'3. Enter Indicator Scores'!$D$8:$CZ$8,0),
  _xlpm.v, IFERROR(INDEX('3. Enter Indicator Scores'!$D$10:$CZ$161,_xlpm.r,_xlpm.c),""),
  IF(OR(_xlpm.w="",_xlpm.v=""),"",_xlpm.v*_xlpm.w)
)</f>
        <v/>
      </c>
      <c r="Z152" s="93" t="str" cm="1">
        <f t="array" ref="Z152">_xlfn.LET(
  _xlpm.w, Z$11,
  _xlpm.r, MATCH(1,('3. Enter Indicator Scores'!$B$10:$B$161=$B152)*('3. Enter Indicator Scores'!$C$10:$C$161=$C152),0),
  _xlpm.c, MATCH(Z$8,'3. Enter Indicator Scores'!$D$8:$CZ$8,0),
  _xlpm.v, IFERROR(INDEX('3. Enter Indicator Scores'!$D$10:$CZ$161,_xlpm.r,_xlpm.c),""),
  IF(OR(_xlpm.w="",_xlpm.v=""),"",_xlpm.v*_xlpm.w)
)</f>
        <v/>
      </c>
      <c r="AA152" s="93" t="str" cm="1">
        <f t="array" ref="AA152">_xlfn.LET(
  _xlpm.w, AA$11,
  _xlpm.r, MATCH(1,('3. Enter Indicator Scores'!$B$10:$B$161=$B152)*('3. Enter Indicator Scores'!$C$10:$C$161=$C152),0),
  _xlpm.c, MATCH(AA$8,'3. Enter Indicator Scores'!$D$8:$CZ$8,0),
  _xlpm.v, IFERROR(INDEX('3. Enter Indicator Scores'!$D$10:$CZ$161,_xlpm.r,_xlpm.c),""),
  IF(OR(_xlpm.w="",_xlpm.v=""),"",_xlpm.v*_xlpm.w)
)</f>
        <v/>
      </c>
      <c r="AB152" s="93" t="str" cm="1">
        <f t="array" ref="AB152">_xlfn.LET(
  _xlpm.w, AB$11,
  _xlpm.r, MATCH(1,('3. Enter Indicator Scores'!$B$10:$B$161=$B152)*('3. Enter Indicator Scores'!$C$10:$C$161=$C152),0),
  _xlpm.c, MATCH(AB$8,'3. Enter Indicator Scores'!$D$8:$CZ$8,0),
  _xlpm.v, IFERROR(INDEX('3. Enter Indicator Scores'!$D$10:$CZ$161,_xlpm.r,_xlpm.c),""),
  IF(OR(_xlpm.w="",_xlpm.v=""),"",_xlpm.v*_xlpm.w)
)</f>
        <v/>
      </c>
      <c r="AC152" s="93" t="str" cm="1">
        <f t="array" ref="AC152">_xlfn.LET(
  _xlpm.w, AC$11,
  _xlpm.r, MATCH(1,('3. Enter Indicator Scores'!$B$10:$B$161=$B152)*('3. Enter Indicator Scores'!$C$10:$C$161=$C152),0),
  _xlpm.c, MATCH(AC$8,'3. Enter Indicator Scores'!$D$8:$CZ$8,0),
  _xlpm.v, IFERROR(INDEX('3. Enter Indicator Scores'!$D$10:$CZ$161,_xlpm.r,_xlpm.c),""),
  IF(OR(_xlpm.w="",_xlpm.v=""),"",_xlpm.v*_xlpm.w)
)</f>
        <v/>
      </c>
      <c r="AD152" s="93" t="str" cm="1">
        <f t="array" ref="AD152">_xlfn.LET(
  _xlpm.w, AD$11,
  _xlpm.r, MATCH(1,('3. Enter Indicator Scores'!$B$10:$B$161=$B152)*('3. Enter Indicator Scores'!$C$10:$C$161=$C152),0),
  _xlpm.c, MATCH(AD$8,'3. Enter Indicator Scores'!$D$8:$CZ$8,0),
  _xlpm.v, IFERROR(INDEX('3. Enter Indicator Scores'!$D$10:$CZ$161,_xlpm.r,_xlpm.c),""),
  IF(OR(_xlpm.w="",_xlpm.v=""),"",_xlpm.v*_xlpm.w)
)</f>
        <v/>
      </c>
      <c r="AE152" s="93" t="str" cm="1">
        <f t="array" ref="AE152">_xlfn.LET(
  _xlpm.w, AE$11,
  _xlpm.r, MATCH(1,('3. Enter Indicator Scores'!$B$10:$B$161=$B152)*('3. Enter Indicator Scores'!$C$10:$C$161=$C152),0),
  _xlpm.c, MATCH(AE$8,'3. Enter Indicator Scores'!$D$8:$CZ$8,0),
  _xlpm.v, IFERROR(INDEX('3. Enter Indicator Scores'!$D$10:$CZ$161,_xlpm.r,_xlpm.c),""),
  IF(OR(_xlpm.w="",_xlpm.v=""),"",_xlpm.v*_xlpm.w)
)</f>
        <v/>
      </c>
      <c r="AF152" s="93" t="str" cm="1">
        <f t="array" ref="AF152">_xlfn.LET(
  _xlpm.w, AF$11,
  _xlpm.r, MATCH(1,('3. Enter Indicator Scores'!$B$10:$B$161=$B152)*('3. Enter Indicator Scores'!$C$10:$C$161=$C152),0),
  _xlpm.c, MATCH(AF$8,'3. Enter Indicator Scores'!$D$8:$CZ$8,0),
  _xlpm.v, IFERROR(INDEX('3. Enter Indicator Scores'!$D$10:$CZ$161,_xlpm.r,_xlpm.c),""),
  IF(OR(_xlpm.w="",_xlpm.v=""),"",_xlpm.v*_xlpm.w)
)</f>
        <v/>
      </c>
      <c r="AG152" s="93" t="str" cm="1">
        <f t="array" ref="AG152">_xlfn.LET(
  _xlpm.w, AG$11,
  _xlpm.r, MATCH(1,('3. Enter Indicator Scores'!$B$10:$B$161=$B152)*('3. Enter Indicator Scores'!$C$10:$C$161=$C152),0),
  _xlpm.c, MATCH(AG$8,'3. Enter Indicator Scores'!$D$8:$CZ$8,0),
  _xlpm.v, IFERROR(INDEX('3. Enter Indicator Scores'!$D$10:$CZ$161,_xlpm.r,_xlpm.c),""),
  IF(OR(_xlpm.w="",_xlpm.v=""),"",_xlpm.v*_xlpm.w)
)</f>
        <v/>
      </c>
      <c r="AH152" s="93" t="str" cm="1">
        <f t="array" ref="AH152">_xlfn.LET(
  _xlpm.w, AH$11,
  _xlpm.r, MATCH(1,('3. Enter Indicator Scores'!$B$10:$B$161=$B152)*('3. Enter Indicator Scores'!$C$10:$C$161=$C152),0),
  _xlpm.c, MATCH(AH$8,'3. Enter Indicator Scores'!$D$8:$CZ$8,0),
  _xlpm.v, IFERROR(INDEX('3. Enter Indicator Scores'!$D$10:$CZ$161,_xlpm.r,_xlpm.c),""),
  IF(OR(_xlpm.w="",_xlpm.v=""),"",_xlpm.v*_xlpm.w)
)</f>
        <v/>
      </c>
      <c r="AI152" s="93" t="str" cm="1">
        <f t="array" ref="AI152">_xlfn.LET(
  _xlpm.w, AI$11,
  _xlpm.r, MATCH(1,('3. Enter Indicator Scores'!$B$10:$B$161=$B152)*('3. Enter Indicator Scores'!$C$10:$C$161=$C152),0),
  _xlpm.c, MATCH(AI$8,'3. Enter Indicator Scores'!$D$8:$CZ$8,0),
  _xlpm.v, IFERROR(INDEX('3. Enter Indicator Scores'!$D$10:$CZ$161,_xlpm.r,_xlpm.c),""),
  IF(OR(_xlpm.w="",_xlpm.v=""),"",_xlpm.v*_xlpm.w)
)</f>
        <v/>
      </c>
      <c r="AJ152" s="93" t="str" cm="1">
        <f t="array" ref="AJ152">_xlfn.LET(
  _xlpm.w, AJ$11,
  _xlpm.r, MATCH(1,('3. Enter Indicator Scores'!$B$10:$B$161=$B152)*('3. Enter Indicator Scores'!$C$10:$C$161=$C152),0),
  _xlpm.c, MATCH(AJ$8,'3. Enter Indicator Scores'!$D$8:$CZ$8,0),
  _xlpm.v, IFERROR(INDEX('3. Enter Indicator Scores'!$D$10:$CZ$161,_xlpm.r,_xlpm.c),""),
  IF(OR(_xlpm.w="",_xlpm.v=""),"",_xlpm.v*_xlpm.w)
)</f>
        <v/>
      </c>
      <c r="AK152" s="93" t="str" cm="1">
        <f t="array" ref="AK152">_xlfn.LET(
  _xlpm.w, AK$11,
  _xlpm.r, MATCH(1,('3. Enter Indicator Scores'!$B$10:$B$161=$B152)*('3. Enter Indicator Scores'!$C$10:$C$161=$C152),0),
  _xlpm.c, MATCH(AK$8,'3. Enter Indicator Scores'!$D$8:$CZ$8,0),
  _xlpm.v, IFERROR(INDEX('3. Enter Indicator Scores'!$D$10:$CZ$161,_xlpm.r,_xlpm.c),""),
  IF(OR(_xlpm.w="",_xlpm.v=""),"",_xlpm.v*_xlpm.w)
)</f>
        <v/>
      </c>
      <c r="AL152" s="93" t="str" cm="1">
        <f t="array" ref="AL152">_xlfn.LET(
  _xlpm.w, AL$11,
  _xlpm.r, MATCH(1,('3. Enter Indicator Scores'!$B$10:$B$161=$B152)*('3. Enter Indicator Scores'!$C$10:$C$161=$C152),0),
  _xlpm.c, MATCH(AL$8,'3. Enter Indicator Scores'!$D$8:$CZ$8,0),
  _xlpm.v, IFERROR(INDEX('3. Enter Indicator Scores'!$D$10:$CZ$161,_xlpm.r,_xlpm.c),""),
  IF(OR(_xlpm.w="",_xlpm.v=""),"",_xlpm.v*_xlpm.w)
)</f>
        <v/>
      </c>
      <c r="AM152" s="93" t="str" cm="1">
        <f t="array" ref="AM152">_xlfn.LET(
  _xlpm.w, AM$11,
  _xlpm.r, MATCH(1,('3. Enter Indicator Scores'!$B$10:$B$161=$B152)*('3. Enter Indicator Scores'!$C$10:$C$161=$C152),0),
  _xlpm.c, MATCH(AM$8,'3. Enter Indicator Scores'!$D$8:$CZ$8,0),
  _xlpm.v, IFERROR(INDEX('3. Enter Indicator Scores'!$D$10:$CZ$161,_xlpm.r,_xlpm.c),""),
  IF(OR(_xlpm.w="",_xlpm.v=""),"",_xlpm.v*_xlpm.w)
)</f>
        <v/>
      </c>
      <c r="AN152" s="93" t="str" cm="1">
        <f t="array" ref="AN152">_xlfn.LET(
  _xlpm.w, AN$11,
  _xlpm.r, MATCH(1,('3. Enter Indicator Scores'!$B$10:$B$161=$B152)*('3. Enter Indicator Scores'!$C$10:$C$161=$C152),0),
  _xlpm.c, MATCH(AN$8,'3. Enter Indicator Scores'!$D$8:$CZ$8,0),
  _xlpm.v, IFERROR(INDEX('3. Enter Indicator Scores'!$D$10:$CZ$161,_xlpm.r,_xlpm.c),""),
  IF(OR(_xlpm.w="",_xlpm.v=""),"",_xlpm.v*_xlpm.w)
)</f>
        <v/>
      </c>
      <c r="AO152" s="93" t="str" cm="1">
        <f t="array" ref="AO152">_xlfn.LET(
  _xlpm.w, AO$11,
  _xlpm.r, MATCH(1,('3. Enter Indicator Scores'!$B$10:$B$161=$B152)*('3. Enter Indicator Scores'!$C$10:$C$161=$C152),0),
  _xlpm.c, MATCH(AO$8,'3. Enter Indicator Scores'!$D$8:$CZ$8,0),
  _xlpm.v, IFERROR(INDEX('3. Enter Indicator Scores'!$D$10:$CZ$161,_xlpm.r,_xlpm.c),""),
  IF(OR(_xlpm.w="",_xlpm.v=""),"",_xlpm.v*_xlpm.w)
)</f>
        <v/>
      </c>
      <c r="AP152" s="93" t="str" cm="1">
        <f t="array" ref="AP152">_xlfn.LET(
  _xlpm.w, AP$11,
  _xlpm.r, MATCH(1,('3. Enter Indicator Scores'!$B$10:$B$161=$B152)*('3. Enter Indicator Scores'!$C$10:$C$161=$C152),0),
  _xlpm.c, MATCH(AP$8,'3. Enter Indicator Scores'!$D$8:$CZ$8,0),
  _xlpm.v, IFERROR(INDEX('3. Enter Indicator Scores'!$D$10:$CZ$161,_xlpm.r,_xlpm.c),""),
  IF(OR(_xlpm.w="",_xlpm.v=""),"",_xlpm.v*_xlpm.w)
)</f>
        <v/>
      </c>
      <c r="AQ152" s="93" t="str" cm="1">
        <f t="array" ref="AQ152">_xlfn.LET(
  _xlpm.w, AQ$11,
  _xlpm.r, MATCH(1,('3. Enter Indicator Scores'!$B$10:$B$161=$B152)*('3. Enter Indicator Scores'!$C$10:$C$161=$C152),0),
  _xlpm.c, MATCH(AQ$8,'3. Enter Indicator Scores'!$D$8:$CZ$8,0),
  _xlpm.v, IFERROR(INDEX('3. Enter Indicator Scores'!$D$10:$CZ$161,_xlpm.r,_xlpm.c),""),
  IF(OR(_xlpm.w="",_xlpm.v=""),"",_xlpm.v*_xlpm.w)
)</f>
        <v/>
      </c>
      <c r="AR152" s="93" t="str" cm="1">
        <f t="array" ref="AR152">_xlfn.LET(
  _xlpm.w, AR$11,
  _xlpm.r, MATCH(1,('3. Enter Indicator Scores'!$B$10:$B$161=$B152)*('3. Enter Indicator Scores'!$C$10:$C$161=$C152),0),
  _xlpm.c, MATCH(AR$8,'3. Enter Indicator Scores'!$D$8:$CZ$8,0),
  _xlpm.v, IFERROR(INDEX('3. Enter Indicator Scores'!$D$10:$CZ$161,_xlpm.r,_xlpm.c),""),
  IF(OR(_xlpm.w="",_xlpm.v=""),"",_xlpm.v*_xlpm.w)
)</f>
        <v/>
      </c>
      <c r="AS152" s="93" t="str" cm="1">
        <f t="array" ref="AS152">_xlfn.LET(
  _xlpm.w, AS$11,
  _xlpm.r, MATCH(1,('3. Enter Indicator Scores'!$B$10:$B$161=$B152)*('3. Enter Indicator Scores'!$C$10:$C$161=$C152),0),
  _xlpm.c, MATCH(AS$8,'3. Enter Indicator Scores'!$D$8:$CZ$8,0),
  _xlpm.v, IFERROR(INDEX('3. Enter Indicator Scores'!$D$10:$CZ$161,_xlpm.r,_xlpm.c),""),
  IF(OR(_xlpm.w="",_xlpm.v=""),"",_xlpm.v*_xlpm.w)
)</f>
        <v/>
      </c>
      <c r="AT152" s="93" t="str" cm="1">
        <f t="array" ref="AT152">_xlfn.LET(
  _xlpm.w, AT$11,
  _xlpm.r, MATCH(1,('3. Enter Indicator Scores'!$B$10:$B$161=$B152)*('3. Enter Indicator Scores'!$C$10:$C$161=$C152),0),
  _xlpm.c, MATCH(AT$8,'3. Enter Indicator Scores'!$D$8:$CZ$8,0),
  _xlpm.v, IFERROR(INDEX('3. Enter Indicator Scores'!$D$10:$CZ$161,_xlpm.r,_xlpm.c),""),
  IF(OR(_xlpm.w="",_xlpm.v=""),"",_xlpm.v*_xlpm.w)
)</f>
        <v/>
      </c>
      <c r="AU152" s="93" t="str" cm="1">
        <f t="array" ref="AU152">_xlfn.LET(
  _xlpm.w, AU$11,
  _xlpm.r, MATCH(1,('3. Enter Indicator Scores'!$B$10:$B$161=$B152)*('3. Enter Indicator Scores'!$C$10:$C$161=$C152),0),
  _xlpm.c, MATCH(AU$8,'3. Enter Indicator Scores'!$D$8:$CZ$8,0),
  _xlpm.v, IFERROR(INDEX('3. Enter Indicator Scores'!$D$10:$CZ$161,_xlpm.r,_xlpm.c),""),
  IF(OR(_xlpm.w="",_xlpm.v=""),"",_xlpm.v*_xlpm.w)
)</f>
        <v/>
      </c>
      <c r="AV152" s="93" t="str" cm="1">
        <f t="array" ref="AV152">_xlfn.LET(
  _xlpm.w, AV$11,
  _xlpm.r, MATCH(1,('3. Enter Indicator Scores'!$B$10:$B$161=$B152)*('3. Enter Indicator Scores'!$C$10:$C$161=$C152),0),
  _xlpm.c, MATCH(AV$8,'3. Enter Indicator Scores'!$D$8:$CZ$8,0),
  _xlpm.v, IFERROR(INDEX('3. Enter Indicator Scores'!$D$10:$CZ$161,_xlpm.r,_xlpm.c),""),
  IF(OR(_xlpm.w="",_xlpm.v=""),"",_xlpm.v*_xlpm.w)
)</f>
        <v/>
      </c>
      <c r="AW152" s="93" t="str" cm="1">
        <f t="array" ref="AW152">_xlfn.LET(
  _xlpm.w, AW$11,
  _xlpm.r, MATCH(1,('3. Enter Indicator Scores'!$B$10:$B$161=$B152)*('3. Enter Indicator Scores'!$C$10:$C$161=$C152),0),
  _xlpm.c, MATCH(AW$8,'3. Enter Indicator Scores'!$D$8:$CZ$8,0),
  _xlpm.v, IFERROR(INDEX('3. Enter Indicator Scores'!$D$10:$CZ$161,_xlpm.r,_xlpm.c),""),
  IF(OR(_xlpm.w="",_xlpm.v=""),"",_xlpm.v*_xlpm.w)
)</f>
        <v/>
      </c>
      <c r="AX152" s="93" t="str" cm="1">
        <f t="array" ref="AX152">_xlfn.LET(
  _xlpm.w, AX$11,
  _xlpm.r, MATCH(1,('3. Enter Indicator Scores'!$B$10:$B$161=$B152)*('3. Enter Indicator Scores'!$C$10:$C$161=$C152),0),
  _xlpm.c, MATCH(AX$8,'3. Enter Indicator Scores'!$D$8:$CZ$8,0),
  _xlpm.v, IFERROR(INDEX('3. Enter Indicator Scores'!$D$10:$CZ$161,_xlpm.r,_xlpm.c),""),
  IF(OR(_xlpm.w="",_xlpm.v=""),"",_xlpm.v*_xlpm.w)
)</f>
        <v/>
      </c>
      <c r="AY152" s="93" t="str" cm="1">
        <f t="array" ref="AY152">_xlfn.LET(
  _xlpm.w, AY$11,
  _xlpm.r, MATCH(1,('3. Enter Indicator Scores'!$B$10:$B$161=$B152)*('3. Enter Indicator Scores'!$C$10:$C$161=$C152),0),
  _xlpm.c, MATCH(AY$8,'3. Enter Indicator Scores'!$D$8:$CZ$8,0),
  _xlpm.v, IFERROR(INDEX('3. Enter Indicator Scores'!$D$10:$CZ$161,_xlpm.r,_xlpm.c),""),
  IF(OR(_xlpm.w="",_xlpm.v=""),"",_xlpm.v*_xlpm.w)
)</f>
        <v/>
      </c>
      <c r="AZ152" s="93" t="str" cm="1">
        <f t="array" ref="AZ152">_xlfn.LET(
  _xlpm.w, AZ$11,
  _xlpm.r, MATCH(1,('3. Enter Indicator Scores'!$B$10:$B$161=$B152)*('3. Enter Indicator Scores'!$C$10:$C$161=$C152),0),
  _xlpm.c, MATCH(AZ$8,'3. Enter Indicator Scores'!$D$8:$CZ$8,0),
  _xlpm.v, IFERROR(INDEX('3. Enter Indicator Scores'!$D$10:$CZ$161,_xlpm.r,_xlpm.c),""),
  IF(OR(_xlpm.w="",_xlpm.v=""),"",_xlpm.v*_xlpm.w)
)</f>
        <v/>
      </c>
      <c r="BA152" s="93" t="str" cm="1">
        <f t="array" ref="BA152">_xlfn.LET(
  _xlpm.w, BA$11,
  _xlpm.r, MATCH(1,('3. Enter Indicator Scores'!$B$10:$B$161=$B152)*('3. Enter Indicator Scores'!$C$10:$C$161=$C152),0),
  _xlpm.c, MATCH(BA$8,'3. Enter Indicator Scores'!$D$8:$CZ$8,0),
  _xlpm.v, IFERROR(INDEX('3. Enter Indicator Scores'!$D$10:$CZ$161,_xlpm.r,_xlpm.c),""),
  IF(OR(_xlpm.w="",_xlpm.v=""),"",_xlpm.v*_xlpm.w)
)</f>
        <v/>
      </c>
      <c r="BB152" s="93" t="str" cm="1">
        <f t="array" ref="BB152">_xlfn.LET(
  _xlpm.w, BB$11,
  _xlpm.r, MATCH(1,('3. Enter Indicator Scores'!$B$10:$B$161=$B152)*('3. Enter Indicator Scores'!$C$10:$C$161=$C152),0),
  _xlpm.c, MATCH(BB$8,'3. Enter Indicator Scores'!$D$8:$CZ$8,0),
  _xlpm.v, IFERROR(INDEX('3. Enter Indicator Scores'!$D$10:$CZ$161,_xlpm.r,_xlpm.c),""),
  IF(OR(_xlpm.w="",_xlpm.v=""),"",_xlpm.v*_xlpm.w)
)</f>
        <v/>
      </c>
      <c r="BC152" s="93" t="str" cm="1">
        <f t="array" ref="BC152">_xlfn.LET(
  _xlpm.w, BC$11,
  _xlpm.r, MATCH(1,('3. Enter Indicator Scores'!$B$10:$B$161=$B152)*('3. Enter Indicator Scores'!$C$10:$C$161=$C152),0),
  _xlpm.c, MATCH(BC$8,'3. Enter Indicator Scores'!$D$8:$CZ$8,0),
  _xlpm.v, IFERROR(INDEX('3. Enter Indicator Scores'!$D$10:$CZ$161,_xlpm.r,_xlpm.c),""),
  IF(OR(_xlpm.w="",_xlpm.v=""),"",_xlpm.v*_xlpm.w)
)</f>
        <v/>
      </c>
      <c r="BD152" s="93" t="str" cm="1">
        <f t="array" ref="BD152">_xlfn.LET(
  _xlpm.w, BD$11,
  _xlpm.r, MATCH(1,('3. Enter Indicator Scores'!$B$10:$B$161=$B152)*('3. Enter Indicator Scores'!$C$10:$C$161=$C152),0),
  _xlpm.c, MATCH(BD$8,'3. Enter Indicator Scores'!$D$8:$CZ$8,0),
  _xlpm.v, IFERROR(INDEX('3. Enter Indicator Scores'!$D$10:$CZ$161,_xlpm.r,_xlpm.c),""),
  IF(OR(_xlpm.w="",_xlpm.v=""),"",_xlpm.v*_xlpm.w)
)</f>
        <v/>
      </c>
      <c r="BE152" s="93" t="str" cm="1">
        <f t="array" ref="BE152">_xlfn.LET(
  _xlpm.w, BE$11,
  _xlpm.r, MATCH(1,('3. Enter Indicator Scores'!$B$10:$B$161=$B152)*('3. Enter Indicator Scores'!$C$10:$C$161=$C152),0),
  _xlpm.c, MATCH(BE$8,'3. Enter Indicator Scores'!$D$8:$CZ$8,0),
  _xlpm.v, IFERROR(INDEX('3. Enter Indicator Scores'!$D$10:$CZ$161,_xlpm.r,_xlpm.c),""),
  IF(OR(_xlpm.w="",_xlpm.v=""),"",_xlpm.v*_xlpm.w)
)</f>
        <v/>
      </c>
      <c r="BF152" s="93" t="str" cm="1">
        <f t="array" ref="BF152">_xlfn.LET(
  _xlpm.w, BF$11,
  _xlpm.r, MATCH(1,('3. Enter Indicator Scores'!$B$10:$B$161=$B152)*('3. Enter Indicator Scores'!$C$10:$C$161=$C152),0),
  _xlpm.c, MATCH(BF$8,'3. Enter Indicator Scores'!$D$8:$CZ$8,0),
  _xlpm.v, IFERROR(INDEX('3. Enter Indicator Scores'!$D$10:$CZ$161,_xlpm.r,_xlpm.c),""),
  IF(OR(_xlpm.w="",_xlpm.v=""),"",_xlpm.v*_xlpm.w)
)</f>
        <v/>
      </c>
      <c r="BG152" s="93" t="str" cm="1">
        <f t="array" ref="BG152">_xlfn.LET(
  _xlpm.w, BG$11,
  _xlpm.r, MATCH(1,('3. Enter Indicator Scores'!$B$10:$B$161=$B152)*('3. Enter Indicator Scores'!$C$10:$C$161=$C152),0),
  _xlpm.c, MATCH(BG$8,'3. Enter Indicator Scores'!$D$8:$CZ$8,0),
  _xlpm.v, IFERROR(INDEX('3. Enter Indicator Scores'!$D$10:$CZ$161,_xlpm.r,_xlpm.c),""),
  IF(OR(_xlpm.w="",_xlpm.v=""),"",_xlpm.v*_xlpm.w)
)</f>
        <v/>
      </c>
      <c r="BH152" s="93" t="str" cm="1">
        <f t="array" ref="BH152">_xlfn.LET(
  _xlpm.w, BH$11,
  _xlpm.r, MATCH(1,('3. Enter Indicator Scores'!$B$10:$B$161=$B152)*('3. Enter Indicator Scores'!$C$10:$C$161=$C152),0),
  _xlpm.c, MATCH(BH$8,'3. Enter Indicator Scores'!$D$8:$CZ$8,0),
  _xlpm.v, IFERROR(INDEX('3. Enter Indicator Scores'!$D$10:$CZ$161,_xlpm.r,_xlpm.c),""),
  IF(OR(_xlpm.w="",_xlpm.v=""),"",_xlpm.v*_xlpm.w)
)</f>
        <v/>
      </c>
      <c r="BI152" s="93" t="str" cm="1">
        <f t="array" ref="BI152">_xlfn.LET(
  _xlpm.w, BI$11,
  _xlpm.r, MATCH(1,('3. Enter Indicator Scores'!$B$10:$B$161=$B152)*('3. Enter Indicator Scores'!$C$10:$C$161=$C152),0),
  _xlpm.c, MATCH(BI$8,'3. Enter Indicator Scores'!$D$8:$CZ$8,0),
  _xlpm.v, IFERROR(INDEX('3. Enter Indicator Scores'!$D$10:$CZ$161,_xlpm.r,_xlpm.c),""),
  IF(OR(_xlpm.w="",_xlpm.v=""),"",_xlpm.v*_xlpm.w)
)</f>
        <v/>
      </c>
      <c r="BJ152" s="93" t="str" cm="1">
        <f t="array" ref="BJ152">_xlfn.LET(
  _xlpm.w, BJ$11,
  _xlpm.r, MATCH(1,('3. Enter Indicator Scores'!$B$10:$B$161=$B152)*('3. Enter Indicator Scores'!$C$10:$C$161=$C152),0),
  _xlpm.c, MATCH(BJ$8,'3. Enter Indicator Scores'!$D$8:$CZ$8,0),
  _xlpm.v, IFERROR(INDEX('3. Enter Indicator Scores'!$D$10:$CZ$161,_xlpm.r,_xlpm.c),""),
  IF(OR(_xlpm.w="",_xlpm.v=""),"",_xlpm.v*_xlpm.w)
)</f>
        <v/>
      </c>
      <c r="BK152" s="93" t="str" cm="1">
        <f t="array" ref="BK152">_xlfn.LET(
  _xlpm.w, BK$11,
  _xlpm.r, MATCH(1,('3. Enter Indicator Scores'!$B$10:$B$161=$B152)*('3. Enter Indicator Scores'!$C$10:$C$161=$C152),0),
  _xlpm.c, MATCH(BK$8,'3. Enter Indicator Scores'!$D$8:$CZ$8,0),
  _xlpm.v, IFERROR(INDEX('3. Enter Indicator Scores'!$D$10:$CZ$161,_xlpm.r,_xlpm.c),""),
  IF(OR(_xlpm.w="",_xlpm.v=""),"",_xlpm.v*_xlpm.w)
)</f>
        <v/>
      </c>
      <c r="BL152" s="93" t="str" cm="1">
        <f t="array" ref="BL152">_xlfn.LET(
  _xlpm.w, BL$11,
  _xlpm.r, MATCH(1,('3. Enter Indicator Scores'!$B$10:$B$161=$B152)*('3. Enter Indicator Scores'!$C$10:$C$161=$C152),0),
  _xlpm.c, MATCH(BL$8,'3. Enter Indicator Scores'!$D$8:$CZ$8,0),
  _xlpm.v, IFERROR(INDEX('3. Enter Indicator Scores'!$D$10:$CZ$161,_xlpm.r,_xlpm.c),""),
  IF(OR(_xlpm.w="",_xlpm.v=""),"",_xlpm.v*_xlpm.w)
)</f>
        <v/>
      </c>
      <c r="BM152" s="93" t="str" cm="1">
        <f t="array" ref="BM152">_xlfn.LET(
  _xlpm.w, BM$11,
  _xlpm.r, MATCH(1,('3. Enter Indicator Scores'!$B$10:$B$161=$B152)*('3. Enter Indicator Scores'!$C$10:$C$161=$C152),0),
  _xlpm.c, MATCH(BM$8,'3. Enter Indicator Scores'!$D$8:$CZ$8,0),
  _xlpm.v, IFERROR(INDEX('3. Enter Indicator Scores'!$D$10:$CZ$161,_xlpm.r,_xlpm.c),""),
  IF(OR(_xlpm.w="",_xlpm.v=""),"",_xlpm.v*_xlpm.w)
)</f>
        <v/>
      </c>
      <c r="BN152" s="93" t="str" cm="1">
        <f t="array" ref="BN152">_xlfn.LET(
  _xlpm.w, BN$11,
  _xlpm.r, MATCH(1,('3. Enter Indicator Scores'!$B$10:$B$161=$B152)*('3. Enter Indicator Scores'!$C$10:$C$161=$C152),0),
  _xlpm.c, MATCH(BN$8,'3. Enter Indicator Scores'!$D$8:$CZ$8,0),
  _xlpm.v, IFERROR(INDEX('3. Enter Indicator Scores'!$D$10:$CZ$161,_xlpm.r,_xlpm.c),""),
  IF(OR(_xlpm.w="",_xlpm.v=""),"",_xlpm.v*_xlpm.w)
)</f>
        <v/>
      </c>
      <c r="BO152" s="93" t="str" cm="1">
        <f t="array" ref="BO152">_xlfn.LET(
  _xlpm.w, BO$11,
  _xlpm.r, MATCH(1,('3. Enter Indicator Scores'!$B$10:$B$161=$B152)*('3. Enter Indicator Scores'!$C$10:$C$161=$C152),0),
  _xlpm.c, MATCH(BO$8,'3. Enter Indicator Scores'!$D$8:$CZ$8,0),
  _xlpm.v, IFERROR(INDEX('3. Enter Indicator Scores'!$D$10:$CZ$161,_xlpm.r,_xlpm.c),""),
  IF(OR(_xlpm.w="",_xlpm.v=""),"",_xlpm.v*_xlpm.w)
)</f>
        <v/>
      </c>
      <c r="BP152" s="93" t="str" cm="1">
        <f t="array" ref="BP152">_xlfn.LET(
  _xlpm.w, BP$11,
  _xlpm.r, MATCH(1,('3. Enter Indicator Scores'!$B$10:$B$161=$B152)*('3. Enter Indicator Scores'!$C$10:$C$161=$C152),0),
  _xlpm.c, MATCH(BP$8,'3. Enter Indicator Scores'!$D$8:$CZ$8,0),
  _xlpm.v, IFERROR(INDEX('3. Enter Indicator Scores'!$D$10:$CZ$161,_xlpm.r,_xlpm.c),""),
  IF(OR(_xlpm.w="",_xlpm.v=""),"",_xlpm.v*_xlpm.w)
)</f>
        <v/>
      </c>
      <c r="BQ152" s="93" t="str" cm="1">
        <f t="array" ref="BQ152">_xlfn.LET(
  _xlpm.w, BQ$11,
  _xlpm.r, MATCH(1,('3. Enter Indicator Scores'!$B$10:$B$161=$B152)*('3. Enter Indicator Scores'!$C$10:$C$161=$C152),0),
  _xlpm.c, MATCH(BQ$8,'3. Enter Indicator Scores'!$D$8:$CZ$8,0),
  _xlpm.v, IFERROR(INDEX('3. Enter Indicator Scores'!$D$10:$CZ$161,_xlpm.r,_xlpm.c),""),
  IF(OR(_xlpm.w="",_xlpm.v=""),"",_xlpm.v*_xlpm.w)
)</f>
        <v/>
      </c>
      <c r="BR152" s="93" t="str" cm="1">
        <f t="array" ref="BR152">_xlfn.LET(
  _xlpm.w, BR$11,
  _xlpm.r, MATCH(1,('3. Enter Indicator Scores'!$B$10:$B$161=$B152)*('3. Enter Indicator Scores'!$C$10:$C$161=$C152),0),
  _xlpm.c, MATCH(BR$8,'3. Enter Indicator Scores'!$D$8:$CZ$8,0),
  _xlpm.v, IFERROR(INDEX('3. Enter Indicator Scores'!$D$10:$CZ$161,_xlpm.r,_xlpm.c),""),
  IF(OR(_xlpm.w="",_xlpm.v=""),"",_xlpm.v*_xlpm.w)
)</f>
        <v/>
      </c>
      <c r="BS152" s="93" t="str" cm="1">
        <f t="array" ref="BS152">_xlfn.LET(
  _xlpm.w, BS$11,
  _xlpm.r, MATCH(1,('3. Enter Indicator Scores'!$B$10:$B$161=$B152)*('3. Enter Indicator Scores'!$C$10:$C$161=$C152),0),
  _xlpm.c, MATCH(BS$8,'3. Enter Indicator Scores'!$D$8:$CZ$8,0),
  _xlpm.v, IFERROR(INDEX('3. Enter Indicator Scores'!$D$10:$CZ$161,_xlpm.r,_xlpm.c),""),
  IF(OR(_xlpm.w="",_xlpm.v=""),"",_xlpm.v*_xlpm.w)
)</f>
        <v/>
      </c>
      <c r="BT152" s="93" t="str" cm="1">
        <f t="array" ref="BT152">_xlfn.LET(
  _xlpm.w, BT$11,
  _xlpm.r, MATCH(1,('3. Enter Indicator Scores'!$B$10:$B$161=$B152)*('3. Enter Indicator Scores'!$C$10:$C$161=$C152),0),
  _xlpm.c, MATCH(BT$8,'3. Enter Indicator Scores'!$D$8:$CZ$8,0),
  _xlpm.v, IFERROR(INDEX('3. Enter Indicator Scores'!$D$10:$CZ$161,_xlpm.r,_xlpm.c),""),
  IF(OR(_xlpm.w="",_xlpm.v=""),"",_xlpm.v*_xlpm.w)
)</f>
        <v/>
      </c>
      <c r="BU152" s="93" t="str" cm="1">
        <f t="array" ref="BU152">_xlfn.LET(
  _xlpm.w, BU$11,
  _xlpm.r, MATCH(1,('3. Enter Indicator Scores'!$B$10:$B$161=$B152)*('3. Enter Indicator Scores'!$C$10:$C$161=$C152),0),
  _xlpm.c, MATCH(BU$8,'3. Enter Indicator Scores'!$D$8:$CZ$8,0),
  _xlpm.v, IFERROR(INDEX('3. Enter Indicator Scores'!$D$10:$CZ$161,_xlpm.r,_xlpm.c),""),
  IF(OR(_xlpm.w="",_xlpm.v=""),"",_xlpm.v*_xlpm.w)
)</f>
        <v/>
      </c>
      <c r="BV152" s="93" t="str" cm="1">
        <f t="array" ref="BV152">_xlfn.LET(
  _xlpm.w, BV$11,
  _xlpm.r, MATCH(1,('3. Enter Indicator Scores'!$B$10:$B$161=$B152)*('3. Enter Indicator Scores'!$C$10:$C$161=$C152),0),
  _xlpm.c, MATCH(BV$8,'3. Enter Indicator Scores'!$D$8:$CZ$8,0),
  _xlpm.v, IFERROR(INDEX('3. Enter Indicator Scores'!$D$10:$CZ$161,_xlpm.r,_xlpm.c),""),
  IF(OR(_xlpm.w="",_xlpm.v=""),"",_xlpm.v*_xlpm.w)
)</f>
        <v/>
      </c>
      <c r="BW152" s="93" t="str" cm="1">
        <f t="array" ref="BW152">_xlfn.LET(
  _xlpm.w, BW$11,
  _xlpm.r, MATCH(1,('3. Enter Indicator Scores'!$B$10:$B$161=$B152)*('3. Enter Indicator Scores'!$C$10:$C$161=$C152),0),
  _xlpm.c, MATCH(BW$8,'3. Enter Indicator Scores'!$D$8:$CZ$8,0),
  _xlpm.v, IFERROR(INDEX('3. Enter Indicator Scores'!$D$10:$CZ$161,_xlpm.r,_xlpm.c),""),
  IF(OR(_xlpm.w="",_xlpm.v=""),"",_xlpm.v*_xlpm.w)
)</f>
        <v/>
      </c>
      <c r="BX152" s="93" t="str" cm="1">
        <f t="array" ref="BX152">_xlfn.LET(
  _xlpm.w, BX$11,
  _xlpm.r, MATCH(1,('3. Enter Indicator Scores'!$B$10:$B$161=$B152)*('3. Enter Indicator Scores'!$C$10:$C$161=$C152),0),
  _xlpm.c, MATCH(BX$8,'3. Enter Indicator Scores'!$D$8:$CZ$8,0),
  _xlpm.v, IFERROR(INDEX('3. Enter Indicator Scores'!$D$10:$CZ$161,_xlpm.r,_xlpm.c),""),
  IF(OR(_xlpm.w="",_xlpm.v=""),"",_xlpm.v*_xlpm.w)
)</f>
        <v/>
      </c>
      <c r="BY152" s="93" t="str" cm="1">
        <f t="array" ref="BY152">_xlfn.LET(
  _xlpm.w, BY$11,
  _xlpm.r, MATCH(1,('3. Enter Indicator Scores'!$B$10:$B$161=$B152)*('3. Enter Indicator Scores'!$C$10:$C$161=$C152),0),
  _xlpm.c, MATCH(BY$8,'3. Enter Indicator Scores'!$D$8:$CZ$8,0),
  _xlpm.v, IFERROR(INDEX('3. Enter Indicator Scores'!$D$10:$CZ$161,_xlpm.r,_xlpm.c),""),
  IF(OR(_xlpm.w="",_xlpm.v=""),"",_xlpm.v*_xlpm.w)
)</f>
        <v/>
      </c>
      <c r="BZ152" s="93" t="str" cm="1">
        <f t="array" ref="BZ152">_xlfn.LET(
  _xlpm.w, BZ$11,
  _xlpm.r, MATCH(1,('3. Enter Indicator Scores'!$B$10:$B$161=$B152)*('3. Enter Indicator Scores'!$C$10:$C$161=$C152),0),
  _xlpm.c, MATCH(BZ$8,'3. Enter Indicator Scores'!$D$8:$CZ$8,0),
  _xlpm.v, IFERROR(INDEX('3. Enter Indicator Scores'!$D$10:$CZ$161,_xlpm.r,_xlpm.c),""),
  IF(OR(_xlpm.w="",_xlpm.v=""),"",_xlpm.v*_xlpm.w)
)</f>
        <v/>
      </c>
      <c r="CA152" s="93" t="str" cm="1">
        <f t="array" ref="CA152">_xlfn.LET(
  _xlpm.w, CA$11,
  _xlpm.r, MATCH(1,('3. Enter Indicator Scores'!$B$10:$B$161=$B152)*('3. Enter Indicator Scores'!$C$10:$C$161=$C152),0),
  _xlpm.c, MATCH(CA$8,'3. Enter Indicator Scores'!$D$8:$CZ$8,0),
  _xlpm.v, IFERROR(INDEX('3. Enter Indicator Scores'!$D$10:$CZ$161,_xlpm.r,_xlpm.c),""),
  IF(OR(_xlpm.w="",_xlpm.v=""),"",_xlpm.v*_xlpm.w)
)</f>
        <v/>
      </c>
      <c r="CB152" s="93" t="str" cm="1">
        <f t="array" ref="CB152">_xlfn.LET(
  _xlpm.w, CB$11,
  _xlpm.r, MATCH(1,('3. Enter Indicator Scores'!$B$10:$B$161=$B152)*('3. Enter Indicator Scores'!$C$10:$C$161=$C152),0),
  _xlpm.c, MATCH(CB$8,'3. Enter Indicator Scores'!$D$8:$CZ$8,0),
  _xlpm.v, IFERROR(INDEX('3. Enter Indicator Scores'!$D$10:$CZ$161,_xlpm.r,_xlpm.c),""),
  IF(OR(_xlpm.w="",_xlpm.v=""),"",_xlpm.v*_xlpm.w)
)</f>
        <v/>
      </c>
      <c r="CC152" s="93" t="str" cm="1">
        <f t="array" ref="CC152">_xlfn.LET(
  _xlpm.w, CC$11,
  _xlpm.r, MATCH(1,('3. Enter Indicator Scores'!$B$10:$B$161=$B152)*('3. Enter Indicator Scores'!$C$10:$C$161=$C152),0),
  _xlpm.c, MATCH(CC$8,'3. Enter Indicator Scores'!$D$8:$CZ$8,0),
  _xlpm.v, IFERROR(INDEX('3. Enter Indicator Scores'!$D$10:$CZ$161,_xlpm.r,_xlpm.c),""),
  IF(OR(_xlpm.w="",_xlpm.v=""),"",_xlpm.v*_xlpm.w)
)</f>
        <v/>
      </c>
      <c r="CD152" s="93" t="str" cm="1">
        <f t="array" ref="CD152">_xlfn.LET(
  _xlpm.w, CD$11,
  _xlpm.r, MATCH(1,('3. Enter Indicator Scores'!$B$10:$B$161=$B152)*('3. Enter Indicator Scores'!$C$10:$C$161=$C152),0),
  _xlpm.c, MATCH(CD$8,'3. Enter Indicator Scores'!$D$8:$CZ$8,0),
  _xlpm.v, IFERROR(INDEX('3. Enter Indicator Scores'!$D$10:$CZ$161,_xlpm.r,_xlpm.c),""),
  IF(OR(_xlpm.w="",_xlpm.v=""),"",_xlpm.v*_xlpm.w)
)</f>
        <v/>
      </c>
      <c r="CE152" s="93" t="str" cm="1">
        <f t="array" ref="CE152">_xlfn.LET(
  _xlpm.w, CE$11,
  _xlpm.r, MATCH(1,('3. Enter Indicator Scores'!$B$10:$B$161=$B152)*('3. Enter Indicator Scores'!$C$10:$C$161=$C152),0),
  _xlpm.c, MATCH(CE$8,'3. Enter Indicator Scores'!$D$8:$CZ$8,0),
  _xlpm.v, IFERROR(INDEX('3. Enter Indicator Scores'!$D$10:$CZ$161,_xlpm.r,_xlpm.c),""),
  IF(OR(_xlpm.w="",_xlpm.v=""),"",_xlpm.v*_xlpm.w)
)</f>
        <v/>
      </c>
      <c r="CF152" s="93" t="str" cm="1">
        <f t="array" ref="CF152">_xlfn.LET(
  _xlpm.w, CF$11,
  _xlpm.r, MATCH(1,('3. Enter Indicator Scores'!$B$10:$B$161=$B152)*('3. Enter Indicator Scores'!$C$10:$C$161=$C152),0),
  _xlpm.c, MATCH(CF$8,'3. Enter Indicator Scores'!$D$8:$CZ$8,0),
  _xlpm.v, IFERROR(INDEX('3. Enter Indicator Scores'!$D$10:$CZ$161,_xlpm.r,_xlpm.c),""),
  IF(OR(_xlpm.w="",_xlpm.v=""),"",_xlpm.v*_xlpm.w)
)</f>
        <v/>
      </c>
      <c r="CG152" s="93" t="str" cm="1">
        <f t="array" ref="CG152">_xlfn.LET(
  _xlpm.w, CG$11,
  _xlpm.r, MATCH(1,('3. Enter Indicator Scores'!$B$10:$B$161=$B152)*('3. Enter Indicator Scores'!$C$10:$C$161=$C152),0),
  _xlpm.c, MATCH(CG$8,'3. Enter Indicator Scores'!$D$8:$CZ$8,0),
  _xlpm.v, IFERROR(INDEX('3. Enter Indicator Scores'!$D$10:$CZ$161,_xlpm.r,_xlpm.c),""),
  IF(OR(_xlpm.w="",_xlpm.v=""),"",_xlpm.v*_xlpm.w)
)</f>
        <v/>
      </c>
      <c r="CH152" s="93" t="str" cm="1">
        <f t="array" ref="CH152">_xlfn.LET(
  _xlpm.w, CH$11,
  _xlpm.r, MATCH(1,('3. Enter Indicator Scores'!$B$10:$B$161=$B152)*('3. Enter Indicator Scores'!$C$10:$C$161=$C152),0),
  _xlpm.c, MATCH(CH$8,'3. Enter Indicator Scores'!$D$8:$CZ$8,0),
  _xlpm.v, IFERROR(INDEX('3. Enter Indicator Scores'!$D$10:$CZ$161,_xlpm.r,_xlpm.c),""),
  IF(OR(_xlpm.w="",_xlpm.v=""),"",_xlpm.v*_xlpm.w)
)</f>
        <v/>
      </c>
      <c r="CI152" s="93" t="str" cm="1">
        <f t="array" ref="CI152">_xlfn.LET(
  _xlpm.w, CI$11,
  _xlpm.r, MATCH(1,('3. Enter Indicator Scores'!$B$10:$B$161=$B152)*('3. Enter Indicator Scores'!$C$10:$C$161=$C152),0),
  _xlpm.c, MATCH(CI$8,'3. Enter Indicator Scores'!$D$8:$CZ$8,0),
  _xlpm.v, IFERROR(INDEX('3. Enter Indicator Scores'!$D$10:$CZ$161,_xlpm.r,_xlpm.c),""),
  IF(OR(_xlpm.w="",_xlpm.v=""),"",_xlpm.v*_xlpm.w)
)</f>
        <v/>
      </c>
      <c r="CJ152" s="93" t="str" cm="1">
        <f t="array" ref="CJ152">_xlfn.LET(
  _xlpm.w, CJ$11,
  _xlpm.r, MATCH(1,('3. Enter Indicator Scores'!$B$10:$B$161=$B152)*('3. Enter Indicator Scores'!$C$10:$C$161=$C152),0),
  _xlpm.c, MATCH(CJ$8,'3. Enter Indicator Scores'!$D$8:$CZ$8,0),
  _xlpm.v, IFERROR(INDEX('3. Enter Indicator Scores'!$D$10:$CZ$161,_xlpm.r,_xlpm.c),""),
  IF(OR(_xlpm.w="",_xlpm.v=""),"",_xlpm.v*_xlpm.w)
)</f>
        <v/>
      </c>
      <c r="CK152" s="93" t="str" cm="1">
        <f t="array" ref="CK152">_xlfn.LET(
  _xlpm.w, CK$11,
  _xlpm.r, MATCH(1,('3. Enter Indicator Scores'!$B$10:$B$161=$B152)*('3. Enter Indicator Scores'!$C$10:$C$161=$C152),0),
  _xlpm.c, MATCH(CK$8,'3. Enter Indicator Scores'!$D$8:$CZ$8,0),
  _xlpm.v, IFERROR(INDEX('3. Enter Indicator Scores'!$D$10:$CZ$161,_xlpm.r,_xlpm.c),""),
  IF(OR(_xlpm.w="",_xlpm.v=""),"",_xlpm.v*_xlpm.w)
)</f>
        <v/>
      </c>
      <c r="CL152" s="93" t="str" cm="1">
        <f t="array" ref="CL152">_xlfn.LET(
  _xlpm.w, CL$11,
  _xlpm.r, MATCH(1,('3. Enter Indicator Scores'!$B$10:$B$161=$B152)*('3. Enter Indicator Scores'!$C$10:$C$161=$C152),0),
  _xlpm.c, MATCH(CL$8,'3. Enter Indicator Scores'!$D$8:$CZ$8,0),
  _xlpm.v, IFERROR(INDEX('3. Enter Indicator Scores'!$D$10:$CZ$161,_xlpm.r,_xlpm.c),""),
  IF(OR(_xlpm.w="",_xlpm.v=""),"",_xlpm.v*_xlpm.w)
)</f>
        <v/>
      </c>
      <c r="CM152" s="93" t="str" cm="1">
        <f t="array" ref="CM152">_xlfn.LET(
  _xlpm.w, CM$11,
  _xlpm.r, MATCH(1,('3. Enter Indicator Scores'!$B$10:$B$161=$B152)*('3. Enter Indicator Scores'!$C$10:$C$161=$C152),0),
  _xlpm.c, MATCH(CM$8,'3. Enter Indicator Scores'!$D$8:$CZ$8,0),
  _xlpm.v, IFERROR(INDEX('3. Enter Indicator Scores'!$D$10:$CZ$161,_xlpm.r,_xlpm.c),""),
  IF(OR(_xlpm.w="",_xlpm.v=""),"",_xlpm.v*_xlpm.w)
)</f>
        <v/>
      </c>
      <c r="CN152" s="93" t="str" cm="1">
        <f t="array" ref="CN152">_xlfn.LET(
  _xlpm.w, CN$11,
  _xlpm.r, MATCH(1,('3. Enter Indicator Scores'!$B$10:$B$161=$B152)*('3. Enter Indicator Scores'!$C$10:$C$161=$C152),0),
  _xlpm.c, MATCH(CN$8,'3. Enter Indicator Scores'!$D$8:$CZ$8,0),
  _xlpm.v, IFERROR(INDEX('3. Enter Indicator Scores'!$D$10:$CZ$161,_xlpm.r,_xlpm.c),""),
  IF(OR(_xlpm.w="",_xlpm.v=""),"",_xlpm.v*_xlpm.w)
)</f>
        <v/>
      </c>
      <c r="CO152" s="93" t="str" cm="1">
        <f t="array" ref="CO152">_xlfn.LET(
  _xlpm.w, CO$11,
  _xlpm.r, MATCH(1,('3. Enter Indicator Scores'!$B$10:$B$161=$B152)*('3. Enter Indicator Scores'!$C$10:$C$161=$C152),0),
  _xlpm.c, MATCH(CO$8,'3. Enter Indicator Scores'!$D$8:$CZ$8,0),
  _xlpm.v, IFERROR(INDEX('3. Enter Indicator Scores'!$D$10:$CZ$161,_xlpm.r,_xlpm.c),""),
  IF(OR(_xlpm.w="",_xlpm.v=""),"",_xlpm.v*_xlpm.w)
)</f>
        <v/>
      </c>
      <c r="CP152" s="93" t="str" cm="1">
        <f t="array" ref="CP152">_xlfn.LET(
  _xlpm.w, CP$11,
  _xlpm.r, MATCH(1,('3. Enter Indicator Scores'!$B$10:$B$161=$B152)*('3. Enter Indicator Scores'!$C$10:$C$161=$C152),0),
  _xlpm.c, MATCH(CP$8,'3. Enter Indicator Scores'!$D$8:$CZ$8,0),
  _xlpm.v, IFERROR(INDEX('3. Enter Indicator Scores'!$D$10:$CZ$161,_xlpm.r,_xlpm.c),""),
  IF(OR(_xlpm.w="",_xlpm.v=""),"",_xlpm.v*_xlpm.w)
)</f>
        <v/>
      </c>
      <c r="CQ152" s="93" t="str" cm="1">
        <f t="array" ref="CQ152">_xlfn.LET(
  _xlpm.w, CQ$11,
  _xlpm.r, MATCH(1,('3. Enter Indicator Scores'!$B$10:$B$161=$B152)*('3. Enter Indicator Scores'!$C$10:$C$161=$C152),0),
  _xlpm.c, MATCH(CQ$8,'3. Enter Indicator Scores'!$D$8:$CZ$8,0),
  _xlpm.v, IFERROR(INDEX('3. Enter Indicator Scores'!$D$10:$CZ$161,_xlpm.r,_xlpm.c),""),
  IF(OR(_xlpm.w="",_xlpm.v=""),"",_xlpm.v*_xlpm.w)
)</f>
        <v/>
      </c>
      <c r="CR152" s="93" t="str" cm="1">
        <f t="array" ref="CR152">_xlfn.LET(
  _xlpm.w, CR$11,
  _xlpm.r, MATCH(1,('3. Enter Indicator Scores'!$B$10:$B$161=$B152)*('3. Enter Indicator Scores'!$C$10:$C$161=$C152),0),
  _xlpm.c, MATCH(CR$8,'3. Enter Indicator Scores'!$D$8:$CZ$8,0),
  _xlpm.v, IFERROR(INDEX('3. Enter Indicator Scores'!$D$10:$CZ$161,_xlpm.r,_xlpm.c),""),
  IF(OR(_xlpm.w="",_xlpm.v=""),"",_xlpm.v*_xlpm.w)
)</f>
        <v/>
      </c>
      <c r="CS152" s="93" t="str" cm="1">
        <f t="array" ref="CS152">_xlfn.LET(
  _xlpm.w, CS$11,
  _xlpm.r, MATCH(1,('3. Enter Indicator Scores'!$B$10:$B$161=$B152)*('3. Enter Indicator Scores'!$C$10:$C$161=$C152),0),
  _xlpm.c, MATCH(CS$8,'3. Enter Indicator Scores'!$D$8:$CZ$8,0),
  _xlpm.v, IFERROR(INDEX('3. Enter Indicator Scores'!$D$10:$CZ$161,_xlpm.r,_xlpm.c),""),
  IF(OR(_xlpm.w="",_xlpm.v=""),"",_xlpm.v*_xlpm.w)
)</f>
        <v/>
      </c>
      <c r="CT152" s="93" t="str" cm="1">
        <f t="array" ref="CT152">_xlfn.LET(
  _xlpm.w, CT$11,
  _xlpm.r, MATCH(1,('3. Enter Indicator Scores'!$B$10:$B$161=$B152)*('3. Enter Indicator Scores'!$C$10:$C$161=$C152),0),
  _xlpm.c, MATCH(CT$8,'3. Enter Indicator Scores'!$D$8:$CZ$8,0),
  _xlpm.v, IFERROR(INDEX('3. Enter Indicator Scores'!$D$10:$CZ$161,_xlpm.r,_xlpm.c),""),
  IF(OR(_xlpm.w="",_xlpm.v=""),"",_xlpm.v*_xlpm.w)
)</f>
        <v/>
      </c>
      <c r="CU152" s="93" t="str" cm="1">
        <f t="array" ref="CU152">_xlfn.LET(
  _xlpm.w, CU$11,
  _xlpm.r, MATCH(1,('3. Enter Indicator Scores'!$B$10:$B$161=$B152)*('3. Enter Indicator Scores'!$C$10:$C$161=$C152),0),
  _xlpm.c, MATCH(CU$8,'3. Enter Indicator Scores'!$D$8:$CZ$8,0),
  _xlpm.v, IFERROR(INDEX('3. Enter Indicator Scores'!$D$10:$CZ$161,_xlpm.r,_xlpm.c),""),
  IF(OR(_xlpm.w="",_xlpm.v=""),"",_xlpm.v*_xlpm.w)
)</f>
        <v/>
      </c>
      <c r="CV152" s="93" t="str" cm="1">
        <f t="array" ref="CV152">_xlfn.LET(
  _xlpm.w, CV$11,
  _xlpm.r, MATCH(1,('3. Enter Indicator Scores'!$B$10:$B$161=$B152)*('3. Enter Indicator Scores'!$C$10:$C$161=$C152),0),
  _xlpm.c, MATCH(CV$8,'3. Enter Indicator Scores'!$D$8:$CZ$8,0),
  _xlpm.v, IFERROR(INDEX('3. Enter Indicator Scores'!$D$10:$CZ$161,_xlpm.r,_xlpm.c),""),
  IF(OR(_xlpm.w="",_xlpm.v=""),"",_xlpm.v*_xlpm.w)
)</f>
        <v/>
      </c>
      <c r="CW152" s="93" t="str" cm="1">
        <f t="array" ref="CW152">_xlfn.LET(
  _xlpm.w, CW$11,
  _xlpm.r, MATCH(1,('3. Enter Indicator Scores'!$B$10:$B$161=$B152)*('3. Enter Indicator Scores'!$C$10:$C$161=$C152),0),
  _xlpm.c, MATCH(CW$8,'3. Enter Indicator Scores'!$D$8:$CZ$8,0),
  _xlpm.v, IFERROR(INDEX('3. Enter Indicator Scores'!$D$10:$CZ$161,_xlpm.r,_xlpm.c),""),
  IF(OR(_xlpm.w="",_xlpm.v=""),"",_xlpm.v*_xlpm.w)
)</f>
        <v/>
      </c>
      <c r="CX152" s="93" t="str" cm="1">
        <f t="array" ref="CX152">_xlfn.LET(
  _xlpm.w, CX$11,
  _xlpm.r, MATCH(1,('3. Enter Indicator Scores'!$B$10:$B$161=$B152)*('3. Enter Indicator Scores'!$C$10:$C$161=$C152),0),
  _xlpm.c, MATCH(CX$8,'3. Enter Indicator Scores'!$D$8:$CZ$8,0),
  _xlpm.v, IFERROR(INDEX('3. Enter Indicator Scores'!$D$10:$CZ$161,_xlpm.r,_xlpm.c),""),
  IF(OR(_xlpm.w="",_xlpm.v=""),"",_xlpm.v*_xlpm.w)
)</f>
        <v/>
      </c>
      <c r="CY152" s="93" t="str" cm="1">
        <f t="array" ref="CY152">_xlfn.LET(
  _xlpm.w, CY$11,
  _xlpm.r, MATCH(1,('3. Enter Indicator Scores'!$B$10:$B$161=$B152)*('3. Enter Indicator Scores'!$C$10:$C$161=$C152),0),
  _xlpm.c, MATCH(CY$8,'3. Enter Indicator Scores'!$D$8:$CZ$8,0),
  _xlpm.v, IFERROR(INDEX('3. Enter Indicator Scores'!$D$10:$CZ$161,_xlpm.r,_xlpm.c),""),
  IF(OR(_xlpm.w="",_xlpm.v=""),"",_xlpm.v*_xlpm.w)
)</f>
        <v/>
      </c>
      <c r="CZ152" s="93" t="str" cm="1">
        <f t="array" ref="CZ152">_xlfn.LET(
  _xlpm.w, CZ$11,
  _xlpm.r, MATCH(1,('3. Enter Indicator Scores'!$B$10:$B$161=$B152)*('3. Enter Indicator Scores'!$C$10:$C$161=$C152),0),
  _xlpm.c, MATCH(CZ$8,'3. Enter Indicator Scores'!$D$8:$CZ$8,0),
  _xlpm.v, IFERROR(INDEX('3. Enter Indicator Scores'!$D$10:$CZ$161,_xlpm.r,_xlpm.c),""),
  IF(OR(_xlpm.w="",_xlpm.v=""),"",_xlpm.v*_xlpm.w)
)</f>
        <v/>
      </c>
    </row>
    <row r="153" spans="4:104" x14ac:dyDescent="0.2">
      <c r="D153" s="93" t="str" cm="1">
        <f t="array" ref="D153">_xlfn.LET(
  _xlpm.w, D$11,
  _xlpm.r, MATCH(1,('3. Enter Indicator Scores'!$B$10:$B$161=$B153)*('3. Enter Indicator Scores'!$C$10:$C$161=$C153),0),
  _xlpm.c, MATCH(D$8,'3. Enter Indicator Scores'!$D$8:$CZ$8,0),
  _xlpm.v, IFERROR(INDEX('3. Enter Indicator Scores'!$D$10:$CZ$161,_xlpm.r,_xlpm.c),""),
  IF(OR(_xlpm.w="",_xlpm.v=""),"",_xlpm.v*_xlpm.w)
)</f>
        <v/>
      </c>
      <c r="E153" s="93" t="str" cm="1">
        <f t="array" ref="E153">_xlfn.LET(
  _xlpm.w, E$11,
  _xlpm.r, MATCH(1,('3. Enter Indicator Scores'!$B$10:$B$161=$B153)*('3. Enter Indicator Scores'!$C$10:$C$161=$C153),0),
  _xlpm.c, MATCH(E$8,'3. Enter Indicator Scores'!$D$8:$CZ$8,0),
  _xlpm.v, IFERROR(INDEX('3. Enter Indicator Scores'!$D$10:$CZ$161,_xlpm.r,_xlpm.c),""),
  IF(OR(_xlpm.w="",_xlpm.v=""),"",_xlpm.v*_xlpm.w)
)</f>
        <v/>
      </c>
      <c r="F153" s="93" t="str" cm="1">
        <f t="array" ref="F153">_xlfn.LET(
  _xlpm.w, F$11,
  _xlpm.r, MATCH(1,('3. Enter Indicator Scores'!$B$10:$B$161=$B153)*('3. Enter Indicator Scores'!$C$10:$C$161=$C153),0),
  _xlpm.c, MATCH(F$8,'3. Enter Indicator Scores'!$D$8:$CZ$8,0),
  _xlpm.v, IFERROR(INDEX('3. Enter Indicator Scores'!$D$10:$CZ$161,_xlpm.r,_xlpm.c),""),
  IF(OR(_xlpm.w="",_xlpm.v=""),"",_xlpm.v*_xlpm.w)
)</f>
        <v/>
      </c>
      <c r="G153" s="93" t="str" cm="1">
        <f t="array" ref="G153">_xlfn.LET(
  _xlpm.w, G$11,
  _xlpm.r, MATCH(1,('3. Enter Indicator Scores'!$B$10:$B$161=$B153)*('3. Enter Indicator Scores'!$C$10:$C$161=$C153),0),
  _xlpm.c, MATCH(G$8,'3. Enter Indicator Scores'!$D$8:$CZ$8,0),
  _xlpm.v, IFERROR(INDEX('3. Enter Indicator Scores'!$D$10:$CZ$161,_xlpm.r,_xlpm.c),""),
  IF(OR(_xlpm.w="",_xlpm.v=""),"",_xlpm.v*_xlpm.w)
)</f>
        <v/>
      </c>
      <c r="H153" s="93" t="str" cm="1">
        <f t="array" ref="H153">_xlfn.LET(
  _xlpm.w, H$11,
  _xlpm.r, MATCH(1,('3. Enter Indicator Scores'!$B$10:$B$161=$B153)*('3. Enter Indicator Scores'!$C$10:$C$161=$C153),0),
  _xlpm.c, MATCH(H$8,'3. Enter Indicator Scores'!$D$8:$CZ$8,0),
  _xlpm.v, IFERROR(INDEX('3. Enter Indicator Scores'!$D$10:$CZ$161,_xlpm.r,_xlpm.c),""),
  IF(OR(_xlpm.w="",_xlpm.v=""),"",_xlpm.v*_xlpm.w)
)</f>
        <v/>
      </c>
      <c r="I153" s="93" t="str" cm="1">
        <f t="array" ref="I153">_xlfn.LET(
  _xlpm.w, I$11,
  _xlpm.r, MATCH(1,('3. Enter Indicator Scores'!$B$10:$B$161=$B153)*('3. Enter Indicator Scores'!$C$10:$C$161=$C153),0),
  _xlpm.c, MATCH(I$8,'3. Enter Indicator Scores'!$D$8:$CZ$8,0),
  _xlpm.v, IFERROR(INDEX('3. Enter Indicator Scores'!$D$10:$CZ$161,_xlpm.r,_xlpm.c),""),
  IF(OR(_xlpm.w="",_xlpm.v=""),"",_xlpm.v*_xlpm.w)
)</f>
        <v/>
      </c>
      <c r="J153" s="93" t="str" cm="1">
        <f t="array" ref="J153">_xlfn.LET(
  _xlpm.w, J$11,
  _xlpm.r, MATCH(1,('3. Enter Indicator Scores'!$B$10:$B$161=$B153)*('3. Enter Indicator Scores'!$C$10:$C$161=$C153),0),
  _xlpm.c, MATCH(J$8,'3. Enter Indicator Scores'!$D$8:$CZ$8,0),
  _xlpm.v, IFERROR(INDEX('3. Enter Indicator Scores'!$D$10:$CZ$161,_xlpm.r,_xlpm.c),""),
  IF(OR(_xlpm.w="",_xlpm.v=""),"",_xlpm.v*_xlpm.w)
)</f>
        <v/>
      </c>
      <c r="K153" s="93" t="str" cm="1">
        <f t="array" ref="K153">_xlfn.LET(
  _xlpm.w, K$11,
  _xlpm.r, MATCH(1,('3. Enter Indicator Scores'!$B$10:$B$161=$B153)*('3. Enter Indicator Scores'!$C$10:$C$161=$C153),0),
  _xlpm.c, MATCH(K$8,'3. Enter Indicator Scores'!$D$8:$CZ$8,0),
  _xlpm.v, IFERROR(INDEX('3. Enter Indicator Scores'!$D$10:$CZ$161,_xlpm.r,_xlpm.c),""),
  IF(OR(_xlpm.w="",_xlpm.v=""),"",_xlpm.v*_xlpm.w)
)</f>
        <v/>
      </c>
      <c r="L153" s="93" t="str" cm="1">
        <f t="array" ref="L153">_xlfn.LET(
  _xlpm.w, L$11,
  _xlpm.r, MATCH(1,('3. Enter Indicator Scores'!$B$10:$B$161=$B153)*('3. Enter Indicator Scores'!$C$10:$C$161=$C153),0),
  _xlpm.c, MATCH(L$8,'3. Enter Indicator Scores'!$D$8:$CZ$8,0),
  _xlpm.v, IFERROR(INDEX('3. Enter Indicator Scores'!$D$10:$CZ$161,_xlpm.r,_xlpm.c),""),
  IF(OR(_xlpm.w="",_xlpm.v=""),"",_xlpm.v*_xlpm.w)
)</f>
        <v/>
      </c>
      <c r="M153" s="93" t="str" cm="1">
        <f t="array" ref="M153">_xlfn.LET(
  _xlpm.w, M$11,
  _xlpm.r, MATCH(1,('3. Enter Indicator Scores'!$B$10:$B$161=$B153)*('3. Enter Indicator Scores'!$C$10:$C$161=$C153),0),
  _xlpm.c, MATCH(M$8,'3. Enter Indicator Scores'!$D$8:$CZ$8,0),
  _xlpm.v, IFERROR(INDEX('3. Enter Indicator Scores'!$D$10:$CZ$161,_xlpm.r,_xlpm.c),""),
  IF(OR(_xlpm.w="",_xlpm.v=""),"",_xlpm.v*_xlpm.w)
)</f>
        <v/>
      </c>
      <c r="N153" s="93" t="str" cm="1">
        <f t="array" ref="N153">_xlfn.LET(
  _xlpm.w, N$11,
  _xlpm.r, MATCH(1,('3. Enter Indicator Scores'!$B$10:$B$161=$B153)*('3. Enter Indicator Scores'!$C$10:$C$161=$C153),0),
  _xlpm.c, MATCH(N$8,'3. Enter Indicator Scores'!$D$8:$CZ$8,0),
  _xlpm.v, IFERROR(INDEX('3. Enter Indicator Scores'!$D$10:$CZ$161,_xlpm.r,_xlpm.c),""),
  IF(OR(_xlpm.w="",_xlpm.v=""),"",_xlpm.v*_xlpm.w)
)</f>
        <v/>
      </c>
      <c r="O153" s="93" t="str" cm="1">
        <f t="array" ref="O153">_xlfn.LET(
  _xlpm.w, O$11,
  _xlpm.r, MATCH(1,('3. Enter Indicator Scores'!$B$10:$B$161=$B153)*('3. Enter Indicator Scores'!$C$10:$C$161=$C153),0),
  _xlpm.c, MATCH(O$8,'3. Enter Indicator Scores'!$D$8:$CZ$8,0),
  _xlpm.v, IFERROR(INDEX('3. Enter Indicator Scores'!$D$10:$CZ$161,_xlpm.r,_xlpm.c),""),
  IF(OR(_xlpm.w="",_xlpm.v=""),"",_xlpm.v*_xlpm.w)
)</f>
        <v/>
      </c>
      <c r="P153" s="93" t="str" cm="1">
        <f t="array" ref="P153">_xlfn.LET(
  _xlpm.w, P$11,
  _xlpm.r, MATCH(1,('3. Enter Indicator Scores'!$B$10:$B$161=$B153)*('3. Enter Indicator Scores'!$C$10:$C$161=$C153),0),
  _xlpm.c, MATCH(P$8,'3. Enter Indicator Scores'!$D$8:$CZ$8,0),
  _xlpm.v, IFERROR(INDEX('3. Enter Indicator Scores'!$D$10:$CZ$161,_xlpm.r,_xlpm.c),""),
  IF(OR(_xlpm.w="",_xlpm.v=""),"",_xlpm.v*_xlpm.w)
)</f>
        <v/>
      </c>
      <c r="Q153" s="93" t="str" cm="1">
        <f t="array" ref="Q153">_xlfn.LET(
  _xlpm.w, Q$11,
  _xlpm.r, MATCH(1,('3. Enter Indicator Scores'!$B$10:$B$161=$B153)*('3. Enter Indicator Scores'!$C$10:$C$161=$C153),0),
  _xlpm.c, MATCH(Q$8,'3. Enter Indicator Scores'!$D$8:$CZ$8,0),
  _xlpm.v, IFERROR(INDEX('3. Enter Indicator Scores'!$D$10:$CZ$161,_xlpm.r,_xlpm.c),""),
  IF(OR(_xlpm.w="",_xlpm.v=""),"",_xlpm.v*_xlpm.w)
)</f>
        <v/>
      </c>
      <c r="R153" s="93" t="str" cm="1">
        <f t="array" ref="R153">_xlfn.LET(
  _xlpm.w, R$11,
  _xlpm.r, MATCH(1,('3. Enter Indicator Scores'!$B$10:$B$161=$B153)*('3. Enter Indicator Scores'!$C$10:$C$161=$C153),0),
  _xlpm.c, MATCH(R$8,'3. Enter Indicator Scores'!$D$8:$CZ$8,0),
  _xlpm.v, IFERROR(INDEX('3. Enter Indicator Scores'!$D$10:$CZ$161,_xlpm.r,_xlpm.c),""),
  IF(OR(_xlpm.w="",_xlpm.v=""),"",_xlpm.v*_xlpm.w)
)</f>
        <v/>
      </c>
      <c r="S153" s="93" t="str" cm="1">
        <f t="array" ref="S153">_xlfn.LET(
  _xlpm.w, S$11,
  _xlpm.r, MATCH(1,('3. Enter Indicator Scores'!$B$10:$B$161=$B153)*('3. Enter Indicator Scores'!$C$10:$C$161=$C153),0),
  _xlpm.c, MATCH(S$8,'3. Enter Indicator Scores'!$D$8:$CZ$8,0),
  _xlpm.v, IFERROR(INDEX('3. Enter Indicator Scores'!$D$10:$CZ$161,_xlpm.r,_xlpm.c),""),
  IF(OR(_xlpm.w="",_xlpm.v=""),"",_xlpm.v*_xlpm.w)
)</f>
        <v/>
      </c>
      <c r="T153" s="93" t="str" cm="1">
        <f t="array" ref="T153">_xlfn.LET(
  _xlpm.w, T$11,
  _xlpm.r, MATCH(1,('3. Enter Indicator Scores'!$B$10:$B$161=$B153)*('3. Enter Indicator Scores'!$C$10:$C$161=$C153),0),
  _xlpm.c, MATCH(T$8,'3. Enter Indicator Scores'!$D$8:$CZ$8,0),
  _xlpm.v, IFERROR(INDEX('3. Enter Indicator Scores'!$D$10:$CZ$161,_xlpm.r,_xlpm.c),""),
  IF(OR(_xlpm.w="",_xlpm.v=""),"",_xlpm.v*_xlpm.w)
)</f>
        <v/>
      </c>
      <c r="U153" s="93" t="str" cm="1">
        <f t="array" ref="U153">_xlfn.LET(
  _xlpm.w, U$11,
  _xlpm.r, MATCH(1,('3. Enter Indicator Scores'!$B$10:$B$161=$B153)*('3. Enter Indicator Scores'!$C$10:$C$161=$C153),0),
  _xlpm.c, MATCH(U$8,'3. Enter Indicator Scores'!$D$8:$CZ$8,0),
  _xlpm.v, IFERROR(INDEX('3. Enter Indicator Scores'!$D$10:$CZ$161,_xlpm.r,_xlpm.c),""),
  IF(OR(_xlpm.w="",_xlpm.v=""),"",_xlpm.v*_xlpm.w)
)</f>
        <v/>
      </c>
      <c r="V153" s="93" t="str" cm="1">
        <f t="array" ref="V153">_xlfn.LET(
  _xlpm.w, V$11,
  _xlpm.r, MATCH(1,('3. Enter Indicator Scores'!$B$10:$B$161=$B153)*('3. Enter Indicator Scores'!$C$10:$C$161=$C153),0),
  _xlpm.c, MATCH(V$8,'3. Enter Indicator Scores'!$D$8:$CZ$8,0),
  _xlpm.v, IFERROR(INDEX('3. Enter Indicator Scores'!$D$10:$CZ$161,_xlpm.r,_xlpm.c),""),
  IF(OR(_xlpm.w="",_xlpm.v=""),"",_xlpm.v*_xlpm.w)
)</f>
        <v/>
      </c>
      <c r="W153" s="93" t="str" cm="1">
        <f t="array" ref="W153">_xlfn.LET(
  _xlpm.w, W$11,
  _xlpm.r, MATCH(1,('3. Enter Indicator Scores'!$B$10:$B$161=$B153)*('3. Enter Indicator Scores'!$C$10:$C$161=$C153),0),
  _xlpm.c, MATCH(W$8,'3. Enter Indicator Scores'!$D$8:$CZ$8,0),
  _xlpm.v, IFERROR(INDEX('3. Enter Indicator Scores'!$D$10:$CZ$161,_xlpm.r,_xlpm.c),""),
  IF(OR(_xlpm.w="",_xlpm.v=""),"",_xlpm.v*_xlpm.w)
)</f>
        <v/>
      </c>
      <c r="X153" s="93" t="str" cm="1">
        <f t="array" ref="X153">_xlfn.LET(
  _xlpm.w, X$11,
  _xlpm.r, MATCH(1,('3. Enter Indicator Scores'!$B$10:$B$161=$B153)*('3. Enter Indicator Scores'!$C$10:$C$161=$C153),0),
  _xlpm.c, MATCH(X$8,'3. Enter Indicator Scores'!$D$8:$CZ$8,0),
  _xlpm.v, IFERROR(INDEX('3. Enter Indicator Scores'!$D$10:$CZ$161,_xlpm.r,_xlpm.c),""),
  IF(OR(_xlpm.w="",_xlpm.v=""),"",_xlpm.v*_xlpm.w)
)</f>
        <v/>
      </c>
      <c r="Y153" s="93" t="str" cm="1">
        <f t="array" ref="Y153">_xlfn.LET(
  _xlpm.w, Y$11,
  _xlpm.r, MATCH(1,('3. Enter Indicator Scores'!$B$10:$B$161=$B153)*('3. Enter Indicator Scores'!$C$10:$C$161=$C153),0),
  _xlpm.c, MATCH(Y$8,'3. Enter Indicator Scores'!$D$8:$CZ$8,0),
  _xlpm.v, IFERROR(INDEX('3. Enter Indicator Scores'!$D$10:$CZ$161,_xlpm.r,_xlpm.c),""),
  IF(OR(_xlpm.w="",_xlpm.v=""),"",_xlpm.v*_xlpm.w)
)</f>
        <v/>
      </c>
      <c r="Z153" s="93" t="str" cm="1">
        <f t="array" ref="Z153">_xlfn.LET(
  _xlpm.w, Z$11,
  _xlpm.r, MATCH(1,('3. Enter Indicator Scores'!$B$10:$B$161=$B153)*('3. Enter Indicator Scores'!$C$10:$C$161=$C153),0),
  _xlpm.c, MATCH(Z$8,'3. Enter Indicator Scores'!$D$8:$CZ$8,0),
  _xlpm.v, IFERROR(INDEX('3. Enter Indicator Scores'!$D$10:$CZ$161,_xlpm.r,_xlpm.c),""),
  IF(OR(_xlpm.w="",_xlpm.v=""),"",_xlpm.v*_xlpm.w)
)</f>
        <v/>
      </c>
      <c r="AA153" s="93" t="str" cm="1">
        <f t="array" ref="AA153">_xlfn.LET(
  _xlpm.w, AA$11,
  _xlpm.r, MATCH(1,('3. Enter Indicator Scores'!$B$10:$B$161=$B153)*('3. Enter Indicator Scores'!$C$10:$C$161=$C153),0),
  _xlpm.c, MATCH(AA$8,'3. Enter Indicator Scores'!$D$8:$CZ$8,0),
  _xlpm.v, IFERROR(INDEX('3. Enter Indicator Scores'!$D$10:$CZ$161,_xlpm.r,_xlpm.c),""),
  IF(OR(_xlpm.w="",_xlpm.v=""),"",_xlpm.v*_xlpm.w)
)</f>
        <v/>
      </c>
      <c r="AB153" s="93" t="str" cm="1">
        <f t="array" ref="AB153">_xlfn.LET(
  _xlpm.w, AB$11,
  _xlpm.r, MATCH(1,('3. Enter Indicator Scores'!$B$10:$B$161=$B153)*('3. Enter Indicator Scores'!$C$10:$C$161=$C153),0),
  _xlpm.c, MATCH(AB$8,'3. Enter Indicator Scores'!$D$8:$CZ$8,0),
  _xlpm.v, IFERROR(INDEX('3. Enter Indicator Scores'!$D$10:$CZ$161,_xlpm.r,_xlpm.c),""),
  IF(OR(_xlpm.w="",_xlpm.v=""),"",_xlpm.v*_xlpm.w)
)</f>
        <v/>
      </c>
      <c r="AC153" s="93" t="str" cm="1">
        <f t="array" ref="AC153">_xlfn.LET(
  _xlpm.w, AC$11,
  _xlpm.r, MATCH(1,('3. Enter Indicator Scores'!$B$10:$B$161=$B153)*('3. Enter Indicator Scores'!$C$10:$C$161=$C153),0),
  _xlpm.c, MATCH(AC$8,'3. Enter Indicator Scores'!$D$8:$CZ$8,0),
  _xlpm.v, IFERROR(INDEX('3. Enter Indicator Scores'!$D$10:$CZ$161,_xlpm.r,_xlpm.c),""),
  IF(OR(_xlpm.w="",_xlpm.v=""),"",_xlpm.v*_xlpm.w)
)</f>
        <v/>
      </c>
      <c r="AD153" s="93" t="str" cm="1">
        <f t="array" ref="AD153">_xlfn.LET(
  _xlpm.w, AD$11,
  _xlpm.r, MATCH(1,('3. Enter Indicator Scores'!$B$10:$B$161=$B153)*('3. Enter Indicator Scores'!$C$10:$C$161=$C153),0),
  _xlpm.c, MATCH(AD$8,'3. Enter Indicator Scores'!$D$8:$CZ$8,0),
  _xlpm.v, IFERROR(INDEX('3. Enter Indicator Scores'!$D$10:$CZ$161,_xlpm.r,_xlpm.c),""),
  IF(OR(_xlpm.w="",_xlpm.v=""),"",_xlpm.v*_xlpm.w)
)</f>
        <v/>
      </c>
      <c r="AE153" s="93" t="str" cm="1">
        <f t="array" ref="AE153">_xlfn.LET(
  _xlpm.w, AE$11,
  _xlpm.r, MATCH(1,('3. Enter Indicator Scores'!$B$10:$B$161=$B153)*('3. Enter Indicator Scores'!$C$10:$C$161=$C153),0),
  _xlpm.c, MATCH(AE$8,'3. Enter Indicator Scores'!$D$8:$CZ$8,0),
  _xlpm.v, IFERROR(INDEX('3. Enter Indicator Scores'!$D$10:$CZ$161,_xlpm.r,_xlpm.c),""),
  IF(OR(_xlpm.w="",_xlpm.v=""),"",_xlpm.v*_xlpm.w)
)</f>
        <v/>
      </c>
      <c r="AF153" s="93" t="str" cm="1">
        <f t="array" ref="AF153">_xlfn.LET(
  _xlpm.w, AF$11,
  _xlpm.r, MATCH(1,('3. Enter Indicator Scores'!$B$10:$B$161=$B153)*('3. Enter Indicator Scores'!$C$10:$C$161=$C153),0),
  _xlpm.c, MATCH(AF$8,'3. Enter Indicator Scores'!$D$8:$CZ$8,0),
  _xlpm.v, IFERROR(INDEX('3. Enter Indicator Scores'!$D$10:$CZ$161,_xlpm.r,_xlpm.c),""),
  IF(OR(_xlpm.w="",_xlpm.v=""),"",_xlpm.v*_xlpm.w)
)</f>
        <v/>
      </c>
      <c r="AG153" s="93" t="str" cm="1">
        <f t="array" ref="AG153">_xlfn.LET(
  _xlpm.w, AG$11,
  _xlpm.r, MATCH(1,('3. Enter Indicator Scores'!$B$10:$B$161=$B153)*('3. Enter Indicator Scores'!$C$10:$C$161=$C153),0),
  _xlpm.c, MATCH(AG$8,'3. Enter Indicator Scores'!$D$8:$CZ$8,0),
  _xlpm.v, IFERROR(INDEX('3. Enter Indicator Scores'!$D$10:$CZ$161,_xlpm.r,_xlpm.c),""),
  IF(OR(_xlpm.w="",_xlpm.v=""),"",_xlpm.v*_xlpm.w)
)</f>
        <v/>
      </c>
      <c r="AH153" s="93" t="str" cm="1">
        <f t="array" ref="AH153">_xlfn.LET(
  _xlpm.w, AH$11,
  _xlpm.r, MATCH(1,('3. Enter Indicator Scores'!$B$10:$B$161=$B153)*('3. Enter Indicator Scores'!$C$10:$C$161=$C153),0),
  _xlpm.c, MATCH(AH$8,'3. Enter Indicator Scores'!$D$8:$CZ$8,0),
  _xlpm.v, IFERROR(INDEX('3. Enter Indicator Scores'!$D$10:$CZ$161,_xlpm.r,_xlpm.c),""),
  IF(OR(_xlpm.w="",_xlpm.v=""),"",_xlpm.v*_xlpm.w)
)</f>
        <v/>
      </c>
      <c r="AI153" s="93" t="str" cm="1">
        <f t="array" ref="AI153">_xlfn.LET(
  _xlpm.w, AI$11,
  _xlpm.r, MATCH(1,('3. Enter Indicator Scores'!$B$10:$B$161=$B153)*('3. Enter Indicator Scores'!$C$10:$C$161=$C153),0),
  _xlpm.c, MATCH(AI$8,'3. Enter Indicator Scores'!$D$8:$CZ$8,0),
  _xlpm.v, IFERROR(INDEX('3. Enter Indicator Scores'!$D$10:$CZ$161,_xlpm.r,_xlpm.c),""),
  IF(OR(_xlpm.w="",_xlpm.v=""),"",_xlpm.v*_xlpm.w)
)</f>
        <v/>
      </c>
      <c r="AJ153" s="93" t="str" cm="1">
        <f t="array" ref="AJ153">_xlfn.LET(
  _xlpm.w, AJ$11,
  _xlpm.r, MATCH(1,('3. Enter Indicator Scores'!$B$10:$B$161=$B153)*('3. Enter Indicator Scores'!$C$10:$C$161=$C153),0),
  _xlpm.c, MATCH(AJ$8,'3. Enter Indicator Scores'!$D$8:$CZ$8,0),
  _xlpm.v, IFERROR(INDEX('3. Enter Indicator Scores'!$D$10:$CZ$161,_xlpm.r,_xlpm.c),""),
  IF(OR(_xlpm.w="",_xlpm.v=""),"",_xlpm.v*_xlpm.w)
)</f>
        <v/>
      </c>
      <c r="AK153" s="93" t="str" cm="1">
        <f t="array" ref="AK153">_xlfn.LET(
  _xlpm.w, AK$11,
  _xlpm.r, MATCH(1,('3. Enter Indicator Scores'!$B$10:$B$161=$B153)*('3. Enter Indicator Scores'!$C$10:$C$161=$C153),0),
  _xlpm.c, MATCH(AK$8,'3. Enter Indicator Scores'!$D$8:$CZ$8,0),
  _xlpm.v, IFERROR(INDEX('3. Enter Indicator Scores'!$D$10:$CZ$161,_xlpm.r,_xlpm.c),""),
  IF(OR(_xlpm.w="",_xlpm.v=""),"",_xlpm.v*_xlpm.w)
)</f>
        <v/>
      </c>
      <c r="AL153" s="93" t="str" cm="1">
        <f t="array" ref="AL153">_xlfn.LET(
  _xlpm.w, AL$11,
  _xlpm.r, MATCH(1,('3. Enter Indicator Scores'!$B$10:$B$161=$B153)*('3. Enter Indicator Scores'!$C$10:$C$161=$C153),0),
  _xlpm.c, MATCH(AL$8,'3. Enter Indicator Scores'!$D$8:$CZ$8,0),
  _xlpm.v, IFERROR(INDEX('3. Enter Indicator Scores'!$D$10:$CZ$161,_xlpm.r,_xlpm.c),""),
  IF(OR(_xlpm.w="",_xlpm.v=""),"",_xlpm.v*_xlpm.w)
)</f>
        <v/>
      </c>
      <c r="AM153" s="93" t="str" cm="1">
        <f t="array" ref="AM153">_xlfn.LET(
  _xlpm.w, AM$11,
  _xlpm.r, MATCH(1,('3. Enter Indicator Scores'!$B$10:$B$161=$B153)*('3. Enter Indicator Scores'!$C$10:$C$161=$C153),0),
  _xlpm.c, MATCH(AM$8,'3. Enter Indicator Scores'!$D$8:$CZ$8,0),
  _xlpm.v, IFERROR(INDEX('3. Enter Indicator Scores'!$D$10:$CZ$161,_xlpm.r,_xlpm.c),""),
  IF(OR(_xlpm.w="",_xlpm.v=""),"",_xlpm.v*_xlpm.w)
)</f>
        <v/>
      </c>
      <c r="AN153" s="93" t="str" cm="1">
        <f t="array" ref="AN153">_xlfn.LET(
  _xlpm.w, AN$11,
  _xlpm.r, MATCH(1,('3. Enter Indicator Scores'!$B$10:$B$161=$B153)*('3. Enter Indicator Scores'!$C$10:$C$161=$C153),0),
  _xlpm.c, MATCH(AN$8,'3. Enter Indicator Scores'!$D$8:$CZ$8,0),
  _xlpm.v, IFERROR(INDEX('3. Enter Indicator Scores'!$D$10:$CZ$161,_xlpm.r,_xlpm.c),""),
  IF(OR(_xlpm.w="",_xlpm.v=""),"",_xlpm.v*_xlpm.w)
)</f>
        <v/>
      </c>
      <c r="AO153" s="93" t="str" cm="1">
        <f t="array" ref="AO153">_xlfn.LET(
  _xlpm.w, AO$11,
  _xlpm.r, MATCH(1,('3. Enter Indicator Scores'!$B$10:$B$161=$B153)*('3. Enter Indicator Scores'!$C$10:$C$161=$C153),0),
  _xlpm.c, MATCH(AO$8,'3. Enter Indicator Scores'!$D$8:$CZ$8,0),
  _xlpm.v, IFERROR(INDEX('3. Enter Indicator Scores'!$D$10:$CZ$161,_xlpm.r,_xlpm.c),""),
  IF(OR(_xlpm.w="",_xlpm.v=""),"",_xlpm.v*_xlpm.w)
)</f>
        <v/>
      </c>
      <c r="AP153" s="93" t="str" cm="1">
        <f t="array" ref="AP153">_xlfn.LET(
  _xlpm.w, AP$11,
  _xlpm.r, MATCH(1,('3. Enter Indicator Scores'!$B$10:$B$161=$B153)*('3. Enter Indicator Scores'!$C$10:$C$161=$C153),0),
  _xlpm.c, MATCH(AP$8,'3. Enter Indicator Scores'!$D$8:$CZ$8,0),
  _xlpm.v, IFERROR(INDEX('3. Enter Indicator Scores'!$D$10:$CZ$161,_xlpm.r,_xlpm.c),""),
  IF(OR(_xlpm.w="",_xlpm.v=""),"",_xlpm.v*_xlpm.w)
)</f>
        <v/>
      </c>
      <c r="AQ153" s="93" t="str" cm="1">
        <f t="array" ref="AQ153">_xlfn.LET(
  _xlpm.w, AQ$11,
  _xlpm.r, MATCH(1,('3. Enter Indicator Scores'!$B$10:$B$161=$B153)*('3. Enter Indicator Scores'!$C$10:$C$161=$C153),0),
  _xlpm.c, MATCH(AQ$8,'3. Enter Indicator Scores'!$D$8:$CZ$8,0),
  _xlpm.v, IFERROR(INDEX('3. Enter Indicator Scores'!$D$10:$CZ$161,_xlpm.r,_xlpm.c),""),
  IF(OR(_xlpm.w="",_xlpm.v=""),"",_xlpm.v*_xlpm.w)
)</f>
        <v/>
      </c>
      <c r="AR153" s="93" t="str" cm="1">
        <f t="array" ref="AR153">_xlfn.LET(
  _xlpm.w, AR$11,
  _xlpm.r, MATCH(1,('3. Enter Indicator Scores'!$B$10:$B$161=$B153)*('3. Enter Indicator Scores'!$C$10:$C$161=$C153),0),
  _xlpm.c, MATCH(AR$8,'3. Enter Indicator Scores'!$D$8:$CZ$8,0),
  _xlpm.v, IFERROR(INDEX('3. Enter Indicator Scores'!$D$10:$CZ$161,_xlpm.r,_xlpm.c),""),
  IF(OR(_xlpm.w="",_xlpm.v=""),"",_xlpm.v*_xlpm.w)
)</f>
        <v/>
      </c>
      <c r="AS153" s="93" t="str" cm="1">
        <f t="array" ref="AS153">_xlfn.LET(
  _xlpm.w, AS$11,
  _xlpm.r, MATCH(1,('3. Enter Indicator Scores'!$B$10:$B$161=$B153)*('3. Enter Indicator Scores'!$C$10:$C$161=$C153),0),
  _xlpm.c, MATCH(AS$8,'3. Enter Indicator Scores'!$D$8:$CZ$8,0),
  _xlpm.v, IFERROR(INDEX('3. Enter Indicator Scores'!$D$10:$CZ$161,_xlpm.r,_xlpm.c),""),
  IF(OR(_xlpm.w="",_xlpm.v=""),"",_xlpm.v*_xlpm.w)
)</f>
        <v/>
      </c>
      <c r="AT153" s="93" t="str" cm="1">
        <f t="array" ref="AT153">_xlfn.LET(
  _xlpm.w, AT$11,
  _xlpm.r, MATCH(1,('3. Enter Indicator Scores'!$B$10:$B$161=$B153)*('3. Enter Indicator Scores'!$C$10:$C$161=$C153),0),
  _xlpm.c, MATCH(AT$8,'3. Enter Indicator Scores'!$D$8:$CZ$8,0),
  _xlpm.v, IFERROR(INDEX('3. Enter Indicator Scores'!$D$10:$CZ$161,_xlpm.r,_xlpm.c),""),
  IF(OR(_xlpm.w="",_xlpm.v=""),"",_xlpm.v*_xlpm.w)
)</f>
        <v/>
      </c>
      <c r="AU153" s="93" t="str" cm="1">
        <f t="array" ref="AU153">_xlfn.LET(
  _xlpm.w, AU$11,
  _xlpm.r, MATCH(1,('3. Enter Indicator Scores'!$B$10:$B$161=$B153)*('3. Enter Indicator Scores'!$C$10:$C$161=$C153),0),
  _xlpm.c, MATCH(AU$8,'3. Enter Indicator Scores'!$D$8:$CZ$8,0),
  _xlpm.v, IFERROR(INDEX('3. Enter Indicator Scores'!$D$10:$CZ$161,_xlpm.r,_xlpm.c),""),
  IF(OR(_xlpm.w="",_xlpm.v=""),"",_xlpm.v*_xlpm.w)
)</f>
        <v/>
      </c>
      <c r="AV153" s="93" t="str" cm="1">
        <f t="array" ref="AV153">_xlfn.LET(
  _xlpm.w, AV$11,
  _xlpm.r, MATCH(1,('3. Enter Indicator Scores'!$B$10:$B$161=$B153)*('3. Enter Indicator Scores'!$C$10:$C$161=$C153),0),
  _xlpm.c, MATCH(AV$8,'3. Enter Indicator Scores'!$D$8:$CZ$8,0),
  _xlpm.v, IFERROR(INDEX('3. Enter Indicator Scores'!$D$10:$CZ$161,_xlpm.r,_xlpm.c),""),
  IF(OR(_xlpm.w="",_xlpm.v=""),"",_xlpm.v*_xlpm.w)
)</f>
        <v/>
      </c>
      <c r="AW153" s="93" t="str" cm="1">
        <f t="array" ref="AW153">_xlfn.LET(
  _xlpm.w, AW$11,
  _xlpm.r, MATCH(1,('3. Enter Indicator Scores'!$B$10:$B$161=$B153)*('3. Enter Indicator Scores'!$C$10:$C$161=$C153),0),
  _xlpm.c, MATCH(AW$8,'3. Enter Indicator Scores'!$D$8:$CZ$8,0),
  _xlpm.v, IFERROR(INDEX('3. Enter Indicator Scores'!$D$10:$CZ$161,_xlpm.r,_xlpm.c),""),
  IF(OR(_xlpm.w="",_xlpm.v=""),"",_xlpm.v*_xlpm.w)
)</f>
        <v/>
      </c>
      <c r="AX153" s="93" t="str" cm="1">
        <f t="array" ref="AX153">_xlfn.LET(
  _xlpm.w, AX$11,
  _xlpm.r, MATCH(1,('3. Enter Indicator Scores'!$B$10:$B$161=$B153)*('3. Enter Indicator Scores'!$C$10:$C$161=$C153),0),
  _xlpm.c, MATCH(AX$8,'3. Enter Indicator Scores'!$D$8:$CZ$8,0),
  _xlpm.v, IFERROR(INDEX('3. Enter Indicator Scores'!$D$10:$CZ$161,_xlpm.r,_xlpm.c),""),
  IF(OR(_xlpm.w="",_xlpm.v=""),"",_xlpm.v*_xlpm.w)
)</f>
        <v/>
      </c>
      <c r="AY153" s="93" t="str" cm="1">
        <f t="array" ref="AY153">_xlfn.LET(
  _xlpm.w, AY$11,
  _xlpm.r, MATCH(1,('3. Enter Indicator Scores'!$B$10:$B$161=$B153)*('3. Enter Indicator Scores'!$C$10:$C$161=$C153),0),
  _xlpm.c, MATCH(AY$8,'3. Enter Indicator Scores'!$D$8:$CZ$8,0),
  _xlpm.v, IFERROR(INDEX('3. Enter Indicator Scores'!$D$10:$CZ$161,_xlpm.r,_xlpm.c),""),
  IF(OR(_xlpm.w="",_xlpm.v=""),"",_xlpm.v*_xlpm.w)
)</f>
        <v/>
      </c>
      <c r="AZ153" s="93" t="str" cm="1">
        <f t="array" ref="AZ153">_xlfn.LET(
  _xlpm.w, AZ$11,
  _xlpm.r, MATCH(1,('3. Enter Indicator Scores'!$B$10:$B$161=$B153)*('3. Enter Indicator Scores'!$C$10:$C$161=$C153),0),
  _xlpm.c, MATCH(AZ$8,'3. Enter Indicator Scores'!$D$8:$CZ$8,0),
  _xlpm.v, IFERROR(INDEX('3. Enter Indicator Scores'!$D$10:$CZ$161,_xlpm.r,_xlpm.c),""),
  IF(OR(_xlpm.w="",_xlpm.v=""),"",_xlpm.v*_xlpm.w)
)</f>
        <v/>
      </c>
      <c r="BA153" s="93" t="str" cm="1">
        <f t="array" ref="BA153">_xlfn.LET(
  _xlpm.w, BA$11,
  _xlpm.r, MATCH(1,('3. Enter Indicator Scores'!$B$10:$B$161=$B153)*('3. Enter Indicator Scores'!$C$10:$C$161=$C153),0),
  _xlpm.c, MATCH(BA$8,'3. Enter Indicator Scores'!$D$8:$CZ$8,0),
  _xlpm.v, IFERROR(INDEX('3. Enter Indicator Scores'!$D$10:$CZ$161,_xlpm.r,_xlpm.c),""),
  IF(OR(_xlpm.w="",_xlpm.v=""),"",_xlpm.v*_xlpm.w)
)</f>
        <v/>
      </c>
      <c r="BB153" s="93" t="str" cm="1">
        <f t="array" ref="BB153">_xlfn.LET(
  _xlpm.w, BB$11,
  _xlpm.r, MATCH(1,('3. Enter Indicator Scores'!$B$10:$B$161=$B153)*('3. Enter Indicator Scores'!$C$10:$C$161=$C153),0),
  _xlpm.c, MATCH(BB$8,'3. Enter Indicator Scores'!$D$8:$CZ$8,0),
  _xlpm.v, IFERROR(INDEX('3. Enter Indicator Scores'!$D$10:$CZ$161,_xlpm.r,_xlpm.c),""),
  IF(OR(_xlpm.w="",_xlpm.v=""),"",_xlpm.v*_xlpm.w)
)</f>
        <v/>
      </c>
      <c r="BC153" s="93" t="str" cm="1">
        <f t="array" ref="BC153">_xlfn.LET(
  _xlpm.w, BC$11,
  _xlpm.r, MATCH(1,('3. Enter Indicator Scores'!$B$10:$B$161=$B153)*('3. Enter Indicator Scores'!$C$10:$C$161=$C153),0),
  _xlpm.c, MATCH(BC$8,'3. Enter Indicator Scores'!$D$8:$CZ$8,0),
  _xlpm.v, IFERROR(INDEX('3. Enter Indicator Scores'!$D$10:$CZ$161,_xlpm.r,_xlpm.c),""),
  IF(OR(_xlpm.w="",_xlpm.v=""),"",_xlpm.v*_xlpm.w)
)</f>
        <v/>
      </c>
      <c r="BD153" s="93" t="str" cm="1">
        <f t="array" ref="BD153">_xlfn.LET(
  _xlpm.w, BD$11,
  _xlpm.r, MATCH(1,('3. Enter Indicator Scores'!$B$10:$B$161=$B153)*('3. Enter Indicator Scores'!$C$10:$C$161=$C153),0),
  _xlpm.c, MATCH(BD$8,'3. Enter Indicator Scores'!$D$8:$CZ$8,0),
  _xlpm.v, IFERROR(INDEX('3. Enter Indicator Scores'!$D$10:$CZ$161,_xlpm.r,_xlpm.c),""),
  IF(OR(_xlpm.w="",_xlpm.v=""),"",_xlpm.v*_xlpm.w)
)</f>
        <v/>
      </c>
      <c r="BE153" s="93" t="str" cm="1">
        <f t="array" ref="BE153">_xlfn.LET(
  _xlpm.w, BE$11,
  _xlpm.r, MATCH(1,('3. Enter Indicator Scores'!$B$10:$B$161=$B153)*('3. Enter Indicator Scores'!$C$10:$C$161=$C153),0),
  _xlpm.c, MATCH(BE$8,'3. Enter Indicator Scores'!$D$8:$CZ$8,0),
  _xlpm.v, IFERROR(INDEX('3. Enter Indicator Scores'!$D$10:$CZ$161,_xlpm.r,_xlpm.c),""),
  IF(OR(_xlpm.w="",_xlpm.v=""),"",_xlpm.v*_xlpm.w)
)</f>
        <v/>
      </c>
      <c r="BF153" s="93" t="str" cm="1">
        <f t="array" ref="BF153">_xlfn.LET(
  _xlpm.w, BF$11,
  _xlpm.r, MATCH(1,('3. Enter Indicator Scores'!$B$10:$B$161=$B153)*('3. Enter Indicator Scores'!$C$10:$C$161=$C153),0),
  _xlpm.c, MATCH(BF$8,'3. Enter Indicator Scores'!$D$8:$CZ$8,0),
  _xlpm.v, IFERROR(INDEX('3. Enter Indicator Scores'!$D$10:$CZ$161,_xlpm.r,_xlpm.c),""),
  IF(OR(_xlpm.w="",_xlpm.v=""),"",_xlpm.v*_xlpm.w)
)</f>
        <v/>
      </c>
      <c r="BG153" s="93" t="str" cm="1">
        <f t="array" ref="BG153">_xlfn.LET(
  _xlpm.w, BG$11,
  _xlpm.r, MATCH(1,('3. Enter Indicator Scores'!$B$10:$B$161=$B153)*('3. Enter Indicator Scores'!$C$10:$C$161=$C153),0),
  _xlpm.c, MATCH(BG$8,'3. Enter Indicator Scores'!$D$8:$CZ$8,0),
  _xlpm.v, IFERROR(INDEX('3. Enter Indicator Scores'!$D$10:$CZ$161,_xlpm.r,_xlpm.c),""),
  IF(OR(_xlpm.w="",_xlpm.v=""),"",_xlpm.v*_xlpm.w)
)</f>
        <v/>
      </c>
      <c r="BH153" s="93" t="str" cm="1">
        <f t="array" ref="BH153">_xlfn.LET(
  _xlpm.w, BH$11,
  _xlpm.r, MATCH(1,('3. Enter Indicator Scores'!$B$10:$B$161=$B153)*('3. Enter Indicator Scores'!$C$10:$C$161=$C153),0),
  _xlpm.c, MATCH(BH$8,'3. Enter Indicator Scores'!$D$8:$CZ$8,0),
  _xlpm.v, IFERROR(INDEX('3. Enter Indicator Scores'!$D$10:$CZ$161,_xlpm.r,_xlpm.c),""),
  IF(OR(_xlpm.w="",_xlpm.v=""),"",_xlpm.v*_xlpm.w)
)</f>
        <v/>
      </c>
      <c r="BI153" s="93" t="str" cm="1">
        <f t="array" ref="BI153">_xlfn.LET(
  _xlpm.w, BI$11,
  _xlpm.r, MATCH(1,('3. Enter Indicator Scores'!$B$10:$B$161=$B153)*('3. Enter Indicator Scores'!$C$10:$C$161=$C153),0),
  _xlpm.c, MATCH(BI$8,'3. Enter Indicator Scores'!$D$8:$CZ$8,0),
  _xlpm.v, IFERROR(INDEX('3. Enter Indicator Scores'!$D$10:$CZ$161,_xlpm.r,_xlpm.c),""),
  IF(OR(_xlpm.w="",_xlpm.v=""),"",_xlpm.v*_xlpm.w)
)</f>
        <v/>
      </c>
      <c r="BJ153" s="93" t="str" cm="1">
        <f t="array" ref="BJ153">_xlfn.LET(
  _xlpm.w, BJ$11,
  _xlpm.r, MATCH(1,('3. Enter Indicator Scores'!$B$10:$B$161=$B153)*('3. Enter Indicator Scores'!$C$10:$C$161=$C153),0),
  _xlpm.c, MATCH(BJ$8,'3. Enter Indicator Scores'!$D$8:$CZ$8,0),
  _xlpm.v, IFERROR(INDEX('3. Enter Indicator Scores'!$D$10:$CZ$161,_xlpm.r,_xlpm.c),""),
  IF(OR(_xlpm.w="",_xlpm.v=""),"",_xlpm.v*_xlpm.w)
)</f>
        <v/>
      </c>
      <c r="BK153" s="93" t="str" cm="1">
        <f t="array" ref="BK153">_xlfn.LET(
  _xlpm.w, BK$11,
  _xlpm.r, MATCH(1,('3. Enter Indicator Scores'!$B$10:$B$161=$B153)*('3. Enter Indicator Scores'!$C$10:$C$161=$C153),0),
  _xlpm.c, MATCH(BK$8,'3. Enter Indicator Scores'!$D$8:$CZ$8,0),
  _xlpm.v, IFERROR(INDEX('3. Enter Indicator Scores'!$D$10:$CZ$161,_xlpm.r,_xlpm.c),""),
  IF(OR(_xlpm.w="",_xlpm.v=""),"",_xlpm.v*_xlpm.w)
)</f>
        <v/>
      </c>
      <c r="BL153" s="93" t="str" cm="1">
        <f t="array" ref="BL153">_xlfn.LET(
  _xlpm.w, BL$11,
  _xlpm.r, MATCH(1,('3. Enter Indicator Scores'!$B$10:$B$161=$B153)*('3. Enter Indicator Scores'!$C$10:$C$161=$C153),0),
  _xlpm.c, MATCH(BL$8,'3. Enter Indicator Scores'!$D$8:$CZ$8,0),
  _xlpm.v, IFERROR(INDEX('3. Enter Indicator Scores'!$D$10:$CZ$161,_xlpm.r,_xlpm.c),""),
  IF(OR(_xlpm.w="",_xlpm.v=""),"",_xlpm.v*_xlpm.w)
)</f>
        <v/>
      </c>
      <c r="BM153" s="93" t="str" cm="1">
        <f t="array" ref="BM153">_xlfn.LET(
  _xlpm.w, BM$11,
  _xlpm.r, MATCH(1,('3. Enter Indicator Scores'!$B$10:$B$161=$B153)*('3. Enter Indicator Scores'!$C$10:$C$161=$C153),0),
  _xlpm.c, MATCH(BM$8,'3. Enter Indicator Scores'!$D$8:$CZ$8,0),
  _xlpm.v, IFERROR(INDEX('3. Enter Indicator Scores'!$D$10:$CZ$161,_xlpm.r,_xlpm.c),""),
  IF(OR(_xlpm.w="",_xlpm.v=""),"",_xlpm.v*_xlpm.w)
)</f>
        <v/>
      </c>
      <c r="BN153" s="93" t="str" cm="1">
        <f t="array" ref="BN153">_xlfn.LET(
  _xlpm.w, BN$11,
  _xlpm.r, MATCH(1,('3. Enter Indicator Scores'!$B$10:$B$161=$B153)*('3. Enter Indicator Scores'!$C$10:$C$161=$C153),0),
  _xlpm.c, MATCH(BN$8,'3. Enter Indicator Scores'!$D$8:$CZ$8,0),
  _xlpm.v, IFERROR(INDEX('3. Enter Indicator Scores'!$D$10:$CZ$161,_xlpm.r,_xlpm.c),""),
  IF(OR(_xlpm.w="",_xlpm.v=""),"",_xlpm.v*_xlpm.w)
)</f>
        <v/>
      </c>
      <c r="BO153" s="93" t="str" cm="1">
        <f t="array" ref="BO153">_xlfn.LET(
  _xlpm.w, BO$11,
  _xlpm.r, MATCH(1,('3. Enter Indicator Scores'!$B$10:$B$161=$B153)*('3. Enter Indicator Scores'!$C$10:$C$161=$C153),0),
  _xlpm.c, MATCH(BO$8,'3. Enter Indicator Scores'!$D$8:$CZ$8,0),
  _xlpm.v, IFERROR(INDEX('3. Enter Indicator Scores'!$D$10:$CZ$161,_xlpm.r,_xlpm.c),""),
  IF(OR(_xlpm.w="",_xlpm.v=""),"",_xlpm.v*_xlpm.w)
)</f>
        <v/>
      </c>
      <c r="BP153" s="93" t="str" cm="1">
        <f t="array" ref="BP153">_xlfn.LET(
  _xlpm.w, BP$11,
  _xlpm.r, MATCH(1,('3. Enter Indicator Scores'!$B$10:$B$161=$B153)*('3. Enter Indicator Scores'!$C$10:$C$161=$C153),0),
  _xlpm.c, MATCH(BP$8,'3. Enter Indicator Scores'!$D$8:$CZ$8,0),
  _xlpm.v, IFERROR(INDEX('3. Enter Indicator Scores'!$D$10:$CZ$161,_xlpm.r,_xlpm.c),""),
  IF(OR(_xlpm.w="",_xlpm.v=""),"",_xlpm.v*_xlpm.w)
)</f>
        <v/>
      </c>
      <c r="BQ153" s="93" t="str" cm="1">
        <f t="array" ref="BQ153">_xlfn.LET(
  _xlpm.w, BQ$11,
  _xlpm.r, MATCH(1,('3. Enter Indicator Scores'!$B$10:$B$161=$B153)*('3. Enter Indicator Scores'!$C$10:$C$161=$C153),0),
  _xlpm.c, MATCH(BQ$8,'3. Enter Indicator Scores'!$D$8:$CZ$8,0),
  _xlpm.v, IFERROR(INDEX('3. Enter Indicator Scores'!$D$10:$CZ$161,_xlpm.r,_xlpm.c),""),
  IF(OR(_xlpm.w="",_xlpm.v=""),"",_xlpm.v*_xlpm.w)
)</f>
        <v/>
      </c>
      <c r="BR153" s="93" t="str" cm="1">
        <f t="array" ref="BR153">_xlfn.LET(
  _xlpm.w, BR$11,
  _xlpm.r, MATCH(1,('3. Enter Indicator Scores'!$B$10:$B$161=$B153)*('3. Enter Indicator Scores'!$C$10:$C$161=$C153),0),
  _xlpm.c, MATCH(BR$8,'3. Enter Indicator Scores'!$D$8:$CZ$8,0),
  _xlpm.v, IFERROR(INDEX('3. Enter Indicator Scores'!$D$10:$CZ$161,_xlpm.r,_xlpm.c),""),
  IF(OR(_xlpm.w="",_xlpm.v=""),"",_xlpm.v*_xlpm.w)
)</f>
        <v/>
      </c>
      <c r="BS153" s="93" t="str" cm="1">
        <f t="array" ref="BS153">_xlfn.LET(
  _xlpm.w, BS$11,
  _xlpm.r, MATCH(1,('3. Enter Indicator Scores'!$B$10:$B$161=$B153)*('3. Enter Indicator Scores'!$C$10:$C$161=$C153),0),
  _xlpm.c, MATCH(BS$8,'3. Enter Indicator Scores'!$D$8:$CZ$8,0),
  _xlpm.v, IFERROR(INDEX('3. Enter Indicator Scores'!$D$10:$CZ$161,_xlpm.r,_xlpm.c),""),
  IF(OR(_xlpm.w="",_xlpm.v=""),"",_xlpm.v*_xlpm.w)
)</f>
        <v/>
      </c>
      <c r="BT153" s="93" t="str" cm="1">
        <f t="array" ref="BT153">_xlfn.LET(
  _xlpm.w, BT$11,
  _xlpm.r, MATCH(1,('3. Enter Indicator Scores'!$B$10:$B$161=$B153)*('3. Enter Indicator Scores'!$C$10:$C$161=$C153),0),
  _xlpm.c, MATCH(BT$8,'3. Enter Indicator Scores'!$D$8:$CZ$8,0),
  _xlpm.v, IFERROR(INDEX('3. Enter Indicator Scores'!$D$10:$CZ$161,_xlpm.r,_xlpm.c),""),
  IF(OR(_xlpm.w="",_xlpm.v=""),"",_xlpm.v*_xlpm.w)
)</f>
        <v/>
      </c>
      <c r="BU153" s="93" t="str" cm="1">
        <f t="array" ref="BU153">_xlfn.LET(
  _xlpm.w, BU$11,
  _xlpm.r, MATCH(1,('3. Enter Indicator Scores'!$B$10:$B$161=$B153)*('3. Enter Indicator Scores'!$C$10:$C$161=$C153),0),
  _xlpm.c, MATCH(BU$8,'3. Enter Indicator Scores'!$D$8:$CZ$8,0),
  _xlpm.v, IFERROR(INDEX('3. Enter Indicator Scores'!$D$10:$CZ$161,_xlpm.r,_xlpm.c),""),
  IF(OR(_xlpm.w="",_xlpm.v=""),"",_xlpm.v*_xlpm.w)
)</f>
        <v/>
      </c>
      <c r="BV153" s="93" t="str" cm="1">
        <f t="array" ref="BV153">_xlfn.LET(
  _xlpm.w, BV$11,
  _xlpm.r, MATCH(1,('3. Enter Indicator Scores'!$B$10:$B$161=$B153)*('3. Enter Indicator Scores'!$C$10:$C$161=$C153),0),
  _xlpm.c, MATCH(BV$8,'3. Enter Indicator Scores'!$D$8:$CZ$8,0),
  _xlpm.v, IFERROR(INDEX('3. Enter Indicator Scores'!$D$10:$CZ$161,_xlpm.r,_xlpm.c),""),
  IF(OR(_xlpm.w="",_xlpm.v=""),"",_xlpm.v*_xlpm.w)
)</f>
        <v/>
      </c>
      <c r="BW153" s="93" t="str" cm="1">
        <f t="array" ref="BW153">_xlfn.LET(
  _xlpm.w, BW$11,
  _xlpm.r, MATCH(1,('3. Enter Indicator Scores'!$B$10:$B$161=$B153)*('3. Enter Indicator Scores'!$C$10:$C$161=$C153),0),
  _xlpm.c, MATCH(BW$8,'3. Enter Indicator Scores'!$D$8:$CZ$8,0),
  _xlpm.v, IFERROR(INDEX('3. Enter Indicator Scores'!$D$10:$CZ$161,_xlpm.r,_xlpm.c),""),
  IF(OR(_xlpm.w="",_xlpm.v=""),"",_xlpm.v*_xlpm.w)
)</f>
        <v/>
      </c>
      <c r="BX153" s="93" t="str" cm="1">
        <f t="array" ref="BX153">_xlfn.LET(
  _xlpm.w, BX$11,
  _xlpm.r, MATCH(1,('3. Enter Indicator Scores'!$B$10:$B$161=$B153)*('3. Enter Indicator Scores'!$C$10:$C$161=$C153),0),
  _xlpm.c, MATCH(BX$8,'3. Enter Indicator Scores'!$D$8:$CZ$8,0),
  _xlpm.v, IFERROR(INDEX('3. Enter Indicator Scores'!$D$10:$CZ$161,_xlpm.r,_xlpm.c),""),
  IF(OR(_xlpm.w="",_xlpm.v=""),"",_xlpm.v*_xlpm.w)
)</f>
        <v/>
      </c>
      <c r="BY153" s="93" t="str" cm="1">
        <f t="array" ref="BY153">_xlfn.LET(
  _xlpm.w, BY$11,
  _xlpm.r, MATCH(1,('3. Enter Indicator Scores'!$B$10:$B$161=$B153)*('3. Enter Indicator Scores'!$C$10:$C$161=$C153),0),
  _xlpm.c, MATCH(BY$8,'3. Enter Indicator Scores'!$D$8:$CZ$8,0),
  _xlpm.v, IFERROR(INDEX('3. Enter Indicator Scores'!$D$10:$CZ$161,_xlpm.r,_xlpm.c),""),
  IF(OR(_xlpm.w="",_xlpm.v=""),"",_xlpm.v*_xlpm.w)
)</f>
        <v/>
      </c>
      <c r="BZ153" s="93" t="str" cm="1">
        <f t="array" ref="BZ153">_xlfn.LET(
  _xlpm.w, BZ$11,
  _xlpm.r, MATCH(1,('3. Enter Indicator Scores'!$B$10:$B$161=$B153)*('3. Enter Indicator Scores'!$C$10:$C$161=$C153),0),
  _xlpm.c, MATCH(BZ$8,'3. Enter Indicator Scores'!$D$8:$CZ$8,0),
  _xlpm.v, IFERROR(INDEX('3. Enter Indicator Scores'!$D$10:$CZ$161,_xlpm.r,_xlpm.c),""),
  IF(OR(_xlpm.w="",_xlpm.v=""),"",_xlpm.v*_xlpm.w)
)</f>
        <v/>
      </c>
      <c r="CA153" s="93" t="str" cm="1">
        <f t="array" ref="CA153">_xlfn.LET(
  _xlpm.w, CA$11,
  _xlpm.r, MATCH(1,('3. Enter Indicator Scores'!$B$10:$B$161=$B153)*('3. Enter Indicator Scores'!$C$10:$C$161=$C153),0),
  _xlpm.c, MATCH(CA$8,'3. Enter Indicator Scores'!$D$8:$CZ$8,0),
  _xlpm.v, IFERROR(INDEX('3. Enter Indicator Scores'!$D$10:$CZ$161,_xlpm.r,_xlpm.c),""),
  IF(OR(_xlpm.w="",_xlpm.v=""),"",_xlpm.v*_xlpm.w)
)</f>
        <v/>
      </c>
      <c r="CB153" s="93" t="str" cm="1">
        <f t="array" ref="CB153">_xlfn.LET(
  _xlpm.w, CB$11,
  _xlpm.r, MATCH(1,('3. Enter Indicator Scores'!$B$10:$B$161=$B153)*('3. Enter Indicator Scores'!$C$10:$C$161=$C153),0),
  _xlpm.c, MATCH(CB$8,'3. Enter Indicator Scores'!$D$8:$CZ$8,0),
  _xlpm.v, IFERROR(INDEX('3. Enter Indicator Scores'!$D$10:$CZ$161,_xlpm.r,_xlpm.c),""),
  IF(OR(_xlpm.w="",_xlpm.v=""),"",_xlpm.v*_xlpm.w)
)</f>
        <v/>
      </c>
      <c r="CC153" s="93" t="str" cm="1">
        <f t="array" ref="CC153">_xlfn.LET(
  _xlpm.w, CC$11,
  _xlpm.r, MATCH(1,('3. Enter Indicator Scores'!$B$10:$B$161=$B153)*('3. Enter Indicator Scores'!$C$10:$C$161=$C153),0),
  _xlpm.c, MATCH(CC$8,'3. Enter Indicator Scores'!$D$8:$CZ$8,0),
  _xlpm.v, IFERROR(INDEX('3. Enter Indicator Scores'!$D$10:$CZ$161,_xlpm.r,_xlpm.c),""),
  IF(OR(_xlpm.w="",_xlpm.v=""),"",_xlpm.v*_xlpm.w)
)</f>
        <v/>
      </c>
      <c r="CD153" s="93" t="str" cm="1">
        <f t="array" ref="CD153">_xlfn.LET(
  _xlpm.w, CD$11,
  _xlpm.r, MATCH(1,('3. Enter Indicator Scores'!$B$10:$B$161=$B153)*('3. Enter Indicator Scores'!$C$10:$C$161=$C153),0),
  _xlpm.c, MATCH(CD$8,'3. Enter Indicator Scores'!$D$8:$CZ$8,0),
  _xlpm.v, IFERROR(INDEX('3. Enter Indicator Scores'!$D$10:$CZ$161,_xlpm.r,_xlpm.c),""),
  IF(OR(_xlpm.w="",_xlpm.v=""),"",_xlpm.v*_xlpm.w)
)</f>
        <v/>
      </c>
      <c r="CE153" s="93" t="str" cm="1">
        <f t="array" ref="CE153">_xlfn.LET(
  _xlpm.w, CE$11,
  _xlpm.r, MATCH(1,('3. Enter Indicator Scores'!$B$10:$B$161=$B153)*('3. Enter Indicator Scores'!$C$10:$C$161=$C153),0),
  _xlpm.c, MATCH(CE$8,'3. Enter Indicator Scores'!$D$8:$CZ$8,0),
  _xlpm.v, IFERROR(INDEX('3. Enter Indicator Scores'!$D$10:$CZ$161,_xlpm.r,_xlpm.c),""),
  IF(OR(_xlpm.w="",_xlpm.v=""),"",_xlpm.v*_xlpm.w)
)</f>
        <v/>
      </c>
      <c r="CF153" s="93" t="str" cm="1">
        <f t="array" ref="CF153">_xlfn.LET(
  _xlpm.w, CF$11,
  _xlpm.r, MATCH(1,('3. Enter Indicator Scores'!$B$10:$B$161=$B153)*('3. Enter Indicator Scores'!$C$10:$C$161=$C153),0),
  _xlpm.c, MATCH(CF$8,'3. Enter Indicator Scores'!$D$8:$CZ$8,0),
  _xlpm.v, IFERROR(INDEX('3. Enter Indicator Scores'!$D$10:$CZ$161,_xlpm.r,_xlpm.c),""),
  IF(OR(_xlpm.w="",_xlpm.v=""),"",_xlpm.v*_xlpm.w)
)</f>
        <v/>
      </c>
      <c r="CG153" s="93" t="str" cm="1">
        <f t="array" ref="CG153">_xlfn.LET(
  _xlpm.w, CG$11,
  _xlpm.r, MATCH(1,('3. Enter Indicator Scores'!$B$10:$B$161=$B153)*('3. Enter Indicator Scores'!$C$10:$C$161=$C153),0),
  _xlpm.c, MATCH(CG$8,'3. Enter Indicator Scores'!$D$8:$CZ$8,0),
  _xlpm.v, IFERROR(INDEX('3. Enter Indicator Scores'!$D$10:$CZ$161,_xlpm.r,_xlpm.c),""),
  IF(OR(_xlpm.w="",_xlpm.v=""),"",_xlpm.v*_xlpm.w)
)</f>
        <v/>
      </c>
      <c r="CH153" s="93" t="str" cm="1">
        <f t="array" ref="CH153">_xlfn.LET(
  _xlpm.w, CH$11,
  _xlpm.r, MATCH(1,('3. Enter Indicator Scores'!$B$10:$B$161=$B153)*('3. Enter Indicator Scores'!$C$10:$C$161=$C153),0),
  _xlpm.c, MATCH(CH$8,'3. Enter Indicator Scores'!$D$8:$CZ$8,0),
  _xlpm.v, IFERROR(INDEX('3. Enter Indicator Scores'!$D$10:$CZ$161,_xlpm.r,_xlpm.c),""),
  IF(OR(_xlpm.w="",_xlpm.v=""),"",_xlpm.v*_xlpm.w)
)</f>
        <v/>
      </c>
      <c r="CI153" s="93" t="str" cm="1">
        <f t="array" ref="CI153">_xlfn.LET(
  _xlpm.w, CI$11,
  _xlpm.r, MATCH(1,('3. Enter Indicator Scores'!$B$10:$B$161=$B153)*('3. Enter Indicator Scores'!$C$10:$C$161=$C153),0),
  _xlpm.c, MATCH(CI$8,'3. Enter Indicator Scores'!$D$8:$CZ$8,0),
  _xlpm.v, IFERROR(INDEX('3. Enter Indicator Scores'!$D$10:$CZ$161,_xlpm.r,_xlpm.c),""),
  IF(OR(_xlpm.w="",_xlpm.v=""),"",_xlpm.v*_xlpm.w)
)</f>
        <v/>
      </c>
      <c r="CJ153" s="93" t="str" cm="1">
        <f t="array" ref="CJ153">_xlfn.LET(
  _xlpm.w, CJ$11,
  _xlpm.r, MATCH(1,('3. Enter Indicator Scores'!$B$10:$B$161=$B153)*('3. Enter Indicator Scores'!$C$10:$C$161=$C153),0),
  _xlpm.c, MATCH(CJ$8,'3. Enter Indicator Scores'!$D$8:$CZ$8,0),
  _xlpm.v, IFERROR(INDEX('3. Enter Indicator Scores'!$D$10:$CZ$161,_xlpm.r,_xlpm.c),""),
  IF(OR(_xlpm.w="",_xlpm.v=""),"",_xlpm.v*_xlpm.w)
)</f>
        <v/>
      </c>
      <c r="CK153" s="93" t="str" cm="1">
        <f t="array" ref="CK153">_xlfn.LET(
  _xlpm.w, CK$11,
  _xlpm.r, MATCH(1,('3. Enter Indicator Scores'!$B$10:$B$161=$B153)*('3. Enter Indicator Scores'!$C$10:$C$161=$C153),0),
  _xlpm.c, MATCH(CK$8,'3. Enter Indicator Scores'!$D$8:$CZ$8,0),
  _xlpm.v, IFERROR(INDEX('3. Enter Indicator Scores'!$D$10:$CZ$161,_xlpm.r,_xlpm.c),""),
  IF(OR(_xlpm.w="",_xlpm.v=""),"",_xlpm.v*_xlpm.w)
)</f>
        <v/>
      </c>
      <c r="CL153" s="93" t="str" cm="1">
        <f t="array" ref="CL153">_xlfn.LET(
  _xlpm.w, CL$11,
  _xlpm.r, MATCH(1,('3. Enter Indicator Scores'!$B$10:$B$161=$B153)*('3. Enter Indicator Scores'!$C$10:$C$161=$C153),0),
  _xlpm.c, MATCH(CL$8,'3. Enter Indicator Scores'!$D$8:$CZ$8,0),
  _xlpm.v, IFERROR(INDEX('3. Enter Indicator Scores'!$D$10:$CZ$161,_xlpm.r,_xlpm.c),""),
  IF(OR(_xlpm.w="",_xlpm.v=""),"",_xlpm.v*_xlpm.w)
)</f>
        <v/>
      </c>
      <c r="CM153" s="93" t="str" cm="1">
        <f t="array" ref="CM153">_xlfn.LET(
  _xlpm.w, CM$11,
  _xlpm.r, MATCH(1,('3. Enter Indicator Scores'!$B$10:$B$161=$B153)*('3. Enter Indicator Scores'!$C$10:$C$161=$C153),0),
  _xlpm.c, MATCH(CM$8,'3. Enter Indicator Scores'!$D$8:$CZ$8,0),
  _xlpm.v, IFERROR(INDEX('3. Enter Indicator Scores'!$D$10:$CZ$161,_xlpm.r,_xlpm.c),""),
  IF(OR(_xlpm.w="",_xlpm.v=""),"",_xlpm.v*_xlpm.w)
)</f>
        <v/>
      </c>
      <c r="CN153" s="93" t="str" cm="1">
        <f t="array" ref="CN153">_xlfn.LET(
  _xlpm.w, CN$11,
  _xlpm.r, MATCH(1,('3. Enter Indicator Scores'!$B$10:$B$161=$B153)*('3. Enter Indicator Scores'!$C$10:$C$161=$C153),0),
  _xlpm.c, MATCH(CN$8,'3. Enter Indicator Scores'!$D$8:$CZ$8,0),
  _xlpm.v, IFERROR(INDEX('3. Enter Indicator Scores'!$D$10:$CZ$161,_xlpm.r,_xlpm.c),""),
  IF(OR(_xlpm.w="",_xlpm.v=""),"",_xlpm.v*_xlpm.w)
)</f>
        <v/>
      </c>
      <c r="CO153" s="93" t="str" cm="1">
        <f t="array" ref="CO153">_xlfn.LET(
  _xlpm.w, CO$11,
  _xlpm.r, MATCH(1,('3. Enter Indicator Scores'!$B$10:$B$161=$B153)*('3. Enter Indicator Scores'!$C$10:$C$161=$C153),0),
  _xlpm.c, MATCH(CO$8,'3. Enter Indicator Scores'!$D$8:$CZ$8,0),
  _xlpm.v, IFERROR(INDEX('3. Enter Indicator Scores'!$D$10:$CZ$161,_xlpm.r,_xlpm.c),""),
  IF(OR(_xlpm.w="",_xlpm.v=""),"",_xlpm.v*_xlpm.w)
)</f>
        <v/>
      </c>
      <c r="CP153" s="93" t="str" cm="1">
        <f t="array" ref="CP153">_xlfn.LET(
  _xlpm.w, CP$11,
  _xlpm.r, MATCH(1,('3. Enter Indicator Scores'!$B$10:$B$161=$B153)*('3. Enter Indicator Scores'!$C$10:$C$161=$C153),0),
  _xlpm.c, MATCH(CP$8,'3. Enter Indicator Scores'!$D$8:$CZ$8,0),
  _xlpm.v, IFERROR(INDEX('3. Enter Indicator Scores'!$D$10:$CZ$161,_xlpm.r,_xlpm.c),""),
  IF(OR(_xlpm.w="",_xlpm.v=""),"",_xlpm.v*_xlpm.w)
)</f>
        <v/>
      </c>
      <c r="CQ153" s="93" t="str" cm="1">
        <f t="array" ref="CQ153">_xlfn.LET(
  _xlpm.w, CQ$11,
  _xlpm.r, MATCH(1,('3. Enter Indicator Scores'!$B$10:$B$161=$B153)*('3. Enter Indicator Scores'!$C$10:$C$161=$C153),0),
  _xlpm.c, MATCH(CQ$8,'3. Enter Indicator Scores'!$D$8:$CZ$8,0),
  _xlpm.v, IFERROR(INDEX('3. Enter Indicator Scores'!$D$10:$CZ$161,_xlpm.r,_xlpm.c),""),
  IF(OR(_xlpm.w="",_xlpm.v=""),"",_xlpm.v*_xlpm.w)
)</f>
        <v/>
      </c>
      <c r="CR153" s="93" t="str" cm="1">
        <f t="array" ref="CR153">_xlfn.LET(
  _xlpm.w, CR$11,
  _xlpm.r, MATCH(1,('3. Enter Indicator Scores'!$B$10:$B$161=$B153)*('3. Enter Indicator Scores'!$C$10:$C$161=$C153),0),
  _xlpm.c, MATCH(CR$8,'3. Enter Indicator Scores'!$D$8:$CZ$8,0),
  _xlpm.v, IFERROR(INDEX('3. Enter Indicator Scores'!$D$10:$CZ$161,_xlpm.r,_xlpm.c),""),
  IF(OR(_xlpm.w="",_xlpm.v=""),"",_xlpm.v*_xlpm.w)
)</f>
        <v/>
      </c>
      <c r="CS153" s="93" t="str" cm="1">
        <f t="array" ref="CS153">_xlfn.LET(
  _xlpm.w, CS$11,
  _xlpm.r, MATCH(1,('3. Enter Indicator Scores'!$B$10:$B$161=$B153)*('3. Enter Indicator Scores'!$C$10:$C$161=$C153),0),
  _xlpm.c, MATCH(CS$8,'3. Enter Indicator Scores'!$D$8:$CZ$8,0),
  _xlpm.v, IFERROR(INDEX('3. Enter Indicator Scores'!$D$10:$CZ$161,_xlpm.r,_xlpm.c),""),
  IF(OR(_xlpm.w="",_xlpm.v=""),"",_xlpm.v*_xlpm.w)
)</f>
        <v/>
      </c>
      <c r="CT153" s="93" t="str" cm="1">
        <f t="array" ref="CT153">_xlfn.LET(
  _xlpm.w, CT$11,
  _xlpm.r, MATCH(1,('3. Enter Indicator Scores'!$B$10:$B$161=$B153)*('3. Enter Indicator Scores'!$C$10:$C$161=$C153),0),
  _xlpm.c, MATCH(CT$8,'3. Enter Indicator Scores'!$D$8:$CZ$8,0),
  _xlpm.v, IFERROR(INDEX('3. Enter Indicator Scores'!$D$10:$CZ$161,_xlpm.r,_xlpm.c),""),
  IF(OR(_xlpm.w="",_xlpm.v=""),"",_xlpm.v*_xlpm.w)
)</f>
        <v/>
      </c>
      <c r="CU153" s="93" t="str" cm="1">
        <f t="array" ref="CU153">_xlfn.LET(
  _xlpm.w, CU$11,
  _xlpm.r, MATCH(1,('3. Enter Indicator Scores'!$B$10:$B$161=$B153)*('3. Enter Indicator Scores'!$C$10:$C$161=$C153),0),
  _xlpm.c, MATCH(CU$8,'3. Enter Indicator Scores'!$D$8:$CZ$8,0),
  _xlpm.v, IFERROR(INDEX('3. Enter Indicator Scores'!$D$10:$CZ$161,_xlpm.r,_xlpm.c),""),
  IF(OR(_xlpm.w="",_xlpm.v=""),"",_xlpm.v*_xlpm.w)
)</f>
        <v/>
      </c>
      <c r="CV153" s="93" t="str" cm="1">
        <f t="array" ref="CV153">_xlfn.LET(
  _xlpm.w, CV$11,
  _xlpm.r, MATCH(1,('3. Enter Indicator Scores'!$B$10:$B$161=$B153)*('3. Enter Indicator Scores'!$C$10:$C$161=$C153),0),
  _xlpm.c, MATCH(CV$8,'3. Enter Indicator Scores'!$D$8:$CZ$8,0),
  _xlpm.v, IFERROR(INDEX('3. Enter Indicator Scores'!$D$10:$CZ$161,_xlpm.r,_xlpm.c),""),
  IF(OR(_xlpm.w="",_xlpm.v=""),"",_xlpm.v*_xlpm.w)
)</f>
        <v/>
      </c>
      <c r="CW153" s="93" t="str" cm="1">
        <f t="array" ref="CW153">_xlfn.LET(
  _xlpm.w, CW$11,
  _xlpm.r, MATCH(1,('3. Enter Indicator Scores'!$B$10:$B$161=$B153)*('3. Enter Indicator Scores'!$C$10:$C$161=$C153),0),
  _xlpm.c, MATCH(CW$8,'3. Enter Indicator Scores'!$D$8:$CZ$8,0),
  _xlpm.v, IFERROR(INDEX('3. Enter Indicator Scores'!$D$10:$CZ$161,_xlpm.r,_xlpm.c),""),
  IF(OR(_xlpm.w="",_xlpm.v=""),"",_xlpm.v*_xlpm.w)
)</f>
        <v/>
      </c>
      <c r="CX153" s="93" t="str" cm="1">
        <f t="array" ref="CX153">_xlfn.LET(
  _xlpm.w, CX$11,
  _xlpm.r, MATCH(1,('3. Enter Indicator Scores'!$B$10:$B$161=$B153)*('3. Enter Indicator Scores'!$C$10:$C$161=$C153),0),
  _xlpm.c, MATCH(CX$8,'3. Enter Indicator Scores'!$D$8:$CZ$8,0),
  _xlpm.v, IFERROR(INDEX('3. Enter Indicator Scores'!$D$10:$CZ$161,_xlpm.r,_xlpm.c),""),
  IF(OR(_xlpm.w="",_xlpm.v=""),"",_xlpm.v*_xlpm.w)
)</f>
        <v/>
      </c>
      <c r="CY153" s="93" t="str" cm="1">
        <f t="array" ref="CY153">_xlfn.LET(
  _xlpm.w, CY$11,
  _xlpm.r, MATCH(1,('3. Enter Indicator Scores'!$B$10:$B$161=$B153)*('3. Enter Indicator Scores'!$C$10:$C$161=$C153),0),
  _xlpm.c, MATCH(CY$8,'3. Enter Indicator Scores'!$D$8:$CZ$8,0),
  _xlpm.v, IFERROR(INDEX('3. Enter Indicator Scores'!$D$10:$CZ$161,_xlpm.r,_xlpm.c),""),
  IF(OR(_xlpm.w="",_xlpm.v=""),"",_xlpm.v*_xlpm.w)
)</f>
        <v/>
      </c>
      <c r="CZ153" s="93" t="str" cm="1">
        <f t="array" ref="CZ153">_xlfn.LET(
  _xlpm.w, CZ$11,
  _xlpm.r, MATCH(1,('3. Enter Indicator Scores'!$B$10:$B$161=$B153)*('3. Enter Indicator Scores'!$C$10:$C$161=$C153),0),
  _xlpm.c, MATCH(CZ$8,'3. Enter Indicator Scores'!$D$8:$CZ$8,0),
  _xlpm.v, IFERROR(INDEX('3. Enter Indicator Scores'!$D$10:$CZ$161,_xlpm.r,_xlpm.c),""),
  IF(OR(_xlpm.w="",_xlpm.v=""),"",_xlpm.v*_xlpm.w)
)</f>
        <v/>
      </c>
    </row>
    <row r="154" spans="4:104" x14ac:dyDescent="0.2">
      <c r="D154" s="93" t="str" cm="1">
        <f t="array" ref="D154">_xlfn.LET(
  _xlpm.w, D$11,
  _xlpm.r, MATCH(1,('3. Enter Indicator Scores'!$B$10:$B$161=$B154)*('3. Enter Indicator Scores'!$C$10:$C$161=$C154),0),
  _xlpm.c, MATCH(D$8,'3. Enter Indicator Scores'!$D$8:$CZ$8,0),
  _xlpm.v, IFERROR(INDEX('3. Enter Indicator Scores'!$D$10:$CZ$161,_xlpm.r,_xlpm.c),""),
  IF(OR(_xlpm.w="",_xlpm.v=""),"",_xlpm.v*_xlpm.w)
)</f>
        <v/>
      </c>
      <c r="E154" s="93" t="str" cm="1">
        <f t="array" ref="E154">_xlfn.LET(
  _xlpm.w, E$11,
  _xlpm.r, MATCH(1,('3. Enter Indicator Scores'!$B$10:$B$161=$B154)*('3. Enter Indicator Scores'!$C$10:$C$161=$C154),0),
  _xlpm.c, MATCH(E$8,'3. Enter Indicator Scores'!$D$8:$CZ$8,0),
  _xlpm.v, IFERROR(INDEX('3. Enter Indicator Scores'!$D$10:$CZ$161,_xlpm.r,_xlpm.c),""),
  IF(OR(_xlpm.w="",_xlpm.v=""),"",_xlpm.v*_xlpm.w)
)</f>
        <v/>
      </c>
      <c r="F154" s="93" t="str" cm="1">
        <f t="array" ref="F154">_xlfn.LET(
  _xlpm.w, F$11,
  _xlpm.r, MATCH(1,('3. Enter Indicator Scores'!$B$10:$B$161=$B154)*('3. Enter Indicator Scores'!$C$10:$C$161=$C154),0),
  _xlpm.c, MATCH(F$8,'3. Enter Indicator Scores'!$D$8:$CZ$8,0),
  _xlpm.v, IFERROR(INDEX('3. Enter Indicator Scores'!$D$10:$CZ$161,_xlpm.r,_xlpm.c),""),
  IF(OR(_xlpm.w="",_xlpm.v=""),"",_xlpm.v*_xlpm.w)
)</f>
        <v/>
      </c>
      <c r="G154" s="93" t="str" cm="1">
        <f t="array" ref="G154">_xlfn.LET(
  _xlpm.w, G$11,
  _xlpm.r, MATCH(1,('3. Enter Indicator Scores'!$B$10:$B$161=$B154)*('3. Enter Indicator Scores'!$C$10:$C$161=$C154),0),
  _xlpm.c, MATCH(G$8,'3. Enter Indicator Scores'!$D$8:$CZ$8,0),
  _xlpm.v, IFERROR(INDEX('3. Enter Indicator Scores'!$D$10:$CZ$161,_xlpm.r,_xlpm.c),""),
  IF(OR(_xlpm.w="",_xlpm.v=""),"",_xlpm.v*_xlpm.w)
)</f>
        <v/>
      </c>
      <c r="H154" s="93" t="str" cm="1">
        <f t="array" ref="H154">_xlfn.LET(
  _xlpm.w, H$11,
  _xlpm.r, MATCH(1,('3. Enter Indicator Scores'!$B$10:$B$161=$B154)*('3. Enter Indicator Scores'!$C$10:$C$161=$C154),0),
  _xlpm.c, MATCH(H$8,'3. Enter Indicator Scores'!$D$8:$CZ$8,0),
  _xlpm.v, IFERROR(INDEX('3. Enter Indicator Scores'!$D$10:$CZ$161,_xlpm.r,_xlpm.c),""),
  IF(OR(_xlpm.w="",_xlpm.v=""),"",_xlpm.v*_xlpm.w)
)</f>
        <v/>
      </c>
      <c r="I154" s="93" t="str" cm="1">
        <f t="array" ref="I154">_xlfn.LET(
  _xlpm.w, I$11,
  _xlpm.r, MATCH(1,('3. Enter Indicator Scores'!$B$10:$B$161=$B154)*('3. Enter Indicator Scores'!$C$10:$C$161=$C154),0),
  _xlpm.c, MATCH(I$8,'3. Enter Indicator Scores'!$D$8:$CZ$8,0),
  _xlpm.v, IFERROR(INDEX('3. Enter Indicator Scores'!$D$10:$CZ$161,_xlpm.r,_xlpm.c),""),
  IF(OR(_xlpm.w="",_xlpm.v=""),"",_xlpm.v*_xlpm.w)
)</f>
        <v/>
      </c>
      <c r="J154" s="93" t="str" cm="1">
        <f t="array" ref="J154">_xlfn.LET(
  _xlpm.w, J$11,
  _xlpm.r, MATCH(1,('3. Enter Indicator Scores'!$B$10:$B$161=$B154)*('3. Enter Indicator Scores'!$C$10:$C$161=$C154),0),
  _xlpm.c, MATCH(J$8,'3. Enter Indicator Scores'!$D$8:$CZ$8,0),
  _xlpm.v, IFERROR(INDEX('3. Enter Indicator Scores'!$D$10:$CZ$161,_xlpm.r,_xlpm.c),""),
  IF(OR(_xlpm.w="",_xlpm.v=""),"",_xlpm.v*_xlpm.w)
)</f>
        <v/>
      </c>
      <c r="K154" s="93" t="str" cm="1">
        <f t="array" ref="K154">_xlfn.LET(
  _xlpm.w, K$11,
  _xlpm.r, MATCH(1,('3. Enter Indicator Scores'!$B$10:$B$161=$B154)*('3. Enter Indicator Scores'!$C$10:$C$161=$C154),0),
  _xlpm.c, MATCH(K$8,'3. Enter Indicator Scores'!$D$8:$CZ$8,0),
  _xlpm.v, IFERROR(INDEX('3. Enter Indicator Scores'!$D$10:$CZ$161,_xlpm.r,_xlpm.c),""),
  IF(OR(_xlpm.w="",_xlpm.v=""),"",_xlpm.v*_xlpm.w)
)</f>
        <v/>
      </c>
      <c r="L154" s="93" t="str" cm="1">
        <f t="array" ref="L154">_xlfn.LET(
  _xlpm.w, L$11,
  _xlpm.r, MATCH(1,('3. Enter Indicator Scores'!$B$10:$B$161=$B154)*('3. Enter Indicator Scores'!$C$10:$C$161=$C154),0),
  _xlpm.c, MATCH(L$8,'3. Enter Indicator Scores'!$D$8:$CZ$8,0),
  _xlpm.v, IFERROR(INDEX('3. Enter Indicator Scores'!$D$10:$CZ$161,_xlpm.r,_xlpm.c),""),
  IF(OR(_xlpm.w="",_xlpm.v=""),"",_xlpm.v*_xlpm.w)
)</f>
        <v/>
      </c>
      <c r="M154" s="93" t="str" cm="1">
        <f t="array" ref="M154">_xlfn.LET(
  _xlpm.w, M$11,
  _xlpm.r, MATCH(1,('3. Enter Indicator Scores'!$B$10:$B$161=$B154)*('3. Enter Indicator Scores'!$C$10:$C$161=$C154),0),
  _xlpm.c, MATCH(M$8,'3. Enter Indicator Scores'!$D$8:$CZ$8,0),
  _xlpm.v, IFERROR(INDEX('3. Enter Indicator Scores'!$D$10:$CZ$161,_xlpm.r,_xlpm.c),""),
  IF(OR(_xlpm.w="",_xlpm.v=""),"",_xlpm.v*_xlpm.w)
)</f>
        <v/>
      </c>
      <c r="N154" s="93" t="str" cm="1">
        <f t="array" ref="N154">_xlfn.LET(
  _xlpm.w, N$11,
  _xlpm.r, MATCH(1,('3. Enter Indicator Scores'!$B$10:$B$161=$B154)*('3. Enter Indicator Scores'!$C$10:$C$161=$C154),0),
  _xlpm.c, MATCH(N$8,'3. Enter Indicator Scores'!$D$8:$CZ$8,0),
  _xlpm.v, IFERROR(INDEX('3. Enter Indicator Scores'!$D$10:$CZ$161,_xlpm.r,_xlpm.c),""),
  IF(OR(_xlpm.w="",_xlpm.v=""),"",_xlpm.v*_xlpm.w)
)</f>
        <v/>
      </c>
      <c r="O154" s="93" t="str" cm="1">
        <f t="array" ref="O154">_xlfn.LET(
  _xlpm.w, O$11,
  _xlpm.r, MATCH(1,('3. Enter Indicator Scores'!$B$10:$B$161=$B154)*('3. Enter Indicator Scores'!$C$10:$C$161=$C154),0),
  _xlpm.c, MATCH(O$8,'3. Enter Indicator Scores'!$D$8:$CZ$8,0),
  _xlpm.v, IFERROR(INDEX('3. Enter Indicator Scores'!$D$10:$CZ$161,_xlpm.r,_xlpm.c),""),
  IF(OR(_xlpm.w="",_xlpm.v=""),"",_xlpm.v*_xlpm.w)
)</f>
        <v/>
      </c>
      <c r="P154" s="93" t="str" cm="1">
        <f t="array" ref="P154">_xlfn.LET(
  _xlpm.w, P$11,
  _xlpm.r, MATCH(1,('3. Enter Indicator Scores'!$B$10:$B$161=$B154)*('3. Enter Indicator Scores'!$C$10:$C$161=$C154),0),
  _xlpm.c, MATCH(P$8,'3. Enter Indicator Scores'!$D$8:$CZ$8,0),
  _xlpm.v, IFERROR(INDEX('3. Enter Indicator Scores'!$D$10:$CZ$161,_xlpm.r,_xlpm.c),""),
  IF(OR(_xlpm.w="",_xlpm.v=""),"",_xlpm.v*_xlpm.w)
)</f>
        <v/>
      </c>
      <c r="Q154" s="93" t="str" cm="1">
        <f t="array" ref="Q154">_xlfn.LET(
  _xlpm.w, Q$11,
  _xlpm.r, MATCH(1,('3. Enter Indicator Scores'!$B$10:$B$161=$B154)*('3. Enter Indicator Scores'!$C$10:$C$161=$C154),0),
  _xlpm.c, MATCH(Q$8,'3. Enter Indicator Scores'!$D$8:$CZ$8,0),
  _xlpm.v, IFERROR(INDEX('3. Enter Indicator Scores'!$D$10:$CZ$161,_xlpm.r,_xlpm.c),""),
  IF(OR(_xlpm.w="",_xlpm.v=""),"",_xlpm.v*_xlpm.w)
)</f>
        <v/>
      </c>
      <c r="R154" s="93" t="str" cm="1">
        <f t="array" ref="R154">_xlfn.LET(
  _xlpm.w, R$11,
  _xlpm.r, MATCH(1,('3. Enter Indicator Scores'!$B$10:$B$161=$B154)*('3. Enter Indicator Scores'!$C$10:$C$161=$C154),0),
  _xlpm.c, MATCH(R$8,'3. Enter Indicator Scores'!$D$8:$CZ$8,0),
  _xlpm.v, IFERROR(INDEX('3. Enter Indicator Scores'!$D$10:$CZ$161,_xlpm.r,_xlpm.c),""),
  IF(OR(_xlpm.w="",_xlpm.v=""),"",_xlpm.v*_xlpm.w)
)</f>
        <v/>
      </c>
      <c r="S154" s="93" t="str" cm="1">
        <f t="array" ref="S154">_xlfn.LET(
  _xlpm.w, S$11,
  _xlpm.r, MATCH(1,('3. Enter Indicator Scores'!$B$10:$B$161=$B154)*('3. Enter Indicator Scores'!$C$10:$C$161=$C154),0),
  _xlpm.c, MATCH(S$8,'3. Enter Indicator Scores'!$D$8:$CZ$8,0),
  _xlpm.v, IFERROR(INDEX('3. Enter Indicator Scores'!$D$10:$CZ$161,_xlpm.r,_xlpm.c),""),
  IF(OR(_xlpm.w="",_xlpm.v=""),"",_xlpm.v*_xlpm.w)
)</f>
        <v/>
      </c>
      <c r="T154" s="93" t="str" cm="1">
        <f t="array" ref="T154">_xlfn.LET(
  _xlpm.w, T$11,
  _xlpm.r, MATCH(1,('3. Enter Indicator Scores'!$B$10:$B$161=$B154)*('3. Enter Indicator Scores'!$C$10:$C$161=$C154),0),
  _xlpm.c, MATCH(T$8,'3. Enter Indicator Scores'!$D$8:$CZ$8,0),
  _xlpm.v, IFERROR(INDEX('3. Enter Indicator Scores'!$D$10:$CZ$161,_xlpm.r,_xlpm.c),""),
  IF(OR(_xlpm.w="",_xlpm.v=""),"",_xlpm.v*_xlpm.w)
)</f>
        <v/>
      </c>
      <c r="U154" s="93" t="str" cm="1">
        <f t="array" ref="U154">_xlfn.LET(
  _xlpm.w, U$11,
  _xlpm.r, MATCH(1,('3. Enter Indicator Scores'!$B$10:$B$161=$B154)*('3. Enter Indicator Scores'!$C$10:$C$161=$C154),0),
  _xlpm.c, MATCH(U$8,'3. Enter Indicator Scores'!$D$8:$CZ$8,0),
  _xlpm.v, IFERROR(INDEX('3. Enter Indicator Scores'!$D$10:$CZ$161,_xlpm.r,_xlpm.c),""),
  IF(OR(_xlpm.w="",_xlpm.v=""),"",_xlpm.v*_xlpm.w)
)</f>
        <v/>
      </c>
      <c r="V154" s="93" t="str" cm="1">
        <f t="array" ref="V154">_xlfn.LET(
  _xlpm.w, V$11,
  _xlpm.r, MATCH(1,('3. Enter Indicator Scores'!$B$10:$B$161=$B154)*('3. Enter Indicator Scores'!$C$10:$C$161=$C154),0),
  _xlpm.c, MATCH(V$8,'3. Enter Indicator Scores'!$D$8:$CZ$8,0),
  _xlpm.v, IFERROR(INDEX('3. Enter Indicator Scores'!$D$10:$CZ$161,_xlpm.r,_xlpm.c),""),
  IF(OR(_xlpm.w="",_xlpm.v=""),"",_xlpm.v*_xlpm.w)
)</f>
        <v/>
      </c>
      <c r="W154" s="93" t="str" cm="1">
        <f t="array" ref="W154">_xlfn.LET(
  _xlpm.w, W$11,
  _xlpm.r, MATCH(1,('3. Enter Indicator Scores'!$B$10:$B$161=$B154)*('3. Enter Indicator Scores'!$C$10:$C$161=$C154),0),
  _xlpm.c, MATCH(W$8,'3. Enter Indicator Scores'!$D$8:$CZ$8,0),
  _xlpm.v, IFERROR(INDEX('3. Enter Indicator Scores'!$D$10:$CZ$161,_xlpm.r,_xlpm.c),""),
  IF(OR(_xlpm.w="",_xlpm.v=""),"",_xlpm.v*_xlpm.w)
)</f>
        <v/>
      </c>
      <c r="X154" s="93" t="str" cm="1">
        <f t="array" ref="X154">_xlfn.LET(
  _xlpm.w, X$11,
  _xlpm.r, MATCH(1,('3. Enter Indicator Scores'!$B$10:$B$161=$B154)*('3. Enter Indicator Scores'!$C$10:$C$161=$C154),0),
  _xlpm.c, MATCH(X$8,'3. Enter Indicator Scores'!$D$8:$CZ$8,0),
  _xlpm.v, IFERROR(INDEX('3. Enter Indicator Scores'!$D$10:$CZ$161,_xlpm.r,_xlpm.c),""),
  IF(OR(_xlpm.w="",_xlpm.v=""),"",_xlpm.v*_xlpm.w)
)</f>
        <v/>
      </c>
      <c r="Y154" s="93" t="str" cm="1">
        <f t="array" ref="Y154">_xlfn.LET(
  _xlpm.w, Y$11,
  _xlpm.r, MATCH(1,('3. Enter Indicator Scores'!$B$10:$B$161=$B154)*('3. Enter Indicator Scores'!$C$10:$C$161=$C154),0),
  _xlpm.c, MATCH(Y$8,'3. Enter Indicator Scores'!$D$8:$CZ$8,0),
  _xlpm.v, IFERROR(INDEX('3. Enter Indicator Scores'!$D$10:$CZ$161,_xlpm.r,_xlpm.c),""),
  IF(OR(_xlpm.w="",_xlpm.v=""),"",_xlpm.v*_xlpm.w)
)</f>
        <v/>
      </c>
      <c r="Z154" s="93" t="str" cm="1">
        <f t="array" ref="Z154">_xlfn.LET(
  _xlpm.w, Z$11,
  _xlpm.r, MATCH(1,('3. Enter Indicator Scores'!$B$10:$B$161=$B154)*('3. Enter Indicator Scores'!$C$10:$C$161=$C154),0),
  _xlpm.c, MATCH(Z$8,'3. Enter Indicator Scores'!$D$8:$CZ$8,0),
  _xlpm.v, IFERROR(INDEX('3. Enter Indicator Scores'!$D$10:$CZ$161,_xlpm.r,_xlpm.c),""),
  IF(OR(_xlpm.w="",_xlpm.v=""),"",_xlpm.v*_xlpm.w)
)</f>
        <v/>
      </c>
      <c r="AA154" s="93" t="str" cm="1">
        <f t="array" ref="AA154">_xlfn.LET(
  _xlpm.w, AA$11,
  _xlpm.r, MATCH(1,('3. Enter Indicator Scores'!$B$10:$B$161=$B154)*('3. Enter Indicator Scores'!$C$10:$C$161=$C154),0),
  _xlpm.c, MATCH(AA$8,'3. Enter Indicator Scores'!$D$8:$CZ$8,0),
  _xlpm.v, IFERROR(INDEX('3. Enter Indicator Scores'!$D$10:$CZ$161,_xlpm.r,_xlpm.c),""),
  IF(OR(_xlpm.w="",_xlpm.v=""),"",_xlpm.v*_xlpm.w)
)</f>
        <v/>
      </c>
      <c r="AB154" s="93" t="str" cm="1">
        <f t="array" ref="AB154">_xlfn.LET(
  _xlpm.w, AB$11,
  _xlpm.r, MATCH(1,('3. Enter Indicator Scores'!$B$10:$B$161=$B154)*('3. Enter Indicator Scores'!$C$10:$C$161=$C154),0),
  _xlpm.c, MATCH(AB$8,'3. Enter Indicator Scores'!$D$8:$CZ$8,0),
  _xlpm.v, IFERROR(INDEX('3. Enter Indicator Scores'!$D$10:$CZ$161,_xlpm.r,_xlpm.c),""),
  IF(OR(_xlpm.w="",_xlpm.v=""),"",_xlpm.v*_xlpm.w)
)</f>
        <v/>
      </c>
      <c r="AC154" s="93" t="str" cm="1">
        <f t="array" ref="AC154">_xlfn.LET(
  _xlpm.w, AC$11,
  _xlpm.r, MATCH(1,('3. Enter Indicator Scores'!$B$10:$B$161=$B154)*('3. Enter Indicator Scores'!$C$10:$C$161=$C154),0),
  _xlpm.c, MATCH(AC$8,'3. Enter Indicator Scores'!$D$8:$CZ$8,0),
  _xlpm.v, IFERROR(INDEX('3. Enter Indicator Scores'!$D$10:$CZ$161,_xlpm.r,_xlpm.c),""),
  IF(OR(_xlpm.w="",_xlpm.v=""),"",_xlpm.v*_xlpm.w)
)</f>
        <v/>
      </c>
      <c r="AD154" s="93" t="str" cm="1">
        <f t="array" ref="AD154">_xlfn.LET(
  _xlpm.w, AD$11,
  _xlpm.r, MATCH(1,('3. Enter Indicator Scores'!$B$10:$B$161=$B154)*('3. Enter Indicator Scores'!$C$10:$C$161=$C154),0),
  _xlpm.c, MATCH(AD$8,'3. Enter Indicator Scores'!$D$8:$CZ$8,0),
  _xlpm.v, IFERROR(INDEX('3. Enter Indicator Scores'!$D$10:$CZ$161,_xlpm.r,_xlpm.c),""),
  IF(OR(_xlpm.w="",_xlpm.v=""),"",_xlpm.v*_xlpm.w)
)</f>
        <v/>
      </c>
      <c r="AE154" s="93" t="str" cm="1">
        <f t="array" ref="AE154">_xlfn.LET(
  _xlpm.w, AE$11,
  _xlpm.r, MATCH(1,('3. Enter Indicator Scores'!$B$10:$B$161=$B154)*('3. Enter Indicator Scores'!$C$10:$C$161=$C154),0),
  _xlpm.c, MATCH(AE$8,'3. Enter Indicator Scores'!$D$8:$CZ$8,0),
  _xlpm.v, IFERROR(INDEX('3. Enter Indicator Scores'!$D$10:$CZ$161,_xlpm.r,_xlpm.c),""),
  IF(OR(_xlpm.w="",_xlpm.v=""),"",_xlpm.v*_xlpm.w)
)</f>
        <v/>
      </c>
      <c r="AF154" s="93" t="str" cm="1">
        <f t="array" ref="AF154">_xlfn.LET(
  _xlpm.w, AF$11,
  _xlpm.r, MATCH(1,('3. Enter Indicator Scores'!$B$10:$B$161=$B154)*('3. Enter Indicator Scores'!$C$10:$C$161=$C154),0),
  _xlpm.c, MATCH(AF$8,'3. Enter Indicator Scores'!$D$8:$CZ$8,0),
  _xlpm.v, IFERROR(INDEX('3. Enter Indicator Scores'!$D$10:$CZ$161,_xlpm.r,_xlpm.c),""),
  IF(OR(_xlpm.w="",_xlpm.v=""),"",_xlpm.v*_xlpm.w)
)</f>
        <v/>
      </c>
      <c r="AG154" s="93" t="str" cm="1">
        <f t="array" ref="AG154">_xlfn.LET(
  _xlpm.w, AG$11,
  _xlpm.r, MATCH(1,('3. Enter Indicator Scores'!$B$10:$B$161=$B154)*('3. Enter Indicator Scores'!$C$10:$C$161=$C154),0),
  _xlpm.c, MATCH(AG$8,'3. Enter Indicator Scores'!$D$8:$CZ$8,0),
  _xlpm.v, IFERROR(INDEX('3. Enter Indicator Scores'!$D$10:$CZ$161,_xlpm.r,_xlpm.c),""),
  IF(OR(_xlpm.w="",_xlpm.v=""),"",_xlpm.v*_xlpm.w)
)</f>
        <v/>
      </c>
      <c r="AH154" s="93" t="str" cm="1">
        <f t="array" ref="AH154">_xlfn.LET(
  _xlpm.w, AH$11,
  _xlpm.r, MATCH(1,('3. Enter Indicator Scores'!$B$10:$B$161=$B154)*('3. Enter Indicator Scores'!$C$10:$C$161=$C154),0),
  _xlpm.c, MATCH(AH$8,'3. Enter Indicator Scores'!$D$8:$CZ$8,0),
  _xlpm.v, IFERROR(INDEX('3. Enter Indicator Scores'!$D$10:$CZ$161,_xlpm.r,_xlpm.c),""),
  IF(OR(_xlpm.w="",_xlpm.v=""),"",_xlpm.v*_xlpm.w)
)</f>
        <v/>
      </c>
      <c r="AI154" s="93" t="str" cm="1">
        <f t="array" ref="AI154">_xlfn.LET(
  _xlpm.w, AI$11,
  _xlpm.r, MATCH(1,('3. Enter Indicator Scores'!$B$10:$B$161=$B154)*('3. Enter Indicator Scores'!$C$10:$C$161=$C154),0),
  _xlpm.c, MATCH(AI$8,'3. Enter Indicator Scores'!$D$8:$CZ$8,0),
  _xlpm.v, IFERROR(INDEX('3. Enter Indicator Scores'!$D$10:$CZ$161,_xlpm.r,_xlpm.c),""),
  IF(OR(_xlpm.w="",_xlpm.v=""),"",_xlpm.v*_xlpm.w)
)</f>
        <v/>
      </c>
      <c r="AJ154" s="93" t="str" cm="1">
        <f t="array" ref="AJ154">_xlfn.LET(
  _xlpm.w, AJ$11,
  _xlpm.r, MATCH(1,('3. Enter Indicator Scores'!$B$10:$B$161=$B154)*('3. Enter Indicator Scores'!$C$10:$C$161=$C154),0),
  _xlpm.c, MATCH(AJ$8,'3. Enter Indicator Scores'!$D$8:$CZ$8,0),
  _xlpm.v, IFERROR(INDEX('3. Enter Indicator Scores'!$D$10:$CZ$161,_xlpm.r,_xlpm.c),""),
  IF(OR(_xlpm.w="",_xlpm.v=""),"",_xlpm.v*_xlpm.w)
)</f>
        <v/>
      </c>
      <c r="AK154" s="93" t="str" cm="1">
        <f t="array" ref="AK154">_xlfn.LET(
  _xlpm.w, AK$11,
  _xlpm.r, MATCH(1,('3. Enter Indicator Scores'!$B$10:$B$161=$B154)*('3. Enter Indicator Scores'!$C$10:$C$161=$C154),0),
  _xlpm.c, MATCH(AK$8,'3. Enter Indicator Scores'!$D$8:$CZ$8,0),
  _xlpm.v, IFERROR(INDEX('3. Enter Indicator Scores'!$D$10:$CZ$161,_xlpm.r,_xlpm.c),""),
  IF(OR(_xlpm.w="",_xlpm.v=""),"",_xlpm.v*_xlpm.w)
)</f>
        <v/>
      </c>
      <c r="AL154" s="93" t="str" cm="1">
        <f t="array" ref="AL154">_xlfn.LET(
  _xlpm.w, AL$11,
  _xlpm.r, MATCH(1,('3. Enter Indicator Scores'!$B$10:$B$161=$B154)*('3. Enter Indicator Scores'!$C$10:$C$161=$C154),0),
  _xlpm.c, MATCH(AL$8,'3. Enter Indicator Scores'!$D$8:$CZ$8,0),
  _xlpm.v, IFERROR(INDEX('3. Enter Indicator Scores'!$D$10:$CZ$161,_xlpm.r,_xlpm.c),""),
  IF(OR(_xlpm.w="",_xlpm.v=""),"",_xlpm.v*_xlpm.w)
)</f>
        <v/>
      </c>
      <c r="AM154" s="93" t="str" cm="1">
        <f t="array" ref="AM154">_xlfn.LET(
  _xlpm.w, AM$11,
  _xlpm.r, MATCH(1,('3. Enter Indicator Scores'!$B$10:$B$161=$B154)*('3. Enter Indicator Scores'!$C$10:$C$161=$C154),0),
  _xlpm.c, MATCH(AM$8,'3. Enter Indicator Scores'!$D$8:$CZ$8,0),
  _xlpm.v, IFERROR(INDEX('3. Enter Indicator Scores'!$D$10:$CZ$161,_xlpm.r,_xlpm.c),""),
  IF(OR(_xlpm.w="",_xlpm.v=""),"",_xlpm.v*_xlpm.w)
)</f>
        <v/>
      </c>
      <c r="AN154" s="93" t="str" cm="1">
        <f t="array" ref="AN154">_xlfn.LET(
  _xlpm.w, AN$11,
  _xlpm.r, MATCH(1,('3. Enter Indicator Scores'!$B$10:$B$161=$B154)*('3. Enter Indicator Scores'!$C$10:$C$161=$C154),0),
  _xlpm.c, MATCH(AN$8,'3. Enter Indicator Scores'!$D$8:$CZ$8,0),
  _xlpm.v, IFERROR(INDEX('3. Enter Indicator Scores'!$D$10:$CZ$161,_xlpm.r,_xlpm.c),""),
  IF(OR(_xlpm.w="",_xlpm.v=""),"",_xlpm.v*_xlpm.w)
)</f>
        <v/>
      </c>
      <c r="AO154" s="93" t="str" cm="1">
        <f t="array" ref="AO154">_xlfn.LET(
  _xlpm.w, AO$11,
  _xlpm.r, MATCH(1,('3. Enter Indicator Scores'!$B$10:$B$161=$B154)*('3. Enter Indicator Scores'!$C$10:$C$161=$C154),0),
  _xlpm.c, MATCH(AO$8,'3. Enter Indicator Scores'!$D$8:$CZ$8,0),
  _xlpm.v, IFERROR(INDEX('3. Enter Indicator Scores'!$D$10:$CZ$161,_xlpm.r,_xlpm.c),""),
  IF(OR(_xlpm.w="",_xlpm.v=""),"",_xlpm.v*_xlpm.w)
)</f>
        <v/>
      </c>
      <c r="AP154" s="93" t="str" cm="1">
        <f t="array" ref="AP154">_xlfn.LET(
  _xlpm.w, AP$11,
  _xlpm.r, MATCH(1,('3. Enter Indicator Scores'!$B$10:$B$161=$B154)*('3. Enter Indicator Scores'!$C$10:$C$161=$C154),0),
  _xlpm.c, MATCH(AP$8,'3. Enter Indicator Scores'!$D$8:$CZ$8,0),
  _xlpm.v, IFERROR(INDEX('3. Enter Indicator Scores'!$D$10:$CZ$161,_xlpm.r,_xlpm.c),""),
  IF(OR(_xlpm.w="",_xlpm.v=""),"",_xlpm.v*_xlpm.w)
)</f>
        <v/>
      </c>
      <c r="AQ154" s="93" t="str" cm="1">
        <f t="array" ref="AQ154">_xlfn.LET(
  _xlpm.w, AQ$11,
  _xlpm.r, MATCH(1,('3. Enter Indicator Scores'!$B$10:$B$161=$B154)*('3. Enter Indicator Scores'!$C$10:$C$161=$C154),0),
  _xlpm.c, MATCH(AQ$8,'3. Enter Indicator Scores'!$D$8:$CZ$8,0),
  _xlpm.v, IFERROR(INDEX('3. Enter Indicator Scores'!$D$10:$CZ$161,_xlpm.r,_xlpm.c),""),
  IF(OR(_xlpm.w="",_xlpm.v=""),"",_xlpm.v*_xlpm.w)
)</f>
        <v/>
      </c>
      <c r="AR154" s="93" t="str" cm="1">
        <f t="array" ref="AR154">_xlfn.LET(
  _xlpm.w, AR$11,
  _xlpm.r, MATCH(1,('3. Enter Indicator Scores'!$B$10:$B$161=$B154)*('3. Enter Indicator Scores'!$C$10:$C$161=$C154),0),
  _xlpm.c, MATCH(AR$8,'3. Enter Indicator Scores'!$D$8:$CZ$8,0),
  _xlpm.v, IFERROR(INDEX('3. Enter Indicator Scores'!$D$10:$CZ$161,_xlpm.r,_xlpm.c),""),
  IF(OR(_xlpm.w="",_xlpm.v=""),"",_xlpm.v*_xlpm.w)
)</f>
        <v/>
      </c>
      <c r="AS154" s="93" t="str" cm="1">
        <f t="array" ref="AS154">_xlfn.LET(
  _xlpm.w, AS$11,
  _xlpm.r, MATCH(1,('3. Enter Indicator Scores'!$B$10:$B$161=$B154)*('3. Enter Indicator Scores'!$C$10:$C$161=$C154),0),
  _xlpm.c, MATCH(AS$8,'3. Enter Indicator Scores'!$D$8:$CZ$8,0),
  _xlpm.v, IFERROR(INDEX('3. Enter Indicator Scores'!$D$10:$CZ$161,_xlpm.r,_xlpm.c),""),
  IF(OR(_xlpm.w="",_xlpm.v=""),"",_xlpm.v*_xlpm.w)
)</f>
        <v/>
      </c>
      <c r="AT154" s="93" t="str" cm="1">
        <f t="array" ref="AT154">_xlfn.LET(
  _xlpm.w, AT$11,
  _xlpm.r, MATCH(1,('3. Enter Indicator Scores'!$B$10:$B$161=$B154)*('3. Enter Indicator Scores'!$C$10:$C$161=$C154),0),
  _xlpm.c, MATCH(AT$8,'3. Enter Indicator Scores'!$D$8:$CZ$8,0),
  _xlpm.v, IFERROR(INDEX('3. Enter Indicator Scores'!$D$10:$CZ$161,_xlpm.r,_xlpm.c),""),
  IF(OR(_xlpm.w="",_xlpm.v=""),"",_xlpm.v*_xlpm.w)
)</f>
        <v/>
      </c>
      <c r="AU154" s="93" t="str" cm="1">
        <f t="array" ref="AU154">_xlfn.LET(
  _xlpm.w, AU$11,
  _xlpm.r, MATCH(1,('3. Enter Indicator Scores'!$B$10:$B$161=$B154)*('3. Enter Indicator Scores'!$C$10:$C$161=$C154),0),
  _xlpm.c, MATCH(AU$8,'3. Enter Indicator Scores'!$D$8:$CZ$8,0),
  _xlpm.v, IFERROR(INDEX('3. Enter Indicator Scores'!$D$10:$CZ$161,_xlpm.r,_xlpm.c),""),
  IF(OR(_xlpm.w="",_xlpm.v=""),"",_xlpm.v*_xlpm.w)
)</f>
        <v/>
      </c>
      <c r="AV154" s="93" t="str" cm="1">
        <f t="array" ref="AV154">_xlfn.LET(
  _xlpm.w, AV$11,
  _xlpm.r, MATCH(1,('3. Enter Indicator Scores'!$B$10:$B$161=$B154)*('3. Enter Indicator Scores'!$C$10:$C$161=$C154),0),
  _xlpm.c, MATCH(AV$8,'3. Enter Indicator Scores'!$D$8:$CZ$8,0),
  _xlpm.v, IFERROR(INDEX('3. Enter Indicator Scores'!$D$10:$CZ$161,_xlpm.r,_xlpm.c),""),
  IF(OR(_xlpm.w="",_xlpm.v=""),"",_xlpm.v*_xlpm.w)
)</f>
        <v/>
      </c>
      <c r="AW154" s="93" t="str" cm="1">
        <f t="array" ref="AW154">_xlfn.LET(
  _xlpm.w, AW$11,
  _xlpm.r, MATCH(1,('3. Enter Indicator Scores'!$B$10:$B$161=$B154)*('3. Enter Indicator Scores'!$C$10:$C$161=$C154),0),
  _xlpm.c, MATCH(AW$8,'3. Enter Indicator Scores'!$D$8:$CZ$8,0),
  _xlpm.v, IFERROR(INDEX('3. Enter Indicator Scores'!$D$10:$CZ$161,_xlpm.r,_xlpm.c),""),
  IF(OR(_xlpm.w="",_xlpm.v=""),"",_xlpm.v*_xlpm.w)
)</f>
        <v/>
      </c>
      <c r="AX154" s="93" t="str" cm="1">
        <f t="array" ref="AX154">_xlfn.LET(
  _xlpm.w, AX$11,
  _xlpm.r, MATCH(1,('3. Enter Indicator Scores'!$B$10:$B$161=$B154)*('3. Enter Indicator Scores'!$C$10:$C$161=$C154),0),
  _xlpm.c, MATCH(AX$8,'3. Enter Indicator Scores'!$D$8:$CZ$8,0),
  _xlpm.v, IFERROR(INDEX('3. Enter Indicator Scores'!$D$10:$CZ$161,_xlpm.r,_xlpm.c),""),
  IF(OR(_xlpm.w="",_xlpm.v=""),"",_xlpm.v*_xlpm.w)
)</f>
        <v/>
      </c>
      <c r="AY154" s="93" t="str" cm="1">
        <f t="array" ref="AY154">_xlfn.LET(
  _xlpm.w, AY$11,
  _xlpm.r, MATCH(1,('3. Enter Indicator Scores'!$B$10:$B$161=$B154)*('3. Enter Indicator Scores'!$C$10:$C$161=$C154),0),
  _xlpm.c, MATCH(AY$8,'3. Enter Indicator Scores'!$D$8:$CZ$8,0),
  _xlpm.v, IFERROR(INDEX('3. Enter Indicator Scores'!$D$10:$CZ$161,_xlpm.r,_xlpm.c),""),
  IF(OR(_xlpm.w="",_xlpm.v=""),"",_xlpm.v*_xlpm.w)
)</f>
        <v/>
      </c>
      <c r="AZ154" s="93" t="str" cm="1">
        <f t="array" ref="AZ154">_xlfn.LET(
  _xlpm.w, AZ$11,
  _xlpm.r, MATCH(1,('3. Enter Indicator Scores'!$B$10:$B$161=$B154)*('3. Enter Indicator Scores'!$C$10:$C$161=$C154),0),
  _xlpm.c, MATCH(AZ$8,'3. Enter Indicator Scores'!$D$8:$CZ$8,0),
  _xlpm.v, IFERROR(INDEX('3. Enter Indicator Scores'!$D$10:$CZ$161,_xlpm.r,_xlpm.c),""),
  IF(OR(_xlpm.w="",_xlpm.v=""),"",_xlpm.v*_xlpm.w)
)</f>
        <v/>
      </c>
      <c r="BA154" s="93" t="str" cm="1">
        <f t="array" ref="BA154">_xlfn.LET(
  _xlpm.w, BA$11,
  _xlpm.r, MATCH(1,('3. Enter Indicator Scores'!$B$10:$B$161=$B154)*('3. Enter Indicator Scores'!$C$10:$C$161=$C154),0),
  _xlpm.c, MATCH(BA$8,'3. Enter Indicator Scores'!$D$8:$CZ$8,0),
  _xlpm.v, IFERROR(INDEX('3. Enter Indicator Scores'!$D$10:$CZ$161,_xlpm.r,_xlpm.c),""),
  IF(OR(_xlpm.w="",_xlpm.v=""),"",_xlpm.v*_xlpm.w)
)</f>
        <v/>
      </c>
      <c r="BB154" s="93" t="str" cm="1">
        <f t="array" ref="BB154">_xlfn.LET(
  _xlpm.w, BB$11,
  _xlpm.r, MATCH(1,('3. Enter Indicator Scores'!$B$10:$B$161=$B154)*('3. Enter Indicator Scores'!$C$10:$C$161=$C154),0),
  _xlpm.c, MATCH(BB$8,'3. Enter Indicator Scores'!$D$8:$CZ$8,0),
  _xlpm.v, IFERROR(INDEX('3. Enter Indicator Scores'!$D$10:$CZ$161,_xlpm.r,_xlpm.c),""),
  IF(OR(_xlpm.w="",_xlpm.v=""),"",_xlpm.v*_xlpm.w)
)</f>
        <v/>
      </c>
      <c r="BC154" s="93" t="str" cm="1">
        <f t="array" ref="BC154">_xlfn.LET(
  _xlpm.w, BC$11,
  _xlpm.r, MATCH(1,('3. Enter Indicator Scores'!$B$10:$B$161=$B154)*('3. Enter Indicator Scores'!$C$10:$C$161=$C154),0),
  _xlpm.c, MATCH(BC$8,'3. Enter Indicator Scores'!$D$8:$CZ$8,0),
  _xlpm.v, IFERROR(INDEX('3. Enter Indicator Scores'!$D$10:$CZ$161,_xlpm.r,_xlpm.c),""),
  IF(OR(_xlpm.w="",_xlpm.v=""),"",_xlpm.v*_xlpm.w)
)</f>
        <v/>
      </c>
      <c r="BD154" s="93" t="str" cm="1">
        <f t="array" ref="BD154">_xlfn.LET(
  _xlpm.w, BD$11,
  _xlpm.r, MATCH(1,('3. Enter Indicator Scores'!$B$10:$B$161=$B154)*('3. Enter Indicator Scores'!$C$10:$C$161=$C154),0),
  _xlpm.c, MATCH(BD$8,'3. Enter Indicator Scores'!$D$8:$CZ$8,0),
  _xlpm.v, IFERROR(INDEX('3. Enter Indicator Scores'!$D$10:$CZ$161,_xlpm.r,_xlpm.c),""),
  IF(OR(_xlpm.w="",_xlpm.v=""),"",_xlpm.v*_xlpm.w)
)</f>
        <v/>
      </c>
      <c r="BE154" s="93" t="str" cm="1">
        <f t="array" ref="BE154">_xlfn.LET(
  _xlpm.w, BE$11,
  _xlpm.r, MATCH(1,('3. Enter Indicator Scores'!$B$10:$B$161=$B154)*('3. Enter Indicator Scores'!$C$10:$C$161=$C154),0),
  _xlpm.c, MATCH(BE$8,'3. Enter Indicator Scores'!$D$8:$CZ$8,0),
  _xlpm.v, IFERROR(INDEX('3. Enter Indicator Scores'!$D$10:$CZ$161,_xlpm.r,_xlpm.c),""),
  IF(OR(_xlpm.w="",_xlpm.v=""),"",_xlpm.v*_xlpm.w)
)</f>
        <v/>
      </c>
      <c r="BF154" s="93" t="str" cm="1">
        <f t="array" ref="BF154">_xlfn.LET(
  _xlpm.w, BF$11,
  _xlpm.r, MATCH(1,('3. Enter Indicator Scores'!$B$10:$B$161=$B154)*('3. Enter Indicator Scores'!$C$10:$C$161=$C154),0),
  _xlpm.c, MATCH(BF$8,'3. Enter Indicator Scores'!$D$8:$CZ$8,0),
  _xlpm.v, IFERROR(INDEX('3. Enter Indicator Scores'!$D$10:$CZ$161,_xlpm.r,_xlpm.c),""),
  IF(OR(_xlpm.w="",_xlpm.v=""),"",_xlpm.v*_xlpm.w)
)</f>
        <v/>
      </c>
      <c r="BG154" s="93" t="str" cm="1">
        <f t="array" ref="BG154">_xlfn.LET(
  _xlpm.w, BG$11,
  _xlpm.r, MATCH(1,('3. Enter Indicator Scores'!$B$10:$B$161=$B154)*('3. Enter Indicator Scores'!$C$10:$C$161=$C154),0),
  _xlpm.c, MATCH(BG$8,'3. Enter Indicator Scores'!$D$8:$CZ$8,0),
  _xlpm.v, IFERROR(INDEX('3. Enter Indicator Scores'!$D$10:$CZ$161,_xlpm.r,_xlpm.c),""),
  IF(OR(_xlpm.w="",_xlpm.v=""),"",_xlpm.v*_xlpm.w)
)</f>
        <v/>
      </c>
      <c r="BH154" s="93" t="str" cm="1">
        <f t="array" ref="BH154">_xlfn.LET(
  _xlpm.w, BH$11,
  _xlpm.r, MATCH(1,('3. Enter Indicator Scores'!$B$10:$B$161=$B154)*('3. Enter Indicator Scores'!$C$10:$C$161=$C154),0),
  _xlpm.c, MATCH(BH$8,'3. Enter Indicator Scores'!$D$8:$CZ$8,0),
  _xlpm.v, IFERROR(INDEX('3. Enter Indicator Scores'!$D$10:$CZ$161,_xlpm.r,_xlpm.c),""),
  IF(OR(_xlpm.w="",_xlpm.v=""),"",_xlpm.v*_xlpm.w)
)</f>
        <v/>
      </c>
      <c r="BI154" s="93" t="str" cm="1">
        <f t="array" ref="BI154">_xlfn.LET(
  _xlpm.w, BI$11,
  _xlpm.r, MATCH(1,('3. Enter Indicator Scores'!$B$10:$B$161=$B154)*('3. Enter Indicator Scores'!$C$10:$C$161=$C154),0),
  _xlpm.c, MATCH(BI$8,'3. Enter Indicator Scores'!$D$8:$CZ$8,0),
  _xlpm.v, IFERROR(INDEX('3. Enter Indicator Scores'!$D$10:$CZ$161,_xlpm.r,_xlpm.c),""),
  IF(OR(_xlpm.w="",_xlpm.v=""),"",_xlpm.v*_xlpm.w)
)</f>
        <v/>
      </c>
      <c r="BJ154" s="93" t="str" cm="1">
        <f t="array" ref="BJ154">_xlfn.LET(
  _xlpm.w, BJ$11,
  _xlpm.r, MATCH(1,('3. Enter Indicator Scores'!$B$10:$B$161=$B154)*('3. Enter Indicator Scores'!$C$10:$C$161=$C154),0),
  _xlpm.c, MATCH(BJ$8,'3. Enter Indicator Scores'!$D$8:$CZ$8,0),
  _xlpm.v, IFERROR(INDEX('3. Enter Indicator Scores'!$D$10:$CZ$161,_xlpm.r,_xlpm.c),""),
  IF(OR(_xlpm.w="",_xlpm.v=""),"",_xlpm.v*_xlpm.w)
)</f>
        <v/>
      </c>
      <c r="BK154" s="93" t="str" cm="1">
        <f t="array" ref="BK154">_xlfn.LET(
  _xlpm.w, BK$11,
  _xlpm.r, MATCH(1,('3. Enter Indicator Scores'!$B$10:$B$161=$B154)*('3. Enter Indicator Scores'!$C$10:$C$161=$C154),0),
  _xlpm.c, MATCH(BK$8,'3. Enter Indicator Scores'!$D$8:$CZ$8,0),
  _xlpm.v, IFERROR(INDEX('3. Enter Indicator Scores'!$D$10:$CZ$161,_xlpm.r,_xlpm.c),""),
  IF(OR(_xlpm.w="",_xlpm.v=""),"",_xlpm.v*_xlpm.w)
)</f>
        <v/>
      </c>
      <c r="BL154" s="93" t="str" cm="1">
        <f t="array" ref="BL154">_xlfn.LET(
  _xlpm.w, BL$11,
  _xlpm.r, MATCH(1,('3. Enter Indicator Scores'!$B$10:$B$161=$B154)*('3. Enter Indicator Scores'!$C$10:$C$161=$C154),0),
  _xlpm.c, MATCH(BL$8,'3. Enter Indicator Scores'!$D$8:$CZ$8,0),
  _xlpm.v, IFERROR(INDEX('3. Enter Indicator Scores'!$D$10:$CZ$161,_xlpm.r,_xlpm.c),""),
  IF(OR(_xlpm.w="",_xlpm.v=""),"",_xlpm.v*_xlpm.w)
)</f>
        <v/>
      </c>
      <c r="BM154" s="93" t="str" cm="1">
        <f t="array" ref="BM154">_xlfn.LET(
  _xlpm.w, BM$11,
  _xlpm.r, MATCH(1,('3. Enter Indicator Scores'!$B$10:$B$161=$B154)*('3. Enter Indicator Scores'!$C$10:$C$161=$C154),0),
  _xlpm.c, MATCH(BM$8,'3. Enter Indicator Scores'!$D$8:$CZ$8,0),
  _xlpm.v, IFERROR(INDEX('3. Enter Indicator Scores'!$D$10:$CZ$161,_xlpm.r,_xlpm.c),""),
  IF(OR(_xlpm.w="",_xlpm.v=""),"",_xlpm.v*_xlpm.w)
)</f>
        <v/>
      </c>
      <c r="BN154" s="93" t="str" cm="1">
        <f t="array" ref="BN154">_xlfn.LET(
  _xlpm.w, BN$11,
  _xlpm.r, MATCH(1,('3. Enter Indicator Scores'!$B$10:$B$161=$B154)*('3. Enter Indicator Scores'!$C$10:$C$161=$C154),0),
  _xlpm.c, MATCH(BN$8,'3. Enter Indicator Scores'!$D$8:$CZ$8,0),
  _xlpm.v, IFERROR(INDEX('3. Enter Indicator Scores'!$D$10:$CZ$161,_xlpm.r,_xlpm.c),""),
  IF(OR(_xlpm.w="",_xlpm.v=""),"",_xlpm.v*_xlpm.w)
)</f>
        <v/>
      </c>
      <c r="BO154" s="93" t="str" cm="1">
        <f t="array" ref="BO154">_xlfn.LET(
  _xlpm.w, BO$11,
  _xlpm.r, MATCH(1,('3. Enter Indicator Scores'!$B$10:$B$161=$B154)*('3. Enter Indicator Scores'!$C$10:$C$161=$C154),0),
  _xlpm.c, MATCH(BO$8,'3. Enter Indicator Scores'!$D$8:$CZ$8,0),
  _xlpm.v, IFERROR(INDEX('3. Enter Indicator Scores'!$D$10:$CZ$161,_xlpm.r,_xlpm.c),""),
  IF(OR(_xlpm.w="",_xlpm.v=""),"",_xlpm.v*_xlpm.w)
)</f>
        <v/>
      </c>
      <c r="BP154" s="93" t="str" cm="1">
        <f t="array" ref="BP154">_xlfn.LET(
  _xlpm.w, BP$11,
  _xlpm.r, MATCH(1,('3. Enter Indicator Scores'!$B$10:$B$161=$B154)*('3. Enter Indicator Scores'!$C$10:$C$161=$C154),0),
  _xlpm.c, MATCH(BP$8,'3. Enter Indicator Scores'!$D$8:$CZ$8,0),
  _xlpm.v, IFERROR(INDEX('3. Enter Indicator Scores'!$D$10:$CZ$161,_xlpm.r,_xlpm.c),""),
  IF(OR(_xlpm.w="",_xlpm.v=""),"",_xlpm.v*_xlpm.w)
)</f>
        <v/>
      </c>
      <c r="BQ154" s="93" t="str" cm="1">
        <f t="array" ref="BQ154">_xlfn.LET(
  _xlpm.w, BQ$11,
  _xlpm.r, MATCH(1,('3. Enter Indicator Scores'!$B$10:$B$161=$B154)*('3. Enter Indicator Scores'!$C$10:$C$161=$C154),0),
  _xlpm.c, MATCH(BQ$8,'3. Enter Indicator Scores'!$D$8:$CZ$8,0),
  _xlpm.v, IFERROR(INDEX('3. Enter Indicator Scores'!$D$10:$CZ$161,_xlpm.r,_xlpm.c),""),
  IF(OR(_xlpm.w="",_xlpm.v=""),"",_xlpm.v*_xlpm.w)
)</f>
        <v/>
      </c>
      <c r="BR154" s="93" t="str" cm="1">
        <f t="array" ref="BR154">_xlfn.LET(
  _xlpm.w, BR$11,
  _xlpm.r, MATCH(1,('3. Enter Indicator Scores'!$B$10:$B$161=$B154)*('3. Enter Indicator Scores'!$C$10:$C$161=$C154),0),
  _xlpm.c, MATCH(BR$8,'3. Enter Indicator Scores'!$D$8:$CZ$8,0),
  _xlpm.v, IFERROR(INDEX('3. Enter Indicator Scores'!$D$10:$CZ$161,_xlpm.r,_xlpm.c),""),
  IF(OR(_xlpm.w="",_xlpm.v=""),"",_xlpm.v*_xlpm.w)
)</f>
        <v/>
      </c>
      <c r="BS154" s="93" t="str" cm="1">
        <f t="array" ref="BS154">_xlfn.LET(
  _xlpm.w, BS$11,
  _xlpm.r, MATCH(1,('3. Enter Indicator Scores'!$B$10:$B$161=$B154)*('3. Enter Indicator Scores'!$C$10:$C$161=$C154),0),
  _xlpm.c, MATCH(BS$8,'3. Enter Indicator Scores'!$D$8:$CZ$8,0),
  _xlpm.v, IFERROR(INDEX('3. Enter Indicator Scores'!$D$10:$CZ$161,_xlpm.r,_xlpm.c),""),
  IF(OR(_xlpm.w="",_xlpm.v=""),"",_xlpm.v*_xlpm.w)
)</f>
        <v/>
      </c>
      <c r="BT154" s="93" t="str" cm="1">
        <f t="array" ref="BT154">_xlfn.LET(
  _xlpm.w, BT$11,
  _xlpm.r, MATCH(1,('3. Enter Indicator Scores'!$B$10:$B$161=$B154)*('3. Enter Indicator Scores'!$C$10:$C$161=$C154),0),
  _xlpm.c, MATCH(BT$8,'3. Enter Indicator Scores'!$D$8:$CZ$8,0),
  _xlpm.v, IFERROR(INDEX('3. Enter Indicator Scores'!$D$10:$CZ$161,_xlpm.r,_xlpm.c),""),
  IF(OR(_xlpm.w="",_xlpm.v=""),"",_xlpm.v*_xlpm.w)
)</f>
        <v/>
      </c>
      <c r="BU154" s="93" t="str" cm="1">
        <f t="array" ref="BU154">_xlfn.LET(
  _xlpm.w, BU$11,
  _xlpm.r, MATCH(1,('3. Enter Indicator Scores'!$B$10:$B$161=$B154)*('3. Enter Indicator Scores'!$C$10:$C$161=$C154),0),
  _xlpm.c, MATCH(BU$8,'3. Enter Indicator Scores'!$D$8:$CZ$8,0),
  _xlpm.v, IFERROR(INDEX('3. Enter Indicator Scores'!$D$10:$CZ$161,_xlpm.r,_xlpm.c),""),
  IF(OR(_xlpm.w="",_xlpm.v=""),"",_xlpm.v*_xlpm.w)
)</f>
        <v/>
      </c>
      <c r="BV154" s="93" t="str" cm="1">
        <f t="array" ref="BV154">_xlfn.LET(
  _xlpm.w, BV$11,
  _xlpm.r, MATCH(1,('3. Enter Indicator Scores'!$B$10:$B$161=$B154)*('3. Enter Indicator Scores'!$C$10:$C$161=$C154),0),
  _xlpm.c, MATCH(BV$8,'3. Enter Indicator Scores'!$D$8:$CZ$8,0),
  _xlpm.v, IFERROR(INDEX('3. Enter Indicator Scores'!$D$10:$CZ$161,_xlpm.r,_xlpm.c),""),
  IF(OR(_xlpm.w="",_xlpm.v=""),"",_xlpm.v*_xlpm.w)
)</f>
        <v/>
      </c>
      <c r="BW154" s="93" t="str" cm="1">
        <f t="array" ref="BW154">_xlfn.LET(
  _xlpm.w, BW$11,
  _xlpm.r, MATCH(1,('3. Enter Indicator Scores'!$B$10:$B$161=$B154)*('3. Enter Indicator Scores'!$C$10:$C$161=$C154),0),
  _xlpm.c, MATCH(BW$8,'3. Enter Indicator Scores'!$D$8:$CZ$8,0),
  _xlpm.v, IFERROR(INDEX('3. Enter Indicator Scores'!$D$10:$CZ$161,_xlpm.r,_xlpm.c),""),
  IF(OR(_xlpm.w="",_xlpm.v=""),"",_xlpm.v*_xlpm.w)
)</f>
        <v/>
      </c>
      <c r="BX154" s="93" t="str" cm="1">
        <f t="array" ref="BX154">_xlfn.LET(
  _xlpm.w, BX$11,
  _xlpm.r, MATCH(1,('3. Enter Indicator Scores'!$B$10:$B$161=$B154)*('3. Enter Indicator Scores'!$C$10:$C$161=$C154),0),
  _xlpm.c, MATCH(BX$8,'3. Enter Indicator Scores'!$D$8:$CZ$8,0),
  _xlpm.v, IFERROR(INDEX('3. Enter Indicator Scores'!$D$10:$CZ$161,_xlpm.r,_xlpm.c),""),
  IF(OR(_xlpm.w="",_xlpm.v=""),"",_xlpm.v*_xlpm.w)
)</f>
        <v/>
      </c>
      <c r="BY154" s="93" t="str" cm="1">
        <f t="array" ref="BY154">_xlfn.LET(
  _xlpm.w, BY$11,
  _xlpm.r, MATCH(1,('3. Enter Indicator Scores'!$B$10:$B$161=$B154)*('3. Enter Indicator Scores'!$C$10:$C$161=$C154),0),
  _xlpm.c, MATCH(BY$8,'3. Enter Indicator Scores'!$D$8:$CZ$8,0),
  _xlpm.v, IFERROR(INDEX('3. Enter Indicator Scores'!$D$10:$CZ$161,_xlpm.r,_xlpm.c),""),
  IF(OR(_xlpm.w="",_xlpm.v=""),"",_xlpm.v*_xlpm.w)
)</f>
        <v/>
      </c>
      <c r="BZ154" s="93" t="str" cm="1">
        <f t="array" ref="BZ154">_xlfn.LET(
  _xlpm.w, BZ$11,
  _xlpm.r, MATCH(1,('3. Enter Indicator Scores'!$B$10:$B$161=$B154)*('3. Enter Indicator Scores'!$C$10:$C$161=$C154),0),
  _xlpm.c, MATCH(BZ$8,'3. Enter Indicator Scores'!$D$8:$CZ$8,0),
  _xlpm.v, IFERROR(INDEX('3. Enter Indicator Scores'!$D$10:$CZ$161,_xlpm.r,_xlpm.c),""),
  IF(OR(_xlpm.w="",_xlpm.v=""),"",_xlpm.v*_xlpm.w)
)</f>
        <v/>
      </c>
      <c r="CA154" s="93" t="str" cm="1">
        <f t="array" ref="CA154">_xlfn.LET(
  _xlpm.w, CA$11,
  _xlpm.r, MATCH(1,('3. Enter Indicator Scores'!$B$10:$B$161=$B154)*('3. Enter Indicator Scores'!$C$10:$C$161=$C154),0),
  _xlpm.c, MATCH(CA$8,'3. Enter Indicator Scores'!$D$8:$CZ$8,0),
  _xlpm.v, IFERROR(INDEX('3. Enter Indicator Scores'!$D$10:$CZ$161,_xlpm.r,_xlpm.c),""),
  IF(OR(_xlpm.w="",_xlpm.v=""),"",_xlpm.v*_xlpm.w)
)</f>
        <v/>
      </c>
      <c r="CB154" s="93" t="str" cm="1">
        <f t="array" ref="CB154">_xlfn.LET(
  _xlpm.w, CB$11,
  _xlpm.r, MATCH(1,('3. Enter Indicator Scores'!$B$10:$B$161=$B154)*('3. Enter Indicator Scores'!$C$10:$C$161=$C154),0),
  _xlpm.c, MATCH(CB$8,'3. Enter Indicator Scores'!$D$8:$CZ$8,0),
  _xlpm.v, IFERROR(INDEX('3. Enter Indicator Scores'!$D$10:$CZ$161,_xlpm.r,_xlpm.c),""),
  IF(OR(_xlpm.w="",_xlpm.v=""),"",_xlpm.v*_xlpm.w)
)</f>
        <v/>
      </c>
      <c r="CC154" s="93" t="str" cm="1">
        <f t="array" ref="CC154">_xlfn.LET(
  _xlpm.w, CC$11,
  _xlpm.r, MATCH(1,('3. Enter Indicator Scores'!$B$10:$B$161=$B154)*('3. Enter Indicator Scores'!$C$10:$C$161=$C154),0),
  _xlpm.c, MATCH(CC$8,'3. Enter Indicator Scores'!$D$8:$CZ$8,0),
  _xlpm.v, IFERROR(INDEX('3. Enter Indicator Scores'!$D$10:$CZ$161,_xlpm.r,_xlpm.c),""),
  IF(OR(_xlpm.w="",_xlpm.v=""),"",_xlpm.v*_xlpm.w)
)</f>
        <v/>
      </c>
      <c r="CD154" s="93" t="str" cm="1">
        <f t="array" ref="CD154">_xlfn.LET(
  _xlpm.w, CD$11,
  _xlpm.r, MATCH(1,('3. Enter Indicator Scores'!$B$10:$B$161=$B154)*('3. Enter Indicator Scores'!$C$10:$C$161=$C154),0),
  _xlpm.c, MATCH(CD$8,'3. Enter Indicator Scores'!$D$8:$CZ$8,0),
  _xlpm.v, IFERROR(INDEX('3. Enter Indicator Scores'!$D$10:$CZ$161,_xlpm.r,_xlpm.c),""),
  IF(OR(_xlpm.w="",_xlpm.v=""),"",_xlpm.v*_xlpm.w)
)</f>
        <v/>
      </c>
      <c r="CE154" s="93" t="str" cm="1">
        <f t="array" ref="CE154">_xlfn.LET(
  _xlpm.w, CE$11,
  _xlpm.r, MATCH(1,('3. Enter Indicator Scores'!$B$10:$B$161=$B154)*('3. Enter Indicator Scores'!$C$10:$C$161=$C154),0),
  _xlpm.c, MATCH(CE$8,'3. Enter Indicator Scores'!$D$8:$CZ$8,0),
  _xlpm.v, IFERROR(INDEX('3. Enter Indicator Scores'!$D$10:$CZ$161,_xlpm.r,_xlpm.c),""),
  IF(OR(_xlpm.w="",_xlpm.v=""),"",_xlpm.v*_xlpm.w)
)</f>
        <v/>
      </c>
      <c r="CF154" s="93" t="str" cm="1">
        <f t="array" ref="CF154">_xlfn.LET(
  _xlpm.w, CF$11,
  _xlpm.r, MATCH(1,('3. Enter Indicator Scores'!$B$10:$B$161=$B154)*('3. Enter Indicator Scores'!$C$10:$C$161=$C154),0),
  _xlpm.c, MATCH(CF$8,'3. Enter Indicator Scores'!$D$8:$CZ$8,0),
  _xlpm.v, IFERROR(INDEX('3. Enter Indicator Scores'!$D$10:$CZ$161,_xlpm.r,_xlpm.c),""),
  IF(OR(_xlpm.w="",_xlpm.v=""),"",_xlpm.v*_xlpm.w)
)</f>
        <v/>
      </c>
      <c r="CG154" s="93" t="str" cm="1">
        <f t="array" ref="CG154">_xlfn.LET(
  _xlpm.w, CG$11,
  _xlpm.r, MATCH(1,('3. Enter Indicator Scores'!$B$10:$B$161=$B154)*('3. Enter Indicator Scores'!$C$10:$C$161=$C154),0),
  _xlpm.c, MATCH(CG$8,'3. Enter Indicator Scores'!$D$8:$CZ$8,0),
  _xlpm.v, IFERROR(INDEX('3. Enter Indicator Scores'!$D$10:$CZ$161,_xlpm.r,_xlpm.c),""),
  IF(OR(_xlpm.w="",_xlpm.v=""),"",_xlpm.v*_xlpm.w)
)</f>
        <v/>
      </c>
      <c r="CH154" s="93" t="str" cm="1">
        <f t="array" ref="CH154">_xlfn.LET(
  _xlpm.w, CH$11,
  _xlpm.r, MATCH(1,('3. Enter Indicator Scores'!$B$10:$B$161=$B154)*('3. Enter Indicator Scores'!$C$10:$C$161=$C154),0),
  _xlpm.c, MATCH(CH$8,'3. Enter Indicator Scores'!$D$8:$CZ$8,0),
  _xlpm.v, IFERROR(INDEX('3. Enter Indicator Scores'!$D$10:$CZ$161,_xlpm.r,_xlpm.c),""),
  IF(OR(_xlpm.w="",_xlpm.v=""),"",_xlpm.v*_xlpm.w)
)</f>
        <v/>
      </c>
      <c r="CI154" s="93" t="str" cm="1">
        <f t="array" ref="CI154">_xlfn.LET(
  _xlpm.w, CI$11,
  _xlpm.r, MATCH(1,('3. Enter Indicator Scores'!$B$10:$B$161=$B154)*('3. Enter Indicator Scores'!$C$10:$C$161=$C154),0),
  _xlpm.c, MATCH(CI$8,'3. Enter Indicator Scores'!$D$8:$CZ$8,0),
  _xlpm.v, IFERROR(INDEX('3. Enter Indicator Scores'!$D$10:$CZ$161,_xlpm.r,_xlpm.c),""),
  IF(OR(_xlpm.w="",_xlpm.v=""),"",_xlpm.v*_xlpm.w)
)</f>
        <v/>
      </c>
      <c r="CJ154" s="93" t="str" cm="1">
        <f t="array" ref="CJ154">_xlfn.LET(
  _xlpm.w, CJ$11,
  _xlpm.r, MATCH(1,('3. Enter Indicator Scores'!$B$10:$B$161=$B154)*('3. Enter Indicator Scores'!$C$10:$C$161=$C154),0),
  _xlpm.c, MATCH(CJ$8,'3. Enter Indicator Scores'!$D$8:$CZ$8,0),
  _xlpm.v, IFERROR(INDEX('3. Enter Indicator Scores'!$D$10:$CZ$161,_xlpm.r,_xlpm.c),""),
  IF(OR(_xlpm.w="",_xlpm.v=""),"",_xlpm.v*_xlpm.w)
)</f>
        <v/>
      </c>
      <c r="CK154" s="93" t="str" cm="1">
        <f t="array" ref="CK154">_xlfn.LET(
  _xlpm.w, CK$11,
  _xlpm.r, MATCH(1,('3. Enter Indicator Scores'!$B$10:$B$161=$B154)*('3. Enter Indicator Scores'!$C$10:$C$161=$C154),0),
  _xlpm.c, MATCH(CK$8,'3. Enter Indicator Scores'!$D$8:$CZ$8,0),
  _xlpm.v, IFERROR(INDEX('3. Enter Indicator Scores'!$D$10:$CZ$161,_xlpm.r,_xlpm.c),""),
  IF(OR(_xlpm.w="",_xlpm.v=""),"",_xlpm.v*_xlpm.w)
)</f>
        <v/>
      </c>
      <c r="CL154" s="93" t="str" cm="1">
        <f t="array" ref="CL154">_xlfn.LET(
  _xlpm.w, CL$11,
  _xlpm.r, MATCH(1,('3. Enter Indicator Scores'!$B$10:$B$161=$B154)*('3. Enter Indicator Scores'!$C$10:$C$161=$C154),0),
  _xlpm.c, MATCH(CL$8,'3. Enter Indicator Scores'!$D$8:$CZ$8,0),
  _xlpm.v, IFERROR(INDEX('3. Enter Indicator Scores'!$D$10:$CZ$161,_xlpm.r,_xlpm.c),""),
  IF(OR(_xlpm.w="",_xlpm.v=""),"",_xlpm.v*_xlpm.w)
)</f>
        <v/>
      </c>
      <c r="CM154" s="93" t="str" cm="1">
        <f t="array" ref="CM154">_xlfn.LET(
  _xlpm.w, CM$11,
  _xlpm.r, MATCH(1,('3. Enter Indicator Scores'!$B$10:$B$161=$B154)*('3. Enter Indicator Scores'!$C$10:$C$161=$C154),0),
  _xlpm.c, MATCH(CM$8,'3. Enter Indicator Scores'!$D$8:$CZ$8,0),
  _xlpm.v, IFERROR(INDEX('3. Enter Indicator Scores'!$D$10:$CZ$161,_xlpm.r,_xlpm.c),""),
  IF(OR(_xlpm.w="",_xlpm.v=""),"",_xlpm.v*_xlpm.w)
)</f>
        <v/>
      </c>
      <c r="CN154" s="93" t="str" cm="1">
        <f t="array" ref="CN154">_xlfn.LET(
  _xlpm.w, CN$11,
  _xlpm.r, MATCH(1,('3. Enter Indicator Scores'!$B$10:$B$161=$B154)*('3. Enter Indicator Scores'!$C$10:$C$161=$C154),0),
  _xlpm.c, MATCH(CN$8,'3. Enter Indicator Scores'!$D$8:$CZ$8,0),
  _xlpm.v, IFERROR(INDEX('3. Enter Indicator Scores'!$D$10:$CZ$161,_xlpm.r,_xlpm.c),""),
  IF(OR(_xlpm.w="",_xlpm.v=""),"",_xlpm.v*_xlpm.w)
)</f>
        <v/>
      </c>
      <c r="CO154" s="93" t="str" cm="1">
        <f t="array" ref="CO154">_xlfn.LET(
  _xlpm.w, CO$11,
  _xlpm.r, MATCH(1,('3. Enter Indicator Scores'!$B$10:$B$161=$B154)*('3. Enter Indicator Scores'!$C$10:$C$161=$C154),0),
  _xlpm.c, MATCH(CO$8,'3. Enter Indicator Scores'!$D$8:$CZ$8,0),
  _xlpm.v, IFERROR(INDEX('3. Enter Indicator Scores'!$D$10:$CZ$161,_xlpm.r,_xlpm.c),""),
  IF(OR(_xlpm.w="",_xlpm.v=""),"",_xlpm.v*_xlpm.w)
)</f>
        <v/>
      </c>
      <c r="CP154" s="93" t="str" cm="1">
        <f t="array" ref="CP154">_xlfn.LET(
  _xlpm.w, CP$11,
  _xlpm.r, MATCH(1,('3. Enter Indicator Scores'!$B$10:$B$161=$B154)*('3. Enter Indicator Scores'!$C$10:$C$161=$C154),0),
  _xlpm.c, MATCH(CP$8,'3. Enter Indicator Scores'!$D$8:$CZ$8,0),
  _xlpm.v, IFERROR(INDEX('3. Enter Indicator Scores'!$D$10:$CZ$161,_xlpm.r,_xlpm.c),""),
  IF(OR(_xlpm.w="",_xlpm.v=""),"",_xlpm.v*_xlpm.w)
)</f>
        <v/>
      </c>
      <c r="CQ154" s="93" t="str" cm="1">
        <f t="array" ref="CQ154">_xlfn.LET(
  _xlpm.w, CQ$11,
  _xlpm.r, MATCH(1,('3. Enter Indicator Scores'!$B$10:$B$161=$B154)*('3. Enter Indicator Scores'!$C$10:$C$161=$C154),0),
  _xlpm.c, MATCH(CQ$8,'3. Enter Indicator Scores'!$D$8:$CZ$8,0),
  _xlpm.v, IFERROR(INDEX('3. Enter Indicator Scores'!$D$10:$CZ$161,_xlpm.r,_xlpm.c),""),
  IF(OR(_xlpm.w="",_xlpm.v=""),"",_xlpm.v*_xlpm.w)
)</f>
        <v/>
      </c>
      <c r="CR154" s="93" t="str" cm="1">
        <f t="array" ref="CR154">_xlfn.LET(
  _xlpm.w, CR$11,
  _xlpm.r, MATCH(1,('3. Enter Indicator Scores'!$B$10:$B$161=$B154)*('3. Enter Indicator Scores'!$C$10:$C$161=$C154),0),
  _xlpm.c, MATCH(CR$8,'3. Enter Indicator Scores'!$D$8:$CZ$8,0),
  _xlpm.v, IFERROR(INDEX('3. Enter Indicator Scores'!$D$10:$CZ$161,_xlpm.r,_xlpm.c),""),
  IF(OR(_xlpm.w="",_xlpm.v=""),"",_xlpm.v*_xlpm.w)
)</f>
        <v/>
      </c>
      <c r="CS154" s="93" t="str" cm="1">
        <f t="array" ref="CS154">_xlfn.LET(
  _xlpm.w, CS$11,
  _xlpm.r, MATCH(1,('3. Enter Indicator Scores'!$B$10:$B$161=$B154)*('3. Enter Indicator Scores'!$C$10:$C$161=$C154),0),
  _xlpm.c, MATCH(CS$8,'3. Enter Indicator Scores'!$D$8:$CZ$8,0),
  _xlpm.v, IFERROR(INDEX('3. Enter Indicator Scores'!$D$10:$CZ$161,_xlpm.r,_xlpm.c),""),
  IF(OR(_xlpm.w="",_xlpm.v=""),"",_xlpm.v*_xlpm.w)
)</f>
        <v/>
      </c>
      <c r="CT154" s="93" t="str" cm="1">
        <f t="array" ref="CT154">_xlfn.LET(
  _xlpm.w, CT$11,
  _xlpm.r, MATCH(1,('3. Enter Indicator Scores'!$B$10:$B$161=$B154)*('3. Enter Indicator Scores'!$C$10:$C$161=$C154),0),
  _xlpm.c, MATCH(CT$8,'3. Enter Indicator Scores'!$D$8:$CZ$8,0),
  _xlpm.v, IFERROR(INDEX('3. Enter Indicator Scores'!$D$10:$CZ$161,_xlpm.r,_xlpm.c),""),
  IF(OR(_xlpm.w="",_xlpm.v=""),"",_xlpm.v*_xlpm.w)
)</f>
        <v/>
      </c>
      <c r="CU154" s="93" t="str" cm="1">
        <f t="array" ref="CU154">_xlfn.LET(
  _xlpm.w, CU$11,
  _xlpm.r, MATCH(1,('3. Enter Indicator Scores'!$B$10:$B$161=$B154)*('3. Enter Indicator Scores'!$C$10:$C$161=$C154),0),
  _xlpm.c, MATCH(CU$8,'3. Enter Indicator Scores'!$D$8:$CZ$8,0),
  _xlpm.v, IFERROR(INDEX('3. Enter Indicator Scores'!$D$10:$CZ$161,_xlpm.r,_xlpm.c),""),
  IF(OR(_xlpm.w="",_xlpm.v=""),"",_xlpm.v*_xlpm.w)
)</f>
        <v/>
      </c>
      <c r="CV154" s="93" t="str" cm="1">
        <f t="array" ref="CV154">_xlfn.LET(
  _xlpm.w, CV$11,
  _xlpm.r, MATCH(1,('3. Enter Indicator Scores'!$B$10:$B$161=$B154)*('3. Enter Indicator Scores'!$C$10:$C$161=$C154),0),
  _xlpm.c, MATCH(CV$8,'3. Enter Indicator Scores'!$D$8:$CZ$8,0),
  _xlpm.v, IFERROR(INDEX('3. Enter Indicator Scores'!$D$10:$CZ$161,_xlpm.r,_xlpm.c),""),
  IF(OR(_xlpm.w="",_xlpm.v=""),"",_xlpm.v*_xlpm.w)
)</f>
        <v/>
      </c>
      <c r="CW154" s="93" t="str" cm="1">
        <f t="array" ref="CW154">_xlfn.LET(
  _xlpm.w, CW$11,
  _xlpm.r, MATCH(1,('3. Enter Indicator Scores'!$B$10:$B$161=$B154)*('3. Enter Indicator Scores'!$C$10:$C$161=$C154),0),
  _xlpm.c, MATCH(CW$8,'3. Enter Indicator Scores'!$D$8:$CZ$8,0),
  _xlpm.v, IFERROR(INDEX('3. Enter Indicator Scores'!$D$10:$CZ$161,_xlpm.r,_xlpm.c),""),
  IF(OR(_xlpm.w="",_xlpm.v=""),"",_xlpm.v*_xlpm.w)
)</f>
        <v/>
      </c>
      <c r="CX154" s="93" t="str" cm="1">
        <f t="array" ref="CX154">_xlfn.LET(
  _xlpm.w, CX$11,
  _xlpm.r, MATCH(1,('3. Enter Indicator Scores'!$B$10:$B$161=$B154)*('3. Enter Indicator Scores'!$C$10:$C$161=$C154),0),
  _xlpm.c, MATCH(CX$8,'3. Enter Indicator Scores'!$D$8:$CZ$8,0),
  _xlpm.v, IFERROR(INDEX('3. Enter Indicator Scores'!$D$10:$CZ$161,_xlpm.r,_xlpm.c),""),
  IF(OR(_xlpm.w="",_xlpm.v=""),"",_xlpm.v*_xlpm.w)
)</f>
        <v/>
      </c>
      <c r="CY154" s="93" t="str" cm="1">
        <f t="array" ref="CY154">_xlfn.LET(
  _xlpm.w, CY$11,
  _xlpm.r, MATCH(1,('3. Enter Indicator Scores'!$B$10:$B$161=$B154)*('3. Enter Indicator Scores'!$C$10:$C$161=$C154),0),
  _xlpm.c, MATCH(CY$8,'3. Enter Indicator Scores'!$D$8:$CZ$8,0),
  _xlpm.v, IFERROR(INDEX('3. Enter Indicator Scores'!$D$10:$CZ$161,_xlpm.r,_xlpm.c),""),
  IF(OR(_xlpm.w="",_xlpm.v=""),"",_xlpm.v*_xlpm.w)
)</f>
        <v/>
      </c>
      <c r="CZ154" s="93" t="str" cm="1">
        <f t="array" ref="CZ154">_xlfn.LET(
  _xlpm.w, CZ$11,
  _xlpm.r, MATCH(1,('3. Enter Indicator Scores'!$B$10:$B$161=$B154)*('3. Enter Indicator Scores'!$C$10:$C$161=$C154),0),
  _xlpm.c, MATCH(CZ$8,'3. Enter Indicator Scores'!$D$8:$CZ$8,0),
  _xlpm.v, IFERROR(INDEX('3. Enter Indicator Scores'!$D$10:$CZ$161,_xlpm.r,_xlpm.c),""),
  IF(OR(_xlpm.w="",_xlpm.v=""),"",_xlpm.v*_xlpm.w)
)</f>
        <v/>
      </c>
    </row>
    <row r="155" spans="4:104" x14ac:dyDescent="0.2">
      <c r="D155" s="93" t="str" cm="1">
        <f t="array" ref="D155">_xlfn.LET(
  _xlpm.w, D$11,
  _xlpm.r, MATCH(1,('3. Enter Indicator Scores'!$B$10:$B$161=$B155)*('3. Enter Indicator Scores'!$C$10:$C$161=$C155),0),
  _xlpm.c, MATCH(D$8,'3. Enter Indicator Scores'!$D$8:$CZ$8,0),
  _xlpm.v, IFERROR(INDEX('3. Enter Indicator Scores'!$D$10:$CZ$161,_xlpm.r,_xlpm.c),""),
  IF(OR(_xlpm.w="",_xlpm.v=""),"",_xlpm.v*_xlpm.w)
)</f>
        <v/>
      </c>
      <c r="E155" s="93" t="str" cm="1">
        <f t="array" ref="E155">_xlfn.LET(
  _xlpm.w, E$11,
  _xlpm.r, MATCH(1,('3. Enter Indicator Scores'!$B$10:$B$161=$B155)*('3. Enter Indicator Scores'!$C$10:$C$161=$C155),0),
  _xlpm.c, MATCH(E$8,'3. Enter Indicator Scores'!$D$8:$CZ$8,0),
  _xlpm.v, IFERROR(INDEX('3. Enter Indicator Scores'!$D$10:$CZ$161,_xlpm.r,_xlpm.c),""),
  IF(OR(_xlpm.w="",_xlpm.v=""),"",_xlpm.v*_xlpm.w)
)</f>
        <v/>
      </c>
      <c r="F155" s="93" t="str" cm="1">
        <f t="array" ref="F155">_xlfn.LET(
  _xlpm.w, F$11,
  _xlpm.r, MATCH(1,('3. Enter Indicator Scores'!$B$10:$B$161=$B155)*('3. Enter Indicator Scores'!$C$10:$C$161=$C155),0),
  _xlpm.c, MATCH(F$8,'3. Enter Indicator Scores'!$D$8:$CZ$8,0),
  _xlpm.v, IFERROR(INDEX('3. Enter Indicator Scores'!$D$10:$CZ$161,_xlpm.r,_xlpm.c),""),
  IF(OR(_xlpm.w="",_xlpm.v=""),"",_xlpm.v*_xlpm.w)
)</f>
        <v/>
      </c>
      <c r="G155" s="93" t="str" cm="1">
        <f t="array" ref="G155">_xlfn.LET(
  _xlpm.w, G$11,
  _xlpm.r, MATCH(1,('3. Enter Indicator Scores'!$B$10:$B$161=$B155)*('3. Enter Indicator Scores'!$C$10:$C$161=$C155),0),
  _xlpm.c, MATCH(G$8,'3. Enter Indicator Scores'!$D$8:$CZ$8,0),
  _xlpm.v, IFERROR(INDEX('3. Enter Indicator Scores'!$D$10:$CZ$161,_xlpm.r,_xlpm.c),""),
  IF(OR(_xlpm.w="",_xlpm.v=""),"",_xlpm.v*_xlpm.w)
)</f>
        <v/>
      </c>
      <c r="H155" s="93" t="str" cm="1">
        <f t="array" ref="H155">_xlfn.LET(
  _xlpm.w, H$11,
  _xlpm.r, MATCH(1,('3. Enter Indicator Scores'!$B$10:$B$161=$B155)*('3. Enter Indicator Scores'!$C$10:$C$161=$C155),0),
  _xlpm.c, MATCH(H$8,'3. Enter Indicator Scores'!$D$8:$CZ$8,0),
  _xlpm.v, IFERROR(INDEX('3. Enter Indicator Scores'!$D$10:$CZ$161,_xlpm.r,_xlpm.c),""),
  IF(OR(_xlpm.w="",_xlpm.v=""),"",_xlpm.v*_xlpm.w)
)</f>
        <v/>
      </c>
      <c r="I155" s="93" t="str" cm="1">
        <f t="array" ref="I155">_xlfn.LET(
  _xlpm.w, I$11,
  _xlpm.r, MATCH(1,('3. Enter Indicator Scores'!$B$10:$B$161=$B155)*('3. Enter Indicator Scores'!$C$10:$C$161=$C155),0),
  _xlpm.c, MATCH(I$8,'3. Enter Indicator Scores'!$D$8:$CZ$8,0),
  _xlpm.v, IFERROR(INDEX('3. Enter Indicator Scores'!$D$10:$CZ$161,_xlpm.r,_xlpm.c),""),
  IF(OR(_xlpm.w="",_xlpm.v=""),"",_xlpm.v*_xlpm.w)
)</f>
        <v/>
      </c>
      <c r="J155" s="93" t="str" cm="1">
        <f t="array" ref="J155">_xlfn.LET(
  _xlpm.w, J$11,
  _xlpm.r, MATCH(1,('3. Enter Indicator Scores'!$B$10:$B$161=$B155)*('3. Enter Indicator Scores'!$C$10:$C$161=$C155),0),
  _xlpm.c, MATCH(J$8,'3. Enter Indicator Scores'!$D$8:$CZ$8,0),
  _xlpm.v, IFERROR(INDEX('3. Enter Indicator Scores'!$D$10:$CZ$161,_xlpm.r,_xlpm.c),""),
  IF(OR(_xlpm.w="",_xlpm.v=""),"",_xlpm.v*_xlpm.w)
)</f>
        <v/>
      </c>
      <c r="K155" s="93" t="str" cm="1">
        <f t="array" ref="K155">_xlfn.LET(
  _xlpm.w, K$11,
  _xlpm.r, MATCH(1,('3. Enter Indicator Scores'!$B$10:$B$161=$B155)*('3. Enter Indicator Scores'!$C$10:$C$161=$C155),0),
  _xlpm.c, MATCH(K$8,'3. Enter Indicator Scores'!$D$8:$CZ$8,0),
  _xlpm.v, IFERROR(INDEX('3. Enter Indicator Scores'!$D$10:$CZ$161,_xlpm.r,_xlpm.c),""),
  IF(OR(_xlpm.w="",_xlpm.v=""),"",_xlpm.v*_xlpm.w)
)</f>
        <v/>
      </c>
      <c r="L155" s="93" t="str" cm="1">
        <f t="array" ref="L155">_xlfn.LET(
  _xlpm.w, L$11,
  _xlpm.r, MATCH(1,('3. Enter Indicator Scores'!$B$10:$B$161=$B155)*('3. Enter Indicator Scores'!$C$10:$C$161=$C155),0),
  _xlpm.c, MATCH(L$8,'3. Enter Indicator Scores'!$D$8:$CZ$8,0),
  _xlpm.v, IFERROR(INDEX('3. Enter Indicator Scores'!$D$10:$CZ$161,_xlpm.r,_xlpm.c),""),
  IF(OR(_xlpm.w="",_xlpm.v=""),"",_xlpm.v*_xlpm.w)
)</f>
        <v/>
      </c>
      <c r="M155" s="93" t="str" cm="1">
        <f t="array" ref="M155">_xlfn.LET(
  _xlpm.w, M$11,
  _xlpm.r, MATCH(1,('3. Enter Indicator Scores'!$B$10:$B$161=$B155)*('3. Enter Indicator Scores'!$C$10:$C$161=$C155),0),
  _xlpm.c, MATCH(M$8,'3. Enter Indicator Scores'!$D$8:$CZ$8,0),
  _xlpm.v, IFERROR(INDEX('3. Enter Indicator Scores'!$D$10:$CZ$161,_xlpm.r,_xlpm.c),""),
  IF(OR(_xlpm.w="",_xlpm.v=""),"",_xlpm.v*_xlpm.w)
)</f>
        <v/>
      </c>
      <c r="N155" s="93" t="str" cm="1">
        <f t="array" ref="N155">_xlfn.LET(
  _xlpm.w, N$11,
  _xlpm.r, MATCH(1,('3. Enter Indicator Scores'!$B$10:$B$161=$B155)*('3. Enter Indicator Scores'!$C$10:$C$161=$C155),0),
  _xlpm.c, MATCH(N$8,'3. Enter Indicator Scores'!$D$8:$CZ$8,0),
  _xlpm.v, IFERROR(INDEX('3. Enter Indicator Scores'!$D$10:$CZ$161,_xlpm.r,_xlpm.c),""),
  IF(OR(_xlpm.w="",_xlpm.v=""),"",_xlpm.v*_xlpm.w)
)</f>
        <v/>
      </c>
      <c r="O155" s="93" t="str" cm="1">
        <f t="array" ref="O155">_xlfn.LET(
  _xlpm.w, O$11,
  _xlpm.r, MATCH(1,('3. Enter Indicator Scores'!$B$10:$B$161=$B155)*('3. Enter Indicator Scores'!$C$10:$C$161=$C155),0),
  _xlpm.c, MATCH(O$8,'3. Enter Indicator Scores'!$D$8:$CZ$8,0),
  _xlpm.v, IFERROR(INDEX('3. Enter Indicator Scores'!$D$10:$CZ$161,_xlpm.r,_xlpm.c),""),
  IF(OR(_xlpm.w="",_xlpm.v=""),"",_xlpm.v*_xlpm.w)
)</f>
        <v/>
      </c>
      <c r="P155" s="93" t="str" cm="1">
        <f t="array" ref="P155">_xlfn.LET(
  _xlpm.w, P$11,
  _xlpm.r, MATCH(1,('3. Enter Indicator Scores'!$B$10:$B$161=$B155)*('3. Enter Indicator Scores'!$C$10:$C$161=$C155),0),
  _xlpm.c, MATCH(P$8,'3. Enter Indicator Scores'!$D$8:$CZ$8,0),
  _xlpm.v, IFERROR(INDEX('3. Enter Indicator Scores'!$D$10:$CZ$161,_xlpm.r,_xlpm.c),""),
  IF(OR(_xlpm.w="",_xlpm.v=""),"",_xlpm.v*_xlpm.w)
)</f>
        <v/>
      </c>
      <c r="Q155" s="93" t="str" cm="1">
        <f t="array" ref="Q155">_xlfn.LET(
  _xlpm.w, Q$11,
  _xlpm.r, MATCH(1,('3. Enter Indicator Scores'!$B$10:$B$161=$B155)*('3. Enter Indicator Scores'!$C$10:$C$161=$C155),0),
  _xlpm.c, MATCH(Q$8,'3. Enter Indicator Scores'!$D$8:$CZ$8,0),
  _xlpm.v, IFERROR(INDEX('3. Enter Indicator Scores'!$D$10:$CZ$161,_xlpm.r,_xlpm.c),""),
  IF(OR(_xlpm.w="",_xlpm.v=""),"",_xlpm.v*_xlpm.w)
)</f>
        <v/>
      </c>
      <c r="R155" s="93" t="str" cm="1">
        <f t="array" ref="R155">_xlfn.LET(
  _xlpm.w, R$11,
  _xlpm.r, MATCH(1,('3. Enter Indicator Scores'!$B$10:$B$161=$B155)*('3. Enter Indicator Scores'!$C$10:$C$161=$C155),0),
  _xlpm.c, MATCH(R$8,'3. Enter Indicator Scores'!$D$8:$CZ$8,0),
  _xlpm.v, IFERROR(INDEX('3. Enter Indicator Scores'!$D$10:$CZ$161,_xlpm.r,_xlpm.c),""),
  IF(OR(_xlpm.w="",_xlpm.v=""),"",_xlpm.v*_xlpm.w)
)</f>
        <v/>
      </c>
      <c r="S155" s="93" t="str" cm="1">
        <f t="array" ref="S155">_xlfn.LET(
  _xlpm.w, S$11,
  _xlpm.r, MATCH(1,('3. Enter Indicator Scores'!$B$10:$B$161=$B155)*('3. Enter Indicator Scores'!$C$10:$C$161=$C155),0),
  _xlpm.c, MATCH(S$8,'3. Enter Indicator Scores'!$D$8:$CZ$8,0),
  _xlpm.v, IFERROR(INDEX('3. Enter Indicator Scores'!$D$10:$CZ$161,_xlpm.r,_xlpm.c),""),
  IF(OR(_xlpm.w="",_xlpm.v=""),"",_xlpm.v*_xlpm.w)
)</f>
        <v/>
      </c>
      <c r="T155" s="93" t="str" cm="1">
        <f t="array" ref="T155">_xlfn.LET(
  _xlpm.w, T$11,
  _xlpm.r, MATCH(1,('3. Enter Indicator Scores'!$B$10:$B$161=$B155)*('3. Enter Indicator Scores'!$C$10:$C$161=$C155),0),
  _xlpm.c, MATCH(T$8,'3. Enter Indicator Scores'!$D$8:$CZ$8,0),
  _xlpm.v, IFERROR(INDEX('3. Enter Indicator Scores'!$D$10:$CZ$161,_xlpm.r,_xlpm.c),""),
  IF(OR(_xlpm.w="",_xlpm.v=""),"",_xlpm.v*_xlpm.w)
)</f>
        <v/>
      </c>
      <c r="U155" s="93" t="str" cm="1">
        <f t="array" ref="U155">_xlfn.LET(
  _xlpm.w, U$11,
  _xlpm.r, MATCH(1,('3. Enter Indicator Scores'!$B$10:$B$161=$B155)*('3. Enter Indicator Scores'!$C$10:$C$161=$C155),0),
  _xlpm.c, MATCH(U$8,'3. Enter Indicator Scores'!$D$8:$CZ$8,0),
  _xlpm.v, IFERROR(INDEX('3. Enter Indicator Scores'!$D$10:$CZ$161,_xlpm.r,_xlpm.c),""),
  IF(OR(_xlpm.w="",_xlpm.v=""),"",_xlpm.v*_xlpm.w)
)</f>
        <v/>
      </c>
      <c r="V155" s="93" t="str" cm="1">
        <f t="array" ref="V155">_xlfn.LET(
  _xlpm.w, V$11,
  _xlpm.r, MATCH(1,('3. Enter Indicator Scores'!$B$10:$B$161=$B155)*('3. Enter Indicator Scores'!$C$10:$C$161=$C155),0),
  _xlpm.c, MATCH(V$8,'3. Enter Indicator Scores'!$D$8:$CZ$8,0),
  _xlpm.v, IFERROR(INDEX('3. Enter Indicator Scores'!$D$10:$CZ$161,_xlpm.r,_xlpm.c),""),
  IF(OR(_xlpm.w="",_xlpm.v=""),"",_xlpm.v*_xlpm.w)
)</f>
        <v/>
      </c>
      <c r="W155" s="93" t="str" cm="1">
        <f t="array" ref="W155">_xlfn.LET(
  _xlpm.w, W$11,
  _xlpm.r, MATCH(1,('3. Enter Indicator Scores'!$B$10:$B$161=$B155)*('3. Enter Indicator Scores'!$C$10:$C$161=$C155),0),
  _xlpm.c, MATCH(W$8,'3. Enter Indicator Scores'!$D$8:$CZ$8,0),
  _xlpm.v, IFERROR(INDEX('3. Enter Indicator Scores'!$D$10:$CZ$161,_xlpm.r,_xlpm.c),""),
  IF(OR(_xlpm.w="",_xlpm.v=""),"",_xlpm.v*_xlpm.w)
)</f>
        <v/>
      </c>
      <c r="X155" s="93" t="str" cm="1">
        <f t="array" ref="X155">_xlfn.LET(
  _xlpm.w, X$11,
  _xlpm.r, MATCH(1,('3. Enter Indicator Scores'!$B$10:$B$161=$B155)*('3. Enter Indicator Scores'!$C$10:$C$161=$C155),0),
  _xlpm.c, MATCH(X$8,'3. Enter Indicator Scores'!$D$8:$CZ$8,0),
  _xlpm.v, IFERROR(INDEX('3. Enter Indicator Scores'!$D$10:$CZ$161,_xlpm.r,_xlpm.c),""),
  IF(OR(_xlpm.w="",_xlpm.v=""),"",_xlpm.v*_xlpm.w)
)</f>
        <v/>
      </c>
      <c r="Y155" s="93" t="str" cm="1">
        <f t="array" ref="Y155">_xlfn.LET(
  _xlpm.w, Y$11,
  _xlpm.r, MATCH(1,('3. Enter Indicator Scores'!$B$10:$B$161=$B155)*('3. Enter Indicator Scores'!$C$10:$C$161=$C155),0),
  _xlpm.c, MATCH(Y$8,'3. Enter Indicator Scores'!$D$8:$CZ$8,0),
  _xlpm.v, IFERROR(INDEX('3. Enter Indicator Scores'!$D$10:$CZ$161,_xlpm.r,_xlpm.c),""),
  IF(OR(_xlpm.w="",_xlpm.v=""),"",_xlpm.v*_xlpm.w)
)</f>
        <v/>
      </c>
      <c r="Z155" s="93" t="str" cm="1">
        <f t="array" ref="Z155">_xlfn.LET(
  _xlpm.w, Z$11,
  _xlpm.r, MATCH(1,('3. Enter Indicator Scores'!$B$10:$B$161=$B155)*('3. Enter Indicator Scores'!$C$10:$C$161=$C155),0),
  _xlpm.c, MATCH(Z$8,'3. Enter Indicator Scores'!$D$8:$CZ$8,0),
  _xlpm.v, IFERROR(INDEX('3. Enter Indicator Scores'!$D$10:$CZ$161,_xlpm.r,_xlpm.c),""),
  IF(OR(_xlpm.w="",_xlpm.v=""),"",_xlpm.v*_xlpm.w)
)</f>
        <v/>
      </c>
      <c r="AA155" s="93" t="str" cm="1">
        <f t="array" ref="AA155">_xlfn.LET(
  _xlpm.w, AA$11,
  _xlpm.r, MATCH(1,('3. Enter Indicator Scores'!$B$10:$B$161=$B155)*('3. Enter Indicator Scores'!$C$10:$C$161=$C155),0),
  _xlpm.c, MATCH(AA$8,'3. Enter Indicator Scores'!$D$8:$CZ$8,0),
  _xlpm.v, IFERROR(INDEX('3. Enter Indicator Scores'!$D$10:$CZ$161,_xlpm.r,_xlpm.c),""),
  IF(OR(_xlpm.w="",_xlpm.v=""),"",_xlpm.v*_xlpm.w)
)</f>
        <v/>
      </c>
      <c r="AB155" s="93" t="str" cm="1">
        <f t="array" ref="AB155">_xlfn.LET(
  _xlpm.w, AB$11,
  _xlpm.r, MATCH(1,('3. Enter Indicator Scores'!$B$10:$B$161=$B155)*('3. Enter Indicator Scores'!$C$10:$C$161=$C155),0),
  _xlpm.c, MATCH(AB$8,'3. Enter Indicator Scores'!$D$8:$CZ$8,0),
  _xlpm.v, IFERROR(INDEX('3. Enter Indicator Scores'!$D$10:$CZ$161,_xlpm.r,_xlpm.c),""),
  IF(OR(_xlpm.w="",_xlpm.v=""),"",_xlpm.v*_xlpm.w)
)</f>
        <v/>
      </c>
      <c r="AC155" s="93" t="str" cm="1">
        <f t="array" ref="AC155">_xlfn.LET(
  _xlpm.w, AC$11,
  _xlpm.r, MATCH(1,('3. Enter Indicator Scores'!$B$10:$B$161=$B155)*('3. Enter Indicator Scores'!$C$10:$C$161=$C155),0),
  _xlpm.c, MATCH(AC$8,'3. Enter Indicator Scores'!$D$8:$CZ$8,0),
  _xlpm.v, IFERROR(INDEX('3. Enter Indicator Scores'!$D$10:$CZ$161,_xlpm.r,_xlpm.c),""),
  IF(OR(_xlpm.w="",_xlpm.v=""),"",_xlpm.v*_xlpm.w)
)</f>
        <v/>
      </c>
      <c r="AD155" s="93" t="str" cm="1">
        <f t="array" ref="AD155">_xlfn.LET(
  _xlpm.w, AD$11,
  _xlpm.r, MATCH(1,('3. Enter Indicator Scores'!$B$10:$B$161=$B155)*('3. Enter Indicator Scores'!$C$10:$C$161=$C155),0),
  _xlpm.c, MATCH(AD$8,'3. Enter Indicator Scores'!$D$8:$CZ$8,0),
  _xlpm.v, IFERROR(INDEX('3. Enter Indicator Scores'!$D$10:$CZ$161,_xlpm.r,_xlpm.c),""),
  IF(OR(_xlpm.w="",_xlpm.v=""),"",_xlpm.v*_xlpm.w)
)</f>
        <v/>
      </c>
      <c r="AE155" s="93" t="str" cm="1">
        <f t="array" ref="AE155">_xlfn.LET(
  _xlpm.w, AE$11,
  _xlpm.r, MATCH(1,('3. Enter Indicator Scores'!$B$10:$B$161=$B155)*('3. Enter Indicator Scores'!$C$10:$C$161=$C155),0),
  _xlpm.c, MATCH(AE$8,'3. Enter Indicator Scores'!$D$8:$CZ$8,0),
  _xlpm.v, IFERROR(INDEX('3. Enter Indicator Scores'!$D$10:$CZ$161,_xlpm.r,_xlpm.c),""),
  IF(OR(_xlpm.w="",_xlpm.v=""),"",_xlpm.v*_xlpm.w)
)</f>
        <v/>
      </c>
      <c r="AF155" s="93" t="str" cm="1">
        <f t="array" ref="AF155">_xlfn.LET(
  _xlpm.w, AF$11,
  _xlpm.r, MATCH(1,('3. Enter Indicator Scores'!$B$10:$B$161=$B155)*('3. Enter Indicator Scores'!$C$10:$C$161=$C155),0),
  _xlpm.c, MATCH(AF$8,'3. Enter Indicator Scores'!$D$8:$CZ$8,0),
  _xlpm.v, IFERROR(INDEX('3. Enter Indicator Scores'!$D$10:$CZ$161,_xlpm.r,_xlpm.c),""),
  IF(OR(_xlpm.w="",_xlpm.v=""),"",_xlpm.v*_xlpm.w)
)</f>
        <v/>
      </c>
      <c r="AG155" s="93" t="str" cm="1">
        <f t="array" ref="AG155">_xlfn.LET(
  _xlpm.w, AG$11,
  _xlpm.r, MATCH(1,('3. Enter Indicator Scores'!$B$10:$B$161=$B155)*('3. Enter Indicator Scores'!$C$10:$C$161=$C155),0),
  _xlpm.c, MATCH(AG$8,'3. Enter Indicator Scores'!$D$8:$CZ$8,0),
  _xlpm.v, IFERROR(INDEX('3. Enter Indicator Scores'!$D$10:$CZ$161,_xlpm.r,_xlpm.c),""),
  IF(OR(_xlpm.w="",_xlpm.v=""),"",_xlpm.v*_xlpm.w)
)</f>
        <v/>
      </c>
      <c r="AH155" s="93" t="str" cm="1">
        <f t="array" ref="AH155">_xlfn.LET(
  _xlpm.w, AH$11,
  _xlpm.r, MATCH(1,('3. Enter Indicator Scores'!$B$10:$B$161=$B155)*('3. Enter Indicator Scores'!$C$10:$C$161=$C155),0),
  _xlpm.c, MATCH(AH$8,'3. Enter Indicator Scores'!$D$8:$CZ$8,0),
  _xlpm.v, IFERROR(INDEX('3. Enter Indicator Scores'!$D$10:$CZ$161,_xlpm.r,_xlpm.c),""),
  IF(OR(_xlpm.w="",_xlpm.v=""),"",_xlpm.v*_xlpm.w)
)</f>
        <v/>
      </c>
      <c r="AI155" s="93" t="str" cm="1">
        <f t="array" ref="AI155">_xlfn.LET(
  _xlpm.w, AI$11,
  _xlpm.r, MATCH(1,('3. Enter Indicator Scores'!$B$10:$B$161=$B155)*('3. Enter Indicator Scores'!$C$10:$C$161=$C155),0),
  _xlpm.c, MATCH(AI$8,'3. Enter Indicator Scores'!$D$8:$CZ$8,0),
  _xlpm.v, IFERROR(INDEX('3. Enter Indicator Scores'!$D$10:$CZ$161,_xlpm.r,_xlpm.c),""),
  IF(OR(_xlpm.w="",_xlpm.v=""),"",_xlpm.v*_xlpm.w)
)</f>
        <v/>
      </c>
      <c r="AJ155" s="93" t="str" cm="1">
        <f t="array" ref="AJ155">_xlfn.LET(
  _xlpm.w, AJ$11,
  _xlpm.r, MATCH(1,('3. Enter Indicator Scores'!$B$10:$B$161=$B155)*('3. Enter Indicator Scores'!$C$10:$C$161=$C155),0),
  _xlpm.c, MATCH(AJ$8,'3. Enter Indicator Scores'!$D$8:$CZ$8,0),
  _xlpm.v, IFERROR(INDEX('3. Enter Indicator Scores'!$D$10:$CZ$161,_xlpm.r,_xlpm.c),""),
  IF(OR(_xlpm.w="",_xlpm.v=""),"",_xlpm.v*_xlpm.w)
)</f>
        <v/>
      </c>
      <c r="AK155" s="93" t="str" cm="1">
        <f t="array" ref="AK155">_xlfn.LET(
  _xlpm.w, AK$11,
  _xlpm.r, MATCH(1,('3. Enter Indicator Scores'!$B$10:$B$161=$B155)*('3. Enter Indicator Scores'!$C$10:$C$161=$C155),0),
  _xlpm.c, MATCH(AK$8,'3. Enter Indicator Scores'!$D$8:$CZ$8,0),
  _xlpm.v, IFERROR(INDEX('3. Enter Indicator Scores'!$D$10:$CZ$161,_xlpm.r,_xlpm.c),""),
  IF(OR(_xlpm.w="",_xlpm.v=""),"",_xlpm.v*_xlpm.w)
)</f>
        <v/>
      </c>
      <c r="AL155" s="93" t="str" cm="1">
        <f t="array" ref="AL155">_xlfn.LET(
  _xlpm.w, AL$11,
  _xlpm.r, MATCH(1,('3. Enter Indicator Scores'!$B$10:$B$161=$B155)*('3. Enter Indicator Scores'!$C$10:$C$161=$C155),0),
  _xlpm.c, MATCH(AL$8,'3. Enter Indicator Scores'!$D$8:$CZ$8,0),
  _xlpm.v, IFERROR(INDEX('3. Enter Indicator Scores'!$D$10:$CZ$161,_xlpm.r,_xlpm.c),""),
  IF(OR(_xlpm.w="",_xlpm.v=""),"",_xlpm.v*_xlpm.w)
)</f>
        <v/>
      </c>
      <c r="AM155" s="93" t="str" cm="1">
        <f t="array" ref="AM155">_xlfn.LET(
  _xlpm.w, AM$11,
  _xlpm.r, MATCH(1,('3. Enter Indicator Scores'!$B$10:$B$161=$B155)*('3. Enter Indicator Scores'!$C$10:$C$161=$C155),0),
  _xlpm.c, MATCH(AM$8,'3. Enter Indicator Scores'!$D$8:$CZ$8,0),
  _xlpm.v, IFERROR(INDEX('3. Enter Indicator Scores'!$D$10:$CZ$161,_xlpm.r,_xlpm.c),""),
  IF(OR(_xlpm.w="",_xlpm.v=""),"",_xlpm.v*_xlpm.w)
)</f>
        <v/>
      </c>
      <c r="AN155" s="93" t="str" cm="1">
        <f t="array" ref="AN155">_xlfn.LET(
  _xlpm.w, AN$11,
  _xlpm.r, MATCH(1,('3. Enter Indicator Scores'!$B$10:$B$161=$B155)*('3. Enter Indicator Scores'!$C$10:$C$161=$C155),0),
  _xlpm.c, MATCH(AN$8,'3. Enter Indicator Scores'!$D$8:$CZ$8,0),
  _xlpm.v, IFERROR(INDEX('3. Enter Indicator Scores'!$D$10:$CZ$161,_xlpm.r,_xlpm.c),""),
  IF(OR(_xlpm.w="",_xlpm.v=""),"",_xlpm.v*_xlpm.w)
)</f>
        <v/>
      </c>
      <c r="AO155" s="93" t="str" cm="1">
        <f t="array" ref="AO155">_xlfn.LET(
  _xlpm.w, AO$11,
  _xlpm.r, MATCH(1,('3. Enter Indicator Scores'!$B$10:$B$161=$B155)*('3. Enter Indicator Scores'!$C$10:$C$161=$C155),0),
  _xlpm.c, MATCH(AO$8,'3. Enter Indicator Scores'!$D$8:$CZ$8,0),
  _xlpm.v, IFERROR(INDEX('3. Enter Indicator Scores'!$D$10:$CZ$161,_xlpm.r,_xlpm.c),""),
  IF(OR(_xlpm.w="",_xlpm.v=""),"",_xlpm.v*_xlpm.w)
)</f>
        <v/>
      </c>
      <c r="AP155" s="93" t="str" cm="1">
        <f t="array" ref="AP155">_xlfn.LET(
  _xlpm.w, AP$11,
  _xlpm.r, MATCH(1,('3. Enter Indicator Scores'!$B$10:$B$161=$B155)*('3. Enter Indicator Scores'!$C$10:$C$161=$C155),0),
  _xlpm.c, MATCH(AP$8,'3. Enter Indicator Scores'!$D$8:$CZ$8,0),
  _xlpm.v, IFERROR(INDEX('3. Enter Indicator Scores'!$D$10:$CZ$161,_xlpm.r,_xlpm.c),""),
  IF(OR(_xlpm.w="",_xlpm.v=""),"",_xlpm.v*_xlpm.w)
)</f>
        <v/>
      </c>
      <c r="AQ155" s="93" t="str" cm="1">
        <f t="array" ref="AQ155">_xlfn.LET(
  _xlpm.w, AQ$11,
  _xlpm.r, MATCH(1,('3. Enter Indicator Scores'!$B$10:$B$161=$B155)*('3. Enter Indicator Scores'!$C$10:$C$161=$C155),0),
  _xlpm.c, MATCH(AQ$8,'3. Enter Indicator Scores'!$D$8:$CZ$8,0),
  _xlpm.v, IFERROR(INDEX('3. Enter Indicator Scores'!$D$10:$CZ$161,_xlpm.r,_xlpm.c),""),
  IF(OR(_xlpm.w="",_xlpm.v=""),"",_xlpm.v*_xlpm.w)
)</f>
        <v/>
      </c>
      <c r="AR155" s="93" t="str" cm="1">
        <f t="array" ref="AR155">_xlfn.LET(
  _xlpm.w, AR$11,
  _xlpm.r, MATCH(1,('3. Enter Indicator Scores'!$B$10:$B$161=$B155)*('3. Enter Indicator Scores'!$C$10:$C$161=$C155),0),
  _xlpm.c, MATCH(AR$8,'3. Enter Indicator Scores'!$D$8:$CZ$8,0),
  _xlpm.v, IFERROR(INDEX('3. Enter Indicator Scores'!$D$10:$CZ$161,_xlpm.r,_xlpm.c),""),
  IF(OR(_xlpm.w="",_xlpm.v=""),"",_xlpm.v*_xlpm.w)
)</f>
        <v/>
      </c>
      <c r="AS155" s="93" t="str" cm="1">
        <f t="array" ref="AS155">_xlfn.LET(
  _xlpm.w, AS$11,
  _xlpm.r, MATCH(1,('3. Enter Indicator Scores'!$B$10:$B$161=$B155)*('3. Enter Indicator Scores'!$C$10:$C$161=$C155),0),
  _xlpm.c, MATCH(AS$8,'3. Enter Indicator Scores'!$D$8:$CZ$8,0),
  _xlpm.v, IFERROR(INDEX('3. Enter Indicator Scores'!$D$10:$CZ$161,_xlpm.r,_xlpm.c),""),
  IF(OR(_xlpm.w="",_xlpm.v=""),"",_xlpm.v*_xlpm.w)
)</f>
        <v/>
      </c>
      <c r="AT155" s="93" t="str" cm="1">
        <f t="array" ref="AT155">_xlfn.LET(
  _xlpm.w, AT$11,
  _xlpm.r, MATCH(1,('3. Enter Indicator Scores'!$B$10:$B$161=$B155)*('3. Enter Indicator Scores'!$C$10:$C$161=$C155),0),
  _xlpm.c, MATCH(AT$8,'3. Enter Indicator Scores'!$D$8:$CZ$8,0),
  _xlpm.v, IFERROR(INDEX('3. Enter Indicator Scores'!$D$10:$CZ$161,_xlpm.r,_xlpm.c),""),
  IF(OR(_xlpm.w="",_xlpm.v=""),"",_xlpm.v*_xlpm.w)
)</f>
        <v/>
      </c>
      <c r="AU155" s="93" t="str" cm="1">
        <f t="array" ref="AU155">_xlfn.LET(
  _xlpm.w, AU$11,
  _xlpm.r, MATCH(1,('3. Enter Indicator Scores'!$B$10:$B$161=$B155)*('3. Enter Indicator Scores'!$C$10:$C$161=$C155),0),
  _xlpm.c, MATCH(AU$8,'3. Enter Indicator Scores'!$D$8:$CZ$8,0),
  _xlpm.v, IFERROR(INDEX('3. Enter Indicator Scores'!$D$10:$CZ$161,_xlpm.r,_xlpm.c),""),
  IF(OR(_xlpm.w="",_xlpm.v=""),"",_xlpm.v*_xlpm.w)
)</f>
        <v/>
      </c>
      <c r="AV155" s="93" t="str" cm="1">
        <f t="array" ref="AV155">_xlfn.LET(
  _xlpm.w, AV$11,
  _xlpm.r, MATCH(1,('3. Enter Indicator Scores'!$B$10:$B$161=$B155)*('3. Enter Indicator Scores'!$C$10:$C$161=$C155),0),
  _xlpm.c, MATCH(AV$8,'3. Enter Indicator Scores'!$D$8:$CZ$8,0),
  _xlpm.v, IFERROR(INDEX('3. Enter Indicator Scores'!$D$10:$CZ$161,_xlpm.r,_xlpm.c),""),
  IF(OR(_xlpm.w="",_xlpm.v=""),"",_xlpm.v*_xlpm.w)
)</f>
        <v/>
      </c>
      <c r="AW155" s="93" t="str" cm="1">
        <f t="array" ref="AW155">_xlfn.LET(
  _xlpm.w, AW$11,
  _xlpm.r, MATCH(1,('3. Enter Indicator Scores'!$B$10:$B$161=$B155)*('3. Enter Indicator Scores'!$C$10:$C$161=$C155),0),
  _xlpm.c, MATCH(AW$8,'3. Enter Indicator Scores'!$D$8:$CZ$8,0),
  _xlpm.v, IFERROR(INDEX('3. Enter Indicator Scores'!$D$10:$CZ$161,_xlpm.r,_xlpm.c),""),
  IF(OR(_xlpm.w="",_xlpm.v=""),"",_xlpm.v*_xlpm.w)
)</f>
        <v/>
      </c>
      <c r="AX155" s="93" t="str" cm="1">
        <f t="array" ref="AX155">_xlfn.LET(
  _xlpm.w, AX$11,
  _xlpm.r, MATCH(1,('3. Enter Indicator Scores'!$B$10:$B$161=$B155)*('3. Enter Indicator Scores'!$C$10:$C$161=$C155),0),
  _xlpm.c, MATCH(AX$8,'3. Enter Indicator Scores'!$D$8:$CZ$8,0),
  _xlpm.v, IFERROR(INDEX('3. Enter Indicator Scores'!$D$10:$CZ$161,_xlpm.r,_xlpm.c),""),
  IF(OR(_xlpm.w="",_xlpm.v=""),"",_xlpm.v*_xlpm.w)
)</f>
        <v/>
      </c>
      <c r="AY155" s="93" t="str" cm="1">
        <f t="array" ref="AY155">_xlfn.LET(
  _xlpm.w, AY$11,
  _xlpm.r, MATCH(1,('3. Enter Indicator Scores'!$B$10:$B$161=$B155)*('3. Enter Indicator Scores'!$C$10:$C$161=$C155),0),
  _xlpm.c, MATCH(AY$8,'3. Enter Indicator Scores'!$D$8:$CZ$8,0),
  _xlpm.v, IFERROR(INDEX('3. Enter Indicator Scores'!$D$10:$CZ$161,_xlpm.r,_xlpm.c),""),
  IF(OR(_xlpm.w="",_xlpm.v=""),"",_xlpm.v*_xlpm.w)
)</f>
        <v/>
      </c>
      <c r="AZ155" s="93" t="str" cm="1">
        <f t="array" ref="AZ155">_xlfn.LET(
  _xlpm.w, AZ$11,
  _xlpm.r, MATCH(1,('3. Enter Indicator Scores'!$B$10:$B$161=$B155)*('3. Enter Indicator Scores'!$C$10:$C$161=$C155),0),
  _xlpm.c, MATCH(AZ$8,'3. Enter Indicator Scores'!$D$8:$CZ$8,0),
  _xlpm.v, IFERROR(INDEX('3. Enter Indicator Scores'!$D$10:$CZ$161,_xlpm.r,_xlpm.c),""),
  IF(OR(_xlpm.w="",_xlpm.v=""),"",_xlpm.v*_xlpm.w)
)</f>
        <v/>
      </c>
      <c r="BA155" s="93" t="str" cm="1">
        <f t="array" ref="BA155">_xlfn.LET(
  _xlpm.w, BA$11,
  _xlpm.r, MATCH(1,('3. Enter Indicator Scores'!$B$10:$B$161=$B155)*('3. Enter Indicator Scores'!$C$10:$C$161=$C155),0),
  _xlpm.c, MATCH(BA$8,'3. Enter Indicator Scores'!$D$8:$CZ$8,0),
  _xlpm.v, IFERROR(INDEX('3. Enter Indicator Scores'!$D$10:$CZ$161,_xlpm.r,_xlpm.c),""),
  IF(OR(_xlpm.w="",_xlpm.v=""),"",_xlpm.v*_xlpm.w)
)</f>
        <v/>
      </c>
      <c r="BB155" s="93" t="str" cm="1">
        <f t="array" ref="BB155">_xlfn.LET(
  _xlpm.w, BB$11,
  _xlpm.r, MATCH(1,('3. Enter Indicator Scores'!$B$10:$B$161=$B155)*('3. Enter Indicator Scores'!$C$10:$C$161=$C155),0),
  _xlpm.c, MATCH(BB$8,'3. Enter Indicator Scores'!$D$8:$CZ$8,0),
  _xlpm.v, IFERROR(INDEX('3. Enter Indicator Scores'!$D$10:$CZ$161,_xlpm.r,_xlpm.c),""),
  IF(OR(_xlpm.w="",_xlpm.v=""),"",_xlpm.v*_xlpm.w)
)</f>
        <v/>
      </c>
      <c r="BC155" s="93" t="str" cm="1">
        <f t="array" ref="BC155">_xlfn.LET(
  _xlpm.w, BC$11,
  _xlpm.r, MATCH(1,('3. Enter Indicator Scores'!$B$10:$B$161=$B155)*('3. Enter Indicator Scores'!$C$10:$C$161=$C155),0),
  _xlpm.c, MATCH(BC$8,'3. Enter Indicator Scores'!$D$8:$CZ$8,0),
  _xlpm.v, IFERROR(INDEX('3. Enter Indicator Scores'!$D$10:$CZ$161,_xlpm.r,_xlpm.c),""),
  IF(OR(_xlpm.w="",_xlpm.v=""),"",_xlpm.v*_xlpm.w)
)</f>
        <v/>
      </c>
      <c r="BD155" s="93" t="str" cm="1">
        <f t="array" ref="BD155">_xlfn.LET(
  _xlpm.w, BD$11,
  _xlpm.r, MATCH(1,('3. Enter Indicator Scores'!$B$10:$B$161=$B155)*('3. Enter Indicator Scores'!$C$10:$C$161=$C155),0),
  _xlpm.c, MATCH(BD$8,'3. Enter Indicator Scores'!$D$8:$CZ$8,0),
  _xlpm.v, IFERROR(INDEX('3. Enter Indicator Scores'!$D$10:$CZ$161,_xlpm.r,_xlpm.c),""),
  IF(OR(_xlpm.w="",_xlpm.v=""),"",_xlpm.v*_xlpm.w)
)</f>
        <v/>
      </c>
      <c r="BE155" s="93" t="str" cm="1">
        <f t="array" ref="BE155">_xlfn.LET(
  _xlpm.w, BE$11,
  _xlpm.r, MATCH(1,('3. Enter Indicator Scores'!$B$10:$B$161=$B155)*('3. Enter Indicator Scores'!$C$10:$C$161=$C155),0),
  _xlpm.c, MATCH(BE$8,'3. Enter Indicator Scores'!$D$8:$CZ$8,0),
  _xlpm.v, IFERROR(INDEX('3. Enter Indicator Scores'!$D$10:$CZ$161,_xlpm.r,_xlpm.c),""),
  IF(OR(_xlpm.w="",_xlpm.v=""),"",_xlpm.v*_xlpm.w)
)</f>
        <v/>
      </c>
      <c r="BF155" s="93" t="str" cm="1">
        <f t="array" ref="BF155">_xlfn.LET(
  _xlpm.w, BF$11,
  _xlpm.r, MATCH(1,('3. Enter Indicator Scores'!$B$10:$B$161=$B155)*('3. Enter Indicator Scores'!$C$10:$C$161=$C155),0),
  _xlpm.c, MATCH(BF$8,'3. Enter Indicator Scores'!$D$8:$CZ$8,0),
  _xlpm.v, IFERROR(INDEX('3. Enter Indicator Scores'!$D$10:$CZ$161,_xlpm.r,_xlpm.c),""),
  IF(OR(_xlpm.w="",_xlpm.v=""),"",_xlpm.v*_xlpm.w)
)</f>
        <v/>
      </c>
      <c r="BG155" s="93" t="str" cm="1">
        <f t="array" ref="BG155">_xlfn.LET(
  _xlpm.w, BG$11,
  _xlpm.r, MATCH(1,('3. Enter Indicator Scores'!$B$10:$B$161=$B155)*('3. Enter Indicator Scores'!$C$10:$C$161=$C155),0),
  _xlpm.c, MATCH(BG$8,'3. Enter Indicator Scores'!$D$8:$CZ$8,0),
  _xlpm.v, IFERROR(INDEX('3. Enter Indicator Scores'!$D$10:$CZ$161,_xlpm.r,_xlpm.c),""),
  IF(OR(_xlpm.w="",_xlpm.v=""),"",_xlpm.v*_xlpm.w)
)</f>
        <v/>
      </c>
      <c r="BH155" s="93" t="str" cm="1">
        <f t="array" ref="BH155">_xlfn.LET(
  _xlpm.w, BH$11,
  _xlpm.r, MATCH(1,('3. Enter Indicator Scores'!$B$10:$B$161=$B155)*('3. Enter Indicator Scores'!$C$10:$C$161=$C155),0),
  _xlpm.c, MATCH(BH$8,'3. Enter Indicator Scores'!$D$8:$CZ$8,0),
  _xlpm.v, IFERROR(INDEX('3. Enter Indicator Scores'!$D$10:$CZ$161,_xlpm.r,_xlpm.c),""),
  IF(OR(_xlpm.w="",_xlpm.v=""),"",_xlpm.v*_xlpm.w)
)</f>
        <v/>
      </c>
      <c r="BI155" s="93" t="str" cm="1">
        <f t="array" ref="BI155">_xlfn.LET(
  _xlpm.w, BI$11,
  _xlpm.r, MATCH(1,('3. Enter Indicator Scores'!$B$10:$B$161=$B155)*('3. Enter Indicator Scores'!$C$10:$C$161=$C155),0),
  _xlpm.c, MATCH(BI$8,'3. Enter Indicator Scores'!$D$8:$CZ$8,0),
  _xlpm.v, IFERROR(INDEX('3. Enter Indicator Scores'!$D$10:$CZ$161,_xlpm.r,_xlpm.c),""),
  IF(OR(_xlpm.w="",_xlpm.v=""),"",_xlpm.v*_xlpm.w)
)</f>
        <v/>
      </c>
      <c r="BJ155" s="93" t="str" cm="1">
        <f t="array" ref="BJ155">_xlfn.LET(
  _xlpm.w, BJ$11,
  _xlpm.r, MATCH(1,('3. Enter Indicator Scores'!$B$10:$B$161=$B155)*('3. Enter Indicator Scores'!$C$10:$C$161=$C155),0),
  _xlpm.c, MATCH(BJ$8,'3. Enter Indicator Scores'!$D$8:$CZ$8,0),
  _xlpm.v, IFERROR(INDEX('3. Enter Indicator Scores'!$D$10:$CZ$161,_xlpm.r,_xlpm.c),""),
  IF(OR(_xlpm.w="",_xlpm.v=""),"",_xlpm.v*_xlpm.w)
)</f>
        <v/>
      </c>
      <c r="BK155" s="93" t="str" cm="1">
        <f t="array" ref="BK155">_xlfn.LET(
  _xlpm.w, BK$11,
  _xlpm.r, MATCH(1,('3. Enter Indicator Scores'!$B$10:$B$161=$B155)*('3. Enter Indicator Scores'!$C$10:$C$161=$C155),0),
  _xlpm.c, MATCH(BK$8,'3. Enter Indicator Scores'!$D$8:$CZ$8,0),
  _xlpm.v, IFERROR(INDEX('3. Enter Indicator Scores'!$D$10:$CZ$161,_xlpm.r,_xlpm.c),""),
  IF(OR(_xlpm.w="",_xlpm.v=""),"",_xlpm.v*_xlpm.w)
)</f>
        <v/>
      </c>
      <c r="BL155" s="93" t="str" cm="1">
        <f t="array" ref="BL155">_xlfn.LET(
  _xlpm.w, BL$11,
  _xlpm.r, MATCH(1,('3. Enter Indicator Scores'!$B$10:$B$161=$B155)*('3. Enter Indicator Scores'!$C$10:$C$161=$C155),0),
  _xlpm.c, MATCH(BL$8,'3. Enter Indicator Scores'!$D$8:$CZ$8,0),
  _xlpm.v, IFERROR(INDEX('3. Enter Indicator Scores'!$D$10:$CZ$161,_xlpm.r,_xlpm.c),""),
  IF(OR(_xlpm.w="",_xlpm.v=""),"",_xlpm.v*_xlpm.w)
)</f>
        <v/>
      </c>
      <c r="BM155" s="93" t="str" cm="1">
        <f t="array" ref="BM155">_xlfn.LET(
  _xlpm.w, BM$11,
  _xlpm.r, MATCH(1,('3. Enter Indicator Scores'!$B$10:$B$161=$B155)*('3. Enter Indicator Scores'!$C$10:$C$161=$C155),0),
  _xlpm.c, MATCH(BM$8,'3. Enter Indicator Scores'!$D$8:$CZ$8,0),
  _xlpm.v, IFERROR(INDEX('3. Enter Indicator Scores'!$D$10:$CZ$161,_xlpm.r,_xlpm.c),""),
  IF(OR(_xlpm.w="",_xlpm.v=""),"",_xlpm.v*_xlpm.w)
)</f>
        <v/>
      </c>
      <c r="BN155" s="93" t="str" cm="1">
        <f t="array" ref="BN155">_xlfn.LET(
  _xlpm.w, BN$11,
  _xlpm.r, MATCH(1,('3. Enter Indicator Scores'!$B$10:$B$161=$B155)*('3. Enter Indicator Scores'!$C$10:$C$161=$C155),0),
  _xlpm.c, MATCH(BN$8,'3. Enter Indicator Scores'!$D$8:$CZ$8,0),
  _xlpm.v, IFERROR(INDEX('3. Enter Indicator Scores'!$D$10:$CZ$161,_xlpm.r,_xlpm.c),""),
  IF(OR(_xlpm.w="",_xlpm.v=""),"",_xlpm.v*_xlpm.w)
)</f>
        <v/>
      </c>
      <c r="BO155" s="93" t="str" cm="1">
        <f t="array" ref="BO155">_xlfn.LET(
  _xlpm.w, BO$11,
  _xlpm.r, MATCH(1,('3. Enter Indicator Scores'!$B$10:$B$161=$B155)*('3. Enter Indicator Scores'!$C$10:$C$161=$C155),0),
  _xlpm.c, MATCH(BO$8,'3. Enter Indicator Scores'!$D$8:$CZ$8,0),
  _xlpm.v, IFERROR(INDEX('3. Enter Indicator Scores'!$D$10:$CZ$161,_xlpm.r,_xlpm.c),""),
  IF(OR(_xlpm.w="",_xlpm.v=""),"",_xlpm.v*_xlpm.w)
)</f>
        <v/>
      </c>
      <c r="BP155" s="93" t="str" cm="1">
        <f t="array" ref="BP155">_xlfn.LET(
  _xlpm.w, BP$11,
  _xlpm.r, MATCH(1,('3. Enter Indicator Scores'!$B$10:$B$161=$B155)*('3. Enter Indicator Scores'!$C$10:$C$161=$C155),0),
  _xlpm.c, MATCH(BP$8,'3. Enter Indicator Scores'!$D$8:$CZ$8,0),
  _xlpm.v, IFERROR(INDEX('3. Enter Indicator Scores'!$D$10:$CZ$161,_xlpm.r,_xlpm.c),""),
  IF(OR(_xlpm.w="",_xlpm.v=""),"",_xlpm.v*_xlpm.w)
)</f>
        <v/>
      </c>
      <c r="BQ155" s="93" t="str" cm="1">
        <f t="array" ref="BQ155">_xlfn.LET(
  _xlpm.w, BQ$11,
  _xlpm.r, MATCH(1,('3. Enter Indicator Scores'!$B$10:$B$161=$B155)*('3. Enter Indicator Scores'!$C$10:$C$161=$C155),0),
  _xlpm.c, MATCH(BQ$8,'3. Enter Indicator Scores'!$D$8:$CZ$8,0),
  _xlpm.v, IFERROR(INDEX('3. Enter Indicator Scores'!$D$10:$CZ$161,_xlpm.r,_xlpm.c),""),
  IF(OR(_xlpm.w="",_xlpm.v=""),"",_xlpm.v*_xlpm.w)
)</f>
        <v/>
      </c>
      <c r="BR155" s="93" t="str" cm="1">
        <f t="array" ref="BR155">_xlfn.LET(
  _xlpm.w, BR$11,
  _xlpm.r, MATCH(1,('3. Enter Indicator Scores'!$B$10:$B$161=$B155)*('3. Enter Indicator Scores'!$C$10:$C$161=$C155),0),
  _xlpm.c, MATCH(BR$8,'3. Enter Indicator Scores'!$D$8:$CZ$8,0),
  _xlpm.v, IFERROR(INDEX('3. Enter Indicator Scores'!$D$10:$CZ$161,_xlpm.r,_xlpm.c),""),
  IF(OR(_xlpm.w="",_xlpm.v=""),"",_xlpm.v*_xlpm.w)
)</f>
        <v/>
      </c>
      <c r="BS155" s="93" t="str" cm="1">
        <f t="array" ref="BS155">_xlfn.LET(
  _xlpm.w, BS$11,
  _xlpm.r, MATCH(1,('3. Enter Indicator Scores'!$B$10:$B$161=$B155)*('3. Enter Indicator Scores'!$C$10:$C$161=$C155),0),
  _xlpm.c, MATCH(BS$8,'3. Enter Indicator Scores'!$D$8:$CZ$8,0),
  _xlpm.v, IFERROR(INDEX('3. Enter Indicator Scores'!$D$10:$CZ$161,_xlpm.r,_xlpm.c),""),
  IF(OR(_xlpm.w="",_xlpm.v=""),"",_xlpm.v*_xlpm.w)
)</f>
        <v/>
      </c>
      <c r="BT155" s="93" t="str" cm="1">
        <f t="array" ref="BT155">_xlfn.LET(
  _xlpm.w, BT$11,
  _xlpm.r, MATCH(1,('3. Enter Indicator Scores'!$B$10:$B$161=$B155)*('3. Enter Indicator Scores'!$C$10:$C$161=$C155),0),
  _xlpm.c, MATCH(BT$8,'3. Enter Indicator Scores'!$D$8:$CZ$8,0),
  _xlpm.v, IFERROR(INDEX('3. Enter Indicator Scores'!$D$10:$CZ$161,_xlpm.r,_xlpm.c),""),
  IF(OR(_xlpm.w="",_xlpm.v=""),"",_xlpm.v*_xlpm.w)
)</f>
        <v/>
      </c>
      <c r="BU155" s="93" t="str" cm="1">
        <f t="array" ref="BU155">_xlfn.LET(
  _xlpm.w, BU$11,
  _xlpm.r, MATCH(1,('3. Enter Indicator Scores'!$B$10:$B$161=$B155)*('3. Enter Indicator Scores'!$C$10:$C$161=$C155),0),
  _xlpm.c, MATCH(BU$8,'3. Enter Indicator Scores'!$D$8:$CZ$8,0),
  _xlpm.v, IFERROR(INDEX('3. Enter Indicator Scores'!$D$10:$CZ$161,_xlpm.r,_xlpm.c),""),
  IF(OR(_xlpm.w="",_xlpm.v=""),"",_xlpm.v*_xlpm.w)
)</f>
        <v/>
      </c>
      <c r="BV155" s="93" t="str" cm="1">
        <f t="array" ref="BV155">_xlfn.LET(
  _xlpm.w, BV$11,
  _xlpm.r, MATCH(1,('3. Enter Indicator Scores'!$B$10:$B$161=$B155)*('3. Enter Indicator Scores'!$C$10:$C$161=$C155),0),
  _xlpm.c, MATCH(BV$8,'3. Enter Indicator Scores'!$D$8:$CZ$8,0),
  _xlpm.v, IFERROR(INDEX('3. Enter Indicator Scores'!$D$10:$CZ$161,_xlpm.r,_xlpm.c),""),
  IF(OR(_xlpm.w="",_xlpm.v=""),"",_xlpm.v*_xlpm.w)
)</f>
        <v/>
      </c>
      <c r="BW155" s="93" t="str" cm="1">
        <f t="array" ref="BW155">_xlfn.LET(
  _xlpm.w, BW$11,
  _xlpm.r, MATCH(1,('3. Enter Indicator Scores'!$B$10:$B$161=$B155)*('3. Enter Indicator Scores'!$C$10:$C$161=$C155),0),
  _xlpm.c, MATCH(BW$8,'3. Enter Indicator Scores'!$D$8:$CZ$8,0),
  _xlpm.v, IFERROR(INDEX('3. Enter Indicator Scores'!$D$10:$CZ$161,_xlpm.r,_xlpm.c),""),
  IF(OR(_xlpm.w="",_xlpm.v=""),"",_xlpm.v*_xlpm.w)
)</f>
        <v/>
      </c>
      <c r="BX155" s="93" t="str" cm="1">
        <f t="array" ref="BX155">_xlfn.LET(
  _xlpm.w, BX$11,
  _xlpm.r, MATCH(1,('3. Enter Indicator Scores'!$B$10:$B$161=$B155)*('3. Enter Indicator Scores'!$C$10:$C$161=$C155),0),
  _xlpm.c, MATCH(BX$8,'3. Enter Indicator Scores'!$D$8:$CZ$8,0),
  _xlpm.v, IFERROR(INDEX('3. Enter Indicator Scores'!$D$10:$CZ$161,_xlpm.r,_xlpm.c),""),
  IF(OR(_xlpm.w="",_xlpm.v=""),"",_xlpm.v*_xlpm.w)
)</f>
        <v/>
      </c>
      <c r="BY155" s="93" t="str" cm="1">
        <f t="array" ref="BY155">_xlfn.LET(
  _xlpm.w, BY$11,
  _xlpm.r, MATCH(1,('3. Enter Indicator Scores'!$B$10:$B$161=$B155)*('3. Enter Indicator Scores'!$C$10:$C$161=$C155),0),
  _xlpm.c, MATCH(BY$8,'3. Enter Indicator Scores'!$D$8:$CZ$8,0),
  _xlpm.v, IFERROR(INDEX('3. Enter Indicator Scores'!$D$10:$CZ$161,_xlpm.r,_xlpm.c),""),
  IF(OR(_xlpm.w="",_xlpm.v=""),"",_xlpm.v*_xlpm.w)
)</f>
        <v/>
      </c>
      <c r="BZ155" s="93" t="str" cm="1">
        <f t="array" ref="BZ155">_xlfn.LET(
  _xlpm.w, BZ$11,
  _xlpm.r, MATCH(1,('3. Enter Indicator Scores'!$B$10:$B$161=$B155)*('3. Enter Indicator Scores'!$C$10:$C$161=$C155),0),
  _xlpm.c, MATCH(BZ$8,'3. Enter Indicator Scores'!$D$8:$CZ$8,0),
  _xlpm.v, IFERROR(INDEX('3. Enter Indicator Scores'!$D$10:$CZ$161,_xlpm.r,_xlpm.c),""),
  IF(OR(_xlpm.w="",_xlpm.v=""),"",_xlpm.v*_xlpm.w)
)</f>
        <v/>
      </c>
      <c r="CA155" s="93" t="str" cm="1">
        <f t="array" ref="CA155">_xlfn.LET(
  _xlpm.w, CA$11,
  _xlpm.r, MATCH(1,('3. Enter Indicator Scores'!$B$10:$B$161=$B155)*('3. Enter Indicator Scores'!$C$10:$C$161=$C155),0),
  _xlpm.c, MATCH(CA$8,'3. Enter Indicator Scores'!$D$8:$CZ$8,0),
  _xlpm.v, IFERROR(INDEX('3. Enter Indicator Scores'!$D$10:$CZ$161,_xlpm.r,_xlpm.c),""),
  IF(OR(_xlpm.w="",_xlpm.v=""),"",_xlpm.v*_xlpm.w)
)</f>
        <v/>
      </c>
      <c r="CB155" s="93" t="str" cm="1">
        <f t="array" ref="CB155">_xlfn.LET(
  _xlpm.w, CB$11,
  _xlpm.r, MATCH(1,('3. Enter Indicator Scores'!$B$10:$B$161=$B155)*('3. Enter Indicator Scores'!$C$10:$C$161=$C155),0),
  _xlpm.c, MATCH(CB$8,'3. Enter Indicator Scores'!$D$8:$CZ$8,0),
  _xlpm.v, IFERROR(INDEX('3. Enter Indicator Scores'!$D$10:$CZ$161,_xlpm.r,_xlpm.c),""),
  IF(OR(_xlpm.w="",_xlpm.v=""),"",_xlpm.v*_xlpm.w)
)</f>
        <v/>
      </c>
      <c r="CC155" s="93" t="str" cm="1">
        <f t="array" ref="CC155">_xlfn.LET(
  _xlpm.w, CC$11,
  _xlpm.r, MATCH(1,('3. Enter Indicator Scores'!$B$10:$B$161=$B155)*('3. Enter Indicator Scores'!$C$10:$C$161=$C155),0),
  _xlpm.c, MATCH(CC$8,'3. Enter Indicator Scores'!$D$8:$CZ$8,0),
  _xlpm.v, IFERROR(INDEX('3. Enter Indicator Scores'!$D$10:$CZ$161,_xlpm.r,_xlpm.c),""),
  IF(OR(_xlpm.w="",_xlpm.v=""),"",_xlpm.v*_xlpm.w)
)</f>
        <v/>
      </c>
      <c r="CD155" s="93" t="str" cm="1">
        <f t="array" ref="CD155">_xlfn.LET(
  _xlpm.w, CD$11,
  _xlpm.r, MATCH(1,('3. Enter Indicator Scores'!$B$10:$B$161=$B155)*('3. Enter Indicator Scores'!$C$10:$C$161=$C155),0),
  _xlpm.c, MATCH(CD$8,'3. Enter Indicator Scores'!$D$8:$CZ$8,0),
  _xlpm.v, IFERROR(INDEX('3. Enter Indicator Scores'!$D$10:$CZ$161,_xlpm.r,_xlpm.c),""),
  IF(OR(_xlpm.w="",_xlpm.v=""),"",_xlpm.v*_xlpm.w)
)</f>
        <v/>
      </c>
      <c r="CE155" s="93" t="str" cm="1">
        <f t="array" ref="CE155">_xlfn.LET(
  _xlpm.w, CE$11,
  _xlpm.r, MATCH(1,('3. Enter Indicator Scores'!$B$10:$B$161=$B155)*('3. Enter Indicator Scores'!$C$10:$C$161=$C155),0),
  _xlpm.c, MATCH(CE$8,'3. Enter Indicator Scores'!$D$8:$CZ$8,0),
  _xlpm.v, IFERROR(INDEX('3. Enter Indicator Scores'!$D$10:$CZ$161,_xlpm.r,_xlpm.c),""),
  IF(OR(_xlpm.w="",_xlpm.v=""),"",_xlpm.v*_xlpm.w)
)</f>
        <v/>
      </c>
      <c r="CF155" s="93" t="str" cm="1">
        <f t="array" ref="CF155">_xlfn.LET(
  _xlpm.w, CF$11,
  _xlpm.r, MATCH(1,('3. Enter Indicator Scores'!$B$10:$B$161=$B155)*('3. Enter Indicator Scores'!$C$10:$C$161=$C155),0),
  _xlpm.c, MATCH(CF$8,'3. Enter Indicator Scores'!$D$8:$CZ$8,0),
  _xlpm.v, IFERROR(INDEX('3. Enter Indicator Scores'!$D$10:$CZ$161,_xlpm.r,_xlpm.c),""),
  IF(OR(_xlpm.w="",_xlpm.v=""),"",_xlpm.v*_xlpm.w)
)</f>
        <v/>
      </c>
      <c r="CG155" s="93" t="str" cm="1">
        <f t="array" ref="CG155">_xlfn.LET(
  _xlpm.w, CG$11,
  _xlpm.r, MATCH(1,('3. Enter Indicator Scores'!$B$10:$B$161=$B155)*('3. Enter Indicator Scores'!$C$10:$C$161=$C155),0),
  _xlpm.c, MATCH(CG$8,'3. Enter Indicator Scores'!$D$8:$CZ$8,0),
  _xlpm.v, IFERROR(INDEX('3. Enter Indicator Scores'!$D$10:$CZ$161,_xlpm.r,_xlpm.c),""),
  IF(OR(_xlpm.w="",_xlpm.v=""),"",_xlpm.v*_xlpm.w)
)</f>
        <v/>
      </c>
      <c r="CH155" s="93" t="str" cm="1">
        <f t="array" ref="CH155">_xlfn.LET(
  _xlpm.w, CH$11,
  _xlpm.r, MATCH(1,('3. Enter Indicator Scores'!$B$10:$B$161=$B155)*('3. Enter Indicator Scores'!$C$10:$C$161=$C155),0),
  _xlpm.c, MATCH(CH$8,'3. Enter Indicator Scores'!$D$8:$CZ$8,0),
  _xlpm.v, IFERROR(INDEX('3. Enter Indicator Scores'!$D$10:$CZ$161,_xlpm.r,_xlpm.c),""),
  IF(OR(_xlpm.w="",_xlpm.v=""),"",_xlpm.v*_xlpm.w)
)</f>
        <v/>
      </c>
      <c r="CI155" s="93" t="str" cm="1">
        <f t="array" ref="CI155">_xlfn.LET(
  _xlpm.w, CI$11,
  _xlpm.r, MATCH(1,('3. Enter Indicator Scores'!$B$10:$B$161=$B155)*('3. Enter Indicator Scores'!$C$10:$C$161=$C155),0),
  _xlpm.c, MATCH(CI$8,'3. Enter Indicator Scores'!$D$8:$CZ$8,0),
  _xlpm.v, IFERROR(INDEX('3. Enter Indicator Scores'!$D$10:$CZ$161,_xlpm.r,_xlpm.c),""),
  IF(OR(_xlpm.w="",_xlpm.v=""),"",_xlpm.v*_xlpm.w)
)</f>
        <v/>
      </c>
      <c r="CJ155" s="93" t="str" cm="1">
        <f t="array" ref="CJ155">_xlfn.LET(
  _xlpm.w, CJ$11,
  _xlpm.r, MATCH(1,('3. Enter Indicator Scores'!$B$10:$B$161=$B155)*('3. Enter Indicator Scores'!$C$10:$C$161=$C155),0),
  _xlpm.c, MATCH(CJ$8,'3. Enter Indicator Scores'!$D$8:$CZ$8,0),
  _xlpm.v, IFERROR(INDEX('3. Enter Indicator Scores'!$D$10:$CZ$161,_xlpm.r,_xlpm.c),""),
  IF(OR(_xlpm.w="",_xlpm.v=""),"",_xlpm.v*_xlpm.w)
)</f>
        <v/>
      </c>
      <c r="CK155" s="93" t="str" cm="1">
        <f t="array" ref="CK155">_xlfn.LET(
  _xlpm.w, CK$11,
  _xlpm.r, MATCH(1,('3. Enter Indicator Scores'!$B$10:$B$161=$B155)*('3. Enter Indicator Scores'!$C$10:$C$161=$C155),0),
  _xlpm.c, MATCH(CK$8,'3. Enter Indicator Scores'!$D$8:$CZ$8,0),
  _xlpm.v, IFERROR(INDEX('3. Enter Indicator Scores'!$D$10:$CZ$161,_xlpm.r,_xlpm.c),""),
  IF(OR(_xlpm.w="",_xlpm.v=""),"",_xlpm.v*_xlpm.w)
)</f>
        <v/>
      </c>
      <c r="CL155" s="93" t="str" cm="1">
        <f t="array" ref="CL155">_xlfn.LET(
  _xlpm.w, CL$11,
  _xlpm.r, MATCH(1,('3. Enter Indicator Scores'!$B$10:$B$161=$B155)*('3. Enter Indicator Scores'!$C$10:$C$161=$C155),0),
  _xlpm.c, MATCH(CL$8,'3. Enter Indicator Scores'!$D$8:$CZ$8,0),
  _xlpm.v, IFERROR(INDEX('3. Enter Indicator Scores'!$D$10:$CZ$161,_xlpm.r,_xlpm.c),""),
  IF(OR(_xlpm.w="",_xlpm.v=""),"",_xlpm.v*_xlpm.w)
)</f>
        <v/>
      </c>
      <c r="CM155" s="93" t="str" cm="1">
        <f t="array" ref="CM155">_xlfn.LET(
  _xlpm.w, CM$11,
  _xlpm.r, MATCH(1,('3. Enter Indicator Scores'!$B$10:$B$161=$B155)*('3. Enter Indicator Scores'!$C$10:$C$161=$C155),0),
  _xlpm.c, MATCH(CM$8,'3. Enter Indicator Scores'!$D$8:$CZ$8,0),
  _xlpm.v, IFERROR(INDEX('3. Enter Indicator Scores'!$D$10:$CZ$161,_xlpm.r,_xlpm.c),""),
  IF(OR(_xlpm.w="",_xlpm.v=""),"",_xlpm.v*_xlpm.w)
)</f>
        <v/>
      </c>
      <c r="CN155" s="93" t="str" cm="1">
        <f t="array" ref="CN155">_xlfn.LET(
  _xlpm.w, CN$11,
  _xlpm.r, MATCH(1,('3. Enter Indicator Scores'!$B$10:$B$161=$B155)*('3. Enter Indicator Scores'!$C$10:$C$161=$C155),0),
  _xlpm.c, MATCH(CN$8,'3. Enter Indicator Scores'!$D$8:$CZ$8,0),
  _xlpm.v, IFERROR(INDEX('3. Enter Indicator Scores'!$D$10:$CZ$161,_xlpm.r,_xlpm.c),""),
  IF(OR(_xlpm.w="",_xlpm.v=""),"",_xlpm.v*_xlpm.w)
)</f>
        <v/>
      </c>
      <c r="CO155" s="93" t="str" cm="1">
        <f t="array" ref="CO155">_xlfn.LET(
  _xlpm.w, CO$11,
  _xlpm.r, MATCH(1,('3. Enter Indicator Scores'!$B$10:$B$161=$B155)*('3. Enter Indicator Scores'!$C$10:$C$161=$C155),0),
  _xlpm.c, MATCH(CO$8,'3. Enter Indicator Scores'!$D$8:$CZ$8,0),
  _xlpm.v, IFERROR(INDEX('3. Enter Indicator Scores'!$D$10:$CZ$161,_xlpm.r,_xlpm.c),""),
  IF(OR(_xlpm.w="",_xlpm.v=""),"",_xlpm.v*_xlpm.w)
)</f>
        <v/>
      </c>
      <c r="CP155" s="93" t="str" cm="1">
        <f t="array" ref="CP155">_xlfn.LET(
  _xlpm.w, CP$11,
  _xlpm.r, MATCH(1,('3. Enter Indicator Scores'!$B$10:$B$161=$B155)*('3. Enter Indicator Scores'!$C$10:$C$161=$C155),0),
  _xlpm.c, MATCH(CP$8,'3. Enter Indicator Scores'!$D$8:$CZ$8,0),
  _xlpm.v, IFERROR(INDEX('3. Enter Indicator Scores'!$D$10:$CZ$161,_xlpm.r,_xlpm.c),""),
  IF(OR(_xlpm.w="",_xlpm.v=""),"",_xlpm.v*_xlpm.w)
)</f>
        <v/>
      </c>
      <c r="CQ155" s="93" t="str" cm="1">
        <f t="array" ref="CQ155">_xlfn.LET(
  _xlpm.w, CQ$11,
  _xlpm.r, MATCH(1,('3. Enter Indicator Scores'!$B$10:$B$161=$B155)*('3. Enter Indicator Scores'!$C$10:$C$161=$C155),0),
  _xlpm.c, MATCH(CQ$8,'3. Enter Indicator Scores'!$D$8:$CZ$8,0),
  _xlpm.v, IFERROR(INDEX('3. Enter Indicator Scores'!$D$10:$CZ$161,_xlpm.r,_xlpm.c),""),
  IF(OR(_xlpm.w="",_xlpm.v=""),"",_xlpm.v*_xlpm.w)
)</f>
        <v/>
      </c>
      <c r="CR155" s="93" t="str" cm="1">
        <f t="array" ref="CR155">_xlfn.LET(
  _xlpm.w, CR$11,
  _xlpm.r, MATCH(1,('3. Enter Indicator Scores'!$B$10:$B$161=$B155)*('3. Enter Indicator Scores'!$C$10:$C$161=$C155),0),
  _xlpm.c, MATCH(CR$8,'3. Enter Indicator Scores'!$D$8:$CZ$8,0),
  _xlpm.v, IFERROR(INDEX('3. Enter Indicator Scores'!$D$10:$CZ$161,_xlpm.r,_xlpm.c),""),
  IF(OR(_xlpm.w="",_xlpm.v=""),"",_xlpm.v*_xlpm.w)
)</f>
        <v/>
      </c>
      <c r="CS155" s="93" t="str" cm="1">
        <f t="array" ref="CS155">_xlfn.LET(
  _xlpm.w, CS$11,
  _xlpm.r, MATCH(1,('3. Enter Indicator Scores'!$B$10:$B$161=$B155)*('3. Enter Indicator Scores'!$C$10:$C$161=$C155),0),
  _xlpm.c, MATCH(CS$8,'3. Enter Indicator Scores'!$D$8:$CZ$8,0),
  _xlpm.v, IFERROR(INDEX('3. Enter Indicator Scores'!$D$10:$CZ$161,_xlpm.r,_xlpm.c),""),
  IF(OR(_xlpm.w="",_xlpm.v=""),"",_xlpm.v*_xlpm.w)
)</f>
        <v/>
      </c>
      <c r="CT155" s="93" t="str" cm="1">
        <f t="array" ref="CT155">_xlfn.LET(
  _xlpm.w, CT$11,
  _xlpm.r, MATCH(1,('3. Enter Indicator Scores'!$B$10:$B$161=$B155)*('3. Enter Indicator Scores'!$C$10:$C$161=$C155),0),
  _xlpm.c, MATCH(CT$8,'3. Enter Indicator Scores'!$D$8:$CZ$8,0),
  _xlpm.v, IFERROR(INDEX('3. Enter Indicator Scores'!$D$10:$CZ$161,_xlpm.r,_xlpm.c),""),
  IF(OR(_xlpm.w="",_xlpm.v=""),"",_xlpm.v*_xlpm.w)
)</f>
        <v/>
      </c>
      <c r="CU155" s="93" t="str" cm="1">
        <f t="array" ref="CU155">_xlfn.LET(
  _xlpm.w, CU$11,
  _xlpm.r, MATCH(1,('3. Enter Indicator Scores'!$B$10:$B$161=$B155)*('3. Enter Indicator Scores'!$C$10:$C$161=$C155),0),
  _xlpm.c, MATCH(CU$8,'3. Enter Indicator Scores'!$D$8:$CZ$8,0),
  _xlpm.v, IFERROR(INDEX('3. Enter Indicator Scores'!$D$10:$CZ$161,_xlpm.r,_xlpm.c),""),
  IF(OR(_xlpm.w="",_xlpm.v=""),"",_xlpm.v*_xlpm.w)
)</f>
        <v/>
      </c>
      <c r="CV155" s="93" t="str" cm="1">
        <f t="array" ref="CV155">_xlfn.LET(
  _xlpm.w, CV$11,
  _xlpm.r, MATCH(1,('3. Enter Indicator Scores'!$B$10:$B$161=$B155)*('3. Enter Indicator Scores'!$C$10:$C$161=$C155),0),
  _xlpm.c, MATCH(CV$8,'3. Enter Indicator Scores'!$D$8:$CZ$8,0),
  _xlpm.v, IFERROR(INDEX('3. Enter Indicator Scores'!$D$10:$CZ$161,_xlpm.r,_xlpm.c),""),
  IF(OR(_xlpm.w="",_xlpm.v=""),"",_xlpm.v*_xlpm.w)
)</f>
        <v/>
      </c>
      <c r="CW155" s="93" t="str" cm="1">
        <f t="array" ref="CW155">_xlfn.LET(
  _xlpm.w, CW$11,
  _xlpm.r, MATCH(1,('3. Enter Indicator Scores'!$B$10:$B$161=$B155)*('3. Enter Indicator Scores'!$C$10:$C$161=$C155),0),
  _xlpm.c, MATCH(CW$8,'3. Enter Indicator Scores'!$D$8:$CZ$8,0),
  _xlpm.v, IFERROR(INDEX('3. Enter Indicator Scores'!$D$10:$CZ$161,_xlpm.r,_xlpm.c),""),
  IF(OR(_xlpm.w="",_xlpm.v=""),"",_xlpm.v*_xlpm.w)
)</f>
        <v/>
      </c>
      <c r="CX155" s="93" t="str" cm="1">
        <f t="array" ref="CX155">_xlfn.LET(
  _xlpm.w, CX$11,
  _xlpm.r, MATCH(1,('3. Enter Indicator Scores'!$B$10:$B$161=$B155)*('3. Enter Indicator Scores'!$C$10:$C$161=$C155),0),
  _xlpm.c, MATCH(CX$8,'3. Enter Indicator Scores'!$D$8:$CZ$8,0),
  _xlpm.v, IFERROR(INDEX('3. Enter Indicator Scores'!$D$10:$CZ$161,_xlpm.r,_xlpm.c),""),
  IF(OR(_xlpm.w="",_xlpm.v=""),"",_xlpm.v*_xlpm.w)
)</f>
        <v/>
      </c>
      <c r="CY155" s="93" t="str" cm="1">
        <f t="array" ref="CY155">_xlfn.LET(
  _xlpm.w, CY$11,
  _xlpm.r, MATCH(1,('3. Enter Indicator Scores'!$B$10:$B$161=$B155)*('3. Enter Indicator Scores'!$C$10:$C$161=$C155),0),
  _xlpm.c, MATCH(CY$8,'3. Enter Indicator Scores'!$D$8:$CZ$8,0),
  _xlpm.v, IFERROR(INDEX('3. Enter Indicator Scores'!$D$10:$CZ$161,_xlpm.r,_xlpm.c),""),
  IF(OR(_xlpm.w="",_xlpm.v=""),"",_xlpm.v*_xlpm.w)
)</f>
        <v/>
      </c>
      <c r="CZ155" s="93" t="str" cm="1">
        <f t="array" ref="CZ155">_xlfn.LET(
  _xlpm.w, CZ$11,
  _xlpm.r, MATCH(1,('3. Enter Indicator Scores'!$B$10:$B$161=$B155)*('3. Enter Indicator Scores'!$C$10:$C$161=$C155),0),
  _xlpm.c, MATCH(CZ$8,'3. Enter Indicator Scores'!$D$8:$CZ$8,0),
  _xlpm.v, IFERROR(INDEX('3. Enter Indicator Scores'!$D$10:$CZ$161,_xlpm.r,_xlpm.c),""),
  IF(OR(_xlpm.w="",_xlpm.v=""),"",_xlpm.v*_xlpm.w)
)</f>
        <v/>
      </c>
    </row>
    <row r="156" spans="4:104" x14ac:dyDescent="0.2">
      <c r="D156" s="93" t="str" cm="1">
        <f t="array" ref="D156">_xlfn.LET(
  _xlpm.w, D$11,
  _xlpm.r, MATCH(1,('3. Enter Indicator Scores'!$B$10:$B$161=$B156)*('3. Enter Indicator Scores'!$C$10:$C$161=$C156),0),
  _xlpm.c, MATCH(D$8,'3. Enter Indicator Scores'!$D$8:$CZ$8,0),
  _xlpm.v, IFERROR(INDEX('3. Enter Indicator Scores'!$D$10:$CZ$161,_xlpm.r,_xlpm.c),""),
  IF(OR(_xlpm.w="",_xlpm.v=""),"",_xlpm.v*_xlpm.w)
)</f>
        <v/>
      </c>
      <c r="E156" s="93" t="str" cm="1">
        <f t="array" ref="E156">_xlfn.LET(
  _xlpm.w, E$11,
  _xlpm.r, MATCH(1,('3. Enter Indicator Scores'!$B$10:$B$161=$B156)*('3. Enter Indicator Scores'!$C$10:$C$161=$C156),0),
  _xlpm.c, MATCH(E$8,'3. Enter Indicator Scores'!$D$8:$CZ$8,0),
  _xlpm.v, IFERROR(INDEX('3. Enter Indicator Scores'!$D$10:$CZ$161,_xlpm.r,_xlpm.c),""),
  IF(OR(_xlpm.w="",_xlpm.v=""),"",_xlpm.v*_xlpm.w)
)</f>
        <v/>
      </c>
      <c r="F156" s="93" t="str" cm="1">
        <f t="array" ref="F156">_xlfn.LET(
  _xlpm.w, F$11,
  _xlpm.r, MATCH(1,('3. Enter Indicator Scores'!$B$10:$B$161=$B156)*('3. Enter Indicator Scores'!$C$10:$C$161=$C156),0),
  _xlpm.c, MATCH(F$8,'3. Enter Indicator Scores'!$D$8:$CZ$8,0),
  _xlpm.v, IFERROR(INDEX('3. Enter Indicator Scores'!$D$10:$CZ$161,_xlpm.r,_xlpm.c),""),
  IF(OR(_xlpm.w="",_xlpm.v=""),"",_xlpm.v*_xlpm.w)
)</f>
        <v/>
      </c>
      <c r="G156" s="93" t="str" cm="1">
        <f t="array" ref="G156">_xlfn.LET(
  _xlpm.w, G$11,
  _xlpm.r, MATCH(1,('3. Enter Indicator Scores'!$B$10:$B$161=$B156)*('3. Enter Indicator Scores'!$C$10:$C$161=$C156),0),
  _xlpm.c, MATCH(G$8,'3. Enter Indicator Scores'!$D$8:$CZ$8,0),
  _xlpm.v, IFERROR(INDEX('3. Enter Indicator Scores'!$D$10:$CZ$161,_xlpm.r,_xlpm.c),""),
  IF(OR(_xlpm.w="",_xlpm.v=""),"",_xlpm.v*_xlpm.w)
)</f>
        <v/>
      </c>
      <c r="H156" s="93" t="str" cm="1">
        <f t="array" ref="H156">_xlfn.LET(
  _xlpm.w, H$11,
  _xlpm.r, MATCH(1,('3. Enter Indicator Scores'!$B$10:$B$161=$B156)*('3. Enter Indicator Scores'!$C$10:$C$161=$C156),0),
  _xlpm.c, MATCH(H$8,'3. Enter Indicator Scores'!$D$8:$CZ$8,0),
  _xlpm.v, IFERROR(INDEX('3. Enter Indicator Scores'!$D$10:$CZ$161,_xlpm.r,_xlpm.c),""),
  IF(OR(_xlpm.w="",_xlpm.v=""),"",_xlpm.v*_xlpm.w)
)</f>
        <v/>
      </c>
      <c r="I156" s="93" t="str" cm="1">
        <f t="array" ref="I156">_xlfn.LET(
  _xlpm.w, I$11,
  _xlpm.r, MATCH(1,('3. Enter Indicator Scores'!$B$10:$B$161=$B156)*('3. Enter Indicator Scores'!$C$10:$C$161=$C156),0),
  _xlpm.c, MATCH(I$8,'3. Enter Indicator Scores'!$D$8:$CZ$8,0),
  _xlpm.v, IFERROR(INDEX('3. Enter Indicator Scores'!$D$10:$CZ$161,_xlpm.r,_xlpm.c),""),
  IF(OR(_xlpm.w="",_xlpm.v=""),"",_xlpm.v*_xlpm.w)
)</f>
        <v/>
      </c>
      <c r="J156" s="93" t="str" cm="1">
        <f t="array" ref="J156">_xlfn.LET(
  _xlpm.w, J$11,
  _xlpm.r, MATCH(1,('3. Enter Indicator Scores'!$B$10:$B$161=$B156)*('3. Enter Indicator Scores'!$C$10:$C$161=$C156),0),
  _xlpm.c, MATCH(J$8,'3. Enter Indicator Scores'!$D$8:$CZ$8,0),
  _xlpm.v, IFERROR(INDEX('3. Enter Indicator Scores'!$D$10:$CZ$161,_xlpm.r,_xlpm.c),""),
  IF(OR(_xlpm.w="",_xlpm.v=""),"",_xlpm.v*_xlpm.w)
)</f>
        <v/>
      </c>
      <c r="K156" s="93" t="str" cm="1">
        <f t="array" ref="K156">_xlfn.LET(
  _xlpm.w, K$11,
  _xlpm.r, MATCH(1,('3. Enter Indicator Scores'!$B$10:$B$161=$B156)*('3. Enter Indicator Scores'!$C$10:$C$161=$C156),0),
  _xlpm.c, MATCH(K$8,'3. Enter Indicator Scores'!$D$8:$CZ$8,0),
  _xlpm.v, IFERROR(INDEX('3. Enter Indicator Scores'!$D$10:$CZ$161,_xlpm.r,_xlpm.c),""),
  IF(OR(_xlpm.w="",_xlpm.v=""),"",_xlpm.v*_xlpm.w)
)</f>
        <v/>
      </c>
      <c r="L156" s="93" t="str" cm="1">
        <f t="array" ref="L156">_xlfn.LET(
  _xlpm.w, L$11,
  _xlpm.r, MATCH(1,('3. Enter Indicator Scores'!$B$10:$B$161=$B156)*('3. Enter Indicator Scores'!$C$10:$C$161=$C156),0),
  _xlpm.c, MATCH(L$8,'3. Enter Indicator Scores'!$D$8:$CZ$8,0),
  _xlpm.v, IFERROR(INDEX('3. Enter Indicator Scores'!$D$10:$CZ$161,_xlpm.r,_xlpm.c),""),
  IF(OR(_xlpm.w="",_xlpm.v=""),"",_xlpm.v*_xlpm.w)
)</f>
        <v/>
      </c>
      <c r="M156" s="93" t="str" cm="1">
        <f t="array" ref="M156">_xlfn.LET(
  _xlpm.w, M$11,
  _xlpm.r, MATCH(1,('3. Enter Indicator Scores'!$B$10:$B$161=$B156)*('3. Enter Indicator Scores'!$C$10:$C$161=$C156),0),
  _xlpm.c, MATCH(M$8,'3. Enter Indicator Scores'!$D$8:$CZ$8,0),
  _xlpm.v, IFERROR(INDEX('3. Enter Indicator Scores'!$D$10:$CZ$161,_xlpm.r,_xlpm.c),""),
  IF(OR(_xlpm.w="",_xlpm.v=""),"",_xlpm.v*_xlpm.w)
)</f>
        <v/>
      </c>
      <c r="N156" s="93" t="str" cm="1">
        <f t="array" ref="N156">_xlfn.LET(
  _xlpm.w, N$11,
  _xlpm.r, MATCH(1,('3. Enter Indicator Scores'!$B$10:$B$161=$B156)*('3. Enter Indicator Scores'!$C$10:$C$161=$C156),0),
  _xlpm.c, MATCH(N$8,'3. Enter Indicator Scores'!$D$8:$CZ$8,0),
  _xlpm.v, IFERROR(INDEX('3. Enter Indicator Scores'!$D$10:$CZ$161,_xlpm.r,_xlpm.c),""),
  IF(OR(_xlpm.w="",_xlpm.v=""),"",_xlpm.v*_xlpm.w)
)</f>
        <v/>
      </c>
      <c r="O156" s="93" t="str" cm="1">
        <f t="array" ref="O156">_xlfn.LET(
  _xlpm.w, O$11,
  _xlpm.r, MATCH(1,('3. Enter Indicator Scores'!$B$10:$B$161=$B156)*('3. Enter Indicator Scores'!$C$10:$C$161=$C156),0),
  _xlpm.c, MATCH(O$8,'3. Enter Indicator Scores'!$D$8:$CZ$8,0),
  _xlpm.v, IFERROR(INDEX('3. Enter Indicator Scores'!$D$10:$CZ$161,_xlpm.r,_xlpm.c),""),
  IF(OR(_xlpm.w="",_xlpm.v=""),"",_xlpm.v*_xlpm.w)
)</f>
        <v/>
      </c>
      <c r="P156" s="93" t="str" cm="1">
        <f t="array" ref="P156">_xlfn.LET(
  _xlpm.w, P$11,
  _xlpm.r, MATCH(1,('3. Enter Indicator Scores'!$B$10:$B$161=$B156)*('3. Enter Indicator Scores'!$C$10:$C$161=$C156),0),
  _xlpm.c, MATCH(P$8,'3. Enter Indicator Scores'!$D$8:$CZ$8,0),
  _xlpm.v, IFERROR(INDEX('3. Enter Indicator Scores'!$D$10:$CZ$161,_xlpm.r,_xlpm.c),""),
  IF(OR(_xlpm.w="",_xlpm.v=""),"",_xlpm.v*_xlpm.w)
)</f>
        <v/>
      </c>
      <c r="Q156" s="93" t="str" cm="1">
        <f t="array" ref="Q156">_xlfn.LET(
  _xlpm.w, Q$11,
  _xlpm.r, MATCH(1,('3. Enter Indicator Scores'!$B$10:$B$161=$B156)*('3. Enter Indicator Scores'!$C$10:$C$161=$C156),0),
  _xlpm.c, MATCH(Q$8,'3. Enter Indicator Scores'!$D$8:$CZ$8,0),
  _xlpm.v, IFERROR(INDEX('3. Enter Indicator Scores'!$D$10:$CZ$161,_xlpm.r,_xlpm.c),""),
  IF(OR(_xlpm.w="",_xlpm.v=""),"",_xlpm.v*_xlpm.w)
)</f>
        <v/>
      </c>
      <c r="R156" s="93" t="str" cm="1">
        <f t="array" ref="R156">_xlfn.LET(
  _xlpm.w, R$11,
  _xlpm.r, MATCH(1,('3. Enter Indicator Scores'!$B$10:$B$161=$B156)*('3. Enter Indicator Scores'!$C$10:$C$161=$C156),0),
  _xlpm.c, MATCH(R$8,'3. Enter Indicator Scores'!$D$8:$CZ$8,0),
  _xlpm.v, IFERROR(INDEX('3. Enter Indicator Scores'!$D$10:$CZ$161,_xlpm.r,_xlpm.c),""),
  IF(OR(_xlpm.w="",_xlpm.v=""),"",_xlpm.v*_xlpm.w)
)</f>
        <v/>
      </c>
      <c r="S156" s="93" t="str" cm="1">
        <f t="array" ref="S156">_xlfn.LET(
  _xlpm.w, S$11,
  _xlpm.r, MATCH(1,('3. Enter Indicator Scores'!$B$10:$B$161=$B156)*('3. Enter Indicator Scores'!$C$10:$C$161=$C156),0),
  _xlpm.c, MATCH(S$8,'3. Enter Indicator Scores'!$D$8:$CZ$8,0),
  _xlpm.v, IFERROR(INDEX('3. Enter Indicator Scores'!$D$10:$CZ$161,_xlpm.r,_xlpm.c),""),
  IF(OR(_xlpm.w="",_xlpm.v=""),"",_xlpm.v*_xlpm.w)
)</f>
        <v/>
      </c>
      <c r="T156" s="93" t="str" cm="1">
        <f t="array" ref="T156">_xlfn.LET(
  _xlpm.w, T$11,
  _xlpm.r, MATCH(1,('3. Enter Indicator Scores'!$B$10:$B$161=$B156)*('3. Enter Indicator Scores'!$C$10:$C$161=$C156),0),
  _xlpm.c, MATCH(T$8,'3. Enter Indicator Scores'!$D$8:$CZ$8,0),
  _xlpm.v, IFERROR(INDEX('3. Enter Indicator Scores'!$D$10:$CZ$161,_xlpm.r,_xlpm.c),""),
  IF(OR(_xlpm.w="",_xlpm.v=""),"",_xlpm.v*_xlpm.w)
)</f>
        <v/>
      </c>
      <c r="U156" s="93" t="str" cm="1">
        <f t="array" ref="U156">_xlfn.LET(
  _xlpm.w, U$11,
  _xlpm.r, MATCH(1,('3. Enter Indicator Scores'!$B$10:$B$161=$B156)*('3. Enter Indicator Scores'!$C$10:$C$161=$C156),0),
  _xlpm.c, MATCH(U$8,'3. Enter Indicator Scores'!$D$8:$CZ$8,0),
  _xlpm.v, IFERROR(INDEX('3. Enter Indicator Scores'!$D$10:$CZ$161,_xlpm.r,_xlpm.c),""),
  IF(OR(_xlpm.w="",_xlpm.v=""),"",_xlpm.v*_xlpm.w)
)</f>
        <v/>
      </c>
      <c r="V156" s="93" t="str" cm="1">
        <f t="array" ref="V156">_xlfn.LET(
  _xlpm.w, V$11,
  _xlpm.r, MATCH(1,('3. Enter Indicator Scores'!$B$10:$B$161=$B156)*('3. Enter Indicator Scores'!$C$10:$C$161=$C156),0),
  _xlpm.c, MATCH(V$8,'3. Enter Indicator Scores'!$D$8:$CZ$8,0),
  _xlpm.v, IFERROR(INDEX('3. Enter Indicator Scores'!$D$10:$CZ$161,_xlpm.r,_xlpm.c),""),
  IF(OR(_xlpm.w="",_xlpm.v=""),"",_xlpm.v*_xlpm.w)
)</f>
        <v/>
      </c>
      <c r="W156" s="93" t="str" cm="1">
        <f t="array" ref="W156">_xlfn.LET(
  _xlpm.w, W$11,
  _xlpm.r, MATCH(1,('3. Enter Indicator Scores'!$B$10:$B$161=$B156)*('3. Enter Indicator Scores'!$C$10:$C$161=$C156),0),
  _xlpm.c, MATCH(W$8,'3. Enter Indicator Scores'!$D$8:$CZ$8,0),
  _xlpm.v, IFERROR(INDEX('3. Enter Indicator Scores'!$D$10:$CZ$161,_xlpm.r,_xlpm.c),""),
  IF(OR(_xlpm.w="",_xlpm.v=""),"",_xlpm.v*_xlpm.w)
)</f>
        <v/>
      </c>
      <c r="X156" s="93" t="str" cm="1">
        <f t="array" ref="X156">_xlfn.LET(
  _xlpm.w, X$11,
  _xlpm.r, MATCH(1,('3. Enter Indicator Scores'!$B$10:$B$161=$B156)*('3. Enter Indicator Scores'!$C$10:$C$161=$C156),0),
  _xlpm.c, MATCH(X$8,'3. Enter Indicator Scores'!$D$8:$CZ$8,0),
  _xlpm.v, IFERROR(INDEX('3. Enter Indicator Scores'!$D$10:$CZ$161,_xlpm.r,_xlpm.c),""),
  IF(OR(_xlpm.w="",_xlpm.v=""),"",_xlpm.v*_xlpm.w)
)</f>
        <v/>
      </c>
      <c r="Y156" s="93" t="str" cm="1">
        <f t="array" ref="Y156">_xlfn.LET(
  _xlpm.w, Y$11,
  _xlpm.r, MATCH(1,('3. Enter Indicator Scores'!$B$10:$B$161=$B156)*('3. Enter Indicator Scores'!$C$10:$C$161=$C156),0),
  _xlpm.c, MATCH(Y$8,'3. Enter Indicator Scores'!$D$8:$CZ$8,0),
  _xlpm.v, IFERROR(INDEX('3. Enter Indicator Scores'!$D$10:$CZ$161,_xlpm.r,_xlpm.c),""),
  IF(OR(_xlpm.w="",_xlpm.v=""),"",_xlpm.v*_xlpm.w)
)</f>
        <v/>
      </c>
      <c r="Z156" s="93" t="str" cm="1">
        <f t="array" ref="Z156">_xlfn.LET(
  _xlpm.w, Z$11,
  _xlpm.r, MATCH(1,('3. Enter Indicator Scores'!$B$10:$B$161=$B156)*('3. Enter Indicator Scores'!$C$10:$C$161=$C156),0),
  _xlpm.c, MATCH(Z$8,'3. Enter Indicator Scores'!$D$8:$CZ$8,0),
  _xlpm.v, IFERROR(INDEX('3. Enter Indicator Scores'!$D$10:$CZ$161,_xlpm.r,_xlpm.c),""),
  IF(OR(_xlpm.w="",_xlpm.v=""),"",_xlpm.v*_xlpm.w)
)</f>
        <v/>
      </c>
      <c r="AA156" s="93" t="str" cm="1">
        <f t="array" ref="AA156">_xlfn.LET(
  _xlpm.w, AA$11,
  _xlpm.r, MATCH(1,('3. Enter Indicator Scores'!$B$10:$B$161=$B156)*('3. Enter Indicator Scores'!$C$10:$C$161=$C156),0),
  _xlpm.c, MATCH(AA$8,'3. Enter Indicator Scores'!$D$8:$CZ$8,0),
  _xlpm.v, IFERROR(INDEX('3. Enter Indicator Scores'!$D$10:$CZ$161,_xlpm.r,_xlpm.c),""),
  IF(OR(_xlpm.w="",_xlpm.v=""),"",_xlpm.v*_xlpm.w)
)</f>
        <v/>
      </c>
      <c r="AB156" s="93" t="str" cm="1">
        <f t="array" ref="AB156">_xlfn.LET(
  _xlpm.w, AB$11,
  _xlpm.r, MATCH(1,('3. Enter Indicator Scores'!$B$10:$B$161=$B156)*('3. Enter Indicator Scores'!$C$10:$C$161=$C156),0),
  _xlpm.c, MATCH(AB$8,'3. Enter Indicator Scores'!$D$8:$CZ$8,0),
  _xlpm.v, IFERROR(INDEX('3. Enter Indicator Scores'!$D$10:$CZ$161,_xlpm.r,_xlpm.c),""),
  IF(OR(_xlpm.w="",_xlpm.v=""),"",_xlpm.v*_xlpm.w)
)</f>
        <v/>
      </c>
      <c r="AC156" s="93" t="str" cm="1">
        <f t="array" ref="AC156">_xlfn.LET(
  _xlpm.w, AC$11,
  _xlpm.r, MATCH(1,('3. Enter Indicator Scores'!$B$10:$B$161=$B156)*('3. Enter Indicator Scores'!$C$10:$C$161=$C156),0),
  _xlpm.c, MATCH(AC$8,'3. Enter Indicator Scores'!$D$8:$CZ$8,0),
  _xlpm.v, IFERROR(INDEX('3. Enter Indicator Scores'!$D$10:$CZ$161,_xlpm.r,_xlpm.c),""),
  IF(OR(_xlpm.w="",_xlpm.v=""),"",_xlpm.v*_xlpm.w)
)</f>
        <v/>
      </c>
      <c r="AD156" s="93" t="str" cm="1">
        <f t="array" ref="AD156">_xlfn.LET(
  _xlpm.w, AD$11,
  _xlpm.r, MATCH(1,('3. Enter Indicator Scores'!$B$10:$B$161=$B156)*('3. Enter Indicator Scores'!$C$10:$C$161=$C156),0),
  _xlpm.c, MATCH(AD$8,'3. Enter Indicator Scores'!$D$8:$CZ$8,0),
  _xlpm.v, IFERROR(INDEX('3. Enter Indicator Scores'!$D$10:$CZ$161,_xlpm.r,_xlpm.c),""),
  IF(OR(_xlpm.w="",_xlpm.v=""),"",_xlpm.v*_xlpm.w)
)</f>
        <v/>
      </c>
      <c r="AE156" s="93" t="str" cm="1">
        <f t="array" ref="AE156">_xlfn.LET(
  _xlpm.w, AE$11,
  _xlpm.r, MATCH(1,('3. Enter Indicator Scores'!$B$10:$B$161=$B156)*('3. Enter Indicator Scores'!$C$10:$C$161=$C156),0),
  _xlpm.c, MATCH(AE$8,'3. Enter Indicator Scores'!$D$8:$CZ$8,0),
  _xlpm.v, IFERROR(INDEX('3. Enter Indicator Scores'!$D$10:$CZ$161,_xlpm.r,_xlpm.c),""),
  IF(OR(_xlpm.w="",_xlpm.v=""),"",_xlpm.v*_xlpm.w)
)</f>
        <v/>
      </c>
      <c r="AF156" s="93" t="str" cm="1">
        <f t="array" ref="AF156">_xlfn.LET(
  _xlpm.w, AF$11,
  _xlpm.r, MATCH(1,('3. Enter Indicator Scores'!$B$10:$B$161=$B156)*('3. Enter Indicator Scores'!$C$10:$C$161=$C156),0),
  _xlpm.c, MATCH(AF$8,'3. Enter Indicator Scores'!$D$8:$CZ$8,0),
  _xlpm.v, IFERROR(INDEX('3. Enter Indicator Scores'!$D$10:$CZ$161,_xlpm.r,_xlpm.c),""),
  IF(OR(_xlpm.w="",_xlpm.v=""),"",_xlpm.v*_xlpm.w)
)</f>
        <v/>
      </c>
      <c r="AG156" s="93" t="str" cm="1">
        <f t="array" ref="AG156">_xlfn.LET(
  _xlpm.w, AG$11,
  _xlpm.r, MATCH(1,('3. Enter Indicator Scores'!$B$10:$B$161=$B156)*('3. Enter Indicator Scores'!$C$10:$C$161=$C156),0),
  _xlpm.c, MATCH(AG$8,'3. Enter Indicator Scores'!$D$8:$CZ$8,0),
  _xlpm.v, IFERROR(INDEX('3. Enter Indicator Scores'!$D$10:$CZ$161,_xlpm.r,_xlpm.c),""),
  IF(OR(_xlpm.w="",_xlpm.v=""),"",_xlpm.v*_xlpm.w)
)</f>
        <v/>
      </c>
      <c r="AH156" s="93" t="str" cm="1">
        <f t="array" ref="AH156">_xlfn.LET(
  _xlpm.w, AH$11,
  _xlpm.r, MATCH(1,('3. Enter Indicator Scores'!$B$10:$B$161=$B156)*('3. Enter Indicator Scores'!$C$10:$C$161=$C156),0),
  _xlpm.c, MATCH(AH$8,'3. Enter Indicator Scores'!$D$8:$CZ$8,0),
  _xlpm.v, IFERROR(INDEX('3. Enter Indicator Scores'!$D$10:$CZ$161,_xlpm.r,_xlpm.c),""),
  IF(OR(_xlpm.w="",_xlpm.v=""),"",_xlpm.v*_xlpm.w)
)</f>
        <v/>
      </c>
      <c r="AI156" s="93" t="str" cm="1">
        <f t="array" ref="AI156">_xlfn.LET(
  _xlpm.w, AI$11,
  _xlpm.r, MATCH(1,('3. Enter Indicator Scores'!$B$10:$B$161=$B156)*('3. Enter Indicator Scores'!$C$10:$C$161=$C156),0),
  _xlpm.c, MATCH(AI$8,'3. Enter Indicator Scores'!$D$8:$CZ$8,0),
  _xlpm.v, IFERROR(INDEX('3. Enter Indicator Scores'!$D$10:$CZ$161,_xlpm.r,_xlpm.c),""),
  IF(OR(_xlpm.w="",_xlpm.v=""),"",_xlpm.v*_xlpm.w)
)</f>
        <v/>
      </c>
      <c r="AJ156" s="93" t="str" cm="1">
        <f t="array" ref="AJ156">_xlfn.LET(
  _xlpm.w, AJ$11,
  _xlpm.r, MATCH(1,('3. Enter Indicator Scores'!$B$10:$B$161=$B156)*('3. Enter Indicator Scores'!$C$10:$C$161=$C156),0),
  _xlpm.c, MATCH(AJ$8,'3. Enter Indicator Scores'!$D$8:$CZ$8,0),
  _xlpm.v, IFERROR(INDEX('3. Enter Indicator Scores'!$D$10:$CZ$161,_xlpm.r,_xlpm.c),""),
  IF(OR(_xlpm.w="",_xlpm.v=""),"",_xlpm.v*_xlpm.w)
)</f>
        <v/>
      </c>
      <c r="AK156" s="93" t="str" cm="1">
        <f t="array" ref="AK156">_xlfn.LET(
  _xlpm.w, AK$11,
  _xlpm.r, MATCH(1,('3. Enter Indicator Scores'!$B$10:$B$161=$B156)*('3. Enter Indicator Scores'!$C$10:$C$161=$C156),0),
  _xlpm.c, MATCH(AK$8,'3. Enter Indicator Scores'!$D$8:$CZ$8,0),
  _xlpm.v, IFERROR(INDEX('3. Enter Indicator Scores'!$D$10:$CZ$161,_xlpm.r,_xlpm.c),""),
  IF(OR(_xlpm.w="",_xlpm.v=""),"",_xlpm.v*_xlpm.w)
)</f>
        <v/>
      </c>
      <c r="AL156" s="93" t="str" cm="1">
        <f t="array" ref="AL156">_xlfn.LET(
  _xlpm.w, AL$11,
  _xlpm.r, MATCH(1,('3. Enter Indicator Scores'!$B$10:$B$161=$B156)*('3. Enter Indicator Scores'!$C$10:$C$161=$C156),0),
  _xlpm.c, MATCH(AL$8,'3. Enter Indicator Scores'!$D$8:$CZ$8,0),
  _xlpm.v, IFERROR(INDEX('3. Enter Indicator Scores'!$D$10:$CZ$161,_xlpm.r,_xlpm.c),""),
  IF(OR(_xlpm.w="",_xlpm.v=""),"",_xlpm.v*_xlpm.w)
)</f>
        <v/>
      </c>
      <c r="AM156" s="93" t="str" cm="1">
        <f t="array" ref="AM156">_xlfn.LET(
  _xlpm.w, AM$11,
  _xlpm.r, MATCH(1,('3. Enter Indicator Scores'!$B$10:$B$161=$B156)*('3. Enter Indicator Scores'!$C$10:$C$161=$C156),0),
  _xlpm.c, MATCH(AM$8,'3. Enter Indicator Scores'!$D$8:$CZ$8,0),
  _xlpm.v, IFERROR(INDEX('3. Enter Indicator Scores'!$D$10:$CZ$161,_xlpm.r,_xlpm.c),""),
  IF(OR(_xlpm.w="",_xlpm.v=""),"",_xlpm.v*_xlpm.w)
)</f>
        <v/>
      </c>
      <c r="AN156" s="93" t="str" cm="1">
        <f t="array" ref="AN156">_xlfn.LET(
  _xlpm.w, AN$11,
  _xlpm.r, MATCH(1,('3. Enter Indicator Scores'!$B$10:$B$161=$B156)*('3. Enter Indicator Scores'!$C$10:$C$161=$C156),0),
  _xlpm.c, MATCH(AN$8,'3. Enter Indicator Scores'!$D$8:$CZ$8,0),
  _xlpm.v, IFERROR(INDEX('3. Enter Indicator Scores'!$D$10:$CZ$161,_xlpm.r,_xlpm.c),""),
  IF(OR(_xlpm.w="",_xlpm.v=""),"",_xlpm.v*_xlpm.w)
)</f>
        <v/>
      </c>
      <c r="AO156" s="93" t="str" cm="1">
        <f t="array" ref="AO156">_xlfn.LET(
  _xlpm.w, AO$11,
  _xlpm.r, MATCH(1,('3. Enter Indicator Scores'!$B$10:$B$161=$B156)*('3. Enter Indicator Scores'!$C$10:$C$161=$C156),0),
  _xlpm.c, MATCH(AO$8,'3. Enter Indicator Scores'!$D$8:$CZ$8,0),
  _xlpm.v, IFERROR(INDEX('3. Enter Indicator Scores'!$D$10:$CZ$161,_xlpm.r,_xlpm.c),""),
  IF(OR(_xlpm.w="",_xlpm.v=""),"",_xlpm.v*_xlpm.w)
)</f>
        <v/>
      </c>
      <c r="AP156" s="93" t="str" cm="1">
        <f t="array" ref="AP156">_xlfn.LET(
  _xlpm.w, AP$11,
  _xlpm.r, MATCH(1,('3. Enter Indicator Scores'!$B$10:$B$161=$B156)*('3. Enter Indicator Scores'!$C$10:$C$161=$C156),0),
  _xlpm.c, MATCH(AP$8,'3. Enter Indicator Scores'!$D$8:$CZ$8,0),
  _xlpm.v, IFERROR(INDEX('3. Enter Indicator Scores'!$D$10:$CZ$161,_xlpm.r,_xlpm.c),""),
  IF(OR(_xlpm.w="",_xlpm.v=""),"",_xlpm.v*_xlpm.w)
)</f>
        <v/>
      </c>
      <c r="AQ156" s="93" t="str" cm="1">
        <f t="array" ref="AQ156">_xlfn.LET(
  _xlpm.w, AQ$11,
  _xlpm.r, MATCH(1,('3. Enter Indicator Scores'!$B$10:$B$161=$B156)*('3. Enter Indicator Scores'!$C$10:$C$161=$C156),0),
  _xlpm.c, MATCH(AQ$8,'3. Enter Indicator Scores'!$D$8:$CZ$8,0),
  _xlpm.v, IFERROR(INDEX('3. Enter Indicator Scores'!$D$10:$CZ$161,_xlpm.r,_xlpm.c),""),
  IF(OR(_xlpm.w="",_xlpm.v=""),"",_xlpm.v*_xlpm.w)
)</f>
        <v/>
      </c>
      <c r="AR156" s="93" t="str" cm="1">
        <f t="array" ref="AR156">_xlfn.LET(
  _xlpm.w, AR$11,
  _xlpm.r, MATCH(1,('3. Enter Indicator Scores'!$B$10:$B$161=$B156)*('3. Enter Indicator Scores'!$C$10:$C$161=$C156),0),
  _xlpm.c, MATCH(AR$8,'3. Enter Indicator Scores'!$D$8:$CZ$8,0),
  _xlpm.v, IFERROR(INDEX('3. Enter Indicator Scores'!$D$10:$CZ$161,_xlpm.r,_xlpm.c),""),
  IF(OR(_xlpm.w="",_xlpm.v=""),"",_xlpm.v*_xlpm.w)
)</f>
        <v/>
      </c>
      <c r="AS156" s="93" t="str" cm="1">
        <f t="array" ref="AS156">_xlfn.LET(
  _xlpm.w, AS$11,
  _xlpm.r, MATCH(1,('3. Enter Indicator Scores'!$B$10:$B$161=$B156)*('3. Enter Indicator Scores'!$C$10:$C$161=$C156),0),
  _xlpm.c, MATCH(AS$8,'3. Enter Indicator Scores'!$D$8:$CZ$8,0),
  _xlpm.v, IFERROR(INDEX('3. Enter Indicator Scores'!$D$10:$CZ$161,_xlpm.r,_xlpm.c),""),
  IF(OR(_xlpm.w="",_xlpm.v=""),"",_xlpm.v*_xlpm.w)
)</f>
        <v/>
      </c>
      <c r="AT156" s="93" t="str" cm="1">
        <f t="array" ref="AT156">_xlfn.LET(
  _xlpm.w, AT$11,
  _xlpm.r, MATCH(1,('3. Enter Indicator Scores'!$B$10:$B$161=$B156)*('3. Enter Indicator Scores'!$C$10:$C$161=$C156),0),
  _xlpm.c, MATCH(AT$8,'3. Enter Indicator Scores'!$D$8:$CZ$8,0),
  _xlpm.v, IFERROR(INDEX('3. Enter Indicator Scores'!$D$10:$CZ$161,_xlpm.r,_xlpm.c),""),
  IF(OR(_xlpm.w="",_xlpm.v=""),"",_xlpm.v*_xlpm.w)
)</f>
        <v/>
      </c>
      <c r="AU156" s="93" t="str" cm="1">
        <f t="array" ref="AU156">_xlfn.LET(
  _xlpm.w, AU$11,
  _xlpm.r, MATCH(1,('3. Enter Indicator Scores'!$B$10:$B$161=$B156)*('3. Enter Indicator Scores'!$C$10:$C$161=$C156),0),
  _xlpm.c, MATCH(AU$8,'3. Enter Indicator Scores'!$D$8:$CZ$8,0),
  _xlpm.v, IFERROR(INDEX('3. Enter Indicator Scores'!$D$10:$CZ$161,_xlpm.r,_xlpm.c),""),
  IF(OR(_xlpm.w="",_xlpm.v=""),"",_xlpm.v*_xlpm.w)
)</f>
        <v/>
      </c>
      <c r="AV156" s="93" t="str" cm="1">
        <f t="array" ref="AV156">_xlfn.LET(
  _xlpm.w, AV$11,
  _xlpm.r, MATCH(1,('3. Enter Indicator Scores'!$B$10:$B$161=$B156)*('3. Enter Indicator Scores'!$C$10:$C$161=$C156),0),
  _xlpm.c, MATCH(AV$8,'3. Enter Indicator Scores'!$D$8:$CZ$8,0),
  _xlpm.v, IFERROR(INDEX('3. Enter Indicator Scores'!$D$10:$CZ$161,_xlpm.r,_xlpm.c),""),
  IF(OR(_xlpm.w="",_xlpm.v=""),"",_xlpm.v*_xlpm.w)
)</f>
        <v/>
      </c>
      <c r="AW156" s="93" t="str" cm="1">
        <f t="array" ref="AW156">_xlfn.LET(
  _xlpm.w, AW$11,
  _xlpm.r, MATCH(1,('3. Enter Indicator Scores'!$B$10:$B$161=$B156)*('3. Enter Indicator Scores'!$C$10:$C$161=$C156),0),
  _xlpm.c, MATCH(AW$8,'3. Enter Indicator Scores'!$D$8:$CZ$8,0),
  _xlpm.v, IFERROR(INDEX('3. Enter Indicator Scores'!$D$10:$CZ$161,_xlpm.r,_xlpm.c),""),
  IF(OR(_xlpm.w="",_xlpm.v=""),"",_xlpm.v*_xlpm.w)
)</f>
        <v/>
      </c>
      <c r="AX156" s="93" t="str" cm="1">
        <f t="array" ref="AX156">_xlfn.LET(
  _xlpm.w, AX$11,
  _xlpm.r, MATCH(1,('3. Enter Indicator Scores'!$B$10:$B$161=$B156)*('3. Enter Indicator Scores'!$C$10:$C$161=$C156),0),
  _xlpm.c, MATCH(AX$8,'3. Enter Indicator Scores'!$D$8:$CZ$8,0),
  _xlpm.v, IFERROR(INDEX('3. Enter Indicator Scores'!$D$10:$CZ$161,_xlpm.r,_xlpm.c),""),
  IF(OR(_xlpm.w="",_xlpm.v=""),"",_xlpm.v*_xlpm.w)
)</f>
        <v/>
      </c>
      <c r="AY156" s="93" t="str" cm="1">
        <f t="array" ref="AY156">_xlfn.LET(
  _xlpm.w, AY$11,
  _xlpm.r, MATCH(1,('3. Enter Indicator Scores'!$B$10:$B$161=$B156)*('3. Enter Indicator Scores'!$C$10:$C$161=$C156),0),
  _xlpm.c, MATCH(AY$8,'3. Enter Indicator Scores'!$D$8:$CZ$8,0),
  _xlpm.v, IFERROR(INDEX('3. Enter Indicator Scores'!$D$10:$CZ$161,_xlpm.r,_xlpm.c),""),
  IF(OR(_xlpm.w="",_xlpm.v=""),"",_xlpm.v*_xlpm.w)
)</f>
        <v/>
      </c>
      <c r="AZ156" s="93" t="str" cm="1">
        <f t="array" ref="AZ156">_xlfn.LET(
  _xlpm.w, AZ$11,
  _xlpm.r, MATCH(1,('3. Enter Indicator Scores'!$B$10:$B$161=$B156)*('3. Enter Indicator Scores'!$C$10:$C$161=$C156),0),
  _xlpm.c, MATCH(AZ$8,'3. Enter Indicator Scores'!$D$8:$CZ$8,0),
  _xlpm.v, IFERROR(INDEX('3. Enter Indicator Scores'!$D$10:$CZ$161,_xlpm.r,_xlpm.c),""),
  IF(OR(_xlpm.w="",_xlpm.v=""),"",_xlpm.v*_xlpm.w)
)</f>
        <v/>
      </c>
      <c r="BA156" s="93" t="str" cm="1">
        <f t="array" ref="BA156">_xlfn.LET(
  _xlpm.w, BA$11,
  _xlpm.r, MATCH(1,('3. Enter Indicator Scores'!$B$10:$B$161=$B156)*('3. Enter Indicator Scores'!$C$10:$C$161=$C156),0),
  _xlpm.c, MATCH(BA$8,'3. Enter Indicator Scores'!$D$8:$CZ$8,0),
  _xlpm.v, IFERROR(INDEX('3. Enter Indicator Scores'!$D$10:$CZ$161,_xlpm.r,_xlpm.c),""),
  IF(OR(_xlpm.w="",_xlpm.v=""),"",_xlpm.v*_xlpm.w)
)</f>
        <v/>
      </c>
      <c r="BB156" s="93" t="str" cm="1">
        <f t="array" ref="BB156">_xlfn.LET(
  _xlpm.w, BB$11,
  _xlpm.r, MATCH(1,('3. Enter Indicator Scores'!$B$10:$B$161=$B156)*('3. Enter Indicator Scores'!$C$10:$C$161=$C156),0),
  _xlpm.c, MATCH(BB$8,'3. Enter Indicator Scores'!$D$8:$CZ$8,0),
  _xlpm.v, IFERROR(INDEX('3. Enter Indicator Scores'!$D$10:$CZ$161,_xlpm.r,_xlpm.c),""),
  IF(OR(_xlpm.w="",_xlpm.v=""),"",_xlpm.v*_xlpm.w)
)</f>
        <v/>
      </c>
      <c r="BC156" s="93" t="str" cm="1">
        <f t="array" ref="BC156">_xlfn.LET(
  _xlpm.w, BC$11,
  _xlpm.r, MATCH(1,('3. Enter Indicator Scores'!$B$10:$B$161=$B156)*('3. Enter Indicator Scores'!$C$10:$C$161=$C156),0),
  _xlpm.c, MATCH(BC$8,'3. Enter Indicator Scores'!$D$8:$CZ$8,0),
  _xlpm.v, IFERROR(INDEX('3. Enter Indicator Scores'!$D$10:$CZ$161,_xlpm.r,_xlpm.c),""),
  IF(OR(_xlpm.w="",_xlpm.v=""),"",_xlpm.v*_xlpm.w)
)</f>
        <v/>
      </c>
      <c r="BD156" s="93" t="str" cm="1">
        <f t="array" ref="BD156">_xlfn.LET(
  _xlpm.w, BD$11,
  _xlpm.r, MATCH(1,('3. Enter Indicator Scores'!$B$10:$B$161=$B156)*('3. Enter Indicator Scores'!$C$10:$C$161=$C156),0),
  _xlpm.c, MATCH(BD$8,'3. Enter Indicator Scores'!$D$8:$CZ$8,0),
  _xlpm.v, IFERROR(INDEX('3. Enter Indicator Scores'!$D$10:$CZ$161,_xlpm.r,_xlpm.c),""),
  IF(OR(_xlpm.w="",_xlpm.v=""),"",_xlpm.v*_xlpm.w)
)</f>
        <v/>
      </c>
      <c r="BE156" s="93" t="str" cm="1">
        <f t="array" ref="BE156">_xlfn.LET(
  _xlpm.w, BE$11,
  _xlpm.r, MATCH(1,('3. Enter Indicator Scores'!$B$10:$B$161=$B156)*('3. Enter Indicator Scores'!$C$10:$C$161=$C156),0),
  _xlpm.c, MATCH(BE$8,'3. Enter Indicator Scores'!$D$8:$CZ$8,0),
  _xlpm.v, IFERROR(INDEX('3. Enter Indicator Scores'!$D$10:$CZ$161,_xlpm.r,_xlpm.c),""),
  IF(OR(_xlpm.w="",_xlpm.v=""),"",_xlpm.v*_xlpm.w)
)</f>
        <v/>
      </c>
      <c r="BF156" s="93" t="str" cm="1">
        <f t="array" ref="BF156">_xlfn.LET(
  _xlpm.w, BF$11,
  _xlpm.r, MATCH(1,('3. Enter Indicator Scores'!$B$10:$B$161=$B156)*('3. Enter Indicator Scores'!$C$10:$C$161=$C156),0),
  _xlpm.c, MATCH(BF$8,'3. Enter Indicator Scores'!$D$8:$CZ$8,0),
  _xlpm.v, IFERROR(INDEX('3. Enter Indicator Scores'!$D$10:$CZ$161,_xlpm.r,_xlpm.c),""),
  IF(OR(_xlpm.w="",_xlpm.v=""),"",_xlpm.v*_xlpm.w)
)</f>
        <v/>
      </c>
      <c r="BG156" s="93" t="str" cm="1">
        <f t="array" ref="BG156">_xlfn.LET(
  _xlpm.w, BG$11,
  _xlpm.r, MATCH(1,('3. Enter Indicator Scores'!$B$10:$B$161=$B156)*('3. Enter Indicator Scores'!$C$10:$C$161=$C156),0),
  _xlpm.c, MATCH(BG$8,'3. Enter Indicator Scores'!$D$8:$CZ$8,0),
  _xlpm.v, IFERROR(INDEX('3. Enter Indicator Scores'!$D$10:$CZ$161,_xlpm.r,_xlpm.c),""),
  IF(OR(_xlpm.w="",_xlpm.v=""),"",_xlpm.v*_xlpm.w)
)</f>
        <v/>
      </c>
      <c r="BH156" s="93" t="str" cm="1">
        <f t="array" ref="BH156">_xlfn.LET(
  _xlpm.w, BH$11,
  _xlpm.r, MATCH(1,('3. Enter Indicator Scores'!$B$10:$B$161=$B156)*('3. Enter Indicator Scores'!$C$10:$C$161=$C156),0),
  _xlpm.c, MATCH(BH$8,'3. Enter Indicator Scores'!$D$8:$CZ$8,0),
  _xlpm.v, IFERROR(INDEX('3. Enter Indicator Scores'!$D$10:$CZ$161,_xlpm.r,_xlpm.c),""),
  IF(OR(_xlpm.w="",_xlpm.v=""),"",_xlpm.v*_xlpm.w)
)</f>
        <v/>
      </c>
      <c r="BI156" s="93" t="str" cm="1">
        <f t="array" ref="BI156">_xlfn.LET(
  _xlpm.w, BI$11,
  _xlpm.r, MATCH(1,('3. Enter Indicator Scores'!$B$10:$B$161=$B156)*('3. Enter Indicator Scores'!$C$10:$C$161=$C156),0),
  _xlpm.c, MATCH(BI$8,'3. Enter Indicator Scores'!$D$8:$CZ$8,0),
  _xlpm.v, IFERROR(INDEX('3. Enter Indicator Scores'!$D$10:$CZ$161,_xlpm.r,_xlpm.c),""),
  IF(OR(_xlpm.w="",_xlpm.v=""),"",_xlpm.v*_xlpm.w)
)</f>
        <v/>
      </c>
      <c r="BJ156" s="93" t="str" cm="1">
        <f t="array" ref="BJ156">_xlfn.LET(
  _xlpm.w, BJ$11,
  _xlpm.r, MATCH(1,('3. Enter Indicator Scores'!$B$10:$B$161=$B156)*('3. Enter Indicator Scores'!$C$10:$C$161=$C156),0),
  _xlpm.c, MATCH(BJ$8,'3. Enter Indicator Scores'!$D$8:$CZ$8,0),
  _xlpm.v, IFERROR(INDEX('3. Enter Indicator Scores'!$D$10:$CZ$161,_xlpm.r,_xlpm.c),""),
  IF(OR(_xlpm.w="",_xlpm.v=""),"",_xlpm.v*_xlpm.w)
)</f>
        <v/>
      </c>
      <c r="BK156" s="93" t="str" cm="1">
        <f t="array" ref="BK156">_xlfn.LET(
  _xlpm.w, BK$11,
  _xlpm.r, MATCH(1,('3. Enter Indicator Scores'!$B$10:$B$161=$B156)*('3. Enter Indicator Scores'!$C$10:$C$161=$C156),0),
  _xlpm.c, MATCH(BK$8,'3. Enter Indicator Scores'!$D$8:$CZ$8,0),
  _xlpm.v, IFERROR(INDEX('3. Enter Indicator Scores'!$D$10:$CZ$161,_xlpm.r,_xlpm.c),""),
  IF(OR(_xlpm.w="",_xlpm.v=""),"",_xlpm.v*_xlpm.w)
)</f>
        <v/>
      </c>
      <c r="BL156" s="93" t="str" cm="1">
        <f t="array" ref="BL156">_xlfn.LET(
  _xlpm.w, BL$11,
  _xlpm.r, MATCH(1,('3. Enter Indicator Scores'!$B$10:$B$161=$B156)*('3. Enter Indicator Scores'!$C$10:$C$161=$C156),0),
  _xlpm.c, MATCH(BL$8,'3. Enter Indicator Scores'!$D$8:$CZ$8,0),
  _xlpm.v, IFERROR(INDEX('3. Enter Indicator Scores'!$D$10:$CZ$161,_xlpm.r,_xlpm.c),""),
  IF(OR(_xlpm.w="",_xlpm.v=""),"",_xlpm.v*_xlpm.w)
)</f>
        <v/>
      </c>
      <c r="BM156" s="93" t="str" cm="1">
        <f t="array" ref="BM156">_xlfn.LET(
  _xlpm.w, BM$11,
  _xlpm.r, MATCH(1,('3. Enter Indicator Scores'!$B$10:$B$161=$B156)*('3. Enter Indicator Scores'!$C$10:$C$161=$C156),0),
  _xlpm.c, MATCH(BM$8,'3. Enter Indicator Scores'!$D$8:$CZ$8,0),
  _xlpm.v, IFERROR(INDEX('3. Enter Indicator Scores'!$D$10:$CZ$161,_xlpm.r,_xlpm.c),""),
  IF(OR(_xlpm.w="",_xlpm.v=""),"",_xlpm.v*_xlpm.w)
)</f>
        <v/>
      </c>
      <c r="BN156" s="93" t="str" cm="1">
        <f t="array" ref="BN156">_xlfn.LET(
  _xlpm.w, BN$11,
  _xlpm.r, MATCH(1,('3. Enter Indicator Scores'!$B$10:$B$161=$B156)*('3. Enter Indicator Scores'!$C$10:$C$161=$C156),0),
  _xlpm.c, MATCH(BN$8,'3. Enter Indicator Scores'!$D$8:$CZ$8,0),
  _xlpm.v, IFERROR(INDEX('3. Enter Indicator Scores'!$D$10:$CZ$161,_xlpm.r,_xlpm.c),""),
  IF(OR(_xlpm.w="",_xlpm.v=""),"",_xlpm.v*_xlpm.w)
)</f>
        <v/>
      </c>
      <c r="BO156" s="93" t="str" cm="1">
        <f t="array" ref="BO156">_xlfn.LET(
  _xlpm.w, BO$11,
  _xlpm.r, MATCH(1,('3. Enter Indicator Scores'!$B$10:$B$161=$B156)*('3. Enter Indicator Scores'!$C$10:$C$161=$C156),0),
  _xlpm.c, MATCH(BO$8,'3. Enter Indicator Scores'!$D$8:$CZ$8,0),
  _xlpm.v, IFERROR(INDEX('3. Enter Indicator Scores'!$D$10:$CZ$161,_xlpm.r,_xlpm.c),""),
  IF(OR(_xlpm.w="",_xlpm.v=""),"",_xlpm.v*_xlpm.w)
)</f>
        <v/>
      </c>
      <c r="BP156" s="93" t="str" cm="1">
        <f t="array" ref="BP156">_xlfn.LET(
  _xlpm.w, BP$11,
  _xlpm.r, MATCH(1,('3. Enter Indicator Scores'!$B$10:$B$161=$B156)*('3. Enter Indicator Scores'!$C$10:$C$161=$C156),0),
  _xlpm.c, MATCH(BP$8,'3. Enter Indicator Scores'!$D$8:$CZ$8,0),
  _xlpm.v, IFERROR(INDEX('3. Enter Indicator Scores'!$D$10:$CZ$161,_xlpm.r,_xlpm.c),""),
  IF(OR(_xlpm.w="",_xlpm.v=""),"",_xlpm.v*_xlpm.w)
)</f>
        <v/>
      </c>
      <c r="BQ156" s="93" t="str" cm="1">
        <f t="array" ref="BQ156">_xlfn.LET(
  _xlpm.w, BQ$11,
  _xlpm.r, MATCH(1,('3. Enter Indicator Scores'!$B$10:$B$161=$B156)*('3. Enter Indicator Scores'!$C$10:$C$161=$C156),0),
  _xlpm.c, MATCH(BQ$8,'3. Enter Indicator Scores'!$D$8:$CZ$8,0),
  _xlpm.v, IFERROR(INDEX('3. Enter Indicator Scores'!$D$10:$CZ$161,_xlpm.r,_xlpm.c),""),
  IF(OR(_xlpm.w="",_xlpm.v=""),"",_xlpm.v*_xlpm.w)
)</f>
        <v/>
      </c>
      <c r="BR156" s="93" t="str" cm="1">
        <f t="array" ref="BR156">_xlfn.LET(
  _xlpm.w, BR$11,
  _xlpm.r, MATCH(1,('3. Enter Indicator Scores'!$B$10:$B$161=$B156)*('3. Enter Indicator Scores'!$C$10:$C$161=$C156),0),
  _xlpm.c, MATCH(BR$8,'3. Enter Indicator Scores'!$D$8:$CZ$8,0),
  _xlpm.v, IFERROR(INDEX('3. Enter Indicator Scores'!$D$10:$CZ$161,_xlpm.r,_xlpm.c),""),
  IF(OR(_xlpm.w="",_xlpm.v=""),"",_xlpm.v*_xlpm.w)
)</f>
        <v/>
      </c>
      <c r="BS156" s="93" t="str" cm="1">
        <f t="array" ref="BS156">_xlfn.LET(
  _xlpm.w, BS$11,
  _xlpm.r, MATCH(1,('3. Enter Indicator Scores'!$B$10:$B$161=$B156)*('3. Enter Indicator Scores'!$C$10:$C$161=$C156),0),
  _xlpm.c, MATCH(BS$8,'3. Enter Indicator Scores'!$D$8:$CZ$8,0),
  _xlpm.v, IFERROR(INDEX('3. Enter Indicator Scores'!$D$10:$CZ$161,_xlpm.r,_xlpm.c),""),
  IF(OR(_xlpm.w="",_xlpm.v=""),"",_xlpm.v*_xlpm.w)
)</f>
        <v/>
      </c>
      <c r="BT156" s="93" t="str" cm="1">
        <f t="array" ref="BT156">_xlfn.LET(
  _xlpm.w, BT$11,
  _xlpm.r, MATCH(1,('3. Enter Indicator Scores'!$B$10:$B$161=$B156)*('3. Enter Indicator Scores'!$C$10:$C$161=$C156),0),
  _xlpm.c, MATCH(BT$8,'3. Enter Indicator Scores'!$D$8:$CZ$8,0),
  _xlpm.v, IFERROR(INDEX('3. Enter Indicator Scores'!$D$10:$CZ$161,_xlpm.r,_xlpm.c),""),
  IF(OR(_xlpm.w="",_xlpm.v=""),"",_xlpm.v*_xlpm.w)
)</f>
        <v/>
      </c>
      <c r="BU156" s="93" t="str" cm="1">
        <f t="array" ref="BU156">_xlfn.LET(
  _xlpm.w, BU$11,
  _xlpm.r, MATCH(1,('3. Enter Indicator Scores'!$B$10:$B$161=$B156)*('3. Enter Indicator Scores'!$C$10:$C$161=$C156),0),
  _xlpm.c, MATCH(BU$8,'3. Enter Indicator Scores'!$D$8:$CZ$8,0),
  _xlpm.v, IFERROR(INDEX('3. Enter Indicator Scores'!$D$10:$CZ$161,_xlpm.r,_xlpm.c),""),
  IF(OR(_xlpm.w="",_xlpm.v=""),"",_xlpm.v*_xlpm.w)
)</f>
        <v/>
      </c>
      <c r="BV156" s="93" t="str" cm="1">
        <f t="array" ref="BV156">_xlfn.LET(
  _xlpm.w, BV$11,
  _xlpm.r, MATCH(1,('3. Enter Indicator Scores'!$B$10:$B$161=$B156)*('3. Enter Indicator Scores'!$C$10:$C$161=$C156),0),
  _xlpm.c, MATCH(BV$8,'3. Enter Indicator Scores'!$D$8:$CZ$8,0),
  _xlpm.v, IFERROR(INDEX('3. Enter Indicator Scores'!$D$10:$CZ$161,_xlpm.r,_xlpm.c),""),
  IF(OR(_xlpm.w="",_xlpm.v=""),"",_xlpm.v*_xlpm.w)
)</f>
        <v/>
      </c>
      <c r="BW156" s="93" t="str" cm="1">
        <f t="array" ref="BW156">_xlfn.LET(
  _xlpm.w, BW$11,
  _xlpm.r, MATCH(1,('3. Enter Indicator Scores'!$B$10:$B$161=$B156)*('3. Enter Indicator Scores'!$C$10:$C$161=$C156),0),
  _xlpm.c, MATCH(BW$8,'3. Enter Indicator Scores'!$D$8:$CZ$8,0),
  _xlpm.v, IFERROR(INDEX('3. Enter Indicator Scores'!$D$10:$CZ$161,_xlpm.r,_xlpm.c),""),
  IF(OR(_xlpm.w="",_xlpm.v=""),"",_xlpm.v*_xlpm.w)
)</f>
        <v/>
      </c>
      <c r="BX156" s="93" t="str" cm="1">
        <f t="array" ref="BX156">_xlfn.LET(
  _xlpm.w, BX$11,
  _xlpm.r, MATCH(1,('3. Enter Indicator Scores'!$B$10:$B$161=$B156)*('3. Enter Indicator Scores'!$C$10:$C$161=$C156),0),
  _xlpm.c, MATCH(BX$8,'3. Enter Indicator Scores'!$D$8:$CZ$8,0),
  _xlpm.v, IFERROR(INDEX('3. Enter Indicator Scores'!$D$10:$CZ$161,_xlpm.r,_xlpm.c),""),
  IF(OR(_xlpm.w="",_xlpm.v=""),"",_xlpm.v*_xlpm.w)
)</f>
        <v/>
      </c>
      <c r="BY156" s="93" t="str" cm="1">
        <f t="array" ref="BY156">_xlfn.LET(
  _xlpm.w, BY$11,
  _xlpm.r, MATCH(1,('3. Enter Indicator Scores'!$B$10:$B$161=$B156)*('3. Enter Indicator Scores'!$C$10:$C$161=$C156),0),
  _xlpm.c, MATCH(BY$8,'3. Enter Indicator Scores'!$D$8:$CZ$8,0),
  _xlpm.v, IFERROR(INDEX('3. Enter Indicator Scores'!$D$10:$CZ$161,_xlpm.r,_xlpm.c),""),
  IF(OR(_xlpm.w="",_xlpm.v=""),"",_xlpm.v*_xlpm.w)
)</f>
        <v/>
      </c>
      <c r="BZ156" s="93" t="str" cm="1">
        <f t="array" ref="BZ156">_xlfn.LET(
  _xlpm.w, BZ$11,
  _xlpm.r, MATCH(1,('3. Enter Indicator Scores'!$B$10:$B$161=$B156)*('3. Enter Indicator Scores'!$C$10:$C$161=$C156),0),
  _xlpm.c, MATCH(BZ$8,'3. Enter Indicator Scores'!$D$8:$CZ$8,0),
  _xlpm.v, IFERROR(INDEX('3. Enter Indicator Scores'!$D$10:$CZ$161,_xlpm.r,_xlpm.c),""),
  IF(OR(_xlpm.w="",_xlpm.v=""),"",_xlpm.v*_xlpm.w)
)</f>
        <v/>
      </c>
      <c r="CA156" s="93" t="str" cm="1">
        <f t="array" ref="CA156">_xlfn.LET(
  _xlpm.w, CA$11,
  _xlpm.r, MATCH(1,('3. Enter Indicator Scores'!$B$10:$B$161=$B156)*('3. Enter Indicator Scores'!$C$10:$C$161=$C156),0),
  _xlpm.c, MATCH(CA$8,'3. Enter Indicator Scores'!$D$8:$CZ$8,0),
  _xlpm.v, IFERROR(INDEX('3. Enter Indicator Scores'!$D$10:$CZ$161,_xlpm.r,_xlpm.c),""),
  IF(OR(_xlpm.w="",_xlpm.v=""),"",_xlpm.v*_xlpm.w)
)</f>
        <v/>
      </c>
      <c r="CB156" s="93" t="str" cm="1">
        <f t="array" ref="CB156">_xlfn.LET(
  _xlpm.w, CB$11,
  _xlpm.r, MATCH(1,('3. Enter Indicator Scores'!$B$10:$B$161=$B156)*('3. Enter Indicator Scores'!$C$10:$C$161=$C156),0),
  _xlpm.c, MATCH(CB$8,'3. Enter Indicator Scores'!$D$8:$CZ$8,0),
  _xlpm.v, IFERROR(INDEX('3. Enter Indicator Scores'!$D$10:$CZ$161,_xlpm.r,_xlpm.c),""),
  IF(OR(_xlpm.w="",_xlpm.v=""),"",_xlpm.v*_xlpm.w)
)</f>
        <v/>
      </c>
      <c r="CC156" s="93" t="str" cm="1">
        <f t="array" ref="CC156">_xlfn.LET(
  _xlpm.w, CC$11,
  _xlpm.r, MATCH(1,('3. Enter Indicator Scores'!$B$10:$B$161=$B156)*('3. Enter Indicator Scores'!$C$10:$C$161=$C156),0),
  _xlpm.c, MATCH(CC$8,'3. Enter Indicator Scores'!$D$8:$CZ$8,0),
  _xlpm.v, IFERROR(INDEX('3. Enter Indicator Scores'!$D$10:$CZ$161,_xlpm.r,_xlpm.c),""),
  IF(OR(_xlpm.w="",_xlpm.v=""),"",_xlpm.v*_xlpm.w)
)</f>
        <v/>
      </c>
      <c r="CD156" s="93" t="str" cm="1">
        <f t="array" ref="CD156">_xlfn.LET(
  _xlpm.w, CD$11,
  _xlpm.r, MATCH(1,('3. Enter Indicator Scores'!$B$10:$B$161=$B156)*('3. Enter Indicator Scores'!$C$10:$C$161=$C156),0),
  _xlpm.c, MATCH(CD$8,'3. Enter Indicator Scores'!$D$8:$CZ$8,0),
  _xlpm.v, IFERROR(INDEX('3. Enter Indicator Scores'!$D$10:$CZ$161,_xlpm.r,_xlpm.c),""),
  IF(OR(_xlpm.w="",_xlpm.v=""),"",_xlpm.v*_xlpm.w)
)</f>
        <v/>
      </c>
      <c r="CE156" s="93" t="str" cm="1">
        <f t="array" ref="CE156">_xlfn.LET(
  _xlpm.w, CE$11,
  _xlpm.r, MATCH(1,('3. Enter Indicator Scores'!$B$10:$B$161=$B156)*('3. Enter Indicator Scores'!$C$10:$C$161=$C156),0),
  _xlpm.c, MATCH(CE$8,'3. Enter Indicator Scores'!$D$8:$CZ$8,0),
  _xlpm.v, IFERROR(INDEX('3. Enter Indicator Scores'!$D$10:$CZ$161,_xlpm.r,_xlpm.c),""),
  IF(OR(_xlpm.w="",_xlpm.v=""),"",_xlpm.v*_xlpm.w)
)</f>
        <v/>
      </c>
      <c r="CF156" s="93" t="str" cm="1">
        <f t="array" ref="CF156">_xlfn.LET(
  _xlpm.w, CF$11,
  _xlpm.r, MATCH(1,('3. Enter Indicator Scores'!$B$10:$B$161=$B156)*('3. Enter Indicator Scores'!$C$10:$C$161=$C156),0),
  _xlpm.c, MATCH(CF$8,'3. Enter Indicator Scores'!$D$8:$CZ$8,0),
  _xlpm.v, IFERROR(INDEX('3. Enter Indicator Scores'!$D$10:$CZ$161,_xlpm.r,_xlpm.c),""),
  IF(OR(_xlpm.w="",_xlpm.v=""),"",_xlpm.v*_xlpm.w)
)</f>
        <v/>
      </c>
      <c r="CG156" s="93" t="str" cm="1">
        <f t="array" ref="CG156">_xlfn.LET(
  _xlpm.w, CG$11,
  _xlpm.r, MATCH(1,('3. Enter Indicator Scores'!$B$10:$B$161=$B156)*('3. Enter Indicator Scores'!$C$10:$C$161=$C156),0),
  _xlpm.c, MATCH(CG$8,'3. Enter Indicator Scores'!$D$8:$CZ$8,0),
  _xlpm.v, IFERROR(INDEX('3. Enter Indicator Scores'!$D$10:$CZ$161,_xlpm.r,_xlpm.c),""),
  IF(OR(_xlpm.w="",_xlpm.v=""),"",_xlpm.v*_xlpm.w)
)</f>
        <v/>
      </c>
      <c r="CH156" s="93" t="str" cm="1">
        <f t="array" ref="CH156">_xlfn.LET(
  _xlpm.w, CH$11,
  _xlpm.r, MATCH(1,('3. Enter Indicator Scores'!$B$10:$B$161=$B156)*('3. Enter Indicator Scores'!$C$10:$C$161=$C156),0),
  _xlpm.c, MATCH(CH$8,'3. Enter Indicator Scores'!$D$8:$CZ$8,0),
  _xlpm.v, IFERROR(INDEX('3. Enter Indicator Scores'!$D$10:$CZ$161,_xlpm.r,_xlpm.c),""),
  IF(OR(_xlpm.w="",_xlpm.v=""),"",_xlpm.v*_xlpm.w)
)</f>
        <v/>
      </c>
      <c r="CI156" s="93" t="str" cm="1">
        <f t="array" ref="CI156">_xlfn.LET(
  _xlpm.w, CI$11,
  _xlpm.r, MATCH(1,('3. Enter Indicator Scores'!$B$10:$B$161=$B156)*('3. Enter Indicator Scores'!$C$10:$C$161=$C156),0),
  _xlpm.c, MATCH(CI$8,'3. Enter Indicator Scores'!$D$8:$CZ$8,0),
  _xlpm.v, IFERROR(INDEX('3. Enter Indicator Scores'!$D$10:$CZ$161,_xlpm.r,_xlpm.c),""),
  IF(OR(_xlpm.w="",_xlpm.v=""),"",_xlpm.v*_xlpm.w)
)</f>
        <v/>
      </c>
      <c r="CJ156" s="93" t="str" cm="1">
        <f t="array" ref="CJ156">_xlfn.LET(
  _xlpm.w, CJ$11,
  _xlpm.r, MATCH(1,('3. Enter Indicator Scores'!$B$10:$B$161=$B156)*('3. Enter Indicator Scores'!$C$10:$C$161=$C156),0),
  _xlpm.c, MATCH(CJ$8,'3. Enter Indicator Scores'!$D$8:$CZ$8,0),
  _xlpm.v, IFERROR(INDEX('3. Enter Indicator Scores'!$D$10:$CZ$161,_xlpm.r,_xlpm.c),""),
  IF(OR(_xlpm.w="",_xlpm.v=""),"",_xlpm.v*_xlpm.w)
)</f>
        <v/>
      </c>
      <c r="CK156" s="93" t="str" cm="1">
        <f t="array" ref="CK156">_xlfn.LET(
  _xlpm.w, CK$11,
  _xlpm.r, MATCH(1,('3. Enter Indicator Scores'!$B$10:$B$161=$B156)*('3. Enter Indicator Scores'!$C$10:$C$161=$C156),0),
  _xlpm.c, MATCH(CK$8,'3. Enter Indicator Scores'!$D$8:$CZ$8,0),
  _xlpm.v, IFERROR(INDEX('3. Enter Indicator Scores'!$D$10:$CZ$161,_xlpm.r,_xlpm.c),""),
  IF(OR(_xlpm.w="",_xlpm.v=""),"",_xlpm.v*_xlpm.w)
)</f>
        <v/>
      </c>
      <c r="CL156" s="93" t="str" cm="1">
        <f t="array" ref="CL156">_xlfn.LET(
  _xlpm.w, CL$11,
  _xlpm.r, MATCH(1,('3. Enter Indicator Scores'!$B$10:$B$161=$B156)*('3. Enter Indicator Scores'!$C$10:$C$161=$C156),0),
  _xlpm.c, MATCH(CL$8,'3. Enter Indicator Scores'!$D$8:$CZ$8,0),
  _xlpm.v, IFERROR(INDEX('3. Enter Indicator Scores'!$D$10:$CZ$161,_xlpm.r,_xlpm.c),""),
  IF(OR(_xlpm.w="",_xlpm.v=""),"",_xlpm.v*_xlpm.w)
)</f>
        <v/>
      </c>
      <c r="CM156" s="93" t="str" cm="1">
        <f t="array" ref="CM156">_xlfn.LET(
  _xlpm.w, CM$11,
  _xlpm.r, MATCH(1,('3. Enter Indicator Scores'!$B$10:$B$161=$B156)*('3. Enter Indicator Scores'!$C$10:$C$161=$C156),0),
  _xlpm.c, MATCH(CM$8,'3. Enter Indicator Scores'!$D$8:$CZ$8,0),
  _xlpm.v, IFERROR(INDEX('3. Enter Indicator Scores'!$D$10:$CZ$161,_xlpm.r,_xlpm.c),""),
  IF(OR(_xlpm.w="",_xlpm.v=""),"",_xlpm.v*_xlpm.w)
)</f>
        <v/>
      </c>
      <c r="CN156" s="93" t="str" cm="1">
        <f t="array" ref="CN156">_xlfn.LET(
  _xlpm.w, CN$11,
  _xlpm.r, MATCH(1,('3. Enter Indicator Scores'!$B$10:$B$161=$B156)*('3. Enter Indicator Scores'!$C$10:$C$161=$C156),0),
  _xlpm.c, MATCH(CN$8,'3. Enter Indicator Scores'!$D$8:$CZ$8,0),
  _xlpm.v, IFERROR(INDEX('3. Enter Indicator Scores'!$D$10:$CZ$161,_xlpm.r,_xlpm.c),""),
  IF(OR(_xlpm.w="",_xlpm.v=""),"",_xlpm.v*_xlpm.w)
)</f>
        <v/>
      </c>
      <c r="CO156" s="93" t="str" cm="1">
        <f t="array" ref="CO156">_xlfn.LET(
  _xlpm.w, CO$11,
  _xlpm.r, MATCH(1,('3. Enter Indicator Scores'!$B$10:$B$161=$B156)*('3. Enter Indicator Scores'!$C$10:$C$161=$C156),0),
  _xlpm.c, MATCH(CO$8,'3. Enter Indicator Scores'!$D$8:$CZ$8,0),
  _xlpm.v, IFERROR(INDEX('3. Enter Indicator Scores'!$D$10:$CZ$161,_xlpm.r,_xlpm.c),""),
  IF(OR(_xlpm.w="",_xlpm.v=""),"",_xlpm.v*_xlpm.w)
)</f>
        <v/>
      </c>
      <c r="CP156" s="93" t="str" cm="1">
        <f t="array" ref="CP156">_xlfn.LET(
  _xlpm.w, CP$11,
  _xlpm.r, MATCH(1,('3. Enter Indicator Scores'!$B$10:$B$161=$B156)*('3. Enter Indicator Scores'!$C$10:$C$161=$C156),0),
  _xlpm.c, MATCH(CP$8,'3. Enter Indicator Scores'!$D$8:$CZ$8,0),
  _xlpm.v, IFERROR(INDEX('3. Enter Indicator Scores'!$D$10:$CZ$161,_xlpm.r,_xlpm.c),""),
  IF(OR(_xlpm.w="",_xlpm.v=""),"",_xlpm.v*_xlpm.w)
)</f>
        <v/>
      </c>
      <c r="CQ156" s="93" t="str" cm="1">
        <f t="array" ref="CQ156">_xlfn.LET(
  _xlpm.w, CQ$11,
  _xlpm.r, MATCH(1,('3. Enter Indicator Scores'!$B$10:$B$161=$B156)*('3. Enter Indicator Scores'!$C$10:$C$161=$C156),0),
  _xlpm.c, MATCH(CQ$8,'3. Enter Indicator Scores'!$D$8:$CZ$8,0),
  _xlpm.v, IFERROR(INDEX('3. Enter Indicator Scores'!$D$10:$CZ$161,_xlpm.r,_xlpm.c),""),
  IF(OR(_xlpm.w="",_xlpm.v=""),"",_xlpm.v*_xlpm.w)
)</f>
        <v/>
      </c>
      <c r="CR156" s="93" t="str" cm="1">
        <f t="array" ref="CR156">_xlfn.LET(
  _xlpm.w, CR$11,
  _xlpm.r, MATCH(1,('3. Enter Indicator Scores'!$B$10:$B$161=$B156)*('3. Enter Indicator Scores'!$C$10:$C$161=$C156),0),
  _xlpm.c, MATCH(CR$8,'3. Enter Indicator Scores'!$D$8:$CZ$8,0),
  _xlpm.v, IFERROR(INDEX('3. Enter Indicator Scores'!$D$10:$CZ$161,_xlpm.r,_xlpm.c),""),
  IF(OR(_xlpm.w="",_xlpm.v=""),"",_xlpm.v*_xlpm.w)
)</f>
        <v/>
      </c>
      <c r="CS156" s="93" t="str" cm="1">
        <f t="array" ref="CS156">_xlfn.LET(
  _xlpm.w, CS$11,
  _xlpm.r, MATCH(1,('3. Enter Indicator Scores'!$B$10:$B$161=$B156)*('3. Enter Indicator Scores'!$C$10:$C$161=$C156),0),
  _xlpm.c, MATCH(CS$8,'3. Enter Indicator Scores'!$D$8:$CZ$8,0),
  _xlpm.v, IFERROR(INDEX('3. Enter Indicator Scores'!$D$10:$CZ$161,_xlpm.r,_xlpm.c),""),
  IF(OR(_xlpm.w="",_xlpm.v=""),"",_xlpm.v*_xlpm.w)
)</f>
        <v/>
      </c>
      <c r="CT156" s="93" t="str" cm="1">
        <f t="array" ref="CT156">_xlfn.LET(
  _xlpm.w, CT$11,
  _xlpm.r, MATCH(1,('3. Enter Indicator Scores'!$B$10:$B$161=$B156)*('3. Enter Indicator Scores'!$C$10:$C$161=$C156),0),
  _xlpm.c, MATCH(CT$8,'3. Enter Indicator Scores'!$D$8:$CZ$8,0),
  _xlpm.v, IFERROR(INDEX('3. Enter Indicator Scores'!$D$10:$CZ$161,_xlpm.r,_xlpm.c),""),
  IF(OR(_xlpm.w="",_xlpm.v=""),"",_xlpm.v*_xlpm.w)
)</f>
        <v/>
      </c>
      <c r="CU156" s="93" t="str" cm="1">
        <f t="array" ref="CU156">_xlfn.LET(
  _xlpm.w, CU$11,
  _xlpm.r, MATCH(1,('3. Enter Indicator Scores'!$B$10:$B$161=$B156)*('3. Enter Indicator Scores'!$C$10:$C$161=$C156),0),
  _xlpm.c, MATCH(CU$8,'3. Enter Indicator Scores'!$D$8:$CZ$8,0),
  _xlpm.v, IFERROR(INDEX('3. Enter Indicator Scores'!$D$10:$CZ$161,_xlpm.r,_xlpm.c),""),
  IF(OR(_xlpm.w="",_xlpm.v=""),"",_xlpm.v*_xlpm.w)
)</f>
        <v/>
      </c>
      <c r="CV156" s="93" t="str" cm="1">
        <f t="array" ref="CV156">_xlfn.LET(
  _xlpm.w, CV$11,
  _xlpm.r, MATCH(1,('3. Enter Indicator Scores'!$B$10:$B$161=$B156)*('3. Enter Indicator Scores'!$C$10:$C$161=$C156),0),
  _xlpm.c, MATCH(CV$8,'3. Enter Indicator Scores'!$D$8:$CZ$8,0),
  _xlpm.v, IFERROR(INDEX('3. Enter Indicator Scores'!$D$10:$CZ$161,_xlpm.r,_xlpm.c),""),
  IF(OR(_xlpm.w="",_xlpm.v=""),"",_xlpm.v*_xlpm.w)
)</f>
        <v/>
      </c>
      <c r="CW156" s="93" t="str" cm="1">
        <f t="array" ref="CW156">_xlfn.LET(
  _xlpm.w, CW$11,
  _xlpm.r, MATCH(1,('3. Enter Indicator Scores'!$B$10:$B$161=$B156)*('3. Enter Indicator Scores'!$C$10:$C$161=$C156),0),
  _xlpm.c, MATCH(CW$8,'3. Enter Indicator Scores'!$D$8:$CZ$8,0),
  _xlpm.v, IFERROR(INDEX('3. Enter Indicator Scores'!$D$10:$CZ$161,_xlpm.r,_xlpm.c),""),
  IF(OR(_xlpm.w="",_xlpm.v=""),"",_xlpm.v*_xlpm.w)
)</f>
        <v/>
      </c>
      <c r="CX156" s="93" t="str" cm="1">
        <f t="array" ref="CX156">_xlfn.LET(
  _xlpm.w, CX$11,
  _xlpm.r, MATCH(1,('3. Enter Indicator Scores'!$B$10:$B$161=$B156)*('3. Enter Indicator Scores'!$C$10:$C$161=$C156),0),
  _xlpm.c, MATCH(CX$8,'3. Enter Indicator Scores'!$D$8:$CZ$8,0),
  _xlpm.v, IFERROR(INDEX('3. Enter Indicator Scores'!$D$10:$CZ$161,_xlpm.r,_xlpm.c),""),
  IF(OR(_xlpm.w="",_xlpm.v=""),"",_xlpm.v*_xlpm.w)
)</f>
        <v/>
      </c>
      <c r="CY156" s="93" t="str" cm="1">
        <f t="array" ref="CY156">_xlfn.LET(
  _xlpm.w, CY$11,
  _xlpm.r, MATCH(1,('3. Enter Indicator Scores'!$B$10:$B$161=$B156)*('3. Enter Indicator Scores'!$C$10:$C$161=$C156),0),
  _xlpm.c, MATCH(CY$8,'3. Enter Indicator Scores'!$D$8:$CZ$8,0),
  _xlpm.v, IFERROR(INDEX('3. Enter Indicator Scores'!$D$10:$CZ$161,_xlpm.r,_xlpm.c),""),
  IF(OR(_xlpm.w="",_xlpm.v=""),"",_xlpm.v*_xlpm.w)
)</f>
        <v/>
      </c>
      <c r="CZ156" s="93" t="str" cm="1">
        <f t="array" ref="CZ156">_xlfn.LET(
  _xlpm.w, CZ$11,
  _xlpm.r, MATCH(1,('3. Enter Indicator Scores'!$B$10:$B$161=$B156)*('3. Enter Indicator Scores'!$C$10:$C$161=$C156),0),
  _xlpm.c, MATCH(CZ$8,'3. Enter Indicator Scores'!$D$8:$CZ$8,0),
  _xlpm.v, IFERROR(INDEX('3. Enter Indicator Scores'!$D$10:$CZ$161,_xlpm.r,_xlpm.c),""),
  IF(OR(_xlpm.w="",_xlpm.v=""),"",_xlpm.v*_xlpm.w)
)</f>
        <v/>
      </c>
    </row>
    <row r="157" spans="4:104" x14ac:dyDescent="0.2">
      <c r="D157" s="93" t="str" cm="1">
        <f t="array" ref="D157">_xlfn.LET(
  _xlpm.w, D$11,
  _xlpm.r, MATCH(1,('3. Enter Indicator Scores'!$B$10:$B$161=$B157)*('3. Enter Indicator Scores'!$C$10:$C$161=$C157),0),
  _xlpm.c, MATCH(D$8,'3. Enter Indicator Scores'!$D$8:$CZ$8,0),
  _xlpm.v, IFERROR(INDEX('3. Enter Indicator Scores'!$D$10:$CZ$161,_xlpm.r,_xlpm.c),""),
  IF(OR(_xlpm.w="",_xlpm.v=""),"",_xlpm.v*_xlpm.w)
)</f>
        <v/>
      </c>
      <c r="E157" s="93" t="str" cm="1">
        <f t="array" ref="E157">_xlfn.LET(
  _xlpm.w, E$11,
  _xlpm.r, MATCH(1,('3. Enter Indicator Scores'!$B$10:$B$161=$B157)*('3. Enter Indicator Scores'!$C$10:$C$161=$C157),0),
  _xlpm.c, MATCH(E$8,'3. Enter Indicator Scores'!$D$8:$CZ$8,0),
  _xlpm.v, IFERROR(INDEX('3. Enter Indicator Scores'!$D$10:$CZ$161,_xlpm.r,_xlpm.c),""),
  IF(OR(_xlpm.w="",_xlpm.v=""),"",_xlpm.v*_xlpm.w)
)</f>
        <v/>
      </c>
      <c r="F157" s="93" t="str" cm="1">
        <f t="array" ref="F157">_xlfn.LET(
  _xlpm.w, F$11,
  _xlpm.r, MATCH(1,('3. Enter Indicator Scores'!$B$10:$B$161=$B157)*('3. Enter Indicator Scores'!$C$10:$C$161=$C157),0),
  _xlpm.c, MATCH(F$8,'3. Enter Indicator Scores'!$D$8:$CZ$8,0),
  _xlpm.v, IFERROR(INDEX('3. Enter Indicator Scores'!$D$10:$CZ$161,_xlpm.r,_xlpm.c),""),
  IF(OR(_xlpm.w="",_xlpm.v=""),"",_xlpm.v*_xlpm.w)
)</f>
        <v/>
      </c>
      <c r="G157" s="93" t="str" cm="1">
        <f t="array" ref="G157">_xlfn.LET(
  _xlpm.w, G$11,
  _xlpm.r, MATCH(1,('3. Enter Indicator Scores'!$B$10:$B$161=$B157)*('3. Enter Indicator Scores'!$C$10:$C$161=$C157),0),
  _xlpm.c, MATCH(G$8,'3. Enter Indicator Scores'!$D$8:$CZ$8,0),
  _xlpm.v, IFERROR(INDEX('3. Enter Indicator Scores'!$D$10:$CZ$161,_xlpm.r,_xlpm.c),""),
  IF(OR(_xlpm.w="",_xlpm.v=""),"",_xlpm.v*_xlpm.w)
)</f>
        <v/>
      </c>
      <c r="H157" s="93" t="str" cm="1">
        <f t="array" ref="H157">_xlfn.LET(
  _xlpm.w, H$11,
  _xlpm.r, MATCH(1,('3. Enter Indicator Scores'!$B$10:$B$161=$B157)*('3. Enter Indicator Scores'!$C$10:$C$161=$C157),0),
  _xlpm.c, MATCH(H$8,'3. Enter Indicator Scores'!$D$8:$CZ$8,0),
  _xlpm.v, IFERROR(INDEX('3. Enter Indicator Scores'!$D$10:$CZ$161,_xlpm.r,_xlpm.c),""),
  IF(OR(_xlpm.w="",_xlpm.v=""),"",_xlpm.v*_xlpm.w)
)</f>
        <v/>
      </c>
      <c r="I157" s="93" t="str" cm="1">
        <f t="array" ref="I157">_xlfn.LET(
  _xlpm.w, I$11,
  _xlpm.r, MATCH(1,('3. Enter Indicator Scores'!$B$10:$B$161=$B157)*('3. Enter Indicator Scores'!$C$10:$C$161=$C157),0),
  _xlpm.c, MATCH(I$8,'3. Enter Indicator Scores'!$D$8:$CZ$8,0),
  _xlpm.v, IFERROR(INDEX('3. Enter Indicator Scores'!$D$10:$CZ$161,_xlpm.r,_xlpm.c),""),
  IF(OR(_xlpm.w="",_xlpm.v=""),"",_xlpm.v*_xlpm.w)
)</f>
        <v/>
      </c>
      <c r="J157" s="93" t="str" cm="1">
        <f t="array" ref="J157">_xlfn.LET(
  _xlpm.w, J$11,
  _xlpm.r, MATCH(1,('3. Enter Indicator Scores'!$B$10:$B$161=$B157)*('3. Enter Indicator Scores'!$C$10:$C$161=$C157),0),
  _xlpm.c, MATCH(J$8,'3. Enter Indicator Scores'!$D$8:$CZ$8,0),
  _xlpm.v, IFERROR(INDEX('3. Enter Indicator Scores'!$D$10:$CZ$161,_xlpm.r,_xlpm.c),""),
  IF(OR(_xlpm.w="",_xlpm.v=""),"",_xlpm.v*_xlpm.w)
)</f>
        <v/>
      </c>
      <c r="K157" s="93" t="str" cm="1">
        <f t="array" ref="K157">_xlfn.LET(
  _xlpm.w, K$11,
  _xlpm.r, MATCH(1,('3. Enter Indicator Scores'!$B$10:$B$161=$B157)*('3. Enter Indicator Scores'!$C$10:$C$161=$C157),0),
  _xlpm.c, MATCH(K$8,'3. Enter Indicator Scores'!$D$8:$CZ$8,0),
  _xlpm.v, IFERROR(INDEX('3. Enter Indicator Scores'!$D$10:$CZ$161,_xlpm.r,_xlpm.c),""),
  IF(OR(_xlpm.w="",_xlpm.v=""),"",_xlpm.v*_xlpm.w)
)</f>
        <v/>
      </c>
      <c r="L157" s="93" t="str" cm="1">
        <f t="array" ref="L157">_xlfn.LET(
  _xlpm.w, L$11,
  _xlpm.r, MATCH(1,('3. Enter Indicator Scores'!$B$10:$B$161=$B157)*('3. Enter Indicator Scores'!$C$10:$C$161=$C157),0),
  _xlpm.c, MATCH(L$8,'3. Enter Indicator Scores'!$D$8:$CZ$8,0),
  _xlpm.v, IFERROR(INDEX('3. Enter Indicator Scores'!$D$10:$CZ$161,_xlpm.r,_xlpm.c),""),
  IF(OR(_xlpm.w="",_xlpm.v=""),"",_xlpm.v*_xlpm.w)
)</f>
        <v/>
      </c>
      <c r="M157" s="93" t="str" cm="1">
        <f t="array" ref="M157">_xlfn.LET(
  _xlpm.w, M$11,
  _xlpm.r, MATCH(1,('3. Enter Indicator Scores'!$B$10:$B$161=$B157)*('3. Enter Indicator Scores'!$C$10:$C$161=$C157),0),
  _xlpm.c, MATCH(M$8,'3. Enter Indicator Scores'!$D$8:$CZ$8,0),
  _xlpm.v, IFERROR(INDEX('3. Enter Indicator Scores'!$D$10:$CZ$161,_xlpm.r,_xlpm.c),""),
  IF(OR(_xlpm.w="",_xlpm.v=""),"",_xlpm.v*_xlpm.w)
)</f>
        <v/>
      </c>
      <c r="N157" s="93" t="str" cm="1">
        <f t="array" ref="N157">_xlfn.LET(
  _xlpm.w, N$11,
  _xlpm.r, MATCH(1,('3. Enter Indicator Scores'!$B$10:$B$161=$B157)*('3. Enter Indicator Scores'!$C$10:$C$161=$C157),0),
  _xlpm.c, MATCH(N$8,'3. Enter Indicator Scores'!$D$8:$CZ$8,0),
  _xlpm.v, IFERROR(INDEX('3. Enter Indicator Scores'!$D$10:$CZ$161,_xlpm.r,_xlpm.c),""),
  IF(OR(_xlpm.w="",_xlpm.v=""),"",_xlpm.v*_xlpm.w)
)</f>
        <v/>
      </c>
      <c r="O157" s="93" t="str" cm="1">
        <f t="array" ref="O157">_xlfn.LET(
  _xlpm.w, O$11,
  _xlpm.r, MATCH(1,('3. Enter Indicator Scores'!$B$10:$B$161=$B157)*('3. Enter Indicator Scores'!$C$10:$C$161=$C157),0),
  _xlpm.c, MATCH(O$8,'3. Enter Indicator Scores'!$D$8:$CZ$8,0),
  _xlpm.v, IFERROR(INDEX('3. Enter Indicator Scores'!$D$10:$CZ$161,_xlpm.r,_xlpm.c),""),
  IF(OR(_xlpm.w="",_xlpm.v=""),"",_xlpm.v*_xlpm.w)
)</f>
        <v/>
      </c>
      <c r="P157" s="93" t="str" cm="1">
        <f t="array" ref="P157">_xlfn.LET(
  _xlpm.w, P$11,
  _xlpm.r, MATCH(1,('3. Enter Indicator Scores'!$B$10:$B$161=$B157)*('3. Enter Indicator Scores'!$C$10:$C$161=$C157),0),
  _xlpm.c, MATCH(P$8,'3. Enter Indicator Scores'!$D$8:$CZ$8,0),
  _xlpm.v, IFERROR(INDEX('3. Enter Indicator Scores'!$D$10:$CZ$161,_xlpm.r,_xlpm.c),""),
  IF(OR(_xlpm.w="",_xlpm.v=""),"",_xlpm.v*_xlpm.w)
)</f>
        <v/>
      </c>
      <c r="Q157" s="93" t="str" cm="1">
        <f t="array" ref="Q157">_xlfn.LET(
  _xlpm.w, Q$11,
  _xlpm.r, MATCH(1,('3. Enter Indicator Scores'!$B$10:$B$161=$B157)*('3. Enter Indicator Scores'!$C$10:$C$161=$C157),0),
  _xlpm.c, MATCH(Q$8,'3. Enter Indicator Scores'!$D$8:$CZ$8,0),
  _xlpm.v, IFERROR(INDEX('3. Enter Indicator Scores'!$D$10:$CZ$161,_xlpm.r,_xlpm.c),""),
  IF(OR(_xlpm.w="",_xlpm.v=""),"",_xlpm.v*_xlpm.w)
)</f>
        <v/>
      </c>
      <c r="R157" s="93" t="str" cm="1">
        <f t="array" ref="R157">_xlfn.LET(
  _xlpm.w, R$11,
  _xlpm.r, MATCH(1,('3. Enter Indicator Scores'!$B$10:$B$161=$B157)*('3. Enter Indicator Scores'!$C$10:$C$161=$C157),0),
  _xlpm.c, MATCH(R$8,'3. Enter Indicator Scores'!$D$8:$CZ$8,0),
  _xlpm.v, IFERROR(INDEX('3. Enter Indicator Scores'!$D$10:$CZ$161,_xlpm.r,_xlpm.c),""),
  IF(OR(_xlpm.w="",_xlpm.v=""),"",_xlpm.v*_xlpm.w)
)</f>
        <v/>
      </c>
      <c r="S157" s="93" t="str" cm="1">
        <f t="array" ref="S157">_xlfn.LET(
  _xlpm.w, S$11,
  _xlpm.r, MATCH(1,('3. Enter Indicator Scores'!$B$10:$B$161=$B157)*('3. Enter Indicator Scores'!$C$10:$C$161=$C157),0),
  _xlpm.c, MATCH(S$8,'3. Enter Indicator Scores'!$D$8:$CZ$8,0),
  _xlpm.v, IFERROR(INDEX('3. Enter Indicator Scores'!$D$10:$CZ$161,_xlpm.r,_xlpm.c),""),
  IF(OR(_xlpm.w="",_xlpm.v=""),"",_xlpm.v*_xlpm.w)
)</f>
        <v/>
      </c>
      <c r="T157" s="93" t="str" cm="1">
        <f t="array" ref="T157">_xlfn.LET(
  _xlpm.w, T$11,
  _xlpm.r, MATCH(1,('3. Enter Indicator Scores'!$B$10:$B$161=$B157)*('3. Enter Indicator Scores'!$C$10:$C$161=$C157),0),
  _xlpm.c, MATCH(T$8,'3. Enter Indicator Scores'!$D$8:$CZ$8,0),
  _xlpm.v, IFERROR(INDEX('3. Enter Indicator Scores'!$D$10:$CZ$161,_xlpm.r,_xlpm.c),""),
  IF(OR(_xlpm.w="",_xlpm.v=""),"",_xlpm.v*_xlpm.w)
)</f>
        <v/>
      </c>
      <c r="U157" s="93" t="str" cm="1">
        <f t="array" ref="U157">_xlfn.LET(
  _xlpm.w, U$11,
  _xlpm.r, MATCH(1,('3. Enter Indicator Scores'!$B$10:$B$161=$B157)*('3. Enter Indicator Scores'!$C$10:$C$161=$C157),0),
  _xlpm.c, MATCH(U$8,'3. Enter Indicator Scores'!$D$8:$CZ$8,0),
  _xlpm.v, IFERROR(INDEX('3. Enter Indicator Scores'!$D$10:$CZ$161,_xlpm.r,_xlpm.c),""),
  IF(OR(_xlpm.w="",_xlpm.v=""),"",_xlpm.v*_xlpm.w)
)</f>
        <v/>
      </c>
      <c r="V157" s="93" t="str" cm="1">
        <f t="array" ref="V157">_xlfn.LET(
  _xlpm.w, V$11,
  _xlpm.r, MATCH(1,('3. Enter Indicator Scores'!$B$10:$B$161=$B157)*('3. Enter Indicator Scores'!$C$10:$C$161=$C157),0),
  _xlpm.c, MATCH(V$8,'3. Enter Indicator Scores'!$D$8:$CZ$8,0),
  _xlpm.v, IFERROR(INDEX('3. Enter Indicator Scores'!$D$10:$CZ$161,_xlpm.r,_xlpm.c),""),
  IF(OR(_xlpm.w="",_xlpm.v=""),"",_xlpm.v*_xlpm.w)
)</f>
        <v/>
      </c>
      <c r="W157" s="93" t="str" cm="1">
        <f t="array" ref="W157">_xlfn.LET(
  _xlpm.w, W$11,
  _xlpm.r, MATCH(1,('3. Enter Indicator Scores'!$B$10:$B$161=$B157)*('3. Enter Indicator Scores'!$C$10:$C$161=$C157),0),
  _xlpm.c, MATCH(W$8,'3. Enter Indicator Scores'!$D$8:$CZ$8,0),
  _xlpm.v, IFERROR(INDEX('3. Enter Indicator Scores'!$D$10:$CZ$161,_xlpm.r,_xlpm.c),""),
  IF(OR(_xlpm.w="",_xlpm.v=""),"",_xlpm.v*_xlpm.w)
)</f>
        <v/>
      </c>
      <c r="X157" s="93" t="str" cm="1">
        <f t="array" ref="X157">_xlfn.LET(
  _xlpm.w, X$11,
  _xlpm.r, MATCH(1,('3. Enter Indicator Scores'!$B$10:$B$161=$B157)*('3. Enter Indicator Scores'!$C$10:$C$161=$C157),0),
  _xlpm.c, MATCH(X$8,'3. Enter Indicator Scores'!$D$8:$CZ$8,0),
  _xlpm.v, IFERROR(INDEX('3. Enter Indicator Scores'!$D$10:$CZ$161,_xlpm.r,_xlpm.c),""),
  IF(OR(_xlpm.w="",_xlpm.v=""),"",_xlpm.v*_xlpm.w)
)</f>
        <v/>
      </c>
      <c r="Y157" s="93" t="str" cm="1">
        <f t="array" ref="Y157">_xlfn.LET(
  _xlpm.w, Y$11,
  _xlpm.r, MATCH(1,('3. Enter Indicator Scores'!$B$10:$B$161=$B157)*('3. Enter Indicator Scores'!$C$10:$C$161=$C157),0),
  _xlpm.c, MATCH(Y$8,'3. Enter Indicator Scores'!$D$8:$CZ$8,0),
  _xlpm.v, IFERROR(INDEX('3. Enter Indicator Scores'!$D$10:$CZ$161,_xlpm.r,_xlpm.c),""),
  IF(OR(_xlpm.w="",_xlpm.v=""),"",_xlpm.v*_xlpm.w)
)</f>
        <v/>
      </c>
      <c r="Z157" s="93" t="str" cm="1">
        <f t="array" ref="Z157">_xlfn.LET(
  _xlpm.w, Z$11,
  _xlpm.r, MATCH(1,('3. Enter Indicator Scores'!$B$10:$B$161=$B157)*('3. Enter Indicator Scores'!$C$10:$C$161=$C157),0),
  _xlpm.c, MATCH(Z$8,'3. Enter Indicator Scores'!$D$8:$CZ$8,0),
  _xlpm.v, IFERROR(INDEX('3. Enter Indicator Scores'!$D$10:$CZ$161,_xlpm.r,_xlpm.c),""),
  IF(OR(_xlpm.w="",_xlpm.v=""),"",_xlpm.v*_xlpm.w)
)</f>
        <v/>
      </c>
      <c r="AA157" s="93" t="str" cm="1">
        <f t="array" ref="AA157">_xlfn.LET(
  _xlpm.w, AA$11,
  _xlpm.r, MATCH(1,('3. Enter Indicator Scores'!$B$10:$B$161=$B157)*('3. Enter Indicator Scores'!$C$10:$C$161=$C157),0),
  _xlpm.c, MATCH(AA$8,'3. Enter Indicator Scores'!$D$8:$CZ$8,0),
  _xlpm.v, IFERROR(INDEX('3. Enter Indicator Scores'!$D$10:$CZ$161,_xlpm.r,_xlpm.c),""),
  IF(OR(_xlpm.w="",_xlpm.v=""),"",_xlpm.v*_xlpm.w)
)</f>
        <v/>
      </c>
      <c r="AB157" s="93" t="str" cm="1">
        <f t="array" ref="AB157">_xlfn.LET(
  _xlpm.w, AB$11,
  _xlpm.r, MATCH(1,('3. Enter Indicator Scores'!$B$10:$B$161=$B157)*('3. Enter Indicator Scores'!$C$10:$C$161=$C157),0),
  _xlpm.c, MATCH(AB$8,'3. Enter Indicator Scores'!$D$8:$CZ$8,0),
  _xlpm.v, IFERROR(INDEX('3. Enter Indicator Scores'!$D$10:$CZ$161,_xlpm.r,_xlpm.c),""),
  IF(OR(_xlpm.w="",_xlpm.v=""),"",_xlpm.v*_xlpm.w)
)</f>
        <v/>
      </c>
      <c r="AC157" s="93" t="str" cm="1">
        <f t="array" ref="AC157">_xlfn.LET(
  _xlpm.w, AC$11,
  _xlpm.r, MATCH(1,('3. Enter Indicator Scores'!$B$10:$B$161=$B157)*('3. Enter Indicator Scores'!$C$10:$C$161=$C157),0),
  _xlpm.c, MATCH(AC$8,'3. Enter Indicator Scores'!$D$8:$CZ$8,0),
  _xlpm.v, IFERROR(INDEX('3. Enter Indicator Scores'!$D$10:$CZ$161,_xlpm.r,_xlpm.c),""),
  IF(OR(_xlpm.w="",_xlpm.v=""),"",_xlpm.v*_xlpm.w)
)</f>
        <v/>
      </c>
      <c r="AD157" s="93" t="str" cm="1">
        <f t="array" ref="AD157">_xlfn.LET(
  _xlpm.w, AD$11,
  _xlpm.r, MATCH(1,('3. Enter Indicator Scores'!$B$10:$B$161=$B157)*('3. Enter Indicator Scores'!$C$10:$C$161=$C157),0),
  _xlpm.c, MATCH(AD$8,'3. Enter Indicator Scores'!$D$8:$CZ$8,0),
  _xlpm.v, IFERROR(INDEX('3. Enter Indicator Scores'!$D$10:$CZ$161,_xlpm.r,_xlpm.c),""),
  IF(OR(_xlpm.w="",_xlpm.v=""),"",_xlpm.v*_xlpm.w)
)</f>
        <v/>
      </c>
      <c r="AE157" s="93" t="str" cm="1">
        <f t="array" ref="AE157">_xlfn.LET(
  _xlpm.w, AE$11,
  _xlpm.r, MATCH(1,('3. Enter Indicator Scores'!$B$10:$B$161=$B157)*('3. Enter Indicator Scores'!$C$10:$C$161=$C157),0),
  _xlpm.c, MATCH(AE$8,'3. Enter Indicator Scores'!$D$8:$CZ$8,0),
  _xlpm.v, IFERROR(INDEX('3. Enter Indicator Scores'!$D$10:$CZ$161,_xlpm.r,_xlpm.c),""),
  IF(OR(_xlpm.w="",_xlpm.v=""),"",_xlpm.v*_xlpm.w)
)</f>
        <v/>
      </c>
      <c r="AF157" s="93" t="str" cm="1">
        <f t="array" ref="AF157">_xlfn.LET(
  _xlpm.w, AF$11,
  _xlpm.r, MATCH(1,('3. Enter Indicator Scores'!$B$10:$B$161=$B157)*('3. Enter Indicator Scores'!$C$10:$C$161=$C157),0),
  _xlpm.c, MATCH(AF$8,'3. Enter Indicator Scores'!$D$8:$CZ$8,0),
  _xlpm.v, IFERROR(INDEX('3. Enter Indicator Scores'!$D$10:$CZ$161,_xlpm.r,_xlpm.c),""),
  IF(OR(_xlpm.w="",_xlpm.v=""),"",_xlpm.v*_xlpm.w)
)</f>
        <v/>
      </c>
      <c r="AG157" s="93" t="str" cm="1">
        <f t="array" ref="AG157">_xlfn.LET(
  _xlpm.w, AG$11,
  _xlpm.r, MATCH(1,('3. Enter Indicator Scores'!$B$10:$B$161=$B157)*('3. Enter Indicator Scores'!$C$10:$C$161=$C157),0),
  _xlpm.c, MATCH(AG$8,'3. Enter Indicator Scores'!$D$8:$CZ$8,0),
  _xlpm.v, IFERROR(INDEX('3. Enter Indicator Scores'!$D$10:$CZ$161,_xlpm.r,_xlpm.c),""),
  IF(OR(_xlpm.w="",_xlpm.v=""),"",_xlpm.v*_xlpm.w)
)</f>
        <v/>
      </c>
      <c r="AH157" s="93" t="str" cm="1">
        <f t="array" ref="AH157">_xlfn.LET(
  _xlpm.w, AH$11,
  _xlpm.r, MATCH(1,('3. Enter Indicator Scores'!$B$10:$B$161=$B157)*('3. Enter Indicator Scores'!$C$10:$C$161=$C157),0),
  _xlpm.c, MATCH(AH$8,'3. Enter Indicator Scores'!$D$8:$CZ$8,0),
  _xlpm.v, IFERROR(INDEX('3. Enter Indicator Scores'!$D$10:$CZ$161,_xlpm.r,_xlpm.c),""),
  IF(OR(_xlpm.w="",_xlpm.v=""),"",_xlpm.v*_xlpm.w)
)</f>
        <v/>
      </c>
      <c r="AI157" s="93" t="str" cm="1">
        <f t="array" ref="AI157">_xlfn.LET(
  _xlpm.w, AI$11,
  _xlpm.r, MATCH(1,('3. Enter Indicator Scores'!$B$10:$B$161=$B157)*('3. Enter Indicator Scores'!$C$10:$C$161=$C157),0),
  _xlpm.c, MATCH(AI$8,'3. Enter Indicator Scores'!$D$8:$CZ$8,0),
  _xlpm.v, IFERROR(INDEX('3. Enter Indicator Scores'!$D$10:$CZ$161,_xlpm.r,_xlpm.c),""),
  IF(OR(_xlpm.w="",_xlpm.v=""),"",_xlpm.v*_xlpm.w)
)</f>
        <v/>
      </c>
      <c r="AJ157" s="93" t="str" cm="1">
        <f t="array" ref="AJ157">_xlfn.LET(
  _xlpm.w, AJ$11,
  _xlpm.r, MATCH(1,('3. Enter Indicator Scores'!$B$10:$B$161=$B157)*('3. Enter Indicator Scores'!$C$10:$C$161=$C157),0),
  _xlpm.c, MATCH(AJ$8,'3. Enter Indicator Scores'!$D$8:$CZ$8,0),
  _xlpm.v, IFERROR(INDEX('3. Enter Indicator Scores'!$D$10:$CZ$161,_xlpm.r,_xlpm.c),""),
  IF(OR(_xlpm.w="",_xlpm.v=""),"",_xlpm.v*_xlpm.w)
)</f>
        <v/>
      </c>
      <c r="AK157" s="93" t="str" cm="1">
        <f t="array" ref="AK157">_xlfn.LET(
  _xlpm.w, AK$11,
  _xlpm.r, MATCH(1,('3. Enter Indicator Scores'!$B$10:$B$161=$B157)*('3. Enter Indicator Scores'!$C$10:$C$161=$C157),0),
  _xlpm.c, MATCH(AK$8,'3. Enter Indicator Scores'!$D$8:$CZ$8,0),
  _xlpm.v, IFERROR(INDEX('3. Enter Indicator Scores'!$D$10:$CZ$161,_xlpm.r,_xlpm.c),""),
  IF(OR(_xlpm.w="",_xlpm.v=""),"",_xlpm.v*_xlpm.w)
)</f>
        <v/>
      </c>
      <c r="AL157" s="93" t="str" cm="1">
        <f t="array" ref="AL157">_xlfn.LET(
  _xlpm.w, AL$11,
  _xlpm.r, MATCH(1,('3. Enter Indicator Scores'!$B$10:$B$161=$B157)*('3. Enter Indicator Scores'!$C$10:$C$161=$C157),0),
  _xlpm.c, MATCH(AL$8,'3. Enter Indicator Scores'!$D$8:$CZ$8,0),
  _xlpm.v, IFERROR(INDEX('3. Enter Indicator Scores'!$D$10:$CZ$161,_xlpm.r,_xlpm.c),""),
  IF(OR(_xlpm.w="",_xlpm.v=""),"",_xlpm.v*_xlpm.w)
)</f>
        <v/>
      </c>
      <c r="AM157" s="93" t="str" cm="1">
        <f t="array" ref="AM157">_xlfn.LET(
  _xlpm.w, AM$11,
  _xlpm.r, MATCH(1,('3. Enter Indicator Scores'!$B$10:$B$161=$B157)*('3. Enter Indicator Scores'!$C$10:$C$161=$C157),0),
  _xlpm.c, MATCH(AM$8,'3. Enter Indicator Scores'!$D$8:$CZ$8,0),
  _xlpm.v, IFERROR(INDEX('3. Enter Indicator Scores'!$D$10:$CZ$161,_xlpm.r,_xlpm.c),""),
  IF(OR(_xlpm.w="",_xlpm.v=""),"",_xlpm.v*_xlpm.w)
)</f>
        <v/>
      </c>
      <c r="AN157" s="93" t="str" cm="1">
        <f t="array" ref="AN157">_xlfn.LET(
  _xlpm.w, AN$11,
  _xlpm.r, MATCH(1,('3. Enter Indicator Scores'!$B$10:$B$161=$B157)*('3. Enter Indicator Scores'!$C$10:$C$161=$C157),0),
  _xlpm.c, MATCH(AN$8,'3. Enter Indicator Scores'!$D$8:$CZ$8,0),
  _xlpm.v, IFERROR(INDEX('3. Enter Indicator Scores'!$D$10:$CZ$161,_xlpm.r,_xlpm.c),""),
  IF(OR(_xlpm.w="",_xlpm.v=""),"",_xlpm.v*_xlpm.w)
)</f>
        <v/>
      </c>
      <c r="AO157" s="93" t="str" cm="1">
        <f t="array" ref="AO157">_xlfn.LET(
  _xlpm.w, AO$11,
  _xlpm.r, MATCH(1,('3. Enter Indicator Scores'!$B$10:$B$161=$B157)*('3. Enter Indicator Scores'!$C$10:$C$161=$C157),0),
  _xlpm.c, MATCH(AO$8,'3. Enter Indicator Scores'!$D$8:$CZ$8,0),
  _xlpm.v, IFERROR(INDEX('3. Enter Indicator Scores'!$D$10:$CZ$161,_xlpm.r,_xlpm.c),""),
  IF(OR(_xlpm.w="",_xlpm.v=""),"",_xlpm.v*_xlpm.w)
)</f>
        <v/>
      </c>
      <c r="AP157" s="93" t="str" cm="1">
        <f t="array" ref="AP157">_xlfn.LET(
  _xlpm.w, AP$11,
  _xlpm.r, MATCH(1,('3. Enter Indicator Scores'!$B$10:$B$161=$B157)*('3. Enter Indicator Scores'!$C$10:$C$161=$C157),0),
  _xlpm.c, MATCH(AP$8,'3. Enter Indicator Scores'!$D$8:$CZ$8,0),
  _xlpm.v, IFERROR(INDEX('3. Enter Indicator Scores'!$D$10:$CZ$161,_xlpm.r,_xlpm.c),""),
  IF(OR(_xlpm.w="",_xlpm.v=""),"",_xlpm.v*_xlpm.w)
)</f>
        <v/>
      </c>
      <c r="AQ157" s="93" t="str" cm="1">
        <f t="array" ref="AQ157">_xlfn.LET(
  _xlpm.w, AQ$11,
  _xlpm.r, MATCH(1,('3. Enter Indicator Scores'!$B$10:$B$161=$B157)*('3. Enter Indicator Scores'!$C$10:$C$161=$C157),0),
  _xlpm.c, MATCH(AQ$8,'3. Enter Indicator Scores'!$D$8:$CZ$8,0),
  _xlpm.v, IFERROR(INDEX('3. Enter Indicator Scores'!$D$10:$CZ$161,_xlpm.r,_xlpm.c),""),
  IF(OR(_xlpm.w="",_xlpm.v=""),"",_xlpm.v*_xlpm.w)
)</f>
        <v/>
      </c>
      <c r="AR157" s="93" t="str" cm="1">
        <f t="array" ref="AR157">_xlfn.LET(
  _xlpm.w, AR$11,
  _xlpm.r, MATCH(1,('3. Enter Indicator Scores'!$B$10:$B$161=$B157)*('3. Enter Indicator Scores'!$C$10:$C$161=$C157),0),
  _xlpm.c, MATCH(AR$8,'3. Enter Indicator Scores'!$D$8:$CZ$8,0),
  _xlpm.v, IFERROR(INDEX('3. Enter Indicator Scores'!$D$10:$CZ$161,_xlpm.r,_xlpm.c),""),
  IF(OR(_xlpm.w="",_xlpm.v=""),"",_xlpm.v*_xlpm.w)
)</f>
        <v/>
      </c>
      <c r="AS157" s="93" t="str" cm="1">
        <f t="array" ref="AS157">_xlfn.LET(
  _xlpm.w, AS$11,
  _xlpm.r, MATCH(1,('3. Enter Indicator Scores'!$B$10:$B$161=$B157)*('3. Enter Indicator Scores'!$C$10:$C$161=$C157),0),
  _xlpm.c, MATCH(AS$8,'3. Enter Indicator Scores'!$D$8:$CZ$8,0),
  _xlpm.v, IFERROR(INDEX('3. Enter Indicator Scores'!$D$10:$CZ$161,_xlpm.r,_xlpm.c),""),
  IF(OR(_xlpm.w="",_xlpm.v=""),"",_xlpm.v*_xlpm.w)
)</f>
        <v/>
      </c>
      <c r="AT157" s="93" t="str" cm="1">
        <f t="array" ref="AT157">_xlfn.LET(
  _xlpm.w, AT$11,
  _xlpm.r, MATCH(1,('3. Enter Indicator Scores'!$B$10:$B$161=$B157)*('3. Enter Indicator Scores'!$C$10:$C$161=$C157),0),
  _xlpm.c, MATCH(AT$8,'3. Enter Indicator Scores'!$D$8:$CZ$8,0),
  _xlpm.v, IFERROR(INDEX('3. Enter Indicator Scores'!$D$10:$CZ$161,_xlpm.r,_xlpm.c),""),
  IF(OR(_xlpm.w="",_xlpm.v=""),"",_xlpm.v*_xlpm.w)
)</f>
        <v/>
      </c>
      <c r="AU157" s="93" t="str" cm="1">
        <f t="array" ref="AU157">_xlfn.LET(
  _xlpm.w, AU$11,
  _xlpm.r, MATCH(1,('3. Enter Indicator Scores'!$B$10:$B$161=$B157)*('3. Enter Indicator Scores'!$C$10:$C$161=$C157),0),
  _xlpm.c, MATCH(AU$8,'3. Enter Indicator Scores'!$D$8:$CZ$8,0),
  _xlpm.v, IFERROR(INDEX('3. Enter Indicator Scores'!$D$10:$CZ$161,_xlpm.r,_xlpm.c),""),
  IF(OR(_xlpm.w="",_xlpm.v=""),"",_xlpm.v*_xlpm.w)
)</f>
        <v/>
      </c>
      <c r="AV157" s="93" t="str" cm="1">
        <f t="array" ref="AV157">_xlfn.LET(
  _xlpm.w, AV$11,
  _xlpm.r, MATCH(1,('3. Enter Indicator Scores'!$B$10:$B$161=$B157)*('3. Enter Indicator Scores'!$C$10:$C$161=$C157),0),
  _xlpm.c, MATCH(AV$8,'3. Enter Indicator Scores'!$D$8:$CZ$8,0),
  _xlpm.v, IFERROR(INDEX('3. Enter Indicator Scores'!$D$10:$CZ$161,_xlpm.r,_xlpm.c),""),
  IF(OR(_xlpm.w="",_xlpm.v=""),"",_xlpm.v*_xlpm.w)
)</f>
        <v/>
      </c>
      <c r="AW157" s="93" t="str" cm="1">
        <f t="array" ref="AW157">_xlfn.LET(
  _xlpm.w, AW$11,
  _xlpm.r, MATCH(1,('3. Enter Indicator Scores'!$B$10:$B$161=$B157)*('3. Enter Indicator Scores'!$C$10:$C$161=$C157),0),
  _xlpm.c, MATCH(AW$8,'3. Enter Indicator Scores'!$D$8:$CZ$8,0),
  _xlpm.v, IFERROR(INDEX('3. Enter Indicator Scores'!$D$10:$CZ$161,_xlpm.r,_xlpm.c),""),
  IF(OR(_xlpm.w="",_xlpm.v=""),"",_xlpm.v*_xlpm.w)
)</f>
        <v/>
      </c>
      <c r="AX157" s="93" t="str" cm="1">
        <f t="array" ref="AX157">_xlfn.LET(
  _xlpm.w, AX$11,
  _xlpm.r, MATCH(1,('3. Enter Indicator Scores'!$B$10:$B$161=$B157)*('3. Enter Indicator Scores'!$C$10:$C$161=$C157),0),
  _xlpm.c, MATCH(AX$8,'3. Enter Indicator Scores'!$D$8:$CZ$8,0),
  _xlpm.v, IFERROR(INDEX('3. Enter Indicator Scores'!$D$10:$CZ$161,_xlpm.r,_xlpm.c),""),
  IF(OR(_xlpm.w="",_xlpm.v=""),"",_xlpm.v*_xlpm.w)
)</f>
        <v/>
      </c>
      <c r="AY157" s="93" t="str" cm="1">
        <f t="array" ref="AY157">_xlfn.LET(
  _xlpm.w, AY$11,
  _xlpm.r, MATCH(1,('3. Enter Indicator Scores'!$B$10:$B$161=$B157)*('3. Enter Indicator Scores'!$C$10:$C$161=$C157),0),
  _xlpm.c, MATCH(AY$8,'3. Enter Indicator Scores'!$D$8:$CZ$8,0),
  _xlpm.v, IFERROR(INDEX('3. Enter Indicator Scores'!$D$10:$CZ$161,_xlpm.r,_xlpm.c),""),
  IF(OR(_xlpm.w="",_xlpm.v=""),"",_xlpm.v*_xlpm.w)
)</f>
        <v/>
      </c>
      <c r="AZ157" s="93" t="str" cm="1">
        <f t="array" ref="AZ157">_xlfn.LET(
  _xlpm.w, AZ$11,
  _xlpm.r, MATCH(1,('3. Enter Indicator Scores'!$B$10:$B$161=$B157)*('3. Enter Indicator Scores'!$C$10:$C$161=$C157),0),
  _xlpm.c, MATCH(AZ$8,'3. Enter Indicator Scores'!$D$8:$CZ$8,0),
  _xlpm.v, IFERROR(INDEX('3. Enter Indicator Scores'!$D$10:$CZ$161,_xlpm.r,_xlpm.c),""),
  IF(OR(_xlpm.w="",_xlpm.v=""),"",_xlpm.v*_xlpm.w)
)</f>
        <v/>
      </c>
      <c r="BA157" s="93" t="str" cm="1">
        <f t="array" ref="BA157">_xlfn.LET(
  _xlpm.w, BA$11,
  _xlpm.r, MATCH(1,('3. Enter Indicator Scores'!$B$10:$B$161=$B157)*('3. Enter Indicator Scores'!$C$10:$C$161=$C157),0),
  _xlpm.c, MATCH(BA$8,'3. Enter Indicator Scores'!$D$8:$CZ$8,0),
  _xlpm.v, IFERROR(INDEX('3. Enter Indicator Scores'!$D$10:$CZ$161,_xlpm.r,_xlpm.c),""),
  IF(OR(_xlpm.w="",_xlpm.v=""),"",_xlpm.v*_xlpm.w)
)</f>
        <v/>
      </c>
      <c r="BB157" s="93" t="str" cm="1">
        <f t="array" ref="BB157">_xlfn.LET(
  _xlpm.w, BB$11,
  _xlpm.r, MATCH(1,('3. Enter Indicator Scores'!$B$10:$B$161=$B157)*('3. Enter Indicator Scores'!$C$10:$C$161=$C157),0),
  _xlpm.c, MATCH(BB$8,'3. Enter Indicator Scores'!$D$8:$CZ$8,0),
  _xlpm.v, IFERROR(INDEX('3. Enter Indicator Scores'!$D$10:$CZ$161,_xlpm.r,_xlpm.c),""),
  IF(OR(_xlpm.w="",_xlpm.v=""),"",_xlpm.v*_xlpm.w)
)</f>
        <v/>
      </c>
      <c r="BC157" s="93" t="str" cm="1">
        <f t="array" ref="BC157">_xlfn.LET(
  _xlpm.w, BC$11,
  _xlpm.r, MATCH(1,('3. Enter Indicator Scores'!$B$10:$B$161=$B157)*('3. Enter Indicator Scores'!$C$10:$C$161=$C157),0),
  _xlpm.c, MATCH(BC$8,'3. Enter Indicator Scores'!$D$8:$CZ$8,0),
  _xlpm.v, IFERROR(INDEX('3. Enter Indicator Scores'!$D$10:$CZ$161,_xlpm.r,_xlpm.c),""),
  IF(OR(_xlpm.w="",_xlpm.v=""),"",_xlpm.v*_xlpm.w)
)</f>
        <v/>
      </c>
      <c r="BD157" s="93" t="str" cm="1">
        <f t="array" ref="BD157">_xlfn.LET(
  _xlpm.w, BD$11,
  _xlpm.r, MATCH(1,('3. Enter Indicator Scores'!$B$10:$B$161=$B157)*('3. Enter Indicator Scores'!$C$10:$C$161=$C157),0),
  _xlpm.c, MATCH(BD$8,'3. Enter Indicator Scores'!$D$8:$CZ$8,0),
  _xlpm.v, IFERROR(INDEX('3. Enter Indicator Scores'!$D$10:$CZ$161,_xlpm.r,_xlpm.c),""),
  IF(OR(_xlpm.w="",_xlpm.v=""),"",_xlpm.v*_xlpm.w)
)</f>
        <v/>
      </c>
      <c r="BE157" s="93" t="str" cm="1">
        <f t="array" ref="BE157">_xlfn.LET(
  _xlpm.w, BE$11,
  _xlpm.r, MATCH(1,('3. Enter Indicator Scores'!$B$10:$B$161=$B157)*('3. Enter Indicator Scores'!$C$10:$C$161=$C157),0),
  _xlpm.c, MATCH(BE$8,'3. Enter Indicator Scores'!$D$8:$CZ$8,0),
  _xlpm.v, IFERROR(INDEX('3. Enter Indicator Scores'!$D$10:$CZ$161,_xlpm.r,_xlpm.c),""),
  IF(OR(_xlpm.w="",_xlpm.v=""),"",_xlpm.v*_xlpm.w)
)</f>
        <v/>
      </c>
      <c r="BF157" s="93" t="str" cm="1">
        <f t="array" ref="BF157">_xlfn.LET(
  _xlpm.w, BF$11,
  _xlpm.r, MATCH(1,('3. Enter Indicator Scores'!$B$10:$B$161=$B157)*('3. Enter Indicator Scores'!$C$10:$C$161=$C157),0),
  _xlpm.c, MATCH(BF$8,'3. Enter Indicator Scores'!$D$8:$CZ$8,0),
  _xlpm.v, IFERROR(INDEX('3. Enter Indicator Scores'!$D$10:$CZ$161,_xlpm.r,_xlpm.c),""),
  IF(OR(_xlpm.w="",_xlpm.v=""),"",_xlpm.v*_xlpm.w)
)</f>
        <v/>
      </c>
      <c r="BG157" s="93" t="str" cm="1">
        <f t="array" ref="BG157">_xlfn.LET(
  _xlpm.w, BG$11,
  _xlpm.r, MATCH(1,('3. Enter Indicator Scores'!$B$10:$B$161=$B157)*('3. Enter Indicator Scores'!$C$10:$C$161=$C157),0),
  _xlpm.c, MATCH(BG$8,'3. Enter Indicator Scores'!$D$8:$CZ$8,0),
  _xlpm.v, IFERROR(INDEX('3. Enter Indicator Scores'!$D$10:$CZ$161,_xlpm.r,_xlpm.c),""),
  IF(OR(_xlpm.w="",_xlpm.v=""),"",_xlpm.v*_xlpm.w)
)</f>
        <v/>
      </c>
      <c r="BH157" s="93" t="str" cm="1">
        <f t="array" ref="BH157">_xlfn.LET(
  _xlpm.w, BH$11,
  _xlpm.r, MATCH(1,('3. Enter Indicator Scores'!$B$10:$B$161=$B157)*('3. Enter Indicator Scores'!$C$10:$C$161=$C157),0),
  _xlpm.c, MATCH(BH$8,'3. Enter Indicator Scores'!$D$8:$CZ$8,0),
  _xlpm.v, IFERROR(INDEX('3. Enter Indicator Scores'!$D$10:$CZ$161,_xlpm.r,_xlpm.c),""),
  IF(OR(_xlpm.w="",_xlpm.v=""),"",_xlpm.v*_xlpm.w)
)</f>
        <v/>
      </c>
      <c r="BI157" s="93" t="str" cm="1">
        <f t="array" ref="BI157">_xlfn.LET(
  _xlpm.w, BI$11,
  _xlpm.r, MATCH(1,('3. Enter Indicator Scores'!$B$10:$B$161=$B157)*('3. Enter Indicator Scores'!$C$10:$C$161=$C157),0),
  _xlpm.c, MATCH(BI$8,'3. Enter Indicator Scores'!$D$8:$CZ$8,0),
  _xlpm.v, IFERROR(INDEX('3. Enter Indicator Scores'!$D$10:$CZ$161,_xlpm.r,_xlpm.c),""),
  IF(OR(_xlpm.w="",_xlpm.v=""),"",_xlpm.v*_xlpm.w)
)</f>
        <v/>
      </c>
      <c r="BJ157" s="93" t="str" cm="1">
        <f t="array" ref="BJ157">_xlfn.LET(
  _xlpm.w, BJ$11,
  _xlpm.r, MATCH(1,('3. Enter Indicator Scores'!$B$10:$B$161=$B157)*('3. Enter Indicator Scores'!$C$10:$C$161=$C157),0),
  _xlpm.c, MATCH(BJ$8,'3. Enter Indicator Scores'!$D$8:$CZ$8,0),
  _xlpm.v, IFERROR(INDEX('3. Enter Indicator Scores'!$D$10:$CZ$161,_xlpm.r,_xlpm.c),""),
  IF(OR(_xlpm.w="",_xlpm.v=""),"",_xlpm.v*_xlpm.w)
)</f>
        <v/>
      </c>
      <c r="BK157" s="93" t="str" cm="1">
        <f t="array" ref="BK157">_xlfn.LET(
  _xlpm.w, BK$11,
  _xlpm.r, MATCH(1,('3. Enter Indicator Scores'!$B$10:$B$161=$B157)*('3. Enter Indicator Scores'!$C$10:$C$161=$C157),0),
  _xlpm.c, MATCH(BK$8,'3. Enter Indicator Scores'!$D$8:$CZ$8,0),
  _xlpm.v, IFERROR(INDEX('3. Enter Indicator Scores'!$D$10:$CZ$161,_xlpm.r,_xlpm.c),""),
  IF(OR(_xlpm.w="",_xlpm.v=""),"",_xlpm.v*_xlpm.w)
)</f>
        <v/>
      </c>
      <c r="BL157" s="93" t="str" cm="1">
        <f t="array" ref="BL157">_xlfn.LET(
  _xlpm.w, BL$11,
  _xlpm.r, MATCH(1,('3. Enter Indicator Scores'!$B$10:$B$161=$B157)*('3. Enter Indicator Scores'!$C$10:$C$161=$C157),0),
  _xlpm.c, MATCH(BL$8,'3. Enter Indicator Scores'!$D$8:$CZ$8,0),
  _xlpm.v, IFERROR(INDEX('3. Enter Indicator Scores'!$D$10:$CZ$161,_xlpm.r,_xlpm.c),""),
  IF(OR(_xlpm.w="",_xlpm.v=""),"",_xlpm.v*_xlpm.w)
)</f>
        <v/>
      </c>
      <c r="BM157" s="93" t="str" cm="1">
        <f t="array" ref="BM157">_xlfn.LET(
  _xlpm.w, BM$11,
  _xlpm.r, MATCH(1,('3. Enter Indicator Scores'!$B$10:$B$161=$B157)*('3. Enter Indicator Scores'!$C$10:$C$161=$C157),0),
  _xlpm.c, MATCH(BM$8,'3. Enter Indicator Scores'!$D$8:$CZ$8,0),
  _xlpm.v, IFERROR(INDEX('3. Enter Indicator Scores'!$D$10:$CZ$161,_xlpm.r,_xlpm.c),""),
  IF(OR(_xlpm.w="",_xlpm.v=""),"",_xlpm.v*_xlpm.w)
)</f>
        <v/>
      </c>
      <c r="BN157" s="93" t="str" cm="1">
        <f t="array" ref="BN157">_xlfn.LET(
  _xlpm.w, BN$11,
  _xlpm.r, MATCH(1,('3. Enter Indicator Scores'!$B$10:$B$161=$B157)*('3. Enter Indicator Scores'!$C$10:$C$161=$C157),0),
  _xlpm.c, MATCH(BN$8,'3. Enter Indicator Scores'!$D$8:$CZ$8,0),
  _xlpm.v, IFERROR(INDEX('3. Enter Indicator Scores'!$D$10:$CZ$161,_xlpm.r,_xlpm.c),""),
  IF(OR(_xlpm.w="",_xlpm.v=""),"",_xlpm.v*_xlpm.w)
)</f>
        <v/>
      </c>
      <c r="BO157" s="93" t="str" cm="1">
        <f t="array" ref="BO157">_xlfn.LET(
  _xlpm.w, BO$11,
  _xlpm.r, MATCH(1,('3. Enter Indicator Scores'!$B$10:$B$161=$B157)*('3. Enter Indicator Scores'!$C$10:$C$161=$C157),0),
  _xlpm.c, MATCH(BO$8,'3. Enter Indicator Scores'!$D$8:$CZ$8,0),
  _xlpm.v, IFERROR(INDEX('3. Enter Indicator Scores'!$D$10:$CZ$161,_xlpm.r,_xlpm.c),""),
  IF(OR(_xlpm.w="",_xlpm.v=""),"",_xlpm.v*_xlpm.w)
)</f>
        <v/>
      </c>
      <c r="BP157" s="93" t="str" cm="1">
        <f t="array" ref="BP157">_xlfn.LET(
  _xlpm.w, BP$11,
  _xlpm.r, MATCH(1,('3. Enter Indicator Scores'!$B$10:$B$161=$B157)*('3. Enter Indicator Scores'!$C$10:$C$161=$C157),0),
  _xlpm.c, MATCH(BP$8,'3. Enter Indicator Scores'!$D$8:$CZ$8,0),
  _xlpm.v, IFERROR(INDEX('3. Enter Indicator Scores'!$D$10:$CZ$161,_xlpm.r,_xlpm.c),""),
  IF(OR(_xlpm.w="",_xlpm.v=""),"",_xlpm.v*_xlpm.w)
)</f>
        <v/>
      </c>
      <c r="BQ157" s="93" t="str" cm="1">
        <f t="array" ref="BQ157">_xlfn.LET(
  _xlpm.w, BQ$11,
  _xlpm.r, MATCH(1,('3. Enter Indicator Scores'!$B$10:$B$161=$B157)*('3. Enter Indicator Scores'!$C$10:$C$161=$C157),0),
  _xlpm.c, MATCH(BQ$8,'3. Enter Indicator Scores'!$D$8:$CZ$8,0),
  _xlpm.v, IFERROR(INDEX('3. Enter Indicator Scores'!$D$10:$CZ$161,_xlpm.r,_xlpm.c),""),
  IF(OR(_xlpm.w="",_xlpm.v=""),"",_xlpm.v*_xlpm.w)
)</f>
        <v/>
      </c>
      <c r="BR157" s="93" t="str" cm="1">
        <f t="array" ref="BR157">_xlfn.LET(
  _xlpm.w, BR$11,
  _xlpm.r, MATCH(1,('3. Enter Indicator Scores'!$B$10:$B$161=$B157)*('3. Enter Indicator Scores'!$C$10:$C$161=$C157),0),
  _xlpm.c, MATCH(BR$8,'3. Enter Indicator Scores'!$D$8:$CZ$8,0),
  _xlpm.v, IFERROR(INDEX('3. Enter Indicator Scores'!$D$10:$CZ$161,_xlpm.r,_xlpm.c),""),
  IF(OR(_xlpm.w="",_xlpm.v=""),"",_xlpm.v*_xlpm.w)
)</f>
        <v/>
      </c>
      <c r="BS157" s="93" t="str" cm="1">
        <f t="array" ref="BS157">_xlfn.LET(
  _xlpm.w, BS$11,
  _xlpm.r, MATCH(1,('3. Enter Indicator Scores'!$B$10:$B$161=$B157)*('3. Enter Indicator Scores'!$C$10:$C$161=$C157),0),
  _xlpm.c, MATCH(BS$8,'3. Enter Indicator Scores'!$D$8:$CZ$8,0),
  _xlpm.v, IFERROR(INDEX('3. Enter Indicator Scores'!$D$10:$CZ$161,_xlpm.r,_xlpm.c),""),
  IF(OR(_xlpm.w="",_xlpm.v=""),"",_xlpm.v*_xlpm.w)
)</f>
        <v/>
      </c>
      <c r="BT157" s="93" t="str" cm="1">
        <f t="array" ref="BT157">_xlfn.LET(
  _xlpm.w, BT$11,
  _xlpm.r, MATCH(1,('3. Enter Indicator Scores'!$B$10:$B$161=$B157)*('3. Enter Indicator Scores'!$C$10:$C$161=$C157),0),
  _xlpm.c, MATCH(BT$8,'3. Enter Indicator Scores'!$D$8:$CZ$8,0),
  _xlpm.v, IFERROR(INDEX('3. Enter Indicator Scores'!$D$10:$CZ$161,_xlpm.r,_xlpm.c),""),
  IF(OR(_xlpm.w="",_xlpm.v=""),"",_xlpm.v*_xlpm.w)
)</f>
        <v/>
      </c>
      <c r="BU157" s="93" t="str" cm="1">
        <f t="array" ref="BU157">_xlfn.LET(
  _xlpm.w, BU$11,
  _xlpm.r, MATCH(1,('3. Enter Indicator Scores'!$B$10:$B$161=$B157)*('3. Enter Indicator Scores'!$C$10:$C$161=$C157),0),
  _xlpm.c, MATCH(BU$8,'3. Enter Indicator Scores'!$D$8:$CZ$8,0),
  _xlpm.v, IFERROR(INDEX('3. Enter Indicator Scores'!$D$10:$CZ$161,_xlpm.r,_xlpm.c),""),
  IF(OR(_xlpm.w="",_xlpm.v=""),"",_xlpm.v*_xlpm.w)
)</f>
        <v/>
      </c>
      <c r="BV157" s="93" t="str" cm="1">
        <f t="array" ref="BV157">_xlfn.LET(
  _xlpm.w, BV$11,
  _xlpm.r, MATCH(1,('3. Enter Indicator Scores'!$B$10:$B$161=$B157)*('3. Enter Indicator Scores'!$C$10:$C$161=$C157),0),
  _xlpm.c, MATCH(BV$8,'3. Enter Indicator Scores'!$D$8:$CZ$8,0),
  _xlpm.v, IFERROR(INDEX('3. Enter Indicator Scores'!$D$10:$CZ$161,_xlpm.r,_xlpm.c),""),
  IF(OR(_xlpm.w="",_xlpm.v=""),"",_xlpm.v*_xlpm.w)
)</f>
        <v/>
      </c>
      <c r="BW157" s="93" t="str" cm="1">
        <f t="array" ref="BW157">_xlfn.LET(
  _xlpm.w, BW$11,
  _xlpm.r, MATCH(1,('3. Enter Indicator Scores'!$B$10:$B$161=$B157)*('3. Enter Indicator Scores'!$C$10:$C$161=$C157),0),
  _xlpm.c, MATCH(BW$8,'3. Enter Indicator Scores'!$D$8:$CZ$8,0),
  _xlpm.v, IFERROR(INDEX('3. Enter Indicator Scores'!$D$10:$CZ$161,_xlpm.r,_xlpm.c),""),
  IF(OR(_xlpm.w="",_xlpm.v=""),"",_xlpm.v*_xlpm.w)
)</f>
        <v/>
      </c>
      <c r="BX157" s="93" t="str" cm="1">
        <f t="array" ref="BX157">_xlfn.LET(
  _xlpm.w, BX$11,
  _xlpm.r, MATCH(1,('3. Enter Indicator Scores'!$B$10:$B$161=$B157)*('3. Enter Indicator Scores'!$C$10:$C$161=$C157),0),
  _xlpm.c, MATCH(BX$8,'3. Enter Indicator Scores'!$D$8:$CZ$8,0),
  _xlpm.v, IFERROR(INDEX('3. Enter Indicator Scores'!$D$10:$CZ$161,_xlpm.r,_xlpm.c),""),
  IF(OR(_xlpm.w="",_xlpm.v=""),"",_xlpm.v*_xlpm.w)
)</f>
        <v/>
      </c>
      <c r="BY157" s="93" t="str" cm="1">
        <f t="array" ref="BY157">_xlfn.LET(
  _xlpm.w, BY$11,
  _xlpm.r, MATCH(1,('3. Enter Indicator Scores'!$B$10:$B$161=$B157)*('3. Enter Indicator Scores'!$C$10:$C$161=$C157),0),
  _xlpm.c, MATCH(BY$8,'3. Enter Indicator Scores'!$D$8:$CZ$8,0),
  _xlpm.v, IFERROR(INDEX('3. Enter Indicator Scores'!$D$10:$CZ$161,_xlpm.r,_xlpm.c),""),
  IF(OR(_xlpm.w="",_xlpm.v=""),"",_xlpm.v*_xlpm.w)
)</f>
        <v/>
      </c>
      <c r="BZ157" s="93" t="str" cm="1">
        <f t="array" ref="BZ157">_xlfn.LET(
  _xlpm.w, BZ$11,
  _xlpm.r, MATCH(1,('3. Enter Indicator Scores'!$B$10:$B$161=$B157)*('3. Enter Indicator Scores'!$C$10:$C$161=$C157),0),
  _xlpm.c, MATCH(BZ$8,'3. Enter Indicator Scores'!$D$8:$CZ$8,0),
  _xlpm.v, IFERROR(INDEX('3. Enter Indicator Scores'!$D$10:$CZ$161,_xlpm.r,_xlpm.c),""),
  IF(OR(_xlpm.w="",_xlpm.v=""),"",_xlpm.v*_xlpm.w)
)</f>
        <v/>
      </c>
      <c r="CA157" s="93" t="str" cm="1">
        <f t="array" ref="CA157">_xlfn.LET(
  _xlpm.w, CA$11,
  _xlpm.r, MATCH(1,('3. Enter Indicator Scores'!$B$10:$B$161=$B157)*('3. Enter Indicator Scores'!$C$10:$C$161=$C157),0),
  _xlpm.c, MATCH(CA$8,'3. Enter Indicator Scores'!$D$8:$CZ$8,0),
  _xlpm.v, IFERROR(INDEX('3. Enter Indicator Scores'!$D$10:$CZ$161,_xlpm.r,_xlpm.c),""),
  IF(OR(_xlpm.w="",_xlpm.v=""),"",_xlpm.v*_xlpm.w)
)</f>
        <v/>
      </c>
      <c r="CB157" s="93" t="str" cm="1">
        <f t="array" ref="CB157">_xlfn.LET(
  _xlpm.w, CB$11,
  _xlpm.r, MATCH(1,('3. Enter Indicator Scores'!$B$10:$B$161=$B157)*('3. Enter Indicator Scores'!$C$10:$C$161=$C157),0),
  _xlpm.c, MATCH(CB$8,'3. Enter Indicator Scores'!$D$8:$CZ$8,0),
  _xlpm.v, IFERROR(INDEX('3. Enter Indicator Scores'!$D$10:$CZ$161,_xlpm.r,_xlpm.c),""),
  IF(OR(_xlpm.w="",_xlpm.v=""),"",_xlpm.v*_xlpm.w)
)</f>
        <v/>
      </c>
      <c r="CC157" s="93" t="str" cm="1">
        <f t="array" ref="CC157">_xlfn.LET(
  _xlpm.w, CC$11,
  _xlpm.r, MATCH(1,('3. Enter Indicator Scores'!$B$10:$B$161=$B157)*('3. Enter Indicator Scores'!$C$10:$C$161=$C157),0),
  _xlpm.c, MATCH(CC$8,'3. Enter Indicator Scores'!$D$8:$CZ$8,0),
  _xlpm.v, IFERROR(INDEX('3. Enter Indicator Scores'!$D$10:$CZ$161,_xlpm.r,_xlpm.c),""),
  IF(OR(_xlpm.w="",_xlpm.v=""),"",_xlpm.v*_xlpm.w)
)</f>
        <v/>
      </c>
      <c r="CD157" s="93" t="str" cm="1">
        <f t="array" ref="CD157">_xlfn.LET(
  _xlpm.w, CD$11,
  _xlpm.r, MATCH(1,('3. Enter Indicator Scores'!$B$10:$B$161=$B157)*('3. Enter Indicator Scores'!$C$10:$C$161=$C157),0),
  _xlpm.c, MATCH(CD$8,'3. Enter Indicator Scores'!$D$8:$CZ$8,0),
  _xlpm.v, IFERROR(INDEX('3. Enter Indicator Scores'!$D$10:$CZ$161,_xlpm.r,_xlpm.c),""),
  IF(OR(_xlpm.w="",_xlpm.v=""),"",_xlpm.v*_xlpm.w)
)</f>
        <v/>
      </c>
      <c r="CE157" s="93" t="str" cm="1">
        <f t="array" ref="CE157">_xlfn.LET(
  _xlpm.w, CE$11,
  _xlpm.r, MATCH(1,('3. Enter Indicator Scores'!$B$10:$B$161=$B157)*('3. Enter Indicator Scores'!$C$10:$C$161=$C157),0),
  _xlpm.c, MATCH(CE$8,'3. Enter Indicator Scores'!$D$8:$CZ$8,0),
  _xlpm.v, IFERROR(INDEX('3. Enter Indicator Scores'!$D$10:$CZ$161,_xlpm.r,_xlpm.c),""),
  IF(OR(_xlpm.w="",_xlpm.v=""),"",_xlpm.v*_xlpm.w)
)</f>
        <v/>
      </c>
      <c r="CF157" s="93" t="str" cm="1">
        <f t="array" ref="CF157">_xlfn.LET(
  _xlpm.w, CF$11,
  _xlpm.r, MATCH(1,('3. Enter Indicator Scores'!$B$10:$B$161=$B157)*('3. Enter Indicator Scores'!$C$10:$C$161=$C157),0),
  _xlpm.c, MATCH(CF$8,'3. Enter Indicator Scores'!$D$8:$CZ$8,0),
  _xlpm.v, IFERROR(INDEX('3. Enter Indicator Scores'!$D$10:$CZ$161,_xlpm.r,_xlpm.c),""),
  IF(OR(_xlpm.w="",_xlpm.v=""),"",_xlpm.v*_xlpm.w)
)</f>
        <v/>
      </c>
      <c r="CG157" s="93" t="str" cm="1">
        <f t="array" ref="CG157">_xlfn.LET(
  _xlpm.w, CG$11,
  _xlpm.r, MATCH(1,('3. Enter Indicator Scores'!$B$10:$B$161=$B157)*('3. Enter Indicator Scores'!$C$10:$C$161=$C157),0),
  _xlpm.c, MATCH(CG$8,'3. Enter Indicator Scores'!$D$8:$CZ$8,0),
  _xlpm.v, IFERROR(INDEX('3. Enter Indicator Scores'!$D$10:$CZ$161,_xlpm.r,_xlpm.c),""),
  IF(OR(_xlpm.w="",_xlpm.v=""),"",_xlpm.v*_xlpm.w)
)</f>
        <v/>
      </c>
      <c r="CH157" s="93" t="str" cm="1">
        <f t="array" ref="CH157">_xlfn.LET(
  _xlpm.w, CH$11,
  _xlpm.r, MATCH(1,('3. Enter Indicator Scores'!$B$10:$B$161=$B157)*('3. Enter Indicator Scores'!$C$10:$C$161=$C157),0),
  _xlpm.c, MATCH(CH$8,'3. Enter Indicator Scores'!$D$8:$CZ$8,0),
  _xlpm.v, IFERROR(INDEX('3. Enter Indicator Scores'!$D$10:$CZ$161,_xlpm.r,_xlpm.c),""),
  IF(OR(_xlpm.w="",_xlpm.v=""),"",_xlpm.v*_xlpm.w)
)</f>
        <v/>
      </c>
      <c r="CI157" s="93" t="str" cm="1">
        <f t="array" ref="CI157">_xlfn.LET(
  _xlpm.w, CI$11,
  _xlpm.r, MATCH(1,('3. Enter Indicator Scores'!$B$10:$B$161=$B157)*('3. Enter Indicator Scores'!$C$10:$C$161=$C157),0),
  _xlpm.c, MATCH(CI$8,'3. Enter Indicator Scores'!$D$8:$CZ$8,0),
  _xlpm.v, IFERROR(INDEX('3. Enter Indicator Scores'!$D$10:$CZ$161,_xlpm.r,_xlpm.c),""),
  IF(OR(_xlpm.w="",_xlpm.v=""),"",_xlpm.v*_xlpm.w)
)</f>
        <v/>
      </c>
      <c r="CJ157" s="93" t="str" cm="1">
        <f t="array" ref="CJ157">_xlfn.LET(
  _xlpm.w, CJ$11,
  _xlpm.r, MATCH(1,('3. Enter Indicator Scores'!$B$10:$B$161=$B157)*('3. Enter Indicator Scores'!$C$10:$C$161=$C157),0),
  _xlpm.c, MATCH(CJ$8,'3. Enter Indicator Scores'!$D$8:$CZ$8,0),
  _xlpm.v, IFERROR(INDEX('3. Enter Indicator Scores'!$D$10:$CZ$161,_xlpm.r,_xlpm.c),""),
  IF(OR(_xlpm.w="",_xlpm.v=""),"",_xlpm.v*_xlpm.w)
)</f>
        <v/>
      </c>
      <c r="CK157" s="93" t="str" cm="1">
        <f t="array" ref="CK157">_xlfn.LET(
  _xlpm.w, CK$11,
  _xlpm.r, MATCH(1,('3. Enter Indicator Scores'!$B$10:$B$161=$B157)*('3. Enter Indicator Scores'!$C$10:$C$161=$C157),0),
  _xlpm.c, MATCH(CK$8,'3. Enter Indicator Scores'!$D$8:$CZ$8,0),
  _xlpm.v, IFERROR(INDEX('3. Enter Indicator Scores'!$D$10:$CZ$161,_xlpm.r,_xlpm.c),""),
  IF(OR(_xlpm.w="",_xlpm.v=""),"",_xlpm.v*_xlpm.w)
)</f>
        <v/>
      </c>
      <c r="CL157" s="93" t="str" cm="1">
        <f t="array" ref="CL157">_xlfn.LET(
  _xlpm.w, CL$11,
  _xlpm.r, MATCH(1,('3. Enter Indicator Scores'!$B$10:$B$161=$B157)*('3. Enter Indicator Scores'!$C$10:$C$161=$C157),0),
  _xlpm.c, MATCH(CL$8,'3. Enter Indicator Scores'!$D$8:$CZ$8,0),
  _xlpm.v, IFERROR(INDEX('3. Enter Indicator Scores'!$D$10:$CZ$161,_xlpm.r,_xlpm.c),""),
  IF(OR(_xlpm.w="",_xlpm.v=""),"",_xlpm.v*_xlpm.w)
)</f>
        <v/>
      </c>
      <c r="CM157" s="93" t="str" cm="1">
        <f t="array" ref="CM157">_xlfn.LET(
  _xlpm.w, CM$11,
  _xlpm.r, MATCH(1,('3. Enter Indicator Scores'!$B$10:$B$161=$B157)*('3. Enter Indicator Scores'!$C$10:$C$161=$C157),0),
  _xlpm.c, MATCH(CM$8,'3. Enter Indicator Scores'!$D$8:$CZ$8,0),
  _xlpm.v, IFERROR(INDEX('3. Enter Indicator Scores'!$D$10:$CZ$161,_xlpm.r,_xlpm.c),""),
  IF(OR(_xlpm.w="",_xlpm.v=""),"",_xlpm.v*_xlpm.w)
)</f>
        <v/>
      </c>
      <c r="CN157" s="93" t="str" cm="1">
        <f t="array" ref="CN157">_xlfn.LET(
  _xlpm.w, CN$11,
  _xlpm.r, MATCH(1,('3. Enter Indicator Scores'!$B$10:$B$161=$B157)*('3. Enter Indicator Scores'!$C$10:$C$161=$C157),0),
  _xlpm.c, MATCH(CN$8,'3. Enter Indicator Scores'!$D$8:$CZ$8,0),
  _xlpm.v, IFERROR(INDEX('3. Enter Indicator Scores'!$D$10:$CZ$161,_xlpm.r,_xlpm.c),""),
  IF(OR(_xlpm.w="",_xlpm.v=""),"",_xlpm.v*_xlpm.w)
)</f>
        <v/>
      </c>
      <c r="CO157" s="93" t="str" cm="1">
        <f t="array" ref="CO157">_xlfn.LET(
  _xlpm.w, CO$11,
  _xlpm.r, MATCH(1,('3. Enter Indicator Scores'!$B$10:$B$161=$B157)*('3. Enter Indicator Scores'!$C$10:$C$161=$C157),0),
  _xlpm.c, MATCH(CO$8,'3. Enter Indicator Scores'!$D$8:$CZ$8,0),
  _xlpm.v, IFERROR(INDEX('3. Enter Indicator Scores'!$D$10:$CZ$161,_xlpm.r,_xlpm.c),""),
  IF(OR(_xlpm.w="",_xlpm.v=""),"",_xlpm.v*_xlpm.w)
)</f>
        <v/>
      </c>
      <c r="CP157" s="93" t="str" cm="1">
        <f t="array" ref="CP157">_xlfn.LET(
  _xlpm.w, CP$11,
  _xlpm.r, MATCH(1,('3. Enter Indicator Scores'!$B$10:$B$161=$B157)*('3. Enter Indicator Scores'!$C$10:$C$161=$C157),0),
  _xlpm.c, MATCH(CP$8,'3. Enter Indicator Scores'!$D$8:$CZ$8,0),
  _xlpm.v, IFERROR(INDEX('3. Enter Indicator Scores'!$D$10:$CZ$161,_xlpm.r,_xlpm.c),""),
  IF(OR(_xlpm.w="",_xlpm.v=""),"",_xlpm.v*_xlpm.w)
)</f>
        <v/>
      </c>
      <c r="CQ157" s="93" t="str" cm="1">
        <f t="array" ref="CQ157">_xlfn.LET(
  _xlpm.w, CQ$11,
  _xlpm.r, MATCH(1,('3. Enter Indicator Scores'!$B$10:$B$161=$B157)*('3. Enter Indicator Scores'!$C$10:$C$161=$C157),0),
  _xlpm.c, MATCH(CQ$8,'3. Enter Indicator Scores'!$D$8:$CZ$8,0),
  _xlpm.v, IFERROR(INDEX('3. Enter Indicator Scores'!$D$10:$CZ$161,_xlpm.r,_xlpm.c),""),
  IF(OR(_xlpm.w="",_xlpm.v=""),"",_xlpm.v*_xlpm.w)
)</f>
        <v/>
      </c>
      <c r="CR157" s="93" t="str" cm="1">
        <f t="array" ref="CR157">_xlfn.LET(
  _xlpm.w, CR$11,
  _xlpm.r, MATCH(1,('3. Enter Indicator Scores'!$B$10:$B$161=$B157)*('3. Enter Indicator Scores'!$C$10:$C$161=$C157),0),
  _xlpm.c, MATCH(CR$8,'3. Enter Indicator Scores'!$D$8:$CZ$8,0),
  _xlpm.v, IFERROR(INDEX('3. Enter Indicator Scores'!$D$10:$CZ$161,_xlpm.r,_xlpm.c),""),
  IF(OR(_xlpm.w="",_xlpm.v=""),"",_xlpm.v*_xlpm.w)
)</f>
        <v/>
      </c>
      <c r="CS157" s="93" t="str" cm="1">
        <f t="array" ref="CS157">_xlfn.LET(
  _xlpm.w, CS$11,
  _xlpm.r, MATCH(1,('3. Enter Indicator Scores'!$B$10:$B$161=$B157)*('3. Enter Indicator Scores'!$C$10:$C$161=$C157),0),
  _xlpm.c, MATCH(CS$8,'3. Enter Indicator Scores'!$D$8:$CZ$8,0),
  _xlpm.v, IFERROR(INDEX('3. Enter Indicator Scores'!$D$10:$CZ$161,_xlpm.r,_xlpm.c),""),
  IF(OR(_xlpm.w="",_xlpm.v=""),"",_xlpm.v*_xlpm.w)
)</f>
        <v/>
      </c>
      <c r="CT157" s="93" t="str" cm="1">
        <f t="array" ref="CT157">_xlfn.LET(
  _xlpm.w, CT$11,
  _xlpm.r, MATCH(1,('3. Enter Indicator Scores'!$B$10:$B$161=$B157)*('3. Enter Indicator Scores'!$C$10:$C$161=$C157),0),
  _xlpm.c, MATCH(CT$8,'3. Enter Indicator Scores'!$D$8:$CZ$8,0),
  _xlpm.v, IFERROR(INDEX('3. Enter Indicator Scores'!$D$10:$CZ$161,_xlpm.r,_xlpm.c),""),
  IF(OR(_xlpm.w="",_xlpm.v=""),"",_xlpm.v*_xlpm.w)
)</f>
        <v/>
      </c>
      <c r="CU157" s="93" t="str" cm="1">
        <f t="array" ref="CU157">_xlfn.LET(
  _xlpm.w, CU$11,
  _xlpm.r, MATCH(1,('3. Enter Indicator Scores'!$B$10:$B$161=$B157)*('3. Enter Indicator Scores'!$C$10:$C$161=$C157),0),
  _xlpm.c, MATCH(CU$8,'3. Enter Indicator Scores'!$D$8:$CZ$8,0),
  _xlpm.v, IFERROR(INDEX('3. Enter Indicator Scores'!$D$10:$CZ$161,_xlpm.r,_xlpm.c),""),
  IF(OR(_xlpm.w="",_xlpm.v=""),"",_xlpm.v*_xlpm.w)
)</f>
        <v/>
      </c>
      <c r="CV157" s="93" t="str" cm="1">
        <f t="array" ref="CV157">_xlfn.LET(
  _xlpm.w, CV$11,
  _xlpm.r, MATCH(1,('3. Enter Indicator Scores'!$B$10:$B$161=$B157)*('3. Enter Indicator Scores'!$C$10:$C$161=$C157),0),
  _xlpm.c, MATCH(CV$8,'3. Enter Indicator Scores'!$D$8:$CZ$8,0),
  _xlpm.v, IFERROR(INDEX('3. Enter Indicator Scores'!$D$10:$CZ$161,_xlpm.r,_xlpm.c),""),
  IF(OR(_xlpm.w="",_xlpm.v=""),"",_xlpm.v*_xlpm.w)
)</f>
        <v/>
      </c>
      <c r="CW157" s="93" t="str" cm="1">
        <f t="array" ref="CW157">_xlfn.LET(
  _xlpm.w, CW$11,
  _xlpm.r, MATCH(1,('3. Enter Indicator Scores'!$B$10:$B$161=$B157)*('3. Enter Indicator Scores'!$C$10:$C$161=$C157),0),
  _xlpm.c, MATCH(CW$8,'3. Enter Indicator Scores'!$D$8:$CZ$8,0),
  _xlpm.v, IFERROR(INDEX('3. Enter Indicator Scores'!$D$10:$CZ$161,_xlpm.r,_xlpm.c),""),
  IF(OR(_xlpm.w="",_xlpm.v=""),"",_xlpm.v*_xlpm.w)
)</f>
        <v/>
      </c>
      <c r="CX157" s="93" t="str" cm="1">
        <f t="array" ref="CX157">_xlfn.LET(
  _xlpm.w, CX$11,
  _xlpm.r, MATCH(1,('3. Enter Indicator Scores'!$B$10:$B$161=$B157)*('3. Enter Indicator Scores'!$C$10:$C$161=$C157),0),
  _xlpm.c, MATCH(CX$8,'3. Enter Indicator Scores'!$D$8:$CZ$8,0),
  _xlpm.v, IFERROR(INDEX('3. Enter Indicator Scores'!$D$10:$CZ$161,_xlpm.r,_xlpm.c),""),
  IF(OR(_xlpm.w="",_xlpm.v=""),"",_xlpm.v*_xlpm.w)
)</f>
        <v/>
      </c>
      <c r="CY157" s="93" t="str" cm="1">
        <f t="array" ref="CY157">_xlfn.LET(
  _xlpm.w, CY$11,
  _xlpm.r, MATCH(1,('3. Enter Indicator Scores'!$B$10:$B$161=$B157)*('3. Enter Indicator Scores'!$C$10:$C$161=$C157),0),
  _xlpm.c, MATCH(CY$8,'3. Enter Indicator Scores'!$D$8:$CZ$8,0),
  _xlpm.v, IFERROR(INDEX('3. Enter Indicator Scores'!$D$10:$CZ$161,_xlpm.r,_xlpm.c),""),
  IF(OR(_xlpm.w="",_xlpm.v=""),"",_xlpm.v*_xlpm.w)
)</f>
        <v/>
      </c>
      <c r="CZ157" s="93" t="str" cm="1">
        <f t="array" ref="CZ157">_xlfn.LET(
  _xlpm.w, CZ$11,
  _xlpm.r, MATCH(1,('3. Enter Indicator Scores'!$B$10:$B$161=$B157)*('3. Enter Indicator Scores'!$C$10:$C$161=$C157),0),
  _xlpm.c, MATCH(CZ$8,'3. Enter Indicator Scores'!$D$8:$CZ$8,0),
  _xlpm.v, IFERROR(INDEX('3. Enter Indicator Scores'!$D$10:$CZ$161,_xlpm.r,_xlpm.c),""),
  IF(OR(_xlpm.w="",_xlpm.v=""),"",_xlpm.v*_xlpm.w)
)</f>
        <v/>
      </c>
    </row>
    <row r="158" spans="4:104" x14ac:dyDescent="0.2">
      <c r="D158" s="93" t="str" cm="1">
        <f t="array" ref="D158">_xlfn.LET(
  _xlpm.w, D$11,
  _xlpm.r, MATCH(1,('3. Enter Indicator Scores'!$B$10:$B$161=$B158)*('3. Enter Indicator Scores'!$C$10:$C$161=$C158),0),
  _xlpm.c, MATCH(D$8,'3. Enter Indicator Scores'!$D$8:$CZ$8,0),
  _xlpm.v, IFERROR(INDEX('3. Enter Indicator Scores'!$D$10:$CZ$161,_xlpm.r,_xlpm.c),""),
  IF(OR(_xlpm.w="",_xlpm.v=""),"",_xlpm.v*_xlpm.w)
)</f>
        <v/>
      </c>
      <c r="E158" s="93" t="str" cm="1">
        <f t="array" ref="E158">_xlfn.LET(
  _xlpm.w, E$11,
  _xlpm.r, MATCH(1,('3. Enter Indicator Scores'!$B$10:$B$161=$B158)*('3. Enter Indicator Scores'!$C$10:$C$161=$C158),0),
  _xlpm.c, MATCH(E$8,'3. Enter Indicator Scores'!$D$8:$CZ$8,0),
  _xlpm.v, IFERROR(INDEX('3. Enter Indicator Scores'!$D$10:$CZ$161,_xlpm.r,_xlpm.c),""),
  IF(OR(_xlpm.w="",_xlpm.v=""),"",_xlpm.v*_xlpm.w)
)</f>
        <v/>
      </c>
      <c r="F158" s="93" t="str" cm="1">
        <f t="array" ref="F158">_xlfn.LET(
  _xlpm.w, F$11,
  _xlpm.r, MATCH(1,('3. Enter Indicator Scores'!$B$10:$B$161=$B158)*('3. Enter Indicator Scores'!$C$10:$C$161=$C158),0),
  _xlpm.c, MATCH(F$8,'3. Enter Indicator Scores'!$D$8:$CZ$8,0),
  _xlpm.v, IFERROR(INDEX('3. Enter Indicator Scores'!$D$10:$CZ$161,_xlpm.r,_xlpm.c),""),
  IF(OR(_xlpm.w="",_xlpm.v=""),"",_xlpm.v*_xlpm.w)
)</f>
        <v/>
      </c>
      <c r="G158" s="93" t="str" cm="1">
        <f t="array" ref="G158">_xlfn.LET(
  _xlpm.w, G$11,
  _xlpm.r, MATCH(1,('3. Enter Indicator Scores'!$B$10:$B$161=$B158)*('3. Enter Indicator Scores'!$C$10:$C$161=$C158),0),
  _xlpm.c, MATCH(G$8,'3. Enter Indicator Scores'!$D$8:$CZ$8,0),
  _xlpm.v, IFERROR(INDEX('3. Enter Indicator Scores'!$D$10:$CZ$161,_xlpm.r,_xlpm.c),""),
  IF(OR(_xlpm.w="",_xlpm.v=""),"",_xlpm.v*_xlpm.w)
)</f>
        <v/>
      </c>
      <c r="H158" s="93" t="str" cm="1">
        <f t="array" ref="H158">_xlfn.LET(
  _xlpm.w, H$11,
  _xlpm.r, MATCH(1,('3. Enter Indicator Scores'!$B$10:$B$161=$B158)*('3. Enter Indicator Scores'!$C$10:$C$161=$C158),0),
  _xlpm.c, MATCH(H$8,'3. Enter Indicator Scores'!$D$8:$CZ$8,0),
  _xlpm.v, IFERROR(INDEX('3. Enter Indicator Scores'!$D$10:$CZ$161,_xlpm.r,_xlpm.c),""),
  IF(OR(_xlpm.w="",_xlpm.v=""),"",_xlpm.v*_xlpm.w)
)</f>
        <v/>
      </c>
      <c r="I158" s="93" t="str" cm="1">
        <f t="array" ref="I158">_xlfn.LET(
  _xlpm.w, I$11,
  _xlpm.r, MATCH(1,('3. Enter Indicator Scores'!$B$10:$B$161=$B158)*('3. Enter Indicator Scores'!$C$10:$C$161=$C158),0),
  _xlpm.c, MATCH(I$8,'3. Enter Indicator Scores'!$D$8:$CZ$8,0),
  _xlpm.v, IFERROR(INDEX('3. Enter Indicator Scores'!$D$10:$CZ$161,_xlpm.r,_xlpm.c),""),
  IF(OR(_xlpm.w="",_xlpm.v=""),"",_xlpm.v*_xlpm.w)
)</f>
        <v/>
      </c>
      <c r="J158" s="93" t="str" cm="1">
        <f t="array" ref="J158">_xlfn.LET(
  _xlpm.w, J$11,
  _xlpm.r, MATCH(1,('3. Enter Indicator Scores'!$B$10:$B$161=$B158)*('3. Enter Indicator Scores'!$C$10:$C$161=$C158),0),
  _xlpm.c, MATCH(J$8,'3. Enter Indicator Scores'!$D$8:$CZ$8,0),
  _xlpm.v, IFERROR(INDEX('3. Enter Indicator Scores'!$D$10:$CZ$161,_xlpm.r,_xlpm.c),""),
  IF(OR(_xlpm.w="",_xlpm.v=""),"",_xlpm.v*_xlpm.w)
)</f>
        <v/>
      </c>
      <c r="K158" s="93" t="str" cm="1">
        <f t="array" ref="K158">_xlfn.LET(
  _xlpm.w, K$11,
  _xlpm.r, MATCH(1,('3. Enter Indicator Scores'!$B$10:$B$161=$B158)*('3. Enter Indicator Scores'!$C$10:$C$161=$C158),0),
  _xlpm.c, MATCH(K$8,'3. Enter Indicator Scores'!$D$8:$CZ$8,0),
  _xlpm.v, IFERROR(INDEX('3. Enter Indicator Scores'!$D$10:$CZ$161,_xlpm.r,_xlpm.c),""),
  IF(OR(_xlpm.w="",_xlpm.v=""),"",_xlpm.v*_xlpm.w)
)</f>
        <v/>
      </c>
      <c r="L158" s="93" t="str" cm="1">
        <f t="array" ref="L158">_xlfn.LET(
  _xlpm.w, L$11,
  _xlpm.r, MATCH(1,('3. Enter Indicator Scores'!$B$10:$B$161=$B158)*('3. Enter Indicator Scores'!$C$10:$C$161=$C158),0),
  _xlpm.c, MATCH(L$8,'3. Enter Indicator Scores'!$D$8:$CZ$8,0),
  _xlpm.v, IFERROR(INDEX('3. Enter Indicator Scores'!$D$10:$CZ$161,_xlpm.r,_xlpm.c),""),
  IF(OR(_xlpm.w="",_xlpm.v=""),"",_xlpm.v*_xlpm.w)
)</f>
        <v/>
      </c>
      <c r="M158" s="93" t="str" cm="1">
        <f t="array" ref="M158">_xlfn.LET(
  _xlpm.w, M$11,
  _xlpm.r, MATCH(1,('3. Enter Indicator Scores'!$B$10:$B$161=$B158)*('3. Enter Indicator Scores'!$C$10:$C$161=$C158),0),
  _xlpm.c, MATCH(M$8,'3. Enter Indicator Scores'!$D$8:$CZ$8,0),
  _xlpm.v, IFERROR(INDEX('3. Enter Indicator Scores'!$D$10:$CZ$161,_xlpm.r,_xlpm.c),""),
  IF(OR(_xlpm.w="",_xlpm.v=""),"",_xlpm.v*_xlpm.w)
)</f>
        <v/>
      </c>
      <c r="N158" s="93" t="str" cm="1">
        <f t="array" ref="N158">_xlfn.LET(
  _xlpm.w, N$11,
  _xlpm.r, MATCH(1,('3. Enter Indicator Scores'!$B$10:$B$161=$B158)*('3. Enter Indicator Scores'!$C$10:$C$161=$C158),0),
  _xlpm.c, MATCH(N$8,'3. Enter Indicator Scores'!$D$8:$CZ$8,0),
  _xlpm.v, IFERROR(INDEX('3. Enter Indicator Scores'!$D$10:$CZ$161,_xlpm.r,_xlpm.c),""),
  IF(OR(_xlpm.w="",_xlpm.v=""),"",_xlpm.v*_xlpm.w)
)</f>
        <v/>
      </c>
      <c r="O158" s="93" t="str" cm="1">
        <f t="array" ref="O158">_xlfn.LET(
  _xlpm.w, O$11,
  _xlpm.r, MATCH(1,('3. Enter Indicator Scores'!$B$10:$B$161=$B158)*('3. Enter Indicator Scores'!$C$10:$C$161=$C158),0),
  _xlpm.c, MATCH(O$8,'3. Enter Indicator Scores'!$D$8:$CZ$8,0),
  _xlpm.v, IFERROR(INDEX('3. Enter Indicator Scores'!$D$10:$CZ$161,_xlpm.r,_xlpm.c),""),
  IF(OR(_xlpm.w="",_xlpm.v=""),"",_xlpm.v*_xlpm.w)
)</f>
        <v/>
      </c>
      <c r="P158" s="93" t="str" cm="1">
        <f t="array" ref="P158">_xlfn.LET(
  _xlpm.w, P$11,
  _xlpm.r, MATCH(1,('3. Enter Indicator Scores'!$B$10:$B$161=$B158)*('3. Enter Indicator Scores'!$C$10:$C$161=$C158),0),
  _xlpm.c, MATCH(P$8,'3. Enter Indicator Scores'!$D$8:$CZ$8,0),
  _xlpm.v, IFERROR(INDEX('3. Enter Indicator Scores'!$D$10:$CZ$161,_xlpm.r,_xlpm.c),""),
  IF(OR(_xlpm.w="",_xlpm.v=""),"",_xlpm.v*_xlpm.w)
)</f>
        <v/>
      </c>
      <c r="Q158" s="93" t="str" cm="1">
        <f t="array" ref="Q158">_xlfn.LET(
  _xlpm.w, Q$11,
  _xlpm.r, MATCH(1,('3. Enter Indicator Scores'!$B$10:$B$161=$B158)*('3. Enter Indicator Scores'!$C$10:$C$161=$C158),0),
  _xlpm.c, MATCH(Q$8,'3. Enter Indicator Scores'!$D$8:$CZ$8,0),
  _xlpm.v, IFERROR(INDEX('3. Enter Indicator Scores'!$D$10:$CZ$161,_xlpm.r,_xlpm.c),""),
  IF(OR(_xlpm.w="",_xlpm.v=""),"",_xlpm.v*_xlpm.w)
)</f>
        <v/>
      </c>
      <c r="R158" s="93" t="str" cm="1">
        <f t="array" ref="R158">_xlfn.LET(
  _xlpm.w, R$11,
  _xlpm.r, MATCH(1,('3. Enter Indicator Scores'!$B$10:$B$161=$B158)*('3. Enter Indicator Scores'!$C$10:$C$161=$C158),0),
  _xlpm.c, MATCH(R$8,'3. Enter Indicator Scores'!$D$8:$CZ$8,0),
  _xlpm.v, IFERROR(INDEX('3. Enter Indicator Scores'!$D$10:$CZ$161,_xlpm.r,_xlpm.c),""),
  IF(OR(_xlpm.w="",_xlpm.v=""),"",_xlpm.v*_xlpm.w)
)</f>
        <v/>
      </c>
      <c r="S158" s="93" t="str" cm="1">
        <f t="array" ref="S158">_xlfn.LET(
  _xlpm.w, S$11,
  _xlpm.r, MATCH(1,('3. Enter Indicator Scores'!$B$10:$B$161=$B158)*('3. Enter Indicator Scores'!$C$10:$C$161=$C158),0),
  _xlpm.c, MATCH(S$8,'3. Enter Indicator Scores'!$D$8:$CZ$8,0),
  _xlpm.v, IFERROR(INDEX('3. Enter Indicator Scores'!$D$10:$CZ$161,_xlpm.r,_xlpm.c),""),
  IF(OR(_xlpm.w="",_xlpm.v=""),"",_xlpm.v*_xlpm.w)
)</f>
        <v/>
      </c>
      <c r="T158" s="93" t="str" cm="1">
        <f t="array" ref="T158">_xlfn.LET(
  _xlpm.w, T$11,
  _xlpm.r, MATCH(1,('3. Enter Indicator Scores'!$B$10:$B$161=$B158)*('3. Enter Indicator Scores'!$C$10:$C$161=$C158),0),
  _xlpm.c, MATCH(T$8,'3. Enter Indicator Scores'!$D$8:$CZ$8,0),
  _xlpm.v, IFERROR(INDEX('3. Enter Indicator Scores'!$D$10:$CZ$161,_xlpm.r,_xlpm.c),""),
  IF(OR(_xlpm.w="",_xlpm.v=""),"",_xlpm.v*_xlpm.w)
)</f>
        <v/>
      </c>
      <c r="U158" s="93" t="str" cm="1">
        <f t="array" ref="U158">_xlfn.LET(
  _xlpm.w, U$11,
  _xlpm.r, MATCH(1,('3. Enter Indicator Scores'!$B$10:$B$161=$B158)*('3. Enter Indicator Scores'!$C$10:$C$161=$C158),0),
  _xlpm.c, MATCH(U$8,'3. Enter Indicator Scores'!$D$8:$CZ$8,0),
  _xlpm.v, IFERROR(INDEX('3. Enter Indicator Scores'!$D$10:$CZ$161,_xlpm.r,_xlpm.c),""),
  IF(OR(_xlpm.w="",_xlpm.v=""),"",_xlpm.v*_xlpm.w)
)</f>
        <v/>
      </c>
      <c r="V158" s="93" t="str" cm="1">
        <f t="array" ref="V158">_xlfn.LET(
  _xlpm.w, V$11,
  _xlpm.r, MATCH(1,('3. Enter Indicator Scores'!$B$10:$B$161=$B158)*('3. Enter Indicator Scores'!$C$10:$C$161=$C158),0),
  _xlpm.c, MATCH(V$8,'3. Enter Indicator Scores'!$D$8:$CZ$8,0),
  _xlpm.v, IFERROR(INDEX('3. Enter Indicator Scores'!$D$10:$CZ$161,_xlpm.r,_xlpm.c),""),
  IF(OR(_xlpm.w="",_xlpm.v=""),"",_xlpm.v*_xlpm.w)
)</f>
        <v/>
      </c>
      <c r="W158" s="93" t="str" cm="1">
        <f t="array" ref="W158">_xlfn.LET(
  _xlpm.w, W$11,
  _xlpm.r, MATCH(1,('3. Enter Indicator Scores'!$B$10:$B$161=$B158)*('3. Enter Indicator Scores'!$C$10:$C$161=$C158),0),
  _xlpm.c, MATCH(W$8,'3. Enter Indicator Scores'!$D$8:$CZ$8,0),
  _xlpm.v, IFERROR(INDEX('3. Enter Indicator Scores'!$D$10:$CZ$161,_xlpm.r,_xlpm.c),""),
  IF(OR(_xlpm.w="",_xlpm.v=""),"",_xlpm.v*_xlpm.w)
)</f>
        <v/>
      </c>
      <c r="X158" s="93" t="str" cm="1">
        <f t="array" ref="X158">_xlfn.LET(
  _xlpm.w, X$11,
  _xlpm.r, MATCH(1,('3. Enter Indicator Scores'!$B$10:$B$161=$B158)*('3. Enter Indicator Scores'!$C$10:$C$161=$C158),0),
  _xlpm.c, MATCH(X$8,'3. Enter Indicator Scores'!$D$8:$CZ$8,0),
  _xlpm.v, IFERROR(INDEX('3. Enter Indicator Scores'!$D$10:$CZ$161,_xlpm.r,_xlpm.c),""),
  IF(OR(_xlpm.w="",_xlpm.v=""),"",_xlpm.v*_xlpm.w)
)</f>
        <v/>
      </c>
      <c r="Y158" s="93" t="str" cm="1">
        <f t="array" ref="Y158">_xlfn.LET(
  _xlpm.w, Y$11,
  _xlpm.r, MATCH(1,('3. Enter Indicator Scores'!$B$10:$B$161=$B158)*('3. Enter Indicator Scores'!$C$10:$C$161=$C158),0),
  _xlpm.c, MATCH(Y$8,'3. Enter Indicator Scores'!$D$8:$CZ$8,0),
  _xlpm.v, IFERROR(INDEX('3. Enter Indicator Scores'!$D$10:$CZ$161,_xlpm.r,_xlpm.c),""),
  IF(OR(_xlpm.w="",_xlpm.v=""),"",_xlpm.v*_xlpm.w)
)</f>
        <v/>
      </c>
      <c r="Z158" s="93" t="str" cm="1">
        <f t="array" ref="Z158">_xlfn.LET(
  _xlpm.w, Z$11,
  _xlpm.r, MATCH(1,('3. Enter Indicator Scores'!$B$10:$B$161=$B158)*('3. Enter Indicator Scores'!$C$10:$C$161=$C158),0),
  _xlpm.c, MATCH(Z$8,'3. Enter Indicator Scores'!$D$8:$CZ$8,0),
  _xlpm.v, IFERROR(INDEX('3. Enter Indicator Scores'!$D$10:$CZ$161,_xlpm.r,_xlpm.c),""),
  IF(OR(_xlpm.w="",_xlpm.v=""),"",_xlpm.v*_xlpm.w)
)</f>
        <v/>
      </c>
      <c r="AA158" s="93" t="str" cm="1">
        <f t="array" ref="AA158">_xlfn.LET(
  _xlpm.w, AA$11,
  _xlpm.r, MATCH(1,('3. Enter Indicator Scores'!$B$10:$B$161=$B158)*('3. Enter Indicator Scores'!$C$10:$C$161=$C158),0),
  _xlpm.c, MATCH(AA$8,'3. Enter Indicator Scores'!$D$8:$CZ$8,0),
  _xlpm.v, IFERROR(INDEX('3. Enter Indicator Scores'!$D$10:$CZ$161,_xlpm.r,_xlpm.c),""),
  IF(OR(_xlpm.w="",_xlpm.v=""),"",_xlpm.v*_xlpm.w)
)</f>
        <v/>
      </c>
      <c r="AB158" s="93" t="str" cm="1">
        <f t="array" ref="AB158">_xlfn.LET(
  _xlpm.w, AB$11,
  _xlpm.r, MATCH(1,('3. Enter Indicator Scores'!$B$10:$B$161=$B158)*('3. Enter Indicator Scores'!$C$10:$C$161=$C158),0),
  _xlpm.c, MATCH(AB$8,'3. Enter Indicator Scores'!$D$8:$CZ$8,0),
  _xlpm.v, IFERROR(INDEX('3. Enter Indicator Scores'!$D$10:$CZ$161,_xlpm.r,_xlpm.c),""),
  IF(OR(_xlpm.w="",_xlpm.v=""),"",_xlpm.v*_xlpm.w)
)</f>
        <v/>
      </c>
      <c r="AC158" s="93" t="str" cm="1">
        <f t="array" ref="AC158">_xlfn.LET(
  _xlpm.w, AC$11,
  _xlpm.r, MATCH(1,('3. Enter Indicator Scores'!$B$10:$B$161=$B158)*('3. Enter Indicator Scores'!$C$10:$C$161=$C158),0),
  _xlpm.c, MATCH(AC$8,'3. Enter Indicator Scores'!$D$8:$CZ$8,0),
  _xlpm.v, IFERROR(INDEX('3. Enter Indicator Scores'!$D$10:$CZ$161,_xlpm.r,_xlpm.c),""),
  IF(OR(_xlpm.w="",_xlpm.v=""),"",_xlpm.v*_xlpm.w)
)</f>
        <v/>
      </c>
      <c r="AD158" s="93" t="str" cm="1">
        <f t="array" ref="AD158">_xlfn.LET(
  _xlpm.w, AD$11,
  _xlpm.r, MATCH(1,('3. Enter Indicator Scores'!$B$10:$B$161=$B158)*('3. Enter Indicator Scores'!$C$10:$C$161=$C158),0),
  _xlpm.c, MATCH(AD$8,'3. Enter Indicator Scores'!$D$8:$CZ$8,0),
  _xlpm.v, IFERROR(INDEX('3. Enter Indicator Scores'!$D$10:$CZ$161,_xlpm.r,_xlpm.c),""),
  IF(OR(_xlpm.w="",_xlpm.v=""),"",_xlpm.v*_xlpm.w)
)</f>
        <v/>
      </c>
      <c r="AE158" s="93" t="str" cm="1">
        <f t="array" ref="AE158">_xlfn.LET(
  _xlpm.w, AE$11,
  _xlpm.r, MATCH(1,('3. Enter Indicator Scores'!$B$10:$B$161=$B158)*('3. Enter Indicator Scores'!$C$10:$C$161=$C158),0),
  _xlpm.c, MATCH(AE$8,'3. Enter Indicator Scores'!$D$8:$CZ$8,0),
  _xlpm.v, IFERROR(INDEX('3. Enter Indicator Scores'!$D$10:$CZ$161,_xlpm.r,_xlpm.c),""),
  IF(OR(_xlpm.w="",_xlpm.v=""),"",_xlpm.v*_xlpm.w)
)</f>
        <v/>
      </c>
      <c r="AF158" s="93" t="str" cm="1">
        <f t="array" ref="AF158">_xlfn.LET(
  _xlpm.w, AF$11,
  _xlpm.r, MATCH(1,('3. Enter Indicator Scores'!$B$10:$B$161=$B158)*('3. Enter Indicator Scores'!$C$10:$C$161=$C158),0),
  _xlpm.c, MATCH(AF$8,'3. Enter Indicator Scores'!$D$8:$CZ$8,0),
  _xlpm.v, IFERROR(INDEX('3. Enter Indicator Scores'!$D$10:$CZ$161,_xlpm.r,_xlpm.c),""),
  IF(OR(_xlpm.w="",_xlpm.v=""),"",_xlpm.v*_xlpm.w)
)</f>
        <v/>
      </c>
      <c r="AG158" s="93" t="str" cm="1">
        <f t="array" ref="AG158">_xlfn.LET(
  _xlpm.w, AG$11,
  _xlpm.r, MATCH(1,('3. Enter Indicator Scores'!$B$10:$B$161=$B158)*('3. Enter Indicator Scores'!$C$10:$C$161=$C158),0),
  _xlpm.c, MATCH(AG$8,'3. Enter Indicator Scores'!$D$8:$CZ$8,0),
  _xlpm.v, IFERROR(INDEX('3. Enter Indicator Scores'!$D$10:$CZ$161,_xlpm.r,_xlpm.c),""),
  IF(OR(_xlpm.w="",_xlpm.v=""),"",_xlpm.v*_xlpm.w)
)</f>
        <v/>
      </c>
      <c r="AH158" s="93" t="str" cm="1">
        <f t="array" ref="AH158">_xlfn.LET(
  _xlpm.w, AH$11,
  _xlpm.r, MATCH(1,('3. Enter Indicator Scores'!$B$10:$B$161=$B158)*('3. Enter Indicator Scores'!$C$10:$C$161=$C158),0),
  _xlpm.c, MATCH(AH$8,'3. Enter Indicator Scores'!$D$8:$CZ$8,0),
  _xlpm.v, IFERROR(INDEX('3. Enter Indicator Scores'!$D$10:$CZ$161,_xlpm.r,_xlpm.c),""),
  IF(OR(_xlpm.w="",_xlpm.v=""),"",_xlpm.v*_xlpm.w)
)</f>
        <v/>
      </c>
      <c r="AI158" s="93" t="str" cm="1">
        <f t="array" ref="AI158">_xlfn.LET(
  _xlpm.w, AI$11,
  _xlpm.r, MATCH(1,('3. Enter Indicator Scores'!$B$10:$B$161=$B158)*('3. Enter Indicator Scores'!$C$10:$C$161=$C158),0),
  _xlpm.c, MATCH(AI$8,'3. Enter Indicator Scores'!$D$8:$CZ$8,0),
  _xlpm.v, IFERROR(INDEX('3. Enter Indicator Scores'!$D$10:$CZ$161,_xlpm.r,_xlpm.c),""),
  IF(OR(_xlpm.w="",_xlpm.v=""),"",_xlpm.v*_xlpm.w)
)</f>
        <v/>
      </c>
      <c r="AJ158" s="93" t="str" cm="1">
        <f t="array" ref="AJ158">_xlfn.LET(
  _xlpm.w, AJ$11,
  _xlpm.r, MATCH(1,('3. Enter Indicator Scores'!$B$10:$B$161=$B158)*('3. Enter Indicator Scores'!$C$10:$C$161=$C158),0),
  _xlpm.c, MATCH(AJ$8,'3. Enter Indicator Scores'!$D$8:$CZ$8,0),
  _xlpm.v, IFERROR(INDEX('3. Enter Indicator Scores'!$D$10:$CZ$161,_xlpm.r,_xlpm.c),""),
  IF(OR(_xlpm.w="",_xlpm.v=""),"",_xlpm.v*_xlpm.w)
)</f>
        <v/>
      </c>
      <c r="AK158" s="93" t="str" cm="1">
        <f t="array" ref="AK158">_xlfn.LET(
  _xlpm.w, AK$11,
  _xlpm.r, MATCH(1,('3. Enter Indicator Scores'!$B$10:$B$161=$B158)*('3. Enter Indicator Scores'!$C$10:$C$161=$C158),0),
  _xlpm.c, MATCH(AK$8,'3. Enter Indicator Scores'!$D$8:$CZ$8,0),
  _xlpm.v, IFERROR(INDEX('3. Enter Indicator Scores'!$D$10:$CZ$161,_xlpm.r,_xlpm.c),""),
  IF(OR(_xlpm.w="",_xlpm.v=""),"",_xlpm.v*_xlpm.w)
)</f>
        <v/>
      </c>
      <c r="AL158" s="93" t="str" cm="1">
        <f t="array" ref="AL158">_xlfn.LET(
  _xlpm.w, AL$11,
  _xlpm.r, MATCH(1,('3. Enter Indicator Scores'!$B$10:$B$161=$B158)*('3. Enter Indicator Scores'!$C$10:$C$161=$C158),0),
  _xlpm.c, MATCH(AL$8,'3. Enter Indicator Scores'!$D$8:$CZ$8,0),
  _xlpm.v, IFERROR(INDEX('3. Enter Indicator Scores'!$D$10:$CZ$161,_xlpm.r,_xlpm.c),""),
  IF(OR(_xlpm.w="",_xlpm.v=""),"",_xlpm.v*_xlpm.w)
)</f>
        <v/>
      </c>
      <c r="AM158" s="93" t="str" cm="1">
        <f t="array" ref="AM158">_xlfn.LET(
  _xlpm.w, AM$11,
  _xlpm.r, MATCH(1,('3. Enter Indicator Scores'!$B$10:$B$161=$B158)*('3. Enter Indicator Scores'!$C$10:$C$161=$C158),0),
  _xlpm.c, MATCH(AM$8,'3. Enter Indicator Scores'!$D$8:$CZ$8,0),
  _xlpm.v, IFERROR(INDEX('3. Enter Indicator Scores'!$D$10:$CZ$161,_xlpm.r,_xlpm.c),""),
  IF(OR(_xlpm.w="",_xlpm.v=""),"",_xlpm.v*_xlpm.w)
)</f>
        <v/>
      </c>
      <c r="AN158" s="93" t="str" cm="1">
        <f t="array" ref="AN158">_xlfn.LET(
  _xlpm.w, AN$11,
  _xlpm.r, MATCH(1,('3. Enter Indicator Scores'!$B$10:$B$161=$B158)*('3. Enter Indicator Scores'!$C$10:$C$161=$C158),0),
  _xlpm.c, MATCH(AN$8,'3. Enter Indicator Scores'!$D$8:$CZ$8,0),
  _xlpm.v, IFERROR(INDEX('3. Enter Indicator Scores'!$D$10:$CZ$161,_xlpm.r,_xlpm.c),""),
  IF(OR(_xlpm.w="",_xlpm.v=""),"",_xlpm.v*_xlpm.w)
)</f>
        <v/>
      </c>
      <c r="AO158" s="93" t="str" cm="1">
        <f t="array" ref="AO158">_xlfn.LET(
  _xlpm.w, AO$11,
  _xlpm.r, MATCH(1,('3. Enter Indicator Scores'!$B$10:$B$161=$B158)*('3. Enter Indicator Scores'!$C$10:$C$161=$C158),0),
  _xlpm.c, MATCH(AO$8,'3. Enter Indicator Scores'!$D$8:$CZ$8,0),
  _xlpm.v, IFERROR(INDEX('3. Enter Indicator Scores'!$D$10:$CZ$161,_xlpm.r,_xlpm.c),""),
  IF(OR(_xlpm.w="",_xlpm.v=""),"",_xlpm.v*_xlpm.w)
)</f>
        <v/>
      </c>
      <c r="AP158" s="93" t="str" cm="1">
        <f t="array" ref="AP158">_xlfn.LET(
  _xlpm.w, AP$11,
  _xlpm.r, MATCH(1,('3. Enter Indicator Scores'!$B$10:$B$161=$B158)*('3. Enter Indicator Scores'!$C$10:$C$161=$C158),0),
  _xlpm.c, MATCH(AP$8,'3. Enter Indicator Scores'!$D$8:$CZ$8,0),
  _xlpm.v, IFERROR(INDEX('3. Enter Indicator Scores'!$D$10:$CZ$161,_xlpm.r,_xlpm.c),""),
  IF(OR(_xlpm.w="",_xlpm.v=""),"",_xlpm.v*_xlpm.w)
)</f>
        <v/>
      </c>
      <c r="AQ158" s="93" t="str" cm="1">
        <f t="array" ref="AQ158">_xlfn.LET(
  _xlpm.w, AQ$11,
  _xlpm.r, MATCH(1,('3. Enter Indicator Scores'!$B$10:$B$161=$B158)*('3. Enter Indicator Scores'!$C$10:$C$161=$C158),0),
  _xlpm.c, MATCH(AQ$8,'3. Enter Indicator Scores'!$D$8:$CZ$8,0),
  _xlpm.v, IFERROR(INDEX('3. Enter Indicator Scores'!$D$10:$CZ$161,_xlpm.r,_xlpm.c),""),
  IF(OR(_xlpm.w="",_xlpm.v=""),"",_xlpm.v*_xlpm.w)
)</f>
        <v/>
      </c>
      <c r="AR158" s="93" t="str" cm="1">
        <f t="array" ref="AR158">_xlfn.LET(
  _xlpm.w, AR$11,
  _xlpm.r, MATCH(1,('3. Enter Indicator Scores'!$B$10:$B$161=$B158)*('3. Enter Indicator Scores'!$C$10:$C$161=$C158),0),
  _xlpm.c, MATCH(AR$8,'3. Enter Indicator Scores'!$D$8:$CZ$8,0),
  _xlpm.v, IFERROR(INDEX('3. Enter Indicator Scores'!$D$10:$CZ$161,_xlpm.r,_xlpm.c),""),
  IF(OR(_xlpm.w="",_xlpm.v=""),"",_xlpm.v*_xlpm.w)
)</f>
        <v/>
      </c>
      <c r="AS158" s="93" t="str" cm="1">
        <f t="array" ref="AS158">_xlfn.LET(
  _xlpm.w, AS$11,
  _xlpm.r, MATCH(1,('3. Enter Indicator Scores'!$B$10:$B$161=$B158)*('3. Enter Indicator Scores'!$C$10:$C$161=$C158),0),
  _xlpm.c, MATCH(AS$8,'3. Enter Indicator Scores'!$D$8:$CZ$8,0),
  _xlpm.v, IFERROR(INDEX('3. Enter Indicator Scores'!$D$10:$CZ$161,_xlpm.r,_xlpm.c),""),
  IF(OR(_xlpm.w="",_xlpm.v=""),"",_xlpm.v*_xlpm.w)
)</f>
        <v/>
      </c>
      <c r="AT158" s="93" t="str" cm="1">
        <f t="array" ref="AT158">_xlfn.LET(
  _xlpm.w, AT$11,
  _xlpm.r, MATCH(1,('3. Enter Indicator Scores'!$B$10:$B$161=$B158)*('3. Enter Indicator Scores'!$C$10:$C$161=$C158),0),
  _xlpm.c, MATCH(AT$8,'3. Enter Indicator Scores'!$D$8:$CZ$8,0),
  _xlpm.v, IFERROR(INDEX('3. Enter Indicator Scores'!$D$10:$CZ$161,_xlpm.r,_xlpm.c),""),
  IF(OR(_xlpm.w="",_xlpm.v=""),"",_xlpm.v*_xlpm.w)
)</f>
        <v/>
      </c>
      <c r="AU158" s="93" t="str" cm="1">
        <f t="array" ref="AU158">_xlfn.LET(
  _xlpm.w, AU$11,
  _xlpm.r, MATCH(1,('3. Enter Indicator Scores'!$B$10:$B$161=$B158)*('3. Enter Indicator Scores'!$C$10:$C$161=$C158),0),
  _xlpm.c, MATCH(AU$8,'3. Enter Indicator Scores'!$D$8:$CZ$8,0),
  _xlpm.v, IFERROR(INDEX('3. Enter Indicator Scores'!$D$10:$CZ$161,_xlpm.r,_xlpm.c),""),
  IF(OR(_xlpm.w="",_xlpm.v=""),"",_xlpm.v*_xlpm.w)
)</f>
        <v/>
      </c>
      <c r="AV158" s="93" t="str" cm="1">
        <f t="array" ref="AV158">_xlfn.LET(
  _xlpm.w, AV$11,
  _xlpm.r, MATCH(1,('3. Enter Indicator Scores'!$B$10:$B$161=$B158)*('3. Enter Indicator Scores'!$C$10:$C$161=$C158),0),
  _xlpm.c, MATCH(AV$8,'3. Enter Indicator Scores'!$D$8:$CZ$8,0),
  _xlpm.v, IFERROR(INDEX('3. Enter Indicator Scores'!$D$10:$CZ$161,_xlpm.r,_xlpm.c),""),
  IF(OR(_xlpm.w="",_xlpm.v=""),"",_xlpm.v*_xlpm.w)
)</f>
        <v/>
      </c>
      <c r="AW158" s="93" t="str" cm="1">
        <f t="array" ref="AW158">_xlfn.LET(
  _xlpm.w, AW$11,
  _xlpm.r, MATCH(1,('3. Enter Indicator Scores'!$B$10:$B$161=$B158)*('3. Enter Indicator Scores'!$C$10:$C$161=$C158),0),
  _xlpm.c, MATCH(AW$8,'3. Enter Indicator Scores'!$D$8:$CZ$8,0),
  _xlpm.v, IFERROR(INDEX('3. Enter Indicator Scores'!$D$10:$CZ$161,_xlpm.r,_xlpm.c),""),
  IF(OR(_xlpm.w="",_xlpm.v=""),"",_xlpm.v*_xlpm.w)
)</f>
        <v/>
      </c>
      <c r="AX158" s="93" t="str" cm="1">
        <f t="array" ref="AX158">_xlfn.LET(
  _xlpm.w, AX$11,
  _xlpm.r, MATCH(1,('3. Enter Indicator Scores'!$B$10:$B$161=$B158)*('3. Enter Indicator Scores'!$C$10:$C$161=$C158),0),
  _xlpm.c, MATCH(AX$8,'3. Enter Indicator Scores'!$D$8:$CZ$8,0),
  _xlpm.v, IFERROR(INDEX('3. Enter Indicator Scores'!$D$10:$CZ$161,_xlpm.r,_xlpm.c),""),
  IF(OR(_xlpm.w="",_xlpm.v=""),"",_xlpm.v*_xlpm.w)
)</f>
        <v/>
      </c>
      <c r="AY158" s="93" t="str" cm="1">
        <f t="array" ref="AY158">_xlfn.LET(
  _xlpm.w, AY$11,
  _xlpm.r, MATCH(1,('3. Enter Indicator Scores'!$B$10:$B$161=$B158)*('3. Enter Indicator Scores'!$C$10:$C$161=$C158),0),
  _xlpm.c, MATCH(AY$8,'3. Enter Indicator Scores'!$D$8:$CZ$8,0),
  _xlpm.v, IFERROR(INDEX('3. Enter Indicator Scores'!$D$10:$CZ$161,_xlpm.r,_xlpm.c),""),
  IF(OR(_xlpm.w="",_xlpm.v=""),"",_xlpm.v*_xlpm.w)
)</f>
        <v/>
      </c>
      <c r="AZ158" s="93" t="str" cm="1">
        <f t="array" ref="AZ158">_xlfn.LET(
  _xlpm.w, AZ$11,
  _xlpm.r, MATCH(1,('3. Enter Indicator Scores'!$B$10:$B$161=$B158)*('3. Enter Indicator Scores'!$C$10:$C$161=$C158),0),
  _xlpm.c, MATCH(AZ$8,'3. Enter Indicator Scores'!$D$8:$CZ$8,0),
  _xlpm.v, IFERROR(INDEX('3. Enter Indicator Scores'!$D$10:$CZ$161,_xlpm.r,_xlpm.c),""),
  IF(OR(_xlpm.w="",_xlpm.v=""),"",_xlpm.v*_xlpm.w)
)</f>
        <v/>
      </c>
      <c r="BA158" s="93" t="str" cm="1">
        <f t="array" ref="BA158">_xlfn.LET(
  _xlpm.w, BA$11,
  _xlpm.r, MATCH(1,('3. Enter Indicator Scores'!$B$10:$B$161=$B158)*('3. Enter Indicator Scores'!$C$10:$C$161=$C158),0),
  _xlpm.c, MATCH(BA$8,'3. Enter Indicator Scores'!$D$8:$CZ$8,0),
  _xlpm.v, IFERROR(INDEX('3. Enter Indicator Scores'!$D$10:$CZ$161,_xlpm.r,_xlpm.c),""),
  IF(OR(_xlpm.w="",_xlpm.v=""),"",_xlpm.v*_xlpm.w)
)</f>
        <v/>
      </c>
      <c r="BB158" s="93" t="str" cm="1">
        <f t="array" ref="BB158">_xlfn.LET(
  _xlpm.w, BB$11,
  _xlpm.r, MATCH(1,('3. Enter Indicator Scores'!$B$10:$B$161=$B158)*('3. Enter Indicator Scores'!$C$10:$C$161=$C158),0),
  _xlpm.c, MATCH(BB$8,'3. Enter Indicator Scores'!$D$8:$CZ$8,0),
  _xlpm.v, IFERROR(INDEX('3. Enter Indicator Scores'!$D$10:$CZ$161,_xlpm.r,_xlpm.c),""),
  IF(OR(_xlpm.w="",_xlpm.v=""),"",_xlpm.v*_xlpm.w)
)</f>
        <v/>
      </c>
      <c r="BC158" s="93" t="str" cm="1">
        <f t="array" ref="BC158">_xlfn.LET(
  _xlpm.w, BC$11,
  _xlpm.r, MATCH(1,('3. Enter Indicator Scores'!$B$10:$B$161=$B158)*('3. Enter Indicator Scores'!$C$10:$C$161=$C158),0),
  _xlpm.c, MATCH(BC$8,'3. Enter Indicator Scores'!$D$8:$CZ$8,0),
  _xlpm.v, IFERROR(INDEX('3. Enter Indicator Scores'!$D$10:$CZ$161,_xlpm.r,_xlpm.c),""),
  IF(OR(_xlpm.w="",_xlpm.v=""),"",_xlpm.v*_xlpm.w)
)</f>
        <v/>
      </c>
      <c r="BD158" s="93" t="str" cm="1">
        <f t="array" ref="BD158">_xlfn.LET(
  _xlpm.w, BD$11,
  _xlpm.r, MATCH(1,('3. Enter Indicator Scores'!$B$10:$B$161=$B158)*('3. Enter Indicator Scores'!$C$10:$C$161=$C158),0),
  _xlpm.c, MATCH(BD$8,'3. Enter Indicator Scores'!$D$8:$CZ$8,0),
  _xlpm.v, IFERROR(INDEX('3. Enter Indicator Scores'!$D$10:$CZ$161,_xlpm.r,_xlpm.c),""),
  IF(OR(_xlpm.w="",_xlpm.v=""),"",_xlpm.v*_xlpm.w)
)</f>
        <v/>
      </c>
      <c r="BE158" s="93" t="str" cm="1">
        <f t="array" ref="BE158">_xlfn.LET(
  _xlpm.w, BE$11,
  _xlpm.r, MATCH(1,('3. Enter Indicator Scores'!$B$10:$B$161=$B158)*('3. Enter Indicator Scores'!$C$10:$C$161=$C158),0),
  _xlpm.c, MATCH(BE$8,'3. Enter Indicator Scores'!$D$8:$CZ$8,0),
  _xlpm.v, IFERROR(INDEX('3. Enter Indicator Scores'!$D$10:$CZ$161,_xlpm.r,_xlpm.c),""),
  IF(OR(_xlpm.w="",_xlpm.v=""),"",_xlpm.v*_xlpm.w)
)</f>
        <v/>
      </c>
      <c r="BF158" s="93" t="str" cm="1">
        <f t="array" ref="BF158">_xlfn.LET(
  _xlpm.w, BF$11,
  _xlpm.r, MATCH(1,('3. Enter Indicator Scores'!$B$10:$B$161=$B158)*('3. Enter Indicator Scores'!$C$10:$C$161=$C158),0),
  _xlpm.c, MATCH(BF$8,'3. Enter Indicator Scores'!$D$8:$CZ$8,0),
  _xlpm.v, IFERROR(INDEX('3. Enter Indicator Scores'!$D$10:$CZ$161,_xlpm.r,_xlpm.c),""),
  IF(OR(_xlpm.w="",_xlpm.v=""),"",_xlpm.v*_xlpm.w)
)</f>
        <v/>
      </c>
      <c r="BG158" s="93" t="str" cm="1">
        <f t="array" ref="BG158">_xlfn.LET(
  _xlpm.w, BG$11,
  _xlpm.r, MATCH(1,('3. Enter Indicator Scores'!$B$10:$B$161=$B158)*('3. Enter Indicator Scores'!$C$10:$C$161=$C158),0),
  _xlpm.c, MATCH(BG$8,'3. Enter Indicator Scores'!$D$8:$CZ$8,0),
  _xlpm.v, IFERROR(INDEX('3. Enter Indicator Scores'!$D$10:$CZ$161,_xlpm.r,_xlpm.c),""),
  IF(OR(_xlpm.w="",_xlpm.v=""),"",_xlpm.v*_xlpm.w)
)</f>
        <v/>
      </c>
      <c r="BH158" s="93" t="str" cm="1">
        <f t="array" ref="BH158">_xlfn.LET(
  _xlpm.w, BH$11,
  _xlpm.r, MATCH(1,('3. Enter Indicator Scores'!$B$10:$B$161=$B158)*('3. Enter Indicator Scores'!$C$10:$C$161=$C158),0),
  _xlpm.c, MATCH(BH$8,'3. Enter Indicator Scores'!$D$8:$CZ$8,0),
  _xlpm.v, IFERROR(INDEX('3. Enter Indicator Scores'!$D$10:$CZ$161,_xlpm.r,_xlpm.c),""),
  IF(OR(_xlpm.w="",_xlpm.v=""),"",_xlpm.v*_xlpm.w)
)</f>
        <v/>
      </c>
      <c r="BI158" s="93" t="str" cm="1">
        <f t="array" ref="BI158">_xlfn.LET(
  _xlpm.w, BI$11,
  _xlpm.r, MATCH(1,('3. Enter Indicator Scores'!$B$10:$B$161=$B158)*('3. Enter Indicator Scores'!$C$10:$C$161=$C158),0),
  _xlpm.c, MATCH(BI$8,'3. Enter Indicator Scores'!$D$8:$CZ$8,0),
  _xlpm.v, IFERROR(INDEX('3. Enter Indicator Scores'!$D$10:$CZ$161,_xlpm.r,_xlpm.c),""),
  IF(OR(_xlpm.w="",_xlpm.v=""),"",_xlpm.v*_xlpm.w)
)</f>
        <v/>
      </c>
      <c r="BJ158" s="93" t="str" cm="1">
        <f t="array" ref="BJ158">_xlfn.LET(
  _xlpm.w, BJ$11,
  _xlpm.r, MATCH(1,('3. Enter Indicator Scores'!$B$10:$B$161=$B158)*('3. Enter Indicator Scores'!$C$10:$C$161=$C158),0),
  _xlpm.c, MATCH(BJ$8,'3. Enter Indicator Scores'!$D$8:$CZ$8,0),
  _xlpm.v, IFERROR(INDEX('3. Enter Indicator Scores'!$D$10:$CZ$161,_xlpm.r,_xlpm.c),""),
  IF(OR(_xlpm.w="",_xlpm.v=""),"",_xlpm.v*_xlpm.w)
)</f>
        <v/>
      </c>
      <c r="BK158" s="93" t="str" cm="1">
        <f t="array" ref="BK158">_xlfn.LET(
  _xlpm.w, BK$11,
  _xlpm.r, MATCH(1,('3. Enter Indicator Scores'!$B$10:$B$161=$B158)*('3. Enter Indicator Scores'!$C$10:$C$161=$C158),0),
  _xlpm.c, MATCH(BK$8,'3. Enter Indicator Scores'!$D$8:$CZ$8,0),
  _xlpm.v, IFERROR(INDEX('3. Enter Indicator Scores'!$D$10:$CZ$161,_xlpm.r,_xlpm.c),""),
  IF(OR(_xlpm.w="",_xlpm.v=""),"",_xlpm.v*_xlpm.w)
)</f>
        <v/>
      </c>
      <c r="BL158" s="93" t="str" cm="1">
        <f t="array" ref="BL158">_xlfn.LET(
  _xlpm.w, BL$11,
  _xlpm.r, MATCH(1,('3. Enter Indicator Scores'!$B$10:$B$161=$B158)*('3. Enter Indicator Scores'!$C$10:$C$161=$C158),0),
  _xlpm.c, MATCH(BL$8,'3. Enter Indicator Scores'!$D$8:$CZ$8,0),
  _xlpm.v, IFERROR(INDEX('3. Enter Indicator Scores'!$D$10:$CZ$161,_xlpm.r,_xlpm.c),""),
  IF(OR(_xlpm.w="",_xlpm.v=""),"",_xlpm.v*_xlpm.w)
)</f>
        <v/>
      </c>
      <c r="BM158" s="93" t="str" cm="1">
        <f t="array" ref="BM158">_xlfn.LET(
  _xlpm.w, BM$11,
  _xlpm.r, MATCH(1,('3. Enter Indicator Scores'!$B$10:$B$161=$B158)*('3. Enter Indicator Scores'!$C$10:$C$161=$C158),0),
  _xlpm.c, MATCH(BM$8,'3. Enter Indicator Scores'!$D$8:$CZ$8,0),
  _xlpm.v, IFERROR(INDEX('3. Enter Indicator Scores'!$D$10:$CZ$161,_xlpm.r,_xlpm.c),""),
  IF(OR(_xlpm.w="",_xlpm.v=""),"",_xlpm.v*_xlpm.w)
)</f>
        <v/>
      </c>
      <c r="BN158" s="93" t="str" cm="1">
        <f t="array" ref="BN158">_xlfn.LET(
  _xlpm.w, BN$11,
  _xlpm.r, MATCH(1,('3. Enter Indicator Scores'!$B$10:$B$161=$B158)*('3. Enter Indicator Scores'!$C$10:$C$161=$C158),0),
  _xlpm.c, MATCH(BN$8,'3. Enter Indicator Scores'!$D$8:$CZ$8,0),
  _xlpm.v, IFERROR(INDEX('3. Enter Indicator Scores'!$D$10:$CZ$161,_xlpm.r,_xlpm.c),""),
  IF(OR(_xlpm.w="",_xlpm.v=""),"",_xlpm.v*_xlpm.w)
)</f>
        <v/>
      </c>
      <c r="BO158" s="93" t="str" cm="1">
        <f t="array" ref="BO158">_xlfn.LET(
  _xlpm.w, BO$11,
  _xlpm.r, MATCH(1,('3. Enter Indicator Scores'!$B$10:$B$161=$B158)*('3. Enter Indicator Scores'!$C$10:$C$161=$C158),0),
  _xlpm.c, MATCH(BO$8,'3. Enter Indicator Scores'!$D$8:$CZ$8,0),
  _xlpm.v, IFERROR(INDEX('3. Enter Indicator Scores'!$D$10:$CZ$161,_xlpm.r,_xlpm.c),""),
  IF(OR(_xlpm.w="",_xlpm.v=""),"",_xlpm.v*_xlpm.w)
)</f>
        <v/>
      </c>
      <c r="BP158" s="93" t="str" cm="1">
        <f t="array" ref="BP158">_xlfn.LET(
  _xlpm.w, BP$11,
  _xlpm.r, MATCH(1,('3. Enter Indicator Scores'!$B$10:$B$161=$B158)*('3. Enter Indicator Scores'!$C$10:$C$161=$C158),0),
  _xlpm.c, MATCH(BP$8,'3. Enter Indicator Scores'!$D$8:$CZ$8,0),
  _xlpm.v, IFERROR(INDEX('3. Enter Indicator Scores'!$D$10:$CZ$161,_xlpm.r,_xlpm.c),""),
  IF(OR(_xlpm.w="",_xlpm.v=""),"",_xlpm.v*_xlpm.w)
)</f>
        <v/>
      </c>
      <c r="BQ158" s="93" t="str" cm="1">
        <f t="array" ref="BQ158">_xlfn.LET(
  _xlpm.w, BQ$11,
  _xlpm.r, MATCH(1,('3. Enter Indicator Scores'!$B$10:$B$161=$B158)*('3. Enter Indicator Scores'!$C$10:$C$161=$C158),0),
  _xlpm.c, MATCH(BQ$8,'3. Enter Indicator Scores'!$D$8:$CZ$8,0),
  _xlpm.v, IFERROR(INDEX('3. Enter Indicator Scores'!$D$10:$CZ$161,_xlpm.r,_xlpm.c),""),
  IF(OR(_xlpm.w="",_xlpm.v=""),"",_xlpm.v*_xlpm.w)
)</f>
        <v/>
      </c>
      <c r="BR158" s="93" t="str" cm="1">
        <f t="array" ref="BR158">_xlfn.LET(
  _xlpm.w, BR$11,
  _xlpm.r, MATCH(1,('3. Enter Indicator Scores'!$B$10:$B$161=$B158)*('3. Enter Indicator Scores'!$C$10:$C$161=$C158),0),
  _xlpm.c, MATCH(BR$8,'3. Enter Indicator Scores'!$D$8:$CZ$8,0),
  _xlpm.v, IFERROR(INDEX('3. Enter Indicator Scores'!$D$10:$CZ$161,_xlpm.r,_xlpm.c),""),
  IF(OR(_xlpm.w="",_xlpm.v=""),"",_xlpm.v*_xlpm.w)
)</f>
        <v/>
      </c>
      <c r="BS158" s="93" t="str" cm="1">
        <f t="array" ref="BS158">_xlfn.LET(
  _xlpm.w, BS$11,
  _xlpm.r, MATCH(1,('3. Enter Indicator Scores'!$B$10:$B$161=$B158)*('3. Enter Indicator Scores'!$C$10:$C$161=$C158),0),
  _xlpm.c, MATCH(BS$8,'3. Enter Indicator Scores'!$D$8:$CZ$8,0),
  _xlpm.v, IFERROR(INDEX('3. Enter Indicator Scores'!$D$10:$CZ$161,_xlpm.r,_xlpm.c),""),
  IF(OR(_xlpm.w="",_xlpm.v=""),"",_xlpm.v*_xlpm.w)
)</f>
        <v/>
      </c>
      <c r="BT158" s="93" t="str" cm="1">
        <f t="array" ref="BT158">_xlfn.LET(
  _xlpm.w, BT$11,
  _xlpm.r, MATCH(1,('3. Enter Indicator Scores'!$B$10:$B$161=$B158)*('3. Enter Indicator Scores'!$C$10:$C$161=$C158),0),
  _xlpm.c, MATCH(BT$8,'3. Enter Indicator Scores'!$D$8:$CZ$8,0),
  _xlpm.v, IFERROR(INDEX('3. Enter Indicator Scores'!$D$10:$CZ$161,_xlpm.r,_xlpm.c),""),
  IF(OR(_xlpm.w="",_xlpm.v=""),"",_xlpm.v*_xlpm.w)
)</f>
        <v/>
      </c>
      <c r="BU158" s="93" t="str" cm="1">
        <f t="array" ref="BU158">_xlfn.LET(
  _xlpm.w, BU$11,
  _xlpm.r, MATCH(1,('3. Enter Indicator Scores'!$B$10:$B$161=$B158)*('3. Enter Indicator Scores'!$C$10:$C$161=$C158),0),
  _xlpm.c, MATCH(BU$8,'3. Enter Indicator Scores'!$D$8:$CZ$8,0),
  _xlpm.v, IFERROR(INDEX('3. Enter Indicator Scores'!$D$10:$CZ$161,_xlpm.r,_xlpm.c),""),
  IF(OR(_xlpm.w="",_xlpm.v=""),"",_xlpm.v*_xlpm.w)
)</f>
        <v/>
      </c>
      <c r="BV158" s="93" t="str" cm="1">
        <f t="array" ref="BV158">_xlfn.LET(
  _xlpm.w, BV$11,
  _xlpm.r, MATCH(1,('3. Enter Indicator Scores'!$B$10:$B$161=$B158)*('3. Enter Indicator Scores'!$C$10:$C$161=$C158),0),
  _xlpm.c, MATCH(BV$8,'3. Enter Indicator Scores'!$D$8:$CZ$8,0),
  _xlpm.v, IFERROR(INDEX('3. Enter Indicator Scores'!$D$10:$CZ$161,_xlpm.r,_xlpm.c),""),
  IF(OR(_xlpm.w="",_xlpm.v=""),"",_xlpm.v*_xlpm.w)
)</f>
        <v/>
      </c>
      <c r="BW158" s="93" t="str" cm="1">
        <f t="array" ref="BW158">_xlfn.LET(
  _xlpm.w, BW$11,
  _xlpm.r, MATCH(1,('3. Enter Indicator Scores'!$B$10:$B$161=$B158)*('3. Enter Indicator Scores'!$C$10:$C$161=$C158),0),
  _xlpm.c, MATCH(BW$8,'3. Enter Indicator Scores'!$D$8:$CZ$8,0),
  _xlpm.v, IFERROR(INDEX('3. Enter Indicator Scores'!$D$10:$CZ$161,_xlpm.r,_xlpm.c),""),
  IF(OR(_xlpm.w="",_xlpm.v=""),"",_xlpm.v*_xlpm.w)
)</f>
        <v/>
      </c>
      <c r="BX158" s="93" t="str" cm="1">
        <f t="array" ref="BX158">_xlfn.LET(
  _xlpm.w, BX$11,
  _xlpm.r, MATCH(1,('3. Enter Indicator Scores'!$B$10:$B$161=$B158)*('3. Enter Indicator Scores'!$C$10:$C$161=$C158),0),
  _xlpm.c, MATCH(BX$8,'3. Enter Indicator Scores'!$D$8:$CZ$8,0),
  _xlpm.v, IFERROR(INDEX('3. Enter Indicator Scores'!$D$10:$CZ$161,_xlpm.r,_xlpm.c),""),
  IF(OR(_xlpm.w="",_xlpm.v=""),"",_xlpm.v*_xlpm.w)
)</f>
        <v/>
      </c>
      <c r="BY158" s="93" t="str" cm="1">
        <f t="array" ref="BY158">_xlfn.LET(
  _xlpm.w, BY$11,
  _xlpm.r, MATCH(1,('3. Enter Indicator Scores'!$B$10:$B$161=$B158)*('3. Enter Indicator Scores'!$C$10:$C$161=$C158),0),
  _xlpm.c, MATCH(BY$8,'3. Enter Indicator Scores'!$D$8:$CZ$8,0),
  _xlpm.v, IFERROR(INDEX('3. Enter Indicator Scores'!$D$10:$CZ$161,_xlpm.r,_xlpm.c),""),
  IF(OR(_xlpm.w="",_xlpm.v=""),"",_xlpm.v*_xlpm.w)
)</f>
        <v/>
      </c>
      <c r="BZ158" s="93" t="str" cm="1">
        <f t="array" ref="BZ158">_xlfn.LET(
  _xlpm.w, BZ$11,
  _xlpm.r, MATCH(1,('3. Enter Indicator Scores'!$B$10:$B$161=$B158)*('3. Enter Indicator Scores'!$C$10:$C$161=$C158),0),
  _xlpm.c, MATCH(BZ$8,'3. Enter Indicator Scores'!$D$8:$CZ$8,0),
  _xlpm.v, IFERROR(INDEX('3. Enter Indicator Scores'!$D$10:$CZ$161,_xlpm.r,_xlpm.c),""),
  IF(OR(_xlpm.w="",_xlpm.v=""),"",_xlpm.v*_xlpm.w)
)</f>
        <v/>
      </c>
      <c r="CA158" s="93" t="str" cm="1">
        <f t="array" ref="CA158">_xlfn.LET(
  _xlpm.w, CA$11,
  _xlpm.r, MATCH(1,('3. Enter Indicator Scores'!$B$10:$B$161=$B158)*('3. Enter Indicator Scores'!$C$10:$C$161=$C158),0),
  _xlpm.c, MATCH(CA$8,'3. Enter Indicator Scores'!$D$8:$CZ$8,0),
  _xlpm.v, IFERROR(INDEX('3. Enter Indicator Scores'!$D$10:$CZ$161,_xlpm.r,_xlpm.c),""),
  IF(OR(_xlpm.w="",_xlpm.v=""),"",_xlpm.v*_xlpm.w)
)</f>
        <v/>
      </c>
      <c r="CB158" s="93" t="str" cm="1">
        <f t="array" ref="CB158">_xlfn.LET(
  _xlpm.w, CB$11,
  _xlpm.r, MATCH(1,('3. Enter Indicator Scores'!$B$10:$B$161=$B158)*('3. Enter Indicator Scores'!$C$10:$C$161=$C158),0),
  _xlpm.c, MATCH(CB$8,'3. Enter Indicator Scores'!$D$8:$CZ$8,0),
  _xlpm.v, IFERROR(INDEX('3. Enter Indicator Scores'!$D$10:$CZ$161,_xlpm.r,_xlpm.c),""),
  IF(OR(_xlpm.w="",_xlpm.v=""),"",_xlpm.v*_xlpm.w)
)</f>
        <v/>
      </c>
      <c r="CC158" s="93" t="str" cm="1">
        <f t="array" ref="CC158">_xlfn.LET(
  _xlpm.w, CC$11,
  _xlpm.r, MATCH(1,('3. Enter Indicator Scores'!$B$10:$B$161=$B158)*('3. Enter Indicator Scores'!$C$10:$C$161=$C158),0),
  _xlpm.c, MATCH(CC$8,'3. Enter Indicator Scores'!$D$8:$CZ$8,0),
  _xlpm.v, IFERROR(INDEX('3. Enter Indicator Scores'!$D$10:$CZ$161,_xlpm.r,_xlpm.c),""),
  IF(OR(_xlpm.w="",_xlpm.v=""),"",_xlpm.v*_xlpm.w)
)</f>
        <v/>
      </c>
      <c r="CD158" s="93" t="str" cm="1">
        <f t="array" ref="CD158">_xlfn.LET(
  _xlpm.w, CD$11,
  _xlpm.r, MATCH(1,('3. Enter Indicator Scores'!$B$10:$B$161=$B158)*('3. Enter Indicator Scores'!$C$10:$C$161=$C158),0),
  _xlpm.c, MATCH(CD$8,'3. Enter Indicator Scores'!$D$8:$CZ$8,0),
  _xlpm.v, IFERROR(INDEX('3. Enter Indicator Scores'!$D$10:$CZ$161,_xlpm.r,_xlpm.c),""),
  IF(OR(_xlpm.w="",_xlpm.v=""),"",_xlpm.v*_xlpm.w)
)</f>
        <v/>
      </c>
      <c r="CE158" s="93" t="str" cm="1">
        <f t="array" ref="CE158">_xlfn.LET(
  _xlpm.w, CE$11,
  _xlpm.r, MATCH(1,('3. Enter Indicator Scores'!$B$10:$B$161=$B158)*('3. Enter Indicator Scores'!$C$10:$C$161=$C158),0),
  _xlpm.c, MATCH(CE$8,'3. Enter Indicator Scores'!$D$8:$CZ$8,0),
  _xlpm.v, IFERROR(INDEX('3. Enter Indicator Scores'!$D$10:$CZ$161,_xlpm.r,_xlpm.c),""),
  IF(OR(_xlpm.w="",_xlpm.v=""),"",_xlpm.v*_xlpm.w)
)</f>
        <v/>
      </c>
      <c r="CF158" s="93" t="str" cm="1">
        <f t="array" ref="CF158">_xlfn.LET(
  _xlpm.w, CF$11,
  _xlpm.r, MATCH(1,('3. Enter Indicator Scores'!$B$10:$B$161=$B158)*('3. Enter Indicator Scores'!$C$10:$C$161=$C158),0),
  _xlpm.c, MATCH(CF$8,'3. Enter Indicator Scores'!$D$8:$CZ$8,0),
  _xlpm.v, IFERROR(INDEX('3. Enter Indicator Scores'!$D$10:$CZ$161,_xlpm.r,_xlpm.c),""),
  IF(OR(_xlpm.w="",_xlpm.v=""),"",_xlpm.v*_xlpm.w)
)</f>
        <v/>
      </c>
      <c r="CG158" s="93" t="str" cm="1">
        <f t="array" ref="CG158">_xlfn.LET(
  _xlpm.w, CG$11,
  _xlpm.r, MATCH(1,('3. Enter Indicator Scores'!$B$10:$B$161=$B158)*('3. Enter Indicator Scores'!$C$10:$C$161=$C158),0),
  _xlpm.c, MATCH(CG$8,'3. Enter Indicator Scores'!$D$8:$CZ$8,0),
  _xlpm.v, IFERROR(INDEX('3. Enter Indicator Scores'!$D$10:$CZ$161,_xlpm.r,_xlpm.c),""),
  IF(OR(_xlpm.w="",_xlpm.v=""),"",_xlpm.v*_xlpm.w)
)</f>
        <v/>
      </c>
      <c r="CH158" s="93" t="str" cm="1">
        <f t="array" ref="CH158">_xlfn.LET(
  _xlpm.w, CH$11,
  _xlpm.r, MATCH(1,('3. Enter Indicator Scores'!$B$10:$B$161=$B158)*('3. Enter Indicator Scores'!$C$10:$C$161=$C158),0),
  _xlpm.c, MATCH(CH$8,'3. Enter Indicator Scores'!$D$8:$CZ$8,0),
  _xlpm.v, IFERROR(INDEX('3. Enter Indicator Scores'!$D$10:$CZ$161,_xlpm.r,_xlpm.c),""),
  IF(OR(_xlpm.w="",_xlpm.v=""),"",_xlpm.v*_xlpm.w)
)</f>
        <v/>
      </c>
      <c r="CI158" s="93" t="str" cm="1">
        <f t="array" ref="CI158">_xlfn.LET(
  _xlpm.w, CI$11,
  _xlpm.r, MATCH(1,('3. Enter Indicator Scores'!$B$10:$B$161=$B158)*('3. Enter Indicator Scores'!$C$10:$C$161=$C158),0),
  _xlpm.c, MATCH(CI$8,'3. Enter Indicator Scores'!$D$8:$CZ$8,0),
  _xlpm.v, IFERROR(INDEX('3. Enter Indicator Scores'!$D$10:$CZ$161,_xlpm.r,_xlpm.c),""),
  IF(OR(_xlpm.w="",_xlpm.v=""),"",_xlpm.v*_xlpm.w)
)</f>
        <v/>
      </c>
      <c r="CJ158" s="93" t="str" cm="1">
        <f t="array" ref="CJ158">_xlfn.LET(
  _xlpm.w, CJ$11,
  _xlpm.r, MATCH(1,('3. Enter Indicator Scores'!$B$10:$B$161=$B158)*('3. Enter Indicator Scores'!$C$10:$C$161=$C158),0),
  _xlpm.c, MATCH(CJ$8,'3. Enter Indicator Scores'!$D$8:$CZ$8,0),
  _xlpm.v, IFERROR(INDEX('3. Enter Indicator Scores'!$D$10:$CZ$161,_xlpm.r,_xlpm.c),""),
  IF(OR(_xlpm.w="",_xlpm.v=""),"",_xlpm.v*_xlpm.w)
)</f>
        <v/>
      </c>
      <c r="CK158" s="93" t="str" cm="1">
        <f t="array" ref="CK158">_xlfn.LET(
  _xlpm.w, CK$11,
  _xlpm.r, MATCH(1,('3. Enter Indicator Scores'!$B$10:$B$161=$B158)*('3. Enter Indicator Scores'!$C$10:$C$161=$C158),0),
  _xlpm.c, MATCH(CK$8,'3. Enter Indicator Scores'!$D$8:$CZ$8,0),
  _xlpm.v, IFERROR(INDEX('3. Enter Indicator Scores'!$D$10:$CZ$161,_xlpm.r,_xlpm.c),""),
  IF(OR(_xlpm.w="",_xlpm.v=""),"",_xlpm.v*_xlpm.w)
)</f>
        <v/>
      </c>
      <c r="CL158" s="93" t="str" cm="1">
        <f t="array" ref="CL158">_xlfn.LET(
  _xlpm.w, CL$11,
  _xlpm.r, MATCH(1,('3. Enter Indicator Scores'!$B$10:$B$161=$B158)*('3. Enter Indicator Scores'!$C$10:$C$161=$C158),0),
  _xlpm.c, MATCH(CL$8,'3. Enter Indicator Scores'!$D$8:$CZ$8,0),
  _xlpm.v, IFERROR(INDEX('3. Enter Indicator Scores'!$D$10:$CZ$161,_xlpm.r,_xlpm.c),""),
  IF(OR(_xlpm.w="",_xlpm.v=""),"",_xlpm.v*_xlpm.w)
)</f>
        <v/>
      </c>
      <c r="CM158" s="93" t="str" cm="1">
        <f t="array" ref="CM158">_xlfn.LET(
  _xlpm.w, CM$11,
  _xlpm.r, MATCH(1,('3. Enter Indicator Scores'!$B$10:$B$161=$B158)*('3. Enter Indicator Scores'!$C$10:$C$161=$C158),0),
  _xlpm.c, MATCH(CM$8,'3. Enter Indicator Scores'!$D$8:$CZ$8,0),
  _xlpm.v, IFERROR(INDEX('3. Enter Indicator Scores'!$D$10:$CZ$161,_xlpm.r,_xlpm.c),""),
  IF(OR(_xlpm.w="",_xlpm.v=""),"",_xlpm.v*_xlpm.w)
)</f>
        <v/>
      </c>
      <c r="CN158" s="93" t="str" cm="1">
        <f t="array" ref="CN158">_xlfn.LET(
  _xlpm.w, CN$11,
  _xlpm.r, MATCH(1,('3. Enter Indicator Scores'!$B$10:$B$161=$B158)*('3. Enter Indicator Scores'!$C$10:$C$161=$C158),0),
  _xlpm.c, MATCH(CN$8,'3. Enter Indicator Scores'!$D$8:$CZ$8,0),
  _xlpm.v, IFERROR(INDEX('3. Enter Indicator Scores'!$D$10:$CZ$161,_xlpm.r,_xlpm.c),""),
  IF(OR(_xlpm.w="",_xlpm.v=""),"",_xlpm.v*_xlpm.w)
)</f>
        <v/>
      </c>
      <c r="CO158" s="93" t="str" cm="1">
        <f t="array" ref="CO158">_xlfn.LET(
  _xlpm.w, CO$11,
  _xlpm.r, MATCH(1,('3. Enter Indicator Scores'!$B$10:$B$161=$B158)*('3. Enter Indicator Scores'!$C$10:$C$161=$C158),0),
  _xlpm.c, MATCH(CO$8,'3. Enter Indicator Scores'!$D$8:$CZ$8,0),
  _xlpm.v, IFERROR(INDEX('3. Enter Indicator Scores'!$D$10:$CZ$161,_xlpm.r,_xlpm.c),""),
  IF(OR(_xlpm.w="",_xlpm.v=""),"",_xlpm.v*_xlpm.w)
)</f>
        <v/>
      </c>
      <c r="CP158" s="93" t="str" cm="1">
        <f t="array" ref="CP158">_xlfn.LET(
  _xlpm.w, CP$11,
  _xlpm.r, MATCH(1,('3. Enter Indicator Scores'!$B$10:$B$161=$B158)*('3. Enter Indicator Scores'!$C$10:$C$161=$C158),0),
  _xlpm.c, MATCH(CP$8,'3. Enter Indicator Scores'!$D$8:$CZ$8,0),
  _xlpm.v, IFERROR(INDEX('3. Enter Indicator Scores'!$D$10:$CZ$161,_xlpm.r,_xlpm.c),""),
  IF(OR(_xlpm.w="",_xlpm.v=""),"",_xlpm.v*_xlpm.w)
)</f>
        <v/>
      </c>
      <c r="CQ158" s="93" t="str" cm="1">
        <f t="array" ref="CQ158">_xlfn.LET(
  _xlpm.w, CQ$11,
  _xlpm.r, MATCH(1,('3. Enter Indicator Scores'!$B$10:$B$161=$B158)*('3. Enter Indicator Scores'!$C$10:$C$161=$C158),0),
  _xlpm.c, MATCH(CQ$8,'3. Enter Indicator Scores'!$D$8:$CZ$8,0),
  _xlpm.v, IFERROR(INDEX('3. Enter Indicator Scores'!$D$10:$CZ$161,_xlpm.r,_xlpm.c),""),
  IF(OR(_xlpm.w="",_xlpm.v=""),"",_xlpm.v*_xlpm.w)
)</f>
        <v/>
      </c>
      <c r="CR158" s="93" t="str" cm="1">
        <f t="array" ref="CR158">_xlfn.LET(
  _xlpm.w, CR$11,
  _xlpm.r, MATCH(1,('3. Enter Indicator Scores'!$B$10:$B$161=$B158)*('3. Enter Indicator Scores'!$C$10:$C$161=$C158),0),
  _xlpm.c, MATCH(CR$8,'3. Enter Indicator Scores'!$D$8:$CZ$8,0),
  _xlpm.v, IFERROR(INDEX('3. Enter Indicator Scores'!$D$10:$CZ$161,_xlpm.r,_xlpm.c),""),
  IF(OR(_xlpm.w="",_xlpm.v=""),"",_xlpm.v*_xlpm.w)
)</f>
        <v/>
      </c>
      <c r="CS158" s="93" t="str" cm="1">
        <f t="array" ref="CS158">_xlfn.LET(
  _xlpm.w, CS$11,
  _xlpm.r, MATCH(1,('3. Enter Indicator Scores'!$B$10:$B$161=$B158)*('3. Enter Indicator Scores'!$C$10:$C$161=$C158),0),
  _xlpm.c, MATCH(CS$8,'3. Enter Indicator Scores'!$D$8:$CZ$8,0),
  _xlpm.v, IFERROR(INDEX('3. Enter Indicator Scores'!$D$10:$CZ$161,_xlpm.r,_xlpm.c),""),
  IF(OR(_xlpm.w="",_xlpm.v=""),"",_xlpm.v*_xlpm.w)
)</f>
        <v/>
      </c>
      <c r="CT158" s="93" t="str" cm="1">
        <f t="array" ref="CT158">_xlfn.LET(
  _xlpm.w, CT$11,
  _xlpm.r, MATCH(1,('3. Enter Indicator Scores'!$B$10:$B$161=$B158)*('3. Enter Indicator Scores'!$C$10:$C$161=$C158),0),
  _xlpm.c, MATCH(CT$8,'3. Enter Indicator Scores'!$D$8:$CZ$8,0),
  _xlpm.v, IFERROR(INDEX('3. Enter Indicator Scores'!$D$10:$CZ$161,_xlpm.r,_xlpm.c),""),
  IF(OR(_xlpm.w="",_xlpm.v=""),"",_xlpm.v*_xlpm.w)
)</f>
        <v/>
      </c>
      <c r="CU158" s="93" t="str" cm="1">
        <f t="array" ref="CU158">_xlfn.LET(
  _xlpm.w, CU$11,
  _xlpm.r, MATCH(1,('3. Enter Indicator Scores'!$B$10:$B$161=$B158)*('3. Enter Indicator Scores'!$C$10:$C$161=$C158),0),
  _xlpm.c, MATCH(CU$8,'3. Enter Indicator Scores'!$D$8:$CZ$8,0),
  _xlpm.v, IFERROR(INDEX('3. Enter Indicator Scores'!$D$10:$CZ$161,_xlpm.r,_xlpm.c),""),
  IF(OR(_xlpm.w="",_xlpm.v=""),"",_xlpm.v*_xlpm.w)
)</f>
        <v/>
      </c>
      <c r="CV158" s="93" t="str" cm="1">
        <f t="array" ref="CV158">_xlfn.LET(
  _xlpm.w, CV$11,
  _xlpm.r, MATCH(1,('3. Enter Indicator Scores'!$B$10:$B$161=$B158)*('3. Enter Indicator Scores'!$C$10:$C$161=$C158),0),
  _xlpm.c, MATCH(CV$8,'3. Enter Indicator Scores'!$D$8:$CZ$8,0),
  _xlpm.v, IFERROR(INDEX('3. Enter Indicator Scores'!$D$10:$CZ$161,_xlpm.r,_xlpm.c),""),
  IF(OR(_xlpm.w="",_xlpm.v=""),"",_xlpm.v*_xlpm.w)
)</f>
        <v/>
      </c>
      <c r="CW158" s="93" t="str" cm="1">
        <f t="array" ref="CW158">_xlfn.LET(
  _xlpm.w, CW$11,
  _xlpm.r, MATCH(1,('3. Enter Indicator Scores'!$B$10:$B$161=$B158)*('3. Enter Indicator Scores'!$C$10:$C$161=$C158),0),
  _xlpm.c, MATCH(CW$8,'3. Enter Indicator Scores'!$D$8:$CZ$8,0),
  _xlpm.v, IFERROR(INDEX('3. Enter Indicator Scores'!$D$10:$CZ$161,_xlpm.r,_xlpm.c),""),
  IF(OR(_xlpm.w="",_xlpm.v=""),"",_xlpm.v*_xlpm.w)
)</f>
        <v/>
      </c>
      <c r="CX158" s="93" t="str" cm="1">
        <f t="array" ref="CX158">_xlfn.LET(
  _xlpm.w, CX$11,
  _xlpm.r, MATCH(1,('3. Enter Indicator Scores'!$B$10:$B$161=$B158)*('3. Enter Indicator Scores'!$C$10:$C$161=$C158),0),
  _xlpm.c, MATCH(CX$8,'3. Enter Indicator Scores'!$D$8:$CZ$8,0),
  _xlpm.v, IFERROR(INDEX('3. Enter Indicator Scores'!$D$10:$CZ$161,_xlpm.r,_xlpm.c),""),
  IF(OR(_xlpm.w="",_xlpm.v=""),"",_xlpm.v*_xlpm.w)
)</f>
        <v/>
      </c>
      <c r="CY158" s="93" t="str" cm="1">
        <f t="array" ref="CY158">_xlfn.LET(
  _xlpm.w, CY$11,
  _xlpm.r, MATCH(1,('3. Enter Indicator Scores'!$B$10:$B$161=$B158)*('3. Enter Indicator Scores'!$C$10:$C$161=$C158),0),
  _xlpm.c, MATCH(CY$8,'3. Enter Indicator Scores'!$D$8:$CZ$8,0),
  _xlpm.v, IFERROR(INDEX('3. Enter Indicator Scores'!$D$10:$CZ$161,_xlpm.r,_xlpm.c),""),
  IF(OR(_xlpm.w="",_xlpm.v=""),"",_xlpm.v*_xlpm.w)
)</f>
        <v/>
      </c>
      <c r="CZ158" s="93" t="str" cm="1">
        <f t="array" ref="CZ158">_xlfn.LET(
  _xlpm.w, CZ$11,
  _xlpm.r, MATCH(1,('3. Enter Indicator Scores'!$B$10:$B$161=$B158)*('3. Enter Indicator Scores'!$C$10:$C$161=$C158),0),
  _xlpm.c, MATCH(CZ$8,'3. Enter Indicator Scores'!$D$8:$CZ$8,0),
  _xlpm.v, IFERROR(INDEX('3. Enter Indicator Scores'!$D$10:$CZ$161,_xlpm.r,_xlpm.c),""),
  IF(OR(_xlpm.w="",_xlpm.v=""),"",_xlpm.v*_xlpm.w)
)</f>
        <v/>
      </c>
    </row>
    <row r="159" spans="4:104" x14ac:dyDescent="0.2">
      <c r="D159" s="93" t="str" cm="1">
        <f t="array" ref="D159">_xlfn.LET(
  _xlpm.w, D$11,
  _xlpm.r, MATCH(1,('3. Enter Indicator Scores'!$B$10:$B$161=$B159)*('3. Enter Indicator Scores'!$C$10:$C$161=$C159),0),
  _xlpm.c, MATCH(D$8,'3. Enter Indicator Scores'!$D$8:$CZ$8,0),
  _xlpm.v, IFERROR(INDEX('3. Enter Indicator Scores'!$D$10:$CZ$161,_xlpm.r,_xlpm.c),""),
  IF(OR(_xlpm.w="",_xlpm.v=""),"",_xlpm.v*_xlpm.w)
)</f>
        <v/>
      </c>
      <c r="E159" s="93" t="str" cm="1">
        <f t="array" ref="E159">_xlfn.LET(
  _xlpm.w, E$11,
  _xlpm.r, MATCH(1,('3. Enter Indicator Scores'!$B$10:$B$161=$B159)*('3. Enter Indicator Scores'!$C$10:$C$161=$C159),0),
  _xlpm.c, MATCH(E$8,'3. Enter Indicator Scores'!$D$8:$CZ$8,0),
  _xlpm.v, IFERROR(INDEX('3. Enter Indicator Scores'!$D$10:$CZ$161,_xlpm.r,_xlpm.c),""),
  IF(OR(_xlpm.w="",_xlpm.v=""),"",_xlpm.v*_xlpm.w)
)</f>
        <v/>
      </c>
      <c r="F159" s="93" t="str" cm="1">
        <f t="array" ref="F159">_xlfn.LET(
  _xlpm.w, F$11,
  _xlpm.r, MATCH(1,('3. Enter Indicator Scores'!$B$10:$B$161=$B159)*('3. Enter Indicator Scores'!$C$10:$C$161=$C159),0),
  _xlpm.c, MATCH(F$8,'3. Enter Indicator Scores'!$D$8:$CZ$8,0),
  _xlpm.v, IFERROR(INDEX('3. Enter Indicator Scores'!$D$10:$CZ$161,_xlpm.r,_xlpm.c),""),
  IF(OR(_xlpm.w="",_xlpm.v=""),"",_xlpm.v*_xlpm.w)
)</f>
        <v/>
      </c>
      <c r="G159" s="93" t="str" cm="1">
        <f t="array" ref="G159">_xlfn.LET(
  _xlpm.w, G$11,
  _xlpm.r, MATCH(1,('3. Enter Indicator Scores'!$B$10:$B$161=$B159)*('3. Enter Indicator Scores'!$C$10:$C$161=$C159),0),
  _xlpm.c, MATCH(G$8,'3. Enter Indicator Scores'!$D$8:$CZ$8,0),
  _xlpm.v, IFERROR(INDEX('3. Enter Indicator Scores'!$D$10:$CZ$161,_xlpm.r,_xlpm.c),""),
  IF(OR(_xlpm.w="",_xlpm.v=""),"",_xlpm.v*_xlpm.w)
)</f>
        <v/>
      </c>
      <c r="H159" s="93" t="str" cm="1">
        <f t="array" ref="H159">_xlfn.LET(
  _xlpm.w, H$11,
  _xlpm.r, MATCH(1,('3. Enter Indicator Scores'!$B$10:$B$161=$B159)*('3. Enter Indicator Scores'!$C$10:$C$161=$C159),0),
  _xlpm.c, MATCH(H$8,'3. Enter Indicator Scores'!$D$8:$CZ$8,0),
  _xlpm.v, IFERROR(INDEX('3. Enter Indicator Scores'!$D$10:$CZ$161,_xlpm.r,_xlpm.c),""),
  IF(OR(_xlpm.w="",_xlpm.v=""),"",_xlpm.v*_xlpm.w)
)</f>
        <v/>
      </c>
      <c r="I159" s="93" t="str" cm="1">
        <f t="array" ref="I159">_xlfn.LET(
  _xlpm.w, I$11,
  _xlpm.r, MATCH(1,('3. Enter Indicator Scores'!$B$10:$B$161=$B159)*('3. Enter Indicator Scores'!$C$10:$C$161=$C159),0),
  _xlpm.c, MATCH(I$8,'3. Enter Indicator Scores'!$D$8:$CZ$8,0),
  _xlpm.v, IFERROR(INDEX('3. Enter Indicator Scores'!$D$10:$CZ$161,_xlpm.r,_xlpm.c),""),
  IF(OR(_xlpm.w="",_xlpm.v=""),"",_xlpm.v*_xlpm.w)
)</f>
        <v/>
      </c>
      <c r="J159" s="93" t="str" cm="1">
        <f t="array" ref="J159">_xlfn.LET(
  _xlpm.w, J$11,
  _xlpm.r, MATCH(1,('3. Enter Indicator Scores'!$B$10:$B$161=$B159)*('3. Enter Indicator Scores'!$C$10:$C$161=$C159),0),
  _xlpm.c, MATCH(J$8,'3. Enter Indicator Scores'!$D$8:$CZ$8,0),
  _xlpm.v, IFERROR(INDEX('3. Enter Indicator Scores'!$D$10:$CZ$161,_xlpm.r,_xlpm.c),""),
  IF(OR(_xlpm.w="",_xlpm.v=""),"",_xlpm.v*_xlpm.w)
)</f>
        <v/>
      </c>
      <c r="K159" s="93" t="str" cm="1">
        <f t="array" ref="K159">_xlfn.LET(
  _xlpm.w, K$11,
  _xlpm.r, MATCH(1,('3. Enter Indicator Scores'!$B$10:$B$161=$B159)*('3. Enter Indicator Scores'!$C$10:$C$161=$C159),0),
  _xlpm.c, MATCH(K$8,'3. Enter Indicator Scores'!$D$8:$CZ$8,0),
  _xlpm.v, IFERROR(INDEX('3. Enter Indicator Scores'!$D$10:$CZ$161,_xlpm.r,_xlpm.c),""),
  IF(OR(_xlpm.w="",_xlpm.v=""),"",_xlpm.v*_xlpm.w)
)</f>
        <v/>
      </c>
      <c r="L159" s="93" t="str" cm="1">
        <f t="array" ref="L159">_xlfn.LET(
  _xlpm.w, L$11,
  _xlpm.r, MATCH(1,('3. Enter Indicator Scores'!$B$10:$B$161=$B159)*('3. Enter Indicator Scores'!$C$10:$C$161=$C159),0),
  _xlpm.c, MATCH(L$8,'3. Enter Indicator Scores'!$D$8:$CZ$8,0),
  _xlpm.v, IFERROR(INDEX('3. Enter Indicator Scores'!$D$10:$CZ$161,_xlpm.r,_xlpm.c),""),
  IF(OR(_xlpm.w="",_xlpm.v=""),"",_xlpm.v*_xlpm.w)
)</f>
        <v/>
      </c>
      <c r="M159" s="93" t="str" cm="1">
        <f t="array" ref="M159">_xlfn.LET(
  _xlpm.w, M$11,
  _xlpm.r, MATCH(1,('3. Enter Indicator Scores'!$B$10:$B$161=$B159)*('3. Enter Indicator Scores'!$C$10:$C$161=$C159),0),
  _xlpm.c, MATCH(M$8,'3. Enter Indicator Scores'!$D$8:$CZ$8,0),
  _xlpm.v, IFERROR(INDEX('3. Enter Indicator Scores'!$D$10:$CZ$161,_xlpm.r,_xlpm.c),""),
  IF(OR(_xlpm.w="",_xlpm.v=""),"",_xlpm.v*_xlpm.w)
)</f>
        <v/>
      </c>
      <c r="N159" s="93" t="str" cm="1">
        <f t="array" ref="N159">_xlfn.LET(
  _xlpm.w, N$11,
  _xlpm.r, MATCH(1,('3. Enter Indicator Scores'!$B$10:$B$161=$B159)*('3. Enter Indicator Scores'!$C$10:$C$161=$C159),0),
  _xlpm.c, MATCH(N$8,'3. Enter Indicator Scores'!$D$8:$CZ$8,0),
  _xlpm.v, IFERROR(INDEX('3. Enter Indicator Scores'!$D$10:$CZ$161,_xlpm.r,_xlpm.c),""),
  IF(OR(_xlpm.w="",_xlpm.v=""),"",_xlpm.v*_xlpm.w)
)</f>
        <v/>
      </c>
      <c r="O159" s="93" t="str" cm="1">
        <f t="array" ref="O159">_xlfn.LET(
  _xlpm.w, O$11,
  _xlpm.r, MATCH(1,('3. Enter Indicator Scores'!$B$10:$B$161=$B159)*('3. Enter Indicator Scores'!$C$10:$C$161=$C159),0),
  _xlpm.c, MATCH(O$8,'3. Enter Indicator Scores'!$D$8:$CZ$8,0),
  _xlpm.v, IFERROR(INDEX('3. Enter Indicator Scores'!$D$10:$CZ$161,_xlpm.r,_xlpm.c),""),
  IF(OR(_xlpm.w="",_xlpm.v=""),"",_xlpm.v*_xlpm.w)
)</f>
        <v/>
      </c>
      <c r="P159" s="93" t="str" cm="1">
        <f t="array" ref="P159">_xlfn.LET(
  _xlpm.w, P$11,
  _xlpm.r, MATCH(1,('3. Enter Indicator Scores'!$B$10:$B$161=$B159)*('3. Enter Indicator Scores'!$C$10:$C$161=$C159),0),
  _xlpm.c, MATCH(P$8,'3. Enter Indicator Scores'!$D$8:$CZ$8,0),
  _xlpm.v, IFERROR(INDEX('3. Enter Indicator Scores'!$D$10:$CZ$161,_xlpm.r,_xlpm.c),""),
  IF(OR(_xlpm.w="",_xlpm.v=""),"",_xlpm.v*_xlpm.w)
)</f>
        <v/>
      </c>
      <c r="Q159" s="93" t="str" cm="1">
        <f t="array" ref="Q159">_xlfn.LET(
  _xlpm.w, Q$11,
  _xlpm.r, MATCH(1,('3. Enter Indicator Scores'!$B$10:$B$161=$B159)*('3. Enter Indicator Scores'!$C$10:$C$161=$C159),0),
  _xlpm.c, MATCH(Q$8,'3. Enter Indicator Scores'!$D$8:$CZ$8,0),
  _xlpm.v, IFERROR(INDEX('3. Enter Indicator Scores'!$D$10:$CZ$161,_xlpm.r,_xlpm.c),""),
  IF(OR(_xlpm.w="",_xlpm.v=""),"",_xlpm.v*_xlpm.w)
)</f>
        <v/>
      </c>
      <c r="R159" s="93" t="str" cm="1">
        <f t="array" ref="R159">_xlfn.LET(
  _xlpm.w, R$11,
  _xlpm.r, MATCH(1,('3. Enter Indicator Scores'!$B$10:$B$161=$B159)*('3. Enter Indicator Scores'!$C$10:$C$161=$C159),0),
  _xlpm.c, MATCH(R$8,'3. Enter Indicator Scores'!$D$8:$CZ$8,0),
  _xlpm.v, IFERROR(INDEX('3. Enter Indicator Scores'!$D$10:$CZ$161,_xlpm.r,_xlpm.c),""),
  IF(OR(_xlpm.w="",_xlpm.v=""),"",_xlpm.v*_xlpm.w)
)</f>
        <v/>
      </c>
      <c r="S159" s="93" t="str" cm="1">
        <f t="array" ref="S159">_xlfn.LET(
  _xlpm.w, S$11,
  _xlpm.r, MATCH(1,('3. Enter Indicator Scores'!$B$10:$B$161=$B159)*('3. Enter Indicator Scores'!$C$10:$C$161=$C159),0),
  _xlpm.c, MATCH(S$8,'3. Enter Indicator Scores'!$D$8:$CZ$8,0),
  _xlpm.v, IFERROR(INDEX('3. Enter Indicator Scores'!$D$10:$CZ$161,_xlpm.r,_xlpm.c),""),
  IF(OR(_xlpm.w="",_xlpm.v=""),"",_xlpm.v*_xlpm.w)
)</f>
        <v/>
      </c>
      <c r="T159" s="93" t="str" cm="1">
        <f t="array" ref="T159">_xlfn.LET(
  _xlpm.w, T$11,
  _xlpm.r, MATCH(1,('3. Enter Indicator Scores'!$B$10:$B$161=$B159)*('3. Enter Indicator Scores'!$C$10:$C$161=$C159),0),
  _xlpm.c, MATCH(T$8,'3. Enter Indicator Scores'!$D$8:$CZ$8,0),
  _xlpm.v, IFERROR(INDEX('3. Enter Indicator Scores'!$D$10:$CZ$161,_xlpm.r,_xlpm.c),""),
  IF(OR(_xlpm.w="",_xlpm.v=""),"",_xlpm.v*_xlpm.w)
)</f>
        <v/>
      </c>
      <c r="U159" s="93" t="str" cm="1">
        <f t="array" ref="U159">_xlfn.LET(
  _xlpm.w, U$11,
  _xlpm.r, MATCH(1,('3. Enter Indicator Scores'!$B$10:$B$161=$B159)*('3. Enter Indicator Scores'!$C$10:$C$161=$C159),0),
  _xlpm.c, MATCH(U$8,'3. Enter Indicator Scores'!$D$8:$CZ$8,0),
  _xlpm.v, IFERROR(INDEX('3. Enter Indicator Scores'!$D$10:$CZ$161,_xlpm.r,_xlpm.c),""),
  IF(OR(_xlpm.w="",_xlpm.v=""),"",_xlpm.v*_xlpm.w)
)</f>
        <v/>
      </c>
      <c r="V159" s="93" t="str" cm="1">
        <f t="array" ref="V159">_xlfn.LET(
  _xlpm.w, V$11,
  _xlpm.r, MATCH(1,('3. Enter Indicator Scores'!$B$10:$B$161=$B159)*('3. Enter Indicator Scores'!$C$10:$C$161=$C159),0),
  _xlpm.c, MATCH(V$8,'3. Enter Indicator Scores'!$D$8:$CZ$8,0),
  _xlpm.v, IFERROR(INDEX('3. Enter Indicator Scores'!$D$10:$CZ$161,_xlpm.r,_xlpm.c),""),
  IF(OR(_xlpm.w="",_xlpm.v=""),"",_xlpm.v*_xlpm.w)
)</f>
        <v/>
      </c>
      <c r="W159" s="93" t="str" cm="1">
        <f t="array" ref="W159">_xlfn.LET(
  _xlpm.w, W$11,
  _xlpm.r, MATCH(1,('3. Enter Indicator Scores'!$B$10:$B$161=$B159)*('3. Enter Indicator Scores'!$C$10:$C$161=$C159),0),
  _xlpm.c, MATCH(W$8,'3. Enter Indicator Scores'!$D$8:$CZ$8,0),
  _xlpm.v, IFERROR(INDEX('3. Enter Indicator Scores'!$D$10:$CZ$161,_xlpm.r,_xlpm.c),""),
  IF(OR(_xlpm.w="",_xlpm.v=""),"",_xlpm.v*_xlpm.w)
)</f>
        <v/>
      </c>
      <c r="X159" s="93" t="str" cm="1">
        <f t="array" ref="X159">_xlfn.LET(
  _xlpm.w, X$11,
  _xlpm.r, MATCH(1,('3. Enter Indicator Scores'!$B$10:$B$161=$B159)*('3. Enter Indicator Scores'!$C$10:$C$161=$C159),0),
  _xlpm.c, MATCH(X$8,'3. Enter Indicator Scores'!$D$8:$CZ$8,0),
  _xlpm.v, IFERROR(INDEX('3. Enter Indicator Scores'!$D$10:$CZ$161,_xlpm.r,_xlpm.c),""),
  IF(OR(_xlpm.w="",_xlpm.v=""),"",_xlpm.v*_xlpm.w)
)</f>
        <v/>
      </c>
      <c r="Y159" s="93" t="str" cm="1">
        <f t="array" ref="Y159">_xlfn.LET(
  _xlpm.w, Y$11,
  _xlpm.r, MATCH(1,('3. Enter Indicator Scores'!$B$10:$B$161=$B159)*('3. Enter Indicator Scores'!$C$10:$C$161=$C159),0),
  _xlpm.c, MATCH(Y$8,'3. Enter Indicator Scores'!$D$8:$CZ$8,0),
  _xlpm.v, IFERROR(INDEX('3. Enter Indicator Scores'!$D$10:$CZ$161,_xlpm.r,_xlpm.c),""),
  IF(OR(_xlpm.w="",_xlpm.v=""),"",_xlpm.v*_xlpm.w)
)</f>
        <v/>
      </c>
      <c r="Z159" s="93" t="str" cm="1">
        <f t="array" ref="Z159">_xlfn.LET(
  _xlpm.w, Z$11,
  _xlpm.r, MATCH(1,('3. Enter Indicator Scores'!$B$10:$B$161=$B159)*('3. Enter Indicator Scores'!$C$10:$C$161=$C159),0),
  _xlpm.c, MATCH(Z$8,'3. Enter Indicator Scores'!$D$8:$CZ$8,0),
  _xlpm.v, IFERROR(INDEX('3. Enter Indicator Scores'!$D$10:$CZ$161,_xlpm.r,_xlpm.c),""),
  IF(OR(_xlpm.w="",_xlpm.v=""),"",_xlpm.v*_xlpm.w)
)</f>
        <v/>
      </c>
      <c r="AA159" s="93" t="str" cm="1">
        <f t="array" ref="AA159">_xlfn.LET(
  _xlpm.w, AA$11,
  _xlpm.r, MATCH(1,('3. Enter Indicator Scores'!$B$10:$B$161=$B159)*('3. Enter Indicator Scores'!$C$10:$C$161=$C159),0),
  _xlpm.c, MATCH(AA$8,'3. Enter Indicator Scores'!$D$8:$CZ$8,0),
  _xlpm.v, IFERROR(INDEX('3. Enter Indicator Scores'!$D$10:$CZ$161,_xlpm.r,_xlpm.c),""),
  IF(OR(_xlpm.w="",_xlpm.v=""),"",_xlpm.v*_xlpm.w)
)</f>
        <v/>
      </c>
      <c r="AB159" s="93" t="str" cm="1">
        <f t="array" ref="AB159">_xlfn.LET(
  _xlpm.w, AB$11,
  _xlpm.r, MATCH(1,('3. Enter Indicator Scores'!$B$10:$B$161=$B159)*('3. Enter Indicator Scores'!$C$10:$C$161=$C159),0),
  _xlpm.c, MATCH(AB$8,'3. Enter Indicator Scores'!$D$8:$CZ$8,0),
  _xlpm.v, IFERROR(INDEX('3. Enter Indicator Scores'!$D$10:$CZ$161,_xlpm.r,_xlpm.c),""),
  IF(OR(_xlpm.w="",_xlpm.v=""),"",_xlpm.v*_xlpm.w)
)</f>
        <v/>
      </c>
      <c r="AC159" s="93" t="str" cm="1">
        <f t="array" ref="AC159">_xlfn.LET(
  _xlpm.w, AC$11,
  _xlpm.r, MATCH(1,('3. Enter Indicator Scores'!$B$10:$B$161=$B159)*('3. Enter Indicator Scores'!$C$10:$C$161=$C159),0),
  _xlpm.c, MATCH(AC$8,'3. Enter Indicator Scores'!$D$8:$CZ$8,0),
  _xlpm.v, IFERROR(INDEX('3. Enter Indicator Scores'!$D$10:$CZ$161,_xlpm.r,_xlpm.c),""),
  IF(OR(_xlpm.w="",_xlpm.v=""),"",_xlpm.v*_xlpm.w)
)</f>
        <v/>
      </c>
      <c r="AD159" s="93" t="str" cm="1">
        <f t="array" ref="AD159">_xlfn.LET(
  _xlpm.w, AD$11,
  _xlpm.r, MATCH(1,('3. Enter Indicator Scores'!$B$10:$B$161=$B159)*('3. Enter Indicator Scores'!$C$10:$C$161=$C159),0),
  _xlpm.c, MATCH(AD$8,'3. Enter Indicator Scores'!$D$8:$CZ$8,0),
  _xlpm.v, IFERROR(INDEX('3. Enter Indicator Scores'!$D$10:$CZ$161,_xlpm.r,_xlpm.c),""),
  IF(OR(_xlpm.w="",_xlpm.v=""),"",_xlpm.v*_xlpm.w)
)</f>
        <v/>
      </c>
      <c r="AE159" s="93" t="str" cm="1">
        <f t="array" ref="AE159">_xlfn.LET(
  _xlpm.w, AE$11,
  _xlpm.r, MATCH(1,('3. Enter Indicator Scores'!$B$10:$B$161=$B159)*('3. Enter Indicator Scores'!$C$10:$C$161=$C159),0),
  _xlpm.c, MATCH(AE$8,'3. Enter Indicator Scores'!$D$8:$CZ$8,0),
  _xlpm.v, IFERROR(INDEX('3. Enter Indicator Scores'!$D$10:$CZ$161,_xlpm.r,_xlpm.c),""),
  IF(OR(_xlpm.w="",_xlpm.v=""),"",_xlpm.v*_xlpm.w)
)</f>
        <v/>
      </c>
      <c r="AF159" s="93" t="str" cm="1">
        <f t="array" ref="AF159">_xlfn.LET(
  _xlpm.w, AF$11,
  _xlpm.r, MATCH(1,('3. Enter Indicator Scores'!$B$10:$B$161=$B159)*('3. Enter Indicator Scores'!$C$10:$C$161=$C159),0),
  _xlpm.c, MATCH(AF$8,'3. Enter Indicator Scores'!$D$8:$CZ$8,0),
  _xlpm.v, IFERROR(INDEX('3. Enter Indicator Scores'!$D$10:$CZ$161,_xlpm.r,_xlpm.c),""),
  IF(OR(_xlpm.w="",_xlpm.v=""),"",_xlpm.v*_xlpm.w)
)</f>
        <v/>
      </c>
      <c r="AG159" s="93" t="str" cm="1">
        <f t="array" ref="AG159">_xlfn.LET(
  _xlpm.w, AG$11,
  _xlpm.r, MATCH(1,('3. Enter Indicator Scores'!$B$10:$B$161=$B159)*('3. Enter Indicator Scores'!$C$10:$C$161=$C159),0),
  _xlpm.c, MATCH(AG$8,'3. Enter Indicator Scores'!$D$8:$CZ$8,0),
  _xlpm.v, IFERROR(INDEX('3. Enter Indicator Scores'!$D$10:$CZ$161,_xlpm.r,_xlpm.c),""),
  IF(OR(_xlpm.w="",_xlpm.v=""),"",_xlpm.v*_xlpm.w)
)</f>
        <v/>
      </c>
      <c r="AH159" s="93" t="str" cm="1">
        <f t="array" ref="AH159">_xlfn.LET(
  _xlpm.w, AH$11,
  _xlpm.r, MATCH(1,('3. Enter Indicator Scores'!$B$10:$B$161=$B159)*('3. Enter Indicator Scores'!$C$10:$C$161=$C159),0),
  _xlpm.c, MATCH(AH$8,'3. Enter Indicator Scores'!$D$8:$CZ$8,0),
  _xlpm.v, IFERROR(INDEX('3. Enter Indicator Scores'!$D$10:$CZ$161,_xlpm.r,_xlpm.c),""),
  IF(OR(_xlpm.w="",_xlpm.v=""),"",_xlpm.v*_xlpm.w)
)</f>
        <v/>
      </c>
      <c r="AI159" s="93" t="str" cm="1">
        <f t="array" ref="AI159">_xlfn.LET(
  _xlpm.w, AI$11,
  _xlpm.r, MATCH(1,('3. Enter Indicator Scores'!$B$10:$B$161=$B159)*('3. Enter Indicator Scores'!$C$10:$C$161=$C159),0),
  _xlpm.c, MATCH(AI$8,'3. Enter Indicator Scores'!$D$8:$CZ$8,0),
  _xlpm.v, IFERROR(INDEX('3. Enter Indicator Scores'!$D$10:$CZ$161,_xlpm.r,_xlpm.c),""),
  IF(OR(_xlpm.w="",_xlpm.v=""),"",_xlpm.v*_xlpm.w)
)</f>
        <v/>
      </c>
      <c r="AJ159" s="93" t="str" cm="1">
        <f t="array" ref="AJ159">_xlfn.LET(
  _xlpm.w, AJ$11,
  _xlpm.r, MATCH(1,('3. Enter Indicator Scores'!$B$10:$B$161=$B159)*('3. Enter Indicator Scores'!$C$10:$C$161=$C159),0),
  _xlpm.c, MATCH(AJ$8,'3. Enter Indicator Scores'!$D$8:$CZ$8,0),
  _xlpm.v, IFERROR(INDEX('3. Enter Indicator Scores'!$D$10:$CZ$161,_xlpm.r,_xlpm.c),""),
  IF(OR(_xlpm.w="",_xlpm.v=""),"",_xlpm.v*_xlpm.w)
)</f>
        <v/>
      </c>
      <c r="AK159" s="93" t="str" cm="1">
        <f t="array" ref="AK159">_xlfn.LET(
  _xlpm.w, AK$11,
  _xlpm.r, MATCH(1,('3. Enter Indicator Scores'!$B$10:$B$161=$B159)*('3. Enter Indicator Scores'!$C$10:$C$161=$C159),0),
  _xlpm.c, MATCH(AK$8,'3. Enter Indicator Scores'!$D$8:$CZ$8,0),
  _xlpm.v, IFERROR(INDEX('3. Enter Indicator Scores'!$D$10:$CZ$161,_xlpm.r,_xlpm.c),""),
  IF(OR(_xlpm.w="",_xlpm.v=""),"",_xlpm.v*_xlpm.w)
)</f>
        <v/>
      </c>
      <c r="AL159" s="93" t="str" cm="1">
        <f t="array" ref="AL159">_xlfn.LET(
  _xlpm.w, AL$11,
  _xlpm.r, MATCH(1,('3. Enter Indicator Scores'!$B$10:$B$161=$B159)*('3. Enter Indicator Scores'!$C$10:$C$161=$C159),0),
  _xlpm.c, MATCH(AL$8,'3. Enter Indicator Scores'!$D$8:$CZ$8,0),
  _xlpm.v, IFERROR(INDEX('3. Enter Indicator Scores'!$D$10:$CZ$161,_xlpm.r,_xlpm.c),""),
  IF(OR(_xlpm.w="",_xlpm.v=""),"",_xlpm.v*_xlpm.w)
)</f>
        <v/>
      </c>
      <c r="AM159" s="93" t="str" cm="1">
        <f t="array" ref="AM159">_xlfn.LET(
  _xlpm.w, AM$11,
  _xlpm.r, MATCH(1,('3. Enter Indicator Scores'!$B$10:$B$161=$B159)*('3. Enter Indicator Scores'!$C$10:$C$161=$C159),0),
  _xlpm.c, MATCH(AM$8,'3. Enter Indicator Scores'!$D$8:$CZ$8,0),
  _xlpm.v, IFERROR(INDEX('3. Enter Indicator Scores'!$D$10:$CZ$161,_xlpm.r,_xlpm.c),""),
  IF(OR(_xlpm.w="",_xlpm.v=""),"",_xlpm.v*_xlpm.w)
)</f>
        <v/>
      </c>
      <c r="AN159" s="93" t="str" cm="1">
        <f t="array" ref="AN159">_xlfn.LET(
  _xlpm.w, AN$11,
  _xlpm.r, MATCH(1,('3. Enter Indicator Scores'!$B$10:$B$161=$B159)*('3. Enter Indicator Scores'!$C$10:$C$161=$C159),0),
  _xlpm.c, MATCH(AN$8,'3. Enter Indicator Scores'!$D$8:$CZ$8,0),
  _xlpm.v, IFERROR(INDEX('3. Enter Indicator Scores'!$D$10:$CZ$161,_xlpm.r,_xlpm.c),""),
  IF(OR(_xlpm.w="",_xlpm.v=""),"",_xlpm.v*_xlpm.w)
)</f>
        <v/>
      </c>
      <c r="AO159" s="93" t="str" cm="1">
        <f t="array" ref="AO159">_xlfn.LET(
  _xlpm.w, AO$11,
  _xlpm.r, MATCH(1,('3. Enter Indicator Scores'!$B$10:$B$161=$B159)*('3. Enter Indicator Scores'!$C$10:$C$161=$C159),0),
  _xlpm.c, MATCH(AO$8,'3. Enter Indicator Scores'!$D$8:$CZ$8,0),
  _xlpm.v, IFERROR(INDEX('3. Enter Indicator Scores'!$D$10:$CZ$161,_xlpm.r,_xlpm.c),""),
  IF(OR(_xlpm.w="",_xlpm.v=""),"",_xlpm.v*_xlpm.w)
)</f>
        <v/>
      </c>
      <c r="AP159" s="93" t="str" cm="1">
        <f t="array" ref="AP159">_xlfn.LET(
  _xlpm.w, AP$11,
  _xlpm.r, MATCH(1,('3. Enter Indicator Scores'!$B$10:$B$161=$B159)*('3. Enter Indicator Scores'!$C$10:$C$161=$C159),0),
  _xlpm.c, MATCH(AP$8,'3. Enter Indicator Scores'!$D$8:$CZ$8,0),
  _xlpm.v, IFERROR(INDEX('3. Enter Indicator Scores'!$D$10:$CZ$161,_xlpm.r,_xlpm.c),""),
  IF(OR(_xlpm.w="",_xlpm.v=""),"",_xlpm.v*_xlpm.w)
)</f>
        <v/>
      </c>
      <c r="AQ159" s="93" t="str" cm="1">
        <f t="array" ref="AQ159">_xlfn.LET(
  _xlpm.w, AQ$11,
  _xlpm.r, MATCH(1,('3. Enter Indicator Scores'!$B$10:$B$161=$B159)*('3. Enter Indicator Scores'!$C$10:$C$161=$C159),0),
  _xlpm.c, MATCH(AQ$8,'3. Enter Indicator Scores'!$D$8:$CZ$8,0),
  _xlpm.v, IFERROR(INDEX('3. Enter Indicator Scores'!$D$10:$CZ$161,_xlpm.r,_xlpm.c),""),
  IF(OR(_xlpm.w="",_xlpm.v=""),"",_xlpm.v*_xlpm.w)
)</f>
        <v/>
      </c>
      <c r="AR159" s="93" t="str" cm="1">
        <f t="array" ref="AR159">_xlfn.LET(
  _xlpm.w, AR$11,
  _xlpm.r, MATCH(1,('3. Enter Indicator Scores'!$B$10:$B$161=$B159)*('3. Enter Indicator Scores'!$C$10:$C$161=$C159),0),
  _xlpm.c, MATCH(AR$8,'3. Enter Indicator Scores'!$D$8:$CZ$8,0),
  _xlpm.v, IFERROR(INDEX('3. Enter Indicator Scores'!$D$10:$CZ$161,_xlpm.r,_xlpm.c),""),
  IF(OR(_xlpm.w="",_xlpm.v=""),"",_xlpm.v*_xlpm.w)
)</f>
        <v/>
      </c>
      <c r="AS159" s="93" t="str" cm="1">
        <f t="array" ref="AS159">_xlfn.LET(
  _xlpm.w, AS$11,
  _xlpm.r, MATCH(1,('3. Enter Indicator Scores'!$B$10:$B$161=$B159)*('3. Enter Indicator Scores'!$C$10:$C$161=$C159),0),
  _xlpm.c, MATCH(AS$8,'3. Enter Indicator Scores'!$D$8:$CZ$8,0),
  _xlpm.v, IFERROR(INDEX('3. Enter Indicator Scores'!$D$10:$CZ$161,_xlpm.r,_xlpm.c),""),
  IF(OR(_xlpm.w="",_xlpm.v=""),"",_xlpm.v*_xlpm.w)
)</f>
        <v/>
      </c>
      <c r="AT159" s="93" t="str" cm="1">
        <f t="array" ref="AT159">_xlfn.LET(
  _xlpm.w, AT$11,
  _xlpm.r, MATCH(1,('3. Enter Indicator Scores'!$B$10:$B$161=$B159)*('3. Enter Indicator Scores'!$C$10:$C$161=$C159),0),
  _xlpm.c, MATCH(AT$8,'3. Enter Indicator Scores'!$D$8:$CZ$8,0),
  _xlpm.v, IFERROR(INDEX('3. Enter Indicator Scores'!$D$10:$CZ$161,_xlpm.r,_xlpm.c),""),
  IF(OR(_xlpm.w="",_xlpm.v=""),"",_xlpm.v*_xlpm.w)
)</f>
        <v/>
      </c>
      <c r="AU159" s="93" t="str" cm="1">
        <f t="array" ref="AU159">_xlfn.LET(
  _xlpm.w, AU$11,
  _xlpm.r, MATCH(1,('3. Enter Indicator Scores'!$B$10:$B$161=$B159)*('3. Enter Indicator Scores'!$C$10:$C$161=$C159),0),
  _xlpm.c, MATCH(AU$8,'3. Enter Indicator Scores'!$D$8:$CZ$8,0),
  _xlpm.v, IFERROR(INDEX('3. Enter Indicator Scores'!$D$10:$CZ$161,_xlpm.r,_xlpm.c),""),
  IF(OR(_xlpm.w="",_xlpm.v=""),"",_xlpm.v*_xlpm.w)
)</f>
        <v/>
      </c>
      <c r="AV159" s="93" t="str" cm="1">
        <f t="array" ref="AV159">_xlfn.LET(
  _xlpm.w, AV$11,
  _xlpm.r, MATCH(1,('3. Enter Indicator Scores'!$B$10:$B$161=$B159)*('3. Enter Indicator Scores'!$C$10:$C$161=$C159),0),
  _xlpm.c, MATCH(AV$8,'3. Enter Indicator Scores'!$D$8:$CZ$8,0),
  _xlpm.v, IFERROR(INDEX('3. Enter Indicator Scores'!$D$10:$CZ$161,_xlpm.r,_xlpm.c),""),
  IF(OR(_xlpm.w="",_xlpm.v=""),"",_xlpm.v*_xlpm.w)
)</f>
        <v/>
      </c>
      <c r="AW159" s="93" t="str" cm="1">
        <f t="array" ref="AW159">_xlfn.LET(
  _xlpm.w, AW$11,
  _xlpm.r, MATCH(1,('3. Enter Indicator Scores'!$B$10:$B$161=$B159)*('3. Enter Indicator Scores'!$C$10:$C$161=$C159),0),
  _xlpm.c, MATCH(AW$8,'3. Enter Indicator Scores'!$D$8:$CZ$8,0),
  _xlpm.v, IFERROR(INDEX('3. Enter Indicator Scores'!$D$10:$CZ$161,_xlpm.r,_xlpm.c),""),
  IF(OR(_xlpm.w="",_xlpm.v=""),"",_xlpm.v*_xlpm.w)
)</f>
        <v/>
      </c>
      <c r="AX159" s="93" t="str" cm="1">
        <f t="array" ref="AX159">_xlfn.LET(
  _xlpm.w, AX$11,
  _xlpm.r, MATCH(1,('3. Enter Indicator Scores'!$B$10:$B$161=$B159)*('3. Enter Indicator Scores'!$C$10:$C$161=$C159),0),
  _xlpm.c, MATCH(AX$8,'3. Enter Indicator Scores'!$D$8:$CZ$8,0),
  _xlpm.v, IFERROR(INDEX('3. Enter Indicator Scores'!$D$10:$CZ$161,_xlpm.r,_xlpm.c),""),
  IF(OR(_xlpm.w="",_xlpm.v=""),"",_xlpm.v*_xlpm.w)
)</f>
        <v/>
      </c>
      <c r="AY159" s="93" t="str" cm="1">
        <f t="array" ref="AY159">_xlfn.LET(
  _xlpm.w, AY$11,
  _xlpm.r, MATCH(1,('3. Enter Indicator Scores'!$B$10:$B$161=$B159)*('3. Enter Indicator Scores'!$C$10:$C$161=$C159),0),
  _xlpm.c, MATCH(AY$8,'3. Enter Indicator Scores'!$D$8:$CZ$8,0),
  _xlpm.v, IFERROR(INDEX('3. Enter Indicator Scores'!$D$10:$CZ$161,_xlpm.r,_xlpm.c),""),
  IF(OR(_xlpm.w="",_xlpm.v=""),"",_xlpm.v*_xlpm.w)
)</f>
        <v/>
      </c>
      <c r="AZ159" s="93" t="str" cm="1">
        <f t="array" ref="AZ159">_xlfn.LET(
  _xlpm.w, AZ$11,
  _xlpm.r, MATCH(1,('3. Enter Indicator Scores'!$B$10:$B$161=$B159)*('3. Enter Indicator Scores'!$C$10:$C$161=$C159),0),
  _xlpm.c, MATCH(AZ$8,'3. Enter Indicator Scores'!$D$8:$CZ$8,0),
  _xlpm.v, IFERROR(INDEX('3. Enter Indicator Scores'!$D$10:$CZ$161,_xlpm.r,_xlpm.c),""),
  IF(OR(_xlpm.w="",_xlpm.v=""),"",_xlpm.v*_xlpm.w)
)</f>
        <v/>
      </c>
      <c r="BA159" s="93" t="str" cm="1">
        <f t="array" ref="BA159">_xlfn.LET(
  _xlpm.w, BA$11,
  _xlpm.r, MATCH(1,('3. Enter Indicator Scores'!$B$10:$B$161=$B159)*('3. Enter Indicator Scores'!$C$10:$C$161=$C159),0),
  _xlpm.c, MATCH(BA$8,'3. Enter Indicator Scores'!$D$8:$CZ$8,0),
  _xlpm.v, IFERROR(INDEX('3. Enter Indicator Scores'!$D$10:$CZ$161,_xlpm.r,_xlpm.c),""),
  IF(OR(_xlpm.w="",_xlpm.v=""),"",_xlpm.v*_xlpm.w)
)</f>
        <v/>
      </c>
      <c r="BB159" s="93" t="str" cm="1">
        <f t="array" ref="BB159">_xlfn.LET(
  _xlpm.w, BB$11,
  _xlpm.r, MATCH(1,('3. Enter Indicator Scores'!$B$10:$B$161=$B159)*('3. Enter Indicator Scores'!$C$10:$C$161=$C159),0),
  _xlpm.c, MATCH(BB$8,'3. Enter Indicator Scores'!$D$8:$CZ$8,0),
  _xlpm.v, IFERROR(INDEX('3. Enter Indicator Scores'!$D$10:$CZ$161,_xlpm.r,_xlpm.c),""),
  IF(OR(_xlpm.w="",_xlpm.v=""),"",_xlpm.v*_xlpm.w)
)</f>
        <v/>
      </c>
      <c r="BC159" s="93" t="str" cm="1">
        <f t="array" ref="BC159">_xlfn.LET(
  _xlpm.w, BC$11,
  _xlpm.r, MATCH(1,('3. Enter Indicator Scores'!$B$10:$B$161=$B159)*('3. Enter Indicator Scores'!$C$10:$C$161=$C159),0),
  _xlpm.c, MATCH(BC$8,'3. Enter Indicator Scores'!$D$8:$CZ$8,0),
  _xlpm.v, IFERROR(INDEX('3. Enter Indicator Scores'!$D$10:$CZ$161,_xlpm.r,_xlpm.c),""),
  IF(OR(_xlpm.w="",_xlpm.v=""),"",_xlpm.v*_xlpm.w)
)</f>
        <v/>
      </c>
      <c r="BD159" s="93" t="str" cm="1">
        <f t="array" ref="BD159">_xlfn.LET(
  _xlpm.w, BD$11,
  _xlpm.r, MATCH(1,('3. Enter Indicator Scores'!$B$10:$B$161=$B159)*('3. Enter Indicator Scores'!$C$10:$C$161=$C159),0),
  _xlpm.c, MATCH(BD$8,'3. Enter Indicator Scores'!$D$8:$CZ$8,0),
  _xlpm.v, IFERROR(INDEX('3. Enter Indicator Scores'!$D$10:$CZ$161,_xlpm.r,_xlpm.c),""),
  IF(OR(_xlpm.w="",_xlpm.v=""),"",_xlpm.v*_xlpm.w)
)</f>
        <v/>
      </c>
      <c r="BE159" s="93" t="str" cm="1">
        <f t="array" ref="BE159">_xlfn.LET(
  _xlpm.w, BE$11,
  _xlpm.r, MATCH(1,('3. Enter Indicator Scores'!$B$10:$B$161=$B159)*('3. Enter Indicator Scores'!$C$10:$C$161=$C159),0),
  _xlpm.c, MATCH(BE$8,'3. Enter Indicator Scores'!$D$8:$CZ$8,0),
  _xlpm.v, IFERROR(INDEX('3. Enter Indicator Scores'!$D$10:$CZ$161,_xlpm.r,_xlpm.c),""),
  IF(OR(_xlpm.w="",_xlpm.v=""),"",_xlpm.v*_xlpm.w)
)</f>
        <v/>
      </c>
      <c r="BF159" s="93" t="str" cm="1">
        <f t="array" ref="BF159">_xlfn.LET(
  _xlpm.w, BF$11,
  _xlpm.r, MATCH(1,('3. Enter Indicator Scores'!$B$10:$B$161=$B159)*('3. Enter Indicator Scores'!$C$10:$C$161=$C159),0),
  _xlpm.c, MATCH(BF$8,'3. Enter Indicator Scores'!$D$8:$CZ$8,0),
  _xlpm.v, IFERROR(INDEX('3. Enter Indicator Scores'!$D$10:$CZ$161,_xlpm.r,_xlpm.c),""),
  IF(OR(_xlpm.w="",_xlpm.v=""),"",_xlpm.v*_xlpm.w)
)</f>
        <v/>
      </c>
      <c r="BG159" s="93" t="str" cm="1">
        <f t="array" ref="BG159">_xlfn.LET(
  _xlpm.w, BG$11,
  _xlpm.r, MATCH(1,('3. Enter Indicator Scores'!$B$10:$B$161=$B159)*('3. Enter Indicator Scores'!$C$10:$C$161=$C159),0),
  _xlpm.c, MATCH(BG$8,'3. Enter Indicator Scores'!$D$8:$CZ$8,0),
  _xlpm.v, IFERROR(INDEX('3. Enter Indicator Scores'!$D$10:$CZ$161,_xlpm.r,_xlpm.c),""),
  IF(OR(_xlpm.w="",_xlpm.v=""),"",_xlpm.v*_xlpm.w)
)</f>
        <v/>
      </c>
      <c r="BH159" s="93" t="str" cm="1">
        <f t="array" ref="BH159">_xlfn.LET(
  _xlpm.w, BH$11,
  _xlpm.r, MATCH(1,('3. Enter Indicator Scores'!$B$10:$B$161=$B159)*('3. Enter Indicator Scores'!$C$10:$C$161=$C159),0),
  _xlpm.c, MATCH(BH$8,'3. Enter Indicator Scores'!$D$8:$CZ$8,0),
  _xlpm.v, IFERROR(INDEX('3. Enter Indicator Scores'!$D$10:$CZ$161,_xlpm.r,_xlpm.c),""),
  IF(OR(_xlpm.w="",_xlpm.v=""),"",_xlpm.v*_xlpm.w)
)</f>
        <v/>
      </c>
      <c r="BI159" s="93" t="str" cm="1">
        <f t="array" ref="BI159">_xlfn.LET(
  _xlpm.w, BI$11,
  _xlpm.r, MATCH(1,('3. Enter Indicator Scores'!$B$10:$B$161=$B159)*('3. Enter Indicator Scores'!$C$10:$C$161=$C159),0),
  _xlpm.c, MATCH(BI$8,'3. Enter Indicator Scores'!$D$8:$CZ$8,0),
  _xlpm.v, IFERROR(INDEX('3. Enter Indicator Scores'!$D$10:$CZ$161,_xlpm.r,_xlpm.c),""),
  IF(OR(_xlpm.w="",_xlpm.v=""),"",_xlpm.v*_xlpm.w)
)</f>
        <v/>
      </c>
      <c r="BJ159" s="93" t="str" cm="1">
        <f t="array" ref="BJ159">_xlfn.LET(
  _xlpm.w, BJ$11,
  _xlpm.r, MATCH(1,('3. Enter Indicator Scores'!$B$10:$B$161=$B159)*('3. Enter Indicator Scores'!$C$10:$C$161=$C159),0),
  _xlpm.c, MATCH(BJ$8,'3. Enter Indicator Scores'!$D$8:$CZ$8,0),
  _xlpm.v, IFERROR(INDEX('3. Enter Indicator Scores'!$D$10:$CZ$161,_xlpm.r,_xlpm.c),""),
  IF(OR(_xlpm.w="",_xlpm.v=""),"",_xlpm.v*_xlpm.w)
)</f>
        <v/>
      </c>
      <c r="BK159" s="93" t="str" cm="1">
        <f t="array" ref="BK159">_xlfn.LET(
  _xlpm.w, BK$11,
  _xlpm.r, MATCH(1,('3. Enter Indicator Scores'!$B$10:$B$161=$B159)*('3. Enter Indicator Scores'!$C$10:$C$161=$C159),0),
  _xlpm.c, MATCH(BK$8,'3. Enter Indicator Scores'!$D$8:$CZ$8,0),
  _xlpm.v, IFERROR(INDEX('3. Enter Indicator Scores'!$D$10:$CZ$161,_xlpm.r,_xlpm.c),""),
  IF(OR(_xlpm.w="",_xlpm.v=""),"",_xlpm.v*_xlpm.w)
)</f>
        <v/>
      </c>
      <c r="BL159" s="93" t="str" cm="1">
        <f t="array" ref="BL159">_xlfn.LET(
  _xlpm.w, BL$11,
  _xlpm.r, MATCH(1,('3. Enter Indicator Scores'!$B$10:$B$161=$B159)*('3. Enter Indicator Scores'!$C$10:$C$161=$C159),0),
  _xlpm.c, MATCH(BL$8,'3. Enter Indicator Scores'!$D$8:$CZ$8,0),
  _xlpm.v, IFERROR(INDEX('3. Enter Indicator Scores'!$D$10:$CZ$161,_xlpm.r,_xlpm.c),""),
  IF(OR(_xlpm.w="",_xlpm.v=""),"",_xlpm.v*_xlpm.w)
)</f>
        <v/>
      </c>
      <c r="BM159" s="93" t="str" cm="1">
        <f t="array" ref="BM159">_xlfn.LET(
  _xlpm.w, BM$11,
  _xlpm.r, MATCH(1,('3. Enter Indicator Scores'!$B$10:$B$161=$B159)*('3. Enter Indicator Scores'!$C$10:$C$161=$C159),0),
  _xlpm.c, MATCH(BM$8,'3. Enter Indicator Scores'!$D$8:$CZ$8,0),
  _xlpm.v, IFERROR(INDEX('3. Enter Indicator Scores'!$D$10:$CZ$161,_xlpm.r,_xlpm.c),""),
  IF(OR(_xlpm.w="",_xlpm.v=""),"",_xlpm.v*_xlpm.w)
)</f>
        <v/>
      </c>
      <c r="BN159" s="93" t="str" cm="1">
        <f t="array" ref="BN159">_xlfn.LET(
  _xlpm.w, BN$11,
  _xlpm.r, MATCH(1,('3. Enter Indicator Scores'!$B$10:$B$161=$B159)*('3. Enter Indicator Scores'!$C$10:$C$161=$C159),0),
  _xlpm.c, MATCH(BN$8,'3. Enter Indicator Scores'!$D$8:$CZ$8,0),
  _xlpm.v, IFERROR(INDEX('3. Enter Indicator Scores'!$D$10:$CZ$161,_xlpm.r,_xlpm.c),""),
  IF(OR(_xlpm.w="",_xlpm.v=""),"",_xlpm.v*_xlpm.w)
)</f>
        <v/>
      </c>
      <c r="BO159" s="93" t="str" cm="1">
        <f t="array" ref="BO159">_xlfn.LET(
  _xlpm.w, BO$11,
  _xlpm.r, MATCH(1,('3. Enter Indicator Scores'!$B$10:$B$161=$B159)*('3. Enter Indicator Scores'!$C$10:$C$161=$C159),0),
  _xlpm.c, MATCH(BO$8,'3. Enter Indicator Scores'!$D$8:$CZ$8,0),
  _xlpm.v, IFERROR(INDEX('3. Enter Indicator Scores'!$D$10:$CZ$161,_xlpm.r,_xlpm.c),""),
  IF(OR(_xlpm.w="",_xlpm.v=""),"",_xlpm.v*_xlpm.w)
)</f>
        <v/>
      </c>
      <c r="BP159" s="93" t="str" cm="1">
        <f t="array" ref="BP159">_xlfn.LET(
  _xlpm.w, BP$11,
  _xlpm.r, MATCH(1,('3. Enter Indicator Scores'!$B$10:$B$161=$B159)*('3. Enter Indicator Scores'!$C$10:$C$161=$C159),0),
  _xlpm.c, MATCH(BP$8,'3. Enter Indicator Scores'!$D$8:$CZ$8,0),
  _xlpm.v, IFERROR(INDEX('3. Enter Indicator Scores'!$D$10:$CZ$161,_xlpm.r,_xlpm.c),""),
  IF(OR(_xlpm.w="",_xlpm.v=""),"",_xlpm.v*_xlpm.w)
)</f>
        <v/>
      </c>
      <c r="BQ159" s="93" t="str" cm="1">
        <f t="array" ref="BQ159">_xlfn.LET(
  _xlpm.w, BQ$11,
  _xlpm.r, MATCH(1,('3. Enter Indicator Scores'!$B$10:$B$161=$B159)*('3. Enter Indicator Scores'!$C$10:$C$161=$C159),0),
  _xlpm.c, MATCH(BQ$8,'3. Enter Indicator Scores'!$D$8:$CZ$8,0),
  _xlpm.v, IFERROR(INDEX('3. Enter Indicator Scores'!$D$10:$CZ$161,_xlpm.r,_xlpm.c),""),
  IF(OR(_xlpm.w="",_xlpm.v=""),"",_xlpm.v*_xlpm.w)
)</f>
        <v/>
      </c>
      <c r="BR159" s="93" t="str" cm="1">
        <f t="array" ref="BR159">_xlfn.LET(
  _xlpm.w, BR$11,
  _xlpm.r, MATCH(1,('3. Enter Indicator Scores'!$B$10:$B$161=$B159)*('3. Enter Indicator Scores'!$C$10:$C$161=$C159),0),
  _xlpm.c, MATCH(BR$8,'3. Enter Indicator Scores'!$D$8:$CZ$8,0),
  _xlpm.v, IFERROR(INDEX('3. Enter Indicator Scores'!$D$10:$CZ$161,_xlpm.r,_xlpm.c),""),
  IF(OR(_xlpm.w="",_xlpm.v=""),"",_xlpm.v*_xlpm.w)
)</f>
        <v/>
      </c>
      <c r="BS159" s="93" t="str" cm="1">
        <f t="array" ref="BS159">_xlfn.LET(
  _xlpm.w, BS$11,
  _xlpm.r, MATCH(1,('3. Enter Indicator Scores'!$B$10:$B$161=$B159)*('3. Enter Indicator Scores'!$C$10:$C$161=$C159),0),
  _xlpm.c, MATCH(BS$8,'3. Enter Indicator Scores'!$D$8:$CZ$8,0),
  _xlpm.v, IFERROR(INDEX('3. Enter Indicator Scores'!$D$10:$CZ$161,_xlpm.r,_xlpm.c),""),
  IF(OR(_xlpm.w="",_xlpm.v=""),"",_xlpm.v*_xlpm.w)
)</f>
        <v/>
      </c>
      <c r="BT159" s="93" t="str" cm="1">
        <f t="array" ref="BT159">_xlfn.LET(
  _xlpm.w, BT$11,
  _xlpm.r, MATCH(1,('3. Enter Indicator Scores'!$B$10:$B$161=$B159)*('3. Enter Indicator Scores'!$C$10:$C$161=$C159),0),
  _xlpm.c, MATCH(BT$8,'3. Enter Indicator Scores'!$D$8:$CZ$8,0),
  _xlpm.v, IFERROR(INDEX('3. Enter Indicator Scores'!$D$10:$CZ$161,_xlpm.r,_xlpm.c),""),
  IF(OR(_xlpm.w="",_xlpm.v=""),"",_xlpm.v*_xlpm.w)
)</f>
        <v/>
      </c>
      <c r="BU159" s="93" t="str" cm="1">
        <f t="array" ref="BU159">_xlfn.LET(
  _xlpm.w, BU$11,
  _xlpm.r, MATCH(1,('3. Enter Indicator Scores'!$B$10:$B$161=$B159)*('3. Enter Indicator Scores'!$C$10:$C$161=$C159),0),
  _xlpm.c, MATCH(BU$8,'3. Enter Indicator Scores'!$D$8:$CZ$8,0),
  _xlpm.v, IFERROR(INDEX('3. Enter Indicator Scores'!$D$10:$CZ$161,_xlpm.r,_xlpm.c),""),
  IF(OR(_xlpm.w="",_xlpm.v=""),"",_xlpm.v*_xlpm.w)
)</f>
        <v/>
      </c>
      <c r="BV159" s="93" t="str" cm="1">
        <f t="array" ref="BV159">_xlfn.LET(
  _xlpm.w, BV$11,
  _xlpm.r, MATCH(1,('3. Enter Indicator Scores'!$B$10:$B$161=$B159)*('3. Enter Indicator Scores'!$C$10:$C$161=$C159),0),
  _xlpm.c, MATCH(BV$8,'3. Enter Indicator Scores'!$D$8:$CZ$8,0),
  _xlpm.v, IFERROR(INDEX('3. Enter Indicator Scores'!$D$10:$CZ$161,_xlpm.r,_xlpm.c),""),
  IF(OR(_xlpm.w="",_xlpm.v=""),"",_xlpm.v*_xlpm.w)
)</f>
        <v/>
      </c>
      <c r="BW159" s="93" t="str" cm="1">
        <f t="array" ref="BW159">_xlfn.LET(
  _xlpm.w, BW$11,
  _xlpm.r, MATCH(1,('3. Enter Indicator Scores'!$B$10:$B$161=$B159)*('3. Enter Indicator Scores'!$C$10:$C$161=$C159),0),
  _xlpm.c, MATCH(BW$8,'3. Enter Indicator Scores'!$D$8:$CZ$8,0),
  _xlpm.v, IFERROR(INDEX('3. Enter Indicator Scores'!$D$10:$CZ$161,_xlpm.r,_xlpm.c),""),
  IF(OR(_xlpm.w="",_xlpm.v=""),"",_xlpm.v*_xlpm.w)
)</f>
        <v/>
      </c>
      <c r="BX159" s="93" t="str" cm="1">
        <f t="array" ref="BX159">_xlfn.LET(
  _xlpm.w, BX$11,
  _xlpm.r, MATCH(1,('3. Enter Indicator Scores'!$B$10:$B$161=$B159)*('3. Enter Indicator Scores'!$C$10:$C$161=$C159),0),
  _xlpm.c, MATCH(BX$8,'3. Enter Indicator Scores'!$D$8:$CZ$8,0),
  _xlpm.v, IFERROR(INDEX('3. Enter Indicator Scores'!$D$10:$CZ$161,_xlpm.r,_xlpm.c),""),
  IF(OR(_xlpm.w="",_xlpm.v=""),"",_xlpm.v*_xlpm.w)
)</f>
        <v/>
      </c>
      <c r="BY159" s="93" t="str" cm="1">
        <f t="array" ref="BY159">_xlfn.LET(
  _xlpm.w, BY$11,
  _xlpm.r, MATCH(1,('3. Enter Indicator Scores'!$B$10:$B$161=$B159)*('3. Enter Indicator Scores'!$C$10:$C$161=$C159),0),
  _xlpm.c, MATCH(BY$8,'3. Enter Indicator Scores'!$D$8:$CZ$8,0),
  _xlpm.v, IFERROR(INDEX('3. Enter Indicator Scores'!$D$10:$CZ$161,_xlpm.r,_xlpm.c),""),
  IF(OR(_xlpm.w="",_xlpm.v=""),"",_xlpm.v*_xlpm.w)
)</f>
        <v/>
      </c>
      <c r="BZ159" s="93" t="str" cm="1">
        <f t="array" ref="BZ159">_xlfn.LET(
  _xlpm.w, BZ$11,
  _xlpm.r, MATCH(1,('3. Enter Indicator Scores'!$B$10:$B$161=$B159)*('3. Enter Indicator Scores'!$C$10:$C$161=$C159),0),
  _xlpm.c, MATCH(BZ$8,'3. Enter Indicator Scores'!$D$8:$CZ$8,0),
  _xlpm.v, IFERROR(INDEX('3. Enter Indicator Scores'!$D$10:$CZ$161,_xlpm.r,_xlpm.c),""),
  IF(OR(_xlpm.w="",_xlpm.v=""),"",_xlpm.v*_xlpm.w)
)</f>
        <v/>
      </c>
      <c r="CA159" s="93" t="str" cm="1">
        <f t="array" ref="CA159">_xlfn.LET(
  _xlpm.w, CA$11,
  _xlpm.r, MATCH(1,('3. Enter Indicator Scores'!$B$10:$B$161=$B159)*('3. Enter Indicator Scores'!$C$10:$C$161=$C159),0),
  _xlpm.c, MATCH(CA$8,'3. Enter Indicator Scores'!$D$8:$CZ$8,0),
  _xlpm.v, IFERROR(INDEX('3. Enter Indicator Scores'!$D$10:$CZ$161,_xlpm.r,_xlpm.c),""),
  IF(OR(_xlpm.w="",_xlpm.v=""),"",_xlpm.v*_xlpm.w)
)</f>
        <v/>
      </c>
      <c r="CB159" s="93" t="str" cm="1">
        <f t="array" ref="CB159">_xlfn.LET(
  _xlpm.w, CB$11,
  _xlpm.r, MATCH(1,('3. Enter Indicator Scores'!$B$10:$B$161=$B159)*('3. Enter Indicator Scores'!$C$10:$C$161=$C159),0),
  _xlpm.c, MATCH(CB$8,'3. Enter Indicator Scores'!$D$8:$CZ$8,0),
  _xlpm.v, IFERROR(INDEX('3. Enter Indicator Scores'!$D$10:$CZ$161,_xlpm.r,_xlpm.c),""),
  IF(OR(_xlpm.w="",_xlpm.v=""),"",_xlpm.v*_xlpm.w)
)</f>
        <v/>
      </c>
      <c r="CC159" s="93" t="str" cm="1">
        <f t="array" ref="CC159">_xlfn.LET(
  _xlpm.w, CC$11,
  _xlpm.r, MATCH(1,('3. Enter Indicator Scores'!$B$10:$B$161=$B159)*('3. Enter Indicator Scores'!$C$10:$C$161=$C159),0),
  _xlpm.c, MATCH(CC$8,'3. Enter Indicator Scores'!$D$8:$CZ$8,0),
  _xlpm.v, IFERROR(INDEX('3. Enter Indicator Scores'!$D$10:$CZ$161,_xlpm.r,_xlpm.c),""),
  IF(OR(_xlpm.w="",_xlpm.v=""),"",_xlpm.v*_xlpm.w)
)</f>
        <v/>
      </c>
      <c r="CD159" s="93" t="str" cm="1">
        <f t="array" ref="CD159">_xlfn.LET(
  _xlpm.w, CD$11,
  _xlpm.r, MATCH(1,('3. Enter Indicator Scores'!$B$10:$B$161=$B159)*('3. Enter Indicator Scores'!$C$10:$C$161=$C159),0),
  _xlpm.c, MATCH(CD$8,'3. Enter Indicator Scores'!$D$8:$CZ$8,0),
  _xlpm.v, IFERROR(INDEX('3. Enter Indicator Scores'!$D$10:$CZ$161,_xlpm.r,_xlpm.c),""),
  IF(OR(_xlpm.w="",_xlpm.v=""),"",_xlpm.v*_xlpm.w)
)</f>
        <v/>
      </c>
      <c r="CE159" s="93" t="str" cm="1">
        <f t="array" ref="CE159">_xlfn.LET(
  _xlpm.w, CE$11,
  _xlpm.r, MATCH(1,('3. Enter Indicator Scores'!$B$10:$B$161=$B159)*('3. Enter Indicator Scores'!$C$10:$C$161=$C159),0),
  _xlpm.c, MATCH(CE$8,'3. Enter Indicator Scores'!$D$8:$CZ$8,0),
  _xlpm.v, IFERROR(INDEX('3. Enter Indicator Scores'!$D$10:$CZ$161,_xlpm.r,_xlpm.c),""),
  IF(OR(_xlpm.w="",_xlpm.v=""),"",_xlpm.v*_xlpm.w)
)</f>
        <v/>
      </c>
      <c r="CF159" s="93" t="str" cm="1">
        <f t="array" ref="CF159">_xlfn.LET(
  _xlpm.w, CF$11,
  _xlpm.r, MATCH(1,('3. Enter Indicator Scores'!$B$10:$B$161=$B159)*('3. Enter Indicator Scores'!$C$10:$C$161=$C159),0),
  _xlpm.c, MATCH(CF$8,'3. Enter Indicator Scores'!$D$8:$CZ$8,0),
  _xlpm.v, IFERROR(INDEX('3. Enter Indicator Scores'!$D$10:$CZ$161,_xlpm.r,_xlpm.c),""),
  IF(OR(_xlpm.w="",_xlpm.v=""),"",_xlpm.v*_xlpm.w)
)</f>
        <v/>
      </c>
      <c r="CG159" s="93" t="str" cm="1">
        <f t="array" ref="CG159">_xlfn.LET(
  _xlpm.w, CG$11,
  _xlpm.r, MATCH(1,('3. Enter Indicator Scores'!$B$10:$B$161=$B159)*('3. Enter Indicator Scores'!$C$10:$C$161=$C159),0),
  _xlpm.c, MATCH(CG$8,'3. Enter Indicator Scores'!$D$8:$CZ$8,0),
  _xlpm.v, IFERROR(INDEX('3. Enter Indicator Scores'!$D$10:$CZ$161,_xlpm.r,_xlpm.c),""),
  IF(OR(_xlpm.w="",_xlpm.v=""),"",_xlpm.v*_xlpm.w)
)</f>
        <v/>
      </c>
      <c r="CH159" s="93" t="str" cm="1">
        <f t="array" ref="CH159">_xlfn.LET(
  _xlpm.w, CH$11,
  _xlpm.r, MATCH(1,('3. Enter Indicator Scores'!$B$10:$B$161=$B159)*('3. Enter Indicator Scores'!$C$10:$C$161=$C159),0),
  _xlpm.c, MATCH(CH$8,'3. Enter Indicator Scores'!$D$8:$CZ$8,0),
  _xlpm.v, IFERROR(INDEX('3. Enter Indicator Scores'!$D$10:$CZ$161,_xlpm.r,_xlpm.c),""),
  IF(OR(_xlpm.w="",_xlpm.v=""),"",_xlpm.v*_xlpm.w)
)</f>
        <v/>
      </c>
      <c r="CI159" s="93" t="str" cm="1">
        <f t="array" ref="CI159">_xlfn.LET(
  _xlpm.w, CI$11,
  _xlpm.r, MATCH(1,('3. Enter Indicator Scores'!$B$10:$B$161=$B159)*('3. Enter Indicator Scores'!$C$10:$C$161=$C159),0),
  _xlpm.c, MATCH(CI$8,'3. Enter Indicator Scores'!$D$8:$CZ$8,0),
  _xlpm.v, IFERROR(INDEX('3. Enter Indicator Scores'!$D$10:$CZ$161,_xlpm.r,_xlpm.c),""),
  IF(OR(_xlpm.w="",_xlpm.v=""),"",_xlpm.v*_xlpm.w)
)</f>
        <v/>
      </c>
      <c r="CJ159" s="93" t="str" cm="1">
        <f t="array" ref="CJ159">_xlfn.LET(
  _xlpm.w, CJ$11,
  _xlpm.r, MATCH(1,('3. Enter Indicator Scores'!$B$10:$B$161=$B159)*('3. Enter Indicator Scores'!$C$10:$C$161=$C159),0),
  _xlpm.c, MATCH(CJ$8,'3. Enter Indicator Scores'!$D$8:$CZ$8,0),
  _xlpm.v, IFERROR(INDEX('3. Enter Indicator Scores'!$D$10:$CZ$161,_xlpm.r,_xlpm.c),""),
  IF(OR(_xlpm.w="",_xlpm.v=""),"",_xlpm.v*_xlpm.w)
)</f>
        <v/>
      </c>
      <c r="CK159" s="93" t="str" cm="1">
        <f t="array" ref="CK159">_xlfn.LET(
  _xlpm.w, CK$11,
  _xlpm.r, MATCH(1,('3. Enter Indicator Scores'!$B$10:$B$161=$B159)*('3. Enter Indicator Scores'!$C$10:$C$161=$C159),0),
  _xlpm.c, MATCH(CK$8,'3. Enter Indicator Scores'!$D$8:$CZ$8,0),
  _xlpm.v, IFERROR(INDEX('3. Enter Indicator Scores'!$D$10:$CZ$161,_xlpm.r,_xlpm.c),""),
  IF(OR(_xlpm.w="",_xlpm.v=""),"",_xlpm.v*_xlpm.w)
)</f>
        <v/>
      </c>
      <c r="CL159" s="93" t="str" cm="1">
        <f t="array" ref="CL159">_xlfn.LET(
  _xlpm.w, CL$11,
  _xlpm.r, MATCH(1,('3. Enter Indicator Scores'!$B$10:$B$161=$B159)*('3. Enter Indicator Scores'!$C$10:$C$161=$C159),0),
  _xlpm.c, MATCH(CL$8,'3. Enter Indicator Scores'!$D$8:$CZ$8,0),
  _xlpm.v, IFERROR(INDEX('3. Enter Indicator Scores'!$D$10:$CZ$161,_xlpm.r,_xlpm.c),""),
  IF(OR(_xlpm.w="",_xlpm.v=""),"",_xlpm.v*_xlpm.w)
)</f>
        <v/>
      </c>
      <c r="CM159" s="93" t="str" cm="1">
        <f t="array" ref="CM159">_xlfn.LET(
  _xlpm.w, CM$11,
  _xlpm.r, MATCH(1,('3. Enter Indicator Scores'!$B$10:$B$161=$B159)*('3. Enter Indicator Scores'!$C$10:$C$161=$C159),0),
  _xlpm.c, MATCH(CM$8,'3. Enter Indicator Scores'!$D$8:$CZ$8,0),
  _xlpm.v, IFERROR(INDEX('3. Enter Indicator Scores'!$D$10:$CZ$161,_xlpm.r,_xlpm.c),""),
  IF(OR(_xlpm.w="",_xlpm.v=""),"",_xlpm.v*_xlpm.w)
)</f>
        <v/>
      </c>
      <c r="CN159" s="93" t="str" cm="1">
        <f t="array" ref="CN159">_xlfn.LET(
  _xlpm.w, CN$11,
  _xlpm.r, MATCH(1,('3. Enter Indicator Scores'!$B$10:$B$161=$B159)*('3. Enter Indicator Scores'!$C$10:$C$161=$C159),0),
  _xlpm.c, MATCH(CN$8,'3. Enter Indicator Scores'!$D$8:$CZ$8,0),
  _xlpm.v, IFERROR(INDEX('3. Enter Indicator Scores'!$D$10:$CZ$161,_xlpm.r,_xlpm.c),""),
  IF(OR(_xlpm.w="",_xlpm.v=""),"",_xlpm.v*_xlpm.w)
)</f>
        <v/>
      </c>
      <c r="CO159" s="93" t="str" cm="1">
        <f t="array" ref="CO159">_xlfn.LET(
  _xlpm.w, CO$11,
  _xlpm.r, MATCH(1,('3. Enter Indicator Scores'!$B$10:$B$161=$B159)*('3. Enter Indicator Scores'!$C$10:$C$161=$C159),0),
  _xlpm.c, MATCH(CO$8,'3. Enter Indicator Scores'!$D$8:$CZ$8,0),
  _xlpm.v, IFERROR(INDEX('3. Enter Indicator Scores'!$D$10:$CZ$161,_xlpm.r,_xlpm.c),""),
  IF(OR(_xlpm.w="",_xlpm.v=""),"",_xlpm.v*_xlpm.w)
)</f>
        <v/>
      </c>
      <c r="CP159" s="93" t="str" cm="1">
        <f t="array" ref="CP159">_xlfn.LET(
  _xlpm.w, CP$11,
  _xlpm.r, MATCH(1,('3. Enter Indicator Scores'!$B$10:$B$161=$B159)*('3. Enter Indicator Scores'!$C$10:$C$161=$C159),0),
  _xlpm.c, MATCH(CP$8,'3. Enter Indicator Scores'!$D$8:$CZ$8,0),
  _xlpm.v, IFERROR(INDEX('3. Enter Indicator Scores'!$D$10:$CZ$161,_xlpm.r,_xlpm.c),""),
  IF(OR(_xlpm.w="",_xlpm.v=""),"",_xlpm.v*_xlpm.w)
)</f>
        <v/>
      </c>
      <c r="CQ159" s="93" t="str" cm="1">
        <f t="array" ref="CQ159">_xlfn.LET(
  _xlpm.w, CQ$11,
  _xlpm.r, MATCH(1,('3. Enter Indicator Scores'!$B$10:$B$161=$B159)*('3. Enter Indicator Scores'!$C$10:$C$161=$C159),0),
  _xlpm.c, MATCH(CQ$8,'3. Enter Indicator Scores'!$D$8:$CZ$8,0),
  _xlpm.v, IFERROR(INDEX('3. Enter Indicator Scores'!$D$10:$CZ$161,_xlpm.r,_xlpm.c),""),
  IF(OR(_xlpm.w="",_xlpm.v=""),"",_xlpm.v*_xlpm.w)
)</f>
        <v/>
      </c>
      <c r="CR159" s="93" t="str" cm="1">
        <f t="array" ref="CR159">_xlfn.LET(
  _xlpm.w, CR$11,
  _xlpm.r, MATCH(1,('3. Enter Indicator Scores'!$B$10:$B$161=$B159)*('3. Enter Indicator Scores'!$C$10:$C$161=$C159),0),
  _xlpm.c, MATCH(CR$8,'3. Enter Indicator Scores'!$D$8:$CZ$8,0),
  _xlpm.v, IFERROR(INDEX('3. Enter Indicator Scores'!$D$10:$CZ$161,_xlpm.r,_xlpm.c),""),
  IF(OR(_xlpm.w="",_xlpm.v=""),"",_xlpm.v*_xlpm.w)
)</f>
        <v/>
      </c>
      <c r="CS159" s="93" t="str" cm="1">
        <f t="array" ref="CS159">_xlfn.LET(
  _xlpm.w, CS$11,
  _xlpm.r, MATCH(1,('3. Enter Indicator Scores'!$B$10:$B$161=$B159)*('3. Enter Indicator Scores'!$C$10:$C$161=$C159),0),
  _xlpm.c, MATCH(CS$8,'3. Enter Indicator Scores'!$D$8:$CZ$8,0),
  _xlpm.v, IFERROR(INDEX('3. Enter Indicator Scores'!$D$10:$CZ$161,_xlpm.r,_xlpm.c),""),
  IF(OR(_xlpm.w="",_xlpm.v=""),"",_xlpm.v*_xlpm.w)
)</f>
        <v/>
      </c>
      <c r="CT159" s="93" t="str" cm="1">
        <f t="array" ref="CT159">_xlfn.LET(
  _xlpm.w, CT$11,
  _xlpm.r, MATCH(1,('3. Enter Indicator Scores'!$B$10:$B$161=$B159)*('3. Enter Indicator Scores'!$C$10:$C$161=$C159),0),
  _xlpm.c, MATCH(CT$8,'3. Enter Indicator Scores'!$D$8:$CZ$8,0),
  _xlpm.v, IFERROR(INDEX('3. Enter Indicator Scores'!$D$10:$CZ$161,_xlpm.r,_xlpm.c),""),
  IF(OR(_xlpm.w="",_xlpm.v=""),"",_xlpm.v*_xlpm.w)
)</f>
        <v/>
      </c>
      <c r="CU159" s="93" t="str" cm="1">
        <f t="array" ref="CU159">_xlfn.LET(
  _xlpm.w, CU$11,
  _xlpm.r, MATCH(1,('3. Enter Indicator Scores'!$B$10:$B$161=$B159)*('3. Enter Indicator Scores'!$C$10:$C$161=$C159),0),
  _xlpm.c, MATCH(CU$8,'3. Enter Indicator Scores'!$D$8:$CZ$8,0),
  _xlpm.v, IFERROR(INDEX('3. Enter Indicator Scores'!$D$10:$CZ$161,_xlpm.r,_xlpm.c),""),
  IF(OR(_xlpm.w="",_xlpm.v=""),"",_xlpm.v*_xlpm.w)
)</f>
        <v/>
      </c>
      <c r="CV159" s="93" t="str" cm="1">
        <f t="array" ref="CV159">_xlfn.LET(
  _xlpm.w, CV$11,
  _xlpm.r, MATCH(1,('3. Enter Indicator Scores'!$B$10:$B$161=$B159)*('3. Enter Indicator Scores'!$C$10:$C$161=$C159),0),
  _xlpm.c, MATCH(CV$8,'3. Enter Indicator Scores'!$D$8:$CZ$8,0),
  _xlpm.v, IFERROR(INDEX('3. Enter Indicator Scores'!$D$10:$CZ$161,_xlpm.r,_xlpm.c),""),
  IF(OR(_xlpm.w="",_xlpm.v=""),"",_xlpm.v*_xlpm.w)
)</f>
        <v/>
      </c>
      <c r="CW159" s="93" t="str" cm="1">
        <f t="array" ref="CW159">_xlfn.LET(
  _xlpm.w, CW$11,
  _xlpm.r, MATCH(1,('3. Enter Indicator Scores'!$B$10:$B$161=$B159)*('3. Enter Indicator Scores'!$C$10:$C$161=$C159),0),
  _xlpm.c, MATCH(CW$8,'3. Enter Indicator Scores'!$D$8:$CZ$8,0),
  _xlpm.v, IFERROR(INDEX('3. Enter Indicator Scores'!$D$10:$CZ$161,_xlpm.r,_xlpm.c),""),
  IF(OR(_xlpm.w="",_xlpm.v=""),"",_xlpm.v*_xlpm.w)
)</f>
        <v/>
      </c>
      <c r="CX159" s="93" t="str" cm="1">
        <f t="array" ref="CX159">_xlfn.LET(
  _xlpm.w, CX$11,
  _xlpm.r, MATCH(1,('3. Enter Indicator Scores'!$B$10:$B$161=$B159)*('3. Enter Indicator Scores'!$C$10:$C$161=$C159),0),
  _xlpm.c, MATCH(CX$8,'3. Enter Indicator Scores'!$D$8:$CZ$8,0),
  _xlpm.v, IFERROR(INDEX('3. Enter Indicator Scores'!$D$10:$CZ$161,_xlpm.r,_xlpm.c),""),
  IF(OR(_xlpm.w="",_xlpm.v=""),"",_xlpm.v*_xlpm.w)
)</f>
        <v/>
      </c>
      <c r="CY159" s="93" t="str" cm="1">
        <f t="array" ref="CY159">_xlfn.LET(
  _xlpm.w, CY$11,
  _xlpm.r, MATCH(1,('3. Enter Indicator Scores'!$B$10:$B$161=$B159)*('3. Enter Indicator Scores'!$C$10:$C$161=$C159),0),
  _xlpm.c, MATCH(CY$8,'3. Enter Indicator Scores'!$D$8:$CZ$8,0),
  _xlpm.v, IFERROR(INDEX('3. Enter Indicator Scores'!$D$10:$CZ$161,_xlpm.r,_xlpm.c),""),
  IF(OR(_xlpm.w="",_xlpm.v=""),"",_xlpm.v*_xlpm.w)
)</f>
        <v/>
      </c>
      <c r="CZ159" s="93" t="str" cm="1">
        <f t="array" ref="CZ159">_xlfn.LET(
  _xlpm.w, CZ$11,
  _xlpm.r, MATCH(1,('3. Enter Indicator Scores'!$B$10:$B$161=$B159)*('3. Enter Indicator Scores'!$C$10:$C$161=$C159),0),
  _xlpm.c, MATCH(CZ$8,'3. Enter Indicator Scores'!$D$8:$CZ$8,0),
  _xlpm.v, IFERROR(INDEX('3. Enter Indicator Scores'!$D$10:$CZ$161,_xlpm.r,_xlpm.c),""),
  IF(OR(_xlpm.w="",_xlpm.v=""),"",_xlpm.v*_xlpm.w)
)</f>
        <v/>
      </c>
    </row>
    <row r="160" spans="4:104" x14ac:dyDescent="0.2">
      <c r="D160" s="93" t="str" cm="1">
        <f t="array" ref="D160">_xlfn.LET(
  _xlpm.w, D$11,
  _xlpm.r, MATCH(1,('3. Enter Indicator Scores'!$B$10:$B$161=$B160)*('3. Enter Indicator Scores'!$C$10:$C$161=$C160),0),
  _xlpm.c, MATCH(D$8,'3. Enter Indicator Scores'!$D$8:$CZ$8,0),
  _xlpm.v, IFERROR(INDEX('3. Enter Indicator Scores'!$D$10:$CZ$161,_xlpm.r,_xlpm.c),""),
  IF(OR(_xlpm.w="",_xlpm.v=""),"",_xlpm.v*_xlpm.w)
)</f>
        <v/>
      </c>
      <c r="E160" s="93" t="str" cm="1">
        <f t="array" ref="E160">_xlfn.LET(
  _xlpm.w, E$11,
  _xlpm.r, MATCH(1,('3. Enter Indicator Scores'!$B$10:$B$161=$B160)*('3. Enter Indicator Scores'!$C$10:$C$161=$C160),0),
  _xlpm.c, MATCH(E$8,'3. Enter Indicator Scores'!$D$8:$CZ$8,0),
  _xlpm.v, IFERROR(INDEX('3. Enter Indicator Scores'!$D$10:$CZ$161,_xlpm.r,_xlpm.c),""),
  IF(OR(_xlpm.w="",_xlpm.v=""),"",_xlpm.v*_xlpm.w)
)</f>
        <v/>
      </c>
      <c r="F160" s="93" t="str" cm="1">
        <f t="array" ref="F160">_xlfn.LET(
  _xlpm.w, F$11,
  _xlpm.r, MATCH(1,('3. Enter Indicator Scores'!$B$10:$B$161=$B160)*('3. Enter Indicator Scores'!$C$10:$C$161=$C160),0),
  _xlpm.c, MATCH(F$8,'3. Enter Indicator Scores'!$D$8:$CZ$8,0),
  _xlpm.v, IFERROR(INDEX('3. Enter Indicator Scores'!$D$10:$CZ$161,_xlpm.r,_xlpm.c),""),
  IF(OR(_xlpm.w="",_xlpm.v=""),"",_xlpm.v*_xlpm.w)
)</f>
        <v/>
      </c>
      <c r="G160" s="93" t="str" cm="1">
        <f t="array" ref="G160">_xlfn.LET(
  _xlpm.w, G$11,
  _xlpm.r, MATCH(1,('3. Enter Indicator Scores'!$B$10:$B$161=$B160)*('3. Enter Indicator Scores'!$C$10:$C$161=$C160),0),
  _xlpm.c, MATCH(G$8,'3. Enter Indicator Scores'!$D$8:$CZ$8,0),
  _xlpm.v, IFERROR(INDEX('3. Enter Indicator Scores'!$D$10:$CZ$161,_xlpm.r,_xlpm.c),""),
  IF(OR(_xlpm.w="",_xlpm.v=""),"",_xlpm.v*_xlpm.w)
)</f>
        <v/>
      </c>
      <c r="H160" s="93" t="str" cm="1">
        <f t="array" ref="H160">_xlfn.LET(
  _xlpm.w, H$11,
  _xlpm.r, MATCH(1,('3. Enter Indicator Scores'!$B$10:$B$161=$B160)*('3. Enter Indicator Scores'!$C$10:$C$161=$C160),0),
  _xlpm.c, MATCH(H$8,'3. Enter Indicator Scores'!$D$8:$CZ$8,0),
  _xlpm.v, IFERROR(INDEX('3. Enter Indicator Scores'!$D$10:$CZ$161,_xlpm.r,_xlpm.c),""),
  IF(OR(_xlpm.w="",_xlpm.v=""),"",_xlpm.v*_xlpm.w)
)</f>
        <v/>
      </c>
      <c r="I160" s="93" t="str" cm="1">
        <f t="array" ref="I160">_xlfn.LET(
  _xlpm.w, I$11,
  _xlpm.r, MATCH(1,('3. Enter Indicator Scores'!$B$10:$B$161=$B160)*('3. Enter Indicator Scores'!$C$10:$C$161=$C160),0),
  _xlpm.c, MATCH(I$8,'3. Enter Indicator Scores'!$D$8:$CZ$8,0),
  _xlpm.v, IFERROR(INDEX('3. Enter Indicator Scores'!$D$10:$CZ$161,_xlpm.r,_xlpm.c),""),
  IF(OR(_xlpm.w="",_xlpm.v=""),"",_xlpm.v*_xlpm.w)
)</f>
        <v/>
      </c>
      <c r="J160" s="93" t="str" cm="1">
        <f t="array" ref="J160">_xlfn.LET(
  _xlpm.w, J$11,
  _xlpm.r, MATCH(1,('3. Enter Indicator Scores'!$B$10:$B$161=$B160)*('3. Enter Indicator Scores'!$C$10:$C$161=$C160),0),
  _xlpm.c, MATCH(J$8,'3. Enter Indicator Scores'!$D$8:$CZ$8,0),
  _xlpm.v, IFERROR(INDEX('3. Enter Indicator Scores'!$D$10:$CZ$161,_xlpm.r,_xlpm.c),""),
  IF(OR(_xlpm.w="",_xlpm.v=""),"",_xlpm.v*_xlpm.w)
)</f>
        <v/>
      </c>
      <c r="K160" s="93" t="str" cm="1">
        <f t="array" ref="K160">_xlfn.LET(
  _xlpm.w, K$11,
  _xlpm.r, MATCH(1,('3. Enter Indicator Scores'!$B$10:$B$161=$B160)*('3. Enter Indicator Scores'!$C$10:$C$161=$C160),0),
  _xlpm.c, MATCH(K$8,'3. Enter Indicator Scores'!$D$8:$CZ$8,0),
  _xlpm.v, IFERROR(INDEX('3. Enter Indicator Scores'!$D$10:$CZ$161,_xlpm.r,_xlpm.c),""),
  IF(OR(_xlpm.w="",_xlpm.v=""),"",_xlpm.v*_xlpm.w)
)</f>
        <v/>
      </c>
      <c r="L160" s="93" t="str" cm="1">
        <f t="array" ref="L160">_xlfn.LET(
  _xlpm.w, L$11,
  _xlpm.r, MATCH(1,('3. Enter Indicator Scores'!$B$10:$B$161=$B160)*('3. Enter Indicator Scores'!$C$10:$C$161=$C160),0),
  _xlpm.c, MATCH(L$8,'3. Enter Indicator Scores'!$D$8:$CZ$8,0),
  _xlpm.v, IFERROR(INDEX('3. Enter Indicator Scores'!$D$10:$CZ$161,_xlpm.r,_xlpm.c),""),
  IF(OR(_xlpm.w="",_xlpm.v=""),"",_xlpm.v*_xlpm.w)
)</f>
        <v/>
      </c>
      <c r="M160" s="93" t="str" cm="1">
        <f t="array" ref="M160">_xlfn.LET(
  _xlpm.w, M$11,
  _xlpm.r, MATCH(1,('3. Enter Indicator Scores'!$B$10:$B$161=$B160)*('3. Enter Indicator Scores'!$C$10:$C$161=$C160),0),
  _xlpm.c, MATCH(M$8,'3. Enter Indicator Scores'!$D$8:$CZ$8,0),
  _xlpm.v, IFERROR(INDEX('3. Enter Indicator Scores'!$D$10:$CZ$161,_xlpm.r,_xlpm.c),""),
  IF(OR(_xlpm.w="",_xlpm.v=""),"",_xlpm.v*_xlpm.w)
)</f>
        <v/>
      </c>
      <c r="N160" s="93" t="str" cm="1">
        <f t="array" ref="N160">_xlfn.LET(
  _xlpm.w, N$11,
  _xlpm.r, MATCH(1,('3. Enter Indicator Scores'!$B$10:$B$161=$B160)*('3. Enter Indicator Scores'!$C$10:$C$161=$C160),0),
  _xlpm.c, MATCH(N$8,'3. Enter Indicator Scores'!$D$8:$CZ$8,0),
  _xlpm.v, IFERROR(INDEX('3. Enter Indicator Scores'!$D$10:$CZ$161,_xlpm.r,_xlpm.c),""),
  IF(OR(_xlpm.w="",_xlpm.v=""),"",_xlpm.v*_xlpm.w)
)</f>
        <v/>
      </c>
      <c r="O160" s="93" t="str" cm="1">
        <f t="array" ref="O160">_xlfn.LET(
  _xlpm.w, O$11,
  _xlpm.r, MATCH(1,('3. Enter Indicator Scores'!$B$10:$B$161=$B160)*('3. Enter Indicator Scores'!$C$10:$C$161=$C160),0),
  _xlpm.c, MATCH(O$8,'3. Enter Indicator Scores'!$D$8:$CZ$8,0),
  _xlpm.v, IFERROR(INDEX('3. Enter Indicator Scores'!$D$10:$CZ$161,_xlpm.r,_xlpm.c),""),
  IF(OR(_xlpm.w="",_xlpm.v=""),"",_xlpm.v*_xlpm.w)
)</f>
        <v/>
      </c>
      <c r="P160" s="93" t="str" cm="1">
        <f t="array" ref="P160">_xlfn.LET(
  _xlpm.w, P$11,
  _xlpm.r, MATCH(1,('3. Enter Indicator Scores'!$B$10:$B$161=$B160)*('3. Enter Indicator Scores'!$C$10:$C$161=$C160),0),
  _xlpm.c, MATCH(P$8,'3. Enter Indicator Scores'!$D$8:$CZ$8,0),
  _xlpm.v, IFERROR(INDEX('3. Enter Indicator Scores'!$D$10:$CZ$161,_xlpm.r,_xlpm.c),""),
  IF(OR(_xlpm.w="",_xlpm.v=""),"",_xlpm.v*_xlpm.w)
)</f>
        <v/>
      </c>
      <c r="Q160" s="93" t="str" cm="1">
        <f t="array" ref="Q160">_xlfn.LET(
  _xlpm.w, Q$11,
  _xlpm.r, MATCH(1,('3. Enter Indicator Scores'!$B$10:$B$161=$B160)*('3. Enter Indicator Scores'!$C$10:$C$161=$C160),0),
  _xlpm.c, MATCH(Q$8,'3. Enter Indicator Scores'!$D$8:$CZ$8,0),
  _xlpm.v, IFERROR(INDEX('3. Enter Indicator Scores'!$D$10:$CZ$161,_xlpm.r,_xlpm.c),""),
  IF(OR(_xlpm.w="",_xlpm.v=""),"",_xlpm.v*_xlpm.w)
)</f>
        <v/>
      </c>
      <c r="R160" s="93" t="str" cm="1">
        <f t="array" ref="R160">_xlfn.LET(
  _xlpm.w, R$11,
  _xlpm.r, MATCH(1,('3. Enter Indicator Scores'!$B$10:$B$161=$B160)*('3. Enter Indicator Scores'!$C$10:$C$161=$C160),0),
  _xlpm.c, MATCH(R$8,'3. Enter Indicator Scores'!$D$8:$CZ$8,0),
  _xlpm.v, IFERROR(INDEX('3. Enter Indicator Scores'!$D$10:$CZ$161,_xlpm.r,_xlpm.c),""),
  IF(OR(_xlpm.w="",_xlpm.v=""),"",_xlpm.v*_xlpm.w)
)</f>
        <v/>
      </c>
      <c r="S160" s="93" t="str" cm="1">
        <f t="array" ref="S160">_xlfn.LET(
  _xlpm.w, S$11,
  _xlpm.r, MATCH(1,('3. Enter Indicator Scores'!$B$10:$B$161=$B160)*('3. Enter Indicator Scores'!$C$10:$C$161=$C160),0),
  _xlpm.c, MATCH(S$8,'3. Enter Indicator Scores'!$D$8:$CZ$8,0),
  _xlpm.v, IFERROR(INDEX('3. Enter Indicator Scores'!$D$10:$CZ$161,_xlpm.r,_xlpm.c),""),
  IF(OR(_xlpm.w="",_xlpm.v=""),"",_xlpm.v*_xlpm.w)
)</f>
        <v/>
      </c>
      <c r="T160" s="93" t="str" cm="1">
        <f t="array" ref="T160">_xlfn.LET(
  _xlpm.w, T$11,
  _xlpm.r, MATCH(1,('3. Enter Indicator Scores'!$B$10:$B$161=$B160)*('3. Enter Indicator Scores'!$C$10:$C$161=$C160),0),
  _xlpm.c, MATCH(T$8,'3. Enter Indicator Scores'!$D$8:$CZ$8,0),
  _xlpm.v, IFERROR(INDEX('3. Enter Indicator Scores'!$D$10:$CZ$161,_xlpm.r,_xlpm.c),""),
  IF(OR(_xlpm.w="",_xlpm.v=""),"",_xlpm.v*_xlpm.w)
)</f>
        <v/>
      </c>
      <c r="U160" s="93" t="str" cm="1">
        <f t="array" ref="U160">_xlfn.LET(
  _xlpm.w, U$11,
  _xlpm.r, MATCH(1,('3. Enter Indicator Scores'!$B$10:$B$161=$B160)*('3. Enter Indicator Scores'!$C$10:$C$161=$C160),0),
  _xlpm.c, MATCH(U$8,'3. Enter Indicator Scores'!$D$8:$CZ$8,0),
  _xlpm.v, IFERROR(INDEX('3. Enter Indicator Scores'!$D$10:$CZ$161,_xlpm.r,_xlpm.c),""),
  IF(OR(_xlpm.w="",_xlpm.v=""),"",_xlpm.v*_xlpm.w)
)</f>
        <v/>
      </c>
      <c r="V160" s="93" t="str" cm="1">
        <f t="array" ref="V160">_xlfn.LET(
  _xlpm.w, V$11,
  _xlpm.r, MATCH(1,('3. Enter Indicator Scores'!$B$10:$B$161=$B160)*('3. Enter Indicator Scores'!$C$10:$C$161=$C160),0),
  _xlpm.c, MATCH(V$8,'3. Enter Indicator Scores'!$D$8:$CZ$8,0),
  _xlpm.v, IFERROR(INDEX('3. Enter Indicator Scores'!$D$10:$CZ$161,_xlpm.r,_xlpm.c),""),
  IF(OR(_xlpm.w="",_xlpm.v=""),"",_xlpm.v*_xlpm.w)
)</f>
        <v/>
      </c>
      <c r="W160" s="93" t="str" cm="1">
        <f t="array" ref="W160">_xlfn.LET(
  _xlpm.w, W$11,
  _xlpm.r, MATCH(1,('3. Enter Indicator Scores'!$B$10:$B$161=$B160)*('3. Enter Indicator Scores'!$C$10:$C$161=$C160),0),
  _xlpm.c, MATCH(W$8,'3. Enter Indicator Scores'!$D$8:$CZ$8,0),
  _xlpm.v, IFERROR(INDEX('3. Enter Indicator Scores'!$D$10:$CZ$161,_xlpm.r,_xlpm.c),""),
  IF(OR(_xlpm.w="",_xlpm.v=""),"",_xlpm.v*_xlpm.w)
)</f>
        <v/>
      </c>
      <c r="X160" s="93" t="str" cm="1">
        <f t="array" ref="X160">_xlfn.LET(
  _xlpm.w, X$11,
  _xlpm.r, MATCH(1,('3. Enter Indicator Scores'!$B$10:$B$161=$B160)*('3. Enter Indicator Scores'!$C$10:$C$161=$C160),0),
  _xlpm.c, MATCH(X$8,'3. Enter Indicator Scores'!$D$8:$CZ$8,0),
  _xlpm.v, IFERROR(INDEX('3. Enter Indicator Scores'!$D$10:$CZ$161,_xlpm.r,_xlpm.c),""),
  IF(OR(_xlpm.w="",_xlpm.v=""),"",_xlpm.v*_xlpm.w)
)</f>
        <v/>
      </c>
      <c r="Y160" s="93" t="str" cm="1">
        <f t="array" ref="Y160">_xlfn.LET(
  _xlpm.w, Y$11,
  _xlpm.r, MATCH(1,('3. Enter Indicator Scores'!$B$10:$B$161=$B160)*('3. Enter Indicator Scores'!$C$10:$C$161=$C160),0),
  _xlpm.c, MATCH(Y$8,'3. Enter Indicator Scores'!$D$8:$CZ$8,0),
  _xlpm.v, IFERROR(INDEX('3. Enter Indicator Scores'!$D$10:$CZ$161,_xlpm.r,_xlpm.c),""),
  IF(OR(_xlpm.w="",_xlpm.v=""),"",_xlpm.v*_xlpm.w)
)</f>
        <v/>
      </c>
      <c r="Z160" s="93" t="str" cm="1">
        <f t="array" ref="Z160">_xlfn.LET(
  _xlpm.w, Z$11,
  _xlpm.r, MATCH(1,('3. Enter Indicator Scores'!$B$10:$B$161=$B160)*('3. Enter Indicator Scores'!$C$10:$C$161=$C160),0),
  _xlpm.c, MATCH(Z$8,'3. Enter Indicator Scores'!$D$8:$CZ$8,0),
  _xlpm.v, IFERROR(INDEX('3. Enter Indicator Scores'!$D$10:$CZ$161,_xlpm.r,_xlpm.c),""),
  IF(OR(_xlpm.w="",_xlpm.v=""),"",_xlpm.v*_xlpm.w)
)</f>
        <v/>
      </c>
      <c r="AA160" s="93" t="str" cm="1">
        <f t="array" ref="AA160">_xlfn.LET(
  _xlpm.w, AA$11,
  _xlpm.r, MATCH(1,('3. Enter Indicator Scores'!$B$10:$B$161=$B160)*('3. Enter Indicator Scores'!$C$10:$C$161=$C160),0),
  _xlpm.c, MATCH(AA$8,'3. Enter Indicator Scores'!$D$8:$CZ$8,0),
  _xlpm.v, IFERROR(INDEX('3. Enter Indicator Scores'!$D$10:$CZ$161,_xlpm.r,_xlpm.c),""),
  IF(OR(_xlpm.w="",_xlpm.v=""),"",_xlpm.v*_xlpm.w)
)</f>
        <v/>
      </c>
      <c r="AB160" s="93" t="str" cm="1">
        <f t="array" ref="AB160">_xlfn.LET(
  _xlpm.w, AB$11,
  _xlpm.r, MATCH(1,('3. Enter Indicator Scores'!$B$10:$B$161=$B160)*('3. Enter Indicator Scores'!$C$10:$C$161=$C160),0),
  _xlpm.c, MATCH(AB$8,'3. Enter Indicator Scores'!$D$8:$CZ$8,0),
  _xlpm.v, IFERROR(INDEX('3. Enter Indicator Scores'!$D$10:$CZ$161,_xlpm.r,_xlpm.c),""),
  IF(OR(_xlpm.w="",_xlpm.v=""),"",_xlpm.v*_xlpm.w)
)</f>
        <v/>
      </c>
      <c r="AC160" s="93" t="str" cm="1">
        <f t="array" ref="AC160">_xlfn.LET(
  _xlpm.w, AC$11,
  _xlpm.r, MATCH(1,('3. Enter Indicator Scores'!$B$10:$B$161=$B160)*('3. Enter Indicator Scores'!$C$10:$C$161=$C160),0),
  _xlpm.c, MATCH(AC$8,'3. Enter Indicator Scores'!$D$8:$CZ$8,0),
  _xlpm.v, IFERROR(INDEX('3. Enter Indicator Scores'!$D$10:$CZ$161,_xlpm.r,_xlpm.c),""),
  IF(OR(_xlpm.w="",_xlpm.v=""),"",_xlpm.v*_xlpm.w)
)</f>
        <v/>
      </c>
      <c r="AD160" s="93" t="str" cm="1">
        <f t="array" ref="AD160">_xlfn.LET(
  _xlpm.w, AD$11,
  _xlpm.r, MATCH(1,('3. Enter Indicator Scores'!$B$10:$B$161=$B160)*('3. Enter Indicator Scores'!$C$10:$C$161=$C160),0),
  _xlpm.c, MATCH(AD$8,'3. Enter Indicator Scores'!$D$8:$CZ$8,0),
  _xlpm.v, IFERROR(INDEX('3. Enter Indicator Scores'!$D$10:$CZ$161,_xlpm.r,_xlpm.c),""),
  IF(OR(_xlpm.w="",_xlpm.v=""),"",_xlpm.v*_xlpm.w)
)</f>
        <v/>
      </c>
      <c r="AE160" s="93" t="str" cm="1">
        <f t="array" ref="AE160">_xlfn.LET(
  _xlpm.w, AE$11,
  _xlpm.r, MATCH(1,('3. Enter Indicator Scores'!$B$10:$B$161=$B160)*('3. Enter Indicator Scores'!$C$10:$C$161=$C160),0),
  _xlpm.c, MATCH(AE$8,'3. Enter Indicator Scores'!$D$8:$CZ$8,0),
  _xlpm.v, IFERROR(INDEX('3. Enter Indicator Scores'!$D$10:$CZ$161,_xlpm.r,_xlpm.c),""),
  IF(OR(_xlpm.w="",_xlpm.v=""),"",_xlpm.v*_xlpm.w)
)</f>
        <v/>
      </c>
      <c r="AF160" s="93" t="str" cm="1">
        <f t="array" ref="AF160">_xlfn.LET(
  _xlpm.w, AF$11,
  _xlpm.r, MATCH(1,('3. Enter Indicator Scores'!$B$10:$B$161=$B160)*('3. Enter Indicator Scores'!$C$10:$C$161=$C160),0),
  _xlpm.c, MATCH(AF$8,'3. Enter Indicator Scores'!$D$8:$CZ$8,0),
  _xlpm.v, IFERROR(INDEX('3. Enter Indicator Scores'!$D$10:$CZ$161,_xlpm.r,_xlpm.c),""),
  IF(OR(_xlpm.w="",_xlpm.v=""),"",_xlpm.v*_xlpm.w)
)</f>
        <v/>
      </c>
      <c r="AG160" s="93" t="str" cm="1">
        <f t="array" ref="AG160">_xlfn.LET(
  _xlpm.w, AG$11,
  _xlpm.r, MATCH(1,('3. Enter Indicator Scores'!$B$10:$B$161=$B160)*('3. Enter Indicator Scores'!$C$10:$C$161=$C160),0),
  _xlpm.c, MATCH(AG$8,'3. Enter Indicator Scores'!$D$8:$CZ$8,0),
  _xlpm.v, IFERROR(INDEX('3. Enter Indicator Scores'!$D$10:$CZ$161,_xlpm.r,_xlpm.c),""),
  IF(OR(_xlpm.w="",_xlpm.v=""),"",_xlpm.v*_xlpm.w)
)</f>
        <v/>
      </c>
      <c r="AH160" s="93" t="str" cm="1">
        <f t="array" ref="AH160">_xlfn.LET(
  _xlpm.w, AH$11,
  _xlpm.r, MATCH(1,('3. Enter Indicator Scores'!$B$10:$B$161=$B160)*('3. Enter Indicator Scores'!$C$10:$C$161=$C160),0),
  _xlpm.c, MATCH(AH$8,'3. Enter Indicator Scores'!$D$8:$CZ$8,0),
  _xlpm.v, IFERROR(INDEX('3. Enter Indicator Scores'!$D$10:$CZ$161,_xlpm.r,_xlpm.c),""),
  IF(OR(_xlpm.w="",_xlpm.v=""),"",_xlpm.v*_xlpm.w)
)</f>
        <v/>
      </c>
      <c r="AI160" s="93" t="str" cm="1">
        <f t="array" ref="AI160">_xlfn.LET(
  _xlpm.w, AI$11,
  _xlpm.r, MATCH(1,('3. Enter Indicator Scores'!$B$10:$B$161=$B160)*('3. Enter Indicator Scores'!$C$10:$C$161=$C160),0),
  _xlpm.c, MATCH(AI$8,'3. Enter Indicator Scores'!$D$8:$CZ$8,0),
  _xlpm.v, IFERROR(INDEX('3. Enter Indicator Scores'!$D$10:$CZ$161,_xlpm.r,_xlpm.c),""),
  IF(OR(_xlpm.w="",_xlpm.v=""),"",_xlpm.v*_xlpm.w)
)</f>
        <v/>
      </c>
      <c r="AJ160" s="93" t="str" cm="1">
        <f t="array" ref="AJ160">_xlfn.LET(
  _xlpm.w, AJ$11,
  _xlpm.r, MATCH(1,('3. Enter Indicator Scores'!$B$10:$B$161=$B160)*('3. Enter Indicator Scores'!$C$10:$C$161=$C160),0),
  _xlpm.c, MATCH(AJ$8,'3. Enter Indicator Scores'!$D$8:$CZ$8,0),
  _xlpm.v, IFERROR(INDEX('3. Enter Indicator Scores'!$D$10:$CZ$161,_xlpm.r,_xlpm.c),""),
  IF(OR(_xlpm.w="",_xlpm.v=""),"",_xlpm.v*_xlpm.w)
)</f>
        <v/>
      </c>
      <c r="AK160" s="93" t="str" cm="1">
        <f t="array" ref="AK160">_xlfn.LET(
  _xlpm.w, AK$11,
  _xlpm.r, MATCH(1,('3. Enter Indicator Scores'!$B$10:$B$161=$B160)*('3. Enter Indicator Scores'!$C$10:$C$161=$C160),0),
  _xlpm.c, MATCH(AK$8,'3. Enter Indicator Scores'!$D$8:$CZ$8,0),
  _xlpm.v, IFERROR(INDEX('3. Enter Indicator Scores'!$D$10:$CZ$161,_xlpm.r,_xlpm.c),""),
  IF(OR(_xlpm.w="",_xlpm.v=""),"",_xlpm.v*_xlpm.w)
)</f>
        <v/>
      </c>
      <c r="AL160" s="93" t="str" cm="1">
        <f t="array" ref="AL160">_xlfn.LET(
  _xlpm.w, AL$11,
  _xlpm.r, MATCH(1,('3. Enter Indicator Scores'!$B$10:$B$161=$B160)*('3. Enter Indicator Scores'!$C$10:$C$161=$C160),0),
  _xlpm.c, MATCH(AL$8,'3. Enter Indicator Scores'!$D$8:$CZ$8,0),
  _xlpm.v, IFERROR(INDEX('3. Enter Indicator Scores'!$D$10:$CZ$161,_xlpm.r,_xlpm.c),""),
  IF(OR(_xlpm.w="",_xlpm.v=""),"",_xlpm.v*_xlpm.w)
)</f>
        <v/>
      </c>
      <c r="AM160" s="93" t="str" cm="1">
        <f t="array" ref="AM160">_xlfn.LET(
  _xlpm.w, AM$11,
  _xlpm.r, MATCH(1,('3. Enter Indicator Scores'!$B$10:$B$161=$B160)*('3. Enter Indicator Scores'!$C$10:$C$161=$C160),0),
  _xlpm.c, MATCH(AM$8,'3. Enter Indicator Scores'!$D$8:$CZ$8,0),
  _xlpm.v, IFERROR(INDEX('3. Enter Indicator Scores'!$D$10:$CZ$161,_xlpm.r,_xlpm.c),""),
  IF(OR(_xlpm.w="",_xlpm.v=""),"",_xlpm.v*_xlpm.w)
)</f>
        <v/>
      </c>
      <c r="AN160" s="93" t="str" cm="1">
        <f t="array" ref="AN160">_xlfn.LET(
  _xlpm.w, AN$11,
  _xlpm.r, MATCH(1,('3. Enter Indicator Scores'!$B$10:$B$161=$B160)*('3. Enter Indicator Scores'!$C$10:$C$161=$C160),0),
  _xlpm.c, MATCH(AN$8,'3. Enter Indicator Scores'!$D$8:$CZ$8,0),
  _xlpm.v, IFERROR(INDEX('3. Enter Indicator Scores'!$D$10:$CZ$161,_xlpm.r,_xlpm.c),""),
  IF(OR(_xlpm.w="",_xlpm.v=""),"",_xlpm.v*_xlpm.w)
)</f>
        <v/>
      </c>
      <c r="AO160" s="93" t="str" cm="1">
        <f t="array" ref="AO160">_xlfn.LET(
  _xlpm.w, AO$11,
  _xlpm.r, MATCH(1,('3. Enter Indicator Scores'!$B$10:$B$161=$B160)*('3. Enter Indicator Scores'!$C$10:$C$161=$C160),0),
  _xlpm.c, MATCH(AO$8,'3. Enter Indicator Scores'!$D$8:$CZ$8,0),
  _xlpm.v, IFERROR(INDEX('3. Enter Indicator Scores'!$D$10:$CZ$161,_xlpm.r,_xlpm.c),""),
  IF(OR(_xlpm.w="",_xlpm.v=""),"",_xlpm.v*_xlpm.w)
)</f>
        <v/>
      </c>
      <c r="AP160" s="93" t="str" cm="1">
        <f t="array" ref="AP160">_xlfn.LET(
  _xlpm.w, AP$11,
  _xlpm.r, MATCH(1,('3. Enter Indicator Scores'!$B$10:$B$161=$B160)*('3. Enter Indicator Scores'!$C$10:$C$161=$C160),0),
  _xlpm.c, MATCH(AP$8,'3. Enter Indicator Scores'!$D$8:$CZ$8,0),
  _xlpm.v, IFERROR(INDEX('3. Enter Indicator Scores'!$D$10:$CZ$161,_xlpm.r,_xlpm.c),""),
  IF(OR(_xlpm.w="",_xlpm.v=""),"",_xlpm.v*_xlpm.w)
)</f>
        <v/>
      </c>
      <c r="AQ160" s="93" t="str" cm="1">
        <f t="array" ref="AQ160">_xlfn.LET(
  _xlpm.w, AQ$11,
  _xlpm.r, MATCH(1,('3. Enter Indicator Scores'!$B$10:$B$161=$B160)*('3. Enter Indicator Scores'!$C$10:$C$161=$C160),0),
  _xlpm.c, MATCH(AQ$8,'3. Enter Indicator Scores'!$D$8:$CZ$8,0),
  _xlpm.v, IFERROR(INDEX('3. Enter Indicator Scores'!$D$10:$CZ$161,_xlpm.r,_xlpm.c),""),
  IF(OR(_xlpm.w="",_xlpm.v=""),"",_xlpm.v*_xlpm.w)
)</f>
        <v/>
      </c>
      <c r="AR160" s="93" t="str" cm="1">
        <f t="array" ref="AR160">_xlfn.LET(
  _xlpm.w, AR$11,
  _xlpm.r, MATCH(1,('3. Enter Indicator Scores'!$B$10:$B$161=$B160)*('3. Enter Indicator Scores'!$C$10:$C$161=$C160),0),
  _xlpm.c, MATCH(AR$8,'3. Enter Indicator Scores'!$D$8:$CZ$8,0),
  _xlpm.v, IFERROR(INDEX('3. Enter Indicator Scores'!$D$10:$CZ$161,_xlpm.r,_xlpm.c),""),
  IF(OR(_xlpm.w="",_xlpm.v=""),"",_xlpm.v*_xlpm.w)
)</f>
        <v/>
      </c>
      <c r="AS160" s="93" t="str" cm="1">
        <f t="array" ref="AS160">_xlfn.LET(
  _xlpm.w, AS$11,
  _xlpm.r, MATCH(1,('3. Enter Indicator Scores'!$B$10:$B$161=$B160)*('3. Enter Indicator Scores'!$C$10:$C$161=$C160),0),
  _xlpm.c, MATCH(AS$8,'3. Enter Indicator Scores'!$D$8:$CZ$8,0),
  _xlpm.v, IFERROR(INDEX('3. Enter Indicator Scores'!$D$10:$CZ$161,_xlpm.r,_xlpm.c),""),
  IF(OR(_xlpm.w="",_xlpm.v=""),"",_xlpm.v*_xlpm.w)
)</f>
        <v/>
      </c>
      <c r="AT160" s="93" t="str" cm="1">
        <f t="array" ref="AT160">_xlfn.LET(
  _xlpm.w, AT$11,
  _xlpm.r, MATCH(1,('3. Enter Indicator Scores'!$B$10:$B$161=$B160)*('3. Enter Indicator Scores'!$C$10:$C$161=$C160),0),
  _xlpm.c, MATCH(AT$8,'3. Enter Indicator Scores'!$D$8:$CZ$8,0),
  _xlpm.v, IFERROR(INDEX('3. Enter Indicator Scores'!$D$10:$CZ$161,_xlpm.r,_xlpm.c),""),
  IF(OR(_xlpm.w="",_xlpm.v=""),"",_xlpm.v*_xlpm.w)
)</f>
        <v/>
      </c>
      <c r="AU160" s="93" t="str" cm="1">
        <f t="array" ref="AU160">_xlfn.LET(
  _xlpm.w, AU$11,
  _xlpm.r, MATCH(1,('3. Enter Indicator Scores'!$B$10:$B$161=$B160)*('3. Enter Indicator Scores'!$C$10:$C$161=$C160),0),
  _xlpm.c, MATCH(AU$8,'3. Enter Indicator Scores'!$D$8:$CZ$8,0),
  _xlpm.v, IFERROR(INDEX('3. Enter Indicator Scores'!$D$10:$CZ$161,_xlpm.r,_xlpm.c),""),
  IF(OR(_xlpm.w="",_xlpm.v=""),"",_xlpm.v*_xlpm.w)
)</f>
        <v/>
      </c>
      <c r="AV160" s="93" t="str" cm="1">
        <f t="array" ref="AV160">_xlfn.LET(
  _xlpm.w, AV$11,
  _xlpm.r, MATCH(1,('3. Enter Indicator Scores'!$B$10:$B$161=$B160)*('3. Enter Indicator Scores'!$C$10:$C$161=$C160),0),
  _xlpm.c, MATCH(AV$8,'3. Enter Indicator Scores'!$D$8:$CZ$8,0),
  _xlpm.v, IFERROR(INDEX('3. Enter Indicator Scores'!$D$10:$CZ$161,_xlpm.r,_xlpm.c),""),
  IF(OR(_xlpm.w="",_xlpm.v=""),"",_xlpm.v*_xlpm.w)
)</f>
        <v/>
      </c>
      <c r="AW160" s="93" t="str" cm="1">
        <f t="array" ref="AW160">_xlfn.LET(
  _xlpm.w, AW$11,
  _xlpm.r, MATCH(1,('3. Enter Indicator Scores'!$B$10:$B$161=$B160)*('3. Enter Indicator Scores'!$C$10:$C$161=$C160),0),
  _xlpm.c, MATCH(AW$8,'3. Enter Indicator Scores'!$D$8:$CZ$8,0),
  _xlpm.v, IFERROR(INDEX('3. Enter Indicator Scores'!$D$10:$CZ$161,_xlpm.r,_xlpm.c),""),
  IF(OR(_xlpm.w="",_xlpm.v=""),"",_xlpm.v*_xlpm.w)
)</f>
        <v/>
      </c>
      <c r="AX160" s="93" t="str" cm="1">
        <f t="array" ref="AX160">_xlfn.LET(
  _xlpm.w, AX$11,
  _xlpm.r, MATCH(1,('3. Enter Indicator Scores'!$B$10:$B$161=$B160)*('3. Enter Indicator Scores'!$C$10:$C$161=$C160),0),
  _xlpm.c, MATCH(AX$8,'3. Enter Indicator Scores'!$D$8:$CZ$8,0),
  _xlpm.v, IFERROR(INDEX('3. Enter Indicator Scores'!$D$10:$CZ$161,_xlpm.r,_xlpm.c),""),
  IF(OR(_xlpm.w="",_xlpm.v=""),"",_xlpm.v*_xlpm.w)
)</f>
        <v/>
      </c>
      <c r="AY160" s="93" t="str" cm="1">
        <f t="array" ref="AY160">_xlfn.LET(
  _xlpm.w, AY$11,
  _xlpm.r, MATCH(1,('3. Enter Indicator Scores'!$B$10:$B$161=$B160)*('3. Enter Indicator Scores'!$C$10:$C$161=$C160),0),
  _xlpm.c, MATCH(AY$8,'3. Enter Indicator Scores'!$D$8:$CZ$8,0),
  _xlpm.v, IFERROR(INDEX('3. Enter Indicator Scores'!$D$10:$CZ$161,_xlpm.r,_xlpm.c),""),
  IF(OR(_xlpm.w="",_xlpm.v=""),"",_xlpm.v*_xlpm.w)
)</f>
        <v/>
      </c>
      <c r="AZ160" s="93" t="str" cm="1">
        <f t="array" ref="AZ160">_xlfn.LET(
  _xlpm.w, AZ$11,
  _xlpm.r, MATCH(1,('3. Enter Indicator Scores'!$B$10:$B$161=$B160)*('3. Enter Indicator Scores'!$C$10:$C$161=$C160),0),
  _xlpm.c, MATCH(AZ$8,'3. Enter Indicator Scores'!$D$8:$CZ$8,0),
  _xlpm.v, IFERROR(INDEX('3. Enter Indicator Scores'!$D$10:$CZ$161,_xlpm.r,_xlpm.c),""),
  IF(OR(_xlpm.w="",_xlpm.v=""),"",_xlpm.v*_xlpm.w)
)</f>
        <v/>
      </c>
      <c r="BA160" s="93" t="str" cm="1">
        <f t="array" ref="BA160">_xlfn.LET(
  _xlpm.w, BA$11,
  _xlpm.r, MATCH(1,('3. Enter Indicator Scores'!$B$10:$B$161=$B160)*('3. Enter Indicator Scores'!$C$10:$C$161=$C160),0),
  _xlpm.c, MATCH(BA$8,'3. Enter Indicator Scores'!$D$8:$CZ$8,0),
  _xlpm.v, IFERROR(INDEX('3. Enter Indicator Scores'!$D$10:$CZ$161,_xlpm.r,_xlpm.c),""),
  IF(OR(_xlpm.w="",_xlpm.v=""),"",_xlpm.v*_xlpm.w)
)</f>
        <v/>
      </c>
      <c r="BB160" s="93" t="str" cm="1">
        <f t="array" ref="BB160">_xlfn.LET(
  _xlpm.w, BB$11,
  _xlpm.r, MATCH(1,('3. Enter Indicator Scores'!$B$10:$B$161=$B160)*('3. Enter Indicator Scores'!$C$10:$C$161=$C160),0),
  _xlpm.c, MATCH(BB$8,'3. Enter Indicator Scores'!$D$8:$CZ$8,0),
  _xlpm.v, IFERROR(INDEX('3. Enter Indicator Scores'!$D$10:$CZ$161,_xlpm.r,_xlpm.c),""),
  IF(OR(_xlpm.w="",_xlpm.v=""),"",_xlpm.v*_xlpm.w)
)</f>
        <v/>
      </c>
      <c r="BC160" s="93" t="str" cm="1">
        <f t="array" ref="BC160">_xlfn.LET(
  _xlpm.w, BC$11,
  _xlpm.r, MATCH(1,('3. Enter Indicator Scores'!$B$10:$B$161=$B160)*('3. Enter Indicator Scores'!$C$10:$C$161=$C160),0),
  _xlpm.c, MATCH(BC$8,'3. Enter Indicator Scores'!$D$8:$CZ$8,0),
  _xlpm.v, IFERROR(INDEX('3. Enter Indicator Scores'!$D$10:$CZ$161,_xlpm.r,_xlpm.c),""),
  IF(OR(_xlpm.w="",_xlpm.v=""),"",_xlpm.v*_xlpm.w)
)</f>
        <v/>
      </c>
      <c r="BD160" s="93" t="str" cm="1">
        <f t="array" ref="BD160">_xlfn.LET(
  _xlpm.w, BD$11,
  _xlpm.r, MATCH(1,('3. Enter Indicator Scores'!$B$10:$B$161=$B160)*('3. Enter Indicator Scores'!$C$10:$C$161=$C160),0),
  _xlpm.c, MATCH(BD$8,'3. Enter Indicator Scores'!$D$8:$CZ$8,0),
  _xlpm.v, IFERROR(INDEX('3. Enter Indicator Scores'!$D$10:$CZ$161,_xlpm.r,_xlpm.c),""),
  IF(OR(_xlpm.w="",_xlpm.v=""),"",_xlpm.v*_xlpm.w)
)</f>
        <v/>
      </c>
      <c r="BE160" s="93" t="str" cm="1">
        <f t="array" ref="BE160">_xlfn.LET(
  _xlpm.w, BE$11,
  _xlpm.r, MATCH(1,('3. Enter Indicator Scores'!$B$10:$B$161=$B160)*('3. Enter Indicator Scores'!$C$10:$C$161=$C160),0),
  _xlpm.c, MATCH(BE$8,'3. Enter Indicator Scores'!$D$8:$CZ$8,0),
  _xlpm.v, IFERROR(INDEX('3. Enter Indicator Scores'!$D$10:$CZ$161,_xlpm.r,_xlpm.c),""),
  IF(OR(_xlpm.w="",_xlpm.v=""),"",_xlpm.v*_xlpm.w)
)</f>
        <v/>
      </c>
      <c r="BF160" s="93" t="str" cm="1">
        <f t="array" ref="BF160">_xlfn.LET(
  _xlpm.w, BF$11,
  _xlpm.r, MATCH(1,('3. Enter Indicator Scores'!$B$10:$B$161=$B160)*('3. Enter Indicator Scores'!$C$10:$C$161=$C160),0),
  _xlpm.c, MATCH(BF$8,'3. Enter Indicator Scores'!$D$8:$CZ$8,0),
  _xlpm.v, IFERROR(INDEX('3. Enter Indicator Scores'!$D$10:$CZ$161,_xlpm.r,_xlpm.c),""),
  IF(OR(_xlpm.w="",_xlpm.v=""),"",_xlpm.v*_xlpm.w)
)</f>
        <v/>
      </c>
      <c r="BG160" s="93" t="str" cm="1">
        <f t="array" ref="BG160">_xlfn.LET(
  _xlpm.w, BG$11,
  _xlpm.r, MATCH(1,('3. Enter Indicator Scores'!$B$10:$B$161=$B160)*('3. Enter Indicator Scores'!$C$10:$C$161=$C160),0),
  _xlpm.c, MATCH(BG$8,'3. Enter Indicator Scores'!$D$8:$CZ$8,0),
  _xlpm.v, IFERROR(INDEX('3. Enter Indicator Scores'!$D$10:$CZ$161,_xlpm.r,_xlpm.c),""),
  IF(OR(_xlpm.w="",_xlpm.v=""),"",_xlpm.v*_xlpm.w)
)</f>
        <v/>
      </c>
      <c r="BH160" s="93" t="str" cm="1">
        <f t="array" ref="BH160">_xlfn.LET(
  _xlpm.w, BH$11,
  _xlpm.r, MATCH(1,('3. Enter Indicator Scores'!$B$10:$B$161=$B160)*('3. Enter Indicator Scores'!$C$10:$C$161=$C160),0),
  _xlpm.c, MATCH(BH$8,'3. Enter Indicator Scores'!$D$8:$CZ$8,0),
  _xlpm.v, IFERROR(INDEX('3. Enter Indicator Scores'!$D$10:$CZ$161,_xlpm.r,_xlpm.c),""),
  IF(OR(_xlpm.w="",_xlpm.v=""),"",_xlpm.v*_xlpm.w)
)</f>
        <v/>
      </c>
      <c r="BI160" s="93" t="str" cm="1">
        <f t="array" ref="BI160">_xlfn.LET(
  _xlpm.w, BI$11,
  _xlpm.r, MATCH(1,('3. Enter Indicator Scores'!$B$10:$B$161=$B160)*('3. Enter Indicator Scores'!$C$10:$C$161=$C160),0),
  _xlpm.c, MATCH(BI$8,'3. Enter Indicator Scores'!$D$8:$CZ$8,0),
  _xlpm.v, IFERROR(INDEX('3. Enter Indicator Scores'!$D$10:$CZ$161,_xlpm.r,_xlpm.c),""),
  IF(OR(_xlpm.w="",_xlpm.v=""),"",_xlpm.v*_xlpm.w)
)</f>
        <v/>
      </c>
      <c r="BJ160" s="93" t="str" cm="1">
        <f t="array" ref="BJ160">_xlfn.LET(
  _xlpm.w, BJ$11,
  _xlpm.r, MATCH(1,('3. Enter Indicator Scores'!$B$10:$B$161=$B160)*('3. Enter Indicator Scores'!$C$10:$C$161=$C160),0),
  _xlpm.c, MATCH(BJ$8,'3. Enter Indicator Scores'!$D$8:$CZ$8,0),
  _xlpm.v, IFERROR(INDEX('3. Enter Indicator Scores'!$D$10:$CZ$161,_xlpm.r,_xlpm.c),""),
  IF(OR(_xlpm.w="",_xlpm.v=""),"",_xlpm.v*_xlpm.w)
)</f>
        <v/>
      </c>
      <c r="BK160" s="93" t="str" cm="1">
        <f t="array" ref="BK160">_xlfn.LET(
  _xlpm.w, BK$11,
  _xlpm.r, MATCH(1,('3. Enter Indicator Scores'!$B$10:$B$161=$B160)*('3. Enter Indicator Scores'!$C$10:$C$161=$C160),0),
  _xlpm.c, MATCH(BK$8,'3. Enter Indicator Scores'!$D$8:$CZ$8,0),
  _xlpm.v, IFERROR(INDEX('3. Enter Indicator Scores'!$D$10:$CZ$161,_xlpm.r,_xlpm.c),""),
  IF(OR(_xlpm.w="",_xlpm.v=""),"",_xlpm.v*_xlpm.w)
)</f>
        <v/>
      </c>
      <c r="BL160" s="93" t="str" cm="1">
        <f t="array" ref="BL160">_xlfn.LET(
  _xlpm.w, BL$11,
  _xlpm.r, MATCH(1,('3. Enter Indicator Scores'!$B$10:$B$161=$B160)*('3. Enter Indicator Scores'!$C$10:$C$161=$C160),0),
  _xlpm.c, MATCH(BL$8,'3. Enter Indicator Scores'!$D$8:$CZ$8,0),
  _xlpm.v, IFERROR(INDEX('3. Enter Indicator Scores'!$D$10:$CZ$161,_xlpm.r,_xlpm.c),""),
  IF(OR(_xlpm.w="",_xlpm.v=""),"",_xlpm.v*_xlpm.w)
)</f>
        <v/>
      </c>
      <c r="BM160" s="93" t="str" cm="1">
        <f t="array" ref="BM160">_xlfn.LET(
  _xlpm.w, BM$11,
  _xlpm.r, MATCH(1,('3. Enter Indicator Scores'!$B$10:$B$161=$B160)*('3. Enter Indicator Scores'!$C$10:$C$161=$C160),0),
  _xlpm.c, MATCH(BM$8,'3. Enter Indicator Scores'!$D$8:$CZ$8,0),
  _xlpm.v, IFERROR(INDEX('3. Enter Indicator Scores'!$D$10:$CZ$161,_xlpm.r,_xlpm.c),""),
  IF(OR(_xlpm.w="",_xlpm.v=""),"",_xlpm.v*_xlpm.w)
)</f>
        <v/>
      </c>
      <c r="BN160" s="93" t="str" cm="1">
        <f t="array" ref="BN160">_xlfn.LET(
  _xlpm.w, BN$11,
  _xlpm.r, MATCH(1,('3. Enter Indicator Scores'!$B$10:$B$161=$B160)*('3. Enter Indicator Scores'!$C$10:$C$161=$C160),0),
  _xlpm.c, MATCH(BN$8,'3. Enter Indicator Scores'!$D$8:$CZ$8,0),
  _xlpm.v, IFERROR(INDEX('3. Enter Indicator Scores'!$D$10:$CZ$161,_xlpm.r,_xlpm.c),""),
  IF(OR(_xlpm.w="",_xlpm.v=""),"",_xlpm.v*_xlpm.w)
)</f>
        <v/>
      </c>
      <c r="BO160" s="93" t="str" cm="1">
        <f t="array" ref="BO160">_xlfn.LET(
  _xlpm.w, BO$11,
  _xlpm.r, MATCH(1,('3. Enter Indicator Scores'!$B$10:$B$161=$B160)*('3. Enter Indicator Scores'!$C$10:$C$161=$C160),0),
  _xlpm.c, MATCH(BO$8,'3. Enter Indicator Scores'!$D$8:$CZ$8,0),
  _xlpm.v, IFERROR(INDEX('3. Enter Indicator Scores'!$D$10:$CZ$161,_xlpm.r,_xlpm.c),""),
  IF(OR(_xlpm.w="",_xlpm.v=""),"",_xlpm.v*_xlpm.w)
)</f>
        <v/>
      </c>
      <c r="BP160" s="93" t="str" cm="1">
        <f t="array" ref="BP160">_xlfn.LET(
  _xlpm.w, BP$11,
  _xlpm.r, MATCH(1,('3. Enter Indicator Scores'!$B$10:$B$161=$B160)*('3. Enter Indicator Scores'!$C$10:$C$161=$C160),0),
  _xlpm.c, MATCH(BP$8,'3. Enter Indicator Scores'!$D$8:$CZ$8,0),
  _xlpm.v, IFERROR(INDEX('3. Enter Indicator Scores'!$D$10:$CZ$161,_xlpm.r,_xlpm.c),""),
  IF(OR(_xlpm.w="",_xlpm.v=""),"",_xlpm.v*_xlpm.w)
)</f>
        <v/>
      </c>
      <c r="BQ160" s="93" t="str" cm="1">
        <f t="array" ref="BQ160">_xlfn.LET(
  _xlpm.w, BQ$11,
  _xlpm.r, MATCH(1,('3. Enter Indicator Scores'!$B$10:$B$161=$B160)*('3. Enter Indicator Scores'!$C$10:$C$161=$C160),0),
  _xlpm.c, MATCH(BQ$8,'3. Enter Indicator Scores'!$D$8:$CZ$8,0),
  _xlpm.v, IFERROR(INDEX('3. Enter Indicator Scores'!$D$10:$CZ$161,_xlpm.r,_xlpm.c),""),
  IF(OR(_xlpm.w="",_xlpm.v=""),"",_xlpm.v*_xlpm.w)
)</f>
        <v/>
      </c>
      <c r="BR160" s="93" t="str" cm="1">
        <f t="array" ref="BR160">_xlfn.LET(
  _xlpm.w, BR$11,
  _xlpm.r, MATCH(1,('3. Enter Indicator Scores'!$B$10:$B$161=$B160)*('3. Enter Indicator Scores'!$C$10:$C$161=$C160),0),
  _xlpm.c, MATCH(BR$8,'3. Enter Indicator Scores'!$D$8:$CZ$8,0),
  _xlpm.v, IFERROR(INDEX('3. Enter Indicator Scores'!$D$10:$CZ$161,_xlpm.r,_xlpm.c),""),
  IF(OR(_xlpm.w="",_xlpm.v=""),"",_xlpm.v*_xlpm.w)
)</f>
        <v/>
      </c>
      <c r="BS160" s="93" t="str" cm="1">
        <f t="array" ref="BS160">_xlfn.LET(
  _xlpm.w, BS$11,
  _xlpm.r, MATCH(1,('3. Enter Indicator Scores'!$B$10:$B$161=$B160)*('3. Enter Indicator Scores'!$C$10:$C$161=$C160),0),
  _xlpm.c, MATCH(BS$8,'3. Enter Indicator Scores'!$D$8:$CZ$8,0),
  _xlpm.v, IFERROR(INDEX('3. Enter Indicator Scores'!$D$10:$CZ$161,_xlpm.r,_xlpm.c),""),
  IF(OR(_xlpm.w="",_xlpm.v=""),"",_xlpm.v*_xlpm.w)
)</f>
        <v/>
      </c>
      <c r="BT160" s="93" t="str" cm="1">
        <f t="array" ref="BT160">_xlfn.LET(
  _xlpm.w, BT$11,
  _xlpm.r, MATCH(1,('3. Enter Indicator Scores'!$B$10:$B$161=$B160)*('3. Enter Indicator Scores'!$C$10:$C$161=$C160),0),
  _xlpm.c, MATCH(BT$8,'3. Enter Indicator Scores'!$D$8:$CZ$8,0),
  _xlpm.v, IFERROR(INDEX('3. Enter Indicator Scores'!$D$10:$CZ$161,_xlpm.r,_xlpm.c),""),
  IF(OR(_xlpm.w="",_xlpm.v=""),"",_xlpm.v*_xlpm.w)
)</f>
        <v/>
      </c>
      <c r="BU160" s="93" t="str" cm="1">
        <f t="array" ref="BU160">_xlfn.LET(
  _xlpm.w, BU$11,
  _xlpm.r, MATCH(1,('3. Enter Indicator Scores'!$B$10:$B$161=$B160)*('3. Enter Indicator Scores'!$C$10:$C$161=$C160),0),
  _xlpm.c, MATCH(BU$8,'3. Enter Indicator Scores'!$D$8:$CZ$8,0),
  _xlpm.v, IFERROR(INDEX('3. Enter Indicator Scores'!$D$10:$CZ$161,_xlpm.r,_xlpm.c),""),
  IF(OR(_xlpm.w="",_xlpm.v=""),"",_xlpm.v*_xlpm.w)
)</f>
        <v/>
      </c>
      <c r="BV160" s="93" t="str" cm="1">
        <f t="array" ref="BV160">_xlfn.LET(
  _xlpm.w, BV$11,
  _xlpm.r, MATCH(1,('3. Enter Indicator Scores'!$B$10:$B$161=$B160)*('3. Enter Indicator Scores'!$C$10:$C$161=$C160),0),
  _xlpm.c, MATCH(BV$8,'3. Enter Indicator Scores'!$D$8:$CZ$8,0),
  _xlpm.v, IFERROR(INDEX('3. Enter Indicator Scores'!$D$10:$CZ$161,_xlpm.r,_xlpm.c),""),
  IF(OR(_xlpm.w="",_xlpm.v=""),"",_xlpm.v*_xlpm.w)
)</f>
        <v/>
      </c>
      <c r="BW160" s="93" t="str" cm="1">
        <f t="array" ref="BW160">_xlfn.LET(
  _xlpm.w, BW$11,
  _xlpm.r, MATCH(1,('3. Enter Indicator Scores'!$B$10:$B$161=$B160)*('3. Enter Indicator Scores'!$C$10:$C$161=$C160),0),
  _xlpm.c, MATCH(BW$8,'3. Enter Indicator Scores'!$D$8:$CZ$8,0),
  _xlpm.v, IFERROR(INDEX('3. Enter Indicator Scores'!$D$10:$CZ$161,_xlpm.r,_xlpm.c),""),
  IF(OR(_xlpm.w="",_xlpm.v=""),"",_xlpm.v*_xlpm.w)
)</f>
        <v/>
      </c>
      <c r="BX160" s="93" t="str" cm="1">
        <f t="array" ref="BX160">_xlfn.LET(
  _xlpm.w, BX$11,
  _xlpm.r, MATCH(1,('3. Enter Indicator Scores'!$B$10:$B$161=$B160)*('3. Enter Indicator Scores'!$C$10:$C$161=$C160),0),
  _xlpm.c, MATCH(BX$8,'3. Enter Indicator Scores'!$D$8:$CZ$8,0),
  _xlpm.v, IFERROR(INDEX('3. Enter Indicator Scores'!$D$10:$CZ$161,_xlpm.r,_xlpm.c),""),
  IF(OR(_xlpm.w="",_xlpm.v=""),"",_xlpm.v*_xlpm.w)
)</f>
        <v/>
      </c>
      <c r="BY160" s="93" t="str" cm="1">
        <f t="array" ref="BY160">_xlfn.LET(
  _xlpm.w, BY$11,
  _xlpm.r, MATCH(1,('3. Enter Indicator Scores'!$B$10:$B$161=$B160)*('3. Enter Indicator Scores'!$C$10:$C$161=$C160),0),
  _xlpm.c, MATCH(BY$8,'3. Enter Indicator Scores'!$D$8:$CZ$8,0),
  _xlpm.v, IFERROR(INDEX('3. Enter Indicator Scores'!$D$10:$CZ$161,_xlpm.r,_xlpm.c),""),
  IF(OR(_xlpm.w="",_xlpm.v=""),"",_xlpm.v*_xlpm.w)
)</f>
        <v/>
      </c>
      <c r="BZ160" s="93" t="str" cm="1">
        <f t="array" ref="BZ160">_xlfn.LET(
  _xlpm.w, BZ$11,
  _xlpm.r, MATCH(1,('3. Enter Indicator Scores'!$B$10:$B$161=$B160)*('3. Enter Indicator Scores'!$C$10:$C$161=$C160),0),
  _xlpm.c, MATCH(BZ$8,'3. Enter Indicator Scores'!$D$8:$CZ$8,0),
  _xlpm.v, IFERROR(INDEX('3. Enter Indicator Scores'!$D$10:$CZ$161,_xlpm.r,_xlpm.c),""),
  IF(OR(_xlpm.w="",_xlpm.v=""),"",_xlpm.v*_xlpm.w)
)</f>
        <v/>
      </c>
      <c r="CA160" s="93" t="str" cm="1">
        <f t="array" ref="CA160">_xlfn.LET(
  _xlpm.w, CA$11,
  _xlpm.r, MATCH(1,('3. Enter Indicator Scores'!$B$10:$B$161=$B160)*('3. Enter Indicator Scores'!$C$10:$C$161=$C160),0),
  _xlpm.c, MATCH(CA$8,'3. Enter Indicator Scores'!$D$8:$CZ$8,0),
  _xlpm.v, IFERROR(INDEX('3. Enter Indicator Scores'!$D$10:$CZ$161,_xlpm.r,_xlpm.c),""),
  IF(OR(_xlpm.w="",_xlpm.v=""),"",_xlpm.v*_xlpm.w)
)</f>
        <v/>
      </c>
      <c r="CB160" s="93" t="str" cm="1">
        <f t="array" ref="CB160">_xlfn.LET(
  _xlpm.w, CB$11,
  _xlpm.r, MATCH(1,('3. Enter Indicator Scores'!$B$10:$B$161=$B160)*('3. Enter Indicator Scores'!$C$10:$C$161=$C160),0),
  _xlpm.c, MATCH(CB$8,'3. Enter Indicator Scores'!$D$8:$CZ$8,0),
  _xlpm.v, IFERROR(INDEX('3. Enter Indicator Scores'!$D$10:$CZ$161,_xlpm.r,_xlpm.c),""),
  IF(OR(_xlpm.w="",_xlpm.v=""),"",_xlpm.v*_xlpm.w)
)</f>
        <v/>
      </c>
      <c r="CC160" s="93" t="str" cm="1">
        <f t="array" ref="CC160">_xlfn.LET(
  _xlpm.w, CC$11,
  _xlpm.r, MATCH(1,('3. Enter Indicator Scores'!$B$10:$B$161=$B160)*('3. Enter Indicator Scores'!$C$10:$C$161=$C160),0),
  _xlpm.c, MATCH(CC$8,'3. Enter Indicator Scores'!$D$8:$CZ$8,0),
  _xlpm.v, IFERROR(INDEX('3. Enter Indicator Scores'!$D$10:$CZ$161,_xlpm.r,_xlpm.c),""),
  IF(OR(_xlpm.w="",_xlpm.v=""),"",_xlpm.v*_xlpm.w)
)</f>
        <v/>
      </c>
      <c r="CD160" s="93" t="str" cm="1">
        <f t="array" ref="CD160">_xlfn.LET(
  _xlpm.w, CD$11,
  _xlpm.r, MATCH(1,('3. Enter Indicator Scores'!$B$10:$B$161=$B160)*('3. Enter Indicator Scores'!$C$10:$C$161=$C160),0),
  _xlpm.c, MATCH(CD$8,'3. Enter Indicator Scores'!$D$8:$CZ$8,0),
  _xlpm.v, IFERROR(INDEX('3. Enter Indicator Scores'!$D$10:$CZ$161,_xlpm.r,_xlpm.c),""),
  IF(OR(_xlpm.w="",_xlpm.v=""),"",_xlpm.v*_xlpm.w)
)</f>
        <v/>
      </c>
      <c r="CE160" s="93" t="str" cm="1">
        <f t="array" ref="CE160">_xlfn.LET(
  _xlpm.w, CE$11,
  _xlpm.r, MATCH(1,('3. Enter Indicator Scores'!$B$10:$B$161=$B160)*('3. Enter Indicator Scores'!$C$10:$C$161=$C160),0),
  _xlpm.c, MATCH(CE$8,'3. Enter Indicator Scores'!$D$8:$CZ$8,0),
  _xlpm.v, IFERROR(INDEX('3. Enter Indicator Scores'!$D$10:$CZ$161,_xlpm.r,_xlpm.c),""),
  IF(OR(_xlpm.w="",_xlpm.v=""),"",_xlpm.v*_xlpm.w)
)</f>
        <v/>
      </c>
      <c r="CF160" s="93" t="str" cm="1">
        <f t="array" ref="CF160">_xlfn.LET(
  _xlpm.w, CF$11,
  _xlpm.r, MATCH(1,('3. Enter Indicator Scores'!$B$10:$B$161=$B160)*('3. Enter Indicator Scores'!$C$10:$C$161=$C160),0),
  _xlpm.c, MATCH(CF$8,'3. Enter Indicator Scores'!$D$8:$CZ$8,0),
  _xlpm.v, IFERROR(INDEX('3. Enter Indicator Scores'!$D$10:$CZ$161,_xlpm.r,_xlpm.c),""),
  IF(OR(_xlpm.w="",_xlpm.v=""),"",_xlpm.v*_xlpm.w)
)</f>
        <v/>
      </c>
      <c r="CG160" s="93" t="str" cm="1">
        <f t="array" ref="CG160">_xlfn.LET(
  _xlpm.w, CG$11,
  _xlpm.r, MATCH(1,('3. Enter Indicator Scores'!$B$10:$B$161=$B160)*('3. Enter Indicator Scores'!$C$10:$C$161=$C160),0),
  _xlpm.c, MATCH(CG$8,'3. Enter Indicator Scores'!$D$8:$CZ$8,0),
  _xlpm.v, IFERROR(INDEX('3. Enter Indicator Scores'!$D$10:$CZ$161,_xlpm.r,_xlpm.c),""),
  IF(OR(_xlpm.w="",_xlpm.v=""),"",_xlpm.v*_xlpm.w)
)</f>
        <v/>
      </c>
      <c r="CH160" s="93" t="str" cm="1">
        <f t="array" ref="CH160">_xlfn.LET(
  _xlpm.w, CH$11,
  _xlpm.r, MATCH(1,('3. Enter Indicator Scores'!$B$10:$B$161=$B160)*('3. Enter Indicator Scores'!$C$10:$C$161=$C160),0),
  _xlpm.c, MATCH(CH$8,'3. Enter Indicator Scores'!$D$8:$CZ$8,0),
  _xlpm.v, IFERROR(INDEX('3. Enter Indicator Scores'!$D$10:$CZ$161,_xlpm.r,_xlpm.c),""),
  IF(OR(_xlpm.w="",_xlpm.v=""),"",_xlpm.v*_xlpm.w)
)</f>
        <v/>
      </c>
      <c r="CI160" s="93" t="str" cm="1">
        <f t="array" ref="CI160">_xlfn.LET(
  _xlpm.w, CI$11,
  _xlpm.r, MATCH(1,('3. Enter Indicator Scores'!$B$10:$B$161=$B160)*('3. Enter Indicator Scores'!$C$10:$C$161=$C160),0),
  _xlpm.c, MATCH(CI$8,'3. Enter Indicator Scores'!$D$8:$CZ$8,0),
  _xlpm.v, IFERROR(INDEX('3. Enter Indicator Scores'!$D$10:$CZ$161,_xlpm.r,_xlpm.c),""),
  IF(OR(_xlpm.w="",_xlpm.v=""),"",_xlpm.v*_xlpm.w)
)</f>
        <v/>
      </c>
      <c r="CJ160" s="93" t="str" cm="1">
        <f t="array" ref="CJ160">_xlfn.LET(
  _xlpm.w, CJ$11,
  _xlpm.r, MATCH(1,('3. Enter Indicator Scores'!$B$10:$B$161=$B160)*('3. Enter Indicator Scores'!$C$10:$C$161=$C160),0),
  _xlpm.c, MATCH(CJ$8,'3. Enter Indicator Scores'!$D$8:$CZ$8,0),
  _xlpm.v, IFERROR(INDEX('3. Enter Indicator Scores'!$D$10:$CZ$161,_xlpm.r,_xlpm.c),""),
  IF(OR(_xlpm.w="",_xlpm.v=""),"",_xlpm.v*_xlpm.w)
)</f>
        <v/>
      </c>
      <c r="CK160" s="93" t="str" cm="1">
        <f t="array" ref="CK160">_xlfn.LET(
  _xlpm.w, CK$11,
  _xlpm.r, MATCH(1,('3. Enter Indicator Scores'!$B$10:$B$161=$B160)*('3. Enter Indicator Scores'!$C$10:$C$161=$C160),0),
  _xlpm.c, MATCH(CK$8,'3. Enter Indicator Scores'!$D$8:$CZ$8,0),
  _xlpm.v, IFERROR(INDEX('3. Enter Indicator Scores'!$D$10:$CZ$161,_xlpm.r,_xlpm.c),""),
  IF(OR(_xlpm.w="",_xlpm.v=""),"",_xlpm.v*_xlpm.w)
)</f>
        <v/>
      </c>
      <c r="CL160" s="93" t="str" cm="1">
        <f t="array" ref="CL160">_xlfn.LET(
  _xlpm.w, CL$11,
  _xlpm.r, MATCH(1,('3. Enter Indicator Scores'!$B$10:$B$161=$B160)*('3. Enter Indicator Scores'!$C$10:$C$161=$C160),0),
  _xlpm.c, MATCH(CL$8,'3. Enter Indicator Scores'!$D$8:$CZ$8,0),
  _xlpm.v, IFERROR(INDEX('3. Enter Indicator Scores'!$D$10:$CZ$161,_xlpm.r,_xlpm.c),""),
  IF(OR(_xlpm.w="",_xlpm.v=""),"",_xlpm.v*_xlpm.w)
)</f>
        <v/>
      </c>
      <c r="CM160" s="93" t="str" cm="1">
        <f t="array" ref="CM160">_xlfn.LET(
  _xlpm.w, CM$11,
  _xlpm.r, MATCH(1,('3. Enter Indicator Scores'!$B$10:$B$161=$B160)*('3. Enter Indicator Scores'!$C$10:$C$161=$C160),0),
  _xlpm.c, MATCH(CM$8,'3. Enter Indicator Scores'!$D$8:$CZ$8,0),
  _xlpm.v, IFERROR(INDEX('3. Enter Indicator Scores'!$D$10:$CZ$161,_xlpm.r,_xlpm.c),""),
  IF(OR(_xlpm.w="",_xlpm.v=""),"",_xlpm.v*_xlpm.w)
)</f>
        <v/>
      </c>
      <c r="CN160" s="93" t="str" cm="1">
        <f t="array" ref="CN160">_xlfn.LET(
  _xlpm.w, CN$11,
  _xlpm.r, MATCH(1,('3. Enter Indicator Scores'!$B$10:$B$161=$B160)*('3. Enter Indicator Scores'!$C$10:$C$161=$C160),0),
  _xlpm.c, MATCH(CN$8,'3. Enter Indicator Scores'!$D$8:$CZ$8,0),
  _xlpm.v, IFERROR(INDEX('3. Enter Indicator Scores'!$D$10:$CZ$161,_xlpm.r,_xlpm.c),""),
  IF(OR(_xlpm.w="",_xlpm.v=""),"",_xlpm.v*_xlpm.w)
)</f>
        <v/>
      </c>
      <c r="CO160" s="93" t="str" cm="1">
        <f t="array" ref="CO160">_xlfn.LET(
  _xlpm.w, CO$11,
  _xlpm.r, MATCH(1,('3. Enter Indicator Scores'!$B$10:$B$161=$B160)*('3. Enter Indicator Scores'!$C$10:$C$161=$C160),0),
  _xlpm.c, MATCH(CO$8,'3. Enter Indicator Scores'!$D$8:$CZ$8,0),
  _xlpm.v, IFERROR(INDEX('3. Enter Indicator Scores'!$D$10:$CZ$161,_xlpm.r,_xlpm.c),""),
  IF(OR(_xlpm.w="",_xlpm.v=""),"",_xlpm.v*_xlpm.w)
)</f>
        <v/>
      </c>
      <c r="CP160" s="93" t="str" cm="1">
        <f t="array" ref="CP160">_xlfn.LET(
  _xlpm.w, CP$11,
  _xlpm.r, MATCH(1,('3. Enter Indicator Scores'!$B$10:$B$161=$B160)*('3. Enter Indicator Scores'!$C$10:$C$161=$C160),0),
  _xlpm.c, MATCH(CP$8,'3. Enter Indicator Scores'!$D$8:$CZ$8,0),
  _xlpm.v, IFERROR(INDEX('3. Enter Indicator Scores'!$D$10:$CZ$161,_xlpm.r,_xlpm.c),""),
  IF(OR(_xlpm.w="",_xlpm.v=""),"",_xlpm.v*_xlpm.w)
)</f>
        <v/>
      </c>
      <c r="CQ160" s="93" t="str" cm="1">
        <f t="array" ref="CQ160">_xlfn.LET(
  _xlpm.w, CQ$11,
  _xlpm.r, MATCH(1,('3. Enter Indicator Scores'!$B$10:$B$161=$B160)*('3. Enter Indicator Scores'!$C$10:$C$161=$C160),0),
  _xlpm.c, MATCH(CQ$8,'3. Enter Indicator Scores'!$D$8:$CZ$8,0),
  _xlpm.v, IFERROR(INDEX('3. Enter Indicator Scores'!$D$10:$CZ$161,_xlpm.r,_xlpm.c),""),
  IF(OR(_xlpm.w="",_xlpm.v=""),"",_xlpm.v*_xlpm.w)
)</f>
        <v/>
      </c>
      <c r="CR160" s="93" t="str" cm="1">
        <f t="array" ref="CR160">_xlfn.LET(
  _xlpm.w, CR$11,
  _xlpm.r, MATCH(1,('3. Enter Indicator Scores'!$B$10:$B$161=$B160)*('3. Enter Indicator Scores'!$C$10:$C$161=$C160),0),
  _xlpm.c, MATCH(CR$8,'3. Enter Indicator Scores'!$D$8:$CZ$8,0),
  _xlpm.v, IFERROR(INDEX('3. Enter Indicator Scores'!$D$10:$CZ$161,_xlpm.r,_xlpm.c),""),
  IF(OR(_xlpm.w="",_xlpm.v=""),"",_xlpm.v*_xlpm.w)
)</f>
        <v/>
      </c>
      <c r="CS160" s="93" t="str" cm="1">
        <f t="array" ref="CS160">_xlfn.LET(
  _xlpm.w, CS$11,
  _xlpm.r, MATCH(1,('3. Enter Indicator Scores'!$B$10:$B$161=$B160)*('3. Enter Indicator Scores'!$C$10:$C$161=$C160),0),
  _xlpm.c, MATCH(CS$8,'3. Enter Indicator Scores'!$D$8:$CZ$8,0),
  _xlpm.v, IFERROR(INDEX('3. Enter Indicator Scores'!$D$10:$CZ$161,_xlpm.r,_xlpm.c),""),
  IF(OR(_xlpm.w="",_xlpm.v=""),"",_xlpm.v*_xlpm.w)
)</f>
        <v/>
      </c>
      <c r="CT160" s="93" t="str" cm="1">
        <f t="array" ref="CT160">_xlfn.LET(
  _xlpm.w, CT$11,
  _xlpm.r, MATCH(1,('3. Enter Indicator Scores'!$B$10:$B$161=$B160)*('3. Enter Indicator Scores'!$C$10:$C$161=$C160),0),
  _xlpm.c, MATCH(CT$8,'3. Enter Indicator Scores'!$D$8:$CZ$8,0),
  _xlpm.v, IFERROR(INDEX('3. Enter Indicator Scores'!$D$10:$CZ$161,_xlpm.r,_xlpm.c),""),
  IF(OR(_xlpm.w="",_xlpm.v=""),"",_xlpm.v*_xlpm.w)
)</f>
        <v/>
      </c>
      <c r="CU160" s="93" t="str" cm="1">
        <f t="array" ref="CU160">_xlfn.LET(
  _xlpm.w, CU$11,
  _xlpm.r, MATCH(1,('3. Enter Indicator Scores'!$B$10:$B$161=$B160)*('3. Enter Indicator Scores'!$C$10:$C$161=$C160),0),
  _xlpm.c, MATCH(CU$8,'3. Enter Indicator Scores'!$D$8:$CZ$8,0),
  _xlpm.v, IFERROR(INDEX('3. Enter Indicator Scores'!$D$10:$CZ$161,_xlpm.r,_xlpm.c),""),
  IF(OR(_xlpm.w="",_xlpm.v=""),"",_xlpm.v*_xlpm.w)
)</f>
        <v/>
      </c>
      <c r="CV160" s="93" t="str" cm="1">
        <f t="array" ref="CV160">_xlfn.LET(
  _xlpm.w, CV$11,
  _xlpm.r, MATCH(1,('3. Enter Indicator Scores'!$B$10:$B$161=$B160)*('3. Enter Indicator Scores'!$C$10:$C$161=$C160),0),
  _xlpm.c, MATCH(CV$8,'3. Enter Indicator Scores'!$D$8:$CZ$8,0),
  _xlpm.v, IFERROR(INDEX('3. Enter Indicator Scores'!$D$10:$CZ$161,_xlpm.r,_xlpm.c),""),
  IF(OR(_xlpm.w="",_xlpm.v=""),"",_xlpm.v*_xlpm.w)
)</f>
        <v/>
      </c>
      <c r="CW160" s="93" t="str" cm="1">
        <f t="array" ref="CW160">_xlfn.LET(
  _xlpm.w, CW$11,
  _xlpm.r, MATCH(1,('3. Enter Indicator Scores'!$B$10:$B$161=$B160)*('3. Enter Indicator Scores'!$C$10:$C$161=$C160),0),
  _xlpm.c, MATCH(CW$8,'3. Enter Indicator Scores'!$D$8:$CZ$8,0),
  _xlpm.v, IFERROR(INDEX('3. Enter Indicator Scores'!$D$10:$CZ$161,_xlpm.r,_xlpm.c),""),
  IF(OR(_xlpm.w="",_xlpm.v=""),"",_xlpm.v*_xlpm.w)
)</f>
        <v/>
      </c>
      <c r="CX160" s="93" t="str" cm="1">
        <f t="array" ref="CX160">_xlfn.LET(
  _xlpm.w, CX$11,
  _xlpm.r, MATCH(1,('3. Enter Indicator Scores'!$B$10:$B$161=$B160)*('3. Enter Indicator Scores'!$C$10:$C$161=$C160),0),
  _xlpm.c, MATCH(CX$8,'3. Enter Indicator Scores'!$D$8:$CZ$8,0),
  _xlpm.v, IFERROR(INDEX('3. Enter Indicator Scores'!$D$10:$CZ$161,_xlpm.r,_xlpm.c),""),
  IF(OR(_xlpm.w="",_xlpm.v=""),"",_xlpm.v*_xlpm.w)
)</f>
        <v/>
      </c>
      <c r="CY160" s="93" t="str" cm="1">
        <f t="array" ref="CY160">_xlfn.LET(
  _xlpm.w, CY$11,
  _xlpm.r, MATCH(1,('3. Enter Indicator Scores'!$B$10:$B$161=$B160)*('3. Enter Indicator Scores'!$C$10:$C$161=$C160),0),
  _xlpm.c, MATCH(CY$8,'3. Enter Indicator Scores'!$D$8:$CZ$8,0),
  _xlpm.v, IFERROR(INDEX('3. Enter Indicator Scores'!$D$10:$CZ$161,_xlpm.r,_xlpm.c),""),
  IF(OR(_xlpm.w="",_xlpm.v=""),"",_xlpm.v*_xlpm.w)
)</f>
        <v/>
      </c>
      <c r="CZ160" s="93" t="str" cm="1">
        <f t="array" ref="CZ160">_xlfn.LET(
  _xlpm.w, CZ$11,
  _xlpm.r, MATCH(1,('3. Enter Indicator Scores'!$B$10:$B$161=$B160)*('3. Enter Indicator Scores'!$C$10:$C$161=$C160),0),
  _xlpm.c, MATCH(CZ$8,'3. Enter Indicator Scores'!$D$8:$CZ$8,0),
  _xlpm.v, IFERROR(INDEX('3. Enter Indicator Scores'!$D$10:$CZ$161,_xlpm.r,_xlpm.c),""),
  IF(OR(_xlpm.w="",_xlpm.v=""),"",_xlpm.v*_xlpm.w)
)</f>
        <v/>
      </c>
    </row>
    <row r="161" spans="4:104" x14ac:dyDescent="0.2">
      <c r="D161" s="93" t="str" cm="1">
        <f t="array" ref="D161">_xlfn.LET(
  _xlpm.w, D$11,
  _xlpm.r, MATCH(1,('3. Enter Indicator Scores'!$B$10:$B$161=$B161)*('3. Enter Indicator Scores'!$C$10:$C$161=$C161),0),
  _xlpm.c, MATCH(D$8,'3. Enter Indicator Scores'!$D$8:$CZ$8,0),
  _xlpm.v, IFERROR(INDEX('3. Enter Indicator Scores'!$D$10:$CZ$161,_xlpm.r,_xlpm.c),""),
  IF(OR(_xlpm.w="",_xlpm.v=""),"",_xlpm.v*_xlpm.w)
)</f>
        <v/>
      </c>
      <c r="E161" s="93" t="str" cm="1">
        <f t="array" ref="E161">_xlfn.LET(
  _xlpm.w, E$11,
  _xlpm.r, MATCH(1,('3. Enter Indicator Scores'!$B$10:$B$161=$B161)*('3. Enter Indicator Scores'!$C$10:$C$161=$C161),0),
  _xlpm.c, MATCH(E$8,'3. Enter Indicator Scores'!$D$8:$CZ$8,0),
  _xlpm.v, IFERROR(INDEX('3. Enter Indicator Scores'!$D$10:$CZ$161,_xlpm.r,_xlpm.c),""),
  IF(OR(_xlpm.w="",_xlpm.v=""),"",_xlpm.v*_xlpm.w)
)</f>
        <v/>
      </c>
      <c r="F161" s="93" t="str" cm="1">
        <f t="array" ref="F161">_xlfn.LET(
  _xlpm.w, F$11,
  _xlpm.r, MATCH(1,('3. Enter Indicator Scores'!$B$10:$B$161=$B161)*('3. Enter Indicator Scores'!$C$10:$C$161=$C161),0),
  _xlpm.c, MATCH(F$8,'3. Enter Indicator Scores'!$D$8:$CZ$8,0),
  _xlpm.v, IFERROR(INDEX('3. Enter Indicator Scores'!$D$10:$CZ$161,_xlpm.r,_xlpm.c),""),
  IF(OR(_xlpm.w="",_xlpm.v=""),"",_xlpm.v*_xlpm.w)
)</f>
        <v/>
      </c>
      <c r="G161" s="93" t="str" cm="1">
        <f t="array" ref="G161">_xlfn.LET(
  _xlpm.w, G$11,
  _xlpm.r, MATCH(1,('3. Enter Indicator Scores'!$B$10:$B$161=$B161)*('3. Enter Indicator Scores'!$C$10:$C$161=$C161),0),
  _xlpm.c, MATCH(G$8,'3. Enter Indicator Scores'!$D$8:$CZ$8,0),
  _xlpm.v, IFERROR(INDEX('3. Enter Indicator Scores'!$D$10:$CZ$161,_xlpm.r,_xlpm.c),""),
  IF(OR(_xlpm.w="",_xlpm.v=""),"",_xlpm.v*_xlpm.w)
)</f>
        <v/>
      </c>
      <c r="H161" s="93" t="str" cm="1">
        <f t="array" ref="H161">_xlfn.LET(
  _xlpm.w, H$11,
  _xlpm.r, MATCH(1,('3. Enter Indicator Scores'!$B$10:$B$161=$B161)*('3. Enter Indicator Scores'!$C$10:$C$161=$C161),0),
  _xlpm.c, MATCH(H$8,'3. Enter Indicator Scores'!$D$8:$CZ$8,0),
  _xlpm.v, IFERROR(INDEX('3. Enter Indicator Scores'!$D$10:$CZ$161,_xlpm.r,_xlpm.c),""),
  IF(OR(_xlpm.w="",_xlpm.v=""),"",_xlpm.v*_xlpm.w)
)</f>
        <v/>
      </c>
      <c r="I161" s="93" t="str" cm="1">
        <f t="array" ref="I161">_xlfn.LET(
  _xlpm.w, I$11,
  _xlpm.r, MATCH(1,('3. Enter Indicator Scores'!$B$10:$B$161=$B161)*('3. Enter Indicator Scores'!$C$10:$C$161=$C161),0),
  _xlpm.c, MATCH(I$8,'3. Enter Indicator Scores'!$D$8:$CZ$8,0),
  _xlpm.v, IFERROR(INDEX('3. Enter Indicator Scores'!$D$10:$CZ$161,_xlpm.r,_xlpm.c),""),
  IF(OR(_xlpm.w="",_xlpm.v=""),"",_xlpm.v*_xlpm.w)
)</f>
        <v/>
      </c>
      <c r="J161" s="93" t="str" cm="1">
        <f t="array" ref="J161">_xlfn.LET(
  _xlpm.w, J$11,
  _xlpm.r, MATCH(1,('3. Enter Indicator Scores'!$B$10:$B$161=$B161)*('3. Enter Indicator Scores'!$C$10:$C$161=$C161),0),
  _xlpm.c, MATCH(J$8,'3. Enter Indicator Scores'!$D$8:$CZ$8,0),
  _xlpm.v, IFERROR(INDEX('3. Enter Indicator Scores'!$D$10:$CZ$161,_xlpm.r,_xlpm.c),""),
  IF(OR(_xlpm.w="",_xlpm.v=""),"",_xlpm.v*_xlpm.w)
)</f>
        <v/>
      </c>
      <c r="K161" s="93" t="str" cm="1">
        <f t="array" ref="K161">_xlfn.LET(
  _xlpm.w, K$11,
  _xlpm.r, MATCH(1,('3. Enter Indicator Scores'!$B$10:$B$161=$B161)*('3. Enter Indicator Scores'!$C$10:$C$161=$C161),0),
  _xlpm.c, MATCH(K$8,'3. Enter Indicator Scores'!$D$8:$CZ$8,0),
  _xlpm.v, IFERROR(INDEX('3. Enter Indicator Scores'!$D$10:$CZ$161,_xlpm.r,_xlpm.c),""),
  IF(OR(_xlpm.w="",_xlpm.v=""),"",_xlpm.v*_xlpm.w)
)</f>
        <v/>
      </c>
      <c r="L161" s="93" t="str" cm="1">
        <f t="array" ref="L161">_xlfn.LET(
  _xlpm.w, L$11,
  _xlpm.r, MATCH(1,('3. Enter Indicator Scores'!$B$10:$B$161=$B161)*('3. Enter Indicator Scores'!$C$10:$C$161=$C161),0),
  _xlpm.c, MATCH(L$8,'3. Enter Indicator Scores'!$D$8:$CZ$8,0),
  _xlpm.v, IFERROR(INDEX('3. Enter Indicator Scores'!$D$10:$CZ$161,_xlpm.r,_xlpm.c),""),
  IF(OR(_xlpm.w="",_xlpm.v=""),"",_xlpm.v*_xlpm.w)
)</f>
        <v/>
      </c>
      <c r="M161" s="93" t="str" cm="1">
        <f t="array" ref="M161">_xlfn.LET(
  _xlpm.w, M$11,
  _xlpm.r, MATCH(1,('3. Enter Indicator Scores'!$B$10:$B$161=$B161)*('3. Enter Indicator Scores'!$C$10:$C$161=$C161),0),
  _xlpm.c, MATCH(M$8,'3. Enter Indicator Scores'!$D$8:$CZ$8,0),
  _xlpm.v, IFERROR(INDEX('3. Enter Indicator Scores'!$D$10:$CZ$161,_xlpm.r,_xlpm.c),""),
  IF(OR(_xlpm.w="",_xlpm.v=""),"",_xlpm.v*_xlpm.w)
)</f>
        <v/>
      </c>
      <c r="N161" s="93" t="str" cm="1">
        <f t="array" ref="N161">_xlfn.LET(
  _xlpm.w, N$11,
  _xlpm.r, MATCH(1,('3. Enter Indicator Scores'!$B$10:$B$161=$B161)*('3. Enter Indicator Scores'!$C$10:$C$161=$C161),0),
  _xlpm.c, MATCH(N$8,'3. Enter Indicator Scores'!$D$8:$CZ$8,0),
  _xlpm.v, IFERROR(INDEX('3. Enter Indicator Scores'!$D$10:$CZ$161,_xlpm.r,_xlpm.c),""),
  IF(OR(_xlpm.w="",_xlpm.v=""),"",_xlpm.v*_xlpm.w)
)</f>
        <v/>
      </c>
      <c r="O161" s="93" t="str" cm="1">
        <f t="array" ref="O161">_xlfn.LET(
  _xlpm.w, O$11,
  _xlpm.r, MATCH(1,('3. Enter Indicator Scores'!$B$10:$B$161=$B161)*('3. Enter Indicator Scores'!$C$10:$C$161=$C161),0),
  _xlpm.c, MATCH(O$8,'3. Enter Indicator Scores'!$D$8:$CZ$8,0),
  _xlpm.v, IFERROR(INDEX('3. Enter Indicator Scores'!$D$10:$CZ$161,_xlpm.r,_xlpm.c),""),
  IF(OR(_xlpm.w="",_xlpm.v=""),"",_xlpm.v*_xlpm.w)
)</f>
        <v/>
      </c>
      <c r="P161" s="93" t="str" cm="1">
        <f t="array" ref="P161">_xlfn.LET(
  _xlpm.w, P$11,
  _xlpm.r, MATCH(1,('3. Enter Indicator Scores'!$B$10:$B$161=$B161)*('3. Enter Indicator Scores'!$C$10:$C$161=$C161),0),
  _xlpm.c, MATCH(P$8,'3. Enter Indicator Scores'!$D$8:$CZ$8,0),
  _xlpm.v, IFERROR(INDEX('3. Enter Indicator Scores'!$D$10:$CZ$161,_xlpm.r,_xlpm.c),""),
  IF(OR(_xlpm.w="",_xlpm.v=""),"",_xlpm.v*_xlpm.w)
)</f>
        <v/>
      </c>
      <c r="Q161" s="93" t="str" cm="1">
        <f t="array" ref="Q161">_xlfn.LET(
  _xlpm.w, Q$11,
  _xlpm.r, MATCH(1,('3. Enter Indicator Scores'!$B$10:$B$161=$B161)*('3. Enter Indicator Scores'!$C$10:$C$161=$C161),0),
  _xlpm.c, MATCH(Q$8,'3. Enter Indicator Scores'!$D$8:$CZ$8,0),
  _xlpm.v, IFERROR(INDEX('3. Enter Indicator Scores'!$D$10:$CZ$161,_xlpm.r,_xlpm.c),""),
  IF(OR(_xlpm.w="",_xlpm.v=""),"",_xlpm.v*_xlpm.w)
)</f>
        <v/>
      </c>
      <c r="R161" s="93" t="str" cm="1">
        <f t="array" ref="R161">_xlfn.LET(
  _xlpm.w, R$11,
  _xlpm.r, MATCH(1,('3. Enter Indicator Scores'!$B$10:$B$161=$B161)*('3. Enter Indicator Scores'!$C$10:$C$161=$C161),0),
  _xlpm.c, MATCH(R$8,'3. Enter Indicator Scores'!$D$8:$CZ$8,0),
  _xlpm.v, IFERROR(INDEX('3. Enter Indicator Scores'!$D$10:$CZ$161,_xlpm.r,_xlpm.c),""),
  IF(OR(_xlpm.w="",_xlpm.v=""),"",_xlpm.v*_xlpm.w)
)</f>
        <v/>
      </c>
      <c r="S161" s="93" t="str" cm="1">
        <f t="array" ref="S161">_xlfn.LET(
  _xlpm.w, S$11,
  _xlpm.r, MATCH(1,('3. Enter Indicator Scores'!$B$10:$B$161=$B161)*('3. Enter Indicator Scores'!$C$10:$C$161=$C161),0),
  _xlpm.c, MATCH(S$8,'3. Enter Indicator Scores'!$D$8:$CZ$8,0),
  _xlpm.v, IFERROR(INDEX('3. Enter Indicator Scores'!$D$10:$CZ$161,_xlpm.r,_xlpm.c),""),
  IF(OR(_xlpm.w="",_xlpm.v=""),"",_xlpm.v*_xlpm.w)
)</f>
        <v/>
      </c>
      <c r="T161" s="93" t="str" cm="1">
        <f t="array" ref="T161">_xlfn.LET(
  _xlpm.w, T$11,
  _xlpm.r, MATCH(1,('3. Enter Indicator Scores'!$B$10:$B$161=$B161)*('3. Enter Indicator Scores'!$C$10:$C$161=$C161),0),
  _xlpm.c, MATCH(T$8,'3. Enter Indicator Scores'!$D$8:$CZ$8,0),
  _xlpm.v, IFERROR(INDEX('3. Enter Indicator Scores'!$D$10:$CZ$161,_xlpm.r,_xlpm.c),""),
  IF(OR(_xlpm.w="",_xlpm.v=""),"",_xlpm.v*_xlpm.w)
)</f>
        <v/>
      </c>
      <c r="U161" s="93" t="str" cm="1">
        <f t="array" ref="U161">_xlfn.LET(
  _xlpm.w, U$11,
  _xlpm.r, MATCH(1,('3. Enter Indicator Scores'!$B$10:$B$161=$B161)*('3. Enter Indicator Scores'!$C$10:$C$161=$C161),0),
  _xlpm.c, MATCH(U$8,'3. Enter Indicator Scores'!$D$8:$CZ$8,0),
  _xlpm.v, IFERROR(INDEX('3. Enter Indicator Scores'!$D$10:$CZ$161,_xlpm.r,_xlpm.c),""),
  IF(OR(_xlpm.w="",_xlpm.v=""),"",_xlpm.v*_xlpm.w)
)</f>
        <v/>
      </c>
      <c r="V161" s="93" t="str" cm="1">
        <f t="array" ref="V161">_xlfn.LET(
  _xlpm.w, V$11,
  _xlpm.r, MATCH(1,('3. Enter Indicator Scores'!$B$10:$B$161=$B161)*('3. Enter Indicator Scores'!$C$10:$C$161=$C161),0),
  _xlpm.c, MATCH(V$8,'3. Enter Indicator Scores'!$D$8:$CZ$8,0),
  _xlpm.v, IFERROR(INDEX('3. Enter Indicator Scores'!$D$10:$CZ$161,_xlpm.r,_xlpm.c),""),
  IF(OR(_xlpm.w="",_xlpm.v=""),"",_xlpm.v*_xlpm.w)
)</f>
        <v/>
      </c>
      <c r="W161" s="93" t="str" cm="1">
        <f t="array" ref="W161">_xlfn.LET(
  _xlpm.w, W$11,
  _xlpm.r, MATCH(1,('3. Enter Indicator Scores'!$B$10:$B$161=$B161)*('3. Enter Indicator Scores'!$C$10:$C$161=$C161),0),
  _xlpm.c, MATCH(W$8,'3. Enter Indicator Scores'!$D$8:$CZ$8,0),
  _xlpm.v, IFERROR(INDEX('3. Enter Indicator Scores'!$D$10:$CZ$161,_xlpm.r,_xlpm.c),""),
  IF(OR(_xlpm.w="",_xlpm.v=""),"",_xlpm.v*_xlpm.w)
)</f>
        <v/>
      </c>
      <c r="X161" s="93" t="str" cm="1">
        <f t="array" ref="X161">_xlfn.LET(
  _xlpm.w, X$11,
  _xlpm.r, MATCH(1,('3. Enter Indicator Scores'!$B$10:$B$161=$B161)*('3. Enter Indicator Scores'!$C$10:$C$161=$C161),0),
  _xlpm.c, MATCH(X$8,'3. Enter Indicator Scores'!$D$8:$CZ$8,0),
  _xlpm.v, IFERROR(INDEX('3. Enter Indicator Scores'!$D$10:$CZ$161,_xlpm.r,_xlpm.c),""),
  IF(OR(_xlpm.w="",_xlpm.v=""),"",_xlpm.v*_xlpm.w)
)</f>
        <v/>
      </c>
      <c r="Y161" s="93" t="str" cm="1">
        <f t="array" ref="Y161">_xlfn.LET(
  _xlpm.w, Y$11,
  _xlpm.r, MATCH(1,('3. Enter Indicator Scores'!$B$10:$B$161=$B161)*('3. Enter Indicator Scores'!$C$10:$C$161=$C161),0),
  _xlpm.c, MATCH(Y$8,'3. Enter Indicator Scores'!$D$8:$CZ$8,0),
  _xlpm.v, IFERROR(INDEX('3. Enter Indicator Scores'!$D$10:$CZ$161,_xlpm.r,_xlpm.c),""),
  IF(OR(_xlpm.w="",_xlpm.v=""),"",_xlpm.v*_xlpm.w)
)</f>
        <v/>
      </c>
      <c r="Z161" s="93" t="str" cm="1">
        <f t="array" ref="Z161">_xlfn.LET(
  _xlpm.w, Z$11,
  _xlpm.r, MATCH(1,('3. Enter Indicator Scores'!$B$10:$B$161=$B161)*('3. Enter Indicator Scores'!$C$10:$C$161=$C161),0),
  _xlpm.c, MATCH(Z$8,'3. Enter Indicator Scores'!$D$8:$CZ$8,0),
  _xlpm.v, IFERROR(INDEX('3. Enter Indicator Scores'!$D$10:$CZ$161,_xlpm.r,_xlpm.c),""),
  IF(OR(_xlpm.w="",_xlpm.v=""),"",_xlpm.v*_xlpm.w)
)</f>
        <v/>
      </c>
      <c r="AA161" s="93" t="str" cm="1">
        <f t="array" ref="AA161">_xlfn.LET(
  _xlpm.w, AA$11,
  _xlpm.r, MATCH(1,('3. Enter Indicator Scores'!$B$10:$B$161=$B161)*('3. Enter Indicator Scores'!$C$10:$C$161=$C161),0),
  _xlpm.c, MATCH(AA$8,'3. Enter Indicator Scores'!$D$8:$CZ$8,0),
  _xlpm.v, IFERROR(INDEX('3. Enter Indicator Scores'!$D$10:$CZ$161,_xlpm.r,_xlpm.c),""),
  IF(OR(_xlpm.w="",_xlpm.v=""),"",_xlpm.v*_xlpm.w)
)</f>
        <v/>
      </c>
      <c r="AB161" s="93" t="str" cm="1">
        <f t="array" ref="AB161">_xlfn.LET(
  _xlpm.w, AB$11,
  _xlpm.r, MATCH(1,('3. Enter Indicator Scores'!$B$10:$B$161=$B161)*('3. Enter Indicator Scores'!$C$10:$C$161=$C161),0),
  _xlpm.c, MATCH(AB$8,'3. Enter Indicator Scores'!$D$8:$CZ$8,0),
  _xlpm.v, IFERROR(INDEX('3. Enter Indicator Scores'!$D$10:$CZ$161,_xlpm.r,_xlpm.c),""),
  IF(OR(_xlpm.w="",_xlpm.v=""),"",_xlpm.v*_xlpm.w)
)</f>
        <v/>
      </c>
      <c r="AC161" s="93" t="str" cm="1">
        <f t="array" ref="AC161">_xlfn.LET(
  _xlpm.w, AC$11,
  _xlpm.r, MATCH(1,('3. Enter Indicator Scores'!$B$10:$B$161=$B161)*('3. Enter Indicator Scores'!$C$10:$C$161=$C161),0),
  _xlpm.c, MATCH(AC$8,'3. Enter Indicator Scores'!$D$8:$CZ$8,0),
  _xlpm.v, IFERROR(INDEX('3. Enter Indicator Scores'!$D$10:$CZ$161,_xlpm.r,_xlpm.c),""),
  IF(OR(_xlpm.w="",_xlpm.v=""),"",_xlpm.v*_xlpm.w)
)</f>
        <v/>
      </c>
      <c r="AD161" s="93" t="str" cm="1">
        <f t="array" ref="AD161">_xlfn.LET(
  _xlpm.w, AD$11,
  _xlpm.r, MATCH(1,('3. Enter Indicator Scores'!$B$10:$B$161=$B161)*('3. Enter Indicator Scores'!$C$10:$C$161=$C161),0),
  _xlpm.c, MATCH(AD$8,'3. Enter Indicator Scores'!$D$8:$CZ$8,0),
  _xlpm.v, IFERROR(INDEX('3. Enter Indicator Scores'!$D$10:$CZ$161,_xlpm.r,_xlpm.c),""),
  IF(OR(_xlpm.w="",_xlpm.v=""),"",_xlpm.v*_xlpm.w)
)</f>
        <v/>
      </c>
      <c r="AE161" s="93" t="str" cm="1">
        <f t="array" ref="AE161">_xlfn.LET(
  _xlpm.w, AE$11,
  _xlpm.r, MATCH(1,('3. Enter Indicator Scores'!$B$10:$B$161=$B161)*('3. Enter Indicator Scores'!$C$10:$C$161=$C161),0),
  _xlpm.c, MATCH(AE$8,'3. Enter Indicator Scores'!$D$8:$CZ$8,0),
  _xlpm.v, IFERROR(INDEX('3. Enter Indicator Scores'!$D$10:$CZ$161,_xlpm.r,_xlpm.c),""),
  IF(OR(_xlpm.w="",_xlpm.v=""),"",_xlpm.v*_xlpm.w)
)</f>
        <v/>
      </c>
      <c r="AF161" s="93" t="str" cm="1">
        <f t="array" ref="AF161">_xlfn.LET(
  _xlpm.w, AF$11,
  _xlpm.r, MATCH(1,('3. Enter Indicator Scores'!$B$10:$B$161=$B161)*('3. Enter Indicator Scores'!$C$10:$C$161=$C161),0),
  _xlpm.c, MATCH(AF$8,'3. Enter Indicator Scores'!$D$8:$CZ$8,0),
  _xlpm.v, IFERROR(INDEX('3. Enter Indicator Scores'!$D$10:$CZ$161,_xlpm.r,_xlpm.c),""),
  IF(OR(_xlpm.w="",_xlpm.v=""),"",_xlpm.v*_xlpm.w)
)</f>
        <v/>
      </c>
      <c r="AG161" s="93" t="str" cm="1">
        <f t="array" ref="AG161">_xlfn.LET(
  _xlpm.w, AG$11,
  _xlpm.r, MATCH(1,('3. Enter Indicator Scores'!$B$10:$B$161=$B161)*('3. Enter Indicator Scores'!$C$10:$C$161=$C161),0),
  _xlpm.c, MATCH(AG$8,'3. Enter Indicator Scores'!$D$8:$CZ$8,0),
  _xlpm.v, IFERROR(INDEX('3. Enter Indicator Scores'!$D$10:$CZ$161,_xlpm.r,_xlpm.c),""),
  IF(OR(_xlpm.w="",_xlpm.v=""),"",_xlpm.v*_xlpm.w)
)</f>
        <v/>
      </c>
      <c r="AH161" s="93" t="str" cm="1">
        <f t="array" ref="AH161">_xlfn.LET(
  _xlpm.w, AH$11,
  _xlpm.r, MATCH(1,('3. Enter Indicator Scores'!$B$10:$B$161=$B161)*('3. Enter Indicator Scores'!$C$10:$C$161=$C161),0),
  _xlpm.c, MATCH(AH$8,'3. Enter Indicator Scores'!$D$8:$CZ$8,0),
  _xlpm.v, IFERROR(INDEX('3. Enter Indicator Scores'!$D$10:$CZ$161,_xlpm.r,_xlpm.c),""),
  IF(OR(_xlpm.w="",_xlpm.v=""),"",_xlpm.v*_xlpm.w)
)</f>
        <v/>
      </c>
      <c r="AI161" s="93" t="str" cm="1">
        <f t="array" ref="AI161">_xlfn.LET(
  _xlpm.w, AI$11,
  _xlpm.r, MATCH(1,('3. Enter Indicator Scores'!$B$10:$B$161=$B161)*('3. Enter Indicator Scores'!$C$10:$C$161=$C161),0),
  _xlpm.c, MATCH(AI$8,'3. Enter Indicator Scores'!$D$8:$CZ$8,0),
  _xlpm.v, IFERROR(INDEX('3. Enter Indicator Scores'!$D$10:$CZ$161,_xlpm.r,_xlpm.c),""),
  IF(OR(_xlpm.w="",_xlpm.v=""),"",_xlpm.v*_xlpm.w)
)</f>
        <v/>
      </c>
      <c r="AJ161" s="93" t="str" cm="1">
        <f t="array" ref="AJ161">_xlfn.LET(
  _xlpm.w, AJ$11,
  _xlpm.r, MATCH(1,('3. Enter Indicator Scores'!$B$10:$B$161=$B161)*('3. Enter Indicator Scores'!$C$10:$C$161=$C161),0),
  _xlpm.c, MATCH(AJ$8,'3. Enter Indicator Scores'!$D$8:$CZ$8,0),
  _xlpm.v, IFERROR(INDEX('3. Enter Indicator Scores'!$D$10:$CZ$161,_xlpm.r,_xlpm.c),""),
  IF(OR(_xlpm.w="",_xlpm.v=""),"",_xlpm.v*_xlpm.w)
)</f>
        <v/>
      </c>
      <c r="AK161" s="93" t="str" cm="1">
        <f t="array" ref="AK161">_xlfn.LET(
  _xlpm.w, AK$11,
  _xlpm.r, MATCH(1,('3. Enter Indicator Scores'!$B$10:$B$161=$B161)*('3. Enter Indicator Scores'!$C$10:$C$161=$C161),0),
  _xlpm.c, MATCH(AK$8,'3. Enter Indicator Scores'!$D$8:$CZ$8,0),
  _xlpm.v, IFERROR(INDEX('3. Enter Indicator Scores'!$D$10:$CZ$161,_xlpm.r,_xlpm.c),""),
  IF(OR(_xlpm.w="",_xlpm.v=""),"",_xlpm.v*_xlpm.w)
)</f>
        <v/>
      </c>
      <c r="AL161" s="93" t="str" cm="1">
        <f t="array" ref="AL161">_xlfn.LET(
  _xlpm.w, AL$11,
  _xlpm.r, MATCH(1,('3. Enter Indicator Scores'!$B$10:$B$161=$B161)*('3. Enter Indicator Scores'!$C$10:$C$161=$C161),0),
  _xlpm.c, MATCH(AL$8,'3. Enter Indicator Scores'!$D$8:$CZ$8,0),
  _xlpm.v, IFERROR(INDEX('3. Enter Indicator Scores'!$D$10:$CZ$161,_xlpm.r,_xlpm.c),""),
  IF(OR(_xlpm.w="",_xlpm.v=""),"",_xlpm.v*_xlpm.w)
)</f>
        <v/>
      </c>
      <c r="AM161" s="93" t="str" cm="1">
        <f t="array" ref="AM161">_xlfn.LET(
  _xlpm.w, AM$11,
  _xlpm.r, MATCH(1,('3. Enter Indicator Scores'!$B$10:$B$161=$B161)*('3. Enter Indicator Scores'!$C$10:$C$161=$C161),0),
  _xlpm.c, MATCH(AM$8,'3. Enter Indicator Scores'!$D$8:$CZ$8,0),
  _xlpm.v, IFERROR(INDEX('3. Enter Indicator Scores'!$D$10:$CZ$161,_xlpm.r,_xlpm.c),""),
  IF(OR(_xlpm.w="",_xlpm.v=""),"",_xlpm.v*_xlpm.w)
)</f>
        <v/>
      </c>
      <c r="AN161" s="93" t="str" cm="1">
        <f t="array" ref="AN161">_xlfn.LET(
  _xlpm.w, AN$11,
  _xlpm.r, MATCH(1,('3. Enter Indicator Scores'!$B$10:$B$161=$B161)*('3. Enter Indicator Scores'!$C$10:$C$161=$C161),0),
  _xlpm.c, MATCH(AN$8,'3. Enter Indicator Scores'!$D$8:$CZ$8,0),
  _xlpm.v, IFERROR(INDEX('3. Enter Indicator Scores'!$D$10:$CZ$161,_xlpm.r,_xlpm.c),""),
  IF(OR(_xlpm.w="",_xlpm.v=""),"",_xlpm.v*_xlpm.w)
)</f>
        <v/>
      </c>
      <c r="AO161" s="93" t="str" cm="1">
        <f t="array" ref="AO161">_xlfn.LET(
  _xlpm.w, AO$11,
  _xlpm.r, MATCH(1,('3. Enter Indicator Scores'!$B$10:$B$161=$B161)*('3. Enter Indicator Scores'!$C$10:$C$161=$C161),0),
  _xlpm.c, MATCH(AO$8,'3. Enter Indicator Scores'!$D$8:$CZ$8,0),
  _xlpm.v, IFERROR(INDEX('3. Enter Indicator Scores'!$D$10:$CZ$161,_xlpm.r,_xlpm.c),""),
  IF(OR(_xlpm.w="",_xlpm.v=""),"",_xlpm.v*_xlpm.w)
)</f>
        <v/>
      </c>
      <c r="AP161" s="93" t="str" cm="1">
        <f t="array" ref="AP161">_xlfn.LET(
  _xlpm.w, AP$11,
  _xlpm.r, MATCH(1,('3. Enter Indicator Scores'!$B$10:$B$161=$B161)*('3. Enter Indicator Scores'!$C$10:$C$161=$C161),0),
  _xlpm.c, MATCH(AP$8,'3. Enter Indicator Scores'!$D$8:$CZ$8,0),
  _xlpm.v, IFERROR(INDEX('3. Enter Indicator Scores'!$D$10:$CZ$161,_xlpm.r,_xlpm.c),""),
  IF(OR(_xlpm.w="",_xlpm.v=""),"",_xlpm.v*_xlpm.w)
)</f>
        <v/>
      </c>
      <c r="AQ161" s="93" t="str" cm="1">
        <f t="array" ref="AQ161">_xlfn.LET(
  _xlpm.w, AQ$11,
  _xlpm.r, MATCH(1,('3. Enter Indicator Scores'!$B$10:$B$161=$B161)*('3. Enter Indicator Scores'!$C$10:$C$161=$C161),0),
  _xlpm.c, MATCH(AQ$8,'3. Enter Indicator Scores'!$D$8:$CZ$8,0),
  _xlpm.v, IFERROR(INDEX('3. Enter Indicator Scores'!$D$10:$CZ$161,_xlpm.r,_xlpm.c),""),
  IF(OR(_xlpm.w="",_xlpm.v=""),"",_xlpm.v*_xlpm.w)
)</f>
        <v/>
      </c>
      <c r="AR161" s="93" t="str" cm="1">
        <f t="array" ref="AR161">_xlfn.LET(
  _xlpm.w, AR$11,
  _xlpm.r, MATCH(1,('3. Enter Indicator Scores'!$B$10:$B$161=$B161)*('3. Enter Indicator Scores'!$C$10:$C$161=$C161),0),
  _xlpm.c, MATCH(AR$8,'3. Enter Indicator Scores'!$D$8:$CZ$8,0),
  _xlpm.v, IFERROR(INDEX('3. Enter Indicator Scores'!$D$10:$CZ$161,_xlpm.r,_xlpm.c),""),
  IF(OR(_xlpm.w="",_xlpm.v=""),"",_xlpm.v*_xlpm.w)
)</f>
        <v/>
      </c>
      <c r="AS161" s="93" t="str" cm="1">
        <f t="array" ref="AS161">_xlfn.LET(
  _xlpm.w, AS$11,
  _xlpm.r, MATCH(1,('3. Enter Indicator Scores'!$B$10:$B$161=$B161)*('3. Enter Indicator Scores'!$C$10:$C$161=$C161),0),
  _xlpm.c, MATCH(AS$8,'3. Enter Indicator Scores'!$D$8:$CZ$8,0),
  _xlpm.v, IFERROR(INDEX('3. Enter Indicator Scores'!$D$10:$CZ$161,_xlpm.r,_xlpm.c),""),
  IF(OR(_xlpm.w="",_xlpm.v=""),"",_xlpm.v*_xlpm.w)
)</f>
        <v/>
      </c>
      <c r="AT161" s="93" t="str" cm="1">
        <f t="array" ref="AT161">_xlfn.LET(
  _xlpm.w, AT$11,
  _xlpm.r, MATCH(1,('3. Enter Indicator Scores'!$B$10:$B$161=$B161)*('3. Enter Indicator Scores'!$C$10:$C$161=$C161),0),
  _xlpm.c, MATCH(AT$8,'3. Enter Indicator Scores'!$D$8:$CZ$8,0),
  _xlpm.v, IFERROR(INDEX('3. Enter Indicator Scores'!$D$10:$CZ$161,_xlpm.r,_xlpm.c),""),
  IF(OR(_xlpm.w="",_xlpm.v=""),"",_xlpm.v*_xlpm.w)
)</f>
        <v/>
      </c>
      <c r="AU161" s="93" t="str" cm="1">
        <f t="array" ref="AU161">_xlfn.LET(
  _xlpm.w, AU$11,
  _xlpm.r, MATCH(1,('3. Enter Indicator Scores'!$B$10:$B$161=$B161)*('3. Enter Indicator Scores'!$C$10:$C$161=$C161),0),
  _xlpm.c, MATCH(AU$8,'3. Enter Indicator Scores'!$D$8:$CZ$8,0),
  _xlpm.v, IFERROR(INDEX('3. Enter Indicator Scores'!$D$10:$CZ$161,_xlpm.r,_xlpm.c),""),
  IF(OR(_xlpm.w="",_xlpm.v=""),"",_xlpm.v*_xlpm.w)
)</f>
        <v/>
      </c>
      <c r="AV161" s="93" t="str" cm="1">
        <f t="array" ref="AV161">_xlfn.LET(
  _xlpm.w, AV$11,
  _xlpm.r, MATCH(1,('3. Enter Indicator Scores'!$B$10:$B$161=$B161)*('3. Enter Indicator Scores'!$C$10:$C$161=$C161),0),
  _xlpm.c, MATCH(AV$8,'3. Enter Indicator Scores'!$D$8:$CZ$8,0),
  _xlpm.v, IFERROR(INDEX('3. Enter Indicator Scores'!$D$10:$CZ$161,_xlpm.r,_xlpm.c),""),
  IF(OR(_xlpm.w="",_xlpm.v=""),"",_xlpm.v*_xlpm.w)
)</f>
        <v/>
      </c>
      <c r="AW161" s="93" t="str" cm="1">
        <f t="array" ref="AW161">_xlfn.LET(
  _xlpm.w, AW$11,
  _xlpm.r, MATCH(1,('3. Enter Indicator Scores'!$B$10:$B$161=$B161)*('3. Enter Indicator Scores'!$C$10:$C$161=$C161),0),
  _xlpm.c, MATCH(AW$8,'3. Enter Indicator Scores'!$D$8:$CZ$8,0),
  _xlpm.v, IFERROR(INDEX('3. Enter Indicator Scores'!$D$10:$CZ$161,_xlpm.r,_xlpm.c),""),
  IF(OR(_xlpm.w="",_xlpm.v=""),"",_xlpm.v*_xlpm.w)
)</f>
        <v/>
      </c>
      <c r="AX161" s="93" t="str" cm="1">
        <f t="array" ref="AX161">_xlfn.LET(
  _xlpm.w, AX$11,
  _xlpm.r, MATCH(1,('3. Enter Indicator Scores'!$B$10:$B$161=$B161)*('3. Enter Indicator Scores'!$C$10:$C$161=$C161),0),
  _xlpm.c, MATCH(AX$8,'3. Enter Indicator Scores'!$D$8:$CZ$8,0),
  _xlpm.v, IFERROR(INDEX('3. Enter Indicator Scores'!$D$10:$CZ$161,_xlpm.r,_xlpm.c),""),
  IF(OR(_xlpm.w="",_xlpm.v=""),"",_xlpm.v*_xlpm.w)
)</f>
        <v/>
      </c>
      <c r="AY161" s="93" t="str" cm="1">
        <f t="array" ref="AY161">_xlfn.LET(
  _xlpm.w, AY$11,
  _xlpm.r, MATCH(1,('3. Enter Indicator Scores'!$B$10:$B$161=$B161)*('3. Enter Indicator Scores'!$C$10:$C$161=$C161),0),
  _xlpm.c, MATCH(AY$8,'3. Enter Indicator Scores'!$D$8:$CZ$8,0),
  _xlpm.v, IFERROR(INDEX('3. Enter Indicator Scores'!$D$10:$CZ$161,_xlpm.r,_xlpm.c),""),
  IF(OR(_xlpm.w="",_xlpm.v=""),"",_xlpm.v*_xlpm.w)
)</f>
        <v/>
      </c>
      <c r="AZ161" s="93" t="str" cm="1">
        <f t="array" ref="AZ161">_xlfn.LET(
  _xlpm.w, AZ$11,
  _xlpm.r, MATCH(1,('3. Enter Indicator Scores'!$B$10:$B$161=$B161)*('3. Enter Indicator Scores'!$C$10:$C$161=$C161),0),
  _xlpm.c, MATCH(AZ$8,'3. Enter Indicator Scores'!$D$8:$CZ$8,0),
  _xlpm.v, IFERROR(INDEX('3. Enter Indicator Scores'!$D$10:$CZ$161,_xlpm.r,_xlpm.c),""),
  IF(OR(_xlpm.w="",_xlpm.v=""),"",_xlpm.v*_xlpm.w)
)</f>
        <v/>
      </c>
      <c r="BA161" s="93" t="str" cm="1">
        <f t="array" ref="BA161">_xlfn.LET(
  _xlpm.w, BA$11,
  _xlpm.r, MATCH(1,('3. Enter Indicator Scores'!$B$10:$B$161=$B161)*('3. Enter Indicator Scores'!$C$10:$C$161=$C161),0),
  _xlpm.c, MATCH(BA$8,'3. Enter Indicator Scores'!$D$8:$CZ$8,0),
  _xlpm.v, IFERROR(INDEX('3. Enter Indicator Scores'!$D$10:$CZ$161,_xlpm.r,_xlpm.c),""),
  IF(OR(_xlpm.w="",_xlpm.v=""),"",_xlpm.v*_xlpm.w)
)</f>
        <v/>
      </c>
      <c r="BB161" s="93" t="str" cm="1">
        <f t="array" ref="BB161">_xlfn.LET(
  _xlpm.w, BB$11,
  _xlpm.r, MATCH(1,('3. Enter Indicator Scores'!$B$10:$B$161=$B161)*('3. Enter Indicator Scores'!$C$10:$C$161=$C161),0),
  _xlpm.c, MATCH(BB$8,'3. Enter Indicator Scores'!$D$8:$CZ$8,0),
  _xlpm.v, IFERROR(INDEX('3. Enter Indicator Scores'!$D$10:$CZ$161,_xlpm.r,_xlpm.c),""),
  IF(OR(_xlpm.w="",_xlpm.v=""),"",_xlpm.v*_xlpm.w)
)</f>
        <v/>
      </c>
      <c r="BC161" s="93" t="str" cm="1">
        <f t="array" ref="BC161">_xlfn.LET(
  _xlpm.w, BC$11,
  _xlpm.r, MATCH(1,('3. Enter Indicator Scores'!$B$10:$B$161=$B161)*('3. Enter Indicator Scores'!$C$10:$C$161=$C161),0),
  _xlpm.c, MATCH(BC$8,'3. Enter Indicator Scores'!$D$8:$CZ$8,0),
  _xlpm.v, IFERROR(INDEX('3. Enter Indicator Scores'!$D$10:$CZ$161,_xlpm.r,_xlpm.c),""),
  IF(OR(_xlpm.w="",_xlpm.v=""),"",_xlpm.v*_xlpm.w)
)</f>
        <v/>
      </c>
      <c r="BD161" s="93" t="str" cm="1">
        <f t="array" ref="BD161">_xlfn.LET(
  _xlpm.w, BD$11,
  _xlpm.r, MATCH(1,('3. Enter Indicator Scores'!$B$10:$B$161=$B161)*('3. Enter Indicator Scores'!$C$10:$C$161=$C161),0),
  _xlpm.c, MATCH(BD$8,'3. Enter Indicator Scores'!$D$8:$CZ$8,0),
  _xlpm.v, IFERROR(INDEX('3. Enter Indicator Scores'!$D$10:$CZ$161,_xlpm.r,_xlpm.c),""),
  IF(OR(_xlpm.w="",_xlpm.v=""),"",_xlpm.v*_xlpm.w)
)</f>
        <v/>
      </c>
      <c r="BE161" s="93" t="str" cm="1">
        <f t="array" ref="BE161">_xlfn.LET(
  _xlpm.w, BE$11,
  _xlpm.r, MATCH(1,('3. Enter Indicator Scores'!$B$10:$B$161=$B161)*('3. Enter Indicator Scores'!$C$10:$C$161=$C161),0),
  _xlpm.c, MATCH(BE$8,'3. Enter Indicator Scores'!$D$8:$CZ$8,0),
  _xlpm.v, IFERROR(INDEX('3. Enter Indicator Scores'!$D$10:$CZ$161,_xlpm.r,_xlpm.c),""),
  IF(OR(_xlpm.w="",_xlpm.v=""),"",_xlpm.v*_xlpm.w)
)</f>
        <v/>
      </c>
      <c r="BF161" s="93" t="str" cm="1">
        <f t="array" ref="BF161">_xlfn.LET(
  _xlpm.w, BF$11,
  _xlpm.r, MATCH(1,('3. Enter Indicator Scores'!$B$10:$B$161=$B161)*('3. Enter Indicator Scores'!$C$10:$C$161=$C161),0),
  _xlpm.c, MATCH(BF$8,'3. Enter Indicator Scores'!$D$8:$CZ$8,0),
  _xlpm.v, IFERROR(INDEX('3. Enter Indicator Scores'!$D$10:$CZ$161,_xlpm.r,_xlpm.c),""),
  IF(OR(_xlpm.w="",_xlpm.v=""),"",_xlpm.v*_xlpm.w)
)</f>
        <v/>
      </c>
      <c r="BG161" s="93" t="str" cm="1">
        <f t="array" ref="BG161">_xlfn.LET(
  _xlpm.w, BG$11,
  _xlpm.r, MATCH(1,('3. Enter Indicator Scores'!$B$10:$B$161=$B161)*('3. Enter Indicator Scores'!$C$10:$C$161=$C161),0),
  _xlpm.c, MATCH(BG$8,'3. Enter Indicator Scores'!$D$8:$CZ$8,0),
  _xlpm.v, IFERROR(INDEX('3. Enter Indicator Scores'!$D$10:$CZ$161,_xlpm.r,_xlpm.c),""),
  IF(OR(_xlpm.w="",_xlpm.v=""),"",_xlpm.v*_xlpm.w)
)</f>
        <v/>
      </c>
      <c r="BH161" s="93" t="str" cm="1">
        <f t="array" ref="BH161">_xlfn.LET(
  _xlpm.w, BH$11,
  _xlpm.r, MATCH(1,('3. Enter Indicator Scores'!$B$10:$B$161=$B161)*('3. Enter Indicator Scores'!$C$10:$C$161=$C161),0),
  _xlpm.c, MATCH(BH$8,'3. Enter Indicator Scores'!$D$8:$CZ$8,0),
  _xlpm.v, IFERROR(INDEX('3. Enter Indicator Scores'!$D$10:$CZ$161,_xlpm.r,_xlpm.c),""),
  IF(OR(_xlpm.w="",_xlpm.v=""),"",_xlpm.v*_xlpm.w)
)</f>
        <v/>
      </c>
      <c r="BI161" s="93" t="str" cm="1">
        <f t="array" ref="BI161">_xlfn.LET(
  _xlpm.w, BI$11,
  _xlpm.r, MATCH(1,('3. Enter Indicator Scores'!$B$10:$B$161=$B161)*('3. Enter Indicator Scores'!$C$10:$C$161=$C161),0),
  _xlpm.c, MATCH(BI$8,'3. Enter Indicator Scores'!$D$8:$CZ$8,0),
  _xlpm.v, IFERROR(INDEX('3. Enter Indicator Scores'!$D$10:$CZ$161,_xlpm.r,_xlpm.c),""),
  IF(OR(_xlpm.w="",_xlpm.v=""),"",_xlpm.v*_xlpm.w)
)</f>
        <v/>
      </c>
      <c r="BJ161" s="93" t="str" cm="1">
        <f t="array" ref="BJ161">_xlfn.LET(
  _xlpm.w, BJ$11,
  _xlpm.r, MATCH(1,('3. Enter Indicator Scores'!$B$10:$B$161=$B161)*('3. Enter Indicator Scores'!$C$10:$C$161=$C161),0),
  _xlpm.c, MATCH(BJ$8,'3. Enter Indicator Scores'!$D$8:$CZ$8,0),
  _xlpm.v, IFERROR(INDEX('3. Enter Indicator Scores'!$D$10:$CZ$161,_xlpm.r,_xlpm.c),""),
  IF(OR(_xlpm.w="",_xlpm.v=""),"",_xlpm.v*_xlpm.w)
)</f>
        <v/>
      </c>
      <c r="BK161" s="93" t="str" cm="1">
        <f t="array" ref="BK161">_xlfn.LET(
  _xlpm.w, BK$11,
  _xlpm.r, MATCH(1,('3. Enter Indicator Scores'!$B$10:$B$161=$B161)*('3. Enter Indicator Scores'!$C$10:$C$161=$C161),0),
  _xlpm.c, MATCH(BK$8,'3. Enter Indicator Scores'!$D$8:$CZ$8,0),
  _xlpm.v, IFERROR(INDEX('3. Enter Indicator Scores'!$D$10:$CZ$161,_xlpm.r,_xlpm.c),""),
  IF(OR(_xlpm.w="",_xlpm.v=""),"",_xlpm.v*_xlpm.w)
)</f>
        <v/>
      </c>
      <c r="BL161" s="93" t="str" cm="1">
        <f t="array" ref="BL161">_xlfn.LET(
  _xlpm.w, BL$11,
  _xlpm.r, MATCH(1,('3. Enter Indicator Scores'!$B$10:$B$161=$B161)*('3. Enter Indicator Scores'!$C$10:$C$161=$C161),0),
  _xlpm.c, MATCH(BL$8,'3. Enter Indicator Scores'!$D$8:$CZ$8,0),
  _xlpm.v, IFERROR(INDEX('3. Enter Indicator Scores'!$D$10:$CZ$161,_xlpm.r,_xlpm.c),""),
  IF(OR(_xlpm.w="",_xlpm.v=""),"",_xlpm.v*_xlpm.w)
)</f>
        <v/>
      </c>
      <c r="BM161" s="93" t="str" cm="1">
        <f t="array" ref="BM161">_xlfn.LET(
  _xlpm.w, BM$11,
  _xlpm.r, MATCH(1,('3. Enter Indicator Scores'!$B$10:$B$161=$B161)*('3. Enter Indicator Scores'!$C$10:$C$161=$C161),0),
  _xlpm.c, MATCH(BM$8,'3. Enter Indicator Scores'!$D$8:$CZ$8,0),
  _xlpm.v, IFERROR(INDEX('3. Enter Indicator Scores'!$D$10:$CZ$161,_xlpm.r,_xlpm.c),""),
  IF(OR(_xlpm.w="",_xlpm.v=""),"",_xlpm.v*_xlpm.w)
)</f>
        <v/>
      </c>
      <c r="BN161" s="93" t="str" cm="1">
        <f t="array" ref="BN161">_xlfn.LET(
  _xlpm.w, BN$11,
  _xlpm.r, MATCH(1,('3. Enter Indicator Scores'!$B$10:$B$161=$B161)*('3. Enter Indicator Scores'!$C$10:$C$161=$C161),0),
  _xlpm.c, MATCH(BN$8,'3. Enter Indicator Scores'!$D$8:$CZ$8,0),
  _xlpm.v, IFERROR(INDEX('3. Enter Indicator Scores'!$D$10:$CZ$161,_xlpm.r,_xlpm.c),""),
  IF(OR(_xlpm.w="",_xlpm.v=""),"",_xlpm.v*_xlpm.w)
)</f>
        <v/>
      </c>
      <c r="BO161" s="93" t="str" cm="1">
        <f t="array" ref="BO161">_xlfn.LET(
  _xlpm.w, BO$11,
  _xlpm.r, MATCH(1,('3. Enter Indicator Scores'!$B$10:$B$161=$B161)*('3. Enter Indicator Scores'!$C$10:$C$161=$C161),0),
  _xlpm.c, MATCH(BO$8,'3. Enter Indicator Scores'!$D$8:$CZ$8,0),
  _xlpm.v, IFERROR(INDEX('3. Enter Indicator Scores'!$D$10:$CZ$161,_xlpm.r,_xlpm.c),""),
  IF(OR(_xlpm.w="",_xlpm.v=""),"",_xlpm.v*_xlpm.w)
)</f>
        <v/>
      </c>
      <c r="BP161" s="93" t="str" cm="1">
        <f t="array" ref="BP161">_xlfn.LET(
  _xlpm.w, BP$11,
  _xlpm.r, MATCH(1,('3. Enter Indicator Scores'!$B$10:$B$161=$B161)*('3. Enter Indicator Scores'!$C$10:$C$161=$C161),0),
  _xlpm.c, MATCH(BP$8,'3. Enter Indicator Scores'!$D$8:$CZ$8,0),
  _xlpm.v, IFERROR(INDEX('3. Enter Indicator Scores'!$D$10:$CZ$161,_xlpm.r,_xlpm.c),""),
  IF(OR(_xlpm.w="",_xlpm.v=""),"",_xlpm.v*_xlpm.w)
)</f>
        <v/>
      </c>
      <c r="BQ161" s="93" t="str" cm="1">
        <f t="array" ref="BQ161">_xlfn.LET(
  _xlpm.w, BQ$11,
  _xlpm.r, MATCH(1,('3. Enter Indicator Scores'!$B$10:$B$161=$B161)*('3. Enter Indicator Scores'!$C$10:$C$161=$C161),0),
  _xlpm.c, MATCH(BQ$8,'3. Enter Indicator Scores'!$D$8:$CZ$8,0),
  _xlpm.v, IFERROR(INDEX('3. Enter Indicator Scores'!$D$10:$CZ$161,_xlpm.r,_xlpm.c),""),
  IF(OR(_xlpm.w="",_xlpm.v=""),"",_xlpm.v*_xlpm.w)
)</f>
        <v/>
      </c>
      <c r="BR161" s="93" t="str" cm="1">
        <f t="array" ref="BR161">_xlfn.LET(
  _xlpm.w, BR$11,
  _xlpm.r, MATCH(1,('3. Enter Indicator Scores'!$B$10:$B$161=$B161)*('3. Enter Indicator Scores'!$C$10:$C$161=$C161),0),
  _xlpm.c, MATCH(BR$8,'3. Enter Indicator Scores'!$D$8:$CZ$8,0),
  _xlpm.v, IFERROR(INDEX('3. Enter Indicator Scores'!$D$10:$CZ$161,_xlpm.r,_xlpm.c),""),
  IF(OR(_xlpm.w="",_xlpm.v=""),"",_xlpm.v*_xlpm.w)
)</f>
        <v/>
      </c>
      <c r="BS161" s="93" t="str" cm="1">
        <f t="array" ref="BS161">_xlfn.LET(
  _xlpm.w, BS$11,
  _xlpm.r, MATCH(1,('3. Enter Indicator Scores'!$B$10:$B$161=$B161)*('3. Enter Indicator Scores'!$C$10:$C$161=$C161),0),
  _xlpm.c, MATCH(BS$8,'3. Enter Indicator Scores'!$D$8:$CZ$8,0),
  _xlpm.v, IFERROR(INDEX('3. Enter Indicator Scores'!$D$10:$CZ$161,_xlpm.r,_xlpm.c),""),
  IF(OR(_xlpm.w="",_xlpm.v=""),"",_xlpm.v*_xlpm.w)
)</f>
        <v/>
      </c>
      <c r="BT161" s="93" t="str" cm="1">
        <f t="array" ref="BT161">_xlfn.LET(
  _xlpm.w, BT$11,
  _xlpm.r, MATCH(1,('3. Enter Indicator Scores'!$B$10:$B$161=$B161)*('3. Enter Indicator Scores'!$C$10:$C$161=$C161),0),
  _xlpm.c, MATCH(BT$8,'3. Enter Indicator Scores'!$D$8:$CZ$8,0),
  _xlpm.v, IFERROR(INDEX('3. Enter Indicator Scores'!$D$10:$CZ$161,_xlpm.r,_xlpm.c),""),
  IF(OR(_xlpm.w="",_xlpm.v=""),"",_xlpm.v*_xlpm.w)
)</f>
        <v/>
      </c>
      <c r="BU161" s="93" t="str" cm="1">
        <f t="array" ref="BU161">_xlfn.LET(
  _xlpm.w, BU$11,
  _xlpm.r, MATCH(1,('3. Enter Indicator Scores'!$B$10:$B$161=$B161)*('3. Enter Indicator Scores'!$C$10:$C$161=$C161),0),
  _xlpm.c, MATCH(BU$8,'3. Enter Indicator Scores'!$D$8:$CZ$8,0),
  _xlpm.v, IFERROR(INDEX('3. Enter Indicator Scores'!$D$10:$CZ$161,_xlpm.r,_xlpm.c),""),
  IF(OR(_xlpm.w="",_xlpm.v=""),"",_xlpm.v*_xlpm.w)
)</f>
        <v/>
      </c>
      <c r="BV161" s="93" t="str" cm="1">
        <f t="array" ref="BV161">_xlfn.LET(
  _xlpm.w, BV$11,
  _xlpm.r, MATCH(1,('3. Enter Indicator Scores'!$B$10:$B$161=$B161)*('3. Enter Indicator Scores'!$C$10:$C$161=$C161),0),
  _xlpm.c, MATCH(BV$8,'3. Enter Indicator Scores'!$D$8:$CZ$8,0),
  _xlpm.v, IFERROR(INDEX('3. Enter Indicator Scores'!$D$10:$CZ$161,_xlpm.r,_xlpm.c),""),
  IF(OR(_xlpm.w="",_xlpm.v=""),"",_xlpm.v*_xlpm.w)
)</f>
        <v/>
      </c>
      <c r="BW161" s="93" t="str" cm="1">
        <f t="array" ref="BW161">_xlfn.LET(
  _xlpm.w, BW$11,
  _xlpm.r, MATCH(1,('3. Enter Indicator Scores'!$B$10:$B$161=$B161)*('3. Enter Indicator Scores'!$C$10:$C$161=$C161),0),
  _xlpm.c, MATCH(BW$8,'3. Enter Indicator Scores'!$D$8:$CZ$8,0),
  _xlpm.v, IFERROR(INDEX('3. Enter Indicator Scores'!$D$10:$CZ$161,_xlpm.r,_xlpm.c),""),
  IF(OR(_xlpm.w="",_xlpm.v=""),"",_xlpm.v*_xlpm.w)
)</f>
        <v/>
      </c>
      <c r="BX161" s="93" t="str" cm="1">
        <f t="array" ref="BX161">_xlfn.LET(
  _xlpm.w, BX$11,
  _xlpm.r, MATCH(1,('3. Enter Indicator Scores'!$B$10:$B$161=$B161)*('3. Enter Indicator Scores'!$C$10:$C$161=$C161),0),
  _xlpm.c, MATCH(BX$8,'3. Enter Indicator Scores'!$D$8:$CZ$8,0),
  _xlpm.v, IFERROR(INDEX('3. Enter Indicator Scores'!$D$10:$CZ$161,_xlpm.r,_xlpm.c),""),
  IF(OR(_xlpm.w="",_xlpm.v=""),"",_xlpm.v*_xlpm.w)
)</f>
        <v/>
      </c>
      <c r="BY161" s="93" t="str" cm="1">
        <f t="array" ref="BY161">_xlfn.LET(
  _xlpm.w, BY$11,
  _xlpm.r, MATCH(1,('3. Enter Indicator Scores'!$B$10:$B$161=$B161)*('3. Enter Indicator Scores'!$C$10:$C$161=$C161),0),
  _xlpm.c, MATCH(BY$8,'3. Enter Indicator Scores'!$D$8:$CZ$8,0),
  _xlpm.v, IFERROR(INDEX('3. Enter Indicator Scores'!$D$10:$CZ$161,_xlpm.r,_xlpm.c),""),
  IF(OR(_xlpm.w="",_xlpm.v=""),"",_xlpm.v*_xlpm.w)
)</f>
        <v/>
      </c>
      <c r="BZ161" s="93" t="str" cm="1">
        <f t="array" ref="BZ161">_xlfn.LET(
  _xlpm.w, BZ$11,
  _xlpm.r, MATCH(1,('3. Enter Indicator Scores'!$B$10:$B$161=$B161)*('3. Enter Indicator Scores'!$C$10:$C$161=$C161),0),
  _xlpm.c, MATCH(BZ$8,'3. Enter Indicator Scores'!$D$8:$CZ$8,0),
  _xlpm.v, IFERROR(INDEX('3. Enter Indicator Scores'!$D$10:$CZ$161,_xlpm.r,_xlpm.c),""),
  IF(OR(_xlpm.w="",_xlpm.v=""),"",_xlpm.v*_xlpm.w)
)</f>
        <v/>
      </c>
      <c r="CA161" s="93" t="str" cm="1">
        <f t="array" ref="CA161">_xlfn.LET(
  _xlpm.w, CA$11,
  _xlpm.r, MATCH(1,('3. Enter Indicator Scores'!$B$10:$B$161=$B161)*('3. Enter Indicator Scores'!$C$10:$C$161=$C161),0),
  _xlpm.c, MATCH(CA$8,'3. Enter Indicator Scores'!$D$8:$CZ$8,0),
  _xlpm.v, IFERROR(INDEX('3. Enter Indicator Scores'!$D$10:$CZ$161,_xlpm.r,_xlpm.c),""),
  IF(OR(_xlpm.w="",_xlpm.v=""),"",_xlpm.v*_xlpm.w)
)</f>
        <v/>
      </c>
      <c r="CB161" s="93" t="str" cm="1">
        <f t="array" ref="CB161">_xlfn.LET(
  _xlpm.w, CB$11,
  _xlpm.r, MATCH(1,('3. Enter Indicator Scores'!$B$10:$B$161=$B161)*('3. Enter Indicator Scores'!$C$10:$C$161=$C161),0),
  _xlpm.c, MATCH(CB$8,'3. Enter Indicator Scores'!$D$8:$CZ$8,0),
  _xlpm.v, IFERROR(INDEX('3. Enter Indicator Scores'!$D$10:$CZ$161,_xlpm.r,_xlpm.c),""),
  IF(OR(_xlpm.w="",_xlpm.v=""),"",_xlpm.v*_xlpm.w)
)</f>
        <v/>
      </c>
      <c r="CC161" s="93" t="str" cm="1">
        <f t="array" ref="CC161">_xlfn.LET(
  _xlpm.w, CC$11,
  _xlpm.r, MATCH(1,('3. Enter Indicator Scores'!$B$10:$B$161=$B161)*('3. Enter Indicator Scores'!$C$10:$C$161=$C161),0),
  _xlpm.c, MATCH(CC$8,'3. Enter Indicator Scores'!$D$8:$CZ$8,0),
  _xlpm.v, IFERROR(INDEX('3. Enter Indicator Scores'!$D$10:$CZ$161,_xlpm.r,_xlpm.c),""),
  IF(OR(_xlpm.w="",_xlpm.v=""),"",_xlpm.v*_xlpm.w)
)</f>
        <v/>
      </c>
      <c r="CD161" s="93" t="str" cm="1">
        <f t="array" ref="CD161">_xlfn.LET(
  _xlpm.w, CD$11,
  _xlpm.r, MATCH(1,('3. Enter Indicator Scores'!$B$10:$B$161=$B161)*('3. Enter Indicator Scores'!$C$10:$C$161=$C161),0),
  _xlpm.c, MATCH(CD$8,'3. Enter Indicator Scores'!$D$8:$CZ$8,0),
  _xlpm.v, IFERROR(INDEX('3. Enter Indicator Scores'!$D$10:$CZ$161,_xlpm.r,_xlpm.c),""),
  IF(OR(_xlpm.w="",_xlpm.v=""),"",_xlpm.v*_xlpm.w)
)</f>
        <v/>
      </c>
      <c r="CE161" s="93" t="str" cm="1">
        <f t="array" ref="CE161">_xlfn.LET(
  _xlpm.w, CE$11,
  _xlpm.r, MATCH(1,('3. Enter Indicator Scores'!$B$10:$B$161=$B161)*('3. Enter Indicator Scores'!$C$10:$C$161=$C161),0),
  _xlpm.c, MATCH(CE$8,'3. Enter Indicator Scores'!$D$8:$CZ$8,0),
  _xlpm.v, IFERROR(INDEX('3. Enter Indicator Scores'!$D$10:$CZ$161,_xlpm.r,_xlpm.c),""),
  IF(OR(_xlpm.w="",_xlpm.v=""),"",_xlpm.v*_xlpm.w)
)</f>
        <v/>
      </c>
      <c r="CF161" s="93" t="str" cm="1">
        <f t="array" ref="CF161">_xlfn.LET(
  _xlpm.w, CF$11,
  _xlpm.r, MATCH(1,('3. Enter Indicator Scores'!$B$10:$B$161=$B161)*('3. Enter Indicator Scores'!$C$10:$C$161=$C161),0),
  _xlpm.c, MATCH(CF$8,'3. Enter Indicator Scores'!$D$8:$CZ$8,0),
  _xlpm.v, IFERROR(INDEX('3. Enter Indicator Scores'!$D$10:$CZ$161,_xlpm.r,_xlpm.c),""),
  IF(OR(_xlpm.w="",_xlpm.v=""),"",_xlpm.v*_xlpm.w)
)</f>
        <v/>
      </c>
      <c r="CG161" s="93" t="str" cm="1">
        <f t="array" ref="CG161">_xlfn.LET(
  _xlpm.w, CG$11,
  _xlpm.r, MATCH(1,('3. Enter Indicator Scores'!$B$10:$B$161=$B161)*('3. Enter Indicator Scores'!$C$10:$C$161=$C161),0),
  _xlpm.c, MATCH(CG$8,'3. Enter Indicator Scores'!$D$8:$CZ$8,0),
  _xlpm.v, IFERROR(INDEX('3. Enter Indicator Scores'!$D$10:$CZ$161,_xlpm.r,_xlpm.c),""),
  IF(OR(_xlpm.w="",_xlpm.v=""),"",_xlpm.v*_xlpm.w)
)</f>
        <v/>
      </c>
      <c r="CH161" s="93" t="str" cm="1">
        <f t="array" ref="CH161">_xlfn.LET(
  _xlpm.w, CH$11,
  _xlpm.r, MATCH(1,('3. Enter Indicator Scores'!$B$10:$B$161=$B161)*('3. Enter Indicator Scores'!$C$10:$C$161=$C161),0),
  _xlpm.c, MATCH(CH$8,'3. Enter Indicator Scores'!$D$8:$CZ$8,0),
  _xlpm.v, IFERROR(INDEX('3. Enter Indicator Scores'!$D$10:$CZ$161,_xlpm.r,_xlpm.c),""),
  IF(OR(_xlpm.w="",_xlpm.v=""),"",_xlpm.v*_xlpm.w)
)</f>
        <v/>
      </c>
      <c r="CI161" s="93" t="str" cm="1">
        <f t="array" ref="CI161">_xlfn.LET(
  _xlpm.w, CI$11,
  _xlpm.r, MATCH(1,('3. Enter Indicator Scores'!$B$10:$B$161=$B161)*('3. Enter Indicator Scores'!$C$10:$C$161=$C161),0),
  _xlpm.c, MATCH(CI$8,'3. Enter Indicator Scores'!$D$8:$CZ$8,0),
  _xlpm.v, IFERROR(INDEX('3. Enter Indicator Scores'!$D$10:$CZ$161,_xlpm.r,_xlpm.c),""),
  IF(OR(_xlpm.w="",_xlpm.v=""),"",_xlpm.v*_xlpm.w)
)</f>
        <v/>
      </c>
      <c r="CJ161" s="93" t="str" cm="1">
        <f t="array" ref="CJ161">_xlfn.LET(
  _xlpm.w, CJ$11,
  _xlpm.r, MATCH(1,('3. Enter Indicator Scores'!$B$10:$B$161=$B161)*('3. Enter Indicator Scores'!$C$10:$C$161=$C161),0),
  _xlpm.c, MATCH(CJ$8,'3. Enter Indicator Scores'!$D$8:$CZ$8,0),
  _xlpm.v, IFERROR(INDEX('3. Enter Indicator Scores'!$D$10:$CZ$161,_xlpm.r,_xlpm.c),""),
  IF(OR(_xlpm.w="",_xlpm.v=""),"",_xlpm.v*_xlpm.w)
)</f>
        <v/>
      </c>
      <c r="CK161" s="93" t="str" cm="1">
        <f t="array" ref="CK161">_xlfn.LET(
  _xlpm.w, CK$11,
  _xlpm.r, MATCH(1,('3. Enter Indicator Scores'!$B$10:$B$161=$B161)*('3. Enter Indicator Scores'!$C$10:$C$161=$C161),0),
  _xlpm.c, MATCH(CK$8,'3. Enter Indicator Scores'!$D$8:$CZ$8,0),
  _xlpm.v, IFERROR(INDEX('3. Enter Indicator Scores'!$D$10:$CZ$161,_xlpm.r,_xlpm.c),""),
  IF(OR(_xlpm.w="",_xlpm.v=""),"",_xlpm.v*_xlpm.w)
)</f>
        <v/>
      </c>
      <c r="CL161" s="93" t="str" cm="1">
        <f t="array" ref="CL161">_xlfn.LET(
  _xlpm.w, CL$11,
  _xlpm.r, MATCH(1,('3. Enter Indicator Scores'!$B$10:$B$161=$B161)*('3. Enter Indicator Scores'!$C$10:$C$161=$C161),0),
  _xlpm.c, MATCH(CL$8,'3. Enter Indicator Scores'!$D$8:$CZ$8,0),
  _xlpm.v, IFERROR(INDEX('3. Enter Indicator Scores'!$D$10:$CZ$161,_xlpm.r,_xlpm.c),""),
  IF(OR(_xlpm.w="",_xlpm.v=""),"",_xlpm.v*_xlpm.w)
)</f>
        <v/>
      </c>
      <c r="CM161" s="93" t="str" cm="1">
        <f t="array" ref="CM161">_xlfn.LET(
  _xlpm.w, CM$11,
  _xlpm.r, MATCH(1,('3. Enter Indicator Scores'!$B$10:$B$161=$B161)*('3. Enter Indicator Scores'!$C$10:$C$161=$C161),0),
  _xlpm.c, MATCH(CM$8,'3. Enter Indicator Scores'!$D$8:$CZ$8,0),
  _xlpm.v, IFERROR(INDEX('3. Enter Indicator Scores'!$D$10:$CZ$161,_xlpm.r,_xlpm.c),""),
  IF(OR(_xlpm.w="",_xlpm.v=""),"",_xlpm.v*_xlpm.w)
)</f>
        <v/>
      </c>
      <c r="CN161" s="93" t="str" cm="1">
        <f t="array" ref="CN161">_xlfn.LET(
  _xlpm.w, CN$11,
  _xlpm.r, MATCH(1,('3. Enter Indicator Scores'!$B$10:$B$161=$B161)*('3. Enter Indicator Scores'!$C$10:$C$161=$C161),0),
  _xlpm.c, MATCH(CN$8,'3. Enter Indicator Scores'!$D$8:$CZ$8,0),
  _xlpm.v, IFERROR(INDEX('3. Enter Indicator Scores'!$D$10:$CZ$161,_xlpm.r,_xlpm.c),""),
  IF(OR(_xlpm.w="",_xlpm.v=""),"",_xlpm.v*_xlpm.w)
)</f>
        <v/>
      </c>
      <c r="CO161" s="93" t="str" cm="1">
        <f t="array" ref="CO161">_xlfn.LET(
  _xlpm.w, CO$11,
  _xlpm.r, MATCH(1,('3. Enter Indicator Scores'!$B$10:$B$161=$B161)*('3. Enter Indicator Scores'!$C$10:$C$161=$C161),0),
  _xlpm.c, MATCH(CO$8,'3. Enter Indicator Scores'!$D$8:$CZ$8,0),
  _xlpm.v, IFERROR(INDEX('3. Enter Indicator Scores'!$D$10:$CZ$161,_xlpm.r,_xlpm.c),""),
  IF(OR(_xlpm.w="",_xlpm.v=""),"",_xlpm.v*_xlpm.w)
)</f>
        <v/>
      </c>
      <c r="CP161" s="93" t="str" cm="1">
        <f t="array" ref="CP161">_xlfn.LET(
  _xlpm.w, CP$11,
  _xlpm.r, MATCH(1,('3. Enter Indicator Scores'!$B$10:$B$161=$B161)*('3. Enter Indicator Scores'!$C$10:$C$161=$C161),0),
  _xlpm.c, MATCH(CP$8,'3. Enter Indicator Scores'!$D$8:$CZ$8,0),
  _xlpm.v, IFERROR(INDEX('3. Enter Indicator Scores'!$D$10:$CZ$161,_xlpm.r,_xlpm.c),""),
  IF(OR(_xlpm.w="",_xlpm.v=""),"",_xlpm.v*_xlpm.w)
)</f>
        <v/>
      </c>
      <c r="CQ161" s="93" t="str" cm="1">
        <f t="array" ref="CQ161">_xlfn.LET(
  _xlpm.w, CQ$11,
  _xlpm.r, MATCH(1,('3. Enter Indicator Scores'!$B$10:$B$161=$B161)*('3. Enter Indicator Scores'!$C$10:$C$161=$C161),0),
  _xlpm.c, MATCH(CQ$8,'3. Enter Indicator Scores'!$D$8:$CZ$8,0),
  _xlpm.v, IFERROR(INDEX('3. Enter Indicator Scores'!$D$10:$CZ$161,_xlpm.r,_xlpm.c),""),
  IF(OR(_xlpm.w="",_xlpm.v=""),"",_xlpm.v*_xlpm.w)
)</f>
        <v/>
      </c>
      <c r="CR161" s="93" t="str" cm="1">
        <f t="array" ref="CR161">_xlfn.LET(
  _xlpm.w, CR$11,
  _xlpm.r, MATCH(1,('3. Enter Indicator Scores'!$B$10:$B$161=$B161)*('3. Enter Indicator Scores'!$C$10:$C$161=$C161),0),
  _xlpm.c, MATCH(CR$8,'3. Enter Indicator Scores'!$D$8:$CZ$8,0),
  _xlpm.v, IFERROR(INDEX('3. Enter Indicator Scores'!$D$10:$CZ$161,_xlpm.r,_xlpm.c),""),
  IF(OR(_xlpm.w="",_xlpm.v=""),"",_xlpm.v*_xlpm.w)
)</f>
        <v/>
      </c>
      <c r="CS161" s="93" t="str" cm="1">
        <f t="array" ref="CS161">_xlfn.LET(
  _xlpm.w, CS$11,
  _xlpm.r, MATCH(1,('3. Enter Indicator Scores'!$B$10:$B$161=$B161)*('3. Enter Indicator Scores'!$C$10:$C$161=$C161),0),
  _xlpm.c, MATCH(CS$8,'3. Enter Indicator Scores'!$D$8:$CZ$8,0),
  _xlpm.v, IFERROR(INDEX('3. Enter Indicator Scores'!$D$10:$CZ$161,_xlpm.r,_xlpm.c),""),
  IF(OR(_xlpm.w="",_xlpm.v=""),"",_xlpm.v*_xlpm.w)
)</f>
        <v/>
      </c>
      <c r="CT161" s="93" t="str" cm="1">
        <f t="array" ref="CT161">_xlfn.LET(
  _xlpm.w, CT$11,
  _xlpm.r, MATCH(1,('3. Enter Indicator Scores'!$B$10:$B$161=$B161)*('3. Enter Indicator Scores'!$C$10:$C$161=$C161),0),
  _xlpm.c, MATCH(CT$8,'3. Enter Indicator Scores'!$D$8:$CZ$8,0),
  _xlpm.v, IFERROR(INDEX('3. Enter Indicator Scores'!$D$10:$CZ$161,_xlpm.r,_xlpm.c),""),
  IF(OR(_xlpm.w="",_xlpm.v=""),"",_xlpm.v*_xlpm.w)
)</f>
        <v/>
      </c>
      <c r="CU161" s="93" t="str" cm="1">
        <f t="array" ref="CU161">_xlfn.LET(
  _xlpm.w, CU$11,
  _xlpm.r, MATCH(1,('3. Enter Indicator Scores'!$B$10:$B$161=$B161)*('3. Enter Indicator Scores'!$C$10:$C$161=$C161),0),
  _xlpm.c, MATCH(CU$8,'3. Enter Indicator Scores'!$D$8:$CZ$8,0),
  _xlpm.v, IFERROR(INDEX('3. Enter Indicator Scores'!$D$10:$CZ$161,_xlpm.r,_xlpm.c),""),
  IF(OR(_xlpm.w="",_xlpm.v=""),"",_xlpm.v*_xlpm.w)
)</f>
        <v/>
      </c>
      <c r="CV161" s="93" t="str" cm="1">
        <f t="array" ref="CV161">_xlfn.LET(
  _xlpm.w, CV$11,
  _xlpm.r, MATCH(1,('3. Enter Indicator Scores'!$B$10:$B$161=$B161)*('3. Enter Indicator Scores'!$C$10:$C$161=$C161),0),
  _xlpm.c, MATCH(CV$8,'3. Enter Indicator Scores'!$D$8:$CZ$8,0),
  _xlpm.v, IFERROR(INDEX('3. Enter Indicator Scores'!$D$10:$CZ$161,_xlpm.r,_xlpm.c),""),
  IF(OR(_xlpm.w="",_xlpm.v=""),"",_xlpm.v*_xlpm.w)
)</f>
        <v/>
      </c>
      <c r="CW161" s="93" t="str" cm="1">
        <f t="array" ref="CW161">_xlfn.LET(
  _xlpm.w, CW$11,
  _xlpm.r, MATCH(1,('3. Enter Indicator Scores'!$B$10:$B$161=$B161)*('3. Enter Indicator Scores'!$C$10:$C$161=$C161),0),
  _xlpm.c, MATCH(CW$8,'3. Enter Indicator Scores'!$D$8:$CZ$8,0),
  _xlpm.v, IFERROR(INDEX('3. Enter Indicator Scores'!$D$10:$CZ$161,_xlpm.r,_xlpm.c),""),
  IF(OR(_xlpm.w="",_xlpm.v=""),"",_xlpm.v*_xlpm.w)
)</f>
        <v/>
      </c>
      <c r="CX161" s="93" t="str" cm="1">
        <f t="array" ref="CX161">_xlfn.LET(
  _xlpm.w, CX$11,
  _xlpm.r, MATCH(1,('3. Enter Indicator Scores'!$B$10:$B$161=$B161)*('3. Enter Indicator Scores'!$C$10:$C$161=$C161),0),
  _xlpm.c, MATCH(CX$8,'3. Enter Indicator Scores'!$D$8:$CZ$8,0),
  _xlpm.v, IFERROR(INDEX('3. Enter Indicator Scores'!$D$10:$CZ$161,_xlpm.r,_xlpm.c),""),
  IF(OR(_xlpm.w="",_xlpm.v=""),"",_xlpm.v*_xlpm.w)
)</f>
        <v/>
      </c>
      <c r="CY161" s="93" t="str" cm="1">
        <f t="array" ref="CY161">_xlfn.LET(
  _xlpm.w, CY$11,
  _xlpm.r, MATCH(1,('3. Enter Indicator Scores'!$B$10:$B$161=$B161)*('3. Enter Indicator Scores'!$C$10:$C$161=$C161),0),
  _xlpm.c, MATCH(CY$8,'3. Enter Indicator Scores'!$D$8:$CZ$8,0),
  _xlpm.v, IFERROR(INDEX('3. Enter Indicator Scores'!$D$10:$CZ$161,_xlpm.r,_xlpm.c),""),
  IF(OR(_xlpm.w="",_xlpm.v=""),"",_xlpm.v*_xlpm.w)
)</f>
        <v/>
      </c>
      <c r="CZ161" s="93" t="str" cm="1">
        <f t="array" ref="CZ161">_xlfn.LET(
  _xlpm.w, CZ$11,
  _xlpm.r, MATCH(1,('3. Enter Indicator Scores'!$B$10:$B$161=$B161)*('3. Enter Indicator Scores'!$C$10:$C$161=$C161),0),
  _xlpm.c, MATCH(CZ$8,'3. Enter Indicator Scores'!$D$8:$CZ$8,0),
  _xlpm.v, IFERROR(INDEX('3. Enter Indicator Scores'!$D$10:$CZ$161,_xlpm.r,_xlpm.c),""),
  IF(OR(_xlpm.w="",_xlpm.v=""),"",_xlpm.v*_xlpm.w)
)</f>
        <v/>
      </c>
    </row>
  </sheetData>
  <mergeCells count="2">
    <mergeCell ref="B4:C4"/>
    <mergeCell ref="B5:C5"/>
  </mergeCells>
  <conditionalFormatting sqref="A7:XFD7">
    <cfRule type="cellIs" dxfId="11" priority="4" operator="equal">
      <formula>"Coping Capacity"</formula>
    </cfRule>
    <cfRule type="containsText" dxfId="10" priority="5" operator="containsText" text="LOCC">
      <formula>NOT(ISERROR(SEARCH("LOCC",A7)))</formula>
    </cfRule>
    <cfRule type="cellIs" dxfId="9" priority="6" operator="equal">
      <formula>"Lack of coping capacity"</formula>
    </cfRule>
    <cfRule type="cellIs" dxfId="8" priority="8" operator="equal">
      <formula>"Vulnerability"</formula>
    </cfRule>
    <cfRule type="cellIs" dxfId="7" priority="9" operator="equal">
      <formula>"Exposure"</formula>
    </cfRule>
  </conditionalFormatting>
  <conditionalFormatting sqref="B8:C8 B11:C100">
    <cfRule type="notContainsBlanks" dxfId="6" priority="10">
      <formula>LEN(TRIM(B8))&gt;0</formula>
    </cfRule>
  </conditionalFormatting>
  <conditionalFormatting sqref="B7:CZ99">
    <cfRule type="expression" dxfId="5" priority="1">
      <formula>NOT(WeightsDefined)</formula>
    </cfRule>
  </conditionalFormatting>
  <conditionalFormatting sqref="D7:CZ11">
    <cfRule type="notContainsBlanks" dxfId="4" priority="11">
      <formula>LEN(TRIM(D7))&gt;0</formula>
    </cfRule>
  </conditionalFormatting>
  <conditionalFormatting sqref="D14:CZ1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expression" dxfId="3" priority="12">
      <formula>AND(   $B14&lt;&gt;"",   $C14&lt;&gt;"",   D$7&lt;&gt;"",   D$8&lt;&gt;"" )</formula>
    </cfRule>
  </conditionalFormatting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62CA-B4C8-4E40-80B7-0494868540EE}">
  <sheetPr codeName="Sheet16"/>
  <dimension ref="B1:H160"/>
  <sheetViews>
    <sheetView zoomScale="150" workbookViewId="0">
      <selection activeCell="A2" sqref="A2"/>
    </sheetView>
  </sheetViews>
  <sheetFormatPr baseColWidth="10" defaultRowHeight="15" x14ac:dyDescent="0.2"/>
  <cols>
    <col min="1" max="1" width="10.83203125" style="6"/>
    <col min="2" max="2" width="18.6640625" style="6" bestFit="1" customWidth="1"/>
    <col min="3" max="3" width="23.6640625" style="6" bestFit="1" customWidth="1"/>
    <col min="4" max="5" width="11" style="14" customWidth="1"/>
    <col min="6" max="6" width="13.33203125" style="14" bestFit="1" customWidth="1"/>
    <col min="7" max="7" width="10.1640625" style="14" bestFit="1" customWidth="1"/>
    <col min="8" max="16384" width="10.83203125" style="6"/>
  </cols>
  <sheetData>
    <row r="1" spans="2:8" x14ac:dyDescent="0.2">
      <c r="D1" s="6"/>
      <c r="E1" s="6"/>
      <c r="F1" s="6"/>
    </row>
    <row r="2" spans="2:8" ht="34" x14ac:dyDescent="0.2">
      <c r="B2" s="48" t="s">
        <v>3383</v>
      </c>
      <c r="C2" s="48"/>
      <c r="D2" s="6"/>
      <c r="E2" s="6"/>
      <c r="F2" s="6"/>
    </row>
    <row r="3" spans="2:8" x14ac:dyDescent="0.2">
      <c r="B3" s="144" t="s">
        <v>3420</v>
      </c>
      <c r="C3" s="144"/>
      <c r="D3" s="6"/>
      <c r="E3" s="6"/>
      <c r="F3" s="6"/>
    </row>
    <row r="4" spans="2:8" ht="144" customHeight="1" x14ac:dyDescent="0.2">
      <c r="B4" s="176" t="s">
        <v>3430</v>
      </c>
      <c r="C4" s="176"/>
      <c r="D4" s="6"/>
      <c r="E4" s="6"/>
      <c r="F4" s="6"/>
    </row>
    <row r="5" spans="2:8" ht="63" customHeight="1" x14ac:dyDescent="0.2">
      <c r="B5" s="175" t="str">
        <f>IF(IndicatorsDefined,"","First define pillar and indicator weights in Step 4. Once pillar and indicator weights sum to 1.0 or 100%, tables will appear here where you can review composite pillar matrix.")</f>
        <v>First define pillar and indicator weights in Step 4. Once pillar and indicator weights sum to 1.0 or 100%, tables will appear here where you can review composite pillar matrix.</v>
      </c>
      <c r="C5" s="175"/>
      <c r="D5" s="6"/>
      <c r="E5" s="6"/>
      <c r="F5" s="6"/>
    </row>
    <row r="6" spans="2:8" ht="16" thickBot="1" x14ac:dyDescent="0.25">
      <c r="D6" s="6"/>
      <c r="E6" s="6"/>
      <c r="F6" s="6"/>
      <c r="G6" s="146"/>
    </row>
    <row r="7" spans="2:8" s="5" customFormat="1" ht="34" thickTop="1" thickBot="1" x14ac:dyDescent="0.25">
      <c r="B7" s="102" t="s">
        <v>3387</v>
      </c>
      <c r="C7" s="103" t="s">
        <v>3388</v>
      </c>
      <c r="D7" s="96" t="s">
        <v>6</v>
      </c>
      <c r="E7" s="97" t="s">
        <v>7</v>
      </c>
      <c r="F7" s="145" t="s">
        <v>3353</v>
      </c>
      <c r="G7" s="148" t="s">
        <v>3421</v>
      </c>
      <c r="H7" s="147"/>
    </row>
    <row r="8" spans="2:8" ht="16" thickTop="1" x14ac:dyDescent="0.2">
      <c r="B8" s="6" t="str" cm="1">
        <f t="array" ref="B8">IF(
  CountrySelected,
  _xlfn._xlws.FILTER(
    tbl_geo[Country / Territory],
    tbl_geo[Country / Territory]='1. Describe Your Emergency'!$D$6
  ),
  ""
)</f>
        <v/>
      </c>
      <c r="C8" s="6" t="str" cm="1">
        <f t="array" ref="C8">IF(
  CountrySelected,
  _xlfn._xlws.FILTER(
    tbl_geo[Subnational Level],
    tbl_geo[Country / Territory]='1. Describe Your Emergency'!$D$6
  ),
  ""
)</f>
        <v/>
      </c>
      <c r="D8" s="13" t="str" cm="1">
        <f t="array" ref="D8">_xlfn.LET(
  _xlpm.c, $B8,
  _xlpm.s, $C8,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" s="13" t="str" cm="1">
        <f t="array" ref="E8">_xlfn.LET(
  _xlpm.c, $B8,
  _xlpm.s, $C8,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" s="13" t="str" cm="1">
        <f t="array" ref="F8">_xlfn.LET(
  _xlpm.c, $B8,
  _xlpm.s, $C8,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" s="149" t="str">
        <f>IF(
  COUNTIF(D8:F8,"-")&gt;0,
  "-",
  IF(
    COUNT(D8:F8)=0,
    "",
    SUM(D8:F8)
  )
)</f>
        <v/>
      </c>
    </row>
    <row r="9" spans="2:8" x14ac:dyDescent="0.2">
      <c r="D9" s="13" t="str" cm="1">
        <f t="array" ref="D9">_xlfn.LET(
  _xlpm.c, $B9,
  _xlpm.s, $C9,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" s="13" t="str" cm="1">
        <f t="array" ref="E9">_xlfn.LET(
  _xlpm.c, $B9,
  _xlpm.s, $C9,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" s="13" t="str" cm="1">
        <f t="array" ref="F9">_xlfn.LET(
  _xlpm.c, $B9,
  _xlpm.s, $C9,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" s="13" t="str">
        <f t="shared" ref="G9:G72" si="0">IF(
  COUNTIF(D9:F9,"-")&gt;0,
  "-",
  IF(
    COUNT(D9:F9)=0,
    "",
    SUM(D9:F9)
  )
)</f>
        <v/>
      </c>
    </row>
    <row r="10" spans="2:8" x14ac:dyDescent="0.2">
      <c r="D10" s="13" t="str" cm="1">
        <f t="array" ref="D10">_xlfn.LET(
  _xlpm.c, $B10,
  _xlpm.s, $C10,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" s="13" t="str" cm="1">
        <f t="array" ref="E10">_xlfn.LET(
  _xlpm.c, $B10,
  _xlpm.s, $C10,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" s="13" t="str" cm="1">
        <f t="array" ref="F10">_xlfn.LET(
  _xlpm.c, $B10,
  _xlpm.s, $C10,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" s="13" t="str">
        <f t="shared" si="0"/>
        <v/>
      </c>
    </row>
    <row r="11" spans="2:8" x14ac:dyDescent="0.2">
      <c r="D11" s="13" t="str" cm="1">
        <f t="array" ref="D11">_xlfn.LET(
  _xlpm.c, $B11,
  _xlpm.s, $C11,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" s="13" t="str" cm="1">
        <f t="array" ref="E11">_xlfn.LET(
  _xlpm.c, $B11,
  _xlpm.s, $C11,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" s="13" t="str" cm="1">
        <f t="array" ref="F11">_xlfn.LET(
  _xlpm.c, $B11,
  _xlpm.s, $C11,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" s="13" t="str">
        <f t="shared" si="0"/>
        <v/>
      </c>
    </row>
    <row r="12" spans="2:8" x14ac:dyDescent="0.2">
      <c r="D12" s="13" t="str" cm="1">
        <f t="array" ref="D12">_xlfn.LET(
  _xlpm.c, $B12,
  _xlpm.s, $C12,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" s="13" t="str" cm="1">
        <f t="array" ref="E12">_xlfn.LET(
  _xlpm.c, $B12,
  _xlpm.s, $C12,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" s="13" t="str" cm="1">
        <f t="array" ref="F12">_xlfn.LET(
  _xlpm.c, $B12,
  _xlpm.s, $C12,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" s="13" t="str">
        <f t="shared" si="0"/>
        <v/>
      </c>
    </row>
    <row r="13" spans="2:8" x14ac:dyDescent="0.2">
      <c r="D13" s="13" t="str" cm="1">
        <f t="array" ref="D13">_xlfn.LET(
  _xlpm.c, $B13,
  _xlpm.s, $C13,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" s="13" t="str" cm="1">
        <f t="array" ref="E13">_xlfn.LET(
  _xlpm.c, $B13,
  _xlpm.s, $C13,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" s="13" t="str" cm="1">
        <f t="array" ref="F13">_xlfn.LET(
  _xlpm.c, $B13,
  _xlpm.s, $C13,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" s="13" t="str">
        <f t="shared" si="0"/>
        <v/>
      </c>
    </row>
    <row r="14" spans="2:8" x14ac:dyDescent="0.2">
      <c r="D14" s="13" t="str" cm="1">
        <f t="array" ref="D14">_xlfn.LET(
  _xlpm.c, $B14,
  _xlpm.s, $C14,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" s="13" t="str" cm="1">
        <f t="array" ref="E14">_xlfn.LET(
  _xlpm.c, $B14,
  _xlpm.s, $C14,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" s="13" t="str" cm="1">
        <f t="array" ref="F14">_xlfn.LET(
  _xlpm.c, $B14,
  _xlpm.s, $C14,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" s="13" t="str">
        <f t="shared" si="0"/>
        <v/>
      </c>
    </row>
    <row r="15" spans="2:8" x14ac:dyDescent="0.2">
      <c r="D15" s="13" t="str" cm="1">
        <f t="array" ref="D15">_xlfn.LET(
  _xlpm.c, $B15,
  _xlpm.s, $C15,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" s="13" t="str" cm="1">
        <f t="array" ref="E15">_xlfn.LET(
  _xlpm.c, $B15,
  _xlpm.s, $C15,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" s="13" t="str" cm="1">
        <f t="array" ref="F15">_xlfn.LET(
  _xlpm.c, $B15,
  _xlpm.s, $C15,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" s="13" t="str">
        <f t="shared" si="0"/>
        <v/>
      </c>
    </row>
    <row r="16" spans="2:8" x14ac:dyDescent="0.2">
      <c r="D16" s="13" t="str" cm="1">
        <f t="array" ref="D16">_xlfn.LET(
  _xlpm.c, $B16,
  _xlpm.s, $C16,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6" s="13" t="str" cm="1">
        <f t="array" ref="E16">_xlfn.LET(
  _xlpm.c, $B16,
  _xlpm.s, $C16,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6" s="13" t="str" cm="1">
        <f t="array" ref="F16">_xlfn.LET(
  _xlpm.c, $B16,
  _xlpm.s, $C16,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6" s="13" t="str">
        <f t="shared" si="0"/>
        <v/>
      </c>
    </row>
    <row r="17" spans="4:7" x14ac:dyDescent="0.2">
      <c r="D17" s="13" t="str" cm="1">
        <f t="array" ref="D17">_xlfn.LET(
  _xlpm.c, $B17,
  _xlpm.s, $C17,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7" s="13" t="str" cm="1">
        <f t="array" ref="E17">_xlfn.LET(
  _xlpm.c, $B17,
  _xlpm.s, $C17,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7" s="13" t="str" cm="1">
        <f t="array" ref="F17">_xlfn.LET(
  _xlpm.c, $B17,
  _xlpm.s, $C17,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7" s="13" t="str">
        <f t="shared" si="0"/>
        <v/>
      </c>
    </row>
    <row r="18" spans="4:7" x14ac:dyDescent="0.2">
      <c r="D18" s="13" t="str" cm="1">
        <f t="array" ref="D18">_xlfn.LET(
  _xlpm.c, $B18,
  _xlpm.s, $C18,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8" s="13" t="str" cm="1">
        <f t="array" ref="E18">_xlfn.LET(
  _xlpm.c, $B18,
  _xlpm.s, $C18,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8" s="13" t="str" cm="1">
        <f t="array" ref="F18">_xlfn.LET(
  _xlpm.c, $B18,
  _xlpm.s, $C18,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8" s="13" t="str">
        <f t="shared" si="0"/>
        <v/>
      </c>
    </row>
    <row r="19" spans="4:7" x14ac:dyDescent="0.2">
      <c r="D19" s="13" t="str" cm="1">
        <f t="array" ref="D19">_xlfn.LET(
  _xlpm.c, $B19,
  _xlpm.s, $C19,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9" s="13" t="str" cm="1">
        <f t="array" ref="E19">_xlfn.LET(
  _xlpm.c, $B19,
  _xlpm.s, $C19,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9" s="13" t="str" cm="1">
        <f t="array" ref="F19">_xlfn.LET(
  _xlpm.c, $B19,
  _xlpm.s, $C19,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9" s="13" t="str">
        <f t="shared" si="0"/>
        <v/>
      </c>
    </row>
    <row r="20" spans="4:7" x14ac:dyDescent="0.2">
      <c r="D20" s="13" t="str" cm="1">
        <f t="array" ref="D20">_xlfn.LET(
  _xlpm.c, $B20,
  _xlpm.s, $C20,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0" s="13" t="str" cm="1">
        <f t="array" ref="E20">_xlfn.LET(
  _xlpm.c, $B20,
  _xlpm.s, $C20,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0" s="13" t="str" cm="1">
        <f t="array" ref="F20">_xlfn.LET(
  _xlpm.c, $B20,
  _xlpm.s, $C20,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0" s="13" t="str">
        <f t="shared" si="0"/>
        <v/>
      </c>
    </row>
    <row r="21" spans="4:7" x14ac:dyDescent="0.2">
      <c r="D21" s="13" t="str" cm="1">
        <f t="array" ref="D21">_xlfn.LET(
  _xlpm.c, $B21,
  _xlpm.s, $C21,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1" s="13" t="str" cm="1">
        <f t="array" ref="E21">_xlfn.LET(
  _xlpm.c, $B21,
  _xlpm.s, $C21,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1" s="13" t="str" cm="1">
        <f t="array" ref="F21">_xlfn.LET(
  _xlpm.c, $B21,
  _xlpm.s, $C21,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1" s="13" t="str">
        <f t="shared" si="0"/>
        <v/>
      </c>
    </row>
    <row r="22" spans="4:7" x14ac:dyDescent="0.2">
      <c r="D22" s="13" t="str" cm="1">
        <f t="array" ref="D22">_xlfn.LET(
  _xlpm.c, $B22,
  _xlpm.s, $C22,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2" s="13" t="str" cm="1">
        <f t="array" ref="E22">_xlfn.LET(
  _xlpm.c, $B22,
  _xlpm.s, $C22,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2" s="13" t="str" cm="1">
        <f t="array" ref="F22">_xlfn.LET(
  _xlpm.c, $B22,
  _xlpm.s, $C22,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2" s="13" t="str">
        <f t="shared" si="0"/>
        <v/>
      </c>
    </row>
    <row r="23" spans="4:7" x14ac:dyDescent="0.2">
      <c r="D23" s="13" t="str" cm="1">
        <f t="array" ref="D23">_xlfn.LET(
  _xlpm.c, $B23,
  _xlpm.s, $C23,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3" s="13" t="str" cm="1">
        <f t="array" ref="E23">_xlfn.LET(
  _xlpm.c, $B23,
  _xlpm.s, $C23,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3" s="13" t="str" cm="1">
        <f t="array" ref="F23">_xlfn.LET(
  _xlpm.c, $B23,
  _xlpm.s, $C23,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3" s="13" t="str">
        <f t="shared" si="0"/>
        <v/>
      </c>
    </row>
    <row r="24" spans="4:7" x14ac:dyDescent="0.2">
      <c r="D24" s="13" t="str" cm="1">
        <f t="array" ref="D24">_xlfn.LET(
  _xlpm.c, $B24,
  _xlpm.s, $C24,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4" s="13" t="str" cm="1">
        <f t="array" ref="E24">_xlfn.LET(
  _xlpm.c, $B24,
  _xlpm.s, $C24,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4" s="13" t="str" cm="1">
        <f t="array" ref="F24">_xlfn.LET(
  _xlpm.c, $B24,
  _xlpm.s, $C24,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4" s="13" t="str">
        <f t="shared" si="0"/>
        <v/>
      </c>
    </row>
    <row r="25" spans="4:7" x14ac:dyDescent="0.2">
      <c r="D25" s="13" t="str" cm="1">
        <f t="array" ref="D25">_xlfn.LET(
  _xlpm.c, $B25,
  _xlpm.s, $C25,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5" s="13" t="str" cm="1">
        <f t="array" ref="E25">_xlfn.LET(
  _xlpm.c, $B25,
  _xlpm.s, $C25,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5" s="13" t="str" cm="1">
        <f t="array" ref="F25">_xlfn.LET(
  _xlpm.c, $B25,
  _xlpm.s, $C25,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5" s="13" t="str">
        <f t="shared" si="0"/>
        <v/>
      </c>
    </row>
    <row r="26" spans="4:7" x14ac:dyDescent="0.2">
      <c r="D26" s="13" t="str" cm="1">
        <f t="array" ref="D26">_xlfn.LET(
  _xlpm.c, $B26,
  _xlpm.s, $C26,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6" s="13" t="str" cm="1">
        <f t="array" ref="E26">_xlfn.LET(
  _xlpm.c, $B26,
  _xlpm.s, $C26,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6" s="13" t="str" cm="1">
        <f t="array" ref="F26">_xlfn.LET(
  _xlpm.c, $B26,
  _xlpm.s, $C26,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6" s="13" t="str">
        <f t="shared" si="0"/>
        <v/>
      </c>
    </row>
    <row r="27" spans="4:7" x14ac:dyDescent="0.2">
      <c r="D27" s="13" t="str" cm="1">
        <f t="array" ref="D27">_xlfn.LET(
  _xlpm.c, $B27,
  _xlpm.s, $C27,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7" s="13" t="str" cm="1">
        <f t="array" ref="E27">_xlfn.LET(
  _xlpm.c, $B27,
  _xlpm.s, $C27,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7" s="13" t="str" cm="1">
        <f t="array" ref="F27">_xlfn.LET(
  _xlpm.c, $B27,
  _xlpm.s, $C27,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7" s="13" t="str">
        <f t="shared" si="0"/>
        <v/>
      </c>
    </row>
    <row r="28" spans="4:7" x14ac:dyDescent="0.2">
      <c r="D28" s="13" t="str" cm="1">
        <f t="array" ref="D28">_xlfn.LET(
  _xlpm.c, $B28,
  _xlpm.s, $C28,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8" s="13" t="str" cm="1">
        <f t="array" ref="E28">_xlfn.LET(
  _xlpm.c, $B28,
  _xlpm.s, $C28,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8" s="13" t="str" cm="1">
        <f t="array" ref="F28">_xlfn.LET(
  _xlpm.c, $B28,
  _xlpm.s, $C28,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8" s="13" t="str">
        <f t="shared" si="0"/>
        <v/>
      </c>
    </row>
    <row r="29" spans="4:7" x14ac:dyDescent="0.2">
      <c r="D29" s="13" t="str" cm="1">
        <f t="array" ref="D29">_xlfn.LET(
  _xlpm.c, $B29,
  _xlpm.s, $C29,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29" s="13" t="str" cm="1">
        <f t="array" ref="E29">_xlfn.LET(
  _xlpm.c, $B29,
  _xlpm.s, $C29,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29" s="13" t="str" cm="1">
        <f t="array" ref="F29">_xlfn.LET(
  _xlpm.c, $B29,
  _xlpm.s, $C29,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29" s="13" t="str">
        <f t="shared" si="0"/>
        <v/>
      </c>
    </row>
    <row r="30" spans="4:7" x14ac:dyDescent="0.2">
      <c r="D30" s="13" t="str" cm="1">
        <f t="array" ref="D30">_xlfn.LET(
  _xlpm.c, $B30,
  _xlpm.s, $C30,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0" s="13" t="str" cm="1">
        <f t="array" ref="E30">_xlfn.LET(
  _xlpm.c, $B30,
  _xlpm.s, $C30,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0" s="13" t="str" cm="1">
        <f t="array" ref="F30">_xlfn.LET(
  _xlpm.c, $B30,
  _xlpm.s, $C30,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0" s="13" t="str">
        <f t="shared" si="0"/>
        <v/>
      </c>
    </row>
    <row r="31" spans="4:7" x14ac:dyDescent="0.2">
      <c r="D31" s="13" t="str" cm="1">
        <f t="array" ref="D31">_xlfn.LET(
  _xlpm.c, $B31,
  _xlpm.s, $C31,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1" s="13" t="str" cm="1">
        <f t="array" ref="E31">_xlfn.LET(
  _xlpm.c, $B31,
  _xlpm.s, $C31,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1" s="13" t="str" cm="1">
        <f t="array" ref="F31">_xlfn.LET(
  _xlpm.c, $B31,
  _xlpm.s, $C31,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1" s="13" t="str">
        <f t="shared" si="0"/>
        <v/>
      </c>
    </row>
    <row r="32" spans="4:7" x14ac:dyDescent="0.2">
      <c r="D32" s="13" t="str" cm="1">
        <f t="array" ref="D32">_xlfn.LET(
  _xlpm.c, $B32,
  _xlpm.s, $C32,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2" s="13" t="str" cm="1">
        <f t="array" ref="E32">_xlfn.LET(
  _xlpm.c, $B32,
  _xlpm.s, $C32,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2" s="13" t="str" cm="1">
        <f t="array" ref="F32">_xlfn.LET(
  _xlpm.c, $B32,
  _xlpm.s, $C32,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2" s="13" t="str">
        <f t="shared" si="0"/>
        <v/>
      </c>
    </row>
    <row r="33" spans="4:7" x14ac:dyDescent="0.2">
      <c r="D33" s="13" t="str" cm="1">
        <f t="array" ref="D33">_xlfn.LET(
  _xlpm.c, $B33,
  _xlpm.s, $C33,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3" s="13" t="str" cm="1">
        <f t="array" ref="E33">_xlfn.LET(
  _xlpm.c, $B33,
  _xlpm.s, $C33,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3" s="13" t="str" cm="1">
        <f t="array" ref="F33">_xlfn.LET(
  _xlpm.c, $B33,
  _xlpm.s, $C33,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3" s="13" t="str">
        <f t="shared" si="0"/>
        <v/>
      </c>
    </row>
    <row r="34" spans="4:7" x14ac:dyDescent="0.2">
      <c r="D34" s="13" t="str" cm="1">
        <f t="array" ref="D34">_xlfn.LET(
  _xlpm.c, $B34,
  _xlpm.s, $C34,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4" s="13" t="str" cm="1">
        <f t="array" ref="E34">_xlfn.LET(
  _xlpm.c, $B34,
  _xlpm.s, $C34,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4" s="13" t="str" cm="1">
        <f t="array" ref="F34">_xlfn.LET(
  _xlpm.c, $B34,
  _xlpm.s, $C34,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4" s="13" t="str">
        <f t="shared" si="0"/>
        <v/>
      </c>
    </row>
    <row r="35" spans="4:7" x14ac:dyDescent="0.2">
      <c r="D35" s="13" t="str" cm="1">
        <f t="array" ref="D35">_xlfn.LET(
  _xlpm.c, $B35,
  _xlpm.s, $C35,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5" s="13" t="str" cm="1">
        <f t="array" ref="E35">_xlfn.LET(
  _xlpm.c, $B35,
  _xlpm.s, $C35,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5" s="13" t="str" cm="1">
        <f t="array" ref="F35">_xlfn.LET(
  _xlpm.c, $B35,
  _xlpm.s, $C35,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5" s="13" t="str">
        <f t="shared" si="0"/>
        <v/>
      </c>
    </row>
    <row r="36" spans="4:7" x14ac:dyDescent="0.2">
      <c r="D36" s="13" t="str" cm="1">
        <f t="array" ref="D36">_xlfn.LET(
  _xlpm.c, $B36,
  _xlpm.s, $C36,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6" s="14" t="str" cm="1">
        <f t="array" ref="E36">_xlfn.LET(
  _xlpm.c, $B36,
  _xlpm.s, $C36,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6" s="14" t="str" cm="1">
        <f t="array" ref="F36">_xlfn.LET(
  _xlpm.c, $B36,
  _xlpm.s, $C36,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6" s="13" t="str">
        <f t="shared" si="0"/>
        <v/>
      </c>
    </row>
    <row r="37" spans="4:7" x14ac:dyDescent="0.2">
      <c r="D37" s="14" t="str" cm="1">
        <f t="array" ref="D37">_xlfn.LET(
  _xlpm.c, $B37,
  _xlpm.s, $C37,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7" s="14" t="str" cm="1">
        <f t="array" ref="E37">_xlfn.LET(
  _xlpm.c, $B37,
  _xlpm.s, $C37,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7" s="14" t="str" cm="1">
        <f t="array" ref="F37">_xlfn.LET(
  _xlpm.c, $B37,
  _xlpm.s, $C37,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7" s="13" t="str">
        <f t="shared" si="0"/>
        <v/>
      </c>
    </row>
    <row r="38" spans="4:7" x14ac:dyDescent="0.2">
      <c r="D38" s="14" t="str" cm="1">
        <f t="array" ref="D38">_xlfn.LET(
  _xlpm.c, $B38,
  _xlpm.s, $C38,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8" s="14" t="str" cm="1">
        <f t="array" ref="E38">_xlfn.LET(
  _xlpm.c, $B38,
  _xlpm.s, $C38,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8" s="14" t="str" cm="1">
        <f t="array" ref="F38">_xlfn.LET(
  _xlpm.c, $B38,
  _xlpm.s, $C38,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8" s="13" t="str">
        <f t="shared" si="0"/>
        <v/>
      </c>
    </row>
    <row r="39" spans="4:7" x14ac:dyDescent="0.2">
      <c r="D39" s="14" t="str" cm="1">
        <f t="array" ref="D39">_xlfn.LET(
  _xlpm.c, $B39,
  _xlpm.s, $C39,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39" s="14" t="str" cm="1">
        <f t="array" ref="E39">_xlfn.LET(
  _xlpm.c, $B39,
  _xlpm.s, $C39,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39" s="14" t="str" cm="1">
        <f t="array" ref="F39">_xlfn.LET(
  _xlpm.c, $B39,
  _xlpm.s, $C39,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39" s="13" t="str">
        <f t="shared" si="0"/>
        <v/>
      </c>
    </row>
    <row r="40" spans="4:7" x14ac:dyDescent="0.2">
      <c r="D40" s="14" t="str" cm="1">
        <f t="array" ref="D40">_xlfn.LET(
  _xlpm.c, $B40,
  _xlpm.s, $C40,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0" s="14" t="str" cm="1">
        <f t="array" ref="E40">_xlfn.LET(
  _xlpm.c, $B40,
  _xlpm.s, $C40,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0" s="14" t="str" cm="1">
        <f t="array" ref="F40">_xlfn.LET(
  _xlpm.c, $B40,
  _xlpm.s, $C40,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0" s="13" t="str">
        <f t="shared" si="0"/>
        <v/>
      </c>
    </row>
    <row r="41" spans="4:7" x14ac:dyDescent="0.2">
      <c r="D41" s="14" t="str" cm="1">
        <f t="array" ref="D41">_xlfn.LET(
  _xlpm.c, $B41,
  _xlpm.s, $C41,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1" s="14" t="str" cm="1">
        <f t="array" ref="E41">_xlfn.LET(
  _xlpm.c, $B41,
  _xlpm.s, $C41,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1" s="14" t="str" cm="1">
        <f t="array" ref="F41">_xlfn.LET(
  _xlpm.c, $B41,
  _xlpm.s, $C41,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1" s="13" t="str">
        <f t="shared" si="0"/>
        <v/>
      </c>
    </row>
    <row r="42" spans="4:7" x14ac:dyDescent="0.2">
      <c r="D42" s="14" t="str" cm="1">
        <f t="array" ref="D42">_xlfn.LET(
  _xlpm.c, $B42,
  _xlpm.s, $C42,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2" s="14" t="str" cm="1">
        <f t="array" ref="E42">_xlfn.LET(
  _xlpm.c, $B42,
  _xlpm.s, $C42,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2" s="14" t="str" cm="1">
        <f t="array" ref="F42">_xlfn.LET(
  _xlpm.c, $B42,
  _xlpm.s, $C42,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2" s="13" t="str">
        <f t="shared" si="0"/>
        <v/>
      </c>
    </row>
    <row r="43" spans="4:7" x14ac:dyDescent="0.2">
      <c r="D43" s="14" t="str" cm="1">
        <f t="array" ref="D43">_xlfn.LET(
  _xlpm.c, $B43,
  _xlpm.s, $C43,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3" s="14" t="str" cm="1">
        <f t="array" ref="E43">_xlfn.LET(
  _xlpm.c, $B43,
  _xlpm.s, $C43,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3" s="14" t="str" cm="1">
        <f t="array" ref="F43">_xlfn.LET(
  _xlpm.c, $B43,
  _xlpm.s, $C43,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3" s="13" t="str">
        <f t="shared" si="0"/>
        <v/>
      </c>
    </row>
    <row r="44" spans="4:7" x14ac:dyDescent="0.2">
      <c r="D44" s="14" t="str" cm="1">
        <f t="array" ref="D44">_xlfn.LET(
  _xlpm.c, $B44,
  _xlpm.s, $C44,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4" s="14" t="str" cm="1">
        <f t="array" ref="E44">_xlfn.LET(
  _xlpm.c, $B44,
  _xlpm.s, $C44,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4" s="14" t="str" cm="1">
        <f t="array" ref="F44">_xlfn.LET(
  _xlpm.c, $B44,
  _xlpm.s, $C44,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4" s="13" t="str">
        <f t="shared" si="0"/>
        <v/>
      </c>
    </row>
    <row r="45" spans="4:7" x14ac:dyDescent="0.2">
      <c r="D45" s="14" t="str" cm="1">
        <f t="array" ref="D45">_xlfn.LET(
  _xlpm.c, $B45,
  _xlpm.s, $C45,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5" s="14" t="str" cm="1">
        <f t="array" ref="E45">_xlfn.LET(
  _xlpm.c, $B45,
  _xlpm.s, $C45,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5" s="14" t="str" cm="1">
        <f t="array" ref="F45">_xlfn.LET(
  _xlpm.c, $B45,
  _xlpm.s, $C45,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5" s="13" t="str">
        <f t="shared" si="0"/>
        <v/>
      </c>
    </row>
    <row r="46" spans="4:7" x14ac:dyDescent="0.2">
      <c r="D46" s="14" t="str" cm="1">
        <f t="array" ref="D46">_xlfn.LET(
  _xlpm.c, $B46,
  _xlpm.s, $C46,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6" s="14" t="str" cm="1">
        <f t="array" ref="E46">_xlfn.LET(
  _xlpm.c, $B46,
  _xlpm.s, $C46,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6" s="14" t="str" cm="1">
        <f t="array" ref="F46">_xlfn.LET(
  _xlpm.c, $B46,
  _xlpm.s, $C46,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6" s="13" t="str">
        <f t="shared" si="0"/>
        <v/>
      </c>
    </row>
    <row r="47" spans="4:7" x14ac:dyDescent="0.2">
      <c r="D47" s="14" t="str" cm="1">
        <f t="array" ref="D47">_xlfn.LET(
  _xlpm.c, $B47,
  _xlpm.s, $C47,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7" s="14" t="str" cm="1">
        <f t="array" ref="E47">_xlfn.LET(
  _xlpm.c, $B47,
  _xlpm.s, $C47,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7" s="14" t="str" cm="1">
        <f t="array" ref="F47">_xlfn.LET(
  _xlpm.c, $B47,
  _xlpm.s, $C47,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7" s="13" t="str">
        <f t="shared" si="0"/>
        <v/>
      </c>
    </row>
    <row r="48" spans="4:7" x14ac:dyDescent="0.2">
      <c r="D48" s="14" t="str" cm="1">
        <f t="array" ref="D48">_xlfn.LET(
  _xlpm.c, $B48,
  _xlpm.s, $C48,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8" s="14" t="str" cm="1">
        <f t="array" ref="E48">_xlfn.LET(
  _xlpm.c, $B48,
  _xlpm.s, $C48,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8" s="14" t="str" cm="1">
        <f t="array" ref="F48">_xlfn.LET(
  _xlpm.c, $B48,
  _xlpm.s, $C48,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8" s="13" t="str">
        <f t="shared" si="0"/>
        <v/>
      </c>
    </row>
    <row r="49" spans="4:7" x14ac:dyDescent="0.2">
      <c r="D49" s="14" t="str" cm="1">
        <f t="array" ref="D49">_xlfn.LET(
  _xlpm.c, $B49,
  _xlpm.s, $C49,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49" s="14" t="str" cm="1">
        <f t="array" ref="E49">_xlfn.LET(
  _xlpm.c, $B49,
  _xlpm.s, $C49,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49" s="14" t="str" cm="1">
        <f t="array" ref="F49">_xlfn.LET(
  _xlpm.c, $B49,
  _xlpm.s, $C49,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49" s="13" t="str">
        <f t="shared" si="0"/>
        <v/>
      </c>
    </row>
    <row r="50" spans="4:7" x14ac:dyDescent="0.2">
      <c r="D50" s="14" t="str" cm="1">
        <f t="array" ref="D50">_xlfn.LET(
  _xlpm.c, $B50,
  _xlpm.s, $C50,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0" s="14" t="str" cm="1">
        <f t="array" ref="E50">_xlfn.LET(
  _xlpm.c, $B50,
  _xlpm.s, $C50,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0" s="14" t="str" cm="1">
        <f t="array" ref="F50">_xlfn.LET(
  _xlpm.c, $B50,
  _xlpm.s, $C50,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0" s="13" t="str">
        <f t="shared" si="0"/>
        <v/>
      </c>
    </row>
    <row r="51" spans="4:7" x14ac:dyDescent="0.2">
      <c r="D51" s="14" t="str" cm="1">
        <f t="array" ref="D51">_xlfn.LET(
  _xlpm.c, $B51,
  _xlpm.s, $C51,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1" s="14" t="str" cm="1">
        <f t="array" ref="E51">_xlfn.LET(
  _xlpm.c, $B51,
  _xlpm.s, $C51,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1" s="14" t="str" cm="1">
        <f t="array" ref="F51">_xlfn.LET(
  _xlpm.c, $B51,
  _xlpm.s, $C51,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1" s="13" t="str">
        <f t="shared" si="0"/>
        <v/>
      </c>
    </row>
    <row r="52" spans="4:7" x14ac:dyDescent="0.2">
      <c r="D52" s="14" t="str" cm="1">
        <f t="array" ref="D52">_xlfn.LET(
  _xlpm.c, $B52,
  _xlpm.s, $C52,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2" s="14" t="str" cm="1">
        <f t="array" ref="E52">_xlfn.LET(
  _xlpm.c, $B52,
  _xlpm.s, $C52,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2" s="14" t="str" cm="1">
        <f t="array" ref="F52">_xlfn.LET(
  _xlpm.c, $B52,
  _xlpm.s, $C52,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2" s="13" t="str">
        <f t="shared" si="0"/>
        <v/>
      </c>
    </row>
    <row r="53" spans="4:7" x14ac:dyDescent="0.2">
      <c r="D53" s="14" t="str" cm="1">
        <f t="array" ref="D53">_xlfn.LET(
  _xlpm.c, $B53,
  _xlpm.s, $C53,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3" s="14" t="str" cm="1">
        <f t="array" ref="E53">_xlfn.LET(
  _xlpm.c, $B53,
  _xlpm.s, $C53,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3" s="14" t="str" cm="1">
        <f t="array" ref="F53">_xlfn.LET(
  _xlpm.c, $B53,
  _xlpm.s, $C53,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3" s="13" t="str">
        <f t="shared" si="0"/>
        <v/>
      </c>
    </row>
    <row r="54" spans="4:7" x14ac:dyDescent="0.2">
      <c r="D54" s="14" t="str" cm="1">
        <f t="array" ref="D54">_xlfn.LET(
  _xlpm.c, $B54,
  _xlpm.s, $C54,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4" s="14" t="str" cm="1">
        <f t="array" ref="E54">_xlfn.LET(
  _xlpm.c, $B54,
  _xlpm.s, $C54,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4" s="14" t="str" cm="1">
        <f t="array" ref="F54">_xlfn.LET(
  _xlpm.c, $B54,
  _xlpm.s, $C54,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4" s="13" t="str">
        <f t="shared" si="0"/>
        <v/>
      </c>
    </row>
    <row r="55" spans="4:7" x14ac:dyDescent="0.2">
      <c r="D55" s="14" t="str" cm="1">
        <f t="array" ref="D55">_xlfn.LET(
  _xlpm.c, $B55,
  _xlpm.s, $C55,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5" s="14" t="str" cm="1">
        <f t="array" ref="E55">_xlfn.LET(
  _xlpm.c, $B55,
  _xlpm.s, $C55,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5" s="14" t="str" cm="1">
        <f t="array" ref="F55">_xlfn.LET(
  _xlpm.c, $B55,
  _xlpm.s, $C55,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5" s="13" t="str">
        <f t="shared" si="0"/>
        <v/>
      </c>
    </row>
    <row r="56" spans="4:7" x14ac:dyDescent="0.2">
      <c r="D56" s="14" t="str" cm="1">
        <f t="array" ref="D56">_xlfn.LET(
  _xlpm.c, $B56,
  _xlpm.s, $C56,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6" s="14" t="str" cm="1">
        <f t="array" ref="E56">_xlfn.LET(
  _xlpm.c, $B56,
  _xlpm.s, $C56,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6" s="14" t="str" cm="1">
        <f t="array" ref="F56">_xlfn.LET(
  _xlpm.c, $B56,
  _xlpm.s, $C56,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6" s="13" t="str">
        <f t="shared" si="0"/>
        <v/>
      </c>
    </row>
    <row r="57" spans="4:7" x14ac:dyDescent="0.2">
      <c r="D57" s="14" t="str" cm="1">
        <f t="array" ref="D57">_xlfn.LET(
  _xlpm.c, $B57,
  _xlpm.s, $C57,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7" s="14" t="str" cm="1">
        <f t="array" ref="E57">_xlfn.LET(
  _xlpm.c, $B57,
  _xlpm.s, $C57,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7" s="14" t="str" cm="1">
        <f t="array" ref="F57">_xlfn.LET(
  _xlpm.c, $B57,
  _xlpm.s, $C57,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7" s="13" t="str">
        <f t="shared" si="0"/>
        <v/>
      </c>
    </row>
    <row r="58" spans="4:7" x14ac:dyDescent="0.2">
      <c r="D58" s="14" t="str" cm="1">
        <f t="array" ref="D58">_xlfn.LET(
  _xlpm.c, $B58,
  _xlpm.s, $C58,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8" s="14" t="str" cm="1">
        <f t="array" ref="E58">_xlfn.LET(
  _xlpm.c, $B58,
  _xlpm.s, $C58,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8" s="14" t="str" cm="1">
        <f t="array" ref="F58">_xlfn.LET(
  _xlpm.c, $B58,
  _xlpm.s, $C58,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8" s="13" t="str">
        <f t="shared" si="0"/>
        <v/>
      </c>
    </row>
    <row r="59" spans="4:7" x14ac:dyDescent="0.2">
      <c r="D59" s="14" t="str" cm="1">
        <f t="array" ref="D59">_xlfn.LET(
  _xlpm.c, $B59,
  _xlpm.s, $C59,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59" s="14" t="str" cm="1">
        <f t="array" ref="E59">_xlfn.LET(
  _xlpm.c, $B59,
  _xlpm.s, $C59,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59" s="14" t="str" cm="1">
        <f t="array" ref="F59">_xlfn.LET(
  _xlpm.c, $B59,
  _xlpm.s, $C59,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59" s="13" t="str">
        <f t="shared" si="0"/>
        <v/>
      </c>
    </row>
    <row r="60" spans="4:7" x14ac:dyDescent="0.2">
      <c r="D60" s="14" t="str" cm="1">
        <f t="array" ref="D60">_xlfn.LET(
  _xlpm.c, $B60,
  _xlpm.s, $C60,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0" s="14" t="str" cm="1">
        <f t="array" ref="E60">_xlfn.LET(
  _xlpm.c, $B60,
  _xlpm.s, $C60,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0" s="14" t="str" cm="1">
        <f t="array" ref="F60">_xlfn.LET(
  _xlpm.c, $B60,
  _xlpm.s, $C60,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0" s="13" t="str">
        <f t="shared" si="0"/>
        <v/>
      </c>
    </row>
    <row r="61" spans="4:7" x14ac:dyDescent="0.2">
      <c r="D61" s="14" t="str" cm="1">
        <f t="array" ref="D61">_xlfn.LET(
  _xlpm.c, $B61,
  _xlpm.s, $C61,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1" s="14" t="str" cm="1">
        <f t="array" ref="E61">_xlfn.LET(
  _xlpm.c, $B61,
  _xlpm.s, $C61,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1" s="14" t="str" cm="1">
        <f t="array" ref="F61">_xlfn.LET(
  _xlpm.c, $B61,
  _xlpm.s, $C61,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1" s="13" t="str">
        <f t="shared" si="0"/>
        <v/>
      </c>
    </row>
    <row r="62" spans="4:7" x14ac:dyDescent="0.2">
      <c r="D62" s="14" t="str" cm="1">
        <f t="array" ref="D62">_xlfn.LET(
  _xlpm.c, $B62,
  _xlpm.s, $C62,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2" s="14" t="str" cm="1">
        <f t="array" ref="E62">_xlfn.LET(
  _xlpm.c, $B62,
  _xlpm.s, $C62,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2" s="14" t="str" cm="1">
        <f t="array" ref="F62">_xlfn.LET(
  _xlpm.c, $B62,
  _xlpm.s, $C62,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2" s="13" t="str">
        <f t="shared" si="0"/>
        <v/>
      </c>
    </row>
    <row r="63" spans="4:7" x14ac:dyDescent="0.2">
      <c r="D63" s="14" t="str" cm="1">
        <f t="array" ref="D63">_xlfn.LET(
  _xlpm.c, $B63,
  _xlpm.s, $C63,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3" s="14" t="str" cm="1">
        <f t="array" ref="E63">_xlfn.LET(
  _xlpm.c, $B63,
  _xlpm.s, $C63,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3" s="14" t="str" cm="1">
        <f t="array" ref="F63">_xlfn.LET(
  _xlpm.c, $B63,
  _xlpm.s, $C63,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3" s="13" t="str">
        <f t="shared" si="0"/>
        <v/>
      </c>
    </row>
    <row r="64" spans="4:7" x14ac:dyDescent="0.2">
      <c r="D64" s="14" t="str" cm="1">
        <f t="array" ref="D64">_xlfn.LET(
  _xlpm.c, $B64,
  _xlpm.s, $C64,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4" s="14" t="str" cm="1">
        <f t="array" ref="E64">_xlfn.LET(
  _xlpm.c, $B64,
  _xlpm.s, $C64,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4" s="14" t="str" cm="1">
        <f t="array" ref="F64">_xlfn.LET(
  _xlpm.c, $B64,
  _xlpm.s, $C64,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4" s="13" t="str">
        <f t="shared" si="0"/>
        <v/>
      </c>
    </row>
    <row r="65" spans="4:7" x14ac:dyDescent="0.2">
      <c r="D65" s="14" t="str" cm="1">
        <f t="array" ref="D65">_xlfn.LET(
  _xlpm.c, $B65,
  _xlpm.s, $C65,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5" s="14" t="str" cm="1">
        <f t="array" ref="E65">_xlfn.LET(
  _xlpm.c, $B65,
  _xlpm.s, $C65,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5" s="14" t="str" cm="1">
        <f t="array" ref="F65">_xlfn.LET(
  _xlpm.c, $B65,
  _xlpm.s, $C65,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5" s="13" t="str">
        <f t="shared" si="0"/>
        <v/>
      </c>
    </row>
    <row r="66" spans="4:7" x14ac:dyDescent="0.2">
      <c r="D66" s="14" t="str" cm="1">
        <f t="array" ref="D66">_xlfn.LET(
  _xlpm.c, $B66,
  _xlpm.s, $C66,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6" s="14" t="str" cm="1">
        <f t="array" ref="E66">_xlfn.LET(
  _xlpm.c, $B66,
  _xlpm.s, $C66,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6" s="14" t="str" cm="1">
        <f t="array" ref="F66">_xlfn.LET(
  _xlpm.c, $B66,
  _xlpm.s, $C66,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6" s="13" t="str">
        <f t="shared" si="0"/>
        <v/>
      </c>
    </row>
    <row r="67" spans="4:7" x14ac:dyDescent="0.2">
      <c r="D67" s="14" t="str" cm="1">
        <f t="array" ref="D67">_xlfn.LET(
  _xlpm.c, $B67,
  _xlpm.s, $C67,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7" s="14" t="str" cm="1">
        <f t="array" ref="E67">_xlfn.LET(
  _xlpm.c, $B67,
  _xlpm.s, $C67,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7" s="14" t="str" cm="1">
        <f t="array" ref="F67">_xlfn.LET(
  _xlpm.c, $B67,
  _xlpm.s, $C67,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7" s="13" t="str">
        <f t="shared" si="0"/>
        <v/>
      </c>
    </row>
    <row r="68" spans="4:7" x14ac:dyDescent="0.2">
      <c r="D68" s="14" t="str" cm="1">
        <f t="array" ref="D68">_xlfn.LET(
  _xlpm.c, $B68,
  _xlpm.s, $C68,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8" s="14" t="str" cm="1">
        <f t="array" ref="E68">_xlfn.LET(
  _xlpm.c, $B68,
  _xlpm.s, $C68,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8" s="14" t="str" cm="1">
        <f t="array" ref="F68">_xlfn.LET(
  _xlpm.c, $B68,
  _xlpm.s, $C68,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8" s="13" t="str">
        <f t="shared" si="0"/>
        <v/>
      </c>
    </row>
    <row r="69" spans="4:7" x14ac:dyDescent="0.2">
      <c r="D69" s="14" t="str" cm="1">
        <f t="array" ref="D69">_xlfn.LET(
  _xlpm.c, $B69,
  _xlpm.s, $C69,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69" s="14" t="str" cm="1">
        <f t="array" ref="E69">_xlfn.LET(
  _xlpm.c, $B69,
  _xlpm.s, $C69,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69" s="14" t="str" cm="1">
        <f t="array" ref="F69">_xlfn.LET(
  _xlpm.c, $B69,
  _xlpm.s, $C69,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69" s="13" t="str">
        <f t="shared" si="0"/>
        <v/>
      </c>
    </row>
    <row r="70" spans="4:7" x14ac:dyDescent="0.2">
      <c r="D70" s="14" t="str" cm="1">
        <f t="array" ref="D70">_xlfn.LET(
  _xlpm.c, $B70,
  _xlpm.s, $C70,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0" s="14" t="str" cm="1">
        <f t="array" ref="E70">_xlfn.LET(
  _xlpm.c, $B70,
  _xlpm.s, $C70,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0" s="14" t="str" cm="1">
        <f t="array" ref="F70">_xlfn.LET(
  _xlpm.c, $B70,
  _xlpm.s, $C70,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0" s="13" t="str">
        <f t="shared" si="0"/>
        <v/>
      </c>
    </row>
    <row r="71" spans="4:7" x14ac:dyDescent="0.2">
      <c r="D71" s="14" t="str" cm="1">
        <f t="array" ref="D71">_xlfn.LET(
  _xlpm.c, $B71,
  _xlpm.s, $C71,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1" s="14" t="str" cm="1">
        <f t="array" ref="E71">_xlfn.LET(
  _xlpm.c, $B71,
  _xlpm.s, $C71,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1" s="14" t="str" cm="1">
        <f t="array" ref="F71">_xlfn.LET(
  _xlpm.c, $B71,
  _xlpm.s, $C71,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1" s="13" t="str">
        <f t="shared" si="0"/>
        <v/>
      </c>
    </row>
    <row r="72" spans="4:7" x14ac:dyDescent="0.2">
      <c r="D72" s="14" t="str" cm="1">
        <f t="array" ref="D72">_xlfn.LET(
  _xlpm.c, $B72,
  _xlpm.s, $C72,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2" s="14" t="str" cm="1">
        <f t="array" ref="E72">_xlfn.LET(
  _xlpm.c, $B72,
  _xlpm.s, $C72,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2" s="14" t="str" cm="1">
        <f t="array" ref="F72">_xlfn.LET(
  _xlpm.c, $B72,
  _xlpm.s, $C72,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2" s="13" t="str">
        <f t="shared" si="0"/>
        <v/>
      </c>
    </row>
    <row r="73" spans="4:7" x14ac:dyDescent="0.2">
      <c r="D73" s="14" t="str" cm="1">
        <f t="array" ref="D73">_xlfn.LET(
  _xlpm.c, $B73,
  _xlpm.s, $C73,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3" s="14" t="str" cm="1">
        <f t="array" ref="E73">_xlfn.LET(
  _xlpm.c, $B73,
  _xlpm.s, $C73,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3" s="14" t="str" cm="1">
        <f t="array" ref="F73">_xlfn.LET(
  _xlpm.c, $B73,
  _xlpm.s, $C73,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3" s="13" t="str">
        <f t="shared" ref="G73:G136" si="1">IF(
  COUNTIF(D73:F73,"-")&gt;0,
  "-",
  IF(
    COUNT(D73:F73)=0,
    "",
    SUM(D73:F73)
  )
)</f>
        <v/>
      </c>
    </row>
    <row r="74" spans="4:7" x14ac:dyDescent="0.2">
      <c r="D74" s="14" t="str" cm="1">
        <f t="array" ref="D74">_xlfn.LET(
  _xlpm.c, $B74,
  _xlpm.s, $C74,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4" s="14" t="str" cm="1">
        <f t="array" ref="E74">_xlfn.LET(
  _xlpm.c, $B74,
  _xlpm.s, $C74,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4" s="14" t="str" cm="1">
        <f t="array" ref="F74">_xlfn.LET(
  _xlpm.c, $B74,
  _xlpm.s, $C74,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4" s="13" t="str">
        <f t="shared" si="1"/>
        <v/>
      </c>
    </row>
    <row r="75" spans="4:7" x14ac:dyDescent="0.2">
      <c r="D75" s="14" t="str" cm="1">
        <f t="array" ref="D75">_xlfn.LET(
  _xlpm.c, $B75,
  _xlpm.s, $C75,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5" s="14" t="str" cm="1">
        <f t="array" ref="E75">_xlfn.LET(
  _xlpm.c, $B75,
  _xlpm.s, $C75,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5" s="14" t="str" cm="1">
        <f t="array" ref="F75">_xlfn.LET(
  _xlpm.c, $B75,
  _xlpm.s, $C75,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5" s="13" t="str">
        <f t="shared" si="1"/>
        <v/>
      </c>
    </row>
    <row r="76" spans="4:7" x14ac:dyDescent="0.2">
      <c r="D76" s="14" t="str" cm="1">
        <f t="array" ref="D76">_xlfn.LET(
  _xlpm.c, $B76,
  _xlpm.s, $C76,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6" s="14" t="str" cm="1">
        <f t="array" ref="E76">_xlfn.LET(
  _xlpm.c, $B76,
  _xlpm.s, $C76,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6" s="14" t="str" cm="1">
        <f t="array" ref="F76">_xlfn.LET(
  _xlpm.c, $B76,
  _xlpm.s, $C76,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6" s="13" t="str">
        <f t="shared" si="1"/>
        <v/>
      </c>
    </row>
    <row r="77" spans="4:7" x14ac:dyDescent="0.2">
      <c r="D77" s="14" t="str" cm="1">
        <f t="array" ref="D77">_xlfn.LET(
  _xlpm.c, $B77,
  _xlpm.s, $C77,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7" s="14" t="str" cm="1">
        <f t="array" ref="E77">_xlfn.LET(
  _xlpm.c, $B77,
  _xlpm.s, $C77,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7" s="14" t="str" cm="1">
        <f t="array" ref="F77">_xlfn.LET(
  _xlpm.c, $B77,
  _xlpm.s, $C77,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7" s="13" t="str">
        <f t="shared" si="1"/>
        <v/>
      </c>
    </row>
    <row r="78" spans="4:7" x14ac:dyDescent="0.2">
      <c r="D78" s="14" t="str" cm="1">
        <f t="array" ref="D78">_xlfn.LET(
  _xlpm.c, $B78,
  _xlpm.s, $C78,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8" s="14" t="str" cm="1">
        <f t="array" ref="E78">_xlfn.LET(
  _xlpm.c, $B78,
  _xlpm.s, $C78,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8" s="14" t="str" cm="1">
        <f t="array" ref="F78">_xlfn.LET(
  _xlpm.c, $B78,
  _xlpm.s, $C78,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8" s="13" t="str">
        <f t="shared" si="1"/>
        <v/>
      </c>
    </row>
    <row r="79" spans="4:7" x14ac:dyDescent="0.2">
      <c r="D79" s="14" t="str" cm="1">
        <f t="array" ref="D79">_xlfn.LET(
  _xlpm.c, $B79,
  _xlpm.s, $C79,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79" s="14" t="str" cm="1">
        <f t="array" ref="E79">_xlfn.LET(
  _xlpm.c, $B79,
  _xlpm.s, $C79,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79" s="14" t="str" cm="1">
        <f t="array" ref="F79">_xlfn.LET(
  _xlpm.c, $B79,
  _xlpm.s, $C79,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79" s="13" t="str">
        <f t="shared" si="1"/>
        <v/>
      </c>
    </row>
    <row r="80" spans="4:7" x14ac:dyDescent="0.2">
      <c r="D80" s="14" t="str" cm="1">
        <f t="array" ref="D80">_xlfn.LET(
  _xlpm.c, $B80,
  _xlpm.s, $C80,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0" s="14" t="str" cm="1">
        <f t="array" ref="E80">_xlfn.LET(
  _xlpm.c, $B80,
  _xlpm.s, $C80,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0" s="14" t="str" cm="1">
        <f t="array" ref="F80">_xlfn.LET(
  _xlpm.c, $B80,
  _xlpm.s, $C80,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0" s="13" t="str">
        <f t="shared" si="1"/>
        <v/>
      </c>
    </row>
    <row r="81" spans="4:7" x14ac:dyDescent="0.2">
      <c r="D81" s="14" t="str" cm="1">
        <f t="array" ref="D81">_xlfn.LET(
  _xlpm.c, $B81,
  _xlpm.s, $C81,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1" s="14" t="str" cm="1">
        <f t="array" ref="E81">_xlfn.LET(
  _xlpm.c, $B81,
  _xlpm.s, $C81,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1" s="14" t="str" cm="1">
        <f t="array" ref="F81">_xlfn.LET(
  _xlpm.c, $B81,
  _xlpm.s, $C81,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1" s="13" t="str">
        <f t="shared" si="1"/>
        <v/>
      </c>
    </row>
    <row r="82" spans="4:7" x14ac:dyDescent="0.2">
      <c r="D82" s="14" t="str" cm="1">
        <f t="array" ref="D82">_xlfn.LET(
  _xlpm.c, $B82,
  _xlpm.s, $C82,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2" s="14" t="str" cm="1">
        <f t="array" ref="E82">_xlfn.LET(
  _xlpm.c, $B82,
  _xlpm.s, $C82,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2" s="14" t="str" cm="1">
        <f t="array" ref="F82">_xlfn.LET(
  _xlpm.c, $B82,
  _xlpm.s, $C82,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2" s="13" t="str">
        <f t="shared" si="1"/>
        <v/>
      </c>
    </row>
    <row r="83" spans="4:7" x14ac:dyDescent="0.2">
      <c r="D83" s="14" t="str" cm="1">
        <f t="array" ref="D83">_xlfn.LET(
  _xlpm.c, $B83,
  _xlpm.s, $C83,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3" s="14" t="str" cm="1">
        <f t="array" ref="E83">_xlfn.LET(
  _xlpm.c, $B83,
  _xlpm.s, $C83,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3" s="14" t="str" cm="1">
        <f t="array" ref="F83">_xlfn.LET(
  _xlpm.c, $B83,
  _xlpm.s, $C83,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3" s="13" t="str">
        <f t="shared" si="1"/>
        <v/>
      </c>
    </row>
    <row r="84" spans="4:7" x14ac:dyDescent="0.2">
      <c r="D84" s="14" t="str" cm="1">
        <f t="array" ref="D84">_xlfn.LET(
  _xlpm.c, $B84,
  _xlpm.s, $C84,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4" s="14" t="str" cm="1">
        <f t="array" ref="E84">_xlfn.LET(
  _xlpm.c, $B84,
  _xlpm.s, $C84,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4" s="14" t="str" cm="1">
        <f t="array" ref="F84">_xlfn.LET(
  _xlpm.c, $B84,
  _xlpm.s, $C84,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4" s="13" t="str">
        <f t="shared" si="1"/>
        <v/>
      </c>
    </row>
    <row r="85" spans="4:7" x14ac:dyDescent="0.2">
      <c r="D85" s="14" t="str" cm="1">
        <f t="array" ref="D85">_xlfn.LET(
  _xlpm.c, $B85,
  _xlpm.s, $C85,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5" s="14" t="str" cm="1">
        <f t="array" ref="E85">_xlfn.LET(
  _xlpm.c, $B85,
  _xlpm.s, $C85,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5" s="14" t="str" cm="1">
        <f t="array" ref="F85">_xlfn.LET(
  _xlpm.c, $B85,
  _xlpm.s, $C85,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5" s="13" t="str">
        <f t="shared" si="1"/>
        <v/>
      </c>
    </row>
    <row r="86" spans="4:7" x14ac:dyDescent="0.2">
      <c r="D86" s="14" t="str" cm="1">
        <f t="array" ref="D86">_xlfn.LET(
  _xlpm.c, $B86,
  _xlpm.s, $C86,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6" s="14" t="str" cm="1">
        <f t="array" ref="E86">_xlfn.LET(
  _xlpm.c, $B86,
  _xlpm.s, $C86,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6" s="14" t="str" cm="1">
        <f t="array" ref="F86">_xlfn.LET(
  _xlpm.c, $B86,
  _xlpm.s, $C86,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6" s="13" t="str">
        <f t="shared" si="1"/>
        <v/>
      </c>
    </row>
    <row r="87" spans="4:7" x14ac:dyDescent="0.2">
      <c r="D87" s="14" t="str" cm="1">
        <f t="array" ref="D87">_xlfn.LET(
  _xlpm.c, $B87,
  _xlpm.s, $C87,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7" s="14" t="str" cm="1">
        <f t="array" ref="E87">_xlfn.LET(
  _xlpm.c, $B87,
  _xlpm.s, $C87,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7" s="14" t="str" cm="1">
        <f t="array" ref="F87">_xlfn.LET(
  _xlpm.c, $B87,
  _xlpm.s, $C87,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7" s="13" t="str">
        <f t="shared" si="1"/>
        <v/>
      </c>
    </row>
    <row r="88" spans="4:7" x14ac:dyDescent="0.2">
      <c r="D88" s="14" t="str" cm="1">
        <f t="array" ref="D88">_xlfn.LET(
  _xlpm.c, $B88,
  _xlpm.s, $C88,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8" s="14" t="str" cm="1">
        <f t="array" ref="E88">_xlfn.LET(
  _xlpm.c, $B88,
  _xlpm.s, $C88,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8" s="14" t="str" cm="1">
        <f t="array" ref="F88">_xlfn.LET(
  _xlpm.c, $B88,
  _xlpm.s, $C88,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8" s="13" t="str">
        <f t="shared" si="1"/>
        <v/>
      </c>
    </row>
    <row r="89" spans="4:7" x14ac:dyDescent="0.2">
      <c r="D89" s="14" t="str" cm="1">
        <f t="array" ref="D89">_xlfn.LET(
  _xlpm.c, $B89,
  _xlpm.s, $C89,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89" s="14" t="str" cm="1">
        <f t="array" ref="E89">_xlfn.LET(
  _xlpm.c, $B89,
  _xlpm.s, $C89,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89" s="14" t="str" cm="1">
        <f t="array" ref="F89">_xlfn.LET(
  _xlpm.c, $B89,
  _xlpm.s, $C89,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89" s="13" t="str">
        <f t="shared" si="1"/>
        <v/>
      </c>
    </row>
    <row r="90" spans="4:7" x14ac:dyDescent="0.2">
      <c r="D90" s="14" t="str" cm="1">
        <f t="array" ref="D90">_xlfn.LET(
  _xlpm.c, $B90,
  _xlpm.s, $C90,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0" s="14" t="str" cm="1">
        <f t="array" ref="E90">_xlfn.LET(
  _xlpm.c, $B90,
  _xlpm.s, $C90,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0" s="14" t="str" cm="1">
        <f t="array" ref="F90">_xlfn.LET(
  _xlpm.c, $B90,
  _xlpm.s, $C90,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0" s="13" t="str">
        <f t="shared" si="1"/>
        <v/>
      </c>
    </row>
    <row r="91" spans="4:7" x14ac:dyDescent="0.2">
      <c r="D91" s="14" t="str" cm="1">
        <f t="array" ref="D91">_xlfn.LET(
  _xlpm.c, $B91,
  _xlpm.s, $C91,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1" s="14" t="str" cm="1">
        <f t="array" ref="E91">_xlfn.LET(
  _xlpm.c, $B91,
  _xlpm.s, $C91,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1" s="14" t="str" cm="1">
        <f t="array" ref="F91">_xlfn.LET(
  _xlpm.c, $B91,
  _xlpm.s, $C91,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1" s="13" t="str">
        <f t="shared" si="1"/>
        <v/>
      </c>
    </row>
    <row r="92" spans="4:7" x14ac:dyDescent="0.2">
      <c r="D92" s="14" t="str" cm="1">
        <f t="array" ref="D92">_xlfn.LET(
  _xlpm.c, $B92,
  _xlpm.s, $C92,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2" s="14" t="str" cm="1">
        <f t="array" ref="E92">_xlfn.LET(
  _xlpm.c, $B92,
  _xlpm.s, $C92,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2" s="14" t="str" cm="1">
        <f t="array" ref="F92">_xlfn.LET(
  _xlpm.c, $B92,
  _xlpm.s, $C92,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2" s="13" t="str">
        <f t="shared" si="1"/>
        <v/>
      </c>
    </row>
    <row r="93" spans="4:7" x14ac:dyDescent="0.2">
      <c r="D93" s="14" t="str" cm="1">
        <f t="array" ref="D93">_xlfn.LET(
  _xlpm.c, $B93,
  _xlpm.s, $C93,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3" s="14" t="str" cm="1">
        <f t="array" ref="E93">_xlfn.LET(
  _xlpm.c, $B93,
  _xlpm.s, $C93,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3" s="14" t="str" cm="1">
        <f t="array" ref="F93">_xlfn.LET(
  _xlpm.c, $B93,
  _xlpm.s, $C93,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3" s="13" t="str">
        <f t="shared" si="1"/>
        <v/>
      </c>
    </row>
    <row r="94" spans="4:7" x14ac:dyDescent="0.2">
      <c r="D94" s="14" t="str" cm="1">
        <f t="array" ref="D94">_xlfn.LET(
  _xlpm.c, $B94,
  _xlpm.s, $C94,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4" s="14" t="str" cm="1">
        <f t="array" ref="E94">_xlfn.LET(
  _xlpm.c, $B94,
  _xlpm.s, $C94,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4" s="14" t="str" cm="1">
        <f t="array" ref="F94">_xlfn.LET(
  _xlpm.c, $B94,
  _xlpm.s, $C94,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4" s="13" t="str">
        <f t="shared" si="1"/>
        <v/>
      </c>
    </row>
    <row r="95" spans="4:7" x14ac:dyDescent="0.2">
      <c r="D95" s="14" t="str" cm="1">
        <f t="array" ref="D95">_xlfn.LET(
  _xlpm.c, $B95,
  _xlpm.s, $C95,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5" s="14" t="str" cm="1">
        <f t="array" ref="E95">_xlfn.LET(
  _xlpm.c, $B95,
  _xlpm.s, $C95,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5" s="14" t="str" cm="1">
        <f t="array" ref="F95">_xlfn.LET(
  _xlpm.c, $B95,
  _xlpm.s, $C95,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5" s="13" t="str">
        <f t="shared" si="1"/>
        <v/>
      </c>
    </row>
    <row r="96" spans="4:7" x14ac:dyDescent="0.2">
      <c r="D96" s="14" t="str" cm="1">
        <f t="array" ref="D96">_xlfn.LET(
  _xlpm.c, $B96,
  _xlpm.s, $C96,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6" s="14" t="str" cm="1">
        <f t="array" ref="E96">_xlfn.LET(
  _xlpm.c, $B96,
  _xlpm.s, $C96,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6" s="14" t="str" cm="1">
        <f t="array" ref="F96">_xlfn.LET(
  _xlpm.c, $B96,
  _xlpm.s, $C96,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6" s="13" t="str">
        <f t="shared" si="1"/>
        <v/>
      </c>
    </row>
    <row r="97" spans="4:7" x14ac:dyDescent="0.2">
      <c r="D97" s="14" t="str" cm="1">
        <f t="array" ref="D97">_xlfn.LET(
  _xlpm.c, $B97,
  _xlpm.s, $C97,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7" s="14" t="str" cm="1">
        <f t="array" ref="E97">_xlfn.LET(
  _xlpm.c, $B97,
  _xlpm.s, $C97,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7" s="14" t="str" cm="1">
        <f t="array" ref="F97">_xlfn.LET(
  _xlpm.c, $B97,
  _xlpm.s, $C97,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7" s="13" t="str">
        <f t="shared" si="1"/>
        <v/>
      </c>
    </row>
    <row r="98" spans="4:7" x14ac:dyDescent="0.2">
      <c r="D98" s="14" t="str" cm="1">
        <f t="array" ref="D98">_xlfn.LET(
  _xlpm.c, $B98,
  _xlpm.s, $C98,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8" s="14" t="str" cm="1">
        <f t="array" ref="E98">_xlfn.LET(
  _xlpm.c, $B98,
  _xlpm.s, $C98,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8" s="14" t="str" cm="1">
        <f t="array" ref="F98">_xlfn.LET(
  _xlpm.c, $B98,
  _xlpm.s, $C98,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8" s="13" t="str">
        <f t="shared" si="1"/>
        <v/>
      </c>
    </row>
    <row r="99" spans="4:7" x14ac:dyDescent="0.2">
      <c r="D99" s="14" t="str" cm="1">
        <f t="array" ref="D99">_xlfn.LET(
  _xlpm.c, $B99,
  _xlpm.s, $C99,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99" s="14" t="str" cm="1">
        <f t="array" ref="E99">_xlfn.LET(
  _xlpm.c, $B99,
  _xlpm.s, $C99,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99" s="14" t="str" cm="1">
        <f t="array" ref="F99">_xlfn.LET(
  _xlpm.c, $B99,
  _xlpm.s, $C99,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99" s="13" t="str">
        <f t="shared" si="1"/>
        <v/>
      </c>
    </row>
    <row r="100" spans="4:7" x14ac:dyDescent="0.2">
      <c r="D100" s="14" t="str" cm="1">
        <f t="array" ref="D100">_xlfn.LET(
  _xlpm.c, $B100,
  _xlpm.s, $C100,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0" s="14" t="str" cm="1">
        <f t="array" ref="E100">_xlfn.LET(
  _xlpm.c, $B100,
  _xlpm.s, $C100,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0" s="14" t="str" cm="1">
        <f t="array" ref="F100">_xlfn.LET(
  _xlpm.c, $B100,
  _xlpm.s, $C100,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0" s="13" t="str">
        <f t="shared" si="1"/>
        <v/>
      </c>
    </row>
    <row r="101" spans="4:7" x14ac:dyDescent="0.2">
      <c r="D101" s="14" t="str" cm="1">
        <f t="array" ref="D101">_xlfn.LET(
  _xlpm.c, $B101,
  _xlpm.s, $C101,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1" s="14" t="str" cm="1">
        <f t="array" ref="E101">_xlfn.LET(
  _xlpm.c, $B101,
  _xlpm.s, $C101,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1" s="14" t="str" cm="1">
        <f t="array" ref="F101">_xlfn.LET(
  _xlpm.c, $B101,
  _xlpm.s, $C101,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1" s="13" t="str">
        <f t="shared" si="1"/>
        <v/>
      </c>
    </row>
    <row r="102" spans="4:7" x14ac:dyDescent="0.2">
      <c r="D102" s="14" t="str" cm="1">
        <f t="array" ref="D102">_xlfn.LET(
  _xlpm.c, $B102,
  _xlpm.s, $C102,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2" s="14" t="str" cm="1">
        <f t="array" ref="E102">_xlfn.LET(
  _xlpm.c, $B102,
  _xlpm.s, $C102,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2" s="14" t="str" cm="1">
        <f t="array" ref="F102">_xlfn.LET(
  _xlpm.c, $B102,
  _xlpm.s, $C102,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2" s="13" t="str">
        <f t="shared" si="1"/>
        <v/>
      </c>
    </row>
    <row r="103" spans="4:7" x14ac:dyDescent="0.2">
      <c r="D103" s="14" t="str" cm="1">
        <f t="array" ref="D103">_xlfn.LET(
  _xlpm.c, $B103,
  _xlpm.s, $C103,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3" s="14" t="str" cm="1">
        <f t="array" ref="E103">_xlfn.LET(
  _xlpm.c, $B103,
  _xlpm.s, $C103,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3" s="14" t="str" cm="1">
        <f t="array" ref="F103">_xlfn.LET(
  _xlpm.c, $B103,
  _xlpm.s, $C103,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3" s="13" t="str">
        <f t="shared" si="1"/>
        <v/>
      </c>
    </row>
    <row r="104" spans="4:7" x14ac:dyDescent="0.2">
      <c r="D104" s="14" t="str" cm="1">
        <f t="array" ref="D104">_xlfn.LET(
  _xlpm.c, $B104,
  _xlpm.s, $C104,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4" s="14" t="str" cm="1">
        <f t="array" ref="E104">_xlfn.LET(
  _xlpm.c, $B104,
  _xlpm.s, $C104,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4" s="14" t="str" cm="1">
        <f t="array" ref="F104">_xlfn.LET(
  _xlpm.c, $B104,
  _xlpm.s, $C104,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4" s="13" t="str">
        <f t="shared" si="1"/>
        <v/>
      </c>
    </row>
    <row r="105" spans="4:7" x14ac:dyDescent="0.2">
      <c r="D105" s="14" t="str" cm="1">
        <f t="array" ref="D105">_xlfn.LET(
  _xlpm.c, $B105,
  _xlpm.s, $C105,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5" s="14" t="str" cm="1">
        <f t="array" ref="E105">_xlfn.LET(
  _xlpm.c, $B105,
  _xlpm.s, $C105,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5" s="14" t="str" cm="1">
        <f t="array" ref="F105">_xlfn.LET(
  _xlpm.c, $B105,
  _xlpm.s, $C105,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5" s="13" t="str">
        <f t="shared" si="1"/>
        <v/>
      </c>
    </row>
    <row r="106" spans="4:7" x14ac:dyDescent="0.2">
      <c r="D106" s="14" t="str" cm="1">
        <f t="array" ref="D106">_xlfn.LET(
  _xlpm.c, $B106,
  _xlpm.s, $C106,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6" s="14" t="str" cm="1">
        <f t="array" ref="E106">_xlfn.LET(
  _xlpm.c, $B106,
  _xlpm.s, $C106,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6" s="14" t="str" cm="1">
        <f t="array" ref="F106">_xlfn.LET(
  _xlpm.c, $B106,
  _xlpm.s, $C106,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6" s="13" t="str">
        <f t="shared" si="1"/>
        <v/>
      </c>
    </row>
    <row r="107" spans="4:7" x14ac:dyDescent="0.2">
      <c r="D107" s="14" t="str" cm="1">
        <f t="array" ref="D107">_xlfn.LET(
  _xlpm.c, $B107,
  _xlpm.s, $C107,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7" s="14" t="str" cm="1">
        <f t="array" ref="E107">_xlfn.LET(
  _xlpm.c, $B107,
  _xlpm.s, $C107,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7" s="14" t="str" cm="1">
        <f t="array" ref="F107">_xlfn.LET(
  _xlpm.c, $B107,
  _xlpm.s, $C107,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7" s="13" t="str">
        <f t="shared" si="1"/>
        <v/>
      </c>
    </row>
    <row r="108" spans="4:7" x14ac:dyDescent="0.2">
      <c r="D108" s="14" t="str" cm="1">
        <f t="array" ref="D108">_xlfn.LET(
  _xlpm.c, $B108,
  _xlpm.s, $C108,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8" s="14" t="str" cm="1">
        <f t="array" ref="E108">_xlfn.LET(
  _xlpm.c, $B108,
  _xlpm.s, $C108,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8" s="14" t="str" cm="1">
        <f t="array" ref="F108">_xlfn.LET(
  _xlpm.c, $B108,
  _xlpm.s, $C108,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8" s="13" t="str">
        <f t="shared" si="1"/>
        <v/>
      </c>
    </row>
    <row r="109" spans="4:7" x14ac:dyDescent="0.2">
      <c r="D109" s="14" t="str" cm="1">
        <f t="array" ref="D109">_xlfn.LET(
  _xlpm.c, $B109,
  _xlpm.s, $C109,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09" s="14" t="str" cm="1">
        <f t="array" ref="E109">_xlfn.LET(
  _xlpm.c, $B109,
  _xlpm.s, $C109,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09" s="14" t="str" cm="1">
        <f t="array" ref="F109">_xlfn.LET(
  _xlpm.c, $B109,
  _xlpm.s, $C109,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09" s="13" t="str">
        <f t="shared" si="1"/>
        <v/>
      </c>
    </row>
    <row r="110" spans="4:7" x14ac:dyDescent="0.2">
      <c r="D110" s="14" t="str" cm="1">
        <f t="array" ref="D110">_xlfn.LET(
  _xlpm.c, $B110,
  _xlpm.s, $C110,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0" s="14" t="str" cm="1">
        <f t="array" ref="E110">_xlfn.LET(
  _xlpm.c, $B110,
  _xlpm.s, $C110,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0" s="14" t="str" cm="1">
        <f t="array" ref="F110">_xlfn.LET(
  _xlpm.c, $B110,
  _xlpm.s, $C110,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0" s="13" t="str">
        <f t="shared" si="1"/>
        <v/>
      </c>
    </row>
    <row r="111" spans="4:7" x14ac:dyDescent="0.2">
      <c r="D111" s="14" t="str" cm="1">
        <f t="array" ref="D111">_xlfn.LET(
  _xlpm.c, $B111,
  _xlpm.s, $C111,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1" s="14" t="str" cm="1">
        <f t="array" ref="E111">_xlfn.LET(
  _xlpm.c, $B111,
  _xlpm.s, $C111,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1" s="14" t="str" cm="1">
        <f t="array" ref="F111">_xlfn.LET(
  _xlpm.c, $B111,
  _xlpm.s, $C111,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1" s="13" t="str">
        <f t="shared" si="1"/>
        <v/>
      </c>
    </row>
    <row r="112" spans="4:7" x14ac:dyDescent="0.2">
      <c r="D112" s="14" t="str" cm="1">
        <f t="array" ref="D112">_xlfn.LET(
  _xlpm.c, $B112,
  _xlpm.s, $C112,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2" s="14" t="str" cm="1">
        <f t="array" ref="E112">_xlfn.LET(
  _xlpm.c, $B112,
  _xlpm.s, $C112,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2" s="14" t="str" cm="1">
        <f t="array" ref="F112">_xlfn.LET(
  _xlpm.c, $B112,
  _xlpm.s, $C112,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2" s="13" t="str">
        <f t="shared" si="1"/>
        <v/>
      </c>
    </row>
    <row r="113" spans="4:7" x14ac:dyDescent="0.2">
      <c r="D113" s="14" t="str" cm="1">
        <f t="array" ref="D113">_xlfn.LET(
  _xlpm.c, $B113,
  _xlpm.s, $C113,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3" s="14" t="str" cm="1">
        <f t="array" ref="E113">_xlfn.LET(
  _xlpm.c, $B113,
  _xlpm.s, $C113,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3" s="14" t="str" cm="1">
        <f t="array" ref="F113">_xlfn.LET(
  _xlpm.c, $B113,
  _xlpm.s, $C113,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3" s="13" t="str">
        <f t="shared" si="1"/>
        <v/>
      </c>
    </row>
    <row r="114" spans="4:7" x14ac:dyDescent="0.2">
      <c r="D114" s="14" t="str" cm="1">
        <f t="array" ref="D114">_xlfn.LET(
  _xlpm.c, $B114,
  _xlpm.s, $C114,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4" s="14" t="str" cm="1">
        <f t="array" ref="E114">_xlfn.LET(
  _xlpm.c, $B114,
  _xlpm.s, $C114,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4" s="14" t="str" cm="1">
        <f t="array" ref="F114">_xlfn.LET(
  _xlpm.c, $B114,
  _xlpm.s, $C114,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4" s="13" t="str">
        <f t="shared" si="1"/>
        <v/>
      </c>
    </row>
    <row r="115" spans="4:7" x14ac:dyDescent="0.2">
      <c r="D115" s="14" t="str" cm="1">
        <f t="array" ref="D115">_xlfn.LET(
  _xlpm.c, $B115,
  _xlpm.s, $C115,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5" s="14" t="str" cm="1">
        <f t="array" ref="E115">_xlfn.LET(
  _xlpm.c, $B115,
  _xlpm.s, $C115,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5" s="14" t="str" cm="1">
        <f t="array" ref="F115">_xlfn.LET(
  _xlpm.c, $B115,
  _xlpm.s, $C115,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5" s="13" t="str">
        <f t="shared" si="1"/>
        <v/>
      </c>
    </row>
    <row r="116" spans="4:7" x14ac:dyDescent="0.2">
      <c r="D116" s="14" t="str" cm="1">
        <f t="array" ref="D116">_xlfn.LET(
  _xlpm.c, $B116,
  _xlpm.s, $C116,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6" s="14" t="str" cm="1">
        <f t="array" ref="E116">_xlfn.LET(
  _xlpm.c, $B116,
  _xlpm.s, $C116,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6" s="14" t="str" cm="1">
        <f t="array" ref="F116">_xlfn.LET(
  _xlpm.c, $B116,
  _xlpm.s, $C116,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6" s="13" t="str">
        <f t="shared" si="1"/>
        <v/>
      </c>
    </row>
    <row r="117" spans="4:7" x14ac:dyDescent="0.2">
      <c r="D117" s="14" t="str" cm="1">
        <f t="array" ref="D117">_xlfn.LET(
  _xlpm.c, $B117,
  _xlpm.s, $C117,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7" s="14" t="str" cm="1">
        <f t="array" ref="E117">_xlfn.LET(
  _xlpm.c, $B117,
  _xlpm.s, $C117,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7" s="14" t="str" cm="1">
        <f t="array" ref="F117">_xlfn.LET(
  _xlpm.c, $B117,
  _xlpm.s, $C117,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7" s="13" t="str">
        <f t="shared" si="1"/>
        <v/>
      </c>
    </row>
    <row r="118" spans="4:7" x14ac:dyDescent="0.2">
      <c r="D118" s="14" t="str" cm="1">
        <f t="array" ref="D118">_xlfn.LET(
  _xlpm.c, $B118,
  _xlpm.s, $C118,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8" s="14" t="str" cm="1">
        <f t="array" ref="E118">_xlfn.LET(
  _xlpm.c, $B118,
  _xlpm.s, $C118,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8" s="14" t="str" cm="1">
        <f t="array" ref="F118">_xlfn.LET(
  _xlpm.c, $B118,
  _xlpm.s, $C118,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8" s="13" t="str">
        <f t="shared" si="1"/>
        <v/>
      </c>
    </row>
    <row r="119" spans="4:7" x14ac:dyDescent="0.2">
      <c r="D119" s="14" t="str" cm="1">
        <f t="array" ref="D119">_xlfn.LET(
  _xlpm.c, $B119,
  _xlpm.s, $C119,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19" s="14" t="str" cm="1">
        <f t="array" ref="E119">_xlfn.LET(
  _xlpm.c, $B119,
  _xlpm.s, $C119,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19" s="14" t="str" cm="1">
        <f t="array" ref="F119">_xlfn.LET(
  _xlpm.c, $B119,
  _xlpm.s, $C119,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19" s="13" t="str">
        <f t="shared" si="1"/>
        <v/>
      </c>
    </row>
    <row r="120" spans="4:7" x14ac:dyDescent="0.2">
      <c r="D120" s="14" t="str" cm="1">
        <f t="array" ref="D120">_xlfn.LET(
  _xlpm.c, $B120,
  _xlpm.s, $C120,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0" s="14" t="str" cm="1">
        <f t="array" ref="E120">_xlfn.LET(
  _xlpm.c, $B120,
  _xlpm.s, $C120,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0" s="14" t="str" cm="1">
        <f t="array" ref="F120">_xlfn.LET(
  _xlpm.c, $B120,
  _xlpm.s, $C120,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0" s="13" t="str">
        <f t="shared" si="1"/>
        <v/>
      </c>
    </row>
    <row r="121" spans="4:7" x14ac:dyDescent="0.2">
      <c r="D121" s="14" t="str" cm="1">
        <f t="array" ref="D121">_xlfn.LET(
  _xlpm.c, $B121,
  _xlpm.s, $C121,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1" s="14" t="str" cm="1">
        <f t="array" ref="E121">_xlfn.LET(
  _xlpm.c, $B121,
  _xlpm.s, $C121,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1" s="14" t="str" cm="1">
        <f t="array" ref="F121">_xlfn.LET(
  _xlpm.c, $B121,
  _xlpm.s, $C121,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1" s="13" t="str">
        <f t="shared" si="1"/>
        <v/>
      </c>
    </row>
    <row r="122" spans="4:7" x14ac:dyDescent="0.2">
      <c r="D122" s="14" t="str" cm="1">
        <f t="array" ref="D122">_xlfn.LET(
  _xlpm.c, $B122,
  _xlpm.s, $C122,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2" s="14" t="str" cm="1">
        <f t="array" ref="E122">_xlfn.LET(
  _xlpm.c, $B122,
  _xlpm.s, $C122,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2" s="14" t="str" cm="1">
        <f t="array" ref="F122">_xlfn.LET(
  _xlpm.c, $B122,
  _xlpm.s, $C122,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2" s="13" t="str">
        <f t="shared" si="1"/>
        <v/>
      </c>
    </row>
    <row r="123" spans="4:7" x14ac:dyDescent="0.2">
      <c r="D123" s="14" t="str" cm="1">
        <f t="array" ref="D123">_xlfn.LET(
  _xlpm.c, $B123,
  _xlpm.s, $C123,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3" s="14" t="str" cm="1">
        <f t="array" ref="E123">_xlfn.LET(
  _xlpm.c, $B123,
  _xlpm.s, $C123,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3" s="14" t="str" cm="1">
        <f t="array" ref="F123">_xlfn.LET(
  _xlpm.c, $B123,
  _xlpm.s, $C123,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3" s="13" t="str">
        <f t="shared" si="1"/>
        <v/>
      </c>
    </row>
    <row r="124" spans="4:7" x14ac:dyDescent="0.2">
      <c r="D124" s="14" t="str" cm="1">
        <f t="array" ref="D124">_xlfn.LET(
  _xlpm.c, $B124,
  _xlpm.s, $C124,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4" s="14" t="str" cm="1">
        <f t="array" ref="E124">_xlfn.LET(
  _xlpm.c, $B124,
  _xlpm.s, $C124,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4" s="14" t="str" cm="1">
        <f t="array" ref="F124">_xlfn.LET(
  _xlpm.c, $B124,
  _xlpm.s, $C124,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4" s="13" t="str">
        <f t="shared" si="1"/>
        <v/>
      </c>
    </row>
    <row r="125" spans="4:7" x14ac:dyDescent="0.2">
      <c r="D125" s="14" t="str" cm="1">
        <f t="array" ref="D125">_xlfn.LET(
  _xlpm.c, $B125,
  _xlpm.s, $C125,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5" s="14" t="str" cm="1">
        <f t="array" ref="E125">_xlfn.LET(
  _xlpm.c, $B125,
  _xlpm.s, $C125,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5" s="14" t="str" cm="1">
        <f t="array" ref="F125">_xlfn.LET(
  _xlpm.c, $B125,
  _xlpm.s, $C125,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5" s="13" t="str">
        <f t="shared" si="1"/>
        <v/>
      </c>
    </row>
    <row r="126" spans="4:7" x14ac:dyDescent="0.2">
      <c r="D126" s="14" t="str" cm="1">
        <f t="array" ref="D126">_xlfn.LET(
  _xlpm.c, $B126,
  _xlpm.s, $C126,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6" s="14" t="str" cm="1">
        <f t="array" ref="E126">_xlfn.LET(
  _xlpm.c, $B126,
  _xlpm.s, $C126,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6" s="14" t="str" cm="1">
        <f t="array" ref="F126">_xlfn.LET(
  _xlpm.c, $B126,
  _xlpm.s, $C126,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6" s="13" t="str">
        <f t="shared" si="1"/>
        <v/>
      </c>
    </row>
    <row r="127" spans="4:7" x14ac:dyDescent="0.2">
      <c r="D127" s="14" t="str" cm="1">
        <f t="array" ref="D127">_xlfn.LET(
  _xlpm.c, $B127,
  _xlpm.s, $C127,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7" s="14" t="str" cm="1">
        <f t="array" ref="E127">_xlfn.LET(
  _xlpm.c, $B127,
  _xlpm.s, $C127,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7" s="14" t="str" cm="1">
        <f t="array" ref="F127">_xlfn.LET(
  _xlpm.c, $B127,
  _xlpm.s, $C127,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7" s="13" t="str">
        <f t="shared" si="1"/>
        <v/>
      </c>
    </row>
    <row r="128" spans="4:7" x14ac:dyDescent="0.2">
      <c r="D128" s="14" t="str" cm="1">
        <f t="array" ref="D128">_xlfn.LET(
  _xlpm.c, $B128,
  _xlpm.s, $C128,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8" s="14" t="str" cm="1">
        <f t="array" ref="E128">_xlfn.LET(
  _xlpm.c, $B128,
  _xlpm.s, $C128,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8" s="14" t="str" cm="1">
        <f t="array" ref="F128">_xlfn.LET(
  _xlpm.c, $B128,
  _xlpm.s, $C128,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8" s="13" t="str">
        <f t="shared" si="1"/>
        <v/>
      </c>
    </row>
    <row r="129" spans="4:7" x14ac:dyDescent="0.2">
      <c r="D129" s="14" t="str" cm="1">
        <f t="array" ref="D129">_xlfn.LET(
  _xlpm.c, $B129,
  _xlpm.s, $C129,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29" s="14" t="str" cm="1">
        <f t="array" ref="E129">_xlfn.LET(
  _xlpm.c, $B129,
  _xlpm.s, $C129,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29" s="14" t="str" cm="1">
        <f t="array" ref="F129">_xlfn.LET(
  _xlpm.c, $B129,
  _xlpm.s, $C129,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29" s="13" t="str">
        <f t="shared" si="1"/>
        <v/>
      </c>
    </row>
    <row r="130" spans="4:7" x14ac:dyDescent="0.2">
      <c r="D130" s="14" t="str" cm="1">
        <f t="array" ref="D130">_xlfn.LET(
  _xlpm.c, $B130,
  _xlpm.s, $C130,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0" s="14" t="str" cm="1">
        <f t="array" ref="E130">_xlfn.LET(
  _xlpm.c, $B130,
  _xlpm.s, $C130,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0" s="14" t="str" cm="1">
        <f t="array" ref="F130">_xlfn.LET(
  _xlpm.c, $B130,
  _xlpm.s, $C130,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0" s="13" t="str">
        <f t="shared" si="1"/>
        <v/>
      </c>
    </row>
    <row r="131" spans="4:7" x14ac:dyDescent="0.2">
      <c r="D131" s="14" t="str" cm="1">
        <f t="array" ref="D131">_xlfn.LET(
  _xlpm.c, $B131,
  _xlpm.s, $C131,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1" s="14" t="str" cm="1">
        <f t="array" ref="E131">_xlfn.LET(
  _xlpm.c, $B131,
  _xlpm.s, $C131,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1" s="14" t="str" cm="1">
        <f t="array" ref="F131">_xlfn.LET(
  _xlpm.c, $B131,
  _xlpm.s, $C131,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1" s="13" t="str">
        <f t="shared" si="1"/>
        <v/>
      </c>
    </row>
    <row r="132" spans="4:7" x14ac:dyDescent="0.2">
      <c r="D132" s="14" t="str" cm="1">
        <f t="array" ref="D132">_xlfn.LET(
  _xlpm.c, $B132,
  _xlpm.s, $C132,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2" s="14" t="str" cm="1">
        <f t="array" ref="E132">_xlfn.LET(
  _xlpm.c, $B132,
  _xlpm.s, $C132,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2" s="14" t="str" cm="1">
        <f t="array" ref="F132">_xlfn.LET(
  _xlpm.c, $B132,
  _xlpm.s, $C132,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2" s="13" t="str">
        <f t="shared" si="1"/>
        <v/>
      </c>
    </row>
    <row r="133" spans="4:7" x14ac:dyDescent="0.2">
      <c r="D133" s="14" t="str" cm="1">
        <f t="array" ref="D133">_xlfn.LET(
  _xlpm.c, $B133,
  _xlpm.s, $C133,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3" s="14" t="str" cm="1">
        <f t="array" ref="E133">_xlfn.LET(
  _xlpm.c, $B133,
  _xlpm.s, $C133,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3" s="14" t="str" cm="1">
        <f t="array" ref="F133">_xlfn.LET(
  _xlpm.c, $B133,
  _xlpm.s, $C133,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3" s="13" t="str">
        <f t="shared" si="1"/>
        <v/>
      </c>
    </row>
    <row r="134" spans="4:7" x14ac:dyDescent="0.2">
      <c r="D134" s="14" t="str" cm="1">
        <f t="array" ref="D134">_xlfn.LET(
  _xlpm.c, $B134,
  _xlpm.s, $C134,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4" s="14" t="str" cm="1">
        <f t="array" ref="E134">_xlfn.LET(
  _xlpm.c, $B134,
  _xlpm.s, $C134,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4" s="14" t="str" cm="1">
        <f t="array" ref="F134">_xlfn.LET(
  _xlpm.c, $B134,
  _xlpm.s, $C134,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4" s="13" t="str">
        <f t="shared" si="1"/>
        <v/>
      </c>
    </row>
    <row r="135" spans="4:7" x14ac:dyDescent="0.2">
      <c r="D135" s="14" t="str" cm="1">
        <f t="array" ref="D135">_xlfn.LET(
  _xlpm.c, $B135,
  _xlpm.s, $C135,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5" s="14" t="str" cm="1">
        <f t="array" ref="E135">_xlfn.LET(
  _xlpm.c, $B135,
  _xlpm.s, $C135,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5" s="14" t="str" cm="1">
        <f t="array" ref="F135">_xlfn.LET(
  _xlpm.c, $B135,
  _xlpm.s, $C135,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5" s="13" t="str">
        <f t="shared" si="1"/>
        <v/>
      </c>
    </row>
    <row r="136" spans="4:7" x14ac:dyDescent="0.2">
      <c r="D136" s="14" t="str" cm="1">
        <f t="array" ref="D136">_xlfn.LET(
  _xlpm.c, $B136,
  _xlpm.s, $C136,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6" s="14" t="str" cm="1">
        <f t="array" ref="E136">_xlfn.LET(
  _xlpm.c, $B136,
  _xlpm.s, $C136,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6" s="14" t="str" cm="1">
        <f t="array" ref="F136">_xlfn.LET(
  _xlpm.c, $B136,
  _xlpm.s, $C136,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6" s="13" t="str">
        <f t="shared" si="1"/>
        <v/>
      </c>
    </row>
    <row r="137" spans="4:7" x14ac:dyDescent="0.2">
      <c r="D137" s="14" t="str" cm="1">
        <f t="array" ref="D137">_xlfn.LET(
  _xlpm.c, $B137,
  _xlpm.s, $C137,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7" s="14" t="str" cm="1">
        <f t="array" ref="E137">_xlfn.LET(
  _xlpm.c, $B137,
  _xlpm.s, $C137,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7" s="14" t="str" cm="1">
        <f t="array" ref="F137">_xlfn.LET(
  _xlpm.c, $B137,
  _xlpm.s, $C137,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7" s="13" t="str">
        <f t="shared" ref="G137:G160" si="2">IF(
  COUNTIF(D137:F137,"-")&gt;0,
  "-",
  IF(
    COUNT(D137:F137)=0,
    "",
    SUM(D137:F137)
  )
)</f>
        <v/>
      </c>
    </row>
    <row r="138" spans="4:7" x14ac:dyDescent="0.2">
      <c r="D138" s="14" t="str" cm="1">
        <f t="array" ref="D138">_xlfn.LET(
  _xlpm.c, $B138,
  _xlpm.s, $C138,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8" s="14" t="str" cm="1">
        <f t="array" ref="E138">_xlfn.LET(
  _xlpm.c, $B138,
  _xlpm.s, $C138,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8" s="14" t="str" cm="1">
        <f t="array" ref="F138">_xlfn.LET(
  _xlpm.c, $B138,
  _xlpm.s, $C138,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8" s="13" t="str">
        <f t="shared" si="2"/>
        <v/>
      </c>
    </row>
    <row r="139" spans="4:7" x14ac:dyDescent="0.2">
      <c r="D139" s="14" t="str" cm="1">
        <f t="array" ref="D139">_xlfn.LET(
  _xlpm.c, $B139,
  _xlpm.s, $C139,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39" s="14" t="str" cm="1">
        <f t="array" ref="E139">_xlfn.LET(
  _xlpm.c, $B139,
  _xlpm.s, $C139,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39" s="14" t="str" cm="1">
        <f t="array" ref="F139">_xlfn.LET(
  _xlpm.c, $B139,
  _xlpm.s, $C139,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39" s="13" t="str">
        <f t="shared" si="2"/>
        <v/>
      </c>
    </row>
    <row r="140" spans="4:7" x14ac:dyDescent="0.2">
      <c r="D140" s="14" t="str" cm="1">
        <f t="array" ref="D140">_xlfn.LET(
  _xlpm.c, $B140,
  _xlpm.s, $C140,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0" s="14" t="str" cm="1">
        <f t="array" ref="E140">_xlfn.LET(
  _xlpm.c, $B140,
  _xlpm.s, $C140,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0" s="14" t="str" cm="1">
        <f t="array" ref="F140">_xlfn.LET(
  _xlpm.c, $B140,
  _xlpm.s, $C140,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0" s="13" t="str">
        <f t="shared" si="2"/>
        <v/>
      </c>
    </row>
    <row r="141" spans="4:7" x14ac:dyDescent="0.2">
      <c r="D141" s="14" t="str" cm="1">
        <f t="array" ref="D141">_xlfn.LET(
  _xlpm.c, $B141,
  _xlpm.s, $C141,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1" s="14" t="str" cm="1">
        <f t="array" ref="E141">_xlfn.LET(
  _xlpm.c, $B141,
  _xlpm.s, $C141,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1" s="14" t="str" cm="1">
        <f t="array" ref="F141">_xlfn.LET(
  _xlpm.c, $B141,
  _xlpm.s, $C141,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1" s="13" t="str">
        <f t="shared" si="2"/>
        <v/>
      </c>
    </row>
    <row r="142" spans="4:7" x14ac:dyDescent="0.2">
      <c r="D142" s="14" t="str" cm="1">
        <f t="array" ref="D142">_xlfn.LET(
  _xlpm.c, $B142,
  _xlpm.s, $C142,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2" s="14" t="str" cm="1">
        <f t="array" ref="E142">_xlfn.LET(
  _xlpm.c, $B142,
  _xlpm.s, $C142,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2" s="14" t="str" cm="1">
        <f t="array" ref="F142">_xlfn.LET(
  _xlpm.c, $B142,
  _xlpm.s, $C142,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2" s="13" t="str">
        <f t="shared" si="2"/>
        <v/>
      </c>
    </row>
    <row r="143" spans="4:7" x14ac:dyDescent="0.2">
      <c r="D143" s="14" t="str" cm="1">
        <f t="array" ref="D143">_xlfn.LET(
  _xlpm.c, $B143,
  _xlpm.s, $C143,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3" s="14" t="str" cm="1">
        <f t="array" ref="E143">_xlfn.LET(
  _xlpm.c, $B143,
  _xlpm.s, $C143,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3" s="14" t="str" cm="1">
        <f t="array" ref="F143">_xlfn.LET(
  _xlpm.c, $B143,
  _xlpm.s, $C143,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3" s="13" t="str">
        <f t="shared" si="2"/>
        <v/>
      </c>
    </row>
    <row r="144" spans="4:7" x14ac:dyDescent="0.2">
      <c r="D144" s="14" t="str" cm="1">
        <f t="array" ref="D144">_xlfn.LET(
  _xlpm.c, $B144,
  _xlpm.s, $C144,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4" s="14" t="str" cm="1">
        <f t="array" ref="E144">_xlfn.LET(
  _xlpm.c, $B144,
  _xlpm.s, $C144,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4" s="14" t="str" cm="1">
        <f t="array" ref="F144">_xlfn.LET(
  _xlpm.c, $B144,
  _xlpm.s, $C144,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4" s="13" t="str">
        <f t="shared" si="2"/>
        <v/>
      </c>
    </row>
    <row r="145" spans="4:7" x14ac:dyDescent="0.2">
      <c r="D145" s="14" t="str" cm="1">
        <f t="array" ref="D145">_xlfn.LET(
  _xlpm.c, $B145,
  _xlpm.s, $C145,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5" s="14" t="str" cm="1">
        <f t="array" ref="E145">_xlfn.LET(
  _xlpm.c, $B145,
  _xlpm.s, $C145,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5" s="14" t="str" cm="1">
        <f t="array" ref="F145">_xlfn.LET(
  _xlpm.c, $B145,
  _xlpm.s, $C145,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5" s="13" t="str">
        <f t="shared" si="2"/>
        <v/>
      </c>
    </row>
    <row r="146" spans="4:7" x14ac:dyDescent="0.2">
      <c r="D146" s="14" t="str" cm="1">
        <f t="array" ref="D146">_xlfn.LET(
  _xlpm.c, $B146,
  _xlpm.s, $C146,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6" s="14" t="str" cm="1">
        <f t="array" ref="E146">_xlfn.LET(
  _xlpm.c, $B146,
  _xlpm.s, $C146,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6" s="14" t="str" cm="1">
        <f t="array" ref="F146">_xlfn.LET(
  _xlpm.c, $B146,
  _xlpm.s, $C146,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6" s="13" t="str">
        <f t="shared" si="2"/>
        <v/>
      </c>
    </row>
    <row r="147" spans="4:7" x14ac:dyDescent="0.2">
      <c r="D147" s="14" t="str" cm="1">
        <f t="array" ref="D147">_xlfn.LET(
  _xlpm.c, $B147,
  _xlpm.s, $C147,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7" s="14" t="str" cm="1">
        <f t="array" ref="E147">_xlfn.LET(
  _xlpm.c, $B147,
  _xlpm.s, $C147,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7" s="14" t="str" cm="1">
        <f t="array" ref="F147">_xlfn.LET(
  _xlpm.c, $B147,
  _xlpm.s, $C147,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7" s="13" t="str">
        <f t="shared" si="2"/>
        <v/>
      </c>
    </row>
    <row r="148" spans="4:7" x14ac:dyDescent="0.2">
      <c r="D148" s="14" t="str" cm="1">
        <f t="array" ref="D148">_xlfn.LET(
  _xlpm.c, $B148,
  _xlpm.s, $C148,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8" s="14" t="str" cm="1">
        <f t="array" ref="E148">_xlfn.LET(
  _xlpm.c, $B148,
  _xlpm.s, $C148,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8" s="14" t="str" cm="1">
        <f t="array" ref="F148">_xlfn.LET(
  _xlpm.c, $B148,
  _xlpm.s, $C148,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8" s="13" t="str">
        <f t="shared" si="2"/>
        <v/>
      </c>
    </row>
    <row r="149" spans="4:7" x14ac:dyDescent="0.2">
      <c r="D149" s="14" t="str" cm="1">
        <f t="array" ref="D149">_xlfn.LET(
  _xlpm.c, $B149,
  _xlpm.s, $C149,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49" s="14" t="str" cm="1">
        <f t="array" ref="E149">_xlfn.LET(
  _xlpm.c, $B149,
  _xlpm.s, $C149,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49" s="14" t="str" cm="1">
        <f t="array" ref="F149">_xlfn.LET(
  _xlpm.c, $B149,
  _xlpm.s, $C149,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49" s="13" t="str">
        <f t="shared" si="2"/>
        <v/>
      </c>
    </row>
    <row r="150" spans="4:7" x14ac:dyDescent="0.2">
      <c r="D150" s="14" t="str" cm="1">
        <f t="array" ref="D150">_xlfn.LET(
  _xlpm.c, $B150,
  _xlpm.s, $C150,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0" s="14" t="str" cm="1">
        <f t="array" ref="E150">_xlfn.LET(
  _xlpm.c, $B150,
  _xlpm.s, $C150,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0" s="14" t="str" cm="1">
        <f t="array" ref="F150">_xlfn.LET(
  _xlpm.c, $B150,
  _xlpm.s, $C150,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0" s="13" t="str">
        <f t="shared" si="2"/>
        <v/>
      </c>
    </row>
    <row r="151" spans="4:7" x14ac:dyDescent="0.2">
      <c r="D151" s="14" t="str" cm="1">
        <f t="array" ref="D151">_xlfn.LET(
  _xlpm.c, $B151,
  _xlpm.s, $C151,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1" s="14" t="str" cm="1">
        <f t="array" ref="E151">_xlfn.LET(
  _xlpm.c, $B151,
  _xlpm.s, $C151,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1" s="14" t="str" cm="1">
        <f t="array" ref="F151">_xlfn.LET(
  _xlpm.c, $B151,
  _xlpm.s, $C151,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1" s="13" t="str">
        <f t="shared" si="2"/>
        <v/>
      </c>
    </row>
    <row r="152" spans="4:7" x14ac:dyDescent="0.2">
      <c r="D152" s="14" t="str" cm="1">
        <f t="array" ref="D152">_xlfn.LET(
  _xlpm.c, $B152,
  _xlpm.s, $C152,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2" s="14" t="str" cm="1">
        <f t="array" ref="E152">_xlfn.LET(
  _xlpm.c, $B152,
  _xlpm.s, $C152,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2" s="14" t="str" cm="1">
        <f t="array" ref="F152">_xlfn.LET(
  _xlpm.c, $B152,
  _xlpm.s, $C152,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2" s="13" t="str">
        <f t="shared" si="2"/>
        <v/>
      </c>
    </row>
    <row r="153" spans="4:7" x14ac:dyDescent="0.2">
      <c r="D153" s="14" t="str" cm="1">
        <f t="array" ref="D153">_xlfn.LET(
  _xlpm.c, $B153,
  _xlpm.s, $C153,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3" s="14" t="str" cm="1">
        <f t="array" ref="E153">_xlfn.LET(
  _xlpm.c, $B153,
  _xlpm.s, $C153,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3" s="14" t="str" cm="1">
        <f t="array" ref="F153">_xlfn.LET(
  _xlpm.c, $B153,
  _xlpm.s, $C153,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3" s="13" t="str">
        <f t="shared" si="2"/>
        <v/>
      </c>
    </row>
    <row r="154" spans="4:7" x14ac:dyDescent="0.2">
      <c r="D154" s="14" t="str" cm="1">
        <f t="array" ref="D154">_xlfn.LET(
  _xlpm.c, $B154,
  _xlpm.s, $C154,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4" s="14" t="str" cm="1">
        <f t="array" ref="E154">_xlfn.LET(
  _xlpm.c, $B154,
  _xlpm.s, $C154,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4" s="14" t="str" cm="1">
        <f t="array" ref="F154">_xlfn.LET(
  _xlpm.c, $B154,
  _xlpm.s, $C154,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4" s="13" t="str">
        <f t="shared" si="2"/>
        <v/>
      </c>
    </row>
    <row r="155" spans="4:7" x14ac:dyDescent="0.2">
      <c r="D155" s="14" t="str" cm="1">
        <f t="array" ref="D155">_xlfn.LET(
  _xlpm.c, $B155,
  _xlpm.s, $C155,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5" s="14" t="str" cm="1">
        <f t="array" ref="E155">_xlfn.LET(
  _xlpm.c, $B155,
  _xlpm.s, $C155,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5" s="14" t="str" cm="1">
        <f t="array" ref="F155">_xlfn.LET(
  _xlpm.c, $B155,
  _xlpm.s, $C155,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5" s="13" t="str">
        <f t="shared" si="2"/>
        <v/>
      </c>
    </row>
    <row r="156" spans="4:7" x14ac:dyDescent="0.2">
      <c r="D156" s="14" t="str" cm="1">
        <f t="array" ref="D156">_xlfn.LET(
  _xlpm.c, $B156,
  _xlpm.s, $C156,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6" s="14" t="str" cm="1">
        <f t="array" ref="E156">_xlfn.LET(
  _xlpm.c, $B156,
  _xlpm.s, $C156,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6" s="14" t="str" cm="1">
        <f t="array" ref="F156">_xlfn.LET(
  _xlpm.c, $B156,
  _xlpm.s, $C156,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6" s="13" t="str">
        <f t="shared" si="2"/>
        <v/>
      </c>
    </row>
    <row r="157" spans="4:7" x14ac:dyDescent="0.2">
      <c r="D157" s="14" t="str" cm="1">
        <f t="array" ref="D157">_xlfn.LET(
  _xlpm.c, $B157,
  _xlpm.s, $C157,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7" s="14" t="str" cm="1">
        <f t="array" ref="E157">_xlfn.LET(
  _xlpm.c, $B157,
  _xlpm.s, $C157,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7" s="14" t="str" cm="1">
        <f t="array" ref="F157">_xlfn.LET(
  _xlpm.c, $B157,
  _xlpm.s, $C157,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7" s="13" t="str">
        <f t="shared" si="2"/>
        <v/>
      </c>
    </row>
    <row r="158" spans="4:7" x14ac:dyDescent="0.2">
      <c r="D158" s="14" t="str" cm="1">
        <f t="array" ref="D158">_xlfn.LET(
  _xlpm.c, $B158,
  _xlpm.s, $C158,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8" s="14" t="str" cm="1">
        <f t="array" ref="E158">_xlfn.LET(
  _xlpm.c, $B158,
  _xlpm.s, $C158,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8" s="14" t="str" cm="1">
        <f t="array" ref="F158">_xlfn.LET(
  _xlpm.c, $B158,
  _xlpm.s, $C158,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8" s="13" t="str">
        <f t="shared" si="2"/>
        <v/>
      </c>
    </row>
    <row r="159" spans="4:7" x14ac:dyDescent="0.2">
      <c r="D159" s="14" t="str" cm="1">
        <f t="array" ref="D159">_xlfn.LET(
  _xlpm.c, $B159,
  _xlpm.s, $C159,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59" s="14" t="str" cm="1">
        <f t="array" ref="E159">_xlfn.LET(
  _xlpm.c, $B159,
  _xlpm.s, $C159,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59" s="14" t="str" cm="1">
        <f t="array" ref="F159">_xlfn.LET(
  _xlpm.c, $B159,
  _xlpm.s, $C159,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59" s="13" t="str">
        <f t="shared" si="2"/>
        <v/>
      </c>
    </row>
    <row r="160" spans="4:7" x14ac:dyDescent="0.2">
      <c r="D160" s="14" t="str" cm="1">
        <f t="array" ref="D160">_xlfn.LET(
  _xlpm.c, $B160,
  _xlpm.s, $C160,
  _xlpm.p, D$7,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E160" s="14" t="str" cm="1">
        <f t="array" ref="E160">_xlfn.LET(
  _xlpm.c, $B160,
  _xlpm.s, $C160,
  _xlpm.p, E$7,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F160" s="14" t="str" cm="1">
        <f t="array" ref="F160">_xlfn.LET(
  _xlpm.c, $B160,
  _xlpm.s, $C160,
  _xlpm.p, F$7,
  IF(
    OR(_xlpm.c="", _xlpm.s=""),
    "",
    _xlfn.LET(
      _xlpm.hdr, '5. Weighted Indicator Scores'!$D$7:$CZ$7,
      _xlpm.vals, '5. Weighted Indicator Scores'!$D$14:$CZ$161,
      _xlpm.rows,
        _xlfn._xlws.FILTER(
          _xlpm.vals,
          ('5. Weighted Indicator Scores'!$B$14:$B$161=_xlpm.c) *
          ('5. Weighted Indicator Scores'!$C$14:$C$161=_xlpm.s)
        ),
      _xlpm.v, SUM(_xlfn._xlws.FILTER(_xlpm.rows, _xlpm.hdr=_xlpm.p)),
      IF(_xlpm.v=0, "-", _xlpm.v)
    )
  )
)</f>
        <v/>
      </c>
      <c r="G160" s="13" t="str">
        <f t="shared" si="2"/>
        <v/>
      </c>
    </row>
  </sheetData>
  <mergeCells count="2">
    <mergeCell ref="B4:C4"/>
    <mergeCell ref="B5:C5"/>
  </mergeCells>
  <conditionalFormatting sqref="B8:F9">
    <cfRule type="notContainsBlanks" dxfId="2" priority="3">
      <formula>LEN(TRIM(B8))&gt;0</formula>
    </cfRule>
  </conditionalFormatting>
  <conditionalFormatting sqref="B7:G99">
    <cfRule type="expression" dxfId="1" priority="1">
      <formula>NOT(AND(IndicatorsDefined, WeightsDefined))</formula>
    </cfRule>
  </conditionalFormatting>
  <conditionalFormatting sqref="G1:G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:G160 B10:G1048576">
    <cfRule type="notContainsBlanks" dxfId="0" priority="7">
      <formula>LEN(TRIM(B8))&gt;0</formula>
    </cfRule>
  </conditionalFormatting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CF2F-B32A-784C-A09B-6B7087BC2E46}">
  <sheetPr codeName="Sheet11"/>
  <dimension ref="B1:D3130"/>
  <sheetViews>
    <sheetView zoomScale="150" workbookViewId="0">
      <selection activeCell="A2" sqref="A2"/>
    </sheetView>
  </sheetViews>
  <sheetFormatPr baseColWidth="10" defaultRowHeight="15" x14ac:dyDescent="0.2"/>
  <cols>
    <col min="1" max="1" width="3.5" style="6" customWidth="1"/>
    <col min="2" max="2" width="7.5" style="70" bestFit="1" customWidth="1"/>
    <col min="3" max="3" width="30.5" style="6" bestFit="1" customWidth="1"/>
    <col min="4" max="4" width="48" style="6" bestFit="1" customWidth="1"/>
    <col min="5" max="16384" width="10.83203125" style="6"/>
  </cols>
  <sheetData>
    <row r="1" spans="2:4" x14ac:dyDescent="0.2">
      <c r="B1" s="6"/>
    </row>
    <row r="2" spans="2:4" ht="30" customHeight="1" x14ac:dyDescent="0.2">
      <c r="B2" s="185" t="s">
        <v>3389</v>
      </c>
      <c r="C2" s="185"/>
      <c r="D2" s="185"/>
    </row>
    <row r="3" spans="2:4" ht="16" thickBot="1" x14ac:dyDescent="0.25">
      <c r="B3" s="6"/>
    </row>
    <row r="4" spans="2:4" ht="16" thickBot="1" x14ac:dyDescent="0.25">
      <c r="B4" s="110" t="s">
        <v>3347</v>
      </c>
      <c r="C4" s="104" t="s">
        <v>3387</v>
      </c>
      <c r="D4" s="105" t="s">
        <v>3388</v>
      </c>
    </row>
    <row r="5" spans="2:4" s="54" customFormat="1" x14ac:dyDescent="0.2">
      <c r="B5" s="106" t="s">
        <v>9</v>
      </c>
      <c r="C5" s="61" t="s">
        <v>10</v>
      </c>
      <c r="D5" s="62" t="s">
        <v>11</v>
      </c>
    </row>
    <row r="6" spans="2:4" s="54" customFormat="1" x14ac:dyDescent="0.2">
      <c r="B6" s="107" t="s">
        <v>9</v>
      </c>
      <c r="C6" s="55" t="s">
        <v>10</v>
      </c>
      <c r="D6" s="56" t="s">
        <v>12</v>
      </c>
    </row>
    <row r="7" spans="2:4" s="54" customFormat="1" x14ac:dyDescent="0.2">
      <c r="B7" s="107" t="s">
        <v>9</v>
      </c>
      <c r="C7" s="55" t="s">
        <v>10</v>
      </c>
      <c r="D7" s="56" t="s">
        <v>13</v>
      </c>
    </row>
    <row r="8" spans="2:4" s="54" customFormat="1" x14ac:dyDescent="0.2">
      <c r="B8" s="107" t="s">
        <v>9</v>
      </c>
      <c r="C8" s="55" t="s">
        <v>10</v>
      </c>
      <c r="D8" s="56" t="s">
        <v>14</v>
      </c>
    </row>
    <row r="9" spans="2:4" s="54" customFormat="1" x14ac:dyDescent="0.2">
      <c r="B9" s="107" t="s">
        <v>9</v>
      </c>
      <c r="C9" s="55" t="s">
        <v>10</v>
      </c>
      <c r="D9" s="56" t="s">
        <v>15</v>
      </c>
    </row>
    <row r="10" spans="2:4" s="54" customFormat="1" x14ac:dyDescent="0.2">
      <c r="B10" s="107" t="s">
        <v>9</v>
      </c>
      <c r="C10" s="55" t="s">
        <v>10</v>
      </c>
      <c r="D10" s="56" t="s">
        <v>16</v>
      </c>
    </row>
    <row r="11" spans="2:4" s="54" customFormat="1" x14ac:dyDescent="0.2">
      <c r="B11" s="107" t="s">
        <v>9</v>
      </c>
      <c r="C11" s="55" t="s">
        <v>10</v>
      </c>
      <c r="D11" s="56" t="s">
        <v>17</v>
      </c>
    </row>
    <row r="12" spans="2:4" s="54" customFormat="1" x14ac:dyDescent="0.2">
      <c r="B12" s="107" t="s">
        <v>9</v>
      </c>
      <c r="C12" s="55" t="s">
        <v>10</v>
      </c>
      <c r="D12" s="56" t="s">
        <v>18</v>
      </c>
    </row>
    <row r="13" spans="2:4" s="54" customFormat="1" x14ac:dyDescent="0.2">
      <c r="B13" s="107" t="s">
        <v>9</v>
      </c>
      <c r="C13" s="55" t="s">
        <v>10</v>
      </c>
      <c r="D13" s="56" t="s">
        <v>19</v>
      </c>
    </row>
    <row r="14" spans="2:4" s="54" customFormat="1" x14ac:dyDescent="0.2">
      <c r="B14" s="107" t="s">
        <v>9</v>
      </c>
      <c r="C14" s="55" t="s">
        <v>10</v>
      </c>
      <c r="D14" s="56" t="s">
        <v>20</v>
      </c>
    </row>
    <row r="15" spans="2:4" s="54" customFormat="1" x14ac:dyDescent="0.2">
      <c r="B15" s="107" t="s">
        <v>9</v>
      </c>
      <c r="C15" s="55" t="s">
        <v>10</v>
      </c>
      <c r="D15" s="56" t="s">
        <v>21</v>
      </c>
    </row>
    <row r="16" spans="2:4" s="54" customFormat="1" x14ac:dyDescent="0.2">
      <c r="B16" s="107" t="s">
        <v>9</v>
      </c>
      <c r="C16" s="55" t="s">
        <v>10</v>
      </c>
      <c r="D16" s="56" t="s">
        <v>22</v>
      </c>
    </row>
    <row r="17" spans="2:4" s="54" customFormat="1" x14ac:dyDescent="0.2">
      <c r="B17" s="107" t="s">
        <v>9</v>
      </c>
      <c r="C17" s="55" t="s">
        <v>10</v>
      </c>
      <c r="D17" s="56" t="s">
        <v>23</v>
      </c>
    </row>
    <row r="18" spans="2:4" s="54" customFormat="1" x14ac:dyDescent="0.2">
      <c r="B18" s="107" t="s">
        <v>9</v>
      </c>
      <c r="C18" s="55" t="s">
        <v>10</v>
      </c>
      <c r="D18" s="56" t="s">
        <v>24</v>
      </c>
    </row>
    <row r="19" spans="2:4" s="54" customFormat="1" x14ac:dyDescent="0.2">
      <c r="B19" s="107" t="s">
        <v>9</v>
      </c>
      <c r="C19" s="55" t="s">
        <v>10</v>
      </c>
      <c r="D19" s="56" t="s">
        <v>25</v>
      </c>
    </row>
    <row r="20" spans="2:4" s="54" customFormat="1" x14ac:dyDescent="0.2">
      <c r="B20" s="107" t="s">
        <v>9</v>
      </c>
      <c r="C20" s="55" t="s">
        <v>10</v>
      </c>
      <c r="D20" s="56" t="s">
        <v>26</v>
      </c>
    </row>
    <row r="21" spans="2:4" s="54" customFormat="1" x14ac:dyDescent="0.2">
      <c r="B21" s="107" t="s">
        <v>9</v>
      </c>
      <c r="C21" s="55" t="s">
        <v>10</v>
      </c>
      <c r="D21" s="56" t="s">
        <v>27</v>
      </c>
    </row>
    <row r="22" spans="2:4" s="54" customFormat="1" x14ac:dyDescent="0.2">
      <c r="B22" s="107" t="s">
        <v>9</v>
      </c>
      <c r="C22" s="55" t="s">
        <v>10</v>
      </c>
      <c r="D22" s="56" t="s">
        <v>28</v>
      </c>
    </row>
    <row r="23" spans="2:4" s="54" customFormat="1" x14ac:dyDescent="0.2">
      <c r="B23" s="107" t="s">
        <v>9</v>
      </c>
      <c r="C23" s="55" t="s">
        <v>10</v>
      </c>
      <c r="D23" s="56" t="s">
        <v>29</v>
      </c>
    </row>
    <row r="24" spans="2:4" s="54" customFormat="1" x14ac:dyDescent="0.2">
      <c r="B24" s="107" t="s">
        <v>9</v>
      </c>
      <c r="C24" s="55" t="s">
        <v>10</v>
      </c>
      <c r="D24" s="56" t="s">
        <v>30</v>
      </c>
    </row>
    <row r="25" spans="2:4" s="54" customFormat="1" x14ac:dyDescent="0.2">
      <c r="B25" s="107" t="s">
        <v>9</v>
      </c>
      <c r="C25" s="55" t="s">
        <v>10</v>
      </c>
      <c r="D25" s="56" t="s">
        <v>31</v>
      </c>
    </row>
    <row r="26" spans="2:4" s="54" customFormat="1" x14ac:dyDescent="0.2">
      <c r="B26" s="107" t="s">
        <v>9</v>
      </c>
      <c r="C26" s="55" t="s">
        <v>10</v>
      </c>
      <c r="D26" s="56" t="s">
        <v>32</v>
      </c>
    </row>
    <row r="27" spans="2:4" s="54" customFormat="1" x14ac:dyDescent="0.2">
      <c r="B27" s="107" t="s">
        <v>9</v>
      </c>
      <c r="C27" s="55" t="s">
        <v>10</v>
      </c>
      <c r="D27" s="56" t="s">
        <v>33</v>
      </c>
    </row>
    <row r="28" spans="2:4" s="54" customFormat="1" x14ac:dyDescent="0.2">
      <c r="B28" s="107" t="s">
        <v>9</v>
      </c>
      <c r="C28" s="55" t="s">
        <v>10</v>
      </c>
      <c r="D28" s="56" t="s">
        <v>34</v>
      </c>
    </row>
    <row r="29" spans="2:4" s="54" customFormat="1" x14ac:dyDescent="0.2">
      <c r="B29" s="107" t="s">
        <v>9</v>
      </c>
      <c r="C29" s="55" t="s">
        <v>10</v>
      </c>
      <c r="D29" s="56" t="s">
        <v>35</v>
      </c>
    </row>
    <row r="30" spans="2:4" s="54" customFormat="1" x14ac:dyDescent="0.2">
      <c r="B30" s="107" t="s">
        <v>9</v>
      </c>
      <c r="C30" s="55" t="s">
        <v>10</v>
      </c>
      <c r="D30" s="56" t="s">
        <v>36</v>
      </c>
    </row>
    <row r="31" spans="2:4" s="54" customFormat="1" x14ac:dyDescent="0.2">
      <c r="B31" s="107" t="s">
        <v>9</v>
      </c>
      <c r="C31" s="55" t="s">
        <v>10</v>
      </c>
      <c r="D31" s="56" t="s">
        <v>37</v>
      </c>
    </row>
    <row r="32" spans="2:4" s="54" customFormat="1" x14ac:dyDescent="0.2">
      <c r="B32" s="107" t="s">
        <v>9</v>
      </c>
      <c r="C32" s="55" t="s">
        <v>10</v>
      </c>
      <c r="D32" s="56" t="s">
        <v>38</v>
      </c>
    </row>
    <row r="33" spans="2:4" s="54" customFormat="1" x14ac:dyDescent="0.2">
      <c r="B33" s="107" t="s">
        <v>9</v>
      </c>
      <c r="C33" s="55" t="s">
        <v>10</v>
      </c>
      <c r="D33" s="56" t="s">
        <v>39</v>
      </c>
    </row>
    <row r="34" spans="2:4" s="54" customFormat="1" x14ac:dyDescent="0.2">
      <c r="B34" s="107" t="s">
        <v>9</v>
      </c>
      <c r="C34" s="55" t="s">
        <v>10</v>
      </c>
      <c r="D34" s="56" t="s">
        <v>40</v>
      </c>
    </row>
    <row r="35" spans="2:4" s="54" customFormat="1" x14ac:dyDescent="0.2">
      <c r="B35" s="107" t="s">
        <v>9</v>
      </c>
      <c r="C35" s="55" t="s">
        <v>10</v>
      </c>
      <c r="D35" s="56" t="s">
        <v>41</v>
      </c>
    </row>
    <row r="36" spans="2:4" s="54" customFormat="1" x14ac:dyDescent="0.2">
      <c r="B36" s="107" t="s">
        <v>9</v>
      </c>
      <c r="C36" s="55" t="s">
        <v>10</v>
      </c>
      <c r="D36" s="56" t="s">
        <v>42</v>
      </c>
    </row>
    <row r="37" spans="2:4" s="54" customFormat="1" x14ac:dyDescent="0.2">
      <c r="B37" s="107" t="s">
        <v>9</v>
      </c>
      <c r="C37" s="55" t="s">
        <v>10</v>
      </c>
      <c r="D37" s="56" t="s">
        <v>43</v>
      </c>
    </row>
    <row r="38" spans="2:4" s="54" customFormat="1" x14ac:dyDescent="0.2">
      <c r="B38" s="107" t="s">
        <v>9</v>
      </c>
      <c r="C38" s="55" t="s">
        <v>10</v>
      </c>
      <c r="D38" s="56" t="s">
        <v>44</v>
      </c>
    </row>
    <row r="39" spans="2:4" s="54" customFormat="1" x14ac:dyDescent="0.2">
      <c r="B39" s="107" t="s">
        <v>45</v>
      </c>
      <c r="C39" s="55" t="s">
        <v>46</v>
      </c>
      <c r="D39" s="56" t="s">
        <v>47</v>
      </c>
    </row>
    <row r="40" spans="2:4" s="54" customFormat="1" x14ac:dyDescent="0.2">
      <c r="B40" s="107" t="s">
        <v>45</v>
      </c>
      <c r="C40" s="55" t="s">
        <v>46</v>
      </c>
      <c r="D40" s="56" t="s">
        <v>48</v>
      </c>
    </row>
    <row r="41" spans="2:4" s="54" customFormat="1" x14ac:dyDescent="0.2">
      <c r="B41" s="107" t="s">
        <v>45</v>
      </c>
      <c r="C41" s="55" t="s">
        <v>46</v>
      </c>
      <c r="D41" s="56" t="s">
        <v>49</v>
      </c>
    </row>
    <row r="42" spans="2:4" s="54" customFormat="1" x14ac:dyDescent="0.2">
      <c r="B42" s="107" t="s">
        <v>45</v>
      </c>
      <c r="C42" s="55" t="s">
        <v>46</v>
      </c>
      <c r="D42" s="56" t="s">
        <v>50</v>
      </c>
    </row>
    <row r="43" spans="2:4" s="54" customFormat="1" x14ac:dyDescent="0.2">
      <c r="B43" s="107" t="s">
        <v>45</v>
      </c>
      <c r="C43" s="55" t="s">
        <v>46</v>
      </c>
      <c r="D43" s="56" t="s">
        <v>51</v>
      </c>
    </row>
    <row r="44" spans="2:4" s="54" customFormat="1" x14ac:dyDescent="0.2">
      <c r="B44" s="107" t="s">
        <v>45</v>
      </c>
      <c r="C44" s="55" t="s">
        <v>46</v>
      </c>
      <c r="D44" s="56" t="s">
        <v>52</v>
      </c>
    </row>
    <row r="45" spans="2:4" s="54" customFormat="1" x14ac:dyDescent="0.2">
      <c r="B45" s="107" t="s">
        <v>45</v>
      </c>
      <c r="C45" s="55" t="s">
        <v>46</v>
      </c>
      <c r="D45" s="56" t="s">
        <v>53</v>
      </c>
    </row>
    <row r="46" spans="2:4" s="54" customFormat="1" x14ac:dyDescent="0.2">
      <c r="B46" s="107" t="s">
        <v>45</v>
      </c>
      <c r="C46" s="55" t="s">
        <v>46</v>
      </c>
      <c r="D46" s="56" t="s">
        <v>54</v>
      </c>
    </row>
    <row r="47" spans="2:4" s="54" customFormat="1" x14ac:dyDescent="0.2">
      <c r="B47" s="107" t="s">
        <v>45</v>
      </c>
      <c r="C47" s="55" t="s">
        <v>46</v>
      </c>
      <c r="D47" s="56" t="s">
        <v>55</v>
      </c>
    </row>
    <row r="48" spans="2:4" s="54" customFormat="1" x14ac:dyDescent="0.2">
      <c r="B48" s="107" t="s">
        <v>45</v>
      </c>
      <c r="C48" s="55" t="s">
        <v>46</v>
      </c>
      <c r="D48" s="56" t="s">
        <v>56</v>
      </c>
    </row>
    <row r="49" spans="2:4" s="54" customFormat="1" x14ac:dyDescent="0.2">
      <c r="B49" s="107" t="s">
        <v>45</v>
      </c>
      <c r="C49" s="55" t="s">
        <v>46</v>
      </c>
      <c r="D49" s="56" t="s">
        <v>57</v>
      </c>
    </row>
    <row r="50" spans="2:4" s="54" customFormat="1" x14ac:dyDescent="0.2">
      <c r="B50" s="107" t="s">
        <v>45</v>
      </c>
      <c r="C50" s="55" t="s">
        <v>46</v>
      </c>
      <c r="D50" s="56" t="s">
        <v>58</v>
      </c>
    </row>
    <row r="51" spans="2:4" s="54" customFormat="1" x14ac:dyDescent="0.2">
      <c r="B51" s="107" t="s">
        <v>45</v>
      </c>
      <c r="C51" s="55" t="s">
        <v>46</v>
      </c>
      <c r="D51" s="56" t="s">
        <v>59</v>
      </c>
    </row>
    <row r="52" spans="2:4" s="54" customFormat="1" x14ac:dyDescent="0.2">
      <c r="B52" s="107" t="s">
        <v>45</v>
      </c>
      <c r="C52" s="55" t="s">
        <v>46</v>
      </c>
      <c r="D52" s="56" t="s">
        <v>60</v>
      </c>
    </row>
    <row r="53" spans="2:4" s="54" customFormat="1" x14ac:dyDescent="0.2">
      <c r="B53" s="107" t="s">
        <v>45</v>
      </c>
      <c r="C53" s="55" t="s">
        <v>46</v>
      </c>
      <c r="D53" s="56" t="s">
        <v>61</v>
      </c>
    </row>
    <row r="54" spans="2:4" s="54" customFormat="1" x14ac:dyDescent="0.2">
      <c r="B54" s="107" t="s">
        <v>45</v>
      </c>
      <c r="C54" s="55" t="s">
        <v>46</v>
      </c>
      <c r="D54" s="56" t="s">
        <v>62</v>
      </c>
    </row>
    <row r="55" spans="2:4" s="54" customFormat="1" x14ac:dyDescent="0.2">
      <c r="B55" s="107" t="s">
        <v>45</v>
      </c>
      <c r="C55" s="55" t="s">
        <v>46</v>
      </c>
      <c r="D55" s="56" t="s">
        <v>63</v>
      </c>
    </row>
    <row r="56" spans="2:4" s="54" customFormat="1" x14ac:dyDescent="0.2">
      <c r="B56" s="107" t="s">
        <v>45</v>
      </c>
      <c r="C56" s="55" t="s">
        <v>46</v>
      </c>
      <c r="D56" s="56" t="s">
        <v>64</v>
      </c>
    </row>
    <row r="57" spans="2:4" s="54" customFormat="1" x14ac:dyDescent="0.2">
      <c r="B57" s="107" t="s">
        <v>45</v>
      </c>
      <c r="C57" s="55" t="s">
        <v>46</v>
      </c>
      <c r="D57" s="56" t="s">
        <v>65</v>
      </c>
    </row>
    <row r="58" spans="2:4" s="54" customFormat="1" x14ac:dyDescent="0.2">
      <c r="B58" s="107" t="s">
        <v>45</v>
      </c>
      <c r="C58" s="55" t="s">
        <v>46</v>
      </c>
      <c r="D58" s="56" t="s">
        <v>66</v>
      </c>
    </row>
    <row r="59" spans="2:4" s="54" customFormat="1" x14ac:dyDescent="0.2">
      <c r="B59" s="107" t="s">
        <v>45</v>
      </c>
      <c r="C59" s="55" t="s">
        <v>46</v>
      </c>
      <c r="D59" s="56" t="s">
        <v>67</v>
      </c>
    </row>
    <row r="60" spans="2:4" s="54" customFormat="1" x14ac:dyDescent="0.2">
      <c r="B60" s="107" t="s">
        <v>45</v>
      </c>
      <c r="C60" s="55" t="s">
        <v>46</v>
      </c>
      <c r="D60" s="56" t="s">
        <v>68</v>
      </c>
    </row>
    <row r="61" spans="2:4" s="54" customFormat="1" x14ac:dyDescent="0.2">
      <c r="B61" s="107" t="s">
        <v>45</v>
      </c>
      <c r="C61" s="55" t="s">
        <v>46</v>
      </c>
      <c r="D61" s="56" t="s">
        <v>69</v>
      </c>
    </row>
    <row r="62" spans="2:4" s="54" customFormat="1" x14ac:dyDescent="0.2">
      <c r="B62" s="107" t="s">
        <v>45</v>
      </c>
      <c r="C62" s="55" t="s">
        <v>46</v>
      </c>
      <c r="D62" s="56" t="s">
        <v>70</v>
      </c>
    </row>
    <row r="63" spans="2:4" s="54" customFormat="1" x14ac:dyDescent="0.2">
      <c r="B63" s="107" t="s">
        <v>45</v>
      </c>
      <c r="C63" s="55" t="s">
        <v>46</v>
      </c>
      <c r="D63" s="56" t="s">
        <v>71</v>
      </c>
    </row>
    <row r="64" spans="2:4" s="54" customFormat="1" x14ac:dyDescent="0.2">
      <c r="B64" s="107" t="s">
        <v>45</v>
      </c>
      <c r="C64" s="55" t="s">
        <v>46</v>
      </c>
      <c r="D64" s="56" t="s">
        <v>72</v>
      </c>
    </row>
    <row r="65" spans="2:4" s="54" customFormat="1" x14ac:dyDescent="0.2">
      <c r="B65" s="107" t="s">
        <v>45</v>
      </c>
      <c r="C65" s="55" t="s">
        <v>46</v>
      </c>
      <c r="D65" s="56" t="s">
        <v>73</v>
      </c>
    </row>
    <row r="66" spans="2:4" s="54" customFormat="1" x14ac:dyDescent="0.2">
      <c r="B66" s="107" t="s">
        <v>45</v>
      </c>
      <c r="C66" s="55" t="s">
        <v>46</v>
      </c>
      <c r="D66" s="56" t="s">
        <v>74</v>
      </c>
    </row>
    <row r="67" spans="2:4" s="54" customFormat="1" x14ac:dyDescent="0.2">
      <c r="B67" s="107" t="s">
        <v>45</v>
      </c>
      <c r="C67" s="55" t="s">
        <v>46</v>
      </c>
      <c r="D67" s="56" t="s">
        <v>75</v>
      </c>
    </row>
    <row r="68" spans="2:4" s="54" customFormat="1" x14ac:dyDescent="0.2">
      <c r="B68" s="107" t="s">
        <v>45</v>
      </c>
      <c r="C68" s="55" t="s">
        <v>46</v>
      </c>
      <c r="D68" s="56" t="s">
        <v>76</v>
      </c>
    </row>
    <row r="69" spans="2:4" s="54" customFormat="1" x14ac:dyDescent="0.2">
      <c r="B69" s="107" t="s">
        <v>45</v>
      </c>
      <c r="C69" s="55" t="s">
        <v>46</v>
      </c>
      <c r="D69" s="56" t="s">
        <v>77</v>
      </c>
    </row>
    <row r="70" spans="2:4" s="54" customFormat="1" x14ac:dyDescent="0.2">
      <c r="B70" s="107" t="s">
        <v>45</v>
      </c>
      <c r="C70" s="55" t="s">
        <v>46</v>
      </c>
      <c r="D70" s="56" t="s">
        <v>78</v>
      </c>
    </row>
    <row r="71" spans="2:4" s="54" customFormat="1" x14ac:dyDescent="0.2">
      <c r="B71" s="107" t="s">
        <v>45</v>
      </c>
      <c r="C71" s="55" t="s">
        <v>46</v>
      </c>
      <c r="D71" s="56" t="s">
        <v>79</v>
      </c>
    </row>
    <row r="72" spans="2:4" s="54" customFormat="1" x14ac:dyDescent="0.2">
      <c r="B72" s="107" t="s">
        <v>45</v>
      </c>
      <c r="C72" s="55" t="s">
        <v>46</v>
      </c>
      <c r="D72" s="56" t="s">
        <v>80</v>
      </c>
    </row>
    <row r="73" spans="2:4" s="54" customFormat="1" x14ac:dyDescent="0.2">
      <c r="B73" s="107" t="s">
        <v>45</v>
      </c>
      <c r="C73" s="55" t="s">
        <v>46</v>
      </c>
      <c r="D73" s="56" t="s">
        <v>81</v>
      </c>
    </row>
    <row r="74" spans="2:4" s="54" customFormat="1" x14ac:dyDescent="0.2">
      <c r="B74" s="107" t="s">
        <v>45</v>
      </c>
      <c r="C74" s="55" t="s">
        <v>46</v>
      </c>
      <c r="D74" s="56" t="s">
        <v>82</v>
      </c>
    </row>
    <row r="75" spans="2:4" s="54" customFormat="1" x14ac:dyDescent="0.2">
      <c r="B75" s="107" t="s">
        <v>83</v>
      </c>
      <c r="C75" s="55" t="s">
        <v>84</v>
      </c>
      <c r="D75" s="56" t="s">
        <v>85</v>
      </c>
    </row>
    <row r="76" spans="2:4" s="54" customFormat="1" x14ac:dyDescent="0.2">
      <c r="B76" s="107" t="s">
        <v>83</v>
      </c>
      <c r="C76" s="55" t="s">
        <v>84</v>
      </c>
      <c r="D76" s="56" t="s">
        <v>86</v>
      </c>
    </row>
    <row r="77" spans="2:4" s="54" customFormat="1" x14ac:dyDescent="0.2">
      <c r="B77" s="107" t="s">
        <v>83</v>
      </c>
      <c r="C77" s="55" t="s">
        <v>84</v>
      </c>
      <c r="D77" s="56" t="s">
        <v>87</v>
      </c>
    </row>
    <row r="78" spans="2:4" s="54" customFormat="1" x14ac:dyDescent="0.2">
      <c r="B78" s="107" t="s">
        <v>83</v>
      </c>
      <c r="C78" s="55" t="s">
        <v>84</v>
      </c>
      <c r="D78" s="56" t="s">
        <v>88</v>
      </c>
    </row>
    <row r="79" spans="2:4" s="54" customFormat="1" x14ac:dyDescent="0.2">
      <c r="B79" s="107" t="s">
        <v>83</v>
      </c>
      <c r="C79" s="55" t="s">
        <v>84</v>
      </c>
      <c r="D79" s="56" t="s">
        <v>89</v>
      </c>
    </row>
    <row r="80" spans="2:4" s="54" customFormat="1" x14ac:dyDescent="0.2">
      <c r="B80" s="107" t="s">
        <v>83</v>
      </c>
      <c r="C80" s="55" t="s">
        <v>84</v>
      </c>
      <c r="D80" s="56" t="s">
        <v>90</v>
      </c>
    </row>
    <row r="81" spans="2:4" s="54" customFormat="1" x14ac:dyDescent="0.2">
      <c r="B81" s="107" t="s">
        <v>83</v>
      </c>
      <c r="C81" s="55" t="s">
        <v>84</v>
      </c>
      <c r="D81" s="56" t="s">
        <v>91</v>
      </c>
    </row>
    <row r="82" spans="2:4" s="54" customFormat="1" x14ac:dyDescent="0.2">
      <c r="B82" s="107" t="s">
        <v>83</v>
      </c>
      <c r="C82" s="55" t="s">
        <v>84</v>
      </c>
      <c r="D82" s="56" t="s">
        <v>92</v>
      </c>
    </row>
    <row r="83" spans="2:4" s="54" customFormat="1" x14ac:dyDescent="0.2">
      <c r="B83" s="107" t="s">
        <v>83</v>
      </c>
      <c r="C83" s="55" t="s">
        <v>84</v>
      </c>
      <c r="D83" s="56" t="s">
        <v>93</v>
      </c>
    </row>
    <row r="84" spans="2:4" s="54" customFormat="1" x14ac:dyDescent="0.2">
      <c r="B84" s="107" t="s">
        <v>83</v>
      </c>
      <c r="C84" s="55" t="s">
        <v>84</v>
      </c>
      <c r="D84" s="56" t="s">
        <v>94</v>
      </c>
    </row>
    <row r="85" spans="2:4" s="54" customFormat="1" x14ac:dyDescent="0.2">
      <c r="B85" s="107" t="s">
        <v>83</v>
      </c>
      <c r="C85" s="55" t="s">
        <v>84</v>
      </c>
      <c r="D85" s="56" t="s">
        <v>95</v>
      </c>
    </row>
    <row r="86" spans="2:4" s="54" customFormat="1" x14ac:dyDescent="0.2">
      <c r="B86" s="107" t="s">
        <v>83</v>
      </c>
      <c r="C86" s="55" t="s">
        <v>84</v>
      </c>
      <c r="D86" s="56" t="s">
        <v>96</v>
      </c>
    </row>
    <row r="87" spans="2:4" s="54" customFormat="1" x14ac:dyDescent="0.2">
      <c r="B87" s="107" t="s">
        <v>83</v>
      </c>
      <c r="C87" s="55" t="s">
        <v>84</v>
      </c>
      <c r="D87" s="56" t="s">
        <v>97</v>
      </c>
    </row>
    <row r="88" spans="2:4" s="54" customFormat="1" x14ac:dyDescent="0.2">
      <c r="B88" s="107" t="s">
        <v>83</v>
      </c>
      <c r="C88" s="55" t="s">
        <v>84</v>
      </c>
      <c r="D88" s="56" t="s">
        <v>98</v>
      </c>
    </row>
    <row r="89" spans="2:4" s="54" customFormat="1" x14ac:dyDescent="0.2">
      <c r="B89" s="107" t="s">
        <v>83</v>
      </c>
      <c r="C89" s="55" t="s">
        <v>84</v>
      </c>
      <c r="D89" s="56" t="s">
        <v>99</v>
      </c>
    </row>
    <row r="90" spans="2:4" s="54" customFormat="1" x14ac:dyDescent="0.2">
      <c r="B90" s="107" t="s">
        <v>83</v>
      </c>
      <c r="C90" s="55" t="s">
        <v>84</v>
      </c>
      <c r="D90" s="56" t="s">
        <v>100</v>
      </c>
    </row>
    <row r="91" spans="2:4" s="54" customFormat="1" x14ac:dyDescent="0.2">
      <c r="B91" s="107" t="s">
        <v>83</v>
      </c>
      <c r="C91" s="55" t="s">
        <v>84</v>
      </c>
      <c r="D91" s="56" t="s">
        <v>101</v>
      </c>
    </row>
    <row r="92" spans="2:4" s="54" customFormat="1" x14ac:dyDescent="0.2">
      <c r="B92" s="107" t="s">
        <v>83</v>
      </c>
      <c r="C92" s="55" t="s">
        <v>84</v>
      </c>
      <c r="D92" s="56" t="s">
        <v>102</v>
      </c>
    </row>
    <row r="93" spans="2:4" s="54" customFormat="1" x14ac:dyDescent="0.2">
      <c r="B93" s="107" t="s">
        <v>83</v>
      </c>
      <c r="C93" s="55" t="s">
        <v>84</v>
      </c>
      <c r="D93" s="56" t="s">
        <v>103</v>
      </c>
    </row>
    <row r="94" spans="2:4" s="54" customFormat="1" x14ac:dyDescent="0.2">
      <c r="B94" s="107" t="s">
        <v>83</v>
      </c>
      <c r="C94" s="55" t="s">
        <v>84</v>
      </c>
      <c r="D94" s="56" t="s">
        <v>104</v>
      </c>
    </row>
    <row r="95" spans="2:4" s="54" customFormat="1" x14ac:dyDescent="0.2">
      <c r="B95" s="107" t="s">
        <v>83</v>
      </c>
      <c r="C95" s="55" t="s">
        <v>84</v>
      </c>
      <c r="D95" s="56" t="s">
        <v>105</v>
      </c>
    </row>
    <row r="96" spans="2:4" s="54" customFormat="1" x14ac:dyDescent="0.2">
      <c r="B96" s="107" t="s">
        <v>83</v>
      </c>
      <c r="C96" s="55" t="s">
        <v>84</v>
      </c>
      <c r="D96" s="56" t="s">
        <v>106</v>
      </c>
    </row>
    <row r="97" spans="2:4" s="54" customFormat="1" x14ac:dyDescent="0.2">
      <c r="B97" s="107" t="s">
        <v>83</v>
      </c>
      <c r="C97" s="55" t="s">
        <v>84</v>
      </c>
      <c r="D97" s="56" t="s">
        <v>107</v>
      </c>
    </row>
    <row r="98" spans="2:4" s="54" customFormat="1" x14ac:dyDescent="0.2">
      <c r="B98" s="107" t="s">
        <v>83</v>
      </c>
      <c r="C98" s="55" t="s">
        <v>84</v>
      </c>
      <c r="D98" s="56" t="s">
        <v>108</v>
      </c>
    </row>
    <row r="99" spans="2:4" s="54" customFormat="1" x14ac:dyDescent="0.2">
      <c r="B99" s="107" t="s">
        <v>83</v>
      </c>
      <c r="C99" s="55" t="s">
        <v>84</v>
      </c>
      <c r="D99" s="56" t="s">
        <v>109</v>
      </c>
    </row>
    <row r="100" spans="2:4" s="54" customFormat="1" x14ac:dyDescent="0.2">
      <c r="B100" s="107" t="s">
        <v>83</v>
      </c>
      <c r="C100" s="55" t="s">
        <v>84</v>
      </c>
      <c r="D100" s="56" t="s">
        <v>110</v>
      </c>
    </row>
    <row r="101" spans="2:4" s="54" customFormat="1" x14ac:dyDescent="0.2">
      <c r="B101" s="107" t="s">
        <v>83</v>
      </c>
      <c r="C101" s="55" t="s">
        <v>84</v>
      </c>
      <c r="D101" s="56" t="s">
        <v>111</v>
      </c>
    </row>
    <row r="102" spans="2:4" s="54" customFormat="1" x14ac:dyDescent="0.2">
      <c r="B102" s="107" t="s">
        <v>83</v>
      </c>
      <c r="C102" s="55" t="s">
        <v>84</v>
      </c>
      <c r="D102" s="56" t="s">
        <v>112</v>
      </c>
    </row>
    <row r="103" spans="2:4" s="54" customFormat="1" x14ac:dyDescent="0.2">
      <c r="B103" s="107" t="s">
        <v>83</v>
      </c>
      <c r="C103" s="55" t="s">
        <v>84</v>
      </c>
      <c r="D103" s="56" t="s">
        <v>113</v>
      </c>
    </row>
    <row r="104" spans="2:4" s="54" customFormat="1" x14ac:dyDescent="0.2">
      <c r="B104" s="107" t="s">
        <v>83</v>
      </c>
      <c r="C104" s="55" t="s">
        <v>84</v>
      </c>
      <c r="D104" s="56" t="s">
        <v>114</v>
      </c>
    </row>
    <row r="105" spans="2:4" s="54" customFormat="1" x14ac:dyDescent="0.2">
      <c r="B105" s="107" t="s">
        <v>83</v>
      </c>
      <c r="C105" s="55" t="s">
        <v>84</v>
      </c>
      <c r="D105" s="56" t="s">
        <v>115</v>
      </c>
    </row>
    <row r="106" spans="2:4" s="54" customFormat="1" x14ac:dyDescent="0.2">
      <c r="B106" s="107" t="s">
        <v>83</v>
      </c>
      <c r="C106" s="55" t="s">
        <v>84</v>
      </c>
      <c r="D106" s="56" t="s">
        <v>116</v>
      </c>
    </row>
    <row r="107" spans="2:4" s="54" customFormat="1" x14ac:dyDescent="0.2">
      <c r="B107" s="107" t="s">
        <v>83</v>
      </c>
      <c r="C107" s="55" t="s">
        <v>84</v>
      </c>
      <c r="D107" s="56" t="s">
        <v>117</v>
      </c>
    </row>
    <row r="108" spans="2:4" s="54" customFormat="1" x14ac:dyDescent="0.2">
      <c r="B108" s="107" t="s">
        <v>83</v>
      </c>
      <c r="C108" s="55" t="s">
        <v>84</v>
      </c>
      <c r="D108" s="56" t="s">
        <v>118</v>
      </c>
    </row>
    <row r="109" spans="2:4" s="54" customFormat="1" x14ac:dyDescent="0.2">
      <c r="B109" s="107" t="s">
        <v>83</v>
      </c>
      <c r="C109" s="55" t="s">
        <v>84</v>
      </c>
      <c r="D109" s="56" t="s">
        <v>119</v>
      </c>
    </row>
    <row r="110" spans="2:4" s="54" customFormat="1" x14ac:dyDescent="0.2">
      <c r="B110" s="107" t="s">
        <v>83</v>
      </c>
      <c r="C110" s="55" t="s">
        <v>84</v>
      </c>
      <c r="D110" s="56" t="s">
        <v>120</v>
      </c>
    </row>
    <row r="111" spans="2:4" s="54" customFormat="1" x14ac:dyDescent="0.2">
      <c r="B111" s="107" t="s">
        <v>83</v>
      </c>
      <c r="C111" s="55" t="s">
        <v>84</v>
      </c>
      <c r="D111" s="56" t="s">
        <v>121</v>
      </c>
    </row>
    <row r="112" spans="2:4" s="54" customFormat="1" x14ac:dyDescent="0.2">
      <c r="B112" s="107" t="s">
        <v>83</v>
      </c>
      <c r="C112" s="55" t="s">
        <v>84</v>
      </c>
      <c r="D112" s="56" t="s">
        <v>122</v>
      </c>
    </row>
    <row r="113" spans="2:4" s="54" customFormat="1" x14ac:dyDescent="0.2">
      <c r="B113" s="107" t="s">
        <v>83</v>
      </c>
      <c r="C113" s="55" t="s">
        <v>84</v>
      </c>
      <c r="D113" s="56" t="s">
        <v>123</v>
      </c>
    </row>
    <row r="114" spans="2:4" s="54" customFormat="1" x14ac:dyDescent="0.2">
      <c r="B114" s="107" t="s">
        <v>83</v>
      </c>
      <c r="C114" s="55" t="s">
        <v>84</v>
      </c>
      <c r="D114" s="56" t="s">
        <v>124</v>
      </c>
    </row>
    <row r="115" spans="2:4" s="54" customFormat="1" x14ac:dyDescent="0.2">
      <c r="B115" s="107" t="s">
        <v>83</v>
      </c>
      <c r="C115" s="55" t="s">
        <v>84</v>
      </c>
      <c r="D115" s="56" t="s">
        <v>125</v>
      </c>
    </row>
    <row r="116" spans="2:4" s="54" customFormat="1" x14ac:dyDescent="0.2">
      <c r="B116" s="107" t="s">
        <v>83</v>
      </c>
      <c r="C116" s="55" t="s">
        <v>84</v>
      </c>
      <c r="D116" s="56" t="s">
        <v>126</v>
      </c>
    </row>
    <row r="117" spans="2:4" s="54" customFormat="1" x14ac:dyDescent="0.2">
      <c r="B117" s="107" t="s">
        <v>83</v>
      </c>
      <c r="C117" s="55" t="s">
        <v>84</v>
      </c>
      <c r="D117" s="56" t="s">
        <v>127</v>
      </c>
    </row>
    <row r="118" spans="2:4" s="54" customFormat="1" x14ac:dyDescent="0.2">
      <c r="B118" s="107" t="s">
        <v>83</v>
      </c>
      <c r="C118" s="55" t="s">
        <v>84</v>
      </c>
      <c r="D118" s="56" t="s">
        <v>128</v>
      </c>
    </row>
    <row r="119" spans="2:4" s="54" customFormat="1" x14ac:dyDescent="0.2">
      <c r="B119" s="107" t="s">
        <v>83</v>
      </c>
      <c r="C119" s="55" t="s">
        <v>84</v>
      </c>
      <c r="D119" s="56" t="s">
        <v>129</v>
      </c>
    </row>
    <row r="120" spans="2:4" s="54" customFormat="1" x14ac:dyDescent="0.2">
      <c r="B120" s="107" t="s">
        <v>83</v>
      </c>
      <c r="C120" s="55" t="s">
        <v>84</v>
      </c>
      <c r="D120" s="56" t="s">
        <v>130</v>
      </c>
    </row>
    <row r="121" spans="2:4" s="54" customFormat="1" x14ac:dyDescent="0.2">
      <c r="B121" s="107" t="s">
        <v>83</v>
      </c>
      <c r="C121" s="55" t="s">
        <v>84</v>
      </c>
      <c r="D121" s="56" t="s">
        <v>131</v>
      </c>
    </row>
    <row r="122" spans="2:4" s="54" customFormat="1" x14ac:dyDescent="0.2">
      <c r="B122" s="107" t="s">
        <v>83</v>
      </c>
      <c r="C122" s="55" t="s">
        <v>84</v>
      </c>
      <c r="D122" s="56" t="s">
        <v>132</v>
      </c>
    </row>
    <row r="123" spans="2:4" s="54" customFormat="1" x14ac:dyDescent="0.2">
      <c r="B123" s="107" t="s">
        <v>133</v>
      </c>
      <c r="C123" s="55" t="s">
        <v>134</v>
      </c>
      <c r="D123" s="56" t="s">
        <v>135</v>
      </c>
    </row>
    <row r="124" spans="2:4" s="54" customFormat="1" x14ac:dyDescent="0.2">
      <c r="B124" s="107" t="s">
        <v>133</v>
      </c>
      <c r="C124" s="55" t="s">
        <v>134</v>
      </c>
      <c r="D124" s="56" t="s">
        <v>136</v>
      </c>
    </row>
    <row r="125" spans="2:4" s="54" customFormat="1" x14ac:dyDescent="0.2">
      <c r="B125" s="107" t="s">
        <v>133</v>
      </c>
      <c r="C125" s="55" t="s">
        <v>134</v>
      </c>
      <c r="D125" s="56" t="s">
        <v>137</v>
      </c>
    </row>
    <row r="126" spans="2:4" s="54" customFormat="1" x14ac:dyDescent="0.2">
      <c r="B126" s="107" t="s">
        <v>133</v>
      </c>
      <c r="C126" s="55" t="s">
        <v>134</v>
      </c>
      <c r="D126" s="56" t="s">
        <v>138</v>
      </c>
    </row>
    <row r="127" spans="2:4" s="54" customFormat="1" x14ac:dyDescent="0.2">
      <c r="B127" s="107" t="s">
        <v>133</v>
      </c>
      <c r="C127" s="55" t="s">
        <v>134</v>
      </c>
      <c r="D127" s="56" t="s">
        <v>139</v>
      </c>
    </row>
    <row r="128" spans="2:4" s="54" customFormat="1" x14ac:dyDescent="0.2">
      <c r="B128" s="107" t="s">
        <v>133</v>
      </c>
      <c r="C128" s="55" t="s">
        <v>134</v>
      </c>
      <c r="D128" s="56" t="s">
        <v>140</v>
      </c>
    </row>
    <row r="129" spans="2:4" s="54" customFormat="1" x14ac:dyDescent="0.2">
      <c r="B129" s="107" t="s">
        <v>133</v>
      </c>
      <c r="C129" s="55" t="s">
        <v>134</v>
      </c>
      <c r="D129" s="56" t="s">
        <v>141</v>
      </c>
    </row>
    <row r="130" spans="2:4" s="54" customFormat="1" x14ac:dyDescent="0.2">
      <c r="B130" s="107" t="s">
        <v>142</v>
      </c>
      <c r="C130" s="55" t="s">
        <v>143</v>
      </c>
      <c r="D130" s="56" t="s">
        <v>144</v>
      </c>
    </row>
    <row r="131" spans="2:4" s="54" customFormat="1" x14ac:dyDescent="0.2">
      <c r="B131" s="107" t="s">
        <v>142</v>
      </c>
      <c r="C131" s="55" t="s">
        <v>143</v>
      </c>
      <c r="D131" s="56" t="s">
        <v>145</v>
      </c>
    </row>
    <row r="132" spans="2:4" s="54" customFormat="1" x14ac:dyDescent="0.2">
      <c r="B132" s="107" t="s">
        <v>142</v>
      </c>
      <c r="C132" s="55" t="s">
        <v>143</v>
      </c>
      <c r="D132" s="56" t="s">
        <v>146</v>
      </c>
    </row>
    <row r="133" spans="2:4" s="54" customFormat="1" x14ac:dyDescent="0.2">
      <c r="B133" s="107" t="s">
        <v>142</v>
      </c>
      <c r="C133" s="55" t="s">
        <v>143</v>
      </c>
      <c r="D133" s="56" t="s">
        <v>147</v>
      </c>
    </row>
    <row r="134" spans="2:4" s="54" customFormat="1" x14ac:dyDescent="0.2">
      <c r="B134" s="107" t="s">
        <v>142</v>
      </c>
      <c r="C134" s="55" t="s">
        <v>143</v>
      </c>
      <c r="D134" s="56" t="s">
        <v>148</v>
      </c>
    </row>
    <row r="135" spans="2:4" s="54" customFormat="1" x14ac:dyDescent="0.2">
      <c r="B135" s="107" t="s">
        <v>142</v>
      </c>
      <c r="C135" s="55" t="s">
        <v>143</v>
      </c>
      <c r="D135" s="56" t="s">
        <v>149</v>
      </c>
    </row>
    <row r="136" spans="2:4" s="54" customFormat="1" x14ac:dyDescent="0.2">
      <c r="B136" s="107" t="s">
        <v>142</v>
      </c>
      <c r="C136" s="55" t="s">
        <v>143</v>
      </c>
      <c r="D136" s="56" t="s">
        <v>150</v>
      </c>
    </row>
    <row r="137" spans="2:4" s="54" customFormat="1" x14ac:dyDescent="0.2">
      <c r="B137" s="107" t="s">
        <v>142</v>
      </c>
      <c r="C137" s="55" t="s">
        <v>143</v>
      </c>
      <c r="D137" s="56" t="s">
        <v>151</v>
      </c>
    </row>
    <row r="138" spans="2:4" s="54" customFormat="1" x14ac:dyDescent="0.2">
      <c r="B138" s="107" t="s">
        <v>142</v>
      </c>
      <c r="C138" s="55" t="s">
        <v>143</v>
      </c>
      <c r="D138" s="56" t="s">
        <v>152</v>
      </c>
    </row>
    <row r="139" spans="2:4" s="54" customFormat="1" x14ac:dyDescent="0.2">
      <c r="B139" s="107" t="s">
        <v>142</v>
      </c>
      <c r="C139" s="55" t="s">
        <v>143</v>
      </c>
      <c r="D139" s="56" t="s">
        <v>153</v>
      </c>
    </row>
    <row r="140" spans="2:4" s="54" customFormat="1" x14ac:dyDescent="0.2">
      <c r="B140" s="107" t="s">
        <v>142</v>
      </c>
      <c r="C140" s="55" t="s">
        <v>143</v>
      </c>
      <c r="D140" s="56" t="s">
        <v>154</v>
      </c>
    </row>
    <row r="141" spans="2:4" s="54" customFormat="1" x14ac:dyDescent="0.2">
      <c r="B141" s="107" t="s">
        <v>142</v>
      </c>
      <c r="C141" s="55" t="s">
        <v>143</v>
      </c>
      <c r="D141" s="56" t="s">
        <v>155</v>
      </c>
    </row>
    <row r="142" spans="2:4" s="54" customFormat="1" x14ac:dyDescent="0.2">
      <c r="B142" s="107" t="s">
        <v>142</v>
      </c>
      <c r="C142" s="55" t="s">
        <v>143</v>
      </c>
      <c r="D142" s="56" t="s">
        <v>156</v>
      </c>
    </row>
    <row r="143" spans="2:4" s="54" customFormat="1" x14ac:dyDescent="0.2">
      <c r="B143" s="107" t="s">
        <v>142</v>
      </c>
      <c r="C143" s="55" t="s">
        <v>143</v>
      </c>
      <c r="D143" s="56" t="s">
        <v>157</v>
      </c>
    </row>
    <row r="144" spans="2:4" s="54" customFormat="1" x14ac:dyDescent="0.2">
      <c r="B144" s="107" t="s">
        <v>142</v>
      </c>
      <c r="C144" s="55" t="s">
        <v>143</v>
      </c>
      <c r="D144" s="56" t="s">
        <v>158</v>
      </c>
    </row>
    <row r="145" spans="2:4" s="54" customFormat="1" x14ac:dyDescent="0.2">
      <c r="B145" s="107" t="s">
        <v>142</v>
      </c>
      <c r="C145" s="55" t="s">
        <v>143</v>
      </c>
      <c r="D145" s="56" t="s">
        <v>159</v>
      </c>
    </row>
    <row r="146" spans="2:4" s="54" customFormat="1" x14ac:dyDescent="0.2">
      <c r="B146" s="107" t="s">
        <v>142</v>
      </c>
      <c r="C146" s="55" t="s">
        <v>143</v>
      </c>
      <c r="D146" s="56" t="s">
        <v>160</v>
      </c>
    </row>
    <row r="147" spans="2:4" s="54" customFormat="1" x14ac:dyDescent="0.2">
      <c r="B147" s="107" t="s">
        <v>142</v>
      </c>
      <c r="C147" s="55" t="s">
        <v>143</v>
      </c>
      <c r="D147" s="56" t="s">
        <v>161</v>
      </c>
    </row>
    <row r="148" spans="2:4" s="54" customFormat="1" x14ac:dyDescent="0.2">
      <c r="B148" s="107" t="s">
        <v>162</v>
      </c>
      <c r="C148" s="55" t="s">
        <v>163</v>
      </c>
      <c r="D148" s="56" t="s">
        <v>164</v>
      </c>
    </row>
    <row r="149" spans="2:4" s="54" customFormat="1" x14ac:dyDescent="0.2">
      <c r="B149" s="107" t="s">
        <v>162</v>
      </c>
      <c r="C149" s="55" t="s">
        <v>163</v>
      </c>
      <c r="D149" s="56" t="s">
        <v>165</v>
      </c>
    </row>
    <row r="150" spans="2:4" s="54" customFormat="1" x14ac:dyDescent="0.2">
      <c r="B150" s="107" t="s">
        <v>162</v>
      </c>
      <c r="C150" s="55" t="s">
        <v>163</v>
      </c>
      <c r="D150" s="56" t="s">
        <v>166</v>
      </c>
    </row>
    <row r="151" spans="2:4" s="54" customFormat="1" x14ac:dyDescent="0.2">
      <c r="B151" s="107" t="s">
        <v>162</v>
      </c>
      <c r="C151" s="55" t="s">
        <v>163</v>
      </c>
      <c r="D151" s="56" t="s">
        <v>167</v>
      </c>
    </row>
    <row r="152" spans="2:4" s="54" customFormat="1" x14ac:dyDescent="0.2">
      <c r="B152" s="107" t="s">
        <v>162</v>
      </c>
      <c r="C152" s="55" t="s">
        <v>163</v>
      </c>
      <c r="D152" s="56" t="s">
        <v>168</v>
      </c>
    </row>
    <row r="153" spans="2:4" s="54" customFormat="1" x14ac:dyDescent="0.2">
      <c r="B153" s="107" t="s">
        <v>162</v>
      </c>
      <c r="C153" s="55" t="s">
        <v>163</v>
      </c>
      <c r="D153" s="56" t="s">
        <v>169</v>
      </c>
    </row>
    <row r="154" spans="2:4" s="54" customFormat="1" x14ac:dyDescent="0.2">
      <c r="B154" s="107" t="s">
        <v>162</v>
      </c>
      <c r="C154" s="55" t="s">
        <v>163</v>
      </c>
      <c r="D154" s="56" t="s">
        <v>170</v>
      </c>
    </row>
    <row r="155" spans="2:4" s="54" customFormat="1" x14ac:dyDescent="0.2">
      <c r="B155" s="107" t="s">
        <v>162</v>
      </c>
      <c r="C155" s="55" t="s">
        <v>163</v>
      </c>
      <c r="D155" s="56" t="s">
        <v>171</v>
      </c>
    </row>
    <row r="156" spans="2:4" s="54" customFormat="1" x14ac:dyDescent="0.2">
      <c r="B156" s="107" t="s">
        <v>172</v>
      </c>
      <c r="C156" s="55" t="s">
        <v>173</v>
      </c>
      <c r="D156" s="56" t="s">
        <v>174</v>
      </c>
    </row>
    <row r="157" spans="2:4" s="54" customFormat="1" x14ac:dyDescent="0.2">
      <c r="B157" s="107" t="s">
        <v>172</v>
      </c>
      <c r="C157" s="55" t="s">
        <v>173</v>
      </c>
      <c r="D157" s="56" t="s">
        <v>175</v>
      </c>
    </row>
    <row r="158" spans="2:4" s="54" customFormat="1" x14ac:dyDescent="0.2">
      <c r="B158" s="107" t="s">
        <v>172</v>
      </c>
      <c r="C158" s="55" t="s">
        <v>173</v>
      </c>
      <c r="D158" s="56" t="s">
        <v>176</v>
      </c>
    </row>
    <row r="159" spans="2:4" s="54" customFormat="1" x14ac:dyDescent="0.2">
      <c r="B159" s="107" t="s">
        <v>172</v>
      </c>
      <c r="C159" s="55" t="s">
        <v>173</v>
      </c>
      <c r="D159" s="56" t="s">
        <v>177</v>
      </c>
    </row>
    <row r="160" spans="2:4" s="54" customFormat="1" x14ac:dyDescent="0.2">
      <c r="B160" s="107" t="s">
        <v>172</v>
      </c>
      <c r="C160" s="55" t="s">
        <v>173</v>
      </c>
      <c r="D160" s="56" t="s">
        <v>178</v>
      </c>
    </row>
    <row r="161" spans="2:4" s="54" customFormat="1" x14ac:dyDescent="0.2">
      <c r="B161" s="107" t="s">
        <v>172</v>
      </c>
      <c r="C161" s="55" t="s">
        <v>173</v>
      </c>
      <c r="D161" s="56" t="s">
        <v>179</v>
      </c>
    </row>
    <row r="162" spans="2:4" s="54" customFormat="1" x14ac:dyDescent="0.2">
      <c r="B162" s="107" t="s">
        <v>172</v>
      </c>
      <c r="C162" s="55" t="s">
        <v>173</v>
      </c>
      <c r="D162" s="56" t="s">
        <v>180</v>
      </c>
    </row>
    <row r="163" spans="2:4" s="54" customFormat="1" x14ac:dyDescent="0.2">
      <c r="B163" s="107" t="s">
        <v>172</v>
      </c>
      <c r="C163" s="55" t="s">
        <v>173</v>
      </c>
      <c r="D163" s="56" t="s">
        <v>181</v>
      </c>
    </row>
    <row r="164" spans="2:4" s="54" customFormat="1" x14ac:dyDescent="0.2">
      <c r="B164" s="107" t="s">
        <v>172</v>
      </c>
      <c r="C164" s="55" t="s">
        <v>173</v>
      </c>
      <c r="D164" s="56" t="s">
        <v>182</v>
      </c>
    </row>
    <row r="165" spans="2:4" s="54" customFormat="1" x14ac:dyDescent="0.2">
      <c r="B165" s="107" t="s">
        <v>172</v>
      </c>
      <c r="C165" s="55" t="s">
        <v>173</v>
      </c>
      <c r="D165" s="56" t="s">
        <v>183</v>
      </c>
    </row>
    <row r="166" spans="2:4" s="54" customFormat="1" x14ac:dyDescent="0.2">
      <c r="B166" s="107" t="s">
        <v>172</v>
      </c>
      <c r="C166" s="55" t="s">
        <v>173</v>
      </c>
      <c r="D166" s="56" t="s">
        <v>184</v>
      </c>
    </row>
    <row r="167" spans="2:4" s="54" customFormat="1" x14ac:dyDescent="0.2">
      <c r="B167" s="107" t="s">
        <v>172</v>
      </c>
      <c r="C167" s="55" t="s">
        <v>173</v>
      </c>
      <c r="D167" s="56" t="s">
        <v>185</v>
      </c>
    </row>
    <row r="168" spans="2:4" s="54" customFormat="1" x14ac:dyDescent="0.2">
      <c r="B168" s="107" t="s">
        <v>172</v>
      </c>
      <c r="C168" s="55" t="s">
        <v>173</v>
      </c>
      <c r="D168" s="56" t="s">
        <v>186</v>
      </c>
    </row>
    <row r="169" spans="2:4" s="54" customFormat="1" x14ac:dyDescent="0.2">
      <c r="B169" s="107" t="s">
        <v>172</v>
      </c>
      <c r="C169" s="55" t="s">
        <v>173</v>
      </c>
      <c r="D169" s="56" t="s">
        <v>187</v>
      </c>
    </row>
    <row r="170" spans="2:4" s="54" customFormat="1" x14ac:dyDescent="0.2">
      <c r="B170" s="107" t="s">
        <v>172</v>
      </c>
      <c r="C170" s="55" t="s">
        <v>173</v>
      </c>
      <c r="D170" s="56" t="s">
        <v>188</v>
      </c>
    </row>
    <row r="171" spans="2:4" s="54" customFormat="1" x14ac:dyDescent="0.2">
      <c r="B171" s="107" t="s">
        <v>172</v>
      </c>
      <c r="C171" s="55" t="s">
        <v>173</v>
      </c>
      <c r="D171" s="56" t="s">
        <v>189</v>
      </c>
    </row>
    <row r="172" spans="2:4" s="54" customFormat="1" x14ac:dyDescent="0.2">
      <c r="B172" s="107" t="s">
        <v>172</v>
      </c>
      <c r="C172" s="55" t="s">
        <v>173</v>
      </c>
      <c r="D172" s="56" t="s">
        <v>190</v>
      </c>
    </row>
    <row r="173" spans="2:4" s="54" customFormat="1" x14ac:dyDescent="0.2">
      <c r="B173" s="107" t="s">
        <v>172</v>
      </c>
      <c r="C173" s="55" t="s">
        <v>173</v>
      </c>
      <c r="D173" s="56" t="s">
        <v>191</v>
      </c>
    </row>
    <row r="174" spans="2:4" s="54" customFormat="1" x14ac:dyDescent="0.2">
      <c r="B174" s="107" t="s">
        <v>172</v>
      </c>
      <c r="C174" s="55" t="s">
        <v>173</v>
      </c>
      <c r="D174" s="56" t="s">
        <v>192</v>
      </c>
    </row>
    <row r="175" spans="2:4" s="54" customFormat="1" x14ac:dyDescent="0.2">
      <c r="B175" s="107" t="s">
        <v>172</v>
      </c>
      <c r="C175" s="55" t="s">
        <v>173</v>
      </c>
      <c r="D175" s="56" t="s">
        <v>193</v>
      </c>
    </row>
    <row r="176" spans="2:4" s="54" customFormat="1" x14ac:dyDescent="0.2">
      <c r="B176" s="107" t="s">
        <v>172</v>
      </c>
      <c r="C176" s="55" t="s">
        <v>173</v>
      </c>
      <c r="D176" s="56" t="s">
        <v>194</v>
      </c>
    </row>
    <row r="177" spans="2:4" s="54" customFormat="1" x14ac:dyDescent="0.2">
      <c r="B177" s="107" t="s">
        <v>172</v>
      </c>
      <c r="C177" s="55" t="s">
        <v>173</v>
      </c>
      <c r="D177" s="56" t="s">
        <v>195</v>
      </c>
    </row>
    <row r="178" spans="2:4" s="54" customFormat="1" x14ac:dyDescent="0.2">
      <c r="B178" s="107" t="s">
        <v>172</v>
      </c>
      <c r="C178" s="55" t="s">
        <v>173</v>
      </c>
      <c r="D178" s="56" t="s">
        <v>196</v>
      </c>
    </row>
    <row r="179" spans="2:4" s="54" customFormat="1" x14ac:dyDescent="0.2">
      <c r="B179" s="107" t="s">
        <v>172</v>
      </c>
      <c r="C179" s="55" t="s">
        <v>173</v>
      </c>
      <c r="D179" s="56" t="s">
        <v>197</v>
      </c>
    </row>
    <row r="180" spans="2:4" s="54" customFormat="1" x14ac:dyDescent="0.2">
      <c r="B180" s="107" t="s">
        <v>198</v>
      </c>
      <c r="C180" s="55" t="s">
        <v>199</v>
      </c>
      <c r="D180" s="56" t="s">
        <v>200</v>
      </c>
    </row>
    <row r="181" spans="2:4" s="54" customFormat="1" x14ac:dyDescent="0.2">
      <c r="B181" s="107" t="s">
        <v>198</v>
      </c>
      <c r="C181" s="55" t="s">
        <v>199</v>
      </c>
      <c r="D181" s="56" t="s">
        <v>201</v>
      </c>
    </row>
    <row r="182" spans="2:4" s="54" customFormat="1" x14ac:dyDescent="0.2">
      <c r="B182" s="107" t="s">
        <v>198</v>
      </c>
      <c r="C182" s="55" t="s">
        <v>199</v>
      </c>
      <c r="D182" s="56" t="s">
        <v>202</v>
      </c>
    </row>
    <row r="183" spans="2:4" s="54" customFormat="1" x14ac:dyDescent="0.2">
      <c r="B183" s="107" t="s">
        <v>198</v>
      </c>
      <c r="C183" s="55" t="s">
        <v>199</v>
      </c>
      <c r="D183" s="56" t="s">
        <v>203</v>
      </c>
    </row>
    <row r="184" spans="2:4" s="54" customFormat="1" x14ac:dyDescent="0.2">
      <c r="B184" s="107" t="s">
        <v>198</v>
      </c>
      <c r="C184" s="55" t="s">
        <v>199</v>
      </c>
      <c r="D184" s="56" t="s">
        <v>204</v>
      </c>
    </row>
    <row r="185" spans="2:4" s="54" customFormat="1" x14ac:dyDescent="0.2">
      <c r="B185" s="107" t="s">
        <v>198</v>
      </c>
      <c r="C185" s="55" t="s">
        <v>199</v>
      </c>
      <c r="D185" s="56" t="s">
        <v>205</v>
      </c>
    </row>
    <row r="186" spans="2:4" s="54" customFormat="1" x14ac:dyDescent="0.2">
      <c r="B186" s="107" t="s">
        <v>198</v>
      </c>
      <c r="C186" s="55" t="s">
        <v>199</v>
      </c>
      <c r="D186" s="56" t="s">
        <v>206</v>
      </c>
    </row>
    <row r="187" spans="2:4" s="54" customFormat="1" x14ac:dyDescent="0.2">
      <c r="B187" s="107" t="s">
        <v>198</v>
      </c>
      <c r="C187" s="55" t="s">
        <v>199</v>
      </c>
      <c r="D187" s="56" t="s">
        <v>207</v>
      </c>
    </row>
    <row r="188" spans="2:4" s="54" customFormat="1" x14ac:dyDescent="0.2">
      <c r="B188" s="107" t="s">
        <v>198</v>
      </c>
      <c r="C188" s="55" t="s">
        <v>199</v>
      </c>
      <c r="D188" s="56" t="s">
        <v>208</v>
      </c>
    </row>
    <row r="189" spans="2:4" s="54" customFormat="1" x14ac:dyDescent="0.2">
      <c r="B189" s="107" t="s">
        <v>198</v>
      </c>
      <c r="C189" s="55" t="s">
        <v>199</v>
      </c>
      <c r="D189" s="56" t="s">
        <v>209</v>
      </c>
    </row>
    <row r="190" spans="2:4" s="54" customFormat="1" x14ac:dyDescent="0.2">
      <c r="B190" s="107" t="s">
        <v>198</v>
      </c>
      <c r="C190" s="55" t="s">
        <v>199</v>
      </c>
      <c r="D190" s="56" t="s">
        <v>210</v>
      </c>
    </row>
    <row r="191" spans="2:4" s="54" customFormat="1" x14ac:dyDescent="0.2">
      <c r="B191" s="107" t="s">
        <v>211</v>
      </c>
      <c r="C191" s="55" t="s">
        <v>212</v>
      </c>
      <c r="D191" s="56" t="s">
        <v>213</v>
      </c>
    </row>
    <row r="192" spans="2:4" s="54" customFormat="1" x14ac:dyDescent="0.2">
      <c r="B192" s="107" t="s">
        <v>211</v>
      </c>
      <c r="C192" s="55" t="s">
        <v>212</v>
      </c>
      <c r="D192" s="56" t="s">
        <v>214</v>
      </c>
    </row>
    <row r="193" spans="2:4" s="54" customFormat="1" x14ac:dyDescent="0.2">
      <c r="B193" s="107" t="s">
        <v>211</v>
      </c>
      <c r="C193" s="55" t="s">
        <v>212</v>
      </c>
      <c r="D193" s="56" t="s">
        <v>215</v>
      </c>
    </row>
    <row r="194" spans="2:4" s="54" customFormat="1" x14ac:dyDescent="0.2">
      <c r="B194" s="107" t="s">
        <v>211</v>
      </c>
      <c r="C194" s="55" t="s">
        <v>212</v>
      </c>
      <c r="D194" s="56" t="s">
        <v>216</v>
      </c>
    </row>
    <row r="195" spans="2:4" s="54" customFormat="1" x14ac:dyDescent="0.2">
      <c r="B195" s="107" t="s">
        <v>211</v>
      </c>
      <c r="C195" s="55" t="s">
        <v>212</v>
      </c>
      <c r="D195" s="56" t="s">
        <v>217</v>
      </c>
    </row>
    <row r="196" spans="2:4" s="54" customFormat="1" x14ac:dyDescent="0.2">
      <c r="B196" s="107" t="s">
        <v>211</v>
      </c>
      <c r="C196" s="55" t="s">
        <v>212</v>
      </c>
      <c r="D196" s="56" t="s">
        <v>218</v>
      </c>
    </row>
    <row r="197" spans="2:4" s="54" customFormat="1" x14ac:dyDescent="0.2">
      <c r="B197" s="107" t="s">
        <v>211</v>
      </c>
      <c r="C197" s="55" t="s">
        <v>212</v>
      </c>
      <c r="D197" s="56" t="s">
        <v>219</v>
      </c>
    </row>
    <row r="198" spans="2:4" s="54" customFormat="1" x14ac:dyDescent="0.2">
      <c r="B198" s="107" t="s">
        <v>211</v>
      </c>
      <c r="C198" s="55" t="s">
        <v>212</v>
      </c>
      <c r="D198" s="56" t="s">
        <v>220</v>
      </c>
    </row>
    <row r="199" spans="2:4" s="54" customFormat="1" x14ac:dyDescent="0.2">
      <c r="B199" s="107" t="s">
        <v>211</v>
      </c>
      <c r="C199" s="55" t="s">
        <v>212</v>
      </c>
      <c r="D199" s="56" t="s">
        <v>221</v>
      </c>
    </row>
    <row r="200" spans="2:4" s="54" customFormat="1" x14ac:dyDescent="0.2">
      <c r="B200" s="107" t="s">
        <v>222</v>
      </c>
      <c r="C200" s="55" t="s">
        <v>223</v>
      </c>
      <c r="D200" s="56" t="s">
        <v>224</v>
      </c>
    </row>
    <row r="201" spans="2:4" s="54" customFormat="1" x14ac:dyDescent="0.2">
      <c r="B201" s="107" t="s">
        <v>222</v>
      </c>
      <c r="C201" s="55" t="s">
        <v>223</v>
      </c>
      <c r="D201" s="56" t="s">
        <v>225</v>
      </c>
    </row>
    <row r="202" spans="2:4" s="54" customFormat="1" x14ac:dyDescent="0.2">
      <c r="B202" s="107" t="s">
        <v>222</v>
      </c>
      <c r="C202" s="55" t="s">
        <v>223</v>
      </c>
      <c r="D202" s="56" t="s">
        <v>226</v>
      </c>
    </row>
    <row r="203" spans="2:4" s="54" customFormat="1" x14ac:dyDescent="0.2">
      <c r="B203" s="107" t="s">
        <v>222</v>
      </c>
      <c r="C203" s="55" t="s">
        <v>223</v>
      </c>
      <c r="D203" s="56" t="s">
        <v>227</v>
      </c>
    </row>
    <row r="204" spans="2:4" s="54" customFormat="1" x14ac:dyDescent="0.2">
      <c r="B204" s="107" t="s">
        <v>222</v>
      </c>
      <c r="C204" s="55" t="s">
        <v>223</v>
      </c>
      <c r="D204" s="56" t="s">
        <v>228</v>
      </c>
    </row>
    <row r="205" spans="2:4" s="54" customFormat="1" x14ac:dyDescent="0.2">
      <c r="B205" s="107" t="s">
        <v>222</v>
      </c>
      <c r="C205" s="55" t="s">
        <v>223</v>
      </c>
      <c r="D205" s="56" t="s">
        <v>229</v>
      </c>
    </row>
    <row r="206" spans="2:4" s="54" customFormat="1" x14ac:dyDescent="0.2">
      <c r="B206" s="107" t="s">
        <v>222</v>
      </c>
      <c r="C206" s="55" t="s">
        <v>223</v>
      </c>
      <c r="D206" s="56" t="s">
        <v>230</v>
      </c>
    </row>
    <row r="207" spans="2:4" s="54" customFormat="1" x14ac:dyDescent="0.2">
      <c r="B207" s="107" t="s">
        <v>222</v>
      </c>
      <c r="C207" s="55" t="s">
        <v>223</v>
      </c>
      <c r="D207" s="56" t="s">
        <v>231</v>
      </c>
    </row>
    <row r="208" spans="2:4" s="54" customFormat="1" x14ac:dyDescent="0.2">
      <c r="B208" s="107" t="s">
        <v>222</v>
      </c>
      <c r="C208" s="55" t="s">
        <v>223</v>
      </c>
      <c r="D208" s="56" t="s">
        <v>232</v>
      </c>
    </row>
    <row r="209" spans="2:4" s="54" customFormat="1" x14ac:dyDescent="0.2">
      <c r="B209" s="107" t="s">
        <v>233</v>
      </c>
      <c r="C209" s="55" t="s">
        <v>234</v>
      </c>
      <c r="D209" s="56" t="s">
        <v>235</v>
      </c>
    </row>
    <row r="210" spans="2:4" s="54" customFormat="1" x14ac:dyDescent="0.2">
      <c r="B210" s="107" t="s">
        <v>233</v>
      </c>
      <c r="C210" s="55" t="s">
        <v>234</v>
      </c>
      <c r="D210" s="56" t="s">
        <v>236</v>
      </c>
    </row>
    <row r="211" spans="2:4" s="54" customFormat="1" x14ac:dyDescent="0.2">
      <c r="B211" s="107" t="s">
        <v>233</v>
      </c>
      <c r="C211" s="55" t="s">
        <v>234</v>
      </c>
      <c r="D211" s="56" t="s">
        <v>237</v>
      </c>
    </row>
    <row r="212" spans="2:4" s="54" customFormat="1" x14ac:dyDescent="0.2">
      <c r="B212" s="107" t="s">
        <v>233</v>
      </c>
      <c r="C212" s="55" t="s">
        <v>234</v>
      </c>
      <c r="D212" s="56" t="s">
        <v>238</v>
      </c>
    </row>
    <row r="213" spans="2:4" s="54" customFormat="1" x14ac:dyDescent="0.2">
      <c r="B213" s="107" t="s">
        <v>233</v>
      </c>
      <c r="C213" s="55" t="s">
        <v>234</v>
      </c>
      <c r="D213" s="56" t="s">
        <v>239</v>
      </c>
    </row>
    <row r="214" spans="2:4" s="54" customFormat="1" x14ac:dyDescent="0.2">
      <c r="B214" s="107" t="s">
        <v>233</v>
      </c>
      <c r="C214" s="55" t="s">
        <v>234</v>
      </c>
      <c r="D214" s="56" t="s">
        <v>240</v>
      </c>
    </row>
    <row r="215" spans="2:4" s="54" customFormat="1" x14ac:dyDescent="0.2">
      <c r="B215" s="107" t="s">
        <v>233</v>
      </c>
      <c r="C215" s="55" t="s">
        <v>234</v>
      </c>
      <c r="D215" s="56" t="s">
        <v>241</v>
      </c>
    </row>
    <row r="216" spans="2:4" s="54" customFormat="1" x14ac:dyDescent="0.2">
      <c r="B216" s="107" t="s">
        <v>233</v>
      </c>
      <c r="C216" s="55" t="s">
        <v>234</v>
      </c>
      <c r="D216" s="56" t="s">
        <v>242</v>
      </c>
    </row>
    <row r="217" spans="2:4" s="54" customFormat="1" x14ac:dyDescent="0.2">
      <c r="B217" s="107" t="s">
        <v>233</v>
      </c>
      <c r="C217" s="55" t="s">
        <v>234</v>
      </c>
      <c r="D217" s="56" t="s">
        <v>243</v>
      </c>
    </row>
    <row r="218" spans="2:4" s="54" customFormat="1" x14ac:dyDescent="0.2">
      <c r="B218" s="107" t="s">
        <v>233</v>
      </c>
      <c r="C218" s="55" t="s">
        <v>234</v>
      </c>
      <c r="D218" s="56" t="s">
        <v>244</v>
      </c>
    </row>
    <row r="219" spans="2:4" s="54" customFormat="1" x14ac:dyDescent="0.2">
      <c r="B219" s="107" t="s">
        <v>245</v>
      </c>
      <c r="C219" s="55" t="s">
        <v>246</v>
      </c>
      <c r="D219" s="56" t="s">
        <v>247</v>
      </c>
    </row>
    <row r="220" spans="2:4" s="54" customFormat="1" x14ac:dyDescent="0.2">
      <c r="B220" s="107" t="s">
        <v>245</v>
      </c>
      <c r="C220" s="55" t="s">
        <v>246</v>
      </c>
      <c r="D220" s="56" t="s">
        <v>248</v>
      </c>
    </row>
    <row r="221" spans="2:4" s="54" customFormat="1" x14ac:dyDescent="0.2">
      <c r="B221" s="107" t="s">
        <v>245</v>
      </c>
      <c r="C221" s="55" t="s">
        <v>246</v>
      </c>
      <c r="D221" s="56" t="s">
        <v>249</v>
      </c>
    </row>
    <row r="222" spans="2:4" s="54" customFormat="1" x14ac:dyDescent="0.2">
      <c r="B222" s="107" t="s">
        <v>245</v>
      </c>
      <c r="C222" s="55" t="s">
        <v>246</v>
      </c>
      <c r="D222" s="56" t="s">
        <v>250</v>
      </c>
    </row>
    <row r="223" spans="2:4" s="54" customFormat="1" x14ac:dyDescent="0.2">
      <c r="B223" s="107" t="s">
        <v>245</v>
      </c>
      <c r="C223" s="55" t="s">
        <v>246</v>
      </c>
      <c r="D223" s="56" t="s">
        <v>251</v>
      </c>
    </row>
    <row r="224" spans="2:4" s="54" customFormat="1" x14ac:dyDescent="0.2">
      <c r="B224" s="107" t="s">
        <v>245</v>
      </c>
      <c r="C224" s="55" t="s">
        <v>246</v>
      </c>
      <c r="D224" s="56" t="s">
        <v>252</v>
      </c>
    </row>
    <row r="225" spans="2:4" s="54" customFormat="1" x14ac:dyDescent="0.2">
      <c r="B225" s="107" t="s">
        <v>245</v>
      </c>
      <c r="C225" s="55" t="s">
        <v>246</v>
      </c>
      <c r="D225" s="56" t="s">
        <v>253</v>
      </c>
    </row>
    <row r="226" spans="2:4" s="54" customFormat="1" x14ac:dyDescent="0.2">
      <c r="B226" s="107" t="s">
        <v>245</v>
      </c>
      <c r="C226" s="55" t="s">
        <v>246</v>
      </c>
      <c r="D226" s="56" t="s">
        <v>254</v>
      </c>
    </row>
    <row r="227" spans="2:4" s="54" customFormat="1" x14ac:dyDescent="0.2">
      <c r="B227" s="107" t="s">
        <v>245</v>
      </c>
      <c r="C227" s="55" t="s">
        <v>246</v>
      </c>
      <c r="D227" s="56" t="s">
        <v>255</v>
      </c>
    </row>
    <row r="228" spans="2:4" s="54" customFormat="1" x14ac:dyDescent="0.2">
      <c r="B228" s="107" t="s">
        <v>245</v>
      </c>
      <c r="C228" s="55" t="s">
        <v>246</v>
      </c>
      <c r="D228" s="56" t="s">
        <v>256</v>
      </c>
    </row>
    <row r="229" spans="2:4" s="54" customFormat="1" x14ac:dyDescent="0.2">
      <c r="B229" s="107" t="s">
        <v>245</v>
      </c>
      <c r="C229" s="55" t="s">
        <v>246</v>
      </c>
      <c r="D229" s="56" t="s">
        <v>257</v>
      </c>
    </row>
    <row r="230" spans="2:4" s="54" customFormat="1" x14ac:dyDescent="0.2">
      <c r="B230" s="107" t="s">
        <v>245</v>
      </c>
      <c r="C230" s="55" t="s">
        <v>246</v>
      </c>
      <c r="D230" s="56" t="s">
        <v>258</v>
      </c>
    </row>
    <row r="231" spans="2:4" s="54" customFormat="1" x14ac:dyDescent="0.2">
      <c r="B231" s="107" t="s">
        <v>245</v>
      </c>
      <c r="C231" s="55" t="s">
        <v>246</v>
      </c>
      <c r="D231" s="56" t="s">
        <v>259</v>
      </c>
    </row>
    <row r="232" spans="2:4" s="54" customFormat="1" x14ac:dyDescent="0.2">
      <c r="B232" s="107" t="s">
        <v>245</v>
      </c>
      <c r="C232" s="55" t="s">
        <v>246</v>
      </c>
      <c r="D232" s="56" t="s">
        <v>260</v>
      </c>
    </row>
    <row r="233" spans="2:4" s="54" customFormat="1" x14ac:dyDescent="0.2">
      <c r="B233" s="107" t="s">
        <v>245</v>
      </c>
      <c r="C233" s="55" t="s">
        <v>246</v>
      </c>
      <c r="D233" s="56" t="s">
        <v>261</v>
      </c>
    </row>
    <row r="234" spans="2:4" s="54" customFormat="1" x14ac:dyDescent="0.2">
      <c r="B234" s="107" t="s">
        <v>245</v>
      </c>
      <c r="C234" s="55" t="s">
        <v>246</v>
      </c>
      <c r="D234" s="56" t="s">
        <v>262</v>
      </c>
    </row>
    <row r="235" spans="2:4" s="54" customFormat="1" x14ac:dyDescent="0.2">
      <c r="B235" s="107" t="s">
        <v>245</v>
      </c>
      <c r="C235" s="55" t="s">
        <v>246</v>
      </c>
      <c r="D235" s="56" t="s">
        <v>263</v>
      </c>
    </row>
    <row r="236" spans="2:4" s="54" customFormat="1" x14ac:dyDescent="0.2">
      <c r="B236" s="107" t="s">
        <v>245</v>
      </c>
      <c r="C236" s="55" t="s">
        <v>246</v>
      </c>
      <c r="D236" s="56" t="s">
        <v>264</v>
      </c>
    </row>
    <row r="237" spans="2:4" s="54" customFormat="1" x14ac:dyDescent="0.2">
      <c r="B237" s="107" t="s">
        <v>245</v>
      </c>
      <c r="C237" s="55" t="s">
        <v>246</v>
      </c>
      <c r="D237" s="56" t="s">
        <v>265</v>
      </c>
    </row>
    <row r="238" spans="2:4" s="54" customFormat="1" x14ac:dyDescent="0.2">
      <c r="B238" s="107" t="s">
        <v>245</v>
      </c>
      <c r="C238" s="55" t="s">
        <v>246</v>
      </c>
      <c r="D238" s="56" t="s">
        <v>266</v>
      </c>
    </row>
    <row r="239" spans="2:4" s="54" customFormat="1" x14ac:dyDescent="0.2">
      <c r="B239" s="107" t="s">
        <v>245</v>
      </c>
      <c r="C239" s="55" t="s">
        <v>246</v>
      </c>
      <c r="D239" s="56" t="s">
        <v>267</v>
      </c>
    </row>
    <row r="240" spans="2:4" s="54" customFormat="1" x14ac:dyDescent="0.2">
      <c r="B240" s="107" t="s">
        <v>245</v>
      </c>
      <c r="C240" s="55" t="s">
        <v>246</v>
      </c>
      <c r="D240" s="56" t="s">
        <v>268</v>
      </c>
    </row>
    <row r="241" spans="2:4" s="54" customFormat="1" x14ac:dyDescent="0.2">
      <c r="B241" s="107" t="s">
        <v>269</v>
      </c>
      <c r="C241" s="55" t="s">
        <v>270</v>
      </c>
      <c r="D241" s="56" t="s">
        <v>271</v>
      </c>
    </row>
    <row r="242" spans="2:4" s="54" customFormat="1" x14ac:dyDescent="0.2">
      <c r="B242" s="107" t="s">
        <v>269</v>
      </c>
      <c r="C242" s="55" t="s">
        <v>270</v>
      </c>
      <c r="D242" s="56" t="s">
        <v>272</v>
      </c>
    </row>
    <row r="243" spans="2:4" s="54" customFormat="1" x14ac:dyDescent="0.2">
      <c r="B243" s="107" t="s">
        <v>269</v>
      </c>
      <c r="C243" s="55" t="s">
        <v>270</v>
      </c>
      <c r="D243" s="56" t="s">
        <v>273</v>
      </c>
    </row>
    <row r="244" spans="2:4" s="54" customFormat="1" x14ac:dyDescent="0.2">
      <c r="B244" s="107" t="s">
        <v>269</v>
      </c>
      <c r="C244" s="55" t="s">
        <v>270</v>
      </c>
      <c r="D244" s="56" t="s">
        <v>274</v>
      </c>
    </row>
    <row r="245" spans="2:4" s="54" customFormat="1" x14ac:dyDescent="0.2">
      <c r="B245" s="107" t="s">
        <v>275</v>
      </c>
      <c r="C245" s="55" t="s">
        <v>276</v>
      </c>
      <c r="D245" s="56" t="s">
        <v>277</v>
      </c>
    </row>
    <row r="246" spans="2:4" s="54" customFormat="1" x14ac:dyDescent="0.2">
      <c r="B246" s="107" t="s">
        <v>275</v>
      </c>
      <c r="C246" s="55" t="s">
        <v>276</v>
      </c>
      <c r="D246" s="56" t="s">
        <v>278</v>
      </c>
    </row>
    <row r="247" spans="2:4" s="54" customFormat="1" x14ac:dyDescent="0.2">
      <c r="B247" s="107" t="s">
        <v>275</v>
      </c>
      <c r="C247" s="55" t="s">
        <v>276</v>
      </c>
      <c r="D247" s="56" t="s">
        <v>279</v>
      </c>
    </row>
    <row r="248" spans="2:4" s="54" customFormat="1" x14ac:dyDescent="0.2">
      <c r="B248" s="107" t="s">
        <v>275</v>
      </c>
      <c r="C248" s="55" t="s">
        <v>276</v>
      </c>
      <c r="D248" s="56" t="s">
        <v>280</v>
      </c>
    </row>
    <row r="249" spans="2:4" s="54" customFormat="1" x14ac:dyDescent="0.2">
      <c r="B249" s="107" t="s">
        <v>275</v>
      </c>
      <c r="C249" s="55" t="s">
        <v>276</v>
      </c>
      <c r="D249" s="56" t="s">
        <v>281</v>
      </c>
    </row>
    <row r="250" spans="2:4" s="54" customFormat="1" x14ac:dyDescent="0.2">
      <c r="B250" s="107" t="s">
        <v>275</v>
      </c>
      <c r="C250" s="55" t="s">
        <v>276</v>
      </c>
      <c r="D250" s="56" t="s">
        <v>282</v>
      </c>
    </row>
    <row r="251" spans="2:4" s="54" customFormat="1" x14ac:dyDescent="0.2">
      <c r="B251" s="107" t="s">
        <v>275</v>
      </c>
      <c r="C251" s="55" t="s">
        <v>276</v>
      </c>
      <c r="D251" s="56" t="s">
        <v>283</v>
      </c>
    </row>
    <row r="252" spans="2:4" s="54" customFormat="1" x14ac:dyDescent="0.2">
      <c r="B252" s="107" t="s">
        <v>275</v>
      </c>
      <c r="C252" s="55" t="s">
        <v>276</v>
      </c>
      <c r="D252" s="56" t="s">
        <v>284</v>
      </c>
    </row>
    <row r="253" spans="2:4" s="54" customFormat="1" x14ac:dyDescent="0.2">
      <c r="B253" s="107" t="s">
        <v>285</v>
      </c>
      <c r="C253" s="55" t="s">
        <v>286</v>
      </c>
      <c r="D253" s="56" t="s">
        <v>287</v>
      </c>
    </row>
    <row r="254" spans="2:4" s="54" customFormat="1" x14ac:dyDescent="0.2">
      <c r="B254" s="107" t="s">
        <v>285</v>
      </c>
      <c r="C254" s="55" t="s">
        <v>286</v>
      </c>
      <c r="D254" s="56" t="s">
        <v>288</v>
      </c>
    </row>
    <row r="255" spans="2:4" s="54" customFormat="1" x14ac:dyDescent="0.2">
      <c r="B255" s="107" t="s">
        <v>285</v>
      </c>
      <c r="C255" s="55" t="s">
        <v>286</v>
      </c>
      <c r="D255" s="56" t="s">
        <v>289</v>
      </c>
    </row>
    <row r="256" spans="2:4" s="54" customFormat="1" x14ac:dyDescent="0.2">
      <c r="B256" s="107" t="s">
        <v>285</v>
      </c>
      <c r="C256" s="55" t="s">
        <v>286</v>
      </c>
      <c r="D256" s="56" t="s">
        <v>290</v>
      </c>
    </row>
    <row r="257" spans="2:4" s="54" customFormat="1" x14ac:dyDescent="0.2">
      <c r="B257" s="107" t="s">
        <v>285</v>
      </c>
      <c r="C257" s="55" t="s">
        <v>286</v>
      </c>
      <c r="D257" s="56" t="s">
        <v>291</v>
      </c>
    </row>
    <row r="258" spans="2:4" s="54" customFormat="1" x14ac:dyDescent="0.2">
      <c r="B258" s="107" t="s">
        <v>285</v>
      </c>
      <c r="C258" s="55" t="s">
        <v>286</v>
      </c>
      <c r="D258" s="56" t="s">
        <v>292</v>
      </c>
    </row>
    <row r="259" spans="2:4" s="54" customFormat="1" x14ac:dyDescent="0.2">
      <c r="B259" s="107" t="s">
        <v>285</v>
      </c>
      <c r="C259" s="55" t="s">
        <v>286</v>
      </c>
      <c r="D259" s="56" t="s">
        <v>293</v>
      </c>
    </row>
    <row r="260" spans="2:4" s="54" customFormat="1" x14ac:dyDescent="0.2">
      <c r="B260" s="107" t="s">
        <v>285</v>
      </c>
      <c r="C260" s="55" t="s">
        <v>286</v>
      </c>
      <c r="D260" s="56" t="s">
        <v>294</v>
      </c>
    </row>
    <row r="261" spans="2:4" s="54" customFormat="1" x14ac:dyDescent="0.2">
      <c r="B261" s="107" t="s">
        <v>285</v>
      </c>
      <c r="C261" s="55" t="s">
        <v>286</v>
      </c>
      <c r="D261" s="56" t="s">
        <v>295</v>
      </c>
    </row>
    <row r="262" spans="2:4" s="54" customFormat="1" x14ac:dyDescent="0.2">
      <c r="B262" s="107" t="s">
        <v>285</v>
      </c>
      <c r="C262" s="55" t="s">
        <v>286</v>
      </c>
      <c r="D262" s="56" t="s">
        <v>296</v>
      </c>
    </row>
    <row r="263" spans="2:4" s="54" customFormat="1" x14ac:dyDescent="0.2">
      <c r="B263" s="107" t="s">
        <v>285</v>
      </c>
      <c r="C263" s="55" t="s">
        <v>286</v>
      </c>
      <c r="D263" s="56" t="s">
        <v>297</v>
      </c>
    </row>
    <row r="264" spans="2:4" s="54" customFormat="1" x14ac:dyDescent="0.2">
      <c r="B264" s="107" t="s">
        <v>298</v>
      </c>
      <c r="C264" s="55" t="s">
        <v>299</v>
      </c>
      <c r="D264" s="56" t="s">
        <v>300</v>
      </c>
    </row>
    <row r="265" spans="2:4" s="54" customFormat="1" x14ac:dyDescent="0.2">
      <c r="B265" s="107" t="s">
        <v>298</v>
      </c>
      <c r="C265" s="55" t="s">
        <v>299</v>
      </c>
      <c r="D265" s="56" t="s">
        <v>301</v>
      </c>
    </row>
    <row r="266" spans="2:4" s="54" customFormat="1" x14ac:dyDescent="0.2">
      <c r="B266" s="107" t="s">
        <v>298</v>
      </c>
      <c r="C266" s="55" t="s">
        <v>299</v>
      </c>
      <c r="D266" s="56" t="s">
        <v>302</v>
      </c>
    </row>
    <row r="267" spans="2:4" s="54" customFormat="1" x14ac:dyDescent="0.2">
      <c r="B267" s="107" t="s">
        <v>298</v>
      </c>
      <c r="C267" s="55" t="s">
        <v>299</v>
      </c>
      <c r="D267" s="56" t="s">
        <v>303</v>
      </c>
    </row>
    <row r="268" spans="2:4" s="54" customFormat="1" x14ac:dyDescent="0.2">
      <c r="B268" s="107" t="s">
        <v>298</v>
      </c>
      <c r="C268" s="55" t="s">
        <v>299</v>
      </c>
      <c r="D268" s="56" t="s">
        <v>304</v>
      </c>
    </row>
    <row r="269" spans="2:4" s="54" customFormat="1" x14ac:dyDescent="0.2">
      <c r="B269" s="107" t="s">
        <v>298</v>
      </c>
      <c r="C269" s="55" t="s">
        <v>299</v>
      </c>
      <c r="D269" s="56" t="s">
        <v>305</v>
      </c>
    </row>
    <row r="270" spans="2:4" s="54" customFormat="1" x14ac:dyDescent="0.2">
      <c r="B270" s="107" t="s">
        <v>298</v>
      </c>
      <c r="C270" s="55" t="s">
        <v>299</v>
      </c>
      <c r="D270" s="56" t="s">
        <v>306</v>
      </c>
    </row>
    <row r="271" spans="2:4" s="54" customFormat="1" x14ac:dyDescent="0.2">
      <c r="B271" s="107" t="s">
        <v>307</v>
      </c>
      <c r="C271" s="55" t="s">
        <v>308</v>
      </c>
      <c r="D271" s="56" t="s">
        <v>309</v>
      </c>
    </row>
    <row r="272" spans="2:4" s="54" customFormat="1" x14ac:dyDescent="0.2">
      <c r="B272" s="107" t="s">
        <v>307</v>
      </c>
      <c r="C272" s="55" t="s">
        <v>308</v>
      </c>
      <c r="D272" s="56" t="s">
        <v>310</v>
      </c>
    </row>
    <row r="273" spans="2:4" s="54" customFormat="1" x14ac:dyDescent="0.2">
      <c r="B273" s="107" t="s">
        <v>307</v>
      </c>
      <c r="C273" s="55" t="s">
        <v>308</v>
      </c>
      <c r="D273" s="56" t="s">
        <v>311</v>
      </c>
    </row>
    <row r="274" spans="2:4" s="54" customFormat="1" x14ac:dyDescent="0.2">
      <c r="B274" s="107" t="s">
        <v>312</v>
      </c>
      <c r="C274" s="55" t="s">
        <v>313</v>
      </c>
      <c r="D274" s="56" t="s">
        <v>313</v>
      </c>
    </row>
    <row r="275" spans="2:4" s="54" customFormat="1" x14ac:dyDescent="0.2">
      <c r="B275" s="107" t="s">
        <v>312</v>
      </c>
      <c r="C275" s="55" t="s">
        <v>313</v>
      </c>
      <c r="D275" s="56" t="s">
        <v>314</v>
      </c>
    </row>
    <row r="276" spans="2:4" s="54" customFormat="1" x14ac:dyDescent="0.2">
      <c r="B276" s="107" t="s">
        <v>312</v>
      </c>
      <c r="C276" s="55" t="s">
        <v>313</v>
      </c>
      <c r="D276" s="56" t="s">
        <v>315</v>
      </c>
    </row>
    <row r="277" spans="2:4" s="54" customFormat="1" x14ac:dyDescent="0.2">
      <c r="B277" s="107" t="s">
        <v>312</v>
      </c>
      <c r="C277" s="55" t="s">
        <v>313</v>
      </c>
      <c r="D277" s="56" t="s">
        <v>316</v>
      </c>
    </row>
    <row r="278" spans="2:4" s="54" customFormat="1" x14ac:dyDescent="0.2">
      <c r="B278" s="107" t="s">
        <v>312</v>
      </c>
      <c r="C278" s="55" t="s">
        <v>313</v>
      </c>
      <c r="D278" s="56" t="s">
        <v>317</v>
      </c>
    </row>
    <row r="279" spans="2:4" s="54" customFormat="1" x14ac:dyDescent="0.2">
      <c r="B279" s="107" t="s">
        <v>312</v>
      </c>
      <c r="C279" s="55" t="s">
        <v>313</v>
      </c>
      <c r="D279" s="56" t="s">
        <v>318</v>
      </c>
    </row>
    <row r="280" spans="2:4" s="54" customFormat="1" x14ac:dyDescent="0.2">
      <c r="B280" s="107" t="s">
        <v>319</v>
      </c>
      <c r="C280" s="55" t="s">
        <v>320</v>
      </c>
      <c r="D280" s="56" t="s">
        <v>321</v>
      </c>
    </row>
    <row r="281" spans="2:4" s="54" customFormat="1" x14ac:dyDescent="0.2">
      <c r="B281" s="107" t="s">
        <v>319</v>
      </c>
      <c r="C281" s="55" t="s">
        <v>320</v>
      </c>
      <c r="D281" s="56" t="s">
        <v>322</v>
      </c>
    </row>
    <row r="282" spans="2:4" s="54" customFormat="1" x14ac:dyDescent="0.2">
      <c r="B282" s="107" t="s">
        <v>319</v>
      </c>
      <c r="C282" s="55" t="s">
        <v>320</v>
      </c>
      <c r="D282" s="56" t="s">
        <v>323</v>
      </c>
    </row>
    <row r="283" spans="2:4" s="54" customFormat="1" x14ac:dyDescent="0.2">
      <c r="B283" s="107" t="s">
        <v>319</v>
      </c>
      <c r="C283" s="55" t="s">
        <v>320</v>
      </c>
      <c r="D283" s="56" t="s">
        <v>324</v>
      </c>
    </row>
    <row r="284" spans="2:4" s="54" customFormat="1" x14ac:dyDescent="0.2">
      <c r="B284" s="107" t="s">
        <v>319</v>
      </c>
      <c r="C284" s="55" t="s">
        <v>320</v>
      </c>
      <c r="D284" s="56" t="s">
        <v>325</v>
      </c>
    </row>
    <row r="285" spans="2:4" s="54" customFormat="1" x14ac:dyDescent="0.2">
      <c r="B285" s="107" t="s">
        <v>319</v>
      </c>
      <c r="C285" s="55" t="s">
        <v>320</v>
      </c>
      <c r="D285" s="56" t="s">
        <v>326</v>
      </c>
    </row>
    <row r="286" spans="2:4" s="54" customFormat="1" x14ac:dyDescent="0.2">
      <c r="B286" s="107" t="s">
        <v>319</v>
      </c>
      <c r="C286" s="55" t="s">
        <v>320</v>
      </c>
      <c r="D286" s="56" t="s">
        <v>327</v>
      </c>
    </row>
    <row r="287" spans="2:4" s="54" customFormat="1" x14ac:dyDescent="0.2">
      <c r="B287" s="107" t="s">
        <v>319</v>
      </c>
      <c r="C287" s="55" t="s">
        <v>320</v>
      </c>
      <c r="D287" s="56" t="s">
        <v>328</v>
      </c>
    </row>
    <row r="288" spans="2:4" s="54" customFormat="1" x14ac:dyDescent="0.2">
      <c r="B288" s="107" t="s">
        <v>319</v>
      </c>
      <c r="C288" s="55" t="s">
        <v>320</v>
      </c>
      <c r="D288" s="56" t="s">
        <v>329</v>
      </c>
    </row>
    <row r="289" spans="2:4" s="54" customFormat="1" x14ac:dyDescent="0.2">
      <c r="B289" s="107" t="s">
        <v>319</v>
      </c>
      <c r="C289" s="55" t="s">
        <v>320</v>
      </c>
      <c r="D289" s="56" t="s">
        <v>330</v>
      </c>
    </row>
    <row r="290" spans="2:4" s="54" customFormat="1" x14ac:dyDescent="0.2">
      <c r="B290" s="107" t="s">
        <v>319</v>
      </c>
      <c r="C290" s="55" t="s">
        <v>320</v>
      </c>
      <c r="D290" s="56" t="s">
        <v>331</v>
      </c>
    </row>
    <row r="291" spans="2:4" s="54" customFormat="1" x14ac:dyDescent="0.2">
      <c r="B291" s="107" t="s">
        <v>319</v>
      </c>
      <c r="C291" s="55" t="s">
        <v>320</v>
      </c>
      <c r="D291" s="56" t="s">
        <v>332</v>
      </c>
    </row>
    <row r="292" spans="2:4" s="54" customFormat="1" x14ac:dyDescent="0.2">
      <c r="B292" s="107" t="s">
        <v>333</v>
      </c>
      <c r="C292" s="55" t="s">
        <v>334</v>
      </c>
      <c r="D292" s="56" t="s">
        <v>335</v>
      </c>
    </row>
    <row r="293" spans="2:4" s="54" customFormat="1" x14ac:dyDescent="0.2">
      <c r="B293" s="107" t="s">
        <v>333</v>
      </c>
      <c r="C293" s="55" t="s">
        <v>334</v>
      </c>
      <c r="D293" s="56" t="s">
        <v>336</v>
      </c>
    </row>
    <row r="294" spans="2:4" s="54" customFormat="1" x14ac:dyDescent="0.2">
      <c r="B294" s="107" t="s">
        <v>333</v>
      </c>
      <c r="C294" s="55" t="s">
        <v>334</v>
      </c>
      <c r="D294" s="56" t="s">
        <v>337</v>
      </c>
    </row>
    <row r="295" spans="2:4" s="54" customFormat="1" x14ac:dyDescent="0.2">
      <c r="B295" s="107" t="s">
        <v>333</v>
      </c>
      <c r="C295" s="55" t="s">
        <v>334</v>
      </c>
      <c r="D295" s="56" t="s">
        <v>338</v>
      </c>
    </row>
    <row r="296" spans="2:4" s="54" customFormat="1" x14ac:dyDescent="0.2">
      <c r="B296" s="107" t="s">
        <v>333</v>
      </c>
      <c r="C296" s="55" t="s">
        <v>334</v>
      </c>
      <c r="D296" s="56" t="s">
        <v>339</v>
      </c>
    </row>
    <row r="297" spans="2:4" s="54" customFormat="1" x14ac:dyDescent="0.2">
      <c r="B297" s="107" t="s">
        <v>333</v>
      </c>
      <c r="C297" s="55" t="s">
        <v>334</v>
      </c>
      <c r="D297" s="56" t="s">
        <v>340</v>
      </c>
    </row>
    <row r="298" spans="2:4" s="54" customFormat="1" x14ac:dyDescent="0.2">
      <c r="B298" s="107" t="s">
        <v>333</v>
      </c>
      <c r="C298" s="55" t="s">
        <v>334</v>
      </c>
      <c r="D298" s="56" t="s">
        <v>341</v>
      </c>
    </row>
    <row r="299" spans="2:4" s="54" customFormat="1" x14ac:dyDescent="0.2">
      <c r="B299" s="107" t="s">
        <v>333</v>
      </c>
      <c r="C299" s="55" t="s">
        <v>334</v>
      </c>
      <c r="D299" s="56" t="s">
        <v>342</v>
      </c>
    </row>
    <row r="300" spans="2:4" s="54" customFormat="1" x14ac:dyDescent="0.2">
      <c r="B300" s="107" t="s">
        <v>333</v>
      </c>
      <c r="C300" s="55" t="s">
        <v>334</v>
      </c>
      <c r="D300" s="56" t="s">
        <v>343</v>
      </c>
    </row>
    <row r="301" spans="2:4" s="54" customFormat="1" x14ac:dyDescent="0.2">
      <c r="B301" s="107" t="s">
        <v>333</v>
      </c>
      <c r="C301" s="55" t="s">
        <v>334</v>
      </c>
      <c r="D301" s="56" t="s">
        <v>344</v>
      </c>
    </row>
    <row r="302" spans="2:4" s="54" customFormat="1" x14ac:dyDescent="0.2">
      <c r="B302" s="107" t="s">
        <v>333</v>
      </c>
      <c r="C302" s="55" t="s">
        <v>334</v>
      </c>
      <c r="D302" s="56" t="s">
        <v>345</v>
      </c>
    </row>
    <row r="303" spans="2:4" s="54" customFormat="1" x14ac:dyDescent="0.2">
      <c r="B303" s="107" t="s">
        <v>333</v>
      </c>
      <c r="C303" s="55" t="s">
        <v>334</v>
      </c>
      <c r="D303" s="56" t="s">
        <v>346</v>
      </c>
    </row>
    <row r="304" spans="2:4" s="54" customFormat="1" x14ac:dyDescent="0.2">
      <c r="B304" s="107" t="s">
        <v>333</v>
      </c>
      <c r="C304" s="55" t="s">
        <v>334</v>
      </c>
      <c r="D304" s="56" t="s">
        <v>347</v>
      </c>
    </row>
    <row r="305" spans="2:4" s="54" customFormat="1" x14ac:dyDescent="0.2">
      <c r="B305" s="107" t="s">
        <v>333</v>
      </c>
      <c r="C305" s="55" t="s">
        <v>334</v>
      </c>
      <c r="D305" s="56" t="s">
        <v>348</v>
      </c>
    </row>
    <row r="306" spans="2:4" s="54" customFormat="1" x14ac:dyDescent="0.2">
      <c r="B306" s="107" t="s">
        <v>333</v>
      </c>
      <c r="C306" s="55" t="s">
        <v>334</v>
      </c>
      <c r="D306" s="56" t="s">
        <v>349</v>
      </c>
    </row>
    <row r="307" spans="2:4" s="54" customFormat="1" x14ac:dyDescent="0.2">
      <c r="B307" s="107" t="s">
        <v>333</v>
      </c>
      <c r="C307" s="55" t="s">
        <v>334</v>
      </c>
      <c r="D307" s="56" t="s">
        <v>350</v>
      </c>
    </row>
    <row r="308" spans="2:4" s="54" customFormat="1" x14ac:dyDescent="0.2">
      <c r="B308" s="107" t="s">
        <v>333</v>
      </c>
      <c r="C308" s="55" t="s">
        <v>334</v>
      </c>
      <c r="D308" s="56" t="s">
        <v>351</v>
      </c>
    </row>
    <row r="309" spans="2:4" s="54" customFormat="1" x14ac:dyDescent="0.2">
      <c r="B309" s="107" t="s">
        <v>333</v>
      </c>
      <c r="C309" s="55" t="s">
        <v>334</v>
      </c>
      <c r="D309" s="56" t="s">
        <v>352</v>
      </c>
    </row>
    <row r="310" spans="2:4" s="54" customFormat="1" x14ac:dyDescent="0.2">
      <c r="B310" s="107" t="s">
        <v>333</v>
      </c>
      <c r="C310" s="55" t="s">
        <v>334</v>
      </c>
      <c r="D310" s="56" t="s">
        <v>353</v>
      </c>
    </row>
    <row r="311" spans="2:4" s="54" customFormat="1" x14ac:dyDescent="0.2">
      <c r="B311" s="107" t="s">
        <v>333</v>
      </c>
      <c r="C311" s="55" t="s">
        <v>334</v>
      </c>
      <c r="D311" s="56" t="s">
        <v>354</v>
      </c>
    </row>
    <row r="312" spans="2:4" s="54" customFormat="1" x14ac:dyDescent="0.2">
      <c r="B312" s="107" t="s">
        <v>355</v>
      </c>
      <c r="C312" s="55" t="s">
        <v>356</v>
      </c>
      <c r="D312" s="56" t="s">
        <v>357</v>
      </c>
    </row>
    <row r="313" spans="2:4" s="54" customFormat="1" x14ac:dyDescent="0.2">
      <c r="B313" s="107" t="s">
        <v>355</v>
      </c>
      <c r="C313" s="55" t="s">
        <v>356</v>
      </c>
      <c r="D313" s="56" t="s">
        <v>358</v>
      </c>
    </row>
    <row r="314" spans="2:4" s="54" customFormat="1" x14ac:dyDescent="0.2">
      <c r="B314" s="107" t="s">
        <v>355</v>
      </c>
      <c r="C314" s="55" t="s">
        <v>356</v>
      </c>
      <c r="D314" s="56" t="s">
        <v>359</v>
      </c>
    </row>
    <row r="315" spans="2:4" s="54" customFormat="1" x14ac:dyDescent="0.2">
      <c r="B315" s="107" t="s">
        <v>355</v>
      </c>
      <c r="C315" s="55" t="s">
        <v>356</v>
      </c>
      <c r="D315" s="56" t="s">
        <v>360</v>
      </c>
    </row>
    <row r="316" spans="2:4" s="54" customFormat="1" x14ac:dyDescent="0.2">
      <c r="B316" s="107" t="s">
        <v>355</v>
      </c>
      <c r="C316" s="55" t="s">
        <v>356</v>
      </c>
      <c r="D316" s="56" t="s">
        <v>361</v>
      </c>
    </row>
    <row r="317" spans="2:4" s="54" customFormat="1" x14ac:dyDescent="0.2">
      <c r="B317" s="107" t="s">
        <v>355</v>
      </c>
      <c r="C317" s="55" t="s">
        <v>356</v>
      </c>
      <c r="D317" s="56" t="s">
        <v>362</v>
      </c>
    </row>
    <row r="318" spans="2:4" s="54" customFormat="1" x14ac:dyDescent="0.2">
      <c r="B318" s="107" t="s">
        <v>355</v>
      </c>
      <c r="C318" s="55" t="s">
        <v>356</v>
      </c>
      <c r="D318" s="56" t="s">
        <v>363</v>
      </c>
    </row>
    <row r="319" spans="2:4" s="54" customFormat="1" x14ac:dyDescent="0.2">
      <c r="B319" s="107" t="s">
        <v>355</v>
      </c>
      <c r="C319" s="55" t="s">
        <v>356</v>
      </c>
      <c r="D319" s="56" t="s">
        <v>193</v>
      </c>
    </row>
    <row r="320" spans="2:4" s="54" customFormat="1" x14ac:dyDescent="0.2">
      <c r="B320" s="107" t="s">
        <v>355</v>
      </c>
      <c r="C320" s="55" t="s">
        <v>356</v>
      </c>
      <c r="D320" s="56" t="s">
        <v>364</v>
      </c>
    </row>
    <row r="321" spans="2:4" s="54" customFormat="1" x14ac:dyDescent="0.2">
      <c r="B321" s="107" t="s">
        <v>365</v>
      </c>
      <c r="C321" s="55" t="s">
        <v>366</v>
      </c>
      <c r="D321" s="56" t="s">
        <v>367</v>
      </c>
    </row>
    <row r="322" spans="2:4" s="54" customFormat="1" x14ac:dyDescent="0.2">
      <c r="B322" s="107" t="s">
        <v>365</v>
      </c>
      <c r="C322" s="55" t="s">
        <v>366</v>
      </c>
      <c r="D322" s="56" t="s">
        <v>368</v>
      </c>
    </row>
    <row r="323" spans="2:4" s="54" customFormat="1" x14ac:dyDescent="0.2">
      <c r="B323" s="107" t="s">
        <v>365</v>
      </c>
      <c r="C323" s="55" t="s">
        <v>366</v>
      </c>
      <c r="D323" s="56" t="s">
        <v>369</v>
      </c>
    </row>
    <row r="324" spans="2:4" s="54" customFormat="1" x14ac:dyDescent="0.2">
      <c r="B324" s="107" t="s">
        <v>370</v>
      </c>
      <c r="C324" s="55" t="s">
        <v>371</v>
      </c>
      <c r="D324" s="56" t="s">
        <v>372</v>
      </c>
    </row>
    <row r="325" spans="2:4" s="54" customFormat="1" x14ac:dyDescent="0.2">
      <c r="B325" s="107" t="s">
        <v>370</v>
      </c>
      <c r="C325" s="55" t="s">
        <v>371</v>
      </c>
      <c r="D325" s="56" t="s">
        <v>373</v>
      </c>
    </row>
    <row r="326" spans="2:4" s="54" customFormat="1" x14ac:dyDescent="0.2">
      <c r="B326" s="107" t="s">
        <v>370</v>
      </c>
      <c r="C326" s="55" t="s">
        <v>371</v>
      </c>
      <c r="D326" s="56" t="s">
        <v>374</v>
      </c>
    </row>
    <row r="327" spans="2:4" s="54" customFormat="1" x14ac:dyDescent="0.2">
      <c r="B327" s="107" t="s">
        <v>370</v>
      </c>
      <c r="C327" s="55" t="s">
        <v>371</v>
      </c>
      <c r="D327" s="56" t="s">
        <v>375</v>
      </c>
    </row>
    <row r="328" spans="2:4" s="54" customFormat="1" x14ac:dyDescent="0.2">
      <c r="B328" s="107" t="s">
        <v>370</v>
      </c>
      <c r="C328" s="55" t="s">
        <v>371</v>
      </c>
      <c r="D328" s="56" t="s">
        <v>376</v>
      </c>
    </row>
    <row r="329" spans="2:4" s="54" customFormat="1" x14ac:dyDescent="0.2">
      <c r="B329" s="107" t="s">
        <v>370</v>
      </c>
      <c r="C329" s="55" t="s">
        <v>371</v>
      </c>
      <c r="D329" s="56" t="s">
        <v>377</v>
      </c>
    </row>
    <row r="330" spans="2:4" s="54" customFormat="1" x14ac:dyDescent="0.2">
      <c r="B330" s="107" t="s">
        <v>370</v>
      </c>
      <c r="C330" s="55" t="s">
        <v>371</v>
      </c>
      <c r="D330" s="56" t="s">
        <v>378</v>
      </c>
    </row>
    <row r="331" spans="2:4" s="54" customFormat="1" x14ac:dyDescent="0.2">
      <c r="B331" s="107" t="s">
        <v>370</v>
      </c>
      <c r="C331" s="55" t="s">
        <v>371</v>
      </c>
      <c r="D331" s="56" t="s">
        <v>379</v>
      </c>
    </row>
    <row r="332" spans="2:4" s="54" customFormat="1" x14ac:dyDescent="0.2">
      <c r="B332" s="107" t="s">
        <v>370</v>
      </c>
      <c r="C332" s="55" t="s">
        <v>371</v>
      </c>
      <c r="D332" s="56" t="s">
        <v>380</v>
      </c>
    </row>
    <row r="333" spans="2:4" s="54" customFormat="1" x14ac:dyDescent="0.2">
      <c r="B333" s="107" t="s">
        <v>370</v>
      </c>
      <c r="C333" s="55" t="s">
        <v>371</v>
      </c>
      <c r="D333" s="56" t="s">
        <v>381</v>
      </c>
    </row>
    <row r="334" spans="2:4" s="54" customFormat="1" x14ac:dyDescent="0.2">
      <c r="B334" s="107" t="s">
        <v>370</v>
      </c>
      <c r="C334" s="55" t="s">
        <v>371</v>
      </c>
      <c r="D334" s="56" t="s">
        <v>382</v>
      </c>
    </row>
    <row r="335" spans="2:4" s="54" customFormat="1" x14ac:dyDescent="0.2">
      <c r="B335" s="107" t="s">
        <v>370</v>
      </c>
      <c r="C335" s="55" t="s">
        <v>371</v>
      </c>
      <c r="D335" s="56" t="s">
        <v>383</v>
      </c>
    </row>
    <row r="336" spans="2:4" s="54" customFormat="1" x14ac:dyDescent="0.2">
      <c r="B336" s="107" t="s">
        <v>370</v>
      </c>
      <c r="C336" s="55" t="s">
        <v>371</v>
      </c>
      <c r="D336" s="56" t="s">
        <v>384</v>
      </c>
    </row>
    <row r="337" spans="2:4" s="54" customFormat="1" x14ac:dyDescent="0.2">
      <c r="B337" s="107" t="s">
        <v>370</v>
      </c>
      <c r="C337" s="55" t="s">
        <v>371</v>
      </c>
      <c r="D337" s="56" t="s">
        <v>385</v>
      </c>
    </row>
    <row r="338" spans="2:4" s="54" customFormat="1" x14ac:dyDescent="0.2">
      <c r="B338" s="107" t="s">
        <v>370</v>
      </c>
      <c r="C338" s="55" t="s">
        <v>371</v>
      </c>
      <c r="D338" s="56" t="s">
        <v>386</v>
      </c>
    </row>
    <row r="339" spans="2:4" s="54" customFormat="1" x14ac:dyDescent="0.2">
      <c r="B339" s="107" t="s">
        <v>370</v>
      </c>
      <c r="C339" s="55" t="s">
        <v>371</v>
      </c>
      <c r="D339" s="56" t="s">
        <v>387</v>
      </c>
    </row>
    <row r="340" spans="2:4" s="54" customFormat="1" x14ac:dyDescent="0.2">
      <c r="B340" s="107" t="s">
        <v>370</v>
      </c>
      <c r="C340" s="55" t="s">
        <v>371</v>
      </c>
      <c r="D340" s="56" t="s">
        <v>388</v>
      </c>
    </row>
    <row r="341" spans="2:4" s="54" customFormat="1" x14ac:dyDescent="0.2">
      <c r="B341" s="107" t="s">
        <v>370</v>
      </c>
      <c r="C341" s="55" t="s">
        <v>371</v>
      </c>
      <c r="D341" s="56" t="s">
        <v>389</v>
      </c>
    </row>
    <row r="342" spans="2:4" s="54" customFormat="1" x14ac:dyDescent="0.2">
      <c r="B342" s="107" t="s">
        <v>370</v>
      </c>
      <c r="C342" s="55" t="s">
        <v>371</v>
      </c>
      <c r="D342" s="56" t="s">
        <v>390</v>
      </c>
    </row>
    <row r="343" spans="2:4" s="54" customFormat="1" x14ac:dyDescent="0.2">
      <c r="B343" s="107" t="s">
        <v>370</v>
      </c>
      <c r="C343" s="55" t="s">
        <v>371</v>
      </c>
      <c r="D343" s="56" t="s">
        <v>391</v>
      </c>
    </row>
    <row r="344" spans="2:4" s="54" customFormat="1" x14ac:dyDescent="0.2">
      <c r="B344" s="107" t="s">
        <v>370</v>
      </c>
      <c r="C344" s="55" t="s">
        <v>371</v>
      </c>
      <c r="D344" s="56" t="s">
        <v>392</v>
      </c>
    </row>
    <row r="345" spans="2:4" s="54" customFormat="1" x14ac:dyDescent="0.2">
      <c r="B345" s="107" t="s">
        <v>370</v>
      </c>
      <c r="C345" s="55" t="s">
        <v>371</v>
      </c>
      <c r="D345" s="56" t="s">
        <v>393</v>
      </c>
    </row>
    <row r="346" spans="2:4" s="54" customFormat="1" x14ac:dyDescent="0.2">
      <c r="B346" s="107" t="s">
        <v>370</v>
      </c>
      <c r="C346" s="55" t="s">
        <v>371</v>
      </c>
      <c r="D346" s="56" t="s">
        <v>394</v>
      </c>
    </row>
    <row r="347" spans="2:4" s="54" customFormat="1" x14ac:dyDescent="0.2">
      <c r="B347" s="107" t="s">
        <v>370</v>
      </c>
      <c r="C347" s="55" t="s">
        <v>371</v>
      </c>
      <c r="D347" s="56" t="s">
        <v>395</v>
      </c>
    </row>
    <row r="348" spans="2:4" s="54" customFormat="1" x14ac:dyDescent="0.2">
      <c r="B348" s="107" t="s">
        <v>396</v>
      </c>
      <c r="C348" s="55" t="s">
        <v>397</v>
      </c>
      <c r="D348" s="56" t="s">
        <v>398</v>
      </c>
    </row>
    <row r="349" spans="2:4" s="54" customFormat="1" x14ac:dyDescent="0.2">
      <c r="B349" s="107" t="s">
        <v>396</v>
      </c>
      <c r="C349" s="55" t="s">
        <v>397</v>
      </c>
      <c r="D349" s="56" t="s">
        <v>399</v>
      </c>
    </row>
    <row r="350" spans="2:4" s="54" customFormat="1" x14ac:dyDescent="0.2">
      <c r="B350" s="107" t="s">
        <v>396</v>
      </c>
      <c r="C350" s="55" t="s">
        <v>397</v>
      </c>
      <c r="D350" s="56" t="s">
        <v>400</v>
      </c>
    </row>
    <row r="351" spans="2:4" s="54" customFormat="1" x14ac:dyDescent="0.2">
      <c r="B351" s="107" t="s">
        <v>396</v>
      </c>
      <c r="C351" s="55" t="s">
        <v>397</v>
      </c>
      <c r="D351" s="56" t="s">
        <v>401</v>
      </c>
    </row>
    <row r="352" spans="2:4" s="54" customFormat="1" x14ac:dyDescent="0.2">
      <c r="B352" s="107" t="s">
        <v>396</v>
      </c>
      <c r="C352" s="55" t="s">
        <v>397</v>
      </c>
      <c r="D352" s="56" t="s">
        <v>402</v>
      </c>
    </row>
    <row r="353" spans="2:4" s="54" customFormat="1" x14ac:dyDescent="0.2">
      <c r="B353" s="107" t="s">
        <v>396</v>
      </c>
      <c r="C353" s="55" t="s">
        <v>397</v>
      </c>
      <c r="D353" s="56" t="s">
        <v>403</v>
      </c>
    </row>
    <row r="354" spans="2:4" s="54" customFormat="1" x14ac:dyDescent="0.2">
      <c r="B354" s="107" t="s">
        <v>396</v>
      </c>
      <c r="C354" s="55" t="s">
        <v>397</v>
      </c>
      <c r="D354" s="56" t="s">
        <v>404</v>
      </c>
    </row>
    <row r="355" spans="2:4" s="54" customFormat="1" x14ac:dyDescent="0.2">
      <c r="B355" s="107" t="s">
        <v>396</v>
      </c>
      <c r="C355" s="55" t="s">
        <v>397</v>
      </c>
      <c r="D355" s="56" t="s">
        <v>405</v>
      </c>
    </row>
    <row r="356" spans="2:4" s="54" customFormat="1" x14ac:dyDescent="0.2">
      <c r="B356" s="107" t="s">
        <v>396</v>
      </c>
      <c r="C356" s="55" t="s">
        <v>397</v>
      </c>
      <c r="D356" s="56" t="s">
        <v>406</v>
      </c>
    </row>
    <row r="357" spans="2:4" s="54" customFormat="1" x14ac:dyDescent="0.2">
      <c r="B357" s="107" t="s">
        <v>396</v>
      </c>
      <c r="C357" s="55" t="s">
        <v>397</v>
      </c>
      <c r="D357" s="56" t="s">
        <v>407</v>
      </c>
    </row>
    <row r="358" spans="2:4" s="54" customFormat="1" x14ac:dyDescent="0.2">
      <c r="B358" s="107" t="s">
        <v>396</v>
      </c>
      <c r="C358" s="55" t="s">
        <v>397</v>
      </c>
      <c r="D358" s="56" t="s">
        <v>408</v>
      </c>
    </row>
    <row r="359" spans="2:4" s="54" customFormat="1" x14ac:dyDescent="0.2">
      <c r="B359" s="107" t="s">
        <v>396</v>
      </c>
      <c r="C359" s="55" t="s">
        <v>397</v>
      </c>
      <c r="D359" s="56" t="s">
        <v>409</v>
      </c>
    </row>
    <row r="360" spans="2:4" s="54" customFormat="1" x14ac:dyDescent="0.2">
      <c r="B360" s="107" t="s">
        <v>396</v>
      </c>
      <c r="C360" s="55" t="s">
        <v>397</v>
      </c>
      <c r="D360" s="56" t="s">
        <v>410</v>
      </c>
    </row>
    <row r="361" spans="2:4" s="54" customFormat="1" x14ac:dyDescent="0.2">
      <c r="B361" s="107" t="s">
        <v>396</v>
      </c>
      <c r="C361" s="55" t="s">
        <v>397</v>
      </c>
      <c r="D361" s="56" t="s">
        <v>411</v>
      </c>
    </row>
    <row r="362" spans="2:4" s="54" customFormat="1" x14ac:dyDescent="0.2">
      <c r="B362" s="107" t="s">
        <v>396</v>
      </c>
      <c r="C362" s="55" t="s">
        <v>397</v>
      </c>
      <c r="D362" s="56" t="s">
        <v>412</v>
      </c>
    </row>
    <row r="363" spans="2:4" s="54" customFormat="1" x14ac:dyDescent="0.2">
      <c r="B363" s="107" t="s">
        <v>396</v>
      </c>
      <c r="C363" s="55" t="s">
        <v>397</v>
      </c>
      <c r="D363" s="56" t="s">
        <v>413</v>
      </c>
    </row>
    <row r="364" spans="2:4" s="54" customFormat="1" x14ac:dyDescent="0.2">
      <c r="B364" s="107" t="s">
        <v>396</v>
      </c>
      <c r="C364" s="55" t="s">
        <v>397</v>
      </c>
      <c r="D364" s="56" t="s">
        <v>414</v>
      </c>
    </row>
    <row r="365" spans="2:4" s="54" customFormat="1" x14ac:dyDescent="0.2">
      <c r="B365" s="107" t="s">
        <v>396</v>
      </c>
      <c r="C365" s="55" t="s">
        <v>397</v>
      </c>
      <c r="D365" s="56" t="s">
        <v>415</v>
      </c>
    </row>
    <row r="366" spans="2:4" s="54" customFormat="1" x14ac:dyDescent="0.2">
      <c r="B366" s="107" t="s">
        <v>396</v>
      </c>
      <c r="C366" s="55" t="s">
        <v>397</v>
      </c>
      <c r="D366" s="56" t="s">
        <v>416</v>
      </c>
    </row>
    <row r="367" spans="2:4" s="54" customFormat="1" x14ac:dyDescent="0.2">
      <c r="B367" s="107" t="s">
        <v>396</v>
      </c>
      <c r="C367" s="55" t="s">
        <v>397</v>
      </c>
      <c r="D367" s="56" t="s">
        <v>417</v>
      </c>
    </row>
    <row r="368" spans="2:4" s="54" customFormat="1" x14ac:dyDescent="0.2">
      <c r="B368" s="107" t="s">
        <v>396</v>
      </c>
      <c r="C368" s="55" t="s">
        <v>397</v>
      </c>
      <c r="D368" s="56" t="s">
        <v>418</v>
      </c>
    </row>
    <row r="369" spans="2:4" s="54" customFormat="1" x14ac:dyDescent="0.2">
      <c r="B369" s="107" t="s">
        <v>396</v>
      </c>
      <c r="C369" s="55" t="s">
        <v>397</v>
      </c>
      <c r="D369" s="56" t="s">
        <v>419</v>
      </c>
    </row>
    <row r="370" spans="2:4" s="54" customFormat="1" x14ac:dyDescent="0.2">
      <c r="B370" s="107" t="s">
        <v>396</v>
      </c>
      <c r="C370" s="55" t="s">
        <v>397</v>
      </c>
      <c r="D370" s="56" t="s">
        <v>420</v>
      </c>
    </row>
    <row r="371" spans="2:4" s="54" customFormat="1" x14ac:dyDescent="0.2">
      <c r="B371" s="107" t="s">
        <v>396</v>
      </c>
      <c r="C371" s="55" t="s">
        <v>397</v>
      </c>
      <c r="D371" s="56" t="s">
        <v>421</v>
      </c>
    </row>
    <row r="372" spans="2:4" s="54" customFormat="1" x14ac:dyDescent="0.2">
      <c r="B372" s="107" t="s">
        <v>396</v>
      </c>
      <c r="C372" s="55" t="s">
        <v>397</v>
      </c>
      <c r="D372" s="56" t="s">
        <v>422</v>
      </c>
    </row>
    <row r="373" spans="2:4" s="54" customFormat="1" x14ac:dyDescent="0.2">
      <c r="B373" s="107" t="s">
        <v>396</v>
      </c>
      <c r="C373" s="55" t="s">
        <v>397</v>
      </c>
      <c r="D373" s="56" t="s">
        <v>423</v>
      </c>
    </row>
    <row r="374" spans="2:4" s="54" customFormat="1" x14ac:dyDescent="0.2">
      <c r="B374" s="107" t="s">
        <v>396</v>
      </c>
      <c r="C374" s="55" t="s">
        <v>397</v>
      </c>
      <c r="D374" s="56" t="s">
        <v>424</v>
      </c>
    </row>
    <row r="375" spans="2:4" s="54" customFormat="1" x14ac:dyDescent="0.2">
      <c r="B375" s="107" t="s">
        <v>425</v>
      </c>
      <c r="C375" s="55" t="s">
        <v>426</v>
      </c>
      <c r="D375" s="56" t="s">
        <v>427</v>
      </c>
    </row>
    <row r="376" spans="2:4" s="54" customFormat="1" x14ac:dyDescent="0.2">
      <c r="B376" s="107" t="s">
        <v>425</v>
      </c>
      <c r="C376" s="55" t="s">
        <v>426</v>
      </c>
      <c r="D376" s="56" t="s">
        <v>428</v>
      </c>
    </row>
    <row r="377" spans="2:4" s="54" customFormat="1" x14ac:dyDescent="0.2">
      <c r="B377" s="107" t="s">
        <v>425</v>
      </c>
      <c r="C377" s="55" t="s">
        <v>426</v>
      </c>
      <c r="D377" s="56" t="s">
        <v>429</v>
      </c>
    </row>
    <row r="378" spans="2:4" s="54" customFormat="1" x14ac:dyDescent="0.2">
      <c r="B378" s="107" t="s">
        <v>425</v>
      </c>
      <c r="C378" s="55" t="s">
        <v>426</v>
      </c>
      <c r="D378" s="56" t="s">
        <v>430</v>
      </c>
    </row>
    <row r="379" spans="2:4" s="54" customFormat="1" x14ac:dyDescent="0.2">
      <c r="B379" s="107" t="s">
        <v>431</v>
      </c>
      <c r="C379" s="55" t="s">
        <v>432</v>
      </c>
      <c r="D379" s="56" t="s">
        <v>433</v>
      </c>
    </row>
    <row r="380" spans="2:4" s="54" customFormat="1" x14ac:dyDescent="0.2">
      <c r="B380" s="107" t="s">
        <v>431</v>
      </c>
      <c r="C380" s="55" t="s">
        <v>432</v>
      </c>
      <c r="D380" s="56" t="s">
        <v>434</v>
      </c>
    </row>
    <row r="381" spans="2:4" s="54" customFormat="1" x14ac:dyDescent="0.2">
      <c r="B381" s="107" t="s">
        <v>431</v>
      </c>
      <c r="C381" s="55" t="s">
        <v>432</v>
      </c>
      <c r="D381" s="56" t="s">
        <v>435</v>
      </c>
    </row>
    <row r="382" spans="2:4" s="54" customFormat="1" x14ac:dyDescent="0.2">
      <c r="B382" s="107" t="s">
        <v>431</v>
      </c>
      <c r="C382" s="55" t="s">
        <v>432</v>
      </c>
      <c r="D382" s="56" t="s">
        <v>436</v>
      </c>
    </row>
    <row r="383" spans="2:4" s="54" customFormat="1" x14ac:dyDescent="0.2">
      <c r="B383" s="107" t="s">
        <v>431</v>
      </c>
      <c r="C383" s="55" t="s">
        <v>432</v>
      </c>
      <c r="D383" s="56" t="s">
        <v>437</v>
      </c>
    </row>
    <row r="384" spans="2:4" s="54" customFormat="1" x14ac:dyDescent="0.2">
      <c r="B384" s="107" t="s">
        <v>431</v>
      </c>
      <c r="C384" s="55" t="s">
        <v>432</v>
      </c>
      <c r="D384" s="56" t="s">
        <v>438</v>
      </c>
    </row>
    <row r="385" spans="2:4" s="54" customFormat="1" x14ac:dyDescent="0.2">
      <c r="B385" s="107" t="s">
        <v>431</v>
      </c>
      <c r="C385" s="55" t="s">
        <v>432</v>
      </c>
      <c r="D385" s="56" t="s">
        <v>439</v>
      </c>
    </row>
    <row r="386" spans="2:4" s="54" customFormat="1" x14ac:dyDescent="0.2">
      <c r="B386" s="107" t="s">
        <v>431</v>
      </c>
      <c r="C386" s="55" t="s">
        <v>432</v>
      </c>
      <c r="D386" s="56" t="s">
        <v>440</v>
      </c>
    </row>
    <row r="387" spans="2:4" s="54" customFormat="1" x14ac:dyDescent="0.2">
      <c r="B387" s="107" t="s">
        <v>431</v>
      </c>
      <c r="C387" s="55" t="s">
        <v>432</v>
      </c>
      <c r="D387" s="56" t="s">
        <v>441</v>
      </c>
    </row>
    <row r="388" spans="2:4" s="54" customFormat="1" x14ac:dyDescent="0.2">
      <c r="B388" s="107" t="s">
        <v>431</v>
      </c>
      <c r="C388" s="55" t="s">
        <v>432</v>
      </c>
      <c r="D388" s="56" t="s">
        <v>442</v>
      </c>
    </row>
    <row r="389" spans="2:4" s="54" customFormat="1" x14ac:dyDescent="0.2">
      <c r="B389" s="107" t="s">
        <v>431</v>
      </c>
      <c r="C389" s="55" t="s">
        <v>432</v>
      </c>
      <c r="D389" s="56" t="s">
        <v>443</v>
      </c>
    </row>
    <row r="390" spans="2:4" s="54" customFormat="1" x14ac:dyDescent="0.2">
      <c r="B390" s="107" t="s">
        <v>431</v>
      </c>
      <c r="C390" s="55" t="s">
        <v>432</v>
      </c>
      <c r="D390" s="56" t="s">
        <v>444</v>
      </c>
    </row>
    <row r="391" spans="2:4" s="54" customFormat="1" x14ac:dyDescent="0.2">
      <c r="B391" s="107" t="s">
        <v>431</v>
      </c>
      <c r="C391" s="55" t="s">
        <v>432</v>
      </c>
      <c r="D391" s="56" t="s">
        <v>445</v>
      </c>
    </row>
    <row r="392" spans="2:4" s="54" customFormat="1" x14ac:dyDescent="0.2">
      <c r="B392" s="107" t="s">
        <v>431</v>
      </c>
      <c r="C392" s="55" t="s">
        <v>432</v>
      </c>
      <c r="D392" s="56" t="s">
        <v>446</v>
      </c>
    </row>
    <row r="393" spans="2:4" s="54" customFormat="1" x14ac:dyDescent="0.2">
      <c r="B393" s="107" t="s">
        <v>431</v>
      </c>
      <c r="C393" s="55" t="s">
        <v>432</v>
      </c>
      <c r="D393" s="56" t="s">
        <v>447</v>
      </c>
    </row>
    <row r="394" spans="2:4" s="54" customFormat="1" x14ac:dyDescent="0.2">
      <c r="B394" s="107" t="s">
        <v>431</v>
      </c>
      <c r="C394" s="55" t="s">
        <v>432</v>
      </c>
      <c r="D394" s="56" t="s">
        <v>448</v>
      </c>
    </row>
    <row r="395" spans="2:4" s="54" customFormat="1" x14ac:dyDescent="0.2">
      <c r="B395" s="107" t="s">
        <v>431</v>
      </c>
      <c r="C395" s="55" t="s">
        <v>432</v>
      </c>
      <c r="D395" s="56" t="s">
        <v>449</v>
      </c>
    </row>
    <row r="396" spans="2:4" s="54" customFormat="1" x14ac:dyDescent="0.2">
      <c r="B396" s="107" t="s">
        <v>431</v>
      </c>
      <c r="C396" s="55" t="s">
        <v>432</v>
      </c>
      <c r="D396" s="56" t="s">
        <v>450</v>
      </c>
    </row>
    <row r="397" spans="2:4" s="54" customFormat="1" x14ac:dyDescent="0.2">
      <c r="B397" s="107" t="s">
        <v>431</v>
      </c>
      <c r="C397" s="55" t="s">
        <v>432</v>
      </c>
      <c r="D397" s="56" t="s">
        <v>451</v>
      </c>
    </row>
    <row r="398" spans="2:4" s="54" customFormat="1" x14ac:dyDescent="0.2">
      <c r="B398" s="107" t="s">
        <v>431</v>
      </c>
      <c r="C398" s="55" t="s">
        <v>432</v>
      </c>
      <c r="D398" s="56" t="s">
        <v>452</v>
      </c>
    </row>
    <row r="399" spans="2:4" s="54" customFormat="1" x14ac:dyDescent="0.2">
      <c r="B399" s="107" t="s">
        <v>431</v>
      </c>
      <c r="C399" s="55" t="s">
        <v>432</v>
      </c>
      <c r="D399" s="56" t="s">
        <v>453</v>
      </c>
    </row>
    <row r="400" spans="2:4" s="54" customFormat="1" x14ac:dyDescent="0.2">
      <c r="B400" s="107" t="s">
        <v>431</v>
      </c>
      <c r="C400" s="55" t="s">
        <v>432</v>
      </c>
      <c r="D400" s="56" t="s">
        <v>454</v>
      </c>
    </row>
    <row r="401" spans="2:4" s="54" customFormat="1" x14ac:dyDescent="0.2">
      <c r="B401" s="107" t="s">
        <v>431</v>
      </c>
      <c r="C401" s="55" t="s">
        <v>432</v>
      </c>
      <c r="D401" s="56" t="s">
        <v>455</v>
      </c>
    </row>
    <row r="402" spans="2:4" s="54" customFormat="1" x14ac:dyDescent="0.2">
      <c r="B402" s="107" t="s">
        <v>431</v>
      </c>
      <c r="C402" s="55" t="s">
        <v>432</v>
      </c>
      <c r="D402" s="56" t="s">
        <v>456</v>
      </c>
    </row>
    <row r="403" spans="2:4" s="54" customFormat="1" x14ac:dyDescent="0.2">
      <c r="B403" s="107" t="s">
        <v>431</v>
      </c>
      <c r="C403" s="55" t="s">
        <v>432</v>
      </c>
      <c r="D403" s="56" t="s">
        <v>457</v>
      </c>
    </row>
    <row r="404" spans="2:4" s="54" customFormat="1" x14ac:dyDescent="0.2">
      <c r="B404" s="107" t="s">
        <v>431</v>
      </c>
      <c r="C404" s="55" t="s">
        <v>432</v>
      </c>
      <c r="D404" s="56" t="s">
        <v>458</v>
      </c>
    </row>
    <row r="405" spans="2:4" s="54" customFormat="1" x14ac:dyDescent="0.2">
      <c r="B405" s="107" t="s">
        <v>431</v>
      </c>
      <c r="C405" s="55" t="s">
        <v>432</v>
      </c>
      <c r="D405" s="56" t="s">
        <v>459</v>
      </c>
    </row>
    <row r="406" spans="2:4" s="54" customFormat="1" x14ac:dyDescent="0.2">
      <c r="B406" s="107" t="s">
        <v>431</v>
      </c>
      <c r="C406" s="55" t="s">
        <v>432</v>
      </c>
      <c r="D406" s="56" t="s">
        <v>460</v>
      </c>
    </row>
    <row r="407" spans="2:4" s="54" customFormat="1" x14ac:dyDescent="0.2">
      <c r="B407" s="107" t="s">
        <v>461</v>
      </c>
      <c r="C407" s="55" t="s">
        <v>462</v>
      </c>
      <c r="D407" s="56" t="s">
        <v>463</v>
      </c>
    </row>
    <row r="408" spans="2:4" s="54" customFormat="1" x14ac:dyDescent="0.2">
      <c r="B408" s="107" t="s">
        <v>461</v>
      </c>
      <c r="C408" s="55" t="s">
        <v>462</v>
      </c>
      <c r="D408" s="56" t="s">
        <v>464</v>
      </c>
    </row>
    <row r="409" spans="2:4" s="54" customFormat="1" x14ac:dyDescent="0.2">
      <c r="B409" s="107" t="s">
        <v>461</v>
      </c>
      <c r="C409" s="55" t="s">
        <v>462</v>
      </c>
      <c r="D409" s="56" t="s">
        <v>465</v>
      </c>
    </row>
    <row r="410" spans="2:4" s="54" customFormat="1" x14ac:dyDescent="0.2">
      <c r="B410" s="107" t="s">
        <v>461</v>
      </c>
      <c r="C410" s="55" t="s">
        <v>462</v>
      </c>
      <c r="D410" s="56" t="s">
        <v>466</v>
      </c>
    </row>
    <row r="411" spans="2:4" s="54" customFormat="1" x14ac:dyDescent="0.2">
      <c r="B411" s="107" t="s">
        <v>461</v>
      </c>
      <c r="C411" s="55" t="s">
        <v>462</v>
      </c>
      <c r="D411" s="56" t="s">
        <v>467</v>
      </c>
    </row>
    <row r="412" spans="2:4" s="54" customFormat="1" x14ac:dyDescent="0.2">
      <c r="B412" s="107" t="s">
        <v>461</v>
      </c>
      <c r="C412" s="55" t="s">
        <v>462</v>
      </c>
      <c r="D412" s="56" t="s">
        <v>468</v>
      </c>
    </row>
    <row r="413" spans="2:4" s="54" customFormat="1" x14ac:dyDescent="0.2">
      <c r="B413" s="107" t="s">
        <v>461</v>
      </c>
      <c r="C413" s="55" t="s">
        <v>462</v>
      </c>
      <c r="D413" s="56" t="s">
        <v>469</v>
      </c>
    </row>
    <row r="414" spans="2:4" s="54" customFormat="1" x14ac:dyDescent="0.2">
      <c r="B414" s="107" t="s">
        <v>461</v>
      </c>
      <c r="C414" s="55" t="s">
        <v>462</v>
      </c>
      <c r="D414" s="56" t="s">
        <v>470</v>
      </c>
    </row>
    <row r="415" spans="2:4" s="54" customFormat="1" x14ac:dyDescent="0.2">
      <c r="B415" s="107" t="s">
        <v>461</v>
      </c>
      <c r="C415" s="55" t="s">
        <v>462</v>
      </c>
      <c r="D415" s="56" t="s">
        <v>471</v>
      </c>
    </row>
    <row r="416" spans="2:4" s="54" customFormat="1" x14ac:dyDescent="0.2">
      <c r="B416" s="107" t="s">
        <v>461</v>
      </c>
      <c r="C416" s="55" t="s">
        <v>462</v>
      </c>
      <c r="D416" s="56" t="s">
        <v>472</v>
      </c>
    </row>
    <row r="417" spans="2:4" s="54" customFormat="1" x14ac:dyDescent="0.2">
      <c r="B417" s="107" t="s">
        <v>461</v>
      </c>
      <c r="C417" s="55" t="s">
        <v>462</v>
      </c>
      <c r="D417" s="56" t="s">
        <v>473</v>
      </c>
    </row>
    <row r="418" spans="2:4" s="54" customFormat="1" x14ac:dyDescent="0.2">
      <c r="B418" s="107" t="s">
        <v>461</v>
      </c>
      <c r="C418" s="55" t="s">
        <v>462</v>
      </c>
      <c r="D418" s="56" t="s">
        <v>474</v>
      </c>
    </row>
    <row r="419" spans="2:4" s="54" customFormat="1" x14ac:dyDescent="0.2">
      <c r="B419" s="107" t="s">
        <v>461</v>
      </c>
      <c r="C419" s="55" t="s">
        <v>462</v>
      </c>
      <c r="D419" s="56" t="s">
        <v>475</v>
      </c>
    </row>
    <row r="420" spans="2:4" s="54" customFormat="1" x14ac:dyDescent="0.2">
      <c r="B420" s="107" t="s">
        <v>476</v>
      </c>
      <c r="C420" s="55" t="s">
        <v>477</v>
      </c>
      <c r="D420" s="56" t="s">
        <v>478</v>
      </c>
    </row>
    <row r="421" spans="2:4" s="54" customFormat="1" x14ac:dyDescent="0.2">
      <c r="B421" s="107" t="s">
        <v>476</v>
      </c>
      <c r="C421" s="55" t="s">
        <v>477</v>
      </c>
      <c r="D421" s="56" t="s">
        <v>479</v>
      </c>
    </row>
    <row r="422" spans="2:4" s="54" customFormat="1" x14ac:dyDescent="0.2">
      <c r="B422" s="107" t="s">
        <v>476</v>
      </c>
      <c r="C422" s="55" t="s">
        <v>477</v>
      </c>
      <c r="D422" s="56" t="s">
        <v>480</v>
      </c>
    </row>
    <row r="423" spans="2:4" s="54" customFormat="1" x14ac:dyDescent="0.2">
      <c r="B423" s="107" t="s">
        <v>476</v>
      </c>
      <c r="C423" s="55" t="s">
        <v>477</v>
      </c>
      <c r="D423" s="56" t="s">
        <v>481</v>
      </c>
    </row>
    <row r="424" spans="2:4" s="54" customFormat="1" x14ac:dyDescent="0.2">
      <c r="B424" s="107" t="s">
        <v>476</v>
      </c>
      <c r="C424" s="55" t="s">
        <v>477</v>
      </c>
      <c r="D424" s="56" t="s">
        <v>482</v>
      </c>
    </row>
    <row r="425" spans="2:4" s="54" customFormat="1" x14ac:dyDescent="0.2">
      <c r="B425" s="107" t="s">
        <v>476</v>
      </c>
      <c r="C425" s="55" t="s">
        <v>477</v>
      </c>
      <c r="D425" s="56" t="s">
        <v>483</v>
      </c>
    </row>
    <row r="426" spans="2:4" s="54" customFormat="1" x14ac:dyDescent="0.2">
      <c r="B426" s="107" t="s">
        <v>476</v>
      </c>
      <c r="C426" s="55" t="s">
        <v>477</v>
      </c>
      <c r="D426" s="56" t="s">
        <v>484</v>
      </c>
    </row>
    <row r="427" spans="2:4" s="54" customFormat="1" x14ac:dyDescent="0.2">
      <c r="B427" s="107" t="s">
        <v>476</v>
      </c>
      <c r="C427" s="55" t="s">
        <v>477</v>
      </c>
      <c r="D427" s="56" t="s">
        <v>485</v>
      </c>
    </row>
    <row r="428" spans="2:4" s="54" customFormat="1" x14ac:dyDescent="0.2">
      <c r="B428" s="107" t="s">
        <v>476</v>
      </c>
      <c r="C428" s="55" t="s">
        <v>477</v>
      </c>
      <c r="D428" s="56" t="s">
        <v>486</v>
      </c>
    </row>
    <row r="429" spans="2:4" s="54" customFormat="1" x14ac:dyDescent="0.2">
      <c r="B429" s="107" t="s">
        <v>476</v>
      </c>
      <c r="C429" s="55" t="s">
        <v>477</v>
      </c>
      <c r="D429" s="56" t="s">
        <v>487</v>
      </c>
    </row>
    <row r="430" spans="2:4" s="54" customFormat="1" x14ac:dyDescent="0.2">
      <c r="B430" s="107" t="s">
        <v>476</v>
      </c>
      <c r="C430" s="55" t="s">
        <v>477</v>
      </c>
      <c r="D430" s="56" t="s">
        <v>488</v>
      </c>
    </row>
    <row r="431" spans="2:4" s="54" customFormat="1" x14ac:dyDescent="0.2">
      <c r="B431" s="107" t="s">
        <v>476</v>
      </c>
      <c r="C431" s="55" t="s">
        <v>477</v>
      </c>
      <c r="D431" s="56" t="s">
        <v>489</v>
      </c>
    </row>
    <row r="432" spans="2:4" s="54" customFormat="1" x14ac:dyDescent="0.2">
      <c r="B432" s="107" t="s">
        <v>476</v>
      </c>
      <c r="C432" s="55" t="s">
        <v>477</v>
      </c>
      <c r="D432" s="56" t="s">
        <v>490</v>
      </c>
    </row>
    <row r="433" spans="2:4" s="54" customFormat="1" x14ac:dyDescent="0.2">
      <c r="B433" s="107" t="s">
        <v>476</v>
      </c>
      <c r="C433" s="55" t="s">
        <v>477</v>
      </c>
      <c r="D433" s="56" t="s">
        <v>491</v>
      </c>
    </row>
    <row r="434" spans="2:4" s="54" customFormat="1" x14ac:dyDescent="0.2">
      <c r="B434" s="107" t="s">
        <v>476</v>
      </c>
      <c r="C434" s="55" t="s">
        <v>477</v>
      </c>
      <c r="D434" s="56" t="s">
        <v>492</v>
      </c>
    </row>
    <row r="435" spans="2:4" s="54" customFormat="1" x14ac:dyDescent="0.2">
      <c r="B435" s="107" t="s">
        <v>476</v>
      </c>
      <c r="C435" s="55" t="s">
        <v>477</v>
      </c>
      <c r="D435" s="56" t="s">
        <v>493</v>
      </c>
    </row>
    <row r="436" spans="2:4" s="54" customFormat="1" x14ac:dyDescent="0.2">
      <c r="B436" s="107" t="s">
        <v>476</v>
      </c>
      <c r="C436" s="55" t="s">
        <v>477</v>
      </c>
      <c r="D436" s="56" t="s">
        <v>494</v>
      </c>
    </row>
    <row r="437" spans="2:4" s="54" customFormat="1" x14ac:dyDescent="0.2">
      <c r="B437" s="107" t="s">
        <v>476</v>
      </c>
      <c r="C437" s="55" t="s">
        <v>477</v>
      </c>
      <c r="D437" s="56" t="s">
        <v>495</v>
      </c>
    </row>
    <row r="438" spans="2:4" s="54" customFormat="1" x14ac:dyDescent="0.2">
      <c r="B438" s="107" t="s">
        <v>496</v>
      </c>
      <c r="C438" s="55" t="s">
        <v>497</v>
      </c>
      <c r="D438" s="56" t="s">
        <v>498</v>
      </c>
    </row>
    <row r="439" spans="2:4" s="54" customFormat="1" x14ac:dyDescent="0.2">
      <c r="B439" s="107" t="s">
        <v>496</v>
      </c>
      <c r="C439" s="55" t="s">
        <v>497</v>
      </c>
      <c r="D439" s="56" t="s">
        <v>499</v>
      </c>
    </row>
    <row r="440" spans="2:4" s="54" customFormat="1" x14ac:dyDescent="0.2">
      <c r="B440" s="107" t="s">
        <v>496</v>
      </c>
      <c r="C440" s="55" t="s">
        <v>497</v>
      </c>
      <c r="D440" s="56" t="s">
        <v>500</v>
      </c>
    </row>
    <row r="441" spans="2:4" s="54" customFormat="1" x14ac:dyDescent="0.2">
      <c r="B441" s="107" t="s">
        <v>496</v>
      </c>
      <c r="C441" s="55" t="s">
        <v>497</v>
      </c>
      <c r="D441" s="56" t="s">
        <v>501</v>
      </c>
    </row>
    <row r="442" spans="2:4" s="54" customFormat="1" x14ac:dyDescent="0.2">
      <c r="B442" s="107" t="s">
        <v>496</v>
      </c>
      <c r="C442" s="55" t="s">
        <v>497</v>
      </c>
      <c r="D442" s="56" t="s">
        <v>502</v>
      </c>
    </row>
    <row r="443" spans="2:4" s="54" customFormat="1" x14ac:dyDescent="0.2">
      <c r="B443" s="107" t="s">
        <v>496</v>
      </c>
      <c r="C443" s="55" t="s">
        <v>497</v>
      </c>
      <c r="D443" s="56" t="s">
        <v>503</v>
      </c>
    </row>
    <row r="444" spans="2:4" s="54" customFormat="1" x14ac:dyDescent="0.2">
      <c r="B444" s="107" t="s">
        <v>496</v>
      </c>
      <c r="C444" s="55" t="s">
        <v>497</v>
      </c>
      <c r="D444" s="56" t="s">
        <v>504</v>
      </c>
    </row>
    <row r="445" spans="2:4" s="54" customFormat="1" x14ac:dyDescent="0.2">
      <c r="B445" s="107" t="s">
        <v>496</v>
      </c>
      <c r="C445" s="55" t="s">
        <v>497</v>
      </c>
      <c r="D445" s="56" t="s">
        <v>505</v>
      </c>
    </row>
    <row r="446" spans="2:4" s="54" customFormat="1" x14ac:dyDescent="0.2">
      <c r="B446" s="107" t="s">
        <v>496</v>
      </c>
      <c r="C446" s="55" t="s">
        <v>497</v>
      </c>
      <c r="D446" s="56" t="s">
        <v>506</v>
      </c>
    </row>
    <row r="447" spans="2:4" s="54" customFormat="1" x14ac:dyDescent="0.2">
      <c r="B447" s="107" t="s">
        <v>507</v>
      </c>
      <c r="C447" s="55" t="s">
        <v>508</v>
      </c>
      <c r="D447" s="56" t="s">
        <v>509</v>
      </c>
    </row>
    <row r="448" spans="2:4" s="54" customFormat="1" x14ac:dyDescent="0.2">
      <c r="B448" s="107" t="s">
        <v>507</v>
      </c>
      <c r="C448" s="55" t="s">
        <v>508</v>
      </c>
      <c r="D448" s="56" t="s">
        <v>510</v>
      </c>
    </row>
    <row r="449" spans="2:4" s="54" customFormat="1" x14ac:dyDescent="0.2">
      <c r="B449" s="107" t="s">
        <v>507</v>
      </c>
      <c r="C449" s="55" t="s">
        <v>508</v>
      </c>
      <c r="D449" s="56" t="s">
        <v>511</v>
      </c>
    </row>
    <row r="450" spans="2:4" s="54" customFormat="1" x14ac:dyDescent="0.2">
      <c r="B450" s="107" t="s">
        <v>507</v>
      </c>
      <c r="C450" s="55" t="s">
        <v>508</v>
      </c>
      <c r="D450" s="56" t="s">
        <v>512</v>
      </c>
    </row>
    <row r="451" spans="2:4" s="54" customFormat="1" x14ac:dyDescent="0.2">
      <c r="B451" s="107" t="s">
        <v>507</v>
      </c>
      <c r="C451" s="55" t="s">
        <v>508</v>
      </c>
      <c r="D451" s="56" t="s">
        <v>513</v>
      </c>
    </row>
    <row r="452" spans="2:4" s="54" customFormat="1" x14ac:dyDescent="0.2">
      <c r="B452" s="107" t="s">
        <v>507</v>
      </c>
      <c r="C452" s="55" t="s">
        <v>508</v>
      </c>
      <c r="D452" s="56" t="s">
        <v>514</v>
      </c>
    </row>
    <row r="453" spans="2:4" s="54" customFormat="1" x14ac:dyDescent="0.2">
      <c r="B453" s="107" t="s">
        <v>507</v>
      </c>
      <c r="C453" s="55" t="s">
        <v>508</v>
      </c>
      <c r="D453" s="56" t="s">
        <v>515</v>
      </c>
    </row>
    <row r="454" spans="2:4" s="54" customFormat="1" x14ac:dyDescent="0.2">
      <c r="B454" s="107" t="s">
        <v>507</v>
      </c>
      <c r="C454" s="55" t="s">
        <v>508</v>
      </c>
      <c r="D454" s="56" t="s">
        <v>516</v>
      </c>
    </row>
    <row r="455" spans="2:4" s="54" customFormat="1" x14ac:dyDescent="0.2">
      <c r="B455" s="107" t="s">
        <v>507</v>
      </c>
      <c r="C455" s="55" t="s">
        <v>508</v>
      </c>
      <c r="D455" s="56" t="s">
        <v>517</v>
      </c>
    </row>
    <row r="456" spans="2:4" s="54" customFormat="1" x14ac:dyDescent="0.2">
      <c r="B456" s="107" t="s">
        <v>507</v>
      </c>
      <c r="C456" s="55" t="s">
        <v>508</v>
      </c>
      <c r="D456" s="56" t="s">
        <v>518</v>
      </c>
    </row>
    <row r="457" spans="2:4" s="54" customFormat="1" x14ac:dyDescent="0.2">
      <c r="B457" s="107" t="s">
        <v>507</v>
      </c>
      <c r="C457" s="55" t="s">
        <v>508</v>
      </c>
      <c r="D457" s="56" t="s">
        <v>519</v>
      </c>
    </row>
    <row r="458" spans="2:4" s="54" customFormat="1" x14ac:dyDescent="0.2">
      <c r="B458" s="107" t="s">
        <v>507</v>
      </c>
      <c r="C458" s="55" t="s">
        <v>508</v>
      </c>
      <c r="D458" s="56" t="s">
        <v>520</v>
      </c>
    </row>
    <row r="459" spans="2:4" s="54" customFormat="1" x14ac:dyDescent="0.2">
      <c r="B459" s="107" t="s">
        <v>507</v>
      </c>
      <c r="C459" s="55" t="s">
        <v>508</v>
      </c>
      <c r="D459" s="56" t="s">
        <v>521</v>
      </c>
    </row>
    <row r="460" spans="2:4" s="54" customFormat="1" x14ac:dyDescent="0.2">
      <c r="B460" s="107" t="s">
        <v>507</v>
      </c>
      <c r="C460" s="55" t="s">
        <v>508</v>
      </c>
      <c r="D460" s="56" t="s">
        <v>522</v>
      </c>
    </row>
    <row r="461" spans="2:4" s="54" customFormat="1" x14ac:dyDescent="0.2">
      <c r="B461" s="107" t="s">
        <v>507</v>
      </c>
      <c r="C461" s="55" t="s">
        <v>508</v>
      </c>
      <c r="D461" s="56" t="s">
        <v>523</v>
      </c>
    </row>
    <row r="462" spans="2:4" s="54" customFormat="1" x14ac:dyDescent="0.2">
      <c r="B462" s="107" t="s">
        <v>507</v>
      </c>
      <c r="C462" s="55" t="s">
        <v>508</v>
      </c>
      <c r="D462" s="56" t="s">
        <v>524</v>
      </c>
    </row>
    <row r="463" spans="2:4" s="54" customFormat="1" x14ac:dyDescent="0.2">
      <c r="B463" s="107" t="s">
        <v>507</v>
      </c>
      <c r="C463" s="55" t="s">
        <v>508</v>
      </c>
      <c r="D463" s="56" t="s">
        <v>525</v>
      </c>
    </row>
    <row r="464" spans="2:4" s="54" customFormat="1" x14ac:dyDescent="0.2">
      <c r="B464" s="107" t="s">
        <v>507</v>
      </c>
      <c r="C464" s="55" t="s">
        <v>508</v>
      </c>
      <c r="D464" s="56" t="s">
        <v>526</v>
      </c>
    </row>
    <row r="465" spans="2:4" s="54" customFormat="1" x14ac:dyDescent="0.2">
      <c r="B465" s="107" t="s">
        <v>507</v>
      </c>
      <c r="C465" s="55" t="s">
        <v>508</v>
      </c>
      <c r="D465" s="56" t="s">
        <v>527</v>
      </c>
    </row>
    <row r="466" spans="2:4" s="54" customFormat="1" x14ac:dyDescent="0.2">
      <c r="B466" s="107" t="s">
        <v>507</v>
      </c>
      <c r="C466" s="55" t="s">
        <v>508</v>
      </c>
      <c r="D466" s="56" t="s">
        <v>528</v>
      </c>
    </row>
    <row r="467" spans="2:4" s="54" customFormat="1" x14ac:dyDescent="0.2">
      <c r="B467" s="107" t="s">
        <v>507</v>
      </c>
      <c r="C467" s="55" t="s">
        <v>508</v>
      </c>
      <c r="D467" s="56" t="s">
        <v>529</v>
      </c>
    </row>
    <row r="468" spans="2:4" s="54" customFormat="1" x14ac:dyDescent="0.2">
      <c r="B468" s="107" t="s">
        <v>507</v>
      </c>
      <c r="C468" s="55" t="s">
        <v>508</v>
      </c>
      <c r="D468" s="56" t="s">
        <v>530</v>
      </c>
    </row>
    <row r="469" spans="2:4" s="54" customFormat="1" x14ac:dyDescent="0.2">
      <c r="B469" s="107" t="s">
        <v>507</v>
      </c>
      <c r="C469" s="55" t="s">
        <v>508</v>
      </c>
      <c r="D469" s="56" t="s">
        <v>531</v>
      </c>
    </row>
    <row r="470" spans="2:4" s="54" customFormat="1" x14ac:dyDescent="0.2">
      <c r="B470" s="107" t="s">
        <v>507</v>
      </c>
      <c r="C470" s="55" t="s">
        <v>508</v>
      </c>
      <c r="D470" s="56" t="s">
        <v>532</v>
      </c>
    </row>
    <row r="471" spans="2:4" s="54" customFormat="1" x14ac:dyDescent="0.2">
      <c r="B471" s="107" t="s">
        <v>507</v>
      </c>
      <c r="C471" s="55" t="s">
        <v>508</v>
      </c>
      <c r="D471" s="56" t="s">
        <v>533</v>
      </c>
    </row>
    <row r="472" spans="2:4" s="54" customFormat="1" x14ac:dyDescent="0.2">
      <c r="B472" s="107" t="s">
        <v>534</v>
      </c>
      <c r="C472" s="55" t="s">
        <v>535</v>
      </c>
      <c r="D472" s="56" t="s">
        <v>536</v>
      </c>
    </row>
    <row r="473" spans="2:4" s="54" customFormat="1" x14ac:dyDescent="0.2">
      <c r="B473" s="107" t="s">
        <v>534</v>
      </c>
      <c r="C473" s="55" t="s">
        <v>535</v>
      </c>
      <c r="D473" s="56" t="s">
        <v>537</v>
      </c>
    </row>
    <row r="474" spans="2:4" s="54" customFormat="1" x14ac:dyDescent="0.2">
      <c r="B474" s="107" t="s">
        <v>534</v>
      </c>
      <c r="C474" s="55" t="s">
        <v>535</v>
      </c>
      <c r="D474" s="56" t="s">
        <v>539</v>
      </c>
    </row>
    <row r="475" spans="2:4" s="54" customFormat="1" x14ac:dyDescent="0.2">
      <c r="B475" s="107" t="s">
        <v>534</v>
      </c>
      <c r="C475" s="55" t="s">
        <v>535</v>
      </c>
      <c r="D475" s="56" t="s">
        <v>540</v>
      </c>
    </row>
    <row r="476" spans="2:4" s="54" customFormat="1" x14ac:dyDescent="0.2">
      <c r="B476" s="107" t="s">
        <v>534</v>
      </c>
      <c r="C476" s="55" t="s">
        <v>535</v>
      </c>
      <c r="D476" s="56" t="s">
        <v>328</v>
      </c>
    </row>
    <row r="477" spans="2:4" s="54" customFormat="1" x14ac:dyDescent="0.2">
      <c r="B477" s="107" t="s">
        <v>534</v>
      </c>
      <c r="C477" s="55" t="s">
        <v>535</v>
      </c>
      <c r="D477" s="56" t="s">
        <v>541</v>
      </c>
    </row>
    <row r="478" spans="2:4" s="54" customFormat="1" x14ac:dyDescent="0.2">
      <c r="B478" s="107" t="s">
        <v>534</v>
      </c>
      <c r="C478" s="55" t="s">
        <v>535</v>
      </c>
      <c r="D478" s="56" t="s">
        <v>542</v>
      </c>
    </row>
    <row r="479" spans="2:4" s="54" customFormat="1" x14ac:dyDescent="0.2">
      <c r="B479" s="107" t="s">
        <v>534</v>
      </c>
      <c r="C479" s="55" t="s">
        <v>535</v>
      </c>
      <c r="D479" s="56" t="s">
        <v>543</v>
      </c>
    </row>
    <row r="480" spans="2:4" s="54" customFormat="1" x14ac:dyDescent="0.2">
      <c r="B480" s="107" t="s">
        <v>534</v>
      </c>
      <c r="C480" s="55" t="s">
        <v>535</v>
      </c>
      <c r="D480" s="56" t="s">
        <v>544</v>
      </c>
    </row>
    <row r="481" spans="2:4" s="54" customFormat="1" x14ac:dyDescent="0.2">
      <c r="B481" s="107" t="s">
        <v>534</v>
      </c>
      <c r="C481" s="55" t="s">
        <v>535</v>
      </c>
      <c r="D481" s="56" t="s">
        <v>545</v>
      </c>
    </row>
    <row r="482" spans="2:4" s="54" customFormat="1" x14ac:dyDescent="0.2">
      <c r="B482" s="107" t="s">
        <v>546</v>
      </c>
      <c r="C482" s="55" t="s">
        <v>547</v>
      </c>
      <c r="D482" s="56" t="s">
        <v>548</v>
      </c>
    </row>
    <row r="483" spans="2:4" s="54" customFormat="1" x14ac:dyDescent="0.2">
      <c r="B483" s="107" t="s">
        <v>546</v>
      </c>
      <c r="C483" s="55" t="s">
        <v>547</v>
      </c>
      <c r="D483" s="56" t="s">
        <v>549</v>
      </c>
    </row>
    <row r="484" spans="2:4" s="54" customFormat="1" x14ac:dyDescent="0.2">
      <c r="B484" s="107" t="s">
        <v>546</v>
      </c>
      <c r="C484" s="55" t="s">
        <v>547</v>
      </c>
      <c r="D484" s="56" t="s">
        <v>550</v>
      </c>
    </row>
    <row r="485" spans="2:4" s="54" customFormat="1" x14ac:dyDescent="0.2">
      <c r="B485" s="107" t="s">
        <v>546</v>
      </c>
      <c r="C485" s="55" t="s">
        <v>547</v>
      </c>
      <c r="D485" s="56" t="s">
        <v>551</v>
      </c>
    </row>
    <row r="486" spans="2:4" s="54" customFormat="1" x14ac:dyDescent="0.2">
      <c r="B486" s="107" t="s">
        <v>546</v>
      </c>
      <c r="C486" s="55" t="s">
        <v>547</v>
      </c>
      <c r="D486" s="56" t="s">
        <v>552</v>
      </c>
    </row>
    <row r="487" spans="2:4" s="54" customFormat="1" x14ac:dyDescent="0.2">
      <c r="B487" s="107" t="s">
        <v>546</v>
      </c>
      <c r="C487" s="55" t="s">
        <v>547</v>
      </c>
      <c r="D487" s="56" t="s">
        <v>553</v>
      </c>
    </row>
    <row r="488" spans="2:4" s="54" customFormat="1" x14ac:dyDescent="0.2">
      <c r="B488" s="107" t="s">
        <v>546</v>
      </c>
      <c r="C488" s="55" t="s">
        <v>547</v>
      </c>
      <c r="D488" s="56" t="s">
        <v>554</v>
      </c>
    </row>
    <row r="489" spans="2:4" s="54" customFormat="1" x14ac:dyDescent="0.2">
      <c r="B489" s="107" t="s">
        <v>546</v>
      </c>
      <c r="C489" s="55" t="s">
        <v>547</v>
      </c>
      <c r="D489" s="56" t="s">
        <v>555</v>
      </c>
    </row>
    <row r="490" spans="2:4" s="54" customFormat="1" x14ac:dyDescent="0.2">
      <c r="B490" s="107" t="s">
        <v>546</v>
      </c>
      <c r="C490" s="55" t="s">
        <v>547</v>
      </c>
      <c r="D490" s="56" t="s">
        <v>556</v>
      </c>
    </row>
    <row r="491" spans="2:4" s="54" customFormat="1" x14ac:dyDescent="0.2">
      <c r="B491" s="107" t="s">
        <v>546</v>
      </c>
      <c r="C491" s="55" t="s">
        <v>547</v>
      </c>
      <c r="D491" s="56" t="s">
        <v>557</v>
      </c>
    </row>
    <row r="492" spans="2:4" s="54" customFormat="1" x14ac:dyDescent="0.2">
      <c r="B492" s="107" t="s">
        <v>546</v>
      </c>
      <c r="C492" s="55" t="s">
        <v>547</v>
      </c>
      <c r="D492" s="56" t="s">
        <v>558</v>
      </c>
    </row>
    <row r="493" spans="2:4" s="54" customFormat="1" x14ac:dyDescent="0.2">
      <c r="B493" s="107" t="s">
        <v>546</v>
      </c>
      <c r="C493" s="55" t="s">
        <v>547</v>
      </c>
      <c r="D493" s="56" t="s">
        <v>559</v>
      </c>
    </row>
    <row r="494" spans="2:4" s="54" customFormat="1" x14ac:dyDescent="0.2">
      <c r="B494" s="107" t="s">
        <v>546</v>
      </c>
      <c r="C494" s="55" t="s">
        <v>547</v>
      </c>
      <c r="D494" s="56" t="s">
        <v>560</v>
      </c>
    </row>
    <row r="495" spans="2:4" s="54" customFormat="1" x14ac:dyDescent="0.2">
      <c r="B495" s="107" t="s">
        <v>561</v>
      </c>
      <c r="C495" s="55" t="s">
        <v>562</v>
      </c>
      <c r="D495" s="56" t="s">
        <v>563</v>
      </c>
    </row>
    <row r="496" spans="2:4" s="54" customFormat="1" x14ac:dyDescent="0.2">
      <c r="B496" s="107" t="s">
        <v>561</v>
      </c>
      <c r="C496" s="55" t="s">
        <v>562</v>
      </c>
      <c r="D496" s="56" t="s">
        <v>564</v>
      </c>
    </row>
    <row r="497" spans="2:4" s="54" customFormat="1" x14ac:dyDescent="0.2">
      <c r="B497" s="107" t="s">
        <v>561</v>
      </c>
      <c r="C497" s="55" t="s">
        <v>562</v>
      </c>
      <c r="D497" s="56" t="s">
        <v>565</v>
      </c>
    </row>
    <row r="498" spans="2:4" s="54" customFormat="1" x14ac:dyDescent="0.2">
      <c r="B498" s="107" t="s">
        <v>561</v>
      </c>
      <c r="C498" s="55" t="s">
        <v>562</v>
      </c>
      <c r="D498" s="56" t="s">
        <v>566</v>
      </c>
    </row>
    <row r="499" spans="2:4" s="54" customFormat="1" x14ac:dyDescent="0.2">
      <c r="B499" s="107" t="s">
        <v>561</v>
      </c>
      <c r="C499" s="55" t="s">
        <v>562</v>
      </c>
      <c r="D499" s="56" t="s">
        <v>567</v>
      </c>
    </row>
    <row r="500" spans="2:4" s="54" customFormat="1" x14ac:dyDescent="0.2">
      <c r="B500" s="107" t="s">
        <v>561</v>
      </c>
      <c r="C500" s="55" t="s">
        <v>562</v>
      </c>
      <c r="D500" s="56" t="s">
        <v>568</v>
      </c>
    </row>
    <row r="501" spans="2:4" s="54" customFormat="1" x14ac:dyDescent="0.2">
      <c r="B501" s="107" t="s">
        <v>561</v>
      </c>
      <c r="C501" s="55" t="s">
        <v>562</v>
      </c>
      <c r="D501" s="56" t="s">
        <v>569</v>
      </c>
    </row>
    <row r="502" spans="2:4" s="54" customFormat="1" x14ac:dyDescent="0.2">
      <c r="B502" s="107" t="s">
        <v>570</v>
      </c>
      <c r="C502" s="55" t="s">
        <v>571</v>
      </c>
      <c r="D502" s="56" t="s">
        <v>572</v>
      </c>
    </row>
    <row r="503" spans="2:4" s="54" customFormat="1" x14ac:dyDescent="0.2">
      <c r="B503" s="107" t="s">
        <v>570</v>
      </c>
      <c r="C503" s="55" t="s">
        <v>571</v>
      </c>
      <c r="D503" s="56" t="s">
        <v>573</v>
      </c>
    </row>
    <row r="504" spans="2:4" s="54" customFormat="1" x14ac:dyDescent="0.2">
      <c r="B504" s="107" t="s">
        <v>570</v>
      </c>
      <c r="C504" s="55" t="s">
        <v>571</v>
      </c>
      <c r="D504" s="56" t="s">
        <v>574</v>
      </c>
    </row>
    <row r="505" spans="2:4" s="54" customFormat="1" x14ac:dyDescent="0.2">
      <c r="B505" s="107" t="s">
        <v>570</v>
      </c>
      <c r="C505" s="55" t="s">
        <v>571</v>
      </c>
      <c r="D505" s="56" t="s">
        <v>575</v>
      </c>
    </row>
    <row r="506" spans="2:4" s="54" customFormat="1" x14ac:dyDescent="0.2">
      <c r="B506" s="107" t="s">
        <v>570</v>
      </c>
      <c r="C506" s="55" t="s">
        <v>571</v>
      </c>
      <c r="D506" s="56" t="s">
        <v>576</v>
      </c>
    </row>
    <row r="507" spans="2:4" s="54" customFormat="1" x14ac:dyDescent="0.2">
      <c r="B507" s="107" t="s">
        <v>570</v>
      </c>
      <c r="C507" s="55" t="s">
        <v>571</v>
      </c>
      <c r="D507" s="56" t="s">
        <v>577</v>
      </c>
    </row>
    <row r="508" spans="2:4" s="54" customFormat="1" x14ac:dyDescent="0.2">
      <c r="B508" s="107" t="s">
        <v>570</v>
      </c>
      <c r="C508" s="55" t="s">
        <v>571</v>
      </c>
      <c r="D508" s="56" t="s">
        <v>578</v>
      </c>
    </row>
    <row r="509" spans="2:4" s="54" customFormat="1" x14ac:dyDescent="0.2">
      <c r="B509" s="107" t="s">
        <v>570</v>
      </c>
      <c r="C509" s="55" t="s">
        <v>571</v>
      </c>
      <c r="D509" s="56" t="s">
        <v>579</v>
      </c>
    </row>
    <row r="510" spans="2:4" s="54" customFormat="1" x14ac:dyDescent="0.2">
      <c r="B510" s="107" t="s">
        <v>570</v>
      </c>
      <c r="C510" s="55" t="s">
        <v>571</v>
      </c>
      <c r="D510" s="56" t="s">
        <v>580</v>
      </c>
    </row>
    <row r="511" spans="2:4" s="54" customFormat="1" x14ac:dyDescent="0.2">
      <c r="B511" s="107" t="s">
        <v>570</v>
      </c>
      <c r="C511" s="55" t="s">
        <v>571</v>
      </c>
      <c r="D511" s="56" t="s">
        <v>581</v>
      </c>
    </row>
    <row r="512" spans="2:4" s="54" customFormat="1" x14ac:dyDescent="0.2">
      <c r="B512" s="107" t="s">
        <v>570</v>
      </c>
      <c r="C512" s="55" t="s">
        <v>571</v>
      </c>
      <c r="D512" s="56" t="s">
        <v>582</v>
      </c>
    </row>
    <row r="513" spans="2:4" s="54" customFormat="1" x14ac:dyDescent="0.2">
      <c r="B513" s="107" t="s">
        <v>570</v>
      </c>
      <c r="C513" s="55" t="s">
        <v>571</v>
      </c>
      <c r="D513" s="56" t="s">
        <v>583</v>
      </c>
    </row>
    <row r="514" spans="2:4" s="54" customFormat="1" x14ac:dyDescent="0.2">
      <c r="B514" s="107" t="s">
        <v>570</v>
      </c>
      <c r="C514" s="55" t="s">
        <v>571</v>
      </c>
      <c r="D514" s="56" t="s">
        <v>584</v>
      </c>
    </row>
    <row r="515" spans="2:4" s="54" customFormat="1" x14ac:dyDescent="0.2">
      <c r="B515" s="107" t="s">
        <v>570</v>
      </c>
      <c r="C515" s="55" t="s">
        <v>571</v>
      </c>
      <c r="D515" s="56" t="s">
        <v>585</v>
      </c>
    </row>
    <row r="516" spans="2:4" s="54" customFormat="1" x14ac:dyDescent="0.2">
      <c r="B516" s="107" t="s">
        <v>570</v>
      </c>
      <c r="C516" s="55" t="s">
        <v>571</v>
      </c>
      <c r="D516" s="56" t="s">
        <v>586</v>
      </c>
    </row>
    <row r="517" spans="2:4" s="54" customFormat="1" x14ac:dyDescent="0.2">
      <c r="B517" s="107" t="s">
        <v>570</v>
      </c>
      <c r="C517" s="55" t="s">
        <v>571</v>
      </c>
      <c r="D517" s="56" t="s">
        <v>587</v>
      </c>
    </row>
    <row r="518" spans="2:4" s="54" customFormat="1" x14ac:dyDescent="0.2">
      <c r="B518" s="107" t="s">
        <v>570</v>
      </c>
      <c r="C518" s="55" t="s">
        <v>571</v>
      </c>
      <c r="D518" s="56" t="s">
        <v>588</v>
      </c>
    </row>
    <row r="519" spans="2:4" s="54" customFormat="1" x14ac:dyDescent="0.2">
      <c r="B519" s="107" t="s">
        <v>570</v>
      </c>
      <c r="C519" s="55" t="s">
        <v>571</v>
      </c>
      <c r="D519" s="56" t="s">
        <v>589</v>
      </c>
    </row>
    <row r="520" spans="2:4" s="54" customFormat="1" x14ac:dyDescent="0.2">
      <c r="B520" s="107" t="s">
        <v>570</v>
      </c>
      <c r="C520" s="55" t="s">
        <v>571</v>
      </c>
      <c r="D520" s="56" t="s">
        <v>590</v>
      </c>
    </row>
    <row r="521" spans="2:4" s="54" customFormat="1" x14ac:dyDescent="0.2">
      <c r="B521" s="107" t="s">
        <v>570</v>
      </c>
      <c r="C521" s="55" t="s">
        <v>571</v>
      </c>
      <c r="D521" s="56" t="s">
        <v>591</v>
      </c>
    </row>
    <row r="522" spans="2:4" s="54" customFormat="1" x14ac:dyDescent="0.2">
      <c r="B522" s="107" t="s">
        <v>570</v>
      </c>
      <c r="C522" s="55" t="s">
        <v>571</v>
      </c>
      <c r="D522" s="56" t="s">
        <v>592</v>
      </c>
    </row>
    <row r="523" spans="2:4" s="54" customFormat="1" x14ac:dyDescent="0.2">
      <c r="B523" s="107" t="s">
        <v>570</v>
      </c>
      <c r="C523" s="55" t="s">
        <v>571</v>
      </c>
      <c r="D523" s="56" t="s">
        <v>593</v>
      </c>
    </row>
    <row r="524" spans="2:4" s="54" customFormat="1" x14ac:dyDescent="0.2">
      <c r="B524" s="107" t="s">
        <v>570</v>
      </c>
      <c r="C524" s="55" t="s">
        <v>571</v>
      </c>
      <c r="D524" s="56" t="s">
        <v>594</v>
      </c>
    </row>
    <row r="525" spans="2:4" s="54" customFormat="1" x14ac:dyDescent="0.2">
      <c r="B525" s="107" t="s">
        <v>570</v>
      </c>
      <c r="C525" s="55" t="s">
        <v>571</v>
      </c>
      <c r="D525" s="56" t="s">
        <v>595</v>
      </c>
    </row>
    <row r="526" spans="2:4" s="54" customFormat="1" x14ac:dyDescent="0.2">
      <c r="B526" s="107" t="s">
        <v>596</v>
      </c>
      <c r="C526" s="55" t="s">
        <v>597</v>
      </c>
      <c r="D526" s="56" t="s">
        <v>598</v>
      </c>
    </row>
    <row r="527" spans="2:4" s="54" customFormat="1" x14ac:dyDescent="0.2">
      <c r="B527" s="107" t="s">
        <v>596</v>
      </c>
      <c r="C527" s="55" t="s">
        <v>597</v>
      </c>
      <c r="D527" s="56" t="s">
        <v>599</v>
      </c>
    </row>
    <row r="528" spans="2:4" s="54" customFormat="1" x14ac:dyDescent="0.2">
      <c r="B528" s="107" t="s">
        <v>596</v>
      </c>
      <c r="C528" s="55" t="s">
        <v>597</v>
      </c>
      <c r="D528" s="56" t="s">
        <v>600</v>
      </c>
    </row>
    <row r="529" spans="2:4" s="54" customFormat="1" x14ac:dyDescent="0.2">
      <c r="B529" s="107" t="s">
        <v>596</v>
      </c>
      <c r="C529" s="55" t="s">
        <v>597</v>
      </c>
      <c r="D529" s="56" t="s">
        <v>601</v>
      </c>
    </row>
    <row r="530" spans="2:4" s="54" customFormat="1" x14ac:dyDescent="0.2">
      <c r="B530" s="107" t="s">
        <v>596</v>
      </c>
      <c r="C530" s="55" t="s">
        <v>597</v>
      </c>
      <c r="D530" s="56" t="s">
        <v>602</v>
      </c>
    </row>
    <row r="531" spans="2:4" s="54" customFormat="1" x14ac:dyDescent="0.2">
      <c r="B531" s="107" t="s">
        <v>596</v>
      </c>
      <c r="C531" s="55" t="s">
        <v>597</v>
      </c>
      <c r="D531" s="56" t="s">
        <v>603</v>
      </c>
    </row>
    <row r="532" spans="2:4" s="54" customFormat="1" x14ac:dyDescent="0.2">
      <c r="B532" s="107" t="s">
        <v>596</v>
      </c>
      <c r="C532" s="55" t="s">
        <v>597</v>
      </c>
      <c r="D532" s="56" t="s">
        <v>604</v>
      </c>
    </row>
    <row r="533" spans="2:4" s="54" customFormat="1" x14ac:dyDescent="0.2">
      <c r="B533" s="107" t="s">
        <v>596</v>
      </c>
      <c r="C533" s="55" t="s">
        <v>597</v>
      </c>
      <c r="D533" s="56" t="s">
        <v>605</v>
      </c>
    </row>
    <row r="534" spans="2:4" s="54" customFormat="1" x14ac:dyDescent="0.2">
      <c r="B534" s="107" t="s">
        <v>596</v>
      </c>
      <c r="C534" s="55" t="s">
        <v>597</v>
      </c>
      <c r="D534" s="56" t="s">
        <v>606</v>
      </c>
    </row>
    <row r="535" spans="2:4" s="54" customFormat="1" x14ac:dyDescent="0.2">
      <c r="B535" s="107" t="s">
        <v>596</v>
      </c>
      <c r="C535" s="55" t="s">
        <v>597</v>
      </c>
      <c r="D535" s="56" t="s">
        <v>607</v>
      </c>
    </row>
    <row r="536" spans="2:4" s="54" customFormat="1" x14ac:dyDescent="0.2">
      <c r="B536" s="107" t="s">
        <v>596</v>
      </c>
      <c r="C536" s="55" t="s">
        <v>597</v>
      </c>
      <c r="D536" s="56" t="s">
        <v>608</v>
      </c>
    </row>
    <row r="537" spans="2:4" s="54" customFormat="1" x14ac:dyDescent="0.2">
      <c r="B537" s="107" t="s">
        <v>596</v>
      </c>
      <c r="C537" s="55" t="s">
        <v>597</v>
      </c>
      <c r="D537" s="56" t="s">
        <v>609</v>
      </c>
    </row>
    <row r="538" spans="2:4" s="54" customFormat="1" x14ac:dyDescent="0.2">
      <c r="B538" s="107" t="s">
        <v>596</v>
      </c>
      <c r="C538" s="55" t="s">
        <v>597</v>
      </c>
      <c r="D538" s="56" t="s">
        <v>610</v>
      </c>
    </row>
    <row r="539" spans="2:4" s="54" customFormat="1" x14ac:dyDescent="0.2">
      <c r="B539" s="107" t="s">
        <v>611</v>
      </c>
      <c r="C539" s="55" t="s">
        <v>612</v>
      </c>
      <c r="D539" s="56" t="s">
        <v>613</v>
      </c>
    </row>
    <row r="540" spans="2:4" s="54" customFormat="1" x14ac:dyDescent="0.2">
      <c r="B540" s="107" t="s">
        <v>611</v>
      </c>
      <c r="C540" s="55" t="s">
        <v>612</v>
      </c>
      <c r="D540" s="56" t="s">
        <v>614</v>
      </c>
    </row>
    <row r="541" spans="2:4" s="54" customFormat="1" x14ac:dyDescent="0.2">
      <c r="B541" s="107" t="s">
        <v>611</v>
      </c>
      <c r="C541" s="55" t="s">
        <v>612</v>
      </c>
      <c r="D541" s="56" t="s">
        <v>615</v>
      </c>
    </row>
    <row r="542" spans="2:4" s="54" customFormat="1" x14ac:dyDescent="0.2">
      <c r="B542" s="107" t="s">
        <v>611</v>
      </c>
      <c r="C542" s="55" t="s">
        <v>612</v>
      </c>
      <c r="D542" s="56" t="s">
        <v>616</v>
      </c>
    </row>
    <row r="543" spans="2:4" s="54" customFormat="1" x14ac:dyDescent="0.2">
      <c r="B543" s="107" t="s">
        <v>611</v>
      </c>
      <c r="C543" s="55" t="s">
        <v>612</v>
      </c>
      <c r="D543" s="56" t="s">
        <v>617</v>
      </c>
    </row>
    <row r="544" spans="2:4" s="54" customFormat="1" x14ac:dyDescent="0.2">
      <c r="B544" s="107" t="s">
        <v>611</v>
      </c>
      <c r="C544" s="55" t="s">
        <v>612</v>
      </c>
      <c r="D544" s="56" t="s">
        <v>618</v>
      </c>
    </row>
    <row r="545" spans="2:4" s="54" customFormat="1" x14ac:dyDescent="0.2">
      <c r="B545" s="107" t="s">
        <v>611</v>
      </c>
      <c r="C545" s="55" t="s">
        <v>612</v>
      </c>
      <c r="D545" s="56" t="s">
        <v>619</v>
      </c>
    </row>
    <row r="546" spans="2:4" s="54" customFormat="1" x14ac:dyDescent="0.2">
      <c r="B546" s="107" t="s">
        <v>611</v>
      </c>
      <c r="C546" s="55" t="s">
        <v>612</v>
      </c>
      <c r="D546" s="56" t="s">
        <v>620</v>
      </c>
    </row>
    <row r="547" spans="2:4" s="54" customFormat="1" x14ac:dyDescent="0.2">
      <c r="B547" s="107" t="s">
        <v>611</v>
      </c>
      <c r="C547" s="55" t="s">
        <v>612</v>
      </c>
      <c r="D547" s="56" t="s">
        <v>621</v>
      </c>
    </row>
    <row r="548" spans="2:4" s="54" customFormat="1" x14ac:dyDescent="0.2">
      <c r="B548" s="107" t="s">
        <v>611</v>
      </c>
      <c r="C548" s="55" t="s">
        <v>612</v>
      </c>
      <c r="D548" s="56" t="s">
        <v>622</v>
      </c>
    </row>
    <row r="549" spans="2:4" s="54" customFormat="1" x14ac:dyDescent="0.2">
      <c r="B549" s="107" t="s">
        <v>611</v>
      </c>
      <c r="C549" s="55" t="s">
        <v>612</v>
      </c>
      <c r="D549" s="56" t="s">
        <v>623</v>
      </c>
    </row>
    <row r="550" spans="2:4" s="54" customFormat="1" x14ac:dyDescent="0.2">
      <c r="B550" s="107" t="s">
        <v>611</v>
      </c>
      <c r="C550" s="55" t="s">
        <v>612</v>
      </c>
      <c r="D550" s="56" t="s">
        <v>624</v>
      </c>
    </row>
    <row r="551" spans="2:4" s="54" customFormat="1" x14ac:dyDescent="0.2">
      <c r="B551" s="107" t="s">
        <v>611</v>
      </c>
      <c r="C551" s="55" t="s">
        <v>612</v>
      </c>
      <c r="D551" s="56" t="s">
        <v>625</v>
      </c>
    </row>
    <row r="552" spans="2:4" s="54" customFormat="1" x14ac:dyDescent="0.2">
      <c r="B552" s="107" t="s">
        <v>611</v>
      </c>
      <c r="C552" s="55" t="s">
        <v>612</v>
      </c>
      <c r="D552" s="56" t="s">
        <v>626</v>
      </c>
    </row>
    <row r="553" spans="2:4" s="54" customFormat="1" x14ac:dyDescent="0.2">
      <c r="B553" s="107" t="s">
        <v>611</v>
      </c>
      <c r="C553" s="55" t="s">
        <v>612</v>
      </c>
      <c r="D553" s="56" t="s">
        <v>627</v>
      </c>
    </row>
    <row r="554" spans="2:4" s="54" customFormat="1" x14ac:dyDescent="0.2">
      <c r="B554" s="107" t="s">
        <v>611</v>
      </c>
      <c r="C554" s="55" t="s">
        <v>612</v>
      </c>
      <c r="D554" s="56" t="s">
        <v>628</v>
      </c>
    </row>
    <row r="555" spans="2:4" s="54" customFormat="1" x14ac:dyDescent="0.2">
      <c r="B555" s="107" t="s">
        <v>611</v>
      </c>
      <c r="C555" s="55" t="s">
        <v>612</v>
      </c>
      <c r="D555" s="56" t="s">
        <v>629</v>
      </c>
    </row>
    <row r="556" spans="2:4" s="54" customFormat="1" x14ac:dyDescent="0.2">
      <c r="B556" s="107" t="s">
        <v>611</v>
      </c>
      <c r="C556" s="55" t="s">
        <v>612</v>
      </c>
      <c r="D556" s="56" t="s">
        <v>630</v>
      </c>
    </row>
    <row r="557" spans="2:4" s="54" customFormat="1" x14ac:dyDescent="0.2">
      <c r="B557" s="107" t="s">
        <v>611</v>
      </c>
      <c r="C557" s="55" t="s">
        <v>612</v>
      </c>
      <c r="D557" s="56" t="s">
        <v>631</v>
      </c>
    </row>
    <row r="558" spans="2:4" s="54" customFormat="1" x14ac:dyDescent="0.2">
      <c r="B558" s="107" t="s">
        <v>611</v>
      </c>
      <c r="C558" s="55" t="s">
        <v>612</v>
      </c>
      <c r="D558" s="56" t="s">
        <v>632</v>
      </c>
    </row>
    <row r="559" spans="2:4" s="54" customFormat="1" x14ac:dyDescent="0.2">
      <c r="B559" s="107" t="s">
        <v>611</v>
      </c>
      <c r="C559" s="55" t="s">
        <v>612</v>
      </c>
      <c r="D559" s="56" t="s">
        <v>633</v>
      </c>
    </row>
    <row r="560" spans="2:4" s="54" customFormat="1" x14ac:dyDescent="0.2">
      <c r="B560" s="107" t="s">
        <v>611</v>
      </c>
      <c r="C560" s="55" t="s">
        <v>612</v>
      </c>
      <c r="D560" s="56" t="s">
        <v>634</v>
      </c>
    </row>
    <row r="561" spans="2:4" s="54" customFormat="1" x14ac:dyDescent="0.2">
      <c r="B561" s="107" t="s">
        <v>611</v>
      </c>
      <c r="C561" s="55" t="s">
        <v>612</v>
      </c>
      <c r="D561" s="56" t="s">
        <v>635</v>
      </c>
    </row>
    <row r="562" spans="2:4" s="54" customFormat="1" x14ac:dyDescent="0.2">
      <c r="B562" s="107" t="s">
        <v>611</v>
      </c>
      <c r="C562" s="55" t="s">
        <v>612</v>
      </c>
      <c r="D562" s="56" t="s">
        <v>636</v>
      </c>
    </row>
    <row r="563" spans="2:4" s="54" customFormat="1" x14ac:dyDescent="0.2">
      <c r="B563" s="107" t="s">
        <v>611</v>
      </c>
      <c r="C563" s="55" t="s">
        <v>612</v>
      </c>
      <c r="D563" s="56" t="s">
        <v>637</v>
      </c>
    </row>
    <row r="564" spans="2:4" s="54" customFormat="1" x14ac:dyDescent="0.2">
      <c r="B564" s="107" t="s">
        <v>611</v>
      </c>
      <c r="C564" s="55" t="s">
        <v>612</v>
      </c>
      <c r="D564" s="56" t="s">
        <v>638</v>
      </c>
    </row>
    <row r="565" spans="2:4" s="54" customFormat="1" x14ac:dyDescent="0.2">
      <c r="B565" s="107" t="s">
        <v>611</v>
      </c>
      <c r="C565" s="55" t="s">
        <v>612</v>
      </c>
      <c r="D565" s="56" t="s">
        <v>639</v>
      </c>
    </row>
    <row r="566" spans="2:4" s="54" customFormat="1" x14ac:dyDescent="0.2">
      <c r="B566" s="107" t="s">
        <v>611</v>
      </c>
      <c r="C566" s="55" t="s">
        <v>612</v>
      </c>
      <c r="D566" s="56" t="s">
        <v>640</v>
      </c>
    </row>
    <row r="567" spans="2:4" s="54" customFormat="1" x14ac:dyDescent="0.2">
      <c r="B567" s="107" t="s">
        <v>611</v>
      </c>
      <c r="C567" s="55" t="s">
        <v>612</v>
      </c>
      <c r="D567" s="56" t="s">
        <v>641</v>
      </c>
    </row>
    <row r="568" spans="2:4" s="54" customFormat="1" x14ac:dyDescent="0.2">
      <c r="B568" s="107" t="s">
        <v>611</v>
      </c>
      <c r="C568" s="55" t="s">
        <v>612</v>
      </c>
      <c r="D568" s="56" t="s">
        <v>642</v>
      </c>
    </row>
    <row r="569" spans="2:4" s="54" customFormat="1" x14ac:dyDescent="0.2">
      <c r="B569" s="107" t="s">
        <v>611</v>
      </c>
      <c r="C569" s="55" t="s">
        <v>612</v>
      </c>
      <c r="D569" s="56" t="s">
        <v>643</v>
      </c>
    </row>
    <row r="570" spans="2:4" s="54" customFormat="1" x14ac:dyDescent="0.2">
      <c r="B570" s="107" t="s">
        <v>611</v>
      </c>
      <c r="C570" s="55" t="s">
        <v>612</v>
      </c>
      <c r="D570" s="56" t="s">
        <v>644</v>
      </c>
    </row>
    <row r="571" spans="2:4" s="54" customFormat="1" x14ac:dyDescent="0.2">
      <c r="B571" s="107" t="s">
        <v>611</v>
      </c>
      <c r="C571" s="55" t="s">
        <v>612</v>
      </c>
      <c r="D571" s="56" t="s">
        <v>645</v>
      </c>
    </row>
    <row r="572" spans="2:4" s="54" customFormat="1" x14ac:dyDescent="0.2">
      <c r="B572" s="107" t="s">
        <v>611</v>
      </c>
      <c r="C572" s="55" t="s">
        <v>612</v>
      </c>
      <c r="D572" s="56" t="s">
        <v>646</v>
      </c>
    </row>
    <row r="573" spans="2:4" s="54" customFormat="1" x14ac:dyDescent="0.2">
      <c r="B573" s="107" t="s">
        <v>647</v>
      </c>
      <c r="C573" s="55" t="s">
        <v>648</v>
      </c>
      <c r="D573" s="56" t="s">
        <v>401</v>
      </c>
    </row>
    <row r="574" spans="2:4" s="54" customFormat="1" x14ac:dyDescent="0.2">
      <c r="B574" s="107" t="s">
        <v>647</v>
      </c>
      <c r="C574" s="55" t="s">
        <v>648</v>
      </c>
      <c r="D574" s="56" t="s">
        <v>649</v>
      </c>
    </row>
    <row r="575" spans="2:4" s="54" customFormat="1" x14ac:dyDescent="0.2">
      <c r="B575" s="107" t="s">
        <v>647</v>
      </c>
      <c r="C575" s="55" t="s">
        <v>648</v>
      </c>
      <c r="D575" s="56" t="s">
        <v>650</v>
      </c>
    </row>
    <row r="576" spans="2:4" s="54" customFormat="1" x14ac:dyDescent="0.2">
      <c r="B576" s="107" t="s">
        <v>647</v>
      </c>
      <c r="C576" s="55" t="s">
        <v>648</v>
      </c>
      <c r="D576" s="56" t="s">
        <v>651</v>
      </c>
    </row>
    <row r="577" spans="2:4" s="54" customFormat="1" x14ac:dyDescent="0.2">
      <c r="B577" s="107" t="s">
        <v>647</v>
      </c>
      <c r="C577" s="55" t="s">
        <v>648</v>
      </c>
      <c r="D577" s="56" t="s">
        <v>652</v>
      </c>
    </row>
    <row r="578" spans="2:4" s="54" customFormat="1" x14ac:dyDescent="0.2">
      <c r="B578" s="107" t="s">
        <v>647</v>
      </c>
      <c r="C578" s="55" t="s">
        <v>648</v>
      </c>
      <c r="D578" s="56" t="s">
        <v>653</v>
      </c>
    </row>
    <row r="579" spans="2:4" s="54" customFormat="1" x14ac:dyDescent="0.2">
      <c r="B579" s="107" t="s">
        <v>647</v>
      </c>
      <c r="C579" s="55" t="s">
        <v>648</v>
      </c>
      <c r="D579" s="56" t="s">
        <v>654</v>
      </c>
    </row>
    <row r="580" spans="2:4" s="54" customFormat="1" x14ac:dyDescent="0.2">
      <c r="B580" s="107" t="s">
        <v>647</v>
      </c>
      <c r="C580" s="55" t="s">
        <v>648</v>
      </c>
      <c r="D580" s="56" t="s">
        <v>655</v>
      </c>
    </row>
    <row r="581" spans="2:4" s="54" customFormat="1" x14ac:dyDescent="0.2">
      <c r="B581" s="107" t="s">
        <v>647</v>
      </c>
      <c r="C581" s="55" t="s">
        <v>648</v>
      </c>
      <c r="D581" s="56" t="s">
        <v>656</v>
      </c>
    </row>
    <row r="582" spans="2:4" s="54" customFormat="1" x14ac:dyDescent="0.2">
      <c r="B582" s="107" t="s">
        <v>647</v>
      </c>
      <c r="C582" s="55" t="s">
        <v>648</v>
      </c>
      <c r="D582" s="56" t="s">
        <v>657</v>
      </c>
    </row>
    <row r="583" spans="2:4" s="54" customFormat="1" x14ac:dyDescent="0.2">
      <c r="B583" s="107" t="s">
        <v>647</v>
      </c>
      <c r="C583" s="55" t="s">
        <v>648</v>
      </c>
      <c r="D583" s="56" t="s">
        <v>658</v>
      </c>
    </row>
    <row r="584" spans="2:4" s="54" customFormat="1" x14ac:dyDescent="0.2">
      <c r="B584" s="107" t="s">
        <v>647</v>
      </c>
      <c r="C584" s="55" t="s">
        <v>648</v>
      </c>
      <c r="D584" s="56" t="s">
        <v>659</v>
      </c>
    </row>
    <row r="585" spans="2:4" s="54" customFormat="1" x14ac:dyDescent="0.2">
      <c r="B585" s="107" t="s">
        <v>647</v>
      </c>
      <c r="C585" s="55" t="s">
        <v>648</v>
      </c>
      <c r="D585" s="56" t="s">
        <v>660</v>
      </c>
    </row>
    <row r="586" spans="2:4" s="54" customFormat="1" x14ac:dyDescent="0.2">
      <c r="B586" s="107" t="s">
        <v>647</v>
      </c>
      <c r="C586" s="55" t="s">
        <v>648</v>
      </c>
      <c r="D586" s="56" t="s">
        <v>661</v>
      </c>
    </row>
    <row r="587" spans="2:4" s="54" customFormat="1" x14ac:dyDescent="0.2">
      <c r="B587" s="107" t="s">
        <v>647</v>
      </c>
      <c r="C587" s="55" t="s">
        <v>648</v>
      </c>
      <c r="D587" s="56" t="s">
        <v>662</v>
      </c>
    </row>
    <row r="588" spans="2:4" s="54" customFormat="1" x14ac:dyDescent="0.2">
      <c r="B588" s="107" t="s">
        <v>647</v>
      </c>
      <c r="C588" s="55" t="s">
        <v>648</v>
      </c>
      <c r="D588" s="56" t="s">
        <v>663</v>
      </c>
    </row>
    <row r="589" spans="2:4" s="54" customFormat="1" x14ac:dyDescent="0.2">
      <c r="B589" s="107" t="s">
        <v>647</v>
      </c>
      <c r="C589" s="55" t="s">
        <v>648</v>
      </c>
      <c r="D589" s="56" t="s">
        <v>664</v>
      </c>
    </row>
    <row r="590" spans="2:4" s="54" customFormat="1" x14ac:dyDescent="0.2">
      <c r="B590" s="107" t="s">
        <v>647</v>
      </c>
      <c r="C590" s="55" t="s">
        <v>648</v>
      </c>
      <c r="D590" s="56" t="s">
        <v>665</v>
      </c>
    </row>
    <row r="591" spans="2:4" s="54" customFormat="1" x14ac:dyDescent="0.2">
      <c r="B591" s="107" t="s">
        <v>647</v>
      </c>
      <c r="C591" s="55" t="s">
        <v>648</v>
      </c>
      <c r="D591" s="56" t="s">
        <v>666</v>
      </c>
    </row>
    <row r="592" spans="2:4" s="54" customFormat="1" x14ac:dyDescent="0.2">
      <c r="B592" s="107" t="s">
        <v>647</v>
      </c>
      <c r="C592" s="55" t="s">
        <v>648</v>
      </c>
      <c r="D592" s="56" t="s">
        <v>667</v>
      </c>
    </row>
    <row r="593" spans="2:4" s="54" customFormat="1" x14ac:dyDescent="0.2">
      <c r="B593" s="107" t="s">
        <v>647</v>
      </c>
      <c r="C593" s="55" t="s">
        <v>648</v>
      </c>
      <c r="D593" s="56" t="s">
        <v>668</v>
      </c>
    </row>
    <row r="594" spans="2:4" s="54" customFormat="1" x14ac:dyDescent="0.2">
      <c r="B594" s="107" t="s">
        <v>647</v>
      </c>
      <c r="C594" s="55" t="s">
        <v>648</v>
      </c>
      <c r="D594" s="56" t="s">
        <v>669</v>
      </c>
    </row>
    <row r="595" spans="2:4" s="54" customFormat="1" x14ac:dyDescent="0.2">
      <c r="B595" s="107" t="s">
        <v>647</v>
      </c>
      <c r="C595" s="55" t="s">
        <v>648</v>
      </c>
      <c r="D595" s="56" t="s">
        <v>670</v>
      </c>
    </row>
    <row r="596" spans="2:4" s="54" customFormat="1" x14ac:dyDescent="0.2">
      <c r="B596" s="107" t="s">
        <v>647</v>
      </c>
      <c r="C596" s="55" t="s">
        <v>648</v>
      </c>
      <c r="D596" s="56" t="s">
        <v>671</v>
      </c>
    </row>
    <row r="597" spans="2:4" s="54" customFormat="1" x14ac:dyDescent="0.2">
      <c r="B597" s="107" t="s">
        <v>647</v>
      </c>
      <c r="C597" s="55" t="s">
        <v>648</v>
      </c>
      <c r="D597" s="56" t="s">
        <v>672</v>
      </c>
    </row>
    <row r="598" spans="2:4" s="54" customFormat="1" x14ac:dyDescent="0.2">
      <c r="B598" s="107" t="s">
        <v>647</v>
      </c>
      <c r="C598" s="55" t="s">
        <v>648</v>
      </c>
      <c r="D598" s="56" t="s">
        <v>673</v>
      </c>
    </row>
    <row r="599" spans="2:4" s="54" customFormat="1" x14ac:dyDescent="0.2">
      <c r="B599" s="107" t="s">
        <v>647</v>
      </c>
      <c r="C599" s="55" t="s">
        <v>648</v>
      </c>
      <c r="D599" s="56" t="s">
        <v>674</v>
      </c>
    </row>
    <row r="600" spans="2:4" s="54" customFormat="1" x14ac:dyDescent="0.2">
      <c r="B600" s="107" t="s">
        <v>647</v>
      </c>
      <c r="C600" s="55" t="s">
        <v>648</v>
      </c>
      <c r="D600" s="56" t="s">
        <v>675</v>
      </c>
    </row>
    <row r="601" spans="2:4" s="54" customFormat="1" x14ac:dyDescent="0.2">
      <c r="B601" s="107" t="s">
        <v>647</v>
      </c>
      <c r="C601" s="55" t="s">
        <v>648</v>
      </c>
      <c r="D601" s="56" t="s">
        <v>676</v>
      </c>
    </row>
    <row r="602" spans="2:4" s="54" customFormat="1" x14ac:dyDescent="0.2">
      <c r="B602" s="107" t="s">
        <v>647</v>
      </c>
      <c r="C602" s="55" t="s">
        <v>648</v>
      </c>
      <c r="D602" s="56" t="s">
        <v>677</v>
      </c>
    </row>
    <row r="603" spans="2:4" s="54" customFormat="1" x14ac:dyDescent="0.2">
      <c r="B603" s="107" t="s">
        <v>647</v>
      </c>
      <c r="C603" s="55" t="s">
        <v>648</v>
      </c>
      <c r="D603" s="56" t="s">
        <v>678</v>
      </c>
    </row>
    <row r="604" spans="2:4" s="54" customFormat="1" x14ac:dyDescent="0.2">
      <c r="B604" s="107" t="s">
        <v>647</v>
      </c>
      <c r="C604" s="55" t="s">
        <v>648</v>
      </c>
      <c r="D604" s="56" t="s">
        <v>679</v>
      </c>
    </row>
    <row r="605" spans="2:4" s="54" customFormat="1" x14ac:dyDescent="0.2">
      <c r="B605" s="107" t="s">
        <v>647</v>
      </c>
      <c r="C605" s="55" t="s">
        <v>648</v>
      </c>
      <c r="D605" s="56" t="s">
        <v>680</v>
      </c>
    </row>
    <row r="606" spans="2:4" s="54" customFormat="1" x14ac:dyDescent="0.2">
      <c r="B606" s="107" t="s">
        <v>681</v>
      </c>
      <c r="C606" s="55" t="s">
        <v>682</v>
      </c>
      <c r="D606" s="56" t="s">
        <v>683</v>
      </c>
    </row>
    <row r="607" spans="2:4" s="54" customFormat="1" x14ac:dyDescent="0.2">
      <c r="B607" s="107" t="s">
        <v>681</v>
      </c>
      <c r="C607" s="55" t="s">
        <v>682</v>
      </c>
      <c r="D607" s="56" t="s">
        <v>684</v>
      </c>
    </row>
    <row r="608" spans="2:4" s="54" customFormat="1" x14ac:dyDescent="0.2">
      <c r="B608" s="107" t="s">
        <v>681</v>
      </c>
      <c r="C608" s="55" t="s">
        <v>682</v>
      </c>
      <c r="D608" s="56" t="s">
        <v>685</v>
      </c>
    </row>
    <row r="609" spans="2:4" s="54" customFormat="1" x14ac:dyDescent="0.2">
      <c r="B609" s="107" t="s">
        <v>686</v>
      </c>
      <c r="C609" s="55" t="s">
        <v>687</v>
      </c>
      <c r="D609" s="56" t="s">
        <v>688</v>
      </c>
    </row>
    <row r="610" spans="2:4" s="54" customFormat="1" x14ac:dyDescent="0.2">
      <c r="B610" s="107" t="s">
        <v>686</v>
      </c>
      <c r="C610" s="55" t="s">
        <v>687</v>
      </c>
      <c r="D610" s="56" t="s">
        <v>689</v>
      </c>
    </row>
    <row r="611" spans="2:4" s="54" customFormat="1" x14ac:dyDescent="0.2">
      <c r="B611" s="107" t="s">
        <v>686</v>
      </c>
      <c r="C611" s="55" t="s">
        <v>687</v>
      </c>
      <c r="D611" s="56" t="s">
        <v>690</v>
      </c>
    </row>
    <row r="612" spans="2:4" s="54" customFormat="1" x14ac:dyDescent="0.2">
      <c r="B612" s="107" t="s">
        <v>686</v>
      </c>
      <c r="C612" s="55" t="s">
        <v>687</v>
      </c>
      <c r="D612" s="56" t="s">
        <v>691</v>
      </c>
    </row>
    <row r="613" spans="2:4" s="54" customFormat="1" x14ac:dyDescent="0.2">
      <c r="B613" s="107" t="s">
        <v>686</v>
      </c>
      <c r="C613" s="55" t="s">
        <v>687</v>
      </c>
      <c r="D613" s="56" t="s">
        <v>692</v>
      </c>
    </row>
    <row r="614" spans="2:4" s="54" customFormat="1" x14ac:dyDescent="0.2">
      <c r="B614" s="107" t="s">
        <v>686</v>
      </c>
      <c r="C614" s="55" t="s">
        <v>687</v>
      </c>
      <c r="D614" s="56" t="s">
        <v>693</v>
      </c>
    </row>
    <row r="615" spans="2:4" s="54" customFormat="1" x14ac:dyDescent="0.2">
      <c r="B615" s="107" t="s">
        <v>686</v>
      </c>
      <c r="C615" s="55" t="s">
        <v>687</v>
      </c>
      <c r="D615" s="56" t="s">
        <v>694</v>
      </c>
    </row>
    <row r="616" spans="2:4" s="54" customFormat="1" x14ac:dyDescent="0.2">
      <c r="B616" s="107" t="s">
        <v>686</v>
      </c>
      <c r="C616" s="55" t="s">
        <v>687</v>
      </c>
      <c r="D616" s="56" t="s">
        <v>695</v>
      </c>
    </row>
    <row r="617" spans="2:4" s="54" customFormat="1" x14ac:dyDescent="0.2">
      <c r="B617" s="107" t="s">
        <v>686</v>
      </c>
      <c r="C617" s="55" t="s">
        <v>687</v>
      </c>
      <c r="D617" s="56" t="s">
        <v>696</v>
      </c>
    </row>
    <row r="618" spans="2:4" s="54" customFormat="1" x14ac:dyDescent="0.2">
      <c r="B618" s="107" t="s">
        <v>686</v>
      </c>
      <c r="C618" s="55" t="s">
        <v>687</v>
      </c>
      <c r="D618" s="56" t="s">
        <v>697</v>
      </c>
    </row>
    <row r="619" spans="2:4" s="54" customFormat="1" x14ac:dyDescent="0.2">
      <c r="B619" s="107" t="s">
        <v>686</v>
      </c>
      <c r="C619" s="55" t="s">
        <v>687</v>
      </c>
      <c r="D619" s="56" t="s">
        <v>698</v>
      </c>
    </row>
    <row r="620" spans="2:4" s="54" customFormat="1" x14ac:dyDescent="0.2">
      <c r="B620" s="107" t="s">
        <v>686</v>
      </c>
      <c r="C620" s="55" t="s">
        <v>687</v>
      </c>
      <c r="D620" s="56" t="s">
        <v>699</v>
      </c>
    </row>
    <row r="621" spans="2:4" s="54" customFormat="1" x14ac:dyDescent="0.2">
      <c r="B621" s="107" t="s">
        <v>700</v>
      </c>
      <c r="C621" s="55" t="s">
        <v>701</v>
      </c>
      <c r="D621" s="56" t="s">
        <v>702</v>
      </c>
    </row>
    <row r="622" spans="2:4" s="54" customFormat="1" x14ac:dyDescent="0.2">
      <c r="B622" s="107" t="s">
        <v>700</v>
      </c>
      <c r="C622" s="55" t="s">
        <v>701</v>
      </c>
      <c r="D622" s="56" t="s">
        <v>703</v>
      </c>
    </row>
    <row r="623" spans="2:4" s="54" customFormat="1" x14ac:dyDescent="0.2">
      <c r="B623" s="107" t="s">
        <v>700</v>
      </c>
      <c r="C623" s="55" t="s">
        <v>701</v>
      </c>
      <c r="D623" s="56" t="s">
        <v>704</v>
      </c>
    </row>
    <row r="624" spans="2:4" s="54" customFormat="1" x14ac:dyDescent="0.2">
      <c r="B624" s="107" t="s">
        <v>700</v>
      </c>
      <c r="C624" s="55" t="s">
        <v>701</v>
      </c>
      <c r="D624" s="56" t="s">
        <v>705</v>
      </c>
    </row>
    <row r="625" spans="2:4" s="54" customFormat="1" x14ac:dyDescent="0.2">
      <c r="B625" s="107" t="s">
        <v>700</v>
      </c>
      <c r="C625" s="55" t="s">
        <v>701</v>
      </c>
      <c r="D625" s="56" t="s">
        <v>706</v>
      </c>
    </row>
    <row r="626" spans="2:4" s="54" customFormat="1" x14ac:dyDescent="0.2">
      <c r="B626" s="107" t="s">
        <v>700</v>
      </c>
      <c r="C626" s="55" t="s">
        <v>701</v>
      </c>
      <c r="D626" s="56" t="s">
        <v>707</v>
      </c>
    </row>
    <row r="627" spans="2:4" s="54" customFormat="1" x14ac:dyDescent="0.2">
      <c r="B627" s="107" t="s">
        <v>700</v>
      </c>
      <c r="C627" s="55" t="s">
        <v>701</v>
      </c>
      <c r="D627" s="56" t="s">
        <v>708</v>
      </c>
    </row>
    <row r="628" spans="2:4" s="54" customFormat="1" x14ac:dyDescent="0.2">
      <c r="B628" s="107" t="s">
        <v>700</v>
      </c>
      <c r="C628" s="55" t="s">
        <v>701</v>
      </c>
      <c r="D628" s="56" t="s">
        <v>709</v>
      </c>
    </row>
    <row r="629" spans="2:4" s="54" customFormat="1" x14ac:dyDescent="0.2">
      <c r="B629" s="107" t="s">
        <v>700</v>
      </c>
      <c r="C629" s="55" t="s">
        <v>701</v>
      </c>
      <c r="D629" s="56" t="s">
        <v>710</v>
      </c>
    </row>
    <row r="630" spans="2:4" s="54" customFormat="1" x14ac:dyDescent="0.2">
      <c r="B630" s="107" t="s">
        <v>700</v>
      </c>
      <c r="C630" s="55" t="s">
        <v>701</v>
      </c>
      <c r="D630" s="56" t="s">
        <v>711</v>
      </c>
    </row>
    <row r="631" spans="2:4" s="54" customFormat="1" x14ac:dyDescent="0.2">
      <c r="B631" s="107" t="s">
        <v>700</v>
      </c>
      <c r="C631" s="55" t="s">
        <v>701</v>
      </c>
      <c r="D631" s="56" t="s">
        <v>712</v>
      </c>
    </row>
    <row r="632" spans="2:4" s="54" customFormat="1" x14ac:dyDescent="0.2">
      <c r="B632" s="107" t="s">
        <v>713</v>
      </c>
      <c r="C632" s="55" t="s">
        <v>714</v>
      </c>
      <c r="D632" s="56" t="s">
        <v>715</v>
      </c>
    </row>
    <row r="633" spans="2:4" s="54" customFormat="1" x14ac:dyDescent="0.2">
      <c r="B633" s="107" t="s">
        <v>713</v>
      </c>
      <c r="C633" s="55" t="s">
        <v>714</v>
      </c>
      <c r="D633" s="56" t="s">
        <v>716</v>
      </c>
    </row>
    <row r="634" spans="2:4" s="54" customFormat="1" x14ac:dyDescent="0.2">
      <c r="B634" s="107" t="s">
        <v>713</v>
      </c>
      <c r="C634" s="55" t="s">
        <v>714</v>
      </c>
      <c r="D634" s="56" t="s">
        <v>717</v>
      </c>
    </row>
    <row r="635" spans="2:4" s="54" customFormat="1" x14ac:dyDescent="0.2">
      <c r="B635" s="107" t="s">
        <v>713</v>
      </c>
      <c r="C635" s="55" t="s">
        <v>714</v>
      </c>
      <c r="D635" s="56" t="s">
        <v>718</v>
      </c>
    </row>
    <row r="636" spans="2:4" s="54" customFormat="1" x14ac:dyDescent="0.2">
      <c r="B636" s="107" t="s">
        <v>713</v>
      </c>
      <c r="C636" s="55" t="s">
        <v>714</v>
      </c>
      <c r="D636" s="56" t="s">
        <v>719</v>
      </c>
    </row>
    <row r="637" spans="2:4" s="54" customFormat="1" x14ac:dyDescent="0.2">
      <c r="B637" s="107" t="s">
        <v>713</v>
      </c>
      <c r="C637" s="55" t="s">
        <v>714</v>
      </c>
      <c r="D637" s="56" t="s">
        <v>720</v>
      </c>
    </row>
    <row r="638" spans="2:4" s="54" customFormat="1" x14ac:dyDescent="0.2">
      <c r="B638" s="107" t="s">
        <v>713</v>
      </c>
      <c r="C638" s="55" t="s">
        <v>714</v>
      </c>
      <c r="D638" s="56" t="s">
        <v>721</v>
      </c>
    </row>
    <row r="639" spans="2:4" s="54" customFormat="1" x14ac:dyDescent="0.2">
      <c r="B639" s="107" t="s">
        <v>722</v>
      </c>
      <c r="C639" s="55" t="s">
        <v>723</v>
      </c>
      <c r="D639" s="56" t="s">
        <v>724</v>
      </c>
    </row>
    <row r="640" spans="2:4" s="54" customFormat="1" x14ac:dyDescent="0.2">
      <c r="B640" s="107" t="s">
        <v>722</v>
      </c>
      <c r="C640" s="55" t="s">
        <v>723</v>
      </c>
      <c r="D640" s="56" t="s">
        <v>725</v>
      </c>
    </row>
    <row r="641" spans="2:4" s="54" customFormat="1" x14ac:dyDescent="0.2">
      <c r="B641" s="107" t="s">
        <v>722</v>
      </c>
      <c r="C641" s="55" t="s">
        <v>723</v>
      </c>
      <c r="D641" s="56" t="s">
        <v>726</v>
      </c>
    </row>
    <row r="642" spans="2:4" s="54" customFormat="1" x14ac:dyDescent="0.2">
      <c r="B642" s="107" t="s">
        <v>722</v>
      </c>
      <c r="C642" s="55" t="s">
        <v>723</v>
      </c>
      <c r="D642" s="56" t="s">
        <v>727</v>
      </c>
    </row>
    <row r="643" spans="2:4" s="54" customFormat="1" x14ac:dyDescent="0.2">
      <c r="B643" s="107" t="s">
        <v>722</v>
      </c>
      <c r="C643" s="55" t="s">
        <v>723</v>
      </c>
      <c r="D643" s="56" t="s">
        <v>728</v>
      </c>
    </row>
    <row r="644" spans="2:4" s="54" customFormat="1" x14ac:dyDescent="0.2">
      <c r="B644" s="107" t="s">
        <v>722</v>
      </c>
      <c r="C644" s="55" t="s">
        <v>723</v>
      </c>
      <c r="D644" s="56" t="s">
        <v>729</v>
      </c>
    </row>
    <row r="645" spans="2:4" s="54" customFormat="1" x14ac:dyDescent="0.2">
      <c r="B645" s="107" t="s">
        <v>722</v>
      </c>
      <c r="C645" s="55" t="s">
        <v>723</v>
      </c>
      <c r="D645" s="56" t="s">
        <v>730</v>
      </c>
    </row>
    <row r="646" spans="2:4" s="54" customFormat="1" x14ac:dyDescent="0.2">
      <c r="B646" s="107" t="s">
        <v>722</v>
      </c>
      <c r="C646" s="55" t="s">
        <v>723</v>
      </c>
      <c r="D646" s="56" t="s">
        <v>731</v>
      </c>
    </row>
    <row r="647" spans="2:4" s="54" customFormat="1" x14ac:dyDescent="0.2">
      <c r="B647" s="107" t="s">
        <v>722</v>
      </c>
      <c r="C647" s="55" t="s">
        <v>723</v>
      </c>
      <c r="D647" s="56" t="s">
        <v>732</v>
      </c>
    </row>
    <row r="648" spans="2:4" s="54" customFormat="1" x14ac:dyDescent="0.2">
      <c r="B648" s="107" t="s">
        <v>722</v>
      </c>
      <c r="C648" s="55" t="s">
        <v>723</v>
      </c>
      <c r="D648" s="56" t="s">
        <v>733</v>
      </c>
    </row>
    <row r="649" spans="2:4" s="54" customFormat="1" x14ac:dyDescent="0.2">
      <c r="B649" s="107" t="s">
        <v>722</v>
      </c>
      <c r="C649" s="55" t="s">
        <v>723</v>
      </c>
      <c r="D649" s="56" t="s">
        <v>734</v>
      </c>
    </row>
    <row r="650" spans="2:4" s="54" customFormat="1" x14ac:dyDescent="0.2">
      <c r="B650" s="107" t="s">
        <v>722</v>
      </c>
      <c r="C650" s="55" t="s">
        <v>723</v>
      </c>
      <c r="D650" s="56" t="s">
        <v>735</v>
      </c>
    </row>
    <row r="651" spans="2:4" s="54" customFormat="1" x14ac:dyDescent="0.2">
      <c r="B651" s="107" t="s">
        <v>722</v>
      </c>
      <c r="C651" s="55" t="s">
        <v>723</v>
      </c>
      <c r="D651" s="56" t="s">
        <v>736</v>
      </c>
    </row>
    <row r="652" spans="2:4" s="54" customFormat="1" x14ac:dyDescent="0.2">
      <c r="B652" s="107" t="s">
        <v>722</v>
      </c>
      <c r="C652" s="55" t="s">
        <v>723</v>
      </c>
      <c r="D652" s="56" t="s">
        <v>737</v>
      </c>
    </row>
    <row r="653" spans="2:4" s="54" customFormat="1" x14ac:dyDescent="0.2">
      <c r="B653" s="107" t="s">
        <v>722</v>
      </c>
      <c r="C653" s="55" t="s">
        <v>723</v>
      </c>
      <c r="D653" s="56" t="s">
        <v>738</v>
      </c>
    </row>
    <row r="654" spans="2:4" s="54" customFormat="1" x14ac:dyDescent="0.2">
      <c r="B654" s="107" t="s">
        <v>722</v>
      </c>
      <c r="C654" s="55" t="s">
        <v>723</v>
      </c>
      <c r="D654" s="56" t="s">
        <v>739</v>
      </c>
    </row>
    <row r="655" spans="2:4" s="54" customFormat="1" x14ac:dyDescent="0.2">
      <c r="B655" s="107" t="s">
        <v>722</v>
      </c>
      <c r="C655" s="55" t="s">
        <v>723</v>
      </c>
      <c r="D655" s="56" t="s">
        <v>740</v>
      </c>
    </row>
    <row r="656" spans="2:4" s="54" customFormat="1" x14ac:dyDescent="0.2">
      <c r="B656" s="107" t="s">
        <v>722</v>
      </c>
      <c r="C656" s="55" t="s">
        <v>723</v>
      </c>
      <c r="D656" s="56" t="s">
        <v>741</v>
      </c>
    </row>
    <row r="657" spans="2:4" s="54" customFormat="1" x14ac:dyDescent="0.2">
      <c r="B657" s="107" t="s">
        <v>722</v>
      </c>
      <c r="C657" s="55" t="s">
        <v>723</v>
      </c>
      <c r="D657" s="56" t="s">
        <v>742</v>
      </c>
    </row>
    <row r="658" spans="2:4" s="54" customFormat="1" x14ac:dyDescent="0.2">
      <c r="B658" s="107" t="s">
        <v>722</v>
      </c>
      <c r="C658" s="55" t="s">
        <v>723</v>
      </c>
      <c r="D658" s="56" t="s">
        <v>743</v>
      </c>
    </row>
    <row r="659" spans="2:4" s="54" customFormat="1" x14ac:dyDescent="0.2">
      <c r="B659" s="107" t="s">
        <v>722</v>
      </c>
      <c r="C659" s="55" t="s">
        <v>723</v>
      </c>
      <c r="D659" s="56" t="s">
        <v>744</v>
      </c>
    </row>
    <row r="660" spans="2:4" s="54" customFormat="1" x14ac:dyDescent="0.2">
      <c r="B660" s="107" t="s">
        <v>722</v>
      </c>
      <c r="C660" s="55" t="s">
        <v>723</v>
      </c>
      <c r="D660" s="56" t="s">
        <v>745</v>
      </c>
    </row>
    <row r="661" spans="2:4" s="54" customFormat="1" x14ac:dyDescent="0.2">
      <c r="B661" s="107" t="s">
        <v>722</v>
      </c>
      <c r="C661" s="55" t="s">
        <v>723</v>
      </c>
      <c r="D661" s="56" t="s">
        <v>746</v>
      </c>
    </row>
    <row r="662" spans="2:4" s="54" customFormat="1" x14ac:dyDescent="0.2">
      <c r="B662" s="107" t="s">
        <v>722</v>
      </c>
      <c r="C662" s="55" t="s">
        <v>723</v>
      </c>
      <c r="D662" s="56" t="s">
        <v>747</v>
      </c>
    </row>
    <row r="663" spans="2:4" s="54" customFormat="1" x14ac:dyDescent="0.2">
      <c r="B663" s="107" t="s">
        <v>722</v>
      </c>
      <c r="C663" s="55" t="s">
        <v>723</v>
      </c>
      <c r="D663" s="56" t="s">
        <v>748</v>
      </c>
    </row>
    <row r="664" spans="2:4" s="54" customFormat="1" x14ac:dyDescent="0.2">
      <c r="B664" s="107" t="s">
        <v>722</v>
      </c>
      <c r="C664" s="55" t="s">
        <v>723</v>
      </c>
      <c r="D664" s="56" t="s">
        <v>749</v>
      </c>
    </row>
    <row r="665" spans="2:4" s="54" customFormat="1" x14ac:dyDescent="0.2">
      <c r="B665" s="107" t="s">
        <v>722</v>
      </c>
      <c r="C665" s="55" t="s">
        <v>723</v>
      </c>
      <c r="D665" s="56" t="s">
        <v>750</v>
      </c>
    </row>
    <row r="666" spans="2:4" s="54" customFormat="1" x14ac:dyDescent="0.2">
      <c r="B666" s="107" t="s">
        <v>722</v>
      </c>
      <c r="C666" s="55" t="s">
        <v>723</v>
      </c>
      <c r="D666" s="56" t="s">
        <v>751</v>
      </c>
    </row>
    <row r="667" spans="2:4" s="54" customFormat="1" x14ac:dyDescent="0.2">
      <c r="B667" s="107" t="s">
        <v>722</v>
      </c>
      <c r="C667" s="55" t="s">
        <v>723</v>
      </c>
      <c r="D667" s="56" t="s">
        <v>752</v>
      </c>
    </row>
    <row r="668" spans="2:4" s="54" customFormat="1" x14ac:dyDescent="0.2">
      <c r="B668" s="107" t="s">
        <v>722</v>
      </c>
      <c r="C668" s="55" t="s">
        <v>723</v>
      </c>
      <c r="D668" s="56" t="s">
        <v>753</v>
      </c>
    </row>
    <row r="669" spans="2:4" s="54" customFormat="1" x14ac:dyDescent="0.2">
      <c r="B669" s="107" t="s">
        <v>722</v>
      </c>
      <c r="C669" s="55" t="s">
        <v>723</v>
      </c>
      <c r="D669" s="56" t="s">
        <v>754</v>
      </c>
    </row>
    <row r="670" spans="2:4" s="54" customFormat="1" x14ac:dyDescent="0.2">
      <c r="B670" s="107" t="s">
        <v>722</v>
      </c>
      <c r="C670" s="55" t="s">
        <v>723</v>
      </c>
      <c r="D670" s="56" t="s">
        <v>755</v>
      </c>
    </row>
    <row r="671" spans="2:4" s="54" customFormat="1" x14ac:dyDescent="0.2">
      <c r="B671" s="107" t="s">
        <v>722</v>
      </c>
      <c r="C671" s="55" t="s">
        <v>723</v>
      </c>
      <c r="D671" s="56" t="s">
        <v>756</v>
      </c>
    </row>
    <row r="672" spans="2:4" s="54" customFormat="1" x14ac:dyDescent="0.2">
      <c r="B672" s="107" t="s">
        <v>757</v>
      </c>
      <c r="C672" s="55" t="s">
        <v>758</v>
      </c>
      <c r="D672" s="56" t="s">
        <v>759</v>
      </c>
    </row>
    <row r="673" spans="2:4" s="54" customFormat="1" x14ac:dyDescent="0.2">
      <c r="B673" s="107" t="s">
        <v>757</v>
      </c>
      <c r="C673" s="55" t="s">
        <v>758</v>
      </c>
      <c r="D673" s="56" t="s">
        <v>760</v>
      </c>
    </row>
    <row r="674" spans="2:4" s="54" customFormat="1" x14ac:dyDescent="0.2">
      <c r="B674" s="107" t="s">
        <v>757</v>
      </c>
      <c r="C674" s="55" t="s">
        <v>758</v>
      </c>
      <c r="D674" s="56" t="s">
        <v>761</v>
      </c>
    </row>
    <row r="675" spans="2:4" s="54" customFormat="1" x14ac:dyDescent="0.2">
      <c r="B675" s="107" t="s">
        <v>757</v>
      </c>
      <c r="C675" s="55" t="s">
        <v>758</v>
      </c>
      <c r="D675" s="56" t="s">
        <v>762</v>
      </c>
    </row>
    <row r="676" spans="2:4" s="54" customFormat="1" x14ac:dyDescent="0.2">
      <c r="B676" s="107" t="s">
        <v>757</v>
      </c>
      <c r="C676" s="55" t="s">
        <v>758</v>
      </c>
      <c r="D676" s="56" t="s">
        <v>763</v>
      </c>
    </row>
    <row r="677" spans="2:4" s="54" customFormat="1" x14ac:dyDescent="0.2">
      <c r="B677" s="107" t="s">
        <v>757</v>
      </c>
      <c r="C677" s="55" t="s">
        <v>758</v>
      </c>
      <c r="D677" s="56" t="s">
        <v>764</v>
      </c>
    </row>
    <row r="678" spans="2:4" s="54" customFormat="1" x14ac:dyDescent="0.2">
      <c r="B678" s="107" t="s">
        <v>757</v>
      </c>
      <c r="C678" s="55" t="s">
        <v>758</v>
      </c>
      <c r="D678" s="56" t="s">
        <v>765</v>
      </c>
    </row>
    <row r="679" spans="2:4" s="54" customFormat="1" x14ac:dyDescent="0.2">
      <c r="B679" s="107" t="s">
        <v>757</v>
      </c>
      <c r="C679" s="55" t="s">
        <v>758</v>
      </c>
      <c r="D679" s="56" t="s">
        <v>766</v>
      </c>
    </row>
    <row r="680" spans="2:4" s="54" customFormat="1" x14ac:dyDescent="0.2">
      <c r="B680" s="107" t="s">
        <v>757</v>
      </c>
      <c r="C680" s="55" t="s">
        <v>758</v>
      </c>
      <c r="D680" s="56" t="s">
        <v>767</v>
      </c>
    </row>
    <row r="681" spans="2:4" s="54" customFormat="1" x14ac:dyDescent="0.2">
      <c r="B681" s="107" t="s">
        <v>757</v>
      </c>
      <c r="C681" s="55" t="s">
        <v>758</v>
      </c>
      <c r="D681" s="56" t="s">
        <v>768</v>
      </c>
    </row>
    <row r="682" spans="2:4" s="54" customFormat="1" x14ac:dyDescent="0.2">
      <c r="B682" s="107" t="s">
        <v>757</v>
      </c>
      <c r="C682" s="55" t="s">
        <v>758</v>
      </c>
      <c r="D682" s="56" t="s">
        <v>769</v>
      </c>
    </row>
    <row r="683" spans="2:4" s="54" customFormat="1" x14ac:dyDescent="0.2">
      <c r="B683" s="107" t="s">
        <v>757</v>
      </c>
      <c r="C683" s="55" t="s">
        <v>758</v>
      </c>
      <c r="D683" s="56" t="s">
        <v>770</v>
      </c>
    </row>
    <row r="684" spans="2:4" s="54" customFormat="1" x14ac:dyDescent="0.2">
      <c r="B684" s="107" t="s">
        <v>757</v>
      </c>
      <c r="C684" s="55" t="s">
        <v>758</v>
      </c>
      <c r="D684" s="56" t="s">
        <v>771</v>
      </c>
    </row>
    <row r="685" spans="2:4" s="54" customFormat="1" x14ac:dyDescent="0.2">
      <c r="B685" s="107" t="s">
        <v>757</v>
      </c>
      <c r="C685" s="55" t="s">
        <v>758</v>
      </c>
      <c r="D685" s="56" t="s">
        <v>772</v>
      </c>
    </row>
    <row r="686" spans="2:4" s="54" customFormat="1" x14ac:dyDescent="0.2">
      <c r="B686" s="107" t="s">
        <v>757</v>
      </c>
      <c r="C686" s="55" t="s">
        <v>758</v>
      </c>
      <c r="D686" s="56" t="s">
        <v>773</v>
      </c>
    </row>
    <row r="687" spans="2:4" s="54" customFormat="1" x14ac:dyDescent="0.2">
      <c r="B687" s="107" t="s">
        <v>757</v>
      </c>
      <c r="C687" s="55" t="s">
        <v>758</v>
      </c>
      <c r="D687" s="56" t="s">
        <v>774</v>
      </c>
    </row>
    <row r="688" spans="2:4" s="54" customFormat="1" x14ac:dyDescent="0.2">
      <c r="B688" s="107" t="s">
        <v>757</v>
      </c>
      <c r="C688" s="55" t="s">
        <v>758</v>
      </c>
      <c r="D688" s="56" t="s">
        <v>775</v>
      </c>
    </row>
    <row r="689" spans="2:4" s="54" customFormat="1" x14ac:dyDescent="0.2">
      <c r="B689" s="107" t="s">
        <v>757</v>
      </c>
      <c r="C689" s="55" t="s">
        <v>758</v>
      </c>
      <c r="D689" s="56" t="s">
        <v>776</v>
      </c>
    </row>
    <row r="690" spans="2:4" s="54" customFormat="1" x14ac:dyDescent="0.2">
      <c r="B690" s="107" t="s">
        <v>757</v>
      </c>
      <c r="C690" s="55" t="s">
        <v>758</v>
      </c>
      <c r="D690" s="56" t="s">
        <v>777</v>
      </c>
    </row>
    <row r="691" spans="2:4" s="54" customFormat="1" x14ac:dyDescent="0.2">
      <c r="B691" s="107" t="s">
        <v>757</v>
      </c>
      <c r="C691" s="55" t="s">
        <v>758</v>
      </c>
      <c r="D691" s="56" t="s">
        <v>778</v>
      </c>
    </row>
    <row r="692" spans="2:4" s="54" customFormat="1" x14ac:dyDescent="0.2">
      <c r="B692" s="107" t="s">
        <v>757</v>
      </c>
      <c r="C692" s="55" t="s">
        <v>758</v>
      </c>
      <c r="D692" s="56" t="s">
        <v>779</v>
      </c>
    </row>
    <row r="693" spans="2:4" s="54" customFormat="1" x14ac:dyDescent="0.2">
      <c r="B693" s="107" t="s">
        <v>780</v>
      </c>
      <c r="C693" s="55" t="s">
        <v>781</v>
      </c>
      <c r="D693" s="56" t="s">
        <v>782</v>
      </c>
    </row>
    <row r="694" spans="2:4" s="54" customFormat="1" x14ac:dyDescent="0.2">
      <c r="B694" s="107" t="s">
        <v>780</v>
      </c>
      <c r="C694" s="55" t="s">
        <v>781</v>
      </c>
      <c r="D694" s="56" t="s">
        <v>783</v>
      </c>
    </row>
    <row r="695" spans="2:4" s="54" customFormat="1" x14ac:dyDescent="0.2">
      <c r="B695" s="107" t="s">
        <v>780</v>
      </c>
      <c r="C695" s="55" t="s">
        <v>781</v>
      </c>
      <c r="D695" s="56" t="s">
        <v>784</v>
      </c>
    </row>
    <row r="696" spans="2:4" s="54" customFormat="1" x14ac:dyDescent="0.2">
      <c r="B696" s="107" t="s">
        <v>780</v>
      </c>
      <c r="C696" s="55" t="s">
        <v>781</v>
      </c>
      <c r="D696" s="56" t="s">
        <v>785</v>
      </c>
    </row>
    <row r="697" spans="2:4" s="54" customFormat="1" x14ac:dyDescent="0.2">
      <c r="B697" s="107" t="s">
        <v>780</v>
      </c>
      <c r="C697" s="55" t="s">
        <v>781</v>
      </c>
      <c r="D697" s="56" t="s">
        <v>786</v>
      </c>
    </row>
    <row r="698" spans="2:4" s="54" customFormat="1" x14ac:dyDescent="0.2">
      <c r="B698" s="107" t="s">
        <v>780</v>
      </c>
      <c r="C698" s="55" t="s">
        <v>781</v>
      </c>
      <c r="D698" s="56" t="s">
        <v>787</v>
      </c>
    </row>
    <row r="699" spans="2:4" s="54" customFormat="1" x14ac:dyDescent="0.2">
      <c r="B699" s="107" t="s">
        <v>780</v>
      </c>
      <c r="C699" s="55" t="s">
        <v>781</v>
      </c>
      <c r="D699" s="56" t="s">
        <v>788</v>
      </c>
    </row>
    <row r="700" spans="2:4" s="54" customFormat="1" x14ac:dyDescent="0.2">
      <c r="B700" s="107" t="s">
        <v>780</v>
      </c>
      <c r="C700" s="55" t="s">
        <v>781</v>
      </c>
      <c r="D700" s="56" t="s">
        <v>789</v>
      </c>
    </row>
    <row r="701" spans="2:4" s="54" customFormat="1" x14ac:dyDescent="0.2">
      <c r="B701" s="107" t="s">
        <v>780</v>
      </c>
      <c r="C701" s="55" t="s">
        <v>781</v>
      </c>
      <c r="D701" s="56" t="s">
        <v>790</v>
      </c>
    </row>
    <row r="702" spans="2:4" s="54" customFormat="1" x14ac:dyDescent="0.2">
      <c r="B702" s="107" t="s">
        <v>780</v>
      </c>
      <c r="C702" s="55" t="s">
        <v>781</v>
      </c>
      <c r="D702" s="56" t="s">
        <v>791</v>
      </c>
    </row>
    <row r="703" spans="2:4" s="54" customFormat="1" x14ac:dyDescent="0.2">
      <c r="B703" s="107" t="s">
        <v>780</v>
      </c>
      <c r="C703" s="55" t="s">
        <v>781</v>
      </c>
      <c r="D703" s="56" t="s">
        <v>792</v>
      </c>
    </row>
    <row r="704" spans="2:4" s="54" customFormat="1" x14ac:dyDescent="0.2">
      <c r="B704" s="107" t="s">
        <v>780</v>
      </c>
      <c r="C704" s="55" t="s">
        <v>781</v>
      </c>
      <c r="D704" s="56" t="s">
        <v>793</v>
      </c>
    </row>
    <row r="705" spans="2:4" s="54" customFormat="1" x14ac:dyDescent="0.2">
      <c r="B705" s="107" t="s">
        <v>780</v>
      </c>
      <c r="C705" s="55" t="s">
        <v>781</v>
      </c>
      <c r="D705" s="56" t="s">
        <v>794</v>
      </c>
    </row>
    <row r="706" spans="2:4" s="54" customFormat="1" x14ac:dyDescent="0.2">
      <c r="B706" s="107" t="s">
        <v>780</v>
      </c>
      <c r="C706" s="55" t="s">
        <v>781</v>
      </c>
      <c r="D706" s="56" t="s">
        <v>795</v>
      </c>
    </row>
    <row r="707" spans="2:4" s="54" customFormat="1" x14ac:dyDescent="0.2">
      <c r="B707" s="107" t="s">
        <v>780</v>
      </c>
      <c r="C707" s="55" t="s">
        <v>781</v>
      </c>
      <c r="D707" s="56" t="s">
        <v>796</v>
      </c>
    </row>
    <row r="708" spans="2:4" s="54" customFormat="1" x14ac:dyDescent="0.2">
      <c r="B708" s="107" t="s">
        <v>797</v>
      </c>
      <c r="C708" s="55" t="s">
        <v>798</v>
      </c>
      <c r="D708" s="56" t="s">
        <v>799</v>
      </c>
    </row>
    <row r="709" spans="2:4" s="54" customFormat="1" x14ac:dyDescent="0.2">
      <c r="B709" s="107" t="s">
        <v>797</v>
      </c>
      <c r="C709" s="55" t="s">
        <v>798</v>
      </c>
      <c r="D709" s="56" t="s">
        <v>800</v>
      </c>
    </row>
    <row r="710" spans="2:4" s="54" customFormat="1" x14ac:dyDescent="0.2">
      <c r="B710" s="107" t="s">
        <v>797</v>
      </c>
      <c r="C710" s="55" t="s">
        <v>798</v>
      </c>
      <c r="D710" s="56" t="s">
        <v>801</v>
      </c>
    </row>
    <row r="711" spans="2:4" s="54" customFormat="1" x14ac:dyDescent="0.2">
      <c r="B711" s="107" t="s">
        <v>797</v>
      </c>
      <c r="C711" s="55" t="s">
        <v>798</v>
      </c>
      <c r="D711" s="56" t="s">
        <v>802</v>
      </c>
    </row>
    <row r="712" spans="2:4" s="54" customFormat="1" x14ac:dyDescent="0.2">
      <c r="B712" s="107" t="s">
        <v>797</v>
      </c>
      <c r="C712" s="55" t="s">
        <v>798</v>
      </c>
      <c r="D712" s="56" t="s">
        <v>803</v>
      </c>
    </row>
    <row r="713" spans="2:4" s="54" customFormat="1" x14ac:dyDescent="0.2">
      <c r="B713" s="107" t="s">
        <v>797</v>
      </c>
      <c r="C713" s="55" t="s">
        <v>798</v>
      </c>
      <c r="D713" s="56" t="s">
        <v>804</v>
      </c>
    </row>
    <row r="714" spans="2:4" s="54" customFormat="1" x14ac:dyDescent="0.2">
      <c r="B714" s="107" t="s">
        <v>805</v>
      </c>
      <c r="C714" s="55" t="s">
        <v>806</v>
      </c>
      <c r="D714" s="56" t="s">
        <v>807</v>
      </c>
    </row>
    <row r="715" spans="2:4" s="54" customFormat="1" x14ac:dyDescent="0.2">
      <c r="B715" s="107" t="s">
        <v>805</v>
      </c>
      <c r="C715" s="55" t="s">
        <v>806</v>
      </c>
      <c r="D715" s="56" t="s">
        <v>808</v>
      </c>
    </row>
    <row r="716" spans="2:4" s="54" customFormat="1" x14ac:dyDescent="0.2">
      <c r="B716" s="107" t="s">
        <v>805</v>
      </c>
      <c r="C716" s="55" t="s">
        <v>806</v>
      </c>
      <c r="D716" s="56" t="s">
        <v>809</v>
      </c>
    </row>
    <row r="717" spans="2:4" s="54" customFormat="1" x14ac:dyDescent="0.2">
      <c r="B717" s="107" t="s">
        <v>805</v>
      </c>
      <c r="C717" s="55" t="s">
        <v>806</v>
      </c>
      <c r="D717" s="56" t="s">
        <v>810</v>
      </c>
    </row>
    <row r="718" spans="2:4" s="54" customFormat="1" x14ac:dyDescent="0.2">
      <c r="B718" s="107" t="s">
        <v>805</v>
      </c>
      <c r="C718" s="55" t="s">
        <v>806</v>
      </c>
      <c r="D718" s="56" t="s">
        <v>811</v>
      </c>
    </row>
    <row r="719" spans="2:4" s="54" customFormat="1" x14ac:dyDescent="0.2">
      <c r="B719" s="107" t="s">
        <v>805</v>
      </c>
      <c r="C719" s="55" t="s">
        <v>806</v>
      </c>
      <c r="D719" s="56" t="s">
        <v>812</v>
      </c>
    </row>
    <row r="720" spans="2:4" s="54" customFormat="1" x14ac:dyDescent="0.2">
      <c r="B720" s="107" t="s">
        <v>805</v>
      </c>
      <c r="C720" s="55" t="s">
        <v>806</v>
      </c>
      <c r="D720" s="56" t="s">
        <v>813</v>
      </c>
    </row>
    <row r="721" spans="2:4" s="54" customFormat="1" x14ac:dyDescent="0.2">
      <c r="B721" s="107" t="s">
        <v>805</v>
      </c>
      <c r="C721" s="55" t="s">
        <v>806</v>
      </c>
      <c r="D721" s="56" t="s">
        <v>814</v>
      </c>
    </row>
    <row r="722" spans="2:4" s="54" customFormat="1" x14ac:dyDescent="0.2">
      <c r="B722" s="107" t="s">
        <v>805</v>
      </c>
      <c r="C722" s="55" t="s">
        <v>806</v>
      </c>
      <c r="D722" s="56" t="s">
        <v>815</v>
      </c>
    </row>
    <row r="723" spans="2:4" s="54" customFormat="1" x14ac:dyDescent="0.2">
      <c r="B723" s="107" t="s">
        <v>805</v>
      </c>
      <c r="C723" s="55" t="s">
        <v>806</v>
      </c>
      <c r="D723" s="56" t="s">
        <v>816</v>
      </c>
    </row>
    <row r="724" spans="2:4" s="54" customFormat="1" x14ac:dyDescent="0.2">
      <c r="B724" s="107" t="s">
        <v>805</v>
      </c>
      <c r="C724" s="55" t="s">
        <v>806</v>
      </c>
      <c r="D724" s="56" t="s">
        <v>817</v>
      </c>
    </row>
    <row r="725" spans="2:4" s="54" customFormat="1" x14ac:dyDescent="0.2">
      <c r="B725" s="107" t="s">
        <v>805</v>
      </c>
      <c r="C725" s="55" t="s">
        <v>806</v>
      </c>
      <c r="D725" s="56" t="s">
        <v>818</v>
      </c>
    </row>
    <row r="726" spans="2:4" s="54" customFormat="1" x14ac:dyDescent="0.2">
      <c r="B726" s="107" t="s">
        <v>805</v>
      </c>
      <c r="C726" s="55" t="s">
        <v>806</v>
      </c>
      <c r="D726" s="56" t="s">
        <v>819</v>
      </c>
    </row>
    <row r="727" spans="2:4" s="54" customFormat="1" x14ac:dyDescent="0.2">
      <c r="B727" s="107" t="s">
        <v>805</v>
      </c>
      <c r="C727" s="55" t="s">
        <v>806</v>
      </c>
      <c r="D727" s="56" t="s">
        <v>820</v>
      </c>
    </row>
    <row r="728" spans="2:4" s="54" customFormat="1" x14ac:dyDescent="0.2">
      <c r="B728" s="107" t="s">
        <v>821</v>
      </c>
      <c r="C728" s="55" t="s">
        <v>822</v>
      </c>
      <c r="D728" s="56" t="s">
        <v>823</v>
      </c>
    </row>
    <row r="729" spans="2:4" s="54" customFormat="1" x14ac:dyDescent="0.2">
      <c r="B729" s="107" t="s">
        <v>821</v>
      </c>
      <c r="C729" s="55" t="s">
        <v>822</v>
      </c>
      <c r="D729" s="56" t="s">
        <v>824</v>
      </c>
    </row>
    <row r="730" spans="2:4" s="54" customFormat="1" x14ac:dyDescent="0.2">
      <c r="B730" s="107" t="s">
        <v>821</v>
      </c>
      <c r="C730" s="55" t="s">
        <v>822</v>
      </c>
      <c r="D730" s="56" t="s">
        <v>825</v>
      </c>
    </row>
    <row r="731" spans="2:4" s="54" customFormat="1" x14ac:dyDescent="0.2">
      <c r="B731" s="107" t="s">
        <v>821</v>
      </c>
      <c r="C731" s="55" t="s">
        <v>822</v>
      </c>
      <c r="D731" s="56" t="s">
        <v>826</v>
      </c>
    </row>
    <row r="732" spans="2:4" s="54" customFormat="1" x14ac:dyDescent="0.2">
      <c r="B732" s="107" t="s">
        <v>821</v>
      </c>
      <c r="C732" s="55" t="s">
        <v>822</v>
      </c>
      <c r="D732" s="56" t="s">
        <v>827</v>
      </c>
    </row>
    <row r="733" spans="2:4" s="54" customFormat="1" x14ac:dyDescent="0.2">
      <c r="B733" s="107" t="s">
        <v>821</v>
      </c>
      <c r="C733" s="55" t="s">
        <v>822</v>
      </c>
      <c r="D733" s="56" t="s">
        <v>828</v>
      </c>
    </row>
    <row r="734" spans="2:4" s="54" customFormat="1" x14ac:dyDescent="0.2">
      <c r="B734" s="107" t="s">
        <v>821</v>
      </c>
      <c r="C734" s="55" t="s">
        <v>822</v>
      </c>
      <c r="D734" s="56" t="s">
        <v>829</v>
      </c>
    </row>
    <row r="735" spans="2:4" s="54" customFormat="1" x14ac:dyDescent="0.2">
      <c r="B735" s="107" t="s">
        <v>821</v>
      </c>
      <c r="C735" s="55" t="s">
        <v>822</v>
      </c>
      <c r="D735" s="56" t="s">
        <v>830</v>
      </c>
    </row>
    <row r="736" spans="2:4" s="54" customFormat="1" x14ac:dyDescent="0.2">
      <c r="B736" s="107" t="s">
        <v>821</v>
      </c>
      <c r="C736" s="55" t="s">
        <v>822</v>
      </c>
      <c r="D736" s="56" t="s">
        <v>831</v>
      </c>
    </row>
    <row r="737" spans="2:4" s="54" customFormat="1" x14ac:dyDescent="0.2">
      <c r="B737" s="107" t="s">
        <v>821</v>
      </c>
      <c r="C737" s="55" t="s">
        <v>822</v>
      </c>
      <c r="D737" s="56" t="s">
        <v>832</v>
      </c>
    </row>
    <row r="738" spans="2:4" s="54" customFormat="1" x14ac:dyDescent="0.2">
      <c r="B738" s="107" t="s">
        <v>821</v>
      </c>
      <c r="C738" s="55" t="s">
        <v>822</v>
      </c>
      <c r="D738" s="56" t="s">
        <v>833</v>
      </c>
    </row>
    <row r="739" spans="2:4" s="54" customFormat="1" x14ac:dyDescent="0.2">
      <c r="B739" s="107" t="s">
        <v>821</v>
      </c>
      <c r="C739" s="55" t="s">
        <v>822</v>
      </c>
      <c r="D739" s="56" t="s">
        <v>834</v>
      </c>
    </row>
    <row r="740" spans="2:4" s="54" customFormat="1" x14ac:dyDescent="0.2">
      <c r="B740" s="107" t="s">
        <v>835</v>
      </c>
      <c r="C740" s="55" t="s">
        <v>836</v>
      </c>
      <c r="D740" s="56" t="s">
        <v>837</v>
      </c>
    </row>
    <row r="741" spans="2:4" s="54" customFormat="1" x14ac:dyDescent="0.2">
      <c r="B741" s="107" t="s">
        <v>835</v>
      </c>
      <c r="C741" s="55" t="s">
        <v>836</v>
      </c>
      <c r="D741" s="56" t="s">
        <v>838</v>
      </c>
    </row>
    <row r="742" spans="2:4" s="54" customFormat="1" x14ac:dyDescent="0.2">
      <c r="B742" s="107" t="s">
        <v>835</v>
      </c>
      <c r="C742" s="55" t="s">
        <v>836</v>
      </c>
      <c r="D742" s="56" t="s">
        <v>839</v>
      </c>
    </row>
    <row r="743" spans="2:4" s="54" customFormat="1" x14ac:dyDescent="0.2">
      <c r="B743" s="107" t="s">
        <v>835</v>
      </c>
      <c r="C743" s="55" t="s">
        <v>836</v>
      </c>
      <c r="D743" s="56" t="s">
        <v>840</v>
      </c>
    </row>
    <row r="744" spans="2:4" s="54" customFormat="1" x14ac:dyDescent="0.2">
      <c r="B744" s="107" t="s">
        <v>835</v>
      </c>
      <c r="C744" s="55" t="s">
        <v>836</v>
      </c>
      <c r="D744" s="56" t="s">
        <v>841</v>
      </c>
    </row>
    <row r="745" spans="2:4" s="54" customFormat="1" x14ac:dyDescent="0.2">
      <c r="B745" s="107" t="s">
        <v>835</v>
      </c>
      <c r="C745" s="55" t="s">
        <v>836</v>
      </c>
      <c r="D745" s="56" t="s">
        <v>842</v>
      </c>
    </row>
    <row r="746" spans="2:4" s="54" customFormat="1" x14ac:dyDescent="0.2">
      <c r="B746" s="107" t="s">
        <v>835</v>
      </c>
      <c r="C746" s="55" t="s">
        <v>836</v>
      </c>
      <c r="D746" s="56" t="s">
        <v>843</v>
      </c>
    </row>
    <row r="747" spans="2:4" s="54" customFormat="1" x14ac:dyDescent="0.2">
      <c r="B747" s="107" t="s">
        <v>835</v>
      </c>
      <c r="C747" s="55" t="s">
        <v>836</v>
      </c>
      <c r="D747" s="56" t="s">
        <v>844</v>
      </c>
    </row>
    <row r="748" spans="2:4" s="54" customFormat="1" x14ac:dyDescent="0.2">
      <c r="B748" s="107" t="s">
        <v>835</v>
      </c>
      <c r="C748" s="55" t="s">
        <v>836</v>
      </c>
      <c r="D748" s="56" t="s">
        <v>845</v>
      </c>
    </row>
    <row r="749" spans="2:4" s="54" customFormat="1" x14ac:dyDescent="0.2">
      <c r="B749" s="107" t="s">
        <v>835</v>
      </c>
      <c r="C749" s="55" t="s">
        <v>836</v>
      </c>
      <c r="D749" s="56" t="s">
        <v>846</v>
      </c>
    </row>
    <row r="750" spans="2:4" s="54" customFormat="1" x14ac:dyDescent="0.2">
      <c r="B750" s="107" t="s">
        <v>835</v>
      </c>
      <c r="C750" s="55" t="s">
        <v>836</v>
      </c>
      <c r="D750" s="56" t="s">
        <v>847</v>
      </c>
    </row>
    <row r="751" spans="2:4" s="54" customFormat="1" x14ac:dyDescent="0.2">
      <c r="B751" s="107" t="s">
        <v>835</v>
      </c>
      <c r="C751" s="55" t="s">
        <v>836</v>
      </c>
      <c r="D751" s="56" t="s">
        <v>848</v>
      </c>
    </row>
    <row r="752" spans="2:4" s="54" customFormat="1" x14ac:dyDescent="0.2">
      <c r="B752" s="107" t="s">
        <v>835</v>
      </c>
      <c r="C752" s="55" t="s">
        <v>836</v>
      </c>
      <c r="D752" s="56" t="s">
        <v>849</v>
      </c>
    </row>
    <row r="753" spans="2:4" s="54" customFormat="1" x14ac:dyDescent="0.2">
      <c r="B753" s="107" t="s">
        <v>835</v>
      </c>
      <c r="C753" s="55" t="s">
        <v>836</v>
      </c>
      <c r="D753" s="56" t="s">
        <v>850</v>
      </c>
    </row>
    <row r="754" spans="2:4" s="54" customFormat="1" x14ac:dyDescent="0.2">
      <c r="B754" s="107" t="s">
        <v>835</v>
      </c>
      <c r="C754" s="55" t="s">
        <v>836</v>
      </c>
      <c r="D754" s="56" t="s">
        <v>851</v>
      </c>
    </row>
    <row r="755" spans="2:4" s="54" customFormat="1" x14ac:dyDescent="0.2">
      <c r="B755" s="107" t="s">
        <v>835</v>
      </c>
      <c r="C755" s="55" t="s">
        <v>836</v>
      </c>
      <c r="D755" s="56" t="s">
        <v>852</v>
      </c>
    </row>
    <row r="756" spans="2:4" s="54" customFormat="1" x14ac:dyDescent="0.2">
      <c r="B756" s="107" t="s">
        <v>835</v>
      </c>
      <c r="C756" s="55" t="s">
        <v>836</v>
      </c>
      <c r="D756" s="56" t="s">
        <v>853</v>
      </c>
    </row>
    <row r="757" spans="2:4" s="54" customFormat="1" x14ac:dyDescent="0.2">
      <c r="B757" s="107" t="s">
        <v>835</v>
      </c>
      <c r="C757" s="55" t="s">
        <v>836</v>
      </c>
      <c r="D757" s="56" t="s">
        <v>854</v>
      </c>
    </row>
    <row r="758" spans="2:4" s="54" customFormat="1" x14ac:dyDescent="0.2">
      <c r="B758" s="107" t="s">
        <v>835</v>
      </c>
      <c r="C758" s="55" t="s">
        <v>836</v>
      </c>
      <c r="D758" s="56" t="s">
        <v>855</v>
      </c>
    </row>
    <row r="759" spans="2:4" s="54" customFormat="1" x14ac:dyDescent="0.2">
      <c r="B759" s="107" t="s">
        <v>835</v>
      </c>
      <c r="C759" s="55" t="s">
        <v>836</v>
      </c>
      <c r="D759" s="56" t="s">
        <v>856</v>
      </c>
    </row>
    <row r="760" spans="2:4" s="54" customFormat="1" x14ac:dyDescent="0.2">
      <c r="B760" s="107" t="s">
        <v>835</v>
      </c>
      <c r="C760" s="55" t="s">
        <v>836</v>
      </c>
      <c r="D760" s="56" t="s">
        <v>857</v>
      </c>
    </row>
    <row r="761" spans="2:4" s="54" customFormat="1" x14ac:dyDescent="0.2">
      <c r="B761" s="107" t="s">
        <v>835</v>
      </c>
      <c r="C761" s="55" t="s">
        <v>836</v>
      </c>
      <c r="D761" s="56" t="s">
        <v>858</v>
      </c>
    </row>
    <row r="762" spans="2:4" s="54" customFormat="1" x14ac:dyDescent="0.2">
      <c r="B762" s="107" t="s">
        <v>835</v>
      </c>
      <c r="C762" s="55" t="s">
        <v>836</v>
      </c>
      <c r="D762" s="56" t="s">
        <v>859</v>
      </c>
    </row>
    <row r="763" spans="2:4" s="54" customFormat="1" x14ac:dyDescent="0.2">
      <c r="B763" s="107" t="s">
        <v>835</v>
      </c>
      <c r="C763" s="55" t="s">
        <v>836</v>
      </c>
      <c r="D763" s="56" t="s">
        <v>860</v>
      </c>
    </row>
    <row r="764" spans="2:4" s="54" customFormat="1" x14ac:dyDescent="0.2">
      <c r="B764" s="107" t="s">
        <v>835</v>
      </c>
      <c r="C764" s="55" t="s">
        <v>836</v>
      </c>
      <c r="D764" s="56" t="s">
        <v>861</v>
      </c>
    </row>
    <row r="765" spans="2:4" s="54" customFormat="1" x14ac:dyDescent="0.2">
      <c r="B765" s="107" t="s">
        <v>835</v>
      </c>
      <c r="C765" s="55" t="s">
        <v>836</v>
      </c>
      <c r="D765" s="56" t="s">
        <v>862</v>
      </c>
    </row>
    <row r="766" spans="2:4" s="54" customFormat="1" x14ac:dyDescent="0.2">
      <c r="B766" s="107" t="s">
        <v>863</v>
      </c>
      <c r="C766" s="55" t="s">
        <v>864</v>
      </c>
      <c r="D766" s="56" t="s">
        <v>865</v>
      </c>
    </row>
    <row r="767" spans="2:4" s="54" customFormat="1" x14ac:dyDescent="0.2">
      <c r="B767" s="107" t="s">
        <v>863</v>
      </c>
      <c r="C767" s="55" t="s">
        <v>864</v>
      </c>
      <c r="D767" s="56" t="s">
        <v>866</v>
      </c>
    </row>
    <row r="768" spans="2:4" s="54" customFormat="1" x14ac:dyDescent="0.2">
      <c r="B768" s="107" t="s">
        <v>863</v>
      </c>
      <c r="C768" s="55" t="s">
        <v>864</v>
      </c>
      <c r="D768" s="56" t="s">
        <v>867</v>
      </c>
    </row>
    <row r="769" spans="2:4" s="54" customFormat="1" x14ac:dyDescent="0.2">
      <c r="B769" s="107" t="s">
        <v>863</v>
      </c>
      <c r="C769" s="55" t="s">
        <v>864</v>
      </c>
      <c r="D769" s="56" t="s">
        <v>868</v>
      </c>
    </row>
    <row r="770" spans="2:4" s="54" customFormat="1" x14ac:dyDescent="0.2">
      <c r="B770" s="107" t="s">
        <v>863</v>
      </c>
      <c r="C770" s="55" t="s">
        <v>864</v>
      </c>
      <c r="D770" s="56" t="s">
        <v>869</v>
      </c>
    </row>
    <row r="771" spans="2:4" s="54" customFormat="1" x14ac:dyDescent="0.2">
      <c r="B771" s="107" t="s">
        <v>870</v>
      </c>
      <c r="C771" s="55" t="s">
        <v>871</v>
      </c>
      <c r="D771" s="56" t="s">
        <v>872</v>
      </c>
    </row>
    <row r="772" spans="2:4" s="54" customFormat="1" x14ac:dyDescent="0.2">
      <c r="B772" s="107" t="s">
        <v>870</v>
      </c>
      <c r="C772" s="55" t="s">
        <v>871</v>
      </c>
      <c r="D772" s="56" t="s">
        <v>873</v>
      </c>
    </row>
    <row r="773" spans="2:4" s="54" customFormat="1" x14ac:dyDescent="0.2">
      <c r="B773" s="107" t="s">
        <v>870</v>
      </c>
      <c r="C773" s="55" t="s">
        <v>871</v>
      </c>
      <c r="D773" s="56" t="s">
        <v>874</v>
      </c>
    </row>
    <row r="774" spans="2:4" s="54" customFormat="1" x14ac:dyDescent="0.2">
      <c r="B774" s="107" t="s">
        <v>870</v>
      </c>
      <c r="C774" s="55" t="s">
        <v>871</v>
      </c>
      <c r="D774" s="56" t="s">
        <v>871</v>
      </c>
    </row>
    <row r="775" spans="2:4" s="54" customFormat="1" x14ac:dyDescent="0.2">
      <c r="B775" s="107" t="s">
        <v>870</v>
      </c>
      <c r="C775" s="55" t="s">
        <v>871</v>
      </c>
      <c r="D775" s="56" t="s">
        <v>875</v>
      </c>
    </row>
    <row r="776" spans="2:4" s="54" customFormat="1" x14ac:dyDescent="0.2">
      <c r="B776" s="107" t="s">
        <v>870</v>
      </c>
      <c r="C776" s="55" t="s">
        <v>871</v>
      </c>
      <c r="D776" s="56" t="s">
        <v>876</v>
      </c>
    </row>
    <row r="777" spans="2:4" s="54" customFormat="1" x14ac:dyDescent="0.2">
      <c r="B777" s="107" t="s">
        <v>877</v>
      </c>
      <c r="C777" s="55" t="s">
        <v>878</v>
      </c>
      <c r="D777" s="56" t="s">
        <v>879</v>
      </c>
    </row>
    <row r="778" spans="2:4" s="54" customFormat="1" x14ac:dyDescent="0.2">
      <c r="B778" s="107" t="s">
        <v>877</v>
      </c>
      <c r="C778" s="55" t="s">
        <v>878</v>
      </c>
      <c r="D778" s="56" t="s">
        <v>880</v>
      </c>
    </row>
    <row r="779" spans="2:4" s="54" customFormat="1" x14ac:dyDescent="0.2">
      <c r="B779" s="107" t="s">
        <v>877</v>
      </c>
      <c r="C779" s="55" t="s">
        <v>878</v>
      </c>
      <c r="D779" s="56" t="s">
        <v>166</v>
      </c>
    </row>
    <row r="780" spans="2:4" s="54" customFormat="1" x14ac:dyDescent="0.2">
      <c r="B780" s="107" t="s">
        <v>877</v>
      </c>
      <c r="C780" s="55" t="s">
        <v>878</v>
      </c>
      <c r="D780" s="56" t="s">
        <v>167</v>
      </c>
    </row>
    <row r="781" spans="2:4" s="54" customFormat="1" x14ac:dyDescent="0.2">
      <c r="B781" s="107" t="s">
        <v>877</v>
      </c>
      <c r="C781" s="55" t="s">
        <v>878</v>
      </c>
      <c r="D781" s="56" t="s">
        <v>881</v>
      </c>
    </row>
    <row r="782" spans="2:4" s="54" customFormat="1" x14ac:dyDescent="0.2">
      <c r="B782" s="107" t="s">
        <v>877</v>
      </c>
      <c r="C782" s="55" t="s">
        <v>878</v>
      </c>
      <c r="D782" s="56" t="s">
        <v>882</v>
      </c>
    </row>
    <row r="783" spans="2:4" s="54" customFormat="1" x14ac:dyDescent="0.2">
      <c r="B783" s="107" t="s">
        <v>877</v>
      </c>
      <c r="C783" s="55" t="s">
        <v>878</v>
      </c>
      <c r="D783" s="56" t="s">
        <v>883</v>
      </c>
    </row>
    <row r="784" spans="2:4" s="54" customFormat="1" x14ac:dyDescent="0.2">
      <c r="B784" s="107" t="s">
        <v>877</v>
      </c>
      <c r="C784" s="55" t="s">
        <v>878</v>
      </c>
      <c r="D784" s="56" t="s">
        <v>884</v>
      </c>
    </row>
    <row r="785" spans="2:4" s="54" customFormat="1" x14ac:dyDescent="0.2">
      <c r="B785" s="107" t="s">
        <v>877</v>
      </c>
      <c r="C785" s="55" t="s">
        <v>878</v>
      </c>
      <c r="D785" s="56" t="s">
        <v>169</v>
      </c>
    </row>
    <row r="786" spans="2:4" s="54" customFormat="1" x14ac:dyDescent="0.2">
      <c r="B786" s="107" t="s">
        <v>877</v>
      </c>
      <c r="C786" s="55" t="s">
        <v>878</v>
      </c>
      <c r="D786" s="56" t="s">
        <v>170</v>
      </c>
    </row>
    <row r="787" spans="2:4" s="54" customFormat="1" x14ac:dyDescent="0.2">
      <c r="B787" s="107" t="s">
        <v>885</v>
      </c>
      <c r="C787" s="55" t="s">
        <v>886</v>
      </c>
      <c r="D787" s="56" t="s">
        <v>887</v>
      </c>
    </row>
    <row r="788" spans="2:4" s="54" customFormat="1" x14ac:dyDescent="0.2">
      <c r="B788" s="107" t="s">
        <v>885</v>
      </c>
      <c r="C788" s="55" t="s">
        <v>886</v>
      </c>
      <c r="D788" s="56" t="s">
        <v>888</v>
      </c>
    </row>
    <row r="789" spans="2:4" s="54" customFormat="1" x14ac:dyDescent="0.2">
      <c r="B789" s="107" t="s">
        <v>885</v>
      </c>
      <c r="C789" s="55" t="s">
        <v>886</v>
      </c>
      <c r="D789" s="56" t="s">
        <v>889</v>
      </c>
    </row>
    <row r="790" spans="2:4" s="54" customFormat="1" x14ac:dyDescent="0.2">
      <c r="B790" s="107" t="s">
        <v>885</v>
      </c>
      <c r="C790" s="55" t="s">
        <v>886</v>
      </c>
      <c r="D790" s="56" t="s">
        <v>890</v>
      </c>
    </row>
    <row r="791" spans="2:4" s="54" customFormat="1" x14ac:dyDescent="0.2">
      <c r="B791" s="107" t="s">
        <v>885</v>
      </c>
      <c r="C791" s="55" t="s">
        <v>886</v>
      </c>
      <c r="D791" s="56" t="s">
        <v>891</v>
      </c>
    </row>
    <row r="792" spans="2:4" s="54" customFormat="1" x14ac:dyDescent="0.2">
      <c r="B792" s="107" t="s">
        <v>885</v>
      </c>
      <c r="C792" s="55" t="s">
        <v>886</v>
      </c>
      <c r="D792" s="56" t="s">
        <v>892</v>
      </c>
    </row>
    <row r="793" spans="2:4" s="54" customFormat="1" x14ac:dyDescent="0.2">
      <c r="B793" s="107" t="s">
        <v>885</v>
      </c>
      <c r="C793" s="55" t="s">
        <v>886</v>
      </c>
      <c r="D793" s="56" t="s">
        <v>893</v>
      </c>
    </row>
    <row r="794" spans="2:4" s="54" customFormat="1" x14ac:dyDescent="0.2">
      <c r="B794" s="107" t="s">
        <v>885</v>
      </c>
      <c r="C794" s="55" t="s">
        <v>886</v>
      </c>
      <c r="D794" s="56" t="s">
        <v>894</v>
      </c>
    </row>
    <row r="795" spans="2:4" s="54" customFormat="1" x14ac:dyDescent="0.2">
      <c r="B795" s="107" t="s">
        <v>885</v>
      </c>
      <c r="C795" s="55" t="s">
        <v>886</v>
      </c>
      <c r="D795" s="56" t="s">
        <v>895</v>
      </c>
    </row>
    <row r="796" spans="2:4" s="54" customFormat="1" x14ac:dyDescent="0.2">
      <c r="B796" s="107" t="s">
        <v>885</v>
      </c>
      <c r="C796" s="55" t="s">
        <v>886</v>
      </c>
      <c r="D796" s="56" t="s">
        <v>896</v>
      </c>
    </row>
    <row r="797" spans="2:4" s="54" customFormat="1" x14ac:dyDescent="0.2">
      <c r="B797" s="107" t="s">
        <v>885</v>
      </c>
      <c r="C797" s="55" t="s">
        <v>886</v>
      </c>
      <c r="D797" s="56" t="s">
        <v>897</v>
      </c>
    </row>
    <row r="798" spans="2:4" s="54" customFormat="1" x14ac:dyDescent="0.2">
      <c r="B798" s="107" t="s">
        <v>885</v>
      </c>
      <c r="C798" s="55" t="s">
        <v>886</v>
      </c>
      <c r="D798" s="56" t="s">
        <v>898</v>
      </c>
    </row>
    <row r="799" spans="2:4" s="54" customFormat="1" x14ac:dyDescent="0.2">
      <c r="B799" s="107" t="s">
        <v>885</v>
      </c>
      <c r="C799" s="55" t="s">
        <v>886</v>
      </c>
      <c r="D799" s="56" t="s">
        <v>899</v>
      </c>
    </row>
    <row r="800" spans="2:4" s="54" customFormat="1" x14ac:dyDescent="0.2">
      <c r="B800" s="107" t="s">
        <v>885</v>
      </c>
      <c r="C800" s="55" t="s">
        <v>886</v>
      </c>
      <c r="D800" s="56" t="s">
        <v>900</v>
      </c>
    </row>
    <row r="801" spans="2:4" s="54" customFormat="1" x14ac:dyDescent="0.2">
      <c r="B801" s="107" t="s">
        <v>885</v>
      </c>
      <c r="C801" s="55" t="s">
        <v>886</v>
      </c>
      <c r="D801" s="56" t="s">
        <v>901</v>
      </c>
    </row>
    <row r="802" spans="2:4" s="54" customFormat="1" x14ac:dyDescent="0.2">
      <c r="B802" s="107" t="s">
        <v>885</v>
      </c>
      <c r="C802" s="55" t="s">
        <v>886</v>
      </c>
      <c r="D802" s="56" t="s">
        <v>902</v>
      </c>
    </row>
    <row r="803" spans="2:4" s="54" customFormat="1" x14ac:dyDescent="0.2">
      <c r="B803" s="107" t="s">
        <v>885</v>
      </c>
      <c r="C803" s="55" t="s">
        <v>886</v>
      </c>
      <c r="D803" s="56" t="s">
        <v>903</v>
      </c>
    </row>
    <row r="804" spans="2:4" s="54" customFormat="1" x14ac:dyDescent="0.2">
      <c r="B804" s="107" t="s">
        <v>885</v>
      </c>
      <c r="C804" s="55" t="s">
        <v>886</v>
      </c>
      <c r="D804" s="56" t="s">
        <v>904</v>
      </c>
    </row>
    <row r="805" spans="2:4" s="54" customFormat="1" x14ac:dyDescent="0.2">
      <c r="B805" s="107" t="s">
        <v>885</v>
      </c>
      <c r="C805" s="55" t="s">
        <v>886</v>
      </c>
      <c r="D805" s="56" t="s">
        <v>905</v>
      </c>
    </row>
    <row r="806" spans="2:4" s="54" customFormat="1" x14ac:dyDescent="0.2">
      <c r="B806" s="107" t="s">
        <v>885</v>
      </c>
      <c r="C806" s="55" t="s">
        <v>886</v>
      </c>
      <c r="D806" s="56" t="s">
        <v>906</v>
      </c>
    </row>
    <row r="807" spans="2:4" s="54" customFormat="1" x14ac:dyDescent="0.2">
      <c r="B807" s="107" t="s">
        <v>885</v>
      </c>
      <c r="C807" s="55" t="s">
        <v>886</v>
      </c>
      <c r="D807" s="56" t="s">
        <v>907</v>
      </c>
    </row>
    <row r="808" spans="2:4" s="54" customFormat="1" x14ac:dyDescent="0.2">
      <c r="B808" s="107" t="s">
        <v>885</v>
      </c>
      <c r="C808" s="55" t="s">
        <v>886</v>
      </c>
      <c r="D808" s="56" t="s">
        <v>908</v>
      </c>
    </row>
    <row r="809" spans="2:4" s="54" customFormat="1" x14ac:dyDescent="0.2">
      <c r="B809" s="107" t="s">
        <v>885</v>
      </c>
      <c r="C809" s="55" t="s">
        <v>886</v>
      </c>
      <c r="D809" s="56" t="s">
        <v>909</v>
      </c>
    </row>
    <row r="810" spans="2:4" s="54" customFormat="1" x14ac:dyDescent="0.2">
      <c r="B810" s="107" t="s">
        <v>885</v>
      </c>
      <c r="C810" s="55" t="s">
        <v>886</v>
      </c>
      <c r="D810" s="56" t="s">
        <v>910</v>
      </c>
    </row>
    <row r="811" spans="2:4" s="54" customFormat="1" x14ac:dyDescent="0.2">
      <c r="B811" s="107" t="s">
        <v>885</v>
      </c>
      <c r="C811" s="55" t="s">
        <v>886</v>
      </c>
      <c r="D811" s="56" t="s">
        <v>911</v>
      </c>
    </row>
    <row r="812" spans="2:4" s="54" customFormat="1" x14ac:dyDescent="0.2">
      <c r="B812" s="107" t="s">
        <v>885</v>
      </c>
      <c r="C812" s="55" t="s">
        <v>886</v>
      </c>
      <c r="D812" s="56" t="s">
        <v>191</v>
      </c>
    </row>
    <row r="813" spans="2:4" s="54" customFormat="1" x14ac:dyDescent="0.2">
      <c r="B813" s="107" t="s">
        <v>885</v>
      </c>
      <c r="C813" s="55" t="s">
        <v>886</v>
      </c>
      <c r="D813" s="56" t="s">
        <v>912</v>
      </c>
    </row>
    <row r="814" spans="2:4" s="54" customFormat="1" x14ac:dyDescent="0.2">
      <c r="B814" s="107" t="s">
        <v>885</v>
      </c>
      <c r="C814" s="55" t="s">
        <v>886</v>
      </c>
      <c r="D814" s="56" t="s">
        <v>913</v>
      </c>
    </row>
    <row r="815" spans="2:4" s="54" customFormat="1" x14ac:dyDescent="0.2">
      <c r="B815" s="107" t="s">
        <v>885</v>
      </c>
      <c r="C815" s="55" t="s">
        <v>886</v>
      </c>
      <c r="D815" s="56" t="s">
        <v>503</v>
      </c>
    </row>
    <row r="816" spans="2:4" s="54" customFormat="1" x14ac:dyDescent="0.2">
      <c r="B816" s="107" t="s">
        <v>885</v>
      </c>
      <c r="C816" s="55" t="s">
        <v>886</v>
      </c>
      <c r="D816" s="56" t="s">
        <v>914</v>
      </c>
    </row>
    <row r="817" spans="2:4" s="54" customFormat="1" x14ac:dyDescent="0.2">
      <c r="B817" s="107" t="s">
        <v>885</v>
      </c>
      <c r="C817" s="55" t="s">
        <v>886</v>
      </c>
      <c r="D817" s="56" t="s">
        <v>915</v>
      </c>
    </row>
    <row r="818" spans="2:4" s="54" customFormat="1" x14ac:dyDescent="0.2">
      <c r="B818" s="107" t="s">
        <v>885</v>
      </c>
      <c r="C818" s="55" t="s">
        <v>886</v>
      </c>
      <c r="D818" s="56" t="s">
        <v>916</v>
      </c>
    </row>
    <row r="819" spans="2:4" s="54" customFormat="1" x14ac:dyDescent="0.2">
      <c r="B819" s="107" t="s">
        <v>917</v>
      </c>
      <c r="C819" s="55" t="s">
        <v>918</v>
      </c>
      <c r="D819" s="56" t="s">
        <v>919</v>
      </c>
    </row>
    <row r="820" spans="2:4" s="54" customFormat="1" x14ac:dyDescent="0.2">
      <c r="B820" s="107" t="s">
        <v>917</v>
      </c>
      <c r="C820" s="55" t="s">
        <v>918</v>
      </c>
      <c r="D820" s="56" t="s">
        <v>920</v>
      </c>
    </row>
    <row r="821" spans="2:4" s="54" customFormat="1" x14ac:dyDescent="0.2">
      <c r="B821" s="107" t="s">
        <v>917</v>
      </c>
      <c r="C821" s="55" t="s">
        <v>918</v>
      </c>
      <c r="D821" s="56" t="s">
        <v>921</v>
      </c>
    </row>
    <row r="822" spans="2:4" s="54" customFormat="1" x14ac:dyDescent="0.2">
      <c r="B822" s="107" t="s">
        <v>917</v>
      </c>
      <c r="C822" s="55" t="s">
        <v>918</v>
      </c>
      <c r="D822" s="56" t="s">
        <v>922</v>
      </c>
    </row>
    <row r="823" spans="2:4" s="54" customFormat="1" x14ac:dyDescent="0.2">
      <c r="B823" s="107" t="s">
        <v>917</v>
      </c>
      <c r="C823" s="55" t="s">
        <v>918</v>
      </c>
      <c r="D823" s="56" t="s">
        <v>923</v>
      </c>
    </row>
    <row r="824" spans="2:4" s="54" customFormat="1" x14ac:dyDescent="0.2">
      <c r="B824" s="107" t="s">
        <v>917</v>
      </c>
      <c r="C824" s="55" t="s">
        <v>918</v>
      </c>
      <c r="D824" s="56" t="s">
        <v>924</v>
      </c>
    </row>
    <row r="825" spans="2:4" s="54" customFormat="1" x14ac:dyDescent="0.2">
      <c r="B825" s="107" t="s">
        <v>917</v>
      </c>
      <c r="C825" s="55" t="s">
        <v>918</v>
      </c>
      <c r="D825" s="56" t="s">
        <v>925</v>
      </c>
    </row>
    <row r="826" spans="2:4" s="54" customFormat="1" x14ac:dyDescent="0.2">
      <c r="B826" s="107" t="s">
        <v>917</v>
      </c>
      <c r="C826" s="55" t="s">
        <v>918</v>
      </c>
      <c r="D826" s="56" t="s">
        <v>926</v>
      </c>
    </row>
    <row r="827" spans="2:4" s="54" customFormat="1" x14ac:dyDescent="0.2">
      <c r="B827" s="107" t="s">
        <v>917</v>
      </c>
      <c r="C827" s="55" t="s">
        <v>918</v>
      </c>
      <c r="D827" s="56" t="s">
        <v>927</v>
      </c>
    </row>
    <row r="828" spans="2:4" s="54" customFormat="1" x14ac:dyDescent="0.2">
      <c r="B828" s="107" t="s">
        <v>917</v>
      </c>
      <c r="C828" s="55" t="s">
        <v>918</v>
      </c>
      <c r="D828" s="56" t="s">
        <v>928</v>
      </c>
    </row>
    <row r="829" spans="2:4" s="54" customFormat="1" x14ac:dyDescent="0.2">
      <c r="B829" s="107" t="s">
        <v>917</v>
      </c>
      <c r="C829" s="55" t="s">
        <v>918</v>
      </c>
      <c r="D829" s="56" t="s">
        <v>929</v>
      </c>
    </row>
    <row r="830" spans="2:4" s="54" customFormat="1" x14ac:dyDescent="0.2">
      <c r="B830" s="107" t="s">
        <v>917</v>
      </c>
      <c r="C830" s="55" t="s">
        <v>918</v>
      </c>
      <c r="D830" s="56" t="s">
        <v>930</v>
      </c>
    </row>
    <row r="831" spans="2:4" s="54" customFormat="1" x14ac:dyDescent="0.2">
      <c r="B831" s="107" t="s">
        <v>917</v>
      </c>
      <c r="C831" s="55" t="s">
        <v>918</v>
      </c>
      <c r="D831" s="56" t="s">
        <v>931</v>
      </c>
    </row>
    <row r="832" spans="2:4" s="54" customFormat="1" x14ac:dyDescent="0.2">
      <c r="B832" s="107" t="s">
        <v>917</v>
      </c>
      <c r="C832" s="55" t="s">
        <v>918</v>
      </c>
      <c r="D832" s="56" t="s">
        <v>932</v>
      </c>
    </row>
    <row r="833" spans="2:4" s="54" customFormat="1" x14ac:dyDescent="0.2">
      <c r="B833" s="107" t="s">
        <v>917</v>
      </c>
      <c r="C833" s="55" t="s">
        <v>918</v>
      </c>
      <c r="D833" s="56" t="s">
        <v>933</v>
      </c>
    </row>
    <row r="834" spans="2:4" s="54" customFormat="1" x14ac:dyDescent="0.2">
      <c r="B834" s="107" t="s">
        <v>917</v>
      </c>
      <c r="C834" s="55" t="s">
        <v>918</v>
      </c>
      <c r="D834" s="56" t="s">
        <v>934</v>
      </c>
    </row>
    <row r="835" spans="2:4" s="54" customFormat="1" x14ac:dyDescent="0.2">
      <c r="B835" s="107" t="s">
        <v>917</v>
      </c>
      <c r="C835" s="55" t="s">
        <v>918</v>
      </c>
      <c r="D835" s="56" t="s">
        <v>935</v>
      </c>
    </row>
    <row r="836" spans="2:4" s="54" customFormat="1" x14ac:dyDescent="0.2">
      <c r="B836" s="107" t="s">
        <v>917</v>
      </c>
      <c r="C836" s="55" t="s">
        <v>918</v>
      </c>
      <c r="D836" s="56" t="s">
        <v>936</v>
      </c>
    </row>
    <row r="837" spans="2:4" s="54" customFormat="1" x14ac:dyDescent="0.2">
      <c r="B837" s="107" t="s">
        <v>917</v>
      </c>
      <c r="C837" s="55" t="s">
        <v>918</v>
      </c>
      <c r="D837" s="56" t="s">
        <v>937</v>
      </c>
    </row>
    <row r="838" spans="2:4" s="54" customFormat="1" x14ac:dyDescent="0.2">
      <c r="B838" s="107" t="s">
        <v>917</v>
      </c>
      <c r="C838" s="55" t="s">
        <v>918</v>
      </c>
      <c r="D838" s="56" t="s">
        <v>938</v>
      </c>
    </row>
    <row r="839" spans="2:4" s="54" customFormat="1" x14ac:dyDescent="0.2">
      <c r="B839" s="107" t="s">
        <v>917</v>
      </c>
      <c r="C839" s="55" t="s">
        <v>918</v>
      </c>
      <c r="D839" s="56" t="s">
        <v>939</v>
      </c>
    </row>
    <row r="840" spans="2:4" s="54" customFormat="1" x14ac:dyDescent="0.2">
      <c r="B840" s="107" t="s">
        <v>917</v>
      </c>
      <c r="C840" s="55" t="s">
        <v>918</v>
      </c>
      <c r="D840" s="56" t="s">
        <v>940</v>
      </c>
    </row>
    <row r="841" spans="2:4" s="54" customFormat="1" x14ac:dyDescent="0.2">
      <c r="B841" s="107" t="s">
        <v>941</v>
      </c>
      <c r="C841" s="55" t="s">
        <v>942</v>
      </c>
      <c r="D841" s="56" t="s">
        <v>943</v>
      </c>
    </row>
    <row r="842" spans="2:4" s="54" customFormat="1" x14ac:dyDescent="0.2">
      <c r="B842" s="107" t="s">
        <v>941</v>
      </c>
      <c r="C842" s="55" t="s">
        <v>942</v>
      </c>
      <c r="D842" s="56" t="s">
        <v>944</v>
      </c>
    </row>
    <row r="843" spans="2:4" s="54" customFormat="1" x14ac:dyDescent="0.2">
      <c r="B843" s="107" t="s">
        <v>941</v>
      </c>
      <c r="C843" s="55" t="s">
        <v>942</v>
      </c>
      <c r="D843" s="56" t="s">
        <v>945</v>
      </c>
    </row>
    <row r="844" spans="2:4" s="54" customFormat="1" x14ac:dyDescent="0.2">
      <c r="B844" s="107" t="s">
        <v>941</v>
      </c>
      <c r="C844" s="55" t="s">
        <v>942</v>
      </c>
      <c r="D844" s="56" t="s">
        <v>946</v>
      </c>
    </row>
    <row r="845" spans="2:4" s="54" customFormat="1" x14ac:dyDescent="0.2">
      <c r="B845" s="107" t="s">
        <v>941</v>
      </c>
      <c r="C845" s="55" t="s">
        <v>942</v>
      </c>
      <c r="D845" s="56" t="s">
        <v>947</v>
      </c>
    </row>
    <row r="846" spans="2:4" s="54" customFormat="1" x14ac:dyDescent="0.2">
      <c r="B846" s="107" t="s">
        <v>941</v>
      </c>
      <c r="C846" s="55" t="s">
        <v>942</v>
      </c>
      <c r="D846" s="56" t="s">
        <v>948</v>
      </c>
    </row>
    <row r="847" spans="2:4" s="54" customFormat="1" x14ac:dyDescent="0.2">
      <c r="B847" s="107" t="s">
        <v>941</v>
      </c>
      <c r="C847" s="55" t="s">
        <v>942</v>
      </c>
      <c r="D847" s="56" t="s">
        <v>949</v>
      </c>
    </row>
    <row r="848" spans="2:4" s="54" customFormat="1" x14ac:dyDescent="0.2">
      <c r="B848" s="107" t="s">
        <v>941</v>
      </c>
      <c r="C848" s="55" t="s">
        <v>942</v>
      </c>
      <c r="D848" s="56" t="s">
        <v>950</v>
      </c>
    </row>
    <row r="849" spans="2:4" s="54" customFormat="1" x14ac:dyDescent="0.2">
      <c r="B849" s="107" t="s">
        <v>941</v>
      </c>
      <c r="C849" s="55" t="s">
        <v>942</v>
      </c>
      <c r="D849" s="56" t="s">
        <v>951</v>
      </c>
    </row>
    <row r="850" spans="2:4" s="54" customFormat="1" x14ac:dyDescent="0.2">
      <c r="B850" s="107" t="s">
        <v>941</v>
      </c>
      <c r="C850" s="55" t="s">
        <v>942</v>
      </c>
      <c r="D850" s="56" t="s">
        <v>952</v>
      </c>
    </row>
    <row r="851" spans="2:4" s="54" customFormat="1" x14ac:dyDescent="0.2">
      <c r="B851" s="107" t="s">
        <v>941</v>
      </c>
      <c r="C851" s="55" t="s">
        <v>942</v>
      </c>
      <c r="D851" s="56" t="s">
        <v>953</v>
      </c>
    </row>
    <row r="852" spans="2:4" s="54" customFormat="1" x14ac:dyDescent="0.2">
      <c r="B852" s="107" t="s">
        <v>941</v>
      </c>
      <c r="C852" s="55" t="s">
        <v>942</v>
      </c>
      <c r="D852" s="56" t="s">
        <v>954</v>
      </c>
    </row>
    <row r="853" spans="2:4" s="54" customFormat="1" x14ac:dyDescent="0.2">
      <c r="B853" s="107" t="s">
        <v>941</v>
      </c>
      <c r="C853" s="55" t="s">
        <v>942</v>
      </c>
      <c r="D853" s="56" t="s">
        <v>955</v>
      </c>
    </row>
    <row r="854" spans="2:4" s="54" customFormat="1" x14ac:dyDescent="0.2">
      <c r="B854" s="107" t="s">
        <v>941</v>
      </c>
      <c r="C854" s="55" t="s">
        <v>942</v>
      </c>
      <c r="D854" s="56" t="s">
        <v>956</v>
      </c>
    </row>
    <row r="855" spans="2:4" s="54" customFormat="1" x14ac:dyDescent="0.2">
      <c r="B855" s="107" t="s">
        <v>941</v>
      </c>
      <c r="C855" s="55" t="s">
        <v>942</v>
      </c>
      <c r="D855" s="56" t="s">
        <v>957</v>
      </c>
    </row>
    <row r="856" spans="2:4" s="54" customFormat="1" x14ac:dyDescent="0.2">
      <c r="B856" s="107" t="s">
        <v>941</v>
      </c>
      <c r="C856" s="55" t="s">
        <v>942</v>
      </c>
      <c r="D856" s="56" t="s">
        <v>958</v>
      </c>
    </row>
    <row r="857" spans="2:4" s="54" customFormat="1" x14ac:dyDescent="0.2">
      <c r="B857" s="107" t="s">
        <v>941</v>
      </c>
      <c r="C857" s="55" t="s">
        <v>942</v>
      </c>
      <c r="D857" s="56" t="s">
        <v>959</v>
      </c>
    </row>
    <row r="858" spans="2:4" s="54" customFormat="1" x14ac:dyDescent="0.2">
      <c r="B858" s="107" t="s">
        <v>941</v>
      </c>
      <c r="C858" s="55" t="s">
        <v>942</v>
      </c>
      <c r="D858" s="56" t="s">
        <v>960</v>
      </c>
    </row>
    <row r="859" spans="2:4" s="54" customFormat="1" x14ac:dyDescent="0.2">
      <c r="B859" s="107" t="s">
        <v>941</v>
      </c>
      <c r="C859" s="55" t="s">
        <v>942</v>
      </c>
      <c r="D859" s="56" t="s">
        <v>961</v>
      </c>
    </row>
    <row r="860" spans="2:4" s="54" customFormat="1" x14ac:dyDescent="0.2">
      <c r="B860" s="107" t="s">
        <v>941</v>
      </c>
      <c r="C860" s="55" t="s">
        <v>942</v>
      </c>
      <c r="D860" s="56" t="s">
        <v>962</v>
      </c>
    </row>
    <row r="861" spans="2:4" s="54" customFormat="1" x14ac:dyDescent="0.2">
      <c r="B861" s="107" t="s">
        <v>941</v>
      </c>
      <c r="C861" s="55" t="s">
        <v>942</v>
      </c>
      <c r="D861" s="56" t="s">
        <v>963</v>
      </c>
    </row>
    <row r="862" spans="2:4" s="54" customFormat="1" x14ac:dyDescent="0.2">
      <c r="B862" s="107" t="s">
        <v>941</v>
      </c>
      <c r="C862" s="55" t="s">
        <v>942</v>
      </c>
      <c r="D862" s="56" t="s">
        <v>964</v>
      </c>
    </row>
    <row r="863" spans="2:4" s="54" customFormat="1" x14ac:dyDescent="0.2">
      <c r="B863" s="107" t="s">
        <v>941</v>
      </c>
      <c r="C863" s="55" t="s">
        <v>942</v>
      </c>
      <c r="D863" s="56" t="s">
        <v>965</v>
      </c>
    </row>
    <row r="864" spans="2:4" s="54" customFormat="1" x14ac:dyDescent="0.2">
      <c r="B864" s="107" t="s">
        <v>941</v>
      </c>
      <c r="C864" s="55" t="s">
        <v>942</v>
      </c>
      <c r="D864" s="56" t="s">
        <v>966</v>
      </c>
    </row>
    <row r="865" spans="2:4" s="54" customFormat="1" x14ac:dyDescent="0.2">
      <c r="B865" s="107" t="s">
        <v>941</v>
      </c>
      <c r="C865" s="55" t="s">
        <v>942</v>
      </c>
      <c r="D865" s="56" t="s">
        <v>967</v>
      </c>
    </row>
    <row r="866" spans="2:4" s="54" customFormat="1" x14ac:dyDescent="0.2">
      <c r="B866" s="107" t="s">
        <v>941</v>
      </c>
      <c r="C866" s="55" t="s">
        <v>942</v>
      </c>
      <c r="D866" s="56" t="s">
        <v>968</v>
      </c>
    </row>
    <row r="867" spans="2:4" s="54" customFormat="1" x14ac:dyDescent="0.2">
      <c r="B867" s="107" t="s">
        <v>941</v>
      </c>
      <c r="C867" s="55" t="s">
        <v>942</v>
      </c>
      <c r="D867" s="56" t="s">
        <v>969</v>
      </c>
    </row>
    <row r="868" spans="2:4" s="54" customFormat="1" x14ac:dyDescent="0.2">
      <c r="B868" s="107" t="s">
        <v>970</v>
      </c>
      <c r="C868" s="55" t="s">
        <v>971</v>
      </c>
      <c r="D868" s="56" t="s">
        <v>972</v>
      </c>
    </row>
    <row r="869" spans="2:4" s="54" customFormat="1" x14ac:dyDescent="0.2">
      <c r="B869" s="107" t="s">
        <v>970</v>
      </c>
      <c r="C869" s="55" t="s">
        <v>971</v>
      </c>
      <c r="D869" s="56" t="s">
        <v>973</v>
      </c>
    </row>
    <row r="870" spans="2:4" s="54" customFormat="1" x14ac:dyDescent="0.2">
      <c r="B870" s="107" t="s">
        <v>970</v>
      </c>
      <c r="C870" s="55" t="s">
        <v>971</v>
      </c>
      <c r="D870" s="56" t="s">
        <v>974</v>
      </c>
    </row>
    <row r="871" spans="2:4" s="54" customFormat="1" x14ac:dyDescent="0.2">
      <c r="B871" s="107" t="s">
        <v>970</v>
      </c>
      <c r="C871" s="55" t="s">
        <v>971</v>
      </c>
      <c r="D871" s="56" t="s">
        <v>975</v>
      </c>
    </row>
    <row r="872" spans="2:4" s="54" customFormat="1" x14ac:dyDescent="0.2">
      <c r="B872" s="107" t="s">
        <v>970</v>
      </c>
      <c r="C872" s="55" t="s">
        <v>971</v>
      </c>
      <c r="D872" s="56" t="s">
        <v>976</v>
      </c>
    </row>
    <row r="873" spans="2:4" s="54" customFormat="1" x14ac:dyDescent="0.2">
      <c r="B873" s="107" t="s">
        <v>970</v>
      </c>
      <c r="C873" s="55" t="s">
        <v>971</v>
      </c>
      <c r="D873" s="56" t="s">
        <v>360</v>
      </c>
    </row>
    <row r="874" spans="2:4" s="54" customFormat="1" x14ac:dyDescent="0.2">
      <c r="B874" s="107" t="s">
        <v>970</v>
      </c>
      <c r="C874" s="55" t="s">
        <v>971</v>
      </c>
      <c r="D874" s="56" t="s">
        <v>977</v>
      </c>
    </row>
    <row r="875" spans="2:4" s="54" customFormat="1" x14ac:dyDescent="0.2">
      <c r="B875" s="107" t="s">
        <v>970</v>
      </c>
      <c r="C875" s="55" t="s">
        <v>971</v>
      </c>
      <c r="D875" s="56" t="s">
        <v>978</v>
      </c>
    </row>
    <row r="876" spans="2:4" s="54" customFormat="1" x14ac:dyDescent="0.2">
      <c r="B876" s="107" t="s">
        <v>970</v>
      </c>
      <c r="C876" s="55" t="s">
        <v>971</v>
      </c>
      <c r="D876" s="56" t="s">
        <v>979</v>
      </c>
    </row>
    <row r="877" spans="2:4" s="54" customFormat="1" x14ac:dyDescent="0.2">
      <c r="B877" s="107" t="s">
        <v>970</v>
      </c>
      <c r="C877" s="55" t="s">
        <v>971</v>
      </c>
      <c r="D877" s="56" t="s">
        <v>264</v>
      </c>
    </row>
    <row r="878" spans="2:4" s="54" customFormat="1" x14ac:dyDescent="0.2">
      <c r="B878" s="107" t="s">
        <v>970</v>
      </c>
      <c r="C878" s="55" t="s">
        <v>971</v>
      </c>
      <c r="D878" s="56" t="s">
        <v>980</v>
      </c>
    </row>
    <row r="879" spans="2:4" s="54" customFormat="1" x14ac:dyDescent="0.2">
      <c r="B879" s="107" t="s">
        <v>970</v>
      </c>
      <c r="C879" s="55" t="s">
        <v>971</v>
      </c>
      <c r="D879" s="56" t="s">
        <v>981</v>
      </c>
    </row>
    <row r="880" spans="2:4" s="54" customFormat="1" x14ac:dyDescent="0.2">
      <c r="B880" s="107" t="s">
        <v>970</v>
      </c>
      <c r="C880" s="55" t="s">
        <v>971</v>
      </c>
      <c r="D880" s="56" t="s">
        <v>982</v>
      </c>
    </row>
    <row r="881" spans="2:4" s="54" customFormat="1" x14ac:dyDescent="0.2">
      <c r="B881" s="107" t="s">
        <v>970</v>
      </c>
      <c r="C881" s="55" t="s">
        <v>971</v>
      </c>
      <c r="D881" s="56" t="s">
        <v>983</v>
      </c>
    </row>
    <row r="882" spans="2:4" s="54" customFormat="1" x14ac:dyDescent="0.2">
      <c r="B882" s="107" t="s">
        <v>984</v>
      </c>
      <c r="C882" s="55" t="s">
        <v>985</v>
      </c>
      <c r="D882" s="56" t="s">
        <v>986</v>
      </c>
    </row>
    <row r="883" spans="2:4" s="54" customFormat="1" x14ac:dyDescent="0.2">
      <c r="B883" s="107" t="s">
        <v>984</v>
      </c>
      <c r="C883" s="55" t="s">
        <v>985</v>
      </c>
      <c r="D883" s="56" t="s">
        <v>987</v>
      </c>
    </row>
    <row r="884" spans="2:4" s="54" customFormat="1" x14ac:dyDescent="0.2">
      <c r="B884" s="107" t="s">
        <v>984</v>
      </c>
      <c r="C884" s="55" t="s">
        <v>985</v>
      </c>
      <c r="D884" s="56" t="s">
        <v>988</v>
      </c>
    </row>
    <row r="885" spans="2:4" s="54" customFormat="1" x14ac:dyDescent="0.2">
      <c r="B885" s="107" t="s">
        <v>984</v>
      </c>
      <c r="C885" s="55" t="s">
        <v>985</v>
      </c>
      <c r="D885" s="56" t="s">
        <v>989</v>
      </c>
    </row>
    <row r="886" spans="2:4" s="54" customFormat="1" x14ac:dyDescent="0.2">
      <c r="B886" s="107" t="s">
        <v>984</v>
      </c>
      <c r="C886" s="55" t="s">
        <v>985</v>
      </c>
      <c r="D886" s="56" t="s">
        <v>990</v>
      </c>
    </row>
    <row r="887" spans="2:4" s="54" customFormat="1" x14ac:dyDescent="0.2">
      <c r="B887" s="107" t="s">
        <v>984</v>
      </c>
      <c r="C887" s="55" t="s">
        <v>985</v>
      </c>
      <c r="D887" s="56" t="s">
        <v>991</v>
      </c>
    </row>
    <row r="888" spans="2:4" s="54" customFormat="1" x14ac:dyDescent="0.2">
      <c r="B888" s="107" t="s">
        <v>984</v>
      </c>
      <c r="C888" s="55" t="s">
        <v>985</v>
      </c>
      <c r="D888" s="56" t="s">
        <v>992</v>
      </c>
    </row>
    <row r="889" spans="2:4" s="54" customFormat="1" x14ac:dyDescent="0.2">
      <c r="B889" s="107" t="s">
        <v>984</v>
      </c>
      <c r="C889" s="55" t="s">
        <v>985</v>
      </c>
      <c r="D889" s="56" t="s">
        <v>993</v>
      </c>
    </row>
    <row r="890" spans="2:4" s="54" customFormat="1" x14ac:dyDescent="0.2">
      <c r="B890" s="107" t="s">
        <v>994</v>
      </c>
      <c r="C890" s="55" t="s">
        <v>995</v>
      </c>
      <c r="D890" s="56" t="s">
        <v>996</v>
      </c>
    </row>
    <row r="891" spans="2:4" s="54" customFormat="1" x14ac:dyDescent="0.2">
      <c r="B891" s="107" t="s">
        <v>994</v>
      </c>
      <c r="C891" s="55" t="s">
        <v>995</v>
      </c>
      <c r="D891" s="56" t="s">
        <v>997</v>
      </c>
    </row>
    <row r="892" spans="2:4" s="54" customFormat="1" x14ac:dyDescent="0.2">
      <c r="B892" s="107" t="s">
        <v>994</v>
      </c>
      <c r="C892" s="55" t="s">
        <v>995</v>
      </c>
      <c r="D892" s="56" t="s">
        <v>998</v>
      </c>
    </row>
    <row r="893" spans="2:4" s="54" customFormat="1" x14ac:dyDescent="0.2">
      <c r="B893" s="107" t="s">
        <v>994</v>
      </c>
      <c r="C893" s="55" t="s">
        <v>995</v>
      </c>
      <c r="D893" s="56" t="s">
        <v>999</v>
      </c>
    </row>
    <row r="894" spans="2:4" s="54" customFormat="1" x14ac:dyDescent="0.2">
      <c r="B894" s="107" t="s">
        <v>994</v>
      </c>
      <c r="C894" s="55" t="s">
        <v>995</v>
      </c>
      <c r="D894" s="56" t="s">
        <v>1000</v>
      </c>
    </row>
    <row r="895" spans="2:4" s="54" customFormat="1" x14ac:dyDescent="0.2">
      <c r="B895" s="107" t="s">
        <v>994</v>
      </c>
      <c r="C895" s="55" t="s">
        <v>995</v>
      </c>
      <c r="D895" s="56" t="s">
        <v>1001</v>
      </c>
    </row>
    <row r="896" spans="2:4" s="54" customFormat="1" x14ac:dyDescent="0.2">
      <c r="B896" s="107" t="s">
        <v>538</v>
      </c>
      <c r="C896" s="55" t="s">
        <v>1002</v>
      </c>
      <c r="D896" s="56" t="s">
        <v>1003</v>
      </c>
    </row>
    <row r="897" spans="2:4" s="54" customFormat="1" x14ac:dyDescent="0.2">
      <c r="B897" s="107" t="s">
        <v>538</v>
      </c>
      <c r="C897" s="55" t="s">
        <v>1002</v>
      </c>
      <c r="D897" s="56" t="s">
        <v>1004</v>
      </c>
    </row>
    <row r="898" spans="2:4" s="54" customFormat="1" x14ac:dyDescent="0.2">
      <c r="B898" s="107" t="s">
        <v>538</v>
      </c>
      <c r="C898" s="55" t="s">
        <v>1002</v>
      </c>
      <c r="D898" s="56" t="s">
        <v>1005</v>
      </c>
    </row>
    <row r="899" spans="2:4" s="54" customFormat="1" x14ac:dyDescent="0.2">
      <c r="B899" s="107" t="s">
        <v>538</v>
      </c>
      <c r="C899" s="55" t="s">
        <v>1002</v>
      </c>
      <c r="D899" s="56" t="s">
        <v>1006</v>
      </c>
    </row>
    <row r="900" spans="2:4" s="54" customFormat="1" x14ac:dyDescent="0.2">
      <c r="B900" s="107" t="s">
        <v>538</v>
      </c>
      <c r="C900" s="55" t="s">
        <v>1002</v>
      </c>
      <c r="D900" s="56" t="s">
        <v>1007</v>
      </c>
    </row>
    <row r="901" spans="2:4" s="54" customFormat="1" x14ac:dyDescent="0.2">
      <c r="B901" s="107" t="s">
        <v>538</v>
      </c>
      <c r="C901" s="55" t="s">
        <v>1002</v>
      </c>
      <c r="D901" s="56" t="s">
        <v>1008</v>
      </c>
    </row>
    <row r="902" spans="2:4" s="54" customFormat="1" x14ac:dyDescent="0.2">
      <c r="B902" s="107" t="s">
        <v>538</v>
      </c>
      <c r="C902" s="55" t="s">
        <v>1002</v>
      </c>
      <c r="D902" s="56" t="s">
        <v>1009</v>
      </c>
    </row>
    <row r="903" spans="2:4" s="54" customFormat="1" x14ac:dyDescent="0.2">
      <c r="B903" s="107" t="s">
        <v>538</v>
      </c>
      <c r="C903" s="55" t="s">
        <v>1002</v>
      </c>
      <c r="D903" s="56" t="s">
        <v>1010</v>
      </c>
    </row>
    <row r="904" spans="2:4" s="54" customFormat="1" x14ac:dyDescent="0.2">
      <c r="B904" s="107" t="s">
        <v>538</v>
      </c>
      <c r="C904" s="55" t="s">
        <v>1002</v>
      </c>
      <c r="D904" s="56" t="s">
        <v>1011</v>
      </c>
    </row>
    <row r="905" spans="2:4" s="54" customFormat="1" x14ac:dyDescent="0.2">
      <c r="B905" s="107" t="s">
        <v>538</v>
      </c>
      <c r="C905" s="55" t="s">
        <v>1002</v>
      </c>
      <c r="D905" s="56" t="s">
        <v>1012</v>
      </c>
    </row>
    <row r="906" spans="2:4" s="54" customFormat="1" x14ac:dyDescent="0.2">
      <c r="B906" s="107" t="s">
        <v>538</v>
      </c>
      <c r="C906" s="55" t="s">
        <v>1002</v>
      </c>
      <c r="D906" s="56" t="s">
        <v>1013</v>
      </c>
    </row>
    <row r="907" spans="2:4" s="54" customFormat="1" x14ac:dyDescent="0.2">
      <c r="B907" s="107" t="s">
        <v>538</v>
      </c>
      <c r="C907" s="55" t="s">
        <v>1002</v>
      </c>
      <c r="D907" s="56" t="s">
        <v>1014</v>
      </c>
    </row>
    <row r="908" spans="2:4" s="54" customFormat="1" x14ac:dyDescent="0.2">
      <c r="B908" s="107" t="s">
        <v>538</v>
      </c>
      <c r="C908" s="55" t="s">
        <v>1002</v>
      </c>
      <c r="D908" s="56" t="s">
        <v>1015</v>
      </c>
    </row>
    <row r="909" spans="2:4" s="54" customFormat="1" x14ac:dyDescent="0.2">
      <c r="B909" s="107" t="s">
        <v>538</v>
      </c>
      <c r="C909" s="55" t="s">
        <v>1002</v>
      </c>
      <c r="D909" s="56" t="s">
        <v>1016</v>
      </c>
    </row>
    <row r="910" spans="2:4" s="54" customFormat="1" x14ac:dyDescent="0.2">
      <c r="B910" s="107" t="s">
        <v>538</v>
      </c>
      <c r="C910" s="55" t="s">
        <v>1002</v>
      </c>
      <c r="D910" s="56" t="s">
        <v>1017</v>
      </c>
    </row>
    <row r="911" spans="2:4" s="54" customFormat="1" x14ac:dyDescent="0.2">
      <c r="B911" s="107" t="s">
        <v>1018</v>
      </c>
      <c r="C911" s="55" t="s">
        <v>1019</v>
      </c>
      <c r="D911" s="56" t="s">
        <v>1020</v>
      </c>
    </row>
    <row r="912" spans="2:4" s="54" customFormat="1" x14ac:dyDescent="0.2">
      <c r="B912" s="107" t="s">
        <v>1018</v>
      </c>
      <c r="C912" s="55" t="s">
        <v>1019</v>
      </c>
      <c r="D912" s="56" t="s">
        <v>1021</v>
      </c>
    </row>
    <row r="913" spans="2:4" s="54" customFormat="1" x14ac:dyDescent="0.2">
      <c r="B913" s="107" t="s">
        <v>1018</v>
      </c>
      <c r="C913" s="55" t="s">
        <v>1019</v>
      </c>
      <c r="D913" s="56" t="s">
        <v>1022</v>
      </c>
    </row>
    <row r="914" spans="2:4" s="54" customFormat="1" x14ac:dyDescent="0.2">
      <c r="B914" s="107" t="s">
        <v>1018</v>
      </c>
      <c r="C914" s="55" t="s">
        <v>1019</v>
      </c>
      <c r="D914" s="56" t="s">
        <v>1023</v>
      </c>
    </row>
    <row r="915" spans="2:4" s="54" customFormat="1" x14ac:dyDescent="0.2">
      <c r="B915" s="107" t="s">
        <v>1024</v>
      </c>
      <c r="C915" s="55" t="s">
        <v>1025</v>
      </c>
      <c r="D915" s="56" t="s">
        <v>1026</v>
      </c>
    </row>
    <row r="916" spans="2:4" s="54" customFormat="1" x14ac:dyDescent="0.2">
      <c r="B916" s="107" t="s">
        <v>1024</v>
      </c>
      <c r="C916" s="55" t="s">
        <v>1025</v>
      </c>
      <c r="D916" s="56" t="s">
        <v>1027</v>
      </c>
    </row>
    <row r="917" spans="2:4" s="54" customFormat="1" x14ac:dyDescent="0.2">
      <c r="B917" s="107" t="s">
        <v>1024</v>
      </c>
      <c r="C917" s="55" t="s">
        <v>1025</v>
      </c>
      <c r="D917" s="56" t="s">
        <v>1028</v>
      </c>
    </row>
    <row r="918" spans="2:4" s="54" customFormat="1" x14ac:dyDescent="0.2">
      <c r="B918" s="107" t="s">
        <v>1024</v>
      </c>
      <c r="C918" s="55" t="s">
        <v>1025</v>
      </c>
      <c r="D918" s="56" t="s">
        <v>1029</v>
      </c>
    </row>
    <row r="919" spans="2:4" s="54" customFormat="1" x14ac:dyDescent="0.2">
      <c r="B919" s="107" t="s">
        <v>1024</v>
      </c>
      <c r="C919" s="55" t="s">
        <v>1025</v>
      </c>
      <c r="D919" s="56" t="s">
        <v>1030</v>
      </c>
    </row>
    <row r="920" spans="2:4" s="54" customFormat="1" x14ac:dyDescent="0.2">
      <c r="B920" s="107" t="s">
        <v>1024</v>
      </c>
      <c r="C920" s="55" t="s">
        <v>1025</v>
      </c>
      <c r="D920" s="56" t="s">
        <v>1031</v>
      </c>
    </row>
    <row r="921" spans="2:4" s="54" customFormat="1" x14ac:dyDescent="0.2">
      <c r="B921" s="107" t="s">
        <v>1024</v>
      </c>
      <c r="C921" s="55" t="s">
        <v>1025</v>
      </c>
      <c r="D921" s="56" t="s">
        <v>1032</v>
      </c>
    </row>
    <row r="922" spans="2:4" s="54" customFormat="1" x14ac:dyDescent="0.2">
      <c r="B922" s="107" t="s">
        <v>1024</v>
      </c>
      <c r="C922" s="55" t="s">
        <v>1025</v>
      </c>
      <c r="D922" s="56" t="s">
        <v>1033</v>
      </c>
    </row>
    <row r="923" spans="2:4" s="54" customFormat="1" x14ac:dyDescent="0.2">
      <c r="B923" s="107" t="s">
        <v>1024</v>
      </c>
      <c r="C923" s="55" t="s">
        <v>1025</v>
      </c>
      <c r="D923" s="56" t="s">
        <v>1034</v>
      </c>
    </row>
    <row r="924" spans="2:4" s="54" customFormat="1" x14ac:dyDescent="0.2">
      <c r="B924" s="107" t="s">
        <v>1024</v>
      </c>
      <c r="C924" s="55" t="s">
        <v>1025</v>
      </c>
      <c r="D924" s="56" t="s">
        <v>1035</v>
      </c>
    </row>
    <row r="925" spans="2:4" s="54" customFormat="1" x14ac:dyDescent="0.2">
      <c r="B925" s="107" t="s">
        <v>1024</v>
      </c>
      <c r="C925" s="55" t="s">
        <v>1025</v>
      </c>
      <c r="D925" s="56" t="s">
        <v>1036</v>
      </c>
    </row>
    <row r="926" spans="2:4" s="54" customFormat="1" x14ac:dyDescent="0.2">
      <c r="B926" s="107" t="s">
        <v>1037</v>
      </c>
      <c r="C926" s="55" t="s">
        <v>1038</v>
      </c>
      <c r="D926" s="56" t="s">
        <v>1039</v>
      </c>
    </row>
    <row r="927" spans="2:4" s="54" customFormat="1" x14ac:dyDescent="0.2">
      <c r="B927" s="107" t="s">
        <v>1037</v>
      </c>
      <c r="C927" s="55" t="s">
        <v>1038</v>
      </c>
      <c r="D927" s="56" t="s">
        <v>1040</v>
      </c>
    </row>
    <row r="928" spans="2:4" s="54" customFormat="1" x14ac:dyDescent="0.2">
      <c r="B928" s="107" t="s">
        <v>1037</v>
      </c>
      <c r="C928" s="55" t="s">
        <v>1038</v>
      </c>
      <c r="D928" s="56" t="s">
        <v>273</v>
      </c>
    </row>
    <row r="929" spans="2:4" s="54" customFormat="1" x14ac:dyDescent="0.2">
      <c r="B929" s="107" t="s">
        <v>1037</v>
      </c>
      <c r="C929" s="55" t="s">
        <v>1038</v>
      </c>
      <c r="D929" s="56" t="s">
        <v>1041</v>
      </c>
    </row>
    <row r="930" spans="2:4" s="54" customFormat="1" x14ac:dyDescent="0.2">
      <c r="B930" s="107" t="s">
        <v>1042</v>
      </c>
      <c r="C930" s="55" t="s">
        <v>1043</v>
      </c>
      <c r="D930" s="56" t="s">
        <v>1044</v>
      </c>
    </row>
    <row r="931" spans="2:4" s="54" customFormat="1" x14ac:dyDescent="0.2">
      <c r="B931" s="107" t="s">
        <v>1042</v>
      </c>
      <c r="C931" s="55" t="s">
        <v>1043</v>
      </c>
      <c r="D931" s="56" t="s">
        <v>1045</v>
      </c>
    </row>
    <row r="932" spans="2:4" s="54" customFormat="1" x14ac:dyDescent="0.2">
      <c r="B932" s="107" t="s">
        <v>1042</v>
      </c>
      <c r="C932" s="55" t="s">
        <v>1043</v>
      </c>
      <c r="D932" s="56" t="s">
        <v>1046</v>
      </c>
    </row>
    <row r="933" spans="2:4" s="54" customFormat="1" x14ac:dyDescent="0.2">
      <c r="B933" s="107" t="s">
        <v>1042</v>
      </c>
      <c r="C933" s="55" t="s">
        <v>1043</v>
      </c>
      <c r="D933" s="56" t="s">
        <v>1047</v>
      </c>
    </row>
    <row r="934" spans="2:4" s="54" customFormat="1" x14ac:dyDescent="0.2">
      <c r="B934" s="107" t="s">
        <v>1042</v>
      </c>
      <c r="C934" s="55" t="s">
        <v>1043</v>
      </c>
      <c r="D934" s="56" t="s">
        <v>1048</v>
      </c>
    </row>
    <row r="935" spans="2:4" s="54" customFormat="1" x14ac:dyDescent="0.2">
      <c r="B935" s="107" t="s">
        <v>1049</v>
      </c>
      <c r="C935" s="55" t="s">
        <v>1050</v>
      </c>
      <c r="D935" s="56" t="s">
        <v>1051</v>
      </c>
    </row>
    <row r="936" spans="2:4" s="54" customFormat="1" x14ac:dyDescent="0.2">
      <c r="B936" s="107" t="s">
        <v>1049</v>
      </c>
      <c r="C936" s="55" t="s">
        <v>1050</v>
      </c>
      <c r="D936" s="56" t="s">
        <v>1052</v>
      </c>
    </row>
    <row r="937" spans="2:4" s="54" customFormat="1" x14ac:dyDescent="0.2">
      <c r="B937" s="107" t="s">
        <v>1049</v>
      </c>
      <c r="C937" s="55" t="s">
        <v>1050</v>
      </c>
      <c r="D937" s="56" t="s">
        <v>1053</v>
      </c>
    </row>
    <row r="938" spans="2:4" s="54" customFormat="1" x14ac:dyDescent="0.2">
      <c r="B938" s="107" t="s">
        <v>1049</v>
      </c>
      <c r="C938" s="55" t="s">
        <v>1050</v>
      </c>
      <c r="D938" s="56" t="s">
        <v>1054</v>
      </c>
    </row>
    <row r="939" spans="2:4" s="54" customFormat="1" x14ac:dyDescent="0.2">
      <c r="B939" s="107" t="s">
        <v>1049</v>
      </c>
      <c r="C939" s="55" t="s">
        <v>1050</v>
      </c>
      <c r="D939" s="56" t="s">
        <v>1055</v>
      </c>
    </row>
    <row r="940" spans="2:4" s="54" customFormat="1" x14ac:dyDescent="0.2">
      <c r="B940" s="107" t="s">
        <v>1049</v>
      </c>
      <c r="C940" s="55" t="s">
        <v>1050</v>
      </c>
      <c r="D940" s="56" t="s">
        <v>1056</v>
      </c>
    </row>
    <row r="941" spans="2:4" s="54" customFormat="1" x14ac:dyDescent="0.2">
      <c r="B941" s="107" t="s">
        <v>1049</v>
      </c>
      <c r="C941" s="55" t="s">
        <v>1050</v>
      </c>
      <c r="D941" s="56" t="s">
        <v>1057</v>
      </c>
    </row>
    <row r="942" spans="2:4" s="54" customFormat="1" x14ac:dyDescent="0.2">
      <c r="B942" s="107" t="s">
        <v>1049</v>
      </c>
      <c r="C942" s="55" t="s">
        <v>1050</v>
      </c>
      <c r="D942" s="56" t="s">
        <v>1058</v>
      </c>
    </row>
    <row r="943" spans="2:4" s="54" customFormat="1" x14ac:dyDescent="0.2">
      <c r="B943" s="107" t="s">
        <v>1049</v>
      </c>
      <c r="C943" s="55" t="s">
        <v>1050</v>
      </c>
      <c r="D943" s="56" t="s">
        <v>1059</v>
      </c>
    </row>
    <row r="944" spans="2:4" s="54" customFormat="1" x14ac:dyDescent="0.2">
      <c r="B944" s="107" t="s">
        <v>1049</v>
      </c>
      <c r="C944" s="55" t="s">
        <v>1050</v>
      </c>
      <c r="D944" s="56" t="s">
        <v>1060</v>
      </c>
    </row>
    <row r="945" spans="2:4" s="54" customFormat="1" x14ac:dyDescent="0.2">
      <c r="B945" s="107" t="s">
        <v>1049</v>
      </c>
      <c r="C945" s="55" t="s">
        <v>1050</v>
      </c>
      <c r="D945" s="56" t="s">
        <v>1061</v>
      </c>
    </row>
    <row r="946" spans="2:4" s="54" customFormat="1" x14ac:dyDescent="0.2">
      <c r="B946" s="107" t="s">
        <v>1049</v>
      </c>
      <c r="C946" s="55" t="s">
        <v>1050</v>
      </c>
      <c r="D946" s="56" t="s">
        <v>1062</v>
      </c>
    </row>
    <row r="947" spans="2:4" s="54" customFormat="1" x14ac:dyDescent="0.2">
      <c r="B947" s="107" t="s">
        <v>1049</v>
      </c>
      <c r="C947" s="55" t="s">
        <v>1050</v>
      </c>
      <c r="D947" s="56" t="s">
        <v>1063</v>
      </c>
    </row>
    <row r="948" spans="2:4" s="54" customFormat="1" x14ac:dyDescent="0.2">
      <c r="B948" s="107" t="s">
        <v>1064</v>
      </c>
      <c r="C948" s="55" t="s">
        <v>1065</v>
      </c>
      <c r="D948" s="56" t="s">
        <v>1066</v>
      </c>
    </row>
    <row r="949" spans="2:4" s="54" customFormat="1" x14ac:dyDescent="0.2">
      <c r="B949" s="107" t="s">
        <v>1064</v>
      </c>
      <c r="C949" s="55" t="s">
        <v>1065</v>
      </c>
      <c r="D949" s="56" t="s">
        <v>1067</v>
      </c>
    </row>
    <row r="950" spans="2:4" s="54" customFormat="1" x14ac:dyDescent="0.2">
      <c r="B950" s="107" t="s">
        <v>1064</v>
      </c>
      <c r="C950" s="55" t="s">
        <v>1065</v>
      </c>
      <c r="D950" s="56" t="s">
        <v>1068</v>
      </c>
    </row>
    <row r="951" spans="2:4" s="54" customFormat="1" x14ac:dyDescent="0.2">
      <c r="B951" s="107" t="s">
        <v>1064</v>
      </c>
      <c r="C951" s="55" t="s">
        <v>1065</v>
      </c>
      <c r="D951" s="56" t="s">
        <v>1069</v>
      </c>
    </row>
    <row r="952" spans="2:4" s="54" customFormat="1" x14ac:dyDescent="0.2">
      <c r="B952" s="107" t="s">
        <v>1064</v>
      </c>
      <c r="C952" s="55" t="s">
        <v>1065</v>
      </c>
      <c r="D952" s="56" t="s">
        <v>1070</v>
      </c>
    </row>
    <row r="953" spans="2:4" s="54" customFormat="1" x14ac:dyDescent="0.2">
      <c r="B953" s="107" t="s">
        <v>1064</v>
      </c>
      <c r="C953" s="55" t="s">
        <v>1065</v>
      </c>
      <c r="D953" s="56" t="s">
        <v>1071</v>
      </c>
    </row>
    <row r="954" spans="2:4" s="54" customFormat="1" x14ac:dyDescent="0.2">
      <c r="B954" s="107" t="s">
        <v>1064</v>
      </c>
      <c r="C954" s="55" t="s">
        <v>1065</v>
      </c>
      <c r="D954" s="56" t="s">
        <v>1072</v>
      </c>
    </row>
    <row r="955" spans="2:4" s="54" customFormat="1" x14ac:dyDescent="0.2">
      <c r="B955" s="107" t="s">
        <v>1064</v>
      </c>
      <c r="C955" s="55" t="s">
        <v>1065</v>
      </c>
      <c r="D955" s="56" t="s">
        <v>1073</v>
      </c>
    </row>
    <row r="956" spans="2:4" s="54" customFormat="1" x14ac:dyDescent="0.2">
      <c r="B956" s="107" t="s">
        <v>1064</v>
      </c>
      <c r="C956" s="55" t="s">
        <v>1065</v>
      </c>
      <c r="D956" s="56" t="s">
        <v>1074</v>
      </c>
    </row>
    <row r="957" spans="2:4" s="54" customFormat="1" x14ac:dyDescent="0.2">
      <c r="B957" s="107" t="s">
        <v>1064</v>
      </c>
      <c r="C957" s="55" t="s">
        <v>1065</v>
      </c>
      <c r="D957" s="56" t="s">
        <v>1075</v>
      </c>
    </row>
    <row r="958" spans="2:4" s="54" customFormat="1" x14ac:dyDescent="0.2">
      <c r="B958" s="107" t="s">
        <v>1076</v>
      </c>
      <c r="C958" s="55" t="s">
        <v>1077</v>
      </c>
      <c r="D958" s="56" t="s">
        <v>1078</v>
      </c>
    </row>
    <row r="959" spans="2:4" s="54" customFormat="1" x14ac:dyDescent="0.2">
      <c r="B959" s="107" t="s">
        <v>1076</v>
      </c>
      <c r="C959" s="55" t="s">
        <v>1077</v>
      </c>
      <c r="D959" s="56" t="s">
        <v>1079</v>
      </c>
    </row>
    <row r="960" spans="2:4" s="54" customFormat="1" x14ac:dyDescent="0.2">
      <c r="B960" s="107" t="s">
        <v>1076</v>
      </c>
      <c r="C960" s="55" t="s">
        <v>1077</v>
      </c>
      <c r="D960" s="56" t="s">
        <v>1080</v>
      </c>
    </row>
    <row r="961" spans="2:4" s="54" customFormat="1" x14ac:dyDescent="0.2">
      <c r="B961" s="107" t="s">
        <v>1076</v>
      </c>
      <c r="C961" s="55" t="s">
        <v>1077</v>
      </c>
      <c r="D961" s="56" t="s">
        <v>1081</v>
      </c>
    </row>
    <row r="962" spans="2:4" s="54" customFormat="1" x14ac:dyDescent="0.2">
      <c r="B962" s="107" t="s">
        <v>1076</v>
      </c>
      <c r="C962" s="55" t="s">
        <v>1077</v>
      </c>
      <c r="D962" s="56" t="s">
        <v>1082</v>
      </c>
    </row>
    <row r="963" spans="2:4" s="54" customFormat="1" x14ac:dyDescent="0.2">
      <c r="B963" s="107" t="s">
        <v>1076</v>
      </c>
      <c r="C963" s="55" t="s">
        <v>1077</v>
      </c>
      <c r="D963" s="56" t="s">
        <v>1083</v>
      </c>
    </row>
    <row r="964" spans="2:4" s="54" customFormat="1" x14ac:dyDescent="0.2">
      <c r="B964" s="107" t="s">
        <v>1076</v>
      </c>
      <c r="C964" s="55" t="s">
        <v>1077</v>
      </c>
      <c r="D964" s="56" t="s">
        <v>1084</v>
      </c>
    </row>
    <row r="965" spans="2:4" s="54" customFormat="1" x14ac:dyDescent="0.2">
      <c r="B965" s="107" t="s">
        <v>1085</v>
      </c>
      <c r="C965" s="55" t="s">
        <v>1086</v>
      </c>
      <c r="D965" s="56" t="s">
        <v>1087</v>
      </c>
    </row>
    <row r="966" spans="2:4" s="54" customFormat="1" x14ac:dyDescent="0.2">
      <c r="B966" s="107" t="s">
        <v>1085</v>
      </c>
      <c r="C966" s="55" t="s">
        <v>1086</v>
      </c>
      <c r="D966" s="56" t="s">
        <v>1088</v>
      </c>
    </row>
    <row r="967" spans="2:4" s="54" customFormat="1" x14ac:dyDescent="0.2">
      <c r="B967" s="107" t="s">
        <v>1085</v>
      </c>
      <c r="C967" s="55" t="s">
        <v>1086</v>
      </c>
      <c r="D967" s="56" t="s">
        <v>1089</v>
      </c>
    </row>
    <row r="968" spans="2:4" s="54" customFormat="1" x14ac:dyDescent="0.2">
      <c r="B968" s="107" t="s">
        <v>1085</v>
      </c>
      <c r="C968" s="55" t="s">
        <v>1086</v>
      </c>
      <c r="D968" s="56" t="s">
        <v>1090</v>
      </c>
    </row>
    <row r="969" spans="2:4" s="54" customFormat="1" x14ac:dyDescent="0.2">
      <c r="B969" s="107" t="s">
        <v>1085</v>
      </c>
      <c r="C969" s="55" t="s">
        <v>1086</v>
      </c>
      <c r="D969" s="56" t="s">
        <v>1091</v>
      </c>
    </row>
    <row r="970" spans="2:4" s="54" customFormat="1" x14ac:dyDescent="0.2">
      <c r="B970" s="107" t="s">
        <v>1085</v>
      </c>
      <c r="C970" s="55" t="s">
        <v>1086</v>
      </c>
      <c r="D970" s="56" t="s">
        <v>1092</v>
      </c>
    </row>
    <row r="971" spans="2:4" s="54" customFormat="1" x14ac:dyDescent="0.2">
      <c r="B971" s="107" t="s">
        <v>1085</v>
      </c>
      <c r="C971" s="55" t="s">
        <v>1086</v>
      </c>
      <c r="D971" s="56" t="s">
        <v>1093</v>
      </c>
    </row>
    <row r="972" spans="2:4" s="54" customFormat="1" x14ac:dyDescent="0.2">
      <c r="B972" s="107" t="s">
        <v>1085</v>
      </c>
      <c r="C972" s="55" t="s">
        <v>1086</v>
      </c>
      <c r="D972" s="56" t="s">
        <v>1094</v>
      </c>
    </row>
    <row r="973" spans="2:4" s="54" customFormat="1" x14ac:dyDescent="0.2">
      <c r="B973" s="107" t="s">
        <v>1085</v>
      </c>
      <c r="C973" s="55" t="s">
        <v>1086</v>
      </c>
      <c r="D973" s="56" t="s">
        <v>1095</v>
      </c>
    </row>
    <row r="974" spans="2:4" s="54" customFormat="1" x14ac:dyDescent="0.2">
      <c r="B974" s="107" t="s">
        <v>1085</v>
      </c>
      <c r="C974" s="55" t="s">
        <v>1086</v>
      </c>
      <c r="D974" s="56" t="s">
        <v>1096</v>
      </c>
    </row>
    <row r="975" spans="2:4" s="54" customFormat="1" x14ac:dyDescent="0.2">
      <c r="B975" s="107" t="s">
        <v>1085</v>
      </c>
      <c r="C975" s="55" t="s">
        <v>1086</v>
      </c>
      <c r="D975" s="56" t="s">
        <v>1097</v>
      </c>
    </row>
    <row r="976" spans="2:4" s="54" customFormat="1" x14ac:dyDescent="0.2">
      <c r="B976" s="107" t="s">
        <v>1085</v>
      </c>
      <c r="C976" s="55" t="s">
        <v>1086</v>
      </c>
      <c r="D976" s="56" t="s">
        <v>1098</v>
      </c>
    </row>
    <row r="977" spans="2:4" s="54" customFormat="1" x14ac:dyDescent="0.2">
      <c r="B977" s="107" t="s">
        <v>1099</v>
      </c>
      <c r="C977" s="55" t="s">
        <v>1100</v>
      </c>
      <c r="D977" s="56" t="s">
        <v>1101</v>
      </c>
    </row>
    <row r="978" spans="2:4" s="54" customFormat="1" x14ac:dyDescent="0.2">
      <c r="B978" s="107" t="s">
        <v>1099</v>
      </c>
      <c r="C978" s="55" t="s">
        <v>1100</v>
      </c>
      <c r="D978" s="56" t="s">
        <v>1102</v>
      </c>
    </row>
    <row r="979" spans="2:4" s="54" customFormat="1" x14ac:dyDescent="0.2">
      <c r="B979" s="107" t="s">
        <v>1099</v>
      </c>
      <c r="C979" s="55" t="s">
        <v>1100</v>
      </c>
      <c r="D979" s="56" t="s">
        <v>1103</v>
      </c>
    </row>
    <row r="980" spans="2:4" s="54" customFormat="1" x14ac:dyDescent="0.2">
      <c r="B980" s="107" t="s">
        <v>1099</v>
      </c>
      <c r="C980" s="55" t="s">
        <v>1100</v>
      </c>
      <c r="D980" s="56" t="s">
        <v>1104</v>
      </c>
    </row>
    <row r="981" spans="2:4" s="54" customFormat="1" x14ac:dyDescent="0.2">
      <c r="B981" s="107" t="s">
        <v>1099</v>
      </c>
      <c r="C981" s="55" t="s">
        <v>1100</v>
      </c>
      <c r="D981" s="56" t="s">
        <v>1105</v>
      </c>
    </row>
    <row r="982" spans="2:4" s="54" customFormat="1" x14ac:dyDescent="0.2">
      <c r="B982" s="107" t="s">
        <v>1099</v>
      </c>
      <c r="C982" s="55" t="s">
        <v>1100</v>
      </c>
      <c r="D982" s="56" t="s">
        <v>1106</v>
      </c>
    </row>
    <row r="983" spans="2:4" s="54" customFormat="1" x14ac:dyDescent="0.2">
      <c r="B983" s="107" t="s">
        <v>1099</v>
      </c>
      <c r="C983" s="55" t="s">
        <v>1100</v>
      </c>
      <c r="D983" s="56" t="s">
        <v>1107</v>
      </c>
    </row>
    <row r="984" spans="2:4" s="54" customFormat="1" x14ac:dyDescent="0.2">
      <c r="B984" s="107" t="s">
        <v>1099</v>
      </c>
      <c r="C984" s="55" t="s">
        <v>1100</v>
      </c>
      <c r="D984" s="56" t="s">
        <v>1108</v>
      </c>
    </row>
    <row r="985" spans="2:4" s="54" customFormat="1" x14ac:dyDescent="0.2">
      <c r="B985" s="107" t="s">
        <v>1099</v>
      </c>
      <c r="C985" s="55" t="s">
        <v>1100</v>
      </c>
      <c r="D985" s="56" t="s">
        <v>1109</v>
      </c>
    </row>
    <row r="986" spans="2:4" s="54" customFormat="1" x14ac:dyDescent="0.2">
      <c r="B986" s="107" t="s">
        <v>1099</v>
      </c>
      <c r="C986" s="55" t="s">
        <v>1100</v>
      </c>
      <c r="D986" s="56" t="s">
        <v>1110</v>
      </c>
    </row>
    <row r="987" spans="2:4" s="54" customFormat="1" x14ac:dyDescent="0.2">
      <c r="B987" s="107" t="s">
        <v>1099</v>
      </c>
      <c r="C987" s="55" t="s">
        <v>1100</v>
      </c>
      <c r="D987" s="56" t="s">
        <v>1111</v>
      </c>
    </row>
    <row r="988" spans="2:4" s="54" customFormat="1" x14ac:dyDescent="0.2">
      <c r="B988" s="107" t="s">
        <v>1099</v>
      </c>
      <c r="C988" s="55" t="s">
        <v>1100</v>
      </c>
      <c r="D988" s="56" t="s">
        <v>1112</v>
      </c>
    </row>
    <row r="989" spans="2:4" s="54" customFormat="1" x14ac:dyDescent="0.2">
      <c r="B989" s="107" t="s">
        <v>1099</v>
      </c>
      <c r="C989" s="55" t="s">
        <v>1100</v>
      </c>
      <c r="D989" s="56" t="s">
        <v>1113</v>
      </c>
    </row>
    <row r="990" spans="2:4" s="54" customFormat="1" x14ac:dyDescent="0.2">
      <c r="B990" s="107" t="s">
        <v>1099</v>
      </c>
      <c r="C990" s="55" t="s">
        <v>1100</v>
      </c>
      <c r="D990" s="56" t="s">
        <v>1114</v>
      </c>
    </row>
    <row r="991" spans="2:4" s="54" customFormat="1" x14ac:dyDescent="0.2">
      <c r="B991" s="107" t="s">
        <v>1099</v>
      </c>
      <c r="C991" s="55" t="s">
        <v>1100</v>
      </c>
      <c r="D991" s="56" t="s">
        <v>1115</v>
      </c>
    </row>
    <row r="992" spans="2:4" s="54" customFormat="1" x14ac:dyDescent="0.2">
      <c r="B992" s="107" t="s">
        <v>1099</v>
      </c>
      <c r="C992" s="55" t="s">
        <v>1100</v>
      </c>
      <c r="D992" s="56" t="s">
        <v>1116</v>
      </c>
    </row>
    <row r="993" spans="2:4" s="54" customFormat="1" x14ac:dyDescent="0.2">
      <c r="B993" s="107" t="s">
        <v>1117</v>
      </c>
      <c r="C993" s="55" t="s">
        <v>1118</v>
      </c>
      <c r="D993" s="56" t="s">
        <v>1119</v>
      </c>
    </row>
    <row r="994" spans="2:4" s="54" customFormat="1" x14ac:dyDescent="0.2">
      <c r="B994" s="107" t="s">
        <v>1117</v>
      </c>
      <c r="C994" s="55" t="s">
        <v>1118</v>
      </c>
      <c r="D994" s="56" t="s">
        <v>1120</v>
      </c>
    </row>
    <row r="995" spans="2:4" s="54" customFormat="1" x14ac:dyDescent="0.2">
      <c r="B995" s="107" t="s">
        <v>1117</v>
      </c>
      <c r="C995" s="55" t="s">
        <v>1118</v>
      </c>
      <c r="D995" s="56" t="s">
        <v>1121</v>
      </c>
    </row>
    <row r="996" spans="2:4" s="54" customFormat="1" x14ac:dyDescent="0.2">
      <c r="B996" s="107" t="s">
        <v>1117</v>
      </c>
      <c r="C996" s="55" t="s">
        <v>1118</v>
      </c>
      <c r="D996" s="56" t="s">
        <v>1122</v>
      </c>
    </row>
    <row r="997" spans="2:4" s="54" customFormat="1" x14ac:dyDescent="0.2">
      <c r="B997" s="107" t="s">
        <v>1117</v>
      </c>
      <c r="C997" s="55" t="s">
        <v>1118</v>
      </c>
      <c r="D997" s="56" t="s">
        <v>1039</v>
      </c>
    </row>
    <row r="998" spans="2:4" s="54" customFormat="1" x14ac:dyDescent="0.2">
      <c r="B998" s="107" t="s">
        <v>1117</v>
      </c>
      <c r="C998" s="55" t="s">
        <v>1118</v>
      </c>
      <c r="D998" s="56" t="s">
        <v>1040</v>
      </c>
    </row>
    <row r="999" spans="2:4" s="54" customFormat="1" x14ac:dyDescent="0.2">
      <c r="B999" s="107" t="s">
        <v>1117</v>
      </c>
      <c r="C999" s="55" t="s">
        <v>1118</v>
      </c>
      <c r="D999" s="56" t="s">
        <v>1123</v>
      </c>
    </row>
    <row r="1000" spans="2:4" s="54" customFormat="1" x14ac:dyDescent="0.2">
      <c r="B1000" s="107" t="s">
        <v>1117</v>
      </c>
      <c r="C1000" s="55" t="s">
        <v>1118</v>
      </c>
      <c r="D1000" s="56" t="s">
        <v>390</v>
      </c>
    </row>
    <row r="1001" spans="2:4" s="54" customFormat="1" x14ac:dyDescent="0.2">
      <c r="B1001" s="107" t="s">
        <v>1117</v>
      </c>
      <c r="C1001" s="55" t="s">
        <v>1118</v>
      </c>
      <c r="D1001" s="56" t="s">
        <v>273</v>
      </c>
    </row>
    <row r="1002" spans="2:4" s="54" customFormat="1" x14ac:dyDescent="0.2">
      <c r="B1002" s="107" t="s">
        <v>1117</v>
      </c>
      <c r="C1002" s="55" t="s">
        <v>1118</v>
      </c>
      <c r="D1002" s="56" t="s">
        <v>1124</v>
      </c>
    </row>
    <row r="1003" spans="2:4" s="54" customFormat="1" x14ac:dyDescent="0.2">
      <c r="B1003" s="107" t="s">
        <v>1117</v>
      </c>
      <c r="C1003" s="55" t="s">
        <v>1118</v>
      </c>
      <c r="D1003" s="56" t="s">
        <v>1125</v>
      </c>
    </row>
    <row r="1004" spans="2:4" s="54" customFormat="1" x14ac:dyDescent="0.2">
      <c r="B1004" s="107" t="s">
        <v>1117</v>
      </c>
      <c r="C1004" s="55" t="s">
        <v>1118</v>
      </c>
      <c r="D1004" s="56" t="s">
        <v>1126</v>
      </c>
    </row>
    <row r="1005" spans="2:4" s="54" customFormat="1" x14ac:dyDescent="0.2">
      <c r="B1005" s="107" t="s">
        <v>1117</v>
      </c>
      <c r="C1005" s="55" t="s">
        <v>1118</v>
      </c>
      <c r="D1005" s="56" t="s">
        <v>1127</v>
      </c>
    </row>
    <row r="1006" spans="2:4" s="54" customFormat="1" x14ac:dyDescent="0.2">
      <c r="B1006" s="107" t="s">
        <v>1117</v>
      </c>
      <c r="C1006" s="55" t="s">
        <v>1118</v>
      </c>
      <c r="D1006" s="56" t="s">
        <v>1128</v>
      </c>
    </row>
    <row r="1007" spans="2:4" s="54" customFormat="1" x14ac:dyDescent="0.2">
      <c r="B1007" s="107" t="s">
        <v>1117</v>
      </c>
      <c r="C1007" s="55" t="s">
        <v>1118</v>
      </c>
      <c r="D1007" s="56" t="s">
        <v>1041</v>
      </c>
    </row>
    <row r="1008" spans="2:4" s="54" customFormat="1" x14ac:dyDescent="0.2">
      <c r="B1008" s="107" t="s">
        <v>1117</v>
      </c>
      <c r="C1008" s="55" t="s">
        <v>1118</v>
      </c>
      <c r="D1008" s="56" t="s">
        <v>1129</v>
      </c>
    </row>
    <row r="1009" spans="2:4" s="54" customFormat="1" x14ac:dyDescent="0.2">
      <c r="B1009" s="107" t="s">
        <v>1130</v>
      </c>
      <c r="C1009" s="55" t="s">
        <v>1131</v>
      </c>
      <c r="D1009" s="56" t="s">
        <v>1132</v>
      </c>
    </row>
    <row r="1010" spans="2:4" s="54" customFormat="1" x14ac:dyDescent="0.2">
      <c r="B1010" s="107" t="s">
        <v>1130</v>
      </c>
      <c r="C1010" s="55" t="s">
        <v>1131</v>
      </c>
      <c r="D1010" s="56" t="s">
        <v>1133</v>
      </c>
    </row>
    <row r="1011" spans="2:4" s="54" customFormat="1" x14ac:dyDescent="0.2">
      <c r="B1011" s="107" t="s">
        <v>1130</v>
      </c>
      <c r="C1011" s="55" t="s">
        <v>1131</v>
      </c>
      <c r="D1011" s="56" t="s">
        <v>1134</v>
      </c>
    </row>
    <row r="1012" spans="2:4" s="54" customFormat="1" x14ac:dyDescent="0.2">
      <c r="B1012" s="107" t="s">
        <v>1130</v>
      </c>
      <c r="C1012" s="55" t="s">
        <v>1131</v>
      </c>
      <c r="D1012" s="56" t="s">
        <v>1135</v>
      </c>
    </row>
    <row r="1013" spans="2:4" s="54" customFormat="1" x14ac:dyDescent="0.2">
      <c r="B1013" s="107" t="s">
        <v>1130</v>
      </c>
      <c r="C1013" s="55" t="s">
        <v>1131</v>
      </c>
      <c r="D1013" s="56" t="s">
        <v>1136</v>
      </c>
    </row>
    <row r="1014" spans="2:4" s="54" customFormat="1" x14ac:dyDescent="0.2">
      <c r="B1014" s="107" t="s">
        <v>1130</v>
      </c>
      <c r="C1014" s="55" t="s">
        <v>1131</v>
      </c>
      <c r="D1014" s="56" t="s">
        <v>1137</v>
      </c>
    </row>
    <row r="1015" spans="2:4" s="54" customFormat="1" x14ac:dyDescent="0.2">
      <c r="B1015" s="107" t="s">
        <v>1130</v>
      </c>
      <c r="C1015" s="55" t="s">
        <v>1131</v>
      </c>
      <c r="D1015" s="56" t="s">
        <v>1138</v>
      </c>
    </row>
    <row r="1016" spans="2:4" s="54" customFormat="1" x14ac:dyDescent="0.2">
      <c r="B1016" s="107" t="s">
        <v>1130</v>
      </c>
      <c r="C1016" s="55" t="s">
        <v>1131</v>
      </c>
      <c r="D1016" s="56" t="s">
        <v>1139</v>
      </c>
    </row>
    <row r="1017" spans="2:4" s="54" customFormat="1" x14ac:dyDescent="0.2">
      <c r="B1017" s="107" t="s">
        <v>1130</v>
      </c>
      <c r="C1017" s="55" t="s">
        <v>1131</v>
      </c>
      <c r="D1017" s="56" t="s">
        <v>1140</v>
      </c>
    </row>
    <row r="1018" spans="2:4" s="54" customFormat="1" x14ac:dyDescent="0.2">
      <c r="B1018" s="107" t="s">
        <v>1130</v>
      </c>
      <c r="C1018" s="55" t="s">
        <v>1131</v>
      </c>
      <c r="D1018" s="56" t="s">
        <v>1141</v>
      </c>
    </row>
    <row r="1019" spans="2:4" s="54" customFormat="1" x14ac:dyDescent="0.2">
      <c r="B1019" s="107" t="s">
        <v>1130</v>
      </c>
      <c r="C1019" s="55" t="s">
        <v>1131</v>
      </c>
      <c r="D1019" s="56" t="s">
        <v>1142</v>
      </c>
    </row>
    <row r="1020" spans="2:4" s="54" customFormat="1" x14ac:dyDescent="0.2">
      <c r="B1020" s="107" t="s">
        <v>1130</v>
      </c>
      <c r="C1020" s="55" t="s">
        <v>1131</v>
      </c>
      <c r="D1020" s="56" t="s">
        <v>1143</v>
      </c>
    </row>
    <row r="1021" spans="2:4" s="54" customFormat="1" x14ac:dyDescent="0.2">
      <c r="B1021" s="107" t="s">
        <v>1130</v>
      </c>
      <c r="C1021" s="55" t="s">
        <v>1131</v>
      </c>
      <c r="D1021" s="56" t="s">
        <v>1144</v>
      </c>
    </row>
    <row r="1022" spans="2:4" s="54" customFormat="1" x14ac:dyDescent="0.2">
      <c r="B1022" s="107" t="s">
        <v>1145</v>
      </c>
      <c r="C1022" s="55" t="s">
        <v>1146</v>
      </c>
      <c r="D1022" s="56" t="s">
        <v>1147</v>
      </c>
    </row>
    <row r="1023" spans="2:4" s="54" customFormat="1" x14ac:dyDescent="0.2">
      <c r="B1023" s="107" t="s">
        <v>1145</v>
      </c>
      <c r="C1023" s="55" t="s">
        <v>1146</v>
      </c>
      <c r="D1023" s="56" t="s">
        <v>288</v>
      </c>
    </row>
    <row r="1024" spans="2:4" s="54" customFormat="1" x14ac:dyDescent="0.2">
      <c r="B1024" s="107" t="s">
        <v>1145</v>
      </c>
      <c r="C1024" s="55" t="s">
        <v>1146</v>
      </c>
      <c r="D1024" s="56" t="s">
        <v>1148</v>
      </c>
    </row>
    <row r="1025" spans="2:4" s="54" customFormat="1" x14ac:dyDescent="0.2">
      <c r="B1025" s="107" t="s">
        <v>1145</v>
      </c>
      <c r="C1025" s="55" t="s">
        <v>1146</v>
      </c>
      <c r="D1025" s="56" t="s">
        <v>289</v>
      </c>
    </row>
    <row r="1026" spans="2:4" s="54" customFormat="1" x14ac:dyDescent="0.2">
      <c r="B1026" s="107" t="s">
        <v>1145</v>
      </c>
      <c r="C1026" s="55" t="s">
        <v>1146</v>
      </c>
      <c r="D1026" s="56" t="s">
        <v>291</v>
      </c>
    </row>
    <row r="1027" spans="2:4" s="54" customFormat="1" x14ac:dyDescent="0.2">
      <c r="B1027" s="107" t="s">
        <v>1145</v>
      </c>
      <c r="C1027" s="55" t="s">
        <v>1146</v>
      </c>
      <c r="D1027" s="56" t="s">
        <v>1149</v>
      </c>
    </row>
    <row r="1028" spans="2:4" s="54" customFormat="1" x14ac:dyDescent="0.2">
      <c r="B1028" s="107" t="s">
        <v>1145</v>
      </c>
      <c r="C1028" s="55" t="s">
        <v>1146</v>
      </c>
      <c r="D1028" s="56" t="s">
        <v>1150</v>
      </c>
    </row>
    <row r="1029" spans="2:4" s="54" customFormat="1" x14ac:dyDescent="0.2">
      <c r="B1029" s="107" t="s">
        <v>1151</v>
      </c>
      <c r="C1029" s="55" t="s">
        <v>1152</v>
      </c>
      <c r="D1029" s="56" t="s">
        <v>1153</v>
      </c>
    </row>
    <row r="1030" spans="2:4" s="54" customFormat="1" x14ac:dyDescent="0.2">
      <c r="B1030" s="107" t="s">
        <v>1151</v>
      </c>
      <c r="C1030" s="55" t="s">
        <v>1152</v>
      </c>
      <c r="D1030" s="56" t="s">
        <v>1154</v>
      </c>
    </row>
    <row r="1031" spans="2:4" s="54" customFormat="1" x14ac:dyDescent="0.2">
      <c r="B1031" s="107" t="s">
        <v>1151</v>
      </c>
      <c r="C1031" s="55" t="s">
        <v>1152</v>
      </c>
      <c r="D1031" s="56" t="s">
        <v>1155</v>
      </c>
    </row>
    <row r="1032" spans="2:4" s="54" customFormat="1" x14ac:dyDescent="0.2">
      <c r="B1032" s="107" t="s">
        <v>1151</v>
      </c>
      <c r="C1032" s="55" t="s">
        <v>1152</v>
      </c>
      <c r="D1032" s="56" t="s">
        <v>1156</v>
      </c>
    </row>
    <row r="1033" spans="2:4" s="54" customFormat="1" x14ac:dyDescent="0.2">
      <c r="B1033" s="107" t="s">
        <v>1151</v>
      </c>
      <c r="C1033" s="55" t="s">
        <v>1152</v>
      </c>
      <c r="D1033" s="56" t="s">
        <v>1157</v>
      </c>
    </row>
    <row r="1034" spans="2:4" s="54" customFormat="1" x14ac:dyDescent="0.2">
      <c r="B1034" s="107" t="s">
        <v>1151</v>
      </c>
      <c r="C1034" s="55" t="s">
        <v>1152</v>
      </c>
      <c r="D1034" s="56" t="s">
        <v>1158</v>
      </c>
    </row>
    <row r="1035" spans="2:4" s="54" customFormat="1" x14ac:dyDescent="0.2">
      <c r="B1035" s="107" t="s">
        <v>1151</v>
      </c>
      <c r="C1035" s="55" t="s">
        <v>1152</v>
      </c>
      <c r="D1035" s="56" t="s">
        <v>1152</v>
      </c>
    </row>
    <row r="1036" spans="2:4" s="54" customFormat="1" x14ac:dyDescent="0.2">
      <c r="B1036" s="107" t="s">
        <v>1151</v>
      </c>
      <c r="C1036" s="55" t="s">
        <v>1152</v>
      </c>
      <c r="D1036" s="56" t="s">
        <v>1159</v>
      </c>
    </row>
    <row r="1037" spans="2:4" s="54" customFormat="1" x14ac:dyDescent="0.2">
      <c r="B1037" s="107" t="s">
        <v>1151</v>
      </c>
      <c r="C1037" s="55" t="s">
        <v>1152</v>
      </c>
      <c r="D1037" s="56" t="s">
        <v>1160</v>
      </c>
    </row>
    <row r="1038" spans="2:4" s="54" customFormat="1" x14ac:dyDescent="0.2">
      <c r="B1038" s="107" t="s">
        <v>1151</v>
      </c>
      <c r="C1038" s="55" t="s">
        <v>1152</v>
      </c>
      <c r="D1038" s="56" t="s">
        <v>1161</v>
      </c>
    </row>
    <row r="1039" spans="2:4" s="54" customFormat="1" x14ac:dyDescent="0.2">
      <c r="B1039" s="107" t="s">
        <v>1151</v>
      </c>
      <c r="C1039" s="55" t="s">
        <v>1152</v>
      </c>
      <c r="D1039" s="56" t="s">
        <v>1162</v>
      </c>
    </row>
    <row r="1040" spans="2:4" s="54" customFormat="1" x14ac:dyDescent="0.2">
      <c r="B1040" s="107" t="s">
        <v>1151</v>
      </c>
      <c r="C1040" s="55" t="s">
        <v>1152</v>
      </c>
      <c r="D1040" s="56" t="s">
        <v>1163</v>
      </c>
    </row>
    <row r="1041" spans="2:4" s="54" customFormat="1" x14ac:dyDescent="0.2">
      <c r="B1041" s="107" t="s">
        <v>1151</v>
      </c>
      <c r="C1041" s="55" t="s">
        <v>1152</v>
      </c>
      <c r="D1041" s="56" t="s">
        <v>1164</v>
      </c>
    </row>
    <row r="1042" spans="2:4" s="54" customFormat="1" x14ac:dyDescent="0.2">
      <c r="B1042" s="107" t="s">
        <v>1151</v>
      </c>
      <c r="C1042" s="55" t="s">
        <v>1152</v>
      </c>
      <c r="D1042" s="56" t="s">
        <v>1165</v>
      </c>
    </row>
    <row r="1043" spans="2:4" s="54" customFormat="1" x14ac:dyDescent="0.2">
      <c r="B1043" s="107" t="s">
        <v>1151</v>
      </c>
      <c r="C1043" s="55" t="s">
        <v>1152</v>
      </c>
      <c r="D1043" s="56" t="s">
        <v>1166</v>
      </c>
    </row>
    <row r="1044" spans="2:4" s="54" customFormat="1" x14ac:dyDescent="0.2">
      <c r="B1044" s="107" t="s">
        <v>1151</v>
      </c>
      <c r="C1044" s="55" t="s">
        <v>1152</v>
      </c>
      <c r="D1044" s="56" t="s">
        <v>1167</v>
      </c>
    </row>
    <row r="1045" spans="2:4" s="54" customFormat="1" x14ac:dyDescent="0.2">
      <c r="B1045" s="107" t="s">
        <v>1151</v>
      </c>
      <c r="C1045" s="55" t="s">
        <v>1152</v>
      </c>
      <c r="D1045" s="56" t="s">
        <v>1168</v>
      </c>
    </row>
    <row r="1046" spans="2:4" s="54" customFormat="1" x14ac:dyDescent="0.2">
      <c r="B1046" s="107" t="s">
        <v>1151</v>
      </c>
      <c r="C1046" s="55" t="s">
        <v>1152</v>
      </c>
      <c r="D1046" s="56" t="s">
        <v>1169</v>
      </c>
    </row>
    <row r="1047" spans="2:4" s="54" customFormat="1" x14ac:dyDescent="0.2">
      <c r="B1047" s="107" t="s">
        <v>1151</v>
      </c>
      <c r="C1047" s="55" t="s">
        <v>1152</v>
      </c>
      <c r="D1047" s="56" t="s">
        <v>1170</v>
      </c>
    </row>
    <row r="1048" spans="2:4" s="54" customFormat="1" x14ac:dyDescent="0.2">
      <c r="B1048" s="107" t="s">
        <v>1151</v>
      </c>
      <c r="C1048" s="55" t="s">
        <v>1152</v>
      </c>
      <c r="D1048" s="56" t="s">
        <v>1171</v>
      </c>
    </row>
    <row r="1049" spans="2:4" s="54" customFormat="1" x14ac:dyDescent="0.2">
      <c r="B1049" s="107" t="s">
        <v>1151</v>
      </c>
      <c r="C1049" s="55" t="s">
        <v>1152</v>
      </c>
      <c r="D1049" s="56" t="s">
        <v>1172</v>
      </c>
    </row>
    <row r="1050" spans="2:4" s="54" customFormat="1" x14ac:dyDescent="0.2">
      <c r="B1050" s="107" t="s">
        <v>1151</v>
      </c>
      <c r="C1050" s="55" t="s">
        <v>1152</v>
      </c>
      <c r="D1050" s="56" t="s">
        <v>1173</v>
      </c>
    </row>
    <row r="1051" spans="2:4" s="54" customFormat="1" x14ac:dyDescent="0.2">
      <c r="B1051" s="107" t="s">
        <v>1174</v>
      </c>
      <c r="C1051" s="55" t="s">
        <v>1175</v>
      </c>
      <c r="D1051" s="56" t="s">
        <v>1176</v>
      </c>
    </row>
    <row r="1052" spans="2:4" s="54" customFormat="1" x14ac:dyDescent="0.2">
      <c r="B1052" s="107" t="s">
        <v>1174</v>
      </c>
      <c r="C1052" s="55" t="s">
        <v>1175</v>
      </c>
      <c r="D1052" s="56" t="s">
        <v>1177</v>
      </c>
    </row>
    <row r="1053" spans="2:4" s="54" customFormat="1" x14ac:dyDescent="0.2">
      <c r="B1053" s="107" t="s">
        <v>1174</v>
      </c>
      <c r="C1053" s="55" t="s">
        <v>1175</v>
      </c>
      <c r="D1053" s="56" t="s">
        <v>1178</v>
      </c>
    </row>
    <row r="1054" spans="2:4" s="54" customFormat="1" x14ac:dyDescent="0.2">
      <c r="B1054" s="107" t="s">
        <v>1174</v>
      </c>
      <c r="C1054" s="55" t="s">
        <v>1175</v>
      </c>
      <c r="D1054" s="56" t="s">
        <v>1179</v>
      </c>
    </row>
    <row r="1055" spans="2:4" s="54" customFormat="1" x14ac:dyDescent="0.2">
      <c r="B1055" s="107" t="s">
        <v>1174</v>
      </c>
      <c r="C1055" s="55" t="s">
        <v>1175</v>
      </c>
      <c r="D1055" s="56" t="s">
        <v>1180</v>
      </c>
    </row>
    <row r="1056" spans="2:4" s="54" customFormat="1" x14ac:dyDescent="0.2">
      <c r="B1056" s="107" t="s">
        <v>1174</v>
      </c>
      <c r="C1056" s="55" t="s">
        <v>1175</v>
      </c>
      <c r="D1056" s="56" t="s">
        <v>1181</v>
      </c>
    </row>
    <row r="1057" spans="2:4" s="54" customFormat="1" x14ac:dyDescent="0.2">
      <c r="B1057" s="107" t="s">
        <v>1174</v>
      </c>
      <c r="C1057" s="55" t="s">
        <v>1175</v>
      </c>
      <c r="D1057" s="56" t="s">
        <v>1182</v>
      </c>
    </row>
    <row r="1058" spans="2:4" s="54" customFormat="1" x14ac:dyDescent="0.2">
      <c r="B1058" s="107" t="s">
        <v>1174</v>
      </c>
      <c r="C1058" s="55" t="s">
        <v>1175</v>
      </c>
      <c r="D1058" s="56" t="s">
        <v>1183</v>
      </c>
    </row>
    <row r="1059" spans="2:4" s="54" customFormat="1" x14ac:dyDescent="0.2">
      <c r="B1059" s="107" t="s">
        <v>1184</v>
      </c>
      <c r="C1059" s="55" t="s">
        <v>1185</v>
      </c>
      <c r="D1059" s="56" t="s">
        <v>1186</v>
      </c>
    </row>
    <row r="1060" spans="2:4" s="54" customFormat="1" x14ac:dyDescent="0.2">
      <c r="B1060" s="107" t="s">
        <v>1184</v>
      </c>
      <c r="C1060" s="55" t="s">
        <v>1185</v>
      </c>
      <c r="D1060" s="56" t="s">
        <v>1187</v>
      </c>
    </row>
    <row r="1061" spans="2:4" s="54" customFormat="1" x14ac:dyDescent="0.2">
      <c r="B1061" s="107" t="s">
        <v>1184</v>
      </c>
      <c r="C1061" s="55" t="s">
        <v>1185</v>
      </c>
      <c r="D1061" s="56" t="s">
        <v>1188</v>
      </c>
    </row>
    <row r="1062" spans="2:4" s="54" customFormat="1" x14ac:dyDescent="0.2">
      <c r="B1062" s="107" t="s">
        <v>1184</v>
      </c>
      <c r="C1062" s="55" t="s">
        <v>1185</v>
      </c>
      <c r="D1062" s="56" t="s">
        <v>1189</v>
      </c>
    </row>
    <row r="1063" spans="2:4" s="54" customFormat="1" x14ac:dyDescent="0.2">
      <c r="B1063" s="107" t="s">
        <v>1184</v>
      </c>
      <c r="C1063" s="55" t="s">
        <v>1185</v>
      </c>
      <c r="D1063" s="56" t="s">
        <v>1190</v>
      </c>
    </row>
    <row r="1064" spans="2:4" s="54" customFormat="1" x14ac:dyDescent="0.2">
      <c r="B1064" s="107" t="s">
        <v>1184</v>
      </c>
      <c r="C1064" s="55" t="s">
        <v>1185</v>
      </c>
      <c r="D1064" s="56" t="s">
        <v>1191</v>
      </c>
    </row>
    <row r="1065" spans="2:4" s="54" customFormat="1" x14ac:dyDescent="0.2">
      <c r="B1065" s="107" t="s">
        <v>1184</v>
      </c>
      <c r="C1065" s="55" t="s">
        <v>1185</v>
      </c>
      <c r="D1065" s="56" t="s">
        <v>1192</v>
      </c>
    </row>
    <row r="1066" spans="2:4" s="54" customFormat="1" x14ac:dyDescent="0.2">
      <c r="B1066" s="107" t="s">
        <v>1184</v>
      </c>
      <c r="C1066" s="55" t="s">
        <v>1185</v>
      </c>
      <c r="D1066" s="56" t="s">
        <v>1193</v>
      </c>
    </row>
    <row r="1067" spans="2:4" s="54" customFormat="1" x14ac:dyDescent="0.2">
      <c r="B1067" s="107" t="s">
        <v>1184</v>
      </c>
      <c r="C1067" s="55" t="s">
        <v>1185</v>
      </c>
      <c r="D1067" s="56" t="s">
        <v>1194</v>
      </c>
    </row>
    <row r="1068" spans="2:4" s="54" customFormat="1" x14ac:dyDescent="0.2">
      <c r="B1068" s="107" t="s">
        <v>1184</v>
      </c>
      <c r="C1068" s="55" t="s">
        <v>1185</v>
      </c>
      <c r="D1068" s="56" t="s">
        <v>1195</v>
      </c>
    </row>
    <row r="1069" spans="2:4" s="54" customFormat="1" x14ac:dyDescent="0.2">
      <c r="B1069" s="107" t="s">
        <v>1184</v>
      </c>
      <c r="C1069" s="55" t="s">
        <v>1185</v>
      </c>
      <c r="D1069" s="56" t="s">
        <v>1196</v>
      </c>
    </row>
    <row r="1070" spans="2:4" s="54" customFormat="1" x14ac:dyDescent="0.2">
      <c r="B1070" s="107" t="s">
        <v>1197</v>
      </c>
      <c r="C1070" s="55" t="s">
        <v>1198</v>
      </c>
      <c r="D1070" s="56" t="s">
        <v>1199</v>
      </c>
    </row>
    <row r="1071" spans="2:4" s="54" customFormat="1" x14ac:dyDescent="0.2">
      <c r="B1071" s="107" t="s">
        <v>1197</v>
      </c>
      <c r="C1071" s="55" t="s">
        <v>1198</v>
      </c>
      <c r="D1071" s="56" t="s">
        <v>1200</v>
      </c>
    </row>
    <row r="1072" spans="2:4" s="54" customFormat="1" x14ac:dyDescent="0.2">
      <c r="B1072" s="107" t="s">
        <v>1197</v>
      </c>
      <c r="C1072" s="55" t="s">
        <v>1198</v>
      </c>
      <c r="D1072" s="56" t="s">
        <v>1201</v>
      </c>
    </row>
    <row r="1073" spans="2:4" s="54" customFormat="1" x14ac:dyDescent="0.2">
      <c r="B1073" s="107" t="s">
        <v>1197</v>
      </c>
      <c r="C1073" s="55" t="s">
        <v>1198</v>
      </c>
      <c r="D1073" s="56" t="s">
        <v>1202</v>
      </c>
    </row>
    <row r="1074" spans="2:4" s="54" customFormat="1" x14ac:dyDescent="0.2">
      <c r="B1074" s="107" t="s">
        <v>1197</v>
      </c>
      <c r="C1074" s="55" t="s">
        <v>1198</v>
      </c>
      <c r="D1074" s="56" t="s">
        <v>1203</v>
      </c>
    </row>
    <row r="1075" spans="2:4" s="54" customFormat="1" x14ac:dyDescent="0.2">
      <c r="B1075" s="107" t="s">
        <v>1197</v>
      </c>
      <c r="C1075" s="55" t="s">
        <v>1198</v>
      </c>
      <c r="D1075" s="56" t="s">
        <v>1204</v>
      </c>
    </row>
    <row r="1076" spans="2:4" s="54" customFormat="1" x14ac:dyDescent="0.2">
      <c r="B1076" s="107" t="s">
        <v>1197</v>
      </c>
      <c r="C1076" s="55" t="s">
        <v>1198</v>
      </c>
      <c r="D1076" s="56" t="s">
        <v>1205</v>
      </c>
    </row>
    <row r="1077" spans="2:4" s="54" customFormat="1" x14ac:dyDescent="0.2">
      <c r="B1077" s="107" t="s">
        <v>1197</v>
      </c>
      <c r="C1077" s="55" t="s">
        <v>1198</v>
      </c>
      <c r="D1077" s="56" t="s">
        <v>1206</v>
      </c>
    </row>
    <row r="1078" spans="2:4" s="54" customFormat="1" x14ac:dyDescent="0.2">
      <c r="B1078" s="107" t="s">
        <v>1197</v>
      </c>
      <c r="C1078" s="55" t="s">
        <v>1198</v>
      </c>
      <c r="D1078" s="56" t="s">
        <v>1207</v>
      </c>
    </row>
    <row r="1079" spans="2:4" s="54" customFormat="1" x14ac:dyDescent="0.2">
      <c r="B1079" s="107" t="s">
        <v>1197</v>
      </c>
      <c r="C1079" s="55" t="s">
        <v>1198</v>
      </c>
      <c r="D1079" s="56" t="s">
        <v>1208</v>
      </c>
    </row>
    <row r="1080" spans="2:4" s="54" customFormat="1" x14ac:dyDescent="0.2">
      <c r="B1080" s="107" t="s">
        <v>1209</v>
      </c>
      <c r="C1080" s="55" t="s">
        <v>1210</v>
      </c>
      <c r="D1080" s="56" t="s">
        <v>1211</v>
      </c>
    </row>
    <row r="1081" spans="2:4" s="54" customFormat="1" x14ac:dyDescent="0.2">
      <c r="B1081" s="107" t="s">
        <v>1209</v>
      </c>
      <c r="C1081" s="55" t="s">
        <v>1210</v>
      </c>
      <c r="D1081" s="56" t="s">
        <v>537</v>
      </c>
    </row>
    <row r="1082" spans="2:4" s="54" customFormat="1" x14ac:dyDescent="0.2">
      <c r="B1082" s="107" t="s">
        <v>1209</v>
      </c>
      <c r="C1082" s="55" t="s">
        <v>1210</v>
      </c>
      <c r="D1082" s="56" t="s">
        <v>1212</v>
      </c>
    </row>
    <row r="1083" spans="2:4" s="54" customFormat="1" x14ac:dyDescent="0.2">
      <c r="B1083" s="107" t="s">
        <v>1209</v>
      </c>
      <c r="C1083" s="55" t="s">
        <v>1210</v>
      </c>
      <c r="D1083" s="56" t="s">
        <v>541</v>
      </c>
    </row>
    <row r="1084" spans="2:4" s="54" customFormat="1" x14ac:dyDescent="0.2">
      <c r="B1084" s="107" t="s">
        <v>1209</v>
      </c>
      <c r="C1084" s="55" t="s">
        <v>1210</v>
      </c>
      <c r="D1084" s="56" t="s">
        <v>1213</v>
      </c>
    </row>
    <row r="1085" spans="2:4" s="54" customFormat="1" x14ac:dyDescent="0.2">
      <c r="B1085" s="107" t="s">
        <v>1209</v>
      </c>
      <c r="C1085" s="55" t="s">
        <v>1210</v>
      </c>
      <c r="D1085" s="56" t="s">
        <v>1214</v>
      </c>
    </row>
    <row r="1086" spans="2:4" s="54" customFormat="1" x14ac:dyDescent="0.2">
      <c r="B1086" s="107" t="s">
        <v>1209</v>
      </c>
      <c r="C1086" s="55" t="s">
        <v>1210</v>
      </c>
      <c r="D1086" s="56" t="s">
        <v>543</v>
      </c>
    </row>
    <row r="1087" spans="2:4" s="54" customFormat="1" x14ac:dyDescent="0.2">
      <c r="B1087" s="107" t="s">
        <v>1209</v>
      </c>
      <c r="C1087" s="55" t="s">
        <v>1210</v>
      </c>
      <c r="D1087" s="56" t="s">
        <v>544</v>
      </c>
    </row>
    <row r="1088" spans="2:4" s="54" customFormat="1" x14ac:dyDescent="0.2">
      <c r="B1088" s="107" t="s">
        <v>1209</v>
      </c>
      <c r="C1088" s="55" t="s">
        <v>1210</v>
      </c>
      <c r="D1088" s="56" t="s">
        <v>1215</v>
      </c>
    </row>
    <row r="1089" spans="2:4" s="54" customFormat="1" x14ac:dyDescent="0.2">
      <c r="B1089" s="107" t="s">
        <v>1216</v>
      </c>
      <c r="C1089" s="55" t="s">
        <v>1217</v>
      </c>
      <c r="D1089" s="56" t="s">
        <v>1218</v>
      </c>
    </row>
    <row r="1090" spans="2:4" s="54" customFormat="1" x14ac:dyDescent="0.2">
      <c r="B1090" s="107" t="s">
        <v>1216</v>
      </c>
      <c r="C1090" s="55" t="s">
        <v>1217</v>
      </c>
      <c r="D1090" s="56" t="s">
        <v>1219</v>
      </c>
    </row>
    <row r="1091" spans="2:4" s="54" customFormat="1" x14ac:dyDescent="0.2">
      <c r="B1091" s="107" t="s">
        <v>1216</v>
      </c>
      <c r="C1091" s="55" t="s">
        <v>1217</v>
      </c>
      <c r="D1091" s="56" t="s">
        <v>1220</v>
      </c>
    </row>
    <row r="1092" spans="2:4" s="54" customFormat="1" x14ac:dyDescent="0.2">
      <c r="B1092" s="107" t="s">
        <v>1216</v>
      </c>
      <c r="C1092" s="55" t="s">
        <v>1217</v>
      </c>
      <c r="D1092" s="56" t="s">
        <v>1221</v>
      </c>
    </row>
    <row r="1093" spans="2:4" s="54" customFormat="1" x14ac:dyDescent="0.2">
      <c r="B1093" s="107" t="s">
        <v>1216</v>
      </c>
      <c r="C1093" s="55" t="s">
        <v>1217</v>
      </c>
      <c r="D1093" s="56" t="s">
        <v>1222</v>
      </c>
    </row>
    <row r="1094" spans="2:4" s="54" customFormat="1" x14ac:dyDescent="0.2">
      <c r="B1094" s="107" t="s">
        <v>1216</v>
      </c>
      <c r="C1094" s="55" t="s">
        <v>1217</v>
      </c>
      <c r="D1094" s="56" t="s">
        <v>1223</v>
      </c>
    </row>
    <row r="1095" spans="2:4" s="54" customFormat="1" x14ac:dyDescent="0.2">
      <c r="B1095" s="107" t="s">
        <v>1216</v>
      </c>
      <c r="C1095" s="55" t="s">
        <v>1217</v>
      </c>
      <c r="D1095" s="56" t="s">
        <v>1224</v>
      </c>
    </row>
    <row r="1096" spans="2:4" s="54" customFormat="1" x14ac:dyDescent="0.2">
      <c r="B1096" s="107" t="s">
        <v>1216</v>
      </c>
      <c r="C1096" s="55" t="s">
        <v>1217</v>
      </c>
      <c r="D1096" s="56" t="s">
        <v>1225</v>
      </c>
    </row>
    <row r="1097" spans="2:4" s="54" customFormat="1" x14ac:dyDescent="0.2">
      <c r="B1097" s="107" t="s">
        <v>1216</v>
      </c>
      <c r="C1097" s="55" t="s">
        <v>1217</v>
      </c>
      <c r="D1097" s="56" t="s">
        <v>1226</v>
      </c>
    </row>
    <row r="1098" spans="2:4" s="54" customFormat="1" x14ac:dyDescent="0.2">
      <c r="B1098" s="107" t="s">
        <v>1216</v>
      </c>
      <c r="C1098" s="55" t="s">
        <v>1217</v>
      </c>
      <c r="D1098" s="56" t="s">
        <v>1227</v>
      </c>
    </row>
    <row r="1099" spans="2:4" s="54" customFormat="1" x14ac:dyDescent="0.2">
      <c r="B1099" s="107" t="s">
        <v>1216</v>
      </c>
      <c r="C1099" s="55" t="s">
        <v>1217</v>
      </c>
      <c r="D1099" s="56" t="s">
        <v>1228</v>
      </c>
    </row>
    <row r="1100" spans="2:4" s="54" customFormat="1" x14ac:dyDescent="0.2">
      <c r="B1100" s="107" t="s">
        <v>1216</v>
      </c>
      <c r="C1100" s="55" t="s">
        <v>1217</v>
      </c>
      <c r="D1100" s="56" t="s">
        <v>360</v>
      </c>
    </row>
    <row r="1101" spans="2:4" s="54" customFormat="1" x14ac:dyDescent="0.2">
      <c r="B1101" s="107" t="s">
        <v>1216</v>
      </c>
      <c r="C1101" s="55" t="s">
        <v>1217</v>
      </c>
      <c r="D1101" s="56" t="s">
        <v>1229</v>
      </c>
    </row>
    <row r="1102" spans="2:4" s="54" customFormat="1" x14ac:dyDescent="0.2">
      <c r="B1102" s="107" t="s">
        <v>1216</v>
      </c>
      <c r="C1102" s="55" t="s">
        <v>1217</v>
      </c>
      <c r="D1102" s="56" t="s">
        <v>1230</v>
      </c>
    </row>
    <row r="1103" spans="2:4" s="54" customFormat="1" x14ac:dyDescent="0.2">
      <c r="B1103" s="107" t="s">
        <v>1216</v>
      </c>
      <c r="C1103" s="55" t="s">
        <v>1217</v>
      </c>
      <c r="D1103" s="56" t="s">
        <v>1231</v>
      </c>
    </row>
    <row r="1104" spans="2:4" s="54" customFormat="1" x14ac:dyDescent="0.2">
      <c r="B1104" s="107" t="s">
        <v>1216</v>
      </c>
      <c r="C1104" s="55" t="s">
        <v>1217</v>
      </c>
      <c r="D1104" s="56" t="s">
        <v>1232</v>
      </c>
    </row>
    <row r="1105" spans="2:4" s="54" customFormat="1" x14ac:dyDescent="0.2">
      <c r="B1105" s="107" t="s">
        <v>1216</v>
      </c>
      <c r="C1105" s="55" t="s">
        <v>1217</v>
      </c>
      <c r="D1105" s="56" t="s">
        <v>1233</v>
      </c>
    </row>
    <row r="1106" spans="2:4" s="54" customFormat="1" x14ac:dyDescent="0.2">
      <c r="B1106" s="107" t="s">
        <v>1216</v>
      </c>
      <c r="C1106" s="55" t="s">
        <v>1217</v>
      </c>
      <c r="D1106" s="56" t="s">
        <v>1234</v>
      </c>
    </row>
    <row r="1107" spans="2:4" s="54" customFormat="1" x14ac:dyDescent="0.2">
      <c r="B1107" s="107" t="s">
        <v>1235</v>
      </c>
      <c r="C1107" s="55" t="s">
        <v>1236</v>
      </c>
      <c r="D1107" s="56" t="s">
        <v>1237</v>
      </c>
    </row>
    <row r="1108" spans="2:4" s="54" customFormat="1" x14ac:dyDescent="0.2">
      <c r="B1108" s="107" t="s">
        <v>1235</v>
      </c>
      <c r="C1108" s="55" t="s">
        <v>1236</v>
      </c>
      <c r="D1108" s="56" t="s">
        <v>1238</v>
      </c>
    </row>
    <row r="1109" spans="2:4" s="54" customFormat="1" x14ac:dyDescent="0.2">
      <c r="B1109" s="107" t="s">
        <v>1235</v>
      </c>
      <c r="C1109" s="55" t="s">
        <v>1236</v>
      </c>
      <c r="D1109" s="56" t="s">
        <v>1239</v>
      </c>
    </row>
    <row r="1110" spans="2:4" s="54" customFormat="1" x14ac:dyDescent="0.2">
      <c r="B1110" s="107" t="s">
        <v>1235</v>
      </c>
      <c r="C1110" s="55" t="s">
        <v>1236</v>
      </c>
      <c r="D1110" s="56" t="s">
        <v>1240</v>
      </c>
    </row>
    <row r="1111" spans="2:4" s="54" customFormat="1" x14ac:dyDescent="0.2">
      <c r="B1111" s="107" t="s">
        <v>1235</v>
      </c>
      <c r="C1111" s="55" t="s">
        <v>1236</v>
      </c>
      <c r="D1111" s="56" t="s">
        <v>1241</v>
      </c>
    </row>
    <row r="1112" spans="2:4" s="54" customFormat="1" x14ac:dyDescent="0.2">
      <c r="B1112" s="107" t="s">
        <v>1235</v>
      </c>
      <c r="C1112" s="55" t="s">
        <v>1236</v>
      </c>
      <c r="D1112" s="56" t="s">
        <v>1242</v>
      </c>
    </row>
    <row r="1113" spans="2:4" s="54" customFormat="1" x14ac:dyDescent="0.2">
      <c r="B1113" s="107" t="s">
        <v>1235</v>
      </c>
      <c r="C1113" s="55" t="s">
        <v>1236</v>
      </c>
      <c r="D1113" s="56" t="s">
        <v>1243</v>
      </c>
    </row>
    <row r="1114" spans="2:4" s="54" customFormat="1" x14ac:dyDescent="0.2">
      <c r="B1114" s="107" t="s">
        <v>1235</v>
      </c>
      <c r="C1114" s="55" t="s">
        <v>1236</v>
      </c>
      <c r="D1114" s="56" t="s">
        <v>1244</v>
      </c>
    </row>
    <row r="1115" spans="2:4" s="54" customFormat="1" x14ac:dyDescent="0.2">
      <c r="B1115" s="107" t="s">
        <v>1235</v>
      </c>
      <c r="C1115" s="55" t="s">
        <v>1236</v>
      </c>
      <c r="D1115" s="56" t="s">
        <v>1245</v>
      </c>
    </row>
    <row r="1116" spans="2:4" s="54" customFormat="1" x14ac:dyDescent="0.2">
      <c r="B1116" s="107" t="s">
        <v>1235</v>
      </c>
      <c r="C1116" s="55" t="s">
        <v>1236</v>
      </c>
      <c r="D1116" s="56" t="s">
        <v>1246</v>
      </c>
    </row>
    <row r="1117" spans="2:4" s="54" customFormat="1" x14ac:dyDescent="0.2">
      <c r="B1117" s="107" t="s">
        <v>1235</v>
      </c>
      <c r="C1117" s="55" t="s">
        <v>1236</v>
      </c>
      <c r="D1117" s="56" t="s">
        <v>1247</v>
      </c>
    </row>
    <row r="1118" spans="2:4" s="54" customFormat="1" x14ac:dyDescent="0.2">
      <c r="B1118" s="107" t="s">
        <v>1235</v>
      </c>
      <c r="C1118" s="55" t="s">
        <v>1236</v>
      </c>
      <c r="D1118" s="56" t="s">
        <v>1248</v>
      </c>
    </row>
    <row r="1119" spans="2:4" s="54" customFormat="1" x14ac:dyDescent="0.2">
      <c r="B1119" s="107" t="s">
        <v>1235</v>
      </c>
      <c r="C1119" s="55" t="s">
        <v>1236</v>
      </c>
      <c r="D1119" s="56" t="s">
        <v>1249</v>
      </c>
    </row>
    <row r="1120" spans="2:4" s="54" customFormat="1" x14ac:dyDescent="0.2">
      <c r="B1120" s="107" t="s">
        <v>1235</v>
      </c>
      <c r="C1120" s="55" t="s">
        <v>1236</v>
      </c>
      <c r="D1120" s="56" t="s">
        <v>1250</v>
      </c>
    </row>
    <row r="1121" spans="2:4" s="54" customFormat="1" x14ac:dyDescent="0.2">
      <c r="B1121" s="107" t="s">
        <v>1235</v>
      </c>
      <c r="C1121" s="55" t="s">
        <v>1236</v>
      </c>
      <c r="D1121" s="56" t="s">
        <v>1251</v>
      </c>
    </row>
    <row r="1122" spans="2:4" s="54" customFormat="1" x14ac:dyDescent="0.2">
      <c r="B1122" s="107" t="s">
        <v>1235</v>
      </c>
      <c r="C1122" s="55" t="s">
        <v>1236</v>
      </c>
      <c r="D1122" s="56" t="s">
        <v>1252</v>
      </c>
    </row>
    <row r="1123" spans="2:4" s="54" customFormat="1" x14ac:dyDescent="0.2">
      <c r="B1123" s="107" t="s">
        <v>1235</v>
      </c>
      <c r="C1123" s="55" t="s">
        <v>1236</v>
      </c>
      <c r="D1123" s="56" t="s">
        <v>1253</v>
      </c>
    </row>
    <row r="1124" spans="2:4" s="54" customFormat="1" x14ac:dyDescent="0.2">
      <c r="B1124" s="107" t="s">
        <v>1235</v>
      </c>
      <c r="C1124" s="55" t="s">
        <v>1236</v>
      </c>
      <c r="D1124" s="56" t="s">
        <v>1254</v>
      </c>
    </row>
    <row r="1125" spans="2:4" s="54" customFormat="1" x14ac:dyDescent="0.2">
      <c r="B1125" s="107" t="s">
        <v>1235</v>
      </c>
      <c r="C1125" s="55" t="s">
        <v>1236</v>
      </c>
      <c r="D1125" s="56" t="s">
        <v>1255</v>
      </c>
    </row>
    <row r="1126" spans="2:4" s="54" customFormat="1" x14ac:dyDescent="0.2">
      <c r="B1126" s="107" t="s">
        <v>1235</v>
      </c>
      <c r="C1126" s="55" t="s">
        <v>1236</v>
      </c>
      <c r="D1126" s="56" t="s">
        <v>1256</v>
      </c>
    </row>
    <row r="1127" spans="2:4" s="54" customFormat="1" x14ac:dyDescent="0.2">
      <c r="B1127" s="107" t="s">
        <v>1257</v>
      </c>
      <c r="C1127" s="55" t="s">
        <v>1258</v>
      </c>
      <c r="D1127" s="56" t="s">
        <v>1259</v>
      </c>
    </row>
    <row r="1128" spans="2:4" s="54" customFormat="1" x14ac:dyDescent="0.2">
      <c r="B1128" s="107" t="s">
        <v>1257</v>
      </c>
      <c r="C1128" s="55" t="s">
        <v>1258</v>
      </c>
      <c r="D1128" s="56" t="s">
        <v>1260</v>
      </c>
    </row>
    <row r="1129" spans="2:4" s="54" customFormat="1" x14ac:dyDescent="0.2">
      <c r="B1129" s="107" t="s">
        <v>1257</v>
      </c>
      <c r="C1129" s="55" t="s">
        <v>1258</v>
      </c>
      <c r="D1129" s="56" t="s">
        <v>1261</v>
      </c>
    </row>
    <row r="1130" spans="2:4" s="54" customFormat="1" x14ac:dyDescent="0.2">
      <c r="B1130" s="107" t="s">
        <v>1257</v>
      </c>
      <c r="C1130" s="55" t="s">
        <v>1258</v>
      </c>
      <c r="D1130" s="56" t="s">
        <v>1262</v>
      </c>
    </row>
    <row r="1131" spans="2:4" s="54" customFormat="1" x14ac:dyDescent="0.2">
      <c r="B1131" s="107" t="s">
        <v>1257</v>
      </c>
      <c r="C1131" s="55" t="s">
        <v>1258</v>
      </c>
      <c r="D1131" s="56" t="s">
        <v>1263</v>
      </c>
    </row>
    <row r="1132" spans="2:4" s="54" customFormat="1" x14ac:dyDescent="0.2">
      <c r="B1132" s="107" t="s">
        <v>1257</v>
      </c>
      <c r="C1132" s="55" t="s">
        <v>1258</v>
      </c>
      <c r="D1132" s="56" t="s">
        <v>1264</v>
      </c>
    </row>
    <row r="1133" spans="2:4" s="54" customFormat="1" x14ac:dyDescent="0.2">
      <c r="B1133" s="107" t="s">
        <v>1257</v>
      </c>
      <c r="C1133" s="55" t="s">
        <v>1258</v>
      </c>
      <c r="D1133" s="56" t="s">
        <v>1265</v>
      </c>
    </row>
    <row r="1134" spans="2:4" s="54" customFormat="1" x14ac:dyDescent="0.2">
      <c r="B1134" s="107" t="s">
        <v>1266</v>
      </c>
      <c r="C1134" s="55" t="s">
        <v>1267</v>
      </c>
      <c r="D1134" s="56" t="s">
        <v>1268</v>
      </c>
    </row>
    <row r="1135" spans="2:4" s="54" customFormat="1" x14ac:dyDescent="0.2">
      <c r="B1135" s="107" t="s">
        <v>1266</v>
      </c>
      <c r="C1135" s="55" t="s">
        <v>1267</v>
      </c>
      <c r="D1135" s="56" t="s">
        <v>1269</v>
      </c>
    </row>
    <row r="1136" spans="2:4" s="54" customFormat="1" x14ac:dyDescent="0.2">
      <c r="B1136" s="107" t="s">
        <v>1266</v>
      </c>
      <c r="C1136" s="55" t="s">
        <v>1267</v>
      </c>
      <c r="D1136" s="56" t="s">
        <v>1270</v>
      </c>
    </row>
    <row r="1137" spans="2:4" s="54" customFormat="1" x14ac:dyDescent="0.2">
      <c r="B1137" s="107" t="s">
        <v>1266</v>
      </c>
      <c r="C1137" s="55" t="s">
        <v>1267</v>
      </c>
      <c r="D1137" s="56" t="s">
        <v>1271</v>
      </c>
    </row>
    <row r="1138" spans="2:4" s="54" customFormat="1" x14ac:dyDescent="0.2">
      <c r="B1138" s="107" t="s">
        <v>1266</v>
      </c>
      <c r="C1138" s="55" t="s">
        <v>1267</v>
      </c>
      <c r="D1138" s="56" t="s">
        <v>1272</v>
      </c>
    </row>
    <row r="1139" spans="2:4" s="54" customFormat="1" x14ac:dyDescent="0.2">
      <c r="B1139" s="107" t="s">
        <v>1266</v>
      </c>
      <c r="C1139" s="55" t="s">
        <v>1267</v>
      </c>
      <c r="D1139" s="56" t="s">
        <v>1273</v>
      </c>
    </row>
    <row r="1140" spans="2:4" s="54" customFormat="1" x14ac:dyDescent="0.2">
      <c r="B1140" s="107" t="s">
        <v>1266</v>
      </c>
      <c r="C1140" s="55" t="s">
        <v>1267</v>
      </c>
      <c r="D1140" s="56" t="s">
        <v>1274</v>
      </c>
    </row>
    <row r="1141" spans="2:4" s="54" customFormat="1" x14ac:dyDescent="0.2">
      <c r="B1141" s="107" t="s">
        <v>1266</v>
      </c>
      <c r="C1141" s="55" t="s">
        <v>1267</v>
      </c>
      <c r="D1141" s="56" t="s">
        <v>1275</v>
      </c>
    </row>
    <row r="1142" spans="2:4" s="54" customFormat="1" x14ac:dyDescent="0.2">
      <c r="B1142" s="107" t="s">
        <v>1266</v>
      </c>
      <c r="C1142" s="55" t="s">
        <v>1267</v>
      </c>
      <c r="D1142" s="56" t="s">
        <v>1276</v>
      </c>
    </row>
    <row r="1143" spans="2:4" s="54" customFormat="1" x14ac:dyDescent="0.2">
      <c r="B1143" s="107" t="s">
        <v>1266</v>
      </c>
      <c r="C1143" s="55" t="s">
        <v>1267</v>
      </c>
      <c r="D1143" s="56" t="s">
        <v>1277</v>
      </c>
    </row>
    <row r="1144" spans="2:4" s="54" customFormat="1" x14ac:dyDescent="0.2">
      <c r="B1144" s="107" t="s">
        <v>1266</v>
      </c>
      <c r="C1144" s="55" t="s">
        <v>1267</v>
      </c>
      <c r="D1144" s="56" t="s">
        <v>1278</v>
      </c>
    </row>
    <row r="1145" spans="2:4" s="54" customFormat="1" x14ac:dyDescent="0.2">
      <c r="B1145" s="107" t="s">
        <v>1266</v>
      </c>
      <c r="C1145" s="55" t="s">
        <v>1267</v>
      </c>
      <c r="D1145" s="56" t="s">
        <v>1279</v>
      </c>
    </row>
    <row r="1146" spans="2:4" s="54" customFormat="1" x14ac:dyDescent="0.2">
      <c r="B1146" s="107" t="s">
        <v>1266</v>
      </c>
      <c r="C1146" s="55" t="s">
        <v>1267</v>
      </c>
      <c r="D1146" s="56" t="s">
        <v>1280</v>
      </c>
    </row>
    <row r="1147" spans="2:4" s="54" customFormat="1" x14ac:dyDescent="0.2">
      <c r="B1147" s="107" t="s">
        <v>1266</v>
      </c>
      <c r="C1147" s="55" t="s">
        <v>1267</v>
      </c>
      <c r="D1147" s="56" t="s">
        <v>1281</v>
      </c>
    </row>
    <row r="1148" spans="2:4" s="54" customFormat="1" x14ac:dyDescent="0.2">
      <c r="B1148" s="107" t="s">
        <v>1266</v>
      </c>
      <c r="C1148" s="55" t="s">
        <v>1267</v>
      </c>
      <c r="D1148" s="56" t="s">
        <v>1282</v>
      </c>
    </row>
    <row r="1149" spans="2:4" s="54" customFormat="1" x14ac:dyDescent="0.2">
      <c r="B1149" s="107" t="s">
        <v>1266</v>
      </c>
      <c r="C1149" s="55" t="s">
        <v>1267</v>
      </c>
      <c r="D1149" s="56" t="s">
        <v>1283</v>
      </c>
    </row>
    <row r="1150" spans="2:4" s="54" customFormat="1" x14ac:dyDescent="0.2">
      <c r="B1150" s="107" t="s">
        <v>1266</v>
      </c>
      <c r="C1150" s="55" t="s">
        <v>1267</v>
      </c>
      <c r="D1150" s="56" t="s">
        <v>1284</v>
      </c>
    </row>
    <row r="1151" spans="2:4" s="54" customFormat="1" x14ac:dyDescent="0.2">
      <c r="B1151" s="107" t="s">
        <v>1266</v>
      </c>
      <c r="C1151" s="55" t="s">
        <v>1267</v>
      </c>
      <c r="D1151" s="56" t="s">
        <v>1285</v>
      </c>
    </row>
    <row r="1152" spans="2:4" s="54" customFormat="1" x14ac:dyDescent="0.2">
      <c r="B1152" s="107" t="s">
        <v>1266</v>
      </c>
      <c r="C1152" s="55" t="s">
        <v>1267</v>
      </c>
      <c r="D1152" s="56" t="s">
        <v>1286</v>
      </c>
    </row>
    <row r="1153" spans="2:4" s="54" customFormat="1" x14ac:dyDescent="0.2">
      <c r="B1153" s="107" t="s">
        <v>1266</v>
      </c>
      <c r="C1153" s="55" t="s">
        <v>1267</v>
      </c>
      <c r="D1153" s="56" t="s">
        <v>1287</v>
      </c>
    </row>
    <row r="1154" spans="2:4" s="54" customFormat="1" x14ac:dyDescent="0.2">
      <c r="B1154" s="107" t="s">
        <v>1266</v>
      </c>
      <c r="C1154" s="55" t="s">
        <v>1267</v>
      </c>
      <c r="D1154" s="56" t="s">
        <v>1288</v>
      </c>
    </row>
    <row r="1155" spans="2:4" s="54" customFormat="1" x14ac:dyDescent="0.2">
      <c r="B1155" s="107" t="s">
        <v>1266</v>
      </c>
      <c r="C1155" s="55" t="s">
        <v>1267</v>
      </c>
      <c r="D1155" s="56" t="s">
        <v>1289</v>
      </c>
    </row>
    <row r="1156" spans="2:4" s="54" customFormat="1" x14ac:dyDescent="0.2">
      <c r="B1156" s="107" t="s">
        <v>1266</v>
      </c>
      <c r="C1156" s="55" t="s">
        <v>1267</v>
      </c>
      <c r="D1156" s="56" t="s">
        <v>1290</v>
      </c>
    </row>
    <row r="1157" spans="2:4" s="54" customFormat="1" x14ac:dyDescent="0.2">
      <c r="B1157" s="107" t="s">
        <v>1266</v>
      </c>
      <c r="C1157" s="55" t="s">
        <v>1267</v>
      </c>
      <c r="D1157" s="56" t="s">
        <v>1291</v>
      </c>
    </row>
    <row r="1158" spans="2:4" s="54" customFormat="1" x14ac:dyDescent="0.2">
      <c r="B1158" s="107" t="s">
        <v>1266</v>
      </c>
      <c r="C1158" s="55" t="s">
        <v>1267</v>
      </c>
      <c r="D1158" s="56" t="s">
        <v>1292</v>
      </c>
    </row>
    <row r="1159" spans="2:4" s="54" customFormat="1" x14ac:dyDescent="0.2">
      <c r="B1159" s="107" t="s">
        <v>1266</v>
      </c>
      <c r="C1159" s="55" t="s">
        <v>1267</v>
      </c>
      <c r="D1159" s="56" t="s">
        <v>1293</v>
      </c>
    </row>
    <row r="1160" spans="2:4" s="54" customFormat="1" x14ac:dyDescent="0.2">
      <c r="B1160" s="107" t="s">
        <v>1266</v>
      </c>
      <c r="C1160" s="55" t="s">
        <v>1267</v>
      </c>
      <c r="D1160" s="56" t="s">
        <v>1294</v>
      </c>
    </row>
    <row r="1161" spans="2:4" s="54" customFormat="1" x14ac:dyDescent="0.2">
      <c r="B1161" s="107" t="s">
        <v>1266</v>
      </c>
      <c r="C1161" s="55" t="s">
        <v>1267</v>
      </c>
      <c r="D1161" s="56" t="s">
        <v>1295</v>
      </c>
    </row>
    <row r="1162" spans="2:4" s="54" customFormat="1" x14ac:dyDescent="0.2">
      <c r="B1162" s="107" t="s">
        <v>1266</v>
      </c>
      <c r="C1162" s="55" t="s">
        <v>1267</v>
      </c>
      <c r="D1162" s="56" t="s">
        <v>1296</v>
      </c>
    </row>
    <row r="1163" spans="2:4" s="54" customFormat="1" x14ac:dyDescent="0.2">
      <c r="B1163" s="107" t="s">
        <v>1266</v>
      </c>
      <c r="C1163" s="55" t="s">
        <v>1267</v>
      </c>
      <c r="D1163" s="56" t="s">
        <v>1297</v>
      </c>
    </row>
    <row r="1164" spans="2:4" s="54" customFormat="1" x14ac:dyDescent="0.2">
      <c r="B1164" s="107" t="s">
        <v>1266</v>
      </c>
      <c r="C1164" s="55" t="s">
        <v>1267</v>
      </c>
      <c r="D1164" s="56" t="s">
        <v>1298</v>
      </c>
    </row>
    <row r="1165" spans="2:4" s="54" customFormat="1" x14ac:dyDescent="0.2">
      <c r="B1165" s="107" t="s">
        <v>1266</v>
      </c>
      <c r="C1165" s="55" t="s">
        <v>1267</v>
      </c>
      <c r="D1165" s="56" t="s">
        <v>1299</v>
      </c>
    </row>
    <row r="1166" spans="2:4" s="54" customFormat="1" x14ac:dyDescent="0.2">
      <c r="B1166" s="107" t="s">
        <v>1266</v>
      </c>
      <c r="C1166" s="55" t="s">
        <v>1267</v>
      </c>
      <c r="D1166" s="56" t="s">
        <v>1300</v>
      </c>
    </row>
    <row r="1167" spans="2:4" s="54" customFormat="1" x14ac:dyDescent="0.2">
      <c r="B1167" s="107" t="s">
        <v>1266</v>
      </c>
      <c r="C1167" s="55" t="s">
        <v>1267</v>
      </c>
      <c r="D1167" s="56" t="s">
        <v>1301</v>
      </c>
    </row>
    <row r="1168" spans="2:4" s="54" customFormat="1" x14ac:dyDescent="0.2">
      <c r="B1168" s="107" t="s">
        <v>1266</v>
      </c>
      <c r="C1168" s="55" t="s">
        <v>1267</v>
      </c>
      <c r="D1168" s="56" t="s">
        <v>1302</v>
      </c>
    </row>
    <row r="1169" spans="2:4" s="54" customFormat="1" x14ac:dyDescent="0.2">
      <c r="B1169" s="107" t="s">
        <v>1266</v>
      </c>
      <c r="C1169" s="55" t="s">
        <v>1267</v>
      </c>
      <c r="D1169" s="56" t="s">
        <v>1303</v>
      </c>
    </row>
    <row r="1170" spans="2:4" s="54" customFormat="1" x14ac:dyDescent="0.2">
      <c r="B1170" s="107" t="s">
        <v>1266</v>
      </c>
      <c r="C1170" s="55" t="s">
        <v>1267</v>
      </c>
      <c r="D1170" s="56" t="s">
        <v>1304</v>
      </c>
    </row>
    <row r="1171" spans="2:4" s="54" customFormat="1" x14ac:dyDescent="0.2">
      <c r="B1171" s="107" t="s">
        <v>1266</v>
      </c>
      <c r="C1171" s="55" t="s">
        <v>1267</v>
      </c>
      <c r="D1171" s="56" t="s">
        <v>1305</v>
      </c>
    </row>
    <row r="1172" spans="2:4" s="54" customFormat="1" x14ac:dyDescent="0.2">
      <c r="B1172" s="107" t="s">
        <v>1306</v>
      </c>
      <c r="C1172" s="55" t="s">
        <v>1307</v>
      </c>
      <c r="D1172" s="56" t="s">
        <v>1308</v>
      </c>
    </row>
    <row r="1173" spans="2:4" s="54" customFormat="1" x14ac:dyDescent="0.2">
      <c r="B1173" s="107" t="s">
        <v>1306</v>
      </c>
      <c r="C1173" s="55" t="s">
        <v>1307</v>
      </c>
      <c r="D1173" s="56" t="s">
        <v>1309</v>
      </c>
    </row>
    <row r="1174" spans="2:4" s="54" customFormat="1" x14ac:dyDescent="0.2">
      <c r="B1174" s="107" t="s">
        <v>1306</v>
      </c>
      <c r="C1174" s="55" t="s">
        <v>1307</v>
      </c>
      <c r="D1174" s="56" t="s">
        <v>1310</v>
      </c>
    </row>
    <row r="1175" spans="2:4" s="54" customFormat="1" x14ac:dyDescent="0.2">
      <c r="B1175" s="107" t="s">
        <v>1306</v>
      </c>
      <c r="C1175" s="55" t="s">
        <v>1307</v>
      </c>
      <c r="D1175" s="56" t="s">
        <v>1311</v>
      </c>
    </row>
    <row r="1176" spans="2:4" s="54" customFormat="1" x14ac:dyDescent="0.2">
      <c r="B1176" s="107" t="s">
        <v>1306</v>
      </c>
      <c r="C1176" s="55" t="s">
        <v>1307</v>
      </c>
      <c r="D1176" s="56" t="s">
        <v>1312</v>
      </c>
    </row>
    <row r="1177" spans="2:4" s="54" customFormat="1" x14ac:dyDescent="0.2">
      <c r="B1177" s="107" t="s">
        <v>1306</v>
      </c>
      <c r="C1177" s="55" t="s">
        <v>1307</v>
      </c>
      <c r="D1177" s="56" t="s">
        <v>1313</v>
      </c>
    </row>
    <row r="1178" spans="2:4" s="54" customFormat="1" x14ac:dyDescent="0.2">
      <c r="B1178" s="107" t="s">
        <v>1306</v>
      </c>
      <c r="C1178" s="55" t="s">
        <v>1307</v>
      </c>
      <c r="D1178" s="56" t="s">
        <v>1314</v>
      </c>
    </row>
    <row r="1179" spans="2:4" s="54" customFormat="1" x14ac:dyDescent="0.2">
      <c r="B1179" s="107" t="s">
        <v>1306</v>
      </c>
      <c r="C1179" s="55" t="s">
        <v>1307</v>
      </c>
      <c r="D1179" s="56" t="s">
        <v>1315</v>
      </c>
    </row>
    <row r="1180" spans="2:4" s="54" customFormat="1" x14ac:dyDescent="0.2">
      <c r="B1180" s="107" t="s">
        <v>1306</v>
      </c>
      <c r="C1180" s="55" t="s">
        <v>1307</v>
      </c>
      <c r="D1180" s="56" t="s">
        <v>1316</v>
      </c>
    </row>
    <row r="1181" spans="2:4" s="54" customFormat="1" x14ac:dyDescent="0.2">
      <c r="B1181" s="107" t="s">
        <v>1306</v>
      </c>
      <c r="C1181" s="55" t="s">
        <v>1307</v>
      </c>
      <c r="D1181" s="56" t="s">
        <v>1317</v>
      </c>
    </row>
    <row r="1182" spans="2:4" s="54" customFormat="1" x14ac:dyDescent="0.2">
      <c r="B1182" s="107" t="s">
        <v>1306</v>
      </c>
      <c r="C1182" s="55" t="s">
        <v>1307</v>
      </c>
      <c r="D1182" s="56" t="s">
        <v>1318</v>
      </c>
    </row>
    <row r="1183" spans="2:4" s="54" customFormat="1" x14ac:dyDescent="0.2">
      <c r="B1183" s="107" t="s">
        <v>1306</v>
      </c>
      <c r="C1183" s="55" t="s">
        <v>1307</v>
      </c>
      <c r="D1183" s="56" t="s">
        <v>1319</v>
      </c>
    </row>
    <row r="1184" spans="2:4" s="54" customFormat="1" x14ac:dyDescent="0.2">
      <c r="B1184" s="107" t="s">
        <v>1306</v>
      </c>
      <c r="C1184" s="55" t="s">
        <v>1307</v>
      </c>
      <c r="D1184" s="56" t="s">
        <v>1320</v>
      </c>
    </row>
    <row r="1185" spans="2:4" s="54" customFormat="1" x14ac:dyDescent="0.2">
      <c r="B1185" s="107" t="s">
        <v>1306</v>
      </c>
      <c r="C1185" s="55" t="s">
        <v>1307</v>
      </c>
      <c r="D1185" s="56" t="s">
        <v>1321</v>
      </c>
    </row>
    <row r="1186" spans="2:4" s="54" customFormat="1" x14ac:dyDescent="0.2">
      <c r="B1186" s="107" t="s">
        <v>1306</v>
      </c>
      <c r="C1186" s="55" t="s">
        <v>1307</v>
      </c>
      <c r="D1186" s="56" t="s">
        <v>1322</v>
      </c>
    </row>
    <row r="1187" spans="2:4" s="54" customFormat="1" x14ac:dyDescent="0.2">
      <c r="B1187" s="107" t="s">
        <v>1306</v>
      </c>
      <c r="C1187" s="55" t="s">
        <v>1307</v>
      </c>
      <c r="D1187" s="56" t="s">
        <v>1323</v>
      </c>
    </row>
    <row r="1188" spans="2:4" s="54" customFormat="1" x14ac:dyDescent="0.2">
      <c r="B1188" s="107" t="s">
        <v>1306</v>
      </c>
      <c r="C1188" s="55" t="s">
        <v>1307</v>
      </c>
      <c r="D1188" s="56" t="s">
        <v>1324</v>
      </c>
    </row>
    <row r="1189" spans="2:4" s="54" customFormat="1" x14ac:dyDescent="0.2">
      <c r="B1189" s="107" t="s">
        <v>1306</v>
      </c>
      <c r="C1189" s="55" t="s">
        <v>1307</v>
      </c>
      <c r="D1189" s="56" t="s">
        <v>1325</v>
      </c>
    </row>
    <row r="1190" spans="2:4" s="54" customFormat="1" x14ac:dyDescent="0.2">
      <c r="B1190" s="107" t="s">
        <v>1306</v>
      </c>
      <c r="C1190" s="55" t="s">
        <v>1307</v>
      </c>
      <c r="D1190" s="56" t="s">
        <v>1326</v>
      </c>
    </row>
    <row r="1191" spans="2:4" s="54" customFormat="1" x14ac:dyDescent="0.2">
      <c r="B1191" s="107" t="s">
        <v>1306</v>
      </c>
      <c r="C1191" s="55" t="s">
        <v>1307</v>
      </c>
      <c r="D1191" s="56" t="s">
        <v>1327</v>
      </c>
    </row>
    <row r="1192" spans="2:4" s="54" customFormat="1" x14ac:dyDescent="0.2">
      <c r="B1192" s="107" t="s">
        <v>1306</v>
      </c>
      <c r="C1192" s="55" t="s">
        <v>1307</v>
      </c>
      <c r="D1192" s="56" t="s">
        <v>1328</v>
      </c>
    </row>
    <row r="1193" spans="2:4" s="54" customFormat="1" x14ac:dyDescent="0.2">
      <c r="B1193" s="107" t="s">
        <v>1306</v>
      </c>
      <c r="C1193" s="55" t="s">
        <v>1307</v>
      </c>
      <c r="D1193" s="56" t="s">
        <v>1329</v>
      </c>
    </row>
    <row r="1194" spans="2:4" s="54" customFormat="1" x14ac:dyDescent="0.2">
      <c r="B1194" s="107" t="s">
        <v>1306</v>
      </c>
      <c r="C1194" s="55" t="s">
        <v>1307</v>
      </c>
      <c r="D1194" s="56" t="s">
        <v>1330</v>
      </c>
    </row>
    <row r="1195" spans="2:4" s="54" customFormat="1" x14ac:dyDescent="0.2">
      <c r="B1195" s="107" t="s">
        <v>1306</v>
      </c>
      <c r="C1195" s="55" t="s">
        <v>1307</v>
      </c>
      <c r="D1195" s="56" t="s">
        <v>1331</v>
      </c>
    </row>
    <row r="1196" spans="2:4" s="54" customFormat="1" x14ac:dyDescent="0.2">
      <c r="B1196" s="107" t="s">
        <v>1306</v>
      </c>
      <c r="C1196" s="55" t="s">
        <v>1307</v>
      </c>
      <c r="D1196" s="56" t="s">
        <v>1332</v>
      </c>
    </row>
    <row r="1197" spans="2:4" s="54" customFormat="1" x14ac:dyDescent="0.2">
      <c r="B1197" s="107" t="s">
        <v>1306</v>
      </c>
      <c r="C1197" s="55" t="s">
        <v>1307</v>
      </c>
      <c r="D1197" s="56" t="s">
        <v>1333</v>
      </c>
    </row>
    <row r="1198" spans="2:4" s="54" customFormat="1" x14ac:dyDescent="0.2">
      <c r="B1198" s="107" t="s">
        <v>1306</v>
      </c>
      <c r="C1198" s="55" t="s">
        <v>1307</v>
      </c>
      <c r="D1198" s="56" t="s">
        <v>1334</v>
      </c>
    </row>
    <row r="1199" spans="2:4" s="54" customFormat="1" x14ac:dyDescent="0.2">
      <c r="B1199" s="107" t="s">
        <v>1306</v>
      </c>
      <c r="C1199" s="55" t="s">
        <v>1307</v>
      </c>
      <c r="D1199" s="56" t="s">
        <v>1335</v>
      </c>
    </row>
    <row r="1200" spans="2:4" s="54" customFormat="1" x14ac:dyDescent="0.2">
      <c r="B1200" s="107" t="s">
        <v>1306</v>
      </c>
      <c r="C1200" s="55" t="s">
        <v>1307</v>
      </c>
      <c r="D1200" s="56" t="s">
        <v>1336</v>
      </c>
    </row>
    <row r="1201" spans="2:4" s="54" customFormat="1" x14ac:dyDescent="0.2">
      <c r="B1201" s="107" t="s">
        <v>1306</v>
      </c>
      <c r="C1201" s="55" t="s">
        <v>1307</v>
      </c>
      <c r="D1201" s="56" t="s">
        <v>1337</v>
      </c>
    </row>
    <row r="1202" spans="2:4" s="54" customFormat="1" x14ac:dyDescent="0.2">
      <c r="B1202" s="107" t="s">
        <v>1306</v>
      </c>
      <c r="C1202" s="55" t="s">
        <v>1307</v>
      </c>
      <c r="D1202" s="56" t="s">
        <v>1338</v>
      </c>
    </row>
    <row r="1203" spans="2:4" s="54" customFormat="1" x14ac:dyDescent="0.2">
      <c r="B1203" s="107" t="s">
        <v>1306</v>
      </c>
      <c r="C1203" s="55" t="s">
        <v>1307</v>
      </c>
      <c r="D1203" s="56" t="s">
        <v>1339</v>
      </c>
    </row>
    <row r="1204" spans="2:4" s="54" customFormat="1" x14ac:dyDescent="0.2">
      <c r="B1204" s="107" t="s">
        <v>1306</v>
      </c>
      <c r="C1204" s="55" t="s">
        <v>1307</v>
      </c>
      <c r="D1204" s="56" t="s">
        <v>1340</v>
      </c>
    </row>
    <row r="1205" spans="2:4" s="54" customFormat="1" x14ac:dyDescent="0.2">
      <c r="B1205" s="107" t="s">
        <v>1306</v>
      </c>
      <c r="C1205" s="55" t="s">
        <v>1307</v>
      </c>
      <c r="D1205" s="56" t="s">
        <v>1341</v>
      </c>
    </row>
    <row r="1206" spans="2:4" s="54" customFormat="1" x14ac:dyDescent="0.2">
      <c r="B1206" s="107" t="s">
        <v>1342</v>
      </c>
      <c r="C1206" s="55" t="s">
        <v>1343</v>
      </c>
      <c r="D1206" s="56" t="s">
        <v>1344</v>
      </c>
    </row>
    <row r="1207" spans="2:4" s="54" customFormat="1" x14ac:dyDescent="0.2">
      <c r="B1207" s="107" t="s">
        <v>1342</v>
      </c>
      <c r="C1207" s="55" t="s">
        <v>1343</v>
      </c>
      <c r="D1207" s="56" t="s">
        <v>1345</v>
      </c>
    </row>
    <row r="1208" spans="2:4" s="54" customFormat="1" x14ac:dyDescent="0.2">
      <c r="B1208" s="107" t="s">
        <v>1342</v>
      </c>
      <c r="C1208" s="55" t="s">
        <v>1343</v>
      </c>
      <c r="D1208" s="56" t="s">
        <v>1346</v>
      </c>
    </row>
    <row r="1209" spans="2:4" s="54" customFormat="1" x14ac:dyDescent="0.2">
      <c r="B1209" s="107" t="s">
        <v>1342</v>
      </c>
      <c r="C1209" s="55" t="s">
        <v>1343</v>
      </c>
      <c r="D1209" s="56" t="s">
        <v>1347</v>
      </c>
    </row>
    <row r="1210" spans="2:4" s="54" customFormat="1" x14ac:dyDescent="0.2">
      <c r="B1210" s="107" t="s">
        <v>1342</v>
      </c>
      <c r="C1210" s="55" t="s">
        <v>1343</v>
      </c>
      <c r="D1210" s="56" t="s">
        <v>1348</v>
      </c>
    </row>
    <row r="1211" spans="2:4" s="54" customFormat="1" x14ac:dyDescent="0.2">
      <c r="B1211" s="107" t="s">
        <v>1342</v>
      </c>
      <c r="C1211" s="55" t="s">
        <v>1343</v>
      </c>
      <c r="D1211" s="56" t="s">
        <v>1349</v>
      </c>
    </row>
    <row r="1212" spans="2:4" s="54" customFormat="1" x14ac:dyDescent="0.2">
      <c r="B1212" s="107" t="s">
        <v>1342</v>
      </c>
      <c r="C1212" s="55" t="s">
        <v>1343</v>
      </c>
      <c r="D1212" s="56" t="s">
        <v>1350</v>
      </c>
    </row>
    <row r="1213" spans="2:4" s="54" customFormat="1" x14ac:dyDescent="0.2">
      <c r="B1213" s="107" t="s">
        <v>1342</v>
      </c>
      <c r="C1213" s="55" t="s">
        <v>1343</v>
      </c>
      <c r="D1213" s="56" t="s">
        <v>1351</v>
      </c>
    </row>
    <row r="1214" spans="2:4" s="54" customFormat="1" x14ac:dyDescent="0.2">
      <c r="B1214" s="107" t="s">
        <v>1342</v>
      </c>
      <c r="C1214" s="55" t="s">
        <v>1343</v>
      </c>
      <c r="D1214" s="56" t="s">
        <v>1352</v>
      </c>
    </row>
    <row r="1215" spans="2:4" s="54" customFormat="1" x14ac:dyDescent="0.2">
      <c r="B1215" s="107" t="s">
        <v>1342</v>
      </c>
      <c r="C1215" s="55" t="s">
        <v>1343</v>
      </c>
      <c r="D1215" s="56" t="s">
        <v>1353</v>
      </c>
    </row>
    <row r="1216" spans="2:4" s="54" customFormat="1" x14ac:dyDescent="0.2">
      <c r="B1216" s="107" t="s">
        <v>1342</v>
      </c>
      <c r="C1216" s="55" t="s">
        <v>1343</v>
      </c>
      <c r="D1216" s="56" t="s">
        <v>1354</v>
      </c>
    </row>
    <row r="1217" spans="2:4" s="54" customFormat="1" x14ac:dyDescent="0.2">
      <c r="B1217" s="107" t="s">
        <v>1342</v>
      </c>
      <c r="C1217" s="55" t="s">
        <v>1343</v>
      </c>
      <c r="D1217" s="56" t="s">
        <v>1355</v>
      </c>
    </row>
    <row r="1218" spans="2:4" s="54" customFormat="1" x14ac:dyDescent="0.2">
      <c r="B1218" s="107" t="s">
        <v>1342</v>
      </c>
      <c r="C1218" s="55" t="s">
        <v>1343</v>
      </c>
      <c r="D1218" s="56" t="s">
        <v>1356</v>
      </c>
    </row>
    <row r="1219" spans="2:4" s="54" customFormat="1" x14ac:dyDescent="0.2">
      <c r="B1219" s="107" t="s">
        <v>1342</v>
      </c>
      <c r="C1219" s="55" t="s">
        <v>1343</v>
      </c>
      <c r="D1219" s="56" t="s">
        <v>1357</v>
      </c>
    </row>
    <row r="1220" spans="2:4" s="54" customFormat="1" x14ac:dyDescent="0.2">
      <c r="B1220" s="107" t="s">
        <v>1342</v>
      </c>
      <c r="C1220" s="55" t="s">
        <v>1343</v>
      </c>
      <c r="D1220" s="56" t="s">
        <v>1358</v>
      </c>
    </row>
    <row r="1221" spans="2:4" s="54" customFormat="1" x14ac:dyDescent="0.2">
      <c r="B1221" s="107" t="s">
        <v>1342</v>
      </c>
      <c r="C1221" s="55" t="s">
        <v>1343</v>
      </c>
      <c r="D1221" s="56" t="s">
        <v>1359</v>
      </c>
    </row>
    <row r="1222" spans="2:4" s="54" customFormat="1" x14ac:dyDescent="0.2">
      <c r="B1222" s="107" t="s">
        <v>1342</v>
      </c>
      <c r="C1222" s="55" t="s">
        <v>1343</v>
      </c>
      <c r="D1222" s="56" t="s">
        <v>1360</v>
      </c>
    </row>
    <row r="1223" spans="2:4" s="54" customFormat="1" x14ac:dyDescent="0.2">
      <c r="B1223" s="107" t="s">
        <v>1342</v>
      </c>
      <c r="C1223" s="55" t="s">
        <v>1343</v>
      </c>
      <c r="D1223" s="56" t="s">
        <v>1361</v>
      </c>
    </row>
    <row r="1224" spans="2:4" s="54" customFormat="1" x14ac:dyDescent="0.2">
      <c r="B1224" s="107" t="s">
        <v>1342</v>
      </c>
      <c r="C1224" s="55" t="s">
        <v>1343</v>
      </c>
      <c r="D1224" s="56" t="s">
        <v>1362</v>
      </c>
    </row>
    <row r="1225" spans="2:4" s="54" customFormat="1" x14ac:dyDescent="0.2">
      <c r="B1225" s="107" t="s">
        <v>1342</v>
      </c>
      <c r="C1225" s="55" t="s">
        <v>1343</v>
      </c>
      <c r="D1225" s="56" t="s">
        <v>1363</v>
      </c>
    </row>
    <row r="1226" spans="2:4" s="54" customFormat="1" x14ac:dyDescent="0.2">
      <c r="B1226" s="107" t="s">
        <v>1342</v>
      </c>
      <c r="C1226" s="55" t="s">
        <v>1343</v>
      </c>
      <c r="D1226" s="56" t="s">
        <v>1364</v>
      </c>
    </row>
    <row r="1227" spans="2:4" s="54" customFormat="1" x14ac:dyDescent="0.2">
      <c r="B1227" s="107" t="s">
        <v>1342</v>
      </c>
      <c r="C1227" s="55" t="s">
        <v>1343</v>
      </c>
      <c r="D1227" s="56" t="s">
        <v>1365</v>
      </c>
    </row>
    <row r="1228" spans="2:4" s="54" customFormat="1" x14ac:dyDescent="0.2">
      <c r="B1228" s="107" t="s">
        <v>1342</v>
      </c>
      <c r="C1228" s="55" t="s">
        <v>1343</v>
      </c>
      <c r="D1228" s="56" t="s">
        <v>1366</v>
      </c>
    </row>
    <row r="1229" spans="2:4" s="54" customFormat="1" x14ac:dyDescent="0.2">
      <c r="B1229" s="107" t="s">
        <v>1342</v>
      </c>
      <c r="C1229" s="55" t="s">
        <v>1343</v>
      </c>
      <c r="D1229" s="56" t="s">
        <v>1367</v>
      </c>
    </row>
    <row r="1230" spans="2:4" s="54" customFormat="1" x14ac:dyDescent="0.2">
      <c r="B1230" s="107" t="s">
        <v>1342</v>
      </c>
      <c r="C1230" s="55" t="s">
        <v>1343</v>
      </c>
      <c r="D1230" s="56" t="s">
        <v>1368</v>
      </c>
    </row>
    <row r="1231" spans="2:4" s="54" customFormat="1" x14ac:dyDescent="0.2">
      <c r="B1231" s="107" t="s">
        <v>1342</v>
      </c>
      <c r="C1231" s="55" t="s">
        <v>1343</v>
      </c>
      <c r="D1231" s="56" t="s">
        <v>1369</v>
      </c>
    </row>
    <row r="1232" spans="2:4" s="54" customFormat="1" x14ac:dyDescent="0.2">
      <c r="B1232" s="107" t="s">
        <v>1342</v>
      </c>
      <c r="C1232" s="55" t="s">
        <v>1343</v>
      </c>
      <c r="D1232" s="56" t="s">
        <v>1370</v>
      </c>
    </row>
    <row r="1233" spans="2:4" s="54" customFormat="1" x14ac:dyDescent="0.2">
      <c r="B1233" s="107" t="s">
        <v>1342</v>
      </c>
      <c r="C1233" s="55" t="s">
        <v>1343</v>
      </c>
      <c r="D1233" s="56" t="s">
        <v>1371</v>
      </c>
    </row>
    <row r="1234" spans="2:4" s="54" customFormat="1" x14ac:dyDescent="0.2">
      <c r="B1234" s="107" t="s">
        <v>1342</v>
      </c>
      <c r="C1234" s="55" t="s">
        <v>1343</v>
      </c>
      <c r="D1234" s="56" t="s">
        <v>1372</v>
      </c>
    </row>
    <row r="1235" spans="2:4" s="54" customFormat="1" x14ac:dyDescent="0.2">
      <c r="B1235" s="107" t="s">
        <v>1342</v>
      </c>
      <c r="C1235" s="55" t="s">
        <v>1343</v>
      </c>
      <c r="D1235" s="56" t="s">
        <v>1373</v>
      </c>
    </row>
    <row r="1236" spans="2:4" s="54" customFormat="1" x14ac:dyDescent="0.2">
      <c r="B1236" s="107" t="s">
        <v>1342</v>
      </c>
      <c r="C1236" s="55" t="s">
        <v>1343</v>
      </c>
      <c r="D1236" s="56" t="s">
        <v>1374</v>
      </c>
    </row>
    <row r="1237" spans="2:4" s="54" customFormat="1" x14ac:dyDescent="0.2">
      <c r="B1237" s="107" t="s">
        <v>1375</v>
      </c>
      <c r="C1237" s="55" t="s">
        <v>1376</v>
      </c>
      <c r="D1237" s="56" t="s">
        <v>1377</v>
      </c>
    </row>
    <row r="1238" spans="2:4" s="54" customFormat="1" x14ac:dyDescent="0.2">
      <c r="B1238" s="107" t="s">
        <v>1375</v>
      </c>
      <c r="C1238" s="55" t="s">
        <v>1376</v>
      </c>
      <c r="D1238" s="56" t="s">
        <v>1378</v>
      </c>
    </row>
    <row r="1239" spans="2:4" s="54" customFormat="1" x14ac:dyDescent="0.2">
      <c r="B1239" s="107" t="s">
        <v>1375</v>
      </c>
      <c r="C1239" s="55" t="s">
        <v>1376</v>
      </c>
      <c r="D1239" s="56" t="s">
        <v>1379</v>
      </c>
    </row>
    <row r="1240" spans="2:4" s="54" customFormat="1" x14ac:dyDescent="0.2">
      <c r="B1240" s="107" t="s">
        <v>1375</v>
      </c>
      <c r="C1240" s="55" t="s">
        <v>1376</v>
      </c>
      <c r="D1240" s="56" t="s">
        <v>1380</v>
      </c>
    </row>
    <row r="1241" spans="2:4" s="54" customFormat="1" x14ac:dyDescent="0.2">
      <c r="B1241" s="107" t="s">
        <v>1375</v>
      </c>
      <c r="C1241" s="55" t="s">
        <v>1376</v>
      </c>
      <c r="D1241" s="56" t="s">
        <v>1381</v>
      </c>
    </row>
    <row r="1242" spans="2:4" s="54" customFormat="1" x14ac:dyDescent="0.2">
      <c r="B1242" s="107" t="s">
        <v>1375</v>
      </c>
      <c r="C1242" s="55" t="s">
        <v>1376</v>
      </c>
      <c r="D1242" s="56" t="s">
        <v>1382</v>
      </c>
    </row>
    <row r="1243" spans="2:4" s="54" customFormat="1" x14ac:dyDescent="0.2">
      <c r="B1243" s="107" t="s">
        <v>1375</v>
      </c>
      <c r="C1243" s="55" t="s">
        <v>1376</v>
      </c>
      <c r="D1243" s="56" t="s">
        <v>1383</v>
      </c>
    </row>
    <row r="1244" spans="2:4" s="54" customFormat="1" x14ac:dyDescent="0.2">
      <c r="B1244" s="107" t="s">
        <v>1375</v>
      </c>
      <c r="C1244" s="55" t="s">
        <v>1376</v>
      </c>
      <c r="D1244" s="56" t="s">
        <v>1384</v>
      </c>
    </row>
    <row r="1245" spans="2:4" s="54" customFormat="1" x14ac:dyDescent="0.2">
      <c r="B1245" s="107" t="s">
        <v>1375</v>
      </c>
      <c r="C1245" s="55" t="s">
        <v>1376</v>
      </c>
      <c r="D1245" s="56" t="s">
        <v>1385</v>
      </c>
    </row>
    <row r="1246" spans="2:4" s="54" customFormat="1" x14ac:dyDescent="0.2">
      <c r="B1246" s="107" t="s">
        <v>1375</v>
      </c>
      <c r="C1246" s="55" t="s">
        <v>1376</v>
      </c>
      <c r="D1246" s="56" t="s">
        <v>1386</v>
      </c>
    </row>
    <row r="1247" spans="2:4" s="54" customFormat="1" x14ac:dyDescent="0.2">
      <c r="B1247" s="107" t="s">
        <v>1375</v>
      </c>
      <c r="C1247" s="55" t="s">
        <v>1376</v>
      </c>
      <c r="D1247" s="56" t="s">
        <v>1387</v>
      </c>
    </row>
    <row r="1248" spans="2:4" s="54" customFormat="1" x14ac:dyDescent="0.2">
      <c r="B1248" s="107" t="s">
        <v>1375</v>
      </c>
      <c r="C1248" s="55" t="s">
        <v>1376</v>
      </c>
      <c r="D1248" s="56" t="s">
        <v>1388</v>
      </c>
    </row>
    <row r="1249" spans="2:4" s="54" customFormat="1" x14ac:dyDescent="0.2">
      <c r="B1249" s="107" t="s">
        <v>1375</v>
      </c>
      <c r="C1249" s="55" t="s">
        <v>1376</v>
      </c>
      <c r="D1249" s="56" t="s">
        <v>1389</v>
      </c>
    </row>
    <row r="1250" spans="2:4" s="54" customFormat="1" x14ac:dyDescent="0.2">
      <c r="B1250" s="107" t="s">
        <v>1375</v>
      </c>
      <c r="C1250" s="55" t="s">
        <v>1376</v>
      </c>
      <c r="D1250" s="56" t="s">
        <v>1390</v>
      </c>
    </row>
    <row r="1251" spans="2:4" s="54" customFormat="1" x14ac:dyDescent="0.2">
      <c r="B1251" s="107" t="s">
        <v>1375</v>
      </c>
      <c r="C1251" s="55" t="s">
        <v>1376</v>
      </c>
      <c r="D1251" s="56" t="s">
        <v>1391</v>
      </c>
    </row>
    <row r="1252" spans="2:4" s="54" customFormat="1" x14ac:dyDescent="0.2">
      <c r="B1252" s="107" t="s">
        <v>1375</v>
      </c>
      <c r="C1252" s="55" t="s">
        <v>1376</v>
      </c>
      <c r="D1252" s="56" t="s">
        <v>1392</v>
      </c>
    </row>
    <row r="1253" spans="2:4" s="54" customFormat="1" x14ac:dyDescent="0.2">
      <c r="B1253" s="107" t="s">
        <v>1375</v>
      </c>
      <c r="C1253" s="55" t="s">
        <v>1376</v>
      </c>
      <c r="D1253" s="56" t="s">
        <v>1393</v>
      </c>
    </row>
    <row r="1254" spans="2:4" s="54" customFormat="1" x14ac:dyDescent="0.2">
      <c r="B1254" s="107" t="s">
        <v>1375</v>
      </c>
      <c r="C1254" s="55" t="s">
        <v>1376</v>
      </c>
      <c r="D1254" s="56" t="s">
        <v>1394</v>
      </c>
    </row>
    <row r="1255" spans="2:4" s="54" customFormat="1" x14ac:dyDescent="0.2">
      <c r="B1255" s="107" t="s">
        <v>1375</v>
      </c>
      <c r="C1255" s="55" t="s">
        <v>1376</v>
      </c>
      <c r="D1255" s="56" t="s">
        <v>1395</v>
      </c>
    </row>
    <row r="1256" spans="2:4" s="54" customFormat="1" x14ac:dyDescent="0.2">
      <c r="B1256" s="107" t="s">
        <v>1396</v>
      </c>
      <c r="C1256" s="55" t="s">
        <v>1397</v>
      </c>
      <c r="D1256" s="56" t="s">
        <v>1398</v>
      </c>
    </row>
    <row r="1257" spans="2:4" s="54" customFormat="1" x14ac:dyDescent="0.2">
      <c r="B1257" s="107" t="s">
        <v>1396</v>
      </c>
      <c r="C1257" s="55" t="s">
        <v>1397</v>
      </c>
      <c r="D1257" s="56" t="s">
        <v>1399</v>
      </c>
    </row>
    <row r="1258" spans="2:4" s="54" customFormat="1" x14ac:dyDescent="0.2">
      <c r="B1258" s="107" t="s">
        <v>1396</v>
      </c>
      <c r="C1258" s="55" t="s">
        <v>1397</v>
      </c>
      <c r="D1258" s="56" t="s">
        <v>1400</v>
      </c>
    </row>
    <row r="1259" spans="2:4" s="54" customFormat="1" x14ac:dyDescent="0.2">
      <c r="B1259" s="107" t="s">
        <v>1396</v>
      </c>
      <c r="C1259" s="55" t="s">
        <v>1397</v>
      </c>
      <c r="D1259" s="56" t="s">
        <v>1401</v>
      </c>
    </row>
    <row r="1260" spans="2:4" s="54" customFormat="1" x14ac:dyDescent="0.2">
      <c r="B1260" s="107" t="s">
        <v>1396</v>
      </c>
      <c r="C1260" s="55" t="s">
        <v>1397</v>
      </c>
      <c r="D1260" s="56" t="s">
        <v>1402</v>
      </c>
    </row>
    <row r="1261" spans="2:4" s="54" customFormat="1" x14ac:dyDescent="0.2">
      <c r="B1261" s="107" t="s">
        <v>1396</v>
      </c>
      <c r="C1261" s="55" t="s">
        <v>1397</v>
      </c>
      <c r="D1261" s="56" t="s">
        <v>1403</v>
      </c>
    </row>
    <row r="1262" spans="2:4" s="54" customFormat="1" x14ac:dyDescent="0.2">
      <c r="B1262" s="107" t="s">
        <v>1404</v>
      </c>
      <c r="C1262" s="55" t="s">
        <v>1405</v>
      </c>
      <c r="D1262" s="56" t="s">
        <v>1406</v>
      </c>
    </row>
    <row r="1263" spans="2:4" s="54" customFormat="1" x14ac:dyDescent="0.2">
      <c r="B1263" s="107" t="s">
        <v>1404</v>
      </c>
      <c r="C1263" s="55" t="s">
        <v>1405</v>
      </c>
      <c r="D1263" s="56" t="s">
        <v>1407</v>
      </c>
    </row>
    <row r="1264" spans="2:4" s="54" customFormat="1" x14ac:dyDescent="0.2">
      <c r="B1264" s="107" t="s">
        <v>1404</v>
      </c>
      <c r="C1264" s="55" t="s">
        <v>1405</v>
      </c>
      <c r="D1264" s="56" t="s">
        <v>1408</v>
      </c>
    </row>
    <row r="1265" spans="2:4" s="54" customFormat="1" x14ac:dyDescent="0.2">
      <c r="B1265" s="107" t="s">
        <v>1404</v>
      </c>
      <c r="C1265" s="55" t="s">
        <v>1405</v>
      </c>
      <c r="D1265" s="56" t="s">
        <v>273</v>
      </c>
    </row>
    <row r="1266" spans="2:4" s="54" customFormat="1" x14ac:dyDescent="0.2">
      <c r="B1266" s="107" t="s">
        <v>1404</v>
      </c>
      <c r="C1266" s="55" t="s">
        <v>1405</v>
      </c>
      <c r="D1266" s="56" t="s">
        <v>274</v>
      </c>
    </row>
    <row r="1267" spans="2:4" s="54" customFormat="1" x14ac:dyDescent="0.2">
      <c r="B1267" s="107" t="s">
        <v>1404</v>
      </c>
      <c r="C1267" s="55" t="s">
        <v>1405</v>
      </c>
      <c r="D1267" s="56" t="s">
        <v>1409</v>
      </c>
    </row>
    <row r="1268" spans="2:4" s="54" customFormat="1" x14ac:dyDescent="0.2">
      <c r="B1268" s="107" t="s">
        <v>1410</v>
      </c>
      <c r="C1268" s="55" t="s">
        <v>1411</v>
      </c>
      <c r="D1268" s="56" t="s">
        <v>1412</v>
      </c>
    </row>
    <row r="1269" spans="2:4" s="54" customFormat="1" x14ac:dyDescent="0.2">
      <c r="B1269" s="107" t="s">
        <v>1410</v>
      </c>
      <c r="C1269" s="55" t="s">
        <v>1411</v>
      </c>
      <c r="D1269" s="56" t="s">
        <v>1413</v>
      </c>
    </row>
    <row r="1270" spans="2:4" s="54" customFormat="1" x14ac:dyDescent="0.2">
      <c r="B1270" s="107" t="s">
        <v>1410</v>
      </c>
      <c r="C1270" s="55" t="s">
        <v>1411</v>
      </c>
      <c r="D1270" s="56" t="s">
        <v>1414</v>
      </c>
    </row>
    <row r="1271" spans="2:4" s="54" customFormat="1" x14ac:dyDescent="0.2">
      <c r="B1271" s="107" t="s">
        <v>1410</v>
      </c>
      <c r="C1271" s="55" t="s">
        <v>1411</v>
      </c>
      <c r="D1271" s="56" t="s">
        <v>1415</v>
      </c>
    </row>
    <row r="1272" spans="2:4" s="54" customFormat="1" x14ac:dyDescent="0.2">
      <c r="B1272" s="107" t="s">
        <v>1410</v>
      </c>
      <c r="C1272" s="55" t="s">
        <v>1411</v>
      </c>
      <c r="D1272" s="56" t="s">
        <v>1416</v>
      </c>
    </row>
    <row r="1273" spans="2:4" s="54" customFormat="1" x14ac:dyDescent="0.2">
      <c r="B1273" s="107" t="s">
        <v>1410</v>
      </c>
      <c r="C1273" s="55" t="s">
        <v>1411</v>
      </c>
      <c r="D1273" s="56" t="s">
        <v>1417</v>
      </c>
    </row>
    <row r="1274" spans="2:4" s="54" customFormat="1" x14ac:dyDescent="0.2">
      <c r="B1274" s="107" t="s">
        <v>1410</v>
      </c>
      <c r="C1274" s="55" t="s">
        <v>1411</v>
      </c>
      <c r="D1274" s="56" t="s">
        <v>1418</v>
      </c>
    </row>
    <row r="1275" spans="2:4" s="54" customFormat="1" x14ac:dyDescent="0.2">
      <c r="B1275" s="107" t="s">
        <v>1410</v>
      </c>
      <c r="C1275" s="55" t="s">
        <v>1411</v>
      </c>
      <c r="D1275" s="56" t="s">
        <v>1419</v>
      </c>
    </row>
    <row r="1276" spans="2:4" s="54" customFormat="1" x14ac:dyDescent="0.2">
      <c r="B1276" s="107" t="s">
        <v>1410</v>
      </c>
      <c r="C1276" s="55" t="s">
        <v>1411</v>
      </c>
      <c r="D1276" s="56" t="s">
        <v>1420</v>
      </c>
    </row>
    <row r="1277" spans="2:4" s="54" customFormat="1" x14ac:dyDescent="0.2">
      <c r="B1277" s="107" t="s">
        <v>1410</v>
      </c>
      <c r="C1277" s="55" t="s">
        <v>1411</v>
      </c>
      <c r="D1277" s="56" t="s">
        <v>1421</v>
      </c>
    </row>
    <row r="1278" spans="2:4" s="54" customFormat="1" x14ac:dyDescent="0.2">
      <c r="B1278" s="107" t="s">
        <v>1410</v>
      </c>
      <c r="C1278" s="55" t="s">
        <v>1411</v>
      </c>
      <c r="D1278" s="56" t="s">
        <v>1422</v>
      </c>
    </row>
    <row r="1279" spans="2:4" s="54" customFormat="1" x14ac:dyDescent="0.2">
      <c r="B1279" s="107" t="s">
        <v>1410</v>
      </c>
      <c r="C1279" s="55" t="s">
        <v>1411</v>
      </c>
      <c r="D1279" s="56" t="s">
        <v>1423</v>
      </c>
    </row>
    <row r="1280" spans="2:4" s="54" customFormat="1" x14ac:dyDescent="0.2">
      <c r="B1280" s="107" t="s">
        <v>1410</v>
      </c>
      <c r="C1280" s="55" t="s">
        <v>1411</v>
      </c>
      <c r="D1280" s="56" t="s">
        <v>1424</v>
      </c>
    </row>
    <row r="1281" spans="2:4" s="54" customFormat="1" x14ac:dyDescent="0.2">
      <c r="B1281" s="107" t="s">
        <v>1410</v>
      </c>
      <c r="C1281" s="55" t="s">
        <v>1411</v>
      </c>
      <c r="D1281" s="56" t="s">
        <v>1425</v>
      </c>
    </row>
    <row r="1282" spans="2:4" s="54" customFormat="1" x14ac:dyDescent="0.2">
      <c r="B1282" s="107" t="s">
        <v>1410</v>
      </c>
      <c r="C1282" s="55" t="s">
        <v>1411</v>
      </c>
      <c r="D1282" s="56" t="s">
        <v>1426</v>
      </c>
    </row>
    <row r="1283" spans="2:4" s="54" customFormat="1" x14ac:dyDescent="0.2">
      <c r="B1283" s="107" t="s">
        <v>1410</v>
      </c>
      <c r="C1283" s="55" t="s">
        <v>1411</v>
      </c>
      <c r="D1283" s="56" t="s">
        <v>1427</v>
      </c>
    </row>
    <row r="1284" spans="2:4" s="54" customFormat="1" x14ac:dyDescent="0.2">
      <c r="B1284" s="107" t="s">
        <v>1410</v>
      </c>
      <c r="C1284" s="55" t="s">
        <v>1411</v>
      </c>
      <c r="D1284" s="56" t="s">
        <v>1428</v>
      </c>
    </row>
    <row r="1285" spans="2:4" s="54" customFormat="1" x14ac:dyDescent="0.2">
      <c r="B1285" s="107" t="s">
        <v>1410</v>
      </c>
      <c r="C1285" s="55" t="s">
        <v>1411</v>
      </c>
      <c r="D1285" s="56" t="s">
        <v>1429</v>
      </c>
    </row>
    <row r="1286" spans="2:4" s="54" customFormat="1" x14ac:dyDescent="0.2">
      <c r="B1286" s="107" t="s">
        <v>1410</v>
      </c>
      <c r="C1286" s="55" t="s">
        <v>1411</v>
      </c>
      <c r="D1286" s="56" t="s">
        <v>1430</v>
      </c>
    </row>
    <row r="1287" spans="2:4" s="54" customFormat="1" x14ac:dyDescent="0.2">
      <c r="B1287" s="107" t="s">
        <v>1410</v>
      </c>
      <c r="C1287" s="55" t="s">
        <v>1411</v>
      </c>
      <c r="D1287" s="56" t="s">
        <v>1431</v>
      </c>
    </row>
    <row r="1288" spans="2:4" s="54" customFormat="1" x14ac:dyDescent="0.2">
      <c r="B1288" s="107" t="s">
        <v>1410</v>
      </c>
      <c r="C1288" s="55" t="s">
        <v>1411</v>
      </c>
      <c r="D1288" s="56" t="s">
        <v>1432</v>
      </c>
    </row>
    <row r="1289" spans="2:4" s="54" customFormat="1" x14ac:dyDescent="0.2">
      <c r="B1289" s="107" t="s">
        <v>1433</v>
      </c>
      <c r="C1289" s="55" t="s">
        <v>1434</v>
      </c>
      <c r="D1289" s="56" t="s">
        <v>1435</v>
      </c>
    </row>
    <row r="1290" spans="2:4" s="54" customFormat="1" x14ac:dyDescent="0.2">
      <c r="B1290" s="107" t="s">
        <v>1433</v>
      </c>
      <c r="C1290" s="55" t="s">
        <v>1434</v>
      </c>
      <c r="D1290" s="56" t="s">
        <v>1436</v>
      </c>
    </row>
    <row r="1291" spans="2:4" s="54" customFormat="1" x14ac:dyDescent="0.2">
      <c r="B1291" s="107" t="s">
        <v>1433</v>
      </c>
      <c r="C1291" s="55" t="s">
        <v>1434</v>
      </c>
      <c r="D1291" s="56" t="s">
        <v>1437</v>
      </c>
    </row>
    <row r="1292" spans="2:4" s="54" customFormat="1" x14ac:dyDescent="0.2">
      <c r="B1292" s="107" t="s">
        <v>1433</v>
      </c>
      <c r="C1292" s="55" t="s">
        <v>1434</v>
      </c>
      <c r="D1292" s="56" t="s">
        <v>1438</v>
      </c>
    </row>
    <row r="1293" spans="2:4" s="54" customFormat="1" x14ac:dyDescent="0.2">
      <c r="B1293" s="107" t="s">
        <v>1433</v>
      </c>
      <c r="C1293" s="55" t="s">
        <v>1434</v>
      </c>
      <c r="D1293" s="56" t="s">
        <v>1439</v>
      </c>
    </row>
    <row r="1294" spans="2:4" s="54" customFormat="1" x14ac:dyDescent="0.2">
      <c r="B1294" s="107" t="s">
        <v>1433</v>
      </c>
      <c r="C1294" s="55" t="s">
        <v>1434</v>
      </c>
      <c r="D1294" s="56" t="s">
        <v>1440</v>
      </c>
    </row>
    <row r="1295" spans="2:4" s="54" customFormat="1" x14ac:dyDescent="0.2">
      <c r="B1295" s="107" t="s">
        <v>1433</v>
      </c>
      <c r="C1295" s="55" t="s">
        <v>1434</v>
      </c>
      <c r="D1295" s="56" t="s">
        <v>1441</v>
      </c>
    </row>
    <row r="1296" spans="2:4" s="54" customFormat="1" x14ac:dyDescent="0.2">
      <c r="B1296" s="107" t="s">
        <v>1433</v>
      </c>
      <c r="C1296" s="55" t="s">
        <v>1434</v>
      </c>
      <c r="D1296" s="56" t="s">
        <v>1442</v>
      </c>
    </row>
    <row r="1297" spans="2:4" s="54" customFormat="1" x14ac:dyDescent="0.2">
      <c r="B1297" s="107" t="s">
        <v>1433</v>
      </c>
      <c r="C1297" s="55" t="s">
        <v>1434</v>
      </c>
      <c r="D1297" s="56" t="s">
        <v>290</v>
      </c>
    </row>
    <row r="1298" spans="2:4" s="54" customFormat="1" x14ac:dyDescent="0.2">
      <c r="B1298" s="107" t="s">
        <v>1433</v>
      </c>
      <c r="C1298" s="55" t="s">
        <v>1434</v>
      </c>
      <c r="D1298" s="56" t="s">
        <v>1443</v>
      </c>
    </row>
    <row r="1299" spans="2:4" s="54" customFormat="1" x14ac:dyDescent="0.2">
      <c r="B1299" s="107" t="s">
        <v>1433</v>
      </c>
      <c r="C1299" s="55" t="s">
        <v>1434</v>
      </c>
      <c r="D1299" s="56" t="s">
        <v>297</v>
      </c>
    </row>
    <row r="1300" spans="2:4" s="54" customFormat="1" x14ac:dyDescent="0.2">
      <c r="B1300" s="107" t="s">
        <v>1433</v>
      </c>
      <c r="C1300" s="55" t="s">
        <v>1434</v>
      </c>
      <c r="D1300" s="56" t="s">
        <v>1444</v>
      </c>
    </row>
    <row r="1301" spans="2:4" s="54" customFormat="1" x14ac:dyDescent="0.2">
      <c r="B1301" s="107" t="s">
        <v>1433</v>
      </c>
      <c r="C1301" s="55" t="s">
        <v>1434</v>
      </c>
      <c r="D1301" s="56" t="s">
        <v>1445</v>
      </c>
    </row>
    <row r="1302" spans="2:4" s="54" customFormat="1" x14ac:dyDescent="0.2">
      <c r="B1302" s="107" t="s">
        <v>1446</v>
      </c>
      <c r="C1302" s="55" t="s">
        <v>1447</v>
      </c>
      <c r="D1302" s="56" t="s">
        <v>1448</v>
      </c>
    </row>
    <row r="1303" spans="2:4" s="54" customFormat="1" x14ac:dyDescent="0.2">
      <c r="B1303" s="107" t="s">
        <v>1446</v>
      </c>
      <c r="C1303" s="55" t="s">
        <v>1447</v>
      </c>
      <c r="D1303" s="56" t="s">
        <v>1449</v>
      </c>
    </row>
    <row r="1304" spans="2:4" s="54" customFormat="1" x14ac:dyDescent="0.2">
      <c r="B1304" s="107" t="s">
        <v>1446</v>
      </c>
      <c r="C1304" s="55" t="s">
        <v>1447</v>
      </c>
      <c r="D1304" s="56" t="s">
        <v>1450</v>
      </c>
    </row>
    <row r="1305" spans="2:4" s="54" customFormat="1" x14ac:dyDescent="0.2">
      <c r="B1305" s="107" t="s">
        <v>1446</v>
      </c>
      <c r="C1305" s="55" t="s">
        <v>1447</v>
      </c>
      <c r="D1305" s="56" t="s">
        <v>1451</v>
      </c>
    </row>
    <row r="1306" spans="2:4" s="54" customFormat="1" x14ac:dyDescent="0.2">
      <c r="B1306" s="107" t="s">
        <v>1446</v>
      </c>
      <c r="C1306" s="55" t="s">
        <v>1447</v>
      </c>
      <c r="D1306" s="56" t="s">
        <v>1452</v>
      </c>
    </row>
    <row r="1307" spans="2:4" s="54" customFormat="1" x14ac:dyDescent="0.2">
      <c r="B1307" s="107" t="s">
        <v>1446</v>
      </c>
      <c r="C1307" s="55" t="s">
        <v>1447</v>
      </c>
      <c r="D1307" s="56" t="s">
        <v>1453</v>
      </c>
    </row>
    <row r="1308" spans="2:4" s="54" customFormat="1" x14ac:dyDescent="0.2">
      <c r="B1308" s="107" t="s">
        <v>1446</v>
      </c>
      <c r="C1308" s="55" t="s">
        <v>1447</v>
      </c>
      <c r="D1308" s="56" t="s">
        <v>1454</v>
      </c>
    </row>
    <row r="1309" spans="2:4" s="54" customFormat="1" x14ac:dyDescent="0.2">
      <c r="B1309" s="107" t="s">
        <v>1446</v>
      </c>
      <c r="C1309" s="55" t="s">
        <v>1447</v>
      </c>
      <c r="D1309" s="56" t="s">
        <v>1455</v>
      </c>
    </row>
    <row r="1310" spans="2:4" s="54" customFormat="1" x14ac:dyDescent="0.2">
      <c r="B1310" s="107" t="s">
        <v>1446</v>
      </c>
      <c r="C1310" s="55" t="s">
        <v>1447</v>
      </c>
      <c r="D1310" s="56" t="s">
        <v>1456</v>
      </c>
    </row>
    <row r="1311" spans="2:4" s="54" customFormat="1" x14ac:dyDescent="0.2">
      <c r="B1311" s="107" t="s">
        <v>1446</v>
      </c>
      <c r="C1311" s="55" t="s">
        <v>1447</v>
      </c>
      <c r="D1311" s="56" t="s">
        <v>1457</v>
      </c>
    </row>
    <row r="1312" spans="2:4" s="54" customFormat="1" x14ac:dyDescent="0.2">
      <c r="B1312" s="107" t="s">
        <v>1446</v>
      </c>
      <c r="C1312" s="55" t="s">
        <v>1447</v>
      </c>
      <c r="D1312" s="56" t="s">
        <v>1458</v>
      </c>
    </row>
    <row r="1313" spans="2:4" s="54" customFormat="1" x14ac:dyDescent="0.2">
      <c r="B1313" s="107" t="s">
        <v>1446</v>
      </c>
      <c r="C1313" s="55" t="s">
        <v>1447</v>
      </c>
      <c r="D1313" s="56" t="s">
        <v>1459</v>
      </c>
    </row>
    <row r="1314" spans="2:4" s="54" customFormat="1" x14ac:dyDescent="0.2">
      <c r="B1314" s="107" t="s">
        <v>1446</v>
      </c>
      <c r="C1314" s="55" t="s">
        <v>1447</v>
      </c>
      <c r="D1314" s="56" t="s">
        <v>1460</v>
      </c>
    </row>
    <row r="1315" spans="2:4" s="54" customFormat="1" x14ac:dyDescent="0.2">
      <c r="B1315" s="107" t="s">
        <v>1446</v>
      </c>
      <c r="C1315" s="55" t="s">
        <v>1447</v>
      </c>
      <c r="D1315" s="56" t="s">
        <v>1461</v>
      </c>
    </row>
    <row r="1316" spans="2:4" s="54" customFormat="1" x14ac:dyDescent="0.2">
      <c r="B1316" s="107" t="s">
        <v>1446</v>
      </c>
      <c r="C1316" s="55" t="s">
        <v>1447</v>
      </c>
      <c r="D1316" s="56" t="s">
        <v>1462</v>
      </c>
    </row>
    <row r="1317" spans="2:4" s="54" customFormat="1" x14ac:dyDescent="0.2">
      <c r="B1317" s="107" t="s">
        <v>1446</v>
      </c>
      <c r="C1317" s="55" t="s">
        <v>1447</v>
      </c>
      <c r="D1317" s="56" t="s">
        <v>1463</v>
      </c>
    </row>
    <row r="1318" spans="2:4" s="54" customFormat="1" x14ac:dyDescent="0.2">
      <c r="B1318" s="107" t="s">
        <v>1446</v>
      </c>
      <c r="C1318" s="55" t="s">
        <v>1447</v>
      </c>
      <c r="D1318" s="56" t="s">
        <v>1464</v>
      </c>
    </row>
    <row r="1319" spans="2:4" s="54" customFormat="1" x14ac:dyDescent="0.2">
      <c r="B1319" s="107" t="s">
        <v>1446</v>
      </c>
      <c r="C1319" s="55" t="s">
        <v>1447</v>
      </c>
      <c r="D1319" s="56" t="s">
        <v>1465</v>
      </c>
    </row>
    <row r="1320" spans="2:4" s="54" customFormat="1" x14ac:dyDescent="0.2">
      <c r="B1320" s="107" t="s">
        <v>1446</v>
      </c>
      <c r="C1320" s="55" t="s">
        <v>1447</v>
      </c>
      <c r="D1320" s="56" t="s">
        <v>1466</v>
      </c>
    </row>
    <row r="1321" spans="2:4" s="54" customFormat="1" x14ac:dyDescent="0.2">
      <c r="B1321" s="107" t="s">
        <v>1446</v>
      </c>
      <c r="C1321" s="55" t="s">
        <v>1447</v>
      </c>
      <c r="D1321" s="56" t="s">
        <v>1467</v>
      </c>
    </row>
    <row r="1322" spans="2:4" s="54" customFormat="1" x14ac:dyDescent="0.2">
      <c r="B1322" s="107" t="s">
        <v>1446</v>
      </c>
      <c r="C1322" s="55" t="s">
        <v>1447</v>
      </c>
      <c r="D1322" s="56" t="s">
        <v>1468</v>
      </c>
    </row>
    <row r="1323" spans="2:4" s="54" customFormat="1" x14ac:dyDescent="0.2">
      <c r="B1323" s="107" t="s">
        <v>1446</v>
      </c>
      <c r="C1323" s="55" t="s">
        <v>1447</v>
      </c>
      <c r="D1323" s="56" t="s">
        <v>1469</v>
      </c>
    </row>
    <row r="1324" spans="2:4" s="54" customFormat="1" x14ac:dyDescent="0.2">
      <c r="B1324" s="107" t="s">
        <v>1446</v>
      </c>
      <c r="C1324" s="55" t="s">
        <v>1447</v>
      </c>
      <c r="D1324" s="56" t="s">
        <v>1470</v>
      </c>
    </row>
    <row r="1325" spans="2:4" s="54" customFormat="1" x14ac:dyDescent="0.2">
      <c r="B1325" s="107" t="s">
        <v>1446</v>
      </c>
      <c r="C1325" s="55" t="s">
        <v>1447</v>
      </c>
      <c r="D1325" s="56" t="s">
        <v>1471</v>
      </c>
    </row>
    <row r="1326" spans="2:4" s="54" customFormat="1" x14ac:dyDescent="0.2">
      <c r="B1326" s="107" t="s">
        <v>1446</v>
      </c>
      <c r="C1326" s="55" t="s">
        <v>1447</v>
      </c>
      <c r="D1326" s="56" t="s">
        <v>1472</v>
      </c>
    </row>
    <row r="1327" spans="2:4" s="54" customFormat="1" x14ac:dyDescent="0.2">
      <c r="B1327" s="107" t="s">
        <v>1446</v>
      </c>
      <c r="C1327" s="55" t="s">
        <v>1447</v>
      </c>
      <c r="D1327" s="56" t="s">
        <v>1473</v>
      </c>
    </row>
    <row r="1328" spans="2:4" s="54" customFormat="1" x14ac:dyDescent="0.2">
      <c r="B1328" s="107" t="s">
        <v>1446</v>
      </c>
      <c r="C1328" s="55" t="s">
        <v>1447</v>
      </c>
      <c r="D1328" s="56" t="s">
        <v>1474</v>
      </c>
    </row>
    <row r="1329" spans="2:4" s="54" customFormat="1" x14ac:dyDescent="0.2">
      <c r="B1329" s="107" t="s">
        <v>1446</v>
      </c>
      <c r="C1329" s="55" t="s">
        <v>1447</v>
      </c>
      <c r="D1329" s="56" t="s">
        <v>1475</v>
      </c>
    </row>
    <row r="1330" spans="2:4" s="54" customFormat="1" x14ac:dyDescent="0.2">
      <c r="B1330" s="107" t="s">
        <v>1446</v>
      </c>
      <c r="C1330" s="55" t="s">
        <v>1447</v>
      </c>
      <c r="D1330" s="56" t="s">
        <v>1476</v>
      </c>
    </row>
    <row r="1331" spans="2:4" s="54" customFormat="1" x14ac:dyDescent="0.2">
      <c r="B1331" s="107" t="s">
        <v>1446</v>
      </c>
      <c r="C1331" s="55" t="s">
        <v>1447</v>
      </c>
      <c r="D1331" s="56" t="s">
        <v>1477</v>
      </c>
    </row>
    <row r="1332" spans="2:4" s="54" customFormat="1" x14ac:dyDescent="0.2">
      <c r="B1332" s="107" t="s">
        <v>1446</v>
      </c>
      <c r="C1332" s="55" t="s">
        <v>1447</v>
      </c>
      <c r="D1332" s="56" t="s">
        <v>1478</v>
      </c>
    </row>
    <row r="1333" spans="2:4" s="54" customFormat="1" x14ac:dyDescent="0.2">
      <c r="B1333" s="107" t="s">
        <v>1446</v>
      </c>
      <c r="C1333" s="55" t="s">
        <v>1447</v>
      </c>
      <c r="D1333" s="56" t="s">
        <v>1479</v>
      </c>
    </row>
    <row r="1334" spans="2:4" s="54" customFormat="1" x14ac:dyDescent="0.2">
      <c r="B1334" s="107" t="s">
        <v>1446</v>
      </c>
      <c r="C1334" s="55" t="s">
        <v>1447</v>
      </c>
      <c r="D1334" s="56" t="s">
        <v>1480</v>
      </c>
    </row>
    <row r="1335" spans="2:4" s="54" customFormat="1" x14ac:dyDescent="0.2">
      <c r="B1335" s="107" t="s">
        <v>1446</v>
      </c>
      <c r="C1335" s="55" t="s">
        <v>1447</v>
      </c>
      <c r="D1335" s="56" t="s">
        <v>1481</v>
      </c>
    </row>
    <row r="1336" spans="2:4" s="54" customFormat="1" x14ac:dyDescent="0.2">
      <c r="B1336" s="107" t="s">
        <v>1446</v>
      </c>
      <c r="C1336" s="55" t="s">
        <v>1447</v>
      </c>
      <c r="D1336" s="56" t="s">
        <v>1482</v>
      </c>
    </row>
    <row r="1337" spans="2:4" s="54" customFormat="1" x14ac:dyDescent="0.2">
      <c r="B1337" s="107" t="s">
        <v>1446</v>
      </c>
      <c r="C1337" s="55" t="s">
        <v>1447</v>
      </c>
      <c r="D1337" s="56" t="s">
        <v>1483</v>
      </c>
    </row>
    <row r="1338" spans="2:4" s="54" customFormat="1" x14ac:dyDescent="0.2">
      <c r="B1338" s="107" t="s">
        <v>1446</v>
      </c>
      <c r="C1338" s="55" t="s">
        <v>1447</v>
      </c>
      <c r="D1338" s="56" t="s">
        <v>1484</v>
      </c>
    </row>
    <row r="1339" spans="2:4" s="54" customFormat="1" x14ac:dyDescent="0.2">
      <c r="B1339" s="107" t="s">
        <v>1446</v>
      </c>
      <c r="C1339" s="55" t="s">
        <v>1447</v>
      </c>
      <c r="D1339" s="56" t="s">
        <v>1485</v>
      </c>
    </row>
    <row r="1340" spans="2:4" s="54" customFormat="1" x14ac:dyDescent="0.2">
      <c r="B1340" s="107" t="s">
        <v>1446</v>
      </c>
      <c r="C1340" s="55" t="s">
        <v>1447</v>
      </c>
      <c r="D1340" s="56" t="s">
        <v>1486</v>
      </c>
    </row>
    <row r="1341" spans="2:4" s="54" customFormat="1" x14ac:dyDescent="0.2">
      <c r="B1341" s="107" t="s">
        <v>1446</v>
      </c>
      <c r="C1341" s="55" t="s">
        <v>1447</v>
      </c>
      <c r="D1341" s="56" t="s">
        <v>1487</v>
      </c>
    </row>
    <row r="1342" spans="2:4" s="54" customFormat="1" x14ac:dyDescent="0.2">
      <c r="B1342" s="107" t="s">
        <v>1446</v>
      </c>
      <c r="C1342" s="55" t="s">
        <v>1447</v>
      </c>
      <c r="D1342" s="56" t="s">
        <v>1488</v>
      </c>
    </row>
    <row r="1343" spans="2:4" s="54" customFormat="1" x14ac:dyDescent="0.2">
      <c r="B1343" s="107" t="s">
        <v>1446</v>
      </c>
      <c r="C1343" s="55" t="s">
        <v>1447</v>
      </c>
      <c r="D1343" s="56" t="s">
        <v>1489</v>
      </c>
    </row>
    <row r="1344" spans="2:4" s="54" customFormat="1" x14ac:dyDescent="0.2">
      <c r="B1344" s="107" t="s">
        <v>1446</v>
      </c>
      <c r="C1344" s="55" t="s">
        <v>1447</v>
      </c>
      <c r="D1344" s="56" t="s">
        <v>1490</v>
      </c>
    </row>
    <row r="1345" spans="2:4" s="54" customFormat="1" x14ac:dyDescent="0.2">
      <c r="B1345" s="107" t="s">
        <v>1446</v>
      </c>
      <c r="C1345" s="55" t="s">
        <v>1447</v>
      </c>
      <c r="D1345" s="56" t="s">
        <v>1491</v>
      </c>
    </row>
    <row r="1346" spans="2:4" s="54" customFormat="1" x14ac:dyDescent="0.2">
      <c r="B1346" s="107" t="s">
        <v>1446</v>
      </c>
      <c r="C1346" s="55" t="s">
        <v>1447</v>
      </c>
      <c r="D1346" s="56" t="s">
        <v>1492</v>
      </c>
    </row>
    <row r="1347" spans="2:4" s="54" customFormat="1" x14ac:dyDescent="0.2">
      <c r="B1347" s="107" t="s">
        <v>1446</v>
      </c>
      <c r="C1347" s="55" t="s">
        <v>1447</v>
      </c>
      <c r="D1347" s="56" t="s">
        <v>1493</v>
      </c>
    </row>
    <row r="1348" spans="2:4" s="54" customFormat="1" x14ac:dyDescent="0.2">
      <c r="B1348" s="107" t="s">
        <v>1446</v>
      </c>
      <c r="C1348" s="55" t="s">
        <v>1447</v>
      </c>
      <c r="D1348" s="56" t="s">
        <v>1494</v>
      </c>
    </row>
    <row r="1349" spans="2:4" s="54" customFormat="1" x14ac:dyDescent="0.2">
      <c r="B1349" s="107" t="s">
        <v>1495</v>
      </c>
      <c r="C1349" s="55" t="s">
        <v>1496</v>
      </c>
      <c r="D1349" s="56" t="s">
        <v>1497</v>
      </c>
    </row>
    <row r="1350" spans="2:4" s="54" customFormat="1" x14ac:dyDescent="0.2">
      <c r="B1350" s="107" t="s">
        <v>1495</v>
      </c>
      <c r="C1350" s="55" t="s">
        <v>1496</v>
      </c>
      <c r="D1350" s="56" t="s">
        <v>1498</v>
      </c>
    </row>
    <row r="1351" spans="2:4" s="54" customFormat="1" x14ac:dyDescent="0.2">
      <c r="B1351" s="107" t="s">
        <v>1495</v>
      </c>
      <c r="C1351" s="55" t="s">
        <v>1496</v>
      </c>
      <c r="D1351" s="56" t="s">
        <v>1499</v>
      </c>
    </row>
    <row r="1352" spans="2:4" s="54" customFormat="1" x14ac:dyDescent="0.2">
      <c r="B1352" s="107" t="s">
        <v>1495</v>
      </c>
      <c r="C1352" s="55" t="s">
        <v>1496</v>
      </c>
      <c r="D1352" s="56" t="s">
        <v>1500</v>
      </c>
    </row>
    <row r="1353" spans="2:4" s="54" customFormat="1" x14ac:dyDescent="0.2">
      <c r="B1353" s="107" t="s">
        <v>1495</v>
      </c>
      <c r="C1353" s="55" t="s">
        <v>1496</v>
      </c>
      <c r="D1353" s="56" t="s">
        <v>1501</v>
      </c>
    </row>
    <row r="1354" spans="2:4" s="54" customFormat="1" x14ac:dyDescent="0.2">
      <c r="B1354" s="107" t="s">
        <v>1495</v>
      </c>
      <c r="C1354" s="55" t="s">
        <v>1496</v>
      </c>
      <c r="D1354" s="56" t="s">
        <v>1502</v>
      </c>
    </row>
    <row r="1355" spans="2:4" s="54" customFormat="1" x14ac:dyDescent="0.2">
      <c r="B1355" s="107" t="s">
        <v>1495</v>
      </c>
      <c r="C1355" s="55" t="s">
        <v>1496</v>
      </c>
      <c r="D1355" s="56" t="s">
        <v>1503</v>
      </c>
    </row>
    <row r="1356" spans="2:4" s="54" customFormat="1" x14ac:dyDescent="0.2">
      <c r="B1356" s="107" t="s">
        <v>1495</v>
      </c>
      <c r="C1356" s="55" t="s">
        <v>1496</v>
      </c>
      <c r="D1356" s="56" t="s">
        <v>1504</v>
      </c>
    </row>
    <row r="1357" spans="2:4" s="54" customFormat="1" x14ac:dyDescent="0.2">
      <c r="B1357" s="107" t="s">
        <v>1495</v>
      </c>
      <c r="C1357" s="55" t="s">
        <v>1496</v>
      </c>
      <c r="D1357" s="56" t="s">
        <v>1505</v>
      </c>
    </row>
    <row r="1358" spans="2:4" s="54" customFormat="1" x14ac:dyDescent="0.2">
      <c r="B1358" s="107" t="s">
        <v>1495</v>
      </c>
      <c r="C1358" s="55" t="s">
        <v>1496</v>
      </c>
      <c r="D1358" s="56" t="s">
        <v>1506</v>
      </c>
    </row>
    <row r="1359" spans="2:4" s="54" customFormat="1" x14ac:dyDescent="0.2">
      <c r="B1359" s="107" t="s">
        <v>1495</v>
      </c>
      <c r="C1359" s="55" t="s">
        <v>1496</v>
      </c>
      <c r="D1359" s="56" t="s">
        <v>1507</v>
      </c>
    </row>
    <row r="1360" spans="2:4" s="54" customFormat="1" x14ac:dyDescent="0.2">
      <c r="B1360" s="107" t="s">
        <v>1495</v>
      </c>
      <c r="C1360" s="55" t="s">
        <v>1496</v>
      </c>
      <c r="D1360" s="56" t="s">
        <v>1508</v>
      </c>
    </row>
    <row r="1361" spans="2:4" s="54" customFormat="1" x14ac:dyDescent="0.2">
      <c r="B1361" s="107" t="s">
        <v>1509</v>
      </c>
      <c r="C1361" s="55" t="s">
        <v>1510</v>
      </c>
      <c r="D1361" s="56" t="s">
        <v>1511</v>
      </c>
    </row>
    <row r="1362" spans="2:4" s="54" customFormat="1" x14ac:dyDescent="0.2">
      <c r="B1362" s="107" t="s">
        <v>1509</v>
      </c>
      <c r="C1362" s="55" t="s">
        <v>1510</v>
      </c>
      <c r="D1362" s="56" t="s">
        <v>1512</v>
      </c>
    </row>
    <row r="1363" spans="2:4" s="54" customFormat="1" x14ac:dyDescent="0.2">
      <c r="B1363" s="107" t="s">
        <v>1509</v>
      </c>
      <c r="C1363" s="55" t="s">
        <v>1510</v>
      </c>
      <c r="D1363" s="56" t="s">
        <v>1513</v>
      </c>
    </row>
    <row r="1364" spans="2:4" s="54" customFormat="1" x14ac:dyDescent="0.2">
      <c r="B1364" s="107" t="s">
        <v>1509</v>
      </c>
      <c r="C1364" s="55" t="s">
        <v>1510</v>
      </c>
      <c r="D1364" s="56" t="s">
        <v>1514</v>
      </c>
    </row>
    <row r="1365" spans="2:4" s="54" customFormat="1" x14ac:dyDescent="0.2">
      <c r="B1365" s="107" t="s">
        <v>1509</v>
      </c>
      <c r="C1365" s="55" t="s">
        <v>1510</v>
      </c>
      <c r="D1365" s="56" t="s">
        <v>1515</v>
      </c>
    </row>
    <row r="1366" spans="2:4" s="54" customFormat="1" x14ac:dyDescent="0.2">
      <c r="B1366" s="107" t="s">
        <v>1509</v>
      </c>
      <c r="C1366" s="55" t="s">
        <v>1510</v>
      </c>
      <c r="D1366" s="56" t="s">
        <v>1516</v>
      </c>
    </row>
    <row r="1367" spans="2:4" s="54" customFormat="1" x14ac:dyDescent="0.2">
      <c r="B1367" s="107" t="s">
        <v>1509</v>
      </c>
      <c r="C1367" s="55" t="s">
        <v>1510</v>
      </c>
      <c r="D1367" s="56" t="s">
        <v>1517</v>
      </c>
    </row>
    <row r="1368" spans="2:4" s="54" customFormat="1" x14ac:dyDescent="0.2">
      <c r="B1368" s="107" t="s">
        <v>1509</v>
      </c>
      <c r="C1368" s="55" t="s">
        <v>1510</v>
      </c>
      <c r="D1368" s="56" t="s">
        <v>1518</v>
      </c>
    </row>
    <row r="1369" spans="2:4" s="54" customFormat="1" x14ac:dyDescent="0.2">
      <c r="B1369" s="107" t="s">
        <v>1509</v>
      </c>
      <c r="C1369" s="55" t="s">
        <v>1510</v>
      </c>
      <c r="D1369" s="56" t="s">
        <v>1519</v>
      </c>
    </row>
    <row r="1370" spans="2:4" s="54" customFormat="1" x14ac:dyDescent="0.2">
      <c r="B1370" s="107" t="s">
        <v>1509</v>
      </c>
      <c r="C1370" s="55" t="s">
        <v>1510</v>
      </c>
      <c r="D1370" s="56" t="s">
        <v>1520</v>
      </c>
    </row>
    <row r="1371" spans="2:4" s="54" customFormat="1" x14ac:dyDescent="0.2">
      <c r="B1371" s="107" t="s">
        <v>1509</v>
      </c>
      <c r="C1371" s="55" t="s">
        <v>1510</v>
      </c>
      <c r="D1371" s="56" t="s">
        <v>1521</v>
      </c>
    </row>
    <row r="1372" spans="2:4" s="54" customFormat="1" x14ac:dyDescent="0.2">
      <c r="B1372" s="107" t="s">
        <v>1509</v>
      </c>
      <c r="C1372" s="55" t="s">
        <v>1510</v>
      </c>
      <c r="D1372" s="56" t="s">
        <v>1522</v>
      </c>
    </row>
    <row r="1373" spans="2:4" s="54" customFormat="1" x14ac:dyDescent="0.2">
      <c r="B1373" s="107" t="s">
        <v>1509</v>
      </c>
      <c r="C1373" s="55" t="s">
        <v>1510</v>
      </c>
      <c r="D1373" s="56" t="s">
        <v>1523</v>
      </c>
    </row>
    <row r="1374" spans="2:4" s="54" customFormat="1" x14ac:dyDescent="0.2">
      <c r="B1374" s="107" t="s">
        <v>1509</v>
      </c>
      <c r="C1374" s="55" t="s">
        <v>1510</v>
      </c>
      <c r="D1374" s="56" t="s">
        <v>1524</v>
      </c>
    </row>
    <row r="1375" spans="2:4" s="54" customFormat="1" x14ac:dyDescent="0.2">
      <c r="B1375" s="107" t="s">
        <v>1509</v>
      </c>
      <c r="C1375" s="55" t="s">
        <v>1510</v>
      </c>
      <c r="D1375" s="56" t="s">
        <v>1525</v>
      </c>
    </row>
    <row r="1376" spans="2:4" s="54" customFormat="1" x14ac:dyDescent="0.2">
      <c r="B1376" s="107" t="s">
        <v>1509</v>
      </c>
      <c r="C1376" s="55" t="s">
        <v>1510</v>
      </c>
      <c r="D1376" s="56" t="s">
        <v>1526</v>
      </c>
    </row>
    <row r="1377" spans="2:4" s="54" customFormat="1" x14ac:dyDescent="0.2">
      <c r="B1377" s="107" t="s">
        <v>1509</v>
      </c>
      <c r="C1377" s="55" t="s">
        <v>1510</v>
      </c>
      <c r="D1377" s="56" t="s">
        <v>1527</v>
      </c>
    </row>
    <row r="1378" spans="2:4" s="54" customFormat="1" x14ac:dyDescent="0.2">
      <c r="B1378" s="107" t="s">
        <v>1509</v>
      </c>
      <c r="C1378" s="55" t="s">
        <v>1510</v>
      </c>
      <c r="D1378" s="56" t="s">
        <v>1528</v>
      </c>
    </row>
    <row r="1379" spans="2:4" s="54" customFormat="1" x14ac:dyDescent="0.2">
      <c r="B1379" s="107" t="s">
        <v>1509</v>
      </c>
      <c r="C1379" s="55" t="s">
        <v>1510</v>
      </c>
      <c r="D1379" s="56" t="s">
        <v>1529</v>
      </c>
    </row>
    <row r="1380" spans="2:4" s="54" customFormat="1" x14ac:dyDescent="0.2">
      <c r="B1380" s="107" t="s">
        <v>1509</v>
      </c>
      <c r="C1380" s="55" t="s">
        <v>1510</v>
      </c>
      <c r="D1380" s="56" t="s">
        <v>1530</v>
      </c>
    </row>
    <row r="1381" spans="2:4" s="54" customFormat="1" x14ac:dyDescent="0.2">
      <c r="B1381" s="107" t="s">
        <v>1531</v>
      </c>
      <c r="C1381" s="55" t="s">
        <v>1532</v>
      </c>
      <c r="D1381" s="56" t="s">
        <v>1533</v>
      </c>
    </row>
    <row r="1382" spans="2:4" s="54" customFormat="1" x14ac:dyDescent="0.2">
      <c r="B1382" s="107" t="s">
        <v>1531</v>
      </c>
      <c r="C1382" s="55" t="s">
        <v>1532</v>
      </c>
      <c r="D1382" s="56" t="s">
        <v>1534</v>
      </c>
    </row>
    <row r="1383" spans="2:4" s="54" customFormat="1" x14ac:dyDescent="0.2">
      <c r="B1383" s="107" t="s">
        <v>1531</v>
      </c>
      <c r="C1383" s="55" t="s">
        <v>1532</v>
      </c>
      <c r="D1383" s="56" t="s">
        <v>1535</v>
      </c>
    </row>
    <row r="1384" spans="2:4" s="54" customFormat="1" x14ac:dyDescent="0.2">
      <c r="B1384" s="107" t="s">
        <v>1531</v>
      </c>
      <c r="C1384" s="55" t="s">
        <v>1532</v>
      </c>
      <c r="D1384" s="56" t="s">
        <v>1536</v>
      </c>
    </row>
    <row r="1385" spans="2:4" s="54" customFormat="1" x14ac:dyDescent="0.2">
      <c r="B1385" s="107" t="s">
        <v>1531</v>
      </c>
      <c r="C1385" s="55" t="s">
        <v>1532</v>
      </c>
      <c r="D1385" s="56" t="s">
        <v>1537</v>
      </c>
    </row>
    <row r="1386" spans="2:4" s="54" customFormat="1" x14ac:dyDescent="0.2">
      <c r="B1386" s="107" t="s">
        <v>1531</v>
      </c>
      <c r="C1386" s="55" t="s">
        <v>1532</v>
      </c>
      <c r="D1386" s="56" t="s">
        <v>1538</v>
      </c>
    </row>
    <row r="1387" spans="2:4" s="54" customFormat="1" x14ac:dyDescent="0.2">
      <c r="B1387" s="107" t="s">
        <v>1531</v>
      </c>
      <c r="C1387" s="55" t="s">
        <v>1532</v>
      </c>
      <c r="D1387" s="56" t="s">
        <v>1539</v>
      </c>
    </row>
    <row r="1388" spans="2:4" s="54" customFormat="1" x14ac:dyDescent="0.2">
      <c r="B1388" s="107" t="s">
        <v>1531</v>
      </c>
      <c r="C1388" s="55" t="s">
        <v>1532</v>
      </c>
      <c r="D1388" s="56" t="s">
        <v>1540</v>
      </c>
    </row>
    <row r="1389" spans="2:4" s="54" customFormat="1" x14ac:dyDescent="0.2">
      <c r="B1389" s="107" t="s">
        <v>1531</v>
      </c>
      <c r="C1389" s="55" t="s">
        <v>1532</v>
      </c>
      <c r="D1389" s="56" t="s">
        <v>1541</v>
      </c>
    </row>
    <row r="1390" spans="2:4" s="54" customFormat="1" x14ac:dyDescent="0.2">
      <c r="B1390" s="107" t="s">
        <v>1531</v>
      </c>
      <c r="C1390" s="55" t="s">
        <v>1532</v>
      </c>
      <c r="D1390" s="56" t="s">
        <v>1542</v>
      </c>
    </row>
    <row r="1391" spans="2:4" s="54" customFormat="1" x14ac:dyDescent="0.2">
      <c r="B1391" s="107" t="s">
        <v>1531</v>
      </c>
      <c r="C1391" s="55" t="s">
        <v>1532</v>
      </c>
      <c r="D1391" s="56" t="s">
        <v>1543</v>
      </c>
    </row>
    <row r="1392" spans="2:4" s="54" customFormat="1" x14ac:dyDescent="0.2">
      <c r="B1392" s="107" t="s">
        <v>1531</v>
      </c>
      <c r="C1392" s="55" t="s">
        <v>1532</v>
      </c>
      <c r="D1392" s="56" t="s">
        <v>1544</v>
      </c>
    </row>
    <row r="1393" spans="2:4" s="54" customFormat="1" x14ac:dyDescent="0.2">
      <c r="B1393" s="107" t="s">
        <v>1531</v>
      </c>
      <c r="C1393" s="55" t="s">
        <v>1532</v>
      </c>
      <c r="D1393" s="56" t="s">
        <v>1545</v>
      </c>
    </row>
    <row r="1394" spans="2:4" s="54" customFormat="1" x14ac:dyDescent="0.2">
      <c r="B1394" s="107" t="s">
        <v>1531</v>
      </c>
      <c r="C1394" s="55" t="s">
        <v>1532</v>
      </c>
      <c r="D1394" s="56" t="s">
        <v>1546</v>
      </c>
    </row>
    <row r="1395" spans="2:4" s="54" customFormat="1" x14ac:dyDescent="0.2">
      <c r="B1395" s="107" t="s">
        <v>1531</v>
      </c>
      <c r="C1395" s="55" t="s">
        <v>1532</v>
      </c>
      <c r="D1395" s="56" t="s">
        <v>1547</v>
      </c>
    </row>
    <row r="1396" spans="2:4" s="54" customFormat="1" x14ac:dyDescent="0.2">
      <c r="B1396" s="107" t="s">
        <v>1531</v>
      </c>
      <c r="C1396" s="55" t="s">
        <v>1532</v>
      </c>
      <c r="D1396" s="56" t="s">
        <v>1548</v>
      </c>
    </row>
    <row r="1397" spans="2:4" s="54" customFormat="1" x14ac:dyDescent="0.2">
      <c r="B1397" s="107" t="s">
        <v>1531</v>
      </c>
      <c r="C1397" s="55" t="s">
        <v>1532</v>
      </c>
      <c r="D1397" s="56" t="s">
        <v>1549</v>
      </c>
    </row>
    <row r="1398" spans="2:4" s="54" customFormat="1" x14ac:dyDescent="0.2">
      <c r="B1398" s="107" t="s">
        <v>1531</v>
      </c>
      <c r="C1398" s="55" t="s">
        <v>1532</v>
      </c>
      <c r="D1398" s="56" t="s">
        <v>1550</v>
      </c>
    </row>
    <row r="1399" spans="2:4" s="54" customFormat="1" x14ac:dyDescent="0.2">
      <c r="B1399" s="107" t="s">
        <v>1531</v>
      </c>
      <c r="C1399" s="55" t="s">
        <v>1532</v>
      </c>
      <c r="D1399" s="56" t="s">
        <v>1551</v>
      </c>
    </row>
    <row r="1400" spans="2:4" s="54" customFormat="1" x14ac:dyDescent="0.2">
      <c r="B1400" s="107" t="s">
        <v>1531</v>
      </c>
      <c r="C1400" s="55" t="s">
        <v>1532</v>
      </c>
      <c r="D1400" s="56" t="s">
        <v>1552</v>
      </c>
    </row>
    <row r="1401" spans="2:4" s="54" customFormat="1" x14ac:dyDescent="0.2">
      <c r="B1401" s="107" t="s">
        <v>1531</v>
      </c>
      <c r="C1401" s="55" t="s">
        <v>1532</v>
      </c>
      <c r="D1401" s="56" t="s">
        <v>1553</v>
      </c>
    </row>
    <row r="1402" spans="2:4" s="54" customFormat="1" x14ac:dyDescent="0.2">
      <c r="B1402" s="107" t="s">
        <v>1531</v>
      </c>
      <c r="C1402" s="55" t="s">
        <v>1532</v>
      </c>
      <c r="D1402" s="56" t="s">
        <v>1554</v>
      </c>
    </row>
    <row r="1403" spans="2:4" s="54" customFormat="1" x14ac:dyDescent="0.2">
      <c r="B1403" s="107" t="s">
        <v>1531</v>
      </c>
      <c r="C1403" s="55" t="s">
        <v>1532</v>
      </c>
      <c r="D1403" s="56" t="s">
        <v>1555</v>
      </c>
    </row>
    <row r="1404" spans="2:4" s="54" customFormat="1" x14ac:dyDescent="0.2">
      <c r="B1404" s="107" t="s">
        <v>1531</v>
      </c>
      <c r="C1404" s="55" t="s">
        <v>1532</v>
      </c>
      <c r="D1404" s="56" t="s">
        <v>1556</v>
      </c>
    </row>
    <row r="1405" spans="2:4" s="54" customFormat="1" x14ac:dyDescent="0.2">
      <c r="B1405" s="107" t="s">
        <v>1531</v>
      </c>
      <c r="C1405" s="55" t="s">
        <v>1532</v>
      </c>
      <c r="D1405" s="56" t="s">
        <v>1557</v>
      </c>
    </row>
    <row r="1406" spans="2:4" s="54" customFormat="1" x14ac:dyDescent="0.2">
      <c r="B1406" s="107" t="s">
        <v>1531</v>
      </c>
      <c r="C1406" s="55" t="s">
        <v>1532</v>
      </c>
      <c r="D1406" s="56" t="s">
        <v>1558</v>
      </c>
    </row>
    <row r="1407" spans="2:4" s="54" customFormat="1" x14ac:dyDescent="0.2">
      <c r="B1407" s="107" t="s">
        <v>1531</v>
      </c>
      <c r="C1407" s="55" t="s">
        <v>1532</v>
      </c>
      <c r="D1407" s="56" t="s">
        <v>1559</v>
      </c>
    </row>
    <row r="1408" spans="2:4" s="54" customFormat="1" x14ac:dyDescent="0.2">
      <c r="B1408" s="107" t="s">
        <v>1531</v>
      </c>
      <c r="C1408" s="55" t="s">
        <v>1532</v>
      </c>
      <c r="D1408" s="56" t="s">
        <v>1560</v>
      </c>
    </row>
    <row r="1409" spans="2:4" s="54" customFormat="1" x14ac:dyDescent="0.2">
      <c r="B1409" s="107" t="s">
        <v>1531</v>
      </c>
      <c r="C1409" s="55" t="s">
        <v>1532</v>
      </c>
      <c r="D1409" s="56" t="s">
        <v>1561</v>
      </c>
    </row>
    <row r="1410" spans="2:4" s="54" customFormat="1" x14ac:dyDescent="0.2">
      <c r="B1410" s="107" t="s">
        <v>1531</v>
      </c>
      <c r="C1410" s="55" t="s">
        <v>1532</v>
      </c>
      <c r="D1410" s="56" t="s">
        <v>1562</v>
      </c>
    </row>
    <row r="1411" spans="2:4" s="54" customFormat="1" x14ac:dyDescent="0.2">
      <c r="B1411" s="107" t="s">
        <v>1531</v>
      </c>
      <c r="C1411" s="55" t="s">
        <v>1532</v>
      </c>
      <c r="D1411" s="56" t="s">
        <v>1563</v>
      </c>
    </row>
    <row r="1412" spans="2:4" s="54" customFormat="1" x14ac:dyDescent="0.2">
      <c r="B1412" s="107" t="s">
        <v>1531</v>
      </c>
      <c r="C1412" s="55" t="s">
        <v>1532</v>
      </c>
      <c r="D1412" s="56" t="s">
        <v>1564</v>
      </c>
    </row>
    <row r="1413" spans="2:4" s="54" customFormat="1" x14ac:dyDescent="0.2">
      <c r="B1413" s="107" t="s">
        <v>1531</v>
      </c>
      <c r="C1413" s="55" t="s">
        <v>1532</v>
      </c>
      <c r="D1413" s="56" t="s">
        <v>1565</v>
      </c>
    </row>
    <row r="1414" spans="2:4" s="54" customFormat="1" x14ac:dyDescent="0.2">
      <c r="B1414" s="107" t="s">
        <v>1531</v>
      </c>
      <c r="C1414" s="55" t="s">
        <v>1532</v>
      </c>
      <c r="D1414" s="56" t="s">
        <v>1566</v>
      </c>
    </row>
    <row r="1415" spans="2:4" s="54" customFormat="1" x14ac:dyDescent="0.2">
      <c r="B1415" s="107" t="s">
        <v>1531</v>
      </c>
      <c r="C1415" s="55" t="s">
        <v>1532</v>
      </c>
      <c r="D1415" s="56" t="s">
        <v>1567</v>
      </c>
    </row>
    <row r="1416" spans="2:4" s="54" customFormat="1" x14ac:dyDescent="0.2">
      <c r="B1416" s="107" t="s">
        <v>1531</v>
      </c>
      <c r="C1416" s="55" t="s">
        <v>1532</v>
      </c>
      <c r="D1416" s="56" t="s">
        <v>1568</v>
      </c>
    </row>
    <row r="1417" spans="2:4" s="54" customFormat="1" x14ac:dyDescent="0.2">
      <c r="B1417" s="107" t="s">
        <v>1531</v>
      </c>
      <c r="C1417" s="55" t="s">
        <v>1532</v>
      </c>
      <c r="D1417" s="56" t="s">
        <v>1569</v>
      </c>
    </row>
    <row r="1418" spans="2:4" s="54" customFormat="1" x14ac:dyDescent="0.2">
      <c r="B1418" s="107" t="s">
        <v>1531</v>
      </c>
      <c r="C1418" s="55" t="s">
        <v>1532</v>
      </c>
      <c r="D1418" s="56" t="s">
        <v>1570</v>
      </c>
    </row>
    <row r="1419" spans="2:4" s="54" customFormat="1" x14ac:dyDescent="0.2">
      <c r="B1419" s="107" t="s">
        <v>1531</v>
      </c>
      <c r="C1419" s="55" t="s">
        <v>1532</v>
      </c>
      <c r="D1419" s="56" t="s">
        <v>1571</v>
      </c>
    </row>
    <row r="1420" spans="2:4" s="54" customFormat="1" x14ac:dyDescent="0.2">
      <c r="B1420" s="107" t="s">
        <v>1531</v>
      </c>
      <c r="C1420" s="55" t="s">
        <v>1532</v>
      </c>
      <c r="D1420" s="56" t="s">
        <v>1572</v>
      </c>
    </row>
    <row r="1421" spans="2:4" s="54" customFormat="1" x14ac:dyDescent="0.2">
      <c r="B1421" s="107" t="s">
        <v>1531</v>
      </c>
      <c r="C1421" s="55" t="s">
        <v>1532</v>
      </c>
      <c r="D1421" s="56" t="s">
        <v>1573</v>
      </c>
    </row>
    <row r="1422" spans="2:4" s="54" customFormat="1" x14ac:dyDescent="0.2">
      <c r="B1422" s="107" t="s">
        <v>1531</v>
      </c>
      <c r="C1422" s="55" t="s">
        <v>1532</v>
      </c>
      <c r="D1422" s="56" t="s">
        <v>1574</v>
      </c>
    </row>
    <row r="1423" spans="2:4" s="54" customFormat="1" x14ac:dyDescent="0.2">
      <c r="B1423" s="107" t="s">
        <v>1531</v>
      </c>
      <c r="C1423" s="55" t="s">
        <v>1532</v>
      </c>
      <c r="D1423" s="56" t="s">
        <v>1575</v>
      </c>
    </row>
    <row r="1424" spans="2:4" s="54" customFormat="1" x14ac:dyDescent="0.2">
      <c r="B1424" s="107" t="s">
        <v>1531</v>
      </c>
      <c r="C1424" s="55" t="s">
        <v>1532</v>
      </c>
      <c r="D1424" s="56" t="s">
        <v>1576</v>
      </c>
    </row>
    <row r="1425" spans="2:4" s="54" customFormat="1" x14ac:dyDescent="0.2">
      <c r="B1425" s="107" t="s">
        <v>1531</v>
      </c>
      <c r="C1425" s="55" t="s">
        <v>1532</v>
      </c>
      <c r="D1425" s="56" t="s">
        <v>1577</v>
      </c>
    </row>
    <row r="1426" spans="2:4" s="54" customFormat="1" x14ac:dyDescent="0.2">
      <c r="B1426" s="107" t="s">
        <v>1531</v>
      </c>
      <c r="C1426" s="55" t="s">
        <v>1532</v>
      </c>
      <c r="D1426" s="56" t="s">
        <v>1578</v>
      </c>
    </row>
    <row r="1427" spans="2:4" s="54" customFormat="1" x14ac:dyDescent="0.2">
      <c r="B1427" s="107" t="s">
        <v>1531</v>
      </c>
      <c r="C1427" s="55" t="s">
        <v>1532</v>
      </c>
      <c r="D1427" s="56" t="s">
        <v>1579</v>
      </c>
    </row>
    <row r="1428" spans="2:4" s="54" customFormat="1" x14ac:dyDescent="0.2">
      <c r="B1428" s="107" t="s">
        <v>1580</v>
      </c>
      <c r="C1428" s="55" t="s">
        <v>1581</v>
      </c>
      <c r="D1428" s="56" t="s">
        <v>1582</v>
      </c>
    </row>
    <row r="1429" spans="2:4" s="54" customFormat="1" x14ac:dyDescent="0.2">
      <c r="B1429" s="107" t="s">
        <v>1580</v>
      </c>
      <c r="C1429" s="55" t="s">
        <v>1581</v>
      </c>
      <c r="D1429" s="56" t="s">
        <v>1583</v>
      </c>
    </row>
    <row r="1430" spans="2:4" s="54" customFormat="1" x14ac:dyDescent="0.2">
      <c r="B1430" s="107" t="s">
        <v>1580</v>
      </c>
      <c r="C1430" s="55" t="s">
        <v>1581</v>
      </c>
      <c r="D1430" s="56" t="s">
        <v>1584</v>
      </c>
    </row>
    <row r="1431" spans="2:4" s="54" customFormat="1" x14ac:dyDescent="0.2">
      <c r="B1431" s="107" t="s">
        <v>1580</v>
      </c>
      <c r="C1431" s="55" t="s">
        <v>1581</v>
      </c>
      <c r="D1431" s="56" t="s">
        <v>1585</v>
      </c>
    </row>
    <row r="1432" spans="2:4" s="54" customFormat="1" x14ac:dyDescent="0.2">
      <c r="B1432" s="107" t="s">
        <v>1580</v>
      </c>
      <c r="C1432" s="55" t="s">
        <v>1581</v>
      </c>
      <c r="D1432" s="56" t="s">
        <v>1586</v>
      </c>
    </row>
    <row r="1433" spans="2:4" s="54" customFormat="1" x14ac:dyDescent="0.2">
      <c r="B1433" s="107" t="s">
        <v>1580</v>
      </c>
      <c r="C1433" s="55" t="s">
        <v>1581</v>
      </c>
      <c r="D1433" s="56" t="s">
        <v>1587</v>
      </c>
    </row>
    <row r="1434" spans="2:4" s="54" customFormat="1" x14ac:dyDescent="0.2">
      <c r="B1434" s="107" t="s">
        <v>1580</v>
      </c>
      <c r="C1434" s="55" t="s">
        <v>1581</v>
      </c>
      <c r="D1434" s="56" t="s">
        <v>1588</v>
      </c>
    </row>
    <row r="1435" spans="2:4" s="54" customFormat="1" x14ac:dyDescent="0.2">
      <c r="B1435" s="107" t="s">
        <v>1580</v>
      </c>
      <c r="C1435" s="55" t="s">
        <v>1581</v>
      </c>
      <c r="D1435" s="56" t="s">
        <v>1589</v>
      </c>
    </row>
    <row r="1436" spans="2:4" s="54" customFormat="1" x14ac:dyDescent="0.2">
      <c r="B1436" s="107" t="s">
        <v>1580</v>
      </c>
      <c r="C1436" s="55" t="s">
        <v>1581</v>
      </c>
      <c r="D1436" s="56" t="s">
        <v>1590</v>
      </c>
    </row>
    <row r="1437" spans="2:4" s="54" customFormat="1" x14ac:dyDescent="0.2">
      <c r="B1437" s="107" t="s">
        <v>1580</v>
      </c>
      <c r="C1437" s="55" t="s">
        <v>1581</v>
      </c>
      <c r="D1437" s="56" t="s">
        <v>1591</v>
      </c>
    </row>
    <row r="1438" spans="2:4" s="54" customFormat="1" x14ac:dyDescent="0.2">
      <c r="B1438" s="107" t="s">
        <v>1580</v>
      </c>
      <c r="C1438" s="55" t="s">
        <v>1581</v>
      </c>
      <c r="D1438" s="56" t="s">
        <v>1592</v>
      </c>
    </row>
    <row r="1439" spans="2:4" s="54" customFormat="1" x14ac:dyDescent="0.2">
      <c r="B1439" s="107" t="s">
        <v>1580</v>
      </c>
      <c r="C1439" s="55" t="s">
        <v>1581</v>
      </c>
      <c r="D1439" s="56" t="s">
        <v>1593</v>
      </c>
    </row>
    <row r="1440" spans="2:4" s="54" customFormat="1" x14ac:dyDescent="0.2">
      <c r="B1440" s="107" t="s">
        <v>1580</v>
      </c>
      <c r="C1440" s="55" t="s">
        <v>1581</v>
      </c>
      <c r="D1440" s="56" t="s">
        <v>1594</v>
      </c>
    </row>
    <row r="1441" spans="2:4" s="54" customFormat="1" x14ac:dyDescent="0.2">
      <c r="B1441" s="107" t="s">
        <v>1580</v>
      </c>
      <c r="C1441" s="55" t="s">
        <v>1581</v>
      </c>
      <c r="D1441" s="56" t="s">
        <v>1595</v>
      </c>
    </row>
    <row r="1442" spans="2:4" s="54" customFormat="1" x14ac:dyDescent="0.2">
      <c r="B1442" s="107" t="s">
        <v>1580</v>
      </c>
      <c r="C1442" s="55" t="s">
        <v>1581</v>
      </c>
      <c r="D1442" s="56" t="s">
        <v>1596</v>
      </c>
    </row>
    <row r="1443" spans="2:4" s="54" customFormat="1" x14ac:dyDescent="0.2">
      <c r="B1443" s="107" t="s">
        <v>1580</v>
      </c>
      <c r="C1443" s="55" t="s">
        <v>1581</v>
      </c>
      <c r="D1443" s="56" t="s">
        <v>1597</v>
      </c>
    </row>
    <row r="1444" spans="2:4" s="54" customFormat="1" x14ac:dyDescent="0.2">
      <c r="B1444" s="107" t="s">
        <v>1580</v>
      </c>
      <c r="C1444" s="55" t="s">
        <v>1581</v>
      </c>
      <c r="D1444" s="56" t="s">
        <v>1598</v>
      </c>
    </row>
    <row r="1445" spans="2:4" s="54" customFormat="1" x14ac:dyDescent="0.2">
      <c r="B1445" s="107" t="s">
        <v>1580</v>
      </c>
      <c r="C1445" s="55" t="s">
        <v>1581</v>
      </c>
      <c r="D1445" s="56" t="s">
        <v>1599</v>
      </c>
    </row>
    <row r="1446" spans="2:4" s="54" customFormat="1" x14ac:dyDescent="0.2">
      <c r="B1446" s="107" t="s">
        <v>1580</v>
      </c>
      <c r="C1446" s="55" t="s">
        <v>1581</v>
      </c>
      <c r="D1446" s="56" t="s">
        <v>1600</v>
      </c>
    </row>
    <row r="1447" spans="2:4" s="54" customFormat="1" x14ac:dyDescent="0.2">
      <c r="B1447" s="107" t="s">
        <v>1580</v>
      </c>
      <c r="C1447" s="55" t="s">
        <v>1581</v>
      </c>
      <c r="D1447" s="56" t="s">
        <v>1601</v>
      </c>
    </row>
    <row r="1448" spans="2:4" s="54" customFormat="1" x14ac:dyDescent="0.2">
      <c r="B1448" s="107" t="s">
        <v>1580</v>
      </c>
      <c r="C1448" s="55" t="s">
        <v>1581</v>
      </c>
      <c r="D1448" s="56" t="s">
        <v>1602</v>
      </c>
    </row>
    <row r="1449" spans="2:4" s="54" customFormat="1" x14ac:dyDescent="0.2">
      <c r="B1449" s="107" t="s">
        <v>1580</v>
      </c>
      <c r="C1449" s="55" t="s">
        <v>1581</v>
      </c>
      <c r="D1449" s="56" t="s">
        <v>1603</v>
      </c>
    </row>
    <row r="1450" spans="2:4" s="54" customFormat="1" x14ac:dyDescent="0.2">
      <c r="B1450" s="107" t="s">
        <v>1580</v>
      </c>
      <c r="C1450" s="55" t="s">
        <v>1581</v>
      </c>
      <c r="D1450" s="56" t="s">
        <v>1604</v>
      </c>
    </row>
    <row r="1451" spans="2:4" s="54" customFormat="1" x14ac:dyDescent="0.2">
      <c r="B1451" s="107" t="s">
        <v>1580</v>
      </c>
      <c r="C1451" s="55" t="s">
        <v>1581</v>
      </c>
      <c r="D1451" s="56" t="s">
        <v>1605</v>
      </c>
    </row>
    <row r="1452" spans="2:4" s="54" customFormat="1" x14ac:dyDescent="0.2">
      <c r="B1452" s="107" t="s">
        <v>1606</v>
      </c>
      <c r="C1452" s="55" t="s">
        <v>1607</v>
      </c>
      <c r="D1452" s="56" t="s">
        <v>1608</v>
      </c>
    </row>
    <row r="1453" spans="2:4" s="54" customFormat="1" x14ac:dyDescent="0.2">
      <c r="B1453" s="107" t="s">
        <v>1606</v>
      </c>
      <c r="C1453" s="55" t="s">
        <v>1607</v>
      </c>
      <c r="D1453" s="56" t="s">
        <v>271</v>
      </c>
    </row>
    <row r="1454" spans="2:4" s="54" customFormat="1" x14ac:dyDescent="0.2">
      <c r="B1454" s="107" t="s">
        <v>1606</v>
      </c>
      <c r="C1454" s="55" t="s">
        <v>1607</v>
      </c>
      <c r="D1454" s="56" t="s">
        <v>1609</v>
      </c>
    </row>
    <row r="1455" spans="2:4" s="54" customFormat="1" x14ac:dyDescent="0.2">
      <c r="B1455" s="107" t="s">
        <v>1606</v>
      </c>
      <c r="C1455" s="55" t="s">
        <v>1607</v>
      </c>
      <c r="D1455" s="56" t="s">
        <v>1610</v>
      </c>
    </row>
    <row r="1456" spans="2:4" s="54" customFormat="1" x14ac:dyDescent="0.2">
      <c r="B1456" s="107" t="s">
        <v>1606</v>
      </c>
      <c r="C1456" s="55" t="s">
        <v>1607</v>
      </c>
      <c r="D1456" s="56" t="s">
        <v>1611</v>
      </c>
    </row>
    <row r="1457" spans="2:4" s="54" customFormat="1" x14ac:dyDescent="0.2">
      <c r="B1457" s="107" t="s">
        <v>1606</v>
      </c>
      <c r="C1457" s="55" t="s">
        <v>1607</v>
      </c>
      <c r="D1457" s="56" t="s">
        <v>1612</v>
      </c>
    </row>
    <row r="1458" spans="2:4" s="54" customFormat="1" x14ac:dyDescent="0.2">
      <c r="B1458" s="107" t="s">
        <v>1613</v>
      </c>
      <c r="C1458" s="55" t="s">
        <v>1614</v>
      </c>
      <c r="D1458" s="56" t="s">
        <v>1615</v>
      </c>
    </row>
    <row r="1459" spans="2:4" s="54" customFormat="1" x14ac:dyDescent="0.2">
      <c r="B1459" s="107" t="s">
        <v>1613</v>
      </c>
      <c r="C1459" s="55" t="s">
        <v>1614</v>
      </c>
      <c r="D1459" s="56" t="s">
        <v>1616</v>
      </c>
    </row>
    <row r="1460" spans="2:4" s="54" customFormat="1" x14ac:dyDescent="0.2">
      <c r="B1460" s="107" t="s">
        <v>1613</v>
      </c>
      <c r="C1460" s="55" t="s">
        <v>1614</v>
      </c>
      <c r="D1460" s="56" t="s">
        <v>1617</v>
      </c>
    </row>
    <row r="1461" spans="2:4" s="54" customFormat="1" x14ac:dyDescent="0.2">
      <c r="B1461" s="107" t="s">
        <v>1613</v>
      </c>
      <c r="C1461" s="55" t="s">
        <v>1614</v>
      </c>
      <c r="D1461" s="56" t="s">
        <v>1618</v>
      </c>
    </row>
    <row r="1462" spans="2:4" s="54" customFormat="1" x14ac:dyDescent="0.2">
      <c r="B1462" s="107" t="s">
        <v>1613</v>
      </c>
      <c r="C1462" s="55" t="s">
        <v>1614</v>
      </c>
      <c r="D1462" s="56" t="s">
        <v>1619</v>
      </c>
    </row>
    <row r="1463" spans="2:4" s="54" customFormat="1" x14ac:dyDescent="0.2">
      <c r="B1463" s="107" t="s">
        <v>1613</v>
      </c>
      <c r="C1463" s="55" t="s">
        <v>1614</v>
      </c>
      <c r="D1463" s="56" t="s">
        <v>1620</v>
      </c>
    </row>
    <row r="1464" spans="2:4" s="54" customFormat="1" x14ac:dyDescent="0.2">
      <c r="B1464" s="107" t="s">
        <v>1613</v>
      </c>
      <c r="C1464" s="55" t="s">
        <v>1614</v>
      </c>
      <c r="D1464" s="56" t="s">
        <v>1621</v>
      </c>
    </row>
    <row r="1465" spans="2:4" s="54" customFormat="1" x14ac:dyDescent="0.2">
      <c r="B1465" s="107" t="s">
        <v>1613</v>
      </c>
      <c r="C1465" s="55" t="s">
        <v>1614</v>
      </c>
      <c r="D1465" s="56" t="s">
        <v>1622</v>
      </c>
    </row>
    <row r="1466" spans="2:4" s="54" customFormat="1" x14ac:dyDescent="0.2">
      <c r="B1466" s="107" t="s">
        <v>1613</v>
      </c>
      <c r="C1466" s="55" t="s">
        <v>1614</v>
      </c>
      <c r="D1466" s="56" t="s">
        <v>1623</v>
      </c>
    </row>
    <row r="1467" spans="2:4" s="54" customFormat="1" x14ac:dyDescent="0.2">
      <c r="B1467" s="107" t="s">
        <v>1624</v>
      </c>
      <c r="C1467" s="55" t="s">
        <v>1625</v>
      </c>
      <c r="D1467" s="56" t="s">
        <v>1626</v>
      </c>
    </row>
    <row r="1468" spans="2:4" s="54" customFormat="1" x14ac:dyDescent="0.2">
      <c r="B1468" s="107" t="s">
        <v>1624</v>
      </c>
      <c r="C1468" s="55" t="s">
        <v>1625</v>
      </c>
      <c r="D1468" s="56" t="s">
        <v>1627</v>
      </c>
    </row>
    <row r="1469" spans="2:4" s="54" customFormat="1" x14ac:dyDescent="0.2">
      <c r="B1469" s="107" t="s">
        <v>1624</v>
      </c>
      <c r="C1469" s="55" t="s">
        <v>1625</v>
      </c>
      <c r="D1469" s="56" t="s">
        <v>1628</v>
      </c>
    </row>
    <row r="1470" spans="2:4" s="54" customFormat="1" x14ac:dyDescent="0.2">
      <c r="B1470" s="107" t="s">
        <v>1624</v>
      </c>
      <c r="C1470" s="55" t="s">
        <v>1625</v>
      </c>
      <c r="D1470" s="56" t="s">
        <v>1629</v>
      </c>
    </row>
    <row r="1471" spans="2:4" s="54" customFormat="1" x14ac:dyDescent="0.2">
      <c r="B1471" s="107" t="s">
        <v>1624</v>
      </c>
      <c r="C1471" s="55" t="s">
        <v>1625</v>
      </c>
      <c r="D1471" s="56" t="s">
        <v>1630</v>
      </c>
    </row>
    <row r="1472" spans="2:4" s="54" customFormat="1" x14ac:dyDescent="0.2">
      <c r="B1472" s="107" t="s">
        <v>1624</v>
      </c>
      <c r="C1472" s="55" t="s">
        <v>1625</v>
      </c>
      <c r="D1472" s="56" t="s">
        <v>1631</v>
      </c>
    </row>
    <row r="1473" spans="2:4" s="54" customFormat="1" x14ac:dyDescent="0.2">
      <c r="B1473" s="107" t="s">
        <v>1624</v>
      </c>
      <c r="C1473" s="55" t="s">
        <v>1625</v>
      </c>
      <c r="D1473" s="56" t="s">
        <v>1632</v>
      </c>
    </row>
    <row r="1474" spans="2:4" s="54" customFormat="1" x14ac:dyDescent="0.2">
      <c r="B1474" s="107" t="s">
        <v>1624</v>
      </c>
      <c r="C1474" s="55" t="s">
        <v>1625</v>
      </c>
      <c r="D1474" s="56" t="s">
        <v>1633</v>
      </c>
    </row>
    <row r="1475" spans="2:4" s="54" customFormat="1" x14ac:dyDescent="0.2">
      <c r="B1475" s="107" t="s">
        <v>1624</v>
      </c>
      <c r="C1475" s="55" t="s">
        <v>1625</v>
      </c>
      <c r="D1475" s="56" t="s">
        <v>1634</v>
      </c>
    </row>
    <row r="1476" spans="2:4" s="54" customFormat="1" x14ac:dyDescent="0.2">
      <c r="B1476" s="107" t="s">
        <v>1624</v>
      </c>
      <c r="C1476" s="55" t="s">
        <v>1625</v>
      </c>
      <c r="D1476" s="56" t="s">
        <v>1635</v>
      </c>
    </row>
    <row r="1477" spans="2:4" s="54" customFormat="1" x14ac:dyDescent="0.2">
      <c r="B1477" s="107" t="s">
        <v>1624</v>
      </c>
      <c r="C1477" s="55" t="s">
        <v>1625</v>
      </c>
      <c r="D1477" s="56" t="s">
        <v>1636</v>
      </c>
    </row>
    <row r="1478" spans="2:4" s="54" customFormat="1" x14ac:dyDescent="0.2">
      <c r="B1478" s="107" t="s">
        <v>1624</v>
      </c>
      <c r="C1478" s="55" t="s">
        <v>1625</v>
      </c>
      <c r="D1478" s="56" t="s">
        <v>1637</v>
      </c>
    </row>
    <row r="1479" spans="2:4" s="54" customFormat="1" x14ac:dyDescent="0.2">
      <c r="B1479" s="107" t="s">
        <v>1624</v>
      </c>
      <c r="C1479" s="55" t="s">
        <v>1625</v>
      </c>
      <c r="D1479" s="56" t="s">
        <v>1638</v>
      </c>
    </row>
    <row r="1480" spans="2:4" s="54" customFormat="1" x14ac:dyDescent="0.2">
      <c r="B1480" s="107" t="s">
        <v>1624</v>
      </c>
      <c r="C1480" s="55" t="s">
        <v>1625</v>
      </c>
      <c r="D1480" s="56" t="s">
        <v>1639</v>
      </c>
    </row>
    <row r="1481" spans="2:4" s="54" customFormat="1" x14ac:dyDescent="0.2">
      <c r="B1481" s="107" t="s">
        <v>1624</v>
      </c>
      <c r="C1481" s="55" t="s">
        <v>1625</v>
      </c>
      <c r="D1481" s="56" t="s">
        <v>1640</v>
      </c>
    </row>
    <row r="1482" spans="2:4" s="54" customFormat="1" x14ac:dyDescent="0.2">
      <c r="B1482" s="107" t="s">
        <v>1624</v>
      </c>
      <c r="C1482" s="55" t="s">
        <v>1625</v>
      </c>
      <c r="D1482" s="56" t="s">
        <v>1641</v>
      </c>
    </row>
    <row r="1483" spans="2:4" s="54" customFormat="1" x14ac:dyDescent="0.2">
      <c r="B1483" s="107" t="s">
        <v>1624</v>
      </c>
      <c r="C1483" s="55" t="s">
        <v>1625</v>
      </c>
      <c r="D1483" s="56" t="s">
        <v>1642</v>
      </c>
    </row>
    <row r="1484" spans="2:4" s="54" customFormat="1" x14ac:dyDescent="0.2">
      <c r="B1484" s="107" t="s">
        <v>1624</v>
      </c>
      <c r="C1484" s="55" t="s">
        <v>1625</v>
      </c>
      <c r="D1484" s="56" t="s">
        <v>1643</v>
      </c>
    </row>
    <row r="1485" spans="2:4" s="54" customFormat="1" x14ac:dyDescent="0.2">
      <c r="B1485" s="107" t="s">
        <v>1644</v>
      </c>
      <c r="C1485" s="55" t="s">
        <v>1645</v>
      </c>
      <c r="D1485" s="56" t="s">
        <v>1646</v>
      </c>
    </row>
    <row r="1486" spans="2:4" s="54" customFormat="1" x14ac:dyDescent="0.2">
      <c r="B1486" s="107" t="s">
        <v>1644</v>
      </c>
      <c r="C1486" s="55" t="s">
        <v>1645</v>
      </c>
      <c r="D1486" s="56" t="s">
        <v>1647</v>
      </c>
    </row>
    <row r="1487" spans="2:4" s="54" customFormat="1" x14ac:dyDescent="0.2">
      <c r="B1487" s="107" t="s">
        <v>1644</v>
      </c>
      <c r="C1487" s="55" t="s">
        <v>1645</v>
      </c>
      <c r="D1487" s="56" t="s">
        <v>1648</v>
      </c>
    </row>
    <row r="1488" spans="2:4" s="54" customFormat="1" x14ac:dyDescent="0.2">
      <c r="B1488" s="107" t="s">
        <v>1644</v>
      </c>
      <c r="C1488" s="55" t="s">
        <v>1645</v>
      </c>
      <c r="D1488" s="56" t="s">
        <v>1649</v>
      </c>
    </row>
    <row r="1489" spans="2:4" s="54" customFormat="1" x14ac:dyDescent="0.2">
      <c r="B1489" s="107" t="s">
        <v>1644</v>
      </c>
      <c r="C1489" s="55" t="s">
        <v>1645</v>
      </c>
      <c r="D1489" s="56" t="s">
        <v>1650</v>
      </c>
    </row>
    <row r="1490" spans="2:4" s="54" customFormat="1" x14ac:dyDescent="0.2">
      <c r="B1490" s="107" t="s">
        <v>1644</v>
      </c>
      <c r="C1490" s="55" t="s">
        <v>1645</v>
      </c>
      <c r="D1490" s="56" t="s">
        <v>1651</v>
      </c>
    </row>
    <row r="1491" spans="2:4" s="54" customFormat="1" x14ac:dyDescent="0.2">
      <c r="B1491" s="107" t="s">
        <v>1652</v>
      </c>
      <c r="C1491" s="55" t="s">
        <v>1653</v>
      </c>
      <c r="D1491" s="56" t="s">
        <v>1654</v>
      </c>
    </row>
    <row r="1492" spans="2:4" s="54" customFormat="1" x14ac:dyDescent="0.2">
      <c r="B1492" s="107" t="s">
        <v>1652</v>
      </c>
      <c r="C1492" s="55" t="s">
        <v>1653</v>
      </c>
      <c r="D1492" s="56" t="s">
        <v>1655</v>
      </c>
    </row>
    <row r="1493" spans="2:4" s="54" customFormat="1" x14ac:dyDescent="0.2">
      <c r="B1493" s="107" t="s">
        <v>1652</v>
      </c>
      <c r="C1493" s="55" t="s">
        <v>1653</v>
      </c>
      <c r="D1493" s="56" t="s">
        <v>1656</v>
      </c>
    </row>
    <row r="1494" spans="2:4" s="54" customFormat="1" x14ac:dyDescent="0.2">
      <c r="B1494" s="107" t="s">
        <v>1652</v>
      </c>
      <c r="C1494" s="55" t="s">
        <v>1653</v>
      </c>
      <c r="D1494" s="56" t="s">
        <v>1657</v>
      </c>
    </row>
    <row r="1495" spans="2:4" s="54" customFormat="1" x14ac:dyDescent="0.2">
      <c r="B1495" s="107" t="s">
        <v>1652</v>
      </c>
      <c r="C1495" s="55" t="s">
        <v>1653</v>
      </c>
      <c r="D1495" s="56" t="s">
        <v>1658</v>
      </c>
    </row>
    <row r="1496" spans="2:4" s="54" customFormat="1" x14ac:dyDescent="0.2">
      <c r="B1496" s="107" t="s">
        <v>1652</v>
      </c>
      <c r="C1496" s="55" t="s">
        <v>1653</v>
      </c>
      <c r="D1496" s="56" t="s">
        <v>1659</v>
      </c>
    </row>
    <row r="1497" spans="2:4" s="54" customFormat="1" x14ac:dyDescent="0.2">
      <c r="B1497" s="107" t="s">
        <v>1652</v>
      </c>
      <c r="C1497" s="55" t="s">
        <v>1653</v>
      </c>
      <c r="D1497" s="56" t="s">
        <v>1660</v>
      </c>
    </row>
    <row r="1498" spans="2:4" s="54" customFormat="1" x14ac:dyDescent="0.2">
      <c r="B1498" s="107" t="s">
        <v>1652</v>
      </c>
      <c r="C1498" s="55" t="s">
        <v>1653</v>
      </c>
      <c r="D1498" s="56" t="s">
        <v>1661</v>
      </c>
    </row>
    <row r="1499" spans="2:4" s="54" customFormat="1" x14ac:dyDescent="0.2">
      <c r="B1499" s="107" t="s">
        <v>1662</v>
      </c>
      <c r="C1499" s="55" t="s">
        <v>1663</v>
      </c>
      <c r="D1499" s="56" t="s">
        <v>1664</v>
      </c>
    </row>
    <row r="1500" spans="2:4" s="54" customFormat="1" x14ac:dyDescent="0.2">
      <c r="B1500" s="107" t="s">
        <v>1662</v>
      </c>
      <c r="C1500" s="55" t="s">
        <v>1663</v>
      </c>
      <c r="D1500" s="56" t="s">
        <v>1665</v>
      </c>
    </row>
    <row r="1501" spans="2:4" s="54" customFormat="1" x14ac:dyDescent="0.2">
      <c r="B1501" s="107" t="s">
        <v>1662</v>
      </c>
      <c r="C1501" s="55" t="s">
        <v>1663</v>
      </c>
      <c r="D1501" s="56" t="s">
        <v>1666</v>
      </c>
    </row>
    <row r="1502" spans="2:4" s="54" customFormat="1" x14ac:dyDescent="0.2">
      <c r="B1502" s="107" t="s">
        <v>1662</v>
      </c>
      <c r="C1502" s="55" t="s">
        <v>1663</v>
      </c>
      <c r="D1502" s="56" t="s">
        <v>1667</v>
      </c>
    </row>
    <row r="1503" spans="2:4" s="54" customFormat="1" x14ac:dyDescent="0.2">
      <c r="B1503" s="107" t="s">
        <v>1662</v>
      </c>
      <c r="C1503" s="55" t="s">
        <v>1663</v>
      </c>
      <c r="D1503" s="56" t="s">
        <v>1668</v>
      </c>
    </row>
    <row r="1504" spans="2:4" s="54" customFormat="1" x14ac:dyDescent="0.2">
      <c r="B1504" s="107" t="s">
        <v>1662</v>
      </c>
      <c r="C1504" s="55" t="s">
        <v>1663</v>
      </c>
      <c r="D1504" s="56" t="s">
        <v>1669</v>
      </c>
    </row>
    <row r="1505" spans="2:4" s="54" customFormat="1" x14ac:dyDescent="0.2">
      <c r="B1505" s="107" t="s">
        <v>1662</v>
      </c>
      <c r="C1505" s="55" t="s">
        <v>1663</v>
      </c>
      <c r="D1505" s="56" t="s">
        <v>1670</v>
      </c>
    </row>
    <row r="1506" spans="2:4" s="54" customFormat="1" x14ac:dyDescent="0.2">
      <c r="B1506" s="107" t="s">
        <v>1662</v>
      </c>
      <c r="C1506" s="55" t="s">
        <v>1663</v>
      </c>
      <c r="D1506" s="56" t="s">
        <v>1671</v>
      </c>
    </row>
    <row r="1507" spans="2:4" s="54" customFormat="1" x14ac:dyDescent="0.2">
      <c r="B1507" s="107" t="s">
        <v>1662</v>
      </c>
      <c r="C1507" s="55" t="s">
        <v>1663</v>
      </c>
      <c r="D1507" s="56" t="s">
        <v>1672</v>
      </c>
    </row>
    <row r="1508" spans="2:4" s="54" customFormat="1" x14ac:dyDescent="0.2">
      <c r="B1508" s="107" t="s">
        <v>1662</v>
      </c>
      <c r="C1508" s="55" t="s">
        <v>1663</v>
      </c>
      <c r="D1508" s="56" t="s">
        <v>1673</v>
      </c>
    </row>
    <row r="1509" spans="2:4" s="54" customFormat="1" x14ac:dyDescent="0.2">
      <c r="B1509" s="107" t="s">
        <v>1674</v>
      </c>
      <c r="C1509" s="55" t="s">
        <v>1675</v>
      </c>
      <c r="D1509" s="56" t="s">
        <v>1676</v>
      </c>
    </row>
    <row r="1510" spans="2:4" s="54" customFormat="1" x14ac:dyDescent="0.2">
      <c r="B1510" s="107" t="s">
        <v>1674</v>
      </c>
      <c r="C1510" s="55" t="s">
        <v>1675</v>
      </c>
      <c r="D1510" s="56" t="s">
        <v>1677</v>
      </c>
    </row>
    <row r="1511" spans="2:4" s="54" customFormat="1" x14ac:dyDescent="0.2">
      <c r="B1511" s="107" t="s">
        <v>1674</v>
      </c>
      <c r="C1511" s="55" t="s">
        <v>1675</v>
      </c>
      <c r="D1511" s="56" t="s">
        <v>1678</v>
      </c>
    </row>
    <row r="1512" spans="2:4" s="54" customFormat="1" x14ac:dyDescent="0.2">
      <c r="B1512" s="107" t="s">
        <v>1674</v>
      </c>
      <c r="C1512" s="55" t="s">
        <v>1675</v>
      </c>
      <c r="D1512" s="56" t="s">
        <v>1679</v>
      </c>
    </row>
    <row r="1513" spans="2:4" s="54" customFormat="1" x14ac:dyDescent="0.2">
      <c r="B1513" s="107" t="s">
        <v>1674</v>
      </c>
      <c r="C1513" s="55" t="s">
        <v>1675</v>
      </c>
      <c r="D1513" s="56" t="s">
        <v>1680</v>
      </c>
    </row>
    <row r="1514" spans="2:4" s="54" customFormat="1" x14ac:dyDescent="0.2">
      <c r="B1514" s="107" t="s">
        <v>1674</v>
      </c>
      <c r="C1514" s="55" t="s">
        <v>1675</v>
      </c>
      <c r="D1514" s="56" t="s">
        <v>1681</v>
      </c>
    </row>
    <row r="1515" spans="2:4" s="54" customFormat="1" x14ac:dyDescent="0.2">
      <c r="B1515" s="107" t="s">
        <v>1674</v>
      </c>
      <c r="C1515" s="55" t="s">
        <v>1675</v>
      </c>
      <c r="D1515" s="56" t="s">
        <v>1682</v>
      </c>
    </row>
    <row r="1516" spans="2:4" s="54" customFormat="1" x14ac:dyDescent="0.2">
      <c r="B1516" s="107" t="s">
        <v>1674</v>
      </c>
      <c r="C1516" s="55" t="s">
        <v>1675</v>
      </c>
      <c r="D1516" s="56" t="s">
        <v>1683</v>
      </c>
    </row>
    <row r="1517" spans="2:4" s="54" customFormat="1" x14ac:dyDescent="0.2">
      <c r="B1517" s="107" t="s">
        <v>1674</v>
      </c>
      <c r="C1517" s="55" t="s">
        <v>1675</v>
      </c>
      <c r="D1517" s="56" t="s">
        <v>1684</v>
      </c>
    </row>
    <row r="1518" spans="2:4" s="54" customFormat="1" x14ac:dyDescent="0.2">
      <c r="B1518" s="107" t="s">
        <v>1674</v>
      </c>
      <c r="C1518" s="55" t="s">
        <v>1675</v>
      </c>
      <c r="D1518" s="56" t="s">
        <v>1685</v>
      </c>
    </row>
    <row r="1519" spans="2:4" s="54" customFormat="1" x14ac:dyDescent="0.2">
      <c r="B1519" s="107" t="s">
        <v>1674</v>
      </c>
      <c r="C1519" s="55" t="s">
        <v>1675</v>
      </c>
      <c r="D1519" s="56" t="s">
        <v>1686</v>
      </c>
    </row>
    <row r="1520" spans="2:4" s="54" customFormat="1" x14ac:dyDescent="0.2">
      <c r="B1520" s="107" t="s">
        <v>1674</v>
      </c>
      <c r="C1520" s="55" t="s">
        <v>1675</v>
      </c>
      <c r="D1520" s="56" t="s">
        <v>1687</v>
      </c>
    </row>
    <row r="1521" spans="2:4" s="54" customFormat="1" x14ac:dyDescent="0.2">
      <c r="B1521" s="107" t="s">
        <v>1674</v>
      </c>
      <c r="C1521" s="55" t="s">
        <v>1675</v>
      </c>
      <c r="D1521" s="56" t="s">
        <v>1688</v>
      </c>
    </row>
    <row r="1522" spans="2:4" s="54" customFormat="1" x14ac:dyDescent="0.2">
      <c r="B1522" s="107" t="s">
        <v>1674</v>
      </c>
      <c r="C1522" s="55" t="s">
        <v>1675</v>
      </c>
      <c r="D1522" s="56" t="s">
        <v>1689</v>
      </c>
    </row>
    <row r="1523" spans="2:4" s="54" customFormat="1" x14ac:dyDescent="0.2">
      <c r="B1523" s="107" t="s">
        <v>1674</v>
      </c>
      <c r="C1523" s="55" t="s">
        <v>1675</v>
      </c>
      <c r="D1523" s="56" t="s">
        <v>1690</v>
      </c>
    </row>
    <row r="1524" spans="2:4" s="54" customFormat="1" x14ac:dyDescent="0.2">
      <c r="B1524" s="107" t="s">
        <v>1691</v>
      </c>
      <c r="C1524" s="55" t="s">
        <v>1692</v>
      </c>
      <c r="D1524" s="56" t="s">
        <v>1693</v>
      </c>
    </row>
    <row r="1525" spans="2:4" s="54" customFormat="1" x14ac:dyDescent="0.2">
      <c r="B1525" s="107" t="s">
        <v>1691</v>
      </c>
      <c r="C1525" s="55" t="s">
        <v>1692</v>
      </c>
      <c r="D1525" s="56" t="s">
        <v>1694</v>
      </c>
    </row>
    <row r="1526" spans="2:4" s="54" customFormat="1" x14ac:dyDescent="0.2">
      <c r="B1526" s="107" t="s">
        <v>1691</v>
      </c>
      <c r="C1526" s="55" t="s">
        <v>1692</v>
      </c>
      <c r="D1526" s="56" t="s">
        <v>1695</v>
      </c>
    </row>
    <row r="1527" spans="2:4" s="54" customFormat="1" x14ac:dyDescent="0.2">
      <c r="B1527" s="107" t="s">
        <v>1691</v>
      </c>
      <c r="C1527" s="55" t="s">
        <v>1692</v>
      </c>
      <c r="D1527" s="56" t="s">
        <v>1696</v>
      </c>
    </row>
    <row r="1528" spans="2:4" s="54" customFormat="1" x14ac:dyDescent="0.2">
      <c r="B1528" s="107" t="s">
        <v>1691</v>
      </c>
      <c r="C1528" s="55" t="s">
        <v>1692</v>
      </c>
      <c r="D1528" s="56" t="s">
        <v>1697</v>
      </c>
    </row>
    <row r="1529" spans="2:4" s="54" customFormat="1" x14ac:dyDescent="0.2">
      <c r="B1529" s="107" t="s">
        <v>1691</v>
      </c>
      <c r="C1529" s="55" t="s">
        <v>1692</v>
      </c>
      <c r="D1529" s="56" t="s">
        <v>1698</v>
      </c>
    </row>
    <row r="1530" spans="2:4" s="54" customFormat="1" x14ac:dyDescent="0.2">
      <c r="B1530" s="107" t="s">
        <v>1691</v>
      </c>
      <c r="C1530" s="55" t="s">
        <v>1692</v>
      </c>
      <c r="D1530" s="56" t="s">
        <v>1699</v>
      </c>
    </row>
    <row r="1531" spans="2:4" s="54" customFormat="1" x14ac:dyDescent="0.2">
      <c r="B1531" s="107" t="s">
        <v>1700</v>
      </c>
      <c r="C1531" s="55" t="s">
        <v>1701</v>
      </c>
      <c r="D1531" s="56" t="s">
        <v>1702</v>
      </c>
    </row>
    <row r="1532" spans="2:4" s="54" customFormat="1" x14ac:dyDescent="0.2">
      <c r="B1532" s="107" t="s">
        <v>1700</v>
      </c>
      <c r="C1532" s="55" t="s">
        <v>1701</v>
      </c>
      <c r="D1532" s="56" t="s">
        <v>1703</v>
      </c>
    </row>
    <row r="1533" spans="2:4" s="54" customFormat="1" x14ac:dyDescent="0.2">
      <c r="B1533" s="107" t="s">
        <v>1700</v>
      </c>
      <c r="C1533" s="55" t="s">
        <v>1701</v>
      </c>
      <c r="D1533" s="56" t="s">
        <v>1704</v>
      </c>
    </row>
    <row r="1534" spans="2:4" s="54" customFormat="1" x14ac:dyDescent="0.2">
      <c r="B1534" s="107" t="s">
        <v>1700</v>
      </c>
      <c r="C1534" s="55" t="s">
        <v>1701</v>
      </c>
      <c r="D1534" s="56" t="s">
        <v>1705</v>
      </c>
    </row>
    <row r="1535" spans="2:4" s="54" customFormat="1" x14ac:dyDescent="0.2">
      <c r="B1535" s="107" t="s">
        <v>1700</v>
      </c>
      <c r="C1535" s="55" t="s">
        <v>1701</v>
      </c>
      <c r="D1535" s="56" t="s">
        <v>1706</v>
      </c>
    </row>
    <row r="1536" spans="2:4" s="54" customFormat="1" x14ac:dyDescent="0.2">
      <c r="B1536" s="107" t="s">
        <v>1700</v>
      </c>
      <c r="C1536" s="55" t="s">
        <v>1701</v>
      </c>
      <c r="D1536" s="56" t="s">
        <v>1707</v>
      </c>
    </row>
    <row r="1537" spans="2:4" s="54" customFormat="1" x14ac:dyDescent="0.2">
      <c r="B1537" s="107" t="s">
        <v>1700</v>
      </c>
      <c r="C1537" s="55" t="s">
        <v>1701</v>
      </c>
      <c r="D1537" s="56" t="s">
        <v>1708</v>
      </c>
    </row>
    <row r="1538" spans="2:4" s="54" customFormat="1" x14ac:dyDescent="0.2">
      <c r="B1538" s="107" t="s">
        <v>1700</v>
      </c>
      <c r="C1538" s="55" t="s">
        <v>1701</v>
      </c>
      <c r="D1538" s="56" t="s">
        <v>1709</v>
      </c>
    </row>
    <row r="1539" spans="2:4" s="54" customFormat="1" x14ac:dyDescent="0.2">
      <c r="B1539" s="107" t="s">
        <v>1700</v>
      </c>
      <c r="C1539" s="55" t="s">
        <v>1701</v>
      </c>
      <c r="D1539" s="56" t="s">
        <v>1710</v>
      </c>
    </row>
    <row r="1540" spans="2:4" s="54" customFormat="1" x14ac:dyDescent="0.2">
      <c r="B1540" s="107" t="s">
        <v>1700</v>
      </c>
      <c r="C1540" s="55" t="s">
        <v>1701</v>
      </c>
      <c r="D1540" s="56" t="s">
        <v>1711</v>
      </c>
    </row>
    <row r="1541" spans="2:4" s="54" customFormat="1" x14ac:dyDescent="0.2">
      <c r="B1541" s="107" t="s">
        <v>1712</v>
      </c>
      <c r="C1541" s="55" t="s">
        <v>1713</v>
      </c>
      <c r="D1541" s="56" t="s">
        <v>1713</v>
      </c>
    </row>
    <row r="1542" spans="2:4" s="54" customFormat="1" x14ac:dyDescent="0.2">
      <c r="B1542" s="107" t="s">
        <v>1714</v>
      </c>
      <c r="C1542" s="55" t="s">
        <v>1715</v>
      </c>
      <c r="D1542" s="56" t="s">
        <v>1716</v>
      </c>
    </row>
    <row r="1543" spans="2:4" s="54" customFormat="1" x14ac:dyDescent="0.2">
      <c r="B1543" s="107" t="s">
        <v>1714</v>
      </c>
      <c r="C1543" s="55" t="s">
        <v>1715</v>
      </c>
      <c r="D1543" s="56" t="s">
        <v>1717</v>
      </c>
    </row>
    <row r="1544" spans="2:4" s="54" customFormat="1" x14ac:dyDescent="0.2">
      <c r="B1544" s="107" t="s">
        <v>1714</v>
      </c>
      <c r="C1544" s="55" t="s">
        <v>1715</v>
      </c>
      <c r="D1544" s="56" t="s">
        <v>1718</v>
      </c>
    </row>
    <row r="1545" spans="2:4" s="54" customFormat="1" x14ac:dyDescent="0.2">
      <c r="B1545" s="107" t="s">
        <v>1714</v>
      </c>
      <c r="C1545" s="55" t="s">
        <v>1715</v>
      </c>
      <c r="D1545" s="56" t="s">
        <v>1719</v>
      </c>
    </row>
    <row r="1546" spans="2:4" s="54" customFormat="1" x14ac:dyDescent="0.2">
      <c r="B1546" s="107" t="s">
        <v>1714</v>
      </c>
      <c r="C1546" s="55" t="s">
        <v>1715</v>
      </c>
      <c r="D1546" s="56" t="s">
        <v>1720</v>
      </c>
    </row>
    <row r="1547" spans="2:4" s="54" customFormat="1" x14ac:dyDescent="0.2">
      <c r="B1547" s="107" t="s">
        <v>1714</v>
      </c>
      <c r="C1547" s="55" t="s">
        <v>1715</v>
      </c>
      <c r="D1547" s="56" t="s">
        <v>1721</v>
      </c>
    </row>
    <row r="1548" spans="2:4" s="54" customFormat="1" x14ac:dyDescent="0.2">
      <c r="B1548" s="107" t="s">
        <v>1714</v>
      </c>
      <c r="C1548" s="55" t="s">
        <v>1715</v>
      </c>
      <c r="D1548" s="56" t="s">
        <v>1722</v>
      </c>
    </row>
    <row r="1549" spans="2:4" s="54" customFormat="1" x14ac:dyDescent="0.2">
      <c r="B1549" s="107" t="s">
        <v>1714</v>
      </c>
      <c r="C1549" s="55" t="s">
        <v>1715</v>
      </c>
      <c r="D1549" s="56" t="s">
        <v>1723</v>
      </c>
    </row>
    <row r="1550" spans="2:4" s="54" customFormat="1" x14ac:dyDescent="0.2">
      <c r="B1550" s="107" t="s">
        <v>1714</v>
      </c>
      <c r="C1550" s="55" t="s">
        <v>1715</v>
      </c>
      <c r="D1550" s="56" t="s">
        <v>1724</v>
      </c>
    </row>
    <row r="1551" spans="2:4" s="54" customFormat="1" x14ac:dyDescent="0.2">
      <c r="B1551" s="107" t="s">
        <v>1714</v>
      </c>
      <c r="C1551" s="55" t="s">
        <v>1715</v>
      </c>
      <c r="D1551" s="56" t="s">
        <v>1725</v>
      </c>
    </row>
    <row r="1552" spans="2:4" s="54" customFormat="1" x14ac:dyDescent="0.2">
      <c r="B1552" s="107" t="s">
        <v>1714</v>
      </c>
      <c r="C1552" s="55" t="s">
        <v>1715</v>
      </c>
      <c r="D1552" s="56" t="s">
        <v>1726</v>
      </c>
    </row>
    <row r="1553" spans="2:4" s="54" customFormat="1" x14ac:dyDescent="0.2">
      <c r="B1553" s="107" t="s">
        <v>1714</v>
      </c>
      <c r="C1553" s="55" t="s">
        <v>1715</v>
      </c>
      <c r="D1553" s="56" t="s">
        <v>1727</v>
      </c>
    </row>
    <row r="1554" spans="2:4" s="54" customFormat="1" x14ac:dyDescent="0.2">
      <c r="B1554" s="107" t="s">
        <v>1714</v>
      </c>
      <c r="C1554" s="55" t="s">
        <v>1715</v>
      </c>
      <c r="D1554" s="56" t="s">
        <v>1728</v>
      </c>
    </row>
    <row r="1555" spans="2:4" s="54" customFormat="1" x14ac:dyDescent="0.2">
      <c r="B1555" s="107" t="s">
        <v>1714</v>
      </c>
      <c r="C1555" s="55" t="s">
        <v>1715</v>
      </c>
      <c r="D1555" s="56" t="s">
        <v>1729</v>
      </c>
    </row>
    <row r="1556" spans="2:4" s="54" customFormat="1" x14ac:dyDescent="0.2">
      <c r="B1556" s="107" t="s">
        <v>1714</v>
      </c>
      <c r="C1556" s="55" t="s">
        <v>1715</v>
      </c>
      <c r="D1556" s="56" t="s">
        <v>1730</v>
      </c>
    </row>
    <row r="1557" spans="2:4" s="54" customFormat="1" x14ac:dyDescent="0.2">
      <c r="B1557" s="107" t="s">
        <v>1714</v>
      </c>
      <c r="C1557" s="55" t="s">
        <v>1715</v>
      </c>
      <c r="D1557" s="56" t="s">
        <v>1731</v>
      </c>
    </row>
    <row r="1558" spans="2:4" s="54" customFormat="1" x14ac:dyDescent="0.2">
      <c r="B1558" s="107" t="s">
        <v>1714</v>
      </c>
      <c r="C1558" s="55" t="s">
        <v>1715</v>
      </c>
      <c r="D1558" s="56" t="s">
        <v>1732</v>
      </c>
    </row>
    <row r="1559" spans="2:4" s="54" customFormat="1" x14ac:dyDescent="0.2">
      <c r="B1559" s="107" t="s">
        <v>1714</v>
      </c>
      <c r="C1559" s="55" t="s">
        <v>1715</v>
      </c>
      <c r="D1559" s="56" t="s">
        <v>453</v>
      </c>
    </row>
    <row r="1560" spans="2:4" s="54" customFormat="1" x14ac:dyDescent="0.2">
      <c r="B1560" s="107" t="s">
        <v>1714</v>
      </c>
      <c r="C1560" s="55" t="s">
        <v>1715</v>
      </c>
      <c r="D1560" s="56" t="s">
        <v>1215</v>
      </c>
    </row>
    <row r="1561" spans="2:4" s="54" customFormat="1" x14ac:dyDescent="0.2">
      <c r="B1561" s="107" t="s">
        <v>1714</v>
      </c>
      <c r="C1561" s="55" t="s">
        <v>1715</v>
      </c>
      <c r="D1561" s="56" t="s">
        <v>1733</v>
      </c>
    </row>
    <row r="1562" spans="2:4" s="54" customFormat="1" x14ac:dyDescent="0.2">
      <c r="B1562" s="107" t="s">
        <v>1714</v>
      </c>
      <c r="C1562" s="55" t="s">
        <v>1715</v>
      </c>
      <c r="D1562" s="56" t="s">
        <v>1734</v>
      </c>
    </row>
    <row r="1563" spans="2:4" s="54" customFormat="1" x14ac:dyDescent="0.2">
      <c r="B1563" s="107" t="s">
        <v>1714</v>
      </c>
      <c r="C1563" s="55" t="s">
        <v>1715</v>
      </c>
      <c r="D1563" s="56" t="s">
        <v>1735</v>
      </c>
    </row>
    <row r="1564" spans="2:4" s="54" customFormat="1" x14ac:dyDescent="0.2">
      <c r="B1564" s="107" t="s">
        <v>1736</v>
      </c>
      <c r="C1564" s="55" t="s">
        <v>1737</v>
      </c>
      <c r="D1564" s="56" t="s">
        <v>1039</v>
      </c>
    </row>
    <row r="1565" spans="2:4" s="54" customFormat="1" x14ac:dyDescent="0.2">
      <c r="B1565" s="107" t="s">
        <v>1736</v>
      </c>
      <c r="C1565" s="55" t="s">
        <v>1737</v>
      </c>
      <c r="D1565" s="56" t="s">
        <v>273</v>
      </c>
    </row>
    <row r="1566" spans="2:4" s="54" customFormat="1" x14ac:dyDescent="0.2">
      <c r="B1566" s="107" t="s">
        <v>1736</v>
      </c>
      <c r="C1566" s="55" t="s">
        <v>1737</v>
      </c>
      <c r="D1566" s="56" t="s">
        <v>274</v>
      </c>
    </row>
    <row r="1567" spans="2:4" s="54" customFormat="1" x14ac:dyDescent="0.2">
      <c r="B1567" s="107" t="s">
        <v>1738</v>
      </c>
      <c r="C1567" s="55" t="s">
        <v>1739</v>
      </c>
      <c r="D1567" s="56" t="s">
        <v>1740</v>
      </c>
    </row>
    <row r="1568" spans="2:4" s="54" customFormat="1" x14ac:dyDescent="0.2">
      <c r="B1568" s="107" t="s">
        <v>1738</v>
      </c>
      <c r="C1568" s="55" t="s">
        <v>1739</v>
      </c>
      <c r="D1568" s="56" t="s">
        <v>1741</v>
      </c>
    </row>
    <row r="1569" spans="2:4" s="54" customFormat="1" x14ac:dyDescent="0.2">
      <c r="B1569" s="107" t="s">
        <v>1738</v>
      </c>
      <c r="C1569" s="55" t="s">
        <v>1739</v>
      </c>
      <c r="D1569" s="56" t="s">
        <v>1742</v>
      </c>
    </row>
    <row r="1570" spans="2:4" s="54" customFormat="1" x14ac:dyDescent="0.2">
      <c r="B1570" s="107" t="s">
        <v>1738</v>
      </c>
      <c r="C1570" s="55" t="s">
        <v>1739</v>
      </c>
      <c r="D1570" s="56" t="s">
        <v>1743</v>
      </c>
    </row>
    <row r="1571" spans="2:4" s="54" customFormat="1" x14ac:dyDescent="0.2">
      <c r="B1571" s="107" t="s">
        <v>1738</v>
      </c>
      <c r="C1571" s="55" t="s">
        <v>1739</v>
      </c>
      <c r="D1571" s="56" t="s">
        <v>1744</v>
      </c>
    </row>
    <row r="1572" spans="2:4" s="54" customFormat="1" x14ac:dyDescent="0.2">
      <c r="B1572" s="107" t="s">
        <v>1738</v>
      </c>
      <c r="C1572" s="55" t="s">
        <v>1739</v>
      </c>
      <c r="D1572" s="56" t="s">
        <v>1745</v>
      </c>
    </row>
    <row r="1573" spans="2:4" s="54" customFormat="1" x14ac:dyDescent="0.2">
      <c r="B1573" s="107" t="s">
        <v>1738</v>
      </c>
      <c r="C1573" s="55" t="s">
        <v>1739</v>
      </c>
      <c r="D1573" s="56" t="s">
        <v>1746</v>
      </c>
    </row>
    <row r="1574" spans="2:4" s="54" customFormat="1" x14ac:dyDescent="0.2">
      <c r="B1574" s="107" t="s">
        <v>1738</v>
      </c>
      <c r="C1574" s="55" t="s">
        <v>1739</v>
      </c>
      <c r="D1574" s="56" t="s">
        <v>1747</v>
      </c>
    </row>
    <row r="1575" spans="2:4" s="54" customFormat="1" x14ac:dyDescent="0.2">
      <c r="B1575" s="107" t="s">
        <v>1738</v>
      </c>
      <c r="C1575" s="55" t="s">
        <v>1739</v>
      </c>
      <c r="D1575" s="56" t="s">
        <v>1748</v>
      </c>
    </row>
    <row r="1576" spans="2:4" s="54" customFormat="1" x14ac:dyDescent="0.2">
      <c r="B1576" s="107" t="s">
        <v>1738</v>
      </c>
      <c r="C1576" s="55" t="s">
        <v>1739</v>
      </c>
      <c r="D1576" s="56" t="s">
        <v>1749</v>
      </c>
    </row>
    <row r="1577" spans="2:4" s="54" customFormat="1" x14ac:dyDescent="0.2">
      <c r="B1577" s="107" t="s">
        <v>1738</v>
      </c>
      <c r="C1577" s="55" t="s">
        <v>1739</v>
      </c>
      <c r="D1577" s="56" t="s">
        <v>1750</v>
      </c>
    </row>
    <row r="1578" spans="2:4" s="54" customFormat="1" x14ac:dyDescent="0.2">
      <c r="B1578" s="107" t="s">
        <v>1738</v>
      </c>
      <c r="C1578" s="55" t="s">
        <v>1739</v>
      </c>
      <c r="D1578" s="56" t="s">
        <v>1751</v>
      </c>
    </row>
    <row r="1579" spans="2:4" s="54" customFormat="1" x14ac:dyDescent="0.2">
      <c r="B1579" s="107" t="s">
        <v>1738</v>
      </c>
      <c r="C1579" s="55" t="s">
        <v>1739</v>
      </c>
      <c r="D1579" s="56" t="s">
        <v>1752</v>
      </c>
    </row>
    <row r="1580" spans="2:4" s="54" customFormat="1" x14ac:dyDescent="0.2">
      <c r="B1580" s="107" t="s">
        <v>1738</v>
      </c>
      <c r="C1580" s="55" t="s">
        <v>1739</v>
      </c>
      <c r="D1580" s="56" t="s">
        <v>1753</v>
      </c>
    </row>
    <row r="1581" spans="2:4" s="54" customFormat="1" x14ac:dyDescent="0.2">
      <c r="B1581" s="107" t="s">
        <v>1738</v>
      </c>
      <c r="C1581" s="55" t="s">
        <v>1739</v>
      </c>
      <c r="D1581" s="56" t="s">
        <v>1754</v>
      </c>
    </row>
    <row r="1582" spans="2:4" s="54" customFormat="1" x14ac:dyDescent="0.2">
      <c r="B1582" s="107" t="s">
        <v>1738</v>
      </c>
      <c r="C1582" s="55" t="s">
        <v>1739</v>
      </c>
      <c r="D1582" s="56" t="s">
        <v>1755</v>
      </c>
    </row>
    <row r="1583" spans="2:4" s="54" customFormat="1" x14ac:dyDescent="0.2">
      <c r="B1583" s="107" t="s">
        <v>1756</v>
      </c>
      <c r="C1583" s="55" t="s">
        <v>1757</v>
      </c>
      <c r="D1583" s="56" t="s">
        <v>1758</v>
      </c>
    </row>
    <row r="1584" spans="2:4" s="54" customFormat="1" x14ac:dyDescent="0.2">
      <c r="B1584" s="107" t="s">
        <v>1756</v>
      </c>
      <c r="C1584" s="55" t="s">
        <v>1757</v>
      </c>
      <c r="D1584" s="56" t="s">
        <v>1759</v>
      </c>
    </row>
    <row r="1585" spans="2:4" s="54" customFormat="1" x14ac:dyDescent="0.2">
      <c r="B1585" s="107" t="s">
        <v>1756</v>
      </c>
      <c r="C1585" s="55" t="s">
        <v>1757</v>
      </c>
      <c r="D1585" s="56" t="s">
        <v>1760</v>
      </c>
    </row>
    <row r="1586" spans="2:4" s="54" customFormat="1" x14ac:dyDescent="0.2">
      <c r="B1586" s="107" t="s">
        <v>1756</v>
      </c>
      <c r="C1586" s="55" t="s">
        <v>1757</v>
      </c>
      <c r="D1586" s="56" t="s">
        <v>1761</v>
      </c>
    </row>
    <row r="1587" spans="2:4" s="54" customFormat="1" x14ac:dyDescent="0.2">
      <c r="B1587" s="107" t="s">
        <v>1756</v>
      </c>
      <c r="C1587" s="55" t="s">
        <v>1757</v>
      </c>
      <c r="D1587" s="56" t="s">
        <v>1762</v>
      </c>
    </row>
    <row r="1588" spans="2:4" s="54" customFormat="1" x14ac:dyDescent="0.2">
      <c r="B1588" s="107" t="s">
        <v>1756</v>
      </c>
      <c r="C1588" s="55" t="s">
        <v>1757</v>
      </c>
      <c r="D1588" s="56" t="s">
        <v>1763</v>
      </c>
    </row>
    <row r="1589" spans="2:4" s="54" customFormat="1" x14ac:dyDescent="0.2">
      <c r="B1589" s="107" t="s">
        <v>1756</v>
      </c>
      <c r="C1589" s="55" t="s">
        <v>1757</v>
      </c>
      <c r="D1589" s="56" t="s">
        <v>1764</v>
      </c>
    </row>
    <row r="1590" spans="2:4" s="54" customFormat="1" x14ac:dyDescent="0.2">
      <c r="B1590" s="107" t="s">
        <v>1756</v>
      </c>
      <c r="C1590" s="55" t="s">
        <v>1757</v>
      </c>
      <c r="D1590" s="56" t="s">
        <v>1765</v>
      </c>
    </row>
    <row r="1591" spans="2:4" s="54" customFormat="1" x14ac:dyDescent="0.2">
      <c r="B1591" s="107" t="s">
        <v>1756</v>
      </c>
      <c r="C1591" s="55" t="s">
        <v>1757</v>
      </c>
      <c r="D1591" s="56" t="s">
        <v>1766</v>
      </c>
    </row>
    <row r="1592" spans="2:4" s="54" customFormat="1" x14ac:dyDescent="0.2">
      <c r="B1592" s="107" t="s">
        <v>1756</v>
      </c>
      <c r="C1592" s="55" t="s">
        <v>1757</v>
      </c>
      <c r="D1592" s="56" t="s">
        <v>1767</v>
      </c>
    </row>
    <row r="1593" spans="2:4" s="54" customFormat="1" x14ac:dyDescent="0.2">
      <c r="B1593" s="107" t="s">
        <v>1756</v>
      </c>
      <c r="C1593" s="55" t="s">
        <v>1757</v>
      </c>
      <c r="D1593" s="56" t="s">
        <v>1768</v>
      </c>
    </row>
    <row r="1594" spans="2:4" s="54" customFormat="1" x14ac:dyDescent="0.2">
      <c r="B1594" s="107" t="s">
        <v>1756</v>
      </c>
      <c r="C1594" s="55" t="s">
        <v>1757</v>
      </c>
      <c r="D1594" s="56" t="s">
        <v>1769</v>
      </c>
    </row>
    <row r="1595" spans="2:4" s="54" customFormat="1" x14ac:dyDescent="0.2">
      <c r="B1595" s="107" t="s">
        <v>1756</v>
      </c>
      <c r="C1595" s="55" t="s">
        <v>1757</v>
      </c>
      <c r="D1595" s="56" t="s">
        <v>1770</v>
      </c>
    </row>
    <row r="1596" spans="2:4" s="54" customFormat="1" x14ac:dyDescent="0.2">
      <c r="B1596" s="107" t="s">
        <v>1756</v>
      </c>
      <c r="C1596" s="55" t="s">
        <v>1757</v>
      </c>
      <c r="D1596" s="56" t="s">
        <v>1771</v>
      </c>
    </row>
    <row r="1597" spans="2:4" s="54" customFormat="1" x14ac:dyDescent="0.2">
      <c r="B1597" s="107" t="s">
        <v>1756</v>
      </c>
      <c r="C1597" s="55" t="s">
        <v>1757</v>
      </c>
      <c r="D1597" s="56" t="s">
        <v>1772</v>
      </c>
    </row>
    <row r="1598" spans="2:4" s="54" customFormat="1" x14ac:dyDescent="0.2">
      <c r="B1598" s="107" t="s">
        <v>1756</v>
      </c>
      <c r="C1598" s="55" t="s">
        <v>1757</v>
      </c>
      <c r="D1598" s="56" t="s">
        <v>1773</v>
      </c>
    </row>
    <row r="1599" spans="2:4" s="54" customFormat="1" x14ac:dyDescent="0.2">
      <c r="B1599" s="107" t="s">
        <v>1756</v>
      </c>
      <c r="C1599" s="55" t="s">
        <v>1757</v>
      </c>
      <c r="D1599" s="56" t="s">
        <v>1774</v>
      </c>
    </row>
    <row r="1600" spans="2:4" s="54" customFormat="1" x14ac:dyDescent="0.2">
      <c r="B1600" s="107" t="s">
        <v>1756</v>
      </c>
      <c r="C1600" s="55" t="s">
        <v>1757</v>
      </c>
      <c r="D1600" s="56" t="s">
        <v>1775</v>
      </c>
    </row>
    <row r="1601" spans="2:4" s="54" customFormat="1" x14ac:dyDescent="0.2">
      <c r="B1601" s="107" t="s">
        <v>1756</v>
      </c>
      <c r="C1601" s="55" t="s">
        <v>1757</v>
      </c>
      <c r="D1601" s="56" t="s">
        <v>1776</v>
      </c>
    </row>
    <row r="1602" spans="2:4" s="54" customFormat="1" x14ac:dyDescent="0.2">
      <c r="B1602" s="107" t="s">
        <v>1756</v>
      </c>
      <c r="C1602" s="55" t="s">
        <v>1757</v>
      </c>
      <c r="D1602" s="56" t="s">
        <v>1777</v>
      </c>
    </row>
    <row r="1603" spans="2:4" s="54" customFormat="1" x14ac:dyDescent="0.2">
      <c r="B1603" s="107" t="s">
        <v>1778</v>
      </c>
      <c r="C1603" s="55" t="s">
        <v>1779</v>
      </c>
      <c r="D1603" s="56" t="s">
        <v>1780</v>
      </c>
    </row>
    <row r="1604" spans="2:4" s="54" customFormat="1" x14ac:dyDescent="0.2">
      <c r="B1604" s="107" t="s">
        <v>1778</v>
      </c>
      <c r="C1604" s="55" t="s">
        <v>1779</v>
      </c>
      <c r="D1604" s="56" t="s">
        <v>1781</v>
      </c>
    </row>
    <row r="1605" spans="2:4" s="54" customFormat="1" x14ac:dyDescent="0.2">
      <c r="B1605" s="107" t="s">
        <v>1778</v>
      </c>
      <c r="C1605" s="55" t="s">
        <v>1779</v>
      </c>
      <c r="D1605" s="56" t="s">
        <v>1782</v>
      </c>
    </row>
    <row r="1606" spans="2:4" s="54" customFormat="1" x14ac:dyDescent="0.2">
      <c r="B1606" s="107" t="s">
        <v>1778</v>
      </c>
      <c r="C1606" s="55" t="s">
        <v>1779</v>
      </c>
      <c r="D1606" s="56" t="s">
        <v>1783</v>
      </c>
    </row>
    <row r="1607" spans="2:4" s="54" customFormat="1" x14ac:dyDescent="0.2">
      <c r="B1607" s="107" t="s">
        <v>1778</v>
      </c>
      <c r="C1607" s="55" t="s">
        <v>1779</v>
      </c>
      <c r="D1607" s="56" t="s">
        <v>1784</v>
      </c>
    </row>
    <row r="1608" spans="2:4" s="54" customFormat="1" x14ac:dyDescent="0.2">
      <c r="B1608" s="107" t="s">
        <v>1778</v>
      </c>
      <c r="C1608" s="55" t="s">
        <v>1779</v>
      </c>
      <c r="D1608" s="56" t="s">
        <v>1785</v>
      </c>
    </row>
    <row r="1609" spans="2:4" s="54" customFormat="1" x14ac:dyDescent="0.2">
      <c r="B1609" s="107" t="s">
        <v>1778</v>
      </c>
      <c r="C1609" s="55" t="s">
        <v>1779</v>
      </c>
      <c r="D1609" s="56" t="s">
        <v>1786</v>
      </c>
    </row>
    <row r="1610" spans="2:4" s="54" customFormat="1" x14ac:dyDescent="0.2">
      <c r="B1610" s="107" t="s">
        <v>1778</v>
      </c>
      <c r="C1610" s="55" t="s">
        <v>1779</v>
      </c>
      <c r="D1610" s="56" t="s">
        <v>1787</v>
      </c>
    </row>
    <row r="1611" spans="2:4" s="54" customFormat="1" x14ac:dyDescent="0.2">
      <c r="B1611" s="107" t="s">
        <v>1778</v>
      </c>
      <c r="C1611" s="55" t="s">
        <v>1779</v>
      </c>
      <c r="D1611" s="56" t="s">
        <v>1788</v>
      </c>
    </row>
    <row r="1612" spans="2:4" s="54" customFormat="1" x14ac:dyDescent="0.2">
      <c r="B1612" s="107" t="s">
        <v>1778</v>
      </c>
      <c r="C1612" s="55" t="s">
        <v>1779</v>
      </c>
      <c r="D1612" s="56" t="s">
        <v>1789</v>
      </c>
    </row>
    <row r="1613" spans="2:4" s="54" customFormat="1" x14ac:dyDescent="0.2">
      <c r="B1613" s="107" t="s">
        <v>1778</v>
      </c>
      <c r="C1613" s="55" t="s">
        <v>1779</v>
      </c>
      <c r="D1613" s="56" t="s">
        <v>1790</v>
      </c>
    </row>
    <row r="1614" spans="2:4" s="54" customFormat="1" x14ac:dyDescent="0.2">
      <c r="B1614" s="107" t="s">
        <v>1791</v>
      </c>
      <c r="C1614" s="55" t="s">
        <v>1792</v>
      </c>
      <c r="D1614" s="56" t="s">
        <v>1793</v>
      </c>
    </row>
    <row r="1615" spans="2:4" s="54" customFormat="1" x14ac:dyDescent="0.2">
      <c r="B1615" s="107" t="s">
        <v>1791</v>
      </c>
      <c r="C1615" s="55" t="s">
        <v>1792</v>
      </c>
      <c r="D1615" s="56" t="s">
        <v>1794</v>
      </c>
    </row>
    <row r="1616" spans="2:4" s="54" customFormat="1" x14ac:dyDescent="0.2">
      <c r="B1616" s="107" t="s">
        <v>1791</v>
      </c>
      <c r="C1616" s="55" t="s">
        <v>1792</v>
      </c>
      <c r="D1616" s="56" t="s">
        <v>1795</v>
      </c>
    </row>
    <row r="1617" spans="2:4" s="54" customFormat="1" x14ac:dyDescent="0.2">
      <c r="B1617" s="107" t="s">
        <v>1791</v>
      </c>
      <c r="C1617" s="55" t="s">
        <v>1792</v>
      </c>
      <c r="D1617" s="56" t="s">
        <v>1796</v>
      </c>
    </row>
    <row r="1618" spans="2:4" s="54" customFormat="1" x14ac:dyDescent="0.2">
      <c r="B1618" s="107" t="s">
        <v>1791</v>
      </c>
      <c r="C1618" s="55" t="s">
        <v>1792</v>
      </c>
      <c r="D1618" s="56" t="s">
        <v>1797</v>
      </c>
    </row>
    <row r="1619" spans="2:4" s="54" customFormat="1" x14ac:dyDescent="0.2">
      <c r="B1619" s="107" t="s">
        <v>1791</v>
      </c>
      <c r="C1619" s="55" t="s">
        <v>1792</v>
      </c>
      <c r="D1619" s="56" t="s">
        <v>1798</v>
      </c>
    </row>
    <row r="1620" spans="2:4" s="54" customFormat="1" x14ac:dyDescent="0.2">
      <c r="B1620" s="107" t="s">
        <v>1791</v>
      </c>
      <c r="C1620" s="55" t="s">
        <v>1792</v>
      </c>
      <c r="D1620" s="56" t="s">
        <v>1799</v>
      </c>
    </row>
    <row r="1621" spans="2:4" s="54" customFormat="1" x14ac:dyDescent="0.2">
      <c r="B1621" s="107" t="s">
        <v>1791</v>
      </c>
      <c r="C1621" s="55" t="s">
        <v>1792</v>
      </c>
      <c r="D1621" s="56" t="s">
        <v>1800</v>
      </c>
    </row>
    <row r="1622" spans="2:4" s="54" customFormat="1" x14ac:dyDescent="0.2">
      <c r="B1622" s="107" t="s">
        <v>1791</v>
      </c>
      <c r="C1622" s="55" t="s">
        <v>1792</v>
      </c>
      <c r="D1622" s="56" t="s">
        <v>1801</v>
      </c>
    </row>
    <row r="1623" spans="2:4" s="54" customFormat="1" x14ac:dyDescent="0.2">
      <c r="B1623" s="107" t="s">
        <v>1791</v>
      </c>
      <c r="C1623" s="55" t="s">
        <v>1792</v>
      </c>
      <c r="D1623" s="56" t="s">
        <v>1802</v>
      </c>
    </row>
    <row r="1624" spans="2:4" s="54" customFormat="1" x14ac:dyDescent="0.2">
      <c r="B1624" s="107" t="s">
        <v>1791</v>
      </c>
      <c r="C1624" s="55" t="s">
        <v>1792</v>
      </c>
      <c r="D1624" s="56" t="s">
        <v>1803</v>
      </c>
    </row>
    <row r="1625" spans="2:4" s="54" customFormat="1" x14ac:dyDescent="0.2">
      <c r="B1625" s="107" t="s">
        <v>1791</v>
      </c>
      <c r="C1625" s="55" t="s">
        <v>1792</v>
      </c>
      <c r="D1625" s="56" t="s">
        <v>1804</v>
      </c>
    </row>
    <row r="1626" spans="2:4" s="54" customFormat="1" x14ac:dyDescent="0.2">
      <c r="B1626" s="107" t="s">
        <v>1791</v>
      </c>
      <c r="C1626" s="55" t="s">
        <v>1792</v>
      </c>
      <c r="D1626" s="56" t="s">
        <v>1805</v>
      </c>
    </row>
    <row r="1627" spans="2:4" s="54" customFormat="1" x14ac:dyDescent="0.2">
      <c r="B1627" s="107" t="s">
        <v>1791</v>
      </c>
      <c r="C1627" s="55" t="s">
        <v>1792</v>
      </c>
      <c r="D1627" s="56" t="s">
        <v>1806</v>
      </c>
    </row>
    <row r="1628" spans="2:4" s="54" customFormat="1" x14ac:dyDescent="0.2">
      <c r="B1628" s="107" t="s">
        <v>1791</v>
      </c>
      <c r="C1628" s="55" t="s">
        <v>1792</v>
      </c>
      <c r="D1628" s="56" t="s">
        <v>1807</v>
      </c>
    </row>
    <row r="1629" spans="2:4" s="54" customFormat="1" x14ac:dyDescent="0.2">
      <c r="B1629" s="107" t="s">
        <v>1791</v>
      </c>
      <c r="C1629" s="55" t="s">
        <v>1792</v>
      </c>
      <c r="D1629" s="56" t="s">
        <v>1808</v>
      </c>
    </row>
    <row r="1630" spans="2:4" s="54" customFormat="1" x14ac:dyDescent="0.2">
      <c r="B1630" s="107" t="s">
        <v>1791</v>
      </c>
      <c r="C1630" s="55" t="s">
        <v>1792</v>
      </c>
      <c r="D1630" s="56" t="s">
        <v>1809</v>
      </c>
    </row>
    <row r="1631" spans="2:4" s="54" customFormat="1" x14ac:dyDescent="0.2">
      <c r="B1631" s="107" t="s">
        <v>1791</v>
      </c>
      <c r="C1631" s="55" t="s">
        <v>1792</v>
      </c>
      <c r="D1631" s="56" t="s">
        <v>1810</v>
      </c>
    </row>
    <row r="1632" spans="2:4" s="54" customFormat="1" x14ac:dyDescent="0.2">
      <c r="B1632" s="107" t="s">
        <v>1791</v>
      </c>
      <c r="C1632" s="55" t="s">
        <v>1792</v>
      </c>
      <c r="D1632" s="56" t="s">
        <v>1811</v>
      </c>
    </row>
    <row r="1633" spans="2:4" s="54" customFormat="1" x14ac:dyDescent="0.2">
      <c r="B1633" s="107" t="s">
        <v>1791</v>
      </c>
      <c r="C1633" s="55" t="s">
        <v>1792</v>
      </c>
      <c r="D1633" s="56" t="s">
        <v>1812</v>
      </c>
    </row>
    <row r="1634" spans="2:4" s="54" customFormat="1" x14ac:dyDescent="0.2">
      <c r="B1634" s="107" t="s">
        <v>1791</v>
      </c>
      <c r="C1634" s="55" t="s">
        <v>1792</v>
      </c>
      <c r="D1634" s="56" t="s">
        <v>1813</v>
      </c>
    </row>
    <row r="1635" spans="2:4" s="54" customFormat="1" x14ac:dyDescent="0.2">
      <c r="B1635" s="107" t="s">
        <v>1791</v>
      </c>
      <c r="C1635" s="55" t="s">
        <v>1792</v>
      </c>
      <c r="D1635" s="56" t="s">
        <v>1814</v>
      </c>
    </row>
    <row r="1636" spans="2:4" s="54" customFormat="1" x14ac:dyDescent="0.2">
      <c r="B1636" s="107" t="s">
        <v>1791</v>
      </c>
      <c r="C1636" s="55" t="s">
        <v>1792</v>
      </c>
      <c r="D1636" s="56" t="s">
        <v>1815</v>
      </c>
    </row>
    <row r="1637" spans="2:4" s="54" customFormat="1" x14ac:dyDescent="0.2">
      <c r="B1637" s="107" t="s">
        <v>1791</v>
      </c>
      <c r="C1637" s="55" t="s">
        <v>1792</v>
      </c>
      <c r="D1637" s="56" t="s">
        <v>1816</v>
      </c>
    </row>
    <row r="1638" spans="2:4" s="54" customFormat="1" x14ac:dyDescent="0.2">
      <c r="B1638" s="107" t="s">
        <v>1791</v>
      </c>
      <c r="C1638" s="55" t="s">
        <v>1792</v>
      </c>
      <c r="D1638" s="56" t="s">
        <v>1817</v>
      </c>
    </row>
    <row r="1639" spans="2:4" s="54" customFormat="1" x14ac:dyDescent="0.2">
      <c r="B1639" s="107" t="s">
        <v>1791</v>
      </c>
      <c r="C1639" s="55" t="s">
        <v>1792</v>
      </c>
      <c r="D1639" s="56" t="s">
        <v>1818</v>
      </c>
    </row>
    <row r="1640" spans="2:4" s="54" customFormat="1" x14ac:dyDescent="0.2">
      <c r="B1640" s="107" t="s">
        <v>1791</v>
      </c>
      <c r="C1640" s="55" t="s">
        <v>1792</v>
      </c>
      <c r="D1640" s="56" t="s">
        <v>1819</v>
      </c>
    </row>
    <row r="1641" spans="2:4" s="54" customFormat="1" x14ac:dyDescent="0.2">
      <c r="B1641" s="107" t="s">
        <v>1791</v>
      </c>
      <c r="C1641" s="55" t="s">
        <v>1792</v>
      </c>
      <c r="D1641" s="56" t="s">
        <v>1820</v>
      </c>
    </row>
    <row r="1642" spans="2:4" s="54" customFormat="1" x14ac:dyDescent="0.2">
      <c r="B1642" s="107" t="s">
        <v>1791</v>
      </c>
      <c r="C1642" s="55" t="s">
        <v>1792</v>
      </c>
      <c r="D1642" s="56" t="s">
        <v>1821</v>
      </c>
    </row>
    <row r="1643" spans="2:4" s="54" customFormat="1" x14ac:dyDescent="0.2">
      <c r="B1643" s="107" t="s">
        <v>1791</v>
      </c>
      <c r="C1643" s="55" t="s">
        <v>1792</v>
      </c>
      <c r="D1643" s="56" t="s">
        <v>1822</v>
      </c>
    </row>
    <row r="1644" spans="2:4" s="54" customFormat="1" x14ac:dyDescent="0.2">
      <c r="B1644" s="107" t="s">
        <v>1791</v>
      </c>
      <c r="C1644" s="55" t="s">
        <v>1792</v>
      </c>
      <c r="D1644" s="56" t="s">
        <v>1823</v>
      </c>
    </row>
    <row r="1645" spans="2:4" s="54" customFormat="1" x14ac:dyDescent="0.2">
      <c r="B1645" s="107" t="s">
        <v>1791</v>
      </c>
      <c r="C1645" s="55" t="s">
        <v>1792</v>
      </c>
      <c r="D1645" s="56" t="s">
        <v>1824</v>
      </c>
    </row>
    <row r="1646" spans="2:4" s="54" customFormat="1" x14ac:dyDescent="0.2">
      <c r="B1646" s="107" t="s">
        <v>1791</v>
      </c>
      <c r="C1646" s="55" t="s">
        <v>1792</v>
      </c>
      <c r="D1646" s="56" t="s">
        <v>1825</v>
      </c>
    </row>
    <row r="1647" spans="2:4" s="54" customFormat="1" x14ac:dyDescent="0.2">
      <c r="B1647" s="107" t="s">
        <v>1791</v>
      </c>
      <c r="C1647" s="55" t="s">
        <v>1792</v>
      </c>
      <c r="D1647" s="56" t="s">
        <v>1826</v>
      </c>
    </row>
    <row r="1648" spans="2:4" s="54" customFormat="1" x14ac:dyDescent="0.2">
      <c r="B1648" s="107" t="s">
        <v>1791</v>
      </c>
      <c r="C1648" s="55" t="s">
        <v>1792</v>
      </c>
      <c r="D1648" s="56" t="s">
        <v>1827</v>
      </c>
    </row>
    <row r="1649" spans="2:4" s="54" customFormat="1" x14ac:dyDescent="0.2">
      <c r="B1649" s="107" t="s">
        <v>1791</v>
      </c>
      <c r="C1649" s="55" t="s">
        <v>1792</v>
      </c>
      <c r="D1649" s="56" t="s">
        <v>1828</v>
      </c>
    </row>
    <row r="1650" spans="2:4" s="54" customFormat="1" x14ac:dyDescent="0.2">
      <c r="B1650" s="107" t="s">
        <v>1791</v>
      </c>
      <c r="C1650" s="55" t="s">
        <v>1792</v>
      </c>
      <c r="D1650" s="56" t="s">
        <v>1829</v>
      </c>
    </row>
    <row r="1651" spans="2:4" s="54" customFormat="1" x14ac:dyDescent="0.2">
      <c r="B1651" s="107" t="s">
        <v>1791</v>
      </c>
      <c r="C1651" s="55" t="s">
        <v>1792</v>
      </c>
      <c r="D1651" s="56" t="s">
        <v>1830</v>
      </c>
    </row>
    <row r="1652" spans="2:4" s="54" customFormat="1" x14ac:dyDescent="0.2">
      <c r="B1652" s="107" t="s">
        <v>1791</v>
      </c>
      <c r="C1652" s="55" t="s">
        <v>1792</v>
      </c>
      <c r="D1652" s="56" t="s">
        <v>1831</v>
      </c>
    </row>
    <row r="1653" spans="2:4" s="54" customFormat="1" x14ac:dyDescent="0.2">
      <c r="B1653" s="107" t="s">
        <v>1791</v>
      </c>
      <c r="C1653" s="55" t="s">
        <v>1792</v>
      </c>
      <c r="D1653" s="56" t="s">
        <v>1832</v>
      </c>
    </row>
    <row r="1654" spans="2:4" s="54" customFormat="1" x14ac:dyDescent="0.2">
      <c r="B1654" s="107" t="s">
        <v>1791</v>
      </c>
      <c r="C1654" s="55" t="s">
        <v>1792</v>
      </c>
      <c r="D1654" s="56" t="s">
        <v>1833</v>
      </c>
    </row>
    <row r="1655" spans="2:4" s="54" customFormat="1" x14ac:dyDescent="0.2">
      <c r="B1655" s="107" t="s">
        <v>1791</v>
      </c>
      <c r="C1655" s="55" t="s">
        <v>1792</v>
      </c>
      <c r="D1655" s="56" t="s">
        <v>1834</v>
      </c>
    </row>
    <row r="1656" spans="2:4" s="54" customFormat="1" x14ac:dyDescent="0.2">
      <c r="B1656" s="107" t="s">
        <v>1791</v>
      </c>
      <c r="C1656" s="55" t="s">
        <v>1792</v>
      </c>
      <c r="D1656" s="56" t="s">
        <v>1835</v>
      </c>
    </row>
    <row r="1657" spans="2:4" s="54" customFormat="1" x14ac:dyDescent="0.2">
      <c r="B1657" s="107" t="s">
        <v>1791</v>
      </c>
      <c r="C1657" s="55" t="s">
        <v>1792</v>
      </c>
      <c r="D1657" s="56" t="s">
        <v>1836</v>
      </c>
    </row>
    <row r="1658" spans="2:4" s="54" customFormat="1" x14ac:dyDescent="0.2">
      <c r="B1658" s="107" t="s">
        <v>1791</v>
      </c>
      <c r="C1658" s="55" t="s">
        <v>1792</v>
      </c>
      <c r="D1658" s="56" t="s">
        <v>1837</v>
      </c>
    </row>
    <row r="1659" spans="2:4" s="54" customFormat="1" x14ac:dyDescent="0.2">
      <c r="B1659" s="107" t="s">
        <v>1791</v>
      </c>
      <c r="C1659" s="55" t="s">
        <v>1792</v>
      </c>
      <c r="D1659" s="56" t="s">
        <v>1838</v>
      </c>
    </row>
    <row r="1660" spans="2:4" s="54" customFormat="1" x14ac:dyDescent="0.2">
      <c r="B1660" s="107" t="s">
        <v>1791</v>
      </c>
      <c r="C1660" s="55" t="s">
        <v>1792</v>
      </c>
      <c r="D1660" s="56" t="s">
        <v>1839</v>
      </c>
    </row>
    <row r="1661" spans="2:4" s="54" customFormat="1" x14ac:dyDescent="0.2">
      <c r="B1661" s="107" t="s">
        <v>1791</v>
      </c>
      <c r="C1661" s="55" t="s">
        <v>1792</v>
      </c>
      <c r="D1661" s="56" t="s">
        <v>1840</v>
      </c>
    </row>
    <row r="1662" spans="2:4" s="54" customFormat="1" x14ac:dyDescent="0.2">
      <c r="B1662" s="107" t="s">
        <v>1791</v>
      </c>
      <c r="C1662" s="55" t="s">
        <v>1792</v>
      </c>
      <c r="D1662" s="56" t="s">
        <v>1841</v>
      </c>
    </row>
    <row r="1663" spans="2:4" s="54" customFormat="1" x14ac:dyDescent="0.2">
      <c r="B1663" s="107" t="s">
        <v>1791</v>
      </c>
      <c r="C1663" s="55" t="s">
        <v>1792</v>
      </c>
      <c r="D1663" s="56" t="s">
        <v>1842</v>
      </c>
    </row>
    <row r="1664" spans="2:4" s="54" customFormat="1" x14ac:dyDescent="0.2">
      <c r="B1664" s="107" t="s">
        <v>1791</v>
      </c>
      <c r="C1664" s="55" t="s">
        <v>1792</v>
      </c>
      <c r="D1664" s="56" t="s">
        <v>1843</v>
      </c>
    </row>
    <row r="1665" spans="2:4" s="54" customFormat="1" x14ac:dyDescent="0.2">
      <c r="B1665" s="107" t="s">
        <v>1791</v>
      </c>
      <c r="C1665" s="55" t="s">
        <v>1792</v>
      </c>
      <c r="D1665" s="56" t="s">
        <v>1844</v>
      </c>
    </row>
    <row r="1666" spans="2:4" s="54" customFormat="1" x14ac:dyDescent="0.2">
      <c r="B1666" s="107" t="s">
        <v>1791</v>
      </c>
      <c r="C1666" s="55" t="s">
        <v>1792</v>
      </c>
      <c r="D1666" s="56" t="s">
        <v>1845</v>
      </c>
    </row>
    <row r="1667" spans="2:4" s="54" customFormat="1" x14ac:dyDescent="0.2">
      <c r="B1667" s="107" t="s">
        <v>1791</v>
      </c>
      <c r="C1667" s="55" t="s">
        <v>1792</v>
      </c>
      <c r="D1667" s="56" t="s">
        <v>1846</v>
      </c>
    </row>
    <row r="1668" spans="2:4" s="54" customFormat="1" x14ac:dyDescent="0.2">
      <c r="B1668" s="107" t="s">
        <v>1791</v>
      </c>
      <c r="C1668" s="55" t="s">
        <v>1792</v>
      </c>
      <c r="D1668" s="56" t="s">
        <v>1847</v>
      </c>
    </row>
    <row r="1669" spans="2:4" s="54" customFormat="1" x14ac:dyDescent="0.2">
      <c r="B1669" s="107" t="s">
        <v>1791</v>
      </c>
      <c r="C1669" s="55" t="s">
        <v>1792</v>
      </c>
      <c r="D1669" s="56" t="s">
        <v>1848</v>
      </c>
    </row>
    <row r="1670" spans="2:4" s="54" customFormat="1" x14ac:dyDescent="0.2">
      <c r="B1670" s="107" t="s">
        <v>1791</v>
      </c>
      <c r="C1670" s="55" t="s">
        <v>1792</v>
      </c>
      <c r="D1670" s="56" t="s">
        <v>1849</v>
      </c>
    </row>
    <row r="1671" spans="2:4" s="54" customFormat="1" x14ac:dyDescent="0.2">
      <c r="B1671" s="107" t="s">
        <v>1791</v>
      </c>
      <c r="C1671" s="55" t="s">
        <v>1792</v>
      </c>
      <c r="D1671" s="56" t="s">
        <v>1850</v>
      </c>
    </row>
    <row r="1672" spans="2:4" s="54" customFormat="1" x14ac:dyDescent="0.2">
      <c r="B1672" s="107" t="s">
        <v>1791</v>
      </c>
      <c r="C1672" s="55" t="s">
        <v>1792</v>
      </c>
      <c r="D1672" s="56" t="s">
        <v>1851</v>
      </c>
    </row>
    <row r="1673" spans="2:4" s="54" customFormat="1" x14ac:dyDescent="0.2">
      <c r="B1673" s="107" t="s">
        <v>1791</v>
      </c>
      <c r="C1673" s="55" t="s">
        <v>1792</v>
      </c>
      <c r="D1673" s="56" t="s">
        <v>1852</v>
      </c>
    </row>
    <row r="1674" spans="2:4" s="54" customFormat="1" x14ac:dyDescent="0.2">
      <c r="B1674" s="107" t="s">
        <v>1791</v>
      </c>
      <c r="C1674" s="55" t="s">
        <v>1792</v>
      </c>
      <c r="D1674" s="56" t="s">
        <v>1853</v>
      </c>
    </row>
    <row r="1675" spans="2:4" s="54" customFormat="1" x14ac:dyDescent="0.2">
      <c r="B1675" s="107" t="s">
        <v>1791</v>
      </c>
      <c r="C1675" s="55" t="s">
        <v>1792</v>
      </c>
      <c r="D1675" s="56" t="s">
        <v>1854</v>
      </c>
    </row>
    <row r="1676" spans="2:4" s="54" customFormat="1" x14ac:dyDescent="0.2">
      <c r="B1676" s="107" t="s">
        <v>1791</v>
      </c>
      <c r="C1676" s="55" t="s">
        <v>1792</v>
      </c>
      <c r="D1676" s="56" t="s">
        <v>1855</v>
      </c>
    </row>
    <row r="1677" spans="2:4" s="54" customFormat="1" x14ac:dyDescent="0.2">
      <c r="B1677" s="107" t="s">
        <v>1791</v>
      </c>
      <c r="C1677" s="55" t="s">
        <v>1792</v>
      </c>
      <c r="D1677" s="56" t="s">
        <v>1856</v>
      </c>
    </row>
    <row r="1678" spans="2:4" s="54" customFormat="1" x14ac:dyDescent="0.2">
      <c r="B1678" s="107" t="s">
        <v>1791</v>
      </c>
      <c r="C1678" s="55" t="s">
        <v>1792</v>
      </c>
      <c r="D1678" s="56" t="s">
        <v>1857</v>
      </c>
    </row>
    <row r="1679" spans="2:4" s="54" customFormat="1" x14ac:dyDescent="0.2">
      <c r="B1679" s="107" t="s">
        <v>1791</v>
      </c>
      <c r="C1679" s="55" t="s">
        <v>1792</v>
      </c>
      <c r="D1679" s="56" t="s">
        <v>1858</v>
      </c>
    </row>
    <row r="1680" spans="2:4" s="54" customFormat="1" x14ac:dyDescent="0.2">
      <c r="B1680" s="107" t="s">
        <v>1791</v>
      </c>
      <c r="C1680" s="55" t="s">
        <v>1792</v>
      </c>
      <c r="D1680" s="56" t="s">
        <v>1859</v>
      </c>
    </row>
    <row r="1681" spans="2:4" s="54" customFormat="1" x14ac:dyDescent="0.2">
      <c r="B1681" s="107" t="s">
        <v>1791</v>
      </c>
      <c r="C1681" s="55" t="s">
        <v>1792</v>
      </c>
      <c r="D1681" s="56" t="s">
        <v>1860</v>
      </c>
    </row>
    <row r="1682" spans="2:4" s="54" customFormat="1" x14ac:dyDescent="0.2">
      <c r="B1682" s="107" t="s">
        <v>1861</v>
      </c>
      <c r="C1682" s="55" t="s">
        <v>1862</v>
      </c>
      <c r="D1682" s="56" t="s">
        <v>1863</v>
      </c>
    </row>
    <row r="1683" spans="2:4" s="54" customFormat="1" x14ac:dyDescent="0.2">
      <c r="B1683" s="107" t="s">
        <v>1861</v>
      </c>
      <c r="C1683" s="55" t="s">
        <v>1862</v>
      </c>
      <c r="D1683" s="56" t="s">
        <v>1864</v>
      </c>
    </row>
    <row r="1684" spans="2:4" s="54" customFormat="1" x14ac:dyDescent="0.2">
      <c r="B1684" s="107" t="s">
        <v>1861</v>
      </c>
      <c r="C1684" s="55" t="s">
        <v>1862</v>
      </c>
      <c r="D1684" s="56" t="s">
        <v>1865</v>
      </c>
    </row>
    <row r="1685" spans="2:4" s="54" customFormat="1" x14ac:dyDescent="0.2">
      <c r="B1685" s="107" t="s">
        <v>1861</v>
      </c>
      <c r="C1685" s="55" t="s">
        <v>1862</v>
      </c>
      <c r="D1685" s="56" t="s">
        <v>1866</v>
      </c>
    </row>
    <row r="1686" spans="2:4" s="54" customFormat="1" x14ac:dyDescent="0.2">
      <c r="B1686" s="107" t="s">
        <v>1861</v>
      </c>
      <c r="C1686" s="55" t="s">
        <v>1862</v>
      </c>
      <c r="D1686" s="56" t="s">
        <v>1867</v>
      </c>
    </row>
    <row r="1687" spans="2:4" s="54" customFormat="1" x14ac:dyDescent="0.2">
      <c r="B1687" s="107" t="s">
        <v>1861</v>
      </c>
      <c r="C1687" s="55" t="s">
        <v>1862</v>
      </c>
      <c r="D1687" s="56" t="s">
        <v>1868</v>
      </c>
    </row>
    <row r="1688" spans="2:4" s="54" customFormat="1" x14ac:dyDescent="0.2">
      <c r="B1688" s="107" t="s">
        <v>1861</v>
      </c>
      <c r="C1688" s="55" t="s">
        <v>1862</v>
      </c>
      <c r="D1688" s="56" t="s">
        <v>1869</v>
      </c>
    </row>
    <row r="1689" spans="2:4" s="54" customFormat="1" x14ac:dyDescent="0.2">
      <c r="B1689" s="107" t="s">
        <v>1861</v>
      </c>
      <c r="C1689" s="55" t="s">
        <v>1862</v>
      </c>
      <c r="D1689" s="56" t="s">
        <v>1870</v>
      </c>
    </row>
    <row r="1690" spans="2:4" s="54" customFormat="1" x14ac:dyDescent="0.2">
      <c r="B1690" s="107" t="s">
        <v>1861</v>
      </c>
      <c r="C1690" s="55" t="s">
        <v>1862</v>
      </c>
      <c r="D1690" s="56" t="s">
        <v>1871</v>
      </c>
    </row>
    <row r="1691" spans="2:4" s="54" customFormat="1" x14ac:dyDescent="0.2">
      <c r="B1691" s="107" t="s">
        <v>1861</v>
      </c>
      <c r="C1691" s="55" t="s">
        <v>1862</v>
      </c>
      <c r="D1691" s="56" t="s">
        <v>1872</v>
      </c>
    </row>
    <row r="1692" spans="2:4" s="54" customFormat="1" x14ac:dyDescent="0.2">
      <c r="B1692" s="107" t="s">
        <v>1861</v>
      </c>
      <c r="C1692" s="55" t="s">
        <v>1862</v>
      </c>
      <c r="D1692" s="56" t="s">
        <v>1873</v>
      </c>
    </row>
    <row r="1693" spans="2:4" s="54" customFormat="1" x14ac:dyDescent="0.2">
      <c r="B1693" s="107" t="s">
        <v>1861</v>
      </c>
      <c r="C1693" s="55" t="s">
        <v>1862</v>
      </c>
      <c r="D1693" s="56" t="s">
        <v>1874</v>
      </c>
    </row>
    <row r="1694" spans="2:4" s="54" customFormat="1" x14ac:dyDescent="0.2">
      <c r="B1694" s="107" t="s">
        <v>1861</v>
      </c>
      <c r="C1694" s="55" t="s">
        <v>1862</v>
      </c>
      <c r="D1694" s="56" t="s">
        <v>1875</v>
      </c>
    </row>
    <row r="1695" spans="2:4" s="54" customFormat="1" x14ac:dyDescent="0.2">
      <c r="B1695" s="107" t="s">
        <v>1861</v>
      </c>
      <c r="C1695" s="55" t="s">
        <v>1862</v>
      </c>
      <c r="D1695" s="56" t="s">
        <v>1876</v>
      </c>
    </row>
    <row r="1696" spans="2:4" s="54" customFormat="1" x14ac:dyDescent="0.2">
      <c r="B1696" s="107" t="s">
        <v>1861</v>
      </c>
      <c r="C1696" s="55" t="s">
        <v>1862</v>
      </c>
      <c r="D1696" s="56" t="s">
        <v>1877</v>
      </c>
    </row>
    <row r="1697" spans="2:4" s="54" customFormat="1" x14ac:dyDescent="0.2">
      <c r="B1697" s="107" t="s">
        <v>1861</v>
      </c>
      <c r="C1697" s="55" t="s">
        <v>1862</v>
      </c>
      <c r="D1697" s="56" t="s">
        <v>1878</v>
      </c>
    </row>
    <row r="1698" spans="2:4" s="54" customFormat="1" x14ac:dyDescent="0.2">
      <c r="B1698" s="107" t="s">
        <v>1861</v>
      </c>
      <c r="C1698" s="55" t="s">
        <v>1862</v>
      </c>
      <c r="D1698" s="56" t="s">
        <v>1879</v>
      </c>
    </row>
    <row r="1699" spans="2:4" s="54" customFormat="1" x14ac:dyDescent="0.2">
      <c r="B1699" s="107" t="s">
        <v>1861</v>
      </c>
      <c r="C1699" s="55" t="s">
        <v>1862</v>
      </c>
      <c r="D1699" s="56" t="s">
        <v>1880</v>
      </c>
    </row>
    <row r="1700" spans="2:4" s="54" customFormat="1" x14ac:dyDescent="0.2">
      <c r="B1700" s="107" t="s">
        <v>1861</v>
      </c>
      <c r="C1700" s="55" t="s">
        <v>1862</v>
      </c>
      <c r="D1700" s="56" t="s">
        <v>1881</v>
      </c>
    </row>
    <row r="1701" spans="2:4" s="54" customFormat="1" x14ac:dyDescent="0.2">
      <c r="B1701" s="107" t="s">
        <v>1861</v>
      </c>
      <c r="C1701" s="55" t="s">
        <v>1862</v>
      </c>
      <c r="D1701" s="56" t="s">
        <v>1882</v>
      </c>
    </row>
    <row r="1702" spans="2:4" s="54" customFormat="1" x14ac:dyDescent="0.2">
      <c r="B1702" s="107" t="s">
        <v>1861</v>
      </c>
      <c r="C1702" s="55" t="s">
        <v>1862</v>
      </c>
      <c r="D1702" s="56" t="s">
        <v>1883</v>
      </c>
    </row>
    <row r="1703" spans="2:4" s="54" customFormat="1" x14ac:dyDescent="0.2">
      <c r="B1703" s="107" t="s">
        <v>1861</v>
      </c>
      <c r="C1703" s="55" t="s">
        <v>1862</v>
      </c>
      <c r="D1703" s="56" t="s">
        <v>1884</v>
      </c>
    </row>
    <row r="1704" spans="2:4" s="54" customFormat="1" x14ac:dyDescent="0.2">
      <c r="B1704" s="107" t="s">
        <v>1861</v>
      </c>
      <c r="C1704" s="55" t="s">
        <v>1862</v>
      </c>
      <c r="D1704" s="56" t="s">
        <v>1885</v>
      </c>
    </row>
    <row r="1705" spans="2:4" s="54" customFormat="1" x14ac:dyDescent="0.2">
      <c r="B1705" s="107" t="s">
        <v>1861</v>
      </c>
      <c r="C1705" s="55" t="s">
        <v>1862</v>
      </c>
      <c r="D1705" s="56" t="s">
        <v>1886</v>
      </c>
    </row>
    <row r="1706" spans="2:4" s="54" customFormat="1" x14ac:dyDescent="0.2">
      <c r="B1706" s="107" t="s">
        <v>1861</v>
      </c>
      <c r="C1706" s="55" t="s">
        <v>1862</v>
      </c>
      <c r="D1706" s="56" t="s">
        <v>1887</v>
      </c>
    </row>
    <row r="1707" spans="2:4" s="54" customFormat="1" x14ac:dyDescent="0.2">
      <c r="B1707" s="107" t="s">
        <v>1888</v>
      </c>
      <c r="C1707" s="55" t="s">
        <v>1889</v>
      </c>
      <c r="D1707" s="56" t="s">
        <v>85</v>
      </c>
    </row>
    <row r="1708" spans="2:4" s="54" customFormat="1" x14ac:dyDescent="0.2">
      <c r="B1708" s="107" t="s">
        <v>1888</v>
      </c>
      <c r="C1708" s="55" t="s">
        <v>1889</v>
      </c>
      <c r="D1708" s="56" t="s">
        <v>1890</v>
      </c>
    </row>
    <row r="1709" spans="2:4" s="54" customFormat="1" x14ac:dyDescent="0.2">
      <c r="B1709" s="107" t="s">
        <v>1888</v>
      </c>
      <c r="C1709" s="55" t="s">
        <v>1889</v>
      </c>
      <c r="D1709" s="56" t="s">
        <v>1891</v>
      </c>
    </row>
    <row r="1710" spans="2:4" s="54" customFormat="1" x14ac:dyDescent="0.2">
      <c r="B1710" s="107" t="s">
        <v>1888</v>
      </c>
      <c r="C1710" s="55" t="s">
        <v>1889</v>
      </c>
      <c r="D1710" s="56" t="s">
        <v>1892</v>
      </c>
    </row>
    <row r="1711" spans="2:4" s="54" customFormat="1" x14ac:dyDescent="0.2">
      <c r="B1711" s="107" t="s">
        <v>1888</v>
      </c>
      <c r="C1711" s="55" t="s">
        <v>1889</v>
      </c>
      <c r="D1711" s="56" t="s">
        <v>1893</v>
      </c>
    </row>
    <row r="1712" spans="2:4" s="54" customFormat="1" x14ac:dyDescent="0.2">
      <c r="B1712" s="107" t="s">
        <v>1888</v>
      </c>
      <c r="C1712" s="55" t="s">
        <v>1889</v>
      </c>
      <c r="D1712" s="56" t="s">
        <v>1894</v>
      </c>
    </row>
    <row r="1713" spans="2:4" s="54" customFormat="1" x14ac:dyDescent="0.2">
      <c r="B1713" s="107" t="s">
        <v>1888</v>
      </c>
      <c r="C1713" s="55" t="s">
        <v>1889</v>
      </c>
      <c r="D1713" s="56" t="s">
        <v>1895</v>
      </c>
    </row>
    <row r="1714" spans="2:4" s="54" customFormat="1" x14ac:dyDescent="0.2">
      <c r="B1714" s="107" t="s">
        <v>1888</v>
      </c>
      <c r="C1714" s="55" t="s">
        <v>1889</v>
      </c>
      <c r="D1714" s="56" t="s">
        <v>1896</v>
      </c>
    </row>
    <row r="1715" spans="2:4" s="54" customFormat="1" x14ac:dyDescent="0.2">
      <c r="B1715" s="107" t="s">
        <v>1888</v>
      </c>
      <c r="C1715" s="55" t="s">
        <v>1889</v>
      </c>
      <c r="D1715" s="56" t="s">
        <v>1897</v>
      </c>
    </row>
    <row r="1716" spans="2:4" s="54" customFormat="1" x14ac:dyDescent="0.2">
      <c r="B1716" s="107" t="s">
        <v>1888</v>
      </c>
      <c r="C1716" s="55" t="s">
        <v>1889</v>
      </c>
      <c r="D1716" s="56" t="s">
        <v>1898</v>
      </c>
    </row>
    <row r="1717" spans="2:4" s="54" customFormat="1" x14ac:dyDescent="0.2">
      <c r="B1717" s="107" t="s">
        <v>1888</v>
      </c>
      <c r="C1717" s="55" t="s">
        <v>1889</v>
      </c>
      <c r="D1717" s="56" t="s">
        <v>1899</v>
      </c>
    </row>
    <row r="1718" spans="2:4" s="54" customFormat="1" x14ac:dyDescent="0.2">
      <c r="B1718" s="107" t="s">
        <v>1888</v>
      </c>
      <c r="C1718" s="55" t="s">
        <v>1889</v>
      </c>
      <c r="D1718" s="56" t="s">
        <v>1900</v>
      </c>
    </row>
    <row r="1719" spans="2:4" s="54" customFormat="1" x14ac:dyDescent="0.2">
      <c r="B1719" s="107" t="s">
        <v>1888</v>
      </c>
      <c r="C1719" s="55" t="s">
        <v>1889</v>
      </c>
      <c r="D1719" s="56" t="s">
        <v>1901</v>
      </c>
    </row>
    <row r="1720" spans="2:4" s="54" customFormat="1" x14ac:dyDescent="0.2">
      <c r="B1720" s="107" t="s">
        <v>1888</v>
      </c>
      <c r="C1720" s="55" t="s">
        <v>1889</v>
      </c>
      <c r="D1720" s="56" t="s">
        <v>1902</v>
      </c>
    </row>
    <row r="1721" spans="2:4" s="54" customFormat="1" x14ac:dyDescent="0.2">
      <c r="B1721" s="107" t="s">
        <v>1888</v>
      </c>
      <c r="C1721" s="55" t="s">
        <v>1889</v>
      </c>
      <c r="D1721" s="56" t="s">
        <v>1903</v>
      </c>
    </row>
    <row r="1722" spans="2:4" s="54" customFormat="1" x14ac:dyDescent="0.2">
      <c r="B1722" s="107" t="s">
        <v>1904</v>
      </c>
      <c r="C1722" s="55" t="s">
        <v>1905</v>
      </c>
      <c r="D1722" s="56" t="s">
        <v>1906</v>
      </c>
    </row>
    <row r="1723" spans="2:4" s="54" customFormat="1" x14ac:dyDescent="0.2">
      <c r="B1723" s="107" t="s">
        <v>1904</v>
      </c>
      <c r="C1723" s="55" t="s">
        <v>1905</v>
      </c>
      <c r="D1723" s="56" t="s">
        <v>1907</v>
      </c>
    </row>
    <row r="1724" spans="2:4" s="54" customFormat="1" x14ac:dyDescent="0.2">
      <c r="B1724" s="107" t="s">
        <v>1904</v>
      </c>
      <c r="C1724" s="55" t="s">
        <v>1905</v>
      </c>
      <c r="D1724" s="56" t="s">
        <v>1908</v>
      </c>
    </row>
    <row r="1725" spans="2:4" s="54" customFormat="1" x14ac:dyDescent="0.2">
      <c r="B1725" s="107" t="s">
        <v>1904</v>
      </c>
      <c r="C1725" s="55" t="s">
        <v>1905</v>
      </c>
      <c r="D1725" s="56" t="s">
        <v>1909</v>
      </c>
    </row>
    <row r="1726" spans="2:4" s="54" customFormat="1" x14ac:dyDescent="0.2">
      <c r="B1726" s="107" t="s">
        <v>1904</v>
      </c>
      <c r="C1726" s="55" t="s">
        <v>1905</v>
      </c>
      <c r="D1726" s="56" t="s">
        <v>1910</v>
      </c>
    </row>
    <row r="1727" spans="2:4" s="54" customFormat="1" x14ac:dyDescent="0.2">
      <c r="B1727" s="107" t="s">
        <v>1904</v>
      </c>
      <c r="C1727" s="55" t="s">
        <v>1905</v>
      </c>
      <c r="D1727" s="56" t="s">
        <v>1911</v>
      </c>
    </row>
    <row r="1728" spans="2:4" s="54" customFormat="1" x14ac:dyDescent="0.2">
      <c r="B1728" s="107" t="s">
        <v>1904</v>
      </c>
      <c r="C1728" s="55" t="s">
        <v>1905</v>
      </c>
      <c r="D1728" s="56" t="s">
        <v>1912</v>
      </c>
    </row>
    <row r="1729" spans="2:4" s="54" customFormat="1" x14ac:dyDescent="0.2">
      <c r="B1729" s="107" t="s">
        <v>1904</v>
      </c>
      <c r="C1729" s="55" t="s">
        <v>1905</v>
      </c>
      <c r="D1729" s="56" t="s">
        <v>1913</v>
      </c>
    </row>
    <row r="1730" spans="2:4" s="54" customFormat="1" x14ac:dyDescent="0.2">
      <c r="B1730" s="107" t="s">
        <v>1904</v>
      </c>
      <c r="C1730" s="55" t="s">
        <v>1905</v>
      </c>
      <c r="D1730" s="56" t="s">
        <v>1914</v>
      </c>
    </row>
    <row r="1731" spans="2:4" s="54" customFormat="1" x14ac:dyDescent="0.2">
      <c r="B1731" s="107" t="s">
        <v>1904</v>
      </c>
      <c r="C1731" s="55" t="s">
        <v>1905</v>
      </c>
      <c r="D1731" s="56" t="s">
        <v>1915</v>
      </c>
    </row>
    <row r="1732" spans="2:4" s="54" customFormat="1" x14ac:dyDescent="0.2">
      <c r="B1732" s="107" t="s">
        <v>1916</v>
      </c>
      <c r="C1732" s="55" t="s">
        <v>1917</v>
      </c>
      <c r="D1732" s="56" t="s">
        <v>1918</v>
      </c>
    </row>
    <row r="1733" spans="2:4" s="54" customFormat="1" x14ac:dyDescent="0.2">
      <c r="B1733" s="107" t="s">
        <v>1916</v>
      </c>
      <c r="C1733" s="55" t="s">
        <v>1917</v>
      </c>
      <c r="D1733" s="56" t="s">
        <v>1919</v>
      </c>
    </row>
    <row r="1734" spans="2:4" s="54" customFormat="1" x14ac:dyDescent="0.2">
      <c r="B1734" s="107" t="s">
        <v>1916</v>
      </c>
      <c r="C1734" s="55" t="s">
        <v>1917</v>
      </c>
      <c r="D1734" s="56" t="s">
        <v>1920</v>
      </c>
    </row>
    <row r="1735" spans="2:4" s="54" customFormat="1" x14ac:dyDescent="0.2">
      <c r="B1735" s="107" t="s">
        <v>1916</v>
      </c>
      <c r="C1735" s="55" t="s">
        <v>1917</v>
      </c>
      <c r="D1735" s="56" t="s">
        <v>1921</v>
      </c>
    </row>
    <row r="1736" spans="2:4" s="54" customFormat="1" x14ac:dyDescent="0.2">
      <c r="B1736" s="107" t="s">
        <v>1916</v>
      </c>
      <c r="C1736" s="55" t="s">
        <v>1917</v>
      </c>
      <c r="D1736" s="56" t="s">
        <v>1922</v>
      </c>
    </row>
    <row r="1737" spans="2:4" s="54" customFormat="1" x14ac:dyDescent="0.2">
      <c r="B1737" s="107" t="s">
        <v>1916</v>
      </c>
      <c r="C1737" s="55" t="s">
        <v>1917</v>
      </c>
      <c r="D1737" s="56" t="s">
        <v>1923</v>
      </c>
    </row>
    <row r="1738" spans="2:4" s="54" customFormat="1" x14ac:dyDescent="0.2">
      <c r="B1738" s="107" t="s">
        <v>1916</v>
      </c>
      <c r="C1738" s="55" t="s">
        <v>1917</v>
      </c>
      <c r="D1738" s="56" t="s">
        <v>1924</v>
      </c>
    </row>
    <row r="1739" spans="2:4" s="54" customFormat="1" x14ac:dyDescent="0.2">
      <c r="B1739" s="107" t="s">
        <v>1916</v>
      </c>
      <c r="C1739" s="55" t="s">
        <v>1917</v>
      </c>
      <c r="D1739" s="56" t="s">
        <v>1925</v>
      </c>
    </row>
    <row r="1740" spans="2:4" s="54" customFormat="1" x14ac:dyDescent="0.2">
      <c r="B1740" s="107" t="s">
        <v>1916</v>
      </c>
      <c r="C1740" s="55" t="s">
        <v>1917</v>
      </c>
      <c r="D1740" s="56" t="s">
        <v>1926</v>
      </c>
    </row>
    <row r="1741" spans="2:4" s="54" customFormat="1" x14ac:dyDescent="0.2">
      <c r="B1741" s="107" t="s">
        <v>1916</v>
      </c>
      <c r="C1741" s="55" t="s">
        <v>1917</v>
      </c>
      <c r="D1741" s="56" t="s">
        <v>1927</v>
      </c>
    </row>
    <row r="1742" spans="2:4" s="54" customFormat="1" x14ac:dyDescent="0.2">
      <c r="B1742" s="107" t="s">
        <v>1916</v>
      </c>
      <c r="C1742" s="55" t="s">
        <v>1917</v>
      </c>
      <c r="D1742" s="56" t="s">
        <v>1928</v>
      </c>
    </row>
    <row r="1743" spans="2:4" s="54" customFormat="1" x14ac:dyDescent="0.2">
      <c r="B1743" s="107" t="s">
        <v>1916</v>
      </c>
      <c r="C1743" s="55" t="s">
        <v>1917</v>
      </c>
      <c r="D1743" s="56" t="s">
        <v>1929</v>
      </c>
    </row>
    <row r="1744" spans="2:4" s="54" customFormat="1" x14ac:dyDescent="0.2">
      <c r="B1744" s="107" t="s">
        <v>1916</v>
      </c>
      <c r="C1744" s="55" t="s">
        <v>1917</v>
      </c>
      <c r="D1744" s="56" t="s">
        <v>1930</v>
      </c>
    </row>
    <row r="1745" spans="2:4" s="54" customFormat="1" x14ac:dyDescent="0.2">
      <c r="B1745" s="107" t="s">
        <v>1916</v>
      </c>
      <c r="C1745" s="55" t="s">
        <v>1917</v>
      </c>
      <c r="D1745" s="56" t="s">
        <v>1931</v>
      </c>
    </row>
    <row r="1746" spans="2:4" s="54" customFormat="1" x14ac:dyDescent="0.2">
      <c r="B1746" s="107" t="s">
        <v>1916</v>
      </c>
      <c r="C1746" s="55" t="s">
        <v>1917</v>
      </c>
      <c r="D1746" s="56" t="s">
        <v>1932</v>
      </c>
    </row>
    <row r="1747" spans="2:4" s="54" customFormat="1" x14ac:dyDescent="0.2">
      <c r="B1747" s="107" t="s">
        <v>1916</v>
      </c>
      <c r="C1747" s="55" t="s">
        <v>1917</v>
      </c>
      <c r="D1747" s="56" t="s">
        <v>1933</v>
      </c>
    </row>
    <row r="1748" spans="2:4" s="54" customFormat="1" x14ac:dyDescent="0.2">
      <c r="B1748" s="107" t="s">
        <v>1916</v>
      </c>
      <c r="C1748" s="55" t="s">
        <v>1917</v>
      </c>
      <c r="D1748" s="56" t="s">
        <v>1934</v>
      </c>
    </row>
    <row r="1749" spans="2:4" s="54" customFormat="1" x14ac:dyDescent="0.2">
      <c r="B1749" s="107" t="s">
        <v>1916</v>
      </c>
      <c r="C1749" s="55" t="s">
        <v>1917</v>
      </c>
      <c r="D1749" s="56" t="s">
        <v>1935</v>
      </c>
    </row>
    <row r="1750" spans="2:4" s="54" customFormat="1" x14ac:dyDescent="0.2">
      <c r="B1750" s="107" t="s">
        <v>1916</v>
      </c>
      <c r="C1750" s="55" t="s">
        <v>1917</v>
      </c>
      <c r="D1750" s="56" t="s">
        <v>1936</v>
      </c>
    </row>
    <row r="1751" spans="2:4" s="54" customFormat="1" x14ac:dyDescent="0.2">
      <c r="B1751" s="107" t="s">
        <v>1916</v>
      </c>
      <c r="C1751" s="55" t="s">
        <v>1917</v>
      </c>
      <c r="D1751" s="56" t="s">
        <v>1937</v>
      </c>
    </row>
    <row r="1752" spans="2:4" s="54" customFormat="1" x14ac:dyDescent="0.2">
      <c r="B1752" s="107" t="s">
        <v>1916</v>
      </c>
      <c r="C1752" s="55" t="s">
        <v>1917</v>
      </c>
      <c r="D1752" s="56" t="s">
        <v>1938</v>
      </c>
    </row>
    <row r="1753" spans="2:4" s="54" customFormat="1" x14ac:dyDescent="0.2">
      <c r="B1753" s="107" t="s">
        <v>1916</v>
      </c>
      <c r="C1753" s="55" t="s">
        <v>1917</v>
      </c>
      <c r="D1753" s="56" t="s">
        <v>1939</v>
      </c>
    </row>
    <row r="1754" spans="2:4" s="54" customFormat="1" x14ac:dyDescent="0.2">
      <c r="B1754" s="107" t="s">
        <v>1916</v>
      </c>
      <c r="C1754" s="55" t="s">
        <v>1917</v>
      </c>
      <c r="D1754" s="56" t="s">
        <v>1940</v>
      </c>
    </row>
    <row r="1755" spans="2:4" s="54" customFormat="1" x14ac:dyDescent="0.2">
      <c r="B1755" s="107" t="s">
        <v>1916</v>
      </c>
      <c r="C1755" s="55" t="s">
        <v>1917</v>
      </c>
      <c r="D1755" s="56" t="s">
        <v>1941</v>
      </c>
    </row>
    <row r="1756" spans="2:4" s="54" customFormat="1" x14ac:dyDescent="0.2">
      <c r="B1756" s="107" t="s">
        <v>1916</v>
      </c>
      <c r="C1756" s="55" t="s">
        <v>1917</v>
      </c>
      <c r="D1756" s="56" t="s">
        <v>1942</v>
      </c>
    </row>
    <row r="1757" spans="2:4" s="54" customFormat="1" x14ac:dyDescent="0.2">
      <c r="B1757" s="107" t="s">
        <v>1916</v>
      </c>
      <c r="C1757" s="55" t="s">
        <v>1917</v>
      </c>
      <c r="D1757" s="56" t="s">
        <v>1943</v>
      </c>
    </row>
    <row r="1758" spans="2:4" s="54" customFormat="1" x14ac:dyDescent="0.2">
      <c r="B1758" s="107" t="s">
        <v>1916</v>
      </c>
      <c r="C1758" s="55" t="s">
        <v>1917</v>
      </c>
      <c r="D1758" s="56" t="s">
        <v>1944</v>
      </c>
    </row>
    <row r="1759" spans="2:4" s="54" customFormat="1" x14ac:dyDescent="0.2">
      <c r="B1759" s="107" t="s">
        <v>1916</v>
      </c>
      <c r="C1759" s="55" t="s">
        <v>1917</v>
      </c>
      <c r="D1759" s="56" t="s">
        <v>1945</v>
      </c>
    </row>
    <row r="1760" spans="2:4" s="54" customFormat="1" x14ac:dyDescent="0.2">
      <c r="B1760" s="107" t="s">
        <v>1916</v>
      </c>
      <c r="C1760" s="55" t="s">
        <v>1917</v>
      </c>
      <c r="D1760" s="56" t="s">
        <v>1946</v>
      </c>
    </row>
    <row r="1761" spans="2:4" s="54" customFormat="1" x14ac:dyDescent="0.2">
      <c r="B1761" s="107" t="s">
        <v>1916</v>
      </c>
      <c r="C1761" s="55" t="s">
        <v>1917</v>
      </c>
      <c r="D1761" s="56" t="s">
        <v>1947</v>
      </c>
    </row>
    <row r="1762" spans="2:4" s="54" customFormat="1" x14ac:dyDescent="0.2">
      <c r="B1762" s="107" t="s">
        <v>1916</v>
      </c>
      <c r="C1762" s="55" t="s">
        <v>1917</v>
      </c>
      <c r="D1762" s="56" t="s">
        <v>1948</v>
      </c>
    </row>
    <row r="1763" spans="2:4" s="54" customFormat="1" x14ac:dyDescent="0.2">
      <c r="B1763" s="107" t="s">
        <v>1916</v>
      </c>
      <c r="C1763" s="55" t="s">
        <v>1917</v>
      </c>
      <c r="D1763" s="56" t="s">
        <v>1949</v>
      </c>
    </row>
    <row r="1764" spans="2:4" s="54" customFormat="1" x14ac:dyDescent="0.2">
      <c r="B1764" s="107" t="s">
        <v>1950</v>
      </c>
      <c r="C1764" s="55" t="s">
        <v>1951</v>
      </c>
      <c r="D1764" s="56" t="s">
        <v>1952</v>
      </c>
    </row>
    <row r="1765" spans="2:4" s="54" customFormat="1" x14ac:dyDescent="0.2">
      <c r="B1765" s="107" t="s">
        <v>1950</v>
      </c>
      <c r="C1765" s="55" t="s">
        <v>1951</v>
      </c>
      <c r="D1765" s="56" t="s">
        <v>1953</v>
      </c>
    </row>
    <row r="1766" spans="2:4" s="54" customFormat="1" x14ac:dyDescent="0.2">
      <c r="B1766" s="107" t="s">
        <v>1950</v>
      </c>
      <c r="C1766" s="55" t="s">
        <v>1951</v>
      </c>
      <c r="D1766" s="56" t="s">
        <v>1954</v>
      </c>
    </row>
    <row r="1767" spans="2:4" s="54" customFormat="1" x14ac:dyDescent="0.2">
      <c r="B1767" s="107" t="s">
        <v>1950</v>
      </c>
      <c r="C1767" s="55" t="s">
        <v>1951</v>
      </c>
      <c r="D1767" s="56" t="s">
        <v>1955</v>
      </c>
    </row>
    <row r="1768" spans="2:4" s="54" customFormat="1" x14ac:dyDescent="0.2">
      <c r="B1768" s="107" t="s">
        <v>1956</v>
      </c>
      <c r="C1768" s="55" t="s">
        <v>1957</v>
      </c>
      <c r="D1768" s="56" t="s">
        <v>1957</v>
      </c>
    </row>
    <row r="1769" spans="2:4" s="54" customFormat="1" x14ac:dyDescent="0.2">
      <c r="B1769" s="107" t="s">
        <v>1958</v>
      </c>
      <c r="C1769" s="55" t="s">
        <v>1959</v>
      </c>
      <c r="D1769" s="56" t="s">
        <v>1960</v>
      </c>
    </row>
    <row r="1770" spans="2:4" s="54" customFormat="1" x14ac:dyDescent="0.2">
      <c r="B1770" s="107" t="s">
        <v>1958</v>
      </c>
      <c r="C1770" s="55" t="s">
        <v>1959</v>
      </c>
      <c r="D1770" s="56" t="s">
        <v>1961</v>
      </c>
    </row>
    <row r="1771" spans="2:4" s="54" customFormat="1" x14ac:dyDescent="0.2">
      <c r="B1771" s="107" t="s">
        <v>1958</v>
      </c>
      <c r="C1771" s="55" t="s">
        <v>1959</v>
      </c>
      <c r="D1771" s="56" t="s">
        <v>1962</v>
      </c>
    </row>
    <row r="1772" spans="2:4" s="54" customFormat="1" x14ac:dyDescent="0.2">
      <c r="B1772" s="107" t="s">
        <v>1958</v>
      </c>
      <c r="C1772" s="55" t="s">
        <v>1959</v>
      </c>
      <c r="D1772" s="56" t="s">
        <v>1963</v>
      </c>
    </row>
    <row r="1773" spans="2:4" s="54" customFormat="1" x14ac:dyDescent="0.2">
      <c r="B1773" s="107" t="s">
        <v>1958</v>
      </c>
      <c r="C1773" s="55" t="s">
        <v>1959</v>
      </c>
      <c r="D1773" s="56" t="s">
        <v>1964</v>
      </c>
    </row>
    <row r="1774" spans="2:4" s="54" customFormat="1" x14ac:dyDescent="0.2">
      <c r="B1774" s="107" t="s">
        <v>1958</v>
      </c>
      <c r="C1774" s="55" t="s">
        <v>1959</v>
      </c>
      <c r="D1774" s="56" t="s">
        <v>1965</v>
      </c>
    </row>
    <row r="1775" spans="2:4" s="54" customFormat="1" x14ac:dyDescent="0.2">
      <c r="B1775" s="107" t="s">
        <v>1958</v>
      </c>
      <c r="C1775" s="55" t="s">
        <v>1959</v>
      </c>
      <c r="D1775" s="56" t="s">
        <v>1966</v>
      </c>
    </row>
    <row r="1776" spans="2:4" s="54" customFormat="1" x14ac:dyDescent="0.2">
      <c r="B1776" s="107" t="s">
        <v>1958</v>
      </c>
      <c r="C1776" s="55" t="s">
        <v>1959</v>
      </c>
      <c r="D1776" s="56" t="s">
        <v>1967</v>
      </c>
    </row>
    <row r="1777" spans="2:4" s="54" customFormat="1" x14ac:dyDescent="0.2">
      <c r="B1777" s="107" t="s">
        <v>1958</v>
      </c>
      <c r="C1777" s="55" t="s">
        <v>1959</v>
      </c>
      <c r="D1777" s="56" t="s">
        <v>1968</v>
      </c>
    </row>
    <row r="1778" spans="2:4" s="54" customFormat="1" x14ac:dyDescent="0.2">
      <c r="B1778" s="107" t="s">
        <v>1958</v>
      </c>
      <c r="C1778" s="55" t="s">
        <v>1959</v>
      </c>
      <c r="D1778" s="56" t="s">
        <v>1969</v>
      </c>
    </row>
    <row r="1779" spans="2:4" s="54" customFormat="1" x14ac:dyDescent="0.2">
      <c r="B1779" s="107" t="s">
        <v>1958</v>
      </c>
      <c r="C1779" s="55" t="s">
        <v>1959</v>
      </c>
      <c r="D1779" s="56" t="s">
        <v>1970</v>
      </c>
    </row>
    <row r="1780" spans="2:4" s="54" customFormat="1" x14ac:dyDescent="0.2">
      <c r="B1780" s="107" t="s">
        <v>1958</v>
      </c>
      <c r="C1780" s="55" t="s">
        <v>1959</v>
      </c>
      <c r="D1780" s="56" t="s">
        <v>1971</v>
      </c>
    </row>
    <row r="1781" spans="2:4" s="54" customFormat="1" x14ac:dyDescent="0.2">
      <c r="B1781" s="107" t="s">
        <v>1958</v>
      </c>
      <c r="C1781" s="55" t="s">
        <v>1959</v>
      </c>
      <c r="D1781" s="56" t="s">
        <v>1972</v>
      </c>
    </row>
    <row r="1782" spans="2:4" s="54" customFormat="1" x14ac:dyDescent="0.2">
      <c r="B1782" s="107" t="s">
        <v>1958</v>
      </c>
      <c r="C1782" s="55" t="s">
        <v>1959</v>
      </c>
      <c r="D1782" s="56" t="s">
        <v>1973</v>
      </c>
    </row>
    <row r="1783" spans="2:4" s="54" customFormat="1" x14ac:dyDescent="0.2">
      <c r="B1783" s="107" t="s">
        <v>1958</v>
      </c>
      <c r="C1783" s="55" t="s">
        <v>1959</v>
      </c>
      <c r="D1783" s="56" t="s">
        <v>1974</v>
      </c>
    </row>
    <row r="1784" spans="2:4" s="54" customFormat="1" x14ac:dyDescent="0.2">
      <c r="B1784" s="107" t="s">
        <v>1958</v>
      </c>
      <c r="C1784" s="55" t="s">
        <v>1959</v>
      </c>
      <c r="D1784" s="56" t="s">
        <v>1975</v>
      </c>
    </row>
    <row r="1785" spans="2:4" s="54" customFormat="1" x14ac:dyDescent="0.2">
      <c r="B1785" s="107" t="s">
        <v>1958</v>
      </c>
      <c r="C1785" s="55" t="s">
        <v>1959</v>
      </c>
      <c r="D1785" s="56" t="s">
        <v>1976</v>
      </c>
    </row>
    <row r="1786" spans="2:4" s="54" customFormat="1" x14ac:dyDescent="0.2">
      <c r="B1786" s="107" t="s">
        <v>1958</v>
      </c>
      <c r="C1786" s="55" t="s">
        <v>1959</v>
      </c>
      <c r="D1786" s="56" t="s">
        <v>1977</v>
      </c>
    </row>
    <row r="1787" spans="2:4" s="54" customFormat="1" x14ac:dyDescent="0.2">
      <c r="B1787" s="107" t="s">
        <v>1958</v>
      </c>
      <c r="C1787" s="55" t="s">
        <v>1959</v>
      </c>
      <c r="D1787" s="56" t="s">
        <v>1978</v>
      </c>
    </row>
    <row r="1788" spans="2:4" s="54" customFormat="1" x14ac:dyDescent="0.2">
      <c r="B1788" s="107" t="s">
        <v>1958</v>
      </c>
      <c r="C1788" s="55" t="s">
        <v>1959</v>
      </c>
      <c r="D1788" s="56" t="s">
        <v>1979</v>
      </c>
    </row>
    <row r="1789" spans="2:4" s="54" customFormat="1" x14ac:dyDescent="0.2">
      <c r="B1789" s="107" t="s">
        <v>1958</v>
      </c>
      <c r="C1789" s="55" t="s">
        <v>1959</v>
      </c>
      <c r="D1789" s="56" t="s">
        <v>1980</v>
      </c>
    </row>
    <row r="1790" spans="2:4" s="54" customFormat="1" x14ac:dyDescent="0.2">
      <c r="B1790" s="107" t="s">
        <v>1958</v>
      </c>
      <c r="C1790" s="55" t="s">
        <v>1959</v>
      </c>
      <c r="D1790" s="56" t="s">
        <v>1981</v>
      </c>
    </row>
    <row r="1791" spans="2:4" s="54" customFormat="1" x14ac:dyDescent="0.2">
      <c r="B1791" s="107" t="s">
        <v>1982</v>
      </c>
      <c r="C1791" s="55" t="s">
        <v>1983</v>
      </c>
      <c r="D1791" s="56" t="s">
        <v>1984</v>
      </c>
    </row>
    <row r="1792" spans="2:4" s="54" customFormat="1" x14ac:dyDescent="0.2">
      <c r="B1792" s="107" t="s">
        <v>1982</v>
      </c>
      <c r="C1792" s="55" t="s">
        <v>1983</v>
      </c>
      <c r="D1792" s="56" t="s">
        <v>1985</v>
      </c>
    </row>
    <row r="1793" spans="2:4" s="54" customFormat="1" x14ac:dyDescent="0.2">
      <c r="B1793" s="107" t="s">
        <v>1982</v>
      </c>
      <c r="C1793" s="55" t="s">
        <v>1983</v>
      </c>
      <c r="D1793" s="56" t="s">
        <v>1986</v>
      </c>
    </row>
    <row r="1794" spans="2:4" s="54" customFormat="1" x14ac:dyDescent="0.2">
      <c r="B1794" s="107" t="s">
        <v>1982</v>
      </c>
      <c r="C1794" s="55" t="s">
        <v>1983</v>
      </c>
      <c r="D1794" s="56" t="s">
        <v>1987</v>
      </c>
    </row>
    <row r="1795" spans="2:4" s="54" customFormat="1" x14ac:dyDescent="0.2">
      <c r="B1795" s="107" t="s">
        <v>1982</v>
      </c>
      <c r="C1795" s="55" t="s">
        <v>1983</v>
      </c>
      <c r="D1795" s="56" t="s">
        <v>1988</v>
      </c>
    </row>
    <row r="1796" spans="2:4" s="54" customFormat="1" x14ac:dyDescent="0.2">
      <c r="B1796" s="107" t="s">
        <v>1982</v>
      </c>
      <c r="C1796" s="55" t="s">
        <v>1983</v>
      </c>
      <c r="D1796" s="56" t="s">
        <v>1989</v>
      </c>
    </row>
    <row r="1797" spans="2:4" s="54" customFormat="1" x14ac:dyDescent="0.2">
      <c r="B1797" s="107" t="s">
        <v>1982</v>
      </c>
      <c r="C1797" s="55" t="s">
        <v>1983</v>
      </c>
      <c r="D1797" s="56" t="s">
        <v>1990</v>
      </c>
    </row>
    <row r="1798" spans="2:4" s="54" customFormat="1" x14ac:dyDescent="0.2">
      <c r="B1798" s="107" t="s">
        <v>1982</v>
      </c>
      <c r="C1798" s="55" t="s">
        <v>1983</v>
      </c>
      <c r="D1798" s="56" t="s">
        <v>1991</v>
      </c>
    </row>
    <row r="1799" spans="2:4" s="54" customFormat="1" x14ac:dyDescent="0.2">
      <c r="B1799" s="107" t="s">
        <v>1982</v>
      </c>
      <c r="C1799" s="55" t="s">
        <v>1983</v>
      </c>
      <c r="D1799" s="56" t="s">
        <v>1992</v>
      </c>
    </row>
    <row r="1800" spans="2:4" s="54" customFormat="1" x14ac:dyDescent="0.2">
      <c r="B1800" s="107" t="s">
        <v>1982</v>
      </c>
      <c r="C1800" s="55" t="s">
        <v>1983</v>
      </c>
      <c r="D1800" s="56" t="s">
        <v>1993</v>
      </c>
    </row>
    <row r="1801" spans="2:4" s="54" customFormat="1" x14ac:dyDescent="0.2">
      <c r="B1801" s="107" t="s">
        <v>1982</v>
      </c>
      <c r="C1801" s="55" t="s">
        <v>1983</v>
      </c>
      <c r="D1801" s="56" t="s">
        <v>1994</v>
      </c>
    </row>
    <row r="1802" spans="2:4" s="54" customFormat="1" x14ac:dyDescent="0.2">
      <c r="B1802" s="107" t="s">
        <v>1982</v>
      </c>
      <c r="C1802" s="55" t="s">
        <v>1983</v>
      </c>
      <c r="D1802" s="56" t="s">
        <v>1995</v>
      </c>
    </row>
    <row r="1803" spans="2:4" s="54" customFormat="1" x14ac:dyDescent="0.2">
      <c r="B1803" s="107" t="s">
        <v>1982</v>
      </c>
      <c r="C1803" s="55" t="s">
        <v>1983</v>
      </c>
      <c r="D1803" s="56" t="s">
        <v>1996</v>
      </c>
    </row>
    <row r="1804" spans="2:4" s="54" customFormat="1" x14ac:dyDescent="0.2">
      <c r="B1804" s="107" t="s">
        <v>1982</v>
      </c>
      <c r="C1804" s="55" t="s">
        <v>1983</v>
      </c>
      <c r="D1804" s="56" t="s">
        <v>1997</v>
      </c>
    </row>
    <row r="1805" spans="2:4" s="54" customFormat="1" x14ac:dyDescent="0.2">
      <c r="B1805" s="107" t="s">
        <v>1982</v>
      </c>
      <c r="C1805" s="55" t="s">
        <v>1983</v>
      </c>
      <c r="D1805" s="56" t="s">
        <v>1998</v>
      </c>
    </row>
    <row r="1806" spans="2:4" s="54" customFormat="1" x14ac:dyDescent="0.2">
      <c r="B1806" s="107" t="s">
        <v>1982</v>
      </c>
      <c r="C1806" s="55" t="s">
        <v>1983</v>
      </c>
      <c r="D1806" s="56" t="s">
        <v>1999</v>
      </c>
    </row>
    <row r="1807" spans="2:4" s="54" customFormat="1" x14ac:dyDescent="0.2">
      <c r="B1807" s="107" t="s">
        <v>1982</v>
      </c>
      <c r="C1807" s="55" t="s">
        <v>1983</v>
      </c>
      <c r="D1807" s="56" t="s">
        <v>2000</v>
      </c>
    </row>
    <row r="1808" spans="2:4" s="54" customFormat="1" x14ac:dyDescent="0.2">
      <c r="B1808" s="107" t="s">
        <v>1982</v>
      </c>
      <c r="C1808" s="55" t="s">
        <v>1983</v>
      </c>
      <c r="D1808" s="56" t="s">
        <v>2001</v>
      </c>
    </row>
    <row r="1809" spans="2:4" s="54" customFormat="1" x14ac:dyDescent="0.2">
      <c r="B1809" s="107" t="s">
        <v>1982</v>
      </c>
      <c r="C1809" s="55" t="s">
        <v>1983</v>
      </c>
      <c r="D1809" s="56" t="s">
        <v>2002</v>
      </c>
    </row>
    <row r="1810" spans="2:4" s="54" customFormat="1" x14ac:dyDescent="0.2">
      <c r="B1810" s="107" t="s">
        <v>1982</v>
      </c>
      <c r="C1810" s="55" t="s">
        <v>1983</v>
      </c>
      <c r="D1810" s="56" t="s">
        <v>2003</v>
      </c>
    </row>
    <row r="1811" spans="2:4" s="54" customFormat="1" x14ac:dyDescent="0.2">
      <c r="B1811" s="107" t="s">
        <v>1982</v>
      </c>
      <c r="C1811" s="55" t="s">
        <v>1983</v>
      </c>
      <c r="D1811" s="56" t="s">
        <v>2004</v>
      </c>
    </row>
    <row r="1812" spans="2:4" s="54" customFormat="1" x14ac:dyDescent="0.2">
      <c r="B1812" s="107" t="s">
        <v>2005</v>
      </c>
      <c r="C1812" s="55" t="s">
        <v>2006</v>
      </c>
      <c r="D1812" s="56" t="s">
        <v>2007</v>
      </c>
    </row>
    <row r="1813" spans="2:4" s="54" customFormat="1" x14ac:dyDescent="0.2">
      <c r="B1813" s="107" t="s">
        <v>2005</v>
      </c>
      <c r="C1813" s="55" t="s">
        <v>2006</v>
      </c>
      <c r="D1813" s="56" t="s">
        <v>2008</v>
      </c>
    </row>
    <row r="1814" spans="2:4" s="54" customFormat="1" x14ac:dyDescent="0.2">
      <c r="B1814" s="107" t="s">
        <v>2005</v>
      </c>
      <c r="C1814" s="55" t="s">
        <v>2006</v>
      </c>
      <c r="D1814" s="56" t="s">
        <v>2009</v>
      </c>
    </row>
    <row r="1815" spans="2:4" s="54" customFormat="1" x14ac:dyDescent="0.2">
      <c r="B1815" s="107" t="s">
        <v>2005</v>
      </c>
      <c r="C1815" s="55" t="s">
        <v>2006</v>
      </c>
      <c r="D1815" s="56" t="s">
        <v>2010</v>
      </c>
    </row>
    <row r="1816" spans="2:4" s="54" customFormat="1" x14ac:dyDescent="0.2">
      <c r="B1816" s="107" t="s">
        <v>2005</v>
      </c>
      <c r="C1816" s="55" t="s">
        <v>2006</v>
      </c>
      <c r="D1816" s="56" t="s">
        <v>2011</v>
      </c>
    </row>
    <row r="1817" spans="2:4" s="54" customFormat="1" x14ac:dyDescent="0.2">
      <c r="B1817" s="107" t="s">
        <v>2005</v>
      </c>
      <c r="C1817" s="55" t="s">
        <v>2006</v>
      </c>
      <c r="D1817" s="56" t="s">
        <v>2012</v>
      </c>
    </row>
    <row r="1818" spans="2:4" s="54" customFormat="1" x14ac:dyDescent="0.2">
      <c r="B1818" s="107" t="s">
        <v>2005</v>
      </c>
      <c r="C1818" s="55" t="s">
        <v>2006</v>
      </c>
      <c r="D1818" s="56" t="s">
        <v>2013</v>
      </c>
    </row>
    <row r="1819" spans="2:4" s="54" customFormat="1" x14ac:dyDescent="0.2">
      <c r="B1819" s="107" t="s">
        <v>2005</v>
      </c>
      <c r="C1819" s="55" t="s">
        <v>2006</v>
      </c>
      <c r="D1819" s="56" t="s">
        <v>2014</v>
      </c>
    </row>
    <row r="1820" spans="2:4" s="54" customFormat="1" x14ac:dyDescent="0.2">
      <c r="B1820" s="107" t="s">
        <v>2005</v>
      </c>
      <c r="C1820" s="55" t="s">
        <v>2006</v>
      </c>
      <c r="D1820" s="56" t="s">
        <v>2015</v>
      </c>
    </row>
    <row r="1821" spans="2:4" s="54" customFormat="1" x14ac:dyDescent="0.2">
      <c r="B1821" s="107" t="s">
        <v>2005</v>
      </c>
      <c r="C1821" s="55" t="s">
        <v>2006</v>
      </c>
      <c r="D1821" s="56" t="s">
        <v>2016</v>
      </c>
    </row>
    <row r="1822" spans="2:4" s="54" customFormat="1" x14ac:dyDescent="0.2">
      <c r="B1822" s="107" t="s">
        <v>2005</v>
      </c>
      <c r="C1822" s="55" t="s">
        <v>2006</v>
      </c>
      <c r="D1822" s="56" t="s">
        <v>2017</v>
      </c>
    </row>
    <row r="1823" spans="2:4" s="54" customFormat="1" x14ac:dyDescent="0.2">
      <c r="B1823" s="107" t="s">
        <v>2018</v>
      </c>
      <c r="C1823" s="55" t="s">
        <v>2019</v>
      </c>
      <c r="D1823" s="56" t="s">
        <v>2020</v>
      </c>
    </row>
    <row r="1824" spans="2:4" s="54" customFormat="1" x14ac:dyDescent="0.2">
      <c r="B1824" s="107" t="s">
        <v>2018</v>
      </c>
      <c r="C1824" s="55" t="s">
        <v>2019</v>
      </c>
      <c r="D1824" s="56" t="s">
        <v>2021</v>
      </c>
    </row>
    <row r="1825" spans="2:4" s="54" customFormat="1" x14ac:dyDescent="0.2">
      <c r="B1825" s="107" t="s">
        <v>2018</v>
      </c>
      <c r="C1825" s="55" t="s">
        <v>2019</v>
      </c>
      <c r="D1825" s="56" t="s">
        <v>2022</v>
      </c>
    </row>
    <row r="1826" spans="2:4" s="54" customFormat="1" x14ac:dyDescent="0.2">
      <c r="B1826" s="107" t="s">
        <v>2018</v>
      </c>
      <c r="C1826" s="55" t="s">
        <v>2019</v>
      </c>
      <c r="D1826" s="56" t="s">
        <v>2023</v>
      </c>
    </row>
    <row r="1827" spans="2:4" s="54" customFormat="1" x14ac:dyDescent="0.2">
      <c r="B1827" s="107" t="s">
        <v>2018</v>
      </c>
      <c r="C1827" s="55" t="s">
        <v>2019</v>
      </c>
      <c r="D1827" s="56" t="s">
        <v>2024</v>
      </c>
    </row>
    <row r="1828" spans="2:4" s="54" customFormat="1" x14ac:dyDescent="0.2">
      <c r="B1828" s="107" t="s">
        <v>2018</v>
      </c>
      <c r="C1828" s="55" t="s">
        <v>2019</v>
      </c>
      <c r="D1828" s="56" t="s">
        <v>2025</v>
      </c>
    </row>
    <row r="1829" spans="2:4" s="54" customFormat="1" x14ac:dyDescent="0.2">
      <c r="B1829" s="107" t="s">
        <v>2018</v>
      </c>
      <c r="C1829" s="55" t="s">
        <v>2019</v>
      </c>
      <c r="D1829" s="56" t="s">
        <v>2026</v>
      </c>
    </row>
    <row r="1830" spans="2:4" s="54" customFormat="1" x14ac:dyDescent="0.2">
      <c r="B1830" s="107" t="s">
        <v>2018</v>
      </c>
      <c r="C1830" s="55" t="s">
        <v>2019</v>
      </c>
      <c r="D1830" s="56" t="s">
        <v>2027</v>
      </c>
    </row>
    <row r="1831" spans="2:4" s="54" customFormat="1" x14ac:dyDescent="0.2">
      <c r="B1831" s="107" t="s">
        <v>2018</v>
      </c>
      <c r="C1831" s="55" t="s">
        <v>2019</v>
      </c>
      <c r="D1831" s="56" t="s">
        <v>2028</v>
      </c>
    </row>
    <row r="1832" spans="2:4" s="54" customFormat="1" x14ac:dyDescent="0.2">
      <c r="B1832" s="107" t="s">
        <v>2018</v>
      </c>
      <c r="C1832" s="55" t="s">
        <v>2019</v>
      </c>
      <c r="D1832" s="56" t="s">
        <v>2029</v>
      </c>
    </row>
    <row r="1833" spans="2:4" s="54" customFormat="1" x14ac:dyDescent="0.2">
      <c r="B1833" s="107" t="s">
        <v>2018</v>
      </c>
      <c r="C1833" s="55" t="s">
        <v>2019</v>
      </c>
      <c r="D1833" s="56" t="s">
        <v>2030</v>
      </c>
    </row>
    <row r="1834" spans="2:4" s="54" customFormat="1" x14ac:dyDescent="0.2">
      <c r="B1834" s="107" t="s">
        <v>2031</v>
      </c>
      <c r="C1834" s="55" t="s">
        <v>2032</v>
      </c>
      <c r="D1834" s="56" t="s">
        <v>2033</v>
      </c>
    </row>
    <row r="1835" spans="2:4" s="54" customFormat="1" x14ac:dyDescent="0.2">
      <c r="B1835" s="107" t="s">
        <v>2031</v>
      </c>
      <c r="C1835" s="55" t="s">
        <v>2032</v>
      </c>
      <c r="D1835" s="56" t="s">
        <v>2034</v>
      </c>
    </row>
    <row r="1836" spans="2:4" s="54" customFormat="1" x14ac:dyDescent="0.2">
      <c r="B1836" s="107" t="s">
        <v>2031</v>
      </c>
      <c r="C1836" s="55" t="s">
        <v>2032</v>
      </c>
      <c r="D1836" s="56" t="s">
        <v>2035</v>
      </c>
    </row>
    <row r="1837" spans="2:4" s="54" customFormat="1" x14ac:dyDescent="0.2">
      <c r="B1837" s="107" t="s">
        <v>2031</v>
      </c>
      <c r="C1837" s="55" t="s">
        <v>2032</v>
      </c>
      <c r="D1837" s="56" t="s">
        <v>2036</v>
      </c>
    </row>
    <row r="1838" spans="2:4" s="54" customFormat="1" x14ac:dyDescent="0.2">
      <c r="B1838" s="107" t="s">
        <v>2031</v>
      </c>
      <c r="C1838" s="55" t="s">
        <v>2032</v>
      </c>
      <c r="D1838" s="56" t="s">
        <v>2037</v>
      </c>
    </row>
    <row r="1839" spans="2:4" s="54" customFormat="1" x14ac:dyDescent="0.2">
      <c r="B1839" s="107" t="s">
        <v>2031</v>
      </c>
      <c r="C1839" s="55" t="s">
        <v>2032</v>
      </c>
      <c r="D1839" s="56" t="s">
        <v>2038</v>
      </c>
    </row>
    <row r="1840" spans="2:4" s="54" customFormat="1" x14ac:dyDescent="0.2">
      <c r="B1840" s="107" t="s">
        <v>2031</v>
      </c>
      <c r="C1840" s="55" t="s">
        <v>2032</v>
      </c>
      <c r="D1840" s="56" t="s">
        <v>2039</v>
      </c>
    </row>
    <row r="1841" spans="2:4" s="54" customFormat="1" x14ac:dyDescent="0.2">
      <c r="B1841" s="107" t="s">
        <v>2031</v>
      </c>
      <c r="C1841" s="55" t="s">
        <v>2032</v>
      </c>
      <c r="D1841" s="56" t="s">
        <v>2040</v>
      </c>
    </row>
    <row r="1842" spans="2:4" s="54" customFormat="1" x14ac:dyDescent="0.2">
      <c r="B1842" s="107" t="s">
        <v>2031</v>
      </c>
      <c r="C1842" s="55" t="s">
        <v>2032</v>
      </c>
      <c r="D1842" s="56" t="s">
        <v>2041</v>
      </c>
    </row>
    <row r="1843" spans="2:4" s="54" customFormat="1" x14ac:dyDescent="0.2">
      <c r="B1843" s="107" t="s">
        <v>2031</v>
      </c>
      <c r="C1843" s="55" t="s">
        <v>2032</v>
      </c>
      <c r="D1843" s="56" t="s">
        <v>2042</v>
      </c>
    </row>
    <row r="1844" spans="2:4" s="54" customFormat="1" x14ac:dyDescent="0.2">
      <c r="B1844" s="107" t="s">
        <v>2031</v>
      </c>
      <c r="C1844" s="55" t="s">
        <v>2032</v>
      </c>
      <c r="D1844" s="56" t="s">
        <v>2043</v>
      </c>
    </row>
    <row r="1845" spans="2:4" s="54" customFormat="1" x14ac:dyDescent="0.2">
      <c r="B1845" s="107" t="s">
        <v>2031</v>
      </c>
      <c r="C1845" s="55" t="s">
        <v>2032</v>
      </c>
      <c r="D1845" s="56" t="s">
        <v>2044</v>
      </c>
    </row>
    <row r="1846" spans="2:4" s="54" customFormat="1" x14ac:dyDescent="0.2">
      <c r="B1846" s="107" t="s">
        <v>2031</v>
      </c>
      <c r="C1846" s="55" t="s">
        <v>2032</v>
      </c>
      <c r="D1846" s="56" t="s">
        <v>2045</v>
      </c>
    </row>
    <row r="1847" spans="2:4" s="54" customFormat="1" x14ac:dyDescent="0.2">
      <c r="B1847" s="107" t="s">
        <v>2031</v>
      </c>
      <c r="C1847" s="55" t="s">
        <v>2032</v>
      </c>
      <c r="D1847" s="56" t="s">
        <v>2046</v>
      </c>
    </row>
    <row r="1848" spans="2:4" s="54" customFormat="1" x14ac:dyDescent="0.2">
      <c r="B1848" s="107" t="s">
        <v>2031</v>
      </c>
      <c r="C1848" s="55" t="s">
        <v>2032</v>
      </c>
      <c r="D1848" s="56" t="s">
        <v>2047</v>
      </c>
    </row>
    <row r="1849" spans="2:4" s="54" customFormat="1" x14ac:dyDescent="0.2">
      <c r="B1849" s="107" t="s">
        <v>2031</v>
      </c>
      <c r="C1849" s="55" t="s">
        <v>2032</v>
      </c>
      <c r="D1849" s="56" t="s">
        <v>2048</v>
      </c>
    </row>
    <row r="1850" spans="2:4" s="54" customFormat="1" x14ac:dyDescent="0.2">
      <c r="B1850" s="107" t="s">
        <v>2031</v>
      </c>
      <c r="C1850" s="55" t="s">
        <v>2032</v>
      </c>
      <c r="D1850" s="56" t="s">
        <v>2049</v>
      </c>
    </row>
    <row r="1851" spans="2:4" s="54" customFormat="1" x14ac:dyDescent="0.2">
      <c r="B1851" s="107" t="s">
        <v>2031</v>
      </c>
      <c r="C1851" s="55" t="s">
        <v>2032</v>
      </c>
      <c r="D1851" s="56" t="s">
        <v>2050</v>
      </c>
    </row>
    <row r="1852" spans="2:4" s="54" customFormat="1" x14ac:dyDescent="0.2">
      <c r="B1852" s="107" t="s">
        <v>2051</v>
      </c>
      <c r="C1852" s="55" t="s">
        <v>2052</v>
      </c>
      <c r="D1852" s="56" t="s">
        <v>2053</v>
      </c>
    </row>
    <row r="1853" spans="2:4" s="54" customFormat="1" x14ac:dyDescent="0.2">
      <c r="B1853" s="107" t="s">
        <v>2051</v>
      </c>
      <c r="C1853" s="55" t="s">
        <v>2052</v>
      </c>
      <c r="D1853" s="56" t="s">
        <v>2054</v>
      </c>
    </row>
    <row r="1854" spans="2:4" s="54" customFormat="1" x14ac:dyDescent="0.2">
      <c r="B1854" s="107" t="s">
        <v>2051</v>
      </c>
      <c r="C1854" s="55" t="s">
        <v>2052</v>
      </c>
      <c r="D1854" s="56" t="s">
        <v>2055</v>
      </c>
    </row>
    <row r="1855" spans="2:4" s="54" customFormat="1" x14ac:dyDescent="0.2">
      <c r="B1855" s="107" t="s">
        <v>2051</v>
      </c>
      <c r="C1855" s="55" t="s">
        <v>2052</v>
      </c>
      <c r="D1855" s="56" t="s">
        <v>2056</v>
      </c>
    </row>
    <row r="1856" spans="2:4" s="54" customFormat="1" x14ac:dyDescent="0.2">
      <c r="B1856" s="107" t="s">
        <v>2051</v>
      </c>
      <c r="C1856" s="55" t="s">
        <v>2052</v>
      </c>
      <c r="D1856" s="56" t="s">
        <v>2057</v>
      </c>
    </row>
    <row r="1857" spans="2:4" s="54" customFormat="1" x14ac:dyDescent="0.2">
      <c r="B1857" s="107" t="s">
        <v>2051</v>
      </c>
      <c r="C1857" s="55" t="s">
        <v>2052</v>
      </c>
      <c r="D1857" s="56" t="s">
        <v>2058</v>
      </c>
    </row>
    <row r="1858" spans="2:4" s="54" customFormat="1" x14ac:dyDescent="0.2">
      <c r="B1858" s="107" t="s">
        <v>2051</v>
      </c>
      <c r="C1858" s="55" t="s">
        <v>2052</v>
      </c>
      <c r="D1858" s="56" t="s">
        <v>2059</v>
      </c>
    </row>
    <row r="1859" spans="2:4" s="54" customFormat="1" x14ac:dyDescent="0.2">
      <c r="B1859" s="107" t="s">
        <v>2051</v>
      </c>
      <c r="C1859" s="55" t="s">
        <v>2052</v>
      </c>
      <c r="D1859" s="56" t="s">
        <v>2060</v>
      </c>
    </row>
    <row r="1860" spans="2:4" s="54" customFormat="1" x14ac:dyDescent="0.2">
      <c r="B1860" s="107" t="s">
        <v>2051</v>
      </c>
      <c r="C1860" s="55" t="s">
        <v>2052</v>
      </c>
      <c r="D1860" s="56" t="s">
        <v>2061</v>
      </c>
    </row>
    <row r="1861" spans="2:4" s="54" customFormat="1" x14ac:dyDescent="0.2">
      <c r="B1861" s="107" t="s">
        <v>2051</v>
      </c>
      <c r="C1861" s="55" t="s">
        <v>2052</v>
      </c>
      <c r="D1861" s="56" t="s">
        <v>2062</v>
      </c>
    </row>
    <row r="1862" spans="2:4" s="54" customFormat="1" x14ac:dyDescent="0.2">
      <c r="B1862" s="107" t="s">
        <v>2051</v>
      </c>
      <c r="C1862" s="55" t="s">
        <v>2052</v>
      </c>
      <c r="D1862" s="56" t="s">
        <v>2063</v>
      </c>
    </row>
    <row r="1863" spans="2:4" s="54" customFormat="1" x14ac:dyDescent="0.2">
      <c r="B1863" s="107" t="s">
        <v>2051</v>
      </c>
      <c r="C1863" s="55" t="s">
        <v>2052</v>
      </c>
      <c r="D1863" s="56" t="s">
        <v>2064</v>
      </c>
    </row>
    <row r="1864" spans="2:4" s="54" customFormat="1" x14ac:dyDescent="0.2">
      <c r="B1864" s="107" t="s">
        <v>2051</v>
      </c>
      <c r="C1864" s="55" t="s">
        <v>2052</v>
      </c>
      <c r="D1864" s="56" t="s">
        <v>2065</v>
      </c>
    </row>
    <row r="1865" spans="2:4" s="54" customFormat="1" x14ac:dyDescent="0.2">
      <c r="B1865" s="107" t="s">
        <v>2066</v>
      </c>
      <c r="C1865" s="55" t="s">
        <v>2067</v>
      </c>
      <c r="D1865" s="56" t="s">
        <v>2068</v>
      </c>
    </row>
    <row r="1866" spans="2:4" s="54" customFormat="1" x14ac:dyDescent="0.2">
      <c r="B1866" s="107" t="s">
        <v>2066</v>
      </c>
      <c r="C1866" s="55" t="s">
        <v>2067</v>
      </c>
      <c r="D1866" s="56" t="s">
        <v>2069</v>
      </c>
    </row>
    <row r="1867" spans="2:4" s="54" customFormat="1" x14ac:dyDescent="0.2">
      <c r="B1867" s="107" t="s">
        <v>2066</v>
      </c>
      <c r="C1867" s="55" t="s">
        <v>2067</v>
      </c>
      <c r="D1867" s="56" t="s">
        <v>2070</v>
      </c>
    </row>
    <row r="1868" spans="2:4" s="54" customFormat="1" x14ac:dyDescent="0.2">
      <c r="B1868" s="107" t="s">
        <v>2066</v>
      </c>
      <c r="C1868" s="55" t="s">
        <v>2067</v>
      </c>
      <c r="D1868" s="56" t="s">
        <v>2071</v>
      </c>
    </row>
    <row r="1869" spans="2:4" s="54" customFormat="1" x14ac:dyDescent="0.2">
      <c r="B1869" s="107" t="s">
        <v>2066</v>
      </c>
      <c r="C1869" s="55" t="s">
        <v>2067</v>
      </c>
      <c r="D1869" s="56" t="s">
        <v>2072</v>
      </c>
    </row>
    <row r="1870" spans="2:4" s="54" customFormat="1" x14ac:dyDescent="0.2">
      <c r="B1870" s="107" t="s">
        <v>2066</v>
      </c>
      <c r="C1870" s="55" t="s">
        <v>2067</v>
      </c>
      <c r="D1870" s="56" t="s">
        <v>2073</v>
      </c>
    </row>
    <row r="1871" spans="2:4" s="54" customFormat="1" x14ac:dyDescent="0.2">
      <c r="B1871" s="107" t="s">
        <v>2066</v>
      </c>
      <c r="C1871" s="55" t="s">
        <v>2067</v>
      </c>
      <c r="D1871" s="56" t="s">
        <v>2074</v>
      </c>
    </row>
    <row r="1872" spans="2:4" s="54" customFormat="1" x14ac:dyDescent="0.2">
      <c r="B1872" s="107" t="s">
        <v>2066</v>
      </c>
      <c r="C1872" s="55" t="s">
        <v>2067</v>
      </c>
      <c r="D1872" s="56" t="s">
        <v>2075</v>
      </c>
    </row>
    <row r="1873" spans="2:4" s="54" customFormat="1" x14ac:dyDescent="0.2">
      <c r="B1873" s="107" t="s">
        <v>2066</v>
      </c>
      <c r="C1873" s="55" t="s">
        <v>2067</v>
      </c>
      <c r="D1873" s="56" t="s">
        <v>2076</v>
      </c>
    </row>
    <row r="1874" spans="2:4" s="54" customFormat="1" x14ac:dyDescent="0.2">
      <c r="B1874" s="107" t="s">
        <v>2066</v>
      </c>
      <c r="C1874" s="55" t="s">
        <v>2067</v>
      </c>
      <c r="D1874" s="56" t="s">
        <v>2077</v>
      </c>
    </row>
    <row r="1875" spans="2:4" s="54" customFormat="1" x14ac:dyDescent="0.2">
      <c r="B1875" s="107" t="s">
        <v>2066</v>
      </c>
      <c r="C1875" s="55" t="s">
        <v>2067</v>
      </c>
      <c r="D1875" s="56" t="s">
        <v>2078</v>
      </c>
    </row>
    <row r="1876" spans="2:4" s="54" customFormat="1" x14ac:dyDescent="0.2">
      <c r="B1876" s="107" t="s">
        <v>2066</v>
      </c>
      <c r="C1876" s="55" t="s">
        <v>2067</v>
      </c>
      <c r="D1876" s="56" t="s">
        <v>2079</v>
      </c>
    </row>
    <row r="1877" spans="2:4" s="54" customFormat="1" x14ac:dyDescent="0.2">
      <c r="B1877" s="107" t="s">
        <v>2066</v>
      </c>
      <c r="C1877" s="55" t="s">
        <v>2067</v>
      </c>
      <c r="D1877" s="56" t="s">
        <v>2080</v>
      </c>
    </row>
    <row r="1878" spans="2:4" s="54" customFormat="1" x14ac:dyDescent="0.2">
      <c r="B1878" s="107" t="s">
        <v>2066</v>
      </c>
      <c r="C1878" s="55" t="s">
        <v>2067</v>
      </c>
      <c r="D1878" s="56" t="s">
        <v>2081</v>
      </c>
    </row>
    <row r="1879" spans="2:4" s="54" customFormat="1" x14ac:dyDescent="0.2">
      <c r="B1879" s="107" t="s">
        <v>2082</v>
      </c>
      <c r="C1879" s="55" t="s">
        <v>2083</v>
      </c>
      <c r="D1879" s="56" t="s">
        <v>2084</v>
      </c>
    </row>
    <row r="1880" spans="2:4" s="54" customFormat="1" x14ac:dyDescent="0.2">
      <c r="B1880" s="107" t="s">
        <v>2082</v>
      </c>
      <c r="C1880" s="55" t="s">
        <v>2083</v>
      </c>
      <c r="D1880" s="56" t="s">
        <v>2085</v>
      </c>
    </row>
    <row r="1881" spans="2:4" s="54" customFormat="1" x14ac:dyDescent="0.2">
      <c r="B1881" s="107" t="s">
        <v>2082</v>
      </c>
      <c r="C1881" s="55" t="s">
        <v>2083</v>
      </c>
      <c r="D1881" s="56" t="s">
        <v>2086</v>
      </c>
    </row>
    <row r="1882" spans="2:4" s="54" customFormat="1" x14ac:dyDescent="0.2">
      <c r="B1882" s="107" t="s">
        <v>2082</v>
      </c>
      <c r="C1882" s="55" t="s">
        <v>2083</v>
      </c>
      <c r="D1882" s="56" t="s">
        <v>2087</v>
      </c>
    </row>
    <row r="1883" spans="2:4" s="54" customFormat="1" x14ac:dyDescent="0.2">
      <c r="B1883" s="107" t="s">
        <v>2082</v>
      </c>
      <c r="C1883" s="55" t="s">
        <v>2083</v>
      </c>
      <c r="D1883" s="56" t="s">
        <v>2088</v>
      </c>
    </row>
    <row r="1884" spans="2:4" s="54" customFormat="1" x14ac:dyDescent="0.2">
      <c r="B1884" s="107" t="s">
        <v>2082</v>
      </c>
      <c r="C1884" s="55" t="s">
        <v>2083</v>
      </c>
      <c r="D1884" s="56" t="s">
        <v>2089</v>
      </c>
    </row>
    <row r="1885" spans="2:4" s="54" customFormat="1" x14ac:dyDescent="0.2">
      <c r="B1885" s="107" t="s">
        <v>2082</v>
      </c>
      <c r="C1885" s="55" t="s">
        <v>2083</v>
      </c>
      <c r="D1885" s="56" t="s">
        <v>2090</v>
      </c>
    </row>
    <row r="1886" spans="2:4" s="54" customFormat="1" x14ac:dyDescent="0.2">
      <c r="B1886" s="107" t="s">
        <v>2091</v>
      </c>
      <c r="C1886" s="55" t="s">
        <v>2092</v>
      </c>
      <c r="D1886" s="56" t="s">
        <v>2093</v>
      </c>
    </row>
    <row r="1887" spans="2:4" s="54" customFormat="1" x14ac:dyDescent="0.2">
      <c r="B1887" s="107" t="s">
        <v>2091</v>
      </c>
      <c r="C1887" s="55" t="s">
        <v>2092</v>
      </c>
      <c r="D1887" s="56" t="s">
        <v>2094</v>
      </c>
    </row>
    <row r="1888" spans="2:4" s="54" customFormat="1" x14ac:dyDescent="0.2">
      <c r="B1888" s="107" t="s">
        <v>2091</v>
      </c>
      <c r="C1888" s="55" t="s">
        <v>2092</v>
      </c>
      <c r="D1888" s="56" t="s">
        <v>2095</v>
      </c>
    </row>
    <row r="1889" spans="2:4" s="54" customFormat="1" x14ac:dyDescent="0.2">
      <c r="B1889" s="107" t="s">
        <v>2091</v>
      </c>
      <c r="C1889" s="55" t="s">
        <v>2092</v>
      </c>
      <c r="D1889" s="56" t="s">
        <v>2096</v>
      </c>
    </row>
    <row r="1890" spans="2:4" s="54" customFormat="1" x14ac:dyDescent="0.2">
      <c r="B1890" s="107" t="s">
        <v>2097</v>
      </c>
      <c r="C1890" s="55" t="s">
        <v>2098</v>
      </c>
      <c r="D1890" s="56" t="s">
        <v>2099</v>
      </c>
    </row>
    <row r="1891" spans="2:4" s="54" customFormat="1" x14ac:dyDescent="0.2">
      <c r="B1891" s="107" t="s">
        <v>2097</v>
      </c>
      <c r="C1891" s="55" t="s">
        <v>2098</v>
      </c>
      <c r="D1891" s="56" t="s">
        <v>2100</v>
      </c>
    </row>
    <row r="1892" spans="2:4" s="54" customFormat="1" x14ac:dyDescent="0.2">
      <c r="B1892" s="107" t="s">
        <v>2097</v>
      </c>
      <c r="C1892" s="55" t="s">
        <v>2098</v>
      </c>
      <c r="D1892" s="56" t="s">
        <v>2101</v>
      </c>
    </row>
    <row r="1893" spans="2:4" s="54" customFormat="1" x14ac:dyDescent="0.2">
      <c r="B1893" s="107" t="s">
        <v>2097</v>
      </c>
      <c r="C1893" s="55" t="s">
        <v>2098</v>
      </c>
      <c r="D1893" s="56" t="s">
        <v>2102</v>
      </c>
    </row>
    <row r="1894" spans="2:4" s="54" customFormat="1" x14ac:dyDescent="0.2">
      <c r="B1894" s="107" t="s">
        <v>2097</v>
      </c>
      <c r="C1894" s="55" t="s">
        <v>2098</v>
      </c>
      <c r="D1894" s="56" t="s">
        <v>2103</v>
      </c>
    </row>
    <row r="1895" spans="2:4" s="54" customFormat="1" x14ac:dyDescent="0.2">
      <c r="B1895" s="107" t="s">
        <v>2097</v>
      </c>
      <c r="C1895" s="55" t="s">
        <v>2098</v>
      </c>
      <c r="D1895" s="56" t="s">
        <v>2104</v>
      </c>
    </row>
    <row r="1896" spans="2:4" s="54" customFormat="1" x14ac:dyDescent="0.2">
      <c r="B1896" s="107" t="s">
        <v>2097</v>
      </c>
      <c r="C1896" s="55" t="s">
        <v>2098</v>
      </c>
      <c r="D1896" s="56" t="s">
        <v>2105</v>
      </c>
    </row>
    <row r="1897" spans="2:4" s="54" customFormat="1" x14ac:dyDescent="0.2">
      <c r="B1897" s="107" t="s">
        <v>2097</v>
      </c>
      <c r="C1897" s="55" t="s">
        <v>2098</v>
      </c>
      <c r="D1897" s="56" t="s">
        <v>2106</v>
      </c>
    </row>
    <row r="1898" spans="2:4" s="54" customFormat="1" x14ac:dyDescent="0.2">
      <c r="B1898" s="107" t="s">
        <v>2097</v>
      </c>
      <c r="C1898" s="55" t="s">
        <v>2098</v>
      </c>
      <c r="D1898" s="56" t="s">
        <v>2107</v>
      </c>
    </row>
    <row r="1899" spans="2:4" s="54" customFormat="1" x14ac:dyDescent="0.2">
      <c r="B1899" s="107" t="s">
        <v>2097</v>
      </c>
      <c r="C1899" s="55" t="s">
        <v>2098</v>
      </c>
      <c r="D1899" s="56" t="s">
        <v>2108</v>
      </c>
    </row>
    <row r="1900" spans="2:4" s="54" customFormat="1" x14ac:dyDescent="0.2">
      <c r="B1900" s="107" t="s">
        <v>2097</v>
      </c>
      <c r="C1900" s="55" t="s">
        <v>2098</v>
      </c>
      <c r="D1900" s="56" t="s">
        <v>2109</v>
      </c>
    </row>
    <row r="1901" spans="2:4" s="54" customFormat="1" x14ac:dyDescent="0.2">
      <c r="B1901" s="107" t="s">
        <v>2097</v>
      </c>
      <c r="C1901" s="55" t="s">
        <v>2098</v>
      </c>
      <c r="D1901" s="56" t="s">
        <v>2110</v>
      </c>
    </row>
    <row r="1902" spans="2:4" s="54" customFormat="1" x14ac:dyDescent="0.2">
      <c r="B1902" s="107" t="s">
        <v>2097</v>
      </c>
      <c r="C1902" s="55" t="s">
        <v>2098</v>
      </c>
      <c r="D1902" s="56" t="s">
        <v>274</v>
      </c>
    </row>
    <row r="1903" spans="2:4" s="54" customFormat="1" x14ac:dyDescent="0.2">
      <c r="B1903" s="107" t="s">
        <v>2097</v>
      </c>
      <c r="C1903" s="55" t="s">
        <v>2098</v>
      </c>
      <c r="D1903" s="56" t="s">
        <v>2111</v>
      </c>
    </row>
    <row r="1904" spans="2:4" s="54" customFormat="1" x14ac:dyDescent="0.2">
      <c r="B1904" s="107" t="s">
        <v>2097</v>
      </c>
      <c r="C1904" s="55" t="s">
        <v>2098</v>
      </c>
      <c r="D1904" s="56" t="s">
        <v>2112</v>
      </c>
    </row>
    <row r="1905" spans="2:4" s="54" customFormat="1" x14ac:dyDescent="0.2">
      <c r="B1905" s="107" t="s">
        <v>2097</v>
      </c>
      <c r="C1905" s="55" t="s">
        <v>2098</v>
      </c>
      <c r="D1905" s="56" t="s">
        <v>2113</v>
      </c>
    </row>
    <row r="1906" spans="2:4" s="54" customFormat="1" x14ac:dyDescent="0.2">
      <c r="B1906" s="107" t="s">
        <v>2097</v>
      </c>
      <c r="C1906" s="55" t="s">
        <v>2098</v>
      </c>
      <c r="D1906" s="56" t="s">
        <v>2114</v>
      </c>
    </row>
    <row r="1907" spans="2:4" s="54" customFormat="1" x14ac:dyDescent="0.2">
      <c r="B1907" s="107" t="s">
        <v>2097</v>
      </c>
      <c r="C1907" s="55" t="s">
        <v>2098</v>
      </c>
      <c r="D1907" s="56" t="s">
        <v>2115</v>
      </c>
    </row>
    <row r="1908" spans="2:4" s="54" customFormat="1" x14ac:dyDescent="0.2">
      <c r="B1908" s="107" t="s">
        <v>2097</v>
      </c>
      <c r="C1908" s="55" t="s">
        <v>2098</v>
      </c>
      <c r="D1908" s="56" t="s">
        <v>2116</v>
      </c>
    </row>
    <row r="1909" spans="2:4" s="54" customFormat="1" x14ac:dyDescent="0.2">
      <c r="B1909" s="107" t="s">
        <v>2097</v>
      </c>
      <c r="C1909" s="55" t="s">
        <v>2098</v>
      </c>
      <c r="D1909" s="56" t="s">
        <v>2117</v>
      </c>
    </row>
    <row r="1910" spans="2:4" s="54" customFormat="1" x14ac:dyDescent="0.2">
      <c r="B1910" s="107" t="s">
        <v>2118</v>
      </c>
      <c r="C1910" s="55" t="s">
        <v>2119</v>
      </c>
      <c r="D1910" s="56" t="s">
        <v>2120</v>
      </c>
    </row>
    <row r="1911" spans="2:4" s="54" customFormat="1" x14ac:dyDescent="0.2">
      <c r="B1911" s="107" t="s">
        <v>2118</v>
      </c>
      <c r="C1911" s="55" t="s">
        <v>2119</v>
      </c>
      <c r="D1911" s="56" t="s">
        <v>2121</v>
      </c>
    </row>
    <row r="1912" spans="2:4" s="54" customFormat="1" x14ac:dyDescent="0.2">
      <c r="B1912" s="107" t="s">
        <v>2118</v>
      </c>
      <c r="C1912" s="55" t="s">
        <v>2119</v>
      </c>
      <c r="D1912" s="56" t="s">
        <v>2122</v>
      </c>
    </row>
    <row r="1913" spans="2:4" s="54" customFormat="1" x14ac:dyDescent="0.2">
      <c r="B1913" s="107" t="s">
        <v>2118</v>
      </c>
      <c r="C1913" s="55" t="s">
        <v>2119</v>
      </c>
      <c r="D1913" s="56" t="s">
        <v>2123</v>
      </c>
    </row>
    <row r="1914" spans="2:4" s="54" customFormat="1" x14ac:dyDescent="0.2">
      <c r="B1914" s="107" t="s">
        <v>2118</v>
      </c>
      <c r="C1914" s="55" t="s">
        <v>2119</v>
      </c>
      <c r="D1914" s="56" t="s">
        <v>2124</v>
      </c>
    </row>
    <row r="1915" spans="2:4" s="54" customFormat="1" x14ac:dyDescent="0.2">
      <c r="B1915" s="107" t="s">
        <v>2118</v>
      </c>
      <c r="C1915" s="55" t="s">
        <v>2119</v>
      </c>
      <c r="D1915" s="56" t="s">
        <v>2125</v>
      </c>
    </row>
    <row r="1916" spans="2:4" s="54" customFormat="1" x14ac:dyDescent="0.2">
      <c r="B1916" s="107" t="s">
        <v>2118</v>
      </c>
      <c r="C1916" s="55" t="s">
        <v>2119</v>
      </c>
      <c r="D1916" s="56" t="s">
        <v>2126</v>
      </c>
    </row>
    <row r="1917" spans="2:4" s="54" customFormat="1" x14ac:dyDescent="0.2">
      <c r="B1917" s="107" t="s">
        <v>2118</v>
      </c>
      <c r="C1917" s="55" t="s">
        <v>2119</v>
      </c>
      <c r="D1917" s="56" t="s">
        <v>2127</v>
      </c>
    </row>
    <row r="1918" spans="2:4" s="54" customFormat="1" x14ac:dyDescent="0.2">
      <c r="B1918" s="107" t="s">
        <v>2118</v>
      </c>
      <c r="C1918" s="55" t="s">
        <v>2119</v>
      </c>
      <c r="D1918" s="56" t="s">
        <v>2128</v>
      </c>
    </row>
    <row r="1919" spans="2:4" s="54" customFormat="1" x14ac:dyDescent="0.2">
      <c r="B1919" s="107" t="s">
        <v>2118</v>
      </c>
      <c r="C1919" s="55" t="s">
        <v>2119</v>
      </c>
      <c r="D1919" s="56" t="s">
        <v>2129</v>
      </c>
    </row>
    <row r="1920" spans="2:4" s="54" customFormat="1" x14ac:dyDescent="0.2">
      <c r="B1920" s="107" t="s">
        <v>2118</v>
      </c>
      <c r="C1920" s="55" t="s">
        <v>2119</v>
      </c>
      <c r="D1920" s="56" t="s">
        <v>2130</v>
      </c>
    </row>
    <row r="1921" spans="2:4" s="54" customFormat="1" x14ac:dyDescent="0.2">
      <c r="B1921" s="107" t="s">
        <v>2118</v>
      </c>
      <c r="C1921" s="55" t="s">
        <v>2119</v>
      </c>
      <c r="D1921" s="56" t="s">
        <v>2131</v>
      </c>
    </row>
    <row r="1922" spans="2:4" s="54" customFormat="1" x14ac:dyDescent="0.2">
      <c r="B1922" s="107" t="s">
        <v>2118</v>
      </c>
      <c r="C1922" s="55" t="s">
        <v>2119</v>
      </c>
      <c r="D1922" s="56" t="s">
        <v>2132</v>
      </c>
    </row>
    <row r="1923" spans="2:4" s="54" customFormat="1" x14ac:dyDescent="0.2">
      <c r="B1923" s="107" t="s">
        <v>2118</v>
      </c>
      <c r="C1923" s="55" t="s">
        <v>2119</v>
      </c>
      <c r="D1923" s="56" t="s">
        <v>2133</v>
      </c>
    </row>
    <row r="1924" spans="2:4" s="54" customFormat="1" x14ac:dyDescent="0.2">
      <c r="B1924" s="107" t="s">
        <v>2118</v>
      </c>
      <c r="C1924" s="55" t="s">
        <v>2119</v>
      </c>
      <c r="D1924" s="56" t="s">
        <v>2134</v>
      </c>
    </row>
    <row r="1925" spans="2:4" s="54" customFormat="1" x14ac:dyDescent="0.2">
      <c r="B1925" s="107" t="s">
        <v>2118</v>
      </c>
      <c r="C1925" s="55" t="s">
        <v>2119</v>
      </c>
      <c r="D1925" s="56" t="s">
        <v>2135</v>
      </c>
    </row>
    <row r="1926" spans="2:4" s="54" customFormat="1" x14ac:dyDescent="0.2">
      <c r="B1926" s="107" t="s">
        <v>2118</v>
      </c>
      <c r="C1926" s="55" t="s">
        <v>2119</v>
      </c>
      <c r="D1926" s="56" t="s">
        <v>2136</v>
      </c>
    </row>
    <row r="1927" spans="2:4" s="54" customFormat="1" x14ac:dyDescent="0.2">
      <c r="B1927" s="107" t="s">
        <v>2137</v>
      </c>
      <c r="C1927" s="55" t="s">
        <v>2138</v>
      </c>
      <c r="D1927" s="56" t="s">
        <v>2139</v>
      </c>
    </row>
    <row r="1928" spans="2:4" s="54" customFormat="1" x14ac:dyDescent="0.2">
      <c r="B1928" s="107" t="s">
        <v>2137</v>
      </c>
      <c r="C1928" s="55" t="s">
        <v>2138</v>
      </c>
      <c r="D1928" s="56" t="s">
        <v>2140</v>
      </c>
    </row>
    <row r="1929" spans="2:4" s="54" customFormat="1" x14ac:dyDescent="0.2">
      <c r="B1929" s="107" t="s">
        <v>2137</v>
      </c>
      <c r="C1929" s="55" t="s">
        <v>2138</v>
      </c>
      <c r="D1929" s="56" t="s">
        <v>2141</v>
      </c>
    </row>
    <row r="1930" spans="2:4" s="54" customFormat="1" x14ac:dyDescent="0.2">
      <c r="B1930" s="107" t="s">
        <v>2137</v>
      </c>
      <c r="C1930" s="55" t="s">
        <v>2138</v>
      </c>
      <c r="D1930" s="56" t="s">
        <v>2142</v>
      </c>
    </row>
    <row r="1931" spans="2:4" s="54" customFormat="1" x14ac:dyDescent="0.2">
      <c r="B1931" s="107" t="s">
        <v>2137</v>
      </c>
      <c r="C1931" s="55" t="s">
        <v>2138</v>
      </c>
      <c r="D1931" s="56" t="s">
        <v>2143</v>
      </c>
    </row>
    <row r="1932" spans="2:4" s="54" customFormat="1" x14ac:dyDescent="0.2">
      <c r="B1932" s="107" t="s">
        <v>2137</v>
      </c>
      <c r="C1932" s="55" t="s">
        <v>2138</v>
      </c>
      <c r="D1932" s="56" t="s">
        <v>2144</v>
      </c>
    </row>
    <row r="1933" spans="2:4" s="54" customFormat="1" x14ac:dyDescent="0.2">
      <c r="B1933" s="107" t="s">
        <v>2137</v>
      </c>
      <c r="C1933" s="55" t="s">
        <v>2138</v>
      </c>
      <c r="D1933" s="56" t="s">
        <v>2145</v>
      </c>
    </row>
    <row r="1934" spans="2:4" s="54" customFormat="1" x14ac:dyDescent="0.2">
      <c r="B1934" s="107" t="s">
        <v>2137</v>
      </c>
      <c r="C1934" s="55" t="s">
        <v>2138</v>
      </c>
      <c r="D1934" s="56" t="s">
        <v>2146</v>
      </c>
    </row>
    <row r="1935" spans="2:4" s="54" customFormat="1" x14ac:dyDescent="0.2">
      <c r="B1935" s="107" t="s">
        <v>2147</v>
      </c>
      <c r="C1935" s="55" t="s">
        <v>2148</v>
      </c>
      <c r="D1935" s="56" t="s">
        <v>2149</v>
      </c>
    </row>
    <row r="1936" spans="2:4" s="54" customFormat="1" x14ac:dyDescent="0.2">
      <c r="B1936" s="107" t="s">
        <v>2147</v>
      </c>
      <c r="C1936" s="55" t="s">
        <v>2148</v>
      </c>
      <c r="D1936" s="56" t="s">
        <v>2150</v>
      </c>
    </row>
    <row r="1937" spans="2:4" s="54" customFormat="1" x14ac:dyDescent="0.2">
      <c r="B1937" s="107" t="s">
        <v>2147</v>
      </c>
      <c r="C1937" s="55" t="s">
        <v>2148</v>
      </c>
      <c r="D1937" s="56" t="s">
        <v>2151</v>
      </c>
    </row>
    <row r="1938" spans="2:4" s="54" customFormat="1" x14ac:dyDescent="0.2">
      <c r="B1938" s="107" t="s">
        <v>2147</v>
      </c>
      <c r="C1938" s="55" t="s">
        <v>2148</v>
      </c>
      <c r="D1938" s="56" t="s">
        <v>2152</v>
      </c>
    </row>
    <row r="1939" spans="2:4" s="54" customFormat="1" x14ac:dyDescent="0.2">
      <c r="B1939" s="107" t="s">
        <v>2147</v>
      </c>
      <c r="C1939" s="55" t="s">
        <v>2148</v>
      </c>
      <c r="D1939" s="56" t="s">
        <v>2153</v>
      </c>
    </row>
    <row r="1940" spans="2:4" s="54" customFormat="1" x14ac:dyDescent="0.2">
      <c r="B1940" s="107" t="s">
        <v>2147</v>
      </c>
      <c r="C1940" s="55" t="s">
        <v>2148</v>
      </c>
      <c r="D1940" s="56" t="s">
        <v>2154</v>
      </c>
    </row>
    <row r="1941" spans="2:4" s="54" customFormat="1" x14ac:dyDescent="0.2">
      <c r="B1941" s="107" t="s">
        <v>2147</v>
      </c>
      <c r="C1941" s="55" t="s">
        <v>2148</v>
      </c>
      <c r="D1941" s="56" t="s">
        <v>2155</v>
      </c>
    </row>
    <row r="1942" spans="2:4" s="54" customFormat="1" x14ac:dyDescent="0.2">
      <c r="B1942" s="107" t="s">
        <v>2147</v>
      </c>
      <c r="C1942" s="55" t="s">
        <v>2148</v>
      </c>
      <c r="D1942" s="56" t="s">
        <v>2156</v>
      </c>
    </row>
    <row r="1943" spans="2:4" s="54" customFormat="1" x14ac:dyDescent="0.2">
      <c r="B1943" s="107" t="s">
        <v>2147</v>
      </c>
      <c r="C1943" s="55" t="s">
        <v>2148</v>
      </c>
      <c r="D1943" s="56" t="s">
        <v>2157</v>
      </c>
    </row>
    <row r="1944" spans="2:4" s="54" customFormat="1" x14ac:dyDescent="0.2">
      <c r="B1944" s="107" t="s">
        <v>2147</v>
      </c>
      <c r="C1944" s="55" t="s">
        <v>2148</v>
      </c>
      <c r="D1944" s="56" t="s">
        <v>2158</v>
      </c>
    </row>
    <row r="1945" spans="2:4" s="54" customFormat="1" x14ac:dyDescent="0.2">
      <c r="B1945" s="107" t="s">
        <v>2147</v>
      </c>
      <c r="C1945" s="55" t="s">
        <v>2148</v>
      </c>
      <c r="D1945" s="56" t="s">
        <v>2159</v>
      </c>
    </row>
    <row r="1946" spans="2:4" s="54" customFormat="1" x14ac:dyDescent="0.2">
      <c r="B1946" s="107" t="s">
        <v>2147</v>
      </c>
      <c r="C1946" s="55" t="s">
        <v>2148</v>
      </c>
      <c r="D1946" s="56" t="s">
        <v>2160</v>
      </c>
    </row>
    <row r="1947" spans="2:4" s="54" customFormat="1" x14ac:dyDescent="0.2">
      <c r="B1947" s="107" t="s">
        <v>2147</v>
      </c>
      <c r="C1947" s="55" t="s">
        <v>2148</v>
      </c>
      <c r="D1947" s="56" t="s">
        <v>2161</v>
      </c>
    </row>
    <row r="1948" spans="2:4" s="54" customFormat="1" x14ac:dyDescent="0.2">
      <c r="B1948" s="107" t="s">
        <v>2147</v>
      </c>
      <c r="C1948" s="55" t="s">
        <v>2148</v>
      </c>
      <c r="D1948" s="56" t="s">
        <v>2162</v>
      </c>
    </row>
    <row r="1949" spans="2:4" s="54" customFormat="1" x14ac:dyDescent="0.2">
      <c r="B1949" s="107" t="s">
        <v>2147</v>
      </c>
      <c r="C1949" s="55" t="s">
        <v>2148</v>
      </c>
      <c r="D1949" s="56" t="s">
        <v>2163</v>
      </c>
    </row>
    <row r="1950" spans="2:4" s="54" customFormat="1" x14ac:dyDescent="0.2">
      <c r="B1950" s="107" t="s">
        <v>2147</v>
      </c>
      <c r="C1950" s="55" t="s">
        <v>2148</v>
      </c>
      <c r="D1950" s="56" t="s">
        <v>2164</v>
      </c>
    </row>
    <row r="1951" spans="2:4" s="54" customFormat="1" x14ac:dyDescent="0.2">
      <c r="B1951" s="107" t="s">
        <v>2147</v>
      </c>
      <c r="C1951" s="55" t="s">
        <v>2148</v>
      </c>
      <c r="D1951" s="56" t="s">
        <v>2165</v>
      </c>
    </row>
    <row r="1952" spans="2:4" s="54" customFormat="1" x14ac:dyDescent="0.2">
      <c r="B1952" s="107" t="s">
        <v>2147</v>
      </c>
      <c r="C1952" s="55" t="s">
        <v>2148</v>
      </c>
      <c r="D1952" s="56" t="s">
        <v>2166</v>
      </c>
    </row>
    <row r="1953" spans="2:4" s="54" customFormat="1" x14ac:dyDescent="0.2">
      <c r="B1953" s="107" t="s">
        <v>2147</v>
      </c>
      <c r="C1953" s="55" t="s">
        <v>2148</v>
      </c>
      <c r="D1953" s="56" t="s">
        <v>2167</v>
      </c>
    </row>
    <row r="1954" spans="2:4" s="54" customFormat="1" x14ac:dyDescent="0.2">
      <c r="B1954" s="107" t="s">
        <v>2147</v>
      </c>
      <c r="C1954" s="55" t="s">
        <v>2148</v>
      </c>
      <c r="D1954" s="56" t="s">
        <v>2168</v>
      </c>
    </row>
    <row r="1955" spans="2:4" s="54" customFormat="1" x14ac:dyDescent="0.2">
      <c r="B1955" s="107" t="s">
        <v>2147</v>
      </c>
      <c r="C1955" s="55" t="s">
        <v>2148</v>
      </c>
      <c r="D1955" s="56" t="s">
        <v>2169</v>
      </c>
    </row>
    <row r="1956" spans="2:4" s="54" customFormat="1" x14ac:dyDescent="0.2">
      <c r="B1956" s="107" t="s">
        <v>2147</v>
      </c>
      <c r="C1956" s="55" t="s">
        <v>2148</v>
      </c>
      <c r="D1956" s="56" t="s">
        <v>2170</v>
      </c>
    </row>
    <row r="1957" spans="2:4" s="54" customFormat="1" x14ac:dyDescent="0.2">
      <c r="B1957" s="107" t="s">
        <v>2147</v>
      </c>
      <c r="C1957" s="55" t="s">
        <v>2148</v>
      </c>
      <c r="D1957" s="56" t="s">
        <v>2171</v>
      </c>
    </row>
    <row r="1958" spans="2:4" s="54" customFormat="1" x14ac:dyDescent="0.2">
      <c r="B1958" s="107" t="s">
        <v>2147</v>
      </c>
      <c r="C1958" s="55" t="s">
        <v>2148</v>
      </c>
      <c r="D1958" s="56" t="s">
        <v>2172</v>
      </c>
    </row>
    <row r="1959" spans="2:4" s="54" customFormat="1" x14ac:dyDescent="0.2">
      <c r="B1959" s="107" t="s">
        <v>2147</v>
      </c>
      <c r="C1959" s="55" t="s">
        <v>2148</v>
      </c>
      <c r="D1959" s="56" t="s">
        <v>2173</v>
      </c>
    </row>
    <row r="1960" spans="2:4" s="54" customFormat="1" x14ac:dyDescent="0.2">
      <c r="B1960" s="107" t="s">
        <v>2147</v>
      </c>
      <c r="C1960" s="55" t="s">
        <v>2148</v>
      </c>
      <c r="D1960" s="56" t="s">
        <v>2174</v>
      </c>
    </row>
    <row r="1961" spans="2:4" s="54" customFormat="1" x14ac:dyDescent="0.2">
      <c r="B1961" s="107" t="s">
        <v>2147</v>
      </c>
      <c r="C1961" s="55" t="s">
        <v>2148</v>
      </c>
      <c r="D1961" s="56" t="s">
        <v>2138</v>
      </c>
    </row>
    <row r="1962" spans="2:4" s="54" customFormat="1" x14ac:dyDescent="0.2">
      <c r="B1962" s="107" t="s">
        <v>2147</v>
      </c>
      <c r="C1962" s="55" t="s">
        <v>2148</v>
      </c>
      <c r="D1962" s="56" t="s">
        <v>2175</v>
      </c>
    </row>
    <row r="1963" spans="2:4" s="54" customFormat="1" x14ac:dyDescent="0.2">
      <c r="B1963" s="107" t="s">
        <v>2147</v>
      </c>
      <c r="C1963" s="55" t="s">
        <v>2148</v>
      </c>
      <c r="D1963" s="56" t="s">
        <v>2176</v>
      </c>
    </row>
    <row r="1964" spans="2:4" s="54" customFormat="1" x14ac:dyDescent="0.2">
      <c r="B1964" s="107" t="s">
        <v>2147</v>
      </c>
      <c r="C1964" s="55" t="s">
        <v>2148</v>
      </c>
      <c r="D1964" s="56" t="s">
        <v>2177</v>
      </c>
    </row>
    <row r="1965" spans="2:4" s="54" customFormat="1" x14ac:dyDescent="0.2">
      <c r="B1965" s="107" t="s">
        <v>2147</v>
      </c>
      <c r="C1965" s="55" t="s">
        <v>2148</v>
      </c>
      <c r="D1965" s="56" t="s">
        <v>2178</v>
      </c>
    </row>
    <row r="1966" spans="2:4" s="54" customFormat="1" x14ac:dyDescent="0.2">
      <c r="B1966" s="107" t="s">
        <v>2147</v>
      </c>
      <c r="C1966" s="55" t="s">
        <v>2148</v>
      </c>
      <c r="D1966" s="56" t="s">
        <v>331</v>
      </c>
    </row>
    <row r="1967" spans="2:4" s="54" customFormat="1" x14ac:dyDescent="0.2">
      <c r="B1967" s="107" t="s">
        <v>2147</v>
      </c>
      <c r="C1967" s="55" t="s">
        <v>2148</v>
      </c>
      <c r="D1967" s="56" t="s">
        <v>2179</v>
      </c>
    </row>
    <row r="1968" spans="2:4" s="54" customFormat="1" x14ac:dyDescent="0.2">
      <c r="B1968" s="107" t="s">
        <v>2147</v>
      </c>
      <c r="C1968" s="55" t="s">
        <v>2148</v>
      </c>
      <c r="D1968" s="56" t="s">
        <v>2180</v>
      </c>
    </row>
    <row r="1969" spans="2:4" s="54" customFormat="1" x14ac:dyDescent="0.2">
      <c r="B1969" s="107" t="s">
        <v>2147</v>
      </c>
      <c r="C1969" s="55" t="s">
        <v>2148</v>
      </c>
      <c r="D1969" s="56" t="s">
        <v>2181</v>
      </c>
    </row>
    <row r="1970" spans="2:4" s="54" customFormat="1" x14ac:dyDescent="0.2">
      <c r="B1970" s="107" t="s">
        <v>2147</v>
      </c>
      <c r="C1970" s="55" t="s">
        <v>2148</v>
      </c>
      <c r="D1970" s="56" t="s">
        <v>2182</v>
      </c>
    </row>
    <row r="1971" spans="2:4" s="54" customFormat="1" x14ac:dyDescent="0.2">
      <c r="B1971" s="107" t="s">
        <v>2147</v>
      </c>
      <c r="C1971" s="55" t="s">
        <v>2148</v>
      </c>
      <c r="D1971" s="56" t="s">
        <v>2183</v>
      </c>
    </row>
    <row r="1972" spans="2:4" s="54" customFormat="1" x14ac:dyDescent="0.2">
      <c r="B1972" s="107" t="s">
        <v>2184</v>
      </c>
      <c r="C1972" s="55" t="s">
        <v>2185</v>
      </c>
      <c r="D1972" s="56" t="s">
        <v>2186</v>
      </c>
    </row>
    <row r="1973" spans="2:4" s="54" customFormat="1" x14ac:dyDescent="0.2">
      <c r="B1973" s="107" t="s">
        <v>2184</v>
      </c>
      <c r="C1973" s="55" t="s">
        <v>2185</v>
      </c>
      <c r="D1973" s="56" t="s">
        <v>2187</v>
      </c>
    </row>
    <row r="1974" spans="2:4" s="54" customFormat="1" x14ac:dyDescent="0.2">
      <c r="B1974" s="107" t="s">
        <v>2184</v>
      </c>
      <c r="C1974" s="55" t="s">
        <v>2185</v>
      </c>
      <c r="D1974" s="56" t="s">
        <v>2188</v>
      </c>
    </row>
    <row r="1975" spans="2:4" s="54" customFormat="1" x14ac:dyDescent="0.2">
      <c r="B1975" s="107" t="s">
        <v>2184</v>
      </c>
      <c r="C1975" s="55" t="s">
        <v>2185</v>
      </c>
      <c r="D1975" s="56" t="s">
        <v>2189</v>
      </c>
    </row>
    <row r="1976" spans="2:4" s="54" customFormat="1" x14ac:dyDescent="0.2">
      <c r="B1976" s="107" t="s">
        <v>2184</v>
      </c>
      <c r="C1976" s="55" t="s">
        <v>2185</v>
      </c>
      <c r="D1976" s="56" t="s">
        <v>2190</v>
      </c>
    </row>
    <row r="1977" spans="2:4" s="54" customFormat="1" x14ac:dyDescent="0.2">
      <c r="B1977" s="107" t="s">
        <v>2191</v>
      </c>
      <c r="C1977" s="55" t="s">
        <v>2192</v>
      </c>
      <c r="D1977" s="56" t="s">
        <v>2193</v>
      </c>
    </row>
    <row r="1978" spans="2:4" s="54" customFormat="1" x14ac:dyDescent="0.2">
      <c r="B1978" s="107" t="s">
        <v>2191</v>
      </c>
      <c r="C1978" s="55" t="s">
        <v>2192</v>
      </c>
      <c r="D1978" s="56" t="s">
        <v>2194</v>
      </c>
    </row>
    <row r="1979" spans="2:4" s="54" customFormat="1" x14ac:dyDescent="0.2">
      <c r="B1979" s="107" t="s">
        <v>2191</v>
      </c>
      <c r="C1979" s="55" t="s">
        <v>2192</v>
      </c>
      <c r="D1979" s="56" t="s">
        <v>2195</v>
      </c>
    </row>
    <row r="1980" spans="2:4" s="54" customFormat="1" x14ac:dyDescent="0.2">
      <c r="B1980" s="107" t="s">
        <v>2191</v>
      </c>
      <c r="C1980" s="55" t="s">
        <v>2192</v>
      </c>
      <c r="D1980" s="56" t="s">
        <v>2196</v>
      </c>
    </row>
    <row r="1981" spans="2:4" s="54" customFormat="1" x14ac:dyDescent="0.2">
      <c r="B1981" s="107" t="s">
        <v>2191</v>
      </c>
      <c r="C1981" s="55" t="s">
        <v>2192</v>
      </c>
      <c r="D1981" s="56" t="s">
        <v>2197</v>
      </c>
    </row>
    <row r="1982" spans="2:4" s="54" customFormat="1" x14ac:dyDescent="0.2">
      <c r="B1982" s="107" t="s">
        <v>2191</v>
      </c>
      <c r="C1982" s="55" t="s">
        <v>2192</v>
      </c>
      <c r="D1982" s="56" t="s">
        <v>2198</v>
      </c>
    </row>
    <row r="1983" spans="2:4" s="54" customFormat="1" x14ac:dyDescent="0.2">
      <c r="B1983" s="107" t="s">
        <v>2191</v>
      </c>
      <c r="C1983" s="55" t="s">
        <v>2192</v>
      </c>
      <c r="D1983" s="56" t="s">
        <v>2199</v>
      </c>
    </row>
    <row r="1984" spans="2:4" s="54" customFormat="1" x14ac:dyDescent="0.2">
      <c r="B1984" s="107" t="s">
        <v>2191</v>
      </c>
      <c r="C1984" s="55" t="s">
        <v>2192</v>
      </c>
      <c r="D1984" s="56" t="s">
        <v>2200</v>
      </c>
    </row>
    <row r="1985" spans="2:4" s="54" customFormat="1" x14ac:dyDescent="0.2">
      <c r="B1985" s="107" t="s">
        <v>2201</v>
      </c>
      <c r="C1985" s="55" t="s">
        <v>2202</v>
      </c>
      <c r="D1985" s="56" t="s">
        <v>2203</v>
      </c>
    </row>
    <row r="1986" spans="2:4" s="54" customFormat="1" x14ac:dyDescent="0.2">
      <c r="B1986" s="107" t="s">
        <v>2201</v>
      </c>
      <c r="C1986" s="55" t="s">
        <v>2202</v>
      </c>
      <c r="D1986" s="56" t="s">
        <v>2204</v>
      </c>
    </row>
    <row r="1987" spans="2:4" s="54" customFormat="1" x14ac:dyDescent="0.2">
      <c r="B1987" s="107" t="s">
        <v>2201</v>
      </c>
      <c r="C1987" s="55" t="s">
        <v>2202</v>
      </c>
      <c r="D1987" s="56" t="s">
        <v>2205</v>
      </c>
    </row>
    <row r="1988" spans="2:4" s="54" customFormat="1" x14ac:dyDescent="0.2">
      <c r="B1988" s="107" t="s">
        <v>2201</v>
      </c>
      <c r="C1988" s="55" t="s">
        <v>2202</v>
      </c>
      <c r="D1988" s="56" t="s">
        <v>2206</v>
      </c>
    </row>
    <row r="1989" spans="2:4" s="54" customFormat="1" x14ac:dyDescent="0.2">
      <c r="B1989" s="107" t="s">
        <v>2201</v>
      </c>
      <c r="C1989" s="55" t="s">
        <v>2202</v>
      </c>
      <c r="D1989" s="56" t="s">
        <v>2207</v>
      </c>
    </row>
    <row r="1990" spans="2:4" s="54" customFormat="1" x14ac:dyDescent="0.2">
      <c r="B1990" s="107" t="s">
        <v>2201</v>
      </c>
      <c r="C1990" s="55" t="s">
        <v>2202</v>
      </c>
      <c r="D1990" s="56" t="s">
        <v>2208</v>
      </c>
    </row>
    <row r="1991" spans="2:4" s="54" customFormat="1" x14ac:dyDescent="0.2">
      <c r="B1991" s="107" t="s">
        <v>2201</v>
      </c>
      <c r="C1991" s="55" t="s">
        <v>2202</v>
      </c>
      <c r="D1991" s="56" t="s">
        <v>2209</v>
      </c>
    </row>
    <row r="1992" spans="2:4" s="54" customFormat="1" x14ac:dyDescent="0.2">
      <c r="B1992" s="107" t="s">
        <v>2201</v>
      </c>
      <c r="C1992" s="55" t="s">
        <v>2202</v>
      </c>
      <c r="D1992" s="56" t="s">
        <v>2210</v>
      </c>
    </row>
    <row r="1993" spans="2:4" s="54" customFormat="1" x14ac:dyDescent="0.2">
      <c r="B1993" s="107" t="s">
        <v>2201</v>
      </c>
      <c r="C1993" s="55" t="s">
        <v>2202</v>
      </c>
      <c r="D1993" s="56" t="s">
        <v>2211</v>
      </c>
    </row>
    <row r="1994" spans="2:4" s="54" customFormat="1" x14ac:dyDescent="0.2">
      <c r="B1994" s="107" t="s">
        <v>2201</v>
      </c>
      <c r="C1994" s="55" t="s">
        <v>2202</v>
      </c>
      <c r="D1994" s="56" t="s">
        <v>2212</v>
      </c>
    </row>
    <row r="1995" spans="2:4" s="54" customFormat="1" x14ac:dyDescent="0.2">
      <c r="B1995" s="107" t="s">
        <v>2201</v>
      </c>
      <c r="C1995" s="55" t="s">
        <v>2202</v>
      </c>
      <c r="D1995" s="56" t="s">
        <v>2213</v>
      </c>
    </row>
    <row r="1996" spans="2:4" s="54" customFormat="1" x14ac:dyDescent="0.2">
      <c r="B1996" s="107" t="s">
        <v>2201</v>
      </c>
      <c r="C1996" s="55" t="s">
        <v>2202</v>
      </c>
      <c r="D1996" s="56" t="s">
        <v>2214</v>
      </c>
    </row>
    <row r="1997" spans="2:4" s="54" customFormat="1" x14ac:dyDescent="0.2">
      <c r="B1997" s="107" t="s">
        <v>2201</v>
      </c>
      <c r="C1997" s="55" t="s">
        <v>2202</v>
      </c>
      <c r="D1997" s="56" t="s">
        <v>2215</v>
      </c>
    </row>
    <row r="1998" spans="2:4" s="54" customFormat="1" x14ac:dyDescent="0.2">
      <c r="B1998" s="107" t="s">
        <v>2201</v>
      </c>
      <c r="C1998" s="55" t="s">
        <v>2202</v>
      </c>
      <c r="D1998" s="56" t="s">
        <v>2216</v>
      </c>
    </row>
    <row r="1999" spans="2:4" s="54" customFormat="1" x14ac:dyDescent="0.2">
      <c r="B1999" s="107" t="s">
        <v>2201</v>
      </c>
      <c r="C1999" s="55" t="s">
        <v>2202</v>
      </c>
      <c r="D1999" s="56" t="s">
        <v>2217</v>
      </c>
    </row>
    <row r="2000" spans="2:4" s="54" customFormat="1" x14ac:dyDescent="0.2">
      <c r="B2000" s="107" t="s">
        <v>2201</v>
      </c>
      <c r="C2000" s="55" t="s">
        <v>2202</v>
      </c>
      <c r="D2000" s="56" t="s">
        <v>2218</v>
      </c>
    </row>
    <row r="2001" spans="2:4" s="54" customFormat="1" x14ac:dyDescent="0.2">
      <c r="B2001" s="107" t="s">
        <v>2201</v>
      </c>
      <c r="C2001" s="55" t="s">
        <v>2202</v>
      </c>
      <c r="D2001" s="56" t="s">
        <v>2219</v>
      </c>
    </row>
    <row r="2002" spans="2:4" s="54" customFormat="1" x14ac:dyDescent="0.2">
      <c r="B2002" s="107" t="s">
        <v>2201</v>
      </c>
      <c r="C2002" s="55" t="s">
        <v>2202</v>
      </c>
      <c r="D2002" s="56" t="s">
        <v>2220</v>
      </c>
    </row>
    <row r="2003" spans="2:4" s="54" customFormat="1" x14ac:dyDescent="0.2">
      <c r="B2003" s="107" t="s">
        <v>2201</v>
      </c>
      <c r="C2003" s="55" t="s">
        <v>2202</v>
      </c>
      <c r="D2003" s="56" t="s">
        <v>2221</v>
      </c>
    </row>
    <row r="2004" spans="2:4" s="54" customFormat="1" x14ac:dyDescent="0.2">
      <c r="B2004" s="107" t="s">
        <v>2222</v>
      </c>
      <c r="C2004" s="55" t="s">
        <v>2223</v>
      </c>
      <c r="D2004" s="56" t="s">
        <v>2224</v>
      </c>
    </row>
    <row r="2005" spans="2:4" s="54" customFormat="1" x14ac:dyDescent="0.2">
      <c r="B2005" s="107" t="s">
        <v>2222</v>
      </c>
      <c r="C2005" s="55" t="s">
        <v>2223</v>
      </c>
      <c r="D2005" s="56" t="s">
        <v>2225</v>
      </c>
    </row>
    <row r="2006" spans="2:4" s="54" customFormat="1" x14ac:dyDescent="0.2">
      <c r="B2006" s="107" t="s">
        <v>2222</v>
      </c>
      <c r="C2006" s="55" t="s">
        <v>2223</v>
      </c>
      <c r="D2006" s="56" t="s">
        <v>2226</v>
      </c>
    </row>
    <row r="2007" spans="2:4" s="54" customFormat="1" x14ac:dyDescent="0.2">
      <c r="B2007" s="107" t="s">
        <v>2222</v>
      </c>
      <c r="C2007" s="55" t="s">
        <v>2223</v>
      </c>
      <c r="D2007" s="56" t="s">
        <v>2227</v>
      </c>
    </row>
    <row r="2008" spans="2:4" s="54" customFormat="1" x14ac:dyDescent="0.2">
      <c r="B2008" s="107" t="s">
        <v>2222</v>
      </c>
      <c r="C2008" s="55" t="s">
        <v>2223</v>
      </c>
      <c r="D2008" s="56" t="s">
        <v>2228</v>
      </c>
    </row>
    <row r="2009" spans="2:4" s="54" customFormat="1" x14ac:dyDescent="0.2">
      <c r="B2009" s="107" t="s">
        <v>2222</v>
      </c>
      <c r="C2009" s="55" t="s">
        <v>2223</v>
      </c>
      <c r="D2009" s="56" t="s">
        <v>2229</v>
      </c>
    </row>
    <row r="2010" spans="2:4" s="54" customFormat="1" x14ac:dyDescent="0.2">
      <c r="B2010" s="107" t="s">
        <v>2222</v>
      </c>
      <c r="C2010" s="55" t="s">
        <v>2223</v>
      </c>
      <c r="D2010" s="56" t="s">
        <v>2230</v>
      </c>
    </row>
    <row r="2011" spans="2:4" s="54" customFormat="1" x14ac:dyDescent="0.2">
      <c r="B2011" s="107" t="s">
        <v>2222</v>
      </c>
      <c r="C2011" s="55" t="s">
        <v>2223</v>
      </c>
      <c r="D2011" s="56" t="s">
        <v>2231</v>
      </c>
    </row>
    <row r="2012" spans="2:4" s="54" customFormat="1" x14ac:dyDescent="0.2">
      <c r="B2012" s="107" t="s">
        <v>2222</v>
      </c>
      <c r="C2012" s="55" t="s">
        <v>2223</v>
      </c>
      <c r="D2012" s="56" t="s">
        <v>2232</v>
      </c>
    </row>
    <row r="2013" spans="2:4" s="54" customFormat="1" x14ac:dyDescent="0.2">
      <c r="B2013" s="107" t="s">
        <v>2222</v>
      </c>
      <c r="C2013" s="55" t="s">
        <v>2223</v>
      </c>
      <c r="D2013" s="56" t="s">
        <v>2233</v>
      </c>
    </row>
    <row r="2014" spans="2:4" s="54" customFormat="1" x14ac:dyDescent="0.2">
      <c r="B2014" s="107" t="s">
        <v>2222</v>
      </c>
      <c r="C2014" s="55" t="s">
        <v>2223</v>
      </c>
      <c r="D2014" s="56" t="s">
        <v>2234</v>
      </c>
    </row>
    <row r="2015" spans="2:4" s="54" customFormat="1" x14ac:dyDescent="0.2">
      <c r="B2015" s="107" t="s">
        <v>2235</v>
      </c>
      <c r="C2015" s="55" t="s">
        <v>2236</v>
      </c>
      <c r="D2015" s="56" t="s">
        <v>2237</v>
      </c>
    </row>
    <row r="2016" spans="2:4" s="54" customFormat="1" x14ac:dyDescent="0.2">
      <c r="B2016" s="107" t="s">
        <v>2235</v>
      </c>
      <c r="C2016" s="55" t="s">
        <v>2236</v>
      </c>
      <c r="D2016" s="56" t="s">
        <v>2238</v>
      </c>
    </row>
    <row r="2017" spans="2:4" s="54" customFormat="1" x14ac:dyDescent="0.2">
      <c r="B2017" s="107" t="s">
        <v>2235</v>
      </c>
      <c r="C2017" s="55" t="s">
        <v>2236</v>
      </c>
      <c r="D2017" s="56" t="s">
        <v>2239</v>
      </c>
    </row>
    <row r="2018" spans="2:4" s="54" customFormat="1" x14ac:dyDescent="0.2">
      <c r="B2018" s="107" t="s">
        <v>2235</v>
      </c>
      <c r="C2018" s="55" t="s">
        <v>2236</v>
      </c>
      <c r="D2018" s="56" t="s">
        <v>2240</v>
      </c>
    </row>
    <row r="2019" spans="2:4" s="54" customFormat="1" x14ac:dyDescent="0.2">
      <c r="B2019" s="107" t="s">
        <v>2235</v>
      </c>
      <c r="C2019" s="55" t="s">
        <v>2236</v>
      </c>
      <c r="D2019" s="56" t="s">
        <v>2241</v>
      </c>
    </row>
    <row r="2020" spans="2:4" s="54" customFormat="1" x14ac:dyDescent="0.2">
      <c r="B2020" s="107" t="s">
        <v>2235</v>
      </c>
      <c r="C2020" s="55" t="s">
        <v>2236</v>
      </c>
      <c r="D2020" s="56" t="s">
        <v>2242</v>
      </c>
    </row>
    <row r="2021" spans="2:4" s="54" customFormat="1" x14ac:dyDescent="0.2">
      <c r="B2021" s="107" t="s">
        <v>2235</v>
      </c>
      <c r="C2021" s="55" t="s">
        <v>2236</v>
      </c>
      <c r="D2021" s="56" t="s">
        <v>1297</v>
      </c>
    </row>
    <row r="2022" spans="2:4" s="54" customFormat="1" x14ac:dyDescent="0.2">
      <c r="B2022" s="107" t="s">
        <v>2235</v>
      </c>
      <c r="C2022" s="55" t="s">
        <v>2236</v>
      </c>
      <c r="D2022" s="56" t="s">
        <v>2243</v>
      </c>
    </row>
    <row r="2023" spans="2:4" s="54" customFormat="1" x14ac:dyDescent="0.2">
      <c r="B2023" s="107" t="s">
        <v>2244</v>
      </c>
      <c r="C2023" s="55" t="s">
        <v>2245</v>
      </c>
      <c r="D2023" s="56" t="s">
        <v>2246</v>
      </c>
    </row>
    <row r="2024" spans="2:4" s="54" customFormat="1" x14ac:dyDescent="0.2">
      <c r="B2024" s="107" t="s">
        <v>2244</v>
      </c>
      <c r="C2024" s="55" t="s">
        <v>2245</v>
      </c>
      <c r="D2024" s="56" t="s">
        <v>2247</v>
      </c>
    </row>
    <row r="2025" spans="2:4" s="54" customFormat="1" x14ac:dyDescent="0.2">
      <c r="B2025" s="107" t="s">
        <v>2244</v>
      </c>
      <c r="C2025" s="55" t="s">
        <v>2245</v>
      </c>
      <c r="D2025" s="56" t="s">
        <v>2248</v>
      </c>
    </row>
    <row r="2026" spans="2:4" s="54" customFormat="1" x14ac:dyDescent="0.2">
      <c r="B2026" s="107" t="s">
        <v>2244</v>
      </c>
      <c r="C2026" s="55" t="s">
        <v>2245</v>
      </c>
      <c r="D2026" s="56" t="s">
        <v>2249</v>
      </c>
    </row>
    <row r="2027" spans="2:4" s="54" customFormat="1" x14ac:dyDescent="0.2">
      <c r="B2027" s="107" t="s">
        <v>2244</v>
      </c>
      <c r="C2027" s="55" t="s">
        <v>2245</v>
      </c>
      <c r="D2027" s="56" t="s">
        <v>2250</v>
      </c>
    </row>
    <row r="2028" spans="2:4" s="54" customFormat="1" x14ac:dyDescent="0.2">
      <c r="B2028" s="107" t="s">
        <v>2244</v>
      </c>
      <c r="C2028" s="55" t="s">
        <v>2245</v>
      </c>
      <c r="D2028" s="56" t="s">
        <v>2251</v>
      </c>
    </row>
    <row r="2029" spans="2:4" s="54" customFormat="1" x14ac:dyDescent="0.2">
      <c r="B2029" s="107" t="s">
        <v>2244</v>
      </c>
      <c r="C2029" s="55" t="s">
        <v>2245</v>
      </c>
      <c r="D2029" s="56" t="s">
        <v>2252</v>
      </c>
    </row>
    <row r="2030" spans="2:4" s="54" customFormat="1" x14ac:dyDescent="0.2">
      <c r="B2030" s="107" t="s">
        <v>2244</v>
      </c>
      <c r="C2030" s="55" t="s">
        <v>2245</v>
      </c>
      <c r="D2030" s="56" t="s">
        <v>2253</v>
      </c>
    </row>
    <row r="2031" spans="2:4" s="54" customFormat="1" x14ac:dyDescent="0.2">
      <c r="B2031" s="107" t="s">
        <v>2244</v>
      </c>
      <c r="C2031" s="55" t="s">
        <v>2245</v>
      </c>
      <c r="D2031" s="56" t="s">
        <v>2254</v>
      </c>
    </row>
    <row r="2032" spans="2:4" s="54" customFormat="1" x14ac:dyDescent="0.2">
      <c r="B2032" s="107" t="s">
        <v>2244</v>
      </c>
      <c r="C2032" s="55" t="s">
        <v>2245</v>
      </c>
      <c r="D2032" s="56" t="s">
        <v>2255</v>
      </c>
    </row>
    <row r="2033" spans="2:4" s="54" customFormat="1" x14ac:dyDescent="0.2">
      <c r="B2033" s="107" t="s">
        <v>2244</v>
      </c>
      <c r="C2033" s="55" t="s">
        <v>2245</v>
      </c>
      <c r="D2033" s="56" t="s">
        <v>2256</v>
      </c>
    </row>
    <row r="2034" spans="2:4" s="54" customFormat="1" x14ac:dyDescent="0.2">
      <c r="B2034" s="107" t="s">
        <v>2244</v>
      </c>
      <c r="C2034" s="55" t="s">
        <v>2245</v>
      </c>
      <c r="D2034" s="56" t="s">
        <v>2257</v>
      </c>
    </row>
    <row r="2035" spans="2:4" s="54" customFormat="1" x14ac:dyDescent="0.2">
      <c r="B2035" s="107" t="s">
        <v>2244</v>
      </c>
      <c r="C2035" s="55" t="s">
        <v>2245</v>
      </c>
      <c r="D2035" s="56" t="s">
        <v>2258</v>
      </c>
    </row>
    <row r="2036" spans="2:4" s="54" customFormat="1" x14ac:dyDescent="0.2">
      <c r="B2036" s="107" t="s">
        <v>2244</v>
      </c>
      <c r="C2036" s="55" t="s">
        <v>2245</v>
      </c>
      <c r="D2036" s="56" t="s">
        <v>2259</v>
      </c>
    </row>
    <row r="2037" spans="2:4" s="54" customFormat="1" x14ac:dyDescent="0.2">
      <c r="B2037" s="107" t="s">
        <v>2244</v>
      </c>
      <c r="C2037" s="55" t="s">
        <v>2245</v>
      </c>
      <c r="D2037" s="56" t="s">
        <v>2260</v>
      </c>
    </row>
    <row r="2038" spans="2:4" s="54" customFormat="1" x14ac:dyDescent="0.2">
      <c r="B2038" s="107" t="s">
        <v>2244</v>
      </c>
      <c r="C2038" s="55" t="s">
        <v>2245</v>
      </c>
      <c r="D2038" s="56" t="s">
        <v>2261</v>
      </c>
    </row>
    <row r="2039" spans="2:4" s="54" customFormat="1" x14ac:dyDescent="0.2">
      <c r="B2039" s="107" t="s">
        <v>2262</v>
      </c>
      <c r="C2039" s="55" t="s">
        <v>2263</v>
      </c>
      <c r="D2039" s="56" t="s">
        <v>2264</v>
      </c>
    </row>
    <row r="2040" spans="2:4" s="54" customFormat="1" x14ac:dyDescent="0.2">
      <c r="B2040" s="107" t="s">
        <v>2262</v>
      </c>
      <c r="C2040" s="55" t="s">
        <v>2263</v>
      </c>
      <c r="D2040" s="56" t="s">
        <v>2265</v>
      </c>
    </row>
    <row r="2041" spans="2:4" s="54" customFormat="1" x14ac:dyDescent="0.2">
      <c r="B2041" s="107" t="s">
        <v>2262</v>
      </c>
      <c r="C2041" s="55" t="s">
        <v>2263</v>
      </c>
      <c r="D2041" s="56" t="s">
        <v>2266</v>
      </c>
    </row>
    <row r="2042" spans="2:4" s="54" customFormat="1" x14ac:dyDescent="0.2">
      <c r="B2042" s="107" t="s">
        <v>2262</v>
      </c>
      <c r="C2042" s="55" t="s">
        <v>2263</v>
      </c>
      <c r="D2042" s="56" t="s">
        <v>1220</v>
      </c>
    </row>
    <row r="2043" spans="2:4" s="54" customFormat="1" x14ac:dyDescent="0.2">
      <c r="B2043" s="107" t="s">
        <v>2262</v>
      </c>
      <c r="C2043" s="55" t="s">
        <v>2263</v>
      </c>
      <c r="D2043" s="56" t="s">
        <v>2267</v>
      </c>
    </row>
    <row r="2044" spans="2:4" s="54" customFormat="1" x14ac:dyDescent="0.2">
      <c r="B2044" s="107" t="s">
        <v>2262</v>
      </c>
      <c r="C2044" s="55" t="s">
        <v>2263</v>
      </c>
      <c r="D2044" s="56" t="s">
        <v>2268</v>
      </c>
    </row>
    <row r="2045" spans="2:4" s="54" customFormat="1" x14ac:dyDescent="0.2">
      <c r="B2045" s="107" t="s">
        <v>2262</v>
      </c>
      <c r="C2045" s="55" t="s">
        <v>2263</v>
      </c>
      <c r="D2045" s="56" t="s">
        <v>2269</v>
      </c>
    </row>
    <row r="2046" spans="2:4" s="54" customFormat="1" x14ac:dyDescent="0.2">
      <c r="B2046" s="107" t="s">
        <v>2262</v>
      </c>
      <c r="C2046" s="55" t="s">
        <v>2263</v>
      </c>
      <c r="D2046" s="56" t="s">
        <v>2270</v>
      </c>
    </row>
    <row r="2047" spans="2:4" s="54" customFormat="1" x14ac:dyDescent="0.2">
      <c r="B2047" s="107" t="s">
        <v>2262</v>
      </c>
      <c r="C2047" s="55" t="s">
        <v>2263</v>
      </c>
      <c r="D2047" s="56" t="s">
        <v>2271</v>
      </c>
    </row>
    <row r="2048" spans="2:4" s="54" customFormat="1" x14ac:dyDescent="0.2">
      <c r="B2048" s="107" t="s">
        <v>2262</v>
      </c>
      <c r="C2048" s="55" t="s">
        <v>2263</v>
      </c>
      <c r="D2048" s="56" t="s">
        <v>2272</v>
      </c>
    </row>
    <row r="2049" spans="2:4" s="54" customFormat="1" x14ac:dyDescent="0.2">
      <c r="B2049" s="107" t="s">
        <v>2262</v>
      </c>
      <c r="C2049" s="55" t="s">
        <v>2263</v>
      </c>
      <c r="D2049" s="56" t="s">
        <v>2263</v>
      </c>
    </row>
    <row r="2050" spans="2:4" s="54" customFormat="1" x14ac:dyDescent="0.2">
      <c r="B2050" s="107" t="s">
        <v>2262</v>
      </c>
      <c r="C2050" s="55" t="s">
        <v>2263</v>
      </c>
      <c r="D2050" s="56" t="s">
        <v>2273</v>
      </c>
    </row>
    <row r="2051" spans="2:4" s="54" customFormat="1" x14ac:dyDescent="0.2">
      <c r="B2051" s="107" t="s">
        <v>2274</v>
      </c>
      <c r="C2051" s="55" t="s">
        <v>2275</v>
      </c>
      <c r="D2051" s="56" t="s">
        <v>2276</v>
      </c>
    </row>
    <row r="2052" spans="2:4" s="54" customFormat="1" x14ac:dyDescent="0.2">
      <c r="B2052" s="107" t="s">
        <v>2274</v>
      </c>
      <c r="C2052" s="55" t="s">
        <v>2275</v>
      </c>
      <c r="D2052" s="56" t="s">
        <v>1039</v>
      </c>
    </row>
    <row r="2053" spans="2:4" s="54" customFormat="1" x14ac:dyDescent="0.2">
      <c r="B2053" s="107" t="s">
        <v>2274</v>
      </c>
      <c r="C2053" s="55" t="s">
        <v>2275</v>
      </c>
      <c r="D2053" s="56" t="s">
        <v>2277</v>
      </c>
    </row>
    <row r="2054" spans="2:4" s="54" customFormat="1" x14ac:dyDescent="0.2">
      <c r="B2054" s="107" t="s">
        <v>2274</v>
      </c>
      <c r="C2054" s="55" t="s">
        <v>2275</v>
      </c>
      <c r="D2054" s="56" t="s">
        <v>2278</v>
      </c>
    </row>
    <row r="2055" spans="2:4" s="54" customFormat="1" x14ac:dyDescent="0.2">
      <c r="B2055" s="107" t="s">
        <v>2274</v>
      </c>
      <c r="C2055" s="55" t="s">
        <v>2275</v>
      </c>
      <c r="D2055" s="56" t="s">
        <v>2279</v>
      </c>
    </row>
    <row r="2056" spans="2:4" s="54" customFormat="1" x14ac:dyDescent="0.2">
      <c r="B2056" s="107" t="s">
        <v>2274</v>
      </c>
      <c r="C2056" s="55" t="s">
        <v>2275</v>
      </c>
      <c r="D2056" s="56" t="s">
        <v>2280</v>
      </c>
    </row>
    <row r="2057" spans="2:4" s="54" customFormat="1" x14ac:dyDescent="0.2">
      <c r="B2057" s="107" t="s">
        <v>2274</v>
      </c>
      <c r="C2057" s="55" t="s">
        <v>2275</v>
      </c>
      <c r="D2057" s="56" t="s">
        <v>2281</v>
      </c>
    </row>
    <row r="2058" spans="2:4" s="54" customFormat="1" x14ac:dyDescent="0.2">
      <c r="B2058" s="107" t="s">
        <v>2274</v>
      </c>
      <c r="C2058" s="55" t="s">
        <v>2275</v>
      </c>
      <c r="D2058" s="56" t="s">
        <v>2282</v>
      </c>
    </row>
    <row r="2059" spans="2:4" s="54" customFormat="1" x14ac:dyDescent="0.2">
      <c r="B2059" s="107" t="s">
        <v>2274</v>
      </c>
      <c r="C2059" s="55" t="s">
        <v>2275</v>
      </c>
      <c r="D2059" s="56" t="s">
        <v>2283</v>
      </c>
    </row>
    <row r="2060" spans="2:4" s="54" customFormat="1" x14ac:dyDescent="0.2">
      <c r="B2060" s="107" t="s">
        <v>2274</v>
      </c>
      <c r="C2060" s="55" t="s">
        <v>2275</v>
      </c>
      <c r="D2060" s="56" t="s">
        <v>2284</v>
      </c>
    </row>
    <row r="2061" spans="2:4" s="54" customFormat="1" x14ac:dyDescent="0.2">
      <c r="B2061" s="107" t="s">
        <v>2274</v>
      </c>
      <c r="C2061" s="55" t="s">
        <v>2275</v>
      </c>
      <c r="D2061" s="56" t="s">
        <v>2285</v>
      </c>
    </row>
    <row r="2062" spans="2:4" s="54" customFormat="1" x14ac:dyDescent="0.2">
      <c r="B2062" s="107" t="s">
        <v>2274</v>
      </c>
      <c r="C2062" s="55" t="s">
        <v>2275</v>
      </c>
      <c r="D2062" s="56" t="s">
        <v>2286</v>
      </c>
    </row>
    <row r="2063" spans="2:4" s="54" customFormat="1" x14ac:dyDescent="0.2">
      <c r="B2063" s="107" t="s">
        <v>2274</v>
      </c>
      <c r="C2063" s="55" t="s">
        <v>2275</v>
      </c>
      <c r="D2063" s="56" t="s">
        <v>2287</v>
      </c>
    </row>
    <row r="2064" spans="2:4" s="54" customFormat="1" x14ac:dyDescent="0.2">
      <c r="B2064" s="107" t="s">
        <v>2274</v>
      </c>
      <c r="C2064" s="55" t="s">
        <v>2275</v>
      </c>
      <c r="D2064" s="56" t="s">
        <v>2288</v>
      </c>
    </row>
    <row r="2065" spans="2:4" s="54" customFormat="1" x14ac:dyDescent="0.2">
      <c r="B2065" s="107" t="s">
        <v>2274</v>
      </c>
      <c r="C2065" s="55" t="s">
        <v>2275</v>
      </c>
      <c r="D2065" s="56" t="s">
        <v>2289</v>
      </c>
    </row>
    <row r="2066" spans="2:4" s="54" customFormat="1" x14ac:dyDescent="0.2">
      <c r="B2066" s="107" t="s">
        <v>2274</v>
      </c>
      <c r="C2066" s="55" t="s">
        <v>2275</v>
      </c>
      <c r="D2066" s="56" t="s">
        <v>2290</v>
      </c>
    </row>
    <row r="2067" spans="2:4" s="54" customFormat="1" x14ac:dyDescent="0.2">
      <c r="B2067" s="107" t="s">
        <v>2274</v>
      </c>
      <c r="C2067" s="55" t="s">
        <v>2275</v>
      </c>
      <c r="D2067" s="56" t="s">
        <v>2291</v>
      </c>
    </row>
    <row r="2068" spans="2:4" s="54" customFormat="1" x14ac:dyDescent="0.2">
      <c r="B2068" s="107" t="s">
        <v>2274</v>
      </c>
      <c r="C2068" s="55" t="s">
        <v>2275</v>
      </c>
      <c r="D2068" s="56" t="s">
        <v>2292</v>
      </c>
    </row>
    <row r="2069" spans="2:4" s="54" customFormat="1" x14ac:dyDescent="0.2">
      <c r="B2069" s="107" t="s">
        <v>2274</v>
      </c>
      <c r="C2069" s="55" t="s">
        <v>2275</v>
      </c>
      <c r="D2069" s="56" t="s">
        <v>2293</v>
      </c>
    </row>
    <row r="2070" spans="2:4" s="54" customFormat="1" x14ac:dyDescent="0.2">
      <c r="B2070" s="107" t="s">
        <v>2274</v>
      </c>
      <c r="C2070" s="55" t="s">
        <v>2275</v>
      </c>
      <c r="D2070" s="56" t="s">
        <v>2294</v>
      </c>
    </row>
    <row r="2071" spans="2:4" s="54" customFormat="1" x14ac:dyDescent="0.2">
      <c r="B2071" s="107" t="s">
        <v>2274</v>
      </c>
      <c r="C2071" s="55" t="s">
        <v>2275</v>
      </c>
      <c r="D2071" s="56" t="s">
        <v>1041</v>
      </c>
    </row>
    <row r="2072" spans="2:4" s="54" customFormat="1" x14ac:dyDescent="0.2">
      <c r="B2072" s="107" t="s">
        <v>2274</v>
      </c>
      <c r="C2072" s="55" t="s">
        <v>2275</v>
      </c>
      <c r="D2072" s="56" t="s">
        <v>2295</v>
      </c>
    </row>
    <row r="2073" spans="2:4" s="54" customFormat="1" x14ac:dyDescent="0.2">
      <c r="B2073" s="107" t="s">
        <v>2296</v>
      </c>
      <c r="C2073" s="55" t="s">
        <v>2297</v>
      </c>
      <c r="D2073" s="56" t="s">
        <v>2298</v>
      </c>
    </row>
    <row r="2074" spans="2:4" s="54" customFormat="1" x14ac:dyDescent="0.2">
      <c r="B2074" s="107" t="s">
        <v>2296</v>
      </c>
      <c r="C2074" s="55" t="s">
        <v>2297</v>
      </c>
      <c r="D2074" s="56" t="s">
        <v>2299</v>
      </c>
    </row>
    <row r="2075" spans="2:4" s="54" customFormat="1" x14ac:dyDescent="0.2">
      <c r="B2075" s="107" t="s">
        <v>2296</v>
      </c>
      <c r="C2075" s="55" t="s">
        <v>2297</v>
      </c>
      <c r="D2075" s="56" t="s">
        <v>2300</v>
      </c>
    </row>
    <row r="2076" spans="2:4" s="54" customFormat="1" x14ac:dyDescent="0.2">
      <c r="B2076" s="107" t="s">
        <v>2296</v>
      </c>
      <c r="C2076" s="55" t="s">
        <v>2297</v>
      </c>
      <c r="D2076" s="56" t="s">
        <v>2301</v>
      </c>
    </row>
    <row r="2077" spans="2:4" s="54" customFormat="1" x14ac:dyDescent="0.2">
      <c r="B2077" s="107" t="s">
        <v>2296</v>
      </c>
      <c r="C2077" s="55" t="s">
        <v>2297</v>
      </c>
      <c r="D2077" s="56" t="s">
        <v>2302</v>
      </c>
    </row>
    <row r="2078" spans="2:4" s="54" customFormat="1" x14ac:dyDescent="0.2">
      <c r="B2078" s="107" t="s">
        <v>2296</v>
      </c>
      <c r="C2078" s="55" t="s">
        <v>2297</v>
      </c>
      <c r="D2078" s="56" t="s">
        <v>2303</v>
      </c>
    </row>
    <row r="2079" spans="2:4" s="54" customFormat="1" x14ac:dyDescent="0.2">
      <c r="B2079" s="107" t="s">
        <v>2296</v>
      </c>
      <c r="C2079" s="55" t="s">
        <v>2297</v>
      </c>
      <c r="D2079" s="56" t="s">
        <v>2304</v>
      </c>
    </row>
    <row r="2080" spans="2:4" s="54" customFormat="1" x14ac:dyDescent="0.2">
      <c r="B2080" s="107" t="s">
        <v>2296</v>
      </c>
      <c r="C2080" s="55" t="s">
        <v>2297</v>
      </c>
      <c r="D2080" s="56" t="s">
        <v>2305</v>
      </c>
    </row>
    <row r="2081" spans="2:4" s="54" customFormat="1" x14ac:dyDescent="0.2">
      <c r="B2081" s="107" t="s">
        <v>2296</v>
      </c>
      <c r="C2081" s="55" t="s">
        <v>2297</v>
      </c>
      <c r="D2081" s="56" t="s">
        <v>1039</v>
      </c>
    </row>
    <row r="2082" spans="2:4" s="54" customFormat="1" x14ac:dyDescent="0.2">
      <c r="B2082" s="107" t="s">
        <v>2296</v>
      </c>
      <c r="C2082" s="55" t="s">
        <v>2297</v>
      </c>
      <c r="D2082" s="56" t="s">
        <v>2306</v>
      </c>
    </row>
    <row r="2083" spans="2:4" s="54" customFormat="1" x14ac:dyDescent="0.2">
      <c r="B2083" s="107" t="s">
        <v>2296</v>
      </c>
      <c r="C2083" s="55" t="s">
        <v>2297</v>
      </c>
      <c r="D2083" s="56" t="s">
        <v>2307</v>
      </c>
    </row>
    <row r="2084" spans="2:4" s="54" customFormat="1" x14ac:dyDescent="0.2">
      <c r="B2084" s="107" t="s">
        <v>2296</v>
      </c>
      <c r="C2084" s="55" t="s">
        <v>2297</v>
      </c>
      <c r="D2084" s="56" t="s">
        <v>2308</v>
      </c>
    </row>
    <row r="2085" spans="2:4" s="54" customFormat="1" x14ac:dyDescent="0.2">
      <c r="B2085" s="107" t="s">
        <v>2296</v>
      </c>
      <c r="C2085" s="55" t="s">
        <v>2297</v>
      </c>
      <c r="D2085" s="56" t="s">
        <v>2309</v>
      </c>
    </row>
    <row r="2086" spans="2:4" s="54" customFormat="1" x14ac:dyDescent="0.2">
      <c r="B2086" s="107" t="s">
        <v>2296</v>
      </c>
      <c r="C2086" s="55" t="s">
        <v>2297</v>
      </c>
      <c r="D2086" s="56" t="s">
        <v>187</v>
      </c>
    </row>
    <row r="2087" spans="2:4" s="54" customFormat="1" x14ac:dyDescent="0.2">
      <c r="B2087" s="107" t="s">
        <v>2296</v>
      </c>
      <c r="C2087" s="55" t="s">
        <v>2297</v>
      </c>
      <c r="D2087" s="56" t="s">
        <v>2310</v>
      </c>
    </row>
    <row r="2088" spans="2:4" s="54" customFormat="1" x14ac:dyDescent="0.2">
      <c r="B2088" s="107" t="s">
        <v>2296</v>
      </c>
      <c r="C2088" s="55" t="s">
        <v>2297</v>
      </c>
      <c r="D2088" s="56" t="s">
        <v>2311</v>
      </c>
    </row>
    <row r="2089" spans="2:4" s="54" customFormat="1" x14ac:dyDescent="0.2">
      <c r="B2089" s="107" t="s">
        <v>2296</v>
      </c>
      <c r="C2089" s="55" t="s">
        <v>2297</v>
      </c>
      <c r="D2089" s="56" t="s">
        <v>2312</v>
      </c>
    </row>
    <row r="2090" spans="2:4" s="54" customFormat="1" x14ac:dyDescent="0.2">
      <c r="B2090" s="107" t="s">
        <v>2296</v>
      </c>
      <c r="C2090" s="55" t="s">
        <v>2297</v>
      </c>
      <c r="D2090" s="56" t="s">
        <v>2313</v>
      </c>
    </row>
    <row r="2091" spans="2:4" s="54" customFormat="1" x14ac:dyDescent="0.2">
      <c r="B2091" s="107" t="s">
        <v>2314</v>
      </c>
      <c r="C2091" s="55" t="s">
        <v>2315</v>
      </c>
      <c r="D2091" s="56" t="s">
        <v>401</v>
      </c>
    </row>
    <row r="2092" spans="2:4" s="54" customFormat="1" x14ac:dyDescent="0.2">
      <c r="B2092" s="107" t="s">
        <v>2314</v>
      </c>
      <c r="C2092" s="55" t="s">
        <v>2315</v>
      </c>
      <c r="D2092" s="56" t="s">
        <v>2316</v>
      </c>
    </row>
    <row r="2093" spans="2:4" s="54" customFormat="1" x14ac:dyDescent="0.2">
      <c r="B2093" s="107" t="s">
        <v>2314</v>
      </c>
      <c r="C2093" s="55" t="s">
        <v>2315</v>
      </c>
      <c r="D2093" s="56" t="s">
        <v>2317</v>
      </c>
    </row>
    <row r="2094" spans="2:4" s="54" customFormat="1" x14ac:dyDescent="0.2">
      <c r="B2094" s="107" t="s">
        <v>2314</v>
      </c>
      <c r="C2094" s="55" t="s">
        <v>2315</v>
      </c>
      <c r="D2094" s="56" t="s">
        <v>2318</v>
      </c>
    </row>
    <row r="2095" spans="2:4" s="54" customFormat="1" x14ac:dyDescent="0.2">
      <c r="B2095" s="107" t="s">
        <v>2314</v>
      </c>
      <c r="C2095" s="55" t="s">
        <v>2315</v>
      </c>
      <c r="D2095" s="56" t="s">
        <v>2319</v>
      </c>
    </row>
    <row r="2096" spans="2:4" s="54" customFormat="1" x14ac:dyDescent="0.2">
      <c r="B2096" s="107" t="s">
        <v>2314</v>
      </c>
      <c r="C2096" s="55" t="s">
        <v>2315</v>
      </c>
      <c r="D2096" s="56" t="s">
        <v>2320</v>
      </c>
    </row>
    <row r="2097" spans="2:4" s="54" customFormat="1" x14ac:dyDescent="0.2">
      <c r="B2097" s="107" t="s">
        <v>2314</v>
      </c>
      <c r="C2097" s="55" t="s">
        <v>2315</v>
      </c>
      <c r="D2097" s="56" t="s">
        <v>2321</v>
      </c>
    </row>
    <row r="2098" spans="2:4" s="54" customFormat="1" x14ac:dyDescent="0.2">
      <c r="B2098" s="107" t="s">
        <v>2314</v>
      </c>
      <c r="C2098" s="55" t="s">
        <v>2315</v>
      </c>
      <c r="D2098" s="56" t="s">
        <v>2322</v>
      </c>
    </row>
    <row r="2099" spans="2:4" s="54" customFormat="1" x14ac:dyDescent="0.2">
      <c r="B2099" s="107" t="s">
        <v>2314</v>
      </c>
      <c r="C2099" s="55" t="s">
        <v>2315</v>
      </c>
      <c r="D2099" s="56" t="s">
        <v>2323</v>
      </c>
    </row>
    <row r="2100" spans="2:4" s="54" customFormat="1" x14ac:dyDescent="0.2">
      <c r="B2100" s="107" t="s">
        <v>2314</v>
      </c>
      <c r="C2100" s="55" t="s">
        <v>2315</v>
      </c>
      <c r="D2100" s="56" t="s">
        <v>2324</v>
      </c>
    </row>
    <row r="2101" spans="2:4" s="54" customFormat="1" x14ac:dyDescent="0.2">
      <c r="B2101" s="107" t="s">
        <v>2314</v>
      </c>
      <c r="C2101" s="55" t="s">
        <v>2315</v>
      </c>
      <c r="D2101" s="56" t="s">
        <v>2325</v>
      </c>
    </row>
    <row r="2102" spans="2:4" s="54" customFormat="1" x14ac:dyDescent="0.2">
      <c r="B2102" s="107" t="s">
        <v>2314</v>
      </c>
      <c r="C2102" s="55" t="s">
        <v>2315</v>
      </c>
      <c r="D2102" s="56" t="s">
        <v>2326</v>
      </c>
    </row>
    <row r="2103" spans="2:4" s="54" customFormat="1" x14ac:dyDescent="0.2">
      <c r="B2103" s="107" t="s">
        <v>2314</v>
      </c>
      <c r="C2103" s="55" t="s">
        <v>2315</v>
      </c>
      <c r="D2103" s="56" t="s">
        <v>976</v>
      </c>
    </row>
    <row r="2104" spans="2:4" s="54" customFormat="1" x14ac:dyDescent="0.2">
      <c r="B2104" s="107" t="s">
        <v>2314</v>
      </c>
      <c r="C2104" s="55" t="s">
        <v>2315</v>
      </c>
      <c r="D2104" s="56" t="s">
        <v>2327</v>
      </c>
    </row>
    <row r="2105" spans="2:4" s="54" customFormat="1" x14ac:dyDescent="0.2">
      <c r="B2105" s="107" t="s">
        <v>2314</v>
      </c>
      <c r="C2105" s="55" t="s">
        <v>2315</v>
      </c>
      <c r="D2105" s="56" t="s">
        <v>2328</v>
      </c>
    </row>
    <row r="2106" spans="2:4" s="54" customFormat="1" x14ac:dyDescent="0.2">
      <c r="B2106" s="107" t="s">
        <v>2314</v>
      </c>
      <c r="C2106" s="55" t="s">
        <v>2315</v>
      </c>
      <c r="D2106" s="56" t="s">
        <v>2329</v>
      </c>
    </row>
    <row r="2107" spans="2:4" s="54" customFormat="1" x14ac:dyDescent="0.2">
      <c r="B2107" s="107" t="s">
        <v>2314</v>
      </c>
      <c r="C2107" s="55" t="s">
        <v>2315</v>
      </c>
      <c r="D2107" s="56" t="s">
        <v>2330</v>
      </c>
    </row>
    <row r="2108" spans="2:4" s="54" customFormat="1" x14ac:dyDescent="0.2">
      <c r="B2108" s="107" t="s">
        <v>2314</v>
      </c>
      <c r="C2108" s="55" t="s">
        <v>2315</v>
      </c>
      <c r="D2108" s="56" t="s">
        <v>2331</v>
      </c>
    </row>
    <row r="2109" spans="2:4" s="54" customFormat="1" x14ac:dyDescent="0.2">
      <c r="B2109" s="107" t="s">
        <v>2314</v>
      </c>
      <c r="C2109" s="55" t="s">
        <v>2315</v>
      </c>
      <c r="D2109" s="56" t="s">
        <v>2332</v>
      </c>
    </row>
    <row r="2110" spans="2:4" s="54" customFormat="1" x14ac:dyDescent="0.2">
      <c r="B2110" s="107" t="s">
        <v>2314</v>
      </c>
      <c r="C2110" s="55" t="s">
        <v>2315</v>
      </c>
      <c r="D2110" s="56" t="s">
        <v>2333</v>
      </c>
    </row>
    <row r="2111" spans="2:4" s="54" customFormat="1" x14ac:dyDescent="0.2">
      <c r="B2111" s="107" t="s">
        <v>2314</v>
      </c>
      <c r="C2111" s="55" t="s">
        <v>2315</v>
      </c>
      <c r="D2111" s="56" t="s">
        <v>2334</v>
      </c>
    </row>
    <row r="2112" spans="2:4" s="54" customFormat="1" x14ac:dyDescent="0.2">
      <c r="B2112" s="107" t="s">
        <v>2314</v>
      </c>
      <c r="C2112" s="55" t="s">
        <v>2315</v>
      </c>
      <c r="D2112" s="56" t="s">
        <v>2335</v>
      </c>
    </row>
    <row r="2113" spans="2:4" s="54" customFormat="1" x14ac:dyDescent="0.2">
      <c r="B2113" s="107" t="s">
        <v>2314</v>
      </c>
      <c r="C2113" s="55" t="s">
        <v>2315</v>
      </c>
      <c r="D2113" s="56" t="s">
        <v>2336</v>
      </c>
    </row>
    <row r="2114" spans="2:4" s="54" customFormat="1" x14ac:dyDescent="0.2">
      <c r="B2114" s="107" t="s">
        <v>2314</v>
      </c>
      <c r="C2114" s="55" t="s">
        <v>2315</v>
      </c>
      <c r="D2114" s="56" t="s">
        <v>2337</v>
      </c>
    </row>
    <row r="2115" spans="2:4" s="54" customFormat="1" x14ac:dyDescent="0.2">
      <c r="B2115" s="107" t="s">
        <v>2314</v>
      </c>
      <c r="C2115" s="55" t="s">
        <v>2315</v>
      </c>
      <c r="D2115" s="56" t="s">
        <v>2338</v>
      </c>
    </row>
    <row r="2116" spans="2:4" s="54" customFormat="1" x14ac:dyDescent="0.2">
      <c r="B2116" s="107" t="s">
        <v>2339</v>
      </c>
      <c r="C2116" s="55" t="s">
        <v>2340</v>
      </c>
      <c r="D2116" s="56" t="s">
        <v>2341</v>
      </c>
    </row>
    <row r="2117" spans="2:4" s="54" customFormat="1" x14ac:dyDescent="0.2">
      <c r="B2117" s="107" t="s">
        <v>2339</v>
      </c>
      <c r="C2117" s="55" t="s">
        <v>2340</v>
      </c>
      <c r="D2117" s="56" t="s">
        <v>2342</v>
      </c>
    </row>
    <row r="2118" spans="2:4" s="54" customFormat="1" x14ac:dyDescent="0.2">
      <c r="B2118" s="107" t="s">
        <v>2339</v>
      </c>
      <c r="C2118" s="55" t="s">
        <v>2340</v>
      </c>
      <c r="D2118" s="56" t="s">
        <v>2343</v>
      </c>
    </row>
    <row r="2119" spans="2:4" s="54" customFormat="1" x14ac:dyDescent="0.2">
      <c r="B2119" s="107" t="s">
        <v>2339</v>
      </c>
      <c r="C2119" s="55" t="s">
        <v>2340</v>
      </c>
      <c r="D2119" s="56" t="s">
        <v>2344</v>
      </c>
    </row>
    <row r="2120" spans="2:4" s="54" customFormat="1" x14ac:dyDescent="0.2">
      <c r="B2120" s="107" t="s">
        <v>2339</v>
      </c>
      <c r="C2120" s="55" t="s">
        <v>2340</v>
      </c>
      <c r="D2120" s="56" t="s">
        <v>2345</v>
      </c>
    </row>
    <row r="2121" spans="2:4" s="54" customFormat="1" x14ac:dyDescent="0.2">
      <c r="B2121" s="107" t="s">
        <v>2339</v>
      </c>
      <c r="C2121" s="55" t="s">
        <v>2340</v>
      </c>
      <c r="D2121" s="56" t="s">
        <v>2346</v>
      </c>
    </row>
    <row r="2122" spans="2:4" s="54" customFormat="1" x14ac:dyDescent="0.2">
      <c r="B2122" s="107" t="s">
        <v>2339</v>
      </c>
      <c r="C2122" s="55" t="s">
        <v>2340</v>
      </c>
      <c r="D2122" s="56" t="s">
        <v>2347</v>
      </c>
    </row>
    <row r="2123" spans="2:4" s="54" customFormat="1" x14ac:dyDescent="0.2">
      <c r="B2123" s="107" t="s">
        <v>2339</v>
      </c>
      <c r="C2123" s="55" t="s">
        <v>2340</v>
      </c>
      <c r="D2123" s="56" t="s">
        <v>2348</v>
      </c>
    </row>
    <row r="2124" spans="2:4" s="54" customFormat="1" x14ac:dyDescent="0.2">
      <c r="B2124" s="107" t="s">
        <v>2339</v>
      </c>
      <c r="C2124" s="55" t="s">
        <v>2340</v>
      </c>
      <c r="D2124" s="56" t="s">
        <v>2349</v>
      </c>
    </row>
    <row r="2125" spans="2:4" s="54" customFormat="1" x14ac:dyDescent="0.2">
      <c r="B2125" s="107" t="s">
        <v>2339</v>
      </c>
      <c r="C2125" s="55" t="s">
        <v>2340</v>
      </c>
      <c r="D2125" s="56" t="s">
        <v>2350</v>
      </c>
    </row>
    <row r="2126" spans="2:4" s="54" customFormat="1" x14ac:dyDescent="0.2">
      <c r="B2126" s="107" t="s">
        <v>2339</v>
      </c>
      <c r="C2126" s="55" t="s">
        <v>2340</v>
      </c>
      <c r="D2126" s="56" t="s">
        <v>2351</v>
      </c>
    </row>
    <row r="2127" spans="2:4" s="54" customFormat="1" x14ac:dyDescent="0.2">
      <c r="B2127" s="107" t="s">
        <v>2339</v>
      </c>
      <c r="C2127" s="55" t="s">
        <v>2340</v>
      </c>
      <c r="D2127" s="56" t="s">
        <v>2352</v>
      </c>
    </row>
    <row r="2128" spans="2:4" s="54" customFormat="1" x14ac:dyDescent="0.2">
      <c r="B2128" s="107" t="s">
        <v>2339</v>
      </c>
      <c r="C2128" s="55" t="s">
        <v>2340</v>
      </c>
      <c r="D2128" s="56" t="s">
        <v>2353</v>
      </c>
    </row>
    <row r="2129" spans="2:4" s="54" customFormat="1" x14ac:dyDescent="0.2">
      <c r="B2129" s="107" t="s">
        <v>2339</v>
      </c>
      <c r="C2129" s="55" t="s">
        <v>2340</v>
      </c>
      <c r="D2129" s="56" t="s">
        <v>2354</v>
      </c>
    </row>
    <row r="2130" spans="2:4" s="54" customFormat="1" x14ac:dyDescent="0.2">
      <c r="B2130" s="107" t="s">
        <v>2339</v>
      </c>
      <c r="C2130" s="55" t="s">
        <v>2340</v>
      </c>
      <c r="D2130" s="56" t="s">
        <v>2355</v>
      </c>
    </row>
    <row r="2131" spans="2:4" s="54" customFormat="1" x14ac:dyDescent="0.2">
      <c r="B2131" s="107" t="s">
        <v>2339</v>
      </c>
      <c r="C2131" s="55" t="s">
        <v>2340</v>
      </c>
      <c r="D2131" s="56" t="s">
        <v>2356</v>
      </c>
    </row>
    <row r="2132" spans="2:4" s="54" customFormat="1" x14ac:dyDescent="0.2">
      <c r="B2132" s="107" t="s">
        <v>2357</v>
      </c>
      <c r="C2132" s="55" t="s">
        <v>2358</v>
      </c>
      <c r="D2132" s="56" t="s">
        <v>2359</v>
      </c>
    </row>
    <row r="2133" spans="2:4" s="54" customFormat="1" x14ac:dyDescent="0.2">
      <c r="B2133" s="107" t="s">
        <v>2357</v>
      </c>
      <c r="C2133" s="55" t="s">
        <v>2358</v>
      </c>
      <c r="D2133" s="56" t="s">
        <v>2360</v>
      </c>
    </row>
    <row r="2134" spans="2:4" s="54" customFormat="1" x14ac:dyDescent="0.2">
      <c r="B2134" s="107" t="s">
        <v>2357</v>
      </c>
      <c r="C2134" s="55" t="s">
        <v>2358</v>
      </c>
      <c r="D2134" s="56" t="s">
        <v>2361</v>
      </c>
    </row>
    <row r="2135" spans="2:4" s="54" customFormat="1" x14ac:dyDescent="0.2">
      <c r="B2135" s="107" t="s">
        <v>2357</v>
      </c>
      <c r="C2135" s="55" t="s">
        <v>2358</v>
      </c>
      <c r="D2135" s="56" t="s">
        <v>2362</v>
      </c>
    </row>
    <row r="2136" spans="2:4" s="54" customFormat="1" x14ac:dyDescent="0.2">
      <c r="B2136" s="107" t="s">
        <v>2357</v>
      </c>
      <c r="C2136" s="55" t="s">
        <v>2358</v>
      </c>
      <c r="D2136" s="56" t="s">
        <v>2363</v>
      </c>
    </row>
    <row r="2137" spans="2:4" s="54" customFormat="1" x14ac:dyDescent="0.2">
      <c r="B2137" s="107" t="s">
        <v>2357</v>
      </c>
      <c r="C2137" s="55" t="s">
        <v>2358</v>
      </c>
      <c r="D2137" s="56" t="s">
        <v>2364</v>
      </c>
    </row>
    <row r="2138" spans="2:4" s="54" customFormat="1" x14ac:dyDescent="0.2">
      <c r="B2138" s="107" t="s">
        <v>2357</v>
      </c>
      <c r="C2138" s="55" t="s">
        <v>2358</v>
      </c>
      <c r="D2138" s="56" t="s">
        <v>2365</v>
      </c>
    </row>
    <row r="2139" spans="2:4" s="54" customFormat="1" x14ac:dyDescent="0.2">
      <c r="B2139" s="107" t="s">
        <v>2366</v>
      </c>
      <c r="C2139" s="55" t="s">
        <v>2367</v>
      </c>
      <c r="D2139" s="56" t="s">
        <v>2368</v>
      </c>
    </row>
    <row r="2140" spans="2:4" s="54" customFormat="1" x14ac:dyDescent="0.2">
      <c r="B2140" s="107" t="s">
        <v>2366</v>
      </c>
      <c r="C2140" s="55" t="s">
        <v>2367</v>
      </c>
      <c r="D2140" s="56" t="s">
        <v>2369</v>
      </c>
    </row>
    <row r="2141" spans="2:4" s="54" customFormat="1" x14ac:dyDescent="0.2">
      <c r="B2141" s="107" t="s">
        <v>2366</v>
      </c>
      <c r="C2141" s="55" t="s">
        <v>2367</v>
      </c>
      <c r="D2141" s="56" t="s">
        <v>2370</v>
      </c>
    </row>
    <row r="2142" spans="2:4" s="54" customFormat="1" x14ac:dyDescent="0.2">
      <c r="B2142" s="107" t="s">
        <v>2366</v>
      </c>
      <c r="C2142" s="55" t="s">
        <v>2367</v>
      </c>
      <c r="D2142" s="56" t="s">
        <v>2371</v>
      </c>
    </row>
    <row r="2143" spans="2:4" s="54" customFormat="1" x14ac:dyDescent="0.2">
      <c r="B2143" s="107" t="s">
        <v>2366</v>
      </c>
      <c r="C2143" s="55" t="s">
        <v>2367</v>
      </c>
      <c r="D2143" s="56" t="s">
        <v>2372</v>
      </c>
    </row>
    <row r="2144" spans="2:4" s="54" customFormat="1" x14ac:dyDescent="0.2">
      <c r="B2144" s="107" t="s">
        <v>2366</v>
      </c>
      <c r="C2144" s="55" t="s">
        <v>2367</v>
      </c>
      <c r="D2144" s="56" t="s">
        <v>2373</v>
      </c>
    </row>
    <row r="2145" spans="2:4" s="54" customFormat="1" x14ac:dyDescent="0.2">
      <c r="B2145" s="107" t="s">
        <v>2366</v>
      </c>
      <c r="C2145" s="55" t="s">
        <v>2367</v>
      </c>
      <c r="D2145" s="56" t="s">
        <v>2374</v>
      </c>
    </row>
    <row r="2146" spans="2:4" s="54" customFormat="1" x14ac:dyDescent="0.2">
      <c r="B2146" s="107" t="s">
        <v>2366</v>
      </c>
      <c r="C2146" s="55" t="s">
        <v>2367</v>
      </c>
      <c r="D2146" s="56" t="s">
        <v>2375</v>
      </c>
    </row>
    <row r="2147" spans="2:4" s="54" customFormat="1" x14ac:dyDescent="0.2">
      <c r="B2147" s="107" t="s">
        <v>2376</v>
      </c>
      <c r="C2147" s="55" t="s">
        <v>2377</v>
      </c>
      <c r="D2147" s="56" t="s">
        <v>2378</v>
      </c>
    </row>
    <row r="2148" spans="2:4" s="54" customFormat="1" x14ac:dyDescent="0.2">
      <c r="B2148" s="107" t="s">
        <v>2376</v>
      </c>
      <c r="C2148" s="55" t="s">
        <v>2379</v>
      </c>
      <c r="D2148" s="56" t="s">
        <v>2380</v>
      </c>
    </row>
    <row r="2149" spans="2:4" s="54" customFormat="1" x14ac:dyDescent="0.2">
      <c r="B2149" s="107" t="s">
        <v>2376</v>
      </c>
      <c r="C2149" s="55" t="s">
        <v>2379</v>
      </c>
      <c r="D2149" s="56" t="s">
        <v>2381</v>
      </c>
    </row>
    <row r="2150" spans="2:4" s="54" customFormat="1" x14ac:dyDescent="0.2">
      <c r="B2150" s="107" t="s">
        <v>2376</v>
      </c>
      <c r="C2150" s="55" t="s">
        <v>2379</v>
      </c>
      <c r="D2150" s="56" t="s">
        <v>2382</v>
      </c>
    </row>
    <row r="2151" spans="2:4" s="54" customFormat="1" x14ac:dyDescent="0.2">
      <c r="B2151" s="107" t="s">
        <v>2376</v>
      </c>
      <c r="C2151" s="55" t="s">
        <v>2379</v>
      </c>
      <c r="D2151" s="56" t="s">
        <v>2383</v>
      </c>
    </row>
    <row r="2152" spans="2:4" s="54" customFormat="1" x14ac:dyDescent="0.2">
      <c r="B2152" s="107" t="s">
        <v>2376</v>
      </c>
      <c r="C2152" s="55" t="s">
        <v>2379</v>
      </c>
      <c r="D2152" s="56" t="s">
        <v>2384</v>
      </c>
    </row>
    <row r="2153" spans="2:4" s="54" customFormat="1" x14ac:dyDescent="0.2">
      <c r="B2153" s="107" t="s">
        <v>2376</v>
      </c>
      <c r="C2153" s="55" t="s">
        <v>2379</v>
      </c>
      <c r="D2153" s="56" t="s">
        <v>2385</v>
      </c>
    </row>
    <row r="2154" spans="2:4" s="54" customFormat="1" x14ac:dyDescent="0.2">
      <c r="B2154" s="107" t="s">
        <v>2376</v>
      </c>
      <c r="C2154" s="55" t="s">
        <v>2379</v>
      </c>
      <c r="D2154" s="56" t="s">
        <v>2386</v>
      </c>
    </row>
    <row r="2155" spans="2:4" s="54" customFormat="1" x14ac:dyDescent="0.2">
      <c r="B2155" s="107" t="s">
        <v>2376</v>
      </c>
      <c r="C2155" s="55" t="s">
        <v>2379</v>
      </c>
      <c r="D2155" s="56" t="s">
        <v>2387</v>
      </c>
    </row>
    <row r="2156" spans="2:4" s="54" customFormat="1" x14ac:dyDescent="0.2">
      <c r="B2156" s="107" t="s">
        <v>2376</v>
      </c>
      <c r="C2156" s="55" t="s">
        <v>2379</v>
      </c>
      <c r="D2156" s="56" t="s">
        <v>2388</v>
      </c>
    </row>
    <row r="2157" spans="2:4" s="54" customFormat="1" x14ac:dyDescent="0.2">
      <c r="B2157" s="107" t="s">
        <v>2376</v>
      </c>
      <c r="C2157" s="55" t="s">
        <v>2379</v>
      </c>
      <c r="D2157" s="56" t="s">
        <v>2389</v>
      </c>
    </row>
    <row r="2158" spans="2:4" s="54" customFormat="1" x14ac:dyDescent="0.2">
      <c r="B2158" s="107" t="s">
        <v>2376</v>
      </c>
      <c r="C2158" s="55" t="s">
        <v>2379</v>
      </c>
      <c r="D2158" s="56" t="s">
        <v>2390</v>
      </c>
    </row>
    <row r="2159" spans="2:4" s="54" customFormat="1" x14ac:dyDescent="0.2">
      <c r="B2159" s="107" t="s">
        <v>2376</v>
      </c>
      <c r="C2159" s="55" t="s">
        <v>2379</v>
      </c>
      <c r="D2159" s="56" t="s">
        <v>2391</v>
      </c>
    </row>
    <row r="2160" spans="2:4" s="54" customFormat="1" x14ac:dyDescent="0.2">
      <c r="B2160" s="107" t="s">
        <v>2376</v>
      </c>
      <c r="C2160" s="55" t="s">
        <v>2379</v>
      </c>
      <c r="D2160" s="56" t="s">
        <v>2392</v>
      </c>
    </row>
    <row r="2161" spans="2:4" s="54" customFormat="1" x14ac:dyDescent="0.2">
      <c r="B2161" s="107" t="s">
        <v>2376</v>
      </c>
      <c r="C2161" s="55" t="s">
        <v>2379</v>
      </c>
      <c r="D2161" s="56" t="s">
        <v>2393</v>
      </c>
    </row>
    <row r="2162" spans="2:4" s="54" customFormat="1" x14ac:dyDescent="0.2">
      <c r="B2162" s="107" t="s">
        <v>2376</v>
      </c>
      <c r="C2162" s="55" t="s">
        <v>2379</v>
      </c>
      <c r="D2162" s="56" t="s">
        <v>2394</v>
      </c>
    </row>
    <row r="2163" spans="2:4" s="54" customFormat="1" x14ac:dyDescent="0.2">
      <c r="B2163" s="107" t="s">
        <v>2376</v>
      </c>
      <c r="C2163" s="55" t="s">
        <v>2379</v>
      </c>
      <c r="D2163" s="56" t="s">
        <v>2395</v>
      </c>
    </row>
    <row r="2164" spans="2:4" s="54" customFormat="1" x14ac:dyDescent="0.2">
      <c r="B2164" s="107" t="s">
        <v>2396</v>
      </c>
      <c r="C2164" s="55" t="s">
        <v>2397</v>
      </c>
      <c r="D2164" s="56" t="s">
        <v>2398</v>
      </c>
    </row>
    <row r="2165" spans="2:4" s="54" customFormat="1" x14ac:dyDescent="0.2">
      <c r="B2165" s="107" t="s">
        <v>2396</v>
      </c>
      <c r="C2165" s="55" t="s">
        <v>2397</v>
      </c>
      <c r="D2165" s="56" t="s">
        <v>2399</v>
      </c>
    </row>
    <row r="2166" spans="2:4" s="54" customFormat="1" x14ac:dyDescent="0.2">
      <c r="B2166" s="107" t="s">
        <v>2396</v>
      </c>
      <c r="C2166" s="55" t="s">
        <v>2397</v>
      </c>
      <c r="D2166" s="56" t="s">
        <v>2400</v>
      </c>
    </row>
    <row r="2167" spans="2:4" s="54" customFormat="1" x14ac:dyDescent="0.2">
      <c r="B2167" s="107" t="s">
        <v>2396</v>
      </c>
      <c r="C2167" s="55" t="s">
        <v>2397</v>
      </c>
      <c r="D2167" s="56" t="s">
        <v>2401</v>
      </c>
    </row>
    <row r="2168" spans="2:4" s="54" customFormat="1" x14ac:dyDescent="0.2">
      <c r="B2168" s="107" t="s">
        <v>2396</v>
      </c>
      <c r="C2168" s="55" t="s">
        <v>2397</v>
      </c>
      <c r="D2168" s="56" t="s">
        <v>2402</v>
      </c>
    </row>
    <row r="2169" spans="2:4" s="54" customFormat="1" x14ac:dyDescent="0.2">
      <c r="B2169" s="107" t="s">
        <v>2396</v>
      </c>
      <c r="C2169" s="55" t="s">
        <v>2397</v>
      </c>
      <c r="D2169" s="56" t="s">
        <v>2403</v>
      </c>
    </row>
    <row r="2170" spans="2:4" s="54" customFormat="1" x14ac:dyDescent="0.2">
      <c r="B2170" s="107" t="s">
        <v>2396</v>
      </c>
      <c r="C2170" s="55" t="s">
        <v>2397</v>
      </c>
      <c r="D2170" s="56" t="s">
        <v>2404</v>
      </c>
    </row>
    <row r="2171" spans="2:4" s="54" customFormat="1" x14ac:dyDescent="0.2">
      <c r="B2171" s="107" t="s">
        <v>2396</v>
      </c>
      <c r="C2171" s="55" t="s">
        <v>2397</v>
      </c>
      <c r="D2171" s="56" t="s">
        <v>2405</v>
      </c>
    </row>
    <row r="2172" spans="2:4" s="54" customFormat="1" x14ac:dyDescent="0.2">
      <c r="B2172" s="107" t="s">
        <v>2396</v>
      </c>
      <c r="C2172" s="55" t="s">
        <v>2397</v>
      </c>
      <c r="D2172" s="56" t="s">
        <v>2406</v>
      </c>
    </row>
    <row r="2173" spans="2:4" s="54" customFormat="1" x14ac:dyDescent="0.2">
      <c r="B2173" s="107" t="s">
        <v>2396</v>
      </c>
      <c r="C2173" s="55" t="s">
        <v>2397</v>
      </c>
      <c r="D2173" s="56" t="s">
        <v>2407</v>
      </c>
    </row>
    <row r="2174" spans="2:4" s="54" customFormat="1" x14ac:dyDescent="0.2">
      <c r="B2174" s="107" t="s">
        <v>2396</v>
      </c>
      <c r="C2174" s="55" t="s">
        <v>2397</v>
      </c>
      <c r="D2174" s="56" t="s">
        <v>2408</v>
      </c>
    </row>
    <row r="2175" spans="2:4" s="54" customFormat="1" x14ac:dyDescent="0.2">
      <c r="B2175" s="107" t="s">
        <v>2396</v>
      </c>
      <c r="C2175" s="55" t="s">
        <v>2397</v>
      </c>
      <c r="D2175" s="56" t="s">
        <v>2409</v>
      </c>
    </row>
    <row r="2176" spans="2:4" s="54" customFormat="1" x14ac:dyDescent="0.2">
      <c r="B2176" s="107" t="s">
        <v>2396</v>
      </c>
      <c r="C2176" s="55" t="s">
        <v>2397</v>
      </c>
      <c r="D2176" s="56" t="s">
        <v>2410</v>
      </c>
    </row>
    <row r="2177" spans="2:4" s="54" customFormat="1" x14ac:dyDescent="0.2">
      <c r="B2177" s="107" t="s">
        <v>2396</v>
      </c>
      <c r="C2177" s="55" t="s">
        <v>2397</v>
      </c>
      <c r="D2177" s="56" t="s">
        <v>2411</v>
      </c>
    </row>
    <row r="2178" spans="2:4" s="54" customFormat="1" x14ac:dyDescent="0.2">
      <c r="B2178" s="107" t="s">
        <v>2396</v>
      </c>
      <c r="C2178" s="55" t="s">
        <v>2397</v>
      </c>
      <c r="D2178" s="56" t="s">
        <v>2412</v>
      </c>
    </row>
    <row r="2179" spans="2:4" s="54" customFormat="1" x14ac:dyDescent="0.2">
      <c r="B2179" s="107" t="s">
        <v>2396</v>
      </c>
      <c r="C2179" s="55" t="s">
        <v>2397</v>
      </c>
      <c r="D2179" s="56" t="s">
        <v>2413</v>
      </c>
    </row>
    <row r="2180" spans="2:4" s="54" customFormat="1" x14ac:dyDescent="0.2">
      <c r="B2180" s="107" t="s">
        <v>2396</v>
      </c>
      <c r="C2180" s="55" t="s">
        <v>2397</v>
      </c>
      <c r="D2180" s="56" t="s">
        <v>2414</v>
      </c>
    </row>
    <row r="2181" spans="2:4" s="54" customFormat="1" x14ac:dyDescent="0.2">
      <c r="B2181" s="107" t="s">
        <v>2396</v>
      </c>
      <c r="C2181" s="55" t="s">
        <v>2397</v>
      </c>
      <c r="D2181" s="56" t="s">
        <v>2415</v>
      </c>
    </row>
    <row r="2182" spans="2:4" s="54" customFormat="1" x14ac:dyDescent="0.2">
      <c r="B2182" s="107" t="s">
        <v>2396</v>
      </c>
      <c r="C2182" s="55" t="s">
        <v>2397</v>
      </c>
      <c r="D2182" s="56" t="s">
        <v>2416</v>
      </c>
    </row>
    <row r="2183" spans="2:4" s="54" customFormat="1" x14ac:dyDescent="0.2">
      <c r="B2183" s="107" t="s">
        <v>2396</v>
      </c>
      <c r="C2183" s="55" t="s">
        <v>2397</v>
      </c>
      <c r="D2183" s="56" t="s">
        <v>2417</v>
      </c>
    </row>
    <row r="2184" spans="2:4" s="54" customFormat="1" x14ac:dyDescent="0.2">
      <c r="B2184" s="107" t="s">
        <v>2396</v>
      </c>
      <c r="C2184" s="55" t="s">
        <v>2397</v>
      </c>
      <c r="D2184" s="56" t="s">
        <v>2418</v>
      </c>
    </row>
    <row r="2185" spans="2:4" s="54" customFormat="1" x14ac:dyDescent="0.2">
      <c r="B2185" s="107" t="s">
        <v>2396</v>
      </c>
      <c r="C2185" s="55" t="s">
        <v>2397</v>
      </c>
      <c r="D2185" s="56" t="s">
        <v>2419</v>
      </c>
    </row>
    <row r="2186" spans="2:4" s="54" customFormat="1" x14ac:dyDescent="0.2">
      <c r="B2186" s="107" t="s">
        <v>2396</v>
      </c>
      <c r="C2186" s="55" t="s">
        <v>2397</v>
      </c>
      <c r="D2186" s="56" t="s">
        <v>2420</v>
      </c>
    </row>
    <row r="2187" spans="2:4" s="54" customFormat="1" x14ac:dyDescent="0.2">
      <c r="B2187" s="107" t="s">
        <v>2396</v>
      </c>
      <c r="C2187" s="55" t="s">
        <v>2397</v>
      </c>
      <c r="D2187" s="56" t="s">
        <v>2421</v>
      </c>
    </row>
    <row r="2188" spans="2:4" s="54" customFormat="1" x14ac:dyDescent="0.2">
      <c r="B2188" s="107" t="s">
        <v>2396</v>
      </c>
      <c r="C2188" s="55" t="s">
        <v>2397</v>
      </c>
      <c r="D2188" s="56" t="s">
        <v>2422</v>
      </c>
    </row>
    <row r="2189" spans="2:4" s="54" customFormat="1" x14ac:dyDescent="0.2">
      <c r="B2189" s="107" t="s">
        <v>2396</v>
      </c>
      <c r="C2189" s="55" t="s">
        <v>2397</v>
      </c>
      <c r="D2189" s="56" t="s">
        <v>2423</v>
      </c>
    </row>
    <row r="2190" spans="2:4" s="54" customFormat="1" x14ac:dyDescent="0.2">
      <c r="B2190" s="107" t="s">
        <v>2396</v>
      </c>
      <c r="C2190" s="55" t="s">
        <v>2397</v>
      </c>
      <c r="D2190" s="56" t="s">
        <v>2424</v>
      </c>
    </row>
    <row r="2191" spans="2:4" s="54" customFormat="1" x14ac:dyDescent="0.2">
      <c r="B2191" s="107" t="s">
        <v>2396</v>
      </c>
      <c r="C2191" s="55" t="s">
        <v>2397</v>
      </c>
      <c r="D2191" s="56" t="s">
        <v>2425</v>
      </c>
    </row>
    <row r="2192" spans="2:4" s="54" customFormat="1" x14ac:dyDescent="0.2">
      <c r="B2192" s="107" t="s">
        <v>2396</v>
      </c>
      <c r="C2192" s="55" t="s">
        <v>2397</v>
      </c>
      <c r="D2192" s="56" t="s">
        <v>2426</v>
      </c>
    </row>
    <row r="2193" spans="2:4" s="54" customFormat="1" x14ac:dyDescent="0.2">
      <c r="B2193" s="107" t="s">
        <v>2396</v>
      </c>
      <c r="C2193" s="55" t="s">
        <v>2397</v>
      </c>
      <c r="D2193" s="56" t="s">
        <v>2427</v>
      </c>
    </row>
    <row r="2194" spans="2:4" s="54" customFormat="1" x14ac:dyDescent="0.2">
      <c r="B2194" s="107" t="s">
        <v>2396</v>
      </c>
      <c r="C2194" s="55" t="s">
        <v>2397</v>
      </c>
      <c r="D2194" s="56" t="s">
        <v>2428</v>
      </c>
    </row>
    <row r="2195" spans="2:4" s="54" customFormat="1" x14ac:dyDescent="0.2">
      <c r="B2195" s="107" t="s">
        <v>2396</v>
      </c>
      <c r="C2195" s="55" t="s">
        <v>2397</v>
      </c>
      <c r="D2195" s="56" t="s">
        <v>2429</v>
      </c>
    </row>
    <row r="2196" spans="2:4" s="54" customFormat="1" x14ac:dyDescent="0.2">
      <c r="B2196" s="107" t="s">
        <v>2396</v>
      </c>
      <c r="C2196" s="55" t="s">
        <v>2397</v>
      </c>
      <c r="D2196" s="56" t="s">
        <v>2430</v>
      </c>
    </row>
    <row r="2197" spans="2:4" s="54" customFormat="1" x14ac:dyDescent="0.2">
      <c r="B2197" s="107" t="s">
        <v>2396</v>
      </c>
      <c r="C2197" s="55" t="s">
        <v>2397</v>
      </c>
      <c r="D2197" s="56" t="s">
        <v>2431</v>
      </c>
    </row>
    <row r="2198" spans="2:4" s="54" customFormat="1" x14ac:dyDescent="0.2">
      <c r="B2198" s="107" t="s">
        <v>2396</v>
      </c>
      <c r="C2198" s="55" t="s">
        <v>2397</v>
      </c>
      <c r="D2198" s="56" t="s">
        <v>2432</v>
      </c>
    </row>
    <row r="2199" spans="2:4" s="54" customFormat="1" x14ac:dyDescent="0.2">
      <c r="B2199" s="107" t="s">
        <v>2396</v>
      </c>
      <c r="C2199" s="55" t="s">
        <v>2397</v>
      </c>
      <c r="D2199" s="56" t="s">
        <v>2433</v>
      </c>
    </row>
    <row r="2200" spans="2:4" s="54" customFormat="1" x14ac:dyDescent="0.2">
      <c r="B2200" s="107" t="s">
        <v>2396</v>
      </c>
      <c r="C2200" s="55" t="s">
        <v>2397</v>
      </c>
      <c r="D2200" s="56" t="s">
        <v>2434</v>
      </c>
    </row>
    <row r="2201" spans="2:4" s="54" customFormat="1" x14ac:dyDescent="0.2">
      <c r="B2201" s="107" t="s">
        <v>2396</v>
      </c>
      <c r="C2201" s="55" t="s">
        <v>2397</v>
      </c>
      <c r="D2201" s="56" t="s">
        <v>2435</v>
      </c>
    </row>
    <row r="2202" spans="2:4" s="54" customFormat="1" x14ac:dyDescent="0.2">
      <c r="B2202" s="107" t="s">
        <v>2396</v>
      </c>
      <c r="C2202" s="55" t="s">
        <v>2397</v>
      </c>
      <c r="D2202" s="56" t="s">
        <v>2436</v>
      </c>
    </row>
    <row r="2203" spans="2:4" s="54" customFormat="1" x14ac:dyDescent="0.2">
      <c r="B2203" s="107" t="s">
        <v>2396</v>
      </c>
      <c r="C2203" s="55" t="s">
        <v>2397</v>
      </c>
      <c r="D2203" s="56" t="s">
        <v>2437</v>
      </c>
    </row>
    <row r="2204" spans="2:4" s="54" customFormat="1" x14ac:dyDescent="0.2">
      <c r="B2204" s="107" t="s">
        <v>2396</v>
      </c>
      <c r="C2204" s="55" t="s">
        <v>2397</v>
      </c>
      <c r="D2204" s="56" t="s">
        <v>2438</v>
      </c>
    </row>
    <row r="2205" spans="2:4" s="54" customFormat="1" x14ac:dyDescent="0.2">
      <c r="B2205" s="107" t="s">
        <v>2396</v>
      </c>
      <c r="C2205" s="55" t="s">
        <v>2397</v>
      </c>
      <c r="D2205" s="56" t="s">
        <v>2439</v>
      </c>
    </row>
    <row r="2206" spans="2:4" s="54" customFormat="1" x14ac:dyDescent="0.2">
      <c r="B2206" s="107" t="s">
        <v>2396</v>
      </c>
      <c r="C2206" s="55" t="s">
        <v>2397</v>
      </c>
      <c r="D2206" s="56" t="s">
        <v>2440</v>
      </c>
    </row>
    <row r="2207" spans="2:4" s="54" customFormat="1" x14ac:dyDescent="0.2">
      <c r="B2207" s="107" t="s">
        <v>2396</v>
      </c>
      <c r="C2207" s="55" t="s">
        <v>2397</v>
      </c>
      <c r="D2207" s="56" t="s">
        <v>2441</v>
      </c>
    </row>
    <row r="2208" spans="2:4" s="54" customFormat="1" x14ac:dyDescent="0.2">
      <c r="B2208" s="107" t="s">
        <v>2442</v>
      </c>
      <c r="C2208" s="55" t="s">
        <v>2443</v>
      </c>
      <c r="D2208" s="56" t="s">
        <v>2444</v>
      </c>
    </row>
    <row r="2209" spans="2:4" s="54" customFormat="1" x14ac:dyDescent="0.2">
      <c r="B2209" s="107" t="s">
        <v>2442</v>
      </c>
      <c r="C2209" s="55" t="s">
        <v>2443</v>
      </c>
      <c r="D2209" s="56" t="s">
        <v>2445</v>
      </c>
    </row>
    <row r="2210" spans="2:4" s="54" customFormat="1" x14ac:dyDescent="0.2">
      <c r="B2210" s="107" t="s">
        <v>2442</v>
      </c>
      <c r="C2210" s="55" t="s">
        <v>2443</v>
      </c>
      <c r="D2210" s="56" t="s">
        <v>2446</v>
      </c>
    </row>
    <row r="2211" spans="2:4" s="54" customFormat="1" x14ac:dyDescent="0.2">
      <c r="B2211" s="107" t="s">
        <v>2442</v>
      </c>
      <c r="C2211" s="55" t="s">
        <v>2443</v>
      </c>
      <c r="D2211" s="56" t="s">
        <v>2447</v>
      </c>
    </row>
    <row r="2212" spans="2:4" s="54" customFormat="1" x14ac:dyDescent="0.2">
      <c r="B2212" s="107" t="s">
        <v>2442</v>
      </c>
      <c r="C2212" s="55" t="s">
        <v>2443</v>
      </c>
      <c r="D2212" s="56" t="s">
        <v>2448</v>
      </c>
    </row>
    <row r="2213" spans="2:4" s="54" customFormat="1" x14ac:dyDescent="0.2">
      <c r="B2213" s="107" t="s">
        <v>2442</v>
      </c>
      <c r="C2213" s="55" t="s">
        <v>2443</v>
      </c>
      <c r="D2213" s="56" t="s">
        <v>2449</v>
      </c>
    </row>
    <row r="2214" spans="2:4" s="54" customFormat="1" x14ac:dyDescent="0.2">
      <c r="B2214" s="107" t="s">
        <v>2442</v>
      </c>
      <c r="C2214" s="55" t="s">
        <v>2443</v>
      </c>
      <c r="D2214" s="56" t="s">
        <v>2450</v>
      </c>
    </row>
    <row r="2215" spans="2:4" s="54" customFormat="1" x14ac:dyDescent="0.2">
      <c r="B2215" s="107" t="s">
        <v>2442</v>
      </c>
      <c r="C2215" s="55" t="s">
        <v>2443</v>
      </c>
      <c r="D2215" s="56" t="s">
        <v>2451</v>
      </c>
    </row>
    <row r="2216" spans="2:4" s="54" customFormat="1" x14ac:dyDescent="0.2">
      <c r="B2216" s="107" t="s">
        <v>2442</v>
      </c>
      <c r="C2216" s="55" t="s">
        <v>2443</v>
      </c>
      <c r="D2216" s="56" t="s">
        <v>2452</v>
      </c>
    </row>
    <row r="2217" spans="2:4" s="54" customFormat="1" x14ac:dyDescent="0.2">
      <c r="B2217" s="107" t="s">
        <v>2442</v>
      </c>
      <c r="C2217" s="55" t="s">
        <v>2443</v>
      </c>
      <c r="D2217" s="56" t="s">
        <v>2453</v>
      </c>
    </row>
    <row r="2218" spans="2:4" s="54" customFormat="1" x14ac:dyDescent="0.2">
      <c r="B2218" s="107" t="s">
        <v>2442</v>
      </c>
      <c r="C2218" s="55" t="s">
        <v>2443</v>
      </c>
      <c r="D2218" s="56" t="s">
        <v>2454</v>
      </c>
    </row>
    <row r="2219" spans="2:4" s="54" customFormat="1" x14ac:dyDescent="0.2">
      <c r="B2219" s="107" t="s">
        <v>2442</v>
      </c>
      <c r="C2219" s="55" t="s">
        <v>2443</v>
      </c>
      <c r="D2219" s="56" t="s">
        <v>2455</v>
      </c>
    </row>
    <row r="2220" spans="2:4" s="54" customFormat="1" x14ac:dyDescent="0.2">
      <c r="B2220" s="107" t="s">
        <v>2442</v>
      </c>
      <c r="C2220" s="55" t="s">
        <v>2443</v>
      </c>
      <c r="D2220" s="56" t="s">
        <v>2456</v>
      </c>
    </row>
    <row r="2221" spans="2:4" s="54" customFormat="1" x14ac:dyDescent="0.2">
      <c r="B2221" s="107" t="s">
        <v>2442</v>
      </c>
      <c r="C2221" s="55" t="s">
        <v>2443</v>
      </c>
      <c r="D2221" s="56" t="s">
        <v>2457</v>
      </c>
    </row>
    <row r="2222" spans="2:4" s="54" customFormat="1" x14ac:dyDescent="0.2">
      <c r="B2222" s="107" t="s">
        <v>2442</v>
      </c>
      <c r="C2222" s="55" t="s">
        <v>2443</v>
      </c>
      <c r="D2222" s="56" t="s">
        <v>2458</v>
      </c>
    </row>
    <row r="2223" spans="2:4" s="54" customFormat="1" x14ac:dyDescent="0.2">
      <c r="B2223" s="107" t="s">
        <v>2442</v>
      </c>
      <c r="C2223" s="55" t="s">
        <v>2443</v>
      </c>
      <c r="D2223" s="56" t="s">
        <v>2459</v>
      </c>
    </row>
    <row r="2224" spans="2:4" s="54" customFormat="1" x14ac:dyDescent="0.2">
      <c r="B2224" s="107" t="s">
        <v>2442</v>
      </c>
      <c r="C2224" s="55" t="s">
        <v>2443</v>
      </c>
      <c r="D2224" s="56" t="s">
        <v>2460</v>
      </c>
    </row>
    <row r="2225" spans="2:4" s="54" customFormat="1" x14ac:dyDescent="0.2">
      <c r="B2225" s="107" t="s">
        <v>2442</v>
      </c>
      <c r="C2225" s="55" t="s">
        <v>2443</v>
      </c>
      <c r="D2225" s="56" t="s">
        <v>2461</v>
      </c>
    </row>
    <row r="2226" spans="2:4" s="54" customFormat="1" x14ac:dyDescent="0.2">
      <c r="B2226" s="107" t="s">
        <v>2442</v>
      </c>
      <c r="C2226" s="55" t="s">
        <v>2443</v>
      </c>
      <c r="D2226" s="56" t="s">
        <v>2462</v>
      </c>
    </row>
    <row r="2227" spans="2:4" s="54" customFormat="1" x14ac:dyDescent="0.2">
      <c r="B2227" s="107" t="s">
        <v>2442</v>
      </c>
      <c r="C2227" s="55" t="s">
        <v>2443</v>
      </c>
      <c r="D2227" s="56" t="s">
        <v>2463</v>
      </c>
    </row>
    <row r="2228" spans="2:4" s="54" customFormat="1" x14ac:dyDescent="0.2">
      <c r="B2228" s="107" t="s">
        <v>2442</v>
      </c>
      <c r="C2228" s="55" t="s">
        <v>2443</v>
      </c>
      <c r="D2228" s="56" t="s">
        <v>2464</v>
      </c>
    </row>
    <row r="2229" spans="2:4" s="54" customFormat="1" x14ac:dyDescent="0.2">
      <c r="B2229" s="107" t="s">
        <v>2442</v>
      </c>
      <c r="C2229" s="55" t="s">
        <v>2443</v>
      </c>
      <c r="D2229" s="56" t="s">
        <v>2465</v>
      </c>
    </row>
    <row r="2230" spans="2:4" s="54" customFormat="1" x14ac:dyDescent="0.2">
      <c r="B2230" s="107" t="s">
        <v>2442</v>
      </c>
      <c r="C2230" s="55" t="s">
        <v>2443</v>
      </c>
      <c r="D2230" s="56" t="s">
        <v>2466</v>
      </c>
    </row>
    <row r="2231" spans="2:4" s="54" customFormat="1" x14ac:dyDescent="0.2">
      <c r="B2231" s="107" t="s">
        <v>2442</v>
      </c>
      <c r="C2231" s="55" t="s">
        <v>2443</v>
      </c>
      <c r="D2231" s="56" t="s">
        <v>2467</v>
      </c>
    </row>
    <row r="2232" spans="2:4" s="54" customFormat="1" x14ac:dyDescent="0.2">
      <c r="B2232" s="107" t="s">
        <v>2442</v>
      </c>
      <c r="C2232" s="55" t="s">
        <v>2443</v>
      </c>
      <c r="D2232" s="56" t="s">
        <v>2468</v>
      </c>
    </row>
    <row r="2233" spans="2:4" s="54" customFormat="1" x14ac:dyDescent="0.2">
      <c r="B2233" s="107" t="s">
        <v>2442</v>
      </c>
      <c r="C2233" s="55" t="s">
        <v>2443</v>
      </c>
      <c r="D2233" s="56" t="s">
        <v>2469</v>
      </c>
    </row>
    <row r="2234" spans="2:4" s="54" customFormat="1" x14ac:dyDescent="0.2">
      <c r="B2234" s="107" t="s">
        <v>2442</v>
      </c>
      <c r="C2234" s="55" t="s">
        <v>2443</v>
      </c>
      <c r="D2234" s="56" t="s">
        <v>2470</v>
      </c>
    </row>
    <row r="2235" spans="2:4" s="54" customFormat="1" x14ac:dyDescent="0.2">
      <c r="B2235" s="107" t="s">
        <v>2442</v>
      </c>
      <c r="C2235" s="55" t="s">
        <v>2443</v>
      </c>
      <c r="D2235" s="56" t="s">
        <v>2471</v>
      </c>
    </row>
    <row r="2236" spans="2:4" s="54" customFormat="1" x14ac:dyDescent="0.2">
      <c r="B2236" s="107" t="s">
        <v>2442</v>
      </c>
      <c r="C2236" s="55" t="s">
        <v>2443</v>
      </c>
      <c r="D2236" s="56" t="s">
        <v>2472</v>
      </c>
    </row>
    <row r="2237" spans="2:4" s="54" customFormat="1" x14ac:dyDescent="0.2">
      <c r="B2237" s="107" t="s">
        <v>2442</v>
      </c>
      <c r="C2237" s="55" t="s">
        <v>2443</v>
      </c>
      <c r="D2237" s="56" t="s">
        <v>2473</v>
      </c>
    </row>
    <row r="2238" spans="2:4" s="54" customFormat="1" x14ac:dyDescent="0.2">
      <c r="B2238" s="107" t="s">
        <v>2442</v>
      </c>
      <c r="C2238" s="55" t="s">
        <v>2443</v>
      </c>
      <c r="D2238" s="56" t="s">
        <v>2474</v>
      </c>
    </row>
    <row r="2239" spans="2:4" s="54" customFormat="1" x14ac:dyDescent="0.2">
      <c r="B2239" s="107" t="s">
        <v>2442</v>
      </c>
      <c r="C2239" s="55" t="s">
        <v>2443</v>
      </c>
      <c r="D2239" s="56" t="s">
        <v>2475</v>
      </c>
    </row>
    <row r="2240" spans="2:4" s="54" customFormat="1" x14ac:dyDescent="0.2">
      <c r="B2240" s="107" t="s">
        <v>2442</v>
      </c>
      <c r="C2240" s="55" t="s">
        <v>2443</v>
      </c>
      <c r="D2240" s="56" t="s">
        <v>2476</v>
      </c>
    </row>
    <row r="2241" spans="2:4" s="54" customFormat="1" x14ac:dyDescent="0.2">
      <c r="B2241" s="107" t="s">
        <v>2442</v>
      </c>
      <c r="C2241" s="55" t="s">
        <v>2443</v>
      </c>
      <c r="D2241" s="56" t="s">
        <v>2477</v>
      </c>
    </row>
    <row r="2242" spans="2:4" s="54" customFormat="1" x14ac:dyDescent="0.2">
      <c r="B2242" s="107" t="s">
        <v>2442</v>
      </c>
      <c r="C2242" s="55" t="s">
        <v>2443</v>
      </c>
      <c r="D2242" s="56" t="s">
        <v>2478</v>
      </c>
    </row>
    <row r="2243" spans="2:4" s="54" customFormat="1" x14ac:dyDescent="0.2">
      <c r="B2243" s="107" t="s">
        <v>2442</v>
      </c>
      <c r="C2243" s="55" t="s">
        <v>2443</v>
      </c>
      <c r="D2243" s="56" t="s">
        <v>2479</v>
      </c>
    </row>
    <row r="2244" spans="2:4" s="54" customFormat="1" x14ac:dyDescent="0.2">
      <c r="B2244" s="107" t="s">
        <v>2442</v>
      </c>
      <c r="C2244" s="55" t="s">
        <v>2443</v>
      </c>
      <c r="D2244" s="56" t="s">
        <v>2480</v>
      </c>
    </row>
    <row r="2245" spans="2:4" s="54" customFormat="1" x14ac:dyDescent="0.2">
      <c r="B2245" s="107" t="s">
        <v>2442</v>
      </c>
      <c r="C2245" s="55" t="s">
        <v>2443</v>
      </c>
      <c r="D2245" s="56" t="s">
        <v>2481</v>
      </c>
    </row>
    <row r="2246" spans="2:4" s="54" customFormat="1" x14ac:dyDescent="0.2">
      <c r="B2246" s="107" t="s">
        <v>2442</v>
      </c>
      <c r="C2246" s="55" t="s">
        <v>2443</v>
      </c>
      <c r="D2246" s="56" t="s">
        <v>2482</v>
      </c>
    </row>
    <row r="2247" spans="2:4" s="54" customFormat="1" x14ac:dyDescent="0.2">
      <c r="B2247" s="107" t="s">
        <v>2442</v>
      </c>
      <c r="C2247" s="55" t="s">
        <v>2443</v>
      </c>
      <c r="D2247" s="56" t="s">
        <v>2483</v>
      </c>
    </row>
    <row r="2248" spans="2:4" s="54" customFormat="1" x14ac:dyDescent="0.2">
      <c r="B2248" s="107" t="s">
        <v>2442</v>
      </c>
      <c r="C2248" s="55" t="s">
        <v>2443</v>
      </c>
      <c r="D2248" s="56" t="s">
        <v>2484</v>
      </c>
    </row>
    <row r="2249" spans="2:4" s="54" customFormat="1" x14ac:dyDescent="0.2">
      <c r="B2249" s="107" t="s">
        <v>2442</v>
      </c>
      <c r="C2249" s="55" t="s">
        <v>2443</v>
      </c>
      <c r="D2249" s="56" t="s">
        <v>2485</v>
      </c>
    </row>
    <row r="2250" spans="2:4" s="54" customFormat="1" x14ac:dyDescent="0.2">
      <c r="B2250" s="107" t="s">
        <v>2486</v>
      </c>
      <c r="C2250" s="55" t="s">
        <v>2487</v>
      </c>
      <c r="D2250" s="56" t="s">
        <v>2488</v>
      </c>
    </row>
    <row r="2251" spans="2:4" s="54" customFormat="1" x14ac:dyDescent="0.2">
      <c r="B2251" s="107" t="s">
        <v>2486</v>
      </c>
      <c r="C2251" s="55" t="s">
        <v>2487</v>
      </c>
      <c r="D2251" s="56" t="s">
        <v>2489</v>
      </c>
    </row>
    <row r="2252" spans="2:4" s="54" customFormat="1" x14ac:dyDescent="0.2">
      <c r="B2252" s="107" t="s">
        <v>2486</v>
      </c>
      <c r="C2252" s="55" t="s">
        <v>2487</v>
      </c>
      <c r="D2252" s="56" t="s">
        <v>2490</v>
      </c>
    </row>
    <row r="2253" spans="2:4" s="54" customFormat="1" x14ac:dyDescent="0.2">
      <c r="B2253" s="107" t="s">
        <v>2486</v>
      </c>
      <c r="C2253" s="55" t="s">
        <v>2487</v>
      </c>
      <c r="D2253" s="56" t="s">
        <v>2491</v>
      </c>
    </row>
    <row r="2254" spans="2:4" s="54" customFormat="1" x14ac:dyDescent="0.2">
      <c r="B2254" s="107" t="s">
        <v>2486</v>
      </c>
      <c r="C2254" s="55" t="s">
        <v>2487</v>
      </c>
      <c r="D2254" s="56" t="s">
        <v>2492</v>
      </c>
    </row>
    <row r="2255" spans="2:4" s="54" customFormat="1" x14ac:dyDescent="0.2">
      <c r="B2255" s="107" t="s">
        <v>2486</v>
      </c>
      <c r="C2255" s="55" t="s">
        <v>2487</v>
      </c>
      <c r="D2255" s="56" t="s">
        <v>2493</v>
      </c>
    </row>
    <row r="2256" spans="2:4" s="54" customFormat="1" x14ac:dyDescent="0.2">
      <c r="B2256" s="107" t="s">
        <v>2486</v>
      </c>
      <c r="C2256" s="55" t="s">
        <v>2487</v>
      </c>
      <c r="D2256" s="56" t="s">
        <v>2494</v>
      </c>
    </row>
    <row r="2257" spans="2:4" s="54" customFormat="1" x14ac:dyDescent="0.2">
      <c r="B2257" s="107" t="s">
        <v>2486</v>
      </c>
      <c r="C2257" s="55" t="s">
        <v>2487</v>
      </c>
      <c r="D2257" s="56" t="s">
        <v>2495</v>
      </c>
    </row>
    <row r="2258" spans="2:4" s="54" customFormat="1" x14ac:dyDescent="0.2">
      <c r="B2258" s="107" t="s">
        <v>2496</v>
      </c>
      <c r="C2258" s="55" t="s">
        <v>2497</v>
      </c>
      <c r="D2258" s="56" t="s">
        <v>539</v>
      </c>
    </row>
    <row r="2259" spans="2:4" s="54" customFormat="1" x14ac:dyDescent="0.2">
      <c r="B2259" s="107" t="s">
        <v>2496</v>
      </c>
      <c r="C2259" s="55" t="s">
        <v>2497</v>
      </c>
      <c r="D2259" s="56" t="s">
        <v>2498</v>
      </c>
    </row>
    <row r="2260" spans="2:4" s="54" customFormat="1" x14ac:dyDescent="0.2">
      <c r="B2260" s="107" t="s">
        <v>2496</v>
      </c>
      <c r="C2260" s="55" t="s">
        <v>2497</v>
      </c>
      <c r="D2260" s="56" t="s">
        <v>541</v>
      </c>
    </row>
    <row r="2261" spans="2:4" s="54" customFormat="1" x14ac:dyDescent="0.2">
      <c r="B2261" s="107" t="s">
        <v>2496</v>
      </c>
      <c r="C2261" s="55" t="s">
        <v>2497</v>
      </c>
      <c r="D2261" s="56" t="s">
        <v>543</v>
      </c>
    </row>
    <row r="2262" spans="2:4" s="54" customFormat="1" x14ac:dyDescent="0.2">
      <c r="B2262" s="107" t="s">
        <v>2496</v>
      </c>
      <c r="C2262" s="55" t="s">
        <v>2497</v>
      </c>
      <c r="D2262" s="56" t="s">
        <v>544</v>
      </c>
    </row>
    <row r="2263" spans="2:4" s="54" customFormat="1" x14ac:dyDescent="0.2">
      <c r="B2263" s="107" t="s">
        <v>2499</v>
      </c>
      <c r="C2263" s="55" t="s">
        <v>2500</v>
      </c>
      <c r="D2263" s="56" t="s">
        <v>2501</v>
      </c>
    </row>
    <row r="2264" spans="2:4" s="54" customFormat="1" x14ac:dyDescent="0.2">
      <c r="B2264" s="107" t="s">
        <v>2499</v>
      </c>
      <c r="C2264" s="55" t="s">
        <v>2500</v>
      </c>
      <c r="D2264" s="56" t="s">
        <v>2502</v>
      </c>
    </row>
    <row r="2265" spans="2:4" s="54" customFormat="1" x14ac:dyDescent="0.2">
      <c r="B2265" s="107" t="s">
        <v>2499</v>
      </c>
      <c r="C2265" s="55" t="s">
        <v>2500</v>
      </c>
      <c r="D2265" s="56" t="s">
        <v>2503</v>
      </c>
    </row>
    <row r="2266" spans="2:4" s="54" customFormat="1" x14ac:dyDescent="0.2">
      <c r="B2266" s="107" t="s">
        <v>2499</v>
      </c>
      <c r="C2266" s="55" t="s">
        <v>2500</v>
      </c>
      <c r="D2266" s="56" t="s">
        <v>2504</v>
      </c>
    </row>
    <row r="2267" spans="2:4" s="54" customFormat="1" x14ac:dyDescent="0.2">
      <c r="B2267" s="107" t="s">
        <v>2499</v>
      </c>
      <c r="C2267" s="55" t="s">
        <v>2500</v>
      </c>
      <c r="D2267" s="56" t="s">
        <v>2505</v>
      </c>
    </row>
    <row r="2268" spans="2:4" s="54" customFormat="1" x14ac:dyDescent="0.2">
      <c r="B2268" s="107" t="s">
        <v>2499</v>
      </c>
      <c r="C2268" s="55" t="s">
        <v>2500</v>
      </c>
      <c r="D2268" s="56" t="s">
        <v>2506</v>
      </c>
    </row>
    <row r="2269" spans="2:4" s="54" customFormat="1" x14ac:dyDescent="0.2">
      <c r="B2269" s="107" t="s">
        <v>2499</v>
      </c>
      <c r="C2269" s="55" t="s">
        <v>2500</v>
      </c>
      <c r="D2269" s="56" t="s">
        <v>2507</v>
      </c>
    </row>
    <row r="2270" spans="2:4" s="54" customFormat="1" x14ac:dyDescent="0.2">
      <c r="B2270" s="107" t="s">
        <v>2499</v>
      </c>
      <c r="C2270" s="55" t="s">
        <v>2500</v>
      </c>
      <c r="D2270" s="56" t="s">
        <v>2508</v>
      </c>
    </row>
    <row r="2271" spans="2:4" s="54" customFormat="1" x14ac:dyDescent="0.2">
      <c r="B2271" s="107" t="s">
        <v>2499</v>
      </c>
      <c r="C2271" s="55" t="s">
        <v>2500</v>
      </c>
      <c r="D2271" s="56" t="s">
        <v>2509</v>
      </c>
    </row>
    <row r="2272" spans="2:4" s="54" customFormat="1" x14ac:dyDescent="0.2">
      <c r="B2272" s="107" t="s">
        <v>2499</v>
      </c>
      <c r="C2272" s="55" t="s">
        <v>2500</v>
      </c>
      <c r="D2272" s="56" t="s">
        <v>2510</v>
      </c>
    </row>
    <row r="2273" spans="2:4" s="54" customFormat="1" x14ac:dyDescent="0.2">
      <c r="B2273" s="107" t="s">
        <v>2499</v>
      </c>
      <c r="C2273" s="55" t="s">
        <v>2500</v>
      </c>
      <c r="D2273" s="56" t="s">
        <v>2511</v>
      </c>
    </row>
    <row r="2274" spans="2:4" s="54" customFormat="1" x14ac:dyDescent="0.2">
      <c r="B2274" s="107" t="s">
        <v>2499</v>
      </c>
      <c r="C2274" s="55" t="s">
        <v>2500</v>
      </c>
      <c r="D2274" s="56" t="s">
        <v>2512</v>
      </c>
    </row>
    <row r="2275" spans="2:4" s="54" customFormat="1" x14ac:dyDescent="0.2">
      <c r="B2275" s="107" t="s">
        <v>2499</v>
      </c>
      <c r="C2275" s="55" t="s">
        <v>2500</v>
      </c>
      <c r="D2275" s="56" t="s">
        <v>2513</v>
      </c>
    </row>
    <row r="2276" spans="2:4" s="54" customFormat="1" x14ac:dyDescent="0.2">
      <c r="B2276" s="107" t="s">
        <v>2499</v>
      </c>
      <c r="C2276" s="55" t="s">
        <v>2500</v>
      </c>
      <c r="D2276" s="56" t="s">
        <v>2514</v>
      </c>
    </row>
    <row r="2277" spans="2:4" s="54" customFormat="1" x14ac:dyDescent="0.2">
      <c r="B2277" s="107" t="s">
        <v>2515</v>
      </c>
      <c r="C2277" s="55" t="s">
        <v>2516</v>
      </c>
      <c r="D2277" s="56" t="s">
        <v>2517</v>
      </c>
    </row>
    <row r="2278" spans="2:4" s="54" customFormat="1" x14ac:dyDescent="0.2">
      <c r="B2278" s="107" t="s">
        <v>2515</v>
      </c>
      <c r="C2278" s="55" t="s">
        <v>2516</v>
      </c>
      <c r="D2278" s="56" t="s">
        <v>2518</v>
      </c>
    </row>
    <row r="2279" spans="2:4" s="54" customFormat="1" x14ac:dyDescent="0.2">
      <c r="B2279" s="107" t="s">
        <v>2515</v>
      </c>
      <c r="C2279" s="55" t="s">
        <v>2516</v>
      </c>
      <c r="D2279" s="56" t="s">
        <v>2519</v>
      </c>
    </row>
    <row r="2280" spans="2:4" s="54" customFormat="1" x14ac:dyDescent="0.2">
      <c r="B2280" s="107" t="s">
        <v>2515</v>
      </c>
      <c r="C2280" s="55" t="s">
        <v>2516</v>
      </c>
      <c r="D2280" s="56" t="s">
        <v>2520</v>
      </c>
    </row>
    <row r="2281" spans="2:4" s="54" customFormat="1" x14ac:dyDescent="0.2">
      <c r="B2281" s="107" t="s">
        <v>2515</v>
      </c>
      <c r="C2281" s="55" t="s">
        <v>2516</v>
      </c>
      <c r="D2281" s="56" t="s">
        <v>2521</v>
      </c>
    </row>
    <row r="2282" spans="2:4" s="54" customFormat="1" x14ac:dyDescent="0.2">
      <c r="B2282" s="107" t="s">
        <v>2515</v>
      </c>
      <c r="C2282" s="55" t="s">
        <v>2516</v>
      </c>
      <c r="D2282" s="56" t="s">
        <v>2522</v>
      </c>
    </row>
    <row r="2283" spans="2:4" s="54" customFormat="1" x14ac:dyDescent="0.2">
      <c r="B2283" s="107" t="s">
        <v>2515</v>
      </c>
      <c r="C2283" s="55" t="s">
        <v>2516</v>
      </c>
      <c r="D2283" s="56" t="s">
        <v>2523</v>
      </c>
    </row>
    <row r="2284" spans="2:4" s="54" customFormat="1" x14ac:dyDescent="0.2">
      <c r="B2284" s="107" t="s">
        <v>2515</v>
      </c>
      <c r="C2284" s="55" t="s">
        <v>2516</v>
      </c>
      <c r="D2284" s="56" t="s">
        <v>2524</v>
      </c>
    </row>
    <row r="2285" spans="2:4" s="54" customFormat="1" x14ac:dyDescent="0.2">
      <c r="B2285" s="107" t="s">
        <v>2515</v>
      </c>
      <c r="C2285" s="55" t="s">
        <v>2516</v>
      </c>
      <c r="D2285" s="56" t="s">
        <v>2525</v>
      </c>
    </row>
    <row r="2286" spans="2:4" s="54" customFormat="1" x14ac:dyDescent="0.2">
      <c r="B2286" s="107" t="s">
        <v>2526</v>
      </c>
      <c r="C2286" s="55" t="s">
        <v>2527</v>
      </c>
      <c r="D2286" s="56" t="s">
        <v>2528</v>
      </c>
    </row>
    <row r="2287" spans="2:4" s="54" customFormat="1" x14ac:dyDescent="0.2">
      <c r="B2287" s="107" t="s">
        <v>2526</v>
      </c>
      <c r="C2287" s="55" t="s">
        <v>2527</v>
      </c>
      <c r="D2287" s="56" t="s">
        <v>2529</v>
      </c>
    </row>
    <row r="2288" spans="2:4" s="54" customFormat="1" x14ac:dyDescent="0.2">
      <c r="B2288" s="107" t="s">
        <v>2526</v>
      </c>
      <c r="C2288" s="55" t="s">
        <v>2527</v>
      </c>
      <c r="D2288" s="56" t="s">
        <v>288</v>
      </c>
    </row>
    <row r="2289" spans="2:4" s="54" customFormat="1" x14ac:dyDescent="0.2">
      <c r="B2289" s="107" t="s">
        <v>2526</v>
      </c>
      <c r="C2289" s="55" t="s">
        <v>2527</v>
      </c>
      <c r="D2289" s="56" t="s">
        <v>1148</v>
      </c>
    </row>
    <row r="2290" spans="2:4" s="54" customFormat="1" x14ac:dyDescent="0.2">
      <c r="B2290" s="107" t="s">
        <v>2526</v>
      </c>
      <c r="C2290" s="55" t="s">
        <v>2527</v>
      </c>
      <c r="D2290" s="56" t="s">
        <v>289</v>
      </c>
    </row>
    <row r="2291" spans="2:4" s="54" customFormat="1" x14ac:dyDescent="0.2">
      <c r="B2291" s="107" t="s">
        <v>2526</v>
      </c>
      <c r="C2291" s="55" t="s">
        <v>2527</v>
      </c>
      <c r="D2291" s="56" t="s">
        <v>1150</v>
      </c>
    </row>
    <row r="2292" spans="2:4" s="54" customFormat="1" x14ac:dyDescent="0.2">
      <c r="B2292" s="107" t="s">
        <v>2530</v>
      </c>
      <c r="C2292" s="55" t="s">
        <v>2531</v>
      </c>
      <c r="D2292" s="56" t="s">
        <v>2532</v>
      </c>
    </row>
    <row r="2293" spans="2:4" s="54" customFormat="1" x14ac:dyDescent="0.2">
      <c r="B2293" s="107" t="s">
        <v>2530</v>
      </c>
      <c r="C2293" s="55" t="s">
        <v>2531</v>
      </c>
      <c r="D2293" s="56" t="s">
        <v>2533</v>
      </c>
    </row>
    <row r="2294" spans="2:4" s="54" customFormat="1" x14ac:dyDescent="0.2">
      <c r="B2294" s="107" t="s">
        <v>2534</v>
      </c>
      <c r="C2294" s="55" t="s">
        <v>2535</v>
      </c>
      <c r="D2294" s="56" t="s">
        <v>2535</v>
      </c>
    </row>
    <row r="2295" spans="2:4" s="54" customFormat="1" x14ac:dyDescent="0.2">
      <c r="B2295" s="107" t="s">
        <v>2536</v>
      </c>
      <c r="C2295" s="55" t="s">
        <v>2537</v>
      </c>
      <c r="D2295" s="56" t="s">
        <v>2538</v>
      </c>
    </row>
    <row r="2296" spans="2:4" s="54" customFormat="1" x14ac:dyDescent="0.2">
      <c r="B2296" s="107" t="s">
        <v>2536</v>
      </c>
      <c r="C2296" s="55" t="s">
        <v>2537</v>
      </c>
      <c r="D2296" s="56" t="s">
        <v>2539</v>
      </c>
    </row>
    <row r="2297" spans="2:4" s="54" customFormat="1" x14ac:dyDescent="0.2">
      <c r="B2297" s="107" t="s">
        <v>2540</v>
      </c>
      <c r="C2297" s="55" t="s">
        <v>2541</v>
      </c>
      <c r="D2297" s="56" t="s">
        <v>2542</v>
      </c>
    </row>
    <row r="2298" spans="2:4" s="54" customFormat="1" x14ac:dyDescent="0.2">
      <c r="B2298" s="107" t="s">
        <v>2540</v>
      </c>
      <c r="C2298" s="55" t="s">
        <v>2541</v>
      </c>
      <c r="D2298" s="56" t="s">
        <v>2543</v>
      </c>
    </row>
    <row r="2299" spans="2:4" s="54" customFormat="1" x14ac:dyDescent="0.2">
      <c r="B2299" s="107" t="s">
        <v>2540</v>
      </c>
      <c r="C2299" s="55" t="s">
        <v>2541</v>
      </c>
      <c r="D2299" s="56" t="s">
        <v>2544</v>
      </c>
    </row>
    <row r="2300" spans="2:4" s="54" customFormat="1" x14ac:dyDescent="0.2">
      <c r="B2300" s="107" t="s">
        <v>2540</v>
      </c>
      <c r="C2300" s="55" t="s">
        <v>2541</v>
      </c>
      <c r="D2300" s="56" t="s">
        <v>2545</v>
      </c>
    </row>
    <row r="2301" spans="2:4" s="54" customFormat="1" x14ac:dyDescent="0.2">
      <c r="B2301" s="107" t="s">
        <v>2540</v>
      </c>
      <c r="C2301" s="55" t="s">
        <v>2541</v>
      </c>
      <c r="D2301" s="56" t="s">
        <v>2546</v>
      </c>
    </row>
    <row r="2302" spans="2:4" s="54" customFormat="1" x14ac:dyDescent="0.2">
      <c r="B2302" s="107" t="s">
        <v>2540</v>
      </c>
      <c r="C2302" s="55" t="s">
        <v>2541</v>
      </c>
      <c r="D2302" s="56" t="s">
        <v>2547</v>
      </c>
    </row>
    <row r="2303" spans="2:4" s="54" customFormat="1" x14ac:dyDescent="0.2">
      <c r="B2303" s="107" t="s">
        <v>2540</v>
      </c>
      <c r="C2303" s="55" t="s">
        <v>2541</v>
      </c>
      <c r="D2303" s="56" t="s">
        <v>2548</v>
      </c>
    </row>
    <row r="2304" spans="2:4" s="54" customFormat="1" x14ac:dyDescent="0.2">
      <c r="B2304" s="107" t="s">
        <v>2540</v>
      </c>
      <c r="C2304" s="55" t="s">
        <v>2541</v>
      </c>
      <c r="D2304" s="56" t="s">
        <v>2549</v>
      </c>
    </row>
    <row r="2305" spans="2:4" s="54" customFormat="1" x14ac:dyDescent="0.2">
      <c r="B2305" s="107" t="s">
        <v>2540</v>
      </c>
      <c r="C2305" s="55" t="s">
        <v>2541</v>
      </c>
      <c r="D2305" s="56" t="s">
        <v>2550</v>
      </c>
    </row>
    <row r="2306" spans="2:4" s="54" customFormat="1" x14ac:dyDescent="0.2">
      <c r="B2306" s="107" t="s">
        <v>2540</v>
      </c>
      <c r="C2306" s="55" t="s">
        <v>2541</v>
      </c>
      <c r="D2306" s="56" t="s">
        <v>2551</v>
      </c>
    </row>
    <row r="2307" spans="2:4" s="54" customFormat="1" x14ac:dyDescent="0.2">
      <c r="B2307" s="107" t="s">
        <v>2540</v>
      </c>
      <c r="C2307" s="55" t="s">
        <v>2541</v>
      </c>
      <c r="D2307" s="56" t="s">
        <v>2552</v>
      </c>
    </row>
    <row r="2308" spans="2:4" s="54" customFormat="1" x14ac:dyDescent="0.2">
      <c r="B2308" s="107" t="s">
        <v>2540</v>
      </c>
      <c r="C2308" s="55" t="s">
        <v>2541</v>
      </c>
      <c r="D2308" s="56" t="s">
        <v>2553</v>
      </c>
    </row>
    <row r="2309" spans="2:4" s="54" customFormat="1" x14ac:dyDescent="0.2">
      <c r="B2309" s="107" t="s">
        <v>2540</v>
      </c>
      <c r="C2309" s="55" t="s">
        <v>2541</v>
      </c>
      <c r="D2309" s="56" t="s">
        <v>2554</v>
      </c>
    </row>
    <row r="2310" spans="2:4" s="54" customFormat="1" x14ac:dyDescent="0.2">
      <c r="B2310" s="107" t="s">
        <v>2540</v>
      </c>
      <c r="C2310" s="55" t="s">
        <v>2541</v>
      </c>
      <c r="D2310" s="56" t="s">
        <v>2555</v>
      </c>
    </row>
    <row r="2311" spans="2:4" s="54" customFormat="1" x14ac:dyDescent="0.2">
      <c r="B2311" s="107" t="s">
        <v>2540</v>
      </c>
      <c r="C2311" s="55" t="s">
        <v>2541</v>
      </c>
      <c r="D2311" s="56" t="s">
        <v>273</v>
      </c>
    </row>
    <row r="2312" spans="2:4" s="54" customFormat="1" x14ac:dyDescent="0.2">
      <c r="B2312" s="107" t="s">
        <v>2540</v>
      </c>
      <c r="C2312" s="55" t="s">
        <v>2541</v>
      </c>
      <c r="D2312" s="56" t="s">
        <v>2556</v>
      </c>
    </row>
    <row r="2313" spans="2:4" s="54" customFormat="1" x14ac:dyDescent="0.2">
      <c r="B2313" s="107" t="s">
        <v>2540</v>
      </c>
      <c r="C2313" s="55" t="s">
        <v>2541</v>
      </c>
      <c r="D2313" s="56" t="s">
        <v>2557</v>
      </c>
    </row>
    <row r="2314" spans="2:4" s="54" customFormat="1" x14ac:dyDescent="0.2">
      <c r="B2314" s="107" t="s">
        <v>2540</v>
      </c>
      <c r="C2314" s="55" t="s">
        <v>2541</v>
      </c>
      <c r="D2314" s="56" t="s">
        <v>2558</v>
      </c>
    </row>
    <row r="2315" spans="2:4" s="54" customFormat="1" x14ac:dyDescent="0.2">
      <c r="B2315" s="107" t="s">
        <v>2540</v>
      </c>
      <c r="C2315" s="55" t="s">
        <v>2541</v>
      </c>
      <c r="D2315" s="56" t="s">
        <v>2559</v>
      </c>
    </row>
    <row r="2316" spans="2:4" s="54" customFormat="1" x14ac:dyDescent="0.2">
      <c r="B2316" s="107" t="s">
        <v>2540</v>
      </c>
      <c r="C2316" s="55" t="s">
        <v>2541</v>
      </c>
      <c r="D2316" s="56" t="s">
        <v>2560</v>
      </c>
    </row>
    <row r="2317" spans="2:4" s="54" customFormat="1" x14ac:dyDescent="0.2">
      <c r="B2317" s="107" t="s">
        <v>2561</v>
      </c>
      <c r="C2317" s="55" t="s">
        <v>2562</v>
      </c>
      <c r="D2317" s="56" t="s">
        <v>2563</v>
      </c>
    </row>
    <row r="2318" spans="2:4" s="54" customFormat="1" x14ac:dyDescent="0.2">
      <c r="B2318" s="107" t="s">
        <v>2561</v>
      </c>
      <c r="C2318" s="55" t="s">
        <v>2562</v>
      </c>
      <c r="D2318" s="56" t="s">
        <v>2564</v>
      </c>
    </row>
    <row r="2319" spans="2:4" s="54" customFormat="1" x14ac:dyDescent="0.2">
      <c r="B2319" s="107" t="s">
        <v>2561</v>
      </c>
      <c r="C2319" s="55" t="s">
        <v>2562</v>
      </c>
      <c r="D2319" s="56" t="s">
        <v>2565</v>
      </c>
    </row>
    <row r="2320" spans="2:4" s="54" customFormat="1" x14ac:dyDescent="0.2">
      <c r="B2320" s="107" t="s">
        <v>2561</v>
      </c>
      <c r="C2320" s="55" t="s">
        <v>2562</v>
      </c>
      <c r="D2320" s="56" t="s">
        <v>2566</v>
      </c>
    </row>
    <row r="2321" spans="2:4" s="54" customFormat="1" x14ac:dyDescent="0.2">
      <c r="B2321" s="107" t="s">
        <v>2561</v>
      </c>
      <c r="C2321" s="55" t="s">
        <v>2562</v>
      </c>
      <c r="D2321" s="56" t="s">
        <v>2567</v>
      </c>
    </row>
    <row r="2322" spans="2:4" s="54" customFormat="1" x14ac:dyDescent="0.2">
      <c r="B2322" s="107" t="s">
        <v>2561</v>
      </c>
      <c r="C2322" s="55" t="s">
        <v>2562</v>
      </c>
      <c r="D2322" s="56" t="s">
        <v>2568</v>
      </c>
    </row>
    <row r="2323" spans="2:4" s="54" customFormat="1" x14ac:dyDescent="0.2">
      <c r="B2323" s="107" t="s">
        <v>2561</v>
      </c>
      <c r="C2323" s="55" t="s">
        <v>2562</v>
      </c>
      <c r="D2323" s="56" t="s">
        <v>2569</v>
      </c>
    </row>
    <row r="2324" spans="2:4" s="54" customFormat="1" x14ac:dyDescent="0.2">
      <c r="B2324" s="107" t="s">
        <v>2561</v>
      </c>
      <c r="C2324" s="55" t="s">
        <v>2562</v>
      </c>
      <c r="D2324" s="56" t="s">
        <v>2570</v>
      </c>
    </row>
    <row r="2325" spans="2:4" s="54" customFormat="1" x14ac:dyDescent="0.2">
      <c r="B2325" s="107" t="s">
        <v>2561</v>
      </c>
      <c r="C2325" s="55" t="s">
        <v>2562</v>
      </c>
      <c r="D2325" s="56" t="s">
        <v>2571</v>
      </c>
    </row>
    <row r="2326" spans="2:4" s="54" customFormat="1" x14ac:dyDescent="0.2">
      <c r="B2326" s="107" t="s">
        <v>2561</v>
      </c>
      <c r="C2326" s="55" t="s">
        <v>2562</v>
      </c>
      <c r="D2326" s="56" t="s">
        <v>2572</v>
      </c>
    </row>
    <row r="2327" spans="2:4" s="54" customFormat="1" x14ac:dyDescent="0.2">
      <c r="B2327" s="107" t="s">
        <v>2561</v>
      </c>
      <c r="C2327" s="55" t="s">
        <v>2562</v>
      </c>
      <c r="D2327" s="56" t="s">
        <v>2573</v>
      </c>
    </row>
    <row r="2328" spans="2:4" s="54" customFormat="1" x14ac:dyDescent="0.2">
      <c r="B2328" s="107" t="s">
        <v>2561</v>
      </c>
      <c r="C2328" s="55" t="s">
        <v>2562</v>
      </c>
      <c r="D2328" s="56" t="s">
        <v>2574</v>
      </c>
    </row>
    <row r="2329" spans="2:4" s="54" customFormat="1" x14ac:dyDescent="0.2">
      <c r="B2329" s="107" t="s">
        <v>2561</v>
      </c>
      <c r="C2329" s="55" t="s">
        <v>2562</v>
      </c>
      <c r="D2329" s="56" t="s">
        <v>2575</v>
      </c>
    </row>
    <row r="2330" spans="2:4" s="54" customFormat="1" x14ac:dyDescent="0.2">
      <c r="B2330" s="107" t="s">
        <v>2561</v>
      </c>
      <c r="C2330" s="55" t="s">
        <v>2562</v>
      </c>
      <c r="D2330" s="56" t="s">
        <v>2576</v>
      </c>
    </row>
    <row r="2331" spans="2:4" s="54" customFormat="1" x14ac:dyDescent="0.2">
      <c r="B2331" s="107" t="s">
        <v>2577</v>
      </c>
      <c r="C2331" s="55" t="s">
        <v>2578</v>
      </c>
      <c r="D2331" s="56" t="s">
        <v>2579</v>
      </c>
    </row>
    <row r="2332" spans="2:4" s="54" customFormat="1" x14ac:dyDescent="0.2">
      <c r="B2332" s="107" t="s">
        <v>2577</v>
      </c>
      <c r="C2332" s="55" t="s">
        <v>2578</v>
      </c>
      <c r="D2332" s="56" t="s">
        <v>2580</v>
      </c>
    </row>
    <row r="2333" spans="2:4" s="54" customFormat="1" x14ac:dyDescent="0.2">
      <c r="B2333" s="107" t="s">
        <v>2577</v>
      </c>
      <c r="C2333" s="55" t="s">
        <v>2578</v>
      </c>
      <c r="D2333" s="56" t="s">
        <v>2581</v>
      </c>
    </row>
    <row r="2334" spans="2:4" s="54" customFormat="1" x14ac:dyDescent="0.2">
      <c r="B2334" s="107" t="s">
        <v>2577</v>
      </c>
      <c r="C2334" s="55" t="s">
        <v>2578</v>
      </c>
      <c r="D2334" s="56" t="s">
        <v>2582</v>
      </c>
    </row>
    <row r="2335" spans="2:4" s="54" customFormat="1" x14ac:dyDescent="0.2">
      <c r="B2335" s="107" t="s">
        <v>2577</v>
      </c>
      <c r="C2335" s="55" t="s">
        <v>2578</v>
      </c>
      <c r="D2335" s="56" t="s">
        <v>2583</v>
      </c>
    </row>
    <row r="2336" spans="2:4" s="54" customFormat="1" x14ac:dyDescent="0.2">
      <c r="B2336" s="107" t="s">
        <v>2577</v>
      </c>
      <c r="C2336" s="55" t="s">
        <v>2578</v>
      </c>
      <c r="D2336" s="56" t="s">
        <v>2584</v>
      </c>
    </row>
    <row r="2337" spans="2:4" s="54" customFormat="1" x14ac:dyDescent="0.2">
      <c r="B2337" s="107" t="s">
        <v>2577</v>
      </c>
      <c r="C2337" s="55" t="s">
        <v>2578</v>
      </c>
      <c r="D2337" s="56" t="s">
        <v>2585</v>
      </c>
    </row>
    <row r="2338" spans="2:4" s="54" customFormat="1" x14ac:dyDescent="0.2">
      <c r="B2338" s="107" t="s">
        <v>2577</v>
      </c>
      <c r="C2338" s="55" t="s">
        <v>2578</v>
      </c>
      <c r="D2338" s="56" t="s">
        <v>2586</v>
      </c>
    </row>
    <row r="2339" spans="2:4" s="54" customFormat="1" x14ac:dyDescent="0.2">
      <c r="B2339" s="107" t="s">
        <v>2577</v>
      </c>
      <c r="C2339" s="55" t="s">
        <v>2578</v>
      </c>
      <c r="D2339" s="56" t="s">
        <v>2587</v>
      </c>
    </row>
    <row r="2340" spans="2:4" s="54" customFormat="1" x14ac:dyDescent="0.2">
      <c r="B2340" s="107" t="s">
        <v>2577</v>
      </c>
      <c r="C2340" s="55" t="s">
        <v>2578</v>
      </c>
      <c r="D2340" s="56" t="s">
        <v>2588</v>
      </c>
    </row>
    <row r="2341" spans="2:4" s="54" customFormat="1" x14ac:dyDescent="0.2">
      <c r="B2341" s="107" t="s">
        <v>2577</v>
      </c>
      <c r="C2341" s="55" t="s">
        <v>2578</v>
      </c>
      <c r="D2341" s="56" t="s">
        <v>2589</v>
      </c>
    </row>
    <row r="2342" spans="2:4" s="54" customFormat="1" x14ac:dyDescent="0.2">
      <c r="B2342" s="107" t="s">
        <v>2577</v>
      </c>
      <c r="C2342" s="55" t="s">
        <v>2578</v>
      </c>
      <c r="D2342" s="56" t="s">
        <v>2590</v>
      </c>
    </row>
    <row r="2343" spans="2:4" s="54" customFormat="1" x14ac:dyDescent="0.2">
      <c r="B2343" s="107" t="s">
        <v>2577</v>
      </c>
      <c r="C2343" s="55" t="s">
        <v>2578</v>
      </c>
      <c r="D2343" s="56" t="s">
        <v>2591</v>
      </c>
    </row>
    <row r="2344" spans="2:4" s="54" customFormat="1" x14ac:dyDescent="0.2">
      <c r="B2344" s="107" t="s">
        <v>2577</v>
      </c>
      <c r="C2344" s="55" t="s">
        <v>2578</v>
      </c>
      <c r="D2344" s="56" t="s">
        <v>2592</v>
      </c>
    </row>
    <row r="2345" spans="2:4" s="54" customFormat="1" x14ac:dyDescent="0.2">
      <c r="B2345" s="107" t="s">
        <v>2577</v>
      </c>
      <c r="C2345" s="55" t="s">
        <v>2578</v>
      </c>
      <c r="D2345" s="56" t="s">
        <v>2593</v>
      </c>
    </row>
    <row r="2346" spans="2:4" s="54" customFormat="1" x14ac:dyDescent="0.2">
      <c r="B2346" s="107" t="s">
        <v>2577</v>
      </c>
      <c r="C2346" s="55" t="s">
        <v>2578</v>
      </c>
      <c r="D2346" s="56" t="s">
        <v>2594</v>
      </c>
    </row>
    <row r="2347" spans="2:4" s="54" customFormat="1" x14ac:dyDescent="0.2">
      <c r="B2347" s="107" t="s">
        <v>2577</v>
      </c>
      <c r="C2347" s="55" t="s">
        <v>2578</v>
      </c>
      <c r="D2347" s="56" t="s">
        <v>2595</v>
      </c>
    </row>
    <row r="2348" spans="2:4" s="54" customFormat="1" x14ac:dyDescent="0.2">
      <c r="B2348" s="107" t="s">
        <v>2577</v>
      </c>
      <c r="C2348" s="55" t="s">
        <v>2578</v>
      </c>
      <c r="D2348" s="56" t="s">
        <v>2596</v>
      </c>
    </row>
    <row r="2349" spans="2:4" s="54" customFormat="1" x14ac:dyDescent="0.2">
      <c r="B2349" s="107" t="s">
        <v>2577</v>
      </c>
      <c r="C2349" s="55" t="s">
        <v>2578</v>
      </c>
      <c r="D2349" s="56" t="s">
        <v>2597</v>
      </c>
    </row>
    <row r="2350" spans="2:4" s="54" customFormat="1" x14ac:dyDescent="0.2">
      <c r="B2350" s="107" t="s">
        <v>2577</v>
      </c>
      <c r="C2350" s="55" t="s">
        <v>2578</v>
      </c>
      <c r="D2350" s="56" t="s">
        <v>2598</v>
      </c>
    </row>
    <row r="2351" spans="2:4" s="54" customFormat="1" x14ac:dyDescent="0.2">
      <c r="B2351" s="107" t="s">
        <v>2577</v>
      </c>
      <c r="C2351" s="55" t="s">
        <v>2578</v>
      </c>
      <c r="D2351" s="56" t="s">
        <v>2599</v>
      </c>
    </row>
    <row r="2352" spans="2:4" s="54" customFormat="1" x14ac:dyDescent="0.2">
      <c r="B2352" s="107" t="s">
        <v>2577</v>
      </c>
      <c r="C2352" s="55" t="s">
        <v>2578</v>
      </c>
      <c r="D2352" s="56" t="s">
        <v>2600</v>
      </c>
    </row>
    <row r="2353" spans="2:4" s="54" customFormat="1" x14ac:dyDescent="0.2">
      <c r="B2353" s="107" t="s">
        <v>2577</v>
      </c>
      <c r="C2353" s="55" t="s">
        <v>2578</v>
      </c>
      <c r="D2353" s="56" t="s">
        <v>2601</v>
      </c>
    </row>
    <row r="2354" spans="2:4" s="54" customFormat="1" x14ac:dyDescent="0.2">
      <c r="B2354" s="107" t="s">
        <v>2577</v>
      </c>
      <c r="C2354" s="55" t="s">
        <v>2578</v>
      </c>
      <c r="D2354" s="56" t="s">
        <v>2602</v>
      </c>
    </row>
    <row r="2355" spans="2:4" s="54" customFormat="1" x14ac:dyDescent="0.2">
      <c r="B2355" s="107" t="s">
        <v>2577</v>
      </c>
      <c r="C2355" s="55" t="s">
        <v>2578</v>
      </c>
      <c r="D2355" s="56" t="s">
        <v>2603</v>
      </c>
    </row>
    <row r="2356" spans="2:4" s="54" customFormat="1" x14ac:dyDescent="0.2">
      <c r="B2356" s="107" t="s">
        <v>2577</v>
      </c>
      <c r="C2356" s="55" t="s">
        <v>2578</v>
      </c>
      <c r="D2356" s="56" t="s">
        <v>2604</v>
      </c>
    </row>
    <row r="2357" spans="2:4" s="54" customFormat="1" x14ac:dyDescent="0.2">
      <c r="B2357" s="107" t="s">
        <v>2577</v>
      </c>
      <c r="C2357" s="55" t="s">
        <v>2578</v>
      </c>
      <c r="D2357" s="56" t="s">
        <v>2605</v>
      </c>
    </row>
    <row r="2358" spans="2:4" s="54" customFormat="1" x14ac:dyDescent="0.2">
      <c r="B2358" s="107" t="s">
        <v>2577</v>
      </c>
      <c r="C2358" s="55" t="s">
        <v>2578</v>
      </c>
      <c r="D2358" s="56" t="s">
        <v>2606</v>
      </c>
    </row>
    <row r="2359" spans="2:4" s="54" customFormat="1" x14ac:dyDescent="0.2">
      <c r="B2359" s="107" t="s">
        <v>2577</v>
      </c>
      <c r="C2359" s="55" t="s">
        <v>2578</v>
      </c>
      <c r="D2359" s="56" t="s">
        <v>2607</v>
      </c>
    </row>
    <row r="2360" spans="2:4" s="54" customFormat="1" x14ac:dyDescent="0.2">
      <c r="B2360" s="107" t="s">
        <v>2577</v>
      </c>
      <c r="C2360" s="55" t="s">
        <v>2578</v>
      </c>
      <c r="D2360" s="56" t="s">
        <v>2608</v>
      </c>
    </row>
    <row r="2361" spans="2:4" s="54" customFormat="1" x14ac:dyDescent="0.2">
      <c r="B2361" s="107" t="s">
        <v>2609</v>
      </c>
      <c r="C2361" s="55" t="s">
        <v>2610</v>
      </c>
      <c r="D2361" s="56" t="s">
        <v>2611</v>
      </c>
    </row>
    <row r="2362" spans="2:4" s="54" customFormat="1" x14ac:dyDescent="0.2">
      <c r="B2362" s="107" t="s">
        <v>2609</v>
      </c>
      <c r="C2362" s="55" t="s">
        <v>2610</v>
      </c>
      <c r="D2362" s="56" t="s">
        <v>2612</v>
      </c>
    </row>
    <row r="2363" spans="2:4" s="54" customFormat="1" x14ac:dyDescent="0.2">
      <c r="B2363" s="107" t="s">
        <v>2609</v>
      </c>
      <c r="C2363" s="55" t="s">
        <v>2610</v>
      </c>
      <c r="D2363" s="56" t="s">
        <v>2613</v>
      </c>
    </row>
    <row r="2364" spans="2:4" s="54" customFormat="1" x14ac:dyDescent="0.2">
      <c r="B2364" s="107" t="s">
        <v>2609</v>
      </c>
      <c r="C2364" s="55" t="s">
        <v>2610</v>
      </c>
      <c r="D2364" s="56" t="s">
        <v>2614</v>
      </c>
    </row>
    <row r="2365" spans="2:4" s="54" customFormat="1" x14ac:dyDescent="0.2">
      <c r="B2365" s="107" t="s">
        <v>2609</v>
      </c>
      <c r="C2365" s="55" t="s">
        <v>2610</v>
      </c>
      <c r="D2365" s="56" t="s">
        <v>2615</v>
      </c>
    </row>
    <row r="2366" spans="2:4" s="54" customFormat="1" x14ac:dyDescent="0.2">
      <c r="B2366" s="107" t="s">
        <v>2609</v>
      </c>
      <c r="C2366" s="55" t="s">
        <v>2610</v>
      </c>
      <c r="D2366" s="56" t="s">
        <v>2616</v>
      </c>
    </row>
    <row r="2367" spans="2:4" s="54" customFormat="1" x14ac:dyDescent="0.2">
      <c r="B2367" s="107" t="s">
        <v>2609</v>
      </c>
      <c r="C2367" s="55" t="s">
        <v>2610</v>
      </c>
      <c r="D2367" s="56" t="s">
        <v>2617</v>
      </c>
    </row>
    <row r="2368" spans="2:4" s="54" customFormat="1" x14ac:dyDescent="0.2">
      <c r="B2368" s="107" t="s">
        <v>2618</v>
      </c>
      <c r="C2368" s="55" t="s">
        <v>2619</v>
      </c>
      <c r="D2368" s="56" t="s">
        <v>1040</v>
      </c>
    </row>
    <row r="2369" spans="2:4" s="54" customFormat="1" x14ac:dyDescent="0.2">
      <c r="B2369" s="107" t="s">
        <v>2618</v>
      </c>
      <c r="C2369" s="55" t="s">
        <v>2619</v>
      </c>
      <c r="D2369" s="56" t="s">
        <v>273</v>
      </c>
    </row>
    <row r="2370" spans="2:4" s="54" customFormat="1" x14ac:dyDescent="0.2">
      <c r="B2370" s="107" t="s">
        <v>2618</v>
      </c>
      <c r="C2370" s="55" t="s">
        <v>2619</v>
      </c>
      <c r="D2370" s="56" t="s">
        <v>274</v>
      </c>
    </row>
    <row r="2371" spans="2:4" s="54" customFormat="1" x14ac:dyDescent="0.2">
      <c r="B2371" s="107" t="s">
        <v>2618</v>
      </c>
      <c r="C2371" s="55" t="s">
        <v>2619</v>
      </c>
      <c r="D2371" s="56" t="s">
        <v>2620</v>
      </c>
    </row>
    <row r="2372" spans="2:4" s="54" customFormat="1" x14ac:dyDescent="0.2">
      <c r="B2372" s="107" t="s">
        <v>2621</v>
      </c>
      <c r="C2372" s="55" t="s">
        <v>2622</v>
      </c>
      <c r="D2372" s="56" t="s">
        <v>2623</v>
      </c>
    </row>
    <row r="2373" spans="2:4" s="54" customFormat="1" x14ac:dyDescent="0.2">
      <c r="B2373" s="107" t="s">
        <v>2621</v>
      </c>
      <c r="C2373" s="55" t="s">
        <v>2622</v>
      </c>
      <c r="D2373" s="56" t="s">
        <v>2624</v>
      </c>
    </row>
    <row r="2374" spans="2:4" s="54" customFormat="1" x14ac:dyDescent="0.2">
      <c r="B2374" s="107" t="s">
        <v>2621</v>
      </c>
      <c r="C2374" s="55" t="s">
        <v>2622</v>
      </c>
      <c r="D2374" s="56" t="s">
        <v>1660</v>
      </c>
    </row>
    <row r="2375" spans="2:4" s="54" customFormat="1" x14ac:dyDescent="0.2">
      <c r="B2375" s="107" t="s">
        <v>2621</v>
      </c>
      <c r="C2375" s="55" t="s">
        <v>2622</v>
      </c>
      <c r="D2375" s="56" t="s">
        <v>1039</v>
      </c>
    </row>
    <row r="2376" spans="2:4" s="54" customFormat="1" x14ac:dyDescent="0.2">
      <c r="B2376" s="107" t="s">
        <v>2621</v>
      </c>
      <c r="C2376" s="55" t="s">
        <v>2622</v>
      </c>
      <c r="D2376" s="56" t="s">
        <v>2625</v>
      </c>
    </row>
    <row r="2377" spans="2:4" s="54" customFormat="1" x14ac:dyDescent="0.2">
      <c r="B2377" s="107" t="s">
        <v>2626</v>
      </c>
      <c r="C2377" s="55" t="s">
        <v>2627</v>
      </c>
      <c r="D2377" s="56" t="s">
        <v>2628</v>
      </c>
    </row>
    <row r="2378" spans="2:4" s="54" customFormat="1" x14ac:dyDescent="0.2">
      <c r="B2378" s="107" t="s">
        <v>2626</v>
      </c>
      <c r="C2378" s="55" t="s">
        <v>2627</v>
      </c>
      <c r="D2378" s="56" t="s">
        <v>2629</v>
      </c>
    </row>
    <row r="2379" spans="2:4" s="54" customFormat="1" x14ac:dyDescent="0.2">
      <c r="B2379" s="107" t="s">
        <v>2626</v>
      </c>
      <c r="C2379" s="55" t="s">
        <v>2627</v>
      </c>
      <c r="D2379" s="56" t="s">
        <v>2630</v>
      </c>
    </row>
    <row r="2380" spans="2:4" s="54" customFormat="1" x14ac:dyDescent="0.2">
      <c r="B2380" s="107" t="s">
        <v>2626</v>
      </c>
      <c r="C2380" s="55" t="s">
        <v>2627</v>
      </c>
      <c r="D2380" s="56" t="s">
        <v>2631</v>
      </c>
    </row>
    <row r="2381" spans="2:4" s="54" customFormat="1" x14ac:dyDescent="0.2">
      <c r="B2381" s="107" t="s">
        <v>2626</v>
      </c>
      <c r="C2381" s="55" t="s">
        <v>2627</v>
      </c>
      <c r="D2381" s="56" t="s">
        <v>2632</v>
      </c>
    </row>
    <row r="2382" spans="2:4" s="54" customFormat="1" x14ac:dyDescent="0.2">
      <c r="B2382" s="107" t="s">
        <v>2626</v>
      </c>
      <c r="C2382" s="55" t="s">
        <v>2627</v>
      </c>
      <c r="D2382" s="56" t="s">
        <v>2633</v>
      </c>
    </row>
    <row r="2383" spans="2:4" s="54" customFormat="1" x14ac:dyDescent="0.2">
      <c r="B2383" s="107" t="s">
        <v>2626</v>
      </c>
      <c r="C2383" s="55" t="s">
        <v>2627</v>
      </c>
      <c r="D2383" s="56" t="s">
        <v>2634</v>
      </c>
    </row>
    <row r="2384" spans="2:4" s="54" customFormat="1" x14ac:dyDescent="0.2">
      <c r="B2384" s="107" t="s">
        <v>2626</v>
      </c>
      <c r="C2384" s="55" t="s">
        <v>2627</v>
      </c>
      <c r="D2384" s="56" t="s">
        <v>2635</v>
      </c>
    </row>
    <row r="2385" spans="2:4" s="54" customFormat="1" x14ac:dyDescent="0.2">
      <c r="B2385" s="107" t="s">
        <v>2636</v>
      </c>
      <c r="C2385" s="55" t="s">
        <v>2637</v>
      </c>
      <c r="D2385" s="56" t="s">
        <v>2638</v>
      </c>
    </row>
    <row r="2386" spans="2:4" s="54" customFormat="1" x14ac:dyDescent="0.2">
      <c r="B2386" s="107" t="s">
        <v>2636</v>
      </c>
      <c r="C2386" s="55" t="s">
        <v>2637</v>
      </c>
      <c r="D2386" s="56" t="s">
        <v>2639</v>
      </c>
    </row>
    <row r="2387" spans="2:4" s="54" customFormat="1" x14ac:dyDescent="0.2">
      <c r="B2387" s="107" t="s">
        <v>2636</v>
      </c>
      <c r="C2387" s="55" t="s">
        <v>2637</v>
      </c>
      <c r="D2387" s="56" t="s">
        <v>2640</v>
      </c>
    </row>
    <row r="2388" spans="2:4" s="54" customFormat="1" x14ac:dyDescent="0.2">
      <c r="B2388" s="107" t="s">
        <v>2636</v>
      </c>
      <c r="C2388" s="55" t="s">
        <v>2637</v>
      </c>
      <c r="D2388" s="56" t="s">
        <v>2641</v>
      </c>
    </row>
    <row r="2389" spans="2:4" s="54" customFormat="1" x14ac:dyDescent="0.2">
      <c r="B2389" s="107" t="s">
        <v>2636</v>
      </c>
      <c r="C2389" s="55" t="s">
        <v>2637</v>
      </c>
      <c r="D2389" s="56" t="s">
        <v>2642</v>
      </c>
    </row>
    <row r="2390" spans="2:4" s="54" customFormat="1" x14ac:dyDescent="0.2">
      <c r="B2390" s="107" t="s">
        <v>2636</v>
      </c>
      <c r="C2390" s="55" t="s">
        <v>2637</v>
      </c>
      <c r="D2390" s="56" t="s">
        <v>2643</v>
      </c>
    </row>
    <row r="2391" spans="2:4" s="54" customFormat="1" x14ac:dyDescent="0.2">
      <c r="B2391" s="107" t="s">
        <v>2636</v>
      </c>
      <c r="C2391" s="55" t="s">
        <v>2637</v>
      </c>
      <c r="D2391" s="56" t="s">
        <v>2644</v>
      </c>
    </row>
    <row r="2392" spans="2:4" s="54" customFormat="1" x14ac:dyDescent="0.2">
      <c r="B2392" s="107" t="s">
        <v>2636</v>
      </c>
      <c r="C2392" s="55" t="s">
        <v>2637</v>
      </c>
      <c r="D2392" s="56" t="s">
        <v>2645</v>
      </c>
    </row>
    <row r="2393" spans="2:4" s="54" customFormat="1" x14ac:dyDescent="0.2">
      <c r="B2393" s="107" t="s">
        <v>2636</v>
      </c>
      <c r="C2393" s="55" t="s">
        <v>2637</v>
      </c>
      <c r="D2393" s="56" t="s">
        <v>2646</v>
      </c>
    </row>
    <row r="2394" spans="2:4" s="54" customFormat="1" x14ac:dyDescent="0.2">
      <c r="B2394" s="107" t="s">
        <v>2636</v>
      </c>
      <c r="C2394" s="55" t="s">
        <v>2637</v>
      </c>
      <c r="D2394" s="56" t="s">
        <v>2647</v>
      </c>
    </row>
    <row r="2395" spans="2:4" s="54" customFormat="1" x14ac:dyDescent="0.2">
      <c r="B2395" s="107" t="s">
        <v>2636</v>
      </c>
      <c r="C2395" s="55" t="s">
        <v>2637</v>
      </c>
      <c r="D2395" s="56" t="s">
        <v>2648</v>
      </c>
    </row>
    <row r="2396" spans="2:4" s="54" customFormat="1" x14ac:dyDescent="0.2">
      <c r="B2396" s="107" t="s">
        <v>2636</v>
      </c>
      <c r="C2396" s="55" t="s">
        <v>2637</v>
      </c>
      <c r="D2396" s="56" t="s">
        <v>2649</v>
      </c>
    </row>
    <row r="2397" spans="2:4" s="54" customFormat="1" x14ac:dyDescent="0.2">
      <c r="B2397" s="107" t="s">
        <v>2636</v>
      </c>
      <c r="C2397" s="55" t="s">
        <v>2637</v>
      </c>
      <c r="D2397" s="56" t="s">
        <v>2650</v>
      </c>
    </row>
    <row r="2398" spans="2:4" s="54" customFormat="1" x14ac:dyDescent="0.2">
      <c r="B2398" s="107" t="s">
        <v>2636</v>
      </c>
      <c r="C2398" s="55" t="s">
        <v>2637</v>
      </c>
      <c r="D2398" s="56" t="s">
        <v>2651</v>
      </c>
    </row>
    <row r="2399" spans="2:4" s="54" customFormat="1" x14ac:dyDescent="0.2">
      <c r="B2399" s="107" t="s">
        <v>2636</v>
      </c>
      <c r="C2399" s="55" t="s">
        <v>2637</v>
      </c>
      <c r="D2399" s="56" t="s">
        <v>2652</v>
      </c>
    </row>
    <row r="2400" spans="2:4" s="54" customFormat="1" x14ac:dyDescent="0.2">
      <c r="B2400" s="107" t="s">
        <v>2636</v>
      </c>
      <c r="C2400" s="55" t="s">
        <v>2637</v>
      </c>
      <c r="D2400" s="56" t="s">
        <v>2653</v>
      </c>
    </row>
    <row r="2401" spans="2:4" s="54" customFormat="1" x14ac:dyDescent="0.2">
      <c r="B2401" s="107" t="s">
        <v>2636</v>
      </c>
      <c r="C2401" s="55" t="s">
        <v>2637</v>
      </c>
      <c r="D2401" s="56" t="s">
        <v>2654</v>
      </c>
    </row>
    <row r="2402" spans="2:4" s="54" customFormat="1" x14ac:dyDescent="0.2">
      <c r="B2402" s="107" t="s">
        <v>2636</v>
      </c>
      <c r="C2402" s="55" t="s">
        <v>2637</v>
      </c>
      <c r="D2402" s="56" t="s">
        <v>2655</v>
      </c>
    </row>
    <row r="2403" spans="2:4" s="54" customFormat="1" x14ac:dyDescent="0.2">
      <c r="B2403" s="107" t="s">
        <v>2636</v>
      </c>
      <c r="C2403" s="55" t="s">
        <v>2637</v>
      </c>
      <c r="D2403" s="56" t="s">
        <v>2656</v>
      </c>
    </row>
    <row r="2404" spans="2:4" s="54" customFormat="1" x14ac:dyDescent="0.2">
      <c r="B2404" s="107" t="s">
        <v>2636</v>
      </c>
      <c r="C2404" s="55" t="s">
        <v>2637</v>
      </c>
      <c r="D2404" s="56" t="s">
        <v>2657</v>
      </c>
    </row>
    <row r="2405" spans="2:4" s="54" customFormat="1" x14ac:dyDescent="0.2">
      <c r="B2405" s="107" t="s">
        <v>2636</v>
      </c>
      <c r="C2405" s="55" t="s">
        <v>2637</v>
      </c>
      <c r="D2405" s="56" t="s">
        <v>2658</v>
      </c>
    </row>
    <row r="2406" spans="2:4" s="54" customFormat="1" x14ac:dyDescent="0.2">
      <c r="B2406" s="107" t="s">
        <v>2636</v>
      </c>
      <c r="C2406" s="55" t="s">
        <v>2637</v>
      </c>
      <c r="D2406" s="56" t="s">
        <v>2659</v>
      </c>
    </row>
    <row r="2407" spans="2:4" s="54" customFormat="1" x14ac:dyDescent="0.2">
      <c r="B2407" s="107" t="s">
        <v>2636</v>
      </c>
      <c r="C2407" s="55" t="s">
        <v>2637</v>
      </c>
      <c r="D2407" s="56" t="s">
        <v>2660</v>
      </c>
    </row>
    <row r="2408" spans="2:4" s="54" customFormat="1" x14ac:dyDescent="0.2">
      <c r="B2408" s="107" t="s">
        <v>2636</v>
      </c>
      <c r="C2408" s="55" t="s">
        <v>2637</v>
      </c>
      <c r="D2408" s="56" t="s">
        <v>2661</v>
      </c>
    </row>
    <row r="2409" spans="2:4" s="54" customFormat="1" x14ac:dyDescent="0.2">
      <c r="B2409" s="107" t="s">
        <v>2636</v>
      </c>
      <c r="C2409" s="55" t="s">
        <v>2637</v>
      </c>
      <c r="D2409" s="56" t="s">
        <v>2662</v>
      </c>
    </row>
    <row r="2410" spans="2:4" s="54" customFormat="1" x14ac:dyDescent="0.2">
      <c r="B2410" s="107" t="s">
        <v>2636</v>
      </c>
      <c r="C2410" s="55" t="s">
        <v>2637</v>
      </c>
      <c r="D2410" s="56" t="s">
        <v>2663</v>
      </c>
    </row>
    <row r="2411" spans="2:4" s="54" customFormat="1" x14ac:dyDescent="0.2">
      <c r="B2411" s="107" t="s">
        <v>2636</v>
      </c>
      <c r="C2411" s="55" t="s">
        <v>2637</v>
      </c>
      <c r="D2411" s="56" t="s">
        <v>2664</v>
      </c>
    </row>
    <row r="2412" spans="2:4" s="54" customFormat="1" x14ac:dyDescent="0.2">
      <c r="B2412" s="107" t="s">
        <v>2636</v>
      </c>
      <c r="C2412" s="55" t="s">
        <v>2637</v>
      </c>
      <c r="D2412" s="56" t="s">
        <v>2665</v>
      </c>
    </row>
    <row r="2413" spans="2:4" s="54" customFormat="1" x14ac:dyDescent="0.2">
      <c r="B2413" s="107" t="s">
        <v>2636</v>
      </c>
      <c r="C2413" s="55" t="s">
        <v>2637</v>
      </c>
      <c r="D2413" s="56" t="s">
        <v>2666</v>
      </c>
    </row>
    <row r="2414" spans="2:4" s="54" customFormat="1" x14ac:dyDescent="0.2">
      <c r="B2414" s="107" t="s">
        <v>2636</v>
      </c>
      <c r="C2414" s="55" t="s">
        <v>2637</v>
      </c>
      <c r="D2414" s="56" t="s">
        <v>2667</v>
      </c>
    </row>
    <row r="2415" spans="2:4" s="54" customFormat="1" x14ac:dyDescent="0.2">
      <c r="B2415" s="107" t="s">
        <v>2636</v>
      </c>
      <c r="C2415" s="55" t="s">
        <v>2637</v>
      </c>
      <c r="D2415" s="56" t="s">
        <v>2668</v>
      </c>
    </row>
    <row r="2416" spans="2:4" s="54" customFormat="1" x14ac:dyDescent="0.2">
      <c r="B2416" s="107" t="s">
        <v>2636</v>
      </c>
      <c r="C2416" s="55" t="s">
        <v>2637</v>
      </c>
      <c r="D2416" s="56" t="s">
        <v>2669</v>
      </c>
    </row>
    <row r="2417" spans="2:4" s="54" customFormat="1" x14ac:dyDescent="0.2">
      <c r="B2417" s="107" t="s">
        <v>2636</v>
      </c>
      <c r="C2417" s="55" t="s">
        <v>2637</v>
      </c>
      <c r="D2417" s="56" t="s">
        <v>2670</v>
      </c>
    </row>
    <row r="2418" spans="2:4" s="54" customFormat="1" x14ac:dyDescent="0.2">
      <c r="B2418" s="107" t="s">
        <v>2636</v>
      </c>
      <c r="C2418" s="55" t="s">
        <v>2637</v>
      </c>
      <c r="D2418" s="56" t="s">
        <v>2671</v>
      </c>
    </row>
    <row r="2419" spans="2:4" s="54" customFormat="1" x14ac:dyDescent="0.2">
      <c r="B2419" s="107" t="s">
        <v>2636</v>
      </c>
      <c r="C2419" s="55" t="s">
        <v>2637</v>
      </c>
      <c r="D2419" s="56" t="s">
        <v>2672</v>
      </c>
    </row>
    <row r="2420" spans="2:4" s="54" customFormat="1" x14ac:dyDescent="0.2">
      <c r="B2420" s="107" t="s">
        <v>2636</v>
      </c>
      <c r="C2420" s="55" t="s">
        <v>2637</v>
      </c>
      <c r="D2420" s="56" t="s">
        <v>2673</v>
      </c>
    </row>
    <row r="2421" spans="2:4" s="54" customFormat="1" x14ac:dyDescent="0.2">
      <c r="B2421" s="107" t="s">
        <v>2636</v>
      </c>
      <c r="C2421" s="55" t="s">
        <v>2637</v>
      </c>
      <c r="D2421" s="56" t="s">
        <v>2674</v>
      </c>
    </row>
    <row r="2422" spans="2:4" s="54" customFormat="1" x14ac:dyDescent="0.2">
      <c r="B2422" s="107" t="s">
        <v>2636</v>
      </c>
      <c r="C2422" s="55" t="s">
        <v>2637</v>
      </c>
      <c r="D2422" s="56" t="s">
        <v>2675</v>
      </c>
    </row>
    <row r="2423" spans="2:4" s="54" customFormat="1" x14ac:dyDescent="0.2">
      <c r="B2423" s="107" t="s">
        <v>2676</v>
      </c>
      <c r="C2423" s="55" t="s">
        <v>2677</v>
      </c>
      <c r="D2423" s="56" t="s">
        <v>1039</v>
      </c>
    </row>
    <row r="2424" spans="2:4" s="54" customFormat="1" x14ac:dyDescent="0.2">
      <c r="B2424" s="107" t="s">
        <v>2676</v>
      </c>
      <c r="C2424" s="55" t="s">
        <v>2677</v>
      </c>
      <c r="D2424" s="56" t="s">
        <v>2678</v>
      </c>
    </row>
    <row r="2425" spans="2:4" s="54" customFormat="1" x14ac:dyDescent="0.2">
      <c r="B2425" s="107" t="s">
        <v>2676</v>
      </c>
      <c r="C2425" s="55" t="s">
        <v>2677</v>
      </c>
      <c r="D2425" s="56" t="s">
        <v>2679</v>
      </c>
    </row>
    <row r="2426" spans="2:4" s="54" customFormat="1" x14ac:dyDescent="0.2">
      <c r="B2426" s="107" t="s">
        <v>2676</v>
      </c>
      <c r="C2426" s="55" t="s">
        <v>2677</v>
      </c>
      <c r="D2426" s="56" t="s">
        <v>2680</v>
      </c>
    </row>
    <row r="2427" spans="2:4" s="54" customFormat="1" x14ac:dyDescent="0.2">
      <c r="B2427" s="107" t="s">
        <v>2676</v>
      </c>
      <c r="C2427" s="55" t="s">
        <v>2677</v>
      </c>
      <c r="D2427" s="56" t="s">
        <v>2681</v>
      </c>
    </row>
    <row r="2428" spans="2:4" s="54" customFormat="1" x14ac:dyDescent="0.2">
      <c r="B2428" s="107" t="s">
        <v>2676</v>
      </c>
      <c r="C2428" s="55" t="s">
        <v>2677</v>
      </c>
      <c r="D2428" s="56" t="s">
        <v>2682</v>
      </c>
    </row>
    <row r="2429" spans="2:4" s="54" customFormat="1" x14ac:dyDescent="0.2">
      <c r="B2429" s="107" t="s">
        <v>2676</v>
      </c>
      <c r="C2429" s="55" t="s">
        <v>2677</v>
      </c>
      <c r="D2429" s="56" t="s">
        <v>2683</v>
      </c>
    </row>
    <row r="2430" spans="2:4" s="54" customFormat="1" x14ac:dyDescent="0.2">
      <c r="B2430" s="107" t="s">
        <v>2676</v>
      </c>
      <c r="C2430" s="55" t="s">
        <v>2677</v>
      </c>
      <c r="D2430" s="56" t="s">
        <v>2684</v>
      </c>
    </row>
    <row r="2431" spans="2:4" s="54" customFormat="1" x14ac:dyDescent="0.2">
      <c r="B2431" s="107" t="s">
        <v>2676</v>
      </c>
      <c r="C2431" s="55" t="s">
        <v>2677</v>
      </c>
      <c r="D2431" s="56" t="s">
        <v>2685</v>
      </c>
    </row>
    <row r="2432" spans="2:4" s="54" customFormat="1" x14ac:dyDescent="0.2">
      <c r="B2432" s="107" t="s">
        <v>2676</v>
      </c>
      <c r="C2432" s="55" t="s">
        <v>2677</v>
      </c>
      <c r="D2432" s="56" t="s">
        <v>2686</v>
      </c>
    </row>
    <row r="2433" spans="2:4" s="54" customFormat="1" x14ac:dyDescent="0.2">
      <c r="B2433" s="107" t="s">
        <v>2687</v>
      </c>
      <c r="C2433" s="55" t="s">
        <v>2688</v>
      </c>
      <c r="D2433" s="56" t="s">
        <v>2689</v>
      </c>
    </row>
    <row r="2434" spans="2:4" s="54" customFormat="1" x14ac:dyDescent="0.2">
      <c r="B2434" s="107" t="s">
        <v>2687</v>
      </c>
      <c r="C2434" s="55" t="s">
        <v>2688</v>
      </c>
      <c r="D2434" s="56" t="s">
        <v>2690</v>
      </c>
    </row>
    <row r="2435" spans="2:4" s="54" customFormat="1" x14ac:dyDescent="0.2">
      <c r="B2435" s="107" t="s">
        <v>2687</v>
      </c>
      <c r="C2435" s="55" t="s">
        <v>2688</v>
      </c>
      <c r="D2435" s="56" t="s">
        <v>2691</v>
      </c>
    </row>
    <row r="2436" spans="2:4" s="54" customFormat="1" x14ac:dyDescent="0.2">
      <c r="B2436" s="107" t="s">
        <v>2687</v>
      </c>
      <c r="C2436" s="55" t="s">
        <v>2688</v>
      </c>
      <c r="D2436" s="56" t="s">
        <v>2692</v>
      </c>
    </row>
    <row r="2437" spans="2:4" s="54" customFormat="1" x14ac:dyDescent="0.2">
      <c r="B2437" s="107" t="s">
        <v>2687</v>
      </c>
      <c r="C2437" s="55" t="s">
        <v>2688</v>
      </c>
      <c r="D2437" s="56" t="s">
        <v>2693</v>
      </c>
    </row>
    <row r="2438" spans="2:4" s="54" customFormat="1" x14ac:dyDescent="0.2">
      <c r="B2438" s="107" t="s">
        <v>2687</v>
      </c>
      <c r="C2438" s="55" t="s">
        <v>2688</v>
      </c>
      <c r="D2438" s="56" t="s">
        <v>2694</v>
      </c>
    </row>
    <row r="2439" spans="2:4" s="54" customFormat="1" x14ac:dyDescent="0.2">
      <c r="B2439" s="107" t="s">
        <v>2687</v>
      </c>
      <c r="C2439" s="55" t="s">
        <v>2688</v>
      </c>
      <c r="D2439" s="56" t="s">
        <v>2695</v>
      </c>
    </row>
    <row r="2440" spans="2:4" s="54" customFormat="1" x14ac:dyDescent="0.2">
      <c r="B2440" s="107" t="s">
        <v>2687</v>
      </c>
      <c r="C2440" s="55" t="s">
        <v>2688</v>
      </c>
      <c r="D2440" s="56" t="s">
        <v>2696</v>
      </c>
    </row>
    <row r="2441" spans="2:4" s="54" customFormat="1" x14ac:dyDescent="0.2">
      <c r="B2441" s="107" t="s">
        <v>2687</v>
      </c>
      <c r="C2441" s="55" t="s">
        <v>2688</v>
      </c>
      <c r="D2441" s="56" t="s">
        <v>2697</v>
      </c>
    </row>
    <row r="2442" spans="2:4" s="54" customFormat="1" x14ac:dyDescent="0.2">
      <c r="B2442" s="107" t="s">
        <v>2687</v>
      </c>
      <c r="C2442" s="55" t="s">
        <v>2688</v>
      </c>
      <c r="D2442" s="56" t="s">
        <v>2698</v>
      </c>
    </row>
    <row r="2443" spans="2:4" s="54" customFormat="1" x14ac:dyDescent="0.2">
      <c r="B2443" s="107" t="s">
        <v>2687</v>
      </c>
      <c r="C2443" s="55" t="s">
        <v>2688</v>
      </c>
      <c r="D2443" s="56" t="s">
        <v>2699</v>
      </c>
    </row>
    <row r="2444" spans="2:4" s="54" customFormat="1" x14ac:dyDescent="0.2">
      <c r="B2444" s="107" t="s">
        <v>2687</v>
      </c>
      <c r="C2444" s="55" t="s">
        <v>2688</v>
      </c>
      <c r="D2444" s="56" t="s">
        <v>2700</v>
      </c>
    </row>
    <row r="2445" spans="2:4" s="54" customFormat="1" x14ac:dyDescent="0.2">
      <c r="B2445" s="107" t="s">
        <v>2687</v>
      </c>
      <c r="C2445" s="55" t="s">
        <v>2688</v>
      </c>
      <c r="D2445" s="56" t="s">
        <v>2701</v>
      </c>
    </row>
    <row r="2446" spans="2:4" s="54" customFormat="1" x14ac:dyDescent="0.2">
      <c r="B2446" s="107" t="s">
        <v>2687</v>
      </c>
      <c r="C2446" s="55" t="s">
        <v>2688</v>
      </c>
      <c r="D2446" s="56" t="s">
        <v>2702</v>
      </c>
    </row>
    <row r="2447" spans="2:4" s="54" customFormat="1" x14ac:dyDescent="0.2">
      <c r="B2447" s="107" t="s">
        <v>2687</v>
      </c>
      <c r="C2447" s="55" t="s">
        <v>2688</v>
      </c>
      <c r="D2447" s="56" t="s">
        <v>2703</v>
      </c>
    </row>
    <row r="2448" spans="2:4" s="54" customFormat="1" x14ac:dyDescent="0.2">
      <c r="B2448" s="107" t="s">
        <v>2687</v>
      </c>
      <c r="C2448" s="55" t="s">
        <v>2688</v>
      </c>
      <c r="D2448" s="56" t="s">
        <v>2704</v>
      </c>
    </row>
    <row r="2449" spans="2:4" s="54" customFormat="1" x14ac:dyDescent="0.2">
      <c r="B2449" s="107" t="s">
        <v>2687</v>
      </c>
      <c r="C2449" s="55" t="s">
        <v>2688</v>
      </c>
      <c r="D2449" s="56" t="s">
        <v>2705</v>
      </c>
    </row>
    <row r="2450" spans="2:4" s="54" customFormat="1" x14ac:dyDescent="0.2">
      <c r="B2450" s="107" t="s">
        <v>2687</v>
      </c>
      <c r="C2450" s="55" t="s">
        <v>2688</v>
      </c>
      <c r="D2450" s="56" t="s">
        <v>2706</v>
      </c>
    </row>
    <row r="2451" spans="2:4" s="54" customFormat="1" x14ac:dyDescent="0.2">
      <c r="B2451" s="107" t="s">
        <v>2687</v>
      </c>
      <c r="C2451" s="55" t="s">
        <v>2688</v>
      </c>
      <c r="D2451" s="56" t="s">
        <v>2707</v>
      </c>
    </row>
    <row r="2452" spans="2:4" s="54" customFormat="1" x14ac:dyDescent="0.2">
      <c r="B2452" s="107" t="s">
        <v>2687</v>
      </c>
      <c r="C2452" s="55" t="s">
        <v>2688</v>
      </c>
      <c r="D2452" s="56" t="s">
        <v>2708</v>
      </c>
    </row>
    <row r="2453" spans="2:4" s="54" customFormat="1" x14ac:dyDescent="0.2">
      <c r="B2453" s="107" t="s">
        <v>2687</v>
      </c>
      <c r="C2453" s="55" t="s">
        <v>2688</v>
      </c>
      <c r="D2453" s="56" t="s">
        <v>2709</v>
      </c>
    </row>
    <row r="2454" spans="2:4" s="54" customFormat="1" x14ac:dyDescent="0.2">
      <c r="B2454" s="107" t="s">
        <v>2710</v>
      </c>
      <c r="C2454" s="55" t="s">
        <v>2711</v>
      </c>
      <c r="D2454" s="56" t="s">
        <v>2712</v>
      </c>
    </row>
    <row r="2455" spans="2:4" s="54" customFormat="1" x14ac:dyDescent="0.2">
      <c r="B2455" s="107" t="s">
        <v>2710</v>
      </c>
      <c r="C2455" s="55" t="s">
        <v>2711</v>
      </c>
      <c r="D2455" s="56" t="s">
        <v>2713</v>
      </c>
    </row>
    <row r="2456" spans="2:4" s="54" customFormat="1" x14ac:dyDescent="0.2">
      <c r="B2456" s="107" t="s">
        <v>2710</v>
      </c>
      <c r="C2456" s="55" t="s">
        <v>2711</v>
      </c>
      <c r="D2456" s="56" t="s">
        <v>2714</v>
      </c>
    </row>
    <row r="2457" spans="2:4" s="54" customFormat="1" x14ac:dyDescent="0.2">
      <c r="B2457" s="107" t="s">
        <v>2710</v>
      </c>
      <c r="C2457" s="55" t="s">
        <v>2711</v>
      </c>
      <c r="D2457" s="56" t="s">
        <v>2715</v>
      </c>
    </row>
    <row r="2458" spans="2:4" s="54" customFormat="1" x14ac:dyDescent="0.2">
      <c r="B2458" s="107" t="s">
        <v>2710</v>
      </c>
      <c r="C2458" s="55" t="s">
        <v>2711</v>
      </c>
      <c r="D2458" s="56" t="s">
        <v>2716</v>
      </c>
    </row>
    <row r="2459" spans="2:4" s="54" customFormat="1" x14ac:dyDescent="0.2">
      <c r="B2459" s="107" t="s">
        <v>2710</v>
      </c>
      <c r="C2459" s="55" t="s">
        <v>2711</v>
      </c>
      <c r="D2459" s="56" t="s">
        <v>2717</v>
      </c>
    </row>
    <row r="2460" spans="2:4" s="54" customFormat="1" x14ac:dyDescent="0.2">
      <c r="B2460" s="107" t="s">
        <v>2710</v>
      </c>
      <c r="C2460" s="55" t="s">
        <v>2711</v>
      </c>
      <c r="D2460" s="56" t="s">
        <v>2718</v>
      </c>
    </row>
    <row r="2461" spans="2:4" s="54" customFormat="1" x14ac:dyDescent="0.2">
      <c r="B2461" s="107" t="s">
        <v>2710</v>
      </c>
      <c r="C2461" s="55" t="s">
        <v>2711</v>
      </c>
      <c r="D2461" s="56" t="s">
        <v>2719</v>
      </c>
    </row>
    <row r="2462" spans="2:4" s="54" customFormat="1" x14ac:dyDescent="0.2">
      <c r="B2462" s="107" t="s">
        <v>2710</v>
      </c>
      <c r="C2462" s="55" t="s">
        <v>2711</v>
      </c>
      <c r="D2462" s="56" t="s">
        <v>2720</v>
      </c>
    </row>
    <row r="2463" spans="2:4" s="54" customFormat="1" x14ac:dyDescent="0.2">
      <c r="B2463" s="107" t="s">
        <v>2721</v>
      </c>
      <c r="C2463" s="55" t="s">
        <v>2722</v>
      </c>
      <c r="D2463" s="56" t="s">
        <v>2723</v>
      </c>
    </row>
    <row r="2464" spans="2:4" s="54" customFormat="1" x14ac:dyDescent="0.2">
      <c r="B2464" s="107" t="s">
        <v>2721</v>
      </c>
      <c r="C2464" s="55" t="s">
        <v>2722</v>
      </c>
      <c r="D2464" s="56" t="s">
        <v>2724</v>
      </c>
    </row>
    <row r="2465" spans="2:4" s="54" customFormat="1" x14ac:dyDescent="0.2">
      <c r="B2465" s="107" t="s">
        <v>2721</v>
      </c>
      <c r="C2465" s="55" t="s">
        <v>2722</v>
      </c>
      <c r="D2465" s="56" t="s">
        <v>2725</v>
      </c>
    </row>
    <row r="2466" spans="2:4" s="54" customFormat="1" x14ac:dyDescent="0.2">
      <c r="B2466" s="107" t="s">
        <v>2721</v>
      </c>
      <c r="C2466" s="55" t="s">
        <v>2722</v>
      </c>
      <c r="D2466" s="56" t="s">
        <v>2106</v>
      </c>
    </row>
    <row r="2467" spans="2:4" s="54" customFormat="1" x14ac:dyDescent="0.2">
      <c r="B2467" s="107" t="s">
        <v>2721</v>
      </c>
      <c r="C2467" s="55" t="s">
        <v>2722</v>
      </c>
      <c r="D2467" s="56" t="s">
        <v>2726</v>
      </c>
    </row>
    <row r="2468" spans="2:4" s="54" customFormat="1" x14ac:dyDescent="0.2">
      <c r="B2468" s="107" t="s">
        <v>2721</v>
      </c>
      <c r="C2468" s="55" t="s">
        <v>2722</v>
      </c>
      <c r="D2468" s="56" t="s">
        <v>2727</v>
      </c>
    </row>
    <row r="2469" spans="2:4" s="54" customFormat="1" x14ac:dyDescent="0.2">
      <c r="B2469" s="107" t="s">
        <v>2721</v>
      </c>
      <c r="C2469" s="55" t="s">
        <v>2722</v>
      </c>
      <c r="D2469" s="56" t="s">
        <v>2728</v>
      </c>
    </row>
    <row r="2470" spans="2:4" s="54" customFormat="1" x14ac:dyDescent="0.2">
      <c r="B2470" s="107" t="s">
        <v>2721</v>
      </c>
      <c r="C2470" s="55" t="s">
        <v>2722</v>
      </c>
      <c r="D2470" s="56" t="s">
        <v>2729</v>
      </c>
    </row>
    <row r="2471" spans="2:4" s="54" customFormat="1" x14ac:dyDescent="0.2">
      <c r="B2471" s="107" t="s">
        <v>2721</v>
      </c>
      <c r="C2471" s="55" t="s">
        <v>2722</v>
      </c>
      <c r="D2471" s="56" t="s">
        <v>2730</v>
      </c>
    </row>
    <row r="2472" spans="2:4" s="54" customFormat="1" x14ac:dyDescent="0.2">
      <c r="B2472" s="107" t="s">
        <v>2721</v>
      </c>
      <c r="C2472" s="55" t="s">
        <v>2722</v>
      </c>
      <c r="D2472" s="56" t="s">
        <v>2731</v>
      </c>
    </row>
    <row r="2473" spans="2:4" s="54" customFormat="1" x14ac:dyDescent="0.2">
      <c r="B2473" s="107" t="s">
        <v>2732</v>
      </c>
      <c r="C2473" s="55" t="s">
        <v>2733</v>
      </c>
      <c r="D2473" s="56" t="s">
        <v>2734</v>
      </c>
    </row>
    <row r="2474" spans="2:4" s="54" customFormat="1" x14ac:dyDescent="0.2">
      <c r="B2474" s="107" t="s">
        <v>2732</v>
      </c>
      <c r="C2474" s="55" t="s">
        <v>2733</v>
      </c>
      <c r="D2474" s="56" t="s">
        <v>2735</v>
      </c>
    </row>
    <row r="2475" spans="2:4" s="54" customFormat="1" x14ac:dyDescent="0.2">
      <c r="B2475" s="107" t="s">
        <v>2732</v>
      </c>
      <c r="C2475" s="55" t="s">
        <v>2733</v>
      </c>
      <c r="D2475" s="56" t="s">
        <v>2736</v>
      </c>
    </row>
    <row r="2476" spans="2:4" s="54" customFormat="1" x14ac:dyDescent="0.2">
      <c r="B2476" s="107" t="s">
        <v>2732</v>
      </c>
      <c r="C2476" s="55" t="s">
        <v>2733</v>
      </c>
      <c r="D2476" s="56" t="s">
        <v>2737</v>
      </c>
    </row>
    <row r="2477" spans="2:4" s="54" customFormat="1" x14ac:dyDescent="0.2">
      <c r="B2477" s="107" t="s">
        <v>2732</v>
      </c>
      <c r="C2477" s="55" t="s">
        <v>2733</v>
      </c>
      <c r="D2477" s="56" t="s">
        <v>2738</v>
      </c>
    </row>
    <row r="2478" spans="2:4" s="54" customFormat="1" x14ac:dyDescent="0.2">
      <c r="B2478" s="107" t="s">
        <v>2732</v>
      </c>
      <c r="C2478" s="55" t="s">
        <v>2733</v>
      </c>
      <c r="D2478" s="56" t="s">
        <v>2739</v>
      </c>
    </row>
    <row r="2479" spans="2:4" s="54" customFormat="1" x14ac:dyDescent="0.2">
      <c r="B2479" s="107" t="s">
        <v>2732</v>
      </c>
      <c r="C2479" s="55" t="s">
        <v>2733</v>
      </c>
      <c r="D2479" s="56" t="s">
        <v>2740</v>
      </c>
    </row>
    <row r="2480" spans="2:4" s="54" customFormat="1" x14ac:dyDescent="0.2">
      <c r="B2480" s="107" t="s">
        <v>2732</v>
      </c>
      <c r="C2480" s="55" t="s">
        <v>2733</v>
      </c>
      <c r="D2480" s="56" t="s">
        <v>2741</v>
      </c>
    </row>
    <row r="2481" spans="2:4" s="54" customFormat="1" x14ac:dyDescent="0.2">
      <c r="B2481" s="107" t="s">
        <v>2732</v>
      </c>
      <c r="C2481" s="55" t="s">
        <v>2733</v>
      </c>
      <c r="D2481" s="56" t="s">
        <v>2742</v>
      </c>
    </row>
    <row r="2482" spans="2:4" s="54" customFormat="1" x14ac:dyDescent="0.2">
      <c r="B2482" s="107" t="s">
        <v>2732</v>
      </c>
      <c r="C2482" s="55" t="s">
        <v>2733</v>
      </c>
      <c r="D2482" s="56" t="s">
        <v>2743</v>
      </c>
    </row>
    <row r="2483" spans="2:4" s="54" customFormat="1" x14ac:dyDescent="0.2">
      <c r="B2483" s="107" t="s">
        <v>2732</v>
      </c>
      <c r="C2483" s="55" t="s">
        <v>2733</v>
      </c>
      <c r="D2483" s="56" t="s">
        <v>2744</v>
      </c>
    </row>
    <row r="2484" spans="2:4" s="54" customFormat="1" x14ac:dyDescent="0.2">
      <c r="B2484" s="107" t="s">
        <v>2732</v>
      </c>
      <c r="C2484" s="55" t="s">
        <v>2733</v>
      </c>
      <c r="D2484" s="56" t="s">
        <v>2745</v>
      </c>
    </row>
    <row r="2485" spans="2:4" s="54" customFormat="1" x14ac:dyDescent="0.2">
      <c r="B2485" s="107" t="s">
        <v>2732</v>
      </c>
      <c r="C2485" s="55" t="s">
        <v>2733</v>
      </c>
      <c r="D2485" s="56" t="s">
        <v>2746</v>
      </c>
    </row>
    <row r="2486" spans="2:4" s="54" customFormat="1" x14ac:dyDescent="0.2">
      <c r="B2486" s="107" t="s">
        <v>2732</v>
      </c>
      <c r="C2486" s="55" t="s">
        <v>2733</v>
      </c>
      <c r="D2486" s="56" t="s">
        <v>185</v>
      </c>
    </row>
    <row r="2487" spans="2:4" s="54" customFormat="1" x14ac:dyDescent="0.2">
      <c r="B2487" s="107" t="s">
        <v>2732</v>
      </c>
      <c r="C2487" s="55" t="s">
        <v>2733</v>
      </c>
      <c r="D2487" s="56" t="s">
        <v>2747</v>
      </c>
    </row>
    <row r="2488" spans="2:4" s="54" customFormat="1" x14ac:dyDescent="0.2">
      <c r="B2488" s="107" t="s">
        <v>2732</v>
      </c>
      <c r="C2488" s="55" t="s">
        <v>2733</v>
      </c>
      <c r="D2488" s="56" t="s">
        <v>2748</v>
      </c>
    </row>
    <row r="2489" spans="2:4" s="54" customFormat="1" x14ac:dyDescent="0.2">
      <c r="B2489" s="107" t="s">
        <v>2732</v>
      </c>
      <c r="C2489" s="55" t="s">
        <v>2733</v>
      </c>
      <c r="D2489" s="56" t="s">
        <v>2749</v>
      </c>
    </row>
    <row r="2490" spans="2:4" s="54" customFormat="1" x14ac:dyDescent="0.2">
      <c r="B2490" s="107" t="s">
        <v>2732</v>
      </c>
      <c r="C2490" s="55" t="s">
        <v>2733</v>
      </c>
      <c r="D2490" s="56" t="s">
        <v>2750</v>
      </c>
    </row>
    <row r="2491" spans="2:4" s="54" customFormat="1" x14ac:dyDescent="0.2">
      <c r="B2491" s="107" t="s">
        <v>2732</v>
      </c>
      <c r="C2491" s="55" t="s">
        <v>2733</v>
      </c>
      <c r="D2491" s="56" t="s">
        <v>2751</v>
      </c>
    </row>
    <row r="2492" spans="2:4" s="54" customFormat="1" x14ac:dyDescent="0.2">
      <c r="B2492" s="107" t="s">
        <v>2752</v>
      </c>
      <c r="C2492" s="55" t="s">
        <v>2753</v>
      </c>
      <c r="D2492" s="56" t="s">
        <v>1039</v>
      </c>
    </row>
    <row r="2493" spans="2:4" s="54" customFormat="1" x14ac:dyDescent="0.2">
      <c r="B2493" s="107" t="s">
        <v>2752</v>
      </c>
      <c r="C2493" s="55" t="s">
        <v>2753</v>
      </c>
      <c r="D2493" s="56" t="s">
        <v>1040</v>
      </c>
    </row>
    <row r="2494" spans="2:4" s="54" customFormat="1" x14ac:dyDescent="0.2">
      <c r="B2494" s="107" t="s">
        <v>2752</v>
      </c>
      <c r="C2494" s="55" t="s">
        <v>2753</v>
      </c>
      <c r="D2494" s="56" t="s">
        <v>273</v>
      </c>
    </row>
    <row r="2495" spans="2:4" s="54" customFormat="1" x14ac:dyDescent="0.2">
      <c r="B2495" s="107" t="s">
        <v>2752</v>
      </c>
      <c r="C2495" s="55" t="s">
        <v>2753</v>
      </c>
      <c r="D2495" s="56" t="s">
        <v>2754</v>
      </c>
    </row>
    <row r="2496" spans="2:4" s="54" customFormat="1" x14ac:dyDescent="0.2">
      <c r="B2496" s="107" t="s">
        <v>2752</v>
      </c>
      <c r="C2496" s="55" t="s">
        <v>2753</v>
      </c>
      <c r="D2496" s="56" t="s">
        <v>2755</v>
      </c>
    </row>
    <row r="2497" spans="2:4" s="54" customFormat="1" x14ac:dyDescent="0.2">
      <c r="B2497" s="107" t="s">
        <v>2752</v>
      </c>
      <c r="C2497" s="55" t="s">
        <v>2753</v>
      </c>
      <c r="D2497" s="56" t="s">
        <v>2756</v>
      </c>
    </row>
    <row r="2498" spans="2:4" s="54" customFormat="1" x14ac:dyDescent="0.2">
      <c r="B2498" s="107" t="s">
        <v>2752</v>
      </c>
      <c r="C2498" s="55" t="s">
        <v>2753</v>
      </c>
      <c r="D2498" s="56" t="s">
        <v>274</v>
      </c>
    </row>
    <row r="2499" spans="2:4" s="54" customFormat="1" x14ac:dyDescent="0.2">
      <c r="B2499" s="107" t="s">
        <v>2752</v>
      </c>
      <c r="C2499" s="55" t="s">
        <v>2753</v>
      </c>
      <c r="D2499" s="56" t="s">
        <v>2757</v>
      </c>
    </row>
    <row r="2500" spans="2:4" s="54" customFormat="1" x14ac:dyDescent="0.2">
      <c r="B2500" s="107" t="s">
        <v>2752</v>
      </c>
      <c r="C2500" s="55" t="s">
        <v>2753</v>
      </c>
      <c r="D2500" s="56" t="s">
        <v>1041</v>
      </c>
    </row>
    <row r="2501" spans="2:4" s="54" customFormat="1" x14ac:dyDescent="0.2">
      <c r="B2501" s="107" t="s">
        <v>2758</v>
      </c>
      <c r="C2501" s="55" t="s">
        <v>2759</v>
      </c>
      <c r="D2501" s="56" t="s">
        <v>2760</v>
      </c>
    </row>
    <row r="2502" spans="2:4" s="54" customFormat="1" x14ac:dyDescent="0.2">
      <c r="B2502" s="107" t="s">
        <v>2758</v>
      </c>
      <c r="C2502" s="55" t="s">
        <v>2759</v>
      </c>
      <c r="D2502" s="56" t="s">
        <v>2761</v>
      </c>
    </row>
    <row r="2503" spans="2:4" s="54" customFormat="1" x14ac:dyDescent="0.2">
      <c r="B2503" s="107" t="s">
        <v>2758</v>
      </c>
      <c r="C2503" s="55" t="s">
        <v>2759</v>
      </c>
      <c r="D2503" s="56" t="s">
        <v>2762</v>
      </c>
    </row>
    <row r="2504" spans="2:4" s="54" customFormat="1" x14ac:dyDescent="0.2">
      <c r="B2504" s="107" t="s">
        <v>2758</v>
      </c>
      <c r="C2504" s="55" t="s">
        <v>2759</v>
      </c>
      <c r="D2504" s="56" t="s">
        <v>2763</v>
      </c>
    </row>
    <row r="2505" spans="2:4" s="54" customFormat="1" x14ac:dyDescent="0.2">
      <c r="B2505" s="107" t="s">
        <v>2758</v>
      </c>
      <c r="C2505" s="55" t="s">
        <v>2759</v>
      </c>
      <c r="D2505" s="56" t="s">
        <v>2764</v>
      </c>
    </row>
    <row r="2506" spans="2:4" s="54" customFormat="1" x14ac:dyDescent="0.2">
      <c r="B2506" s="107" t="s">
        <v>2758</v>
      </c>
      <c r="C2506" s="55" t="s">
        <v>2759</v>
      </c>
      <c r="D2506" s="56" t="s">
        <v>2765</v>
      </c>
    </row>
    <row r="2507" spans="2:4" s="54" customFormat="1" x14ac:dyDescent="0.2">
      <c r="B2507" s="107" t="s">
        <v>2758</v>
      </c>
      <c r="C2507" s="55" t="s">
        <v>2759</v>
      </c>
      <c r="D2507" s="56" t="s">
        <v>2766</v>
      </c>
    </row>
    <row r="2508" spans="2:4" s="54" customFormat="1" x14ac:dyDescent="0.2">
      <c r="B2508" s="107" t="s">
        <v>2758</v>
      </c>
      <c r="C2508" s="55" t="s">
        <v>2759</v>
      </c>
      <c r="D2508" s="56" t="s">
        <v>2767</v>
      </c>
    </row>
    <row r="2509" spans="2:4" s="54" customFormat="1" x14ac:dyDescent="0.2">
      <c r="B2509" s="107" t="s">
        <v>2758</v>
      </c>
      <c r="C2509" s="55" t="s">
        <v>2759</v>
      </c>
      <c r="D2509" s="56" t="s">
        <v>2768</v>
      </c>
    </row>
    <row r="2510" spans="2:4" s="54" customFormat="1" x14ac:dyDescent="0.2">
      <c r="B2510" s="107" t="s">
        <v>2758</v>
      </c>
      <c r="C2510" s="55" t="s">
        <v>2759</v>
      </c>
      <c r="D2510" s="56" t="s">
        <v>273</v>
      </c>
    </row>
    <row r="2511" spans="2:4" s="54" customFormat="1" x14ac:dyDescent="0.2">
      <c r="B2511" s="107" t="s">
        <v>2758</v>
      </c>
      <c r="C2511" s="55" t="s">
        <v>2759</v>
      </c>
      <c r="D2511" s="56" t="s">
        <v>965</v>
      </c>
    </row>
    <row r="2512" spans="2:4" s="54" customFormat="1" x14ac:dyDescent="0.2">
      <c r="B2512" s="107" t="s">
        <v>2758</v>
      </c>
      <c r="C2512" s="55" t="s">
        <v>2759</v>
      </c>
      <c r="D2512" s="56" t="s">
        <v>2769</v>
      </c>
    </row>
    <row r="2513" spans="2:4" s="54" customFormat="1" x14ac:dyDescent="0.2">
      <c r="B2513" s="107" t="s">
        <v>2758</v>
      </c>
      <c r="C2513" s="55" t="s">
        <v>2759</v>
      </c>
      <c r="D2513" s="56" t="s">
        <v>2770</v>
      </c>
    </row>
    <row r="2514" spans="2:4" s="54" customFormat="1" x14ac:dyDescent="0.2">
      <c r="B2514" s="107" t="s">
        <v>2758</v>
      </c>
      <c r="C2514" s="55" t="s">
        <v>2759</v>
      </c>
      <c r="D2514" s="56" t="s">
        <v>2771</v>
      </c>
    </row>
    <row r="2515" spans="2:4" s="54" customFormat="1" x14ac:dyDescent="0.2">
      <c r="B2515" s="107" t="s">
        <v>2758</v>
      </c>
      <c r="C2515" s="55" t="s">
        <v>2759</v>
      </c>
      <c r="D2515" s="56" t="s">
        <v>2772</v>
      </c>
    </row>
    <row r="2516" spans="2:4" s="54" customFormat="1" x14ac:dyDescent="0.2">
      <c r="B2516" s="107" t="s">
        <v>2758</v>
      </c>
      <c r="C2516" s="55" t="s">
        <v>2759</v>
      </c>
      <c r="D2516" s="56" t="s">
        <v>2773</v>
      </c>
    </row>
    <row r="2517" spans="2:4" s="54" customFormat="1" x14ac:dyDescent="0.2">
      <c r="B2517" s="107" t="s">
        <v>2758</v>
      </c>
      <c r="C2517" s="55" t="s">
        <v>2759</v>
      </c>
      <c r="D2517" s="56" t="s">
        <v>2774</v>
      </c>
    </row>
    <row r="2518" spans="2:4" s="54" customFormat="1" x14ac:dyDescent="0.2">
      <c r="B2518" s="107" t="s">
        <v>2758</v>
      </c>
      <c r="C2518" s="55" t="s">
        <v>2759</v>
      </c>
      <c r="D2518" s="56" t="s">
        <v>2775</v>
      </c>
    </row>
    <row r="2519" spans="2:4" s="54" customFormat="1" x14ac:dyDescent="0.2">
      <c r="B2519" s="107" t="s">
        <v>2776</v>
      </c>
      <c r="C2519" s="55" t="s">
        <v>2777</v>
      </c>
      <c r="D2519" s="56" t="s">
        <v>2778</v>
      </c>
    </row>
    <row r="2520" spans="2:4" s="54" customFormat="1" x14ac:dyDescent="0.2">
      <c r="B2520" s="107" t="s">
        <v>2776</v>
      </c>
      <c r="C2520" s="55" t="s">
        <v>2777</v>
      </c>
      <c r="D2520" s="56" t="s">
        <v>2779</v>
      </c>
    </row>
    <row r="2521" spans="2:4" s="54" customFormat="1" x14ac:dyDescent="0.2">
      <c r="B2521" s="107" t="s">
        <v>2776</v>
      </c>
      <c r="C2521" s="55" t="s">
        <v>2777</v>
      </c>
      <c r="D2521" s="56" t="s">
        <v>2780</v>
      </c>
    </row>
    <row r="2522" spans="2:4" s="54" customFormat="1" x14ac:dyDescent="0.2">
      <c r="B2522" s="107" t="s">
        <v>2776</v>
      </c>
      <c r="C2522" s="55" t="s">
        <v>2777</v>
      </c>
      <c r="D2522" s="56" t="s">
        <v>2781</v>
      </c>
    </row>
    <row r="2523" spans="2:4" s="54" customFormat="1" x14ac:dyDescent="0.2">
      <c r="B2523" s="107" t="s">
        <v>2776</v>
      </c>
      <c r="C2523" s="55" t="s">
        <v>2777</v>
      </c>
      <c r="D2523" s="56" t="s">
        <v>2782</v>
      </c>
    </row>
    <row r="2524" spans="2:4" s="54" customFormat="1" x14ac:dyDescent="0.2">
      <c r="B2524" s="107" t="s">
        <v>2776</v>
      </c>
      <c r="C2524" s="55" t="s">
        <v>2777</v>
      </c>
      <c r="D2524" s="56" t="s">
        <v>411</v>
      </c>
    </row>
    <row r="2525" spans="2:4" s="54" customFormat="1" x14ac:dyDescent="0.2">
      <c r="B2525" s="107" t="s">
        <v>2776</v>
      </c>
      <c r="C2525" s="55" t="s">
        <v>2777</v>
      </c>
      <c r="D2525" s="56" t="s">
        <v>2783</v>
      </c>
    </row>
    <row r="2526" spans="2:4" s="54" customFormat="1" x14ac:dyDescent="0.2">
      <c r="B2526" s="107" t="s">
        <v>2776</v>
      </c>
      <c r="C2526" s="55" t="s">
        <v>2777</v>
      </c>
      <c r="D2526" s="56" t="s">
        <v>2784</v>
      </c>
    </row>
    <row r="2527" spans="2:4" s="54" customFormat="1" x14ac:dyDescent="0.2">
      <c r="B2527" s="107" t="s">
        <v>2776</v>
      </c>
      <c r="C2527" s="55" t="s">
        <v>2777</v>
      </c>
      <c r="D2527" s="56" t="s">
        <v>2785</v>
      </c>
    </row>
    <row r="2528" spans="2:4" s="54" customFormat="1" x14ac:dyDescent="0.2">
      <c r="B2528" s="107" t="s">
        <v>2776</v>
      </c>
      <c r="C2528" s="55" t="s">
        <v>2777</v>
      </c>
      <c r="D2528" s="56" t="s">
        <v>2786</v>
      </c>
    </row>
    <row r="2529" spans="2:4" s="54" customFormat="1" x14ac:dyDescent="0.2">
      <c r="B2529" s="107" t="s">
        <v>2787</v>
      </c>
      <c r="C2529" s="55" t="s">
        <v>2788</v>
      </c>
      <c r="D2529" s="56" t="s">
        <v>2789</v>
      </c>
    </row>
    <row r="2530" spans="2:4" s="54" customFormat="1" x14ac:dyDescent="0.2">
      <c r="B2530" s="107" t="s">
        <v>2787</v>
      </c>
      <c r="C2530" s="55" t="s">
        <v>2788</v>
      </c>
      <c r="D2530" s="56" t="s">
        <v>2790</v>
      </c>
    </row>
    <row r="2531" spans="2:4" s="54" customFormat="1" x14ac:dyDescent="0.2">
      <c r="B2531" s="107" t="s">
        <v>2787</v>
      </c>
      <c r="C2531" s="55" t="s">
        <v>2788</v>
      </c>
      <c r="D2531" s="56" t="s">
        <v>2791</v>
      </c>
    </row>
    <row r="2532" spans="2:4" s="54" customFormat="1" x14ac:dyDescent="0.2">
      <c r="B2532" s="107" t="s">
        <v>2787</v>
      </c>
      <c r="C2532" s="55" t="s">
        <v>2788</v>
      </c>
      <c r="D2532" s="56" t="s">
        <v>2792</v>
      </c>
    </row>
    <row r="2533" spans="2:4" s="54" customFormat="1" x14ac:dyDescent="0.2">
      <c r="B2533" s="107" t="s">
        <v>2787</v>
      </c>
      <c r="C2533" s="55" t="s">
        <v>2788</v>
      </c>
      <c r="D2533" s="56" t="s">
        <v>2793</v>
      </c>
    </row>
    <row r="2534" spans="2:4" s="54" customFormat="1" x14ac:dyDescent="0.2">
      <c r="B2534" s="107" t="s">
        <v>2787</v>
      </c>
      <c r="C2534" s="55" t="s">
        <v>2788</v>
      </c>
      <c r="D2534" s="56" t="s">
        <v>2794</v>
      </c>
    </row>
    <row r="2535" spans="2:4" s="54" customFormat="1" x14ac:dyDescent="0.2">
      <c r="B2535" s="107" t="s">
        <v>2787</v>
      </c>
      <c r="C2535" s="55" t="s">
        <v>2788</v>
      </c>
      <c r="D2535" s="56" t="s">
        <v>2795</v>
      </c>
    </row>
    <row r="2536" spans="2:4" s="54" customFormat="1" x14ac:dyDescent="0.2">
      <c r="B2536" s="107" t="s">
        <v>2787</v>
      </c>
      <c r="C2536" s="55" t="s">
        <v>2788</v>
      </c>
      <c r="D2536" s="56" t="s">
        <v>2796</v>
      </c>
    </row>
    <row r="2537" spans="2:4" s="54" customFormat="1" x14ac:dyDescent="0.2">
      <c r="B2537" s="107" t="s">
        <v>2797</v>
      </c>
      <c r="C2537" s="55" t="s">
        <v>2798</v>
      </c>
      <c r="D2537" s="56" t="s">
        <v>2799</v>
      </c>
    </row>
    <row r="2538" spans="2:4" s="54" customFormat="1" x14ac:dyDescent="0.2">
      <c r="B2538" s="107" t="s">
        <v>2797</v>
      </c>
      <c r="C2538" s="55" t="s">
        <v>2798</v>
      </c>
      <c r="D2538" s="56" t="s">
        <v>2800</v>
      </c>
    </row>
    <row r="2539" spans="2:4" s="54" customFormat="1" x14ac:dyDescent="0.2">
      <c r="B2539" s="107" t="s">
        <v>2797</v>
      </c>
      <c r="C2539" s="55" t="s">
        <v>2798</v>
      </c>
      <c r="D2539" s="56" t="s">
        <v>2801</v>
      </c>
    </row>
    <row r="2540" spans="2:4" s="54" customFormat="1" x14ac:dyDescent="0.2">
      <c r="B2540" s="107" t="s">
        <v>2797</v>
      </c>
      <c r="C2540" s="55" t="s">
        <v>2798</v>
      </c>
      <c r="D2540" s="56" t="s">
        <v>2802</v>
      </c>
    </row>
    <row r="2541" spans="2:4" s="54" customFormat="1" x14ac:dyDescent="0.2">
      <c r="B2541" s="107" t="s">
        <v>2797</v>
      </c>
      <c r="C2541" s="55" t="s">
        <v>2798</v>
      </c>
      <c r="D2541" s="56" t="s">
        <v>2803</v>
      </c>
    </row>
    <row r="2542" spans="2:4" s="54" customFormat="1" x14ac:dyDescent="0.2">
      <c r="B2542" s="107" t="s">
        <v>2797</v>
      </c>
      <c r="C2542" s="55" t="s">
        <v>2798</v>
      </c>
      <c r="D2542" s="56" t="s">
        <v>2804</v>
      </c>
    </row>
    <row r="2543" spans="2:4" s="54" customFormat="1" x14ac:dyDescent="0.2">
      <c r="B2543" s="107" t="s">
        <v>2797</v>
      </c>
      <c r="C2543" s="55" t="s">
        <v>2798</v>
      </c>
      <c r="D2543" s="56" t="s">
        <v>2805</v>
      </c>
    </row>
    <row r="2544" spans="2:4" s="54" customFormat="1" x14ac:dyDescent="0.2">
      <c r="B2544" s="107" t="s">
        <v>2797</v>
      </c>
      <c r="C2544" s="55" t="s">
        <v>2798</v>
      </c>
      <c r="D2544" s="56" t="s">
        <v>2806</v>
      </c>
    </row>
    <row r="2545" spans="2:4" s="54" customFormat="1" x14ac:dyDescent="0.2">
      <c r="B2545" s="107" t="s">
        <v>2797</v>
      </c>
      <c r="C2545" s="55" t="s">
        <v>2798</v>
      </c>
      <c r="D2545" s="56" t="s">
        <v>2807</v>
      </c>
    </row>
    <row r="2546" spans="2:4" s="54" customFormat="1" x14ac:dyDescent="0.2">
      <c r="B2546" s="107" t="s">
        <v>2797</v>
      </c>
      <c r="C2546" s="55" t="s">
        <v>2798</v>
      </c>
      <c r="D2546" s="56" t="s">
        <v>2808</v>
      </c>
    </row>
    <row r="2547" spans="2:4" s="54" customFormat="1" x14ac:dyDescent="0.2">
      <c r="B2547" s="107" t="s">
        <v>2797</v>
      </c>
      <c r="C2547" s="55" t="s">
        <v>2798</v>
      </c>
      <c r="D2547" s="56" t="s">
        <v>2809</v>
      </c>
    </row>
    <row r="2548" spans="2:4" s="54" customFormat="1" x14ac:dyDescent="0.2">
      <c r="B2548" s="107" t="s">
        <v>2797</v>
      </c>
      <c r="C2548" s="55" t="s">
        <v>2798</v>
      </c>
      <c r="D2548" s="56" t="s">
        <v>2810</v>
      </c>
    </row>
    <row r="2549" spans="2:4" s="54" customFormat="1" x14ac:dyDescent="0.2">
      <c r="B2549" s="107" t="s">
        <v>2797</v>
      </c>
      <c r="C2549" s="55" t="s">
        <v>2798</v>
      </c>
      <c r="D2549" s="56" t="s">
        <v>2811</v>
      </c>
    </row>
    <row r="2550" spans="2:4" s="54" customFormat="1" x14ac:dyDescent="0.2">
      <c r="B2550" s="107" t="s">
        <v>2797</v>
      </c>
      <c r="C2550" s="55" t="s">
        <v>2798</v>
      </c>
      <c r="D2550" s="56" t="s">
        <v>2812</v>
      </c>
    </row>
    <row r="2551" spans="2:4" s="54" customFormat="1" x14ac:dyDescent="0.2">
      <c r="B2551" s="107" t="s">
        <v>2797</v>
      </c>
      <c r="C2551" s="55" t="s">
        <v>2798</v>
      </c>
      <c r="D2551" s="56" t="s">
        <v>2813</v>
      </c>
    </row>
    <row r="2552" spans="2:4" s="54" customFormat="1" x14ac:dyDescent="0.2">
      <c r="B2552" s="107" t="s">
        <v>2797</v>
      </c>
      <c r="C2552" s="55" t="s">
        <v>2798</v>
      </c>
      <c r="D2552" s="56" t="s">
        <v>2814</v>
      </c>
    </row>
    <row r="2553" spans="2:4" s="54" customFormat="1" x14ac:dyDescent="0.2">
      <c r="B2553" s="107" t="s">
        <v>2797</v>
      </c>
      <c r="C2553" s="55" t="s">
        <v>2798</v>
      </c>
      <c r="D2553" s="56" t="s">
        <v>2815</v>
      </c>
    </row>
    <row r="2554" spans="2:4" s="54" customFormat="1" x14ac:dyDescent="0.2">
      <c r="B2554" s="107" t="s">
        <v>2797</v>
      </c>
      <c r="C2554" s="55" t="s">
        <v>2798</v>
      </c>
      <c r="D2554" s="56" t="s">
        <v>2816</v>
      </c>
    </row>
    <row r="2555" spans="2:4" s="54" customFormat="1" x14ac:dyDescent="0.2">
      <c r="B2555" s="107" t="s">
        <v>2797</v>
      </c>
      <c r="C2555" s="55" t="s">
        <v>2798</v>
      </c>
      <c r="D2555" s="56" t="s">
        <v>2817</v>
      </c>
    </row>
    <row r="2556" spans="2:4" s="54" customFormat="1" x14ac:dyDescent="0.2">
      <c r="B2556" s="107" t="s">
        <v>2797</v>
      </c>
      <c r="C2556" s="55" t="s">
        <v>2798</v>
      </c>
      <c r="D2556" s="56" t="s">
        <v>2818</v>
      </c>
    </row>
    <row r="2557" spans="2:4" s="54" customFormat="1" x14ac:dyDescent="0.2">
      <c r="B2557" s="107" t="s">
        <v>2797</v>
      </c>
      <c r="C2557" s="55" t="s">
        <v>2798</v>
      </c>
      <c r="D2557" s="56" t="s">
        <v>2819</v>
      </c>
    </row>
    <row r="2558" spans="2:4" s="54" customFormat="1" x14ac:dyDescent="0.2">
      <c r="B2558" s="107" t="s">
        <v>2797</v>
      </c>
      <c r="C2558" s="55" t="s">
        <v>2798</v>
      </c>
      <c r="D2558" s="56" t="s">
        <v>2820</v>
      </c>
    </row>
    <row r="2559" spans="2:4" s="54" customFormat="1" x14ac:dyDescent="0.2">
      <c r="B2559" s="107" t="s">
        <v>2797</v>
      </c>
      <c r="C2559" s="55" t="s">
        <v>2798</v>
      </c>
      <c r="D2559" s="56" t="s">
        <v>2821</v>
      </c>
    </row>
    <row r="2560" spans="2:4" s="54" customFormat="1" x14ac:dyDescent="0.2">
      <c r="B2560" s="107" t="s">
        <v>2797</v>
      </c>
      <c r="C2560" s="55" t="s">
        <v>2798</v>
      </c>
      <c r="D2560" s="56" t="s">
        <v>2822</v>
      </c>
    </row>
    <row r="2561" spans="2:4" s="54" customFormat="1" x14ac:dyDescent="0.2">
      <c r="B2561" s="107" t="s">
        <v>2797</v>
      </c>
      <c r="C2561" s="55" t="s">
        <v>2798</v>
      </c>
      <c r="D2561" s="56" t="s">
        <v>2823</v>
      </c>
    </row>
    <row r="2562" spans="2:4" s="54" customFormat="1" x14ac:dyDescent="0.2">
      <c r="B2562" s="107" t="s">
        <v>2797</v>
      </c>
      <c r="C2562" s="55" t="s">
        <v>2798</v>
      </c>
      <c r="D2562" s="56" t="s">
        <v>2824</v>
      </c>
    </row>
    <row r="2563" spans="2:4" s="54" customFormat="1" x14ac:dyDescent="0.2">
      <c r="B2563" s="107" t="s">
        <v>2825</v>
      </c>
      <c r="C2563" s="55" t="s">
        <v>2826</v>
      </c>
      <c r="D2563" s="56" t="s">
        <v>2827</v>
      </c>
    </row>
    <row r="2564" spans="2:4" s="54" customFormat="1" x14ac:dyDescent="0.2">
      <c r="B2564" s="107" t="s">
        <v>2825</v>
      </c>
      <c r="C2564" s="55" t="s">
        <v>2826</v>
      </c>
      <c r="D2564" s="56" t="s">
        <v>2828</v>
      </c>
    </row>
    <row r="2565" spans="2:4" s="54" customFormat="1" x14ac:dyDescent="0.2">
      <c r="B2565" s="107" t="s">
        <v>2825</v>
      </c>
      <c r="C2565" s="55" t="s">
        <v>2826</v>
      </c>
      <c r="D2565" s="56" t="s">
        <v>2829</v>
      </c>
    </row>
    <row r="2566" spans="2:4" s="54" customFormat="1" x14ac:dyDescent="0.2">
      <c r="B2566" s="107" t="s">
        <v>2825</v>
      </c>
      <c r="C2566" s="55" t="s">
        <v>2826</v>
      </c>
      <c r="D2566" s="56" t="s">
        <v>2830</v>
      </c>
    </row>
    <row r="2567" spans="2:4" s="54" customFormat="1" x14ac:dyDescent="0.2">
      <c r="B2567" s="107" t="s">
        <v>2825</v>
      </c>
      <c r="C2567" s="55" t="s">
        <v>2826</v>
      </c>
      <c r="D2567" s="56" t="s">
        <v>2831</v>
      </c>
    </row>
    <row r="2568" spans="2:4" s="54" customFormat="1" x14ac:dyDescent="0.2">
      <c r="B2568" s="107" t="s">
        <v>2825</v>
      </c>
      <c r="C2568" s="55" t="s">
        <v>2826</v>
      </c>
      <c r="D2568" s="56" t="s">
        <v>2832</v>
      </c>
    </row>
    <row r="2569" spans="2:4" s="54" customFormat="1" x14ac:dyDescent="0.2">
      <c r="B2569" s="107" t="s">
        <v>2825</v>
      </c>
      <c r="C2569" s="55" t="s">
        <v>2826</v>
      </c>
      <c r="D2569" s="56" t="s">
        <v>2833</v>
      </c>
    </row>
    <row r="2570" spans="2:4" s="54" customFormat="1" x14ac:dyDescent="0.2">
      <c r="B2570" s="107" t="s">
        <v>2825</v>
      </c>
      <c r="C2570" s="55" t="s">
        <v>2826</v>
      </c>
      <c r="D2570" s="56" t="s">
        <v>2834</v>
      </c>
    </row>
    <row r="2571" spans="2:4" s="54" customFormat="1" x14ac:dyDescent="0.2">
      <c r="B2571" s="107" t="s">
        <v>2825</v>
      </c>
      <c r="C2571" s="55" t="s">
        <v>2826</v>
      </c>
      <c r="D2571" s="56" t="s">
        <v>2835</v>
      </c>
    </row>
    <row r="2572" spans="2:4" s="54" customFormat="1" x14ac:dyDescent="0.2">
      <c r="B2572" s="107" t="s">
        <v>2825</v>
      </c>
      <c r="C2572" s="55" t="s">
        <v>2826</v>
      </c>
      <c r="D2572" s="56" t="s">
        <v>2836</v>
      </c>
    </row>
    <row r="2573" spans="2:4" s="54" customFormat="1" x14ac:dyDescent="0.2">
      <c r="B2573" s="107" t="s">
        <v>2825</v>
      </c>
      <c r="C2573" s="55" t="s">
        <v>2826</v>
      </c>
      <c r="D2573" s="56" t="s">
        <v>2837</v>
      </c>
    </row>
    <row r="2574" spans="2:4" s="54" customFormat="1" x14ac:dyDescent="0.2">
      <c r="B2574" s="107" t="s">
        <v>2825</v>
      </c>
      <c r="C2574" s="55" t="s">
        <v>2826</v>
      </c>
      <c r="D2574" s="56" t="s">
        <v>2838</v>
      </c>
    </row>
    <row r="2575" spans="2:4" s="54" customFormat="1" x14ac:dyDescent="0.2">
      <c r="B2575" s="107" t="s">
        <v>2825</v>
      </c>
      <c r="C2575" s="55" t="s">
        <v>2826</v>
      </c>
      <c r="D2575" s="56" t="s">
        <v>2839</v>
      </c>
    </row>
    <row r="2576" spans="2:4" s="54" customFormat="1" x14ac:dyDescent="0.2">
      <c r="B2576" s="107" t="s">
        <v>2825</v>
      </c>
      <c r="C2576" s="55" t="s">
        <v>2826</v>
      </c>
      <c r="D2576" s="56" t="s">
        <v>2840</v>
      </c>
    </row>
    <row r="2577" spans="2:4" s="54" customFormat="1" x14ac:dyDescent="0.2">
      <c r="B2577" s="107" t="s">
        <v>2841</v>
      </c>
      <c r="C2577" s="55" t="s">
        <v>2842</v>
      </c>
      <c r="D2577" s="56" t="s">
        <v>2843</v>
      </c>
    </row>
    <row r="2578" spans="2:4" s="54" customFormat="1" x14ac:dyDescent="0.2">
      <c r="B2578" s="107" t="s">
        <v>2841</v>
      </c>
      <c r="C2578" s="55" t="s">
        <v>2842</v>
      </c>
      <c r="D2578" s="56" t="s">
        <v>2844</v>
      </c>
    </row>
    <row r="2579" spans="2:4" s="54" customFormat="1" x14ac:dyDescent="0.2">
      <c r="B2579" s="107" t="s">
        <v>2841</v>
      </c>
      <c r="C2579" s="55" t="s">
        <v>2842</v>
      </c>
      <c r="D2579" s="56" t="s">
        <v>2845</v>
      </c>
    </row>
    <row r="2580" spans="2:4" s="54" customFormat="1" x14ac:dyDescent="0.2">
      <c r="B2580" s="107" t="s">
        <v>2841</v>
      </c>
      <c r="C2580" s="55" t="s">
        <v>2842</v>
      </c>
      <c r="D2580" s="56" t="s">
        <v>2846</v>
      </c>
    </row>
    <row r="2581" spans="2:4" s="54" customFormat="1" x14ac:dyDescent="0.2">
      <c r="B2581" s="107" t="s">
        <v>2841</v>
      </c>
      <c r="C2581" s="55" t="s">
        <v>2842</v>
      </c>
      <c r="D2581" s="56" t="s">
        <v>2847</v>
      </c>
    </row>
    <row r="2582" spans="2:4" s="54" customFormat="1" x14ac:dyDescent="0.2">
      <c r="B2582" s="107" t="s">
        <v>2848</v>
      </c>
      <c r="C2582" s="55" t="s">
        <v>2849</v>
      </c>
      <c r="D2582" s="56" t="s">
        <v>2850</v>
      </c>
    </row>
    <row r="2583" spans="2:4" s="54" customFormat="1" x14ac:dyDescent="0.2">
      <c r="B2583" s="107" t="s">
        <v>2848</v>
      </c>
      <c r="C2583" s="55" t="s">
        <v>2849</v>
      </c>
      <c r="D2583" s="56" t="s">
        <v>2851</v>
      </c>
    </row>
    <row r="2584" spans="2:4" s="54" customFormat="1" x14ac:dyDescent="0.2">
      <c r="B2584" s="107" t="s">
        <v>2848</v>
      </c>
      <c r="C2584" s="55" t="s">
        <v>2849</v>
      </c>
      <c r="D2584" s="56" t="s">
        <v>2852</v>
      </c>
    </row>
    <row r="2585" spans="2:4" s="54" customFormat="1" x14ac:dyDescent="0.2">
      <c r="B2585" s="107" t="s">
        <v>2848</v>
      </c>
      <c r="C2585" s="55" t="s">
        <v>2849</v>
      </c>
      <c r="D2585" s="56" t="s">
        <v>2853</v>
      </c>
    </row>
    <row r="2586" spans="2:4" s="54" customFormat="1" x14ac:dyDescent="0.2">
      <c r="B2586" s="107" t="s">
        <v>2848</v>
      </c>
      <c r="C2586" s="55" t="s">
        <v>2849</v>
      </c>
      <c r="D2586" s="56" t="s">
        <v>2854</v>
      </c>
    </row>
    <row r="2587" spans="2:4" s="54" customFormat="1" x14ac:dyDescent="0.2">
      <c r="B2587" s="107" t="s">
        <v>2848</v>
      </c>
      <c r="C2587" s="55" t="s">
        <v>2849</v>
      </c>
      <c r="D2587" s="56" t="s">
        <v>2855</v>
      </c>
    </row>
    <row r="2588" spans="2:4" s="54" customFormat="1" x14ac:dyDescent="0.2">
      <c r="B2588" s="107" t="s">
        <v>2848</v>
      </c>
      <c r="C2588" s="55" t="s">
        <v>2849</v>
      </c>
      <c r="D2588" s="56" t="s">
        <v>2856</v>
      </c>
    </row>
    <row r="2589" spans="2:4" s="54" customFormat="1" x14ac:dyDescent="0.2">
      <c r="B2589" s="107" t="s">
        <v>2848</v>
      </c>
      <c r="C2589" s="55" t="s">
        <v>2849</v>
      </c>
      <c r="D2589" s="56" t="s">
        <v>2857</v>
      </c>
    </row>
    <row r="2590" spans="2:4" s="54" customFormat="1" x14ac:dyDescent="0.2">
      <c r="B2590" s="107" t="s">
        <v>2848</v>
      </c>
      <c r="C2590" s="55" t="s">
        <v>2849</v>
      </c>
      <c r="D2590" s="56" t="s">
        <v>2858</v>
      </c>
    </row>
    <row r="2591" spans="2:4" s="54" customFormat="1" x14ac:dyDescent="0.2">
      <c r="B2591" s="107" t="s">
        <v>2848</v>
      </c>
      <c r="C2591" s="55" t="s">
        <v>2849</v>
      </c>
      <c r="D2591" s="56" t="s">
        <v>2859</v>
      </c>
    </row>
    <row r="2592" spans="2:4" s="54" customFormat="1" x14ac:dyDescent="0.2">
      <c r="B2592" s="107" t="s">
        <v>2848</v>
      </c>
      <c r="C2592" s="55" t="s">
        <v>2849</v>
      </c>
      <c r="D2592" s="56" t="s">
        <v>2860</v>
      </c>
    </row>
    <row r="2593" spans="2:4" s="54" customFormat="1" x14ac:dyDescent="0.2">
      <c r="B2593" s="107" t="s">
        <v>2848</v>
      </c>
      <c r="C2593" s="55" t="s">
        <v>2849</v>
      </c>
      <c r="D2593" s="56" t="s">
        <v>2861</v>
      </c>
    </row>
    <row r="2594" spans="2:4" s="54" customFormat="1" x14ac:dyDescent="0.2">
      <c r="B2594" s="107" t="s">
        <v>2848</v>
      </c>
      <c r="C2594" s="55" t="s">
        <v>2849</v>
      </c>
      <c r="D2594" s="56" t="s">
        <v>2862</v>
      </c>
    </row>
    <row r="2595" spans="2:4" s="54" customFormat="1" x14ac:dyDescent="0.2">
      <c r="B2595" s="107" t="s">
        <v>2848</v>
      </c>
      <c r="C2595" s="55" t="s">
        <v>2849</v>
      </c>
      <c r="D2595" s="56" t="s">
        <v>2863</v>
      </c>
    </row>
    <row r="2596" spans="2:4" s="54" customFormat="1" x14ac:dyDescent="0.2">
      <c r="B2596" s="107" t="s">
        <v>2848</v>
      </c>
      <c r="C2596" s="55" t="s">
        <v>2849</v>
      </c>
      <c r="D2596" s="56" t="s">
        <v>2864</v>
      </c>
    </row>
    <row r="2597" spans="2:4" s="54" customFormat="1" x14ac:dyDescent="0.2">
      <c r="B2597" s="107" t="s">
        <v>2848</v>
      </c>
      <c r="C2597" s="55" t="s">
        <v>2849</v>
      </c>
      <c r="D2597" s="56" t="s">
        <v>2865</v>
      </c>
    </row>
    <row r="2598" spans="2:4" s="54" customFormat="1" x14ac:dyDescent="0.2">
      <c r="B2598" s="107" t="s">
        <v>2848</v>
      </c>
      <c r="C2598" s="55" t="s">
        <v>2849</v>
      </c>
      <c r="D2598" s="56" t="s">
        <v>2866</v>
      </c>
    </row>
    <row r="2599" spans="2:4" s="54" customFormat="1" x14ac:dyDescent="0.2">
      <c r="B2599" s="107" t="s">
        <v>2848</v>
      </c>
      <c r="C2599" s="55" t="s">
        <v>2849</v>
      </c>
      <c r="D2599" s="56" t="s">
        <v>2867</v>
      </c>
    </row>
    <row r="2600" spans="2:4" s="54" customFormat="1" x14ac:dyDescent="0.2">
      <c r="B2600" s="107" t="s">
        <v>2848</v>
      </c>
      <c r="C2600" s="55" t="s">
        <v>2849</v>
      </c>
      <c r="D2600" s="56" t="s">
        <v>2868</v>
      </c>
    </row>
    <row r="2601" spans="2:4" s="54" customFormat="1" x14ac:dyDescent="0.2">
      <c r="B2601" s="107" t="s">
        <v>2848</v>
      </c>
      <c r="C2601" s="55" t="s">
        <v>2849</v>
      </c>
      <c r="D2601" s="56" t="s">
        <v>2869</v>
      </c>
    </row>
    <row r="2602" spans="2:4" s="54" customFormat="1" x14ac:dyDescent="0.2">
      <c r="B2602" s="107" t="s">
        <v>2848</v>
      </c>
      <c r="C2602" s="55" t="s">
        <v>2849</v>
      </c>
      <c r="D2602" s="56" t="s">
        <v>2870</v>
      </c>
    </row>
    <row r="2603" spans="2:4" s="54" customFormat="1" x14ac:dyDescent="0.2">
      <c r="B2603" s="107" t="s">
        <v>2848</v>
      </c>
      <c r="C2603" s="55" t="s">
        <v>2849</v>
      </c>
      <c r="D2603" s="56" t="s">
        <v>2871</v>
      </c>
    </row>
    <row r="2604" spans="2:4" s="54" customFormat="1" x14ac:dyDescent="0.2">
      <c r="B2604" s="107" t="s">
        <v>2848</v>
      </c>
      <c r="C2604" s="55" t="s">
        <v>2849</v>
      </c>
      <c r="D2604" s="56" t="s">
        <v>2872</v>
      </c>
    </row>
    <row r="2605" spans="2:4" s="54" customFormat="1" x14ac:dyDescent="0.2">
      <c r="B2605" s="107" t="s">
        <v>2848</v>
      </c>
      <c r="C2605" s="55" t="s">
        <v>2849</v>
      </c>
      <c r="D2605" s="56" t="s">
        <v>2873</v>
      </c>
    </row>
    <row r="2606" spans="2:4" s="54" customFormat="1" x14ac:dyDescent="0.2">
      <c r="B2606" s="107" t="s">
        <v>2848</v>
      </c>
      <c r="C2606" s="55" t="s">
        <v>2849</v>
      </c>
      <c r="D2606" s="56" t="s">
        <v>2874</v>
      </c>
    </row>
    <row r="2607" spans="2:4" s="54" customFormat="1" x14ac:dyDescent="0.2">
      <c r="B2607" s="107" t="s">
        <v>2848</v>
      </c>
      <c r="C2607" s="55" t="s">
        <v>2849</v>
      </c>
      <c r="D2607" s="56" t="s">
        <v>2875</v>
      </c>
    </row>
    <row r="2608" spans="2:4" s="54" customFormat="1" x14ac:dyDescent="0.2">
      <c r="B2608" s="107" t="s">
        <v>2848</v>
      </c>
      <c r="C2608" s="55" t="s">
        <v>2849</v>
      </c>
      <c r="D2608" s="56" t="s">
        <v>2876</v>
      </c>
    </row>
    <row r="2609" spans="2:4" s="54" customFormat="1" x14ac:dyDescent="0.2">
      <c r="B2609" s="107" t="s">
        <v>2848</v>
      </c>
      <c r="C2609" s="55" t="s">
        <v>2849</v>
      </c>
      <c r="D2609" s="56" t="s">
        <v>2877</v>
      </c>
    </row>
    <row r="2610" spans="2:4" s="54" customFormat="1" x14ac:dyDescent="0.2">
      <c r="B2610" s="107" t="s">
        <v>2848</v>
      </c>
      <c r="C2610" s="55" t="s">
        <v>2849</v>
      </c>
      <c r="D2610" s="56" t="s">
        <v>2878</v>
      </c>
    </row>
    <row r="2611" spans="2:4" s="54" customFormat="1" x14ac:dyDescent="0.2">
      <c r="B2611" s="107" t="s">
        <v>2848</v>
      </c>
      <c r="C2611" s="55" t="s">
        <v>2849</v>
      </c>
      <c r="D2611" s="56" t="s">
        <v>2879</v>
      </c>
    </row>
    <row r="2612" spans="2:4" s="54" customFormat="1" x14ac:dyDescent="0.2">
      <c r="B2612" s="107" t="s">
        <v>2848</v>
      </c>
      <c r="C2612" s="55" t="s">
        <v>2849</v>
      </c>
      <c r="D2612" s="56" t="s">
        <v>2880</v>
      </c>
    </row>
    <row r="2613" spans="2:4" s="54" customFormat="1" x14ac:dyDescent="0.2">
      <c r="B2613" s="107" t="s">
        <v>2848</v>
      </c>
      <c r="C2613" s="55" t="s">
        <v>2849</v>
      </c>
      <c r="D2613" s="56" t="s">
        <v>2881</v>
      </c>
    </row>
    <row r="2614" spans="2:4" s="54" customFormat="1" x14ac:dyDescent="0.2">
      <c r="B2614" s="107" t="s">
        <v>2848</v>
      </c>
      <c r="C2614" s="55" t="s">
        <v>2849</v>
      </c>
      <c r="D2614" s="56" t="s">
        <v>2882</v>
      </c>
    </row>
    <row r="2615" spans="2:4" s="54" customFormat="1" x14ac:dyDescent="0.2">
      <c r="B2615" s="107" t="s">
        <v>2848</v>
      </c>
      <c r="C2615" s="55" t="s">
        <v>2849</v>
      </c>
      <c r="D2615" s="56" t="s">
        <v>2883</v>
      </c>
    </row>
    <row r="2616" spans="2:4" s="54" customFormat="1" x14ac:dyDescent="0.2">
      <c r="B2616" s="107" t="s">
        <v>2848</v>
      </c>
      <c r="C2616" s="55" t="s">
        <v>2849</v>
      </c>
      <c r="D2616" s="56" t="s">
        <v>2884</v>
      </c>
    </row>
    <row r="2617" spans="2:4" s="54" customFormat="1" x14ac:dyDescent="0.2">
      <c r="B2617" s="107" t="s">
        <v>2848</v>
      </c>
      <c r="C2617" s="55" t="s">
        <v>2849</v>
      </c>
      <c r="D2617" s="56" t="s">
        <v>2885</v>
      </c>
    </row>
    <row r="2618" spans="2:4" s="54" customFormat="1" x14ac:dyDescent="0.2">
      <c r="B2618" s="107" t="s">
        <v>2848</v>
      </c>
      <c r="C2618" s="55" t="s">
        <v>2849</v>
      </c>
      <c r="D2618" s="56" t="s">
        <v>2886</v>
      </c>
    </row>
    <row r="2619" spans="2:4" s="54" customFormat="1" x14ac:dyDescent="0.2">
      <c r="B2619" s="107" t="s">
        <v>2848</v>
      </c>
      <c r="C2619" s="55" t="s">
        <v>2849</v>
      </c>
      <c r="D2619" s="56" t="s">
        <v>2887</v>
      </c>
    </row>
    <row r="2620" spans="2:4" s="54" customFormat="1" x14ac:dyDescent="0.2">
      <c r="B2620" s="107" t="s">
        <v>2848</v>
      </c>
      <c r="C2620" s="55" t="s">
        <v>2849</v>
      </c>
      <c r="D2620" s="56" t="s">
        <v>2888</v>
      </c>
    </row>
    <row r="2621" spans="2:4" s="54" customFormat="1" x14ac:dyDescent="0.2">
      <c r="B2621" s="107" t="s">
        <v>2848</v>
      </c>
      <c r="C2621" s="55" t="s">
        <v>2849</v>
      </c>
      <c r="D2621" s="56" t="s">
        <v>2889</v>
      </c>
    </row>
    <row r="2622" spans="2:4" s="54" customFormat="1" x14ac:dyDescent="0.2">
      <c r="B2622" s="107" t="s">
        <v>2848</v>
      </c>
      <c r="C2622" s="55" t="s">
        <v>2849</v>
      </c>
      <c r="D2622" s="56" t="s">
        <v>2890</v>
      </c>
    </row>
    <row r="2623" spans="2:4" s="54" customFormat="1" x14ac:dyDescent="0.2">
      <c r="B2623" s="107" t="s">
        <v>2848</v>
      </c>
      <c r="C2623" s="55" t="s">
        <v>2849</v>
      </c>
      <c r="D2623" s="56" t="s">
        <v>2891</v>
      </c>
    </row>
    <row r="2624" spans="2:4" s="54" customFormat="1" x14ac:dyDescent="0.2">
      <c r="B2624" s="107" t="s">
        <v>2848</v>
      </c>
      <c r="C2624" s="55" t="s">
        <v>2849</v>
      </c>
      <c r="D2624" s="56" t="s">
        <v>2892</v>
      </c>
    </row>
    <row r="2625" spans="2:4" s="54" customFormat="1" x14ac:dyDescent="0.2">
      <c r="B2625" s="107" t="s">
        <v>2848</v>
      </c>
      <c r="C2625" s="55" t="s">
        <v>2849</v>
      </c>
      <c r="D2625" s="56" t="s">
        <v>2893</v>
      </c>
    </row>
    <row r="2626" spans="2:4" s="54" customFormat="1" x14ac:dyDescent="0.2">
      <c r="B2626" s="107" t="s">
        <v>2848</v>
      </c>
      <c r="C2626" s="55" t="s">
        <v>2849</v>
      </c>
      <c r="D2626" s="56" t="s">
        <v>2894</v>
      </c>
    </row>
    <row r="2627" spans="2:4" s="54" customFormat="1" x14ac:dyDescent="0.2">
      <c r="B2627" s="107" t="s">
        <v>2848</v>
      </c>
      <c r="C2627" s="55" t="s">
        <v>2849</v>
      </c>
      <c r="D2627" s="56" t="s">
        <v>2895</v>
      </c>
    </row>
    <row r="2628" spans="2:4" s="54" customFormat="1" x14ac:dyDescent="0.2">
      <c r="B2628" s="107" t="s">
        <v>2848</v>
      </c>
      <c r="C2628" s="55" t="s">
        <v>2849</v>
      </c>
      <c r="D2628" s="56" t="s">
        <v>2896</v>
      </c>
    </row>
    <row r="2629" spans="2:4" s="54" customFormat="1" x14ac:dyDescent="0.2">
      <c r="B2629" s="107" t="s">
        <v>2848</v>
      </c>
      <c r="C2629" s="55" t="s">
        <v>2849</v>
      </c>
      <c r="D2629" s="56" t="s">
        <v>2897</v>
      </c>
    </row>
    <row r="2630" spans="2:4" s="54" customFormat="1" x14ac:dyDescent="0.2">
      <c r="B2630" s="107" t="s">
        <v>2848</v>
      </c>
      <c r="C2630" s="55" t="s">
        <v>2849</v>
      </c>
      <c r="D2630" s="56" t="s">
        <v>2898</v>
      </c>
    </row>
    <row r="2631" spans="2:4" s="54" customFormat="1" x14ac:dyDescent="0.2">
      <c r="B2631" s="107" t="s">
        <v>2848</v>
      </c>
      <c r="C2631" s="55" t="s">
        <v>2849</v>
      </c>
      <c r="D2631" s="56" t="s">
        <v>2899</v>
      </c>
    </row>
    <row r="2632" spans="2:4" s="54" customFormat="1" x14ac:dyDescent="0.2">
      <c r="B2632" s="107" t="s">
        <v>2848</v>
      </c>
      <c r="C2632" s="55" t="s">
        <v>2849</v>
      </c>
      <c r="D2632" s="56" t="s">
        <v>2900</v>
      </c>
    </row>
    <row r="2633" spans="2:4" s="54" customFormat="1" x14ac:dyDescent="0.2">
      <c r="B2633" s="107" t="s">
        <v>2848</v>
      </c>
      <c r="C2633" s="55" t="s">
        <v>2849</v>
      </c>
      <c r="D2633" s="56" t="s">
        <v>2901</v>
      </c>
    </row>
    <row r="2634" spans="2:4" s="54" customFormat="1" x14ac:dyDescent="0.2">
      <c r="B2634" s="107" t="s">
        <v>2848</v>
      </c>
      <c r="C2634" s="55" t="s">
        <v>2849</v>
      </c>
      <c r="D2634" s="56" t="s">
        <v>2902</v>
      </c>
    </row>
    <row r="2635" spans="2:4" s="54" customFormat="1" x14ac:dyDescent="0.2">
      <c r="B2635" s="107" t="s">
        <v>2848</v>
      </c>
      <c r="C2635" s="55" t="s">
        <v>2849</v>
      </c>
      <c r="D2635" s="56" t="s">
        <v>2903</v>
      </c>
    </row>
    <row r="2636" spans="2:4" s="54" customFormat="1" x14ac:dyDescent="0.2">
      <c r="B2636" s="107" t="s">
        <v>2848</v>
      </c>
      <c r="C2636" s="55" t="s">
        <v>2849</v>
      </c>
      <c r="D2636" s="56" t="s">
        <v>2904</v>
      </c>
    </row>
    <row r="2637" spans="2:4" s="54" customFormat="1" x14ac:dyDescent="0.2">
      <c r="B2637" s="107" t="s">
        <v>2848</v>
      </c>
      <c r="C2637" s="55" t="s">
        <v>2849</v>
      </c>
      <c r="D2637" s="56" t="s">
        <v>2905</v>
      </c>
    </row>
    <row r="2638" spans="2:4" s="54" customFormat="1" x14ac:dyDescent="0.2">
      <c r="B2638" s="107" t="s">
        <v>2848</v>
      </c>
      <c r="C2638" s="55" t="s">
        <v>2849</v>
      </c>
      <c r="D2638" s="56" t="s">
        <v>2906</v>
      </c>
    </row>
    <row r="2639" spans="2:4" s="54" customFormat="1" x14ac:dyDescent="0.2">
      <c r="B2639" s="107" t="s">
        <v>2848</v>
      </c>
      <c r="C2639" s="55" t="s">
        <v>2849</v>
      </c>
      <c r="D2639" s="56" t="s">
        <v>2907</v>
      </c>
    </row>
    <row r="2640" spans="2:4" s="54" customFormat="1" x14ac:dyDescent="0.2">
      <c r="B2640" s="107" t="s">
        <v>2848</v>
      </c>
      <c r="C2640" s="55" t="s">
        <v>2849</v>
      </c>
      <c r="D2640" s="56" t="s">
        <v>2908</v>
      </c>
    </row>
    <row r="2641" spans="2:4" s="54" customFormat="1" x14ac:dyDescent="0.2">
      <c r="B2641" s="107" t="s">
        <v>2848</v>
      </c>
      <c r="C2641" s="55" t="s">
        <v>2849</v>
      </c>
      <c r="D2641" s="56" t="s">
        <v>2909</v>
      </c>
    </row>
    <row r="2642" spans="2:4" s="54" customFormat="1" x14ac:dyDescent="0.2">
      <c r="B2642" s="107" t="s">
        <v>2848</v>
      </c>
      <c r="C2642" s="55" t="s">
        <v>2849</v>
      </c>
      <c r="D2642" s="56" t="s">
        <v>2910</v>
      </c>
    </row>
    <row r="2643" spans="2:4" s="54" customFormat="1" x14ac:dyDescent="0.2">
      <c r="B2643" s="107" t="s">
        <v>2848</v>
      </c>
      <c r="C2643" s="55" t="s">
        <v>2849</v>
      </c>
      <c r="D2643" s="56" t="s">
        <v>2911</v>
      </c>
    </row>
    <row r="2644" spans="2:4" s="54" customFormat="1" x14ac:dyDescent="0.2">
      <c r="B2644" s="107" t="s">
        <v>2848</v>
      </c>
      <c r="C2644" s="55" t="s">
        <v>2849</v>
      </c>
      <c r="D2644" s="56" t="s">
        <v>2912</v>
      </c>
    </row>
    <row r="2645" spans="2:4" s="54" customFormat="1" x14ac:dyDescent="0.2">
      <c r="B2645" s="107" t="s">
        <v>2848</v>
      </c>
      <c r="C2645" s="55" t="s">
        <v>2849</v>
      </c>
      <c r="D2645" s="56" t="s">
        <v>2913</v>
      </c>
    </row>
    <row r="2646" spans="2:4" s="54" customFormat="1" x14ac:dyDescent="0.2">
      <c r="B2646" s="107" t="s">
        <v>2848</v>
      </c>
      <c r="C2646" s="55" t="s">
        <v>2849</v>
      </c>
      <c r="D2646" s="56" t="s">
        <v>2914</v>
      </c>
    </row>
    <row r="2647" spans="2:4" s="54" customFormat="1" x14ac:dyDescent="0.2">
      <c r="B2647" s="107" t="s">
        <v>2848</v>
      </c>
      <c r="C2647" s="55" t="s">
        <v>2849</v>
      </c>
      <c r="D2647" s="56" t="s">
        <v>2915</v>
      </c>
    </row>
    <row r="2648" spans="2:4" s="54" customFormat="1" x14ac:dyDescent="0.2">
      <c r="B2648" s="107" t="s">
        <v>2848</v>
      </c>
      <c r="C2648" s="55" t="s">
        <v>2849</v>
      </c>
      <c r="D2648" s="56" t="s">
        <v>2916</v>
      </c>
    </row>
    <row r="2649" spans="2:4" s="54" customFormat="1" x14ac:dyDescent="0.2">
      <c r="B2649" s="107" t="s">
        <v>2848</v>
      </c>
      <c r="C2649" s="55" t="s">
        <v>2849</v>
      </c>
      <c r="D2649" s="56" t="s">
        <v>2917</v>
      </c>
    </row>
    <row r="2650" spans="2:4" s="54" customFormat="1" x14ac:dyDescent="0.2">
      <c r="B2650" s="107" t="s">
        <v>2848</v>
      </c>
      <c r="C2650" s="55" t="s">
        <v>2849</v>
      </c>
      <c r="D2650" s="56" t="s">
        <v>2918</v>
      </c>
    </row>
    <row r="2651" spans="2:4" s="54" customFormat="1" x14ac:dyDescent="0.2">
      <c r="B2651" s="107" t="s">
        <v>2848</v>
      </c>
      <c r="C2651" s="55" t="s">
        <v>2849</v>
      </c>
      <c r="D2651" s="56" t="s">
        <v>2919</v>
      </c>
    </row>
    <row r="2652" spans="2:4" s="54" customFormat="1" x14ac:dyDescent="0.2">
      <c r="B2652" s="107" t="s">
        <v>2848</v>
      </c>
      <c r="C2652" s="55" t="s">
        <v>2849</v>
      </c>
      <c r="D2652" s="56" t="s">
        <v>2920</v>
      </c>
    </row>
    <row r="2653" spans="2:4" s="54" customFormat="1" x14ac:dyDescent="0.2">
      <c r="B2653" s="107" t="s">
        <v>2848</v>
      </c>
      <c r="C2653" s="55" t="s">
        <v>2849</v>
      </c>
      <c r="D2653" s="56" t="s">
        <v>2921</v>
      </c>
    </row>
    <row r="2654" spans="2:4" s="54" customFormat="1" x14ac:dyDescent="0.2">
      <c r="B2654" s="107" t="s">
        <v>2848</v>
      </c>
      <c r="C2654" s="55" t="s">
        <v>2849</v>
      </c>
      <c r="D2654" s="56" t="s">
        <v>2922</v>
      </c>
    </row>
    <row r="2655" spans="2:4" s="54" customFormat="1" x14ac:dyDescent="0.2">
      <c r="B2655" s="107" t="s">
        <v>2848</v>
      </c>
      <c r="C2655" s="55" t="s">
        <v>2849</v>
      </c>
      <c r="D2655" s="56" t="s">
        <v>2923</v>
      </c>
    </row>
    <row r="2656" spans="2:4" s="54" customFormat="1" x14ac:dyDescent="0.2">
      <c r="B2656" s="107" t="s">
        <v>2848</v>
      </c>
      <c r="C2656" s="55" t="s">
        <v>2849</v>
      </c>
      <c r="D2656" s="56" t="s">
        <v>2924</v>
      </c>
    </row>
    <row r="2657" spans="2:4" s="54" customFormat="1" x14ac:dyDescent="0.2">
      <c r="B2657" s="107" t="s">
        <v>2848</v>
      </c>
      <c r="C2657" s="55" t="s">
        <v>2849</v>
      </c>
      <c r="D2657" s="56" t="s">
        <v>2925</v>
      </c>
    </row>
    <row r="2658" spans="2:4" s="54" customFormat="1" x14ac:dyDescent="0.2">
      <c r="B2658" s="107" t="s">
        <v>2848</v>
      </c>
      <c r="C2658" s="55" t="s">
        <v>2849</v>
      </c>
      <c r="D2658" s="56" t="s">
        <v>2926</v>
      </c>
    </row>
    <row r="2659" spans="2:4" s="54" customFormat="1" x14ac:dyDescent="0.2">
      <c r="B2659" s="107" t="s">
        <v>2848</v>
      </c>
      <c r="C2659" s="55" t="s">
        <v>2849</v>
      </c>
      <c r="D2659" s="56" t="s">
        <v>2850</v>
      </c>
    </row>
    <row r="2660" spans="2:4" s="54" customFormat="1" x14ac:dyDescent="0.2">
      <c r="B2660" s="107" t="s">
        <v>2848</v>
      </c>
      <c r="C2660" s="55" t="s">
        <v>2849</v>
      </c>
      <c r="D2660" s="56" t="s">
        <v>2851</v>
      </c>
    </row>
    <row r="2661" spans="2:4" s="54" customFormat="1" x14ac:dyDescent="0.2">
      <c r="B2661" s="107" t="s">
        <v>2848</v>
      </c>
      <c r="C2661" s="55" t="s">
        <v>2849</v>
      </c>
      <c r="D2661" s="56" t="s">
        <v>2852</v>
      </c>
    </row>
    <row r="2662" spans="2:4" s="54" customFormat="1" x14ac:dyDescent="0.2">
      <c r="B2662" s="107" t="s">
        <v>2848</v>
      </c>
      <c r="C2662" s="55" t="s">
        <v>2849</v>
      </c>
      <c r="D2662" s="56" t="s">
        <v>2853</v>
      </c>
    </row>
    <row r="2663" spans="2:4" s="54" customFormat="1" x14ac:dyDescent="0.2">
      <c r="B2663" s="107" t="s">
        <v>2848</v>
      </c>
      <c r="C2663" s="55" t="s">
        <v>2849</v>
      </c>
      <c r="D2663" s="56" t="s">
        <v>2854</v>
      </c>
    </row>
    <row r="2664" spans="2:4" s="54" customFormat="1" x14ac:dyDescent="0.2">
      <c r="B2664" s="107" t="s">
        <v>2848</v>
      </c>
      <c r="C2664" s="55" t="s">
        <v>2849</v>
      </c>
      <c r="D2664" s="56" t="s">
        <v>2855</v>
      </c>
    </row>
    <row r="2665" spans="2:4" s="54" customFormat="1" x14ac:dyDescent="0.2">
      <c r="B2665" s="107" t="s">
        <v>2848</v>
      </c>
      <c r="C2665" s="55" t="s">
        <v>2849</v>
      </c>
      <c r="D2665" s="56" t="s">
        <v>2856</v>
      </c>
    </row>
    <row r="2666" spans="2:4" s="54" customFormat="1" x14ac:dyDescent="0.2">
      <c r="B2666" s="107" t="s">
        <v>2848</v>
      </c>
      <c r="C2666" s="55" t="s">
        <v>2849</v>
      </c>
      <c r="D2666" s="56" t="s">
        <v>2857</v>
      </c>
    </row>
    <row r="2667" spans="2:4" s="54" customFormat="1" x14ac:dyDescent="0.2">
      <c r="B2667" s="107" t="s">
        <v>2848</v>
      </c>
      <c r="C2667" s="55" t="s">
        <v>2849</v>
      </c>
      <c r="D2667" s="56" t="s">
        <v>2858</v>
      </c>
    </row>
    <row r="2668" spans="2:4" s="54" customFormat="1" x14ac:dyDescent="0.2">
      <c r="B2668" s="107" t="s">
        <v>2848</v>
      </c>
      <c r="C2668" s="55" t="s">
        <v>2849</v>
      </c>
      <c r="D2668" s="56" t="s">
        <v>2859</v>
      </c>
    </row>
    <row r="2669" spans="2:4" s="54" customFormat="1" x14ac:dyDescent="0.2">
      <c r="B2669" s="107" t="s">
        <v>2848</v>
      </c>
      <c r="C2669" s="55" t="s">
        <v>2849</v>
      </c>
      <c r="D2669" s="56" t="s">
        <v>2860</v>
      </c>
    </row>
    <row r="2670" spans="2:4" s="54" customFormat="1" x14ac:dyDescent="0.2">
      <c r="B2670" s="107" t="s">
        <v>2848</v>
      </c>
      <c r="C2670" s="55" t="s">
        <v>2849</v>
      </c>
      <c r="D2670" s="56" t="s">
        <v>2861</v>
      </c>
    </row>
    <row r="2671" spans="2:4" s="54" customFormat="1" x14ac:dyDescent="0.2">
      <c r="B2671" s="107" t="s">
        <v>2848</v>
      </c>
      <c r="C2671" s="55" t="s">
        <v>2849</v>
      </c>
      <c r="D2671" s="56" t="s">
        <v>2862</v>
      </c>
    </row>
    <row r="2672" spans="2:4" s="54" customFormat="1" x14ac:dyDescent="0.2">
      <c r="B2672" s="107" t="s">
        <v>2848</v>
      </c>
      <c r="C2672" s="55" t="s">
        <v>2849</v>
      </c>
      <c r="D2672" s="56" t="s">
        <v>2863</v>
      </c>
    </row>
    <row r="2673" spans="2:4" s="54" customFormat="1" x14ac:dyDescent="0.2">
      <c r="B2673" s="107" t="s">
        <v>2848</v>
      </c>
      <c r="C2673" s="55" t="s">
        <v>2849</v>
      </c>
      <c r="D2673" s="56" t="s">
        <v>2864</v>
      </c>
    </row>
    <row r="2674" spans="2:4" s="54" customFormat="1" x14ac:dyDescent="0.2">
      <c r="B2674" s="107" t="s">
        <v>2848</v>
      </c>
      <c r="C2674" s="55" t="s">
        <v>2849</v>
      </c>
      <c r="D2674" s="56" t="s">
        <v>2865</v>
      </c>
    </row>
    <row r="2675" spans="2:4" s="54" customFormat="1" x14ac:dyDescent="0.2">
      <c r="B2675" s="107" t="s">
        <v>2848</v>
      </c>
      <c r="C2675" s="55" t="s">
        <v>2849</v>
      </c>
      <c r="D2675" s="56" t="s">
        <v>2866</v>
      </c>
    </row>
    <row r="2676" spans="2:4" s="54" customFormat="1" x14ac:dyDescent="0.2">
      <c r="B2676" s="107" t="s">
        <v>2848</v>
      </c>
      <c r="C2676" s="55" t="s">
        <v>2849</v>
      </c>
      <c r="D2676" s="56" t="s">
        <v>2867</v>
      </c>
    </row>
    <row r="2677" spans="2:4" s="54" customFormat="1" x14ac:dyDescent="0.2">
      <c r="B2677" s="107" t="s">
        <v>2848</v>
      </c>
      <c r="C2677" s="55" t="s">
        <v>2849</v>
      </c>
      <c r="D2677" s="56" t="s">
        <v>2868</v>
      </c>
    </row>
    <row r="2678" spans="2:4" s="54" customFormat="1" x14ac:dyDescent="0.2">
      <c r="B2678" s="107" t="s">
        <v>2848</v>
      </c>
      <c r="C2678" s="55" t="s">
        <v>2849</v>
      </c>
      <c r="D2678" s="56" t="s">
        <v>2869</v>
      </c>
    </row>
    <row r="2679" spans="2:4" s="54" customFormat="1" x14ac:dyDescent="0.2">
      <c r="B2679" s="107" t="s">
        <v>2848</v>
      </c>
      <c r="C2679" s="55" t="s">
        <v>2849</v>
      </c>
      <c r="D2679" s="56" t="s">
        <v>2870</v>
      </c>
    </row>
    <row r="2680" spans="2:4" s="54" customFormat="1" x14ac:dyDescent="0.2">
      <c r="B2680" s="107" t="s">
        <v>2848</v>
      </c>
      <c r="C2680" s="55" t="s">
        <v>2849</v>
      </c>
      <c r="D2680" s="56" t="s">
        <v>2871</v>
      </c>
    </row>
    <row r="2681" spans="2:4" s="54" customFormat="1" x14ac:dyDescent="0.2">
      <c r="B2681" s="107" t="s">
        <v>2848</v>
      </c>
      <c r="C2681" s="55" t="s">
        <v>2849</v>
      </c>
      <c r="D2681" s="56" t="s">
        <v>2872</v>
      </c>
    </row>
    <row r="2682" spans="2:4" s="54" customFormat="1" x14ac:dyDescent="0.2">
      <c r="B2682" s="107" t="s">
        <v>2848</v>
      </c>
      <c r="C2682" s="55" t="s">
        <v>2849</v>
      </c>
      <c r="D2682" s="56" t="s">
        <v>2873</v>
      </c>
    </row>
    <row r="2683" spans="2:4" s="54" customFormat="1" x14ac:dyDescent="0.2">
      <c r="B2683" s="107" t="s">
        <v>2848</v>
      </c>
      <c r="C2683" s="55" t="s">
        <v>2849</v>
      </c>
      <c r="D2683" s="56" t="s">
        <v>2874</v>
      </c>
    </row>
    <row r="2684" spans="2:4" s="54" customFormat="1" x14ac:dyDescent="0.2">
      <c r="B2684" s="107" t="s">
        <v>2848</v>
      </c>
      <c r="C2684" s="55" t="s">
        <v>2849</v>
      </c>
      <c r="D2684" s="56" t="s">
        <v>2875</v>
      </c>
    </row>
    <row r="2685" spans="2:4" s="54" customFormat="1" x14ac:dyDescent="0.2">
      <c r="B2685" s="107" t="s">
        <v>2848</v>
      </c>
      <c r="C2685" s="55" t="s">
        <v>2849</v>
      </c>
      <c r="D2685" s="56" t="s">
        <v>2876</v>
      </c>
    </row>
    <row r="2686" spans="2:4" s="54" customFormat="1" x14ac:dyDescent="0.2">
      <c r="B2686" s="107" t="s">
        <v>2848</v>
      </c>
      <c r="C2686" s="55" t="s">
        <v>2849</v>
      </c>
      <c r="D2686" s="56" t="s">
        <v>2877</v>
      </c>
    </row>
    <row r="2687" spans="2:4" s="54" customFormat="1" x14ac:dyDescent="0.2">
      <c r="B2687" s="107" t="s">
        <v>2848</v>
      </c>
      <c r="C2687" s="55" t="s">
        <v>2849</v>
      </c>
      <c r="D2687" s="56" t="s">
        <v>2878</v>
      </c>
    </row>
    <row r="2688" spans="2:4" s="54" customFormat="1" x14ac:dyDescent="0.2">
      <c r="B2688" s="107" t="s">
        <v>2848</v>
      </c>
      <c r="C2688" s="55" t="s">
        <v>2849</v>
      </c>
      <c r="D2688" s="56" t="s">
        <v>2879</v>
      </c>
    </row>
    <row r="2689" spans="2:4" s="54" customFormat="1" x14ac:dyDescent="0.2">
      <c r="B2689" s="107" t="s">
        <v>2848</v>
      </c>
      <c r="C2689" s="55" t="s">
        <v>2849</v>
      </c>
      <c r="D2689" s="56" t="s">
        <v>2880</v>
      </c>
    </row>
    <row r="2690" spans="2:4" s="54" customFormat="1" x14ac:dyDescent="0.2">
      <c r="B2690" s="107" t="s">
        <v>2848</v>
      </c>
      <c r="C2690" s="55" t="s">
        <v>2849</v>
      </c>
      <c r="D2690" s="56" t="s">
        <v>2881</v>
      </c>
    </row>
    <row r="2691" spans="2:4" s="54" customFormat="1" x14ac:dyDescent="0.2">
      <c r="B2691" s="107" t="s">
        <v>2848</v>
      </c>
      <c r="C2691" s="55" t="s">
        <v>2849</v>
      </c>
      <c r="D2691" s="56" t="s">
        <v>2882</v>
      </c>
    </row>
    <row r="2692" spans="2:4" s="54" customFormat="1" x14ac:dyDescent="0.2">
      <c r="B2692" s="107" t="s">
        <v>2848</v>
      </c>
      <c r="C2692" s="55" t="s">
        <v>2849</v>
      </c>
      <c r="D2692" s="56" t="s">
        <v>2883</v>
      </c>
    </row>
    <row r="2693" spans="2:4" s="54" customFormat="1" x14ac:dyDescent="0.2">
      <c r="B2693" s="107" t="s">
        <v>2848</v>
      </c>
      <c r="C2693" s="55" t="s">
        <v>2849</v>
      </c>
      <c r="D2693" s="56" t="s">
        <v>2884</v>
      </c>
    </row>
    <row r="2694" spans="2:4" s="54" customFormat="1" x14ac:dyDescent="0.2">
      <c r="B2694" s="107" t="s">
        <v>2848</v>
      </c>
      <c r="C2694" s="55" t="s">
        <v>2849</v>
      </c>
      <c r="D2694" s="56" t="s">
        <v>2885</v>
      </c>
    </row>
    <row r="2695" spans="2:4" s="54" customFormat="1" x14ac:dyDescent="0.2">
      <c r="B2695" s="107" t="s">
        <v>2848</v>
      </c>
      <c r="C2695" s="55" t="s">
        <v>2849</v>
      </c>
      <c r="D2695" s="56" t="s">
        <v>2886</v>
      </c>
    </row>
    <row r="2696" spans="2:4" s="54" customFormat="1" x14ac:dyDescent="0.2">
      <c r="B2696" s="107" t="s">
        <v>2848</v>
      </c>
      <c r="C2696" s="55" t="s">
        <v>2849</v>
      </c>
      <c r="D2696" s="56" t="s">
        <v>2887</v>
      </c>
    </row>
    <row r="2697" spans="2:4" s="54" customFormat="1" x14ac:dyDescent="0.2">
      <c r="B2697" s="107" t="s">
        <v>2848</v>
      </c>
      <c r="C2697" s="55" t="s">
        <v>2849</v>
      </c>
      <c r="D2697" s="56" t="s">
        <v>2888</v>
      </c>
    </row>
    <row r="2698" spans="2:4" s="54" customFormat="1" x14ac:dyDescent="0.2">
      <c r="B2698" s="107" t="s">
        <v>2848</v>
      </c>
      <c r="C2698" s="55" t="s">
        <v>2849</v>
      </c>
      <c r="D2698" s="56" t="s">
        <v>2889</v>
      </c>
    </row>
    <row r="2699" spans="2:4" s="54" customFormat="1" x14ac:dyDescent="0.2">
      <c r="B2699" s="107" t="s">
        <v>2848</v>
      </c>
      <c r="C2699" s="55" t="s">
        <v>2849</v>
      </c>
      <c r="D2699" s="56" t="s">
        <v>2890</v>
      </c>
    </row>
    <row r="2700" spans="2:4" s="54" customFormat="1" x14ac:dyDescent="0.2">
      <c r="B2700" s="107" t="s">
        <v>2848</v>
      </c>
      <c r="C2700" s="55" t="s">
        <v>2849</v>
      </c>
      <c r="D2700" s="56" t="s">
        <v>2891</v>
      </c>
    </row>
    <row r="2701" spans="2:4" s="54" customFormat="1" x14ac:dyDescent="0.2">
      <c r="B2701" s="107" t="s">
        <v>2848</v>
      </c>
      <c r="C2701" s="55" t="s">
        <v>2849</v>
      </c>
      <c r="D2701" s="56" t="s">
        <v>2892</v>
      </c>
    </row>
    <row r="2702" spans="2:4" s="54" customFormat="1" x14ac:dyDescent="0.2">
      <c r="B2702" s="107" t="s">
        <v>2848</v>
      </c>
      <c r="C2702" s="55" t="s">
        <v>2849</v>
      </c>
      <c r="D2702" s="56" t="s">
        <v>2893</v>
      </c>
    </row>
    <row r="2703" spans="2:4" s="54" customFormat="1" x14ac:dyDescent="0.2">
      <c r="B2703" s="107" t="s">
        <v>2848</v>
      </c>
      <c r="C2703" s="55" t="s">
        <v>2849</v>
      </c>
      <c r="D2703" s="56" t="s">
        <v>2894</v>
      </c>
    </row>
    <row r="2704" spans="2:4" s="54" customFormat="1" x14ac:dyDescent="0.2">
      <c r="B2704" s="107" t="s">
        <v>2848</v>
      </c>
      <c r="C2704" s="55" t="s">
        <v>2849</v>
      </c>
      <c r="D2704" s="56" t="s">
        <v>2895</v>
      </c>
    </row>
    <row r="2705" spans="2:4" s="54" customFormat="1" x14ac:dyDescent="0.2">
      <c r="B2705" s="107" t="s">
        <v>2848</v>
      </c>
      <c r="C2705" s="55" t="s">
        <v>2849</v>
      </c>
      <c r="D2705" s="56" t="s">
        <v>2896</v>
      </c>
    </row>
    <row r="2706" spans="2:4" s="54" customFormat="1" x14ac:dyDescent="0.2">
      <c r="B2706" s="107" t="s">
        <v>2848</v>
      </c>
      <c r="C2706" s="55" t="s">
        <v>2849</v>
      </c>
      <c r="D2706" s="56" t="s">
        <v>2897</v>
      </c>
    </row>
    <row r="2707" spans="2:4" s="54" customFormat="1" x14ac:dyDescent="0.2">
      <c r="B2707" s="107" t="s">
        <v>2848</v>
      </c>
      <c r="C2707" s="55" t="s">
        <v>2849</v>
      </c>
      <c r="D2707" s="56" t="s">
        <v>2898</v>
      </c>
    </row>
    <row r="2708" spans="2:4" s="54" customFormat="1" x14ac:dyDescent="0.2">
      <c r="B2708" s="107" t="s">
        <v>2848</v>
      </c>
      <c r="C2708" s="55" t="s">
        <v>2849</v>
      </c>
      <c r="D2708" s="56" t="s">
        <v>2899</v>
      </c>
    </row>
    <row r="2709" spans="2:4" s="54" customFormat="1" x14ac:dyDescent="0.2">
      <c r="B2709" s="107" t="s">
        <v>2848</v>
      </c>
      <c r="C2709" s="55" t="s">
        <v>2849</v>
      </c>
      <c r="D2709" s="56" t="s">
        <v>2900</v>
      </c>
    </row>
    <row r="2710" spans="2:4" s="54" customFormat="1" x14ac:dyDescent="0.2">
      <c r="B2710" s="107" t="s">
        <v>2848</v>
      </c>
      <c r="C2710" s="55" t="s">
        <v>2849</v>
      </c>
      <c r="D2710" s="56" t="s">
        <v>2901</v>
      </c>
    </row>
    <row r="2711" spans="2:4" s="54" customFormat="1" x14ac:dyDescent="0.2">
      <c r="B2711" s="107" t="s">
        <v>2848</v>
      </c>
      <c r="C2711" s="55" t="s">
        <v>2849</v>
      </c>
      <c r="D2711" s="56" t="s">
        <v>2902</v>
      </c>
    </row>
    <row r="2712" spans="2:4" s="54" customFormat="1" x14ac:dyDescent="0.2">
      <c r="B2712" s="107" t="s">
        <v>2848</v>
      </c>
      <c r="C2712" s="55" t="s">
        <v>2849</v>
      </c>
      <c r="D2712" s="56" t="s">
        <v>2903</v>
      </c>
    </row>
    <row r="2713" spans="2:4" s="54" customFormat="1" x14ac:dyDescent="0.2">
      <c r="B2713" s="107" t="s">
        <v>2848</v>
      </c>
      <c r="C2713" s="55" t="s">
        <v>2849</v>
      </c>
      <c r="D2713" s="56" t="s">
        <v>2904</v>
      </c>
    </row>
    <row r="2714" spans="2:4" s="54" customFormat="1" x14ac:dyDescent="0.2">
      <c r="B2714" s="107" t="s">
        <v>2848</v>
      </c>
      <c r="C2714" s="55" t="s">
        <v>2849</v>
      </c>
      <c r="D2714" s="56" t="s">
        <v>2905</v>
      </c>
    </row>
    <row r="2715" spans="2:4" s="54" customFormat="1" x14ac:dyDescent="0.2">
      <c r="B2715" s="107" t="s">
        <v>2848</v>
      </c>
      <c r="C2715" s="55" t="s">
        <v>2849</v>
      </c>
      <c r="D2715" s="56" t="s">
        <v>2906</v>
      </c>
    </row>
    <row r="2716" spans="2:4" s="54" customFormat="1" x14ac:dyDescent="0.2">
      <c r="B2716" s="107" t="s">
        <v>2848</v>
      </c>
      <c r="C2716" s="55" t="s">
        <v>2849</v>
      </c>
      <c r="D2716" s="56" t="s">
        <v>2907</v>
      </c>
    </row>
    <row r="2717" spans="2:4" s="54" customFormat="1" x14ac:dyDescent="0.2">
      <c r="B2717" s="107" t="s">
        <v>2848</v>
      </c>
      <c r="C2717" s="55" t="s">
        <v>2849</v>
      </c>
      <c r="D2717" s="56" t="s">
        <v>2908</v>
      </c>
    </row>
    <row r="2718" spans="2:4" s="54" customFormat="1" x14ac:dyDescent="0.2">
      <c r="B2718" s="107" t="s">
        <v>2848</v>
      </c>
      <c r="C2718" s="55" t="s">
        <v>2849</v>
      </c>
      <c r="D2718" s="56" t="s">
        <v>2909</v>
      </c>
    </row>
    <row r="2719" spans="2:4" s="54" customFormat="1" x14ac:dyDescent="0.2">
      <c r="B2719" s="107" t="s">
        <v>2848</v>
      </c>
      <c r="C2719" s="55" t="s">
        <v>2849</v>
      </c>
      <c r="D2719" s="56" t="s">
        <v>2910</v>
      </c>
    </row>
    <row r="2720" spans="2:4" s="54" customFormat="1" x14ac:dyDescent="0.2">
      <c r="B2720" s="107" t="s">
        <v>2848</v>
      </c>
      <c r="C2720" s="55" t="s">
        <v>2849</v>
      </c>
      <c r="D2720" s="56" t="s">
        <v>2911</v>
      </c>
    </row>
    <row r="2721" spans="2:4" s="54" customFormat="1" x14ac:dyDescent="0.2">
      <c r="B2721" s="107" t="s">
        <v>2848</v>
      </c>
      <c r="C2721" s="55" t="s">
        <v>2849</v>
      </c>
      <c r="D2721" s="56" t="s">
        <v>2912</v>
      </c>
    </row>
    <row r="2722" spans="2:4" s="54" customFormat="1" x14ac:dyDescent="0.2">
      <c r="B2722" s="107" t="s">
        <v>2848</v>
      </c>
      <c r="C2722" s="55" t="s">
        <v>2849</v>
      </c>
      <c r="D2722" s="56" t="s">
        <v>2913</v>
      </c>
    </row>
    <row r="2723" spans="2:4" s="54" customFormat="1" x14ac:dyDescent="0.2">
      <c r="B2723" s="107" t="s">
        <v>2848</v>
      </c>
      <c r="C2723" s="55" t="s">
        <v>2849</v>
      </c>
      <c r="D2723" s="56" t="s">
        <v>2914</v>
      </c>
    </row>
    <row r="2724" spans="2:4" s="54" customFormat="1" x14ac:dyDescent="0.2">
      <c r="B2724" s="107" t="s">
        <v>2848</v>
      </c>
      <c r="C2724" s="55" t="s">
        <v>2849</v>
      </c>
      <c r="D2724" s="56" t="s">
        <v>2915</v>
      </c>
    </row>
    <row r="2725" spans="2:4" s="54" customFormat="1" x14ac:dyDescent="0.2">
      <c r="B2725" s="107" t="s">
        <v>2848</v>
      </c>
      <c r="C2725" s="55" t="s">
        <v>2849</v>
      </c>
      <c r="D2725" s="56" t="s">
        <v>2916</v>
      </c>
    </row>
    <row r="2726" spans="2:4" s="54" customFormat="1" x14ac:dyDescent="0.2">
      <c r="B2726" s="107" t="s">
        <v>2848</v>
      </c>
      <c r="C2726" s="55" t="s">
        <v>2849</v>
      </c>
      <c r="D2726" s="56" t="s">
        <v>2917</v>
      </c>
    </row>
    <row r="2727" spans="2:4" s="54" customFormat="1" x14ac:dyDescent="0.2">
      <c r="B2727" s="107" t="s">
        <v>2848</v>
      </c>
      <c r="C2727" s="55" t="s">
        <v>2849</v>
      </c>
      <c r="D2727" s="56" t="s">
        <v>2918</v>
      </c>
    </row>
    <row r="2728" spans="2:4" s="54" customFormat="1" x14ac:dyDescent="0.2">
      <c r="B2728" s="107" t="s">
        <v>2848</v>
      </c>
      <c r="C2728" s="55" t="s">
        <v>2849</v>
      </c>
      <c r="D2728" s="56" t="s">
        <v>2919</v>
      </c>
    </row>
    <row r="2729" spans="2:4" s="54" customFormat="1" x14ac:dyDescent="0.2">
      <c r="B2729" s="107" t="s">
        <v>2848</v>
      </c>
      <c r="C2729" s="55" t="s">
        <v>2849</v>
      </c>
      <c r="D2729" s="56" t="s">
        <v>2920</v>
      </c>
    </row>
    <row r="2730" spans="2:4" s="54" customFormat="1" x14ac:dyDescent="0.2">
      <c r="B2730" s="107" t="s">
        <v>2848</v>
      </c>
      <c r="C2730" s="55" t="s">
        <v>2849</v>
      </c>
      <c r="D2730" s="56" t="s">
        <v>2921</v>
      </c>
    </row>
    <row r="2731" spans="2:4" s="54" customFormat="1" x14ac:dyDescent="0.2">
      <c r="B2731" s="107" t="s">
        <v>2848</v>
      </c>
      <c r="C2731" s="55" t="s">
        <v>2849</v>
      </c>
      <c r="D2731" s="56" t="s">
        <v>2922</v>
      </c>
    </row>
    <row r="2732" spans="2:4" s="54" customFormat="1" x14ac:dyDescent="0.2">
      <c r="B2732" s="107" t="s">
        <v>2848</v>
      </c>
      <c r="C2732" s="55" t="s">
        <v>2849</v>
      </c>
      <c r="D2732" s="56" t="s">
        <v>2923</v>
      </c>
    </row>
    <row r="2733" spans="2:4" s="54" customFormat="1" x14ac:dyDescent="0.2">
      <c r="B2733" s="107" t="s">
        <v>2848</v>
      </c>
      <c r="C2733" s="55" t="s">
        <v>2849</v>
      </c>
      <c r="D2733" s="56" t="s">
        <v>2924</v>
      </c>
    </row>
    <row r="2734" spans="2:4" s="54" customFormat="1" x14ac:dyDescent="0.2">
      <c r="B2734" s="107" t="s">
        <v>2848</v>
      </c>
      <c r="C2734" s="55" t="s">
        <v>2849</v>
      </c>
      <c r="D2734" s="56" t="s">
        <v>2925</v>
      </c>
    </row>
    <row r="2735" spans="2:4" s="54" customFormat="1" x14ac:dyDescent="0.2">
      <c r="B2735" s="107" t="s">
        <v>2848</v>
      </c>
      <c r="C2735" s="55" t="s">
        <v>2849</v>
      </c>
      <c r="D2735" s="56" t="s">
        <v>2926</v>
      </c>
    </row>
    <row r="2736" spans="2:4" s="54" customFormat="1" x14ac:dyDescent="0.2">
      <c r="B2736" s="107" t="s">
        <v>2927</v>
      </c>
      <c r="C2736" s="55" t="s">
        <v>2928</v>
      </c>
      <c r="D2736" s="56" t="s">
        <v>2929</v>
      </c>
    </row>
    <row r="2737" spans="2:4" s="54" customFormat="1" x14ac:dyDescent="0.2">
      <c r="B2737" s="107" t="s">
        <v>2927</v>
      </c>
      <c r="C2737" s="55" t="s">
        <v>2928</v>
      </c>
      <c r="D2737" s="56" t="s">
        <v>2930</v>
      </c>
    </row>
    <row r="2738" spans="2:4" s="54" customFormat="1" x14ac:dyDescent="0.2">
      <c r="B2738" s="107" t="s">
        <v>2927</v>
      </c>
      <c r="C2738" s="55" t="s">
        <v>2928</v>
      </c>
      <c r="D2738" s="56" t="s">
        <v>2931</v>
      </c>
    </row>
    <row r="2739" spans="2:4" s="54" customFormat="1" x14ac:dyDescent="0.2">
      <c r="B2739" s="107" t="s">
        <v>2927</v>
      </c>
      <c r="C2739" s="55" t="s">
        <v>2928</v>
      </c>
      <c r="D2739" s="56" t="s">
        <v>2932</v>
      </c>
    </row>
    <row r="2740" spans="2:4" s="54" customFormat="1" x14ac:dyDescent="0.2">
      <c r="B2740" s="107" t="s">
        <v>2933</v>
      </c>
      <c r="C2740" s="55" t="s">
        <v>2934</v>
      </c>
      <c r="D2740" s="56" t="s">
        <v>2935</v>
      </c>
    </row>
    <row r="2741" spans="2:4" s="54" customFormat="1" x14ac:dyDescent="0.2">
      <c r="B2741" s="107" t="s">
        <v>2933</v>
      </c>
      <c r="C2741" s="55" t="s">
        <v>2934</v>
      </c>
      <c r="D2741" s="56" t="s">
        <v>2936</v>
      </c>
    </row>
    <row r="2742" spans="2:4" s="54" customFormat="1" x14ac:dyDescent="0.2">
      <c r="B2742" s="107" t="s">
        <v>2933</v>
      </c>
      <c r="C2742" s="55" t="s">
        <v>2934</v>
      </c>
      <c r="D2742" s="56" t="s">
        <v>2937</v>
      </c>
    </row>
    <row r="2743" spans="2:4" s="54" customFormat="1" x14ac:dyDescent="0.2">
      <c r="B2743" s="107" t="s">
        <v>2933</v>
      </c>
      <c r="C2743" s="55" t="s">
        <v>2934</v>
      </c>
      <c r="D2743" s="56" t="s">
        <v>2938</v>
      </c>
    </row>
    <row r="2744" spans="2:4" s="54" customFormat="1" x14ac:dyDescent="0.2">
      <c r="B2744" s="107" t="s">
        <v>2933</v>
      </c>
      <c r="C2744" s="55" t="s">
        <v>2934</v>
      </c>
      <c r="D2744" s="56" t="s">
        <v>2939</v>
      </c>
    </row>
    <row r="2745" spans="2:4" s="54" customFormat="1" x14ac:dyDescent="0.2">
      <c r="B2745" s="107" t="s">
        <v>2933</v>
      </c>
      <c r="C2745" s="55" t="s">
        <v>2934</v>
      </c>
      <c r="D2745" s="56" t="s">
        <v>2940</v>
      </c>
    </row>
    <row r="2746" spans="2:4" s="54" customFormat="1" x14ac:dyDescent="0.2">
      <c r="B2746" s="107" t="s">
        <v>2933</v>
      </c>
      <c r="C2746" s="55" t="s">
        <v>2934</v>
      </c>
      <c r="D2746" s="56" t="s">
        <v>2941</v>
      </c>
    </row>
    <row r="2747" spans="2:4" s="54" customFormat="1" x14ac:dyDescent="0.2">
      <c r="B2747" s="107" t="s">
        <v>2933</v>
      </c>
      <c r="C2747" s="55" t="s">
        <v>2934</v>
      </c>
      <c r="D2747" s="56" t="s">
        <v>2942</v>
      </c>
    </row>
    <row r="2748" spans="2:4" s="54" customFormat="1" x14ac:dyDescent="0.2">
      <c r="B2748" s="107" t="s">
        <v>2933</v>
      </c>
      <c r="C2748" s="55" t="s">
        <v>2934</v>
      </c>
      <c r="D2748" s="56" t="s">
        <v>2943</v>
      </c>
    </row>
    <row r="2749" spans="2:4" s="54" customFormat="1" x14ac:dyDescent="0.2">
      <c r="B2749" s="107" t="s">
        <v>2933</v>
      </c>
      <c r="C2749" s="55" t="s">
        <v>2934</v>
      </c>
      <c r="D2749" s="56" t="s">
        <v>2944</v>
      </c>
    </row>
    <row r="2750" spans="2:4" s="54" customFormat="1" x14ac:dyDescent="0.2">
      <c r="B2750" s="107" t="s">
        <v>2933</v>
      </c>
      <c r="C2750" s="55" t="s">
        <v>2934</v>
      </c>
      <c r="D2750" s="56" t="s">
        <v>2945</v>
      </c>
    </row>
    <row r="2751" spans="2:4" s="54" customFormat="1" x14ac:dyDescent="0.2">
      <c r="B2751" s="107" t="s">
        <v>2933</v>
      </c>
      <c r="C2751" s="55" t="s">
        <v>2934</v>
      </c>
      <c r="D2751" s="56" t="s">
        <v>2946</v>
      </c>
    </row>
    <row r="2752" spans="2:4" s="54" customFormat="1" x14ac:dyDescent="0.2">
      <c r="B2752" s="107" t="s">
        <v>2933</v>
      </c>
      <c r="C2752" s="55" t="s">
        <v>2934</v>
      </c>
      <c r="D2752" s="56" t="s">
        <v>2947</v>
      </c>
    </row>
    <row r="2753" spans="2:4" s="54" customFormat="1" x14ac:dyDescent="0.2">
      <c r="B2753" s="107" t="s">
        <v>2948</v>
      </c>
      <c r="C2753" s="55" t="s">
        <v>2949</v>
      </c>
      <c r="D2753" s="56" t="s">
        <v>2950</v>
      </c>
    </row>
    <row r="2754" spans="2:4" s="54" customFormat="1" x14ac:dyDescent="0.2">
      <c r="B2754" s="107" t="s">
        <v>2948</v>
      </c>
      <c r="C2754" s="55" t="s">
        <v>2949</v>
      </c>
      <c r="D2754" s="56" t="s">
        <v>2951</v>
      </c>
    </row>
    <row r="2755" spans="2:4" s="54" customFormat="1" x14ac:dyDescent="0.2">
      <c r="B2755" s="107" t="s">
        <v>2948</v>
      </c>
      <c r="C2755" s="55" t="s">
        <v>2949</v>
      </c>
      <c r="D2755" s="56" t="s">
        <v>2952</v>
      </c>
    </row>
    <row r="2756" spans="2:4" s="54" customFormat="1" x14ac:dyDescent="0.2">
      <c r="B2756" s="107" t="s">
        <v>2948</v>
      </c>
      <c r="C2756" s="55" t="s">
        <v>2949</v>
      </c>
      <c r="D2756" s="56" t="s">
        <v>2953</v>
      </c>
    </row>
    <row r="2757" spans="2:4" s="54" customFormat="1" x14ac:dyDescent="0.2">
      <c r="B2757" s="107" t="s">
        <v>2948</v>
      </c>
      <c r="C2757" s="55" t="s">
        <v>2949</v>
      </c>
      <c r="D2757" s="56" t="s">
        <v>696</v>
      </c>
    </row>
    <row r="2758" spans="2:4" s="54" customFormat="1" x14ac:dyDescent="0.2">
      <c r="B2758" s="107" t="s">
        <v>2948</v>
      </c>
      <c r="C2758" s="55" t="s">
        <v>2949</v>
      </c>
      <c r="D2758" s="56" t="s">
        <v>2954</v>
      </c>
    </row>
    <row r="2759" spans="2:4" s="54" customFormat="1" x14ac:dyDescent="0.2">
      <c r="B2759" s="107" t="s">
        <v>2948</v>
      </c>
      <c r="C2759" s="55" t="s">
        <v>2949</v>
      </c>
      <c r="D2759" s="56" t="s">
        <v>2950</v>
      </c>
    </row>
    <row r="2760" spans="2:4" s="54" customFormat="1" x14ac:dyDescent="0.2">
      <c r="B2760" s="107" t="s">
        <v>2948</v>
      </c>
      <c r="C2760" s="55" t="s">
        <v>2949</v>
      </c>
      <c r="D2760" s="56" t="s">
        <v>2951</v>
      </c>
    </row>
    <row r="2761" spans="2:4" s="54" customFormat="1" x14ac:dyDescent="0.2">
      <c r="B2761" s="107" t="s">
        <v>2948</v>
      </c>
      <c r="C2761" s="55" t="s">
        <v>2949</v>
      </c>
      <c r="D2761" s="56" t="s">
        <v>2952</v>
      </c>
    </row>
    <row r="2762" spans="2:4" s="54" customFormat="1" x14ac:dyDescent="0.2">
      <c r="B2762" s="107" t="s">
        <v>2948</v>
      </c>
      <c r="C2762" s="55" t="s">
        <v>2949</v>
      </c>
      <c r="D2762" s="56" t="s">
        <v>2953</v>
      </c>
    </row>
    <row r="2763" spans="2:4" s="54" customFormat="1" x14ac:dyDescent="0.2">
      <c r="B2763" s="107" t="s">
        <v>2948</v>
      </c>
      <c r="C2763" s="55" t="s">
        <v>2949</v>
      </c>
      <c r="D2763" s="56" t="s">
        <v>696</v>
      </c>
    </row>
    <row r="2764" spans="2:4" s="54" customFormat="1" x14ac:dyDescent="0.2">
      <c r="B2764" s="107" t="s">
        <v>2948</v>
      </c>
      <c r="C2764" s="55" t="s">
        <v>2949</v>
      </c>
      <c r="D2764" s="56" t="s">
        <v>2954</v>
      </c>
    </row>
    <row r="2765" spans="2:4" s="54" customFormat="1" x14ac:dyDescent="0.2">
      <c r="B2765" s="107" t="s">
        <v>2955</v>
      </c>
      <c r="C2765" s="55" t="s">
        <v>2956</v>
      </c>
      <c r="D2765" s="56" t="s">
        <v>2957</v>
      </c>
    </row>
    <row r="2766" spans="2:4" s="54" customFormat="1" x14ac:dyDescent="0.2">
      <c r="B2766" s="107" t="s">
        <v>2955</v>
      </c>
      <c r="C2766" s="55" t="s">
        <v>2956</v>
      </c>
      <c r="D2766" s="56" t="s">
        <v>2958</v>
      </c>
    </row>
    <row r="2767" spans="2:4" s="54" customFormat="1" x14ac:dyDescent="0.2">
      <c r="B2767" s="107" t="s">
        <v>2955</v>
      </c>
      <c r="C2767" s="55" t="s">
        <v>2956</v>
      </c>
      <c r="D2767" s="56" t="s">
        <v>2959</v>
      </c>
    </row>
    <row r="2768" spans="2:4" s="54" customFormat="1" x14ac:dyDescent="0.2">
      <c r="B2768" s="107" t="s">
        <v>2955</v>
      </c>
      <c r="C2768" s="55" t="s">
        <v>2956</v>
      </c>
      <c r="D2768" s="56" t="s">
        <v>2960</v>
      </c>
    </row>
    <row r="2769" spans="2:4" s="54" customFormat="1" x14ac:dyDescent="0.2">
      <c r="B2769" s="107" t="s">
        <v>2955</v>
      </c>
      <c r="C2769" s="55" t="s">
        <v>2956</v>
      </c>
      <c r="D2769" s="56" t="s">
        <v>2961</v>
      </c>
    </row>
    <row r="2770" spans="2:4" s="54" customFormat="1" x14ac:dyDescent="0.2">
      <c r="B2770" s="107" t="s">
        <v>2962</v>
      </c>
      <c r="C2770" s="55" t="s">
        <v>2963</v>
      </c>
      <c r="D2770" s="56" t="s">
        <v>2964</v>
      </c>
    </row>
    <row r="2771" spans="2:4" s="54" customFormat="1" x14ac:dyDescent="0.2">
      <c r="B2771" s="107" t="s">
        <v>2962</v>
      </c>
      <c r="C2771" s="55" t="s">
        <v>2963</v>
      </c>
      <c r="D2771" s="56" t="s">
        <v>2965</v>
      </c>
    </row>
    <row r="2772" spans="2:4" s="54" customFormat="1" x14ac:dyDescent="0.2">
      <c r="B2772" s="107" t="s">
        <v>2962</v>
      </c>
      <c r="C2772" s="55" t="s">
        <v>2963</v>
      </c>
      <c r="D2772" s="56" t="s">
        <v>2966</v>
      </c>
    </row>
    <row r="2773" spans="2:4" s="54" customFormat="1" x14ac:dyDescent="0.2">
      <c r="B2773" s="107" t="s">
        <v>2962</v>
      </c>
      <c r="C2773" s="55" t="s">
        <v>2963</v>
      </c>
      <c r="D2773" s="56" t="s">
        <v>2967</v>
      </c>
    </row>
    <row r="2774" spans="2:4" s="54" customFormat="1" x14ac:dyDescent="0.2">
      <c r="B2774" s="107" t="s">
        <v>2962</v>
      </c>
      <c r="C2774" s="55" t="s">
        <v>2963</v>
      </c>
      <c r="D2774" s="56" t="s">
        <v>2968</v>
      </c>
    </row>
    <row r="2775" spans="2:4" s="54" customFormat="1" x14ac:dyDescent="0.2">
      <c r="B2775" s="107" t="s">
        <v>2962</v>
      </c>
      <c r="C2775" s="55" t="s">
        <v>2963</v>
      </c>
      <c r="D2775" s="56" t="s">
        <v>2969</v>
      </c>
    </row>
    <row r="2776" spans="2:4" s="54" customFormat="1" x14ac:dyDescent="0.2">
      <c r="B2776" s="107" t="s">
        <v>2962</v>
      </c>
      <c r="C2776" s="55" t="s">
        <v>2963</v>
      </c>
      <c r="D2776" s="56" t="s">
        <v>2970</v>
      </c>
    </row>
    <row r="2777" spans="2:4" s="54" customFormat="1" x14ac:dyDescent="0.2">
      <c r="B2777" s="107" t="s">
        <v>2962</v>
      </c>
      <c r="C2777" s="55" t="s">
        <v>2963</v>
      </c>
      <c r="D2777" s="56" t="s">
        <v>2971</v>
      </c>
    </row>
    <row r="2778" spans="2:4" s="54" customFormat="1" x14ac:dyDescent="0.2">
      <c r="B2778" s="107" t="s">
        <v>2962</v>
      </c>
      <c r="C2778" s="55" t="s">
        <v>2963</v>
      </c>
      <c r="D2778" s="56" t="s">
        <v>2972</v>
      </c>
    </row>
    <row r="2779" spans="2:4" s="54" customFormat="1" x14ac:dyDescent="0.2">
      <c r="B2779" s="107" t="s">
        <v>2962</v>
      </c>
      <c r="C2779" s="55" t="s">
        <v>2963</v>
      </c>
      <c r="D2779" s="56" t="s">
        <v>2973</v>
      </c>
    </row>
    <row r="2780" spans="2:4" s="54" customFormat="1" x14ac:dyDescent="0.2">
      <c r="B2780" s="107" t="s">
        <v>2962</v>
      </c>
      <c r="C2780" s="55" t="s">
        <v>2963</v>
      </c>
      <c r="D2780" s="56" t="s">
        <v>2974</v>
      </c>
    </row>
    <row r="2781" spans="2:4" s="54" customFormat="1" x14ac:dyDescent="0.2">
      <c r="B2781" s="107" t="s">
        <v>2962</v>
      </c>
      <c r="C2781" s="55" t="s">
        <v>2963</v>
      </c>
      <c r="D2781" s="56" t="s">
        <v>2975</v>
      </c>
    </row>
    <row r="2782" spans="2:4" s="54" customFormat="1" x14ac:dyDescent="0.2">
      <c r="B2782" s="107" t="s">
        <v>2962</v>
      </c>
      <c r="C2782" s="55" t="s">
        <v>2963</v>
      </c>
      <c r="D2782" s="56" t="s">
        <v>2976</v>
      </c>
    </row>
    <row r="2783" spans="2:4" s="54" customFormat="1" x14ac:dyDescent="0.2">
      <c r="B2783" s="107" t="s">
        <v>2962</v>
      </c>
      <c r="C2783" s="55" t="s">
        <v>2963</v>
      </c>
      <c r="D2783" s="56" t="s">
        <v>2977</v>
      </c>
    </row>
    <row r="2784" spans="2:4" s="54" customFormat="1" x14ac:dyDescent="0.2">
      <c r="B2784" s="107" t="s">
        <v>2962</v>
      </c>
      <c r="C2784" s="55" t="s">
        <v>2963</v>
      </c>
      <c r="D2784" s="56" t="s">
        <v>2978</v>
      </c>
    </row>
    <row r="2785" spans="2:4" s="54" customFormat="1" x14ac:dyDescent="0.2">
      <c r="B2785" s="107" t="s">
        <v>2979</v>
      </c>
      <c r="C2785" s="55" t="s">
        <v>2980</v>
      </c>
      <c r="D2785" s="56" t="s">
        <v>2981</v>
      </c>
    </row>
    <row r="2786" spans="2:4" s="54" customFormat="1" x14ac:dyDescent="0.2">
      <c r="B2786" s="107" t="s">
        <v>2979</v>
      </c>
      <c r="C2786" s="55" t="s">
        <v>2980</v>
      </c>
      <c r="D2786" s="56" t="s">
        <v>2982</v>
      </c>
    </row>
    <row r="2787" spans="2:4" s="54" customFormat="1" x14ac:dyDescent="0.2">
      <c r="B2787" s="107" t="s">
        <v>2979</v>
      </c>
      <c r="C2787" s="55" t="s">
        <v>2980</v>
      </c>
      <c r="D2787" s="56" t="s">
        <v>2983</v>
      </c>
    </row>
    <row r="2788" spans="2:4" s="54" customFormat="1" x14ac:dyDescent="0.2">
      <c r="B2788" s="107" t="s">
        <v>2979</v>
      </c>
      <c r="C2788" s="55" t="s">
        <v>2980</v>
      </c>
      <c r="D2788" s="56" t="s">
        <v>2984</v>
      </c>
    </row>
    <row r="2789" spans="2:4" s="54" customFormat="1" x14ac:dyDescent="0.2">
      <c r="B2789" s="107" t="s">
        <v>2979</v>
      </c>
      <c r="C2789" s="55" t="s">
        <v>2980</v>
      </c>
      <c r="D2789" s="56" t="s">
        <v>2985</v>
      </c>
    </row>
    <row r="2790" spans="2:4" s="54" customFormat="1" x14ac:dyDescent="0.2">
      <c r="B2790" s="107" t="s">
        <v>2979</v>
      </c>
      <c r="C2790" s="55" t="s">
        <v>2980</v>
      </c>
      <c r="D2790" s="56" t="s">
        <v>2986</v>
      </c>
    </row>
    <row r="2791" spans="2:4" s="54" customFormat="1" x14ac:dyDescent="0.2">
      <c r="B2791" s="107" t="s">
        <v>2979</v>
      </c>
      <c r="C2791" s="55" t="s">
        <v>2980</v>
      </c>
      <c r="D2791" s="56" t="s">
        <v>2987</v>
      </c>
    </row>
    <row r="2792" spans="2:4" s="54" customFormat="1" x14ac:dyDescent="0.2">
      <c r="B2792" s="107" t="s">
        <v>2979</v>
      </c>
      <c r="C2792" s="55" t="s">
        <v>2980</v>
      </c>
      <c r="D2792" s="56" t="s">
        <v>2988</v>
      </c>
    </row>
    <row r="2793" spans="2:4" s="54" customFormat="1" x14ac:dyDescent="0.2">
      <c r="B2793" s="107" t="s">
        <v>2979</v>
      </c>
      <c r="C2793" s="55" t="s">
        <v>2980</v>
      </c>
      <c r="D2793" s="56" t="s">
        <v>2989</v>
      </c>
    </row>
    <row r="2794" spans="2:4" s="54" customFormat="1" x14ac:dyDescent="0.2">
      <c r="B2794" s="107" t="s">
        <v>2979</v>
      </c>
      <c r="C2794" s="55" t="s">
        <v>2980</v>
      </c>
      <c r="D2794" s="56" t="s">
        <v>2990</v>
      </c>
    </row>
    <row r="2795" spans="2:4" s="54" customFormat="1" x14ac:dyDescent="0.2">
      <c r="B2795" s="107" t="s">
        <v>2979</v>
      </c>
      <c r="C2795" s="55" t="s">
        <v>2980</v>
      </c>
      <c r="D2795" s="56" t="s">
        <v>2991</v>
      </c>
    </row>
    <row r="2796" spans="2:4" s="54" customFormat="1" x14ac:dyDescent="0.2">
      <c r="B2796" s="107" t="s">
        <v>2979</v>
      </c>
      <c r="C2796" s="55" t="s">
        <v>2980</v>
      </c>
      <c r="D2796" s="56" t="s">
        <v>2992</v>
      </c>
    </row>
    <row r="2797" spans="2:4" s="54" customFormat="1" x14ac:dyDescent="0.2">
      <c r="B2797" s="107" t="s">
        <v>2979</v>
      </c>
      <c r="C2797" s="55" t="s">
        <v>2980</v>
      </c>
      <c r="D2797" s="56" t="s">
        <v>2993</v>
      </c>
    </row>
    <row r="2798" spans="2:4" s="54" customFormat="1" x14ac:dyDescent="0.2">
      <c r="B2798" s="107" t="s">
        <v>2979</v>
      </c>
      <c r="C2798" s="55" t="s">
        <v>2980</v>
      </c>
      <c r="D2798" s="56" t="s">
        <v>2994</v>
      </c>
    </row>
    <row r="2799" spans="2:4" s="54" customFormat="1" x14ac:dyDescent="0.2">
      <c r="B2799" s="107" t="s">
        <v>2979</v>
      </c>
      <c r="C2799" s="55" t="s">
        <v>2980</v>
      </c>
      <c r="D2799" s="56" t="s">
        <v>2995</v>
      </c>
    </row>
    <row r="2800" spans="2:4" s="54" customFormat="1" x14ac:dyDescent="0.2">
      <c r="B2800" s="107" t="s">
        <v>2979</v>
      </c>
      <c r="C2800" s="55" t="s">
        <v>2980</v>
      </c>
      <c r="D2800" s="56" t="s">
        <v>2996</v>
      </c>
    </row>
    <row r="2801" spans="2:4" s="54" customFormat="1" x14ac:dyDescent="0.2">
      <c r="B2801" s="107" t="s">
        <v>2979</v>
      </c>
      <c r="C2801" s="55" t="s">
        <v>2980</v>
      </c>
      <c r="D2801" s="56" t="s">
        <v>2997</v>
      </c>
    </row>
    <row r="2802" spans="2:4" s="54" customFormat="1" x14ac:dyDescent="0.2">
      <c r="B2802" s="107" t="s">
        <v>2979</v>
      </c>
      <c r="C2802" s="55" t="s">
        <v>2980</v>
      </c>
      <c r="D2802" s="56" t="s">
        <v>2998</v>
      </c>
    </row>
    <row r="2803" spans="2:4" s="54" customFormat="1" x14ac:dyDescent="0.2">
      <c r="B2803" s="107" t="s">
        <v>2979</v>
      </c>
      <c r="C2803" s="55" t="s">
        <v>2980</v>
      </c>
      <c r="D2803" s="56" t="s">
        <v>2999</v>
      </c>
    </row>
    <row r="2804" spans="2:4" s="54" customFormat="1" x14ac:dyDescent="0.2">
      <c r="B2804" s="107" t="s">
        <v>2979</v>
      </c>
      <c r="C2804" s="55" t="s">
        <v>2980</v>
      </c>
      <c r="D2804" s="56" t="s">
        <v>3000</v>
      </c>
    </row>
    <row r="2805" spans="2:4" s="54" customFormat="1" x14ac:dyDescent="0.2">
      <c r="B2805" s="107" t="s">
        <v>2979</v>
      </c>
      <c r="C2805" s="55" t="s">
        <v>2980</v>
      </c>
      <c r="D2805" s="56" t="s">
        <v>3001</v>
      </c>
    </row>
    <row r="2806" spans="2:4" s="54" customFormat="1" x14ac:dyDescent="0.2">
      <c r="B2806" s="107" t="s">
        <v>2979</v>
      </c>
      <c r="C2806" s="55" t="s">
        <v>2980</v>
      </c>
      <c r="D2806" s="56" t="s">
        <v>3002</v>
      </c>
    </row>
    <row r="2807" spans="2:4" s="54" customFormat="1" x14ac:dyDescent="0.2">
      <c r="B2807" s="107" t="s">
        <v>2979</v>
      </c>
      <c r="C2807" s="55" t="s">
        <v>2980</v>
      </c>
      <c r="D2807" s="56" t="s">
        <v>3003</v>
      </c>
    </row>
    <row r="2808" spans="2:4" s="54" customFormat="1" x14ac:dyDescent="0.2">
      <c r="B2808" s="107" t="s">
        <v>2979</v>
      </c>
      <c r="C2808" s="55" t="s">
        <v>2980</v>
      </c>
      <c r="D2808" s="56" t="s">
        <v>3004</v>
      </c>
    </row>
    <row r="2809" spans="2:4" s="54" customFormat="1" x14ac:dyDescent="0.2">
      <c r="B2809" s="107" t="s">
        <v>3005</v>
      </c>
      <c r="C2809" s="55" t="s">
        <v>3006</v>
      </c>
      <c r="D2809" s="56" t="s">
        <v>3007</v>
      </c>
    </row>
    <row r="2810" spans="2:4" s="54" customFormat="1" x14ac:dyDescent="0.2">
      <c r="B2810" s="107" t="s">
        <v>3005</v>
      </c>
      <c r="C2810" s="55" t="s">
        <v>3006</v>
      </c>
      <c r="D2810" s="56" t="s">
        <v>3008</v>
      </c>
    </row>
    <row r="2811" spans="2:4" s="54" customFormat="1" x14ac:dyDescent="0.2">
      <c r="B2811" s="107" t="s">
        <v>3005</v>
      </c>
      <c r="C2811" s="55" t="s">
        <v>3006</v>
      </c>
      <c r="D2811" s="56" t="s">
        <v>3009</v>
      </c>
    </row>
    <row r="2812" spans="2:4" s="54" customFormat="1" x14ac:dyDescent="0.2">
      <c r="B2812" s="107" t="s">
        <v>3005</v>
      </c>
      <c r="C2812" s="55" t="s">
        <v>3006</v>
      </c>
      <c r="D2812" s="56" t="s">
        <v>3010</v>
      </c>
    </row>
    <row r="2813" spans="2:4" s="54" customFormat="1" x14ac:dyDescent="0.2">
      <c r="B2813" s="107" t="s">
        <v>3005</v>
      </c>
      <c r="C2813" s="55" t="s">
        <v>3006</v>
      </c>
      <c r="D2813" s="56" t="s">
        <v>3011</v>
      </c>
    </row>
    <row r="2814" spans="2:4" s="54" customFormat="1" x14ac:dyDescent="0.2">
      <c r="B2814" s="107" t="s">
        <v>3005</v>
      </c>
      <c r="C2814" s="55" t="s">
        <v>3006</v>
      </c>
      <c r="D2814" s="56" t="s">
        <v>3012</v>
      </c>
    </row>
    <row r="2815" spans="2:4" s="54" customFormat="1" x14ac:dyDescent="0.2">
      <c r="B2815" s="107" t="s">
        <v>3005</v>
      </c>
      <c r="C2815" s="55" t="s">
        <v>3006</v>
      </c>
      <c r="D2815" s="56" t="s">
        <v>3013</v>
      </c>
    </row>
    <row r="2816" spans="2:4" s="54" customFormat="1" x14ac:dyDescent="0.2">
      <c r="B2816" s="107" t="s">
        <v>3014</v>
      </c>
      <c r="C2816" s="55" t="s">
        <v>3015</v>
      </c>
      <c r="D2816" s="56" t="s">
        <v>3016</v>
      </c>
    </row>
    <row r="2817" spans="2:4" s="54" customFormat="1" x14ac:dyDescent="0.2">
      <c r="B2817" s="107" t="s">
        <v>3014</v>
      </c>
      <c r="C2817" s="55" t="s">
        <v>3015</v>
      </c>
      <c r="D2817" s="56" t="s">
        <v>3017</v>
      </c>
    </row>
    <row r="2818" spans="2:4" s="54" customFormat="1" x14ac:dyDescent="0.2">
      <c r="B2818" s="107" t="s">
        <v>3014</v>
      </c>
      <c r="C2818" s="55" t="s">
        <v>3015</v>
      </c>
      <c r="D2818" s="56" t="s">
        <v>3018</v>
      </c>
    </row>
    <row r="2819" spans="2:4" s="54" customFormat="1" x14ac:dyDescent="0.2">
      <c r="B2819" s="107" t="s">
        <v>3014</v>
      </c>
      <c r="C2819" s="55" t="s">
        <v>3015</v>
      </c>
      <c r="D2819" s="56" t="s">
        <v>3019</v>
      </c>
    </row>
    <row r="2820" spans="2:4" s="54" customFormat="1" x14ac:dyDescent="0.2">
      <c r="B2820" s="107" t="s">
        <v>3014</v>
      </c>
      <c r="C2820" s="55" t="s">
        <v>3015</v>
      </c>
      <c r="D2820" s="56" t="s">
        <v>3020</v>
      </c>
    </row>
    <row r="2821" spans="2:4" s="54" customFormat="1" x14ac:dyDescent="0.2">
      <c r="B2821" s="107" t="s">
        <v>3014</v>
      </c>
      <c r="C2821" s="55" t="s">
        <v>3015</v>
      </c>
      <c r="D2821" s="56" t="s">
        <v>3021</v>
      </c>
    </row>
    <row r="2822" spans="2:4" s="54" customFormat="1" x14ac:dyDescent="0.2">
      <c r="B2822" s="107" t="s">
        <v>3022</v>
      </c>
      <c r="C2822" s="55" t="s">
        <v>3023</v>
      </c>
      <c r="D2822" s="56" t="s">
        <v>3024</v>
      </c>
    </row>
    <row r="2823" spans="2:4" s="54" customFormat="1" x14ac:dyDescent="0.2">
      <c r="B2823" s="107" t="s">
        <v>3022</v>
      </c>
      <c r="C2823" s="55" t="s">
        <v>3023</v>
      </c>
      <c r="D2823" s="56" t="s">
        <v>3025</v>
      </c>
    </row>
    <row r="2824" spans="2:4" s="54" customFormat="1" x14ac:dyDescent="0.2">
      <c r="B2824" s="107" t="s">
        <v>3022</v>
      </c>
      <c r="C2824" s="55" t="s">
        <v>3023</v>
      </c>
      <c r="D2824" s="56" t="s">
        <v>3026</v>
      </c>
    </row>
    <row r="2825" spans="2:4" s="54" customFormat="1" x14ac:dyDescent="0.2">
      <c r="B2825" s="107" t="s">
        <v>3022</v>
      </c>
      <c r="C2825" s="55" t="s">
        <v>3023</v>
      </c>
      <c r="D2825" s="56" t="s">
        <v>2956</v>
      </c>
    </row>
    <row r="2826" spans="2:4" s="54" customFormat="1" x14ac:dyDescent="0.2">
      <c r="B2826" s="107" t="s">
        <v>3022</v>
      </c>
      <c r="C2826" s="55" t="s">
        <v>3023</v>
      </c>
      <c r="D2826" s="56" t="s">
        <v>3027</v>
      </c>
    </row>
    <row r="2827" spans="2:4" s="54" customFormat="1" x14ac:dyDescent="0.2">
      <c r="B2827" s="107" t="s">
        <v>3022</v>
      </c>
      <c r="C2827" s="55" t="s">
        <v>3023</v>
      </c>
      <c r="D2827" s="56" t="s">
        <v>3028</v>
      </c>
    </row>
    <row r="2828" spans="2:4" s="54" customFormat="1" x14ac:dyDescent="0.2">
      <c r="B2828" s="107" t="s">
        <v>3022</v>
      </c>
      <c r="C2828" s="55" t="s">
        <v>3023</v>
      </c>
      <c r="D2828" s="56" t="s">
        <v>3029</v>
      </c>
    </row>
    <row r="2829" spans="2:4" s="54" customFormat="1" x14ac:dyDescent="0.2">
      <c r="B2829" s="107" t="s">
        <v>3022</v>
      </c>
      <c r="C2829" s="55" t="s">
        <v>3023</v>
      </c>
      <c r="D2829" s="56" t="s">
        <v>3030</v>
      </c>
    </row>
    <row r="2830" spans="2:4" s="54" customFormat="1" x14ac:dyDescent="0.2">
      <c r="B2830" s="107" t="s">
        <v>3031</v>
      </c>
      <c r="C2830" s="55" t="s">
        <v>3032</v>
      </c>
      <c r="D2830" s="56" t="s">
        <v>3033</v>
      </c>
    </row>
    <row r="2831" spans="2:4" s="54" customFormat="1" x14ac:dyDescent="0.2">
      <c r="B2831" s="107" t="s">
        <v>3031</v>
      </c>
      <c r="C2831" s="55" t="s">
        <v>3032</v>
      </c>
      <c r="D2831" s="56" t="s">
        <v>3034</v>
      </c>
    </row>
    <row r="2832" spans="2:4" s="54" customFormat="1" x14ac:dyDescent="0.2">
      <c r="B2832" s="107" t="s">
        <v>3031</v>
      </c>
      <c r="C2832" s="55" t="s">
        <v>3032</v>
      </c>
      <c r="D2832" s="56" t="s">
        <v>3035</v>
      </c>
    </row>
    <row r="2833" spans="2:4" s="54" customFormat="1" x14ac:dyDescent="0.2">
      <c r="B2833" s="107" t="s">
        <v>3031</v>
      </c>
      <c r="C2833" s="55" t="s">
        <v>3032</v>
      </c>
      <c r="D2833" s="56" t="s">
        <v>3036</v>
      </c>
    </row>
    <row r="2834" spans="2:4" s="54" customFormat="1" x14ac:dyDescent="0.2">
      <c r="B2834" s="107" t="s">
        <v>3031</v>
      </c>
      <c r="C2834" s="55" t="s">
        <v>3032</v>
      </c>
      <c r="D2834" s="56" t="s">
        <v>3037</v>
      </c>
    </row>
    <row r="2835" spans="2:4" s="54" customFormat="1" x14ac:dyDescent="0.2">
      <c r="B2835" s="107" t="s">
        <v>3031</v>
      </c>
      <c r="C2835" s="55" t="s">
        <v>3032</v>
      </c>
      <c r="D2835" s="56" t="s">
        <v>3038</v>
      </c>
    </row>
    <row r="2836" spans="2:4" s="54" customFormat="1" x14ac:dyDescent="0.2">
      <c r="B2836" s="107" t="s">
        <v>3031</v>
      </c>
      <c r="C2836" s="55" t="s">
        <v>3032</v>
      </c>
      <c r="D2836" s="56" t="s">
        <v>3039</v>
      </c>
    </row>
    <row r="2837" spans="2:4" s="54" customFormat="1" x14ac:dyDescent="0.2">
      <c r="B2837" s="107" t="s">
        <v>3031</v>
      </c>
      <c r="C2837" s="55" t="s">
        <v>3032</v>
      </c>
      <c r="D2837" s="56" t="s">
        <v>3040</v>
      </c>
    </row>
    <row r="2838" spans="2:4" s="54" customFormat="1" x14ac:dyDescent="0.2">
      <c r="B2838" s="107" t="s">
        <v>3031</v>
      </c>
      <c r="C2838" s="55" t="s">
        <v>3032</v>
      </c>
      <c r="D2838" s="56" t="s">
        <v>3041</v>
      </c>
    </row>
    <row r="2839" spans="2:4" s="54" customFormat="1" x14ac:dyDescent="0.2">
      <c r="B2839" s="107" t="s">
        <v>3031</v>
      </c>
      <c r="C2839" s="55" t="s">
        <v>3032</v>
      </c>
      <c r="D2839" s="56" t="s">
        <v>3042</v>
      </c>
    </row>
    <row r="2840" spans="2:4" s="54" customFormat="1" x14ac:dyDescent="0.2">
      <c r="B2840" s="107" t="s">
        <v>3031</v>
      </c>
      <c r="C2840" s="55" t="s">
        <v>3032</v>
      </c>
      <c r="D2840" s="56" t="s">
        <v>3043</v>
      </c>
    </row>
    <row r="2841" spans="2:4" s="54" customFormat="1" x14ac:dyDescent="0.2">
      <c r="B2841" s="107" t="s">
        <v>3031</v>
      </c>
      <c r="C2841" s="55" t="s">
        <v>3032</v>
      </c>
      <c r="D2841" s="56" t="s">
        <v>3044</v>
      </c>
    </row>
    <row r="2842" spans="2:4" s="54" customFormat="1" x14ac:dyDescent="0.2">
      <c r="B2842" s="107" t="s">
        <v>3031</v>
      </c>
      <c r="C2842" s="55" t="s">
        <v>3032</v>
      </c>
      <c r="D2842" s="56" t="s">
        <v>3045</v>
      </c>
    </row>
    <row r="2843" spans="2:4" s="54" customFormat="1" x14ac:dyDescent="0.2">
      <c r="B2843" s="107" t="s">
        <v>3031</v>
      </c>
      <c r="C2843" s="55" t="s">
        <v>3032</v>
      </c>
      <c r="D2843" s="56" t="s">
        <v>3046</v>
      </c>
    </row>
    <row r="2844" spans="2:4" s="54" customFormat="1" x14ac:dyDescent="0.2">
      <c r="B2844" s="107" t="s">
        <v>3031</v>
      </c>
      <c r="C2844" s="55" t="s">
        <v>3032</v>
      </c>
      <c r="D2844" s="56" t="s">
        <v>3047</v>
      </c>
    </row>
    <row r="2845" spans="2:4" x14ac:dyDescent="0.2">
      <c r="B2845" s="108" t="s">
        <v>3048</v>
      </c>
      <c r="C2845" s="57" t="s">
        <v>3049</v>
      </c>
      <c r="D2845" s="58" t="s">
        <v>3050</v>
      </c>
    </row>
    <row r="2846" spans="2:4" x14ac:dyDescent="0.2">
      <c r="B2846" s="108" t="s">
        <v>3048</v>
      </c>
      <c r="C2846" s="57" t="s">
        <v>3049</v>
      </c>
      <c r="D2846" s="58" t="s">
        <v>3051</v>
      </c>
    </row>
    <row r="2847" spans="2:4" x14ac:dyDescent="0.2">
      <c r="B2847" s="108" t="s">
        <v>3048</v>
      </c>
      <c r="C2847" s="57" t="s">
        <v>3049</v>
      </c>
      <c r="D2847" s="58" t="s">
        <v>3052</v>
      </c>
    </row>
    <row r="2848" spans="2:4" x14ac:dyDescent="0.2">
      <c r="B2848" s="108" t="s">
        <v>3048</v>
      </c>
      <c r="C2848" s="57" t="s">
        <v>3049</v>
      </c>
      <c r="D2848" s="58" t="s">
        <v>3053</v>
      </c>
    </row>
    <row r="2849" spans="2:4" x14ac:dyDescent="0.2">
      <c r="B2849" s="108" t="s">
        <v>3048</v>
      </c>
      <c r="C2849" s="57" t="s">
        <v>3049</v>
      </c>
      <c r="D2849" s="58" t="s">
        <v>3054</v>
      </c>
    </row>
    <row r="2850" spans="2:4" x14ac:dyDescent="0.2">
      <c r="B2850" s="108" t="s">
        <v>3048</v>
      </c>
      <c r="C2850" s="57" t="s">
        <v>3049</v>
      </c>
      <c r="D2850" s="58" t="s">
        <v>3055</v>
      </c>
    </row>
    <row r="2851" spans="2:4" x14ac:dyDescent="0.2">
      <c r="B2851" s="108" t="s">
        <v>3048</v>
      </c>
      <c r="C2851" s="57" t="s">
        <v>3049</v>
      </c>
      <c r="D2851" s="58" t="s">
        <v>3056</v>
      </c>
    </row>
    <row r="2852" spans="2:4" x14ac:dyDescent="0.2">
      <c r="B2852" s="108" t="s">
        <v>3048</v>
      </c>
      <c r="C2852" s="57" t="s">
        <v>3049</v>
      </c>
      <c r="D2852" s="58" t="s">
        <v>3057</v>
      </c>
    </row>
    <row r="2853" spans="2:4" x14ac:dyDescent="0.2">
      <c r="B2853" s="108" t="s">
        <v>3048</v>
      </c>
      <c r="C2853" s="57" t="s">
        <v>3049</v>
      </c>
      <c r="D2853" s="58" t="s">
        <v>3058</v>
      </c>
    </row>
    <row r="2854" spans="2:4" x14ac:dyDescent="0.2">
      <c r="B2854" s="108" t="s">
        <v>3048</v>
      </c>
      <c r="C2854" s="57" t="s">
        <v>3049</v>
      </c>
      <c r="D2854" s="58" t="s">
        <v>3059</v>
      </c>
    </row>
    <row r="2855" spans="2:4" x14ac:dyDescent="0.2">
      <c r="B2855" s="108" t="s">
        <v>3048</v>
      </c>
      <c r="C2855" s="57" t="s">
        <v>3049</v>
      </c>
      <c r="D2855" s="58" t="s">
        <v>3060</v>
      </c>
    </row>
    <row r="2856" spans="2:4" x14ac:dyDescent="0.2">
      <c r="B2856" s="108" t="s">
        <v>3048</v>
      </c>
      <c r="C2856" s="57" t="s">
        <v>3049</v>
      </c>
      <c r="D2856" s="58" t="s">
        <v>3061</v>
      </c>
    </row>
    <row r="2857" spans="2:4" x14ac:dyDescent="0.2">
      <c r="B2857" s="108" t="s">
        <v>3048</v>
      </c>
      <c r="C2857" s="57" t="s">
        <v>3049</v>
      </c>
      <c r="D2857" s="58" t="s">
        <v>3062</v>
      </c>
    </row>
    <row r="2858" spans="2:4" x14ac:dyDescent="0.2">
      <c r="B2858" s="108" t="s">
        <v>3048</v>
      </c>
      <c r="C2858" s="57" t="s">
        <v>3049</v>
      </c>
      <c r="D2858" s="58" t="s">
        <v>3063</v>
      </c>
    </row>
    <row r="2859" spans="2:4" x14ac:dyDescent="0.2">
      <c r="B2859" s="108" t="s">
        <v>3048</v>
      </c>
      <c r="C2859" s="57" t="s">
        <v>3049</v>
      </c>
      <c r="D2859" s="58" t="s">
        <v>3064</v>
      </c>
    </row>
    <row r="2860" spans="2:4" x14ac:dyDescent="0.2">
      <c r="B2860" s="108" t="s">
        <v>3048</v>
      </c>
      <c r="C2860" s="57" t="s">
        <v>3049</v>
      </c>
      <c r="D2860" s="58" t="s">
        <v>3065</v>
      </c>
    </row>
    <row r="2861" spans="2:4" x14ac:dyDescent="0.2">
      <c r="B2861" s="108" t="s">
        <v>3048</v>
      </c>
      <c r="C2861" s="57" t="s">
        <v>3049</v>
      </c>
      <c r="D2861" s="58" t="s">
        <v>3066</v>
      </c>
    </row>
    <row r="2862" spans="2:4" x14ac:dyDescent="0.2">
      <c r="B2862" s="108" t="s">
        <v>3048</v>
      </c>
      <c r="C2862" s="57" t="s">
        <v>3049</v>
      </c>
      <c r="D2862" s="58" t="s">
        <v>3067</v>
      </c>
    </row>
    <row r="2863" spans="2:4" x14ac:dyDescent="0.2">
      <c r="B2863" s="108" t="s">
        <v>3048</v>
      </c>
      <c r="C2863" s="57" t="s">
        <v>3049</v>
      </c>
      <c r="D2863" s="58" t="s">
        <v>3068</v>
      </c>
    </row>
    <row r="2864" spans="2:4" x14ac:dyDescent="0.2">
      <c r="B2864" s="108" t="s">
        <v>3048</v>
      </c>
      <c r="C2864" s="57" t="s">
        <v>3049</v>
      </c>
      <c r="D2864" s="58" t="s">
        <v>3069</v>
      </c>
    </row>
    <row r="2865" spans="2:4" x14ac:dyDescent="0.2">
      <c r="B2865" s="108" t="s">
        <v>3048</v>
      </c>
      <c r="C2865" s="57" t="s">
        <v>3049</v>
      </c>
      <c r="D2865" s="58" t="s">
        <v>3070</v>
      </c>
    </row>
    <row r="2866" spans="2:4" x14ac:dyDescent="0.2">
      <c r="B2866" s="108" t="s">
        <v>3048</v>
      </c>
      <c r="C2866" s="57" t="s">
        <v>3049</v>
      </c>
      <c r="D2866" s="58" t="s">
        <v>3071</v>
      </c>
    </row>
    <row r="2867" spans="2:4" x14ac:dyDescent="0.2">
      <c r="B2867" s="108" t="s">
        <v>3048</v>
      </c>
      <c r="C2867" s="57" t="s">
        <v>3049</v>
      </c>
      <c r="D2867" s="58" t="s">
        <v>3072</v>
      </c>
    </row>
    <row r="2868" spans="2:4" x14ac:dyDescent="0.2">
      <c r="B2868" s="108" t="s">
        <v>3048</v>
      </c>
      <c r="C2868" s="57" t="s">
        <v>3049</v>
      </c>
      <c r="D2868" s="58" t="s">
        <v>3073</v>
      </c>
    </row>
    <row r="2869" spans="2:4" x14ac:dyDescent="0.2">
      <c r="B2869" s="108" t="s">
        <v>3048</v>
      </c>
      <c r="C2869" s="57" t="s">
        <v>3049</v>
      </c>
      <c r="D2869" s="58" t="s">
        <v>3074</v>
      </c>
    </row>
    <row r="2870" spans="2:4" x14ac:dyDescent="0.2">
      <c r="B2870" s="108" t="s">
        <v>3048</v>
      </c>
      <c r="C2870" s="57" t="s">
        <v>3049</v>
      </c>
      <c r="D2870" s="58" t="s">
        <v>3075</v>
      </c>
    </row>
    <row r="2871" spans="2:4" x14ac:dyDescent="0.2">
      <c r="B2871" s="108" t="s">
        <v>3048</v>
      </c>
      <c r="C2871" s="57" t="s">
        <v>3049</v>
      </c>
      <c r="D2871" s="58" t="s">
        <v>3076</v>
      </c>
    </row>
    <row r="2872" spans="2:4" x14ac:dyDescent="0.2">
      <c r="B2872" s="108" t="s">
        <v>3048</v>
      </c>
      <c r="C2872" s="57" t="s">
        <v>3049</v>
      </c>
      <c r="D2872" s="58" t="s">
        <v>3077</v>
      </c>
    </row>
    <row r="2873" spans="2:4" s="54" customFormat="1" x14ac:dyDescent="0.2">
      <c r="B2873" s="107" t="s">
        <v>3078</v>
      </c>
      <c r="C2873" s="55" t="s">
        <v>3079</v>
      </c>
      <c r="D2873" s="56" t="s">
        <v>3080</v>
      </c>
    </row>
    <row r="2874" spans="2:4" s="54" customFormat="1" x14ac:dyDescent="0.2">
      <c r="B2874" s="107" t="s">
        <v>3078</v>
      </c>
      <c r="C2874" s="55" t="s">
        <v>3079</v>
      </c>
      <c r="D2874" s="56" t="s">
        <v>3081</v>
      </c>
    </row>
    <row r="2875" spans="2:4" s="54" customFormat="1" x14ac:dyDescent="0.2">
      <c r="B2875" s="107" t="s">
        <v>3078</v>
      </c>
      <c r="C2875" s="55" t="s">
        <v>3079</v>
      </c>
      <c r="D2875" s="56" t="s">
        <v>3082</v>
      </c>
    </row>
    <row r="2876" spans="2:4" s="54" customFormat="1" x14ac:dyDescent="0.2">
      <c r="B2876" s="107" t="s">
        <v>3078</v>
      </c>
      <c r="C2876" s="55" t="s">
        <v>3079</v>
      </c>
      <c r="D2876" s="56" t="s">
        <v>3083</v>
      </c>
    </row>
    <row r="2877" spans="2:4" s="54" customFormat="1" x14ac:dyDescent="0.2">
      <c r="B2877" s="107" t="s">
        <v>3078</v>
      </c>
      <c r="C2877" s="55" t="s">
        <v>3079</v>
      </c>
      <c r="D2877" s="56" t="s">
        <v>3084</v>
      </c>
    </row>
    <row r="2878" spans="2:4" s="54" customFormat="1" x14ac:dyDescent="0.2">
      <c r="B2878" s="107" t="s">
        <v>3078</v>
      </c>
      <c r="C2878" s="55" t="s">
        <v>3079</v>
      </c>
      <c r="D2878" s="56" t="s">
        <v>3085</v>
      </c>
    </row>
    <row r="2879" spans="2:4" s="54" customFormat="1" x14ac:dyDescent="0.2">
      <c r="B2879" s="107" t="s">
        <v>3078</v>
      </c>
      <c r="C2879" s="55" t="s">
        <v>3079</v>
      </c>
      <c r="D2879" s="56" t="s">
        <v>3086</v>
      </c>
    </row>
    <row r="2880" spans="2:4" s="54" customFormat="1" x14ac:dyDescent="0.2">
      <c r="B2880" s="107" t="s">
        <v>3087</v>
      </c>
      <c r="C2880" s="55" t="s">
        <v>3088</v>
      </c>
      <c r="D2880" s="56" t="s">
        <v>3089</v>
      </c>
    </row>
    <row r="2881" spans="2:4" s="54" customFormat="1" x14ac:dyDescent="0.2">
      <c r="B2881" s="107" t="s">
        <v>3087</v>
      </c>
      <c r="C2881" s="55" t="s">
        <v>3088</v>
      </c>
      <c r="D2881" s="56" t="s">
        <v>3090</v>
      </c>
    </row>
    <row r="2882" spans="2:4" s="54" customFormat="1" x14ac:dyDescent="0.2">
      <c r="B2882" s="107" t="s">
        <v>3087</v>
      </c>
      <c r="C2882" s="55" t="s">
        <v>3088</v>
      </c>
      <c r="D2882" s="56" t="s">
        <v>3091</v>
      </c>
    </row>
    <row r="2883" spans="2:4" s="54" customFormat="1" x14ac:dyDescent="0.2">
      <c r="B2883" s="107" t="s">
        <v>3087</v>
      </c>
      <c r="C2883" s="55" t="s">
        <v>3088</v>
      </c>
      <c r="D2883" s="56" t="s">
        <v>3092</v>
      </c>
    </row>
    <row r="2884" spans="2:4" s="54" customFormat="1" x14ac:dyDescent="0.2">
      <c r="B2884" s="107" t="s">
        <v>3087</v>
      </c>
      <c r="C2884" s="55" t="s">
        <v>3088</v>
      </c>
      <c r="D2884" s="56" t="s">
        <v>3093</v>
      </c>
    </row>
    <row r="2885" spans="2:4" s="54" customFormat="1" x14ac:dyDescent="0.2">
      <c r="B2885" s="107" t="s">
        <v>3087</v>
      </c>
      <c r="C2885" s="55" t="s">
        <v>3088</v>
      </c>
      <c r="D2885" s="56" t="s">
        <v>3094</v>
      </c>
    </row>
    <row r="2886" spans="2:4" s="54" customFormat="1" x14ac:dyDescent="0.2">
      <c r="B2886" s="107" t="s">
        <v>3087</v>
      </c>
      <c r="C2886" s="55" t="s">
        <v>3088</v>
      </c>
      <c r="D2886" s="56" t="s">
        <v>3095</v>
      </c>
    </row>
    <row r="2887" spans="2:4" s="54" customFormat="1" x14ac:dyDescent="0.2">
      <c r="B2887" s="107" t="s">
        <v>3087</v>
      </c>
      <c r="C2887" s="55" t="s">
        <v>3088</v>
      </c>
      <c r="D2887" s="56" t="s">
        <v>3096</v>
      </c>
    </row>
    <row r="2888" spans="2:4" s="54" customFormat="1" x14ac:dyDescent="0.2">
      <c r="B2888" s="107" t="s">
        <v>3087</v>
      </c>
      <c r="C2888" s="55" t="s">
        <v>3088</v>
      </c>
      <c r="D2888" s="56" t="s">
        <v>3097</v>
      </c>
    </row>
    <row r="2889" spans="2:4" s="54" customFormat="1" x14ac:dyDescent="0.2">
      <c r="B2889" s="107" t="s">
        <v>3087</v>
      </c>
      <c r="C2889" s="55" t="s">
        <v>3088</v>
      </c>
      <c r="D2889" s="56" t="s">
        <v>3098</v>
      </c>
    </row>
    <row r="2890" spans="2:4" s="54" customFormat="1" x14ac:dyDescent="0.2">
      <c r="B2890" s="107" t="s">
        <v>3087</v>
      </c>
      <c r="C2890" s="55" t="s">
        <v>3088</v>
      </c>
      <c r="D2890" s="56" t="s">
        <v>3099</v>
      </c>
    </row>
    <row r="2891" spans="2:4" s="54" customFormat="1" x14ac:dyDescent="0.2">
      <c r="B2891" s="107" t="s">
        <v>3087</v>
      </c>
      <c r="C2891" s="55" t="s">
        <v>3088</v>
      </c>
      <c r="D2891" s="56" t="s">
        <v>3100</v>
      </c>
    </row>
    <row r="2892" spans="2:4" s="54" customFormat="1" x14ac:dyDescent="0.2">
      <c r="B2892" s="107" t="s">
        <v>3087</v>
      </c>
      <c r="C2892" s="55" t="s">
        <v>3088</v>
      </c>
      <c r="D2892" s="56" t="s">
        <v>3101</v>
      </c>
    </row>
    <row r="2893" spans="2:4" s="54" customFormat="1" x14ac:dyDescent="0.2">
      <c r="B2893" s="107" t="s">
        <v>3087</v>
      </c>
      <c r="C2893" s="55" t="s">
        <v>3088</v>
      </c>
      <c r="D2893" s="56" t="s">
        <v>3102</v>
      </c>
    </row>
    <row r="2894" spans="2:4" s="54" customFormat="1" x14ac:dyDescent="0.2">
      <c r="B2894" s="107" t="s">
        <v>3087</v>
      </c>
      <c r="C2894" s="55" t="s">
        <v>3088</v>
      </c>
      <c r="D2894" s="56" t="s">
        <v>3103</v>
      </c>
    </row>
    <row r="2895" spans="2:4" s="54" customFormat="1" x14ac:dyDescent="0.2">
      <c r="B2895" s="107" t="s">
        <v>3087</v>
      </c>
      <c r="C2895" s="55" t="s">
        <v>3088</v>
      </c>
      <c r="D2895" s="56" t="s">
        <v>3104</v>
      </c>
    </row>
    <row r="2896" spans="2:4" s="54" customFormat="1" x14ac:dyDescent="0.2">
      <c r="B2896" s="107" t="s">
        <v>3087</v>
      </c>
      <c r="C2896" s="55" t="s">
        <v>3088</v>
      </c>
      <c r="D2896" s="56" t="s">
        <v>3105</v>
      </c>
    </row>
    <row r="2897" spans="2:4" s="54" customFormat="1" x14ac:dyDescent="0.2">
      <c r="B2897" s="107" t="s">
        <v>3087</v>
      </c>
      <c r="C2897" s="55" t="s">
        <v>3088</v>
      </c>
      <c r="D2897" s="56" t="s">
        <v>3106</v>
      </c>
    </row>
    <row r="2898" spans="2:4" s="54" customFormat="1" x14ac:dyDescent="0.2">
      <c r="B2898" s="107" t="s">
        <v>3087</v>
      </c>
      <c r="C2898" s="55" t="s">
        <v>3088</v>
      </c>
      <c r="D2898" s="56" t="s">
        <v>3107</v>
      </c>
    </row>
    <row r="2899" spans="2:4" s="54" customFormat="1" x14ac:dyDescent="0.2">
      <c r="B2899" s="107" t="s">
        <v>3087</v>
      </c>
      <c r="C2899" s="55" t="s">
        <v>3088</v>
      </c>
      <c r="D2899" s="56" t="s">
        <v>3108</v>
      </c>
    </row>
    <row r="2900" spans="2:4" s="54" customFormat="1" x14ac:dyDescent="0.2">
      <c r="B2900" s="107" t="s">
        <v>3087</v>
      </c>
      <c r="C2900" s="55" t="s">
        <v>3088</v>
      </c>
      <c r="D2900" s="56" t="s">
        <v>3109</v>
      </c>
    </row>
    <row r="2901" spans="2:4" s="54" customFormat="1" x14ac:dyDescent="0.2">
      <c r="B2901" s="107" t="s">
        <v>3087</v>
      </c>
      <c r="C2901" s="55" t="s">
        <v>3088</v>
      </c>
      <c r="D2901" s="56" t="s">
        <v>3110</v>
      </c>
    </row>
    <row r="2902" spans="2:4" s="54" customFormat="1" x14ac:dyDescent="0.2">
      <c r="B2902" s="107" t="s">
        <v>3087</v>
      </c>
      <c r="C2902" s="55" t="s">
        <v>3088</v>
      </c>
      <c r="D2902" s="56" t="s">
        <v>3111</v>
      </c>
    </row>
    <row r="2903" spans="2:4" s="54" customFormat="1" x14ac:dyDescent="0.2">
      <c r="B2903" s="107" t="s">
        <v>3087</v>
      </c>
      <c r="C2903" s="55" t="s">
        <v>3088</v>
      </c>
      <c r="D2903" s="56" t="s">
        <v>3112</v>
      </c>
    </row>
    <row r="2904" spans="2:4" s="54" customFormat="1" x14ac:dyDescent="0.2">
      <c r="B2904" s="107" t="s">
        <v>3087</v>
      </c>
      <c r="C2904" s="55" t="s">
        <v>3088</v>
      </c>
      <c r="D2904" s="56" t="s">
        <v>3113</v>
      </c>
    </row>
    <row r="2905" spans="2:4" s="54" customFormat="1" x14ac:dyDescent="0.2">
      <c r="B2905" s="107" t="s">
        <v>3087</v>
      </c>
      <c r="C2905" s="55" t="s">
        <v>3088</v>
      </c>
      <c r="D2905" s="56" t="s">
        <v>3114</v>
      </c>
    </row>
    <row r="2906" spans="2:4" s="54" customFormat="1" x14ac:dyDescent="0.2">
      <c r="B2906" s="107" t="s">
        <v>3087</v>
      </c>
      <c r="C2906" s="55" t="s">
        <v>3088</v>
      </c>
      <c r="D2906" s="56" t="s">
        <v>3115</v>
      </c>
    </row>
    <row r="2907" spans="2:4" s="54" customFormat="1" x14ac:dyDescent="0.2">
      <c r="B2907" s="107" t="s">
        <v>3087</v>
      </c>
      <c r="C2907" s="55" t="s">
        <v>3088</v>
      </c>
      <c r="D2907" s="56" t="s">
        <v>3116</v>
      </c>
    </row>
    <row r="2908" spans="2:4" s="54" customFormat="1" x14ac:dyDescent="0.2">
      <c r="B2908" s="107" t="s">
        <v>3087</v>
      </c>
      <c r="C2908" s="55" t="s">
        <v>3088</v>
      </c>
      <c r="D2908" s="56" t="s">
        <v>3117</v>
      </c>
    </row>
    <row r="2909" spans="2:4" s="54" customFormat="1" x14ac:dyDescent="0.2">
      <c r="B2909" s="107" t="s">
        <v>3087</v>
      </c>
      <c r="C2909" s="55" t="s">
        <v>3088</v>
      </c>
      <c r="D2909" s="56" t="s">
        <v>3118</v>
      </c>
    </row>
    <row r="2910" spans="2:4" s="54" customFormat="1" x14ac:dyDescent="0.2">
      <c r="B2910" s="107" t="s">
        <v>3087</v>
      </c>
      <c r="C2910" s="55" t="s">
        <v>3088</v>
      </c>
      <c r="D2910" s="56" t="s">
        <v>3119</v>
      </c>
    </row>
    <row r="2911" spans="2:4" s="54" customFormat="1" x14ac:dyDescent="0.2">
      <c r="B2911" s="107" t="s">
        <v>3120</v>
      </c>
      <c r="C2911" s="55" t="s">
        <v>3121</v>
      </c>
      <c r="D2911" s="56" t="s">
        <v>3122</v>
      </c>
    </row>
    <row r="2912" spans="2:4" s="54" customFormat="1" x14ac:dyDescent="0.2">
      <c r="B2912" s="107" t="s">
        <v>3120</v>
      </c>
      <c r="C2912" s="55" t="s">
        <v>3121</v>
      </c>
      <c r="D2912" s="56" t="s">
        <v>3123</v>
      </c>
    </row>
    <row r="2913" spans="2:4" s="54" customFormat="1" x14ac:dyDescent="0.2">
      <c r="B2913" s="107" t="s">
        <v>3120</v>
      </c>
      <c r="C2913" s="55" t="s">
        <v>3121</v>
      </c>
      <c r="D2913" s="56" t="s">
        <v>3124</v>
      </c>
    </row>
    <row r="2914" spans="2:4" s="54" customFormat="1" x14ac:dyDescent="0.2">
      <c r="B2914" s="107" t="s">
        <v>3120</v>
      </c>
      <c r="C2914" s="55" t="s">
        <v>3121</v>
      </c>
      <c r="D2914" s="56" t="s">
        <v>3125</v>
      </c>
    </row>
    <row r="2915" spans="2:4" s="54" customFormat="1" x14ac:dyDescent="0.2">
      <c r="B2915" s="107" t="s">
        <v>3120</v>
      </c>
      <c r="C2915" s="55" t="s">
        <v>3121</v>
      </c>
      <c r="D2915" s="56" t="s">
        <v>3126</v>
      </c>
    </row>
    <row r="2916" spans="2:4" s="54" customFormat="1" x14ac:dyDescent="0.2">
      <c r="B2916" s="107" t="s">
        <v>3120</v>
      </c>
      <c r="C2916" s="55" t="s">
        <v>3121</v>
      </c>
      <c r="D2916" s="56" t="s">
        <v>3127</v>
      </c>
    </row>
    <row r="2917" spans="2:4" s="54" customFormat="1" x14ac:dyDescent="0.2">
      <c r="B2917" s="107" t="s">
        <v>3120</v>
      </c>
      <c r="C2917" s="55" t="s">
        <v>3121</v>
      </c>
      <c r="D2917" s="56" t="s">
        <v>3128</v>
      </c>
    </row>
    <row r="2918" spans="2:4" s="54" customFormat="1" x14ac:dyDescent="0.2">
      <c r="B2918" s="107" t="s">
        <v>3120</v>
      </c>
      <c r="C2918" s="55" t="s">
        <v>3121</v>
      </c>
      <c r="D2918" s="56" t="s">
        <v>3129</v>
      </c>
    </row>
    <row r="2919" spans="2:4" s="54" customFormat="1" x14ac:dyDescent="0.2">
      <c r="B2919" s="107" t="s">
        <v>3120</v>
      </c>
      <c r="C2919" s="55" t="s">
        <v>3121</v>
      </c>
      <c r="D2919" s="56" t="s">
        <v>3130</v>
      </c>
    </row>
    <row r="2920" spans="2:4" s="54" customFormat="1" x14ac:dyDescent="0.2">
      <c r="B2920" s="107" t="s">
        <v>3120</v>
      </c>
      <c r="C2920" s="55" t="s">
        <v>3121</v>
      </c>
      <c r="D2920" s="56" t="s">
        <v>3131</v>
      </c>
    </row>
    <row r="2921" spans="2:4" s="54" customFormat="1" x14ac:dyDescent="0.2">
      <c r="B2921" s="107" t="s">
        <v>3120</v>
      </c>
      <c r="C2921" s="55" t="s">
        <v>3121</v>
      </c>
      <c r="D2921" s="56" t="s">
        <v>1086</v>
      </c>
    </row>
    <row r="2922" spans="2:4" s="54" customFormat="1" x14ac:dyDescent="0.2">
      <c r="B2922" s="107" t="s">
        <v>3120</v>
      </c>
      <c r="C2922" s="55" t="s">
        <v>3121</v>
      </c>
      <c r="D2922" s="56" t="s">
        <v>3132</v>
      </c>
    </row>
    <row r="2923" spans="2:4" s="54" customFormat="1" x14ac:dyDescent="0.2">
      <c r="B2923" s="107" t="s">
        <v>3120</v>
      </c>
      <c r="C2923" s="55" t="s">
        <v>3121</v>
      </c>
      <c r="D2923" s="56" t="s">
        <v>3133</v>
      </c>
    </row>
    <row r="2924" spans="2:4" s="54" customFormat="1" x14ac:dyDescent="0.2">
      <c r="B2924" s="107" t="s">
        <v>3120</v>
      </c>
      <c r="C2924" s="55" t="s">
        <v>3121</v>
      </c>
      <c r="D2924" s="56" t="s">
        <v>3134</v>
      </c>
    </row>
    <row r="2925" spans="2:4" s="54" customFormat="1" x14ac:dyDescent="0.2">
      <c r="B2925" s="107" t="s">
        <v>3120</v>
      </c>
      <c r="C2925" s="55" t="s">
        <v>3121</v>
      </c>
      <c r="D2925" s="56" t="s">
        <v>3135</v>
      </c>
    </row>
    <row r="2926" spans="2:4" s="54" customFormat="1" x14ac:dyDescent="0.2">
      <c r="B2926" s="107" t="s">
        <v>3120</v>
      </c>
      <c r="C2926" s="55" t="s">
        <v>3121</v>
      </c>
      <c r="D2926" s="56" t="s">
        <v>3136</v>
      </c>
    </row>
    <row r="2927" spans="2:4" s="54" customFormat="1" x14ac:dyDescent="0.2">
      <c r="B2927" s="107" t="s">
        <v>3120</v>
      </c>
      <c r="C2927" s="55" t="s">
        <v>3121</v>
      </c>
      <c r="D2927" s="56" t="s">
        <v>3137</v>
      </c>
    </row>
    <row r="2928" spans="2:4" s="54" customFormat="1" x14ac:dyDescent="0.2">
      <c r="B2928" s="107" t="s">
        <v>3120</v>
      </c>
      <c r="C2928" s="55" t="s">
        <v>3121</v>
      </c>
      <c r="D2928" s="56" t="s">
        <v>3138</v>
      </c>
    </row>
    <row r="2929" spans="2:4" s="54" customFormat="1" x14ac:dyDescent="0.2">
      <c r="B2929" s="107" t="s">
        <v>3120</v>
      </c>
      <c r="C2929" s="55" t="s">
        <v>3121</v>
      </c>
      <c r="D2929" s="56" t="s">
        <v>3139</v>
      </c>
    </row>
    <row r="2930" spans="2:4" s="54" customFormat="1" x14ac:dyDescent="0.2">
      <c r="B2930" s="107" t="s">
        <v>3120</v>
      </c>
      <c r="C2930" s="55" t="s">
        <v>3121</v>
      </c>
      <c r="D2930" s="56" t="s">
        <v>3140</v>
      </c>
    </row>
    <row r="2931" spans="2:4" s="54" customFormat="1" x14ac:dyDescent="0.2">
      <c r="B2931" s="107" t="s">
        <v>3120</v>
      </c>
      <c r="C2931" s="55" t="s">
        <v>3121</v>
      </c>
      <c r="D2931" s="56" t="s">
        <v>1685</v>
      </c>
    </row>
    <row r="2932" spans="2:4" s="54" customFormat="1" x14ac:dyDescent="0.2">
      <c r="B2932" s="107" t="s">
        <v>3120</v>
      </c>
      <c r="C2932" s="55" t="s">
        <v>3121</v>
      </c>
      <c r="D2932" s="56" t="s">
        <v>3141</v>
      </c>
    </row>
    <row r="2933" spans="2:4" s="54" customFormat="1" x14ac:dyDescent="0.2">
      <c r="B2933" s="107" t="s">
        <v>3120</v>
      </c>
      <c r="C2933" s="55" t="s">
        <v>3121</v>
      </c>
      <c r="D2933" s="56" t="s">
        <v>3142</v>
      </c>
    </row>
    <row r="2934" spans="2:4" s="54" customFormat="1" x14ac:dyDescent="0.2">
      <c r="B2934" s="107" t="s">
        <v>3120</v>
      </c>
      <c r="C2934" s="55" t="s">
        <v>3121</v>
      </c>
      <c r="D2934" s="56" t="s">
        <v>3143</v>
      </c>
    </row>
    <row r="2935" spans="2:4" s="54" customFormat="1" x14ac:dyDescent="0.2">
      <c r="B2935" s="107" t="s">
        <v>3120</v>
      </c>
      <c r="C2935" s="55" t="s">
        <v>3121</v>
      </c>
      <c r="D2935" s="56" t="s">
        <v>3144</v>
      </c>
    </row>
    <row r="2936" spans="2:4" s="54" customFormat="1" x14ac:dyDescent="0.2">
      <c r="B2936" s="107" t="s">
        <v>3120</v>
      </c>
      <c r="C2936" s="55" t="s">
        <v>3121</v>
      </c>
      <c r="D2936" s="56" t="s">
        <v>3145</v>
      </c>
    </row>
    <row r="2937" spans="2:4" s="54" customFormat="1" x14ac:dyDescent="0.2">
      <c r="B2937" s="107" t="s">
        <v>3120</v>
      </c>
      <c r="C2937" s="55" t="s">
        <v>3121</v>
      </c>
      <c r="D2937" s="56" t="s">
        <v>442</v>
      </c>
    </row>
    <row r="2938" spans="2:4" s="54" customFormat="1" x14ac:dyDescent="0.2">
      <c r="B2938" s="107" t="s">
        <v>3120</v>
      </c>
      <c r="C2938" s="55" t="s">
        <v>3121</v>
      </c>
      <c r="D2938" s="56" t="s">
        <v>3146</v>
      </c>
    </row>
    <row r="2939" spans="2:4" s="54" customFormat="1" x14ac:dyDescent="0.2">
      <c r="B2939" s="107" t="s">
        <v>3120</v>
      </c>
      <c r="C2939" s="55" t="s">
        <v>3121</v>
      </c>
      <c r="D2939" s="56" t="s">
        <v>3147</v>
      </c>
    </row>
    <row r="2940" spans="2:4" s="54" customFormat="1" x14ac:dyDescent="0.2">
      <c r="B2940" s="107" t="s">
        <v>3120</v>
      </c>
      <c r="C2940" s="55" t="s">
        <v>3121</v>
      </c>
      <c r="D2940" s="56" t="s">
        <v>3148</v>
      </c>
    </row>
    <row r="2941" spans="2:4" s="54" customFormat="1" x14ac:dyDescent="0.2">
      <c r="B2941" s="107" t="s">
        <v>3120</v>
      </c>
      <c r="C2941" s="55" t="s">
        <v>3121</v>
      </c>
      <c r="D2941" s="56" t="s">
        <v>3149</v>
      </c>
    </row>
    <row r="2942" spans="2:4" s="54" customFormat="1" x14ac:dyDescent="0.2">
      <c r="B2942" s="107" t="s">
        <v>3120</v>
      </c>
      <c r="C2942" s="55" t="s">
        <v>3121</v>
      </c>
      <c r="D2942" s="56" t="s">
        <v>3150</v>
      </c>
    </row>
    <row r="2943" spans="2:4" s="54" customFormat="1" x14ac:dyDescent="0.2">
      <c r="B2943" s="107" t="s">
        <v>3120</v>
      </c>
      <c r="C2943" s="55" t="s">
        <v>3121</v>
      </c>
      <c r="D2943" s="56" t="s">
        <v>3151</v>
      </c>
    </row>
    <row r="2944" spans="2:4" s="54" customFormat="1" x14ac:dyDescent="0.2">
      <c r="B2944" s="107" t="s">
        <v>3120</v>
      </c>
      <c r="C2944" s="55" t="s">
        <v>3121</v>
      </c>
      <c r="D2944" s="56" t="s">
        <v>3152</v>
      </c>
    </row>
    <row r="2945" spans="2:4" s="54" customFormat="1" x14ac:dyDescent="0.2">
      <c r="B2945" s="107" t="s">
        <v>3120</v>
      </c>
      <c r="C2945" s="55" t="s">
        <v>3121</v>
      </c>
      <c r="D2945" s="56" t="s">
        <v>3153</v>
      </c>
    </row>
    <row r="2946" spans="2:4" s="54" customFormat="1" x14ac:dyDescent="0.2">
      <c r="B2946" s="107" t="s">
        <v>3120</v>
      </c>
      <c r="C2946" s="55" t="s">
        <v>3121</v>
      </c>
      <c r="D2946" s="56" t="s">
        <v>3154</v>
      </c>
    </row>
    <row r="2947" spans="2:4" s="54" customFormat="1" x14ac:dyDescent="0.2">
      <c r="B2947" s="107" t="s">
        <v>3120</v>
      </c>
      <c r="C2947" s="55" t="s">
        <v>3121</v>
      </c>
      <c r="D2947" s="56" t="s">
        <v>3155</v>
      </c>
    </row>
    <row r="2948" spans="2:4" s="54" customFormat="1" x14ac:dyDescent="0.2">
      <c r="B2948" s="107" t="s">
        <v>3120</v>
      </c>
      <c r="C2948" s="55" t="s">
        <v>3121</v>
      </c>
      <c r="D2948" s="56" t="s">
        <v>3156</v>
      </c>
    </row>
    <row r="2949" spans="2:4" s="54" customFormat="1" x14ac:dyDescent="0.2">
      <c r="B2949" s="107" t="s">
        <v>3120</v>
      </c>
      <c r="C2949" s="55" t="s">
        <v>3121</v>
      </c>
      <c r="D2949" s="56" t="s">
        <v>3157</v>
      </c>
    </row>
    <row r="2950" spans="2:4" s="54" customFormat="1" x14ac:dyDescent="0.2">
      <c r="B2950" s="107" t="s">
        <v>3120</v>
      </c>
      <c r="C2950" s="55" t="s">
        <v>3121</v>
      </c>
      <c r="D2950" s="56" t="s">
        <v>3158</v>
      </c>
    </row>
    <row r="2951" spans="2:4" s="54" customFormat="1" x14ac:dyDescent="0.2">
      <c r="B2951" s="107" t="s">
        <v>3120</v>
      </c>
      <c r="C2951" s="55" t="s">
        <v>3121</v>
      </c>
      <c r="D2951" s="56" t="s">
        <v>3159</v>
      </c>
    </row>
    <row r="2952" spans="2:4" s="54" customFormat="1" x14ac:dyDescent="0.2">
      <c r="B2952" s="107" t="s">
        <v>3120</v>
      </c>
      <c r="C2952" s="55" t="s">
        <v>3121</v>
      </c>
      <c r="D2952" s="56" t="s">
        <v>3160</v>
      </c>
    </row>
    <row r="2953" spans="2:4" s="54" customFormat="1" x14ac:dyDescent="0.2">
      <c r="B2953" s="107" t="s">
        <v>3120</v>
      </c>
      <c r="C2953" s="55" t="s">
        <v>3121</v>
      </c>
      <c r="D2953" s="56" t="s">
        <v>3161</v>
      </c>
    </row>
    <row r="2954" spans="2:4" s="54" customFormat="1" x14ac:dyDescent="0.2">
      <c r="B2954" s="107" t="s">
        <v>3120</v>
      </c>
      <c r="C2954" s="55" t="s">
        <v>3121</v>
      </c>
      <c r="D2954" s="56" t="s">
        <v>3162</v>
      </c>
    </row>
    <row r="2955" spans="2:4" s="54" customFormat="1" x14ac:dyDescent="0.2">
      <c r="B2955" s="107" t="s">
        <v>3120</v>
      </c>
      <c r="C2955" s="55" t="s">
        <v>3121</v>
      </c>
      <c r="D2955" s="56" t="s">
        <v>3163</v>
      </c>
    </row>
    <row r="2956" spans="2:4" s="54" customFormat="1" x14ac:dyDescent="0.2">
      <c r="B2956" s="107" t="s">
        <v>3120</v>
      </c>
      <c r="C2956" s="55" t="s">
        <v>3121</v>
      </c>
      <c r="D2956" s="56" t="s">
        <v>3164</v>
      </c>
    </row>
    <row r="2957" spans="2:4" s="54" customFormat="1" x14ac:dyDescent="0.2">
      <c r="B2957" s="107" t="s">
        <v>3120</v>
      </c>
      <c r="C2957" s="55" t="s">
        <v>3121</v>
      </c>
      <c r="D2957" s="56" t="s">
        <v>3165</v>
      </c>
    </row>
    <row r="2958" spans="2:4" s="54" customFormat="1" x14ac:dyDescent="0.2">
      <c r="B2958" s="107" t="s">
        <v>3120</v>
      </c>
      <c r="C2958" s="55" t="s">
        <v>3121</v>
      </c>
      <c r="D2958" s="56" t="s">
        <v>3166</v>
      </c>
    </row>
    <row r="2959" spans="2:4" s="54" customFormat="1" x14ac:dyDescent="0.2">
      <c r="B2959" s="107" t="s">
        <v>3120</v>
      </c>
      <c r="C2959" s="55" t="s">
        <v>3121</v>
      </c>
      <c r="D2959" s="56" t="s">
        <v>3167</v>
      </c>
    </row>
    <row r="2960" spans="2:4" s="54" customFormat="1" x14ac:dyDescent="0.2">
      <c r="B2960" s="107" t="s">
        <v>3120</v>
      </c>
      <c r="C2960" s="55" t="s">
        <v>3121</v>
      </c>
      <c r="D2960" s="56" t="s">
        <v>3168</v>
      </c>
    </row>
    <row r="2961" spans="2:4" s="54" customFormat="1" x14ac:dyDescent="0.2">
      <c r="B2961" s="107" t="s">
        <v>3120</v>
      </c>
      <c r="C2961" s="55" t="s">
        <v>3121</v>
      </c>
      <c r="D2961" s="56" t="s">
        <v>3169</v>
      </c>
    </row>
    <row r="2962" spans="2:4" s="54" customFormat="1" x14ac:dyDescent="0.2">
      <c r="B2962" s="107" t="s">
        <v>3170</v>
      </c>
      <c r="C2962" s="55" t="s">
        <v>3171</v>
      </c>
      <c r="D2962" s="56" t="s">
        <v>3172</v>
      </c>
    </row>
    <row r="2963" spans="2:4" s="54" customFormat="1" x14ac:dyDescent="0.2">
      <c r="B2963" s="107" t="s">
        <v>3170</v>
      </c>
      <c r="C2963" s="55" t="s">
        <v>3171</v>
      </c>
      <c r="D2963" s="56" t="s">
        <v>3173</v>
      </c>
    </row>
    <row r="2964" spans="2:4" s="54" customFormat="1" x14ac:dyDescent="0.2">
      <c r="B2964" s="107" t="s">
        <v>3170</v>
      </c>
      <c r="C2964" s="55" t="s">
        <v>3171</v>
      </c>
      <c r="D2964" s="56" t="s">
        <v>3174</v>
      </c>
    </row>
    <row r="2965" spans="2:4" s="54" customFormat="1" x14ac:dyDescent="0.2">
      <c r="B2965" s="107" t="s">
        <v>3170</v>
      </c>
      <c r="C2965" s="55" t="s">
        <v>3171</v>
      </c>
      <c r="D2965" s="56" t="s">
        <v>3175</v>
      </c>
    </row>
    <row r="2966" spans="2:4" s="54" customFormat="1" x14ac:dyDescent="0.2">
      <c r="B2966" s="107" t="s">
        <v>3170</v>
      </c>
      <c r="C2966" s="55" t="s">
        <v>3171</v>
      </c>
      <c r="D2966" s="56" t="s">
        <v>3176</v>
      </c>
    </row>
    <row r="2967" spans="2:4" s="54" customFormat="1" x14ac:dyDescent="0.2">
      <c r="B2967" s="107" t="s">
        <v>3170</v>
      </c>
      <c r="C2967" s="55" t="s">
        <v>3171</v>
      </c>
      <c r="D2967" s="56" t="s">
        <v>3177</v>
      </c>
    </row>
    <row r="2968" spans="2:4" s="54" customFormat="1" x14ac:dyDescent="0.2">
      <c r="B2968" s="107" t="s">
        <v>3170</v>
      </c>
      <c r="C2968" s="55" t="s">
        <v>3171</v>
      </c>
      <c r="D2968" s="56" t="s">
        <v>3131</v>
      </c>
    </row>
    <row r="2969" spans="2:4" s="54" customFormat="1" x14ac:dyDescent="0.2">
      <c r="B2969" s="107" t="s">
        <v>3170</v>
      </c>
      <c r="C2969" s="55" t="s">
        <v>3171</v>
      </c>
      <c r="D2969" s="56" t="s">
        <v>3178</v>
      </c>
    </row>
    <row r="2970" spans="2:4" s="54" customFormat="1" x14ac:dyDescent="0.2">
      <c r="B2970" s="107" t="s">
        <v>3170</v>
      </c>
      <c r="C2970" s="55" t="s">
        <v>3171</v>
      </c>
      <c r="D2970" s="56" t="s">
        <v>3179</v>
      </c>
    </row>
    <row r="2971" spans="2:4" s="54" customFormat="1" x14ac:dyDescent="0.2">
      <c r="B2971" s="107" t="s">
        <v>3170</v>
      </c>
      <c r="C2971" s="55" t="s">
        <v>3171</v>
      </c>
      <c r="D2971" s="56" t="s">
        <v>3180</v>
      </c>
    </row>
    <row r="2972" spans="2:4" s="54" customFormat="1" x14ac:dyDescent="0.2">
      <c r="B2972" s="107" t="s">
        <v>3170</v>
      </c>
      <c r="C2972" s="55" t="s">
        <v>3171</v>
      </c>
      <c r="D2972" s="56" t="s">
        <v>3181</v>
      </c>
    </row>
    <row r="2973" spans="2:4" s="54" customFormat="1" x14ac:dyDescent="0.2">
      <c r="B2973" s="107" t="s">
        <v>3170</v>
      </c>
      <c r="C2973" s="55" t="s">
        <v>3171</v>
      </c>
      <c r="D2973" s="56" t="s">
        <v>189</v>
      </c>
    </row>
    <row r="2974" spans="2:4" s="54" customFormat="1" x14ac:dyDescent="0.2">
      <c r="B2974" s="107" t="s">
        <v>3170</v>
      </c>
      <c r="C2974" s="55" t="s">
        <v>3171</v>
      </c>
      <c r="D2974" s="56" t="s">
        <v>3182</v>
      </c>
    </row>
    <row r="2975" spans="2:4" s="54" customFormat="1" x14ac:dyDescent="0.2">
      <c r="B2975" s="107" t="s">
        <v>3170</v>
      </c>
      <c r="C2975" s="55" t="s">
        <v>3171</v>
      </c>
      <c r="D2975" s="56" t="s">
        <v>3183</v>
      </c>
    </row>
    <row r="2976" spans="2:4" s="54" customFormat="1" x14ac:dyDescent="0.2">
      <c r="B2976" s="107" t="s">
        <v>3170</v>
      </c>
      <c r="C2976" s="55" t="s">
        <v>3171</v>
      </c>
      <c r="D2976" s="56" t="s">
        <v>3184</v>
      </c>
    </row>
    <row r="2977" spans="2:4" s="54" customFormat="1" x14ac:dyDescent="0.2">
      <c r="B2977" s="107" t="s">
        <v>3170</v>
      </c>
      <c r="C2977" s="55" t="s">
        <v>3171</v>
      </c>
      <c r="D2977" s="56" t="s">
        <v>721</v>
      </c>
    </row>
    <row r="2978" spans="2:4" s="54" customFormat="1" x14ac:dyDescent="0.2">
      <c r="B2978" s="107" t="s">
        <v>3170</v>
      </c>
      <c r="C2978" s="55" t="s">
        <v>3171</v>
      </c>
      <c r="D2978" s="56" t="s">
        <v>3185</v>
      </c>
    </row>
    <row r="2979" spans="2:4" s="54" customFormat="1" x14ac:dyDescent="0.2">
      <c r="B2979" s="107" t="s">
        <v>3170</v>
      </c>
      <c r="C2979" s="55" t="s">
        <v>3171</v>
      </c>
      <c r="D2979" s="56" t="s">
        <v>3186</v>
      </c>
    </row>
    <row r="2980" spans="2:4" s="54" customFormat="1" x14ac:dyDescent="0.2">
      <c r="B2980" s="107" t="s">
        <v>3170</v>
      </c>
      <c r="C2980" s="55" t="s">
        <v>3171</v>
      </c>
      <c r="D2980" s="56" t="s">
        <v>3187</v>
      </c>
    </row>
    <row r="2981" spans="2:4" s="54" customFormat="1" x14ac:dyDescent="0.2">
      <c r="B2981" s="107" t="s">
        <v>3188</v>
      </c>
      <c r="C2981" s="55" t="s">
        <v>3189</v>
      </c>
      <c r="D2981" s="56" t="s">
        <v>3190</v>
      </c>
    </row>
    <row r="2982" spans="2:4" s="54" customFormat="1" x14ac:dyDescent="0.2">
      <c r="B2982" s="107" t="s">
        <v>3188</v>
      </c>
      <c r="C2982" s="55" t="s">
        <v>3189</v>
      </c>
      <c r="D2982" s="56" t="s">
        <v>3191</v>
      </c>
    </row>
    <row r="2983" spans="2:4" s="54" customFormat="1" x14ac:dyDescent="0.2">
      <c r="B2983" s="107" t="s">
        <v>3188</v>
      </c>
      <c r="C2983" s="55" t="s">
        <v>3189</v>
      </c>
      <c r="D2983" s="56" t="s">
        <v>3192</v>
      </c>
    </row>
    <row r="2984" spans="2:4" s="54" customFormat="1" x14ac:dyDescent="0.2">
      <c r="B2984" s="107" t="s">
        <v>3188</v>
      </c>
      <c r="C2984" s="55" t="s">
        <v>3189</v>
      </c>
      <c r="D2984" s="56" t="s">
        <v>3193</v>
      </c>
    </row>
    <row r="2985" spans="2:4" s="54" customFormat="1" x14ac:dyDescent="0.2">
      <c r="B2985" s="107" t="s">
        <v>3188</v>
      </c>
      <c r="C2985" s="55" t="s">
        <v>3189</v>
      </c>
      <c r="D2985" s="56" t="s">
        <v>3194</v>
      </c>
    </row>
    <row r="2986" spans="2:4" s="54" customFormat="1" x14ac:dyDescent="0.2">
      <c r="B2986" s="107" t="s">
        <v>3188</v>
      </c>
      <c r="C2986" s="55" t="s">
        <v>3189</v>
      </c>
      <c r="D2986" s="56" t="s">
        <v>3195</v>
      </c>
    </row>
    <row r="2987" spans="2:4" s="54" customFormat="1" x14ac:dyDescent="0.2">
      <c r="B2987" s="107" t="s">
        <v>3188</v>
      </c>
      <c r="C2987" s="55" t="s">
        <v>3189</v>
      </c>
      <c r="D2987" s="56" t="s">
        <v>3196</v>
      </c>
    </row>
    <row r="2988" spans="2:4" s="54" customFormat="1" x14ac:dyDescent="0.2">
      <c r="B2988" s="107" t="s">
        <v>3188</v>
      </c>
      <c r="C2988" s="55" t="s">
        <v>3189</v>
      </c>
      <c r="D2988" s="56" t="s">
        <v>3197</v>
      </c>
    </row>
    <row r="2989" spans="2:4" s="54" customFormat="1" x14ac:dyDescent="0.2">
      <c r="B2989" s="107" t="s">
        <v>3188</v>
      </c>
      <c r="C2989" s="55" t="s">
        <v>3189</v>
      </c>
      <c r="D2989" s="56" t="s">
        <v>3198</v>
      </c>
    </row>
    <row r="2990" spans="2:4" s="54" customFormat="1" x14ac:dyDescent="0.2">
      <c r="B2990" s="107" t="s">
        <v>3188</v>
      </c>
      <c r="C2990" s="55" t="s">
        <v>3189</v>
      </c>
      <c r="D2990" s="56" t="s">
        <v>3199</v>
      </c>
    </row>
    <row r="2991" spans="2:4" s="54" customFormat="1" x14ac:dyDescent="0.2">
      <c r="B2991" s="107" t="s">
        <v>3188</v>
      </c>
      <c r="C2991" s="55" t="s">
        <v>3189</v>
      </c>
      <c r="D2991" s="56" t="s">
        <v>3200</v>
      </c>
    </row>
    <row r="2992" spans="2:4" s="54" customFormat="1" x14ac:dyDescent="0.2">
      <c r="B2992" s="107" t="s">
        <v>3188</v>
      </c>
      <c r="C2992" s="55" t="s">
        <v>3189</v>
      </c>
      <c r="D2992" s="56" t="s">
        <v>3201</v>
      </c>
    </row>
    <row r="2993" spans="2:4" s="54" customFormat="1" x14ac:dyDescent="0.2">
      <c r="B2993" s="107" t="s">
        <v>3188</v>
      </c>
      <c r="C2993" s="55" t="s">
        <v>3189</v>
      </c>
      <c r="D2993" s="56" t="s">
        <v>3202</v>
      </c>
    </row>
    <row r="2994" spans="2:4" s="54" customFormat="1" x14ac:dyDescent="0.2">
      <c r="B2994" s="107" t="s">
        <v>3188</v>
      </c>
      <c r="C2994" s="55" t="s">
        <v>3189</v>
      </c>
      <c r="D2994" s="56" t="s">
        <v>3203</v>
      </c>
    </row>
    <row r="2995" spans="2:4" s="54" customFormat="1" x14ac:dyDescent="0.2">
      <c r="B2995" s="107" t="s">
        <v>3204</v>
      </c>
      <c r="C2995" s="55" t="s">
        <v>3205</v>
      </c>
      <c r="D2995" s="56" t="s">
        <v>3206</v>
      </c>
    </row>
    <row r="2996" spans="2:4" s="54" customFormat="1" x14ac:dyDescent="0.2">
      <c r="B2996" s="107" t="s">
        <v>3204</v>
      </c>
      <c r="C2996" s="55" t="s">
        <v>3205</v>
      </c>
      <c r="D2996" s="56" t="s">
        <v>3207</v>
      </c>
    </row>
    <row r="2997" spans="2:4" s="54" customFormat="1" x14ac:dyDescent="0.2">
      <c r="B2997" s="107" t="s">
        <v>3204</v>
      </c>
      <c r="C2997" s="55" t="s">
        <v>3205</v>
      </c>
      <c r="D2997" s="56" t="s">
        <v>3208</v>
      </c>
    </row>
    <row r="2998" spans="2:4" s="54" customFormat="1" x14ac:dyDescent="0.2">
      <c r="B2998" s="107" t="s">
        <v>3204</v>
      </c>
      <c r="C2998" s="55" t="s">
        <v>3205</v>
      </c>
      <c r="D2998" s="56" t="s">
        <v>3209</v>
      </c>
    </row>
    <row r="2999" spans="2:4" s="54" customFormat="1" x14ac:dyDescent="0.2">
      <c r="B2999" s="107" t="s">
        <v>3204</v>
      </c>
      <c r="C2999" s="55" t="s">
        <v>3205</v>
      </c>
      <c r="D2999" s="56" t="s">
        <v>3210</v>
      </c>
    </row>
    <row r="3000" spans="2:4" s="54" customFormat="1" x14ac:dyDescent="0.2">
      <c r="B3000" s="107" t="s">
        <v>3204</v>
      </c>
      <c r="C3000" s="55" t="s">
        <v>3205</v>
      </c>
      <c r="D3000" s="56" t="s">
        <v>3211</v>
      </c>
    </row>
    <row r="3001" spans="2:4" s="54" customFormat="1" x14ac:dyDescent="0.2">
      <c r="B3001" s="107" t="s">
        <v>3212</v>
      </c>
      <c r="C3001" s="55" t="s">
        <v>3213</v>
      </c>
      <c r="D3001" s="56" t="s">
        <v>401</v>
      </c>
    </row>
    <row r="3002" spans="2:4" s="54" customFormat="1" x14ac:dyDescent="0.2">
      <c r="B3002" s="107" t="s">
        <v>3212</v>
      </c>
      <c r="C3002" s="55" t="s">
        <v>3213</v>
      </c>
      <c r="D3002" s="56" t="s">
        <v>3214</v>
      </c>
    </row>
    <row r="3003" spans="2:4" s="54" customFormat="1" x14ac:dyDescent="0.2">
      <c r="B3003" s="107" t="s">
        <v>3212</v>
      </c>
      <c r="C3003" s="55" t="s">
        <v>3213</v>
      </c>
      <c r="D3003" s="56" t="s">
        <v>3215</v>
      </c>
    </row>
    <row r="3004" spans="2:4" s="54" customFormat="1" x14ac:dyDescent="0.2">
      <c r="B3004" s="107" t="s">
        <v>3212</v>
      </c>
      <c r="C3004" s="55" t="s">
        <v>3213</v>
      </c>
      <c r="D3004" s="56" t="s">
        <v>3216</v>
      </c>
    </row>
    <row r="3005" spans="2:4" s="54" customFormat="1" x14ac:dyDescent="0.2">
      <c r="B3005" s="107" t="s">
        <v>3212</v>
      </c>
      <c r="C3005" s="55" t="s">
        <v>3213</v>
      </c>
      <c r="D3005" s="56" t="s">
        <v>3217</v>
      </c>
    </row>
    <row r="3006" spans="2:4" s="54" customFormat="1" x14ac:dyDescent="0.2">
      <c r="B3006" s="107" t="s">
        <v>3212</v>
      </c>
      <c r="C3006" s="55" t="s">
        <v>3213</v>
      </c>
      <c r="D3006" s="56" t="s">
        <v>920</v>
      </c>
    </row>
    <row r="3007" spans="2:4" s="54" customFormat="1" x14ac:dyDescent="0.2">
      <c r="B3007" s="107" t="s">
        <v>3212</v>
      </c>
      <c r="C3007" s="55" t="s">
        <v>3213</v>
      </c>
      <c r="D3007" s="56" t="s">
        <v>3218</v>
      </c>
    </row>
    <row r="3008" spans="2:4" s="54" customFormat="1" x14ac:dyDescent="0.2">
      <c r="B3008" s="107" t="s">
        <v>3212</v>
      </c>
      <c r="C3008" s="55" t="s">
        <v>3213</v>
      </c>
      <c r="D3008" s="56" t="s">
        <v>3219</v>
      </c>
    </row>
    <row r="3009" spans="2:4" s="54" customFormat="1" x14ac:dyDescent="0.2">
      <c r="B3009" s="107" t="s">
        <v>3212</v>
      </c>
      <c r="C3009" s="55" t="s">
        <v>3213</v>
      </c>
      <c r="D3009" s="56" t="s">
        <v>3220</v>
      </c>
    </row>
    <row r="3010" spans="2:4" s="54" customFormat="1" x14ac:dyDescent="0.2">
      <c r="B3010" s="107" t="s">
        <v>3212</v>
      </c>
      <c r="C3010" s="55" t="s">
        <v>3213</v>
      </c>
      <c r="D3010" s="56" t="s">
        <v>404</v>
      </c>
    </row>
    <row r="3011" spans="2:4" s="54" customFormat="1" x14ac:dyDescent="0.2">
      <c r="B3011" s="107" t="s">
        <v>3212</v>
      </c>
      <c r="C3011" s="55" t="s">
        <v>3213</v>
      </c>
      <c r="D3011" s="56" t="s">
        <v>3221</v>
      </c>
    </row>
    <row r="3012" spans="2:4" s="54" customFormat="1" x14ac:dyDescent="0.2">
      <c r="B3012" s="107" t="s">
        <v>3212</v>
      </c>
      <c r="C3012" s="55" t="s">
        <v>3213</v>
      </c>
      <c r="D3012" s="56" t="s">
        <v>3222</v>
      </c>
    </row>
    <row r="3013" spans="2:4" s="54" customFormat="1" x14ac:dyDescent="0.2">
      <c r="B3013" s="107" t="s">
        <v>3212</v>
      </c>
      <c r="C3013" s="55" t="s">
        <v>3213</v>
      </c>
      <c r="D3013" s="56" t="s">
        <v>3223</v>
      </c>
    </row>
    <row r="3014" spans="2:4" s="54" customFormat="1" x14ac:dyDescent="0.2">
      <c r="B3014" s="107" t="s">
        <v>3212</v>
      </c>
      <c r="C3014" s="55" t="s">
        <v>3213</v>
      </c>
      <c r="D3014" s="56" t="s">
        <v>3224</v>
      </c>
    </row>
    <row r="3015" spans="2:4" s="54" customFormat="1" x14ac:dyDescent="0.2">
      <c r="B3015" s="107" t="s">
        <v>3212</v>
      </c>
      <c r="C3015" s="55" t="s">
        <v>3213</v>
      </c>
      <c r="D3015" s="56" t="s">
        <v>3225</v>
      </c>
    </row>
    <row r="3016" spans="2:4" s="54" customFormat="1" x14ac:dyDescent="0.2">
      <c r="B3016" s="107" t="s">
        <v>3212</v>
      </c>
      <c r="C3016" s="55" t="s">
        <v>3213</v>
      </c>
      <c r="D3016" s="56" t="s">
        <v>3226</v>
      </c>
    </row>
    <row r="3017" spans="2:4" s="54" customFormat="1" x14ac:dyDescent="0.2">
      <c r="B3017" s="107" t="s">
        <v>3212</v>
      </c>
      <c r="C3017" s="55" t="s">
        <v>3213</v>
      </c>
      <c r="D3017" s="56" t="s">
        <v>3227</v>
      </c>
    </row>
    <row r="3018" spans="2:4" s="54" customFormat="1" x14ac:dyDescent="0.2">
      <c r="B3018" s="107" t="s">
        <v>3212</v>
      </c>
      <c r="C3018" s="55" t="s">
        <v>3213</v>
      </c>
      <c r="D3018" s="56" t="s">
        <v>3228</v>
      </c>
    </row>
    <row r="3019" spans="2:4" s="54" customFormat="1" x14ac:dyDescent="0.2">
      <c r="B3019" s="107" t="s">
        <v>3212</v>
      </c>
      <c r="C3019" s="55" t="s">
        <v>3213</v>
      </c>
      <c r="D3019" s="56" t="s">
        <v>676</v>
      </c>
    </row>
    <row r="3020" spans="2:4" s="54" customFormat="1" x14ac:dyDescent="0.2">
      <c r="B3020" s="107" t="s">
        <v>3212</v>
      </c>
      <c r="C3020" s="55" t="s">
        <v>3213</v>
      </c>
      <c r="D3020" s="56" t="s">
        <v>3229</v>
      </c>
    </row>
    <row r="3021" spans="2:4" s="54" customFormat="1" x14ac:dyDescent="0.2">
      <c r="B3021" s="107" t="s">
        <v>3212</v>
      </c>
      <c r="C3021" s="55" t="s">
        <v>3213</v>
      </c>
      <c r="D3021" s="56" t="s">
        <v>3230</v>
      </c>
    </row>
    <row r="3022" spans="2:4" s="54" customFormat="1" x14ac:dyDescent="0.2">
      <c r="B3022" s="107" t="s">
        <v>3212</v>
      </c>
      <c r="C3022" s="55" t="s">
        <v>3213</v>
      </c>
      <c r="D3022" s="56" t="s">
        <v>3231</v>
      </c>
    </row>
    <row r="3023" spans="2:4" s="54" customFormat="1" x14ac:dyDescent="0.2">
      <c r="B3023" s="107" t="s">
        <v>3212</v>
      </c>
      <c r="C3023" s="55" t="s">
        <v>3213</v>
      </c>
      <c r="D3023" s="56" t="s">
        <v>3232</v>
      </c>
    </row>
    <row r="3024" spans="2:4" s="54" customFormat="1" x14ac:dyDescent="0.2">
      <c r="B3024" s="107" t="s">
        <v>3212</v>
      </c>
      <c r="C3024" s="55" t="s">
        <v>3213</v>
      </c>
      <c r="D3024" s="56" t="s">
        <v>3233</v>
      </c>
    </row>
    <row r="3025" spans="2:4" s="54" customFormat="1" x14ac:dyDescent="0.2">
      <c r="B3025" s="107" t="s">
        <v>3234</v>
      </c>
      <c r="C3025" s="55" t="s">
        <v>3235</v>
      </c>
      <c r="D3025" s="56" t="s">
        <v>3236</v>
      </c>
    </row>
    <row r="3026" spans="2:4" s="54" customFormat="1" x14ac:dyDescent="0.2">
      <c r="B3026" s="107" t="s">
        <v>3234</v>
      </c>
      <c r="C3026" s="55" t="s">
        <v>3235</v>
      </c>
      <c r="D3026" s="56" t="s">
        <v>3237</v>
      </c>
    </row>
    <row r="3027" spans="2:4" s="54" customFormat="1" x14ac:dyDescent="0.2">
      <c r="B3027" s="107" t="s">
        <v>3234</v>
      </c>
      <c r="C3027" s="55" t="s">
        <v>3235</v>
      </c>
      <c r="D3027" s="56" t="s">
        <v>3238</v>
      </c>
    </row>
    <row r="3028" spans="2:4" s="54" customFormat="1" x14ac:dyDescent="0.2">
      <c r="B3028" s="107" t="s">
        <v>3234</v>
      </c>
      <c r="C3028" s="55" t="s">
        <v>3235</v>
      </c>
      <c r="D3028" s="56" t="s">
        <v>3239</v>
      </c>
    </row>
    <row r="3029" spans="2:4" s="54" customFormat="1" x14ac:dyDescent="0.2">
      <c r="B3029" s="107" t="s">
        <v>3234</v>
      </c>
      <c r="C3029" s="55" t="s">
        <v>3235</v>
      </c>
      <c r="D3029" s="56" t="s">
        <v>3240</v>
      </c>
    </row>
    <row r="3030" spans="2:4" s="54" customFormat="1" x14ac:dyDescent="0.2">
      <c r="B3030" s="107" t="s">
        <v>3234</v>
      </c>
      <c r="C3030" s="55" t="s">
        <v>3235</v>
      </c>
      <c r="D3030" s="56" t="s">
        <v>3241</v>
      </c>
    </row>
    <row r="3031" spans="2:4" s="54" customFormat="1" x14ac:dyDescent="0.2">
      <c r="B3031" s="107" t="s">
        <v>3234</v>
      </c>
      <c r="C3031" s="55" t="s">
        <v>3235</v>
      </c>
      <c r="D3031" s="56" t="s">
        <v>3242</v>
      </c>
    </row>
    <row r="3032" spans="2:4" s="54" customFormat="1" x14ac:dyDescent="0.2">
      <c r="B3032" s="107" t="s">
        <v>3234</v>
      </c>
      <c r="C3032" s="55" t="s">
        <v>3235</v>
      </c>
      <c r="D3032" s="56" t="s">
        <v>3243</v>
      </c>
    </row>
    <row r="3033" spans="2:4" s="54" customFormat="1" x14ac:dyDescent="0.2">
      <c r="B3033" s="107" t="s">
        <v>3234</v>
      </c>
      <c r="C3033" s="55" t="s">
        <v>3235</v>
      </c>
      <c r="D3033" s="56" t="s">
        <v>3244</v>
      </c>
    </row>
    <row r="3034" spans="2:4" s="54" customFormat="1" x14ac:dyDescent="0.2">
      <c r="B3034" s="107" t="s">
        <v>3234</v>
      </c>
      <c r="C3034" s="55" t="s">
        <v>3235</v>
      </c>
      <c r="D3034" s="56" t="s">
        <v>3245</v>
      </c>
    </row>
    <row r="3035" spans="2:4" s="54" customFormat="1" x14ac:dyDescent="0.2">
      <c r="B3035" s="107" t="s">
        <v>3234</v>
      </c>
      <c r="C3035" s="55" t="s">
        <v>3235</v>
      </c>
      <c r="D3035" s="56" t="s">
        <v>3246</v>
      </c>
    </row>
    <row r="3036" spans="2:4" s="54" customFormat="1" x14ac:dyDescent="0.2">
      <c r="B3036" s="107" t="s">
        <v>3234</v>
      </c>
      <c r="C3036" s="55" t="s">
        <v>3235</v>
      </c>
      <c r="D3036" s="56" t="s">
        <v>3247</v>
      </c>
    </row>
    <row r="3037" spans="2:4" s="54" customFormat="1" x14ac:dyDescent="0.2">
      <c r="B3037" s="107" t="s">
        <v>3234</v>
      </c>
      <c r="C3037" s="55" t="s">
        <v>3235</v>
      </c>
      <c r="D3037" s="56" t="s">
        <v>3248</v>
      </c>
    </row>
    <row r="3038" spans="2:4" s="54" customFormat="1" x14ac:dyDescent="0.2">
      <c r="B3038" s="107" t="s">
        <v>3234</v>
      </c>
      <c r="C3038" s="55" t="s">
        <v>3235</v>
      </c>
      <c r="D3038" s="56" t="s">
        <v>3249</v>
      </c>
    </row>
    <row r="3039" spans="2:4" s="54" customFormat="1" x14ac:dyDescent="0.2">
      <c r="B3039" s="107" t="s">
        <v>3234</v>
      </c>
      <c r="C3039" s="55" t="s">
        <v>3235</v>
      </c>
      <c r="D3039" s="56" t="s">
        <v>3250</v>
      </c>
    </row>
    <row r="3040" spans="2:4" s="54" customFormat="1" x14ac:dyDescent="0.2">
      <c r="B3040" s="107" t="s">
        <v>3234</v>
      </c>
      <c r="C3040" s="55" t="s">
        <v>3235</v>
      </c>
      <c r="D3040" s="56" t="s">
        <v>3251</v>
      </c>
    </row>
    <row r="3041" spans="2:4" s="54" customFormat="1" x14ac:dyDescent="0.2">
      <c r="B3041" s="107" t="s">
        <v>3234</v>
      </c>
      <c r="C3041" s="55" t="s">
        <v>3235</v>
      </c>
      <c r="D3041" s="56" t="s">
        <v>3252</v>
      </c>
    </row>
    <row r="3042" spans="2:4" s="54" customFormat="1" x14ac:dyDescent="0.2">
      <c r="B3042" s="107" t="s">
        <v>3234</v>
      </c>
      <c r="C3042" s="55" t="s">
        <v>3235</v>
      </c>
      <c r="D3042" s="56" t="s">
        <v>3253</v>
      </c>
    </row>
    <row r="3043" spans="2:4" s="54" customFormat="1" x14ac:dyDescent="0.2">
      <c r="B3043" s="107" t="s">
        <v>3234</v>
      </c>
      <c r="C3043" s="55" t="s">
        <v>3235</v>
      </c>
      <c r="D3043" s="56" t="s">
        <v>3254</v>
      </c>
    </row>
    <row r="3044" spans="2:4" s="54" customFormat="1" x14ac:dyDescent="0.2">
      <c r="B3044" s="107" t="s">
        <v>3234</v>
      </c>
      <c r="C3044" s="55" t="s">
        <v>3235</v>
      </c>
      <c r="D3044" s="56" t="s">
        <v>3255</v>
      </c>
    </row>
    <row r="3045" spans="2:4" s="54" customFormat="1" x14ac:dyDescent="0.2">
      <c r="B3045" s="107" t="s">
        <v>3234</v>
      </c>
      <c r="C3045" s="55" t="s">
        <v>3235</v>
      </c>
      <c r="D3045" s="56" t="s">
        <v>3256</v>
      </c>
    </row>
    <row r="3046" spans="2:4" s="54" customFormat="1" x14ac:dyDescent="0.2">
      <c r="B3046" s="107" t="s">
        <v>3234</v>
      </c>
      <c r="C3046" s="55" t="s">
        <v>3235</v>
      </c>
      <c r="D3046" s="56" t="s">
        <v>3257</v>
      </c>
    </row>
    <row r="3047" spans="2:4" s="54" customFormat="1" x14ac:dyDescent="0.2">
      <c r="B3047" s="107" t="s">
        <v>3234</v>
      </c>
      <c r="C3047" s="55" t="s">
        <v>3235</v>
      </c>
      <c r="D3047" s="56" t="s">
        <v>3258</v>
      </c>
    </row>
    <row r="3048" spans="2:4" s="54" customFormat="1" x14ac:dyDescent="0.2">
      <c r="B3048" s="107" t="s">
        <v>3234</v>
      </c>
      <c r="C3048" s="55" t="s">
        <v>3235</v>
      </c>
      <c r="D3048" s="56" t="s">
        <v>3259</v>
      </c>
    </row>
    <row r="3049" spans="2:4" s="54" customFormat="1" x14ac:dyDescent="0.2">
      <c r="B3049" s="107" t="s">
        <v>3234</v>
      </c>
      <c r="C3049" s="55" t="s">
        <v>3235</v>
      </c>
      <c r="D3049" s="56" t="s">
        <v>3260</v>
      </c>
    </row>
    <row r="3050" spans="2:4" s="54" customFormat="1" x14ac:dyDescent="0.2">
      <c r="B3050" s="107" t="s">
        <v>3234</v>
      </c>
      <c r="C3050" s="55" t="s">
        <v>3235</v>
      </c>
      <c r="D3050" s="56" t="s">
        <v>3261</v>
      </c>
    </row>
    <row r="3051" spans="2:4" s="54" customFormat="1" x14ac:dyDescent="0.2">
      <c r="B3051" s="107" t="s">
        <v>3234</v>
      </c>
      <c r="C3051" s="55" t="s">
        <v>3235</v>
      </c>
      <c r="D3051" s="56" t="s">
        <v>3262</v>
      </c>
    </row>
    <row r="3052" spans="2:4" s="54" customFormat="1" x14ac:dyDescent="0.2">
      <c r="B3052" s="107" t="s">
        <v>3234</v>
      </c>
      <c r="C3052" s="55" t="s">
        <v>3235</v>
      </c>
      <c r="D3052" s="56" t="s">
        <v>3263</v>
      </c>
    </row>
    <row r="3053" spans="2:4" s="54" customFormat="1" x14ac:dyDescent="0.2">
      <c r="B3053" s="107" t="s">
        <v>3234</v>
      </c>
      <c r="C3053" s="55" t="s">
        <v>3235</v>
      </c>
      <c r="D3053" s="56" t="s">
        <v>3264</v>
      </c>
    </row>
    <row r="3054" spans="2:4" s="54" customFormat="1" x14ac:dyDescent="0.2">
      <c r="B3054" s="107" t="s">
        <v>3234</v>
      </c>
      <c r="C3054" s="55" t="s">
        <v>3235</v>
      </c>
      <c r="D3054" s="56" t="s">
        <v>3265</v>
      </c>
    </row>
    <row r="3055" spans="2:4" s="54" customFormat="1" x14ac:dyDescent="0.2">
      <c r="B3055" s="107" t="s">
        <v>3234</v>
      </c>
      <c r="C3055" s="55" t="s">
        <v>3235</v>
      </c>
      <c r="D3055" s="56" t="s">
        <v>3266</v>
      </c>
    </row>
    <row r="3056" spans="2:4" s="54" customFormat="1" x14ac:dyDescent="0.2">
      <c r="B3056" s="107" t="s">
        <v>3234</v>
      </c>
      <c r="C3056" s="55" t="s">
        <v>3235</v>
      </c>
      <c r="D3056" s="56" t="s">
        <v>3267</v>
      </c>
    </row>
    <row r="3057" spans="2:4" s="54" customFormat="1" x14ac:dyDescent="0.2">
      <c r="B3057" s="107" t="s">
        <v>3234</v>
      </c>
      <c r="C3057" s="55" t="s">
        <v>3235</v>
      </c>
      <c r="D3057" s="56" t="s">
        <v>3268</v>
      </c>
    </row>
    <row r="3058" spans="2:4" s="54" customFormat="1" x14ac:dyDescent="0.2">
      <c r="B3058" s="107" t="s">
        <v>3234</v>
      </c>
      <c r="C3058" s="55" t="s">
        <v>3235</v>
      </c>
      <c r="D3058" s="56" t="s">
        <v>3269</v>
      </c>
    </row>
    <row r="3059" spans="2:4" s="54" customFormat="1" x14ac:dyDescent="0.2">
      <c r="B3059" s="107" t="s">
        <v>3234</v>
      </c>
      <c r="C3059" s="55" t="s">
        <v>3235</v>
      </c>
      <c r="D3059" s="56" t="s">
        <v>3270</v>
      </c>
    </row>
    <row r="3060" spans="2:4" s="54" customFormat="1" x14ac:dyDescent="0.2">
      <c r="B3060" s="107" t="s">
        <v>3234</v>
      </c>
      <c r="C3060" s="55" t="s">
        <v>3235</v>
      </c>
      <c r="D3060" s="56" t="s">
        <v>3271</v>
      </c>
    </row>
    <row r="3061" spans="2:4" s="54" customFormat="1" x14ac:dyDescent="0.2">
      <c r="B3061" s="107" t="s">
        <v>3234</v>
      </c>
      <c r="C3061" s="55" t="s">
        <v>3235</v>
      </c>
      <c r="D3061" s="56" t="s">
        <v>3272</v>
      </c>
    </row>
    <row r="3062" spans="2:4" s="54" customFormat="1" x14ac:dyDescent="0.2">
      <c r="B3062" s="107" t="s">
        <v>3234</v>
      </c>
      <c r="C3062" s="55" t="s">
        <v>3235</v>
      </c>
      <c r="D3062" s="56" t="s">
        <v>3273</v>
      </c>
    </row>
    <row r="3063" spans="2:4" s="54" customFormat="1" x14ac:dyDescent="0.2">
      <c r="B3063" s="107" t="s">
        <v>3234</v>
      </c>
      <c r="C3063" s="55" t="s">
        <v>3235</v>
      </c>
      <c r="D3063" s="56" t="s">
        <v>3274</v>
      </c>
    </row>
    <row r="3064" spans="2:4" s="54" customFormat="1" x14ac:dyDescent="0.2">
      <c r="B3064" s="107" t="s">
        <v>3234</v>
      </c>
      <c r="C3064" s="55" t="s">
        <v>3235</v>
      </c>
      <c r="D3064" s="56" t="s">
        <v>3275</v>
      </c>
    </row>
    <row r="3065" spans="2:4" s="54" customFormat="1" x14ac:dyDescent="0.2">
      <c r="B3065" s="107" t="s">
        <v>3234</v>
      </c>
      <c r="C3065" s="55" t="s">
        <v>3235</v>
      </c>
      <c r="D3065" s="56" t="s">
        <v>3276</v>
      </c>
    </row>
    <row r="3066" spans="2:4" s="54" customFormat="1" x14ac:dyDescent="0.2">
      <c r="B3066" s="107" t="s">
        <v>3234</v>
      </c>
      <c r="C3066" s="55" t="s">
        <v>3235</v>
      </c>
      <c r="D3066" s="56" t="s">
        <v>3277</v>
      </c>
    </row>
    <row r="3067" spans="2:4" s="54" customFormat="1" x14ac:dyDescent="0.2">
      <c r="B3067" s="107" t="s">
        <v>3234</v>
      </c>
      <c r="C3067" s="55" t="s">
        <v>3235</v>
      </c>
      <c r="D3067" s="56" t="s">
        <v>3278</v>
      </c>
    </row>
    <row r="3068" spans="2:4" s="54" customFormat="1" x14ac:dyDescent="0.2">
      <c r="B3068" s="107" t="s">
        <v>3234</v>
      </c>
      <c r="C3068" s="55" t="s">
        <v>3235</v>
      </c>
      <c r="D3068" s="56" t="s">
        <v>3279</v>
      </c>
    </row>
    <row r="3069" spans="2:4" s="54" customFormat="1" x14ac:dyDescent="0.2">
      <c r="B3069" s="107" t="s">
        <v>3234</v>
      </c>
      <c r="C3069" s="55" t="s">
        <v>3235</v>
      </c>
      <c r="D3069" s="56" t="s">
        <v>3280</v>
      </c>
    </row>
    <row r="3070" spans="2:4" s="54" customFormat="1" x14ac:dyDescent="0.2">
      <c r="B3070" s="107" t="s">
        <v>3234</v>
      </c>
      <c r="C3070" s="55" t="s">
        <v>3235</v>
      </c>
      <c r="D3070" s="56" t="s">
        <v>3281</v>
      </c>
    </row>
    <row r="3071" spans="2:4" s="54" customFormat="1" x14ac:dyDescent="0.2">
      <c r="B3071" s="107" t="s">
        <v>3234</v>
      </c>
      <c r="C3071" s="55" t="s">
        <v>3235</v>
      </c>
      <c r="D3071" s="56" t="s">
        <v>3282</v>
      </c>
    </row>
    <row r="3072" spans="2:4" s="54" customFormat="1" x14ac:dyDescent="0.2">
      <c r="B3072" s="107" t="s">
        <v>3234</v>
      </c>
      <c r="C3072" s="55" t="s">
        <v>3235</v>
      </c>
      <c r="D3072" s="56" t="s">
        <v>3283</v>
      </c>
    </row>
    <row r="3073" spans="2:4" s="54" customFormat="1" x14ac:dyDescent="0.2">
      <c r="B3073" s="107" t="s">
        <v>3234</v>
      </c>
      <c r="C3073" s="55" t="s">
        <v>3235</v>
      </c>
      <c r="D3073" s="56" t="s">
        <v>3284</v>
      </c>
    </row>
    <row r="3074" spans="2:4" s="54" customFormat="1" x14ac:dyDescent="0.2">
      <c r="B3074" s="107" t="s">
        <v>3234</v>
      </c>
      <c r="C3074" s="55" t="s">
        <v>3235</v>
      </c>
      <c r="D3074" s="56" t="s">
        <v>3285</v>
      </c>
    </row>
    <row r="3075" spans="2:4" s="54" customFormat="1" x14ac:dyDescent="0.2">
      <c r="B3075" s="107" t="s">
        <v>3234</v>
      </c>
      <c r="C3075" s="55" t="s">
        <v>3235</v>
      </c>
      <c r="D3075" s="56" t="s">
        <v>3286</v>
      </c>
    </row>
    <row r="3076" spans="2:4" s="54" customFormat="1" x14ac:dyDescent="0.2">
      <c r="B3076" s="107" t="s">
        <v>3234</v>
      </c>
      <c r="C3076" s="55" t="s">
        <v>3235</v>
      </c>
      <c r="D3076" s="56" t="s">
        <v>3287</v>
      </c>
    </row>
    <row r="3077" spans="2:4" s="54" customFormat="1" x14ac:dyDescent="0.2">
      <c r="B3077" s="107" t="s">
        <v>3234</v>
      </c>
      <c r="C3077" s="55" t="s">
        <v>3235</v>
      </c>
      <c r="D3077" s="56" t="s">
        <v>3288</v>
      </c>
    </row>
    <row r="3078" spans="2:4" s="54" customFormat="1" x14ac:dyDescent="0.2">
      <c r="B3078" s="107" t="s">
        <v>3234</v>
      </c>
      <c r="C3078" s="55" t="s">
        <v>3235</v>
      </c>
      <c r="D3078" s="56" t="s">
        <v>3289</v>
      </c>
    </row>
    <row r="3079" spans="2:4" s="54" customFormat="1" x14ac:dyDescent="0.2">
      <c r="B3079" s="107" t="s">
        <v>3234</v>
      </c>
      <c r="C3079" s="55" t="s">
        <v>3235</v>
      </c>
      <c r="D3079" s="56" t="s">
        <v>3290</v>
      </c>
    </row>
    <row r="3080" spans="2:4" s="54" customFormat="1" x14ac:dyDescent="0.2">
      <c r="B3080" s="107" t="s">
        <v>3234</v>
      </c>
      <c r="C3080" s="55" t="s">
        <v>3235</v>
      </c>
      <c r="D3080" s="56" t="s">
        <v>3291</v>
      </c>
    </row>
    <row r="3081" spans="2:4" s="54" customFormat="1" x14ac:dyDescent="0.2">
      <c r="B3081" s="107" t="s">
        <v>3234</v>
      </c>
      <c r="C3081" s="55" t="s">
        <v>3235</v>
      </c>
      <c r="D3081" s="56" t="s">
        <v>3292</v>
      </c>
    </row>
    <row r="3082" spans="2:4" s="54" customFormat="1" x14ac:dyDescent="0.2">
      <c r="B3082" s="107" t="s">
        <v>3234</v>
      </c>
      <c r="C3082" s="55" t="s">
        <v>3235</v>
      </c>
      <c r="D3082" s="56" t="s">
        <v>3293</v>
      </c>
    </row>
    <row r="3083" spans="2:4" s="54" customFormat="1" x14ac:dyDescent="0.2">
      <c r="B3083" s="107" t="s">
        <v>3234</v>
      </c>
      <c r="C3083" s="55" t="s">
        <v>3235</v>
      </c>
      <c r="D3083" s="56" t="s">
        <v>3294</v>
      </c>
    </row>
    <row r="3084" spans="2:4" s="54" customFormat="1" x14ac:dyDescent="0.2">
      <c r="B3084" s="107" t="s">
        <v>3234</v>
      </c>
      <c r="C3084" s="55" t="s">
        <v>3235</v>
      </c>
      <c r="D3084" s="56" t="s">
        <v>3295</v>
      </c>
    </row>
    <row r="3085" spans="2:4" s="54" customFormat="1" x14ac:dyDescent="0.2">
      <c r="B3085" s="107" t="s">
        <v>3234</v>
      </c>
      <c r="C3085" s="55" t="s">
        <v>3235</v>
      </c>
      <c r="D3085" s="56" t="s">
        <v>3296</v>
      </c>
    </row>
    <row r="3086" spans="2:4" s="54" customFormat="1" x14ac:dyDescent="0.2">
      <c r="B3086" s="107" t="s">
        <v>3234</v>
      </c>
      <c r="C3086" s="55" t="s">
        <v>3235</v>
      </c>
      <c r="D3086" s="56" t="s">
        <v>3297</v>
      </c>
    </row>
    <row r="3087" spans="2:4" s="54" customFormat="1" x14ac:dyDescent="0.2">
      <c r="B3087" s="107" t="s">
        <v>3234</v>
      </c>
      <c r="C3087" s="55" t="s">
        <v>3235</v>
      </c>
      <c r="D3087" s="56" t="s">
        <v>3298</v>
      </c>
    </row>
    <row r="3088" spans="2:4" s="54" customFormat="1" x14ac:dyDescent="0.2">
      <c r="B3088" s="107" t="s">
        <v>3299</v>
      </c>
      <c r="C3088" s="55" t="s">
        <v>3300</v>
      </c>
      <c r="D3088" s="56" t="s">
        <v>3301</v>
      </c>
    </row>
    <row r="3089" spans="2:4" s="54" customFormat="1" x14ac:dyDescent="0.2">
      <c r="B3089" s="107" t="s">
        <v>3299</v>
      </c>
      <c r="C3089" s="55" t="s">
        <v>3300</v>
      </c>
      <c r="D3089" s="56" t="s">
        <v>3302</v>
      </c>
    </row>
    <row r="3090" spans="2:4" s="54" customFormat="1" x14ac:dyDescent="0.2">
      <c r="B3090" s="107" t="s">
        <v>3299</v>
      </c>
      <c r="C3090" s="55" t="s">
        <v>3300</v>
      </c>
      <c r="D3090" s="56" t="s">
        <v>3303</v>
      </c>
    </row>
    <row r="3091" spans="2:4" s="54" customFormat="1" x14ac:dyDescent="0.2">
      <c r="B3091" s="107" t="s">
        <v>3299</v>
      </c>
      <c r="C3091" s="55" t="s">
        <v>3300</v>
      </c>
      <c r="D3091" s="56" t="s">
        <v>3304</v>
      </c>
    </row>
    <row r="3092" spans="2:4" s="54" customFormat="1" x14ac:dyDescent="0.2">
      <c r="B3092" s="107" t="s">
        <v>3299</v>
      </c>
      <c r="C3092" s="55" t="s">
        <v>3300</v>
      </c>
      <c r="D3092" s="56" t="s">
        <v>3305</v>
      </c>
    </row>
    <row r="3093" spans="2:4" s="54" customFormat="1" x14ac:dyDescent="0.2">
      <c r="B3093" s="107" t="s">
        <v>3299</v>
      </c>
      <c r="C3093" s="55" t="s">
        <v>3300</v>
      </c>
      <c r="D3093" s="56" t="s">
        <v>3306</v>
      </c>
    </row>
    <row r="3094" spans="2:4" s="54" customFormat="1" x14ac:dyDescent="0.2">
      <c r="B3094" s="107" t="s">
        <v>3299</v>
      </c>
      <c r="C3094" s="55" t="s">
        <v>3300</v>
      </c>
      <c r="D3094" s="56" t="s">
        <v>3307</v>
      </c>
    </row>
    <row r="3095" spans="2:4" s="54" customFormat="1" x14ac:dyDescent="0.2">
      <c r="B3095" s="107" t="s">
        <v>3299</v>
      </c>
      <c r="C3095" s="55" t="s">
        <v>3300</v>
      </c>
      <c r="D3095" s="56" t="s">
        <v>3308</v>
      </c>
    </row>
    <row r="3096" spans="2:4" s="54" customFormat="1" x14ac:dyDescent="0.2">
      <c r="B3096" s="107" t="s">
        <v>3299</v>
      </c>
      <c r="C3096" s="55" t="s">
        <v>3300</v>
      </c>
      <c r="D3096" s="56" t="s">
        <v>3309</v>
      </c>
    </row>
    <row r="3097" spans="2:4" s="54" customFormat="1" x14ac:dyDescent="0.2">
      <c r="B3097" s="107" t="s">
        <v>3299</v>
      </c>
      <c r="C3097" s="55" t="s">
        <v>3300</v>
      </c>
      <c r="D3097" s="56" t="s">
        <v>3310</v>
      </c>
    </row>
    <row r="3098" spans="2:4" s="54" customFormat="1" x14ac:dyDescent="0.2">
      <c r="B3098" s="107" t="s">
        <v>3299</v>
      </c>
      <c r="C3098" s="55" t="s">
        <v>3300</v>
      </c>
      <c r="D3098" s="56" t="s">
        <v>3311</v>
      </c>
    </row>
    <row r="3099" spans="2:4" s="54" customFormat="1" x14ac:dyDescent="0.2">
      <c r="B3099" s="107" t="s">
        <v>3299</v>
      </c>
      <c r="C3099" s="55" t="s">
        <v>3300</v>
      </c>
      <c r="D3099" s="56" t="s">
        <v>3312</v>
      </c>
    </row>
    <row r="3100" spans="2:4" s="54" customFormat="1" x14ac:dyDescent="0.2">
      <c r="B3100" s="107" t="s">
        <v>3299</v>
      </c>
      <c r="C3100" s="55" t="s">
        <v>3300</v>
      </c>
      <c r="D3100" s="56" t="s">
        <v>3313</v>
      </c>
    </row>
    <row r="3101" spans="2:4" s="54" customFormat="1" x14ac:dyDescent="0.2">
      <c r="B3101" s="107" t="s">
        <v>3299</v>
      </c>
      <c r="C3101" s="55" t="s">
        <v>3300</v>
      </c>
      <c r="D3101" s="56" t="s">
        <v>3314</v>
      </c>
    </row>
    <row r="3102" spans="2:4" s="54" customFormat="1" x14ac:dyDescent="0.2">
      <c r="B3102" s="107" t="s">
        <v>3299</v>
      </c>
      <c r="C3102" s="55" t="s">
        <v>3300</v>
      </c>
      <c r="D3102" s="56" t="s">
        <v>3315</v>
      </c>
    </row>
    <row r="3103" spans="2:4" s="54" customFormat="1" x14ac:dyDescent="0.2">
      <c r="B3103" s="107" t="s">
        <v>3299</v>
      </c>
      <c r="C3103" s="55" t="s">
        <v>3300</v>
      </c>
      <c r="D3103" s="56" t="s">
        <v>3316</v>
      </c>
    </row>
    <row r="3104" spans="2:4" s="54" customFormat="1" x14ac:dyDescent="0.2">
      <c r="B3104" s="107" t="s">
        <v>3299</v>
      </c>
      <c r="C3104" s="55" t="s">
        <v>3300</v>
      </c>
      <c r="D3104" s="56" t="s">
        <v>3317</v>
      </c>
    </row>
    <row r="3105" spans="2:4" s="54" customFormat="1" x14ac:dyDescent="0.2">
      <c r="B3105" s="107" t="s">
        <v>3299</v>
      </c>
      <c r="C3105" s="55" t="s">
        <v>3300</v>
      </c>
      <c r="D3105" s="56" t="s">
        <v>3318</v>
      </c>
    </row>
    <row r="3106" spans="2:4" s="54" customFormat="1" x14ac:dyDescent="0.2">
      <c r="B3106" s="107" t="s">
        <v>3299</v>
      </c>
      <c r="C3106" s="55" t="s">
        <v>3300</v>
      </c>
      <c r="D3106" s="56" t="s">
        <v>3319</v>
      </c>
    </row>
    <row r="3107" spans="2:4" s="54" customFormat="1" x14ac:dyDescent="0.2">
      <c r="B3107" s="107" t="s">
        <v>3299</v>
      </c>
      <c r="C3107" s="55" t="s">
        <v>3300</v>
      </c>
      <c r="D3107" s="56" t="s">
        <v>3320</v>
      </c>
    </row>
    <row r="3108" spans="2:4" s="54" customFormat="1" x14ac:dyDescent="0.2">
      <c r="B3108" s="107" t="s">
        <v>3299</v>
      </c>
      <c r="C3108" s="55" t="s">
        <v>3300</v>
      </c>
      <c r="D3108" s="56" t="s">
        <v>3321</v>
      </c>
    </row>
    <row r="3109" spans="2:4" s="54" customFormat="1" x14ac:dyDescent="0.2">
      <c r="B3109" s="107" t="s">
        <v>3299</v>
      </c>
      <c r="C3109" s="55" t="s">
        <v>3300</v>
      </c>
      <c r="D3109" s="56" t="s">
        <v>3322</v>
      </c>
    </row>
    <row r="3110" spans="2:4" s="54" customFormat="1" x14ac:dyDescent="0.2">
      <c r="B3110" s="107" t="s">
        <v>3299</v>
      </c>
      <c r="C3110" s="55" t="s">
        <v>3300</v>
      </c>
      <c r="D3110" s="56" t="s">
        <v>3323</v>
      </c>
    </row>
    <row r="3111" spans="2:4" s="54" customFormat="1" x14ac:dyDescent="0.2">
      <c r="B3111" s="107" t="s">
        <v>3324</v>
      </c>
      <c r="C3111" s="55" t="s">
        <v>3325</v>
      </c>
      <c r="D3111" s="56" t="s">
        <v>1039</v>
      </c>
    </row>
    <row r="3112" spans="2:4" s="54" customFormat="1" x14ac:dyDescent="0.2">
      <c r="B3112" s="107" t="s">
        <v>3324</v>
      </c>
      <c r="C3112" s="55" t="s">
        <v>3325</v>
      </c>
      <c r="D3112" s="56" t="s">
        <v>3326</v>
      </c>
    </row>
    <row r="3113" spans="2:4" s="54" customFormat="1" x14ac:dyDescent="0.2">
      <c r="B3113" s="107" t="s">
        <v>3324</v>
      </c>
      <c r="C3113" s="55" t="s">
        <v>3325</v>
      </c>
      <c r="D3113" s="56" t="s">
        <v>1040</v>
      </c>
    </row>
    <row r="3114" spans="2:4" s="54" customFormat="1" x14ac:dyDescent="0.2">
      <c r="B3114" s="107" t="s">
        <v>3324</v>
      </c>
      <c r="C3114" s="55" t="s">
        <v>3325</v>
      </c>
      <c r="D3114" s="56" t="s">
        <v>3327</v>
      </c>
    </row>
    <row r="3115" spans="2:4" s="54" customFormat="1" x14ac:dyDescent="0.2">
      <c r="B3115" s="107" t="s">
        <v>3324</v>
      </c>
      <c r="C3115" s="55" t="s">
        <v>3325</v>
      </c>
      <c r="D3115" s="56" t="s">
        <v>3328</v>
      </c>
    </row>
    <row r="3116" spans="2:4" s="54" customFormat="1" x14ac:dyDescent="0.2">
      <c r="B3116" s="107" t="s">
        <v>3324</v>
      </c>
      <c r="C3116" s="55" t="s">
        <v>3325</v>
      </c>
      <c r="D3116" s="56" t="s">
        <v>3329</v>
      </c>
    </row>
    <row r="3117" spans="2:4" s="54" customFormat="1" x14ac:dyDescent="0.2">
      <c r="B3117" s="107" t="s">
        <v>3324</v>
      </c>
      <c r="C3117" s="55" t="s">
        <v>3325</v>
      </c>
      <c r="D3117" s="56" t="s">
        <v>3330</v>
      </c>
    </row>
    <row r="3118" spans="2:4" s="54" customFormat="1" x14ac:dyDescent="0.2">
      <c r="B3118" s="107" t="s">
        <v>3324</v>
      </c>
      <c r="C3118" s="55" t="s">
        <v>3325</v>
      </c>
      <c r="D3118" s="56" t="s">
        <v>273</v>
      </c>
    </row>
    <row r="3119" spans="2:4" s="54" customFormat="1" x14ac:dyDescent="0.2">
      <c r="B3119" s="107" t="s">
        <v>3324</v>
      </c>
      <c r="C3119" s="55" t="s">
        <v>3325</v>
      </c>
      <c r="D3119" s="56" t="s">
        <v>274</v>
      </c>
    </row>
    <row r="3120" spans="2:4" s="54" customFormat="1" x14ac:dyDescent="0.2">
      <c r="B3120" s="107" t="s">
        <v>3324</v>
      </c>
      <c r="C3120" s="55" t="s">
        <v>3325</v>
      </c>
      <c r="D3120" s="56" t="s">
        <v>1041</v>
      </c>
    </row>
    <row r="3121" spans="2:4" s="54" customFormat="1" x14ac:dyDescent="0.2">
      <c r="B3121" s="107" t="s">
        <v>3331</v>
      </c>
      <c r="C3121" s="55" t="s">
        <v>3332</v>
      </c>
      <c r="D3121" s="56" t="s">
        <v>3333</v>
      </c>
    </row>
    <row r="3122" spans="2:4" s="54" customFormat="1" x14ac:dyDescent="0.2">
      <c r="B3122" s="107" t="s">
        <v>3331</v>
      </c>
      <c r="C3122" s="55" t="s">
        <v>3332</v>
      </c>
      <c r="D3122" s="56" t="s">
        <v>3334</v>
      </c>
    </row>
    <row r="3123" spans="2:4" s="54" customFormat="1" x14ac:dyDescent="0.2">
      <c r="B3123" s="107" t="s">
        <v>3331</v>
      </c>
      <c r="C3123" s="55" t="s">
        <v>3332</v>
      </c>
      <c r="D3123" s="56" t="s">
        <v>3335</v>
      </c>
    </row>
    <row r="3124" spans="2:4" s="54" customFormat="1" x14ac:dyDescent="0.2">
      <c r="B3124" s="107" t="s">
        <v>3331</v>
      </c>
      <c r="C3124" s="55" t="s">
        <v>3332</v>
      </c>
      <c r="D3124" s="56" t="s">
        <v>3336</v>
      </c>
    </row>
    <row r="3125" spans="2:4" s="54" customFormat="1" x14ac:dyDescent="0.2">
      <c r="B3125" s="107" t="s">
        <v>3331</v>
      </c>
      <c r="C3125" s="55" t="s">
        <v>3332</v>
      </c>
      <c r="D3125" s="56" t="s">
        <v>3337</v>
      </c>
    </row>
    <row r="3126" spans="2:4" s="54" customFormat="1" x14ac:dyDescent="0.2">
      <c r="B3126" s="107" t="s">
        <v>3331</v>
      </c>
      <c r="C3126" s="55" t="s">
        <v>3332</v>
      </c>
      <c r="D3126" s="56" t="s">
        <v>3338</v>
      </c>
    </row>
    <row r="3127" spans="2:4" s="54" customFormat="1" x14ac:dyDescent="0.2">
      <c r="B3127" s="107" t="s">
        <v>3331</v>
      </c>
      <c r="C3127" s="55" t="s">
        <v>3332</v>
      </c>
      <c r="D3127" s="56" t="s">
        <v>3339</v>
      </c>
    </row>
    <row r="3128" spans="2:4" s="54" customFormat="1" x14ac:dyDescent="0.2">
      <c r="B3128" s="107" t="s">
        <v>3331</v>
      </c>
      <c r="C3128" s="55" t="s">
        <v>3332</v>
      </c>
      <c r="D3128" s="56" t="s">
        <v>3340</v>
      </c>
    </row>
    <row r="3129" spans="2:4" s="54" customFormat="1" x14ac:dyDescent="0.2">
      <c r="B3129" s="107" t="s">
        <v>3331</v>
      </c>
      <c r="C3129" s="55" t="s">
        <v>3332</v>
      </c>
      <c r="D3129" s="56" t="s">
        <v>3341</v>
      </c>
    </row>
    <row r="3130" spans="2:4" s="54" customFormat="1" ht="16" thickBot="1" x14ac:dyDescent="0.25">
      <c r="B3130" s="109" t="s">
        <v>3331</v>
      </c>
      <c r="C3130" s="59" t="s">
        <v>3332</v>
      </c>
      <c r="D3130" s="60" t="s">
        <v>3342</v>
      </c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EFAA-7E39-C245-819E-F84F4962F24A}">
  <sheetPr codeName="Sheet12"/>
  <dimension ref="B1:J195"/>
  <sheetViews>
    <sheetView workbookViewId="0">
      <selection activeCell="I12" sqref="I12"/>
    </sheetView>
  </sheetViews>
  <sheetFormatPr baseColWidth="10" defaultRowHeight="15" x14ac:dyDescent="0.2"/>
  <cols>
    <col min="1" max="1" width="10.83203125" style="1"/>
    <col min="2" max="2" width="30.5" style="1" bestFit="1" customWidth="1"/>
    <col min="3" max="3" width="12.6640625" style="1" customWidth="1"/>
    <col min="4" max="4" width="13.33203125" style="1" bestFit="1" customWidth="1"/>
    <col min="5" max="5" width="9.33203125" style="1" bestFit="1" customWidth="1"/>
    <col min="6" max="6" width="13.1640625" style="1" customWidth="1"/>
    <col min="7" max="7" width="11" style="1" bestFit="1" customWidth="1"/>
    <col min="8" max="8" width="13.1640625" style="1" customWidth="1"/>
    <col min="9" max="9" width="18" style="1" bestFit="1" customWidth="1"/>
    <col min="10" max="10" width="9.83203125" style="1" bestFit="1" customWidth="1"/>
    <col min="11" max="16384" width="10.83203125" style="1"/>
  </cols>
  <sheetData>
    <row r="1" spans="2:10" ht="16" thickBot="1" x14ac:dyDescent="0.25"/>
    <row r="2" spans="2:10" s="111" customFormat="1" ht="16" thickBot="1" x14ac:dyDescent="0.25">
      <c r="B2" s="114" t="s">
        <v>3369</v>
      </c>
      <c r="D2" s="186" t="s">
        <v>3396</v>
      </c>
      <c r="E2" s="187"/>
      <c r="G2" s="114" t="s">
        <v>3392</v>
      </c>
      <c r="I2" s="186" t="s">
        <v>3395</v>
      </c>
      <c r="J2" s="187"/>
    </row>
    <row r="3" spans="2:10" x14ac:dyDescent="0.2">
      <c r="B3" s="115" t="str" cm="1">
        <f t="array" ref="B3:B195">_xlfn._xlws.SORT(
  _xlfn.UNIQUE(
    tbl_geo[Country / Territory]
  )
)</f>
        <v>Afghanistan</v>
      </c>
      <c r="D3" s="121" t="s">
        <v>3391</v>
      </c>
      <c r="E3" s="122" t="s">
        <v>3390</v>
      </c>
      <c r="G3" s="115" t="b">
        <v>1</v>
      </c>
      <c r="I3" s="151" t="s">
        <v>3394</v>
      </c>
      <c r="J3" s="152" t="s">
        <v>3393</v>
      </c>
    </row>
    <row r="4" spans="2:10" x14ac:dyDescent="0.2">
      <c r="B4" s="115" t="str">
        <v>Albania</v>
      </c>
      <c r="D4" s="119" t="s">
        <v>6</v>
      </c>
      <c r="E4" s="117">
        <v>1</v>
      </c>
      <c r="G4" s="116" t="b">
        <v>0</v>
      </c>
      <c r="I4" s="153" t="s">
        <v>3422</v>
      </c>
      <c r="J4" s="154" t="b">
        <v>0</v>
      </c>
    </row>
    <row r="5" spans="2:10" x14ac:dyDescent="0.2">
      <c r="B5" s="115" t="str">
        <v>Algeria</v>
      </c>
      <c r="D5" s="119" t="s">
        <v>7</v>
      </c>
      <c r="E5" s="117">
        <v>2</v>
      </c>
      <c r="I5" s="119" t="s">
        <v>3423</v>
      </c>
      <c r="J5" s="117" t="b">
        <v>0</v>
      </c>
    </row>
    <row r="6" spans="2:10" x14ac:dyDescent="0.2">
      <c r="B6" s="115" t="str">
        <v>Andorra</v>
      </c>
      <c r="D6" s="120" t="s">
        <v>3353</v>
      </c>
      <c r="E6" s="118">
        <v>3</v>
      </c>
      <c r="I6" s="119" t="s">
        <v>3424</v>
      </c>
      <c r="J6" s="117" t="b">
        <v>0</v>
      </c>
    </row>
    <row r="7" spans="2:10" x14ac:dyDescent="0.2">
      <c r="B7" s="115" t="str">
        <v>Angola</v>
      </c>
      <c r="I7" s="119" t="s">
        <v>3354</v>
      </c>
      <c r="J7" s="117" t="b">
        <v>1</v>
      </c>
    </row>
    <row r="8" spans="2:10" x14ac:dyDescent="0.2">
      <c r="B8" s="115" t="str">
        <v>Antigua and Barbuda</v>
      </c>
      <c r="I8" s="120" t="s">
        <v>3355</v>
      </c>
      <c r="J8" s="118" t="b">
        <v>1</v>
      </c>
    </row>
    <row r="9" spans="2:10" x14ac:dyDescent="0.2">
      <c r="B9" s="115" t="str">
        <v>Argentina</v>
      </c>
    </row>
    <row r="10" spans="2:10" x14ac:dyDescent="0.2">
      <c r="B10" s="115" t="str">
        <v>Armenia</v>
      </c>
    </row>
    <row r="11" spans="2:10" x14ac:dyDescent="0.2">
      <c r="B11" s="115" t="str">
        <v>Australia</v>
      </c>
    </row>
    <row r="12" spans="2:10" x14ac:dyDescent="0.2">
      <c r="B12" s="115" t="str">
        <v>Austria</v>
      </c>
    </row>
    <row r="13" spans="2:10" x14ac:dyDescent="0.2">
      <c r="B13" s="115" t="str">
        <v>Azerbaijan</v>
      </c>
    </row>
    <row r="14" spans="2:10" x14ac:dyDescent="0.2">
      <c r="B14" s="115" t="str">
        <v>Bahamas</v>
      </c>
    </row>
    <row r="15" spans="2:10" x14ac:dyDescent="0.2">
      <c r="B15" s="115" t="str">
        <v>Bahrain</v>
      </c>
    </row>
    <row r="16" spans="2:10" x14ac:dyDescent="0.2">
      <c r="B16" s="115" t="str">
        <v>Bangladesh</v>
      </c>
    </row>
    <row r="17" spans="2:2" x14ac:dyDescent="0.2">
      <c r="B17" s="115" t="str">
        <v>Barbados</v>
      </c>
    </row>
    <row r="18" spans="2:2" x14ac:dyDescent="0.2">
      <c r="B18" s="115" t="str">
        <v>Belarus</v>
      </c>
    </row>
    <row r="19" spans="2:2" x14ac:dyDescent="0.2">
      <c r="B19" s="115" t="str">
        <v>Belgium</v>
      </c>
    </row>
    <row r="20" spans="2:2" x14ac:dyDescent="0.2">
      <c r="B20" s="115" t="str">
        <v>Belize</v>
      </c>
    </row>
    <row r="21" spans="2:2" x14ac:dyDescent="0.2">
      <c r="B21" s="115" t="str">
        <v>Benin</v>
      </c>
    </row>
    <row r="22" spans="2:2" x14ac:dyDescent="0.2">
      <c r="B22" s="115" t="str">
        <v>Bhutan</v>
      </c>
    </row>
    <row r="23" spans="2:2" x14ac:dyDescent="0.2">
      <c r="B23" s="115" t="str">
        <v>Bolivia (Plurinational State of)</v>
      </c>
    </row>
    <row r="24" spans="2:2" x14ac:dyDescent="0.2">
      <c r="B24" s="115" t="str">
        <v>Bosnia and Herzegovina</v>
      </c>
    </row>
    <row r="25" spans="2:2" x14ac:dyDescent="0.2">
      <c r="B25" s="115" t="str">
        <v>Botswana</v>
      </c>
    </row>
    <row r="26" spans="2:2" x14ac:dyDescent="0.2">
      <c r="B26" s="115" t="str">
        <v>Brazil</v>
      </c>
    </row>
    <row r="27" spans="2:2" x14ac:dyDescent="0.2">
      <c r="B27" s="115" t="str">
        <v>Brunei Darussalam</v>
      </c>
    </row>
    <row r="28" spans="2:2" x14ac:dyDescent="0.2">
      <c r="B28" s="115" t="str">
        <v>Bulgaria</v>
      </c>
    </row>
    <row r="29" spans="2:2" x14ac:dyDescent="0.2">
      <c r="B29" s="115" t="str">
        <v>Burkina Faso</v>
      </c>
    </row>
    <row r="30" spans="2:2" x14ac:dyDescent="0.2">
      <c r="B30" s="115" t="str">
        <v>Burundi</v>
      </c>
    </row>
    <row r="31" spans="2:2" x14ac:dyDescent="0.2">
      <c r="B31" s="115" t="str">
        <v>Cabo Verde</v>
      </c>
    </row>
    <row r="32" spans="2:2" x14ac:dyDescent="0.2">
      <c r="B32" s="115" t="str">
        <v>Cambodia</v>
      </c>
    </row>
    <row r="33" spans="2:2" x14ac:dyDescent="0.2">
      <c r="B33" s="115" t="str">
        <v>Cameroon</v>
      </c>
    </row>
    <row r="34" spans="2:2" x14ac:dyDescent="0.2">
      <c r="B34" s="115" t="str">
        <v>Canada</v>
      </c>
    </row>
    <row r="35" spans="2:2" x14ac:dyDescent="0.2">
      <c r="B35" s="115" t="str">
        <v>Central African Republic</v>
      </c>
    </row>
    <row r="36" spans="2:2" x14ac:dyDescent="0.2">
      <c r="B36" s="115" t="str">
        <v>Chad</v>
      </c>
    </row>
    <row r="37" spans="2:2" x14ac:dyDescent="0.2">
      <c r="B37" s="115" t="str">
        <v>Chile</v>
      </c>
    </row>
    <row r="38" spans="2:2" x14ac:dyDescent="0.2">
      <c r="B38" s="115" t="str">
        <v>China</v>
      </c>
    </row>
    <row r="39" spans="2:2" x14ac:dyDescent="0.2">
      <c r="B39" s="115" t="str">
        <v>Colombia</v>
      </c>
    </row>
    <row r="40" spans="2:2" x14ac:dyDescent="0.2">
      <c r="B40" s="115" t="str">
        <v>Comoros</v>
      </c>
    </row>
    <row r="41" spans="2:2" x14ac:dyDescent="0.2">
      <c r="B41" s="115" t="str">
        <v>Congo</v>
      </c>
    </row>
    <row r="42" spans="2:2" x14ac:dyDescent="0.2">
      <c r="B42" s="115" t="str">
        <v>Cook Islands</v>
      </c>
    </row>
    <row r="43" spans="2:2" x14ac:dyDescent="0.2">
      <c r="B43" s="115" t="str">
        <v>Costa Rica</v>
      </c>
    </row>
    <row r="44" spans="2:2" x14ac:dyDescent="0.2">
      <c r="B44" s="115" t="str">
        <v>Côte D’Ivoire</v>
      </c>
    </row>
    <row r="45" spans="2:2" x14ac:dyDescent="0.2">
      <c r="B45" s="115" t="str">
        <v>Croatia</v>
      </c>
    </row>
    <row r="46" spans="2:2" x14ac:dyDescent="0.2">
      <c r="B46" s="115" t="str">
        <v>Cuba</v>
      </c>
    </row>
    <row r="47" spans="2:2" x14ac:dyDescent="0.2">
      <c r="B47" s="115" t="str">
        <v>Cyprus</v>
      </c>
    </row>
    <row r="48" spans="2:2" x14ac:dyDescent="0.2">
      <c r="B48" s="115" t="str">
        <v>Czech Republic</v>
      </c>
    </row>
    <row r="49" spans="2:2" x14ac:dyDescent="0.2">
      <c r="B49" s="115" t="str">
        <v>Democratic People's Republic of Korea</v>
      </c>
    </row>
    <row r="50" spans="2:2" x14ac:dyDescent="0.2">
      <c r="B50" s="115" t="str">
        <v>Democratic Republic of the Congo</v>
      </c>
    </row>
    <row r="51" spans="2:2" x14ac:dyDescent="0.2">
      <c r="B51" s="115" t="str">
        <v>Denmark</v>
      </c>
    </row>
    <row r="52" spans="2:2" x14ac:dyDescent="0.2">
      <c r="B52" s="115" t="str">
        <v>Djibouti</v>
      </c>
    </row>
    <row r="53" spans="2:2" x14ac:dyDescent="0.2">
      <c r="B53" s="115" t="str">
        <v>Dominica</v>
      </c>
    </row>
    <row r="54" spans="2:2" x14ac:dyDescent="0.2">
      <c r="B54" s="115" t="str">
        <v>Dominican Republic</v>
      </c>
    </row>
    <row r="55" spans="2:2" x14ac:dyDescent="0.2">
      <c r="B55" s="115" t="str">
        <v>Ecuador</v>
      </c>
    </row>
    <row r="56" spans="2:2" x14ac:dyDescent="0.2">
      <c r="B56" s="115" t="str">
        <v>Egypt</v>
      </c>
    </row>
    <row r="57" spans="2:2" x14ac:dyDescent="0.2">
      <c r="B57" s="115" t="str">
        <v>El Salvador</v>
      </c>
    </row>
    <row r="58" spans="2:2" x14ac:dyDescent="0.2">
      <c r="B58" s="115" t="str">
        <v>Equatorial Guinea</v>
      </c>
    </row>
    <row r="59" spans="2:2" x14ac:dyDescent="0.2">
      <c r="B59" s="115" t="str">
        <v>Eritrea</v>
      </c>
    </row>
    <row r="60" spans="2:2" x14ac:dyDescent="0.2">
      <c r="B60" s="115" t="str">
        <v>Estonia</v>
      </c>
    </row>
    <row r="61" spans="2:2" x14ac:dyDescent="0.2">
      <c r="B61" s="115" t="str">
        <v>Eswatini</v>
      </c>
    </row>
    <row r="62" spans="2:2" x14ac:dyDescent="0.2">
      <c r="B62" s="115" t="str">
        <v>Ethiopia</v>
      </c>
    </row>
    <row r="63" spans="2:2" x14ac:dyDescent="0.2">
      <c r="B63" s="115" t="str">
        <v>Fiji</v>
      </c>
    </row>
    <row r="64" spans="2:2" x14ac:dyDescent="0.2">
      <c r="B64" s="115" t="str">
        <v>Finland</v>
      </c>
    </row>
    <row r="65" spans="2:2" x14ac:dyDescent="0.2">
      <c r="B65" s="115" t="str">
        <v>France</v>
      </c>
    </row>
    <row r="66" spans="2:2" x14ac:dyDescent="0.2">
      <c r="B66" s="115" t="str">
        <v>Gabon</v>
      </c>
    </row>
    <row r="67" spans="2:2" x14ac:dyDescent="0.2">
      <c r="B67" s="115" t="str">
        <v>Gambia</v>
      </c>
    </row>
    <row r="68" spans="2:2" x14ac:dyDescent="0.2">
      <c r="B68" s="115" t="str">
        <v>Georgia</v>
      </c>
    </row>
    <row r="69" spans="2:2" x14ac:dyDescent="0.2">
      <c r="B69" s="115" t="str">
        <v>Germany</v>
      </c>
    </row>
    <row r="70" spans="2:2" x14ac:dyDescent="0.2">
      <c r="B70" s="115" t="str">
        <v>Ghana</v>
      </c>
    </row>
    <row r="71" spans="2:2" x14ac:dyDescent="0.2">
      <c r="B71" s="115" t="str">
        <v>Greece</v>
      </c>
    </row>
    <row r="72" spans="2:2" x14ac:dyDescent="0.2">
      <c r="B72" s="115" t="str">
        <v>Grenada</v>
      </c>
    </row>
    <row r="73" spans="2:2" x14ac:dyDescent="0.2">
      <c r="B73" s="115" t="str">
        <v>Guatemala</v>
      </c>
    </row>
    <row r="74" spans="2:2" x14ac:dyDescent="0.2">
      <c r="B74" s="115" t="str">
        <v>Guinea</v>
      </c>
    </row>
    <row r="75" spans="2:2" x14ac:dyDescent="0.2">
      <c r="B75" s="115" t="str">
        <v>Guinea-Bissau</v>
      </c>
    </row>
    <row r="76" spans="2:2" x14ac:dyDescent="0.2">
      <c r="B76" s="115" t="str">
        <v>Guyana</v>
      </c>
    </row>
    <row r="77" spans="2:2" x14ac:dyDescent="0.2">
      <c r="B77" s="115" t="str">
        <v>Haiti</v>
      </c>
    </row>
    <row r="78" spans="2:2" x14ac:dyDescent="0.2">
      <c r="B78" s="115" t="str">
        <v>Honduras</v>
      </c>
    </row>
    <row r="79" spans="2:2" x14ac:dyDescent="0.2">
      <c r="B79" s="115" t="str">
        <v>Hungary</v>
      </c>
    </row>
    <row r="80" spans="2:2" x14ac:dyDescent="0.2">
      <c r="B80" s="115" t="str">
        <v>Iceland</v>
      </c>
    </row>
    <row r="81" spans="2:2" x14ac:dyDescent="0.2">
      <c r="B81" s="115" t="str">
        <v>India</v>
      </c>
    </row>
    <row r="82" spans="2:2" x14ac:dyDescent="0.2">
      <c r="B82" s="115" t="str">
        <v>Indonesia</v>
      </c>
    </row>
    <row r="83" spans="2:2" x14ac:dyDescent="0.2">
      <c r="B83" s="115" t="str">
        <v>Iran (Islamic Republic of)</v>
      </c>
    </row>
    <row r="84" spans="2:2" x14ac:dyDescent="0.2">
      <c r="B84" s="115" t="str">
        <v>Iraq</v>
      </c>
    </row>
    <row r="85" spans="2:2" x14ac:dyDescent="0.2">
      <c r="B85" s="115" t="str">
        <v>Ireland</v>
      </c>
    </row>
    <row r="86" spans="2:2" x14ac:dyDescent="0.2">
      <c r="B86" s="115" t="str">
        <v>Israel</v>
      </c>
    </row>
    <row r="87" spans="2:2" x14ac:dyDescent="0.2">
      <c r="B87" s="115" t="str">
        <v>Italy</v>
      </c>
    </row>
    <row r="88" spans="2:2" x14ac:dyDescent="0.2">
      <c r="B88" s="115" t="str">
        <v>Jamaica</v>
      </c>
    </row>
    <row r="89" spans="2:2" x14ac:dyDescent="0.2">
      <c r="B89" s="115" t="str">
        <v>Japan</v>
      </c>
    </row>
    <row r="90" spans="2:2" x14ac:dyDescent="0.2">
      <c r="B90" s="115" t="str">
        <v>Jordan</v>
      </c>
    </row>
    <row r="91" spans="2:2" x14ac:dyDescent="0.2">
      <c r="B91" s="115" t="str">
        <v>Kazakhstan</v>
      </c>
    </row>
    <row r="92" spans="2:2" x14ac:dyDescent="0.2">
      <c r="B92" s="115" t="str">
        <v>Kenya</v>
      </c>
    </row>
    <row r="93" spans="2:2" x14ac:dyDescent="0.2">
      <c r="B93" s="115" t="str">
        <v>Kiribati</v>
      </c>
    </row>
    <row r="94" spans="2:2" x14ac:dyDescent="0.2">
      <c r="B94" s="115" t="str">
        <v>Kuwait</v>
      </c>
    </row>
    <row r="95" spans="2:2" x14ac:dyDescent="0.2">
      <c r="B95" s="115" t="str">
        <v>Kyrgyzstan</v>
      </c>
    </row>
    <row r="96" spans="2:2" x14ac:dyDescent="0.2">
      <c r="B96" s="115" t="str">
        <v>Lao People's Democratic Republic</v>
      </c>
    </row>
    <row r="97" spans="2:2" x14ac:dyDescent="0.2">
      <c r="B97" s="115" t="str">
        <v>Latvia</v>
      </c>
    </row>
    <row r="98" spans="2:2" x14ac:dyDescent="0.2">
      <c r="B98" s="115" t="str">
        <v>Lebanon</v>
      </c>
    </row>
    <row r="99" spans="2:2" x14ac:dyDescent="0.2">
      <c r="B99" s="115" t="str">
        <v>Lesotho</v>
      </c>
    </row>
    <row r="100" spans="2:2" x14ac:dyDescent="0.2">
      <c r="B100" s="115" t="str">
        <v>Liberia</v>
      </c>
    </row>
    <row r="101" spans="2:2" x14ac:dyDescent="0.2">
      <c r="B101" s="115" t="str">
        <v>Libya</v>
      </c>
    </row>
    <row r="102" spans="2:2" x14ac:dyDescent="0.2">
      <c r="B102" s="115" t="str">
        <v>Lithuania</v>
      </c>
    </row>
    <row r="103" spans="2:2" x14ac:dyDescent="0.2">
      <c r="B103" s="115" t="str">
        <v>Luxembourg</v>
      </c>
    </row>
    <row r="104" spans="2:2" x14ac:dyDescent="0.2">
      <c r="B104" s="115" t="str">
        <v>Madagascar</v>
      </c>
    </row>
    <row r="105" spans="2:2" x14ac:dyDescent="0.2">
      <c r="B105" s="115" t="str">
        <v>Malawi</v>
      </c>
    </row>
    <row r="106" spans="2:2" x14ac:dyDescent="0.2">
      <c r="B106" s="115" t="str">
        <v>Malaysia</v>
      </c>
    </row>
    <row r="107" spans="2:2" x14ac:dyDescent="0.2">
      <c r="B107" s="115" t="str">
        <v>Maldives</v>
      </c>
    </row>
    <row r="108" spans="2:2" x14ac:dyDescent="0.2">
      <c r="B108" s="115" t="str">
        <v>Mali</v>
      </c>
    </row>
    <row r="109" spans="2:2" x14ac:dyDescent="0.2">
      <c r="B109" s="115" t="str">
        <v>Malta</v>
      </c>
    </row>
    <row r="110" spans="2:2" x14ac:dyDescent="0.2">
      <c r="B110" s="115" t="str">
        <v>Marshall Islands</v>
      </c>
    </row>
    <row r="111" spans="2:2" x14ac:dyDescent="0.2">
      <c r="B111" s="115" t="str">
        <v>Mauritania</v>
      </c>
    </row>
    <row r="112" spans="2:2" x14ac:dyDescent="0.2">
      <c r="B112" s="115" t="str">
        <v>Mauritius</v>
      </c>
    </row>
    <row r="113" spans="2:2" x14ac:dyDescent="0.2">
      <c r="B113" s="115" t="str">
        <v>Mexico</v>
      </c>
    </row>
    <row r="114" spans="2:2" x14ac:dyDescent="0.2">
      <c r="B114" s="115" t="str">
        <v>Micronesia (Federated States of)</v>
      </c>
    </row>
    <row r="115" spans="2:2" x14ac:dyDescent="0.2">
      <c r="B115" s="115" t="str">
        <v>Monaco</v>
      </c>
    </row>
    <row r="116" spans="2:2" x14ac:dyDescent="0.2">
      <c r="B116" s="115" t="str">
        <v>Mongolia</v>
      </c>
    </row>
    <row r="117" spans="2:2" x14ac:dyDescent="0.2">
      <c r="B117" s="115" t="str">
        <v>Montenegro</v>
      </c>
    </row>
    <row r="118" spans="2:2" x14ac:dyDescent="0.2">
      <c r="B118" s="115" t="str">
        <v>Morocco</v>
      </c>
    </row>
    <row r="119" spans="2:2" x14ac:dyDescent="0.2">
      <c r="B119" s="115" t="str">
        <v>Mozambique</v>
      </c>
    </row>
    <row r="120" spans="2:2" x14ac:dyDescent="0.2">
      <c r="B120" s="115" t="str">
        <v>Myanmar</v>
      </c>
    </row>
    <row r="121" spans="2:2" x14ac:dyDescent="0.2">
      <c r="B121" s="115" t="str">
        <v>Namibia</v>
      </c>
    </row>
    <row r="122" spans="2:2" x14ac:dyDescent="0.2">
      <c r="B122" s="115" t="str">
        <v>Nauru</v>
      </c>
    </row>
    <row r="123" spans="2:2" x14ac:dyDescent="0.2">
      <c r="B123" s="115" t="str">
        <v>Nepal</v>
      </c>
    </row>
    <row r="124" spans="2:2" x14ac:dyDescent="0.2">
      <c r="B124" s="115" t="str">
        <v>Netherlands (Kingdom of the)</v>
      </c>
    </row>
    <row r="125" spans="2:2" x14ac:dyDescent="0.2">
      <c r="B125" s="115" t="str">
        <v>New Zealand</v>
      </c>
    </row>
    <row r="126" spans="2:2" x14ac:dyDescent="0.2">
      <c r="B126" s="115" t="str">
        <v>Nicaragua</v>
      </c>
    </row>
    <row r="127" spans="2:2" x14ac:dyDescent="0.2">
      <c r="B127" s="115" t="str">
        <v>Niger</v>
      </c>
    </row>
    <row r="128" spans="2:2" x14ac:dyDescent="0.2">
      <c r="B128" s="115" t="str">
        <v>Nigeria</v>
      </c>
    </row>
    <row r="129" spans="2:2" x14ac:dyDescent="0.2">
      <c r="B129" s="115" t="str">
        <v>Niue</v>
      </c>
    </row>
    <row r="130" spans="2:2" x14ac:dyDescent="0.2">
      <c r="B130" s="115" t="str">
        <v>North Macedonia</v>
      </c>
    </row>
    <row r="131" spans="2:2" x14ac:dyDescent="0.2">
      <c r="B131" s="115" t="str">
        <v>Norway</v>
      </c>
    </row>
    <row r="132" spans="2:2" x14ac:dyDescent="0.2">
      <c r="B132" s="115" t="str">
        <v>Oman</v>
      </c>
    </row>
    <row r="133" spans="2:2" x14ac:dyDescent="0.2">
      <c r="B133" s="115" t="str">
        <v>Pakistan</v>
      </c>
    </row>
    <row r="134" spans="2:2" x14ac:dyDescent="0.2">
      <c r="B134" s="115" t="str">
        <v>Palau</v>
      </c>
    </row>
    <row r="135" spans="2:2" x14ac:dyDescent="0.2">
      <c r="B135" s="115" t="str">
        <v>Panama</v>
      </c>
    </row>
    <row r="136" spans="2:2" x14ac:dyDescent="0.2">
      <c r="B136" s="115" t="str">
        <v>Papua New Guinea</v>
      </c>
    </row>
    <row r="137" spans="2:2" x14ac:dyDescent="0.2">
      <c r="B137" s="115" t="str">
        <v>Paraguay</v>
      </c>
    </row>
    <row r="138" spans="2:2" x14ac:dyDescent="0.2">
      <c r="B138" s="115" t="str">
        <v>Peru</v>
      </c>
    </row>
    <row r="139" spans="2:2" x14ac:dyDescent="0.2">
      <c r="B139" s="115" t="str">
        <v>Poland</v>
      </c>
    </row>
    <row r="140" spans="2:2" x14ac:dyDescent="0.2">
      <c r="B140" s="115" t="str">
        <v>Portugal</v>
      </c>
    </row>
    <row r="141" spans="2:2" x14ac:dyDescent="0.2">
      <c r="B141" s="115" t="str">
        <v>Qatar</v>
      </c>
    </row>
    <row r="142" spans="2:2" x14ac:dyDescent="0.2">
      <c r="B142" s="115" t="str">
        <v>Republic of Korea</v>
      </c>
    </row>
    <row r="143" spans="2:2" x14ac:dyDescent="0.2">
      <c r="B143" s="115" t="str">
        <v>Republic of Moldova</v>
      </c>
    </row>
    <row r="144" spans="2:2" x14ac:dyDescent="0.2">
      <c r="B144" s="115" t="str">
        <v>Romania</v>
      </c>
    </row>
    <row r="145" spans="2:2" x14ac:dyDescent="0.2">
      <c r="B145" s="115" t="str">
        <v>Russian Federation</v>
      </c>
    </row>
    <row r="146" spans="2:2" x14ac:dyDescent="0.2">
      <c r="B146" s="115" t="str">
        <v>Rwanda</v>
      </c>
    </row>
    <row r="147" spans="2:2" x14ac:dyDescent="0.2">
      <c r="B147" s="115" t="str">
        <v>Saint Kitts and Nevis</v>
      </c>
    </row>
    <row r="148" spans="2:2" x14ac:dyDescent="0.2">
      <c r="B148" s="115" t="str">
        <v>Saint Lucia</v>
      </c>
    </row>
    <row r="149" spans="2:2" x14ac:dyDescent="0.2">
      <c r="B149" s="115" t="str">
        <v>Saint Vincent and the Grenadines</v>
      </c>
    </row>
    <row r="150" spans="2:2" x14ac:dyDescent="0.2">
      <c r="B150" s="115" t="str">
        <v>Samoa</v>
      </c>
    </row>
    <row r="151" spans="2:2" x14ac:dyDescent="0.2">
      <c r="B151" s="115" t="str">
        <v>San Marino</v>
      </c>
    </row>
    <row r="152" spans="2:2" x14ac:dyDescent="0.2">
      <c r="B152" s="115" t="str">
        <v>Sao Tome and Principe</v>
      </c>
    </row>
    <row r="153" spans="2:2" x14ac:dyDescent="0.2">
      <c r="B153" s="115" t="str">
        <v>Saudi Arabia</v>
      </c>
    </row>
    <row r="154" spans="2:2" x14ac:dyDescent="0.2">
      <c r="B154" s="115" t="str">
        <v>Senegal</v>
      </c>
    </row>
    <row r="155" spans="2:2" x14ac:dyDescent="0.2">
      <c r="B155" s="115" t="str">
        <v>Serbia</v>
      </c>
    </row>
    <row r="156" spans="2:2" x14ac:dyDescent="0.2">
      <c r="B156" s="115" t="str">
        <v>Seychelles</v>
      </c>
    </row>
    <row r="157" spans="2:2" x14ac:dyDescent="0.2">
      <c r="B157" s="115" t="str">
        <v>Sierra Leone</v>
      </c>
    </row>
    <row r="158" spans="2:2" x14ac:dyDescent="0.2">
      <c r="B158" s="115" t="str">
        <v>Singapore</v>
      </c>
    </row>
    <row r="159" spans="2:2" x14ac:dyDescent="0.2">
      <c r="B159" s="115" t="str">
        <v>Slovakia</v>
      </c>
    </row>
    <row r="160" spans="2:2" x14ac:dyDescent="0.2">
      <c r="B160" s="115" t="str">
        <v>Slovenia</v>
      </c>
    </row>
    <row r="161" spans="2:2" x14ac:dyDescent="0.2">
      <c r="B161" s="115" t="str">
        <v>Solomon Islands</v>
      </c>
    </row>
    <row r="162" spans="2:2" x14ac:dyDescent="0.2">
      <c r="B162" s="115" t="str">
        <v>Somalia</v>
      </c>
    </row>
    <row r="163" spans="2:2" x14ac:dyDescent="0.2">
      <c r="B163" s="115" t="str">
        <v>South Africa</v>
      </c>
    </row>
    <row r="164" spans="2:2" x14ac:dyDescent="0.2">
      <c r="B164" s="115" t="str">
        <v>South Sudan</v>
      </c>
    </row>
    <row r="165" spans="2:2" x14ac:dyDescent="0.2">
      <c r="B165" s="115" t="str">
        <v>Spain</v>
      </c>
    </row>
    <row r="166" spans="2:2" x14ac:dyDescent="0.2">
      <c r="B166" s="115" t="str">
        <v>Sri Lanka</v>
      </c>
    </row>
    <row r="167" spans="2:2" x14ac:dyDescent="0.2">
      <c r="B167" s="115" t="str">
        <v>Sudan</v>
      </c>
    </row>
    <row r="168" spans="2:2" x14ac:dyDescent="0.2">
      <c r="B168" s="115" t="str">
        <v>Suriname</v>
      </c>
    </row>
    <row r="169" spans="2:2" x14ac:dyDescent="0.2">
      <c r="B169" s="115" t="str">
        <v>Sweden</v>
      </c>
    </row>
    <row r="170" spans="2:2" x14ac:dyDescent="0.2">
      <c r="B170" s="115" t="str">
        <v>Switzerland</v>
      </c>
    </row>
    <row r="171" spans="2:2" x14ac:dyDescent="0.2">
      <c r="B171" s="115" t="str">
        <v>Syrian Arab Republic</v>
      </c>
    </row>
    <row r="172" spans="2:2" x14ac:dyDescent="0.2">
      <c r="B172" s="115" t="str">
        <v>Tajikistan</v>
      </c>
    </row>
    <row r="173" spans="2:2" x14ac:dyDescent="0.2">
      <c r="B173" s="115" t="str">
        <v>Thailand</v>
      </c>
    </row>
    <row r="174" spans="2:2" x14ac:dyDescent="0.2">
      <c r="B174" s="115" t="str">
        <v>The United Kingdom</v>
      </c>
    </row>
    <row r="175" spans="2:2" x14ac:dyDescent="0.2">
      <c r="B175" s="115" t="str">
        <v>Timor-Leste</v>
      </c>
    </row>
    <row r="176" spans="2:2" x14ac:dyDescent="0.2">
      <c r="B176" s="115" t="str">
        <v>Togo</v>
      </c>
    </row>
    <row r="177" spans="2:2" x14ac:dyDescent="0.2">
      <c r="B177" s="115" t="str">
        <v>Tonga</v>
      </c>
    </row>
    <row r="178" spans="2:2" x14ac:dyDescent="0.2">
      <c r="B178" s="115" t="str">
        <v>Trinidad and Tobago</v>
      </c>
    </row>
    <row r="179" spans="2:2" x14ac:dyDescent="0.2">
      <c r="B179" s="115" t="str">
        <v>Tunisia</v>
      </c>
    </row>
    <row r="180" spans="2:2" x14ac:dyDescent="0.2">
      <c r="B180" s="115" t="str">
        <v>Türki̇ye</v>
      </c>
    </row>
    <row r="181" spans="2:2" x14ac:dyDescent="0.2">
      <c r="B181" s="115" t="str">
        <v>Turkmenistan</v>
      </c>
    </row>
    <row r="182" spans="2:2" x14ac:dyDescent="0.2">
      <c r="B182" s="115" t="str">
        <v>Tuvalu</v>
      </c>
    </row>
    <row r="183" spans="2:2" x14ac:dyDescent="0.2">
      <c r="B183" s="115" t="str">
        <v>Uganda</v>
      </c>
    </row>
    <row r="184" spans="2:2" x14ac:dyDescent="0.2">
      <c r="B184" s="115" t="str">
        <v>Ukraine</v>
      </c>
    </row>
    <row r="185" spans="2:2" x14ac:dyDescent="0.2">
      <c r="B185" s="115" t="str">
        <v>United Arab Emirates</v>
      </c>
    </row>
    <row r="186" spans="2:2" x14ac:dyDescent="0.2">
      <c r="B186" s="115" t="str">
        <v>United Republic of Tanzania</v>
      </c>
    </row>
    <row r="187" spans="2:2" x14ac:dyDescent="0.2">
      <c r="B187" s="115" t="str">
        <v>United States of America</v>
      </c>
    </row>
    <row r="188" spans="2:2" x14ac:dyDescent="0.2">
      <c r="B188" s="115" t="str">
        <v>Uruguay</v>
      </c>
    </row>
    <row r="189" spans="2:2" x14ac:dyDescent="0.2">
      <c r="B189" s="115" t="str">
        <v>Uzbekistan</v>
      </c>
    </row>
    <row r="190" spans="2:2" x14ac:dyDescent="0.2">
      <c r="B190" s="115" t="str">
        <v>Vanuatu</v>
      </c>
    </row>
    <row r="191" spans="2:2" x14ac:dyDescent="0.2">
      <c r="B191" s="115" t="str">
        <v>Venezuela (Bolivarian Republic of)</v>
      </c>
    </row>
    <row r="192" spans="2:2" x14ac:dyDescent="0.2">
      <c r="B192" s="115" t="str">
        <v>Viet Nam</v>
      </c>
    </row>
    <row r="193" spans="2:2" x14ac:dyDescent="0.2">
      <c r="B193" s="115" t="str">
        <v>Yemen</v>
      </c>
    </row>
    <row r="194" spans="2:2" x14ac:dyDescent="0.2">
      <c r="B194" s="115" t="str">
        <v>Zambia</v>
      </c>
    </row>
    <row r="195" spans="2:2" x14ac:dyDescent="0.2">
      <c r="B195" s="116" t="str">
        <v>Zimbabwe</v>
      </c>
    </row>
  </sheetData>
  <mergeCells count="2">
    <mergeCell ref="I2:J2"/>
    <mergeCell ref="D2:E2"/>
  </mergeCells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3E20-4978-A749-9B0E-15A754D5196E}">
  <sheetPr codeName="Sheet13"/>
  <dimension ref="A1:E477"/>
  <sheetViews>
    <sheetView zoomScale="125" workbookViewId="0">
      <selection activeCell="N29" sqref="N29"/>
    </sheetView>
  </sheetViews>
  <sheetFormatPr baseColWidth="10" defaultRowHeight="15" x14ac:dyDescent="0.2"/>
  <cols>
    <col min="1" max="1" width="8.33203125" style="6" bestFit="1" customWidth="1"/>
    <col min="2" max="2" width="25" style="6" bestFit="1" customWidth="1"/>
    <col min="3" max="3" width="13.33203125" style="6" bestFit="1" customWidth="1"/>
    <col min="4" max="4" width="8" style="6" bestFit="1" customWidth="1"/>
    <col min="5" max="5" width="14.33203125" style="6" bestFit="1" customWidth="1"/>
    <col min="6" max="16384" width="10.83203125" style="6"/>
  </cols>
  <sheetData>
    <row r="1" spans="1:5" ht="16" x14ac:dyDescent="0.2">
      <c r="A1" s="130" t="s">
        <v>3369</v>
      </c>
      <c r="B1" s="128" t="s">
        <v>3370</v>
      </c>
      <c r="C1" s="128" t="s">
        <v>3372</v>
      </c>
      <c r="D1" s="128" t="s">
        <v>3373</v>
      </c>
      <c r="E1" s="129" t="s">
        <v>3374</v>
      </c>
    </row>
    <row r="2" spans="1:5" ht="16" x14ac:dyDescent="0.2">
      <c r="A2" s="66" t="s">
        <v>3049</v>
      </c>
      <c r="B2" s="67" t="s">
        <v>3050</v>
      </c>
      <c r="C2" s="67" t="s">
        <v>3403</v>
      </c>
      <c r="D2" s="68">
        <v>5</v>
      </c>
      <c r="E2" s="69" t="d">
        <v>2026-01-18T19:49:58.00000030081718925</v>
      </c>
    </row>
    <row r="3" spans="1:5" ht="16" x14ac:dyDescent="0.2">
      <c r="A3" s="66" t="s">
        <v>3049</v>
      </c>
      <c r="B3" s="67" t="s">
        <v>3050</v>
      </c>
      <c r="C3" s="67" t="s">
        <v>3398</v>
      </c>
      <c r="D3" s="68">
        <v>4</v>
      </c>
      <c r="E3" s="69" t="d">
        <v>2026-01-18T19:50:01.99999997857958325</v>
      </c>
    </row>
    <row r="4" spans="1:5" ht="16" x14ac:dyDescent="0.2">
      <c r="A4" s="66" t="s">
        <v>3049</v>
      </c>
      <c r="B4" s="67" t="s">
        <v>3050</v>
      </c>
      <c r="C4" s="67" t="s">
        <v>3397</v>
      </c>
      <c r="D4" s="68">
        <v>3</v>
      </c>
      <c r="E4" s="69" t="d">
        <v>2026-01-18T19:50:05.00000005122274275</v>
      </c>
    </row>
    <row r="5" spans="1:5" ht="16" x14ac:dyDescent="0.2">
      <c r="A5" s="66" t="s">
        <v>3049</v>
      </c>
      <c r="B5" s="67" t="s">
        <v>3050</v>
      </c>
      <c r="C5" s="67" t="s">
        <v>3399</v>
      </c>
      <c r="D5" s="68">
        <v>2</v>
      </c>
      <c r="E5" s="69" t="d">
        <v>2026-01-18T19:50:11.00000019650906175</v>
      </c>
    </row>
    <row r="6" spans="1:5" ht="16" x14ac:dyDescent="0.2">
      <c r="A6" s="66" t="s">
        <v>3049</v>
      </c>
      <c r="B6" s="67" t="s">
        <v>3050</v>
      </c>
      <c r="C6" s="67" t="s">
        <v>3400</v>
      </c>
      <c r="D6" s="68">
        <v>1</v>
      </c>
      <c r="E6" s="69" t="d">
        <v>2026-01-18T19:50:16.00000010803341825</v>
      </c>
    </row>
    <row r="7" spans="1:5" ht="16" x14ac:dyDescent="0.2">
      <c r="A7" s="66" t="s">
        <v>3049</v>
      </c>
      <c r="B7" s="67" t="s">
        <v>3050</v>
      </c>
      <c r="C7" s="67" t="s">
        <v>3402</v>
      </c>
      <c r="D7" s="68">
        <v>5</v>
      </c>
      <c r="E7" s="69" t="d">
        <v>2026-01-18T19:54:05.00000020489096425</v>
      </c>
    </row>
    <row r="8" spans="1:5" ht="16" x14ac:dyDescent="0.2">
      <c r="A8" s="66" t="s">
        <v>3049</v>
      </c>
      <c r="B8" s="67" t="s">
        <v>3050</v>
      </c>
      <c r="C8" s="67" t="s">
        <v>3404</v>
      </c>
      <c r="D8" s="68">
        <v>4</v>
      </c>
      <c r="E8" s="69" t="d">
        <v>2026-01-18T19:54:05.00000020489096425</v>
      </c>
    </row>
    <row r="9" spans="1:5" ht="16" x14ac:dyDescent="0.2">
      <c r="A9" s="66" t="s">
        <v>3049</v>
      </c>
      <c r="B9" s="67" t="s">
        <v>3050</v>
      </c>
      <c r="C9" s="67" t="s">
        <v>3405</v>
      </c>
      <c r="D9" s="68">
        <v>3</v>
      </c>
      <c r="E9" s="69" t="d">
        <v>2026-01-18T19:54:05.00000020489096425</v>
      </c>
    </row>
    <row r="10" spans="1:5" ht="16" x14ac:dyDescent="0.2">
      <c r="A10" s="66" t="s">
        <v>3049</v>
      </c>
      <c r="B10" s="67" t="s">
        <v>3050</v>
      </c>
      <c r="C10" s="67" t="s">
        <v>3406</v>
      </c>
      <c r="D10" s="68">
        <v>2</v>
      </c>
      <c r="E10" s="69" t="d">
        <v>2026-01-18T19:54:05.00000020489096425</v>
      </c>
    </row>
    <row r="11" spans="1:5" ht="16" x14ac:dyDescent="0.2">
      <c r="A11" s="66" t="s">
        <v>3049</v>
      </c>
      <c r="B11" s="67" t="s">
        <v>3050</v>
      </c>
      <c r="C11" s="67" t="s">
        <v>3407</v>
      </c>
      <c r="D11" s="68">
        <v>1</v>
      </c>
      <c r="E11" s="69" t="d">
        <v>2026-01-18T19:54:05.00000020489096425</v>
      </c>
    </row>
    <row r="12" spans="1:5" ht="16" x14ac:dyDescent="0.2">
      <c r="A12" s="66" t="s">
        <v>3049</v>
      </c>
      <c r="B12" s="67" t="s">
        <v>3050</v>
      </c>
      <c r="C12" s="67" t="s">
        <v>3408</v>
      </c>
      <c r="D12" s="68">
        <v>5</v>
      </c>
      <c r="E12" s="69" t="d">
        <v>2026-01-18T19:54:24.99999985098839025</v>
      </c>
    </row>
    <row r="13" spans="1:5" ht="16" x14ac:dyDescent="0.2">
      <c r="A13" s="66" t="s">
        <v>3049</v>
      </c>
      <c r="B13" s="67" t="s">
        <v>3050</v>
      </c>
      <c r="C13" s="67" t="s">
        <v>3409</v>
      </c>
      <c r="D13" s="68">
        <v>4</v>
      </c>
      <c r="E13" s="69" t="d">
        <v>2026-01-18T19:54:24.99999985098839025</v>
      </c>
    </row>
    <row r="14" spans="1:5" ht="16" x14ac:dyDescent="0.2">
      <c r="A14" s="66" t="s">
        <v>3049</v>
      </c>
      <c r="B14" s="67" t="s">
        <v>3050</v>
      </c>
      <c r="C14" s="67" t="s">
        <v>3410</v>
      </c>
      <c r="D14" s="68">
        <v>3</v>
      </c>
      <c r="E14" s="69" t="d">
        <v>2026-01-18T19:54:24.99999985098839025</v>
      </c>
    </row>
    <row r="15" spans="1:5" ht="16" x14ac:dyDescent="0.2">
      <c r="A15" s="66" t="s">
        <v>3049</v>
      </c>
      <c r="B15" s="67" t="s">
        <v>3050</v>
      </c>
      <c r="C15" s="67" t="s">
        <v>3411</v>
      </c>
      <c r="D15" s="68">
        <v>2</v>
      </c>
      <c r="E15" s="69" t="d">
        <v>2026-01-18T19:54:24.99999985098839025</v>
      </c>
    </row>
    <row r="16" spans="1:5" ht="16" x14ac:dyDescent="0.2">
      <c r="A16" s="66" t="s">
        <v>3049</v>
      </c>
      <c r="B16" s="67" t="s">
        <v>3050</v>
      </c>
      <c r="C16" s="67" t="s">
        <v>3412</v>
      </c>
      <c r="D16" s="68">
        <v>1</v>
      </c>
      <c r="E16" s="69" t="d">
        <v>2026-01-18T19:54:24.99999985098839025</v>
      </c>
    </row>
    <row r="17" spans="1:5" ht="16" x14ac:dyDescent="0.2">
      <c r="A17" s="66" t="s">
        <v>3049</v>
      </c>
      <c r="B17" s="67" t="s">
        <v>3050</v>
      </c>
      <c r="C17" s="67" t="s">
        <v>3413</v>
      </c>
      <c r="D17" s="68">
        <v>5</v>
      </c>
      <c r="E17" s="69" t="d">
        <v>2026-01-18T19:54:24.99999985098839025</v>
      </c>
    </row>
    <row r="18" spans="1:5" ht="16" x14ac:dyDescent="0.2">
      <c r="A18" s="66" t="s">
        <v>3049</v>
      </c>
      <c r="B18" s="67" t="s">
        <v>3050</v>
      </c>
      <c r="C18" s="67" t="s">
        <v>3414</v>
      </c>
      <c r="D18" s="68">
        <v>1</v>
      </c>
      <c r="E18" s="69" t="d">
        <v>2026-01-22T12:11:37.000000113621354375</v>
      </c>
    </row>
    <row r="19" spans="1:5" ht="16" x14ac:dyDescent="0.2">
      <c r="A19" s="66" t="s">
        <v>3049</v>
      </c>
      <c r="B19" s="67" t="s">
        <v>3051</v>
      </c>
      <c r="C19" s="67" t="s">
        <v>3403</v>
      </c>
      <c r="D19" s="68">
        <v>1</v>
      </c>
      <c r="E19" s="69" t="d">
        <v>2026-01-18T19:50:41.99999989941716325</v>
      </c>
    </row>
    <row r="20" spans="1:5" ht="16" x14ac:dyDescent="0.2">
      <c r="A20" s="66" t="s">
        <v>3049</v>
      </c>
      <c r="B20" s="67" t="s">
        <v>3051</v>
      </c>
      <c r="C20" s="67" t="s">
        <v>3398</v>
      </c>
      <c r="D20" s="68">
        <v>2</v>
      </c>
      <c r="E20" s="69" t="d">
        <v>2026-01-18T19:50:43.00000013317912575</v>
      </c>
    </row>
    <row r="21" spans="1:5" ht="16" x14ac:dyDescent="0.2">
      <c r="A21" s="66" t="s">
        <v>3049</v>
      </c>
      <c r="B21" s="67" t="s">
        <v>3051</v>
      </c>
      <c r="C21" s="67" t="s">
        <v>3397</v>
      </c>
      <c r="D21" s="68">
        <v>3</v>
      </c>
      <c r="E21" s="69" t="d">
        <v>2026-01-18T19:50:43.99999973829835350</v>
      </c>
    </row>
    <row r="22" spans="1:5" ht="16" x14ac:dyDescent="0.2">
      <c r="A22" s="66" t="s">
        <v>3049</v>
      </c>
      <c r="B22" s="67" t="s">
        <v>3051</v>
      </c>
      <c r="C22" s="67" t="s">
        <v>3399</v>
      </c>
      <c r="D22" s="68">
        <v>4</v>
      </c>
      <c r="E22" s="69" t="d">
        <v>2026-01-18T19:50:43.99999973829835350</v>
      </c>
    </row>
    <row r="23" spans="1:5" ht="16" x14ac:dyDescent="0.2">
      <c r="A23" s="66" t="s">
        <v>3049</v>
      </c>
      <c r="B23" s="67" t="s">
        <v>3051</v>
      </c>
      <c r="C23" s="67" t="s">
        <v>3400</v>
      </c>
      <c r="D23" s="68">
        <v>5</v>
      </c>
      <c r="E23" s="69" t="d">
        <v>2026-01-18T19:50:59.00000010151415775</v>
      </c>
    </row>
    <row r="24" spans="1:5" ht="16" x14ac:dyDescent="0.2">
      <c r="A24" s="66" t="s">
        <v>3049</v>
      </c>
      <c r="B24" s="67" t="s">
        <v>3051</v>
      </c>
      <c r="C24" s="67" t="s">
        <v>3402</v>
      </c>
      <c r="D24" s="68">
        <v>1</v>
      </c>
      <c r="E24" s="69" t="d">
        <v>2026-01-18T19:54:05.00000020489096425</v>
      </c>
    </row>
    <row r="25" spans="1:5" ht="16" x14ac:dyDescent="0.2">
      <c r="A25" s="66" t="s">
        <v>3049</v>
      </c>
      <c r="B25" s="67" t="s">
        <v>3051</v>
      </c>
      <c r="C25" s="67" t="s">
        <v>3404</v>
      </c>
      <c r="D25" s="68">
        <v>2</v>
      </c>
      <c r="E25" s="69" t="d">
        <v>2026-01-18T19:54:05.00000020489096425</v>
      </c>
    </row>
    <row r="26" spans="1:5" ht="16" x14ac:dyDescent="0.2">
      <c r="A26" s="66" t="s">
        <v>3049</v>
      </c>
      <c r="B26" s="67" t="s">
        <v>3051</v>
      </c>
      <c r="C26" s="67" t="s">
        <v>3405</v>
      </c>
      <c r="D26" s="68">
        <v>3</v>
      </c>
      <c r="E26" s="69" t="d">
        <v>2026-01-18T19:54:05.99999981001019200</v>
      </c>
    </row>
    <row r="27" spans="1:5" ht="16" x14ac:dyDescent="0.2">
      <c r="A27" s="66" t="s">
        <v>3049</v>
      </c>
      <c r="B27" s="67" t="s">
        <v>3051</v>
      </c>
      <c r="C27" s="67" t="s">
        <v>3406</v>
      </c>
      <c r="D27" s="68">
        <v>4</v>
      </c>
      <c r="E27" s="69" t="d">
        <v>2026-01-18T19:54:05.99999981001019200</v>
      </c>
    </row>
    <row r="28" spans="1:5" ht="16" x14ac:dyDescent="0.2">
      <c r="A28" s="66" t="s">
        <v>3049</v>
      </c>
      <c r="B28" s="67" t="s">
        <v>3051</v>
      </c>
      <c r="C28" s="67" t="s">
        <v>3407</v>
      </c>
      <c r="D28" s="68">
        <v>5</v>
      </c>
      <c r="E28" s="69" t="d">
        <v>2026-01-18T19:54:05.99999981001019200</v>
      </c>
    </row>
    <row r="29" spans="1:5" ht="16" x14ac:dyDescent="0.2">
      <c r="A29" s="66" t="s">
        <v>3049</v>
      </c>
      <c r="B29" s="67" t="s">
        <v>3051</v>
      </c>
      <c r="C29" s="67" t="s">
        <v>3408</v>
      </c>
      <c r="D29" s="68">
        <v>5</v>
      </c>
      <c r="E29" s="69" t="d">
        <v>2026-01-18T19:54:35.00000030267983800</v>
      </c>
    </row>
    <row r="30" spans="1:5" ht="16" x14ac:dyDescent="0.2">
      <c r="A30" s="66" t="s">
        <v>3049</v>
      </c>
      <c r="B30" s="67" t="s">
        <v>3051</v>
      </c>
      <c r="C30" s="67" t="s">
        <v>3409</v>
      </c>
      <c r="D30" s="68">
        <v>4</v>
      </c>
      <c r="E30" s="69" t="d">
        <v>2026-01-18T19:54:35.00000030267983800</v>
      </c>
    </row>
    <row r="31" spans="1:5" ht="16" x14ac:dyDescent="0.2">
      <c r="A31" s="66" t="s">
        <v>3049</v>
      </c>
      <c r="B31" s="67" t="s">
        <v>3051</v>
      </c>
      <c r="C31" s="67" t="s">
        <v>3410</v>
      </c>
      <c r="D31" s="68">
        <v>3</v>
      </c>
      <c r="E31" s="69" t="d">
        <v>2026-01-18T19:54:35.00000030267983800</v>
      </c>
    </row>
    <row r="32" spans="1:5" ht="16" x14ac:dyDescent="0.2">
      <c r="A32" s="66" t="s">
        <v>3049</v>
      </c>
      <c r="B32" s="67" t="s">
        <v>3051</v>
      </c>
      <c r="C32" s="67" t="s">
        <v>3411</v>
      </c>
      <c r="D32" s="68">
        <v>2</v>
      </c>
      <c r="E32" s="69" t="d">
        <v>2026-01-18T19:54:35.00000030267983800</v>
      </c>
    </row>
    <row r="33" spans="1:5" ht="16" x14ac:dyDescent="0.2">
      <c r="A33" s="66" t="s">
        <v>3049</v>
      </c>
      <c r="B33" s="67" t="s">
        <v>3051</v>
      </c>
      <c r="C33" s="67" t="s">
        <v>3412</v>
      </c>
      <c r="D33" s="68">
        <v>1</v>
      </c>
      <c r="E33" s="69" t="d">
        <v>2026-01-18T19:54:35.00000030267983800</v>
      </c>
    </row>
    <row r="34" spans="1:5" ht="16" x14ac:dyDescent="0.2">
      <c r="A34" s="66" t="s">
        <v>3049</v>
      </c>
      <c r="B34" s="67" t="s">
        <v>3051</v>
      </c>
      <c r="C34" s="67" t="s">
        <v>3413</v>
      </c>
      <c r="D34" s="68">
        <v>5</v>
      </c>
      <c r="E34" s="69" t="d">
        <v>2026-01-18T19:54:35.00000030267983800</v>
      </c>
    </row>
    <row r="35" spans="1:5" ht="16" x14ac:dyDescent="0.2">
      <c r="A35" s="66" t="s">
        <v>3049</v>
      </c>
      <c r="B35" s="67" t="s">
        <v>3051</v>
      </c>
      <c r="C35" s="67" t="s">
        <v>3414</v>
      </c>
      <c r="D35" s="68">
        <v>5</v>
      </c>
      <c r="E35" s="69" t="d">
        <v>2026-01-22T12:11:37.000000113621354375</v>
      </c>
    </row>
    <row r="36" spans="1:5" ht="16" x14ac:dyDescent="0.2">
      <c r="A36" s="66" t="s">
        <v>3049</v>
      </c>
      <c r="B36" s="67" t="s">
        <v>3052</v>
      </c>
      <c r="C36" s="67" t="s">
        <v>3403</v>
      </c>
      <c r="D36" s="68">
        <v>3</v>
      </c>
      <c r="E36" s="69" t="d">
        <v>2026-01-18T19:53:38.00000017974525675</v>
      </c>
    </row>
    <row r="37" spans="1:5" ht="16" x14ac:dyDescent="0.2">
      <c r="A37" s="66" t="s">
        <v>3049</v>
      </c>
      <c r="B37" s="67" t="s">
        <v>3052</v>
      </c>
      <c r="C37" s="67" t="s">
        <v>3398</v>
      </c>
      <c r="D37" s="68">
        <v>3</v>
      </c>
      <c r="E37" s="69" t="d">
        <v>2026-01-18T19:53:38.00000017974525675</v>
      </c>
    </row>
    <row r="38" spans="1:5" ht="16" x14ac:dyDescent="0.2">
      <c r="A38" s="66" t="s">
        <v>3049</v>
      </c>
      <c r="B38" s="67" t="s">
        <v>3052</v>
      </c>
      <c r="C38" s="67" t="s">
        <v>3399</v>
      </c>
      <c r="D38" s="68">
        <v>3</v>
      </c>
      <c r="E38" s="69" t="d">
        <v>2026-01-18T19:53:38.00000017974525675</v>
      </c>
    </row>
    <row r="39" spans="1:5" ht="16" x14ac:dyDescent="0.2">
      <c r="A39" s="66" t="s">
        <v>3049</v>
      </c>
      <c r="B39" s="67" t="s">
        <v>3052</v>
      </c>
      <c r="C39" s="67" t="s">
        <v>3400</v>
      </c>
      <c r="D39" s="68">
        <v>3</v>
      </c>
      <c r="E39" s="69" t="d">
        <v>2026-01-18T19:53:38.00000017974525675</v>
      </c>
    </row>
    <row r="40" spans="1:5" ht="16" x14ac:dyDescent="0.2">
      <c r="A40" s="66" t="s">
        <v>3049</v>
      </c>
      <c r="B40" s="67" t="s">
        <v>3052</v>
      </c>
      <c r="C40" s="67" t="s">
        <v>3401</v>
      </c>
      <c r="D40" s="68">
        <v>3</v>
      </c>
      <c r="E40" s="69" t="d">
        <v>2026-01-18T19:53:38.00000017974525675</v>
      </c>
    </row>
    <row r="41" spans="1:5" ht="16" x14ac:dyDescent="0.2">
      <c r="A41" s="66" t="s">
        <v>3049</v>
      </c>
      <c r="B41" s="67" t="s">
        <v>3052</v>
      </c>
      <c r="C41" s="67" t="s">
        <v>3402</v>
      </c>
      <c r="D41" s="68">
        <v>3</v>
      </c>
      <c r="E41" s="69" t="d">
        <v>2026-01-18T19:53:38.00000017974525675</v>
      </c>
    </row>
    <row r="42" spans="1:5" ht="16" x14ac:dyDescent="0.2">
      <c r="A42" s="66" t="s">
        <v>3049</v>
      </c>
      <c r="B42" s="67" t="s">
        <v>3052</v>
      </c>
      <c r="C42" s="67" t="s">
        <v>3404</v>
      </c>
      <c r="D42" s="68">
        <v>3</v>
      </c>
      <c r="E42" s="69" t="d">
        <v>2026-01-18T19:53:38.00000017974525675</v>
      </c>
    </row>
    <row r="43" spans="1:5" ht="16" x14ac:dyDescent="0.2">
      <c r="A43" s="66" t="s">
        <v>3049</v>
      </c>
      <c r="B43" s="67" t="s">
        <v>3052</v>
      </c>
      <c r="C43" s="67" t="s">
        <v>3405</v>
      </c>
      <c r="D43" s="68">
        <v>3</v>
      </c>
      <c r="E43" s="69" t="d">
        <v>2026-01-18T19:53:38.00000017974525675</v>
      </c>
    </row>
    <row r="44" spans="1:5" ht="16" x14ac:dyDescent="0.2">
      <c r="A44" s="66" t="s">
        <v>3049</v>
      </c>
      <c r="B44" s="67" t="s">
        <v>3052</v>
      </c>
      <c r="C44" s="67" t="s">
        <v>3406</v>
      </c>
      <c r="D44" s="68">
        <v>3</v>
      </c>
      <c r="E44" s="69" t="d">
        <v>2026-01-18T19:53:38.00000017974525675</v>
      </c>
    </row>
    <row r="45" spans="1:5" ht="16" x14ac:dyDescent="0.2">
      <c r="A45" s="66" t="s">
        <v>3049</v>
      </c>
      <c r="B45" s="67" t="s">
        <v>3052</v>
      </c>
      <c r="C45" s="67" t="s">
        <v>3407</v>
      </c>
      <c r="D45" s="68">
        <v>3</v>
      </c>
      <c r="E45" s="69" t="d">
        <v>2026-01-18T19:53:38.00000017974525675</v>
      </c>
    </row>
    <row r="46" spans="1:5" ht="16" x14ac:dyDescent="0.2">
      <c r="A46" s="66" t="s">
        <v>3049</v>
      </c>
      <c r="B46" s="67" t="s">
        <v>3052</v>
      </c>
      <c r="C46" s="67" t="s">
        <v>3408</v>
      </c>
      <c r="D46" s="68">
        <v>3</v>
      </c>
      <c r="E46" s="69" t="d">
        <v>2026-01-18T19:53:38.00000017974525675</v>
      </c>
    </row>
    <row r="47" spans="1:5" ht="16" x14ac:dyDescent="0.2">
      <c r="A47" s="66" t="s">
        <v>3049</v>
      </c>
      <c r="B47" s="67" t="s">
        <v>3052</v>
      </c>
      <c r="C47" s="67" t="s">
        <v>3409</v>
      </c>
      <c r="D47" s="68">
        <v>3</v>
      </c>
      <c r="E47" s="69" t="d">
        <v>2026-01-18T19:53:38.00000017974525675</v>
      </c>
    </row>
    <row r="48" spans="1:5" ht="16" x14ac:dyDescent="0.2">
      <c r="A48" s="66" t="s">
        <v>3049</v>
      </c>
      <c r="B48" s="67" t="s">
        <v>3052</v>
      </c>
      <c r="C48" s="67" t="s">
        <v>3410</v>
      </c>
      <c r="D48" s="68">
        <v>3</v>
      </c>
      <c r="E48" s="69" t="d">
        <v>2026-01-18T19:53:38.00000017974525675</v>
      </c>
    </row>
    <row r="49" spans="1:5" ht="16" x14ac:dyDescent="0.2">
      <c r="A49" s="66" t="s">
        <v>3049</v>
      </c>
      <c r="B49" s="67" t="s">
        <v>3052</v>
      </c>
      <c r="C49" s="67" t="s">
        <v>3411</v>
      </c>
      <c r="D49" s="68">
        <v>3</v>
      </c>
      <c r="E49" s="69" t="d">
        <v>2026-01-18T19:53:38.00000017974525675</v>
      </c>
    </row>
    <row r="50" spans="1:5" ht="16" x14ac:dyDescent="0.2">
      <c r="A50" s="66" t="s">
        <v>3049</v>
      </c>
      <c r="B50" s="67" t="s">
        <v>3052</v>
      </c>
      <c r="C50" s="67" t="s">
        <v>3412</v>
      </c>
      <c r="D50" s="68">
        <v>3</v>
      </c>
      <c r="E50" s="69" t="d">
        <v>2026-01-18T19:53:38.00000017974525675</v>
      </c>
    </row>
    <row r="51" spans="1:5" ht="16" x14ac:dyDescent="0.2">
      <c r="A51" s="66" t="s">
        <v>3049</v>
      </c>
      <c r="B51" s="67" t="s">
        <v>3052</v>
      </c>
      <c r="C51" s="67" t="s">
        <v>3413</v>
      </c>
      <c r="D51" s="68">
        <v>3</v>
      </c>
      <c r="E51" s="69" t="d">
        <v>2026-01-18T19:53:38.00000017974525675</v>
      </c>
    </row>
    <row r="52" spans="1:5" ht="16" x14ac:dyDescent="0.2">
      <c r="A52" s="66" t="s">
        <v>3049</v>
      </c>
      <c r="B52" s="67" t="s">
        <v>3052</v>
      </c>
      <c r="C52" s="67" t="s">
        <v>3414</v>
      </c>
      <c r="D52" s="68">
        <v>3</v>
      </c>
      <c r="E52" s="69" t="d">
        <v>2026-01-22T12:11:37.000000113621354375</v>
      </c>
    </row>
    <row r="53" spans="1:5" ht="16" x14ac:dyDescent="0.2">
      <c r="A53" s="66" t="s">
        <v>3049</v>
      </c>
      <c r="B53" s="67" t="s">
        <v>3053</v>
      </c>
      <c r="C53" s="67" t="s">
        <v>3403</v>
      </c>
      <c r="D53" s="68">
        <v>3</v>
      </c>
      <c r="E53" s="69" t="d">
        <v>2026-01-18T19:53:38.00000017974525675</v>
      </c>
    </row>
    <row r="54" spans="1:5" ht="16" x14ac:dyDescent="0.2">
      <c r="A54" s="66" t="s">
        <v>3049</v>
      </c>
      <c r="B54" s="67" t="s">
        <v>3053</v>
      </c>
      <c r="C54" s="67" t="s">
        <v>3398</v>
      </c>
      <c r="D54" s="68">
        <v>3</v>
      </c>
      <c r="E54" s="69" t="d">
        <v>2026-01-18T19:53:38.00000017974525675</v>
      </c>
    </row>
    <row r="55" spans="1:5" ht="16" x14ac:dyDescent="0.2">
      <c r="A55" s="66" t="s">
        <v>3049</v>
      </c>
      <c r="B55" s="67" t="s">
        <v>3053</v>
      </c>
      <c r="C55" s="67" t="s">
        <v>3399</v>
      </c>
      <c r="D55" s="68">
        <v>3</v>
      </c>
      <c r="E55" s="69" t="d">
        <v>2026-01-18T19:53:38.00000017974525675</v>
      </c>
    </row>
    <row r="56" spans="1:5" ht="16" x14ac:dyDescent="0.2">
      <c r="A56" s="66" t="s">
        <v>3049</v>
      </c>
      <c r="B56" s="67" t="s">
        <v>3053</v>
      </c>
      <c r="C56" s="67" t="s">
        <v>3400</v>
      </c>
      <c r="D56" s="68">
        <v>3</v>
      </c>
      <c r="E56" s="69" t="d">
        <v>2026-01-18T19:53:38.00000017974525675</v>
      </c>
    </row>
    <row r="57" spans="1:5" ht="16" x14ac:dyDescent="0.2">
      <c r="A57" s="66" t="s">
        <v>3049</v>
      </c>
      <c r="B57" s="67" t="s">
        <v>3053</v>
      </c>
      <c r="C57" s="67" t="s">
        <v>3401</v>
      </c>
      <c r="D57" s="68">
        <v>3</v>
      </c>
      <c r="E57" s="69" t="d">
        <v>2026-01-18T19:53:38.00000017974525675</v>
      </c>
    </row>
    <row r="58" spans="1:5" ht="16" x14ac:dyDescent="0.2">
      <c r="A58" s="66" t="s">
        <v>3049</v>
      </c>
      <c r="B58" s="67" t="s">
        <v>3053</v>
      </c>
      <c r="C58" s="67" t="s">
        <v>3402</v>
      </c>
      <c r="D58" s="68">
        <v>3</v>
      </c>
      <c r="E58" s="69" t="d">
        <v>2026-01-18T19:53:38.00000017974525675</v>
      </c>
    </row>
    <row r="59" spans="1:5" ht="16" x14ac:dyDescent="0.2">
      <c r="A59" s="66" t="s">
        <v>3049</v>
      </c>
      <c r="B59" s="67" t="s">
        <v>3053</v>
      </c>
      <c r="C59" s="67" t="s">
        <v>3404</v>
      </c>
      <c r="D59" s="68">
        <v>3</v>
      </c>
      <c r="E59" s="69" t="d">
        <v>2026-01-18T19:53:38.00000017974525675</v>
      </c>
    </row>
    <row r="60" spans="1:5" ht="16" x14ac:dyDescent="0.2">
      <c r="A60" s="66" t="s">
        <v>3049</v>
      </c>
      <c r="B60" s="67" t="s">
        <v>3053</v>
      </c>
      <c r="C60" s="67" t="s">
        <v>3405</v>
      </c>
      <c r="D60" s="68">
        <v>3</v>
      </c>
      <c r="E60" s="69" t="d">
        <v>2026-01-18T19:53:38.00000017974525675</v>
      </c>
    </row>
    <row r="61" spans="1:5" ht="16" x14ac:dyDescent="0.2">
      <c r="A61" s="66" t="s">
        <v>3049</v>
      </c>
      <c r="B61" s="67" t="s">
        <v>3053</v>
      </c>
      <c r="C61" s="67" t="s">
        <v>3406</v>
      </c>
      <c r="D61" s="68">
        <v>3</v>
      </c>
      <c r="E61" s="69" t="d">
        <v>2026-01-18T19:53:38.00000017974525675</v>
      </c>
    </row>
    <row r="62" spans="1:5" ht="16" x14ac:dyDescent="0.2">
      <c r="A62" s="66" t="s">
        <v>3049</v>
      </c>
      <c r="B62" s="67" t="s">
        <v>3053</v>
      </c>
      <c r="C62" s="67" t="s">
        <v>3407</v>
      </c>
      <c r="D62" s="68">
        <v>3</v>
      </c>
      <c r="E62" s="69" t="d">
        <v>2026-01-18T19:53:38.00000017974525675</v>
      </c>
    </row>
    <row r="63" spans="1:5" ht="16" x14ac:dyDescent="0.2">
      <c r="A63" s="66" t="s">
        <v>3049</v>
      </c>
      <c r="B63" s="67" t="s">
        <v>3053</v>
      </c>
      <c r="C63" s="67" t="s">
        <v>3408</v>
      </c>
      <c r="D63" s="68">
        <v>3</v>
      </c>
      <c r="E63" s="69" t="d">
        <v>2026-01-18T19:53:38.00000017974525675</v>
      </c>
    </row>
    <row r="64" spans="1:5" ht="16" x14ac:dyDescent="0.2">
      <c r="A64" s="66" t="s">
        <v>3049</v>
      </c>
      <c r="B64" s="67" t="s">
        <v>3053</v>
      </c>
      <c r="C64" s="67" t="s">
        <v>3409</v>
      </c>
      <c r="D64" s="68">
        <v>3</v>
      </c>
      <c r="E64" s="69" t="d">
        <v>2026-01-18T19:53:38.00000017974525675</v>
      </c>
    </row>
    <row r="65" spans="1:5" ht="16" x14ac:dyDescent="0.2">
      <c r="A65" s="66" t="s">
        <v>3049</v>
      </c>
      <c r="B65" s="67" t="s">
        <v>3053</v>
      </c>
      <c r="C65" s="67" t="s">
        <v>3410</v>
      </c>
      <c r="D65" s="68">
        <v>3</v>
      </c>
      <c r="E65" s="69" t="d">
        <v>2026-01-18T19:53:38.99999978486448450</v>
      </c>
    </row>
    <row r="66" spans="1:5" ht="16" x14ac:dyDescent="0.2">
      <c r="A66" s="66" t="s">
        <v>3049</v>
      </c>
      <c r="B66" s="67" t="s">
        <v>3053</v>
      </c>
      <c r="C66" s="67" t="s">
        <v>3411</v>
      </c>
      <c r="D66" s="68">
        <v>3</v>
      </c>
      <c r="E66" s="69" t="d">
        <v>2026-01-18T19:53:38.99999978486448450</v>
      </c>
    </row>
    <row r="67" spans="1:5" ht="16" x14ac:dyDescent="0.2">
      <c r="A67" s="66" t="s">
        <v>3049</v>
      </c>
      <c r="B67" s="67" t="s">
        <v>3053</v>
      </c>
      <c r="C67" s="67" t="s">
        <v>3412</v>
      </c>
      <c r="D67" s="68">
        <v>3</v>
      </c>
      <c r="E67" s="69" t="d">
        <v>2026-01-18T19:53:38.99999978486448450</v>
      </c>
    </row>
    <row r="68" spans="1:5" ht="16" x14ac:dyDescent="0.2">
      <c r="A68" s="66" t="s">
        <v>3049</v>
      </c>
      <c r="B68" s="67" t="s">
        <v>3053</v>
      </c>
      <c r="C68" s="67" t="s">
        <v>3413</v>
      </c>
      <c r="D68" s="68">
        <v>3</v>
      </c>
      <c r="E68" s="69" t="d">
        <v>2026-01-18T19:53:38.99999978486448450</v>
      </c>
    </row>
    <row r="69" spans="1:5" ht="16" x14ac:dyDescent="0.2">
      <c r="A69" s="66" t="s">
        <v>3049</v>
      </c>
      <c r="B69" s="67" t="s">
        <v>3053</v>
      </c>
      <c r="C69" s="67" t="s">
        <v>3414</v>
      </c>
      <c r="D69" s="68">
        <v>3</v>
      </c>
      <c r="E69" s="69" t="d">
        <v>2026-01-22T12:11:37.000000113621354375</v>
      </c>
    </row>
    <row r="70" spans="1:5" ht="16" x14ac:dyDescent="0.2">
      <c r="A70" s="66" t="s">
        <v>3049</v>
      </c>
      <c r="B70" s="67" t="s">
        <v>3054</v>
      </c>
      <c r="C70" s="67" t="s">
        <v>3403</v>
      </c>
      <c r="D70" s="68">
        <v>5</v>
      </c>
      <c r="E70" s="69" t="d">
        <v>2026-01-21T11:57:01.00000027567148175</v>
      </c>
    </row>
    <row r="71" spans="1:5" ht="16" x14ac:dyDescent="0.2">
      <c r="A71" s="66" t="s">
        <v>3049</v>
      </c>
      <c r="B71" s="67" t="s">
        <v>3054</v>
      </c>
      <c r="C71" s="67" t="s">
        <v>3398</v>
      </c>
      <c r="D71" s="68">
        <v>3</v>
      </c>
      <c r="E71" s="69" t="d">
        <v>2026-01-18T19:53:38.99999978486448450</v>
      </c>
    </row>
    <row r="72" spans="1:5" ht="16" x14ac:dyDescent="0.2">
      <c r="A72" s="66" t="s">
        <v>3049</v>
      </c>
      <c r="B72" s="67" t="s">
        <v>3054</v>
      </c>
      <c r="C72" s="67" t="s">
        <v>3399</v>
      </c>
      <c r="D72" s="68">
        <v>3</v>
      </c>
      <c r="E72" s="69" t="d">
        <v>2026-01-18T19:53:38.99999978486448450</v>
      </c>
    </row>
    <row r="73" spans="1:5" ht="16" x14ac:dyDescent="0.2">
      <c r="A73" s="66" t="s">
        <v>3049</v>
      </c>
      <c r="B73" s="67" t="s">
        <v>3054</v>
      </c>
      <c r="C73" s="67" t="s">
        <v>3400</v>
      </c>
      <c r="D73" s="68">
        <v>3</v>
      </c>
      <c r="E73" s="69" t="d">
        <v>2026-01-18T19:53:38.99999978486448450</v>
      </c>
    </row>
    <row r="74" spans="1:5" ht="16" x14ac:dyDescent="0.2">
      <c r="A74" s="66" t="s">
        <v>3049</v>
      </c>
      <c r="B74" s="67" t="s">
        <v>3054</v>
      </c>
      <c r="C74" s="67" t="s">
        <v>3401</v>
      </c>
      <c r="D74" s="68">
        <v>3</v>
      </c>
      <c r="E74" s="69" t="d">
        <v>2026-01-18T19:53:38.99999978486448450</v>
      </c>
    </row>
    <row r="75" spans="1:5" ht="16" x14ac:dyDescent="0.2">
      <c r="A75" s="66" t="s">
        <v>3049</v>
      </c>
      <c r="B75" s="67" t="s">
        <v>3054</v>
      </c>
      <c r="C75" s="67" t="s">
        <v>3402</v>
      </c>
      <c r="D75" s="68">
        <v>3</v>
      </c>
      <c r="E75" s="69" t="d">
        <v>2026-01-18T19:53:38.99999978486448450</v>
      </c>
    </row>
    <row r="76" spans="1:5" ht="16" x14ac:dyDescent="0.2">
      <c r="A76" s="66" t="s">
        <v>3049</v>
      </c>
      <c r="B76" s="67" t="s">
        <v>3054</v>
      </c>
      <c r="C76" s="67" t="s">
        <v>3404</v>
      </c>
      <c r="D76" s="68">
        <v>3</v>
      </c>
      <c r="E76" s="69" t="d">
        <v>2026-01-18T19:53:38.99999978486448450</v>
      </c>
    </row>
    <row r="77" spans="1:5" ht="16" x14ac:dyDescent="0.2">
      <c r="A77" s="66" t="s">
        <v>3049</v>
      </c>
      <c r="B77" s="67" t="s">
        <v>3054</v>
      </c>
      <c r="C77" s="67" t="s">
        <v>3405</v>
      </c>
      <c r="D77" s="68">
        <v>3</v>
      </c>
      <c r="E77" s="69" t="d">
        <v>2026-01-18T19:53:38.99999978486448450</v>
      </c>
    </row>
    <row r="78" spans="1:5" ht="16" x14ac:dyDescent="0.2">
      <c r="A78" s="66" t="s">
        <v>3049</v>
      </c>
      <c r="B78" s="67" t="s">
        <v>3054</v>
      </c>
      <c r="C78" s="67" t="s">
        <v>3406</v>
      </c>
      <c r="D78" s="68">
        <v>3</v>
      </c>
      <c r="E78" s="69" t="d">
        <v>2026-01-18T19:53:38.99999978486448450</v>
      </c>
    </row>
    <row r="79" spans="1:5" ht="16" x14ac:dyDescent="0.2">
      <c r="A79" s="66" t="s">
        <v>3049</v>
      </c>
      <c r="B79" s="67" t="s">
        <v>3054</v>
      </c>
      <c r="C79" s="67" t="s">
        <v>3407</v>
      </c>
      <c r="D79" s="68">
        <v>3</v>
      </c>
      <c r="E79" s="69" t="d">
        <v>2026-01-18T19:53:38.99999978486448450</v>
      </c>
    </row>
    <row r="80" spans="1:5" ht="16" x14ac:dyDescent="0.2">
      <c r="A80" s="66" t="s">
        <v>3049</v>
      </c>
      <c r="B80" s="67" t="s">
        <v>3054</v>
      </c>
      <c r="C80" s="67" t="s">
        <v>3408</v>
      </c>
      <c r="D80" s="68">
        <v>3</v>
      </c>
      <c r="E80" s="69" t="d">
        <v>2026-01-18T19:53:38.99999978486448450</v>
      </c>
    </row>
    <row r="81" spans="1:5" ht="16" x14ac:dyDescent="0.2">
      <c r="A81" s="66" t="s">
        <v>3049</v>
      </c>
      <c r="B81" s="67" t="s">
        <v>3054</v>
      </c>
      <c r="C81" s="67" t="s">
        <v>3409</v>
      </c>
      <c r="D81" s="68">
        <v>3</v>
      </c>
      <c r="E81" s="69" t="d">
        <v>2026-01-18T19:53:38.99999978486448450</v>
      </c>
    </row>
    <row r="82" spans="1:5" ht="16" x14ac:dyDescent="0.2">
      <c r="A82" s="66" t="s">
        <v>3049</v>
      </c>
      <c r="B82" s="67" t="s">
        <v>3054</v>
      </c>
      <c r="C82" s="67" t="s">
        <v>3410</v>
      </c>
      <c r="D82" s="68">
        <v>3</v>
      </c>
      <c r="E82" s="69" t="d">
        <v>2026-01-18T19:53:38.99999978486448450</v>
      </c>
    </row>
    <row r="83" spans="1:5" ht="16" x14ac:dyDescent="0.2">
      <c r="A83" s="66" t="s">
        <v>3049</v>
      </c>
      <c r="B83" s="67" t="s">
        <v>3054</v>
      </c>
      <c r="C83" s="67" t="s">
        <v>3411</v>
      </c>
      <c r="D83" s="68">
        <v>3</v>
      </c>
      <c r="E83" s="69" t="d">
        <v>2026-01-18T19:53:38.99999978486448450</v>
      </c>
    </row>
    <row r="84" spans="1:5" ht="16" x14ac:dyDescent="0.2">
      <c r="A84" s="66" t="s">
        <v>3049</v>
      </c>
      <c r="B84" s="67" t="s">
        <v>3054</v>
      </c>
      <c r="C84" s="67" t="s">
        <v>3412</v>
      </c>
      <c r="D84" s="68">
        <v>3</v>
      </c>
      <c r="E84" s="69" t="d">
        <v>2026-01-18T19:53:38.99999978486448450</v>
      </c>
    </row>
    <row r="85" spans="1:5" ht="16" x14ac:dyDescent="0.2">
      <c r="A85" s="66" t="s">
        <v>3049</v>
      </c>
      <c r="B85" s="67" t="s">
        <v>3054</v>
      </c>
      <c r="C85" s="67" t="s">
        <v>3413</v>
      </c>
      <c r="D85" s="68">
        <v>3</v>
      </c>
      <c r="E85" s="69" t="d">
        <v>2026-01-18T19:53:38.99999978486448450</v>
      </c>
    </row>
    <row r="86" spans="1:5" ht="16" x14ac:dyDescent="0.2">
      <c r="A86" s="66" t="s">
        <v>3049</v>
      </c>
      <c r="B86" s="67" t="s">
        <v>3054</v>
      </c>
      <c r="C86" s="67" t="s">
        <v>3414</v>
      </c>
      <c r="D86" s="68">
        <v>3</v>
      </c>
      <c r="E86" s="69" t="d">
        <v>2026-01-22T12:11:37.000000113621354375</v>
      </c>
    </row>
    <row r="87" spans="1:5" ht="16" x14ac:dyDescent="0.2">
      <c r="A87" s="66" t="s">
        <v>3049</v>
      </c>
      <c r="B87" s="67" t="s">
        <v>3055</v>
      </c>
      <c r="C87" s="67" t="s">
        <v>3403</v>
      </c>
      <c r="D87" s="68">
        <v>3</v>
      </c>
      <c r="E87" s="69" t="d">
        <v>2026-01-18T19:53:38.99999978486448450</v>
      </c>
    </row>
    <row r="88" spans="1:5" ht="16" x14ac:dyDescent="0.2">
      <c r="A88" s="66" t="s">
        <v>3049</v>
      </c>
      <c r="B88" s="67" t="s">
        <v>3055</v>
      </c>
      <c r="C88" s="67" t="s">
        <v>3398</v>
      </c>
      <c r="D88" s="68">
        <v>3</v>
      </c>
      <c r="E88" s="69" t="d">
        <v>2026-01-18T19:53:38.99999978486448450</v>
      </c>
    </row>
    <row r="89" spans="1:5" ht="16" x14ac:dyDescent="0.2">
      <c r="A89" s="66" t="s">
        <v>3049</v>
      </c>
      <c r="B89" s="67" t="s">
        <v>3055</v>
      </c>
      <c r="C89" s="67" t="s">
        <v>3399</v>
      </c>
      <c r="D89" s="68">
        <v>3</v>
      </c>
      <c r="E89" s="69" t="d">
        <v>2026-01-18T19:53:38.99999978486448450</v>
      </c>
    </row>
    <row r="90" spans="1:5" ht="16" x14ac:dyDescent="0.2">
      <c r="A90" s="66" t="s">
        <v>3049</v>
      </c>
      <c r="B90" s="67" t="s">
        <v>3055</v>
      </c>
      <c r="C90" s="67" t="s">
        <v>3400</v>
      </c>
      <c r="D90" s="68">
        <v>3</v>
      </c>
      <c r="E90" s="69" t="d">
        <v>2026-01-18T19:53:38.99999978486448450</v>
      </c>
    </row>
    <row r="91" spans="1:5" ht="16" x14ac:dyDescent="0.2">
      <c r="A91" s="66" t="s">
        <v>3049</v>
      </c>
      <c r="B91" s="67" t="s">
        <v>3055</v>
      </c>
      <c r="C91" s="67" t="s">
        <v>3401</v>
      </c>
      <c r="D91" s="68">
        <v>3</v>
      </c>
      <c r="E91" s="69" t="d">
        <v>2026-01-18T19:53:38.99999978486448450</v>
      </c>
    </row>
    <row r="92" spans="1:5" ht="16" x14ac:dyDescent="0.2">
      <c r="A92" s="66" t="s">
        <v>3049</v>
      </c>
      <c r="B92" s="67" t="s">
        <v>3055</v>
      </c>
      <c r="C92" s="67" t="s">
        <v>3402</v>
      </c>
      <c r="D92" s="68">
        <v>3</v>
      </c>
      <c r="E92" s="69" t="d">
        <v>2026-01-18T19:53:38.99999978486448450</v>
      </c>
    </row>
    <row r="93" spans="1:5" ht="16" x14ac:dyDescent="0.2">
      <c r="A93" s="66" t="s">
        <v>3049</v>
      </c>
      <c r="B93" s="67" t="s">
        <v>3055</v>
      </c>
      <c r="C93" s="67" t="s">
        <v>3404</v>
      </c>
      <c r="D93" s="68">
        <v>3</v>
      </c>
      <c r="E93" s="69" t="d">
        <v>2026-01-18T19:53:38.99999978486448450</v>
      </c>
    </row>
    <row r="94" spans="1:5" ht="16" x14ac:dyDescent="0.2">
      <c r="A94" s="66" t="s">
        <v>3049</v>
      </c>
      <c r="B94" s="67" t="s">
        <v>3055</v>
      </c>
      <c r="C94" s="67" t="s">
        <v>3405</v>
      </c>
      <c r="D94" s="68">
        <v>3</v>
      </c>
      <c r="E94" s="69" t="d">
        <v>2026-01-18T19:53:38.99999978486448450</v>
      </c>
    </row>
    <row r="95" spans="1:5" ht="16" x14ac:dyDescent="0.2">
      <c r="A95" s="66" t="s">
        <v>3049</v>
      </c>
      <c r="B95" s="67" t="s">
        <v>3055</v>
      </c>
      <c r="C95" s="67" t="s">
        <v>3406</v>
      </c>
      <c r="D95" s="68">
        <v>3</v>
      </c>
      <c r="E95" s="69" t="d">
        <v>2026-01-18T19:53:38.99999978486448450</v>
      </c>
    </row>
    <row r="96" spans="1:5" ht="16" x14ac:dyDescent="0.2">
      <c r="A96" s="66" t="s">
        <v>3049</v>
      </c>
      <c r="B96" s="67" t="s">
        <v>3055</v>
      </c>
      <c r="C96" s="67" t="s">
        <v>3407</v>
      </c>
      <c r="D96" s="68">
        <v>3</v>
      </c>
      <c r="E96" s="69" t="d">
        <v>2026-01-18T19:53:38.99999978486448450</v>
      </c>
    </row>
    <row r="97" spans="1:5" ht="16" x14ac:dyDescent="0.2">
      <c r="A97" s="66" t="s">
        <v>3049</v>
      </c>
      <c r="B97" s="67" t="s">
        <v>3055</v>
      </c>
      <c r="C97" s="67" t="s">
        <v>3408</v>
      </c>
      <c r="D97" s="68">
        <v>3</v>
      </c>
      <c r="E97" s="69" t="d">
        <v>2026-01-18T19:53:38.99999978486448450</v>
      </c>
    </row>
    <row r="98" spans="1:5" ht="16" x14ac:dyDescent="0.2">
      <c r="A98" s="66" t="s">
        <v>3049</v>
      </c>
      <c r="B98" s="67" t="s">
        <v>3055</v>
      </c>
      <c r="C98" s="67" t="s">
        <v>3409</v>
      </c>
      <c r="D98" s="68">
        <v>3</v>
      </c>
      <c r="E98" s="69" t="d">
        <v>2026-01-18T19:53:38.99999978486448450</v>
      </c>
    </row>
    <row r="99" spans="1:5" ht="16" x14ac:dyDescent="0.2">
      <c r="A99" s="66" t="s">
        <v>3049</v>
      </c>
      <c r="B99" s="67" t="s">
        <v>3055</v>
      </c>
      <c r="C99" s="67" t="s">
        <v>3410</v>
      </c>
      <c r="D99" s="68">
        <v>3</v>
      </c>
      <c r="E99" s="69" t="d">
        <v>2026-01-18T19:53:40.00000001862645375</v>
      </c>
    </row>
    <row r="100" spans="1:5" ht="16" x14ac:dyDescent="0.2">
      <c r="A100" s="66" t="s">
        <v>3049</v>
      </c>
      <c r="B100" s="67" t="s">
        <v>3055</v>
      </c>
      <c r="C100" s="67" t="s">
        <v>3411</v>
      </c>
      <c r="D100" s="68">
        <v>3</v>
      </c>
      <c r="E100" s="69" t="d">
        <v>2026-01-18T19:53:40.00000001862645375</v>
      </c>
    </row>
    <row r="101" spans="1:5" ht="16" x14ac:dyDescent="0.2">
      <c r="A101" s="66" t="s">
        <v>3049</v>
      </c>
      <c r="B101" s="67" t="s">
        <v>3055</v>
      </c>
      <c r="C101" s="67" t="s">
        <v>3412</v>
      </c>
      <c r="D101" s="68">
        <v>3</v>
      </c>
      <c r="E101" s="69" t="d">
        <v>2026-01-18T19:53:40.00000001862645375</v>
      </c>
    </row>
    <row r="102" spans="1:5" ht="16" x14ac:dyDescent="0.2">
      <c r="A102" s="66" t="s">
        <v>3049</v>
      </c>
      <c r="B102" s="67" t="s">
        <v>3055</v>
      </c>
      <c r="C102" s="67" t="s">
        <v>3413</v>
      </c>
      <c r="D102" s="68">
        <v>3</v>
      </c>
      <c r="E102" s="69" t="d">
        <v>2026-01-18T19:53:40.00000001862645375</v>
      </c>
    </row>
    <row r="103" spans="1:5" ht="16" x14ac:dyDescent="0.2">
      <c r="A103" s="66" t="s">
        <v>3049</v>
      </c>
      <c r="B103" s="67" t="s">
        <v>3055</v>
      </c>
      <c r="C103" s="67" t="s">
        <v>3414</v>
      </c>
      <c r="D103" s="68">
        <v>3</v>
      </c>
      <c r="E103" s="69" t="d">
        <v>2026-01-22T12:11:37.000000113621354375</v>
      </c>
    </row>
    <row r="104" spans="1:5" ht="16" x14ac:dyDescent="0.2">
      <c r="A104" s="66" t="s">
        <v>3049</v>
      </c>
      <c r="B104" s="67" t="s">
        <v>3056</v>
      </c>
      <c r="C104" s="67" t="s">
        <v>3403</v>
      </c>
      <c r="D104" s="68">
        <v>3</v>
      </c>
      <c r="E104" s="69" t="d">
        <v>2026-01-18T19:53:40.00000001862645375</v>
      </c>
    </row>
    <row r="105" spans="1:5" ht="16" x14ac:dyDescent="0.2">
      <c r="A105" s="66" t="s">
        <v>3049</v>
      </c>
      <c r="B105" s="67" t="s">
        <v>3056</v>
      </c>
      <c r="C105" s="67" t="s">
        <v>3398</v>
      </c>
      <c r="D105" s="68">
        <v>3</v>
      </c>
      <c r="E105" s="69" t="d">
        <v>2026-01-18T19:53:40.00000001862645375</v>
      </c>
    </row>
    <row r="106" spans="1:5" ht="16" x14ac:dyDescent="0.2">
      <c r="A106" s="66" t="s">
        <v>3049</v>
      </c>
      <c r="B106" s="67" t="s">
        <v>3056</v>
      </c>
      <c r="C106" s="67" t="s">
        <v>3399</v>
      </c>
      <c r="D106" s="68">
        <v>3</v>
      </c>
      <c r="E106" s="69" t="d">
        <v>2026-01-18T19:53:40.00000001862645375</v>
      </c>
    </row>
    <row r="107" spans="1:5" ht="16" x14ac:dyDescent="0.2">
      <c r="A107" s="66" t="s">
        <v>3049</v>
      </c>
      <c r="B107" s="67" t="s">
        <v>3056</v>
      </c>
      <c r="C107" s="67" t="s">
        <v>3400</v>
      </c>
      <c r="D107" s="68">
        <v>3</v>
      </c>
      <c r="E107" s="69" t="d">
        <v>2026-01-18T19:53:40.00000001862645375</v>
      </c>
    </row>
    <row r="108" spans="1:5" ht="16" x14ac:dyDescent="0.2">
      <c r="A108" s="66" t="s">
        <v>3049</v>
      </c>
      <c r="B108" s="67" t="s">
        <v>3056</v>
      </c>
      <c r="C108" s="67" t="s">
        <v>3401</v>
      </c>
      <c r="D108" s="68">
        <v>3</v>
      </c>
      <c r="E108" s="69" t="d">
        <v>2026-01-18T19:53:40.00000001862645375</v>
      </c>
    </row>
    <row r="109" spans="1:5" ht="16" x14ac:dyDescent="0.2">
      <c r="A109" s="66" t="s">
        <v>3049</v>
      </c>
      <c r="B109" s="67" t="s">
        <v>3056</v>
      </c>
      <c r="C109" s="67" t="s">
        <v>3402</v>
      </c>
      <c r="D109" s="68">
        <v>3</v>
      </c>
      <c r="E109" s="69" t="d">
        <v>2026-01-18T19:53:40.00000001862645375</v>
      </c>
    </row>
    <row r="110" spans="1:5" ht="16" x14ac:dyDescent="0.2">
      <c r="A110" s="66" t="s">
        <v>3049</v>
      </c>
      <c r="B110" s="67" t="s">
        <v>3056</v>
      </c>
      <c r="C110" s="67" t="s">
        <v>3404</v>
      </c>
      <c r="D110" s="68">
        <v>3</v>
      </c>
      <c r="E110" s="69" t="d">
        <v>2026-01-18T19:53:40.00000001862645375</v>
      </c>
    </row>
    <row r="111" spans="1:5" ht="16" x14ac:dyDescent="0.2">
      <c r="A111" s="66" t="s">
        <v>3049</v>
      </c>
      <c r="B111" s="67" t="s">
        <v>3056</v>
      </c>
      <c r="C111" s="67" t="s">
        <v>3405</v>
      </c>
      <c r="D111" s="68">
        <v>3</v>
      </c>
      <c r="E111" s="69" t="d">
        <v>2026-01-18T19:53:40.00000001862645375</v>
      </c>
    </row>
    <row r="112" spans="1:5" ht="16" x14ac:dyDescent="0.2">
      <c r="A112" s="66" t="s">
        <v>3049</v>
      </c>
      <c r="B112" s="67" t="s">
        <v>3056</v>
      </c>
      <c r="C112" s="67" t="s">
        <v>3406</v>
      </c>
      <c r="D112" s="68">
        <v>3</v>
      </c>
      <c r="E112" s="69" t="d">
        <v>2026-01-18T19:53:40.00000001862645375</v>
      </c>
    </row>
    <row r="113" spans="1:5" ht="16" x14ac:dyDescent="0.2">
      <c r="A113" s="66" t="s">
        <v>3049</v>
      </c>
      <c r="B113" s="67" t="s">
        <v>3056</v>
      </c>
      <c r="C113" s="67" t="s">
        <v>3407</v>
      </c>
      <c r="D113" s="68">
        <v>3</v>
      </c>
      <c r="E113" s="69" t="d">
        <v>2026-01-18T19:53:40.00000001862645375</v>
      </c>
    </row>
    <row r="114" spans="1:5" ht="16" x14ac:dyDescent="0.2">
      <c r="A114" s="66" t="s">
        <v>3049</v>
      </c>
      <c r="B114" s="67" t="s">
        <v>3056</v>
      </c>
      <c r="C114" s="67" t="s">
        <v>3408</v>
      </c>
      <c r="D114" s="68">
        <v>3</v>
      </c>
      <c r="E114" s="69" t="d">
        <v>2026-01-18T19:53:40.00000001862645375</v>
      </c>
    </row>
    <row r="115" spans="1:5" ht="16" x14ac:dyDescent="0.2">
      <c r="A115" s="66" t="s">
        <v>3049</v>
      </c>
      <c r="B115" s="67" t="s">
        <v>3056</v>
      </c>
      <c r="C115" s="67" t="s">
        <v>3409</v>
      </c>
      <c r="D115" s="68">
        <v>3</v>
      </c>
      <c r="E115" s="69" t="d">
        <v>2026-01-18T19:53:40.00000001862645375</v>
      </c>
    </row>
    <row r="116" spans="1:5" ht="16" x14ac:dyDescent="0.2">
      <c r="A116" s="66" t="s">
        <v>3049</v>
      </c>
      <c r="B116" s="67" t="s">
        <v>3056</v>
      </c>
      <c r="C116" s="67" t="s">
        <v>3410</v>
      </c>
      <c r="D116" s="68">
        <v>3</v>
      </c>
      <c r="E116" s="69" t="d">
        <v>2026-01-18T19:53:40.00000001862645375</v>
      </c>
    </row>
    <row r="117" spans="1:5" ht="16" x14ac:dyDescent="0.2">
      <c r="A117" s="66" t="s">
        <v>3049</v>
      </c>
      <c r="B117" s="67" t="s">
        <v>3056</v>
      </c>
      <c r="C117" s="67" t="s">
        <v>3411</v>
      </c>
      <c r="D117" s="68">
        <v>3</v>
      </c>
      <c r="E117" s="69" t="d">
        <v>2026-01-18T19:53:40.00000001862645375</v>
      </c>
    </row>
    <row r="118" spans="1:5" ht="16" x14ac:dyDescent="0.2">
      <c r="A118" s="66" t="s">
        <v>3049</v>
      </c>
      <c r="B118" s="67" t="s">
        <v>3056</v>
      </c>
      <c r="C118" s="67" t="s">
        <v>3412</v>
      </c>
      <c r="D118" s="68">
        <v>3</v>
      </c>
      <c r="E118" s="69" t="d">
        <v>2026-01-18T19:53:40.00000001862645375</v>
      </c>
    </row>
    <row r="119" spans="1:5" ht="16" x14ac:dyDescent="0.2">
      <c r="A119" s="66" t="s">
        <v>3049</v>
      </c>
      <c r="B119" s="67" t="s">
        <v>3056</v>
      </c>
      <c r="C119" s="67" t="s">
        <v>3413</v>
      </c>
      <c r="D119" s="68">
        <v>3</v>
      </c>
      <c r="E119" s="69" t="d">
        <v>2026-01-18T19:53:40.00000001862645375</v>
      </c>
    </row>
    <row r="120" spans="1:5" ht="16" x14ac:dyDescent="0.2">
      <c r="A120" s="66" t="s">
        <v>3049</v>
      </c>
      <c r="B120" s="67" t="s">
        <v>3056</v>
      </c>
      <c r="C120" s="67" t="s">
        <v>3414</v>
      </c>
      <c r="D120" s="68">
        <v>3</v>
      </c>
      <c r="E120" s="69" t="d">
        <v>2026-01-22T12:11:37.000000113621354375</v>
      </c>
    </row>
    <row r="121" spans="1:5" ht="16" x14ac:dyDescent="0.2">
      <c r="A121" s="66" t="s">
        <v>3049</v>
      </c>
      <c r="B121" s="67" t="s">
        <v>3057</v>
      </c>
      <c r="C121" s="67" t="s">
        <v>3403</v>
      </c>
      <c r="D121" s="68">
        <v>3</v>
      </c>
      <c r="E121" s="69" t="d">
        <v>2026-01-18T19:53:40.00000001862645375</v>
      </c>
    </row>
    <row r="122" spans="1:5" ht="16" x14ac:dyDescent="0.2">
      <c r="A122" s="66" t="s">
        <v>3049</v>
      </c>
      <c r="B122" s="67" t="s">
        <v>3057</v>
      </c>
      <c r="C122" s="67" t="s">
        <v>3398</v>
      </c>
      <c r="D122" s="68">
        <v>3</v>
      </c>
      <c r="E122" s="69" t="d">
        <v>2026-01-18T19:53:40.00000001862645375</v>
      </c>
    </row>
    <row r="123" spans="1:5" ht="16" x14ac:dyDescent="0.2">
      <c r="A123" s="66" t="s">
        <v>3049</v>
      </c>
      <c r="B123" s="67" t="s">
        <v>3057</v>
      </c>
      <c r="C123" s="67" t="s">
        <v>3399</v>
      </c>
      <c r="D123" s="68">
        <v>3</v>
      </c>
      <c r="E123" s="69" t="d">
        <v>2026-01-18T19:53:40.00000001862645375</v>
      </c>
    </row>
    <row r="124" spans="1:5" ht="16" x14ac:dyDescent="0.2">
      <c r="A124" s="66" t="s">
        <v>3049</v>
      </c>
      <c r="B124" s="67" t="s">
        <v>3057</v>
      </c>
      <c r="C124" s="67" t="s">
        <v>3400</v>
      </c>
      <c r="D124" s="68">
        <v>3</v>
      </c>
      <c r="E124" s="69" t="d">
        <v>2026-01-18T19:53:40.00000001862645375</v>
      </c>
    </row>
    <row r="125" spans="1:5" ht="16" x14ac:dyDescent="0.2">
      <c r="A125" s="66" t="s">
        <v>3049</v>
      </c>
      <c r="B125" s="67" t="s">
        <v>3057</v>
      </c>
      <c r="C125" s="67" t="s">
        <v>3401</v>
      </c>
      <c r="D125" s="68">
        <v>3</v>
      </c>
      <c r="E125" s="69" t="d">
        <v>2026-01-18T19:53:40.00000001862645375</v>
      </c>
    </row>
    <row r="126" spans="1:5" ht="16" x14ac:dyDescent="0.2">
      <c r="A126" s="66" t="s">
        <v>3049</v>
      </c>
      <c r="B126" s="67" t="s">
        <v>3057</v>
      </c>
      <c r="C126" s="67" t="s">
        <v>3402</v>
      </c>
      <c r="D126" s="68">
        <v>3</v>
      </c>
      <c r="E126" s="69" t="d">
        <v>2026-01-18T19:53:40.00000001862645375</v>
      </c>
    </row>
    <row r="127" spans="1:5" ht="16" x14ac:dyDescent="0.2">
      <c r="A127" s="66" t="s">
        <v>3049</v>
      </c>
      <c r="B127" s="67" t="s">
        <v>3057</v>
      </c>
      <c r="C127" s="67" t="s">
        <v>3404</v>
      </c>
      <c r="D127" s="68">
        <v>3</v>
      </c>
      <c r="E127" s="69" t="d">
        <v>2026-01-18T19:53:40.00000001862645375</v>
      </c>
    </row>
    <row r="128" spans="1:5" ht="16" x14ac:dyDescent="0.2">
      <c r="A128" s="66" t="s">
        <v>3049</v>
      </c>
      <c r="B128" s="67" t="s">
        <v>3057</v>
      </c>
      <c r="C128" s="67" t="s">
        <v>3405</v>
      </c>
      <c r="D128" s="68">
        <v>3</v>
      </c>
      <c r="E128" s="69" t="d">
        <v>2026-01-18T19:53:40.00000001862645375</v>
      </c>
    </row>
    <row r="129" spans="1:5" ht="16" x14ac:dyDescent="0.2">
      <c r="A129" s="66" t="s">
        <v>3049</v>
      </c>
      <c r="B129" s="67" t="s">
        <v>3057</v>
      </c>
      <c r="C129" s="67" t="s">
        <v>3406</v>
      </c>
      <c r="D129" s="68">
        <v>3</v>
      </c>
      <c r="E129" s="69" t="d">
        <v>2026-01-18T19:53:40.00000001862645375</v>
      </c>
    </row>
    <row r="130" spans="1:5" ht="16" x14ac:dyDescent="0.2">
      <c r="A130" s="66" t="s">
        <v>3049</v>
      </c>
      <c r="B130" s="67" t="s">
        <v>3057</v>
      </c>
      <c r="C130" s="67" t="s">
        <v>3407</v>
      </c>
      <c r="D130" s="68">
        <v>3</v>
      </c>
      <c r="E130" s="69" t="d">
        <v>2026-01-18T19:53:40.00000001862645375</v>
      </c>
    </row>
    <row r="131" spans="1:5" ht="16" x14ac:dyDescent="0.2">
      <c r="A131" s="66" t="s">
        <v>3049</v>
      </c>
      <c r="B131" s="67" t="s">
        <v>3057</v>
      </c>
      <c r="C131" s="67" t="s">
        <v>3408</v>
      </c>
      <c r="D131" s="68">
        <v>3</v>
      </c>
      <c r="E131" s="69" t="d">
        <v>2026-01-18T19:53:40.00000001862645375</v>
      </c>
    </row>
    <row r="132" spans="1:5" ht="16" x14ac:dyDescent="0.2">
      <c r="A132" s="66" t="s">
        <v>3049</v>
      </c>
      <c r="B132" s="67" t="s">
        <v>3057</v>
      </c>
      <c r="C132" s="67" t="s">
        <v>3409</v>
      </c>
      <c r="D132" s="68">
        <v>3</v>
      </c>
      <c r="E132" s="69" t="d">
        <v>2026-01-18T19:53:40.00000001862645375</v>
      </c>
    </row>
    <row r="133" spans="1:5" ht="16" x14ac:dyDescent="0.2">
      <c r="A133" s="66" t="s">
        <v>3049</v>
      </c>
      <c r="B133" s="67" t="s">
        <v>3057</v>
      </c>
      <c r="C133" s="67" t="s">
        <v>3410</v>
      </c>
      <c r="D133" s="68">
        <v>3</v>
      </c>
      <c r="E133" s="69" t="d">
        <v>2026-01-18T19:53:40.00000001862645375</v>
      </c>
    </row>
    <row r="134" spans="1:5" ht="16" x14ac:dyDescent="0.2">
      <c r="A134" s="66" t="s">
        <v>3049</v>
      </c>
      <c r="B134" s="67" t="s">
        <v>3057</v>
      </c>
      <c r="C134" s="67" t="s">
        <v>3411</v>
      </c>
      <c r="D134" s="68">
        <v>3</v>
      </c>
      <c r="E134" s="69" t="d">
        <v>2026-01-18T19:53:41.00000025238841625</v>
      </c>
    </row>
    <row r="135" spans="1:5" ht="16" x14ac:dyDescent="0.2">
      <c r="A135" s="66" t="s">
        <v>3049</v>
      </c>
      <c r="B135" s="67" t="s">
        <v>3057</v>
      </c>
      <c r="C135" s="67" t="s">
        <v>3412</v>
      </c>
      <c r="D135" s="68">
        <v>3</v>
      </c>
      <c r="E135" s="69" t="d">
        <v>2026-01-18T19:53:41.00000025238841625</v>
      </c>
    </row>
    <row r="136" spans="1:5" ht="16" x14ac:dyDescent="0.2">
      <c r="A136" s="66" t="s">
        <v>3049</v>
      </c>
      <c r="B136" s="67" t="s">
        <v>3057</v>
      </c>
      <c r="C136" s="67" t="s">
        <v>3413</v>
      </c>
      <c r="D136" s="68">
        <v>3</v>
      </c>
      <c r="E136" s="69" t="d">
        <v>2026-01-18T19:53:41.00000025238841625</v>
      </c>
    </row>
    <row r="137" spans="1:5" ht="16" x14ac:dyDescent="0.2">
      <c r="A137" s="66" t="s">
        <v>3049</v>
      </c>
      <c r="B137" s="67" t="s">
        <v>3057</v>
      </c>
      <c r="C137" s="67" t="s">
        <v>3414</v>
      </c>
      <c r="D137" s="68">
        <v>3</v>
      </c>
      <c r="E137" s="69" t="d">
        <v>2026-01-22T12:11:37.000000113621354375</v>
      </c>
    </row>
    <row r="138" spans="1:5" ht="16" x14ac:dyDescent="0.2">
      <c r="A138" s="66" t="s">
        <v>3049</v>
      </c>
      <c r="B138" s="67" t="s">
        <v>3058</v>
      </c>
      <c r="C138" s="67" t="s">
        <v>3403</v>
      </c>
      <c r="D138" s="68">
        <v>3</v>
      </c>
      <c r="E138" s="69" t="d">
        <v>2026-01-18T19:53:41.00000025238841625</v>
      </c>
    </row>
    <row r="139" spans="1:5" ht="16" x14ac:dyDescent="0.2">
      <c r="A139" s="66" t="s">
        <v>3049</v>
      </c>
      <c r="B139" s="67" t="s">
        <v>3058</v>
      </c>
      <c r="C139" s="67" t="s">
        <v>3398</v>
      </c>
      <c r="D139" s="68">
        <v>3</v>
      </c>
      <c r="E139" s="69" t="d">
        <v>2026-01-18T19:53:41.00000025238841625</v>
      </c>
    </row>
    <row r="140" spans="1:5" ht="16" x14ac:dyDescent="0.2">
      <c r="A140" s="66" t="s">
        <v>3049</v>
      </c>
      <c r="B140" s="67" t="s">
        <v>3058</v>
      </c>
      <c r="C140" s="67" t="s">
        <v>3399</v>
      </c>
      <c r="D140" s="68">
        <v>3</v>
      </c>
      <c r="E140" s="69" t="d">
        <v>2026-01-18T19:53:41.00000025238841625</v>
      </c>
    </row>
    <row r="141" spans="1:5" ht="16" x14ac:dyDescent="0.2">
      <c r="A141" s="66" t="s">
        <v>3049</v>
      </c>
      <c r="B141" s="67" t="s">
        <v>3058</v>
      </c>
      <c r="C141" s="67" t="s">
        <v>3400</v>
      </c>
      <c r="D141" s="68">
        <v>3</v>
      </c>
      <c r="E141" s="69" t="d">
        <v>2026-01-18T19:53:41.00000025238841625</v>
      </c>
    </row>
    <row r="142" spans="1:5" ht="16" x14ac:dyDescent="0.2">
      <c r="A142" s="66" t="s">
        <v>3049</v>
      </c>
      <c r="B142" s="67" t="s">
        <v>3058</v>
      </c>
      <c r="C142" s="67" t="s">
        <v>3401</v>
      </c>
      <c r="D142" s="68">
        <v>3</v>
      </c>
      <c r="E142" s="69" t="d">
        <v>2026-01-18T19:53:41.00000025238841625</v>
      </c>
    </row>
    <row r="143" spans="1:5" ht="16" x14ac:dyDescent="0.2">
      <c r="A143" s="66" t="s">
        <v>3049</v>
      </c>
      <c r="B143" s="67" t="s">
        <v>3058</v>
      </c>
      <c r="C143" s="67" t="s">
        <v>3402</v>
      </c>
      <c r="D143" s="68">
        <v>3</v>
      </c>
      <c r="E143" s="69" t="d">
        <v>2026-01-18T19:53:41.00000025238841625</v>
      </c>
    </row>
    <row r="144" spans="1:5" ht="16" x14ac:dyDescent="0.2">
      <c r="A144" s="66" t="s">
        <v>3049</v>
      </c>
      <c r="B144" s="67" t="s">
        <v>3058</v>
      </c>
      <c r="C144" s="67" t="s">
        <v>3404</v>
      </c>
      <c r="D144" s="68">
        <v>3</v>
      </c>
      <c r="E144" s="69" t="d">
        <v>2026-01-18T19:53:41.00000025238841625</v>
      </c>
    </row>
    <row r="145" spans="1:5" ht="16" x14ac:dyDescent="0.2">
      <c r="A145" s="66" t="s">
        <v>3049</v>
      </c>
      <c r="B145" s="67" t="s">
        <v>3058</v>
      </c>
      <c r="C145" s="67" t="s">
        <v>3405</v>
      </c>
      <c r="D145" s="68">
        <v>3</v>
      </c>
      <c r="E145" s="69" t="d">
        <v>2026-01-18T19:53:41.00000025238841625</v>
      </c>
    </row>
    <row r="146" spans="1:5" ht="16" x14ac:dyDescent="0.2">
      <c r="A146" s="66" t="s">
        <v>3049</v>
      </c>
      <c r="B146" s="67" t="s">
        <v>3058</v>
      </c>
      <c r="C146" s="67" t="s">
        <v>3406</v>
      </c>
      <c r="D146" s="68">
        <v>3</v>
      </c>
      <c r="E146" s="69" t="d">
        <v>2026-01-18T19:53:41.00000025238841625</v>
      </c>
    </row>
    <row r="147" spans="1:5" ht="16" x14ac:dyDescent="0.2">
      <c r="A147" s="66" t="s">
        <v>3049</v>
      </c>
      <c r="B147" s="67" t="s">
        <v>3058</v>
      </c>
      <c r="C147" s="67" t="s">
        <v>3407</v>
      </c>
      <c r="D147" s="68">
        <v>3</v>
      </c>
      <c r="E147" s="69" t="d">
        <v>2026-01-18T19:53:41.00000025238841625</v>
      </c>
    </row>
    <row r="148" spans="1:5" ht="16" x14ac:dyDescent="0.2">
      <c r="A148" s="66" t="s">
        <v>3049</v>
      </c>
      <c r="B148" s="67" t="s">
        <v>3058</v>
      </c>
      <c r="C148" s="67" t="s">
        <v>3408</v>
      </c>
      <c r="D148" s="68">
        <v>3</v>
      </c>
      <c r="E148" s="69" t="d">
        <v>2026-01-18T19:53:41.00000025238841625</v>
      </c>
    </row>
    <row r="149" spans="1:5" ht="16" x14ac:dyDescent="0.2">
      <c r="A149" s="66" t="s">
        <v>3049</v>
      </c>
      <c r="B149" s="67" t="s">
        <v>3058</v>
      </c>
      <c r="C149" s="67" t="s">
        <v>3409</v>
      </c>
      <c r="D149" s="68">
        <v>3</v>
      </c>
      <c r="E149" s="69" t="d">
        <v>2026-01-18T19:53:41.00000025238841625</v>
      </c>
    </row>
    <row r="150" spans="1:5" ht="16" x14ac:dyDescent="0.2">
      <c r="A150" s="66" t="s">
        <v>3049</v>
      </c>
      <c r="B150" s="67" t="s">
        <v>3058</v>
      </c>
      <c r="C150" s="67" t="s">
        <v>3410</v>
      </c>
      <c r="D150" s="68">
        <v>3</v>
      </c>
      <c r="E150" s="69" t="d">
        <v>2026-01-18T19:53:41.00000025238841625</v>
      </c>
    </row>
    <row r="151" spans="1:5" ht="16" x14ac:dyDescent="0.2">
      <c r="A151" s="66" t="s">
        <v>3049</v>
      </c>
      <c r="B151" s="67" t="s">
        <v>3058</v>
      </c>
      <c r="C151" s="67" t="s">
        <v>3411</v>
      </c>
      <c r="D151" s="68">
        <v>3</v>
      </c>
      <c r="E151" s="69" t="d">
        <v>2026-01-18T19:53:41.00000025238841625</v>
      </c>
    </row>
    <row r="152" spans="1:5" ht="16" x14ac:dyDescent="0.2">
      <c r="A152" s="66" t="s">
        <v>3049</v>
      </c>
      <c r="B152" s="67" t="s">
        <v>3058</v>
      </c>
      <c r="C152" s="67" t="s">
        <v>3412</v>
      </c>
      <c r="D152" s="68">
        <v>3</v>
      </c>
      <c r="E152" s="69" t="d">
        <v>2026-01-18T19:53:41.00000025238841625</v>
      </c>
    </row>
    <row r="153" spans="1:5" ht="16" x14ac:dyDescent="0.2">
      <c r="A153" s="66" t="s">
        <v>3049</v>
      </c>
      <c r="B153" s="67" t="s">
        <v>3058</v>
      </c>
      <c r="C153" s="67" t="s">
        <v>3413</v>
      </c>
      <c r="D153" s="68">
        <v>3</v>
      </c>
      <c r="E153" s="69" t="d">
        <v>2026-01-18T19:53:41.00000025238841625</v>
      </c>
    </row>
    <row r="154" spans="1:5" ht="16" x14ac:dyDescent="0.2">
      <c r="A154" s="66" t="s">
        <v>3049</v>
      </c>
      <c r="B154" s="67" t="s">
        <v>3058</v>
      </c>
      <c r="C154" s="67" t="s">
        <v>3414</v>
      </c>
      <c r="D154" s="68">
        <v>3</v>
      </c>
      <c r="E154" s="69" t="d">
        <v>2026-01-22T12:11:37.000000113621354375</v>
      </c>
    </row>
    <row r="155" spans="1:5" ht="16" x14ac:dyDescent="0.2">
      <c r="A155" s="66" t="s">
        <v>3049</v>
      </c>
      <c r="B155" s="67" t="s">
        <v>3059</v>
      </c>
      <c r="C155" s="67" t="s">
        <v>3403</v>
      </c>
      <c r="D155" s="68">
        <v>3</v>
      </c>
      <c r="E155" s="69" t="d">
        <v>2026-01-18T19:53:41.00000025238841625</v>
      </c>
    </row>
    <row r="156" spans="1:5" ht="16" x14ac:dyDescent="0.2">
      <c r="A156" s="66" t="s">
        <v>3049</v>
      </c>
      <c r="B156" s="67" t="s">
        <v>3059</v>
      </c>
      <c r="C156" s="67" t="s">
        <v>3398</v>
      </c>
      <c r="D156" s="68">
        <v>3</v>
      </c>
      <c r="E156" s="69" t="d">
        <v>2026-01-18T19:53:41.00000025238841625</v>
      </c>
    </row>
    <row r="157" spans="1:5" ht="16" x14ac:dyDescent="0.2">
      <c r="A157" s="66" t="s">
        <v>3049</v>
      </c>
      <c r="B157" s="67" t="s">
        <v>3059</v>
      </c>
      <c r="C157" s="67" t="s">
        <v>3399</v>
      </c>
      <c r="D157" s="68">
        <v>3</v>
      </c>
      <c r="E157" s="69" t="d">
        <v>2026-01-18T19:53:41.00000025238841625</v>
      </c>
    </row>
    <row r="158" spans="1:5" ht="16" x14ac:dyDescent="0.2">
      <c r="A158" s="66" t="s">
        <v>3049</v>
      </c>
      <c r="B158" s="67" t="s">
        <v>3059</v>
      </c>
      <c r="C158" s="67" t="s">
        <v>3400</v>
      </c>
      <c r="D158" s="68">
        <v>3</v>
      </c>
      <c r="E158" s="69" t="d">
        <v>2026-01-18T19:53:41.00000025238841625</v>
      </c>
    </row>
    <row r="159" spans="1:5" ht="16" x14ac:dyDescent="0.2">
      <c r="A159" s="66" t="s">
        <v>3049</v>
      </c>
      <c r="B159" s="67" t="s">
        <v>3059</v>
      </c>
      <c r="C159" s="67" t="s">
        <v>3401</v>
      </c>
      <c r="D159" s="68">
        <v>3</v>
      </c>
      <c r="E159" s="69" t="d">
        <v>2026-01-18T19:53:41.00000025238841625</v>
      </c>
    </row>
    <row r="160" spans="1:5" ht="16" x14ac:dyDescent="0.2">
      <c r="A160" s="66" t="s">
        <v>3049</v>
      </c>
      <c r="B160" s="67" t="s">
        <v>3059</v>
      </c>
      <c r="C160" s="67" t="s">
        <v>3402</v>
      </c>
      <c r="D160" s="68">
        <v>3</v>
      </c>
      <c r="E160" s="69" t="d">
        <v>2026-01-18T19:53:41.00000025238841625</v>
      </c>
    </row>
    <row r="161" spans="1:5" ht="16" x14ac:dyDescent="0.2">
      <c r="A161" s="66" t="s">
        <v>3049</v>
      </c>
      <c r="B161" s="67" t="s">
        <v>3059</v>
      </c>
      <c r="C161" s="67" t="s">
        <v>3404</v>
      </c>
      <c r="D161" s="68">
        <v>3</v>
      </c>
      <c r="E161" s="69" t="d">
        <v>2026-01-18T19:53:41.00000025238841625</v>
      </c>
    </row>
    <row r="162" spans="1:5" ht="16" x14ac:dyDescent="0.2">
      <c r="A162" s="66" t="s">
        <v>3049</v>
      </c>
      <c r="B162" s="67" t="s">
        <v>3059</v>
      </c>
      <c r="C162" s="67" t="s">
        <v>3405</v>
      </c>
      <c r="D162" s="68">
        <v>3</v>
      </c>
      <c r="E162" s="69" t="d">
        <v>2026-01-18T19:53:41.00000025238841625</v>
      </c>
    </row>
    <row r="163" spans="1:5" ht="16" x14ac:dyDescent="0.2">
      <c r="A163" s="66" t="s">
        <v>3049</v>
      </c>
      <c r="B163" s="67" t="s">
        <v>3059</v>
      </c>
      <c r="C163" s="67" t="s">
        <v>3406</v>
      </c>
      <c r="D163" s="68">
        <v>3</v>
      </c>
      <c r="E163" s="69" t="d">
        <v>2026-01-18T19:53:41.00000025238841625</v>
      </c>
    </row>
    <row r="164" spans="1:5" ht="16" x14ac:dyDescent="0.2">
      <c r="A164" s="66" t="s">
        <v>3049</v>
      </c>
      <c r="B164" s="67" t="s">
        <v>3059</v>
      </c>
      <c r="C164" s="67" t="s">
        <v>3407</v>
      </c>
      <c r="D164" s="68">
        <v>3</v>
      </c>
      <c r="E164" s="69" t="d">
        <v>2026-01-18T19:53:41.00000025238841625</v>
      </c>
    </row>
    <row r="165" spans="1:5" ht="16" x14ac:dyDescent="0.2">
      <c r="A165" s="66" t="s">
        <v>3049</v>
      </c>
      <c r="B165" s="67" t="s">
        <v>3059</v>
      </c>
      <c r="C165" s="67" t="s">
        <v>3408</v>
      </c>
      <c r="D165" s="68">
        <v>3</v>
      </c>
      <c r="E165" s="69" t="d">
        <v>2026-01-18T19:53:41.00000025238841625</v>
      </c>
    </row>
    <row r="166" spans="1:5" ht="16" x14ac:dyDescent="0.2">
      <c r="A166" s="66" t="s">
        <v>3049</v>
      </c>
      <c r="B166" s="67" t="s">
        <v>3059</v>
      </c>
      <c r="C166" s="67" t="s">
        <v>3409</v>
      </c>
      <c r="D166" s="68">
        <v>3</v>
      </c>
      <c r="E166" s="69" t="d">
        <v>2026-01-18T19:53:41.00000025238841625</v>
      </c>
    </row>
    <row r="167" spans="1:5" ht="16" x14ac:dyDescent="0.2">
      <c r="A167" s="66" t="s">
        <v>3049</v>
      </c>
      <c r="B167" s="67" t="s">
        <v>3059</v>
      </c>
      <c r="C167" s="67" t="s">
        <v>3410</v>
      </c>
      <c r="D167" s="68">
        <v>3</v>
      </c>
      <c r="E167" s="69" t="d">
        <v>2026-01-18T19:53:41.00000025238841625</v>
      </c>
    </row>
    <row r="168" spans="1:5" ht="16" x14ac:dyDescent="0.2">
      <c r="A168" s="66" t="s">
        <v>3049</v>
      </c>
      <c r="B168" s="67" t="s">
        <v>3059</v>
      </c>
      <c r="C168" s="67" t="s">
        <v>3411</v>
      </c>
      <c r="D168" s="68">
        <v>3</v>
      </c>
      <c r="E168" s="69" t="d">
        <v>2026-01-18T19:53:41.00000025238841625</v>
      </c>
    </row>
    <row r="169" spans="1:5" ht="16" x14ac:dyDescent="0.2">
      <c r="A169" s="66" t="s">
        <v>3049</v>
      </c>
      <c r="B169" s="67" t="s">
        <v>3059</v>
      </c>
      <c r="C169" s="67" t="s">
        <v>3412</v>
      </c>
      <c r="D169" s="68">
        <v>3</v>
      </c>
      <c r="E169" s="69" t="d">
        <v>2026-01-18T19:53:41.99999985750764400</v>
      </c>
    </row>
    <row r="170" spans="1:5" ht="16" x14ac:dyDescent="0.2">
      <c r="A170" s="66" t="s">
        <v>3049</v>
      </c>
      <c r="B170" s="67" t="s">
        <v>3059</v>
      </c>
      <c r="C170" s="67" t="s">
        <v>3413</v>
      </c>
      <c r="D170" s="68">
        <v>3</v>
      </c>
      <c r="E170" s="69" t="d">
        <v>2026-01-18T19:53:41.99999985750764400</v>
      </c>
    </row>
    <row r="171" spans="1:5" ht="16" x14ac:dyDescent="0.2">
      <c r="A171" s="66" t="s">
        <v>3049</v>
      </c>
      <c r="B171" s="67" t="s">
        <v>3059</v>
      </c>
      <c r="C171" s="67" t="s">
        <v>3414</v>
      </c>
      <c r="D171" s="68">
        <v>3</v>
      </c>
      <c r="E171" s="69" t="d">
        <v>2026-01-22T12:11:37.000000113621354375</v>
      </c>
    </row>
    <row r="172" spans="1:5" ht="16" x14ac:dyDescent="0.2">
      <c r="A172" s="66" t="s">
        <v>3049</v>
      </c>
      <c r="B172" s="67" t="s">
        <v>3060</v>
      </c>
      <c r="C172" s="67" t="s">
        <v>3403</v>
      </c>
      <c r="D172" s="68">
        <v>3</v>
      </c>
      <c r="E172" s="69" t="d">
        <v>2026-01-18T19:53:41.99999985750764400</v>
      </c>
    </row>
    <row r="173" spans="1:5" ht="16" x14ac:dyDescent="0.2">
      <c r="A173" s="66" t="s">
        <v>3049</v>
      </c>
      <c r="B173" s="67" t="s">
        <v>3060</v>
      </c>
      <c r="C173" s="67" t="s">
        <v>3398</v>
      </c>
      <c r="D173" s="68">
        <v>3</v>
      </c>
      <c r="E173" s="69" t="d">
        <v>2026-01-18T19:53:41.99999985750764400</v>
      </c>
    </row>
    <row r="174" spans="1:5" ht="16" x14ac:dyDescent="0.2">
      <c r="A174" s="66" t="s">
        <v>3049</v>
      </c>
      <c r="B174" s="67" t="s">
        <v>3060</v>
      </c>
      <c r="C174" s="67" t="s">
        <v>3399</v>
      </c>
      <c r="D174" s="68">
        <v>3</v>
      </c>
      <c r="E174" s="69" t="d">
        <v>2026-01-18T19:53:41.99999985750764400</v>
      </c>
    </row>
    <row r="175" spans="1:5" ht="16" x14ac:dyDescent="0.2">
      <c r="A175" s="66" t="s">
        <v>3049</v>
      </c>
      <c r="B175" s="67" t="s">
        <v>3060</v>
      </c>
      <c r="C175" s="67" t="s">
        <v>3400</v>
      </c>
      <c r="D175" s="68">
        <v>3</v>
      </c>
      <c r="E175" s="69" t="d">
        <v>2026-01-18T19:53:41.99999985750764400</v>
      </c>
    </row>
    <row r="176" spans="1:5" ht="16" x14ac:dyDescent="0.2">
      <c r="A176" s="66" t="s">
        <v>3049</v>
      </c>
      <c r="B176" s="67" t="s">
        <v>3060</v>
      </c>
      <c r="C176" s="67" t="s">
        <v>3401</v>
      </c>
      <c r="D176" s="68">
        <v>3</v>
      </c>
      <c r="E176" s="69" t="d">
        <v>2026-01-18T19:53:41.99999985750764400</v>
      </c>
    </row>
    <row r="177" spans="1:5" ht="16" x14ac:dyDescent="0.2">
      <c r="A177" s="66" t="s">
        <v>3049</v>
      </c>
      <c r="B177" s="67" t="s">
        <v>3060</v>
      </c>
      <c r="C177" s="67" t="s">
        <v>3402</v>
      </c>
      <c r="D177" s="68">
        <v>3</v>
      </c>
      <c r="E177" s="69" t="d">
        <v>2026-01-18T19:53:41.99999985750764400</v>
      </c>
    </row>
    <row r="178" spans="1:5" ht="16" x14ac:dyDescent="0.2">
      <c r="A178" s="66" t="s">
        <v>3049</v>
      </c>
      <c r="B178" s="67" t="s">
        <v>3060</v>
      </c>
      <c r="C178" s="67" t="s">
        <v>3404</v>
      </c>
      <c r="D178" s="68">
        <v>3</v>
      </c>
      <c r="E178" s="69" t="d">
        <v>2026-01-18T19:53:41.99999985750764400</v>
      </c>
    </row>
    <row r="179" spans="1:5" ht="16" x14ac:dyDescent="0.2">
      <c r="A179" s="66" t="s">
        <v>3049</v>
      </c>
      <c r="B179" s="67" t="s">
        <v>3060</v>
      </c>
      <c r="C179" s="67" t="s">
        <v>3405</v>
      </c>
      <c r="D179" s="68">
        <v>3</v>
      </c>
      <c r="E179" s="69" t="d">
        <v>2026-01-18T19:53:41.99999985750764400</v>
      </c>
    </row>
    <row r="180" spans="1:5" ht="16" x14ac:dyDescent="0.2">
      <c r="A180" s="66" t="s">
        <v>3049</v>
      </c>
      <c r="B180" s="67" t="s">
        <v>3060</v>
      </c>
      <c r="C180" s="67" t="s">
        <v>3406</v>
      </c>
      <c r="D180" s="68">
        <v>3</v>
      </c>
      <c r="E180" s="69" t="d">
        <v>2026-01-18T19:53:41.99999985750764400</v>
      </c>
    </row>
    <row r="181" spans="1:5" ht="16" x14ac:dyDescent="0.2">
      <c r="A181" s="66" t="s">
        <v>3049</v>
      </c>
      <c r="B181" s="67" t="s">
        <v>3060</v>
      </c>
      <c r="C181" s="67" t="s">
        <v>3407</v>
      </c>
      <c r="D181" s="68">
        <v>3</v>
      </c>
      <c r="E181" s="69" t="d">
        <v>2026-01-18T19:53:41.99999985750764400</v>
      </c>
    </row>
    <row r="182" spans="1:5" ht="16" x14ac:dyDescent="0.2">
      <c r="A182" s="66" t="s">
        <v>3049</v>
      </c>
      <c r="B182" s="67" t="s">
        <v>3060</v>
      </c>
      <c r="C182" s="67" t="s">
        <v>3408</v>
      </c>
      <c r="D182" s="68">
        <v>3</v>
      </c>
      <c r="E182" s="69" t="d">
        <v>2026-01-18T19:53:41.99999985750764400</v>
      </c>
    </row>
    <row r="183" spans="1:5" ht="16" x14ac:dyDescent="0.2">
      <c r="A183" s="66" t="s">
        <v>3049</v>
      </c>
      <c r="B183" s="67" t="s">
        <v>3060</v>
      </c>
      <c r="C183" s="67" t="s">
        <v>3409</v>
      </c>
      <c r="D183" s="68">
        <v>3</v>
      </c>
      <c r="E183" s="69" t="d">
        <v>2026-01-18T19:53:41.99999985750764400</v>
      </c>
    </row>
    <row r="184" spans="1:5" ht="16" x14ac:dyDescent="0.2">
      <c r="A184" s="66" t="s">
        <v>3049</v>
      </c>
      <c r="B184" s="67" t="s">
        <v>3060</v>
      </c>
      <c r="C184" s="67" t="s">
        <v>3410</v>
      </c>
      <c r="D184" s="68">
        <v>3</v>
      </c>
      <c r="E184" s="69" t="d">
        <v>2026-01-18T19:53:41.99999985750764400</v>
      </c>
    </row>
    <row r="185" spans="1:5" ht="16" x14ac:dyDescent="0.2">
      <c r="A185" s="66" t="s">
        <v>3049</v>
      </c>
      <c r="B185" s="67" t="s">
        <v>3060</v>
      </c>
      <c r="C185" s="67" t="s">
        <v>3411</v>
      </c>
      <c r="D185" s="68">
        <v>3</v>
      </c>
      <c r="E185" s="69" t="d">
        <v>2026-01-18T19:53:41.99999985750764400</v>
      </c>
    </row>
    <row r="186" spans="1:5" ht="16" x14ac:dyDescent="0.2">
      <c r="A186" s="66" t="s">
        <v>3049</v>
      </c>
      <c r="B186" s="67" t="s">
        <v>3060</v>
      </c>
      <c r="C186" s="67" t="s">
        <v>3412</v>
      </c>
      <c r="D186" s="68">
        <v>3</v>
      </c>
      <c r="E186" s="69" t="d">
        <v>2026-01-18T19:53:41.99999985750764400</v>
      </c>
    </row>
    <row r="187" spans="1:5" ht="16" x14ac:dyDescent="0.2">
      <c r="A187" s="66" t="s">
        <v>3049</v>
      </c>
      <c r="B187" s="67" t="s">
        <v>3060</v>
      </c>
      <c r="C187" s="67" t="s">
        <v>3413</v>
      </c>
      <c r="D187" s="68">
        <v>3</v>
      </c>
      <c r="E187" s="69" t="d">
        <v>2026-01-18T19:53:41.99999985750764400</v>
      </c>
    </row>
    <row r="188" spans="1:5" ht="16" x14ac:dyDescent="0.2">
      <c r="A188" s="66" t="s">
        <v>3049</v>
      </c>
      <c r="B188" s="67" t="s">
        <v>3060</v>
      </c>
      <c r="C188" s="67" t="s">
        <v>3414</v>
      </c>
      <c r="D188" s="68">
        <v>3</v>
      </c>
      <c r="E188" s="69" t="d">
        <v>2026-01-22T12:11:37.000000113621354375</v>
      </c>
    </row>
    <row r="189" spans="1:5" ht="16" x14ac:dyDescent="0.2">
      <c r="A189" s="66" t="s">
        <v>3049</v>
      </c>
      <c r="B189" s="67" t="s">
        <v>3061</v>
      </c>
      <c r="C189" s="67" t="s">
        <v>3403</v>
      </c>
      <c r="D189" s="68">
        <v>3</v>
      </c>
      <c r="E189" s="69" t="d">
        <v>2026-01-18T19:53:41.99999985750764400</v>
      </c>
    </row>
    <row r="190" spans="1:5" ht="16" x14ac:dyDescent="0.2">
      <c r="A190" s="66" t="s">
        <v>3049</v>
      </c>
      <c r="B190" s="67" t="s">
        <v>3061</v>
      </c>
      <c r="C190" s="67" t="s">
        <v>3398</v>
      </c>
      <c r="D190" s="68">
        <v>3</v>
      </c>
      <c r="E190" s="69" t="d">
        <v>2026-01-18T19:53:41.99999985750764400</v>
      </c>
    </row>
    <row r="191" spans="1:5" ht="16" x14ac:dyDescent="0.2">
      <c r="A191" s="66" t="s">
        <v>3049</v>
      </c>
      <c r="B191" s="67" t="s">
        <v>3061</v>
      </c>
      <c r="C191" s="67" t="s">
        <v>3399</v>
      </c>
      <c r="D191" s="68">
        <v>3</v>
      </c>
      <c r="E191" s="69" t="d">
        <v>2026-01-18T19:53:41.99999985750764400</v>
      </c>
    </row>
    <row r="192" spans="1:5" ht="16" x14ac:dyDescent="0.2">
      <c r="A192" s="66" t="s">
        <v>3049</v>
      </c>
      <c r="B192" s="67" t="s">
        <v>3061</v>
      </c>
      <c r="C192" s="67" t="s">
        <v>3400</v>
      </c>
      <c r="D192" s="68">
        <v>3</v>
      </c>
      <c r="E192" s="69" t="d">
        <v>2026-01-18T19:53:41.99999985750764400</v>
      </c>
    </row>
    <row r="193" spans="1:5" ht="16" x14ac:dyDescent="0.2">
      <c r="A193" s="66" t="s">
        <v>3049</v>
      </c>
      <c r="B193" s="67" t="s">
        <v>3061</v>
      </c>
      <c r="C193" s="67" t="s">
        <v>3401</v>
      </c>
      <c r="D193" s="68">
        <v>3</v>
      </c>
      <c r="E193" s="69" t="d">
        <v>2026-01-18T19:53:41.99999985750764400</v>
      </c>
    </row>
    <row r="194" spans="1:5" ht="16" x14ac:dyDescent="0.2">
      <c r="A194" s="66" t="s">
        <v>3049</v>
      </c>
      <c r="B194" s="67" t="s">
        <v>3061</v>
      </c>
      <c r="C194" s="67" t="s">
        <v>3402</v>
      </c>
      <c r="D194" s="68">
        <v>3</v>
      </c>
      <c r="E194" s="69" t="d">
        <v>2026-01-18T19:53:41.99999985750764400</v>
      </c>
    </row>
    <row r="195" spans="1:5" ht="16" x14ac:dyDescent="0.2">
      <c r="A195" s="66" t="s">
        <v>3049</v>
      </c>
      <c r="B195" s="67" t="s">
        <v>3061</v>
      </c>
      <c r="C195" s="67" t="s">
        <v>3404</v>
      </c>
      <c r="D195" s="68">
        <v>3</v>
      </c>
      <c r="E195" s="69" t="d">
        <v>2026-01-18T19:53:41.99999985750764400</v>
      </c>
    </row>
    <row r="196" spans="1:5" ht="16" x14ac:dyDescent="0.2">
      <c r="A196" s="66" t="s">
        <v>3049</v>
      </c>
      <c r="B196" s="67" t="s">
        <v>3061</v>
      </c>
      <c r="C196" s="67" t="s">
        <v>3405</v>
      </c>
      <c r="D196" s="68">
        <v>3</v>
      </c>
      <c r="E196" s="69" t="d">
        <v>2026-01-18T19:53:41.99999985750764400</v>
      </c>
    </row>
    <row r="197" spans="1:5" ht="16" x14ac:dyDescent="0.2">
      <c r="A197" s="66" t="s">
        <v>3049</v>
      </c>
      <c r="B197" s="67" t="s">
        <v>3061</v>
      </c>
      <c r="C197" s="67" t="s">
        <v>3406</v>
      </c>
      <c r="D197" s="68">
        <v>3</v>
      </c>
      <c r="E197" s="69" t="d">
        <v>2026-01-18T19:53:41.99999985750764400</v>
      </c>
    </row>
    <row r="198" spans="1:5" ht="16" x14ac:dyDescent="0.2">
      <c r="A198" s="66" t="s">
        <v>3049</v>
      </c>
      <c r="B198" s="67" t="s">
        <v>3061</v>
      </c>
      <c r="C198" s="67" t="s">
        <v>3407</v>
      </c>
      <c r="D198" s="68">
        <v>3</v>
      </c>
      <c r="E198" s="69" t="d">
        <v>2026-01-18T19:53:41.99999985750764400</v>
      </c>
    </row>
    <row r="199" spans="1:5" ht="16" x14ac:dyDescent="0.2">
      <c r="A199" s="66" t="s">
        <v>3049</v>
      </c>
      <c r="B199" s="67" t="s">
        <v>3061</v>
      </c>
      <c r="C199" s="67" t="s">
        <v>3408</v>
      </c>
      <c r="D199" s="68">
        <v>3</v>
      </c>
      <c r="E199" s="69" t="d">
        <v>2026-01-18T19:53:41.99999985750764400</v>
      </c>
    </row>
    <row r="200" spans="1:5" ht="16" x14ac:dyDescent="0.2">
      <c r="A200" s="66" t="s">
        <v>3049</v>
      </c>
      <c r="B200" s="67" t="s">
        <v>3061</v>
      </c>
      <c r="C200" s="67" t="s">
        <v>3409</v>
      </c>
      <c r="D200" s="68">
        <v>3</v>
      </c>
      <c r="E200" s="69" t="d">
        <v>2026-01-18T19:53:41.99999985750764400</v>
      </c>
    </row>
    <row r="201" spans="1:5" ht="16" x14ac:dyDescent="0.2">
      <c r="A201" s="66" t="s">
        <v>3049</v>
      </c>
      <c r="B201" s="67" t="s">
        <v>3061</v>
      </c>
      <c r="C201" s="67" t="s">
        <v>3410</v>
      </c>
      <c r="D201" s="68">
        <v>3</v>
      </c>
      <c r="E201" s="69" t="d">
        <v>2026-01-18T19:53:41.99999985750764400</v>
      </c>
    </row>
    <row r="202" spans="1:5" ht="16" x14ac:dyDescent="0.2">
      <c r="A202" s="66" t="s">
        <v>3049</v>
      </c>
      <c r="B202" s="67" t="s">
        <v>3061</v>
      </c>
      <c r="C202" s="67" t="s">
        <v>3411</v>
      </c>
      <c r="D202" s="68">
        <v>3</v>
      </c>
      <c r="E202" s="69" t="d">
        <v>2026-01-18T19:53:41.99999985750764400</v>
      </c>
    </row>
    <row r="203" spans="1:5" ht="16" x14ac:dyDescent="0.2">
      <c r="A203" s="66" t="s">
        <v>3049</v>
      </c>
      <c r="B203" s="67" t="s">
        <v>3061</v>
      </c>
      <c r="C203" s="67" t="s">
        <v>3412</v>
      </c>
      <c r="D203" s="68">
        <v>3</v>
      </c>
      <c r="E203" s="69" t="d">
        <v>2026-01-18T19:53:43.00000009126961325</v>
      </c>
    </row>
    <row r="204" spans="1:5" ht="16" x14ac:dyDescent="0.2">
      <c r="A204" s="66" t="s">
        <v>3049</v>
      </c>
      <c r="B204" s="67" t="s">
        <v>3061</v>
      </c>
      <c r="C204" s="67" t="s">
        <v>3413</v>
      </c>
      <c r="D204" s="68">
        <v>3</v>
      </c>
      <c r="E204" s="69" t="d">
        <v>2026-01-18T19:53:43.00000009126961325</v>
      </c>
    </row>
    <row r="205" spans="1:5" ht="16" x14ac:dyDescent="0.2">
      <c r="A205" s="66" t="s">
        <v>3049</v>
      </c>
      <c r="B205" s="67" t="s">
        <v>3061</v>
      </c>
      <c r="C205" s="67" t="s">
        <v>3414</v>
      </c>
      <c r="D205" s="68">
        <v>3</v>
      </c>
      <c r="E205" s="69" t="d">
        <v>2026-01-22T12:11:37.000000113621354375</v>
      </c>
    </row>
    <row r="206" spans="1:5" ht="16" x14ac:dyDescent="0.2">
      <c r="A206" s="66" t="s">
        <v>3049</v>
      </c>
      <c r="B206" s="67" t="s">
        <v>3062</v>
      </c>
      <c r="C206" s="67" t="s">
        <v>3403</v>
      </c>
      <c r="D206" s="68">
        <v>3</v>
      </c>
      <c r="E206" s="69" t="d">
        <v>2026-01-18T19:53:43.00000009126961325</v>
      </c>
    </row>
    <row r="207" spans="1:5" ht="16" x14ac:dyDescent="0.2">
      <c r="A207" s="66" t="s">
        <v>3049</v>
      </c>
      <c r="B207" s="67" t="s">
        <v>3062</v>
      </c>
      <c r="C207" s="67" t="s">
        <v>3398</v>
      </c>
      <c r="D207" s="68">
        <v>3</v>
      </c>
      <c r="E207" s="69" t="d">
        <v>2026-01-18T19:53:43.00000009126961325</v>
      </c>
    </row>
    <row r="208" spans="1:5" ht="16" x14ac:dyDescent="0.2">
      <c r="A208" s="66" t="s">
        <v>3049</v>
      </c>
      <c r="B208" s="67" t="s">
        <v>3062</v>
      </c>
      <c r="C208" s="67" t="s">
        <v>3399</v>
      </c>
      <c r="D208" s="68">
        <v>3</v>
      </c>
      <c r="E208" s="69" t="d">
        <v>2026-01-18T19:53:43.00000009126961325</v>
      </c>
    </row>
    <row r="209" spans="1:5" ht="16" x14ac:dyDescent="0.2">
      <c r="A209" s="66" t="s">
        <v>3049</v>
      </c>
      <c r="B209" s="67" t="s">
        <v>3062</v>
      </c>
      <c r="C209" s="67" t="s">
        <v>3400</v>
      </c>
      <c r="D209" s="68">
        <v>3</v>
      </c>
      <c r="E209" s="69" t="d">
        <v>2026-01-18T19:53:43.00000009126961325</v>
      </c>
    </row>
    <row r="210" spans="1:5" ht="16" x14ac:dyDescent="0.2">
      <c r="A210" s="66" t="s">
        <v>3049</v>
      </c>
      <c r="B210" s="67" t="s">
        <v>3062</v>
      </c>
      <c r="C210" s="67" t="s">
        <v>3401</v>
      </c>
      <c r="D210" s="68">
        <v>3</v>
      </c>
      <c r="E210" s="69" t="d">
        <v>2026-01-18T19:53:43.00000009126961325</v>
      </c>
    </row>
    <row r="211" spans="1:5" ht="16" x14ac:dyDescent="0.2">
      <c r="A211" s="66" t="s">
        <v>3049</v>
      </c>
      <c r="B211" s="67" t="s">
        <v>3062</v>
      </c>
      <c r="C211" s="67" t="s">
        <v>3402</v>
      </c>
      <c r="D211" s="68">
        <v>3</v>
      </c>
      <c r="E211" s="69" t="d">
        <v>2026-01-18T19:53:43.00000009126961325</v>
      </c>
    </row>
    <row r="212" spans="1:5" ht="16" x14ac:dyDescent="0.2">
      <c r="A212" s="66" t="s">
        <v>3049</v>
      </c>
      <c r="B212" s="67" t="s">
        <v>3062</v>
      </c>
      <c r="C212" s="67" t="s">
        <v>3404</v>
      </c>
      <c r="D212" s="68">
        <v>3</v>
      </c>
      <c r="E212" s="69" t="d">
        <v>2026-01-18T19:53:43.00000009126961325</v>
      </c>
    </row>
    <row r="213" spans="1:5" ht="16" x14ac:dyDescent="0.2">
      <c r="A213" s="66" t="s">
        <v>3049</v>
      </c>
      <c r="B213" s="67" t="s">
        <v>3062</v>
      </c>
      <c r="C213" s="67" t="s">
        <v>3405</v>
      </c>
      <c r="D213" s="68">
        <v>3</v>
      </c>
      <c r="E213" s="69" t="d">
        <v>2026-01-18T19:53:43.00000009126961325</v>
      </c>
    </row>
    <row r="214" spans="1:5" ht="16" x14ac:dyDescent="0.2">
      <c r="A214" s="66" t="s">
        <v>3049</v>
      </c>
      <c r="B214" s="67" t="s">
        <v>3062</v>
      </c>
      <c r="C214" s="67" t="s">
        <v>3406</v>
      </c>
      <c r="D214" s="68">
        <v>3</v>
      </c>
      <c r="E214" s="69" t="d">
        <v>2026-01-18T19:53:43.00000009126961325</v>
      </c>
    </row>
    <row r="215" spans="1:5" ht="16" x14ac:dyDescent="0.2">
      <c r="A215" s="66" t="s">
        <v>3049</v>
      </c>
      <c r="B215" s="67" t="s">
        <v>3062</v>
      </c>
      <c r="C215" s="67" t="s">
        <v>3407</v>
      </c>
      <c r="D215" s="68">
        <v>3</v>
      </c>
      <c r="E215" s="69" t="d">
        <v>2026-01-18T19:53:43.00000009126961325</v>
      </c>
    </row>
    <row r="216" spans="1:5" ht="16" x14ac:dyDescent="0.2">
      <c r="A216" s="66" t="s">
        <v>3049</v>
      </c>
      <c r="B216" s="67" t="s">
        <v>3062</v>
      </c>
      <c r="C216" s="67" t="s">
        <v>3408</v>
      </c>
      <c r="D216" s="68">
        <v>3</v>
      </c>
      <c r="E216" s="69" t="d">
        <v>2026-01-18T19:53:43.00000009126961325</v>
      </c>
    </row>
    <row r="217" spans="1:5" ht="16" x14ac:dyDescent="0.2">
      <c r="A217" s="66" t="s">
        <v>3049</v>
      </c>
      <c r="B217" s="67" t="s">
        <v>3062</v>
      </c>
      <c r="C217" s="67" t="s">
        <v>3409</v>
      </c>
      <c r="D217" s="68">
        <v>3</v>
      </c>
      <c r="E217" s="69" t="d">
        <v>2026-01-18T19:53:43.00000009126961325</v>
      </c>
    </row>
    <row r="218" spans="1:5" ht="16" x14ac:dyDescent="0.2">
      <c r="A218" s="66" t="s">
        <v>3049</v>
      </c>
      <c r="B218" s="67" t="s">
        <v>3062</v>
      </c>
      <c r="C218" s="67" t="s">
        <v>3410</v>
      </c>
      <c r="D218" s="68">
        <v>3</v>
      </c>
      <c r="E218" s="69" t="d">
        <v>2026-01-18T19:53:43.00000009126961325</v>
      </c>
    </row>
    <row r="219" spans="1:5" ht="16" x14ac:dyDescent="0.2">
      <c r="A219" s="66" t="s">
        <v>3049</v>
      </c>
      <c r="B219" s="67" t="s">
        <v>3062</v>
      </c>
      <c r="C219" s="67" t="s">
        <v>3411</v>
      </c>
      <c r="D219" s="68">
        <v>3</v>
      </c>
      <c r="E219" s="69" t="d">
        <v>2026-01-18T19:53:43.00000009126961325</v>
      </c>
    </row>
    <row r="220" spans="1:5" ht="16" x14ac:dyDescent="0.2">
      <c r="A220" s="66" t="s">
        <v>3049</v>
      </c>
      <c r="B220" s="67" t="s">
        <v>3062</v>
      </c>
      <c r="C220" s="67" t="s">
        <v>3412</v>
      </c>
      <c r="D220" s="68">
        <v>3</v>
      </c>
      <c r="E220" s="69" t="d">
        <v>2026-01-18T19:53:43.00000009126961325</v>
      </c>
    </row>
    <row r="221" spans="1:5" ht="16" x14ac:dyDescent="0.2">
      <c r="A221" s="66" t="s">
        <v>3049</v>
      </c>
      <c r="B221" s="67" t="s">
        <v>3062</v>
      </c>
      <c r="C221" s="67" t="s">
        <v>3413</v>
      </c>
      <c r="D221" s="68">
        <v>3</v>
      </c>
      <c r="E221" s="69" t="d">
        <v>2026-01-18T19:53:43.00000009126961325</v>
      </c>
    </row>
    <row r="222" spans="1:5" ht="16" x14ac:dyDescent="0.2">
      <c r="A222" s="66" t="s">
        <v>3049</v>
      </c>
      <c r="B222" s="67" t="s">
        <v>3062</v>
      </c>
      <c r="C222" s="67" t="s">
        <v>3414</v>
      </c>
      <c r="D222" s="68">
        <v>3</v>
      </c>
      <c r="E222" s="69" t="d">
        <v>2026-01-22T12:11:37.000000113621354375</v>
      </c>
    </row>
    <row r="223" spans="1:5" ht="16" x14ac:dyDescent="0.2">
      <c r="A223" s="66" t="s">
        <v>3049</v>
      </c>
      <c r="B223" s="67" t="s">
        <v>3063</v>
      </c>
      <c r="C223" s="67" t="s">
        <v>3403</v>
      </c>
      <c r="D223" s="68">
        <v>3</v>
      </c>
      <c r="E223" s="69" t="d">
        <v>2026-01-18T19:53:43.00000009126961325</v>
      </c>
    </row>
    <row r="224" spans="1:5" ht="16" x14ac:dyDescent="0.2">
      <c r="A224" s="66" t="s">
        <v>3049</v>
      </c>
      <c r="B224" s="67" t="s">
        <v>3063</v>
      </c>
      <c r="C224" s="67" t="s">
        <v>3398</v>
      </c>
      <c r="D224" s="68">
        <v>3</v>
      </c>
      <c r="E224" s="69" t="d">
        <v>2026-01-18T19:53:43.00000009126961325</v>
      </c>
    </row>
    <row r="225" spans="1:5" ht="16" x14ac:dyDescent="0.2">
      <c r="A225" s="66" t="s">
        <v>3049</v>
      </c>
      <c r="B225" s="67" t="s">
        <v>3063</v>
      </c>
      <c r="C225" s="67" t="s">
        <v>3399</v>
      </c>
      <c r="D225" s="68">
        <v>3</v>
      </c>
      <c r="E225" s="69" t="d">
        <v>2026-01-18T19:53:43.00000009126961325</v>
      </c>
    </row>
    <row r="226" spans="1:5" ht="16" x14ac:dyDescent="0.2">
      <c r="A226" s="66" t="s">
        <v>3049</v>
      </c>
      <c r="B226" s="67" t="s">
        <v>3063</v>
      </c>
      <c r="C226" s="67" t="s">
        <v>3400</v>
      </c>
      <c r="D226" s="68">
        <v>3</v>
      </c>
      <c r="E226" s="69" t="d">
        <v>2026-01-18T19:53:43.00000009126961325</v>
      </c>
    </row>
    <row r="227" spans="1:5" ht="16" x14ac:dyDescent="0.2">
      <c r="A227" s="66" t="s">
        <v>3049</v>
      </c>
      <c r="B227" s="67" t="s">
        <v>3063</v>
      </c>
      <c r="C227" s="67" t="s">
        <v>3401</v>
      </c>
      <c r="D227" s="68">
        <v>3</v>
      </c>
      <c r="E227" s="69" t="d">
        <v>2026-01-18T19:53:43.00000009126961325</v>
      </c>
    </row>
    <row r="228" spans="1:5" ht="16" x14ac:dyDescent="0.2">
      <c r="A228" s="66" t="s">
        <v>3049</v>
      </c>
      <c r="B228" s="67" t="s">
        <v>3063</v>
      </c>
      <c r="C228" s="67" t="s">
        <v>3402</v>
      </c>
      <c r="D228" s="68">
        <v>3</v>
      </c>
      <c r="E228" s="69" t="d">
        <v>2026-01-18T19:53:43.00000009126961325</v>
      </c>
    </row>
    <row r="229" spans="1:5" ht="16" x14ac:dyDescent="0.2">
      <c r="A229" s="66" t="s">
        <v>3049</v>
      </c>
      <c r="B229" s="67" t="s">
        <v>3063</v>
      </c>
      <c r="C229" s="67" t="s">
        <v>3404</v>
      </c>
      <c r="D229" s="68">
        <v>3</v>
      </c>
      <c r="E229" s="69" t="d">
        <v>2026-01-18T19:53:43.00000009126961325</v>
      </c>
    </row>
    <row r="230" spans="1:5" ht="16" x14ac:dyDescent="0.2">
      <c r="A230" s="66" t="s">
        <v>3049</v>
      </c>
      <c r="B230" s="67" t="s">
        <v>3063</v>
      </c>
      <c r="C230" s="67" t="s">
        <v>3405</v>
      </c>
      <c r="D230" s="68">
        <v>3</v>
      </c>
      <c r="E230" s="69" t="d">
        <v>2026-01-18T19:53:43.00000009126961325</v>
      </c>
    </row>
    <row r="231" spans="1:5" ht="16" x14ac:dyDescent="0.2">
      <c r="A231" s="66" t="s">
        <v>3049</v>
      </c>
      <c r="B231" s="67" t="s">
        <v>3063</v>
      </c>
      <c r="C231" s="67" t="s">
        <v>3406</v>
      </c>
      <c r="D231" s="68">
        <v>3</v>
      </c>
      <c r="E231" s="69" t="d">
        <v>2026-01-18T19:53:43.00000009126961325</v>
      </c>
    </row>
    <row r="232" spans="1:5" ht="16" x14ac:dyDescent="0.2">
      <c r="A232" s="66" t="s">
        <v>3049</v>
      </c>
      <c r="B232" s="67" t="s">
        <v>3063</v>
      </c>
      <c r="C232" s="67" t="s">
        <v>3407</v>
      </c>
      <c r="D232" s="68">
        <v>3</v>
      </c>
      <c r="E232" s="69" t="d">
        <v>2026-01-18T19:53:43.00000009126961325</v>
      </c>
    </row>
    <row r="233" spans="1:5" ht="16" x14ac:dyDescent="0.2">
      <c r="A233" s="66" t="s">
        <v>3049</v>
      </c>
      <c r="B233" s="67" t="s">
        <v>3063</v>
      </c>
      <c r="C233" s="67" t="s">
        <v>3408</v>
      </c>
      <c r="D233" s="68">
        <v>3</v>
      </c>
      <c r="E233" s="69" t="d">
        <v>2026-01-18T19:53:43.00000009126961325</v>
      </c>
    </row>
    <row r="234" spans="1:5" ht="16" x14ac:dyDescent="0.2">
      <c r="A234" s="66" t="s">
        <v>3049</v>
      </c>
      <c r="B234" s="67" t="s">
        <v>3063</v>
      </c>
      <c r="C234" s="67" t="s">
        <v>3409</v>
      </c>
      <c r="D234" s="68">
        <v>3</v>
      </c>
      <c r="E234" s="69" t="d">
        <v>2026-01-18T19:53:43.00000009126961325</v>
      </c>
    </row>
    <row r="235" spans="1:5" ht="16" x14ac:dyDescent="0.2">
      <c r="A235" s="66" t="s">
        <v>3049</v>
      </c>
      <c r="B235" s="67" t="s">
        <v>3063</v>
      </c>
      <c r="C235" s="67" t="s">
        <v>3410</v>
      </c>
      <c r="D235" s="68">
        <v>3</v>
      </c>
      <c r="E235" s="69" t="d">
        <v>2026-01-18T19:53:43.00000009126961325</v>
      </c>
    </row>
    <row r="236" spans="1:5" ht="16" x14ac:dyDescent="0.2">
      <c r="A236" s="66" t="s">
        <v>3049</v>
      </c>
      <c r="B236" s="67" t="s">
        <v>3063</v>
      </c>
      <c r="C236" s="67" t="s">
        <v>3411</v>
      </c>
      <c r="D236" s="68">
        <v>3</v>
      </c>
      <c r="E236" s="69" t="d">
        <v>2026-01-18T19:53:43.00000009126961325</v>
      </c>
    </row>
    <row r="237" spans="1:5" ht="16" x14ac:dyDescent="0.2">
      <c r="A237" s="66" t="s">
        <v>3049</v>
      </c>
      <c r="B237" s="67" t="s">
        <v>3063</v>
      </c>
      <c r="C237" s="67" t="s">
        <v>3412</v>
      </c>
      <c r="D237" s="68">
        <v>3</v>
      </c>
      <c r="E237" s="69" t="d">
        <v>2026-01-18T19:53:43.99999969638884100</v>
      </c>
    </row>
    <row r="238" spans="1:5" ht="16" x14ac:dyDescent="0.2">
      <c r="A238" s="66" t="s">
        <v>3049</v>
      </c>
      <c r="B238" s="67" t="s">
        <v>3063</v>
      </c>
      <c r="C238" s="67" t="s">
        <v>3413</v>
      </c>
      <c r="D238" s="68">
        <v>3</v>
      </c>
      <c r="E238" s="69" t="d">
        <v>2026-01-18T19:53:43.99999969638884100</v>
      </c>
    </row>
    <row r="239" spans="1:5" ht="16" x14ac:dyDescent="0.2">
      <c r="A239" s="66" t="s">
        <v>3049</v>
      </c>
      <c r="B239" s="67" t="s">
        <v>3063</v>
      </c>
      <c r="C239" s="67" t="s">
        <v>3414</v>
      </c>
      <c r="D239" s="68">
        <v>3</v>
      </c>
      <c r="E239" s="69" t="d">
        <v>2026-01-22T12:11:37.000000113621354375</v>
      </c>
    </row>
    <row r="240" spans="1:5" ht="16" x14ac:dyDescent="0.2">
      <c r="A240" s="66" t="s">
        <v>3049</v>
      </c>
      <c r="B240" s="67" t="s">
        <v>3064</v>
      </c>
      <c r="C240" s="67" t="s">
        <v>3403</v>
      </c>
      <c r="D240" s="68">
        <v>3</v>
      </c>
      <c r="E240" s="69" t="d">
        <v>2026-01-18T19:53:43.99999969638884100</v>
      </c>
    </row>
    <row r="241" spans="1:5" ht="16" x14ac:dyDescent="0.2">
      <c r="A241" s="66" t="s">
        <v>3049</v>
      </c>
      <c r="B241" s="67" t="s">
        <v>3064</v>
      </c>
      <c r="C241" s="67" t="s">
        <v>3398</v>
      </c>
      <c r="D241" s="68">
        <v>3</v>
      </c>
      <c r="E241" s="69" t="d">
        <v>2026-01-18T19:53:43.99999969638884100</v>
      </c>
    </row>
    <row r="242" spans="1:5" ht="16" x14ac:dyDescent="0.2">
      <c r="A242" s="66" t="s">
        <v>3049</v>
      </c>
      <c r="B242" s="67" t="s">
        <v>3064</v>
      </c>
      <c r="C242" s="67" t="s">
        <v>3399</v>
      </c>
      <c r="D242" s="68">
        <v>3</v>
      </c>
      <c r="E242" s="69" t="d">
        <v>2026-01-18T19:53:43.99999969638884100</v>
      </c>
    </row>
    <row r="243" spans="1:5" ht="16" x14ac:dyDescent="0.2">
      <c r="A243" s="66" t="s">
        <v>3049</v>
      </c>
      <c r="B243" s="67" t="s">
        <v>3064</v>
      </c>
      <c r="C243" s="67" t="s">
        <v>3400</v>
      </c>
      <c r="D243" s="68">
        <v>3</v>
      </c>
      <c r="E243" s="69" t="d">
        <v>2026-01-18T19:53:43.99999969638884100</v>
      </c>
    </row>
    <row r="244" spans="1:5" ht="16" x14ac:dyDescent="0.2">
      <c r="A244" s="66" t="s">
        <v>3049</v>
      </c>
      <c r="B244" s="67" t="s">
        <v>3064</v>
      </c>
      <c r="C244" s="67" t="s">
        <v>3401</v>
      </c>
      <c r="D244" s="68">
        <v>3</v>
      </c>
      <c r="E244" s="69" t="d">
        <v>2026-01-18T19:53:43.99999969638884100</v>
      </c>
    </row>
    <row r="245" spans="1:5" ht="16" x14ac:dyDescent="0.2">
      <c r="A245" s="66" t="s">
        <v>3049</v>
      </c>
      <c r="B245" s="67" t="s">
        <v>3064</v>
      </c>
      <c r="C245" s="67" t="s">
        <v>3402</v>
      </c>
      <c r="D245" s="68">
        <v>3</v>
      </c>
      <c r="E245" s="69" t="d">
        <v>2026-01-18T19:53:43.99999969638884100</v>
      </c>
    </row>
    <row r="246" spans="1:5" ht="16" x14ac:dyDescent="0.2">
      <c r="A246" s="66" t="s">
        <v>3049</v>
      </c>
      <c r="B246" s="67" t="s">
        <v>3064</v>
      </c>
      <c r="C246" s="67" t="s">
        <v>3404</v>
      </c>
      <c r="D246" s="68">
        <v>3</v>
      </c>
      <c r="E246" s="69" t="d">
        <v>2026-01-18T19:53:43.99999969638884100</v>
      </c>
    </row>
    <row r="247" spans="1:5" ht="16" x14ac:dyDescent="0.2">
      <c r="A247" s="66" t="s">
        <v>3049</v>
      </c>
      <c r="B247" s="67" t="s">
        <v>3064</v>
      </c>
      <c r="C247" s="67" t="s">
        <v>3405</v>
      </c>
      <c r="D247" s="68">
        <v>3</v>
      </c>
      <c r="E247" s="69" t="d">
        <v>2026-01-18T19:53:43.99999969638884100</v>
      </c>
    </row>
    <row r="248" spans="1:5" ht="16" x14ac:dyDescent="0.2">
      <c r="A248" s="66" t="s">
        <v>3049</v>
      </c>
      <c r="B248" s="67" t="s">
        <v>3064</v>
      </c>
      <c r="C248" s="67" t="s">
        <v>3406</v>
      </c>
      <c r="D248" s="68">
        <v>3</v>
      </c>
      <c r="E248" s="69" t="d">
        <v>2026-01-18T19:53:43.99999969638884100</v>
      </c>
    </row>
    <row r="249" spans="1:5" ht="16" x14ac:dyDescent="0.2">
      <c r="A249" s="66" t="s">
        <v>3049</v>
      </c>
      <c r="B249" s="67" t="s">
        <v>3064</v>
      </c>
      <c r="C249" s="67" t="s">
        <v>3407</v>
      </c>
      <c r="D249" s="68">
        <v>3</v>
      </c>
      <c r="E249" s="69" t="d">
        <v>2026-01-18T19:53:43.99999969638884100</v>
      </c>
    </row>
    <row r="250" spans="1:5" ht="16" x14ac:dyDescent="0.2">
      <c r="A250" s="66" t="s">
        <v>3049</v>
      </c>
      <c r="B250" s="67" t="s">
        <v>3064</v>
      </c>
      <c r="C250" s="67" t="s">
        <v>3408</v>
      </c>
      <c r="D250" s="68">
        <v>3</v>
      </c>
      <c r="E250" s="69" t="d">
        <v>2026-01-18T19:53:43.99999969638884100</v>
      </c>
    </row>
    <row r="251" spans="1:5" ht="16" x14ac:dyDescent="0.2">
      <c r="A251" s="66" t="s">
        <v>3049</v>
      </c>
      <c r="B251" s="67" t="s">
        <v>3064</v>
      </c>
      <c r="C251" s="67" t="s">
        <v>3409</v>
      </c>
      <c r="D251" s="68">
        <v>3</v>
      </c>
      <c r="E251" s="69" t="d">
        <v>2026-01-18T19:53:43.99999969638884100</v>
      </c>
    </row>
    <row r="252" spans="1:5" ht="16" x14ac:dyDescent="0.2">
      <c r="A252" s="66" t="s">
        <v>3049</v>
      </c>
      <c r="B252" s="67" t="s">
        <v>3064</v>
      </c>
      <c r="C252" s="67" t="s">
        <v>3410</v>
      </c>
      <c r="D252" s="68">
        <v>3</v>
      </c>
      <c r="E252" s="69" t="d">
        <v>2026-01-18T19:53:43.99999969638884100</v>
      </c>
    </row>
    <row r="253" spans="1:5" ht="16" x14ac:dyDescent="0.2">
      <c r="A253" s="66" t="s">
        <v>3049</v>
      </c>
      <c r="B253" s="67" t="s">
        <v>3064</v>
      </c>
      <c r="C253" s="67" t="s">
        <v>3411</v>
      </c>
      <c r="D253" s="68">
        <v>3</v>
      </c>
      <c r="E253" s="69" t="d">
        <v>2026-01-18T19:53:43.99999969638884100</v>
      </c>
    </row>
    <row r="254" spans="1:5" ht="16" x14ac:dyDescent="0.2">
      <c r="A254" s="66" t="s">
        <v>3049</v>
      </c>
      <c r="B254" s="67" t="s">
        <v>3064</v>
      </c>
      <c r="C254" s="67" t="s">
        <v>3412</v>
      </c>
      <c r="D254" s="68">
        <v>3</v>
      </c>
      <c r="E254" s="69" t="d">
        <v>2026-01-18T19:53:43.99999969638884100</v>
      </c>
    </row>
    <row r="255" spans="1:5" ht="16" x14ac:dyDescent="0.2">
      <c r="A255" s="66" t="s">
        <v>3049</v>
      </c>
      <c r="B255" s="67" t="s">
        <v>3064</v>
      </c>
      <c r="C255" s="67" t="s">
        <v>3413</v>
      </c>
      <c r="D255" s="68">
        <v>3</v>
      </c>
      <c r="E255" s="69" t="d">
        <v>2026-01-18T19:53:43.99999969638884100</v>
      </c>
    </row>
    <row r="256" spans="1:5" ht="16" x14ac:dyDescent="0.2">
      <c r="A256" s="66" t="s">
        <v>3049</v>
      </c>
      <c r="B256" s="67" t="s">
        <v>3064</v>
      </c>
      <c r="C256" s="67" t="s">
        <v>3414</v>
      </c>
      <c r="D256" s="68">
        <v>3</v>
      </c>
      <c r="E256" s="69" t="d">
        <v>2026-01-22T12:11:37.000000113621354375</v>
      </c>
    </row>
    <row r="257" spans="1:5" ht="16" x14ac:dyDescent="0.2">
      <c r="A257" s="66" t="s">
        <v>3049</v>
      </c>
      <c r="B257" s="67" t="s">
        <v>3065</v>
      </c>
      <c r="C257" s="67" t="s">
        <v>3403</v>
      </c>
      <c r="D257" s="68">
        <v>3</v>
      </c>
      <c r="E257" s="69" t="d">
        <v>2026-01-18T19:53:43.99999969638884100</v>
      </c>
    </row>
    <row r="258" spans="1:5" ht="16" x14ac:dyDescent="0.2">
      <c r="A258" s="66" t="s">
        <v>3049</v>
      </c>
      <c r="B258" s="67" t="s">
        <v>3065</v>
      </c>
      <c r="C258" s="67" t="s">
        <v>3398</v>
      </c>
      <c r="D258" s="68">
        <v>3</v>
      </c>
      <c r="E258" s="69" t="d">
        <v>2026-01-18T19:53:43.99999969638884100</v>
      </c>
    </row>
    <row r="259" spans="1:5" ht="16" x14ac:dyDescent="0.2">
      <c r="A259" s="66" t="s">
        <v>3049</v>
      </c>
      <c r="B259" s="67" t="s">
        <v>3065</v>
      </c>
      <c r="C259" s="67" t="s">
        <v>3399</v>
      </c>
      <c r="D259" s="68">
        <v>3</v>
      </c>
      <c r="E259" s="69" t="d">
        <v>2026-01-18T19:53:43.99999969638884100</v>
      </c>
    </row>
    <row r="260" spans="1:5" ht="16" x14ac:dyDescent="0.2">
      <c r="A260" s="66" t="s">
        <v>3049</v>
      </c>
      <c r="B260" s="67" t="s">
        <v>3065</v>
      </c>
      <c r="C260" s="67" t="s">
        <v>3400</v>
      </c>
      <c r="D260" s="68">
        <v>3</v>
      </c>
      <c r="E260" s="69" t="d">
        <v>2026-01-18T19:53:43.99999969638884100</v>
      </c>
    </row>
    <row r="261" spans="1:5" ht="16" x14ac:dyDescent="0.2">
      <c r="A261" s="66" t="s">
        <v>3049</v>
      </c>
      <c r="B261" s="67" t="s">
        <v>3065</v>
      </c>
      <c r="C261" s="67" t="s">
        <v>3401</v>
      </c>
      <c r="D261" s="68">
        <v>3</v>
      </c>
      <c r="E261" s="69" t="d">
        <v>2026-01-18T19:53:43.99999969638884100</v>
      </c>
    </row>
    <row r="262" spans="1:5" ht="16" x14ac:dyDescent="0.2">
      <c r="A262" s="66" t="s">
        <v>3049</v>
      </c>
      <c r="B262" s="67" t="s">
        <v>3065</v>
      </c>
      <c r="C262" s="67" t="s">
        <v>3402</v>
      </c>
      <c r="D262" s="68">
        <v>3</v>
      </c>
      <c r="E262" s="69" t="d">
        <v>2026-01-18T19:53:43.99999969638884100</v>
      </c>
    </row>
    <row r="263" spans="1:5" ht="16" x14ac:dyDescent="0.2">
      <c r="A263" s="66" t="s">
        <v>3049</v>
      </c>
      <c r="B263" s="67" t="s">
        <v>3065</v>
      </c>
      <c r="C263" s="67" t="s">
        <v>3404</v>
      </c>
      <c r="D263" s="68">
        <v>3</v>
      </c>
      <c r="E263" s="69" t="d">
        <v>2026-01-18T19:53:43.99999969638884100</v>
      </c>
    </row>
    <row r="264" spans="1:5" ht="16" x14ac:dyDescent="0.2">
      <c r="A264" s="66" t="s">
        <v>3049</v>
      </c>
      <c r="B264" s="67" t="s">
        <v>3065</v>
      </c>
      <c r="C264" s="67" t="s">
        <v>3405</v>
      </c>
      <c r="D264" s="68">
        <v>3</v>
      </c>
      <c r="E264" s="69" t="d">
        <v>2026-01-18T19:53:43.99999969638884100</v>
      </c>
    </row>
    <row r="265" spans="1:5" ht="16" x14ac:dyDescent="0.2">
      <c r="A265" s="66" t="s">
        <v>3049</v>
      </c>
      <c r="B265" s="67" t="s">
        <v>3065</v>
      </c>
      <c r="C265" s="67" t="s">
        <v>3406</v>
      </c>
      <c r="D265" s="68">
        <v>3</v>
      </c>
      <c r="E265" s="69" t="d">
        <v>2026-01-18T19:53:43.99999969638884100</v>
      </c>
    </row>
    <row r="266" spans="1:5" ht="16" x14ac:dyDescent="0.2">
      <c r="A266" s="66" t="s">
        <v>3049</v>
      </c>
      <c r="B266" s="67" t="s">
        <v>3065</v>
      </c>
      <c r="C266" s="67" t="s">
        <v>3407</v>
      </c>
      <c r="D266" s="68">
        <v>3</v>
      </c>
      <c r="E266" s="69" t="d">
        <v>2026-01-18T19:53:43.99999969638884100</v>
      </c>
    </row>
    <row r="267" spans="1:5" ht="16" x14ac:dyDescent="0.2">
      <c r="A267" s="66" t="s">
        <v>3049</v>
      </c>
      <c r="B267" s="67" t="s">
        <v>3065</v>
      </c>
      <c r="C267" s="67" t="s">
        <v>3408</v>
      </c>
      <c r="D267" s="68">
        <v>3</v>
      </c>
      <c r="E267" s="69" t="d">
        <v>2026-01-18T19:53:43.99999969638884100</v>
      </c>
    </row>
    <row r="268" spans="1:5" ht="16" x14ac:dyDescent="0.2">
      <c r="A268" s="66" t="s">
        <v>3049</v>
      </c>
      <c r="B268" s="67" t="s">
        <v>3065</v>
      </c>
      <c r="C268" s="67" t="s">
        <v>3409</v>
      </c>
      <c r="D268" s="68">
        <v>3</v>
      </c>
      <c r="E268" s="69" t="d">
        <v>2026-01-18T19:53:43.99999969638884100</v>
      </c>
    </row>
    <row r="269" spans="1:5" ht="16" x14ac:dyDescent="0.2">
      <c r="A269" s="66" t="s">
        <v>3049</v>
      </c>
      <c r="B269" s="67" t="s">
        <v>3065</v>
      </c>
      <c r="C269" s="67" t="s">
        <v>3410</v>
      </c>
      <c r="D269" s="68">
        <v>3</v>
      </c>
      <c r="E269" s="69" t="d">
        <v>2026-01-18T19:53:43.99999969638884100</v>
      </c>
    </row>
    <row r="270" spans="1:5" ht="16" x14ac:dyDescent="0.2">
      <c r="A270" s="66" t="s">
        <v>3049</v>
      </c>
      <c r="B270" s="67" t="s">
        <v>3065</v>
      </c>
      <c r="C270" s="67" t="s">
        <v>3411</v>
      </c>
      <c r="D270" s="68">
        <v>3</v>
      </c>
      <c r="E270" s="69" t="d">
        <v>2026-01-18T19:53:44.99999993015081025</v>
      </c>
    </row>
    <row r="271" spans="1:5" ht="16" x14ac:dyDescent="0.2">
      <c r="A271" s="66" t="s">
        <v>3049</v>
      </c>
      <c r="B271" s="67" t="s">
        <v>3065</v>
      </c>
      <c r="C271" s="67" t="s">
        <v>3412</v>
      </c>
      <c r="D271" s="68">
        <v>3</v>
      </c>
      <c r="E271" s="69" t="d">
        <v>2026-01-18T19:53:44.99999993015081025</v>
      </c>
    </row>
    <row r="272" spans="1:5" ht="16" x14ac:dyDescent="0.2">
      <c r="A272" s="66" t="s">
        <v>3049</v>
      </c>
      <c r="B272" s="67" t="s">
        <v>3065</v>
      </c>
      <c r="C272" s="67" t="s">
        <v>3413</v>
      </c>
      <c r="D272" s="68">
        <v>3</v>
      </c>
      <c r="E272" s="69" t="d">
        <v>2026-01-18T19:53:44.99999993015081025</v>
      </c>
    </row>
    <row r="273" spans="1:5" ht="16" x14ac:dyDescent="0.2">
      <c r="A273" s="66" t="s">
        <v>3049</v>
      </c>
      <c r="B273" s="67" t="s">
        <v>3065</v>
      </c>
      <c r="C273" s="67" t="s">
        <v>3414</v>
      </c>
      <c r="D273" s="68">
        <v>3</v>
      </c>
      <c r="E273" s="69" t="d">
        <v>2026-01-22T12:11:37.000000113621354375</v>
      </c>
    </row>
    <row r="274" spans="1:5" ht="16" x14ac:dyDescent="0.2">
      <c r="A274" s="66" t="s">
        <v>3049</v>
      </c>
      <c r="B274" s="67" t="s">
        <v>3066</v>
      </c>
      <c r="C274" s="67" t="s">
        <v>3403</v>
      </c>
      <c r="D274" s="68">
        <v>3</v>
      </c>
      <c r="E274" s="69" t="d">
        <v>2026-01-18T19:53:44.99999993015081025</v>
      </c>
    </row>
    <row r="275" spans="1:5" ht="16" x14ac:dyDescent="0.2">
      <c r="A275" s="66" t="s">
        <v>3049</v>
      </c>
      <c r="B275" s="67" t="s">
        <v>3066</v>
      </c>
      <c r="C275" s="67" t="s">
        <v>3398</v>
      </c>
      <c r="D275" s="68">
        <v>3</v>
      </c>
      <c r="E275" s="69" t="d">
        <v>2026-01-18T19:53:44.99999993015081025</v>
      </c>
    </row>
    <row r="276" spans="1:5" ht="16" x14ac:dyDescent="0.2">
      <c r="A276" s="66" t="s">
        <v>3049</v>
      </c>
      <c r="B276" s="67" t="s">
        <v>3066</v>
      </c>
      <c r="C276" s="67" t="s">
        <v>3399</v>
      </c>
      <c r="D276" s="68">
        <v>3</v>
      </c>
      <c r="E276" s="69" t="d">
        <v>2026-01-18T19:53:44.99999993015081025</v>
      </c>
    </row>
    <row r="277" spans="1:5" ht="16" x14ac:dyDescent="0.2">
      <c r="A277" s="66" t="s">
        <v>3049</v>
      </c>
      <c r="B277" s="67" t="s">
        <v>3066</v>
      </c>
      <c r="C277" s="67" t="s">
        <v>3400</v>
      </c>
      <c r="D277" s="68">
        <v>3</v>
      </c>
      <c r="E277" s="69" t="d">
        <v>2026-01-18T19:53:44.99999993015081025</v>
      </c>
    </row>
    <row r="278" spans="1:5" ht="16" x14ac:dyDescent="0.2">
      <c r="A278" s="66" t="s">
        <v>3049</v>
      </c>
      <c r="B278" s="67" t="s">
        <v>3066</v>
      </c>
      <c r="C278" s="67" t="s">
        <v>3401</v>
      </c>
      <c r="D278" s="68">
        <v>3</v>
      </c>
      <c r="E278" s="69" t="d">
        <v>2026-01-18T19:53:44.99999993015081025</v>
      </c>
    </row>
    <row r="279" spans="1:5" ht="16" x14ac:dyDescent="0.2">
      <c r="A279" s="66" t="s">
        <v>3049</v>
      </c>
      <c r="B279" s="67" t="s">
        <v>3066</v>
      </c>
      <c r="C279" s="67" t="s">
        <v>3402</v>
      </c>
      <c r="D279" s="68">
        <v>3</v>
      </c>
      <c r="E279" s="69" t="d">
        <v>2026-01-18T19:53:44.99999993015081025</v>
      </c>
    </row>
    <row r="280" spans="1:5" ht="16" x14ac:dyDescent="0.2">
      <c r="A280" s="66" t="s">
        <v>3049</v>
      </c>
      <c r="B280" s="67" t="s">
        <v>3066</v>
      </c>
      <c r="C280" s="67" t="s">
        <v>3404</v>
      </c>
      <c r="D280" s="68">
        <v>3</v>
      </c>
      <c r="E280" s="69" t="d">
        <v>2026-01-18T19:53:44.99999993015081025</v>
      </c>
    </row>
    <row r="281" spans="1:5" ht="16" x14ac:dyDescent="0.2">
      <c r="A281" s="66" t="s">
        <v>3049</v>
      </c>
      <c r="B281" s="67" t="s">
        <v>3066</v>
      </c>
      <c r="C281" s="67" t="s">
        <v>3405</v>
      </c>
      <c r="D281" s="68">
        <v>3</v>
      </c>
      <c r="E281" s="69" t="d">
        <v>2026-01-18T19:53:44.99999993015081025</v>
      </c>
    </row>
    <row r="282" spans="1:5" ht="16" x14ac:dyDescent="0.2">
      <c r="A282" s="66" t="s">
        <v>3049</v>
      </c>
      <c r="B282" s="67" t="s">
        <v>3066</v>
      </c>
      <c r="C282" s="67" t="s">
        <v>3406</v>
      </c>
      <c r="D282" s="68">
        <v>3</v>
      </c>
      <c r="E282" s="69" t="d">
        <v>2026-01-18T19:53:44.99999993015081025</v>
      </c>
    </row>
    <row r="283" spans="1:5" ht="16" x14ac:dyDescent="0.2">
      <c r="A283" s="66" t="s">
        <v>3049</v>
      </c>
      <c r="B283" s="67" t="s">
        <v>3066</v>
      </c>
      <c r="C283" s="67" t="s">
        <v>3407</v>
      </c>
      <c r="D283" s="68">
        <v>3</v>
      </c>
      <c r="E283" s="69" t="d">
        <v>2026-01-18T19:53:44.99999993015081025</v>
      </c>
    </row>
    <row r="284" spans="1:5" ht="16" x14ac:dyDescent="0.2">
      <c r="A284" s="66" t="s">
        <v>3049</v>
      </c>
      <c r="B284" s="67" t="s">
        <v>3066</v>
      </c>
      <c r="C284" s="67" t="s">
        <v>3408</v>
      </c>
      <c r="D284" s="68">
        <v>3</v>
      </c>
      <c r="E284" s="69" t="d">
        <v>2026-01-18T19:53:44.99999993015081025</v>
      </c>
    </row>
    <row r="285" spans="1:5" ht="16" x14ac:dyDescent="0.2">
      <c r="A285" s="66" t="s">
        <v>3049</v>
      </c>
      <c r="B285" s="67" t="s">
        <v>3066</v>
      </c>
      <c r="C285" s="67" t="s">
        <v>3409</v>
      </c>
      <c r="D285" s="68">
        <v>3</v>
      </c>
      <c r="E285" s="69" t="d">
        <v>2026-01-18T19:53:44.99999993015081025</v>
      </c>
    </row>
    <row r="286" spans="1:5" ht="16" x14ac:dyDescent="0.2">
      <c r="A286" s="66" t="s">
        <v>3049</v>
      </c>
      <c r="B286" s="67" t="s">
        <v>3066</v>
      </c>
      <c r="C286" s="67" t="s">
        <v>3410</v>
      </c>
      <c r="D286" s="68">
        <v>3</v>
      </c>
      <c r="E286" s="69" t="d">
        <v>2026-01-18T19:53:44.99999993015081025</v>
      </c>
    </row>
    <row r="287" spans="1:5" ht="16" x14ac:dyDescent="0.2">
      <c r="A287" s="66" t="s">
        <v>3049</v>
      </c>
      <c r="B287" s="67" t="s">
        <v>3066</v>
      </c>
      <c r="C287" s="67" t="s">
        <v>3411</v>
      </c>
      <c r="D287" s="68">
        <v>3</v>
      </c>
      <c r="E287" s="69" t="d">
        <v>2026-01-18T19:53:44.99999993015081025</v>
      </c>
    </row>
    <row r="288" spans="1:5" ht="16" x14ac:dyDescent="0.2">
      <c r="A288" s="66" t="s">
        <v>3049</v>
      </c>
      <c r="B288" s="67" t="s">
        <v>3066</v>
      </c>
      <c r="C288" s="67" t="s">
        <v>3412</v>
      </c>
      <c r="D288" s="68">
        <v>3</v>
      </c>
      <c r="E288" s="69" t="d">
        <v>2026-01-18T19:53:44.99999993015081025</v>
      </c>
    </row>
    <row r="289" spans="1:5" ht="16" x14ac:dyDescent="0.2">
      <c r="A289" s="66" t="s">
        <v>3049</v>
      </c>
      <c r="B289" s="67" t="s">
        <v>3066</v>
      </c>
      <c r="C289" s="67" t="s">
        <v>3413</v>
      </c>
      <c r="D289" s="68">
        <v>3</v>
      </c>
      <c r="E289" s="69" t="d">
        <v>2026-01-18T19:53:44.99999993015081025</v>
      </c>
    </row>
    <row r="290" spans="1:5" ht="16" x14ac:dyDescent="0.2">
      <c r="A290" s="66" t="s">
        <v>3049</v>
      </c>
      <c r="B290" s="67" t="s">
        <v>3066</v>
      </c>
      <c r="C290" s="67" t="s">
        <v>3414</v>
      </c>
      <c r="D290" s="68">
        <v>3</v>
      </c>
      <c r="E290" s="69" t="d">
        <v>2026-01-22T12:11:37.000000113621354375</v>
      </c>
    </row>
    <row r="291" spans="1:5" ht="16" x14ac:dyDescent="0.2">
      <c r="A291" s="66" t="s">
        <v>3049</v>
      </c>
      <c r="B291" s="67" t="s">
        <v>3067</v>
      </c>
      <c r="C291" s="67" t="s">
        <v>3403</v>
      </c>
      <c r="D291" s="68">
        <v>3</v>
      </c>
      <c r="E291" s="69" t="d">
        <v>2026-01-18T19:53:44.99999993015081025</v>
      </c>
    </row>
    <row r="292" spans="1:5" ht="16" x14ac:dyDescent="0.2">
      <c r="A292" s="66" t="s">
        <v>3049</v>
      </c>
      <c r="B292" s="67" t="s">
        <v>3067</v>
      </c>
      <c r="C292" s="67" t="s">
        <v>3398</v>
      </c>
      <c r="D292" s="68">
        <v>3</v>
      </c>
      <c r="E292" s="69" t="d">
        <v>2026-01-18T19:53:44.99999993015081025</v>
      </c>
    </row>
    <row r="293" spans="1:5" ht="16" x14ac:dyDescent="0.2">
      <c r="A293" s="66" t="s">
        <v>3049</v>
      </c>
      <c r="B293" s="67" t="s">
        <v>3067</v>
      </c>
      <c r="C293" s="67" t="s">
        <v>3399</v>
      </c>
      <c r="D293" s="68">
        <v>3</v>
      </c>
      <c r="E293" s="69" t="d">
        <v>2026-01-18T19:53:44.99999993015081025</v>
      </c>
    </row>
    <row r="294" spans="1:5" ht="16" x14ac:dyDescent="0.2">
      <c r="A294" s="66" t="s">
        <v>3049</v>
      </c>
      <c r="B294" s="67" t="s">
        <v>3067</v>
      </c>
      <c r="C294" s="67" t="s">
        <v>3400</v>
      </c>
      <c r="D294" s="68">
        <v>3</v>
      </c>
      <c r="E294" s="69" t="d">
        <v>2026-01-18T19:53:44.99999993015081025</v>
      </c>
    </row>
    <row r="295" spans="1:5" ht="16" x14ac:dyDescent="0.2">
      <c r="A295" s="66" t="s">
        <v>3049</v>
      </c>
      <c r="B295" s="67" t="s">
        <v>3067</v>
      </c>
      <c r="C295" s="67" t="s">
        <v>3401</v>
      </c>
      <c r="D295" s="68">
        <v>3</v>
      </c>
      <c r="E295" s="69" t="d">
        <v>2026-01-18T19:53:44.99999993015081025</v>
      </c>
    </row>
    <row r="296" spans="1:5" ht="16" x14ac:dyDescent="0.2">
      <c r="A296" s="66" t="s">
        <v>3049</v>
      </c>
      <c r="B296" s="67" t="s">
        <v>3067</v>
      </c>
      <c r="C296" s="67" t="s">
        <v>3402</v>
      </c>
      <c r="D296" s="68">
        <v>3</v>
      </c>
      <c r="E296" s="69" t="d">
        <v>2026-01-18T19:53:44.99999993015081025</v>
      </c>
    </row>
    <row r="297" spans="1:5" ht="16" x14ac:dyDescent="0.2">
      <c r="A297" s="66" t="s">
        <v>3049</v>
      </c>
      <c r="B297" s="67" t="s">
        <v>3067</v>
      </c>
      <c r="C297" s="67" t="s">
        <v>3404</v>
      </c>
      <c r="D297" s="68">
        <v>3</v>
      </c>
      <c r="E297" s="69" t="d">
        <v>2026-01-18T19:53:44.99999993015081025</v>
      </c>
    </row>
    <row r="298" spans="1:5" ht="16" x14ac:dyDescent="0.2">
      <c r="A298" s="66" t="s">
        <v>3049</v>
      </c>
      <c r="B298" s="67" t="s">
        <v>3067</v>
      </c>
      <c r="C298" s="67" t="s">
        <v>3405</v>
      </c>
      <c r="D298" s="68">
        <v>3</v>
      </c>
      <c r="E298" s="69" t="d">
        <v>2026-01-18T19:53:44.99999993015081025</v>
      </c>
    </row>
    <row r="299" spans="1:5" ht="16" x14ac:dyDescent="0.2">
      <c r="A299" s="66" t="s">
        <v>3049</v>
      </c>
      <c r="B299" s="67" t="s">
        <v>3067</v>
      </c>
      <c r="C299" s="67" t="s">
        <v>3406</v>
      </c>
      <c r="D299" s="68">
        <v>3</v>
      </c>
      <c r="E299" s="69" t="d">
        <v>2026-01-18T19:53:44.99999993015081025</v>
      </c>
    </row>
    <row r="300" spans="1:5" ht="16" x14ac:dyDescent="0.2">
      <c r="A300" s="66" t="s">
        <v>3049</v>
      </c>
      <c r="B300" s="67" t="s">
        <v>3067</v>
      </c>
      <c r="C300" s="67" t="s">
        <v>3407</v>
      </c>
      <c r="D300" s="68">
        <v>3</v>
      </c>
      <c r="E300" s="69" t="d">
        <v>2026-01-18T19:53:44.99999993015081025</v>
      </c>
    </row>
    <row r="301" spans="1:5" ht="16" x14ac:dyDescent="0.2">
      <c r="A301" s="66" t="s">
        <v>3049</v>
      </c>
      <c r="B301" s="67" t="s">
        <v>3067</v>
      </c>
      <c r="C301" s="67" t="s">
        <v>3408</v>
      </c>
      <c r="D301" s="68">
        <v>3</v>
      </c>
      <c r="E301" s="69" t="d">
        <v>2026-01-18T19:53:44.99999993015081025</v>
      </c>
    </row>
    <row r="302" spans="1:5" ht="16" x14ac:dyDescent="0.2">
      <c r="A302" s="66" t="s">
        <v>3049</v>
      </c>
      <c r="B302" s="67" t="s">
        <v>3067</v>
      </c>
      <c r="C302" s="67" t="s">
        <v>3409</v>
      </c>
      <c r="D302" s="68">
        <v>3</v>
      </c>
      <c r="E302" s="69" t="d">
        <v>2026-01-18T19:53:44.99999993015081025</v>
      </c>
    </row>
    <row r="303" spans="1:5" ht="16" x14ac:dyDescent="0.2">
      <c r="A303" s="66" t="s">
        <v>3049</v>
      </c>
      <c r="B303" s="67" t="s">
        <v>3067</v>
      </c>
      <c r="C303" s="67" t="s">
        <v>3410</v>
      </c>
      <c r="D303" s="68">
        <v>3</v>
      </c>
      <c r="E303" s="69" t="d">
        <v>2026-01-18T19:53:46.00000016391277275</v>
      </c>
    </row>
    <row r="304" spans="1:5" ht="16" x14ac:dyDescent="0.2">
      <c r="A304" s="66" t="s">
        <v>3049</v>
      </c>
      <c r="B304" s="67" t="s">
        <v>3067</v>
      </c>
      <c r="C304" s="67" t="s">
        <v>3411</v>
      </c>
      <c r="D304" s="68">
        <v>3</v>
      </c>
      <c r="E304" s="69" t="d">
        <v>2026-01-18T19:53:46.00000016391277275</v>
      </c>
    </row>
    <row r="305" spans="1:5" ht="16" x14ac:dyDescent="0.2">
      <c r="A305" s="66" t="s">
        <v>3049</v>
      </c>
      <c r="B305" s="67" t="s">
        <v>3067</v>
      </c>
      <c r="C305" s="67" t="s">
        <v>3412</v>
      </c>
      <c r="D305" s="68">
        <v>3</v>
      </c>
      <c r="E305" s="69" t="d">
        <v>2026-01-18T19:53:46.00000016391277275</v>
      </c>
    </row>
    <row r="306" spans="1:5" ht="16" x14ac:dyDescent="0.2">
      <c r="A306" s="66" t="s">
        <v>3049</v>
      </c>
      <c r="B306" s="67" t="s">
        <v>3067</v>
      </c>
      <c r="C306" s="67" t="s">
        <v>3413</v>
      </c>
      <c r="D306" s="68">
        <v>3</v>
      </c>
      <c r="E306" s="69" t="d">
        <v>2026-01-18T19:53:46.00000016391277275</v>
      </c>
    </row>
    <row r="307" spans="1:5" ht="16" x14ac:dyDescent="0.2">
      <c r="A307" s="66" t="s">
        <v>3049</v>
      </c>
      <c r="B307" s="67" t="s">
        <v>3067</v>
      </c>
      <c r="C307" s="67" t="s">
        <v>3414</v>
      </c>
      <c r="D307" s="68">
        <v>3</v>
      </c>
      <c r="E307" s="69" t="d">
        <v>2026-01-22T12:11:37.000000113621354375</v>
      </c>
    </row>
    <row r="308" spans="1:5" ht="16" x14ac:dyDescent="0.2">
      <c r="A308" s="66" t="s">
        <v>3049</v>
      </c>
      <c r="B308" s="67" t="s">
        <v>3068</v>
      </c>
      <c r="C308" s="67" t="s">
        <v>3403</v>
      </c>
      <c r="D308" s="68">
        <v>3</v>
      </c>
      <c r="E308" s="69" t="d">
        <v>2026-01-18T19:53:46.00000016391277275</v>
      </c>
    </row>
    <row r="309" spans="1:5" ht="16" x14ac:dyDescent="0.2">
      <c r="A309" s="66" t="s">
        <v>3049</v>
      </c>
      <c r="B309" s="67" t="s">
        <v>3068</v>
      </c>
      <c r="C309" s="67" t="s">
        <v>3398</v>
      </c>
      <c r="D309" s="68">
        <v>3</v>
      </c>
      <c r="E309" s="69" t="d">
        <v>2026-01-18T19:53:46.00000016391277275</v>
      </c>
    </row>
    <row r="310" spans="1:5" ht="16" x14ac:dyDescent="0.2">
      <c r="A310" s="66" t="s">
        <v>3049</v>
      </c>
      <c r="B310" s="67" t="s">
        <v>3068</v>
      </c>
      <c r="C310" s="67" t="s">
        <v>3399</v>
      </c>
      <c r="D310" s="68">
        <v>3</v>
      </c>
      <c r="E310" s="69" t="d">
        <v>2026-01-18T19:53:46.00000016391277275</v>
      </c>
    </row>
    <row r="311" spans="1:5" ht="16" x14ac:dyDescent="0.2">
      <c r="A311" s="66" t="s">
        <v>3049</v>
      </c>
      <c r="B311" s="67" t="s">
        <v>3068</v>
      </c>
      <c r="C311" s="67" t="s">
        <v>3400</v>
      </c>
      <c r="D311" s="68">
        <v>3</v>
      </c>
      <c r="E311" s="69" t="d">
        <v>2026-01-18T19:53:46.00000016391277275</v>
      </c>
    </row>
    <row r="312" spans="1:5" ht="16" x14ac:dyDescent="0.2">
      <c r="A312" s="66" t="s">
        <v>3049</v>
      </c>
      <c r="B312" s="67" t="s">
        <v>3068</v>
      </c>
      <c r="C312" s="67" t="s">
        <v>3401</v>
      </c>
      <c r="D312" s="68">
        <v>3</v>
      </c>
      <c r="E312" s="69" t="d">
        <v>2026-01-18T19:53:46.00000016391277275</v>
      </c>
    </row>
    <row r="313" spans="1:5" ht="16" x14ac:dyDescent="0.2">
      <c r="A313" s="66" t="s">
        <v>3049</v>
      </c>
      <c r="B313" s="67" t="s">
        <v>3068</v>
      </c>
      <c r="C313" s="67" t="s">
        <v>3402</v>
      </c>
      <c r="D313" s="68">
        <v>3</v>
      </c>
      <c r="E313" s="69" t="d">
        <v>2026-01-18T19:53:46.00000016391277275</v>
      </c>
    </row>
    <row r="314" spans="1:5" ht="16" x14ac:dyDescent="0.2">
      <c r="A314" s="66" t="s">
        <v>3049</v>
      </c>
      <c r="B314" s="67" t="s">
        <v>3068</v>
      </c>
      <c r="C314" s="67" t="s">
        <v>3404</v>
      </c>
      <c r="D314" s="68">
        <v>3</v>
      </c>
      <c r="E314" s="69" t="d">
        <v>2026-01-18T19:53:46.00000016391277275</v>
      </c>
    </row>
    <row r="315" spans="1:5" ht="16" x14ac:dyDescent="0.2">
      <c r="A315" s="66" t="s">
        <v>3049</v>
      </c>
      <c r="B315" s="67" t="s">
        <v>3068</v>
      </c>
      <c r="C315" s="67" t="s">
        <v>3405</v>
      </c>
      <c r="D315" s="68">
        <v>3</v>
      </c>
      <c r="E315" s="69" t="d">
        <v>2026-01-18T19:53:46.00000016391277275</v>
      </c>
    </row>
    <row r="316" spans="1:5" ht="16" x14ac:dyDescent="0.2">
      <c r="A316" s="66" t="s">
        <v>3049</v>
      </c>
      <c r="B316" s="67" t="s">
        <v>3068</v>
      </c>
      <c r="C316" s="67" t="s">
        <v>3406</v>
      </c>
      <c r="D316" s="68">
        <v>3</v>
      </c>
      <c r="E316" s="69" t="d">
        <v>2026-01-18T19:53:46.00000016391277275</v>
      </c>
    </row>
    <row r="317" spans="1:5" ht="16" x14ac:dyDescent="0.2">
      <c r="A317" s="66" t="s">
        <v>3049</v>
      </c>
      <c r="B317" s="67" t="s">
        <v>3068</v>
      </c>
      <c r="C317" s="67" t="s">
        <v>3407</v>
      </c>
      <c r="D317" s="68">
        <v>3</v>
      </c>
      <c r="E317" s="69" t="d">
        <v>2026-01-18T19:53:46.00000016391277275</v>
      </c>
    </row>
    <row r="318" spans="1:5" ht="16" x14ac:dyDescent="0.2">
      <c r="A318" s="66" t="s">
        <v>3049</v>
      </c>
      <c r="B318" s="67" t="s">
        <v>3068</v>
      </c>
      <c r="C318" s="67" t="s">
        <v>3408</v>
      </c>
      <c r="D318" s="68">
        <v>3</v>
      </c>
      <c r="E318" s="69" t="d">
        <v>2026-01-18T19:53:46.00000016391277275</v>
      </c>
    </row>
    <row r="319" spans="1:5" ht="16" x14ac:dyDescent="0.2">
      <c r="A319" s="66" t="s">
        <v>3049</v>
      </c>
      <c r="B319" s="67" t="s">
        <v>3068</v>
      </c>
      <c r="C319" s="67" t="s">
        <v>3409</v>
      </c>
      <c r="D319" s="68">
        <v>3</v>
      </c>
      <c r="E319" s="69" t="d">
        <v>2026-01-18T19:53:46.00000016391277275</v>
      </c>
    </row>
    <row r="320" spans="1:5" ht="16" x14ac:dyDescent="0.2">
      <c r="A320" s="66" t="s">
        <v>3049</v>
      </c>
      <c r="B320" s="67" t="s">
        <v>3068</v>
      </c>
      <c r="C320" s="67" t="s">
        <v>3410</v>
      </c>
      <c r="D320" s="68">
        <v>3</v>
      </c>
      <c r="E320" s="69" t="d">
        <v>2026-01-18T19:53:46.00000016391277275</v>
      </c>
    </row>
    <row r="321" spans="1:5" ht="16" x14ac:dyDescent="0.2">
      <c r="A321" s="66" t="s">
        <v>3049</v>
      </c>
      <c r="B321" s="67" t="s">
        <v>3068</v>
      </c>
      <c r="C321" s="67" t="s">
        <v>3411</v>
      </c>
      <c r="D321" s="68">
        <v>3</v>
      </c>
      <c r="E321" s="69" t="d">
        <v>2026-01-18T19:53:46.00000016391277275</v>
      </c>
    </row>
    <row r="322" spans="1:5" ht="16" x14ac:dyDescent="0.2">
      <c r="A322" s="66" t="s">
        <v>3049</v>
      </c>
      <c r="B322" s="67" t="s">
        <v>3068</v>
      </c>
      <c r="C322" s="67" t="s">
        <v>3412</v>
      </c>
      <c r="D322" s="68">
        <v>3</v>
      </c>
      <c r="E322" s="69" t="d">
        <v>2026-01-18T19:53:46.00000016391277275</v>
      </c>
    </row>
    <row r="323" spans="1:5" ht="16" x14ac:dyDescent="0.2">
      <c r="A323" s="66" t="s">
        <v>3049</v>
      </c>
      <c r="B323" s="67" t="s">
        <v>3068</v>
      </c>
      <c r="C323" s="67" t="s">
        <v>3413</v>
      </c>
      <c r="D323" s="68">
        <v>3</v>
      </c>
      <c r="E323" s="69" t="d">
        <v>2026-01-18T19:53:46.00000016391277275</v>
      </c>
    </row>
    <row r="324" spans="1:5" ht="16" x14ac:dyDescent="0.2">
      <c r="A324" s="66" t="s">
        <v>3049</v>
      </c>
      <c r="B324" s="67" t="s">
        <v>3068</v>
      </c>
      <c r="C324" s="67" t="s">
        <v>3414</v>
      </c>
      <c r="D324" s="68">
        <v>3</v>
      </c>
      <c r="E324" s="69" t="d">
        <v>2026-01-22T12:11:37.000000113621354375</v>
      </c>
    </row>
    <row r="325" spans="1:5" ht="16" x14ac:dyDescent="0.2">
      <c r="A325" s="66" t="s">
        <v>3049</v>
      </c>
      <c r="B325" s="67" t="s">
        <v>3069</v>
      </c>
      <c r="C325" s="67" t="s">
        <v>3403</v>
      </c>
      <c r="D325" s="68">
        <v>3</v>
      </c>
      <c r="E325" s="69" t="d">
        <v>2026-01-18T19:53:46.00000016391277275</v>
      </c>
    </row>
    <row r="326" spans="1:5" ht="16" x14ac:dyDescent="0.2">
      <c r="A326" s="66" t="s">
        <v>3049</v>
      </c>
      <c r="B326" s="67" t="s">
        <v>3069</v>
      </c>
      <c r="C326" s="67" t="s">
        <v>3398</v>
      </c>
      <c r="D326" s="68">
        <v>3</v>
      </c>
      <c r="E326" s="69" t="d">
        <v>2026-01-18T19:53:46.00000016391277275</v>
      </c>
    </row>
    <row r="327" spans="1:5" ht="16" x14ac:dyDescent="0.2">
      <c r="A327" s="66" t="s">
        <v>3049</v>
      </c>
      <c r="B327" s="67" t="s">
        <v>3069</v>
      </c>
      <c r="C327" s="67" t="s">
        <v>3399</v>
      </c>
      <c r="D327" s="68">
        <v>3</v>
      </c>
      <c r="E327" s="69" t="d">
        <v>2026-01-18T19:53:46.00000016391277275</v>
      </c>
    </row>
    <row r="328" spans="1:5" ht="16" x14ac:dyDescent="0.2">
      <c r="A328" s="66" t="s">
        <v>3049</v>
      </c>
      <c r="B328" s="67" t="s">
        <v>3069</v>
      </c>
      <c r="C328" s="67" t="s">
        <v>3400</v>
      </c>
      <c r="D328" s="68">
        <v>3</v>
      </c>
      <c r="E328" s="69" t="d">
        <v>2026-01-18T19:53:46.00000016391277275</v>
      </c>
    </row>
    <row r="329" spans="1:5" ht="16" x14ac:dyDescent="0.2">
      <c r="A329" s="66" t="s">
        <v>3049</v>
      </c>
      <c r="B329" s="67" t="s">
        <v>3069</v>
      </c>
      <c r="C329" s="67" t="s">
        <v>3401</v>
      </c>
      <c r="D329" s="68">
        <v>3</v>
      </c>
      <c r="E329" s="69" t="d">
        <v>2026-01-18T19:53:46.00000016391277275</v>
      </c>
    </row>
    <row r="330" spans="1:5" ht="16" x14ac:dyDescent="0.2">
      <c r="A330" s="66" t="s">
        <v>3049</v>
      </c>
      <c r="B330" s="67" t="s">
        <v>3069</v>
      </c>
      <c r="C330" s="67" t="s">
        <v>3402</v>
      </c>
      <c r="D330" s="68">
        <v>3</v>
      </c>
      <c r="E330" s="69" t="d">
        <v>2026-01-18T19:53:46.00000016391277275</v>
      </c>
    </row>
    <row r="331" spans="1:5" ht="16" x14ac:dyDescent="0.2">
      <c r="A331" s="66" t="s">
        <v>3049</v>
      </c>
      <c r="B331" s="67" t="s">
        <v>3069</v>
      </c>
      <c r="C331" s="67" t="s">
        <v>3404</v>
      </c>
      <c r="D331" s="68">
        <v>3</v>
      </c>
      <c r="E331" s="69" t="d">
        <v>2026-01-18T19:53:46.00000016391277275</v>
      </c>
    </row>
    <row r="332" spans="1:5" ht="16" x14ac:dyDescent="0.2">
      <c r="A332" s="66" t="s">
        <v>3049</v>
      </c>
      <c r="B332" s="67" t="s">
        <v>3069</v>
      </c>
      <c r="C332" s="67" t="s">
        <v>3405</v>
      </c>
      <c r="D332" s="68">
        <v>3</v>
      </c>
      <c r="E332" s="69" t="d">
        <v>2026-01-18T19:53:46.00000016391277275</v>
      </c>
    </row>
    <row r="333" spans="1:5" ht="16" x14ac:dyDescent="0.2">
      <c r="A333" s="66" t="s">
        <v>3049</v>
      </c>
      <c r="B333" s="67" t="s">
        <v>3069</v>
      </c>
      <c r="C333" s="67" t="s">
        <v>3406</v>
      </c>
      <c r="D333" s="68">
        <v>3</v>
      </c>
      <c r="E333" s="69" t="d">
        <v>2026-01-18T19:53:46.00000016391277275</v>
      </c>
    </row>
    <row r="334" spans="1:5" ht="16" x14ac:dyDescent="0.2">
      <c r="A334" s="66" t="s">
        <v>3049</v>
      </c>
      <c r="B334" s="67" t="s">
        <v>3069</v>
      </c>
      <c r="C334" s="67" t="s">
        <v>3407</v>
      </c>
      <c r="D334" s="68">
        <v>3</v>
      </c>
      <c r="E334" s="69" t="d">
        <v>2026-01-18T19:53:46.00000016391277275</v>
      </c>
    </row>
    <row r="335" spans="1:5" ht="16" x14ac:dyDescent="0.2">
      <c r="A335" s="66" t="s">
        <v>3049</v>
      </c>
      <c r="B335" s="67" t="s">
        <v>3069</v>
      </c>
      <c r="C335" s="67" t="s">
        <v>3408</v>
      </c>
      <c r="D335" s="68">
        <v>3</v>
      </c>
      <c r="E335" s="69" t="d">
        <v>2026-01-18T19:53:46.00000016391277275</v>
      </c>
    </row>
    <row r="336" spans="1:5" ht="16" x14ac:dyDescent="0.2">
      <c r="A336" s="66" t="s">
        <v>3049</v>
      </c>
      <c r="B336" s="67" t="s">
        <v>3069</v>
      </c>
      <c r="C336" s="67" t="s">
        <v>3409</v>
      </c>
      <c r="D336" s="68">
        <v>3</v>
      </c>
      <c r="E336" s="69" t="d">
        <v>2026-01-18T19:53:46.99999976903200050</v>
      </c>
    </row>
    <row r="337" spans="1:5" ht="16" x14ac:dyDescent="0.2">
      <c r="A337" s="66" t="s">
        <v>3049</v>
      </c>
      <c r="B337" s="67" t="s">
        <v>3069</v>
      </c>
      <c r="C337" s="67" t="s">
        <v>3410</v>
      </c>
      <c r="D337" s="68">
        <v>3</v>
      </c>
      <c r="E337" s="69" t="d">
        <v>2026-01-18T19:53:46.99999976903200050</v>
      </c>
    </row>
    <row r="338" spans="1:5" ht="16" x14ac:dyDescent="0.2">
      <c r="A338" s="66" t="s">
        <v>3049</v>
      </c>
      <c r="B338" s="67" t="s">
        <v>3069</v>
      </c>
      <c r="C338" s="67" t="s">
        <v>3411</v>
      </c>
      <c r="D338" s="68">
        <v>3</v>
      </c>
      <c r="E338" s="69" t="d">
        <v>2026-01-18T19:53:46.99999976903200050</v>
      </c>
    </row>
    <row r="339" spans="1:5" ht="16" x14ac:dyDescent="0.2">
      <c r="A339" s="66" t="s">
        <v>3049</v>
      </c>
      <c r="B339" s="67" t="s">
        <v>3069</v>
      </c>
      <c r="C339" s="67" t="s">
        <v>3412</v>
      </c>
      <c r="D339" s="68">
        <v>3</v>
      </c>
      <c r="E339" s="69" t="d">
        <v>2026-01-18T19:53:46.99999976903200050</v>
      </c>
    </row>
    <row r="340" spans="1:5" ht="16" x14ac:dyDescent="0.2">
      <c r="A340" s="66" t="s">
        <v>3049</v>
      </c>
      <c r="B340" s="67" t="s">
        <v>3069</v>
      </c>
      <c r="C340" s="67" t="s">
        <v>3413</v>
      </c>
      <c r="D340" s="68">
        <v>3</v>
      </c>
      <c r="E340" s="69" t="d">
        <v>2026-01-18T19:53:46.99999976903200050</v>
      </c>
    </row>
    <row r="341" spans="1:5" ht="16" x14ac:dyDescent="0.2">
      <c r="A341" s="66" t="s">
        <v>3049</v>
      </c>
      <c r="B341" s="67" t="s">
        <v>3069</v>
      </c>
      <c r="C341" s="67" t="s">
        <v>3414</v>
      </c>
      <c r="D341" s="68">
        <v>3</v>
      </c>
      <c r="E341" s="69" t="d">
        <v>2026-01-22T12:11:37.000000113621354375</v>
      </c>
    </row>
    <row r="342" spans="1:5" ht="16" x14ac:dyDescent="0.2">
      <c r="A342" s="66" t="s">
        <v>3049</v>
      </c>
      <c r="B342" s="67" t="s">
        <v>3070</v>
      </c>
      <c r="C342" s="67" t="s">
        <v>3403</v>
      </c>
      <c r="D342" s="68">
        <v>3</v>
      </c>
      <c r="E342" s="69" t="d">
        <v>2026-01-18T19:53:46.99999976903200050</v>
      </c>
    </row>
    <row r="343" spans="1:5" ht="16" x14ac:dyDescent="0.2">
      <c r="A343" s="66" t="s">
        <v>3049</v>
      </c>
      <c r="B343" s="67" t="s">
        <v>3070</v>
      </c>
      <c r="C343" s="67" t="s">
        <v>3398</v>
      </c>
      <c r="D343" s="68">
        <v>3</v>
      </c>
      <c r="E343" s="69" t="d">
        <v>2026-01-18T19:53:46.99999976903200050</v>
      </c>
    </row>
    <row r="344" spans="1:5" ht="16" x14ac:dyDescent="0.2">
      <c r="A344" s="66" t="s">
        <v>3049</v>
      </c>
      <c r="B344" s="67" t="s">
        <v>3070</v>
      </c>
      <c r="C344" s="67" t="s">
        <v>3399</v>
      </c>
      <c r="D344" s="68">
        <v>3</v>
      </c>
      <c r="E344" s="69" t="d">
        <v>2026-01-18T19:53:46.99999976903200050</v>
      </c>
    </row>
    <row r="345" spans="1:5" ht="16" x14ac:dyDescent="0.2">
      <c r="A345" s="66" t="s">
        <v>3049</v>
      </c>
      <c r="B345" s="67" t="s">
        <v>3070</v>
      </c>
      <c r="C345" s="67" t="s">
        <v>3400</v>
      </c>
      <c r="D345" s="68">
        <v>3</v>
      </c>
      <c r="E345" s="69" t="d">
        <v>2026-01-18T19:53:46.99999976903200050</v>
      </c>
    </row>
    <row r="346" spans="1:5" ht="16" x14ac:dyDescent="0.2">
      <c r="A346" s="66" t="s">
        <v>3049</v>
      </c>
      <c r="B346" s="67" t="s">
        <v>3070</v>
      </c>
      <c r="C346" s="67" t="s">
        <v>3401</v>
      </c>
      <c r="D346" s="68">
        <v>3</v>
      </c>
      <c r="E346" s="69" t="d">
        <v>2026-01-18T19:53:46.99999976903200050</v>
      </c>
    </row>
    <row r="347" spans="1:5" ht="16" x14ac:dyDescent="0.2">
      <c r="A347" s="66" t="s">
        <v>3049</v>
      </c>
      <c r="B347" s="67" t="s">
        <v>3070</v>
      </c>
      <c r="C347" s="67" t="s">
        <v>3402</v>
      </c>
      <c r="D347" s="68">
        <v>3</v>
      </c>
      <c r="E347" s="69" t="d">
        <v>2026-01-18T19:53:46.99999976903200050</v>
      </c>
    </row>
    <row r="348" spans="1:5" ht="16" x14ac:dyDescent="0.2">
      <c r="A348" s="66" t="s">
        <v>3049</v>
      </c>
      <c r="B348" s="67" t="s">
        <v>3070</v>
      </c>
      <c r="C348" s="67" t="s">
        <v>3404</v>
      </c>
      <c r="D348" s="68">
        <v>3</v>
      </c>
      <c r="E348" s="69" t="d">
        <v>2026-01-18T19:53:46.99999976903200050</v>
      </c>
    </row>
    <row r="349" spans="1:5" ht="16" x14ac:dyDescent="0.2">
      <c r="A349" s="66" t="s">
        <v>3049</v>
      </c>
      <c r="B349" s="67" t="s">
        <v>3070</v>
      </c>
      <c r="C349" s="67" t="s">
        <v>3405</v>
      </c>
      <c r="D349" s="68">
        <v>3</v>
      </c>
      <c r="E349" s="69" t="d">
        <v>2026-01-18T19:53:46.99999976903200050</v>
      </c>
    </row>
    <row r="350" spans="1:5" ht="16" x14ac:dyDescent="0.2">
      <c r="A350" s="66" t="s">
        <v>3049</v>
      </c>
      <c r="B350" s="67" t="s">
        <v>3070</v>
      </c>
      <c r="C350" s="67" t="s">
        <v>3406</v>
      </c>
      <c r="D350" s="68">
        <v>3</v>
      </c>
      <c r="E350" s="69" t="d">
        <v>2026-01-18T19:53:46.99999976903200050</v>
      </c>
    </row>
    <row r="351" spans="1:5" ht="16" x14ac:dyDescent="0.2">
      <c r="A351" s="66" t="s">
        <v>3049</v>
      </c>
      <c r="B351" s="67" t="s">
        <v>3070</v>
      </c>
      <c r="C351" s="67" t="s">
        <v>3407</v>
      </c>
      <c r="D351" s="68">
        <v>3</v>
      </c>
      <c r="E351" s="69" t="d">
        <v>2026-01-18T19:53:46.99999976903200050</v>
      </c>
    </row>
    <row r="352" spans="1:5" ht="16" x14ac:dyDescent="0.2">
      <c r="A352" s="66" t="s">
        <v>3049</v>
      </c>
      <c r="B352" s="67" t="s">
        <v>3070</v>
      </c>
      <c r="C352" s="67" t="s">
        <v>3408</v>
      </c>
      <c r="D352" s="68">
        <v>3</v>
      </c>
      <c r="E352" s="69" t="d">
        <v>2026-01-18T19:53:46.99999976903200050</v>
      </c>
    </row>
    <row r="353" spans="1:5" ht="16" x14ac:dyDescent="0.2">
      <c r="A353" s="66" t="s">
        <v>3049</v>
      </c>
      <c r="B353" s="67" t="s">
        <v>3070</v>
      </c>
      <c r="C353" s="67" t="s">
        <v>3409</v>
      </c>
      <c r="D353" s="68">
        <v>3</v>
      </c>
      <c r="E353" s="69" t="d">
        <v>2026-01-18T19:53:46.99999976903200050</v>
      </c>
    </row>
    <row r="354" spans="1:5" ht="16" x14ac:dyDescent="0.2">
      <c r="A354" s="66" t="s">
        <v>3049</v>
      </c>
      <c r="B354" s="67" t="s">
        <v>3070</v>
      </c>
      <c r="C354" s="67" t="s">
        <v>3410</v>
      </c>
      <c r="D354" s="68">
        <v>3</v>
      </c>
      <c r="E354" s="69" t="d">
        <v>2026-01-18T19:53:46.99999976903200050</v>
      </c>
    </row>
    <row r="355" spans="1:5" ht="16" x14ac:dyDescent="0.2">
      <c r="A355" s="66" t="s">
        <v>3049</v>
      </c>
      <c r="B355" s="67" t="s">
        <v>3070</v>
      </c>
      <c r="C355" s="67" t="s">
        <v>3411</v>
      </c>
      <c r="D355" s="68">
        <v>3</v>
      </c>
      <c r="E355" s="69" t="d">
        <v>2026-01-18T19:53:46.99999976903200050</v>
      </c>
    </row>
    <row r="356" spans="1:5" ht="16" x14ac:dyDescent="0.2">
      <c r="A356" s="66" t="s">
        <v>3049</v>
      </c>
      <c r="B356" s="67" t="s">
        <v>3070</v>
      </c>
      <c r="C356" s="67" t="s">
        <v>3412</v>
      </c>
      <c r="D356" s="68">
        <v>3</v>
      </c>
      <c r="E356" s="69" t="d">
        <v>2026-01-18T19:53:46.99999976903200050</v>
      </c>
    </row>
    <row r="357" spans="1:5" ht="16" x14ac:dyDescent="0.2">
      <c r="A357" s="66" t="s">
        <v>3049</v>
      </c>
      <c r="B357" s="67" t="s">
        <v>3070</v>
      </c>
      <c r="C357" s="67" t="s">
        <v>3413</v>
      </c>
      <c r="D357" s="68">
        <v>3</v>
      </c>
      <c r="E357" s="69" t="d">
        <v>2026-01-18T19:53:46.99999976903200050</v>
      </c>
    </row>
    <row r="358" spans="1:5" ht="16" x14ac:dyDescent="0.2">
      <c r="A358" s="66" t="s">
        <v>3049</v>
      </c>
      <c r="B358" s="67" t="s">
        <v>3070</v>
      </c>
      <c r="C358" s="67" t="s">
        <v>3414</v>
      </c>
      <c r="D358" s="68">
        <v>3</v>
      </c>
      <c r="E358" s="69" t="d">
        <v>2026-01-22T12:11:37.000000113621354375</v>
      </c>
    </row>
    <row r="359" spans="1:5" ht="16" x14ac:dyDescent="0.2">
      <c r="A359" s="66" t="s">
        <v>3049</v>
      </c>
      <c r="B359" s="67" t="s">
        <v>3071</v>
      </c>
      <c r="C359" s="67" t="s">
        <v>3403</v>
      </c>
      <c r="D359" s="68">
        <v>3</v>
      </c>
      <c r="E359" s="69" t="d">
        <v>2026-01-18T19:53:46.99999976903200050</v>
      </c>
    </row>
    <row r="360" spans="1:5" ht="16" x14ac:dyDescent="0.2">
      <c r="A360" s="66" t="s">
        <v>3049</v>
      </c>
      <c r="B360" s="67" t="s">
        <v>3071</v>
      </c>
      <c r="C360" s="67" t="s">
        <v>3398</v>
      </c>
      <c r="D360" s="68">
        <v>3</v>
      </c>
      <c r="E360" s="69" t="d">
        <v>2026-01-18T19:53:46.99999976903200050</v>
      </c>
    </row>
    <row r="361" spans="1:5" ht="16" x14ac:dyDescent="0.2">
      <c r="A361" s="66" t="s">
        <v>3049</v>
      </c>
      <c r="B361" s="67" t="s">
        <v>3071</v>
      </c>
      <c r="C361" s="67" t="s">
        <v>3399</v>
      </c>
      <c r="D361" s="68">
        <v>3</v>
      </c>
      <c r="E361" s="69" t="d">
        <v>2026-01-18T19:53:46.99999976903200050</v>
      </c>
    </row>
    <row r="362" spans="1:5" ht="16" x14ac:dyDescent="0.2">
      <c r="A362" s="66" t="s">
        <v>3049</v>
      </c>
      <c r="B362" s="67" t="s">
        <v>3071</v>
      </c>
      <c r="C362" s="67" t="s">
        <v>3400</v>
      </c>
      <c r="D362" s="68">
        <v>3</v>
      </c>
      <c r="E362" s="69" t="d">
        <v>2026-01-18T19:53:46.99999976903200050</v>
      </c>
    </row>
    <row r="363" spans="1:5" ht="16" x14ac:dyDescent="0.2">
      <c r="A363" s="66" t="s">
        <v>3049</v>
      </c>
      <c r="B363" s="67" t="s">
        <v>3071</v>
      </c>
      <c r="C363" s="67" t="s">
        <v>3401</v>
      </c>
      <c r="D363" s="68">
        <v>3</v>
      </c>
      <c r="E363" s="69" t="d">
        <v>2026-01-18T19:53:46.99999976903200050</v>
      </c>
    </row>
    <row r="364" spans="1:5" ht="16" x14ac:dyDescent="0.2">
      <c r="A364" s="66" t="s">
        <v>3049</v>
      </c>
      <c r="B364" s="67" t="s">
        <v>3071</v>
      </c>
      <c r="C364" s="67" t="s">
        <v>3402</v>
      </c>
      <c r="D364" s="68">
        <v>3</v>
      </c>
      <c r="E364" s="69" t="d">
        <v>2026-01-18T19:53:46.99999976903200050</v>
      </c>
    </row>
    <row r="365" spans="1:5" ht="16" x14ac:dyDescent="0.2">
      <c r="A365" s="66" t="s">
        <v>3049</v>
      </c>
      <c r="B365" s="67" t="s">
        <v>3071</v>
      </c>
      <c r="C365" s="67" t="s">
        <v>3404</v>
      </c>
      <c r="D365" s="68">
        <v>3</v>
      </c>
      <c r="E365" s="69" t="d">
        <v>2026-01-18T19:53:46.99999976903200050</v>
      </c>
    </row>
    <row r="366" spans="1:5" ht="16" x14ac:dyDescent="0.2">
      <c r="A366" s="66" t="s">
        <v>3049</v>
      </c>
      <c r="B366" s="67" t="s">
        <v>3071</v>
      </c>
      <c r="C366" s="67" t="s">
        <v>3405</v>
      </c>
      <c r="D366" s="68">
        <v>3</v>
      </c>
      <c r="E366" s="69" t="d">
        <v>2026-01-18T19:53:46.99999976903200050</v>
      </c>
    </row>
    <row r="367" spans="1:5" ht="16" x14ac:dyDescent="0.2">
      <c r="A367" s="66" t="s">
        <v>3049</v>
      </c>
      <c r="B367" s="67" t="s">
        <v>3071</v>
      </c>
      <c r="C367" s="67" t="s">
        <v>3406</v>
      </c>
      <c r="D367" s="68">
        <v>3</v>
      </c>
      <c r="E367" s="69" t="d">
        <v>2026-01-18T19:53:48.00000000279396975</v>
      </c>
    </row>
    <row r="368" spans="1:5" ht="16" x14ac:dyDescent="0.2">
      <c r="A368" s="66" t="s">
        <v>3049</v>
      </c>
      <c r="B368" s="67" t="s">
        <v>3071</v>
      </c>
      <c r="C368" s="67" t="s">
        <v>3407</v>
      </c>
      <c r="D368" s="68">
        <v>3</v>
      </c>
      <c r="E368" s="69" t="d">
        <v>2026-01-18T19:53:48.00000000279396975</v>
      </c>
    </row>
    <row r="369" spans="1:5" ht="16" x14ac:dyDescent="0.2">
      <c r="A369" s="66" t="s">
        <v>3049</v>
      </c>
      <c r="B369" s="67" t="s">
        <v>3071</v>
      </c>
      <c r="C369" s="67" t="s">
        <v>3408</v>
      </c>
      <c r="D369" s="68">
        <v>3</v>
      </c>
      <c r="E369" s="69" t="d">
        <v>2026-01-18T19:53:48.00000000279396975</v>
      </c>
    </row>
    <row r="370" spans="1:5" ht="16" x14ac:dyDescent="0.2">
      <c r="A370" s="66" t="s">
        <v>3049</v>
      </c>
      <c r="B370" s="67" t="s">
        <v>3071</v>
      </c>
      <c r="C370" s="67" t="s">
        <v>3409</v>
      </c>
      <c r="D370" s="68">
        <v>3</v>
      </c>
      <c r="E370" s="69" t="d">
        <v>2026-01-18T19:53:48.00000000279396975</v>
      </c>
    </row>
    <row r="371" spans="1:5" ht="16" x14ac:dyDescent="0.2">
      <c r="A371" s="66" t="s">
        <v>3049</v>
      </c>
      <c r="B371" s="67" t="s">
        <v>3071</v>
      </c>
      <c r="C371" s="67" t="s">
        <v>3410</v>
      </c>
      <c r="D371" s="68">
        <v>3</v>
      </c>
      <c r="E371" s="69" t="d">
        <v>2026-01-18T19:53:48.00000000279396975</v>
      </c>
    </row>
    <row r="372" spans="1:5" ht="16" x14ac:dyDescent="0.2">
      <c r="A372" s="66" t="s">
        <v>3049</v>
      </c>
      <c r="B372" s="67" t="s">
        <v>3071</v>
      </c>
      <c r="C372" s="67" t="s">
        <v>3411</v>
      </c>
      <c r="D372" s="68">
        <v>3</v>
      </c>
      <c r="E372" s="69" t="d">
        <v>2026-01-18T19:53:48.00000000279396975</v>
      </c>
    </row>
    <row r="373" spans="1:5" ht="16" x14ac:dyDescent="0.2">
      <c r="A373" s="66" t="s">
        <v>3049</v>
      </c>
      <c r="B373" s="67" t="s">
        <v>3071</v>
      </c>
      <c r="C373" s="67" t="s">
        <v>3412</v>
      </c>
      <c r="D373" s="68">
        <v>3</v>
      </c>
      <c r="E373" s="69" t="d">
        <v>2026-01-18T19:53:48.00000000279396975</v>
      </c>
    </row>
    <row r="374" spans="1:5" ht="16" x14ac:dyDescent="0.2">
      <c r="A374" s="66" t="s">
        <v>3049</v>
      </c>
      <c r="B374" s="67" t="s">
        <v>3071</v>
      </c>
      <c r="C374" s="67" t="s">
        <v>3413</v>
      </c>
      <c r="D374" s="68">
        <v>3</v>
      </c>
      <c r="E374" s="69" t="d">
        <v>2026-01-18T19:53:48.00000000279396975</v>
      </c>
    </row>
    <row r="375" spans="1:5" ht="16" x14ac:dyDescent="0.2">
      <c r="A375" s="66" t="s">
        <v>3049</v>
      </c>
      <c r="B375" s="67" t="s">
        <v>3071</v>
      </c>
      <c r="C375" s="67" t="s">
        <v>3414</v>
      </c>
      <c r="D375" s="68">
        <v>3</v>
      </c>
      <c r="E375" s="69" t="d">
        <v>2026-01-22T12:11:37.000000113621354375</v>
      </c>
    </row>
    <row r="376" spans="1:5" ht="16" x14ac:dyDescent="0.2">
      <c r="A376" s="66" t="s">
        <v>3049</v>
      </c>
      <c r="B376" s="67" t="s">
        <v>3072</v>
      </c>
      <c r="C376" s="67" t="s">
        <v>3403</v>
      </c>
      <c r="D376" s="68">
        <v>3</v>
      </c>
      <c r="E376" s="69" t="d">
        <v>2026-01-18T19:53:48.00000000279396975</v>
      </c>
    </row>
    <row r="377" spans="1:5" ht="16" x14ac:dyDescent="0.2">
      <c r="A377" s="66" t="s">
        <v>3049</v>
      </c>
      <c r="B377" s="67" t="s">
        <v>3072</v>
      </c>
      <c r="C377" s="67" t="s">
        <v>3398</v>
      </c>
      <c r="D377" s="68">
        <v>3</v>
      </c>
      <c r="E377" s="69" t="d">
        <v>2026-01-18T19:53:48.00000000279396975</v>
      </c>
    </row>
    <row r="378" spans="1:5" ht="16" x14ac:dyDescent="0.2">
      <c r="A378" s="66" t="s">
        <v>3049</v>
      </c>
      <c r="B378" s="67" t="s">
        <v>3072</v>
      </c>
      <c r="C378" s="67" t="s">
        <v>3399</v>
      </c>
      <c r="D378" s="68">
        <v>3</v>
      </c>
      <c r="E378" s="69" t="d">
        <v>2026-01-18T19:53:48.00000000279396975</v>
      </c>
    </row>
    <row r="379" spans="1:5" ht="16" x14ac:dyDescent="0.2">
      <c r="A379" s="66" t="s">
        <v>3049</v>
      </c>
      <c r="B379" s="67" t="s">
        <v>3072</v>
      </c>
      <c r="C379" s="67" t="s">
        <v>3400</v>
      </c>
      <c r="D379" s="68">
        <v>3</v>
      </c>
      <c r="E379" s="69" t="d">
        <v>2026-01-18T19:53:48.00000000279396975</v>
      </c>
    </row>
    <row r="380" spans="1:5" ht="16" x14ac:dyDescent="0.2">
      <c r="A380" s="66" t="s">
        <v>3049</v>
      </c>
      <c r="B380" s="67" t="s">
        <v>3072</v>
      </c>
      <c r="C380" s="67" t="s">
        <v>3401</v>
      </c>
      <c r="D380" s="68">
        <v>3</v>
      </c>
      <c r="E380" s="69" t="d">
        <v>2026-01-18T19:53:48.00000000279396975</v>
      </c>
    </row>
    <row r="381" spans="1:5" ht="16" x14ac:dyDescent="0.2">
      <c r="A381" s="66" t="s">
        <v>3049</v>
      </c>
      <c r="B381" s="67" t="s">
        <v>3072</v>
      </c>
      <c r="C381" s="67" t="s">
        <v>3402</v>
      </c>
      <c r="D381" s="68">
        <v>3</v>
      </c>
      <c r="E381" s="69" t="d">
        <v>2026-01-18T19:53:48.00000000279396975</v>
      </c>
    </row>
    <row r="382" spans="1:5" ht="16" x14ac:dyDescent="0.2">
      <c r="A382" s="66" t="s">
        <v>3049</v>
      </c>
      <c r="B382" s="67" t="s">
        <v>3072</v>
      </c>
      <c r="C382" s="67" t="s">
        <v>3404</v>
      </c>
      <c r="D382" s="68">
        <v>3</v>
      </c>
      <c r="E382" s="69" t="d">
        <v>2026-01-18T19:53:48.00000000279396975</v>
      </c>
    </row>
    <row r="383" spans="1:5" ht="16" x14ac:dyDescent="0.2">
      <c r="A383" s="66" t="s">
        <v>3049</v>
      </c>
      <c r="B383" s="67" t="s">
        <v>3072</v>
      </c>
      <c r="C383" s="67" t="s">
        <v>3405</v>
      </c>
      <c r="D383" s="68">
        <v>3</v>
      </c>
      <c r="E383" s="69" t="d">
        <v>2026-01-18T19:53:48.00000000279396975</v>
      </c>
    </row>
    <row r="384" spans="1:5" ht="16" x14ac:dyDescent="0.2">
      <c r="A384" s="66" t="s">
        <v>3049</v>
      </c>
      <c r="B384" s="67" t="s">
        <v>3072</v>
      </c>
      <c r="C384" s="67" t="s">
        <v>3406</v>
      </c>
      <c r="D384" s="68">
        <v>3</v>
      </c>
      <c r="E384" s="69" t="d">
        <v>2026-01-18T19:53:48.00000000279396975</v>
      </c>
    </row>
    <row r="385" spans="1:5" ht="16" x14ac:dyDescent="0.2">
      <c r="A385" s="66" t="s">
        <v>3049</v>
      </c>
      <c r="B385" s="67" t="s">
        <v>3072</v>
      </c>
      <c r="C385" s="67" t="s">
        <v>3407</v>
      </c>
      <c r="D385" s="68">
        <v>3</v>
      </c>
      <c r="E385" s="69" t="d">
        <v>2026-01-18T19:53:48.00000000279396975</v>
      </c>
    </row>
    <row r="386" spans="1:5" ht="16" x14ac:dyDescent="0.2">
      <c r="A386" s="66" t="s">
        <v>3049</v>
      </c>
      <c r="B386" s="67" t="s">
        <v>3072</v>
      </c>
      <c r="C386" s="67" t="s">
        <v>3408</v>
      </c>
      <c r="D386" s="68">
        <v>3</v>
      </c>
      <c r="E386" s="69" t="d">
        <v>2026-01-18T19:53:48.00000000279396975</v>
      </c>
    </row>
    <row r="387" spans="1:5" ht="16" x14ac:dyDescent="0.2">
      <c r="A387" s="66" t="s">
        <v>3049</v>
      </c>
      <c r="B387" s="67" t="s">
        <v>3072</v>
      </c>
      <c r="C387" s="67" t="s">
        <v>3409</v>
      </c>
      <c r="D387" s="68">
        <v>3</v>
      </c>
      <c r="E387" s="69" t="d">
        <v>2026-01-18T19:53:48.00000000279396975</v>
      </c>
    </row>
    <row r="388" spans="1:5" ht="16" x14ac:dyDescent="0.2">
      <c r="A388" s="66" t="s">
        <v>3049</v>
      </c>
      <c r="B388" s="67" t="s">
        <v>3072</v>
      </c>
      <c r="C388" s="67" t="s">
        <v>3410</v>
      </c>
      <c r="D388" s="68">
        <v>3</v>
      </c>
      <c r="E388" s="69" t="d">
        <v>2026-01-18T19:53:48.00000000279396975</v>
      </c>
    </row>
    <row r="389" spans="1:5" ht="16" x14ac:dyDescent="0.2">
      <c r="A389" s="66" t="s">
        <v>3049</v>
      </c>
      <c r="B389" s="67" t="s">
        <v>3072</v>
      </c>
      <c r="C389" s="67" t="s">
        <v>3411</v>
      </c>
      <c r="D389" s="68">
        <v>3</v>
      </c>
      <c r="E389" s="69" t="d">
        <v>2026-01-18T19:53:48.00000000279396975</v>
      </c>
    </row>
    <row r="390" spans="1:5" ht="16" x14ac:dyDescent="0.2">
      <c r="A390" s="66" t="s">
        <v>3049</v>
      </c>
      <c r="B390" s="67" t="s">
        <v>3072</v>
      </c>
      <c r="C390" s="67" t="s">
        <v>3412</v>
      </c>
      <c r="D390" s="68">
        <v>3</v>
      </c>
      <c r="E390" s="69" t="d">
        <v>2026-01-18T19:53:48.00000000279396975</v>
      </c>
    </row>
    <row r="391" spans="1:5" ht="16" x14ac:dyDescent="0.2">
      <c r="A391" s="66" t="s">
        <v>3049</v>
      </c>
      <c r="B391" s="67" t="s">
        <v>3072</v>
      </c>
      <c r="C391" s="67" t="s">
        <v>3413</v>
      </c>
      <c r="D391" s="68">
        <v>3</v>
      </c>
      <c r="E391" s="69" t="d">
        <v>2026-01-18T19:53:48.00000000279396975</v>
      </c>
    </row>
    <row r="392" spans="1:5" ht="16" x14ac:dyDescent="0.2">
      <c r="A392" s="66" t="s">
        <v>3049</v>
      </c>
      <c r="B392" s="67" t="s">
        <v>3072</v>
      </c>
      <c r="C392" s="67" t="s">
        <v>3414</v>
      </c>
      <c r="D392" s="68">
        <v>3</v>
      </c>
      <c r="E392" s="69" t="d">
        <v>2026-01-22T12:11:37.000000113621354375</v>
      </c>
    </row>
    <row r="393" spans="1:5" ht="16" x14ac:dyDescent="0.2">
      <c r="A393" s="66" t="s">
        <v>3049</v>
      </c>
      <c r="B393" s="67" t="s">
        <v>3073</v>
      </c>
      <c r="C393" s="67" t="s">
        <v>3403</v>
      </c>
      <c r="D393" s="68">
        <v>3</v>
      </c>
      <c r="E393" s="69" t="d">
        <v>2026-01-18T19:53:48.00000000279396975</v>
      </c>
    </row>
    <row r="394" spans="1:5" ht="16" x14ac:dyDescent="0.2">
      <c r="A394" s="66" t="s">
        <v>3049</v>
      </c>
      <c r="B394" s="67" t="s">
        <v>3073</v>
      </c>
      <c r="C394" s="67" t="s">
        <v>3398</v>
      </c>
      <c r="D394" s="68">
        <v>3</v>
      </c>
      <c r="E394" s="69" t="d">
        <v>2026-01-18T19:53:48.00000000279396975</v>
      </c>
    </row>
    <row r="395" spans="1:5" ht="16" x14ac:dyDescent="0.2">
      <c r="A395" s="66" t="s">
        <v>3049</v>
      </c>
      <c r="B395" s="67" t="s">
        <v>3073</v>
      </c>
      <c r="C395" s="67" t="s">
        <v>3399</v>
      </c>
      <c r="D395" s="68">
        <v>3</v>
      </c>
      <c r="E395" s="69" t="d">
        <v>2026-01-18T19:53:48.00000000279396975</v>
      </c>
    </row>
    <row r="396" spans="1:5" ht="16" x14ac:dyDescent="0.2">
      <c r="A396" s="66" t="s">
        <v>3049</v>
      </c>
      <c r="B396" s="67" t="s">
        <v>3073</v>
      </c>
      <c r="C396" s="67" t="s">
        <v>3400</v>
      </c>
      <c r="D396" s="68">
        <v>3</v>
      </c>
      <c r="E396" s="69" t="d">
        <v>2026-01-18T19:53:48.00000000279396975</v>
      </c>
    </row>
    <row r="397" spans="1:5" ht="16" x14ac:dyDescent="0.2">
      <c r="A397" s="66" t="s">
        <v>3049</v>
      </c>
      <c r="B397" s="67" t="s">
        <v>3073</v>
      </c>
      <c r="C397" s="67" t="s">
        <v>3401</v>
      </c>
      <c r="D397" s="68">
        <v>3</v>
      </c>
      <c r="E397" s="69" t="d">
        <v>2026-01-18T19:53:48.00000000279396975</v>
      </c>
    </row>
    <row r="398" spans="1:5" ht="16" x14ac:dyDescent="0.2">
      <c r="A398" s="66" t="s">
        <v>3049</v>
      </c>
      <c r="B398" s="67" t="s">
        <v>3073</v>
      </c>
      <c r="C398" s="67" t="s">
        <v>3402</v>
      </c>
      <c r="D398" s="68">
        <v>3</v>
      </c>
      <c r="E398" s="69" t="d">
        <v>2026-01-18T19:53:48.00000000279396975</v>
      </c>
    </row>
    <row r="399" spans="1:5" ht="16" x14ac:dyDescent="0.2">
      <c r="A399" s="66" t="s">
        <v>3049</v>
      </c>
      <c r="B399" s="67" t="s">
        <v>3073</v>
      </c>
      <c r="C399" s="67" t="s">
        <v>3404</v>
      </c>
      <c r="D399" s="68">
        <v>3</v>
      </c>
      <c r="E399" s="69" t="d">
        <v>2026-01-18T19:53:48.00000000279396975</v>
      </c>
    </row>
    <row r="400" spans="1:5" ht="16" x14ac:dyDescent="0.2">
      <c r="A400" s="66" t="s">
        <v>3049</v>
      </c>
      <c r="B400" s="67" t="s">
        <v>3073</v>
      </c>
      <c r="C400" s="67" t="s">
        <v>3405</v>
      </c>
      <c r="D400" s="68">
        <v>3</v>
      </c>
      <c r="E400" s="69" t="d">
        <v>2026-01-18T19:53:48.00000000279396975</v>
      </c>
    </row>
    <row r="401" spans="1:5" ht="16" x14ac:dyDescent="0.2">
      <c r="A401" s="66" t="s">
        <v>3049</v>
      </c>
      <c r="B401" s="67" t="s">
        <v>3073</v>
      </c>
      <c r="C401" s="67" t="s">
        <v>3406</v>
      </c>
      <c r="D401" s="68">
        <v>3</v>
      </c>
      <c r="E401" s="69" t="d">
        <v>2026-01-18T19:53:49.00000023655593225</v>
      </c>
    </row>
    <row r="402" spans="1:5" ht="16" x14ac:dyDescent="0.2">
      <c r="A402" s="66" t="s">
        <v>3049</v>
      </c>
      <c r="B402" s="67" t="s">
        <v>3073</v>
      </c>
      <c r="C402" s="67" t="s">
        <v>3407</v>
      </c>
      <c r="D402" s="68">
        <v>3</v>
      </c>
      <c r="E402" s="69" t="d">
        <v>2026-01-18T19:53:49.00000023655593225</v>
      </c>
    </row>
    <row r="403" spans="1:5" ht="16" x14ac:dyDescent="0.2">
      <c r="A403" s="66" t="s">
        <v>3049</v>
      </c>
      <c r="B403" s="67" t="s">
        <v>3073</v>
      </c>
      <c r="C403" s="67" t="s">
        <v>3408</v>
      </c>
      <c r="D403" s="68">
        <v>3</v>
      </c>
      <c r="E403" s="69" t="d">
        <v>2026-01-18T19:53:49.00000023655593225</v>
      </c>
    </row>
    <row r="404" spans="1:5" ht="16" x14ac:dyDescent="0.2">
      <c r="A404" s="66" t="s">
        <v>3049</v>
      </c>
      <c r="B404" s="67" t="s">
        <v>3073</v>
      </c>
      <c r="C404" s="67" t="s">
        <v>3409</v>
      </c>
      <c r="D404" s="68">
        <v>3</v>
      </c>
      <c r="E404" s="69" t="d">
        <v>2026-01-18T19:53:49.00000023655593225</v>
      </c>
    </row>
    <row r="405" spans="1:5" ht="16" x14ac:dyDescent="0.2">
      <c r="A405" s="66" t="s">
        <v>3049</v>
      </c>
      <c r="B405" s="67" t="s">
        <v>3073</v>
      </c>
      <c r="C405" s="67" t="s">
        <v>3410</v>
      </c>
      <c r="D405" s="68">
        <v>3</v>
      </c>
      <c r="E405" s="69" t="d">
        <v>2026-01-18T19:53:49.00000023655593225</v>
      </c>
    </row>
    <row r="406" spans="1:5" ht="16" x14ac:dyDescent="0.2">
      <c r="A406" s="66" t="s">
        <v>3049</v>
      </c>
      <c r="B406" s="67" t="s">
        <v>3073</v>
      </c>
      <c r="C406" s="67" t="s">
        <v>3411</v>
      </c>
      <c r="D406" s="68">
        <v>3</v>
      </c>
      <c r="E406" s="69" t="d">
        <v>2026-01-18T19:53:49.00000023655593225</v>
      </c>
    </row>
    <row r="407" spans="1:5" ht="16" x14ac:dyDescent="0.2">
      <c r="A407" s="66" t="s">
        <v>3049</v>
      </c>
      <c r="B407" s="67" t="s">
        <v>3073</v>
      </c>
      <c r="C407" s="67" t="s">
        <v>3412</v>
      </c>
      <c r="D407" s="68">
        <v>3</v>
      </c>
      <c r="E407" s="69" t="d">
        <v>2026-01-18T19:53:49.00000023655593225</v>
      </c>
    </row>
    <row r="408" spans="1:5" ht="16" x14ac:dyDescent="0.2">
      <c r="A408" s="66" t="s">
        <v>3049</v>
      </c>
      <c r="B408" s="67" t="s">
        <v>3073</v>
      </c>
      <c r="C408" s="67" t="s">
        <v>3413</v>
      </c>
      <c r="D408" s="68">
        <v>3</v>
      </c>
      <c r="E408" s="69" t="d">
        <v>2026-01-18T19:53:49.00000023655593225</v>
      </c>
    </row>
    <row r="409" spans="1:5" ht="16" x14ac:dyDescent="0.2">
      <c r="A409" s="66" t="s">
        <v>3049</v>
      </c>
      <c r="B409" s="67" t="s">
        <v>3073</v>
      </c>
      <c r="C409" s="67" t="s">
        <v>3414</v>
      </c>
      <c r="D409" s="68">
        <v>3</v>
      </c>
      <c r="E409" s="69" t="d">
        <v>2026-01-22T12:11:37.000000113621354375</v>
      </c>
    </row>
    <row r="410" spans="1:5" ht="16" x14ac:dyDescent="0.2">
      <c r="A410" s="66" t="s">
        <v>3049</v>
      </c>
      <c r="B410" s="67" t="s">
        <v>3074</v>
      </c>
      <c r="C410" s="67" t="s">
        <v>3403</v>
      </c>
      <c r="D410" s="68">
        <v>3</v>
      </c>
      <c r="E410" s="69" t="d">
        <v>2026-01-18T19:53:49.00000023655593225</v>
      </c>
    </row>
    <row r="411" spans="1:5" ht="16" x14ac:dyDescent="0.2">
      <c r="A411" s="66" t="s">
        <v>3049</v>
      </c>
      <c r="B411" s="67" t="s">
        <v>3074</v>
      </c>
      <c r="C411" s="67" t="s">
        <v>3398</v>
      </c>
      <c r="D411" s="68">
        <v>3</v>
      </c>
      <c r="E411" s="69" t="d">
        <v>2026-01-18T19:53:49.00000023655593225</v>
      </c>
    </row>
    <row r="412" spans="1:5" ht="16" x14ac:dyDescent="0.2">
      <c r="A412" s="66" t="s">
        <v>3049</v>
      </c>
      <c r="B412" s="67" t="s">
        <v>3074</v>
      </c>
      <c r="C412" s="67" t="s">
        <v>3399</v>
      </c>
      <c r="D412" s="68">
        <v>3</v>
      </c>
      <c r="E412" s="69" t="d">
        <v>2026-01-18T19:53:49.00000023655593225</v>
      </c>
    </row>
    <row r="413" spans="1:5" ht="16" x14ac:dyDescent="0.2">
      <c r="A413" s="66" t="s">
        <v>3049</v>
      </c>
      <c r="B413" s="67" t="s">
        <v>3074</v>
      </c>
      <c r="C413" s="67" t="s">
        <v>3400</v>
      </c>
      <c r="D413" s="68">
        <v>3</v>
      </c>
      <c r="E413" s="69" t="d">
        <v>2026-01-18T19:53:49.00000023655593225</v>
      </c>
    </row>
    <row r="414" spans="1:5" ht="16" x14ac:dyDescent="0.2">
      <c r="A414" s="66" t="s">
        <v>3049</v>
      </c>
      <c r="B414" s="67" t="s">
        <v>3074</v>
      </c>
      <c r="C414" s="67" t="s">
        <v>3401</v>
      </c>
      <c r="D414" s="68">
        <v>3</v>
      </c>
      <c r="E414" s="69" t="d">
        <v>2026-01-18T19:53:49.00000023655593225</v>
      </c>
    </row>
    <row r="415" spans="1:5" ht="16" x14ac:dyDescent="0.2">
      <c r="A415" s="66" t="s">
        <v>3049</v>
      </c>
      <c r="B415" s="67" t="s">
        <v>3074</v>
      </c>
      <c r="C415" s="67" t="s">
        <v>3402</v>
      </c>
      <c r="D415" s="68">
        <v>3</v>
      </c>
      <c r="E415" s="69" t="d">
        <v>2026-01-18T19:53:49.00000023655593225</v>
      </c>
    </row>
    <row r="416" spans="1:5" ht="16" x14ac:dyDescent="0.2">
      <c r="A416" s="66" t="s">
        <v>3049</v>
      </c>
      <c r="B416" s="67" t="s">
        <v>3074</v>
      </c>
      <c r="C416" s="67" t="s">
        <v>3404</v>
      </c>
      <c r="D416" s="68">
        <v>3</v>
      </c>
      <c r="E416" s="69" t="d">
        <v>2026-01-18T19:53:49.00000023655593225</v>
      </c>
    </row>
    <row r="417" spans="1:5" ht="16" x14ac:dyDescent="0.2">
      <c r="A417" s="66" t="s">
        <v>3049</v>
      </c>
      <c r="B417" s="67" t="s">
        <v>3074</v>
      </c>
      <c r="C417" s="67" t="s">
        <v>3405</v>
      </c>
      <c r="D417" s="68">
        <v>3</v>
      </c>
      <c r="E417" s="69" t="d">
        <v>2026-01-18T19:53:49.00000023655593225</v>
      </c>
    </row>
    <row r="418" spans="1:5" ht="16" x14ac:dyDescent="0.2">
      <c r="A418" s="66" t="s">
        <v>3049</v>
      </c>
      <c r="B418" s="67" t="s">
        <v>3074</v>
      </c>
      <c r="C418" s="67" t="s">
        <v>3406</v>
      </c>
      <c r="D418" s="68">
        <v>3</v>
      </c>
      <c r="E418" s="69" t="d">
        <v>2026-01-18T19:53:49.00000023655593225</v>
      </c>
    </row>
    <row r="419" spans="1:5" ht="16" x14ac:dyDescent="0.2">
      <c r="A419" s="66" t="s">
        <v>3049</v>
      </c>
      <c r="B419" s="67" t="s">
        <v>3074</v>
      </c>
      <c r="C419" s="67" t="s">
        <v>3407</v>
      </c>
      <c r="D419" s="68">
        <v>3</v>
      </c>
      <c r="E419" s="69" t="d">
        <v>2026-01-18T19:53:49.00000023655593225</v>
      </c>
    </row>
    <row r="420" spans="1:5" ht="16" x14ac:dyDescent="0.2">
      <c r="A420" s="66" t="s">
        <v>3049</v>
      </c>
      <c r="B420" s="67" t="s">
        <v>3074</v>
      </c>
      <c r="C420" s="67" t="s">
        <v>3408</v>
      </c>
      <c r="D420" s="68">
        <v>3</v>
      </c>
      <c r="E420" s="69" t="d">
        <v>2026-01-18T19:53:49.00000023655593225</v>
      </c>
    </row>
    <row r="421" spans="1:5" ht="16" x14ac:dyDescent="0.2">
      <c r="A421" s="66" t="s">
        <v>3049</v>
      </c>
      <c r="B421" s="67" t="s">
        <v>3074</v>
      </c>
      <c r="C421" s="67" t="s">
        <v>3409</v>
      </c>
      <c r="D421" s="68">
        <v>3</v>
      </c>
      <c r="E421" s="69" t="d">
        <v>2026-01-18T19:53:49.00000023655593225</v>
      </c>
    </row>
    <row r="422" spans="1:5" ht="16" x14ac:dyDescent="0.2">
      <c r="A422" s="66" t="s">
        <v>3049</v>
      </c>
      <c r="B422" s="67" t="s">
        <v>3074</v>
      </c>
      <c r="C422" s="67" t="s">
        <v>3410</v>
      </c>
      <c r="D422" s="68">
        <v>3</v>
      </c>
      <c r="E422" s="69" t="d">
        <v>2026-01-18T19:53:49.00000023655593225</v>
      </c>
    </row>
    <row r="423" spans="1:5" ht="16" x14ac:dyDescent="0.2">
      <c r="A423" s="66" t="s">
        <v>3049</v>
      </c>
      <c r="B423" s="67" t="s">
        <v>3074</v>
      </c>
      <c r="C423" s="67" t="s">
        <v>3411</v>
      </c>
      <c r="D423" s="68">
        <v>3</v>
      </c>
      <c r="E423" s="69" t="d">
        <v>2026-01-18T19:53:49.00000023655593225</v>
      </c>
    </row>
    <row r="424" spans="1:5" ht="16" x14ac:dyDescent="0.2">
      <c r="A424" s="66" t="s">
        <v>3049</v>
      </c>
      <c r="B424" s="67" t="s">
        <v>3074</v>
      </c>
      <c r="C424" s="67" t="s">
        <v>3412</v>
      </c>
      <c r="D424" s="68">
        <v>3</v>
      </c>
      <c r="E424" s="69" t="d">
        <v>2026-01-18T19:53:49.00000023655593225</v>
      </c>
    </row>
    <row r="425" spans="1:5" ht="16" x14ac:dyDescent="0.2">
      <c r="A425" s="66" t="s">
        <v>3049</v>
      </c>
      <c r="B425" s="67" t="s">
        <v>3074</v>
      </c>
      <c r="C425" s="67" t="s">
        <v>3413</v>
      </c>
      <c r="D425" s="68">
        <v>3</v>
      </c>
      <c r="E425" s="69" t="d">
        <v>2026-01-18T19:53:49.00000023655593225</v>
      </c>
    </row>
    <row r="426" spans="1:5" ht="16" x14ac:dyDescent="0.2">
      <c r="A426" s="66" t="s">
        <v>3049</v>
      </c>
      <c r="B426" s="67" t="s">
        <v>3074</v>
      </c>
      <c r="C426" s="67" t="s">
        <v>3414</v>
      </c>
      <c r="D426" s="68">
        <v>3</v>
      </c>
      <c r="E426" s="69" t="d">
        <v>2026-01-22T12:11:37.000000113621354375</v>
      </c>
    </row>
    <row r="427" spans="1:5" ht="16" x14ac:dyDescent="0.2">
      <c r="A427" s="66" t="s">
        <v>3049</v>
      </c>
      <c r="B427" s="67" t="s">
        <v>3075</v>
      </c>
      <c r="C427" s="67" t="s">
        <v>3403</v>
      </c>
      <c r="D427" s="68">
        <v>3</v>
      </c>
      <c r="E427" s="69" t="d">
        <v>2026-01-18T19:53:49.00000023655593225</v>
      </c>
    </row>
    <row r="428" spans="1:5" ht="16" x14ac:dyDescent="0.2">
      <c r="A428" s="66" t="s">
        <v>3049</v>
      </c>
      <c r="B428" s="67" t="s">
        <v>3075</v>
      </c>
      <c r="C428" s="67" t="s">
        <v>3398</v>
      </c>
      <c r="D428" s="68">
        <v>3</v>
      </c>
      <c r="E428" s="69" t="d">
        <v>2026-01-18T19:53:49.00000023655593225</v>
      </c>
    </row>
    <row r="429" spans="1:5" ht="16" x14ac:dyDescent="0.2">
      <c r="A429" s="66" t="s">
        <v>3049</v>
      </c>
      <c r="B429" s="67" t="s">
        <v>3075</v>
      </c>
      <c r="C429" s="67" t="s">
        <v>3399</v>
      </c>
      <c r="D429" s="68">
        <v>3</v>
      </c>
      <c r="E429" s="69" t="d">
        <v>2026-01-18T19:53:49.00000023655593225</v>
      </c>
    </row>
    <row r="430" spans="1:5" ht="16" x14ac:dyDescent="0.2">
      <c r="A430" s="66" t="s">
        <v>3049</v>
      </c>
      <c r="B430" s="67" t="s">
        <v>3075</v>
      </c>
      <c r="C430" s="67" t="s">
        <v>3400</v>
      </c>
      <c r="D430" s="68">
        <v>3</v>
      </c>
      <c r="E430" s="69" t="d">
        <v>2026-01-18T19:53:49.00000023655593225</v>
      </c>
    </row>
    <row r="431" spans="1:5" ht="16" x14ac:dyDescent="0.2">
      <c r="A431" s="66" t="s">
        <v>3049</v>
      </c>
      <c r="B431" s="67" t="s">
        <v>3075</v>
      </c>
      <c r="C431" s="67" t="s">
        <v>3401</v>
      </c>
      <c r="D431" s="68">
        <v>3</v>
      </c>
      <c r="E431" s="69" t="d">
        <v>2026-01-18T19:53:49.00000023655593225</v>
      </c>
    </row>
    <row r="432" spans="1:5" ht="16" x14ac:dyDescent="0.2">
      <c r="A432" s="66" t="s">
        <v>3049</v>
      </c>
      <c r="B432" s="67" t="s">
        <v>3075</v>
      </c>
      <c r="C432" s="67" t="s">
        <v>3402</v>
      </c>
      <c r="D432" s="68">
        <v>3</v>
      </c>
      <c r="E432" s="69" t="d">
        <v>2026-01-18T19:53:49.00000023655593225</v>
      </c>
    </row>
    <row r="433" spans="1:5" ht="16" x14ac:dyDescent="0.2">
      <c r="A433" s="66" t="s">
        <v>3049</v>
      </c>
      <c r="B433" s="67" t="s">
        <v>3075</v>
      </c>
      <c r="C433" s="67" t="s">
        <v>3404</v>
      </c>
      <c r="D433" s="68">
        <v>3</v>
      </c>
      <c r="E433" s="69" t="d">
        <v>2026-01-18T19:53:49.00000023655593225</v>
      </c>
    </row>
    <row r="434" spans="1:5" ht="16" x14ac:dyDescent="0.2">
      <c r="A434" s="66" t="s">
        <v>3049</v>
      </c>
      <c r="B434" s="67" t="s">
        <v>3075</v>
      </c>
      <c r="C434" s="67" t="s">
        <v>3405</v>
      </c>
      <c r="D434" s="68">
        <v>3</v>
      </c>
      <c r="E434" s="69" t="d">
        <v>2026-01-18T19:53:49.00000023655593225</v>
      </c>
    </row>
    <row r="435" spans="1:5" ht="16" x14ac:dyDescent="0.2">
      <c r="A435" s="66" t="s">
        <v>3049</v>
      </c>
      <c r="B435" s="67" t="s">
        <v>3075</v>
      </c>
      <c r="C435" s="67" t="s">
        <v>3406</v>
      </c>
      <c r="D435" s="68">
        <v>3</v>
      </c>
      <c r="E435" s="69" t="d">
        <v>2026-01-18T19:53:49.9999998416751600</v>
      </c>
    </row>
    <row r="436" spans="1:5" ht="16" x14ac:dyDescent="0.2">
      <c r="A436" s="66" t="s">
        <v>3049</v>
      </c>
      <c r="B436" s="67" t="s">
        <v>3075</v>
      </c>
      <c r="C436" s="67" t="s">
        <v>3407</v>
      </c>
      <c r="D436" s="68">
        <v>3</v>
      </c>
      <c r="E436" s="69" t="d">
        <v>2026-01-18T19:53:49.9999998416751600</v>
      </c>
    </row>
    <row r="437" spans="1:5" ht="16" x14ac:dyDescent="0.2">
      <c r="A437" s="66" t="s">
        <v>3049</v>
      </c>
      <c r="B437" s="67" t="s">
        <v>3075</v>
      </c>
      <c r="C437" s="67" t="s">
        <v>3408</v>
      </c>
      <c r="D437" s="68">
        <v>3</v>
      </c>
      <c r="E437" s="69" t="d">
        <v>2026-01-18T19:53:49.9999998416751600</v>
      </c>
    </row>
    <row r="438" spans="1:5" ht="16" x14ac:dyDescent="0.2">
      <c r="A438" s="66" t="s">
        <v>3049</v>
      </c>
      <c r="B438" s="67" t="s">
        <v>3075</v>
      </c>
      <c r="C438" s="67" t="s">
        <v>3409</v>
      </c>
      <c r="D438" s="68">
        <v>3</v>
      </c>
      <c r="E438" s="69" t="d">
        <v>2026-01-18T19:53:49.9999998416751600</v>
      </c>
    </row>
    <row r="439" spans="1:5" ht="16" x14ac:dyDescent="0.2">
      <c r="A439" s="66" t="s">
        <v>3049</v>
      </c>
      <c r="B439" s="67" t="s">
        <v>3075</v>
      </c>
      <c r="C439" s="67" t="s">
        <v>3410</v>
      </c>
      <c r="D439" s="68">
        <v>3</v>
      </c>
      <c r="E439" s="69" t="d">
        <v>2026-01-18T19:53:49.9999998416751600</v>
      </c>
    </row>
    <row r="440" spans="1:5" ht="16" x14ac:dyDescent="0.2">
      <c r="A440" s="66" t="s">
        <v>3049</v>
      </c>
      <c r="B440" s="67" t="s">
        <v>3075</v>
      </c>
      <c r="C440" s="67" t="s">
        <v>3411</v>
      </c>
      <c r="D440" s="68">
        <v>3</v>
      </c>
      <c r="E440" s="69" t="d">
        <v>2026-01-18T19:53:49.9999998416751600</v>
      </c>
    </row>
    <row r="441" spans="1:5" ht="16" x14ac:dyDescent="0.2">
      <c r="A441" s="66" t="s">
        <v>3049</v>
      </c>
      <c r="B441" s="67" t="s">
        <v>3075</v>
      </c>
      <c r="C441" s="67" t="s">
        <v>3412</v>
      </c>
      <c r="D441" s="68">
        <v>3</v>
      </c>
      <c r="E441" s="69" t="d">
        <v>2026-01-18T19:53:49.9999998416751600</v>
      </c>
    </row>
    <row r="442" spans="1:5" ht="16" x14ac:dyDescent="0.2">
      <c r="A442" s="66" t="s">
        <v>3049</v>
      </c>
      <c r="B442" s="67" t="s">
        <v>3075</v>
      </c>
      <c r="C442" s="67" t="s">
        <v>3413</v>
      </c>
      <c r="D442" s="68">
        <v>3</v>
      </c>
      <c r="E442" s="69" t="d">
        <v>2026-01-18T19:53:49.9999998416751600</v>
      </c>
    </row>
    <row r="443" spans="1:5" ht="16" x14ac:dyDescent="0.2">
      <c r="A443" s="66" t="s">
        <v>3049</v>
      </c>
      <c r="B443" s="67" t="s">
        <v>3075</v>
      </c>
      <c r="C443" s="67" t="s">
        <v>3414</v>
      </c>
      <c r="D443" s="68">
        <v>3</v>
      </c>
      <c r="E443" s="69" t="d">
        <v>2026-01-22T12:11:37.000000113621354375</v>
      </c>
    </row>
    <row r="444" spans="1:5" ht="16" x14ac:dyDescent="0.2">
      <c r="A444" s="66" t="s">
        <v>3049</v>
      </c>
      <c r="B444" s="67" t="s">
        <v>3076</v>
      </c>
      <c r="C444" s="67" t="s">
        <v>3403</v>
      </c>
      <c r="D444" s="68">
        <v>3</v>
      </c>
      <c r="E444" s="69" t="d">
        <v>2026-01-18T19:53:49.9999998416751600</v>
      </c>
    </row>
    <row r="445" spans="1:5" ht="16" x14ac:dyDescent="0.2">
      <c r="A445" s="66" t="s">
        <v>3049</v>
      </c>
      <c r="B445" s="67" t="s">
        <v>3076</v>
      </c>
      <c r="C445" s="67" t="s">
        <v>3398</v>
      </c>
      <c r="D445" s="68">
        <v>3</v>
      </c>
      <c r="E445" s="69" t="d">
        <v>2026-01-18T19:53:49.9999998416751600</v>
      </c>
    </row>
    <row r="446" spans="1:5" ht="16" x14ac:dyDescent="0.2">
      <c r="A446" s="66" t="s">
        <v>3049</v>
      </c>
      <c r="B446" s="67" t="s">
        <v>3076</v>
      </c>
      <c r="C446" s="67" t="s">
        <v>3399</v>
      </c>
      <c r="D446" s="68">
        <v>3</v>
      </c>
      <c r="E446" s="69" t="d">
        <v>2026-01-18T19:53:49.9999998416751600</v>
      </c>
    </row>
    <row r="447" spans="1:5" ht="16" x14ac:dyDescent="0.2">
      <c r="A447" s="66" t="s">
        <v>3049</v>
      </c>
      <c r="B447" s="67" t="s">
        <v>3076</v>
      </c>
      <c r="C447" s="67" t="s">
        <v>3400</v>
      </c>
      <c r="D447" s="68">
        <v>3</v>
      </c>
      <c r="E447" s="69" t="d">
        <v>2026-01-18T19:53:49.9999998416751600</v>
      </c>
    </row>
    <row r="448" spans="1:5" ht="16" x14ac:dyDescent="0.2">
      <c r="A448" s="66" t="s">
        <v>3049</v>
      </c>
      <c r="B448" s="67" t="s">
        <v>3076</v>
      </c>
      <c r="C448" s="67" t="s">
        <v>3401</v>
      </c>
      <c r="D448" s="68">
        <v>3</v>
      </c>
      <c r="E448" s="69" t="d">
        <v>2026-01-18T19:53:49.9999998416751600</v>
      </c>
    </row>
    <row r="449" spans="1:5" ht="16" x14ac:dyDescent="0.2">
      <c r="A449" s="66" t="s">
        <v>3049</v>
      </c>
      <c r="B449" s="67" t="s">
        <v>3076</v>
      </c>
      <c r="C449" s="67" t="s">
        <v>3402</v>
      </c>
      <c r="D449" s="68">
        <v>3</v>
      </c>
      <c r="E449" s="69" t="d">
        <v>2026-01-18T19:53:49.9999998416751600</v>
      </c>
    </row>
    <row r="450" spans="1:5" ht="16" x14ac:dyDescent="0.2">
      <c r="A450" s="66" t="s">
        <v>3049</v>
      </c>
      <c r="B450" s="67" t="s">
        <v>3076</v>
      </c>
      <c r="C450" s="67" t="s">
        <v>3404</v>
      </c>
      <c r="D450" s="68">
        <v>3</v>
      </c>
      <c r="E450" s="69" t="d">
        <v>2026-01-18T19:53:49.9999998416751600</v>
      </c>
    </row>
    <row r="451" spans="1:5" ht="16" x14ac:dyDescent="0.2">
      <c r="A451" s="66" t="s">
        <v>3049</v>
      </c>
      <c r="B451" s="67" t="s">
        <v>3076</v>
      </c>
      <c r="C451" s="67" t="s">
        <v>3405</v>
      </c>
      <c r="D451" s="68">
        <v>3</v>
      </c>
      <c r="E451" s="69" t="d">
        <v>2026-01-18T19:53:49.9999998416751600</v>
      </c>
    </row>
    <row r="452" spans="1:5" ht="16" x14ac:dyDescent="0.2">
      <c r="A452" s="66" t="s">
        <v>3049</v>
      </c>
      <c r="B452" s="67" t="s">
        <v>3076</v>
      </c>
      <c r="C452" s="67" t="s">
        <v>3406</v>
      </c>
      <c r="D452" s="68">
        <v>3</v>
      </c>
      <c r="E452" s="69" t="d">
        <v>2026-01-18T19:53:49.9999998416751600</v>
      </c>
    </row>
    <row r="453" spans="1:5" ht="16" x14ac:dyDescent="0.2">
      <c r="A453" s="66" t="s">
        <v>3049</v>
      </c>
      <c r="B453" s="67" t="s">
        <v>3076</v>
      </c>
      <c r="C453" s="67" t="s">
        <v>3407</v>
      </c>
      <c r="D453" s="68">
        <v>3</v>
      </c>
      <c r="E453" s="69" t="d">
        <v>2026-01-18T19:53:49.9999998416751600</v>
      </c>
    </row>
    <row r="454" spans="1:5" ht="16" x14ac:dyDescent="0.2">
      <c r="A454" s="66" t="s">
        <v>3049</v>
      </c>
      <c r="B454" s="67" t="s">
        <v>3076</v>
      </c>
      <c r="C454" s="67" t="s">
        <v>3408</v>
      </c>
      <c r="D454" s="68">
        <v>3</v>
      </c>
      <c r="E454" s="69" t="d">
        <v>2026-01-18T19:53:49.9999998416751600</v>
      </c>
    </row>
    <row r="455" spans="1:5" ht="16" x14ac:dyDescent="0.2">
      <c r="A455" s="66" t="s">
        <v>3049</v>
      </c>
      <c r="B455" s="67" t="s">
        <v>3076</v>
      </c>
      <c r="C455" s="67" t="s">
        <v>3409</v>
      </c>
      <c r="D455" s="68">
        <v>3</v>
      </c>
      <c r="E455" s="69" t="d">
        <v>2026-01-18T19:53:49.9999998416751600</v>
      </c>
    </row>
    <row r="456" spans="1:5" ht="16" x14ac:dyDescent="0.2">
      <c r="A456" s="66" t="s">
        <v>3049</v>
      </c>
      <c r="B456" s="67" t="s">
        <v>3076</v>
      </c>
      <c r="C456" s="67" t="s">
        <v>3410</v>
      </c>
      <c r="D456" s="68">
        <v>3</v>
      </c>
      <c r="E456" s="69" t="d">
        <v>2026-01-18T19:53:49.9999998416751600</v>
      </c>
    </row>
    <row r="457" spans="1:5" ht="16" x14ac:dyDescent="0.2">
      <c r="A457" s="66" t="s">
        <v>3049</v>
      </c>
      <c r="B457" s="67" t="s">
        <v>3076</v>
      </c>
      <c r="C457" s="67" t="s">
        <v>3411</v>
      </c>
      <c r="D457" s="68">
        <v>3</v>
      </c>
      <c r="E457" s="69" t="d">
        <v>2026-01-18T19:53:49.9999998416751600</v>
      </c>
    </row>
    <row r="458" spans="1:5" ht="16" x14ac:dyDescent="0.2">
      <c r="A458" s="66" t="s">
        <v>3049</v>
      </c>
      <c r="B458" s="67" t="s">
        <v>3076</v>
      </c>
      <c r="C458" s="67" t="s">
        <v>3412</v>
      </c>
      <c r="D458" s="68">
        <v>3</v>
      </c>
      <c r="E458" s="69" t="d">
        <v>2026-01-18T19:53:49.9999998416751600</v>
      </c>
    </row>
    <row r="459" spans="1:5" ht="16" x14ac:dyDescent="0.2">
      <c r="A459" s="66" t="s">
        <v>3049</v>
      </c>
      <c r="B459" s="67" t="s">
        <v>3076</v>
      </c>
      <c r="C459" s="67" t="s">
        <v>3413</v>
      </c>
      <c r="D459" s="68">
        <v>3</v>
      </c>
      <c r="E459" s="69" t="d">
        <v>2026-01-18T19:53:49.9999998416751600</v>
      </c>
    </row>
    <row r="460" spans="1:5" ht="16" x14ac:dyDescent="0.2">
      <c r="A460" s="66" t="s">
        <v>3049</v>
      </c>
      <c r="B460" s="67" t="s">
        <v>3076</v>
      </c>
      <c r="C460" s="67" t="s">
        <v>3414</v>
      </c>
      <c r="D460" s="68">
        <v>3</v>
      </c>
      <c r="E460" s="69" t="d">
        <v>2026-01-22T12:11:37.000000113621354375</v>
      </c>
    </row>
    <row r="461" spans="1:5" ht="16" x14ac:dyDescent="0.2">
      <c r="A461" s="66" t="s">
        <v>3049</v>
      </c>
      <c r="B461" s="67" t="s">
        <v>3077</v>
      </c>
      <c r="C461" s="67" t="s">
        <v>3403</v>
      </c>
      <c r="D461" s="68">
        <v>3</v>
      </c>
      <c r="E461" s="69" t="d">
        <v>2026-01-18T19:53:49.9999998416751600</v>
      </c>
    </row>
    <row r="462" spans="1:5" ht="16" x14ac:dyDescent="0.2">
      <c r="A462" s="66" t="s">
        <v>3049</v>
      </c>
      <c r="B462" s="67" t="s">
        <v>3077</v>
      </c>
      <c r="C462" s="67" t="s">
        <v>3398</v>
      </c>
      <c r="D462" s="68">
        <v>3</v>
      </c>
      <c r="E462" s="69" t="d">
        <v>2026-01-18T19:53:49.9999998416751600</v>
      </c>
    </row>
    <row r="463" spans="1:5" ht="16" x14ac:dyDescent="0.2">
      <c r="A463" s="66" t="s">
        <v>3049</v>
      </c>
      <c r="B463" s="67" t="s">
        <v>3077</v>
      </c>
      <c r="C463" s="67" t="s">
        <v>3399</v>
      </c>
      <c r="D463" s="68">
        <v>3</v>
      </c>
      <c r="E463" s="69" t="d">
        <v>2026-01-18T19:53:49.9999998416751600</v>
      </c>
    </row>
    <row r="464" spans="1:5" ht="16" x14ac:dyDescent="0.2">
      <c r="A464" s="66" t="s">
        <v>3049</v>
      </c>
      <c r="B464" s="67" t="s">
        <v>3077</v>
      </c>
      <c r="C464" s="67" t="s">
        <v>3400</v>
      </c>
      <c r="D464" s="68">
        <v>3</v>
      </c>
      <c r="E464" s="69" t="d">
        <v>2026-01-18T19:53:49.9999998416751600</v>
      </c>
    </row>
    <row r="465" spans="1:5" ht="16" x14ac:dyDescent="0.2">
      <c r="A465" s="66" t="s">
        <v>3049</v>
      </c>
      <c r="B465" s="67" t="s">
        <v>3077</v>
      </c>
      <c r="C465" s="67" t="s">
        <v>3401</v>
      </c>
      <c r="D465" s="68">
        <v>3</v>
      </c>
      <c r="E465" s="69" t="d">
        <v>2026-01-18T19:53:49.9999998416751600</v>
      </c>
    </row>
    <row r="466" spans="1:5" ht="16" x14ac:dyDescent="0.2">
      <c r="A466" s="66" t="s">
        <v>3049</v>
      </c>
      <c r="B466" s="67" t="s">
        <v>3077</v>
      </c>
      <c r="C466" s="67" t="s">
        <v>3402</v>
      </c>
      <c r="D466" s="68">
        <v>3</v>
      </c>
      <c r="E466" s="69" t="d">
        <v>2026-01-18T19:53:49.9999998416751600</v>
      </c>
    </row>
    <row r="467" spans="1:5" ht="16" x14ac:dyDescent="0.2">
      <c r="A467" s="66" t="s">
        <v>3049</v>
      </c>
      <c r="B467" s="67" t="s">
        <v>3077</v>
      </c>
      <c r="C467" s="67" t="s">
        <v>3404</v>
      </c>
      <c r="D467" s="68">
        <v>3</v>
      </c>
      <c r="E467" s="69" t="d">
        <v>2026-01-18T19:53:49.9999998416751600</v>
      </c>
    </row>
    <row r="468" spans="1:5" ht="16" x14ac:dyDescent="0.2">
      <c r="A468" s="66" t="s">
        <v>3049</v>
      </c>
      <c r="B468" s="67" t="s">
        <v>3077</v>
      </c>
      <c r="C468" s="67" t="s">
        <v>3405</v>
      </c>
      <c r="D468" s="68">
        <v>3</v>
      </c>
      <c r="E468" s="69" t="d">
        <v>2026-01-18T19:53:51.00000007543712925</v>
      </c>
    </row>
    <row r="469" spans="1:5" ht="16" x14ac:dyDescent="0.2">
      <c r="A469" s="66" t="s">
        <v>3049</v>
      </c>
      <c r="B469" s="67" t="s">
        <v>3077</v>
      </c>
      <c r="C469" s="67" t="s">
        <v>3406</v>
      </c>
      <c r="D469" s="68">
        <v>3</v>
      </c>
      <c r="E469" s="69" t="d">
        <v>2026-01-18T19:53:51.00000007543712925</v>
      </c>
    </row>
    <row r="470" spans="1:5" ht="16" x14ac:dyDescent="0.2">
      <c r="A470" s="66" t="s">
        <v>3049</v>
      </c>
      <c r="B470" s="67" t="s">
        <v>3077</v>
      </c>
      <c r="C470" s="67" t="s">
        <v>3407</v>
      </c>
      <c r="D470" s="68">
        <v>3</v>
      </c>
      <c r="E470" s="69" t="d">
        <v>2026-01-18T19:53:51.00000007543712925</v>
      </c>
    </row>
    <row r="471" spans="1:5" ht="16" x14ac:dyDescent="0.2">
      <c r="A471" s="66" t="s">
        <v>3049</v>
      </c>
      <c r="B471" s="67" t="s">
        <v>3077</v>
      </c>
      <c r="C471" s="67" t="s">
        <v>3408</v>
      </c>
      <c r="D471" s="68">
        <v>3</v>
      </c>
      <c r="E471" s="69" t="d">
        <v>2026-01-18T19:53:51.00000007543712925</v>
      </c>
    </row>
    <row r="472" spans="1:5" ht="16" x14ac:dyDescent="0.2">
      <c r="A472" s="66" t="s">
        <v>3049</v>
      </c>
      <c r="B472" s="67" t="s">
        <v>3077</v>
      </c>
      <c r="C472" s="67" t="s">
        <v>3409</v>
      </c>
      <c r="D472" s="68">
        <v>3</v>
      </c>
      <c r="E472" s="69" t="d">
        <v>2026-01-18T19:53:51.00000007543712925</v>
      </c>
    </row>
    <row r="473" spans="1:5" ht="16" x14ac:dyDescent="0.2">
      <c r="A473" s="66" t="s">
        <v>3049</v>
      </c>
      <c r="B473" s="67" t="s">
        <v>3077</v>
      </c>
      <c r="C473" s="67" t="s">
        <v>3410</v>
      </c>
      <c r="D473" s="68">
        <v>3</v>
      </c>
      <c r="E473" s="69" t="d">
        <v>2026-01-18T19:53:51.00000007543712925</v>
      </c>
    </row>
    <row r="474" spans="1:5" ht="16" x14ac:dyDescent="0.2">
      <c r="A474" s="66" t="s">
        <v>3049</v>
      </c>
      <c r="B474" s="67" t="s">
        <v>3077</v>
      </c>
      <c r="C474" s="67" t="s">
        <v>3411</v>
      </c>
      <c r="D474" s="68">
        <v>3</v>
      </c>
      <c r="E474" s="69" t="d">
        <v>2026-01-18T19:53:51.00000007543712925</v>
      </c>
    </row>
    <row r="475" spans="1:5" ht="16" x14ac:dyDescent="0.2">
      <c r="A475" s="66" t="s">
        <v>3049</v>
      </c>
      <c r="B475" s="67" t="s">
        <v>3077</v>
      </c>
      <c r="C475" s="67" t="s">
        <v>3412</v>
      </c>
      <c r="D475" s="68">
        <v>3</v>
      </c>
      <c r="E475" s="69" t="d">
        <v>2026-01-18T19:53:51.00000007543712925</v>
      </c>
    </row>
    <row r="476" spans="1:5" ht="16" x14ac:dyDescent="0.2">
      <c r="A476" s="66" t="s">
        <v>3049</v>
      </c>
      <c r="B476" s="67" t="s">
        <v>3077</v>
      </c>
      <c r="C476" s="67" t="s">
        <v>3413</v>
      </c>
      <c r="D476" s="68">
        <v>3</v>
      </c>
      <c r="E476" s="69" t="d">
        <v>2026-01-18T19:53:51.00000007543712925</v>
      </c>
    </row>
    <row r="477" spans="1:5" ht="16" x14ac:dyDescent="0.2">
      <c r="A477" s="66" t="s">
        <v>3049</v>
      </c>
      <c r="B477" s="67" t="s">
        <v>3077</v>
      </c>
      <c r="C477" s="67" t="s">
        <v>3414</v>
      </c>
      <c r="D477" s="68">
        <v>4</v>
      </c>
      <c r="E477" s="69" t="d">
        <v>2026-01-22T12:11:40.000000186264515225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EA38-0418-F34B-8CF7-B2E0AF66B0F4}">
  <sheetPr codeName="Sheet6"/>
  <dimension ref="A1:E2"/>
  <sheetViews>
    <sheetView zoomScale="225" workbookViewId="0">
      <selection activeCell="I21" sqref="I21"/>
    </sheetView>
  </sheetViews>
  <sheetFormatPr baseColWidth="10" defaultRowHeight="15" x14ac:dyDescent="0.2"/>
  <cols>
    <col min="1" max="2" width="8" style="54" bestFit="1" customWidth="1"/>
    <col min="3" max="3" width="13.33203125" style="54" bestFit="1" customWidth="1"/>
    <col min="4" max="4" width="9.33203125" style="54" bestFit="1" customWidth="1"/>
    <col min="5" max="5" width="14.33203125" style="54" bestFit="1" customWidth="1"/>
    <col min="6" max="16384" width="10.83203125" style="54"/>
  </cols>
  <sheetData>
    <row r="1" spans="1:5" ht="16" x14ac:dyDescent="0.2">
      <c r="A1" s="126" t="s">
        <v>3369</v>
      </c>
      <c r="B1" s="127" t="s">
        <v>3370</v>
      </c>
      <c r="C1" s="128" t="s">
        <v>3372</v>
      </c>
      <c r="D1" s="128" t="s">
        <v>3384</v>
      </c>
      <c r="E1" s="129" t="s">
        <v>3374</v>
      </c>
    </row>
    <row r="2" spans="1:5" x14ac:dyDescent="0.2">
      <c r="A2" s="123"/>
      <c r="B2" s="124"/>
      <c r="C2" s="124"/>
      <c r="D2" s="124"/>
      <c r="E2" s="12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Instructions</vt:lpstr>
      <vt:lpstr>1. Describe Your Emergency</vt:lpstr>
      <vt:lpstr>2. Define Indicators</vt:lpstr>
      <vt:lpstr>3. Enter Indicator Scores</vt:lpstr>
      <vt:lpstr>4. Define Weights</vt:lpstr>
      <vt:lpstr>5. Weighted Indicator Scores</vt:lpstr>
      <vt:lpstr>6. Composite Risk Scores</vt:lpstr>
      <vt:lpstr>Geographic Reference</vt:lpstr>
      <vt:lpstr>_validation</vt:lpstr>
      <vt:lpstr>_indicator_scores</vt:lpstr>
      <vt:lpstr>_indicator_weights</vt:lpstr>
      <vt:lpstr>boolean_flag</vt:lpstr>
      <vt:lpstr>CountrySelected</vt:lpstr>
      <vt:lpstr>IndicatorsDefined</vt:lpstr>
      <vt:lpstr>pillars_var</vt:lpstr>
      <vt:lpstr>status_var</vt:lpstr>
      <vt:lpstr>tbl_pill_weights</vt:lpstr>
      <vt:lpstr>WeightsDefined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Kerr</cp:lastModifiedBy>
  <cp:revision/>
  <dcterms:created xsi:type="dcterms:W3CDTF">2025-10-13T10:11:30Z</dcterms:created>
  <dcterms:modified xsi:type="dcterms:W3CDTF">2026-01-28T16:21:13Z</dcterms:modified>
  <cp:category/>
  <cp:contentStatus/>
</cp:coreProperties>
</file>